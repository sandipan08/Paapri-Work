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E:\Work\Strouse\Data Migration\"/>
    </mc:Choice>
  </mc:AlternateContent>
  <bookViews>
    <workbookView xWindow="0" yWindow="0" windowWidth="23040" windowHeight="9264" activeTab="2"/>
  </bookViews>
  <sheets>
    <sheet name="Test IPIC UPLOAD" sheetId="2" r:id="rId1"/>
    <sheet name="Data" sheetId="1" r:id="rId2"/>
    <sheet name="IPIC Data Body" sheetId="4" r:id="rId3"/>
    <sheet name="Assemblies" sheetId="3" r:id="rId4"/>
  </sheets>
  <externalReferences>
    <externalReference r:id="rId5"/>
  </externalReferences>
  <definedNames>
    <definedName name="_xlnm._FilterDatabase" localSheetId="3" hidden="1">Assemblies!$A$1:$X$1801</definedName>
    <definedName name="_xlnm._FilterDatabase" localSheetId="1" hidden="1">Data!$B$1:$U$6349</definedName>
    <definedName name="_xlnm._FilterDatabase" localSheetId="2" hidden="1">'IPIC Data Body'!$A$1:$I$1162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2" l="1"/>
  <c r="B4" i="2"/>
  <c r="O3" i="2"/>
  <c r="B3" i="2"/>
  <c r="O2" i="2"/>
  <c r="B2" i="2"/>
  <c r="Q191" i="1"/>
  <c r="Q4" i="1"/>
  <c r="Q70" i="1"/>
  <c r="Q63" i="1"/>
  <c r="Q7" i="1"/>
  <c r="Q8" i="1"/>
  <c r="Q53" i="1"/>
  <c r="Q52" i="1"/>
  <c r="Q11" i="1"/>
  <c r="Q12" i="1"/>
  <c r="Q10" i="1"/>
  <c r="Q14" i="1"/>
  <c r="Q15" i="1"/>
  <c r="Q16" i="1"/>
  <c r="Q219" i="1"/>
  <c r="Q218" i="1"/>
  <c r="Q19" i="1"/>
  <c r="Q3" i="1"/>
  <c r="Q5" i="1"/>
  <c r="Q22" i="1"/>
  <c r="Q23" i="1"/>
  <c r="Q42" i="1"/>
  <c r="Q41" i="1"/>
  <c r="Q26" i="1"/>
  <c r="Q27" i="1"/>
  <c r="Q13" i="1"/>
  <c r="Q18" i="1"/>
  <c r="Q30" i="1"/>
  <c r="Q228" i="1"/>
  <c r="Q223" i="1"/>
  <c r="Q33" i="1"/>
  <c r="Q34" i="1"/>
  <c r="Q35" i="1"/>
  <c r="Q36" i="1"/>
  <c r="Q28" i="1"/>
  <c r="Q29" i="1"/>
  <c r="Q39" i="1"/>
  <c r="Q40" i="1"/>
  <c r="Q112" i="1"/>
  <c r="Q108" i="1"/>
  <c r="Q43" i="1"/>
  <c r="Q44" i="1"/>
  <c r="Q45" i="1"/>
  <c r="Q37" i="1"/>
  <c r="Q38" i="1"/>
  <c r="Q48" i="1"/>
  <c r="Q49" i="1"/>
  <c r="Q50" i="1"/>
  <c r="Q51" i="1"/>
  <c r="Q24" i="1"/>
  <c r="Q25" i="1"/>
  <c r="Q54" i="1"/>
  <c r="Q55" i="1"/>
  <c r="Q56" i="1"/>
  <c r="Q62" i="1"/>
  <c r="Q57" i="1"/>
  <c r="Q59" i="1"/>
  <c r="Q60" i="1"/>
  <c r="Q61" i="1"/>
  <c r="Q190" i="1"/>
  <c r="Q183" i="1"/>
  <c r="Q64" i="1"/>
  <c r="Q65" i="1"/>
  <c r="Q66" i="1"/>
  <c r="Q67" i="1"/>
  <c r="Q68" i="1"/>
  <c r="Q69" i="1"/>
  <c r="Q78" i="1"/>
  <c r="Q76" i="1"/>
  <c r="Q72" i="1"/>
  <c r="Q73" i="1"/>
  <c r="Q74" i="1"/>
  <c r="Q122" i="1"/>
  <c r="Q119" i="1"/>
  <c r="Q77" i="1"/>
  <c r="Q155" i="1"/>
  <c r="Q154" i="1"/>
  <c r="Q80" i="1"/>
  <c r="Q81" i="1"/>
  <c r="Q175" i="1"/>
  <c r="Q170" i="1"/>
  <c r="Q84" i="1"/>
  <c r="Q85" i="1"/>
  <c r="Q6" i="1"/>
  <c r="Q9" i="1"/>
  <c r="Q88" i="1"/>
  <c r="Q125" i="1"/>
  <c r="Q121" i="1"/>
  <c r="Q91" i="1"/>
  <c r="Q131" i="1"/>
  <c r="Q130" i="1"/>
  <c r="Q94" i="1"/>
  <c r="Q95" i="1"/>
  <c r="Q96" i="1"/>
  <c r="Q97" i="1"/>
  <c r="Q98" i="1"/>
  <c r="Q99" i="1"/>
  <c r="Q231" i="1"/>
  <c r="Q230" i="1"/>
  <c r="Q102" i="1"/>
  <c r="Q103" i="1"/>
  <c r="Q104" i="1"/>
  <c r="Q105" i="1"/>
  <c r="Q106" i="1"/>
  <c r="Q169" i="1"/>
  <c r="Q168" i="1"/>
  <c r="Q109" i="1"/>
  <c r="Q110" i="1"/>
  <c r="Q111" i="1"/>
  <c r="Q212" i="1"/>
  <c r="Q208" i="1"/>
  <c r="Q114" i="1"/>
  <c r="Q90" i="1"/>
  <c r="Q93" i="1"/>
  <c r="Q117" i="1"/>
  <c r="Q31" i="1"/>
  <c r="Q32" i="1"/>
  <c r="Q120" i="1"/>
  <c r="Q217" i="1"/>
  <c r="Q213" i="1"/>
  <c r="Q123" i="1"/>
  <c r="Q124" i="1"/>
  <c r="Q246" i="1"/>
  <c r="Q245" i="1"/>
  <c r="Q127" i="1"/>
  <c r="Q128" i="1"/>
  <c r="Q129" i="1"/>
  <c r="Q249" i="1"/>
  <c r="Q248" i="1"/>
  <c r="Q132" i="1"/>
  <c r="Q133" i="1"/>
  <c r="Q134" i="1"/>
  <c r="Q135" i="1"/>
  <c r="Q136" i="1"/>
  <c r="Q137" i="1"/>
  <c r="Q138" i="1"/>
  <c r="Q254" i="1"/>
  <c r="Q253" i="1"/>
  <c r="Q141" i="1"/>
  <c r="Q142" i="1"/>
  <c r="Q143" i="1"/>
  <c r="Q20" i="1"/>
  <c r="Q21" i="1"/>
  <c r="Q146" i="1"/>
  <c r="Q147" i="1"/>
  <c r="Q180" i="1"/>
  <c r="Q179" i="1"/>
  <c r="Q150" i="1"/>
  <c r="Q151" i="1"/>
  <c r="Q152" i="1"/>
  <c r="Q153" i="1"/>
  <c r="Q201" i="1"/>
  <c r="Q198" i="1"/>
  <c r="Q156" i="1"/>
  <c r="Q157" i="1"/>
  <c r="Q158" i="1"/>
  <c r="Q207" i="1"/>
  <c r="Q202" i="1"/>
  <c r="Q161" i="1"/>
  <c r="Q162" i="1"/>
  <c r="Q163" i="1"/>
  <c r="Q164" i="1"/>
  <c r="Q79" i="1"/>
  <c r="Q82" i="1"/>
  <c r="Q259" i="1"/>
  <c r="Q258" i="1"/>
  <c r="Q46" i="1"/>
  <c r="Q47" i="1"/>
  <c r="Q171" i="1"/>
  <c r="Q172" i="1"/>
  <c r="Q173" i="1"/>
  <c r="Q174" i="1"/>
  <c r="Q116" i="1"/>
  <c r="Q118" i="1"/>
  <c r="Q177" i="1"/>
  <c r="Q178" i="1"/>
  <c r="Q148" i="1"/>
  <c r="Q149" i="1"/>
  <c r="Q181" i="1"/>
  <c r="Q87" i="1"/>
  <c r="Q89" i="1"/>
  <c r="Q184" i="1"/>
  <c r="Q185" i="1"/>
  <c r="Q186" i="1"/>
  <c r="Q187" i="1"/>
  <c r="Q188" i="1"/>
  <c r="Q189" i="1"/>
  <c r="Q273" i="1"/>
  <c r="Q272" i="1"/>
  <c r="Q192" i="1"/>
  <c r="Q276" i="1"/>
  <c r="Q275" i="1"/>
  <c r="Q195" i="1"/>
  <c r="Q196" i="1"/>
  <c r="Q290" i="1"/>
  <c r="Q288" i="1"/>
  <c r="Q199" i="1"/>
  <c r="Q200" i="1"/>
  <c r="Q297" i="1"/>
  <c r="Q296" i="1"/>
  <c r="Q203" i="1"/>
  <c r="Q204" i="1"/>
  <c r="Q205" i="1"/>
  <c r="Q206" i="1"/>
  <c r="Q160" i="1"/>
  <c r="Q166" i="1"/>
  <c r="Q209" i="1"/>
  <c r="Q210" i="1"/>
  <c r="Q211" i="1"/>
  <c r="Q303" i="1"/>
  <c r="Q301" i="1"/>
  <c r="Q214" i="1"/>
  <c r="Q215" i="1"/>
  <c r="Q216" i="1"/>
  <c r="Q308" i="1"/>
  <c r="Q304" i="1"/>
  <c r="Q83" i="1"/>
  <c r="Q86" i="1"/>
  <c r="Q221" i="1"/>
  <c r="Q312" i="1"/>
  <c r="Q311" i="1"/>
  <c r="Q224" i="1"/>
  <c r="Q225" i="1"/>
  <c r="Q226" i="1"/>
  <c r="Q227" i="1"/>
  <c r="Q194" i="1"/>
  <c r="Q320" i="1"/>
  <c r="Q316" i="1"/>
  <c r="Q324" i="1"/>
  <c r="Q321" i="1"/>
  <c r="Q328" i="1"/>
  <c r="Q325" i="1"/>
  <c r="Q235" i="1"/>
  <c r="Q236" i="1"/>
  <c r="Q237" i="1"/>
  <c r="Q331" i="1"/>
  <c r="Q329" i="1"/>
  <c r="Q240" i="1"/>
  <c r="Q241" i="1"/>
  <c r="Q242" i="1"/>
  <c r="Q243" i="1"/>
  <c r="Q244" i="1"/>
  <c r="Q347" i="1"/>
  <c r="Q343" i="1"/>
  <c r="Q247" i="1"/>
  <c r="Q351" i="1"/>
  <c r="Q348" i="1"/>
  <c r="Q250" i="1"/>
  <c r="Q251" i="1"/>
  <c r="Q252" i="1"/>
  <c r="Q355" i="1"/>
  <c r="Q352" i="1"/>
  <c r="Q255" i="1"/>
  <c r="Q256" i="1"/>
  <c r="Q257" i="1"/>
  <c r="Q358" i="1"/>
  <c r="Q356" i="1"/>
  <c r="Q260" i="1"/>
  <c r="Q261" i="1"/>
  <c r="Q262" i="1"/>
  <c r="Q263" i="1"/>
  <c r="Q264" i="1"/>
  <c r="Q265" i="1"/>
  <c r="Q266" i="1"/>
  <c r="Q364" i="1"/>
  <c r="Q363" i="1"/>
  <c r="Q269" i="1"/>
  <c r="Q270" i="1"/>
  <c r="Q271" i="1"/>
  <c r="Q366" i="1"/>
  <c r="Q365" i="1"/>
  <c r="Q274" i="1"/>
  <c r="Q372" i="1"/>
  <c r="Q371" i="1"/>
  <c r="Q277" i="1"/>
  <c r="Q278" i="1"/>
  <c r="Q279" i="1"/>
  <c r="Q280" i="1"/>
  <c r="Q281" i="1"/>
  <c r="Q282" i="1"/>
  <c r="Q378" i="1"/>
  <c r="Q377" i="1"/>
  <c r="Q285" i="1"/>
  <c r="Q286" i="1"/>
  <c r="Q381" i="1"/>
  <c r="Q380" i="1"/>
  <c r="Q289" i="1"/>
  <c r="Q232" i="1"/>
  <c r="Q388" i="1"/>
  <c r="Q387" i="1"/>
  <c r="Q293" i="1"/>
  <c r="Q294" i="1"/>
  <c r="Q295" i="1"/>
  <c r="Q392" i="1"/>
  <c r="Q391" i="1"/>
  <c r="Q298" i="1"/>
  <c r="Q299" i="1"/>
  <c r="Q397" i="1"/>
  <c r="Q395" i="1"/>
  <c r="Q302" i="1"/>
  <c r="Q401" i="1"/>
  <c r="Q398" i="1"/>
  <c r="Q305" i="1"/>
  <c r="Q306" i="1"/>
  <c r="Q307" i="1"/>
  <c r="Q405" i="1"/>
  <c r="Q402" i="1"/>
  <c r="Q310" i="1"/>
  <c r="Q409" i="1"/>
  <c r="Q406" i="1"/>
  <c r="Q313" i="1"/>
  <c r="Q314" i="1"/>
  <c r="Q413" i="1"/>
  <c r="Q410" i="1"/>
  <c r="Q317" i="1"/>
  <c r="Q318" i="1"/>
  <c r="Q319" i="1"/>
  <c r="Q415" i="1"/>
  <c r="Q414" i="1"/>
  <c r="Q322" i="1"/>
  <c r="Q323" i="1"/>
  <c r="Q418" i="1"/>
  <c r="Q417" i="1"/>
  <c r="Q326" i="1"/>
  <c r="Q327" i="1"/>
  <c r="Q421" i="1"/>
  <c r="Q420" i="1"/>
  <c r="Q330" i="1"/>
  <c r="Q425" i="1"/>
  <c r="Q424" i="1"/>
  <c r="Q333" i="1"/>
  <c r="Q428" i="1"/>
  <c r="Q426" i="1"/>
  <c r="Q336" i="1"/>
  <c r="Q432" i="1"/>
  <c r="Q431" i="1"/>
  <c r="Q339" i="1"/>
  <c r="Q340" i="1"/>
  <c r="Q341" i="1"/>
  <c r="Q435" i="1"/>
  <c r="Q434" i="1"/>
  <c r="Q344" i="1"/>
  <c r="Q345" i="1"/>
  <c r="Q346" i="1"/>
  <c r="Q438" i="1"/>
  <c r="Q437" i="1"/>
  <c r="Q349" i="1"/>
  <c r="Q350" i="1"/>
  <c r="Q446" i="1"/>
  <c r="Q445" i="1"/>
  <c r="Q353" i="1"/>
  <c r="Q354" i="1"/>
  <c r="Q448" i="1"/>
  <c r="Q447" i="1"/>
  <c r="Q357" i="1"/>
  <c r="Q451" i="1"/>
  <c r="Q450" i="1"/>
  <c r="Q360" i="1"/>
  <c r="Q361" i="1"/>
  <c r="Q362" i="1"/>
  <c r="Q453" i="1"/>
  <c r="Q452" i="1"/>
  <c r="Q455" i="1"/>
  <c r="Q454" i="1"/>
  <c r="Q367" i="1"/>
  <c r="Q368" i="1"/>
  <c r="Q369" i="1"/>
  <c r="Q370" i="1"/>
  <c r="Q459" i="1"/>
  <c r="Q458" i="1"/>
  <c r="Q373" i="1"/>
  <c r="Q374" i="1"/>
  <c r="Q465" i="1"/>
  <c r="Q464" i="1"/>
  <c r="Q472" i="1"/>
  <c r="Q471" i="1"/>
  <c r="Q379" i="1"/>
  <c r="Q467" i="1"/>
  <c r="Q466" i="1"/>
  <c r="Q382" i="1"/>
  <c r="Q383" i="1"/>
  <c r="Q384" i="1"/>
  <c r="Q385" i="1"/>
  <c r="Q386" i="1"/>
  <c r="Q474" i="1"/>
  <c r="Q473" i="1"/>
  <c r="Q389" i="1"/>
  <c r="Q390" i="1"/>
  <c r="Q477" i="1"/>
  <c r="Q475" i="1"/>
  <c r="Q393" i="1"/>
  <c r="Q394" i="1"/>
  <c r="Q478" i="1"/>
  <c r="Q479" i="1"/>
  <c r="Q484" i="1"/>
  <c r="Q480" i="1"/>
  <c r="Q399" i="1"/>
  <c r="Q400" i="1"/>
  <c r="Q489" i="1"/>
  <c r="Q485" i="1"/>
  <c r="Q403" i="1"/>
  <c r="Q404" i="1"/>
  <c r="Q496" i="1"/>
  <c r="Q495" i="1"/>
  <c r="Q407" i="1"/>
  <c r="Q408" i="1"/>
  <c r="Q501" i="1"/>
  <c r="Q500" i="1"/>
  <c r="Q411" i="1"/>
  <c r="Q412" i="1"/>
  <c r="Q504" i="1"/>
  <c r="Q503" i="1"/>
  <c r="Q511" i="1"/>
  <c r="Q508" i="1"/>
  <c r="Q514" i="1"/>
  <c r="Q512" i="1"/>
  <c r="Q419" i="1"/>
  <c r="Q492" i="1"/>
  <c r="Q491" i="1"/>
  <c r="Q422" i="1"/>
  <c r="Q423" i="1"/>
  <c r="Q516" i="1"/>
  <c r="Q515" i="1"/>
  <c r="Q525" i="1"/>
  <c r="Q523" i="1"/>
  <c r="Q517" i="1"/>
  <c r="Q429" i="1"/>
  <c r="Q430" i="1"/>
  <c r="Q529" i="1"/>
  <c r="Q526" i="1"/>
  <c r="Q433" i="1"/>
  <c r="Q233" i="1"/>
  <c r="Q468" i="1"/>
  <c r="Q542" i="1"/>
  <c r="Q532" i="1"/>
  <c r="Q530" i="1"/>
  <c r="Q439" i="1"/>
  <c r="Q440" i="1"/>
  <c r="Q441" i="1"/>
  <c r="Q442" i="1"/>
  <c r="Q443" i="1"/>
  <c r="Q444" i="1"/>
  <c r="Q546" i="1"/>
  <c r="Q545" i="1"/>
  <c r="Q549" i="1"/>
  <c r="Q548" i="1"/>
  <c r="Q449" i="1"/>
  <c r="Q552" i="1"/>
  <c r="Q551" i="1"/>
  <c r="Q563" i="1"/>
  <c r="Q562" i="1"/>
  <c r="Q568" i="1"/>
  <c r="Q567" i="1"/>
  <c r="Q456" i="1"/>
  <c r="Q457" i="1"/>
  <c r="Q573" i="1"/>
  <c r="Q572" i="1"/>
  <c r="Q460" i="1"/>
  <c r="Q461" i="1"/>
  <c r="Q589" i="1"/>
  <c r="Q588" i="1"/>
  <c r="Q594" i="1"/>
  <c r="Q591" i="1"/>
  <c r="Q596" i="1"/>
  <c r="Q595" i="1"/>
  <c r="Q606" i="1"/>
  <c r="Q604" i="1"/>
  <c r="Q603" i="1"/>
  <c r="Q597" i="1"/>
  <c r="Q611" i="1"/>
  <c r="Q610" i="1"/>
  <c r="Q618" i="1"/>
  <c r="Q615" i="1"/>
  <c r="Q476" i="1"/>
  <c r="Q622" i="1"/>
  <c r="Q621" i="1"/>
  <c r="Q624" i="1"/>
  <c r="Q623" i="1"/>
  <c r="Q481" i="1"/>
  <c r="Q482" i="1"/>
  <c r="Q483" i="1"/>
  <c r="Q626" i="1"/>
  <c r="Q625" i="1"/>
  <c r="Q486" i="1"/>
  <c r="Q487" i="1"/>
  <c r="Q488" i="1"/>
  <c r="Q631" i="1"/>
  <c r="Q630" i="1"/>
  <c r="Q646" i="1"/>
  <c r="Q642" i="1"/>
  <c r="Q493" i="1"/>
  <c r="Q494" i="1"/>
  <c r="Q657" i="1"/>
  <c r="Q653" i="1"/>
  <c r="Q497" i="1"/>
  <c r="Q498" i="1"/>
  <c r="Q499" i="1"/>
  <c r="Q663" i="1"/>
  <c r="Q661" i="1"/>
  <c r="Q502" i="1"/>
  <c r="Q668" i="1"/>
  <c r="Q667" i="1"/>
  <c r="Q505" i="1"/>
  <c r="Q506" i="1"/>
  <c r="Q675" i="1"/>
  <c r="Q674" i="1"/>
  <c r="Q509" i="1"/>
  <c r="Q510" i="1"/>
  <c r="Q686" i="1"/>
  <c r="Q681" i="1"/>
  <c r="Q513" i="1"/>
  <c r="Q658" i="1"/>
  <c r="Q656" i="1"/>
  <c r="Q660" i="1"/>
  <c r="Q659" i="1"/>
  <c r="Q518" i="1"/>
  <c r="Q519" i="1"/>
  <c r="Q520" i="1"/>
  <c r="Q521" i="1"/>
  <c r="Q522" i="1"/>
  <c r="Q704" i="1"/>
  <c r="Q687" i="1"/>
  <c r="Q220" i="1"/>
  <c r="Q222" i="1"/>
  <c r="Q527" i="1"/>
  <c r="Q528" i="1"/>
  <c r="Q712" i="1"/>
  <c r="Q703" i="1"/>
  <c r="Q531" i="1"/>
  <c r="Q578" i="1"/>
  <c r="Q577" i="1"/>
  <c r="Q719" i="1"/>
  <c r="Q718" i="1"/>
  <c r="Q536" i="1"/>
  <c r="Q537" i="1"/>
  <c r="Q538" i="1"/>
  <c r="Q539" i="1"/>
  <c r="Q540" i="1"/>
  <c r="Q541" i="1"/>
  <c r="Q727" i="1"/>
  <c r="Q726" i="1"/>
  <c r="Q544" i="1"/>
  <c r="Q730" i="1"/>
  <c r="Q729" i="1"/>
  <c r="Q547" i="1"/>
  <c r="Q737" i="1"/>
  <c r="Q736" i="1"/>
  <c r="Q550" i="1"/>
  <c r="Q744" i="1"/>
  <c r="Q743" i="1"/>
  <c r="Q553" i="1"/>
  <c r="Q554" i="1"/>
  <c r="Q555" i="1"/>
  <c r="Q556" i="1"/>
  <c r="Q749" i="1"/>
  <c r="Q748" i="1"/>
  <c r="Q559" i="1"/>
  <c r="Q560" i="1"/>
  <c r="Q561" i="1"/>
  <c r="Q754" i="1"/>
  <c r="Q753" i="1"/>
  <c r="Q564" i="1"/>
  <c r="Q565" i="1"/>
  <c r="Q566" i="1"/>
  <c r="Q759" i="1"/>
  <c r="Q758" i="1"/>
  <c r="Q569" i="1"/>
  <c r="Q570" i="1"/>
  <c r="Q571" i="1"/>
  <c r="Q768" i="1"/>
  <c r="Q764" i="1"/>
  <c r="Q574" i="1"/>
  <c r="Q575" i="1"/>
  <c r="Q576" i="1"/>
  <c r="Q773" i="1"/>
  <c r="Q769" i="1"/>
  <c r="Q579" i="1"/>
  <c r="Q580" i="1"/>
  <c r="Q581" i="1"/>
  <c r="Q779" i="1"/>
  <c r="Q778" i="1"/>
  <c r="Q584" i="1"/>
  <c r="Q585" i="1"/>
  <c r="Q586" i="1"/>
  <c r="Q774" i="1"/>
  <c r="Q789" i="1"/>
  <c r="Q784" i="1"/>
  <c r="Q796" i="1"/>
  <c r="Q790" i="1"/>
  <c r="Q592" i="1"/>
  <c r="Q593" i="1"/>
  <c r="Q806" i="1"/>
  <c r="Q805" i="1"/>
  <c r="Q819" i="1"/>
  <c r="Q818" i="1"/>
  <c r="Q598" i="1"/>
  <c r="Q599" i="1"/>
  <c r="Q600" i="1"/>
  <c r="Q601" i="1"/>
  <c r="Q602" i="1"/>
  <c r="Q822" i="1"/>
  <c r="Q821" i="1"/>
  <c r="Q605" i="1"/>
  <c r="Q641" i="1"/>
  <c r="Q636" i="1"/>
  <c r="Q608" i="1"/>
  <c r="Q609" i="1"/>
  <c r="Q825" i="1"/>
  <c r="Q824" i="1"/>
  <c r="Q612" i="1"/>
  <c r="Q827" i="1"/>
  <c r="Q837" i="1"/>
  <c r="Q836" i="1"/>
  <c r="Q616" i="1"/>
  <c r="Q617" i="1"/>
  <c r="Q829" i="1"/>
  <c r="Q828" i="1"/>
  <c r="Q620" i="1"/>
  <c r="Q842" i="1"/>
  <c r="Q838" i="1"/>
  <c r="Q652" i="1"/>
  <c r="Q649" i="1"/>
  <c r="Q844" i="1"/>
  <c r="Q843" i="1"/>
  <c r="Q627" i="1"/>
  <c r="Q628" i="1"/>
  <c r="Q629" i="1"/>
  <c r="Q847" i="1"/>
  <c r="Q845" i="1"/>
  <c r="Q632" i="1"/>
  <c r="Q633" i="1"/>
  <c r="Q634" i="1"/>
  <c r="Q852" i="1"/>
  <c r="Q848" i="1"/>
  <c r="Q637" i="1"/>
  <c r="Q638" i="1"/>
  <c r="Q639" i="1"/>
  <c r="Q640" i="1"/>
  <c r="Q857" i="1"/>
  <c r="Q853" i="1"/>
  <c r="Q643" i="1"/>
  <c r="Q644" i="1"/>
  <c r="Q645" i="1"/>
  <c r="Q862" i="1"/>
  <c r="Q858" i="1"/>
  <c r="Q873" i="1"/>
  <c r="Q865" i="1"/>
  <c r="Q650" i="1"/>
  <c r="Q651" i="1"/>
  <c r="Q877" i="1"/>
  <c r="Q876" i="1"/>
  <c r="Q654" i="1"/>
  <c r="Q655" i="1"/>
  <c r="Q669" i="1"/>
  <c r="Q680" i="1"/>
  <c r="Q894" i="1"/>
  <c r="Q890" i="1"/>
  <c r="Q899" i="1"/>
  <c r="Q895" i="1"/>
  <c r="Q662" i="1"/>
  <c r="Q904" i="1"/>
  <c r="Q900" i="1"/>
  <c r="Q665" i="1"/>
  <c r="Q912" i="1"/>
  <c r="Q907" i="1"/>
  <c r="Q921" i="1"/>
  <c r="Q920" i="1"/>
  <c r="Q670" i="1"/>
  <c r="Q671" i="1"/>
  <c r="Q672" i="1"/>
  <c r="Q673" i="1"/>
  <c r="Q925" i="1"/>
  <c r="Q922" i="1"/>
  <c r="Q676" i="1"/>
  <c r="Q677" i="1"/>
  <c r="Q678" i="1"/>
  <c r="Q679" i="1"/>
  <c r="Q927" i="1"/>
  <c r="Q926" i="1"/>
  <c r="Q682" i="1"/>
  <c r="Q683" i="1"/>
  <c r="Q684" i="1"/>
  <c r="Q685" i="1"/>
  <c r="Q935" i="1"/>
  <c r="Q934" i="1"/>
  <c r="Q688" i="1"/>
  <c r="Q689" i="1"/>
  <c r="Q690" i="1"/>
  <c r="Q691" i="1"/>
  <c r="Q940" i="1"/>
  <c r="Q906" i="1"/>
  <c r="Q905" i="1"/>
  <c r="Q695" i="1"/>
  <c r="Q696" i="1"/>
  <c r="Q697" i="1"/>
  <c r="Q698" i="1"/>
  <c r="Q699" i="1"/>
  <c r="Q700" i="1"/>
  <c r="Q701" i="1"/>
  <c r="Q702" i="1"/>
  <c r="Q943" i="1"/>
  <c r="Q942" i="1"/>
  <c r="Q705" i="1"/>
  <c r="Q706" i="1"/>
  <c r="Q707" i="1"/>
  <c r="Q708" i="1"/>
  <c r="Q709" i="1"/>
  <c r="Q710" i="1"/>
  <c r="Q711" i="1"/>
  <c r="Q950" i="1"/>
  <c r="Q949" i="1"/>
  <c r="Q714" i="1"/>
  <c r="Q715" i="1"/>
  <c r="Q716" i="1"/>
  <c r="Q717" i="1"/>
  <c r="Q969" i="1"/>
  <c r="Q968" i="1"/>
  <c r="Q720" i="1"/>
  <c r="Q721" i="1"/>
  <c r="Q722" i="1"/>
  <c r="Q723" i="1"/>
  <c r="Q724" i="1"/>
  <c r="Q725" i="1"/>
  <c r="Q973" i="1"/>
  <c r="Q972" i="1"/>
  <c r="Q728" i="1"/>
  <c r="Q965" i="1"/>
  <c r="Q964" i="1"/>
  <c r="Q731" i="1"/>
  <c r="Q732" i="1"/>
  <c r="Q733" i="1"/>
  <c r="Q734" i="1"/>
  <c r="Q735" i="1"/>
  <c r="Q958" i="1"/>
  <c r="Q957" i="1"/>
  <c r="Q738" i="1"/>
  <c r="Q739" i="1"/>
  <c r="Q740" i="1"/>
  <c r="Q741" i="1"/>
  <c r="Q742" i="1"/>
  <c r="Q980" i="1"/>
  <c r="Q978" i="1"/>
  <c r="Q745" i="1"/>
  <c r="Q746" i="1"/>
  <c r="Q747" i="1"/>
  <c r="Q982" i="1"/>
  <c r="Q981" i="1"/>
  <c r="Q750" i="1"/>
  <c r="Q751" i="1"/>
  <c r="Q752" i="1"/>
  <c r="Q984" i="1"/>
  <c r="Q983" i="1"/>
  <c r="Q755" i="1"/>
  <c r="Q756" i="1"/>
  <c r="Q757" i="1"/>
  <c r="Q995" i="1"/>
  <c r="Q985" i="1"/>
  <c r="Q760" i="1"/>
  <c r="Q761" i="1"/>
  <c r="Q762" i="1"/>
  <c r="Q1001" i="1"/>
  <c r="Q996" i="1"/>
  <c r="Q765" i="1"/>
  <c r="Q766" i="1"/>
  <c r="Q767" i="1"/>
  <c r="Q1005" i="1"/>
  <c r="Q1003" i="1"/>
  <c r="Q770" i="1"/>
  <c r="Q771" i="1"/>
  <c r="Q772" i="1"/>
  <c r="Q1007" i="1"/>
  <c r="Q1006" i="1"/>
  <c r="Q775" i="1"/>
  <c r="Q776" i="1"/>
  <c r="Q777" i="1"/>
  <c r="Q1009" i="1"/>
  <c r="Q1008" i="1"/>
  <c r="Q780" i="1"/>
  <c r="Q781" i="1"/>
  <c r="Q782" i="1"/>
  <c r="Q1012" i="1"/>
  <c r="Q1010" i="1"/>
  <c r="Q785" i="1"/>
  <c r="Q786" i="1"/>
  <c r="Q787" i="1"/>
  <c r="Q788" i="1"/>
  <c r="Q1015" i="1"/>
  <c r="Q1014" i="1"/>
  <c r="Q791" i="1"/>
  <c r="Q792" i="1"/>
  <c r="Q793" i="1"/>
  <c r="Q794" i="1"/>
  <c r="Q795" i="1"/>
  <c r="Q1017" i="1"/>
  <c r="Q1016" i="1"/>
  <c r="Q798" i="1"/>
  <c r="Q799" i="1"/>
  <c r="Q800" i="1"/>
  <c r="Q801" i="1"/>
  <c r="Q802" i="1"/>
  <c r="Q1020" i="1"/>
  <c r="Q1018" i="1"/>
  <c r="Q1029" i="1"/>
  <c r="Q1028" i="1"/>
  <c r="Q807" i="1"/>
  <c r="Q808" i="1"/>
  <c r="Q1034" i="1"/>
  <c r="Q1031" i="1"/>
  <c r="Q811" i="1"/>
  <c r="Q812" i="1"/>
  <c r="Q813" i="1"/>
  <c r="Q814" i="1"/>
  <c r="Q815" i="1"/>
  <c r="Q816" i="1"/>
  <c r="Q817" i="1"/>
  <c r="Q1042" i="1"/>
  <c r="Q1039" i="1"/>
  <c r="Q820" i="1"/>
  <c r="Q1046" i="1"/>
  <c r="Q1043" i="1"/>
  <c r="Q823" i="1"/>
  <c r="Q1048" i="1"/>
  <c r="Q1047" i="1"/>
  <c r="Q1050" i="1"/>
  <c r="Q1049" i="1"/>
  <c r="Q1038" i="1"/>
  <c r="Q1035" i="1"/>
  <c r="Q830" i="1"/>
  <c r="Q831" i="1"/>
  <c r="Q832" i="1"/>
  <c r="Q833" i="1"/>
  <c r="Q834" i="1"/>
  <c r="Q835" i="1"/>
  <c r="Q1091" i="1"/>
  <c r="Q1055" i="1"/>
  <c r="Q1054" i="1"/>
  <c r="Q839" i="1"/>
  <c r="Q840" i="1"/>
  <c r="Q841" i="1"/>
  <c r="Q1053" i="1"/>
  <c r="Q1052" i="1"/>
  <c r="Q1059" i="1"/>
  <c r="Q1056" i="1"/>
  <c r="Q846" i="1"/>
  <c r="Q1064" i="1"/>
  <c r="Q1060" i="1"/>
  <c r="Q849" i="1"/>
  <c r="Q850" i="1"/>
  <c r="Q851" i="1"/>
  <c r="Q1067" i="1"/>
  <c r="Q1066" i="1"/>
  <c r="Q854" i="1"/>
  <c r="Q855" i="1"/>
  <c r="Q856" i="1"/>
  <c r="Q1072" i="1"/>
  <c r="Q1069" i="1"/>
  <c r="Q859" i="1"/>
  <c r="Q860" i="1"/>
  <c r="Q861" i="1"/>
  <c r="Q1082" i="1"/>
  <c r="Q1081" i="1"/>
  <c r="Q1078" i="1"/>
  <c r="Q1077" i="1"/>
  <c r="Q866" i="1"/>
  <c r="Q867" i="1"/>
  <c r="Q868" i="1"/>
  <c r="Q869" i="1"/>
  <c r="Q870" i="1"/>
  <c r="Q871" i="1"/>
  <c r="Q872" i="1"/>
  <c r="Q1087" i="1"/>
  <c r="Q1086" i="1"/>
  <c r="Q875" i="1"/>
  <c r="Q1089" i="1"/>
  <c r="Q1088" i="1"/>
  <c r="Q878" i="1"/>
  <c r="Q879" i="1"/>
  <c r="Q1096" i="1"/>
  <c r="Q1094" i="1"/>
  <c r="Q882" i="1"/>
  <c r="Q883" i="1"/>
  <c r="Q1100" i="1"/>
  <c r="Q1097" i="1"/>
  <c r="Q886" i="1"/>
  <c r="Q887" i="1"/>
  <c r="Q888" i="1"/>
  <c r="Q1104" i="1"/>
  <c r="Q1101" i="1"/>
  <c r="Q891" i="1"/>
  <c r="Q892" i="1"/>
  <c r="Q893" i="1"/>
  <c r="Q1106" i="1"/>
  <c r="Q1105" i="1"/>
  <c r="Q896" i="1"/>
  <c r="Q897" i="1"/>
  <c r="Q898" i="1"/>
  <c r="Q1116" i="1"/>
  <c r="Q1107" i="1"/>
  <c r="Q901" i="1"/>
  <c r="Q902" i="1"/>
  <c r="Q903" i="1"/>
  <c r="Q1118" i="1"/>
  <c r="Q1117" i="1"/>
  <c r="Q1120" i="1"/>
  <c r="Q1119" i="1"/>
  <c r="Q908" i="1"/>
  <c r="Q909" i="1"/>
  <c r="Q910" i="1"/>
  <c r="Q911" i="1"/>
  <c r="Q1123" i="1"/>
  <c r="Q1122" i="1"/>
  <c r="Q914" i="1"/>
  <c r="Q915" i="1"/>
  <c r="Q916" i="1"/>
  <c r="Q917" i="1"/>
  <c r="Q1073" i="1"/>
  <c r="Q1068" i="1"/>
  <c r="Q1065" i="1"/>
  <c r="Q1126" i="1"/>
  <c r="Q1125" i="1"/>
  <c r="Q923" i="1"/>
  <c r="Q924" i="1"/>
  <c r="Q1051" i="1"/>
  <c r="Q1130" i="1"/>
  <c r="Q1129" i="1"/>
  <c r="Q928" i="1"/>
  <c r="Q929" i="1"/>
  <c r="Q930" i="1"/>
  <c r="Q931" i="1"/>
  <c r="Q932" i="1"/>
  <c r="Q933" i="1"/>
  <c r="Q1132" i="1"/>
  <c r="Q1131" i="1"/>
  <c r="Q936" i="1"/>
  <c r="Q937" i="1"/>
  <c r="Q938" i="1"/>
  <c r="Q1135" i="1"/>
  <c r="Q1134" i="1"/>
  <c r="Q941" i="1"/>
  <c r="Q1141" i="1"/>
  <c r="Q1140" i="1"/>
  <c r="Q1137" i="1"/>
  <c r="Q1136" i="1"/>
  <c r="Q1133" i="1"/>
  <c r="Q1145" i="1"/>
  <c r="Q1142" i="1"/>
  <c r="Q1150" i="1"/>
  <c r="Q1149" i="1"/>
  <c r="Q951" i="1"/>
  <c r="Q952" i="1"/>
  <c r="Q953" i="1"/>
  <c r="Q954" i="1"/>
  <c r="Q955" i="1"/>
  <c r="Q956" i="1"/>
  <c r="Q1153" i="1"/>
  <c r="Q1152" i="1"/>
  <c r="Q959" i="1"/>
  <c r="Q960" i="1"/>
  <c r="Q961" i="1"/>
  <c r="Q962" i="1"/>
  <c r="Q963" i="1"/>
  <c r="Q1158" i="1"/>
  <c r="Q1157" i="1"/>
  <c r="Q966" i="1"/>
  <c r="Q967" i="1"/>
  <c r="Q1163" i="1"/>
  <c r="Q1162" i="1"/>
  <c r="Q970" i="1"/>
  <c r="Q971" i="1"/>
  <c r="Q1169" i="1"/>
  <c r="Q1167" i="1"/>
  <c r="Q974" i="1"/>
  <c r="Q975" i="1"/>
  <c r="Q976" i="1"/>
  <c r="Q1184" i="1"/>
  <c r="Q1183" i="1"/>
  <c r="Q979" i="1"/>
  <c r="Q1191" i="1"/>
  <c r="Q1190" i="1"/>
  <c r="Q1196" i="1"/>
  <c r="Q1193" i="1"/>
  <c r="Q1177" i="1"/>
  <c r="Q1176" i="1"/>
  <c r="Q986" i="1"/>
  <c r="Q987" i="1"/>
  <c r="Q988" i="1"/>
  <c r="Q989" i="1"/>
  <c r="Q990" i="1"/>
  <c r="Q991" i="1"/>
  <c r="Q992" i="1"/>
  <c r="Q993" i="1"/>
  <c r="Q994" i="1"/>
  <c r="Q1198" i="1"/>
  <c r="Q1197" i="1"/>
  <c r="Q997" i="1"/>
  <c r="Q998" i="1"/>
  <c r="Q999" i="1"/>
  <c r="Q1000" i="1"/>
  <c r="Q139" i="1"/>
  <c r="Q1205" i="1"/>
  <c r="Q1199" i="1"/>
  <c r="Q1004" i="1"/>
  <c r="Q1207" i="1"/>
  <c r="Q1206" i="1"/>
  <c r="Q1210" i="1"/>
  <c r="Q1209" i="1"/>
  <c r="Q1216" i="1"/>
  <c r="Q1212" i="1"/>
  <c r="Q1011" i="1"/>
  <c r="Q1226" i="1"/>
  <c r="Q1222" i="1"/>
  <c r="Q1228" i="1"/>
  <c r="Q1227" i="1"/>
  <c r="Q1232" i="1"/>
  <c r="Q1230" i="1"/>
  <c r="Q1237" i="1"/>
  <c r="Q1221" i="1"/>
  <c r="Q1217" i="1"/>
  <c r="Q1021" i="1"/>
  <c r="Q1022" i="1"/>
  <c r="Q1023" i="1"/>
  <c r="Q1024" i="1"/>
  <c r="Q1025" i="1"/>
  <c r="Q1026" i="1"/>
  <c r="Q1027" i="1"/>
  <c r="Q1242" i="1"/>
  <c r="Q1240" i="1"/>
  <c r="Q1245" i="1"/>
  <c r="Q1243" i="1"/>
  <c r="Q1032" i="1"/>
  <c r="Q1033" i="1"/>
  <c r="Q1248" i="1"/>
  <c r="Q1246" i="1"/>
  <c r="Q1036" i="1"/>
  <c r="Q1037" i="1"/>
  <c r="Q1251" i="1"/>
  <c r="Q1249" i="1"/>
  <c r="Q1040" i="1"/>
  <c r="Q1041" i="1"/>
  <c r="Q1261" i="1"/>
  <c r="Q1260" i="1"/>
  <c r="Q1044" i="1"/>
  <c r="Q1045" i="1"/>
  <c r="Q1270" i="1"/>
  <c r="Q1266" i="1"/>
  <c r="Q1274" i="1"/>
  <c r="Q1273" i="1"/>
  <c r="Q1265" i="1"/>
  <c r="Q1280" i="1"/>
  <c r="Q1279" i="1"/>
  <c r="Q797" i="1"/>
  <c r="Q804" i="1"/>
  <c r="Q1286" i="1"/>
  <c r="Q1283" i="1"/>
  <c r="Q1057" i="1"/>
  <c r="Q1058" i="1"/>
  <c r="Q1288" i="1"/>
  <c r="Q1287" i="1"/>
  <c r="Q1061" i="1"/>
  <c r="Q1062" i="1"/>
  <c r="Q1063" i="1"/>
  <c r="Q1305" i="1"/>
  <c r="Q1304" i="1"/>
  <c r="Q1313" i="1"/>
  <c r="Q1311" i="1"/>
  <c r="Q1293" i="1"/>
  <c r="Q1292" i="1"/>
  <c r="Q1070" i="1"/>
  <c r="Q1071" i="1"/>
  <c r="Q1317" i="1"/>
  <c r="Q1314" i="1"/>
  <c r="Q1074" i="1"/>
  <c r="Q1075" i="1"/>
  <c r="Q1076" i="1"/>
  <c r="Q1295" i="1"/>
  <c r="Q1294" i="1"/>
  <c r="Q1079" i="1"/>
  <c r="Q1080" i="1"/>
  <c r="Q1308" i="1"/>
  <c r="Q1306" i="1"/>
  <c r="Q1083" i="1"/>
  <c r="Q1084" i="1"/>
  <c r="Q1085" i="1"/>
  <c r="Q1166" i="1"/>
  <c r="Q1170" i="1"/>
  <c r="Q1146" i="1"/>
  <c r="Q1192" i="1"/>
  <c r="Q1208" i="1"/>
  <c r="Q1211" i="1"/>
  <c r="Q1338" i="1"/>
  <c r="Q1271" i="1"/>
  <c r="Q1275" i="1"/>
  <c r="Q1282" i="1"/>
  <c r="Q1323" i="1"/>
  <c r="Q1318" i="1"/>
  <c r="Q1098" i="1"/>
  <c r="Q1099" i="1"/>
  <c r="Q1326" i="1"/>
  <c r="Q1324" i="1"/>
  <c r="Q1102" i="1"/>
  <c r="Q1103" i="1"/>
  <c r="Q1329" i="1"/>
  <c r="Q1327" i="1"/>
  <c r="Q1309" i="1"/>
  <c r="Q1307" i="1"/>
  <c r="Q1108" i="1"/>
  <c r="Q1109" i="1"/>
  <c r="Q1110" i="1"/>
  <c r="Q1111" i="1"/>
  <c r="Q1112" i="1"/>
  <c r="Q1113" i="1"/>
  <c r="Q1114" i="1"/>
  <c r="Q1115" i="1"/>
  <c r="Q1297" i="1"/>
  <c r="Q1334" i="1"/>
  <c r="Q1332" i="1"/>
  <c r="Q1337" i="1"/>
  <c r="Q1335" i="1"/>
  <c r="Q1121" i="1"/>
  <c r="Q1341" i="1"/>
  <c r="Q1339" i="1"/>
  <c r="Q1124" i="1"/>
  <c r="Q1344" i="1"/>
  <c r="Q1342" i="1"/>
  <c r="Q1127" i="1"/>
  <c r="Q1347" i="1"/>
  <c r="Q1345" i="1"/>
  <c r="Q1350" i="1"/>
  <c r="Q1348" i="1"/>
  <c r="Q1353" i="1"/>
  <c r="Q1351" i="1"/>
  <c r="Q1356" i="1"/>
  <c r="Q1354" i="1"/>
  <c r="Q1331" i="1"/>
  <c r="Q1330" i="1"/>
  <c r="Q1138" i="1"/>
  <c r="Q1359" i="1"/>
  <c r="Q1357" i="1"/>
  <c r="Q1362" i="1"/>
  <c r="Q1360" i="1"/>
  <c r="Q1143" i="1"/>
  <c r="Q1144" i="1"/>
  <c r="Q1368" i="1"/>
  <c r="Q1366" i="1"/>
  <c r="Q1147" i="1"/>
  <c r="Q1148" i="1"/>
  <c r="Q1374" i="1"/>
  <c r="Q1372" i="1"/>
  <c r="Q1151" i="1"/>
  <c r="Q1377" i="1"/>
  <c r="Q1375" i="1"/>
  <c r="Q1154" i="1"/>
  <c r="Q1155" i="1"/>
  <c r="Q1156" i="1"/>
  <c r="Q1380" i="1"/>
  <c r="Q1378" i="1"/>
  <c r="Q1159" i="1"/>
  <c r="Q1160" i="1"/>
  <c r="Q1161" i="1"/>
  <c r="Q1383" i="1"/>
  <c r="Q1381" i="1"/>
  <c r="Q1164" i="1"/>
  <c r="Q1165" i="1"/>
  <c r="Q1386" i="1"/>
  <c r="Q1385" i="1"/>
  <c r="Q1168" i="1"/>
  <c r="Q1391" i="1"/>
  <c r="Q1389" i="1"/>
  <c r="Q1171" i="1"/>
  <c r="Q1172" i="1"/>
  <c r="Q1173" i="1"/>
  <c r="Q1174" i="1"/>
  <c r="Q1175" i="1"/>
  <c r="Q1396" i="1"/>
  <c r="Q1395" i="1"/>
  <c r="Q1178" i="1"/>
  <c r="Q1179" i="1"/>
  <c r="Q1180" i="1"/>
  <c r="Q1181" i="1"/>
  <c r="Q1182" i="1"/>
  <c r="Q1402" i="1"/>
  <c r="Q1401" i="1"/>
  <c r="Q1185" i="1"/>
  <c r="Q1186" i="1"/>
  <c r="Q1187" i="1"/>
  <c r="Q1188" i="1"/>
  <c r="Q1189" i="1"/>
  <c r="Q1400" i="1"/>
  <c r="Q1403" i="1"/>
  <c r="Q1408" i="1"/>
  <c r="Q1406" i="1"/>
  <c r="Q1194" i="1"/>
  <c r="Q1195" i="1"/>
  <c r="Q1412" i="1"/>
  <c r="Q1411" i="1"/>
  <c r="Q1414" i="1"/>
  <c r="Q1413" i="1"/>
  <c r="Q1200" i="1"/>
  <c r="Q1201" i="1"/>
  <c r="Q1202" i="1"/>
  <c r="Q1203" i="1"/>
  <c r="Q1204" i="1"/>
  <c r="Q1430" i="1"/>
  <c r="Q1421" i="1"/>
  <c r="Q1420" i="1"/>
  <c r="Q1417" i="1"/>
  <c r="Q880" i="1"/>
  <c r="Q884" i="1"/>
  <c r="Q1434" i="1"/>
  <c r="Q1431" i="1"/>
  <c r="Q1213" i="1"/>
  <c r="Q1214" i="1"/>
  <c r="Q1215" i="1"/>
  <c r="Q1438" i="1"/>
  <c r="Q1435" i="1"/>
  <c r="Q1218" i="1"/>
  <c r="Q1219" i="1"/>
  <c r="Q1220" i="1"/>
  <c r="Q1440" i="1"/>
  <c r="Q1439" i="1"/>
  <c r="Q1223" i="1"/>
  <c r="Q1224" i="1"/>
  <c r="Q1225" i="1"/>
  <c r="Q1444" i="1"/>
  <c r="Q1441" i="1"/>
  <c r="Q1448" i="1"/>
  <c r="Q1447" i="1"/>
  <c r="Q1289" i="1"/>
  <c r="Q1451" i="1"/>
  <c r="Q1450" i="1"/>
  <c r="Q1233" i="1"/>
  <c r="Q1234" i="1"/>
  <c r="Q1235" i="1"/>
  <c r="Q607" i="1"/>
  <c r="Q1453" i="1"/>
  <c r="Q1452" i="1"/>
  <c r="Q1455" i="1"/>
  <c r="Q1454" i="1"/>
  <c r="Q1241" i="1"/>
  <c r="Q1457" i="1"/>
  <c r="Q1456" i="1"/>
  <c r="Q1244" i="1"/>
  <c r="Q1460" i="1"/>
  <c r="Q1459" i="1"/>
  <c r="Q1247" i="1"/>
  <c r="Q1463" i="1"/>
  <c r="Q1462" i="1"/>
  <c r="Q1250" i="1"/>
  <c r="Q1466" i="1"/>
  <c r="Q1465" i="1"/>
  <c r="Q1253" i="1"/>
  <c r="Q1254" i="1"/>
  <c r="Q1255" i="1"/>
  <c r="Q1256" i="1"/>
  <c r="Q1469" i="1"/>
  <c r="Q1468" i="1"/>
  <c r="Q1259" i="1"/>
  <c r="Q1473" i="1"/>
  <c r="Q1472" i="1"/>
  <c r="Q1262" i="1"/>
  <c r="Q1263" i="1"/>
  <c r="Q1264" i="1"/>
  <c r="Q1477" i="1"/>
  <c r="Q1476" i="1"/>
  <c r="Q1267" i="1"/>
  <c r="Q1268" i="1"/>
  <c r="Q1269" i="1"/>
  <c r="Q1481" i="1"/>
  <c r="Q1480" i="1"/>
  <c r="Q1272" i="1"/>
  <c r="Q17" i="1"/>
  <c r="Q1486" i="1"/>
  <c r="Q1485" i="1"/>
  <c r="Q1276" i="1"/>
  <c r="Q1277" i="1"/>
  <c r="Q1278" i="1"/>
  <c r="Q1489" i="1"/>
  <c r="Q1488" i="1"/>
  <c r="Q1281" i="1"/>
  <c r="Q1492" i="1"/>
  <c r="Q1491" i="1"/>
  <c r="Q1284" i="1"/>
  <c r="Q1285" i="1"/>
  <c r="Q1498" i="1"/>
  <c r="Q1497" i="1"/>
  <c r="Q1503" i="1"/>
  <c r="Q1499" i="1"/>
  <c r="Q1290" i="1"/>
  <c r="Q1291" i="1"/>
  <c r="Q1514" i="1"/>
  <c r="Q1509" i="1"/>
  <c r="Q1517" i="1"/>
  <c r="Q1515" i="1"/>
  <c r="Q1296" i="1"/>
  <c r="Q1520" i="1"/>
  <c r="Q1519" i="1"/>
  <c r="Q1299" i="1"/>
  <c r="Q1300" i="1"/>
  <c r="Q1301" i="1"/>
  <c r="Q1302" i="1"/>
  <c r="Q1303" i="1"/>
  <c r="Q1529" i="1"/>
  <c r="Q1525" i="1"/>
  <c r="Q1533" i="1"/>
  <c r="Q1530" i="1"/>
  <c r="Q1537" i="1"/>
  <c r="Q1534" i="1"/>
  <c r="Q1547" i="1"/>
  <c r="Q1544" i="1"/>
  <c r="Q1312" i="1"/>
  <c r="Q1483" i="1"/>
  <c r="Q1482" i="1"/>
  <c r="Q1315" i="1"/>
  <c r="Q1316" i="1"/>
  <c r="Q1550" i="1"/>
  <c r="Q1548" i="1"/>
  <c r="Q1319" i="1"/>
  <c r="Q1320" i="1"/>
  <c r="Q1321" i="1"/>
  <c r="Q1322" i="1"/>
  <c r="Q1552" i="1"/>
  <c r="Q1551" i="1"/>
  <c r="Q1325" i="1"/>
  <c r="Q1558" i="1"/>
  <c r="Q1557" i="1"/>
  <c r="Q1328" i="1"/>
  <c r="Q1563" i="1"/>
  <c r="Q1560" i="1"/>
  <c r="Q1542" i="1"/>
  <c r="Q1538" i="1"/>
  <c r="Q1333" i="1"/>
  <c r="Q1569" i="1"/>
  <c r="Q1567" i="1"/>
  <c r="Q1336" i="1"/>
  <c r="Q1704" i="1"/>
  <c r="Q1564" i="1"/>
  <c r="Q1561" i="1"/>
  <c r="Q1340" i="1"/>
  <c r="Q1572" i="1"/>
  <c r="Q1571" i="1"/>
  <c r="Q1343" i="1"/>
  <c r="Q1615" i="1"/>
  <c r="Q1607" i="1"/>
  <c r="Q1346" i="1"/>
  <c r="Q1577" i="1"/>
  <c r="Q1576" i="1"/>
  <c r="Q1349" i="1"/>
  <c r="Q1620" i="1"/>
  <c r="Q1616" i="1"/>
  <c r="Q1352" i="1"/>
  <c r="Q1581" i="1"/>
  <c r="Q1580" i="1"/>
  <c r="Q1355" i="1"/>
  <c r="Q1623" i="1"/>
  <c r="Q1621" i="1"/>
  <c r="Q1358" i="1"/>
  <c r="Q1583" i="1"/>
  <c r="Q1582" i="1"/>
  <c r="Q1361" i="1"/>
  <c r="Q1641" i="1"/>
  <c r="Q1624" i="1"/>
  <c r="Q1364" i="1"/>
  <c r="Q1586" i="1"/>
  <c r="Q1584" i="1"/>
  <c r="Q1367" i="1"/>
  <c r="Q1644" i="1"/>
  <c r="Q1642" i="1"/>
  <c r="Q1370" i="1"/>
  <c r="Q1589" i="1"/>
  <c r="Q1587" i="1"/>
  <c r="Q1373" i="1"/>
  <c r="Q1648" i="1"/>
  <c r="Q1645" i="1"/>
  <c r="Q1376" i="1"/>
  <c r="Q1592" i="1"/>
  <c r="Q1590" i="1"/>
  <c r="Q1379" i="1"/>
  <c r="Q1606" i="1"/>
  <c r="Q1593" i="1"/>
  <c r="Q1382" i="1"/>
  <c r="Q1651" i="1"/>
  <c r="Q1649" i="1"/>
  <c r="Q1656" i="1"/>
  <c r="Q1652" i="1"/>
  <c r="Q1387" i="1"/>
  <c r="Q1388" i="1"/>
  <c r="Q1445" i="1"/>
  <c r="Q1660" i="1"/>
  <c r="Q1658" i="1"/>
  <c r="Q1392" i="1"/>
  <c r="Q1393" i="1"/>
  <c r="Q1394" i="1"/>
  <c r="Q1663" i="1"/>
  <c r="Q1661" i="1"/>
  <c r="Q1397" i="1"/>
  <c r="Q1398" i="1"/>
  <c r="Q1399" i="1"/>
  <c r="Q913" i="1"/>
  <c r="Q918" i="1"/>
  <c r="Q1252" i="1"/>
  <c r="Q1258" i="1"/>
  <c r="Q1404" i="1"/>
  <c r="Q1405" i="1"/>
  <c r="Q182" i="1"/>
  <c r="Q1668" i="1"/>
  <c r="Q1664" i="1"/>
  <c r="Q1409" i="1"/>
  <c r="Q1410" i="1"/>
  <c r="Q1671" i="1"/>
  <c r="Q1669" i="1"/>
  <c r="Q1518" i="1"/>
  <c r="Q1516" i="1"/>
  <c r="Q1415" i="1"/>
  <c r="Q1674" i="1"/>
  <c r="Q1672" i="1"/>
  <c r="Q1418" i="1"/>
  <c r="Q1419" i="1"/>
  <c r="Q1692" i="1"/>
  <c r="Q1691" i="1"/>
  <c r="Q1422" i="1"/>
  <c r="Q1423" i="1"/>
  <c r="Q1424" i="1"/>
  <c r="Q1425" i="1"/>
  <c r="Q1426" i="1"/>
  <c r="Q1427" i="1"/>
  <c r="Q1428" i="1"/>
  <c r="Q1429" i="1"/>
  <c r="Q1695" i="1"/>
  <c r="Q1693" i="1"/>
  <c r="Q1432" i="1"/>
  <c r="Q1433" i="1"/>
  <c r="Q1703" i="1"/>
  <c r="Q1697" i="1"/>
  <c r="Q1436" i="1"/>
  <c r="Q1437" i="1"/>
  <c r="Q1720" i="1"/>
  <c r="Q1716" i="1"/>
  <c r="Q1712" i="1"/>
  <c r="Q1711" i="1"/>
  <c r="Q1442" i="1"/>
  <c r="Q1443" i="1"/>
  <c r="Q1726" i="1"/>
  <c r="Q1725" i="1"/>
  <c r="Q1446" i="1"/>
  <c r="Q1729" i="1"/>
  <c r="Q1728" i="1"/>
  <c r="Q1449" i="1"/>
  <c r="Q1732" i="1"/>
  <c r="Q1731" i="1"/>
  <c r="Q1747" i="1"/>
  <c r="Q1733" i="1"/>
  <c r="Q1755" i="1"/>
  <c r="Q1748" i="1"/>
  <c r="Q1775" i="1"/>
  <c r="Q1774" i="1"/>
  <c r="Q1458" i="1"/>
  <c r="Q1783" i="1"/>
  <c r="Q1782" i="1"/>
  <c r="Q1461" i="1"/>
  <c r="Q1781" i="1"/>
  <c r="Q1776" i="1"/>
  <c r="Q1464" i="1"/>
  <c r="Q1785" i="1"/>
  <c r="Q1784" i="1"/>
  <c r="Q1467" i="1"/>
  <c r="Q1790" i="1"/>
  <c r="Q1789" i="1"/>
  <c r="Q1470" i="1"/>
  <c r="Q1471" i="1"/>
  <c r="Q1795" i="1"/>
  <c r="Q1794" i="1"/>
  <c r="Q1474" i="1"/>
  <c r="Q1475" i="1"/>
  <c r="Q1802" i="1"/>
  <c r="Q1801" i="1"/>
  <c r="Q1478" i="1"/>
  <c r="Q1479" i="1"/>
  <c r="Q1773" i="1"/>
  <c r="Q1756" i="1"/>
  <c r="Q1805" i="1"/>
  <c r="Q1804" i="1"/>
  <c r="Q1484" i="1"/>
  <c r="Q1811" i="1"/>
  <c r="Q1810" i="1"/>
  <c r="Q1487" i="1"/>
  <c r="Q1808" i="1"/>
  <c r="Q1807" i="1"/>
  <c r="Q1490" i="1"/>
  <c r="Q1799" i="1"/>
  <c r="Q1797" i="1"/>
  <c r="Q1493" i="1"/>
  <c r="Q1494" i="1"/>
  <c r="Q1495" i="1"/>
  <c r="Q1496" i="1"/>
  <c r="Q1816" i="1"/>
  <c r="Q1828" i="1"/>
  <c r="Q1823" i="1"/>
  <c r="Q1500" i="1"/>
  <c r="Q1501" i="1"/>
  <c r="Q1502" i="1"/>
  <c r="Q1839" i="1"/>
  <c r="Q1838" i="1"/>
  <c r="Q1505" i="1"/>
  <c r="Q1506" i="1"/>
  <c r="Q1853" i="1"/>
  <c r="Q1852" i="1"/>
  <c r="Q1851" i="1"/>
  <c r="Q1510" i="1"/>
  <c r="Q1511" i="1"/>
  <c r="Q1512" i="1"/>
  <c r="Q1513" i="1"/>
  <c r="Q1858" i="1"/>
  <c r="Q1856" i="1"/>
  <c r="Q1861" i="1"/>
  <c r="Q1860" i="1"/>
  <c r="Q1869" i="1"/>
  <c r="Q1868" i="1"/>
  <c r="Q1872" i="1"/>
  <c r="Q1871" i="1"/>
  <c r="Q1522" i="1"/>
  <c r="Q1523" i="1"/>
  <c r="Q1882" i="1"/>
  <c r="Q1879" i="1"/>
  <c r="Q1526" i="1"/>
  <c r="Q1527" i="1"/>
  <c r="Q1528" i="1"/>
  <c r="Q1884" i="1"/>
  <c r="Q1883" i="1"/>
  <c r="Q1531" i="1"/>
  <c r="Q1532" i="1"/>
  <c r="Q1888" i="1"/>
  <c r="Q1887" i="1"/>
  <c r="Q1535" i="1"/>
  <c r="Q1536" i="1"/>
  <c r="Q1890" i="1"/>
  <c r="Q1889" i="1"/>
  <c r="Q1539" i="1"/>
  <c r="Q1540" i="1"/>
  <c r="Q1541" i="1"/>
  <c r="Q1090" i="1"/>
  <c r="Q1892" i="1"/>
  <c r="Q1891" i="1"/>
  <c r="Q1545" i="1"/>
  <c r="Q1546" i="1"/>
  <c r="Q1901" i="1"/>
  <c r="Q1900" i="1"/>
  <c r="Q1549" i="1"/>
  <c r="Q1721" i="1"/>
  <c r="Q1866" i="1"/>
  <c r="Q1865" i="1"/>
  <c r="Q1553" i="1"/>
  <c r="Q1554" i="1"/>
  <c r="Q1555" i="1"/>
  <c r="Q1556" i="1"/>
  <c r="Q1915" i="1"/>
  <c r="Q1912" i="1"/>
  <c r="Q1559" i="1"/>
  <c r="Q1906" i="1"/>
  <c r="Q1902" i="1"/>
  <c r="Q1562" i="1"/>
  <c r="Q1911" i="1"/>
  <c r="Q1907" i="1"/>
  <c r="Q1565" i="1"/>
  <c r="Q1566" i="1"/>
  <c r="Q1030" i="1"/>
  <c r="Q1918" i="1"/>
  <c r="Q1916" i="1"/>
  <c r="Q1570" i="1"/>
  <c r="Q1949" i="1"/>
  <c r="Q1919" i="1"/>
  <c r="Q1573" i="1"/>
  <c r="Q1574" i="1"/>
  <c r="Q1575" i="1"/>
  <c r="Q1955" i="1"/>
  <c r="Q1952" i="1"/>
  <c r="Q1578" i="1"/>
  <c r="Q1579" i="1"/>
  <c r="Q1951" i="1"/>
  <c r="Q1948" i="1"/>
  <c r="Q582" i="1"/>
  <c r="Q1961" i="1"/>
  <c r="Q1956" i="1"/>
  <c r="Q1585" i="1"/>
  <c r="Q1966" i="1"/>
  <c r="Q1962" i="1"/>
  <c r="Q1588" i="1"/>
  <c r="Q1971" i="1"/>
  <c r="Q1967" i="1"/>
  <c r="Q1591" i="1"/>
  <c r="Q1992" i="1"/>
  <c r="Q1990" i="1"/>
  <c r="Q1594" i="1"/>
  <c r="Q1595" i="1"/>
  <c r="Q1596" i="1"/>
  <c r="Q1597" i="1"/>
  <c r="Q1598" i="1"/>
  <c r="Q1599" i="1"/>
  <c r="Q1600" i="1"/>
  <c r="Q1601" i="1"/>
  <c r="Q1602" i="1"/>
  <c r="Q1603" i="1"/>
  <c r="Q1604" i="1"/>
  <c r="Q1605" i="1"/>
  <c r="Q1983" i="1"/>
  <c r="Q1980" i="1"/>
  <c r="Q1608" i="1"/>
  <c r="Q1609" i="1"/>
  <c r="Q1610" i="1"/>
  <c r="Q1611" i="1"/>
  <c r="Q1612" i="1"/>
  <c r="Q1613" i="1"/>
  <c r="Q1614" i="1"/>
  <c r="Q1977" i="1"/>
  <c r="Q1972" i="1"/>
  <c r="Q1617" i="1"/>
  <c r="Q1618" i="1"/>
  <c r="Q1619" i="1"/>
  <c r="Q1997" i="1"/>
  <c r="Q1995" i="1"/>
  <c r="Q1622" i="1"/>
  <c r="Q1999" i="1"/>
  <c r="Q1998" i="1"/>
  <c r="Q1625" i="1"/>
  <c r="Q1626" i="1"/>
  <c r="Q1627" i="1"/>
  <c r="Q1628" i="1"/>
  <c r="Q1629" i="1"/>
  <c r="Q1630" i="1"/>
  <c r="Q1631" i="1"/>
  <c r="Q1632" i="1"/>
  <c r="Q1633" i="1"/>
  <c r="Q1634" i="1"/>
  <c r="Q1635" i="1"/>
  <c r="Q1636" i="1"/>
  <c r="Q1637" i="1"/>
  <c r="Q1638" i="1"/>
  <c r="Q1639" i="1"/>
  <c r="Q1640" i="1"/>
  <c r="Q2004" i="1"/>
  <c r="Q2003" i="1"/>
  <c r="Q1643" i="1"/>
  <c r="Q2174" i="1"/>
  <c r="Q1991" i="1"/>
  <c r="Q1646" i="1"/>
  <c r="Q1647" i="1"/>
  <c r="Q2021" i="1"/>
  <c r="Q2017" i="1"/>
  <c r="Q1650" i="1"/>
  <c r="Q2023" i="1"/>
  <c r="Q2022" i="1"/>
  <c r="Q1653" i="1"/>
  <c r="Q1654" i="1"/>
  <c r="Q1655" i="1"/>
  <c r="Q647" i="1"/>
  <c r="Q2026" i="1"/>
  <c r="Q2025" i="1"/>
  <c r="Q1659" i="1"/>
  <c r="Q2056" i="1"/>
  <c r="Q2055" i="1"/>
  <c r="Q1662" i="1"/>
  <c r="Q2060" i="1"/>
  <c r="Q2059" i="1"/>
  <c r="Q1665" i="1"/>
  <c r="Q1666" i="1"/>
  <c r="Q1667" i="1"/>
  <c r="Q2062" i="1"/>
  <c r="Q2061" i="1"/>
  <c r="Q1670" i="1"/>
  <c r="Q2016" i="1"/>
  <c r="Q2007" i="1"/>
  <c r="Q1673" i="1"/>
  <c r="Q2068" i="1"/>
  <c r="Q2067" i="1"/>
  <c r="Q1676" i="1"/>
  <c r="Q977" i="1"/>
  <c r="Q107" i="1"/>
  <c r="Q2075" i="1"/>
  <c r="Q2073" i="1"/>
  <c r="Q1681" i="1"/>
  <c r="Q1682" i="1"/>
  <c r="Q2077" i="1"/>
  <c r="Q2076" i="1"/>
  <c r="Q1685" i="1"/>
  <c r="Q2079" i="1"/>
  <c r="Q2078" i="1"/>
  <c r="Q1688" i="1"/>
  <c r="Q1095" i="1"/>
  <c r="Q1979" i="1"/>
  <c r="Q1976" i="1"/>
  <c r="Q2083" i="1"/>
  <c r="Q2080" i="1"/>
  <c r="Q1694" i="1"/>
  <c r="Q2084" i="1"/>
  <c r="Q2071" i="1"/>
  <c r="Q2070" i="1"/>
  <c r="Q1698" i="1"/>
  <c r="Q1699" i="1"/>
  <c r="Q1700" i="1"/>
  <c r="Q1701" i="1"/>
  <c r="Q1702" i="1"/>
  <c r="Q524" i="1"/>
  <c r="Q2120" i="1"/>
  <c r="Q2111" i="1"/>
  <c r="Q1706" i="1"/>
  <c r="Q1707" i="1"/>
  <c r="Q1708" i="1"/>
  <c r="Q1709" i="1"/>
  <c r="Q1710" i="1"/>
  <c r="Q2137" i="1"/>
  <c r="Q2136" i="1"/>
  <c r="Q1713" i="1"/>
  <c r="Q1714" i="1"/>
  <c r="Q2141" i="1"/>
  <c r="Q2140" i="1"/>
  <c r="Q1717" i="1"/>
  <c r="Q1718" i="1"/>
  <c r="Q1719" i="1"/>
  <c r="Q436" i="1"/>
  <c r="Q2143" i="1"/>
  <c r="Q2142" i="1"/>
  <c r="Q1723" i="1"/>
  <c r="Q1724" i="1"/>
  <c r="Q2145" i="1"/>
  <c r="Q2144" i="1"/>
  <c r="Q1727" i="1"/>
  <c r="Q2156" i="1"/>
  <c r="Q2155" i="1"/>
  <c r="Q1730" i="1"/>
  <c r="Q2090" i="1"/>
  <c r="Q2098" i="1"/>
  <c r="Q2093" i="1"/>
  <c r="Q1734" i="1"/>
  <c r="Q1735" i="1"/>
  <c r="Q1736" i="1"/>
  <c r="Q1737" i="1"/>
  <c r="Q1738" i="1"/>
  <c r="Q1739" i="1"/>
  <c r="Q1740" i="1"/>
  <c r="Q1741" i="1"/>
  <c r="Q1742" i="1"/>
  <c r="Q1743" i="1"/>
  <c r="Q1744" i="1"/>
  <c r="Q1745" i="1"/>
  <c r="Q1746" i="1"/>
  <c r="Q2175" i="1"/>
  <c r="Q2173" i="1"/>
  <c r="Q1749" i="1"/>
  <c r="Q1750" i="1"/>
  <c r="Q1751" i="1"/>
  <c r="Q1752" i="1"/>
  <c r="Q1753" i="1"/>
  <c r="Q1754" i="1"/>
  <c r="Q2185" i="1"/>
  <c r="Q2184" i="1"/>
  <c r="Q1757" i="1"/>
  <c r="Q1758" i="1"/>
  <c r="Q1759" i="1"/>
  <c r="Q1760" i="1"/>
  <c r="Q1761" i="1"/>
  <c r="Q1762" i="1"/>
  <c r="Q1763" i="1"/>
  <c r="Q1764" i="1"/>
  <c r="Q1765" i="1"/>
  <c r="Q1766" i="1"/>
  <c r="Q1767" i="1"/>
  <c r="Q1768" i="1"/>
  <c r="Q1769" i="1"/>
  <c r="Q1770" i="1"/>
  <c r="Q1771" i="1"/>
  <c r="Q1772" i="1"/>
  <c r="Q2190" i="1"/>
  <c r="Q2189" i="1"/>
  <c r="Q2194" i="1"/>
  <c r="Q2193" i="1"/>
  <c r="Q1777" i="1"/>
  <c r="Q1778" i="1"/>
  <c r="Q1779" i="1"/>
  <c r="Q1780" i="1"/>
  <c r="Q1019" i="1"/>
  <c r="Q939" i="1"/>
  <c r="Q2199" i="1"/>
  <c r="Q2196" i="1"/>
  <c r="Q2195" i="1"/>
  <c r="Q1786" i="1"/>
  <c r="Q1787" i="1"/>
  <c r="Q1788" i="1"/>
  <c r="Q2208" i="1"/>
  <c r="Q2207" i="1"/>
  <c r="Q1791" i="1"/>
  <c r="Q1792" i="1"/>
  <c r="Q1793" i="1"/>
  <c r="Q2209" i="1"/>
  <c r="Q2213" i="1"/>
  <c r="Q2218" i="1"/>
  <c r="Q2217" i="1"/>
  <c r="Q1798" i="1"/>
  <c r="Q2222" i="1"/>
  <c r="Q2221" i="1"/>
  <c r="Q2229" i="1"/>
  <c r="Q2228" i="1"/>
  <c r="Q1803" i="1"/>
  <c r="Q2236" i="1"/>
  <c r="Q2235" i="1"/>
  <c r="Q1806" i="1"/>
  <c r="Q2233" i="1"/>
  <c r="Q2232" i="1"/>
  <c r="Q1809" i="1"/>
  <c r="Q2239" i="1"/>
  <c r="Q2238" i="1"/>
  <c r="Q1812" i="1"/>
  <c r="Q1813" i="1"/>
  <c r="Q1814" i="1"/>
  <c r="Q1815" i="1"/>
  <c r="Q2244" i="1"/>
  <c r="Q2243" i="1"/>
  <c r="Q1818" i="1"/>
  <c r="Q1819" i="1"/>
  <c r="Q1820" i="1"/>
  <c r="Q1821" i="1"/>
  <c r="Q2251" i="1"/>
  <c r="Q2250" i="1"/>
  <c r="Q1824" i="1"/>
  <c r="Q1825" i="1"/>
  <c r="Q1826" i="1"/>
  <c r="Q1827" i="1"/>
  <c r="Q2258" i="1"/>
  <c r="Q2257" i="1"/>
  <c r="Q1830" i="1"/>
  <c r="Q1831" i="1"/>
  <c r="Q1832" i="1"/>
  <c r="Q2261" i="1"/>
  <c r="Q2260" i="1"/>
  <c r="Q1835" i="1"/>
  <c r="Q1836" i="1"/>
  <c r="Q1837" i="1"/>
  <c r="Q2246" i="1"/>
  <c r="Q2245" i="1"/>
  <c r="Q1840" i="1"/>
  <c r="Q1841" i="1"/>
  <c r="Q1842" i="1"/>
  <c r="Q1843" i="1"/>
  <c r="Q2271" i="1"/>
  <c r="Q2270" i="1"/>
  <c r="Q1846" i="1"/>
  <c r="Q1847" i="1"/>
  <c r="Q1848" i="1"/>
  <c r="Q1849" i="1"/>
  <c r="Q2006" i="1"/>
  <c r="Q2214" i="1"/>
  <c r="Q2170" i="1"/>
  <c r="Q2169" i="1"/>
  <c r="Q2268" i="1"/>
  <c r="Q2266" i="1"/>
  <c r="Q2210" i="1"/>
  <c r="Q2277" i="1"/>
  <c r="Q2276" i="1"/>
  <c r="Q1859" i="1"/>
  <c r="Q2275" i="1"/>
  <c r="Q2273" i="1"/>
  <c r="Q1862" i="1"/>
  <c r="Q1863" i="1"/>
  <c r="Q1864" i="1"/>
  <c r="Q100" i="1"/>
  <c r="Q101" i="1"/>
  <c r="Q1867" i="1"/>
  <c r="Q2296" i="1"/>
  <c r="Q2295" i="1"/>
  <c r="Q1870" i="1"/>
  <c r="Q2291" i="1"/>
  <c r="Q2284" i="1"/>
  <c r="Q1873" i="1"/>
  <c r="Q1874" i="1"/>
  <c r="Q1875" i="1"/>
  <c r="Q1876" i="1"/>
  <c r="Q1877" i="1"/>
  <c r="Q1878" i="1"/>
  <c r="Q692" i="1"/>
  <c r="Q783" i="1"/>
  <c r="Q1893" i="1"/>
  <c r="Q2099" i="1"/>
  <c r="Q2329" i="1"/>
  <c r="Q2326" i="1"/>
  <c r="Q1885" i="1"/>
  <c r="Q1886" i="1"/>
  <c r="Q2121" i="1"/>
  <c r="Q2112" i="1"/>
  <c r="Q2334" i="1"/>
  <c r="Q2333" i="1"/>
  <c r="Q2338" i="1"/>
  <c r="Q2337" i="1"/>
  <c r="Q881" i="1"/>
  <c r="Q2315" i="1"/>
  <c r="Q2314" i="1"/>
  <c r="Q1896" i="1"/>
  <c r="Q1897" i="1"/>
  <c r="Q1898" i="1"/>
  <c r="Q2306" i="1"/>
  <c r="Q2301" i="1"/>
  <c r="Q2341" i="1"/>
  <c r="Q2340" i="1"/>
  <c r="Q1903" i="1"/>
  <c r="Q1904" i="1"/>
  <c r="Q1905" i="1"/>
  <c r="Q2343" i="1"/>
  <c r="Q2342" i="1"/>
  <c r="Q1908" i="1"/>
  <c r="Q1909" i="1"/>
  <c r="Q1910" i="1"/>
  <c r="Q2359" i="1"/>
  <c r="Q2358" i="1"/>
  <c r="Q1913" i="1"/>
  <c r="Q1914" i="1"/>
  <c r="Q2353" i="1"/>
  <c r="Q2352" i="1"/>
  <c r="Q1917" i="1"/>
  <c r="Q2346" i="1"/>
  <c r="Q2345"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2308" i="1"/>
  <c r="Q2302" i="1"/>
  <c r="Q1950" i="1"/>
  <c r="Q2362" i="1"/>
  <c r="Q2361" i="1"/>
  <c r="Q1953" i="1"/>
  <c r="Q1954" i="1"/>
  <c r="Q2309" i="1"/>
  <c r="Q2305" i="1"/>
  <c r="Q1957" i="1"/>
  <c r="Q1958" i="1"/>
  <c r="Q1959" i="1"/>
  <c r="Q1960" i="1"/>
  <c r="Q2370" i="1"/>
  <c r="Q2369" i="1"/>
  <c r="Q1963" i="1"/>
  <c r="Q1964" i="1"/>
  <c r="Q1965" i="1"/>
  <c r="Q2373" i="1"/>
  <c r="Q2372" i="1"/>
  <c r="Q1968" i="1"/>
  <c r="Q1969" i="1"/>
  <c r="Q1970" i="1"/>
  <c r="Q2378" i="1"/>
  <c r="Q2376" i="1"/>
  <c r="Q1973" i="1"/>
  <c r="Q1974" i="1"/>
  <c r="Q1975" i="1"/>
  <c r="Q2380" i="1"/>
  <c r="Q2379" i="1"/>
  <c r="Q1978" i="1"/>
  <c r="Q2384" i="1"/>
  <c r="Q2383" i="1"/>
  <c r="Q1981" i="1"/>
  <c r="Q1982" i="1"/>
  <c r="Q2394" i="1"/>
  <c r="Q2393" i="1"/>
  <c r="Q1985" i="1"/>
  <c r="Q1986" i="1"/>
  <c r="Q1987" i="1"/>
  <c r="Q1988" i="1"/>
  <c r="Q2398" i="1"/>
  <c r="Q2397" i="1"/>
  <c r="Q2401" i="1"/>
  <c r="Q2400" i="1"/>
  <c r="Q1993" i="1"/>
  <c r="Q2404" i="1"/>
  <c r="Q2403" i="1"/>
  <c r="Q1996" i="1"/>
  <c r="Q2422" i="1"/>
  <c r="Q2421" i="1"/>
  <c r="Q2427" i="1"/>
  <c r="Q2423" i="1"/>
  <c r="Q2001" i="1"/>
  <c r="Q2002" i="1"/>
  <c r="Q2434" i="1"/>
  <c r="Q2432" i="1"/>
  <c r="Q2005" i="1"/>
  <c r="Q2431" i="1"/>
  <c r="Q2430" i="1"/>
  <c r="Q2008" i="1"/>
  <c r="Q2009" i="1"/>
  <c r="Q2010" i="1"/>
  <c r="Q2011" i="1"/>
  <c r="Q2012" i="1"/>
  <c r="Q2013" i="1"/>
  <c r="Q2014" i="1"/>
  <c r="Q2015" i="1"/>
  <c r="Q2437" i="1"/>
  <c r="Q2435" i="1"/>
  <c r="Q2018" i="1"/>
  <c r="Q2019" i="1"/>
  <c r="Q2020" i="1"/>
  <c r="Q507" i="1"/>
  <c r="Q2447" i="1"/>
  <c r="Q2444" i="1"/>
  <c r="Q2024" i="1"/>
  <c r="Q2441" i="1"/>
  <c r="Q2438"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294" i="1"/>
  <c r="Q2290" i="1"/>
  <c r="Q2057" i="1"/>
  <c r="Q2058" i="1"/>
  <c r="Q2450" i="1"/>
  <c r="Q2448" i="1"/>
  <c r="Q2461" i="1"/>
  <c r="Q2455" i="1"/>
  <c r="Q2063" i="1"/>
  <c r="Q2064" i="1"/>
  <c r="Q2065" i="1"/>
  <c r="Q2066" i="1"/>
  <c r="Q2466" i="1"/>
  <c r="Q2462" i="1"/>
  <c r="Q2069" i="1"/>
  <c r="Q2470" i="1"/>
  <c r="Q2467" i="1"/>
  <c r="Q2474" i="1"/>
  <c r="Q2471" i="1"/>
  <c r="Q2074" i="1"/>
  <c r="Q2428" i="1"/>
  <c r="Q2425" i="1"/>
  <c r="Q863" i="1"/>
  <c r="Q864" i="1"/>
  <c r="Q2485" i="1"/>
  <c r="Q2484" i="1"/>
  <c r="Q2081" i="1"/>
  <c r="Q2082" i="1"/>
  <c r="Q2479" i="1"/>
  <c r="Q2475" i="1"/>
  <c r="Q2085" i="1"/>
  <c r="Q2086" i="1"/>
  <c r="Q2087" i="1"/>
  <c r="Q2088" i="1"/>
  <c r="Q2089" i="1"/>
  <c r="Q2490" i="1"/>
  <c r="Q2489" i="1"/>
  <c r="Q2501" i="1"/>
  <c r="Q2492" i="1"/>
  <c r="Q2094" i="1"/>
  <c r="Q2095" i="1"/>
  <c r="Q2096" i="1"/>
  <c r="Q2097" i="1"/>
  <c r="Q826" i="1"/>
  <c r="Q2454" i="1"/>
  <c r="Q2451" i="1"/>
  <c r="Q2101" i="1"/>
  <c r="Q2521" i="1"/>
  <c r="Q2520" i="1"/>
  <c r="Q2104" i="1"/>
  <c r="Q2526" i="1"/>
  <c r="Q2522" i="1"/>
  <c r="Q2107" i="1"/>
  <c r="Q2108" i="1"/>
  <c r="Q2109" i="1"/>
  <c r="Q2110" i="1"/>
  <c r="Q2529" i="1"/>
  <c r="Q2528" i="1"/>
  <c r="Q2113" i="1"/>
  <c r="Q2114" i="1"/>
  <c r="Q2115" i="1"/>
  <c r="Q2116" i="1"/>
  <c r="Q2117" i="1"/>
  <c r="Q2118" i="1"/>
  <c r="Q2119" i="1"/>
  <c r="Q2535" i="1"/>
  <c r="Q2532" i="1"/>
  <c r="Q2122" i="1"/>
  <c r="Q2123" i="1"/>
  <c r="Q2124" i="1"/>
  <c r="Q2125" i="1"/>
  <c r="Q2126" i="1"/>
  <c r="Q2127" i="1"/>
  <c r="Q2128" i="1"/>
  <c r="Q2129" i="1"/>
  <c r="Q2130" i="1"/>
  <c r="Q2131" i="1"/>
  <c r="Q2132" i="1"/>
  <c r="Q2133" i="1"/>
  <c r="Q2134" i="1"/>
  <c r="Q2135" i="1"/>
  <c r="Q2563" i="1"/>
  <c r="Q2562" i="1"/>
  <c r="Q2138" i="1"/>
  <c r="Q2139" i="1"/>
  <c r="Q2550" i="1"/>
  <c r="Q2549" i="1"/>
  <c r="Q1310" i="1"/>
  <c r="Q1298" i="1"/>
  <c r="Q2576" i="1"/>
  <c r="Q2568" i="1"/>
  <c r="Q2146" i="1"/>
  <c r="Q2147" i="1"/>
  <c r="Q2148" i="1"/>
  <c r="Q2149" i="1"/>
  <c r="Q2606" i="1"/>
  <c r="Q2601" i="1"/>
  <c r="Q2152" i="1"/>
  <c r="Q2153" i="1"/>
  <c r="Q2154" i="1"/>
  <c r="Q2595" i="1"/>
  <c r="Q2594" i="1"/>
  <c r="Q2157" i="1"/>
  <c r="Q2158" i="1"/>
  <c r="Q2618" i="1"/>
  <c r="Q2613" i="1"/>
  <c r="Q2161" i="1"/>
  <c r="Q2162" i="1"/>
  <c r="Q2163" i="1"/>
  <c r="Q2164" i="1"/>
  <c r="Q2165" i="1"/>
  <c r="Q2166" i="1"/>
  <c r="Q2167" i="1"/>
  <c r="Q2168" i="1"/>
  <c r="Q2612" i="1"/>
  <c r="Q2607" i="1"/>
  <c r="Q2171" i="1"/>
  <c r="Q2172" i="1"/>
  <c r="Q2405" i="1"/>
  <c r="Q2643" i="1"/>
  <c r="Q2639" i="1"/>
  <c r="Q2176" i="1"/>
  <c r="Q2177" i="1"/>
  <c r="Q2178" i="1"/>
  <c r="Q2179" i="1"/>
  <c r="Q2180" i="1"/>
  <c r="Q2181" i="1"/>
  <c r="Q2182" i="1"/>
  <c r="Q2183" i="1"/>
  <c r="Q2634" i="1"/>
  <c r="Q2638" i="1"/>
  <c r="Q2635" i="1"/>
  <c r="Q2187" i="1"/>
  <c r="Q2188" i="1"/>
  <c r="Q2704" i="1"/>
  <c r="Q2569" i="1"/>
  <c r="Q2363" i="1"/>
  <c r="Q2645" i="1"/>
  <c r="Q2644" i="1"/>
  <c r="Q140" i="1"/>
  <c r="Q2647" i="1"/>
  <c r="Q2646" i="1"/>
  <c r="Q2197" i="1"/>
  <c r="Q2198" i="1"/>
  <c r="Q1844" i="1"/>
  <c r="Q2661" i="1"/>
  <c r="Q2659" i="1"/>
  <c r="Q2202" i="1"/>
  <c r="Q2203" i="1"/>
  <c r="Q2204" i="1"/>
  <c r="Q2205" i="1"/>
  <c r="Q2206" i="1"/>
  <c r="Q2654" i="1"/>
  <c r="Q2493" i="1"/>
  <c r="Q2670" i="1"/>
  <c r="Q2668" i="1"/>
  <c r="Q2211" i="1"/>
  <c r="Q2212" i="1"/>
  <c r="Q2664" i="1"/>
  <c r="Q2663" i="1"/>
  <c r="Q2215" i="1"/>
  <c r="Q2216" i="1"/>
  <c r="Q2667" i="1"/>
  <c r="Q2665" i="1"/>
  <c r="Q2219" i="1"/>
  <c r="Q2220" i="1"/>
  <c r="Q2674" i="1"/>
  <c r="Q2673" i="1"/>
  <c r="Q2223" i="1"/>
  <c r="Q2681" i="1"/>
  <c r="Q2677" i="1"/>
  <c r="Q2226" i="1"/>
  <c r="Q2227" i="1"/>
  <c r="Q2684" i="1"/>
  <c r="Q2683" i="1"/>
  <c r="Q2230" i="1"/>
  <c r="Q2231" i="1"/>
  <c r="Q2502" i="1"/>
  <c r="Q2494" i="1"/>
  <c r="Q2234" i="1"/>
  <c r="Q2649" i="1"/>
  <c r="Q2648" i="1"/>
  <c r="Q2237" i="1"/>
  <c r="Q2686" i="1"/>
  <c r="Q2685" i="1"/>
  <c r="Q2240" i="1"/>
  <c r="Q2241" i="1"/>
  <c r="Q2242" i="1"/>
  <c r="Q2330" i="1"/>
  <c r="Q2690" i="1"/>
  <c r="Q2689" i="1"/>
  <c r="Q2658" i="1"/>
  <c r="Q2655" i="1"/>
  <c r="Q2248" i="1"/>
  <c r="Q2249" i="1"/>
  <c r="Q2698" i="1"/>
  <c r="Q2693" i="1"/>
  <c r="Q2252" i="1"/>
  <c r="Q2253" i="1"/>
  <c r="Q2254" i="1"/>
  <c r="Q2255" i="1"/>
  <c r="Q2256" i="1"/>
  <c r="Q2723" i="1"/>
  <c r="Q2722" i="1"/>
  <c r="Q2259" i="1"/>
  <c r="Q2721" i="1"/>
  <c r="Q2718" i="1"/>
  <c r="Q2262" i="1"/>
  <c r="Q2728" i="1"/>
  <c r="Q2727" i="1"/>
  <c r="Q2265" i="1"/>
  <c r="Q2783" i="1"/>
  <c r="Q2731" i="1"/>
  <c r="Q2729" i="1"/>
  <c r="Q2269" i="1"/>
  <c r="Q2538" i="1"/>
  <c r="Q2533" i="1"/>
  <c r="Q2726" i="1"/>
  <c r="Q2725" i="1"/>
  <c r="Q2274" i="1"/>
  <c r="Q2737" i="1"/>
  <c r="Q2733" i="1"/>
  <c r="Q2829" i="1"/>
  <c r="Q2730" i="1"/>
  <c r="Q2279" i="1"/>
  <c r="Q2280" i="1"/>
  <c r="Q2281" i="1"/>
  <c r="Q2282" i="1"/>
  <c r="Q2739" i="1"/>
  <c r="Q2738" i="1"/>
  <c r="Q2285" i="1"/>
  <c r="Q2286" i="1"/>
  <c r="Q2287" i="1"/>
  <c r="Q2288" i="1"/>
  <c r="Q2289" i="1"/>
  <c r="Q2742" i="1"/>
  <c r="Q2740" i="1"/>
  <c r="Q2292" i="1"/>
  <c r="Q2293" i="1"/>
  <c r="Q2316" i="1"/>
  <c r="Q2748" i="1"/>
  <c r="Q2747" i="1"/>
  <c r="Q2297" i="1"/>
  <c r="Q2298" i="1"/>
  <c r="Q2299" i="1"/>
  <c r="Q2300" i="1"/>
  <c r="Q1675" i="1"/>
  <c r="Q1687" i="1"/>
  <c r="Q2303" i="1"/>
  <c r="Q2304" i="1"/>
  <c r="Q2705" i="1"/>
  <c r="Q2575" i="1"/>
  <c r="Q2307" i="1"/>
  <c r="Q2751" i="1"/>
  <c r="Q2750" i="1"/>
  <c r="Q2310" i="1"/>
  <c r="Q2311" i="1"/>
  <c r="Q1543" i="1"/>
  <c r="Q1416" i="1"/>
  <c r="Q2746" i="1"/>
  <c r="Q2744" i="1"/>
  <c r="Q2757" i="1"/>
  <c r="Q2756" i="1"/>
  <c r="Q2318" i="1"/>
  <c r="Q2319" i="1"/>
  <c r="Q2320" i="1"/>
  <c r="Q2760" i="1"/>
  <c r="Q2759" i="1"/>
  <c r="Q2323" i="1"/>
  <c r="Q2324" i="1"/>
  <c r="Q2762" i="1"/>
  <c r="Q2761" i="1"/>
  <c r="Q2327" i="1"/>
  <c r="Q2328" i="1"/>
  <c r="Q2767" i="1"/>
  <c r="Q2766" i="1"/>
  <c r="Q2331" i="1"/>
  <c r="Q2332" i="1"/>
  <c r="Q2770" i="1"/>
  <c r="Q2768" i="1"/>
  <c r="Q2335" i="1"/>
  <c r="Q2336" i="1"/>
  <c r="Q1390" i="1"/>
  <c r="Q2247" i="1"/>
  <c r="Q2317" i="1"/>
  <c r="Q1092" i="1"/>
  <c r="Q1013" i="1"/>
  <c r="Q2776" i="1"/>
  <c r="Q2774" i="1"/>
  <c r="Q2344" i="1"/>
  <c r="Q2443" i="1"/>
  <c r="Q2440" i="1"/>
  <c r="Q2347" i="1"/>
  <c r="Q2779" i="1"/>
  <c r="Q2777" i="1"/>
  <c r="Q2773" i="1"/>
  <c r="Q2771" i="1"/>
  <c r="Q283" i="1"/>
  <c r="Q287" i="1"/>
  <c r="Q2354" i="1"/>
  <c r="Q2355" i="1"/>
  <c r="Q2356" i="1"/>
  <c r="Q2357" i="1"/>
  <c r="Q2787" i="1"/>
  <c r="Q2786" i="1"/>
  <c r="Q2360" i="1"/>
  <c r="Q2782" i="1"/>
  <c r="Q2781" i="1"/>
  <c r="Q2790" i="1"/>
  <c r="Q2789" i="1"/>
  <c r="Q2365" i="1"/>
  <c r="Q2366" i="1"/>
  <c r="Q2367" i="1"/>
  <c r="Q2368" i="1"/>
  <c r="Q2797" i="1"/>
  <c r="Q2796" i="1"/>
  <c r="Q2371" i="1"/>
  <c r="Q2793" i="1"/>
  <c r="Q2791" i="1"/>
  <c r="Q2374" i="1"/>
  <c r="Q2795" i="1"/>
  <c r="Q2794" i="1"/>
  <c r="Q2377" i="1"/>
  <c r="Q2506" i="1"/>
  <c r="Q2800" i="1"/>
  <c r="Q2798" i="1"/>
  <c r="Q2381" i="1"/>
  <c r="Q2382" i="1"/>
  <c r="Q1093" i="1"/>
  <c r="Q2806" i="1"/>
  <c r="Q2805" i="1"/>
  <c r="Q2386" i="1"/>
  <c r="Q2387" i="1"/>
  <c r="Q2388" i="1"/>
  <c r="Q2389" i="1"/>
  <c r="Q2390" i="1"/>
  <c r="Q2391" i="1"/>
  <c r="Q2801" i="1"/>
  <c r="Q144" i="1"/>
  <c r="Q2808" i="1"/>
  <c r="Q2807" i="1"/>
  <c r="Q2396" i="1"/>
  <c r="Q2814" i="1"/>
  <c r="Q2809" i="1"/>
  <c r="Q2399" i="1"/>
  <c r="Q2819" i="1"/>
  <c r="Q2815" i="1"/>
  <c r="Q2402" i="1"/>
  <c r="Q2803" i="1"/>
  <c r="Q2741" i="1"/>
  <c r="Q2631" i="1"/>
  <c r="Q2406" i="1"/>
  <c r="Q2407" i="1"/>
  <c r="Q2408" i="1"/>
  <c r="Q2409" i="1"/>
  <c r="Q2410" i="1"/>
  <c r="Q2411" i="1"/>
  <c r="Q2412" i="1"/>
  <c r="Q2413" i="1"/>
  <c r="Q2414" i="1"/>
  <c r="Q2415" i="1"/>
  <c r="Q2416" i="1"/>
  <c r="Q2417" i="1"/>
  <c r="Q2418" i="1"/>
  <c r="Q2419" i="1"/>
  <c r="Q2420" i="1"/>
  <c r="Q809" i="1"/>
  <c r="Q810" i="1"/>
  <c r="Q1817" i="1"/>
  <c r="Q2836" i="1"/>
  <c r="Q2830" i="1"/>
  <c r="Q2426" i="1"/>
  <c r="Q2846" i="1"/>
  <c r="Q2845" i="1"/>
  <c r="Q2429" i="1"/>
  <c r="Q1231" i="1"/>
  <c r="Q2849" i="1"/>
  <c r="Q2847" i="1"/>
  <c r="Q2433" i="1"/>
  <c r="Q2853" i="1"/>
  <c r="Q2852" i="1"/>
  <c r="Q2436" i="1"/>
  <c r="Q2856" i="1"/>
  <c r="Q2855" i="1"/>
  <c r="Q2439" i="1"/>
  <c r="Q2858" i="1"/>
  <c r="Q2857" i="1"/>
  <c r="Q2442" i="1"/>
  <c r="Q2860" i="1"/>
  <c r="Q2859" i="1"/>
  <c r="Q2445" i="1"/>
  <c r="Q2446" i="1"/>
  <c r="Q2866" i="1"/>
  <c r="Q2865" i="1"/>
  <c r="Q2449" i="1"/>
  <c r="Q113" i="1"/>
  <c r="Q115" i="1"/>
  <c r="Q2452" i="1"/>
  <c r="Q2453" i="1"/>
  <c r="Q2875" i="1"/>
  <c r="Q2874" i="1"/>
  <c r="Q2456" i="1"/>
  <c r="Q2457" i="1"/>
  <c r="Q2458" i="1"/>
  <c r="Q2459" i="1"/>
  <c r="Q2460" i="1"/>
  <c r="Q2821" i="1"/>
  <c r="Q2820" i="1"/>
  <c r="Q2463" i="1"/>
  <c r="Q2464" i="1"/>
  <c r="Q2465" i="1"/>
  <c r="Q2826" i="1"/>
  <c r="Q2822" i="1"/>
  <c r="Q2468" i="1"/>
  <c r="Q2469" i="1"/>
  <c r="Q2828" i="1"/>
  <c r="Q2827" i="1"/>
  <c r="Q2472" i="1"/>
  <c r="Q2473" i="1"/>
  <c r="Q2839" i="1"/>
  <c r="Q2838" i="1"/>
  <c r="Q2476" i="1"/>
  <c r="Q2477" i="1"/>
  <c r="Q2478" i="1"/>
  <c r="Q2841" i="1"/>
  <c r="Q2840" i="1"/>
  <c r="Q2481" i="1"/>
  <c r="Q2482" i="1"/>
  <c r="Q2483" i="1"/>
  <c r="Q2843" i="1"/>
  <c r="Q2842" i="1"/>
  <c r="Q2486" i="1"/>
  <c r="Q2487" i="1"/>
  <c r="Q2488" i="1"/>
  <c r="Q2100" i="1"/>
  <c r="Q2105" i="1"/>
  <c r="Q2491" i="1"/>
  <c r="Q2687" i="1"/>
  <c r="Q2883" i="1"/>
  <c r="Q2882" i="1"/>
  <c r="Q2495" i="1"/>
  <c r="Q2496" i="1"/>
  <c r="Q2497" i="1"/>
  <c r="Q2498" i="1"/>
  <c r="Q2499" i="1"/>
  <c r="Q2500" i="1"/>
  <c r="Q2886" i="1"/>
  <c r="Q2885" i="1"/>
  <c r="Q2503" i="1"/>
  <c r="Q2504" i="1"/>
  <c r="Q2505" i="1"/>
  <c r="Q2899" i="1"/>
  <c r="Q2898" i="1"/>
  <c r="Q2508" i="1"/>
  <c r="Q2902" i="1"/>
  <c r="Q2901" i="1"/>
  <c r="Q2511" i="1"/>
  <c r="Q2906" i="1"/>
  <c r="Q2905" i="1"/>
  <c r="Q396" i="1"/>
  <c r="Q2913" i="1"/>
  <c r="Q2912" i="1"/>
  <c r="Q2517" i="1"/>
  <c r="Q2518" i="1"/>
  <c r="Q2916" i="1"/>
  <c r="Q2915" i="1"/>
  <c r="Q2919" i="1"/>
  <c r="Q2918" i="1"/>
  <c r="Q2523" i="1"/>
  <c r="Q2524" i="1"/>
  <c r="Q2525" i="1"/>
  <c r="Q1677" i="1"/>
  <c r="Q2662" i="1"/>
  <c r="Q2706" i="1"/>
  <c r="Q664" i="1"/>
  <c r="Q666" i="1"/>
  <c r="Q1894" i="1"/>
  <c r="Q2924" i="1"/>
  <c r="Q2923" i="1"/>
  <c r="Q2534" i="1"/>
  <c r="Q2989" i="1"/>
  <c r="Q763" i="1"/>
  <c r="Q2969" i="1"/>
  <c r="Q2963" i="1"/>
  <c r="Q2539" i="1"/>
  <c r="Q2540" i="1"/>
  <c r="Q2541" i="1"/>
  <c r="Q2542" i="1"/>
  <c r="Q2543" i="1"/>
  <c r="Q2544" i="1"/>
  <c r="Q2545" i="1"/>
  <c r="Q2546" i="1"/>
  <c r="Q2547" i="1"/>
  <c r="Q2548" i="1"/>
  <c r="Q2934" i="1"/>
  <c r="Q2928" i="1"/>
  <c r="Q2551" i="1"/>
  <c r="Q2552" i="1"/>
  <c r="Q2553" i="1"/>
  <c r="Q2554" i="1"/>
  <c r="Q2555" i="1"/>
  <c r="Q2556" i="1"/>
  <c r="Q2557" i="1"/>
  <c r="Q2558" i="1"/>
  <c r="Q2559" i="1"/>
  <c r="Q2560" i="1"/>
  <c r="Q2561" i="1"/>
  <c r="Q3004" i="1"/>
  <c r="Q3003" i="1"/>
  <c r="Q2564" i="1"/>
  <c r="Q2565" i="1"/>
  <c r="Q2566" i="1"/>
  <c r="Q2567" i="1"/>
  <c r="Q2984" i="1"/>
  <c r="Q2980" i="1"/>
  <c r="Q2570" i="1"/>
  <c r="Q2571" i="1"/>
  <c r="Q2572" i="1"/>
  <c r="Q2573" i="1"/>
  <c r="Q2574" i="1"/>
  <c r="Q1829" i="1"/>
  <c r="Q1834" i="1"/>
  <c r="Q2577" i="1"/>
  <c r="Q2578" i="1"/>
  <c r="Q1845" i="1"/>
  <c r="Q1850" i="1"/>
  <c r="Q2581" i="1"/>
  <c r="Q2582" i="1"/>
  <c r="Q3008" i="1"/>
  <c r="Q3005" i="1"/>
  <c r="Q2585" i="1"/>
  <c r="Q2586" i="1"/>
  <c r="Q2587" i="1"/>
  <c r="Q2870" i="1"/>
  <c r="Q2869" i="1"/>
  <c r="Q2590" i="1"/>
  <c r="Q3016" i="1"/>
  <c r="Q3009" i="1"/>
  <c r="Q2593" i="1"/>
  <c r="Q3021" i="1"/>
  <c r="Q3017" i="1"/>
  <c r="Q2596" i="1"/>
  <c r="Q2597" i="1"/>
  <c r="Q2598" i="1"/>
  <c r="Q2599" i="1"/>
  <c r="Q3029" i="1"/>
  <c r="Q3028" i="1"/>
  <c r="Q2602" i="1"/>
  <c r="Q2603" i="1"/>
  <c r="Q2604" i="1"/>
  <c r="Q2605" i="1"/>
  <c r="Q3036" i="1"/>
  <c r="Q3031" i="1"/>
  <c r="Q2608" i="1"/>
  <c r="Q2609" i="1"/>
  <c r="Q2610" i="1"/>
  <c r="Q2611" i="1"/>
  <c r="Q3039" i="1"/>
  <c r="Q3038" i="1"/>
  <c r="Q2614" i="1"/>
  <c r="Q2615" i="1"/>
  <c r="Q2616" i="1"/>
  <c r="Q2617" i="1"/>
  <c r="Q3052" i="1"/>
  <c r="Q3051" i="1"/>
  <c r="Q2620" i="1"/>
  <c r="Q2621" i="1"/>
  <c r="Q2622" i="1"/>
  <c r="Q2623" i="1"/>
  <c r="Q3069" i="1"/>
  <c r="Q3067" i="1"/>
  <c r="Q2626" i="1"/>
  <c r="Q2627" i="1"/>
  <c r="Q2628" i="1"/>
  <c r="Q2629" i="1"/>
  <c r="Q3073" i="1"/>
  <c r="Q3072" i="1"/>
  <c r="Q2632" i="1"/>
  <c r="Q2633" i="1"/>
  <c r="Q3089" i="1"/>
  <c r="Q3088" i="1"/>
  <c r="Q2636" i="1"/>
  <c r="Q2637" i="1"/>
  <c r="Q3109" i="1"/>
  <c r="Q3107" i="1"/>
  <c r="Q2640" i="1"/>
  <c r="Q2641" i="1"/>
  <c r="Q2642" i="1"/>
  <c r="Q3022" i="1"/>
  <c r="Q3030" i="1"/>
  <c r="Q3037" i="1"/>
  <c r="Q3221" i="1"/>
  <c r="Q3066" i="1"/>
  <c r="Q3070" i="1"/>
  <c r="Q3080" i="1"/>
  <c r="Q3091" i="1"/>
  <c r="Q3111" i="1"/>
  <c r="Q1128" i="1"/>
  <c r="Q2348" i="1"/>
  <c r="Q3120" i="1"/>
  <c r="Q3117" i="1"/>
  <c r="Q2656" i="1"/>
  <c r="Q2657" i="1"/>
  <c r="Q3124" i="1"/>
  <c r="Q3122" i="1"/>
  <c r="Q2660" i="1"/>
  <c r="Q2278" i="1"/>
  <c r="Q3128" i="1"/>
  <c r="Q3126" i="1"/>
  <c r="Q2150" i="1"/>
  <c r="Q2151" i="1"/>
  <c r="Q2666" i="1"/>
  <c r="Q2159" i="1"/>
  <c r="Q2160" i="1"/>
  <c r="Q2669" i="1"/>
  <c r="Q1880" i="1"/>
  <c r="Q1722" i="1"/>
  <c r="Q2672" i="1"/>
  <c r="Q2091" i="1"/>
  <c r="Q2092" i="1"/>
  <c r="Q2675" i="1"/>
  <c r="Q2676" i="1"/>
  <c r="Q3127" i="1"/>
  <c r="Q2970" i="1"/>
  <c r="Q2935" i="1"/>
  <c r="Q3140" i="1"/>
  <c r="Q3139" i="1"/>
  <c r="Q2682" i="1"/>
  <c r="Q1407" i="1"/>
  <c r="Q3161" i="1"/>
  <c r="Q3147" i="1"/>
  <c r="Q3179" i="1"/>
  <c r="Q3177" i="1"/>
  <c r="Q2688" i="1"/>
  <c r="Q3145" i="1"/>
  <c r="Q3143" i="1"/>
  <c r="Q2691" i="1"/>
  <c r="Q2692" i="1"/>
  <c r="Q3185" i="1"/>
  <c r="Q3182" i="1"/>
  <c r="Q2695" i="1"/>
  <c r="Q2696" i="1"/>
  <c r="Q3137" i="1"/>
  <c r="Q3136" i="1"/>
  <c r="Q2699" i="1"/>
  <c r="Q3131" i="1"/>
  <c r="Q2986" i="1"/>
  <c r="Q1680" i="1"/>
  <c r="Q2507" i="1"/>
  <c r="Q2837" i="1"/>
  <c r="Q2707" i="1"/>
  <c r="Q2700" i="1"/>
  <c r="Q2942" i="1"/>
  <c r="Q2971" i="1"/>
  <c r="Q3201" i="1"/>
  <c r="Q3196" i="1"/>
  <c r="Q2711" i="1"/>
  <c r="Q3195" i="1"/>
  <c r="Q3193" i="1"/>
  <c r="Q2714" i="1"/>
  <c r="Q2715" i="1"/>
  <c r="Q2424" i="1"/>
  <c r="Q2283" i="1"/>
  <c r="Q309" i="1"/>
  <c r="Q1521" i="1"/>
  <c r="Q2972" i="1"/>
  <c r="Q2964" i="1"/>
  <c r="Q3206" i="1"/>
  <c r="Q3202" i="1"/>
  <c r="Q2724" i="1"/>
  <c r="Q3210" i="1"/>
  <c r="Q3207" i="1"/>
  <c r="Q3121" i="1"/>
  <c r="Q3118" i="1"/>
  <c r="Q71" i="1"/>
  <c r="Q75" i="1"/>
  <c r="Q58" i="1"/>
  <c r="Q3212" i="1"/>
  <c r="Q3211" i="1"/>
  <c r="Q2734" i="1"/>
  <c r="Q2735" i="1"/>
  <c r="Q2736" i="1"/>
  <c r="Q2987" i="1"/>
  <c r="Q2981" i="1"/>
  <c r="Q2943" i="1"/>
  <c r="Q2988" i="1"/>
  <c r="Q3099" i="1"/>
  <c r="Q2991" i="1"/>
  <c r="Q2983" i="1"/>
  <c r="Q2973" i="1"/>
  <c r="Q2944" i="1"/>
  <c r="Q2930" i="1"/>
  <c r="Q3216" i="1"/>
  <c r="Q3213" i="1"/>
  <c r="Q2749" i="1"/>
  <c r="Q3219" i="1"/>
  <c r="Q3217" i="1"/>
  <c r="Q2752" i="1"/>
  <c r="Q3222" i="1"/>
  <c r="Q3220" i="1"/>
  <c r="Q2755" i="1"/>
  <c r="Q2339" i="1"/>
  <c r="Q2201" i="1"/>
  <c r="Q2758" i="1"/>
  <c r="Q165" i="1"/>
  <c r="Q167" i="1"/>
  <c r="Q3227" i="1"/>
  <c r="Q3226" i="1"/>
  <c r="Q2763" i="1"/>
  <c r="Q2764" i="1"/>
  <c r="Q2765" i="1"/>
  <c r="Q2321" i="1"/>
  <c r="Q3229" i="1"/>
  <c r="Q3228" i="1"/>
  <c r="Q2769" i="1"/>
  <c r="Q3234" i="1"/>
  <c r="Q3230" i="1"/>
  <c r="Q2772" i="1"/>
  <c r="Q3240" i="1"/>
  <c r="Q3235" i="1"/>
  <c r="Q2775" i="1"/>
  <c r="Q3245" i="1"/>
  <c r="Q3242" i="1"/>
  <c r="Q2778" i="1"/>
  <c r="Q2701" i="1"/>
  <c r="Q2694" i="1"/>
  <c r="Q619" i="1"/>
  <c r="Q2992" i="1"/>
  <c r="Q2702" i="1"/>
  <c r="Q2697" i="1"/>
  <c r="Q2785" i="1"/>
  <c r="Q2509" i="1"/>
  <c r="Q2514" i="1"/>
  <c r="Q2788" i="1"/>
  <c r="Q3183" i="1"/>
  <c r="Q2708" i="1"/>
  <c r="Q2584" i="1"/>
  <c r="Q2792" i="1"/>
  <c r="Q3108" i="1"/>
  <c r="Q2968" i="1"/>
  <c r="Q2946" i="1"/>
  <c r="Q2931" i="1"/>
  <c r="Q3260" i="1"/>
  <c r="Q3259" i="1"/>
  <c r="Q2799" i="1"/>
  <c r="Q3225" i="1"/>
  <c r="Q3223" i="1"/>
  <c r="Q2802" i="1"/>
  <c r="Q1683" i="1"/>
  <c r="Q2510" i="1"/>
  <c r="Q2515" i="1"/>
  <c r="Q2709" i="1"/>
  <c r="Q2588" i="1"/>
  <c r="Q885" i="1"/>
  <c r="Q889" i="1"/>
  <c r="Q2810" i="1"/>
  <c r="Q2811" i="1"/>
  <c r="Q2812" i="1"/>
  <c r="Q2813" i="1"/>
  <c r="Q3296" i="1"/>
  <c r="Q3279" i="1"/>
  <c r="Q2816" i="1"/>
  <c r="Q2817" i="1"/>
  <c r="Q2818" i="1"/>
  <c r="Q2224" i="1"/>
  <c r="Q2225" i="1"/>
  <c r="Q3329" i="1"/>
  <c r="Q3328" i="1"/>
  <c r="Q2823" i="1"/>
  <c r="Q2824" i="1"/>
  <c r="Q2825" i="1"/>
  <c r="Q490" i="1"/>
  <c r="Q176" i="1"/>
  <c r="Q159" i="1"/>
  <c r="Q3312" i="1"/>
  <c r="Q3297" i="1"/>
  <c r="Q2831" i="1"/>
  <c r="Q2832" i="1"/>
  <c r="Q2833" i="1"/>
  <c r="Q2834" i="1"/>
  <c r="Q2835" i="1"/>
  <c r="Q1002" i="1"/>
  <c r="Q3332" i="1"/>
  <c r="Q3331" i="1"/>
  <c r="Q3335" i="1"/>
  <c r="Q3334" i="1"/>
  <c r="Q1684" i="1"/>
  <c r="Q1689" i="1"/>
  <c r="Q2947" i="1"/>
  <c r="Q2512" i="1"/>
  <c r="Q3144" i="1"/>
  <c r="Q2974" i="1"/>
  <c r="Q2703" i="1"/>
  <c r="Q3337" i="1"/>
  <c r="Q3336" i="1"/>
  <c r="Q2850" i="1"/>
  <c r="Q2851" i="1"/>
  <c r="Q3387" i="1"/>
  <c r="Q3386" i="1"/>
  <c r="Q2854" i="1"/>
  <c r="Q3358" i="1"/>
  <c r="Q3356" i="1"/>
  <c r="Q3345" i="1"/>
  <c r="Q3344" i="1"/>
  <c r="Q3353" i="1"/>
  <c r="Q3351" i="1"/>
  <c r="Q3391" i="1"/>
  <c r="Q3390" i="1"/>
  <c r="Q2863" i="1"/>
  <c r="Q2864" i="1"/>
  <c r="Q3395" i="1"/>
  <c r="Q3394" i="1"/>
  <c r="Q2867" i="1"/>
  <c r="Q2868" i="1"/>
  <c r="Q648" i="1"/>
  <c r="Q2267" i="1"/>
  <c r="Q3400" i="1"/>
  <c r="Q3399" i="1"/>
  <c r="Q2873" i="1"/>
  <c r="Q3342" i="1"/>
  <c r="Q3341" i="1"/>
  <c r="Q2876" i="1"/>
  <c r="Q2877" i="1"/>
  <c r="Q2878" i="1"/>
  <c r="Q2879" i="1"/>
  <c r="Q2880" i="1"/>
  <c r="Q2881" i="1"/>
  <c r="Q2263" i="1"/>
  <c r="Q2264" i="1"/>
  <c r="Q2884" i="1"/>
  <c r="Q2102" i="1"/>
  <c r="Q2106" i="1"/>
  <c r="Q2887" i="1"/>
  <c r="Q2888" i="1"/>
  <c r="Q2889" i="1"/>
  <c r="Q2890" i="1"/>
  <c r="Q2891" i="1"/>
  <c r="Q2892" i="1"/>
  <c r="Q2893" i="1"/>
  <c r="Q2894" i="1"/>
  <c r="Q2895" i="1"/>
  <c r="Q2896" i="1"/>
  <c r="Q2897" i="1"/>
  <c r="Q3406" i="1"/>
  <c r="Q3405" i="1"/>
  <c r="Q2900" i="1"/>
  <c r="Q3414" i="1"/>
  <c r="Q3407" i="1"/>
  <c r="Q2903" i="1"/>
  <c r="Q2904" i="1"/>
  <c r="Q3418" i="1"/>
  <c r="Q3415" i="1"/>
  <c r="Q2907" i="1"/>
  <c r="Q2908" i="1"/>
  <c r="Q2909" i="1"/>
  <c r="Q2910" i="1"/>
  <c r="Q2911" i="1"/>
  <c r="Q2862" i="1"/>
  <c r="Q2861" i="1"/>
  <c r="Q2914" i="1"/>
  <c r="Q2872" i="1"/>
  <c r="Q2871" i="1"/>
  <c r="Q2917" i="1"/>
  <c r="Q3421" i="1"/>
  <c r="Q3419" i="1"/>
  <c r="Q2920" i="1"/>
  <c r="Q2921" i="1"/>
  <c r="Q2922" i="1"/>
  <c r="Q3425" i="1"/>
  <c r="Q3424" i="1"/>
  <c r="Q2925" i="1"/>
  <c r="Q3422" i="1"/>
  <c r="Q3278" i="1"/>
  <c r="Q3261" i="1"/>
  <c r="Q2929" i="1"/>
  <c r="Q3403" i="1"/>
  <c r="Q3401" i="1"/>
  <c r="Q2932" i="1"/>
  <c r="Q2933" i="1"/>
  <c r="Q3430" i="1"/>
  <c r="Q3427" i="1"/>
  <c r="Q2936" i="1"/>
  <c r="Q2937" i="1"/>
  <c r="Q2938" i="1"/>
  <c r="Q2939" i="1"/>
  <c r="Q2940" i="1"/>
  <c r="Q2941" i="1"/>
  <c r="Q1800" i="1"/>
  <c r="Q3248" i="1"/>
  <c r="Q3244" i="1"/>
  <c r="Q2945" i="1"/>
  <c r="Q3442" i="1"/>
  <c r="Q3441" i="1"/>
  <c r="Q2948" i="1"/>
  <c r="Q2949" i="1"/>
  <c r="Q2950" i="1"/>
  <c r="Q2200" i="1"/>
  <c r="Q3184" i="1"/>
  <c r="Q3455" i="1"/>
  <c r="Q590" i="1"/>
  <c r="Q3466" i="1"/>
  <c r="Q3456" i="1"/>
  <c r="Q2957" i="1"/>
  <c r="Q2958" i="1"/>
  <c r="Q2959" i="1"/>
  <c r="Q2960" i="1"/>
  <c r="Q2961" i="1"/>
  <c r="Q2962" i="1"/>
  <c r="Q2651" i="1"/>
  <c r="Q2653" i="1"/>
  <c r="Q2965" i="1"/>
  <c r="Q2966" i="1"/>
  <c r="Q2967" i="1"/>
  <c r="Q1363" i="1"/>
  <c r="Q1369" i="1"/>
  <c r="Q1384" i="1"/>
  <c r="Q1857" i="1"/>
  <c r="Q2743" i="1"/>
  <c r="Q267" i="1"/>
  <c r="Q583" i="1"/>
  <c r="Q587" i="1"/>
  <c r="Q416" i="1"/>
  <c r="Q874" i="1"/>
  <c r="Q1696" i="1"/>
  <c r="Q92" i="1"/>
  <c r="Q3486" i="1"/>
  <c r="Q3485" i="1"/>
  <c r="Q2982" i="1"/>
  <c r="Q3538" i="1"/>
  <c r="Q3357" i="1"/>
  <c r="Q2985" i="1"/>
  <c r="Q1365" i="1"/>
  <c r="Q1371" i="1"/>
  <c r="Q1508" i="1"/>
  <c r="Q1705" i="1"/>
  <c r="Q2844" i="1"/>
  <c r="Q3504" i="1"/>
  <c r="Q3503" i="1"/>
  <c r="Q2993" i="1"/>
  <c r="Q2994" i="1"/>
  <c r="Q2995" i="1"/>
  <c r="Q3506" i="1"/>
  <c r="Q3505" i="1"/>
  <c r="Q2998" i="1"/>
  <c r="Q3523" i="1"/>
  <c r="Q3522" i="1"/>
  <c r="Q3001" i="1"/>
  <c r="Q3525" i="1"/>
  <c r="Q3524" i="1"/>
  <c r="Q3530" i="1"/>
  <c r="Q3527" i="1"/>
  <c r="Q3006" i="1"/>
  <c r="Q3007" i="1"/>
  <c r="Q3514" i="1"/>
  <c r="Q3513" i="1"/>
  <c r="Q3010" i="1"/>
  <c r="Q3011" i="1"/>
  <c r="Q3012" i="1"/>
  <c r="Q3013" i="1"/>
  <c r="Q3014" i="1"/>
  <c r="Q3015" i="1"/>
  <c r="Q3544" i="1"/>
  <c r="Q3543" i="1"/>
  <c r="Q3018" i="1"/>
  <c r="Q3019" i="1"/>
  <c r="Q3020" i="1"/>
  <c r="Q3539" i="1"/>
  <c r="Q3537" i="1"/>
  <c r="Q3023" i="1"/>
  <c r="Q3024" i="1"/>
  <c r="Q3025" i="1"/>
  <c r="Q3026" i="1"/>
  <c r="Q3027" i="1"/>
  <c r="Q3550" i="1"/>
  <c r="Q3549" i="1"/>
  <c r="Q3553" i="1"/>
  <c r="Q3552" i="1"/>
  <c r="Q3032" i="1"/>
  <c r="Q3033" i="1"/>
  <c r="Q3034" i="1"/>
  <c r="Q3035" i="1"/>
  <c r="Q3531" i="1"/>
  <c r="Q3528" i="1"/>
  <c r="Q3431" i="1"/>
  <c r="Q3428" i="1"/>
  <c r="Q3040" i="1"/>
  <c r="Q3041" i="1"/>
  <c r="Q3042" i="1"/>
  <c r="Q3043" i="1"/>
  <c r="Q3044" i="1"/>
  <c r="Q3045" i="1"/>
  <c r="Q3046" i="1"/>
  <c r="Q3047" i="1"/>
  <c r="Q3048" i="1"/>
  <c r="Q3049" i="1"/>
  <c r="Q3050" i="1"/>
  <c r="Q3404" i="1"/>
  <c r="Q3402" i="1"/>
  <c r="Q3053" i="1"/>
  <c r="Q3054" i="1"/>
  <c r="Q3055" i="1"/>
  <c r="Q3056" i="1"/>
  <c r="Q3057" i="1"/>
  <c r="Q3058" i="1"/>
  <c r="Q3059" i="1"/>
  <c r="Q3060" i="1"/>
  <c r="Q3061" i="1"/>
  <c r="Q3062" i="1"/>
  <c r="Q3063" i="1"/>
  <c r="Q3064" i="1"/>
  <c r="Q3065" i="1"/>
  <c r="Q3564" i="1"/>
  <c r="Q3563" i="1"/>
  <c r="Q3068" i="1"/>
  <c r="Q3568" i="1"/>
  <c r="Q3567" i="1"/>
  <c r="Q3071" i="1"/>
  <c r="Q3573" i="1"/>
  <c r="Q3572" i="1"/>
  <c r="Q3074" i="1"/>
  <c r="Q3075" i="1"/>
  <c r="Q3076" i="1"/>
  <c r="Q3077" i="1"/>
  <c r="Q3078" i="1"/>
  <c r="Q3079" i="1"/>
  <c r="Q3599" i="1"/>
  <c r="Q3587" i="1"/>
  <c r="Q3082" i="1"/>
  <c r="Q3083" i="1"/>
  <c r="Q3084" i="1"/>
  <c r="Q3085" i="1"/>
  <c r="Q3086" i="1"/>
  <c r="Q3087" i="1"/>
  <c r="Q3547" i="1"/>
  <c r="Q3546" i="1"/>
  <c r="Q3090" i="1"/>
  <c r="Q3586" i="1"/>
  <c r="Q3576" i="1"/>
  <c r="Q3093" i="1"/>
  <c r="Q3094" i="1"/>
  <c r="Q3095" i="1"/>
  <c r="Q3096" i="1"/>
  <c r="Q3097" i="1"/>
  <c r="Q3605" i="1"/>
  <c r="Q3571" i="1"/>
  <c r="Q3569" i="1"/>
  <c r="Q3101" i="1"/>
  <c r="Q3102" i="1"/>
  <c r="Q3103" i="1"/>
  <c r="Q3104" i="1"/>
  <c r="Q3105" i="1"/>
  <c r="Q3106" i="1"/>
  <c r="Q1139" i="1"/>
  <c r="Q462" i="1"/>
  <c r="Q463" i="1"/>
  <c r="Q3110" i="1"/>
  <c r="Q3609" i="1"/>
  <c r="Q3607" i="1"/>
  <c r="Q3113" i="1"/>
  <c r="Q3114" i="1"/>
  <c r="Q3115" i="1"/>
  <c r="Q3116" i="1"/>
  <c r="Q3613" i="1"/>
  <c r="Q3610" i="1"/>
  <c r="Q3119" i="1"/>
  <c r="Q3615" i="1"/>
  <c r="Q3614" i="1"/>
  <c r="Q284" i="1"/>
  <c r="Q3618" i="1"/>
  <c r="Q3617" i="1"/>
  <c r="Q3125" i="1"/>
  <c r="Q2671" i="1"/>
  <c r="Q3621" i="1"/>
  <c r="Q3620" i="1"/>
  <c r="Q3129" i="1"/>
  <c r="Q3130" i="1"/>
  <c r="Q3624" i="1"/>
  <c r="Q3623" i="1"/>
  <c r="Q3133" i="1"/>
  <c r="Q3646" i="1"/>
  <c r="Q3645" i="1"/>
  <c r="Q3643" i="1"/>
  <c r="Q3642" i="1"/>
  <c r="Q3138" i="1"/>
  <c r="Q3649" i="1"/>
  <c r="Q3648" i="1"/>
  <c r="Q3141" i="1"/>
  <c r="Q3142" i="1"/>
  <c r="Q3633" i="1"/>
  <c r="Q2650" i="1"/>
  <c r="Q2480" i="1"/>
  <c r="Q3634" i="1"/>
  <c r="Q3632" i="1"/>
  <c r="Q3148" i="1"/>
  <c r="Q3149" i="1"/>
  <c r="Q3150" i="1"/>
  <c r="Q3151" i="1"/>
  <c r="Q3152" i="1"/>
  <c r="Q3153" i="1"/>
  <c r="Q3154" i="1"/>
  <c r="Q3155" i="1"/>
  <c r="Q3156" i="1"/>
  <c r="Q3157" i="1"/>
  <c r="Q3158" i="1"/>
  <c r="Q3159" i="1"/>
  <c r="Q3160" i="1"/>
  <c r="Q3640" i="1"/>
  <c r="Q3639" i="1"/>
  <c r="Q3163" i="1"/>
  <c r="Q3164" i="1"/>
  <c r="Q3165" i="1"/>
  <c r="Q3166" i="1"/>
  <c r="Q3167" i="1"/>
  <c r="Q3168" i="1"/>
  <c r="Q3169" i="1"/>
  <c r="Q3170" i="1"/>
  <c r="Q3171" i="1"/>
  <c r="Q3172" i="1"/>
  <c r="Q3173" i="1"/>
  <c r="Q3174" i="1"/>
  <c r="Q3175" i="1"/>
  <c r="Q3176" i="1"/>
  <c r="Q919" i="1"/>
  <c r="Q3651" i="1"/>
  <c r="Q3650" i="1"/>
  <c r="Q3180" i="1"/>
  <c r="Q3181" i="1"/>
  <c r="Q2349" i="1"/>
  <c r="Q2072" i="1"/>
  <c r="Q3655" i="1"/>
  <c r="Q3654" i="1"/>
  <c r="Q3186" i="1"/>
  <c r="Q3187" i="1"/>
  <c r="Q3188" i="1"/>
  <c r="Q3189" i="1"/>
  <c r="Q3190" i="1"/>
  <c r="Q3191" i="1"/>
  <c r="Q3192" i="1"/>
  <c r="Q3635" i="1"/>
  <c r="Q3770" i="1"/>
  <c r="Q3667" i="1"/>
  <c r="Q3666" i="1"/>
  <c r="Q3197" i="1"/>
  <c r="Q3198" i="1"/>
  <c r="Q3199" i="1"/>
  <c r="Q3200" i="1"/>
  <c r="Q3673" i="1"/>
  <c r="Q3672" i="1"/>
  <c r="Q3203" i="1"/>
  <c r="Q3204" i="1"/>
  <c r="Q3205" i="1"/>
  <c r="Q3663" i="1"/>
  <c r="Q3662" i="1"/>
  <c r="Q3208" i="1"/>
  <c r="Q3209" i="1"/>
  <c r="Q3688" i="1"/>
  <c r="Q3685" i="1"/>
  <c r="Q3675" i="1"/>
  <c r="Q3674" i="1"/>
  <c r="Q3214" i="1"/>
  <c r="Q3215" i="1"/>
  <c r="Q3691" i="1"/>
  <c r="Q3689" i="1"/>
  <c r="Q3218" i="1"/>
  <c r="Q3636" i="1"/>
  <c r="Q3771" i="1"/>
  <c r="Q2990" i="1"/>
  <c r="Q3704" i="1"/>
  <c r="Q3700" i="1"/>
  <c r="Q3224" i="1"/>
  <c r="Q3720" i="1"/>
  <c r="Q3719" i="1"/>
  <c r="Q3715" i="1"/>
  <c r="Q3706" i="1"/>
  <c r="Q3722" i="1"/>
  <c r="Q3721" i="1"/>
  <c r="Q3231" i="1"/>
  <c r="Q3232" i="1"/>
  <c r="Q3233" i="1"/>
  <c r="Q3693" i="1"/>
  <c r="Q3692" i="1"/>
  <c r="Q3236" i="1"/>
  <c r="Q3237" i="1"/>
  <c r="Q3238" i="1"/>
  <c r="Q3239" i="1"/>
  <c r="Q3727" i="1"/>
  <c r="Q3755" i="1"/>
  <c r="Q3752" i="1"/>
  <c r="Q3243" i="1"/>
  <c r="Q3758" i="1"/>
  <c r="Q3756" i="1"/>
  <c r="Q3246" i="1"/>
  <c r="Q3247" i="1"/>
  <c r="Q543" i="1"/>
  <c r="Q3765" i="1"/>
  <c r="Q3762" i="1"/>
  <c r="Q3251" i="1"/>
  <c r="Q3252" i="1"/>
  <c r="Q3253" i="1"/>
  <c r="Q3254" i="1"/>
  <c r="Q3255" i="1"/>
  <c r="Q3256" i="1"/>
  <c r="Q3257" i="1"/>
  <c r="Q3868" i="1"/>
  <c r="Q3757" i="1"/>
  <c r="Q3735" i="1"/>
  <c r="Q3734" i="1"/>
  <c r="Q3262" i="1"/>
  <c r="Q3263" i="1"/>
  <c r="Q3264" i="1"/>
  <c r="Q3265" i="1"/>
  <c r="Q3266" i="1"/>
  <c r="Q3267" i="1"/>
  <c r="Q3268" i="1"/>
  <c r="Q3269" i="1"/>
  <c r="Q3270" i="1"/>
  <c r="Q3271" i="1"/>
  <c r="Q3272" i="1"/>
  <c r="Q3273" i="1"/>
  <c r="Q3274" i="1"/>
  <c r="Q3275" i="1"/>
  <c r="Q3276" i="1"/>
  <c r="Q3277" i="1"/>
  <c r="Q3740" i="1"/>
  <c r="Q3739" i="1"/>
  <c r="Q3280" i="1"/>
  <c r="Q3281" i="1"/>
  <c r="Q3282" i="1"/>
  <c r="Q3283" i="1"/>
  <c r="Q3284" i="1"/>
  <c r="Q3285" i="1"/>
  <c r="Q3286" i="1"/>
  <c r="Q3287" i="1"/>
  <c r="Q3288" i="1"/>
  <c r="Q3289" i="1"/>
  <c r="Q3290" i="1"/>
  <c r="Q3291" i="1"/>
  <c r="Q3292" i="1"/>
  <c r="Q3293" i="1"/>
  <c r="Q3294" i="1"/>
  <c r="Q3295" i="1"/>
  <c r="Q3743" i="1"/>
  <c r="Q3742" i="1"/>
  <c r="Q3298" i="1"/>
  <c r="Q3299" i="1"/>
  <c r="Q3300" i="1"/>
  <c r="Q3301" i="1"/>
  <c r="Q3302" i="1"/>
  <c r="Q3303" i="1"/>
  <c r="Q3304" i="1"/>
  <c r="Q3305" i="1"/>
  <c r="Q3306" i="1"/>
  <c r="Q3307" i="1"/>
  <c r="Q3308" i="1"/>
  <c r="Q3309" i="1"/>
  <c r="Q3310" i="1"/>
  <c r="Q3311" i="1"/>
  <c r="Q3748" i="1"/>
  <c r="Q3747" i="1"/>
  <c r="Q3314" i="1"/>
  <c r="Q3315" i="1"/>
  <c r="Q3316" i="1"/>
  <c r="Q3317" i="1"/>
  <c r="Q3318" i="1"/>
  <c r="Q3319" i="1"/>
  <c r="Q3320" i="1"/>
  <c r="Q3321" i="1"/>
  <c r="Q3322" i="1"/>
  <c r="Q3323" i="1"/>
  <c r="Q3324" i="1"/>
  <c r="Q3325" i="1"/>
  <c r="Q3326" i="1"/>
  <c r="Q3327" i="1"/>
  <c r="Q3773" i="1"/>
  <c r="Q3772" i="1"/>
  <c r="Q3330" i="1"/>
  <c r="Q3776" i="1"/>
  <c r="Q3775" i="1"/>
  <c r="Q3333" i="1"/>
  <c r="Q3768" i="1"/>
  <c r="Q3766" i="1"/>
  <c r="Q3760" i="1"/>
  <c r="Q3759" i="1"/>
  <c r="Q3338" i="1"/>
  <c r="Q3339" i="1"/>
  <c r="Q3340" i="1"/>
  <c r="Q3781" i="1"/>
  <c r="Q3777" i="1"/>
  <c r="Q3343" i="1"/>
  <c r="Q2272" i="1"/>
  <c r="Q3786" i="1"/>
  <c r="Q3782" i="1"/>
  <c r="Q3347" i="1"/>
  <c r="Q3348" i="1"/>
  <c r="Q3349" i="1"/>
  <c r="Q3792" i="1"/>
  <c r="Q3787" i="1"/>
  <c r="Q3352" i="1"/>
  <c r="Q2385" i="1"/>
  <c r="Q2392" i="1"/>
  <c r="Q3355" i="1"/>
  <c r="Q713" i="1"/>
  <c r="Q3815" i="1"/>
  <c r="Q3814" i="1"/>
  <c r="Q3359" i="1"/>
  <c r="Q3360" i="1"/>
  <c r="Q3361" i="1"/>
  <c r="Q3362" i="1"/>
  <c r="Q3363" i="1"/>
  <c r="Q3364" i="1"/>
  <c r="Q3365" i="1"/>
  <c r="Q3819" i="1"/>
  <c r="Q3818" i="1"/>
  <c r="Q3368" i="1"/>
  <c r="Q3369" i="1"/>
  <c r="Q3370" i="1"/>
  <c r="Q3371" i="1"/>
  <c r="Q3372" i="1"/>
  <c r="Q3373" i="1"/>
  <c r="Q3374" i="1"/>
  <c r="Q3375" i="1"/>
  <c r="Q3376" i="1"/>
  <c r="Q3377" i="1"/>
  <c r="Q3378" i="1"/>
  <c r="Q3379" i="1"/>
  <c r="Q3798" i="1"/>
  <c r="Q3793" i="1"/>
  <c r="Q3382" i="1"/>
  <c r="Q3383" i="1"/>
  <c r="Q3384" i="1"/>
  <c r="Q3385" i="1"/>
  <c r="Q3823" i="1"/>
  <c r="Q3822" i="1"/>
  <c r="Q3388" i="1"/>
  <c r="Q3389" i="1"/>
  <c r="Q3836" i="1"/>
  <c r="Q3833" i="1"/>
  <c r="Q3392" i="1"/>
  <c r="Q3393" i="1"/>
  <c r="Q3839" i="1"/>
  <c r="Q3837" i="1"/>
  <c r="Q3396" i="1"/>
  <c r="Q3397" i="1"/>
  <c r="Q3398" i="1"/>
  <c r="Q315" i="1"/>
  <c r="Q229" i="1"/>
  <c r="Q300" i="1"/>
  <c r="Q3951" i="1"/>
  <c r="Q3834" i="1"/>
  <c r="Q1881" i="1"/>
  <c r="Q2103" i="1"/>
  <c r="Q3860" i="1"/>
  <c r="Q3858" i="1"/>
  <c r="Q3408" i="1"/>
  <c r="Q3409" i="1"/>
  <c r="Q3410" i="1"/>
  <c r="Q3411" i="1"/>
  <c r="Q3412" i="1"/>
  <c r="Q3413" i="1"/>
  <c r="Q3862" i="1"/>
  <c r="Q3861" i="1"/>
  <c r="Q3416" i="1"/>
  <c r="Q3417" i="1"/>
  <c r="Q3866" i="1"/>
  <c r="Q3864" i="1"/>
  <c r="Q3420" i="1"/>
  <c r="Q3844" i="1"/>
  <c r="Q3840" i="1"/>
  <c r="Q3423" i="1"/>
  <c r="Q3849" i="1"/>
  <c r="Q3848" i="1"/>
  <c r="Q3426" i="1"/>
  <c r="Q3856" i="1"/>
  <c r="Q3852" i="1"/>
  <c r="Q3429" i="1"/>
  <c r="Q3869" i="1"/>
  <c r="Q3867" i="1"/>
  <c r="Q3432" i="1"/>
  <c r="Q3433" i="1"/>
  <c r="Q3434" i="1"/>
  <c r="Q3435" i="1"/>
  <c r="Q3436" i="1"/>
  <c r="Q3437" i="1"/>
  <c r="Q3438" i="1"/>
  <c r="Q3439" i="1"/>
  <c r="Q3440" i="1"/>
  <c r="Q3878" i="1"/>
  <c r="Q3870" i="1"/>
  <c r="Q3443" i="1"/>
  <c r="Q3444" i="1"/>
  <c r="Q3445" i="1"/>
  <c r="Q3446" i="1"/>
  <c r="Q3447" i="1"/>
  <c r="Q3448" i="1"/>
  <c r="Q3449" i="1"/>
  <c r="Q3450" i="1"/>
  <c r="Q3451" i="1"/>
  <c r="Q3880" i="1"/>
  <c r="Q3879" i="1"/>
  <c r="Q3454" i="1"/>
  <c r="Q3884" i="1"/>
  <c r="Q3883" i="1"/>
  <c r="Q3457" i="1"/>
  <c r="Q3458" i="1"/>
  <c r="Q3459" i="1"/>
  <c r="Q3460" i="1"/>
  <c r="Q3461" i="1"/>
  <c r="Q3462" i="1"/>
  <c r="Q3463" i="1"/>
  <c r="Q3464" i="1"/>
  <c r="Q3465" i="1"/>
  <c r="Q3881" i="1"/>
  <c r="Q3889" i="1"/>
  <c r="Q3888" i="1"/>
  <c r="Q3469" i="1"/>
  <c r="Q3470" i="1"/>
  <c r="Q3471" i="1"/>
  <c r="Q3472" i="1"/>
  <c r="Q3473" i="1"/>
  <c r="Q3474" i="1"/>
  <c r="Q3475" i="1"/>
  <c r="Q3476" i="1"/>
  <c r="Q3477" i="1"/>
  <c r="Q3478" i="1"/>
  <c r="Q3479" i="1"/>
  <c r="Q3480" i="1"/>
  <c r="Q3481" i="1"/>
  <c r="Q3482" i="1"/>
  <c r="Q3483" i="1"/>
  <c r="Q3484" i="1"/>
  <c r="Q3897" i="1"/>
  <c r="Q3894" i="1"/>
  <c r="Q3487" i="1"/>
  <c r="Q3488" i="1"/>
  <c r="Q3489" i="1"/>
  <c r="Q3490" i="1"/>
  <c r="Q3491" i="1"/>
  <c r="Q3492" i="1"/>
  <c r="Q3493" i="1"/>
  <c r="Q3494" i="1"/>
  <c r="Q3495" i="1"/>
  <c r="Q3496" i="1"/>
  <c r="Q3497" i="1"/>
  <c r="Q3498" i="1"/>
  <c r="Q3499" i="1"/>
  <c r="Q3500" i="1"/>
  <c r="Q3501" i="1"/>
  <c r="Q3502" i="1"/>
  <c r="Q3555" i="1"/>
  <c r="Q1895" i="1"/>
  <c r="Q3800" i="1"/>
  <c r="Q3799" i="1"/>
  <c r="Q3507" i="1"/>
  <c r="Q3508" i="1"/>
  <c r="Q3509" i="1"/>
  <c r="Q3510" i="1"/>
  <c r="Q3511" i="1"/>
  <c r="Q3512" i="1"/>
  <c r="Q3811" i="1"/>
  <c r="Q3810" i="1"/>
  <c r="Q3515" i="1"/>
  <c r="Q3516" i="1"/>
  <c r="Q3517" i="1"/>
  <c r="Q3518" i="1"/>
  <c r="Q3519" i="1"/>
  <c r="Q3520" i="1"/>
  <c r="Q3521" i="1"/>
  <c r="Q3902" i="1"/>
  <c r="Q3901" i="1"/>
  <c r="Q3905" i="1"/>
  <c r="Q3904" i="1"/>
  <c r="Q3526" i="1"/>
  <c r="Q3928" i="1"/>
  <c r="Q3916" i="1"/>
  <c r="Q3529" i="1"/>
  <c r="Q3942" i="1"/>
  <c r="Q3941" i="1"/>
  <c r="Q3532" i="1"/>
  <c r="Q3945" i="1"/>
  <c r="Q3944" i="1"/>
  <c r="Q3535" i="1"/>
  <c r="Q3556" i="1"/>
  <c r="Q1899" i="1"/>
  <c r="Q3962" i="1"/>
  <c r="Q3961" i="1"/>
  <c r="Q3910" i="1"/>
  <c r="Q3909" i="1"/>
  <c r="Q3542" i="1"/>
  <c r="Q3995" i="1"/>
  <c r="Q3994" i="1"/>
  <c r="Q3545" i="1"/>
  <c r="Q4002" i="1"/>
  <c r="Q3996" i="1"/>
  <c r="Q3548" i="1"/>
  <c r="Q4019" i="1"/>
  <c r="Q4017" i="1"/>
  <c r="Q3551" i="1"/>
  <c r="Q4045" i="1"/>
  <c r="Q4033" i="1"/>
  <c r="Q3554" i="1"/>
  <c r="Q3992" i="1"/>
  <c r="Q3991" i="1"/>
  <c r="Q3557" i="1"/>
  <c r="Q3558" i="1"/>
  <c r="Q3559" i="1"/>
  <c r="Q3560" i="1"/>
  <c r="Q3561" i="1"/>
  <c r="Q3562" i="1"/>
  <c r="Q4103" i="1"/>
  <c r="Q4095" i="1"/>
  <c r="Q3565" i="1"/>
  <c r="Q3566" i="1"/>
  <c r="Q4105" i="1"/>
  <c r="Q4104" i="1"/>
  <c r="Q4111" i="1"/>
  <c r="Q4080" i="1"/>
  <c r="Q4020" i="1"/>
  <c r="Q4049" i="1"/>
  <c r="Q4060" i="1"/>
  <c r="Q4072" i="1"/>
  <c r="Q3969" i="1"/>
  <c r="Q3963" i="1"/>
  <c r="Q3577" i="1"/>
  <c r="Q3578" i="1"/>
  <c r="Q3579" i="1"/>
  <c r="Q3580" i="1"/>
  <c r="Q3581" i="1"/>
  <c r="Q3582" i="1"/>
  <c r="Q3583" i="1"/>
  <c r="Q3584" i="1"/>
  <c r="Q3585" i="1"/>
  <c r="Q3972" i="1"/>
  <c r="Q3970" i="1"/>
  <c r="Q3588" i="1"/>
  <c r="Q3589" i="1"/>
  <c r="Q3590" i="1"/>
  <c r="Q3591" i="1"/>
  <c r="Q3592" i="1"/>
  <c r="Q3593" i="1"/>
  <c r="Q3594" i="1"/>
  <c r="Q3595" i="1"/>
  <c r="Q3596" i="1"/>
  <c r="Q3597" i="1"/>
  <c r="Q3598" i="1"/>
  <c r="Q4009" i="1"/>
  <c r="Q4003" i="1"/>
  <c r="Q3601" i="1"/>
  <c r="Q3602" i="1"/>
  <c r="Q3603" i="1"/>
  <c r="Q4139" i="1"/>
  <c r="Q4124" i="1"/>
  <c r="Q4155" i="1"/>
  <c r="Q4140" i="1"/>
  <c r="Q3608" i="1"/>
  <c r="Q4113" i="1"/>
  <c r="Q4112" i="1"/>
  <c r="Q3611" i="1"/>
  <c r="Q3612" i="1"/>
  <c r="Q4181" i="1"/>
  <c r="Q4166" i="1"/>
  <c r="Q3853" i="1"/>
  <c r="Q3714" i="1"/>
  <c r="Q4213" i="1"/>
  <c r="Q4206" i="1"/>
  <c r="Q3619" i="1"/>
  <c r="Q4223" i="1"/>
  <c r="Q4214" i="1"/>
  <c r="Q3622" i="1"/>
  <c r="Q4165" i="1"/>
  <c r="Q4156" i="1"/>
  <c r="Q3625" i="1"/>
  <c r="Q3626" i="1"/>
  <c r="Q3627" i="1"/>
  <c r="Q3628" i="1"/>
  <c r="Q3629" i="1"/>
  <c r="Q3630" i="1"/>
  <c r="Q3631" i="1"/>
  <c r="Q4232" i="1"/>
  <c r="Q4224" i="1"/>
  <c r="Q3950" i="1"/>
  <c r="Q3960" i="1"/>
  <c r="Q3952" i="1"/>
  <c r="Q3637" i="1"/>
  <c r="Q3638" i="1"/>
  <c r="Q4256" i="1"/>
  <c r="Q4255" i="1"/>
  <c r="Q3641" i="1"/>
  <c r="Q4260" i="1"/>
  <c r="Q4257" i="1"/>
  <c r="Q3644" i="1"/>
  <c r="Q4243" i="1"/>
  <c r="Q4242" i="1"/>
  <c r="Q3647" i="1"/>
  <c r="Q4289" i="1"/>
  <c r="Q4278" i="1"/>
  <c r="Q4292" i="1"/>
  <c r="Q4290" i="1"/>
  <c r="Q3652" i="1"/>
  <c r="Q3653" i="1"/>
  <c r="Q4251" i="1"/>
  <c r="Q4249" i="1"/>
  <c r="Q3656" i="1"/>
  <c r="Q3657" i="1"/>
  <c r="Q3658" i="1"/>
  <c r="Q4246" i="1"/>
  <c r="Q4245" i="1"/>
  <c r="Q3661" i="1"/>
  <c r="Q4253" i="1"/>
  <c r="Q4252" i="1"/>
  <c r="Q3664" i="1"/>
  <c r="Q3665" i="1"/>
  <c r="Q4110" i="1"/>
  <c r="Q4108" i="1"/>
  <c r="Q3668" i="1"/>
  <c r="Q4297" i="1"/>
  <c r="Q4295" i="1"/>
  <c r="Q3671" i="1"/>
  <c r="Q4299" i="1"/>
  <c r="Q4298" i="1"/>
  <c r="Q4107" i="1"/>
  <c r="Q4106" i="1"/>
  <c r="Q3676" i="1"/>
  <c r="Q3677" i="1"/>
  <c r="Q3678" i="1"/>
  <c r="Q3679" i="1"/>
  <c r="Q3680" i="1"/>
  <c r="Q4240" i="1"/>
  <c r="Q4237" i="1"/>
  <c r="Q3683" i="1"/>
  <c r="Q4267" i="1"/>
  <c r="Q4261" i="1"/>
  <c r="Q3686" i="1"/>
  <c r="Q3687" i="1"/>
  <c r="Q4236" i="1"/>
  <c r="Q4233" i="1"/>
  <c r="Q3690" i="1"/>
  <c r="Q3669" i="1"/>
  <c r="Q4314" i="1"/>
  <c r="Q4310" i="1"/>
  <c r="Q3694" i="1"/>
  <c r="Q3695" i="1"/>
  <c r="Q3696" i="1"/>
  <c r="Q3697" i="1"/>
  <c r="Q3698" i="1"/>
  <c r="Q4309" i="1"/>
  <c r="Q4308" i="1"/>
  <c r="Q3701" i="1"/>
  <c r="Q3702" i="1"/>
  <c r="Q3703" i="1"/>
  <c r="Q2652" i="1"/>
  <c r="Q4318" i="1"/>
  <c r="Q4317" i="1"/>
  <c r="Q3707" i="1"/>
  <c r="Q3708" i="1"/>
  <c r="Q3709" i="1"/>
  <c r="Q3710" i="1"/>
  <c r="Q3711" i="1"/>
  <c r="Q3712" i="1"/>
  <c r="Q3713" i="1"/>
  <c r="Q4320" i="1"/>
  <c r="Q4319" i="1"/>
  <c r="Q3716" i="1"/>
  <c r="Q3717" i="1"/>
  <c r="Q3718" i="1"/>
  <c r="Q2527" i="1"/>
  <c r="Q2364" i="1"/>
  <c r="Q4333" i="1"/>
  <c r="Q4332" i="1"/>
  <c r="Q3723" i="1"/>
  <c r="Q3724" i="1"/>
  <c r="Q3725" i="1"/>
  <c r="Q3726" i="1"/>
  <c r="Q4335" i="1"/>
  <c r="Q4334" i="1"/>
  <c r="Q3729" i="1"/>
  <c r="Q3730" i="1"/>
  <c r="Q3731" i="1"/>
  <c r="Q3732" i="1"/>
  <c r="Q3733" i="1"/>
  <c r="Q4342" i="1"/>
  <c r="Q4341" i="1"/>
  <c r="Q3736" i="1"/>
  <c r="Q3737" i="1"/>
  <c r="Q3738" i="1"/>
  <c r="Q4338" i="1"/>
  <c r="Q4337" i="1"/>
  <c r="Q3741" i="1"/>
  <c r="Q4345" i="1"/>
  <c r="Q4343" i="1"/>
  <c r="Q3744" i="1"/>
  <c r="Q3745" i="1"/>
  <c r="Q2536" i="1"/>
  <c r="Q4294" i="1"/>
  <c r="Q4293" i="1"/>
  <c r="Q3749" i="1"/>
  <c r="Q3750" i="1"/>
  <c r="Q4350" i="1"/>
  <c r="Q4346" i="1"/>
  <c r="Q3753" i="1"/>
  <c r="Q3754" i="1"/>
  <c r="Q4047" i="1"/>
  <c r="Q3898" i="1"/>
  <c r="Q3895" i="1"/>
  <c r="Q4048" i="1"/>
  <c r="Q4403" i="1"/>
  <c r="Q4250" i="1"/>
  <c r="Q4387" i="1"/>
  <c r="Q4386" i="1"/>
  <c r="Q3763" i="1"/>
  <c r="Q3764" i="1"/>
  <c r="Q4355" i="1"/>
  <c r="Q4351" i="1"/>
  <c r="Q3767" i="1"/>
  <c r="Q4360" i="1"/>
  <c r="Q4365" i="1"/>
  <c r="Q4369" i="1"/>
  <c r="Q4375" i="1"/>
  <c r="Q4383" i="1"/>
  <c r="Q4382" i="1"/>
  <c r="Q3774" i="1"/>
  <c r="Q4385" i="1"/>
  <c r="Q4389" i="1"/>
  <c r="Q4388" i="1"/>
  <c r="Q3778" i="1"/>
  <c r="Q3779" i="1"/>
  <c r="Q3780" i="1"/>
  <c r="Q4392" i="1"/>
  <c r="Q4390" i="1"/>
  <c r="Q3783" i="1"/>
  <c r="Q3784" i="1"/>
  <c r="Q3785" i="1"/>
  <c r="Q4197" i="1"/>
  <c r="Q4182" i="1"/>
  <c r="Q3788" i="1"/>
  <c r="Q3789" i="1"/>
  <c r="Q3790" i="1"/>
  <c r="Q3791" i="1"/>
  <c r="Q4205" i="1"/>
  <c r="Q4199" i="1"/>
  <c r="Q3794" i="1"/>
  <c r="Q3795" i="1"/>
  <c r="Q3796" i="1"/>
  <c r="Q3797" i="1"/>
  <c r="Q2350" i="1"/>
  <c r="Q4277" i="1"/>
  <c r="Q4268" i="1"/>
  <c r="Q3801" i="1"/>
  <c r="Q3802" i="1"/>
  <c r="Q3803" i="1"/>
  <c r="Q3804" i="1"/>
  <c r="Q3805" i="1"/>
  <c r="Q3806" i="1"/>
  <c r="Q3807" i="1"/>
  <c r="Q3808" i="1"/>
  <c r="Q3809" i="1"/>
  <c r="Q4405" i="1"/>
  <c r="Q4404" i="1"/>
  <c r="Q3812" i="1"/>
  <c r="Q3813" i="1"/>
  <c r="Q4428" i="1"/>
  <c r="Q4415" i="1"/>
  <c r="Q3816" i="1"/>
  <c r="Q3817" i="1"/>
  <c r="Q4442" i="1"/>
  <c r="Q4429" i="1"/>
  <c r="Q3820" i="1"/>
  <c r="Q3821" i="1"/>
  <c r="Q4397" i="1"/>
  <c r="Q4393" i="1"/>
  <c r="Q3824" i="1"/>
  <c r="Q3825" i="1"/>
  <c r="Q3826" i="1"/>
  <c r="Q3827" i="1"/>
  <c r="Q3828" i="1"/>
  <c r="Q3829" i="1"/>
  <c r="Q3830" i="1"/>
  <c r="Q3831" i="1"/>
  <c r="Q3832" i="1"/>
  <c r="Q4409" i="1"/>
  <c r="Q4408" i="1"/>
  <c r="Q3835" i="1"/>
  <c r="Q4400" i="1"/>
  <c r="Q4398" i="1"/>
  <c r="Q3838" i="1"/>
  <c r="Q4411" i="1"/>
  <c r="Q4410" i="1"/>
  <c r="Q3841" i="1"/>
  <c r="Q3842" i="1"/>
  <c r="Q3843" i="1"/>
  <c r="Q4414" i="1"/>
  <c r="Q4412" i="1"/>
  <c r="Q3846" i="1"/>
  <c r="Q3847" i="1"/>
  <c r="Q3845" i="1"/>
  <c r="Q3851" i="1"/>
  <c r="Q3857" i="1"/>
  <c r="Q3908" i="1"/>
  <c r="Q3915" i="1"/>
  <c r="Q3929" i="1"/>
  <c r="Q3943" i="1"/>
  <c r="Q3946" i="1"/>
  <c r="Q4241" i="1"/>
  <c r="Q4058" i="1"/>
  <c r="Q4061" i="1"/>
  <c r="Q4073" i="1"/>
  <c r="Q4384" i="1"/>
  <c r="Q4032" i="1"/>
  <c r="Q4059" i="1"/>
  <c r="Q4062" i="1"/>
  <c r="Q4074" i="1"/>
  <c r="Q4244" i="1"/>
  <c r="Q4254" i="1"/>
  <c r="Q4071" i="1"/>
  <c r="Q4079" i="1"/>
  <c r="Q4460" i="1"/>
  <c r="Q4459" i="1"/>
  <c r="Q3871" i="1"/>
  <c r="Q3872" i="1"/>
  <c r="Q3873" i="1"/>
  <c r="Q3874" i="1"/>
  <c r="Q3875" i="1"/>
  <c r="Q3876" i="1"/>
  <c r="Q3877" i="1"/>
  <c r="Q4462" i="1"/>
  <c r="Q4461" i="1"/>
  <c r="Q4471" i="1"/>
  <c r="Q4470" i="1"/>
  <c r="Q3882" i="1"/>
  <c r="Q4491" i="1"/>
  <c r="Q4486" i="1"/>
  <c r="Q3885" i="1"/>
  <c r="Q3886" i="1"/>
  <c r="Q3887" i="1"/>
  <c r="Q4477" i="1"/>
  <c r="Q4476" i="1"/>
  <c r="Q3890" i="1"/>
  <c r="Q3891" i="1"/>
  <c r="Q3892" i="1"/>
  <c r="Q3893" i="1"/>
  <c r="Q4475" i="1"/>
  <c r="Q4473" i="1"/>
  <c r="Q3896" i="1"/>
  <c r="Q4495" i="1"/>
  <c r="Q4493" i="1"/>
  <c r="Q3899" i="1"/>
  <c r="Q3900" i="1"/>
  <c r="Q4523" i="1"/>
  <c r="Q4512" i="1"/>
  <c r="Q3903" i="1"/>
  <c r="Q4481" i="1"/>
  <c r="Q4478" i="1"/>
  <c r="Q3906" i="1"/>
  <c r="Q3907" i="1"/>
  <c r="Q3146" i="1"/>
  <c r="Q4456" i="1"/>
  <c r="Q4455" i="1"/>
  <c r="Q3911" i="1"/>
  <c r="Q3912" i="1"/>
  <c r="Q3913" i="1"/>
  <c r="Q3914" i="1"/>
  <c r="Q4499" i="1"/>
  <c r="Q4496" i="1"/>
  <c r="Q3917" i="1"/>
  <c r="Q3918" i="1"/>
  <c r="Q3919" i="1"/>
  <c r="Q3920" i="1"/>
  <c r="Q3921" i="1"/>
  <c r="Q3922" i="1"/>
  <c r="Q3923" i="1"/>
  <c r="Q3924" i="1"/>
  <c r="Q3925" i="1"/>
  <c r="Q3926" i="1"/>
  <c r="Q3927" i="1"/>
  <c r="Q4511" i="1"/>
  <c r="Q4500" i="1"/>
  <c r="Q3930" i="1"/>
  <c r="Q3931" i="1"/>
  <c r="Q3932" i="1"/>
  <c r="Q3933" i="1"/>
  <c r="Q3934" i="1"/>
  <c r="Q3935" i="1"/>
  <c r="Q3936" i="1"/>
  <c r="Q3937" i="1"/>
  <c r="Q3938" i="1"/>
  <c r="Q3939" i="1"/>
  <c r="Q3940" i="1"/>
  <c r="Q3982" i="1"/>
  <c r="Q3971" i="1"/>
  <c r="Q4535" i="1"/>
  <c r="Q4524" i="1"/>
  <c r="Q4537" i="1"/>
  <c r="Q4536" i="1"/>
  <c r="Q3947" i="1"/>
  <c r="Q3948" i="1"/>
  <c r="Q3949" i="1"/>
  <c r="Q4123" i="1"/>
  <c r="Q4546" i="1"/>
  <c r="Q4538" i="1"/>
  <c r="Q3953" i="1"/>
  <c r="Q3954" i="1"/>
  <c r="Q3955" i="1"/>
  <c r="Q3956" i="1"/>
  <c r="Q3957" i="1"/>
  <c r="Q3958" i="1"/>
  <c r="Q3959" i="1"/>
  <c r="Q4565" i="1"/>
  <c r="Q4557" i="1"/>
  <c r="Q4556" i="1"/>
  <c r="Q4554" i="1"/>
  <c r="Q3964" i="1"/>
  <c r="Q3965" i="1"/>
  <c r="Q3966" i="1"/>
  <c r="Q3967" i="1"/>
  <c r="Q3968" i="1"/>
  <c r="Q4706" i="1"/>
  <c r="Q4545" i="1"/>
  <c r="Q4574" i="1"/>
  <c r="Q4566" i="1"/>
  <c r="Q3973" i="1"/>
  <c r="Q3974" i="1"/>
  <c r="Q3975" i="1"/>
  <c r="Q3976" i="1"/>
  <c r="Q3977" i="1"/>
  <c r="Q3978" i="1"/>
  <c r="Q3979" i="1"/>
  <c r="Q3980" i="1"/>
  <c r="Q3981" i="1"/>
  <c r="Q4484" i="1"/>
  <c r="Q4480" i="1"/>
  <c r="Q2732" i="1"/>
  <c r="Q2625" i="1"/>
  <c r="Q3986" i="1"/>
  <c r="Q3987" i="1"/>
  <c r="Q3988" i="1"/>
  <c r="Q3989" i="1"/>
  <c r="Q3990" i="1"/>
  <c r="Q4578" i="1"/>
  <c r="Q4575" i="1"/>
  <c r="Q3993" i="1"/>
  <c r="Q4553" i="1"/>
  <c r="Q4581" i="1"/>
  <c r="Q4580" i="1"/>
  <c r="Q3997" i="1"/>
  <c r="Q3998" i="1"/>
  <c r="Q3999" i="1"/>
  <c r="Q4000" i="1"/>
  <c r="Q4001" i="1"/>
  <c r="Q4591" i="1"/>
  <c r="Q4590" i="1"/>
  <c r="Q4004" i="1"/>
  <c r="Q4005" i="1"/>
  <c r="Q4006" i="1"/>
  <c r="Q4007" i="1"/>
  <c r="Q4008" i="1"/>
  <c r="Q4601" i="1"/>
  <c r="Q4600" i="1"/>
  <c r="Q4011" i="1"/>
  <c r="Q4012" i="1"/>
  <c r="Q4013" i="1"/>
  <c r="Q4014" i="1"/>
  <c r="Q4015" i="1"/>
  <c r="Q4604" i="1"/>
  <c r="Q4602" i="1"/>
  <c r="Q4018" i="1"/>
  <c r="Q4612" i="1"/>
  <c r="Q4605" i="1"/>
  <c r="Q4021" i="1"/>
  <c r="Q4022" i="1"/>
  <c r="Q4023" i="1"/>
  <c r="Q4024" i="1"/>
  <c r="Q4025" i="1"/>
  <c r="Q4026" i="1"/>
  <c r="Q4027" i="1"/>
  <c r="Q4028" i="1"/>
  <c r="Q4029" i="1"/>
  <c r="Q4030" i="1"/>
  <c r="Q4031" i="1"/>
  <c r="Q4616" i="1"/>
  <c r="Q4615" i="1"/>
  <c r="Q4034" i="1"/>
  <c r="Q4035" i="1"/>
  <c r="Q4036" i="1"/>
  <c r="Q4037" i="1"/>
  <c r="Q4038" i="1"/>
  <c r="Q4039" i="1"/>
  <c r="Q4040" i="1"/>
  <c r="Q4041" i="1"/>
  <c r="Q4042" i="1"/>
  <c r="Q4043" i="1"/>
  <c r="Q4044" i="1"/>
  <c r="Q4613" i="1"/>
  <c r="Q4618" i="1"/>
  <c r="Q1833" i="1"/>
  <c r="Q4621" i="1"/>
  <c r="Q4619" i="1"/>
  <c r="Q4050" i="1"/>
  <c r="Q4051" i="1"/>
  <c r="Q4052" i="1"/>
  <c r="Q4053" i="1"/>
  <c r="Q4054" i="1"/>
  <c r="Q4055" i="1"/>
  <c r="Q4056" i="1"/>
  <c r="Q4057" i="1"/>
  <c r="Q4628" i="1"/>
  <c r="Q4623" i="1"/>
  <c r="Q2351" i="1"/>
  <c r="Q4634" i="1"/>
  <c r="Q4629" i="1"/>
  <c r="Q4063" i="1"/>
  <c r="Q4064" i="1"/>
  <c r="Q4065" i="1"/>
  <c r="Q4066" i="1"/>
  <c r="Q4067" i="1"/>
  <c r="Q4068" i="1"/>
  <c r="Q4069" i="1"/>
  <c r="Q4070" i="1"/>
  <c r="Q4666" i="1"/>
  <c r="Q4665" i="1"/>
  <c r="Q4670" i="1"/>
  <c r="Q4668" i="1"/>
  <c r="Q4075" i="1"/>
  <c r="Q4076" i="1"/>
  <c r="Q4077" i="1"/>
  <c r="Q4078" i="1"/>
  <c r="Q4448" i="1"/>
  <c r="Q4443" i="1"/>
  <c r="Q4081" i="1"/>
  <c r="Q4452" i="1"/>
  <c r="Q4451" i="1"/>
  <c r="Q4084" i="1"/>
  <c r="Q4085" i="1"/>
  <c r="Q4086" i="1"/>
  <c r="Q4087" i="1"/>
  <c r="Q4088" i="1"/>
  <c r="Q4089" i="1"/>
  <c r="Q4090" i="1"/>
  <c r="Q4091" i="1"/>
  <c r="Q4092" i="1"/>
  <c r="Q4093" i="1"/>
  <c r="Q4622" i="1"/>
  <c r="Q4447" i="1"/>
  <c r="Q4096" i="1"/>
  <c r="Q4097" i="1"/>
  <c r="Q4098" i="1"/>
  <c r="Q4099" i="1"/>
  <c r="Q4100" i="1"/>
  <c r="Q4101" i="1"/>
  <c r="Q4102" i="1"/>
  <c r="Q4673" i="1"/>
  <c r="Q4672" i="1"/>
  <c r="Q3452" i="1"/>
  <c r="Q3453" i="1"/>
  <c r="Q4725" i="1"/>
  <c r="Q4577" i="1"/>
  <c r="Q4109" i="1"/>
  <c r="Q4678" i="1"/>
  <c r="Q4677" i="1"/>
  <c r="Q1796" i="1"/>
  <c r="Q3670" i="1"/>
  <c r="Q4659" i="1"/>
  <c r="Q4658" i="1"/>
  <c r="Q4116" i="1"/>
  <c r="Q4662" i="1"/>
  <c r="Q4661" i="1"/>
  <c r="Q4119" i="1"/>
  <c r="Q4120" i="1"/>
  <c r="Q4121" i="1"/>
  <c r="Q1715" i="1"/>
  <c r="Q4685" i="1"/>
  <c r="Q4684" i="1"/>
  <c r="Q4125" i="1"/>
  <c r="Q4126" i="1"/>
  <c r="Q4127" i="1"/>
  <c r="Q4128" i="1"/>
  <c r="Q4129" i="1"/>
  <c r="Q4130" i="1"/>
  <c r="Q4131" i="1"/>
  <c r="Q4132" i="1"/>
  <c r="Q4133" i="1"/>
  <c r="Q4134" i="1"/>
  <c r="Q4135" i="1"/>
  <c r="Q4136" i="1"/>
  <c r="Q4137" i="1"/>
  <c r="Q4138" i="1"/>
  <c r="Q4691" i="1"/>
  <c r="Q4690" i="1"/>
  <c r="Q4141" i="1"/>
  <c r="Q4142" i="1"/>
  <c r="Q4143" i="1"/>
  <c r="Q4144" i="1"/>
  <c r="Q4145" i="1"/>
  <c r="Q4146" i="1"/>
  <c r="Q4147" i="1"/>
  <c r="Q4148" i="1"/>
  <c r="Q4149" i="1"/>
  <c r="Q4150" i="1"/>
  <c r="Q4151" i="1"/>
  <c r="Q4152" i="1"/>
  <c r="Q4153" i="1"/>
  <c r="Q4154" i="1"/>
  <c r="Q4710" i="1"/>
  <c r="Q4708" i="1"/>
  <c r="Q4157" i="1"/>
  <c r="Q4158" i="1"/>
  <c r="Q4159" i="1"/>
  <c r="Q4160" i="1"/>
  <c r="Q4161" i="1"/>
  <c r="Q4162" i="1"/>
  <c r="Q4163" i="1"/>
  <c r="Q4164" i="1"/>
  <c r="Q4698" i="1"/>
  <c r="Q4697" i="1"/>
  <c r="Q4167" i="1"/>
  <c r="Q4168" i="1"/>
  <c r="Q4169" i="1"/>
  <c r="Q4170" i="1"/>
  <c r="Q4171" i="1"/>
  <c r="Q4172" i="1"/>
  <c r="Q4173" i="1"/>
  <c r="Q4174" i="1"/>
  <c r="Q4175" i="1"/>
  <c r="Q4176" i="1"/>
  <c r="Q4177" i="1"/>
  <c r="Q4178" i="1"/>
  <c r="Q4179" i="1"/>
  <c r="Q4180" i="1"/>
  <c r="Q4700" i="1"/>
  <c r="Q4699" i="1"/>
  <c r="Q4183" i="1"/>
  <c r="Q4184" i="1"/>
  <c r="Q4185" i="1"/>
  <c r="Q4186" i="1"/>
  <c r="Q4187" i="1"/>
  <c r="Q4188" i="1"/>
  <c r="Q4189" i="1"/>
  <c r="Q4190" i="1"/>
  <c r="Q4191" i="1"/>
  <c r="Q4192" i="1"/>
  <c r="Q4193" i="1"/>
  <c r="Q4194" i="1"/>
  <c r="Q4195" i="1"/>
  <c r="Q4196" i="1"/>
  <c r="Q3194" i="1"/>
  <c r="Q4730" i="1"/>
  <c r="Q4726" i="1"/>
  <c r="Q4200" i="1"/>
  <c r="Q4201" i="1"/>
  <c r="Q4202" i="1"/>
  <c r="Q4203" i="1"/>
  <c r="Q4204" i="1"/>
  <c r="Q4718" i="1"/>
  <c r="Q4717" i="1"/>
  <c r="Q4207" i="1"/>
  <c r="Q4208" i="1"/>
  <c r="Q4209" i="1"/>
  <c r="Q4210" i="1"/>
  <c r="Q4211" i="1"/>
  <c r="Q4212" i="1"/>
  <c r="Q4705" i="1"/>
  <c r="Q4701" i="1"/>
  <c r="Q4215" i="1"/>
  <c r="Q4216" i="1"/>
  <c r="Q4217" i="1"/>
  <c r="Q4218" i="1"/>
  <c r="Q4219" i="1"/>
  <c r="Q4220" i="1"/>
  <c r="Q4221" i="1"/>
  <c r="Q4222" i="1"/>
  <c r="Q4736" i="1"/>
  <c r="Q4731" i="1"/>
  <c r="Q4225" i="1"/>
  <c r="Q4226" i="1"/>
  <c r="Q4227" i="1"/>
  <c r="Q4228" i="1"/>
  <c r="Q4229" i="1"/>
  <c r="Q4230" i="1"/>
  <c r="Q4231" i="1"/>
  <c r="Q4738" i="1"/>
  <c r="Q4737" i="1"/>
  <c r="Q4234" i="1"/>
  <c r="Q4235" i="1"/>
  <c r="Q4740" i="1"/>
  <c r="Q4739" i="1"/>
  <c r="Q4238" i="1"/>
  <c r="Q4239" i="1"/>
  <c r="Q2619" i="1"/>
  <c r="Q4743" i="1"/>
  <c r="Q4741" i="1"/>
  <c r="Q2745" i="1"/>
  <c r="Q4745" i="1"/>
  <c r="Q4744" i="1"/>
  <c r="Q1984" i="1"/>
  <c r="Q4750" i="1"/>
  <c r="Q4749" i="1"/>
  <c r="Q4707" i="1"/>
  <c r="Q4702" i="1"/>
  <c r="Q4831" i="1"/>
  <c r="Q4709" i="1"/>
  <c r="Q4829" i="1"/>
  <c r="Q4788" i="1"/>
  <c r="Q4787" i="1"/>
  <c r="Q4794" i="1"/>
  <c r="Q4793" i="1"/>
  <c r="Q4258" i="1"/>
  <c r="Q4259" i="1"/>
  <c r="Q4115" i="1"/>
  <c r="Q4114" i="1"/>
  <c r="Q4262" i="1"/>
  <c r="Q4263" i="1"/>
  <c r="Q4264" i="1"/>
  <c r="Q4265" i="1"/>
  <c r="Q4266" i="1"/>
  <c r="Q4767" i="1"/>
  <c r="Q4766" i="1"/>
  <c r="Q4269" i="1"/>
  <c r="Q4270" i="1"/>
  <c r="Q4271" i="1"/>
  <c r="Q4272" i="1"/>
  <c r="Q4273" i="1"/>
  <c r="Q4274" i="1"/>
  <c r="Q4275" i="1"/>
  <c r="Q4276" i="1"/>
  <c r="Q4773" i="1"/>
  <c r="Q4772" i="1"/>
  <c r="Q4279" i="1"/>
  <c r="Q4280" i="1"/>
  <c r="Q4281" i="1"/>
  <c r="Q4282" i="1"/>
  <c r="Q4283" i="1"/>
  <c r="Q4284" i="1"/>
  <c r="Q4285" i="1"/>
  <c r="Q4286" i="1"/>
  <c r="Q4287" i="1"/>
  <c r="Q4288" i="1"/>
  <c r="Q4786" i="1"/>
  <c r="Q4785" i="1"/>
  <c r="Q4291" i="1"/>
  <c r="Q4797" i="1"/>
  <c r="Q4796" i="1"/>
  <c r="Q4716" i="1"/>
  <c r="Q4711" i="1"/>
  <c r="Q4296" i="1"/>
  <c r="Q4746" i="1"/>
  <c r="Q4800" i="1"/>
  <c r="Q4799" i="1"/>
  <c r="Q4300" i="1"/>
  <c r="Q4301" i="1"/>
  <c r="Q4302" i="1"/>
  <c r="Q4303" i="1"/>
  <c r="Q4304" i="1"/>
  <c r="Q4305" i="1"/>
  <c r="Q4306" i="1"/>
  <c r="Q4307" i="1"/>
  <c r="Q4804" i="1"/>
  <c r="Q4801" i="1"/>
  <c r="Q2530" i="1"/>
  <c r="Q3659" i="1"/>
  <c r="Q4833" i="1"/>
  <c r="Q4808" i="1"/>
  <c r="Q4805" i="1"/>
  <c r="Q4315" i="1"/>
  <c r="Q4316" i="1"/>
  <c r="Q3132" i="1"/>
  <c r="Q3135" i="1"/>
  <c r="Q944" i="1"/>
  <c r="Q947" i="1"/>
  <c r="Q4321" i="1"/>
  <c r="Q4322" i="1"/>
  <c r="Q4323" i="1"/>
  <c r="Q4324" i="1"/>
  <c r="Q4325" i="1"/>
  <c r="Q4326" i="1"/>
  <c r="Q4327" i="1"/>
  <c r="Q4328" i="1"/>
  <c r="Q4329" i="1"/>
  <c r="Q4330" i="1"/>
  <c r="Q4331" i="1"/>
  <c r="Q4810" i="1"/>
  <c r="Q4809" i="1"/>
  <c r="Q4812" i="1"/>
  <c r="Q4811" i="1"/>
  <c r="Q4336" i="1"/>
  <c r="Q4814" i="1"/>
  <c r="Q4813" i="1"/>
  <c r="Q4339" i="1"/>
  <c r="Q4402" i="1"/>
  <c r="Q4401" i="1"/>
  <c r="Q4832" i="1"/>
  <c r="Q4830" i="1"/>
  <c r="Q4344" i="1"/>
  <c r="Q4819" i="1"/>
  <c r="Q4818" i="1"/>
  <c r="Q4347" i="1"/>
  <c r="Q4348" i="1"/>
  <c r="Q4349" i="1"/>
  <c r="Q4828" i="1"/>
  <c r="Q4820" i="1"/>
  <c r="Q4352" i="1"/>
  <c r="Q4353" i="1"/>
  <c r="Q4354" i="1"/>
  <c r="Q4835" i="1"/>
  <c r="Q4834" i="1"/>
  <c r="Q4357" i="1"/>
  <c r="Q4358" i="1"/>
  <c r="Q4359" i="1"/>
  <c r="Q4837" i="1"/>
  <c r="Q4836" i="1"/>
  <c r="Q4362" i="1"/>
  <c r="Q4363" i="1"/>
  <c r="Q4364" i="1"/>
  <c r="Q4840" i="1"/>
  <c r="Q4848" i="1"/>
  <c r="Q4847" i="1"/>
  <c r="Q4368" i="1"/>
  <c r="Q4854" i="1"/>
  <c r="Q4849" i="1"/>
  <c r="Q4371" i="1"/>
  <c r="Q4372" i="1"/>
  <c r="Q4373" i="1"/>
  <c r="Q4861" i="1"/>
  <c r="Q4855" i="1"/>
  <c r="Q4376" i="1"/>
  <c r="Q4846" i="1"/>
  <c r="Q4838" i="1"/>
  <c r="Q4379" i="1"/>
  <c r="Q4380" i="1"/>
  <c r="Q4381" i="1"/>
  <c r="Q3366" i="1"/>
  <c r="Q3769" i="1"/>
  <c r="Q4889" i="1"/>
  <c r="Q4888" i="1"/>
  <c r="Q4724" i="1"/>
  <c r="Q4895" i="1"/>
  <c r="Q4894" i="1"/>
  <c r="Q4915" i="1"/>
  <c r="Q4914" i="1"/>
  <c r="Q4391" i="1"/>
  <c r="Q4913" i="1"/>
  <c r="Q4912" i="1"/>
  <c r="Q4394" i="1"/>
  <c r="Q4395" i="1"/>
  <c r="Q4396" i="1"/>
  <c r="Q4867" i="1"/>
  <c r="Q4862" i="1"/>
  <c r="Q4399" i="1"/>
  <c r="Q4873" i="1"/>
  <c r="Q4868" i="1"/>
  <c r="Q359" i="1"/>
  <c r="Q3367" i="1"/>
  <c r="Q3381" i="1"/>
  <c r="Q1989" i="1"/>
  <c r="Q1994" i="1"/>
  <c r="Q2000" i="1"/>
  <c r="Q2186" i="1"/>
  <c r="Q2531" i="1"/>
  <c r="Q3660" i="1"/>
  <c r="Q4911" i="1"/>
  <c r="Q4910" i="1"/>
  <c r="Q4413" i="1"/>
  <c r="Q4980" i="1"/>
  <c r="Q4976" i="1"/>
  <c r="Q4416" i="1"/>
  <c r="Q4417" i="1"/>
  <c r="Q4418" i="1"/>
  <c r="Q4419" i="1"/>
  <c r="Q4420" i="1"/>
  <c r="Q4421" i="1"/>
  <c r="Q4422" i="1"/>
  <c r="Q4423" i="1"/>
  <c r="Q4424" i="1"/>
  <c r="Q4425" i="1"/>
  <c r="Q4426" i="1"/>
  <c r="Q4427" i="1"/>
  <c r="Q4986" i="1"/>
  <c r="Q4983" i="1"/>
  <c r="Q4430" i="1"/>
  <c r="Q4431" i="1"/>
  <c r="Q4432" i="1"/>
  <c r="Q4433" i="1"/>
  <c r="Q4434" i="1"/>
  <c r="Q4435" i="1"/>
  <c r="Q4436" i="1"/>
  <c r="Q4437" i="1"/>
  <c r="Q4438" i="1"/>
  <c r="Q4439" i="1"/>
  <c r="Q4440" i="1"/>
  <c r="Q4441" i="1"/>
  <c r="Q4934" i="1"/>
  <c r="Q4933" i="1"/>
  <c r="Q4444" i="1"/>
  <c r="Q4445" i="1"/>
  <c r="Q4446" i="1"/>
  <c r="Q4880" i="1"/>
  <c r="Q4879" i="1"/>
  <c r="Q4449" i="1"/>
  <c r="Q4450" i="1"/>
  <c r="Q4884" i="1"/>
  <c r="Q4883" i="1"/>
  <c r="Q4453" i="1"/>
  <c r="Q4454" i="1"/>
  <c r="Q4992" i="1"/>
  <c r="Q4991" i="1"/>
  <c r="Q4457" i="1"/>
  <c r="Q4458" i="1"/>
  <c r="Q5067" i="1"/>
  <c r="Q4989" i="1"/>
  <c r="Q4909" i="1"/>
  <c r="Q4908" i="1"/>
  <c r="Q4463" i="1"/>
  <c r="Q4464" i="1"/>
  <c r="Q4465" i="1"/>
  <c r="Q4466" i="1"/>
  <c r="Q4467" i="1"/>
  <c r="Q4468" i="1"/>
  <c r="Q4469" i="1"/>
  <c r="Q5021" i="1"/>
  <c r="Q5020" i="1"/>
  <c r="Q4472" i="1"/>
  <c r="Q5025" i="1"/>
  <c r="Q5022" i="1"/>
  <c r="Q5028" i="1"/>
  <c r="Q5026" i="1"/>
  <c r="Q5031" i="1"/>
  <c r="Q5029" i="1"/>
  <c r="Q4479" i="1"/>
  <c r="Q5036" i="1"/>
  <c r="Q5035" i="1"/>
  <c r="Q4482" i="1"/>
  <c r="Q4483" i="1"/>
  <c r="Q5032" i="1"/>
  <c r="Q5040" i="1"/>
  <c r="Q5039" i="1"/>
  <c r="Q4487" i="1"/>
  <c r="Q4488" i="1"/>
  <c r="Q4489" i="1"/>
  <c r="Q4490" i="1"/>
  <c r="Q427" i="1"/>
  <c r="Q3983" i="1"/>
  <c r="Q4990" i="1"/>
  <c r="Q5068" i="1"/>
  <c r="Q5058" i="1"/>
  <c r="Q5056" i="1"/>
  <c r="Q4497" i="1"/>
  <c r="Q4498" i="1"/>
  <c r="Q5044" i="1"/>
  <c r="Q5043" i="1"/>
  <c r="Q4501" i="1"/>
  <c r="Q4502" i="1"/>
  <c r="Q4503" i="1"/>
  <c r="Q4504" i="1"/>
  <c r="Q4505" i="1"/>
  <c r="Q4506" i="1"/>
  <c r="Q4507" i="1"/>
  <c r="Q4508" i="1"/>
  <c r="Q4509" i="1"/>
  <c r="Q4510" i="1"/>
  <c r="Q5052" i="1"/>
  <c r="Q5048" i="1"/>
  <c r="Q4513" i="1"/>
  <c r="Q4514" i="1"/>
  <c r="Q4515" i="1"/>
  <c r="Q4516" i="1"/>
  <c r="Q4517" i="1"/>
  <c r="Q4518" i="1"/>
  <c r="Q4519" i="1"/>
  <c r="Q4520" i="1"/>
  <c r="Q4521" i="1"/>
  <c r="Q4522" i="1"/>
  <c r="Q5055" i="1"/>
  <c r="Q5053" i="1"/>
  <c r="Q4525" i="1"/>
  <c r="Q4526" i="1"/>
  <c r="Q4527" i="1"/>
  <c r="Q4528" i="1"/>
  <c r="Q4529" i="1"/>
  <c r="Q4530" i="1"/>
  <c r="Q4531" i="1"/>
  <c r="Q4532" i="1"/>
  <c r="Q4533" i="1"/>
  <c r="Q4534" i="1"/>
  <c r="Q3540" i="1"/>
  <c r="Q3541" i="1"/>
  <c r="Q5179" i="1"/>
  <c r="Q5171" i="1"/>
  <c r="Q4539" i="1"/>
  <c r="Q4540" i="1"/>
  <c r="Q4541" i="1"/>
  <c r="Q4542" i="1"/>
  <c r="Q4543" i="1"/>
  <c r="Q4544" i="1"/>
  <c r="Q5170" i="1"/>
  <c r="Q5160" i="1"/>
  <c r="Q4547" i="1"/>
  <c r="Q4548" i="1"/>
  <c r="Q4549" i="1"/>
  <c r="Q4550" i="1"/>
  <c r="Q4551" i="1"/>
  <c r="Q4552" i="1"/>
  <c r="Q4660" i="1"/>
  <c r="Q4474" i="1"/>
  <c r="Q4555" i="1"/>
  <c r="Q5066" i="1"/>
  <c r="Q5059" i="1"/>
  <c r="Q4558" i="1"/>
  <c r="Q4559" i="1"/>
  <c r="Q4560" i="1"/>
  <c r="Q4561" i="1"/>
  <c r="Q4562" i="1"/>
  <c r="Q4563" i="1"/>
  <c r="Q4564" i="1"/>
  <c r="Q5081" i="1"/>
  <c r="Q5080" i="1"/>
  <c r="Q4567" i="1"/>
  <c r="Q4568" i="1"/>
  <c r="Q4569" i="1"/>
  <c r="Q4570" i="1"/>
  <c r="Q4571" i="1"/>
  <c r="Q4572" i="1"/>
  <c r="Q4573" i="1"/>
  <c r="Q5103" i="1"/>
  <c r="Q5102" i="1"/>
  <c r="Q4576" i="1"/>
  <c r="Q5117" i="1"/>
  <c r="Q5108" i="1"/>
  <c r="Q4579" i="1"/>
  <c r="Q5134" i="1"/>
  <c r="Q5128" i="1"/>
  <c r="Q4582" i="1"/>
  <c r="Q4583" i="1"/>
  <c r="Q4584" i="1"/>
  <c r="Q4585" i="1"/>
  <c r="Q4586" i="1"/>
  <c r="Q4587" i="1"/>
  <c r="Q4588" i="1"/>
  <c r="Q4589" i="1"/>
  <c r="Q5142" i="1"/>
  <c r="Q5136" i="1"/>
  <c r="Q4592" i="1"/>
  <c r="Q4593" i="1"/>
  <c r="Q4594" i="1"/>
  <c r="Q4595" i="1"/>
  <c r="Q4596" i="1"/>
  <c r="Q4597" i="1"/>
  <c r="Q4598" i="1"/>
  <c r="Q4599" i="1"/>
  <c r="Q2395" i="1"/>
  <c r="Q5223" i="1"/>
  <c r="Q5213" i="1"/>
  <c r="Q4603" i="1"/>
  <c r="Q5225" i="1"/>
  <c r="Q5224" i="1"/>
  <c r="Q4606" i="1"/>
  <c r="Q4607" i="1"/>
  <c r="Q4608" i="1"/>
  <c r="Q4609" i="1"/>
  <c r="Q4610" i="1"/>
  <c r="Q4611" i="1"/>
  <c r="Q5228" i="1"/>
  <c r="Q5226" i="1"/>
  <c r="Q4614" i="1"/>
  <c r="Q5231" i="1"/>
  <c r="Q5229" i="1"/>
  <c r="Q4617" i="1"/>
  <c r="Q5233" i="1"/>
  <c r="Q5232" i="1"/>
  <c r="Q4620" i="1"/>
  <c r="Q5047" i="1"/>
  <c r="Q5201" i="1"/>
  <c r="Q5191" i="1"/>
  <c r="Q4624" i="1"/>
  <c r="Q4625" i="1"/>
  <c r="Q4626" i="1"/>
  <c r="Q4627" i="1"/>
  <c r="Q5190" i="1"/>
  <c r="Q5180" i="1"/>
  <c r="Q4630" i="1"/>
  <c r="Q4631" i="1"/>
  <c r="Q4632" i="1"/>
  <c r="Q4633" i="1"/>
  <c r="Q5212" i="1"/>
  <c r="Q5202" i="1"/>
  <c r="Q4636" i="1"/>
  <c r="Q4637" i="1"/>
  <c r="Q4638" i="1"/>
  <c r="Q4639" i="1"/>
  <c r="Q4640" i="1"/>
  <c r="Q5235" i="1"/>
  <c r="Q5234" i="1"/>
  <c r="Q4643" i="1"/>
  <c r="Q4644" i="1"/>
  <c r="Q4645" i="1"/>
  <c r="Q4646" i="1"/>
  <c r="Q4647" i="1"/>
  <c r="Q4648" i="1"/>
  <c r="Q4649" i="1"/>
  <c r="Q4650" i="1"/>
  <c r="Q4651" i="1"/>
  <c r="Q4652" i="1"/>
  <c r="Q4653" i="1"/>
  <c r="Q4654" i="1"/>
  <c r="Q4655" i="1"/>
  <c r="Q4656" i="1"/>
  <c r="Q5153" i="1"/>
  <c r="Q5135" i="1"/>
  <c r="Q5069" i="1"/>
  <c r="Q5083" i="1"/>
  <c r="Q5239" i="1"/>
  <c r="Q5238" i="1"/>
  <c r="Q4663" i="1"/>
  <c r="Q4664" i="1"/>
  <c r="Q5251" i="1"/>
  <c r="Q5249" i="1"/>
  <c r="Q4667" i="1"/>
  <c r="Q4985" i="1"/>
  <c r="Q5263" i="1"/>
  <c r="Q5257" i="1"/>
  <c r="Q4671" i="1"/>
  <c r="Q3859" i="1"/>
  <c r="Q3728" i="1"/>
  <c r="Q4674" i="1"/>
  <c r="Q4675" i="1"/>
  <c r="Q4676" i="1"/>
  <c r="Q5256" i="1"/>
  <c r="Q5252" i="1"/>
  <c r="Q4679" i="1"/>
  <c r="Q4680" i="1"/>
  <c r="Q4681" i="1"/>
  <c r="Q4682" i="1"/>
  <c r="Q4683" i="1"/>
  <c r="Q5014" i="1"/>
  <c r="Q4994" i="1"/>
  <c r="Q4686" i="1"/>
  <c r="Q4687" i="1"/>
  <c r="Q4688" i="1"/>
  <c r="Q4689" i="1"/>
  <c r="Q5267" i="1"/>
  <c r="Q5264" i="1"/>
  <c r="Q4692" i="1"/>
  <c r="Q4693" i="1"/>
  <c r="Q4694" i="1"/>
  <c r="Q4695" i="1"/>
  <c r="Q4696" i="1"/>
  <c r="Q5272" i="1"/>
  <c r="Q5268" i="1"/>
  <c r="Q5284" i="1"/>
  <c r="Q5281" i="1"/>
  <c r="Q5312" i="1"/>
  <c r="Q5311" i="1"/>
  <c r="Q4703" i="1"/>
  <c r="Q4704" i="1"/>
  <c r="Q4340" i="1"/>
  <c r="Q5282" i="1"/>
  <c r="Q5133" i="1"/>
  <c r="Q5154" i="1"/>
  <c r="Q5141" i="1"/>
  <c r="Q5316" i="1"/>
  <c r="Q5315" i="1"/>
  <c r="Q4712" i="1"/>
  <c r="Q4713" i="1"/>
  <c r="Q4714" i="1"/>
  <c r="Q4715" i="1"/>
  <c r="Q145" i="1"/>
  <c r="Q5314" i="1"/>
  <c r="Q5313" i="1"/>
  <c r="Q4719" i="1"/>
  <c r="Q4720" i="1"/>
  <c r="Q4721" i="1"/>
  <c r="Q4722" i="1"/>
  <c r="Q4723" i="1"/>
  <c r="Q4198" i="1"/>
  <c r="Q5245" i="1"/>
  <c r="Q5240" i="1"/>
  <c r="Q4727" i="1"/>
  <c r="Q4728" i="1"/>
  <c r="Q4729" i="1"/>
  <c r="Q5326" i="1"/>
  <c r="Q5324" i="1"/>
  <c r="Q4732" i="1"/>
  <c r="Q4733" i="1"/>
  <c r="Q4734" i="1"/>
  <c r="Q4735" i="1"/>
  <c r="Q2600" i="1"/>
  <c r="Q5015" i="1"/>
  <c r="Q4839" i="1"/>
  <c r="Q292" i="1"/>
  <c r="Q5328" i="1"/>
  <c r="Q5327" i="1"/>
  <c r="Q4742" i="1"/>
  <c r="Q5332" i="1"/>
  <c r="Q5331" i="1"/>
  <c r="Q5330" i="1"/>
  <c r="Q5329" i="1"/>
  <c r="Q4747" i="1"/>
  <c r="Q4748" i="1"/>
  <c r="Q4981" i="1"/>
  <c r="Q4977" i="1"/>
  <c r="Q4751" i="1"/>
  <c r="Q5084" i="1"/>
  <c r="Q4984" i="1"/>
  <c r="Q4754" i="1"/>
  <c r="Q5338" i="1"/>
  <c r="Q5336" i="1"/>
  <c r="Q4757" i="1"/>
  <c r="Q4758" i="1"/>
  <c r="Q4759" i="1"/>
  <c r="Q4760" i="1"/>
  <c r="Q4761" i="1"/>
  <c r="Q4762" i="1"/>
  <c r="Q5340" i="1"/>
  <c r="Q5339" i="1"/>
  <c r="Q4765" i="1"/>
  <c r="Q5342" i="1"/>
  <c r="Q5341" i="1"/>
  <c r="Q4768" i="1"/>
  <c r="Q4769" i="1"/>
  <c r="Q4770" i="1"/>
  <c r="Q4771" i="1"/>
  <c r="Q5018" i="1"/>
  <c r="Q5017" i="1"/>
  <c r="Q4774" i="1"/>
  <c r="Q4775" i="1"/>
  <c r="Q4776" i="1"/>
  <c r="Q4777" i="1"/>
  <c r="Q4778" i="1"/>
  <c r="Q4779" i="1"/>
  <c r="Q4780" i="1"/>
  <c r="Q4781" i="1"/>
  <c r="Q4782" i="1"/>
  <c r="Q4783" i="1"/>
  <c r="Q4784" i="1"/>
  <c r="Q5348" i="1"/>
  <c r="Q5347" i="1"/>
  <c r="Q5016" i="1"/>
  <c r="Q4995" i="1"/>
  <c r="Q4789" i="1"/>
  <c r="Q4790" i="1"/>
  <c r="Q4791" i="1"/>
  <c r="Q4792" i="1"/>
  <c r="Q5344" i="1"/>
  <c r="Q5343" i="1"/>
  <c r="Q4795" i="1"/>
  <c r="Q5335" i="1"/>
  <c r="Q5333" i="1"/>
  <c r="Q4798" i="1"/>
  <c r="Q3570" i="1"/>
  <c r="Q5356" i="1"/>
  <c r="Q5355" i="1"/>
  <c r="Q4802" i="1"/>
  <c r="Q4803" i="1"/>
  <c r="Q5358" i="1"/>
  <c r="Q5357" i="1"/>
  <c r="Q4806" i="1"/>
  <c r="Q4807" i="1"/>
  <c r="Q4082" i="1"/>
  <c r="Q4094" i="1"/>
  <c r="Q5372" i="1"/>
  <c r="Q5371" i="1"/>
  <c r="Q2848" i="1"/>
  <c r="Q5366" i="1"/>
  <c r="Q5365" i="1"/>
  <c r="Q4815" i="1"/>
  <c r="Q4816" i="1"/>
  <c r="Q4817" i="1"/>
  <c r="Q4635" i="1"/>
  <c r="Q5319" i="1"/>
  <c r="Q5318" i="1"/>
  <c r="Q4821" i="1"/>
  <c r="Q4822" i="1"/>
  <c r="Q4823" i="1"/>
  <c r="Q4824" i="1"/>
  <c r="Q4825" i="1"/>
  <c r="Q4826" i="1"/>
  <c r="Q4827" i="1"/>
  <c r="Q5072" i="1"/>
  <c r="Q5085" i="1"/>
  <c r="Q5104" i="1"/>
  <c r="Q5118" i="1"/>
  <c r="Q5283" i="1"/>
  <c r="Q5159" i="1"/>
  <c r="Q5428" i="1"/>
  <c r="Q5426" i="1"/>
  <c r="Q5246" i="1"/>
  <c r="Q4641" i="1"/>
  <c r="Q4083" i="1"/>
  <c r="Q5392" i="1"/>
  <c r="Q5391" i="1"/>
  <c r="Q4841" i="1"/>
  <c r="Q4842" i="1"/>
  <c r="Q4843" i="1"/>
  <c r="Q4844" i="1"/>
  <c r="Q4845" i="1"/>
  <c r="Q5390" i="1"/>
  <c r="Q5388" i="1"/>
  <c r="Q5394" i="1"/>
  <c r="Q5393" i="1"/>
  <c r="Q4850" i="1"/>
  <c r="Q4851" i="1"/>
  <c r="Q4852" i="1"/>
  <c r="Q4853" i="1"/>
  <c r="Q5396" i="1"/>
  <c r="Q5395" i="1"/>
  <c r="Q4856" i="1"/>
  <c r="Q4857" i="1"/>
  <c r="Q4858" i="1"/>
  <c r="Q4859" i="1"/>
  <c r="Q4860" i="1"/>
  <c r="Q5405" i="1"/>
  <c r="Q5404" i="1"/>
  <c r="Q4863" i="1"/>
  <c r="Q4864" i="1"/>
  <c r="Q4865" i="1"/>
  <c r="Q4866" i="1"/>
  <c r="Q5408" i="1"/>
  <c r="Q5407" i="1"/>
  <c r="Q4869" i="1"/>
  <c r="Q4870" i="1"/>
  <c r="Q4871" i="1"/>
  <c r="Q4872" i="1"/>
  <c r="Q5422" i="1"/>
  <c r="Q5421" i="1"/>
  <c r="Q4875" i="1"/>
  <c r="Q4876" i="1"/>
  <c r="Q4877" i="1"/>
  <c r="Q4878" i="1"/>
  <c r="Q5425" i="1"/>
  <c r="Q5424" i="1"/>
  <c r="Q4881" i="1"/>
  <c r="Q4882" i="1"/>
  <c r="Q5413" i="1"/>
  <c r="Q5411" i="1"/>
  <c r="Q4885" i="1"/>
  <c r="Q4886" i="1"/>
  <c r="Q4887" i="1"/>
  <c r="Q5420" i="1"/>
  <c r="Q5417" i="1"/>
  <c r="Q4890" i="1"/>
  <c r="Q4891" i="1"/>
  <c r="Q4892" i="1"/>
  <c r="Q4893" i="1"/>
  <c r="Q5375" i="1"/>
  <c r="Q5373" i="1"/>
  <c r="Q4896" i="1"/>
  <c r="Q4897" i="1"/>
  <c r="Q4898" i="1"/>
  <c r="Q4899" i="1"/>
  <c r="Q4900" i="1"/>
  <c r="Q4901" i="1"/>
  <c r="Q4902" i="1"/>
  <c r="Q4903" i="1"/>
  <c r="Q4904" i="1"/>
  <c r="Q4905" i="1"/>
  <c r="Q4906" i="1"/>
  <c r="Q4907" i="1"/>
  <c r="Q2513" i="1"/>
  <c r="Q2951" i="1"/>
  <c r="Q2579" i="1"/>
  <c r="Q2804" i="1"/>
  <c r="Q2975" i="1"/>
  <c r="Q2996" i="1"/>
  <c r="Q5387" i="1"/>
  <c r="Q5386" i="1"/>
  <c r="Q4916" i="1"/>
  <c r="Q4917" i="1"/>
  <c r="Q4918" i="1"/>
  <c r="Q4919" i="1"/>
  <c r="Q4920" i="1"/>
  <c r="Q4921" i="1"/>
  <c r="Q4922" i="1"/>
  <c r="Q4923" i="1"/>
  <c r="Q4924" i="1"/>
  <c r="Q4925" i="1"/>
  <c r="Q4926" i="1"/>
  <c r="Q4927" i="1"/>
  <c r="Q4928" i="1"/>
  <c r="Q4929" i="1"/>
  <c r="Q4930" i="1"/>
  <c r="Q4931" i="1"/>
  <c r="Q4932" i="1"/>
  <c r="Q4752" i="1"/>
  <c r="Q4756"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5430" i="1"/>
  <c r="Q5429" i="1"/>
  <c r="Q4978" i="1"/>
  <c r="Q4979" i="1"/>
  <c r="Q4753" i="1"/>
  <c r="Q4763" i="1"/>
  <c r="Q4982" i="1"/>
  <c r="Q4406" i="1"/>
  <c r="Q4311" i="1"/>
  <c r="Q5437" i="1"/>
  <c r="Q5435" i="1"/>
  <c r="Q4987" i="1"/>
  <c r="Q4988" i="1"/>
  <c r="Q5434" i="1"/>
  <c r="Q5431" i="1"/>
  <c r="Q4247" i="1"/>
  <c r="Q4046" i="1"/>
  <c r="Q3984" i="1"/>
  <c r="Q4755" i="1"/>
  <c r="Q4764" i="1"/>
  <c r="Q4996" i="1"/>
  <c r="Q4997" i="1"/>
  <c r="Q4998" i="1"/>
  <c r="Q4999" i="1"/>
  <c r="Q5000" i="1"/>
  <c r="Q5001" i="1"/>
  <c r="Q5002" i="1"/>
  <c r="Q5003" i="1"/>
  <c r="Q5004" i="1"/>
  <c r="Q5005" i="1"/>
  <c r="Q5006" i="1"/>
  <c r="Q5007" i="1"/>
  <c r="Q5008" i="1"/>
  <c r="Q5009" i="1"/>
  <c r="Q5010" i="1"/>
  <c r="Q5011" i="1"/>
  <c r="Q5012" i="1"/>
  <c r="Q5013" i="1"/>
  <c r="Q3575" i="1"/>
  <c r="Q5442" i="1"/>
  <c r="Q5441" i="1"/>
  <c r="Q5448" i="1"/>
  <c r="Q5443" i="1"/>
  <c r="Q5440" i="1"/>
  <c r="Q5438" i="1"/>
  <c r="Q5451" i="1"/>
  <c r="Q5450" i="1"/>
  <c r="Q5023" i="1"/>
  <c r="Q5024" i="1"/>
  <c r="Q4642" i="1"/>
  <c r="Q5452" i="1"/>
  <c r="Q945" i="1"/>
  <c r="Q5455" i="1"/>
  <c r="Q5454" i="1"/>
  <c r="Q5030" i="1"/>
  <c r="Q5458" i="1"/>
  <c r="Q5457" i="1"/>
  <c r="Q5033" i="1"/>
  <c r="Q5034" i="1"/>
  <c r="Q5464" i="1"/>
  <c r="Q5462" i="1"/>
  <c r="Q5037" i="1"/>
  <c r="Q5038" i="1"/>
  <c r="Q5467" i="1"/>
  <c r="Q5465" i="1"/>
  <c r="Q5041" i="1"/>
  <c r="Q5042" i="1"/>
  <c r="Q5469" i="1"/>
  <c r="Q5468" i="1"/>
  <c r="Q5045" i="1"/>
  <c r="Q5046" i="1"/>
  <c r="Q5471" i="1"/>
  <c r="Q5470" i="1"/>
  <c r="Q5049" i="1"/>
  <c r="Q5050" i="1"/>
  <c r="Q5051" i="1"/>
  <c r="Q5496" i="1"/>
  <c r="Q5472" i="1"/>
  <c r="Q5054" i="1"/>
  <c r="Q5499" i="1"/>
  <c r="Q5497" i="1"/>
  <c r="Q5057" i="1"/>
  <c r="Q5461" i="1"/>
  <c r="Q5459" i="1"/>
  <c r="Q5060" i="1"/>
  <c r="Q5061" i="1"/>
  <c r="Q5062" i="1"/>
  <c r="Q5063" i="1"/>
  <c r="Q5064" i="1"/>
  <c r="Q5065" i="1"/>
  <c r="Q4117" i="1"/>
  <c r="Q5502" i="1"/>
  <c r="Q5501" i="1"/>
  <c r="Q5500" i="1"/>
  <c r="Q5070" i="1"/>
  <c r="Q5071" i="1"/>
  <c r="Q4312" i="1"/>
  <c r="Q5449" i="1"/>
  <c r="Q5374" i="1"/>
  <c r="Q5075" i="1"/>
  <c r="Q5076" i="1"/>
  <c r="Q5077" i="1"/>
  <c r="Q5078" i="1"/>
  <c r="Q5079" i="1"/>
  <c r="Q3850" i="1"/>
  <c r="Q3699" i="1"/>
  <c r="Q5082" i="1"/>
  <c r="Q4313" i="1"/>
  <c r="Q5504" i="1"/>
  <c r="Q5503" i="1"/>
  <c r="Q5086" i="1"/>
  <c r="Q5087" i="1"/>
  <c r="Q5088" i="1"/>
  <c r="Q5027" i="1"/>
  <c r="Q4874" i="1"/>
  <c r="Q5091" i="1"/>
  <c r="Q5092" i="1"/>
  <c r="Q5093" i="1"/>
  <c r="Q5094" i="1"/>
  <c r="Q5095" i="1"/>
  <c r="Q5096" i="1"/>
  <c r="Q5097" i="1"/>
  <c r="Q5098" i="1"/>
  <c r="Q5099" i="1"/>
  <c r="Q5100" i="1"/>
  <c r="Q5101" i="1"/>
  <c r="Q4118" i="1"/>
  <c r="Q4122" i="1"/>
  <c r="Q5536" i="1"/>
  <c r="Q5533" i="1"/>
  <c r="Q5106" i="1"/>
  <c r="Q5381" i="1"/>
  <c r="Q5376" i="1"/>
  <c r="Q5109" i="1"/>
  <c r="Q5110" i="1"/>
  <c r="Q5111" i="1"/>
  <c r="Q5112" i="1"/>
  <c r="Q5113" i="1"/>
  <c r="Q5114" i="1"/>
  <c r="Q5115" i="1"/>
  <c r="Q5116" i="1"/>
  <c r="Q5385" i="1"/>
  <c r="Q5382" i="1"/>
  <c r="Q5119" i="1"/>
  <c r="Q5120" i="1"/>
  <c r="Q5121" i="1"/>
  <c r="Q5122" i="1"/>
  <c r="Q5123" i="1"/>
  <c r="Q5124" i="1"/>
  <c r="Q5125" i="1"/>
  <c r="Q5126" i="1"/>
  <c r="Q5529" i="1"/>
  <c r="Q5518" i="1"/>
  <c r="Q5129" i="1"/>
  <c r="Q5130" i="1"/>
  <c r="Q5131" i="1"/>
  <c r="Q5132" i="1"/>
  <c r="Q5517" i="1"/>
  <c r="Q5516" i="1"/>
  <c r="Q5532" i="1"/>
  <c r="Q5460" i="1"/>
  <c r="Q5137" i="1"/>
  <c r="Q5138" i="1"/>
  <c r="Q5139" i="1"/>
  <c r="Q5140" i="1"/>
  <c r="Q5531" i="1"/>
  <c r="Q5530" i="1"/>
  <c r="Q5143" i="1"/>
  <c r="Q5144" i="1"/>
  <c r="Q5145" i="1"/>
  <c r="Q5146" i="1"/>
  <c r="Q5147" i="1"/>
  <c r="Q5148" i="1"/>
  <c r="Q5149" i="1"/>
  <c r="Q5150" i="1"/>
  <c r="Q5151" i="1"/>
  <c r="Q5152" i="1"/>
  <c r="Q5551" i="1"/>
  <c r="Q5546" i="1"/>
  <c r="Q5155" i="1"/>
  <c r="Q5156" i="1"/>
  <c r="Q5157" i="1"/>
  <c r="Q5158" i="1"/>
  <c r="Q5545" i="1"/>
  <c r="Q5537" i="1"/>
  <c r="Q5161" i="1"/>
  <c r="Q5162" i="1"/>
  <c r="Q5163" i="1"/>
  <c r="Q5164" i="1"/>
  <c r="Q5165" i="1"/>
  <c r="Q5166" i="1"/>
  <c r="Q5167" i="1"/>
  <c r="Q5168" i="1"/>
  <c r="Q5169" i="1"/>
  <c r="Q4492" i="1"/>
  <c r="Q4356" i="1"/>
  <c r="Q5172" i="1"/>
  <c r="Q5173" i="1"/>
  <c r="Q5174" i="1"/>
  <c r="Q5175" i="1"/>
  <c r="Q5176" i="1"/>
  <c r="Q5177" i="1"/>
  <c r="Q5178" i="1"/>
  <c r="Q4494" i="1"/>
  <c r="Q4361" i="1"/>
  <c r="Q5181" i="1"/>
  <c r="Q5182" i="1"/>
  <c r="Q5183" i="1"/>
  <c r="Q5184" i="1"/>
  <c r="Q5185" i="1"/>
  <c r="Q5186" i="1"/>
  <c r="Q5187" i="1"/>
  <c r="Q5188" i="1"/>
  <c r="Q5189" i="1"/>
  <c r="Q4366" i="1"/>
  <c r="Q4367" i="1"/>
  <c r="Q5192" i="1"/>
  <c r="Q5193" i="1"/>
  <c r="Q5194" i="1"/>
  <c r="Q5195" i="1"/>
  <c r="Q5196" i="1"/>
  <c r="Q5197" i="1"/>
  <c r="Q5198" i="1"/>
  <c r="Q5199" i="1"/>
  <c r="Q5200" i="1"/>
  <c r="Q4370" i="1"/>
  <c r="Q4374" i="1"/>
  <c r="Q5203" i="1"/>
  <c r="Q5204" i="1"/>
  <c r="Q5205" i="1"/>
  <c r="Q5206" i="1"/>
  <c r="Q5207" i="1"/>
  <c r="Q5208" i="1"/>
  <c r="Q5209" i="1"/>
  <c r="Q5210" i="1"/>
  <c r="Q5211" i="1"/>
  <c r="Q4377" i="1"/>
  <c r="Q4378" i="1"/>
  <c r="Q5214" i="1"/>
  <c r="Q5215" i="1"/>
  <c r="Q5216" i="1"/>
  <c r="Q5217" i="1"/>
  <c r="Q5218" i="1"/>
  <c r="Q5219" i="1"/>
  <c r="Q5220" i="1"/>
  <c r="Q5221" i="1"/>
  <c r="Q5222" i="1"/>
  <c r="Q5553" i="1"/>
  <c r="Q5552" i="1"/>
  <c r="Q5555" i="1"/>
  <c r="Q5554" i="1"/>
  <c r="Q5227" i="1"/>
  <c r="Q5557" i="1"/>
  <c r="Q5556" i="1"/>
  <c r="Q5230" i="1"/>
  <c r="Q4669" i="1"/>
  <c r="Q4485" i="1"/>
  <c r="Q5510" i="1"/>
  <c r="Q5509" i="1"/>
  <c r="Q5512" i="1"/>
  <c r="Q5511" i="1"/>
  <c r="Q5514" i="1"/>
  <c r="Q5513" i="1"/>
  <c r="Q5568" i="1"/>
  <c r="Q5562" i="1"/>
  <c r="Q5241" i="1"/>
  <c r="Q5242" i="1"/>
  <c r="Q5243" i="1"/>
  <c r="Q5244" i="1"/>
  <c r="Q5590" i="1"/>
  <c r="Q5589" i="1"/>
  <c r="Q5247" i="1"/>
  <c r="Q5594" i="1"/>
  <c r="Q5593" i="1"/>
  <c r="Q5250" i="1"/>
  <c r="Q5574" i="1"/>
  <c r="Q5570" i="1"/>
  <c r="Q5253" i="1"/>
  <c r="Q5254" i="1"/>
  <c r="Q5255" i="1"/>
  <c r="Q5588" i="1"/>
  <c r="Q5587" i="1"/>
  <c r="Q5258" i="1"/>
  <c r="Q5259" i="1"/>
  <c r="Q5260" i="1"/>
  <c r="Q5261" i="1"/>
  <c r="Q5262" i="1"/>
  <c r="Q5598" i="1"/>
  <c r="Q5597" i="1"/>
  <c r="Q5265" i="1"/>
  <c r="Q5266" i="1"/>
  <c r="Q5603" i="1"/>
  <c r="Q5602" i="1"/>
  <c r="Q5269" i="1"/>
  <c r="Q5270" i="1"/>
  <c r="Q5271" i="1"/>
  <c r="Q5601" i="1"/>
  <c r="Q5604" i="1"/>
  <c r="Q5561" i="1"/>
  <c r="Q5558" i="1"/>
  <c r="Q5276" i="1"/>
  <c r="Q5277" i="1"/>
  <c r="Q5278" i="1"/>
  <c r="Q5279" i="1"/>
  <c r="Q5280" i="1"/>
  <c r="Q3313" i="1"/>
  <c r="Q3574" i="1"/>
  <c r="Q5105" i="1"/>
  <c r="Q5107" i="1"/>
  <c r="Q5285" i="1"/>
  <c r="Q5286" i="1"/>
  <c r="Q5287" i="1"/>
  <c r="Q5288" i="1"/>
  <c r="Q5289" i="1"/>
  <c r="Q5290" i="1"/>
  <c r="Q5291" i="1"/>
  <c r="Q5292" i="1"/>
  <c r="Q5273" i="1"/>
  <c r="Q5127" i="1"/>
  <c r="Q5295" i="1"/>
  <c r="Q5296" i="1"/>
  <c r="Q5297" i="1"/>
  <c r="Q5298" i="1"/>
  <c r="Q5299" i="1"/>
  <c r="Q5300" i="1"/>
  <c r="Q5301" i="1"/>
  <c r="Q5302" i="1"/>
  <c r="Q5585" i="1"/>
  <c r="Q5575" i="1"/>
  <c r="Q5305" i="1"/>
  <c r="Q5306" i="1"/>
  <c r="Q5307" i="1"/>
  <c r="Q5308" i="1"/>
  <c r="Q5309" i="1"/>
  <c r="Q5310" i="1"/>
  <c r="Q5606" i="1"/>
  <c r="Q5605" i="1"/>
  <c r="Q5608" i="1"/>
  <c r="Q5607" i="1"/>
  <c r="Q5611" i="1"/>
  <c r="Q5610" i="1"/>
  <c r="Q5317" i="1"/>
  <c r="Q5614" i="1"/>
  <c r="Q5613" i="1"/>
  <c r="Q5320" i="1"/>
  <c r="Q5515" i="1"/>
  <c r="Q1257" i="1"/>
  <c r="Q5616" i="1"/>
  <c r="Q5615" i="1"/>
  <c r="Q5325" i="1"/>
  <c r="Q3863" i="1"/>
  <c r="Q3746" i="1"/>
  <c r="Q3865" i="1"/>
  <c r="Q3751" i="1"/>
  <c r="Q5622" i="1"/>
  <c r="Q5617" i="1"/>
  <c r="Q5628" i="1"/>
  <c r="Q5623" i="1"/>
  <c r="Q5334" i="1"/>
  <c r="Q5635" i="1"/>
  <c r="Q5629" i="1"/>
  <c r="Q5337" i="1"/>
  <c r="Q2678" i="1"/>
  <c r="Q2516" i="1"/>
  <c r="Q5640" i="1"/>
  <c r="Q2580" i="1"/>
  <c r="Q2589" i="1"/>
  <c r="Q5641" i="1"/>
  <c r="Q5634" i="1"/>
  <c r="Q5345" i="1"/>
  <c r="Q5346" i="1"/>
  <c r="Q5644" i="1"/>
  <c r="Q5643" i="1"/>
  <c r="Q5349" i="1"/>
  <c r="Q5350" i="1"/>
  <c r="Q5351" i="1"/>
  <c r="Q5352" i="1"/>
  <c r="Q5353" i="1"/>
  <c r="Q5354" i="1"/>
  <c r="Q2583" i="1"/>
  <c r="Q2591" i="1"/>
  <c r="Q5648" i="1"/>
  <c r="Q5647" i="1"/>
  <c r="Q5359" i="1"/>
  <c r="Q5360" i="1"/>
  <c r="Q5361" i="1"/>
  <c r="Q5362" i="1"/>
  <c r="Q5363" i="1"/>
  <c r="Q5364" i="1"/>
  <c r="Q2710" i="1"/>
  <c r="Q2716" i="1"/>
  <c r="Q5367" i="1"/>
  <c r="Q5368" i="1"/>
  <c r="Q5369" i="1"/>
  <c r="Q5370" i="1"/>
  <c r="Q2952" i="1"/>
  <c r="Q2955" i="1"/>
  <c r="Q2976" i="1"/>
  <c r="Q2978" i="1"/>
  <c r="Q2997" i="1"/>
  <c r="Q3000" i="1"/>
  <c r="Q5377" i="1"/>
  <c r="Q5378" i="1"/>
  <c r="Q5379" i="1"/>
  <c r="Q5380" i="1"/>
  <c r="Q5650" i="1"/>
  <c r="Q5649" i="1"/>
  <c r="Q5383" i="1"/>
  <c r="Q5384" i="1"/>
  <c r="Q1657" i="1"/>
  <c r="Q5453" i="1"/>
  <c r="Q5073" i="1"/>
  <c r="Q5074" i="1"/>
  <c r="Q5389" i="1"/>
  <c r="Q3606" i="1"/>
  <c r="Q2927" i="1"/>
  <c r="Q2191" i="1"/>
  <c r="Q2192" i="1"/>
  <c r="Q268" i="1"/>
  <c r="Q5655" i="1"/>
  <c r="Q5654" i="1"/>
  <c r="Q5397" i="1"/>
  <c r="Q5398" i="1"/>
  <c r="Q5399" i="1"/>
  <c r="Q5400" i="1"/>
  <c r="Q5401" i="1"/>
  <c r="Q5402" i="1"/>
  <c r="Q5403" i="1"/>
  <c r="Q5658" i="1"/>
  <c r="Q5657" i="1"/>
  <c r="Q5406" i="1"/>
  <c r="Q5661" i="1"/>
  <c r="Q5660" i="1"/>
  <c r="Q5409" i="1"/>
  <c r="Q5410" i="1"/>
  <c r="Q558" i="1"/>
  <c r="Q557" i="1"/>
  <c r="Q197" i="1"/>
  <c r="Q5669" i="1"/>
  <c r="Q5668" i="1"/>
  <c r="Q5664" i="1"/>
  <c r="Q5663" i="1"/>
  <c r="Q5418" i="1"/>
  <c r="Q5419" i="1"/>
  <c r="Q2537" i="1"/>
  <c r="Q5673" i="1"/>
  <c r="Q5672" i="1"/>
  <c r="Q5423" i="1"/>
  <c r="Q126" i="1"/>
  <c r="Q5676" i="1"/>
  <c r="Q5675" i="1"/>
  <c r="Q5427" i="1"/>
  <c r="Q5505" i="1"/>
  <c r="Q1822" i="1"/>
  <c r="Q3250" i="1"/>
  <c r="Q3258" i="1"/>
  <c r="Q5432" i="1"/>
  <c r="Q5433" i="1"/>
  <c r="Q5686" i="1"/>
  <c r="Q5685" i="1"/>
  <c r="Q5436" i="1"/>
  <c r="Q5690" i="1"/>
  <c r="Q5689" i="1"/>
  <c r="Q5439" i="1"/>
  <c r="Q5692" i="1"/>
  <c r="Q5691" i="1"/>
  <c r="Q5717" i="1"/>
  <c r="Q5716" i="1"/>
  <c r="Q5444" i="1"/>
  <c r="Q5445" i="1"/>
  <c r="Q5446" i="1"/>
  <c r="Q5447" i="1"/>
  <c r="Q3346" i="1"/>
  <c r="Q3354" i="1"/>
  <c r="Q3249" i="1"/>
  <c r="Q3092" i="1"/>
  <c r="Q3241" i="1"/>
  <c r="Q3081" i="1"/>
  <c r="Q5688" i="1"/>
  <c r="Q5687" i="1"/>
  <c r="Q5456" i="1"/>
  <c r="Q2679" i="1"/>
  <c r="Q2519" i="1"/>
  <c r="Q2719" i="1"/>
  <c r="Q2592" i="1"/>
  <c r="Q2712" i="1"/>
  <c r="Q2717" i="1"/>
  <c r="Q5463" i="1"/>
  <c r="Q2999" i="1"/>
  <c r="Q3002" i="1"/>
  <c r="Q5466" i="1"/>
  <c r="Q2953" i="1"/>
  <c r="Q2956" i="1"/>
  <c r="Q2977" i="1"/>
  <c r="Q2979" i="1"/>
  <c r="Q5721" i="1"/>
  <c r="Q5720"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724" i="1"/>
  <c r="Q5723" i="1"/>
  <c r="Q5498" i="1"/>
  <c r="Q3985" i="1"/>
  <c r="Q5236" i="1"/>
  <c r="Q5237" i="1"/>
  <c r="Q1678" i="1"/>
  <c r="Q1524" i="1"/>
  <c r="Q5728" i="1"/>
  <c r="Q5726" i="1"/>
  <c r="Q5506" i="1"/>
  <c r="Q2" i="1"/>
  <c r="Q4993" i="1"/>
  <c r="Q5293" i="1"/>
  <c r="Q5294" i="1"/>
  <c r="Q5303" i="1"/>
  <c r="Q5304" i="1"/>
  <c r="Q5725" i="1"/>
  <c r="Q4248" i="1"/>
  <c r="Q5730" i="1"/>
  <c r="Q5729" i="1"/>
  <c r="Q4010" i="1"/>
  <c r="Q4016" i="1"/>
  <c r="Q5519" i="1"/>
  <c r="Q5520" i="1"/>
  <c r="Q5521" i="1"/>
  <c r="Q5522" i="1"/>
  <c r="Q5523" i="1"/>
  <c r="Q5524" i="1"/>
  <c r="Q5525" i="1"/>
  <c r="Q5526" i="1"/>
  <c r="Q5527" i="1"/>
  <c r="Q5528" i="1"/>
  <c r="Q3134" i="1"/>
  <c r="Q3616" i="1"/>
  <c r="Q3854" i="1"/>
  <c r="Q5735" i="1"/>
  <c r="Q5731" i="1"/>
  <c r="Q5534" i="1"/>
  <c r="Q5535" i="1"/>
  <c r="Q5508" i="1"/>
  <c r="Q5507" i="1"/>
  <c r="Q5538" i="1"/>
  <c r="Q5539" i="1"/>
  <c r="Q5540" i="1"/>
  <c r="Q5541" i="1"/>
  <c r="Q5542" i="1"/>
  <c r="Q5543" i="1"/>
  <c r="Q5544" i="1"/>
  <c r="Q5740" i="1"/>
  <c r="Q5736" i="1"/>
  <c r="Q5547" i="1"/>
  <c r="Q5548" i="1"/>
  <c r="Q5549" i="1"/>
  <c r="Q5550" i="1"/>
  <c r="Q5744" i="1"/>
  <c r="Q5741" i="1"/>
  <c r="Q5586" i="1"/>
  <c r="Q2322" i="1"/>
  <c r="Q5652" i="1"/>
  <c r="Q5651" i="1"/>
  <c r="Q5747" i="1"/>
  <c r="Q5746" i="1"/>
  <c r="Q5559" i="1"/>
  <c r="Q5560" i="1"/>
  <c r="Q3098" i="1"/>
  <c r="Q3100" i="1"/>
  <c r="Q5563" i="1"/>
  <c r="Q5564" i="1"/>
  <c r="Q5565" i="1"/>
  <c r="Q5566" i="1"/>
  <c r="Q5567" i="1"/>
  <c r="Q3112" i="1"/>
  <c r="Q5751" i="1"/>
  <c r="Q5750" i="1"/>
  <c r="Q5571" i="1"/>
  <c r="Q5572" i="1"/>
  <c r="Q5573" i="1"/>
  <c r="Q5753" i="1"/>
  <c r="Q5752" i="1"/>
  <c r="Q5576" i="1"/>
  <c r="Q5577" i="1"/>
  <c r="Q5578" i="1"/>
  <c r="Q5579" i="1"/>
  <c r="Q5580" i="1"/>
  <c r="Q5581" i="1"/>
  <c r="Q5582" i="1"/>
  <c r="Q5583" i="1"/>
  <c r="Q5584" i="1"/>
  <c r="Q5749" i="1"/>
  <c r="Q5748" i="1"/>
  <c r="Q5757" i="1"/>
  <c r="Q5756" i="1"/>
  <c r="Q1686" i="1"/>
  <c r="Q1690" i="1"/>
  <c r="Q5591" i="1"/>
  <c r="Q5592" i="1"/>
  <c r="Q5321" i="1"/>
  <c r="Q5323" i="1"/>
  <c r="Q5595" i="1"/>
  <c r="Q5596" i="1"/>
  <c r="Q5762" i="1"/>
  <c r="Q5761" i="1"/>
  <c r="Q5599" i="1"/>
  <c r="Q5600" i="1"/>
  <c r="Q3533" i="1"/>
  <c r="Q3536" i="1"/>
  <c r="Q3681" i="1"/>
  <c r="Q3684" i="1"/>
  <c r="Q613" i="1"/>
  <c r="Q614" i="1"/>
  <c r="Q5768" i="1"/>
  <c r="Q5767" i="1"/>
  <c r="Q5609" i="1"/>
  <c r="Q5775" i="1"/>
  <c r="Q5774" i="1"/>
  <c r="Q5612" i="1"/>
  <c r="Q3534" i="1"/>
  <c r="Q5777" i="1"/>
  <c r="Q5776" i="1"/>
  <c r="Q5782" i="1"/>
  <c r="Q5779" i="1"/>
  <c r="Q5618" i="1"/>
  <c r="Q5619" i="1"/>
  <c r="Q5620" i="1"/>
  <c r="Q5621" i="1"/>
  <c r="Q5785" i="1"/>
  <c r="Q5784" i="1"/>
  <c r="Q5624" i="1"/>
  <c r="Q5625" i="1"/>
  <c r="Q5626" i="1"/>
  <c r="Q5627" i="1"/>
  <c r="Q5787" i="1"/>
  <c r="Q5786" i="1"/>
  <c r="Q5630" i="1"/>
  <c r="Q5631" i="1"/>
  <c r="Q5632" i="1"/>
  <c r="Q5633" i="1"/>
  <c r="Q5790" i="1"/>
  <c r="Q5788" i="1"/>
  <c r="Q5636" i="1"/>
  <c r="Q5637" i="1"/>
  <c r="Q5638" i="1"/>
  <c r="Q5639" i="1"/>
  <c r="Q5796" i="1"/>
  <c r="Q5793" i="1"/>
  <c r="Q5642" i="1"/>
  <c r="Q5813" i="1"/>
  <c r="Q5797" i="1"/>
  <c r="Q5645" i="1"/>
  <c r="Q5646" i="1"/>
  <c r="Q5827" i="1"/>
  <c r="Q5814" i="1"/>
  <c r="Q5414" i="1"/>
  <c r="Q5745" i="1"/>
  <c r="Q5829" i="1"/>
  <c r="Q5828" i="1"/>
  <c r="Q5653" i="1"/>
  <c r="Q5831" i="1"/>
  <c r="Q5830" i="1"/>
  <c r="Q5656" i="1"/>
  <c r="Q5833" i="1"/>
  <c r="Q5832" i="1"/>
  <c r="Q5659" i="1"/>
  <c r="Q5835" i="1"/>
  <c r="Q5834" i="1"/>
  <c r="Q5662" i="1"/>
  <c r="Q5837" i="1"/>
  <c r="Q5836" i="1"/>
  <c r="Q5665" i="1"/>
  <c r="Q5666" i="1"/>
  <c r="Q5667" i="1"/>
  <c r="Q5842" i="1"/>
  <c r="Q5841" i="1"/>
  <c r="Q5670" i="1"/>
  <c r="Q5671" i="1"/>
  <c r="Q946" i="1"/>
  <c r="Q948" i="1"/>
  <c r="Q5674" i="1"/>
  <c r="Q5415" i="1"/>
  <c r="Q5416" i="1"/>
  <c r="Q5677" i="1"/>
  <c r="Q5678" i="1"/>
  <c r="Q5679" i="1"/>
  <c r="Q5680" i="1"/>
  <c r="Q5681" i="1"/>
  <c r="Q5682" i="1"/>
  <c r="Q5683" i="1"/>
  <c r="Q5684" i="1"/>
  <c r="Q1236" i="1"/>
  <c r="Q5838" i="1"/>
  <c r="Q5846" i="1"/>
  <c r="Q5845" i="1"/>
  <c r="Q5853" i="1"/>
  <c r="Q5852" i="1"/>
  <c r="Q5860" i="1"/>
  <c r="Q5859"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877" i="1"/>
  <c r="Q5876" i="1"/>
  <c r="Q5718" i="1"/>
  <c r="Q533" i="1"/>
  <c r="Q332" i="1"/>
  <c r="Q337" i="1"/>
  <c r="Q234" i="1"/>
  <c r="Q334" i="1"/>
  <c r="Q338" i="1"/>
  <c r="Q238" i="1"/>
  <c r="Q239" i="1"/>
  <c r="Q5727" i="1"/>
  <c r="Q335" i="1"/>
  <c r="Q342" i="1"/>
  <c r="Q375" i="1"/>
  <c r="Q376" i="1"/>
  <c r="Q5732" i="1"/>
  <c r="Q5733" i="1"/>
  <c r="Q5734" i="1"/>
  <c r="Q469" i="1"/>
  <c r="Q470" i="1"/>
  <c r="Q5737" i="1"/>
  <c r="Q5738" i="1"/>
  <c r="Q5739" i="1"/>
  <c r="Q534" i="1"/>
  <c r="Q535" i="1"/>
  <c r="Q5742" i="1"/>
  <c r="Q5743" i="1"/>
  <c r="Q5322" i="1"/>
  <c r="Q2780" i="1"/>
  <c r="Q3162" i="1"/>
  <c r="Q5893" i="1"/>
  <c r="Q5892" i="1"/>
  <c r="Q5911" i="1"/>
  <c r="Q5910" i="1"/>
  <c r="Q5925" i="1"/>
  <c r="Q5931" i="1"/>
  <c r="Q5930" i="1"/>
  <c r="Q5754" i="1"/>
  <c r="Q5755" i="1"/>
  <c r="Q5929" i="1"/>
  <c r="Q5928" i="1"/>
  <c r="Q5758" i="1"/>
  <c r="Q5759" i="1"/>
  <c r="Q5760" i="1"/>
  <c r="Q5940" i="1"/>
  <c r="Q5937" i="1"/>
  <c r="Q5763" i="1"/>
  <c r="Q5764" i="1"/>
  <c r="Q5765" i="1"/>
  <c r="Q5766" i="1"/>
  <c r="Q5933" i="1"/>
  <c r="Q5932" i="1"/>
  <c r="Q5769" i="1"/>
  <c r="Q5770" i="1"/>
  <c r="Q5771" i="1"/>
  <c r="Q5772" i="1"/>
  <c r="Q5773" i="1"/>
  <c r="Q5927" i="1"/>
  <c r="Q5926" i="1"/>
  <c r="Q5944" i="1"/>
  <c r="Q5941" i="1"/>
  <c r="Q5778" i="1"/>
  <c r="Q5936" i="1"/>
  <c r="Q5934" i="1"/>
  <c r="Q5781" i="1"/>
  <c r="Q5947" i="1"/>
  <c r="Q5945" i="1"/>
  <c r="Q1229" i="1"/>
  <c r="Q1238" i="1"/>
  <c r="Q1239" i="1"/>
  <c r="Q1504" i="1"/>
  <c r="Q1507" i="1"/>
  <c r="Q5789" i="1"/>
  <c r="Q1854" i="1"/>
  <c r="Q1855" i="1"/>
  <c r="Q5792" i="1"/>
  <c r="Q5791" i="1"/>
  <c r="Q5794" i="1"/>
  <c r="Q5795" i="1"/>
  <c r="Q5918" i="1"/>
  <c r="Q5917" i="1"/>
  <c r="Q5798" i="1"/>
  <c r="Q5799" i="1"/>
  <c r="Q5800" i="1"/>
  <c r="Q5801" i="1"/>
  <c r="Q5802" i="1"/>
  <c r="Q5803" i="1"/>
  <c r="Q5804" i="1"/>
  <c r="Q5805" i="1"/>
  <c r="Q5806" i="1"/>
  <c r="Q5807" i="1"/>
  <c r="Q5808" i="1"/>
  <c r="Q5809" i="1"/>
  <c r="Q5810" i="1"/>
  <c r="Q5811" i="1"/>
  <c r="Q5812" i="1"/>
  <c r="Q5923" i="1"/>
  <c r="Q5922" i="1"/>
  <c r="Q5815" i="1"/>
  <c r="Q5816" i="1"/>
  <c r="Q5817" i="1"/>
  <c r="Q5818" i="1"/>
  <c r="Q5819" i="1"/>
  <c r="Q5820" i="1"/>
  <c r="Q5821" i="1"/>
  <c r="Q5822" i="1"/>
  <c r="Q5823" i="1"/>
  <c r="Q5824" i="1"/>
  <c r="Q5825" i="1"/>
  <c r="Q5826" i="1"/>
  <c r="Q5952" i="1"/>
  <c r="Q5951" i="1"/>
  <c r="Q5954" i="1"/>
  <c r="Q5953" i="1"/>
  <c r="Q5961" i="1"/>
  <c r="Q5960" i="1"/>
  <c r="Q5783" i="1"/>
  <c r="Q5780" i="1"/>
  <c r="Q5089" i="1"/>
  <c r="Q5090" i="1"/>
  <c r="Q2753" i="1"/>
  <c r="Q2754" i="1"/>
  <c r="Q5839" i="1"/>
  <c r="Q5840" i="1"/>
  <c r="Q5968" i="1"/>
  <c r="Q5967" i="1"/>
  <c r="Q5843" i="1"/>
  <c r="Q5844" i="1"/>
  <c r="Q5975" i="1"/>
  <c r="Q5974" i="1"/>
  <c r="Q5847" i="1"/>
  <c r="Q5848" i="1"/>
  <c r="Q5849" i="1"/>
  <c r="Q5850" i="1"/>
  <c r="Q5851" i="1"/>
  <c r="Q5982" i="1"/>
  <c r="Q5981" i="1"/>
  <c r="Q5854" i="1"/>
  <c r="Q5855" i="1"/>
  <c r="Q5856" i="1"/>
  <c r="Q5857" i="1"/>
  <c r="Q5858" i="1"/>
  <c r="Q6011" i="1"/>
  <c r="Q6010" i="1"/>
  <c r="Q5861" i="1"/>
  <c r="Q5862" i="1"/>
  <c r="Q5863" i="1"/>
  <c r="Q5864" i="1"/>
  <c r="Q5865" i="1"/>
  <c r="Q5866" i="1"/>
  <c r="Q5867" i="1"/>
  <c r="Q5868" i="1"/>
  <c r="Q5869" i="1"/>
  <c r="Q5870" i="1"/>
  <c r="Q5871" i="1"/>
  <c r="Q5872" i="1"/>
  <c r="Q5873" i="1"/>
  <c r="Q5874" i="1"/>
  <c r="Q5875" i="1"/>
  <c r="Q5991" i="1"/>
  <c r="Q5990" i="1"/>
  <c r="Q5878" i="1"/>
  <c r="Q5879" i="1"/>
  <c r="Q5880" i="1"/>
  <c r="Q5881" i="1"/>
  <c r="Q5882" i="1"/>
  <c r="Q5883" i="1"/>
  <c r="Q5884" i="1"/>
  <c r="Q5885" i="1"/>
  <c r="Q5886" i="1"/>
  <c r="Q5887" i="1"/>
  <c r="Q5888" i="1"/>
  <c r="Q5889" i="1"/>
  <c r="Q5890" i="1"/>
  <c r="Q5891" i="1"/>
  <c r="Q5987" i="1"/>
  <c r="Q5986" i="1"/>
  <c r="Q5894" i="1"/>
  <c r="Q5895" i="1"/>
  <c r="Q5896" i="1"/>
  <c r="Q5897" i="1"/>
  <c r="Q5898" i="1"/>
  <c r="Q5899" i="1"/>
  <c r="Q5900" i="1"/>
  <c r="Q5901" i="1"/>
  <c r="Q5902" i="1"/>
  <c r="Q5903" i="1"/>
  <c r="Q5904" i="1"/>
  <c r="Q5905" i="1"/>
  <c r="Q5906" i="1"/>
  <c r="Q5907" i="1"/>
  <c r="Q5908" i="1"/>
  <c r="Q5909" i="1"/>
  <c r="Q2624" i="1"/>
  <c r="Q2630" i="1"/>
  <c r="Q5912" i="1"/>
  <c r="Q5913" i="1"/>
  <c r="Q5914" i="1"/>
  <c r="Q5915" i="1"/>
  <c r="Q5916" i="1"/>
  <c r="Q2312" i="1"/>
  <c r="Q2313" i="1"/>
  <c r="Q5919" i="1"/>
  <c r="Q5920" i="1"/>
  <c r="Q6030" i="1"/>
  <c r="Q6029" i="1"/>
  <c r="Q3761" i="1"/>
  <c r="Q6032" i="1"/>
  <c r="Q6031" i="1"/>
  <c r="Q6036" i="1"/>
  <c r="Q6035" i="1"/>
  <c r="Q6038" i="1"/>
  <c r="Q6037" i="1"/>
  <c r="Q6044" i="1"/>
  <c r="Q6039" i="1"/>
  <c r="Q5569" i="1"/>
  <c r="Q6058" i="1"/>
  <c r="Q6057" i="1"/>
  <c r="Q5935" i="1"/>
  <c r="Q6051" i="1"/>
  <c r="Q6045" i="1"/>
  <c r="Q5938" i="1"/>
  <c r="Q5939" i="1"/>
  <c r="Q6056" i="1"/>
  <c r="Q6052" i="1"/>
  <c r="Q5942" i="1"/>
  <c r="Q5943" i="1"/>
  <c r="Q5950" i="1"/>
  <c r="Q5948" i="1"/>
  <c r="Q5946" i="1"/>
  <c r="Q6067" i="1"/>
  <c r="Q6066" i="1"/>
  <c r="Q5949" i="1"/>
  <c r="Q3855" i="1"/>
  <c r="Q803" i="1"/>
  <c r="Q291" i="1"/>
  <c r="Q6065" i="1"/>
  <c r="Q6064" i="1"/>
  <c r="Q5955" i="1"/>
  <c r="Q5956" i="1"/>
  <c r="Q5957" i="1"/>
  <c r="Q5958" i="1"/>
  <c r="Q5959" i="1"/>
  <c r="Q6063" i="1"/>
  <c r="Q6062" i="1"/>
  <c r="Q5962" i="1"/>
  <c r="Q5963" i="1"/>
  <c r="Q5964" i="1"/>
  <c r="Q5965" i="1"/>
  <c r="Q5966" i="1"/>
  <c r="Q6060" i="1"/>
  <c r="Q6059" i="1"/>
  <c r="Q5969" i="1"/>
  <c r="Q5970" i="1"/>
  <c r="Q5971" i="1"/>
  <c r="Q5972" i="1"/>
  <c r="Q5973" i="1"/>
  <c r="Q6077" i="1"/>
  <c r="Q6076" i="1"/>
  <c r="Q5976" i="1"/>
  <c r="Q5977" i="1"/>
  <c r="Q5978" i="1"/>
  <c r="Q5979" i="1"/>
  <c r="Q5921" i="1"/>
  <c r="Q5924" i="1"/>
  <c r="Q6070" i="1"/>
  <c r="Q6068" i="1"/>
  <c r="Q5984" i="1"/>
  <c r="Q5985" i="1"/>
  <c r="Q6074" i="1"/>
  <c r="Q6072" i="1"/>
  <c r="Q5988" i="1"/>
  <c r="Q5989" i="1"/>
  <c r="Q6080" i="1"/>
  <c r="Q6079" i="1"/>
  <c r="Q5992" i="1"/>
  <c r="Q5993" i="1"/>
  <c r="Q5994" i="1"/>
  <c r="Q5995" i="1"/>
  <c r="Q5996" i="1"/>
  <c r="Q5997" i="1"/>
  <c r="Q5998" i="1"/>
  <c r="Q5999" i="1"/>
  <c r="Q6000" i="1"/>
  <c r="Q6001" i="1"/>
  <c r="Q6002" i="1"/>
  <c r="Q6003" i="1"/>
  <c r="Q6004" i="1"/>
  <c r="Q6005" i="1"/>
  <c r="Q6006" i="1"/>
  <c r="Q6007" i="1"/>
  <c r="Q6008" i="1"/>
  <c r="Q6009" i="1"/>
  <c r="Q6088" i="1"/>
  <c r="Q6087" i="1"/>
  <c r="Q6012" i="1"/>
  <c r="Q6013" i="1"/>
  <c r="Q6014" i="1"/>
  <c r="Q6015" i="1"/>
  <c r="Q6016" i="1"/>
  <c r="Q6017" i="1"/>
  <c r="Q6018" i="1"/>
  <c r="Q6019" i="1"/>
  <c r="Q6020" i="1"/>
  <c r="Q6021" i="1"/>
  <c r="Q6022" i="1"/>
  <c r="Q6023" i="1"/>
  <c r="Q6024" i="1"/>
  <c r="Q6025" i="1"/>
  <c r="Q6026" i="1"/>
  <c r="Q6027" i="1"/>
  <c r="Q6028" i="1"/>
  <c r="Q635" i="1"/>
  <c r="Q5719" i="1"/>
  <c r="Q6091" i="1"/>
  <c r="Q6090" i="1"/>
  <c r="Q6033" i="1"/>
  <c r="Q6034" i="1"/>
  <c r="Q2720" i="1"/>
  <c r="Q3123" i="1"/>
  <c r="Q693" i="1"/>
  <c r="Q6097" i="1"/>
  <c r="Q6096" i="1"/>
  <c r="Q6040" i="1"/>
  <c r="Q6041" i="1"/>
  <c r="Q6042" i="1"/>
  <c r="Q6043" i="1"/>
  <c r="Q6094" i="1"/>
  <c r="Q6093" i="1"/>
  <c r="Q6046" i="1"/>
  <c r="Q6047" i="1"/>
  <c r="Q6048" i="1"/>
  <c r="Q6049" i="1"/>
  <c r="Q6050" i="1"/>
  <c r="Q6100" i="1"/>
  <c r="Q6099" i="1"/>
  <c r="Q6053" i="1"/>
  <c r="Q6054" i="1"/>
  <c r="Q6055" i="1"/>
  <c r="Q2954" i="1"/>
  <c r="Q6118" i="1"/>
  <c r="Q6117" i="1"/>
  <c r="Q2680" i="1"/>
  <c r="Q2713" i="1"/>
  <c r="Q3178" i="1"/>
  <c r="Q2784" i="1"/>
  <c r="Q4407" i="1"/>
  <c r="Q1679" i="1"/>
  <c r="Q5983" i="1"/>
  <c r="Q5980" i="1"/>
  <c r="Q6130" i="1"/>
  <c r="Q6128" i="1"/>
  <c r="Q6075" i="1"/>
  <c r="Q6073" i="1"/>
  <c r="Q6071" i="1"/>
  <c r="Q6069" i="1"/>
  <c r="Q6136" i="1"/>
  <c r="Q6131" i="1"/>
  <c r="Q1568" i="1"/>
  <c r="Q6127" i="1"/>
  <c r="Q6124" i="1"/>
  <c r="Q6078" i="1"/>
  <c r="Q6140" i="1"/>
  <c r="Q6137" i="1"/>
  <c r="Q6081" i="1"/>
  <c r="Q6082" i="1"/>
  <c r="Q6083" i="1"/>
  <c r="Q6084" i="1"/>
  <c r="Q6085" i="1"/>
  <c r="Q6086" i="1"/>
  <c r="Q6179" i="1"/>
  <c r="Q6172" i="1"/>
  <c r="Q6089" i="1"/>
  <c r="Q6171" i="1"/>
  <c r="Q6168" i="1"/>
  <c r="Q6092" i="1"/>
  <c r="Q6196" i="1"/>
  <c r="Q6195" i="1"/>
  <c r="Q6095" i="1"/>
  <c r="Q6165" i="1"/>
  <c r="Q6141" i="1"/>
  <c r="Q6098" i="1"/>
  <c r="Q6202" i="1"/>
  <c r="Q6201" i="1"/>
  <c r="Q6101" i="1"/>
  <c r="Q6102" i="1"/>
  <c r="Q6103" i="1"/>
  <c r="Q6104" i="1"/>
  <c r="Q6105" i="1"/>
  <c r="Q6106" i="1"/>
  <c r="Q6107" i="1"/>
  <c r="Q6108" i="1"/>
  <c r="Q6109" i="1"/>
  <c r="Q6110" i="1"/>
  <c r="Q6111" i="1"/>
  <c r="Q6112" i="1"/>
  <c r="Q6113" i="1"/>
  <c r="Q6114" i="1"/>
  <c r="Q6115" i="1"/>
  <c r="Q6116" i="1"/>
  <c r="Q6208" i="1"/>
  <c r="Q6207" i="1"/>
  <c r="Q6119" i="1"/>
  <c r="Q6223" i="1"/>
  <c r="Q6222" i="1"/>
  <c r="Q6122" i="1"/>
  <c r="Q6228" i="1"/>
  <c r="Q6227" i="1"/>
  <c r="Q6125" i="1"/>
  <c r="Q6126" i="1"/>
  <c r="Q6234" i="1"/>
  <c r="Q6233" i="1"/>
  <c r="Q6129" i="1"/>
  <c r="Q6244" i="1"/>
  <c r="Q6243" i="1"/>
  <c r="Q6132" i="1"/>
  <c r="Q6133" i="1"/>
  <c r="Q6134" i="1"/>
  <c r="Q6135" i="1"/>
  <c r="Q6239" i="1"/>
  <c r="Q6237" i="1"/>
  <c r="Q6138" i="1"/>
  <c r="Q6139" i="1"/>
  <c r="Q6167" i="1"/>
  <c r="Q6166"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218" i="1"/>
  <c r="Q6211" i="1"/>
  <c r="Q6210" i="1"/>
  <c r="Q6209" i="1"/>
  <c r="Q6169" i="1"/>
  <c r="Q6170" i="1"/>
  <c r="Q6221" i="1"/>
  <c r="Q6219" i="1"/>
  <c r="Q6173" i="1"/>
  <c r="Q6174" i="1"/>
  <c r="Q6175" i="1"/>
  <c r="Q6176" i="1"/>
  <c r="Q6177" i="1"/>
  <c r="Q6178" i="1"/>
  <c r="Q6120" i="1"/>
  <c r="Q6180" i="1"/>
  <c r="Q6181" i="1"/>
  <c r="Q6182" i="1"/>
  <c r="Q6183" i="1"/>
  <c r="Q6184" i="1"/>
  <c r="Q6185" i="1"/>
  <c r="Q6123" i="1"/>
  <c r="Q6187" i="1"/>
  <c r="Q6188" i="1"/>
  <c r="Q6189" i="1"/>
  <c r="Q6190" i="1"/>
  <c r="Q6191" i="1"/>
  <c r="Q6192" i="1"/>
  <c r="Q6193" i="1"/>
  <c r="Q6121" i="1"/>
  <c r="Q6248" i="1"/>
  <c r="Q6247" i="1"/>
  <c r="Q6197" i="1"/>
  <c r="Q6198" i="1"/>
  <c r="Q6199" i="1"/>
  <c r="Q6200" i="1"/>
  <c r="Q6251" i="1"/>
  <c r="Q6250" i="1"/>
  <c r="Q6203" i="1"/>
  <c r="Q6204" i="1"/>
  <c r="Q6205" i="1"/>
  <c r="Q6206" i="1"/>
  <c r="Q5248" i="1"/>
  <c r="Q5412" i="1"/>
  <c r="Q694" i="1"/>
  <c r="Q6194" i="1"/>
  <c r="Q6186" i="1"/>
  <c r="Q6212" i="1"/>
  <c r="Q6213" i="1"/>
  <c r="Q6214" i="1"/>
  <c r="Q6215" i="1"/>
  <c r="Q6216" i="1"/>
  <c r="Q6217" i="1"/>
  <c r="Q6257" i="1"/>
  <c r="Q6256" i="1"/>
  <c r="Q6220" i="1"/>
  <c r="Q6061" i="1"/>
  <c r="Q6240" i="1"/>
  <c r="Q6238" i="1"/>
  <c r="Q6224" i="1"/>
  <c r="Q6225" i="1"/>
  <c r="Q6226" i="1"/>
  <c r="Q6263" i="1"/>
  <c r="Q6262" i="1"/>
  <c r="Q6229" i="1"/>
  <c r="Q6230" i="1"/>
  <c r="Q6231" i="1"/>
  <c r="Q6232" i="1"/>
  <c r="Q5274" i="1"/>
  <c r="Q5275" i="1"/>
  <c r="Q6235" i="1"/>
  <c r="Q6236" i="1"/>
  <c r="Q5019" i="1"/>
  <c r="Q3600" i="1"/>
  <c r="Q6269" i="1"/>
  <c r="Q6268" i="1"/>
  <c r="Q6241" i="1"/>
  <c r="Q6242" i="1"/>
  <c r="Q6276" i="1"/>
  <c r="Q6275" i="1"/>
  <c r="Q6245" i="1"/>
  <c r="Q6246" i="1"/>
  <c r="Q6278" i="1"/>
  <c r="Q6277" i="1"/>
  <c r="Q6249" i="1"/>
  <c r="Q6280" i="1"/>
  <c r="Q6279" i="1"/>
  <c r="Q6252" i="1"/>
  <c r="Q6253" i="1"/>
  <c r="Q6254" i="1"/>
  <c r="Q6255" i="1"/>
  <c r="Q6283" i="1"/>
  <c r="Q6281" i="1"/>
  <c r="Q6258" i="1"/>
  <c r="Q6259" i="1"/>
  <c r="Q6260" i="1"/>
  <c r="Q6261" i="1"/>
  <c r="Q6290" i="1"/>
  <c r="Q6284" i="1"/>
  <c r="Q6264" i="1"/>
  <c r="Q6265" i="1"/>
  <c r="Q6266" i="1"/>
  <c r="Q6267" i="1"/>
  <c r="Q6293" i="1"/>
  <c r="Q6292" i="1"/>
  <c r="Q6270" i="1"/>
  <c r="Q6271" i="1"/>
  <c r="Q6272" i="1"/>
  <c r="Q6273" i="1"/>
  <c r="Q6274" i="1"/>
  <c r="Q6295" i="1"/>
  <c r="Q6294" i="1"/>
  <c r="Q6320" i="1"/>
  <c r="Q4657" i="1"/>
  <c r="Q3350" i="1"/>
  <c r="Q6327" i="1"/>
  <c r="Q6321" i="1"/>
  <c r="Q6282" i="1"/>
  <c r="Q6329" i="1"/>
  <c r="Q6328" i="1"/>
  <c r="Q6285" i="1"/>
  <c r="Q6286" i="1"/>
  <c r="Q6287" i="1"/>
  <c r="Q6288" i="1"/>
  <c r="Q6289" i="1"/>
  <c r="Q6333" i="1"/>
  <c r="Q6332" i="1"/>
  <c r="Q6337" i="1"/>
  <c r="Q6334" i="1"/>
  <c r="Q6339" i="1"/>
  <c r="Q6338"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31" i="1"/>
  <c r="Q6330" i="1"/>
  <c r="Q6322" i="1"/>
  <c r="Q6323" i="1"/>
  <c r="Q6324" i="1"/>
  <c r="Q6325" i="1"/>
  <c r="Q6326" i="1"/>
  <c r="Q3380" i="1"/>
  <c r="Q2325" i="1"/>
  <c r="Q3705" i="1"/>
  <c r="Q3604" i="1"/>
  <c r="Q2375" i="1"/>
  <c r="Q6346" i="1"/>
  <c r="Q6345" i="1"/>
  <c r="Q6342" i="1"/>
  <c r="Q6335" i="1"/>
  <c r="Q6336" i="1"/>
  <c r="Q5722" i="1"/>
  <c r="Q2926" i="1"/>
  <c r="Q3467" i="1"/>
  <c r="Q3468" i="1"/>
  <c r="Q6349" i="1"/>
  <c r="Q6347" i="1"/>
  <c r="Q6343" i="1"/>
  <c r="Q6344" i="1"/>
  <c r="Q6291" i="1"/>
  <c r="Q6340" i="1"/>
  <c r="Q6341" i="1"/>
  <c r="Q6348" i="1"/>
  <c r="Q3682" i="1"/>
  <c r="Q193" i="1"/>
</calcChain>
</file>

<file path=xl/sharedStrings.xml><?xml version="1.0" encoding="utf-8"?>
<sst xmlns="http://schemas.openxmlformats.org/spreadsheetml/2006/main" count="73565" uniqueCount="14272">
  <si>
    <t>JobJacket</t>
  </si>
  <si>
    <t>JobJackets::InspectionComments</t>
  </si>
  <si>
    <t>JobJackets::PreferredMeasuringMethod</t>
  </si>
  <si>
    <t>JobJackets::SampleFreq</t>
  </si>
  <si>
    <t>JobJackets::TolerancesRequiredBy</t>
  </si>
  <si>
    <t>JobJackets::_fk_InspectionTemplateID</t>
  </si>
  <si>
    <t>Parameter</t>
  </si>
  <si>
    <t>LSL</t>
  </si>
  <si>
    <t>Target</t>
  </si>
  <si>
    <t>USL</t>
  </si>
  <si>
    <t>JobJackets::Status</t>
  </si>
  <si>
    <t>10 rolls</t>
  </si>
  <si>
    <t>No adhesive build up on finished rolls?</t>
  </si>
  <si>
    <t>No(Fail)</t>
  </si>
  <si>
    <t>Yes(Pass)</t>
  </si>
  <si>
    <t>Smoothly slit roll edges?</t>
  </si>
  <si>
    <t>Is the die pressure set to achieve a complete cut through the foam without compromising the carrier liner?</t>
  </si>
  <si>
    <t>60 rolls</t>
  </si>
  <si>
    <t>Length of Part</t>
  </si>
  <si>
    <t>0.719</t>
  </si>
  <si>
    <t>0.750</t>
  </si>
  <si>
    <t>0.781</t>
  </si>
  <si>
    <t>Width of Part</t>
  </si>
  <si>
    <t>Has blue silicone tape been used for splicing, tabbing, and starting the rolls?</t>
  </si>
  <si>
    <t>No (Fail)</t>
  </si>
  <si>
    <t>Yes (Pass)</t>
  </si>
  <si>
    <t>Is the perforation centered and does it tear easily?</t>
  </si>
  <si>
    <t>1.47</t>
  </si>
  <si>
    <t>1.50</t>
  </si>
  <si>
    <t>1.53</t>
  </si>
  <si>
    <t>18 rolls</t>
  </si>
  <si>
    <t>15.2</t>
  </si>
  <si>
    <t>16.0</t>
  </si>
  <si>
    <t>16.8</t>
  </si>
  <si>
    <t>18.2</t>
  </si>
  <si>
    <t>19.0</t>
  </si>
  <si>
    <t>19.8</t>
  </si>
  <si>
    <t>Adhesive build-up on roll edges?</t>
  </si>
  <si>
    <t>No(Pass)</t>
  </si>
  <si>
    <t>Yes(Fail)</t>
  </si>
  <si>
    <t>Proper butt cut of adhesive?</t>
  </si>
  <si>
    <t>1,000</t>
  </si>
  <si>
    <t>9.375</t>
  </si>
  <si>
    <t>9.437</t>
  </si>
  <si>
    <t>9.500</t>
  </si>
  <si>
    <t>4.125</t>
  </si>
  <si>
    <t>4.187</t>
  </si>
  <si>
    <t>4.250</t>
  </si>
  <si>
    <t>When you look at the edge of the roll, is the roll free of folded over or stacked parts?</t>
  </si>
  <si>
    <t>Is liner relase easy (part does not curl excessively when peeled off liner)?</t>
  </si>
  <si>
    <t>25 rolls</t>
  </si>
  <si>
    <t>Width of part.</t>
  </si>
  <si>
    <t>0.440</t>
  </si>
  <si>
    <t>0.455</t>
  </si>
  <si>
    <t>0.470</t>
  </si>
  <si>
    <t>Length of part.</t>
  </si>
  <si>
    <t>0.735</t>
  </si>
  <si>
    <t>0.765</t>
  </si>
  <si>
    <t>Is butt cut deep enough to pull parts off individually but not so deep as to fracture the liner?</t>
  </si>
  <si>
    <t>Width of roll at outside diameter</t>
  </si>
  <si>
    <t>19.50</t>
  </si>
  <si>
    <t>20.00</t>
  </si>
  <si>
    <t>20.50</t>
  </si>
  <si>
    <t>Width of roll at inside diameter</t>
  </si>
  <si>
    <t>Are roll edges clean and sharp?</t>
  </si>
  <si>
    <t>Does the roll unwind without slivering when unwound quickly?</t>
  </si>
  <si>
    <t>24 rolls</t>
  </si>
  <si>
    <t>18</t>
  </si>
  <si>
    <t>19</t>
  </si>
  <si>
    <t>20</t>
  </si>
  <si>
    <t xml:space="preserve">Width of Part </t>
  </si>
  <si>
    <t>Are the rolls free of adhesive build up on the edges?</t>
  </si>
  <si>
    <t>Is the butt cut deep enough to remove the pieces but not cut into the liner?</t>
  </si>
  <si>
    <t>10,000</t>
  </si>
  <si>
    <t>Diameter of circle</t>
  </si>
  <si>
    <t>2.47</t>
  </si>
  <si>
    <t>2.50</t>
  </si>
  <si>
    <t>2.53</t>
  </si>
  <si>
    <t>Is the die strike deep enough to remove the matrix but not cut into the liner?</t>
  </si>
  <si>
    <t>Is slit edge of liner clean and sharp?</t>
  </si>
  <si>
    <t>Roll requires 3 inspections</t>
  </si>
  <si>
    <t>Correct Width of Adhesive?</t>
  </si>
  <si>
    <t>0.790</t>
  </si>
  <si>
    <t>0.820</t>
  </si>
  <si>
    <t>0.850</t>
  </si>
  <si>
    <t>Correct length of Adhesive?</t>
  </si>
  <si>
    <t>0.500</t>
  </si>
  <si>
    <t>0.530</t>
  </si>
  <si>
    <t>Correct Width of Tab Area?</t>
  </si>
  <si>
    <t>Correct Length of Tab Area?</t>
  </si>
  <si>
    <t>0.170</t>
  </si>
  <si>
    <t>0.200</t>
  </si>
  <si>
    <t>0.230</t>
  </si>
  <si>
    <t>Is adhesive laminated to the easy release side of the 4994?</t>
  </si>
  <si>
    <t>Final Liner Width</t>
  </si>
  <si>
    <t>1.565</t>
  </si>
  <si>
    <t>1.625</t>
  </si>
  <si>
    <t>1.685</t>
  </si>
  <si>
    <t>8 rolls</t>
  </si>
  <si>
    <t>Width of roll</t>
  </si>
  <si>
    <t>0.469</t>
  </si>
  <si>
    <t>0.625</t>
  </si>
  <si>
    <t>Thickness of polyimide material; without adhesive</t>
  </si>
  <si>
    <t>0.0008</t>
  </si>
  <si>
    <t>0.0010</t>
  </si>
  <si>
    <t>0.0012</t>
  </si>
  <si>
    <t>Is roll wound loose, but not so loose as to cause gapping?</t>
  </si>
  <si>
    <t>Are rolls clean of dirt and debris?</t>
  </si>
  <si>
    <t>3,000 parts</t>
  </si>
  <si>
    <t>Length of label</t>
  </si>
  <si>
    <t>199</t>
  </si>
  <si>
    <t>200</t>
  </si>
  <si>
    <t>201</t>
  </si>
  <si>
    <t>Is part correct width</t>
  </si>
  <si>
    <t>Is color PMS285 within one shade? (Compare to enclosed sample)</t>
  </si>
  <si>
    <t>Is print positioning correct?</t>
  </si>
  <si>
    <t>Is die strike correct?</t>
  </si>
  <si>
    <t>20 (rolls)</t>
  </si>
  <si>
    <t>119.2</t>
  </si>
  <si>
    <t>120.0</t>
  </si>
  <si>
    <t>120.8</t>
  </si>
  <si>
    <t>Die cut deep enough to strip matrix, but not so deep as to fracture the liner</t>
  </si>
  <si>
    <t>Presence of scratches on facestock</t>
  </si>
  <si>
    <t>No (Pass)</t>
  </si>
  <si>
    <t>Yes (Fail)</t>
  </si>
  <si>
    <t>Rewind loose to prevent adhesive ooze</t>
  </si>
  <si>
    <t>Rolls attached to cores/tabbed with paper tape</t>
  </si>
  <si>
    <t xml:space="preserve">
</t>
  </si>
  <si>
    <t>4.03</t>
  </si>
  <si>
    <t>4.06</t>
  </si>
  <si>
    <t>4.09</t>
  </si>
  <si>
    <t>0.72</t>
  </si>
  <si>
    <t>0.75</t>
  </si>
  <si>
    <t>0.78</t>
  </si>
  <si>
    <t>Is the die strike deep enough to strip the matrix but not cut into the liner?</t>
  </si>
  <si>
    <t>Are slit roll edges clean?</t>
  </si>
  <si>
    <t xml:space="preserve">Yes(Pass) </t>
  </si>
  <si>
    <t>Is the product free of all PVC tape?  No splices or tabs?</t>
  </si>
  <si>
    <t>0.968</t>
  </si>
  <si>
    <t>1.000</t>
  </si>
  <si>
    <t>1.031</t>
  </si>
  <si>
    <t>.719</t>
  </si>
  <si>
    <t>.750</t>
  </si>
  <si>
    <t>.781</t>
  </si>
  <si>
    <t>Is die strike deep enough to strip matrix, yet not too deep as to fracture liner?</t>
  </si>
  <si>
    <t>Is print clean, sharp, and within one shade of PMS 199?</t>
  </si>
  <si>
    <t>finished roll</t>
  </si>
  <si>
    <t>Perf length</t>
  </si>
  <si>
    <t>11.75</t>
  </si>
  <si>
    <t>12.00</t>
  </si>
  <si>
    <t>12.25</t>
  </si>
  <si>
    <t>SEE SPECIAL COMMENTS</t>
  </si>
  <si>
    <t>Crease
See Note 1 above</t>
  </si>
  <si>
    <t>Dent
See Note 1 above</t>
  </si>
  <si>
    <t>Milkiness
See Note 1 above</t>
  </si>
  <si>
    <t>Contamination
See Note 1 above</t>
  </si>
  <si>
    <t>Bad slit edge
See Note 1 above</t>
  </si>
  <si>
    <t>Telescoping or loose wrap
See Note 1 above</t>
  </si>
  <si>
    <t>Footage of roll (record length in feet)</t>
  </si>
  <si>
    <t>5 (rolls)</t>
  </si>
  <si>
    <t>Length of butt cut</t>
  </si>
  <si>
    <t>Width of butt cut</t>
  </si>
  <si>
    <t>3.72</t>
  </si>
  <si>
    <t>3.75</t>
  </si>
  <si>
    <t>3.78</t>
  </si>
  <si>
    <t>Is butt cut deep enough to pull parts off individually yet not so deep as to fracture liner?</t>
  </si>
  <si>
    <t>Is slit edge clean and sharp without paper slivers and adhesive balls?</t>
  </si>
  <si>
    <t>Are masking tape or silicone tape being used to start and tab rolls?</t>
  </si>
  <si>
    <t>30 rolls</t>
  </si>
  <si>
    <t>Is the perf cut deep enough to pull off parts individually, but not so deep as to fracture the liner?</t>
  </si>
  <si>
    <t>Is PMS Flexo 199 being used, and is the color within one shade of enclosed sample or PMS book?</t>
  </si>
  <si>
    <t>Is the print clean and sharp?</t>
  </si>
  <si>
    <t>64 rolls</t>
  </si>
  <si>
    <t>Is print clean and sharp? Is "P-2178" legible?</t>
  </si>
  <si>
    <t>Width of tape</t>
  </si>
  <si>
    <t>0.711</t>
  </si>
  <si>
    <t>0.743</t>
  </si>
  <si>
    <t>0.774</t>
  </si>
  <si>
    <t>Is the Unwind Direction #2?</t>
  </si>
  <si>
    <t>Are sides of rolls free from adhesive build-up?</t>
  </si>
  <si>
    <t>Is print clean and sharp? Is "P-1318" legible?</t>
  </si>
  <si>
    <t>30 Rolls</t>
  </si>
  <si>
    <t>Length of die cut</t>
  </si>
  <si>
    <t>4.97</t>
  </si>
  <si>
    <t>5.00</t>
  </si>
  <si>
    <t>5.03</t>
  </si>
  <si>
    <t>Width of die cut</t>
  </si>
  <si>
    <t>0.720</t>
  </si>
  <si>
    <t>0.780</t>
  </si>
  <si>
    <t>Is the die strike deep enough to strip the matrix, yet not so deep as to fracture the liner?</t>
  </si>
  <si>
    <t>Is the print visually centered between perfs?</t>
  </si>
  <si>
    <t>Do the arrows point toward operator?</t>
  </si>
  <si>
    <t>Is release tape being used for all splices?</t>
  </si>
  <si>
    <t>12 rolls</t>
  </si>
  <si>
    <t>Length of part</t>
  </si>
  <si>
    <t>12.75</t>
  </si>
  <si>
    <t>13.00</t>
  </si>
  <si>
    <t>13.25</t>
  </si>
  <si>
    <t>Width of part</t>
  </si>
  <si>
    <t>5.25</t>
  </si>
  <si>
    <t>5.50</t>
  </si>
  <si>
    <t>5.75</t>
  </si>
  <si>
    <t>Adhesive transfer centered on tissue (measuring from edges of tissue to adhesive)</t>
  </si>
  <si>
    <t>2.37</t>
  </si>
  <si>
    <t>2.63</t>
  </si>
  <si>
    <t>Is Outside Diameter of finished roll under 7.25"? 7.25" OD ABSOLUTE MAX! (Confirm roll fits in dispensing box and spins easily within box).</t>
  </si>
  <si>
    <t>Is the print straight across web and perpendicular to material edges?</t>
  </si>
  <si>
    <t>Does the print look like a dotted line?</t>
  </si>
  <si>
    <t>Is the adhesive free of large buckles and curl?</t>
  </si>
  <si>
    <t>Does the perf allow the parts to be separated easily?</t>
  </si>
  <si>
    <t>2,000 ft</t>
  </si>
  <si>
    <t>Pinhole to Pinhole 12 away</t>
  </si>
  <si>
    <t>5.995</t>
  </si>
  <si>
    <t>6.000</t>
  </si>
  <si>
    <t>6.005</t>
  </si>
  <si>
    <t>Pinhole to score .150" on EAD500 side (gear)</t>
  </si>
  <si>
    <t>0.120</t>
  </si>
  <si>
    <t>0.150</t>
  </si>
  <si>
    <t>0.180</t>
  </si>
  <si>
    <t>Pinhole to score .150" on EAD500 side (operator)</t>
  </si>
  <si>
    <t>Total width</t>
  </si>
  <si>
    <t>3.685</t>
  </si>
  <si>
    <t>3.700</t>
  </si>
  <si>
    <t>3.715</t>
  </si>
  <si>
    <t>Pin hole to score T-10 side (Gear)</t>
  </si>
  <si>
    <t>Pin hole to score T-10  side (Operator)</t>
  </si>
  <si>
    <t>Are the scores complete through the liners but not through the double-coated tape?</t>
  </si>
  <si>
    <t>Length of roll.  Is counter set for 72yds?</t>
  </si>
  <si>
    <t>Is print clean and sharp? Is "P-7903" legible?</t>
  </si>
  <si>
    <t>mm Ruler</t>
  </si>
  <si>
    <t>42,352</t>
  </si>
  <si>
    <t>39.21</t>
  </si>
  <si>
    <t>40.00</t>
  </si>
  <si>
    <t>40.79</t>
  </si>
  <si>
    <t>11.21</t>
  </si>
  <si>
    <t>12.79</t>
  </si>
  <si>
    <t>Scale/Ruler</t>
  </si>
  <si>
    <t>0.907</t>
  </si>
  <si>
    <t>0.937</t>
  </si>
  <si>
    <t>0.967</t>
  </si>
  <si>
    <t>Width of tab area</t>
  </si>
  <si>
    <t>0.125</t>
  </si>
  <si>
    <t>0.156</t>
  </si>
  <si>
    <t>0.187</t>
  </si>
  <si>
    <t>Is the die strike deep enough to strip product yet not so deep as to fracture liner?</t>
  </si>
  <si>
    <t>Tab width</t>
  </si>
  <si>
    <t>0.35</t>
  </si>
  <si>
    <t>0.38</t>
  </si>
  <si>
    <t>0.41</t>
  </si>
  <si>
    <t>5.97</t>
  </si>
  <si>
    <t>6.00</t>
  </si>
  <si>
    <t>6.03</t>
  </si>
  <si>
    <t>3.97</t>
  </si>
  <si>
    <t>4.00</t>
  </si>
  <si>
    <t>18.6</t>
  </si>
  <si>
    <t>19.4</t>
  </si>
  <si>
    <t>14.6</t>
  </si>
  <si>
    <t>15.0</t>
  </si>
  <si>
    <t>15.4</t>
  </si>
  <si>
    <t>Is the butt cut deep enough to remove the parts individually but not so deep as to fracture the liner?</t>
  </si>
  <si>
    <t>Are roll edges clean and sharp and free of glue balls?</t>
  </si>
  <si>
    <t>22 rolls</t>
  </si>
  <si>
    <t>0.46</t>
  </si>
  <si>
    <t>0.49</t>
  </si>
  <si>
    <t>0.52</t>
  </si>
  <si>
    <t>Are slit edges clean and free of adhesive buildup?</t>
  </si>
  <si>
    <t>Does tape pass ink adhesion test as outlined on job ticket?</t>
  </si>
  <si>
    <t>Is the RED dense and not "Pink"?</t>
  </si>
  <si>
    <t>Is the rewind direction correct per the drawing, #2?</t>
  </si>
  <si>
    <t>5 rolls</t>
  </si>
  <si>
    <t>Width of Finished Roll</t>
  </si>
  <si>
    <t>0.88</t>
  </si>
  <si>
    <t>1.00</t>
  </si>
  <si>
    <t>1.13</t>
  </si>
  <si>
    <t>Width of 3M 9472 (gear side)</t>
  </si>
  <si>
    <t>0.343</t>
  </si>
  <si>
    <t>0.375</t>
  </si>
  <si>
    <t>0.406</t>
  </si>
  <si>
    <t>Width of 3M 9472 (operator side)</t>
  </si>
  <si>
    <t>Width of Area in center without adhesive</t>
  </si>
  <si>
    <t>0.219</t>
  </si>
  <si>
    <t>0.250</t>
  </si>
  <si>
    <t>0.281</t>
  </si>
  <si>
    <t>Height of Hump</t>
  </si>
  <si>
    <t>0.188</t>
  </si>
  <si>
    <t>Width of Hump Area</t>
  </si>
  <si>
    <t>Is Hump Area Rounded; not Flat or Straight Up?</t>
  </si>
  <si>
    <t>Is Print Clean and Sharp?</t>
  </si>
  <si>
    <t>Is PMS Reflex Blue being used?</t>
  </si>
  <si>
    <t>2 rolls</t>
  </si>
  <si>
    <t>Width of Adhesive area</t>
  </si>
  <si>
    <t>4.72</t>
  </si>
  <si>
    <t>4.75</t>
  </si>
  <si>
    <t>4.78</t>
  </si>
  <si>
    <t>5.22</t>
  </si>
  <si>
    <t>5.28</t>
  </si>
  <si>
    <t>Tab on Operators Side?</t>
  </si>
  <si>
    <t>Is the adhesive centered on the PET liner?</t>
  </si>
  <si>
    <t>Is the adhesive laminated to the release side of the PET Liner</t>
  </si>
  <si>
    <t>Width of roll.</t>
  </si>
  <si>
    <t>35</t>
  </si>
  <si>
    <t>3.532</t>
  </si>
  <si>
    <t>3.563</t>
  </si>
  <si>
    <t>3.594</t>
  </si>
  <si>
    <t>Is the die strike deep enough to strip the matrix but not so deep as to fracture the liner?</t>
  </si>
  <si>
    <t>Are the rolls wound loosely enough that the inner labels will not stick?</t>
  </si>
  <si>
    <t>50</t>
  </si>
  <si>
    <t>Width of Roll</t>
  </si>
  <si>
    <t>0.47</t>
  </si>
  <si>
    <t>0.50</t>
  </si>
  <si>
    <t>0.53</t>
  </si>
  <si>
    <t>Is part clean and free of all debris?</t>
  </si>
  <si>
    <t>Are edges clean and sharp? SHARP BLADES</t>
  </si>
  <si>
    <t>Rolls free of scratches and visable defects?</t>
  </si>
  <si>
    <t>Does roll meet MAX O.D of 5.375"?</t>
  </si>
  <si>
    <t>Are rolls being double bagged?</t>
  </si>
  <si>
    <t>0.468</t>
  </si>
  <si>
    <t>0.515</t>
  </si>
  <si>
    <t>Is the ink adhesion good?</t>
  </si>
  <si>
    <t>Is the black dense and not "gray"?</t>
  </si>
  <si>
    <t>Is the rewind direction #1?</t>
  </si>
  <si>
    <t>Is Part# 4213-11218 being used?</t>
  </si>
  <si>
    <t>Width of roll - see work order for target</t>
  </si>
  <si>
    <t>-0.030</t>
  </si>
  <si>
    <t>+0.030</t>
  </si>
  <si>
    <t>Is the slit edge free of slivers and double cuts?</t>
  </si>
  <si>
    <t>4,000 labels</t>
  </si>
  <si>
    <t>Is print clean and sharp, free of hairs and other visual defects?</t>
  </si>
  <si>
    <t>Total Part Length</t>
  </si>
  <si>
    <t>22.33</t>
  </si>
  <si>
    <t>22.46</t>
  </si>
  <si>
    <t>Window Length</t>
  </si>
  <si>
    <t>18.91</t>
  </si>
  <si>
    <t>19.04</t>
  </si>
  <si>
    <t>19.17</t>
  </si>
  <si>
    <t>Total Part Width</t>
  </si>
  <si>
    <t>19.63</t>
  </si>
  <si>
    <t>19.76</t>
  </si>
  <si>
    <t>19.89</t>
  </si>
  <si>
    <t>3.25</t>
  </si>
  <si>
    <t>3.50</t>
  </si>
  <si>
    <t>1.54</t>
  </si>
  <si>
    <t>1.79</t>
  </si>
  <si>
    <t>2.04</t>
  </si>
  <si>
    <t>1.25</t>
  </si>
  <si>
    <t>1.75</t>
  </si>
  <si>
    <t>Adhesive Width</t>
  </si>
  <si>
    <t>13.01</t>
  </si>
  <si>
    <t>13.26</t>
  </si>
  <si>
    <t>13.51</t>
  </si>
  <si>
    <t>26.09</t>
  </si>
  <si>
    <t>Liner Width on Tab Side</t>
  </si>
  <si>
    <t>5.71</t>
  </si>
  <si>
    <t>5.96</t>
  </si>
  <si>
    <t>Liner Width on NON-TAB side</t>
  </si>
  <si>
    <t>5.98</t>
  </si>
  <si>
    <t>6.23</t>
  </si>
  <si>
    <t>6.48</t>
  </si>
  <si>
    <t>Liner release test</t>
  </si>
  <si>
    <t>Pass</t>
  </si>
  <si>
    <t>Fail</t>
  </si>
  <si>
    <t>Die Strike Test: When the liner is bent back away from the silicone at the die strike, does it split?</t>
  </si>
  <si>
    <t>Is there any PVC present on adhesive side of die cut?</t>
  </si>
  <si>
    <t>Finished roll</t>
  </si>
  <si>
    <t>Width of paper</t>
  </si>
  <si>
    <t>4.000</t>
  </si>
  <si>
    <t>3.9375</t>
  </si>
  <si>
    <t>3.875</t>
  </si>
  <si>
    <t>Print centered on width of roll</t>
  </si>
  <si>
    <t>Yes (Pass)
No (Fail)</t>
  </si>
  <si>
    <t>Text match supplied sample</t>
  </si>
  <si>
    <t>Rolls run to 24" to26" O.D.</t>
  </si>
  <si>
    <t>Print at 24 degree angle</t>
  </si>
  <si>
    <t>20 degrees</t>
  </si>
  <si>
    <t>24 degrees</t>
  </si>
  <si>
    <t>30 degrees</t>
  </si>
  <si>
    <t>Length of all Finished Rolls noted and marked on rolls</t>
  </si>
  <si>
    <t>0.718</t>
  </si>
  <si>
    <t>25,000 or each roll</t>
  </si>
  <si>
    <t>0.875</t>
  </si>
  <si>
    <t>0.9375</t>
  </si>
  <si>
    <t>0.6875</t>
  </si>
  <si>
    <t>Length of Inside Window</t>
  </si>
  <si>
    <t>1.57</t>
  </si>
  <si>
    <t>1.82</t>
  </si>
  <si>
    <t>2.07</t>
  </si>
  <si>
    <t>1.62</t>
  </si>
  <si>
    <t>1.77</t>
  </si>
  <si>
    <t>6.0</t>
  </si>
  <si>
    <t>6.25</t>
  </si>
  <si>
    <t>2.71</t>
  </si>
  <si>
    <t>15 Rolls</t>
  </si>
  <si>
    <t>1.906</t>
  </si>
  <si>
    <t>1.936</t>
  </si>
  <si>
    <t>1.966</t>
  </si>
  <si>
    <t>Width of non-printed area.</t>
  </si>
  <si>
    <t>1.030</t>
  </si>
  <si>
    <t>1.045</t>
  </si>
  <si>
    <t>Are slit edges clean and free from debris and slitter dust?</t>
  </si>
  <si>
    <t>Is Process Yellow being used and is it within one shade?</t>
  </si>
  <si>
    <t>Is Process Blue being used and is it within one shade?</t>
  </si>
  <si>
    <t>Is the print legible?</t>
  </si>
  <si>
    <t>Do the blue and yellow overlap less than 1/64" and is there no white showing between them?</t>
  </si>
  <si>
    <t xml:space="preserve">Are the splices made correctly?
ie Was Compucal and an adhesive used?
</t>
  </si>
  <si>
    <t>10,080</t>
  </si>
  <si>
    <t>1.94</t>
  </si>
  <si>
    <t>2.00</t>
  </si>
  <si>
    <t>2.06</t>
  </si>
  <si>
    <t>.44</t>
  </si>
  <si>
    <t>.50</t>
  </si>
  <si>
    <t>.56</t>
  </si>
  <si>
    <t>Are the parts cut deep enough to strip, but not deep enough to tear the liner?</t>
  </si>
  <si>
    <t>20 rolls</t>
  </si>
  <si>
    <t>0.970</t>
  </si>
  <si>
    <t>1.03</t>
  </si>
  <si>
    <t>Width of adhesive area</t>
  </si>
  <si>
    <t>Is print clean and free of defects, hairs, etc...</t>
  </si>
  <si>
    <t>20,000 parts</t>
  </si>
  <si>
    <t>1.22</t>
  </si>
  <si>
    <t>1.28</t>
  </si>
  <si>
    <t>0.97</t>
  </si>
  <si>
    <t>Are the part diecut deep enough to strip but not tear the liner</t>
  </si>
  <si>
    <t>Width of tab</t>
  </si>
  <si>
    <t>0.19</t>
  </si>
  <si>
    <t>0.25</t>
  </si>
  <si>
    <t>0.31</t>
  </si>
  <si>
    <t>2,500 parts</t>
  </si>
  <si>
    <t>1.65</t>
  </si>
  <si>
    <t>1.68</t>
  </si>
  <si>
    <t>Width of Adhesive Area</t>
  </si>
  <si>
    <t>1.135</t>
  </si>
  <si>
    <t>1.150</t>
  </si>
  <si>
    <t>1.165</t>
  </si>
  <si>
    <t>0.485</t>
  </si>
  <si>
    <t>Length of Tab</t>
  </si>
  <si>
    <t>0.17</t>
  </si>
  <si>
    <t>0.20</t>
  </si>
  <si>
    <t>0.23</t>
  </si>
  <si>
    <t>Is the part in the correct direction, per the drawing?</t>
  </si>
  <si>
    <t>Is the part on the easy release side of the liner? (use test method "Tape Test to Identify Relative Releases of Differential Liner")</t>
  </si>
  <si>
    <t>0.397</t>
  </si>
  <si>
    <t>0.402</t>
  </si>
  <si>
    <t>0.407</t>
  </si>
  <si>
    <t>See Eric After Signoff</t>
  </si>
  <si>
    <t>Length of inside square</t>
  </si>
  <si>
    <t>0.207</t>
  </si>
  <si>
    <t>0.212</t>
  </si>
  <si>
    <t>0.217</t>
  </si>
  <si>
    <t>Are the parts cut deep enough to strip, but not tear the liner?</t>
  </si>
  <si>
    <t>Are the roll edges free of all debris?</t>
  </si>
  <si>
    <t>0.860</t>
  </si>
  <si>
    <t>0.890</t>
  </si>
  <si>
    <t>Is slit edge clean and sharp?</t>
  </si>
  <si>
    <t>Does material tear or delaminate when unwound quickly?</t>
  </si>
  <si>
    <t>Is roll wound without gapping or telescoping?</t>
  </si>
  <si>
    <t>Is the black dark and without white spots?</t>
  </si>
  <si>
    <t>Length of perf</t>
  </si>
  <si>
    <t>14.00</t>
  </si>
  <si>
    <t>Width of slit roll</t>
  </si>
  <si>
    <t>1.97</t>
  </si>
  <si>
    <t>2.03</t>
  </si>
  <si>
    <t>6</t>
  </si>
  <si>
    <t>0.22</t>
  </si>
  <si>
    <t>0.28</t>
  </si>
  <si>
    <t>2.469</t>
  </si>
  <si>
    <t>2.500</t>
  </si>
  <si>
    <t>2.531</t>
  </si>
  <si>
    <t>Width of label</t>
  </si>
  <si>
    <t>Is the die strike deep enough to strip matrix but not break liner?</t>
  </si>
  <si>
    <t>500 parts</t>
  </si>
  <si>
    <t>1.71</t>
  </si>
  <si>
    <t>1.74</t>
  </si>
  <si>
    <t>1.234</t>
  </si>
  <si>
    <t>1.244</t>
  </si>
  <si>
    <t>1.254</t>
  </si>
  <si>
    <t>0.51</t>
  </si>
  <si>
    <t>Is the part in the correct direction, per the drawing? (DRAWING SHOWS PART VIEW)</t>
  </si>
  <si>
    <t>Do splices match sample in job jacket?</t>
  </si>
  <si>
    <t>Width of roll?</t>
  </si>
  <si>
    <t>1.468</t>
  </si>
  <si>
    <t>Are slit edges clean and free of all foreign matter and debris?</t>
  </si>
  <si>
    <t>Are the rolls wound tight enough to stay on core but not so tight as to leave gauge bands?</t>
  </si>
  <si>
    <t>16,000 parts</t>
  </si>
  <si>
    <t>Width of part (FOLD IN HALF)</t>
  </si>
  <si>
    <t>0.91</t>
  </si>
  <si>
    <t>0.94</t>
  </si>
  <si>
    <t>Is the part cut deep enough to strip but not tear the liner</t>
  </si>
  <si>
    <t>Strouse</t>
  </si>
  <si>
    <t>2.44</t>
  </si>
  <si>
    <t>2.56</t>
  </si>
  <si>
    <t>Are the rolls free of all debris, and are the edges slit cleanly?</t>
  </si>
  <si>
    <t>6 rolls</t>
  </si>
  <si>
    <t>2.095</t>
  </si>
  <si>
    <t>2.125</t>
  </si>
  <si>
    <t>2.155</t>
  </si>
  <si>
    <t>Are paper tape or silicone tape being used to start and tab rolls?</t>
  </si>
  <si>
    <t>Keyence Routine</t>
  </si>
  <si>
    <t>Pinhole to score .150" on EAD500 side (Gear)</t>
  </si>
  <si>
    <t>Pinhole to score .150" on EAD500  side (Operator)</t>
  </si>
  <si>
    <t>Pin hole to score CPF 1 mil T 10 side (Gear)</t>
  </si>
  <si>
    <t>Pin hole to score CPF 1 mil T 10 side (Operator)</t>
  </si>
  <si>
    <t>20,720 parts</t>
  </si>
  <si>
    <t>Diameter of part</t>
  </si>
  <si>
    <t>Is the part cut deep enough to strip, but not tear the liner?</t>
  </si>
  <si>
    <t>2,000 parts</t>
  </si>
  <si>
    <t>4.12</t>
  </si>
  <si>
    <t>Width of tab (tape area)</t>
  </si>
  <si>
    <t>1.06</t>
  </si>
  <si>
    <t>Are the edges free of hairs and defects?</t>
  </si>
  <si>
    <t>Is the tape laminated to the liner TIGHT?</t>
  </si>
  <si>
    <t>500</t>
  </si>
  <si>
    <t>.282</t>
  </si>
  <si>
    <t>.313</t>
  </si>
  <si>
    <t>.344</t>
  </si>
  <si>
    <t>Notify Eric Dubs after sign off</t>
  </si>
  <si>
    <t>Width of Part (7323)</t>
  </si>
  <si>
    <t>5.188</t>
  </si>
  <si>
    <t>5.250</t>
  </si>
  <si>
    <t>5.312</t>
  </si>
  <si>
    <t>Width of Dead Area</t>
  </si>
  <si>
    <t>3.625</t>
  </si>
  <si>
    <t>3.750</t>
  </si>
  <si>
    <t>3.812</t>
  </si>
  <si>
    <t>Width of Clear liner</t>
  </si>
  <si>
    <t>6.188</t>
  </si>
  <si>
    <t>6.250</t>
  </si>
  <si>
    <t>6.312</t>
  </si>
  <si>
    <t>Width of Liner extension edge</t>
  </si>
  <si>
    <t>.438</t>
  </si>
  <si>
    <t>.500</t>
  </si>
  <si>
    <t>.562</t>
  </si>
  <si>
    <t>Are the parts cut correctly (metal/metal w/ ties) (sheeted every 27 pcs)</t>
  </si>
  <si>
    <t>Does Part Release off of Liner?</t>
  </si>
  <si>
    <t>Is adhesive free area visually centered?</t>
  </si>
  <si>
    <t>Tape clean and free of smudges, grease, oil, dust, and debris?</t>
  </si>
  <si>
    <t>0.916</t>
  </si>
  <si>
    <t>0.936</t>
  </si>
  <si>
    <t>0.956</t>
  </si>
  <si>
    <t>Does the core line up with the tape?</t>
  </si>
  <si>
    <t>Are the rolls clean of adhesive build up?</t>
  </si>
  <si>
    <t>Is the tape Brown (Pantone 4655) and clean?</t>
  </si>
  <si>
    <t>0.995</t>
  </si>
  <si>
    <t>1.005</t>
  </si>
  <si>
    <t>3.500</t>
  </si>
  <si>
    <t>.120</t>
  </si>
  <si>
    <t>.150</t>
  </si>
  <si>
    <t>.180</t>
  </si>
  <si>
    <t>Pin hole to score CPF side (Gear)</t>
  </si>
  <si>
    <t>.170</t>
  </si>
  <si>
    <t>.200</t>
  </si>
  <si>
    <t>.230</t>
  </si>
  <si>
    <t>Pin hole to score CPF side (Operator)</t>
  </si>
  <si>
    <t>1.499</t>
  </si>
  <si>
    <t>1.594</t>
  </si>
  <si>
    <t>1.599</t>
  </si>
  <si>
    <t>.13</t>
  </si>
  <si>
    <t>Is the score complete down to the carrier of the double coated but not through?</t>
  </si>
  <si>
    <t>5.000</t>
  </si>
  <si>
    <t>14 rolls</t>
  </si>
  <si>
    <t>Width Of Roll</t>
  </si>
  <si>
    <t>20.2</t>
  </si>
  <si>
    <t>Is the roll on core, not coned?</t>
  </si>
  <si>
    <t>Are the rolls edges free of all debris, not hairy..etc</t>
  </si>
  <si>
    <t>Pinhole to score .150" on 9009 side (gear)</t>
  </si>
  <si>
    <t>Pinhole to score .150" on 9009  side (operator)</t>
  </si>
  <si>
    <t>Pin hole to score clear liner side (Gear)</t>
  </si>
  <si>
    <t>Pin hole to score clear liner side (Operator)</t>
  </si>
  <si>
    <t>Is the adhesive laminated to the silicone side of the T-10 liner?</t>
  </si>
  <si>
    <t>4 rolls</t>
  </si>
  <si>
    <t>Width of liner</t>
  </si>
  <si>
    <t>Width of adhesive</t>
  </si>
  <si>
    <t>0.345</t>
  </si>
  <si>
    <t>0.405</t>
  </si>
  <si>
    <t>Is the adhesive score deep enough to strip but not tear the liner?</t>
  </si>
  <si>
    <t>Are the slit edges sharp, free of all debris and hairs?</t>
  </si>
  <si>
    <t>Customer</t>
  </si>
  <si>
    <t>9.32</t>
  </si>
  <si>
    <t>9.52</t>
  </si>
  <si>
    <t>9.72</t>
  </si>
  <si>
    <t>Is the top of the 4950 deadened</t>
  </si>
  <si>
    <t>Are the centers ejected?</t>
  </si>
  <si>
    <t>Laying a part on the table with ends curled up is the end of the part less than 2" off the table?</t>
  </si>
  <si>
    <t>10,000 labels</t>
  </si>
  <si>
    <t>108.5</t>
  </si>
  <si>
    <t>109.0</t>
  </si>
  <si>
    <t>109.5</t>
  </si>
  <si>
    <t>45.5</t>
  </si>
  <si>
    <t>46.0</t>
  </si>
  <si>
    <t>46.5</t>
  </si>
  <si>
    <t>Is the print clean and free of all debris, hairs and defects?</t>
  </si>
  <si>
    <t>Are the roll edges free of all hairs?</t>
  </si>
  <si>
    <t>Correct rewind direction when printed?</t>
  </si>
  <si>
    <t>1.968</t>
  </si>
  <si>
    <t>Is the (Composition I) on the outside of the roll when finished?</t>
  </si>
  <si>
    <t>41.00</t>
  </si>
  <si>
    <t>1.093</t>
  </si>
  <si>
    <t>1.125</t>
  </si>
  <si>
    <t>1.156</t>
  </si>
  <si>
    <t>Does roll unwind with out tearing?</t>
  </si>
  <si>
    <t>Is roll free of all debris and dirt?</t>
  </si>
  <si>
    <t>50 parts</t>
  </si>
  <si>
    <t>1.595</t>
  </si>
  <si>
    <t>1.655</t>
  </si>
  <si>
    <t>Length of short extension</t>
  </si>
  <si>
    <t>Is the hole cut all the way through?</t>
  </si>
  <si>
    <t>Is the VHB laminated to the primed side of the UHMW?</t>
  </si>
  <si>
    <t xml:space="preserve">Look at 40 samples from different areas of each finished bag for mis-cuts, also look for mis-cuts as you sift.  From each bag, record pass/fail of 4 parts.  </t>
  </si>
  <si>
    <t>4,800 pcs</t>
  </si>
  <si>
    <t>Check Part in Template</t>
  </si>
  <si>
    <t>Are parts cut cleanly, free of all dirt and debris?</t>
  </si>
  <si>
    <t>Any mis-cuts in the sample of 40? If so, stop, mark the bag, and notify QA.</t>
  </si>
  <si>
    <t>Is the roll wound without gapping or telescoping?</t>
  </si>
  <si>
    <t>20,000</t>
  </si>
  <si>
    <t>13.62</t>
  </si>
  <si>
    <t>14.38</t>
  </si>
  <si>
    <t>Width of ADHESIVE</t>
  </si>
  <si>
    <t>18.12</t>
  </si>
  <si>
    <t>18.50</t>
  </si>
  <si>
    <t>18.88</t>
  </si>
  <si>
    <t>Width of 9009 Parent Liner</t>
  </si>
  <si>
    <t>20.12</t>
  </si>
  <si>
    <t>20.88</t>
  </si>
  <si>
    <t>Are the parts cut deep enough (score and buttcut) to strip with out tearing the liner?</t>
  </si>
  <si>
    <t>Is the 9009 Parent Liner the tab?</t>
  </si>
  <si>
    <t>Width of Tape</t>
  </si>
  <si>
    <t>Width of Liner</t>
  </si>
  <si>
    <t>1.87</t>
  </si>
  <si>
    <t>1.90</t>
  </si>
  <si>
    <t>1.93</t>
  </si>
  <si>
    <t>1.27</t>
  </si>
  <si>
    <t>1.30</t>
  </si>
  <si>
    <t>1.33</t>
  </si>
  <si>
    <t>25</t>
  </si>
  <si>
    <t>0.815</t>
  </si>
  <si>
    <t>0.935</t>
  </si>
  <si>
    <t>36.19</t>
  </si>
  <si>
    <t>36.25</t>
  </si>
  <si>
    <t>36.31</t>
  </si>
  <si>
    <t>Is the part free of bubbles and other lamination defects?</t>
  </si>
  <si>
    <t>Are the parts cut cleanly; free of hairs and other debris?</t>
  </si>
  <si>
    <t>Diameter of OUTER Circle</t>
  </si>
  <si>
    <t>0.595</t>
  </si>
  <si>
    <t>0.655</t>
  </si>
  <si>
    <t>Diameter of INNER Circle</t>
  </si>
  <si>
    <t>0.218</t>
  </si>
  <si>
    <t>0.248</t>
  </si>
  <si>
    <t>Was the dull side of EPDM primed with two coats of 3M 94?</t>
  </si>
  <si>
    <t>Is the VHB laminated to the primed side without any defects?</t>
  </si>
  <si>
    <t>1,000 parts</t>
  </si>
  <si>
    <t>11.875</t>
  </si>
  <si>
    <t>12.000</t>
  </si>
  <si>
    <t>12.125</t>
  </si>
  <si>
    <t>12.875</t>
  </si>
  <si>
    <t>13.000</t>
  </si>
  <si>
    <t>13.125</t>
  </si>
  <si>
    <t>Does the die cut deep enough to strip the masking tape but not tear the liner?</t>
  </si>
  <si>
    <t>4,000 parts</t>
  </si>
  <si>
    <t>23.5</t>
  </si>
  <si>
    <t>25.0</t>
  </si>
  <si>
    <t>26.5</t>
  </si>
  <si>
    <t>48.5</t>
  </si>
  <si>
    <t>50.0</t>
  </si>
  <si>
    <t>51.5</t>
  </si>
  <si>
    <t>N</t>
  </si>
  <si>
    <t>Y (Pass)</t>
  </si>
  <si>
    <t>1,000 Sheets</t>
  </si>
  <si>
    <t>19.875</t>
  </si>
  <si>
    <t>20.000</t>
  </si>
  <si>
    <t>20.125</t>
  </si>
  <si>
    <t>Are the edges of the pieces cut cleanly?</t>
  </si>
  <si>
    <t>Are the pieces clean and free of debris?</t>
  </si>
  <si>
    <t xml:space="preserve">   Length of die cut</t>
  </si>
  <si>
    <t>110.74</t>
  </si>
  <si>
    <t>111.53</t>
  </si>
  <si>
    <t>112.32</t>
  </si>
  <si>
    <t xml:space="preserve">   Width of die cut</t>
  </si>
  <si>
    <t>19.21</t>
  </si>
  <si>
    <t>20.79</t>
  </si>
  <si>
    <t xml:space="preserve">   Is Black ink being used and is 
   color dense black?</t>
  </si>
  <si>
    <t xml:space="preserve">   Is black ink coverage 
   consistent?</t>
  </si>
  <si>
    <t>Is the butt cut deep enough to remove parts without cutting into the liner?</t>
  </si>
  <si>
    <t>Width of Adhesive</t>
  </si>
  <si>
    <t>1.015</t>
  </si>
  <si>
    <t>.125</t>
  </si>
  <si>
    <t>.140</t>
  </si>
  <si>
    <t>7,000 pcs</t>
  </si>
  <si>
    <t>1.115</t>
  </si>
  <si>
    <t>1.145</t>
  </si>
  <si>
    <t>1.175</t>
  </si>
  <si>
    <t>0.30</t>
  </si>
  <si>
    <t>0.33</t>
  </si>
  <si>
    <t>0.36</t>
  </si>
  <si>
    <t>Width of foam</t>
  </si>
  <si>
    <t>0.865</t>
  </si>
  <si>
    <t>0.895</t>
  </si>
  <si>
    <t>0.925</t>
  </si>
  <si>
    <t>Is the part cut deep enough to strip the matrix but not cut into the liner ?</t>
  </si>
  <si>
    <t>Is the score deep enough to remove the tab material but not cut into the parent liner?</t>
  </si>
  <si>
    <t>0.300</t>
  </si>
  <si>
    <t>0.330</t>
  </si>
  <si>
    <t>0.360</t>
  </si>
  <si>
    <t>25 Rolls</t>
  </si>
  <si>
    <t>4.47</t>
  </si>
  <si>
    <t>4.50</t>
  </si>
  <si>
    <t>4.53</t>
  </si>
  <si>
    <t>Are slit roll edges clean and free of slitting debris?</t>
  </si>
  <si>
    <t>710 parts</t>
  </si>
  <si>
    <t>1.714</t>
  </si>
  <si>
    <t>1.719</t>
  </si>
  <si>
    <t>1.724</t>
  </si>
  <si>
    <t>0.495</t>
  </si>
  <si>
    <t>0.505</t>
  </si>
  <si>
    <t>Are parts completely cut through sheet of foam?</t>
  </si>
  <si>
    <t>5,000 parts</t>
  </si>
  <si>
    <t>Length</t>
  </si>
  <si>
    <t>Width</t>
  </si>
  <si>
    <t>Distance from edge of extended liner to edge of foam</t>
  </si>
  <si>
    <t>0.065</t>
  </si>
  <si>
    <t>0.185</t>
  </si>
  <si>
    <t>Is the foam white?</t>
  </si>
  <si>
    <t>Is the die strike acceptable?</t>
  </si>
  <si>
    <t>36 rolls</t>
  </si>
  <si>
    <t>Are the roll edges free of all debris and hairs?</t>
  </si>
  <si>
    <t>Are razor slit edges clean and free of excessive slivers and dust?</t>
  </si>
  <si>
    <t>Is paper tape being used to start and tab rolls?</t>
  </si>
  <si>
    <t>Are rolls wound loose to medium tension</t>
  </si>
  <si>
    <t>Is butt cut clean and deep enough to pull parts off indivually yet not deep enough to fracture liner?</t>
  </si>
  <si>
    <t>10,000 parts</t>
  </si>
  <si>
    <t>Do the Length &amp; Width of the Part fit Section 1 of the Template?</t>
  </si>
  <si>
    <t>No (Fail</t>
  </si>
  <si>
    <t>Does the Edge of Liner to Edge of the Part fit Section 2 of the template?</t>
  </si>
  <si>
    <t>Are parts laying flat ?</t>
  </si>
  <si>
    <t>Are parts cut cleanly, with smooth edges and no debris ?</t>
  </si>
  <si>
    <t>4.80</t>
  </si>
  <si>
    <t>4.85</t>
  </si>
  <si>
    <t>5.20</t>
  </si>
  <si>
    <t>5.30</t>
  </si>
  <si>
    <t xml:space="preserve">Yes (Pass) </t>
  </si>
  <si>
    <t>2,000 labels</t>
  </si>
  <si>
    <t>Does the part fit the approved template</t>
  </si>
  <si>
    <t>width of finished product roll</t>
  </si>
  <si>
    <t>3.075</t>
  </si>
  <si>
    <t>3.125</t>
  </si>
  <si>
    <t>3.175</t>
  </si>
  <si>
    <t>Are rolls wound loose?</t>
  </si>
  <si>
    <t>2000 ft</t>
  </si>
  <si>
    <t>Eric needs to create inspection routine.</t>
  </si>
  <si>
    <t>6,000 parts</t>
  </si>
  <si>
    <t>1.98</t>
  </si>
  <si>
    <t>2.01</t>
  </si>
  <si>
    <t>1.66</t>
  </si>
  <si>
    <t>1.69</t>
  </si>
  <si>
    <t>1.72</t>
  </si>
  <si>
    <t>Length from leading edge of part to window edge</t>
  </si>
  <si>
    <t>Width from edge of part to window</t>
  </si>
  <si>
    <t>Length of finished product</t>
  </si>
  <si>
    <t>Width of finished product</t>
  </si>
  <si>
    <t>0.565</t>
  </si>
  <si>
    <t>0.675</t>
  </si>
  <si>
    <t>Width from edge of part to dead adhesive area (gear)</t>
  </si>
  <si>
    <t>0.128</t>
  </si>
  <si>
    <t>Width from edge of part to dead adhesive area (operator)</t>
  </si>
  <si>
    <t>Boxed Item</t>
  </si>
  <si>
    <t>NO IPIC REQUIRED</t>
  </si>
  <si>
    <t>Boxed Item - Repackaging</t>
  </si>
  <si>
    <t>Is finished product roll 15 feet in length?</t>
  </si>
  <si>
    <t>3.92</t>
  </si>
  <si>
    <t>3.94</t>
  </si>
  <si>
    <t>3.96</t>
  </si>
  <si>
    <t>0.48</t>
  </si>
  <si>
    <t>Width from upper left corner of printed "MOLEX" to edge of part (see drawing)</t>
  </si>
  <si>
    <t>1.16</t>
  </si>
  <si>
    <t>1.18</t>
  </si>
  <si>
    <t>1.20</t>
  </si>
  <si>
    <t>Length from upper left corner of printed "MOLEX" to leading edge of part (see drawing)</t>
  </si>
  <si>
    <t>0.00</t>
  </si>
  <si>
    <t>0.04</t>
  </si>
  <si>
    <t>0.08</t>
  </si>
  <si>
    <t>10.5</t>
  </si>
  <si>
    <t>12.5</t>
  </si>
  <si>
    <t>14.5</t>
  </si>
  <si>
    <t>Is print clean and sharp? Is "P-1243" legible?</t>
  </si>
  <si>
    <t>Width of finished product roll?</t>
  </si>
  <si>
    <t>Width from edge of product to edge of printed line?</t>
  </si>
  <si>
    <t>0.45</t>
  </si>
  <si>
    <t>0.55</t>
  </si>
  <si>
    <t>Is finished product roll 60 yards in length?</t>
  </si>
  <si>
    <t>Does unwind direction match that listed on the job ticket?</t>
  </si>
  <si>
    <t>Width of finished product?</t>
  </si>
  <si>
    <t>2.20</t>
  </si>
  <si>
    <t>2.25</t>
  </si>
  <si>
    <t>2.30</t>
  </si>
  <si>
    <t>14 sets (210 rolls)</t>
  </si>
  <si>
    <t xml:space="preserve">Width of finished product </t>
  </si>
  <si>
    <t>3.60</t>
  </si>
  <si>
    <t>3.65</t>
  </si>
  <si>
    <t>3.70</t>
  </si>
  <si>
    <t>Do the length and width of the part fit the approved template?</t>
  </si>
  <si>
    <t>Does the width of the tab created by the extended liner fit the approved template?</t>
  </si>
  <si>
    <t>Does the width of adhesive fit the approved template?</t>
  </si>
  <si>
    <t>Distance from perf to perf</t>
  </si>
  <si>
    <t>23.875</t>
  </si>
  <si>
    <t>24.000</t>
  </si>
  <si>
    <t>24.125</t>
  </si>
  <si>
    <t>Does the perf tear easily, straight?</t>
  </si>
  <si>
    <t>Is the tape centered on the extended core?</t>
  </si>
  <si>
    <t>Width of finished product roll</t>
  </si>
  <si>
    <t>0.70</t>
  </si>
  <si>
    <t>0.80</t>
  </si>
  <si>
    <t>Does tape destruct when applied to surface, leaving the printed text on surface?</t>
  </si>
  <si>
    <t>250 parts</t>
  </si>
  <si>
    <t>Does the part fit the approved template?</t>
  </si>
  <si>
    <t>7,500 parts</t>
  </si>
  <si>
    <t xml:space="preserve">Length of part </t>
  </si>
  <si>
    <t>2.97</t>
  </si>
  <si>
    <t>3.00</t>
  </si>
  <si>
    <t>3.03</t>
  </si>
  <si>
    <t>Is the core flush or inset from the edge of the liner on both edges?</t>
  </si>
  <si>
    <t>34.21</t>
  </si>
  <si>
    <t>35.00</t>
  </si>
  <si>
    <t>35.79</t>
  </si>
  <si>
    <t>Diameter of holes</t>
  </si>
  <si>
    <t>5.21</t>
  </si>
  <si>
    <t>6.79</t>
  </si>
  <si>
    <t>1 roll</t>
  </si>
  <si>
    <t>Width of slit material</t>
  </si>
  <si>
    <t>8.25</t>
  </si>
  <si>
    <t>8.31</t>
  </si>
  <si>
    <t>8.37</t>
  </si>
  <si>
    <t>Eric needs to create inspection routine</t>
  </si>
  <si>
    <t>2,300 parts</t>
  </si>
  <si>
    <t>2.710</t>
  </si>
  <si>
    <t>2.730</t>
  </si>
  <si>
    <t>2.750</t>
  </si>
  <si>
    <t>1.460</t>
  </si>
  <si>
    <t>1.480</t>
  </si>
  <si>
    <t>1.500</t>
  </si>
  <si>
    <t>5.563</t>
  </si>
  <si>
    <t>5.625</t>
  </si>
  <si>
    <t>5.688</t>
  </si>
  <si>
    <t>5.251</t>
  </si>
  <si>
    <t>5.313</t>
  </si>
  <si>
    <t>5.375</t>
  </si>
  <si>
    <t>Is the die cut deep enough to strip the liner but not tear the tape?</t>
  </si>
  <si>
    <t>Does Part fit inside supplied template?</t>
  </si>
  <si>
    <t>Is the part cut cleanly, edges free of all defects?</t>
  </si>
  <si>
    <t>15 rolls</t>
  </si>
  <si>
    <t>1.969</t>
  </si>
  <si>
    <t>2.000</t>
  </si>
  <si>
    <t>2.031</t>
  </si>
  <si>
    <t>Is this SCK liner and not clay coated?</t>
  </si>
  <si>
    <t>No(fail)</t>
  </si>
  <si>
    <t>Yes(pass)</t>
  </si>
  <si>
    <t>13.50</t>
  </si>
  <si>
    <t>14.50</t>
  </si>
  <si>
    <t>15.00</t>
  </si>
  <si>
    <t>15.50</t>
  </si>
  <si>
    <t>16.00</t>
  </si>
  <si>
    <t>17.00</t>
  </si>
  <si>
    <t>17.50</t>
  </si>
  <si>
    <t>18.00</t>
  </si>
  <si>
    <t>Is Latex laminated to 3M 853 without visible wrinkling or excessive curl?</t>
  </si>
  <si>
    <t>Is Liner laminated as close to edge as possible?</t>
  </si>
  <si>
    <t>-0.03</t>
  </si>
  <si>
    <t>0</t>
  </si>
  <si>
    <t>+0.03</t>
  </si>
  <si>
    <t>Distance between edge of latex and magnet.</t>
  </si>
  <si>
    <t>Distance between edge of 3M 853 and latex.</t>
  </si>
  <si>
    <t xml:space="preserve">Width of part </t>
  </si>
  <si>
    <t>Is the edge free of slivers and double cuts?</t>
  </si>
  <si>
    <t>72 rolls</t>
  </si>
  <si>
    <t>0.344</t>
  </si>
  <si>
    <t>Are the slit edges free of slivers and double cuts?</t>
  </si>
  <si>
    <t>WIDTH OF PART</t>
  </si>
  <si>
    <t>1.95</t>
  </si>
  <si>
    <t>Is print clear and legible?</t>
  </si>
  <si>
    <t>1600 parts</t>
  </si>
  <si>
    <t>1.469</t>
  </si>
  <si>
    <t>1.531</t>
  </si>
  <si>
    <t>Does the pressure sensitive at the tab cut through the liner, but not the 234?</t>
  </si>
  <si>
    <t>0.789</t>
  </si>
  <si>
    <t>0.851</t>
  </si>
  <si>
    <t>5,400 pieces</t>
  </si>
  <si>
    <t>Part Repeat</t>
  </si>
  <si>
    <t>3.93</t>
  </si>
  <si>
    <t>Part Width</t>
  </si>
  <si>
    <t>Hole diameter</t>
  </si>
  <si>
    <t>0.93</t>
  </si>
  <si>
    <t>80 rolls</t>
  </si>
  <si>
    <t>Proper butt cut of adhesive?  Check one full repeat of die.</t>
  </si>
  <si>
    <t>Is red ink clean?</t>
  </si>
  <si>
    <t>9</t>
  </si>
  <si>
    <t>10</t>
  </si>
  <si>
    <t>11</t>
  </si>
  <si>
    <t>21</t>
  </si>
  <si>
    <t>40 rolls</t>
  </si>
  <si>
    <t>Length of part (butt cut)</t>
  </si>
  <si>
    <t>24</t>
  </si>
  <si>
    <t>26</t>
  </si>
  <si>
    <t>792 parts (4 per box)</t>
  </si>
  <si>
    <t>1.44</t>
  </si>
  <si>
    <t>1.56</t>
  </si>
  <si>
    <t>Lot # of SJ3781</t>
  </si>
  <si>
    <t>Lot # of SJ3751</t>
  </si>
  <si>
    <t>2.055</t>
  </si>
  <si>
    <t>2.115</t>
  </si>
  <si>
    <t>2.175</t>
  </si>
  <si>
    <t>Width of part with tab</t>
  </si>
  <si>
    <t>3.140</t>
  </si>
  <si>
    <t>3.200</t>
  </si>
  <si>
    <t>3.260</t>
  </si>
  <si>
    <t>Width of part w/o tab</t>
  </si>
  <si>
    <t>2.760</t>
  </si>
  <si>
    <t>2.820</t>
  </si>
  <si>
    <t>2.880</t>
  </si>
  <si>
    <t>Is the score deep enough that the part separates cleanly, but the tab does not tear?</t>
  </si>
  <si>
    <t>Is the score through the facestock and to the liner?</t>
  </si>
  <si>
    <t>120 rolls</t>
  </si>
  <si>
    <t>0.093</t>
  </si>
  <si>
    <t>0.157</t>
  </si>
  <si>
    <t>Are the edges free of slivers and double cuts?</t>
  </si>
  <si>
    <t>Are rolls on Green PLASTIC core?</t>
  </si>
  <si>
    <t>roll</t>
  </si>
  <si>
    <t>4.420</t>
  </si>
  <si>
    <t>4.440</t>
  </si>
  <si>
    <t>4.460</t>
  </si>
  <si>
    <t>Photos of approved set up needed for the job jacket 02/13/2017</t>
  </si>
  <si>
    <t>0.355</t>
  </si>
  <si>
    <t>0.395</t>
  </si>
  <si>
    <t>Distance from edge of part to edge of exposed metal strip. Cross web registration</t>
  </si>
  <si>
    <t>2.075</t>
  </si>
  <si>
    <t>Is Red side of CSM laminated to adhesive?</t>
  </si>
  <si>
    <t>1.472</t>
  </si>
  <si>
    <t>1.492</t>
  </si>
  <si>
    <t>1.512</t>
  </si>
  <si>
    <t>0.601</t>
  </si>
  <si>
    <t>0.621</t>
  </si>
  <si>
    <t>0.641</t>
  </si>
  <si>
    <t>5.107</t>
  </si>
  <si>
    <t>5.127</t>
  </si>
  <si>
    <t>5.147</t>
  </si>
  <si>
    <t>3.086</t>
  </si>
  <si>
    <t>3.106</t>
  </si>
  <si>
    <t>3.126</t>
  </si>
  <si>
    <t>Distance from perforation to end of part (see drawing)</t>
  </si>
  <si>
    <t>0.668</t>
  </si>
  <si>
    <t>0.688</t>
  </si>
  <si>
    <t>0.708</t>
  </si>
  <si>
    <t>50 bags per carton?</t>
  </si>
  <si>
    <t>10 parts and an instruction sheet packed per bag?</t>
  </si>
  <si>
    <t>2.770</t>
  </si>
  <si>
    <t>2.830</t>
  </si>
  <si>
    <t>2.890</t>
  </si>
  <si>
    <t>20 bags per carton?</t>
  </si>
  <si>
    <t>25 parts and an instruction sheet packed per bag?</t>
  </si>
  <si>
    <t>0.969</t>
  </si>
  <si>
    <t>18.5</t>
  </si>
  <si>
    <t>19.5</t>
  </si>
  <si>
    <t>Is the butt cut deep enough to separate the parts but not cut into the liner?</t>
  </si>
  <si>
    <t>Is print neat and clean?</t>
  </si>
  <si>
    <t>Is unwind direction correct? #3</t>
  </si>
  <si>
    <t>Was 3M 3903 refrigerated 24 hours before laminating to liner?</t>
  </si>
  <si>
    <t>20 parts</t>
  </si>
  <si>
    <t>0.92</t>
  </si>
  <si>
    <t>1.08</t>
  </si>
  <si>
    <t>6.92</t>
  </si>
  <si>
    <t>7.00</t>
  </si>
  <si>
    <t>7.08</t>
  </si>
  <si>
    <t>2.150</t>
  </si>
  <si>
    <t>2.160</t>
  </si>
  <si>
    <t>2.170</t>
  </si>
  <si>
    <t>3.190</t>
  </si>
  <si>
    <t>3.250</t>
  </si>
  <si>
    <t>3.310</t>
  </si>
  <si>
    <t>2.87</t>
  </si>
  <si>
    <t>2.88</t>
  </si>
  <si>
    <t>2.89</t>
  </si>
  <si>
    <t>Does barcode on all labels scan effectively and correctly?</t>
  </si>
  <si>
    <t>Finished width of tape</t>
  </si>
  <si>
    <t>0.44</t>
  </si>
  <si>
    <t>Is print clean and legible?</t>
  </si>
  <si>
    <t>Is tape slit cleanly?</t>
  </si>
  <si>
    <t>Roll width</t>
  </si>
  <si>
    <t>0.095</t>
  </si>
  <si>
    <t>0.155</t>
  </si>
  <si>
    <t>Are roll edges sharp, clean and free of all debris?</t>
  </si>
  <si>
    <t>500 sheets</t>
  </si>
  <si>
    <t>20.250</t>
  </si>
  <si>
    <t>20.375</t>
  </si>
  <si>
    <t>20.500</t>
  </si>
  <si>
    <t>Width of Part (not liner)</t>
  </si>
  <si>
    <t>11.125</t>
  </si>
  <si>
    <t>11.250</t>
  </si>
  <si>
    <t>11.375</t>
  </si>
  <si>
    <t>Is the pre-mask visually centered on the liner?</t>
  </si>
  <si>
    <t>4.028</t>
  </si>
  <si>
    <t>4.048</t>
  </si>
  <si>
    <t>4.068</t>
  </si>
  <si>
    <t xml:space="preserve">Distance from perforation to end of part </t>
  </si>
  <si>
    <t>0.4665</t>
  </si>
  <si>
    <t>0.4865</t>
  </si>
  <si>
    <t>0.5065</t>
  </si>
  <si>
    <t xml:space="preserve">Distance from edge of part to edge of exposed metal strip.  Cross web registration </t>
  </si>
  <si>
    <t>1.879</t>
  </si>
  <si>
    <t>1.899</t>
  </si>
  <si>
    <t>1.919</t>
  </si>
  <si>
    <t>Assure that the path is clear and nothing is in contact that could scratch the material.</t>
  </si>
  <si>
    <t>4.866</t>
  </si>
  <si>
    <t>4.886</t>
  </si>
  <si>
    <t>4.906</t>
  </si>
  <si>
    <t>2.298</t>
  </si>
  <si>
    <t>2.318</t>
  </si>
  <si>
    <t>2.338</t>
  </si>
  <si>
    <t>2.022</t>
  </si>
  <si>
    <t>2.042</t>
  </si>
  <si>
    <t>2.062</t>
  </si>
  <si>
    <t>0.876</t>
  </si>
  <si>
    <t>0.896</t>
  </si>
  <si>
    <t>1.900</t>
  </si>
  <si>
    <t>1.920</t>
  </si>
  <si>
    <t>1.940</t>
  </si>
  <si>
    <t>0.835</t>
  </si>
  <si>
    <t>0.855</t>
  </si>
  <si>
    <t>2.272</t>
  </si>
  <si>
    <t>2.292</t>
  </si>
  <si>
    <t>2.312</t>
  </si>
  <si>
    <t>1.001</t>
  </si>
  <si>
    <t>1.021</t>
  </si>
  <si>
    <t>1.041</t>
  </si>
  <si>
    <t>5.156</t>
  </si>
  <si>
    <t>5.176</t>
  </si>
  <si>
    <t>5.196</t>
  </si>
  <si>
    <t>5.109</t>
  </si>
  <si>
    <t>5.129</t>
  </si>
  <si>
    <t>5.149</t>
  </si>
  <si>
    <t>0.480</t>
  </si>
  <si>
    <t>0.520</t>
  </si>
  <si>
    <t>Centering of exposed metal strip cross-web registration</t>
  </si>
  <si>
    <t>0.000</t>
  </si>
  <si>
    <t>0.020</t>
  </si>
  <si>
    <t>Width of Part (Orientation 1)</t>
  </si>
  <si>
    <t>8.771</t>
  </si>
  <si>
    <t>8.791</t>
  </si>
  <si>
    <t>8.811</t>
  </si>
  <si>
    <t>Width of Part (Orientation 2)</t>
  </si>
  <si>
    <t>5.112</t>
  </si>
  <si>
    <t>5.132</t>
  </si>
  <si>
    <t>5.152</t>
  </si>
  <si>
    <t xml:space="preserve">Distance from edge of part to edge of exposed metal strip. (See drawing) Cross web registration </t>
  </si>
  <si>
    <t>2.421</t>
  </si>
  <si>
    <t>2.441</t>
  </si>
  <si>
    <t>2.461</t>
  </si>
  <si>
    <t>400 sheets</t>
  </si>
  <si>
    <t>19.125</t>
  </si>
  <si>
    <t>19.375</t>
  </si>
  <si>
    <t>19.625</t>
  </si>
  <si>
    <t>13.250</t>
  </si>
  <si>
    <t>13.500</t>
  </si>
  <si>
    <t>13.750</t>
  </si>
  <si>
    <t xml:space="preserve">10 rolls </t>
  </si>
  <si>
    <t>Is length of finished product 50 yards?</t>
  </si>
  <si>
    <t xml:space="preserve">Is product in the proper unwind direction? </t>
  </si>
  <si>
    <t>Is print clear and readable?</t>
  </si>
  <si>
    <t>4 inspections per quantity of 144 rolls</t>
  </si>
  <si>
    <t>4.0</t>
  </si>
  <si>
    <t>5.0</t>
  </si>
  <si>
    <t>Are rolls cut cleanly and free of debris?</t>
  </si>
  <si>
    <t>No</t>
  </si>
  <si>
    <t>Yes</t>
  </si>
  <si>
    <t>200 parts</t>
  </si>
  <si>
    <t>3.095</t>
  </si>
  <si>
    <t>3.155</t>
  </si>
  <si>
    <t>Distance from edge of part to edge of liner</t>
  </si>
  <si>
    <t>0.1250</t>
  </si>
  <si>
    <t>0.1875</t>
  </si>
  <si>
    <t>0.2500</t>
  </si>
  <si>
    <t>Is print on the PVC tape clear and legible?</t>
  </si>
  <si>
    <t>Is the print facing out when the PVC is laminated to the liner?</t>
  </si>
  <si>
    <t>Are parts laminated straight with edges of PVC not extending beyond the liner?</t>
  </si>
  <si>
    <t>Is printed PVC laminated to non silicone side and 5413 laminated to release side of 4935?</t>
  </si>
  <si>
    <t>1,000 labels</t>
  </si>
  <si>
    <t>Is the roll free of all debris and visible defects?</t>
  </si>
  <si>
    <t>Is the roll free of excessive gapping?</t>
  </si>
  <si>
    <t>Is the core cut cleanly?</t>
  </si>
  <si>
    <t>100</t>
  </si>
  <si>
    <t>0.76</t>
  </si>
  <si>
    <t>Width of Part w/o tab</t>
  </si>
  <si>
    <t>4.492</t>
  </si>
  <si>
    <t>4.502</t>
  </si>
  <si>
    <t>Is kiss cut at tab complete to allow easy removal?</t>
  </si>
  <si>
    <t>Is the part cut through the facestock to the liner?  Tab should stay with liner.</t>
  </si>
  <si>
    <t>6.69</t>
  </si>
  <si>
    <t>6.75</t>
  </si>
  <si>
    <t>6.81</t>
  </si>
  <si>
    <t>5.34</t>
  </si>
  <si>
    <t>5.40</t>
  </si>
  <si>
    <t>Is internal die cut complete through liner w/o compromising the tape?</t>
  </si>
  <si>
    <t>9.94</t>
  </si>
  <si>
    <t>10.00</t>
  </si>
  <si>
    <t>10.06</t>
  </si>
  <si>
    <t>Is the roll edge free of all debris, cut cleanly?</t>
  </si>
  <si>
    <t>28 rolls</t>
  </si>
  <si>
    <t>Is the roll wound without telescoping or gapping?</t>
  </si>
  <si>
    <t>2.402</t>
  </si>
  <si>
    <t>2.422</t>
  </si>
  <si>
    <t>2.442</t>
  </si>
  <si>
    <t>1.066</t>
  </si>
  <si>
    <t>1.086</t>
  </si>
  <si>
    <t>1.106</t>
  </si>
  <si>
    <t>5.105</t>
  </si>
  <si>
    <t>5.125</t>
  </si>
  <si>
    <t>5.145</t>
  </si>
  <si>
    <t>Photos of approved set up needed for the job jacket</t>
  </si>
  <si>
    <t>3.870</t>
  </si>
  <si>
    <t>3.890</t>
  </si>
  <si>
    <t>3.910</t>
  </si>
  <si>
    <t xml:space="preserve">Centering of exposed metal strip. Cross web registration </t>
  </si>
  <si>
    <t>3.853</t>
  </si>
  <si>
    <t>3.873</t>
  </si>
  <si>
    <t>3.893</t>
  </si>
  <si>
    <t>1.792</t>
  </si>
  <si>
    <t>1.812</t>
  </si>
  <si>
    <t>1.832</t>
  </si>
  <si>
    <t>5.342</t>
  </si>
  <si>
    <t>5.362</t>
  </si>
  <si>
    <t>5.382</t>
  </si>
  <si>
    <t>2.536</t>
  </si>
  <si>
    <t>2.556</t>
  </si>
  <si>
    <t>2.576</t>
  </si>
  <si>
    <t>See special comments</t>
  </si>
  <si>
    <t>10 parts</t>
  </si>
  <si>
    <t>41.94</t>
  </si>
  <si>
    <t>42.00</t>
  </si>
  <si>
    <t>42.06</t>
  </si>
  <si>
    <t>CAR in System, See QA</t>
  </si>
  <si>
    <t>Is finished product roll 60 yards?</t>
  </si>
  <si>
    <t>Does 3M 371 delaminate from shurtape FP-726?</t>
  </si>
  <si>
    <t>Were printed cores with customer supplied graphic used?</t>
  </si>
  <si>
    <t>Finished press roll</t>
  </si>
  <si>
    <t>Width of finished product
3-15/16"  +/- 1/32"</t>
  </si>
  <si>
    <t>3.906</t>
  </si>
  <si>
    <t>3.938</t>
  </si>
  <si>
    <t>3.969</t>
  </si>
  <si>
    <t>Is paper printed 'elcometer...' in Pantone 021 (Orange)</t>
  </si>
  <si>
    <t>16 rolls</t>
  </si>
  <si>
    <t>18.0</t>
  </si>
  <si>
    <t>20.0</t>
  </si>
  <si>
    <t>Are rolls wound neatly with material flush on core?</t>
  </si>
  <si>
    <t>Is the corona treated side as marked on input rolls wound out?</t>
  </si>
  <si>
    <t>Width of Part w/ tab</t>
  </si>
  <si>
    <t>1.42</t>
  </si>
  <si>
    <t>1.45</t>
  </si>
  <si>
    <t>1.48</t>
  </si>
  <si>
    <t>Is the part cut deep enough to strip but not tear the liner ?</t>
  </si>
  <si>
    <t>4,000</t>
  </si>
  <si>
    <t>15.5</t>
  </si>
  <si>
    <t>Width of internal window</t>
  </si>
  <si>
    <t>11.0</t>
  </si>
  <si>
    <t>11.5</t>
  </si>
  <si>
    <t>Length of internal window</t>
  </si>
  <si>
    <t>Are internal shapes removed?</t>
  </si>
  <si>
    <t>Is outside die cut deep enough to strip matrix without compromising liner?</t>
  </si>
  <si>
    <t>27.0</t>
  </si>
  <si>
    <t>27.5</t>
  </si>
  <si>
    <t>20.5</t>
  </si>
  <si>
    <t>21.0</t>
  </si>
  <si>
    <t>21.5</t>
  </si>
  <si>
    <t>25.5</t>
  </si>
  <si>
    <t>26.0</t>
  </si>
  <si>
    <t>16.5</t>
  </si>
  <si>
    <t>Strouse Internal - No IPIC needed</t>
  </si>
  <si>
    <t>Is Pre-Press checklist filled out for each roll?</t>
  </si>
  <si>
    <t>Is raw material free of creases, wrinkles, gage bands, stretch bands. diamond pattern, and lint?</t>
  </si>
  <si>
    <t>5.94</t>
  </si>
  <si>
    <t>6.06</t>
  </si>
  <si>
    <t>Length of Perforated part</t>
  </si>
  <si>
    <t>12.50</t>
  </si>
  <si>
    <t>Core label with exact footage inside each roll and on outside of bag of each roll?</t>
  </si>
  <si>
    <t>Product ID label on outside of box with core label as well?</t>
  </si>
  <si>
    <t>Is each roll bagged with core plugs in each end?</t>
  </si>
  <si>
    <t>Is each roll bubble wrapped?</t>
  </si>
  <si>
    <t>Is supplementary packing slip filled out with correct total footage shipped?</t>
  </si>
  <si>
    <t>Was new perf blade used for this order?</t>
  </si>
  <si>
    <t>300 parts</t>
  </si>
  <si>
    <t>Dimension 1</t>
  </si>
  <si>
    <t>2.75</t>
  </si>
  <si>
    <t>Dimension 2</t>
  </si>
  <si>
    <t>Dimension 3</t>
  </si>
  <si>
    <t>Dimension 4</t>
  </si>
  <si>
    <t>Dimension 5</t>
  </si>
  <si>
    <t>Dimension 6</t>
  </si>
  <si>
    <t>48.75</t>
  </si>
  <si>
    <t>49.00</t>
  </si>
  <si>
    <t>49.25</t>
  </si>
  <si>
    <t>Dimension 7</t>
  </si>
  <si>
    <t>24.25</t>
  </si>
  <si>
    <t>24.50</t>
  </si>
  <si>
    <t>24.75</t>
  </si>
  <si>
    <t>Dimension 8</t>
  </si>
  <si>
    <t>Dimension 9</t>
  </si>
  <si>
    <t>43.75</t>
  </si>
  <si>
    <t>44.00</t>
  </si>
  <si>
    <t>44.25</t>
  </si>
  <si>
    <t>Width of total part</t>
  </si>
  <si>
    <t>78.50</t>
  </si>
  <si>
    <t>80.00</t>
  </si>
  <si>
    <t>81.50</t>
  </si>
  <si>
    <t>Width of exposed adhesive (5300)</t>
  </si>
  <si>
    <t>29.00</t>
  </si>
  <si>
    <t>30.00</t>
  </si>
  <si>
    <t>31.00</t>
  </si>
  <si>
    <t>6.50</t>
  </si>
  <si>
    <t>Are butt cuts complete; allowing easy separation of parts using one hand?</t>
  </si>
  <si>
    <t>Is the 5300 laminated to the non-release side of the Blue HDPE?</t>
  </si>
  <si>
    <t>Are the parts not skewed on the liner?</t>
  </si>
  <si>
    <t>4.065</t>
  </si>
  <si>
    <t>4.185</t>
  </si>
  <si>
    <t>4.018</t>
  </si>
  <si>
    <t>4.078</t>
  </si>
  <si>
    <t>4.138</t>
  </si>
  <si>
    <t>Position of score relative to base of part</t>
  </si>
  <si>
    <t>2.784</t>
  </si>
  <si>
    <t>2.844</t>
  </si>
  <si>
    <t>2.904</t>
  </si>
  <si>
    <t>Is score complete through liner without compromising tape?</t>
  </si>
  <si>
    <t>Is die strike deep enough to remove the matrix but not cut into the liner?</t>
  </si>
  <si>
    <t>Are parts wound out?</t>
  </si>
  <si>
    <t>Are rolls finished to 1000 pcs?</t>
  </si>
  <si>
    <t>Is score across part where it is cut metal to metal?</t>
  </si>
  <si>
    <t>7.94</t>
  </si>
  <si>
    <t>8.00</t>
  </si>
  <si>
    <t>8.06</t>
  </si>
  <si>
    <t>Is roll slit cleanly and free of debris?</t>
  </si>
  <si>
    <t>Are appropriate core labels used?</t>
  </si>
  <si>
    <t>9.659</t>
  </si>
  <si>
    <t>9.679</t>
  </si>
  <si>
    <t>9.699</t>
  </si>
  <si>
    <t>1.306</t>
  </si>
  <si>
    <t>1.326</t>
  </si>
  <si>
    <t>1.346</t>
  </si>
  <si>
    <t xml:space="preserve">Distance from edge of part to edge of exposed metal strip. Cross web registration </t>
  </si>
  <si>
    <t>2.426</t>
  </si>
  <si>
    <t>2.446</t>
  </si>
  <si>
    <t>2.466</t>
  </si>
  <si>
    <t>Are parts wound OUT on finished rolls?</t>
  </si>
  <si>
    <t>4.403</t>
  </si>
  <si>
    <t>4.423</t>
  </si>
  <si>
    <t>4.443</t>
  </si>
  <si>
    <t>2.0665</t>
  </si>
  <si>
    <t>2.0865</t>
  </si>
  <si>
    <t>2.1065</t>
  </si>
  <si>
    <t>3 finished rolls</t>
  </si>
  <si>
    <t>17.875</t>
  </si>
  <si>
    <t>18.000</t>
  </si>
  <si>
    <t>18.125</t>
  </si>
  <si>
    <t>10.875</t>
  </si>
  <si>
    <t>11.000</t>
  </si>
  <si>
    <t>Are rolls wound flush on core?</t>
  </si>
  <si>
    <t>Are the rolls finished to 400 parts, 200 yd?</t>
  </si>
  <si>
    <t>Are rolls wound neatly and free of debris?</t>
  </si>
  <si>
    <t>Outside Dia. of part</t>
  </si>
  <si>
    <t>0.985</t>
  </si>
  <si>
    <t>Inside Dia. of part</t>
  </si>
  <si>
    <t>Are parts wound IN (rewind direction 5)?</t>
  </si>
  <si>
    <t>Are interior holes on die cut part punched clean and removed?</t>
  </si>
  <si>
    <t>Is product finished 1-up?</t>
  </si>
  <si>
    <t>25,000</t>
  </si>
  <si>
    <t>Is print clear and easily read?</t>
  </si>
  <si>
    <t>Is it 2 across?</t>
  </si>
  <si>
    <t>Does the die strike pass the liner stain test?</t>
  </si>
  <si>
    <t>11 rolls</t>
  </si>
  <si>
    <t>Is Reflex Blue Ink being used</t>
  </si>
  <si>
    <t>Is Reflex Blue Ink being used?</t>
  </si>
  <si>
    <t>Is the print clear and easily read?</t>
  </si>
  <si>
    <t>KEY IM</t>
  </si>
  <si>
    <t>2500</t>
  </si>
  <si>
    <t>0.315 (8.00)</t>
  </si>
  <si>
    <t>0.320 (8.13)</t>
  </si>
  <si>
    <t>0.325 (8.25)</t>
  </si>
  <si>
    <t>Width of part including tab</t>
  </si>
  <si>
    <t>0.555 (14.10)</t>
  </si>
  <si>
    <t>0.560 (14.22)</t>
  </si>
  <si>
    <t>0.565 (14.35)</t>
  </si>
  <si>
    <t>Diameter of center hole</t>
  </si>
  <si>
    <t>0.085 (2.16)</t>
  </si>
  <si>
    <t>0.090 (2.29)</t>
  </si>
  <si>
    <t>0.095 (2.41)</t>
  </si>
  <si>
    <t>Distance from score to end of tab</t>
  </si>
  <si>
    <t>0.270 (6.86)</t>
  </si>
  <si>
    <t>0.275 (6.99)</t>
  </si>
  <si>
    <t>0.280 (7.11)</t>
  </si>
  <si>
    <t>Do the holes in the adhesive line up to within +/- 0.022" (0.56 mm)?</t>
  </si>
  <si>
    <t>Are the center holes free of adhesive?</t>
  </si>
  <si>
    <t>Diameter</t>
  </si>
  <si>
    <t>556.80</t>
  </si>
  <si>
    <t>558.80</t>
  </si>
  <si>
    <t>560.80</t>
  </si>
  <si>
    <t>Are tabs kiss cut to liner only and can you remove liner without tearing</t>
  </si>
  <si>
    <t>Distance of Green stripe from edge of wheel mask</t>
  </si>
  <si>
    <t>11.09</t>
  </si>
  <si>
    <t>14.29</t>
  </si>
  <si>
    <t>17.49</t>
  </si>
  <si>
    <t>Distance of White printed stripe from edge of wheel mask</t>
  </si>
  <si>
    <t>111.7</t>
  </si>
  <si>
    <t>114.90</t>
  </si>
  <si>
    <t>118.1</t>
  </si>
  <si>
    <t>582.20</t>
  </si>
  <si>
    <t>584.20</t>
  </si>
  <si>
    <t>586.20</t>
  </si>
  <si>
    <t>Are the parts visual centered on the liner?</t>
  </si>
  <si>
    <t>Are the parts laying flat to within 1/2" off press?</t>
  </si>
  <si>
    <t>620.30</t>
  </si>
  <si>
    <t>622.30</t>
  </si>
  <si>
    <t>624.30</t>
  </si>
  <si>
    <t>Distance of Black stripe from edge of wheel mask</t>
  </si>
  <si>
    <t>26.17</t>
  </si>
  <si>
    <t>29.37</t>
  </si>
  <si>
    <t>32.57</t>
  </si>
  <si>
    <t>118.87</t>
  </si>
  <si>
    <t>120.87</t>
  </si>
  <si>
    <t>122.87</t>
  </si>
  <si>
    <t>635.7</t>
  </si>
  <si>
    <t>647.70</t>
  </si>
  <si>
    <t>659.7</t>
  </si>
  <si>
    <t>8.875</t>
  </si>
  <si>
    <t>9.000</t>
  </si>
  <si>
    <t>9.060</t>
  </si>
  <si>
    <t>Are the edges slit cleanly?</t>
  </si>
  <si>
    <t>25 parts</t>
  </si>
  <si>
    <t>1.345</t>
  </si>
  <si>
    <t>1.375</t>
  </si>
  <si>
    <t>1.405</t>
  </si>
  <si>
    <t>Finished Roll</t>
  </si>
  <si>
    <t>Is raw material free of creases, wrinkles, gage bands, stretch bands, diamond pattern, and lint?</t>
  </si>
  <si>
    <t>12.94</t>
  </si>
  <si>
    <t>13.06</t>
  </si>
  <si>
    <t>13.75</t>
  </si>
  <si>
    <t>14.25</t>
  </si>
  <si>
    <t>Product ID label on outside of box with core label, as well?</t>
  </si>
  <si>
    <t>Was a new perf blade used for this order?</t>
  </si>
  <si>
    <t>2.41</t>
  </si>
  <si>
    <t>Is the die strike deep enough to strip the matrix but not so deep as to break the liner?</t>
  </si>
  <si>
    <t>1.91</t>
  </si>
  <si>
    <t>Width in inches</t>
  </si>
  <si>
    <t>0.340</t>
  </si>
  <si>
    <t>0.380</t>
  </si>
  <si>
    <t>Are the slit edges clean and free of debris and double cuts?</t>
  </si>
  <si>
    <t>0.270</t>
  </si>
  <si>
    <t>0.290</t>
  </si>
  <si>
    <t>2,500 parts (1 roll)</t>
  </si>
  <si>
    <t>7.5</t>
  </si>
  <si>
    <t>8.0</t>
  </si>
  <si>
    <t>8.5</t>
  </si>
  <si>
    <t>Width of top layer of vinyl and adhesive</t>
  </si>
  <si>
    <t>9.0</t>
  </si>
  <si>
    <t>9.5</t>
  </si>
  <si>
    <t>10.0</t>
  </si>
  <si>
    <t>Width of bottom layer of vinyl and adhesive</t>
  </si>
  <si>
    <t>Total width of part</t>
  </si>
  <si>
    <t>40</t>
  </si>
  <si>
    <t>45</t>
  </si>
  <si>
    <t>Width of carrier liner</t>
  </si>
  <si>
    <t>30</t>
  </si>
  <si>
    <t>Are the parts butt cut clean to the carrier liner?</t>
  </si>
  <si>
    <t>Does the perf tear?</t>
  </si>
  <si>
    <t>Does the middle liner release from both sides?</t>
  </si>
  <si>
    <t>Is the score line cleanly cut?</t>
  </si>
  <si>
    <t>6 sets</t>
  </si>
  <si>
    <t>Are the edges of the rolls clean and free of debris?</t>
  </si>
  <si>
    <t>Are the rolls on Plastic cores?</t>
  </si>
  <si>
    <t>Distance from BB center to leading edge of part</t>
  </si>
  <si>
    <t>Distance from BB center to non-tab edge of part</t>
  </si>
  <si>
    <t>Distance from glue dot center to leading edge of part</t>
  </si>
  <si>
    <t>Distance from glue dot center to non-tab edge of part</t>
  </si>
  <si>
    <t>Is the glue cured?</t>
  </si>
  <si>
    <t>2,250 parts</t>
  </si>
  <si>
    <t>Distance from glue center to non-tab edge of part</t>
  </si>
  <si>
    <t>86.91</t>
  </si>
  <si>
    <t>87.70</t>
  </si>
  <si>
    <t>88.49</t>
  </si>
  <si>
    <t>Width of adhesive at widest point</t>
  </si>
  <si>
    <t>24.27</t>
  </si>
  <si>
    <t>25.06</t>
  </si>
  <si>
    <t>25.85</t>
  </si>
  <si>
    <t>39.34</t>
  </si>
  <si>
    <t>40.13</t>
  </si>
  <si>
    <t>40.92</t>
  </si>
  <si>
    <t>Distance from end with tab to first hole.</t>
  </si>
  <si>
    <t>16.90</t>
  </si>
  <si>
    <t>17.69</t>
  </si>
  <si>
    <t>18.48</t>
  </si>
  <si>
    <t>Distance from end with tab to second hole.</t>
  </si>
  <si>
    <t>28.45</t>
  </si>
  <si>
    <t>29.24</t>
  </si>
  <si>
    <t>30.03</t>
  </si>
  <si>
    <t>Distance from end with tab to third hole.</t>
  </si>
  <si>
    <t>56.07</t>
  </si>
  <si>
    <t>56.86</t>
  </si>
  <si>
    <t>57.65</t>
  </si>
  <si>
    <t>Distance from end with tab to fourth hole.</t>
  </si>
  <si>
    <t>67.55</t>
  </si>
  <si>
    <t>68.34</t>
  </si>
  <si>
    <t>69.13</t>
  </si>
  <si>
    <t>Are the holes cleanly removed?</t>
  </si>
  <si>
    <t>Does the blue liner only cut not go all the way through the foam?</t>
  </si>
  <si>
    <t>Are the parts sheeted cleanly?</t>
  </si>
  <si>
    <t>0.585</t>
  </si>
  <si>
    <t>0.600</t>
  </si>
  <si>
    <t>0.615</t>
  </si>
  <si>
    <t>0.710</t>
  </si>
  <si>
    <t>0.725</t>
  </si>
  <si>
    <t>0.740</t>
  </si>
  <si>
    <t>Width of deadened area</t>
  </si>
  <si>
    <t>Distance from bottom of part to slit edge of liner</t>
  </si>
  <si>
    <t>0.263</t>
  </si>
  <si>
    <t>0.278</t>
  </si>
  <si>
    <t>50,000 parts</t>
  </si>
  <si>
    <t>0.845</t>
  </si>
  <si>
    <t>0.905</t>
  </si>
  <si>
    <t>Distance from liner edge to part edge</t>
  </si>
  <si>
    <t>Is the PET bonded securely to the 583?</t>
  </si>
  <si>
    <t>Is the die strike deep enough to strip the matrix but not so deep as to cut into the liner?</t>
  </si>
  <si>
    <t>3,000 feet</t>
  </si>
  <si>
    <t>Is the print centered on the 6" width?</t>
  </si>
  <si>
    <t>Is the print clean and free of debris or hairs?</t>
  </si>
  <si>
    <t>3.421</t>
  </si>
  <si>
    <t>3.433</t>
  </si>
  <si>
    <t>3.445</t>
  </si>
  <si>
    <t>Length of slot</t>
  </si>
  <si>
    <t>2.919</t>
  </si>
  <si>
    <t>2.931</t>
  </si>
  <si>
    <t>2.943</t>
  </si>
  <si>
    <t>0.821</t>
  </si>
  <si>
    <t>0.833</t>
  </si>
  <si>
    <t>Width of slot</t>
  </si>
  <si>
    <t>0.418</t>
  </si>
  <si>
    <t>0.430</t>
  </si>
  <si>
    <t>0.442</t>
  </si>
  <si>
    <t>Are all of the center slots removed?</t>
  </si>
  <si>
    <t>Is the die strike deep enough to cut the foil but not cut into the liner on outside shape?</t>
  </si>
  <si>
    <t>Diameter of hole.  Measure a different hole each time.</t>
  </si>
  <si>
    <t>0.302</t>
  </si>
  <si>
    <t>0.314</t>
  </si>
  <si>
    <t>0.326</t>
  </si>
  <si>
    <t>0.902</t>
  </si>
  <si>
    <t>0.914</t>
  </si>
  <si>
    <t>0.926</t>
  </si>
  <si>
    <t>Distance from center to center of two holes.  Measure a different pair each time.</t>
  </si>
  <si>
    <t>0.488</t>
  </si>
  <si>
    <t>0.512</t>
  </si>
  <si>
    <t>Are all of the holes removed?</t>
  </si>
  <si>
    <t>Final liner width</t>
  </si>
  <si>
    <t>1.220</t>
  </si>
  <si>
    <t>1.250</t>
  </si>
  <si>
    <t>1.280</t>
  </si>
  <si>
    <t>1.210</t>
  </si>
  <si>
    <t>1.290</t>
  </si>
  <si>
    <t>69.0</t>
  </si>
  <si>
    <t>70.0</t>
  </si>
  <si>
    <t>71.0</t>
  </si>
  <si>
    <t>99.0</t>
  </si>
  <si>
    <t>100.0</t>
  </si>
  <si>
    <t>101.0</t>
  </si>
  <si>
    <t>Width of 931 tab area</t>
  </si>
  <si>
    <t>49.0</t>
  </si>
  <si>
    <t>51.0</t>
  </si>
  <si>
    <t>Is die cut deep enough to strip the matrix but not break the liner?</t>
  </si>
  <si>
    <t>[Remove every other tab on last foot of every roll.]  Do all pieces separate easily using one hand?</t>
  </si>
  <si>
    <t>5,000</t>
  </si>
  <si>
    <t>Width of finished roll</t>
  </si>
  <si>
    <t>43.65</t>
  </si>
  <si>
    <t>44.45</t>
  </si>
  <si>
    <t>45.25</t>
  </si>
  <si>
    <t>CLEAN ROOM ATTIRE REQUIRED</t>
  </si>
  <si>
    <t>Length of 10 "U" notches measured from the edge of #1 to the edge of #11</t>
  </si>
  <si>
    <t>126.20</t>
  </si>
  <si>
    <t>127.00</t>
  </si>
  <si>
    <t>127.80</t>
  </si>
  <si>
    <t>Width of non-adhesive area</t>
  </si>
  <si>
    <t>31.20</t>
  </si>
  <si>
    <t>32.00</t>
  </si>
  <si>
    <t>32.80</t>
  </si>
  <si>
    <t>Distance from gear edge to non-adhesive area</t>
  </si>
  <si>
    <t>5.43</t>
  </si>
  <si>
    <t>7.03</t>
  </si>
  <si>
    <t>Distance from operator edge to non-adhesive area</t>
  </si>
  <si>
    <t>Does the non-adhesive area extend to cover the entire "slug" area?</t>
  </si>
  <si>
    <t>Are the "U" notches cleanly cut?</t>
  </si>
  <si>
    <t>Are all of the "slugs" removed?</t>
  </si>
  <si>
    <t>Width of center liner area</t>
  </si>
  <si>
    <t>0.73</t>
  </si>
  <si>
    <t>0.77</t>
  </si>
  <si>
    <t>Distance from inner edge of vinyl to center liner slit</t>
  </si>
  <si>
    <t>Distance from edge of yellow tape to center liner slit</t>
  </si>
  <si>
    <t>0.02</t>
  </si>
  <si>
    <t>0.0</t>
  </si>
  <si>
    <t>2.72</t>
  </si>
  <si>
    <t>2.78</t>
  </si>
  <si>
    <t>14.91</t>
  </si>
  <si>
    <t>15.09</t>
  </si>
  <si>
    <t>29.94</t>
  </si>
  <si>
    <t>30.06</t>
  </si>
  <si>
    <t>Is tape centered on liner?</t>
  </si>
  <si>
    <t>Is the tape laminated to the release side of the liner?</t>
  </si>
  <si>
    <t>2.94</t>
  </si>
  <si>
    <t>3.06</t>
  </si>
  <si>
    <t>1365 parts (7 Boxes)</t>
  </si>
  <si>
    <t>18.250</t>
  </si>
  <si>
    <t>18.375</t>
  </si>
  <si>
    <t>Does the perf tear easy?</t>
  </si>
  <si>
    <t>Is the score deep enough to remove the vinyl centers but not cut into the liner?</t>
  </si>
  <si>
    <t>Width of roll - see work order for target width</t>
  </si>
  <si>
    <t>Special Certs and packaging required</t>
  </si>
  <si>
    <t>2.280</t>
  </si>
  <si>
    <t>2.300</t>
  </si>
  <si>
    <t>2.320</t>
  </si>
  <si>
    <t>0.980</t>
  </si>
  <si>
    <t>1.020</t>
  </si>
  <si>
    <t>Width of tab as measured from tip of tab to radius of part</t>
  </si>
  <si>
    <t>0.18</t>
  </si>
  <si>
    <t>0.21</t>
  </si>
  <si>
    <t>0.24</t>
  </si>
  <si>
    <t>Width of center cut</t>
  </si>
  <si>
    <t>1.620</t>
  </si>
  <si>
    <t>1.640</t>
  </si>
  <si>
    <t>1.660</t>
  </si>
  <si>
    <t>Length of center part</t>
  </si>
  <si>
    <t>0.320</t>
  </si>
  <si>
    <t>Is the die strike deep enough to strip matrix but not cut into the liner?</t>
  </si>
  <si>
    <t>Is the center cut cleanly?</t>
  </si>
  <si>
    <t>Is the tab scored deep enough to remove the foam but not cut into the foam liner?</t>
  </si>
  <si>
    <t>0.56</t>
  </si>
  <si>
    <t>5.44</t>
  </si>
  <si>
    <t>5.56</t>
  </si>
  <si>
    <t>Width of adhesive at square end</t>
  </si>
  <si>
    <t>Distance from square end to adhesive edge</t>
  </si>
  <si>
    <t>0.06</t>
  </si>
  <si>
    <t>Width of adhesive at arrow end</t>
  </si>
  <si>
    <t>Distance from adhesive to tip of arrow</t>
  </si>
  <si>
    <t>5.52</t>
  </si>
  <si>
    <t>5.90</t>
  </si>
  <si>
    <t>6.28</t>
  </si>
  <si>
    <t>12.82</t>
  </si>
  <si>
    <t>13.20</t>
  </si>
  <si>
    <t>13.58</t>
  </si>
  <si>
    <t>Is the part visually centered on the liner?</t>
  </si>
  <si>
    <t>66.0</t>
  </si>
  <si>
    <t>66.5</t>
  </si>
  <si>
    <t>67.0</t>
  </si>
  <si>
    <t>Are rolls cut neatly?</t>
  </si>
  <si>
    <t>Are finished rolls clean and free of debris?</t>
  </si>
  <si>
    <t>Are all splices flagged?</t>
  </si>
  <si>
    <t>71.5</t>
  </si>
  <si>
    <t>73.0</t>
  </si>
  <si>
    <t>74.5</t>
  </si>
  <si>
    <t>Width of narrow tab</t>
  </si>
  <si>
    <t>34</t>
  </si>
  <si>
    <t>36</t>
  </si>
  <si>
    <t>43.5</t>
  </si>
  <si>
    <t>45.0</t>
  </si>
  <si>
    <t>Length of narrow tab</t>
  </si>
  <si>
    <t>14</t>
  </si>
  <si>
    <t>15</t>
  </si>
  <si>
    <t>16</t>
  </si>
  <si>
    <t>11.87</t>
  </si>
  <si>
    <t>12.13</t>
  </si>
  <si>
    <t>Length of tape</t>
  </si>
  <si>
    <t>15.87</t>
  </si>
  <si>
    <t>16.13</t>
  </si>
  <si>
    <t>Distance from edge of liner to edge of tape</t>
  </si>
  <si>
    <t>0.13</t>
  </si>
  <si>
    <t>0.109</t>
  </si>
  <si>
    <t>0.141</t>
  </si>
  <si>
    <t>Are the edges free of double cuts?</t>
  </si>
  <si>
    <t>Width of roll - See work order for target and tolerance.  If no tolerance listed use listed</t>
  </si>
  <si>
    <t>Are the slit edges clean and free of debris?</t>
  </si>
  <si>
    <t>Length of adhesive</t>
  </si>
  <si>
    <t>0.095(2.413)</t>
  </si>
  <si>
    <t>0.105(2.667)</t>
  </si>
  <si>
    <t>0.115(2.921)</t>
  </si>
  <si>
    <t xml:space="preserve">Distance from edge of liner to edge of adhesive
</t>
  </si>
  <si>
    <t>0.1925(4.8895)</t>
  </si>
  <si>
    <t>0.1975(5.0165)</t>
  </si>
  <si>
    <t>0.2025(5.1435)</t>
  </si>
  <si>
    <t>0.475(12.065)</t>
  </si>
  <si>
    <t>0.500(12.700)</t>
  </si>
  <si>
    <t>0.525(13.335)</t>
  </si>
  <si>
    <t>Repeat</t>
  </si>
  <si>
    <t>0.200(5.080)</t>
  </si>
  <si>
    <t>0.205(5.207)</t>
  </si>
  <si>
    <t>0.210(5.334)</t>
  </si>
  <si>
    <t>Parts wound IN on finished roll?</t>
  </si>
  <si>
    <t>no(fail)</t>
  </si>
  <si>
    <t>yes(pass)</t>
  </si>
  <si>
    <t>Is the die strike deep enough to strip the matrix but not so deep as to create release issues?</t>
  </si>
  <si>
    <t>Do rolls have leaders and trailers?</t>
  </si>
  <si>
    <t>Are press parameters within range set by validation?</t>
  </si>
  <si>
    <t>Are the rolls double bagged for clean room usage?</t>
  </si>
  <si>
    <t>Die strike sign off.  Must be signed by QC before shipping.</t>
  </si>
  <si>
    <t>2.185</t>
  </si>
  <si>
    <t>2.200</t>
  </si>
  <si>
    <t>0.130</t>
  </si>
  <si>
    <t>0.235</t>
  </si>
  <si>
    <t>0.265</t>
  </si>
  <si>
    <t>Distance from part to edge of liner</t>
  </si>
  <si>
    <t>Is the score deep enough to remove the adhesive but not cut into the liner?</t>
  </si>
  <si>
    <t>Is the print and adhesive on the film side of the material?</t>
  </si>
  <si>
    <t>Is the butt cut deep enough to remove the parts but not cut into the liner?</t>
  </si>
  <si>
    <t>50 rolls</t>
  </si>
  <si>
    <t>Are the slit edges free of double cuts?</t>
  </si>
  <si>
    <t>Width of roll - See work order for target width</t>
  </si>
  <si>
    <t>-0.015</t>
  </si>
  <si>
    <t>+0.015</t>
  </si>
  <si>
    <t>Does the roll unwind correctly without double cuts?</t>
  </si>
  <si>
    <t>1,970 parts</t>
  </si>
  <si>
    <t>0.885</t>
  </si>
  <si>
    <t>0.90</t>
  </si>
  <si>
    <t>0.915</t>
  </si>
  <si>
    <t>Is the die cut deep enough to remove the matrix but not cut into the liner?</t>
  </si>
  <si>
    <t>No (fail)</t>
  </si>
  <si>
    <t>Yes (pass)</t>
  </si>
  <si>
    <t>0.95</t>
  </si>
  <si>
    <t>1.05</t>
  </si>
  <si>
    <t>Are the rolls wound without gapping or telescoping?</t>
  </si>
  <si>
    <t>2.05</t>
  </si>
  <si>
    <t>See Performance Leader before Run</t>
  </si>
  <si>
    <t>Width of rolls</t>
  </si>
  <si>
    <t>2.95</t>
  </si>
  <si>
    <t>3.05</t>
  </si>
  <si>
    <t>12.19</t>
  </si>
  <si>
    <t>12.31</t>
  </si>
  <si>
    <t>540 ft</t>
  </si>
  <si>
    <t>29.97</t>
  </si>
  <si>
    <t>Distance from edge of roll to first score</t>
  </si>
  <si>
    <t>4.875</t>
  </si>
  <si>
    <t>Distance between scores</t>
  </si>
  <si>
    <t>Is the score deep enough to remove the liner but not cut into the facestock?</t>
  </si>
  <si>
    <t>25,000 parts</t>
  </si>
  <si>
    <t>See Engineering before Run</t>
  </si>
  <si>
    <t>Are the parts completely sheeted?</t>
  </si>
  <si>
    <t>Is the foam laminated to the release side of the liner?</t>
  </si>
  <si>
    <t>11.94</t>
  </si>
  <si>
    <t>12.06</t>
  </si>
  <si>
    <t>Is the foam laminated to the NON-release side of the film liner?</t>
  </si>
  <si>
    <t>Is the protective film laminated adhesive to foam adhesive?</t>
  </si>
  <si>
    <t>Length of repeat</t>
  </si>
  <si>
    <t>13.5</t>
  </si>
  <si>
    <t>14.0</t>
  </si>
  <si>
    <t>24.9</t>
  </si>
  <si>
    <t>25.4</t>
  </si>
  <si>
    <t>25.9</t>
  </si>
  <si>
    <t>10.8</t>
  </si>
  <si>
    <t>11.2</t>
  </si>
  <si>
    <t>Does the die cut deep enough to strip the matrix but not cut into the liner?</t>
  </si>
  <si>
    <t>Does the perf tear will pulled with normal force?</t>
  </si>
  <si>
    <t>Width of material</t>
  </si>
  <si>
    <t>6.94</t>
  </si>
  <si>
    <t>7.06</t>
  </si>
  <si>
    <t>Diameter of adhesive</t>
  </si>
  <si>
    <t>0.510</t>
  </si>
  <si>
    <t>0.525</t>
  </si>
  <si>
    <t>0.745</t>
  </si>
  <si>
    <t>0.760</t>
  </si>
  <si>
    <t>0.775</t>
  </si>
  <si>
    <t>Is the score deep enough to remove all of the adhesive but not cut into the liner?</t>
  </si>
  <si>
    <t>Keyence</t>
  </si>
  <si>
    <t>Diameter of hole</t>
  </si>
  <si>
    <t>3.88</t>
  </si>
  <si>
    <t>Distance from hole to hole</t>
  </si>
  <si>
    <t>12.58</t>
  </si>
  <si>
    <t>12.70</t>
  </si>
  <si>
    <t>14.75</t>
  </si>
  <si>
    <t>15.25</t>
  </si>
  <si>
    <t>Distance from center of hole to edge of material</t>
  </si>
  <si>
    <t>9.75</t>
  </si>
  <si>
    <t>10.25</t>
  </si>
  <si>
    <t>Are all of the holes removed cleanly?</t>
  </si>
  <si>
    <t>32 rolls</t>
  </si>
  <si>
    <t>17.2</t>
  </si>
  <si>
    <t>18.8</t>
  </si>
  <si>
    <t>2.19</t>
  </si>
  <si>
    <t>2.31</t>
  </si>
  <si>
    <t>Is the slit edge clean, and free of slivers?</t>
  </si>
  <si>
    <t>3.48</t>
  </si>
  <si>
    <t>3.52</t>
  </si>
  <si>
    <t>1.605</t>
  </si>
  <si>
    <t>1.645</t>
  </si>
  <si>
    <t>1,000 ft</t>
  </si>
  <si>
    <t>2.77</t>
  </si>
  <si>
    <t>2.80</t>
  </si>
  <si>
    <t>2.83</t>
  </si>
  <si>
    <t>Distance from operator side print to edge of material</t>
  </si>
  <si>
    <t>0.11</t>
  </si>
  <si>
    <t>0.14</t>
  </si>
  <si>
    <t>Distance from gear side print to edge of material</t>
  </si>
  <si>
    <t>Color tolerance</t>
  </si>
  <si>
    <t>PMS 2935</t>
  </si>
  <si>
    <t>PMS 293</t>
  </si>
  <si>
    <t>PMS 286</t>
  </si>
  <si>
    <t>Is the print clean and easily read?</t>
  </si>
  <si>
    <t>Width of 415</t>
  </si>
  <si>
    <t>0.58</t>
  </si>
  <si>
    <t>0.59</t>
  </si>
  <si>
    <t>0.60</t>
  </si>
  <si>
    <t>Width of optical pad/reagent</t>
  </si>
  <si>
    <t>0.275</t>
  </si>
  <si>
    <t>0.285</t>
  </si>
  <si>
    <t>Light meter reading during optical pad/reagent slitting</t>
  </si>
  <si>
    <t>&lt;4</t>
  </si>
  <si>
    <t>&gt;4 - FAIL</t>
  </si>
  <si>
    <t>Are the slit rolls clean and free of debris?</t>
  </si>
  <si>
    <t>Is the hole fully covered by the Reagent/Optical Pad material?</t>
  </si>
  <si>
    <t>When viewed through the hole is the Reagent/Optical pad smooth and free of "puckles"?</t>
  </si>
  <si>
    <t>0.310</t>
  </si>
  <si>
    <t>0.315</t>
  </si>
  <si>
    <t>Width of print</t>
  </si>
  <si>
    <t>0.83</t>
  </si>
  <si>
    <t>0.87</t>
  </si>
  <si>
    <t>Are the rolls wound evenly, without weave from lap to lap&gt;</t>
  </si>
  <si>
    <t>Is material white in color?</t>
  </si>
  <si>
    <t>Is the roll sealed in a heavy 4 mil bag?</t>
  </si>
  <si>
    <t>2,500 labels</t>
  </si>
  <si>
    <t>11.60</t>
  </si>
  <si>
    <t>11.63</t>
  </si>
  <si>
    <t>11.66</t>
  </si>
  <si>
    <t>Is the "PARKER" visually centered on the label?</t>
  </si>
  <si>
    <t>3.47</t>
  </si>
  <si>
    <t>3.53</t>
  </si>
  <si>
    <t>Does part match sample in JT?</t>
  </si>
  <si>
    <t>Is the slot removed cleanly?</t>
  </si>
  <si>
    <t>Unprinted edge of Melinex to Saati mesh</t>
  </si>
  <si>
    <t>0.37</t>
  </si>
  <si>
    <t>0.39</t>
  </si>
  <si>
    <t>Unprinted edge of Melinex to 415</t>
  </si>
  <si>
    <t>0.415</t>
  </si>
  <si>
    <t>0.435</t>
  </si>
  <si>
    <t>Unprinted edge of Melinex to Reagent/Optical pad</t>
  </si>
  <si>
    <t>0.553</t>
  </si>
  <si>
    <t>0.573</t>
  </si>
  <si>
    <t>0.593</t>
  </si>
  <si>
    <t>Width of Reagent Optical pad</t>
  </si>
  <si>
    <t>0.15</t>
  </si>
  <si>
    <t>0.16</t>
  </si>
  <si>
    <t>Unprinted edge of Melinex to center of hole</t>
  </si>
  <si>
    <t>0.700</t>
  </si>
  <si>
    <t>Top edge of Melinex to center of hole</t>
  </si>
  <si>
    <t>0.145</t>
  </si>
  <si>
    <t>0.165</t>
  </si>
  <si>
    <t>Is shiny side of reagent/opitcal pad toward melinex?</t>
  </si>
  <si>
    <t>Are all of the holes ejected?</t>
  </si>
  <si>
    <t>Light meter reading during processing</t>
  </si>
  <si>
    <t>&gt;4(Fail)</t>
  </si>
  <si>
    <t>&lt;/=4(Pass)</t>
  </si>
  <si>
    <t>Is shiny side wound in on the reagent?</t>
  </si>
  <si>
    <t>100 rolls (25,000)</t>
  </si>
  <si>
    <t>5.72</t>
  </si>
  <si>
    <t>5.78</t>
  </si>
  <si>
    <t>10.845</t>
  </si>
  <si>
    <t>10.905</t>
  </si>
  <si>
    <t>Is the butt cut deep enough to remove the individual parts but not cut into the liner?</t>
  </si>
  <si>
    <t>6.97</t>
  </si>
  <si>
    <t>4.77</t>
  </si>
  <si>
    <t>4.83</t>
  </si>
  <si>
    <t>Is the die cut deep enough to strip the matrix but not cut into the liner?</t>
  </si>
  <si>
    <t>3.37</t>
  </si>
  <si>
    <t>3.40</t>
  </si>
  <si>
    <t>3.43</t>
  </si>
  <si>
    <t>7.97</t>
  </si>
  <si>
    <t>8.03</t>
  </si>
  <si>
    <t>1.78</t>
  </si>
  <si>
    <t>1.31</t>
  </si>
  <si>
    <t>1.34</t>
  </si>
  <si>
    <t>3.28</t>
  </si>
  <si>
    <t>3.31</t>
  </si>
  <si>
    <t>3.34</t>
  </si>
  <si>
    <t>Is the die cut deep enough to remove the individual parts but not cut into the liner?</t>
  </si>
  <si>
    <t>Is the die strike deep enough to  strip the matrix but not cut into the liner?</t>
  </si>
  <si>
    <t>Diameter of reflective circles</t>
  </si>
  <si>
    <t>Distance from circle to circle</t>
  </si>
  <si>
    <t>Distance from edge of circle to edge of liner</t>
  </si>
  <si>
    <t>0.105</t>
  </si>
  <si>
    <t>0.98</t>
  </si>
  <si>
    <t>1.02</t>
  </si>
  <si>
    <t>Distance from circle to circle (center to center)</t>
  </si>
  <si>
    <t>2.02</t>
  </si>
  <si>
    <t>0.961</t>
  </si>
  <si>
    <t>0.976</t>
  </si>
  <si>
    <t>0.991</t>
  </si>
  <si>
    <t>0.445</t>
  </si>
  <si>
    <t>0.460</t>
  </si>
  <si>
    <t>0.261</t>
  </si>
  <si>
    <t>0.301</t>
  </si>
  <si>
    <t>2.063</t>
  </si>
  <si>
    <t>2.083</t>
  </si>
  <si>
    <t>2.103</t>
  </si>
  <si>
    <t>Length of material</t>
  </si>
  <si>
    <t>4.70</t>
  </si>
  <si>
    <t>1.83</t>
  </si>
  <si>
    <t>1.88</t>
  </si>
  <si>
    <t>Distance from center of hole to edge of material (width)</t>
  </si>
  <si>
    <t>1.39</t>
  </si>
  <si>
    <t>1.49</t>
  </si>
  <si>
    <t>Distance from center of hole to edge of material (length)</t>
  </si>
  <si>
    <t>1.38</t>
  </si>
  <si>
    <t>0.386</t>
  </si>
  <si>
    <t>0.426</t>
  </si>
  <si>
    <t>8.480</t>
  </si>
  <si>
    <t>8.500</t>
  </si>
  <si>
    <t>8.520</t>
  </si>
  <si>
    <t>2.230</t>
  </si>
  <si>
    <t>2.250</t>
  </si>
  <si>
    <t>2.270</t>
  </si>
  <si>
    <t>3.45</t>
  </si>
  <si>
    <t>3.55</t>
  </si>
  <si>
    <t>0.63</t>
  </si>
  <si>
    <t>0.68</t>
  </si>
  <si>
    <t>4.480</t>
  </si>
  <si>
    <t>4.500</t>
  </si>
  <si>
    <t>4.520</t>
  </si>
  <si>
    <t>2.980</t>
  </si>
  <si>
    <t>3.000</t>
  </si>
  <si>
    <t>3.020</t>
  </si>
  <si>
    <t>10.18</t>
  </si>
  <si>
    <t>10.24</t>
  </si>
  <si>
    <t>10.30</t>
  </si>
  <si>
    <t>10.45</t>
  </si>
  <si>
    <t>10.50</t>
  </si>
  <si>
    <t>10.55</t>
  </si>
  <si>
    <t>18 pads</t>
  </si>
  <si>
    <t>16.12</t>
  </si>
  <si>
    <t>16.25</t>
  </si>
  <si>
    <t>16.38</t>
  </si>
  <si>
    <t>47.62</t>
  </si>
  <si>
    <t>47.75</t>
  </si>
  <si>
    <t>47.88</t>
  </si>
  <si>
    <t>Is the cut edge free of slivers and other cutting debris?</t>
  </si>
  <si>
    <t>Are the red tabs still on the part?</t>
  </si>
  <si>
    <t xml:space="preserve">Width of roll - See work order for target </t>
  </si>
  <si>
    <t>Distance from edge of circle to edge of part</t>
  </si>
  <si>
    <t>Distance from edge of circle to end of part</t>
  </si>
  <si>
    <t>0.82</t>
  </si>
  <si>
    <t>6.67</t>
  </si>
  <si>
    <t>6.71</t>
  </si>
  <si>
    <t>2.834</t>
  </si>
  <si>
    <t>2.854</t>
  </si>
  <si>
    <t>2.874</t>
  </si>
  <si>
    <t>Are Rolls Gapping?</t>
  </si>
  <si>
    <t>Are rolls wound evenly?</t>
  </si>
  <si>
    <t>25 sets</t>
  </si>
  <si>
    <t>Length of outside of gasket</t>
  </si>
  <si>
    <t>518</t>
  </si>
  <si>
    <t>520</t>
  </si>
  <si>
    <t>522</t>
  </si>
  <si>
    <t>Length of inside of gasket</t>
  </si>
  <si>
    <t>506</t>
  </si>
  <si>
    <t>508</t>
  </si>
  <si>
    <t>510</t>
  </si>
  <si>
    <t>Width of outside of large gasket</t>
  </si>
  <si>
    <t>188</t>
  </si>
  <si>
    <t>190</t>
  </si>
  <si>
    <t>192</t>
  </si>
  <si>
    <t>Width of inside of large gasket</t>
  </si>
  <si>
    <t>176</t>
  </si>
  <si>
    <t>178</t>
  </si>
  <si>
    <t>180</t>
  </si>
  <si>
    <t>Are the cut edge clean and free of tears in the liner?</t>
  </si>
  <si>
    <t>48 rolls</t>
  </si>
  <si>
    <t>Is the adhesive wound in and the liner wound out?</t>
  </si>
  <si>
    <t>Is the OD of the finished roll less than 14"?</t>
  </si>
  <si>
    <t>474.3</t>
  </si>
  <si>
    <t>476.3</t>
  </si>
  <si>
    <t>478.3</t>
  </si>
  <si>
    <t>462.3</t>
  </si>
  <si>
    <t>464.3</t>
  </si>
  <si>
    <t>466.3</t>
  </si>
  <si>
    <t>148</t>
  </si>
  <si>
    <t>150</t>
  </si>
  <si>
    <t>152</t>
  </si>
  <si>
    <t>136</t>
  </si>
  <si>
    <t>138</t>
  </si>
  <si>
    <t>140</t>
  </si>
  <si>
    <t>Is the butt cut deep enough to separate the parts but not cut through the liner?</t>
  </si>
  <si>
    <t>1,800 parts</t>
  </si>
  <si>
    <t>Does the part fit within the template as required?</t>
  </si>
  <si>
    <t xml:space="preserve">Is the die strike deep enough to strip the matrix, but not cut into the liner? </t>
  </si>
  <si>
    <t>2,660 parts</t>
  </si>
  <si>
    <t>Does the part fit within the template?</t>
  </si>
  <si>
    <t>Is the die strike deep enough to strip the matrix, but not cut into the liner?</t>
  </si>
  <si>
    <t>Are internal perfs sufficient, to allow easy tearing by customer?</t>
  </si>
  <si>
    <t>Does part fit within the template?</t>
  </si>
  <si>
    <t>Are internal perfs sufficient to allow easy tearing by customer?</t>
  </si>
  <si>
    <t>450 parts</t>
  </si>
  <si>
    <t>7.48</t>
  </si>
  <si>
    <t>7.50</t>
  </si>
  <si>
    <t>7.52</t>
  </si>
  <si>
    <t>1.23</t>
  </si>
  <si>
    <t>Are the slots cut deep enough to remove them?</t>
  </si>
  <si>
    <t>Does printing in black match description on the work order?</t>
  </si>
  <si>
    <t xml:space="preserve">Is product in the proper unwind direction (1)? </t>
  </si>
  <si>
    <t>Is printing clear and readable?</t>
  </si>
  <si>
    <t>Width of overhang</t>
  </si>
  <si>
    <t>Is liner removed from overhang area?</t>
  </si>
  <si>
    <t>Is the score deep enough to remove the liner but not cut into the tape?</t>
  </si>
  <si>
    <t>3 rolls</t>
  </si>
  <si>
    <t>1.37</t>
  </si>
  <si>
    <t>1.40</t>
  </si>
  <si>
    <t>1.43</t>
  </si>
  <si>
    <t>Is the roll free of double cuts and slivers?</t>
  </si>
  <si>
    <t>Is score of the liner at the "points" of the face shield?</t>
  </si>
  <si>
    <t>Width of film</t>
  </si>
  <si>
    <t>14.875</t>
  </si>
  <si>
    <t>15.000</t>
  </si>
  <si>
    <t>15.125</t>
  </si>
  <si>
    <t>Distance from edge of film to edge of liner</t>
  </si>
  <si>
    <t>Is the film laminated to the release side of the liner?</t>
  </si>
  <si>
    <t>100 parts</t>
  </si>
  <si>
    <t>127</t>
  </si>
  <si>
    <t>128</t>
  </si>
  <si>
    <t>129</t>
  </si>
  <si>
    <t>37</t>
  </si>
  <si>
    <t>38</t>
  </si>
  <si>
    <t>39</t>
  </si>
  <si>
    <t>Are the slots easily removed?</t>
  </si>
  <si>
    <t>Distance from edge of tape to edge of liner</t>
  </si>
  <si>
    <t>Is the score deep enough to remove trim but not cut into the liner?</t>
  </si>
  <si>
    <t>0.856</t>
  </si>
  <si>
    <t>0.866</t>
  </si>
  <si>
    <t>0.54</t>
  </si>
  <si>
    <t>Width of red tape</t>
  </si>
  <si>
    <t>Length of VHB</t>
  </si>
  <si>
    <t>1.860</t>
  </si>
  <si>
    <t>1.875</t>
  </si>
  <si>
    <t>1.890</t>
  </si>
  <si>
    <t>2.235</t>
  </si>
  <si>
    <t>2.265</t>
  </si>
  <si>
    <t>Width of VHB</t>
  </si>
  <si>
    <t>0.175</t>
  </si>
  <si>
    <t>0.190</t>
  </si>
  <si>
    <t>0.205</t>
  </si>
  <si>
    <t>Width main liner</t>
  </si>
  <si>
    <t>0.365</t>
  </si>
  <si>
    <t>Distance from center of hole to center of slot</t>
  </si>
  <si>
    <t>1.235</t>
  </si>
  <si>
    <t>1.265</t>
  </si>
  <si>
    <t>Are the holes cut cleanly through?</t>
  </si>
  <si>
    <t>Does the narrow liner completely cover the VHB?</t>
  </si>
  <si>
    <t>Diameter of circle.</t>
  </si>
  <si>
    <t>0.220</t>
  </si>
  <si>
    <t>0.280</t>
  </si>
  <si>
    <t>2,000 sheets</t>
  </si>
  <si>
    <t>Are the butt cuts deep enough to remove an individual part but not cut into the liner?</t>
  </si>
  <si>
    <t>Are the parts visually centered on the liner?</t>
  </si>
  <si>
    <t>15,000 parts</t>
  </si>
  <si>
    <t>1.063</t>
  </si>
  <si>
    <t>Width of adhesive at tab</t>
  </si>
  <si>
    <t>0.921</t>
  </si>
  <si>
    <t>0.984</t>
  </si>
  <si>
    <t>1.047</t>
  </si>
  <si>
    <t>0.203</t>
  </si>
  <si>
    <t>0.266</t>
  </si>
  <si>
    <t>0.329</t>
  </si>
  <si>
    <t>0.374</t>
  </si>
  <si>
    <t>7.47</t>
  </si>
  <si>
    <t>7.53</t>
  </si>
  <si>
    <t>Distance from center to center of left most and right most holes</t>
  </si>
  <si>
    <t>6.87</t>
  </si>
  <si>
    <t>6.90</t>
  </si>
  <si>
    <t>6.93</t>
  </si>
  <si>
    <t>Distance from center to center of two holes closest together</t>
  </si>
  <si>
    <t>1.10</t>
  </si>
  <si>
    <t>Are the holes ejected?</t>
  </si>
  <si>
    <t xml:space="preserve">Does the part fit within the template as required? </t>
  </si>
  <si>
    <t>Distance from edge of part to contoured back score</t>
  </si>
  <si>
    <t>Is the straight back score visually centered on the back?</t>
  </si>
  <si>
    <t>14.66</t>
  </si>
  <si>
    <t>14.72</t>
  </si>
  <si>
    <t>14.78</t>
  </si>
  <si>
    <t>11.25</t>
  </si>
  <si>
    <t>11.31</t>
  </si>
  <si>
    <t>11.37</t>
  </si>
  <si>
    <t>Are you using 36 yd logs?</t>
  </si>
  <si>
    <t>Is the back score deep enough to slit the liner but not cut into the foil?</t>
  </si>
  <si>
    <t xml:space="preserve">Does the part fit within template as required? </t>
  </si>
  <si>
    <t>Distance from edge of part to back score</t>
  </si>
  <si>
    <t>Does the part fit within template as required?</t>
  </si>
  <si>
    <t>11.97</t>
  </si>
  <si>
    <t>12.03</t>
  </si>
  <si>
    <t>Distance from edge of part to center of hole</t>
  </si>
  <si>
    <t>0.307</t>
  </si>
  <si>
    <t>0.337</t>
  </si>
  <si>
    <t>0.367</t>
  </si>
  <si>
    <t>Distance from center of hole to center of hole</t>
  </si>
  <si>
    <t>2.316</t>
  </si>
  <si>
    <t>2.326</t>
  </si>
  <si>
    <t>2.336</t>
  </si>
  <si>
    <t>Was yellow splice tape used to create splices?</t>
  </si>
  <si>
    <t>5 finished rolls</t>
  </si>
  <si>
    <t>1.686</t>
  </si>
  <si>
    <t>1.730</t>
  </si>
  <si>
    <t>1.774</t>
  </si>
  <si>
    <t>Amount of overlap</t>
  </si>
  <si>
    <t>0.03</t>
  </si>
  <si>
    <t>Is the lamination free of wrinkles</t>
  </si>
  <si>
    <t>Are the rolls tabbed with blue tape?</t>
  </si>
  <si>
    <t>6.36</t>
  </si>
  <si>
    <t>6.39</t>
  </si>
  <si>
    <t>6.42</t>
  </si>
  <si>
    <t>3.14</t>
  </si>
  <si>
    <t>3.17</t>
  </si>
  <si>
    <t>3.20</t>
  </si>
  <si>
    <t>Distance from center score to top of arced score</t>
  </si>
  <si>
    <t>0.57</t>
  </si>
  <si>
    <t>Is the score deep enough to remove the liner strip but not cut into the tape?</t>
  </si>
  <si>
    <t>5</t>
  </si>
  <si>
    <t>7</t>
  </si>
  <si>
    <t>1.36</t>
  </si>
  <si>
    <t>6.88</t>
  </si>
  <si>
    <t>3.16</t>
  </si>
  <si>
    <t>3.22</t>
  </si>
  <si>
    <t>Length of foam at bottom of arc</t>
  </si>
  <si>
    <t>0.64</t>
  </si>
  <si>
    <t>Thickness of part</t>
  </si>
  <si>
    <t>Distance from edge to slot</t>
  </si>
  <si>
    <t>0.66</t>
  </si>
  <si>
    <t>Distance from slot to slot</t>
  </si>
  <si>
    <t>3.09</t>
  </si>
  <si>
    <t>Distance from slot to closest edge</t>
  </si>
  <si>
    <t>0.34</t>
  </si>
  <si>
    <t>0.40</t>
  </si>
  <si>
    <t>1.09</t>
  </si>
  <si>
    <t>Is the 9471LE laminated to the film of the 8671?</t>
  </si>
  <si>
    <t>Are the slots cut clean through?</t>
  </si>
  <si>
    <t>Is the score deep enough to remove the liner but not cut through the urethane? Without liners will part tear at score?</t>
  </si>
  <si>
    <t>.72</t>
  </si>
  <si>
    <t>.75</t>
  </si>
  <si>
    <t>.78</t>
  </si>
  <si>
    <t>0.26</t>
  </si>
  <si>
    <t>Are slit edges free of slivers and other slitting debris?</t>
  </si>
  <si>
    <t>59</t>
  </si>
  <si>
    <t>60</t>
  </si>
  <si>
    <t>61</t>
  </si>
  <si>
    <t>58</t>
  </si>
  <si>
    <t>62</t>
  </si>
  <si>
    <t>Is the die strike deep enough to remove the matrix, but not cut into the liner?</t>
  </si>
  <si>
    <t>119</t>
  </si>
  <si>
    <t>120</t>
  </si>
  <si>
    <t>121</t>
  </si>
  <si>
    <t>Is the roll free of gapping and telescoping?</t>
  </si>
  <si>
    <t>Is the VHB laminated to the release side of the liner?</t>
  </si>
  <si>
    <t>Is the part free of wrinkles and other lamination defects?</t>
  </si>
  <si>
    <t>Is the slit edge free of slivers, double cuts and picking?</t>
  </si>
  <si>
    <t>0.730</t>
  </si>
  <si>
    <t>8 rolls (Each Set)</t>
  </si>
  <si>
    <t>0.295</t>
  </si>
  <si>
    <t>0.305</t>
  </si>
  <si>
    <t>Width of roll - See work order for target</t>
  </si>
  <si>
    <t>-0.02</t>
  </si>
  <si>
    <t>target</t>
  </si>
  <si>
    <t>+0.02</t>
  </si>
  <si>
    <t>Is the roll free of slivers and double cuts?</t>
  </si>
  <si>
    <t>Distance from edge of part to edge of liner?</t>
  </si>
  <si>
    <t>0.09</t>
  </si>
  <si>
    <t>Is the label visually centered on the liner? Check all rolls</t>
  </si>
  <si>
    <t>Die strike deep enough to remove the matrix but not cut into the liner?- Check all rolls</t>
  </si>
  <si>
    <t>TEMPLATE</t>
  </si>
  <si>
    <t>Does the part fit within the blue lines on the template?</t>
  </si>
  <si>
    <t>Is the back score deep enough to remove the liner, but not cut through the vinyl?</t>
  </si>
  <si>
    <t>560 parts</t>
  </si>
  <si>
    <t>173</t>
  </si>
  <si>
    <t>175</t>
  </si>
  <si>
    <t>177</t>
  </si>
  <si>
    <t>Distance from gear side of PET to closest 467MP strip</t>
  </si>
  <si>
    <t>Width of 467MP strips</t>
  </si>
  <si>
    <t>Distance between 467MP strips</t>
  </si>
  <si>
    <t>Distance from operator side of PET to closest 467MP strip</t>
  </si>
  <si>
    <t>Did you check different strips and spacing for measurements?</t>
  </si>
  <si>
    <t>Is the lamination smooth and free of wrinkles and buckles?</t>
  </si>
  <si>
    <t>Are the cut edges free of slivers and double cuts?</t>
  </si>
  <si>
    <t>1.24</t>
  </si>
  <si>
    <t>0.420</t>
  </si>
  <si>
    <t>0.450</t>
  </si>
  <si>
    <t>Width of gear side adhesive</t>
  </si>
  <si>
    <t>0.080</t>
  </si>
  <si>
    <t>Width of operator side adhesive</t>
  </si>
  <si>
    <t>Do the parts lay flat with a minimum of curl?</t>
  </si>
  <si>
    <t>2.32</t>
  </si>
  <si>
    <t>2.34</t>
  </si>
  <si>
    <t>6.22</t>
  </si>
  <si>
    <t>Length of sheet</t>
  </si>
  <si>
    <t>6.345</t>
  </si>
  <si>
    <t>6.375</t>
  </si>
  <si>
    <t>6.405</t>
  </si>
  <si>
    <t>Distance from edge of circle to edge of sheet</t>
  </si>
  <si>
    <t>Distance from leading edge of circle to edge of sheet</t>
  </si>
  <si>
    <t>0.063</t>
  </si>
  <si>
    <t>Distance from edge of sheet to edge of score</t>
  </si>
  <si>
    <t>3.19</t>
  </si>
  <si>
    <t>2.38</t>
  </si>
  <si>
    <t>Is the roll wound without gapping and telescoping?</t>
  </si>
  <si>
    <t>31</t>
  </si>
  <si>
    <t>32</t>
  </si>
  <si>
    <t>33</t>
  </si>
  <si>
    <t>Width of slit roll on Cevi</t>
  </si>
  <si>
    <t>4.3</t>
  </si>
  <si>
    <t>5.7</t>
  </si>
  <si>
    <t>Is product packed 40 rolls per box</t>
  </si>
  <si>
    <t>2.22</t>
  </si>
  <si>
    <t>2.28</t>
  </si>
  <si>
    <t>Is the score deep enough to remove adh. in tab area but not cut into the liner?</t>
  </si>
  <si>
    <t>Are the liners easy to remove?</t>
  </si>
  <si>
    <t>Length of Repeat, check accumulation over 6" span.</t>
  </si>
  <si>
    <t>0.990</t>
  </si>
  <si>
    <t>1.010</t>
  </si>
  <si>
    <t>See note in IPIC comments.</t>
  </si>
  <si>
    <t>Does the crushed area act as a tab to ease removal of the part from the fabric?  Check Operator, a Middle, and Gear side row.</t>
  </si>
  <si>
    <t>Are all splices and defects clearly marked and identifiable?</t>
  </si>
  <si>
    <t>1,000 sheets</t>
  </si>
  <si>
    <t>Width of sheet</t>
  </si>
  <si>
    <t>Distance from back score to edge of sheet</t>
  </si>
  <si>
    <t>Is the score deep enough to remove the liner but not cut into the fabric?</t>
  </si>
  <si>
    <t>Is the butt cut deep enough to remove individual parts but not cut into the liner?</t>
  </si>
  <si>
    <t>67.5</t>
  </si>
  <si>
    <t>68.5</t>
  </si>
  <si>
    <t>72.8</t>
  </si>
  <si>
    <t>73.8</t>
  </si>
  <si>
    <t>74.8</t>
  </si>
  <si>
    <t>Does the part have a red stripe visually centered on part?</t>
  </si>
  <si>
    <t>63.5</t>
  </si>
  <si>
    <t>64.5</t>
  </si>
  <si>
    <t>65.5</t>
  </si>
  <si>
    <t>72.0</t>
  </si>
  <si>
    <t>0.158</t>
  </si>
  <si>
    <t>Is the slit edge free of slivers and other debris?</t>
  </si>
  <si>
    <t>19.94</t>
  </si>
  <si>
    <t>20.06</t>
  </si>
  <si>
    <t>Are the black and orange in register?</t>
  </si>
  <si>
    <t>Is the print in register with the die?</t>
  </si>
  <si>
    <t>Is the die strike deep enough to remove the internal labels but not cut into the liner?</t>
  </si>
  <si>
    <t>100 sheets</t>
  </si>
  <si>
    <t>440</t>
  </si>
  <si>
    <t>450</t>
  </si>
  <si>
    <t>460</t>
  </si>
  <si>
    <t>Are there two layers of 9627 on one side of the CSM?</t>
  </si>
  <si>
    <t>Is the label applied to the liner side of the part?</t>
  </si>
  <si>
    <t>Distance from edge of sheet to close edge of internal die cut.</t>
  </si>
  <si>
    <t>0.32</t>
  </si>
  <si>
    <t>Distance from end of sheet to close edge of internal die cut.</t>
  </si>
  <si>
    <t>Does the part fit the inspection template?</t>
  </si>
  <si>
    <t>Is the score deep enough to remove the liner?</t>
  </si>
  <si>
    <t>Distance from edge of part to score?</t>
  </si>
  <si>
    <t>5 parts</t>
  </si>
  <si>
    <t>2 sets</t>
  </si>
  <si>
    <t xml:space="preserve">Right Leg Lead Length </t>
  </si>
  <si>
    <t xml:space="preserve">Window Length </t>
  </si>
  <si>
    <t xml:space="preserve">Total Part Length </t>
  </si>
  <si>
    <t>22.20</t>
  </si>
  <si>
    <t>Adhesive Opposite Tab</t>
  </si>
  <si>
    <t xml:space="preserve">Window Width </t>
  </si>
  <si>
    <t>6.13</t>
  </si>
  <si>
    <t>6.26</t>
  </si>
  <si>
    <t>5.46</t>
  </si>
  <si>
    <t>Total Repeat</t>
  </si>
  <si>
    <t>26.08</t>
  </si>
  <si>
    <t>26.33</t>
  </si>
  <si>
    <t>26.58</t>
  </si>
  <si>
    <t>Total Liner Width 
(Measure at set-up and blade change)</t>
  </si>
  <si>
    <t>31.59</t>
  </si>
  <si>
    <t>31.70</t>
  </si>
  <si>
    <t>31.83</t>
  </si>
  <si>
    <t>Are there scratches or defects present on Delivery liner when put on press?</t>
  </si>
  <si>
    <t>Does product pass Liner Release Test?</t>
  </si>
  <si>
    <t>23.17</t>
  </si>
  <si>
    <t>23.30</t>
  </si>
  <si>
    <t>23.43</t>
  </si>
  <si>
    <t>18.47</t>
  </si>
  <si>
    <t>18.60</t>
  </si>
  <si>
    <t>18.73</t>
  </si>
  <si>
    <t>12.96</t>
  </si>
  <si>
    <t>13.09</t>
  </si>
  <si>
    <t>13.22</t>
  </si>
  <si>
    <t>16.84</t>
  </si>
  <si>
    <t>17.09</t>
  </si>
  <si>
    <t>17.34</t>
  </si>
  <si>
    <t>7.22</t>
  </si>
  <si>
    <t>7.72</t>
  </si>
  <si>
    <t>0.390</t>
  </si>
  <si>
    <t>2.985</t>
  </si>
  <si>
    <t>3.015</t>
  </si>
  <si>
    <t>3.235</t>
  </si>
  <si>
    <t>3.265</t>
  </si>
  <si>
    <t>Is the die strike deep enough to remove the matrix but not cut into the part?</t>
  </si>
  <si>
    <t>Are the slit edges clean and free of debris and adhesive buildup?</t>
  </si>
  <si>
    <t>Are the rolls wound without gapping and telescoping?</t>
  </si>
  <si>
    <t>Right Leg Lead length</t>
  </si>
  <si>
    <t>3.85</t>
  </si>
  <si>
    <t>4.10</t>
  </si>
  <si>
    <t>11.92</t>
  </si>
  <si>
    <t>12.05</t>
  </si>
  <si>
    <t>12.18</t>
  </si>
  <si>
    <t>Left leg Trailing Length</t>
  </si>
  <si>
    <t>1.35</t>
  </si>
  <si>
    <t>1.60</t>
  </si>
  <si>
    <t>1.85</t>
  </si>
  <si>
    <t>17.37</t>
  </si>
  <si>
    <t>17.63</t>
  </si>
  <si>
    <t>Adhesive Tab Side</t>
  </si>
  <si>
    <t>1.52</t>
  </si>
  <si>
    <t>Total Adhesive Width</t>
  </si>
  <si>
    <t>12.89</t>
  </si>
  <si>
    <t>13.14</t>
  </si>
  <si>
    <t>13.39</t>
  </si>
  <si>
    <t>Window Width</t>
  </si>
  <si>
    <t>9.47</t>
  </si>
  <si>
    <t>9.60</t>
  </si>
  <si>
    <t>9.73</t>
  </si>
  <si>
    <t>Tab Width</t>
  </si>
  <si>
    <t>19.51</t>
  </si>
  <si>
    <t>19.64</t>
  </si>
  <si>
    <t>19.77</t>
  </si>
  <si>
    <t>21.25</t>
  </si>
  <si>
    <t>21.50</t>
  </si>
  <si>
    <t>21.75</t>
  </si>
  <si>
    <t>31.57</t>
  </si>
  <si>
    <t>15.9375</t>
  </si>
  <si>
    <t>16.0625</t>
  </si>
  <si>
    <t>Order 4712 in increments of 60 yds.</t>
  </si>
  <si>
    <t>Is the tape visually centered on the liner?</t>
  </si>
  <si>
    <t>17.0</t>
  </si>
  <si>
    <t>300 pieces</t>
  </si>
  <si>
    <t>2.62</t>
  </si>
  <si>
    <t>2.65</t>
  </si>
  <si>
    <t>2.68</t>
  </si>
  <si>
    <t>Inside diameter</t>
  </si>
  <si>
    <t>2.09</t>
  </si>
  <si>
    <t>2.12</t>
  </si>
  <si>
    <t>2.15</t>
  </si>
  <si>
    <t>Is the center removed?</t>
  </si>
  <si>
    <t>Check each bag for any visibly evident defects.  (Mismatched, miscut, etc.).  Are any defects present?</t>
  </si>
  <si>
    <t>5.13</t>
  </si>
  <si>
    <t>5.15</t>
  </si>
  <si>
    <t>5.17</t>
  </si>
  <si>
    <t>Are the holes removed?</t>
  </si>
  <si>
    <t>3.58</t>
  </si>
  <si>
    <t>3.62</t>
  </si>
  <si>
    <t>5.48</t>
  </si>
  <si>
    <t>83.0</t>
  </si>
  <si>
    <t>83.5</t>
  </si>
  <si>
    <t>84.0</t>
  </si>
  <si>
    <t>59.5</t>
  </si>
  <si>
    <t>60.0</t>
  </si>
  <si>
    <t>60.5</t>
  </si>
  <si>
    <t>Is the die strike deep enough to remove the matrix but not the cut into the liner?</t>
  </si>
  <si>
    <t>12.2</t>
  </si>
  <si>
    <t>12.7</t>
  </si>
  <si>
    <t>13.2</t>
  </si>
  <si>
    <t>38.5</t>
  </si>
  <si>
    <t>39.0</t>
  </si>
  <si>
    <t>39.5</t>
  </si>
  <si>
    <t>Are the edges free of slivers and cutting debris?</t>
  </si>
  <si>
    <t>Is the RB-300S within the 85% shelf life requirement?</t>
  </si>
  <si>
    <t>144 rolls</t>
  </si>
  <si>
    <t>46</t>
  </si>
  <si>
    <t>48</t>
  </si>
  <si>
    <t>Does the roll unwind without picking or adhesive stringing?</t>
  </si>
  <si>
    <t xml:space="preserve">Is the roll wound without gapping and telescoping? </t>
  </si>
  <si>
    <t>Is the slit edge free of debris?</t>
  </si>
  <si>
    <t>Does the 2nd sample pass the die strike stain test and not tear when folded back</t>
  </si>
  <si>
    <t>3.718</t>
  </si>
  <si>
    <t>3.781</t>
  </si>
  <si>
    <t>Is the slit edge free of slivers and other slitting debris?</t>
  </si>
  <si>
    <t>Does outside shape of part fit the approved template?</t>
  </si>
  <si>
    <t>Special Label Required</t>
  </si>
  <si>
    <t>Does the part fit the approved template in region 1?</t>
  </si>
  <si>
    <t>Does the part fit the approved template in region 2?</t>
  </si>
  <si>
    <t>Does the part fit the approved template in region 3?</t>
  </si>
  <si>
    <t>Does the part fit the approved template in region 4?</t>
  </si>
  <si>
    <t>Are the cut edges clean and free of cutting debris?</t>
  </si>
  <si>
    <t>22.38</t>
  </si>
  <si>
    <t>22.44</t>
  </si>
  <si>
    <t>22.50</t>
  </si>
  <si>
    <t>CAR Please see QA before run 6/24/16</t>
  </si>
  <si>
    <t>11.49</t>
  </si>
  <si>
    <t>11.55</t>
  </si>
  <si>
    <t>11.70</t>
  </si>
  <si>
    <t>Width of back side adhesive</t>
  </si>
  <si>
    <t>Width of back side liner</t>
  </si>
  <si>
    <t>0.69</t>
  </si>
  <si>
    <t>0.81</t>
  </si>
  <si>
    <t>Distance from bottom edge of part to bottom edge of K24 material</t>
  </si>
  <si>
    <t>0.031</t>
  </si>
  <si>
    <t>Does the K24 material cover all of the 8720 adhesive?</t>
  </si>
  <si>
    <t>Is the lamination free of wrinkles and other defects?</t>
  </si>
  <si>
    <t>4.34</t>
  </si>
  <si>
    <t>4.40</t>
  </si>
  <si>
    <t>4.46</t>
  </si>
  <si>
    <t>Is the adhesive laminated to the release side of the liner?</t>
  </si>
  <si>
    <t>200 sheets</t>
  </si>
  <si>
    <t>19.250</t>
  </si>
  <si>
    <t>19.500</t>
  </si>
  <si>
    <t>Width of facestock</t>
  </si>
  <si>
    <t>15.94</t>
  </si>
  <si>
    <t>16.06</t>
  </si>
  <si>
    <t>Distance from edge of facestock to score in facestock</t>
  </si>
  <si>
    <t>Distance from edge of facestock to edge of liner.</t>
  </si>
  <si>
    <t>0.050</t>
  </si>
  <si>
    <t>Does the score cut through the facestock but not cut into the liner?</t>
  </si>
  <si>
    <t>2,000 ft.</t>
  </si>
  <si>
    <t>Length of die repeat</t>
  </si>
  <si>
    <t>Distance from edge of web to narrow part of gear side strip</t>
  </si>
  <si>
    <t>1.63</t>
  </si>
  <si>
    <t>Distance from edge of web to narrow part of operator side strip</t>
  </si>
  <si>
    <t>0.610</t>
  </si>
  <si>
    <t>0.640</t>
  </si>
  <si>
    <t>Are the slit edges free of slitting debris and slivers?</t>
  </si>
  <si>
    <t>Are all spices and defects clearly marked and identifiable?</t>
  </si>
  <si>
    <t>500 sets</t>
  </si>
  <si>
    <t xml:space="preserve">Length of part - Measure one of each   </t>
  </si>
  <si>
    <t>7.28</t>
  </si>
  <si>
    <t>7.31</t>
  </si>
  <si>
    <t>7.34</t>
  </si>
  <si>
    <t xml:space="preserve">Length of head - Measure one of each * </t>
  </si>
  <si>
    <t>5.81</t>
  </si>
  <si>
    <t>5.84</t>
  </si>
  <si>
    <t xml:space="preserve">Width of "tail" head </t>
  </si>
  <si>
    <t xml:space="preserve">Width of "anchor" head </t>
  </si>
  <si>
    <t>1.12</t>
  </si>
  <si>
    <t>1.14</t>
  </si>
  <si>
    <t>Width between anchor and tail</t>
  </si>
  <si>
    <t>Width of set</t>
  </si>
  <si>
    <t>3.59</t>
  </si>
  <si>
    <t xml:space="preserve">Width of 9471FL on "tail" </t>
  </si>
  <si>
    <t xml:space="preserve">Width of 9471FL on "anchor" </t>
  </si>
  <si>
    <t>Width of silicone adhesive - Measure one of each</t>
  </si>
  <si>
    <t xml:space="preserve"> Do the perfs tear cleanly? -  Check one of each</t>
  </si>
  <si>
    <t>Is the nonwoven visually centered between the perfs?</t>
  </si>
  <si>
    <t xml:space="preserve">Do the "railroad track" slits stop before the perf? </t>
  </si>
  <si>
    <t>Perfs through LDPE only?</t>
  </si>
  <si>
    <t>Distance between alignment holes - tail side</t>
  </si>
  <si>
    <t>3.24</t>
  </si>
  <si>
    <t>3.26</t>
  </si>
  <si>
    <t xml:space="preserve">Are RR-tracks cut completely  through LDPE to the Acpo? </t>
  </si>
  <si>
    <t>Keyence Routine and Ruler</t>
  </si>
  <si>
    <t>Length of part (Keyence)</t>
  </si>
  <si>
    <t>REWIND ROLLS AS LOOSE AS POSSIBLE</t>
  </si>
  <si>
    <t>Width of adhesive (Keyence)</t>
  </si>
  <si>
    <t>121.0</t>
  </si>
  <si>
    <t>122.0</t>
  </si>
  <si>
    <t>123.0</t>
  </si>
  <si>
    <t>Width of part (Keyence)</t>
  </si>
  <si>
    <t>134.0</t>
  </si>
  <si>
    <t>135.0</t>
  </si>
  <si>
    <t>136.0</t>
  </si>
  <si>
    <t>Distance from blue tape to edge of tab? (Ruler)</t>
  </si>
  <si>
    <t>2.0</t>
  </si>
  <si>
    <t>Distance from edge of top liner to edge of adhesive. (Keyence)</t>
  </si>
  <si>
    <t>2.2</t>
  </si>
  <si>
    <t>3.2</t>
  </si>
  <si>
    <t>4.2</t>
  </si>
  <si>
    <t>Is the butt cut deep enough to remove the part but not cut into the liner?</t>
  </si>
  <si>
    <t>Is Polyester Tab material approximately centered, 1/2 over the adhesive?</t>
  </si>
  <si>
    <t>Is the adhesive on the top side of the part (Opp. Tab) completely under the liner?</t>
  </si>
  <si>
    <t>12,500 parts</t>
  </si>
  <si>
    <t>Right leg lead length</t>
  </si>
  <si>
    <t>4.37</t>
  </si>
  <si>
    <t>4.62</t>
  </si>
  <si>
    <t>4.87</t>
  </si>
  <si>
    <t>3.30</t>
  </si>
  <si>
    <t>3.56</t>
  </si>
  <si>
    <t>9.45</t>
  </si>
  <si>
    <t>9.58</t>
  </si>
  <si>
    <t>Width of leg opposite of tab</t>
  </si>
  <si>
    <t>1.84</t>
  </si>
  <si>
    <t>13.89</t>
  </si>
  <si>
    <t>14.02</t>
  </si>
  <si>
    <t>14.15</t>
  </si>
  <si>
    <t>24.05</t>
  </si>
  <si>
    <t>24.30</t>
  </si>
  <si>
    <t>24.55</t>
  </si>
  <si>
    <t>6.65</t>
  </si>
  <si>
    <t>7.15</t>
  </si>
  <si>
    <t>Liner Width on Tab Side
(Reference Dimension)</t>
  </si>
  <si>
    <t>12.45</t>
  </si>
  <si>
    <t>12.95</t>
  </si>
  <si>
    <t>Total Liner Width
(Measure at set-up and blade change)</t>
  </si>
  <si>
    <t>37.85</t>
  </si>
  <si>
    <t>38.10</t>
  </si>
  <si>
    <t>38.35</t>
  </si>
  <si>
    <t>Are there scratches or defects present on delivery liner when put on press?</t>
  </si>
  <si>
    <t>Die Strike Test:  When the liner is bent back away from the silicone at the die strike, does it split?</t>
  </si>
  <si>
    <t>Does Product Pass Liner Release Test?</t>
  </si>
  <si>
    <t>Left leg trailing length</t>
  </si>
  <si>
    <t>1.15</t>
  </si>
  <si>
    <t>Width of leg on tab side</t>
  </si>
  <si>
    <t>Total adhesive Width</t>
  </si>
  <si>
    <t>17.95</t>
  </si>
  <si>
    <t>18.20</t>
  </si>
  <si>
    <t>18.45</t>
  </si>
  <si>
    <t>5.85</t>
  </si>
  <si>
    <t>6.10</t>
  </si>
  <si>
    <t>6.35</t>
  </si>
  <si>
    <t>Does the perf tear cleanly without ripping the liner?</t>
  </si>
  <si>
    <t>40.0</t>
  </si>
  <si>
    <t>41.0</t>
  </si>
  <si>
    <t>Width of tab - measure the non-adhesive area</t>
  </si>
  <si>
    <t>Is the score deep enough to remove the adhesive but not cut into the parent liner?</t>
  </si>
  <si>
    <t>Width of slit roll - Units in inches for this one only</t>
  </si>
  <si>
    <t>2</t>
  </si>
  <si>
    <t>1.5</t>
  </si>
  <si>
    <t>Is the tape wound on a plastic core?</t>
  </si>
  <si>
    <t>50 finished parts</t>
  </si>
  <si>
    <t>302.3</t>
  </si>
  <si>
    <t>304.8</t>
  </si>
  <si>
    <t>307.3</t>
  </si>
  <si>
    <t>216.6</t>
  </si>
  <si>
    <t>219.1</t>
  </si>
  <si>
    <t>221.6</t>
  </si>
  <si>
    <t>Are there two layers of adhesive on the adhesive side?</t>
  </si>
  <si>
    <t>Is the lamination free of gross lamination defects, such as large bubbles and adhesive picks?</t>
  </si>
  <si>
    <t>Is the die strike deep enough to remove the matrix without cutting into the liner?</t>
  </si>
  <si>
    <t>Are the circles visually centered on the sheet?</t>
  </si>
  <si>
    <t>2,400 parts</t>
  </si>
  <si>
    <t>Is the score deep enough to remove the liner but not cut into the vinyl?</t>
  </si>
  <si>
    <t>Does the part fit the enclosed inspection template?</t>
  </si>
  <si>
    <t>Are the scores deep enough to remove the liner but not cut into the vinyl?</t>
  </si>
  <si>
    <t>Is the slit cut all the way through both liner and vinyl?</t>
  </si>
  <si>
    <t xml:space="preserve">2,500 parts </t>
  </si>
  <si>
    <t>2.35</t>
  </si>
  <si>
    <t>2,500 sheets</t>
  </si>
  <si>
    <t>5.76</t>
  </si>
  <si>
    <t>5.79</t>
  </si>
  <si>
    <t>5.82</t>
  </si>
  <si>
    <t>Distance from end to thick black line</t>
  </si>
  <si>
    <t>2.69</t>
  </si>
  <si>
    <t>Distance from side to thin black line</t>
  </si>
  <si>
    <t>Is the score deep enough to remove the liner without cutting into the vinyl?</t>
  </si>
  <si>
    <t>Is the black dark and free of gross printing defects?</t>
  </si>
  <si>
    <t>1,200 ft</t>
  </si>
  <si>
    <t>94</t>
  </si>
  <si>
    <t>95</t>
  </si>
  <si>
    <t>96</t>
  </si>
  <si>
    <t>Distance from operator edge to film</t>
  </si>
  <si>
    <t>1</t>
  </si>
  <si>
    <t>Distance from gear edge to film</t>
  </si>
  <si>
    <t>Is the lamination free of gross lamination defects?</t>
  </si>
  <si>
    <t>Width of operator side film</t>
  </si>
  <si>
    <t>5.35</t>
  </si>
  <si>
    <t>7.35</t>
  </si>
  <si>
    <t>Width of gear side film</t>
  </si>
  <si>
    <t>Length of part - measure where indicated on drawing</t>
  </si>
  <si>
    <t>3.23</t>
  </si>
  <si>
    <t>Width of part - measure where indicated on drawing</t>
  </si>
  <si>
    <t>3.81</t>
  </si>
  <si>
    <t>3.84</t>
  </si>
  <si>
    <t>3.87</t>
  </si>
  <si>
    <t>Distance from near edge to tape</t>
  </si>
  <si>
    <t>0.07</t>
  </si>
  <si>
    <t>0.10</t>
  </si>
  <si>
    <t>Is the tape laminated to the vinyl side?</t>
  </si>
  <si>
    <t>Is the score deep enough to remove the liner and not cut into the vinyl?</t>
  </si>
  <si>
    <t>5.24</t>
  </si>
  <si>
    <t>2.46</t>
  </si>
  <si>
    <t>2.48</t>
  </si>
  <si>
    <t>6,000 labels</t>
  </si>
  <si>
    <t>3.91</t>
  </si>
  <si>
    <t>Is the printed border visual even on the three sides with no text?</t>
  </si>
  <si>
    <t>Is the color within one shade of PMS?</t>
  </si>
  <si>
    <t>Is the finished rewind direction #4?</t>
  </si>
  <si>
    <t>16.18</t>
  </si>
  <si>
    <t>Does the part fit within the approved inspection template?</t>
  </si>
  <si>
    <t>9.22</t>
  </si>
  <si>
    <t>9.25</t>
  </si>
  <si>
    <t>9.28</t>
  </si>
  <si>
    <t>120.3</t>
  </si>
  <si>
    <t>121.3</t>
  </si>
  <si>
    <t>122.3</t>
  </si>
  <si>
    <t>Length of tab</t>
  </si>
  <si>
    <t>24.4</t>
  </si>
  <si>
    <t>26.4</t>
  </si>
  <si>
    <t>48.0</t>
  </si>
  <si>
    <t>5.4</t>
  </si>
  <si>
    <t>6.4</t>
  </si>
  <si>
    <t>7.4</t>
  </si>
  <si>
    <t>Was yellow splice tape used create splices?</t>
  </si>
  <si>
    <t>23.74</t>
  </si>
  <si>
    <t>23.84</t>
  </si>
  <si>
    <t>23.94</t>
  </si>
  <si>
    <t>Distance from center of small hole to near edge of part</t>
  </si>
  <si>
    <t>11.65</t>
  </si>
  <si>
    <t>11.90</t>
  </si>
  <si>
    <t>12.15</t>
  </si>
  <si>
    <t>56.94</t>
  </si>
  <si>
    <t>57.04</t>
  </si>
  <si>
    <t>57.14</t>
  </si>
  <si>
    <t>Distance from center of small hole to far edge of part</t>
  </si>
  <si>
    <t>49.62</t>
  </si>
  <si>
    <t>49.87</t>
  </si>
  <si>
    <t>50.12</t>
  </si>
  <si>
    <t>Diameter of small hole</t>
  </si>
  <si>
    <t>0.61</t>
  </si>
  <si>
    <t>66.84</t>
  </si>
  <si>
    <t>67.04</t>
  </si>
  <si>
    <t>67.24</t>
  </si>
  <si>
    <t>Repeat of part</t>
  </si>
  <si>
    <t>28.43</t>
  </si>
  <si>
    <t>28.58</t>
  </si>
  <si>
    <t>28.73</t>
  </si>
  <si>
    <t>Is the butt cut deep enough to remove the parts, but not cut into the liner?  Check 33 repeats by pulling off every other part.  Check 4 lanes (incl. OP and GR) per set.  Perform checks only on parts that were cut at process speed, not jog.  Save strip in retain envelope.</t>
  </si>
  <si>
    <t>4 Lanes</t>
  </si>
  <si>
    <t>Is the narrowest RR track width on either end of the part greater than 0.030"?</t>
  </si>
  <si>
    <t>Is tape laminated to create an extended liner on one side only?</t>
  </si>
  <si>
    <t>Are the back printed registration marks and typeface clean and dark?</t>
  </si>
  <si>
    <t>Width of 42# Liner</t>
  </si>
  <si>
    <t>Width of LDPE/TM8720 lamination</t>
  </si>
  <si>
    <t>7.02</t>
  </si>
  <si>
    <t>7.14</t>
  </si>
  <si>
    <t>Distance from narrow back adhesive to LDPE/adh. lamination.</t>
  </si>
  <si>
    <t>2,000</t>
  </si>
  <si>
    <t>Does part fit template?</t>
  </si>
  <si>
    <t>Peel force of top layer from tape</t>
  </si>
  <si>
    <t>15.00 oz</t>
  </si>
  <si>
    <t>Set of Rolls</t>
  </si>
  <si>
    <t xml:space="preserve">Width of main part to inside corner.
</t>
  </si>
  <si>
    <t>0.168</t>
  </si>
  <si>
    <t>0.208</t>
  </si>
  <si>
    <t>80,000 parts</t>
  </si>
  <si>
    <t>1.105</t>
  </si>
  <si>
    <t>Delta:  Measure 1 part every 2 sets, alternating between gear/operator sides each time.
Fan Folder:  Record once per level of boxes on the pallet (2X per pallet).</t>
  </si>
  <si>
    <t>2.879</t>
  </si>
  <si>
    <t>2.910</t>
  </si>
  <si>
    <t>2.941</t>
  </si>
  <si>
    <t>2.92</t>
  </si>
  <si>
    <t>0.27</t>
  </si>
  <si>
    <t>Is the paper liner coated on both sides?</t>
  </si>
  <si>
    <t>3.32</t>
  </si>
  <si>
    <t>3.35</t>
  </si>
  <si>
    <t>3.38</t>
  </si>
  <si>
    <t>Diameter of inside</t>
  </si>
  <si>
    <t>1.86</t>
  </si>
  <si>
    <t>1.89</t>
  </si>
  <si>
    <t>1.92</t>
  </si>
  <si>
    <t>6.7</t>
  </si>
  <si>
    <t>7.0</t>
  </si>
  <si>
    <t>7.3</t>
  </si>
  <si>
    <t>Repeat length</t>
  </si>
  <si>
    <t>9.7</t>
  </si>
  <si>
    <t>10.3</t>
  </si>
  <si>
    <t>7.7</t>
  </si>
  <si>
    <t>8.3</t>
  </si>
  <si>
    <t>1.07</t>
  </si>
  <si>
    <t>Length of part - Letter M</t>
  </si>
  <si>
    <t>6.975</t>
  </si>
  <si>
    <t>7.000</t>
  </si>
  <si>
    <t>7.025</t>
  </si>
  <si>
    <t>Gloves required</t>
  </si>
  <si>
    <t>Width of part - Letter E</t>
  </si>
  <si>
    <t>5.988</t>
  </si>
  <si>
    <t>6.012</t>
  </si>
  <si>
    <t xml:space="preserve">Is the die strike deep enough to remove the matrix but not cut into the liner?  </t>
  </si>
  <si>
    <t>Dimension A
Must be Within ±.010" at set up</t>
  </si>
  <si>
    <t>0.755</t>
  </si>
  <si>
    <t>0.805</t>
  </si>
  <si>
    <t>Dimension B</t>
  </si>
  <si>
    <t>1.568</t>
  </si>
  <si>
    <t>1.578</t>
  </si>
  <si>
    <t>1.588</t>
  </si>
  <si>
    <t>Dimension C</t>
  </si>
  <si>
    <t>2.862</t>
  </si>
  <si>
    <t>2.872</t>
  </si>
  <si>
    <t>2.882</t>
  </si>
  <si>
    <t>Dimension D</t>
  </si>
  <si>
    <t>4.450</t>
  </si>
  <si>
    <t>Dimension F
Must be Within ±.010" at set up</t>
  </si>
  <si>
    <t>Dimension G</t>
  </si>
  <si>
    <t>1.337</t>
  </si>
  <si>
    <t>1.347</t>
  </si>
  <si>
    <t>1.357</t>
  </si>
  <si>
    <t>Dimension H</t>
  </si>
  <si>
    <t>2.134</t>
  </si>
  <si>
    <t>2.144</t>
  </si>
  <si>
    <t>2.154</t>
  </si>
  <si>
    <t>Dimension I</t>
  </si>
  <si>
    <t>2.951</t>
  </si>
  <si>
    <t>Dimension J</t>
  </si>
  <si>
    <t>3.728</t>
  </si>
  <si>
    <t>3.738</t>
  </si>
  <si>
    <t>3.748</t>
  </si>
  <si>
    <t>Dimension K</t>
  </si>
  <si>
    <t>4.525</t>
  </si>
  <si>
    <t>4.535</t>
  </si>
  <si>
    <t>4.545</t>
  </si>
  <si>
    <t>Dimension L</t>
  </si>
  <si>
    <t>5.440</t>
  </si>
  <si>
    <t>5.450</t>
  </si>
  <si>
    <t>5.460</t>
  </si>
  <si>
    <t>Dimension P</t>
  </si>
  <si>
    <t>0.383</t>
  </si>
  <si>
    <t>Dimension Q</t>
  </si>
  <si>
    <t>Dimension R</t>
  </si>
  <si>
    <t>0.040</t>
  </si>
  <si>
    <t>0.045</t>
  </si>
  <si>
    <t>Dimension S</t>
  </si>
  <si>
    <t>Dimension T</t>
  </si>
  <si>
    <t>Dimension U</t>
  </si>
  <si>
    <t>Dimension V</t>
  </si>
  <si>
    <t>Dimension W</t>
  </si>
  <si>
    <t>Dimension X</t>
  </si>
  <si>
    <t>Dimension Y</t>
  </si>
  <si>
    <t>Dimension Z</t>
  </si>
  <si>
    <t>Dimension AA</t>
  </si>
  <si>
    <t>Dimension BB</t>
  </si>
  <si>
    <t>Dimension CC</t>
  </si>
  <si>
    <t>Does the part meet the wrinkle and crease defect sheet?</t>
  </si>
  <si>
    <t>Are all of the holes removed with no hanging chads?</t>
  </si>
  <si>
    <t>3.094</t>
  </si>
  <si>
    <t>3.156</t>
  </si>
  <si>
    <t>Part edge to liner edge</t>
  </si>
  <si>
    <t>0.094</t>
  </si>
  <si>
    <t>Diameter of Circle</t>
  </si>
  <si>
    <t>Distance from edge to score</t>
  </si>
  <si>
    <t>Is the score deep enough to remove the 9828 but not cut into the liner?</t>
  </si>
  <si>
    <t>Are parts folding on the perf? (Monitor constantly/log data every 22-24 boxes)</t>
  </si>
  <si>
    <t>Are 3 parts or more visible on the tail at the top of the box? (Monitor constantly/log data every 22-24 boxes)</t>
  </si>
  <si>
    <t>Is the box oriented correctly with the 4 square cut-outs at the bottom? (Monitor constantly/log data every 22-24 boxes)</t>
  </si>
  <si>
    <t>With the tail on the left side of the box and the tops pulling out on the right side, is the box label on the tail side of the box? (Monitor constantly/log data every 22-24 boxes)</t>
  </si>
  <si>
    <t>No more than 2 missing parts in a row.  (Monitor constantly/log data every 22-24 boxes)</t>
  </si>
  <si>
    <t>Have parts with aesthetic issues (overlapping, wrinkles, perf on part, damage, etc...) been removed? (Monitor constantly/log data every 22-24 boxes)</t>
  </si>
  <si>
    <t>3.33</t>
  </si>
  <si>
    <t>3.39</t>
  </si>
  <si>
    <t>Is the part laminated free of all visable defects?</t>
  </si>
  <si>
    <t>Are the parts cut cleanly, free of all hairs and debris?</t>
  </si>
  <si>
    <t>Width of slit roll.</t>
  </si>
  <si>
    <t>Is the roll tabbed?</t>
  </si>
  <si>
    <t>Does the roll work correctly in the dispenser?</t>
  </si>
  <si>
    <t>Template</t>
  </si>
  <si>
    <t>Is the NON-release side of the 78 Lb liner laminated to the 9449S?</t>
  </si>
  <si>
    <t>Is the die strike deep enough to remove the adhesive but not cut into the liner?</t>
  </si>
  <si>
    <t>600 parts</t>
  </si>
  <si>
    <t>Diameter of circle - Cross web on liner</t>
  </si>
  <si>
    <t>105.3</t>
  </si>
  <si>
    <t>106.0</t>
  </si>
  <si>
    <t>106.7</t>
  </si>
  <si>
    <t>Are the parts visually centered on the sheet?</t>
  </si>
  <si>
    <t>Is the adhesive on the foam laminated to the VHB?</t>
  </si>
  <si>
    <t>Is the sheet length between 23 7/8 and 24 1/18 inches?</t>
  </si>
  <si>
    <t>Is the adhesive width between 17 7/8 and 18 1/8 inches?</t>
  </si>
  <si>
    <t>Is the liner width between 18 5/8 and 18 3/8?</t>
  </si>
  <si>
    <t>Distance from edge of adhesive to edge of liner</t>
  </si>
  <si>
    <t>Is the adhesive laminated to the release side of the 54# liner?</t>
  </si>
  <si>
    <t xml:space="preserve">Does the sheeted part lay flat with little to no visible curl?
</t>
  </si>
  <si>
    <t>Is finished product 60 yards in length?</t>
  </si>
  <si>
    <t>Length of part - measured at top of part.</t>
  </si>
  <si>
    <t>52</t>
  </si>
  <si>
    <t>Width of part - measured at top of part</t>
  </si>
  <si>
    <t xml:space="preserve">24 rolls </t>
  </si>
  <si>
    <t>1.750</t>
  </si>
  <si>
    <t>1,500 parts</t>
  </si>
  <si>
    <t>8.80</t>
  </si>
  <si>
    <t>8.81</t>
  </si>
  <si>
    <t>8.82</t>
  </si>
  <si>
    <t>Is the adhesive laminated to the non-metalized side of the PET?</t>
  </si>
  <si>
    <t>84.13</t>
  </si>
  <si>
    <t>85.73</t>
  </si>
  <si>
    <t>87.33</t>
  </si>
  <si>
    <t>Length of rectangle part</t>
  </si>
  <si>
    <t>29.4</t>
  </si>
  <si>
    <t>30.0</t>
  </si>
  <si>
    <t>30.6</t>
  </si>
  <si>
    <t>Length of circle part</t>
  </si>
  <si>
    <t>34.4</t>
  </si>
  <si>
    <t>35.0</t>
  </si>
  <si>
    <t>35.6</t>
  </si>
  <si>
    <t>56.55</t>
  </si>
  <si>
    <t>57.15</t>
  </si>
  <si>
    <t>57.75</t>
  </si>
  <si>
    <t>Width of circle part including tab</t>
  </si>
  <si>
    <t>37.9</t>
  </si>
  <si>
    <t>39.1</t>
  </si>
  <si>
    <t>Width of rectangle part</t>
  </si>
  <si>
    <t>39.4</t>
  </si>
  <si>
    <t>40.6</t>
  </si>
  <si>
    <t>Is the score on the tab deep enough to remove the adhesive but not cut into the liner?</t>
  </si>
  <si>
    <t>Is the liner cut deep enough to remove the liner but not cut through the adhesive?</t>
  </si>
  <si>
    <t>Is the center of the circle ejected?</t>
  </si>
  <si>
    <t>Length of roll.  Is counter set for 72 yds?</t>
  </si>
  <si>
    <t>Is print clean and sharp? Is "P-21234" legible?</t>
  </si>
  <si>
    <t>Is the slit edge free of double cuts and slivers?</t>
  </si>
  <si>
    <t>4.44</t>
  </si>
  <si>
    <t>4.56</t>
  </si>
  <si>
    <t>Is the VHB visually centered on the liner in the cross web direction?</t>
  </si>
  <si>
    <t>500 parts inspect 2</t>
  </si>
  <si>
    <t>Inspection #1 - See sheet</t>
  </si>
  <si>
    <t>3.9782</t>
  </si>
  <si>
    <t>4.1032</t>
  </si>
  <si>
    <t>4.2282</t>
  </si>
  <si>
    <t>Inspection #2 - See sheet</t>
  </si>
  <si>
    <t>Inspection #3 - See sheet</t>
  </si>
  <si>
    <t>11.7752</t>
  </si>
  <si>
    <t>12.0252</t>
  </si>
  <si>
    <t>12.2752</t>
  </si>
  <si>
    <t>Inspection #4 - See sheet</t>
  </si>
  <si>
    <t>4.7223</t>
  </si>
  <si>
    <t>4.9723</t>
  </si>
  <si>
    <t>5.2223</t>
  </si>
  <si>
    <t>Inspection #5 - See sheet</t>
  </si>
  <si>
    <t>14.2990</t>
  </si>
  <si>
    <t>14.5490</t>
  </si>
  <si>
    <t>14.7990</t>
  </si>
  <si>
    <t>Inspection #6 - See sheet</t>
  </si>
  <si>
    <t>11.7664</t>
  </si>
  <si>
    <t>12.0164</t>
  </si>
  <si>
    <t>12.2664</t>
  </si>
  <si>
    <t>Inspection #7 - See sheet</t>
  </si>
  <si>
    <t>0.5000</t>
  </si>
  <si>
    <t>0.7500</t>
  </si>
  <si>
    <t>Inspection #8 - See sheet</t>
  </si>
  <si>
    <t>161.6609</t>
  </si>
  <si>
    <t>161.9109</t>
  </si>
  <si>
    <t>162.1609</t>
  </si>
  <si>
    <t>Inspection #9 - See sheet</t>
  </si>
  <si>
    <t>4.3895</t>
  </si>
  <si>
    <t>4.5545</t>
  </si>
  <si>
    <t>4.7195</t>
  </si>
  <si>
    <t>Inspection #10 - See sheet</t>
  </si>
  <si>
    <t>2.9782</t>
  </si>
  <si>
    <t>3.1032</t>
  </si>
  <si>
    <t>3.2282</t>
  </si>
  <si>
    <t>Inspection #11 - See sheet</t>
  </si>
  <si>
    <t>8.4947</t>
  </si>
  <si>
    <t>8.6197</t>
  </si>
  <si>
    <t>8.7447</t>
  </si>
  <si>
    <t>Inspection #12 - See sheet</t>
  </si>
  <si>
    <t>0.7463</t>
  </si>
  <si>
    <t>0.8713</t>
  </si>
  <si>
    <t>0.9963</t>
  </si>
  <si>
    <t>Inspection #13 - See sheet</t>
  </si>
  <si>
    <t>4.1952</t>
  </si>
  <si>
    <t>4.3602</t>
  </si>
  <si>
    <t>4.5252</t>
  </si>
  <si>
    <t>Inspection #14 - See sheet</t>
  </si>
  <si>
    <t>Inspection #18 - See sheet</t>
  </si>
  <si>
    <t>1.2874</t>
  </si>
  <si>
    <t>1.4124</t>
  </si>
  <si>
    <t>1.5374</t>
  </si>
  <si>
    <t>Inspection #19 - See sheet</t>
  </si>
  <si>
    <t>8.2105</t>
  </si>
  <si>
    <t>8.3355</t>
  </si>
  <si>
    <t>8.4605</t>
  </si>
  <si>
    <t>Inspection #20 - See sheet</t>
  </si>
  <si>
    <t>3.1129</t>
  </si>
  <si>
    <t>3.2779</t>
  </si>
  <si>
    <t>3.4429</t>
  </si>
  <si>
    <t>Inspection #21 - See sheet</t>
  </si>
  <si>
    <t>Inspection #22 - See sheet</t>
  </si>
  <si>
    <t>162.6170</t>
  </si>
  <si>
    <t>162.8670</t>
  </si>
  <si>
    <t>163.1170</t>
  </si>
  <si>
    <t>Inspection #23 - See sheet</t>
  </si>
  <si>
    <t>9.0414</t>
  </si>
  <si>
    <t>9.1664</t>
  </si>
  <si>
    <t>9.2914</t>
  </si>
  <si>
    <t>Inspection #24 - See sheet</t>
  </si>
  <si>
    <t>4.6295</t>
  </si>
  <si>
    <t>4.7945</t>
  </si>
  <si>
    <t>4.9595</t>
  </si>
  <si>
    <t>Inspection #25 - See sheet</t>
  </si>
  <si>
    <t>3.1017</t>
  </si>
  <si>
    <t>3.2667</t>
  </si>
  <si>
    <t>3.4317</t>
  </si>
  <si>
    <t>Inspection #26 - See sheet</t>
  </si>
  <si>
    <t>162.8234</t>
  </si>
  <si>
    <t>163.0734</t>
  </si>
  <si>
    <t>163.3234</t>
  </si>
  <si>
    <t>Inspection #27 - See sheet</t>
  </si>
  <si>
    <t>8.0346</t>
  </si>
  <si>
    <t>8.1596</t>
  </si>
  <si>
    <t>8.2846</t>
  </si>
  <si>
    <t>Inspection #28 - See sheet</t>
  </si>
  <si>
    <t>4.1296</t>
  </si>
  <si>
    <t>4.2946</t>
  </si>
  <si>
    <t>4.4596</t>
  </si>
  <si>
    <t>Inspection #29 - See sheet</t>
  </si>
  <si>
    <t>2.7611</t>
  </si>
  <si>
    <t>2.9261</t>
  </si>
  <si>
    <t>3.0911</t>
  </si>
  <si>
    <t>Inspection #30 - See sheet</t>
  </si>
  <si>
    <t>24.8750</t>
  </si>
  <si>
    <t>25.0000</t>
  </si>
  <si>
    <t>25.1250</t>
  </si>
  <si>
    <t>Inspection #31 - See sheet</t>
  </si>
  <si>
    <t>19.8045</t>
  </si>
  <si>
    <t>19.9295</t>
  </si>
  <si>
    <t>20.0545</t>
  </si>
  <si>
    <t>Inspection #32 - See sheet</t>
  </si>
  <si>
    <t>151.7163</t>
  </si>
  <si>
    <t>151.9663</t>
  </si>
  <si>
    <t>152.2163</t>
  </si>
  <si>
    <t>Inspection #33 - See sheet</t>
  </si>
  <si>
    <t>185.7113</t>
  </si>
  <si>
    <t>185.9613</t>
  </si>
  <si>
    <t>186.2113</t>
  </si>
  <si>
    <t>End of part to center of center large hole</t>
  </si>
  <si>
    <t>35.85</t>
  </si>
  <si>
    <t>36.00</t>
  </si>
  <si>
    <t>36.15</t>
  </si>
  <si>
    <t>Diameter of large hole</t>
  </si>
  <si>
    <t>5.675</t>
  </si>
  <si>
    <t>5.800</t>
  </si>
  <si>
    <t>5.925</t>
  </si>
  <si>
    <t>Diameter of middle sized hole</t>
  </si>
  <si>
    <t>Distance part edge to center of middle sized hole</t>
  </si>
  <si>
    <t>6.61</t>
  </si>
  <si>
    <t>6.86</t>
  </si>
  <si>
    <t>1,250 part</t>
  </si>
  <si>
    <t>Is the part cut cleanly?</t>
  </si>
  <si>
    <t>881AE156-118D-CF46-8C38-E3E8988F0A70</t>
  </si>
  <si>
    <t>24.00</t>
  </si>
  <si>
    <t>18.625</t>
  </si>
  <si>
    <t>Do the parts lay flat with little to no curl?</t>
  </si>
  <si>
    <t>Width of adhesivel?</t>
  </si>
  <si>
    <t>Is the adhesive visually centered on the liner?</t>
  </si>
  <si>
    <t>- 0.03</t>
  </si>
  <si>
    <t>See WO</t>
  </si>
  <si>
    <t>+ 0.03</t>
  </si>
  <si>
    <t>Does the perf tear easily but without breaking on press?</t>
  </si>
  <si>
    <t>Do the parts lay flat when removed from the liner?</t>
  </si>
  <si>
    <t xml:space="preserve">Is the butt cut deep enough to separate the parts but not cut into the liner? </t>
  </si>
  <si>
    <t>100 pieces</t>
  </si>
  <si>
    <t>Width of finished part</t>
  </si>
  <si>
    <t>4.375</t>
  </si>
  <si>
    <t>4.625</t>
  </si>
  <si>
    <t>Was this laminated in the clean room with a RH of less than 30%?</t>
  </si>
  <si>
    <t>Is the stack up - AS203/AS203/Skyrol/AS203/Skyrol/AS203</t>
  </si>
  <si>
    <t>367.5</t>
  </si>
  <si>
    <t>368.0</t>
  </si>
  <si>
    <t>368.5</t>
  </si>
  <si>
    <t>44.5</t>
  </si>
  <si>
    <t>6.5</t>
  </si>
  <si>
    <t>Distance from end of part to edge of hole</t>
  </si>
  <si>
    <t>115.0</t>
  </si>
  <si>
    <t>115.5</t>
  </si>
  <si>
    <t>116.0</t>
  </si>
  <si>
    <t>4 Rolls</t>
  </si>
  <si>
    <t>Width of slit rolls - See work order for target</t>
  </si>
  <si>
    <t>Keyence / Check Gauge</t>
  </si>
  <si>
    <t>Various - see items</t>
  </si>
  <si>
    <t>2.340</t>
  </si>
  <si>
    <t>2.346</t>
  </si>
  <si>
    <t>2.352</t>
  </si>
  <si>
    <t>6.668</t>
  </si>
  <si>
    <t>6.674</t>
  </si>
  <si>
    <t>6.680</t>
  </si>
  <si>
    <t>Width of foam on long Leading Edge</t>
  </si>
  <si>
    <t>0.215</t>
  </si>
  <si>
    <t>0.225</t>
  </si>
  <si>
    <t>Width of foam on long Trailing Edge</t>
  </si>
  <si>
    <t>Width of foam on Operator Side</t>
  </si>
  <si>
    <t>Width of foam Opposite Operator Side (Gear)</t>
  </si>
  <si>
    <t>5,000 labels</t>
  </si>
  <si>
    <t>Is the print clean and free of gross print defects?</t>
  </si>
  <si>
    <t xml:space="preserve">50 rolls </t>
  </si>
  <si>
    <t>Is the lamination free of gross wrinkles and other defects?</t>
  </si>
  <si>
    <t>Is the roll laminated adhesive to foam to adhesive?</t>
  </si>
  <si>
    <t>Are the finished rolls 20 ft.?</t>
  </si>
  <si>
    <t>24.69</t>
  </si>
  <si>
    <t>24.82</t>
  </si>
  <si>
    <t>24.95</t>
  </si>
  <si>
    <t>17.82</t>
  </si>
  <si>
    <t>16.87</t>
  </si>
  <si>
    <t>17.13</t>
  </si>
  <si>
    <t>20.75</t>
  </si>
  <si>
    <t>21.00</t>
  </si>
  <si>
    <t>Edge of liner to Edge of part - Tab side.  Note - (part is not centered on liner)</t>
  </si>
  <si>
    <t>6.14</t>
  </si>
  <si>
    <t>6.64</t>
  </si>
  <si>
    <t>Die Strike Check.  Does liner slit when bent back away from silicone at die strike?</t>
  </si>
  <si>
    <t>Is there any trace of the PVC tape left on the adhesive side of the product?</t>
  </si>
  <si>
    <t xml:space="preserve">2 sets </t>
  </si>
  <si>
    <t>24.07</t>
  </si>
  <si>
    <t>24.32</t>
  </si>
  <si>
    <t>24.57</t>
  </si>
  <si>
    <t>27.93</t>
  </si>
  <si>
    <t>28.18</t>
  </si>
  <si>
    <t>7.98</t>
  </si>
  <si>
    <t>8.23</t>
  </si>
  <si>
    <t>8.48</t>
  </si>
  <si>
    <t>23.42</t>
  </si>
  <si>
    <t>23.67</t>
  </si>
  <si>
    <t>2.13</t>
  </si>
  <si>
    <t>Tab Width
(Reference Dimension)</t>
  </si>
  <si>
    <t>17.57</t>
  </si>
  <si>
    <t>18.07</t>
  </si>
  <si>
    <t>36.95</t>
  </si>
  <si>
    <t>37.10</t>
  </si>
  <si>
    <t>37.25</t>
  </si>
  <si>
    <t>31.93</t>
  </si>
  <si>
    <t>32.18</t>
  </si>
  <si>
    <t>32.43</t>
  </si>
  <si>
    <t>Die Strike Test at tab:  Is the die strike at the tab deep enough, but not too deep to cause the liner to split?</t>
  </si>
  <si>
    <t>3.98</t>
  </si>
  <si>
    <t>4.02</t>
  </si>
  <si>
    <t>Are the parts visually centered on the roll?</t>
  </si>
  <si>
    <t>Humidty reading taken AM and PM</t>
  </si>
  <si>
    <t>9.796</t>
  </si>
  <si>
    <t>9.802</t>
  </si>
  <si>
    <t>9.808</t>
  </si>
  <si>
    <t>2.550</t>
  </si>
  <si>
    <t>2.562</t>
  </si>
  <si>
    <t>3.44</t>
  </si>
  <si>
    <t>Width of 9795R center</t>
  </si>
  <si>
    <t>74.50</t>
  </si>
  <si>
    <t>75.00</t>
  </si>
  <si>
    <t>75.50</t>
  </si>
  <si>
    <t>Width of sheeted part</t>
  </si>
  <si>
    <t>94.50</t>
  </si>
  <si>
    <t>95.00</t>
  </si>
  <si>
    <t>95.50</t>
  </si>
  <si>
    <t>Length of sheeted part</t>
  </si>
  <si>
    <t>19.25</t>
  </si>
  <si>
    <t>19.75</t>
  </si>
  <si>
    <t>20.25</t>
  </si>
  <si>
    <t>Is the score deep enough to separate the 9795R, but not cut through the White PET Liner?</t>
  </si>
  <si>
    <t>Delta:  Measure 2 parts (1 Gear side / 1 Operator side) every 50,200 parts.
Fan Folder:  Record once per level of boxes on the pallet (2X per pallet).</t>
  </si>
  <si>
    <t>2.720</t>
  </si>
  <si>
    <t>2.780</t>
  </si>
  <si>
    <t>3.409</t>
  </si>
  <si>
    <t>3.440</t>
  </si>
  <si>
    <t>3.471</t>
  </si>
  <si>
    <t>Is the print clean and free of major print defects?</t>
  </si>
  <si>
    <t>0.253</t>
  </si>
  <si>
    <t>Width of gear side middle adhesive</t>
  </si>
  <si>
    <t>Width of operator side middle adhesive</t>
  </si>
  <si>
    <t>Verify print registration is within +/- 0.062" in both X-web and web directions.</t>
  </si>
  <si>
    <t>Distance from part to liner edge.</t>
  </si>
  <si>
    <t>.16</t>
  </si>
  <si>
    <t>.19</t>
  </si>
  <si>
    <t xml:space="preserve">36 rolls </t>
  </si>
  <si>
    <t>Does the roll unwind without tearing?</t>
  </si>
  <si>
    <t>Thickness of foam at core of finished roll</t>
  </si>
  <si>
    <t>Measure 1 part each set, alternating between gear/operator sides each time.</t>
  </si>
  <si>
    <t>4.031</t>
  </si>
  <si>
    <t>3.219</t>
  </si>
  <si>
    <t>3.281</t>
  </si>
  <si>
    <t>Width of gear side film strip</t>
  </si>
  <si>
    <t>0.391</t>
  </si>
  <si>
    <t>Width of gear side middle film strip</t>
  </si>
  <si>
    <t>Width of operator side middle film strip</t>
  </si>
  <si>
    <t>Width of operator side film strip</t>
  </si>
  <si>
    <t>Are the finished rolls in the correct unwind direction?  The "Bair" should be in the bottom left corner as the roll unwinds from left to right.</t>
  </si>
  <si>
    <t>Diameter of the hole</t>
  </si>
  <si>
    <t>2.220</t>
  </si>
  <si>
    <t>Remove part from carrier, Orient Notch Down on Keyence.</t>
  </si>
  <si>
    <t>slit width</t>
  </si>
  <si>
    <t>Width of first slit width - See work order</t>
  </si>
  <si>
    <t>Width of second slit width - See work order</t>
  </si>
  <si>
    <t>Is the roll free of telescoping and gapping?</t>
  </si>
  <si>
    <t>Width of Window</t>
  </si>
  <si>
    <t>9.352</t>
  </si>
  <si>
    <t>9.362</t>
  </si>
  <si>
    <t>9.372</t>
  </si>
  <si>
    <t>Length of Window</t>
  </si>
  <si>
    <t>2.106</t>
  </si>
  <si>
    <t>2.116</t>
  </si>
  <si>
    <t>2.126</t>
  </si>
  <si>
    <t>Width of 9828</t>
  </si>
  <si>
    <t>Is red pvc tape used to start and tab rolls?</t>
  </si>
  <si>
    <t>150 parts</t>
  </si>
  <si>
    <t>Is the VHB laminated t the release side of the liner?</t>
  </si>
  <si>
    <t>2.98</t>
  </si>
  <si>
    <t>Are the sheets free of debris and other cutting artifacts?</t>
  </si>
  <si>
    <t>0.465</t>
  </si>
  <si>
    <t>Is the part laminated free of all visible defects?</t>
  </si>
  <si>
    <t>Diameter of the holes</t>
  </si>
  <si>
    <t>0.324</t>
  </si>
  <si>
    <t>0.364</t>
  </si>
  <si>
    <t xml:space="preserve">Distance from center of hole to center of other hole. </t>
  </si>
  <si>
    <t>1.896</t>
  </si>
  <si>
    <t>1.916</t>
  </si>
  <si>
    <t>6.224</t>
  </si>
  <si>
    <t>6.234</t>
  </si>
  <si>
    <t>6.244</t>
  </si>
  <si>
    <t>8,000 parts</t>
  </si>
  <si>
    <t>11.13</t>
  </si>
  <si>
    <t>47.00</t>
  </si>
  <si>
    <t>48.00</t>
  </si>
  <si>
    <t>27.00</t>
  </si>
  <si>
    <t>28.00</t>
  </si>
  <si>
    <t>19.00</t>
  </si>
  <si>
    <t>Is the VHB laminated to the release side of the 78# liner?</t>
  </si>
  <si>
    <t>Width of roll (3 DECIMAL PLACE READING REQUIRED)</t>
  </si>
  <si>
    <t>Does the end of each roll have a 24" leader?</t>
  </si>
  <si>
    <t>141</t>
  </si>
  <si>
    <t>142</t>
  </si>
  <si>
    <t>Are parts and boxes clean and free of contaminants?</t>
  </si>
  <si>
    <t>Do the barcodes / QR code on the labels scan correctly?</t>
  </si>
  <si>
    <t>Is expiration date correct on labels? 3 years from production start date in format YYYY-MM-DD.</t>
  </si>
  <si>
    <t>2.10</t>
  </si>
  <si>
    <t>2.11</t>
  </si>
  <si>
    <t>0.210</t>
  </si>
  <si>
    <t>Is the center removed cleanly?</t>
  </si>
  <si>
    <t>5.8</t>
  </si>
  <si>
    <t>6.2</t>
  </si>
  <si>
    <t>Width of Rectangle of adhesive</t>
  </si>
  <si>
    <t>10.98</t>
  </si>
  <si>
    <t>Width of Angled part of adhesive measured at the widest part</t>
  </si>
  <si>
    <t>10.7</t>
  </si>
  <si>
    <t>Is the die strike of die 1 deep enough to remove the adhesive but not cut into the parent liner?</t>
  </si>
  <si>
    <t>Is the die strike of die 2 deep enough to remove the matrix but not cut into the liner?</t>
  </si>
  <si>
    <t>Distance between insides of black “eyemark” lines</t>
  </si>
  <si>
    <t>Is the score deep enough to remove the part, but not cut into the liner?</t>
  </si>
  <si>
    <t>357</t>
  </si>
  <si>
    <t>360</t>
  </si>
  <si>
    <t>363</t>
  </si>
  <si>
    <t>165</t>
  </si>
  <si>
    <t>168</t>
  </si>
  <si>
    <t>171</t>
  </si>
  <si>
    <t>Does the perf tear easily?</t>
  </si>
  <si>
    <t>Does the wind direction match the drawing?</t>
  </si>
  <si>
    <t>5.097</t>
  </si>
  <si>
    <t>5.103</t>
  </si>
  <si>
    <t>4.653</t>
  </si>
  <si>
    <t>4.663</t>
  </si>
  <si>
    <t>4.673</t>
  </si>
  <si>
    <t>Is lot number correct on labels? Month of production in format SYYYYMM-XX.  the S is fixed and the XX is number of run that month</t>
  </si>
  <si>
    <t>Is the UDI Correct on Box? Fixed DI number followed by expiration date and lot number.</t>
  </si>
  <si>
    <t>28.0</t>
  </si>
  <si>
    <t>28.5</t>
  </si>
  <si>
    <t>180.0</t>
  </si>
  <si>
    <t>180.5</t>
  </si>
  <si>
    <t>181.0</t>
  </si>
  <si>
    <t>24.5</t>
  </si>
  <si>
    <t>162.0</t>
  </si>
  <si>
    <t>162.5</t>
  </si>
  <si>
    <t>163.0</t>
  </si>
  <si>
    <t xml:space="preserve">Notch, cross web measurement to tab. </t>
  </si>
  <si>
    <t>75.25</t>
  </si>
  <si>
    <t>75.75</t>
  </si>
  <si>
    <t>Does the perf tear cleanly without tearing into the non-perf areas?</t>
  </si>
  <si>
    <t>Are the rolls and pallets free of any Corydon labeling?</t>
  </si>
  <si>
    <t>Adhesive Width OP Side</t>
  </si>
  <si>
    <t>4.54</t>
  </si>
  <si>
    <t>4.79</t>
  </si>
  <si>
    <t>5.04</t>
  </si>
  <si>
    <t>Adhesive Wide Gear Side
(Reference Dimension)</t>
  </si>
  <si>
    <t>4.55</t>
  </si>
  <si>
    <t>5.05</t>
  </si>
  <si>
    <t>3.13</t>
  </si>
  <si>
    <t>41.87</t>
  </si>
  <si>
    <t>42.13</t>
  </si>
  <si>
    <t>Distance from edge of tape to print</t>
  </si>
  <si>
    <t>5.5</t>
  </si>
  <si>
    <t>Height of print</t>
  </si>
  <si>
    <t>7mm</t>
  </si>
  <si>
    <t>8mm</t>
  </si>
  <si>
    <t>9mm</t>
  </si>
  <si>
    <t>Print repeat</t>
  </si>
  <si>
    <t>12.0</t>
  </si>
  <si>
    <t>Telescoping - Measured by how far the core protrudes from the end</t>
  </si>
  <si>
    <t>-0.375</t>
  </si>
  <si>
    <t>+0.375</t>
  </si>
  <si>
    <t>Is the print clean and legible?</t>
  </si>
  <si>
    <t>10.94</t>
  </si>
  <si>
    <t>11.00</t>
  </si>
  <si>
    <t>11.06</t>
  </si>
  <si>
    <t>Length of internal label</t>
  </si>
  <si>
    <t>Distance from leading edge of sheet to first label</t>
  </si>
  <si>
    <t>Width of internal label</t>
  </si>
  <si>
    <t>Distance from edge of sheet to label</t>
  </si>
  <si>
    <t>3,750 parts</t>
  </si>
  <si>
    <t>Outside diameter of part</t>
  </si>
  <si>
    <t>Inside diameter of part</t>
  </si>
  <si>
    <t>0.62</t>
  </si>
  <si>
    <t>0.65</t>
  </si>
  <si>
    <t>Does the part not separate at the score line when pulled?</t>
  </si>
  <si>
    <t>Is the score deep enough to allow for the liner to be removed in two pieces?</t>
  </si>
  <si>
    <t>Are all of the centers removed?</t>
  </si>
  <si>
    <t>Is stamped expiration date correct on pouch? 3 years from pouch date in format YYYY-MM-DD.</t>
  </si>
  <si>
    <t>Is stamped lot number correct on pouch? Month of packaging in format SYYYYMM-xx. The S is fixed and the xx is number of run that month.</t>
  </si>
  <si>
    <t>Is expiration date correct on carton? 3 years from pouch date in format YYYY-MM-DD.</t>
  </si>
  <si>
    <t>Is the UDI correct on carton label? Fixed DI number followed by expiration date and lot number.</t>
  </si>
  <si>
    <t>Do the barcodes / data matrix on the labels scan correctly?</t>
  </si>
  <si>
    <t>1000 parts</t>
  </si>
  <si>
    <t>Diameter of one of the holes</t>
  </si>
  <si>
    <t>Is the slit edge free of slitting debris and unwinds cleanly?</t>
  </si>
  <si>
    <t>FF05EA48-FA4E-114F-A66A-C7565053AA20</t>
  </si>
  <si>
    <t>0.055</t>
  </si>
  <si>
    <t>0.075</t>
  </si>
  <si>
    <t>3 sets</t>
  </si>
  <si>
    <t>18.87</t>
  </si>
  <si>
    <t>19.13</t>
  </si>
  <si>
    <t>NEED INK</t>
  </si>
  <si>
    <t>Is the butt cut deep enough to pull the parts off individually but not so deep as to fracture the liner?</t>
  </si>
  <si>
    <t>4.94</t>
  </si>
  <si>
    <t>5.06</t>
  </si>
  <si>
    <t>Is the roll wound loosely?</t>
  </si>
  <si>
    <t>Are parts double bagged (shrink wrapped and then bagged)?</t>
  </si>
  <si>
    <t>Is the inner bag (shrink wrap) labeled?</t>
  </si>
  <si>
    <t>5.883</t>
  </si>
  <si>
    <t>5.943</t>
  </si>
  <si>
    <t>6.003</t>
  </si>
  <si>
    <t>4.815</t>
  </si>
  <si>
    <t>4.935</t>
  </si>
  <si>
    <t>Are the holes cleanly cut?</t>
  </si>
  <si>
    <t>Inspection #15 - See sheet</t>
  </si>
  <si>
    <t>8.6198</t>
  </si>
  <si>
    <t>8.8698</t>
  </si>
  <si>
    <t>9.1198</t>
  </si>
  <si>
    <t>Inspection #16 - See sheet</t>
  </si>
  <si>
    <t>10.5516</t>
  </si>
  <si>
    <t>10.8016</t>
  </si>
  <si>
    <t>11.0516</t>
  </si>
  <si>
    <t>Inspection #17 - See sheet</t>
  </si>
  <si>
    <t>3.010</t>
  </si>
  <si>
    <t>3.1750</t>
  </si>
  <si>
    <t>3.3400</t>
  </si>
  <si>
    <t>Is the saw cut edge smooth and free of defects?</t>
  </si>
  <si>
    <t>Width of press slit rolls</t>
  </si>
  <si>
    <t>Are the splices good for next press run?</t>
  </si>
  <si>
    <t>Are the splices good for the next press run?</t>
  </si>
  <si>
    <t>Are the parts wound to rewind direction #7?</t>
  </si>
  <si>
    <t>Is there a 10" leader at the core?</t>
  </si>
  <si>
    <t>250</t>
  </si>
  <si>
    <t>6.70</t>
  </si>
  <si>
    <t>30,000 parts</t>
  </si>
  <si>
    <t>50 sheets</t>
  </si>
  <si>
    <t>0.115</t>
  </si>
  <si>
    <t>0.135</t>
  </si>
  <si>
    <t>Does the roll unwind without picking?</t>
  </si>
  <si>
    <t>1.41</t>
  </si>
  <si>
    <t>1.32</t>
  </si>
  <si>
    <t>Does the adhesive fall within the red lines on the enclosed template?</t>
  </si>
  <si>
    <t>Are the silicone tape tabs on the parts?</t>
  </si>
  <si>
    <t>3.68</t>
  </si>
  <si>
    <t>3.69</t>
  </si>
  <si>
    <t>588</t>
  </si>
  <si>
    <t>590</t>
  </si>
  <si>
    <t>592</t>
  </si>
  <si>
    <t>44</t>
  </si>
  <si>
    <t>339</t>
  </si>
  <si>
    <t>341</t>
  </si>
  <si>
    <t>343</t>
  </si>
  <si>
    <t>42</t>
  </si>
  <si>
    <t>43</t>
  </si>
  <si>
    <t>8,000 parts (once per box)</t>
  </si>
  <si>
    <t>11.44</t>
  </si>
  <si>
    <t>11.50</t>
  </si>
  <si>
    <t>11.56</t>
  </si>
  <si>
    <t>QC: 50 parts 
(Quality inspection)</t>
  </si>
  <si>
    <t>5 sheets</t>
  </si>
  <si>
    <t>15.875</t>
  </si>
  <si>
    <t>16.000</t>
  </si>
  <si>
    <t>16.125</t>
  </si>
  <si>
    <t>Is the adhesive visually centered on the tag stock?</t>
  </si>
  <si>
    <t>Length of finished sheet</t>
  </si>
  <si>
    <t>14.97</t>
  </si>
  <si>
    <t>15.03</t>
  </si>
  <si>
    <t>Width of finished sheet</t>
  </si>
  <si>
    <t>Distance from end to dashed lines</t>
  </si>
  <si>
    <t>Distance from end to top left corner of letters</t>
  </si>
  <si>
    <t>Distance from top edge to top left corner of letters</t>
  </si>
  <si>
    <t>Does the print match the drawing?</t>
  </si>
  <si>
    <t>Is the part clean and free of cutting debris?</t>
  </si>
  <si>
    <t xml:space="preserve">Are the rolls wound uniformly, flush on core, and with no lap to lap weave?   </t>
  </si>
  <si>
    <t>1.070</t>
  </si>
  <si>
    <t>1.080</t>
  </si>
  <si>
    <t>1.090</t>
  </si>
  <si>
    <t>0.240</t>
  </si>
  <si>
    <t>0.400</t>
  </si>
  <si>
    <t>0.410</t>
  </si>
  <si>
    <t>Are the stems intact and not crushed?</t>
  </si>
  <si>
    <t>Diameter of Lower Left Small Hole</t>
  </si>
  <si>
    <t>4.9</t>
  </si>
  <si>
    <t>5.1</t>
  </si>
  <si>
    <t>Diameter of Upper Left Small Hole</t>
  </si>
  <si>
    <t>Diameter of Upper Right Small Hole</t>
  </si>
  <si>
    <t>Diameter of Lower Right Small Hole</t>
  </si>
  <si>
    <t>Diameter of Lower Left Large Hole</t>
  </si>
  <si>
    <t>39.3</t>
  </si>
  <si>
    <t>Diameter of Upper Left Large Hole</t>
  </si>
  <si>
    <t>Diameter of Upper Right Large Hole</t>
  </si>
  <si>
    <t>Diameter of Lower Right Large Hole</t>
  </si>
  <si>
    <t>Horizontal Distance Between Upper Small Holes</t>
  </si>
  <si>
    <t>101.9</t>
  </si>
  <si>
    <t>102.0</t>
  </si>
  <si>
    <t>102.1</t>
  </si>
  <si>
    <t>Horizontal Distance Between Lower Small Holes</t>
  </si>
  <si>
    <t>Vertical Distance Between Left Small Holes</t>
  </si>
  <si>
    <t>Vertical Distance Between Right Small Holes</t>
  </si>
  <si>
    <t>Horizontal Distance Between Upper Large Holes</t>
  </si>
  <si>
    <t>50.7</t>
  </si>
  <si>
    <t>50.8</t>
  </si>
  <si>
    <t>50.9</t>
  </si>
  <si>
    <t>Horizontal Distance Between Lower Large Holes</t>
  </si>
  <si>
    <t>Vertical Distance Between Left Large Holes</t>
  </si>
  <si>
    <t>Vertical Distance Between Right Large Holes</t>
  </si>
  <si>
    <t>Are the parts cut cleanly around all edges?</t>
  </si>
  <si>
    <t>Are rolls wound onto plastic cores?</t>
  </si>
  <si>
    <t>Is wind length 180'</t>
  </si>
  <si>
    <t>Are parts free of blemishes, indentations, and other visual defects?  If not, SEE QA FOR INSPECTION ASSISTANCE BEFORE PROCEEDING!</t>
  </si>
  <si>
    <t>Are the parts packed one per bag?</t>
  </si>
  <si>
    <t>8.75</t>
  </si>
  <si>
    <t>9.00</t>
  </si>
  <si>
    <t>80</t>
  </si>
  <si>
    <t>82</t>
  </si>
  <si>
    <t>84</t>
  </si>
  <si>
    <t>41</t>
  </si>
  <si>
    <t>8</t>
  </si>
  <si>
    <t>Is the 9703 laminated to the release side of the liner?</t>
  </si>
  <si>
    <t>113</t>
  </si>
  <si>
    <t>114</t>
  </si>
  <si>
    <t>115</t>
  </si>
  <si>
    <t>104</t>
  </si>
  <si>
    <t>105</t>
  </si>
  <si>
    <t>106</t>
  </si>
  <si>
    <t>3.315</t>
  </si>
  <si>
    <t>3.375</t>
  </si>
  <si>
    <t>3.435</t>
  </si>
  <si>
    <t>Is the score deep enough to remove the adhesive from the tab area but not cut into the liner?</t>
  </si>
  <si>
    <t>Is the unwind direction #2?</t>
  </si>
  <si>
    <t>Is the print clear and legible?</t>
  </si>
  <si>
    <t>Is the width correct?</t>
  </si>
  <si>
    <t>Thickness of polyimide material?</t>
  </si>
  <si>
    <t>0.0018</t>
  </si>
  <si>
    <t>0.0020</t>
  </si>
  <si>
    <t>0.0022</t>
  </si>
  <si>
    <t>4.43</t>
  </si>
  <si>
    <t>Length of inner window</t>
  </si>
  <si>
    <t>3.71</t>
  </si>
  <si>
    <t>3.74</t>
  </si>
  <si>
    <t>3.77</t>
  </si>
  <si>
    <t>Distance from part edge to edge of window</t>
  </si>
  <si>
    <t>5.47</t>
  </si>
  <si>
    <t>5.53</t>
  </si>
  <si>
    <t>Width of inner window</t>
  </si>
  <si>
    <t>2.66</t>
  </si>
  <si>
    <t>Distance from part edge to top edge of window</t>
  </si>
  <si>
    <t>0.96</t>
  </si>
  <si>
    <t>Is the inner window removed?</t>
  </si>
  <si>
    <t>1.408</t>
  </si>
  <si>
    <t>1.438</t>
  </si>
  <si>
    <t>0.251</t>
  </si>
  <si>
    <t>0.311</t>
  </si>
  <si>
    <t>Are there 3 layers of 69 tape?</t>
  </si>
  <si>
    <t>1.158</t>
  </si>
  <si>
    <t>1.188</t>
  </si>
  <si>
    <t>1.218</t>
  </si>
  <si>
    <t>1.970</t>
  </si>
  <si>
    <t>2.030</t>
  </si>
  <si>
    <t>Distance between alignment holes - anchor side</t>
  </si>
  <si>
    <t>Distance between alignment holes - tab side</t>
  </si>
  <si>
    <t>3.49</t>
  </si>
  <si>
    <t>3.51</t>
  </si>
  <si>
    <t>Distance between alignment holes - head side</t>
  </si>
  <si>
    <t>4.05</t>
  </si>
  <si>
    <t>4.07</t>
  </si>
  <si>
    <t>Distance from edge of liner to rectangle</t>
  </si>
  <si>
    <t>4.48</t>
  </si>
  <si>
    <t>4.68</t>
  </si>
  <si>
    <t>4.88</t>
  </si>
  <si>
    <t>Full width of tape</t>
  </si>
  <si>
    <t>Length of Butt Cut</t>
  </si>
  <si>
    <t>Is butt cut deep enough to pull parts off individually, but not cut into the liner?</t>
  </si>
  <si>
    <t>Is liner width 4.25"?</t>
  </si>
  <si>
    <t>Are Parts wound IN?</t>
  </si>
  <si>
    <t>Width of tab material</t>
  </si>
  <si>
    <t>85.4</t>
  </si>
  <si>
    <t>85.9</t>
  </si>
  <si>
    <t>86.4</t>
  </si>
  <si>
    <t>24.7</t>
  </si>
  <si>
    <t>25.2</t>
  </si>
  <si>
    <t>25.7</t>
  </si>
  <si>
    <t>Are the parts free of fingerprints and any cutting debris?</t>
  </si>
  <si>
    <t>Does the design match the enclosed for reference only drawing?</t>
  </si>
  <si>
    <t>Was the part cut with the double layer of AS203 down?</t>
  </si>
  <si>
    <t>Is the roll centered on the core, with no overhang on either side?</t>
  </si>
  <si>
    <t>Are the rolls double bagged?</t>
  </si>
  <si>
    <t>Is the slit edge free of slivers and double cuts?  Check Visually and by unwinding wrap if necessary.</t>
  </si>
  <si>
    <t>Is the roll edge free of dust and other slitting debris?</t>
  </si>
  <si>
    <t>Is the PTFE laminated to the release side of the 4935 liner?</t>
  </si>
  <si>
    <t>40.5</t>
  </si>
  <si>
    <t>269</t>
  </si>
  <si>
    <t>271</t>
  </si>
  <si>
    <t>273</t>
  </si>
  <si>
    <t>Does the perf tear cleanly?</t>
  </si>
  <si>
    <t>2,910 parts</t>
  </si>
  <si>
    <t>Doe the part fit the approved template</t>
  </si>
  <si>
    <t>52.4</t>
  </si>
  <si>
    <t>53.4</t>
  </si>
  <si>
    <t>54.4</t>
  </si>
  <si>
    <t>Width of part (Including tab)</t>
  </si>
  <si>
    <t>103.1</t>
  </si>
  <si>
    <t>104.1</t>
  </si>
  <si>
    <t>105.1</t>
  </si>
  <si>
    <t>Is the tab material laminated adhesive to adhesive?</t>
  </si>
  <si>
    <t>Are parts and pouches clean and free of contaminants?</t>
  </si>
  <si>
    <t>Is lot number correct on pouch seal? Month of production in format SYYYYMM-XX.  the S is fixed and the XX is number of run that month</t>
  </si>
  <si>
    <t>Are the logs wound without gapping or telescoping?</t>
  </si>
  <si>
    <t>Record Tool number used for this order.  Do not run more than 5,031,000 parts (117 sets) on a tool before pulling for retool.</t>
  </si>
  <si>
    <t>Calipers / Ruler</t>
  </si>
  <si>
    <t>Is the foam visually centered on the liner?</t>
  </si>
  <si>
    <t>Is the release side wound in?</t>
  </si>
  <si>
    <t>Check a full repeat of parts to assure a clean uncompromised die cut.</t>
  </si>
  <si>
    <t>Is expiration date correct on label? 3 years from production start date in format YYYY-MM-DD.</t>
  </si>
  <si>
    <t>Is lot number correct on label? Month of production in format SYYYYMM-XX.  The S is fixed and the XX is number of run that month.</t>
  </si>
  <si>
    <t>Is the UDI Correct on label? Fixed DI number followed by expiration date and lot number</t>
  </si>
  <si>
    <t>The following must be inspected every time a format is loaded/opened and labels are printed on the Honeywell printer</t>
  </si>
  <si>
    <t>Is the UDI Correct on label? Fixed DI number followed by expiration date and lot number.</t>
  </si>
  <si>
    <t>0.160</t>
  </si>
  <si>
    <t>25 pieces</t>
  </si>
  <si>
    <t>6.700</t>
  </si>
  <si>
    <t>6.730</t>
  </si>
  <si>
    <t>6.760</t>
  </si>
  <si>
    <t>5.340</t>
  </si>
  <si>
    <t>5.370</t>
  </si>
  <si>
    <t>5.400</t>
  </si>
  <si>
    <t>Length of window</t>
  </si>
  <si>
    <t>6.280</t>
  </si>
  <si>
    <t>6.310</t>
  </si>
  <si>
    <t>Width of window - Measured at narrowest leg (See drawing for actual location to measure)</t>
  </si>
  <si>
    <t>5.136</t>
  </si>
  <si>
    <t>5.166</t>
  </si>
  <si>
    <t>Are the centers cleanly removed?</t>
  </si>
  <si>
    <t>26 rolls</t>
  </si>
  <si>
    <t>Is the roll wound without excessive gapping or telescoping? See example of acceptable gapping; in the JJ.</t>
  </si>
  <si>
    <t>12,000 sheets</t>
  </si>
  <si>
    <t>Does a part fit the approved part template?</t>
  </si>
  <si>
    <t>Does the liner fit the approved liner template?</t>
  </si>
  <si>
    <t>Is the sheet free of foreign debris?</t>
  </si>
  <si>
    <t>Is the adhesive side of the product laminated to the release side of the PET liner? (Can the product be removed from the liner?)</t>
  </si>
  <si>
    <t>Are all die cut edges free of tears, burrs and jagged edges?</t>
  </si>
  <si>
    <t>Is the die strike deep enough to remove the matrix but not cut into the PET liner?</t>
  </si>
  <si>
    <t>Is the adhesive side of the product laminated to the release side of the PET liner? (Can the product be removed from the liner?) </t>
  </si>
  <si>
    <t>Is the measurement from the edge of the part to the edge of the selvage less than .1447" (17.54% or less of the die cut area visible selvage)? (See pics in JJ for example of selvage.)</t>
  </si>
  <si>
    <t>Is the measurement from the edge of the part to the edge of the selvage less than .1737" (17.54% or less of the die cut area visible selvage)? (See pics in JJ for example of selvage.)</t>
  </si>
  <si>
    <t>Is the measurement from the edge of the part to the edge of the selvage less than .1535" (17.54% or less of the die cut area visible selvage)? (See pics in JJ for example of selvage.)</t>
  </si>
  <si>
    <t>Is the 931 laminated adhesive side to the adhesive side of the FV003602 to create a deadened area to form a tab?</t>
  </si>
  <si>
    <t>General Cleanliness - no visible foreign matter on film or carrier adhesive</t>
  </si>
  <si>
    <t>16.475</t>
  </si>
  <si>
    <t>16.600</t>
  </si>
  <si>
    <t>16.725</t>
  </si>
  <si>
    <t>Are the parts laying flat to within 1/2" off table?</t>
  </si>
  <si>
    <t>Distance from edge of roll to back score in liner?</t>
  </si>
  <si>
    <t>Is the score deep enough to split the liner but not cut into the facestock?</t>
  </si>
  <si>
    <t>Length of liner</t>
  </si>
  <si>
    <t>9.50</t>
  </si>
  <si>
    <t>9.53</t>
  </si>
  <si>
    <t>446 parts</t>
  </si>
  <si>
    <t>Are output rolls the correct length?</t>
  </si>
  <si>
    <t>980</t>
  </si>
  <si>
    <t>1080</t>
  </si>
  <si>
    <t>1180</t>
  </si>
  <si>
    <t>Does splice construction match the splice template provided in the JJ?</t>
  </si>
  <si>
    <t>Does the finished material pass the "splice test"? (Splice test defined in the production step notes.)</t>
  </si>
  <si>
    <t>Are non woven input rolls the correct length?</t>
  </si>
  <si>
    <t>350</t>
  </si>
  <si>
    <t>400</t>
  </si>
  <si>
    <t>Are adhesive input rolls the correct length?</t>
  </si>
  <si>
    <t>550</t>
  </si>
  <si>
    <t>Edge of polyester to edge of foam</t>
  </si>
  <si>
    <t>0.570</t>
  </si>
  <si>
    <t>17.97</t>
  </si>
  <si>
    <t>18.03</t>
  </si>
  <si>
    <t>329</t>
  </si>
  <si>
    <t>332</t>
  </si>
  <si>
    <t>335</t>
  </si>
  <si>
    <t>47</t>
  </si>
  <si>
    <t>49</t>
  </si>
  <si>
    <t>387</t>
  </si>
  <si>
    <t>390</t>
  </si>
  <si>
    <t>393</t>
  </si>
  <si>
    <t>41.86</t>
  </si>
  <si>
    <t>42.86</t>
  </si>
  <si>
    <t>43.86</t>
  </si>
  <si>
    <t>CAR see QA before run 06/18/19</t>
  </si>
  <si>
    <t>Width of part (not including tab)</t>
  </si>
  <si>
    <t>51.39</t>
  </si>
  <si>
    <t>52.39</t>
  </si>
  <si>
    <t>53.39</t>
  </si>
  <si>
    <t>Is the score deep enough to remove the material from the tab area but not cut into the liner?</t>
  </si>
  <si>
    <t>1000/5000 parts</t>
  </si>
  <si>
    <t>Does DI part of data matrix read 10816417020671 ?</t>
  </si>
  <si>
    <t>Is the UDI Correct on Box? DI number followed by exp date and lot number.  Confirm DI against front page of DWG packet and DWG# 205262 in packet</t>
  </si>
  <si>
    <t>Are the dry edges of the adhesive outside of the slitting/sheeting area?</t>
  </si>
  <si>
    <t>Distance from edge of VHB to center of Circle.</t>
  </si>
  <si>
    <t>0.090</t>
  </si>
  <si>
    <t>Is the seal in a position that allows it to be broken?  EG. Is perf of seal not on top of box?  Is perf parallel to box edge?</t>
  </si>
  <si>
    <t>Is seal applied smoothly and free of wrinkles?</t>
  </si>
  <si>
    <t>Does large part fit the Template?</t>
  </si>
  <si>
    <t>Does small part fit the template?</t>
  </si>
  <si>
    <t>Does the part fit in the template?</t>
  </si>
  <si>
    <t>Distance from top to red tape</t>
  </si>
  <si>
    <t>Distance from top to printed tape</t>
  </si>
  <si>
    <t>Is the adhesive cleanly removed from the  tab area?</t>
  </si>
  <si>
    <t>Does DI part of data matrix read 00816417021138 ?</t>
  </si>
  <si>
    <t>Does DI part of data matrix read 00816417021114 ?</t>
  </si>
  <si>
    <t>Does DI part of data matrix read 00816417021121 ?</t>
  </si>
  <si>
    <t>3,200 parts</t>
  </si>
  <si>
    <t>49.6</t>
  </si>
  <si>
    <t>50.6</t>
  </si>
  <si>
    <t>51.6</t>
  </si>
  <si>
    <t>2.5</t>
  </si>
  <si>
    <t>0.379</t>
  </si>
  <si>
    <t>0.384</t>
  </si>
  <si>
    <t>0.389</t>
  </si>
  <si>
    <t>Width of inside square</t>
  </si>
  <si>
    <t>6,750 parts</t>
  </si>
  <si>
    <t>Width of slit tape</t>
  </si>
  <si>
    <t>Yes(Pass)`</t>
  </si>
  <si>
    <t xml:space="preserve">Width of adhesive on tab from inside corner.
</t>
  </si>
  <si>
    <t>0.030</t>
  </si>
  <si>
    <t>0.060</t>
  </si>
  <si>
    <t>10.54</t>
  </si>
  <si>
    <t>11.30</t>
  </si>
  <si>
    <t>4.14</t>
  </si>
  <si>
    <t>4.90</t>
  </si>
  <si>
    <t>5.66</t>
  </si>
  <si>
    <t>Was part cut with adhesive down?</t>
  </si>
  <si>
    <t>5.64</t>
  </si>
  <si>
    <t>6.40</t>
  </si>
  <si>
    <t>7.16</t>
  </si>
  <si>
    <t>12.54</t>
  </si>
  <si>
    <t>13.30</t>
  </si>
  <si>
    <t>14.06</t>
  </si>
  <si>
    <t>7.66</t>
  </si>
  <si>
    <t>4.270</t>
  </si>
  <si>
    <t>4.300</t>
  </si>
  <si>
    <t>4.330</t>
  </si>
  <si>
    <t>Width of window</t>
  </si>
  <si>
    <t>3.270</t>
  </si>
  <si>
    <t>3.300</t>
  </si>
  <si>
    <t>3.330</t>
  </si>
  <si>
    <t>3.148</t>
  </si>
  <si>
    <t>3.178</t>
  </si>
  <si>
    <t>3.208</t>
  </si>
  <si>
    <t>No printing on pouch seal</t>
  </si>
  <si>
    <t>Check at Setup and
Check Every 4,000 parts</t>
  </si>
  <si>
    <t>Edge of part to edge of circle</t>
  </si>
  <si>
    <t>Does DI part of data matrix read 10816417020916 ?</t>
  </si>
  <si>
    <t>Check At Setup Only</t>
  </si>
  <si>
    <t>Does the print match the controlled drawing?</t>
  </si>
  <si>
    <t>Check at Setup and
Check Every 5,000 parts</t>
  </si>
  <si>
    <t>Does DI part of data matrix read 10816417020800 ?</t>
  </si>
  <si>
    <t xml:space="preserve">Check At Setup Only
</t>
  </si>
  <si>
    <t>Confirm parts fit within check gauge</t>
  </si>
  <si>
    <t>On Case Label Does DI part of data matrix read 10816417020152 ?</t>
  </si>
  <si>
    <t>Is expiration date correct on pouch seal? 3 years from production start date in format YYYY-MM-DD.</t>
  </si>
  <si>
    <t>Is the red within one shade of the PMS number?</t>
  </si>
  <si>
    <t>Is the perf visually centered between the parts?</t>
  </si>
  <si>
    <t>Is the material translucent/clear? (If yes, see QA)</t>
  </si>
  <si>
    <t>-0.8</t>
  </si>
  <si>
    <t>+0.8</t>
  </si>
  <si>
    <t>On Pouch Label Does DI part of data matrix read 00816417020155 ?</t>
  </si>
  <si>
    <t>Has the production start date been written on the Job Ticket?</t>
  </si>
  <si>
    <t>23.87</t>
  </si>
  <si>
    <t>24.13</t>
  </si>
  <si>
    <t>Are the slit edges clean and free of slivers and double cuts?</t>
  </si>
  <si>
    <t>17.94</t>
  </si>
  <si>
    <t>18.06</t>
  </si>
  <si>
    <t>Is the sheet clean and free of grease and other press debris?</t>
  </si>
  <si>
    <t>23.75</t>
  </si>
  <si>
    <t>Is the tape laminated to the medium release side of the liner?</t>
  </si>
  <si>
    <t>8 rolls (1 set)</t>
  </si>
  <si>
    <t>0.767</t>
  </si>
  <si>
    <t>0.787</t>
  </si>
  <si>
    <t>0.807</t>
  </si>
  <si>
    <t>3,000 sheets</t>
  </si>
  <si>
    <t>Are the internal die cuts visually centered on the sheet with no parts cut into?</t>
  </si>
  <si>
    <t>Is the die strike deep enough to remove the matrix without cutting in to the liner?</t>
  </si>
  <si>
    <t>Is the die strike deep enough to remove the matrix without cutting in to the liner? - CAR from previous run.</t>
  </si>
  <si>
    <t>6.60</t>
  </si>
  <si>
    <t>7.10</t>
  </si>
  <si>
    <t>12.10</t>
  </si>
  <si>
    <t>12.60</t>
  </si>
  <si>
    <t>13.10</t>
  </si>
  <si>
    <t>Is the score deep enough to remove the trim but not cut into the liner?</t>
  </si>
  <si>
    <t>7.60</t>
  </si>
  <si>
    <t>Each roll change: are both input rolls different materials; creating a mated pair?  ( SJ3751 &amp; SJ3781 )</t>
  </si>
  <si>
    <t>Are the adhesive strips oriented per the drawing? (dressing adhesive strips up, book adhesive strips against the carrier liner)</t>
  </si>
  <si>
    <t>Slit Width</t>
  </si>
  <si>
    <t>Is the slit edge free of slivers and double-cuts?</t>
  </si>
  <si>
    <t>3.185</t>
  </si>
  <si>
    <t>3.215</t>
  </si>
  <si>
    <t>2.205</t>
  </si>
  <si>
    <t>Web Direction Symmetry</t>
  </si>
  <si>
    <t>-0.020</t>
  </si>
  <si>
    <t>4.445</t>
  </si>
  <si>
    <t>4.475</t>
  </si>
  <si>
    <t>3.805</t>
  </si>
  <si>
    <t>3.820</t>
  </si>
  <si>
    <t>3.835</t>
  </si>
  <si>
    <t>Cross-Web Direction Symmetry</t>
  </si>
  <si>
    <t>15.75</t>
  </si>
  <si>
    <t>2.5025</t>
  </si>
  <si>
    <t xml:space="preserve">2.5625
</t>
  </si>
  <si>
    <t>2.6225</t>
  </si>
  <si>
    <t xml:space="preserve">Reinforcement Strip Width </t>
  </si>
  <si>
    <t>.105</t>
  </si>
  <si>
    <t>.145</t>
  </si>
  <si>
    <t>Initiation Cut</t>
  </si>
  <si>
    <t>.004</t>
  </si>
  <si>
    <t>.008</t>
  </si>
  <si>
    <t>.012</t>
  </si>
  <si>
    <t>Initiation Tie</t>
  </si>
  <si>
    <t>.054</t>
  </si>
  <si>
    <t>.059</t>
  </si>
  <si>
    <t>.064</t>
  </si>
  <si>
    <t>Tie Length</t>
  </si>
  <si>
    <t>.030</t>
  </si>
  <si>
    <t>.035</t>
  </si>
  <si>
    <t>.040</t>
  </si>
  <si>
    <t>Cut Length</t>
  </si>
  <si>
    <t>.006</t>
  </si>
  <si>
    <t>.010</t>
  </si>
  <si>
    <t>Slit to Perf</t>
  </si>
  <si>
    <t>.03</t>
  </si>
  <si>
    <t>.04</t>
  </si>
  <si>
    <t>.07</t>
  </si>
  <si>
    <t>Perf to Perf</t>
  </si>
  <si>
    <t>.185</t>
  </si>
  <si>
    <t>.205</t>
  </si>
  <si>
    <t>.225</t>
  </si>
  <si>
    <t>Internal Perf to part edge</t>
  </si>
  <si>
    <t>.390</t>
  </si>
  <si>
    <t>.410</t>
  </si>
  <si>
    <t>.430</t>
  </si>
  <si>
    <t>Set Hole to end of Anchor</t>
  </si>
  <si>
    <t>2.74</t>
  </si>
  <si>
    <t>2.76</t>
  </si>
  <si>
    <t>Set Hole to end of Tail</t>
  </si>
  <si>
    <t>Set Hole to top of Anchor</t>
  </si>
  <si>
    <t>2.79</t>
  </si>
  <si>
    <t>2.81</t>
  </si>
  <si>
    <t>CHECK AT SETUP and ANY CHANGES IN TOOLING</t>
  </si>
  <si>
    <t>CHECK AT SETUP and ANY CHANGES IN TOOLING and Every 500 Sets</t>
  </si>
  <si>
    <t>9 rolls</t>
  </si>
  <si>
    <t>2,500</t>
  </si>
  <si>
    <t>1,250 parts</t>
  </si>
  <si>
    <t>44.38</t>
  </si>
  <si>
    <t>44.88</t>
  </si>
  <si>
    <t>45.38</t>
  </si>
  <si>
    <t>40.38</t>
  </si>
  <si>
    <t>40.63</t>
  </si>
  <si>
    <t>71.00</t>
  </si>
  <si>
    <t>71.50</t>
  </si>
  <si>
    <t>72.00</t>
  </si>
  <si>
    <t>66.75</t>
  </si>
  <si>
    <t>67.00</t>
  </si>
  <si>
    <t>67.25</t>
  </si>
  <si>
    <t>4.30</t>
  </si>
  <si>
    <t>Length of part - record what you get for trial purposes and to determine tolerance for production runs</t>
  </si>
  <si>
    <t>Trial</t>
  </si>
  <si>
    <t>Width of part - record what you get for trial purposes and to determine tolerance for production runs</t>
  </si>
  <si>
    <t>Is the cut edge clean and free of cutting debris?</t>
  </si>
  <si>
    <t>25,600 parts (4 rolls) [read a part from every roll, but only capture once every 4 rolls]</t>
  </si>
  <si>
    <t>Do small holes have slits?</t>
  </si>
  <si>
    <t>Material Thickness</t>
  </si>
  <si>
    <t>0.0105</t>
  </si>
  <si>
    <t>0.0120</t>
  </si>
  <si>
    <t>0.0135</t>
  </si>
  <si>
    <t>Do ends of slits exhibit perpendicular stress marks? (see reference photo in job jacket)</t>
  </si>
  <si>
    <t>Yes(fail)</t>
  </si>
  <si>
    <t>Is the Print Full, Clear and Legible?</t>
  </si>
  <si>
    <t>18,400 parts (4 rolls) [read a part from every roll, but only capture once every 4 rolls]</t>
  </si>
  <si>
    <t>Diameter of large holes</t>
  </si>
  <si>
    <t>Diameter of small holes</t>
  </si>
  <si>
    <t>0.425</t>
  </si>
  <si>
    <t>Distance from right-side big hole to far edge.</t>
  </si>
  <si>
    <t>10.240</t>
  </si>
  <si>
    <t>10.250</t>
  </si>
  <si>
    <t>10.260</t>
  </si>
  <si>
    <t>10.730</t>
  </si>
  <si>
    <t>10.750</t>
  </si>
  <si>
    <t>10.770</t>
  </si>
  <si>
    <t>Distance from right-side big hole to 10th small hole.</t>
  </si>
  <si>
    <t>8.242</t>
  </si>
  <si>
    <t>8.247</t>
  </si>
  <si>
    <t>8.252</t>
  </si>
  <si>
    <t>Part Repeat length</t>
  </si>
  <si>
    <t>1.110</t>
  </si>
  <si>
    <t>1.130</t>
  </si>
  <si>
    <t>0.0085</t>
  </si>
  <si>
    <t>0.0100</t>
  </si>
  <si>
    <t>0.0115</t>
  </si>
  <si>
    <t>Width of 467MP.</t>
  </si>
  <si>
    <t>2.508</t>
  </si>
  <si>
    <t>2.538</t>
  </si>
  <si>
    <t>2.568</t>
  </si>
  <si>
    <t>Is the score deep enough to remove the tab area material but not cut into the red liner&gt;</t>
  </si>
  <si>
    <t>3000 parts</t>
  </si>
  <si>
    <t>Diameter of adhesive hole</t>
  </si>
  <si>
    <t>0.920</t>
  </si>
  <si>
    <t>0.950</t>
  </si>
  <si>
    <t>Diameter of foam</t>
  </si>
  <si>
    <t>Are the foam centers free of adhesive?</t>
  </si>
  <si>
    <t>Are the foam centers left in the part?</t>
  </si>
  <si>
    <t>Was Overvarnish used?</t>
  </si>
  <si>
    <t>Width of finished tape</t>
  </si>
  <si>
    <t>0.897</t>
  </si>
  <si>
    <t>Print repeat - Critical it is not long, short is fine</t>
  </si>
  <si>
    <t>1.73</t>
  </si>
  <si>
    <t>Length of part (Body)</t>
  </si>
  <si>
    <t>1.59</t>
  </si>
  <si>
    <t>Length of filter paper</t>
  </si>
  <si>
    <t>2.86</t>
  </si>
  <si>
    <t>Width of filter paper</t>
  </si>
  <si>
    <t>2.26</t>
  </si>
  <si>
    <t>Is the print visually centered in the web direction in the neck area?</t>
  </si>
  <si>
    <t>Is the die strike deep enough to strip the filter paper, but not cut through the 24pt board?</t>
  </si>
  <si>
    <t>1.99</t>
  </si>
  <si>
    <t>Distance from window to end of part with angle cut</t>
  </si>
  <si>
    <t>Distance from edge of window to edge of part (x2)</t>
  </si>
  <si>
    <t>0.05</t>
  </si>
  <si>
    <t>Record Tool number used for this order.  Do not run more than 25,000 feet (600,000 parts) on a tool before pulling for retool.</t>
  </si>
  <si>
    <t>Record Tool number used for this order.  Do not run more than 25,000 feet (300,000 parts) on a tool before pulling for retool.</t>
  </si>
  <si>
    <t>Record Tool number used for this order.  Do not run more than 25,000 feet (150,000 parts) on a tool before pulling for retool.</t>
  </si>
  <si>
    <t>Is the perforation centered between the parts and does it tear easily?</t>
  </si>
  <si>
    <t>Is the liner perfed cleanly between parts; every 3", and does it tear easily? (CHECK 8 PERFS AT EACH INSPECTION)</t>
  </si>
  <si>
    <t>11.47</t>
  </si>
  <si>
    <t>11.53</t>
  </si>
  <si>
    <t>Part repeat</t>
  </si>
  <si>
    <t>0.965</t>
  </si>
  <si>
    <t>Distance from edge of liner to edge of part</t>
  </si>
  <si>
    <t>0.110</t>
  </si>
  <si>
    <t xml:space="preserve">Has the die log been filled out? This is to keep record of die condition. </t>
  </si>
  <si>
    <t>Does the finished part match the drawing?</t>
  </si>
  <si>
    <t>3.41</t>
  </si>
  <si>
    <t>5.70</t>
  </si>
  <si>
    <t>5.73</t>
  </si>
  <si>
    <t>Are the holes cleanly removed from the part?</t>
  </si>
  <si>
    <t>Does the filter media completely cover the hole in the adhesive area?</t>
  </si>
  <si>
    <t>Cut a part in half in the web direction.  Is the PET RFID tag completely within the VHB?</t>
  </si>
  <si>
    <t>Cut a part in half in the cross web direction.  Is the PET RFID tag completely within the VHB?</t>
  </si>
  <si>
    <t>7,500 Parts</t>
  </si>
  <si>
    <t>Is the die strike deep enough to remove the matrix but not cut the liner?</t>
  </si>
  <si>
    <t>23</t>
  </si>
  <si>
    <t>20,000 parts [read a part from every roll, but only capture once every 4 sets]</t>
  </si>
  <si>
    <t>3.600</t>
  </si>
  <si>
    <t>3.650</t>
  </si>
  <si>
    <t>Are the slits cleanly cut?</t>
  </si>
  <si>
    <t>Is the center of the overlam cleanly removed and not leaving any centers on the HIPS material?</t>
  </si>
  <si>
    <t>10.15</t>
  </si>
  <si>
    <t>Length of lead leg</t>
  </si>
  <si>
    <t>Length of trailing leg</t>
  </si>
  <si>
    <t>27.45</t>
  </si>
  <si>
    <t>27.60</t>
  </si>
  <si>
    <t>27.75</t>
  </si>
  <si>
    <t>Width of tab side leg</t>
  </si>
  <si>
    <t>1.80</t>
  </si>
  <si>
    <t>Width of non-tab side leg</t>
  </si>
  <si>
    <t xml:space="preserve">Width of adhesive </t>
  </si>
  <si>
    <t>Width of extended liner on operator side</t>
  </si>
  <si>
    <t>Width of extended liner on gear side</t>
  </si>
  <si>
    <t>Distance from edge of PET to edge of adhesive</t>
  </si>
  <si>
    <t xml:space="preserve">Is the lamination free of gross defects and </t>
  </si>
  <si>
    <t>Distance from flat edge to center of small radius - See drawing.</t>
  </si>
  <si>
    <t>Distance from flat edge to center of large radius - See drawing.</t>
  </si>
  <si>
    <t>0.67</t>
  </si>
  <si>
    <t>Distance from bottom edge to center of small radius - See drawing.</t>
  </si>
  <si>
    <t>Distance from bottom edge to center of large radius - See drawing.</t>
  </si>
  <si>
    <t>Radius of small notch</t>
  </si>
  <si>
    <t>Radius of large notch</t>
  </si>
  <si>
    <t>Is the cut edge free of cutting debris and defects?</t>
  </si>
  <si>
    <t>2.470</t>
  </si>
  <si>
    <t>2.530</t>
  </si>
  <si>
    <t>Does the crushed area act as a tab to ease removal of the part from the fabric?  Check Operator, Middle, and Gear lanes.</t>
  </si>
  <si>
    <t>Is the butt cut deep enough to remove the parts, but not cut into the liner?  Check 11 repeats by pulling off every other part.  Alternate lanes.  Perform checks only on parts that were cut at process speed, not jog.  Save strip in retain envelope.</t>
  </si>
  <si>
    <t>Overlaminate ID</t>
  </si>
  <si>
    <t>2.695</t>
  </si>
  <si>
    <t>2.745</t>
  </si>
  <si>
    <t>Overlaminate ID Concentricity</t>
  </si>
  <si>
    <t>Distance from big hole to big hole.</t>
  </si>
  <si>
    <t>9.74</t>
  </si>
  <si>
    <t>9.76</t>
  </si>
  <si>
    <t>Distance from right-side big hole to 9th small hole.</t>
  </si>
  <si>
    <t>7.492</t>
  </si>
  <si>
    <t>7.497</t>
  </si>
  <si>
    <t>7.502</t>
  </si>
  <si>
    <t>Distance from right-side big hole to 8th small hole.</t>
  </si>
  <si>
    <t>6.742</t>
  </si>
  <si>
    <t>6.747</t>
  </si>
  <si>
    <t>6.752</t>
  </si>
  <si>
    <t>Distance from right-side big hole to 7th small hole.</t>
  </si>
  <si>
    <t>5.992</t>
  </si>
  <si>
    <t>5.997</t>
  </si>
  <si>
    <t>6.002</t>
  </si>
  <si>
    <t>Distance from right-side big hole to 6th small hole.</t>
  </si>
  <si>
    <t>5.242</t>
  </si>
  <si>
    <t>5.247</t>
  </si>
  <si>
    <t>5.252</t>
  </si>
  <si>
    <t>Distance from right-side big hole to 5th small hole.</t>
  </si>
  <si>
    <t>4.497</t>
  </si>
  <si>
    <t>Distance from right-side big hole to 4th small hole.</t>
  </si>
  <si>
    <t>3.742</t>
  </si>
  <si>
    <t>3.747</t>
  </si>
  <si>
    <t>3.752</t>
  </si>
  <si>
    <t>Distance from right-side big hole to 3rd small hole.</t>
  </si>
  <si>
    <t>2.992</t>
  </si>
  <si>
    <t>2.997</t>
  </si>
  <si>
    <t>3.002</t>
  </si>
  <si>
    <t>Distance from right-side big hole to 2nd small hole.</t>
  </si>
  <si>
    <t>2.242</t>
  </si>
  <si>
    <t>2.247</t>
  </si>
  <si>
    <t>2.252</t>
  </si>
  <si>
    <t>Distance from right-side big hole to 1st small hole.</t>
  </si>
  <si>
    <t>1.497</t>
  </si>
  <si>
    <t>1.502</t>
  </si>
  <si>
    <t>Distance from center of big hole to part edge (web-direction).</t>
  </si>
  <si>
    <t>0.535</t>
  </si>
  <si>
    <t>0.555</t>
  </si>
  <si>
    <t>0.575</t>
  </si>
  <si>
    <t>Long distance from center of small hole to part edge (web-direction).</t>
  </si>
  <si>
    <t>0.785</t>
  </si>
  <si>
    <t>Width of carrier film</t>
  </si>
  <si>
    <t>10.980</t>
  </si>
  <si>
    <t>11.020</t>
  </si>
  <si>
    <t>Diameter of large holes
(Do all large holes read in spec, per the Keyence program?)</t>
  </si>
  <si>
    <t>Diameter of small holes
(Do all small holes read in spec, per the Keyence program?)</t>
  </si>
  <si>
    <t>6.980</t>
  </si>
  <si>
    <t>7.020</t>
  </si>
  <si>
    <t>Distance from big hole to big hole</t>
  </si>
  <si>
    <t>4.495</t>
  </si>
  <si>
    <t>4.505</t>
  </si>
  <si>
    <t>3.745</t>
  </si>
  <si>
    <t>3.755</t>
  </si>
  <si>
    <t>2.995</t>
  </si>
  <si>
    <t>3.005</t>
  </si>
  <si>
    <t>2.245</t>
  </si>
  <si>
    <t>2.255</t>
  </si>
  <si>
    <t>1.495</t>
  </si>
  <si>
    <t>1.505</t>
  </si>
  <si>
    <t>Distance from center of right big hole to part edge (web direction).</t>
  </si>
  <si>
    <t>0.580</t>
  </si>
  <si>
    <t>0.620</t>
  </si>
  <si>
    <t>Long distance front center of small hole to part edge (web direction).</t>
  </si>
  <si>
    <t>7.230</t>
  </si>
  <si>
    <t>7.250</t>
  </si>
  <si>
    <t>7.270</t>
  </si>
  <si>
    <t>Length of long leg of slit</t>
  </si>
  <si>
    <t>0.385</t>
  </si>
  <si>
    <t>Length of short leg of slit</t>
  </si>
  <si>
    <t>0.085</t>
  </si>
  <si>
    <t>0.100</t>
  </si>
  <si>
    <t>360 parts</t>
  </si>
  <si>
    <t>Is the print clean and free of defects?</t>
  </si>
  <si>
    <t>21.1</t>
  </si>
  <si>
    <t>22.1</t>
  </si>
  <si>
    <t>23.1</t>
  </si>
  <si>
    <t>12</t>
  </si>
  <si>
    <t>Width of adhesive - Measured to flat area opposite tab</t>
  </si>
  <si>
    <t>7.8</t>
  </si>
  <si>
    <t>8.8</t>
  </si>
  <si>
    <t>9.8</t>
  </si>
  <si>
    <t>Distance from tab side adhesive to center of hole</t>
  </si>
  <si>
    <t>3.6</t>
  </si>
  <si>
    <t>4.6</t>
  </si>
  <si>
    <t>5.6</t>
  </si>
  <si>
    <t>3..45</t>
  </si>
  <si>
    <t>3.95</t>
  </si>
  <si>
    <t>Are the holes cleanly ejected?</t>
  </si>
  <si>
    <t>9,000 sheets</t>
  </si>
  <si>
    <t>Are the slits cut clean?</t>
  </si>
  <si>
    <t>Width of copper</t>
  </si>
  <si>
    <t>Width of KPT-2</t>
  </si>
  <si>
    <t>Distance from edge of copper to edge of KPT-2</t>
  </si>
  <si>
    <t>0.605</t>
  </si>
  <si>
    <t>0.645</t>
  </si>
  <si>
    <t>Is the adhesive/nomex lamination inset from each edge of the copper?</t>
  </si>
  <si>
    <t>Is the KPT-2 slit edge free of slivers and double cuts?</t>
  </si>
  <si>
    <t>Does the KPT-2 unwind without tearing?</t>
  </si>
  <si>
    <t>2.91</t>
  </si>
  <si>
    <t>Is the 5925 laminated to the treated side of the UHMW?</t>
  </si>
  <si>
    <t>Peel force of top layer from tape (test 1" strip or divide 2" result by 2)</t>
  </si>
  <si>
    <t>15.00 oz/in</t>
  </si>
  <si>
    <t>Is the graphic clean and free of gross print defects?</t>
  </si>
  <si>
    <t>Is the print on the liner?</t>
  </si>
  <si>
    <t>Is the release side of the part liner against the adhesive / is the printed side the non release side?  Use tape test to confirm.</t>
  </si>
  <si>
    <t>22.00</t>
  </si>
  <si>
    <t>23.00</t>
  </si>
  <si>
    <t>5,000 sheets</t>
  </si>
  <si>
    <t>Are the two strips visually centered on the sheet?</t>
  </si>
  <si>
    <t>1,600 parts</t>
  </si>
  <si>
    <t>16.94</t>
  </si>
  <si>
    <t>17.06</t>
  </si>
  <si>
    <t>13.94</t>
  </si>
  <si>
    <t>Is the die strike deep enough to remove the part but not cut into the liner?</t>
  </si>
  <si>
    <t>5.91</t>
  </si>
  <si>
    <t>4.13</t>
  </si>
  <si>
    <t>4.16</t>
  </si>
  <si>
    <t>Is the cut edge free of any cutting debris?</t>
  </si>
  <si>
    <t>125 parts</t>
  </si>
  <si>
    <t>Is the 1509 visually centered on the Q200 liner?</t>
  </si>
  <si>
    <t>Is the 1509 laminated to the release side of the Q200?</t>
  </si>
  <si>
    <t>Datum C to upper edge of gasket internal shape cut</t>
  </si>
  <si>
    <t>1.7</t>
  </si>
  <si>
    <t>2.3</t>
  </si>
  <si>
    <t>Does the lamination lay flat?</t>
  </si>
  <si>
    <t>Is the adhesive visually centered on the PET?</t>
  </si>
  <si>
    <t xml:space="preserve">Datum C to closest edge of FSA internal shape cut
</t>
  </si>
  <si>
    <t>2.7</t>
  </si>
  <si>
    <t>Part Spacing</t>
  </si>
  <si>
    <t>2.1</t>
  </si>
  <si>
    <t>2.6</t>
  </si>
  <si>
    <t>3.1</t>
  </si>
  <si>
    <t>Datum C to furthest edge of FSA internal shape cut</t>
  </si>
  <si>
    <t>17.3</t>
  </si>
  <si>
    <t>17.5</t>
  </si>
  <si>
    <t>17.7</t>
  </si>
  <si>
    <t>Datum C to furthest edge of gasket internal shape cut</t>
  </si>
  <si>
    <t>18.7</t>
  </si>
  <si>
    <t>19.3</t>
  </si>
  <si>
    <t>Part length - CRITICAL DIMENSION</t>
  </si>
  <si>
    <t>35.10</t>
  </si>
  <si>
    <t>35.50</t>
  </si>
  <si>
    <t>35.90</t>
  </si>
  <si>
    <t>Datum B to closest edge of gasket internal shape cut</t>
  </si>
  <si>
    <t>1.8</t>
  </si>
  <si>
    <t xml:space="preserve">Datum B to closest edge of FSA internal shape cut
</t>
  </si>
  <si>
    <t>2.4</t>
  </si>
  <si>
    <t>2.8</t>
  </si>
  <si>
    <t>Datum B to furthest edge of FSA internal shape cut</t>
  </si>
  <si>
    <t>18.4</t>
  </si>
  <si>
    <t>Datum B to furthest edge of gasket internal shape cut</t>
  </si>
  <si>
    <t>19.7</t>
  </si>
  <si>
    <t>20.3</t>
  </si>
  <si>
    <t>Part Width - CRITICAL DIMENSION</t>
  </si>
  <si>
    <t>21.60</t>
  </si>
  <si>
    <t>22.40</t>
  </si>
  <si>
    <t>Edge of tab to edge of liner</t>
  </si>
  <si>
    <t>Liner width</t>
  </si>
  <si>
    <t>37.6</t>
  </si>
  <si>
    <t>38.1</t>
  </si>
  <si>
    <t>38.6</t>
  </si>
  <si>
    <t>Does the part pass the Muth Mirror flatness test?</t>
  </si>
  <si>
    <t>1.01</t>
  </si>
  <si>
    <t>3.12</t>
  </si>
  <si>
    <t>3.15</t>
  </si>
  <si>
    <t>3.18</t>
  </si>
  <si>
    <t>Is the butt cut deep enough to remove the parts but not cut into the liner?  check full repeat of die (14 consecutive cuts)</t>
  </si>
  <si>
    <t>6.125</t>
  </si>
  <si>
    <t>6.500</t>
  </si>
  <si>
    <t>8.000</t>
  </si>
  <si>
    <t>Is the adhesive laminated to the film side of the non-woven?</t>
  </si>
  <si>
    <t>75,000 parts</t>
  </si>
  <si>
    <t>23.15</t>
  </si>
  <si>
    <t>23.45</t>
  </si>
  <si>
    <t>18.35</t>
  </si>
  <si>
    <t>18.85</t>
  </si>
  <si>
    <t>14.85</t>
  </si>
  <si>
    <t>15.15</t>
  </si>
  <si>
    <t>19.10</t>
  </si>
  <si>
    <t>Overall Thickness</t>
  </si>
  <si>
    <t>1.17</t>
  </si>
  <si>
    <t>0.679</t>
  </si>
  <si>
    <t>0.709</t>
  </si>
  <si>
    <t>0.739</t>
  </si>
  <si>
    <t>Is the corona treated side as marked on input rolls; wound out?</t>
  </si>
  <si>
    <t>Distance from edge of hole to near edge of part</t>
  </si>
  <si>
    <t>Width of 13220L</t>
  </si>
  <si>
    <t>Is the 13220L laminated to the marked side of the PTFE?</t>
  </si>
  <si>
    <t>Is the 13220L visually centered on the CSM?</t>
  </si>
  <si>
    <t>Is the 13220L laminated without wrinkles or other lamination defects?</t>
  </si>
  <si>
    <t>Distance from score to edge.</t>
  </si>
  <si>
    <t>1.19</t>
  </si>
  <si>
    <t>Is the score deep enough to remove the liners without tearing?</t>
  </si>
  <si>
    <t>65.28</t>
  </si>
  <si>
    <t>66.06</t>
  </si>
  <si>
    <t>66.86</t>
  </si>
  <si>
    <t>29.05</t>
  </si>
  <si>
    <t>29.85</t>
  </si>
  <si>
    <t>30.65</t>
  </si>
  <si>
    <t>Is the print visually centered?</t>
  </si>
  <si>
    <t>Is the print legible and free of gross defects?</t>
  </si>
  <si>
    <t>Is the rough side of the film against the 9495B?</t>
  </si>
  <si>
    <t>Are rolls wound tightly?</t>
  </si>
  <si>
    <t>Are the edges clean cut and free of debris?</t>
  </si>
  <si>
    <t>- 1</t>
  </si>
  <si>
    <t>+ 1</t>
  </si>
  <si>
    <t>1,200 parts</t>
  </si>
  <si>
    <t>Is the print visually centered on the part?</t>
  </si>
  <si>
    <t>3.025</t>
  </si>
  <si>
    <t>3.040</t>
  </si>
  <si>
    <t>2.870</t>
  </si>
  <si>
    <t>2.885</t>
  </si>
  <si>
    <t>2.900</t>
  </si>
  <si>
    <t>Width of adhesive part</t>
  </si>
  <si>
    <t>2.435</t>
  </si>
  <si>
    <t>2.450</t>
  </si>
  <si>
    <t>2.465</t>
  </si>
  <si>
    <t>Width of adhesive window</t>
  </si>
  <si>
    <t>2.215</t>
  </si>
  <si>
    <t>Is the adhesive removed from the tab area and the centers?</t>
  </si>
  <si>
    <t>4,500 parts</t>
  </si>
  <si>
    <t>3.942</t>
  </si>
  <si>
    <t>3.967</t>
  </si>
  <si>
    <t>3.992</t>
  </si>
  <si>
    <t>Trial - See Engineering before run</t>
  </si>
  <si>
    <t>1.11</t>
  </si>
  <si>
    <t>Is the part free of cutting debris and other dirt?</t>
  </si>
  <si>
    <t>Width of foil/adhesive lamination</t>
  </si>
  <si>
    <t>0.260</t>
  </si>
  <si>
    <t>Width of PET</t>
  </si>
  <si>
    <t>Distance from edge of PET to edge of print</t>
  </si>
  <si>
    <t>Distance between print areas</t>
  </si>
  <si>
    <t>Is the print dry and not transferring to the back when wound up?</t>
  </si>
  <si>
    <t>Distance from edge of PET to foil lamination</t>
  </si>
  <si>
    <t>Distance between foil laminations</t>
  </si>
  <si>
    <t>2.59</t>
  </si>
  <si>
    <t>Is the foil laminated to the print side and partially covering the ink?</t>
  </si>
  <si>
    <t>4.76</t>
  </si>
  <si>
    <t>4.82</t>
  </si>
  <si>
    <t>1.76</t>
  </si>
  <si>
    <t>18.3</t>
  </si>
  <si>
    <t>1.6</t>
  </si>
  <si>
    <t>47.87</t>
  </si>
  <si>
    <t>48.13</t>
  </si>
  <si>
    <t>Are the internal cuts cleanly removed without tearing the liner?</t>
  </si>
  <si>
    <t>Keyence Routine "8848 - Micro Matic"</t>
  </si>
  <si>
    <t>60,000 parts</t>
  </si>
  <si>
    <t>0.195</t>
  </si>
  <si>
    <t>Is the print legible and free of print defects?</t>
  </si>
  <si>
    <t>Are the centers cleanly ejected?</t>
  </si>
  <si>
    <t>85 sheets</t>
  </si>
  <si>
    <t>Is the part clean of cutting debris?</t>
  </si>
  <si>
    <t>0.293</t>
  </si>
  <si>
    <t>0.313</t>
  </si>
  <si>
    <t>0.333</t>
  </si>
  <si>
    <t>Diameter of circle - Cross web off liner</t>
  </si>
  <si>
    <t>Diameter of circle - Web direction on liner</t>
  </si>
  <si>
    <t>Diameter of circle - Web direction off liner</t>
  </si>
  <si>
    <t>Width of slit rolls</t>
  </si>
  <si>
    <t>50,000</t>
  </si>
  <si>
    <t>15.67</t>
  </si>
  <si>
    <t>15.82</t>
  </si>
  <si>
    <t>15.97</t>
  </si>
  <si>
    <t>9.57</t>
  </si>
  <si>
    <t>9.82</t>
  </si>
  <si>
    <t>10.07</t>
  </si>
  <si>
    <t>8.65</t>
  </si>
  <si>
    <t>8.95</t>
  </si>
  <si>
    <t>12.55</t>
  </si>
  <si>
    <t>12.80</t>
  </si>
  <si>
    <t>13.05</t>
  </si>
  <si>
    <t>Edge of liner to Edge of part - Tab side
Note- part is not centered on liner</t>
  </si>
  <si>
    <t>10.84</t>
  </si>
  <si>
    <t>11.34</t>
  </si>
  <si>
    <t>Die Strike Check. Does liner slit when bent back Away from silicone at die strike?</t>
  </si>
  <si>
    <t>Are there scratches or defects present on Delivery liner when put on press.</t>
  </si>
  <si>
    <t>12.40</t>
  </si>
  <si>
    <t>Distance to near edge of notch</t>
  </si>
  <si>
    <t>Distance to far edge of notch</t>
  </si>
  <si>
    <t>9.15</t>
  </si>
  <si>
    <t>9.40</t>
  </si>
  <si>
    <t>9.65</t>
  </si>
  <si>
    <t xml:space="preserve">Total adhesive Width </t>
  </si>
  <si>
    <t>5.80</t>
  </si>
  <si>
    <t>6.05</t>
  </si>
  <si>
    <t>6.30</t>
  </si>
  <si>
    <t xml:space="preserve">Liner Width on NON-TAB side </t>
  </si>
  <si>
    <t>6.15</t>
  </si>
  <si>
    <t>25.20</t>
  </si>
  <si>
    <t>25.35</t>
  </si>
  <si>
    <t>25.50</t>
  </si>
  <si>
    <t xml:space="preserve">Total Repeat </t>
  </si>
  <si>
    <t>16.85</t>
  </si>
  <si>
    <t>17.10</t>
  </si>
  <si>
    <t>17.35</t>
  </si>
  <si>
    <t>Die Strike Test at tab: Is the die strike at the tab deep enough but not to deep to cause the liner to split.</t>
  </si>
  <si>
    <t>1,670 parts</t>
  </si>
  <si>
    <t>4.355</t>
  </si>
  <si>
    <t>4.395</t>
  </si>
  <si>
    <t>1.425</t>
  </si>
  <si>
    <t>1.445</t>
  </si>
  <si>
    <t>1.465</t>
  </si>
  <si>
    <t>1.950</t>
  </si>
  <si>
    <t>1.980</t>
  </si>
  <si>
    <t>Width of part not including tab</t>
  </si>
  <si>
    <t>775 parts</t>
  </si>
  <si>
    <t>Width of foam if slit in house</t>
  </si>
  <si>
    <t>Length of foam</t>
  </si>
  <si>
    <t>Is the butt cut deep enough to remove parts but not cut into the liner?</t>
  </si>
  <si>
    <t>Distance from edge of part to red stripe</t>
  </si>
  <si>
    <t>11.3</t>
  </si>
  <si>
    <t>12.3</t>
  </si>
  <si>
    <t>Width of Red tape</t>
  </si>
  <si>
    <t>Confirm that the construction is correct and all 3 materials are present in the correct order.</t>
  </si>
  <si>
    <t>Confirm release of the 4 blue backed adhesive liners.</t>
  </si>
  <si>
    <t>Is the slit edge clean and free of slivers and double cuts?</t>
  </si>
  <si>
    <t>Is the die strike deep enough to remove the parts but not cut into the liner?</t>
  </si>
  <si>
    <t>Is adhesive laminated to release side of film liner?</t>
  </si>
  <si>
    <t>16.50</t>
  </si>
  <si>
    <t>16.75</t>
  </si>
  <si>
    <t>Are the holes cleanly cut and chads ejected?</t>
  </si>
  <si>
    <t>Does the hole pattern match and fit the template?</t>
  </si>
  <si>
    <t>Is rewind direction #2 as shown on drawing?</t>
  </si>
  <si>
    <t>Is the print legible and free of major print defects?</t>
  </si>
  <si>
    <t>Is the print centered on the NON-release sideof the liner?</t>
  </si>
  <si>
    <t>Is the finished roll a #1 rewind direction?</t>
  </si>
  <si>
    <t>Distance from point of liner to point of part</t>
  </si>
  <si>
    <t>0.12</t>
  </si>
  <si>
    <t>Are the three die cut parts visually centered on the sheet?</t>
  </si>
  <si>
    <t>Is the score deep enough to remove the liner but not cut through the adhesive?</t>
  </si>
  <si>
    <t>Can all three parts be removed cleanly without hanging up on another part?</t>
  </si>
  <si>
    <t>When holding the part with the "point" up is the print right side up?</t>
  </si>
  <si>
    <t>Distance from center of gold thread to edges of part</t>
  </si>
  <si>
    <t>0.490</t>
  </si>
  <si>
    <t>Width of 1510</t>
  </si>
  <si>
    <t>Width of 8047</t>
  </si>
  <si>
    <t>Are the rolls wound without telescoping?</t>
  </si>
  <si>
    <t>Length of small part</t>
  </si>
  <si>
    <t>Width of small adhesive</t>
  </si>
  <si>
    <t>Does the perf tear cleanly without ripping into the non-perf area?</t>
  </si>
  <si>
    <t>Length of large part</t>
  </si>
  <si>
    <t>Width of large adhesive</t>
  </si>
  <si>
    <t>1.51</t>
  </si>
  <si>
    <t>28.1</t>
  </si>
  <si>
    <t>28.6</t>
  </si>
  <si>
    <t>29.1</t>
  </si>
  <si>
    <t>9.9</t>
  </si>
  <si>
    <t>10.1</t>
  </si>
  <si>
    <t>11.6</t>
  </si>
  <si>
    <t>11.9</t>
  </si>
  <si>
    <t>23.10</t>
  </si>
  <si>
    <t>23.50</t>
  </si>
  <si>
    <t>23.90</t>
  </si>
  <si>
    <t>19.2</t>
  </si>
  <si>
    <t>20.8</t>
  </si>
  <si>
    <t>22.10</t>
  </si>
  <si>
    <t>22.90</t>
  </si>
  <si>
    <t>4.8</t>
  </si>
  <si>
    <t>5.3</t>
  </si>
  <si>
    <t xml:space="preserve">Is the die strike deep enough to remove the matrix but not cut into the liner? </t>
  </si>
  <si>
    <t xml:space="preserve">Is the rough side of the film against the 9495B?  </t>
  </si>
  <si>
    <t>Torque setting for tool recorded above.
Truck assembly must be used with fine thread bolts.  Starting setting should be 75 in/lbs</t>
  </si>
  <si>
    <t>Torque setting for tool recorded above.
Truck assembly must be used.  Starting setting should be 75 in/lbs</t>
  </si>
  <si>
    <t>See Engineering before Run - Use gloves when handling material</t>
  </si>
  <si>
    <t>Are slit rolls labeled per the labeling protocol?</t>
  </si>
  <si>
    <t>0.659</t>
  </si>
  <si>
    <t>0.669</t>
  </si>
  <si>
    <t>Is the slit roll wound without gapping or telescoping?</t>
  </si>
  <si>
    <t>Is the slit roll labeled per the labeling protocol?</t>
  </si>
  <si>
    <t>Is the roll wound with the gold out?</t>
  </si>
  <si>
    <t>Outside diameter measured on the flat side</t>
  </si>
  <si>
    <t>13.550</t>
  </si>
  <si>
    <t>13.600</t>
  </si>
  <si>
    <t>13.630</t>
  </si>
  <si>
    <t>Width of wound roll - include any layer to layer weave</t>
  </si>
  <si>
    <t>0.660</t>
  </si>
  <si>
    <t>0.670</t>
  </si>
  <si>
    <t>75 parts</t>
  </si>
  <si>
    <t>Distance from notch edge to center of middle hole</t>
  </si>
  <si>
    <t>Distance from middle of center hole to middle of notch side hole</t>
  </si>
  <si>
    <t>Distance from middle of center hole to middle of straight side hole</t>
  </si>
  <si>
    <t>Distance from side to center of holes (3 in a row)</t>
  </si>
  <si>
    <t>Distance from side to center of holes (2 in a row)</t>
  </si>
  <si>
    <t>Is rewind direction #4 as shown on drawing?</t>
  </si>
  <si>
    <t>One roll from every fourth set - a tool repeat (10 around) checked every 50 feet offline.  Are all cuts complete with liner intact?</t>
  </si>
  <si>
    <t>One roll from each set - a tool repeat (10 around) checked every 50 feet offline.  Are all cuts complete with liner intact?</t>
  </si>
  <si>
    <t>12.8</t>
  </si>
  <si>
    <t>Is the roll wound with telescoping or gapping?</t>
  </si>
  <si>
    <t>Does the part fit the approved part template?</t>
  </si>
  <si>
    <t>Does the score fit the approved score template?</t>
  </si>
  <si>
    <t>Is the score deep enough to remove the liner strip, but not cut into the UHMW?</t>
  </si>
  <si>
    <t>Scale</t>
  </si>
  <si>
    <t>Length of part - checked off liner</t>
  </si>
  <si>
    <t>54</t>
  </si>
  <si>
    <t>55</t>
  </si>
  <si>
    <t>56</t>
  </si>
  <si>
    <t>Width of part - checked off liner</t>
  </si>
  <si>
    <t>9.35</t>
  </si>
  <si>
    <t>3,450 parts</t>
  </si>
  <si>
    <t>13.37</t>
  </si>
  <si>
    <t>13.63</t>
  </si>
  <si>
    <t>1.160</t>
  </si>
  <si>
    <t>Leading edge leg</t>
  </si>
  <si>
    <t>Trailing edge leg</t>
  </si>
  <si>
    <t>2.145</t>
  </si>
  <si>
    <t>Width of gear side leg</t>
  </si>
  <si>
    <t>Width of operator side leg</t>
  </si>
  <si>
    <t>Is the first die die strike deep enough to remove the slug but cut into the paper liner?</t>
  </si>
  <si>
    <t xml:space="preserve">Width of label </t>
  </si>
  <si>
    <t>Is the perf visually centered between the two labels?</t>
  </si>
  <si>
    <t>Is the roll wound nicely onto the core?</t>
  </si>
  <si>
    <t>Keyence/Micrometer</t>
  </si>
  <si>
    <t>Every foam roll</t>
  </si>
  <si>
    <t>1.614</t>
  </si>
  <si>
    <t>1.634</t>
  </si>
  <si>
    <t>99.23</t>
  </si>
  <si>
    <t>99.33</t>
  </si>
  <si>
    <t>99.43</t>
  </si>
  <si>
    <t>Distance from hole 1 to end</t>
  </si>
  <si>
    <t>7.70</t>
  </si>
  <si>
    <t>7.80</t>
  </si>
  <si>
    <t>Distance from hole 2 to end</t>
  </si>
  <si>
    <t>19.20</t>
  </si>
  <si>
    <t>19.30</t>
  </si>
  <si>
    <t>Distance from hole 3 to end</t>
  </si>
  <si>
    <t>29.10</t>
  </si>
  <si>
    <t>29.20</t>
  </si>
  <si>
    <t>29.30</t>
  </si>
  <si>
    <t>Distance from hole 4 to end</t>
  </si>
  <si>
    <t>39.10</t>
  </si>
  <si>
    <t>39.20</t>
  </si>
  <si>
    <t>39.30</t>
  </si>
  <si>
    <t>Distance from hole 5 to end</t>
  </si>
  <si>
    <t>49.10</t>
  </si>
  <si>
    <t>49.20</t>
  </si>
  <si>
    <t>49.30</t>
  </si>
  <si>
    <t>Distance from hole 6 to end</t>
  </si>
  <si>
    <t>59.10</t>
  </si>
  <si>
    <t>59.20</t>
  </si>
  <si>
    <t>59.30</t>
  </si>
  <si>
    <t>Distance from hole 7 to end</t>
  </si>
  <si>
    <t>69.10</t>
  </si>
  <si>
    <t>69.20</t>
  </si>
  <si>
    <t>69.30</t>
  </si>
  <si>
    <t>Distance from hole 8 to end</t>
  </si>
  <si>
    <t>79.10</t>
  </si>
  <si>
    <t>79.20</t>
  </si>
  <si>
    <t>79.30</t>
  </si>
  <si>
    <t>Distance from hole 9 to end</t>
  </si>
  <si>
    <t>90.60</t>
  </si>
  <si>
    <t>90.70</t>
  </si>
  <si>
    <t>90.80</t>
  </si>
  <si>
    <t>83.59</t>
  </si>
  <si>
    <t>83.69</t>
  </si>
  <si>
    <t>83.79</t>
  </si>
  <si>
    <t>Distance from edge of adhesive to close edge of extended liner</t>
  </si>
  <si>
    <t>Width of scored adhesive</t>
  </si>
  <si>
    <t>16.33</t>
  </si>
  <si>
    <t>17.08</t>
  </si>
  <si>
    <t>17.83</t>
  </si>
  <si>
    <t>Width of extended liner</t>
  </si>
  <si>
    <t>40.33</t>
  </si>
  <si>
    <t>40.58</t>
  </si>
  <si>
    <t>40.83</t>
  </si>
  <si>
    <t>159.05</t>
  </si>
  <si>
    <t>159.30</t>
  </si>
  <si>
    <t>159.55</t>
  </si>
  <si>
    <t>Distance from 0 datum to center of first hole</t>
  </si>
  <si>
    <t>7.91</t>
  </si>
  <si>
    <t>8.21</t>
  </si>
  <si>
    <t>Distance from 0 datum to center of second hole</t>
  </si>
  <si>
    <t>20.91</t>
  </si>
  <si>
    <t>21.06</t>
  </si>
  <si>
    <t>21.21</t>
  </si>
  <si>
    <t>Distance from 0 datum to center of third hole</t>
  </si>
  <si>
    <t>40.91</t>
  </si>
  <si>
    <t>41.06</t>
  </si>
  <si>
    <t>41.21</t>
  </si>
  <si>
    <t>Distance from 0 datum to center of fourth hole</t>
  </si>
  <si>
    <t>60.91</t>
  </si>
  <si>
    <t>61.06</t>
  </si>
  <si>
    <t>61.21</t>
  </si>
  <si>
    <t>Distance from 0 datum to center of fifth hole</t>
  </si>
  <si>
    <t>80.91</t>
  </si>
  <si>
    <t>81.06</t>
  </si>
  <si>
    <t>81.21</t>
  </si>
  <si>
    <t>91.65</t>
  </si>
  <si>
    <t>91.90</t>
  </si>
  <si>
    <t>92.15</t>
  </si>
  <si>
    <t>Distance from edge to center of big holes</t>
  </si>
  <si>
    <t>18.55</t>
  </si>
  <si>
    <t>18.80</t>
  </si>
  <si>
    <t>19.05</t>
  </si>
  <si>
    <t>Are the holes ejected cleanly?</t>
  </si>
  <si>
    <t>Part Length</t>
  </si>
  <si>
    <t>1.129</t>
  </si>
  <si>
    <t>1.134</t>
  </si>
  <si>
    <t>1.139</t>
  </si>
  <si>
    <t>Are the holes lined up after the fold?</t>
  </si>
  <si>
    <t>1.379</t>
  </si>
  <si>
    <t>1.384</t>
  </si>
  <si>
    <t>1.389</t>
  </si>
  <si>
    <t>Are the small holes cleanly removed?</t>
  </si>
  <si>
    <t>649</t>
  </si>
  <si>
    <t>650</t>
  </si>
  <si>
    <t>651</t>
  </si>
  <si>
    <t>N0(Fail)</t>
  </si>
  <si>
    <t>Is the part cut visually square?</t>
  </si>
  <si>
    <t>Is the print legible without obvious defect?</t>
  </si>
  <si>
    <t>Does the print remain intact when rubbed with your finger under moderate pressure? (Hold part in one hand print up and rub with pad of thumb of same hand)</t>
  </si>
  <si>
    <t>4.5</t>
  </si>
  <si>
    <t>Are the cut edges free of debris?</t>
  </si>
  <si>
    <t>Length of hole in hydrogel</t>
  </si>
  <si>
    <t>4.033</t>
  </si>
  <si>
    <t>4.063</t>
  </si>
  <si>
    <t>4.093</t>
  </si>
  <si>
    <t>Trial - See Engineering before running</t>
  </si>
  <si>
    <t>Width of hole in hydrogel</t>
  </si>
  <si>
    <t>Length of gauze pad</t>
  </si>
  <si>
    <t>Width of gauze pad</t>
  </si>
  <si>
    <t>Length of hydrogel</t>
  </si>
  <si>
    <t>Width of hydrogel</t>
  </si>
  <si>
    <t>Does the gauze pad set in the hydrogel pocket without touching the gel?</t>
  </si>
  <si>
    <t>6.47</t>
  </si>
  <si>
    <t>6.53</t>
  </si>
  <si>
    <t>Each Case</t>
  </si>
  <si>
    <t>Is the proper label applied to the bags?</t>
  </si>
  <si>
    <t>200 kits</t>
  </si>
  <si>
    <t>Are the proper labels applied to the bags?</t>
  </si>
  <si>
    <t>Are there three 30 packs of white, and one 10 pack of clear in each carton?</t>
  </si>
  <si>
    <t>Is the correct label applied to the box?</t>
  </si>
  <si>
    <t>Is the box sealed with two clear 1.5" diameter labels?</t>
  </si>
  <si>
    <t>24.03</t>
  </si>
  <si>
    <t>24.22</t>
  </si>
  <si>
    <t>24.28</t>
  </si>
  <si>
    <t>Is the 6866 visually centered on the liner with a no exposed adhesive?</t>
  </si>
  <si>
    <t>125 sheets</t>
  </si>
  <si>
    <t>Outside diameter</t>
  </si>
  <si>
    <t>Is the inside diameter hole cleanly removed?</t>
  </si>
  <si>
    <t>Is the cut edge clean and free of slivers or other cutting defects?</t>
  </si>
  <si>
    <t>2.345</t>
  </si>
  <si>
    <t>2.375</t>
  </si>
  <si>
    <t>2.405</t>
  </si>
  <si>
    <t>Is the slit edge free of gross slitting defects?</t>
  </si>
  <si>
    <t>Is the roll wound with gapping or telescoping?</t>
  </si>
  <si>
    <t xml:space="preserve"> 5,000 parts</t>
  </si>
  <si>
    <t>24.24</t>
  </si>
  <si>
    <t>25.00</t>
  </si>
  <si>
    <t>25.76</t>
  </si>
  <si>
    <t>18.84</t>
  </si>
  <si>
    <t>19.60</t>
  </si>
  <si>
    <t>20.36</t>
  </si>
  <si>
    <t>Distance between parts</t>
  </si>
  <si>
    <t>5.99</t>
  </si>
  <si>
    <t>7.51</t>
  </si>
  <si>
    <t>5.32</t>
  </si>
  <si>
    <t>6.08</t>
  </si>
  <si>
    <t>6.84</t>
  </si>
  <si>
    <t>1.58</t>
  </si>
  <si>
    <t>1.61</t>
  </si>
  <si>
    <t>1.64</t>
  </si>
  <si>
    <t>RUN ON D6 ONLY!  See Eric After Signoff</t>
  </si>
  <si>
    <t>Is all of the material removed from the score?</t>
  </si>
  <si>
    <t>Is the die strike deep enough to remove the part but not through the liner?</t>
  </si>
  <si>
    <t>Keyence Routine "8964 - 3M Top Foam"</t>
  </si>
  <si>
    <t>40.24</t>
  </si>
  <si>
    <t>41.76</t>
  </si>
  <si>
    <t>Is the print oriented correctly with the notch?</t>
  </si>
  <si>
    <t>Is the print free of gross print defects?</t>
  </si>
  <si>
    <t>KEYENCE</t>
  </si>
  <si>
    <t>9,600 parts (8 bags)</t>
  </si>
  <si>
    <t>1.556</t>
  </si>
  <si>
    <t>1.571</t>
  </si>
  <si>
    <t>1.586</t>
  </si>
  <si>
    <t>Is the cut edge clean and free of debris and slivers?</t>
  </si>
  <si>
    <t>Is the sheet free of debris?</t>
  </si>
  <si>
    <t>300 sheets</t>
  </si>
  <si>
    <t>18.30</t>
  </si>
  <si>
    <t>Distance from center of small center hole to center of bottom left small hole</t>
  </si>
  <si>
    <t>8.936</t>
  </si>
  <si>
    <t>8.946</t>
  </si>
  <si>
    <t>8.956</t>
  </si>
  <si>
    <t>Distance from center of small center hole to center of top right small hole</t>
  </si>
  <si>
    <t>8.544</t>
  </si>
  <si>
    <t>8.554</t>
  </si>
  <si>
    <t>8.564</t>
  </si>
  <si>
    <t>12.30</t>
  </si>
  <si>
    <t>3.795</t>
  </si>
  <si>
    <t>3.815</t>
  </si>
  <si>
    <t>3.535</t>
  </si>
  <si>
    <t>3.545</t>
  </si>
  <si>
    <t>3.555</t>
  </si>
  <si>
    <t>Are all holes cleanly cut and ejected?</t>
  </si>
  <si>
    <t>0.89</t>
  </si>
  <si>
    <t>Is the center square cleanly removed?</t>
  </si>
  <si>
    <t>Are the rolls being run on press with the holes on the operator side?</t>
  </si>
  <si>
    <t>47.07</t>
  </si>
  <si>
    <t>47.20</t>
  </si>
  <si>
    <t>47.33</t>
  </si>
  <si>
    <t>Distance between center of circles - Measured to center.</t>
  </si>
  <si>
    <t>38.95</t>
  </si>
  <si>
    <t>39.45</t>
  </si>
  <si>
    <t>20.67</t>
  </si>
  <si>
    <t>20.80</t>
  </si>
  <si>
    <t>20.93</t>
  </si>
  <si>
    <t>Distance from edge to first set of holes.
Measured to center.</t>
  </si>
  <si>
    <t>3.90</t>
  </si>
  <si>
    <t xml:space="preserve">Distance from first small set of holes to large holes.  Measured from center to center </t>
  </si>
  <si>
    <t>6.37</t>
  </si>
  <si>
    <t>6.63</t>
  </si>
  <si>
    <t xml:space="preserve">Distance from first small set of holes to second set of small holes.  Measured from center to center </t>
  </si>
  <si>
    <t>Are all of the holes cleanly removed?</t>
  </si>
  <si>
    <t>148.90</t>
  </si>
  <si>
    <t>149.15</t>
  </si>
  <si>
    <t>149.40</t>
  </si>
  <si>
    <t>Length of inside window</t>
  </si>
  <si>
    <t>129.61</t>
  </si>
  <si>
    <t>129.86</t>
  </si>
  <si>
    <t>130.11</t>
  </si>
  <si>
    <t>86.35</t>
  </si>
  <si>
    <t>86.60</t>
  </si>
  <si>
    <t>86.85</t>
  </si>
  <si>
    <t>Width of inside window</t>
  </si>
  <si>
    <t>71.91</t>
  </si>
  <si>
    <t>72.16</t>
  </si>
  <si>
    <t>72.41</t>
  </si>
  <si>
    <t>Is the inside window cleanly removed?</t>
  </si>
  <si>
    <t>Is the VHB laminated to the easy release side of liner?</t>
  </si>
  <si>
    <t>Does the perf tear but still allow the roll to unwind?</t>
  </si>
  <si>
    <t>Length of adhesive area</t>
  </si>
  <si>
    <t>Length of non-adhesive area</t>
  </si>
  <si>
    <t>Is the die strike deep enough to remove the slug but not cut into the liner.</t>
  </si>
  <si>
    <t>Are all of the slugs removed cleanly?</t>
  </si>
  <si>
    <t>Is a blue tab added to each roll 2 - 3 Ft. from the start of rewind?</t>
  </si>
  <si>
    <t>Are all splices created using Yellow Splice tape over Blue Splice tape, and are all factory splices removed?</t>
  </si>
  <si>
    <t>25 sheets</t>
  </si>
  <si>
    <t>Length of deadened area</t>
  </si>
  <si>
    <t>Distance from end of part to end of deadened area</t>
  </si>
  <si>
    <t>4.57</t>
  </si>
  <si>
    <t>4.63</t>
  </si>
  <si>
    <t>4.69</t>
  </si>
  <si>
    <t>Is unwind direction correct? #2</t>
  </si>
  <si>
    <t>Diameter of disk - Web Direction</t>
  </si>
  <si>
    <t>112.50</t>
  </si>
  <si>
    <t>113.30</t>
  </si>
  <si>
    <t>114.10</t>
  </si>
  <si>
    <t>Is the part free of foreign material, debris and visible defects?</t>
  </si>
  <si>
    <t>Are the cut edges clean?</t>
  </si>
  <si>
    <t>4.59</t>
  </si>
  <si>
    <t>4.65</t>
  </si>
  <si>
    <t>4.71</t>
  </si>
  <si>
    <t>Is the roll free of defects and debris?</t>
  </si>
  <si>
    <t>Do any splices meet the splice quality requirements as listed on the JT?</t>
  </si>
  <si>
    <t>Please allow the parts to sit for 48 hours before shipping to confirm adhesion to the part backing and release from the parent liner.</t>
  </si>
  <si>
    <t>8.937</t>
  </si>
  <si>
    <t>9.063</t>
  </si>
  <si>
    <t>Is the score deep enough to slit the liner but not cut into the rubber?</t>
  </si>
  <si>
    <t>Distance between internal scores.  Measure different row each inspection</t>
  </si>
  <si>
    <t>Distance from edge of label to edge of liner</t>
  </si>
  <si>
    <t>Do the parts pass the part release test?
Use Release Liner Testing Rev A with gauge #372 or #373 provided by Muth.</t>
  </si>
  <si>
    <t>Do the parts pass the part release test?
Use Release Liner Testing Rev A with gauge #372 or #373 provided by Muth. - 20 parts</t>
  </si>
  <si>
    <t>Is the score depth adequate to remove the adhesive but not compromise the part liner?</t>
  </si>
  <si>
    <t>Are parts wound in?</t>
  </si>
  <si>
    <t>30.99</t>
  </si>
  <si>
    <t>31.75</t>
  </si>
  <si>
    <t>32.51</t>
  </si>
  <si>
    <t>69.25</t>
  </si>
  <si>
    <t>70.00</t>
  </si>
  <si>
    <t>70.75</t>
  </si>
  <si>
    <t>Is the part visually centered on the carrier liner?</t>
  </si>
  <si>
    <t>4.5 rolls</t>
  </si>
  <si>
    <t>Is the slit edge free of any slitting debris?</t>
  </si>
  <si>
    <t>87.20</t>
  </si>
  <si>
    <t>88.20</t>
  </si>
  <si>
    <t>90.20</t>
  </si>
  <si>
    <t>95.70</t>
  </si>
  <si>
    <t>96.70</t>
  </si>
  <si>
    <t>98.70</t>
  </si>
  <si>
    <t>304.50</t>
  </si>
  <si>
    <t>307.00</t>
  </si>
  <si>
    <t>309.50</t>
  </si>
  <si>
    <t>1 rolls</t>
  </si>
  <si>
    <t>270.50</t>
  </si>
  <si>
    <t>273.00</t>
  </si>
  <si>
    <t>275.50</t>
  </si>
  <si>
    <t>92.53</t>
  </si>
  <si>
    <t>93.53</t>
  </si>
  <si>
    <t>95.53</t>
  </si>
  <si>
    <t>12.24</t>
  </si>
  <si>
    <t>12.36</t>
  </si>
  <si>
    <t>8.74</t>
  </si>
  <si>
    <t>8.86</t>
  </si>
  <si>
    <t>Does the part fit the device mount?</t>
  </si>
  <si>
    <t>Are the parts assembled without any exposed adhesive?</t>
  </si>
  <si>
    <t>6.735</t>
  </si>
  <si>
    <t>6.865</t>
  </si>
  <si>
    <t>6.995</t>
  </si>
  <si>
    <t>25.25</t>
  </si>
  <si>
    <t>Distance from narrow edge of part to near edge of liner</t>
  </si>
  <si>
    <t>35.01</t>
  </si>
  <si>
    <t>35.26</t>
  </si>
  <si>
    <t>35.51</t>
  </si>
  <si>
    <t>17.47</t>
  </si>
  <si>
    <t>17.60</t>
  </si>
  <si>
    <t>22.37</t>
  </si>
  <si>
    <t>22.47</t>
  </si>
  <si>
    <t>22.57</t>
  </si>
  <si>
    <t>46.84</t>
  </si>
  <si>
    <t>46.97</t>
  </si>
  <si>
    <t>47.10</t>
  </si>
  <si>
    <t>Distance from edge of part to near edge of liner</t>
  </si>
  <si>
    <t>60.07</t>
  </si>
  <si>
    <t>60.32</t>
  </si>
  <si>
    <t>60.57</t>
  </si>
  <si>
    <t>5.9</t>
  </si>
  <si>
    <t>11.74</t>
  </si>
  <si>
    <t>11.99</t>
  </si>
  <si>
    <t>22.6</t>
  </si>
  <si>
    <t>22.7</t>
  </si>
  <si>
    <t>22.8</t>
  </si>
  <si>
    <t>Distance from edge of liner to label on operator side</t>
  </si>
  <si>
    <t>Distance from edge of liner to label on gear side</t>
  </si>
  <si>
    <t>Is the text visually center on the label?</t>
  </si>
  <si>
    <t>Is the print legible and free of gross printing defects?</t>
  </si>
  <si>
    <t>Is the press roll wound in rewind direction #1?</t>
  </si>
  <si>
    <t>Is the finished roll wound in rewind direction #2?</t>
  </si>
  <si>
    <t>8.90</t>
  </si>
  <si>
    <t>9.10</t>
  </si>
  <si>
    <t>2.90</t>
  </si>
  <si>
    <t>3.10</t>
  </si>
  <si>
    <t>Is the adhesive laminated to the medium release side of the liner?</t>
  </si>
  <si>
    <t>Width of roll - If slit here.</t>
  </si>
  <si>
    <t>Width of input roll</t>
  </si>
  <si>
    <t>Is the roll free of dirt and debris?</t>
  </si>
  <si>
    <t>9.97</t>
  </si>
  <si>
    <t>10.03</t>
  </si>
  <si>
    <t>Is the print visually centered cross web on the tape?</t>
  </si>
  <si>
    <t>Is the print visually centered on the label?</t>
  </si>
  <si>
    <t>Is the die strike deep enough to remove the matrix but not cut through the liner?</t>
  </si>
  <si>
    <t>70</t>
  </si>
  <si>
    <t>72</t>
  </si>
  <si>
    <t>74</t>
  </si>
  <si>
    <t>Are the two colors in register as shown on the print proof?</t>
  </si>
  <si>
    <t>Are the colors within one shade of the correct PMS color?</t>
  </si>
  <si>
    <t>Is the raw material free of visible defects?  If defects are observed, please set the rolls aside.</t>
  </si>
  <si>
    <t>22 Rolls</t>
  </si>
  <si>
    <t>Width of slit roll of adhesive</t>
  </si>
  <si>
    <t>49.8</t>
  </si>
  <si>
    <t>53.0</t>
  </si>
  <si>
    <t>Is the slit edge free of double cuts, smeared adhesive and other slitting defects?</t>
  </si>
  <si>
    <t>Yes(Pass)q</t>
  </si>
  <si>
    <t xml:space="preserve">Is the adhesive laminated to the medium release side of the liner? </t>
  </si>
  <si>
    <t>Diameter of seal - measured in the web direction</t>
  </si>
  <si>
    <t>Distance from edge of seal to edge of tabbed area</t>
  </si>
  <si>
    <t>41.99</t>
  </si>
  <si>
    <t>42.79</t>
  </si>
  <si>
    <t>43.59</t>
  </si>
  <si>
    <t>0.417</t>
  </si>
  <si>
    <t>0.437</t>
  </si>
  <si>
    <t>0.457</t>
  </si>
  <si>
    <t>32,000 parts</t>
  </si>
  <si>
    <t>When the interleave is removed does the part stay with the carrier liner?</t>
  </si>
  <si>
    <t>Distance from hole to left "arm"</t>
  </si>
  <si>
    <t>111.77</t>
  </si>
  <si>
    <t>112.27</t>
  </si>
  <si>
    <t>112.77</t>
  </si>
  <si>
    <t>Distance from hole to right "arm"</t>
  </si>
  <si>
    <t>Distance from hole to top of "head"</t>
  </si>
  <si>
    <t>111.87</t>
  </si>
  <si>
    <t>112.37</t>
  </si>
  <si>
    <t>112.87</t>
  </si>
  <si>
    <t>Distance from hole to bottom of "foot"</t>
  </si>
  <si>
    <t>142.17</t>
  </si>
  <si>
    <t>142.67</t>
  </si>
  <si>
    <t>143.17</t>
  </si>
  <si>
    <t>38.75</t>
  </si>
  <si>
    <t>39.00</t>
  </si>
  <si>
    <t>39.25</t>
  </si>
  <si>
    <t>6.20</t>
  </si>
  <si>
    <t>6.937</t>
  </si>
  <si>
    <t>7.063</t>
  </si>
  <si>
    <t>5.937</t>
  </si>
  <si>
    <t>6.063</t>
  </si>
  <si>
    <t>Length of Legs</t>
  </si>
  <si>
    <t>0.563</t>
  </si>
  <si>
    <t>5.687</t>
  </si>
  <si>
    <t>5.813</t>
  </si>
  <si>
    <t>Width of BOTTOM leg</t>
  </si>
  <si>
    <t>Width of Non-Woven</t>
  </si>
  <si>
    <t>5.317</t>
  </si>
  <si>
    <t>5.38</t>
  </si>
  <si>
    <t>5.443</t>
  </si>
  <si>
    <t>Width of GRAB Tab area created at top (Distance from top Non-Woven to TM8720XT adhesive)</t>
  </si>
  <si>
    <t>0.067</t>
  </si>
  <si>
    <t>0.193</t>
  </si>
  <si>
    <t>Width of top tab (WHERE ADHESIVE IS MISSING)</t>
  </si>
  <si>
    <t>Is the part clean and free of all debris</t>
  </si>
  <si>
    <t>Are you wearing a Hair Net, Beard Net, Gloves etc as required.</t>
  </si>
  <si>
    <t>Is the Print Clean and free of visual defects?</t>
  </si>
  <si>
    <t>Width of slit label stock</t>
  </si>
  <si>
    <t>0.687</t>
  </si>
  <si>
    <t>0.813</t>
  </si>
  <si>
    <t>Is the finished roll wound in rewind direction #3?</t>
  </si>
  <si>
    <t>7.937</t>
  </si>
  <si>
    <t>8.063</t>
  </si>
  <si>
    <t>6.437</t>
  </si>
  <si>
    <t>6.563</t>
  </si>
  <si>
    <t>0.687   Trail</t>
  </si>
  <si>
    <t>0.813  Lead</t>
  </si>
  <si>
    <t>6.187</t>
  </si>
  <si>
    <t>6.313</t>
  </si>
  <si>
    <t>5.817</t>
  </si>
  <si>
    <t>5.88</t>
  </si>
  <si>
    <t>Width of interleave liner</t>
  </si>
  <si>
    <t>93.63</t>
  </si>
  <si>
    <t>94.63</t>
  </si>
  <si>
    <t>95.63</t>
  </si>
  <si>
    <t>97.55</t>
  </si>
  <si>
    <t>97.80</t>
  </si>
  <si>
    <t>98.05</t>
  </si>
  <si>
    <t>90.65</t>
  </si>
  <si>
    <t>90.90</t>
  </si>
  <si>
    <t>91.15</t>
  </si>
  <si>
    <t>Radius of upper radii</t>
  </si>
  <si>
    <t>7.55</t>
  </si>
  <si>
    <t>8.35</t>
  </si>
  <si>
    <t>Radius of lower radii</t>
  </si>
  <si>
    <t>7.40</t>
  </si>
  <si>
    <t>34.41</t>
  </si>
  <si>
    <t>34.71</t>
  </si>
  <si>
    <t>4.29</t>
  </si>
  <si>
    <t>5.09</t>
  </si>
  <si>
    <t>5.89</t>
  </si>
  <si>
    <t>Distance from center of slit to center of hole</t>
  </si>
  <si>
    <t>Length of slit</t>
  </si>
  <si>
    <t>5.49</t>
  </si>
  <si>
    <t>6.29</t>
  </si>
  <si>
    <t>Length of internal rectangle</t>
  </si>
  <si>
    <t>4.98</t>
  </si>
  <si>
    <t>5.02</t>
  </si>
  <si>
    <t>Distance from end of part to internal rectangle</t>
  </si>
  <si>
    <t>2.52</t>
  </si>
  <si>
    <t>8.02</t>
  </si>
  <si>
    <t>Width of internal rectangle</t>
  </si>
  <si>
    <t>Distance from edge of part to internal rectangle</t>
  </si>
  <si>
    <t>Is the internal rectangle cleanly cut and easy to remove?</t>
  </si>
  <si>
    <t>Distance from leading edge of part to edge of hole</t>
  </si>
  <si>
    <t>4.31</t>
  </si>
  <si>
    <t>Distance from bottom of part to edge of hole</t>
  </si>
  <si>
    <t>Is the print legible and free of gross print defects?</t>
  </si>
  <si>
    <t>Trial - See Engineering</t>
  </si>
  <si>
    <t>Is the print visually center in the cross web direction?</t>
  </si>
  <si>
    <t>Width of foam (this dimension is in inches)</t>
  </si>
  <si>
    <t>3.3</t>
  </si>
  <si>
    <t>3.5</t>
  </si>
  <si>
    <t>50.57</t>
  </si>
  <si>
    <t>50.80</t>
  </si>
  <si>
    <t>51.03</t>
  </si>
  <si>
    <t>68.7</t>
  </si>
  <si>
    <t>71.3</t>
  </si>
  <si>
    <t>3.0</t>
  </si>
  <si>
    <t>Is the print visually centered on the non-hole side?</t>
  </si>
  <si>
    <t>Is the 1522 exposed in the circle area?</t>
  </si>
  <si>
    <t>Does the low tack material cover the hole and remove from the foam as needed?</t>
  </si>
  <si>
    <t>Length of spacing between parts</t>
  </si>
  <si>
    <t>4.33</t>
  </si>
  <si>
    <t>4.36</t>
  </si>
  <si>
    <t>Are 3 parts or more visible on the tail at the top of the box?  (Monitor constantly/log data every 22-24 boxes)</t>
  </si>
  <si>
    <t>Is the box oriented correctly with the 4 square cut-outs at the bottom?  (Monitor constantly/log data every 22-24 boxes)</t>
  </si>
  <si>
    <t>With the tail on the left side of the box and the tops pulling out on the right side, is the "Bair" logo on the bottom right side of the part, when looking down into the box?  (Monitor constantly/log data every 22-24 boxes)</t>
  </si>
  <si>
    <t>Have parts with aesthetic issues (overlapping, wrinkles, perf on part, damage, etc...) been removed?  (Monitor constantly/log data every 22-24 boxes)</t>
  </si>
  <si>
    <t>Are cartons labeled correctly with correct part numbers based on their destination?</t>
  </si>
  <si>
    <t>Length of part at flats</t>
  </si>
  <si>
    <t>10.41</t>
  </si>
  <si>
    <t>12.01</t>
  </si>
  <si>
    <t>Are the black and green in register?</t>
  </si>
  <si>
    <t>Are the black and purple in register?</t>
  </si>
  <si>
    <t>Are the black and yellow in register?</t>
  </si>
  <si>
    <t>12 parts</t>
  </si>
  <si>
    <t>0.690</t>
  </si>
  <si>
    <t>Is the adhesive laminated to the medium side of the liner?</t>
  </si>
  <si>
    <t>See QA</t>
  </si>
  <si>
    <t xml:space="preserve">0.75 </t>
  </si>
  <si>
    <t>Width of GRAB Tab area created at top (Distance from top Non-Woven to 2477P adhesive)</t>
  </si>
  <si>
    <t>Width of top tab (Edge of adhesive to edge of liner)</t>
  </si>
  <si>
    <t>Width of filter media</t>
  </si>
  <si>
    <t>5.875</t>
  </si>
  <si>
    <t>Were any mis-cuts or incomplete cuts observed in visual inspection of bag?</t>
  </si>
  <si>
    <t>Width of slit foam</t>
  </si>
  <si>
    <t>8.87</t>
  </si>
  <si>
    <t>9.13</t>
  </si>
  <si>
    <t>9.87</t>
  </si>
  <si>
    <t>10.13</t>
  </si>
  <si>
    <t>7.87</t>
  </si>
  <si>
    <t>8.13</t>
  </si>
  <si>
    <t>Distance from top edge of shield to bottom of foam</t>
  </si>
  <si>
    <t>Distance from top edge to edge of Adhesive</t>
  </si>
  <si>
    <t>Width of 9701</t>
  </si>
  <si>
    <t>Is the foam laminated to the anti-fogging side of the PET?</t>
  </si>
  <si>
    <t>Are all adhesive covered and not exposed?</t>
  </si>
  <si>
    <t>Is the cut out in the 9701 visually centered on the PET?</t>
  </si>
  <si>
    <t>Under Scope at minimum 40X magnification check all of the .045" holes on each retain for possible deformation.  See Reference in the job jacket for example</t>
  </si>
  <si>
    <t>3,500 parts</t>
  </si>
  <si>
    <t>Length 1</t>
  </si>
  <si>
    <t>51.18</t>
  </si>
  <si>
    <t>51.48</t>
  </si>
  <si>
    <t>51.78</t>
  </si>
  <si>
    <t xml:space="preserve">CLEAN ROOM ATTIRE REQUIRED See Engineering before slitting. </t>
  </si>
  <si>
    <t>Length 2</t>
  </si>
  <si>
    <t>28.78</t>
  </si>
  <si>
    <t>28.98</t>
  </si>
  <si>
    <t>29.18</t>
  </si>
  <si>
    <t>Width 1</t>
  </si>
  <si>
    <t>109.32</t>
  </si>
  <si>
    <t>109.62</t>
  </si>
  <si>
    <t>109.92</t>
  </si>
  <si>
    <t>Width 2</t>
  </si>
  <si>
    <t>19.49</t>
  </si>
  <si>
    <t>19.69</t>
  </si>
  <si>
    <t>Hole 1</t>
  </si>
  <si>
    <t>Hole 2</t>
  </si>
  <si>
    <t>Hole 3</t>
  </si>
  <si>
    <t>6.80</t>
  </si>
  <si>
    <t>Hole 4</t>
  </si>
  <si>
    <t>5.19</t>
  </si>
  <si>
    <t>5.39</t>
  </si>
  <si>
    <t>Are all of the holes cleanly ejected?</t>
  </si>
  <si>
    <t>Width of slit liner</t>
  </si>
  <si>
    <t>Width of 4905</t>
  </si>
  <si>
    <t>Is the VHB visually centered on the liner?</t>
  </si>
  <si>
    <t>Is the VHB laminated to the tighter release side of the liner?</t>
  </si>
  <si>
    <t>Width of SWM material</t>
  </si>
  <si>
    <t>Width of 9956</t>
  </si>
  <si>
    <t>5.31</t>
  </si>
  <si>
    <t>Are the slit edges free of slivers and double cuts.</t>
  </si>
  <si>
    <t>7.19</t>
  </si>
  <si>
    <t>7.25</t>
  </si>
  <si>
    <t>2.033</t>
  </si>
  <si>
    <t>2.093</t>
  </si>
  <si>
    <t>Length of Liner</t>
  </si>
  <si>
    <t>Is the roll consistent width from core to outside diameter?</t>
  </si>
  <si>
    <t>0.152</t>
  </si>
  <si>
    <t>0.162</t>
  </si>
  <si>
    <t>0.350</t>
  </si>
  <si>
    <t>9,000 parts</t>
  </si>
  <si>
    <t>Are the parts visually centered on the parent liner?</t>
  </si>
  <si>
    <t>Length of the part</t>
  </si>
  <si>
    <t>Is the score deep enough to remove the adhesive in the tab area but not cut into the liner?</t>
  </si>
  <si>
    <t>Is the score deep enough to remove the adhesive in the tab area, but not cut into the liner?</t>
  </si>
  <si>
    <t>15 parts</t>
  </si>
  <si>
    <t>Length of part (X direction)</t>
  </si>
  <si>
    <t>1.840</t>
  </si>
  <si>
    <t>1.845</t>
  </si>
  <si>
    <t>1.850</t>
  </si>
  <si>
    <t>Hole 1 X Position</t>
  </si>
  <si>
    <t>Hole 2 X Position</t>
  </si>
  <si>
    <t>Hole 3 X Position</t>
  </si>
  <si>
    <t>1.740</t>
  </si>
  <si>
    <t>1.745</t>
  </si>
  <si>
    <t>Hole 4 X Position</t>
  </si>
  <si>
    <t>1.559</t>
  </si>
  <si>
    <t>1.564</t>
  </si>
  <si>
    <t>1.569</t>
  </si>
  <si>
    <t>Width of part (Y direction)</t>
  </si>
  <si>
    <t>Hole 1 Y Position</t>
  </si>
  <si>
    <t>Hole 2 Y Position</t>
  </si>
  <si>
    <t>0.283</t>
  </si>
  <si>
    <t>0.288</t>
  </si>
  <si>
    <t>Hole 3 Y Position</t>
  </si>
  <si>
    <t>0.172</t>
  </si>
  <si>
    <t>0.177</t>
  </si>
  <si>
    <t>0.182</t>
  </si>
  <si>
    <t>Hole 4 Y Position</t>
  </si>
  <si>
    <t>Hole 1 Diameter</t>
  </si>
  <si>
    <t>0.161</t>
  </si>
  <si>
    <t>0.166</t>
  </si>
  <si>
    <t>Hole 2 Diameter</t>
  </si>
  <si>
    <t>0.143</t>
  </si>
  <si>
    <t>0.148</t>
  </si>
  <si>
    <t>0.153</t>
  </si>
  <si>
    <t>Hole 3 Diameter</t>
  </si>
  <si>
    <t>Diameter Hole 4</t>
  </si>
  <si>
    <t>0.111</t>
  </si>
  <si>
    <t>0.116</t>
  </si>
  <si>
    <t>0.121</t>
  </si>
  <si>
    <t>Are all holes cleanly ejected?</t>
  </si>
  <si>
    <t>Is the adhesive on the correct side per the drawing?</t>
  </si>
  <si>
    <t>Length of Part (X Direction)</t>
  </si>
  <si>
    <t>Width of Part (Y Direction)</t>
  </si>
  <si>
    <t>Hole 4 Diameter</t>
  </si>
  <si>
    <t>Distance from top edge to edge of 9832F</t>
  </si>
  <si>
    <t>Width of 9832F</t>
  </si>
  <si>
    <t>Is the cut out in the 9832F visually centered on the PET?</t>
  </si>
  <si>
    <t>1.340</t>
  </si>
  <si>
    <t>1.350</t>
  </si>
  <si>
    <t>Distance from datum to center of first hole</t>
  </si>
  <si>
    <t>Distance from datum to center of second hole</t>
  </si>
  <si>
    <t>Distance from datum to center of third hole</t>
  </si>
  <si>
    <t>1.059</t>
  </si>
  <si>
    <t>1.064</t>
  </si>
  <si>
    <t>1.069</t>
  </si>
  <si>
    <t>Distance from datum to center of fourth hole</t>
  </si>
  <si>
    <t>1.240</t>
  </si>
  <si>
    <t>1.245</t>
  </si>
  <si>
    <t>Diameter of hole one</t>
  </si>
  <si>
    <t>Diameter of hole two</t>
  </si>
  <si>
    <t>Diameter of hole three</t>
  </si>
  <si>
    <t>Diameter of hole four</t>
  </si>
  <si>
    <t>Width of top leg</t>
  </si>
  <si>
    <t>0.308</t>
  </si>
  <si>
    <t>Diameter of gel.  Check a different orientation each time, cross web and down web.</t>
  </si>
  <si>
    <t>Diameter of liner.  Check a different orientation each time, cross web and down web.</t>
  </si>
  <si>
    <t>0.99</t>
  </si>
  <si>
    <t>Distance from edge of gel to leading edge of top liner</t>
  </si>
  <si>
    <t>Distance from edge of gel to operator edge of top liner</t>
  </si>
  <si>
    <t>Is the "Tie" side of the gel laminated to the easy release carrier PET liner?</t>
  </si>
  <si>
    <t>Is the first die strike deep enough to remove the gel matrix but not cut into the liner?</t>
  </si>
  <si>
    <t>Is the outside die strike deep enough to strip the matrix but not cut into the liner?</t>
  </si>
  <si>
    <t>26.25</t>
  </si>
  <si>
    <t>26.50</t>
  </si>
  <si>
    <t>26.75</t>
  </si>
  <si>
    <t>Distance from edge of adhesive to center of single hole</t>
  </si>
  <si>
    <t>7.13</t>
  </si>
  <si>
    <t>Distance from edge of adhesive to center of pair of holes</t>
  </si>
  <si>
    <t>19.87</t>
  </si>
  <si>
    <t>20.63</t>
  </si>
  <si>
    <t>36.50</t>
  </si>
  <si>
    <t>36.75</t>
  </si>
  <si>
    <t xml:space="preserve">Distance from edge to center of first hole </t>
  </si>
  <si>
    <t>11.62</t>
  </si>
  <si>
    <t>12.38</t>
  </si>
  <si>
    <t>Distance from edge to center of second hole</t>
  </si>
  <si>
    <t>17.87</t>
  </si>
  <si>
    <t>18.25</t>
  </si>
  <si>
    <t>18.63</t>
  </si>
  <si>
    <t>Distance from edge to center of third hole</t>
  </si>
  <si>
    <t>24.12</t>
  </si>
  <si>
    <t>24.88</t>
  </si>
  <si>
    <t>Is the die strike deep enough to remove the tab material but not cut into the liner?</t>
  </si>
  <si>
    <t>Width of slit foam - 9" Rolls
(Inspect one finished roll every 15 input rolls)
Width of slit foam - Random Width End Cut Rolls
(Inspect one finished roll every input roll)</t>
  </si>
  <si>
    <t>Diameter of foam hole</t>
  </si>
  <si>
    <t>21.4</t>
  </si>
  <si>
    <t>22.2</t>
  </si>
  <si>
    <t>23.0</t>
  </si>
  <si>
    <t>43.2</t>
  </si>
  <si>
    <t>44.0</t>
  </si>
  <si>
    <t>44.8</t>
  </si>
  <si>
    <t>37.3</t>
  </si>
  <si>
    <t>38.9</t>
  </si>
  <si>
    <t>14.47</t>
  </si>
  <si>
    <t>14.53</t>
  </si>
  <si>
    <t>Distance from edge of part to score</t>
  </si>
  <si>
    <t>Is the score deep enough to remove the liner but not cut into the film?</t>
  </si>
  <si>
    <t>Inspect The First and Last 4 Parts on Every Roll at The Rewind  (Capture twice every 50,200 parts)</t>
  </si>
  <si>
    <t>15 sheets</t>
  </si>
  <si>
    <t>24.06</t>
  </si>
  <si>
    <t>8.94</t>
  </si>
  <si>
    <t>9.06</t>
  </si>
  <si>
    <t>Inspect The First and Last 4 Parts on Every Roll at The Rewind  (Capture once every set)</t>
  </si>
  <si>
    <t>69</t>
  </si>
  <si>
    <t>71</t>
  </si>
  <si>
    <t>37.97</t>
  </si>
  <si>
    <t>38.23</t>
  </si>
  <si>
    <t>Does the part lay flat or curl away from the foam?</t>
  </si>
  <si>
    <t>Does the part pass the curl test?  See JT and pictures for test description.</t>
  </si>
  <si>
    <t>5.87</t>
  </si>
  <si>
    <t>Are the cut edges free of slivers and other cutting debris?</t>
  </si>
  <si>
    <t>Registration mark repeat</t>
  </si>
  <si>
    <t>Width of gauze</t>
  </si>
  <si>
    <t>Length of pouch</t>
  </si>
  <si>
    <t>Width of pouch</t>
  </si>
  <si>
    <t>Distance from edge of pouch to top of seal.</t>
  </si>
  <si>
    <t>Is the heat seal complete with no unsealed areas?</t>
  </si>
  <si>
    <t>Is the gauze pad completely in the sealed area with none trapped under the seal?</t>
  </si>
  <si>
    <t>Width of 1522</t>
  </si>
  <si>
    <t>Is the slit edge free of slivers and double cuts and does it unwind without picking?</t>
  </si>
  <si>
    <t>Distance from non-slot edge to bottom of text.</t>
  </si>
  <si>
    <t>Is the print visually centered in the web direction?</t>
  </si>
  <si>
    <t>Width of 1522H</t>
  </si>
  <si>
    <t>Width of hook</t>
  </si>
  <si>
    <t>Width of loop</t>
  </si>
  <si>
    <t>Is the slit edge of the 1522H free of slivers and double cuts?</t>
  </si>
  <si>
    <t>Distance from edge of loop to edge of adhesive</t>
  </si>
  <si>
    <t>Is the hook laminated to the opposite end of the adhesive?  See drawing.</t>
  </si>
  <si>
    <t>Is the adhesive laminated to the opposite side of PET from the hook/loop.  See drawing.</t>
  </si>
  <si>
    <t>100 bags</t>
  </si>
  <si>
    <t>Length of exposed loop?</t>
  </si>
  <si>
    <t>1.9</t>
  </si>
  <si>
    <t>Distance from adhesive to adhesive</t>
  </si>
  <si>
    <t>Are the adhesives on the same side after assembly?</t>
  </si>
  <si>
    <t>1 finished roll</t>
  </si>
  <si>
    <t>Width of one slit row</t>
  </si>
  <si>
    <t>Are the rows cleanly slit?</t>
  </si>
  <si>
    <t>Are there 16 rolls wound on one 80 mm wide core?</t>
  </si>
  <si>
    <t>Do the parts have rounded ends?</t>
  </si>
  <si>
    <t>6,250 parts</t>
  </si>
  <si>
    <t>0.79</t>
  </si>
  <si>
    <t>Length of window in adhesive</t>
  </si>
  <si>
    <t>Distance from edge of window to bottom wing edge of part.  See drawing.</t>
  </si>
  <si>
    <t>Width of window in adhesive</t>
  </si>
  <si>
    <t>Distance from edge of window to edge of part.  See drawing.</t>
  </si>
  <si>
    <t>0.29</t>
  </si>
  <si>
    <t>Are all of the holes ejected from adhesive and liner?</t>
  </si>
  <si>
    <t>17.75</t>
  </si>
  <si>
    <t>Liner Width</t>
  </si>
  <si>
    <t>37.95</t>
  </si>
  <si>
    <t>38.25</t>
  </si>
  <si>
    <t>Was clean humidity maintained at 20% RH or below during processing?</t>
  </si>
  <si>
    <t>Width of mesh</t>
  </si>
  <si>
    <t>Distance from edge of adhesive to edge of mesh on the gear side</t>
  </si>
  <si>
    <t>Distance from edge of adhesive to edge of mesh on the operator side</t>
  </si>
  <si>
    <t>Is the score in registration to the die cut without significant visible offset (see photos in JJ)?</t>
  </si>
  <si>
    <t>Does the part lay flat within 1/16"?</t>
  </si>
  <si>
    <t>Dimension 10</t>
  </si>
  <si>
    <t>14.81</t>
  </si>
  <si>
    <t>15.06</t>
  </si>
  <si>
    <t>15.31</t>
  </si>
  <si>
    <t>Dimension 11</t>
  </si>
  <si>
    <t>41.20</t>
  </si>
  <si>
    <t>41.45</t>
  </si>
  <si>
    <t>41.70</t>
  </si>
  <si>
    <t>Dimension 12</t>
  </si>
  <si>
    <t>20.48</t>
  </si>
  <si>
    <t>20.73</t>
  </si>
  <si>
    <t>20.98</t>
  </si>
  <si>
    <t>Dimension 13</t>
  </si>
  <si>
    <t>Dimension 14</t>
  </si>
  <si>
    <t>25.37</t>
  </si>
  <si>
    <t>25.62</t>
  </si>
  <si>
    <t>25.87</t>
  </si>
  <si>
    <t>Dimension 15</t>
  </si>
  <si>
    <t>Dimension 16</t>
  </si>
  <si>
    <t>Dimension 17</t>
  </si>
  <si>
    <t>Dimension 18</t>
  </si>
  <si>
    <t>46.25</t>
  </si>
  <si>
    <t>46.50</t>
  </si>
  <si>
    <t>46.75</t>
  </si>
  <si>
    <t>Dimension 19</t>
  </si>
  <si>
    <t>50.55</t>
  </si>
  <si>
    <t>51.05</t>
  </si>
  <si>
    <t>Dimension 20</t>
  </si>
  <si>
    <t>54.75</t>
  </si>
  <si>
    <t>55.00</t>
  </si>
  <si>
    <t>55.25</t>
  </si>
  <si>
    <t>Dimension 21</t>
  </si>
  <si>
    <t>56.13</t>
  </si>
  <si>
    <t>56.38</t>
  </si>
  <si>
    <t>56.63</t>
  </si>
  <si>
    <t>Dimension 22 - Adhesive Thickness (on parent liner)</t>
  </si>
  <si>
    <t>1.755</t>
  </si>
  <si>
    <t>1.019</t>
  </si>
  <si>
    <t>1.024</t>
  </si>
  <si>
    <t>1.029</t>
  </si>
  <si>
    <t>2.996</t>
  </si>
  <si>
    <t>3.001</t>
  </si>
  <si>
    <t>3.006</t>
  </si>
  <si>
    <t>0.949</t>
  </si>
  <si>
    <t>0.954</t>
  </si>
  <si>
    <t>0.959</t>
  </si>
  <si>
    <t>Width of slit roll.  See work order for target</t>
  </si>
  <si>
    <t>0.540</t>
  </si>
  <si>
    <t>0.550</t>
  </si>
  <si>
    <t>0.560</t>
  </si>
  <si>
    <t>0.539</t>
  </si>
  <si>
    <t>0.549</t>
  </si>
  <si>
    <t>0.559</t>
  </si>
  <si>
    <t>Is the 9495B laminated to the adhesive side of the 1181?</t>
  </si>
  <si>
    <t>0.325</t>
  </si>
  <si>
    <t>0.462</t>
  </si>
  <si>
    <t>0.472</t>
  </si>
  <si>
    <t>0.482</t>
  </si>
  <si>
    <t>0.124</t>
  </si>
  <si>
    <t>0.139</t>
  </si>
  <si>
    <t>0.154</t>
  </si>
  <si>
    <t>0.394</t>
  </si>
  <si>
    <t>0.404</t>
  </si>
  <si>
    <t>0.812</t>
  </si>
  <si>
    <t>0.827</t>
  </si>
  <si>
    <t>0.842</t>
  </si>
  <si>
    <t>0.167</t>
  </si>
  <si>
    <t>0.197</t>
  </si>
  <si>
    <t>0.227</t>
  </si>
  <si>
    <t>0.140</t>
  </si>
  <si>
    <t>10.74</t>
  </si>
  <si>
    <t>10.75</t>
  </si>
  <si>
    <t>10.76</t>
  </si>
  <si>
    <t>1,000 pieces</t>
  </si>
  <si>
    <t>Does the part fit within the enclosed template?</t>
  </si>
  <si>
    <t>3.026</t>
  </si>
  <si>
    <t>3.031</t>
  </si>
  <si>
    <t>3.036</t>
  </si>
  <si>
    <t>1.452</t>
  </si>
  <si>
    <t>1.457</t>
  </si>
  <si>
    <t>1.462</t>
  </si>
  <si>
    <t>Units are mixed - see inspection for unit</t>
  </si>
  <si>
    <t>Width of roll in mm</t>
  </si>
  <si>
    <t>23.2</t>
  </si>
  <si>
    <t>24.0</t>
  </si>
  <si>
    <t>24.8</t>
  </si>
  <si>
    <t>Is the cut edge free of any burrs or cutting defects?</t>
  </si>
  <si>
    <t>Production start date recorded?</t>
  </si>
  <si>
    <t>Is the Julian date correct for the label?</t>
  </si>
  <si>
    <t>Do the barcodes scan correctly?</t>
  </si>
  <si>
    <t>Are preforms complete without a cropped edge and with liner extended on each side?</t>
  </si>
  <si>
    <t>504.82</t>
  </si>
  <si>
    <t>508.00</t>
  </si>
  <si>
    <t>511.18</t>
  </si>
  <si>
    <t>Distance from leading edge of mask to leading edge of liner</t>
  </si>
  <si>
    <t>520.70</t>
  </si>
  <si>
    <t>533.40</t>
  </si>
  <si>
    <t>546.10</t>
  </si>
  <si>
    <t>Are parts lying flat?</t>
  </si>
  <si>
    <t>Is die cut deep enough to strip matrix, but not so deep as to cut through liner?</t>
  </si>
  <si>
    <t>Does the orientation match the drawing?</t>
  </si>
  <si>
    <t>Are packs free of visible debris or contaminant including loose material from the supporting plank?</t>
  </si>
  <si>
    <t>Were supplier splices present in the raw material used or was a roll of raw material changed within this sampling period?</t>
  </si>
  <si>
    <t>If yes to the above;  was the web monitored at the transition to assure no mis-cuts were included in the finished product?</t>
  </si>
  <si>
    <t>Verify the 966NP being used is a transfer adhesive, and not a double coated adhesive.</t>
  </si>
  <si>
    <t>9.70</t>
  </si>
  <si>
    <t>Is the slit edge free of double cuts?</t>
  </si>
  <si>
    <t>Does the sheet lay relatively flat?</t>
  </si>
  <si>
    <t>See Eric after sign off</t>
  </si>
  <si>
    <t>Width of labelstock</t>
  </si>
  <si>
    <t>2.85</t>
  </si>
  <si>
    <t>Ram Scope or Keyence</t>
  </si>
  <si>
    <t>Are the parts packed loosely in the box?</t>
  </si>
  <si>
    <t>Is the print visually centered on the mask?</t>
  </si>
  <si>
    <t>Width of poron</t>
  </si>
  <si>
    <t>34.60</t>
  </si>
  <si>
    <t>34.85</t>
  </si>
  <si>
    <t>7.75</t>
  </si>
  <si>
    <t>21.15</t>
  </si>
  <si>
    <t>21.65</t>
  </si>
  <si>
    <t>22.15</t>
  </si>
  <si>
    <t>Distance from slot to the bottom of the part</t>
  </si>
  <si>
    <t>Distance from slot to notch end</t>
  </si>
  <si>
    <t>5.95</t>
  </si>
  <si>
    <t>6.45</t>
  </si>
  <si>
    <t>Is the slot cleanly cut and easily removed?</t>
  </si>
  <si>
    <t>4 finished rolls</t>
  </si>
  <si>
    <t>55 rolls</t>
  </si>
  <si>
    <t>Is the roll wound on a green plastic core?</t>
  </si>
  <si>
    <t>Is the roll wound on a white plastic core?</t>
  </si>
  <si>
    <t>27.2</t>
  </si>
  <si>
    <t>28.8</t>
  </si>
  <si>
    <t>33.6</t>
  </si>
  <si>
    <t>35.2</t>
  </si>
  <si>
    <t>Is the die strike deep enough to remove the matrix and not cut into the liner?</t>
  </si>
  <si>
    <t>Is the perf easy enough to tear but stay together under rewind?</t>
  </si>
  <si>
    <t>Is the score deep enough to remove the adhesive but not cut into the tab?</t>
  </si>
  <si>
    <t>3.46</t>
  </si>
  <si>
    <t>3.66</t>
  </si>
  <si>
    <t xml:space="preserve">Distance from edge of part to bottom edge of extended liner </t>
  </si>
  <si>
    <t>44.70</t>
  </si>
  <si>
    <t>44.95</t>
  </si>
  <si>
    <t>7.080</t>
  </si>
  <si>
    <t>7.125</t>
  </si>
  <si>
    <t>7.155</t>
  </si>
  <si>
    <t>Length of print repeat</t>
  </si>
  <si>
    <t>8.080</t>
  </si>
  <si>
    <t>8.125</t>
  </si>
  <si>
    <t>8.155</t>
  </si>
  <si>
    <t>Width of slit adhesive</t>
  </si>
  <si>
    <t>2,000 shields</t>
  </si>
  <si>
    <t>Is the part evenly coated with two coats of black paint?</t>
  </si>
  <si>
    <t>Is the paint dry?</t>
  </si>
  <si>
    <t>Width of Q200 liner</t>
  </si>
  <si>
    <t>24.375</t>
  </si>
  <si>
    <t>24.625</t>
  </si>
  <si>
    <t>Is the adhesive laminated to the release side of the Q300 liner?</t>
  </si>
  <si>
    <t>Does the adhesive unwind without picking?</t>
  </si>
  <si>
    <t>Various</t>
  </si>
  <si>
    <t>19.45</t>
  </si>
  <si>
    <t>19.83</t>
  </si>
  <si>
    <t>20.21</t>
  </si>
  <si>
    <t>Datum C to Near Window Edge</t>
  </si>
  <si>
    <t>26.04</t>
  </si>
  <si>
    <t>26.42</t>
  </si>
  <si>
    <t>26.80</t>
  </si>
  <si>
    <t>Datum B to Near Window Edge</t>
  </si>
  <si>
    <t>12.34</t>
  </si>
  <si>
    <t>12.64</t>
  </si>
  <si>
    <t>Liner Edge to Part Edge Operator Side</t>
  </si>
  <si>
    <t>6.3</t>
  </si>
  <si>
    <t>Is the smooth side of the film against the foam?</t>
  </si>
  <si>
    <t>C to Near Window Edge</t>
  </si>
  <si>
    <t>B to Near Window Edge</t>
  </si>
  <si>
    <t>Part Edge to Liner Edge</t>
  </si>
  <si>
    <t>19.42</t>
  </si>
  <si>
    <t>19.80</t>
  </si>
  <si>
    <t>20.18</t>
  </si>
  <si>
    <t>Distance from datum C to internal edge</t>
  </si>
  <si>
    <t>27.12</t>
  </si>
  <si>
    <t>27.50</t>
  </si>
  <si>
    <t>27.88</t>
  </si>
  <si>
    <t>Distance from datum B to close internal edge</t>
  </si>
  <si>
    <t>8.41</t>
  </si>
  <si>
    <t>8.60</t>
  </si>
  <si>
    <t>8.79</t>
  </si>
  <si>
    <t>Part edge to liner edge (Op side)</t>
  </si>
  <si>
    <t>Distance from datum B to far internal edge</t>
  </si>
  <si>
    <t>24.81</t>
  </si>
  <si>
    <t>25.19</t>
  </si>
  <si>
    <t xml:space="preserve">Is the sheet free of wrinkles, buckles, and creases?
</t>
  </si>
  <si>
    <t>2,200 parts</t>
  </si>
  <si>
    <t>2.635</t>
  </si>
  <si>
    <t>2.640</t>
  </si>
  <si>
    <t>2.645</t>
  </si>
  <si>
    <t>Length of narrow window</t>
  </si>
  <si>
    <t>1.865</t>
  </si>
  <si>
    <t>1.870</t>
  </si>
  <si>
    <t>Length of of wide window</t>
  </si>
  <si>
    <t>1.140</t>
  </si>
  <si>
    <t>Width of narrow window</t>
  </si>
  <si>
    <t>Width of wide window</t>
  </si>
  <si>
    <t>0.695</t>
  </si>
  <si>
    <t>0.705</t>
  </si>
  <si>
    <t>Are all of the internal cuts clean and the windows easily removed?</t>
  </si>
  <si>
    <t>Is the low tack carrier intact and not cut through?</t>
  </si>
  <si>
    <t>0.451</t>
  </si>
  <si>
    <t>0.456</t>
  </si>
  <si>
    <t>0.461</t>
  </si>
  <si>
    <t>0.117</t>
  </si>
  <si>
    <t>0.122</t>
  </si>
  <si>
    <t>0.127</t>
  </si>
  <si>
    <t>Is the die strike deep enough to remove the matrix but not cut into the parts?</t>
  </si>
  <si>
    <t>0.416</t>
  </si>
  <si>
    <t>0.421</t>
  </si>
  <si>
    <t>See Engineering</t>
  </si>
  <si>
    <t>97.8</t>
  </si>
  <si>
    <t>98.5</t>
  </si>
  <si>
    <t>99.2</t>
  </si>
  <si>
    <t>33.94</t>
  </si>
  <si>
    <t>34.06</t>
  </si>
  <si>
    <t>34.18</t>
  </si>
  <si>
    <t>93.96</t>
  </si>
  <si>
    <t>94.21</t>
  </si>
  <si>
    <t>94.46</t>
  </si>
  <si>
    <t>Distance from gear side of part to edge of liner?</t>
  </si>
  <si>
    <t>9.791</t>
  </si>
  <si>
    <t>10.045</t>
  </si>
  <si>
    <t>10.299</t>
  </si>
  <si>
    <t>Distance from operator side of part to edge of liner?</t>
  </si>
  <si>
    <t>26.21</t>
  </si>
  <si>
    <t>85.68</t>
  </si>
  <si>
    <t>85.93</t>
  </si>
  <si>
    <t>86.18</t>
  </si>
  <si>
    <t>14.19</t>
  </si>
  <si>
    <t>14.44</t>
  </si>
  <si>
    <t>25.30</t>
  </si>
  <si>
    <t>25.42</t>
  </si>
  <si>
    <t>25.54</t>
  </si>
  <si>
    <t>81.64</t>
  </si>
  <si>
    <t>81.89</t>
  </si>
  <si>
    <t>82.14</t>
  </si>
  <si>
    <t>15.96</t>
  </si>
  <si>
    <t>16.21</t>
  </si>
  <si>
    <t>16.46</t>
  </si>
  <si>
    <t>40.08</t>
  </si>
  <si>
    <t>41.08</t>
  </si>
  <si>
    <t>159.04</t>
  </si>
  <si>
    <t>159.29</t>
  </si>
  <si>
    <t>159.54</t>
  </si>
  <si>
    <t>91.61</t>
  </si>
  <si>
    <t>91.86</t>
  </si>
  <si>
    <t>92.11</t>
  </si>
  <si>
    <t>97.54</t>
  </si>
  <si>
    <t>97.79</t>
  </si>
  <si>
    <t>98.04</t>
  </si>
  <si>
    <t>44.20</t>
  </si>
  <si>
    <t>45.20</t>
  </si>
  <si>
    <t>Is the score deep enough to remove the liner but not cut into the face?</t>
  </si>
  <si>
    <t>298</t>
  </si>
  <si>
    <t>300</t>
  </si>
  <si>
    <t>302</t>
  </si>
  <si>
    <t>Are the sheets clean and free of cutting debris?</t>
  </si>
  <si>
    <t>.620</t>
  </si>
  <si>
    <t>.630</t>
  </si>
  <si>
    <t>.640</t>
  </si>
  <si>
    <t>Is the VHB laminated to the medium release side?</t>
  </si>
  <si>
    <t>Length of space between parts</t>
  </si>
  <si>
    <t>1.96</t>
  </si>
  <si>
    <t>Length of 9 repeats - See drawing.</t>
  </si>
  <si>
    <t>48.082</t>
  </si>
  <si>
    <t>48.207</t>
  </si>
  <si>
    <t>48.332</t>
  </si>
  <si>
    <t>1.367</t>
  </si>
  <si>
    <t>1.392</t>
  </si>
  <si>
    <t>1.417</t>
  </si>
  <si>
    <t>2.17</t>
  </si>
  <si>
    <t>2.33</t>
  </si>
  <si>
    <t>2.49</t>
  </si>
  <si>
    <t>Width of slit hook</t>
  </si>
  <si>
    <t>11.38</t>
  </si>
  <si>
    <t>Length of adhesive on leading edge</t>
  </si>
  <si>
    <t>6.38</t>
  </si>
  <si>
    <t>Are the hook and 1587 on the same side of the non woven?</t>
  </si>
  <si>
    <t>Is the adhesive visually centered in the large area, cross web?</t>
  </si>
  <si>
    <t>Is the hook visually centered in the small area, cross web?</t>
  </si>
  <si>
    <t>8.22</t>
  </si>
  <si>
    <t>8.28</t>
  </si>
  <si>
    <t>7.985</t>
  </si>
  <si>
    <t>8.015</t>
  </si>
  <si>
    <t>Width of foam pad</t>
  </si>
  <si>
    <t>5.345</t>
  </si>
  <si>
    <t>5.360</t>
  </si>
  <si>
    <t>Length of foam pad</t>
  </si>
  <si>
    <t>6.355</t>
  </si>
  <si>
    <t>6.370</t>
  </si>
  <si>
    <t>6.385</t>
  </si>
  <si>
    <t>14.94</t>
  </si>
  <si>
    <t>Width of hole pattern from center to center</t>
  </si>
  <si>
    <t>14.36</t>
  </si>
  <si>
    <t>14.39</t>
  </si>
  <si>
    <t>14.42</t>
  </si>
  <si>
    <t>Distance from gear side to edge of holes</t>
  </si>
  <si>
    <t>0.255</t>
  </si>
  <si>
    <t>Distance from operator side to edge of holes</t>
  </si>
  <si>
    <t>Width of APR1510</t>
  </si>
  <si>
    <t>Width of the 9828/1mil PET/IB5121 lamination</t>
  </si>
  <si>
    <t>268.5</t>
  </si>
  <si>
    <t>270.0</t>
  </si>
  <si>
    <t>271.5</t>
  </si>
  <si>
    <t>Width of 468MP/FRA3312 lamination</t>
  </si>
  <si>
    <t>278.5</t>
  </si>
  <si>
    <t>280.0</t>
  </si>
  <si>
    <t>281.5</t>
  </si>
  <si>
    <t>Distance from edge of part to 9828/1mil PET/IB5121 lamination</t>
  </si>
  <si>
    <t>Does the lamination stack up match the enclosed drawing?</t>
  </si>
  <si>
    <t>Diameter of disk - Cross Web Direction</t>
  </si>
  <si>
    <t>Part edge to liner edge (Gear side)</t>
  </si>
  <si>
    <t>Distance from datum C to far edge</t>
  </si>
  <si>
    <t>18.11</t>
  </si>
  <si>
    <t>18.49</t>
  </si>
  <si>
    <t>555.62</t>
  </si>
  <si>
    <t>561.98</t>
  </si>
  <si>
    <t>571.50</t>
  </si>
  <si>
    <t>596.90</t>
  </si>
  <si>
    <t>Are parts packed Face UP in box?</t>
  </si>
  <si>
    <t>Are the rolls splice free?</t>
  </si>
  <si>
    <t>WIdth of Z2011 adhesive</t>
  </si>
  <si>
    <t>Are the slit edges fre of slivers and double cuts?</t>
  </si>
  <si>
    <t>Is the adhesive visually center on the carrier liner?</t>
  </si>
  <si>
    <t>Are all splices made per the SOP?</t>
  </si>
  <si>
    <t>Is the spool wound with the secondary liner out?</t>
  </si>
  <si>
    <t>Is the spool wound without gaps?</t>
  </si>
  <si>
    <t>Does the finish wind direction match the drawing.</t>
  </si>
  <si>
    <t>1.520</t>
  </si>
  <si>
    <t>Diameter of inner hole</t>
  </si>
  <si>
    <t>Width of 1524 slit roll</t>
  </si>
  <si>
    <t>Width of 3426A slit roll</t>
  </si>
  <si>
    <t>Distance from edge of 1524 to edge of 3426A</t>
  </si>
  <si>
    <t>Width of tabs</t>
  </si>
  <si>
    <t>Are parts on the release side of the liner?</t>
  </si>
  <si>
    <t>24.47</t>
  </si>
  <si>
    <t>24.53</t>
  </si>
  <si>
    <t>Sensitive material-Handle with care</t>
  </si>
  <si>
    <t>1.81</t>
  </si>
  <si>
    <t>3.83</t>
  </si>
  <si>
    <t>3.86</t>
  </si>
  <si>
    <t>3.89</t>
  </si>
  <si>
    <t>Is the hole cleanly removed?</t>
  </si>
  <si>
    <t>Is the die strike deep enough to strip the matrix but not cut through the liner?</t>
  </si>
  <si>
    <t>Does each bag contain an instruction sheet and an info card?</t>
  </si>
  <si>
    <t>Are the 10 mask facing opposite the cards?</t>
  </si>
  <si>
    <t>Is the printed strip oriented towards the ziplock end of the bag?</t>
  </si>
  <si>
    <t>Is the slit edge free of debris and slitting defects?</t>
  </si>
  <si>
    <t>7,000 parts</t>
  </si>
  <si>
    <t>0.74</t>
  </si>
  <si>
    <t>8.97</t>
  </si>
  <si>
    <t>9.03</t>
  </si>
  <si>
    <t>Is the print clear and free of gross printing defects?</t>
  </si>
  <si>
    <t>8.44</t>
  </si>
  <si>
    <t>8.50</t>
  </si>
  <si>
    <t>8.56</t>
  </si>
  <si>
    <t>Length of leading leg</t>
  </si>
  <si>
    <t>Length of overlap</t>
  </si>
  <si>
    <t>Width of overlap</t>
  </si>
  <si>
    <t>Width of fold</t>
  </si>
  <si>
    <t>0.43</t>
  </si>
  <si>
    <t>Distance from edge of part to edge of fold</t>
  </si>
  <si>
    <t>11.32</t>
  </si>
  <si>
    <t>6.19</t>
  </si>
  <si>
    <t>6.31</t>
  </si>
  <si>
    <t>Is the bandage contained within the pouch and not captured by the seal?</t>
  </si>
  <si>
    <t>NoFail)</t>
  </si>
  <si>
    <t>3.985</t>
  </si>
  <si>
    <t>4.015</t>
  </si>
  <si>
    <t>10.485</t>
  </si>
  <si>
    <t>10.500</t>
  </si>
  <si>
    <t>10.515</t>
  </si>
  <si>
    <t>9.38</t>
  </si>
  <si>
    <t>9.44</t>
  </si>
  <si>
    <t>0.945</t>
  </si>
  <si>
    <t>Is the slit edge free of slitting debris?</t>
  </si>
  <si>
    <t>5.51</t>
  </si>
  <si>
    <t>5.55</t>
  </si>
  <si>
    <t>Distance from right big hole to near edge (cross-web direction).</t>
  </si>
  <si>
    <t>4.74</t>
  </si>
  <si>
    <t>4.86</t>
  </si>
  <si>
    <t>2.350</t>
  </si>
  <si>
    <t>2.360</t>
  </si>
  <si>
    <t>3.956</t>
  </si>
  <si>
    <t>3.966</t>
  </si>
  <si>
    <t>3.976</t>
  </si>
  <si>
    <t>Is the die strike deep enough to strip the matrix but not cut into the PET low tack?</t>
  </si>
  <si>
    <t>Thickness of Foam (with one liner each side)</t>
  </si>
  <si>
    <t>Thickness of Foam (with one liner each side)
Visually inspect every foam roll prior to putting on press for thin spots</t>
  </si>
  <si>
    <t>10.16</t>
  </si>
  <si>
    <t>10.92</t>
  </si>
  <si>
    <t>Is the cut quality of the holes consistent with reference sample in Job Jacket?   (no excessive burn or raised edges on internal holes)</t>
  </si>
  <si>
    <t>1.04</t>
  </si>
  <si>
    <t>Is the score visually centered on the part?</t>
  </si>
  <si>
    <t>Does the score allow the liner to be easily removed?</t>
  </si>
  <si>
    <t>Is the 1524 laminated to the non-adhesive side of the 9776 foam?</t>
  </si>
  <si>
    <t>Hole 5</t>
  </si>
  <si>
    <t>4.20</t>
  </si>
  <si>
    <t>5.60</t>
  </si>
  <si>
    <t>Width of gap</t>
  </si>
  <si>
    <t>0.137</t>
  </si>
  <si>
    <t>Slit Width of 8993LC</t>
  </si>
  <si>
    <t>250 each</t>
  </si>
  <si>
    <t>6.76</t>
  </si>
  <si>
    <t>6.77</t>
  </si>
  <si>
    <t>6.78</t>
  </si>
  <si>
    <t>6.99</t>
  </si>
  <si>
    <t>7.01</t>
  </si>
  <si>
    <t>2.23</t>
  </si>
  <si>
    <t>2.24</t>
  </si>
  <si>
    <t>2.51</t>
  </si>
  <si>
    <t>Is the center window cleanly removed?</t>
  </si>
  <si>
    <t>0.800</t>
  </si>
  <si>
    <t>Are the slit rolls free of slivers and double cuts?</t>
  </si>
  <si>
    <t>0.42</t>
  </si>
  <si>
    <t>6.01</t>
  </si>
  <si>
    <t>3.36</t>
  </si>
  <si>
    <t>3.99</t>
  </si>
  <si>
    <t>4.01</t>
  </si>
  <si>
    <t>0.321</t>
  </si>
  <si>
    <t>0.303</t>
  </si>
  <si>
    <t>0.635</t>
  </si>
  <si>
    <t>5.11</t>
  </si>
  <si>
    <t>5.12</t>
  </si>
  <si>
    <t>Is the 9828 laminated to the film side of the foam?</t>
  </si>
  <si>
    <t>3.790</t>
  </si>
  <si>
    <t>3.800</t>
  </si>
  <si>
    <t>3.810</t>
  </si>
  <si>
    <t>1.540</t>
  </si>
  <si>
    <t>1.550</t>
  </si>
  <si>
    <t>1.560</t>
  </si>
  <si>
    <t>Are all of the holes cut through?</t>
  </si>
  <si>
    <t>Length of Adhesive</t>
  </si>
  <si>
    <t>1.697</t>
  </si>
  <si>
    <t>1.702</t>
  </si>
  <si>
    <t>1.712</t>
  </si>
  <si>
    <t>2.851</t>
  </si>
  <si>
    <t>2.856</t>
  </si>
  <si>
    <t>2.866</t>
  </si>
  <si>
    <t>True Position of Hole 1 Length</t>
  </si>
  <si>
    <t>0.6495</t>
  </si>
  <si>
    <t>0.6530</t>
  </si>
  <si>
    <t>0.6565</t>
  </si>
  <si>
    <t>Diameter of hole 1</t>
  </si>
  <si>
    <t>0.086</t>
  </si>
  <si>
    <t>0.089</t>
  </si>
  <si>
    <t>0.092</t>
  </si>
  <si>
    <t>Diameter of hole 2</t>
  </si>
  <si>
    <t>True Position of Hole 2 Width</t>
  </si>
  <si>
    <t>Diameter of Hole 3</t>
  </si>
  <si>
    <t>True Position of Hole 3 Width</t>
  </si>
  <si>
    <t>Diameter of Large Hole</t>
  </si>
  <si>
    <t>1.441</t>
  </si>
  <si>
    <t>1.448</t>
  </si>
  <si>
    <t>1.455</t>
  </si>
  <si>
    <t>True position of Large Hole Width</t>
  </si>
  <si>
    <t>0.5735</t>
  </si>
  <si>
    <t>0.5770</t>
  </si>
  <si>
    <t>0.5805</t>
  </si>
  <si>
    <t>Width of Slot</t>
  </si>
  <si>
    <t>0.192</t>
  </si>
  <si>
    <t>True Position of Slot Radius Length</t>
  </si>
  <si>
    <t>-0.0035</t>
  </si>
  <si>
    <t>0.0000</t>
  </si>
  <si>
    <t>0.0035</t>
  </si>
  <si>
    <t>Take 18" of laminated foam, allow it hang under its own weight.  Is curl less than 1.5" against a straight edge?</t>
  </si>
  <si>
    <t>4.93</t>
  </si>
  <si>
    <t>Liner Width on NON-TAB side (Reference Dimension)</t>
  </si>
  <si>
    <t>SEFAR Mesh thickness (using a micrometer)</t>
  </si>
  <si>
    <t>.045</t>
  </si>
  <si>
    <t>.05</t>
  </si>
  <si>
    <t>Trial - See Engineering before all steps.</t>
  </si>
  <si>
    <t>Vivid GR thickness (using a micrometer)</t>
  </si>
  <si>
    <t>.31</t>
  </si>
  <si>
    <t>.33</t>
  </si>
  <si>
    <t>.35</t>
  </si>
  <si>
    <t>467MP</t>
  </si>
  <si>
    <t>.053</t>
  </si>
  <si>
    <t>.058</t>
  </si>
  <si>
    <t>.063</t>
  </si>
  <si>
    <t>5 mil Clear PET thickness (using a micrometer)</t>
  </si>
  <si>
    <t>.114</t>
  </si>
  <si>
    <t>.127</t>
  </si>
  <si>
    <t>468MP thickness (using a micrometer)</t>
  </si>
  <si>
    <t>.119</t>
  </si>
  <si>
    <t>.132</t>
  </si>
  <si>
    <t>GLU Reagent Membrane thickness (using a micrometer)</t>
  </si>
  <si>
    <t>.18</t>
  </si>
  <si>
    <t>.20</t>
  </si>
  <si>
    <t>8211 thickness (using a micrometer)</t>
  </si>
  <si>
    <t>.022</t>
  </si>
  <si>
    <t>.025</t>
  </si>
  <si>
    <t>.028</t>
  </si>
  <si>
    <t>2 mil Clear PET thickness (using a micrometer)</t>
  </si>
  <si>
    <t>.050</t>
  </si>
  <si>
    <t>.055</t>
  </si>
  <si>
    <t>SAS width (RAM scope)</t>
  </si>
  <si>
    <t>12.85</t>
  </si>
  <si>
    <t>13.0</t>
  </si>
  <si>
    <t>13.15</t>
  </si>
  <si>
    <t>SAS length (RAM scope)</t>
  </si>
  <si>
    <t>Spacer width LH (RAM scope)</t>
  </si>
  <si>
    <t>Spacer width RH (RAM scope)</t>
  </si>
  <si>
    <t>Vivid GR width (RAM scope)</t>
  </si>
  <si>
    <t>5.92</t>
  </si>
  <si>
    <t>Gap between spacer and Vivid GR (RAM scope) - NO VIVID CAN BE TRAPPED UNDER MESH.</t>
  </si>
  <si>
    <t>0.5</t>
  </si>
  <si>
    <t>1.0</t>
  </si>
  <si>
    <t>SAS thickness over LH spacer (using a micrometer)</t>
  </si>
  <si>
    <t>.57</t>
  </si>
  <si>
    <t>.62</t>
  </si>
  <si>
    <t>.67</t>
  </si>
  <si>
    <t>SAS thickness over RH spacer (using a micrometer)</t>
  </si>
  <si>
    <t>Destructive test (remove mesh)- Measure thickness of Vivid GR in finished part (using a micrometer)</t>
  </si>
  <si>
    <t>.29</t>
  </si>
  <si>
    <t>N/A</t>
  </si>
  <si>
    <t>Destructive test (remove mesh) - Measure thickness of membrane/8211/2 mil PET in the part center. (using a micrometer, if possible, or calipers)</t>
  </si>
  <si>
    <t>.220</t>
  </si>
  <si>
    <t>.255</t>
  </si>
  <si>
    <t>Blue Dye Wetting Test - Does wetting begin in the center and spread outward?
(inspection frequency is 5 parts per 1000 parts)</t>
  </si>
  <si>
    <t>.5</t>
  </si>
  <si>
    <t>TC Reagent Membrane thickness (using a micrometer)</t>
  </si>
  <si>
    <t>TG Reagent Membrane thickness (using a micrometer)</t>
  </si>
  <si>
    <t>70 sheets</t>
  </si>
  <si>
    <t>Is the adhesive laminated to the uncoated non-release side of the CSM liner?</t>
  </si>
  <si>
    <t>Verify that no Vivid GR is trapped under the mesh.</t>
  </si>
  <si>
    <t>F (Fail)</t>
  </si>
  <si>
    <t>P (Pass)</t>
  </si>
  <si>
    <t>Thickness</t>
  </si>
  <si>
    <t>2.14</t>
  </si>
  <si>
    <t>Collect an additional 2 strips per lane for offline QA checks.</t>
  </si>
  <si>
    <t>27</t>
  </si>
  <si>
    <t>28</t>
  </si>
  <si>
    <t>29</t>
  </si>
  <si>
    <t>Is 42# liner wound out?</t>
  </si>
  <si>
    <t>Is there minimal cockling/wrinkles in the finished rolls?</t>
  </si>
  <si>
    <t>No(Fails)</t>
  </si>
  <si>
    <t>Distance from top edge of adhesive to centerline of holes</t>
  </si>
  <si>
    <t>7.42</t>
  </si>
  <si>
    <t>8.17</t>
  </si>
  <si>
    <t>8.92</t>
  </si>
  <si>
    <t>ASSAY PAD Length (using RamScope) 3.2mm Hole Parts</t>
  </si>
  <si>
    <t>ASSAY PAD Width (using RamScope) 3.2mm Hole Parts</t>
  </si>
  <si>
    <t>ASSAY PAD Circle Diameter (using RamScope)</t>
  </si>
  <si>
    <t>ASSAY PAD Circle to Circle distance (using RamScope) 3.2mm Hole Parts</t>
  </si>
  <si>
    <t>5.2</t>
  </si>
  <si>
    <t>ASSAY PAD Circle to short edge distance (using RamScope) 3.2mm Hole Parts</t>
  </si>
  <si>
    <t>ASSAY PAD Circle to long edge distance (using RamScope) 3.2mm Hole Parts</t>
  </si>
  <si>
    <t>ASSAY PAD Length (using RamScope) 3.85mm Hole Parts</t>
  </si>
  <si>
    <t>ASSAY PAD Width (using RamScope) 3.85mm Hole Parts</t>
  </si>
  <si>
    <t>ASSAY PAD Circle to Circle distance (using RamScope) 3.85mm Hole Parts</t>
  </si>
  <si>
    <t>ASSAY PAD Circle to short edge distance (using RamScope) 3.85mm Hole Parts</t>
  </si>
  <si>
    <t>ASSAY PAD Circle to long edge distance (using RamScope) 3.85mm Hole Parts</t>
  </si>
  <si>
    <t>Fully Assembled ASSAY PAD Length 3.2mm Hole Parts</t>
  </si>
  <si>
    <t>Fully Assembled ASSAY PAD Width 3.2mm Hole Parts</t>
  </si>
  <si>
    <t>Fully Assembled ASSAY PAD - Gap between SAS 3.2mm Hole Parts (No overlapping)</t>
  </si>
  <si>
    <t>Fully Assembled ASSAY PAD Length 3.85mm Hole Parts</t>
  </si>
  <si>
    <t>Fully Assembled ASSAY PAD Width 3.85mm Hole Parts</t>
  </si>
  <si>
    <t>Fully Assembled ASSAY PAD - Gap between SAS 3.85mm Hole Parts (No overlapping)</t>
  </si>
  <si>
    <t>5mil PET Thickness (Using micrometer)</t>
  </si>
  <si>
    <t>.12</t>
  </si>
  <si>
    <t>.14</t>
  </si>
  <si>
    <t>3M 8211 1 mil adhesive (Using micrometer)</t>
  </si>
  <si>
    <t>.023</t>
  </si>
  <si>
    <t>.027</t>
  </si>
  <si>
    <t>Space between parts</t>
  </si>
  <si>
    <t>26.37</t>
  </si>
  <si>
    <t>26.63</t>
  </si>
  <si>
    <t>Is the film visually centered on the liner?</t>
  </si>
  <si>
    <t>138.7</t>
  </si>
  <si>
    <t>139.7</t>
  </si>
  <si>
    <t>140.7</t>
  </si>
  <si>
    <t>Are all of the internal features thru-cut, per the drawing?</t>
  </si>
  <si>
    <t>3 pieces</t>
  </si>
  <si>
    <t>Length of overlap on foil</t>
  </si>
  <si>
    <t>Length of overlap on 9713 adhesive</t>
  </si>
  <si>
    <t>Light meter reading - Must be less then 40 LUX</t>
  </si>
  <si>
    <t>&lt;40</t>
  </si>
  <si>
    <t xml:space="preserve">40 </t>
  </si>
  <si>
    <t>Are the finished rolls splice free?</t>
  </si>
  <si>
    <t>Is the Kapton free of all cardboard contamination</t>
  </si>
  <si>
    <t>every sheet</t>
  </si>
  <si>
    <t>Do sheets meet Note 7 on drawing?  See note in finishing area.</t>
  </si>
  <si>
    <t>6.464</t>
  </si>
  <si>
    <t>6.472</t>
  </si>
  <si>
    <t>6.480</t>
  </si>
  <si>
    <t>3.803</t>
  </si>
  <si>
    <t>3.811</t>
  </si>
  <si>
    <t>3.819</t>
  </si>
  <si>
    <t>1.459</t>
  </si>
  <si>
    <t>Are the holes cleanly ejected and all slugs cleared?</t>
  </si>
  <si>
    <t>Length of adhesive part</t>
  </si>
  <si>
    <t>1.691</t>
  </si>
  <si>
    <t>1.696</t>
  </si>
  <si>
    <t>1.848</t>
  </si>
  <si>
    <t>1.895</t>
  </si>
  <si>
    <t>1.941</t>
  </si>
  <si>
    <t>Is the adhesive die strike deep enough to remove the matrix but not cut into the liner?</t>
  </si>
  <si>
    <t>Are equipment parameters maintained as determined by the validation?</t>
  </si>
  <si>
    <t>Is the proper "Ascensia" label applied to the bags?</t>
  </si>
  <si>
    <t>Make sure fold is visually centered on part, all 4 lanes.</t>
  </si>
  <si>
    <t>True position of Large Hole Length</t>
  </si>
  <si>
    <t>True Position of Hole 1 Width</t>
  </si>
  <si>
    <t>True Position of Hole 2 Length</t>
  </si>
  <si>
    <t>True Position of Hole 3 Length</t>
  </si>
  <si>
    <t>True Position of Slot Radius Width</t>
  </si>
  <si>
    <t>1.0795</t>
  </si>
  <si>
    <t>1.0830</t>
  </si>
  <si>
    <t>1.0865</t>
  </si>
  <si>
    <t>Tab Length</t>
  </si>
  <si>
    <t>0.531</t>
  </si>
  <si>
    <t>0.681</t>
  </si>
  <si>
    <t>0.831</t>
  </si>
  <si>
    <t>0.236</t>
  </si>
  <si>
    <t>0.361</t>
  </si>
  <si>
    <t>0.486</t>
  </si>
  <si>
    <t>Width of small leg</t>
  </si>
  <si>
    <t>0.070</t>
  </si>
  <si>
    <t>1.485</t>
  </si>
  <si>
    <t>1.515</t>
  </si>
  <si>
    <t>Adhesive thickness</t>
  </si>
  <si>
    <t>0.018</t>
  </si>
  <si>
    <t>0.022</t>
  </si>
  <si>
    <t>Ensure 78# liner is easy release</t>
  </si>
  <si>
    <t>Width of Mylar</t>
  </si>
  <si>
    <t>4.22</t>
  </si>
  <si>
    <t>4.25</t>
  </si>
  <si>
    <t>4.28</t>
  </si>
  <si>
    <t>Are the slit edges free of slivers and debris?</t>
  </si>
  <si>
    <t>True Position of Large Hole</t>
  </si>
  <si>
    <t>Large Hole Radius (Asymmetric)</t>
  </si>
  <si>
    <t>0.412</t>
  </si>
  <si>
    <t>True Position of Hole 1</t>
  </si>
  <si>
    <t>0.009</t>
  </si>
  <si>
    <t>Hole 1 Diameter (Asymmetric)</t>
  </si>
  <si>
    <t>0.163</t>
  </si>
  <si>
    <t>True Position of Hole 2</t>
  </si>
  <si>
    <t>0.013</t>
  </si>
  <si>
    <t>Hole 2 Diameter (Asymmetric)</t>
  </si>
  <si>
    <t>0.189</t>
  </si>
  <si>
    <t>True Position of Hole 3</t>
  </si>
  <si>
    <t>Hole 3 Diameter (Asymmetric)</t>
  </si>
  <si>
    <t>Slot Radius (Asymmetric)</t>
  </si>
  <si>
    <t>0.091</t>
  </si>
  <si>
    <t>True Position of Slot</t>
  </si>
  <si>
    <t>Length of Part (Asymmetric)</t>
  </si>
  <si>
    <t>Width of Adhesive (Asymmetric)</t>
  </si>
  <si>
    <t>2.324</t>
  </si>
  <si>
    <t>2.331</t>
  </si>
  <si>
    <t>Edge to Large Hole Center (Asymmetric)</t>
  </si>
  <si>
    <t>0.564</t>
  </si>
  <si>
    <t>0.586</t>
  </si>
  <si>
    <t>Length of gauze</t>
  </si>
  <si>
    <t>Is the VHB laminated to the medium release side of the liner?</t>
  </si>
  <si>
    <t>Is the score deep enough to remove the foam but not cut into the liner?</t>
  </si>
  <si>
    <t>2.60</t>
  </si>
  <si>
    <t>Diameter of small Hole 1</t>
  </si>
  <si>
    <t>.076</t>
  </si>
  <si>
    <t>.079</t>
  </si>
  <si>
    <t>.082</t>
  </si>
  <si>
    <t>Diameter of small Hole 2</t>
  </si>
  <si>
    <t>Diameter of small Hole 3</t>
  </si>
  <si>
    <t>Position of small hole 1 (Pass or Fail as indicated by the Program)</t>
  </si>
  <si>
    <t>Position of small hole 2 (Pass or Fail as indicated by the Program)</t>
  </si>
  <si>
    <t>Position of small hole 3 (Pass or Fail as indicated by the Program)</t>
  </si>
  <si>
    <t>19.52</t>
  </si>
  <si>
    <t>20.32</t>
  </si>
  <si>
    <t>21.12</t>
  </si>
  <si>
    <t>9.61</t>
  </si>
  <si>
    <t>34,500 parts</t>
  </si>
  <si>
    <t>IN PROGRESS DO NOT USE</t>
  </si>
  <si>
    <t>2.815</t>
  </si>
  <si>
    <t>2.845</t>
  </si>
  <si>
    <t>Distance from end of part to printed stripe</t>
  </si>
  <si>
    <t>Width of stripe</t>
  </si>
  <si>
    <t>Is the print free of debris and gross print defects?</t>
  </si>
  <si>
    <t>335.20</t>
  </si>
  <si>
    <t>336.00</t>
  </si>
  <si>
    <t>336.80</t>
  </si>
  <si>
    <t>Distance from center of one hole to center of next hole</t>
  </si>
  <si>
    <t>279.13</t>
  </si>
  <si>
    <t>279.93</t>
  </si>
  <si>
    <t>280.73</t>
  </si>
  <si>
    <t>342.10</t>
  </si>
  <si>
    <t>342.90</t>
  </si>
  <si>
    <t>343.70</t>
  </si>
  <si>
    <t>Distance from narrow end of sheet to center of first hole</t>
  </si>
  <si>
    <t>15.26</t>
  </si>
  <si>
    <t>16.86</t>
  </si>
  <si>
    <t>Width of narrow section of VHB</t>
  </si>
  <si>
    <t>Width of wide part of VHB</t>
  </si>
  <si>
    <t>Distance from center of hole on one side to center of hole on other side</t>
  </si>
  <si>
    <t>32.30</t>
  </si>
  <si>
    <t>33.10</t>
  </si>
  <si>
    <t>33.90</t>
  </si>
  <si>
    <t>15.48</t>
  </si>
  <si>
    <t>16.28</t>
  </si>
  <si>
    <t>Is the perf in the middle cut deep enough to tear apart but also hold the parts together?</t>
  </si>
  <si>
    <t>Core Diameter</t>
  </si>
  <si>
    <t>75.70</t>
  </si>
  <si>
    <t>76.20</t>
  </si>
  <si>
    <t>76.70</t>
  </si>
  <si>
    <t>Is the roll length at least 280 meters?</t>
  </si>
  <si>
    <t>PVC Thickness</t>
  </si>
  <si>
    <t>Check one foot of Material for the 3 items below -</t>
  </si>
  <si>
    <t>Is material free of loose contamination; such as but not limited to; hair, bug, oil, mud, gross adherence?</t>
  </si>
  <si>
    <t>Is material free of embedded contamination 0.3mm2 or greater?  No more than 2 between 0.05-0.29mm2?</t>
  </si>
  <si>
    <t>Is material free of concentrated outbreaks of embedded contamination less than 0.05mm2 in size?</t>
  </si>
  <si>
    <t>Is material free of holes and tears?</t>
  </si>
  <si>
    <t>Is material free of folds, scratches, or unevenness in film?</t>
  </si>
  <si>
    <t xml:space="preserve">Check one foot of Material for the 3 items below - 
</t>
  </si>
  <si>
    <t>Is the roll length at least 300 meters?</t>
  </si>
  <si>
    <t xml:space="preserve">Check multiple samples from each roll for the 3 items below - See QA for number of samples per roll
</t>
  </si>
  <si>
    <t xml:space="preserve">Check multiple samples from each roll for the 3 items below - See QA for number of samples per roll
</t>
  </si>
  <si>
    <t>Distance from leading edge of registration mark to trailing edge of adhesive</t>
  </si>
  <si>
    <t>Repeat of registration marks</t>
  </si>
  <si>
    <t>0.277</t>
  </si>
  <si>
    <t>0.292</t>
  </si>
  <si>
    <t>Is the roll wound without telescoping and gapping?</t>
  </si>
  <si>
    <t>1.46</t>
  </si>
  <si>
    <t>39.8</t>
  </si>
  <si>
    <t>41.4</t>
  </si>
  <si>
    <t>36.0</t>
  </si>
  <si>
    <t>36.8</t>
  </si>
  <si>
    <t>70.2</t>
  </si>
  <si>
    <t>71.8</t>
  </si>
  <si>
    <t>31.7</t>
  </si>
  <si>
    <t>32.5</t>
  </si>
  <si>
    <t>33.3</t>
  </si>
  <si>
    <t>Is the die strike deep enough to strip the filter paper but not cut into the 24pt board?</t>
  </si>
  <si>
    <t>0.847</t>
  </si>
  <si>
    <t>0.630</t>
  </si>
  <si>
    <t>0.650</t>
  </si>
  <si>
    <t>Is the adhesive laminated to the tighter side of the paper liner?</t>
  </si>
  <si>
    <t>0.245</t>
  </si>
  <si>
    <t>Diameter of internal hole</t>
  </si>
  <si>
    <t>0.057</t>
  </si>
  <si>
    <t>0.062</t>
  </si>
  <si>
    <t>Are the holes cleanly ejected</t>
  </si>
  <si>
    <t>0.335</t>
  </si>
  <si>
    <t>Are the windows cleanly ejected</t>
  </si>
  <si>
    <t>Is the pressure sensitive laser cut deep enough to remove the matrix but not cut through the liner?</t>
  </si>
  <si>
    <t>0.194</t>
  </si>
  <si>
    <t>Distance from far edge to circle</t>
  </si>
  <si>
    <t>Distance from operator side to circle</t>
  </si>
  <si>
    <t>Is the circle cleanly ejected?</t>
  </si>
  <si>
    <t>Is the 9471LE laminated to the face side of the 8671?</t>
  </si>
  <si>
    <t>Width of liner being slit on lathe or CEI</t>
  </si>
  <si>
    <t>4</t>
  </si>
  <si>
    <t>Liner Edge to Part Edge Gear Side</t>
  </si>
  <si>
    <t>Datum C to Far Window Edge</t>
  </si>
  <si>
    <t>18.33</t>
  </si>
  <si>
    <t>Datum B to Far Window Edge</t>
  </si>
  <si>
    <t>24.70</t>
  </si>
  <si>
    <t>3.666</t>
  </si>
  <si>
    <t>3.681</t>
  </si>
  <si>
    <t>3.696</t>
  </si>
  <si>
    <t>1.639</t>
  </si>
  <si>
    <t>1.654</t>
  </si>
  <si>
    <t>1.669</t>
  </si>
  <si>
    <t>1.295</t>
  </si>
  <si>
    <t>1.048</t>
  </si>
  <si>
    <t>1.078</t>
  </si>
  <si>
    <t>Diameter of one of the holes on the 6 hole grid</t>
  </si>
  <si>
    <t>0.209</t>
  </si>
  <si>
    <t>0.224</t>
  </si>
  <si>
    <t>Does the whole part pass the routine set up for inspection?</t>
  </si>
  <si>
    <t>Are all of the internal holes removed?</t>
  </si>
  <si>
    <t>Is the interleave centered on the adhesive and laminated with the release side to the part?</t>
  </si>
  <si>
    <t>2.015</t>
  </si>
  <si>
    <t>2.045</t>
  </si>
  <si>
    <t>1.285</t>
  </si>
  <si>
    <t>1.300</t>
  </si>
  <si>
    <t>1.315</t>
  </si>
  <si>
    <t>Keyence Rontine</t>
  </si>
  <si>
    <t xml:space="preserve">See Eric After Sign Off </t>
  </si>
  <si>
    <t>2.385</t>
  </si>
  <si>
    <t>2.400</t>
  </si>
  <si>
    <t>2.415</t>
  </si>
  <si>
    <t>Amount of exposed 528 adhesive</t>
  </si>
  <si>
    <t>Is the adhesive laminated to the corona treated side of the foam?</t>
  </si>
  <si>
    <t>0.782</t>
  </si>
  <si>
    <t>0.792</t>
  </si>
  <si>
    <t>0.223</t>
  </si>
  <si>
    <t>0.228</t>
  </si>
  <si>
    <t>1.161</t>
  </si>
  <si>
    <t>1.166</t>
  </si>
  <si>
    <t>Check Once per shift and after making any laminator adjustments.</t>
  </si>
  <si>
    <t>Check foam width before and after lamination top and bottom.  Are the widths less than 1/32" different? Beginning of roll and end of roll.</t>
  </si>
  <si>
    <t>0.802</t>
  </si>
  <si>
    <t>0.238</t>
  </si>
  <si>
    <t>0.243</t>
  </si>
  <si>
    <t>Distance from edge to window</t>
  </si>
  <si>
    <t>Are all of the internal cuts removed cleanly?</t>
  </si>
  <si>
    <t>2.374</t>
  </si>
  <si>
    <t>2.379</t>
  </si>
  <si>
    <t>2.384</t>
  </si>
  <si>
    <t>0.993</t>
  </si>
  <si>
    <t>0.998</t>
  </si>
  <si>
    <t>1.003</t>
  </si>
  <si>
    <t>2.177</t>
  </si>
  <si>
    <t>2.182</t>
  </si>
  <si>
    <t>2.187</t>
  </si>
  <si>
    <t>0.797</t>
  </si>
  <si>
    <t>0.099</t>
  </si>
  <si>
    <t>0.104</t>
  </si>
  <si>
    <t>2.137</t>
  </si>
  <si>
    <t>2.142</t>
  </si>
  <si>
    <t>2.147</t>
  </si>
  <si>
    <t>0.752</t>
  </si>
  <si>
    <t>0.757</t>
  </si>
  <si>
    <t>0.762</t>
  </si>
  <si>
    <t>Distance from first hole to 3rd hole</t>
  </si>
  <si>
    <t>0.473</t>
  </si>
  <si>
    <t>0.478</t>
  </si>
  <si>
    <t>0.483</t>
  </si>
  <si>
    <t>Distance from edge to first hole</t>
  </si>
  <si>
    <t>0.338</t>
  </si>
  <si>
    <t>0.348</t>
  </si>
  <si>
    <t>0.074</t>
  </si>
  <si>
    <t>0.079</t>
  </si>
  <si>
    <t>0.084</t>
  </si>
  <si>
    <t>Distance from first hole to 8th hole</t>
  </si>
  <si>
    <t>1.331</t>
  </si>
  <si>
    <t>1.336</t>
  </si>
  <si>
    <t>2,000 sets</t>
  </si>
  <si>
    <t>6.82</t>
  </si>
  <si>
    <t>2.16</t>
  </si>
  <si>
    <t>Does Part fit template?</t>
  </si>
  <si>
    <t>Does part fit inspection template?</t>
  </si>
  <si>
    <t>Does tab fit inspection template? (Check PET)</t>
  </si>
  <si>
    <t>Does the perf tear easily but stay together when running on press?</t>
  </si>
  <si>
    <t>2 parts</t>
  </si>
  <si>
    <t>21.45</t>
  </si>
  <si>
    <t>21.48</t>
  </si>
  <si>
    <t>21.51</t>
  </si>
  <si>
    <t>21.05</t>
  </si>
  <si>
    <t>21.08</t>
  </si>
  <si>
    <t>21.11</t>
  </si>
  <si>
    <t>12.29</t>
  </si>
  <si>
    <t>12.32</t>
  </si>
  <si>
    <t>12.35</t>
  </si>
  <si>
    <t>11.89</t>
  </si>
  <si>
    <t>11.95</t>
  </si>
  <si>
    <t>Does part fit the approved template?</t>
  </si>
  <si>
    <t>50 roll</t>
  </si>
  <si>
    <t>Width of slit roll (if 48mm / 1.89")</t>
  </si>
  <si>
    <t>0.058</t>
  </si>
  <si>
    <t>0.088</t>
  </si>
  <si>
    <t>0.118</t>
  </si>
  <si>
    <t>Doe the part fit the approved template?</t>
  </si>
  <si>
    <t>60 parts</t>
  </si>
  <si>
    <t>Leading Leg Length</t>
  </si>
  <si>
    <t>Trailing Leg Length</t>
  </si>
  <si>
    <t>Gear Leg Width</t>
  </si>
  <si>
    <t>Operator Leg Width</t>
  </si>
  <si>
    <t>2.58</t>
  </si>
  <si>
    <t>Calipers</t>
  </si>
  <si>
    <t>Width of slit PET</t>
  </si>
  <si>
    <t>26.875</t>
  </si>
  <si>
    <t>27.000</t>
  </si>
  <si>
    <t>27.125</t>
  </si>
  <si>
    <t>Width of gear side adhesive area</t>
  </si>
  <si>
    <t>Width of op side adhesive area</t>
  </si>
  <si>
    <t>Does the perf tear easily but stay together when unwinding from roll?</t>
  </si>
  <si>
    <t>Does a part fit the approved template?</t>
  </si>
  <si>
    <t>Does the sheet fit the approved template?</t>
  </si>
  <si>
    <t>Delta:  Measure 2 parts (1 Gear side / 1 Operator side) every 34,400 parts.
Fan Folder:  Record once per level of boxes on the pallet (2X per pallet).</t>
  </si>
  <si>
    <t>3.719</t>
  </si>
  <si>
    <t>3.469</t>
  </si>
  <si>
    <t>3.531</t>
  </si>
  <si>
    <t>Are 2 parts or more visible on the tail at the top of the box?  (Monitor constantly/log data every 22-24 boxes)</t>
  </si>
  <si>
    <t>Is the box oriented correctly with the 4 square cut outs at the bottom?  (Monitor constantly/log data every 22-24 boxes)</t>
  </si>
  <si>
    <t>2.190</t>
  </si>
  <si>
    <t>2.210</t>
  </si>
  <si>
    <t>Is the print orientation such that the "Bair" logo is on the gear side, facing the D7 web direction (left)?</t>
  </si>
  <si>
    <t>Inspect The First and Last 4 Parts on Every Roll at The Rewind  (Capture twice every 34,400 parts)</t>
  </si>
  <si>
    <t>Length o part</t>
  </si>
  <si>
    <t>49.2</t>
  </si>
  <si>
    <t>23.8</t>
  </si>
  <si>
    <t>Is the adhesive laminated to the tighter side of the liner?</t>
  </si>
  <si>
    <t>Distance from top of part to edge of carrier liner</t>
  </si>
  <si>
    <t>Distance from center of hole to centerline of VHB</t>
  </si>
  <si>
    <t>Distance from center of slot to centerline of VHB</t>
  </si>
  <si>
    <t>26.8</t>
  </si>
  <si>
    <t>27.6</t>
  </si>
  <si>
    <t>28.4</t>
  </si>
  <si>
    <t>Is the slit edge free of slivers, double cuts , and other slitting debris?</t>
  </si>
  <si>
    <t>Every set</t>
  </si>
  <si>
    <t>0.432</t>
  </si>
  <si>
    <t>0.492</t>
  </si>
  <si>
    <t>0.552</t>
  </si>
  <si>
    <t>0.678</t>
  </si>
  <si>
    <t>0.738</t>
  </si>
  <si>
    <t>0.798</t>
  </si>
  <si>
    <t>0.924</t>
  </si>
  <si>
    <t>1.044</t>
  </si>
  <si>
    <t>1.416</t>
  </si>
  <si>
    <t>1.476</t>
  </si>
  <si>
    <t>1.536</t>
  </si>
  <si>
    <t>Is the force to separate the tab ≥ 4lb on peel tester?</t>
  </si>
  <si>
    <t>Bottom Left Diameter</t>
  </si>
  <si>
    <t>0.198</t>
  </si>
  <si>
    <t>Bottom Right Diameter</t>
  </si>
  <si>
    <t>Top Right Diameter</t>
  </si>
  <si>
    <t>0.173</t>
  </si>
  <si>
    <t>True Position of Center Hole</t>
  </si>
  <si>
    <t>True Position of Top Left</t>
  </si>
  <si>
    <t>True Position of Top Right</t>
  </si>
  <si>
    <t>True Position of Bottom Left</t>
  </si>
  <si>
    <t>True Position of Bottom Right</t>
  </si>
  <si>
    <t>Center Diameter</t>
  </si>
  <si>
    <t>0.818</t>
  </si>
  <si>
    <t>0.823</t>
  </si>
  <si>
    <t>0.828</t>
  </si>
  <si>
    <t>Top Left Radius</t>
  </si>
  <si>
    <t>0.098</t>
  </si>
  <si>
    <t>Leg Width</t>
  </si>
  <si>
    <t>0.123</t>
  </si>
  <si>
    <t>0.133</t>
  </si>
  <si>
    <t>4.19</t>
  </si>
  <si>
    <t>3.07</t>
  </si>
  <si>
    <t>3.08</t>
  </si>
  <si>
    <t>4.517</t>
  </si>
  <si>
    <t>4.527</t>
  </si>
  <si>
    <t>4.537</t>
  </si>
  <si>
    <t>Diameter of the large hole</t>
  </si>
  <si>
    <t>Slit width as called out on work order</t>
  </si>
  <si>
    <t>Is the adhesive laminated to the film side of the CSM?</t>
  </si>
  <si>
    <t>Is the adhesive centered on the film side of the CSM?</t>
  </si>
  <si>
    <t>Width of finished slit rolls</t>
  </si>
  <si>
    <t xml:space="preserve">Is the slit edge free of slitting defects?  Material is fibrous so it may have slivers or strings. </t>
  </si>
  <si>
    <t>Does the par fit the approved liner template?</t>
  </si>
  <si>
    <t>Is the material taped to the core for the whole width?</t>
  </si>
  <si>
    <t>Material slit width</t>
  </si>
  <si>
    <t>4.438</t>
  </si>
  <si>
    <t>4.563</t>
  </si>
  <si>
    <t>Are rolls wrapped in bubble wrap with end caps.</t>
  </si>
  <si>
    <t>2 roll</t>
  </si>
  <si>
    <t>2.875</t>
  </si>
  <si>
    <t>Is the print free of gross defects and is legible?</t>
  </si>
  <si>
    <t>7.875</t>
  </si>
  <si>
    <t>8.10</t>
  </si>
  <si>
    <t>6.625</t>
  </si>
  <si>
    <t>6.875</t>
  </si>
  <si>
    <t>Width of 6" wide roll</t>
  </si>
  <si>
    <t>Are parts free of dust, dirt, and debris?
to include particulate trapped between overlam and hips, on surface, or in or on adhesive.</t>
  </si>
  <si>
    <t>Diameter of Liner (Web)</t>
  </si>
  <si>
    <t>0.84</t>
  </si>
  <si>
    <t>0.86</t>
  </si>
  <si>
    <t>5.735</t>
  </si>
  <si>
    <t>5.750</t>
  </si>
  <si>
    <t>5.765</t>
  </si>
  <si>
    <t>5.985</t>
  </si>
  <si>
    <t>6.015</t>
  </si>
  <si>
    <t>Width of gear side tab</t>
  </si>
  <si>
    <t>Width of op side tab</t>
  </si>
  <si>
    <t>Is the score deep enough to remove the adhesive and foam but not cut into the liner?</t>
  </si>
  <si>
    <t>Width of the 9824/2 mil LDPE/9425HT lamination</t>
  </si>
  <si>
    <t>Width of 468MP/Q300 lamination</t>
  </si>
  <si>
    <t>Distance from edge of part to 9824/2 mil LDPE/9425HT lamination</t>
  </si>
  <si>
    <t>0.034</t>
  </si>
  <si>
    <t>0.049</t>
  </si>
  <si>
    <t>0.064</t>
  </si>
  <si>
    <t>Width of slit roll (if true 2" / 50.8 mm)</t>
  </si>
  <si>
    <t>7.337</t>
  </si>
  <si>
    <t>7.357</t>
  </si>
  <si>
    <t>7.377</t>
  </si>
  <si>
    <t>0.707</t>
  </si>
  <si>
    <t>0.727</t>
  </si>
  <si>
    <t>0.747</t>
  </si>
  <si>
    <t>1.70</t>
  </si>
  <si>
    <t>4.81</t>
  </si>
  <si>
    <t>Width of CSM</t>
  </si>
  <si>
    <t>10.88</t>
  </si>
  <si>
    <t>Width of 9458</t>
  </si>
  <si>
    <t>10.63</t>
  </si>
  <si>
    <t>Are the slit edges free of slitting debris?</t>
  </si>
  <si>
    <t>10.44</t>
  </si>
  <si>
    <t>10.56</t>
  </si>
  <si>
    <t>Big Hole X</t>
  </si>
  <si>
    <t>-0.25</t>
  </si>
  <si>
    <t>Big Hole Y</t>
  </si>
  <si>
    <t>Bottom Small Hole X</t>
  </si>
  <si>
    <t>Center Hole to Left Edge</t>
  </si>
  <si>
    <t>1.891</t>
  </si>
  <si>
    <t>1.901</t>
  </si>
  <si>
    <t>1.911</t>
  </si>
  <si>
    <t>Center Hole to Bottom Edge</t>
  </si>
  <si>
    <t>0.146</t>
  </si>
  <si>
    <t>Bottom Left Hole to Center Hole X</t>
  </si>
  <si>
    <t>1.479</t>
  </si>
  <si>
    <t>1.489</t>
  </si>
  <si>
    <t>Bottom Right Hole to Center Hole X</t>
  </si>
  <si>
    <t>Top Left Hole to Center Hole X</t>
  </si>
  <si>
    <t>1.390</t>
  </si>
  <si>
    <t>1.400</t>
  </si>
  <si>
    <t>1.410</t>
  </si>
  <si>
    <t>Top Right Hole to Center Hole X</t>
  </si>
  <si>
    <t>Bottom Left Hole to Center Hole Y</t>
  </si>
  <si>
    <t>0.039</t>
  </si>
  <si>
    <t>0.059</t>
  </si>
  <si>
    <t>Bottom Right Hole to Center Hole Y</t>
  </si>
  <si>
    <t>Top Left Hole to Center Hole Y</t>
  </si>
  <si>
    <t>1.205</t>
  </si>
  <si>
    <t>1.215</t>
  </si>
  <si>
    <t>1.225</t>
  </si>
  <si>
    <t>Top Right Hole to Center Hole Y</t>
  </si>
  <si>
    <t>Are any splices made so that the finished rolls unwind correctly?</t>
  </si>
  <si>
    <t>See Engineering for inspections</t>
  </si>
  <si>
    <t>1.266</t>
  </si>
  <si>
    <t>Is the dual lock mated together stem side to stem side and NOT adhesive to adhesive?</t>
  </si>
  <si>
    <t>Pinhole to Pinhole Cross-Web</t>
  </si>
  <si>
    <t>3.395</t>
  </si>
  <si>
    <t>3.400</t>
  </si>
  <si>
    <t>3.405</t>
  </si>
  <si>
    <t>Length of Pocket</t>
  </si>
  <si>
    <t>1.589</t>
  </si>
  <si>
    <t>Width of Pocket</t>
  </si>
  <si>
    <t>0.880</t>
  </si>
  <si>
    <t>0.840</t>
  </si>
  <si>
    <t>Pinhole to edge of part</t>
  </si>
  <si>
    <t>0.562</t>
  </si>
  <si>
    <t>0.567</t>
  </si>
  <si>
    <t>0.572</t>
  </si>
  <si>
    <t>0.334</t>
  </si>
  <si>
    <t>0.339</t>
  </si>
  <si>
    <t>0.444</t>
  </si>
  <si>
    <t>0.449</t>
  </si>
  <si>
    <t>0.454</t>
  </si>
  <si>
    <t>Does DI part of data matrix read 00816417022302 ?</t>
  </si>
  <si>
    <t>Durometer of log prior to slitting.</t>
  </si>
  <si>
    <t>90</t>
  </si>
  <si>
    <t>Is the finished roll wound without gapping or telescoping?</t>
  </si>
  <si>
    <t>Is the finished roll wound to unwind direction 2</t>
  </si>
  <si>
    <t>Is the black dark and free of gross print defects?</t>
  </si>
  <si>
    <t>37.2</t>
  </si>
  <si>
    <t>38.2</t>
  </si>
  <si>
    <t>39.2</t>
  </si>
  <si>
    <t>Is the score deep enough to remove the adhesive but not cut into the 78# liner?</t>
  </si>
  <si>
    <t>Length of 1509</t>
  </si>
  <si>
    <t>67.7</t>
  </si>
  <si>
    <t>68.0</t>
  </si>
  <si>
    <t>68.3</t>
  </si>
  <si>
    <t>79.7</t>
  </si>
  <si>
    <t>80.0</t>
  </si>
  <si>
    <t>80.3</t>
  </si>
  <si>
    <t>Distance from leading edge of 1509 to edge of part</t>
  </si>
  <si>
    <t>Width of 1509</t>
  </si>
  <si>
    <t>97.2</t>
  </si>
  <si>
    <t>97.5</t>
  </si>
  <si>
    <t>105.2</t>
  </si>
  <si>
    <t>105.5</t>
  </si>
  <si>
    <t>105.8</t>
  </si>
  <si>
    <t>Distance from edge of 1509 to non-tab edge of part</t>
  </si>
  <si>
    <t>Is the 1509 die strike deep enough to remove the matrix but not cut into the liner?</t>
  </si>
  <si>
    <t>0.684</t>
  </si>
  <si>
    <t>Is the part free of any dirt or other debris?</t>
  </si>
  <si>
    <t>Width of part (at widest part)</t>
  </si>
  <si>
    <t>0.438</t>
  </si>
  <si>
    <t>0.448</t>
  </si>
  <si>
    <t>0.458</t>
  </si>
  <si>
    <t>3 parts</t>
  </si>
  <si>
    <t>4.32</t>
  </si>
  <si>
    <t>4.35</t>
  </si>
  <si>
    <t>4.38</t>
  </si>
  <si>
    <t>2.42</t>
  </si>
  <si>
    <t>2.45</t>
  </si>
  <si>
    <t>1.681</t>
  </si>
  <si>
    <t>1.701</t>
  </si>
  <si>
    <t>.072</t>
  </si>
  <si>
    <t>.086</t>
  </si>
  <si>
    <t>17 rolls</t>
  </si>
  <si>
    <t>2 slit rolls</t>
  </si>
  <si>
    <t>Width of slit roll - See work order for slit widths</t>
  </si>
  <si>
    <t>-0.093</t>
  </si>
  <si>
    <t>+0.093</t>
  </si>
  <si>
    <t>Diameter of Gel</t>
  </si>
  <si>
    <t>Diameter of Liner (Cross-Web)</t>
  </si>
  <si>
    <t>C to Far Window Edge</t>
  </si>
  <si>
    <t>B to Far Window Edge</t>
  </si>
  <si>
    <t>Position of right most hole (Y)</t>
  </si>
  <si>
    <t>Position of hole second from the right (Y)</t>
  </si>
  <si>
    <t>Position of third from the right (Y)</t>
  </si>
  <si>
    <t>Centering of hole pattern (X)  Measured from right corner of flat edge to center of right most hole.</t>
  </si>
  <si>
    <t xml:space="preserve">Is the print visually centered on the label? </t>
  </si>
  <si>
    <t>Is the print legible and free of any gross defects?</t>
  </si>
  <si>
    <t>750 parts</t>
  </si>
  <si>
    <t>3.418</t>
  </si>
  <si>
    <t>3.450</t>
  </si>
  <si>
    <t>3.482</t>
  </si>
  <si>
    <t>2.382</t>
  </si>
  <si>
    <t>Diameter of small holes.  Measure a different one for each inspection.</t>
  </si>
  <si>
    <t>4.175</t>
  </si>
  <si>
    <t>4.200</t>
  </si>
  <si>
    <t>4.225</t>
  </si>
  <si>
    <t>3.100</t>
  </si>
  <si>
    <t>Is the die strike deep enough to remove the matrix and pull the centers?</t>
  </si>
  <si>
    <t>6.468</t>
  </si>
  <si>
    <t>6.532</t>
  </si>
  <si>
    <t>5.218</t>
  </si>
  <si>
    <t>5.282</t>
  </si>
  <si>
    <t>0.213</t>
  </si>
  <si>
    <t>7.075</t>
  </si>
  <si>
    <t>7.100</t>
  </si>
  <si>
    <t>5.825</t>
  </si>
  <si>
    <t>5.850</t>
  </si>
  <si>
    <t>150 sheets</t>
  </si>
  <si>
    <t>Width of 9874</t>
  </si>
  <si>
    <t>10.69</t>
  </si>
  <si>
    <t>Width of Q100</t>
  </si>
  <si>
    <t>10.87</t>
  </si>
  <si>
    <t>Width of Q300</t>
  </si>
  <si>
    <t>Distance from zero datum to near edge</t>
  </si>
  <si>
    <t>Distance from zero datum to perf</t>
  </si>
  <si>
    <t>Distance from zero datum to edge of first cut out</t>
  </si>
  <si>
    <t>2.156</t>
  </si>
  <si>
    <t>2.176</t>
  </si>
  <si>
    <t>2.196</t>
  </si>
  <si>
    <t>Distance from zero datum to center of hole on Non-notch side</t>
  </si>
  <si>
    <t>7.736</t>
  </si>
  <si>
    <t>7.756</t>
  </si>
  <si>
    <t>7.776</t>
  </si>
  <si>
    <t>Distance from zero datum to far edge of last cut out</t>
  </si>
  <si>
    <t>15.341</t>
  </si>
  <si>
    <t>15.361</t>
  </si>
  <si>
    <t>15.381</t>
  </si>
  <si>
    <t>Distance from zero datum to far edge of first cut out</t>
  </si>
  <si>
    <t>3.935</t>
  </si>
  <si>
    <t>3.955</t>
  </si>
  <si>
    <t>3.975</t>
  </si>
  <si>
    <t>Distance from zero datum to edge of notch</t>
  </si>
  <si>
    <t>8.974</t>
  </si>
  <si>
    <t>8.994</t>
  </si>
  <si>
    <t>9.014</t>
  </si>
  <si>
    <t>Diameter of zero datum</t>
  </si>
  <si>
    <t>Diameter of 0.156" holes</t>
  </si>
  <si>
    <t>0.151</t>
  </si>
  <si>
    <t>Diameter of 0.25" holes</t>
  </si>
  <si>
    <t>Does the perf stay together but also tear easily when pulled?q</t>
  </si>
  <si>
    <t>Are all of the holes cleanly cut?</t>
  </si>
  <si>
    <t>Width of 1524</t>
  </si>
  <si>
    <t>11.19</t>
  </si>
  <si>
    <t>Width of UC-HPRP3BY</t>
  </si>
  <si>
    <t>17.25</t>
  </si>
  <si>
    <t>17.38</t>
  </si>
  <si>
    <t>17.51</t>
  </si>
  <si>
    <t>1.189</t>
  </si>
  <si>
    <t>1.249</t>
  </si>
  <si>
    <t>Distance from zero datum to center of closest hole</t>
  </si>
  <si>
    <t>0.571</t>
  </si>
  <si>
    <t>0.591</t>
  </si>
  <si>
    <t>0.611</t>
  </si>
  <si>
    <t>Diameter of 0.38" holes</t>
  </si>
  <si>
    <t>Does the perf stay together but also tear easily when pulled?</t>
  </si>
  <si>
    <t>Diameter of 0.151" holes</t>
  </si>
  <si>
    <t>Length of slot in the web direction</t>
  </si>
  <si>
    <t>Is the adhesive laminated to the non-release side of the paper liner?</t>
  </si>
  <si>
    <t>10.125</t>
  </si>
  <si>
    <t>10.375</t>
  </si>
  <si>
    <t>9.85</t>
  </si>
  <si>
    <t>9.98</t>
  </si>
  <si>
    <t>1.053</t>
  </si>
  <si>
    <t>1.113</t>
  </si>
  <si>
    <t>Width of Q100 liner</t>
  </si>
  <si>
    <t>Distance from zero datum to edge of Q100</t>
  </si>
  <si>
    <t>0.814</t>
  </si>
  <si>
    <t>0.874</t>
  </si>
  <si>
    <t>0.934</t>
  </si>
  <si>
    <t>Distance from zero datum to edge of square bottom hole in far part</t>
  </si>
  <si>
    <t>6.126</t>
  </si>
  <si>
    <t>6.136</t>
  </si>
  <si>
    <t>6.146</t>
  </si>
  <si>
    <t>1.764</t>
  </si>
  <si>
    <t>1.769</t>
  </si>
  <si>
    <t>Distance from zero datum to center of big hole in far part</t>
  </si>
  <si>
    <t>13.455</t>
  </si>
  <si>
    <t>13.465</t>
  </si>
  <si>
    <t>13.475</t>
  </si>
  <si>
    <t>Distance from edge to center of flat bottom hole</t>
  </si>
  <si>
    <t>0.736</t>
  </si>
  <si>
    <t>0.746</t>
  </si>
  <si>
    <t>0.756</t>
  </si>
  <si>
    <t>2.825</t>
  </si>
  <si>
    <t>2.835</t>
  </si>
  <si>
    <t>Distance from edge to flat bottom hole</t>
  </si>
  <si>
    <t>0.477</t>
  </si>
  <si>
    <t>0.487</t>
  </si>
  <si>
    <t>-0.06</t>
  </si>
  <si>
    <t>+0.06</t>
  </si>
  <si>
    <t>Part Centering</t>
  </si>
  <si>
    <t>With of slit roll</t>
  </si>
  <si>
    <t>Position of 467MPF - Edge of construction to outside edge of 467MPF</t>
  </si>
  <si>
    <t>-0.002</t>
  </si>
  <si>
    <t>0.002</t>
  </si>
  <si>
    <t>Width of part - measured to inside of "arms"</t>
  </si>
  <si>
    <t>149.7</t>
  </si>
  <si>
    <t>150.0</t>
  </si>
  <si>
    <t>150.3</t>
  </si>
  <si>
    <t>73.7</t>
  </si>
  <si>
    <t>74.0</t>
  </si>
  <si>
    <t>74.3</t>
  </si>
  <si>
    <t>16.7</t>
  </si>
  <si>
    <t>25.3</t>
  </si>
  <si>
    <t>12 sheets</t>
  </si>
  <si>
    <t>Width of narrow arm</t>
  </si>
  <si>
    <t>17</t>
  </si>
  <si>
    <t>79.5</t>
  </si>
  <si>
    <t>80.5</t>
  </si>
  <si>
    <t>81.5</t>
  </si>
  <si>
    <t>Width of wide arm</t>
  </si>
  <si>
    <t>22</t>
  </si>
  <si>
    <t>32.75</t>
  </si>
  <si>
    <t>33.00</t>
  </si>
  <si>
    <t>33.25</t>
  </si>
  <si>
    <t>199.75</t>
  </si>
  <si>
    <t>200.00</t>
  </si>
  <si>
    <t>200.25</t>
  </si>
  <si>
    <t>See routine for internal measurements</t>
  </si>
  <si>
    <t>Is the foam corona treated across the full width of the roll?  (Check once per roll of foam).</t>
  </si>
  <si>
    <t>Unwind about 6 inches of tape.  Does it hang from the roll with minimum curl and not roll up onto itself?</t>
  </si>
  <si>
    <t>2,500 ft.</t>
  </si>
  <si>
    <t>6.16</t>
  </si>
  <si>
    <t>1.237</t>
  </si>
  <si>
    <t>1.267</t>
  </si>
  <si>
    <t>1.297</t>
  </si>
  <si>
    <t>Width of foam measured at tab area.</t>
  </si>
  <si>
    <t>Is the score deep enough to remove the foam in the tab area but not cut into the parent liner?</t>
  </si>
  <si>
    <t>Is the die strike deep enough to remove the matrix but not cut into the carrier liner?</t>
  </si>
  <si>
    <t>Does the carrier liner have the blue indicator strip added?</t>
  </si>
  <si>
    <t>20 M parts (20 bricks) [read a part from every case (5 bricks), but only capture once every 20 brickss]</t>
  </si>
  <si>
    <t>18 M parts (20 bricks) [read a part from every case (9 bricks), but only capture once every 20 brickss]</t>
  </si>
  <si>
    <t>Difference of adhesive area widths</t>
  </si>
  <si>
    <t>.06</t>
  </si>
  <si>
    <t>Width of the 9824/9425HT lamination</t>
  </si>
  <si>
    <t>Distance from edge of part to 9824/9425HT lamination</t>
  </si>
  <si>
    <t>Confirm Parts fit within check gauge</t>
  </si>
  <si>
    <t>Distance from edge of part side to near edge of exposed metal strip (Gear Side)</t>
  </si>
  <si>
    <t>2.418</t>
  </si>
  <si>
    <t>2.438</t>
  </si>
  <si>
    <t>2.458</t>
  </si>
  <si>
    <t>Width of leg.  Measure a different place each time.</t>
  </si>
  <si>
    <t>Are all of the slugs ejected?</t>
  </si>
  <si>
    <t>Length of narrow area</t>
  </si>
  <si>
    <t>59.12</t>
  </si>
  <si>
    <t>59.37</t>
  </si>
  <si>
    <t>59.62</t>
  </si>
  <si>
    <t>69.07</t>
  </si>
  <si>
    <t>69.32</t>
  </si>
  <si>
    <t>69.57</t>
  </si>
  <si>
    <t>Distance from edge of liner to edge of part.</t>
  </si>
  <si>
    <t>2.396</t>
  </si>
  <si>
    <t>3.046</t>
  </si>
  <si>
    <t>3.071</t>
  </si>
  <si>
    <t>3.096</t>
  </si>
  <si>
    <t>Does the red tape and brown liner adhesive cover the entire parts exclusive of the tab area?</t>
  </si>
  <si>
    <t>Is the brown liner score deep enough to remove the material from the tab area but not cut into the liner?</t>
  </si>
  <si>
    <t>Is the clear liner score deep enough to remove the material from the tab area but not cut into the liner?</t>
  </si>
  <si>
    <t>250 pieces</t>
  </si>
  <si>
    <t>Does the narrow liner NOT cover the holes?</t>
  </si>
  <si>
    <t>Have the parts with seams in the foam been removed?</t>
  </si>
  <si>
    <t>Edge of Part to Edge of hole (cross-web)</t>
  </si>
  <si>
    <t>Edge of Part to Edge of hole (web)</t>
  </si>
  <si>
    <t>Edge of part to edge of hole (cross-web)</t>
  </si>
  <si>
    <t>Edge of part to edge of hole (web</t>
  </si>
  <si>
    <t>98</t>
  </si>
  <si>
    <t>102</t>
  </si>
  <si>
    <t>Is the slit edge clean with a complete cut and not picking or tearing of the adhesive?</t>
  </si>
  <si>
    <t>303</t>
  </si>
  <si>
    <t>305</t>
  </si>
  <si>
    <t>307</t>
  </si>
  <si>
    <t>50.5</t>
  </si>
  <si>
    <t>47.5</t>
  </si>
  <si>
    <t>36.5</t>
  </si>
  <si>
    <t>37.0</t>
  </si>
  <si>
    <t>37.5</t>
  </si>
  <si>
    <t>149</t>
  </si>
  <si>
    <t>155</t>
  </si>
  <si>
    <t>75</t>
  </si>
  <si>
    <t>78</t>
  </si>
  <si>
    <t>192.8</t>
  </si>
  <si>
    <t>193.6</t>
  </si>
  <si>
    <t>194.4</t>
  </si>
  <si>
    <t>168.2</t>
  </si>
  <si>
    <t>169.0</t>
  </si>
  <si>
    <t>169.8</t>
  </si>
  <si>
    <t>4.15</t>
  </si>
  <si>
    <t>31.62</t>
  </si>
  <si>
    <t>31.87</t>
  </si>
  <si>
    <t>32.12</t>
  </si>
  <si>
    <t>42.81</t>
  </si>
  <si>
    <t>43.06</t>
  </si>
  <si>
    <t>43.31</t>
  </si>
  <si>
    <t>17.01</t>
  </si>
  <si>
    <t>17.26</t>
  </si>
  <si>
    <t>54.81</t>
  </si>
  <si>
    <t>55.06</t>
  </si>
  <si>
    <t>55.31</t>
  </si>
  <si>
    <t>35.42</t>
  </si>
  <si>
    <t>35.67</t>
  </si>
  <si>
    <t>35.92</t>
  </si>
  <si>
    <t>7.39</t>
  </si>
  <si>
    <t>7.64</t>
  </si>
  <si>
    <t>7.9</t>
  </si>
  <si>
    <t>8.1</t>
  </si>
  <si>
    <t>Is the adhesive visually center on the liner?</t>
  </si>
  <si>
    <t>6.8</t>
  </si>
  <si>
    <t>6.9</t>
  </si>
  <si>
    <t>Is the adhesive laminated to the NON-WHITE side of the CSM?</t>
  </si>
  <si>
    <t>20 psrts</t>
  </si>
  <si>
    <t>473.0</t>
  </si>
  <si>
    <t>473.8</t>
  </si>
  <si>
    <t>474.6</t>
  </si>
  <si>
    <t>301.0</t>
  </si>
  <si>
    <t>301.8</t>
  </si>
  <si>
    <t>302.6</t>
  </si>
  <si>
    <t>Are the slugs cleanly removed?</t>
  </si>
  <si>
    <t>8.7</t>
  </si>
  <si>
    <t>75.3</t>
  </si>
  <si>
    <t>159.2</t>
  </si>
  <si>
    <t>160.0</t>
  </si>
  <si>
    <t>160.8</t>
  </si>
  <si>
    <t>Is the slit cut clean through?</t>
  </si>
  <si>
    <t>Are the scores deep enough to allow the part to be bent easily?</t>
  </si>
  <si>
    <t>31.5</t>
  </si>
  <si>
    <t>33.0</t>
  </si>
  <si>
    <t>34.5</t>
  </si>
  <si>
    <t>34.0</t>
  </si>
  <si>
    <t>35.5</t>
  </si>
  <si>
    <t>Distance from the top of adhesive to top of foam</t>
  </si>
  <si>
    <t>Distance from non-tab side of adhesive to edge of foam</t>
  </si>
  <si>
    <t>0.7</t>
  </si>
  <si>
    <t>3.7</t>
  </si>
  <si>
    <t>Width of part not including the tab</t>
  </si>
  <si>
    <t>4.398</t>
  </si>
  <si>
    <t>4.408</t>
  </si>
  <si>
    <t>4.418</t>
  </si>
  <si>
    <t>Distance from tab edge of adhesive to edge of first row of holes</t>
  </si>
  <si>
    <t>Are all of the holes cleanly ejected and free from any chads?</t>
  </si>
  <si>
    <t>Is the adhesive aligned so that there is not adhesive encroaching on the holes?</t>
  </si>
  <si>
    <t>Does the part pass the Keyence routine?</t>
  </si>
  <si>
    <t>21.63</t>
  </si>
  <si>
    <t>21.69</t>
  </si>
  <si>
    <t>Distance from right edge to center of first hole</t>
  </si>
  <si>
    <t>Distance from center of right side hole to center of last hole</t>
  </si>
  <si>
    <t>16.439</t>
  </si>
  <si>
    <t>16.499</t>
  </si>
  <si>
    <t>16.559</t>
  </si>
  <si>
    <t>40.69</t>
  </si>
  <si>
    <t>40.75</t>
  </si>
  <si>
    <t>40.81</t>
  </si>
  <si>
    <t>Distance from left edge to center of first hole</t>
  </si>
  <si>
    <t>0.85</t>
  </si>
  <si>
    <t>39.11</t>
  </si>
  <si>
    <t>39.17</t>
  </si>
  <si>
    <t>39.23</t>
  </si>
  <si>
    <t>Are labels affixed to the white tyvek side of the pouch?</t>
  </si>
  <si>
    <t>Distance from edge of part side to near edge of exposed metal strip (Operator Side)</t>
  </si>
  <si>
    <t>Are the slots cut clean?</t>
  </si>
  <si>
    <t>See Eric for Keyence routine after sign off</t>
  </si>
  <si>
    <t>Distance from edge of part to edge of slot</t>
  </si>
  <si>
    <t>Distance from outside edge of slot to opposite outside edge of slot</t>
  </si>
  <si>
    <t>Length of datum slot</t>
  </si>
  <si>
    <t>Length of Hole</t>
  </si>
  <si>
    <t>22.79</t>
  </si>
  <si>
    <t>23.59</t>
  </si>
  <si>
    <t>24.39</t>
  </si>
  <si>
    <t>Width of Hole</t>
  </si>
  <si>
    <t>18.32</t>
  </si>
  <si>
    <t>19.12</t>
  </si>
  <si>
    <t>19.92</t>
  </si>
  <si>
    <t>6.85</t>
  </si>
  <si>
    <t>7.65</t>
  </si>
  <si>
    <t>Length of Ellipse</t>
  </si>
  <si>
    <t>8.05</t>
  </si>
  <si>
    <t>8.85</t>
  </si>
  <si>
    <t>Width of Ellipse</t>
  </si>
  <si>
    <t>Distance from near edge to edge of hole</t>
  </si>
  <si>
    <t>Distance from edge of part to edge of hole</t>
  </si>
  <si>
    <t>Is the hole cleanly cut through and removed?</t>
  </si>
  <si>
    <t>Is the adhesive laminated to the release, non-printed side of the liner?</t>
  </si>
  <si>
    <t>Is the print on the non-release side of the liner?</t>
  </si>
  <si>
    <t>Is the print on the non-coated side as determined by the scratch test?  A scratch on the coated side will leave a mark.</t>
  </si>
  <si>
    <t>Distance from edge of part to edge of hole. Measured cross web</t>
  </si>
  <si>
    <t>Is the die strike deep enough to remove the circle and the part separately without cutting through the liner?</t>
  </si>
  <si>
    <t>Is the score visually centered on the liner of the part?</t>
  </si>
  <si>
    <t>Is the score deep enough to remove the liner but not cut into the part?</t>
  </si>
  <si>
    <t>Is the printed border visually even on the three sides with no text?</t>
  </si>
  <si>
    <t>Is the color within one shade of PMS ?</t>
  </si>
  <si>
    <t>16.47</t>
  </si>
  <si>
    <t>16.53</t>
  </si>
  <si>
    <t>Has the press been clean per the line clearance procedure attached to job jacket?</t>
  </si>
  <si>
    <t>Are the parts free of bubbles and wrinkles?</t>
  </si>
  <si>
    <t>Are all parts present on the finished sheet?  - Check 3 samples at every stop</t>
  </si>
  <si>
    <t>Is the center ejected cleanly?</t>
  </si>
  <si>
    <t>Distance from end of part to center of hole</t>
  </si>
  <si>
    <t>10.230</t>
  </si>
  <si>
    <t>10.270</t>
  </si>
  <si>
    <t>Distance from near edge of part to center of circle</t>
  </si>
  <si>
    <t>6.031</t>
  </si>
  <si>
    <t>6.156</t>
  </si>
  <si>
    <t>6.281</t>
  </si>
  <si>
    <t>Is the score visually centered on the roll?</t>
  </si>
  <si>
    <t>Is the score deep enough to remove the liner but not cut into the face material?</t>
  </si>
  <si>
    <t>Distance from center of hole 1 to edge</t>
  </si>
  <si>
    <t>0.0695</t>
  </si>
  <si>
    <t>0.0795</t>
  </si>
  <si>
    <t>0.0895</t>
  </si>
  <si>
    <t>Distance from center of hole 2 to edge</t>
  </si>
  <si>
    <t>0.0575</t>
  </si>
  <si>
    <t>0.0675</t>
  </si>
  <si>
    <t>0.0775</t>
  </si>
  <si>
    <t>Are the hole cut clean through?</t>
  </si>
  <si>
    <t>Is the outside cut deep enough to remove the matrix but not cut into the liner?</t>
  </si>
  <si>
    <t>Are all rolls free of stacked parts? (see photo in job jacket for reference)</t>
  </si>
  <si>
    <t>Is 2" blue splice tape being used for splices?  (BACKSIDE OF LINER ONLY)</t>
  </si>
  <si>
    <t>Is the roll free of wrinkles and other lamination defects?</t>
  </si>
  <si>
    <t>Width of HIPS</t>
  </si>
  <si>
    <t>Distance from edge of adhesive to edge of HIPS</t>
  </si>
  <si>
    <t>Are all tack test results from the sampling greater than or equal to 95.5g?</t>
  </si>
  <si>
    <t>Width of foam; before putting roll on press (use calipers to get the outside of roll and at core measurements)</t>
  </si>
  <si>
    <t>Distance from edge of filter paper to edge of part (neck area, in web direction)</t>
  </si>
  <si>
    <t>Distance from the #6's printed line to edge of filter paper (cross-web)</t>
  </si>
  <si>
    <t>Is the ink well adhered and sealed by the over-varnish to prevent smudging?</t>
  </si>
  <si>
    <t>3,600 parts</t>
  </si>
  <si>
    <t>Are parts cut cleanly without hairs or rough edges?</t>
  </si>
  <si>
    <t>Measure in mm</t>
  </si>
  <si>
    <t xml:space="preserve">  Dimensions in Inches</t>
  </si>
  <si>
    <t>Item Name/Number</t>
  </si>
  <si>
    <t>Display Name/Code</t>
  </si>
  <si>
    <t>Vendor Name/Code</t>
  </si>
  <si>
    <t>Primary Units Type</t>
  </si>
  <si>
    <t>Primary Stock Unit</t>
  </si>
  <si>
    <t>Primary Purchase Unit</t>
  </si>
  <si>
    <t>Primary Consumption Unit</t>
  </si>
  <si>
    <t>Primary Sales Unit</t>
  </si>
  <si>
    <t>Description</t>
  </si>
  <si>
    <t>Department</t>
  </si>
  <si>
    <t>Location</t>
  </si>
  <si>
    <t>PACKAGING/FINISHING INSTRUCTIONS</t>
  </si>
  <si>
    <t>PACKAGING/FINISHING INSTRUCTIONS COMMENTS</t>
  </si>
  <si>
    <t>PRODUCTION &amp; SPECIAL INSTRUCTIONS</t>
  </si>
  <si>
    <t>PRODUCTION &amp; SPECIAL INSTRUCTIONS COMMENTS</t>
  </si>
  <si>
    <t>Track Landed Cost</t>
  </si>
  <si>
    <t>Costing Method</t>
  </si>
  <si>
    <t>Cost Category</t>
  </si>
  <si>
    <t>Purchase Description</t>
  </si>
  <si>
    <t>Use Bin</t>
  </si>
  <si>
    <t>Item Weight</t>
  </si>
  <si>
    <t>Base Price</t>
  </si>
  <si>
    <t>COGS Account</t>
  </si>
  <si>
    <t>Asset Account</t>
  </si>
  <si>
    <t>Income Account</t>
  </si>
  <si>
    <t>WIP Account</t>
  </si>
  <si>
    <t>Scrap Account</t>
  </si>
  <si>
    <t>Tax Schedule</t>
  </si>
  <si>
    <t>HEADER
Enter here item name/number of the item. This name appears in lists on transactions.</t>
  </si>
  <si>
    <t>HEADER
You can enter an optional name for an item in addition to the Item Name. The display name prints in the Item column of transaction forms. If you do not enter a display name, the item name appears on printed forms.</t>
  </si>
  <si>
    <t>HEADER
If your vendor uses a name for this item that is different from the name you use, you can enter up to 60 characters as the vendor's name for this item here.
The vendor's name for this item prints in the Item column of purchase forms.
If you do not enter a vendor name, the item name prints in the Item column of purchase forms. If you have entered a display name, it will print on purchases instead of the item name.</t>
  </si>
  <si>
    <t>HEADER
This is a reference to a Unit type that must exist in Lists &gt; Accounting &gt; Units of Measure prior to importing.
Please note that once imported, Units Type cannot be updated</t>
  </si>
  <si>
    <t xml:space="preserve">HEADER
Insert the Primary stock unit for this item.
</t>
  </si>
  <si>
    <t xml:space="preserve">HEADER
Insert the Primary purchase unit for this item.
</t>
  </si>
  <si>
    <t xml:space="preserve">HEADER
Insert the Primary consumption unit for this item.
</t>
  </si>
  <si>
    <t xml:space="preserve">HEADER
Insert the Primary sales unit for this item.
</t>
  </si>
  <si>
    <t>SALES/PRICING
Enter a sales description for this item.
You can enter letters and numbers. There is a 999 character limit.
The sales description displays on transactions such as sales orders, cash sales and invoices.
If you use the Web Store feature, the sales description displays immediately under the item's store display name on item list pages in your store or site, if you have not entered a store description for an item. Enter the store description on the Store subtab of the item record.
The sales description also displays by default when the item is in the Web store shopping cart.</t>
  </si>
  <si>
    <t>HEADER
Provide the reference to the Department in this field.  In order to reference a sub department provide the complete hierarchy in the format Parent Department : Child department.
This should be created in Setup &gt; Company &gt; Departments prior to import.</t>
  </si>
  <si>
    <t xml:space="preserve">HEADER
Provide the reference to the Location in this field. In order to reference a sub Location provide the complete hierarchy in the format Parent Location : Child Location.
This should be created in Setup &gt; Company &gt; Locations prior to import. </t>
  </si>
  <si>
    <t>HEADER
This is a custom field created for your account.</t>
  </si>
  <si>
    <t>PURCHASING/INVENTORY
Enter TRUE here to track landed costs associated with this item.
NOTE: you must include an item that tracks landed costs on transactions you want to source for landed costs.
For ex: on the landed costs subtab of item receipts, a vendor bill shows in the source transaction list only if the bill includes a landed cost item.</t>
  </si>
  <si>
    <t>PURCHASING/INVENTORY
Enter the Method of Costing which is used for this item (Average, FIFO or LIFO    Select your inventory costing method.
The costing method you choose determines how Cost of Goods Sold (COGS) calculations are handled for costs associated with buying the same item at different purchase prices over a given period.
Costing methods include the following:
Average (weighted-average method) – COGS are calculated as the total units available during a period divided by the beginning inventory cost plus the cost of additions to inventory. 
Group Average – Group average costing enables you to track one average cost for an item across multiple locations within a defined group. For details, click Help and read Group Average Costing.
First-In, First-Out (FIFO) – Using FIFO, the first goods purchased are assumed to be the first goods sold so that the ending inventory consists of the most recently purchased goods. This method is useful to track different shipments of similar products.
Last-In, First-Out (LIFO) – Using LIFO, the last goods purchased are assumed to be the first goods sold so that the ending inventory consists of the first goods purchased. 
Standard – Standard Costing enables you track standard costs for items and to track variances between these expected costs and actual costs.
In NetSuite, Average costing is the default costing method.
Note: Once the costing method is saved on the item record, it cannot later be changed</t>
  </si>
  <si>
    <t>PURCHASING/INVENTORY
Select a category to associate with this item.
View existing categories at Setup &gt; Accounting &gt; Accounting Lists</t>
  </si>
  <si>
    <t>PURCHASING/INVENTORY
Enter up to 999 characters of text for a description of this item to appear on vendor orders. Include the unit of measure in this description.</t>
  </si>
  <si>
    <t>PURCHASING/INVENTORY
Enter TRUE to track bin locations for this item.
If you choose to use bins for this item, you must assocaite at least one bin with the item using the Bin Numbers subtab.
You can associate multiple items with on bin and multiple bins with one item. You can also designate one preferred bin per location. The preferred bin is listed by default on receipt and fulfillment transactions. To create bin records that can be selected here, go to Lists&gt; Supply Chain &gt; Bins &gt; New</t>
  </si>
  <si>
    <t>SALES/PRICING
Enter the Weight of this item.</t>
  </si>
  <si>
    <t>SALES/PRICING
Use this field to enter the Sales Price of an Item if you do not use Multiple Price Levels. Use the following columns (BF till BQ), if you use multiple price levels.</t>
  </si>
  <si>
    <t>ACCOUNTING
Select the COGS Account which tracks the Cost of Goods sold on this item.
The complete hierarchy of the accounts should be provided if you want to refer to a child account. The expected format is: Child Account Number and Parent Name : Child Account Name.
The COGS account must exist in Lists &gt; Accounting &gt; Account prior to importing.</t>
  </si>
  <si>
    <t xml:space="preserve">ACCOUNTING
Select the income account that will be affected by the sale of this item.  
The complete hierarchy of the accounts should be provided if you want to refer to a child account. The expected format is:  Child Account Number and Parent Name : Child Account Name
The Income account must exist in Lists &gt; Accounting &gt; Account prior to importing. 
</t>
  </si>
  <si>
    <t xml:space="preserve">ACCOUNTING
Select the asset account that tracks the value of the inventory on hand for this item.  The complete hierarchy of the accounts should be provided if you want to refer to a child account.  The expected format is: Child Account Number and Parent Name : Child Account Name
The asset account must exist in Lists &gt; Accounting &gt; Account prior to importing. </t>
  </si>
  <si>
    <t>ACCOUNTING
This is an asset account used when a work order component issue is entered. This account is required if WIP is checked for any locations.</t>
  </si>
  <si>
    <t>ACCOUNTING
This is an expense account for scrapping that occurs during the work order completion. This account is required if WIP is checked for any locations.</t>
  </si>
  <si>
    <t xml:space="preserve">ACCOUNTING
Required field if you activate the Advance Taxes. You can create Tax schedules at Set up&gt; Accounting&gt; Taxes&gt; Tax Schedules&gt; New. </t>
  </si>
  <si>
    <t>Alpha Numeric</t>
  </si>
  <si>
    <t>List</t>
  </si>
  <si>
    <t>String</t>
  </si>
  <si>
    <t>Boolean</t>
  </si>
  <si>
    <t>Numbers</t>
  </si>
  <si>
    <t>Max 60 chars</t>
  </si>
  <si>
    <t>TRUE/FALSE</t>
  </si>
  <si>
    <t>MS10857 Rev D</t>
  </si>
  <si>
    <t>Unit-Base M (Use for Finished Goods)</t>
  </si>
  <si>
    <t>M</t>
  </si>
  <si>
    <t>Die-cut part, 16 CM Anchor &amp; Tails (W/O Printing) 7.31"X 3.62"</t>
  </si>
  <si>
    <t>Strouse-HQ</t>
  </si>
  <si>
    <t>Average</t>
  </si>
  <si>
    <t>Default Cost Category</t>
  </si>
  <si>
    <t>50000 Cost of Goods Sold</t>
  </si>
  <si>
    <t>300000 Sales</t>
  </si>
  <si>
    <t>13100 Inventory Asset</t>
  </si>
  <si>
    <t>99991 WIP Account</t>
  </si>
  <si>
    <t>9999 Scrap Account</t>
  </si>
  <si>
    <t>Taxable</t>
  </si>
  <si>
    <t>Slit Tape Internal Use UPVC 3/16" x 1000Yd</t>
  </si>
  <si>
    <t>Each (Use for Boxes, Bags, Cores, Cases)</t>
  </si>
  <si>
    <t>Roll</t>
  </si>
  <si>
    <t>Slit Tape - Internal Use UPVC - 3/16" x 1000Yd</t>
  </si>
  <si>
    <t>Number Across Run/Finish –  30/1
Where Finished –  On Press
Length per Roll/Unit – 1,000 Yd
Core Type –  3" Paper 1/8" White Brown
Core Width – 0.1875"
Core Label – No
Dividers – 
Bag Size – 
Qty. Per Bag – 
Box Size –  10 x 10 x 10
Qty. Per Box – 
Weight/box – 
Box Per Pallet – 
Pallet Type – </t>
  </si>
  <si>
    <t/>
  </si>
  <si>
    <t>Core  –  3" Paper 1/8" White Brown
Width – 0.1875"
Number Across Run/FInish –  30/1
Core Label – No
±10% –  Yes
Unwind Dir. Run – Adh. In
Unwind Dir. Finish –  Adh. In
Diecut/Continuous/Sheet –  Continuous
Partial Case –  Yes
Pieces per roll/Unit – 1 Roll
Length per roll/unit –  1,000 Yd
Finish – On Press
Application – Automatic</t>
  </si>
  <si>
    <t>Non-Taxable</t>
  </si>
  <si>
    <t>Slit Tape d/c PET 20mm x 33m</t>
  </si>
  <si>
    <t>See Work order</t>
  </si>
  <si>
    <t>Slit Tape - d/c PET - 20mm x 33m</t>
  </si>
  <si>
    <t>Number Across Run/Finish –  58/1
Where Finished –  Off Press
Length per Roll/Unit – 36 Yd
Core Type –  As Recd.
Core Width – 0.787"
Core Label – Yes
Dividers – 
Bag Size – 
Qty. Per Bag – 1 Roll
Box Size –  10 x 10 x 10
Qty. Per Box – 50 Rolls
Weight/box – 19
Box Per Pallet – 
Pallet Type – </t>
  </si>
  <si>
    <t>Use label format "124 xpedx" if customer is xpedx.  
Use label format "124 Dillon" if customer is Dillon Supply.
Use label format "124 Motion" if customer is Motion Ind.</t>
  </si>
  <si>
    <t>Core  –  As Recd.
Width – 0.787"
Number Across Run/FInish –  58/1
Core Label – Yes
±10% –  No
Unwind Dir. Run – N/A
Unwind Dir. Finish –  N/A
Diecut/Continuous/Sheet –  Continuous
Partial Case –  No
Pieces per roll/Unit – 1 Roll
Length per roll/unit –  36 Yd
Finish – Off Press
Application – Hand</t>
  </si>
  <si>
    <t>50001 Cost of Goods Sold</t>
  </si>
  <si>
    <t>Die Cut Label Silver foil 5" x 3/4"</t>
  </si>
  <si>
    <t>See Work Order</t>
  </si>
  <si>
    <t>Die Cut Label - Silver foil - 5" x 3/4"</t>
  </si>
  <si>
    <t>Number Across Run/Finish –  4/1
Where Finished –  Web Techniques
Length per Roll/Unit – 214'
Core Type –  3" Paper 1/8" White Brown
Core Width – 0.875"
Core Label – Yes
Dividers – 
Bag Size – 
Qty. Per Bag – 1 Roll
Box Size –  13 x 13 x 13
Qty. Per Box – 25 Rolls
Weight/box – 8
Box Per Pallet – 
Pallet Type – </t>
  </si>
  <si>
    <t>For orders less than 100 rolls, finish on press.</t>
  </si>
  <si>
    <t>Core  –  3" Paper 1/8" White Brown
Width – 0.875"
Number Across Run/FInish –  4/1
Core Label – Yes
±10% –  Yes
Unwind Dir. Run – Parts Out
Unwind Dir. Finish –  Parts Out
Diecut/Continuous/Sheet –  Die Cut
Partial Case –  Yes
Pieces per roll/Unit – 500
Length per roll/unit –  214'
Finish – Web Techniques
Application – Automatic</t>
  </si>
  <si>
    <t>50002 Cost of Goods Sold</t>
  </si>
  <si>
    <t>Die Cut Part PE face shields 9-7/16" x 4-3/16"</t>
  </si>
  <si>
    <t>2000</t>
  </si>
  <si>
    <t>Die Cut Part - PE face shields - 9-7/16" x 4-3/16"</t>
  </si>
  <si>
    <t>Number Across Run/Finish –  1/1
Where Finished –  On Press
Length per Roll/Unit – 402'
Core Type –  3" Paper 1/8" Strouse Brown
Core Width – 5.750"
Core Label – Yes
Dividers – Corrugated
Bag Size – 
Qty. Per Bag – 1 Roll
Box Size –  13 x 13 x 13
Qty. Per Box – 4 M
Weight/box – 38
Box Per Pallet – 
Pallet Type – </t>
  </si>
  <si>
    <t>Core  –  3" Paper 1/8" Strouse Brown
Width – 5.750"
Number Across Run/FInish –  1/1
Core Label – Yes
±10% –  Yes
Unwind Dir. Run – Parts Out
Unwind Dir. Finish –  Parts Out
Diecut/Continuous/Sheet –  Die Cut
Partial Case –  No
Pieces per roll/Unit – 500
Length per roll/unit –  402'
Finish – On Press
Application – Automatic</t>
  </si>
  <si>
    <t xml:space="preserve">Use heat on liner to help film adhere. </t>
  </si>
  <si>
    <t>50003 Cost of Goods Sold</t>
  </si>
  <si>
    <t>Die Cut Label Silver foil disks on 3" cores 2-1/2"</t>
  </si>
  <si>
    <t>30491D02160036AOWCP</t>
  </si>
  <si>
    <t>Die Cut Label - Silver foil disks on 3" cores - 2-1/2"</t>
  </si>
  <si>
    <t>Number Across Run/Finish –  2/1
Where Finished –  On Press
Length per Roll/Unit – 110'
Core Type –  CS 3.0"
Core Width – 3"
Core Label – Yes
Dividers – 
Bag Size – 
Qty. Per Bag – 1 Roll
Box Size –  12 x 12 x 12
Qty. Per Box – 20 M
Weight/box – 20
Box Per Pallet – 
Pallet Type – </t>
  </si>
  <si>
    <t>Attached to core with any scrap adhesive transfer.  When using customer supplied boxes, put 32 rolls per box for a QTY of 16/Box.  20# per box</t>
  </si>
  <si>
    <t>Core  –  CS 3.0"
Width – 3"
Number Across Run/FInish –  2/1
Core Label – Yes
±10% –  Yes
Unwind Dir. Run – N/A
Unwind Dir. Finish –  N/A
Diecut/Continuous/Sheet –  Die Cut
Partial Case –  Yes
Pieces per roll/Unit – 500
Length per roll/unit –  110'
Finish – On Press
Application – Hand</t>
  </si>
  <si>
    <t>Attached to core with any scrap adhesive transfer.
Cores are customer supplied.  If they are not 3" wide then center cores.</t>
  </si>
  <si>
    <t>50004 Cost of Goods Sold</t>
  </si>
  <si>
    <t>Die Cut Tape Silver foil 3-9/16" x 3/4"</t>
  </si>
  <si>
    <t>706087</t>
  </si>
  <si>
    <t>Die Cut Tape - Silver foil - 3-9/16" x 3/4"</t>
  </si>
  <si>
    <t>Number Across Run/Finish –  4/1
Where Finished –  Web Techniques
Length per Roll/Unit – 151'
Core Type –  3" Paper 1/8" White Brown
Core Width – 0.875"
Core Label – Yes
Dividers – 
Bag Size – 
Qty. Per Bag – 1 Roll
Box Size –  10 x 10 x 10
Qty. Per Box – 25 Rolls
Weight/box – 28
Box Per Pallet – 
Pallet Type – </t>
  </si>
  <si>
    <t>Core  –  3" Paper 1/8" White Brown
Width – 0.875"
Number Across Run/FInish –  4/1
Core Label – Yes
±10% –  Yes
Unwind Dir. Run – Parts Out
Unwind Dir. Finish –  Parts Out
Diecut/Continuous/Sheet –  Die Cut
Partial Case –  Yes
Pieces per roll/Unit – 500
Length per roll/unit –  151'
Finish – Web Techniques
Application – Hand</t>
  </si>
  <si>
    <t>50005 Cost of Goods Sold</t>
  </si>
  <si>
    <t>Die Cut Label Silver foil
 4-1/16" x 3/4"</t>
  </si>
  <si>
    <t>706100</t>
  </si>
  <si>
    <t>Die Cut Label - Silver foil
 - 4-1/16" x 3/4"</t>
  </si>
  <si>
    <t>Number Across Run/Finish –  4/1
Where Finished –  Off Press
Length per Roll/Unit – 175'
Core Type –  3" Paper (1/8" wall)
Core Width – 0.875"
Core Label – Yes
Dividers – 
Bag Size – 
Qty. Per Bag – 1 Roll
Box Size –  11 x 11 x 8
Qty. Per Box – 25 Rolls
Weight/box – 26
Box Per Pallet – 
Pallet Type – </t>
  </si>
  <si>
    <t>DO NOT USE PVC TO TAB OR START ROLLS OR FOR SPLICES</t>
  </si>
  <si>
    <t>Core  –  3" Paper (1/8" wall)
Width – 0.875"
Number Across Run/FInish –  4/1
Core Label – Yes
±10% –  Yes
Unwind Dir. Run – N/A
Unwind Dir. Finish –  N/A
Diecut/Continuous/Sheet –  Die Cut
Partial Case –  Yes
Pieces per roll/Unit – 1 Roll
Length per roll/unit –  175'
Finish – Off Press
Application – Hand</t>
  </si>
  <si>
    <t>No UPVC Tape for any tabs or splicing.</t>
  </si>
  <si>
    <t>50006 Cost of Goods Sold</t>
  </si>
  <si>
    <t>Slit Tape 1 mil Kaneka polyimide film with high temperature Adh. 5/8" x 60Yd</t>
  </si>
  <si>
    <t>Slit Tape - 1 mil Kaneka polyimide film with high temperature Adh. - 5/8" x 60Yd</t>
  </si>
  <si>
    <t>Number Across Run/Finish –  8/1
Where Finished –  On Press
Length per Roll/Unit – 60 Yd
Core Type –  3" Plastic 0.375" HDPE
Core Width – 0.625"
Core Label – Yes
Dividers – 
Bag Size – 
Qty. Per Bag – 1 Roll
Box Size –  18 1/4 x 12 1/4 x 12 1/4
Qty. Per Box – 48 Rolls
Weight/box – 
Box Per Pallet – 
Pallet Type – </t>
  </si>
  <si>
    <t>- *Polyimide Raw Material Lot # must be on both Core and Box Labels; Do not truncate, use full Lot #.
- *Do NOT mix Lot #'s of Polyimide.
- *Do NOT label rolls with the Strouse Work Order Number.
- Heat seal each roll and pack 12 per bag (close with a twist tie).  Line box with a large bag before loading the bags of 12.
Include a Strouse C of C (with *Kaneka* DOM &amp; Lot #)</t>
  </si>
  <si>
    <t>Core  –  3" Plastic 0.375" HDPE
Width – 0.625"
Number Across Run/FInish –  8/1
Core Label – Yes
±10% –  Yes
Unwind Dir. Run – Polyimide Out
Unwind Dir. Finish –  Polyimide Out
Diecut/Continuous/Sheet –  Continuous
Partial Case –  Yes
Pieces per roll/Unit – 1 Roll
Length per roll/unit –  60 Yd
Finish – On Press
Application – Hand</t>
  </si>
  <si>
    <t>Kaneka Polyimide ONLY.  Do NOT mix Lot #'s of Polyimide.
Note photo of gapped roll.  This is unacceptable.</t>
  </si>
  <si>
    <t>50007 Cost of Goods Sold</t>
  </si>
  <si>
    <t>Die Cut Label White Thermal Transfer 6" x 4"</t>
  </si>
  <si>
    <t>930</t>
  </si>
  <si>
    <t>Die Cut Label - White Thermal Transfer - 6" x 4"</t>
  </si>
  <si>
    <t>Number Across Run/Finish –  2/1
Where Finished –  Web Techniques
Length per Roll/Unit – 510'
Core Type –  3" Paper 1/8" White Brown
Core Width – 4.125"
Core Label – Yes
Dividers – Corrugated on top and bottom
Bag Size – 
Qty. Per Bag – 2 Rolls
Box Size –  10 x 10 x 10
Qty. Per Box – 6 Rolls
Weight/box – 
Box Per Pallet – 
Pallet Type – </t>
  </si>
  <si>
    <t xml:space="preserve">- No Factory Splices
- Start with Post-A-Dot
- No slitting Dust
- 1/16" liner edge to edge
Wind rolls as loose as possible
</t>
  </si>
  <si>
    <t>Core  –  3" Paper 1/8" White Brown
Width – 4.125"
Number Across Run/FInish –  2/1
Core Label – Yes
±10% –  Yes
Unwind Dir. Run – Parts Out
Unwind Dir. Finish –  Parts Out
Diecut/Continuous/Sheet –  Die Cut
Partial Case –  Yes
Pieces per roll/Unit – 1,000
Length per roll/unit –  510'
Finish – Web Techniques
Application – Hand</t>
  </si>
  <si>
    <t>Wind rolls as loose as possible</t>
  </si>
  <si>
    <t>50008 Cost of Goods Sold</t>
  </si>
  <si>
    <t>Die Cut Tape Silver PET 120mm x 19mm</t>
  </si>
  <si>
    <t>47547855</t>
  </si>
  <si>
    <t>Die Cut Tape - Silver PET - 120mm x 19mm</t>
  </si>
  <si>
    <t>Number Across Run/Finish –  4/1
Where Finished –  On Press
Length per Roll/Unit – 108'
Core Type –  3" Paper 1/8" Strouse Brown
Core Width – 0.875"
Core Label – Yes
Dividers – 
Bag Size – 
Qty. Per Bag – 1 Rolls
Box Size –  10 x 10 x 10
Qty. Per Box – 12 
Weight/box – 15
Box Per Pallet – 
Pallet Type – </t>
  </si>
  <si>
    <t>Core  –  3" Paper 1/8" Strouse Brown
Width – 0.875"
Number Across Run/FInish –  4/1
Core Label – Yes
±10% –  Yes
Unwind Dir. Run – Parts Out
Unwind Dir. Finish –  Parts Out
Diecut/Continuous/Sheet –  Die Cut
Partial Case –  Yes
Pieces per roll/Unit – 1 Roll
Length per roll/unit –  108'
Finish – On Press
Application – Automatic</t>
  </si>
  <si>
    <t xml:space="preserve">*** WEB AROUND THE LEAST AMOUNT OF ROLLERS TO AVOID SCRATCHES IN SILVER***
</t>
  </si>
  <si>
    <t>50009 Cost of Goods Sold</t>
  </si>
  <si>
    <t>Butt Cut Tape d/c PET 19mm x 19mm</t>
  </si>
  <si>
    <t>033246</t>
  </si>
  <si>
    <t>Butt Cut Tape - d/c PET - 19mm x 19mm</t>
  </si>
  <si>
    <t>Number Across Run/Finish –  8/1
Where Finished –  On Press
Length per Roll/Unit – 36 Yd
Core Type –  3" Plastic 0.10" HDPE
Core Width – 0.75"
Core Label – Yes
Dividers – 
Bag Size – 
Qty. Per Bag – 1 Roll
Box Size –  
Qty. Per Box – 50 Rolls
Weight/box – 17
Box Per Pallet – 
Pallet Type – </t>
  </si>
  <si>
    <t>Core  –  3" Plastic 0.10" HDPE
Width – 0.75"
Number Across Run/FInish –  8/1
Core Label – Yes
±10% –  No
Unwind Dir. Run – Adh. In.
Unwind Dir. Finish –  
Diecut/Continuous/Sheet –  Continuous Die Cut
Partial Case –  No
Pieces per roll/Unit – 1 Roll
Length per roll/unit –  36 Yd
Finish – On Press
Application – Hand</t>
  </si>
  <si>
    <t>50010 Cost of Goods Sold</t>
  </si>
  <si>
    <t>Core Liner, Two color with the Strouse Logo and "The Strouse Corporation" 3-15/16"</t>
  </si>
  <si>
    <t>Length Units</t>
  </si>
  <si>
    <t>M Ft</t>
  </si>
  <si>
    <t>Core Liner, - Two color with the Strouse Logo and "The Strouse Corporation" - 3-15/16"</t>
  </si>
  <si>
    <t>Number Across Run/Finish –  1/
Where Finished –  On Press
Length per Roll/Unit – 
Core Type –  3" Paper (3/8" wall)
Core Width – 3.937"
Core Label – Yes
Dividers – Paper
Bag Size – 
Qty. Per Bag – 
Box Size –  10 x 10 x 10
Qty. Per Box – 
Weight/box – 
Box Per Pallet – 
Pallet Type – </t>
  </si>
  <si>
    <t>Note length of finished rolls,  Please.
Pack rolls on a skid to ship to Yazoo Mills
New Strouse Blue color!!!</t>
  </si>
  <si>
    <t>Core  –  3" Paper (3/8" wall)
Width – 3.937"
Number Across Run/FInish –  1/
Core Label – Yes
±10% –  OK
Unwind Dir. Run – N/A
Unwind Dir. Finish –  
Diecut/Continuous/Sheet –  Continuous
Partial Case –  Yes
Pieces per roll/Unit – 1 Roll
Length per roll/unit –  
Finish – On Press
Application – Automatic</t>
  </si>
  <si>
    <t>Blue Match = Environmental Film III Blue - FM32E20015
Green Match = Environmental Film III Green - F3S6E20008
Splice paper with brown flatback papertape OR masking tape. No film tape. can use 3M 2515, 2517, Intertape 539 or other similar tape.</t>
  </si>
  <si>
    <t>50011 Cost of Goods Sold</t>
  </si>
  <si>
    <t>Fabricated Part d/c PET 16mm x 19mm</t>
  </si>
  <si>
    <t>Fabricated Part - d/c PET - 16mm x 19mm</t>
  </si>
  <si>
    <t>Number Across Run/Finish –  8/1
Where Finished –  Off Press
Length per Roll/Unit – 36 Yd
Core Type –  3" Paper 1/8" Strouse Brown
Core Width – 0.625"
Core Label – Yes
Dividers – 
Bag Size – 
Qty. Per Bag – 1 Roll
Box Size –  12 x 12 x 12
Qty. Per Box – 36 Rolls
Weight/box – 
Box Per Pallet – 
Pallet Type – </t>
  </si>
  <si>
    <t>Use label format "526 xpedx" if customer is xpedx.  
Use label format "526 Dillon" if customer is Dillon Supply.
Use label format "526 Motion" if customer is Motion Ind.
Core label "526 Core"</t>
  </si>
  <si>
    <t>Core  –  3" Paper 1/8" Strouse Brown
Width – 0.625"
Number Across Run/FInish –  8/1
Core Label – Yes
±10% –  Yes
Unwind Dir. Run – Adh. In
Unwind Dir. Finish –  Adh. In
Diecut/Continuous/Sheet –  Die Cut
Partial Case –  Yes
Pieces per roll/Unit – 1 Roll
Length per roll/unit –  36 Yd
Finish – Off Press
Application – Hand</t>
  </si>
  <si>
    <t>50012 Cost of Goods Sold</t>
  </si>
  <si>
    <t>Die Cut Part Checkered Splice Tape PM Code: 345-5412 1" x 3/4"</t>
  </si>
  <si>
    <t>Die Cut Part - Checkered Splice Tape PM Code: 345-5412 - 1" x 3/4"</t>
  </si>
  <si>
    <t>Number Across Run/Finish –  6/1
Where Finished –  Off Press
Length per Roll/Unit – 36 Yd
Core Type –  3" Paper 1/8" Strouse Brown
Core Width – 1"
Core Label – Yes
Dividers – 
Bag Size – 
Qty. Per Bag – 1 Roll
Box Size –  12 x 12 x 12
Qty. Per Box – 50 Rolls
Weight/box – 21
Box Per Pallet – 
Pallet Type – </t>
  </si>
  <si>
    <t>Use blue silicone tape for everything, splicing, starting and tabbing.
DO NOT USE UPVC TAPE FOR ANYTHING!!!!!  
NO PARTIAL CASE ACCEPTED</t>
  </si>
  <si>
    <t>Core  –  3" Paper 1/8" Strouse Brown
Width – 1"
Number Across Run/FInish –  6/1
Core Label – Yes
±10% –  No
Unwind Dir. Run – Out
Unwind Dir. Finish –  Out
Diecut/Continuous/Sheet –  Continuous Die Cut
Partial Case –  No
Pieces per roll/Unit – 1 Roll
Length per roll/unit –  36 Yd
Finish – Off Press
Application – Hand</t>
  </si>
  <si>
    <t>Use Cevi Juice
Note: Use SA 493 as first choice to run 6 across. SA 11 can be used as a backup. No UPVC Tape for any tabs or splicing.</t>
  </si>
  <si>
    <t>50013 Cost of Goods Sold</t>
  </si>
  <si>
    <t>Die Cut Part Checkered Splice Tape PM Code: 345-5411 3/4" x 3/4" x 36Yd</t>
  </si>
  <si>
    <t>Die Cut Part - Checkered Splice Tape PM Code: 345-5411 - 3/4" x 3/4" x 36Yd</t>
  </si>
  <si>
    <t>Number Across Run/Finish –  6/1
Where Finished –  Off Press
Length per Roll/Unit – 36 Yd
Core Type –  3" Paper 1/8" Strouse Brown
Core Width – 1"
Core Label – Yes
Dividers – 
Bag Size – 
Qty. Per Bag – 1 Roll
Box Size –  12 x 12 x 12
Qty. Per Box – 50 Rolls
Weight/box – 23
Box Per Pallet – 
Pallet Type – </t>
  </si>
  <si>
    <t>Use Cevi Juice
No UPVC Tape for any tabs or splicing.</t>
  </si>
  <si>
    <t>50014 Cost of Goods Sold</t>
  </si>
  <si>
    <t>Butt Cut Tape Silver splice 3/4" x 3.73" x 60Yd</t>
  </si>
  <si>
    <t>47539349</t>
  </si>
  <si>
    <t>Butt Cut Tape - Silver splice - 3/4" x 3.73" x 60Yd</t>
  </si>
  <si>
    <t>Number Across Run/Finish –  1/1
Where Finished –  On Press
Length per Roll/Unit – 180'
Core Type –  3" Paper 1/8" Strouse Brown
Core Width – 3.75"
Core Label – Yes
Dividers – 
Bag Size – 
Qty. Per Bag – 1 Roll
Box Size –  Best Fit Per Qty
Qty. Per Box – 50 Rolls
Weight/box – 21
Box Per Pallet – 
Pallet Type – </t>
  </si>
  <si>
    <t>For orders less than 100 rolls, finish on press.
Use masking tape to start and tab rolls.  Only paper tape can be used on any Phillip Morris product.
Silicone tape O.K.  DO NOT USE PVC TAPE!</t>
  </si>
  <si>
    <t>Core  –  3" Paper 1/8" Strouse Brown
Width – 3.75"
Number Across Run/FInish –  1/1
Core Label – Yes
±10% –  Yes
Unwind Dir. Run – Parts Out
Unwind Dir. Finish –  Parts Out
Diecut/Continuous/Sheet –  Die Cut
Partial Case –  Yes
Pieces per roll/Unit – 1 Roll
Length per roll/unit –  180'
Finish – On Press
Application – Hand</t>
  </si>
  <si>
    <t>50015 Cost of Goods Sold</t>
  </si>
  <si>
    <t>Slit Tape Premask application tape See Work order</t>
  </si>
  <si>
    <t>STR-82PM</t>
  </si>
  <si>
    <t>Slit Tape - Premask application tape - See Work order</t>
  </si>
  <si>
    <t>Number Across Run/Finish –  ?/1
Where Finished –  On Press
Length per Roll/Unit – 100 Yd
Core Type –  As Recd.
Core Width – Various
Core Label – Yes
Dividers – Paper
Bag Size – 
Qty. Per Bag – 
Box Size –  12 x 12 x 12
Qty. Per Box – Best Fit 
Weight/box – 
Box Per Pallet – 
Pallet Type – </t>
  </si>
  <si>
    <t>Core  –  As Recd.
Width – Various
Number Across Run/FInish –  ?/1
Core Label – Yes
±10% –  Yes
Unwind Dir. Run – N/A
Unwind Dir. Finish –  N/A
Diecut/Continuous/Sheet –  Continuous
Partial Case –  Yes
Pieces per roll/Unit – 1 Roll
Length per roll/unit –  100 Yd
Finish – On Press
Application – Hand</t>
  </si>
  <si>
    <t>50016 Cost of Goods Sold</t>
  </si>
  <si>
    <t>Die Cut Label Silver foil 2-1/2" x 3/4"</t>
  </si>
  <si>
    <t>See work order</t>
  </si>
  <si>
    <t>Die Cut Label - Silver foil - 2-1/2" x 3/4"</t>
  </si>
  <si>
    <t>Number Across Run/Finish –  4/1
Where Finished –  Off Press
Length per Roll/Unit – 110'
Core Type –  3" Paper 1/8" Strouse Brown
Core Width – 0.875"
Core Label – Yes
Dividers – 
Bag Size – 
Qty. Per Bag – 1 Rolls
Box Size –  12 1/2 x 8 1/2 x 12 5/8
Qty. Per Box – 50 Rolls
Weight/box – 
Box Per Pallet – 
Pallet Type – </t>
  </si>
  <si>
    <t>For orders less than 100 rolls, finish on press.
If order is less than 50 rolls, then package as best as will fit given the number of rolls.
USE PAPER TAPE TO START AND TAB ROLLS!! No UPVC tape.</t>
  </si>
  <si>
    <t>Core  –  3" Paper 1/8" Strouse Brown
Width – 0.875"
Number Across Run/FInish –  4/1
Core Label – Yes
±10% –  Yes
Unwind Dir. Run – Parts Out
Unwind Dir. Finish –  Parts Out
Diecut/Continuous/Sheet –  Die Cut
Partial Case –  Yes
Pieces per roll/Unit – 1 Roll
Length per roll/unit –  110'
Finish – Off Press
Application – Hand</t>
  </si>
  <si>
    <t>50017 Cost of Goods Sold</t>
  </si>
  <si>
    <t>Tape White Imprintable PET tape printed Yellow, Blue &amp; Black with "Hydraulic" 1.936" x 60Yd</t>
  </si>
  <si>
    <t>7229-53103</t>
  </si>
  <si>
    <t>Tape -  White Imprintable PET tape  printed Yellow, Blue &amp; Black with "Hydraulic" - 1.936" x 60Yd</t>
  </si>
  <si>
    <t>Number Across Run/Finish –  3/1
Where Finished –  Off Press
Length per Roll/Unit – 60 Yd
Core Type –  3" Paper 1/8" Strouse Brown
Core Width – 1.936"
Core Label – Yes
Dividers – Paper
Bag Size – 
Qty. Per Bag – 6 Rolls
Box Size –  Various Sizes
Qty. Per Box – 24 Rolls
Weight/box – 17
Box Per Pallet – 
Pallet Type – </t>
  </si>
  <si>
    <t xml:space="preserve">Start cores w/ Post-a-dots.
Rewinder: make sure to check unwind direction of rolls.  Some need to be rewound twice, and some three times to get the correct unwind direction. 
</t>
  </si>
  <si>
    <t>Core  –  3" Paper 1/8" Strouse Brown
Width – 1.936"
Number Across Run/FInish –  3/1
Core Label – Yes
±10% –  Yes
Unwind Dir. Run – 1
Unwind Dir. Finish –  5
Diecut/Continuous/Sheet –  Continuous
Partial Case –  Yes
Pieces per roll/Unit – 1 Roll
Length per roll/unit –  60 Yd
Finish – Off Press
Application – Hand</t>
  </si>
  <si>
    <t>New tint sleeves order 3/3/17</t>
  </si>
  <si>
    <t>50018 Cost of Goods Sold</t>
  </si>
  <si>
    <t>Die Cut Label Post-a-Dots 1" Dia</t>
  </si>
  <si>
    <t>PAD-2500</t>
  </si>
  <si>
    <t>Die Cut Label - Post-a-Dots - 1" Dia</t>
  </si>
  <si>
    <t>Number Across Run/Finish –  2/1
Where Finished –  Web Techniques
Length per Roll/Unit – 222'
Core Type –  3" Paper 1/8" White Brown
Core Width – 1.06"
Core Label – Yes
Dividers – 
Bag Size – 
Qty. Per Bag – 1 Roll
Box Size –  14 x 7 x 13-1/4
Qty. Per Box – 50 Rolls
Weight/box – 
Box Per Pallet – 
Pallet Type – </t>
  </si>
  <si>
    <t>Plain or Printed core will be determined by work order.  If product ID label on work order calls out anything other than Strouse; use a PLAIN core.  
Box quantity and size to be determined by size of order.  This will vary from order to order and customer to customer.</t>
  </si>
  <si>
    <t>Core  –  3" Paper 1/8" White Brown
Width – 1.06"
Number Across Run/FInish –  2/1
Core Label – Yes
±10% –  OK
Unwind Dir. Run – Parts Out
Unwind Dir. Finish –  Parts Out
Diecut/Continuous/Sheet –  Die Cut
Partial Case –  Yes
Pieces per roll/Unit – 2,500
Length per roll/unit –  222'
Finish – Web Techniques
Application – Hand</t>
  </si>
  <si>
    <t>Any 1" or 3" removable sheeter per: AB 9, CA 159, CA 795
Do not schedule on Pace 2
Plain or Printed core will be determined by work order.  If product ID label on work order calls out anything other than Strouse; use a PLAIN core.</t>
  </si>
  <si>
    <t>50019 Cost of Goods Sold</t>
  </si>
  <si>
    <t>Die Cut Label White Thermal Transfer labels 2-1/2" x 3/4"</t>
  </si>
  <si>
    <t>1226</t>
  </si>
  <si>
    <t>Die Cut Label - White Thermal Transfer labels - 2-1/2" x 3/4"</t>
  </si>
  <si>
    <t>Number Across Run/Finish –  4/4
Where Finished –  On Press
Length per Roll/Unit – 493'
Core Type –  3" Paper 1/8" White Brown
Core Width – 3.5"
Core Label – Yes
Dividers – 
Bag Size – 
Qty. Per Bag – 
Box Size –  14-1/4 x 9-1/2 x 12-5/8
Qty. Per Box – 8 Rolls
Weight/box – 
Box Per Pallet – 
Pallet Type – </t>
  </si>
  <si>
    <t>- No Factory Splices
- Start with Post-A-Dot
- No slitting Dust
- 1/16" liner edge to edge
Wind rolls as loose as possible</t>
  </si>
  <si>
    <t>Core  –  3" Paper 1/8" White Brown
Width – 3.5"
Number Across Run/FInish –  4/4
Core Label – Yes
±10% –  Yes
Unwind Dir. Run – Parts Out
Unwind Dir. Finish –  Parts Out
Diecut/Continuous/Sheet –  Die Cut
Partial Case –  Yes
Pieces per roll/Unit – 9,000
Length per roll/unit –  493'
Finish – On Press
Application – Hand</t>
  </si>
  <si>
    <t>50020 Cost of Goods Sold</t>
  </si>
  <si>
    <t>Tape PP. 48mm x 110Yd</t>
  </si>
  <si>
    <t>1286</t>
  </si>
  <si>
    <t>Tape - PP. - 48mm x 110Yd</t>
  </si>
  <si>
    <t>Number Across Run/Finish –  3/1
Where Finished –  On Press
Length per Roll/Unit – 110 Yd
Core Type –  3" Paper (1/8" wall)
Core Width – 1.968
Core Label – No
Dividers – 
Bag Size – 
Qty. Per Bag – 
Box Size –  16 1/2 x 8 1/2 x 13
Qty. Per Box – 36 
Weight/box – 
Box Per Pallet – 
Pallet Type – </t>
  </si>
  <si>
    <t xml:space="preserve">For internal use. Tolerances are for guidelines only. </t>
  </si>
  <si>
    <t>Core  –  3" Paper (1/8" wall)
Width – 1.968
Number Across Run/FInish –  3/1
Core Label – No
±10% –  Yes
Unwind Dir. Run – Adh. In
Unwind Dir. Finish –  Adh. In
Diecut/Continuous/Sheet –  Continuous
Partial Case –  Yes
Pieces per roll/Unit – 1 Roll
Length per roll/unit –  110 Yd
Finish – On Press
Application – Hand</t>
  </si>
  <si>
    <t>50021 Cost of Goods Sold</t>
  </si>
  <si>
    <t>Butt Cut Label White/Blue "IBM" 200mm x 200mm</t>
  </si>
  <si>
    <t>2133945</t>
  </si>
  <si>
    <t>Butt Cut Label - White/Blue "IBM" - 200mm x 200mm</t>
  </si>
  <si>
    <t>Number Across Run/Finish –  1/1
Where Finished –  Web Techniques
Length per Roll/Unit – 500'
Core Type –  3" Paper 1/8" White Brown
Core Width – 8"
Core Label – Yes
Dividers – 
Bag Size – 
Qty. Per Bag – 1 Roll
Box Size –  11 x 11 x 8
Qty. Per Box – 2 M
Weight/box – 26
Box Per Pallet – 
Pallet Type – </t>
  </si>
  <si>
    <t>If order is shipping to Xpedx, then use the regular Strouse product ID labels
If order is shipping directly to IBM, then use the IBMAI format and put two labels per carton.  The labels are to be on two adjacent verticcal sides in the upper right hand corner.</t>
  </si>
  <si>
    <t>Core  –  3" Paper 1/8" White Brown
Width – 8"
Number Across Run/FInish –  1/1
Core Label – Yes
±10% –  Ask
Unwind Dir. Run – 2
Unwind Dir. Finish –  1
Diecut/Continuous/Sheet –  Die Cut
Partial Case –  Ask
Pieces per roll/Unit – 1 Roll
Length per roll/unit –  500'
Finish – Web Techniques
Application – Automatic</t>
  </si>
  <si>
    <t>50022 Cost of Goods Sold</t>
  </si>
  <si>
    <t>Fabricated Part 2 mil polyimide film with high temperature Adh. on PET liner supplied on plastic cores 5/8" x 60Yd</t>
  </si>
  <si>
    <t>MM203002003</t>
  </si>
  <si>
    <t>Fabricated Part - 2 mil polyimide film with high temperature Adh. on PET liner supplied on plastic cores - 5/8" x 60Yd</t>
  </si>
  <si>
    <t>Number Across Run/Finish –  9/1
Where Finished –  On Press
Length per Roll/Unit – 60 Yd
Core Type –  3" Plastic 0.10" HDPE
Core Width – 0.625"
Core Label – Yes
Dividers – 
Bag Size – 
Qty. Per Bag – 1 Roll
Box Size –  10 x 10 x 10
Qty. Per Box – 48 Rolls
Weight/box – 
Box Per Pallet – 
Pallet Type – </t>
  </si>
  <si>
    <t>Include Strouse C of C w/ Kaneka DOM('s) &amp; Lot #('s).
*All Polyimide received by Strouse will be converted and shipped.
*Polyimide Raw Material Lot # Must be on Core Labels and on Box Labels.  Do not truncate; use full Lot #.
*Do not mix Lot #'s of Polyimide.  OK to mix Lot numbers of adhesive.
*Do NOT label rolls with the Strouse Work Order Number.
*Heat seal each roll, and package 12 per bag.
*Line the box with a large bag before placing the bags of 12 in the carton.</t>
  </si>
  <si>
    <t>Core  –  3" Plastic 0.10" HDPE
Width – 0.625"
Number Across Run/FInish –  9/1
Core Label – Yes
±10% –  Yes
Unwind Dir. Run – Film Out
Unwind Dir. Finish –  Film Out
Diecut/Continuous/Sheet –  Continuous
Partial Case –  Yes
Pieces per roll/Unit – 1 Roll
Length per roll/unit –  60 Yd
Finish – On Press
Application – Hand</t>
  </si>
  <si>
    <t>Presses must be wiped down before the start of this job.  An ISOLATED cart must be used to put the rolls on after running for packaging, this also must be wiped down before material is laid on it.  Finished product MUST be free of dirt and debris!!!</t>
  </si>
  <si>
    <t>50023 Cost of Goods Sold</t>
  </si>
  <si>
    <t>Butt Cut Part PET, Checkerboard 3/4" X 3/4" X 36Yd</t>
  </si>
  <si>
    <t>902/5108814</t>
  </si>
  <si>
    <t>Butt Cut Part - PET, Checkerboard - 3/4" X 3/4" X 36Yd</t>
  </si>
  <si>
    <t>Number Across Run/Finish –  8/1
Where Finished –  On Press
Length per Roll/Unit – 36 Yd
Core Type –  3" Paper 1/8" Strouse Brown
Core Width – 0.750"
Core Label – Yes
Dividers – 
Bag Size – 
Qty. Per Bag – 1 Roll
Box Size –  10 x 10 x 10
Qty. Per Box – 50 Rolls
Weight/box – 
Box Per Pallet – 
Pallet Type – </t>
  </si>
  <si>
    <t>Core  –  3" Paper 1/8" Strouse Brown
Width – 0.750"
Number Across Run/FInish –  8/1
Core Label – Yes
±10% –  Yes
Unwind Dir. Run – Adh. In
Unwind Dir. Finish –  Adh. In
Diecut/Continuous/Sheet –  Die Cut
Partial Case –  Yes
Pieces per roll/Unit – 1 Roll
Length per roll/unit –  36 Yd
Finish – On Press
Application – Hand</t>
  </si>
  <si>
    <t>50024 Cost of Goods Sold</t>
  </si>
  <si>
    <t>d/c Tape Printed with Red Arrow every 2" 1" x 36Yd</t>
  </si>
  <si>
    <t>d/c Tape - Printed with Red Arrow every 2" - 1" x 36Yd</t>
  </si>
  <si>
    <t>Number Across Run/Finish –  6/1
Where Finished –  On Press
Length per Roll/Unit – 36 Yd
Core Type –  3" Paper 1/8" White Brown
Core Width – 1.0"
Core Label – Yes
Dividers – 
Bag Size – 
Qty. Per Bag – 1 Roll
Box Size –  14 1/4 x 8 3/4  x 12 5/8
Qty. Per Box – 36 Rolls
Weight/box – 17
Box Per Pallet – 
Pallet Type – </t>
  </si>
  <si>
    <t xml:space="preserve">NO PARTIAL CASE ACCEPTED
</t>
  </si>
  <si>
    <t>Core  –  3" Paper 1/8" White Brown
Width – 1.0"
Number Across Run/FInish –  6/1
Core Label – Yes
±10% –  No
Unwind Dir. Run – 7
Unwind Dir. Finish –  7
Diecut/Continuous/Sheet –  Continuous
Partial Case –  No
Pieces per roll/Unit – 1 Roll
Length per roll/unit –  36 Yd
Finish – On Press
Application – Hand</t>
  </si>
  <si>
    <t>50025 Cost of Goods Sold</t>
  </si>
  <si>
    <t>Fabricated Part White poly-backed 3 ply tissue laminated with 1/2" wide Adh. transfer and printed/perfed every 13" 5-1/2" x 108'</t>
  </si>
  <si>
    <t>ST-178</t>
  </si>
  <si>
    <t>Fabricated Part - White poly-backed 3 ply tissue laminated with 1/2" wide Adh. transfer and printed/perfed every 13" - 5-1/2" x 108'</t>
  </si>
  <si>
    <t>Number Across Run/Finish –  1/1
Where Finished –  On Press
Length per Roll/Unit – 112'
Core Type –  3" Paper 1/8" White Brown
Core Width – 5.5"
Core Label – Yes
Dividers – 
Bag Size – 
Qty. Per Bag – 1 Roll
Box Size –  12 1/2 x 8 1/2 x 12 5/8
Qty. Per Box – 4 Rolls
Weight/box – 6
Box Per Pallet – 48 or 32; see note
Pallet Type – </t>
  </si>
  <si>
    <t>1 roll per bag.  4 rolls per 14 1/4" x 8 3/4" x 12 5/8" box.  Check print to make sure line is straight.  Maximum O.D. of roll is 7.25".  No splices - CONTINUOUS ROLLS ONLY.
MUST RUN EXACT QUANTITY ON ORDER!!!  MUST STACK ON PLASTIC PALLETS ONLY.
Include 80 Cust. Supplied Dispenser cartons, and 10 brown boxes with each shipment of 320 Rolls.
If the order QTY is for 320 Rolls; place 48 boxes on one pallet, and 32 boxes on another.  Keep the pallet height under 62".</t>
  </si>
  <si>
    <t>Core  –  3" Paper 1/8" White Brown
Width – 5.5"
Number Across Run/FInish –  1/1
Core Label – Yes
±10% –  No
Unwind Dir. Run – Tape/Film Out
Unwind Dir. Finish –  Tape/Film Out
Diecut/Continuous/Sheet –  Die Cut
Partial Case –  No
Pieces per roll/Unit – 1 Roll
Length per roll/unit –  112'
Finish – On Press
Application – Hand</t>
  </si>
  <si>
    <t>Off core specification is ± 0.125" - Roll length changed to 112 ft in response to CAR.  This is a blind change and the product should continue to be labeled as 108'.  Try using 200 anilox with a doctor blade the next time this job runs to reduce ink slinging issues.  Assure metering roller is in good repair and not picking up excess ink.
No Splices - COntinuous Rolls only.  PLACE ON PLASTIC PALLETS.
Outside Diameter of finished roll to be 7.25" ABSOLUTE MAX!!!</t>
  </si>
  <si>
    <t>50026 Cost of Goods Sold</t>
  </si>
  <si>
    <t>Die Cut Label White Litho Core Label 15/16" x 11/16"</t>
  </si>
  <si>
    <t>1735</t>
  </si>
  <si>
    <t>Die Cut Label - White Litho Core Label - 15/16" x 11/16"</t>
  </si>
  <si>
    <t>Number Across Run/Finish –  4/4
Where Finished –  Off Press
Length per Roll/Unit – 425'
Core Type –  3" Paper 1/8" White Brown
Core Width – 4.25"
Core Label – Yes
Dividers – 
Bag Size – 
Qty. Per Bag – 
Box Size –  10 x 10 x 10
Qty. Per Box – 6 Rolls
Weight/box – 
Box Per Pallet – 
Pallet Type – </t>
  </si>
  <si>
    <t>- No Factory Splices
- Start with Post-A-Dot
- No slitting Dust
- 1/16" liner edge to edge
Wind rolls as loose as possible!!!</t>
  </si>
  <si>
    <t>Core  –  3" Paper 1/8" White Brown
Width – 4.25"
Number Across Run/FInish –  4/4
Core Label – Yes
±10% –  OK
Unwind Dir. Run – Parts Out
Unwind Dir. Finish –  Parts Out
Diecut/Continuous/Sheet –  Die Cut
Partial Case –  Yes
Pieces per roll/Unit – 25,000
Length per roll/unit –  425'
Finish – Off Press
Application – Hand</t>
  </si>
  <si>
    <t>Wind rolls as loose as possible!!!</t>
  </si>
  <si>
    <t>50027 Cost of Goods Sold</t>
  </si>
  <si>
    <t>Slit Tape Yellow UPVC printed "Inspected...P-2178" 3/4" x 72Yd (66m)</t>
  </si>
  <si>
    <t>P-2178-STC</t>
  </si>
  <si>
    <t>Slit Tape - Yellow UPVC printed "Inspected...P-2178" - 3/4" x 72Yd (66m)</t>
  </si>
  <si>
    <t>Number Across Run/Finish –  8/1
Where Finished –  Off Press
Length per Roll/Unit – 72 Yd
Core Type –  3" Paper 1/8" Strouse Brown
Core Width – 19 mm
Core Label – No
Dividers – None
Bag Size – 
Qty. Per Bag – 12 Rolls
Box Size –  12 x 12 x 12
Qty. Per Box – 48 Rolls
Weight/box – 12
Box Per Pallet – 
Pallet Type – </t>
  </si>
  <si>
    <t>Use .743" spacers for blades. 19mm guides + cores
NO CORE LABELS!!!!
PO Number and Part Number must be on all boxes.</t>
  </si>
  <si>
    <t>Core  –  3" Paper 1/8" Strouse Brown
Width – 19 mm
Number Across Run/FInish –  8/1
Core Label – No
±10% –  No
Unwind Dir. Run – 2
Unwind Dir. Finish –  2
Diecut/Continuous/Sheet –  Continuous
Partial Case –  No
Pieces per roll/Unit – 1 Roll
Length per roll/unit –  72 Yd
Finish – Off Press
Application – Hand</t>
  </si>
  <si>
    <t>50028 Cost of Goods Sold</t>
  </si>
  <si>
    <t>Fabricated Part Internal Rectangle Area W/ Tab 0.5895" x 0.402"</t>
  </si>
  <si>
    <t>505089</t>
  </si>
  <si>
    <t>Fabricated Part - Internal Rectangle Area W/ Tab - 0.5895" x 0.402"</t>
  </si>
  <si>
    <t>Number Across Run/Finish –  2/1
Where Finished –  Web Techniques
Length per Roll/Unit – 45'
Core Type –  3" Paper 1/8" White Brown
Core Width – 1.0"
Core Label – Yes
Dividers – 
Bag Size – 
Qty. Per Bag – 1 Roll
Box Size –  10 x 10 x 10
Qty. Per Box – 20 M
Weight/box – 5
Box Per Pallet – 
Pallet Type – </t>
  </si>
  <si>
    <t>Heat seal rolls</t>
  </si>
  <si>
    <t>Core  –  3" Paper 1/8" White Brown
Width – 1.0"
Number Across Run/FInish –  2/1
Core Label – Yes
±10% –  OK
Unwind Dir. Run – Parts Out
Unwind Dir. Finish –  Parts Out
Diecut/Continuous/Sheet –  Die Cut
Partial Case –  Yes
Pieces per roll/Unit – 1,000
Length per roll/unit –  45'
Finish – Web Techniques
Application – Hand</t>
  </si>
  <si>
    <t>50029 Cost of Goods Sold</t>
  </si>
  <si>
    <t>Slit Tape Yellow UPVC printed "Inspected...P-7903" 3/4" x 72Yd (66m)</t>
  </si>
  <si>
    <t>P-7903-STC</t>
  </si>
  <si>
    <t>Slit Tape - Yellow UPVC printed "Inspected...P-7903" - 3/4" x 72Yd (66m)</t>
  </si>
  <si>
    <t>Number Across Run/Finish –  8/1
Where Finished –  Off Press
Length per Roll/Unit – 72 Yd
Core Type –  3" Paper 1/8" Strouse Brown
Core Width – 19 mm
Core Label – No
Dividers – None
Bag Size – 
Qty. Per Bag – 12 Rolls
Box Size –  10 x 10 x 10
Qty. Per Box – 48 Rolls
Weight/box – 12
Box Per Pallet – 
Pallet Type – </t>
  </si>
  <si>
    <t>Core  –  3" Paper 1/8" Strouse Brown
Width – 19 mm
Number Across Run/FInish –  8/1
Core Label – No
±10% –  No
Unwind Dir. Run – 2
Unwind Dir. Finish –  2
Diecut/Continuous/Sheet –  Continuous
Partial Case –  No
Pieces per roll/Unit – 1 Roll
Length per roll/unit –  72 Yd
Finish – Off Press
Application – Automatic</t>
  </si>
  <si>
    <t>50030 Cost of Goods Sold</t>
  </si>
  <si>
    <t>Slit Tape Yellow UPVC printed "Inspected...P-1318" 3/4" x 72Yd (66m)</t>
  </si>
  <si>
    <t>P-1318-STC</t>
  </si>
  <si>
    <t>Slit Tape - Yellow UPVC printed "Inspected...P-1318" - 3/4" x 72Yd (66m)</t>
  </si>
  <si>
    <t>Number Across Run/Finish –  8/1
Where Finished –  Off Press
Length per Roll/Unit – 72 Yd
Core Type –  3" Paper 1/8" Strouse Brown
Core Width – 19 mm
Core Label – No
Dividers – None
Bag Size – 
Qty. Per Bag – 12 Rolls
Box Size –  
Qty. Per Box – 48 Rolls
Weight/box – 12
Box Per Pallet – 
Pallet Type – </t>
  </si>
  <si>
    <t>Use .743" spacers for blades.  19mm guides+cores.</t>
  </si>
  <si>
    <t>50031 Cost of Goods Sold</t>
  </si>
  <si>
    <t>Butt Cut Part Colored PVC or Paper Tabs 0.75" x 2"</t>
  </si>
  <si>
    <t>1812</t>
  </si>
  <si>
    <t>Butt Cut Part - Colored PVC or Paper Tabs - 0.75" x 2"</t>
  </si>
  <si>
    <t>Number Across Run/Finish –  2/2
Where Finished –  On Press
Length per Roll/Unit – 210'
Core Type –  3" Paper 1/8" White Brown
Core Width – 5"
Core Label – No
Dividers – 
Bag Size – 
Qty. Per Bag – 
Box Size –  10 x 10 x 10
Qty. Per Box – 
Weight/box – 
Box Per Pallet – 
Pallet Type – </t>
  </si>
  <si>
    <t>NO CORE LABELS!!!!
FOR INTERNAL USE ONLY</t>
  </si>
  <si>
    <t>Core  –  3" Paper 1/8" White Brown
Width – 5"
Number Across Run/FInish –  2/2
Core Label – No
±10% –  Yes
Unwind Dir. Run – Parts Out
Unwind Dir. Finish –  Parts Out
Diecut/Continuous/Sheet –  Die Cut
Partial Case –  Yes
Pieces per roll/Unit – 1 Roll
Length per roll/unit –  210'
Finish – On Press
Application – Hand</t>
  </si>
  <si>
    <t>FOR INTERNAL USE ONLY</t>
  </si>
  <si>
    <t>50032 Cost of Goods Sold</t>
  </si>
  <si>
    <t>Fabricated Part Slit Dupont Grade A Mylar 1/2" x 1,000'</t>
  </si>
  <si>
    <t>EH-2702</t>
  </si>
  <si>
    <t>Fabricated Part - Slit Dupont Grade A Mylar - 1/2" x 1,000'</t>
  </si>
  <si>
    <t>Number Across Run/Finish –  11/1
Where Finished –  On Press
Length per Roll/Unit – 1,000'
Core Type –  3" Plastic 0.10" HDPE
Core Width – 0.5"
Core Label – Yes
Dividers – See Below
Bag Size – 
Qty. Per Bag – 1 Roll
Box Size –  14 x 14 x 8
Qty. Per Box – 55 Rolls
Weight/box – 16
Box Per Pallet – 
Pallet Type – </t>
  </si>
  <si>
    <t>Rolls are to be Heat-sealed one per bag, then 2 sealed rolls are to be bagged in a 7 x 10.  The 55th roll of each case will be a single roll double bagged.  Roll # to start with "0001" and end with whatever the WO calls for as the quantity.
Use format 1829 core - Should appear as shown in Core Label box, but their PO # will change every time.
Keep lots separate and appropriately labeled.  Only use the first 7 digits of the material lot number.
When packaging "yellow" material, please place a yellow dot on the box next to the label.  All rolls should have blue tape to note roll end.
C of C needed; with material description and material lot #('s).</t>
  </si>
  <si>
    <t>Core  –  3" Plastic 0.10" HDPE
Width – 0.5"
Number Across Run/FInish –  11/1
Core Label – Yes
±10% –  OK
Unwind Dir. Run – N/A
Unwind Dir. Finish –  N/A
Diecut/Continuous/Sheet –  Continuous
Partial Case –  Yes
Pieces per roll/Unit – 1 Roll
Length per roll/unit –  1,000'
Finish – On Press
Application – Automatic</t>
  </si>
  <si>
    <t xml:space="preserve">Do not run on Siat 4 unless we buy guides.
Some of the PET material will have a yellowish cast and some a gray cast.  The yellowish material needs to be separated and the boxes of finished yellowish rolls need to be marked with a yellow dot. </t>
  </si>
  <si>
    <t>50033 Cost of Goods Sold</t>
  </si>
  <si>
    <t>Tape CSM 5 mil Teflon perfed at 12" intervals 12" x 6"</t>
  </si>
  <si>
    <t>MM206015024</t>
  </si>
  <si>
    <t>Tape - CSM 5 mil Teflon perfed at 12" intervals - 12" x 6"</t>
  </si>
  <si>
    <t>Number Across Run/Finish –  1/1
Where Finished –  On Press
Length per Roll/Unit – 500'
Core Type –  3" Plastic
Core Width – 6"
Core Label – Yes
Dividers – 
Bag Size – 
Qty. Per Bag – 1 Roll
Box Size –  12 x 12 x 12
Qty. Per Box – 1 M/Ft
Weight/box – 
Box Per Pallet – 
Pallet Type – </t>
  </si>
  <si>
    <t>Each roll to be individually bagged, open end pushed down in core with end caps. Then each bag is bubble wrapped. Use original carton.  Ship in sturdy carton to prevent damage.   C of C required.  Each Roll to be individually labeled inside the core with: Item # MM206015024      PO #: to be provided       See Core Label format "1831 core".  Actual footage for roll.  Prod. Desc.: 5 mil FEP.  Label each roll with Atlantic PO# as "lot" number.  Each Roll to be individually bagged, open end of each bag to be pushed down into the core and an end cap placed in both ends. Each bagged roll to then be placed in a bubble bag.  PLACE a CORE LABEL on the OUTSIDE of each bag and on the outside of the Box.  MARK Packing Slip with PO# and correct total footage shipped</t>
  </si>
  <si>
    <t>Core  –  3" Plastic
Width – 6"
Number Across Run/FInish –  1/1
Core Label – Yes
±10% –  Yes
Unwind Dir. Run – N/A
Unwind Dir. Finish –  N/A
Diecut/Continuous/Sheet –  Continuous
Partial Case –  Yes
Pieces per roll/Unit – 1 Roll
Length per roll/unit –  500'
Finish – On Press
Application – Automatic</t>
  </si>
  <si>
    <t>Take a sample approx. 12" in length from the beginning of each raw material roll prior to converting as well as the required sample from each finished roll post converting.</t>
  </si>
  <si>
    <t>50034 Cost of Goods Sold</t>
  </si>
  <si>
    <t>Butt Cut Foam Single coated, 2 across, 1/16" thick 3/4" x 3/4"</t>
  </si>
  <si>
    <t>Butt Cut Foam - Single coated, 2 across, 1/16" thick - 3/4" x 3/4"</t>
  </si>
  <si>
    <t>Number Across Run/Finish –  1/2
Where Finished –  On Press
Length per Roll/Unit – 30 Yd
Core Type –  3" Paper 1/8" White Brown
Core Width – 1.500"
Core Label – Yes
Dividers – Corrugated
Bag Size – 
Qty. Per Bag – 
Box Size –  14 x 14 x 6
Qty. Per Box – 7 Rolls
Weight/box – 13
Box Per Pallet – 
Pallet Type – </t>
  </si>
  <si>
    <t>Packaging comments: Use 10 X 10 corrugated dividers and put cardboard between each roll.
Please wind with the foam out.
Additional "PO#" label is only necessary when shipping directly to GE.  
20,160 pcs. per box.</t>
  </si>
  <si>
    <t>Core  –  3" Paper 1/8" White Brown
Width – 1.500"
Number Across Run/FInish –  1/2
Core Label – Yes
±10% –  Yes
Unwind Dir. Run – Foam Out
Unwind Dir. Finish –  Foam Out
Diecut/Continuous/Sheet –  Die Cut
Partial Case –  No
Pieces per roll/Unit – 2,880
Length per roll/unit –  30 Yd
Finish – On Press
Application – Hand</t>
  </si>
  <si>
    <t xml:space="preserve">Please monitor die strike.  Set die pressure at set-up to ensure material is cut completely, but the liner is not compromised. 
With press running apply pressure until cut is achieved, back pressure off, and reapply slowly until just enough pressure is applied to effect an adequate cut.
Check sample piece to assure material cut is complete and carrier liner remains intact.  It is preferred by the customer that the parts are cut sufficiently  such that you cannot pull multiple parts off together in a strip. </t>
  </si>
  <si>
    <t>50035 Cost of Goods Sold</t>
  </si>
  <si>
    <t>Printed Tape White PVC Printed printed black "IN" 1/2" x 80Yd</t>
  </si>
  <si>
    <t>4213-11217</t>
  </si>
  <si>
    <t>Printed Tape - White PVC Printed printed black "IN" - 1/2" x 80Yd</t>
  </si>
  <si>
    <t>Number Across Run/Finish –  11/1
Where Finished –  On Press
Length per Roll/Unit – 80 Yd
Core Type –  3" Paper (1/8" wall)
Core Width – 0.5"
Core Label – Yes
Dividers – Paper
Bag Size – 
Qty. Per Bag – 10 Rolls
Box Size –  14 1/4 x 8 3/4  x 12 5/8
Qty. Per Box – 50 Rolls
Weight/box – 
Box Per Pallet – 
Pallet Type – </t>
  </si>
  <si>
    <t>Core  –  3" Paper (1/8" wall)
Width – 0.5"
Number Across Run/FInish –  11/1
Core Label – Yes
±10% –  Yes
Unwind Dir. Run – 1
Unwind Dir. Finish –  1
Diecut/Continuous/Sheet –  Continuous
Partial Case –  Yes
Pieces per roll/Unit – 1 Roll
Length per roll/unit –  80 Yd
Finish – On Press
Application – Hand</t>
  </si>
  <si>
    <t>50036 Cost of Goods Sold</t>
  </si>
  <si>
    <t>Printed Tape White PVC Printed printed black "OUT" 1/2" x 80Yd</t>
  </si>
  <si>
    <t>4213-11218</t>
  </si>
  <si>
    <t>Printed Tape - White PVC Printed printed black "OUT" - 1/2" x 80Yd</t>
  </si>
  <si>
    <t>Number Across Run/Finish –  11/1
Where Finished –  On Press
Length per Roll/Unit – 80 Yd
Core Type –  3" Paper 1/8" Strouse Brown
Core Width – 0.5"
Core Label – Yes
Dividers – Paper
Bag Size – 
Qty. Per Bag – 11 Rolls
Box Size –  
Qty. Per Box – 110 Rolls
Weight/box – 22
Box Per Pallet – 
Pallet Type – </t>
  </si>
  <si>
    <t>Core  –  3" Paper 1/8" Strouse Brown
Width – 0.5"
Number Across Run/FInish –  11/1
Core Label – Yes
±10% –  Yes
Unwind Dir. Run – 1
Unwind Dir. Finish –  1
Diecut/Continuous/Sheet –  Continuous
Partial Case –  Yes
Pieces per roll/Unit – 1 Roll
Length per roll/unit –  80 Yd
Finish – On Press
Application – Hand</t>
  </si>
  <si>
    <t>50037 Cost of Goods Sold</t>
  </si>
  <si>
    <t>Die Cut Label White Litho Core Label 40mm x 12mm</t>
  </si>
  <si>
    <t>2190</t>
  </si>
  <si>
    <t>Die Cut Label - White Litho Core Label - 40mm x 12mm</t>
  </si>
  <si>
    <t>Number Across Run/Finish –  3/3
Where Finished –  On Press
Length per Roll/Unit – 500'
Core Type –  3" Paper 1/8" White Brown
Core Width – 1.875"
Core Label – Yes
Dividers – 
Bag Size – 
Qty. Per Bag – 
Box Size –  10 x 10 x 10
Qty. Per Box – 
Weight/box – 
Box Per Pallet – 
Pallet Type – </t>
  </si>
  <si>
    <t>FOR IN-HOUSE USE
- No Factory Splices
- Start with Post-A-Dot
- No slitting Dust
- 1/16" liner edge to edge
Wind rolls as loose as possible!!!
Put finished rolls in gray cabinet after receiving final sign off.</t>
  </si>
  <si>
    <t>Core  –  3" Paper 1/8" White Brown
Width – 1.875"
Number Across Run/FInish –  3/3
Core Label – Yes
±10% –  Yes
Unwind Dir. Run – Parts Out
Unwind Dir. Finish –  Parts Out
Diecut/Continuous/Sheet –  Die Cut
Partial Case –  Yes
Pieces per roll/Unit – 10,588
Length per roll/unit –  500'
Finish – On Press
Application – Hand</t>
  </si>
  <si>
    <t>50038 Cost of Goods Sold</t>
  </si>
  <si>
    <t>Butt Cut Tape d/c PET 19mm x 15mm x 36Yd</t>
  </si>
  <si>
    <t>Butt Cut Tape - d/c PET - 19mm x 15mm x 36Yd</t>
  </si>
  <si>
    <t>Number Across Run/Finish –  9/1
Where Finished –  On Press
Length per Roll/Unit – 36 Yd
Core Type –  3" Paper 1/8" Strouse Brown
Core Width – 15 mm
Core Label – Yes
Dividers – 
Bag Size – 
Qty. Per Bag – 1 Roll
Box Size –  12 x 12 x 4
Qty. Per Box – 50 Rolls
Weight/box – 
Box Per Pallet – 
Pallet Type – </t>
  </si>
  <si>
    <t>Core  –  3" Paper 1/8" Strouse Brown
Width – 15 mm
Number Across Run/FInish –  9/1
Core Label – Yes
±10% –  No
Unwind Dir. Run – Parts In
Unwind Dir. Finish –  Parts In
Diecut/Continuous/Sheet –  Continuous Die Cut
Partial Case –  No
Pieces per roll/Unit – 1 Roll
Length per roll/unit –  36 Yd
Finish – On Press
Application – Hand</t>
  </si>
  <si>
    <t>Use Cevi Juice</t>
  </si>
  <si>
    <t>50039 Cost of Goods Sold</t>
  </si>
  <si>
    <t>Butt Cut Tape d/c PET with printed checkerboard pattern 3/4" x 0.455" x 36Yd</t>
  </si>
  <si>
    <t>6409375</t>
  </si>
  <si>
    <t>Butt Cut Tape - d/c PET with printed checkerboard pattern - 3/4" x 0.455" x 36Yd</t>
  </si>
  <si>
    <t>Number Across Run/Finish –  11/1
Where Finished –  On Press
Length per Roll/Unit – 36 Yd
Core Type –  3" Paper 1/8" Strouse Brown
Core Width – 0.472"
Core Label – Yes
Dividers – 
Bag Size – 
Qty. Per Bag – 1 Roll
Box Size –  10 x 10 x 10
Qty. Per Box – 25 Rolls
Weight/box – 
Box Per Pallet – 
Pallet Type – </t>
  </si>
  <si>
    <t>Core  –  3" Paper 1/8" Strouse Brown
Width – 0.472"
Number Across Run/FInish –  11/1
Core Label – Yes
±10% –  Yes
Unwind Dir. Run – Adh. In
Unwind Dir. Finish –  Adh. In
Diecut/Continuous/Sheet –  Die Cut
Partial Case –  No
Pieces per roll/Unit – 1 Roll
Length per roll/unit –  36 Yd
Finish – On Press
Application – Automatic</t>
  </si>
  <si>
    <t>50040 Cost of Goods Sold</t>
  </si>
  <si>
    <t>2568586-001-00</t>
  </si>
  <si>
    <t>Number Across Run/Finish –  8/1
Where Finished –  On Press
Length per Roll/Unit – 36 Yd
Core Type –  3" Paper 1/8" White Brown
Core Width – 0.75"
Core Label – Yes
Dividers – 
Bag Size – 
Qty. Per Bag – 1 Roll
Box Size –  Best Fit Per Qty
Qty. Per Box – 48 Rolls
Weight/box – 18
Box Per Pallet – 
Pallet Type – </t>
  </si>
  <si>
    <t>Hauni-Richmond orders = 50 rolls per box.
Xcaliber, Hallmark, and Grand River orders = 48 rolls per box.
Do not use any UPVC tape in finished rolls.</t>
  </si>
  <si>
    <t>Core  –  3" Paper 1/8" White Brown
Width – 0.75"
Number Across Run/FInish –  8/1
Core Label – Yes
±10% –  No
Unwind Dir. Run – Adh. In
Unwind Dir. Finish –  Adh. In
Diecut/Continuous/Sheet –  Die Cut
Partial Case –  Yes
Pieces per roll/Unit – 1 Roll
Length per roll/unit –  36 Yd
Finish – On Press
Application – Hand</t>
  </si>
  <si>
    <t>Use Cevi Juice
If using Adhesive Applications material, you may need to use SA 503 (1 mil step down anvil).</t>
  </si>
  <si>
    <t>50041 Cost of Goods Sold</t>
  </si>
  <si>
    <t>Fabricated Part Adh. Area with Tab 0.500" x 0.82"</t>
  </si>
  <si>
    <t>566R032H01 Rev. B</t>
  </si>
  <si>
    <t>Fabricated Part - Adh. Area with Tab - 0.500" x 0.82"</t>
  </si>
  <si>
    <t>Number Across Run/Finish –  1/1
Where Finished –  Off Press
Length per Roll/Unit – 123'
Core Type –  3" Paper 1/8" Strouse Brown
Core Width – 1.625"
Core Label – Yes - See Note
Dividers – 
Bag Size – 
Qty. Per Bag – 1 Roll
Box Size –  16.5 x 16.5 x 8
Qty. Per Box – Best fit per order 
Weight/box – 
Box Per Pallet – 
Pallet Type – </t>
  </si>
  <si>
    <t>Unwind direction note: Hold roll in LEFT hand and pull with RIGHT hand.  TAB will be on the BOTTOM.
• Use core label format "northrop grumman core2" This is in the Northrop Grumman Folder - Label Guide in JJ.
•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</si>
  <si>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1.625"
Number Across Run/FInish –  1/1
Core Label – Yes - See Note
±10% –  No
Unwind Dir. Run – Parts Out
Unwind Dir. Finish –  Parts Out
Diecut/Continuous/Sheet –  Die Cut
Partial Case –  Yes
Pieces per roll/Unit – 2,500
Length per roll/unit –  123'
Finish – Off Press
Application – Hand</t>
  </si>
  <si>
    <t>Do Not Produce Overruns.</t>
  </si>
  <si>
    <t>50042 Cost of Goods Sold</t>
  </si>
  <si>
    <t>Fabricated Tape ST-894 with internal die cuts 21mm x 10mm</t>
  </si>
  <si>
    <t>27529456001</t>
  </si>
  <si>
    <t>Fabricated Tape - ST-894 with internal die cuts - 21mm x 10mm</t>
  </si>
  <si>
    <t>Number Across Run/Finish –  1/1
Where Finished –  Off Press
Length per Roll/Unit – 1,000'
Core Type –  10" Paper 3/8" Brown Brown
Core Width – 3.7"
Core Label – Yes
Dividers – Corrugated  
Bag Size – 
Qty. Per Bag – 1 Rolls
Box Size –  10 x 10 x 10
Qty. Per Box – 2 M/Ft
Weight/box – 
Box Per Pallet – 
Pallet Type – </t>
  </si>
  <si>
    <t>16 x 16 Dividers.  One on the bottom, one between the 2 rolls and one on the top.</t>
  </si>
  <si>
    <t>Core  –  10" Paper 3/8" Brown Brown
Width – 3.7"
Number Across Run/FInish –  1/1
Core Label – Yes
±10% –  Yes
Unwind Dir. Run – N/A
Unwind Dir. Finish –  N/A
Diecut/Continuous/Sheet –  Die Cut
Partial Case –  Yes
Pieces per roll/Unit – 1 Roll
Length per roll/unit –  1,000'
Finish – Off Press
Application – Hand</t>
  </si>
  <si>
    <t>A Ram Scope Routine has been created for this part. Instructions have been added to JJ to be used when setting up to run Routine.</t>
  </si>
  <si>
    <t>50043 Cost of Goods Sold</t>
  </si>
  <si>
    <t>Printed Tape White tape with Red Arrows 1/2" x 72Yd</t>
  </si>
  <si>
    <t>20066631</t>
  </si>
  <si>
    <t>Printed Tape - White tape with Red Arrows - 1/2" x 72Yd</t>
  </si>
  <si>
    <t>Number Across Run/Finish –  11/1
Where Finished –  On Press
Length per Roll/Unit – 72 Yd
Core Type –  3" Paper 1/8" White Brown
Core Width – 0.500"
Core Label – No
Dividers – Paper
Bag Size – 
Qty. Per Bag – 6 Rolls
Box Size –  13 x 13 x 13
Qty. Per Box – 36 Rolls
Weight/box – 6
Box Per Pallet – 
Pallet Type – </t>
  </si>
  <si>
    <t>*Line center of arrow up on finished roll.  *Arrows point towards core, unwind #2.  NO CORE LABELS!!!!</t>
  </si>
  <si>
    <t>Core  –  3" Paper 1/8" White Brown
Width – 0.500"
Number Across Run/FInish –  11/1
Core Label – No
±10% –  No
Unwind Dir. Run – See note
Unwind Dir. Finish –  See note
Diecut/Continuous/Sheet –  Continuous
Partial Case –  No
Pieces per roll/Unit – 1 Roll
Length per roll/unit –  72 Yd
Finish – On Press
Application – Hand</t>
  </si>
  <si>
    <t>INK = IPPI PPT-5001 PMS 185 Red
Monitor wind profile to assure tape is not being stretched and rewound under tension to prevent excess curl when unwinding and using tape.</t>
  </si>
  <si>
    <t>50044 Cost of Goods Sold</t>
  </si>
  <si>
    <t>Fabricated Part Perimeter Edge Seal printed Blue 1" x 50'</t>
  </si>
  <si>
    <t>A144890</t>
  </si>
  <si>
    <t>Fabricated Part - Perimeter Edge Seal printed Blue - 1" x 50'</t>
  </si>
  <si>
    <t>Number Across Run/Finish –  1/1
Where Finished –  On Press
Length per Roll/Unit – 50'
Core Type –  3" Paper 1/8" Strouse Brown
Core Width – 1"
Core Label – Yes
Dividers – 
Bag Size – 
Qty. Per Bag – 1 Roll
Box Size –  14 1/4 x 8 3/4  x 12 5/8
Qty. Per Box – 15 Rolls
Weight/box – 24
Box Per Pallet – 
Pallet Type – </t>
  </si>
  <si>
    <t>Packaging - each roll will need to be individually bagged and labeled</t>
  </si>
  <si>
    <t>Core  –  3" Paper 1/8" Strouse Brown
Width – 1"
Number Across Run/FInish –  1/1
Core Label – Yes
±10% –  No
Unwind Dir. Run – See Drawing
Unwind Dir. Finish –  1
Diecut/Continuous/Sheet –  Continuous
Partial Case –  Yes
Pieces per roll/Unit – 1 Roll
Length per roll/unit –  50'
Finish – On Press
Application – Hand</t>
  </si>
  <si>
    <t>50045 Cost of Goods Sold</t>
  </si>
  <si>
    <t>Tape 3M 9472 with double extended liner 4-3/4" x 60Yd with 1/2" tab</t>
  </si>
  <si>
    <t>288-0107026</t>
  </si>
  <si>
    <t>Tape - 3M 9472 with double extended liner - 4-3/4" x 60Yd with 1/2" tab</t>
  </si>
  <si>
    <t>Number Across Run/Finish –  1/1
Where Finished –  On Press
Length per Roll/Unit – 60 Yd
Core Type –  3" Paper 1/8" White Brown
Core Width – 6"
Core Label – Yes
Dividers – 
Bag Size – 
Qty. Per Bag – 2 Rolls
Box Size –  12 x 12 x 10
Qty. Per Box – 4 Rolls
Weight/box – 
Box Per Pallet – 
Pallet Type – </t>
  </si>
  <si>
    <t>Core  –  3" Paper 1/8" White Brown
Width – 6"
Number Across Run/FInish –  1/1
Core Label – Yes
±10% –  Yes
Unwind Dir. Run – Adh. In
Unwind Dir. Finish –  Adh. In
Diecut/Continuous/Sheet –  Continuous
Partial Case –  Yes
Pieces per roll/Unit – 1 Roll
Length per roll/unit –  60 Yd
Finish – On Press
Application – Hand</t>
  </si>
  <si>
    <t>50046 Cost of Goods Sold</t>
  </si>
  <si>
    <t>Label White Matte Litho printed "Elite Fasteners", perfed between 2.75" x 2.75"</t>
  </si>
  <si>
    <t>2563</t>
  </si>
  <si>
    <t>Label - White Matte Litho printed "Elite Fasteners", perfed between - 2.75" x 2.75"</t>
  </si>
  <si>
    <t>Number Across Run/Finish –  1/1
Where Finished –  Off Press
Length per Roll/Unit – 240'
Core Type –  3" Paper 1/8" Strouse Brown
Core Width – 3.0"
Core Label – Yes
Dividers – Paper
Bag Size – 
Qty. Per Bag – 3 Rolls
Box Size –  
Qty. Per Box – 6 M
Weight/box – 
Box Per Pallet – 
Pallet Type – </t>
  </si>
  <si>
    <t>Core  –  3" Paper 1/8" Strouse Brown
Width – 3.0"
Number Across Run/FInish –  1/1
Core Label – Yes
±10% –  Yes
Unwind Dir. Run – 3
Unwind Dir. Finish –  4
Diecut/Continuous/Sheet –  Die Cut
Partial Case –  Yes
Pieces per roll/Unit – 1,000
Length per roll/unit –  240'
Finish – Off Press
Application – Hand</t>
  </si>
  <si>
    <t>50047 Cost of Goods Sold</t>
  </si>
  <si>
    <t>Butt Cut Tape Silicone Tape Tabs 0.5" x 2"</t>
  </si>
  <si>
    <t>2693</t>
  </si>
  <si>
    <t>Butt Cut Tape - Silicone Tape Tabs - 0.5" x 2"</t>
  </si>
  <si>
    <t>Number Across Run/Finish –  1/1
Where Finished –  On Press
Length per Roll/Unit – 210'
Core Type –  3" Paper (1/8" wall)
Core Width – 2.375"
Core Label – Yes
Dividers – 
Bag Size – 
Qty. Per Bag – 
Box Size –  19 x 11 x 13
Qty. Per Box – 
Weight/box – 
Box Per Pallet – 
Pallet Type – </t>
  </si>
  <si>
    <t>Core  –  3" Paper (1/8" wall)
Width – 2.375"
Number Across Run/FInish –  1/1
Core Label – Yes
±10% –  No
Unwind Dir. Run – Out
Unwind Dir. Finish –  Out
Diecut/Continuous/Sheet –  Die Cut
Partial Case –  Yes
Pieces per roll/Unit – 5,040
Length per roll/unit –  210'
Finish – On Press
Application – Hand</t>
  </si>
  <si>
    <t>50048 Cost of Goods Sold</t>
  </si>
  <si>
    <t>Die Cut Part Tabs, Adh. printed with "Press...Lift Off" 1/2" x 1"</t>
  </si>
  <si>
    <t>Rclad 8001</t>
  </si>
  <si>
    <t>Die Cut Part - Tabs, Adh. printed with "Press...Lift Off" - 1/2" x 1"</t>
  </si>
  <si>
    <t>Number Across Run/Finish –  1/1
Where Finished –  Off Press
Length per Roll/Unit – 11'
Core Type –  3" Paper 1/8" White Brown
Core Width – 2.000"
Core Label – Yes
Dividers – 
Bag Size – 
Qty. Per Bag – 6 Rolls
Box Size –  14 x 14 x 8
Qty. Per Box – 90 Rolls
Weight/box – 14
Box Per Pallet – 
Pallet Type – </t>
  </si>
  <si>
    <t>10" leader to be added at core.
Rewind direction #7.
Plain Cores.
REFER TO JJ#297 FOR INPUT, THESE ARE RUN THE SAME.  
Rewind operator has to rewind rolls twice to go in correct unwind direction.</t>
  </si>
  <si>
    <t>Core  –  3" Paper 1/8" White Brown
Width – 2.000"
Number Across Run/FInish –  1/1
Core Label – Yes
±10% –  Yes
Unwind Dir. Run – 4
Unwind Dir. Finish –  7
Diecut/Continuous/Sheet –  Die Cut
Partial Case –  Yes
Pieces per roll/Unit – 250
Length per roll/unit –  11'
Finish – Off Press
Application – </t>
  </si>
  <si>
    <t>If plate is not in this jacket check JJ 297
10" leader to be added at core.  Rewind direction #7</t>
  </si>
  <si>
    <t>50049 Cost of Goods Sold</t>
  </si>
  <si>
    <t>Die Cut Part 25A29C with White tab 1" x 1.25"</t>
  </si>
  <si>
    <t>103857195001</t>
  </si>
  <si>
    <t>Die Cut Part - 25A29C with White tab - 1" x 1.25"</t>
  </si>
  <si>
    <t>Number Across Run/Finish –  2/1
Where Finished –  On Press
Length per Roll/Unit – 469'
Core Type –  3" Paper 1/8" White Brown
Core Width – 1.75"
Core Label – Yes
Dividers – Corrugated 12 x 12
Bag Size – 
Qty. Per Bag – 
Box Size –  Best Fit Per Qty
Qty. Per Box – 40 M
Weight/box – 14
Box Per Pallet – 
Pallet Type – </t>
  </si>
  <si>
    <t>Core  –  3" Paper 1/8" White Brown
Width – 1.75"
Number Across Run/FInish –  2/1
Core Label – Yes
±10% –  Ask
Unwind Dir. Run – parts Out
Unwind Dir. Finish –  parts Out
Diecut/Continuous/Sheet –  Die Cut
Partial Case –  Ask
Pieces per roll/Unit – 5,000
Length per roll/unit –  469'
Finish – On Press
Application – Automatic</t>
  </si>
  <si>
    <t>Order 25A29C @ 2000ft lengths  (LOG Form)
Order 55# liner pre-slit @ 5000ft lengths (if order size warrants it, otherwise slit here to lengths as long as can be)</t>
  </si>
  <si>
    <t>50050 Cost of Goods Sold</t>
  </si>
  <si>
    <t>Fabricated Part Adh. Preform 500" x 1.150"</t>
  </si>
  <si>
    <t>570R055 Rev. E</t>
  </si>
  <si>
    <t>Fabricated Part - Adh. Preform - 500" x 1.150"</t>
  </si>
  <si>
    <t>Number Across Run/Finish –  1/1
Where Finished –  Off Press
Length per Roll/Unit – 53'
Core Type –  3" Paper 1/8" Strouse Brown
Core Width – 2.5"
Core Label – Yes - See Note
Dividers – 
Bag Size – 
Qty. Per Bag – 1 Roll
Box Size –  16 1/2 x 8 1/2 x 13
Qty. Per Box – Best fit per order 
Weight/box – 
Box Per Pallet – 
Pallet Type – </t>
  </si>
  <si>
    <t>Use core label format "northrop grumman core2" This is in the Northrop Grumman Folder - Label Guide in JJ.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</si>
  <si>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2.5"
Number Across Run/FInish –  1/1
Core Label – Yes - See Note
±10% –  No
Unwind Dir. Run – Parts Out
Unwind Dir. Finish –  Parts Out
Diecut/Continuous/Sheet –  Die Cut
Partial Case –  Yes
Pieces per roll/Unit – 1,000
Length per roll/unit –  53'
Finish – Off Press
Application – Hand</t>
  </si>
  <si>
    <t>Use white UPVC to remove adhesive.  This will allow you to see if any tape is left in the part.
Do Not Produce Overruns.</t>
  </si>
  <si>
    <t>50051 Cost of Goods Sold</t>
  </si>
  <si>
    <t>Tape Linerless Beaming 7/8" x 60Yd</t>
  </si>
  <si>
    <t>BeamTape-7/8</t>
  </si>
  <si>
    <t>Tape - Linerless Beaming - 7/8" x 60Yd</t>
  </si>
  <si>
    <t>Number Across Run/Finish –  6/1
Where Finished –  On Press
Length per Roll/Unit – 60 Yd
Core Type –  3" Paper (1/8" wall)
Core Width – 0.875"
Core Label – Yes
Dividers – Paper
Bag Size – 
Qty. Per Bag – 8 Rolls
Box Size –  12 x 12 x 4
Qty. Per Box – 16 Rolls
Weight/box – 19
Box Per Pallet – 
Pallet Type – </t>
  </si>
  <si>
    <t>2 stacks of 8, paper dividers, stack with pilot cores</t>
  </si>
  <si>
    <t>Core  –  3" Paper (1/8" wall)
Width – 0.875"
Number Across Run/FInish –  6/1
Core Label – Yes
±10% –  Yes
Unwind Dir. Run – Silicone Out
Unwind Dir. Finish –  Silicone Out
Diecut/Continuous/Sheet –  Continuous
Partial Case –  Yes
Pieces per roll/Unit – 1 Roll
Length per roll/unit –  60 Yd
Finish – On Press
Application – Hand</t>
  </si>
  <si>
    <t>50052 Cost of Goods Sold</t>
  </si>
  <si>
    <t>Tape 3M 444 1/4" x 36Yd</t>
  </si>
  <si>
    <t>19582-4</t>
  </si>
  <si>
    <t>Tape - 3M 444 - 1/4" x 36Yd</t>
  </si>
  <si>
    <t>Number Across Run/Finish –  60/1
Where Finished –  On Press
Length per Roll/Unit – 36 Yd
Core Type –  As Recd.
Core Width – 0.25"
Core Label – No
Dividers – Paper
Bag Size – 
Qty. Per Bag – 12 Rolls
Box Size –  Best Fit Per Qty
Qty. Per Box – 60 Rolls
Weight/box – 
Box Per Pallet – 
Pallet Type – </t>
  </si>
  <si>
    <t>Core  –  As Recd.
Width – 0.25"
Number Across Run/FInish –  60/1
Core Label – No
±10% –  Yes
Unwind Dir. Run – N/A
Unwind Dir. Finish –  N/A
Diecut/Continuous/Sheet –  Continuous
Partial Case –  Yes
Pieces per roll/Unit – 1 Roll
Length per roll/unit –  36 Yd
Finish – On Press
Application – Hand</t>
  </si>
  <si>
    <t>50053 Cost of Goods Sold</t>
  </si>
  <si>
    <t>Fabricated Part Adh. Preform 500" x 1.244"</t>
  </si>
  <si>
    <t>825R532H01, Rev. C</t>
  </si>
  <si>
    <t>Fabricated Part - Adh. Preform - 500" x 1.244"</t>
  </si>
  <si>
    <t>Number Across Run/Finish –  1/1
Where Finished –  Off Press
Length per Roll/Unit – 53'
Core Type –  3" Paper 1/8" Strouse Brown
Core Width – 2.5"
Core Label – Yes - See Note
Dividers – 
Bag Size – 
Qty. Per Bag – 1 Roll
Box Size –  12 x 12 x 12
Qty. Per Box – Best fit per order 
Weight/box – 
Box Per Pallet – 
Pallet Type – </t>
  </si>
  <si>
    <t>WHEN LOOKING AT THE DRAWING; YOU ARE LOOKING AT THE BROWN LINER; CONFIRMED WITH AN ENGINEER AT NORTHROP GRUMMAN.
Finished Unwind Direction:  Parts out.  Tab can be on either side.
• Use core label format "northrop grumman core2" This is in the Northrop Grumman Folder - Label Guide in JJ.
• Must have an Expiration Date Label -  Expiration Date is 3 years from MFG Date of Adhesive (Not The Shipment Date).  PO # to be on box labels.  Use large yellow rectangle labels for core label and bag label.
Do Not Produce Overruns.
Adhesive needs at least 75% of shelf life remaining, per customer requirement.  Go by the information on the cert; not Northrop Grumman's 3 year expiration.</t>
  </si>
  <si>
    <t>Core  –  3" Paper 1/8" Strouse Brown
Width – 2.5"
Number Across Run/FInish –  1/1
Core Label – Yes - See Note
±10% –  No
Unwind Dir. Run – Parts Out
Unwind Dir. Finish –  Parts Out
Diecut/Continuous/Sheet –  Die Cut
Partial Case –  Yes
Pieces per roll/Unit – 1,000
Length per roll/unit –  53'
Finish – Off Press
Application – </t>
  </si>
  <si>
    <t>50054 Cost of Goods Sold</t>
  </si>
  <si>
    <t>Die Cut Part Black Lexan with 3M LSE Adh. one side 1" Dia</t>
  </si>
  <si>
    <t>10867197</t>
  </si>
  <si>
    <t>Die Cut Part - Black Lexan with 3M LSE Adh. one side - 1" Dia</t>
  </si>
  <si>
    <t>Number Across Run/Finish –  2/1
Where Finished –  Off Press
Length per Roll/Unit – 167'
Core Type –  3" Paper 1/8" White Brown
Core Width – 1.50"
Core Label – Yes
Dividers – 
Bag Size – 
Qty. Per Bag – 1 Roll
Box Size –  14 x 14 x 14
Qty. Per Box – 4 M
Weight/box – 2
Box Per Pallet – 
Pallet Type – </t>
  </si>
  <si>
    <t>MUST USE CUSTOMER SUPPLIED LABEL (SEE CUSTOMER SERVICE FOR LABEL).
• Convert the label supplied by the customer into an actual label using label format - 2926</t>
  </si>
  <si>
    <t>Core  –  3" Paper 1/8" White Brown
Width – 1.50"
Number Across Run/FInish –  2/1
Core Label – Yes
±10% –  Yes
Unwind Dir. Run – Parts Out
Unwind Dir. Finish –  Parts Out
Diecut/Continuous/Sheet –  Die Cut
Partial Case –  Yes
Pieces per roll/Unit – 2,000
Length per roll/unit –  167'
Finish – Off Press
Application – </t>
  </si>
  <si>
    <t>50055 Cost of Goods Sold</t>
  </si>
  <si>
    <t>Foam 0.125"T 2AFR Volara with PSA-60 2.5" x 100'</t>
  </si>
  <si>
    <t>10404190</t>
  </si>
  <si>
    <t>Foam - 0.125"T 2AFR Volara with PSA-60 - 2.5" x 100'</t>
  </si>
  <si>
    <t>Number Across Run/Finish –  22/1
Where Finished –  On Press
Length per Roll/Unit – 100'
Core Type –  As Recd.
Core Width – 2.5"
Core Label – Yes
Dividers – See Note
Bag Size – 
Qty. Per Bag – 
Box Size –  12 1/2 x 8 1/2 x 12 5/8
Qty. Per Box – 5 Rolls
Weight/box – 
Box Per Pallet – 24
Pallet Type – </t>
  </si>
  <si>
    <t>Use label formats: 3027 and 3027 Core.
*New proposed packaging method - 13 x 13 dividers; top &amp; bottom of box only.  MF 12/14/2020</t>
  </si>
  <si>
    <t>Core  –  As Recd.
Width – 2.5"
Number Across Run/FInish –  22/1
Core Label – Yes
±10% –  Yes
Unwind Dir. Run – N/A
Unwind Dir. Finish –  N/A
Diecut/Continuous/Sheet –  Continuous
Partial Case –  No
Pieces per roll/Unit – 1 Roll
Length per roll/unit –  100'
Finish – On Press
Application – </t>
  </si>
  <si>
    <t>50056 Cost of Goods Sold</t>
  </si>
  <si>
    <t>Butt Cut Tape Silver Splice 3/4" x 2.125" x 60Yd</t>
  </si>
  <si>
    <t>47340485</t>
  </si>
  <si>
    <t>Butt Cut Tape - Silver Splice - 3/4" x 2.125" x 60Yd</t>
  </si>
  <si>
    <t>Number Across Run/Finish –  1/1
Where Finished –  On Press
Length per Roll/Unit – 180'
Core Type –  3" Paper 1/8" Strouse Brown
Core Width – 2.125"
Core Label – Yes
Dividers – 
Bag Size – 
Qty. Per Bag – 1 Rolls
Box Size –  16.5 x 16.5 x 8
Qty. Per Box – 12 Rolls
Weight/box – 16
Box Per Pallet – 
Pallet Type – </t>
  </si>
  <si>
    <t>NO PARTIAL CASE ACCEPTED
Use paper tape to start and tab rolls (Only paper tape can be used on any Phillip Morris product). Silicone tape O.K.  DO NOT USE PVC TAPE!</t>
  </si>
  <si>
    <t>Core  –  3" Paper 1/8" Strouse Brown
Width – 2.125"
Number Across Run/FInish –  1/1
Core Label – Yes
±10% –  No
Unwind Dir. Run – Parts Out
Unwind Dir. Finish –  Parts Out
Diecut/Continuous/Sheet –  Die Cut
Partial Case –  No
Pieces per roll/Unit – 1 Roll
Length per roll/unit –  180'
Finish – On Press
Application – Hand</t>
  </si>
  <si>
    <t>Use paper tape to start and tab rolls (Only paper tape can be used on any Phillip Morris product).
Silicone tape O.K.  DO NOT USE PVC TAPE!</t>
  </si>
  <si>
    <t>50057 Cost of Goods Sold</t>
  </si>
  <si>
    <t>Fabricated Tape ST-894 with internal die cuts 48 x 30</t>
  </si>
  <si>
    <t>27529457000</t>
  </si>
  <si>
    <t>Fabricated Tape - ST-894 with internal die cuts  - 48 x 30</t>
  </si>
  <si>
    <t>Number Across Run/Finish –  1/
Where Finished –  Off Press
Length per Roll/Unit – 1,000'
Core Type –  10" Paper 3/8" Brown Brown
Core Width – 3.70"
Core Label – Yes
Dividers – 
Bag Size – 
Qty. Per Bag – 1 
Box Size –  10 x 10 x 10
Qty. Per Box – 2 
Weight/box – 14
Box Per Pallet – 
Pallet Type – </t>
  </si>
  <si>
    <t>Core  –  10" Paper 3/8" Brown Brown
Width – 3.70"
Number Across Run/FInish –  1/
Core Label – Yes
±10% –  No
Unwind Dir. Run – 
Unwind Dir. Finish –  
Diecut/Continuous/Sheet –  Die Cut
Partial Case –  Yes
Pieces per roll/Unit – 1 Roll
Length per roll/unit –  1,000'
Finish – Off Press
Application – Hand</t>
  </si>
  <si>
    <t>Cannot overship.   Under ship 10% OK.</t>
  </si>
  <si>
    <t>50058 Cost of Goods Sold</t>
  </si>
  <si>
    <t>Die Cut Part PTFE Supplied 3 across 1/4" Dia</t>
  </si>
  <si>
    <t>Die Cut Part - PTFE Supplied 3 across - 1/4" Dia</t>
  </si>
  <si>
    <t>Number Across Run/Finish –  3/3
Where Finished –  On Press
Length per Roll/Unit – 108'
Core Type –  3" Paper 1/8" Strouse Brown
Core Width – 1.5"
Core Label – Yes
Dividers – 
Bag Size – 
Qty. Per Bag – 1 Roll
Box Size –  10 x 10 x 10
Qty. Per Box – 186 M
Weight/box – 
Box Per Pallet – 
Pallet Type – </t>
  </si>
  <si>
    <t>Core  –  3" Paper 1/8" Strouse Brown
Width – 1.5"
Number Across Run/FInish –  3/3
Core Label – Yes
±10% –  Yes
Unwind Dir. Run – Parts Out
Unwind Dir. Finish –  Parts Out
Diecut/Continuous/Sheet –  Die Cut
Partial Case –  Yes
Pieces per roll/Unit – 10,360
Length per roll/unit –  108'
Finish – On Press
Application – Hand</t>
  </si>
  <si>
    <t xml:space="preserve">To determine what side of the 4935 is the release side, you will need to stick the PTFE to both sides and try removing them at the same time. Which ever one comes off first will indicate the easy release side. </t>
  </si>
  <si>
    <t>50059 Cost of Goods Sold</t>
  </si>
  <si>
    <t>Sheeted Part 90# C2S tabs with 1/2" RED STRIPE 1" x 4"</t>
  </si>
  <si>
    <t>FLAGREDRC2S/106761</t>
  </si>
  <si>
    <t>Sheeted Part - 90# C2S tabs with 1/2" RED STRIPE - 1" x 4"</t>
  </si>
  <si>
    <t>Number Across Run/Finish –  2/1
Where Finished –  On Press
Length per Roll/Unit – 168'
Core Type –  N/A
Core Width – N/A
Core Label – No
Dividers – 
Bag Size – 
Qty. Per Bag – 4 M
Box Size –  10 x 10 x 10
Qty. Per Box – 4 M
Weight/box – 6
Box Per Pallet – 
Pallet Type – </t>
  </si>
  <si>
    <t>Please put a box label on two adjacent sides.
Partial case to be marked as such.
Package parts loose in a bag; in a box.</t>
  </si>
  <si>
    <t>Core  –  N/A
Width – N/A
Number Across Run/FInish –  2/1
Core Label – No
±10% –  Ask
Unwind Dir. Run – N/A
Unwind Dir. Finish –  N/A
Diecut/Continuous/Sheet –  Sheet
Partial Case –  Yes
Pieces per roll/Unit – 4,000
Length per roll/unit –  168'
Finish – On Press
Application – Hand</t>
  </si>
  <si>
    <t>50060 Cost of Goods Sold</t>
  </si>
  <si>
    <t>Sheeted Part 90# C2S tabs with 1/2" GREEN STRIPE 1" x 4"</t>
  </si>
  <si>
    <t>FLAGGRNRC2S/106760</t>
  </si>
  <si>
    <t>Sheeted Part - 90# C2S tabs with 1/2" GREEN STRIPE - 1" x 4"</t>
  </si>
  <si>
    <t>Number Across Run/Finish –  2/1
Where Finished –  On Press
Length per Roll/Unit – 168'
Core Type –  N/A
Core Width – N/A
Core Label – No
Dividers – 
Bag Size – 
Qty. Per Bag – 4 M
Box Size –  14 x 14 x 8
Qty. Per Box – 4 M
Weight/box – 6
Box Per Pallet – 
Pallet Type – </t>
  </si>
  <si>
    <t>50061 Cost of Goods Sold</t>
  </si>
  <si>
    <t>Sheeted Label 3M 7323 Silver PET 27 pcs/sheet 8.5" x 6.25"</t>
  </si>
  <si>
    <t>C75-1788</t>
  </si>
  <si>
    <t>Sheeted Label - 3M 7323 Silver PET 27 pcs/sheet - 8.5" x 6.25"</t>
  </si>
  <si>
    <t>Number Across Run/Finish –  1/1
Where Finished –  On Press
Length per Roll/Unit – 71'
Core Type –  N/A
Core Width – N/A
Core Label – Yes
W/O #
Date:
OP#
Dividers – 7" x 9" Polyflute
Bag Size – 
Qty. Per Bag – 0.1 M
Box Size –  12 x 12 x 12
Qty. Per Box – 2,000 Each
Weight/box – 24
Box Per Pallet – 
Pallet Type – </t>
  </si>
  <si>
    <t>SEE PACKAGING SPEC SHEET FOR ALL REQUIRED INFORMATION.
Place 100 sheets on a single piece of 7" x 9" polyflute inside bag.
Use smaller box and/or appropriate dunnage for partial cases.
Only one Lot number per carton; do not mix Lots in a case.
Maximum pallet height is 60 inches.
Box weight cannot exceed 50lbs.
Box Label to have: Atlantic Corp and address at top, Hospira material number, Hospira PO #, Lot #, Quantity, Date, and Storage Conditions.
REWORKED PRODUCT MUST BE IDENTIFIED AS SUCH ON BOX LABEL.</t>
  </si>
  <si>
    <t>Core  –  N/A
Width – N/A
Number Across Run/FInish –  1/1
Core Label – Yes
W/O #
Date:
OP#
±10% –  Yes
Unwind Dir. Run – N/A
Unwind Dir. Finish –  N/A
Diecut/Continuous/Sheet –  Sheet
Partial Case –  No
Pieces per roll/Unit – 100
Length per roll/unit –  71'
Finish – On Press
Application – Hand</t>
  </si>
  <si>
    <t>Packager to be at press and packing while running.</t>
  </si>
  <si>
    <t>50062 Cost of Goods Sold</t>
  </si>
  <si>
    <t>Tape White UPVC Floodcoated Brown 0.936" x 80Yd</t>
  </si>
  <si>
    <t>21574.1</t>
  </si>
  <si>
    <t>Tape - White UPVC Floodcoated Brown - 0.936" x 80Yd</t>
  </si>
  <si>
    <t>Number Across Run/Finish –  5/1
Where Finished –  On Press
Length per Roll/Unit – 80 Yd
Core Type –  3" Paper (1/8" wall)
Core Width – 0.936"
Core Label – Yes
Dividers – Paper
Bag Size – 
Qty. Per Bag – 12 Rolls
Box Size –  9 x 9 x 13
Qty. Per Box – 60 Rolls
Weight/box – 22
Box Per Pallet – 
Pallet Type – </t>
  </si>
  <si>
    <t>Core Label  Info. :
Part  #
Lot number found on Raw ID label on material.
Date of  Mfg. (conversion)
Use core label format: 3115 core</t>
  </si>
  <si>
    <t>Core  –  3" Paper (1/8" wall)
Width – 0.936"
Number Across Run/FInish –  5/1
Core Label – Yes
±10% –  Yes
Unwind Dir. Run – N/A
Unwind Dir. Finish –  1
Diecut/Continuous/Sheet –  Continuous
Partial Case –  Yes
Pieces per roll/Unit – 1 Roll
Length per roll/unit –  80 Yd
Finish – On Press
Application – Hand</t>
  </si>
  <si>
    <t>50063 Cost of Goods Sold</t>
  </si>
  <si>
    <t>Clear Film Pressure Sensitive 19.8mm + 0.4mm x 1000'</t>
  </si>
  <si>
    <t>27529728001</t>
  </si>
  <si>
    <t>Clear Film - Pressure Sensitive - 19.8mm + 0.4mm x 1000'</t>
  </si>
  <si>
    <t>Number Across Run/Finish –  7/1
Where Finished –  On Press
Length per Roll/Unit – 1,000'
Core Type –  3" Paper 1/8" White Brown
Core Width – 19.8 mm
Core Label – Yes
Dividers – Paper
Bag Size – 
Qty. Per Bag – 
Box Size –  16.5 x 16.5 x 8
Qty. Per Box – 15 Rolls
Weight/box – 
Box Per Pallet – 
Pallet Type – </t>
  </si>
  <si>
    <t>Core  –  3" Paper 1/8" White Brown
Width – 19.8 mm
Number Across Run/FInish –  7/1
Core Label – Yes
±10% –  Ask
Unwind Dir. Run – Liner In
Unwind Dir. Finish –  Liner In
Diecut/Continuous/Sheet –  Continuous
Partial Case –  Ask
Pieces per roll/Unit – 1 Roll
Length per roll/unit –  1,000'
Finish – On Press
Application – Hand</t>
  </si>
  <si>
    <t>50064 Cost of Goods Sold</t>
  </si>
  <si>
    <t>Fabricated Tape ST-741 with internal die cuts 15 X 20</t>
  </si>
  <si>
    <t>272100-13-01</t>
  </si>
  <si>
    <t>Fabricated Tape - ST-741 with internal die cuts  - 15 X 20</t>
  </si>
  <si>
    <t>Number Across Run/Finish –  1/1
Where Finished –  Off Press
Length per Roll/Unit – 1,000'
Core Type –  10" Paper 3/8" Brown Brown
Core Width – 3.7"
Core Label – Yes
Dividers – Corrugated  
Bag Size – 
Qty. Per Bag – 1 Roll
Box Size –  13 x 13 x 13
Qty. Per Box – 2 M/Ft
Weight/box – 21
Box Per Pallet – 
Pallet Type – </t>
  </si>
  <si>
    <t>16 x 16 Dividers.  One on the bottom, one between the 2 rolls and one on the top.
Use Core Label "3136 Core"
If shipping to El Paso or overseas; use Heat Treated pallets.</t>
  </si>
  <si>
    <t>Use DA 241 as primary score. A Ram Scope Routine has been created for this part. Instructions have been added to JJ to be used when setting up to run Routine.
 DOUBLE CHECK T-10 FOR SILICONE SIDE!!</t>
  </si>
  <si>
    <t>50065 Cost of Goods Sold</t>
  </si>
  <si>
    <t>Tape ST-869 w/ extended liner 1/2" x 1000'</t>
  </si>
  <si>
    <t>ST-869-F5</t>
  </si>
  <si>
    <t>Tape - ST-869 w/ extended liner - 1/2" x 1000'</t>
  </si>
  <si>
    <t>Number Across Run/Finish –  4/1
Where Finished –  On Press
Length per Roll/Unit – 1,000'
Core Type –  3" Paper 1/8" Strouse Brown
Core Width – 0.500"
Core Label – Yes
Dividers – Paper
Bag Size – 
Qty. Per Bag – 24 Rolls
Box Size –  12 x 12 x 4
Qty. Per Box – 24 Rolls
Weight/box – 41
Box Per Pallet – 
Pallet Type – </t>
  </si>
  <si>
    <t>Core  –  3" Paper 1/8" Strouse Brown
Width – 0.500"
Number Across Run/FInish –  4/1
Core Label – Yes
±10% –  No
Unwind Dir. Run – Adh. In
Unwind Dir. Finish –  Adh. In
Diecut/Continuous/Sheet –  Continuous
Partial Case –  Yes
Pieces per roll/Unit – 1 Roll
Length per roll/unit –  1,000'
Finish – On Press
Application – Hand</t>
  </si>
  <si>
    <t>Use Siat 1 for best efficiency.
Material must be frozen 24 hours before press.</t>
  </si>
  <si>
    <t>50066 Cost of Goods Sold</t>
  </si>
  <si>
    <t>Die Cut Tape 3M 4950, one side deadened 9.52mm OD x 3.56mm ID</t>
  </si>
  <si>
    <t>5060-0000004421</t>
  </si>
  <si>
    <t>Die Cut Tape - 3M 4950, one side deadened - 9.52mm OD x 3.56mm ID</t>
  </si>
  <si>
    <t>Number Across Run/Finish –  1/1
Where Finished –  On Press
Length per Roll/Unit – 65'
Core Type –  3" Paper 1/8" White Brown
Core Width – 0.75"
Core Label – Yes
Dividers – 
Bag Size – 
Qty. Per Bag – 500 Rolls
Box Size –  11 x 11 x 14
Qty. Per Box – 500 Rolls
Weight/box – 
Box Per Pallet – 
Pallet Type – </t>
  </si>
  <si>
    <t>Core  –  3" Paper 1/8" White Brown
Width – 0.75"
Number Across Run/FInish –  1/1
Core Label – Yes
±10% –  Yes
Unwind Dir. Run – Parts Out
Unwind Dir. Finish –  Parts Out
Diecut/Continuous/Sheet –  Die Cut
Partial Case –  Yes
Pieces per roll/Unit – 1,546
Length per roll/unit –  65'
Finish – On Press
Application – Hand</t>
  </si>
  <si>
    <t>50067 Cost of Goods Sold</t>
  </si>
  <si>
    <t>Die Cut Label White Vinyl Printed Orange &amp; Black 46mm x 109mm</t>
  </si>
  <si>
    <t>39J0782</t>
  </si>
  <si>
    <t>Die Cut Label - White Vinyl Printed Orange &amp; Black - 46mm x 109mm</t>
  </si>
  <si>
    <t>Number Across Run/Finish –  1/1
Where Finished –  Web Techniques
Length per Roll/Unit – 167'
Core Type –  3" Paper 1/8" White Brown
Core Width – 4.468"
Core Label – Yes
Dividers – Corrugated
Bag Size – 
Qty. Per Bag – 10 Rolls
Box Size –  12 1/2 x 8 1/2 x 12 5/8
Qty. Per Box – 10 M
Weight/box – 25
Box Per Pallet – 
Pallet Type – </t>
  </si>
  <si>
    <t>Core  –  3" Paper 1/8" White Brown
Width – 4.468"
Number Across Run/FInish –  1/1
Core Label – Yes
±10% –  No
Unwind Dir. Run – 4
Unwind Dir. Finish –  3
Diecut/Continuous/Sheet –  Die Cut
Partial Case –  Yes
Pieces per roll/Unit – 1,000
Length per roll/unit –  167'
Finish – Web Techniques
Application – Hand</t>
  </si>
  <si>
    <t>Use black with glycol - if need to mix: 1 oz glycol to 32 oz black.
Keep black ink thinned with extender.</t>
  </si>
  <si>
    <t>50068 Cost of Goods Sold</t>
  </si>
  <si>
    <t>Tape Matte White PET, No PSA
 1.936" x 60Yd</t>
  </si>
  <si>
    <t>7029-1.936</t>
  </si>
  <si>
    <t>Tape - Matte White PET, No PSA
 - 1.936" x 60Yd</t>
  </si>
  <si>
    <t>Number Across Run/Finish –  3/1
Where Finished –  Off Press
Length per Roll/Unit – 62 Yd
Core Type –  3" Paper 1/8" Strouse Brown
Core Width – 1.936"
Core Label – Yes
Dividers – Paper
Bag Size – 
Qty. Per Bag – 6 Rolls
Box Size –  11 x 11 x 14
Qty. Per Box – 24 Rolls
Weight/box – 11
Box Per Pallet – 
Pallet Type – </t>
  </si>
  <si>
    <t xml:space="preserve">• Start cores with Post-A-Dots
• Rewind to 62 yards to insure that rolls do not run short. 
Lot number found on Raw ID label on material.
Use Core label format: 3304 Core
</t>
  </si>
  <si>
    <t>Core  –  3" Paper 1/8" Strouse Brown
Width – 1.936"
Number Across Run/FInish –  3/1
Core Label – Yes
±10% –  Ask
Unwind Dir. Run – 2
Unwind Dir. Finish –  1
Diecut/Continuous/Sheet –  Continuous
Partial Case –  Yes
Pieces per roll/Unit – 1 Roll
Length per roll/unit –  62 Yd
Finish – Off Press
Application – Hand</t>
  </si>
  <si>
    <t>WIPE DOWN PRESS BEFORE RUNNING.  THE ROLLS MUST BE CLEAN</t>
  </si>
  <si>
    <t>50069 Cost of Goods Sold</t>
  </si>
  <si>
    <t>Slit Adh 9495MP 1-1/8" x 60Yd</t>
  </si>
  <si>
    <t>27529728002</t>
  </si>
  <si>
    <t>Slit Adh - 9495MP - 1-1/8" x 60Yd</t>
  </si>
  <si>
    <t>Number Across Run/Finish –  5/1
Where Finished –  On Press
Length per Roll/Unit – 60 Yd
Core Type –  3" Paper 1/8" Strouse Brown
Core Width – 1.125"
Core Label – Yes
Dividers – Paper
Bag Size – 
Qty. Per Bag – 12 
Box Size –  10 x 10 x 10
Qty. Per Box – 24 
Weight/box – 
Box Per Pallet – 
Pallet Type – </t>
  </si>
  <si>
    <t>Core  –  3" Paper 1/8" Strouse Brown
Width – 1.125"
Number Across Run/FInish –  5/1
Core Label – Yes
±10% –  Yes
Unwind Dir. Run – Adh. In
Unwind Dir. Finish –  Adh. In
Diecut/Continuous/Sheet –  Continuous
Partial Case –  Yes
Pieces per roll/Unit – 1 Roll
Length per roll/unit –  60 Yd
Finish – On Press
Application – Hand</t>
  </si>
  <si>
    <t>50070 Cost of Goods Sold</t>
  </si>
  <si>
    <t>Fabricated Part UHMW with 3M VHB 1.625" x 1.625"</t>
  </si>
  <si>
    <t>FP-1</t>
  </si>
  <si>
    <t>Each</t>
  </si>
  <si>
    <t>Fabricated Part - UHMW with 3M VHB - 1.625" x 1.625"</t>
  </si>
  <si>
    <t>Number Across Run/Finish –  7/1
Where Finished –  On Press
Length per Roll/Unit – 1 Sheet
Core Type –  N/A
Core Width – N/A
Core Label – No
Dividers – 
Bag Size – 
Qty. Per Bag – 30 Each
Box Size –  14 x 14 x 14
Qty. Per Box – 30 Each
Weight/box – 
Box Per Pallet – 
Pallet Type – </t>
  </si>
  <si>
    <t>Core  –  N/A
Width – N/A
Number Across Run/FInish –  7/1
Core Label – No
±10% –  Yes
Unwind Dir. Run – N/A
Unwind Dir. Finish –  
Diecut/Continuous/Sheet –  Sheet
Partial Case –  Yes
Pieces per roll/Unit – 1 Sheet
Length per roll/unit –  1 Sheet
Finish – On Press
Application – Hand</t>
  </si>
  <si>
    <t>50071 Cost of Goods Sold</t>
  </si>
  <si>
    <t>CSM Sheeted Infrared 3/4" x 3/4"</t>
  </si>
  <si>
    <t>IR-IFF-ACU075P / B</t>
  </si>
  <si>
    <t>Bag</t>
  </si>
  <si>
    <t>CSM - Sheeted Infrared - 3/4" x 3/4"</t>
  </si>
  <si>
    <t>Number Across Run/Finish –  1/1
Where Finished –  On Press
Length per Roll/Unit – 0
Core Type –  N/A
Core Width – N/A
Core Label – Yes
Dividers – 
Bag Size – 
Qty. Per Bag – 4.8 M
Box Size –  14 1/4 x 8 3/4  x 12 5/8
Qty. Per Box – 48 M
Weight/box – 
Box Per Pallet – 
Pallet Type – </t>
  </si>
  <si>
    <t>Run as many across as possible.  Remember to adjust footage accordingly:
1 across = 300 ft	3 across = 100 ft
2 across = 150 ft	4 across = 75 ft
PARTS MUST BE LOOSE IN BAGS (leave air in bags; to reduce the chance of parts sticking together).
IF WE ARE NOT SHIPPING THE REQUESTED NUMBER OF BAGS; PACKING LIST MUST BE CHANGED TO PROPER QUANTITY.  (TVI CHECKS IN THIS PRODUCT BY THE BAG).
PARTIAL BAGS MUST BE LABELED AS "PARTIAL BAG --- PCS. ENCLOSED"; use the following core label format: "3356 Partial Bag CORE"</t>
  </si>
  <si>
    <t>Core  –  N/A
Width – N/A
Number Across Run/FInish –  1/1
Core Label – Yes
±10% –  Yes
Unwind Dir. Run – N/A
Unwind Dir. Finish –  N/A
Diecut/Continuous/Sheet –  Sheet
Partial Case –  Yes
Pieces per roll/Unit – 4,800
Length per roll/unit –  0
Finish – On Press
Application – Automatic</t>
  </si>
  <si>
    <t>Run all material supplied.
Backup tool CA 1030 has nick in blade, marked - work around this nick. MS
Run as many across as possible.  Remember to adjust footage accordingly.
1 across = 300ft      3 across = 100 ft
2 across = 150 ft     4 across = 75 ft</t>
  </si>
  <si>
    <t>50072 Cost of Goods Sold</t>
  </si>
  <si>
    <t>Printed Tape White UPVC Printed black "EM 8100" 1/2" x 80Yd</t>
  </si>
  <si>
    <t>03-023-0081-000</t>
  </si>
  <si>
    <t>Printed Tape - White UPVC Printed black "EM 8100" - 1/2" x 80Yd</t>
  </si>
  <si>
    <t>Number Across Run/Finish –  11/1
Where Finished –  On Press
Length per Roll/Unit – 80 Yd
Core Type –  3" Paper 1/8" Strouse Brown
Core Width – 0.5"
Core Label – Yes
Dividers – Paper
Bag Size – 
Qty. Per Bag – 11 
Box Size –  9 x 9 x 13
Qty. Per Box – 110 
Weight/box – 21
Box Per Pallet – 
Pallet Type – </t>
  </si>
  <si>
    <t xml:space="preserve">Core Label  Info.:
Part #
Strouse W/O #
Date of Mfg. (Conversion)
</t>
  </si>
  <si>
    <t>Core  –  3" Paper 1/8" Strouse Brown
Width – 0.5"
Number Across Run/FInish –  11/1
Core Label – Yes
±10% –  Yes
Unwind Dir. Run – 1
Unwind Dir. Finish –  1
Diecut/Continuous/Sheet –  Continuous
Partial Case –  Yes
Pieces per roll/Unit – 1 Roll
Length per roll/unit –  80 Yd
Finish – On Press
Application – Automatic</t>
  </si>
  <si>
    <t>50073 Cost of Goods Sold</t>
  </si>
  <si>
    <t>Butt Cut Tape d/c Case Insulation Tape Tabbed 14mm x 18.5mm</t>
  </si>
  <si>
    <t>272100-08-48-2</t>
  </si>
  <si>
    <t>Butt Cut Tape - d/c Case Insulation Tape Tabbed - 14mm x 18.5mm</t>
  </si>
  <si>
    <t>Number Across Run/Finish –  2/1
Where Finished –  Off Press
Length per Roll/Unit – 505'
Core Type –  3" Paper (1/8" wall)
Core Width – 1.1"
Core Label – Yes
Dividers – 
Bag Size – 
Qty. Per Bag – 10 M
Box Size –  8 1/8 x 8 1/8 x 32 Top &amp; Bottom Log Box
Qty. Per Box – 100 M
Weight/box – 
Box Per Pallet – 
Pallet Type – </t>
  </si>
  <si>
    <t>Finished unwind direction: Hold the roll with your left hand and pull to the right. The tab should be on top. Parts out.</t>
  </si>
  <si>
    <t>Core  –  3" Paper (1/8" wall)
Width – 1.1"
Number Across Run/FInish –  2/1
Core Label – Yes
±10% –  Yes
Unwind Dir. Run – Parts Out
Unwind Dir. Finish –  See note
Diecut/Continuous/Sheet –  Die Cut
Partial Case –  Yes
Pieces per roll/Unit – 10,000
Length per roll/unit –  505'
Finish – Off Press
Application – Automatic</t>
  </si>
  <si>
    <t>50074 Cost of Goods Sold</t>
  </si>
  <si>
    <t>Fabricated Part UHMW with 3M VHB 36.25" x 0.875" with 0.125" corners</t>
  </si>
  <si>
    <t xml:space="preserve">707-3 </t>
  </si>
  <si>
    <t>Fabricated Part - UHMW with 3M VHB - 36.25" x 0.875" with 0.125" corners</t>
  </si>
  <si>
    <t>Number Across Run/Finish –  24/1
Where Finished –  On Press
Length per Roll/Unit – 1 Sheet
Core Type –  N/A
Core Width – N/A
Core Label – No
Dividers – 
Bag Size – 
Qty. Per Bag – 100 Each
Box Size –  Best Fit Per Qty
Qty. Per Box – 100 Each
Weight/box – 
Box Per Pallet – 
Pallet Type – </t>
  </si>
  <si>
    <t>Core  –  N/A
Width – N/A
Number Across Run/FInish –  24/1
Core Label – No
±10% –  Ask
Unwind Dir. Run – N/A
Unwind Dir. Finish –  N/A
Diecut/Continuous/Sheet –  Sheet
Partial Case –  Ask
Pieces per roll/Unit – 1 Sheet
Length per roll/unit –  1 Sheet
Finish – On Press
Application – Automatic</t>
  </si>
  <si>
    <t>50075 Cost of Goods Sold</t>
  </si>
  <si>
    <t>Fabricated Part 1/16"T EPDM with 3M VHB 0.625" O.D with 0.218" I.D</t>
  </si>
  <si>
    <t>GG-1</t>
  </si>
  <si>
    <t>Fabricated Part - 1/16"T EPDM with 3M VHB - 0.625" O.D with 0.218" I.D</t>
  </si>
  <si>
    <t>Number Across Run/Finish –  16/1
Where Finished –  On Press
Length per Roll/Unit – 1'
Core Type –  N/A
Core Width – N/A
Core Label – No
Dividers – 
Bag Size – 
Qty. Per Bag – 250 Pcs
Box Size –  
Qty. Per Box – 1 M
Weight/box – 
Box Per Pallet – 
Pallet Type – </t>
  </si>
  <si>
    <t>Core  –  N/A
Width – N/A
Number Across Run/FInish –  16/1
Core Label – No
±10% –  Yes
Unwind Dir. Run – N/A
Unwind Dir. Finish –  N/A
Diecut/Continuous/Sheet –  Die Cut Sheet
Partial Case –  Yes
Pieces per roll/Unit – 
Length per roll/unit –  1'
Finish – On Press
Application – Hand</t>
  </si>
  <si>
    <t>MF 8/21/13 (THE FLASHCUT NEST'S 258 PARTS PER SQ. FT.)</t>
  </si>
  <si>
    <t>50076 Cost of Goods Sold</t>
  </si>
  <si>
    <t>Die Cut Mask 3M 2750 on 78# Liner 12" X 13"</t>
  </si>
  <si>
    <t>Dashboard Gages  etc.</t>
  </si>
  <si>
    <t>Die Cut Mask - 3M 2750 on 78# Liner - 12" X 13"</t>
  </si>
  <si>
    <t>Number Across Run/Finish –  1/
Where Finished –  On Press
Length per Roll/Unit – 678'
Core Type –  N/A
Core Width – 
Core Label – Yes
Dividers – 
Bag Size – 
Qty. Per Bag – 
Box Size –  12 x 12 x 12
Qty. Per Box – 
Weight/box – 
Box Per Pallet – 
Pallet Type – </t>
  </si>
  <si>
    <t>1000 KITS = 1000 PARTS  ( of each)
12.75" X 1,000 feet</t>
  </si>
  <si>
    <t>Core  –  N/A
Width – 
Number Across Run/FInish –  1/
Core Label – Yes
±10% –  Ask
Unwind Dir. Run – 
Unwind Dir. Finish –  
Diecut/Continuous/Sheet –  Sheet
Partial Case –  Ask
Pieces per roll/Unit – 1 Roll
Length per roll/unit –  678'
Finish – On Press
Application – Hand</t>
  </si>
  <si>
    <t xml:space="preserve">   755          HV-CA-015            1 per kit
                  HV-CA-020            1
                  HV-CA-021            1
                  HV-FR-006             1
                  HV-FR-007             1
                  HV-RE-015            1
                  HV-RE-016            1
</t>
  </si>
  <si>
    <t>50077 Cost of Goods Sold</t>
  </si>
  <si>
    <t>Die Cut Label 3M 7818 25mm X 50mm</t>
  </si>
  <si>
    <t>ED00314R02</t>
  </si>
  <si>
    <t>Die Cut Label - 3M 7818 - 25mm X 50mm</t>
  </si>
  <si>
    <t>Number Across Run/Finish –  2/1
Where Finished –  On Press
Length per Roll/Unit – 190'
Core Type –  3" Paper 1/8" Strouse Brown
Core Width – 2"
Core Label – Yes
Dividers – 
Bag Size – 
Qty. Per Bag – 1 Roll
Box Size –  20.25 x 20.25 x 2.5 cake
Qty. Per Box – 10 M
Weight/box – 
Box Per Pallet – 
Pallet Type – </t>
  </si>
  <si>
    <t>Core  –  3" Paper 1/8" Strouse Brown
Width – 2"
Number Across Run/FInish –  2/1
Core Label – Yes
±10% –  Yes
Unwind Dir. Run – Parts Out
Unwind Dir. Finish –  Parts Out
Diecut/Continuous/Sheet –  Die Cut
Partial Case –  Yes
Pieces per roll/Unit – 1 Roll
Length per roll/unit –  190'
Finish – On Press
Application – Automatic</t>
  </si>
  <si>
    <t>NOTE: Same tool used for JJ 03552,
 2 shapes on same mag plate
UNPRINTED version of JJ 03526</t>
  </si>
  <si>
    <t>50078 Cost of Goods Sold</t>
  </si>
  <si>
    <t>Sheeted Part CSM 0.020 T Clear PVC 20" x 20"</t>
  </si>
  <si>
    <t>A-AM-KL-PVC 099-2274</t>
  </si>
  <si>
    <t>Sheeted Part - CSM 0.020 T Clear PVC - 20" x 20"</t>
  </si>
  <si>
    <t>Number Across Run/Finish –  1/1
Where Finished –  On Press
Length per Roll/Unit – 167'
Core Type –  N/A
Core Width – N/A
Core Label – No
Dividers – 19 x 19 Cardboard
Bag Size – 
Qty. Per Bag – 
Box Size –  12 x 12 x 12
Qty. Per Box – 100 Sheets
Weight/box – 41
Box Per Pallet – 20
Pallet Type – </t>
  </si>
  <si>
    <t>Put down bottom tray, place parts in tray, (19 x 19 cardboard divider between every 50 Sheets), 100 Sheets per box, - tape 2 sides of box.  Palletize 20 boxes/pallet (Stack 4 stacks; 5 boxes high on pallet).  48 x 42 pallet.  Strap in both directions.</t>
  </si>
  <si>
    <t>Core  –  N/A
Width – N/A
Number Across Run/FInish –  1/1
Core Label – No
±10% –  Yes
Unwind Dir. Run – N/A
Unwind Dir. Finish –  N/A
Diecut/Continuous/Sheet –  Sheet
Partial Case –  Yes
Pieces per roll/Unit – 100
Length per roll/unit –  167'
Finish – On Press
Application – Automatic</t>
  </si>
  <si>
    <t>50079 Cost of Goods Sold</t>
  </si>
  <si>
    <t>Butt Cut Label Black Matte Paper Label 112mm X 20mm</t>
  </si>
  <si>
    <t>458078</t>
  </si>
  <si>
    <t>Butt Cut Label - Black Matte Paper Label - 112mm X 20mm</t>
  </si>
  <si>
    <t>Number Across Run/Finish –  7/1
Where Finished –  On Press
Length per Roll/Unit – 184'
Core Type –  3" Paper (1/8" wall)
Core Width – 0.787"
Core Label – Yes
Dividers – 
Bag Size – 
Qty. Per Bag – 12 Rolls
Box Size –  14 1/4 x 8 3/4  x 12 5/8
Qty. Per Box – 24 Rolls
Weight/box – 
Box Per Pallet – 
Pallet Type – </t>
  </si>
  <si>
    <t xml:space="preserve">
      458078  MUST be in Core Labels</t>
  </si>
  <si>
    <t>Core  –  3" Paper (1/8" wall)
Width – 0.787"
Number Across Run/FInish –  7/1
Core Label – Yes
±10% –  Ask
Unwind Dir. Run – Parts Out
Unwind Dir. Finish –  Parts Out
Diecut/Continuous/Sheet –  Die Cut
Partial Case –  Yes
Pieces per roll/Unit – 1 Roll
Length per roll/unit –  184'
Finish – On Press
Application – Automatic</t>
  </si>
  <si>
    <t xml:space="preserve">
    Tint  DENSE Black</t>
  </si>
  <si>
    <t>50080 Cost of Goods Sold</t>
  </si>
  <si>
    <t>Die Cut Foam 3M 4052 0.33" X 1.145" incl. tab</t>
  </si>
  <si>
    <t>J2180</t>
  </si>
  <si>
    <t>Die Cut Foam - 3M 4052 - 0.33" X 1.145" incl. tab</t>
  </si>
  <si>
    <t>Number Across Run/Finish –  1/1
Where Finished –  On Press
Length per Roll/Unit – 56'
Core Type –  3" Paper 1/8" Strouse Brown
Core Width – 2.5"
Core Label – Yes
Dividers – 
Bag Size – 
Qty. Per Bag – 5 M
Box Size –  12 x 12 x 4
Qty. Per Box – 10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</si>
  <si>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56'
Finish – On Press
Application – Hand</t>
  </si>
  <si>
    <t xml:space="preserve">
</t>
  </si>
  <si>
    <t>50081 Cost of Goods Sold</t>
  </si>
  <si>
    <t>Fabricated Part 1/16"T EPDM with 3M VHB 0.750" O.D with 0.330" I.D</t>
  </si>
  <si>
    <t>AGG-1</t>
  </si>
  <si>
    <t>Fabricated Part - 1/16"T EPDM with 3M VHB - 0.750" O.D with 0.330" I.D</t>
  </si>
  <si>
    <t>Number Across Run/Finish –  16/1
Where Finished –  On Press
Length per Roll/Unit – 1'
Core Type –  N/A
Core Width – N/A
Core Label – No
Dividers – 
Bag Size – 
Qty. Per Bag – 250 Pcs
Box Size –  10 x 10 x 10
Qty. Per Box – 1 M
Weight/box – 
Box Per Pallet – 
Pallet Type – </t>
  </si>
  <si>
    <t>Core  –  N/A
Width – N/A
Number Across Run/FInish –  16/1
Core Label – No
±10% –  Yes
Unwind Dir. Run – N/A
Unwind Dir. Finish –  N/A
Diecut/Continuous/Sheet –  Die Cut Sheet
Partial Case –  Yes
Pieces per roll/Unit – 
Length per roll/unit –  1'
Finish – On Press
Application – Automatic</t>
  </si>
  <si>
    <t>MF 8/20/13 (THE FLASHCUT NEST'S 188 PARTS PER SQ. FT.)</t>
  </si>
  <si>
    <t>50082 Cost of Goods Sold</t>
  </si>
  <si>
    <t>Die Cut Label Silver foil 4.5" x 3/4"</t>
  </si>
  <si>
    <t>11088241</t>
  </si>
  <si>
    <t>Die Cut Label - Silver foil - 4.5" x 3/4"</t>
  </si>
  <si>
    <t>Number Across Run/Finish –  4/1
Where Finished –  Web Techniques
Length per Roll/Unit – 193'
Core Type –  3" Paper 1/8" Strouse Brown
Core Width – 0.843"
Core Label – Yes
Dividers – 
Bag Size – 
Qty. Per Bag – 1 Roll
Box Size –  26 x 26 x 3 T&amp;B
Qty. Per Box – 25 Rolls
Weight/box – 
Box Per Pallet – 
Pallet Type – </t>
  </si>
  <si>
    <t>Core  –  3" Paper 1/8" Strouse Brown
Width – 0.843"
Number Across Run/FInish –  4/1
Core Label – Yes
±10% –  Yes
Unwind Dir. Run – Parts Out
Unwind Dir. Finish –  Parts Out
Diecut/Continuous/Sheet –  Die Cut
Partial Case –  Yes
Pieces per roll/Unit – 500
Length per roll/unit –  193'
Finish – Web Techniques
Application – Automatic</t>
  </si>
  <si>
    <t>50083 Cost of Goods Sold</t>
  </si>
  <si>
    <t>Die Cut foam End Foam 1.9375" x 0.5424"</t>
  </si>
  <si>
    <t>5103-01713</t>
  </si>
  <si>
    <t>Die Cut foam - End Foam - 1.9375" x 0.5424"</t>
  </si>
  <si>
    <t>Number Across Run/Finish –  25/1
Where Finished –  On Press
Length per Roll/Unit – 1 Sheet
Core Type –  N/A
Core Width – N/A
Core Label – No
Dividers – 
Bag Size – 
Qty. Per Bag – 355 Each
Box Size –  10 x 10 x 10
Qty. Per Box – 5,000 
Weight/box – 
Box Per Pallet – 
Pallet Type – </t>
  </si>
  <si>
    <t>Core  –  N/A
Width – N/A
Number Across Run/FInish –  25/1
Core Label – No
±10% –  Yes
Unwind Dir. Run – N/A
Unwind Dir. Finish –  N/A
Diecut/Continuous/Sheet –  Die Cut Sheet
Partial Case –  Yes
Pieces per roll/Unit – 1 Sheet
Length per roll/unit –  1 Sheet
Finish – On Press
Application – Hand</t>
  </si>
  <si>
    <t>50084 Cost of Goods Sold</t>
  </si>
  <si>
    <t>Foam Squares 3M 4492, supplied 4 to a pad 1" X 1"</t>
  </si>
  <si>
    <t>3M 4492</t>
  </si>
  <si>
    <t>Foam Squares - 3M 4492, supplied 4 to a pad - 1" X 1"</t>
  </si>
  <si>
    <t>Number Across Run/Finish –  2/2
Where Finished –  On Press
Length per Roll/Unit – 209'
Core Type –  N/A
Core Width – N/A
Core Label – No
Dividers – 
Bag Size – 
Qty. Per Bag – 5 M
Box Size –  12 x 12 x 10
Qty. Per Box – 5 M
Weight/box – 
Box Per Pallet – 
Pallet Type – </t>
  </si>
  <si>
    <t>1250 pads (5000 small parts) per box
1 bag per box
Product is sold by the piece - not the pad.</t>
  </si>
  <si>
    <t>Core  –  N/A
Width – N/A
Number Across Run/FInish –  2/2
Core Label – No
±10% –  Yes
Unwind Dir. Run – N/A
Unwind Dir. Finish –  N/A
Diecut/Continuous/Sheet –  Sheet
Partial Case –  Yes
Pieces per roll/Unit – 5,000
Length per roll/unit –  209'
Finish – On Press
Application – Hand</t>
  </si>
  <si>
    <t>Use AB 745 as primary Scorer and AF 7 as backup</t>
  </si>
  <si>
    <t>50085 Cost of Goods Sold</t>
  </si>
  <si>
    <t>Tape 3M 231 1" x 60Yd</t>
  </si>
  <si>
    <t>T02091</t>
  </si>
  <si>
    <t>Tape - 3M 231 - 1" x 60Yd</t>
  </si>
  <si>
    <t>Number Across Run/Finish –  29/1
Where Finished –  On Press
Length per Roll/Unit – 60 Yd
Core Type –  3" Paper 0.180" Brown Brown
Core Width – 1.0"
Core Label – Yes
Dividers – Paper
Bag Size – 
Qty. Per Bag – 9 Rolls
Box Size –  14 x 11 x 11
Qty. Per Box – 36 Rolls
Weight/box – 
Box Per Pallet – 
Pallet Type – </t>
  </si>
  <si>
    <t>Core  –  3" Paper 0.180" Brown Brown
Width – 1.0"
Number Across Run/FInish –  29/1
Core Label – Yes
±10% –  No
Unwind Dir. Run – Adh. In 
Unwind Dir. Finish –  Adh. In
Diecut/Continuous/Sheet –  Continuous
Partial Case –  Yes
Pieces per roll/Unit – 1 Roll
Length per roll/unit –  60 Yd
Finish – On Press
Application – Hand</t>
  </si>
  <si>
    <t>50086 Cost of Goods Sold</t>
  </si>
  <si>
    <t>Butt Cut Tape Silver splice 2" x 2"</t>
  </si>
  <si>
    <t>Butt Cut Tape - Silver splice  - 2" x 2"</t>
  </si>
  <si>
    <t>Number Across Run/Finish –  3/1
Where Finished –  On Press
Length per Roll/Unit – 180'
Core Type –  3" Paper 1/8" White Brown
Core Width – 2"
Core Label – Yes
Dividers – 
Bag Size – 
Qty. Per Bag – 1 Rolls
Box Size –  14 x 14 x 14
Qty. Per Box – 25 Rolls
Weight/box – 31
Box Per Pallet – 
Pallet Type – </t>
  </si>
  <si>
    <t>For orders less than 100 rolls, finish on press.
NO PARTIAL CASE ACCEPTED
Use only (or Silicone-DB) paper tape for winding and tabbing</t>
  </si>
  <si>
    <t>Core  –  3" Paper 1/8" White Brown
Width – 2"
Number Across Run/FInish –  3/1
Core Label – Yes
±10% –  No
Unwind Dir. Run – Parts Out
Unwind Dir. Finish –  Parts Out
Diecut/Continuous/Sheet –  Die Cut
Partial Case –  No
Pieces per roll/Unit – 1 Roll
Length per roll/unit –  180'
Finish – On Press
Application – Hand</t>
  </si>
  <si>
    <t>50087 Cost of Goods Sold</t>
  </si>
  <si>
    <t>Sheeted Part 3M 4492 white w/ extended liner both sides 1/2 " X 4"</t>
  </si>
  <si>
    <t>Sheeted Part - 3M 4492 white w/ extended liner both sides - 1/2 " X 4"</t>
  </si>
  <si>
    <t>Number Across Run/Finish –  1/1
Where Finished –  On Press
Length per Roll/Unit – 425'
Core Type –  N/A
Core Width – N/A
Core Label – No
Dividers – 
Bag Size – 
Qty. Per Bag – 10 M
Box Size –  10 x 10 x 10
Qty. Per Box – 10 M
Weight/box – 12
Box Per Pallet – 
Pallet Type – </t>
  </si>
  <si>
    <t>10M pieces per bag</t>
  </si>
  <si>
    <t>Core  –  N/A
Width – N/A
Number Across Run/FInish –  1/1
Core Label – No
±10% –  Yes
Unwind Dir. Run – N/A
Unwind Dir. Finish –  N/A
Diecut/Continuous/Sheet –  Sheet
Partial Case –  Yes
Pieces per roll/Unit – 1 Roll
Length per roll/unit –  425'
Finish – On Press
Application – Hand</t>
  </si>
  <si>
    <t>SA 61 may also be used, but CA 535 is preferred.</t>
  </si>
  <si>
    <t>50088 Cost of Goods Sold</t>
  </si>
  <si>
    <t>Fabricated Part UHMW (White) with 3M VHB 3/'8" Dia</t>
  </si>
  <si>
    <t>BUMP-W</t>
  </si>
  <si>
    <t>Fabricated Part - UHMW (White) with 3M VHB - 3/'8" Dia</t>
  </si>
  <si>
    <t>Number Across Run/Finish –  48/1
Where Finished –  Off Press
Length per Roll/Unit – N/A
Core Type –  N/A
Core Width – N/A
Core Label – No
Dividers – 
Bag Size – 
Qty. Per Bag – 1000 M
Box Size –  6 x 6 x 6
Qty. Per Box – 1,000 M
Weight/box – 
Box Per Pallet – 
Pallet Type – </t>
  </si>
  <si>
    <t>Core  –  N/A
Width – N/A
Number Across Run/FInish –  48/1
Core Label – No
±10% –  Yes
Unwind Dir. Run – N/A
Unwind Dir. Finish –  N/A
Diecut/Continuous/Sheet –  Die Cut
Partial Case –  Yes
Pieces per roll/Unit – 1,000
Length per roll/unit –  N/A
Finish – Off Press
Application – Hand</t>
  </si>
  <si>
    <t>MUST USE TREATED UHMW</t>
  </si>
  <si>
    <t>50089 Cost of Goods Sold</t>
  </si>
  <si>
    <t>CSM, 24" x 500' Film Laminated to 3M 9471 Slit to 4 rolls, sheeted every 4.80" 4.80” x 5.25"</t>
  </si>
  <si>
    <t>R-0022-01-001 Rev A</t>
  </si>
  <si>
    <t>CSM, 24" x 500' Film Laminated to 3M 9471 - Slit to 4 rolls, sheeted every 4.80" - 4.80” x 5.25"</t>
  </si>
  <si>
    <t>Number Across Run/Finish –  1/1
Where Finished –  On Press
Length per Roll/Unit – 208'
Core Type –  N/A
Core Width – N/A
Core Label – Yes - on box
Dividers – 
Bag Size – 
Qty. Per Bag – 500 Each
Box Size –  
Qty. Per Box – 500 Each
Weight/box – 
Box Per Pallet – 
Pallet Type – </t>
  </si>
  <si>
    <t>Core  –  N/A
Width – N/A
Number Across Run/FInish –  1/1
Core Label – Yes - on box
±10% –  Yes
Unwind Dir. Run – N/A
Unwind Dir. Finish –  N/A
Diecut/Continuous/Sheet –  Die Cut Sheet
Partial Case –  Yes
Pieces per roll/Unit – 500
Length per roll/unit –  208'
Finish – On Press
Application – Hand</t>
  </si>
  <si>
    <t>50090 Cost of Goods Sold</t>
  </si>
  <si>
    <t>Fabricated Tape 10 x 15 strip, ST-741 with internal die cuts 8.0" x 3.7"</t>
  </si>
  <si>
    <t>2100-24-001</t>
  </si>
  <si>
    <t>Fabricated Tape - 10 x 15 strip, ST-741 with internal die cuts - 8.0" x 3.7"</t>
  </si>
  <si>
    <t>Number Across Run/Finish –  1/1
Where Finished –  Off Press
Length per Roll/Unit – 1,000'
Core Type –  10" Paper 3/8" Brown Brown
Core Width – 3.7"
Core Label – Yes
Dividers – 
Bag Size – 
Qty. Per Bag – 1 M
Box Size –  11 x 11 x 14
Qty. Per Box – 1 M
Weight/box – 
Box Per Pallet – 
Pallet Type – </t>
  </si>
  <si>
    <t>Core  –  10" Paper 3/8" Brown Brown
Width – 3.7"
Number Across Run/FInish –  1/1
Core Label – Yes
±10% –  OK
Unwind Dir. Run – N/A
Unwind Dir. Finish –  N/A
Diecut/Continuous/Sheet –  Continuous Die Cut
Partial Case –  Yes
Pieces per roll/Unit – 1 Roll
Length per roll/unit –  1,000'
Finish – Off Press
Application – Automatic</t>
  </si>
  <si>
    <t>Use DA 241 as primary score</t>
  </si>
  <si>
    <t>50091 Cost of Goods Sold</t>
  </si>
  <si>
    <t>Die Cut Label Thermal transfer printable, 3M FP022102 3" x 3"</t>
  </si>
  <si>
    <t>5326537</t>
  </si>
  <si>
    <t>Die Cut Label - Thermal transfer printable, 3M FP022102 - 3" x 3"</t>
  </si>
  <si>
    <t>Number Across Run/Finish –  2/1
Where Finished –  On Press
Length per Roll/Unit – 131'
Core Type –  3" Paper 1/8" White Brown
Core Width – 3.125"
Core Label – Yes
Dividers – 
Bag Size – 
Qty. Per Bag – 
Box Size –  12 1/2 x 8 1/2 x 12 5/8
Qty. Per Box – 8 M
Weight/box – 
Box Per Pallet – 
Pallet Type – </t>
  </si>
  <si>
    <t>Rewind rolls loosely to minimize adhesive ooze.</t>
  </si>
  <si>
    <t>Core  –  3" Paper 1/8" White Brown
Width – 3.125"
Number Across Run/FInish –  2/1
Core Label – Yes
±10% –  OK
Unwind Dir. Run – Parts Out
Unwind Dir. Finish –  Parts Out
Diecut/Continuous/Sheet –  Die Cut
Partial Case –  Yes
Pieces per roll/Unit – 500
Length per roll/unit –  131'
Finish – On Press
Application – Hand</t>
  </si>
  <si>
    <t>May need to use air rewinds to get loose enough rolls.</t>
  </si>
  <si>
    <t>50092 Cost of Goods Sold</t>
  </si>
  <si>
    <t>Die Cut Part PET blocker, 3 mil PET with 3M 9832 2.01" x 1.69"</t>
  </si>
  <si>
    <t>190646-38-1</t>
  </si>
  <si>
    <t>Die Cut Part - PET blocker, 3 mil PET with 3M 9832 - 2.01" x 1.69"</t>
  </si>
  <si>
    <t>Number Across Run/Finish –  2/1
Where Finished –  On Press
Length per Roll/Unit – 180'
Core Type –  3" Paper 1/8" White Brown
Core Width – 2.0"
Core Label – Yes
Dividers – 
Bag Size – 
Qty. Per Bag – 6  Rolls
Box Size –  Best Fit Per Qty
Qty. Per Box – 12 M
Weight/box – 
Box Per Pallet – 
Pallet Type – </t>
  </si>
  <si>
    <t>Please put a box label on two adjacent sides.  
Partial case to be marked as such.</t>
  </si>
  <si>
    <t>Core  –  3" Paper 1/8" White Brown
Width – 2.0"
Number Across Run/FInish –  2/1
Core Label – Yes
±10% –  Ask
Unwind Dir. Run – Parts Out
Unwind Dir. Finish –  Parts Out
Diecut/Continuous/Sheet –  Die Cut
Partial Case –  Ask
Pieces per roll/Unit – 1,000
Length per roll/unit –  180'
Finish – On Press
Application – Automatic</t>
  </si>
  <si>
    <t>50093 Cost of Goods Sold</t>
  </si>
  <si>
    <t>Butt Cut Part Dead area 0.25" wide in center of part 0.125" x 0.625"</t>
  </si>
  <si>
    <t>1985306-1</t>
  </si>
  <si>
    <t>Butt Cut Part - Dead area 0.25" wide in center of part - 0.125" x 0.625"</t>
  </si>
  <si>
    <t>Number Across Run/Finish –  1/1
Where Finished –  On Press
Length per Roll/Unit – 210'
Core Type –  3" Paper 1/8" White Brown
Core Width – 0.625"
Core Label – No
Dividers – 
Bag Size – 
Qty. Per Bag – 
Box Size –  10 x 10 x 10
Qty. Per Box – 3 M
Weight/box – 
Box Per Pallet – 
Pallet Type – </t>
  </si>
  <si>
    <t>A partial roll is OK to fill the order.</t>
  </si>
  <si>
    <t>Core  –  3" Paper 1/8" White Brown
Width – 0.625"
Number Across Run/FInish –  1/1
Core Label – No
±10% –  No
Unwind Dir. Run – Parts Out
Unwind Dir. Finish –  Parts Out
Diecut/Continuous/Sheet –  Die Cut
Partial Case –  Yes
Pieces per roll/Unit – 1 Roll
Length per roll/unit –  210'
Finish – On Press
Application – Hand</t>
  </si>
  <si>
    <t>50094 Cost of Goods Sold</t>
  </si>
  <si>
    <t>Slit Tape ST 934 3/8" x 60Yd</t>
  </si>
  <si>
    <t>10395523E</t>
  </si>
  <si>
    <t>Slit Tape - ST 934 - 3/8" x 60Yd</t>
  </si>
  <si>
    <t>Number Across Run/Finish –  152/1
Where Finished –  Off Press
Length per Roll/Unit – 60 Yd
Core Type –  As Recd.
Core Width – 0.375"
Core Label – No
Dividers – Paper
Bag Size – 
Qty. Per Bag – 25 Rolls
Box Size –  13 x 13 x 13
Qty. Per Box – 100 Rolls
Weight/box – 
Box Per Pallet – 
Pallet Type – </t>
  </si>
  <si>
    <t>Core  –  As Recd.
Width – 0.375"
Number Across Run/FInish –  152/1
Core Label – No
±10% –  OK
Unwind Dir. Run – N/A
Unwind Dir. Finish –  
Diecut/Continuous/Sheet –  Continuous
Partial Case –  Yes
Pieces per roll/Unit – 1 Roll
Length per roll/unit –  60 Yd
Finish – Off Press
Application – Hand</t>
  </si>
  <si>
    <t>50095 Cost of Goods Sold</t>
  </si>
  <si>
    <t>Foam 3M 4611 12" x 15'</t>
  </si>
  <si>
    <t>Foam - 3M 4611 - 12" x 15'</t>
  </si>
  <si>
    <t>Number Across Run/Finish –  1/1
Where Finished –  On Press
Length per Roll/Unit – 15'
Core Type –  3" Paper 1/8" Strouse Brown
Core Width – 12"
Core Label – Yes
Dividers – Paper
Bag Size – 
Qty. Per Bag – 1 Roll
Box Size –  16 1/2 x 8 1/2 x 13
Qty. Per Box – 6 Rolls
Weight/box – 
Box Per Pallet – 
Pallet Type – </t>
  </si>
  <si>
    <t>Core  –  3" Paper 1/8" Strouse Brown
Width – 12"
Number Across Run/FInish –  1/1
Core Label – Yes
±10% –  Yes
Unwind Dir. Run – N/A
Unwind Dir. Finish –  N/A
Diecut/Continuous/Sheet –  Continuous
Partial Case –  Yes
Pieces per roll/Unit – 1 Roll
Length per roll/unit –  15'
Finish – On Press
Application – </t>
  </si>
  <si>
    <t>50096 Cost of Goods Sold</t>
  </si>
  <si>
    <t xml:space="preserve">Die Cut Part 10 mil tyvek with Adh., printed in red 0.5" x 3.9370"
</t>
  </si>
  <si>
    <t>0701808700</t>
  </si>
  <si>
    <t xml:space="preserve">Die Cut Part - 10 mil tyvek with Adh., printed in red - 0.5" x 3.9370"
</t>
  </si>
  <si>
    <t>Number Across Run/Finish –  1/1
Where Finished –  Web Techniques
Length per Roll/Unit – 260'
Core Type –  3" Paper 1/8" White Brown
Core Width – 4.25"
Core Label – No
Dividers – 
Bag Size – 
Qty. Per Bag – 
Box Size –  10 x 10 x 10
Qty. Per Box – 30 M
Weight/box – 
Box Per Pallet – 
Pallet Type – </t>
  </si>
  <si>
    <t>Core  –  3" Paper 1/8" White Brown
Width – 4.25"
Number Across Run/FInish –  1/1
Core Label – No
±10% –  OK
Unwind Dir. Run – 2
Unwind Dir. Finish –  1
Diecut/Continuous/Sheet –  Die Cut
Partial Case –  Yes
Pieces per roll/Unit – 5,000
Length per roll/unit –  260'
Finish – Web Techniques
Application – Hand</t>
  </si>
  <si>
    <t>50097 Cost of Goods Sold</t>
  </si>
  <si>
    <t>Slit Tape Yellow UPVC printed "Inspected...P-1243" 0.5" x 72Yd
(66m)</t>
  </si>
  <si>
    <t>P-1243-STC</t>
  </si>
  <si>
    <t>Slit Tape - Yellow UPVC printed "Inspected...P-1243" - 0.5" x 72Yd
(66m)</t>
  </si>
  <si>
    <t>Number Across Run/Finish –  12/1
Where Finished –  Off Press
Length per Roll/Unit – 72 Yd
Core Type –  3" Paper 1/8" Strouse Brown
Core Width – 12.5 mm
Core Label – No
Dividers – None
Bag Size – 
Qty. Per Bag – 12 Rolls
Box Size –  12 x 12 x 13
Qty. Per Box – 48 Rolls
Weight/box – 
Box Per Pallet – 
Pallet Type – </t>
  </si>
  <si>
    <t>NO CORE LABELS!!!!
PO Number and Part Number must be on all boxes.</t>
  </si>
  <si>
    <t>Core  –  3" Paper 1/8" Strouse Brown
Width – 12.5 mm
Number Across Run/FInish –  12/1
Core Label – No
±10% –  No
Unwind Dir. Run – 2
Unwind Dir. Finish –  2
Diecut/Continuous/Sheet –  Continuous
Partial Case –  No
Pieces per roll/Unit – 1 Roll
Length per roll/unit –  72 Yd
Finish – Off Press
Application – Hand</t>
  </si>
  <si>
    <t>50098 Cost of Goods Sold</t>
  </si>
  <si>
    <t>Die Cut Masking 3M 2392 perforated every 24" 12" x 100'</t>
  </si>
  <si>
    <t>6123931224A-1012790555</t>
  </si>
  <si>
    <t>Die Cut Masking - 3M 2392 perforated every 24" - 12" x 100'</t>
  </si>
  <si>
    <t>Number Across Run/Finish –  1/1
Where Finished –  On Press
Length per Roll/Unit – 100'
Core Type –  3" Paper 1/8" Strouse Brown
Core Width – 12.5"
Core Label – Yes
Dividers – 
Bag Size – 
Qty. Per Bag – 
Box Size –  12 x 12 x 12
Qty. Per Box – 5 Rolls
Weight/box – 18
Box Per Pallet – 
Pallet Type – </t>
  </si>
  <si>
    <t>EACH BOX WILL HAVE 2 PROD ID LABELS. ONE WILL BE IN ENGLISH, ONE IN FRENCH CANADIAN. THESE WILL BE PLACED ON THE FRONT ON THE BOX; ONE BELOW THE OTHER, WITH THE ENGLISH ONE ON TOP.
36 cases per pallet; 4 layers of 9 cases.</t>
  </si>
  <si>
    <t>Core  –  3" Paper 1/8" Strouse Brown
Width – 12.5"
Number Across Run/FInish –  1/1
Core Label – Yes
±10% –  No
Unwind Dir. Run – Adh. In
Unwind Dir. Finish –  Adh. In
Diecut/Continuous/Sheet –  Continuous Die Cut
Partial Case –  No
Pieces per roll/Unit – 50
Length per roll/unit –  100'
Finish – On Press
Application – </t>
  </si>
  <si>
    <t>Use the tan 3M 5401 traction tape for the nips.</t>
  </si>
  <si>
    <t>50099 Cost of Goods Sold</t>
  </si>
  <si>
    <t>Printed Tape 3M 4737T - Right Hand Side - with printed delineation line 2" x 60Yd</t>
  </si>
  <si>
    <t>1012790559-614737T260RA</t>
  </si>
  <si>
    <t>Printed Tape - 3M 4737T - Right Hand Side - with printed delineation line - 2" x 60Yd</t>
  </si>
  <si>
    <t>Number Across Run/Finish –  2/1
Where Finished –  On Press
Length per Roll/Unit – 60 Yd
Core Type –  3" Plastic 0.10" HDPE
Core Width – 2.000"
Core Label – Yes
Dividers – Paper
Bag Size – 
Qty. Per Bag – 6 Rolls
Box Size –  12 x 12 x 12
Qty. Per Box – 24 Rolls
Weight/box – 30
Box Per Pallet – 36
Pallet Type – </t>
  </si>
  <si>
    <t>With the roll in your LEFT hand, pulling to the right, the alignment/printed black line is at the BOTTOM for the RH side parts.
EACH BOX WILL HAVE 2 PROD ID LABELS. ONE WILL BE IN ENGLISH, ONE IN FRENCH CANADIAN. THESE WILL BE PLACED ON THE FRONT ON THE BOX, ONE BELOW THE OTHER WITH THE ENGLISH ONE ON TOP.</t>
  </si>
  <si>
    <t>Core  –  3" Plastic 0.10" HDPE
Width – 2.000"
Number Across Run/FInish –  2/1
Core Label – Yes
±10% –  OK
Unwind Dir. Run – See notes
Unwind Dir. Finish –  See Note
Diecut/Continuous/Sheet –  Continuous
Partial Case –  Yes
Pieces per roll/Unit – 1 Roll
Length per roll/unit –  60 Yd
Finish – On Press
Application – Automatic</t>
  </si>
  <si>
    <t>This job jacket makes RIGHT HAND PARTS - It should be run at the same time as JJ 4557</t>
  </si>
  <si>
    <t>50100 Cost of Goods Sold</t>
  </si>
  <si>
    <t>Printed Tape 3M 4737T - Left Hand Side - with printed delineation line 2" x 60Yd</t>
  </si>
  <si>
    <t>1012790560-614737T260LA</t>
  </si>
  <si>
    <t>Printed Tape - 3M 4737T - Left Hand Side - with printed delineation line - 2" x 60Yd</t>
  </si>
  <si>
    <t>Number Across Run/Finish –  2/1
Where Finished –  On Press
Length per Roll/Unit – 60 Yd
Core Type –  3" Plastic 0.10" HDPE
Core Width – 2.000"
Core Label – Yes
Dividers – Paper
Bag Size – 
Qty. Per Bag – 6 Rolls
Box Size –  10 x 10 x 10
Qty. Per Box – 24 Rolls
Weight/box – 30
Box Per Pallet – 36
Pallet Type – </t>
  </si>
  <si>
    <t>With the roll in your LEFT hand, pulling to the right, the alignment/printed black line is at the TOP for the LH side parts.
EACH BOX WILL HAVE 2 PROD ID LABELS. ONE WILL BE IN ENGLISH, ONE IN FRENCH CANADIAN. THESE WILL BE PLACED ON THE FRONT ON THE BOX, ONE BELOW THE OTHER WITH THE ENGLISH ONE ON TOP.</t>
  </si>
  <si>
    <t>Core  –  3" Plastic 0.10" HDPE
Width – 2.000"
Number Across Run/FInish –  2/1
Core Label – Yes
±10% –  OK
Unwind Dir. Run – See notes
Unwind Dir. Finish –  See Note
Diecut/Continuous/Sheet –  Continuous
Partial Case –  Yes
Pieces per roll/Unit – 1 Roll
Length per roll/unit –  60 Yd
Finish – On Press
Application – Hand</t>
  </si>
  <si>
    <t>This job jacket makes LEFT HAND PARTS - It should be run at the same time as JJ 4556</t>
  </si>
  <si>
    <t>50101 Cost of Goods Sold</t>
  </si>
  <si>
    <t>Slit Tape 3M 8901 2.25" x 72Yd</t>
  </si>
  <si>
    <t>8901 2-1/4</t>
  </si>
  <si>
    <t>Slit Tape - 3M 8901 - 2.25" x 72Yd</t>
  </si>
  <si>
    <t>Number Across Run/Finish –  2/1
Where Finished –  On Press
Length per Roll/Unit – 72 Yd
Core Type –  3" Paper 1/8" White Brown
Core Width – 2.25"
Core Label – No
Dividers – 
Bag Size – 
Qty. Per Bag – 
Box Size –  12 x 12 x 12
Qty. Per Box – 16 
Weight/box – 
Box Per Pallet – 
Pallet Type – </t>
  </si>
  <si>
    <t>Core  –  3" Paper 1/8" White Brown
Width – 2.25"
Number Across Run/FInish –  2/1
Core Label – No
±10% –  OK
Unwind Dir. Run – N/A
Unwind Dir. Finish –  N/A
Diecut/Continuous/Sheet –  Continuous
Partial Case –  Yes
Pieces per roll/Unit – 1 Roll
Length per roll/unit –  72 Yd
Finish – On Press
Application – Hand</t>
  </si>
  <si>
    <t>50102 Cost of Goods Sold</t>
  </si>
  <si>
    <t>Masking Tape 3M 2392 3.65" x 60Yd</t>
  </si>
  <si>
    <t>612393260A-1012790557</t>
  </si>
  <si>
    <t>Masking Tape - 3M 2392 - 3.65" x 60Yd</t>
  </si>
  <si>
    <t>Number Across Run/Finish –  15/1
Where Finished –  On Press
Length per Roll/Unit – 60 Yd
Core Type –  3" Paper 0.180" Brown Brown
Core Width – 3.59"
Core Label – Yes
Dividers – Paper - 6" x 3" cir
Bag Size – 
Qty. Per Bag – 3 Rolls
Box Size –  16 x 16 x 10-1/4
Qty. Per Box – 12 Rolls
Weight/box – 23
Box Per Pallet – 27
Pallet Type – </t>
  </si>
  <si>
    <t>EACH BOX WILL HAVE 2 PROD ID LABELS. ONE WILL BE IN ENGLISH, ONE IN FRENCH CANADIAN.  THESE WILL BE PLACED ON THE FRONT ON THE BOX, ONE BELOW THE OTHER WITH THE ENGLISH ONE ON TOP.
• For Core label use label format: 4601 Core
• Ship Exact no over, no under!
• Packaging goal is 14 cases per hour.
    1.  Place core label inside core of each roll.
    2.  Place paper circle on bottom in bag, between each roll and on top.
                   (use tube stack tool,  for size needed)
    3.  Tuck bag in top of core, add "Core Dot" ( 3" 4/10) to cover hole of roll.
    4.   Place total of 12 rolls in box.  Add air pillows.</t>
  </si>
  <si>
    <t>Core  –  3" Paper 0.180" Brown Brown
Width – 3.59"
Number Across Run/FInish –  15/1
Core Label – Yes
±10% –  No
Unwind Dir. Run – Adh. In
Unwind Dir. Finish –  Adh. In
Diecut/Continuous/Sheet –  Continuous
Partial Case –  Yes
Pieces per roll/Unit – 1 Roll
Length per roll/unit –  60 Yd
Finish – On Press
Application – Hand</t>
  </si>
  <si>
    <t>50103 Cost of Goods Sold</t>
  </si>
  <si>
    <t>Die Cut Part 0.01" thick mylar with 1" wide Adh. strip 2.5" x 2.75"</t>
  </si>
  <si>
    <t>X18260331010</t>
  </si>
  <si>
    <t>Die Cut Part - 0.01" thick mylar with 1" wide Adh. strip - 2.5" x 2.75"</t>
  </si>
  <si>
    <t>Number Across Run/Finish –  2/1
Where Finished –  On Press
Length per Roll/Unit – 521'
Core Type –  N/A
Core Width – N/A
Core Label – No
Dividers – 
Bag Size – 
Qty. Per Bag – 5 M
Box Size –  8 x 8 x 8
Qty. Per Box – 5 M
Weight/box – 
Box Per Pallet – 
Pallet Type – </t>
  </si>
  <si>
    <t>Package loose in a bag (bulk pack)</t>
  </si>
  <si>
    <t>Core  –  N/A
Width – N/A
Number Across Run/FInish –  2/1
Core Label – No
±10% –  Yes
Unwind Dir. Run – N/A
Unwind Dir. Finish –  N/A
Diecut/Continuous/Sheet –  Die Cut Sheet
Partial Case –  Yes
Pieces per roll/Unit – 5,000
Length per roll/unit –  521'
Finish – On Press
Application – Hand</t>
  </si>
  <si>
    <t>50104 Cost of Goods Sold</t>
  </si>
  <si>
    <t>Tape, Tamper Proof Printed Black, "PITCH", "ROLL" and "YAW" 0.75" x 60Yd</t>
  </si>
  <si>
    <t>185821-? REV B</t>
  </si>
  <si>
    <t>Tape, Tamper Proof - Printed Black, "PITCH", "ROLL" and "YAW" - 0.75" x 60Yd</t>
  </si>
  <si>
    <t>Number Across Run/Finish –  6/1
Where Finished –  Off Press
Length per Roll/Unit – 60 Yd
Core Type –  3" Paper 1/8" Strouse Brown
Core Width – 0.75"
Core Label – Yes
Dividers – Paper
Bag Size – 
Qty. Per Bag – 6 Rolls
Box Size –  14 1/4 x 8 3/4  x 12 5/8
Qty. Per Box – 6 Rolls
Weight/box – 
Box Per Pallet – 
Pallet Type – </t>
  </si>
  <si>
    <t>Part Numbers:
185821-1 = "PITCH"
185821-2 = "ROLL"
185821-3 = "YAW"</t>
  </si>
  <si>
    <t>Core  –  3" Paper 1/8" Strouse Brown
Width – 0.75"
Number Across Run/FInish –  6/1
Core Label – Yes
±10% –  OK
Unwind Dir. Run – 2
Unwind Dir. Finish –  1
Diecut/Continuous/Sheet –  Continuous
Partial Case –  Yes
Pieces per roll/Unit – 1 Roll
Length per roll/unit –  60 Yd
Finish – Off Press
Application – Hand</t>
  </si>
  <si>
    <t>50105 Cost of Goods Sold</t>
  </si>
  <si>
    <t>Label White PP, perfed every 3.125" 3" x 5"</t>
  </si>
  <si>
    <t>230L3983</t>
  </si>
  <si>
    <t>Label - White PP, perfed every 3.125" - 3" x 5"</t>
  </si>
  <si>
    <t>Number Across Run/Finish –  1/1
Where Finished –  On Press
Length per Roll/Unit – 398
Core Type –  3" Paper 1/8" White Brown
Core Width – 5.1875"
Core Label – Yes
Dividers – 
Bag Size – 
Qty. Per Bag – 
Box Size –  9 x 9 x 13
Qty. Per Box – 4 Rolls
Weight/box – 
Box Per Pallet – 
Pallet Type – </t>
  </si>
  <si>
    <t>Core  –  3" Paper 1/8" White Brown
Width – 5.1875"
Number Across Run/FInish –  1/1
Core Label – Yes
±10% –  Yes
Unwind Dir. Run – Parts Out
Unwind Dir. Finish –  Parts Out
Diecut/Continuous/Sheet –  Die Cut
Partial Case –  Yes
Pieces per roll/Unit – 1,525
Length per roll/unit –  398
Finish – On Press
Application – Hand</t>
  </si>
  <si>
    <t>NOTE: PJ9502 iis the same as PJ9501</t>
  </si>
  <si>
    <t>50106 Cost of Goods Sold</t>
  </si>
  <si>
    <t>Die Cut Part foil tape, 3M 1345 6.93" x 3.33"</t>
  </si>
  <si>
    <t>100543:007</t>
  </si>
  <si>
    <t>Die Cut Part - foil tape, 3M 1345 - 6.93" x 3.33"</t>
  </si>
  <si>
    <t>Number Across Run/Finish –  3/1
Where Finished –  On Press
Length per Roll/Unit – 153'
Core Type –  N/A
Core Width – N/A
Core Label – No
Dividers – 
Bag Size – 
Qty. Per Bag – 50 
Box Size –  8 x 8 x 8
Qty. Per Box – 500 
Weight/box – 
Box Per Pallet – 
Pallet Type – </t>
  </si>
  <si>
    <t>Core  –  N/A
Width – N/A
Number Across Run/FInish –  3/1
Core Label – No
±10% –  OK
Unwind Dir. Run – N/A
Unwind Dir. Finish –  N/A
Diecut/Continuous/Sheet –  Die Cut Sheet
Partial Case –  Yes
Pieces per roll/Unit – 500
Length per roll/unit –  153'
Finish – On Press
Application – Hand</t>
  </si>
  <si>
    <t>50107 Cost of Goods Sold</t>
  </si>
  <si>
    <t>Die Cut Part Wiper Motor masking - Hi Temperature masking tape with 6 internal die cut holes 40mm x 35mm</t>
  </si>
  <si>
    <t>11039156</t>
  </si>
  <si>
    <t>Die Cut Part - Wiper Motor masking - Hi Temperature masking tape with 6 internal die cut holes - 40mm x 35mm</t>
  </si>
  <si>
    <t>Number Across Run/Finish –  1/1
Where Finished –  On Press
Length per Roll/Unit – 143'
Core Type –  3" Paper 1/8" White Brown
Core Width – 2"
Core Label – Yes
Dividers – 
Bag Size – 
Qty. Per Bag – 3 Rolls
Box Size –  16 x 16 x 10-1/4
Qty. Per Box – 3 M
Weight/box – 
Box Per Pallet – 
Pallet Type – </t>
  </si>
  <si>
    <t>Core  –  3" Paper 1/8" White Brown
Width – 2"
Number Across Run/FInish –  1/1
Core Label – Yes
±10% –  Yes
Unwind Dir. Run – Parts Out
Unwind Dir. Finish –  Parts Out
Diecut/Continuous/Sheet –  Die Cut
Partial Case –  Yes
Pieces per roll/Unit – 1,000
Length per roll/unit –  143'
Finish – On Press
Application – Hand</t>
  </si>
  <si>
    <t>50108 Cost of Goods Sold</t>
  </si>
  <si>
    <t>Fabricated Tape 17 x 15 Strip, ST-741, with internal die cuts and tractor feed 8.0" x 3.7"</t>
  </si>
  <si>
    <t>27209510701</t>
  </si>
  <si>
    <t>Fabricated Tape - 17 x 15 Strip, ST-741, with internal die cuts and tractor feed - 8.0" x 3.7"</t>
  </si>
  <si>
    <t>Number Across Run/Finish –  1/1
Where Finished –  On Press
Length per Roll/Unit – 1,000'
Core Type –  10" Paper 3/8" Brown Brown
Core Width – 3.7"
Core Label – Yes
Dividers – 16 x 16
Bag Size – 
Qty. Per Bag – 1 Roll
Box Size –  8 1/8 x 8 1/8 x 32 Top &amp; Bottom Log Box
Qty. Per Box – 2 Rolls
Weight/box – 
Box Per Pallet – 
Pallet Type – </t>
  </si>
  <si>
    <t>Core  –  10" Paper 3/8" Brown Brown
Width – 3.7"
Number Across Run/FInish –  1/1
Core Label – Yes
±10% –  OK
Unwind Dir. Run – N/A
Unwind Dir. Finish –  N/A
Diecut/Continuous/Sheet –  Die Cut
Partial Case –  Yes
Pieces per roll/Unit – 1 Roll
Length per roll/unit –  1,000'
Finish – On Press
Application – </t>
  </si>
  <si>
    <t>Use DA 241 as primary score.</t>
  </si>
  <si>
    <t>50109 Cost of Goods Sold</t>
  </si>
  <si>
    <t>Slit material CSM 8.37" wide</t>
  </si>
  <si>
    <t>4848</t>
  </si>
  <si>
    <t>Slit material - CSM - 8.37" wide</t>
  </si>
  <si>
    <t>Number Across Run/Finish –  3/1
Where Finished –  On Press
Length per Roll/Unit – As Rec'd
Core Type –  3" Paper 1/8" Strouse Brown
Core Width – 8.37"
Core Label – Yes
Dividers – 
Bag Size – 
Qty. Per Bag – 1 Roll
Box Size –  8 x 8 x 8
Qty. Per Box – 3 Rolls
Weight/box – 
Box Per Pallet – 
Pallet Type – </t>
  </si>
  <si>
    <t>Core  –  3" Paper 1/8" Strouse Brown
Width – 8.37"
Number Across Run/FInish –  3/1
Core Label – Yes
±10% –  Yes
Unwind Dir. Run – N/A
Unwind Dir. Finish –  N/A
Diecut/Continuous/Sheet –  Continuous
Partial Case –  Yes
Pieces per roll/Unit – 1 Roll
Length per roll/unit –  As Rec'd
Finish – On Press
Application – Hand</t>
  </si>
  <si>
    <t>Customer Supplied Material. Further information to be provided when material arrives.</t>
  </si>
  <si>
    <t>50110 Cost of Goods Sold</t>
  </si>
  <si>
    <t>Die Cut Part Die cut 5mil Protective Film 2.73" x 1.48"</t>
  </si>
  <si>
    <t>SUP-0441</t>
  </si>
  <si>
    <t>Die Cut Part - Die cut 5mil Protective Film - 2.73" x 1.48"</t>
  </si>
  <si>
    <t>Number Across Run/Finish –  1/1
Where Finished –  On Press
Length per Roll/Unit – 240'
Core Type –  3" Paper 1/8" Strouse Brown
Core Width – 2"
Core Label – Yes
Dividers – 
Bag Size – 
Qty. Per Bag – 3 M
Box Size –  12 x 12 x 10
Qty. Per Box – 3 M
Weight/box – 
Box Per Pallet – 
Pallet Type – </t>
  </si>
  <si>
    <t>50111 Cost of Goods Sold</t>
  </si>
  <si>
    <t>Die Cut Mask Front indicator Mask with tab, Part# 2519454 5.687" x 5.312"</t>
  </si>
  <si>
    <t>2519454</t>
  </si>
  <si>
    <t>Die Cut Mask - Front indicator Mask with tab, Part# 2519454 - 5.687" x 5.312"</t>
  </si>
  <si>
    <t>Number Across Run/Finish –  1/
Where Finished –  On Press
Length per Roll/Unit – 240'
Core Type –  N/A
Core Width – N/A
Core Label – Yes
Dividers – 
Bag Size – 
Qty. Per Bag – 500 pcs
Box Size –  25 x 17 x 2.5
Qty. Per Box – 2,000 Each
Weight/box – 
Box Per Pallet – 
Pallet Type – </t>
  </si>
  <si>
    <t>Package 500 pcs per bag.  Bag only, no shrink wrap.</t>
  </si>
  <si>
    <t>Core  –  N/A
Width – N/A
Number Across Run/FInish –  1/
Core Label – Yes
±10% –  Yes
Unwind Dir. Run – N/A
Unwind Dir. Finish –  N/A
Diecut/Continuous/Sheet –  Die Cut Sheet
Partial Case –  Yes
Pieces per roll/Unit – 500
Length per roll/unit –  240'
Finish – On Press
Application – Hand</t>
  </si>
  <si>
    <t>50112 Cost of Goods Sold</t>
  </si>
  <si>
    <t>Die Cut Mask
 44X, Battery Box B Mask, no tab. Part # 2527094 24.30" x 16.68"</t>
  </si>
  <si>
    <t>2527094</t>
  </si>
  <si>
    <t>Die Cut Mask
 - 44X, Battery Box B Mask, no tab. Part # 2527094 - 24.30" x 16.68"</t>
  </si>
  <si>
    <t>Number Across Run/Finish –  1/1
Where Finished –  On Press
Length per Roll/Unit – 542'
Core Type –  N/A
Core Width – N/A
Core Label – No
Dividers – 
Bag Size – 
Qty. Per Bag – 
Box Size –  40 x 17 x 2 1/2
Qty. Per Box – 250 
Weight/box – 
Box Per Pallet – 
Pallet Type – </t>
  </si>
  <si>
    <t>Core  –  N/A
Width – N/A
Number Across Run/FInish –  1/1
Core Label – No
±10% –  Yes
Unwind Dir. Run – N/A
Unwind Dir. Finish –  N/A
Diecut/Continuous/Sheet –  Die Cut Sheet
Partial Case –  Yes
Pieces per roll/Unit – 250
Length per roll/unit –  542'
Finish – On Press
Application – Hand</t>
  </si>
  <si>
    <t>50113 Cost of Goods Sold</t>
  </si>
  <si>
    <t>Die Cut Mask 44X, Left Windshield Mask, no tab. Part # 2519547 38.719" x 16.4"</t>
  </si>
  <si>
    <t>2519547</t>
  </si>
  <si>
    <t>Die Cut Mask - 44X, Left Windshield Mask, no tab. Part # 2519547 - 38.719" x 16.4"</t>
  </si>
  <si>
    <t>Number Across Run/Finish –  1/1
Where Finished –  On Press
Length per Roll/Unit – N/A
Core Type –  N/A
Core Width – N/A
Core Label – No
Dividers – 
Bag Size – 
Qty. Per Bag – 
Box Size –  40 x 17 x 2.5
Qty. Per Box – 125 Each
Weight/box – 
Box Per Pallet – 32
Pallet Type – </t>
  </si>
  <si>
    <t>Pkg: 2 pillows on each each, 2 rows of 6 pillows across top and tape all 4 corners of carton.
PLEASE USE STANDARD 40 X 48 PALLET; 2 ACROSS AND NO MORE THAN 16 CARTONS HIGH EACH SIDE.  (TOTAL OF 32 CARTONS/PALLET).</t>
  </si>
  <si>
    <t>Core  –  N/A
Width – N/A
Number Across Run/FInish –  1/1
Core Label – No
±10% –  Yes
Unwind Dir. Run – N/A
Unwind Dir. Finish –  N/A
Diecut/Continuous/Sheet –  Die Cut
Partial Case –  Yes
Pieces per roll/Unit – 125
Length per roll/unit –  N/A
Finish – On Press
Application – Hand</t>
  </si>
  <si>
    <t>50114 Cost of Goods Sold</t>
  </si>
  <si>
    <t>Die Cut Mask 44X, Right Windshield Mask, no tab. Part # 2519548 38.719" x 16.4"</t>
  </si>
  <si>
    <t>2519548</t>
  </si>
  <si>
    <t>Die Cut Mask - 44X, Right Windshield Mask, no tab. Part # 2519548 - 38.719" x 16.4"</t>
  </si>
  <si>
    <t>Number Across Run/Finish –  1/1
Where Finished –  On Press
Length per Roll/Unit – N/A
Core Type –  N/A
Core Width – N/A
Core Label – 
Dividers – 
Bag Size – 
Qty. Per Bag – 
Box Size –  12 x 12 x 10
Qty. Per Box – 125 Each
Weight/box – 30
Box Per Pallet – 
Pallet Type – </t>
  </si>
  <si>
    <t>Pkg: 2 pillows on each each, 2 rows of 6 pillows across top and tape all 4 corners of carton.
PLEASE USE STANDARD 40 X 48 PALLET; 2 ACROSS AND NO MORE THAN 16 CARTONS HIGH EACH SIDE.(TOTAL OF 32 CARTONS/PALLET).</t>
  </si>
  <si>
    <t>Core  –  N/A
Width – N/A
Number Across Run/FInish –  1/1
Core Label – 
±10% –  Yes
Unwind Dir. Run – N/A
Unwind Dir. Finish –  N/A
Diecut/Continuous/Sheet –  Die Cut
Partial Case –  Yes
Pieces per roll/Unit – 125
Length per roll/unit –  N/A
Finish – On Press
Application – Hand</t>
  </si>
  <si>
    <t>50115 Cost of Goods Sold</t>
  </si>
  <si>
    <t>78 # SCK Liner 78 lb. SCK Liner 2" x 72Yd</t>
  </si>
  <si>
    <t>10877849</t>
  </si>
  <si>
    <t>78 # SCK Liner - 78 lb. SCK Liner - 2" x 72Yd</t>
  </si>
  <si>
    <t>Number Across Run/Finish –  2/1
Where Finished –  CEI
Length per Roll/Unit – 216
Core Type –  3" Paper 1/8" White Brown
Core Width – 2.0"
Core Label – Yes
Dividers – 
Bag Size – 
Qty. Per Bag – 5 Rolls
Box Size –  10 x 10 x 10
Qty. Per Box – 20 Rolls
Weight/box – 
Box Per Pallet – 
Pallet Type – </t>
  </si>
  <si>
    <t>Per Brad Johnson, splices are acceptable.  (hand application).</t>
  </si>
  <si>
    <t>Core  –  3" Paper 1/8" White Brown
Width – 2.0"
Number Across Run/FInish –  2/1
Core Label – Yes
±10% –  No
Unwind Dir. Run – N/A
Unwind Dir. Finish –  N/A
Diecut/Continuous/Sheet –  Continuous
Partial Case –  No
Pieces per roll/Unit – 1 Roll
Length per roll/unit –  216
Finish – CEI
Application – </t>
  </si>
  <si>
    <t>Please only use SCK liner for this and not clay coated.  The 78# C1S BG40 is available in both so you must check the liner itself.</t>
  </si>
  <si>
    <t>50116 Cost of Goods Sold</t>
  </si>
  <si>
    <t>Butt Cut Tape Double Sided Case Insulation Tape Tabbed 14mm x 15.5mm</t>
  </si>
  <si>
    <t>27210008485</t>
  </si>
  <si>
    <t>Butt Cut Tape - Double Sided Case Insulation Tape Tabbed - 14mm x 15.5mm</t>
  </si>
  <si>
    <t>Number Across Run/Finish –  2/1
Where Finished –  Web Techniques
Length per Roll/Unit – 460'
Core Type –  3" Paper 1/8" Strouse Brown
Core Width – 1.06"
Core Label – Yes
Dividers – 
Bag Size – 
Qty. Per Bag – 10 
Box Size –  16 1/2 x 8 1/2 x 13
Qty. Per Box – 10 
Weight/box – 
Box Per Pallet – 
Pallet Type – </t>
  </si>
  <si>
    <t>For the correct finished unwind direction refer to the sequence of production.</t>
  </si>
  <si>
    <t>Core  –  3" Paper 1/8" Strouse Brown
Width – 1.06"
Number Across Run/FInish –  2/1
Core Label – Yes
±10% –  Yes
Unwind Dir. Run – 4
Unwind Dir. Finish –  Parts Out
Diecut/Continuous/Sheet –  Continuous Die Cut
Partial Case –  Yes
Pieces per roll/Unit – 10,000
Length per roll/unit –  460'
Finish – Web Techniques
Application – Hand</t>
  </si>
  <si>
    <t>50117 Cost of Goods Sold</t>
  </si>
  <si>
    <t>Fabricated Part Trailing Edge Strip. Unprinted Liner 3-3/4" x 50'</t>
  </si>
  <si>
    <t>137279</t>
  </si>
  <si>
    <t>Fabricated Part - Trailing Edge Strip. Unprinted Liner - 3-3/4" x 50'</t>
  </si>
  <si>
    <t>Number Across Run/Finish –  1/1
Where Finished –  On Press
Length per Roll/Unit – 50'
Core Type –  3" Paper 1/8" White Brown
Core Width – 3.75"
Core Label – Yes
Dividers – 
Bag Size – 
Qty. Per Bag – 1 Roll
Box Size –  8 x 8 x 8
Qty. Per Box – 6 Rolls
Weight/box – 
Box Per Pallet – 
Pallet Type – </t>
  </si>
  <si>
    <t>-- Refer to JJ 2375 for additional set up instructions.  Wind with liner on the gear side; magnetic strip out.  Core label - 4928 Core.
Package rolls in 4 mil 12 x 16 black poly bags.  A bag label goes on the bottom of each bag after roll is placed in it.  Bag label - 4928 BAG.</t>
  </si>
  <si>
    <t>Core  –  3" Paper 1/8" White Brown
Width – 3.75"
Number Across Run/FInish –  1/1
Core Label – Yes
±10% –  Ask
Unwind Dir. Run – Mag. Out
Unwind Dir. Finish –  Mag. Out
Diecut/Continuous/Sheet –  Continuous
Partial Case –  Ask
Pieces per roll/Unit – 1 Roll
Length per roll/unit –  50'
Finish – On Press
Application – Hand</t>
  </si>
  <si>
    <t>Latex is easier to cut when still wet.
Wind with liner on the gear side; magnetic strip out.</t>
  </si>
  <si>
    <t>50118 Cost of Goods Sold</t>
  </si>
  <si>
    <t>Sheeted Part 1/8"T UHMW with VHB 1" x 7"</t>
  </si>
  <si>
    <t>907A-1</t>
  </si>
  <si>
    <t>Sheeted Part - 1/8"T UHMW with VHB - 1" x 7"</t>
  </si>
  <si>
    <t>Number Across Run/Finish –  3/1
Where Finished –  On Press
Length per Roll/Unit – 2'
Core Type –  N/A
Core Width – N/A
Core Label – No
Dividers – 
Bag Size – 
Qty. Per Bag – 25 Each
Box Size –  12 x 12 x 10
Qty. Per Box –  M
Weight/box – 
Box Per Pallet – 
Pallet Type – </t>
  </si>
  <si>
    <t>STACK AND WRAP PARTS IN RELEASE SHEETS THEN BAG. THIS WILL PREVENT THE PIECES FROM STICKING TO THE PLASTIC BAG.</t>
  </si>
  <si>
    <t>Core  –  N/A
Width – N/A
Number Across Run/FInish –  3/1
Core Label – No
±10% –  Yes
Unwind Dir. Run – N/A
Unwind Dir. Finish –  N/A
Diecut/Continuous/Sheet –  Sheet
Partial Case –  Yes
Pieces per roll/Unit – 50
Length per roll/unit –  2'
Finish – On Press
Application – Hand</t>
  </si>
  <si>
    <t>PLEASE CHECK SAMPLE AREA FOR FREE VHB TO USE, MANY TIMES THERE ARE ROLLS THERE.</t>
  </si>
  <si>
    <t>50119 Cost of Goods Sold</t>
  </si>
  <si>
    <t>Masking Tape 3M 231 Masking Tape, 72 rolls per case 0.50" x 60Yd</t>
  </si>
  <si>
    <t>TO2071</t>
  </si>
  <si>
    <t>Masking Tape - 3M 231 Masking Tape, 72 rolls per case - 0.50" x 60Yd</t>
  </si>
  <si>
    <t>Number Across Run/Finish –  110/1
Where Finished –  On Press
Length per Roll/Unit – 180
Core Type –  3" Paper 0.180" Brown Brown
Core Width – 0.50"
Core Label – Yes
Dividers – Paper
Bag Size – 
Qty. Per Bag – 18 Rolls
Box Size –  12 x 12 x 12
Qty. Per Box – 72 Rolls
Weight/box – 
Box Per Pallet – 
Pallet Type – </t>
  </si>
  <si>
    <t>Core  –  3" Paper 0.180" Brown Brown
Width – 0.50"
Number Across Run/FInish –  110/1
Core Label – Yes
±10% –  No
Unwind Dir. Run – Adh. In
Unwind Dir. Finish –  Adh. In
Diecut/Continuous/Sheet –  Continuous
Partial Case –  No
Pieces per roll/Unit – 1 Roll
Length per roll/unit –  180
Finish – On Press
Application – </t>
  </si>
  <si>
    <t>50120 Cost of Goods Sold</t>
  </si>
  <si>
    <t>Masking Tape 3M 232 masking tape, 96 rolls per case 3/8" x 60Yd</t>
  </si>
  <si>
    <t>TO602</t>
  </si>
  <si>
    <t>Masking Tape - 3M 232 masking tape, 96 rolls per case - 3/8" x 60Yd</t>
  </si>
  <si>
    <t>Number Across Run/Finish –  72/1
Where Finished –  On Press
Length per Roll/Unit – 180'
Core Type –  3" Paper 0.180" Brown Brown
Core Width – 0.375"
Core Label – Yes - Trim to Fit
Dividers – Paper
Bag Size – 
Qty. Per Bag – 24 Rolls
Box Size –  12 1/2 x 8 1/2 x 12 5/8
Qty. Per Box – 96 Rolls
Weight/box – 
Box Per Pallet – 
Pallet Type – </t>
  </si>
  <si>
    <t>Use 1/2" core label and trim to fit the 3/8" core.</t>
  </si>
  <si>
    <t>Core  –  3" Paper 0.180" Brown Brown
Width – 0.375"
Number Across Run/FInish –  72/1
Core Label – Yes - Trim to Fit
±10% –  No
Unwind Dir. Run – N/A
Unwind Dir. Finish –  N/A
Diecut/Continuous/Sheet –  Continuous
Partial Case –  No
Pieces per roll/Unit – 1 Roll
Length per roll/unit –  180'
Finish – On Press
Application – Automatic</t>
  </si>
  <si>
    <t>50121 Cost of Goods Sold</t>
  </si>
  <si>
    <t>Printed Tape White, UPVC printed Red "DO NOT TOP LOAD" 2" x 55Yd</t>
  </si>
  <si>
    <t>4979</t>
  </si>
  <si>
    <t>Printed Tape - White, UPVC printed Red "DO NOT TOP LOAD" - 2" x 55Yd</t>
  </si>
  <si>
    <t>Number Across Run/Finish –  3/1
Where Finished –  On Press
Length per Roll/Unit – 55 Yd
Core Type –  3" Paper (1/8" wall)
Core Width – 1.968"
Core Label – No
Dividers – 
Bag Size – 
Qty. Per Bag – 
Box Size –  8 x 8 x 8
Qty. Per Box – 36 
Weight/box – 
Box Per Pallet – 
Pallet Type – </t>
  </si>
  <si>
    <t>Core  –  3" Paper (1/8" wall)
Width – 1.968"
Number Across Run/FInish –  3/1
Core Label – No
±10% –  Yes
Unwind Dir. Run – 4
Unwind Dir. Finish –  4
Diecut/Continuous/Sheet –  Continuous
Partial Case –  Yes
Pieces per roll/Unit – 1 Roll
Length per roll/unit –  55 Yd
Finish – On Press
Application – Automatic</t>
  </si>
  <si>
    <t>50122 Cost of Goods Sold</t>
  </si>
  <si>
    <t>Die Cut Mask 3.0625" diameter Reflector mask with tab 3.0625" Dia</t>
  </si>
  <si>
    <t>2519342</t>
  </si>
  <si>
    <t>Die Cut Mask - 3.0625" diameter Reflector mask with tab - 3.0625" Dia</t>
  </si>
  <si>
    <t>Number Across Run/Finish –  1/1
Where Finished –  Off Press
Length per Roll/Unit – 77'
Core Type –  N/A
Core Width – 
Core Label – Yes
Dividers – 
Bag Size – 
Qty. Per Bag – 250 Each
Box Size –  12 x 12 x 12
Qty. Per Box – 2 M
Weight/box – 
Box Per Pallet – 
Pallet Type – </t>
  </si>
  <si>
    <t>Core  –  N/A
Width – 
Number Across Run/FInish –  1/1
Core Label – Yes
±10% –  Yes
Unwind Dir. Run – N/A
Unwind Dir. Finish –  N/A
Diecut/Continuous/Sheet –  Die Cut Sheet
Partial Case –  Yes
Pieces per roll/Unit – 250
Length per roll/unit –  77'
Finish – Off Press
Application – Automatic</t>
  </si>
  <si>
    <t>50123 Cost of Goods Sold</t>
  </si>
  <si>
    <t>Butt Cut Part 3M 5354 "Weatherban" Sealant Tape, .125" Thick, 50' rolls 1.5" x 0.75" W</t>
  </si>
  <si>
    <t>19505354</t>
  </si>
  <si>
    <t>Butt Cut Part - 3M 5354 "Weatherban" Sealant Tape, .125" Thick, 50' rolls - 1.5" x 0.75" W</t>
  </si>
  <si>
    <t>Number Across Run/Finish –  1/1
Where Finished –  On Press
Length per Roll/Unit – 50
Core Type –  3" Paper 1/8" Strouse Brown
Core Width – 1.250"
Core Label – Yes
Dividers – Paper
Bag Size – 
Qty. Per Bag – 9 Rolls
Box Size –  8 x 8 x 8
Qty. Per Box – 4 M
Weight/box – 
Box Per Pallet – 
Pallet Type – </t>
  </si>
  <si>
    <t>Put rolls into bag,  place bag with 9 rolls into the box,  Put cardboard on top and bottom; securing rolls in the box.  Be sure rolls are packaged securely to prevent movement during shipping.</t>
  </si>
  <si>
    <t>Core  –  3" Paper 1/8" Strouse Brown
Width – 1.250"
Number Across Run/FInish –  1/1
Core Label – Yes
±10% –  Yes
Unwind Dir. Run – 5354 Out
Unwind Dir. Finish –  5354 Out
Diecut/Continuous/Sheet –  Continuous Die Cut
Partial Case –  Yes
Pieces per roll/Unit – 400
Length per roll/unit –  50
Finish – On Press
Application – Automatic</t>
  </si>
  <si>
    <t>50124 Cost of Goods Sold</t>
  </si>
  <si>
    <t>Butt Cut Adh Transfer Tape 3M 468MP 0.82" x 0.75"</t>
  </si>
  <si>
    <t>44-0030-00</t>
  </si>
  <si>
    <t>Butt Cut Adh Transfer Tape -  3M 468MP  - 0.82" x 0.75"</t>
  </si>
  <si>
    <t>Number Across Run/Finish –  1/1
Where Finished –  On Press
Length per Roll/Unit – 180'
Core Type –  3" Paper 1/8" White Brown
Core Width – 1"
Core Label – Yes
Dividers – 
Bag Size – 
Qty. Per Bag – 2 Rolls
Box Size –  11 x 11 x 8
Qty. Per Box – 2 Rolls
Weight/box – 
Box Per Pallet – 
Pallet Type – </t>
  </si>
  <si>
    <t>Core  –  3" Paper 1/8" White Brown
Width – 1"
Number Across Run/FInish –  1/1
Core Label – Yes
±10% –  No
Unwind Dir. Run – parts Out
Unwind Dir. Finish –  N/A
Diecut/Continuous/Sheet –  Continuous Die Cut
Partial Case –  No
Pieces per roll/Unit – 1 Roll
Length per roll/unit –  180'
Finish – On Press
Application – Hand</t>
  </si>
  <si>
    <t>50125 Cost of Goods Sold</t>
  </si>
  <si>
    <t>Perfed Part AB 181, 4" wide, perfed every 4", with 1" center hole removed. 200 yards or 1800 pieces per roll. 4" x 4"</t>
  </si>
  <si>
    <t>5017</t>
  </si>
  <si>
    <t>Perfed Part - AB 181, 4" wide, perfed every 4", with 1" center hole removed. 200 yards or 1800 pieces per roll. - 4" x 4"</t>
  </si>
  <si>
    <t>Number Across Run/Finish –  1/1
Where Finished –  On Press
Length per Roll/Unit – 200 Yd
Core Type –  3" Paper 1/8" White Brown
Core Width – 4.000"
Core Label – Yes
Must indicate AB 160 on label
Dividers – 
Bag Size – 
Qty. Per Bag – 
Box Size –  12 x 12 x 10
Qty. Per Box – 8 Rolls
Weight/box – 
Box Per Pallet – 
Pallet Type – </t>
  </si>
  <si>
    <t>On core label: indicate material as AB 181.
added "Maximum of one splice.  No splices in first 40 yds and last 40 yds" per customer document ABI21503 Rev 11</t>
  </si>
  <si>
    <t>Core  –  3" Paper 1/8" White Brown
Width – 4.000"
Number Across Run/FInish –  1/1
Core Label – Yes
Must indicate AB 160 on label
±10% –  Yes
Unwind Dir. Run – 
Unwind Dir. Finish –  N/A
Diecut/Continuous/Sheet –  Continuous Die Cut
Partial Case –  No
Pieces per roll/Unit – 1,800
Length per roll/unit –  200 Yd
Finish – On Press
Application – Hand</t>
  </si>
  <si>
    <t>The die is a PRESSURE SENSITIVE Tool- ReMake as necessary</t>
  </si>
  <si>
    <t>50126 Cost of Goods Sold</t>
  </si>
  <si>
    <t>Slit Tape 3M 231 0.75" x 60Yd</t>
  </si>
  <si>
    <t>T02081</t>
  </si>
  <si>
    <t>Slit Tape - 3M 231 - 0.75" x 60Yd</t>
  </si>
  <si>
    <t>Number Across Run/Finish –  70/1
Where Finished –  On Press
Length per Roll/Unit – 60 Yd
Core Type –  3" Paper 0.180" Brown Brown
Core Width – 0.75"
Core Label – Yes
Dividers – Paper
Bag Size – 
Qty. Per Bag – 12 Rolls
Box Size –  10 x 10 x 10
Qty. Per Box – 48 Rolls
Weight/box – 
Box Per Pallet – 
Pallet Type – </t>
  </si>
  <si>
    <t>Core  –  3" Paper 0.180" Brown Brown
Width – 0.75"
Number Across Run/FInish –  70/1
Core Label – Yes
±10% –  No
Unwind Dir. Run – N/A
Unwind Dir. Finish –  N/A
Diecut/Continuous/Sheet –  Continuous
Partial Case –  No
Pieces per roll/Unit – 1 Roll
Length per roll/unit –  60 Yd
Finish – On Press
Application – </t>
  </si>
  <si>
    <t>50127 Cost of Goods Sold</t>
  </si>
  <si>
    <t>Butt Cut Tape d/c PET splicing tape, Checkerboard 3/4" x 3/4" x 36Yd</t>
  </si>
  <si>
    <t>5026</t>
  </si>
  <si>
    <t>Butt Cut Tape - d/c PET splicing tape, Checkerboard - 3/4" x 3/4" x 36Yd</t>
  </si>
  <si>
    <t>Number Across Run/Finish –  8/1
Where Finished –  On Press
Length per Roll/Unit – 36 Yd
Core Type –  3" Paper 1/8" White Brown
Core Width – 0.75"
Core Label – Yes
Dividers – 
Bag Size – 
Qty. Per Bag – 1 Roll
Box Size –  10 x 10 x 10
Qty. Per Box – 50 Rolls
Weight/box – 
Box Per Pallet – 
Pallet Type – </t>
  </si>
  <si>
    <t>Use 3" PLAIN paper cores (no Strouse markings on cores or core labels; box label is OK)
Use core label format "5026 core"
Core labels must say NOYA VERA</t>
  </si>
  <si>
    <t>Core  –  3" Paper 1/8" White Brown
Width – 0.75"
Number Across Run/FInish –  8/1
Core Label – Yes
±10% –  No
Unwind Dir. Run – Adh. In
Unwind Dir. Finish –  Adh. In
Diecut/Continuous/Sheet –  Die Cut
Partial Case –  No
Pieces per roll/Unit – 1 Roll
Length per roll/unit –  36 Yd
Finish – On Press
Application – </t>
  </si>
  <si>
    <t>50128 Cost of Goods Sold</t>
  </si>
  <si>
    <t>Butt Cut Tape d/c PET splicing tape, Checkerboard 10mm x 20mm x 36Yd</t>
  </si>
  <si>
    <t>5027</t>
  </si>
  <si>
    <t>Butt Cut Tape - d/c PET splicing tape, Checkerboard - 10mm x 20mm x 36Yd</t>
  </si>
  <si>
    <t>Number Across Run/Finish –  7/1
Where Finished –  On Press
Length per Roll/Unit – 36 Yd
Core Type –  3" Paper 1/8" White Brown
Core Width – 0.75"
Core Label – Yes
Dividers – 
Bag Size – 
Qty. Per Bag – 1 Roll
Box Size –  8 x 8 x 8
Qty. Per Box – 50 Rolls
Weight/box – 
Box Per Pallet – 
Pallet Type – </t>
  </si>
  <si>
    <t>Use 3" PLAIN paper cores (no Strouse markings on cores or core labels; box label is OK)
Use core label format "5027 core"
Core labels must say NOYA VERA</t>
  </si>
  <si>
    <t>Core  –  3" Paper 1/8" White Brown
Width – 0.75"
Number Across Run/FInish –  7/1
Core Label – Yes
±10% –  No
Unwind Dir. Run – Adh. In
Unwind Dir. Finish –  Adh. In
Diecut/Continuous/Sheet –  Die Cut
Partial Case –  No
Pieces per roll/Unit – 1 Roll
Length per roll/unit –  36 Yd
Finish – On Press
Application – </t>
  </si>
  <si>
    <t>50129 Cost of Goods Sold</t>
  </si>
  <si>
    <t>Splice Tape Butt Cut Black Paper Splicing Tape 25mm x 19mm</t>
  </si>
  <si>
    <t>MOQ</t>
  </si>
  <si>
    <t>Splice Tape - Butt Cut Black Paper Splicing Tape - 25mm x 19mm</t>
  </si>
  <si>
    <t>Number Across Run/Finish –  7/1
Where Finished –  Web Techniques
Length per Roll/Unit – 84'
Core Type –  3" Paper 1/8" White Brown
Core Width – 0.75"
Core Label – Yes
Dividers – 
Bag Size – 
Qty. Per Bag – 1 Rolls
Box Size –  12 x 12 x 10
Qty. Per Box – 25 Rolls
Weight/box – 7
Box Per Pallet – 
Pallet Type – </t>
  </si>
  <si>
    <t>Core  –  3" Paper 1/8" White Brown
Width – 0.75"
Number Across Run/FInish –  7/1
Core Label – Yes
±10% –  Yes
Unwind Dir. Run – Parts Out
Unwind Dir. Finish –  Parts Out
Diecut/Continuous/Sheet –  Continuous Die Cut
Partial Case –  Yes
Pieces per roll/Unit – 1 Roll
Length per roll/unit –  84'
Finish – Web Techniques
Application – </t>
  </si>
  <si>
    <t>Can use film or regular ink.</t>
  </si>
  <si>
    <t>50130 Cost of Goods Sold</t>
  </si>
  <si>
    <t>Masking Tape 3M 231 1.5" x 60Yd</t>
  </si>
  <si>
    <t>T0213</t>
  </si>
  <si>
    <t>Masking Tape - 3M 231 - 1.5" x 60Yd</t>
  </si>
  <si>
    <t>Number Across Run/Finish –  36/1
Where Finished –  On Press
Length per Roll/Unit – 60 Yd
Core Type –  3" Paper 0.180" Brown Brown
Core Width – 1.5"
Core Label – Yes
Dividers – Paper
Bag Size – 
Qty. Per Bag – 6 Rolls
Box Size –  14 x 14 x 14
Qty. Per Box – 24 Rolls
Weight/box – 
Box Per Pallet – 
Pallet Type – </t>
  </si>
  <si>
    <t>Core  –  3" Paper 0.180" Brown Brown
Width – 1.5"
Number Across Run/FInish –  36/1
Core Label – Yes
±10% –  Yes
Unwind Dir. Run – N/A
Unwind Dir. Finish –  N/A
Diecut/Continuous/Sheet –  Continuous
Partial Case –  Yes
Pieces per roll/Unit – 1 Roll
Length per roll/unit –  60 Yd
Finish – On Press
Application – Hand</t>
  </si>
  <si>
    <t>50131 Cost of Goods Sold</t>
  </si>
  <si>
    <t>Sheeted Sets Mated Dual Lock 1 1/2" x 1"</t>
  </si>
  <si>
    <t>KCDUALLOC</t>
  </si>
  <si>
    <t>M Set</t>
  </si>
  <si>
    <t>Sheeted Sets - Mated Dual Lock - 1 1/2" x 1"</t>
  </si>
  <si>
    <t>Number Across Run/Finish –  1/1
Where Finished –  On Press
Length per Roll/Unit – 396'
Core Type –  N/A
Core Width – N/A
Core Label – Yes - On Bag
Dividers – 
Bag Size – 
Qty. Per Bag – 3.168 M/Sets
Box Size –  12 x 12 x 10
Qty. Per Box – 3 M/Sets
Weight/box – 
Box Per Pallet – 
Pallet Type – </t>
  </si>
  <si>
    <t>Use a twist tie on bags</t>
  </si>
  <si>
    <t>Core  –  N/A
Width – N/A
Number Across Run/FInish –  1/1
Core Label – Yes - On Bag
±10% –  Ask
Unwind Dir. Run – N/A
Unwind Dir. Finish –  N/A
Diecut/Continuous/Sheet –  Die Cut Sheet
Partial Case –  Yes
Pieces per roll/Unit – 3,168
Length per roll/unit –  396'
Finish – On Press
Application – Hand</t>
  </si>
  <si>
    <t>50132 Cost of Goods Sold</t>
  </si>
  <si>
    <t>Tape 3M 232 Masking Tape 4" x 60Yd</t>
  </si>
  <si>
    <t>TO607</t>
  </si>
  <si>
    <t>Tape - 3M 232 Masking Tape - 4" x 60Yd</t>
  </si>
  <si>
    <t>Number Across Run/Finish –  14/1
Where Finished –  On Press
Length per Roll/Unit – 60 Yd
Core Type –  3" Paper 0.180" Brown Brown
Core Width – 3.937"
Core Label – Yes 3M 232
Dividers – Paper - 6" x 3" Cir
Bag Size – 
Qty. Per Bag – 2 Rolls
Box Size –  AS RECEIVED
Qty. Per Box – 8 Rolls
Weight/box – 
Box Per Pallet – 
Pallet Type – </t>
  </si>
  <si>
    <t xml:space="preserve">Core label should read 3M 232 (Format = 5140 core)
1.  Place core label inside core of each roll.
2.  Place paper circle on bottom in bag, between each roll and on top
         ( Use small tube stack tool ).
3.  Tuck bag in top of core, add Core Dot (3 4/10 ") on plastic to cover 
          hole of roll.
4.  Place total of 8 rolls in box.   Add air pillows.
</t>
  </si>
  <si>
    <t>Core  –  3" Paper 0.180" Brown Brown
Width – 3.937"
Number Across Run/FInish –  14/1
Core Label – Yes 3M 232
±10% –  Yes
Unwind Dir. Run – N/A
Unwind Dir. Finish –  Adh. In
Diecut/Continuous/Sheet –  Continuous
Partial Case –  Yes
Pieces per roll/Unit – 1 Roll
Length per roll/unit –  60 Yd
Finish – On Press
Application – Hand</t>
  </si>
  <si>
    <t>50133 Cost of Goods Sold</t>
  </si>
  <si>
    <t>Masking Tape 3M 2307 72mm x 55m</t>
  </si>
  <si>
    <t>Masking Tape - 3M 2307 - 72mm x 55m</t>
  </si>
  <si>
    <t>Number Across Run/Finish –  1/1
Where Finished –  Off Press
Length per Roll/Unit – 180'
Core Type –  N/A
Core Width – 2.83 mm
Core Label – No
Dividers – As Received
Bag Size – 
Qty. Per Bag – As Received 
Box Size –  12 x 12 x 13
Qty. Per Box – As Received 
Weight/box – 0
Box Per Pallet – As Received
Pallet Type – </t>
  </si>
  <si>
    <t xml:space="preserve">BOXED ITEM </t>
  </si>
  <si>
    <t>Core  –  N/A
Width – 2.83 mm
Number Across Run/FInish –  1/1
Core Label – No
±10% –  ask
Unwind Dir. Run – N/A
Unwind Dir. Finish –  N/A
Diecut/Continuous/Sheet –  Continuous
Partial Case –  Ask
Pieces per roll/Unit – 1 Roll
Length per roll/unit –  180'
Finish – Off Press
Application – Hand</t>
  </si>
  <si>
    <t>50134 Cost of Goods Sold</t>
  </si>
  <si>
    <t>Sheeted Part Screen Protector 2.115" x 2.830"</t>
  </si>
  <si>
    <t>RPS/CN3&amp;CK3/10PAK</t>
  </si>
  <si>
    <t>Sheeted Part - Screen Protector - 2.115" x 2.830"</t>
  </si>
  <si>
    <t>Number Across Run/Finish –  2/1
Where Finished –  Off Press
Length per Roll/Unit – 2'
Core Type –  N/A
Core Width – 
Core Label – Yes - Bag Labels
Dividers – 
Bag Size – 
Qty. Per Bag – 1 
Box Size –  12 x 12 x 10
Qty. Per Box – 2 
Weight/box – 
Box Per Pallet – 
Pallet Type – </t>
  </si>
  <si>
    <t>Package 10 parts plus a folded instruction sheet in a bag.  Pack 40 bags into a small box (400 parts).  Then pack 8 small boxes per large carton.  Label each bag, inner small box, and large box with designated label.  See Art Department for Bag Labels.   Small and Large Box Label formats in EasyLabel.
- Verify bar codes on labels scan properly!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</si>
  <si>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2/1
Core Label – Yes - Bag Labels
±10% –  ask
Unwind Dir. Run – N/A
Unwind Dir. Finish –  
Diecut/Continuous/Sheet –  Die Cut Sheet
Partial Case –  Ask
Pieces per roll/Unit – 10
Length per roll/unit –  2'
Finish – Off Press
Application – Hand</t>
  </si>
  <si>
    <t>MUST BE SLIT ON PRESS
Intermec P/N  346-069-107
Dimple - OK 
Half moon - not
3/16/09 per Dave W</t>
  </si>
  <si>
    <t>50135 Cost of Goods Sold</t>
  </si>
  <si>
    <t>RPS/CN3&amp;CK3/25PAK</t>
  </si>
  <si>
    <t>Number Across Run/Finish –  2/1
Where Finished –  Off Press
Length per Roll/Unit – 5'
Core Type –  N/A
Core Width – 
Core Label – Yes - Bag Labels
Dividers – 
Bag Size – 
Qty. Per Bag – 25; 500 per small box 
Box Size –  14 x 14 x 14
Qty. Per Box – 20 bags 
Weight/box – 
Box Per Pallet – 
Pallet Type – </t>
  </si>
  <si>
    <t>Package 25 parts plus a folded instruction sheet in a bag.  Pack 20 bags into a small (5x5x4) box (500 parts).  Then pack 8 small boxes per large box (12x12x10).  Label each bag, inner small box, and large box with designated label.  See Art Department for Bag Labels.  Small and Large Box Label formats in EasyLabel.
• Verify bar codes on labels scan properly!
•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</si>
  <si>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2/1
Core Label – Yes - Bag Labels
±10% –  Yes
Unwind Dir. Run – N/A
Unwind Dir. Finish –  
Diecut/Continuous/Sheet –  Die Cut Sheet
Partial Case –  Yes
Pieces per roll/Unit – 25
Length per roll/unit –  5'
Finish – Off Press
Application – Hand</t>
  </si>
  <si>
    <t xml:space="preserve">MUST BE SLIT ON PRESS
Intermec P/N  346-069-207
-Visually inspect material before running for creases, wrinkles, debris, and abrasions. If damaged in any way "Stop" and notify quality. </t>
  </si>
  <si>
    <t>50136 Cost of Goods Sold</t>
  </si>
  <si>
    <t>Slit Tape 3M 231, Green Plastic Core 0.125" x 60Yd</t>
  </si>
  <si>
    <t>5169</t>
  </si>
  <si>
    <t>Slit Tape - 3M 231, Green Plastic Core - 0.125" x 60Yd</t>
  </si>
  <si>
    <t>Number Across Run/Finish –  450/1
Where Finished –  On Press
Length per Roll/Unit – 180'
Core Type –  3" Plastic 0.10" Color HDPE
Core Width – 0.125"
Core Label – No
Dividers – Paper
Bag Size – 
Qty. Per Bag – 100 Rolls
Box Size –  12 x 12 x 12
Qty. Per Box – 500 Rolls
Weight/box – 
Box Per Pallet – 
Pallet Type – </t>
  </si>
  <si>
    <t>Green plastic core</t>
  </si>
  <si>
    <t>Core  –  3" Plastic 0.10" Color HDPE
Width – 0.125"
Number Across Run/FInish –  450/1
Core Label – No
±10% –  Yes
Unwind Dir. Run – Adh. In
Unwind Dir. Finish –  Adh. In
Diecut/Continuous/Sheet –  Continuous
Partial Case –  Yes
Pieces per roll/Unit – 1 Roll
Length per roll/unit –  180'
Finish – On Press
Application – </t>
  </si>
  <si>
    <t>50137 Cost of Goods Sold</t>
  </si>
  <si>
    <t>Die Cut Part CSM Cu/Al/PET w/ Adh. Laminate 0.375" x 4.440"</t>
  </si>
  <si>
    <t>DIECUTCSM340075001C</t>
  </si>
  <si>
    <t>Die Cut Part - CSM Cu/Al/PET w/ Adh. Laminate - 0.375" x 4.440"</t>
  </si>
  <si>
    <t>Number Across Run/Finish –  1/1
Where Finished –  Off Press
Length per Roll/Unit – 417'
Core Type –  3" Paper 1/8" Strouse Brown
Core Width – 6"
Core Label – Yes in core and on outside of roll.
Dividers – 
Bag Size – 
Qty. Per Bag – 1 Roll
Box Size –  12 x 12 x 10
Qty. Per Box – 10 M
Weight/box – 
Box Per Pallet – 
Pallet Type – </t>
  </si>
  <si>
    <t>-To package- bag each roll and insert square end plugs before boxing-  Tape the end caps to prevent separation during handling-- 1 roll per box.  -Use special core label format "DyneTec Core Label"  needs CSM lot number.  -ROLLS TO BE WOUND TIGHT TO PREVENT SLIDING.  -Packing list to indicate number of rolls and parts per roll
See WO for roll size</t>
  </si>
  <si>
    <t>Core  –  3" Paper 1/8" Strouse Brown
Width – 6"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</si>
  <si>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Rewind rolls parts out. ROLLS NEED TO BE WOUND TIGHT TO PREVENT SLIDING.
6 - 8" Completed sample with WO, P/N, &amp; Lot # to be given to Customer Service for each lot used.
Assure that the path is clear and that no ancillary equipment, guides, etc. are in contact or potentially able to make contact with the material during the process to prevent scratching the coating on the material.</t>
  </si>
  <si>
    <t>50138 Cost of Goods Sold</t>
  </si>
  <si>
    <t>Die Cut Part CSM Cu/Tin/PET w/ Adh. Laminate 0.375" x 1.492"</t>
  </si>
  <si>
    <t>DIECUTCSM340078001B</t>
  </si>
  <si>
    <t>Die Cut Part - CSM Cu/Tin/PET w/ Adh. Laminate - 0.375" x 1.492"</t>
  </si>
  <si>
    <t>Number Across Run/Finish –  1/1
Where Finished –  Off Press
Length per Roll/Unit – 417'
Core Type –  3" Paper 1/8" Strouse Brown
Core Width – 2"
Core Label – Yes in core and on outside of roll.
Dividers – 
Bag Size – 
Qty. Per Bag – 1 Roll
Box Size –  12 x 12 x 12
Qty. Per Box – 10 M
Weight/box – 
Box Per Pallet – 
Pallet Type – </t>
  </si>
  <si>
    <t>-To package- bag each roll and insert square end plugs before boxing-  Tape the end caps to prevent separation during handling-- 1 roll per box.
-Use special core label format "DyneTec Core Label"  needs CSM lot number.
-ROLLS TO BE WOUND TIGHT TO PREVENT SLIDING.
-Packing list to indicate number of rolls and parts per roll
See WO for roll count</t>
  </si>
  <si>
    <t>50139 Cost of Goods Sold</t>
  </si>
  <si>
    <t>Die Cut Part CSM Cu/Tin/PET w/ Adh. Laminate 0.75" x 5.883"</t>
  </si>
  <si>
    <t>DIECUTCSM340092001B</t>
  </si>
  <si>
    <t>Die Cut Part - CSM Cu/Tin/PET w/ Adh. Laminate - 0.75" x 5.883"</t>
  </si>
  <si>
    <t>Number Across Run/Finish –  1/1
Where Finished –  Off Press
Length per Roll/Unit – 282'
Core Type –  3" Paper 1/8" Strouse Brown
Core Width – 6"
Core Label – Yes in core and on outside of roll.
Dividers – 
Bag Size – 
Qty. Per Bag – 1 Roll
Box Size –  11 x 11 x 14
Qty. Per Box – 3 M
Weight/box – 
Box Per Pallet – 
Pallet Type – </t>
  </si>
  <si>
    <t>- Bag each roll and insert square end plugs before boxing.
- Tape the end caps to prevent separation during handling.
- Use special core label format "DyneTec Core Label" (In core and on outside of roll).
(Box Labels and Core labels need CSM Lot Number).
- ROLLS TO BE WOUND TIGHT; TO PREVENT SLIDING.
- Packing list to indicate number of rolls and parts per roll.
See WO for roll size</t>
  </si>
  <si>
    <t>Core  –  3" Paper 1/8" Strouse Brown
Width – 6"
Number Across Run/FInish –  1/1
Core Label – Yes in core and on outside of roll.
±10% –  No
Unwind Dir. Run – Parts Out
Unwind Dir. Finish –  Parts Out
Diecut/Continuous/Sheet –  Continuous Die Cut
Partial Case –  Yes
Pieces per roll/Unit – 3,000
Length per roll/unit –  282'
Finish – Off Press
Application – Automatic</t>
  </si>
  <si>
    <t>50140 Cost of Goods Sold</t>
  </si>
  <si>
    <t>Printed Tape 3M 3903, printed Black with "CM" 1" x 50Yd</t>
  </si>
  <si>
    <t>STR3M-3903-CM</t>
  </si>
  <si>
    <t>Printed Tape - 3M 3903, printed Black with "CM" - 1" x 50Yd</t>
  </si>
  <si>
    <t>Number Across Run/Finish –  5/1
Where Finished –  On Press
Length per Roll/Unit – 50 Yd
Core Type –  3" Paper 1/8" Strouse Brown
Core Width – 1"
Core Label – No
Dividers – Paper
Bag Size – 
Qty. Per Bag – 12 Rolls
Box Size –  12 x 12 x 10
Qty. Per Box – 48 Rolls
Weight/box – 
Box Per Pallet – 
Pallet Type – </t>
  </si>
  <si>
    <t>Core  –  3" Paper 1/8" Strouse Brown
Width – 1"
Number Across Run/FInish –  5/1
Core Label – No
±10% –  No
Unwind Dir. Run – 3
Unwind Dir. Finish –  3
Diecut/Continuous/Sheet –  Continuous
Partial Case –  No
Pieces per roll/Unit – 1 Roll
Length per roll/unit –  50 Yd
Finish – On Press
Application – Hand</t>
  </si>
  <si>
    <t>3M 3903 must be refrigerated 24 hours before laminating to liner.  Do not remove from refrigerator until press is set up and ready to run the material.  DO NOT FREEZE THE MATERIAL!
Plates are in flat drawer #4</t>
  </si>
  <si>
    <t>50141 Cost of Goods Sold</t>
  </si>
  <si>
    <t>Sheeted Part Screen Protector 2.16" x 2.88"</t>
  </si>
  <si>
    <t>RPS/CK31/CN50/10PAK</t>
  </si>
  <si>
    <t>Sheeted Part - Screen Protector - 2.16" x 2.88"</t>
  </si>
  <si>
    <t>Number Across Run/Finish –  1/1
Where Finished –  Off Press
Length per Roll/Unit – 2'
Core Type –  N/A
Core Width – 
Core Label – Yes - Bag Labels
Dividers – 
Bag Size – 
Qty. Per Bag – 10, 500 per small box 
Box Size –  
Qty. Per Box – 50 bags 
Weight/box – 
Box Per Pallet – 
Pallet Type – </t>
  </si>
  <si>
    <t>Package 10 parts plus a folded instruction sheet in a bag.  Pack 50 bags into a small box (500 parts).  Then pack 8 small boxes per large carton.  Label each bag, inner small box, and large box with designated label.  See Art Department for Bag Labels.   Small and Large Box Label formats in EasyLabel.
• Verify bar codes on labels scan properly!
• Date on bag labels to be same as date of production
Only one product from this customer is to be actively worked on at a time in any area.  If the need arises to switch, then the first product must be cleared from the work area before proceeding with the next product.  If they must be worked on simultaneously it must be done in separate areas.</t>
  </si>
  <si>
    <t>Core  –  N/A
Width – 
Number Across Run/FInish –  1/1
Core Label – Yes - Bag Labels
±10% –  ask
Unwind Dir. Run – N/A
Unwind Dir. Finish –  
Diecut/Continuous/Sheet –  Die Cut Sheet
Partial Case –  Ask
Pieces per roll/Unit – 10
Length per roll/unit –  2'
Finish – Off Press
Application – </t>
  </si>
  <si>
    <t xml:space="preserve">MUST BE SLIT ON PRESS
Intermec part number 346-069-104
-Visually inspect material before running for creases, wrinkles, debris, and abrasions. If damaged in any way "Stop" and notify quality. </t>
  </si>
  <si>
    <t>50142 Cost of Goods Sold</t>
  </si>
  <si>
    <t>Tape Printed " DO NOT REMOVE UNTIL CUSTOMER DELIVERY" 12mm</t>
  </si>
  <si>
    <t>Tape - Printed " DO NOT REMOVE UNTIL CUSTOMER DELIVERY" - 12mm</t>
  </si>
  <si>
    <t>Number Across Run/Finish –  12/
Where Finished –  On Press
Length per Roll/Unit – 1,000 Yd
Core Type –  3" Paper (1/8" wall)
Core Width – 0.47 mm
Core Label – No
Dividers – 
Bag Size – 
Qty. Per Bag – 
Box Size –  14 x 14 x 10
Qty. Per Box – 
Weight/box – 
Box Per Pallet – 
Pallet Type – </t>
  </si>
  <si>
    <t>Creates CAT# 15322</t>
  </si>
  <si>
    <t>Core  –  3" Paper (1/8" wall)
Width – 0.47 mm
Number Across Run/FInish –  12/
Core Label – No
±10% –  
Unwind Dir. Run – 3
Unwind Dir. Finish –  3
Diecut/Continuous/Sheet –  Continuous
Partial Case –  
Pieces per roll/Unit – 1 Roll
Length per roll/unit –  1,000 Yd
Finish – On Press
Application – </t>
  </si>
  <si>
    <t xml:space="preserve">Do not use Acid plate goes on 65T cylinder.
Plates are in flat drawer #4 by the plate maker
</t>
  </si>
  <si>
    <t>50143 Cost of Goods Sold</t>
  </si>
  <si>
    <t>Tape Feather Edge Crepe Masking 3/4" x 60Yd</t>
  </si>
  <si>
    <t>2364LAM</t>
  </si>
  <si>
    <t>Tape - Feather Edge Crepe Masking - 3/4" x 60Yd</t>
  </si>
  <si>
    <t>Number Across Run/Finish –  4/1
Where Finished –  On Press
Length per Roll/Unit – 60 Yd
Core Type –  3" Paper 1/8" White Brown
Core Width – 0.750"
Core Label – Yes
Dividers – Paper
Bag Size – 
Qty. Per Bag – 10 Rolls
Box Size –  23 x 23 x 3 Cake
Qty. Per Box – 40 Rolls
Weight/box – 
Box Per Pallet – 
Pallet Type – </t>
  </si>
  <si>
    <t>Core  –  3" Paper 1/8" White Brown
Width – 0.750"
Number Across Run/FInish –  4/1
Core Label – Yes
±10% –  No
Unwind Dir. Run – Adh. In
Unwind Dir. Finish –  Adh. In
Diecut/Continuous/Sheet –  Continuous
Partial Case –  Ask
Pieces per roll/Unit – 1 Roll
Length per roll/unit –  60 Yd
Finish – On Press
Application – </t>
  </si>
  <si>
    <t>Please use tape guide marked JJ 5258 for this job located on top cabinet at A2.</t>
  </si>
  <si>
    <t>50144 Cost of Goods Sold</t>
  </si>
  <si>
    <t>Linered Mask Armor Side Window Masking 20.375" x 11.25"</t>
  </si>
  <si>
    <t>2529860</t>
  </si>
  <si>
    <t>Linered Mask - Armor Side Window Masking - 20.375" x 11.25"</t>
  </si>
  <si>
    <t>Number Across Run/Finish –  1/1
Where Finished –  On Press
Length per Roll/Unit – 425'
Core Type –  N/A
Core Width – N/A
Core Label – No
Dividers – 
Bag Size – 
Qty. Per Bag – 
Box Size –  12 x 12 x 10
Qty. Per Box – 250 Each
Weight/box – 
Box Per Pallet – 
Pallet Type – </t>
  </si>
  <si>
    <t>Core  –  N/A
Width – N/A
Number Across Run/FInish –  1/1
Core Label – No
±10% –  Yes
Unwind Dir. Run – N/A
Unwind Dir. Finish –  N/A
Diecut/Continuous/Sheet –  Continuous
Partial Case –  Ask
Pieces per roll/Unit – 250
Length per roll/unit –  425'
Finish – On Press
Application – </t>
  </si>
  <si>
    <t>50145 Cost of Goods Sold</t>
  </si>
  <si>
    <t>Die Cut Part CSM Cu/Al/PET w/ Adh. Laminate 0.375" x 4.048"</t>
  </si>
  <si>
    <t>DIECUTCSM340056001E</t>
  </si>
  <si>
    <t>Die Cut Part - CSM Cu/Al/PET w/ Adh. Laminate - 0.375" x 4.048"</t>
  </si>
  <si>
    <t>Number Across Run/Finish –  1/1
Where Finished –  Off Press
Length per Roll/Unit – 417'
Core Type –  3" Paper 1/8" Strouse Brown
Core Width – 4.6"
Core Label – Yes in core and on outside of roll.
Dividers – 
Bag Size – 
Qty. Per Bag – 1 Roll
Box Size –  12 x 12 x 10
Qty. Per Box – 10 M
Weight/box – 
Box Per Pallet – 
Pallet Type – </t>
  </si>
  <si>
    <t>Core  –  3" Paper 1/8" Strouse Brown
Width – 4.6"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</si>
  <si>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50146 Cost of Goods Sold</t>
  </si>
  <si>
    <t>Die Cut Part CSM Cu/Al/PET w/ Adh. Laminate 0.375" x 4.886"</t>
  </si>
  <si>
    <t>DIECUTCSM340077001B</t>
  </si>
  <si>
    <t>Die Cut Part - CSM Cu/Al/PET w/ Adh. Laminate - 0.375" x 4.886"</t>
  </si>
  <si>
    <t>Number Across Run/Finish –  1/1
Where Finished –  Off Press
Length per Roll/Unit – 417'
Core Type –  3" Paper 1/8" Strouse Brown
Core Width – 5.5"
Core Label – Yes in core and on outside of roll.
Dividers – 
Bag Size – 
Qty. Per Bag – 1 Roll
Box Size –  12 x 12 x 10
Qty. Per Box – 10 M
Weight/box – 
Box Per Pallet – 
Pallet Type – </t>
  </si>
  <si>
    <t>Core  –  3" Paper 1/8" Strouse Brown
Width – 5.5"
Number Across Run/FInish –  1/1
Core Label – Yes in core and on outside of roll.
±10% –  No
Unwind Dir. Run – 5
Unwind Dir. Finish –  Parts Out
Diecut/Continuous/Sheet –  Continuous Die Cut
Partial Case –  Yes
Pieces per roll/Unit – 10,000
Length per roll/unit –  417'
Finish – Off Press
Application – Automatic</t>
  </si>
  <si>
    <t>50147 Cost of Goods Sold</t>
  </si>
  <si>
    <t>Die Cut Part CSM Cu/Al/PET w/ Adh. Laminate 0.375" x 2.042"</t>
  </si>
  <si>
    <t>DIECUTCSM340079001B</t>
  </si>
  <si>
    <t>Die Cut Part - CSM Cu/Al/PET w/ Adh. Laminate - 0.375" x 2.042"</t>
  </si>
  <si>
    <t>Number Across Run/Finish –  1/1
Where Finished –  Off Press
Length per Roll/Unit – 417'
Core Type –  3" Paper 1/8" Strouse Brown
Core Width – 2.5"
Core Label – Yes in core and on outside of roll.
Dividers – 
Bag Size – 
Qty. Per Bag – 1 Roll
Box Size –  12 x 12 x 12
Qty. Per Box – 10 M
Weight/box – 
Box Per Pallet – 
Pallet Type – </t>
  </si>
  <si>
    <t>Core  –  3" Paper 1/8" Strouse Brown
Width – 2.5"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</si>
  <si>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50148 Cost of Goods Sold</t>
  </si>
  <si>
    <t>Die Cut Part CSM Cu/Al/PET w/ Adh. Laminate 0.375" x 1.920"</t>
  </si>
  <si>
    <t>DIECUTCSM340080001B</t>
  </si>
  <si>
    <t>Die Cut Part - CSM Cu/Al/PET w/ Adh. Laminate - 0.375" x 1.920"</t>
  </si>
  <si>
    <t>Number Across Run/Finish –  1/1
Where Finished –  Off Press
Length per Roll/Unit – 417'
Core Type –  3" Paper 1/8" Strouse Brown
Core Width – 2.5"
Core Label – Yes in core and on outside of roll.
Dividers – 
Bag Size – 
Qty. Per Bag – 1 Roll
Box Size –  12 x 12 x 10
Qty. Per Box – 10 M
Weight/box – 
Box Per Pallet – 
Pallet Type – </t>
  </si>
  <si>
    <t>Core  –  3" Paper 1/8" Strouse Brown
Width – 2.5"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</si>
  <si>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50149 Cost of Goods Sold</t>
  </si>
  <si>
    <t>Die Cut Part CSM Cu/Al/PET w/ Adh. Laminate 0.375" x 2.292"</t>
  </si>
  <si>
    <t>DIECUTCSM340082001B</t>
  </si>
  <si>
    <t>Die Cut Part - CSM Cu/Al/PET w/ Adh. Laminate - 0.375" x 2.292"</t>
  </si>
  <si>
    <t>Number Across Run/Finish –  1/1
Where Finished –  Off Press
Length per Roll/Unit – 417'
Core Type –  3" Paper 1/8" Strouse Brown
Core Width – 2.75"
Core Label – Yes in core and on outside of roll.
Dividers – 
Bag Size – 
Qty. Per Bag – 2 Rolls
Box Size –  12 x 12 x 10
Qty. Per Box – 20 M
Weight/box – 
Box Per Pallet – 
Pallet Type – </t>
  </si>
  <si>
    <t>Core  –  3" Paper 1/8" Strouse Brown
Width – 2.75"
Number Across Run/FInish –  1/1
Core Label – Yes in core and on outside of roll.
±10% –  No
Unwind Dir. Run – 5
Unwind Dir. Finish –  Parts Out
Diecut/Continuous/Sheet –  Continuous Die Cut
Partial Case –  Yes
Pieces per roll/Unit – 10,000
Length per roll/unit –  417'
Finish – Off Press
Application – </t>
  </si>
  <si>
    <t>50150 Cost of Goods Sold</t>
  </si>
  <si>
    <t>Die Cut Part CSM Cu/Al/PET w/ Adh. Laminate 0.75" x 7.721"</t>
  </si>
  <si>
    <t>DIECUTCSM340090001B</t>
  </si>
  <si>
    <t>Die Cut Part - CSM Cu/Al/PET w/ Adh. Laminate - 0.75" x 7.721"</t>
  </si>
  <si>
    <t>Number Across Run/Finish –  1/1
Where Finished –  Off Press
Length per Roll/Unit – 350'
Core Type –  3" Paper 1/8" Strouse Brown
Core Width – 6"
Core Label – Yes in core and on outside of roll.
Dividers – 
Bag Size – 
Qty. Per Bag – 1 Roll
Box Size –  12 x 12 x 10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</si>
  <si>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350'
Finish – Off Press
Application – </t>
  </si>
  <si>
    <t>50151 Cost of Goods Sold</t>
  </si>
  <si>
    <t>Die Cut Part CSM Cu/Al/PET w/ Adh. Laminate 0.75" x 8.791"</t>
  </si>
  <si>
    <t>DIECUTCSM340091001B</t>
  </si>
  <si>
    <t>Die Cut Part - CSM Cu/Al/PET w/ Adh. Laminate - 0.75" x 8.791"</t>
  </si>
  <si>
    <t>Number Across Run/Finish –  1/1
Where Finished –  Off Press
Length per Roll/Unit – 438'
Core Type –  3" Paper 1/8" Strouse Brown
Core Width – 6"
Core Label – Yes in core and on outside of roll.
Dividers – 
Bag Size – 
Qty. Per Bag – 1 Roll
Box Size –  19-1/2 X 19-1/2 X 4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</si>
  <si>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438'
Finish – Off Press
Application – </t>
  </si>
  <si>
    <t>50152 Cost of Goods Sold</t>
  </si>
  <si>
    <t>Die Cut Part 44X Side Window Mask 19.375" x 13.500"</t>
  </si>
  <si>
    <t>SAP2520944</t>
  </si>
  <si>
    <t>Die Cut Part - 44X Side Window Mask - 19.375" x 13.500"</t>
  </si>
  <si>
    <t>Number Across Run/Finish –  1/1
Where Finished –  On Press
Length per Roll/Unit – 323'
Core Type –  N/A
Core Width – N/A
Core Label – No
Dividers – 
Bag Size – 
Qty. Per Bag – 
Box Size –  11 x 11 x 14
Qty. Per Box – 200 Each
Weight/box – 19
Box Per Pallet – 
Pallet Type – </t>
  </si>
  <si>
    <t>MAKE SURE PARTS ARE PACKED IN MANNER TO AVOID DAMAGE DURING SHIPPING. NOTE: WEIGH FIRST CARTON, IF OVER 35#'S WILL HAVE TO ADJUST BOX QUANTITY.  USE AIR PILLOWS TO PREVENT PARTS FROM SHIFTING.</t>
  </si>
  <si>
    <t>Core  –  N/A
Width – N/A
Number Across Run/FInish –  1/1
Core Label – No
±10% –  yes
Unwind Dir. Run – N/A
Unwind Dir. Finish –  N/A
Diecut/Continuous/Sheet –  Sheet
Partial Case –  Yes
Pieces per roll/Unit – 200
Length per roll/unit –  323'
Finish – On Press
Application – </t>
  </si>
  <si>
    <t>50153 Cost of Goods Sold</t>
  </si>
  <si>
    <t>Printed Tape White Vinyl Tape Printed "INTERNAL FMED INSTALLED" 2" X 50Yd</t>
  </si>
  <si>
    <t>3M3903-FMED</t>
  </si>
  <si>
    <t>Printed Tape - White Vinyl Tape Printed "INTERNAL FMED INSTALLED" - 2" X 50Yd</t>
  </si>
  <si>
    <t>Number Across Run/Finish –  2/1
Where Finished –  On Press
Length per Roll/Unit – 50 Yd
Core Type –  3" Paper (1/8" wall)
Core Width – 2.0"
Core Label – Yes
Dividers – Paper
Bag Size – 
Qty. Per Bag – 6 Rolls
Box Size –  14 x 14 x 14
Qty. Per Box – 24 Rolls
Weight/box – 
Box Per Pallet – 
Pallet Type – </t>
  </si>
  <si>
    <t>Put end user PO#( Ship to Specs) on the box and core labels.</t>
  </si>
  <si>
    <t>Core  –  3" Paper (1/8" wall)
Width – 2.0"
Number Across Run/FInish –  2/1
Core Label – Yes
±10% –  No
Unwind Dir. Run – 1
Unwind Dir. Finish –  1
Diecut/Continuous/Sheet –  Continuous
Partial Case –  No
Pieces per roll/Unit – 1 Roll
Length per roll/unit –  50 Yd
Finish – On Press
Application – </t>
  </si>
  <si>
    <t>** If no Warm Red is available the color needed can be achieved using 14 parts Yellow to 2 parts 199 Red.
-3M 3903 must be refrigerated 24 hours before laminating to liner.  Do not remove from refrigerator until press is set up and ready to run the material.  DO NOT FREEZE THE MATERIAL!</t>
  </si>
  <si>
    <t>50154 Cost of Goods Sold</t>
  </si>
  <si>
    <t>Perforated Roll 1/8" thick Black PE Foam Perforated Every 7" 1" x 100'</t>
  </si>
  <si>
    <t>10487275</t>
  </si>
  <si>
    <t>Perforated Roll - 1/8" thick Black PE Foam Perforated Every 7" - 1" x 100'</t>
  </si>
  <si>
    <t>Number Across Run/Finish –  6/1
Where Finished –  On Press
Length per Roll/Unit – 100'
Core Type –  3" Paper 1/8" White Brown
Core Width – 1.0"
Core Label – Yes
Dividers – 
Bag Size – 
Qty. Per Bag – 
Box Size –  11 x 11 x 8
Qty. Per Box – 12 Rolls
Weight/box – 
Box Per Pallet – 
Pallet Type – </t>
  </si>
  <si>
    <t>Core  –  3" Paper 1/8" White Brown
Width – 1.0"
Number Across Run/FInish –  6/1
Core Label – Yes
±10% –  yes
Unwind Dir. Run – Foam Out
Unwind Dir. Finish –  Foam Out
Diecut/Continuous/Sheet –  Continuous
Partial Case –  Yes
Pieces per roll/Unit – 1 Roll
Length per roll/unit –  100'
Finish – On Press
Application – </t>
  </si>
  <si>
    <t>50155 Cost of Goods Sold</t>
  </si>
  <si>
    <t>Tape 3M 2693 Masking 5mm x 55m</t>
  </si>
  <si>
    <t>10857903</t>
  </si>
  <si>
    <t>Tape - 3M 2693 Masking - 5mm x 55m</t>
  </si>
  <si>
    <t>Number Across Run/Finish –  284/1
Where Finished –  On Press
Length per Roll/Unit – 180'
Core Type –  3" Plastic 0.10" HDPE
Core Width – 0.197"
Core Label – No
Dividers – Paper
Bag Size – 
Qty. Per Bag – 36 Rolls
Box Size –  8 x 8 x 8
Qty. Per Box – 144 Rolls
Weight/box – 
Box Per Pallet – 
Pallet Type – </t>
  </si>
  <si>
    <t>Must ship Full Cases Only, they can not accept partial cases!!</t>
  </si>
  <si>
    <t>Core  –  3" Plastic 0.10" HDPE
Width – 0.197"
Number Across Run/FInish –  284/1
Core Label – No
±10% –  no
Unwind Dir. Run – Adh. In
Unwind Dir. Finish –  Adh. In
Diecut/Continuous/Sheet –  Continuous
Partial Case –  No
Pieces per roll/Unit – 1 Roll
Length per roll/unit –  180'
Finish – On Press
Application – </t>
  </si>
  <si>
    <t>50156 Cost of Goods Sold</t>
  </si>
  <si>
    <t>Sheeted Part ST-1116 on Extended Liner w/ printed backing ST-11161122 0.625" x 3.125"</t>
  </si>
  <si>
    <t>1094911-952</t>
  </si>
  <si>
    <t>Sheeted Part - ST-1116 on Extended Liner w/ printed backing ST-11161122 - 0.625" x 3.125"</t>
  </si>
  <si>
    <t>Number Across Run/Finish –  1/1
Where Finished –  On Press
Length per Roll/Unit – 52'
Core Type –  N/A
Core Width – N/A
Core Label – No
Dividers – 
Bag Size – 
Qty. Per Bag – 200 Each
Box Size –  8 x 8 x 8
Qty. Per Box – 400 Each
Weight/box – 
Box Per Pallet – 
Pallet Type – </t>
  </si>
  <si>
    <t>QC: REFER TO THE "SUPPLIER QUALITY REQUIREMENT" DOCUMENT IN THE JJ FOR C of C REQUIREMENTS.
Packing slips and box labels must have: Strouse and Plexus Part #'s, EC level or Revision (if applicable), W/O #('s), PO #, and Quantity.
*The product &amp; packaging shall contain no physical damage, and must be appropriately handled.</t>
  </si>
  <si>
    <t>Core  –  N/A
Width – N/A
Number Across Run/FInish –  1/1
Core Label – No
±10% –  Yes
Unwind Dir. Run – N/A
Unwind Dir. Finish –  N/A
Diecut/Continuous/Sheet –  Die Cut Sheet
Partial Case –  Yes
Pieces per roll/Unit – 200
Length per roll/unit –  52'
Finish – On Press
Application – </t>
  </si>
  <si>
    <t>50157 Cost of Goods Sold</t>
  </si>
  <si>
    <t>Die Cut Part Checkerboard Tamper Labels 0.75" x 3.0"</t>
  </si>
  <si>
    <t>Checkerboard</t>
  </si>
  <si>
    <t>Die Cut Part - Checkerboard Tamper Labels - 0.75" x 3.0"</t>
  </si>
  <si>
    <t>Number Across Run/Finish –  1/1
Where Finished –  On Press
Length per Roll/Unit – 73'
Core Type –  3" Paper 1/8" White Brown
Core Width – 3.5"
Core Label – Yes
Dividers – 
Bag Size – 
Qty. Per Bag – 4 Roll
Box Size –  8 x 8 x 8
Qty. Per Box – 4 M
Weight/box – 
Box Per Pallet – 
Pallet Type – </t>
  </si>
  <si>
    <t>Core  –  3" Paper 1/8" White Brown
Width – 3.5"
Number Across Run/FInish –  1/1
Core Label – Yes
±10% –  Yes
Unwind Dir. Run – Parts Out
Unwind Dir. Finish –  Parts Out
Diecut/Continuous/Sheet –  Continuous Die Cut
Partial Case –  Yes
Pieces per roll/Unit – 1,000
Length per roll/unit –  73'
Finish – On Press
Application – </t>
  </si>
  <si>
    <t>50158 Cost of Goods Sold</t>
  </si>
  <si>
    <t>Tape Butt cut Silver splice 19mm x 19mm x 72Yd</t>
  </si>
  <si>
    <t>SPLICING</t>
  </si>
  <si>
    <t>Tape - Butt cut Silver splice - 19mm x 19mm x 72Yd</t>
  </si>
  <si>
    <t>Number Across Run/Finish –  8/1
Where Finished –  On Press
Length per Roll/Unit – 216'
Core Type –  3" Paper (1/8" wall)
Core Width – 0.748"
Core Label – Yes
Dividers – 
Bag Size – 
Qty. Per Bag – 1 Roll
Box Size –  12 x 12 x 12
Qty. Per Box – 8 Rolls
Weight/box – 
Box Per Pallet – 
Pallet Type – </t>
  </si>
  <si>
    <t>Core  –  3" Paper (1/8" wall)
Width – 0.748"
Number Across Run/FInish –  8/1
Core Label – Yes
±10% –  Yes
Unwind Dir. Run – Parts Out
Unwind Dir. Finish –  Parts Out
Diecut/Continuous/Sheet –  Continuous Die Cut
Partial Case –  Yes
Pieces per roll/Unit – 1 Roll
Length per roll/unit –  216'
Finish – On Press
Application – </t>
  </si>
  <si>
    <t>50159 Cost of Goods Sold</t>
  </si>
  <si>
    <t>Tape 375 Clear 48mm X 50m</t>
  </si>
  <si>
    <t>1011303400</t>
  </si>
  <si>
    <t>Tape - 375 Clear - 48mm X 50m</t>
  </si>
  <si>
    <t>Number Across Run/Finish –  1/
Where Finished –  
Length per Roll/Unit – 50 m
Core Type –  As Recd.
Core Width – 48 mm
Core Label – No
Dividers – 
Bag Size – 
Qty. Per Bag – 9 Rolls
Box Size –  14 x 14 x 10
Qty. Per Box – 36 Rolls
Weight/box – 
Box Per Pallet – 
Pallet Type – </t>
  </si>
  <si>
    <t>Core  –  As Recd.
Width – 48 mm
Number Across Run/FInish –  1/
Core Label – No
±10% –  Yes
Unwind Dir. Run – 
Unwind Dir. Finish –  
Diecut/Continuous/Sheet –  Continuous
Partial Case –  Yes
Pieces per roll/Unit – 1 Roll
Length per roll/unit –  50 m
Finish – 
Application – </t>
  </si>
  <si>
    <t>Old quotes say "3710", should be 375. Historically what we have been using. TF 4/18/2018</t>
  </si>
  <si>
    <t>50160 Cost of Goods Sold</t>
  </si>
  <si>
    <t>Die Cut Part Tail Light Mask 6.75" x 5.34"</t>
  </si>
  <si>
    <t>2519343</t>
  </si>
  <si>
    <t>Die Cut Part - Tail Light Mask - 6.75" x 5.34"</t>
  </si>
  <si>
    <t>Number Across Run/Finish –  1/1
Where Finished –  Off Press
Length per Roll/Unit – 287'
Core Type –  N/A
Core Width – N/A
Core Label – No
Dividers – 
Bag Size – 
Qty. Per Bag – 500 Each
Box Size –  special
Qty. Per Box – 3 M
Weight/box – 
Box Per Pallet – 
Pallet Type – </t>
  </si>
  <si>
    <t>287 ft per 500 parts</t>
  </si>
  <si>
    <t>Core  –  N/A
Width – N/A
Number Across Run/FInish –  1/1
Core Label – No
±10% –  Yes
Unwind Dir. Run – N/A
Unwind Dir. Finish –  N/A
Diecut/Continuous/Sheet –  Die Cut Sheet
Partial Case –  Yes
Pieces per roll/Unit – 500
Length per roll/unit –  287'
Finish – Off Press
Application – </t>
  </si>
  <si>
    <t>50161 Cost of Goods Sold</t>
  </si>
  <si>
    <t>Die Cut Part Membrane, Carrier Sample Well 0.750" x 4.492" plus Tab</t>
  </si>
  <si>
    <t>5473</t>
  </si>
  <si>
    <t>Die Cut Part - Membrane, Carrier Sample Well - 0.750" x 4.492" plus Tab</t>
  </si>
  <si>
    <t>Number Across Run/Finish –  1/1
Where Finished –  Off Press
Length per Roll/Unit – 183'
Core Type –  N/A
Core Width – N/A
Core Label – Yes - Bag Labels
Dividers – 
Bag Size – 
Qty. Per Bag – 100 Each
Box Size –  14 x 14 x 10
Qty. Per Box – See note 
Weight/box – 
Box Per Pallet – 
Pallet Type – </t>
  </si>
  <si>
    <t>Package 100 parts per bag; making sure that all parts are oriented the same.
- PLACE (25) 100-PACKS IN A 6 x 6 x 6 BOX = (2.5 M parts)
- PLACE (8) OF THE 6 x 6 x 6 BOXES INTO A 13 x 13 x 13 BOX = (20 M parts)</t>
  </si>
  <si>
    <t>Core  –  N/A
Width – N/A
Number Across Run/FInish –  1/1
Core Label – Yes - Bag Labels
±10% –  No
Unwind Dir. Run – 
Unwind Dir. Finish –  N/A
Diecut/Continuous/Sheet –  Die Cut Sheet
Partial Case –  Yes
Pieces per roll/Unit – 2,500
Length per roll/unit –  183'
Finish – Off Press
Application – </t>
  </si>
  <si>
    <t xml:space="preserve"> USE JJ # for Product ID #.
Package 100 parts per bag, making sure that all parts are oriented the same.
PLACE 25 PACKS IN A 6 x 6 x 6 BOX
PLACE 8 OF THE 6 x 6 x 6 BOXES INTO A 13 x 13 x13</t>
  </si>
  <si>
    <t>50162 Cost of Goods Sold</t>
  </si>
  <si>
    <t>Tape 3M 2393 10" x 60Yd</t>
  </si>
  <si>
    <t>2393</t>
  </si>
  <si>
    <t>Tape - 3M 2393 - 10" x 60Yd</t>
  </si>
  <si>
    <t>Number Across Run/Finish –  5/1
Where Finished –  On Press
Length per Roll/Unit – 60 Yd
Core Type –  3" Paper 0.180" Brown Brown
Core Width – 10.000"
Core Label – Yes
Dividers – Paper
Bag Size – 
Qty. Per Bag – 1 Roll
Box Size –  16 1/2 x 8 1/2 x 13
Qty. Per Box – 5 Rolls
Weight/box – 
Box Per Pallet – 
Pallet Type – </t>
  </si>
  <si>
    <t>Core  –  3" Paper 0.180" Brown Brown
Width – 10.000"
Number Across Run/FInish –  5/1
Core Label – Yes
±10% –  Yes
Unwind Dir. Run – Adh. In
Unwind Dir. Finish –  Adh. In
Diecut/Continuous/Sheet –  Continuous
Partial Case –  Yes
Pieces per roll/Unit – 1 Roll
Length per roll/unit –  60 Yd
Finish – On Press
Application – </t>
  </si>
  <si>
    <t>50163 Cost of Goods Sold</t>
  </si>
  <si>
    <t>Die Cut Part CSM Cu/Tin/PET w/ Adh. Laminate 0.375" x 2.422"</t>
  </si>
  <si>
    <t>DIECUTCSM340076001B</t>
  </si>
  <si>
    <t>Die Cut Part - CSM Cu/Tin/PET w/ Adh. Laminate - 0.375" x 2.422"</t>
  </si>
  <si>
    <t>Number Across Run/Finish –  1/1
Where Finished –  Off Press
Length per Roll/Unit – 417'
Core Type –  3" Paper 1/8" Strouse Brown
Core Width – 2.75"
Core Label – Yes in core and on outside of roll.
Dividers – 
Bag Size – 
Qty. Per Bag – 1 Roll
Box Size –  16 1/2 x 8 1/2 x 13
Qty. Per Box – 10 M
Weight/box – 
Box Per Pallet – 
Pallet Type – </t>
  </si>
  <si>
    <t>50164 Cost of Goods Sold</t>
  </si>
  <si>
    <t>Die Cut Part CSM Cu/Tin/PET w/ Adh. Laminate 0.75" x 6.299"</t>
  </si>
  <si>
    <t>DIECUTCSM340093001B</t>
  </si>
  <si>
    <t>Die Cut Part - CSM Cu/Tin/PET w/ Adh. Laminate - 0.75" x 6.299"</t>
  </si>
  <si>
    <t>Number Across Run/Finish –  1/1
Where Finished –  Off Press
Length per Roll/Unit – 313'
Core Type –  3" Paper 1/8" Strouse Brown
Core Width – 6"
Core Label – Yes in core and on outside of roll.
Dividers – 
Bag Size – 
Qty. Per Bag – 1 Roll
Box Size –  12 x 12 x 10
Qty. Per Box – 3 M
Weight/box – 
Box Per Pallet – 
Pallet Type – </t>
  </si>
  <si>
    <t>Core  –  3" Paper 1/8" Strouse Brown
Width – 6"
Number Across Run/FInish –  1/1
Core Label – Yes in core and on outside of roll.
±10% –  No
Unwind Dir. Run – 5
Unwind Dir. Finish –  Parts Out
Diecut/Continuous/Sheet –  Continuous Die Cut
Partial Case –  Yes
Pieces per roll/Unit – 3,000
Length per roll/unit –  313'
Finish – Off Press
Application – </t>
  </si>
  <si>
    <t>Rewind rolls parts out. ROLLS NEED TO BE WOUND TIGHT TO PREVENT SLIDING.
6 - 8" Completed sample with WO, P/N, &amp; Lot # to be given to Customer Service for each lot used.</t>
  </si>
  <si>
    <t>50165 Cost of Goods Sold</t>
  </si>
  <si>
    <t>Die Cut Part CSM Cu/Al/PET w/ Adh. Laminate 0.375" x 3.873"</t>
  </si>
  <si>
    <t>DIECUTCSM340055001E</t>
  </si>
  <si>
    <t>Die Cut Part - CSM Cu/Al/PET w/ Adh. Laminate - 0.375" x 3.873"</t>
  </si>
  <si>
    <t>50166 Cost of Goods Sold</t>
  </si>
  <si>
    <t>Die Cut Part CSM Cu/Al/PET w/ Adh. Laminate 0.375" x 5.362"</t>
  </si>
  <si>
    <t>DIECUTCSM340081001B</t>
  </si>
  <si>
    <t>Die Cut Part - CSM Cu/Al/PET w/ Adh. Laminate - 0.375" x 5.362"</t>
  </si>
  <si>
    <t>Number Across Run/Finish –  1/1
Where Finished –  Off Press
Length per Roll/Unit – 125'
Core Type –  3" Paper 1/8" Strouse Brown
Core Width – 5.75"
Core Label – Yes in core and on outside of roll.
Dividers – 
Bag Size – 
Qty. Per Bag – 1 Roll
Box Size –  12 x 12 x 12
Qty. Per Box – 3 M
Weight/box – 
Box Per Pallet – 
Pallet Type – </t>
  </si>
  <si>
    <t>Core  –  3" Paper 1/8" Strouse Brown
Width – 5.75"
Number Across Run/FInish –  1/1
Core Label – Yes in core and on outside of roll.
±10% –  No
Unwind Dir. Run – 5
Unwind Dir. Finish –  Parts Out
Diecut/Continuous/Sheet –  Continuous Die Cut
Partial Case –  Yes
Pieces per roll/Unit – 3,000
Length per roll/unit –  125'
Finish – Off Press
Application – </t>
  </si>
  <si>
    <t>50167 Cost of Goods Sold</t>
  </si>
  <si>
    <t>Slit Rolls Masking Tape, Fine Line, Hi-Temp 0.75" x 36Yd</t>
  </si>
  <si>
    <t>1010824944</t>
  </si>
  <si>
    <t>Slit Rolls - Masking Tape, Fine Line, Hi-Temp - 0.75" x 36Yd</t>
  </si>
  <si>
    <t>Number Across Run/Finish –  1/1
Where Finished –  On Press
Length per Roll/Unit – 36 Yd
Core Type –  As Recd.
Core Width – 0.75"
Core Label – Yes
Dividers – Paper
Bag Size – 
Qty. Per Bag – 12 Rolls
Box Size –  10 x 10 x 10
Qty. Per Box – 48 Rolls
Weight/box – 
Box Per Pallet – 
Pallet Type – </t>
  </si>
  <si>
    <t>BOXED ITEM</t>
  </si>
  <si>
    <t>Core  –  As Recd.
Width – 0.75"
Number Across Run/FInish –  1/1
Core Label – Yes
±10% –  NO
Unwind Dir. Run – Adh. In
Unwind Dir. Finish –  Adh. In
Diecut/Continuous/Sheet –  Continuous
Partial Case –  Ask
Pieces per roll/Unit – 1 Roll
Length per roll/unit –  36 Yd
Finish – On Press
Application – </t>
  </si>
  <si>
    <t>50168 Cost of Goods Sold</t>
  </si>
  <si>
    <t>Die Cut Part Rectangle w/ Tab VHB Tape 0.5" x 3.75" w/ 0.25" tab</t>
  </si>
  <si>
    <t>BTT-01 Rev. 2</t>
  </si>
  <si>
    <t>Die Cut Part - Rectangle w/ Tab VHB Tape - 0.5" x 3.75" w/ 0.25" tab</t>
  </si>
  <si>
    <t>Number Across Run/Finish –  1/1
Where Finished –  On Press
Length per Roll/Unit – 42'
Core Type –  3" Paper 1/8" Strouse Brown
Core Width – 5"
Core Label – Yes
Dividers – 
Bag Size – 
Qty. Per Bag – 1 Roll
Box Size –  Custom-medium
Qty. Per Box – 1 M
Weight/box – 
Box Per Pallet – 
Pallet Type – </t>
  </si>
  <si>
    <t>Flag problem rolls for offline review as necessary</t>
  </si>
  <si>
    <t>Core  –  3" Paper 1/8" Strouse Brown
Width – 5"
Number Across Run/FInish –  1/1
Core Label – Yes
±10% –  ask
Unwind Dir. Run – Parts Out
Unwind Dir. Finish –  Parts Out
Diecut/Continuous/Sheet –  Continuous Die Cut
Partial Case –  Ask
Pieces per roll/Unit – 1,000
Length per roll/unit –  42'
Finish – On Press
Application – </t>
  </si>
  <si>
    <t>This job will not run on A3 due to the need for a 10" underscore. MS
Please take updated pics the next time this job runs then notify engineering. SR
Use Ceve roller if necessary to prevent parts staying in die</t>
  </si>
  <si>
    <t>50169 Cost of Goods Sold</t>
  </si>
  <si>
    <t>Fabricated Part UHMW with 3M VHB 42" x 0.875" with 0.125" corners</t>
  </si>
  <si>
    <t>807A-2</t>
  </si>
  <si>
    <t>Fabricated Part - UHMW with 3M VHB - 42" x 0.875" with 0.125" corners</t>
  </si>
  <si>
    <t>Number Across Run/Finish –  7/1
Where Finished –  On Press
Length per Roll/Unit – 1 Sheets
Core Type –  N/A
Core Width – N/A
Core Label – No
Dividers – 
Bag Size – 
Qty. Per Bag – 50 
Box Size –  12 x 12 x 12
Qty. Per Box – 50 
Weight/box – 
Box Per Pallet – 
Pallet Type – </t>
  </si>
  <si>
    <t>Core  –  N/A
Width – N/A
Number Across Run/FInish –  7/1
Core Label – No
±10% –  Ask
Unwind Dir. Run – N/A
Unwind Dir. Finish –  N/A
Diecut/Continuous/Sheet –  Sheet
Partial Case –  Ask
Pieces per roll/Unit – 1 Roll
Length per roll/unit –  1 Sheets
Finish – On Press
Application – </t>
  </si>
  <si>
    <t>50170 Cost of Goods Sold</t>
  </si>
  <si>
    <t xml:space="preserve">Paint Adhesion Tape ST-1195 on printed cores 1" x 60Yd
</t>
  </si>
  <si>
    <t>ST-1195-PRCR</t>
  </si>
  <si>
    <t xml:space="preserve">Paint Adhesion Tape - ST-1195 on printed cores - 1" x 60Yd
</t>
  </si>
  <si>
    <t>Number Across Run/Finish –  5/1
Where Finished –  Off Press
Length per Roll/Unit – 60 Yd
Core Type –  3" Paper 1/8" Custom White
Core Width – 1"
Core Label – No
Dividers – Paper
Bag Size – 
Qty. Per Bag – 10 Rolls
Box Size –  12 x 12 x 12
Qty. Per Box – 40 Rolls
Weight/box – 
Box Per Pallet – 
Pallet Type – </t>
  </si>
  <si>
    <t>Job requires printed cores with customer supplied graphic. See JJ5579</t>
  </si>
  <si>
    <t>Core  –  3" Paper 1/8" Custom White
Width – 1"
Number Across Run/FInish –  5/1
Core Label – No
±10% –  Yes
Unwind Dir. Run – Adh. In
Unwind Dir. Finish –  
Diecut/Continuous/Sheet –  Continuous
Partial Case –  Yes
Pieces per roll/Unit – 1 Roll
Length per roll/unit –  60 Yd
Finish – Off Press
Application – </t>
  </si>
  <si>
    <t>Job requires printed cores with customer supplied graphic, see JJ5579.
Please assure the blades are sharp and mounted perpendicular to the web.  This process must be run at higher speeds to prevent build up of adhesive on the blades and subsequent contamination of the finished rolls</t>
  </si>
  <si>
    <t>50171 Cost of Goods Sold</t>
  </si>
  <si>
    <t>Paint Adhesion Tape ST-1195 on plain cores 1" x 60Yd</t>
  </si>
  <si>
    <t>ST-1195-PL</t>
  </si>
  <si>
    <t>Paint Adhesion Tape - ST-1195 on plain cores - 1" x 60Yd</t>
  </si>
  <si>
    <t>Number Across Run/Finish –  5/1
Where Finished –  On Press
Length per Roll/Unit – 60 Yd
Core Type –  3" Paper 1/8" White Brown
Core Width – 1"
Core Label – No
Dividers – Paper
Bag Size – 
Qty. Per Bag – 10 Rolls
Box Size –  10 x 10 x 10
Qty. Per Box – 40 Rolls
Weight/box – 
Box Per Pallet – 
Pallet Type – </t>
  </si>
  <si>
    <t>Core  –  3" Paper 1/8" White Brown
Width – 1"
Number Across Run/FInish –  5/1
Core Label – No
±10% –  Yes
Unwind Dir. Run – Adh. In
Unwind Dir. Finish –  Adh. In
Diecut/Continuous/Sheet –  Continuous
Partial Case –  Yes
Pieces per roll/Unit – 1 Roll
Length per roll/unit –  60 Yd
Finish – On Press
Application – </t>
  </si>
  <si>
    <t>50172 Cost of Goods Sold</t>
  </si>
  <si>
    <t>Core Liner Orange (pantone 021) with Elcometer company logo 5500' x 3-15/16"</t>
  </si>
  <si>
    <t>5579</t>
  </si>
  <si>
    <t>Core Liner - Orange (pantone 021) with Elcometer company logo - 5500' x 3-15/16"</t>
  </si>
  <si>
    <t>Number Across Run/Finish –  2/1
Where Finished –  On Press
Length per Roll/Unit – 5,500'
Core Type –  3" Paper 1/8" Strouse Brown
Core Width – 3.9375"
Core Label – 
Dividers – 
Bag Size – 
Qty. Per Bag – 2 
Box Size –  14 x 14 x 8
Qty. Per Box – 2 
Weight/box – 
Box Per Pallet – 
Pallet Type – </t>
  </si>
  <si>
    <t>Note length of finished rolls,  Please.
Pack rolls on a skid to ship to Yazoo Mills</t>
  </si>
  <si>
    <t>Core  –  3" Paper 1/8" Strouse Brown
Width – 3.9375"
Number Across Run/FInish –  2/1
Core Label – 
±10% –  Yes
Unwind Dir. Run – N/A
Unwind Dir. Finish –  N/A
Diecut/Continuous/Sheet –  Continuous
Partial Case –  Yes
Pieces per roll/Unit – 1 Roll
Length per roll/unit –  5,500'
Finish – On Press
Application – </t>
  </si>
  <si>
    <t>This job jacket is for the printed cores used for JJ5575 and 5576.
Plates are in flat drawer #4 by the plate maker
Splice paper with brown flatback papertape OR masking tape. No film tape. can use 3M 2515, 2517, Intertape 539 or other similar tape.</t>
  </si>
  <si>
    <t>50173 Cost of Goods Sold</t>
  </si>
  <si>
    <t>Slit Rolls White PP Film, 3 mil 19mm x 3,200'</t>
  </si>
  <si>
    <t>Slit Rolls - White PP Film, 3 mil - 19mm x 3,200'</t>
  </si>
  <si>
    <t>Number Across Run/Finish –  16/1
Where Finished –  On Press
Length per Roll/Unit – 3,200'
Core Type –  6" Plastic 0.135" ABS
Core Width – 19 mm
Core Label – Yes
Dividers – 
Bag Size – 
Qty. Per Bag – 10  Rolls
Box Size –  9 x 9 x 13
Qty. Per Box – 10 Rolls
Weight/box – 
Box Per Pallet – 
Pallet Type – </t>
  </si>
  <si>
    <t>Corona treatment to be wound out on input rolls and on finished rolls.  *When testing for the treated side; the side that holds the dye the longest is the Corona treated side.
• Material needs to be white.  If it's translucent/clear; See QA.
• Must use hard rigid plastic cores, to prevent cores from crushing.
• SPLICES ARE NOT ALLOWED IN FINISHED ROLLS.
Max OD of 14"</t>
  </si>
  <si>
    <t>Core  –  6" Plastic 0.135" ABS
Width – 19 mm
Number Across Run/FInish –  16/1
Core Label – Yes
±10% –  Yes
Unwind Dir. Run – Treat Out
Unwind Dir. Finish –  Treat Out
Diecut/Continuous/Sheet –  Continuous
Partial Case –  Yes
Pieces per roll/Unit – 1 Roll
Length per roll/unit –  3,200'
Finish – On Press
Application – </t>
  </si>
  <si>
    <t>Corona treatment to be wound out on input rolls and on finished rolls. Must use hard rigid plastic cores to prevent cores from crushing.</t>
  </si>
  <si>
    <t>50174 Cost of Goods Sold</t>
  </si>
  <si>
    <t>Die Cut Part SG 51825C Mask with Tab 1.45" x 1.25"</t>
  </si>
  <si>
    <t>C01227</t>
  </si>
  <si>
    <t>Die Cut Part - SG 51825C Mask with Tab - 1.45" x 1.25"</t>
  </si>
  <si>
    <t>Number Across Run/Finish –  1/1
Where Finished –  On Press
Length per Roll/Unit – 365'
Core Type –  3" Paper 1/8" Strouse Brown
Core Width – 2.500"
Core Label – Yes
Dividers – 
Bag Size – 
Qty. Per Bag – 4 Rolls
Box Size –  11 x 11 x 8
Qty. Per Box – 10 M
Weight/box – 
Box Per Pallet – 
Pallet Type – </t>
  </si>
  <si>
    <t>Scan or email copy of Strouse CoC to CSR (Kesha)</t>
  </si>
  <si>
    <t>Core  –  3" Paper 1/8" Strouse Brown
Width – 2.500"
Number Across Run/FInish –  1/1
Core Label – Yes
±10% –  Yes
Unwind Dir. Run – Parts Out
Unwind Dir. Finish –  Parts Out
Diecut/Continuous/Sheet –  Continuous Die Cut
Partial Case –  Ask
Pieces per roll/Unit – 2,500
Length per roll/unit –  365'
Finish – On Press
Application – </t>
  </si>
  <si>
    <t>50175 Cost of Goods Sold</t>
  </si>
  <si>
    <t>Fabricated Part CSM FEP 200A, 2 mil Teflon perfed at 12-1/2" # D11510344 6" x 500'</t>
  </si>
  <si>
    <t>MM206015003</t>
  </si>
  <si>
    <t>Ft</t>
  </si>
  <si>
    <t>Fabricated Part - CSM FEP 200A, 2 mil Teflon perfed at 12-1/2" # D11510344 - 6" x 500'</t>
  </si>
  <si>
    <t>Number Across Run/Finish –  1/1
Where Finished –  On Press
Length per Roll/Unit – 500'
Core Type –  3" Plastic 0.10" HDPE
Core Width – 6.0"
Core Label – Special - 5599 core big
Dividers – 
Bag Size – 
Qty. Per Bag – 1 Roll
Box Size –  14 x 14 x 10
Qty. Per Box – 3 Rolls
Weight/box – 
Box Per Pallet – 
Pallet Type – </t>
  </si>
  <si>
    <t>If shipping 50 M/Ft or over, put on TWO PALLETS MINIMUM.
Ship in sturdy carton to prevent damage.   C of C required.
Each Roll to be individually labeled inside the core, and on the outside of each bag with:
Item #: MM206015043     PO #: to be provided     See Core Label format "5599 core big"
Actual footage for roll.  Prod. Desc.: 2 mil FEP.  Label each roll with Atlantic PO # as "Lot" number (may be separate label).  Each Roll to be individually bagged, open end of each bag to be pushed down into the core and a end cap placed in both ends.  Each bagged roll to then be placed in a bubble bag.  Mark Packing Slip with PO # and correct total footage shipped.
If there are defective rolls; these are NOT to be trashed, advise MM or CSR what is defective about the roll(s), how much and put someplace that is not in the trash can, this is CSM and Dupont credits Atlantic for bad material.
Use End User P/N</t>
  </si>
  <si>
    <t>Core  –  3" Plastic 0.10" HDPE
Width – 6.0"
Number Across Run/FInish –  1/1
Core Label – Special - 5599 core big
±10% –  ask
Unwind Dir. Run – N/A
Unwind Dir. Finish –  N/A
Diecut/Continuous/Sheet –  Continuous
Partial Case –  Ask
Pieces per roll/Unit – 1 Roll
Length per roll/unit –  500'
Finish – On Press
Application – </t>
  </si>
  <si>
    <t>Must run on 10" press only - Per MS.  Use gloves when handling the rolls.   DO NOT NIP AGAINST A TEXTURED ROLLER.  WRAP PLASMA COATED ROLLERS WITH LINER TO PREVENT SCRATCHES AND OTHER DEFECTS.  Run on Pace 2 - MS</t>
  </si>
  <si>
    <t>50176 Cost of Goods Sold</t>
  </si>
  <si>
    <t>Slit Rolls General purpose masking 2.5" x 60Yd</t>
  </si>
  <si>
    <t>582-6748</t>
  </si>
  <si>
    <t>Slit Rolls - General purpose masking - 2.5" x 60Yd</t>
  </si>
  <si>
    <t>Number Across Run/Finish –  23/1
Where Finished –  On Press
Length per Roll/Unit – 60 Yd
Core Type –  As Recd.
Core Width – 2.5"
Core Label – Yes
Dividers – Paper
Bag Size – 
Qty. Per Bag – 4 Rolls
Box Size –  16 x 16 x 10-1/4
Qty. Per Box – 18 Rolls
Weight/box – 
Box Per Pallet – 
Pallet Type – </t>
  </si>
  <si>
    <t>Core  –  As Recd.
Width – 2.5"
Number Across Run/FInish –  23/1
Core Label – Yes
±10% –  yes
Unwind Dir. Run – N/A
Unwind Dir. Finish –  N/A
Diecut/Continuous/Sheet –  Continuous
Partial Case –  Ask
Pieces per roll/Unit – 1 Roll
Length per roll/unit –  60 Yd
Finish – On Press
Application – </t>
  </si>
  <si>
    <t>50177 Cost of Goods Sold</t>
  </si>
  <si>
    <t>Slit Rolls General purpose masking 3.5" x 60Yd</t>
  </si>
  <si>
    <t>582-6763</t>
  </si>
  <si>
    <t>Slit Rolls - General purpose masking - 3.5" x 60Yd</t>
  </si>
  <si>
    <t>Number Across Run/Finish –  13/1
Where Finished –  On Press
Length per Roll/Unit – 60 Yd
Core Type –  As Recd.
Core Width – 3.5"
Core Label – Yes
Dividers – Paper
Bag Size – 
Qty. Per Bag – 3 Rolls
Box Size –  10 x 10 x 10
Qty. Per Box – 27 Rolls
Weight/box – 
Box Per Pallet – 
Pallet Type – </t>
  </si>
  <si>
    <t>Core  –  As Recd.
Width – 3.5"
Number Across Run/FInish –  13/1
Core Label – Yes
±10% –  No
Unwind Dir. Run – N/A
Unwind Dir. Finish –  N/A
Diecut/Continuous/Sheet –  Continuous
Partial Case –  Yes
Pieces per roll/Unit – 1 Roll
Length per roll/unit –  60 Yd
Finish – On Press
Application – </t>
  </si>
  <si>
    <t>50178 Cost of Goods Sold</t>
  </si>
  <si>
    <t>Die Cut Part Wiper Foam - VHB 15mm x 15mm</t>
  </si>
  <si>
    <t>25583-0001</t>
  </si>
  <si>
    <t>Die Cut Part - Wiper Foam - VHB - 15mm x 15mm</t>
  </si>
  <si>
    <t>Number Across Run/Finish –  1/1
Where Finished –  On Press
Length per Roll/Unit – 125'
Core Type –  3" Paper 1/8" White Brown
Core Width – 1"
Core Label – Yes
Dividers – 
Bag Size – 
Qty. Per Bag – 1 Roll
Box Size –  12 x 12 x 12
Qty. Per Box – 8 M
Weight/box – 
Box Per Pallet – 
Pallet Type – </t>
  </si>
  <si>
    <t>-No Mention of Strouse on any packaging or labeling
-Product Label to say "ITW AUTOMOTIVE"
-Box Label must be in upper left hand corner of box per customer
Use End User P/N for labels</t>
  </si>
  <si>
    <t>Core  –  3" Paper 1/8" White Brown
Width – 1"
Number Across Run/FInish –  1/1
Core Label – Yes
±10% –  ask
Unwind Dir. Run – Parts Out
Unwind Dir. Finish –  Parts Out
Diecut/Continuous/Sheet –  Die Cut
Partial Case –  Ask
Pieces per roll/Unit – 2,000
Length per roll/unit –  125'
Finish – On Press
Application – </t>
  </si>
  <si>
    <t>A special Roller has been made to aid in slug removal and keeping parts on the liner.  See Skip for the roller before running if not in the JJ.</t>
  </si>
  <si>
    <t>50179 Cost of Goods Sold</t>
  </si>
  <si>
    <t>Die Cut Part Wiper Foam - VHB 21mm x 27mm</t>
  </si>
  <si>
    <t>25583-0002</t>
  </si>
  <si>
    <t>Die Cut Part - Wiper Foam - VHB - 21mm x 27mm</t>
  </si>
  <si>
    <t>Number Across Run/Finish –  1/1
Where Finished –  On Press
Length per Roll/Unit – 209'
Core Type –  3" Paper 1/8" White Brown
Core Width – 1.75"
Core Label – Yes
Dividers – 
Bag Size – 
Qty. Per Bag – 1 Roll
Box Size –  16 x 16 x 16
Qty. Per Box – 10 M
Weight/box – 
Box Per Pallet – 
Pallet Type – </t>
  </si>
  <si>
    <t>Core  –  3" Paper 1/8" White Brown
Width – 1.75"
Number Across Run/FInish –  1/1
Core Label – Yes
±10% –  ask
Unwind Dir. Run – Parts Out
Unwind Dir. Finish –  Parts Out
Diecut/Continuous/Sheet –  Die Cut
Partial Case –  Ask
Pieces per roll/Unit – 2,000
Length per roll/unit –  209'
Finish – On Press
Application – </t>
  </si>
  <si>
    <t>50180 Cost of Goods Sold</t>
  </si>
  <si>
    <t>Die Cut Part Wiper Foam - Poly 21mm x 26mm</t>
  </si>
  <si>
    <t>25583-0003</t>
  </si>
  <si>
    <t>Die Cut Part - Wiper Foam - Poly - 21mm x 26mm</t>
  </si>
  <si>
    <t>Number Across Run/Finish –  1/1
Where Finished –  On Press
Length per Roll/Unit – 167'
Core Type –  3" Paper 1/8" White Brown
Core Width – 1.75"
Core Label – Yes
Dividers – Corrugated
Bag Size – 
Qty. Per Bag – 1 Roll
Box Size –  16 x 16 x 10-1/4
Qty. Per Box – 12 M
Weight/box – 
Box Per Pallet – 
Pallet Type – </t>
  </si>
  <si>
    <t>Core  –  3" Paper 1/8" White Brown
Width – 1.75"
Number Across Run/FInish –  1/1
Core Label – Yes
±10% –  ask
Unwind Dir. Run – Parts Out
Unwind Dir. Finish –  Parts Out
Diecut/Continuous/Sheet –  Die Cut
Partial Case –  Ask
Pieces per roll/Unit – 2,000
Length per roll/unit –  167'
Finish – On Press
Application – </t>
  </si>
  <si>
    <t>Run JJ 5630 first using experimental roller, see Skip.</t>
  </si>
  <si>
    <t>50181 Cost of Goods Sold</t>
  </si>
  <si>
    <t>Die Cut Part Wiper Foam - Poly 19mm x 19.5mm</t>
  </si>
  <si>
    <t>25583-0004</t>
  </si>
  <si>
    <t>Die Cut Part - Wiper Foam - Poly - 19mm x 19.5mm</t>
  </si>
  <si>
    <t>Number Across Run/Finish –  1/1
Where Finished –  On Press
Length per Roll/Unit – 146'
Core Type –  3" Paper 1/8" White Brown
Core Width – 1.5"
Core Label – Yes
Dividers – Corrugated
Bag Size – 
Qty. Per Bag – 1 Roll
Box Size –  12 x 12 x 12
Qty. Per Box – 12 M
Weight/box – 
Box Per Pallet – 
Pallet Type – </t>
  </si>
  <si>
    <t>Core  –  3" Paper 1/8" White Brown
Width – 1.5"
Number Across Run/FInish –  1/1
Core Label – Yes
±10% –  Yes
Unwind Dir. Run – Parts Out
Unwind Dir. Finish –  Parts Out
Diecut/Continuous/Sheet –  Die Cut
Partial Case –  No
Pieces per roll/Unit – 2,000
Length per roll/unit –  146'
Finish – On Press
Application – </t>
  </si>
  <si>
    <t>50182 Cost of Goods Sold</t>
  </si>
  <si>
    <t>Die Cut Label Unprinted Circle 3 3/8" Dia</t>
  </si>
  <si>
    <t>Die Cut Label - Unprinted Circle - 3 3/8" Dia</t>
  </si>
  <si>
    <t>Number Across Run/Finish –  1/1
Where Finished –  On Press
Length per Roll/Unit – 291'
Core Type –  3" Paper (1/8" wall)
Core Width – 3.75"
Core Label – No
Dividers – 
Bag Size – 
Qty. Per Bag – 
Box Size –  
Qty. Per Box – 8 M
Weight/box – 
Box Per Pallet – 
Pallet Type – </t>
  </si>
  <si>
    <t>Core  –  3" Paper (1/8" wall)
Width – 3.75"
Number Across Run/FInish –  1/1
Core Label – No
±10% –  OK
Unwind Dir. Run – N/A
Unwind Dir. Finish –  N/A
Diecut/Continuous/Sheet –  Die Cut
Partial Case –  Yes
Pieces per roll/Unit – 1,000
Length per roll/unit –  291'
Finish – On Press
Application – </t>
  </si>
  <si>
    <t>50183 Cost of Goods Sold</t>
  </si>
  <si>
    <t>Slit Rolls Masking Tape, Hi-Temp 24mm x 55m</t>
  </si>
  <si>
    <t>1011642177-61002693</t>
  </si>
  <si>
    <t>Slit Rolls - Masking Tape, Hi-Temp - 24mm x 55m</t>
  </si>
  <si>
    <t>Number Across Run/Finish –  1/1
Where Finished –  On Press
Length per Roll/Unit – 55 m
Core Type –  As Recd.
Core Width – 24 mm
Core Label – Yes
Dividers – As Rec'd
Bag Size – 
Qty. Per Bag – As Rec'd 
Box Size –  12 x 12 x 4
Qty. Per Box – As Rec'd 
Weight/box – 
Box Per Pallet – 
Pallet Type – </t>
  </si>
  <si>
    <t>Core  –  As Recd.
Width – 24 mm
Number Across Run/FInish –  1/1
Core Label – Yes
±10% –  No
Unwind Dir. Run – N/A
Unwind Dir. Finish –  N/A
Diecut/Continuous/Sheet –  Continuous
Partial Case –  Yes
Pieces per roll/Unit – 1 Roll
Length per roll/unit –  55 m
Finish – On Press
Application – </t>
  </si>
  <si>
    <t>50184 Cost of Goods Sold</t>
  </si>
  <si>
    <t>Die Cut Part Blower Gasket Cover - 4929 84.54mm x 54mm</t>
  </si>
  <si>
    <t>81146-11 Rev D</t>
  </si>
  <si>
    <t>Die Cut Part - Blower Gasket Cover - 4929 - 84.54mm x 54mm</t>
  </si>
  <si>
    <t>Number Across Run/Finish –  1/1
Where Finished –  On Press
Length per Roll/Unit – 125'
Core Type –  N/A
Core Width – N/A
Core Label – No
Dividers – 3 x 4.5 Silicone
Bag Size – 
Qty. Per Bag – 25 Each
Box Size –  12 x 12 x 4
Qty. Per Box – 500 Each
Weight/box – 
Box Per Pallet – 
Pallet Type – </t>
  </si>
  <si>
    <t>Use box label format 5651.
- Avon Purchase Order, Part Number, Part Number Revision, Spec Number, Quantity, Description, Week or Day of Manufacture, and lot number MUST be noted on all outer box labels, certifications, packing slips, and invoices. 
- Include Stock Lot numbers, VHB DOM, DOE and lot # on the C of C.  Include a Material Cert for the VHB.
- Lot number, quantity, and spec number MUST be barcoded on all outer box labels.
- All items with a shelf life MUST have the VHB expiration date noted on the WO, packing slip, certification, and individual item or container.</t>
  </si>
  <si>
    <t>Core  –  N/A
Width – N/A
Number Across Run/FInish –  1/1
Core Label – No
±10% –  ask
Unwind Dir. Run – N/A
Unwind Dir. Finish –  N/A
Diecut/Continuous/Sheet –  Sheet
Partial Case –  Ask
Pieces per roll/Unit – 500
Length per roll/unit –  125'
Finish – On Press
Application – </t>
  </si>
  <si>
    <t>50185 Cost of Goods Sold</t>
  </si>
  <si>
    <t>Die Cut Part Pull Tabs 6mm x 80mm</t>
  </si>
  <si>
    <t>Die Cut Part - Pull Tabs - 6mm x 80mm</t>
  </si>
  <si>
    <t>Number Across Run/Finish –  1/1
Where Finished –  On Press
Length per Roll/Unit – 101'
Core Type –  3" Paper 1/8" White Brown
Core Width – 3.625"
Core Label – Yes
Dividers – 
Bag Size – 
Qty. Per Bag – 1 Roll
Box Size –  8 x 8 x 8
Qty. Per Box – 4 Rolls
Weight/box – 
Box Per Pallet – 
Pallet Type – </t>
  </si>
  <si>
    <t>*Check roll.  Remove every other tab from last foot of every roll to ensure that each pull tab separates easily from adjacent tabs using one hand.
Labels under "5660" and "5660 core".
Box label P/N: "See Work Order" 	Core Label P/N: 2332-1116
-No Mention of Strouse on any packaging or labeling.
-Product Label to say "Prescotech".
-Box Label must be in upper left hand corner of box per customer.</t>
  </si>
  <si>
    <t>Core  –  3" Paper 1/8" White Brown
Width – 3.625"
Number Across Run/FInish –  1/1
Core Label – Yes
±10% –  ask
Unwind Dir. Run – Parts In
Unwind Dir. Finish –  Parts In
Diecut/Continuous/Sheet –  Die Cut
Partial Case –  Ask
Pieces per roll/Unit – 5,000
Length per roll/unit –  101'
Finish – On Press
Application – </t>
  </si>
  <si>
    <t>May need a 0.5-mil step up anvil to cut parts cleanly.
Use 2 layers of MACTAC iM1900XTW60 with liner left on the outside. MS</t>
  </si>
  <si>
    <t>50186 Cost of Goods Sold</t>
  </si>
  <si>
    <t>Die Cut Part CSM Cu/Al/PET w/ Adh. Laminate 375" x 4.423"</t>
  </si>
  <si>
    <t>DIECUTCSM340057001E</t>
  </si>
  <si>
    <t>Die Cut Part - CSM Cu/Al/PET w/ Adh. Laminate - 375" x 4.423"</t>
  </si>
  <si>
    <t>Number Across Run/Finish –  1/1
Where Finished –  Off Press
Length per Roll/Unit – 417'
Core Type –  3" Paper 1/8" Strouse Brown
Core Width – 5"
Core Label – Yes in core and on outside of roll.
Dividers – 
Bag Size – 
Qty. Per Bag – 1 Roll
Box Size –  8 x 8 x 8
Qty. Per Box – 10 M
Weight/box – 
Box Per Pallet – 
Pallet Type – </t>
  </si>
  <si>
    <t>Core  –  3" Paper 1/8" Strouse Brown
Width – 5"
Number Across Run/FInish –  1/1
Core Label – Yes in core and on outside of roll.
±10% –  No
Unwind Dir. Run – Parts Out
Unwind Dir. Finish –  Parts Out
Diecut/Continuous/Sheet –  Continuous Die Cut
Partial Case –  Yes
Pieces per roll/Unit – 10,000
Length per roll/unit –  417'
Finish – Off Press
Application – </t>
  </si>
  <si>
    <t>50187 Cost of Goods Sold</t>
  </si>
  <si>
    <t>Die Cut Part CSM Cu/Al/PET w/ Adh. Laminate 0.75" x 9.679"</t>
  </si>
  <si>
    <t>DIECUTCSM340089001C</t>
  </si>
  <si>
    <t>Die Cut Part - CSM Cu/Al/PET w/ Adh. Laminate - 0.75" x 9.679"</t>
  </si>
  <si>
    <t>Number Across Run/Finish –  1/1
Where Finished –  Off Press
Length per Roll/Unit – 500'
Core Type –  3" Paper 1/8" White Brown
Core Width – 6"
Core Label – Yes in core and on outside of roll.
Dividers – 
Bag Size – 
Qty. Per Bag – 1 Roll
Box Size –  12 x 12 x 12
Qty. Per Box – 3 M
Weight/box – 
Box Per Pallet – 
Pallet Type – </t>
  </si>
  <si>
    <t>Core  –  3" Paper 1/8" White Brown
Width – 6"
Number Across Run/FInish –  1/1
Core Label – Yes in core and on outside of roll.
±10% –  No
Unwind Dir. Run – Parts Out
Unwind Dir. Finish –  Parts Out
Diecut/Continuous/Sheet –  Continuous Die Cut
Partial Case –  Yes
Pieces per roll/Unit – 3,000
Length per roll/unit –  500'
Finish – Off Press
Application – </t>
  </si>
  <si>
    <t>50188 Cost of Goods Sold</t>
  </si>
  <si>
    <t>Die Cut Part Filler Mask with tab 4.125" x 4.125"</t>
  </si>
  <si>
    <t>2519932</t>
  </si>
  <si>
    <t>Die Cut Part - Filler Mask with tab - 4.125" x 4.125"</t>
  </si>
  <si>
    <t>Number Across Run/Finish –  1/1
Where Finished –  On Press
Length per Roll/Unit – 360'
Core Type –  3" Paper 1/8" White Brown
Core Width – 4.75"
Core Label – Yes
Dividers – 
Bag Size – 
Qty. Per Bag – 2 Rolls
Box Size –  14 x 14 x 10
Qty. Per Box – 2,000 Each
Weight/box – 
Box Per Pallet – 
Pallet Type – </t>
  </si>
  <si>
    <t>PER PAT RIDGLEY AND DIANE EDWARDS - CHANGE MATERIAL TO 232 BUT DO NOT CHANGE DESCRIPTION.</t>
  </si>
  <si>
    <t>Core  –  3" Paper 1/8" White Brown
Width – 4.75"
Number Across Run/FInish –  1/1
Core Label – Yes
±10% –  ask
Unwind Dir. Run – Parts Out
Unwind Dir. Finish –  Parts Out
Diecut/Continuous/Sheet –  Continuous Die Cut
Partial Case –  Ask
Pieces per roll/Unit – 1,000
Length per roll/unit –  360'
Finish – On Press
Application – </t>
  </si>
  <si>
    <t>50189 Cost of Goods Sold</t>
  </si>
  <si>
    <t>Slit Rolls Nitto E-Mask RB300S 8" X 200m</t>
  </si>
  <si>
    <t>RB300S8W</t>
  </si>
  <si>
    <t>Slit Rolls - Nitto E-Mask RB300S - 8" X 200m</t>
  </si>
  <si>
    <t>Number Across Run/Finish –  6/1
Where Finished –  On Press
Length per Roll/Unit – 200 m
Core Type –  3" Plastic 0.10" HDPE
Core Width – 8"
Core Label – Yes
Dividers – 
Bag Size – 
Qty. Per Bag – 1 Roll
Box Size –  13 x 13 x 13
Qty. Per Box – 5 Rolls
Weight/box – 
Box Per Pallet – 
Pallet Type – </t>
  </si>
  <si>
    <t>Use Core Label Format "5675 Core"
Use best fit box and number per box for full cases based on order size.
MUST USE SAW BLADE FOR THIS MATERIAL!!!
* Include ROHS Cert (MUST BE ROHS COMPLIANT)
* Country of Origin required on all items (on a Strouse C of C or Nitto Cert)
* REACH Status including exemptions required (COMP / NON COMP)
* MINIMUM QUALITY REQUIRED - MUST PASS HS INCOMING INSPECTION</t>
  </si>
  <si>
    <t>Core  –  3" Plastic 0.10" HDPE
Width – 8"
Number Across Run/FInish –  6/1
Core Label – Yes
±10% –  No
Unwind Dir. Run – N/A
Unwind Dir. Finish –  N/A
Diecut/Continuous/Sheet –  Continuous
Partial Case –  No
Pieces per roll/Unit – 1 Roll
Length per roll/unit –  200 m
Finish – On Press
Application – </t>
  </si>
  <si>
    <t xml:space="preserve">85% shelf life is required for this material. </t>
  </si>
  <si>
    <t>50190 Cost of Goods Sold</t>
  </si>
  <si>
    <t>Perforated Tape Paint Booth Shoe Covering Film 18" x 11"</t>
  </si>
  <si>
    <t>1013116232</t>
  </si>
  <si>
    <t>Perforated Tape - Paint Booth Shoe Covering Film - 18" x 11"</t>
  </si>
  <si>
    <t>Number Across Run/Finish –  1/1
Where Finished –  On Press
Length per Roll/Unit – 200 Yd
Core Type –  3" Paper 1/8" Strouse Brown
Core Width – 11"
Core Label – Yes
Dividers – 
Bag Size – 
Qty. Per Bag – 
Box Size –  13 x 13 x 13
Qty. Per Box – 4 Rolls
Weight/box – 
Box Per Pallet – 
Pallet Type – </t>
  </si>
  <si>
    <t>Each finished roll is to have 1" core plugs.  Any labeling to use ST-545, not 3M part #.</t>
  </si>
  <si>
    <t>Core  –  3" Paper 1/8" Strouse Brown
Width – 11"
Number Across Run/FInish –  1/1
Core Label – Yes
±10% –  No
Unwind Dir. Run – Adh. In
Unwind Dir. Finish –  Adh. In
Diecut/Continuous/Sheet –  Continuous
Partial Case –  Yes
Pieces per roll/Unit – 1 Roll
Length per roll/unit –  200 Yd
Finish – On Press
Application – </t>
  </si>
  <si>
    <t>50191 Cost of Goods Sold</t>
  </si>
  <si>
    <t>Die Cut Part Low Tack Film .010 Thick 1" OD x 1/2" ID</t>
  </si>
  <si>
    <t>Adhesive Mask</t>
  </si>
  <si>
    <t>Die Cut Part - Low Tack Film .010 Thick - 1" OD x 1/2" ID</t>
  </si>
  <si>
    <t>Number Across Run/Finish –  2/1
Where Finished –  Web Techniques
Length per Roll/Unit – 32'
Core Type –  3" Paper 1/8" White Brown
Core Width – 1.63"
Core Label – Yes
Dividers – 
Bag Size – 
Qty. Per Bag – 5 
Box Size –  11 x 11 x 14
Qty. Per Box – 45 
Weight/box – 
Box Per Pallet – 
Pallet Type – </t>
  </si>
  <si>
    <t>Rewind with parts in (rewind direction 5)</t>
  </si>
  <si>
    <t>Core  –  3" Paper 1/8" White Brown
Width – 1.63"
Number Across Run/FInish –  2/1
Core Label – Yes
±10% –  Yes
Unwind Dir. Run – Parts In
Unwind Dir. Finish –  5
Diecut/Continuous/Sheet –  Continuous Die Cut
Partial Case –  Yes
Pieces per roll/Unit – 1 Roll
Length per roll/unit –  32'
Finish – Web Techniques
Application – </t>
  </si>
  <si>
    <t>50192 Cost of Goods Sold</t>
  </si>
  <si>
    <t>Die Cut Label 3M 7011 tamper evident label with gray reverse print 1.5" x 1.25"</t>
  </si>
  <si>
    <t>TP7011</t>
  </si>
  <si>
    <t>Die Cut Label - 3M 7011 tamper evident label with gray reverse print  - 1.5" x 1.25"</t>
  </si>
  <si>
    <t>Number Across Run/Finish –  2/2
Where Finished –  Web Techniques
Length per Roll/Unit – 136'
Core Type –  3" Paper 1/8" Strouse Brown
Core Width – 2.75"
Core Label – Yes
Dividers – 
Bag Size – 
Qty. Per Bag – 5 Rolls
Box Size –  10 x 10 x 10
Qty. Per Box – 20 Rolls
Weight/box – 
Box Per Pallet – 
Pallet Type – </t>
  </si>
  <si>
    <t>Unwind finish direction #1</t>
  </si>
  <si>
    <t>Core  –  3" Paper 1/8" Strouse Brown
Width – 2.75"
Number Across Run/FInish –  2/2
Core Label – Yes
±10% –  Yes
Unwind Dir. Run – 2
Unwind Dir. Finish –  1
Diecut/Continuous/Sheet –  Die Cut
Partial Case –  Yes
Pieces per roll/Unit – 1 Roll
Length per roll/unit –  136'
Finish – Web Techniques
Application – </t>
  </si>
  <si>
    <t>50193 Cost of Goods Sold</t>
  </si>
  <si>
    <t>Printed Tape White UPVC Reverse Printed Blue with "1" 1/2" x 80Yd</t>
  </si>
  <si>
    <t>806196201</t>
  </si>
  <si>
    <t>Printed Tape - White UPVC Reverse Printed Blue with "1" - 1/2" x 80Yd</t>
  </si>
  <si>
    <t>Number Across Run/Finish –  11/1
Where Finished –  On Press
Length per Roll/Unit – 80 Yd
Core Type –  3" Paper (1/8" wall)
Core Width – 0.5"
Core Label – Yes - See Note
Dividers – Paper
Bag Size – 
Qty. Per Bag – 6 Rolls
Box Size –  10 x 10 x 10
Qty. Per Box – 66 Rolls
Weight/box – 21
Box Per Pallet – 
Pallet Type – </t>
  </si>
  <si>
    <t>Core Label  Info. :  Part #.  Lot number found on Raw ID label on material.  Date of  Mfg. (conversion)</t>
  </si>
  <si>
    <t>Core  –  3" Paper (1/8" wall)
Width – 0.5"
Number Across Run/FInish –  11/1
Core Label – Yes - See Note
±10% –  Yes
Unwind Dir. Run – 1
Unwind Dir. Finish –  1
Diecut/Continuous/Sheet –  Continuous
Partial Case –  Yes
Pieces per roll/Unit – 1 Roll
Length per roll/unit –  80 Yd
Finish – On Press
Application – </t>
  </si>
  <si>
    <t xml:space="preserve">Two / thirds cup (20 oz.) Reflex Blue - Brewers PVC, Add 2 oz. of MEK and 2 oz. Cyclohexanone. Max speed will be 5 on Siat #1. Pictures of dryer arrangement in JJ 3366. </t>
  </si>
  <si>
    <t>50194 Cost of Goods Sold</t>
  </si>
  <si>
    <t>Printed Tape White UPVC Reverse Printed Blue with "2" 1/2" x 80Yd</t>
  </si>
  <si>
    <t>806196202</t>
  </si>
  <si>
    <t>Printed Tape - White UPVC Reverse Printed Blue with "2" - 1/2" x 80Yd</t>
  </si>
  <si>
    <t>Number Across Run/Finish –  11/1
Where Finished –  On Press
Length per Roll/Unit – 80 Yd
Core Type –  3" Paper 1/8" Strouse Brown
Core Width – 0.5"
Core Label – Yes - See Note
Dividers – Paper
Bag Size – 
Qty. Per Bag – 6 Rolls
Box Size –  10 x 10 x 10
Qty. Per Box – 66 Rolls
Weight/box – 21
Box Per Pallet – 
Pallet Type – </t>
  </si>
  <si>
    <t>Core Label Info.:
Part #
Lot # found on Raw ID label on material.
Date of Mfg. (conversion)</t>
  </si>
  <si>
    <t>Core  –  3" Paper 1/8" Strouse Brown
Width – 0.5"
Number Across Run/FInish –  11/1
Core Label – Yes - See Note
±10% –  Yes
Unwind Dir. Run – 1
Unwind Dir. Finish –  1
Diecut/Continuous/Sheet –  Continuous
Partial Case –  Yes
Pieces per roll/Unit – 1 Roll
Length per roll/unit –  80 Yd
Finish – On Press
Application – </t>
  </si>
  <si>
    <t>Two / thirds cup (20 oz.) Reflex Blue - Brewers PVC, Add 2 oz. of MEK and 2 oz. Cyclohexanone.  Max speed will be 5 on Siat #1.  Pictures of dryer arrangement in JJ 3366.</t>
  </si>
  <si>
    <t>50195 Cost of Goods Sold</t>
  </si>
  <si>
    <t>Printed Tape White UPVC Reverse Printed Blue with "5" 1/2" x 80Yd</t>
  </si>
  <si>
    <t>806196205</t>
  </si>
  <si>
    <t>Printed Tape - White UPVC Reverse Printed Blue with "5" - 1/2" x 80Yd</t>
  </si>
  <si>
    <t>50196 Cost of Goods Sold</t>
  </si>
  <si>
    <t>Printed Tape White UPVC Reverse Printed Blue with "7" 1/2" x 80Yd</t>
  </si>
  <si>
    <t>806196207</t>
  </si>
  <si>
    <t>Printed Tape - White UPVC Reverse Printed Blue with "7" - 1/2" x 80Yd</t>
  </si>
  <si>
    <t>50197 Cost of Goods Sold</t>
  </si>
  <si>
    <t>Printed Tape White UPVC printed black "5" 1/2" x 80Yd</t>
  </si>
  <si>
    <t>806196104</t>
  </si>
  <si>
    <t>Printed Tape - White UPVC printed black "5" - 1/2" x 80Yd</t>
  </si>
  <si>
    <t>Number Across Run/Finish –  11/1
Where Finished –  On Press
Length per Roll/Unit – 80 Yd
Core Type –  3" Paper 1/8" Strouse Brown
Core Width – 0.5"
Core Label – Yes - See Note
Dividers – Paper
Bag Size – 
Qty. Per Bag – 6 Rolls
Box Size –  12 x 12 x 4
Qty. Per Box – 66 Rolls
Weight/box – 21
Box Per Pallet – 
Pallet Type – </t>
  </si>
  <si>
    <t>50198 Cost of Goods Sold</t>
  </si>
  <si>
    <t>Die Cut Part Buzzer seal with pull tab 0.320" dia with tab</t>
  </si>
  <si>
    <t>1006409 Rev C R/L</t>
  </si>
  <si>
    <t>Die Cut Part - Buzzer seal with pull tab - 0.320" dia with tab</t>
  </si>
  <si>
    <t>Number Across Run/Finish –  1/1
Where Finished –  Web Techniques
Length per Roll/Unit – 105'
Core Type –  3" Plastic 0.10" HDPE
Core Width – 0.75"
Core Label – Yes
Dividers – Round Polyflute
Bag Size – 
Qty. Per Bag – 1 Roll
Box Size –  23 x 23 x 2.5 cake
Qty. Per Box – 30 M
Weight/box – 
Box Per Pallet – 
Pallet Type – </t>
  </si>
  <si>
    <t>Raw material Certs for Mesh and Adhesive required with each shipment.  
Strouse C of C to have Part Number, Revision, QTY, Date of Manufacture, Statement of RoHS compliance; and signed.
Parts need to be double bagged with core label on interior bag (shrink film).</t>
  </si>
  <si>
    <t>Core  –  3" Plastic 0.10" HDPE
Width – 0.75"
Number Across Run/FInish –  1/1
Core Label – Yes
±10% –  Yes
Unwind Dir. Run – Parts Out
Unwind Dir. Finish –  Parts Out
Diecut/Continuous/Sheet –  Die Cut
Partial Case –  Yes
Pieces per roll/Unit – 2,500
Length per roll/unit –  105'
Finish – Web Techniques
Application – </t>
  </si>
  <si>
    <t>Make sure the Viper data is saving to 3 decimal places.  Please number the finished rolls so they can be correlated to the retains.</t>
  </si>
  <si>
    <t>50199 Cost of Goods Sold</t>
  </si>
  <si>
    <t>Wheel Mask 20" Chicago/Oakville 558.80mm Dia</t>
  </si>
  <si>
    <t>51134-09016-05</t>
  </si>
  <si>
    <t>Wheel Mask - 20" Chicago/Oakville - 558.80mm Dia</t>
  </si>
  <si>
    <t>Number Across Run/Finish –  1/1
Where Finished –  On Press
Length per Roll/Unit – 385'
Core Type –  N/A
Core Width – N/A
Core Label – 
Dividers – 
Bag Size – 
Qty. Per Bag – 
Box Size –  26 x 26 x 3 T&amp;B
Qty. Per Box – 200 
Weight/box – 30
Box Per Pallet – See Below
Pallet Type – </t>
  </si>
  <si>
    <t>Use Tesa pallets when available.</t>
  </si>
  <si>
    <t>Core  –  N/A
Width – N/A
Number Across Run/FInish –  1/1
Core Label – 
±10% –  Yes
Unwind Dir. Run – N/A
Unwind Dir. Finish –  
Diecut/Continuous/Sheet –  Die Cut Sheet
Partial Case –  No
Pieces per roll/Unit – 1 Roll
Length per roll/unit –  385'
Finish – On Press
Application – </t>
  </si>
  <si>
    <t>50200 Cost of Goods Sold</t>
  </si>
  <si>
    <t>Wheel Mask 22" Oakville 622.30mm Dia</t>
  </si>
  <si>
    <t>51134-09017-05</t>
  </si>
  <si>
    <t>Wheel Mask - 22" Oakville - 622.30mm Dia</t>
  </si>
  <si>
    <t>Number Across Run/Finish –  1/1
Where Finished –  On Press
Length per Roll/Unit – 215'
Core Type –  N/A
Core Width – N/A
Core Label – 
Dividers – 
Bag Size – 
Qty. Per Bag – 
Box Size –  12 x 12 x 10
Qty. Per Box – 100 
Weight/box – 
Box Per Pallet – See Below
Pallet Type – </t>
  </si>
  <si>
    <t>Use special labels.
Limit skids to 10 layers
Please have labels reviewed for accuracy before packaging begins.</t>
  </si>
  <si>
    <t>Core  –  N/A
Width – N/A
Number Across Run/FInish –  1/1
Core Label – 
±10% –  Yes
Unwind Dir. Run – 
Unwind Dir. Finish –  
Diecut/Continuous/Sheet –  Die Cut Sheet
Partial Case –  No
Pieces per roll/Unit – 100
Length per roll/unit –  215'
Finish – On Press
Application – </t>
  </si>
  <si>
    <t>50201 Cost of Goods Sold</t>
  </si>
  <si>
    <t>Tape 9816M 9" x 250Yd</t>
  </si>
  <si>
    <t>Tape - 9816M - 9" x 250Yd</t>
  </si>
  <si>
    <t>Number Across Run/Finish –  6/1
Where Finished –  On Press
Length per Roll/Unit – 250 Yd
Core Type –  3" Paper 0.180" Brown Brown
Core Width – 9.0"
Core Label – Yes
Dividers – Paper
Bag Size – 
Qty. Per Bag – 1 Roll
Box Size –  12 x 12 x 4
Qty. Per Box – 1 Roll
Weight/box – 
Box Per Pallet – 
Pallet Type – </t>
  </si>
  <si>
    <t>Core  –  3" Paper 0.180" Brown Brown
Width – 9.0"
Number Across Run/FInish –  6/1
Core Label – Yes
±10% –  Yes
Unwind Dir. Run – Adh. In
Unwind Dir. Finish –  Adh. In
Diecut/Continuous/Sheet –  Continuous
Partial Case –  Yes
Pieces per roll/Unit – 1 Roll
Length per roll/unit –  250 Yd
Finish – On Press
Application – </t>
  </si>
  <si>
    <t>50202 Cost of Goods Sold</t>
  </si>
  <si>
    <t>Fabricated Part UHMW with 3M VHB 1-3/8" x 1-3/8" x 1/8"T</t>
  </si>
  <si>
    <t>1120A-5</t>
  </si>
  <si>
    <t>Fabricated Part - UHMW with 3M VHB - 1-3/8" x 1-3/8" x 1/8"T</t>
  </si>
  <si>
    <t>Number Across Run/Finish –  16/1
Where Finished –  On Press
Length per Roll/Unit – N/A
Core Type –  N/A
Core Width – N/A
Core Label – No
Dividers – 
Bag Size – 
Qty. Per Bag – 25 Each
Box Size –  14 x 14 x 14
Qty. Per Box – 100 Each
Weight/box – 
Box Per Pallet – 
Pallet Type – </t>
  </si>
  <si>
    <t>Core  –  N/A
Width – N/A
Number Across Run/FInish –  16/1
Core Label – No
±10% –  Yes
Unwind Dir. Run – N/A
Unwind Dir. Finish –  N/A
Diecut/Continuous/Sheet –  Sheet
Partial Case –  Yes
Pieces per roll/Unit – N/A
Length per roll/unit –  N/A
Finish – On Press
Application – </t>
  </si>
  <si>
    <t>50203 Cost of Goods Sold</t>
  </si>
  <si>
    <t>Fabricated Part CSM FEP 200A, 2 mil Teflon perfed at 14" 13" x 1,400'</t>
  </si>
  <si>
    <t>MM206015034</t>
  </si>
  <si>
    <t>Fabricated Part - CSM FEP 200A, 2 mil Teflon perfed at 14" - 13" x 1,400'</t>
  </si>
  <si>
    <t>Number Across Run/Finish –  1/1
Where Finished –  Off Press
Length per Roll/Unit – 1,400'
Core Type –  3" Plastic 0.10" HDPE
Core Width – 13"
Core Label – Yes
Dividers – 
Bag Size – 
Qty. Per Bag – 1 Roll
Box Size –  8 x 8 x 8
Qty. Per Box – 1 Roll
Weight/box – 
Box Per Pallet – 
Pallet Type – </t>
  </si>
  <si>
    <t>Ship in sturdy cartons to prevent damage.  C of C required.
Each roll to be individually bagged and labeled (inside the core and on the outside of each bag) with:
• Item # MM206015034     • Prod. Desc.: 2 mil FEP     • PO # (to be provided)     • Atlantic PO # as "Lot" number     • Actual footage for roll     • Roll #.
Use core label format "5855 core"
The open end of each bag to be pushed down into the core and a 7-3/4" x 3" end cap placed in both ends.  Each bagged roll to then be placed in a bubble bag.  Do not heat seal.  Also, place a core label below the box label on the OUTSIDE of the box.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</si>
  <si>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13"
Number Across Run/FInish –  1/1
Core Label – Yes
±10% –  Ask
Unwind Dir. Run – N/A
Unwind Dir. Finish –  N/A
Diecut/Continuous/Sheet –  Continuous
Partial Case –  Ask
Pieces per roll/Unit – 1,200
Length per roll/unit –  1,400'
Finish – Off Press
Application – </t>
  </si>
  <si>
    <t>Use New 8TPI perf blade for every order.   Use gloves when handling the rolls.   DO NOT NIP AGAINST A TEXTURED ROLLER.  WRAP PLASMA COATED ROLLERS WITH LINER TO PREVENT SCRATCHES AND OTHER DEFECTS</t>
  </si>
  <si>
    <t>50204 Cost of Goods Sold</t>
  </si>
  <si>
    <t>Die Cut Part Fixturing Tape 8mm x 40mm</t>
  </si>
  <si>
    <t>02-011120-00</t>
  </si>
  <si>
    <t>Die Cut Part - Fixturing Tape - 8mm x 40mm</t>
  </si>
  <si>
    <t>Number Across Run/Finish –  1/1
Where Finished –  On Press
Length per Roll/Unit – 66'
Core Type –  3" Paper 1/8" White Brown
Core Width – 1.600"
Core Label – Yes
Dividers – 
Bag Size – 
Qty. Per Bag – 5 Rolls
Box Size –  9 x 9 x 13
Qty. Per Box – 5 Rolls
Weight/box – 
Box Per Pallet – 
Pallet Type – </t>
  </si>
  <si>
    <t>Advanced shipping notice needs to go to Marianna &amp; Ricardo Sanchez; provide quantity, cert,  carton sizes &amp; weights. Ellsworth will provide carton labels (required by Tesla) to be applied to boxes. PO# and Part# to appear on all labels.</t>
  </si>
  <si>
    <t>Core  –  3" Paper 1/8" White Brown
Width – 1.600"
Number Across Run/FInish –  1/1
Core Label – Yes
±10% –  Yes
Unwind Dir. Run – Parts Out
Unwind Dir. Finish –  Parts Out
Diecut/Continuous/Sheet –  Continuous Die Cut
Partial Case –  Yes
Pieces per roll/Unit – 1 Roll
Length per roll/unit –  66'
Finish – On Press
Application – </t>
  </si>
  <si>
    <t>50205 Cost of Goods Sold</t>
  </si>
  <si>
    <t>Die Cut Part 3M 4492 2.4375" x 1.0"</t>
  </si>
  <si>
    <t>5898</t>
  </si>
  <si>
    <t>Die Cut Part - 3M 4492 - 2.4375" x 1.0"</t>
  </si>
  <si>
    <t>Number Across Run/Finish –  1/1
Where Finished –  On Press
Length per Roll/Unit – 94'
Core Type –  3" Paper 1/8" Strouse Brown
Core Width – 2.75"
Core Label – Yes
Dividers – 
Bag Size – 
Qty. Per Bag – 4 M
Box Size –  12 x 12 x 12
Qty. Per Box – 4 M
Weight/box – 
Box Per Pallet – 
Pallet Type – </t>
  </si>
  <si>
    <t>Parts Out.</t>
  </si>
  <si>
    <t>Core  –  3" Paper 1/8" Strouse Brown
Width – 2.75"
Number Across Run/FInish –  1/1
Core Label – Yes
±10% –  No
Unwind Dir. Run – Parts Out
Unwind Dir. Finish –  Parts Out
Diecut/Continuous/Sheet –  Continuous Die Cut
Partial Case –  Yes
Pieces per roll/Unit – 1,000
Length per roll/unit –  94'
Finish – On Press
Application – </t>
  </si>
  <si>
    <t>50206 Cost of Goods Sold</t>
  </si>
  <si>
    <t>Die Cut Part 3M 4492 1.9375" x 1.0"</t>
  </si>
  <si>
    <t>5899</t>
  </si>
  <si>
    <t>Die Cut Part - 3M 4492 - 1.9375" x 1.0"</t>
  </si>
  <si>
    <t>Number Across Run/Finish –  1/1
Where Finished –  On Press
Length per Roll/Unit – 94'
Core Type –  3" Paper 1/8" Strouse Brown
Core Width – 2.25"
Core Label – Yes
Dividers – 
Bag Size – 
Qty. Per Bag – 
Box Size –  12 x 12 x 12
Qty. Per Box – 5 
Weight/box – 
Box Per Pallet – 
Pallet Type – </t>
  </si>
  <si>
    <t>Core  –  3" Paper 1/8" Strouse Brown
Width – 2.25"
Number Across Run/FInish –  1/1
Core Label – Yes
±10% –  No
Unwind Dir. Run – Parts Out
Unwind Dir. Finish –  Parts Out
Diecut/Continuous/Sheet –  Die Cut
Partial Case –  Yes
Pieces per roll/Unit – 1,000
Length per roll/unit –  94'
Finish – On Press
Application – </t>
  </si>
  <si>
    <t>50207 Cost of Goods Sold</t>
  </si>
  <si>
    <t>Slit Tape 3M 1181 Cu Tape 0.360" x 60Yd</t>
  </si>
  <si>
    <t>ELE-0198-360Tape</t>
  </si>
  <si>
    <t>Slit Tape - 3M 1181 Cu Tape - 0.360" x 60Yd</t>
  </si>
  <si>
    <t>Number Across Run/Finish –  60/1
Where Finished –  On Press
Length per Roll/Unit – 60 Yd
Core Type –  3" Plastic 0.10" HDPE
Core Width – 0.360"
Core Label – No
Dividers – 
Bag Size – 
Qty. Per Bag – 30 Rolls
Box Size –  12 x 12 x 4
Qty. Per Box – 30 Rolls
Weight/box – 
Box Per Pallet – 
Pallet Type – </t>
  </si>
  <si>
    <t>Core  –  3" Plastic 0.10" HDPE
Width – 0.360"
Number Across Run/FInish –  60/1
Core Label – No
±10% –  Yes
Unwind Dir. Run – N/A
Unwind Dir. Finish –  N/A
Diecut/Continuous/Sheet –  Continuous
Partial Case –  Yes
Pieces per roll/Unit – 1 Roll
Length per roll/unit –  60 Yd
Finish – On Press
Application – </t>
  </si>
  <si>
    <t>50208 Cost of Goods Sold</t>
  </si>
  <si>
    <t>Slit Tape 3M 1181 Cu Foil Tape 0.270" x 60Yd</t>
  </si>
  <si>
    <t>105571:001</t>
  </si>
  <si>
    <t>Slit Tape - 3M 1181 Cu Foil Tape - 0.270" x 60Yd</t>
  </si>
  <si>
    <t>Number Across Run/Finish –  80/1
Where Finished –  On Press
Length per Roll/Unit – 60 Yd
Core Type –  As Recd.
Core Width – 0.27"
Core Label – No
Dividers – Paper
Bag Size – 
Qty. Per Bag – 10 Rolls
Box Size –  8 x 8 x 8
Qty. Per Box – 40 Rolls
Weight/box – 
Box Per Pallet – 
Pallet Type – </t>
  </si>
  <si>
    <t>Core  –  As Recd.
Width – 0.27"
Number Across Run/FInish –  80/1
Core Label – No
±10% –  Yes
Unwind Dir. Run – Copper Out
Unwind Dir. Finish –  Copper Out
Diecut/Continuous/Sheet –  Continuous
Partial Case –  Yes
Pieces per roll/Unit – 1 Roll
Length per roll/unit –  60 Yd
Finish – On Press
Application – </t>
  </si>
  <si>
    <t>50209 Cost of Goods Sold</t>
  </si>
  <si>
    <t>Die Cut Part AB 7405 Mask with Tab 43mm x 45mm</t>
  </si>
  <si>
    <t>C01431</t>
  </si>
  <si>
    <t>Die Cut Part - AB 7405 Mask with Tab - 43mm x 45mm</t>
  </si>
  <si>
    <t>Number Across Run/Finish –  1/1
Where Finished –  On Press
Length per Roll/Unit – 395'
Core Type –  3" Paper 1/8" Strouse Brown
Core Width – 1.875"
Core Label – Yes
Dividers – 
Bag Size – 
Qty. Per Bag – 4 Rolls
Box Size –  10 x 10 x 10
Qty. Per Box – 10 M
Weight/box – 
Box Per Pallet – 
Pallet Type – </t>
  </si>
  <si>
    <t>• _x001C__x001C__x001D_Core label to have "C01431" as part number.
• Box label to have "GASALERTMAX XT 13341" as part number.
Scan or email copy of Strouse CoC to CSR (Kesha)</t>
  </si>
  <si>
    <t>Core  –  3" Paper 1/8" Strouse Brown
Width – 1.875"
Number Across Run/FInish –  1/1
Core Label – Yes
±10% –  Yes
Unwind Dir. Run – Parts Out
Unwind Dir. Finish –  Parts Out
Diecut/Continuous/Sheet –  Die Cut
Partial Case –  Yes
Pieces per roll/Unit – 2,500
Length per roll/unit –  395'
Finish – On Press
Application – </t>
  </si>
  <si>
    <t>50210 Cost of Goods Sold</t>
  </si>
  <si>
    <t>Printed Tape White UPVC printed black with #6 1/2" x 80Yd</t>
  </si>
  <si>
    <t>806196105</t>
  </si>
  <si>
    <t>Printed Tape - White UPVC printed black with #6 - 1/2" x 80Yd</t>
  </si>
  <si>
    <t>Number Across Run/Finish –  11/1
Where Finished –  On Press
Length per Roll/Unit – 80 Yd
Core Type –  3" Paper 1/8" Strouse Brown
Core Width – 0.5"
Core Label – Yes - See Note
Dividers – Paper
Bag Size – 
Qty. Per Bag – 6 Rolls
Box Size –  12 x 12 x 13
Qty. Per Box – 66 Rolls
Weight/box – 
Box Per Pallet – 
Pallet Type – </t>
  </si>
  <si>
    <t>Plates are in flat drawer #4 by the plate maker</t>
  </si>
  <si>
    <t>50211 Cost of Goods Sold</t>
  </si>
  <si>
    <t>Slit Tape 8 mil Reinforced Double Sided tape 1/2" x 10Yd</t>
  </si>
  <si>
    <t>900512</t>
  </si>
  <si>
    <t>Slit Tape - 8 mil Reinforced Double Sided tape - 1/2" x 10Yd</t>
  </si>
  <si>
    <t>Number Across Run/Finish –  11/1
Where Finished –  On Press
Length per Roll/Unit – 10 Yd
Core Type –  3" Plastic 0.10" HDPE
Core Width – 0.5"
Core Label – Yes
Dividers – Paper
Bag Size – 
Qty. Per Bag – 24 Rolls
Box Size –  10 x 10 x 10
Qty. Per Box – 120 Rolls
Weight/box – 
Box Per Pallet – 
Pallet Type – </t>
  </si>
  <si>
    <t>No mention of Tesa on any packaging or labeling</t>
  </si>
  <si>
    <t>Core  –  3" Plastic 0.10" HDPE
Width – 0.5"
Number Across Run/FInish –  11/1
Core Label – Yes
±10% –  Yes
Unwind Dir. Run – Adh. In
Unwind Dir. Finish –  N/A
Diecut/Continuous/Sheet –  Continuous
Partial Case –  Yes
Pieces per roll/Unit – 1 Roll
Length per roll/unit –  10 Yd
Finish – On Press
Application – </t>
  </si>
  <si>
    <t>50212 Cost of Goods Sold</t>
  </si>
  <si>
    <t>Die Cut Part Mammo Circle with 1.0mm BB 0.6" Dia</t>
  </si>
  <si>
    <t>02129-001</t>
  </si>
  <si>
    <t>Die Cut Part - Mammo Circle with 1.0mm BB - 0.6" Dia</t>
  </si>
  <si>
    <t>Number Across Run/Finish –  1/1
Where Finished –  On Press
Length per Roll/Unit – 9'
Core Type –  3" Plastic 0.10" HDPE
Core Width – 1.25"
Core Label – Yes
Dividers – Lexmark Style
Bag Size – 
Qty. Per Bag – 1 Roll
Box Size –  12 x 12 x 12
Qty. Per Box – 1 M
Weight/box – 
Box Per Pallet – 
Pallet Type – </t>
  </si>
  <si>
    <t>Packaging to be similar to Lexmark.  5 rolls per layer
This is a medical application, keep as clean as possible.
Rewind direction is not critical.
MUST SEND C OF C and packing list with shipments:  Include applicable lot numbers for adhesives.  Line item description must also have our lot # (use line item #).</t>
  </si>
  <si>
    <t>Core  –  3" Plastic 0.10" HDPE
Width – 1.25"
Number Across Run/FInish –  1/1
Core Label – Yes
±10% –  Yes
Unwind Dir. Run – Parts Out
Unwind Dir. Finish –  Parts Out
Diecut/Continuous/Sheet –  Die Cut
Partial Case –  Yes
Pieces per roll/Unit – 100
Length per roll/unit –  9'
Finish – On Press
Application – </t>
  </si>
  <si>
    <t>When scanning BB's out of inventory, scan entire bag of 250 as you pour it into the dispenser.  At end of run, pour remaining BB's into a bag and marked as scanned.  These will not be counted as returned to inventory and can be used as set-up/start-up for the next run.  Use alcohol to clean tips of UV curing unit.</t>
  </si>
  <si>
    <t>50213 Cost of Goods Sold</t>
  </si>
  <si>
    <t>Die Cut Part Mammo Circle with 2.0mm BB 0.6" Dia</t>
  </si>
  <si>
    <t>02127-001</t>
  </si>
  <si>
    <t>Die Cut Part - Mammo Circle with 2.0mm BB - 0.6" Dia</t>
  </si>
  <si>
    <t>Number Across Run/Finish –  1/1
Where Finished –  On Press
Length per Roll/Unit – 9'
Core Type –  3" Plastic 0.10" HDPE
Core Width – 1.25"
Core Label – Yes
Dividers – Lexmark Style
Bag Size – 
Qty. Per Bag – 1 Roll
Box Size –  16 1/2 x 8 1/2 x 13
Qty. Per Box – 4 M
Weight/box – 
Box Per Pallet – 
Pallet Type – </t>
  </si>
  <si>
    <t>50214 Cost of Goods Sold</t>
  </si>
  <si>
    <t>Die Cut Part Mammo Circle with 2.5mm BB 0.6" Dia</t>
  </si>
  <si>
    <t>02126-001</t>
  </si>
  <si>
    <t>Die Cut Part - Mammo Circle with 2.5mm BB - 0.6" Dia</t>
  </si>
  <si>
    <t>Number Across Run/Finish –  1/1
Where Finished –  On Press
Length per Roll/Unit – 9'
Core Type –  3" Plastic 0.10" HDPE
Core Width – 1.25"
Core Label – Yes
Dividers – Lexmark Style
Bag Size – 
Qty. Per Bag – 1 Roll
Box Size –  14 x 14 x 10
Qty. Per Box – 6 M
Weight/box – 
Box Per Pallet – 
Pallet Type – </t>
  </si>
  <si>
    <t>Core  –  3" Plastic 0.10" HDPE
Width – 1.25"
Number Across Run/FInish –  1/1
Core Label – Yes
±10% –  Yes
Unwind Dir. Run – See Drawing
Unwind Dir. Finish –  See Drawing
Diecut/Continuous/Sheet –  Die Cut
Partial Case –  Yes
Pieces per roll/Unit – 100
Length per roll/unit –  9'
Finish – On Press
Application – </t>
  </si>
  <si>
    <t>50215 Cost of Goods Sold</t>
  </si>
  <si>
    <t>Die Cut Part DA53-88262-A5 supplied 2 up on roll 87.69mm x 25.4mm plus tab</t>
  </si>
  <si>
    <t>560.01-1</t>
  </si>
  <si>
    <t>Die Cut Part - DA53-88262-A5  supplied 2 up on roll - 87.69mm x 25.4mm plus tab</t>
  </si>
  <si>
    <t>Number Across Run/Finish –  2/2
Where Finished –  On Press
Length per Roll/Unit – 152'
Core Type –  6" Paper 3/8" Brown Brown
Core Width – 3.25"
Core Label – Yes
Dividers – 
Bag Size – 
Qty. Per Bag – 1 M
Box Size –  8 x 8 x 8
Qty. Per Box – 1 M
Weight/box – 
Box Per Pallet – 
Pallet Type – </t>
  </si>
  <si>
    <t>Place box label on two adjacent sides</t>
  </si>
  <si>
    <t>Core  –  6" Paper 3/8" Brown Brown
Width – 3.25"
Number Across Run/FInish –  2/2
Core Label – Yes
±10% –  Yes
Unwind Dir. Run – Parts Out
Unwind Dir. Finish –  Parts Out
Diecut/Continuous/Sheet –  Die Cut
Partial Case –  Yes
Pieces per roll/Unit – 1,000
Length per roll/unit –  152'
Finish – On Press
Application – </t>
  </si>
  <si>
    <t>50216 Cost of Goods Sold</t>
  </si>
  <si>
    <t>Die Cut Part 51825C Mask with Tab 43mm x 45mm</t>
  </si>
  <si>
    <t>C01510</t>
  </si>
  <si>
    <t>Die Cut Part - 51825C Mask with Tab - 43mm x 45mm</t>
  </si>
  <si>
    <t>Wind rolls as loose as possible
Scan or email copy of Strouse CoC to CSR (Kesha)</t>
  </si>
  <si>
    <t>Core  –  3" Paper 1/8" Strouse Brown
Width – 1.875"
Number Across Run/FInish –  1/1
Core Label – Yes
±10% –  Yes
Unwind Dir. Run – Parts Out
Unwind Dir. Finish –  
Diecut/Continuous/Sheet –  Die Cut
Partial Case –  Yes
Pieces per roll/Unit – 2,500
Length per roll/unit –  395'
Finish – On Press
Application – </t>
  </si>
  <si>
    <t>50217 Cost of Goods Sold</t>
  </si>
  <si>
    <t>Sheeted Part SJ3540 1/2" x 2"</t>
  </si>
  <si>
    <t>889885</t>
  </si>
  <si>
    <t>Sheeted Part - SJ3540 - 1/2" x 2"</t>
  </si>
  <si>
    <t>Number Across Run/Finish –  1/1
Where Finished –  On Press
Length per Roll/Unit – 105'
Core Type –  N/A
Core Width – N/A
Core Label – No
Dividers – 
Bag Size – 
Qty. Per Bag – 2.5 M
Box Size –  10 x 10 x 10
Qty. Per Box – 3 M
Weight/box – 
Box Per Pallet – 
Pallet Type – </t>
  </si>
  <si>
    <t>Core  –  N/A
Width – N/A
Number Across Run/FInish –  1/1
Core Label – No
±10% –  Yes
Unwind Dir. Run – N/A
Unwind Dir. Finish –  N/A
Diecut/Continuous/Sheet –  Sheet
Partial Case –  Yes
Pieces per roll/Unit – 1 Roll
Length per roll/unit –  105'
Finish – On Press
Application – </t>
  </si>
  <si>
    <t>50218 Cost of Goods Sold</t>
  </si>
  <si>
    <t>Printed Label Mammo Circle for BB application 0.6" Dia</t>
  </si>
  <si>
    <t>5979</t>
  </si>
  <si>
    <t>Printed Label - Mammo Circle for BB application - 0.6" Dia</t>
  </si>
  <si>
    <t>Number Across Run/Finish –  4/1
Where Finished –  Off Press
Length per Roll/Unit – 835'
Core Type –  6" plastic, 0.155" PP
Core Width – 1.25"
Core Label – Yes
Dividers – 
Bag Size – 
Qty. Per Bag – 1 
Box Size –  12 x 12 x 12
Qty. Per Box – 8 
Weight/box – 
Box Per Pallet – 
Pallet Type – </t>
  </si>
  <si>
    <t>Rolls off press to be boxed and entered into inventory for as needed processing of the BB's
When entering finished parts into RAW material inventory; use Cat# 14662 and enter number of parts as length in inches.  Use the work order line item as the Lot # (This provides traceability back to the raw materials used).
Get a Final sign-off from QC before taking rolls to Finishing.</t>
  </si>
  <si>
    <t>Core  –  6" plastic, 0.155" PP
Width – 1.25"
Number Across Run/FInish –  4/1
Core Label – Yes
±10% –  Yes
Unwind Dir. Run – N/A
Unwind Dir. Finish –  N/A
Diecut/Continuous/Sheet –  Die Cut
Partial Case –  Yes
Pieces per roll/Unit – 1 Roll
Length per roll/unit –  835'
Finish – Off Press
Application – </t>
  </si>
  <si>
    <t>Tape guide kept in die box.</t>
  </si>
  <si>
    <t>50219 Cost of Goods Sold</t>
  </si>
  <si>
    <t>Fabricated Part ST-1715 Bonding Film 0.875" Dia</t>
  </si>
  <si>
    <t>839385003</t>
  </si>
  <si>
    <t>Fabricated Part - ST-1715 Bonding Film - 0.875" Dia</t>
  </si>
  <si>
    <t>Number Across Run/Finish –  5/1
Where Finished –  On Press
Length per Roll/Unit – 84'
Core Type –  3" Plastic 0.10" HDPE
Core Width – 1.125"
Core Label – Yes
Dividers – IZI BB style
Bag Size – 
Qty. Per Bag – 1 M
Box Size –  10 x 10 x 10
Qty. Per Box – 36 M
Weight/box – 
Box Per Pallet – 
Pallet Type – </t>
  </si>
  <si>
    <t xml:space="preserve">Use same polyflute divider as we use for IZI BB's.  4 stacks of 9 rolls in a 12x12x12.  </t>
  </si>
  <si>
    <t>Core  –  3" Plastic 0.10" HDPE
Width – 1.125"
Number Across Run/FInish –  5/1
Core Label – Yes
±10% –  Yes
Unwind Dir. Run – N/A
Unwind Dir. Finish –  Out
Diecut/Continuous/Sheet –  Die Cut
Partial Case –  Yes
Pieces per roll/Unit – 1,000
Length per roll/unit –  84'
Finish – On Press
Application – </t>
  </si>
  <si>
    <t>HEATED ANVIL - RUNS BEST ON DELTA 5. Should wear goggles, gloves, and dust mask when handling 583.</t>
  </si>
  <si>
    <t>50220 Cost of Goods Sold</t>
  </si>
  <si>
    <t>Printed Tape White UPVC printed black #1 1/2" x 80Yd</t>
  </si>
  <si>
    <t>806196100</t>
  </si>
  <si>
    <t>Printed Tape - White UPVC printed black #1 - 1/2" x 80Yd</t>
  </si>
  <si>
    <t>Number Across Run/Finish –  11/1
Where Finished –  On Press
Length per Roll/Unit – 80 Yd
Core Type –  3" Paper 1/8" Strouse Brown
Core Width – 0.5"
Core Label – Yes - See Note
Dividers – Paper
Bag Size – 
Qty. Per Bag – 6 Rolls
Box Size –  10 x 10 x 10
Qty. Per Box – 66 Rolls
Weight/box – 
Box Per Pallet – 
Pallet Type – </t>
  </si>
  <si>
    <t>50221 Cost of Goods Sold</t>
  </si>
  <si>
    <t>Printed Tape White UPVC printed black #2 1/2" x 80Yd</t>
  </si>
  <si>
    <t>806196101</t>
  </si>
  <si>
    <t>Printed Tape - White UPVC printed black #2 - 1/2" x 80Yd</t>
  </si>
  <si>
    <t>50222 Cost of Goods Sold</t>
  </si>
  <si>
    <t>Printed Tape White UPVC printed black "3" 1/2" x 80Yd</t>
  </si>
  <si>
    <t>806196102</t>
  </si>
  <si>
    <t>Printed Tape - White UPVC printed black "3" - 1/2" x 80Yd</t>
  </si>
  <si>
    <t>Number Across Run/Finish –  11/1
Where Finished –  On Press
Length per Roll/Unit – 80 Yd
Core Type –  3" Paper 1/8" Custom White
Core Width – 0.5"
Core Label – Yes - See Note
Dividers – Paper
Bag Size – 
Qty. Per Bag – 6 Rolls
Box Size –  10 x 10 x 10
Qty. Per Box – 66 Rolls
Weight/box – 
Box Per Pallet – 
Pallet Type – </t>
  </si>
  <si>
    <t>Core  –  3" Paper 1/8" Custom White
Width – 0.5"
Number Across Run/FInish –  11/1
Core Label – Yes - See Note
±10% –  Yes
Unwind Dir. Run – 1
Unwind Dir. Finish –  1
Diecut/Continuous/Sheet –  Continuous
Partial Case –  Yes
Pieces per roll/Unit – 1 Roll
Length per roll/unit –  80 Yd
Finish – On Press
Application – </t>
  </si>
  <si>
    <t>50223 Cost of Goods Sold</t>
  </si>
  <si>
    <t>Printed Tape White UPVC printed black "4" 1/2" x 80Yd</t>
  </si>
  <si>
    <t>806196103</t>
  </si>
  <si>
    <t>Printed Tape - White UPVC printed black "4" - 1/2" x 80Yd</t>
  </si>
  <si>
    <t>50224 Cost of Goods Sold</t>
  </si>
  <si>
    <t>Printed material Input material for die cutting process 6" wide</t>
  </si>
  <si>
    <t>6040</t>
  </si>
  <si>
    <t>Printed material - Input material for die cutting process  - 6" wide</t>
  </si>
  <si>
    <t>Number Across Run/Finish –  1/1
Where Finished –  On Press
Length per Roll/Unit – 3,000'
Core Type –  3" Plastic 0.10" HDPE
Core Width – 1.25"
Core Label – 
Dividers – 
Bag Size – 
Qty. Per Bag – 1 
Box Size –  12 x 12 x 12
Qty. Per Box – 8 
Weight/box – 
Box Per Pallet – 
Pallet Type – </t>
  </si>
  <si>
    <t>You need a different work order for each Lot of material</t>
  </si>
  <si>
    <t>Core  –  3" Plastic 0.10" HDPE
Width – 1.25"
Number Across Run/FInish –  1/1
Core Label – 
±10% –  Yes
Unwind Dir. Run – N/A
Unwind Dir. Finish –  N/A
Diecut/Continuous/Sheet –  Continuous
Partial Case –  N/A
Pieces per roll/Unit – 1 Roll
Length per roll/unit –  3,000'
Finish – On Press
Application – </t>
  </si>
  <si>
    <t>50225 Cost of Goods Sold</t>
  </si>
  <si>
    <t>Die Cut Foil ChromAir with slot 3.433" x 0.833"</t>
  </si>
  <si>
    <t>03-0501</t>
  </si>
  <si>
    <t>Die Cut Foil - ChromAir with slot - 3.433" x 0.833"</t>
  </si>
  <si>
    <t>Number Across Run/Finish –  8/1
Where Finished –  On Press
Length per Roll/Unit – 302'
Core Type –  3" Paper 1/8" Strouse Brown
Core Width – 0.933"
Core Label – Yes
Dividers – 
Bag Size – 
Qty. Per Bag – 10 M
Box Size –  12 x 12 x 12
Qty. Per Box – 40 M
Weight/box – 
Box Per Pallet – 
Pallet Type – </t>
  </si>
  <si>
    <t>Core  –  3" Paper 1/8" Strouse Brown
Width – 0.933"
Number Across Run/FInish –  8/1
Core Label – Yes
±10% –  Yes
Unwind Dir. Run – Foil Out
Unwind Dir. Finish –  Foil Out
Diecut/Continuous/Sheet –  Die Cut
Partial Case –  Yes
Pieces per roll/Unit – 1,000
Length per roll/unit –  302'
Finish – On Press
Application – </t>
  </si>
  <si>
    <t>50226 Cost of Goods Sold</t>
  </si>
  <si>
    <t>Die Cut Foil ChromAir with 6 holes 3.433" x 0.914"</t>
  </si>
  <si>
    <t>03-0500</t>
  </si>
  <si>
    <t>Die Cut Foil - ChromAir with 6 holes - 3.433" x 0.914"</t>
  </si>
  <si>
    <t>Number Across Run/Finish –  8/1
Where Finished –  On Press
Length per Roll/Unit – 302'
Core Type –  3" Paper 1/8" Strouse Brown
Core Width – 1.014"
Core Label – Yes
Dividers – 
Bag Size – 
Qty. Per Bag – 10 M
Box Size –  14 x 14 x 14
Qty. Per Box – 40 M
Weight/box – 
Box Per Pallet – 
Pallet Type – </t>
  </si>
  <si>
    <t>Core  –  3" Paper 1/8" Strouse Brown
Width – 1.014"
Number Across Run/FInish –  8/1
Core Label – Yes
±10% –  Yes
Unwind Dir. Run – Foil Out
Unwind Dir. Finish –  Foil Out
Diecut/Continuous/Sheet –  Die Cut
Partial Case –  Yes
Pieces per roll/Unit – 1,000
Length per roll/unit –  302'
Finish – On Press
Application – </t>
  </si>
  <si>
    <t>50227 Cost of Goods Sold</t>
  </si>
  <si>
    <t>Die Cut Part TK4 Grill Mask 70mm x 100mm</t>
  </si>
  <si>
    <t>1CPTP.P001.9000</t>
  </si>
  <si>
    <t>Die Cut Part - TK4 Grill Mask - 70mm x 100mm</t>
  </si>
  <si>
    <t>Number Across Run/Finish –  1/1
Where Finished –  On Press
Length per Roll/Unit – 240'
Core Type –  3" Paper 1/8" White Brown
Core Width – 4.5"
Core Label – Yes
Dividers – 
Bag Size – 
Qty. Per Bag – 1 M
Box Size –  10 x 10 x 10
Qty. Per Box – 5 M
Weight/box – 
Box Per Pallet – 
Pallet Type – </t>
  </si>
  <si>
    <t>Please put a box label on two sides.
931 is the replacement of 932. TF 6/19/2017</t>
  </si>
  <si>
    <t>Core  –  3" Paper 1/8" White Brown
Width – 4.5"
Number Across Run/FInish –  1/1
Core Label – Yes
±10% –  No
Unwind Dir. Run – Parts Out
Unwind Dir. Finish –  Parts Out
Diecut/Continuous/Sheet –  Die Cut
Partial Case –  No
Pieces per roll/Unit – 1,000
Length per roll/unit –  240'
Finish – On Press
Application – </t>
  </si>
  <si>
    <t>Check condition of 931(replacement of 932) rolls for coning, if more than 0.5" advise Production or Quality Manager.</t>
  </si>
  <si>
    <t>50228 Cost of Goods Sold</t>
  </si>
  <si>
    <t>Fabricated Part Ocular Membrane 6.35mm x 44.45mm</t>
  </si>
  <si>
    <t>PALL PES Supor-200</t>
  </si>
  <si>
    <t>Fabricated Part - Ocular Membrane - 6.35mm x 44.45mm</t>
  </si>
  <si>
    <t>Number Across Run/Finish –  1/1
Where Finished –  Off Press
Length per Roll/Unit – 105'
Core Type –  3" Plastic
Core Width – 1.79"
Core Label – Yes
Dividers – 
Bag Size – 
Qty. Per Bag – 1 Roll
Box Size –  16.5 x 16.5 x 10.25
Qty. Per Box – 4 M
Weight/box – 
Box Per Pallet – 
Pallet Type – </t>
  </si>
  <si>
    <t>WIPE REWIND WITH ALCOHOL AND USE GLOVES AND HAIR NETS WHEN HANDLING MEMBRANE AND FINISHED ROLLS.  Rewind to remove remaining chads and broken /deformed parts.  Missing parts ok, but partially detached and deformed parts are not.  See splice sample and use splicing template to make any splice in material.  Remove any raw material splices.  USE STATIC BARS ON ALL PROCESS - PRESS AND REWIND</t>
  </si>
  <si>
    <t>Core  –  3" Plastic
Width – 1.79"
Number Across Run/FInish –  1/1
Core Label – Yes
±10% –  Yes
Unwind Dir. Run – Parts In
Unwind Dir. Finish –  Parts In
Diecut/Continuous/Sheet –  Continuous Die Cut
Partial Case –  Yes
Pieces per roll/Unit – 5,000
Length per roll/unit –  105'
Finish – Off Press
Application – </t>
  </si>
  <si>
    <t>50229 Cost of Goods Sold</t>
  </si>
  <si>
    <t>Sheeted Part Orange vinyl strips 15" x 2.75"</t>
  </si>
  <si>
    <t>GE15x2.75RTV</t>
  </si>
  <si>
    <t>Sheeted Part - Orange vinyl strips - 15" x 2.75"</t>
  </si>
  <si>
    <t>Number Across Run/Finish –  1/1
Where Finished –  On Press
Length per Roll/Unit – 250'
Core Type –  N/A
Core Width – N/A
Core Label – Yes - on bag
Dividers – 
Bag Size – 
Qty. Per Bag – 0.2 M
Box Size –  Log Cradles
Qty. Per Box – 3 M
Weight/box – 
Box Per Pallet – 
Pallet Type – </t>
  </si>
  <si>
    <t>Core  –  N/A
Width – N/A
Number Across Run/FInish –  1/1
Core Label – Yes - on bag
±10% –  Yes
Unwind Dir. Run – N/A
Unwind Dir. Finish –  N/A
Diecut/Continuous/Sheet –  Sheet
Partial Case –  Yes
Pieces per roll/Unit – 200
Length per roll/unit –  250'
Finish – On Press
Application – </t>
  </si>
  <si>
    <t>Check back on retains from earlier in the run to assure there are not unidentified tension issues causing deformation of the finished parts over time.</t>
  </si>
  <si>
    <t>50230 Cost of Goods Sold</t>
  </si>
  <si>
    <t>Tape 3M 401+ with 78# liner 30" x 50'</t>
  </si>
  <si>
    <t>401+/30</t>
  </si>
  <si>
    <t>Tape - 3M 401+ with 78# liner - 30" x 50'</t>
  </si>
  <si>
    <t>Number Across Run/Finish –  1/1
Where Finished –  On Press
Length per Roll/Unit – 50'
Core Type –  3" Paper 1/8" Strouse Brown
Core Width – 30.25"
Core Label – Yes
Dividers – 
Bag Size – 
Qty. Per Bag – 
Box Size –  14 x 14 x 10
Qty. Per Box – 
Weight/box – 
Box Per Pallet – 
Pallet Type – </t>
  </si>
  <si>
    <t>Box size: Log Cradles</t>
  </si>
  <si>
    <t>Core  –  3" Paper 1/8" Strouse Brown
Width – 30.25"
Number Across Run/FInish –  1/1
Core Label – Yes
±10% –  No
Unwind Dir. Run – Tape Out
Unwind Dir. Finish –  Tape Out
Diecut/Continuous/Sheet –  Continuous
Partial Case –  No
Pieces per roll/Unit – 1 Roll
Length per roll/unit –  50'
Finish – On Press
Application – </t>
  </si>
  <si>
    <t>Liner width can be up to 30.5" Max.
Splices are allowed, per Sales.</t>
  </si>
  <si>
    <t>50231 Cost of Goods Sold</t>
  </si>
  <si>
    <t>Perfed Part Black Volara foam with perf #P084047B 18.25" x 3"</t>
  </si>
  <si>
    <t>105563923001</t>
  </si>
  <si>
    <t>Perfed Part - Black Volara foam with perf #P084047B - 18.25" x 3"</t>
  </si>
  <si>
    <t>Number Across Run/Finish –  3/1
Where Finished –  On Press
Length per Roll/Unit – 100'
Core Type –  3" Paper 1/8" White Brown
Core Width – 3"
Core Label – Yes
Dividers – 
Bag Size – 
Qty. Per Bag – 3 Rolls
Box Size –  14 x 14 x 14
Qty. Per Box – 3 Rolls
Weight/box – 
Box Per Pallet – 
Pallet Type – </t>
  </si>
  <si>
    <t>Use core label format: 6118 Core</t>
  </si>
  <si>
    <t>Core  –  3" Paper 1/8" White Brown
Width – 3"
Number Across Run/FInish –  3/1
Core Label – Yes
±10% –  Yes
Unwind Dir. Run – Foam Out
Unwind Dir. Finish –  Foam Out
Diecut/Continuous/Sheet –  Continuous Die Cut
Partial Case –  Yes
Pieces per roll/Unit – 65
Length per roll/unit –  100'
Finish – On Press
Application – </t>
  </si>
  <si>
    <t>You should have 23 set changes per hour - if you are having difficulty please use the production delay to inform others.
Can re-use raw material cores for finished product as long as core is in good shape.
Can splice rolls if perf breaks.</t>
  </si>
  <si>
    <t>50232 Cost of Goods Sold</t>
  </si>
  <si>
    <t>Foam 0.125"T 2AFR Black Volara with PSA-60 3" x 100'</t>
  </si>
  <si>
    <t>P084046D</t>
  </si>
  <si>
    <t>Foam - 0.125"T 2AFR Black Volara with PSA-60 - 3" x 100'</t>
  </si>
  <si>
    <t>Number Across Run/Finish –  18/1
Where Finished –  On Press
Length per Roll/Unit – 100'
Core Type –  As Recd.
Core Width – 3"
Core Label – Yes
Dividers – See Note
Bag Size – 
Qty. Per Bag – 
Box Size –  Best Fit Per Qty
Qty. Per Box – 4 Rolls
Weight/box – 
Box Per Pallet – 24
Pallet Type – </t>
  </si>
  <si>
    <t>Please use "P084046D" as the product ID on core and box labels.  Product ID on work order may be different because of the way the customer orders / identifies product.
*New proposed packaging method - 13 x 13 dividers; top &amp; bottom of box only.  MF 12/14/2020</t>
  </si>
  <si>
    <t>Core  –  As Recd.
Width – 3"
Number Across Run/FInish –  18/1
Core Label – Yes
±10% –  Ask
Unwind Dir. Run – N/A
Unwind Dir. Finish –  N/A
Diecut/Continuous/Sheet –  Continuous
Partial Case –  No
Pieces per roll/Unit – 1 Roll
Length per roll/unit –  100'
Finish – On Press
Application – </t>
  </si>
  <si>
    <t>50233 Cost of Goods Sold</t>
  </si>
  <si>
    <t>Slit Tape 3M 60 Teflon Tape Various size x 36Yd</t>
  </si>
  <si>
    <t>Slit Tape - 3M 60 Teflon Tape - Various size x 36Yd</t>
  </si>
  <si>
    <t>Number Across Run/Finish –  ?/1
Where Finished –  On Press
Length per Roll/Unit – 36 Yd
Core Type –  3" Plastic 0.10" HDPE
Core Width – Various
Core Label – Yes - Trim to Fit
Dividers – 
Bag Size – 
Qty. Per Bag – 1 Roll
Box Size –  9 x 9 x 13
Qty. Per Box – Best fit per order 
Weight/box – 
Box Per Pallet – 
Pallet Type – </t>
  </si>
  <si>
    <t>See work order for additional special instructions.  
• Use 4 mil bags and tabletop impulse sealer to heat seal rolls Individually.  Check the integrity of the seal.  
• Place a core label on the core.  Trim to fit.  Must have expiration date on core label.  This is the date on the pick list plus 5 years.  Have QC inspect all core/box labels before labeling anything.
• 3M MFG CERT WITH SHELF LIFE (75% REMAINING) MUST GO WITH EACH ITEM AND A C OF C WITH 3M LOT #.
• Check the lot # on the core of the material vs the material cert vs the core/box labels to assure they all agree.</t>
  </si>
  <si>
    <t>Core  –  3" Plastic 0.10" HDPE
Width – Various
Number Across Run/FInish –  ?/1
Core Label – Yes - Trim to Fit
±10% –  Yes
Unwind Dir. Run – N/A
Unwind Dir. Finish –  Adh. In
Diecut/Continuous/Sheet –  Continuous
Partial Case –  Yes
Pieces per roll/Unit – 1 Roll
Length per roll/unit –  36 Yd
Finish – On Press
Application – </t>
  </si>
  <si>
    <t>Final Sign Off must be done by Quality</t>
  </si>
  <si>
    <t>50234 Cost of Goods Sold</t>
  </si>
  <si>
    <t>Die Cut Part Race Track 1" x 2.5"</t>
  </si>
  <si>
    <t>257C1438P001</t>
  </si>
  <si>
    <t>Die Cut Part - Race Track - 1" x 2.5"</t>
  </si>
  <si>
    <t>Number Across Run/Finish –  2/1
Where Finished –  On Press
Length per Roll/Unit – 130'
Core Type –  3" Paper 1/8" White Brown
Core Width – 2.5"
Core Label – Yes
Dividers – 
Bag Size – 
Qty. Per Bag – 4 Rolls
Box Size –  16 1/2 x 8 1/2 x 13
Qty. Per Box – 4 M
Weight/box – 
Box Per Pallet – 
Pallet Type – </t>
  </si>
  <si>
    <t>-No Mention of Strouse on any packaging or labeling
-Product Label to say "Prescotech"
-Box Label must be in upper left hand corner of box per customer
Box label format in Easy Label correct, Product ID: 257C1438P001; 257C1438P001/MSGEFM0006 incorporated in label description.  
Core Label: 257C1438P001</t>
  </si>
  <si>
    <t>Core  –  3" Paper 1/8" White Brown
Width – 2.5"
Number Across Run/FInish –  2/1
Core Label – Yes
±10% –  Yes
Unwind Dir. Run – Parts Out
Unwind Dir. Finish –  Parts Out
Diecut/Continuous/Sheet –  Die Cut
Partial Case –  Yes
Pieces per roll/Unit – 1,000
Length per roll/unit –  130'
Finish – On Press
Application – </t>
  </si>
  <si>
    <t>Any Delta but Delta 2.  Need web guide on a bottom spindle.</t>
  </si>
  <si>
    <t>50235 Cost of Goods Sold</t>
  </si>
  <si>
    <t>Fabricated Part Blue arrow with Adh. 0.5" x 5.5"</t>
  </si>
  <si>
    <t>C60015522004</t>
  </si>
  <si>
    <t>Fabricated Part - Blue arrow with Adh. - 0.5" x 5.5"</t>
  </si>
  <si>
    <t>Number Across Run/Finish –  1/1
Where Finished –  On Press
Length per Roll/Unit – 262'
Core Type –  3" Paper 1/8" White Brown
Core Width – 6.0"
Core Label – Yes
Dividers – 
Bag Size – 
Qty. Per Bag – 2 Rolls
Box Size –  10 x 10 x 10
Qty. Per Box – 20 M
Weight/box – 
Box Per Pallet – 
Pallet Type – </t>
  </si>
  <si>
    <t>Core  –  3" Paper 1/8" White Brown
Width – 6.0"
Number Across Run/FInish –  1/1
Core Label – Yes
±10% –  Yes
Unwind Dir. Run – Parts Out
Unwind Dir. Finish –  Parts Out
Diecut/Continuous/Sheet –  Die Cut
Partial Case –  Yes
Pieces per roll/Unit – 5,000
Length per roll/unit –  262'
Finish – On Press
Application – </t>
  </si>
  <si>
    <t>Use doctor blade with 200 anilox &amp; add cup of extender to ink &amp; 440 no Dr blade OR
2 - 440 no Dr blades - this is a little on the dark side and could use extender.
I believe 2 - 600 anilox's no Dr blades would make it spot on. MS
This runs best in two passes.</t>
  </si>
  <si>
    <t>50236 Cost of Goods Sold</t>
  </si>
  <si>
    <t>Die Cut Part 3M 1181 5.90mm x 13.20mm</t>
  </si>
  <si>
    <t>13975</t>
  </si>
  <si>
    <t>Die Cut Part - 3M 1181 - 5.90mm x 13.20mm</t>
  </si>
  <si>
    <t>Number Across Run/Finish –  1/1
Where Finished –  On Press
Length per Roll/Unit – 75'
Core Type –  3" Paper 1/8" Strouse Brown
Core Width – 1.0"
Core Label – Yes
Dividers – 
Bag Size – 
Qty. Per Bag – 3 Rolls
Box Size –  14 x 14 x 8
Qty. Per Box – 15 M
Weight/box – 
Box Per Pallet – 
Pallet Type – </t>
  </si>
  <si>
    <t>Material Certificate Requirements:
Must be on supplier's letterhead "C of C"; (not manufacturer's).
Must include DiMax PO Number and Part Number.
Must include Origin Date, Shelf Life and Expiration Date of adhesive (if applicable).</t>
  </si>
  <si>
    <t>Core  –  3" Paper 1/8" Strouse Brown
Width – 1.0"
Number Across Run/FInish –  1/1
Core Label – Yes
±10% –  Yes
Unwind Dir. Run – Parts Out
Unwind Dir. Finish –  Parts Out
Diecut/Continuous/Sheet –  Die Cut
Partial Case –  Yes
Pieces per roll/Unit – 2,500
Length per roll/unit –  75'
Finish – On Press
Application – </t>
  </si>
  <si>
    <t>50237 Cost of Goods Sold</t>
  </si>
  <si>
    <t>Slit Film 3M 1350F-2 Black 66.5mm x 195m</t>
  </si>
  <si>
    <t>6219</t>
  </si>
  <si>
    <t>Slit Film - 3M 1350F-2 Black - 66.5mm x 195m</t>
  </si>
  <si>
    <t>Number Across Run/Finish –  4/1
Where Finished –  On Press
Length per Roll/Unit – 216 Yd
Core Type –  3" Paper 1/8" Strouse Brown
Core Width – 66.5 mm
Core Label – Yes
Dividers – Paper
Bag Size – 
Qty. Per Bag – 3 Rolls
Box Size –  16 1/2 x 8 1/2 x 13
Qty. Per Box – 9 Rolls
Weight/box – 
Box Per Pallet – 
Pallet Type – </t>
  </si>
  <si>
    <t>Must be packed 9 rolls per case.</t>
  </si>
  <si>
    <t>Core  –  3" Paper 1/8" Strouse Brown
Width – 66.5 mm
Number Across Run/FInish –  4/1
Core Label – Yes
±10% –  Yes
Unwind Dir. Run – N/A
Unwind Dir. Finish –  N/A
Diecut/Continuous/Sheet –  Continuous
Partial Case –  Yes
Pieces per roll/Unit – 1 Roll
Length per roll/unit –  216 Yd
Finish – On Press
Application – </t>
  </si>
  <si>
    <t>50238 Cost of Goods Sold</t>
  </si>
  <si>
    <t>Die Cut Part AB 7405 45mm x 73mm</t>
  </si>
  <si>
    <t>C01705</t>
  </si>
  <si>
    <t>Die Cut Part - AB 7405 - 45mm x 73mm</t>
  </si>
  <si>
    <t>Number Across Run/Finish –  1/1
Where Finished –  On Press
Length per Roll/Unit – 417'
Core Type –  3" Paper 1/8" Strouse Brown
Core Width – 3.250"
Core Label – Yes
Dividers – 
Bag Size – 
Qty. Per Bag – 3 Rolls
Box Size –  12 x 12 x 12
Qty. Per Box – 15 M
Weight/box – 
Box Per Pallet – 
Pallet Type – </t>
  </si>
  <si>
    <t>Core  –  3" Paper 1/8" Strouse Brown
Width – 3.250"
Number Across Run/FInish –  1/1
Core Label – Yes
±10% –  Yes
Unwind Dir. Run – Parts Out
Unwind Dir. Finish –  Parts Out
Diecut/Continuous/Sheet –  Die Cut
Partial Case –  Yes
Pieces per roll/Unit – 2,500
Length per roll/unit –  417'
Finish – On Press
Application – </t>
  </si>
  <si>
    <t>50239 Cost of Goods Sold</t>
  </si>
  <si>
    <t>Die Cut Part Adh. Transfer Tape - No Tab 0.105" x 0.105"</t>
  </si>
  <si>
    <t>G6010070-011 Rev B</t>
  </si>
  <si>
    <t>Die Cut Part - Adh. Transfer Tape - No Tab - 0.105" x 0.105"</t>
  </si>
  <si>
    <t>Number Across Run/Finish –  4/1
Where Finished –  On Press
Length per Roll/Unit – 94'
Core Type –  3" Plastic 0.10" HDPE
Core Width – 0.5"
Core Label – Yes - See Note
Dividers – Special Polyflute
Bag Size – 
Qty. Per Bag – 25 M
Box Size –  16 x 16 x 10-1/4
Qty. Per Box – 60 Rolls
Weight/box – 
Box Per Pallet – 
Pallet Type – </t>
  </si>
  <si>
    <t>Must wear clean room coats, hair nets, and gloves while processing.
48" Leader and Trailer on each roll.
Core label to go: on each roll, on Shrink film, and on 7" x 4" x 18" bags.
Stock lot # goes on the core label.
Put 5 rolls (25 M) on a 3" end cap (Badger Plug 202920) with fluted poly pro dividers between each roll.  Heat Shrink the set of 5, and set inside a 7" x 4" x 18" bag; sealing with a twist tie.  Package 300 M per 12 x 12 x 12 box.  
C of C to be attached to all shipments (requires authorized signature)
Must include: SUPPLIER'S NAME, PO #, QTY, DRAWING # and CORRECT REV, PART # and CORRECT REV (Per Table 1), STROUSE LOT #, STOCK LOT # ('s), STROUSE DATE OF MFG., SHELF LIFE: (1 YEAR FROM DATE OF MFG. BY STROUSE), DATE, ADHESIVE THICKNESS, and the verbiage:
Shelf life and storage temperature: 12 Months.
Stored in original package at 60°F-80°F and relative humidity of 20%-60%.</t>
  </si>
  <si>
    <t>Core  –  3" Plastic 0.10" HDPE
Width – 0.5"
Number Across Run/FInish –  4/1
Core Label – Yes - See Note
±10% –  No
Unwind Dir. Run – Parts In
Unwind Dir. Finish –  Parts In
Diecut/Continuous/Sheet –  Die Cut
Partial Case –  Yes
Pieces per roll/Unit – 5,000
Length per roll/unit –  94'
Finish – On Press
Application – </t>
  </si>
  <si>
    <t>Can use DA 381</t>
  </si>
  <si>
    <t>50240 Cost of Goods Sold</t>
  </si>
  <si>
    <t>Sheeted Part 3M 401+, Linered 16" x 12"</t>
  </si>
  <si>
    <t>6241</t>
  </si>
  <si>
    <t>Sheeted Part - 3M 401+, Linered - 16" x 12"</t>
  </si>
  <si>
    <t>Number Across Run/Finish –  1/1
Where Finished –  On Press
Length per Roll/Unit – 667'
Core Type –  N/A
Core Width – N/A
Core Label – No
Dividers – 
Bag Size – 
Qty. Per Bag – 500 Each
Box Size –  10 x 10 x 10
Qty. Per Box – 500 Each
Weight/box – 
Box Per Pallet – 
Pallet Type – </t>
  </si>
  <si>
    <t>Core  –  N/A
Width – N/A
Number Across Run/FInish –  1/1
Core Label – No
±10% –  Yes
Unwind Dir. Run – N/A
Unwind Dir. Finish –  N/A
Diecut/Continuous/Sheet –  Sheet
Partial Case –  Yes
Pieces per roll/Unit – 500
Length per roll/unit –  667'
Finish – On Press
Application – </t>
  </si>
  <si>
    <t xml:space="preserve">Alternate run method: Run on Pace 1 using PA 1. </t>
  </si>
  <si>
    <t>50241 Cost of Goods Sold</t>
  </si>
  <si>
    <t>Slit Tape 3M 56 1/8" x 72Yd</t>
  </si>
  <si>
    <t>C12120-0001</t>
  </si>
  <si>
    <t>Slit Tape - 3M 56 - 1/8" x 72Yd</t>
  </si>
  <si>
    <t>Number Across Run/Finish –  180/1
Where Finished –  On Press
Length per Roll/Unit – 72 Yd
Core Type –  3" Plastic 0.10" HDPE
Core Width – 0.125"
Core Label – Yes - on bag
Dividers – 
Bag Size – 
Qty. Per Bag – 1 Roll
Box Size –  14 x 14 x 14
Qty. Per Box – 180 Rolls
Weight/box – 
Box Per Pallet – 
Pallet Type – </t>
  </si>
  <si>
    <t xml:space="preserve">See work order for additional special instructions.
Use 4 mil bags and tabletop impulse sealer to heat seal rolls Individually. Check the integrity of the seal.  
Place a core label on the outside of the bag.  No core label on the core.
3M MFG CERT WITH SHELF LIFE (66% OF SHELF LIFE) MUST GO WITH EACH ITEM
Check the lot # on the core of the material versus the material cert versus the bag(core) and box labels to assure they all agree.
</t>
  </si>
  <si>
    <t>Core  –  3" Plastic 0.10" HDPE
Width – 0.125"
Number Across Run/FInish –  180/1
Core Label – Yes - on bag
±10% –  Yes
Unwind Dir. Run – N/A
Unwind Dir. Finish –  N/A
Diecut/Continuous/Sheet –  Continuous
Partial Case –  Yes
Pieces per roll/Unit – 1 Roll
Length per roll/unit –  72 Yd
Finish – On Press
Application – </t>
  </si>
  <si>
    <t>Final Sign Off must be done by Quality
You must use a “B” profile blade.</t>
  </si>
  <si>
    <t>50242 Cost of Goods Sold</t>
  </si>
  <si>
    <t>Slit Tape CSM slit to width See Work order x 164'</t>
  </si>
  <si>
    <t>6247</t>
  </si>
  <si>
    <t>Slit Tape - CSM slit to width - See Work order x 164'</t>
  </si>
  <si>
    <t>Number Across Run/Finish –  1/1
Where Finished –  On Press
Length per Roll/Unit – 164'
Core Type –  3" Paper 0.180" Brown Brown
Core Width – See WO
Core Label – No
Dividers – Paper
Bag Size – 
Qty. Per Bag – 1 
Box Size –  12 x 12 x 12
Qty. Per Box – 1 
Weight/box – 
Box Per Pallet – 
Pallet Type – </t>
  </si>
  <si>
    <t>Package best fit per order.
Can use original box if in good condition and available.
Use square end caps in rolls.  Package rolls securely in box.</t>
  </si>
  <si>
    <t>Core  –  3" Paper 0.180" Brown Brown
Width – See WO
Number Across Run/FInish –  1/1
Core Label – No
±10% –  No
Unwind Dir. Run – N/A
Unwind Dir. Finish –  N/A
Diecut/Continuous/Sheet –  Continuous
Partial Case –  No
Pieces per roll/Unit – 1 Roll
Length per roll/unit –  164'
Finish – On Press
Application – </t>
  </si>
  <si>
    <t>Unit of sell is "customer supplied log"</t>
  </si>
  <si>
    <t>50243 Cost of Goods Sold</t>
  </si>
  <si>
    <t>Die Cut Part F9460PC with 0.25" tab 0.125" x 2.185"</t>
  </si>
  <si>
    <t>PRT00060</t>
  </si>
  <si>
    <t>Die Cut Part - F9460PC with 0.25" tab - 0.125" x 2.185"</t>
  </si>
  <si>
    <t>Number Across Run/Finish –  1/1
Where Finished –  On Press
Length per Roll/Unit – 63'
Core Type –  3" Paper 1/8" Strouse Brown
Core Width – 3"
Core Label – Yes
Dividers – 
Bag Size – 
Qty. Per Bag – 4 Rolls
Box Size –  10 x 10 x 10
Qty. Per Box – 20 Rolls
Weight/box – 
Box Per Pallet – 
Pallet Type – </t>
  </si>
  <si>
    <t>Core  –  3" Paper 1/8" Strouse Brown
Width – 3"
Number Across Run/FInish –  1/1
Core Label – Yes
±10% –  Yes
Unwind Dir. Run – Tab on Op. Side
Unwind Dir. Finish –  Parts Out
Diecut/Continuous/Sheet –  Die Cut
Partial Case –  Yes
Pieces per roll/Unit – 3,000
Length per roll/unit –  63'
Finish – On Press
Application – </t>
  </si>
  <si>
    <t>Hair dryer on adhesive helps parts stay on liner.</t>
  </si>
  <si>
    <t>50244 Cost of Goods Sold</t>
  </si>
  <si>
    <t>Butt Cut Part Foil 3/4" x 3/4"</t>
  </si>
  <si>
    <t>18113</t>
  </si>
  <si>
    <t>Butt Cut Part - Foil - 3/4" x 3/4"</t>
  </si>
  <si>
    <t>Number Across Run/Finish –  7/1
Where Finished –  On Press
Length per Roll/Unit – 219'
Core Type –  3" Paper 1/8" White Brown
Core Width – 0.75"
Core Label – Yes
Dividers – Paper
Bag Size – 
Qty. Per Bag – 6 
Box Size –  16 x 16 x 16
Qty. Per Box – 12 
Weight/box – 
Box Per Pallet – 
Pallet Type – </t>
  </si>
  <si>
    <t>Core  –  3" Paper 1/8" White Brown
Width – 0.75"
Number Across Run/FInish –  7/1
Core Label – Yes
±10% –  Yes
Unwind Dir. Run – Parts Out
Unwind Dir. Finish –  Parts Out
Diecut/Continuous/Sheet –  Die Cut
Partial Case –  Yes
Pieces per roll/Unit – 3,500
Length per roll/unit –  219'
Finish – On Press
Application – </t>
  </si>
  <si>
    <t>50245 Cost of Goods Sold</t>
  </si>
  <si>
    <t>Slit Tape 3M 9495LE 1/2" x 60Yd</t>
  </si>
  <si>
    <t>1014962-00-A</t>
  </si>
  <si>
    <t>Slit Tape - 3M 9495LE - 1/2" x 60Yd</t>
  </si>
  <si>
    <t>Number Across Run/Finish –  104/1
Where Finished –  On Press
Length per Roll/Unit – 60 Yd
Core Type –  As Recd.
Core Width – 0.5"
Core Label – Yes - on bag
Dividers – 
Bag Size – 
Qty. Per Bag – 1 Roll
Box Size –  Best Fit Per Qty
Qty. Per Box – 104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</si>
  <si>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vs the material cert vs the bag (core) &amp; box labels; to assure they all agree.</t>
  </si>
  <si>
    <t>Core  –  As Recd.
Width – 0.5"
Number Across Run/FInish –  104/1
Core Label – Yes - on bag
±10% –  Yes
Unwind Dir. Run – N/A
Unwind Dir. Finish –  N/A
Diecut/Continuous/Sheet –  Continuous
Partial Case –  Yes
Pieces per roll/Unit – 1 Roll
Length per roll/unit –  60 Yd
Finish – On Press
Application – </t>
  </si>
  <si>
    <t>50246 Cost of Goods Sold</t>
  </si>
  <si>
    <t>Slit Tape Nitto P-212HD See WO</t>
  </si>
  <si>
    <t>Slit Tape - Nitto P-212HD - See WO</t>
  </si>
  <si>
    <t>Number Across Run/Finish –  ?/1
Where Finished –  On Press
Length per Roll/Unit – 36 Yd
Core Type –  3" Plastic 0.10" HDPE
Core Width – Various
Core Label – Yes - on bag
Dividers – Special - See Note
Bag Size – 
Qty. Per Bag – 1 Roll
Box Size –  8 x 8 x 8
Qty. Per Box – Best Fit 
Weight/box – 
Box Per Pallet – 
Pallet Type – </t>
  </si>
  <si>
    <t>Non Silicone Release Dividers are to be used on both sides of rolls in bags (P212HD is a silicone adhesive).  Use 4 mil bags and tabletop impulse sealer to heat seal rolls Individually.  Check the seal integrity of every bag.  Place a core label on the outside of the bag.  No core label on the core.  Core label format 6279 CORE.
NITTO MFG CERT WITH 85% SHELF LIFE REMAINING MUST GO WITH EACH ITEM.  Take Lot number from Nitto Cert.  Check the Lot # on the core of the material vs the material cert vs the bag(core) and box labels to assure they all agree.
• See spec sheet in job jacket if part numbers begin with "C601605":
Width of Tape		Dash No.	Supplier Designation
1/4"				-1		P212HD
1/2"				-2		P212HD
3/4"				-3		P212HD
1"				-4		P212HD
2"				-5		P212HD
See Work Order for any additional special instructions.</t>
  </si>
  <si>
    <t>Core  –  3" Plastic 0.10" HDPE
Width – Various
Number Across Run/FInish –  ?/1
Core Label – Yes - on bag
±10% –  Yes
Unwind Dir. Run – N/A
Unwind Dir. Finish –  N/A
Diecut/Continuous/Sheet –  Continuous
Partial Case –  Yes
Pieces per roll/Unit – 1 Roll
Length per roll/unit –  36 Yd
Finish – On Press
Application – </t>
  </si>
  <si>
    <t>Final Sign Off must be done by Quality.
Use a “B” profile blade.
OK to use incoming material on paper cores, per Sales.</t>
  </si>
  <si>
    <t>50247 Cost of Goods Sold</t>
  </si>
  <si>
    <t>Die Cut Part 3M 4920 1.16" x 0.90"</t>
  </si>
  <si>
    <t>PGM10064 REV A</t>
  </si>
  <si>
    <t>Die Cut Part - 3M 4920 - 1.16" x 0.90"</t>
  </si>
  <si>
    <t>Number Across Run/Finish –  2/2
Where Finished –  On Press
Length per Roll/Unit – 108'
Core Type –  3" Paper 1/8" Strouse Brown
Core Width – 2.250"
Core Label – Yes
Dividers – 
Bag Size – 
Qty. Per Bag – 1 Roll
Box Size –  12 x 12 x 13
Qty. Per Box – 8 M
Weight/box – 
Box Per Pallet – 
Pallet Type – </t>
  </si>
  <si>
    <t>Certificate of Analysis with test data required for the 3M 4920 (75% Shelf life remaining).
Box Label and Core label to have 3M 4920 MFG date.  Formats in system ("6280" and "6280 core")</t>
  </si>
  <si>
    <t>Core  –  3" Paper 1/8" Strouse Brown
Width – 2.250"
Number Across Run/FInish –  2/2
Core Label – Yes
±10% –  Yes
Unwind Dir. Run – Parts Out
Unwind Dir. Finish –  Parts Out
Diecut/Continuous/Sheet –  Die Cut
Partial Case –  Yes
Pieces per roll/Unit – 1,970
Length per roll/unit –  108'
Finish – On Press
Application – </t>
  </si>
  <si>
    <t>50248 Cost of Goods Sold</t>
  </si>
  <si>
    <t>Fabricated Part CSM FEP 200A, 2 mil Teflon perfed at 14" 12.25" x See WO</t>
  </si>
  <si>
    <t>MM206015037</t>
  </si>
  <si>
    <t>Fabricated Part - CSM FEP 200A, 2 mil Teflon perfed at 14" - 12.25" x See WO</t>
  </si>
  <si>
    <t>Number Across Run/Finish –  1/1
Where Finished –  On Press
Length per Roll/Unit – See WO
Core Type –  3" Plastic 0.10" HDPE
Core Width – 12.25"
Core Label – Yes
Dividers – 
Bag Size – 
Qty. Per Bag – 1 Roll
Box Size –  11 x 11 x 8
Qty. Per Box – 1 Roll
Weight/box – 
Box Per Pallet – 
Pallet Type – </t>
  </si>
  <si>
    <t>Ship in sturdy cartons to prevent damage.  C of C required.
Each roll to be individually bagged and labeled (inside the core and on the outside of each bag) with:
• Item # MM206015037     • Prod. Desc.: 2 mil FEP     • PO # (to be provided)     • Atlantic PO # as "Lot" number     • Actual footage for roll     • Roll #.
Use core label format "6288 Core Big"
The open end of each bag to be pushed down into the core and a 7-3/4" x 3" end cap placed in both ends.  Each bagged roll to then be placed in a bubble bag.  Do not heat seal.  Also, place a core label below the box label on the OUTSIDE of the box.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</si>
  <si>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12.25"
Number Across Run/FInish –  1/1
Core Label – Yes
±10% –  Ask
Unwind Dir. Run – N/A
Unwind Dir. Finish –  N/A
Diecut/Continuous/Sheet –  Continuous
Partial Case –  Ask
Pieces per roll/Unit – 1 Roll
Length per roll/unit –  See WO
Finish – On Press
Application – </t>
  </si>
  <si>
    <t>50249 Cost of Goods Sold</t>
  </si>
  <si>
    <t>Slit Rolls 3M 33515 1.5" x 10Yd</t>
  </si>
  <si>
    <t>30492490</t>
  </si>
  <si>
    <t>Slit Rolls - 3M 33515 - 1.5" x 10Yd</t>
  </si>
  <si>
    <t>Number Across Run/Finish –  39/1
Where Finished –  On Press
Length per Roll/Unit – 10 Yd
Core Type –  As Recd.
Core Width – 1.50"
Core Label – Yes
Dividers – Paper
Bag Size – 
Qty. Per Bag – 4 Rolls
Box Size –  11 x 11 x 8
Qty. Per Box – 16 Rolls
Weight/box – 
Box Per Pallet – 
Pallet Type – </t>
  </si>
  <si>
    <t>PO number to be on carton label.</t>
  </si>
  <si>
    <t>Core  –  As Recd.
Width – 1.50"
Number Across Run/FInish –  39/1
Core Label – Yes
±10% –  Yes
Unwind Dir. Run – N/A
Unwind Dir. Finish –  N/A
Diecut/Continuous/Sheet –  Continuous
Partial Case –  No
Pieces per roll/Unit – 1 Roll
Length per roll/unit –  10 Yd
Finish – On Press
Application – </t>
  </si>
  <si>
    <t>50250 Cost of Goods Sold</t>
  </si>
  <si>
    <t>Slit Rolls 3M 472 1" x 10Yd</t>
  </si>
  <si>
    <t>C987020-1</t>
  </si>
  <si>
    <t>Slit Rolls - 3M 472 - 1" x 10Yd</t>
  </si>
  <si>
    <t>Number Across Run/Finish –  6/1
Where Finished –  On Press
Length per Roll/Unit – 10 Yd
Core Type –  3" Paper 1/8" White Brown
Core Width – 1.00"
Core Label – Yes
Dividers – Paper
Bag Size – 
Qty. Per Bag – 6 Rolls
Box Size –  10 x 10 x 10
Qty. Per Box – 24 Rolls
Weight/box – 
Box Per Pallet – 
Pallet Type – </t>
  </si>
  <si>
    <t>Core  –  3" Paper 1/8" White Brown
Width – 1.00"
Number Across Run/FInish –  6/1
Core Label – Yes
±10% –  Yes
Unwind Dir. Run – Adh. In
Unwind Dir. Finish –  Adh. In
Diecut/Continuous/Sheet –  Continuous
Partial Case –  Yes
Pieces per roll/Unit – 1 Roll
Length per roll/unit –  10 Yd
Finish – On Press
Application – </t>
  </si>
  <si>
    <t>50251 Cost of Goods Sold</t>
  </si>
  <si>
    <t>Slit Rolls 3M 472 2" x 10Yd</t>
  </si>
  <si>
    <t>C987020-2</t>
  </si>
  <si>
    <t>Slit Rolls - 3M 472 - 2" x 10Yd</t>
  </si>
  <si>
    <t>Number Across Run/Finish –  3/1
Where Finished –  On Press
Length per Roll/Unit – 10 Yd
Core Type –  3" Paper 1/8" White Brown
Core Width – 2.00"
Core Label – Yes
Dividers – Paper
Bag Size – 
Qty. Per Bag – 4 Rolls
Box Size –  11 x 11 x 8
Qty. Per Box – 12 Rolls
Weight/box – 
Box Per Pallet – 
Pallet Type – </t>
  </si>
  <si>
    <t>Core  –  3" Paper 1/8" White Brown
Width – 2.00"
Number Across Run/FInish –  3/1
Core Label – Yes
±10% –  Yes
Unwind Dir. Run – Adh. In
Unwind Dir. Finish –  Adh. In
Diecut/Continuous/Sheet –  Continuous
Partial Case –  Yes
Pieces per roll/Unit – 1 Roll
Length per roll/unit –  10 Yd
Finish – On Press
Application – </t>
  </si>
  <si>
    <t>50252 Cost of Goods Sold</t>
  </si>
  <si>
    <t>Slit Rolls 3M 472 3" x 10Yd</t>
  </si>
  <si>
    <t>C987020-3</t>
  </si>
  <si>
    <t>Slit Rolls - 3M 472 - 3" x 10Yd</t>
  </si>
  <si>
    <t>Number Across Run/Finish –  2/1
Where Finished –  On Press
Length per Roll/Unit – 10 Yd
Core Type –  3" Paper 1/8" White Brown
Core Width – 3.00"
Core Label – Yes
Dividers – Paper
Bag Size – 
Qty. Per Bag – 2 Rolls
Box Size –  Best Fit Per Qty
Qty. Per Box – 8 Rolls
Weight/box – 
Box Per Pallet – 
Pallet Type – </t>
  </si>
  <si>
    <t>Core  –  3" Paper 1/8" White Brown
Width – 3.00"
Number Across Run/FInish –  2/1
Core Label – Yes
±10% –  Yes
Unwind Dir. Run – Adh. In
Unwind Dir. Finish –  Adh. In
Diecut/Continuous/Sheet –  Continuous
Partial Case –  Yes
Pieces per roll/Unit – 1 Roll
Length per roll/unit –  10 Yd
Finish – On Press
Application – </t>
  </si>
  <si>
    <t>50253 Cost of Goods Sold</t>
  </si>
  <si>
    <t>Slit Tape 3M 966 See WO</t>
  </si>
  <si>
    <t>Slit Tape - 3M 966 - See WO</t>
  </si>
  <si>
    <t>Number Across Run/Finish –  ?/1
Where Finished –  On Press
Length per Roll/Unit – 60 Yd
Core Type –  As Recd.
Core Width – Various
Core Label – Yes - on bag
Dividers – 
Bag Size – 
Qty. Per Bag – 1 Roll
Box Size –  Custom-folding
Qty. Per Box – 12 Rolls
Weight/box – 
Box Per Pallet – 
Pallet Type – </t>
  </si>
  <si>
    <t xml:space="preserve">See work order for any special instructions.
• 3M MFG CERT WITH SHELF LIFE (75% OF SHELF LIFE) MUST GO WITH EACH ITEM
• Use 4 mil bags and tabletop impulse sealer to heat seal rolls Individually. Check the integrity of the seal.  
• Place a core label on the outside of the bag.  No core label on the core.
• Check the lot # on the core of the material versus the material cert versus the bag (core) and box labels to assure they all agree.
• ONE LOT ONLY!!!  ORDER CANNOT CONTAIN MORE THAN ONE LOT #
• See work order for part number.
• Bag label format "6299 Core" </t>
  </si>
  <si>
    <t>Core  –  As Recd.
Width – Various
Number Across Run/FInish –  ?/1
Core Label – Yes - on bag
±10% –  Yes
Unwind Dir. Run – N/A
Unwind Dir. Finish –  N/A
Diecut/Continuous/Sheet –  Continuous
Partial Case –  Yes
Pieces per roll/Unit – 1 Roll
Length per roll/unit –  60 Yd
Finish – On Press
Application – </t>
  </si>
  <si>
    <t>50254 Cost of Goods Sold</t>
  </si>
  <si>
    <t>Slit Roll 3M 4712 with back scored liner 30" x 180Yd</t>
  </si>
  <si>
    <t>Plating tape</t>
  </si>
  <si>
    <t>Slit Roll - 3M 4712 with back scored liner - 30" x 180Yd</t>
  </si>
  <si>
    <t>Number Across Run/Finish –  1/1
Where Finished –  On Press
Length per Roll/Unit – 540'
Core Type –  3" Paper 1/8" Strouse Brown
Core Width – 30
Core Label – Yes
Dividers – 
Bag Size – 
Qty. Per Bag – 
Box Size –  10 x 10 x 10
Qty. Per Box – 1 
Weight/box – 
Box Per Pallet – 
Pallet Type – </t>
  </si>
  <si>
    <t>Core  –  3" Paper 1/8" Strouse Brown
Width – 30
Number Across Run/FInish –  1/1
Core Label – Yes
±10% –  No
Unwind Dir. Run – Vinyl Out
Unwind Dir. Finish –  Vinyl Out
Diecut/Continuous/Sheet –  Continuous
Partial Case –  No
Pieces per roll/Unit – 1 Roll
Length per roll/unit –  540'
Finish – On Press
Application – </t>
  </si>
  <si>
    <t>50255 Cost of Goods Sold</t>
  </si>
  <si>
    <t>Sheeted Part 3M 4008 double sided foam 0.5" X 0.25"</t>
  </si>
  <si>
    <t xml:space="preserve">4008/.50x.25 </t>
  </si>
  <si>
    <t>Sheeted Part - 3M 4008 double sided foam - 0.5" X 0.25"</t>
  </si>
  <si>
    <t>Number Across Run/Finish –  10/1
Where Finished –  On Press
Length per Roll/Unit – 105'
Core Type –  N/A
Core Width – N/A
Core Label – No
Dividers – No
Bag Size – 
Qty. Per Bag – 25 M
Box Size –  12 x 12 x 4
Qty. Per Box – 25 M
Weight/box – 
Box Per Pallet – 
Pallet Type – </t>
  </si>
  <si>
    <t>Core  –  N/A
Width – N/A
Number Across Run/FInish –  10/1
Core Label – No
±10% –  Yes
Unwind Dir. Run – N/A
Unwind Dir. Finish –  N/A
Diecut/Continuous/Sheet –  Die Cut Sheet
Partial Case –  No
Pieces per roll/Unit – 1 Roll
Length per roll/unit –  105'
Finish – On Press
Application – </t>
  </si>
  <si>
    <t>50256 Cost of Goods Sold</t>
  </si>
  <si>
    <t>Sheeted Part Potted Seal Foam 8" X 12"</t>
  </si>
  <si>
    <t>6335</t>
  </si>
  <si>
    <t>Sheeted Part - Potted Seal Foam - 8" X 12"</t>
  </si>
  <si>
    <t>Number Across Run/Finish –  1/1
Where Finished –  On Press
Length per Roll/Unit – 50'
Core Type –  N/A
Core Width – N/A
Core Label – No
Dividers – 
Bag Size – 
Qty. Per Bag – 50 Each
Box Size –  10 x 10 x 10
Qty. Per Box – 150 Each
Weight/box – 
Box Per Pallet – 
Pallet Type – </t>
  </si>
  <si>
    <t>Core  –  N/A
Width – N/A
Number Across Run/FInish –  1/1
Core Label – No
±10% –  Yes
Unwind Dir. Run – N/A
Unwind Dir. Finish –  N/A
Diecut/Continuous/Sheet –  Sheet
Partial Case –  Yes
Pieces per roll/Unit – 50
Length per roll/unit –  50'
Finish – On Press
Application – </t>
  </si>
  <si>
    <t>50257 Cost of Goods Sold</t>
  </si>
  <si>
    <t>Fabricated Part 2 layers of 3M 7871 laminated together with tabs 1.73" x 165'</t>
  </si>
  <si>
    <t>1101D47H01</t>
  </si>
  <si>
    <t>Fabricated Part - 2 layers of 3M 7871 laminated together with tabs - 1.73" x 165'</t>
  </si>
  <si>
    <t>Number Across Run/Finish –  1/1
Where Finished –  On Press
Length per Roll/Unit – 165'
Core Type –  6" Paper 3/8" Brown Brown
Core Width – 1.73"
Core Label – Yes
Dividers – Paper
Bag Size – 
Qty. Per Bag – 
Box Size –  6 x 6 x 6
Qty. Per Box – 5 Rolls
Weight/box – 
Box Per Pallet – 
Pallet Type – </t>
  </si>
  <si>
    <t>Core  –  6" Paper 3/8" Brown Brown
Width – 1.73"
Number Across Run/FInish –  1/1
Core Label – Yes
±10% –  No
Unwind Dir. Run – N/A
Unwind Dir. Finish –  N/A
Diecut/Continuous/Sheet –  Continuous
Partial Case –  Yes
Pieces per roll/Unit – 1 Roll
Length per roll/unit –  165'
Finish – On Press
Application – </t>
  </si>
  <si>
    <t>Quality issue in past with wrinkling of laminated side.</t>
  </si>
  <si>
    <t>50258 Cost of Goods Sold</t>
  </si>
  <si>
    <t>Die Cut Part Reflector 11mm Dia</t>
  </si>
  <si>
    <t>062K02120</t>
  </si>
  <si>
    <t>Die Cut Part - Reflector - 11mm Dia</t>
  </si>
  <si>
    <t>Number Across Run/Finish –  2/1
Where Finished –  Web Techniques
Length per Roll/Unit – 5'
Core Type –  3" Paper 1/8" Strouse Brown
Core Width – 1.0
Core Label – Yes
Dividers – 
Bag Size – 
Qty. Per Bag – 5 
Box Size –  8 x 8 x 8
Qty. Per Box – 10 
Weight/box – 
Box Per Pallet – 
Pallet Type – </t>
  </si>
  <si>
    <t>Core  –  3" Paper 1/8" Strouse Brown
Width – 1.0
Number Across Run/FInish –  2/1
Core Label – Yes
±10% –  No
Unwind Dir. Run – Parts Out
Unwind Dir. Finish –  Parts Out
Diecut/Continuous/Sheet –  Die Cut
Partial Case –  Ask
Pieces per roll/Unit – 1 Roll
Length per roll/unit –  5'
Finish – Web Techniques
Application – </t>
  </si>
  <si>
    <t>50259 Cost of Goods Sold</t>
  </si>
  <si>
    <t>Slit Tape 3M 79 See WO</t>
  </si>
  <si>
    <t>Slit Tape - 3M 79 - See WO</t>
  </si>
  <si>
    <t>Number Across Run/Finish –  ?/1
Where Finished –  On Press
Length per Roll/Unit – 60 Yd
Core Type –  As Recd.
Core Width – Various
Core Label – Yes - on bag
Dividers – 
Bag Size – 
Qty. Per Bag – 1 Roll
Box Size –  8 x 8 x 8
Qty. Per Box – Best fit per order 
Weight/box – 
Box Per Pallet – 
Pallet Type – </t>
  </si>
  <si>
    <t>See work order for any special instructions.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Bag label format "6342 Core".</t>
  </si>
  <si>
    <t>50260 Cost of Goods Sold</t>
  </si>
  <si>
    <t>Slit Tape 3M 92 See WO</t>
  </si>
  <si>
    <t>Slit Tape - 3M 92 - See WO</t>
  </si>
  <si>
    <t>Number Across Run/Finish –  ?/1
Where Finished –  On Press
Length per Roll/Unit – 36 Yd
Core Type –  As Recd.
Core Width – Various
Core Label – Yes - on bag
Dividers – 
Bag Size – 
Qty. Per Bag – 1 Roll
Box Size –  Best Fit Per Qty
Qty. Per Box – Best fit per order 
Weight/box – 
Box Per Pallet – 
Pallet Type – </t>
  </si>
  <si>
    <t xml:space="preserve">See work order for any special instructions.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Bag label format "6345 Core" 
</t>
  </si>
  <si>
    <t>Core  –  As Recd.
Width – Various
Number Across Run/FInish –  ?/1
Core Label – Yes - on bag
±10% –  Yes
Unwind Dir. Run – N/A
Unwind Dir. Finish –  N/A
Diecut/Continuous/Sheet –  Continuous
Partial Case –  Yes
Pieces per roll/Unit – 1 Roll
Length per roll/unit –  36 Yd
Finish – On Press
Application – </t>
  </si>
  <si>
    <t>50261 Cost of Goods Sold</t>
  </si>
  <si>
    <t>Slit Tape 3M 40PR See WO</t>
  </si>
  <si>
    <t>Slit Tape - 3M 40PR - See WO</t>
  </si>
  <si>
    <t>Number Across Run/Finish –  ?/1
Where Finished –  On Press
Length per Roll/Unit – 72 Yd
Core Type –  3" Plastic 0.10" HDPE
Core Width – Various
Core Label – Yes
Dividers – 
Bag Size – 
Qty. Per Bag – 1 Roll
Box Size –  14 x 14 x 8
Qty. Per Box – 12 Rolls
Weight/box – 
Box Per Pallet – 
Pallet Type – </t>
  </si>
  <si>
    <t>See work order for any special instructions.
Include a C of C with 3M Lot #, and a 3M Cert.
Use 4 mil bags and tabletop impulse sealer to heat seal rolls Individually. 
Check the integrity of the seal.  
Place a core label on the core.  Trim label if needed.
Check the lot # on the core of the material versus the material cert versus the bag(core) and box labels to assure they all agree.  See work order for part number.
Core label format "6377 Core" 
Use 7" x 7" 4 mil bags for rolls 1" and under.</t>
  </si>
  <si>
    <t>Core  –  3" Plastic 0.10" HDPE
Width – Various
Number Across Run/FInish –  ?/1
Core Label – Yes
±10% –  Yes
Unwind Dir. Run – N/A
Unwind Dir. Finish –  N/A
Diecut/Continuous/Sheet –  Continuous
Partial Case –  Yes
Pieces per roll/Unit – 1 Roll
Length per roll/unit –  72 Yd
Finish – On Press
Application – </t>
  </si>
  <si>
    <t>50262 Cost of Goods Sold</t>
  </si>
  <si>
    <t>Slit Tape 3M 468MP 6" x 60Yd</t>
  </si>
  <si>
    <t>468MP/6.0</t>
  </si>
  <si>
    <t>Slit Tape - 3M 468MP - 6" x 60Yd</t>
  </si>
  <si>
    <t>Number Across Run/Finish –  1/1
Where Finished –  Off Press
Length per Roll/Unit – 60 Yd
Core Type –  As Recd.
Core Width – 6"
Core Label – No
Dividers – 
Bag Size – 
Qty. Per Bag – 
Box Size –  6 x 6 x 6
Qty. Per Box – AS RECEIVED 
Weight/box – 
Box Per Pallet – 
Pallet Type – </t>
  </si>
  <si>
    <t>See work order for any special instructions.</t>
  </si>
  <si>
    <t>Core  –  As Recd.
Width – 6"
Number Across Run/FInish –  1/1
Core Label – No
±10% –  Yes
Unwind Dir. Run – N/A
Unwind Dir. Finish –  N/A
Diecut/Continuous/Sheet –  Continuous
Partial Case –  Yes
Pieces per roll/Unit – 1 Roll
Length per roll/unit –  60 Yd
Finish – Off Press
Application – </t>
  </si>
  <si>
    <t>50263 Cost of Goods Sold</t>
  </si>
  <si>
    <t>Die Cut Part 3M 467MP with tab 0.51" Dia</t>
  </si>
  <si>
    <t>0077740</t>
  </si>
  <si>
    <t>Die Cut Part - 3M 467MP with tab - 0.51" Dia</t>
  </si>
  <si>
    <t>Number Across Run/Finish –  2/2
Where Finished –  On Press
Length per Roll/Unit – 27'
Core Type –  3" Paper 1/8" White Brown
Core Width – 1.75"
Core Label – Yes
Dividers – 
Bag Size – 
Qty. Per Bag – 1 
Box Size –  14 x 14 x 6
Qty. Per Box – 3 
Weight/box – 
Box Per Pallet – 
Pallet Type – </t>
  </si>
  <si>
    <t>Include 3M cert.</t>
  </si>
  <si>
    <t>Core  –  3" Paper 1/8" White Brown
Width – 1.75"
Number Across Run/FInish –  2/2
Core Label – Yes
±10% –  Yes
Unwind Dir. Run – Parts Out
Unwind Dir. Finish –  Parts Out
Diecut/Continuous/Sheet –  Die Cut
Partial Case –  Yes
Pieces per roll/Unit – 1 Roll
Length per roll/unit –  27'
Finish – On Press
Application – </t>
  </si>
  <si>
    <t>Use hydra jacks to monitor die pressure and control die strike to preclude deep die strike leading to release issues.</t>
  </si>
  <si>
    <t>50264 Cost of Goods Sold</t>
  </si>
  <si>
    <t>Fabricated Part WMS Paper Carrier 15mm x 343m</t>
  </si>
  <si>
    <t>244-0133606</t>
  </si>
  <si>
    <t>Fabricated Part - WMS Paper Carrier - 15mm x 343m</t>
  </si>
  <si>
    <t>Number Across Run/Finish –  9/1
Where Finished –  On Press
Length per Roll/Unit – 343 m
Core Type –  3" Paper 3/8" Brown Brown
Core Width – 15 mm
Core Label – Yes - on bag
Dividers – 
Bag Size – 
Qty. Per Bag – 1 Roll
Box Size –  12 x 12 x 12
Qty. Per Box – 8 Rolls
Weight/box – 
Box Per Pallet – 36
Pallet Type – </t>
  </si>
  <si>
    <t>Each roll to have the position within the Jumbo tracked and included on the core label.  Slit master rolls will be labeled "A - J" with "A" being the cut closest to the control panel.  Finished rolls will be bag labeled with the master letter and the slit position starting with "1" as the gear side.  For example if you are running master roll "C", the third roll in from the gear side will be labeled "C3".
Unwind Direction: Hold roll with LEFT hand and pull to the RIGHT. The HOLES should be to the TOP.
Rolls must be shrink wrapped individually.  14 x 14 x 6 cartons have been special ordered for this job and must be used.  NO OTHER BOX SIZE IS PERMITTED.
Package press sets together.  Do not mix rolls off press.  Keep each press set together. Pack in set of 8 rolls per box (labeled 1-8) and the ninth roll packaged separately in boxes of 8 rolls.  The end user uses these rolls in pairs, so the 9th rolls is always a leftover
343 M = 376 yards or 1,126ft.
OD cannot exceed 14"
Part number on bag label is End User part number - 01 30 43 3
Bag label = 6411 bag
NO SPLICES IN FINISHED ROLLS</t>
  </si>
  <si>
    <t>Core  –  3" Paper 3/8" Brown Brown
Width – 15 mm
Number Across Run/FInish –  9/1
Core Label – Yes - on bag
±10% –  Yes
Unwind Dir. Run – N/A
Unwind Dir. Finish –  See Drawing
Diecut/Continuous/Sheet –  Continuous Die Cut
Partial Case –  Yes
Pieces per roll/Unit – 1 Roll
Length per roll/unit –  343 m
Finish – On Press
Application – </t>
  </si>
  <si>
    <t>343 M = 376 yards or 1,126ft.  Must use (3/8" Thick wall) cores.
Use tape guide marked 6411, located in Siat area with the rest of the tape guides.</t>
  </si>
  <si>
    <t>50265 Cost of Goods Sold</t>
  </si>
  <si>
    <t>Die Cut Part CSM Cu/Tin/PET w/ Adh. Laminate 0.375" x 3.5"</t>
  </si>
  <si>
    <t>DIECUTCSM340083001C</t>
  </si>
  <si>
    <t>Die Cut Part - CSM Cu/Tin/PET w/ Adh. Laminate - 0.375" x 3.5"</t>
  </si>
  <si>
    <t>Number Across Run/Finish –  1/1
Where Finished –  Off Press
Length per Roll/Unit – 125'
Core Type –  3" Paper 1/8" Strouse Brown
Core Width – 6"
Core Label – Yes in core and on outside of roll.
Dividers – 
Bag Size – 
Qty. Per Bag – 1 Roll
Box Size –  
Qty. Per Box – 3 M
Weight/box – 
Box Per Pallet – 
Pallet Type – </t>
  </si>
  <si>
    <t>Core  –  3" Paper 1/8" Strouse Brown
Width – 6"
Number Across Run/FInish –  1/1
Core Label – Yes in core and on outside of roll.
±10% –  No
Unwind Dir. Run – Parts Out
Unwind Dir. Finish –  Parts Out
Diecut/Continuous/Sheet –  Continuous Die Cut
Partial Case –  Yes
Pieces per roll/Unit – 3,000
Length per roll/unit –  125'
Finish – Off Press
Application – </t>
  </si>
  <si>
    <t>50266 Cost of Goods Sold</t>
  </si>
  <si>
    <t>Slitting for JJ 6425 415 and CSM slitting Various</t>
  </si>
  <si>
    <t>6422 slit material</t>
  </si>
  <si>
    <t>Slitting for JJ 6425 - 415 and CSM  slitting - Various</t>
  </si>
  <si>
    <t>Number Across Run/Finish –  6/1
Where Finished –  On Press
Length per Roll/Unit – TBD
Core Type –  6" plastic, 0.155" PP
Core Width – Various
Core Label – No
Dividers – Paper
Bag Size – 
Qty. Per Bag – 25 Rolls
Box Size –  12 x 12 x 10
Qty. Per Box – 
Weight/box – 
Box Per Pallet – 
Pallet Type – </t>
  </si>
  <si>
    <t>Test strip -  on rolls of 5000 on plastic cores.
Label - on rolls of 2500 labels on paper core. 
Finished vials packed 100 vials ( 2,500 test strips) per carton in special carton ( 8" x 8 " x 12") with dividers between vials.
Keep sizes and lots separate,
0.59" wide 415 = Catalog number 15004
0.275" wide Optical pad/reagent = Catalog number 15771</t>
  </si>
  <si>
    <t>Core  –  6" plastic, 0.155" PP
Width – Various
Number Across Run/FInish –  6/1
Core Label – No
±10% –  Yes
Unwind Dir. Run – N/A
Unwind Dir. Finish –  N/A
Diecut/Continuous/Sheet –  Continuous
Partial Case –  Yes
Pieces per roll/Unit – 
Length per roll/unit –  TBD
Finish – On Press
Application – </t>
  </si>
  <si>
    <t>Wipe press down with alcohol prior to running.  MATERIAL MUST BE KEPT OUT OF LIGHT AND IN A DRY ENVIRONMENT ≤20% RH.  DURING ACTIVE PROCESSING A MAXIMUM LIGHT EXPOSURE OF ≤4 FOOT-CANDLES IS ACCEPTABLE.  THESE REQUIREMENTS APPLY FROM THE TIME THE ORIGINAL PACKAGING IS OPENED UNTIL THE FINAL PRODUCT IS PLACED IN SEALED VIALS OR ANY UNUSED MATERIAL IS RESEALED IN THE ORIGINAL PACKAGING.</t>
  </si>
  <si>
    <t>50267 Cost of Goods Sold</t>
  </si>
  <si>
    <t>Slit Tape d/c Tape 18mm x 20m</t>
  </si>
  <si>
    <t>INS981562</t>
  </si>
  <si>
    <t>Slit Tape - d/c Tape - 18mm x 20m</t>
  </si>
  <si>
    <t>Number Across Run/Finish –  24/1
Where Finished –  On Press
Length per Roll/Unit – 66'
Core Type –  3" Plastic 0.10" HDPE
Core Width – 18 mm
Core Label – Yes
Dividers – Paper
Bag Size – 
Qty. Per Bag – 12 Rolls
Box Size –  14 x 14 x 14
Qty. Per Box – 48 Rolls
Weight/box – 
Box Per Pallet – 
Pallet Type – </t>
  </si>
  <si>
    <t>Core  –  3" Plastic 0.10" HDPE
Width – 18 mm
Number Across Run/FInish –  24/1
Core Label – Yes
±10% –  Yes
Unwind Dir. Run – N/A
Unwind Dir. Finish –  Adh. In
Diecut/Continuous/Sheet –  Continuous
Partial Case –  Yes
Pieces per roll/Unit – 1 Roll
Length per roll/unit –  66'
Finish – On Press
Application – </t>
  </si>
  <si>
    <t>50268 Cost of Goods Sold</t>
  </si>
  <si>
    <t>Fabricated Part BHB Silicone test strip 0.31" x 2.00"</t>
  </si>
  <si>
    <t>BHB Test Strip</t>
  </si>
  <si>
    <t>Fabricated Part - BHB Silicone test strip - 0.31" x 2.00"</t>
  </si>
  <si>
    <t>Number Across Run/Finish –  1/1
Where Finished –  On Press
Length per Roll/Unit – 183'
Core Type –  6" plastic, 0.155" PP
Core Width – 3"
Core Label – No
Dividers – 
Bag Size – 
Qty. Per Bag – 10 
Box Size –  12 x 12 x 10
Qty. Per Box – 3,200 Each
Weight/box – 
Box Per Pallet – 18
Pallet Type – </t>
  </si>
  <si>
    <t>Test strip -  on rolls of 5000 on plastic cores.
Label - on rolls of 2500 labels on paper core. 
Finished vials packed 5 layers of 64 vials in special dividers, then a single 14x14 divider, and finish with a layer of small bubble on top. 10 strips per vial; 3200 strips per carton.
 Keep different rolls/lot numbers of reagent separated and marked.</t>
  </si>
  <si>
    <t>Core  –  6" plastic, 0.155" PP
Width – 3"
Number Across Run/FInish –  1/1
Core Label – No
±10% –  Yes
Unwind Dir. Run – Parts Out
Unwind Dir. Finish –  Parts Out
Diecut/Continuous/Sheet –  Continuous Sheet
Partial Case –  Yes
Pieces per roll/Unit – 10
Length per roll/unit –  183'
Finish – On Press
Application – </t>
  </si>
  <si>
    <t>Use masking tape to mine holes.  MATERIAL MUST BE KEPT IN A DRY ENVIRONMENT ≤20% RH.  THIS REQUIREMENT APPLIES FROM THE TIME THE ORIGINAL PACKAGING IS OPENED UNTIL THE FINAL PRODUCT IS PLACED IN SEALED VIALS OR ANY UNUSED MATERIAL IS RESEALED IN THE ORIGINAL PACKAGING.
 Keep different rolls/lot numbers of reagent separated and marked.</t>
  </si>
  <si>
    <t>50269 Cost of Goods Sold</t>
  </si>
  <si>
    <t>Slit Roll 3M SJ5816BK 2.25" x 36Yd</t>
  </si>
  <si>
    <t>SJ5816/2.25</t>
  </si>
  <si>
    <t>Slit Roll - 3M SJ5816BK - 2.25" x 36Yd</t>
  </si>
  <si>
    <t>Number Across Run/Finish –  2/1
Where Finished –  On Press
Length per Roll/Unit – 36 Yd
Core Type –  3" Paper 1/8" White Brown
Core Width – 2.25"
Core Label – Yes
Dividers – Paper
Bag Size – 
Qty. Per Bag – 1 Roll
Box Size –  Best Fit Per Qty
Qty. Per Box – 4 Rolls
Weight/box – 
Box Per Pallet – 
Pallet Type – </t>
  </si>
  <si>
    <t>Core  –  3" Paper 1/8" White Brown
Width – 2.25"
Number Across Run/FInish –  2/1
Core Label – Yes
±10% –  Yes
Unwind Dir. Run – See note
Unwind Dir. Finish –  See note In SOP
Diecut/Continuous/Sheet –  Continuous
Partial Case –  Yes
Pieces per roll/Unit – 1 Roll
Length per roll/unit –  36 Yd
Finish – On Press
Application – </t>
  </si>
  <si>
    <t>As long as we are using 2 mil liner it will be necessary to use M/M blades.  If or when the liner changes to 3 mil, it is likely P/S blades will work but not necessary unless we plan to save the liner.  The Resilient parent liner stretches too much causing a rough edge when cutting M/M without a donor soft anvil.</t>
  </si>
  <si>
    <t>50270 Cost of Goods Sold</t>
  </si>
  <si>
    <t>Printed Melinex Random print 2.8" wide</t>
  </si>
  <si>
    <t>6427 - Printed Melinex</t>
  </si>
  <si>
    <t>Printed Melinex - Random print - 2.8" wide</t>
  </si>
  <si>
    <t>Number Across Run/Finish –  2/1
Where Finished –  Off Press
Length per Roll/Unit – TBD
Core Type –  3" Plastic 0.10" HDPE
Core Width – 2.8"
Core Label – No
Dividers – 
Bag Size – 
Qty. Per Bag – 1 
Box Size –  10 x 10 x 10
Qty. Per Box – 320 
Weight/box – 
Box Per Pallet – 
Pallet Type – </t>
  </si>
  <si>
    <t>Test strip -  on rolls of 5000 on plastic cores.
Label - on rolls of 2500 labels on paper core. 
Finished vials packed 100 vials ( 2,500 test strips) per carton in special carton ( 8" x 8 " x 12") with dividers between vials.
Finished roll - When roll is in left hand and you are pulling material to the right, the arrow should point down.
Make the rolls as long as comfortable.</t>
  </si>
  <si>
    <t>Core  –  3" Plastic 0.10" HDPE
Width – 2.8"
Number Across Run/FInish –  2/1
Core Label – No
±10% –  Yes
Unwind Dir. Run – Arrow to gear
Unwind Dir. Finish –  See note
Diecut/Continuous/Sheet –  Continuous
Partial Case –  Yes
Pieces per roll/Unit – 1 Roll
Length per roll/unit –  TBD
Finish – Off Press
Application – </t>
  </si>
  <si>
    <t>Use special engraved cylinder - 85 tooth</t>
  </si>
  <si>
    <t>50271 Cost of Goods Sold</t>
  </si>
  <si>
    <t>Die Cut Label Motor cover label - "Parker" 11.625" x 3"</t>
  </si>
  <si>
    <t>402201</t>
  </si>
  <si>
    <t>Die Cut Label - Motor cover label - "Parker" - 11.625" x 3"</t>
  </si>
  <si>
    <t>Number Across Run/Finish –  2/1
Where Finished –  Off Press
Length per Roll/Unit – 500'
Core Type –  3" Paper 1/8" White Brown
Core Width – 3.25"
Core Label – Yes
Dividers – 
Bag Size – 
Qty. Per Bag – 3 Rolls
Box Size –  11 x 11 x 8
Qty. Per Box – 2 M
Weight/box – 
Box Per Pallet – 
Pallet Type – </t>
  </si>
  <si>
    <t>"7" is the correct rewind direction.</t>
  </si>
  <si>
    <t>Core  –  3" Paper 1/8" White Brown
Width – 3.25"
Number Across Run/FInish –  2/1
Core Label – Yes
±10% –  Yes
Unwind Dir. Run – 4
Unwind Dir. Finish –  7
Diecut/Continuous/Sheet –  Die Cut
Partial Case –  Yes
Pieces per roll/Unit – 500
Length per roll/unit –  500'
Finish – Off Press
Application – </t>
  </si>
  <si>
    <t>50272 Cost of Goods Sold</t>
  </si>
  <si>
    <t>Die Cut Label Motor cover label - "Parker" 11.625" x 3.5"</t>
  </si>
  <si>
    <t>402202</t>
  </si>
  <si>
    <t>Die Cut Label - Motor cover label - "Parker" - 11.625" x 3.5"</t>
  </si>
  <si>
    <t>Number Across Run/Finish –  2/1
Where Finished –  Off Press
Length per Roll/Unit – 500'
Core Type –  3" Paper 1/8" White Brown
Core Width – 3.75"
Core Label – Yes
Dividers – Paper
Bag Size – 
Qty. Per Bag – 2 Rolls
Box Size –  14 x 14 x 10
Qty. Per Box – 1 M
Weight/box – 
Box Per Pallet – 
Pallet Type – </t>
  </si>
  <si>
    <t>"7" is the correct rewind direction.
Send C of C with our DOM and 1 year shelf life.</t>
  </si>
  <si>
    <t>Core  –  3" Paper 1/8" White Brown
Width – 3.75"
Number Across Run/FInish –  2/1
Core Label – Yes
±10% –  Yes
Unwind Dir. Run – 4
Unwind Dir. Finish –  7
Diecut/Continuous/Sheet –  Die Cut
Partial Case –  Yes
Pieces per roll/Unit – 500
Length per roll/unit –  500'
Finish – Off Press
Application – </t>
  </si>
  <si>
    <t>50273 Cost of Goods Sold</t>
  </si>
  <si>
    <t>Sheeted Part Chipboard Cover 13.75" x 12"</t>
  </si>
  <si>
    <t>Chipboard Cover</t>
  </si>
  <si>
    <t>Sheeted Part - Chipboard Cover - 13.75" x 12"</t>
  </si>
  <si>
    <t>Number Across Run/Finish –  1/1
Where Finished –  On Press
Length per Roll/Unit – 1 Sheet
Core Type –  N/A
Core Width – N/A
Core Label – No
Dividers – 
Bag Size – 
Qty. Per Bag – 180 Sheets
Box Size –  8 x 8 x 8
Qty. Per Box –  M
Weight/box – 
Box Per Pallet – 
Pallet Type – </t>
  </si>
  <si>
    <t>Core  –  N/A
Width – N/A
Number Across Run/FInish –  1/1
Core Label – No
±10% –  Yes
Unwind Dir. Run – N/A
Unwind Dir. Finish –  N/A
Diecut/Continuous/Sheet –  Die Cut Sheet
Partial Case –  Yes
Pieces per roll/Unit – 1 Sheet
Length per roll/unit –  1 Sheet
Finish – On Press
Application – </t>
  </si>
  <si>
    <t>50274 Cost of Goods Sold</t>
  </si>
  <si>
    <t>Die Cut Part 3M 2364 3.3125" x 1.3125"</t>
  </si>
  <si>
    <t>707803</t>
  </si>
  <si>
    <t>Die Cut Part - 3M 2364 - 3.3125" x 1.3125"</t>
  </si>
  <si>
    <t>Number Across Run/Finish –  1/1
Where Finished –  On Press
Length per Roll/Unit – 153'
Core Type –  3" Paper 1/8" White Brown
Core Width – 2"
Core Label – Yes
Dividers – 
Bag Size – 
Qty. Per Bag – 2 Rolls
Box Size –  13 x 13 x 13
Qty. Per Box – 4 Rolls
Weight/box – 
Box Per Pallet – 
Pallet Type – </t>
  </si>
  <si>
    <t xml:space="preserve">Two blue tabs separated by a minimum of an inch are to be used on finished rolls to secure them(ideal placement is a tabs are at 25% and 75% of width of roll)
</t>
  </si>
  <si>
    <t>Core  –  3" Paper 1/8" White Brown
Width – 2"
Number Across Run/FInish –  1/1
Core Label – Yes
±10% –  Yes
Unwind Dir. Run – Parts Out
Unwind Dir. Finish –  Parts Out
Diecut/Continuous/Sheet –  Die Cut
Partial Case –  Yes
Pieces per roll/Unit – 500
Length per roll/unit –  153'
Finish – On Press
Application – </t>
  </si>
  <si>
    <t>50275 Cost of Goods Sold</t>
  </si>
  <si>
    <t>Die Cut circle 3M 2364 1" Dia</t>
  </si>
  <si>
    <t>708605</t>
  </si>
  <si>
    <t>Die Cut circle - 3M 2364 - 1" Dia</t>
  </si>
  <si>
    <t>Number Across Run/Finish –  4/1
Where Finished –  Web Techniques
Length per Roll/Unit – 25'
Core Type –  3" Paper 1/8" White Brown
Core Width – 1.25"
Core Label – Yes
Dividers – 
Bag Size – 
Qty. Per Bag – 10 Rolls
Box Size –  13 x 13 x 13
Qty. Per Box – 50 Rolls
Weight/box – 
Box Per Pallet – 
Pallet Type – </t>
  </si>
  <si>
    <t>Two blue tabs separated by a minimum of an inch are to be used on finished rolls to secure them(ideal placement is a tabs are at 25% and 75% of width of roll)</t>
  </si>
  <si>
    <t>Core  –  3" Paper 1/8" White Brown
Width – 1.25"
Number Across Run/FInish –  4/1
Core Label – Yes
±10% –  Yes
Unwind Dir. Run – Parts Out
Unwind Dir. Finish –  Parts Out
Diecut/Continuous/Sheet –  Die Cut
Partial Case –  Yes
Pieces per roll/Unit – 250
Length per roll/unit –  25'
Finish – Web Techniques
Application – </t>
  </si>
  <si>
    <t>50276 Cost of Goods Sold</t>
  </si>
  <si>
    <t>Butt Cut Part 3M 2364 10.875" x 5.75"</t>
  </si>
  <si>
    <t>746068</t>
  </si>
  <si>
    <t>Butt Cut Part - 3M 2364 - 10.875" x 5.75"</t>
  </si>
  <si>
    <t>Number Across Run/Finish –  1/1
Where Finished –  On Press
Length per Roll/Unit – 171'
Core Type –  3" Paper (1/8" wall)
Core Width – 6.0"
Core Label – Yes
Dividers – 
Bag Size – 
Qty. Per Bag – 2 Rolls
Box Size –  11 X 11 X 8
Qty. Per Box – 7 Rolls
Weight/box – 
Box Per Pallet – 
Pallet Type – </t>
  </si>
  <si>
    <t>Core  –  3" Paper (1/8" wall)
Width – 6.0"
Number Across Run/FInish –  1/1
Core Label – Yes
±10% –  Yes
Unwind Dir. Run – Parts Out
Unwind Dir. Finish –  Parts Out
Diecut/Continuous/Sheet –  Die Cut
Partial Case –  Yes
Pieces per roll/Unit – 188
Length per roll/unit –  171'
Finish – On Press
Application – </t>
  </si>
  <si>
    <t>50277 Cost of Goods Sold</t>
  </si>
  <si>
    <t>Die Cut Part 3M 2364 4.8" x 7"</t>
  </si>
  <si>
    <t>746070</t>
  </si>
  <si>
    <t>Die Cut Part - 3M 2364 - 4.8" x 7"</t>
  </si>
  <si>
    <t>Number Across Run/Finish –  1/1
Where Finished –  On Press
Length per Roll/Unit – 171'
Core Type –  3" PLAIN paper
Core Width – 7.50"
Core Label – Yes
Dividers – 
Bag Size – 
Qty. Per Bag – 1 Rolls
Box Size –  12 x 12 x 12
Qty. Per Box – 5 Rolls
Weight/box – 
Box Per Pallet – 
Pallet Type – </t>
  </si>
  <si>
    <t>Core  –  3" PLAIN paper
Width – 7.50"
Number Across Run/FInish –  1/1
Core Label – Yes
±10% –  Yes
Unwind Dir. Run – Parts Out
Unwind Dir. Finish –  Parts Out
Diecut/Continuous/Sheet –  Die Cut
Partial Case –  Yes
Pieces per roll/Unit – 1 Roll
Length per roll/unit –  171'
Finish – On Press
Application – </t>
  </si>
  <si>
    <t>50278 Cost of Goods Sold</t>
  </si>
  <si>
    <t>Die Cut Part 3M 2364 3.4" x 4.75"</t>
  </si>
  <si>
    <t>746071</t>
  </si>
  <si>
    <t>Die Cut Part - 3M 2364 - 3.4" x 4.75"</t>
  </si>
  <si>
    <t>Number Across Run/Finish –  1/1
Where Finished –  Off Press
Length per Roll/Unit – 180'
Core Type –  3" Paper 1/8" White Brown
Core Width – 5.25"
Core Label – Yes
Dividers – 
Bag Size – 
Qty. Per Bag – 2 Rolls
Box Size –  12 x 12 x 10
Qty. Per Box – 8 Rolls
Weight/box – 
Box Per Pallet – 
Pallet Type – </t>
  </si>
  <si>
    <t>Core  –  3" Paper 1/8" White Brown
Width – 5.25"
Number Across Run/FInish –  1/1
Core Label – Yes
±10% –  Yes
Unwind Dir. Run – Parts Out
Unwind Dir. Finish –  Parts Out
Diecut/Continuous/Sheet –  Die Cut
Partial Case –  Yes
Pieces per roll/Unit – 586
Length per roll/unit –  180'
Finish – Off Press
Application – </t>
  </si>
  <si>
    <t>50279 Cost of Goods Sold</t>
  </si>
  <si>
    <t>Die Cut circle 3M 2364 8" Dia</t>
  </si>
  <si>
    <t>746702</t>
  </si>
  <si>
    <t>Die Cut circle - 3M 2364 - 8" Dia</t>
  </si>
  <si>
    <t>Number Across Run/Finish –  1/1
Where Finished –  On Press
Length per Roll/Unit – 68'
Core Type –  3" Paper 1/8" White Brown
Core Width – 9"
Core Label – Yes
Dividers – 
Bag Size – 
Qty. Per Bag – 1 Roll
Box Size –  12 x 12 x 12
Qty. Per Box – 5 Rolls
Weight/box – 
Box Per Pallet – 
Pallet Type – </t>
  </si>
  <si>
    <t>Two blue tabs separated by a minimum of an inch are to be used on finished rolls to secure them(ideal placement is a tabs are at 25% and 75% of width of roll)
Include 3M cert.</t>
  </si>
  <si>
    <t>Core  –  3" Paper 1/8" White Brown
Width – 9"
Number Across Run/FInish –  1/1
Core Label – Yes
±10% –  Yes
Unwind Dir. Run – Parts Out
Unwind Dir. Finish –  Parts Out
Diecut/Continuous/Sheet –  Die Cut
Partial Case –  Yes
Pieces per roll/Unit – 100
Length per roll/unit –  68'
Finish – On Press
Application – </t>
  </si>
  <si>
    <t>50280 Cost of Goods Sold</t>
  </si>
  <si>
    <t>Die Cut Part 3M 2364 1.75" Dia</t>
  </si>
  <si>
    <t>708984</t>
  </si>
  <si>
    <t>Die Cut Part - 3M 2364 - 1.75" Dia</t>
  </si>
  <si>
    <t>Number Across Run/Finish –  2/1
Where Finished –  Off Press
Length per Roll/Unit – 42'
Core Type –  3" Paper 1/8" White Brown
Core Width – 1.875"
Core Label – Yes
Dividers – 
Bag Size – 
Qty. Per Bag – 6 Rolls
Box Size –  12 x 12 x 12
Qty. Per Box – 48 Rolls
Weight/box – 
Box Per Pallet – 
Pallet Type – </t>
  </si>
  <si>
    <t>Core  –  3" Paper 1/8" White Brown
Width – 1.875"
Number Across Run/FInish –  2/1
Core Label – Yes
±10% –  Yes
Unwind Dir. Run – Parts Out
Unwind Dir. Finish –  Parts Out
Diecut/Continuous/Sheet –  Die Cut
Partial Case –  Yes
Pieces per roll/Unit – 250
Length per roll/unit –  42'
Finish – Off Press
Application – </t>
  </si>
  <si>
    <t>50281 Cost of Goods Sold</t>
  </si>
  <si>
    <t>Die Cut Part 3M 2364 / 500 Parts / roll 4.5" Dia</t>
  </si>
  <si>
    <t>2364/4.5DIA</t>
  </si>
  <si>
    <t>Die Cut Part - 3M 2364 / 500 Parts / roll - 4.5" Dia</t>
  </si>
  <si>
    <t>Number Across Run/Finish –  1/1
Where Finished –  On Press
Length per Roll/Unit – 193'
Core Type –  3" Paper 1/8" White Brown
Core Width – 5.0"
Core Label – Yes
Dividers – 
Bag Size – 
Qty. Per Bag – 2 Rolls
Box Size –  12 x 12 x 10
Qty. Per Box – 6 Rolls
Weight/box – 
Box Per Pallet – 
Pallet Type – </t>
  </si>
  <si>
    <t>Core  –  3" Paper 1/8" White Brown
Width – 5.0"
Number Across Run/FInish –  1/1
Core Label – Yes
±10% –  Yes
Unwind Dir. Run – Parts Out
Unwind Dir. Finish –  Parts Out
Diecut/Continuous/Sheet –  Die Cut
Partial Case –  Yes
Pieces per roll/Unit – 500
Length per roll/unit –  193'
Finish – On Press
Application – </t>
  </si>
  <si>
    <t>50282 Cost of Goods Sold</t>
  </si>
  <si>
    <t>Die Cut Part 3M 2364 3" Dia</t>
  </si>
  <si>
    <t>708226</t>
  </si>
  <si>
    <t>Die Cut Part - 3M 2364 - 3" Dia</t>
  </si>
  <si>
    <t>Number Across Run/Finish –  2/1
Where Finished –  Off Press
Length per Roll/Unit – 139'
Core Type –  3" Paper 1/8" White Brown
Core Width – 3.25"
Core Label – Yes
Dividers – 
Bag Size – 
Qty. Per Bag – 3 Rolls
Box Size –  10 x 10 x 10
Qty. Per Box – 12 Rolls
Weight/box – 
Box Per Pallet – 
Pallet Type – </t>
  </si>
  <si>
    <t>Core  –  3" Paper 1/8" White Brown
Width – 3.25"
Number Across Run/FInish –  2/1
Core Label – Yes
±10% –  Yes
Unwind Dir. Run – Parts Out
Unwind Dir. Finish –  Parts Out
Diecut/Continuous/Sheet –  Die Cut
Partial Case –  Yes
Pieces per roll/Unit – 500
Length per roll/unit –  139'
Finish – Off Press
Application – </t>
  </si>
  <si>
    <t>50283 Cost of Goods Sold</t>
  </si>
  <si>
    <t>Die Cut Part 3M 2364 1.625" Dia</t>
  </si>
  <si>
    <t>3828350-3</t>
  </si>
  <si>
    <t>Die Cut Part - 3M 2364 - 1.625" Dia</t>
  </si>
  <si>
    <t>Number Across Run/Finish –  2/1
Where Finished –  Off Press
Length per Roll/Unit – 37'
Core Type –  3" Paper 1/8" White Brown
Core Width – 1.75"
Core Label – Yes
Dividers – 
Bag Size – 
Qty. Per Bag – 5 Rolls
Box Size –  8 x 8 x 8
Qty. Per Box – 20 Rolls
Weight/box – 
Box Per Pallet – 
Pallet Type – </t>
  </si>
  <si>
    <t>Core  –  3" Paper 1/8" White Brown
Width – 1.75"
Number Across Run/FInish –  2/1
Core Label – Yes
±10% –  Yes
Unwind Dir. Run – Parts Out
Unwind Dir. Finish –  Parts Out
Diecut/Continuous/Sheet –  Die Cut
Partial Case –  Yes
Pieces per roll/Unit – 250
Length per roll/unit –  37'
Finish – Off Press
Application – </t>
  </si>
  <si>
    <t>50284 Cost of Goods Sold</t>
  </si>
  <si>
    <t>Target Tape 1/4" reflective dots with 1/2" spacing - WHITE 1/2" x 42'</t>
  </si>
  <si>
    <t>Target Tape - 1/4" reflective dots with 1/2" spacing - WHITE - 1/2" x 42'</t>
  </si>
  <si>
    <t>Number Across Run/Finish –  4/1
Where Finished –  Off Press
Length per Roll/Unit – 42'
Core Type –  3" Plastic 0.10" HDPE
Core Width – 0.5"
Core Label – Yes
Dividers – 
Bag Size – 
Qty. Per Bag – 1 Roll
Box Size –  12 x 12 x 10
Qty. Per Box – 24 Rolls
Weight/box – 
Box Per Pallet – 
Pallet Type – </t>
  </si>
  <si>
    <t>Use core label format "US TOOL CORE"</t>
  </si>
  <si>
    <t>Core  –  3" Plastic 0.10" HDPE
Width – 0.5"
Number Across Run/FInish –  4/1
Core Label – Yes
±10% –  Yes
Unwind Dir. Run – Dots Out
Unwind Dir. Finish –  Dots Out
Diecut/Continuous/Sheet –  Continuous Die Cut
Partial Case –  Yes
Pieces per roll/Unit – 1 Roll
Length per roll/unit –  42'
Finish – Off Press
Application – </t>
  </si>
  <si>
    <t>50285 Cost of Goods Sold</t>
  </si>
  <si>
    <t>Target Tape 1/4" reflective dots with 1" spacing - WHITE 1/2" x 83'</t>
  </si>
  <si>
    <t>Target Tape - 1/4" reflective dots with 1" spacing - WHITE - 1/2" x 83'</t>
  </si>
  <si>
    <t>Number Across Run/Finish –  4/1
Where Finished –  Web Techniques
Length per Roll/Unit – 84'
Core Type –  3" Plastic 0.10" HDPE
Core Width – 0.5"
Core Label – Yes
Dividers – 
Bag Size – 
Qty. Per Bag – 1 Roll
Box Size –  8 x 8 x 8
Qty. Per Box – 50 Rolls
Weight/box – 
Box Per Pallet – 
Pallet Type – </t>
  </si>
  <si>
    <t>Core  –  3" Plastic 0.10" HDPE
Width – 0.5"
Number Across Run/FInish –  4/1
Core Label – Yes
±10% –  Yes
Unwind Dir. Run – Dots Out
Unwind Dir. Finish –  Dots Out
Diecut/Continuous/Sheet –  Continuous Die Cut
Partial Case –  Yes
Pieces per roll/Unit – 1 Roll
Length per roll/unit –  84'
Finish – Web Techniques
Application – </t>
  </si>
  <si>
    <t xml:space="preserve">DA 520 Alternate die with 3 channels of 4 across.
DA 521 Alternate slitter with 3 channels of 4 across.             DA 633 - Remake od DA 520
Use tape guide labeled JJ 6484
</t>
  </si>
  <si>
    <t>50286 Cost of Goods Sold</t>
  </si>
  <si>
    <t>Die Cut Part 5430, Tape, 6.5 mil, Clear UHMW, Acrylic 1/2" x 1.25”</t>
  </si>
  <si>
    <t>6511</t>
  </si>
  <si>
    <t>Die Cut Part - 5430, Tape, 6.5 mil, Clear UHMW, Acrylic - 1/2" x 1.25”</t>
  </si>
  <si>
    <t>Number Across Run/Finish –  1/1
Where Finished –  On Press
Length per Roll/Unit – 105'
Core Type –  3" Paper 1/8" Strouse Brown
Core Width – 1.375"
Core Label – Yes
Dividers – 
Bag Size – 
Qty. Per Bag – 10 M
Box Size –  10 x 10 x 10
Qty. Per Box – 10 M
Weight/box – 
Box Per Pallet – 
Pallet Type – </t>
  </si>
  <si>
    <t>Core  –  3" Paper 1/8" Strouse Brown
Width – 1.375"
Number Across Run/FInish –  1/1
Core Label – Yes
±10% –  Yes
Unwind Dir. Run – Parts Out
Unwind Dir. Finish –  Parts Out
Diecut/Continuous/Sheet –  Continuous Die Cut
Partial Case –  Yes
Pieces per roll/Unit – 2,000
Length per roll/unit –  105'
Finish – On Press
Application – </t>
  </si>
  <si>
    <t>50287 Cost of Goods Sold</t>
  </si>
  <si>
    <t>Printed Tape White UPVC Reverse Printed Blue with "4" 1/2" x 80Yd</t>
  </si>
  <si>
    <t>806196204</t>
  </si>
  <si>
    <t>Printed Tape - White UPVC Reverse Printed Blue with "4" - 1/2" x 80Yd</t>
  </si>
  <si>
    <t>Two / thirds cup (20 oz.) Reflex Blue - Brewers PVC, Add 2 oz. of MEK and 2 oz. Cyclohexanone. Max speed will be 5 on Siat #1.</t>
  </si>
  <si>
    <t>50288 Cost of Goods Sold</t>
  </si>
  <si>
    <t>Printed Tape White UPVC Reverse Printed Blue with "3" 1/2" x 80Yd</t>
  </si>
  <si>
    <t>806196203</t>
  </si>
  <si>
    <t>Printed Tape - White UPVC Reverse Printed Blue with "3" - 1/2" x 80Yd</t>
  </si>
  <si>
    <t>Number Across Run/Finish –  11/1
Where Finished –  On Press
Length per Roll/Unit – 80 Yd
Core Type –  3" Paper 1/8" Strouse Brown
Core Width – 0.5"
Core Label – Yes - See Note
Dividers – Paper
Bag Size – 
Qty. Per Bag – 6 Rolls
Box Size –  12 x 12 x 10
Qty. Per Box – 66 Rolls
Weight/box – 21
Box Per Pallet – 
Pallet Type – </t>
  </si>
  <si>
    <t>Two / thirds cup (20 oz.) Reflex Blue - Brewers PVC, Add 2 oz. of MEK and 2 oz. Cyclohexanone.  Max speed will be 5 on Siat #1.</t>
  </si>
  <si>
    <t>50289 Cost of Goods Sold</t>
  </si>
  <si>
    <t>Target Tape 1/4" reflective dots with 2" spacing - WHITE 1/2" x 167'</t>
  </si>
  <si>
    <t>Target Tape - 1/4" reflective dots with 2" spacing - WHITE - 1/2" x 167'</t>
  </si>
  <si>
    <t>Number Across Run/Finish –  4/1
Where Finished –  Web Techniques
Length per Roll/Unit – 167'
Core Type –  3" Plastic 0.10" HDPE
Core Width – 0.5"
Core Label – Yes
Dividers – 
Bag Size – 
Qty. Per Bag – 1 Roll
Box Size –  10 x 10 x 10
Qty. Per Box – 24 Rolls
Weight/box – 
Box Per Pallet – 
Pallet Type – </t>
  </si>
  <si>
    <t>Core  –  3" Plastic 0.10" HDPE
Width – 0.5"
Number Across Run/FInish –  4/1
Core Label – Yes
±10% –  Yes
Unwind Dir. Run – Dots Out
Unwind Dir. Finish –  Dots Out
Diecut/Continuous/Sheet –  Continuous Die Cut
Partial Case –  Yes
Pieces per roll/Unit – 1 Roll
Length per roll/unit –  167'
Finish – Web Techniques
Application – </t>
  </si>
  <si>
    <t>Run press rolls to 340' allowing 2 finished rolls per each press roll. MS
Use tape guide labeled JJ 6484</t>
  </si>
  <si>
    <t>50290 Cost of Goods Sold</t>
  </si>
  <si>
    <t>Die Cut Part P224 0.976" x 0.445"</t>
  </si>
  <si>
    <t>123309</t>
  </si>
  <si>
    <t>Die Cut Part - P224 - 0.976" x 0.445"</t>
  </si>
  <si>
    <t>Number Across Run/Finish –  1/1
Where Finished –  On Press
Length per Roll/Unit – 36 Yd
Core Type –  3" Paper 1/8" White Brown
Core Width – 0.750"
Core Label – Yes
Dividers – 
Bag Size – 
Qty. Per Bag – 1 Roll
Box Size –  12 x 12 x 4
Qty. Per Box – 50 Rolls
Weight/box – 
Box Per Pallet – 
Pallet Type – </t>
  </si>
  <si>
    <t>Wind rolls loose!!!
Heat seal using hand sealer.</t>
  </si>
  <si>
    <t>Core  –  3" Paper 1/8" White Brown
Width – 0.750"
Number Across Run/FInish –  1/1
Core Label – Yes
±10% –  Yes
Unwind Dir. Run – Parts Out
Unwind Dir. Finish –  Parts Out
Diecut/Continuous/Sheet –  Die Cut
Partial Case –  Yes
Pieces per roll/Unit – 1 Roll
Length per roll/unit –  36 Yd
Finish – On Press
Application – </t>
  </si>
  <si>
    <t>Wind rolls loose on press (parts sticking to backside of liner when rewinding).</t>
  </si>
  <si>
    <t>50291 Cost of Goods Sold</t>
  </si>
  <si>
    <t>Fabricated Part 3M 8671 w/ 2 internal die cut holes 1.88 " x 4.75"</t>
  </si>
  <si>
    <t>4059605</t>
  </si>
  <si>
    <t>Fabricated Part - 3M 8671 w/ 2 internal die cut holes - 1.88 " x 4.75"</t>
  </si>
  <si>
    <t>Number Across Run/Finish –  1/1
Where Finished –  On Press
Length per Roll/Unit – 42'
Core Type –  N/A
Core Width – N/A
Core Label – No
Dividers – 
Bag Size – 
Qty. Per Bag – 100 Each
Box Size –  12 x 12 x 4
Qty. Per Box – 100 Each
Weight/box – 
Box Per Pallet – 
Pallet Type – </t>
  </si>
  <si>
    <t>Core  –  N/A
Width – N/A
Number Across Run/FInish –  1/1
Core Label – No
±10% –  No 
Unwind Dir. Run – N/A
Unwind Dir. Finish –  N/A
Diecut/Continuous/Sheet –  Sheet
Partial Case –  No
Pieces per roll/Unit – 100
Length per roll/unit –  42'
Finish – On Press
Application – </t>
  </si>
  <si>
    <t>Use pneumatic default configuration to cut parts</t>
  </si>
  <si>
    <t>50292 Cost of Goods Sold</t>
  </si>
  <si>
    <t>Fabricated Part 3M 8671 w/ 4 internal die cut holes 3.5" x 10.5"</t>
  </si>
  <si>
    <t>4059614</t>
  </si>
  <si>
    <t>Fabricated Part - 3M 8671 w/ 4 internal die cut holes - 3.5" x 10.5"</t>
  </si>
  <si>
    <t>Number Across Run/Finish –  1/1
Where Finished –  On Press
Length per Roll/Unit – 91'
Core Type –  N/A
Core Width – N/A
Core Label – No
Dividers – 
Bag Size – 
Qty. Per Bag – 100 Each
Box Size –  12 x 12 x 4
Qty. Per Box – 100 Each
Weight/box – 
Box Per Pallet – 
Pallet Type – </t>
  </si>
  <si>
    <t>Core  –  N/A
Width – N/A
Number Across Run/FInish –  1/1
Core Label – No
±10% –  No
Unwind Dir. Run – N/A
Unwind Dir. Finish –  N/A
Diecut/Continuous/Sheet –  Sheet
Partial Case –  No
Pieces per roll/Unit – 100
Length per roll/unit –  91'
Finish – On Press
Application – </t>
  </si>
  <si>
    <t>50293 Cost of Goods Sold</t>
  </si>
  <si>
    <t>Fabricated Part 3M 8671 w/ 4 internal die cut holes 4.75" x 10.24"</t>
  </si>
  <si>
    <t>4059615</t>
  </si>
  <si>
    <t>Fabricated Part - 3M 8671 w/ 4 internal die cut holes - 4.75" x 10.24"</t>
  </si>
  <si>
    <t>Number Across Run/Finish –  1/1
Where Finished –  On Press
Length per Roll/Unit – 88'
Core Type –  N/A
Core Width – N/A
Core Label – No
Dividers – 
Bag Size – 
Qty. Per Bag – 100 Each
Box Size –  special
Qty. Per Box – 100 Each
Weight/box – 
Box Per Pallet – 
Pallet Type – </t>
  </si>
  <si>
    <t>Core  –  N/A
Width – N/A
Number Across Run/FInish –  1/1
Core Label – No
±10% –  No
Unwind Dir. Run – N/A
Unwind Dir. Finish –  N/A
Diecut/Continuous/Sheet –  Sheet
Partial Case –  No
Pieces per roll/Unit – 100
Length per roll/unit –  88'
Finish – On Press
Application – </t>
  </si>
  <si>
    <t>50294 Cost of Goods Sold</t>
  </si>
  <si>
    <t>Die Cut Part 3M 5850 for BOOM 47.75" x 16.25"</t>
  </si>
  <si>
    <t>42085886</t>
  </si>
  <si>
    <t>Pad</t>
  </si>
  <si>
    <t>Die Cut Part - 3M 5850 for BOOM - 47.75" x 16.25"</t>
  </si>
  <si>
    <t>Number Across Run/Finish –  1/1
Where Finished –  On Press
Length per Roll/Unit – N/A
Core Type –  N/A
Core Width – N/A
Core Label – No
Dividers – 
Bag Size – 
Qty. Per Bag – 
Box Size –  Best Fit Per Qty
Qty. Per Box – 6 Pads
Weight/box – 
Box Per Pallet – 
Pallet Type – </t>
  </si>
  <si>
    <t>USE BOXES THAT PRODUCT CAME IN; FOR PACKAGING.</t>
  </si>
  <si>
    <t>Core  –  N/A
Width – N/A
Number Across Run/FInish –  1/1
Core Label – No
±10% –  No
Unwind Dir. Run – N/A
Unwind Dir. Finish –  N/A
Diecut/Continuous/Sheet –  Sheet
Partial Case –  No
Pieces per roll/Unit – 1 Pad
Length per roll/unit –  N/A
Finish – On Press
Application – </t>
  </si>
  <si>
    <t>50295 Cost of Goods Sold</t>
  </si>
  <si>
    <t>Slit Tape 3M 9495LE See WO</t>
  </si>
  <si>
    <t>Slit Tape - 3M 9495LE - See WO</t>
  </si>
  <si>
    <t>Number Across Run/Finish –  ?/1
Where Finished –  On Press
Length per Roll/Unit – 60 Yd
Core Type –  As Recd.
Core Width – Various
Core Label – No
Dividers – paper
Bag Size – 
Qty. Per Bag – 12 Rolls
Box Size –  13 x 13 x 13
Qty. Per Box – Best fit per order 
Weight/box – 
Box Per Pallet – 
Pallet Type – </t>
  </si>
  <si>
    <t>Core  –  As Recd.
Width – Various
Number Across Run/FInish –  ?/1
Core Label – No
±10% –  Yes
Unwind Dir. Run – N/A
Unwind Dir. Finish –  N/A
Diecut/Continuous/Sheet –  Continuous
Partial Case –  Yes
Pieces per roll/Unit – 1 Roll
Length per roll/unit –  60 Yd
Finish – On Press
Application – </t>
  </si>
  <si>
    <t>50296 Cost of Goods Sold</t>
  </si>
  <si>
    <t>Die Cut Part Insect hang tag with Adh. strip 1.5" x 3"</t>
  </si>
  <si>
    <t>Die Cut Part - Insect hang tag with Adh. strip - 1.5" x 3"</t>
  </si>
  <si>
    <t>Number Across Run/Finish –  3/1
Where Finished –  On Press
Length per Roll/Unit – 678'
Core Type –  3" Paper (1/8" wall)
Core Width – 3.125"
Core Label – Yes
Dividers – 
Bag Size – 
Qty. Per Bag – 
Box Size –  12 x 12 x 4
Qty. Per Box – 4 Rolls
Weight/box – 
Box Per Pallet – 
Pallet Type – </t>
  </si>
  <si>
    <t>Be aware of die strike as deep die strike can cause difficulty in dispensing in the customer's process.
Sold to different customers.  See work order for specifics.</t>
  </si>
  <si>
    <t>Core  –  3" Paper (1/8" wall)
Width – 3.125"
Number Across Run/FInish –  3/1
Core Label – Yes
±10% –  Yes
Unwind Dir. Run – Parts Out
Unwind Dir. Finish –  Parts Out
Diecut/Continuous/Sheet –  Die Cut
Partial Case –  Yes
Pieces per roll/Unit – 5,000
Length per roll/unit –  678'
Finish – On Press
Application – </t>
  </si>
  <si>
    <t>Be aware of die strike as deep die strike can cause difficulty in dispensing in the customer's process.</t>
  </si>
  <si>
    <t>50297 Cost of Goods Sold</t>
  </si>
  <si>
    <t>Sheeted Part 3M 5925 6.69" x 2.854"</t>
  </si>
  <si>
    <t>15-0235/01</t>
  </si>
  <si>
    <t>Sheeted Part - 3M 5925 - 6.69" x 2.854"</t>
  </si>
  <si>
    <t>Number Across Run/Finish –  1/1
Where Finished –  On Press
Length per Roll/Unit – 58'
Core Type –  N/A
Core Width – N/A
Core Label – No
Dividers – 
Bag Size – 
Qty. Per Bag – 100 Each
Box Size –  8 x 8 x 8
Qty. Per Box – 100 Each
Weight/box – 
Box Per Pallet – 
Pallet Type – </t>
  </si>
  <si>
    <t>Core  –  N/A
Width – N/A
Number Across Run/FInish –  1/1
Core Label – No
±10% –  Yes
Unwind Dir. Run – N/A
Unwind Dir. Finish –  N/A
Diecut/Continuous/Sheet –  Die Cut Sheet
Partial Case –  Yes
Pieces per roll/Unit – 100
Length per roll/unit –  58'
Finish – On Press
Application – </t>
  </si>
  <si>
    <t>50298 Cost of Goods Sold</t>
  </si>
  <si>
    <t>Slit Tape 3M 4941 0.75" x 25'</t>
  </si>
  <si>
    <t>4941/.75x25</t>
  </si>
  <si>
    <t>Slit Tape - 3M 4941 - 0.75" x 25'</t>
  </si>
  <si>
    <t>Number Across Run/Finish –  7/1
Where Finished –  On Press
Length per Roll/Unit – 25'
Core Type –  3" Paper 1/8" White Brown
Core Width – 0.750"
Core Label – Yes
Dividers – Paper
Bag Size – 
Qty. Per Bag – 8 Rolls
Box Size –  10 x 10 x 10
Qty. Per Box – 8 Rolls
Weight/box – 
Box Per Pallet – 
Pallet Type – </t>
  </si>
  <si>
    <t>Core  –  3" Paper 1/8" White Brown
Width – 0.750"
Number Across Run/FInish –  7/1
Core Label – Yes
±10% –  No
Unwind Dir. Run – N/A
Unwind Dir. Finish –  Adh. In.
Diecut/Continuous/Sheet –  Continuous
Partial Case –  Yes
Pieces per roll/Unit – 1 Roll
Length per roll/unit –  25'
Finish – On Press
Application – </t>
  </si>
  <si>
    <t>50299 Cost of Goods Sold</t>
  </si>
  <si>
    <t>Printed Tape White UPVC Reverse Printed Blue with "6" 1/2" x 80Yd</t>
  </si>
  <si>
    <t>806196206</t>
  </si>
  <si>
    <t>Printed Tape - White UPVC Reverse Printed Blue with "6" - 1/2" x 80Yd</t>
  </si>
  <si>
    <t>Two / thirds cup (20 oz.) Reflex Blue - Brewers PVC, Add 2 oz. of MEK and 2 oz. Cyclohexanone.  Max speed will be 5 on Siat #1.  Pictures of dryer arrangement attached</t>
  </si>
  <si>
    <t>50300 Cost of Goods Sold</t>
  </si>
  <si>
    <t>Printed Tape White UPVC Reverse Printed Blue with "8" 1/2" x 80Yd</t>
  </si>
  <si>
    <t>806196208</t>
  </si>
  <si>
    <t>Printed Tape - White UPVC Reverse Printed Blue with "8" - 1/2" x 80Yd</t>
  </si>
  <si>
    <t>Number Across Run/Finish –  11/1
Where Finished –  On Press
Length per Roll/Unit – 80 Yd
Core Type –  3" Paper 1/8" Strouse Brown
Core Width – 0.5"
Core Label – Yes - See Note
Dividers – Paper
Bag Size – 
Qty. Per Bag – 6 Rolls
Box Size –  24 x 24 x 6
Qty. Per Box – 66 Rolls
Weight/box – 
Box Per Pallet – 
Pallet Type – </t>
  </si>
  <si>
    <t>50301 Cost of Goods Sold</t>
  </si>
  <si>
    <t>Die Cut Part Lower gasket 520mm x 190mm</t>
  </si>
  <si>
    <t>PACCAR D426002</t>
  </si>
  <si>
    <t>Die Cut Part - Lower gasket - 520mm x 190mm</t>
  </si>
  <si>
    <t>Number Across Run/Finish –  1/1
Where Finished –  On Press
Length per Roll/Unit – 92'
Core Type –  N/A
Core Width – N/A
Core Label – n/a
Dividers – 
Bag Size – 
Qty. Per Bag – 50 sets 
Box Size –  14 1/4 x 8 3/4  x 12 5/8
Qty. Per Box – 50 
Weight/box – 
Box Per Pallet – 
Pallet Type – </t>
  </si>
  <si>
    <t>Leave centers and outside matrix together and package both Lower and Upper gaskets together</t>
  </si>
  <si>
    <t>Core  –  N/A
Width – N/A
Number Across Run/FInish –  1/1
Core Label – n/a
±10% –  Yes
Unwind Dir. Run – N/A
Unwind Dir. Finish –  N/A
Diecut/Continuous/Sheet –  Die Cut Sheet
Partial Case –  Yes
Pieces per roll/Unit – 100
Length per roll/unit –  92'
Finish – On Press
Application – </t>
  </si>
  <si>
    <t>Must run together with JJ 6631</t>
  </si>
  <si>
    <t>50302 Cost of Goods Sold</t>
  </si>
  <si>
    <t>Slit Tape Splicing tape - ST-1389 AF 1.5" x 180'</t>
  </si>
  <si>
    <t>Slit Tape - Splicing tape - ST-1389 AF - 1.5" x 180'</t>
  </si>
  <si>
    <t>Number Across Run/Finish –  7/1
Where Finished –  On Press
Length per Roll/Unit – 180'
Core Type –  3" Paper 1/8" White Brown
Core Width – 1.5"
Core Label – Yes
Dividers – Paper
Bag Size – 
Qty. Per Bag – 8 Rolls
Box Size –  16 x 16 x 10-1/4
Qty. Per Box – 16 Rolls
Weight/box – 27
Box Per Pallet – 
Pallet Type – </t>
  </si>
  <si>
    <t>Must use yellow silicone release tape for splicing.
See Work Order for Customer.</t>
  </si>
  <si>
    <t>Core  –  3" Paper 1/8" White Brown
Width – 1.5"
Number Across Run/FInish –  7/1
Core Label – Yes
±10% –  Yes
Unwind Dir. Run – Liner Out
Unwind Dir. Finish –  Liner Out
Diecut/Continuous/Sheet –  Continuous
Partial Case –  Yes
Pieces per roll/Unit – 1 Roll
Length per roll/unit –  180'
Finish – On Press
Application – </t>
  </si>
  <si>
    <t>Run the offcuts at 6 across at end of job.  Set offcuts aside and use at end of order.  Use offcuts top and bottom in place of 11" rolls.  Offset to gear side and loose the operator side rolls.
Edit factory splices in the incoming foil and replace with splices in the final construction as specified for this product.
*Check and Clean Bearers between sets and Check Hold downs between sets to assure tool engagement and a good cut edge.</t>
  </si>
  <si>
    <t>50303 Cost of Goods Sold</t>
  </si>
  <si>
    <t>Slit Tape 3M 213 5/8" x 180Yd</t>
  </si>
  <si>
    <t>271168000</t>
  </si>
  <si>
    <t>Slit Tape - 3M 213 - 5/8" x 180Yd</t>
  </si>
  <si>
    <t>Number Across Run/Finish –  72/1
Where Finished –  On Press
Length per Roll/Unit – 180 Yd
Core Type –  3" Paper 0.180" Brown Brown
Core Width – 0.625"
Core Label – No
Dividers – Paper
Bag Size – 
Qty. Per Bag – 15 Rolls
Box Size –  24 x 14 x 6
Qty. Per Box – 60 Rolls
Weight/box – 
Box Per Pallet – 
Pallet Type – </t>
  </si>
  <si>
    <t>C of C needed.</t>
  </si>
  <si>
    <t>Core  –  3" Paper 0.180" Brown Brown
Width – 0.625"
Number Across Run/FInish –  72/1
Core Label – No
±10% –  Yes
Unwind Dir. Run – N/A
Unwind Dir. Finish –  N/A
Diecut/Continuous/Sheet –  Continuous
Partial Case –  Yes
Pieces per roll/Unit – 1 Roll
Length per roll/unit –  180 Yd
Finish – On Press
Application – </t>
  </si>
  <si>
    <t>50304 Cost of Goods Sold</t>
  </si>
  <si>
    <t>Die Cut Part Upper gasket 476.3mm x 150mm</t>
  </si>
  <si>
    <t>PACCAR D426001</t>
  </si>
  <si>
    <t>Die Cut Part - Upper gasket - 476.3mm x 150mm</t>
  </si>
  <si>
    <t>Number Across Run/Finish –  1/1
Where Finished –  On Press
Length per Roll/Unit – 92'
Core Type –  N/A
Core Width – N/A
Core Label – n/a
Dividers – 
Bag Size – 
Qty. Per Bag – 50 sets 
Box Size –  16 x 16 x 10-1/4
Qty. Per Box – 50 
Weight/box – 
Box Per Pallet – 
Pallet Type – </t>
  </si>
  <si>
    <t>Must run together with JJ 6597</t>
  </si>
  <si>
    <t>50305 Cost of Goods Sold</t>
  </si>
  <si>
    <t>Die Cut Part 7333 Cowl Mask 7.608" x 7.323"</t>
  </si>
  <si>
    <t>122526</t>
  </si>
  <si>
    <t>Die Cut Part - 7333 Cowl Mask - 7.608" x 7.323"</t>
  </si>
  <si>
    <t>Number Across Run/Finish –  1/1
Where Finished –  On Press
Length per Roll/Unit – 350'
Core Type –  3" Paper 1/8" White Brown
Core Width – 8"
Core Label – Yes
Dividers – 
Bag Size – 
Qty. Per Bag – 1 Roll
Box Size –  10 x 10 x 10
Qty. Per Box – 2 M
Weight/box – 
Box Per Pallet – 
Pallet Type – </t>
  </si>
  <si>
    <t>Please put a box label on two adjacent sides.  Partial case to be marked as such.</t>
  </si>
  <si>
    <t>Core  –  3" Paper 1/8" White Brown
Width – 8"
Number Across Run/FInish –  1/1
Core Label – Yes
±10% –  Yes
Unwind Dir. Run – N/A
Unwind Dir. Finish –  N/A
Diecut/Continuous/Sheet –  Die Cut
Partial Case –  Yes
Pieces per roll/Unit – 600
Length per roll/unit –  350'
Finish – On Press
Application – </t>
  </si>
  <si>
    <t>50306 Cost of Goods Sold</t>
  </si>
  <si>
    <t>Die Cut Part A pillar RH 26.40" x 6.32"</t>
  </si>
  <si>
    <t>84101-RH-TZ5 126361</t>
  </si>
  <si>
    <t>Die Cut Part - A pillar RH - 26.40" x 6.32"</t>
  </si>
  <si>
    <t>Number Across Run/Finish –  1/1
Where Finished –  On Press
Length per Roll/Unit – 591'
Core Type –  3" Paper 1/8" White Brown
Core Width – 7"
Core Label – Yes
Dividers – 
Bag Size – 
Qty. Per Bag – 1 Roll
Box Size –  10 x 10 x 10
Qty. Per Box –  M
Weight/box – 
Box Per Pallet – 
Pallet Type – </t>
  </si>
  <si>
    <t>Core  –  3" Paper 1/8" White Brown
Width – 7"
Number Across Run/FInish –  1/1
Core Label – Yes
±10% –  Yes
Unwind Dir. Run – Parts Out
Unwind Dir. Finish –  Parts Out
Diecut/Continuous/Sheet –  Die Cut
Partial Case –  Yes
Pieces per roll/Unit – 266
Length per roll/unit –  591'
Finish – On Press
Application – </t>
  </si>
  <si>
    <t>50307 Cost of Goods Sold</t>
  </si>
  <si>
    <t>Die Cut Part A pillar LH 26.40" x 6.32"</t>
  </si>
  <si>
    <t>84151-LH-TZ5 126363</t>
  </si>
  <si>
    <t>Die Cut Part - A pillar LH - 26.40" x 6.32"</t>
  </si>
  <si>
    <t>Number Across Run/Finish –  1/1
Where Finished –  On Press
Length per Roll/Unit – 591'
Core Type –  3" Paper 1/8" White Brown
Core Width – 7"
Core Label – Yes
Dividers – 
Bag Size – 
Qty. Per Bag – 1 Roll
Box Size –  16 1/2 x 8 1/2 x 13
Qty. Per Box –  M
Weight/box – 
Box Per Pallet – 
Pallet Type – </t>
  </si>
  <si>
    <t>50308 Cost of Goods Sold</t>
  </si>
  <si>
    <t>Die Cut Part B pillar RH 17" x 9.05"</t>
  </si>
  <si>
    <t>126362 84111-RH-TZ5</t>
  </si>
  <si>
    <t>Die Cut Part - B pillar RH - 17" x 9.05"</t>
  </si>
  <si>
    <t>Number Across Run/Finish –  1/1
Where Finished –  On Press
Length per Roll/Unit – 575'
Core Type –  3" Paper 1/8" White Brown
Core Width – 10"
Core Label – Yes
Dividers – 
Bag Size – 
Qty. Per Bag – 1 Roll
Box Size –  16 1/2 x 8 1/2 x 13
Qty. Per Box – 1 M
Weight/box – 
Box Per Pallet – 
Pallet Type – </t>
  </si>
  <si>
    <t>Please put a box label on two adjacent sides.
Plain cores only!</t>
  </si>
  <si>
    <t>Core  –  3" Paper 1/8" White Brown
Width – 10"
Number Across Run/FInish –  1/1
Core Label – Yes
±10% –  Yes
Unwind Dir. Run – Parts Out
Unwind Dir. Finish –  Parts Out
Diecut/Continuous/Sheet –  Die Cut
Partial Case –  No
Pieces per roll/Unit – 400
Length per roll/unit –  575'
Finish – On Press
Application – </t>
  </si>
  <si>
    <t xml:space="preserve">Note: There is a template for this job.  It is located in the Template cubby.  </t>
  </si>
  <si>
    <t>50309 Cost of Goods Sold</t>
  </si>
  <si>
    <t>Die Cut Part B pillar LH 17" x 9.05"</t>
  </si>
  <si>
    <t>126364 84161-LH-TZ5</t>
  </si>
  <si>
    <t>Die Cut Part - B pillar LH - 17" x 9.05"</t>
  </si>
  <si>
    <t>Number Across Run/Finish –  1/1
Where Finished –  On Press
Length per Roll/Unit – 575'
Core Type –  3" Paper 1/8" White Brown
Core Width – 10"
Core Label – Yes
Dividers – 
Bag Size – 
Qty. Per Bag – 1 Roll
Box Size –  13 x 13 x 13
Qty. Per Box – 1 M
Weight/box – 
Box Per Pallet – 
Pallet Type – </t>
  </si>
  <si>
    <t>50310 Cost of Goods Sold</t>
  </si>
  <si>
    <t>Die Cut Part 3M PUL8591 7.5" x 3.5"</t>
  </si>
  <si>
    <t>891942</t>
  </si>
  <si>
    <t>Die Cut Part - 3M PUL8591 - 7.5" x 3.5"</t>
  </si>
  <si>
    <t>Number Across Run/Finish –  1/1
Where Finished –  On Press
Length per Roll/Unit – 97'
Core Type –  3" Paper 1/8" White Brown
Core Width – 4"
Core Label – Yes
Dividers – 
Bag Size – 
Qty. Per Bag – 
Box Size –  12 x 12 x 12
Qty. Per Box – 2 M
Weight/box – 
Box Per Pallet – 
Pallet Type – </t>
  </si>
  <si>
    <t>Core  –  3" Paper 1/8" White Brown
Width – 4"
Number Across Run/FInish –  1/1
Core Label – Yes
±10% –  Yes
Unwind Dir. Run – Parts Out
Unwind Dir. Finish –  Parts Out
Diecut/Continuous/Sheet –  Die Cut
Partial Case –  Yes
Pieces per roll/Unit – 150
Length per roll/unit –  97'
Finish – On Press
Application – </t>
  </si>
  <si>
    <t>50311 Cost of Goods Sold</t>
  </si>
  <si>
    <t>Slit Tape 3M 588 2" x 60Yd</t>
  </si>
  <si>
    <t>588/2.00</t>
  </si>
  <si>
    <t>Slit Tape - 3M 588 - 2" x 60Yd</t>
  </si>
  <si>
    <t>Number Across Run/Finish –  6/1
Where Finished –  On Press
Length per Roll/Unit – 60 Yd
Core Type –  3" Plastic 0.10" HDPE
Core Width – 2"
Core Label – Yes
Dividers – 
Bag Size – 
Qty. Per Bag – 6 
Box Size –  10 x 10 x 10
Qty. Per Box – 12 
Weight/box – 
Box Per Pallet – 
Pallet Type – </t>
  </si>
  <si>
    <t>3M MFG CERT WITH SHELF LIFE (75% OF SHELF LIFE) MUST GO WITH EACH ITEM</t>
  </si>
  <si>
    <t>Core  –  3" Plastic 0.10" HDPE
Width – 2"
Number Across Run/FInish –  6/1
Core Label – Yes
±10% –  Yes
Unwind Dir. Run – Film Out
Unwind Dir. Finish –  film Out
Diecut/Continuous/Sheet –  Continuous
Partial Case –  Yes
Pieces per roll/Unit – 1 Roll
Length per roll/unit –  60 Yd
Finish – On Press
Application – </t>
  </si>
  <si>
    <t>50312 Cost of Goods Sold</t>
  </si>
  <si>
    <t>Printed Tape White tape printed Black "MIL-100S-1" 1/2" x 50Yd</t>
  </si>
  <si>
    <t>MIL-100S-1</t>
  </si>
  <si>
    <t>Printed Tape - White tape printed Black "MIL-100S-1" - 1/2" x 50Yd</t>
  </si>
  <si>
    <t>Number Across Run/Finish –  11/1
Where Finished –  On Press
Length per Roll/Unit – 50 Yd
Core Type –  3" Paper 1/8" Strouse Brown
Core Width – 0.5"
Core Label – No
Dividers – Paper
Bag Size – 
Qty. Per Bag – 10 Rolls
Box Size –  16.5 x 16.5 x 8
Qty. Per Box – 40 Rolls
Weight/box – 
Box Per Pallet – 
Pallet Type – </t>
  </si>
  <si>
    <t>NO CORE LABELS!!!!</t>
  </si>
  <si>
    <t>Core  –  3" Paper 1/8" Strouse Brown
Width – 0.5"
Number Across Run/FInish –  11/1
Core Label – No
±10% –  Yes
Unwind Dir. Run – 1
Unwind Dir. Finish –  1
Diecut/Continuous/Sheet –  Continuous
Partial Case –  Yes
Pieces per roll/Unit – 1 Roll
Length per roll/unit –  50 Yd
Finish – On Press
Application – </t>
  </si>
  <si>
    <t>3M 3903 must be refrigerated 24 hours before laminating to liner. Do not remove from refrigerator until press is set up and ready to run the material. DO NOT FREEZE THE MATERIAL!</t>
  </si>
  <si>
    <t>50313 Cost of Goods Sold</t>
  </si>
  <si>
    <t>Die Cut Part 3M 200 with 3/8" overhang 6" Dia</t>
  </si>
  <si>
    <t>209778</t>
  </si>
  <si>
    <t>Die Cut Part - 3M 200 with 3/8" overhang - 6" Dia</t>
  </si>
  <si>
    <t>Number Across Run/Finish –  1/1
Where Finished –  On Press
Length per Roll/Unit – 511'
Core Type –  3" Paper 1/8" Strouse Brown
Core Width – 6.75"
Core Label – Yes
Dividers – 
Bag Size – 
Qty. Per Bag – 1 Roll
Box Size –  8 x 8 x 8
Qty. Per Box – 4 M
Weight/box – 
Box Per Pallet – 
Pallet Type – </t>
  </si>
  <si>
    <t>Core  –  3" Paper 1/8" Strouse Brown
Width – 6.75"
Number Across Run/FInish –  1/1
Core Label – Yes
±10% –  Yes
Unwind Dir. Run – N/A
Unwind Dir. Finish –  N/A
Diecut/Continuous/Sheet –  Die Cut
Partial Case –  Yes
Pieces per roll/Unit – 1,000
Length per roll/unit –  511'
Finish – On Press
Application – </t>
  </si>
  <si>
    <t>50314 Cost of Goods Sold</t>
  </si>
  <si>
    <t>Slit Tape CHR 2255-2 1.40" x 36Yd</t>
  </si>
  <si>
    <t>2255-2/1.40</t>
  </si>
  <si>
    <t>Slit Tape - CHR 2255-2 - 1.40" x 36Yd</t>
  </si>
  <si>
    <t>Number Across Run/Finish –  7/1
Where Finished –  On Press
Length per Roll/Unit – 36 Yd
Core Type –  As Recd.
Core Width – 1.40"
Core Label – Yes - on bag
Dividers – 
Bag Size – 
Qty. Per Bag – 1 Roll
Box Size –  16.5 x 16.5 x 8
Qty. Per Box – Best fit per order 
Weight/box – 
Box Per Pallet – 
Pallet Type – </t>
  </si>
  <si>
    <t>See work order for any special instructions.
Use 4 mil bags and tabletop impulse sealer to heat seal rolls Individually. Check the integrity of the seal.
Place a core label on the outside of the bag.  No core label on the core.
Check the lot # on the core of the material versus the bag(core) and box labels to assure they all agree.</t>
  </si>
  <si>
    <t>Core  –  As Recd.
Width – 1.40"
Number Across Run/FInish –  7/1
Core Label – Yes - on bag
±10% –  Yes
Unwind Dir. Run – N/A
Unwind Dir. Finish –  N/A
Diecut/Continuous/Sheet –  Continuous
Partial Case –  Yes
Pieces per roll/Unit – 1 Roll
Length per roll/unit –  36 Yd
Finish – On Press
Application – </t>
  </si>
  <si>
    <t>50315 Cost of Goods Sold</t>
  </si>
  <si>
    <t>Die Cut Part Low tack/Low tack Adh. 1" Dia</t>
  </si>
  <si>
    <t>R30075</t>
  </si>
  <si>
    <t>Die Cut Part - Low tack/Low tack Adh. - 1" Dia</t>
  </si>
  <si>
    <t>Number Across Run/Finish –  4/1
Where Finished –  On Press
Length per Roll/Unit – 352'
Core Type –  3" Paper 1/8" White Brown
Core Width – 1.500"
Core Label – Yes
Dividers – 
Bag Size – 
Qty. Per Bag – 20 
Box Size –  10 x 10 x 10
Qty. Per Box – 20 Rolls
Weight/box – 
Box Per Pallet – 
Pallet Type – </t>
  </si>
  <si>
    <t>Core  –  3" Paper 1/8" White Brown
Width – 1.500"
Number Across Run/FInish –  4/1
Core Label – Yes
±10% –  Yes
Unwind Dir. Run – Parts Out
Unwind Dir. Finish –  Parts Out
Diecut/Continuous/Sheet –  Die Cut
Partial Case –  Yes
Pieces per roll/Unit – 3,750
Length per roll/unit –  352'
Finish – On Press
Application – </t>
  </si>
  <si>
    <t>50316 Cost of Goods Sold</t>
  </si>
  <si>
    <t>Printed Tape White tape printed Black "70S-2/ER70S-2" 1/2" x 50Yd</t>
  </si>
  <si>
    <t>MIL 70S-2/ER70S-2</t>
  </si>
  <si>
    <t>Printed Tape - White tape printed Black "70S-2/ER70S-2" - 1/2" x 50Yd</t>
  </si>
  <si>
    <t>50317 Cost of Goods Sold</t>
  </si>
  <si>
    <t>Linered Tape AB 7305 on liner 15" x 200Yd</t>
  </si>
  <si>
    <t>AB 7305</t>
  </si>
  <si>
    <t>Linered Tape - AB 7305 on liner - 15" x 200Yd</t>
  </si>
  <si>
    <t>Number Across Run/Finish –  1/1
Where Finished –  On Press
Length per Roll/Unit – 200 Yd
Core Type –  3" Paper 0.180" Brown Brown
Core Width – 16"
Core Label – No
Dividers – 
Bag Size – 
Qty. Per Bag – 1 
Box Size –  8 x 8 x 8
Qty. Per Box – 2 
Weight/box – 
Box Per Pallet – 
Pallet Type – </t>
  </si>
  <si>
    <t>Core  –  3" Paper 0.180" Brown Brown
Width – 16"
Number Across Run/FInish –  1/1
Core Label – No
±10% –  Yes
Unwind Dir. Run – Film Out
Unwind Dir. Finish –  Film Out
Diecut/Continuous/Sheet –  Continuous
Partial Case –  Yes
Pieces per roll/Unit – 1 Roll
Length per roll/unit –  200 Yd
Finish – On Press
Application – </t>
  </si>
  <si>
    <t>50318 Cost of Goods Sold</t>
  </si>
  <si>
    <t>Die Cut Part 3M 213 masking 128mm x 38mm</t>
  </si>
  <si>
    <t>Die Cut Part - 3M 213 masking - 128mm x 38mm</t>
  </si>
  <si>
    <t>Number Across Run/Finish –  1/1
Where Finished –  On Press
Length per Roll/Unit – 46'
Core Type –  3" Paper 1/8" White Brown
Core Width – 2.125"
Core Label – No
Dividers – 
Bag Size – 
Qty. Per Bag – 3 Rolls
Box Size –  8 x 8 x 8
Qty. Per Box – 1 M
Weight/box – 
Box Per Pallet – 
Pallet Type – </t>
  </si>
  <si>
    <t>Core  –  3" Paper 1/8" White Brown
Width – 2.125"
Number Across Run/FInish –  1/1
Core Label – No
±10% –  Yes
Unwind Dir. Run – Parts Out
Unwind Dir. Finish –  Parts Out
Diecut/Continuous/Sheet –  Die Cut
Partial Case –  Yes
Pieces per roll/Unit – 100
Length per roll/unit –  46'
Finish – On Press
Application – </t>
  </si>
  <si>
    <t>50319 Cost of Goods Sold</t>
  </si>
  <si>
    <t>Die Cut Part 3M 213 masking 10mm Dia</t>
  </si>
  <si>
    <t>TSE6730</t>
  </si>
  <si>
    <t>Die Cut Part - 3M 213 masking - 10mm Dia</t>
  </si>
  <si>
    <t>Number Across Run/Finish –  5/5
Where Finished –  On Press
Length per Roll/Unit – 17'
Core Type –  3" Paper 1/8" White Brown
Core Width – 3.0"
Core Label – No
Dividers – 
Bag Size – 
Qty. Per Bag – 1 Roll
Box Size –  8 x 8 x 8
Qty. Per Box – 16 M
Weight/box – 
Box Per Pallet – 
Pallet Type – </t>
  </si>
  <si>
    <t>Include 3M Cert.</t>
  </si>
  <si>
    <t>Core  –  3" Paper 1/8" White Brown
Width – 3.0"
Number Across Run/FInish –  5/5
Core Label – No
±10% –  Yes
Unwind Dir. Run – Parts Out
Unwind Dir. Finish –  Parts Out
Diecut/Continuous/Sheet –  Die Cut
Partial Case –  Yes
Pieces per roll/Unit – 2,000
Length per roll/unit –  17'
Finish – On Press
Application – </t>
  </si>
  <si>
    <t>50320 Cost of Goods Sold</t>
  </si>
  <si>
    <t>Sheeted Part 3M 335 with extended liner 3.75" x 5"</t>
  </si>
  <si>
    <t>3M 335-100</t>
  </si>
  <si>
    <t>Sheeted Part - 3M 335 with extended liner - 3.75" x 5"</t>
  </si>
  <si>
    <t>Number Across Run/Finish –  1/1
Where Finished –  On Press
Length per Roll/Unit – 32'
Core Type –  N/A
Core Width – N/A
Core Label – No
Dividers – 
Bag Size – 
Qty. Per Bag – 100 
Box Size –  12 x 12 x 12
Qty. Per Box – 2,000 
Weight/box – 
Box Per Pallet – 
Pallet Type – </t>
  </si>
  <si>
    <t>C of C w/ 3M Lot # and 3M CERT REQUIRED.</t>
  </si>
  <si>
    <t>Core  –  N/A
Width – N/A
Number Across Run/FInish –  1/1
Core Label – No
±10% –  Yes
Unwind Dir. Run – N/A
Unwind Dir. Finish –  N/A
Diecut/Continuous/Sheet –  Sheet
Partial Case –  Yes
Pieces per roll/Unit – 1 Roll
Length per roll/unit –  32'
Finish – On Press
Application – </t>
  </si>
  <si>
    <t>5/25/16 - used 0.5 mil step down with P/S blades to score the 335 material and not cut too deep into the liner. MS</t>
  </si>
  <si>
    <t>50321 Cost of Goods Sold</t>
  </si>
  <si>
    <t>Slit Tape 3M 472 6" x 10Yd</t>
  </si>
  <si>
    <t>C987020-6</t>
  </si>
  <si>
    <t>Slit Tape - 3M 472 - 6" x 10Yd</t>
  </si>
  <si>
    <t>Number Across Run/Finish –  1/1
Where Finished –  On Press
Length per Roll/Unit – 10 Yd
Core Type –  3" Paper 1/8" White Brown
Core Width – 6.00"
Core Label – Yes
Dividers – Paper
Bag Size – 
Qty. Per Bag – 2 Rolls
Box Size –  9 x 9 x 13
Qty. Per Box – 12 
Weight/box – 
Box Per Pallet – 
Pallet Type – </t>
  </si>
  <si>
    <t>Core  –  3" Paper 1/8" White Brown
Width – 6.00"
Number Across Run/FInish –  1/1
Core Label – Yes
±10% –  Yes
Unwind Dir. Run – Adh. In
Unwind Dir. Finish –  Adh. In
Diecut/Continuous/Sheet –  Continuous
Partial Case –  Yes
Pieces per roll/Unit – 1 Roll
Length per roll/unit –  10 Yd
Finish – On Press
Application – </t>
  </si>
  <si>
    <t>50322 Cost of Goods Sold</t>
  </si>
  <si>
    <t>Slit Tape 3M 3290 0.5" x 50Yd</t>
  </si>
  <si>
    <t>3290/.500</t>
  </si>
  <si>
    <t>Slit Tape - 3M 3290 - 0.5" x 50Yd</t>
  </si>
  <si>
    <t>Number Across Run/Finish –  22/1
Where Finished –  On Press
Length per Roll/Unit – 50 Yd
Core Type –  As Recd.
Core Width – "
Core Label – Yes
Dividers – Paper
Bag Size – 
Qty. Per Bag – 11 Rolls
Box Size –  12 x 12 x 4
Qty. Per Box – 22 Rolls
Weight/box – 
Box Per Pallet – 
Pallet Type – </t>
  </si>
  <si>
    <t>If order is for 22 (1/2") rolls, then wafers between rolls.  11 per bag.  22 rolls per 9 x 9 x 13 box.</t>
  </si>
  <si>
    <t>Core  –  As Recd.
Width – "
Number Across Run/FInish –  22/1
Core Label – Yes
±10% –  Yes
Unwind Dir. Run – N/A
Unwind Dir. Finish –  N/A
Diecut/Continuous/Sheet –  Continuous
Partial Case –  Yes
Pieces per roll/Unit – 1 Roll
Length per roll/unit –  50 Yd
Finish – On Press
Application – </t>
  </si>
  <si>
    <t>50323 Cost of Goods Sold</t>
  </si>
  <si>
    <t>Die Cut Part Label, Reagent, Vent Cover 0.866" dia with tab</t>
  </si>
  <si>
    <t>HLB 77630-02 A</t>
  </si>
  <si>
    <t>Die Cut Part - Label, Reagent, Vent Cover - 0.866" dia with tab</t>
  </si>
  <si>
    <t>Number Across Run/Finish –  1/1
Where Finished –  On Press
Length per Roll/Unit – 417'
Core Type –  3" Paper 1/8" White Brown
Core Width – 1.75"
Core Label – Yes
Dividers – 
Bag Size – 
Qty. Per Bag – 5,000 Each
Box Size –  6 x 6 x 6
Qty. Per Box – 10,000 Each
Weight/box – 
Box Per Pallet – 
Pallet Type – </t>
  </si>
  <si>
    <t>Use the User Part Number on Core and Box label per MDC.
Strouse Cert. with date of conversion</t>
  </si>
  <si>
    <t>Core  –  3" Paper 1/8" White Brown
Width – 1.75"
Number Across Run/FInish –  1/1
Core Label – Yes
±10% –  Yes
Unwind Dir. Run – Parts Out
Unwind Dir. Finish –  3
Diecut/Continuous/Sheet –  Die Cut
Partial Case –  Yes
Pieces per roll/Unit – 5,000
Length per roll/unit –  417'
Finish – On Press
Application – </t>
  </si>
  <si>
    <t>50324 Cost of Goods Sold</t>
  </si>
  <si>
    <t>Sheeted Part 3M 4930 1-7/8" x 7/32"</t>
  </si>
  <si>
    <t>Sheeted Part - 3M 4930 - 1-7/8" x 7/32"</t>
  </si>
  <si>
    <t>Number Across Run/Finish –  2/1
Where Finished –  On Press
Length per Roll/Unit – 235'
Core Type –  N/A
Core Width – N/A
Core Label – No
Dividers – 
Bag Size – 
Qty. Per Bag – 0.2 M
Box Size –  8 x 8 x 8
Qty. Per Box – 5 M
Weight/box – 
Box Per Pallet – 
Pallet Type – </t>
  </si>
  <si>
    <t>Include MFG Cert - 12 months Shelf Life remaining (4930 has 24 month shelf life).</t>
  </si>
  <si>
    <t>Core  –  N/A
Width – N/A
Number Across Run/FInish –  2/1
Core Label – No
±10% –  Yes
Unwind Dir. Run – N/A
Unwind Dir. Finish –  
Diecut/Continuous/Sheet –  Die Cut Sheet
Partial Case –  Yes
Pieces per roll/Unit – 200
Length per roll/unit –  235'
Finish – On Press
Application – </t>
  </si>
  <si>
    <t>Use two different sensors.  One for the laser and one for the die.</t>
  </si>
  <si>
    <t>50325 Cost of Goods Sold</t>
  </si>
  <si>
    <t>Die Cut Part 3M 2380 masking tape 0.25" Dia</t>
  </si>
  <si>
    <t>42245GC</t>
  </si>
  <si>
    <t>Die Cut Part - 3M 2380 masking tape - 0.25" Dia</t>
  </si>
  <si>
    <t>Number Across Run/Finish –  3/1
Where Finished –  On Press
Length per Roll/Unit – 180'
Core Type –  3" Paper (1/8" wall)
Core Width – .375"
Core Label – Yes
Dividers – 
Bag Size – 
Qty. Per Bag – 10 Rolls
Box Size –  11 x 11 x 8
Qty. Per Box – 10 Rolls
Weight/box – 
Box Per Pallet – 
Pallet Type – </t>
  </si>
  <si>
    <t>If shipping to Northrop Grumman: use 6765 - NORTHROP label formats
If shipping to Seiler-Hughes: use 6765 - SEILER label formats</t>
  </si>
  <si>
    <t>Core  –  3" Paper (1/8" wall)
Width – .375"
Number Across Run/FInish –  3/1
Core Label – Yes
±10% –  No
Unwind Dir. Run – Parts Out
Unwind Dir. Finish –  Parts Out
Diecut/Continuous/Sheet –  Die Cut
Partial Case –  Yes
Pieces per roll/Unit – 5,750
Length per roll/unit –  180'
Finish – On Press
Application – </t>
  </si>
  <si>
    <t>Material requires 75% Shelf Life. Check PO to confirm. MS</t>
  </si>
  <si>
    <t>50326 Cost of Goods Sold</t>
  </si>
  <si>
    <t>Die Cut Part 3M 2380 masking tape 0.5" Dia</t>
  </si>
  <si>
    <t>Die Cut Part - 3M 2380 masking tape - 0.5" Dia</t>
  </si>
  <si>
    <t>Number Across Run/Finish –  4/1
Where Finished –  On Press
Length per Roll/Unit – 180'
Core Type –  3" Paper (1/8" wall)
Core Width – .625"
Core Label – Yes
Dividers – 
Bag Size – 
Qty. Per Bag – 10 Rolls
Box Size –  6 x 6 x 6
Qty. Per Box – 10 Rolls
Weight/box – 
Box Per Pallet – 
Pallet Type – </t>
  </si>
  <si>
    <t>If shipping to Northrop Grumman: use 6766 - NORTHROP label formats
If shipping to Seiler-Hughes: use 6766 - SEILER label formats</t>
  </si>
  <si>
    <t>Core  –  3" Paper (1/8" wall)
Width – .625"
Number Across Run/FInish –  4/1
Core Label – Yes
±10% –  No
Unwind Dir. Run – Parts Out
Unwind Dir. Finish –  Parts Out
Diecut/Continuous/Sheet –  Die Cut
Partial Case –  Yes
Pieces per roll/Unit – 3,450
Length per roll/unit –  180'
Finish – On Press
Application – </t>
  </si>
  <si>
    <t>50327 Cost of Goods Sold</t>
  </si>
  <si>
    <t>Slit Tape Blue Silicone 0.5" x 60Yd</t>
  </si>
  <si>
    <t>ST-1371</t>
  </si>
  <si>
    <t>Slit Tape - Blue Silicone - 0.5" x 60Yd</t>
  </si>
  <si>
    <t>Number Across Run/Finish –  72/1
Where Finished –  On Press
Length per Roll/Unit – 72 Yd
Core Type –  As Recd.
Core Width – 0.5"
Core Label – Yes
Dividers – 
Bag Size – 
Qty. Per Bag – 1 Roll
Box Size –  Best Fit Per Qty
Qty. Per Box – 10 Rolls
Weight/box – 
Box Per Pallet – 
Pallet Type – </t>
  </si>
  <si>
    <t>Per 12/15/14 email from MDC Paper or Plastic cores are acceptable.
Yes the rolls are 72yds but we are labeling as 60 yds for now.
See work order for any special instructions.
Include Strouse Cert with DOC: and Shelf Life: 12 Months
Do NOT include raw material certs.
• Use 4 mil bags and tabletop impulse sealer to heat seal rolls Individually. Check the integrity of the seal.  
• Place a core label on the core.  Trim to fit.
• Check the lot # on the core of the material versus the material cert versus the bag(core) and box labels to assure they all agree.</t>
  </si>
  <si>
    <t>Core  –  As Recd.
Width – 0.5"
Number Across Run/FInish –  72/1
Core Label – Yes
±10% –  Yes
Unwind Dir. Run – N/A
Unwind Dir. Finish –  N/A
Diecut/Continuous/Sheet –  Continuous
Partial Case –  Yes
Pieces per roll/Unit – 1 Roll
Length per roll/unit –  72 Yd
Finish – On Press
Application – </t>
  </si>
  <si>
    <t>50328 Cost of Goods Sold</t>
  </si>
  <si>
    <t>Slit Tape 3M 63 0.125" x 36Yd</t>
  </si>
  <si>
    <t>3M 63/.125</t>
  </si>
  <si>
    <t>Slit Tape - 3M 63 - 0.125" x 36Yd</t>
  </si>
  <si>
    <t>Number Across Run/Finish –  96/1
Where Finished –  On Press
Length per Roll/Unit – 36 Yd
Core Type –  As Recd.
Core Width – 0.125"
Core Label – Yes - on bag
Dividers – 
Bag Size – 
Qty. Per Bag – 1 Roll
Box Size –  13 x 13 x 13
Qty. Per Box – 12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</si>
  <si>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t>
  </si>
  <si>
    <t>Core  –  As Recd.
Width – 0.125"
Number Across Run/FInish –  96/1
Core Label – Yes - on bag
±10% –  Yes
Unwind Dir. Run – N/A
Unwind Dir. Finish –  N/A
Diecut/Continuous/Sheet –  Continuous
Partial Case –  Yes
Pieces per roll/Unit – 1 Roll
Length per roll/unit –  36 Yd
Finish – On Press
Application – </t>
  </si>
  <si>
    <t>50329 Cost of Goods Sold</t>
  </si>
  <si>
    <t>Butt Cut Parts Foam squares - 10/sheet 1" x 1"</t>
  </si>
  <si>
    <t>10863512</t>
  </si>
  <si>
    <t>Butt Cut Parts - Foam squares - 10/sheet - 1" x 1"</t>
  </si>
  <si>
    <t>Number Across Run/Finish –  2/2
Where Finished –  On Press
Length per Roll/Unit – 84'
Core Type –  N/A
Core Width – N/A
Core Label – No
Dividers – 
Bag Size – 
Qty. Per Bag – 200 Sheets
Box Size –  8 x 8 x 8
Qty. Per Box – 20 M
Weight/box – 
Box Per Pallet – 
Pallet Type – </t>
  </si>
  <si>
    <t>2,000 sheets = 20,000 parts</t>
  </si>
  <si>
    <t>Core  –  N/A
Width – N/A
Number Across Run/FInish –  2/2
Core Label – No
±10% –  Yes
Unwind Dir. Run – N/A
Unwind Dir. Finish –  N/A
Diecut/Continuous/Sheet –  Die Cut Sheet
Partial Case –  Yes
Pieces per roll/Unit – 200 Sheets
Length per roll/unit –  84'
Finish – On Press
Application – </t>
  </si>
  <si>
    <t>50330 Cost of Goods Sold</t>
  </si>
  <si>
    <t>Laser Cut Part 3M 8671 with Adh. both sides 7.5" x 2"</t>
  </si>
  <si>
    <t>3271686</t>
  </si>
  <si>
    <t>Laser Cut Part - 3M 8671 with Adh. both sides - 7.5" x 2"</t>
  </si>
  <si>
    <t>Number Across Run/Finish –  2/1
Where Finished –  On Press
Length per Roll/Unit – 313'
Core Type –  N/A
Core Width – N/A
Core Label – Yes - on bag
Dividers – 
Bag Size – 
Qty. Per Bag – 1 
Box Size –  Best Fit Per Qty
Qty. Per Box – 1 
Weight/box – 
Box Per Pallet – 
Pallet Type – </t>
  </si>
  <si>
    <t>Core  –  N/A
Width – N/A
Number Across Run/FInish –  2/1
Core Label – Yes - on bag
±10% –  Yes
Unwind Dir. Run – N/A
Unwind Dir. Finish –  N/A
Diecut/Continuous/Sheet –  Die Cut Sheet
Partial Case –  Yes
Pieces per roll/Unit – 1 Roll
Length per roll/unit –  313'
Finish – On Press
Application – </t>
  </si>
  <si>
    <t>Can also run on Flashcut using JJ_6786 file.</t>
  </si>
  <si>
    <t>50331 Cost of Goods Sold</t>
  </si>
  <si>
    <t>Slit Tape Nitto Permacel P-224 See WO</t>
  </si>
  <si>
    <t>Slit Tape - Nitto Permacel P-224 - See WO</t>
  </si>
  <si>
    <t>Number Across Run/Finish –  ?/1
Where Finished –  On Press
Length per Roll/Unit – 36 Yd
Core Type –  As Recd.
Core Width – Various
Core Label – Yes - on bag
Dividers – 
Bag Size – 
Qty. Per Bag – 1 Roll
Box Size –  19-1/2 X 19-1/2 X 4
Qty. Per Box – 20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</si>
  <si>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Lot # to be on bag label.  Take lot number from Nitto Cert  
Bag label format "6792 Core" 
NITTO MFG CERT WITH SHELF LIFE (80% OF SHELF LIFE) MUST GO WITH EACH ITEM
See work order for part number.
Can package multiple sizes in same box if going to same end user.</t>
  </si>
  <si>
    <t>50332 Cost of Goods Sold</t>
  </si>
  <si>
    <t>Sheeted Part 3M 427 17.22" x 13.82"</t>
  </si>
  <si>
    <t>33445-1725/45587870</t>
  </si>
  <si>
    <t>Sheeted Part - 3M 427 - 17.22" x 13.82"</t>
  </si>
  <si>
    <t>Number Across Run/Finish –  1/1
Where Finished –  On Press
Length per Roll/Unit – 128'
Core Type –  N/A
Core Width – N/A
Core Label – No
Dividers – 
Bag Size – 
Qty. Per Bag – 
Box Size –  16.5 x 16.5 x 10.25
Qty. Per Box – 222 Each
Weight/box – 
Box Per Pallet – 
Pallet Type – </t>
  </si>
  <si>
    <t>Use filament tape on packaging.</t>
  </si>
  <si>
    <t>Core  –  N/A
Width – N/A
Number Across Run/FInish –  1/1
Core Label – No
±10% –  No
Unwind Dir. Run – N/A
Unwind Dir. Finish –  N/A
Diecut/Continuous/Sheet –  Die Cut Sheet
Partial Case –  Yes
Pieces per roll/Unit – 
Length per roll/unit –  128'
Finish – On Press
Application – </t>
  </si>
  <si>
    <t>50333 Cost of Goods Sold</t>
  </si>
  <si>
    <t>Sheeted Part 3M 427 14.72" x 11.31"</t>
  </si>
  <si>
    <t>33445-1472</t>
  </si>
  <si>
    <t>Sheeted Part - 3M 427 - 14.72" x 11.31"</t>
  </si>
  <si>
    <t>Number Across Run/Finish –  1/1
Where Finished –  On Press
Length per Roll/Unit – 124'
Core Type –  N/A
Core Width – N/A
Core Label – No
Dividers – 
Bag Size – 
Qty. Per Bag – 
Box Size –  Best Fit Per Qty
Qty. Per Box – Best fit per order 
Weight/box – 
Box Per Pallet – 
Pallet Type – </t>
  </si>
  <si>
    <t>Core  –  N/A
Width – N/A
Number Across Run/FInish –  1/1
Core Label – No
±10% –  No
Unwind Dir. Run – N/A
Unwind Dir. Finish –  N/A
Diecut/Continuous/Sheet –  Die Cut Sheet
Partial Case –  Yes
Pieces per roll/Unit – 
Length per roll/unit –  124'
Finish – On Press
Application – </t>
  </si>
  <si>
    <t>50334 Cost of Goods Sold</t>
  </si>
  <si>
    <t>Slit Tape 3M 63 0.25" x 36Yd</t>
  </si>
  <si>
    <t>3M 63/.25</t>
  </si>
  <si>
    <t>Slit Tape - 3M 63 - 0.25" x 36Yd</t>
  </si>
  <si>
    <t>Number Across Run/Finish –  48/1
Where Finished –  On Press
Length per Roll/Unit – 36 Yd
Core Type –  As Recd.
Core Width – 0.25"
Core Label – Yes - on bag
Dividers – 
Bag Size – 
Qty. Per Bag – 1 Roll
Box Size –  Custom-folding
Qty. Per Box – 12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</si>
  <si>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Only one lot# allowed per order</t>
  </si>
  <si>
    <t>Core  –  As Recd.
Width – 0.25"
Number Across Run/FInish –  48/1
Core Label – Yes - on bag
±10% –  Yes
Unwind Dir. Run – N/A
Unwind Dir. Finish –  N/A
Diecut/Continuous/Sheet –  Continuous
Partial Case –  Yes
Pieces per roll/Unit – 1 Roll
Length per roll/unit –  36 Yd
Finish – On Press
Application – </t>
  </si>
  <si>
    <t>50335 Cost of Goods Sold</t>
  </si>
  <si>
    <t>Sheeted Part 3M 427 24.48" x 17.54"</t>
  </si>
  <si>
    <t>L-1-Mask-427</t>
  </si>
  <si>
    <t>Sheeted Part - 3M 427 - 24.48" x 17.54"</t>
  </si>
  <si>
    <t>Number Across Run/Finish –  1/1
Where Finished –  On Press
Length per Roll/Unit – 21'
Core Type –  N/A
Core Width – N/A
Core Label – No
Dividers – 
Bag Size – 
Qty. Per Bag – 
Box Size –  Custom-folding
Qty. Per Box – 10 Each
Weight/box – 
Box Per Pallet – 
Pallet Type – </t>
  </si>
  <si>
    <t>BULK PACK MULTIPLE ITEMS</t>
  </si>
  <si>
    <t>Core  –  N/A
Width – N/A
Number Across Run/FInish –  1/1
Core Label – No
±10% –  No
Unwind Dir. Run – N/A
Unwind Dir. Finish –  N/A
Diecut/Continuous/Sheet –  Die Cut Sheet
Partial Case –  Yes
Pieces per roll/Unit – 
Length per roll/unit –  21'
Finish – On Press
Application – </t>
  </si>
  <si>
    <t>50336 Cost of Goods Sold</t>
  </si>
  <si>
    <t>Sheeted Part 3M 427 26.97" x 19.99"</t>
  </si>
  <si>
    <t>L-1-Edge-427</t>
  </si>
  <si>
    <t>Sheeted Part - 3M 427 - 26.97" x 19.99"</t>
  </si>
  <si>
    <t>Number Across Run/Finish –  1/1
Where Finished –  On Press
Length per Roll/Unit – 23'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</si>
  <si>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23'
Finish – On Press
Application – </t>
  </si>
  <si>
    <t>50337 Cost of Goods Sold</t>
  </si>
  <si>
    <t>Sheeted Part 3M 427 32.59" x 18.13"</t>
  </si>
  <si>
    <t>L-2-Mask-427</t>
  </si>
  <si>
    <t>Sheeted Part - 3M 427 - 32.59" x 18.13"</t>
  </si>
  <si>
    <t>Number Across Run/Finish –  1/1
Where Finished –  On Press
Length per Roll/Unit – 28'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</si>
  <si>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28'
Finish – On Press
Application – </t>
  </si>
  <si>
    <t>50338 Cost of Goods Sold</t>
  </si>
  <si>
    <t>Sheeted Part 3M 427 35.14" x 20.62"</t>
  </si>
  <si>
    <t>52602612</t>
  </si>
  <si>
    <t>Sheeted Part - 3M 427 - 35.14" x 20.62"</t>
  </si>
  <si>
    <t>Number Across Run/Finish –  1/1
Where Finished –  On Press
Length per Roll/Unit – 30'
Core Type –  N/A
Core Width – N/A
Core Label – No
Dividers – 
Bag Size – 
Qty. Per Bag – 
Box Size –  Custom-folding
Qty. Per Box – 10 Each
Weight/box – 
Box Per Pallet – 
Pallet Type – </t>
  </si>
  <si>
    <t>Core  –  N/A
Width – N/A
Number Across Run/FInish –  1/1
Core Label – No
±10% –  No
Unwind Dir. Run – N/A
Unwind Dir. Finish –  N/A
Diecut/Continuous/Sheet –  Die Cut Sheet
Partial Case –  Yes
Pieces per roll/Unit – 
Length per roll/unit –  30'
Finish – On Press
Application – </t>
  </si>
  <si>
    <t>50339 Cost of Goods Sold</t>
  </si>
  <si>
    <t>Sheeted Part 3M 427 27.35" x 13.22"</t>
  </si>
  <si>
    <t>L-3-Mask-427</t>
  </si>
  <si>
    <t>Sheeted Part - 3M 427 - 27.35" x 13.22"</t>
  </si>
  <si>
    <t>Number Across Run/Finish –  1/1
Where Finished –  On Press
Length per Roll/Unit – 24'
Core Type –  N/A
Core Width – N/A
Core Label – No
Dividers – 
Bag Size – 
Qty. Per Bag – 
Box Size –  Best Fit Per Qty
Qty. Per Box – 10 Each
Weight/box – 
Box Per Pallet – 
Pallet Type – </t>
  </si>
  <si>
    <t>Core  –  N/A
Width – N/A
Number Across Run/FInish –  1/1
Core Label – No
±10% –  No
Unwind Dir. Run – N/A
Unwind Dir. Finish –  N/A
Diecut/Continuous/Sheet –  Die Cut Sheet
Partial Case –  Yes
Pieces per roll/Unit – 
Length per roll/unit –  24'
Finish – On Press
Application – </t>
  </si>
  <si>
    <t>50340 Cost of Goods Sold</t>
  </si>
  <si>
    <t>Sheeted Part 3M 427 29.88" x 15.71"</t>
  </si>
  <si>
    <t>Sheeted Part - 3M 427 - 29.88" x 15.71"</t>
  </si>
  <si>
    <t>Number Across Run/Finish –  1/1
Where Finished –  On Press
Length per Roll/Unit – 25'
Core Type –  N/A
Core Width – N/A
Core Label – No
Dividers – 
Bag Size – 
Qty. Per Bag – 
Box Size –  Best Fit Per Qty
Qty. Per Box – 10 
Weight/box – 
Box Per Pallet – 
Pallet Type – </t>
  </si>
  <si>
    <t>Core  –  N/A
Width – N/A
Number Across Run/FInish –  1/1
Core Label – No
±10% –  No
Unwind Dir. Run – N/A
Unwind Dir. Finish –  N/A
Diecut/Continuous/Sheet –  Die Cut Sheet
Partial Case –  Yes
Pieces per roll/Unit – 
Length per roll/unit –  25'
Finish – On Press
Application – </t>
  </si>
  <si>
    <t>50341 Cost of Goods Sold</t>
  </si>
  <si>
    <t>Sheeted Part 3M 427 26.62" x 14.54"</t>
  </si>
  <si>
    <t>Ctr-Mask-427</t>
  </si>
  <si>
    <t>Sheeted Part - 3M 427 - 26.62" x 14.54"</t>
  </si>
  <si>
    <t>Number Across Run/Finish –  1/1
Where Finished –  On Press
Length per Roll/Unit – 23'
Core Type –  N/A
Core Width – N/A
Core Label – No
Dividers – 
Bag Size – 
Qty. Per Bag – 
Box Size –  Best Fit Per Qty
Qty. Per Box – Best fit per order 
Weight/box – 
Box Per Pallet – 
Pallet Type – </t>
  </si>
  <si>
    <t>50342 Cost of Goods Sold</t>
  </si>
  <si>
    <t>Sheeted Part 3M 427 29.13" x 17.04"</t>
  </si>
  <si>
    <t>Sheeted Part - 3M 427 - 29.13" x 17.04"</t>
  </si>
  <si>
    <t>50343 Cost of Goods Sold</t>
  </si>
  <si>
    <t>R-1-Mask 427</t>
  </si>
  <si>
    <t>Number Across Run/Finish –  1/1
Where Finished –  On Press
Length per Roll/Unit – 21'
Core Type –  N/A
Core Width – N/A
Core Label – No
Dividers – 
Bag Size – 
Qty. Per Bag – 
Box Size –  Custom-folding
Qty. Per Box – Best fit per order 
Weight/box – 
Box Per Pallet – 
Pallet Type – </t>
  </si>
  <si>
    <t>50344 Cost of Goods Sold</t>
  </si>
  <si>
    <t>Number Across Run/Finish –  1/1
Where Finished –  On Press
Length per Roll/Unit – 23'
Core Type –  N/A
Core Width – N/A
Core Label – No
Dividers – 
Bag Size – 
Qty. Per Bag – 
Box Size –  Best Fit Per Qty
Qty. Per Box – 10 Each
Weight/box – 
Box Per Pallet – 
Pallet Type – </t>
  </si>
  <si>
    <t>50345 Cost of Goods Sold</t>
  </si>
  <si>
    <t>R-2-Mask-427</t>
  </si>
  <si>
    <t>Number Across Run/Finish –  1/1
Where Finished –  On Press
Length per Roll/Unit – 28'
Core Type –  N/A
Core Width – N/A
Core Label – No
Dividers – 
Bag Size – 
Qty. Per Bag – 
Box Size –  Custom-folding
Qty. Per Box – Best fit per order 
Weight/box – 
Box Per Pallet – 
Pallet Type – </t>
  </si>
  <si>
    <t>50346 Cost of Goods Sold</t>
  </si>
  <si>
    <t>R-2-Edge-427</t>
  </si>
  <si>
    <t>50347 Cost of Goods Sold</t>
  </si>
  <si>
    <t>R-3-Mask-427</t>
  </si>
  <si>
    <t>Number Across Run/Finish –  1/1
Where Finished –  On Press
Length per Roll/Unit – 24'
Core Type –  N/A
Core Width – N/A
Core Label – No
Dividers – 
Bag Size – 
Qty. Per Bag – 
Box Size –  Custom-folding
Qty. Per Box – 10 Each
Weight/box – 
Box Per Pallet – 
Pallet Type – </t>
  </si>
  <si>
    <t>50348 Cost of Goods Sold</t>
  </si>
  <si>
    <t>R-3-Edge-427</t>
  </si>
  <si>
    <t>Number Across Run/Finish –  1/1
Where Finished –  On Press
Length per Roll/Unit – 25'
Core Type –  N/A
Core Width – N/A
Core Label – No
Dividers – 
Bag Size – 
Qty. Per Bag – 
Box Size –  12 x 12 x 12
Qty. Per Box – 10 Each
Weight/box – 
Box Per Pallet – 
Pallet Type – </t>
  </si>
  <si>
    <t>50349 Cost of Goods Sold</t>
  </si>
  <si>
    <t>Slit Tape 3M 3903 Black 12" x 50Yd</t>
  </si>
  <si>
    <t>6829</t>
  </si>
  <si>
    <t>Slit Tape - 3M 3903 Black - 12" x 50Yd</t>
  </si>
  <si>
    <t>Number Across Run/Finish –  4/1
Where Finished –  On Press
Length per Roll/Unit – 50 Yd
Core Type –  As Recd.
Core Width – 12"
Core Label – No
Dividers – Paper
Bag Size – 
Qty. Per Bag – 1 Roll
Box Size –  6 x 6 x 6
Qty. Per Box – 4 Rolls
Weight/box – 
Box Per Pallet – 
Pallet Type – </t>
  </si>
  <si>
    <t>Core  –  As Recd.
Width – 12"
Number Across Run/FInish –  4/1
Core Label – No
±10% –  Yes
Unwind Dir. Run – N/A
Unwind Dir. Finish –  N/A
Diecut/Continuous/Sheet –  Continuous
Partial Case –  Yes
Pieces per roll/Unit – 1 Roll
Length per roll/unit –  50 Yd
Finish – On Press
Application – </t>
  </si>
  <si>
    <t>50350 Cost of Goods Sold</t>
  </si>
  <si>
    <t>Sheeted Part 3M 1170 3" x 0.75"</t>
  </si>
  <si>
    <t>LU45085-825</t>
  </si>
  <si>
    <t>Sheeted Part - 3M 1170 - 3" x 0.75"</t>
  </si>
  <si>
    <t>Number Across Run/Finish –  1/1
Where Finished –  On Press
Length per Roll/Unit – 7'
Core Type –  N/A
Core Width – N/A
Core Label – Yes - on bag
Dividers – 
Bag Size – 
Qty. Per Bag – 25 Each
Box Size –  6 x 6 x 6
Qty. Per Box – 500 Each
Weight/box – 
Box Per Pallet – 
Pallet Type – </t>
  </si>
  <si>
    <t>Core  –  N/A
Width – N/A
Number Across Run/FInish –  1/1
Core Label – Yes - on bag
±10% –  Yes
Unwind Dir. Run – N/A
Unwind Dir. Finish –  N/A
Diecut/Continuous/Sheet –  Die Cut Sheet
Partial Case –  Yes
Pieces per roll/Unit – 
Length per roll/unit –  7'
Finish – On Press
Application – </t>
  </si>
  <si>
    <t>Configuration: 3M 1170
Use Electric blade</t>
  </si>
  <si>
    <t>50351 Cost of Goods Sold</t>
  </si>
  <si>
    <t>Sheeted Part 5 mil PET 0.50" x 2.165"</t>
  </si>
  <si>
    <t>LU45084-825</t>
  </si>
  <si>
    <t>Sheeted Part - 5 mil PET - 0.50" x 2.165"</t>
  </si>
  <si>
    <t>Number Across Run/Finish –  2/1
Where Finished –  On Press
Length per Roll/Unit – 1'
Core Type –  N/A
Core Width – N/A
Core Label – Yes - on bag
Dividers – 
Bag Size – 
Qty. Per Bag – 25 Each
Box Size –  10 x 10 x 10
Qty. Per Box – 500 Each
Weight/box – 
Box Per Pallet – 
Pallet Type – </t>
  </si>
  <si>
    <t>Core  –  N/A
Width – N/A
Number Across Run/FInish –  2/1
Core Label – Yes - on bag
±10% –  Yes
Unwind Dir. Run – N/A
Unwind Dir. Finish –  N/A
Diecut/Continuous/Sheet –  Sheet
Partial Case –  Yes
Pieces per roll/Unit – 25
Length per roll/unit –  1'
Finish – On Press
Application – </t>
  </si>
  <si>
    <t>50352 Cost of Goods Sold</t>
  </si>
  <si>
    <t>Printed Tape White tape printed Black "70S-6/ER70S-6" 1/2" x 50Yd</t>
  </si>
  <si>
    <t>MIL 70S-6/ER70S-6</t>
  </si>
  <si>
    <t>Printed Tape - White tape printed Black "70S-6/ER70S-6" - 1/2" x 50Yd</t>
  </si>
  <si>
    <t>Number Across Run/Finish –  11/1
Where Finished –  On Press
Length per Roll/Unit – 50 Yd
Core Type –  3" Paper 1/8" Strouse Brown
Core Width – 0.5"
Core Label – No
Dividers – Paper
Bag Size – 
Qty. Per Bag – 10 Rolls
Box Size –  10 x 10 x 10
Qty. Per Box – 40 Rolls
Weight/box – 
Box Per Pallet – 
Pallet Type – </t>
  </si>
  <si>
    <t>50353 Cost of Goods Sold</t>
  </si>
  <si>
    <t>Printed Tape White tape printed Black "70S-3/ER70S-3" 1/2" x 50Yd</t>
  </si>
  <si>
    <t>MIL 70S-3/ER70S-3</t>
  </si>
  <si>
    <t>Printed Tape - White tape printed Black "70S-3/ER70S-3" - 1/2" x 50Yd</t>
  </si>
  <si>
    <t>50354 Cost of Goods Sold</t>
  </si>
  <si>
    <t>Sheeted Part 3M 213 engine blade mask 6.39" x 3.17"</t>
  </si>
  <si>
    <t>6923</t>
  </si>
  <si>
    <t>Sheeted Part - 3M 213 engine blade mask - 6.39" x 3.17"</t>
  </si>
  <si>
    <t>Number Across Run/Finish –  1/1
Where Finished –  On Press
Length per Roll/Unit – 139'
Core Type –  N/A
Core Width – N/A
Core Label – No
Dividers – 7 x 9
Bag Size – 
Qty. Per Bag – 250 Each
Box Size –  12 x 12 x 12
Qty. Per Box – 5 M
Weight/box – 
Box Per Pallet – 
Pallet Type – </t>
  </si>
  <si>
    <t>Add 2 stiffeners (Cardboard or Poly-flute) to outside of bag, and then tape to hold stiffeners in place.  See pics in JJ.</t>
  </si>
  <si>
    <t>Core  –  N/A
Width – N/A
Number Across Run/FInish –  1/1
Core Label – No
±10% –  Yes
Unwind Dir. Run – N/A
Unwind Dir. Finish –  N/A
Diecut/Continuous/Sheet –  Die Cut Sheet
Partial Case –  Yes
Pieces per roll/Unit – 250
Length per roll/unit –  139'
Finish – On Press
Application – </t>
  </si>
  <si>
    <t>50355 Cost of Goods Sold</t>
  </si>
  <si>
    <t>Slit Tape 3M 232 6mm x 55m</t>
  </si>
  <si>
    <t>232-1/4</t>
  </si>
  <si>
    <t>Slit Tape - 3M 232 - 6mm x 55m</t>
  </si>
  <si>
    <t>Number Across Run/Finish –  108/1
Where Finished –  On Press
Length per Roll/Unit – 60 Yd
Core Type –  3" Paper 0.180" Brown Brown
Core Width – .25"
Core Label – No
Dividers – Paper
Bag Size – 
Qty. Per Bag – 18 
Box Size –  11.5 x 8.875 x 10.625
Qty. Per Box – 72 
Weight/box – 
Box Per Pallet – 
Pallet Type – </t>
  </si>
  <si>
    <t>Core  –  3" Paper 0.180" Brown Brown
Width – .25"
Number Across Run/FInish –  108/1
Core Label – No
±10% –  Yes
Unwind Dir. Run – N/A
Unwind Dir. Finish –  N/A
Diecut/Continuous/Sheet –  Continuous
Partial Case –  Yes
Pieces per roll/Unit – 1 Roll
Length per roll/unit –  60 Yd
Finish – On Press
Application – </t>
  </si>
  <si>
    <t>50356 Cost of Goods Sold</t>
  </si>
  <si>
    <t>Die Cut Part Foam Border 3.22" x 6.94"</t>
  </si>
  <si>
    <t>BRZ-FB1-09X-024-Rev B</t>
  </si>
  <si>
    <t>Case</t>
  </si>
  <si>
    <t>Die Cut Part - Foam Border - 3.22" x 6.94"</t>
  </si>
  <si>
    <t>Number Across Run/Finish –  1/1
Where Finished –  On Press
Length per Roll/Unit – 84'
Core Type –  N/A
Core Width – N/A
Core Label – 
Dividers – 
Bag Size – 
Qty. Per Bag – 2  Each
Box Size –  10 x 10 x 10
Qty. Per Box – 24 Pouches
Weight/box – 
Box Per Pallet – 64
Pallet Type – </t>
  </si>
  <si>
    <t>1. Print pouch label and apply one to tyvek (white) side of pouch with the opening to the right.  Nominal Heat Sealer Temperature Setting - 275 °F.
2. Place 2 parts in each pouch.  Seal pouch ensuring the seal is good and straight.
3. Place 24 pouches in each case (11.5" x 8.875" x 10.625").  Stack 20 pouches horizontally and stand 4 pouches vertically (2 x 2) in front of the case.
4. Place 1 folded instruction sheet in case on top of the stack of 20 pouches.
5. Print case label and apply to front side of case.
6. 64 cases per pallet.
See CS/SALES for partial cases, Partial pallets, and over or under shipping.
Zeltiq Lot Number and DOM are required on the Certificate of Conformance.
Case label, Pouch label, and Sealer/Printer - Date and Lot identification:
- Variable information is prompted when you print.  Do NOT attempt to change Lot or Expiration numbers on the labels.
- Expiration date is 3 years from the date production started and is in the format YYYY-MM-DD.
- Lot number is formatted SYYYYMM-XX where S is fixed for "Strouse", YYYY is the current 4-digit year, MM is the current 2-digit month, and XX is the current number of times we have run this product this month.</t>
  </si>
  <si>
    <t>Core  –  N/A
Width – N/A
Number Across Run/FInish –  1/1
Core Label – 
±10% –  ASK
Unwind Dir. Run – N/A
Unwind Dir. Finish –  N/A
Diecut/Continuous/Sheet –  Die Cut Sheet
Partial Case –  Ask
Pieces per roll/Unit – 1 Roll
Length per roll/unit –  84'
Finish – On Press
Application – </t>
  </si>
  <si>
    <t xml:space="preserve">Hair net and beard cover (if necessary) to be worn during die cutting and packaging operation or if otherwise working with or near product in designated work cell. </t>
  </si>
  <si>
    <t>50357 Cost of Goods Sold</t>
  </si>
  <si>
    <t>Sheeted Part 8671, Upper Rifle Mount Insulator 1.75" x 3.06"</t>
  </si>
  <si>
    <t>3270284</t>
  </si>
  <si>
    <t>Sheeted Part - 8671, Upper Rifle Mount Insulator - 1.75" x 3.06"</t>
  </si>
  <si>
    <t>Number Across Run/Finish –  1/1
Where Finished –  On Press
Length per Roll/Unit – 146'
Core Type –  N/A
Core Width – N/A
Core Label – Yes - on bag
Dividers – 
Bag Size – 
Qty. Per Bag – 25 M
Box Size –  14 x 14 x 8
Qty. Per Box – 25 M
Weight/box – 
Box Per Pallet – 
Pallet Type – </t>
  </si>
  <si>
    <t>Core  –  N/A
Width – N/A
Number Across Run/FInish –  1/1
Core Label – Yes - on bag
±10% –  Yes
Unwind Dir. Run – N/A
Unwind Dir. Finish –  N/A
Diecut/Continuous/Sheet –  Die Cut Sheet
Partial Case –  Yes
Pieces per roll/Unit – 1,000
Length per roll/unit –  146'
Finish – On Press
Application – </t>
  </si>
  <si>
    <t>50358 Cost of Goods Sold</t>
  </si>
  <si>
    <t>Slit Tape Kapton 0.75" x 36Yd</t>
  </si>
  <si>
    <t xml:space="preserve">1005349-00-A
</t>
  </si>
  <si>
    <t>Slit Tape - Kapton - 0.75" x 36Yd</t>
  </si>
  <si>
    <t>Number Across Run/Finish –  1/1
Where Finished –  Off Press
Length per Roll/Unit – 36 Yd
Core Type –  3" Plastic 0.10" HDPE
Core Width – 0.75"
Core Label – No
Dividers – Paper
Bag Size – 
Qty. Per Bag – 8 Rolls
Box Size –  Best Fit Per Qty
Qty. Per Box – 48 Rolls
Weight/box – 
Box Per Pallet – 
Pallet Type – </t>
  </si>
  <si>
    <t>See work order for any special instructions.
INCLUDE A STROUSE CERT with:
DOM (date of shipment from ATP)
and
Shelf Life (12 months)
Boxed item to be relabeled (box labels only), and repackaged.
Place paper dividers between rolls.</t>
  </si>
  <si>
    <t>Core  –  3" Plastic 0.10" HDPE
Width – 0.75"
Number Across Run/FInish –  1/1
Core Label – No
±10% –  Yes
Unwind Dir. Run – Adh. In
Unwind Dir. Finish –  Adh. In
Diecut/Continuous/Sheet –  Continuous
Partial Case –  Yes
Pieces per roll/Unit – 1 Roll
Length per roll/unit –  36 Yd
Finish – Off Press
Application – </t>
  </si>
  <si>
    <t>50359 Cost of Goods Sold</t>
  </si>
  <si>
    <t>Sheeted Part UHMW with 3M VHB 3/4" X 5"</t>
  </si>
  <si>
    <t>917A-1</t>
  </si>
  <si>
    <t>Sheeted Part - UHMW with 3M VHB - 3/4" X 5"</t>
  </si>
  <si>
    <t>Number Across Run/Finish –  31/
Where Finished –  On Press
Length per Roll/Unit – 
Core Type –  N/A
Core Width – N/A
Core Label – n/a
Dividers – 
Bag Size – 
Qty. Per Bag – 40 
Box Size –  9 x 9 x 13
Qty. Per Box – 40 
Weight/box – 
Box Per Pallet – 
Pallet Type – </t>
  </si>
  <si>
    <t>Core  –  N/A
Width – N/A
Number Across Run/FInish –  31/
Core Label – n/a
±10% –  Yes
Unwind Dir. Run – N/A
Unwind Dir. Finish –  N/A
Diecut/Continuous/Sheet –  Sheet
Partial Case –  Yes
Pieces per roll/Unit – 1 Roll
Length per roll/unit –  
Finish – On Press
Application – </t>
  </si>
  <si>
    <t>50360 Cost of Goods Sold</t>
  </si>
  <si>
    <t>Target Tape 1/4" reflective dots with 1" spacing - BLACK 1/2" x 83'</t>
  </si>
  <si>
    <t>6650-0670</t>
  </si>
  <si>
    <t>Target Tape - 1/4" reflective dots with 1" spacing - BLACK - 1/2" x 83'</t>
  </si>
  <si>
    <t>Number Across Run/Finish –  4/1
Where Finished –  Web Techniques
Length per Roll/Unit – 84'
Core Type –  3" Plastic 0.10" HDPE
Core Width – 0.5"
Core Label – Yes
Dividers – 
Bag Size – 
Qty. Per Bag – 1 Roll
Box Size –  12 x 12 x 12
Qty. Per Box – 24 Rolls
Weight/box – 
Box Per Pallet – 
Pallet Type – </t>
  </si>
  <si>
    <t xml:space="preserve">Use core label format "US TOOL CORE"
Core label must have operator and finisher ID#.  
Finished goods are stored above the plastic bag section in Finishing area. </t>
  </si>
  <si>
    <t>DA 520 Alternate die with 3 channels of 4 across.
DA 521 Alternate slitter with 3 channels of 4 across.             DA 633 - Remake of DA 520
Use tape guide labeled JJ 6484</t>
  </si>
  <si>
    <t>50361 Cost of Goods Sold</t>
  </si>
  <si>
    <t>Die Cut Part PT1100 with 60 mm tab 6mm x 60mm</t>
  </si>
  <si>
    <t>96210-5AX0A-AT1</t>
  </si>
  <si>
    <t>Die Cut Part - PT1100 with 60 mm tab - 6mm x 60mm</t>
  </si>
  <si>
    <t>Number Across Run/Finish –  1/1
Where Finished –  On Press
Length per Roll/Unit – 32'
Core Type –  3" Paper 1/8" Strouse Brown
Core Width – 5.25"
Core Label – Yes
Dividers – 
Bag Size – 
Qty. Per Bag – 2 M
Box Size –  Best Fit Per Qty
Qty. Per Box – 8 M
Weight/box – 
Box Per Pallet – 
Pallet Type – </t>
  </si>
  <si>
    <t xml:space="preserve"> </t>
  </si>
  <si>
    <t>Core  –  3" Paper 1/8" Strouse Brown
Width – 5.25"
Number Across Run/FInish –  1/1
Core Label – Yes
±10% –  Yes
Unwind Dir. Run – Parts Out
Unwind Dir. Finish –  Parts Out
Diecut/Continuous/Sheet –  Die Cut
Partial Case –  Yes
Pieces per roll/Unit – 1,000
Length per roll/unit –  32'
Finish – On Press
Application – </t>
  </si>
  <si>
    <t>DO NOT SCHEDULE ON PACE 2, if possible.</t>
  </si>
  <si>
    <t>50362 Cost of Goods Sold</t>
  </si>
  <si>
    <t>Slit Adh For use on tails and anchors JT 7482 0.25" wide</t>
  </si>
  <si>
    <t>6978 - 9471/S1001</t>
  </si>
  <si>
    <t>Slit Adh - For use on tails and anchors  JT 7482 - 0.25" wide</t>
  </si>
  <si>
    <t>Number Across Run/Finish –  14/1
Where Finished –  On Press
Length per Roll/Unit – 540
Core Type –  3" Plastic 0.10" HDPE
Core Width – 0.25"
Core Label – No
Dividers – Paper
Bag Size – 
Qty. Per Bag – 2 
Box Size –  12 x 12 x 10
Qty. Per Box – 4 
Weight/box – 
Box Per Pallet – 
Pallet Type – </t>
  </si>
  <si>
    <t>These will be used for internal assembly work.  Package in plastic bags for storage in the clean room.
End product uses 2 strips per part.
This will create CAT# 15405 for JT  6851, 6866, 6880, and 7468</t>
  </si>
  <si>
    <t>Core  –  3" Plastic 0.10" HDPE
Width – 0.25"
Number Across Run/FInish –  14/1
Core Label – No
±10% –  Yes
Unwind Dir. Run – 9471LE Out
Unwind Dir. Finish –  9471LE Out
Diecut/Continuous/Sheet –  Continuous
Partial Case –  Yes
Pieces per roll/Unit – 1 Roll
Length per roll/unit –  540
Finish – On Press
Application – </t>
  </si>
  <si>
    <t xml:space="preserve">If need be narrower material can be used on other Siats using SA 420.
Special splicing required for next lamination step See Engineering. </t>
  </si>
  <si>
    <t>50363 Cost of Goods Sold</t>
  </si>
  <si>
    <t>Slit Tape 3M 232 120mm x 60Yd</t>
  </si>
  <si>
    <t>3M 232</t>
  </si>
  <si>
    <t>Slit Tape - 3M 232 - 120mm x 60Yd</t>
  </si>
  <si>
    <t>Number Across Run/Finish –  11/1
Where Finished –  On Press
Length per Roll/Unit – 60 Yd
Core Type –  3" Paper 0.180" Brown Brown
Core Width – 4.7"
Core Label – Yes
Dividers – Paper 6" x 3" Cir
Bag Size – 
Qty. Per Bag – 2 Rolls
Box Size –  14 x 14 x 8
Qty. Per Box – 8 Rolls
Weight/box – 
Box Per Pallet – 
Pallet Type – </t>
  </si>
  <si>
    <t>1.  Place core label inside core of each roll.
2.  Place paper circle on bottom in bag, between each roll and on top
         ( Use small tube stack tool ).
3.  Tuck bag in top of core, add Core Dot (3 4/10 ") on plastic to cover 
          hole of roll.
4.  Place total of 8 rolls in box.   Add air pillows.</t>
  </si>
  <si>
    <t>Core  –  3" Paper 0.180" Brown Brown
Width – 4.7"
Number Across Run/FInish –  11/1
Core Label – Yes
±10% –  Yes
Unwind Dir. Run – N/A
Unwind Dir. Finish –  N/A
Diecut/Continuous/Sheet –  Continuous
Partial Case –  Yes
Pieces per roll/Unit – 1 Roll
Length per roll/unit –  60 Yd
Finish – On Press
Application – </t>
  </si>
  <si>
    <t>50364 Cost of Goods Sold</t>
  </si>
  <si>
    <t>Sheeted Part RP+160GF 4" Dia</t>
  </si>
  <si>
    <t>7004</t>
  </si>
  <si>
    <t>Sheeted Part - RP+160GF - 4" Dia</t>
  </si>
  <si>
    <t>Number Across Run/Finish –  1/1
Where Finished –  On Press
Length per Roll/Unit – 35'
Core Type –  N/A
Core Width – N/A
Core Label – No
Dividers – 
Bag Size – 
Qty. Per Bag – 100 Parts
Box Size –  Best Fit Per Qty
Qty. Per Box – 1 M
Weight/box – 
Box Per Pallet – 
Pallet Type – </t>
  </si>
  <si>
    <t>Use bag tie to close bags.  900 parts to a bag.</t>
  </si>
  <si>
    <t>Core  –  N/A
Width – N/A
Number Across Run/FInish –  1/1
Core Label – No
±10% –  Yes
Unwind Dir. Run – N/A
Unwind Dir. Finish –  N/A
Diecut/Continuous/Sheet –  Die Cut Sheet
Partial Case –  Yes
Pieces per roll/Unit – 100
Length per roll/unit –  35'
Finish – On Press
Application – </t>
  </si>
  <si>
    <t>Sheeter stacker bends parts.</t>
  </si>
  <si>
    <t>50365 Cost of Goods Sold</t>
  </si>
  <si>
    <t>Slit Tape 3M 9629FL 0.5" x 60Yd</t>
  </si>
  <si>
    <t>3M 9629FL/.5</t>
  </si>
  <si>
    <t>Slit Tape - 3M 9629FL - 0.5" x 60Yd</t>
  </si>
  <si>
    <t>Number Across Run/Finish –  104/1
Where Finished –  On Press
Length per Roll/Unit – 60 Yd
Core Type –  As Recd.
Core Width – 0.5"
Core Label – Yes
Dividers – Paper
Bag Size – 
Qty. Per Bag – 1 
Box Size –  Best Fit Per Qty
Qty. Per Box – 1 
Weight/box – 
Box Per Pallet – 
Pallet Type – </t>
  </si>
  <si>
    <t>C of C w/ 3M Lot # and 3M cert required.</t>
  </si>
  <si>
    <t>Core  –  As Recd.
Width – 0.5"
Number Across Run/FInish –  104/1
Core Label – Yes
±10% –  Yes
Unwind Dir. Run – N/A
Unwind Dir. Finish –  N/A
Diecut/Continuous/Sheet –  Continuous
Partial Case –  Yes
Pieces per roll/Unit – 1 Roll
Length per roll/unit –  60 Yd
Finish – On Press
Application – </t>
  </si>
  <si>
    <t>50366 Cost of Goods Sold</t>
  </si>
  <si>
    <t>Slit Tape 3M 9629FL 1.5" x 60Yd</t>
  </si>
  <si>
    <t>3M 9629FL/1.5</t>
  </si>
  <si>
    <t>Slit Tape - 3M 9629FL - 1.5" x 60Yd</t>
  </si>
  <si>
    <t>Number Across Run/Finish –  34/1
Where Finished –  On Press
Length per Roll/Unit – 60 Yd
Core Type –  As Recd.
Core Width – 1.5"
Core Label – Yes
Dividers – Paper
Bag Size – 
Qty. Per Bag – Best fit per order 
Box Size –  11 x 11 x 8
Qty. Per Box – Best fit 
Weight/box – 
Box Per Pallet – 
Pallet Type – </t>
  </si>
  <si>
    <t>Core  –  As Recd.
Width – 1.5"
Number Across Run/FInish –  34/1
Core Label – Yes
±10% –  Yes
Unwind Dir. Run – Adh. In
Unwind Dir. Finish –  Adh. In
Diecut/Continuous/Sheet –  Continuous
Partial Case –  Yes
Pieces per roll/Unit – 1 Roll
Length per roll/unit –  60 Yd
Finish – On Press
Application – </t>
  </si>
  <si>
    <t>50367 Cost of Goods Sold</t>
  </si>
  <si>
    <t>Slit Tape CSM w/ 9471LE 6" x 150'</t>
  </si>
  <si>
    <t>T18A-150</t>
  </si>
  <si>
    <t>Slit Tape - CSM w/ 9471LE - 6" x 150'</t>
  </si>
  <si>
    <t>Number Across Run/Finish –  1/1
Where Finished –  On Press
Length per Roll/Unit – 150'
Core Type –  3" Paper 1/8" Strouse Brown
Core Width – See WO
Core Label – Yes
Dividers – Paper
Bag Size – 
Qty. Per Bag – 1 Roll
Box Size –  12 x 12 x 10
Qty. Per Box – 4 Roll
Weight/box – 
Box Per Pallet – 
Pallet Type – </t>
  </si>
  <si>
    <t>Core  –  3" Paper 1/8" Strouse Brown
Width – See WO
Number Across Run/FInish –  1/1
Core Label – Yes
±10% –  Yes
Unwind Dir. Run – Adh. In
Unwind Dir. Finish –  Adh. In
Diecut/Continuous/Sheet –  Continuous
Partial Case –  Yes
Pieces per roll/Unit – 1 Roll
Length per roll/unit –  150'
Finish – On Press
Application – </t>
  </si>
  <si>
    <t>50368 Cost of Goods Sold</t>
  </si>
  <si>
    <t>Sheeted Part 3M 4735L Right Hand 309mm x 182.2mm</t>
  </si>
  <si>
    <t>320655</t>
  </si>
  <si>
    <t>Sheeted Part - 3M 4735L Right Hand - 309mm x 182.2mm</t>
  </si>
  <si>
    <t>Number Across Run/Finish –  1/1
Where Finished –  On Press
Length per Roll/Unit – 183'
Core Type –  N/A
Core Width – N/A
Core Label – No
Dividers – Cardboard
Bag Size – 
Qty. Per Bag – 500 Parts
Box Size –  16.5 x 16.5 x 8
Qty. Per Box – 2,500 M
Weight/box – 
Box Per Pallet – 
Pallet Type – </t>
  </si>
  <si>
    <t>Core  –  N/A
Width – N/A
Number Across Run/FInish –  1/1
Core Label – No
±10% –  Yes
Unwind Dir. Run – N/A
Unwind Dir. Finish –  N/A
Diecut/Continuous/Sheet –  Die Cut Sheet
Partial Case –  Yes
Pieces per roll/Unit – 250
Length per roll/unit –  183'
Finish – On Press
Application – </t>
  </si>
  <si>
    <t>50369 Cost of Goods Sold</t>
  </si>
  <si>
    <t>Sheeted Part 3M 4735L Left hand 309mm x 182.2mm</t>
  </si>
  <si>
    <t>320654</t>
  </si>
  <si>
    <t>Sheeted Part - 3M 4735L Left hand - 309mm x 182.2mm</t>
  </si>
  <si>
    <t>Number Across Run/Finish –  1/1
Where Finished –  On Press
Length per Roll/Unit – 183'
Core Type –  N/A
Core Width – N/A
Core Label – No
Dividers – Cardboard
Bag Size – 
Qty. Per Bag – 250 Parts
Box Size –  8 x 8 x 8
Qty. Per Box – 1 M
Weight/box – 
Box Per Pallet – 
Pallet Type – </t>
  </si>
  <si>
    <t>50370 Cost of Goods Sold</t>
  </si>
  <si>
    <t>Slit Tape Nitto P-221 0.73" x 36Yd</t>
  </si>
  <si>
    <t>P-221/.73P</t>
  </si>
  <si>
    <t>Slit Tape - Nitto P-221 - 0.73" x 36Yd</t>
  </si>
  <si>
    <t>Number Across Run/Finish –  3/1
Where Finished –  On Press
Length per Roll/Unit – 36 Yd
Core Type –  3" Plastic 0.10" HDPE
Core Width – 0.73"
Core Label – Yes - on bag
Dividers – 
Bag Size – 
Qty. Per Bag – 1 Roll
Box Size –  Best Fit Per Qty
Qty. Per Box – 10 Rolls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</si>
  <si>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(75% OF SHELF LIFE) MUST GO WITH EACH ITEM.   Take lot number from Nitto Cert.  
Check the lot # on the core of the material versus the material cert versus the bag(core) and box labels to assure they all agree.</t>
  </si>
  <si>
    <t>Core  –  3" Plastic 0.10" HDPE
Width – 0.73"
Number Across Run/FInish –  3/1
Core Label – Yes - on bag
±10% –  Yes
Unwind Dir. Run – Adh. In
Unwind Dir. Finish –  Adh. In
Diecut/Continuous/Sheet –  Continuous
Partial Case –  Yes
Pieces per roll/Unit – 1 Roll
Length per roll/unit –  36 Yd
Finish – On Press
Application – </t>
  </si>
  <si>
    <t>50371 Cost of Goods Sold</t>
  </si>
  <si>
    <t>Slit Tape Nitto P-221 1.0" x 36Yd</t>
  </si>
  <si>
    <t>P-221/1.0P</t>
  </si>
  <si>
    <t>Slit Tape - Nitto P-221 - 1.0" x 36Yd</t>
  </si>
  <si>
    <t>Number Across Run/Finish –  4/1
Where Finished –  On Press
Length per Roll/Unit – 36 Yd
Core Type –  3" Plastic 0.10" HDPE
Core Width – 1.0"
Core Label – Yes - on bag
Dividers – 
Bag Size – 
Qty. Per Bag – 1 Roll
Box Size –  8 x 8 x 8
Qty. Per Box – Best fit per order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</si>
  <si>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(75% OF SHELF LIFE) MUST GO WITH EACH ITEM.   Take lot number from Nitto Cert
Check the lot # on the core of the material versus the material cert versus the bag(core) and box labels to assure they all agree.</t>
  </si>
  <si>
    <t>Core  –  3" Plastic 0.10" HDPE
Width – 1.0"
Number Across Run/FInish –  4/1
Core Label – Yes - on bag
±10% –  Yes
Unwind Dir. Run – Adh. In
Unwind Dir. Finish –  Adh. In
Diecut/Continuous/Sheet –  Continuous
Partial Case –  Yes
Pieces per roll/Unit – 1 Roll
Length per roll/unit –  36 Yd
Finish – On Press
Application – </t>
  </si>
  <si>
    <t>50372 Cost of Goods Sold</t>
  </si>
  <si>
    <t>Slit Tape Nitto P-221 0.30" x 36Yd</t>
  </si>
  <si>
    <t>P-221/.30P</t>
  </si>
  <si>
    <t>Slit Tape - Nitto P-221 - 0.30" x 36Yd</t>
  </si>
  <si>
    <t>Number Across Run/Finish –  8/1
Where Finished –  On Press
Length per Roll/Unit – 36 Yd
Core Type –  3" Plastic 0.10" HDPE
Core Width – 0.30"
Core Label – Yes - on bag
Dividers – 
Bag Size – 
Qty. Per Bag – 1 Roll
Box Size –  Best Fit Per Qty
Qty. Per Box – Best fit per order 
Weight/box – 
Box Per Pallet – 
Pallet Type – </t>
  </si>
  <si>
    <t>See work order for additional special instructions.
Use 4 mil bags and tabletop impulse sealer to heat seal rolls Individually. Check the integrity of the seal.  
Place a core label on the outside of the bag.  No core label on the core.
NITTO MFG CERT WITH SHELF LIFE (60% OF SHELF LIFE) MUST GO WITH EACH ITEM.   Take lot number from Nitto Cert
Check the lot # on the core of the material versus the material cert versus the bag(core) and box labels to assure they all agree.</t>
  </si>
  <si>
    <t>Core  –  3" Plastic 0.10" HDPE
Width – 0.30"
Number Across Run/FInish –  8/1
Core Label – Yes - on bag
±10% –  Yes
Unwind Dir. Run – Adh. In
Unwind Dir. Finish –  Adh. In
Diecut/Continuous/Sheet –  Continuous
Partial Case –  Yes
Pieces per roll/Unit – 1 Roll
Length per roll/unit –  36 Yd
Finish – On Press
Application – </t>
  </si>
  <si>
    <t>Tape Guide was made for this and is identified by JJ 7030. These tape guides are located on the wooden shelf behind D2.</t>
  </si>
  <si>
    <t>50373 Cost of Goods Sold</t>
  </si>
  <si>
    <t>Slit Tape Tape, Pressure Sensitive Adh. – Polyimide Various x 36Yd</t>
  </si>
  <si>
    <t>Slit Tape - Tape, Pressure Sensitive Adh. – Polyimide - Various x 36Yd</t>
  </si>
  <si>
    <t>Number Across Run/Finish –  ?/1
Where Finished –  On Press
Length per Roll/Unit – 36 Yd
Core Type –  As Recd.
Core Width – Various
Core Label – Yes - on bag
Dividers – 
Bag Size – 
Qty. Per Bag – 1 Roll
Box Size –  12 x 12 x 4
Qty. Per Box – Best fit per order 
Weight/box – 
Box Per Pallet – 
Pallet Type – </t>
  </si>
  <si>
    <t>Need 3M cert</t>
  </si>
  <si>
    <t>You must use a “B” profile blade.</t>
  </si>
  <si>
    <t>50374 Cost of Goods Sold</t>
  </si>
  <si>
    <t>Die Cut Part TM8720XT 0.5" x 1.5"</t>
  </si>
  <si>
    <t>7046</t>
  </si>
  <si>
    <t>Die Cut Part - TM8720XT - 0.5" x 1.5"</t>
  </si>
  <si>
    <t>Number Across Run/Finish –  1/1
Where Finished –  On Press
Length per Roll/Unit – 63'
Core Type –  3" Plastic 0.10" HDPE
Core Width – 2"
Core Label – Yes
Dividers – 
Bag Size – 
Qty. Per Bag – 2 Rolls
Box Size –  16.5 x 16.5 x 8
Qty. Per Box – 10 M
Weight/box – 
Box Per Pallet – 
Pallet Type – </t>
  </si>
  <si>
    <t>Core  –  3" Plastic 0.10" HDPE
Width – 2"
Number Across Run/FInish –  1/1
Core Label – Yes
±10% –  Yes
Unwind Dir. Run – Parts Out
Unwind Dir. Finish –  Parts Out
Diecut/Continuous/Sheet –  Die Cut
Partial Case –  Yes
Pieces per roll/Unit – 1,000
Length per roll/unit –  63'
Finish – On Press
Application – </t>
  </si>
  <si>
    <t>50375 Cost of Goods Sold</t>
  </si>
  <si>
    <t>Die Cut Part TM8720XT 3" x 1.625"</t>
  </si>
  <si>
    <t>7047</t>
  </si>
  <si>
    <t>Die Cut Part - TM8720XT - 3" x 1.625"</t>
  </si>
  <si>
    <t>Number Across Run/Finish –  2/1
Where Finished –  On Press
Length per Roll/Unit – 261'
Core Type –  3" Plastic 0.10" HDPE
Core Width – 1.75"
Core Label – Yes
Dividers – 
Bag Size – 
Qty. Per Bag – 4 Rolls
Box Size –  10 x 10 x 10
Qty. Per Box – 20 Rolls
Weight/box – 
Box Per Pallet – 
Pallet Type – </t>
  </si>
  <si>
    <t>Core  –  3" Plastic 0.10" HDPE
Width – 1.75"
Number Across Run/FInish –  2/1
Core Label – Yes
±10% –  Yes
Unwind Dir. Run – Parts Out
Unwind Dir. Finish –  Parts Out
Diecut/Continuous/Sheet –  Die Cut
Partial Case –  Yes
Pieces per roll/Unit – 1,000
Length per roll/unit –  261'
Finish – On Press
Application – </t>
  </si>
  <si>
    <t>50376 Cost of Goods Sold</t>
  </si>
  <si>
    <t>Laminated Part 3M 467MP on 5 mil PET 4" x 177'</t>
  </si>
  <si>
    <t>15637</t>
  </si>
  <si>
    <t>Laminated Part - 3M 467MP on 5 mil PET - 4" x 177'</t>
  </si>
  <si>
    <t>Number Across Run/Finish –  1/1
Where Finished –  On Press
Length per Roll/Unit – 177'
Core Type –  6" Paper (3/8" wall)
Core Width – 4.000"
Core Label – No
Dividers – 
Bag Size – 
Qty. Per Bag – 2 Rolls
Box Size –  Best Fit Per Qty
Qty. Per Box – 2 Rolls
Weight/box – 
Box Per Pallet – 
Pallet Type – </t>
  </si>
  <si>
    <t>Core  –  6" Paper (3/8" wall)
Width – 4.000"
Number Across Run/FInish –  1/1
Core Label – No
±10% –  Yes
Unwind Dir. Run – Adh. Out
Unwind Dir. Finish –  Adh. Out
Diecut/Continuous/Sheet –  Continuous
Partial Case –  Yes
Pieces per roll/Unit – 1 Roll
Length per roll/unit –  177'
Finish – On Press
Application – </t>
  </si>
  <si>
    <t>50377 Cost of Goods Sold</t>
  </si>
  <si>
    <t>Die Cut Label 3M 7812 1.5" x 0.75"</t>
  </si>
  <si>
    <t>10913301</t>
  </si>
  <si>
    <t>Die Cut Label - 3M 7812 - 1.5" x 0.75"</t>
  </si>
  <si>
    <t>Number Across Run/Finish –  4/1
Where Finished –  Web Techniques
Length per Roll/Unit – 136'
Core Type –  1" Paper 1/8" White White
Core Width – 0.875"
Core Label – Yes
Dividers – 
Bag Size – 
Qty. Per Bag – 
Box Size –  14 x 14 x 8
Qty. Per Box – 
Weight/box – 
Box Per Pallet – 
Pallet Type – </t>
  </si>
  <si>
    <t>Core  –  1" Paper 1/8" White White
Width – 0.875"
Number Across Run/FInish –  4/1
Core Label – Yes
±10% –  Yes
Unwind Dir. Run – Parts Out
Unwind Dir. Finish –  Parts Out
Diecut/Continuous/Sheet –  Die Cut
Partial Case –  Yes
Pieces per roll/Unit – 1,000
Length per roll/unit –  136'
Finish – Web Techniques
Application – </t>
  </si>
  <si>
    <t>50378 Cost of Goods Sold</t>
  </si>
  <si>
    <t>Die Cut Part Foam w/ Adh. 60mm x 175mm</t>
  </si>
  <si>
    <t>Die Cut Part - Foam w/ Adh. - 60mm x 175mm</t>
  </si>
  <si>
    <t>Number Across Run/Finish –  1/1
Where Finished –  On Press
Length per Roll/Unit – 61'
Core Type –  3" Paper 3/8" Brown Brown
Core Width – 7.5"
Core Label – Yes
Dividers – 
Bag Size – 
Qty. Per Bag – 1 Roll
Box Size –  Best Fit Per Qty
Qty. Per Box – 1 Roll
Weight/box – 
Box Per Pallet – 
Pallet Type – </t>
  </si>
  <si>
    <t>Tabbing: Use masking tape to wrap thru core - see picture in JJ.</t>
  </si>
  <si>
    <t>Core  –  3" Paper 3/8" Brown Brown
Width – 7.5"
Number Across Run/FInish –  1/1
Core Label – Yes
±10% –  Yes
Unwind Dir. Run – Foam Out
Unwind Dir. Finish –  Foam Out
Diecut/Continuous/Sheet –  Die Cut
Partial Case –  Yes
Pieces per roll/Unit – 280
Length per roll/unit –  61'
Finish – On Press
Application – </t>
  </si>
  <si>
    <t>50379 Cost of Goods Sold</t>
  </si>
  <si>
    <t>Slit Tape 3M 1318, Yellow See WO</t>
  </si>
  <si>
    <t>Slit Tape - 3M 1318, Yellow - See WO</t>
  </si>
  <si>
    <t>Number Across Run/Finish –  ?/1
Where Finished –  On Press
Length per Roll/Unit – 72 Yd
Core Type –  3" Plastic 0.10" HDPE
Core Width – N/A
Core Label – Yes - on bag
Dividers – 
Bag Size – 
Qty. Per Bag – 1 Roll
Box Size –  6 x 6 x 6
Qty. Per Box – Best Fit 
Weight/box – 
Box Per Pallet – 
Pallet Type – </t>
  </si>
  <si>
    <t>See work order for any special instructions.
• 3M MFG CERT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t>
  </si>
  <si>
    <t>Core  –  3" Plastic 0.10" HDPE
Width – N/A
Number Across Run/FInish –  ?/1
Core Label – Yes - on bag
±10% –  Yes
Unwind Dir. Run – N/A
Unwind Dir. Finish –  N/A
Diecut/Continuous/Sheet –  Continuous
Partial Case –  Yes
Pieces per roll/Unit – 1
Length per roll/unit –  72 Yd
Finish – On Press
Application – </t>
  </si>
  <si>
    <t>50380 Cost of Goods Sold</t>
  </si>
  <si>
    <t>Slit Tape 3M 56 0.125" x 72Yd</t>
  </si>
  <si>
    <t>3M 56/.125</t>
  </si>
  <si>
    <t>Slit Tape - 3M 56 - 0.125" x 72Yd</t>
  </si>
  <si>
    <t>Number Across Run/Finish –  176/1
Where Finished –  On Press
Length per Roll/Unit – 72 Yd
Core Type –  3" Plastic 0.10" HDPE
Core Width – 0.125"
Core Label – Yes - on bag
Dividers – 
Bag Size – 
Qty. Per Bag – 1 Roll
Box Size –  12 x 12 x 4
Qty. Per Box – 4 Rolls
Weight/box – 
Box Per Pallet – 
Pallet Type – </t>
  </si>
  <si>
    <t>See work order for additional special instructions.
Use 4 mil bags and tabletop impulse sealer to heat seal rolls Individually. Check the integrity of the seal. No core label on the core, core label goes on the bag. 
3M MFG CERT WITH SHELF LIFE (75% OF SHELF LIFE) MUST GO WITH EACH ITEM
Check the lot # on the core of the material versus the material cert and box labels to assure they all agree.</t>
  </si>
  <si>
    <t>Core  –  3" Plastic 0.10" HDPE
Width – 0.125"
Number Across Run/FInish –  176/1
Core Label – Yes - on bag
±10% –  Yes
Unwind Dir. Run – N/A
Unwind Dir. Finish –  N/A
Diecut/Continuous/Sheet –  Continuous
Partial Case –  Yes
Pieces per roll/Unit – 
Length per roll/unit –  72 Yd
Finish – On Press
Application – </t>
  </si>
  <si>
    <t>50381 Cost of Goods Sold</t>
  </si>
  <si>
    <t>Sheeted Part 3M 427 50.8mm x 150mm</t>
  </si>
  <si>
    <t>Cut Charge</t>
  </si>
  <si>
    <t>Sheeted Part - 3M 427 - 50.8mm x 150mm</t>
  </si>
  <si>
    <t>Number Across Run/Finish –  1/1
Where Finished –  On Press
Length per Roll/Unit – 10"
Core Type –  N/A
Core Width – N/A
Core Label – No
Dividers – 
Bag Size – 
Qty. Per Bag – 5 Each
Box Size –  10 x 10 x 10
Qty. Per Box – 2,150 Each
Weight/box – 
Box Per Pallet – 
Pallet Type – </t>
  </si>
  <si>
    <t xml:space="preserve">    Please remember this part is very delicate. Don't press on any surface that has bumps or cuts or taped edges. Always protect the parts' silver side up when stacking.
    1.  When inspecting count 5 then criss-cross the next pack &amp; repeat. Refer to the Defect Reference Log in finishing dept. for inspecting.
    2.  When packaging parts in zippy bags.Hold the bag vertically, place 5 parts in bag, gently be sure air is removed while holding the bag  vertical, then zip shut. Place in bin silver side up.
    3.  To package in brown box. Count stacks of 5 bags, collect 2 stacks,  then jog parts to bottom of each bag, check for air in bag. Place stacks on top of each other with silver side up and zippy ends opposite each other, fold zippy ends toward each other, on top of silver side.  Next turn the whole pack of 10 bags over, with folded zippy ends down on bottom, white side up.  Repeat this to make a stack of 20 bags.
          A.   Then place 8 stacks of 20 bags on the first layer, cover with a cardboard square.
          B.   Make  8 stacks of 20 bags for the second layer, cover with a cardboard square.
          C.   Top layer is different.  Make 8 stacks of 10 bags, then collect  6  stacks of 5 bags ( always jog the parts to the bottom of bag and check for air in bags)  fold the zippy ends towards the silver side, then turn over and place each small stack of 5 bags, between the 10 stacks, but... on top of them.  ( 2 rows of 3 stacks of  5 bags)
                Then cover with cardboard square.  Add pillows if needed.
</t>
  </si>
  <si>
    <t>Core  –  N/A
Width – N/A
Number Across Run/FInish –  1/1
Core Label – No
±10% –  Yes
Unwind Dir. Run – N/A
Unwind Dir. Finish –  N/A
Diecut/Continuous/Sheet –  Sheet
Partial Case –  Yes
Pieces per roll/Unit – 5
Length per roll/unit –  10"
Finish – On Press
Application – </t>
  </si>
  <si>
    <t>QA is to inspect rolls of CSM upon arrival.  Operators are to inspect the material for defects throughout run.  If defects are present, please refer to the samples of acceptable defects in the JJ pouch.  If you have any questions or concerns, please SEE QA FOR FURTHER INSPECTION ASSISTANCE BEFORE PROCEEDING!</t>
  </si>
  <si>
    <t>50382 Cost of Goods Sold</t>
  </si>
  <si>
    <t>Sheeted Part ST-1341 1.22" x 0.435"</t>
  </si>
  <si>
    <t>100012127 Rev F</t>
  </si>
  <si>
    <t>Sheeted Part - ST-1341 - 1.22" x 0.435"</t>
  </si>
  <si>
    <t>Number Across Run/Finish –  4/1
Where Finished –  On Press
Length per Roll/Unit – 170 Yd
Core Type –  N/A
Core Width – N/A
Core Label – Yes - on bag
Dividers – 
Bag Size – 
Qty. Per Bag – 5 M
Box Size –  12 x 12 x 12
Qty. Per Box – 63,720 Each
Weight/box – 
Box Per Pallet – 
Pallet Type – </t>
  </si>
  <si>
    <t>Bag Label must have Part Number, Part Revision, Expiration Date, and Quantity.  Format "7081 Core"
Include Strouse Cert w/ Lot # and DOM, and Material Certs.
Wear gloves when handling material and finished rolls.</t>
  </si>
  <si>
    <t>Core  –  N/A
Width – N/A
Number Across Run/FInish –  4/1
Core Label – Yes - on bag
±10% –  No
Unwind Dir. Run – N/A
Unwind Dir. Finish –  N/A
Diecut/Continuous/Sheet –  Sheet
Partial Case –  Yes
Pieces per roll/Unit – 5,000
Length per roll/unit –  170 Yd
Finish – On Press
Application – </t>
  </si>
  <si>
    <t>Rolls to be SPLICE FREE.   Use only .25 blade in sheeter (SA 453)
Wear gloves when handling material</t>
  </si>
  <si>
    <t>50383 Cost of Goods Sold</t>
  </si>
  <si>
    <t>Sheeted Part ST-1341 2.32" x 0.465"</t>
  </si>
  <si>
    <t>100012128 Rev H</t>
  </si>
  <si>
    <t>Sheeted Part - ST-1341 - 2.32" x 0.465"</t>
  </si>
  <si>
    <t>Number Across Run/Finish –  4/1
Where Finished –  On Press
Length per Roll/Unit – 323 Yd
Core Type –  N/A
Core Width – N/A
Core Label – Yes - on bag
Dividers – 
Bag Size – 
Qty. Per Bag – 5 M
Box Size –  14 x 14 x 10
Qty. Per Box – 60,264 Each
Weight/box – 
Box Per Pallet – 
Pallet Type – </t>
  </si>
  <si>
    <t>Bag Label must have Part Number, Part Revision, Expiration Date, and Quantity.  Format "7082 Core"
Include Strouse Cert w/ Lot # and DOM, and Material Certs.
Wear gloves when handling material and finished rolls.</t>
  </si>
  <si>
    <t>Core  –  N/A
Width – N/A
Number Across Run/FInish –  4/1
Core Label – Yes - on bag
±10% –  No
Unwind Dir. Run – N/A
Unwind Dir. Finish –  N/A
Diecut/Continuous/Sheet –  Sheet
Partial Case –  Yes
Pieces per roll/Unit – 5,000
Length per roll/unit –  323 Yd
Finish – On Press
Application – </t>
  </si>
  <si>
    <t>Rolls to be SPLICE FREE.
Clean press (Full IPA wipedown) prior to putting materials on press. Use of cleaners or other products containing halides is prohibited in or near the work area.
Clean Handling Required: Wear gloves while running and packaging parts.</t>
  </si>
  <si>
    <t>50384 Cost of Goods Sold</t>
  </si>
  <si>
    <t>Sheeted Part 3M 8179C 6.25" Dia</t>
  </si>
  <si>
    <t>100N2739</t>
  </si>
  <si>
    <t>Sheeted Part - 3M 8179C - 6.25" Dia</t>
  </si>
  <si>
    <t>Number Across Run/Finish –  1/1
Where Finished –  On Press
Length per Roll/Unit – 14'
Core Type –  N/A
Core Width – N/A
Core Label – No
Dividers – Paper
Bag Size – 
Qty. Per Bag – 25 Each
Box Size –  12 x 12 x 12
Qty. Per Box – 750 Each
Weight/box – 
Box Per Pallet – 
Pallet Type – </t>
  </si>
  <si>
    <t>Core  –  N/A
Width – N/A
Number Across Run/FInish –  1/1
Core Label – No
±10% –  Yes
Unwind Dir. Run – N/A
Unwind Dir. Finish –  N/A
Diecut/Continuous/Sheet –  Die Cut Sheet
Partial Case –  Yes
Pieces per roll/Unit – 25
Length per roll/unit –  14'
Finish – On Press
Application – </t>
  </si>
  <si>
    <t>Need finisher at press</t>
  </si>
  <si>
    <t>50385 Cost of Goods Sold</t>
  </si>
  <si>
    <t>Slit Rolls 3M 472 0.5" x 10Yd</t>
  </si>
  <si>
    <t>C987020</t>
  </si>
  <si>
    <t>Slit Rolls - 3M 472 - 0.5" x 10Yd</t>
  </si>
  <si>
    <t>Number Across Run/Finish –  12/1
Where Finished –  On Press
Length per Roll/Unit – 10 Yd
Core Type –  3" Paper 1/8" White Brown
Core Width – 0.5"
Core Label – Yes
Dividers – Paper
Bag Size – 
Qty. Per Bag – 24 Rolls
Box Size –  8 x 8 x 8
Qty. Per Box – 144 Rolls
Weight/box – 
Box Per Pallet – 
Pallet Type – </t>
  </si>
  <si>
    <t>Core  –  3" Paper 1/8" White Brown
Width – 0.5"
Number Across Run/FInish –  12/1
Core Label – Yes
±10% –  Yes
Unwind Dir. Run – Adh. In
Unwind Dir. Finish –  Adh. In
Diecut/Continuous/Sheet –  Continuous
Partial Case –  Yes
Pieces per roll/Unit – 1 Roll
Length per roll/unit –  10 Yd
Finish – On Press
Application – </t>
  </si>
  <si>
    <t>50386 Cost of Goods Sold</t>
  </si>
  <si>
    <t>Slit Tape K-104 1" x 36Yd</t>
  </si>
  <si>
    <t>K104/1.0</t>
  </si>
  <si>
    <t>Slit Tape - K-104 - 1" x 36Yd</t>
  </si>
  <si>
    <t>Number Across Run/Finish –  15/1
Where Finished –  On Press
Length per Roll/Unit – 36 Yd
Core Type –  As Recd.
Core Width – 1"
Core Label – Yes
Dividers – 
Bag Size – 
Qty. Per Bag – 1 Roll
Box Size –  9 x 9 x 13
Qty. Per Box – Best fit per order 
Weight/box – 
Box Per Pallet – 
Pallet Type – </t>
  </si>
  <si>
    <t>Core  –  As Recd.
Width – 1"
Number Across Run/FInish –  15/1
Core Label – Yes
±10% –  Yes
Unwind Dir. Run – N/A
Unwind Dir. Finish –  N/A
Diecut/Continuous/Sheet –  Continuous
Partial Case –  Yes
Pieces per roll/Unit – 1 Roll
Length per roll/unit –  36 Yd
Finish – On Press
Application – </t>
  </si>
  <si>
    <t>50387 Cost of Goods Sold</t>
  </si>
  <si>
    <t>Slit Tape 3M 301+ 3" x 250Yd</t>
  </si>
  <si>
    <t>7122</t>
  </si>
  <si>
    <t>Slit Tape - 3M 301+ - 3" x 250Yd</t>
  </si>
  <si>
    <t>Number Across Run/Finish –  19/1
Where Finished –  On Press
Length per Roll/Unit – 250 Yd
Core Type –  3" Paper 0.180" Brown Brown
Core Width – 2.9375"
Core Label – No
Dividers – Paper
Bag Size – 
Qty. Per Bag – 4 Rolls
Box Size –  14 x 14 x 8
Qty. Per Box – 4 Rolls
Weight/box – 
Box Per Pallet – 
Pallet Type – </t>
  </si>
  <si>
    <t>Core  –  3" Paper 0.180" Brown Brown
Width – 2.9375"
Number Across Run/FInish –  19/1
Core Label – No
±10% –  Yes
Unwind Dir. Run – N/A
Unwind Dir. Finish –  N/A
Diecut/Continuous/Sheet –  Continuous
Partial Case –  Yes
Pieces per roll/Unit – 1 Roll
Length per roll/unit –  250 Yd
Finish – On Press
Application – </t>
  </si>
  <si>
    <t>50388 Cost of Goods Sold</t>
  </si>
  <si>
    <t>Sheeted Part 3M 1538L with back scored liner 4" x 4" with 0.5" strips</t>
  </si>
  <si>
    <t>8150-0001</t>
  </si>
  <si>
    <t>Sheeted Part - 3M 1538L with back scored liner - 4" x 4" with 0.5" strips</t>
  </si>
  <si>
    <t>Number Across Run/Finish –  1/1
Where Finished –  On Press
Length per Roll/Unit – 834'
Core Type –  3" Paper 1/8" White Brown
Core Width – N/A
Core Label – No
Dividers – 
Bag Size – 
Qty. Per Bag – 2.5 M
Box Size –  11 x 11 x 14
Qty. Per Box – 3 M
Weight/box – 
Box Per Pallet – 
Pallet Type – </t>
  </si>
  <si>
    <t>Parts to be Double Bagged:  Place a large bag in the 14 x 14 x 8 box, place another bag inside of that.  Neatly stack 2,500 parts in the inner bag.  Seal inner bag with a tie, and then seal outer bag with a tie.
Part # &amp; PO # to be on all paperwork and labels.
Include a C of C w/ Part # and PO #
* Parts are sold by the sheet</t>
  </si>
  <si>
    <t>Core  –  3" Paper 1/8" White Brown
Width – N/A
Number Across Run/FInish –  1/1
Core Label – No
±10% –  Yes
Unwind Dir. Run – N/A
Unwind Dir. Finish –  N/A
Diecut/Continuous/Sheet –  Die Cut Sheet
Partial Case –  Yes
Pieces per roll/Unit – 2,500
Length per roll/unit –  834'
Finish – On Press
Application – </t>
  </si>
  <si>
    <t>50389 Cost of Goods Sold</t>
  </si>
  <si>
    <t>Slit Tape 3M 373 Blue 32mm x 50m</t>
  </si>
  <si>
    <t>27210008060</t>
  </si>
  <si>
    <t>Slit Tape - 3M 373 Blue - 32mm x 50m</t>
  </si>
  <si>
    <t>Number Across Run/Finish –  2/1
Where Finished –  On Press
Length per Roll/Unit – 55 Yd
Core Type –  3" Paper 1/8" White Brown
Core Width – 1.26
Core Label – No
Dividers – Paper
Bag Size – 
Qty. Per Bag – 10 Rolls
Box Size –  12 x 12 x 4
Qty. Per Box – 50 Rolls
Weight/box – 
Box Per Pallet – 
Pallet Type – </t>
  </si>
  <si>
    <t>Core  –  3" Paper 1/8" White Brown
Width – 1.26
Number Across Run/FInish –  2/1
Core Label – No
±10% –  No
Unwind Dir. Run – Adh. In
Unwind Dir. Finish –  Adh. In
Diecut/Continuous/Sheet –  Continuous
Partial Case –  Yes
Pieces per roll/Unit – 1 Roll
Length per roll/unit –  55 Yd
Finish – On Press
Application – </t>
  </si>
  <si>
    <t>50390 Cost of Goods Sold</t>
  </si>
  <si>
    <t>Slit Tape ST 934, 55M tape rolls 5mm X 55m</t>
  </si>
  <si>
    <t>10833554</t>
  </si>
  <si>
    <t>Slit Tape - ST 934, 55M tape rolls  - 5mm X 55m</t>
  </si>
  <si>
    <t>Number Across Run/Finish –  299/1
Where Finished –  On Press
Length per Roll/Unit – 60 Yd
Core Type –  As Recd.
Core Width – 5 mm
Core Label – No
Dividers – Paper
Bag Size – 
Qty. Per Bag – 10 Rolls
Box Size –  14 x 14 x 14
Qty. Per Box – 40 Rolls
Weight/box – 
Box Per Pallet – 
Pallet Type – </t>
  </si>
  <si>
    <t>Core  –  As Recd.
Width – 5 mm
Number Across Run/FInish –  299/1
Core Label – No
±10% –  Yes
Unwind Dir. Run – N/A
Unwind Dir. Finish –  N/A
Diecut/Continuous/Sheet –  Continuous
Partial Case –  Yes
Pieces per roll/Unit – 1 Roll
Length per roll/unit –  60 Yd
Finish – On Press
Application – </t>
  </si>
  <si>
    <t>50391 Cost of Goods Sold</t>
  </si>
  <si>
    <t>Die Cut Part 3M 5958FR with tab 2" x 2.25"</t>
  </si>
  <si>
    <t>016389</t>
  </si>
  <si>
    <t>Die Cut Part - 3M 5958FR with tab - 2" x 2.25"</t>
  </si>
  <si>
    <t>Number Across Run/Finish –  1/1
Where Finished –  On Press
Length per Roll/Unit – 177'
Core Type –  3" Paper 1/8" White Brown
Core Width – 2.75"
Core Label – Yes
Dividers – 
Bag Size – 
Qty. Per Bag – 5 Rolls
Box Size –  Various Sizes
Qty. Per Box – 5 M
Weight/box – 
Box Per Pallet – 
Pallet Type – </t>
  </si>
  <si>
    <t>Per MDC, rewind direction not critical.
Include a C of C with 3M Lot # and a 3M Cert.</t>
  </si>
  <si>
    <t>Core  –  3" Paper 1/8" White Brown
Width – 2.75"
Number Across Run/FInish –  1/1
Core Label – Yes
±10% –  Yes
Unwind Dir. Run – N/A
Unwind Dir. Finish –  N/A
Diecut/Continuous/Sheet –  Die Cut
Partial Case –  Yes
Pieces per roll/Unit – 1,000
Length per roll/unit –  177'
Finish – On Press
Application – </t>
  </si>
  <si>
    <t>50392 Cost of Goods Sold</t>
  </si>
  <si>
    <t>Sheeted Part ST-1406 1/2" x 1"</t>
  </si>
  <si>
    <t>ST-1406/ 1.0x0.5</t>
  </si>
  <si>
    <t>Sheeted Part - ST-1406 - 1/2" x 1"</t>
  </si>
  <si>
    <t>Number Across Run/Finish –  1/1
Where Finished –  On Press
Length per Roll/Unit – 9'
Core Type –  N/A
Core Width – N/A
Core Label – No
Dividers – 
Bag Size – 
Qty. Per Bag – 200 Each
Box Size –  
Qty. Per Box – See Note 
Weight/box – 
Box Per Pallet – 
Pallet Type – </t>
  </si>
  <si>
    <t>Packaging Instructions:  *Use large bags, so your not packing them too tightly together (adhesive is aggressive).
• Place (5) large bags of 200 Each into a 12 x 12 x 4 (1,000 Each)
• Then place (2) of the small boxes into a 13 x 13 x 10 (2,000 Each); filling the remaining space with air pillows.
Include Strouse Cert w/ DOM. No 3M cert required</t>
  </si>
  <si>
    <t>Core  –  N/A
Width – N/A
Number Across Run/FInish –  1/1
Core Label – No
±10% –  Yes
Unwind Dir. Run – N/A
Unwind Dir. Finish –  N/A
Diecut/Continuous/Sheet –  Sheet
Partial Case –  Yes
Pieces per roll/Unit – 200
Length per roll/unit –  9'
Finish – On Press
Application – </t>
  </si>
  <si>
    <t>Minimal overhang of adhesive is acceptable.  
Use WD-40 to clean / lubricate the front and back side of the blade frequently to keep the blade from binding.  Review video on blade care (O:Press Pics/Azco Blade Care).  Do this procedure every 100 parts.  This needs to be done with caution.  You must place the aluminum blocks under the blades when cleaning the blades.</t>
  </si>
  <si>
    <t>50393 Cost of Goods Sold</t>
  </si>
  <si>
    <t>Die Cut Label Inventory label 11.875" x 4"</t>
  </si>
  <si>
    <t>7166</t>
  </si>
  <si>
    <t>Die Cut Label - Inventory label - 11.875" x 4"</t>
  </si>
  <si>
    <t>Number Across Run/Finish –  2/1
Where Finished –  Web Techniques
Length per Roll/Unit – 500'
Core Type –  3" Paper (1/8" wall)
Core Width – 4.125"
Core Label – No
Dividers – 
Bag Size – 
Qty. Per Bag – 
Box Size –  10 x 10 x 10
Qty. Per Box – 
Weight/box – 
Box Per Pallet – 
Pallet Type – </t>
  </si>
  <si>
    <t>Package for internal use</t>
  </si>
  <si>
    <t>Core  –  3" Paper (1/8" wall)
Width – 4.125"
Number Across Run/FInish –  2/1
Core Label – No
±10% –  Yes
Unwind Dir. Run – N/A
Unwind Dir. Finish –  N/A
Diecut/Continuous/Sheet –  Die Cut
Partial Case –  Yes
Pieces per roll/Unit – 500
Length per roll/unit –  500'
Finish – Web Techniques
Application – </t>
  </si>
  <si>
    <t>50394 Cost of Goods Sold</t>
  </si>
  <si>
    <t>Butt Cut Tape d/c PET, double layer 19mm x 19mm</t>
  </si>
  <si>
    <t>7170</t>
  </si>
  <si>
    <t>Butt Cut Tape - d/c PET, double layer  - 19mm x 19mm</t>
  </si>
  <si>
    <t>Number Across Run/Finish –  8/1
Where Finished –  On Press
Length per Roll/Unit – 36 Yd
Core Type –  3" Paper 1/8" White Brown
Core Width – 0.750"
Core Label – Yes
Dividers – 
Bag Size – 
Qty. Per Bag – 1 Roll
Box Size –  9 x 9 x 13
Qty. Per Box – 50 Rolls
Weight/box – 
Box Per Pallet – 
Pallet Type – </t>
  </si>
  <si>
    <t>BROWN CORES - PN 7170</t>
  </si>
  <si>
    <t>Core  –  3" Paper 1/8" White Brown
Width – 0.750"
Number Across Run/FInish –  8/1
Core Label – Yes
±10% –  No
Unwind Dir. Run – Adh. In
Unwind Dir. Finish –  Adh. In
Diecut/Continuous/Sheet –  Die Cut
Partial Case –  No
Pieces per roll/Unit – 36 Yd
Length per roll/unit –  36 Yd
Finish – On Press
Application – </t>
  </si>
  <si>
    <t>Must use BROWN cores.</t>
  </si>
  <si>
    <t>50395 Cost of Goods Sold</t>
  </si>
  <si>
    <t>Die Cut Part RP 16 with 1/2" tab 0.5" x 2.5"</t>
  </si>
  <si>
    <t>RP16122</t>
  </si>
  <si>
    <t>Die Cut Part - RP 16 with 1/2" tab - 0.5" x 2.5"</t>
  </si>
  <si>
    <t>Number Across Run/Finish –  2/1
Where Finished –  On Press
Length per Roll/Unit – 36 Yd
Core Type –  3" Paper 1/8" White Brown
Core Width – 2.75"
Core Label – Yes
Dividers – 
Bag Size – 
Qty. Per Bag – 4 Rolls
Box Size –  CUSTOMER SUPPLIED
Qty. Per Box – 4 Rolls
Weight/box – 
Box Per Pallet – 
Pallet Type – </t>
  </si>
  <si>
    <t>Core  –  3" Paper 1/8" White Brown
Width – 2.75"
Number Across Run/FInish –  2/1
Core Label – Yes
±10% –  Yes
Unwind Dir. Run – Parts Out
Unwind Dir. Finish –  Parts Out
Diecut/Continuous/Sheet –  Die Cut
Partial Case –  Yes
Pieces per roll/Unit – 2,050
Length per roll/unit –  36 Yd
Finish – On Press
Application – </t>
  </si>
  <si>
    <t>Must run on Pace 2.</t>
  </si>
  <si>
    <t>50396 Cost of Goods Sold</t>
  </si>
  <si>
    <t>Butt Cut Part Hook Coin Fastener w/ Non-Engagement Edges - Gowns, 0.625" 1" x 0.625"</t>
  </si>
  <si>
    <t>78-8083-4026-5 Rev C</t>
  </si>
  <si>
    <t>Butt Cut Part - Hook Coin Fastener w/ Non-Engagement Edges - Gowns, 0.625" - 1" x 0.625"</t>
  </si>
  <si>
    <t>Number Across Run/Finish –  12/1
Where Finished –  On Press
Length per Roll/Unit – 300'
Core Type –  3" Paper 1/8" Strouse Brown
Core Width – 0.625"
Core Label – Yes
Dividers – Paper
Bag Size – 
Qty. Per Bag – 12 Rolls
Box Size –  Best Fit Per Qty
Qty. Per Box – 43 M
Weight/box – 
Box Per Pallet – 36
Pallet Type – </t>
  </si>
  <si>
    <t>Include stock W/O #('s) on a Strouse C of C.
(If roll length is less than 250', label box with actual quantity instead of 43,000)
• Use core labels reflecting the Work Order # and Operator # on the inside of the finished rolls, and on the outside of each shipping box.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</si>
  <si>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Strouse Brown
Width – 0.625"
Number Across Run/FInish –  12/1
Core Label – Yes
±10% –  Yes
Unwind Dir. Run – Parts Out
Unwind Dir. Finish –  Parts Out
Diecut/Continuous/Sheet –  Die Cut
Partial Case –  Yes
Pieces per roll/Unit – 3,583
Length per roll/unit –  300'
Finish – On Press
Application – </t>
  </si>
  <si>
    <t>Must track scrap, see QC or 3M Project Manager with questions.
Inspections: Every set visually check 4 rolls (alternating) across Op, Mid, &amp; Gr lane for butt cut &amp; deadening.
Every fourth set measure 1-lane; alternate lanes and indicate on IPIC the lane.</t>
  </si>
  <si>
    <t>50397 Cost of Goods Sold</t>
  </si>
  <si>
    <t>Slit Tape 3M 365 1/2" x 60Yd</t>
  </si>
  <si>
    <t>3M 365/0.50</t>
  </si>
  <si>
    <t>Slit Tape - 3M 365 - 1/2" x 60Yd</t>
  </si>
  <si>
    <t>Number Across Run/Finish –  29/1
Where Finished –  On Press
Length per Roll/Unit – 60 Yd
Core Type –  As Recd.
Core Width – 0.5"
Core Label – Yes
Dividers – 
Bag Size – 
Qty. Per Bag – 12 Rolls
Box Size –  
Qty. Per Box – 12 Rolls
Weight/box – 
Box Per Pallet – 
Pallet Type – </t>
  </si>
  <si>
    <t>Include a 3M Cert and a C of C with 3M Lot #.</t>
  </si>
  <si>
    <t>Core  –  As Recd.
Width – 0.5"
Number Across Run/FInish –  29/1
Core Label – Yes
±10% –  Yes
Unwind Dir. Run – N/A
Unwind Dir. Finish –  N/A
Diecut/Continuous/Sheet –  Continuous
Partial Case –  Yes
Pieces per roll/Unit – 1 Roll
Length per roll/unit –  60 Yd
Finish – On Press
Application – </t>
  </si>
  <si>
    <t>50398 Cost of Goods Sold</t>
  </si>
  <si>
    <t>Perfed Roll 3M 25A29B Perfed every 12.25" 1.4375" x 1,000'</t>
  </si>
  <si>
    <t>Perfed Roll - 3M 25A29B Perfed every 12.25" - 1.4375" x 1,000'</t>
  </si>
  <si>
    <t>Number Across Run/Finish –  1/1
Where Finished –  Off Press
Length per Roll/Unit – 1,000'
Core Type –  As Recd.
Core Width – 1.4375"
Core Label – 
Dividers – 
Bag Size – 
Qty. Per Bag – 
Box Size –  11 x 11 x 14
Qty. Per Box – 
Weight/box – 
Box Per Pallet – 
Pallet Type – </t>
  </si>
  <si>
    <t>Boxed Item: Spot check several boxes to make sure rolls are perfed every 12.25", then Re-label box.
"NO STROUSE MARKINGS" ALLOWED ON ANYTHING
C of C Required</t>
  </si>
  <si>
    <t>Core  –  As Recd.
Width – 1.4375"
Number Across Run/FInish –  1/1
Core Label – 
±10% –  Yes
Unwind Dir. Run – N/A
Unwind Dir. Finish –  
Diecut/Continuous/Sheet –  Continuous
Partial Case –  Yes
Pieces per roll/Unit – 1 Roll
Length per roll/unit –  1,000'
Finish – Off Press
Application – </t>
  </si>
  <si>
    <t>50399 Cost of Goods Sold</t>
  </si>
  <si>
    <t>Die Cut Part 51825 56.5mm x 73.8mm</t>
  </si>
  <si>
    <t>136250-Outer</t>
  </si>
  <si>
    <t>Die Cut Part - 51825 - 56.5mm x 73.8mm</t>
  </si>
  <si>
    <t>Number Across Run/Finish –  2/1
Where Finished –  On Press
Length per Roll/Unit – 300'
Core Type –  3" Paper 1/8" White Brown
Core Width – 3.25"
Core Label – Yes
Dividers – 
Bag Size – 
Qty. Per Bag – 4 Rolls
Box Size –  10 x 10 x 10
Qty. Per Box – 5 M
Weight/box – 
Box Per Pallet – 
Pallet Type – </t>
  </si>
  <si>
    <t>Wind loose to prevent coning.</t>
  </si>
  <si>
    <t>Core  –  3" Paper 1/8" White Brown
Width – 3.25"
Number Across Run/FInish –  2/1
Core Label – Yes
±10% –  Yes
Unwind Dir. Run – Parts Out
Unwind Dir. Finish –  Parts Out
Diecut/Continuous/Sheet –  Die Cut
Partial Case –  Yes
Pieces per roll/Unit – 1,250
Length per roll/unit –  300'
Finish – On Press
Application – </t>
  </si>
  <si>
    <t>50400 Cost of Goods Sold</t>
  </si>
  <si>
    <t>Die Cut Part 51825 with red stripe 53.5mm x 71mm</t>
  </si>
  <si>
    <t xml:space="preserve">136250-Inner </t>
  </si>
  <si>
    <t>Die Cut Part - 51825 with red stripe - 53.5mm x 71mm</t>
  </si>
  <si>
    <t>Number Across Run/Finish –  2/1
Where Finished –  On Press
Length per Roll/Unit – 300'
Core Type –  3" Paper 1/8" White Brown
Core Width – 3"
Core Label – Yes
Dividers – 
Bag Size – 
Qty. Per Bag – 4 Rolls
Box Size –  11 x 11 x 8
Qty. Per Box – 5 M
Weight/box – 
Box Per Pallet – 
Pallet Type – </t>
  </si>
  <si>
    <t>Core  –  3" Paper 1/8" White Brown
Width – 3"
Number Across Run/FInish –  2/1
Core Label – Yes
±10% –  Yes
Unwind Dir. Run – Parts Out
Unwind Dir. Finish –  Parts Out
Diecut/Continuous/Sheet –  Die Cut
Partial Case –  Yes
Pieces per roll/Unit – 1,250
Length per roll/unit –  300'
Finish – On Press
Application – </t>
  </si>
  <si>
    <t>50401 Cost of Goods Sold</t>
  </si>
  <si>
    <t>Die Cut Part ABI 1510 5.75" x 1.75"</t>
  </si>
  <si>
    <t>11435</t>
  </si>
  <si>
    <t>Die Cut Part - ABI 1510 - 5.75" x 1.75"</t>
  </si>
  <si>
    <t>Number Across Run/Finish –  3/3
Where Finished –  On Press
Length per Roll/Unit – 245'
Core Type –  3" Paper 1/8" White Brown
Core Width – 6.25"
Core Label – Yes
Dividers – 
Bag Size – 
Qty. Per Bag – 1 Rolls
Box Size –  8 x 8 x 8
Qty. Per Box – 3 M
Weight/box – 
Box Per Pallet – 
Pallet Type – </t>
  </si>
  <si>
    <t>"NO STROUSE MARKINGS" ALLOWED ON ANYTHING
MUST USE PLAIN CORES
Fill voids in box with air pillows</t>
  </si>
  <si>
    <t>Core  –  3" Paper 1/8" White Brown
Width – 6.25"
Number Across Run/FInish –  3/3
Core Label – Yes
±10% –  Yes
Unwind Dir. Run – Parts Out
Unwind Dir. Finish –  Parts Out
Diecut/Continuous/Sheet –  Die Cut
Partial Case –  Yes
Pieces per roll/Unit – 1,500
Length per roll/unit –  245'
Finish – On Press
Application – </t>
  </si>
  <si>
    <t>50402 Cost of Goods Sold</t>
  </si>
  <si>
    <t>Slit Tape 3M 5419 0.1875" x 36Yd</t>
  </si>
  <si>
    <t>3M 5419/0.187</t>
  </si>
  <si>
    <t>Slit Tape - 3M 5419 - 0.1875" x 36Yd</t>
  </si>
  <si>
    <t>Number Across Run/Finish –  106/1
Where Finished –  On Press
Length per Roll/Unit – 36 Yd
Core Type –  3" Plastic 0.10" HDPE
Core Width – 0.1875"
Core Label – No
Dividers – 
Bag Size – 
Qty. Per Bag – 1 Roll
Box Size –  22 x 16 x 6
Qty. Per Box – 6 
Weight/box – 
Box Per Pallet – 
Pallet Type – </t>
  </si>
  <si>
    <t>Core  –  3" Plastic 0.10" HDPE
Width – 0.1875"
Number Across Run/FInish –  106/1
Core Label – No
±10% –  Yes
Unwind Dir. Run – N/A
Unwind Dir. Finish –  N/A
Diecut/Continuous/Sheet –  Continuous
Partial Case –  Yes
Pieces per roll/Unit – 1
Length per roll/unit –  36 Yd
Finish – On Press
Application – </t>
  </si>
  <si>
    <t>50403 Cost of Goods Sold</t>
  </si>
  <si>
    <t>Sheeted Label Discrepancy marking - Orange 20" x 13"</t>
  </si>
  <si>
    <t>ETCOR#100865 3M790BA13X20O250BX</t>
  </si>
  <si>
    <t>Sheeted Label - Discrepancy marking - Orange - 20" x 13"</t>
  </si>
  <si>
    <t>Number Across Run/Finish –  1/1
Where Finished –  On Press
Length per Roll/Unit – 417'
Core Type –  N/A
Core Width – N/A
Core Label – No
Dividers – 
Bag Size – 
Qty. Per Bag – 0.25 M
Box Size –  14 x 14 x 8
Qty. Per Box –  M
Weight/box – 
Box Per Pallet – 
Pallet Type – </t>
  </si>
  <si>
    <t>Place 1 pack of 250 into a  22 X 16 X 6
Needs 80% Shelf Life remaining.
Include:  MFG Cert w/ Test Data; and Strouse C of C w/ Material Lot #, Date of Expiration, and Shelf Life.</t>
  </si>
  <si>
    <t>Core  –  N/A
Width – N/A
Number Across Run/FInish –  1/1
Core Label – No
±10% –  Yes
Unwind Dir. Run – N/A
Unwind Dir. Finish –  N/A
Diecut/Continuous/Sheet –  Die Cut Sheet
Partial Case –  Yes
Pieces per roll/Unit – 250
Length per roll/unit –  417'
Finish – On Press
Application – </t>
  </si>
  <si>
    <t>ACFOR43-19006 STD LED Curable Pantone 021 Orange
ACFBK42-01 STD LED High Adhesion Process Black
Same plates for JT 7211, 9031, 9032, and 9033 - Flat Drawer #5</t>
  </si>
  <si>
    <t>50404 Cost of Goods Sold</t>
  </si>
  <si>
    <t>Perfed mask Blue film perfed 18.125" 6.25" x 1,500'</t>
  </si>
  <si>
    <t>6251500P18125</t>
  </si>
  <si>
    <t>Perfed mask - Blue film perfed 18.125" - 6.25" x 1,500'</t>
  </si>
  <si>
    <t>Number Across Run/Finish –  1/1
Where Finished –  On Press
Length per Roll/Unit – 1,500'
Core Type –  3" Paper 1/8" White Brown
Core Width – 6.25"
Core Label – 
Dividers – 
Bag Size – 
Qty. Per Bag – As received 
Box Size –  19-1/2 X 19-1/2 X 4
Qty. Per Box – As received 
Weight/box – 
Box Per Pallet – 
Pallet Type – </t>
  </si>
  <si>
    <t>BOXED ITEM TO HAVE ALL VENDOR LABELS REMOVED</t>
  </si>
  <si>
    <t>Core  –  3" Paper 1/8" White Brown
Width – 6.25"
Number Across Run/FInish –  1/1
Core Label – 
±10% –  No
Unwind Dir. Run – N/A
Unwind Dir. Finish –  N/A
Diecut/Continuous/Sheet –  Continuous
Partial Case –  No
Pieces per roll/Unit – 
Length per roll/unit –  1,500'
Finish – On Press
Application – </t>
  </si>
  <si>
    <t>50405 Cost of Goods Sold</t>
  </si>
  <si>
    <t>Sheeted Part CSM with 2 layers of 9627 17.75" x 17.75"</t>
  </si>
  <si>
    <t>6000035-G</t>
  </si>
  <si>
    <t>Sheeted Part - CSM with 2 layers of 9627 - 17.75" x 17.75"</t>
  </si>
  <si>
    <t>Number Across Run/Finish –  1/1
Where Finished –  On Press
Length per Roll/Unit – 37'
Core Type –  N/A
Core Width – N/A
Core Label – Yes
Dividers – 
Bag Size – 
Qty. Per Bag – 
Box Size –  Custom-folding
Qty. Per Box – 500 Each
Weight/box – 
Box Per Pallet – 
Pallet Type – </t>
  </si>
  <si>
    <t>Include Strouse cert: with adhesive expiration date.
Label to be applied to EACH part in the location specified on the Drawing.  (the label is applied to the bottom left hand corner of the adhesive liner).
Label format = "7233 part label"</t>
  </si>
  <si>
    <t>Core  –  N/A
Width – N/A
Number Across Run/FInish –  1/1
Core Label – Yes
±10% –  No
Unwind Dir. Run – N/A
Unwind Dir. Finish –  N/A
Diecut/Continuous/Sheet –  Sheet
Partial Case –  Yes
Pieces per roll/Unit – 25
Length per roll/unit –  37'
Finish – On Press
Application – </t>
  </si>
  <si>
    <t xml:space="preserve">Check Advanced material width before starting. If the adhesive is wider than the Advanced material "Stop" and have the adhesive trimmed on the Ceve before going any further.  
Use Azco for sheeting the product after die cutting. </t>
  </si>
  <si>
    <t>50406 Cost of Goods Sold</t>
  </si>
  <si>
    <t>Sheeted Part 7x Cabin Window Inset 16.06" x 12.26"</t>
  </si>
  <si>
    <t>47230784</t>
  </si>
  <si>
    <t>Sheeted Part - 7x Cabin Window Inset - 16.06" x 12.26"</t>
  </si>
  <si>
    <t>Number Across Run/Finish –  3/1
Where Finished –  On Press
Length per Roll/Unit – N/A
Core Type –  N/A
Core Width – N/A
Core Label – No
Dividers – 
Bag Size – 
Qty. Per Bag – 
Box Size –  Best Fit Per Qty
Qty. Per Box – 50 Each
Weight/box – 
Box Per Pallet – 
Pallet Type – </t>
  </si>
  <si>
    <t>Core  –  N/A
Width – N/A
Number Across Run/FInish –  3/1
Core Label – No
±10% –  No
Unwind Dir. Run – N/A
Unwind Dir. Finish –  N/A
Diecut/Continuous/Sheet –  Die Cut Sheet
Partial Case –  Yes
Pieces per roll/Unit – 
Length per roll/unit –  N/A
Finish – On Press
Application – </t>
  </si>
  <si>
    <t>Inspection template can be found in Flat drawer #2</t>
  </si>
  <si>
    <t>50407 Cost of Goods Sold</t>
  </si>
  <si>
    <t>Sheeted Part 7x Cabin Window Outset 18.07" x 14.26"</t>
  </si>
  <si>
    <t>47230859</t>
  </si>
  <si>
    <t>Sheeted Part - 7x Cabin Window Outset - 18.07" x 14.26"</t>
  </si>
  <si>
    <t>Number Across Run/Finish –  3/1
Where Finished –  On Press
Length per Roll/Unit – N/A
Core Type –  N/A
Core Width – N/A
Core Label – No
Dividers – 
Bag Size – 
Qty. Per Bag – 
Box Size –  Custom-folding
Qty. Per Box – Best fit per order 
Weight/box – 
Box Per Pallet – 
Pallet Type – </t>
  </si>
  <si>
    <t>Core  –  N/A
Width – N/A
Number Across Run/FInish –  3/1
Core Label – No
±10% –  No
Unwind Dir. Run – N/A
Unwind Dir. Finish –  N/A
Diecut/Continuous/Sheet –  Die Cut Sheet
Partial Case –  Yes
Pieces per roll/Unit – 10
Length per roll/unit –  N/A
Finish – On Press
Application – </t>
  </si>
  <si>
    <t>50408 Cost of Goods Sold</t>
  </si>
  <si>
    <t>Sheeted Part Outside Cockpit Left Hand Inset 29.76" x 19.14"</t>
  </si>
  <si>
    <t>47230982</t>
  </si>
  <si>
    <t>Sheeted Part - Outside Cockpit Left Hand Inset - 29.76" x 19.14"</t>
  </si>
  <si>
    <t>Number Across Run/Finish –  2/1
Where Finished –  On Press
Length per Roll/Unit – N/A
Core Type –  N/A
Core Width – N/A
Core Label – No
Dividers – 
Bag Size – 
Qty. Per Bag – 
Box Size –  11 x 11 x 8
Qty. Per Box – 5 Each
Weight/box – 
Box Per Pallet – 
Pallet Type – </t>
  </si>
  <si>
    <t>Core  –  N/A
Width – N/A
Number Across Run/FInish –  2/1
Core Label – No
±10% –  No
Unwind Dir. Run – N/A
Unwind Dir. Finish –  N/A
Diecut/Continuous/Sheet –  Die Cut Sheet
Partial Case –  Yes
Pieces per roll/Unit – 
Length per roll/unit –  N/A
Finish – On Press
Application – </t>
  </si>
  <si>
    <t>50409 Cost of Goods Sold</t>
  </si>
  <si>
    <t>Die Cut Part 3M 9629PC 0.375" x 3" with 0.25" tab</t>
  </si>
  <si>
    <t>3M 9629PC/.375x3 HBPSI</t>
  </si>
  <si>
    <t>Die Cut Part - 3M 9629PC - 0.375" x 3" with 0.25" tab</t>
  </si>
  <si>
    <t>Number Across Run/Finish –  1/1
Where Finished –  On Press
Length per Roll/Unit – 105'
Core Type –  3" Paper 1/8" White Brown
Core Width – 3.750"
Core Label – Yes
Dividers – 
Bag Size – 
Qty. Per Bag – 2 Rolls
Box Size –  12 x 12 x 13
Qty. Per Box – 8 M
Weight/box – 
Box Per Pallet – 
Pallet Type – </t>
  </si>
  <si>
    <t>Core  –  3" Paper 1/8" White Brown
Width – 3.750"
Number Across Run/FInish –  1/1
Core Label – Yes
±10% –  Yes
Unwind Dir. Run – See Drawing
Unwind Dir. Finish –  See Drawing
Diecut/Continuous/Sheet –  Die Cut
Partial Case –  Yes
Pieces per roll/Unit – 2,500
Length per roll/unit –  105'
Finish – On Press
Application – </t>
  </si>
  <si>
    <t>May need a 1/2 mil step down for the score to keep from fracturing tabs. MS</t>
  </si>
  <si>
    <t>50410 Cost of Goods Sold</t>
  </si>
  <si>
    <t>Die Cut Adh Preform Contact RMM/P 18.6 mm Tabfold 13.09mm x 23.30mm</t>
  </si>
  <si>
    <t>18C2337-01</t>
  </si>
  <si>
    <t>Die Cut Adh Preform - Contact RMM/P 18.6 mm Tabfold - 13.09mm x 23.30mm</t>
  </si>
  <si>
    <t>Number Across Run/Finish –  3/1
Where Finished –  On Press
Length per Roll/Unit – 706'
Core Type –  3" Plastic 0.10" HDPE
Core Width – 1.5"
Core Label – Yes
Dividers – Lexmark style
Bag Size – 
Qty. Per Bag – 1 Roll
Box Size –  12 x 12 x 12
Qty. Per Box – 100 M
Weight/box – 14
Box Per Pallet – 
Pallet Type – </t>
  </si>
  <si>
    <t>Rewind Direction Note:
Hold the roll in your LEFT hand and unwind roll from the top going to the RIGHT.  The TAB should be on TOP, with a 3' leader.
Parts Out.  12,500 parts (706 ft) per roll.
Rolls not to exceed 12"
For CEBU shipments - MUST USE PLASTIC PALLETS</t>
  </si>
  <si>
    <t>Core  –  3" Plastic 0.10" HDPE
Width – 1.5"
Number Across Run/FInish –  3/1
Core Label – Yes
±10% –  Yes
Unwind Dir. Run – See Note
Unwind Dir. Finish –  See Note
Diecut/Continuous/Sheet –  Die Cut
Partial Case –  Ask
Pieces per roll/Unit – 12,500
Length per roll/unit –  706'
Finish – On Press
Application – </t>
  </si>
  <si>
    <t>Be aware of possible part misalignment when backing up rolls.
--MUST USE PLASTIC PALLETS</t>
  </si>
  <si>
    <t>50411 Cost of Goods Sold</t>
  </si>
  <si>
    <t>Die Cut Adh Preform Tab Mono Tab Nose 22.33mm x 19.76mm</t>
  </si>
  <si>
    <t>18L0054-04</t>
  </si>
  <si>
    <t>Die Cut Adh Preform - Tab Mono Tab Nose - 22.33mm x 19.76mm</t>
  </si>
  <si>
    <t>Number Across Run/Finish –  4/1
Where Finished –  On Press
Length per Roll/Unit – 1,086'
Core Type –  3" Plastic 0.10" HDPE
Core Width – 31.7 mm
Core Label – Yes
Dividers – Lexmark style
Bag Size – 
Qty. Per Bag – 1 Roll
Box Size –  10 x 10 x 10
Qty. Per Box – 100 M
Weight/box – 14
Box Per Pallet – 
Pallet Type – </t>
  </si>
  <si>
    <t>Rewind Direction Note:
Hold the roll in your RIGHT hand and unwind roll from the top going to the LEFT.  The TAB should be on the BOTTOM.  The 1.79 mm leg is the leading edge, and comes off first, with a 3' leader.
Parts Out.  12,500 parts (1,083 ft) per roll.
Rolls not to exceed 12"
For CEBU shipments - MUST USE PLASTIC PALLETS</t>
  </si>
  <si>
    <t>Core  –  3" Plastic 0.10" HDPE
Width – 31.7 mm
Number Across Run/FInish –  4/1
Core Label – Yes
±10% –  Yes
Unwind Dir. Run – See Note
Unwind Dir. Finish –  See Note
Diecut/Continuous/Sheet –  Die Cut
Partial Case –  Ask
Pieces per roll/Unit – 12,500
Length per roll/unit –  1,086'
Finish – On Press
Application – </t>
  </si>
  <si>
    <t>PVC needed: 4 rolls .75", 4 rolls .187", 1 rolls .375", 1 roll 5.905".
Be aware of possible part misalignment when backing up rolls.
--MUST USE PLASTIC PALLETS
Use Ram Scope Routine labeled JJ 7274 or 5432 for inspecting this part.</t>
  </si>
  <si>
    <t>50412 Cost of Goods Sold</t>
  </si>
  <si>
    <t>Slit Tape 3M 9495MP 13.5mm x 20Yd</t>
  </si>
  <si>
    <t>27529828000</t>
  </si>
  <si>
    <t>Slit Tape - 3M 9495MP - 13.5mm x 20Yd</t>
  </si>
  <si>
    <t>Number Across Run/Finish –  10/1
Where Finished –  On Press
Length per Roll/Unit – 20 Yd
Core Type –  3" Paper 1/8" Strouse Brown
Core Width – 0.53"
Core Label – Yes
Dividers – Paper
Bag Size – 
Qty. Per Bag – 15 
Box Size –  12 x 12 x 12
Qty. Per Box – 60 Rolls
Weight/box – 
Box Per Pallet – 
Pallet Type – </t>
  </si>
  <si>
    <t>Use Core Format: 7275 Core</t>
  </si>
  <si>
    <t>Core  –  3" Paper 1/8" Strouse Brown
Width – 0.53"
Number Across Run/FInish –  10/1
Core Label – Yes
±10% –  Yes
Unwind Dir. Run – Adh. In
Unwind Dir. Finish –  Adh. In
Diecut/Continuous/Sheet –  Continuous
Partial Case –  Yes
Pieces per roll/Unit – 
Length per roll/unit –  20 Yd
Finish – On Press
Application – </t>
  </si>
  <si>
    <t xml:space="preserve">This job has its own tape guides marked 7275 and are located  On top of the cabinet at A2 </t>
  </si>
  <si>
    <t>50413 Cost of Goods Sold</t>
  </si>
  <si>
    <t>Die Cut Adh Preform Adh. Preform Color Chip 17.50mm x 19.64mm</t>
  </si>
  <si>
    <t>18L0056-04</t>
  </si>
  <si>
    <t>Die Cut Adh Preform - Adh. Preform Color Chip - 17.50mm x 19.64mm</t>
  </si>
  <si>
    <t>Number Across Run/Finish –  4/1
Where Finished –  Off Press
Length per Roll/Unit – 882'
Core Type –  3" Plastic 0.10" HDPE
Core Width – 31.7 mm
Core Label – Yes
Dividers – Lexmark style
Bag Size – 
Qty. Per Bag – 1 Roll
Box Size –  16 1/2 x 8 1/2 x 13
Qty. Per Box – 100 M
Weight/box – 
Box Per Pallet – 
Pallet Type – </t>
  </si>
  <si>
    <t>Rewind Direction Note:
Hold the roll in your RIGHT hand and unwind roll from the top going to the LEFT.  The TAB should be on the BOTTOM and the FATTEST leg should be on the LEFT, with a 3' leader.
Parts Out.  12,500 parts (882 ft) per roll.
Rolls not to exceed 12"
For CEBU shipments - MUST USE PLASTIC PALLETS</t>
  </si>
  <si>
    <t>Core  –  3" Plastic 0.10" HDPE
Width – 31.7 mm
Number Across Run/FInish –  4/1
Core Label – Yes
±10% –  Yes
Unwind Dir. Run – See Note
Unwind Dir. Finish –  See Note
Diecut/Continuous/Sheet –  Die Cut
Partial Case –  Yes
Pieces per roll/Unit – 12,500
Length per roll/unit –  882'
Finish – Off Press
Application – </t>
  </si>
  <si>
    <t>PVC needed: 4 rolls .75", 4 rolls .187", 1 rolls .375", 1 roll 5.905".
Be aware of possible part misalignment when backing up rolls.
--MUST USE PLASTIC PALLETS
Use Ram Scope Routine labeled JJ 7296 or 5426 for inspecting this part.</t>
  </si>
  <si>
    <t>50414 Cost of Goods Sold</t>
  </si>
  <si>
    <t>Slit Roll 4712 on 78# liner 16" x 60Yd</t>
  </si>
  <si>
    <t>3M4712YLBA16X60RL</t>
  </si>
  <si>
    <t>Slit Roll - 4712 on 78# liner - 16" x 60Yd</t>
  </si>
  <si>
    <t>Number Across Run/Finish –  1/1
Where Finished –  On Press
Length per Roll/Unit – 60 Yd
Core Type –  3" Paper 1/8" Strouse Brown
Core Width – 16.25"
Core Label – Yes
Dividers – 
Bag Size – 
Qty. Per Bag – 1 Roll
Box Size –  6 x 6 x 6
Qty. Per Box – 2 Rolls
Weight/box – 
Box Per Pallet – 
Pallet Type – </t>
  </si>
  <si>
    <t>Width is tape width and not liner width.
Line box with bubble wrap.
80% shelf life remaining on 4712Y.
Include:  MFG Cert w/ Test Data; and Strouse C of C w/ Material Lot #, Date of Expiration, and Shelf Life.</t>
  </si>
  <si>
    <t>Core  –  3" Paper 1/8" Strouse Brown
Width – 16.25"
Number Across Run/FInish –  1/1
Core Label – Yes
±10% –  Yes
Unwind Dir. Run – Tape Out
Unwind Dir. Finish –  Tape Out
Diecut/Continuous/Sheet –  Continuous
Partial Case –  Yes
Pieces per roll/Unit – 1 Roll
Length per roll/unit –  60 Yd
Finish – On Press
Application – </t>
  </si>
  <si>
    <t>Width is tape width and not liner width.</t>
  </si>
  <si>
    <t>50415 Cost of Goods Sold</t>
  </si>
  <si>
    <t>Sheeted Part PET Film 12.7mm x 39mm</t>
  </si>
  <si>
    <t>45336-825</t>
  </si>
  <si>
    <t>Sheeted Part - PET Film - 12.7mm x 39mm</t>
  </si>
  <si>
    <t>Number Across Run/Finish –  1/1
Where Finished –  On Press
Length per Roll/Unit – 11'
Core Type –  N/A
Core Width – N/A
Core Label – No
Dividers – 
Bag Size – 
Qty. Per Bag – 50 
Box Size –  14 x 14 x 8
Qty. Per Box – 250 
Weight/box – 
Box Per Pallet – 
Pallet Type – </t>
  </si>
  <si>
    <t>Core  –  N/A
Width – N/A
Number Across Run/FInish –  1/1
Core Label – No
±10% –  Yes
Unwind Dir. Run – N/A
Unwind Dir. Finish –  N/A
Diecut/Continuous/Sheet –  Sheet
Partial Case –  Yes
Pieces per roll/Unit – 250
Length per roll/unit –  11'
Finish – On Press
Application – </t>
  </si>
  <si>
    <t>50416 Cost of Goods Sold</t>
  </si>
  <si>
    <t>Slit Rolls White PP Film, 3 mil 18mm x 3,200'</t>
  </si>
  <si>
    <t>Slit Rolls - White PP Film, 3 mil - 18mm x 3,200'</t>
  </si>
  <si>
    <t>Number Across Run/Finish –  16/1
Where Finished –  On Press
Length per Roll/Unit – 3,200'
Core Type –  3" Plastic 0.375" HDPE
Core Width – 18 mm
Core Label – Yes
Dividers – 
Bag Size – 
Qty. Per Bag – 10 Rolls
Box Size –  13 x 13 x 4
Qty. Per Box – 10 Rolls
Weight/box – 
Box Per Pallet – 
Pallet Type – </t>
  </si>
  <si>
    <t>Corona treatment to be wound out on input rolls and on finished rolls.  *When testing for the treated side; the side that holds the dye the longest is the Corona treated side.
Material needs to be white.  If it's translucent/clear; See QA.
Must use hard rigid plastic cores, to prevent cores from crushing.
SPLICES ARE NOT ALLOWED IN FINISHED ROLLS.</t>
  </si>
  <si>
    <t>Core  –  3" Plastic 0.375" HDPE
Width – 18 mm
Number Across Run/FInish –  16/1
Core Label – Yes
±10% –  Yes
Unwind Dir. Run – Treat Out
Unwind Dir. Finish –  Treat Out
Diecut/Continuous/Sheet –  Continuous
Partial Case –  Yes
Pieces per roll/Unit – 1 Roll
Length per roll/unit –  3,200'
Finish – On Press
Application – </t>
  </si>
  <si>
    <t>50417 Cost of Goods Sold</t>
  </si>
  <si>
    <t>Sheeted Part 3M 4492W with center removed 2.65" x 2.65"</t>
  </si>
  <si>
    <t>7321</t>
  </si>
  <si>
    <t>Sheeted Part - 3M 4492W with center removed - 2.65" x 2.65"</t>
  </si>
  <si>
    <t>Number Across Run/Finish –  3/1
Where Finished –  On Press
Length per Roll/Unit – 46'
Core Type –  N/A
Core Width – N/A
Core Label – No
Dividers – 
Bag Size – 
Qty. Per Bag – 600 
Box Size –  8 x 8 x 8
Qty. Per Box – 2,400 
Weight/box – 
Box Per Pallet – 
Pallet Type – </t>
  </si>
  <si>
    <t>Core  –  N/A
Width – N/A
Number Across Run/FInish –  3/1
Core Label – No
±10% –  Yes
Unwind Dir. Run – N/A
Unwind Dir. Finish –  N/A
Diecut/Continuous/Sheet –  Die Cut Sheet
Partial Case –  Yes
Pieces per roll/Unit – 600
Length per roll/unit –  46'
Finish – On Press
Application – </t>
  </si>
  <si>
    <t>If using 12" wide foam, cut 4 across using 12.5" wide liner</t>
  </si>
  <si>
    <t>50418 Cost of Goods Sold</t>
  </si>
  <si>
    <t>Sheeted Part 3M 5962P, holes removed 5.15" x 5.15"</t>
  </si>
  <si>
    <t>45455-01</t>
  </si>
  <si>
    <t>Sheeted Part - 3M 5962P, holes removed - 5.15" x 5.15"</t>
  </si>
  <si>
    <t>Number Across Run/Finish –  1/1
Where Finished –  On Press
Length per Roll/Unit – 3'
Core Type –  N/A
Core Width – N/A
Core Label – No
Dividers – 
Bag Size – 
Qty. Per Bag – 25 Each
Box Size –  Best Fit Per Qty
Qty. Per Box – 100 Each
Weight/box – 
Box Per Pallet – 
Pallet Type – </t>
  </si>
  <si>
    <t>Core  –  N/A
Width – N/A
Number Across Run/FInish –  1/1
Core Label – No
±10% –  Yes
Unwind Dir. Run – N/A
Unwind Dir. Finish –  N/A
Diecut/Continuous/Sheet –  Die Cut Sheet
Partial Case –  Yes
Pieces per roll/Unit – 
Length per roll/unit –  3'
Finish – On Press
Application – </t>
  </si>
  <si>
    <t>50419 Cost of Goods Sold</t>
  </si>
  <si>
    <t>Sheeted Part 3M 5962P, holes removed 3.60" x 5.50"</t>
  </si>
  <si>
    <t>46394</t>
  </si>
  <si>
    <t>Sheeted Part - 3M 5962P, holes removed - 3.60" x 5.50"</t>
  </si>
  <si>
    <t>Number Across Run/Finish –  1/1
Where Finished –  On Press
Length per Roll/Unit – 2'
Core Type –  N/A
Core Width – N/A
Core Label – No
Dividers – 
Bag Size – 
Qty. Per Bag – 25 
Box Size –  14 x 14 x 8
Qty. Per Box – 100 
Weight/box – 
Box Per Pallet – 
Pallet Type – </t>
  </si>
  <si>
    <t>Core  –  N/A
Width – N/A
Number Across Run/FInish –  1/1
Core Label – No
±10% –  Yes
Unwind Dir. Run – N/A
Unwind Dir. Finish –  N/A
Diecut/Continuous/Sheet –  Die Cut Sheet
Partial Case –  Yes
Pieces per roll/Unit – 
Length per roll/unit –  2'
Finish – On Press
Application – </t>
  </si>
  <si>
    <t>50420 Cost of Goods Sold</t>
  </si>
  <si>
    <t>Tape 3M 97057, 23 Rolls Per Case 0.5" x 36Yd</t>
  </si>
  <si>
    <t>GSMSC0038</t>
  </si>
  <si>
    <t>Tape - 3M 97057, 23 Rolls Per Case - 0.5" x 36Yd</t>
  </si>
  <si>
    <t>Number Across Run/Finish –  1/1
Where Finished –  
Length per Roll/Unit – 108
Core Type –  As Recd.
Core Width – 
Core Label – 
Dividers – 
Bag Size – 
Qty. Per Bag – As received  
Box Size –  14 x 14 x 8
Qty. Per Box – As received  
Weight/box – 
Box Per Pallet – 
Pallet Type – </t>
  </si>
  <si>
    <t>BOXED</t>
  </si>
  <si>
    <t>Core  –  As Recd.
Width – 
Number Across Run/FInish –  1/1
Core Label – 
±10% –  
Unwind Dir. Run – N/A
Unwind Dir. Finish –  
Diecut/Continuous/Sheet –  Continuous
Partial Case –  
Pieces per roll/Unit – 
Length per roll/unit –  108
Finish – 
Application – </t>
  </si>
  <si>
    <t>50421 Cost of Goods Sold</t>
  </si>
  <si>
    <t>Slit Tape 3.5 mil Virgin White Teflon Pipe Thread Seal tape 0.5" x 520"</t>
  </si>
  <si>
    <t>10900753</t>
  </si>
  <si>
    <t>Slit Tape - 3.5 mil Virgin White Teflon Pipe Thread Seal tape - 0.5" x 520"</t>
  </si>
  <si>
    <t>Number Across Run/Finish –  1/1
Where Finished –  Off Press
Length per Roll/Unit – 520
Core Type –  N/A
Core Width – 0.5"
Core Label – 
Dividers – 
Bag Size – 
Qty. Per Bag – 100 Rolls
Box Size –  12 x 12 x 12
Qty. Per Box – 1,000 Rolls
Weight/box – 
Box Per Pallet – 
Pallet Type – </t>
  </si>
  <si>
    <t>Core  –  N/A
Width – 0.5"
Number Across Run/FInish –  1/1
Core Label – 
±10% –  
Unwind Dir. Run – 
Unwind Dir. Finish –  
Diecut/Continuous/Sheet –  Continuous
Partial Case –  
Pieces per roll/Unit – 
Length per roll/unit –  520
Finish – Off Press
Application – </t>
  </si>
  <si>
    <t>50422 Cost of Goods Sold</t>
  </si>
  <si>
    <t>Slit Tape 3M 2380 Masking Tape, GT500015844 48mm x 55m</t>
  </si>
  <si>
    <t>1012586443</t>
  </si>
  <si>
    <t>Slit Tape - 3M 2380 Masking Tape, GT500015844 - 48mm x 55m</t>
  </si>
  <si>
    <t>Number Across Run/Finish –  1/1
Where Finished –  Off Press
Length per Roll/Unit – 180
Core Type –  N/A
Core Width – As Rec'd
Core Label – 
Dividers – 
Bag Size – 
Qty. Per Bag – As Received 
Box Size –  14 x 14 x 8
Qty. Per Box – As Received 
Weight/box – 
Box Per Pallet – 
Pallet Type – </t>
  </si>
  <si>
    <t>Core  –  N/A
Width – As Rec'd
Number Across Run/FInish –  1/1
Core Label – 
±10% –  
Unwind Dir. Run – 
Unwind Dir. Finish –  
Diecut/Continuous/Sheet –  Continuous
Partial Case –  
Pieces per roll/Unit – 
Length per roll/unit –  180
Finish – Off Press
Application – </t>
  </si>
  <si>
    <t>50423 Cost of Goods Sold</t>
  </si>
  <si>
    <t>Tape Polyken Technologies #281, Black 2" x 60Yd</t>
  </si>
  <si>
    <t>9550120-1010644039</t>
  </si>
  <si>
    <t>Tape - Polyken Technologies #281, Black - 2" x 60Yd</t>
  </si>
  <si>
    <t>Number Across Run/Finish –  1/1
Where Finished –  Off Press
Length per Roll/Unit – 180
Core Type –  N/A
Core Width – 2.0"
Core Label – 
Dividers – 
Bag Size – 
Qty. Per Bag – As Received  
Box Size –  10 x 10 x 10
Qty. Per Box – As Received  
Weight/box – 
Box Per Pallet – 
Pallet Type – </t>
  </si>
  <si>
    <t>Core  –  N/A
Width – 2.0"
Number Across Run/FInish –  1/1
Core Label – 
±10% –  
Unwind Dir. Run – N/A
Unwind Dir. Finish –  N/A
Diecut/Continuous/Sheet –  Continuous
Partial Case –  
Pieces per roll/Unit – 
Length per roll/unit –  180
Finish – Off Press
Application – </t>
  </si>
  <si>
    <t>50424 Cost of Goods Sold</t>
  </si>
  <si>
    <t>Printed Tape White tape printed Black "MIL-80S-D2/MIL-90S-D2" 1/2" x 50Yd</t>
  </si>
  <si>
    <t>MIL-80S-D2/MIL-90S-D2</t>
  </si>
  <si>
    <t>Printed Tape - White tape printed Black "MIL-80S-D2/MIL-90S-D2" - 1/2" x 50Yd</t>
  </si>
  <si>
    <t>Number Across Run/Finish –  11/1
Where Finished –  On Press
Length per Roll/Unit – 50 Yd
Core Type –  3" Paper 1/8" Strouse Brown
Core Width – 0.50"
Core Label – No
Dividers – Paper
Bag Size – 
Qty. Per Bag – 10 Rolls
Box Size –  14 x 14 x 8
Qty. Per Box – 40 Rolls
Weight/box – 
Box Per Pallet – 
Pallet Type – </t>
  </si>
  <si>
    <t>Core  –  3" Paper 1/8" Strouse Brown
Width – 0.50"
Number Across Run/FInish –  11/1
Core Label – No
±10% –  Yes
Unwind Dir. Run – 1
Unwind Dir. Finish –  1
Diecut/Continuous/Sheet –  Continuous
Partial Case –  Yes
Pieces per roll/Unit – 1 Roll
Length per roll/unit –  50 Yd
Finish – On Press
Application – </t>
  </si>
  <si>
    <t>50425 Cost of Goods Sold</t>
  </si>
  <si>
    <t xml:space="preserve">Tape AC Tape, NAPA # TEM209491 </t>
  </si>
  <si>
    <t>1012903075</t>
  </si>
  <si>
    <t>Tape - AC Tape, NAPA # TEM209491</t>
  </si>
  <si>
    <t>Number Across Run/Finish –  1/1
Where Finished –  Off Press
Length per Roll/Unit – 
Core Type –  N/A
Core Width – 
Core Label – 
Dividers – 
Bag Size – 
Qty. Per Bag – 1 Roll
Box Size –  14 x 14 x 8
Qty. Per Box – 6 Rolls
Weight/box – 
Box Per Pallet – 
Pallet Type – </t>
  </si>
  <si>
    <t>Core  –  N/A
Width – 
Number Across Run/FInish –  1/1
Core Label – 
±10% –  
Unwind Dir. Run – N/A
Unwind Dir. Finish –  N/A
Diecut/Continuous/Sheet –  Continuous
Partial Case –  
Pieces per roll/Unit – 
Length per roll/unit –  
Finish – Off Press
Application – </t>
  </si>
  <si>
    <t>50426 Cost of Goods Sold</t>
  </si>
  <si>
    <t>Slit Rolls 3M 471 Yellow 2.0" x 36Yd</t>
  </si>
  <si>
    <t>471/2.0</t>
  </si>
  <si>
    <t>Slit Rolls - 3M 471 Yellow - 2.0" x 36Yd</t>
  </si>
  <si>
    <t>Number Across Run/Finish –  1/1
Where Finished –  Off Press
Length per Roll/Unit – 108
Core Type –  N/A
Core Width – 2"
Core Label – No
Dividers – As Received 
Bag Size – 
Qty. Per Bag – As Received  
Box Size –  12 x 12 x 10
Qty. Per Box – As Received  
Weight/box – 0
Box Per Pallet – As Received 
Pallet Type – </t>
  </si>
  <si>
    <t>Core  –  N/A
Width – 2"
Number Across Run/FInish –  1/1
Core Label – No
±10% –  No
Unwind Dir. Run – N/A
Unwind Dir. Finish –  N/A
Diecut/Continuous/Sheet –  Continuous
Partial Case –  No
Pieces per roll/Unit – 
Length per roll/unit –  108
Finish – Off Press
Application – </t>
  </si>
  <si>
    <t>50427 Cost of Goods Sold</t>
  </si>
  <si>
    <t>Die Cut Part 3M 468MP 83.5mm x 60mm</t>
  </si>
  <si>
    <t>5041811</t>
  </si>
  <si>
    <t>Die Cut Part - 3M 468MP - 83.5mm x 60mm</t>
  </si>
  <si>
    <t>Number Across Run/Finish –  1/1
Where Finished –  On Press
Length per Roll/Unit – 77'
Core Type –  3" Paper 1/8" White Brown
Core Width – 3.25"
Core Label – Yes
Dividers – 
Bag Size – 
Qty. Per Bag – 3 Rolls
Box Size –  10 x 10 x 10
Qty. Per Box – 3 M
Weight/box – 
Box Per Pallet – 
Pallet Type – </t>
  </si>
  <si>
    <t>Core  –  3" Paper 1/8" White Brown
Width – 3.25"
Number Across Run/FInish –  1/1
Core Label – Yes
±10% –  Yes
Unwind Dir. Run – Parts Out
Unwind Dir. Finish –  Parts Out
Diecut/Continuous/Sheet –  Die Cut
Partial Case –  Yes
Pieces per roll/Unit – 250
Length per roll/unit –  77'
Finish – On Press
Application – </t>
  </si>
  <si>
    <t>50428 Cost of Goods Sold</t>
  </si>
  <si>
    <t>Slit Tape 3M 9495MP 15mm x 20Yd</t>
  </si>
  <si>
    <t>27529728000</t>
  </si>
  <si>
    <t>Slit Tape - 3M 9495MP - 15mm x 20Yd</t>
  </si>
  <si>
    <t>Number Across Run/Finish –  9/1
Where Finished –  On Press
Length per Roll/Unit – 20 Yd
Core Type –  3" Paper 1/8" Strouse Brown
Core Width – 15 mm
Core Label – Yes
Dividers – Paper
Bag Size – 
Qty. Per Bag – 16 Rolls
Box Size –  12 x 12 x 12
Qty. Per Box – 64 Rolls
Weight/box – 
Box Per Pallet – 
Pallet Type – </t>
  </si>
  <si>
    <t>Use core format: 7407 CORE</t>
  </si>
  <si>
    <t>Core  –  3" Paper 1/8" Strouse Brown
Width – 15 mm
Number Across Run/FInish –  9/1
Core Label – Yes
±10% –  Yes
Unwind Dir. Run – Adh. In
Unwind Dir. Finish –  Adh. In
Diecut/Continuous/Sheet –  Continuous
Partial Case –  Yes
Pieces per roll/Unit – 1 Roll
Length per roll/unit –  20 Yd
Finish – On Press
Application – </t>
  </si>
  <si>
    <t xml:space="preserve">May need to use a "slip core" rewind method to get tensions even.
This job has its own tape guides marked 7275 and are located On top of the cabinet at A2 </t>
  </si>
  <si>
    <t>50429 Cost of Goods Sold</t>
  </si>
  <si>
    <t>Tape, Masking Hi Temp, 3M Mfg. &amp; Ind. #2364 1.5" x 180'</t>
  </si>
  <si>
    <t>1012385782</t>
  </si>
  <si>
    <t>Tape, Masking - Hi Temp, 3M Mfg. &amp; Ind. #2364 - 1.5" x 180'</t>
  </si>
  <si>
    <t>Number Across Run/Finish –  1/
Where Finished –  Off Press
Length per Roll/Unit – 180
Core Type –  N/A
Core Width – 
Core Label – 
Dividers – 
Bag Size – 
Qty. Per Bag – 9 Rolls
Box Size –  13 x 10 x 2
Qty. Per Box – 36 Rolls
Weight/box – 
Box Per Pallet – 
Pallet Type – </t>
  </si>
  <si>
    <t>Core  –  N/A
Width – 
Number Across Run/FInish –  1/
Core Label – 
±10% –  
Unwind Dir. Run – N/A
Unwind Dir. Finish –  
Diecut/Continuous/Sheet –  Continuous
Partial Case –  
Pieces per roll/Unit – 
Length per roll/unit –  180
Finish – Off Press
Application – </t>
  </si>
  <si>
    <t>50430 Cost of Goods Sold</t>
  </si>
  <si>
    <t>Sheeted Part Disposable Thyroid Collar Covers 12" x 8.54"</t>
  </si>
  <si>
    <t>61289</t>
  </si>
  <si>
    <t>Sheeted Part - Disposable Thyroid Collar Covers - 12" x 8.54"</t>
  </si>
  <si>
    <t>Number Across Run/Finish –  1/1
Where Finished –  On Press
Length per Roll/Unit – 42'
Core Type –  N/A
Core Width – N/A
Core Label – No
Dividers – 
Bag Size – 
Qty. Per Bag – 
Box Size –  14 x 14 x 8
Qty. Per Box –  M
Weight/box – 
Box Per Pallet – 27
Pallet Type – </t>
  </si>
  <si>
    <t>40 sheets in a 13 x 10 x 2 box.  Five 13 x 10 x 2 boxes in a 14 x 11 x 11 outer case.
(40 per inner boxes and 200 per outer case)
Label inner boxes using special Avery # 5163 or 5263 labels.  Place two labels on inner box (lower right corner on the front and a side).</t>
  </si>
  <si>
    <t>Core  –  N/A
Width – N/A
Number Across Run/FInish –  1/1
Core Label – No
±10% –  Ask CS
Unwind Dir. Run – N/A
Unwind Dir. Finish –  N/A
Diecut/Continuous/Sheet –  Die Cut Sheet
Partial Case –  Ask
Pieces per roll/Unit – 40
Length per roll/unit –  42'
Finish – On Press
Application – </t>
  </si>
  <si>
    <t>50431 Cost of Goods Sold</t>
  </si>
  <si>
    <t>Slit Tape OPP-CC-3.4 2.0" x 55Yd</t>
  </si>
  <si>
    <t>Slit Tape - OPP-CC-3.4 - 2.0" x 55Yd</t>
  </si>
  <si>
    <t>Number Across Run/Finish –  1/
Where Finished –  Off Press
Length per Roll/Unit – 165
Core Type –  N/A
Core Width – As Rec'd
Core Label – 
Dividers – 
Bag Size – 
Qty. Per Bag – As Received 
Box Size –  Best Fit Per Qty
Qty. Per Box – As Received 
Weight/box – 
Box Per Pallet – 
Pallet Type – </t>
  </si>
  <si>
    <t xml:space="preserve">BOXED ITEM
Product I.D. label to read: Weiss Brothers of Hagertown
Weiss trucks are in the area only on TUESDAYS </t>
  </si>
  <si>
    <t>Core  –  N/A
Width – As Rec'd
Number Across Run/FInish –  1/
Core Label – 
±10% –  
Unwind Dir. Run – N/A
Unwind Dir. Finish –  
Diecut/Continuous/Sheet –  Continuous
Partial Case –  
Pieces per roll/Unit – 
Length per roll/unit –  165
Finish – Off Press
Application – </t>
  </si>
  <si>
    <t>50432 Cost of Goods Sold</t>
  </si>
  <si>
    <t>Slit Tape 3M 468MP 0.6" x 60Yd</t>
  </si>
  <si>
    <t>468MP/.60</t>
  </si>
  <si>
    <t>Slit Tape - 3M 468MP - 0.6" x 60Yd</t>
  </si>
  <si>
    <t>Number Across Run/Finish –  42/1
Where Finished –  On Press
Length per Roll/Unit – 60 Yd
Core Type –  As Recd.
Core Width – 0.60"
Core Label – Yes
Dividers – Paper
Bag Size – 
Qty. Per Bag – Best Fit 
Box Size –  14 x 14 x 8
Qty. Per Box – Best Fit 
Weight/box – 
Box Per Pallet – 
Pallet Type – </t>
  </si>
  <si>
    <t>Core  –  As Recd.
Width – 0.60"
Number Across Run/FInish –  42/1
Core Label – Yes
±10% –  Yes
Unwind Dir. Run – N/A
Unwind Dir. Finish –  N/A
Diecut/Continuous/Sheet –  Continuous
Partial Case –  Yes
Pieces per roll/Unit – 1 Roll
Length per roll/unit –  60 Yd
Finish – On Press
Application – </t>
  </si>
  <si>
    <t>Use a small "F"oam blade to slit the rolls (material may need to be frozen first).</t>
  </si>
  <si>
    <t>50433 Cost of Goods Sold</t>
  </si>
  <si>
    <t>Tape, Masking, Hi Temp 3M Mfg. &amp; Ind. #GT500015828, 3M 2380 1" x 60Yd</t>
  </si>
  <si>
    <t>1011953610</t>
  </si>
  <si>
    <t>Tape, Masking, Hi Temp - 3M Mfg. &amp; Ind. #GT500015828, 3M 2380 - 1" x 60Yd</t>
  </si>
  <si>
    <t>Number Across Run/Finish –  1/1
Where Finished –  Off Press
Length per Roll/Unit – 180
Core Type –  N/A
Core Width – As Rec'd
Core Label – No
Dividers – 
Bag Size – 
Qty. Per Bag – As Received 
Box Size –  14 x 14 x 8
Qty. Per Box – As Received 
Weight/box – 
Box Per Pallet – 
Pallet Type – </t>
  </si>
  <si>
    <t>Core  –  N/A
Width – As Rec'd
Number Across Run/FInish –  1/1
Core Label – No
±10% –  
Unwind Dir. Run – N/A
Unwind Dir. Finish –  N/A
Diecut/Continuous/Sheet –  Continuous
Partial Case –  
Pieces per roll/Unit – 
Length per roll/unit –  180
Finish – Off Press
Application – </t>
  </si>
  <si>
    <t>50434 Cost of Goods Sold</t>
  </si>
  <si>
    <t>Tape, Foam, Double Sided 3M Mfg. &amp; Ind. # 70006178779 0.75" x 216'</t>
  </si>
  <si>
    <t>1012714174</t>
  </si>
  <si>
    <t>Tape, Foam, Double Sided - 3M Mfg. &amp; Ind. # 70006178779 - 0.75" x 216'</t>
  </si>
  <si>
    <t>Number Across Run/Finish –  1/
Where Finished –  Off Press
Length per Roll/Unit – 216
Core Type –  N/A
Core Width – As Rec'd
Core Label – 
Dividers – 
Bag Size – 
Qty. Per Bag – As Received 
Box Size –  14 x 14 x 8
Qty. Per Box – As Received 
Weight/box – 
Box Per Pallet – 
Pallet Type – </t>
  </si>
  <si>
    <t>Core  –  N/A
Width – As Rec'd
Number Across Run/FInish –  1/
Core Label – 
±10% –  
Unwind Dir. Run – N/A
Unwind Dir. Finish –  
Diecut/Continuous/Sheet –  Continuous
Partial Case –  
Pieces per roll/Unit – 
Length per roll/unit –  216
Finish – Off Press
Application – </t>
  </si>
  <si>
    <t>50435 Cost of Goods Sold</t>
  </si>
  <si>
    <t>Slit Rolls ST-1214, d/c Silicone Tape 12.0" x 300'</t>
  </si>
  <si>
    <t>ST-1214</t>
  </si>
  <si>
    <t>Slit Rolls - ST-1214, d/c Silicone Tape - 12.0" x 300'</t>
  </si>
  <si>
    <t>Number Across Run/Finish –  1/
Where Finished –  Off Press
Length per Roll/Unit – 300
Core Type –  N/A
Core Width – As Rec'd
Core Label – 
Dividers – 
Bag Size – 
Qty. Per Bag – As Received 
Box Size –  14 x 14 x 8
Qty. Per Box – As Received 
Weight/box – 
Box Per Pallet – 
Pallet Type – </t>
  </si>
  <si>
    <t>BOXED ITEM
Include C of C.</t>
  </si>
  <si>
    <t>Core  –  N/A
Width – As Rec'd
Number Across Run/FInish –  1/
Core Label – 
±10% –  
Unwind Dir. Run – N/A
Unwind Dir. Finish –  
Diecut/Continuous/Sheet –  Continuous
Partial Case –  
Pieces per roll/Unit – 
Length per roll/unit –  300
Finish – Off Press
Application – </t>
  </si>
  <si>
    <t>50436 Cost of Goods Sold</t>
  </si>
  <si>
    <t>Tape, Foil Al Foil Tape. 3M# 70006385283. ID# 70-0063-8528-3 0.75" x 60Yd</t>
  </si>
  <si>
    <t>1012302088</t>
  </si>
  <si>
    <t>Tape, Foil - Al Foil Tape. 3M# 70006385283. ID# 70-0063-8528-3 - 0.75" x 60Yd</t>
  </si>
  <si>
    <t>Number Across Run/Finish –  1/
Where Finished –  Off Press
Length per Roll/Unit – 180
Core Type –  N/A
Core Width – As Rec'd
Core Label – 
Dividers – 
Bag Size – 
Qty. Per Bag – As Received 
Box Size –  12 x 12 x 10
Qty. Per Box – As Received 
Weight/box – 
Box Per Pallet – 
Pallet Type – </t>
  </si>
  <si>
    <t>Core  –  N/A
Width – As Rec'd
Number Across Run/FInish –  1/
Core Label – 
±10% –  
Unwind Dir. Run – N/A
Unwind Dir. Finish –  
Diecut/Continuous/Sheet –  Continuous
Partial Case –  
Pieces per roll/Unit – 
Length per roll/unit –  180
Finish – Off Press
Application – </t>
  </si>
  <si>
    <t>50437 Cost of Goods Sold</t>
  </si>
  <si>
    <t>Slit Tape ST-1447 Fine line Ditch masking 9.5mm x 36Yd</t>
  </si>
  <si>
    <t>61001447-1013534119</t>
  </si>
  <si>
    <t>Slit Tape - ST-1447 Fine line Ditch masking - 9.5mm x 36Yd</t>
  </si>
  <si>
    <t>Number Across Run/Finish –  125/1
Where Finished –  On Press
Length per Roll/Unit – 36 Yd
Core Type –  3" Plastic 0.10" HDPE
Core Width – 9.5 mm
Core Label – No
Dividers – Paper
Bag Size – 
Qty. Per Bag – 25 Rolls
Box Size –  12 x 12 x 12
Qty. Per Box – 125 Rolls
Weight/box – 
Box Per Pallet – 
Pallet Type – </t>
  </si>
  <si>
    <t>Core  –  3" Plastic 0.10" HDPE
Width – 9.5 mm
Number Across Run/FInish –  125/1
Core Label – No
±10% –  No
Unwind Dir. Run – N/A
Unwind Dir. Finish –  N/A
Diecut/Continuous/Sheet –  Continuous
Partial Case –  Yes
Pieces per roll/Unit – 1
Length per roll/unit –  36 Yd
Finish – On Press
Application – </t>
  </si>
  <si>
    <t>50438 Cost of Goods Sold</t>
  </si>
  <si>
    <t>Slit Tape 3M 2380 6" x 60Yd</t>
  </si>
  <si>
    <t>1012722546</t>
  </si>
  <si>
    <t>Slit Tape - 3M 2380 - 6" x 60Yd</t>
  </si>
  <si>
    <t>Number Across Run/Finish –  9/1
Where Finished –  On Press
Length per Roll/Unit – 60 Yd
Core Type –  3" Paper 0.180" Brown Brown
Core Width – 5.938"
Core Label – Yes
Dividers – Paper
Bag Size – 
Qty. Per Bag – 2 Rolls
Box Size –  6 x 6 x 6
Qty. Per Box – 8 Rolls
Weight/box – 
Box Per Pallet – 
Pallet Type – </t>
  </si>
  <si>
    <t>Best fit bag</t>
  </si>
  <si>
    <t>Core  –  3" Paper 0.180" Brown Brown
Width – 5.938"
Number Across Run/FInish –  9/1
Core Label – Yes
±10% –  No
Unwind Dir. Run – Adh. In
Unwind Dir. Finish –  Adh. In
Diecut/Continuous/Sheet –  Continuous
Partial Case –  Yes
Pieces per roll/Unit – 1 Roll
Length per roll/unit –  60 Yd
Finish – On Press
Application – </t>
  </si>
  <si>
    <t>50439 Cost of Goods Sold</t>
  </si>
  <si>
    <t>Slit Tape 3M 8815 2" x 36Yd</t>
  </si>
  <si>
    <t>7466</t>
  </si>
  <si>
    <t>Slit Tape - 3M 8815 - 2" x 36Yd</t>
  </si>
  <si>
    <t>Number Across Run/Finish –  2/1
Where Finished –  On Press
Length per Roll/Unit – 36 Yd
Core Type –  3" Paper (1/8" wall)
Core Width – 2"
Core Label – Yes
Dividers – 
Bag Size – 
Qty. Per Bag – 2 Rolls
Box Size –  
Qty. Per Box – 2 Rolls
Weight/box – 
Box Per Pallet – 
Pallet Type – </t>
  </si>
  <si>
    <t>Core  –  3" Paper (1/8" wall)
Width – 2"
Number Across Run/FInish –  2/1
Core Label – Yes
±10% –  Yes
Unwind Dir. Run – Blue In
Unwind Dir. Finish –  Blue In
Diecut/Continuous/Sheet –  Continuous
Partial Case –  Yes
Pieces per roll/Unit – 1
Length per roll/unit –  36 Yd
Finish – On Press
Application – </t>
  </si>
  <si>
    <t>50440 Cost of Goods Sold</t>
  </si>
  <si>
    <t>Slit Tape, Slit Adh and non-woven For use on tails and anchors JT 7482 0.125"</t>
  </si>
  <si>
    <t>7468-1776/1567</t>
  </si>
  <si>
    <t>Slit Tape, Slit Adh and non-woven - For use on tails and anchors JT 7482 - 0.125"</t>
  </si>
  <si>
    <t>Number Across Run/Finish –  20/1
Where Finished –  On Press
Length per Roll/Unit – 615'
Core Type –  3" Plastic 0.10" HDPE
Core Width – 0.125"
Core Label – No
Dividers – Paper
Bag Size – 
Qty. Per Bag – 2 Rolls
Box Size –  14 x 14 x 8
Qty. Per Box – 4 Rolls
Weight/box – 
Box Per Pallet – 
Pallet Type – </t>
  </si>
  <si>
    <t>These will be used for internal work.  Package for storage in the clean room.
This will create CAT# 18307 for JT 7482</t>
  </si>
  <si>
    <t>Core  –  3" Plastic 0.10" HDPE
Width – 0.125"
Number Across Run/FInish –  20/1
Core Label – No
±10% –  Yes
Unwind Dir. Run – Non-Woven Out
Unwind Dir. Finish –  Non-Woven Out
Diecut/Continuous/Sheet –  Continuous
Partial Case –  Yes
Pieces per roll/Unit – 1 Roll
Length per roll/unit –  615'
Finish – On Press
Application – </t>
  </si>
  <si>
    <t>Record roll length for Set-up supply
Special splicing required, See Splicing diagram in JJ.</t>
  </si>
  <si>
    <t>50441 Cost of Goods Sold</t>
  </si>
  <si>
    <t>Tape, Scotch Film Strapping 8898 Blue, 3M #70006272622, 36 Rolls a Case 24mm x 55m</t>
  </si>
  <si>
    <t>1012637526</t>
  </si>
  <si>
    <t>Tape, Scotch Film Strapping - 8898 Blue, 3M #70006272622, 36 Rolls a Case - 24mm x 55m</t>
  </si>
  <si>
    <t>Number Across Run/Finish –  1/
Where Finished –  Off Press
Length per Roll/Unit – 180
Core Type –  N/A
Core Width – As Rec'd
Core Label – 
Dividers – 
Bag Size – 
Qty. Per Bag – As Received 
Box Size –  14 x 14 x 8
Qty. Per Box – As Received 
Weight/box – 0
Box Per Pallet – 
Pallet Type – </t>
  </si>
  <si>
    <t>50442 Cost of Goods Sold</t>
  </si>
  <si>
    <t>Slit Roll 3M High Temperature Paint Masking Film 7300 Translucent 36" x 1,500'</t>
  </si>
  <si>
    <t>1013530748</t>
  </si>
  <si>
    <t>Slit Roll - 3M High Temperature Paint Masking Film 7300 Translucent  - 36" x 1,500'</t>
  </si>
  <si>
    <t>Number Across Run/Finish –  1/
Where Finished –  Off Press
Length per Roll/Unit – 1,500
Core Type –  N/A
Core Width – As Rec'd
Core Label – 
Dividers – 
Bag Size – 
Qty. Per Bag – As Received 
Box Size –  14 x 14 x 8
Qty. Per Box – As Received 
Weight/box – 0
Box Per Pallet – 
Pallet Type – </t>
  </si>
  <si>
    <t>Core  –  N/A
Width – As Rec'd
Number Across Run/FInish –  1/
Core Label – 
±10% –  No
Unwind Dir. Run – N/A
Unwind Dir. Finish –  
Diecut/Continuous/Sheet –  Continuous
Partial Case –  No
Pieces per roll/Unit – 
Length per roll/unit –  1,500
Finish – Off Press
Application – </t>
  </si>
  <si>
    <t>50443 Cost of Goods Sold</t>
  </si>
  <si>
    <t>Tape, Masking Hi-Temp, #2380, 3M Mfg. &amp; Industry #70006250669 1.5" x 60Yd</t>
  </si>
  <si>
    <t>1012047871</t>
  </si>
  <si>
    <t>Tape, Masking - Hi-Temp, #2380, 3M Mfg. &amp; Industry #70006250669 - 1.5" x 60Yd</t>
  </si>
  <si>
    <t>Number Across Run/Finish –  1/
Where Finished –  Off Press
Length per Roll/Unit – 180
Core Type –  N/A
Core Width – As Rec'd
Core Label – 
Dividers – 
Bag Size – 
Qty. Per Bag – As Received 
Box Size –  
Qty. Per Box – As Received 
Weight/box – 0
Box Per Pallet – 
Pallet Type – </t>
  </si>
  <si>
    <t>Core  –  N/A
Width – As Rec'd
Number Across Run/FInish –  1/
Core Label – 
±10% –  No
Unwind Dir. Run – N/A
Unwind Dir. Finish –  
Diecut/Continuous/Sheet –  Continuous
Partial Case –  No
Pieces per roll/Unit – 
Length per roll/unit –  180
Finish – Off Press
Application – </t>
  </si>
  <si>
    <t>50444 Cost of Goods Sold</t>
  </si>
  <si>
    <t>Die Cut Part Tail and Anchor set 7.31" x 3.62"</t>
  </si>
  <si>
    <t>Die Cut Part - Tail and Anchor set - 7.31" x 3.62"</t>
  </si>
  <si>
    <t>Number Across Run/Finish –  1/1
Where Finished –  On Press
Length per Roll/Unit – 335'
Core Type –  3" Plastic 0.10" HDPE
Core Width – 5"
Core Label – Yes
Dividers – 
Bag Size – 
Qty. Per Bag – 2 Rolls
Box Size –  16 x 16 x 16
Qty. Per Box – 2 M
Weight/box – 
Box Per Pallet – 
Pallet Type – </t>
  </si>
  <si>
    <t>Double bag the rolls
Box Size: 26 X 14 x 10</t>
  </si>
  <si>
    <t>Core  –  3" Plastic 0.10" HDPE
Width – 5"
Number Across Run/FInish –  1/1
Core Label – Yes
±10% –  Yes
Unwind Dir. Run – Parts In
Unwind Dir. Finish –  Parts In
Diecut/Continuous/Sheet –  Die Cut
Partial Case –  Yes
Pieces per roll/Unit – 500
Length per roll/unit –  335'
Finish – On Press
Application – </t>
  </si>
  <si>
    <t>3 Tape guides for this job Marked 7482 located in the Bolts drawer at D6.
AB 720 to be used for sensor/registration as a hold down for DA 613.</t>
  </si>
  <si>
    <t>50445 Cost of Goods Sold</t>
  </si>
  <si>
    <t>Die Cut Part Large and XL Cap 22.44" x 11.55"</t>
  </si>
  <si>
    <t>Dwg 2026 Rev C PN-61289</t>
  </si>
  <si>
    <t>Die Cut Part - Large and XL Cap  - 22.44" x 11.55"</t>
  </si>
  <si>
    <t>Number Across Run/Finish –  1/1
Where Finished –  On Press
Length per Roll/Unit – 380'
Core Type –  3" Paper (1/8" wall)
Core Width – 12.000"
Core Label – Yes
Dividers – 
Bag Size – 
Qty. Per Bag – 1 
Box Size –  Best Fit Per Qty
Qty. Per Box – 1 
Weight/box – 
Box Per Pallet – 
Pallet Type – </t>
  </si>
  <si>
    <t>Core  –  3" Paper (1/8" wall)
Width – 12.000"
Number Across Run/FInish –  1/1
Core Label – Yes
±10% –  Yes
Unwind Dir. Run – Parts Out
Unwind Dir. Finish –  Parts Out
Diecut/Continuous/Sheet –  Die Cut
Partial Case –  Yes
Pieces per roll/Unit – 200
Length per roll/unit –  380'
Finish – On Press
Application – </t>
  </si>
  <si>
    <t>50446 Cost of Goods Sold</t>
  </si>
  <si>
    <t>Die Cut Part 3M F9460PC 1.5" x 4.4"</t>
  </si>
  <si>
    <t>9460PC/1.5x4.4</t>
  </si>
  <si>
    <t>Die Cut Part - 3M F9460PC - 1.5" x 4.4"</t>
  </si>
  <si>
    <t>Number Across Run/Finish –  1/1
Where Finished –  On Press
Length per Roll/Unit – 70'
Core Type –  3" Paper 1/8" White Brown
Core Width – 5.000"
Core Label – Yes
Dividers – 
Bag Size – 
Qty. Per Bag – 2 Rolls
Box Size –  Custom-folding
Qty. Per Box – 4 Rolls
Weight/box – 
Box Per Pallet – 
Pallet Type – </t>
  </si>
  <si>
    <t>Core  –  3" Paper 1/8" White Brown
Width – 5.000"
Number Across Run/FInish –  1/1
Core Label – Yes
±10% –  Yes
Unwind Dir. Run – Parts Out
Unwind Dir. Finish –  Parts Out
Diecut/Continuous/Sheet –  Die Cut
Partial Case –  Yes
Pieces per roll/Unit – 500
Length per roll/unit –  70'
Finish – On Press
Application – </t>
  </si>
  <si>
    <t>50447 Cost of Goods Sold</t>
  </si>
  <si>
    <t>Sheeted Part 3M 7735 19.375" x 16"</t>
  </si>
  <si>
    <t>7493</t>
  </si>
  <si>
    <t>Sheeted Part - 3M 7735 - 19.375" x 16"</t>
  </si>
  <si>
    <t>Number Across Run/Finish –  1/1
Where Finished –  On Press
Length per Roll/Unit – 243'
Core Type –  N/A
Core Width – N/A
Core Label – No
Dividers – 
Bag Size – 
Qty. Per Bag – 150 
Box Size –  
Qty. Per Box – 150 
Weight/box – 
Box Per Pallet – 
Pallet Type – </t>
  </si>
  <si>
    <t>Core  –  N/A
Width – N/A
Number Across Run/FInish –  1/1
Core Label – No
±10% –  Yes
Unwind Dir. Run – N/A
Unwind Dir. Finish –  N/A
Diecut/Continuous/Sheet –  Sheet
Partial Case –  Yes
Pieces per roll/Unit – 1,000
Length per roll/unit –  243'
Finish – On Press
Application – </t>
  </si>
  <si>
    <t>50448 Cost of Goods Sold</t>
  </si>
  <si>
    <t>Die Cut pull strip set For use on job ticket 7482 8" repeat</t>
  </si>
  <si>
    <t>7482</t>
  </si>
  <si>
    <t>Die Cut pull strip set - For use on job ticket 7482 - 8" repeat</t>
  </si>
  <si>
    <t>Number Across Run/Finish –  1/1
Where Finished –  On Press
Length per Roll/Unit – 
Core Type –  3" Plastic 0.10" HDPE
Core Width – 5"
Core Label – Yes
Dividers – 
Bag Size – 
Qty. Per Bag – 2 Rolls
Box Size –  14 x 14 x 8
Qty. Per Box – 4 Rolls
Weight/box – 
Box Per Pallet – 
Pallet Type – </t>
  </si>
  <si>
    <t>This creates CAT# 22613 for use on JT 7482
Package for use in the clean room.</t>
  </si>
  <si>
    <t>Core  –  3" Plastic 0.10" HDPE
Width – 5"
Number Across Run/FInish –  1/1
Core Label – Yes
±10% –  Yes
Unwind Dir. Run – N/A
Unwind Dir. Finish –  N/A
Diecut/Continuous/Sheet –  Continuous Die Cut
Partial Case –  Yes
Pieces per roll/Unit – 1 Roll
Length per roll/unit –  
Finish – On Press
Application – </t>
  </si>
  <si>
    <t>Be sure to run 500-1000 additional ft. of product for setup in the final lamination.</t>
  </si>
  <si>
    <t>50449 Cost of Goods Sold</t>
  </si>
  <si>
    <t>Slit Roll Tape, Masking, Hi Temp, 3M 2364 2.0" x 60Yd</t>
  </si>
  <si>
    <t>1011920328</t>
  </si>
  <si>
    <t>Slit Roll - Tape, Masking, Hi Temp, 3M 2364 - 2.0" x 60Yd</t>
  </si>
  <si>
    <t>50450 Cost of Goods Sold</t>
  </si>
  <si>
    <t>Tail Adh Strips - 16cm Ver. 2 For use on JT 7482 0.625" wide</t>
  </si>
  <si>
    <t>7500</t>
  </si>
  <si>
    <t>Tail Adh Strips - 16cm Ver. 2 - For use on JT 7482 - 0.625" wide</t>
  </si>
  <si>
    <t>Number Across Run/Finish –  7/1
Where Finished –  On Press
Length per Roll/Unit – 1,080'
Core Type –  3" Plastic 0.10" HDPE
Core Width – 0.625"
Core Label – 
Dividers – Paper
Bag Size – 
Qty. Per Bag – 2 Rolls
Box Size –  
Qty. Per Box – 4 Rolls
Weight/box – 
Box Per Pallet – 
Pallet Type – </t>
  </si>
  <si>
    <t>Package for use in the clean room.
This JT creates CAT# 18305 for use on JT 7482 that requires 1 per part.</t>
  </si>
  <si>
    <t>Core  –  3" Plastic 0.10" HDPE
Width – 0.625"
Number Across Run/FInish –  7/1
Core Label – 
±10% –  Yes
Unwind Dir. Run – Blue Out
Unwind Dir. Finish –  Blue Out
Diecut/Continuous/Sheet –  Continuous
Partial Case –  Yes
Pieces per roll/Unit – 
Length per roll/unit –  1,080'
Finish – On Press
Application – </t>
  </si>
  <si>
    <t>This creates CAT# 18305 for JT 7482 that requires 1 per part. Special splicing required, See Splicing diagram in JJ.</t>
  </si>
  <si>
    <t>50451 Cost of Goods Sold</t>
  </si>
  <si>
    <t>Anchor Adh Strips -16cm Ver. 2 For use on JT 7482 0.375"</t>
  </si>
  <si>
    <t>7501</t>
  </si>
  <si>
    <t>Anchor Adh Strips -16cm Ver. 2 - For use on JT 7482 - 0.375"</t>
  </si>
  <si>
    <t>Number Across Run/Finish –  12/1
Where Finished –  On Press
Length per Roll/Unit – 1,080'
Core Type –  3" Plastic 0.10" HDPE
Core Width – 0.375"
Core Label – 
Dividers – Paper
Bag Size – 
Qty. Per Bag – 2 Rolls
Box Size –  12 x 12 x 4
Qty. Per Box – 4 Rolls
Weight/box – 
Box Per Pallet – 
Pallet Type – </t>
  </si>
  <si>
    <t>Core  –  3" Plastic 0.10" HDPE
Width – 0.375"
Number Across Run/FInish –  12/1
Core Label – 
±10% –  Yes
Unwind Dir. Run – Blue Out
Unwind Dir. Finish –  Blue Out
Diecut/Continuous/Sheet –  Continuous
Partial Case –  Yes
Pieces per roll/Unit – 1 Roll
Length per roll/unit –  1,080'
Finish – On Press
Application – </t>
  </si>
  <si>
    <t>This creates CAT# 18306 for JT 7482 that requires 1 per part.
Special splicing required, See Splicing diagram in JJ.</t>
  </si>
  <si>
    <t>50452 Cost of Goods Sold</t>
  </si>
  <si>
    <t>Sheeted Part C1UL D Pillar - RH 6.98" x 1.3"</t>
  </si>
  <si>
    <t>320825</t>
  </si>
  <si>
    <t>Sheeted Part - C1UL D Pillar - RH - 6.98" x 1.3"</t>
  </si>
  <si>
    <t>Number Across Run/Finish –  1/1
Where Finished –  On Press
Length per Roll/Unit – 179'
Core Type –  N/A
Core Width – N/A
Core Label – Yes
Dividers – Cardboard
Bag Size – 
Qty. Per Bag – 300 Parts
Box Size –  9 x 9 x 13
Qty. Per Box – 2 M
Weight/box – 
Box Per Pallet – 
Pallet Type – </t>
  </si>
  <si>
    <t>Dividers between layers</t>
  </si>
  <si>
    <t>Core  –  N/A
Width – N/A
Number Across Run/FInish –  1/1
Core Label – Yes
±10% –  Yes
Unwind Dir. Run – N/A
Unwind Dir. Finish –  N/A
Diecut/Continuous/Sheet –  Die Cut Sheet
Partial Case –  Yes
Pieces per roll/Unit – 300
Length per roll/unit –  179'
Finish – On Press
Application – </t>
  </si>
  <si>
    <t>50453 Cost of Goods Sold</t>
  </si>
  <si>
    <t>Butt Cut Part 3M 93020LE 19mm x 135mm</t>
  </si>
  <si>
    <t>1060056-00-A</t>
  </si>
  <si>
    <t>Butt Cut Part - 3M 93020LE - 19mm x 135mm</t>
  </si>
  <si>
    <t>Number Across Run/Finish –  1/1
Where Finished –  On Press
Length per Roll/Unit – 175'
Core Type –  3" Paper 1/8" White Brown
Core Width – 6.2"
Core Label – Yes
Dividers – 
Bag Size – 
Qty. Per Bag – 2 Rolls
Box Size –  12 x 12 x 4
Qty. Per Box – 2 Rolls
Weight/box – 
Box Per Pallet – 
Pallet Type – </t>
  </si>
  <si>
    <t>Include both 3M and Strouse certs with shipment
Wind rolls very loose!</t>
  </si>
  <si>
    <t>Core  –  3" Paper 1/8" White Brown
Width – 6.2"
Number Across Run/FInish –  1/1
Core Label – Yes
±10% –  Yes
Unwind Dir. Run – Parts Out
Unwind Dir. Finish –  Parts Out
Diecut/Continuous/Sheet –  Die Cut
Partial Case –  Yes
Pieces per roll/Unit – 2,800
Length per roll/unit –  175'
Finish – On Press
Application – </t>
  </si>
  <si>
    <t>Use oiler roller with Cevi juice on butt cutter.  Wind rolls very loose!
Setup with pvc on operator side.  Does not match current Drawing.  Ok per MDC.</t>
  </si>
  <si>
    <t>50454 Cost of Goods Sold</t>
  </si>
  <si>
    <t>Die Cut Adh Preform Top PSA preform 9.45mm x 18.2mm</t>
  </si>
  <si>
    <t>2PMH00689</t>
  </si>
  <si>
    <t>Die Cut Adh Preform - Top PSA preform - 9.45mm x 18.2mm</t>
  </si>
  <si>
    <t>Number Across Run/Finish –  1/1
Where Finished –  Off Press
Length per Roll/Unit – 524'
Core Type –  3" Plastic 0.10" HDPE
Core Width – 38.1 mm
Core Label – Yes
Dividers – Lexmark style
Bag Size – 
Qty. Per Bag – 1 Roll
Box Size –  14 x 14 x 8
Qty. Per Box – 25 M
Weight/box – 3
Box Per Pallet – 
Pallet Type – </t>
  </si>
  <si>
    <t>Rewind Direction Note:
Hold the roll in your RIGHT hand and unwind roll from the top going to the LEFT.  The TAB should be on the BOTTOM and the FATTEST leg should be on the LEFT, with a 3' leader.
Parts Out.  12,500 parts (524 ft) per roll.
Rolls not to exceed 12"
For CEBU shipments - MUST USE PLASTIC PALLETS</t>
  </si>
  <si>
    <t>Core  –  3" Plastic 0.10" HDPE
Width – 38.1 mm
Number Across Run/FInish –  1/1
Core Label – Yes
±10% –  Yes
Unwind Dir. Run – See Drawing
Unwind Dir. Finish –  See Drawing
Diecut/Continuous/Sheet –  Die Cut
Partial Case –  Yes
Pieces per roll/Unit – 12,500
Length per roll/unit –  524'
Finish – Off Press
Application – </t>
  </si>
  <si>
    <t>50455 Cost of Goods Sold</t>
  </si>
  <si>
    <t>Slit Rolls 3M 9672 48" x 540'</t>
  </si>
  <si>
    <t>Slit Rolls - 3M 9672 - 48" x 540'</t>
  </si>
  <si>
    <t>Number Across Run/Finish –  1/
Where Finished –  Off Press
Length per Roll/Unit – 540
Core Type –  N/A
Core Width – As Rec'd
Core Label – 
Dividers – 
Bag Size – 
Qty. Per Bag – As Received 
Box Size –  14 x 14 x 8
Qty. Per Box – As Received 
Weight/box – 0
Box Per Pallet – 
Pallet Type – </t>
  </si>
  <si>
    <t>BOXED ITEM
Include MFG. Cert.</t>
  </si>
  <si>
    <t>Core  –  N/A
Width – As Rec'd
Number Across Run/FInish –  1/
Core Label – 
±10% –  No
Unwind Dir. Run – 
Unwind Dir. Finish –  
Diecut/Continuous/Sheet –  Continuous
Partial Case –  No
Pieces per roll/Unit – 
Length per roll/unit –  540
Finish – Off Press
Application – </t>
  </si>
  <si>
    <t>50456 Cost of Goods Sold</t>
  </si>
  <si>
    <t>Slit Rolls 3M 2460, Masking 2.0" x 180'</t>
  </si>
  <si>
    <t>580000682</t>
  </si>
  <si>
    <t>Slit Rolls - 3M 2460, Masking - 2.0" x 180'</t>
  </si>
  <si>
    <t>Number Across Run/Finish –  1/
Where Finished –  Off Press
Length per Roll/Unit – 180
Core Type –  
Core Width – As Rec'd
Core Label – 
Dividers – 
Bag Size – 
Qty. Per Bag – As Received 
Box Size –  14 x 14 x 8
Qty. Per Box – As Received 
Weight/box – 
Box Per Pallet – 
Pallet Type – </t>
  </si>
  <si>
    <t>Core  –  
Width – As Rec'd
Number Across Run/FInish –  1/
Core Label – 
±10% –  No
Unwind Dir. Run – 
Unwind Dir. Finish –  
Diecut/Continuous/Sheet –  Continuous
Partial Case –  No
Pieces per roll/Unit – 
Length per roll/unit –  180
Finish – Off Press
Application – </t>
  </si>
  <si>
    <t>50457 Cost of Goods Sold</t>
  </si>
  <si>
    <t xml:space="preserve">Slit Rolls 24S56W perfed every 10" </t>
  </si>
  <si>
    <t>24S56W</t>
  </si>
  <si>
    <t>Slit Rolls - 24S56W perfed every 10"</t>
  </si>
  <si>
    <t>Number Across Run/Finish –  1/
Where Finished –  Off Press
Length per Roll/Unit – 656
Core Type –  N/A
Core Width – As Rec'd
Core Label – 
Dividers – 
Bag Size – 
Qty. Per Bag – As Received 
Box Size –  13 x 13 x 13
Qty. Per Box – As Received 
Weight/box – 
Box Per Pallet – 
Pallet Type – </t>
  </si>
  <si>
    <t>Core  –  N/A
Width – As Rec'd
Number Across Run/FInish –  1/
Core Label – 
±10% –  No
Unwind Dir. Run – 
Unwind Dir. Finish –  
Diecut/Continuous/Sheet –  Continuous
Partial Case –  No
Pieces per roll/Unit – 
Length per roll/unit –  656
Finish – Off Press
Application – </t>
  </si>
  <si>
    <t>50458 Cost of Goods Sold</t>
  </si>
  <si>
    <t>Die Cut Part 3M 401+ with tab 38mm x 70mm</t>
  </si>
  <si>
    <t>401+70mmx38mm/tab</t>
  </si>
  <si>
    <t>Die Cut Part - 3M 401+ with tab - 38mm x 70mm</t>
  </si>
  <si>
    <t>Number Across Run/Finish –  1/1
Where Finished –  On Press
Length per Roll/Unit – 196'
Core Type –  3" Paper 1/8" White Brown
Core Width – 4"
Core Label – Yes
Dividers – 
Bag Size – 
Qty. Per Bag – 3 Rolls
Box Size –  13 x 13 x 13
Qty. Per Box – 15 M
Weight/box – 
Box Per Pallet – 
Pallet Type – </t>
  </si>
  <si>
    <t>Core  –  3" Paper 1/8" White Brown
Width – 4"
Number Across Run/FInish –  1/1
Core Label – Yes
±10% –  Yes
Unwind Dir. Run – Parts Out
Unwind Dir. Finish –  Parts Out
Diecut/Continuous/Sheet –  Die Cut
Partial Case –  Yes
Pieces per roll/Unit – 1,250
Length per roll/unit –  196'
Finish – On Press
Application – </t>
  </si>
  <si>
    <t>50459 Cost of Goods Sold</t>
  </si>
  <si>
    <t>Die Cut Part 3M 6038PC with tab 40mm x 72mm</t>
  </si>
  <si>
    <t>6038PC72mmx40mm/tab</t>
  </si>
  <si>
    <t>Die Cut Part - 3M 6038PC with tab - 40mm x 72mm</t>
  </si>
  <si>
    <t>Number Across Run/Finish –  1/1
Where Finished –  On Press
Length per Roll/Unit – 157'
Core Type –  3" Paper 1/8" White Brown
Core Width – 4.25"
Core Label – Yes
Dividers – 
Bag Size – 
Qty. Per Bag – 1 Roll
Box Size –  14 1/4 x 8 3/4  x 12 5/8
Qty. Per Box – 12 M
Weight/box – 
Box Per Pallet – 
Pallet Type – </t>
  </si>
  <si>
    <t>Core  –  3" Paper 1/8" White Brown
Width – 4.25"
Number Across Run/FInish –  1/1
Core Label – Yes
±10% –  Yes
Unwind Dir. Run – Parts Out
Unwind Dir. Finish –  Parts Out
Diecut/Continuous/Sheet –  Die Cut
Partial Case –  Yes
Pieces per roll/Unit – 1,000
Length per roll/unit –  157'
Finish – On Press
Application – </t>
  </si>
  <si>
    <t>Wind rolls loose</t>
  </si>
  <si>
    <t>50460 Cost of Goods Sold</t>
  </si>
  <si>
    <t>Sheeted Part Natural Adh. Patch 304.8mm x 219.1mm</t>
  </si>
  <si>
    <t>OP-6002051-B</t>
  </si>
  <si>
    <t>Sheeted Part - Natural Adh. Patch - 304.8mm x 219.1mm</t>
  </si>
  <si>
    <t>Number Across Run/Finish –  2/1
Where Finished –  On Press
Length per Roll/Unit – 1 Sheet
Core Type –  N/A
Core Width – N/A
Core Label – No
Dividers – 
Bag Size – 
Qty. Per Bag – 
Box Size –  14 x 14 x 8
Qty. Per Box – 100 Each
Weight/box – 
Box Per Pallet – 
Pallet Type – </t>
  </si>
  <si>
    <t>Include Strouse cert: with adhesive expiration date.</t>
  </si>
  <si>
    <t>Core  –  N/A
Width – N/A
Number Across Run/FInish –  2/1
Core Label – No
±10% –  Yes
Unwind Dir. Run – N/A
Unwind Dir. Finish –  N/A
Diecut/Continuous/Sheet –  Die Cut Sheet
Partial Case –  Yes
Pieces per roll/Unit – 10
Length per roll/unit –  1 Sheet
Finish – On Press
Application – </t>
  </si>
  <si>
    <t>50461 Cost of Goods Sold</t>
  </si>
  <si>
    <t>Slit Roll Tape, Box Sealing, 3M Manufacturing &amp; Industry #375 Clear 2" x 60Yd</t>
  </si>
  <si>
    <t>48M4710322</t>
  </si>
  <si>
    <t>Slit Roll - Tape, Box Sealing, 3M Manufacturing &amp; Industry #375 Clear - 2" x 60Yd</t>
  </si>
  <si>
    <t>Number Across Run/Finish –  1/
Where Finished –  Off Press
Length per Roll/Unit – 180
Core Type –  N/A
Core Width – As Rec'd
Core Label – 
Dividers – 
Bag Size – 
Qty. Per Bag – As Received 
Box Size –  12 x 12 x 12
Qty. Per Box – As Received 
Weight/box – 
Box Per Pallet – 
Pallet Type – </t>
  </si>
  <si>
    <t>Core  –  N/A
Width – As Rec'd
Number Across Run/FInish –  1/
Core Label – 
±10% –  
Unwind Dir. Run – 
Unwind Dir. Finish –  
Diecut/Continuous/Sheet –  
Partial Case –  
Pieces per roll/Unit – 
Length per roll/unit –  180
Finish – Off Press
Application – </t>
  </si>
  <si>
    <t>50462 Cost of Goods Sold</t>
  </si>
  <si>
    <t>Slit Roll Tape, Black Carton Sealing, 20 rolls per case 2" x 60Yd</t>
  </si>
  <si>
    <t>ST-1567</t>
  </si>
  <si>
    <t>Slit Roll - Tape, Black Carton Sealing, 20 rolls per case - 2" x 60Yd</t>
  </si>
  <si>
    <t>Number Across Run/Finish –  14/1
Where Finished –  On Press
Length per Roll/Unit – 180'
Core Type –  3" Plastic 0.10" HDPE
Core Width – 2.00"
Core Label – No
Dividers – 
Bag Size – 
Qty. Per Bag – 5 Rolls
Box Size –  10 x 10 x 10
Qty. Per Box – 20 Rolls
Weight/box – 
Box Per Pallet – 
Pallet Type – </t>
  </si>
  <si>
    <t>Core  –  3" Plastic 0.10" HDPE
Width – 2.00"
Number Across Run/FInish –  14/1
Core Label – No
±10% –  No
Unwind Dir. Run – Adh. In
Unwind Dir. Finish –  Adh. In
Diecut/Continuous/Sheet –  Continuous
Partial Case –  No
Pieces per roll/Unit – 1 Roll
Length per roll/unit –  180'
Finish – On Press
Application – </t>
  </si>
  <si>
    <t>50463 Cost of Goods Sold</t>
  </si>
  <si>
    <t>Sheeted Part 3M 1774T 1.5" x 1.875"</t>
  </si>
  <si>
    <t>7553</t>
  </si>
  <si>
    <t>Sheet</t>
  </si>
  <si>
    <t>Sheeted Part - 3M 1774T - 1.5" x 1.875"</t>
  </si>
  <si>
    <t>Number Across Run/Finish –  1/1
Where Finished –  On Press
Length per Roll/Unit – 7'
Core Type –  N/A
Core Width – N/A
Core Label – No
Dividers – 
Bag Size – 
Qty. Per Bag – 50 Sheets
Box Size –  14 x 14 x 8
Qty. Per Box – 4,000 Each
Weight/box – 
Box Per Pallet – 
Pallet Type – </t>
  </si>
  <si>
    <t>Part is sold by the SHEET.  Each sheet has 4 parts on it.</t>
  </si>
  <si>
    <t>Core  –  N/A
Width – N/A
Number Across Run/FInish –  1/1
Core Label – No
±10% –  Yes
Unwind Dir. Run – N/A
Unwind Dir. Finish –  N/A
Diecut/Continuous/Sheet –  Die Cut Sheet
Partial Case –  Yes
Pieces per roll/Unit – 50
Length per roll/unit –  7'
Finish – On Press
Application – </t>
  </si>
  <si>
    <t xml:space="preserve">Part is sold by the SHEET.  Each sheet as 4 parts on it.
Note: As an alternate, this job has run on A2 in the past, might be worth trying to run there again since the press problem is fixed. </t>
  </si>
  <si>
    <t>50464 Cost of Goods Sold</t>
  </si>
  <si>
    <t>Slit Rolls Tape, Masking, Hi Temp, 3M Mfg. &amp; Ind. #2693 2" x 60Yd</t>
  </si>
  <si>
    <t>1011649281</t>
  </si>
  <si>
    <t>Slit Rolls - Tape, Masking, Hi Temp, 3M Mfg. &amp; Ind. #2693 - 2" x 60Yd</t>
  </si>
  <si>
    <t>Number Across Run/Finish –  1/
Where Finished –  Off Press
Length per Roll/Unit – 180
Core Type –  N/A
Core Width – As Rec'd
Core Label – 
Dividers – 
Bag Size – 
Qty. Per Bag – As Received 
Box Size –  19-1/2 X 19-1/2 X 4
Qty. Per Box – As Received 
Weight/box – 0
Box Per Pallet – 
Pallet Type – </t>
  </si>
  <si>
    <t>Core  –  N/A
Width – As Rec'd
Number Across Run/FInish –  1/
Core Label – 
±10% –  No
Unwind Dir. Run – 
Unwind Dir. Finish –  
Diecut/Continuous/Sheet –  Continuous
Partial Case –  No
Pieces per roll/Unit – 
Length per roll/unit –  180
Finish – Off Press
Application – </t>
  </si>
  <si>
    <t>50465 Cost of Goods Sold</t>
  </si>
  <si>
    <t>Sheeted Part C1UL Wheel Flare - Long 17.468" x 1.002"</t>
  </si>
  <si>
    <t>320838</t>
  </si>
  <si>
    <t>Sheeted Part - C1UL Wheel Flare - Long - 17.468" x 1.002"</t>
  </si>
  <si>
    <t>Number Across Run/Finish –  3/1
Where Finished –  On Press
Length per Roll/Unit – 148'
Core Type –  N/A
Core Width – N/A
Core Label – Yes
Dividers – Cardboard
Bag Size – 
Qty. Per Bag – 300 Parts
Box Size –  10 x 10 x 10
Qty. Per Box – 2 M
Weight/box – 
Box Per Pallet – 
Pallet Type – </t>
  </si>
  <si>
    <t>DO NOT STACK PARTS IN BAG. 8 BAGS IN BOX WITH DIVIDER IN BETWEEN EACH LAYER. 2 BAGS PER LAYER.</t>
  </si>
  <si>
    <t>Core  –  N/A
Width – N/A
Number Across Run/FInish –  3/1
Core Label – Yes
±10% –  Yes
Unwind Dir. Run – N/A
Unwind Dir. Finish –  N/A
Diecut/Continuous/Sheet –  Die Cut Sheet
Partial Case –  Yes
Pieces per roll/Unit – 300
Length per roll/unit –  148'
Finish – On Press
Application – </t>
  </si>
  <si>
    <t>50466 Cost of Goods Sold</t>
  </si>
  <si>
    <t>Sheeted Part C1UL Wheel Flare Short 8.252" x 1.016"</t>
  </si>
  <si>
    <t>320839</t>
  </si>
  <si>
    <t>Sheeted Part - C1UL Wheel Flare Short - 8.252" x 1.016"</t>
  </si>
  <si>
    <t>Number Across Run/Finish –  3/1
Where Finished –  On Press
Length per Roll/Unit – 72'
Core Type –  N/A
Core Width – N/A
Core Label – Yes
Dividers – Cardboard
Bag Size – 
Qty. Per Bag – 300 Parts
Box Size –  14 x 14 x 8
Qty. Per Box – 4 M
Weight/box – 
Box Per Pallet – 
Pallet Type – </t>
  </si>
  <si>
    <t>300 IN BAG.  3,600 PER BOX.  DIVIDER IN BETWEEN EACH LAYER</t>
  </si>
  <si>
    <t>Core  –  N/A
Width – N/A
Number Across Run/FInish –  3/1
Core Label – Yes
±10% –  Yes
Unwind Dir. Run – N/A
Unwind Dir. Finish –  N/A
Diecut/Continuous/Sheet –  Die Cut Sheet
Partial Case –  Yes
Pieces per roll/Unit – 300
Length per roll/unit –  72'
Finish – On Press
Application – </t>
  </si>
  <si>
    <t>2/19/16 - Next run the operator is to pack in bags and box at press. Try running parts directly into bag, if not successful make a slide to catch the parts then slide off into the bag. MS</t>
  </si>
  <si>
    <t>50467 Cost of Goods Sold</t>
  </si>
  <si>
    <t>Slit Rolls ATP, DC-PEF06A Black 0.5" x 36Yd</t>
  </si>
  <si>
    <t>895233</t>
  </si>
  <si>
    <t>Slit Rolls - ATP, DC-PEF06A Black  - 0.5" x 36Yd</t>
  </si>
  <si>
    <t>Number Across Run/Finish –  1/
Where Finished –  Off Press
Length per Roll/Unit – 108
Core Type –  N/A
Core Width – 
Core Label – 
Dividers – 
Bag Size – 
Qty. Per Bag – As Received 
Box Size –  12 x 12 x 4
Qty. Per Box – As Received 
Weight/box – 
Box Per Pallet – 
Pallet Type – </t>
  </si>
  <si>
    <t>Core  –  N/A
Width – 
Number Across Run/FInish –  1/
Core Label – 
±10% –  No
Unwind Dir. Run – Adh. In
Unwind Dir. Finish –  
Diecut/Continuous/Sheet –  Continuous
Partial Case –  No
Pieces per roll/Unit – 
Length per roll/unit –  108
Finish – Off Press
Application – </t>
  </si>
  <si>
    <t>50468 Cost of Goods Sold</t>
  </si>
  <si>
    <t>Sheeted Part C1UL Spoiler Die cut #1 2.2754" x 5.3404"</t>
  </si>
  <si>
    <t>C1UL Spoiler Die cut #1</t>
  </si>
  <si>
    <t>Sheeted Part - C1UL Spoiler Die cut #1 - 2.2754" x 5.3404"</t>
  </si>
  <si>
    <t>Number Across Run/Finish –  1/1
Where Finished –  On Press
Length per Roll/Unit – 47'
Core Type –  N/A
Core Width – N/A
Core Label – Yes - on bag
Dividers – Cardboard
Bag Size – 
Qty. Per Bag – 300 Parts
Box Size –  13 x 13 x 13
Qty. Per Box – 2 M
Weight/box – 
Box Per Pallet – 
Pallet Type – </t>
  </si>
  <si>
    <t>Core  –  N/A
Width – N/A
Number Across Run/FInish –  1/1
Core Label – Yes - on bag
±10% –  Yes
Unwind Dir. Run – N/A
Unwind Dir. Finish –  N/A
Diecut/Continuous/Sheet –  Die Cut Sheet
Partial Case –  Yes
Pieces per roll/Unit – 300
Length per roll/unit –  47'
Finish – On Press
Application – </t>
  </si>
  <si>
    <t>50469 Cost of Goods Sold</t>
  </si>
  <si>
    <t>Die Cut Part C1UL Spoiler Die cut #2 3.682" x 5.75"</t>
  </si>
  <si>
    <t>320880</t>
  </si>
  <si>
    <t>Die Cut Part - C1UL Spoiler Die cut #2 - 3.682" x 5.75"</t>
  </si>
  <si>
    <t>Number Across Run/Finish –  1/1
Where Finished –  On Press
Length per Roll/Unit – 443'
Core Type –  3" Paper 1/8" Strouse Brown
Core Width – 6.25"
Core Label – Yes
Dividers – 
Bag Size – 
Qty. Per Bag – 1 Roll
Box Size –  13 x 13 x 13
Qty. Per Box – 4 Rolls
Weight/box – 
Box Per Pallet – 
Pallet Type – </t>
  </si>
  <si>
    <t>Core  –  3" Paper 1/8" Strouse Brown
Width – 6.25"
Number Across Run/FInish –  1/1
Core Label – Yes
±10% –  Yes
Unwind Dir. Run – Parts Out
Unwind Dir. Finish –  Parts Out
Diecut/Continuous/Sheet –  Die Cut
Partial Case –  Yes
Pieces per roll/Unit – 2,500
Length per roll/unit –  443'
Finish – On Press
Application – </t>
  </si>
  <si>
    <t xml:space="preserve">If running with 4735L - Use 1 mil step down anvil.
</t>
  </si>
  <si>
    <t>50470 Cost of Goods Sold</t>
  </si>
  <si>
    <t>Die Cut Part C1UL Spoiler Die cut #3 7.21" x 5.75"</t>
  </si>
  <si>
    <t>320879</t>
  </si>
  <si>
    <t>Die Cut Part - C1UL Spoiler Die cut #3 - 7.21" x 5.75"</t>
  </si>
  <si>
    <t>Number Across Run/Finish –  1/1
Where Finished –  On Press
Length per Roll/Unit – 323'
Core Type –  3" Paper 1/8" Strouse Brown
Core Width – 6.25"
Core Label – Yes
Dividers – 
Bag Size – 
Qty. Per Bag – 2 Rolls
Box Size –  12 x 12 x 4
Qty. Per Box – 8 M
Weight/box – 
Box Per Pallet – 
Pallet Type – </t>
  </si>
  <si>
    <t>Core  –  3" Paper 1/8" Strouse Brown
Width – 6.25"
Number Across Run/FInish –  1/1
Core Label – Yes
±10% –  Yes
Unwind Dir. Run – Parts Out
Unwind Dir. Finish –  Parts Out
Diecut/Continuous/Sheet –  Die Cut
Partial Case –  Yes
Pieces per roll/Unit – 1,000
Length per roll/unit –  323'
Finish – On Press
Application – </t>
  </si>
  <si>
    <t>If running with 4735L - Use 1 mil step down anvil.</t>
  </si>
  <si>
    <t>50471 Cost of Goods Sold</t>
  </si>
  <si>
    <t>Sheeted Part C1UL Spoiler Die cut #4 4.0831" x 7.3397"</t>
  </si>
  <si>
    <t>C1UL Spoiler Die cut #4</t>
  </si>
  <si>
    <t>Sheeted Part - C1UL Spoiler Die cut #4 - 4.0831" x 7.3397"</t>
  </si>
  <si>
    <t>Number Across Run/Finish –  1/1
Where Finished –  On Press
Length per Roll/Unit – 69'
Core Type –  N/A
Core Width – N/A
Core Label – Yes - on bag
Dividers – Cardboard
Bag Size – 
Qty. Per Bag – 300 Parts
Box Size –  10 x 10 x 10
Qty. Per Box – 2 M
Weight/box – 
Box Per Pallet – 
Pallet Type – </t>
  </si>
  <si>
    <t>Core  –  N/A
Width – N/A
Number Across Run/FInish –  1/1
Core Label – Yes - on bag
±10% –  Yes
Unwind Dir. Run – N/A
Unwind Dir. Finish –  N/A
Diecut/Continuous/Sheet –  Die Cut Sheet
Partial Case –  Yes
Pieces per roll/Unit – 300
Length per roll/unit –  69'
Finish – On Press
Application – </t>
  </si>
  <si>
    <t>50472 Cost of Goods Sold</t>
  </si>
  <si>
    <t>Die Cut Part Metallic Foil 0.47" x 2.35"</t>
  </si>
  <si>
    <t>51-0047B</t>
  </si>
  <si>
    <t>Die Cut Part - Metallic Foil - 0.47" x 2.35"</t>
  </si>
  <si>
    <t>Number Across Run/Finish –  1/1
Where Finished –  On Press
Length per Roll/Unit – 131'
Core Type –  3" Paper (1/8" wall)
Core Width – 2.83"
Core Label – Yes
Dividers – 
Bag Size – 
Qty. Per Bag – 2 Rolls
Box Size –  10 x 10 x 10
Qty. Per Box – 2 Rolls
Weight/box – 
Box Per Pallet – 
Pallet Type – </t>
  </si>
  <si>
    <t>Core  –  3" Paper (1/8" wall)
Width – 2.83"
Number Across Run/FInish –  1/1
Core Label – Yes
±10% –  Yes
Unwind Dir. Run – Parts Out
Unwind Dir. Finish –  Parts Out
Diecut/Continuous/Sheet –  Die Cut
Partial Case –  Yes
Pieces per roll/Unit – 2,500
Length per roll/unit –  131'
Finish – On Press
Application – </t>
  </si>
  <si>
    <t>50473 Cost of Goods Sold</t>
  </si>
  <si>
    <t>Slit Tape ST-1453 Fine line Ditch masking 1" x 36Yd</t>
  </si>
  <si>
    <t>31 311 08</t>
  </si>
  <si>
    <t>Slit Tape - ST-1453 Fine line Ditch masking - 1" x 36Yd</t>
  </si>
  <si>
    <t>Number Across Run/Finish –  47/1
Where Finished –  On Press
Length per Roll/Unit – 36 Yd
Core Type –  3" Plastic 0.10" HDPE
Core Width – 1.0"
Core Label – No
Dividers – Paper 
Bag Size – 
Qty. Per Bag – 9 Rolls
Box Size –  10 x 10 x 10
Qty. Per Box – 36 Rolls
Weight/box – 
Box Per Pallet – 
Pallet Type – </t>
  </si>
  <si>
    <t>Core  –  3" Plastic 0.10" HDPE
Width – 1.0"
Number Across Run/FInish –  47/1
Core Label – No
±10% –  No
Unwind Dir. Run – Adh. In 
Unwind Dir. Finish –  Adh. In
Diecut/Continuous/Sheet –  Continuous
Partial Case –  Yes
Pieces per roll/Unit – 1 Roll
Length per roll/unit –  36 Yd
Finish – On Press
Application – </t>
  </si>
  <si>
    <t>50474 Cost of Goods Sold</t>
  </si>
  <si>
    <t>Sheeted Part Black Roof Rear Driver 6" x 5.79"</t>
  </si>
  <si>
    <t>1013569069</t>
  </si>
  <si>
    <t>Sheeted Part - Black Roof Rear Driver - 6" x 5.79"</t>
  </si>
  <si>
    <t>Number Across Run/Finish –  2/1
Where Finished –  On Press
Length per Roll/Unit – 26'
Core Type –  N/A
Core Width – N/A
Core Label – Yes - on bag
Dividers – 
Bag Size – 
Qty. Per Bag – 100 
Box Size –  12 x 12 x 10
Qty. Per Box – 3,000 
Weight/box – 
Box Per Pallet – 
Pallet Type – </t>
  </si>
  <si>
    <t>Bag label format:  JJ 7596 - Core</t>
  </si>
  <si>
    <t>Core  –  N/A
Width – N/A
Number Across Run/FInish –  2/1
Core Label – Yes - on bag
±10% –  No
Unwind Dir. Run – N/A
Unwind Dir. Finish –  N/A
Diecut/Continuous/Sheet –  Die Cut Sheet
Partial Case –  Yes
Pieces per roll/Unit – 100
Length per roll/unit –  26'
Finish – On Press
Application – </t>
  </si>
  <si>
    <t>Use Film III Jet Black, add 1 oz alcohol to ink in pan to gt dry so it sticks.
Use geared nip as shown in pictures.</t>
  </si>
  <si>
    <t>50475 Cost of Goods Sold</t>
  </si>
  <si>
    <t>Sheeted Part Black Roof Rear Passenger 6" x 5.79"</t>
  </si>
  <si>
    <t>1013569068</t>
  </si>
  <si>
    <t>Sheeted Part - Black Roof Rear Passenger - 6" x 5.79"</t>
  </si>
  <si>
    <t>Number Across Run/Finish –  2/1
Where Finished –  On Press
Length per Roll/Unit – 26'
Core Type –  N/A
Core Width – N/A
Core Label – Yes - on bag
Dividers – 
Bag Size – 
Qty. Per Bag – 100 Each
Box Size –  16 1/2 x 8 1/2 x 13
Qty. Per Box – 3,000 Each
Weight/box – 
Box Per Pallet – 
Pallet Type – </t>
  </si>
  <si>
    <t>Bag label format:  JJ 7597 - Core</t>
  </si>
  <si>
    <t>Use Film III Jet Black, add 1 oz alcohol to ink in pan to gt dry so it sticks.  Use a "wheel mask" box to catch the parts off press. Use geared nip as shown in pictures in JJ 7596.</t>
  </si>
  <si>
    <t>50476 Cost of Goods Sold</t>
  </si>
  <si>
    <t>Die Cut Part CSM Cu/Tin/PET w/ Adh. Laminate 0.75" x 6.818"</t>
  </si>
  <si>
    <t>DIECUTCSM340088001C</t>
  </si>
  <si>
    <t>Die Cut Part - CSM Cu/Tin/PET w/ Adh. Laminate - 0.75" x 6.818"</t>
  </si>
  <si>
    <t>Number Across Run/Finish –  1/1
Where Finished –  Off Press
Length per Roll/Unit – See WO
Core Type –  3" Plastic
Core Width – 6"
Core Label – Yes in core and on outside of roll.
Dividers – 
Bag Size – 
Qty. Per Bag – 1 Roll
Box Size –  10 x 10 x 10
Qty. Per Box – 
Weight/box – 
Box Per Pallet – 
Pallet Type – </t>
  </si>
  <si>
    <t>- Bag each roll and insert square end plugs before boxing.
- Tape the end caps to prevent separation during handling.
- Use special core label format "Materion Core Label" (In core and on outside of roll).
(Box Labels and Core labels need CSM Lot Number).
- ROLLS TO BE WOUND TIGHT; TO PREVENT SLIDING.
- Packing list to indicate number of rolls and parts per roll.
See WO for roll size</t>
  </si>
  <si>
    <t>Core  –  3" Plastic
Width – 6"
Number Across Run/FInish –  1/1
Core Label – Yes in core and on outside of roll.
±10% –  No
Unwind Dir. Run – 5
Unwind Dir. Finish –  Parts Out
Diecut/Continuous/Sheet –  Continuous Die Cut
Partial Case –  Yes
Pieces per roll/Unit – See WO
Length per roll/unit –  See WO
Finish – Off Press
Application – </t>
  </si>
  <si>
    <t>50477 Cost of Goods Sold</t>
  </si>
  <si>
    <t>Laminated Part CSM heat laminated materials 95mm x 1,200'</t>
  </si>
  <si>
    <t>7603</t>
  </si>
  <si>
    <t>Laminated Part - CSM heat laminated materials - 95mm x 1,200'</t>
  </si>
  <si>
    <t>Number Across Run/Finish –  1/1
Where Finished –  On Press
Length per Roll/Unit – 1,200'
Core Type –  3" Plastic 0.375" HDPE
Core Width – 3.75"
Core Label – Yes
Dividers – 
Bag Size – 
Qty. Per Bag – 1 Rolls
Box Size –  12 x 12 x 12
Qty. Per Box – 2 Rolls
Weight/box – 
Box Per Pallet – 
Pallet Type – </t>
  </si>
  <si>
    <t>Max OD of 10"</t>
  </si>
  <si>
    <t>Core  –  3" Plastic 0.375" HDPE
Width – 3.75"
Number Across Run/FInish –  1/1
Core Label – Yes
±10% –  Yes
Unwind Dir. Run – E100 In
Unwind Dir. Finish –  E100 In
Diecut/Continuous/Sheet –  Continuous
Partial Case –  Yes
Pieces per roll/Unit – 1 Roll
Length per roll/unit –  1,200'
Finish – On Press
Application – </t>
  </si>
  <si>
    <t xml:space="preserve">Feeder material INT-E100-2MIL, needs to be slit on Ceve as a trial see Slitting step below. </t>
  </si>
  <si>
    <t>50478 Cost of Goods Sold</t>
  </si>
  <si>
    <t>Sheeted Part Front Drivers Side 3.70" x 3.84"</t>
  </si>
  <si>
    <t>1013569071</t>
  </si>
  <si>
    <t>Sheeted Part - Front Drivers Side - 3.70" x 3.84"</t>
  </si>
  <si>
    <t>Number Across Run/Finish –  2/1
Where Finished –  On Press
Length per Roll/Unit – 17'
Core Type –  N/A
Core Width – N/A
Core Label – Yes
Dividers – 
Bag Size – 
Qty. Per Bag – 100 Each
Box Size –  12 x 12 x 12
Qty. Per Box – 5 M
Weight/box – 
Box Per Pallet – 
Pallet Type – </t>
  </si>
  <si>
    <t>Bag label format:  JJ 7604 - Core</t>
  </si>
  <si>
    <t>Core  –  N/A
Width – N/A
Number Across Run/FInish –  2/1
Core Label – Yes
±10% –  No
Unwind Dir. Run – N/A
Unwind Dir. Finish –  N/A
Diecut/Continuous/Sheet –  Die Cut Sheet
Partial Case –  Yes
Pieces per roll/Unit – 100
Length per roll/unit –  17'
Finish – On Press
Application – </t>
  </si>
  <si>
    <t>50479 Cost of Goods Sold</t>
  </si>
  <si>
    <t>Sheeted Part Front Passengers Side 3.70" x 3.84"</t>
  </si>
  <si>
    <t>1013569072</t>
  </si>
  <si>
    <t>Sheeted Part - Front Passengers Side - 3.70" x 3.84"</t>
  </si>
  <si>
    <t>Number Across Run/Finish –  2/1
Where Finished –  On Press
Length per Roll/Unit – 17'
Core Type –  N/A
Core Width – N/A
Core Label – Yes
Dividers – 
Bag Size – 
Qty. Per Bag – 100 Each
Box Size –  14 x 14 x 8
Qty. Per Box – 2,000 Each
Weight/box – 
Box Per Pallet – 
Pallet Type – </t>
  </si>
  <si>
    <t>Bag label format:  JJ 7605 - Core</t>
  </si>
  <si>
    <t>Use a "wheel mask" box to catch the parts off press.</t>
  </si>
  <si>
    <t>50480 Cost of Goods Sold</t>
  </si>
  <si>
    <t>Perfed Roll 3195C/EZ Perfed every 15.75" 2.5625" x 1,000'</t>
  </si>
  <si>
    <t>500-47469</t>
  </si>
  <si>
    <t>Perfed Roll - 3195C/EZ Perfed every 15.75" - 2.5625" x 1,000'</t>
  </si>
  <si>
    <t>Number Across Run/Finish –  1/1
Where Finished –  Off Press
Length per Roll/Unit – 1,000
Core Type –  As Recd.
Core Width – As Rec'd
Core Label – Yes
Dividers – As Received
Bag Size – 
Qty. Per Bag – As Received 
Box Size –  12 x 12 x 4
Qty. Per Box – As Received 
Weight/box – 0
Box Per Pallet – 
Pallet Type – </t>
  </si>
  <si>
    <t>BOXED ITEM - CORE LABELS with part # 47469
- OK to leave Surface Guard/Pregis labels on product.</t>
  </si>
  <si>
    <t>Core  –  As Recd.
Width – As Rec'd
Number Across Run/FInish –  1/1
Core Label – Yes
±10% –  No
Unwind Dir. Run – Adh. In
Unwind Dir. Finish –  Adh. In
Diecut/Continuous/Sheet –  Continuous
Partial Case –  No
Pieces per roll/Unit – 
Length per roll/unit –  1,000
Finish – Off Press
Application – </t>
  </si>
  <si>
    <t>50481 Cost of Goods Sold</t>
  </si>
  <si>
    <t>Sheeted Part C1UL D Pillar - LH 6.98" x 1.3"</t>
  </si>
  <si>
    <t>320824</t>
  </si>
  <si>
    <t>Sheeted Part - C1UL D Pillar - LH - 6.98" x 1.3"</t>
  </si>
  <si>
    <t>Number Across Run/Finish –  1/1
Where Finished –  On Press
Length per Roll/Unit – 179'
Core Type –  N/A
Core Width – N/A
Core Label – Yes
Dividers – Cardboard
Bag Size – 
Qty. Per Bag – 300 Parts
Box Size –  16 1/2 x 8 1/2 x 13
Qty. Per Box – 2 M
Weight/box – 
Box Per Pallet – 
Pallet Type – </t>
  </si>
  <si>
    <t>50482 Cost of Goods Sold</t>
  </si>
  <si>
    <t>Die Cut Part 6" x 3.939" Printed Label for Foam Borders (C-Foam), Color 2766C (Dark Purple) 6" x 4"</t>
  </si>
  <si>
    <t>7675</t>
  </si>
  <si>
    <t>Die Cut Part - 6" x 3.939" Printed Label for Foam Borders (C-Foam), Color 2766C (Dark Purple) - 6" x 4"</t>
  </si>
  <si>
    <t>Number Across Run/Finish –  2/1
Where Finished –  Web Techniques
Length per Roll/Unit – 510'
Core Type –  3" Paper 1/8" White Brown
Core Width – 4.125"
Core Label – Yes
Dividers – 
Bag Size – 
Qty. Per Bag – 
Box Size –  14 x 14 x 8
Qty. Per Box – 6 M
Weight/box – 
Box Per Pallet – 
Pallet Type – </t>
  </si>
  <si>
    <t>Core  –  3" Paper 1/8" White Brown
Width – 4.125"
Number Across Run/FInish –  2/1
Core Label – Yes
±10% –  Yes
Unwind Dir. Run – 3
Unwind Dir. Finish –  4
Diecut/Continuous/Sheet –  Die Cut
Partial Case –  Yes
Pieces per roll/Unit – 1,000
Length per roll/unit –  510'
Finish – Web Techniques
Application – </t>
  </si>
  <si>
    <t>PMS 2766C is Interactive Inks ACFBL23-2766 Violet
JT 7675, 9381, 9382, and 9383 all use the same plates</t>
  </si>
  <si>
    <t>50483 Cost of Goods Sold</t>
  </si>
  <si>
    <t>Slit Tape Box Sealing, Transparent, 3M mfg. &amp; Ind. 375, LPD: 3W655 48mm x 50m</t>
  </si>
  <si>
    <t>1010707830</t>
  </si>
  <si>
    <t>Slit Tape - Box Sealing, Transparent, 3M mfg. &amp; Ind. 375, LPD: 3W655 - 48mm x 50m</t>
  </si>
  <si>
    <t>Number Across Run/Finish –  1/1
Where Finished –  Off Press
Length per Roll/Unit – 164
Core Type –  N/A
Core Width – As Rec'd
Core Label – 
Dividers – As Received
Bag Size – 
Qty. Per Bag – As Received 
Box Size –  12 x 12 x 10
Qty. Per Box – As Received 
Weight/box – 0
Box Per Pallet – 
Pallet Type – </t>
  </si>
  <si>
    <t>Core  –  N/A
Width – As Rec'd
Number Across Run/FInish –  1/1
Core Label – 
±10% –  No
Unwind Dir. Run – Adh. In
Unwind Dir. Finish –  Adh. In
Diecut/Continuous/Sheet –  Continuous
Partial Case –  No
Pieces per roll/Unit – 
Length per roll/unit –  164
Finish – Off Press
Application – </t>
  </si>
  <si>
    <t>50484 Cost of Goods Sold</t>
  </si>
  <si>
    <t>Die Cut Part ST-1480 Windsor Mold Mask 121.3mm x 49.0mm</t>
  </si>
  <si>
    <t>ST1480</t>
  </si>
  <si>
    <t>Die Cut Part - ST-1480 Windsor Mold Mask - 121.3mm x 49.0mm</t>
  </si>
  <si>
    <t>Number Across Run/Finish –  2/1
Where Finished –  On Press
Length per Roll/Unit – 209'
Core Type –  3" Paper 1/8" White Brown
Core Width – 2.50"
Core Label – Yes
Dividers – 
Bag Size – 
Qty. Per Bag – 2 M
Box Size –  14 x 14 x 8
Qty. Per Box – 8 M
Weight/box – 
Box Per Pallet – 
Pallet Type – </t>
  </si>
  <si>
    <t>"NO STROUSE MARKINGS" ALLOWED ON ANYTHING
MUST USE PLAIN CORES</t>
  </si>
  <si>
    <t>Core  –  3" Paper 1/8" White Brown
Width – 2.50"
Number Across Run/FInish –  2/1
Core Label – Yes
±10% –  Yes
Unwind Dir. Run – Parts Out
Unwind Dir. Finish –  Parts Out
Diecut/Continuous/Sheet –  Die Cut
Partial Case –  Yes
Pieces per roll/Unit – 500
Length per roll/unit –  209'
Finish – On Press
Application – </t>
  </si>
  <si>
    <t>50485 Cost of Goods Sold</t>
  </si>
  <si>
    <t>Slit Rolls SG 3130C 6.0" x 1,000'</t>
  </si>
  <si>
    <t>42084871</t>
  </si>
  <si>
    <t>Slit Rolls - SG 3130C - 6.0" x 1,000'</t>
  </si>
  <si>
    <t>Number Across Run/Finish –  1/1
Where Finished –  Off Press
Length per Roll/Unit – 1,000
Core Type –  N/A
Core Width – As Rec'd
Core Label – No
Dividers – As Received
Bag Size – 
Qty. Per Bag – As Received 
Box Size –  10 x 10 x 10
Qty. Per Box – As Received 
Weight/box – 0
Box Per Pallet – 
Pallet Type – </t>
  </si>
  <si>
    <t>Core  –  N/A
Width – As Rec'd
Number Across Run/FInish –  1/1
Core Label – No
±10% –  No
Unwind Dir. Run – Adh. In
Unwind Dir. Finish –  Adh. In
Diecut/Continuous/Sheet –  Continuous
Partial Case –  No
Pieces per roll/Unit – 
Length per roll/unit –  1,000
Finish – Off Press
Application – </t>
  </si>
  <si>
    <t>50486 Cost of Goods Sold</t>
  </si>
  <si>
    <t>Sheeted Part 3M 1504XL 9.25" x 1.75"</t>
  </si>
  <si>
    <t>301242-1 Rev 7</t>
  </si>
  <si>
    <t>Sheeted Part - 3M 1504XL - 9.25" x 1.75"</t>
  </si>
  <si>
    <t>Number Across Run/Finish –  3/1
Where Finished –  Off Press
Length per Roll/Unit – 990'
Core Type –  N/A
Core Width – N/A
Core Label – No
Dividers – 
Bag Size – 
Qty. Per Bag – 3.75 M
Box Size –  12 x 12 x 13
Qty. Per Box – 4 M
Weight/box – 
Box Per Pallet – 
Pallet Type – </t>
  </si>
  <si>
    <t>Double bag each box of 3,750 - use a twist tie on every bag.
• Product to be free of excessive particulates.
• Parts to be free of Scratches, Nicks, or other Blemishes.
• Product to be packaged in appropriate manner to prevent damage during handling and shipping.</t>
  </si>
  <si>
    <t>Core  –  N/A
Width – N/A
Number Across Run/FInish –  3/1
Core Label – No
±10% –  Yes
Unwind Dir. Run – N/A
Unwind Dir. Finish –  N/A
Diecut/Continuous/Sheet –  Die Cut Sheet
Partial Case –  Yes
Pieces per roll/Unit – 3,750
Length per roll/unit –  990'
Finish – Off Press
Application – </t>
  </si>
  <si>
    <t>May need to add grip tape to outfeed nip to hold size.</t>
  </si>
  <si>
    <t>50487 Cost of Goods Sold</t>
  </si>
  <si>
    <t>Die Cut Part DXL Mono 23.85mm x 57.04mm</t>
  </si>
  <si>
    <t>2PMH00236</t>
  </si>
  <si>
    <t>Die Cut Part - DXL Mono - 23.85mm x 57.04mm</t>
  </si>
  <si>
    <t>Number Across Run/Finish –  2/1
Where Finished –  Web Techniques
Length per Roll/Unit – 477'
Core Type –  3" Plastic 0.10" HDPE
Core Width – 67 mm
Core Label – Yes
Dividers – Lexmark Style
Bag Size – 
Qty. Per Bag – 5 M
Box Size –  14 1/4 x 8 3/4  x 12 5/8
Qty. Per Box – 25 M
Weight/box – 
Box Per Pallet – 
Pallet Type – </t>
  </si>
  <si>
    <t>Rolls not to exceed 12" OD.
Finished unwind direction: Hold the roll in your left hand and pull to the right, the smallest hole should be on the top.
Parts can be left on the leader and trailer. The rolls should have 6 extra feet of material.</t>
  </si>
  <si>
    <t>Core  –  3" Plastic 0.10" HDPE
Width – 67 mm
Number Across Run/FInish –  2/1
Core Label – Yes
±10% –  Yes
Unwind Dir. Run – See Drawing
Unwind Dir. Finish –  See Drawing
Diecut/Continuous/Sheet –  Die Cut
Partial Case –  Yes
Pieces per roll/Unit – 5,000
Length per roll/unit –  477'
Finish – Web Techniques
Application – </t>
  </si>
  <si>
    <t>Non-coated side of Flexcon is the metalized side.  To double check, scratch the surface of the material.  The metalization will scratch off.  This is the side to laminate the adhesive.
Step 2 Laminating can be done on any 10" press with at least 3 unwinds and 2 rewinds</t>
  </si>
  <si>
    <t>50488 Cost of Goods Sold</t>
  </si>
  <si>
    <t>Slit Tape Splicing tape, Blue 1.5" x 180'</t>
  </si>
  <si>
    <t>Slit Tape - Splicing tape, Blue - 1.5" x 180'</t>
  </si>
  <si>
    <t>Number Across Run/Finish –  3/1
Where Finished –  On Press
Length per Roll/Unit – 180'
Core Type –  3" Paper 1/8" White Brown
Core Width – 1.500"
Core Label – Yes
Dividers – Paper
Bag Size – 
Qty. Per Bag – 8 Rolls
Box Size –  17.56 x 3.75 x 17.56
Qty. Per Box – 16 Rolls
Weight/box – 
Box Per Pallet – 
Pallet Type – </t>
  </si>
  <si>
    <t>Core  –  3" Paper 1/8" White Brown
Width – 1.500"
Number Across Run/FInish –  3/1
Core Label – Yes
±10% –  Yes
Unwind Dir. Run – Liner Out
Unwind Dir. Finish –  Liner Out
Diecut/Continuous/Sheet –  Continuous
Partial Case –  No
Pieces per roll/Unit – 1 Roll
Length per roll/unit –  180'
Finish – On Press
Application – </t>
  </si>
  <si>
    <t>50489 Cost of Goods Sold</t>
  </si>
  <si>
    <t>Die Cut Part Hose Card, Gown 2.91" x 2.91"</t>
  </si>
  <si>
    <t>78-8083-4294-9 Rev C</t>
  </si>
  <si>
    <t>Die Cut Part - Hose Card, Gown - 2.91" x 2.91"</t>
  </si>
  <si>
    <t>Number Across Run/Finish –  2/1
Where Finished –  Off Press
Length per Roll/Unit – 651'
Core Type –  6" Paper 3/8" Brown Brown
Core Width – N/A
Core Label – No
Dividers – 
Bag Size – 
Qty. Per Bag – 
Box Size –  16 x 16 x 10-1/4
Qty. Per Box – 3 M
Weight/box – 
Box Per Pallet – 44 (110 M)
Pallet Type – </t>
  </si>
  <si>
    <t>Fanfold into stacks of 2,500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Do not put partial cases in finished goods. Operators/ finishers should try to run full cases, extra parts would be considered waste.  
Production Packaging Specs:
- 40" x 48" Heat Treated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</si>
  <si>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Brown Brown
Width – N/A
Number Across Run/FInish –  2/1
Core Label – No
±10% –  Yes
Unwind Dir. Run – N/A
Unwind Dir. Finish –  N/A
Diecut/Continuous/Sheet –  Die Cut
Partial Case –  No
Pieces per roll/Unit – 2,500
Length per roll/unit –  651'
Finish – Off Press
Application – </t>
  </si>
  <si>
    <t>Laminate/Die Cut:  Use fixture shown in press pics to eject chads.  Use splice tape on top and bottom for liner splices.  Remove hose cards with splices in the card stock.  Remove hose cards on top of liner splices.  No more than 2 missing hose cards in a row.  Need to target a press run rate of at least 50 ft/min.</t>
  </si>
  <si>
    <t>50490 Cost of Goods Sold</t>
  </si>
  <si>
    <t>Die Cut Part Tape, 0.5" X 2.0", Roll 2" x 0.5"</t>
  </si>
  <si>
    <t>78-8083-4293-1 Rev C</t>
  </si>
  <si>
    <t>Die Cut Part - Tape, 0.5" X 2.0", Roll - 2" x 0.5"</t>
  </si>
  <si>
    <t>Number Across Run/Finish –  9/1
Where Finished –  On Press
Length per Roll/Unit – 1,151'
Core Type –  3" Paper 1/8" White Brown
Core Width – 1"
Core Label – Yes
Dividers – 
Bag Size – 
Qty. Per Bag – 9 Rolls
Box Size –  16 1/2 x 8 1/2 x 13
Qty. Per Box – 59 M
Weight/box – 
Box Per Pallet – 16 (936 M)
Pallet Type – </t>
  </si>
  <si>
    <t>Finished Unwind Direction: Hold roll in your RIGHT hand and unwind to the LEFT.  The TAB should be on the TOP.  Parts Out.
MAX 2 PARTS MISSING IN A ROW
MAX 5 SPLICES PER ROLL
USE 2" BLUE SPLICE TAPE ON BACK SIDE ONLY, NO MISSING PARTS AT LINER SPLICE
MAX ROLL DIAMETER: 16"
MIN ROLL DIAMETER: 14"
ROLLS MUST LAY FLAT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</si>
  <si>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1"
Number Across Run/FInish –  9/1
Core Label – Yes
±10% –  Yes
Unwind Dir. Run – See Note
Unwind Dir. Finish –  See Note
Diecut/Continuous/Sheet –  Die Cut
Partial Case –  No
Pieces per roll/Unit – 6,500
Length per roll/unit –  1,151'
Finish – On Press
Application – </t>
  </si>
  <si>
    <t>Wind rolls as loose as possible while still maintaining the integrity of the roll.
C of C required: w/ Stock Lot #
Note: Use Shaft Extension on product rewind</t>
  </si>
  <si>
    <t>50491 Cost of Goods Sold</t>
  </si>
  <si>
    <t>Tape M60 with 1/4" extended liner w/ eyemark every 12" and "Watershed..Tape" 2" x 216Yd</t>
  </si>
  <si>
    <t>107585733001</t>
  </si>
  <si>
    <t>Tape - M60 with 1/4" extended liner  w/ eyemark every 12" and "Watershed..Tape" - 2" x 216Yd</t>
  </si>
  <si>
    <t>Number Across Run/Finish –  2/1
Where Finished –  On Press
Length per Roll/Unit – 216 Yd
Core Type –  3" Paper 1/8" White Brown
Core Width – 2.25"
Core Label – Yes
Dividers – Paper
Bag Size – 
Qty. Per Bag – 3 Rolls
Box Size –  14 x 14 x 8
Qty. Per Box – 6 Rolls
Weight/box – 
Box Per Pallet – 
Pallet Type – </t>
  </si>
  <si>
    <t>Core  –  3" Paper 1/8" White Brown
Width – 2.25"
Number Across Run/FInish –  2/1
Core Label – Yes
±10% –  Yes
Unwind Dir. Run – 8
Unwind Dir. Finish –  8
Diecut/Continuous/Sheet –  Continuous
Partial Case –  No
Pieces per roll/Unit – 1 Roll
Length per roll/unit –  216 Yd
Finish – On Press
Application – </t>
  </si>
  <si>
    <t>If no plate check JT 2225.</t>
  </si>
  <si>
    <t>50492 Cost of Goods Sold</t>
  </si>
  <si>
    <t>Sheeted Part Right Hand Skirt mask 2.23" x 3.84"</t>
  </si>
  <si>
    <t>DIE-CUT-4735L-RH</t>
  </si>
  <si>
    <t>Sheeted Part - Right Hand Skirt mask - 2.23" x 3.84"</t>
  </si>
  <si>
    <t>Number Across Run/Finish –  1/1
Where Finished –  On Press
Length per Roll/Unit – 198'
Core Type –  N/A
Core Width – N/A
Core Label – Yes - on bag
Dividers – Cardboard
Bag Size – 
Qty. Per Bag – 1 M
Box Size –  14 x 14 x 8
Qty. Per Box – 6 M
Weight/box – 
Box Per Pallet – 
Pallet Type – </t>
  </si>
  <si>
    <t>Parts to be stacked and bagged.  Ensure bag label identifies these as Right Hand (RH)
Must be packed 1000 per bag. No Partial bags.</t>
  </si>
  <si>
    <t>Core  –  N/A
Width – N/A
Number Across Run/FInish –  1/1
Core Label – Yes - on bag
±10% –  Yes
Unwind Dir. Run – N/A
Unwind Dir. Finish –  N/A
Diecut/Continuous/Sheet –  Die Cut Sheet
Partial Case –  Yes
Pieces per roll/Unit – 1,000
Length per roll/unit –  198'
Finish – On Press
Application – </t>
  </si>
  <si>
    <t>50493 Cost of Goods Sold</t>
  </si>
  <si>
    <t>Sheeted Part Left Hand Skirt mask 2.23" x 3.84"</t>
  </si>
  <si>
    <t>DIE-CUT-4735L-LH</t>
  </si>
  <si>
    <t>Sheeted Part - Left Hand Skirt mask - 2.23" x 3.84"</t>
  </si>
  <si>
    <t>Number Across Run/Finish –  1/1
Where Finished –  On Press
Length per Roll/Unit – 198'
Core Type –  N/A
Core Width – N/A
Core Label – Yes - on bag
Dividers – Cardboard
Bag Size – 
Qty. Per Bag – 1 M
Box Size –  8 x 8 x 8
Qty. Per Box – 6 M
Weight/box – 
Box Per Pallet – 
Pallet Type – </t>
  </si>
  <si>
    <t>Parts to be stacked and bagged.  Ensure bag label identifies these as Left Hand (LH)
Must be packed 1000 per bag. No Partial bags.</t>
  </si>
  <si>
    <t>50494 Cost of Goods Sold</t>
  </si>
  <si>
    <t>Sheeted Part Star with tabs 2.44" x 2.92"</t>
  </si>
  <si>
    <t>5952F/Star</t>
  </si>
  <si>
    <t>Sheeted Part - Star with tabs - 2.44" x 2.92"</t>
  </si>
  <si>
    <t>Number Across Run/Finish –  1/1
Where Finished –  On Press
Length per Roll/Unit – 110'
Core Type –  N/A
Core Width – N/A
Core Label – No
Dividers – 
Bag Size – 
Qty. Per Bag – 500 Each
Box Size –  14 x 14 x 10
Qty. Per Box – 500 Each
Weight/box – 
Box Per Pallet – 
Pallet Type – </t>
  </si>
  <si>
    <t>Core  –  N/A
Width – N/A
Number Across Run/FInish –  1/1
Core Label – No
±10% –  Yes
Unwind Dir. Run – N/A
Unwind Dir. Finish –  N/A
Diecut/Continuous/Sheet –  Die Cut Sheet
Partial Case –  Yes
Pieces per roll/Unit – 500
Length per roll/unit –  110'
Finish – On Press
Application – </t>
  </si>
  <si>
    <t>Use any 3 mil PET or 54 lb liner for soft anvil at sheeter die.</t>
  </si>
  <si>
    <t>50495 Cost of Goods Sold</t>
  </si>
  <si>
    <t>Sheeted Part Doughnut with tab 3.35" Dia</t>
  </si>
  <si>
    <t>5952F/Doughnut</t>
  </si>
  <si>
    <t>Sheeted Part - Doughnut with tab - 3.35" Dia</t>
  </si>
  <si>
    <t>Number Across Run/Finish –  1/1
Where Finished –  On Press
Length per Roll/Unit – 37'
Core Type –  N/A
Core Width – N/A
Core Label – No
Dividers – Special
Bag Size – 
Qty. Per Bag – 125 Each
Box Size –  11 x 11 x 8
Qty. Per Box – 1,500 Each
Weight/box – 
Box Per Pallet – 
Pallet Type – </t>
  </si>
  <si>
    <t>Need packager at press to immediately remove the centers of the doughnut.
Special polyflute stand needed</t>
  </si>
  <si>
    <t>Core  –  N/A
Width – N/A
Number Across Run/FInish –  1/1
Core Label – No
±10% –  Yes
Unwind Dir. Run – N/A
Unwind Dir. Finish –  N/A
Diecut/Continuous/Sheet –  Die Cut Sheet
Partial Case –  Yes
Pieces per roll/Unit – 125
Length per roll/unit –  37'
Finish – On Press
Application – </t>
  </si>
  <si>
    <t>Need packager at press to immediately remove the centers of the doughnut.</t>
  </si>
  <si>
    <t>50496 Cost of Goods Sold</t>
  </si>
  <si>
    <t>Die Cut Part Therapy Electrode Punched Lidding Layer 7" x 6"</t>
  </si>
  <si>
    <t>11F0007-A01-R/C</t>
  </si>
  <si>
    <t>Die Cut Part - Therapy Electrode Punched Lidding Layer - 7" x 6"</t>
  </si>
  <si>
    <t>Number Across Run/Finish –  1/1
Where Finished –  On Press
Length per Roll/Unit – 303'
Core Type –  6" plastic, 0.155" PP
Core Width – 7.88"
Core Label – Yes
Dividers – 
Bag Size – 
Qty. Per Bag – 1 Roll
Box Size –  14 x 14 x 8
Qty. Per Box – 1 M
Weight/box – 
Box Per Pallet – 
Pallet Type – </t>
  </si>
  <si>
    <t>*No Use As-Is or Rework permitted on Zoll Products*
Include copy of C of C.
If shipping product made on a stock order please use the work order number of the Release (not the stock order) on the labels per customer request.</t>
  </si>
  <si>
    <t>Core  –  6" plastic, 0.155" PP
Width – 7.88"
Number Across Run/FInish –  1/1
Core Label – Yes
±10% –  Yes
Unwind Dir. Run – Parts Out
Unwind Dir. Finish –  Parts Out
Diecut/Continuous/Sheet –  Die Cut
Partial Case –  Yes
Pieces per roll/Unit – 500
Length per roll/unit –  303'
Finish – On Press
Application – </t>
  </si>
  <si>
    <t xml:space="preserve">Make sure lamination of film and tape is as flat as possible.  6" ID plastic core on Delta run and 3" ID plastic core on Preco run.
*No Use As-Is or Rework permitted on Zoll Products*
Check and clean die set twice per shift and as needed following observed defect to assure no native debris is present that may cause depressions in film.
Place blue splice tape under material on unwind.  Placement should be at between parts.  Align square cutouts on track lines to both unwind material and material connecting to from previous material. Cut tail of material off at material joint.  Remove part before and after splice.  Fold over splice tape protruding past web's width.  Apply a second piece of tape to link the 1st piece of tapes end point to create a full coverage splice. </t>
  </si>
  <si>
    <t>50497 Cost of Goods Sold</t>
  </si>
  <si>
    <t>Slit Roll Nominal rolls of flat back tape that complies with ASTM5486 Type V 2" x 60Yd</t>
  </si>
  <si>
    <t>Slit Roll - Nominal rolls of flat back tape that complies with ASTM5486 Type V - 2" x 60Yd</t>
  </si>
  <si>
    <t>Number Across Run/Finish –  1/1
Where Finished –  Off Press
Length per Roll/Unit – 180
Core Type –  N/A
Core Width – As Rec'd
Core Label – 
Dividers – As Received
Bag Size – 
Qty. Per Bag – As Received 
Box Size –  12 x 12 x 10
Qty. Per Box – As Received 
Weight/box – 0
Box Per Pallet – 
Pallet Type – </t>
  </si>
  <si>
    <t>Core  –  N/A
Width – As Rec'd
Number Across Run/FInish –  1/1
Core Label – 
±10% –  No
Unwind Dir. Run – N/A
Unwind Dir. Finish –  N/A
Diecut/Continuous/Sheet –  Continuous
Partial Case –  No
Pieces per roll/Unit – 
Length per roll/unit –  180
Finish – Off Press
Application – </t>
  </si>
  <si>
    <t>50498 Cost of Goods Sold</t>
  </si>
  <si>
    <t>Slit Tape 3M 8926-02 1.1" x 40m</t>
  </si>
  <si>
    <t>LEDM161-F0</t>
  </si>
  <si>
    <t>Slit Tape - 3M 8926-02 - 1.1" x 40m</t>
  </si>
  <si>
    <t>Number Across Run/Finish –  1/1
Where Finished –  On Press
Length per Roll/Unit – 40 m
Core Type –  As Recd.
Core Width – 1.1"
Core Label – Yes
Dividers – Paper
Bag Size – 
Qty. Per Bag – 5 Rolls
Box Size –  6 x 6 x 6
Qty. Per Box – 20 Rolls
Weight/box – 
Box Per Pallet – 
Pallet Type – </t>
  </si>
  <si>
    <t>Core  –  As Recd.
Width – 1.1"
Number Across Run/FInish –  1/1
Core Label – Yes
±10% –  Yes
Unwind Dir. Run – N/A
Unwind Dir. Finish –  N/A
Diecut/Continuous/Sheet –  Continuous
Partial Case –  Yes
Pieces per roll/Unit – 1 Roll
Length per roll/unit –  40 m
Finish – On Press
Application – </t>
  </si>
  <si>
    <t>50499 Cost of Goods Sold</t>
  </si>
  <si>
    <t>Die Cut Part 3M 96042 7mm x 8mm</t>
  </si>
  <si>
    <t>7871</t>
  </si>
  <si>
    <t>Die Cut Part - 3M 96042 - 7mm x 8mm</t>
  </si>
  <si>
    <t>Number Across Run/Finish –  1/1
Where Finished –  On Press
Length per Roll/Unit – 33'
Core Type –  3" Paper 1/8" Strouse Brown
Core Width – 0.625"
Core Label – No
Dividers – 
Bag Size – 
Qty. Per Bag – 4 Rolls
Box Size –  14 x 14 x 8
Qty. Per Box – 4,000 Each
Weight/box – 
Box Per Pallet – 
Pallet Type – </t>
  </si>
  <si>
    <t>Core  –  3" Paper 1/8" Strouse Brown
Width – 0.625"
Number Across Run/FInish –  1/1
Core Label – No
±10% –  Yes
Unwind Dir. Run – Parts Out
Unwind Dir. Finish –  Parts Out
Diecut/Continuous/Sheet –  Die Cut
Partial Case –  Yes
Pieces per roll/Unit – 1,000
Length per roll/unit –  33'
Finish – On Press
Application – </t>
  </si>
  <si>
    <t>50500 Cost of Goods Sold</t>
  </si>
  <si>
    <t>Slit Roll Self wound PET overlaminating film 1/2" x 10,000'</t>
  </si>
  <si>
    <t>Slit Roll - Self wound PET overlaminating film - 1/2" x 10,000'</t>
  </si>
  <si>
    <t>Number Across Run/Finish –  1/1
Where Finished –  Off Press
Length per Roll/Unit – 10,000
Core Type –  N/A
Core Width – As Rec'd
Core Label – 
Dividers – As Received
Bag Size – 
Qty. Per Bag – As Received 
Box Size –  14 x 14 x 14
Qty. Per Box – As Received 
Weight/box – 0
Box Per Pallet – 
Pallet Type – </t>
  </si>
  <si>
    <t>Core  –  N/A
Width – As Rec'd
Number Across Run/FInish –  1/1
Core Label – 
±10% –  No
Unwind Dir. Run – N/A
Unwind Dir. Finish –  N/A
Diecut/Continuous/Sheet –  
Partial Case –  No
Pieces per roll/Unit – 
Length per roll/unit –  10,000
Finish – Off Press
Application – </t>
  </si>
  <si>
    <t>50501 Cost of Goods Sold</t>
  </si>
  <si>
    <t>Slit Tape 3M 9828 1" x 1,400'</t>
  </si>
  <si>
    <t>7769</t>
  </si>
  <si>
    <t>Slit Tape - 3M 9828 - 1" x 1,400'</t>
  </si>
  <si>
    <t>Number Across Run/Finish –  5/1
Where Finished –  On Press
Length per Roll/Unit – 1,400'
Core Type –  3" Paper 1/8" Strouse Brown
Core Width – 1.0"
Core Label – Yes
Dividers – Poly Flute
Bag Size – 
Qty. Per Bag – 10 Rolls
Box Size –  Best Fit Per Qty
Qty. Per Box – 10 Rolls
Weight/box – 
Box Per Pallet – 
Pallet Type – </t>
  </si>
  <si>
    <t>Include C of C.
Can also use Strouse Brown cores
Use Poly Flute top and bottom, and between each roll (In a bag).
Bubbles on top to secure fit.
Use 48" x 48" pallets.  Can't ship when hanging over pallet.</t>
  </si>
  <si>
    <t>Core  –  3" Paper 1/8" Strouse Brown
Width – 1.0"
Number Across Run/FInish –  5/1
Core Label – Yes
±10% –  Yes
Unwind Dir. Run – Liner Out
Unwind Dir. Finish –  Liner Out
Diecut/Continuous/Sheet –  Continuous
Partial Case –  Yes
Pieces per roll/Unit – 1 Roll
Length per roll/unit –  1,400'
Finish – On Press
Application – </t>
  </si>
  <si>
    <t>For 9828P use a 1 mil step down anvil. MS
Must use Yellow Splice tape over Blue Splice tape.  "Must replace factory Adhesive Splices"
Can also use Strouse Brown cores</t>
  </si>
  <si>
    <t>50502 Cost of Goods Sold</t>
  </si>
  <si>
    <t>Sheeted Part 3M 8671/9471LE, Insulator, Grab Handle 3.81" x 3.39"</t>
  </si>
  <si>
    <t>3537604 Rev A</t>
  </si>
  <si>
    <t>Sheeted Part - 3M 8671/9471LE, Insulator, Grab Handle - 3.81" x 3.39"</t>
  </si>
  <si>
    <t>Number Across Run/Finish –  1/1
Where Finished –  On Press
Length per Roll/Unit – 17'
Core Type –  N/A
Core Width – N/A
Core Label – No
Dividers – 
Bag Size – 
Qty. Per Bag – 50 Each
Box Size –  19 x 11 x 13
Qty. Per Box – 
Weight/box – 
Box Per Pallet – 
Pallet Type – </t>
  </si>
  <si>
    <t>CERTS: Include a Strouse Cert with the 8671 Lot #, and the 8671 3M Cert.
Do not include the 9471LE info.</t>
  </si>
  <si>
    <t>Core  –  N/A
Width – N/A
Number Across Run/FInish –  1/1
Core Label – No
±10% –  Yes
Unwind Dir. Run – N/A
Unwind Dir. Finish –  N/A
Diecut/Continuous/Sheet –  Die Cut Sheet
Partial Case –  Yes
Pieces per roll/Unit – 50
Length per roll/unit –  17'
Finish – On Press
Application – </t>
  </si>
  <si>
    <t>50503 Cost of Goods Sold</t>
  </si>
  <si>
    <t>Laminated Rolls IPG OM/Mylar liner 15" x 60Yd</t>
  </si>
  <si>
    <t>Tape-IPG OM-15</t>
  </si>
  <si>
    <t>Laminated Rolls - IPG OM/Mylar liner - 15" x 60Yd</t>
  </si>
  <si>
    <t>Number Across Run/Finish –  1/1
Where Finished –  On Press
Length per Roll/Unit – 180'
Core Type –  3" Paper 1/8" Strouse Brown
Core Width – 15.25"
Core Label – Yes
Dividers – 
Bag Size – 
Qty. Per Bag – 1 Roll
Box Size –  12 x 12 x 13
Qty. Per Box – 4 Rolls
Weight/box – 
Box Per Pallet – 
Pallet Type – </t>
  </si>
  <si>
    <t>Core  –  3" Paper 1/8" Strouse Brown
Width – 15.25"
Number Across Run/FInish –  1/1
Core Label – Yes
±10% –  Yes
Unwind Dir. Run – Tape Out
Unwind Dir. Finish –  Tape Out
Diecut/Continuous/Sheet –  Continuous
Partial Case –  Yes
Pieces per roll/Unit – 1 Roll
Length per roll/unit –  180'
Finish – On Press
Application – </t>
  </si>
  <si>
    <t>Customer has complained about wrinkles in the finished rolls.  Please make sure the rolls are wrinkle free.</t>
  </si>
  <si>
    <t>50504 Cost of Goods Sold</t>
  </si>
  <si>
    <t>Slit Tape 3M 2364 0.75" x 400"</t>
  </si>
  <si>
    <t>MM311001015 Rev. B</t>
  </si>
  <si>
    <t>Slit Tape - 3M 2364 - 0.75" x 400"</t>
  </si>
  <si>
    <t>Number Across Run/Finish –  4/1
Where Finished –  Off Press
Length per Roll/Unit – 12 Yd
Core Type –  1" Plastic 0.090"
Core Width – 0.75"
Core Label – Yes - See note
Dividers – Polyflute
Bag Size – 
Qty. Per Bag – 
Box Size –  14 1/4 x 8 3/4  x 12 5/8
Qty. Per Box – 120 Rolls
Weight/box – 
Box Per Pallet – 
Pallet Type – </t>
  </si>
  <si>
    <t xml:space="preserve">Lay dispensers on side, and layer in box with a Polyflute divider between each layer.  Place core label on bottom of the dispenser between the two supports.  
No core label on the core.
 NO REV ON ANY LABELS </t>
  </si>
  <si>
    <t>Core  –  1" Plastic 0.090"
Width – 0.75"
Number Across Run/FInish –  4/1
Core Label – Yes - See note
±10% –  No
Unwind Dir. Run – Adh. In
Unwind Dir. Finish –  Adh. In
Diecut/Continuous/Sheet –  Continuous
Partial Case –  Yes
Pieces per roll/Unit – 1 Roll
Length per roll/unit –  12 Yd
Finish – Off Press
Application – </t>
  </si>
  <si>
    <t>50505 Cost of Goods Sold</t>
  </si>
  <si>
    <t>Die Cut Part 4.4 mil Liner/Post-it 4" OD x 0.4" ID</t>
  </si>
  <si>
    <t>ST-2066</t>
  </si>
  <si>
    <t>Die Cut Part - 4.4 mil Liner/Post-it - 4" OD x 0.4" ID</t>
  </si>
  <si>
    <t>Number Across Run/Finish –  2/1
Where Finished –  On Press
Length per Roll/Unit – 344'
Core Type –  3" Paper 1/8" Strouse Brown
Core Width – 4.500"
Core Label – Yes
Dividers – 
Bag Size – 
Qty. Per Bag – 
Box Size –  14 x 14 x 14
Qty. Per Box – 4 Rolls
Weight/box – 
Box Per Pallet – 
Pallet Type – </t>
  </si>
  <si>
    <t>Production Packaging Specs:
- Heat Treated Pallet if shipping freight
Allow product to sit for 48 hours prior to releasing to shipping to confirm adhesion to the part backing and release from the parent liner.</t>
  </si>
  <si>
    <t>Core  –  3" Paper 1/8" Strouse Brown
Width – 4.500"
Number Across Run/FInish –  2/1
Core Label – Yes
±10% –  No
Unwind Dir. Run – Parts Out
Unwind Dir. Finish –  Parts Out
Diecut/Continuous/Sheet –  Die Cut
Partial Case –  Yes
Pieces per roll/Unit – 1,000
Length per roll/unit –  344'
Finish – On Press
Application – </t>
  </si>
  <si>
    <t>50506 Cost of Goods Sold</t>
  </si>
  <si>
    <t>Die Cut Part 2916P/5915P 106mm Dia</t>
  </si>
  <si>
    <t>CM00B088420</t>
  </si>
  <si>
    <t>Die Cut Part - 2916P/5915P - 106mm Dia</t>
  </si>
  <si>
    <t>Number Across Run/Finish –  2/2
Where Finished –  On Press
Length per Roll/Unit – 282'
Core Type –  N/A
Core Width – N/A
Core Label – No
Dividers – 
Bag Size – 
Qty. Per Bag – 125 Sheets 
Box Size –  26 x 26 x 3 T&amp;B
Qty. Per Box – 1 M
Weight/box – 
Box Per Pallet – 
Pallet Type – </t>
  </si>
  <si>
    <t>250 Sheets = 1,500 Parts</t>
  </si>
  <si>
    <t>Core  –  N/A
Width – N/A
Number Across Run/FInish –  2/2
Core Label – No
±10% –  No
Unwind Dir. Run – N/A
Unwind Dir. Finish –  N/A
Diecut/Continuous/Sheet –  Die Cut Sheet
Partial Case –  Yes
Pieces per roll/Unit – 1,500
Length per roll/unit –  282'
Finish – On Press
Application – </t>
  </si>
  <si>
    <t>Sold by the part - each sheet is 6 parts.  An order for 1.5 M will require 250 sheets.</t>
  </si>
  <si>
    <t>50507 Cost of Goods Sold</t>
  </si>
  <si>
    <t>Sheeted Part 3426A 24" x 18"</t>
  </si>
  <si>
    <t>0073-L34C045(A)</t>
  </si>
  <si>
    <t>Sheeted Part - 3426A - 24" x 18"</t>
  </si>
  <si>
    <t>Number Across Run/Finish –  1/1
Where Finished –  Off Press
Length per Roll/Unit – 100'
Core Type –  N/A
Core Width – N/A
Core Label – No
Dividers – 
Bag Size – 
Qty. Per Bag – 50 Each
Box Size –  12 x 12 x 13
Qty. Per Box – 3 Bags
Weight/box – 
Box Per Pallet – 
Pallet Type – </t>
  </si>
  <si>
    <t>Make batches of 50 sheets, and IMMEDIATELY move them to the Heat Sealer to be double bagged and heat sealed (to eliminate as much time in the humidity as possible).  24" x 30"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</si>
  <si>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100'
Finish – Off Press
Application – </t>
  </si>
  <si>
    <t>Clean press (Full IPA Wipedown) prior to putting materials on press.
Pace3  ADDING A IDLER ROLLER UNDERNEATH THE INFEED ANVIL HELPED WITH THE CURLING. ALLOWS YOU TO WRAP 54# LINER AROUND IDLER BEFORE LAMINATING</t>
  </si>
  <si>
    <t>50508 Cost of Goods Sold</t>
  </si>
  <si>
    <t>Masking Tape 3M 2393 2" x 60Yd</t>
  </si>
  <si>
    <t>1012826373</t>
  </si>
  <si>
    <t>Masking Tape - 3M 2393 - 2" x 60Yd</t>
  </si>
  <si>
    <t>Number Across Run/Finish –  28/1
Where Finished –  Off Press
Length per Roll/Unit – 180
Core Type –  3" Paper 0.180" Brown Brown
Core Width – 2"
Core Label – Yes
Dividers – Paper
Bag Size – 
Qty. Per Bag – 6 Rolls
Box Size –  12 x 12 x 10
Qty. Per Box – 24 Rolls
Weight/box – 
Box Per Pallet – 
Pallet Type – </t>
  </si>
  <si>
    <t>Core  –  3" Paper 0.180" Brown Brown
Width – 2"
Number Across Run/FInish –  28/1
Core Label – Yes
±10% –  No
Unwind Dir. Run – Adh. In
Unwind Dir. Finish –  N/A
Diecut/Continuous/Sheet –  Continuous
Partial Case –  No
Pieces per roll/Unit – 
Length per roll/unit –  180
Finish – Off Press
Application – </t>
  </si>
  <si>
    <t>50509 Cost of Goods Sold</t>
  </si>
  <si>
    <t>Slit Tape 3M 232 0.25" x 60Yd</t>
  </si>
  <si>
    <t>7795</t>
  </si>
  <si>
    <t>Slit Tape - 3M 232 - 0.25" x 60Yd</t>
  </si>
  <si>
    <t>Number Across Run/Finish –  108/1
Where Finished –  On Press
Length per Roll/Unit – 60 Yd
Core Type –  3" Plastic 0.10" HDPE
Core Width – 0.25"
Core Label – No
Dividers – Paper
Bag Size – 
Qty. Per Bag – 36 Rolls
Box Size –  14 x 14 x 8
Qty. Per Box – 144 Rolls
Weight/box – 
Box Per Pallet – 
Pallet Type – </t>
  </si>
  <si>
    <t>Core  –  3" Plastic 0.10" HDPE
Width – 0.25"
Number Across Run/FInish –  108/1
Core Label – No
±10% –  Yes
Unwind Dir. Run – N/A
Unwind Dir. Finish –  N/A
Diecut/Continuous/Sheet –  Continuous
Partial Case –  Yes
Pieces per roll/Unit – 1 Roll
Length per roll/unit –  60 Yd
Finish – On Press
Application – </t>
  </si>
  <si>
    <t>50510 Cost of Goods Sold</t>
  </si>
  <si>
    <t>Sheeted Part 1/16" Thick "Twinstick" d/c tape 1" x 3"</t>
  </si>
  <si>
    <t>132780</t>
  </si>
  <si>
    <t>Sheeted Part - 1/16" Thick "Twinstick" d/c tape - 1" x 3"</t>
  </si>
  <si>
    <t>Number Across Run/Finish –  1/1
Where Finished –  Off Press
Length per Roll/Unit – 3
Core Type –  N/A
Core Width – N/A
Core Label – No
Dividers – As Received
Bag Size – 
Qty. Per Bag – As Received 
Box Size –  18 x 18 x 8
Qty. Per Box – As Received 
Weight/box – 0
Box Per Pallet – 
Pallet Type – </t>
  </si>
  <si>
    <t>BOXED ITEM
Please put a box label on two adjacent sides.</t>
  </si>
  <si>
    <t>Core  –  N/A
Width – N/A
Number Across Run/FInish –  1/1
Core Label – No
±10% –  Yes
Unwind Dir. Run – N/A
Unwind Dir. Finish –  N/A
Diecut/Continuous/Sheet –  Sheet
Partial Case –  No
Pieces per roll/Unit – 
Length per roll/unit –  3
Finish – Off Press
Application – </t>
  </si>
  <si>
    <t>50511 Cost of Goods Sold</t>
  </si>
  <si>
    <t>Die Cut Part Foam/Adh. 50mm x 50mm</t>
  </si>
  <si>
    <t>P029568</t>
  </si>
  <si>
    <t>Die Cut Part - Foam/Adh. - 50mm x 50mm</t>
  </si>
  <si>
    <t>Number Across Run/Finish –  4/1
Where Finished –  On Press
Length per Roll/Unit – 47'
Core Type –  6" plastic, 0.155" PP
Core Width – 2.25"
Core Label – Yes
Dividers – 
Bag Size – 
Qty. Per Bag – 3 Rolls
Box Size –  14 x 14 x 8
Qty. Per Box – 1 M
Weight/box – 
Box Per Pallet – 28
Pallet Type – </t>
  </si>
  <si>
    <t>Tabbing: Use masking tape to wrap thru core - see picture in JJ.  Three rolls (750) per box.</t>
  </si>
  <si>
    <t>Core  –  6" plastic, 0.155" PP
Width – 2.25"
Number Across Run/FInish –  4/1
Core Label – Yes
±10% –  Yes
Unwind Dir. Run – Parts Out
Unwind Dir. Finish –  Parts Out
Diecut/Continuous/Sheet –  Die Cut
Partial Case –  Yes
Pieces per roll/Unit – 250
Length per roll/unit –  47'
Finish – On Press
Application – </t>
  </si>
  <si>
    <t>Wind foam as loosely as possible while still maintaining roll structure.
Unwind foam as loosely as possible in Step 2.  Foam must be under minimal to zero strain at lamination.</t>
  </si>
  <si>
    <t>50512 Cost of Goods Sold</t>
  </si>
  <si>
    <t>Slit Rolls 3M 415 6.25" x "see WO"Yd</t>
  </si>
  <si>
    <t>Slit Rolls - 3M 415 - 6.25" x "see WO"Yd</t>
  </si>
  <si>
    <t>Number Across Run/Finish –  1/
Where Finished –  Off Press
Length per Roll/Unit – 360 Yd
Core Type –  N/A
Core Width – 6.25"
Core Label – 
Dividers – 
Bag Size – 
Qty. Per Bag – As Received 
Box Size –  12 x 12 x 12
Qty. Per Box – As Received 
Weight/box – 
Box Per Pallet – 
Pallet Type – </t>
  </si>
  <si>
    <t>Core  –  N/A
Width – 6.25"
Number Across Run/FInish –  1/
Core Label – 
±10% –  No
Unwind Dir. Run – N/A
Unwind Dir. Finish –  N/A
Diecut/Continuous/Sheet –  Continuous
Partial Case –  No
Pieces per roll/Unit – 
Length per roll/unit –  360 Yd
Finish – Off Press
Application – </t>
  </si>
  <si>
    <t>50513 Cost of Goods Sold</t>
  </si>
  <si>
    <t>Slit Roll ST-1338 1.75" x 36Yd</t>
  </si>
  <si>
    <t>7814</t>
  </si>
  <si>
    <t>Slit Roll - ST-1338 - 1.75" x 36Yd</t>
  </si>
  <si>
    <t>Number Across Run/Finish –  14/1
Where Finished –  On Press
Length per Roll/Unit – 108'
Core Type –  As Recd.
Core Width – 1.75"
Core Label – No
Dividers – Paper
Bag Size – 
Qty. Per Bag – 6 Rolls
Box Size –  
Qty. Per Box – 24 Rolls
Weight/box – 
Box Per Pallet – 
Pallet Type – </t>
  </si>
  <si>
    <t>INCLUDE A STROUSE CERT with:
DOM (date of shipment from ATP)
and
Shelf Life (12 months)</t>
  </si>
  <si>
    <t>Core  –  As Recd.
Width – 1.75"
Number Across Run/FInish –  14/1
Core Label – No
±10% –  Yes
Unwind Dir. Run – Adh. In 
Unwind Dir. Finish –  Adh. In
Diecut/Continuous/Sheet –  Continuous
Partial Case –  Yes
Pieces per roll/Unit – 1 Roll
Length per roll/unit –  108'
Finish – On Press
Application – </t>
  </si>
  <si>
    <t>run on ceve 1
wrap log with masking tape for best results
may have to clean sides of rolls before packaging.</t>
  </si>
  <si>
    <t>50514 Cost of Goods Sold</t>
  </si>
  <si>
    <t>Slit Roll ST-1338 0.75" x 36Yd</t>
  </si>
  <si>
    <t>7815</t>
  </si>
  <si>
    <t>Slit Roll - ST-1338 - 0.75" x 36Yd</t>
  </si>
  <si>
    <t>Number Across Run/Finish –  1/1
Where Finished –  Off Press
Length per Roll/Unit – 10'
Core Type –  As Recd.
Core Width – 0.75"
Core Label – No
Dividers – As Received
Bag Size – 
Qty. Per Bag – As Received 
Box Size –  10 x 10 x 10
Qty. Per Box – As Received 
Weight/box – 0
Box Per Pallet – 
Pallet Type – </t>
  </si>
  <si>
    <t>BOXED ITEM
See work order for any special instructions.
INCLUDE A STROUSE CERT with:
DOM (date of shipment from ATP)
and
Shelf Life (12 months)</t>
  </si>
  <si>
    <t>Core  –  As Recd.
Width – 0.75"
Number Across Run/FInish –  1/1
Core Label – No
±10% –  No
Unwind Dir. Run – Adh. In 
Unwind Dir. Finish –  As Rec'd
Diecut/Continuous/Sheet –  Continuous
Partial Case –  No
Pieces per roll/Unit – 1 Roll
Length per roll/unit –  10'
Finish – Off Press
Application – </t>
  </si>
  <si>
    <t>50515 Cost of Goods Sold</t>
  </si>
  <si>
    <t>Die Cut Part Foil w/ 468MP, Perf between parts 8.81" x 8.81"</t>
  </si>
  <si>
    <t>CT - 103782-0</t>
  </si>
  <si>
    <t>Die Cut Part - Foil w/ 468MP, Perf between parts - 8.81" x 8.81"</t>
  </si>
  <si>
    <t>Number Across Run/Finish –  1/1
Where Finished –  On Press
Length per Roll/Unit – 375'
Core Type –  3" Paper 1/8" White Brown
Core Width – 9.25"
Core Label – Yes
Dividers – 
Bag Size – 
Qty. Per Bag – 1 Roll
Box Size –  12 x 12 x 6
Qty. Per Box – 1 Rolls
Weight/box – 
Box Per Pallet – 
Pallet Type – </t>
  </si>
  <si>
    <t>Include a C of C w/ 3M Lot # and a 3M Cert for the adhesive.</t>
  </si>
  <si>
    <t>Core  –  3" Paper 1/8" White Brown
Width – 9.25"
Number Across Run/FInish –  1/1
Core Label – Yes
±10% –  Yes
Unwind Dir. Run – Parts Out
Unwind Dir. Finish –  Parts Out
Diecut/Continuous/Sheet –  Die Cut
Partial Case –  Yes
Pieces per roll/Unit – 500
Length per roll/unit –  375'
Finish – On Press
Application – </t>
  </si>
  <si>
    <t>Laminate adhesive to non-metalized side of PET.  Roll should be marked but to check you will need to scratch a sample.  The metallization will scratch off.  Keep unnecessary handling to a minimum (wear black nitrile gloves to limit fingerprints on finished parts).</t>
  </si>
  <si>
    <t>50516 Cost of Goods Sold</t>
  </si>
  <si>
    <t>Sheeted Part 3M 1522 85.73mm x 57.15mm</t>
  </si>
  <si>
    <t>000332-000 Rev E</t>
  </si>
  <si>
    <t>Sheeted Part - 3M 1522  - 85.73mm x 57.15mm</t>
  </si>
  <si>
    <t>Number Across Run/Finish –  1/1
Where Finished –  On Press
Length per Roll/Unit – 14'
Core Type –  N/A
Core Width – N/A
Core Label – Yes - on bag
Dividers – 
Bag Size – 
Qty. Per Bag – 50 Each
Box Size –  10 x 10 x 10
Qty. Per Box – 2,000 Each
Weight/box – 
Box Per Pallet – 
Pallet Type – </t>
  </si>
  <si>
    <t>- 50 sheets/bag
- Core label on bags:
THE OUTSIDE OF THE PACKAGE (BAG) SHALL BE PROMINENTLY MARKED
WITH THE METRITRACK PART NUMBER (i.e., 000332-000), REVISION (i.e., E), CATALOG NAME: MEDICAL GRADE DOUBLE SIDED TAPE; LOT # AND MANUFACTURING DATE MM/DD/YEAR).
- 40 bags/box (12" x 12" x 12" box)
- Box label :
EACH BOX SHALL BE PROMINENTLY MARKED WITH THE METRITRACK PART NUMBER (i.e., 000332-000), REVISION (i.e., E), CATALOG NAME: MEDICAL GRADE DOUBLE SIDED TAPE; LOT # AND MANUFACTURING DATE (MM/DD/YEAR).
Include a C of C and a 3M Cert for the 1522.</t>
  </si>
  <si>
    <t>Core  –  N/A
Width – N/A
Number Across Run/FInish –  1/1
Core Label – Yes - on bag
±10% –  Yes
Unwind Dir. Run – N/A
Unwind Dir. Finish –  N/A
Diecut/Continuous/Sheet –  Die Cut Sheet
Partial Case –  Yes
Pieces per roll/Unit – 50 Sheets
Length per roll/unit –  14'
Finish – On Press
Application – </t>
  </si>
  <si>
    <t>50517 Cost of Goods Sold</t>
  </si>
  <si>
    <t>Slit Tape 3M 8810 8mm x 108'</t>
  </si>
  <si>
    <t>7828</t>
  </si>
  <si>
    <t>Slit Tape - 3M 8810 - 8mm x 108'</t>
  </si>
  <si>
    <t>Number Across Run/Finish –  12/1
Where Finished –  On Press
Length per Roll/Unit – 36 Yd
Core Type –  6" plastic, 0.155" PP
Core Width – 8 mm
Core Label – No
Dividers – 9" Round PolyFlute
Bag Size – 
Qty. Per Bag – 20 
Box Size –  14 x 14 x 8
Qty. Per Box – 20 
Weight/box – 
Box Per Pallet – 
Pallet Type – </t>
  </si>
  <si>
    <t>Bag rolls and close with twist tie.
Fill void space with air pillows.</t>
  </si>
  <si>
    <t>Core  –  6" plastic, 0.155" PP
Width – 8 mm
Number Across Run/FInish –  12/1
Core Label – No
±10% –  Yes
Unwind Dir. Run – N/A
Unwind Dir. Finish –  N/A
Diecut/Continuous/Sheet –  Continuous
Partial Case –  Yes
Pieces per roll/Unit – 1
Length per roll/unit –  36 Yd
Finish – On Press
Application – </t>
  </si>
  <si>
    <t xml:space="preserve">Use leaf type 6" adaptors to make roll removal easier than with the bladder type. </t>
  </si>
  <si>
    <t>50518 Cost of Goods Sold</t>
  </si>
  <si>
    <t>Slit Tape 3M 213 1" x 60Yd</t>
  </si>
  <si>
    <t>MSD02820</t>
  </si>
  <si>
    <t>Slit Tape - 3M 213 - 1" x 60Yd</t>
  </si>
  <si>
    <t>Number Across Run/Finish –  1/1
Where Finished –  
Length per Roll/Unit – As Rec'd
Core Type –  As Recd.
Core Width – 1.0"
Core Label – 
Dividers – 
Bag Size – 
Qty. Per Bag – As Received 
Box Size –  10 x 10 x 10
Qty. Per Box – As Received 
Weight/box – 
Box Per Pallet – 
Pallet Type – </t>
  </si>
  <si>
    <t>Include Strouse C of C.</t>
  </si>
  <si>
    <t>Core  –  As Recd.
Width – 1.0"
Number Across Run/FInish –  1/1
Core Label – 
±10% –  No
Unwind Dir. Run – As Rec'd
Unwind Dir. Finish –  As Rec'd
Diecut/Continuous/Sheet –  
Partial Case –  No
Pieces per roll/Unit – 
Length per roll/unit –  As Rec'd
Finish – 
Application – </t>
  </si>
  <si>
    <t>50519 Cost of Goods Sold</t>
  </si>
  <si>
    <t>Slit Tape Yellow UPVC printed "Inspected...P-21234" 3/4" x 72Yd</t>
  </si>
  <si>
    <t>P-21234-STC</t>
  </si>
  <si>
    <t>Slit Tape - Yellow UPVC printed "Inspected...P-21234" - 3/4" x 72Yd</t>
  </si>
  <si>
    <t>Core  –  3" Paper 1/8" Strouse Brown
Width – 19 mm
Number Across Run/FInish –  8/1
Core Label – No
±10% –  No
Unwind Dir. Run – 2
Unwind Dir. Finish –  2
Diecut/Continuous/Sheet –  Continuous
Partial Case –  No
Pieces per roll/Unit – 1 Roll
Length per roll/unit –  72 Yd
Finish – Off Press
Application – </t>
  </si>
  <si>
    <t>50520 Cost of Goods Sold</t>
  </si>
  <si>
    <t>Die Cut Part Aperture protector 25mm x 185.96mm</t>
  </si>
  <si>
    <t>063E15000</t>
  </si>
  <si>
    <t>Die Cut Part - Aperture protector - 25mm x 185.96mm</t>
  </si>
  <si>
    <t>Number Across Run/Finish –  1/1
Where Finished –  On Press
Length per Roll/Unit – 47'
Core Type –  3" Plastic 0.10" HDPE
Core Width – 8.250"
Core Label – Yes
Dividers – 
Bag Size – 
Qty. Per Bag – 1 
Box Size –  12 x 12 x 4
Qty. Per Box – 1 
Weight/box – 
Box Per Pallet – 
Pallet Type – </t>
  </si>
  <si>
    <t xml:space="preserve">Do not over ship.
500 parts per roll minimum for job.  Longer rolls are acceptable.
Double bag rolls 
</t>
  </si>
  <si>
    <t>Core  –  3" Plastic 0.10" HDPE
Width – 8.250"
Number Across Run/FInish –  1/1
Core Label – Yes
±10% –  No
Unwind Dir. Run – Parts Out
Unwind Dir. Finish –  Parts Out
Diecut/Continuous/Sheet –  Die Cut
Partial Case –  Yes
Pieces per roll/Unit – 500
Length per roll/unit –  47'
Finish – On Press
Application – </t>
  </si>
  <si>
    <t>Collect 15 parts from beginning and end of each finished roll for offline evaluation.
Wipe down presses before running.</t>
  </si>
  <si>
    <t>50521 Cost of Goods Sold</t>
  </si>
  <si>
    <t>Sheeted Part 3M 4951 4.5" x 8"</t>
  </si>
  <si>
    <t>7856</t>
  </si>
  <si>
    <t>Sheeted Part - 3M 4951 - 4.5" x 8"</t>
  </si>
  <si>
    <t>Number Across Run/Finish –  1/1
Where Finished –  On Press
Length per Roll/Unit – 75'
Core Type –  N/A
Core Width – N/A
Core Label – No
Dividers – 
Bag Size – 
Qty. Per Bag – 100 Each
Box Size –  9 x 9 x 13
Qty. Per Box – 200 Each
Weight/box – 
Box Per Pallet – 
Pallet Type – </t>
  </si>
  <si>
    <t>Core  –  N/A
Width – N/A
Number Across Run/FInish –  1/1
Core Label – No
±10% –  Yes
Unwind Dir. Run – N/A
Unwind Dir. Finish –  N/A
Diecut/Continuous/Sheet –  Sheet
Partial Case –  Yes
Pieces per roll/Unit – 200
Length per roll/unit –  75'
Finish – On Press
Application – </t>
  </si>
  <si>
    <t>50522 Cost of Goods Sold</t>
  </si>
  <si>
    <t>Sheeted Part 3M SJ3550 1" Dia</t>
  </si>
  <si>
    <t>SJ3550</t>
  </si>
  <si>
    <t>Sheeted Part - 3M SJ3550 - 1" Dia</t>
  </si>
  <si>
    <t>Number Across Run/Finish –  1/1
Where Finished –  On Press
Length per Roll/Unit – 252'
Core Type –  N/A
Core Width – N/A
Core Label – No
Dividers – 
Bag Size – 
Qty. Per Bag – 2,500 Each
Box Size –  
Qty. Per Box – 1 Bags
Weight/box – 
Box Per Pallet – 
Pallet Type – </t>
  </si>
  <si>
    <t>Core  –  N/A
Width – N/A
Number Across Run/FInish –  1/1
Core Label – No
±10% –  Yes
Unwind Dir. Run – N/A
Unwind Dir. Finish –  N/A
Diecut/Continuous/Sheet –  Die Cut Sheet
Partial Case –  Yes
Pieces per roll/Unit – 2,500
Length per roll/unit –  252'
Finish – On Press
Application – </t>
  </si>
  <si>
    <t>Do not crush stems with nips or die.</t>
  </si>
  <si>
    <t>50523 Cost of Goods Sold</t>
  </si>
  <si>
    <t>Die Cut Part Arrow box label 1.75" x 4"</t>
  </si>
  <si>
    <t>7880</t>
  </si>
  <si>
    <t>Die Cut Part - Arrow box label - 1.75" x 4"</t>
  </si>
  <si>
    <t>Number Across Run/Finish –  1/1
Where Finished –  Web Techniques
Length per Roll/Unit – 334'
Core Type –  3" Paper 1/8" White Brown
Core Width – 4.5"
Core Label – No
Dividers – 
Bag Size – 
Qty. Per Bag – 1 Roll
Box Size –  24 x 24 x 6
Qty. Per Box – 
Weight/box – 
Box Per Pallet – 
Pallet Type – </t>
  </si>
  <si>
    <t>Package for internal use and storage .
This creates CAT# 19272</t>
  </si>
  <si>
    <t>Core  –  3" Paper 1/8" White Brown
Width – 4.5"
Number Across Run/FInish –  1/1
Core Label – No
±10% –  Yes
Unwind Dir. Run – Parts Out
Unwind Dir. Finish –  Parts Out
Diecut/Continuous/Sheet –  Die Cut
Partial Case –  Yes
Pieces per roll/Unit – 2,000
Length per roll/unit –  334'
Finish – Web Techniques
Application – </t>
  </si>
  <si>
    <t>50524 Cost of Goods Sold</t>
  </si>
  <si>
    <t>Sheeted Part TM 4200 24" x 18"</t>
  </si>
  <si>
    <t>1503-LYY0001</t>
  </si>
  <si>
    <t>Sheeted Part - TM 4200 - 24" x 18"</t>
  </si>
  <si>
    <t>Number Across Run/Finish –  1/1
Where Finished –  On Press
Length per Roll/Unit – 100'
Core Type –  N/A
Core Width – N/A
Core Label – No
Dividers – 
Bag Size – 
Qty. Per Bag – 50 Each
Box Size –  16 x 16 x 16
Qty. Per Box – 50 Each
Weight/box – 
Box Per Pallet – 
Pallet Type – </t>
  </si>
  <si>
    <t>Bag: 30 X 14 X 40
Fill void space in the boxes with Air Pillows.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</si>
  <si>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100'
Finish – On Press
Application – </t>
  </si>
  <si>
    <t>Clean press (Full IPA Wipedown) prior to putting materials on press.
Setup job w/ liner on top and foam on bottom very minimal wrinkles buckling added assist bar to sheeter to help cut foam tension: 10 liner tension: 45 mandrel: 3</t>
  </si>
  <si>
    <t>50525 Cost of Goods Sold</t>
  </si>
  <si>
    <t>Slit Tape 3M 93010LE 12.0" x 1,080'</t>
  </si>
  <si>
    <t>7883</t>
  </si>
  <si>
    <t>Slit Tape - 3M 93010LE - 12.0" x 1,080'</t>
  </si>
  <si>
    <t>Number Across Run/Finish –  1/1
Where Finished –  On Press
Length per Roll/Unit – 1,080
Core Type –  3" Paper 1/8" Strouse Brown
Core Width – 12.5"
Core Label – No
Dividers – 
Bag Size – 
Qty. Per Bag – 1 Rolls
Box Size –  12 x 12 x 12
Qty. Per Box – 1 Rolls
Weight/box – 
Box Per Pallet – 
Pallet Type – </t>
  </si>
  <si>
    <t>Core  –  3" Paper 1/8" Strouse Brown
Width – 12.5"
Number Across Run/FInish –  1/1
Core Label – No
±10% –  Yes
Unwind Dir. Run – Adh. Out
Unwind Dir. Finish –  Adh. Out
Diecut/Continuous/Sheet –  Continuous
Partial Case –  Yes
Pieces per roll/Unit – 1 Roll
Length per roll/unit –  1,080
Finish – On Press
Application – </t>
  </si>
  <si>
    <t>50526 Cost of Goods Sold</t>
  </si>
  <si>
    <t>Slit Tape 3M 301+ 12" x 60Yd</t>
  </si>
  <si>
    <t>7889</t>
  </si>
  <si>
    <t>Slit Tape - 3M 301+ - 12" x 60Yd</t>
  </si>
  <si>
    <t>Number Across Run/Finish –  4/1
Where Finished –  On Press
Length per Roll/Unit – 60 Yd
Core Type –  3" Paper 0.180" Brown Brown
Core Width – 12.0"
Core Label – Yes
Dividers – Paper
Bag Size – 
Qty. Per Bag – 1 Roll
Box Size –  Best Fit Per Qty
Qty. Per Box – 4 Rolls
Weight/box – 
Box Per Pallet – 
Pallet Type – </t>
  </si>
  <si>
    <t>Core  –  3" Paper 0.180" Brown Brown
Width – 12.0"
Number Across Run/FInish –  4/1
Core Label – Yes
±10% –  Yes
Unwind Dir. Run – N/A
Unwind Dir. Finish –  N/A
Diecut/Continuous/Sheet –  Continuous
Partial Case –  Yes
Pieces per roll/Unit – 1 Roll
Length per roll/unit –  60 Yd
Finish – On Press
Application – </t>
  </si>
  <si>
    <t>50527 Cost of Goods Sold</t>
  </si>
  <si>
    <t>Slit Tape 3M 56 See WO</t>
  </si>
  <si>
    <t>Slit Tape - 3M 56 - See WO</t>
  </si>
  <si>
    <t>Number Across Run/Finish –  ?/1
Where Finished –  On Press
Length per Roll/Unit – 100 Yd
Core Type –  As Recd.
Core Width – N/A
Core Label – Yes
Dividers – 
Bag Size – 
Qty. Per Bag – 1 Roll
Box Size –  Best Fit Per Qty
Qty. Per Box – Best fit 
Weight/box – 
Box Per Pallet – 
Pallet Type – </t>
  </si>
  <si>
    <t>Place a core label on the core.  Trim to fit (if needed).</t>
  </si>
  <si>
    <t>Core  –  As Recd.
Width – N/A
Number Across Run/FInish –  ?/1
Core Label – Yes
±10% –  Yes
Unwind Dir. Run – N/A
Unwind Dir. Finish –  N/A
Diecut/Continuous/Sheet –  Continuous
Partial Case –  Yes
Pieces per roll/Unit – 1 Roll
Length per roll/unit –  100 Yd
Finish – On Press
Application – </t>
  </si>
  <si>
    <t>Need 100 yd. master rolls on PLASTIC CORES</t>
  </si>
  <si>
    <t>50528 Cost of Goods Sold</t>
  </si>
  <si>
    <t>Sheeted Part PSA Capping Strip 368mm x 45mm</t>
  </si>
  <si>
    <t>E0519-20611/2</t>
  </si>
  <si>
    <t>Sheeted Part - PSA Capping Strip - 368mm x 45mm</t>
  </si>
  <si>
    <t>Number Across Run/Finish –  2/1
Where Finished –  On Press
Length per Roll/Unit – N/A
Core Type –  N/A
Core Width – N/A
Core Label – No
Dividers – 
Bag Size – 
Qty. Per Bag – 20 
Box Size –  8 x 8 x 8
Qty. Per Box – 20 
Weight/box – 
Box Per Pallet – 
Pallet Type – </t>
  </si>
  <si>
    <t>Core  –  N/A
Width – N/A
Number Across Run/FInish –  2/1
Core Label – No
±10% –  Yes
Unwind Dir. Run – N/A
Unwind Dir. Finish –  N/A
Diecut/Continuous/Sheet –  Die Cut Sheet
Partial Case –  Yes
Pieces per roll/Unit – 100
Length per roll/unit –  N/A
Finish – On Press
Application – </t>
  </si>
  <si>
    <t>50529 Cost of Goods Sold</t>
  </si>
  <si>
    <t>Laminated Tape CSM - AS203/AS203/Skyrol/AS203/Skyrol/AS203 4" x 4.5"</t>
  </si>
  <si>
    <t>MATL0050</t>
  </si>
  <si>
    <t>Laminated Tape - CSM - AS203/AS203/Skyrol/AS203/Skyrol/AS203 - 4" x 4.5"</t>
  </si>
  <si>
    <t>Number Across Run/Finish –  2/1
Where Finished –  On Press
Length per Roll/Unit – 34'
Core Type –  N/A
Core Width – N/A
Core Label – Yes
Dividers – 
Bag Size – 
Qty. Per Bag – 100 
Box Size –  Best Fit Per Qty
Qty. Per Box – 1,000 
Weight/box – 
Box Per Pallet – 
Pallet Type – </t>
  </si>
  <si>
    <t>Core  –  N/A
Width – N/A
Number Across Run/FInish –  2/1
Core Label – Yes
±10% –  Yes
Unwind Dir. Run – N/A
Unwind Dir. Finish –  N/A
Diecut/Continuous/Sheet –  Sheet
Partial Case –  Yes
Pieces per roll/Unit – 100
Length per roll/unit –  34'
Finish – On Press
Application – </t>
  </si>
  <si>
    <t xml:space="preserve">Slitting and laminating involving the AS203 Must be produced in clean room with humidity below 30% RH. Wear black nitrile gloves when handling.  </t>
  </si>
  <si>
    <t>50530 Cost of Goods Sold</t>
  </si>
  <si>
    <t>Slit Roll Nitto RB200S See Work order</t>
  </si>
  <si>
    <t>7902</t>
  </si>
  <si>
    <t>Slit Roll - Nitto RB200S - See Work order</t>
  </si>
  <si>
    <t>Number Across Run/Finish –  ?/1
Where Finished –  On Press
Length per Roll/Unit – 656'
Core Type –  As Recd.
Core Width – Various
Core Label – Yes
Dividers – Paper
Bag Size – 
Qty. Per Bag – Best fit 
Box Size –  10 x 6 x 3.75
Qty. Per Box – Best fit 
Weight/box – 
Box Per Pallet – 
Pallet Type – </t>
  </si>
  <si>
    <t>Package best fit per order quantity and slit width.
Include a C of C w/ material Shelf Life information, and a Nitto Cert.</t>
  </si>
  <si>
    <t>Core  –  As Recd.
Width – Various
Number Across Run/FInish –  ?/1
Core Label – Yes
±10% –  Yes
Unwind Dir. Run – N/A
Unwind Dir. Finish –  N/A
Diecut/Continuous/Sheet –  Continuous
Partial Case –  Yes
Pieces per roll/Unit – 1
Length per roll/unit –  656'
Finish – On Press
Application – </t>
  </si>
  <si>
    <t>50531 Cost of Goods Sold</t>
  </si>
  <si>
    <t>Sheeted Part Cool Advantage Gasket 2.346" x 6.674"</t>
  </si>
  <si>
    <t>BRZ-LN2-160-024 Rev B</t>
  </si>
  <si>
    <t>Sheeted Part - Cool Advantage Gasket - 2.346" x 6.674"</t>
  </si>
  <si>
    <t>Number Across Run/Finish –  1/1
Where Finished –  On Press
Length per Roll/Unit – 5'
Core Type –  N/A
Core Width – N/A
Core Label – 
Dividers – 
Bag Size – 
Qty. Per Bag – 1 Each
Box Size –  14 x 14 x 8
Qty. Per Box – 24 Pouches 
Weight/box – 
Box Per Pallet – 48
Pallet Type – </t>
  </si>
  <si>
    <t>Packaging:
1. - Place 1 part in each pre-printed pouch.  Seal pouch using pouch printer. Print should have expiration date and lot number.  Nominal Heat Sealer Temperature Setting - 275 °F
2. - Build case boxes with the shiny/smooth side out.
3. - Place 24 pouches in each case Cat# 19134 (10” x 6” x 3 ¾”).
4. - Print case label and apply to case lid.
5. - Place 2 “This Side Up” labels, 1 each, on the front right and back left corners of the case. Cat# 19272
6. - Place 6 cases in 13" x 11" x 12 ¼” shipping box.
7. - Place 48 shipping boxes on a pallet.  (3 Across x 4 Deep x 4 High).
See CS/SALES for partial cases, Partial pallets, and over or under shipping.
Zeltiq Lot Number and DOM are required on the Certificate of Conformance.</t>
  </si>
  <si>
    <t>Core  –  N/A
Width – N/A
Number Across Run/FInish –  1/1
Core Label – 
±10% –  Yes
Unwind Dir. Run – N/A
Unwind Dir. Finish –  N/A
Diecut/Continuous/Sheet –  Die Cut Sheet
Partial Case –  Ask
Pieces per roll/Unit – 24
Length per roll/unit –  5'
Finish – On Press
Application – </t>
  </si>
  <si>
    <t xml:space="preserve">CatID 20038 is from the alternate pouch supplier.  You can use in lieu of CatID 19992. 
Hair net and beard cover (if necessary) to be worn during die cutting and packaging operation or if otherwise working with or near product in designated work cell. </t>
  </si>
  <si>
    <t>50532 Cost of Goods Sold</t>
  </si>
  <si>
    <t>Slit Roll 3M 213 3.0" x 60Yd</t>
  </si>
  <si>
    <t>MSD02822</t>
  </si>
  <si>
    <t>Slit Roll - 3M 213 - 3.0" x 60Yd</t>
  </si>
  <si>
    <t>Number Across Run/Finish –  1/1
Where Finished –  Off Press
Length per Roll/Unit – 180'
Core Type –  N/A
Core Width – 3.0"
Core Label – No
Dividers – As Received
Bag Size – 
Qty. Per Bag – As Received 
Box Size –  14 x 14 x 8
Qty. Per Box – As Received 
Weight/box – 0
Box Per Pallet – As Received
Pallet Type – </t>
  </si>
  <si>
    <t>BOXED ITEM
Include 3M cert</t>
  </si>
  <si>
    <t>Core  –  N/A
Width – 3.0"
Number Across Run/FInish –  1/1
Core Label – No
±10% –  Yes
Unwind Dir. Run – N/A
Unwind Dir. Finish –  N/A
Diecut/Continuous/Sheet –  Continuous
Partial Case –  Yes
Pieces per roll/Unit – 
Length per roll/unit –  180'
Finish – Off Press
Application – </t>
  </si>
  <si>
    <t>50533 Cost of Goods Sold</t>
  </si>
  <si>
    <t>Slit Roll 3M 1533L 3.0" x 72Yd</t>
  </si>
  <si>
    <t>Slit Roll - 3M 1533L - 3.0" x 72Yd</t>
  </si>
  <si>
    <t>Number Across Run/Finish –  1/1
Where Finished –  Off Press
Length per Roll/Unit – 216'
Core Type –  N/A
Core Width – 3.0"
Core Label – No
Dividers – 
Bag Size – 
Qty. Per Bag – 4 Rolls
Box Size –  14 x 14 x 8
Qty. Per Box – 16 Rolls
Weight/box – 
Box Per Pallet – 
Pallet Type – </t>
  </si>
  <si>
    <t>Core  –  N/A
Width – 3.0"
Number Across Run/FInish –  1/1
Core Label – No
±10% –  Yes
Unwind Dir. Run – N/A
Unwind Dir. Finish –  N/A
Diecut/Continuous/Sheet –  Continuous
Partial Case –  Yes
Pieces per roll/Unit – 
Length per roll/unit –  216'
Finish – Off Press
Application – </t>
  </si>
  <si>
    <t>50534 Cost of Goods Sold</t>
  </si>
  <si>
    <t>Slit Roll 3M 1533L 6.0" x 72Yd</t>
  </si>
  <si>
    <t>Slit Roll - 3M 1533L - 6.0" x 72Yd</t>
  </si>
  <si>
    <t>Number Across Run/Finish –  1/1
Where Finished –  Off Press
Length per Roll/Unit – 216'
Core Type –  N/A
Core Width – N/A
Core Label – No
Dividers – 
Bag Size – 
Qty. Per Bag – 2 Rolls
Box Size –  8 x 8 x 8
Qty. Per Box – 8 Rolls
Weight/box – 
Box Per Pallet – 
Pallet Type – </t>
  </si>
  <si>
    <t>Core  –  N/A
Width – N/A
Number Across Run/FInish –  1/1
Core Label – No
±10% –  Yes
Unwind Dir. Run – N/A
Unwind Dir. Finish –  N/A
Diecut/Continuous/Sheet –  Continuous
Partial Case –  Yes
Pieces per roll/Unit – 
Length per roll/unit –  216'
Finish – Off Press
Application – </t>
  </si>
  <si>
    <t>50535 Cost of Goods Sold</t>
  </si>
  <si>
    <t>Slit Tape 3M 9495LE 2" x 180'</t>
  </si>
  <si>
    <t>9495LE</t>
  </si>
  <si>
    <t>Slit Tape - 3M 9495LE - 2" x 180'</t>
  </si>
  <si>
    <t>Number Across Run/Finish –  26/1
Where Finished –  On Press
Length per Roll/Unit – 60 Yd
Core Type –  As Recd.
Core Width – 2"
Core Label – Yes
Dividers – Paper
Bag Size – 
Qty. Per Bag – 4 Rolls
Box Size –  14 x 14 x 14
Qty. Per Box – 4 Rolls
Weight/box – 
Box Per Pallet – 
Pallet Type – </t>
  </si>
  <si>
    <t>Core  –  As Recd.
Width – 2"
Number Across Run/FInish –  26/1
Core Label – Yes
±10% –  Yes
Unwind Dir. Run – N/A
Unwind Dir. Finish –  N/A
Diecut/Continuous/Sheet –  Continuous
Partial Case –  Yes
Pieces per roll/Unit – 1 Roll
Length per roll/unit –  60 Yd
Finish – On Press
Application – </t>
  </si>
  <si>
    <t>50536 Cost of Goods Sold</t>
  </si>
  <si>
    <t>Slit foam Tape ST-2115, 1/2" Thick 1.0" x 20'</t>
  </si>
  <si>
    <t>896032</t>
  </si>
  <si>
    <t>Slit foam Tape - ST-2115, 1/2" Thick - 1.0" x 20'</t>
  </si>
  <si>
    <t>Number Across Run/Finish –  25/1
Where Finished –  On Press
Length per Roll/Unit – 20'
Core Type –  See Notes
Core Width – 1.0"
Core Label – No
Dividers – Paper top &amp; Bottom
Bag Size – 
Qty. Per Bag – 
Box Size –  12 x 12 x 13
Qty. Per Box – 14 Rolls
Weight/box – 
Box Per Pallet – 
Pallet Type – </t>
  </si>
  <si>
    <t>Paper divider; top &amp; bottom of box only.
Include Strouse C of C.</t>
  </si>
  <si>
    <t>Core  –  See Notes
Width – 1.0"
Number Across Run/FInish –  25/1
Core Label – No
±10% –  Yes
Unwind Dir. Run – Adh. In
Unwind Dir. Finish –  Adh. In
Diecut/Continuous/Sheet –  Continuous
Partial Case –  Yes
Pieces per roll/Unit – 1 Roll
Length per roll/unit –  20'
Finish – On Press
Application – </t>
  </si>
  <si>
    <t>P3: For production reporting use 25 rolls per log.</t>
  </si>
  <si>
    <t>50537 Cost of Goods Sold</t>
  </si>
  <si>
    <t>Die Cut Part Front Preform Juno 17mm x 17.82mm</t>
  </si>
  <si>
    <t>2PMH00413</t>
  </si>
  <si>
    <t>Die Cut Part - Front Preform Juno - 17mm x 17.82mm</t>
  </si>
  <si>
    <t>Number Across Run/Finish –  3/1
Where Finished –  On Press
Length per Roll/Unit – 863'
Core Type –  3" Plastic 0.10" HDPE
Core Width – 1.461 mm
Core Label – Yes
Dividers – Lexmark style
Bag Size – 
Qty. Per Bag – 1 Roll
Box Size –  12 x 12 x 13
Qty. Per Box – 8 M
Weight/box – 
Box Per Pallet – 
Pallet Type – </t>
  </si>
  <si>
    <t>FINISH REWINDING . Hold roll in left hand and pull tabs across, tab to be on TOP Plastic Cores, Core Labels.</t>
  </si>
  <si>
    <t>Core  –  3" Plastic 0.10" HDPE
Width – 1.461 mm
Number Across Run/FInish –  3/1
Core Label – Yes
±10% –  Yes
Unwind Dir. Run – See note
Unwind Dir. Finish –  See note
Diecut/Continuous/Sheet –  Continuous Die Cut
Partial Case –  Yes
Pieces per roll/Unit – 12,500
Length per roll/unit –  863'
Finish – On Press
Application – </t>
  </si>
  <si>
    <t>Be aware of possible part misalignment when backing up rolls.  Tape Guide spacers are in bag marked JJ 7938 on peg board with other tape guide spacers.
--MUST USE PLASTIC PALLETS</t>
  </si>
  <si>
    <t>50538 Cost of Goods Sold</t>
  </si>
  <si>
    <t>Die Cut Part Top Preform Juno 28.18mm x 17.82mm</t>
  </si>
  <si>
    <t>2PMH00412</t>
  </si>
  <si>
    <t>Die Cut Part - Top Preform Juno - 28.18mm x 17.82mm</t>
  </si>
  <si>
    <t>Number Across Run/Finish –  4/1
Where Finished –  Off Press
Length per Roll/Unit – 662'
Core Type –  3" Plastic 0.10" HDPE
Core Width – 37.1 mm
Core Label – Yes
Dividers – Lexmark style
Bag Size – 
Qty. Per Bag – 1 Roll
Box Size –  12 x 12 x 10
Qty. Per Box – 50 M
Weight/box – 13
Box Per Pallet – 
Pallet Type – </t>
  </si>
  <si>
    <t>Rewind Direction Note:
Hold the roll in your RIGHT hand and unwind roll from the top going to the LEFT.  The TAB should be on the BOTTOM, with a 3' leader.  
Parts Out.  6,250 parts (662 ft) per roll.
Rolls not to exceed 12"
For CEBU shipments - MUST USE PLASTIC PALLETS</t>
  </si>
  <si>
    <t>Core  –  3" Plastic 0.10" HDPE
Width – 37.1 mm
Number Across Run/FInish –  4/1
Core Label – Yes
±10% –  Yes
Unwind Dir. Run – See Note
Unwind Dir. Finish –  See Note
Diecut/Continuous/Sheet –  Die Cut
Partial Case –  Yes
Pieces per roll/Unit – 6,250
Length per roll/unit –  662'
Finish – Off Press
Application – </t>
  </si>
  <si>
    <t>Use tape guides marked 7179 for this job.</t>
  </si>
  <si>
    <t>50539 Cost of Goods Sold</t>
  </si>
  <si>
    <t>547800310</t>
  </si>
  <si>
    <t>Number Across Run/Finish –  29/1
Where Finished –  On Press
Length per Roll/Unit – 180'
Core Type –  3" Paper 0.180" Brown Brown
Core Width – 1"
Core Label – Yes
Dividers – Paper
Bag Size – 
Qty. Per Bag – 9 Rolls
Box Size –  12 x 12 x 10
Qty. Per Box – 36 Rolls
Weight/box – 19
Box Per Pallet – 
Pallet Type – </t>
  </si>
  <si>
    <t>Core  –  3" Paper 0.180" Brown Brown
Width – 1"
Number Across Run/FInish –  29/1
Core Label – Yes
±10% –  No
Unwind Dir. Run – Adh. In 
Unwind Dir. Finish –  Adh. In 
Diecut/Continuous/Sheet –  Continuous
Partial Case –  Yes
Pieces per roll/Unit – 1
Length per roll/unit –  180'
Finish – On Press
Application – </t>
  </si>
  <si>
    <t>50540 Cost of Goods Sold</t>
  </si>
  <si>
    <t>Die Cut Part MacTac IB1200XTW60, Triangle 4.0" x 2.0"</t>
  </si>
  <si>
    <t>ADTRIANGLE1</t>
  </si>
  <si>
    <t>Die Cut Part - MacTac IB1200XTW60, Triangle - 4.0" x 2.0"</t>
  </si>
  <si>
    <t>Number Across Run/Finish –  2/2
Where Finished –  On Press
Length per Roll/Unit – 625'
Core Type –  3" Paper (1/8" wall)
Core Width – 3.125"
Core Label – Yes
Dividers – 
Bag Size – 
Qty. Per Bag – 5 M
Box Size –  13 x 6 x 2.5 WH
Qty. Per Box – 10 M
Weight/box – 
Box Per Pallet – 
Pallet Type – </t>
  </si>
  <si>
    <t>Core  –  3" Paper (1/8" wall)
Width – 3.125"
Number Across Run/FInish –  2/2
Core Label – Yes
±10% –  Yes
Unwind Dir. Run – Parts Out 
Unwind Dir. Finish –  Parts Out
Diecut/Continuous/Sheet –  Continuous Die Cut
Partial Case –  Yes
Pieces per roll/Unit – 5,000
Length per roll/unit –  625'
Finish – On Press
Application – </t>
  </si>
  <si>
    <t>50541 Cost of Goods Sold</t>
  </si>
  <si>
    <t>Sheeted Part Cool Advantage Plus Gasket 9.802" x 2.556"</t>
  </si>
  <si>
    <t>BRZ-LN1-180-016 Rev A</t>
  </si>
  <si>
    <t>Sheeted Part - Cool Advantage Plus Gasket - 9.802" x 2.556"</t>
  </si>
  <si>
    <t>Number Across Run/Finish –  1/1
Where Finished –  On Press
Length per Roll/Unit – 4'
Core Type –  N/A
Core Width – N/A
Core Label – 
Dividers – 
Bag Size – 
Qty. Per Bag – 1 Each
Box Size –  14 x 14 x 8
Qty. Per Box – 16 Pouches 
Weight/box – 
Box Per Pallet – 27
Pallet Type – </t>
  </si>
  <si>
    <t>Packaging:
1. - Place 1 part in each pre-printed pouch.  Seal pouch using pouch printer. Print should have expiration date and lot number.  Nominal Heat Sealer Temperature Setting - 275 °F
2. - Build case boxes with the shiny/smooth side out.
3. - Place 16 pouches in each case Cat# 19462 (13" x 6" x 2.5").
4. - Print case label and apply to case lid.
5. - Place 2 “This Side Up” labels, 1 each, on the front right and back left corners of the case. Cat# 19272
6. - Place 10 cases in 14” x 14” x 14” shipping box.
7. - Place 27 shipping boxes on a pallet.  No more than 3 layers high.
8. - Place layer of plastic on top of each layer of white cases.  (5 Pieces per brown shipping box).
See CS/SALES for partial cases, Partial pallets, and over or under shipping.
Zeltiq Lot Number and DOM are required on the Certificate of Conformance.</t>
  </si>
  <si>
    <t>Core  –  N/A
Width – N/A
Number Across Run/FInish –  1/1
Core Label – 
±10% –  Yes
Unwind Dir. Run – N/A
Unwind Dir. Finish –  N/A
Diecut/Continuous/Sheet –  Die Cut Sheet
Partial Case –  Ask
Pieces per roll/Unit – 16
Length per roll/unit –  4'
Finish – On Press
Application – </t>
  </si>
  <si>
    <t>50542 Cost of Goods Sold</t>
  </si>
  <si>
    <t>Slit Roll ABI 7405 30" x 200Yd</t>
  </si>
  <si>
    <t>17313</t>
  </si>
  <si>
    <t>Slit Roll - ABI 7405 - 30" x 200Yd</t>
  </si>
  <si>
    <t>Number Across Run/Finish –  1/1
Where Finished –  Off Press
Length per Roll/Unit – 600'
Core Type –  N/A
Core Width – 30"
Core Label – No
Dividers – As received
Bag Size – 
Qty. Per Bag – As received 
Box Size –  8 x 8 x 8
Qty. Per Box – As received 
Weight/box – 0
Box Per Pallet – As received
Pallet Type – </t>
  </si>
  <si>
    <t>BOXED ITEM
Material Certificate Requirements:
Must be on supplier's letterhead "C of C"; (not manufacturer's).
Must include DiMax PO Number and Part Number.
Must include Origin Date, Shelf Life and Expiration Date of adhesive (if applicable).</t>
  </si>
  <si>
    <t>Core  –  N/A
Width – 30"
Number Across Run/FInish –  1/1
Core Label – No
±10% –  Yes
Unwind Dir. Run – N/A
Unwind Dir. Finish –  N/A
Diecut/Continuous/Sheet –  Continuous
Partial Case –  Yes
Pieces per roll/Unit – 
Length per roll/unit –  600'
Finish – Off Press
Application – </t>
  </si>
  <si>
    <t>50543 Cost of Goods Sold</t>
  </si>
  <si>
    <t>Sheeted Part 3M 9795R with 10mm extended liner on both sides 19.75mm x 75mm</t>
  </si>
  <si>
    <t>DMP-238004-0120 R2.2</t>
  </si>
  <si>
    <t>Sheeted Part - 3M 9795R with 10mm extended liner on both sides - 19.75mm x 75mm</t>
  </si>
  <si>
    <t>Number Across Run/Finish –  1/1
Where Finished –  On Press
Length per Roll/Unit – 33'
Core Type –  N/A
Core Width – N/A
Core Label – No
Dividers – 
Bag Size – 
Qty. Per Bag – 500 Each
Box Size –  6 x 6 x 6
Qty. Per Box – 15 M
Weight/box – 
Box Per Pallet – 
Pallet Type – </t>
  </si>
  <si>
    <t>Part orientation in bags is not critical; as long as they are stacked neatly, per Mark M.</t>
  </si>
  <si>
    <t>Core  –  N/A
Width – N/A
Number Across Run/FInish –  1/1
Core Label – No
±10% –  Yes
Unwind Dir. Run – N/A
Unwind Dir. Finish –  N/A
Diecut/Continuous/Sheet –  Die Cut Sheet
Partial Case –  Yes
Pieces per roll/Unit – 500
Length per roll/unit –  33'
Finish – On Press
Application – </t>
  </si>
  <si>
    <t>50544 Cost of Goods Sold</t>
  </si>
  <si>
    <t>Sheeted Part Insulator, Bottom Latch Bracket 3.5" x 2"</t>
  </si>
  <si>
    <t>3270281</t>
  </si>
  <si>
    <t>Sheeted Part - Insulator, Bottom Latch Bracket - 3.5" x 2"</t>
  </si>
  <si>
    <t>Number Across Run/Finish –  1/1
Where Finished –  On Press
Length per Roll/Unit – 16'
Core Type –  N/A
Core Width – N/A
Core Label – No
Dividers – 
Bag Size – 
Qty. Per Bag – 100 Each
Box Size –  
Qty. Per Box – 400 Each
Weight/box – 
Box Per Pallet – 
Pallet Type – </t>
  </si>
  <si>
    <t>Include a C of C with 3M Lot #'s and 3M Certs for both materials.</t>
  </si>
  <si>
    <t>Core  –  N/A
Width – N/A
Number Across Run/FInish –  1/1
Core Label – No
±10% –  Yes
Unwind Dir. Run – N/A
Unwind Dir. Finish –  N/A
Diecut/Continuous/Sheet –  Sheet
Partial Case –  Yes
Pieces per roll/Unit – 100
Length per roll/unit –  16'
Finish – On Press
Application – </t>
  </si>
  <si>
    <t>Drawing = JT_7994</t>
  </si>
  <si>
    <t>50545 Cost of Goods Sold</t>
  </si>
  <si>
    <t>Slit Tape DC-PEF06A Black 0.75" x 36Yd</t>
  </si>
  <si>
    <t>895932</t>
  </si>
  <si>
    <t>Slit Tape - DC-PEF06A Black - 0.75" x 36Yd</t>
  </si>
  <si>
    <t>Number Across Run/Finish –  1/
Where Finished –  
Length per Roll/Unit – 
Core Type –  N/A
Core Width – As Rec'd
Core Label – 
Dividers – 
Bag Size – 
Qty. Per Bag – As Received 
Box Size –  14 x 14 x 8
Qty. Per Box – As Received 
Weight/box – 
Box Per Pallet – 
Pallet Type – </t>
  </si>
  <si>
    <t>Core  –  N/A
Width – As Rec'd
Number Across Run/FInish –  1/
Core Label – 
±10% –  Yes
Unwind Dir. Run – 
Unwind Dir. Finish –  
Diecut/Continuous/Sheet –  
Partial Case –  No
Pieces per roll/Unit – 
Length per roll/unit –  
Finish – 
Application – </t>
  </si>
  <si>
    <t>50546 Cost of Goods Sold</t>
  </si>
  <si>
    <t>Slit Roll 3M 467MP 24" x 60Yd</t>
  </si>
  <si>
    <t>467MP/24</t>
  </si>
  <si>
    <t>Slit Roll - 3M 467MP - 24" x 60Yd</t>
  </si>
  <si>
    <t>Number Across Run/Finish –  1/1
Where Finished –  Off Press
Length per Roll/Unit – 180'
Core Type –  N/A
Core Width – 24.0"
Core Label – No
Dividers – As Received
Bag Size – 
Qty. Per Bag – As Received 
Box Size –  12 x 12 x 10
Qty. Per Box – As Received 
Weight/box – 0
Box Per Pallet – As Received
Pallet Type – </t>
  </si>
  <si>
    <t>Core  –  N/A
Width – 24.0"
Number Across Run/FInish –  1/1
Core Label – No
±10% –  Yes
Unwind Dir. Run – N/A
Unwind Dir. Finish –  N/A
Diecut/Continuous/Sheet –  Continuous
Partial Case –  Yes
Pieces per roll/Unit – 
Length per roll/unit –  180'
Finish – Off Press
Application – </t>
  </si>
  <si>
    <t>50547 Cost of Goods Sold</t>
  </si>
  <si>
    <t>Slit Roll 3M 231 masking tape 1/8" x 60Yd</t>
  </si>
  <si>
    <t>8021</t>
  </si>
  <si>
    <t>Slit Roll - 3M 231 masking tape   - 1/8" x 60Yd</t>
  </si>
  <si>
    <t>Number Across Run/Finish –  448/1
Where Finished –  On Press
Length per Roll/Unit – 180'
Core Type –  3" Plastic 0.10" HDPE
Core Width – 0.125"
Core Label – No
Dividers – Paper
Bag Size – 
Qty. Per Bag – 36 Rolls
Box Size –  13.9375 x 4.3125 x 17.5625
Qty. Per Box – 144 Rolls
Weight/box – 
Box Per Pallet – 
Pallet Type – </t>
  </si>
  <si>
    <t>Core  –  3" Plastic 0.10" HDPE
Width – 0.125"
Number Across Run/FInish –  448/1
Core Label – No
±10% –  Yes
Unwind Dir. Run – N/A
Unwind Dir. Finish –  N/A
Diecut/Continuous/Sheet –  Continuous
Partial Case –  Yes
Pieces per roll/Unit – 1 Roll
Length per roll/unit –  180'
Finish – On Press
Application – </t>
  </si>
  <si>
    <t>50548 Cost of Goods Sold</t>
  </si>
  <si>
    <t>Die Cut Part Hose Card Plug/Hose Cover 3.44" x 2.75"</t>
  </si>
  <si>
    <t>See Comments</t>
  </si>
  <si>
    <t>Die Cut Part - Hose Card Plug/Hose Cover - 3.44" x 2.75"</t>
  </si>
  <si>
    <t>Number Across Run/Finish –  2/1
Where Finished –  Off Press
Length per Roll/Unit – 625'
Core Type –  6" Paper 3/8" Brown Brown
Core Width – N/A
Core Label – No
Dividers – 
Bag Size – 
Qty. Per Bag – 
Box Size –  12 x 12 x 4
Qty. Per Box – 3 M
Weight/box – 
Box Per Pallet – 48 (120 M)
Pallet Type – </t>
  </si>
  <si>
    <t>Fanfold into stacks of 2,500 parts (625 folds).  Special box - see Drawing.
Include stock W/O #'s on Strouse C of C.
Remove hose cards with splices in the card stock.  No more than 2 missing hose cards in a row.  Use 2" tape for splices, splice at perforation, use a butt splice with no overlap,  the splice tape must cover the entire width of the web.  Place 1 label on each box - the narrow side that the "tail" would exit the box.
NOTE: Please be sure to use the correct pallet and label designated for the shipping destination. (Germany requires a 4-way pallet, and a separate label from Eden Prairie/Mexico.)
NOTE: Do not put partial cases in finished goods.  Operators/ finishers should try to run full cases, extra parts would be considered waste.
Production Packaging Specs:
- 40" x 48" Heat Treated Pallet
- Placed boxes on skid in 3 rows of 8 boxes per row stacked 2 layers high with chipboard between layers to make 48 boxes per skid. 
- 2 layers high
- No material can overhang the pallet.
- Edge protector for each corner of the pallet.
- Pallet must be shrink wrapped.
- Pallet height not to exceed 48" tall.
- Boxes to be placed on pallet in upright orientation only.
- Mark pallet as "Do Not Stack".</t>
  </si>
  <si>
    <t>Core  –  6" Paper 3/8" Brown Brown
Width – N/A
Number Across Run/FInish –  2/1
Core Label – No
±10% –  Yes
Unwind Dir. Run – N/A
Unwind Dir. Finish –  N/A
Diecut/Continuous/Sheet –  Die Cut
Partial Case –  No
Pieces per roll/Unit – 2,500
Length per roll/unit –  625'
Finish – Off Press
Application – </t>
  </si>
  <si>
    <t>Printing:  Orient the printing plate such that the Bair Hugger logo is on the side closest to the gear.
May achieve better ink adhesion on "rough" side of HIPS
Use 2 static eliminators on adhesive liner rewind. MS
See Work Order for PN and Ship To	US / Mexico PN - 78-8083-7141-9    SAP 1100002138    Label 8022 US_Mexico
				     Germany PN - 78-8083-7342-3    SAP 4100023713    Label 8022 Germany</t>
  </si>
  <si>
    <t>50549 Cost of Goods Sold</t>
  </si>
  <si>
    <t>Sheeted Part CSM - 5 mil PP 120mm x 120mm</t>
  </si>
  <si>
    <t>29223347 Rev. AC</t>
  </si>
  <si>
    <t>Sheeted Part - CSM - 5 mil PP - 120mm x 120mm</t>
  </si>
  <si>
    <t>Number Across Run/Finish –  2/1
Where Finished –  On Press
Length per Roll/Unit – 102'
Core Type –  N/A
Core Width – N/A
Core Label – No
Dividers – 
Bag Size – 
Qty. Per Bag – 250 Each
Box Size –  Best Fit Per Qty
Qty. Per Box – 3 M
Weight/box – 
Box Per Pallet – 
Pallet Type – </t>
  </si>
  <si>
    <t>Roll low tack carrier under to start dispensing the edge of the part then peel of once you have enough of the part to hold on to without creasing, wrinkling or otherwise damaging the part.
DOUBLE BAG EACH PACK!</t>
  </si>
  <si>
    <t>Core  –  N/A
Width – N/A
Number Across Run/FInish –  2/1
Core Label – No
±10% –  Yes
Unwind Dir. Run – N/A
Unwind Dir. Finish –  N/A
Diecut/Continuous/Sheet –  Die Cut Sheet
Partial Case –  Yes
Pieces per roll/Unit – 250
Length per roll/unit –  102'
Finish – On Press
Application – </t>
  </si>
  <si>
    <t>50550 Cost of Goods Sold</t>
  </si>
  <si>
    <t>Slit Tape RB200S slit to multiple widths Various x 656'</t>
  </si>
  <si>
    <t>8036</t>
  </si>
  <si>
    <t>Slit Tape - RB200S slit to multiple widths - Various x 656'</t>
  </si>
  <si>
    <t>Number Across Run/Finish –  1/1
Where Finished –  On Press
Length per Roll/Unit – 656'
Core Type –  As Recd.
Core Width – Various
Core Label – Yes
Dividers – Paper
Bag Size – 
Qty. Per Bag – 1 Roll
Box Size –  22 x 22 x 22 275lb
Qty. Per Box – 4 Rolls
Weight/box – 
Box Per Pallet – 
Pallet Type – </t>
  </si>
  <si>
    <t>Core  –  As Recd.
Width – Various
Number Across Run/FInish –  1/1
Core Label – Yes
±10% –  Yes
Unwind Dir. Run – N/A
Unwind Dir. Finish –  N/A
Diecut/Continuous/Sheet –  Continuous
Partial Case –  Yes
Pieces per roll/Unit – 1 Roll
Length per roll/unit –  656'
Finish – On Press
Application – </t>
  </si>
  <si>
    <t>50551 Cost of Goods Sold</t>
  </si>
  <si>
    <t>Die Cut Part Hose Card, Narrow, MNL 4" x 3.25"</t>
  </si>
  <si>
    <t>78-8083-8930-4 Rev C</t>
  </si>
  <si>
    <t>Die Cut Part - Hose Card, Narrow, MNL - 4" x 3.25"</t>
  </si>
  <si>
    <t>Number Across Run/Finish –  2/1
Where Finished –  On Press
Length per Roll/Unit – 860'
Core Type –  6" Paper 3/8" Brown Brown
Core Width – 3.75"
Core Label – Yes
Dividers – 19 x 19 Cardboard
Bag Size – 
Qty. Per Bag – 1 Roll
Box Size –  CUSTOMER SUPPLIED
Qty. Per Box – 13 M
Weight/box – 
Box Per Pallet – 4 (50 M) 
Pallet Type – </t>
  </si>
  <si>
    <t>Remove hose cards with splices in the card stock.  No more than 2 missing hose cards in a row.
Use 2" tape for splices, splice between parts, use a butt splice with no overlap, and assure that the splice tape covers the entire width of the web.
5 rolls per box.  Stack boxes 2 high x 2 across on pallet, 4 boxes per pallet (package rolls in boxes while they are on the pallet).
NOTE: Do not put partial cases in finished goods. Operators/ finishers should try to run full cases, extra parts would be considered waste.  
Include stock W/O #'s on Strouse C of C.</t>
  </si>
  <si>
    <t>Core  –  6" Paper 3/8" Brown Brown
Width – 3.75"
Number Across Run/FInish –  2/1
Core Label – Yes
±10% –  Yes
Unwind Dir. Run – See notes
Unwind Dir. Finish –  See notes
Diecut/Continuous/Sheet –  Die Cut
Partial Case –  No
Pieces per roll/Unit – 2,500
Length per roll/unit –  860'
Finish – On Press
Application – </t>
  </si>
  <si>
    <t>Die cutting - Finished roll to have bear in bottom left corner as roll is unwinding from left to right.  DO not use Hydra-jacks.  Use bolt hold downs instead.</t>
  </si>
  <si>
    <t>50552 Cost of Goods Sold</t>
  </si>
  <si>
    <t>Slit Tape CSM - 5100-85 6" x 25Yd</t>
  </si>
  <si>
    <t>5100-85/6.0</t>
  </si>
  <si>
    <t>Slit Tape - CSM - 5100-85 - 6" x 25Yd</t>
  </si>
  <si>
    <t>Number Across Run/Finish –  8/1
Where Finished –  On Press
Length per Roll/Unit – 25 Yd
Core Type –  As Recd.
Core Width – 6.0"
Core Label – No
Dividers – Paper
Bag Size – 
Qty. Per Bag – 
Box Size –  8 x 8 x 8
Qty. Per Box – 8 Rolls
Weight/box – 
Box Per Pallet – 
Pallet Type – </t>
  </si>
  <si>
    <t>Use an end plug on both of the end rolls and double sided plugs between each of the remaining rolls; with paper dividers.</t>
  </si>
  <si>
    <t>Core  –  As Recd.
Width – 6.0"
Number Across Run/FInish –  8/1
Core Label – No
±10% –  Yes
Unwind Dir. Run – N/A
Unwind Dir. Finish –  N/A
Diecut/Continuous/Sheet –  Continuous
Partial Case –  Yes
Pieces per roll/Unit – 1 Roll
Length per roll/unit –  25 Yd
Finish – On Press
Application – </t>
  </si>
  <si>
    <t>50553 Cost of Goods Sold</t>
  </si>
  <si>
    <t>Sheeted Part Acrylic Foam Tape 2.95" x 2.95"</t>
  </si>
  <si>
    <t>75350</t>
  </si>
  <si>
    <t>Sheeted Part - Acrylic Foam Tape - 2.95" x 2.95"</t>
  </si>
  <si>
    <t>Number Across Run/Finish –  2/1
Where Finished –  On Press
Length per Roll/Unit – 16'
Core Type –  N/A
Core Width – N/A
Core Label – No
Dividers – 
Bag Size – 
Qty. Per Bag – 500 Each
Box Size –  12 x 12 x 4
Qty. Per Box – 2,000 Each
Weight/box – 
Box Per Pallet – 
Pallet Type – </t>
  </si>
  <si>
    <t>Core  –  N/A
Width – N/A
Number Across Run/FInish –  2/1
Core Label – No
±10% –  Yes
Unwind Dir. Run – N/A
Unwind Dir. Finish –  N/A
Diecut/Continuous/Sheet –  Die Cut Sheet
Partial Case –  Yes
Pieces per roll/Unit – 
Length per roll/unit –  16'
Finish – On Press
Application – </t>
  </si>
  <si>
    <t>50554 Cost of Goods Sold</t>
  </si>
  <si>
    <t>Die Cut Part 3M 5906 Filter Adh. 2.115" x 0.200"</t>
  </si>
  <si>
    <t>7924800 Rev. C</t>
  </si>
  <si>
    <t>Die Cut Part - 3M 5906 Filter Adh. - 2.115" x 0.200"</t>
  </si>
  <si>
    <t>Number Across Run/Finish –  1000/1
Where Finished –  On Press
Length per Roll/Unit – 188'
Core Type –  3" Paper 1/8" Strouse Brown
Core Width – 0.500"
Core Label – No
Dividers – 
Bag Size – 
Qty. Per Bag – 2000 Rolls
Box Size –  14 x 14 x 14
Qty. Per Box – 2,000 M
Weight/box – 
Box Per Pallet – 
Pallet Type – </t>
  </si>
  <si>
    <t>Core  –  3" Paper 1/8" Strouse Brown
Width – 0.500"
Number Across Run/FInish –  1000/1
Core Label – No
±10% –  Yes
Unwind Dir. Run – N/A
Unwind Dir. Finish –  Parts Out
Diecut/Continuous/Sheet –  Die Cut
Partial Case –  Yes
Pieces per roll/Unit – 1,000
Length per roll/unit –  188'
Finish – On Press
Application – </t>
  </si>
  <si>
    <t>50555 Cost of Goods Sold</t>
  </si>
  <si>
    <t>Die Cut Perf on a Roll ABI 7333 360mm x 168mm</t>
  </si>
  <si>
    <t>05330-THRA-A000-AA</t>
  </si>
  <si>
    <t>Die Cut Perf on a Roll - ABI 7333 - 360mm x 168mm</t>
  </si>
  <si>
    <t>Number Across Run/Finish –  1/1
Where Finished –  On Press
Length per Roll/Unit – 615'
Core Type –  3" Paper 1/8" White Brown
Core Width – 7.0"
Core Label – Yes
Dividers – 
Bag Size – 
Qty. Per Bag – 2 Rolls
Box Size –  10 x 10 x 10
Qty. Per Box – 4 M
Weight/box – 
Box Per Pallet – 
Pallet Type – </t>
  </si>
  <si>
    <t>Please put a box label on two adjacent sides.  
Partial case to be marked as such.
Box Label "8093 Box" - Must have "Die cut Perf on a roll, ABI 7333; 168mm x 360mm, 500 per roll, 8 rolls per case, 4000 parts."
Core Label "8093 Core" - Must have "Part #, Lot #, and 500/roll"</t>
  </si>
  <si>
    <t>Core  –  3" Paper 1/8" White Brown
Width – 7.0"
Number Across Run/FInish –  1/1
Core Label – Yes
±10% –  Yes
Unwind Dir. Run – See Drawing
Unwind Dir. Finish –  See Drawing
Diecut/Continuous/Sheet –  Continuous Die Cut
Partial Case –  Yes
Pieces per roll/Unit – 500
Length per roll/unit –  615'
Finish – On Press
Application – </t>
  </si>
  <si>
    <t xml:space="preserve">Need to use Allied 3 only </t>
  </si>
  <si>
    <t>50556 Cost of Goods Sold</t>
  </si>
  <si>
    <t>Sheeted Part Insulator, Door Strap 1.0" x 2.5"</t>
  </si>
  <si>
    <t>3278004</t>
  </si>
  <si>
    <t>Sheeted Part - Insulator, Door Strap - 1.0" x 2.5"</t>
  </si>
  <si>
    <t>Number Across Run/Finish –  2/1
Where Finished –  On Press
Length per Roll/Unit – 1'
Core Type –  N/A
Core Width – N/A
Core Label – No
Dividers – 
Bag Size – 
Qty. Per Bag – 50 Each
Box Size –  12 x 12 x 10
Qty. Per Box – 50 Each
Weight/box – 
Box Per Pallet – 
Pallet Type – </t>
  </si>
  <si>
    <t>Core  –  N/A
Width – N/A
Number Across Run/FInish –  2/1
Core Label – No
±10% –  Yes
Unwind Dir. Run – N/A
Unwind Dir. Finish –  N/A
Diecut/Continuous/Sheet –  Sheet
Partial Case –  Yes
Pieces per roll/Unit – 25
Length per roll/unit –  1'
Finish – On Press
Application – </t>
  </si>
  <si>
    <t>50557 Cost of Goods Sold</t>
  </si>
  <si>
    <t>Die Cut Part 3M 468MP 12.13mm x 28mm w/ 12mm tab</t>
  </si>
  <si>
    <t>61-9023-41</t>
  </si>
  <si>
    <t>Die Cut Part - 3M 468MP - 12.13mm x 28mm w/ 12mm tab</t>
  </si>
  <si>
    <t>Number Across Run/Finish –  1/1
Where Finished –  On Press
Length per Roll/Unit – 210'
Core Type –  3" Paper 1/8" White Brown
Core Width – 1.875"
Core Label – Yes
Dividers – 
Bag Size – 
Qty. Per Bag – 4 Rolls
Box Size –  12 x 12 x 10
Qty. Per Box – 16 M
Weight/box – 
Box Per Pallet – 
Pallet Type – </t>
  </si>
  <si>
    <t xml:space="preserve">FINISH WIND DIRECTIN LEFT TO RIGHT PARTS OUT TAB AT THE TOP
</t>
  </si>
  <si>
    <t>Core  –  3" Paper 1/8" White Brown
Width – 1.875"
Number Across Run/FInish –  1/1
Core Label – Yes
±10% –  Yes
Unwind Dir. Run – Parts Out
Unwind Dir. Finish –  Parts Out
Diecut/Continuous/Sheet –  Die Cut
Partial Case –  Yes
Pieces per roll/Unit – 4,000
Length per roll/unit –  210'
Finish – On Press
Application – </t>
  </si>
  <si>
    <t>50558 Cost of Goods Sold</t>
  </si>
  <si>
    <t>Die Cut Part 3M 468MP 12.13mm x 20mm w/ 12mm tab</t>
  </si>
  <si>
    <t>61-9023-40</t>
  </si>
  <si>
    <t>Die Cut Part - 3M 468MP - 12.13mm x 20mm w/ 12mm tab</t>
  </si>
  <si>
    <t>Number Across Run/Finish –  2/1
Where Finished –  On Press
Length per Roll/Unit – 210'
Core Type –  3" Paper 1/8" White Brown
Core Width – 1.500"
Core Label – Yes
Dividers – 
Bag Size – 
Qty. Per Bag – 4 M
Box Size –  13 x 13 x 13
Qty. Per Box – 20 M
Weight/box – 
Box Per Pallet – 
Pallet Type – </t>
  </si>
  <si>
    <t>Core  –  3" Paper 1/8" White Brown
Width – 1.500"
Number Across Run/FInish –  2/1
Core Label – Yes
±10% –  Yes
Unwind Dir. Run – Parts Out
Unwind Dir. Finish –  Parts Out
Diecut/Continuous/Sheet –  Die Cut
Partial Case –  Yes
Pieces per roll/Unit – 4,000
Length per roll/unit –  210'
Finish – On Press
Application – </t>
  </si>
  <si>
    <t>50559 Cost of Goods Sold</t>
  </si>
  <si>
    <t>Die Cut Part 3M 468MP 12.13mm x 48mm w/ 22mm tab</t>
  </si>
  <si>
    <t>61-9023-39</t>
  </si>
  <si>
    <t>Die Cut Part - 3M 468MP - 12.13mm x 48mm w/ 22mm tab</t>
  </si>
  <si>
    <t>Number Across Run/Finish –  1/1
Where Finished –  On Press
Length per Roll/Unit – 210'
Core Type –  3" Paper 1/8" White Brown
Core Width – 3.75"
Core Label – Yes
Dividers – 
Bag Size – 
Qty. Per Bag – 1 Roll
Box Size –  14 x 14 x 14
Qty. Per Box – 20 M
Weight/box – 
Box Per Pallet – 
Pallet Type – </t>
  </si>
  <si>
    <t>Unwind Direction: Hold roll with LEFT hand and pull to the RIGHT.  The TAB should be on TOP.</t>
  </si>
  <si>
    <t>Core  –  3" Paper 1/8" White Brown
Width – 3.75"
Number Across Run/FInish –  1/1
Core Label – Yes
±10% –  Yes
Unwind Dir. Run – Parts Out
Unwind Dir. Finish –  Parts Out
Diecut/Continuous/Sheet –  Die Cut
Partial Case –  Yes
Pieces per roll/Unit – 4,000
Length per roll/unit –  210'
Finish – On Press
Application – </t>
  </si>
  <si>
    <t>50560 Cost of Goods Sold</t>
  </si>
  <si>
    <t>Sheeted Part CSM - 5952P 2" x 2"</t>
  </si>
  <si>
    <t>8133</t>
  </si>
  <si>
    <t>Sheeted Part - CSM - 5952P - 2" x 2"</t>
  </si>
  <si>
    <t>Number Across Run/Finish –  3/1
Where Finished –  On Press
Length per Roll/Unit – 84'
Core Type –  N/A
Core Width – N/A
Core Label – No
Dividers – 
Bag Size – 
Qty. Per Bag – 1.5 M
Box Size –  9 x 9 x 13
Qty. Per Box – 2 M
Weight/box – 
Box Per Pallet – 
Pallet Type – </t>
  </si>
  <si>
    <t>Core  –  N/A
Width – N/A
Number Across Run/FInish –  3/1
Core Label – No
±10% –  Yes
Unwind Dir. Run – N/A
Unwind Dir. Finish –  N/A
Diecut/Continuous/Sheet –  Sheet
Partial Case –  Yes
Pieces per roll/Unit – 1,500
Length per roll/unit –  84'
Finish – On Press
Application – </t>
  </si>
  <si>
    <t>50561 Cost of Goods Sold</t>
  </si>
  <si>
    <t>Slit Tape 3M 93010LE 2.5mm x 18Yd</t>
  </si>
  <si>
    <t>CXGL003</t>
  </si>
  <si>
    <t>Slit Tape - 3M 93010LE - 2.5mm x 18Yd</t>
  </si>
  <si>
    <t>Number Across Run/Finish –  20/1
Where Finished –  On Press
Length per Roll/Unit – 18 Yd
Core Type –  3" Plastic 0.10" HDPE
Core Width – 2.5 mm
Core Label – No
Dividers – Silicone
Bag Size – 
Qty. Per Bag – 60 Rolls
Box Size –  11 x 11 x 14
Qty. Per Box – 60 Rolls
Weight/box – 
Box Per Pallet – 
Pallet Type – </t>
  </si>
  <si>
    <t>Must be double bagged - see Customer Supplied Specification (CXGL003)
Rolls to be free of all foreign matter
24" Leader - NO TRAILER</t>
  </si>
  <si>
    <t>Core  –  3" Plastic 0.10" HDPE
Width – 2.5 mm
Number Across Run/FInish –  20/1
Core Label – No
±10% –  Yes
Unwind Dir. Run – Adh. In
Unwind Dir. Finish –  Adh. In
Diecut/Continuous/Sheet –  Continuous
Partial Case –  Yes
Pieces per roll/Unit – 1 Roll
Length per roll/unit –  18 Yd
Finish – On Press
Application – </t>
  </si>
  <si>
    <t>Tape guides are labeled JT 8141</t>
  </si>
  <si>
    <t>50562 Cost of Goods Sold</t>
  </si>
  <si>
    <t>Die Cut Part 3M 5952 38mm x 141mm</t>
  </si>
  <si>
    <t>55910</t>
  </si>
  <si>
    <t>Die Cut Part - 3M 5952 - 38mm x 141mm</t>
  </si>
  <si>
    <t>Number Across Run/Finish –  1/1
Where Finished –  On Press
Length per Roll/Unit – 136'
Core Type –  3" Paper 1/8" White Brown
Core Width – 6.75"
Core Label – Yes
Dividers – 
Bag Size – 
Qty. Per Bag – 2 Rolls
Box Size –  10 x 10 x 10
Qty. Per Box – 2 Rolls
Weight/box – 
Box Per Pallet – 
Pallet Type – </t>
  </si>
  <si>
    <t>Include: C of C w/ Shelf Life, and MFG Cert.</t>
  </si>
  <si>
    <t>Core  –  3" Paper 1/8" White Brown
Width – 6.75"
Number Across Run/FInish –  1/1
Core Label – Yes
±10% –  Yes
Unwind Dir. Run – Parts Out
Unwind Dir. Finish –  Parts Out
Diecut/Continuous/Sheet –  Die Cut
Partial Case –  Yes
Pieces per roll/Unit – 1,000
Length per roll/unit –  136'
Finish – On Press
Application – </t>
  </si>
  <si>
    <t>Note: You will need to use a Step Down anvil for the Scorer die.  You will need to use a Delta assist roller to place under the anvil for the scorer die to reverse the rotation direction of the die.</t>
  </si>
  <si>
    <t>50563 Cost of Goods Sold</t>
  </si>
  <si>
    <t>Die Cut Part Adh., Front, Bottom Cap, Bracket 0.3681" x 1.5"</t>
  </si>
  <si>
    <t>23-00294 Rev. A</t>
  </si>
  <si>
    <t>Die Cut Part - Adh., Front, Bottom Cap, Bracket - 0.3681" x 1.5"</t>
  </si>
  <si>
    <t>Number Across Run/Finish –  1/1
Where Finished –  On Press
Length per Roll/Unit – 157'
Core Type –  3" Paper 1/8" White Brown
Core Width – 2"
Core Label – Yes
Dividers – 
Bag Size – 
Qty. Per Bag – 1 Roll
Box Size –  13 x 13 x 13
Qty. Per Box – 3,000 Each
Weight/box – 
Box Per Pallet – 
Pallet Type – </t>
  </si>
  <si>
    <t>Core  –  3" Paper 1/8" White Brown
Width – 2"
Number Across Run/FInish –  1/1
Core Label – Yes
±10% –  Yes
Unwind Dir. Run – Parts Out
Unwind Dir. Finish –  Parts Out
Diecut/Continuous/Sheet –  Die Cut
Partial Case –  Yes
Pieces per roll/Unit – 3,000
Length per roll/unit –  157'
Finish – On Press
Application – </t>
  </si>
  <si>
    <t>Freeze adhesive ahead of time</t>
  </si>
  <si>
    <t>50564 Cost of Goods Sold</t>
  </si>
  <si>
    <t>Die Cut Part CR-V Grille H 6.51" x 5.69"</t>
  </si>
  <si>
    <t>300985</t>
  </si>
  <si>
    <t>Die Cut Part - CR-V Grille H - 6.51" x 5.69"</t>
  </si>
  <si>
    <t>Number Across Run/Finish –  1/1
Where Finished –  On Press
Length per Roll/Unit – 250'
Core Type –  3" Paper 1/8" Strouse Brown
Core Width – 6.25"
Core Label – No
Dividers – 
Bag Size – 
Qty. Per Bag – 2 Rolls
Box Size –  10 x 6 x 3.75
Qty. Per Box – 4 M
Weight/box – 
Box Per Pallet – 
Pallet Type – </t>
  </si>
  <si>
    <t>Core  –  3" Paper 1/8" Strouse Brown
Width – 6.25"
Number Across Run/FInish –  1/1
Core Label – No
±10% –  Yes
Unwind Dir. Run – parts Out
Unwind Dir. Finish –  Parts Out
Diecut/Continuous/Sheet –  Continuous Die Cut
Partial Case –  Yes
Pieces per roll/Unit – 500
Length per roll/unit –  250'
Finish – On Press
Application – </t>
  </si>
  <si>
    <t>50565 Cost of Goods Sold</t>
  </si>
  <si>
    <t>Sheeted Part Cool Advantage Petite Gasket 2.346" x 5.103"</t>
  </si>
  <si>
    <t>BRZ-LN1-140-024 Rev A</t>
  </si>
  <si>
    <t>Sheeted Part - Cool Advantage Petite Gasket - 2.346" x 5.103"</t>
  </si>
  <si>
    <t>Number Across Run/Finish –  1/1
Where Finished –  On Press
Length per Roll/Unit – 5'
Core Type –  N/A
Core Width – N/A
Core Label – 
Dividers – 
Bag Size – 
Qty. Per Bag – 1 Each
Box Size –  10 x 10 x 10
Qty. Per Box – 24 Pouches 
Weight/box – 
Box Per Pallet – 36
Pallet Type – </t>
  </si>
  <si>
    <t>Pouch seal is unprinted.
See Packaging Step for label variable information format.
1. Place 1 pre-printed label on pouch (on Tyvek side, with opening to the left) and one part in each pouch, Seal pouch using pouch printer. Nominal Heat Sealer Temperature Setting - 275 °F
2. Build case boxes with the shiny/smooth side out.
3. Place 24 pouches in each case Cat# 19134 (10” x 6” x 3 ¾”).
4. Print case label and apply to case lid.
5. Place 2 “This Side Up” labels, 1 each, on the front right and back left corners of the case. Cat# 19272
6. Place 6 cases in 13" x 11" x 12¼” shipping box.
7. Place 36 shipping boxes on a pallet.  4 layers of 9 boxes.
See CS/SALES for partial cases, Partial pallets, and over or under shipping.
Zeltiq Lot Number and DOM are required on the Certificate of Conformance.</t>
  </si>
  <si>
    <t xml:space="preserve">CatID 18433 is from the alternate pouch supplier.  Can you use in lieu of CatID 19277. EDD 3/22/2018
Hair net and beard cover (if necessary) to be worn during die cutting and packaging operation or if otherwise working with or near product in designated work cell. </t>
  </si>
  <si>
    <t>50566 Cost of Goods Sold</t>
  </si>
  <si>
    <t>Die Cut Part Laser backing blank 25mm x 162.5mm</t>
  </si>
  <si>
    <t>063E14990</t>
  </si>
  <si>
    <t>Die Cut Part - Laser backing blank - 25mm x 162.5mm</t>
  </si>
  <si>
    <t>Number Across Run/Finish –  1/1
Where Finished –  On Press
Length per Roll/Unit – 42'
Core Type –  3" Plastic 0.10" HDPE
Core Width – 6.39"
Core Label – Yes
Dividers – 
Bag Size – 
Qty. Per Bag – 1 Rolls
Box Size –  10 x 10 x 10
Qty. Per Box – 4 Rolls
Weight/box – 
Box Per Pallet – 
Pallet Type – </t>
  </si>
  <si>
    <t>Double bag and label with lot number, cut date, package date, part number and part quantity.  Use gloves while handling material
Material Cert to be retained for review</t>
  </si>
  <si>
    <t>Core  –  3" Plastic 0.10" HDPE
Width – 6.39"
Number Across Run/FInish –  1/1
Core Label – Yes
±10% –  No
Unwind Dir. Run – Parts Out
Unwind Dir. Finish –  Parts Out
Diecut/Continuous/Sheet –  Die Cut
Partial Case –  Yes
Pieces per roll/Unit – 500
Length per roll/unit –  42'
Finish – On Press
Application – </t>
  </si>
  <si>
    <t>50567 Cost of Goods Sold</t>
  </si>
  <si>
    <t>Die Cut Part Tape, Plasma Guard 28mm x 180.5mm</t>
  </si>
  <si>
    <t>063E14980</t>
  </si>
  <si>
    <t>Die Cut Part - Tape, Plasma Guard - 28mm x 180.5mm</t>
  </si>
  <si>
    <t>Number Across Run/Finish –  1/1
Where Finished –  On Press
Length per Roll/Unit – 46'
Core Type –  3" Plastic 0.10" HDPE
Core Width – 7.10"
Core Label – Yes
Dividers – 
Bag Size – 
Qty. Per Bag – 1 
Box Size –  8 x 8 x 8
Qty. Per Box – 4 
Weight/box – 
Box Per Pallet – 
Pallet Type – </t>
  </si>
  <si>
    <t>Double bag and label with lot number, cut date, package date, part number and part quantity.  Use gloves while handling material</t>
  </si>
  <si>
    <t>Core  –  3" Plastic 0.10" HDPE
Width – 7.10"
Number Across Run/FInish –  1/1
Core Label – Yes
±10% –  No
Unwind Dir. Run – Parts Out
Unwind Dir. Finish –  Parts Out
Diecut/Continuous/Sheet –  Die Cut
Partial Case –  Yes
Pieces per roll/Unit – 500
Length per roll/unit –  46'
Finish – On Press
Application – </t>
  </si>
  <si>
    <t>50568 Cost of Goods Sold</t>
  </si>
  <si>
    <t>Die Cut Part TLX Rocker Mask LH rev 6 3.19" x 4.40"</t>
  </si>
  <si>
    <t>300476</t>
  </si>
  <si>
    <t>Die Cut Part - TLX Rocker Mask LH rev 6 - 3.19" x 4.40"</t>
  </si>
  <si>
    <t>Number Across Run/Finish –  1/1
Where Finished –  On Press
Length per Roll/Unit – 230'
Core Type –  3" Paper 1/8" Strouse Brown
Core Width – 5"
Core Label – Yes
Dividers – 
Bag Size – 
Qty. Per Bag – 1 Roll
Box Size –  8 x 8 x 8
Qty. Per Box – 1 M
Weight/box – 
Box Per Pallet – 
Pallet Type – </t>
  </si>
  <si>
    <t>Core  –  3" Paper 1/8" Strouse Brown
Width – 5"
Number Across Run/FInish –  1/1
Core Label – Yes
±10% –  Yes
Unwind Dir. Run – Parts Out
Unwind Dir. Finish –  Parts Out
Diecut/Continuous/Sheet –  Die Cut
Partial Case –  Yes
Pieces per roll/Unit – 1,000
Length per roll/unit –  230'
Finish – On Press
Application – </t>
  </si>
  <si>
    <t>50569 Cost of Goods Sold</t>
  </si>
  <si>
    <t>Slit Roll 3M 87630A 4" x 100'</t>
  </si>
  <si>
    <t>HM-TSPF-4R</t>
  </si>
  <si>
    <t>Slit Roll - 3M 87630A - 4" x 100'</t>
  </si>
  <si>
    <t>Number Across Run/Finish –  11/1
Where Finished –  Web Techniques
Length per Roll/Unit – 100'
Core Type –  3" Paper 1/8" Strouse Brown
Core Width – 4.0"
Core Label – Yes
Dividers – 
Bag Size – 
Qty. Per Bag – 1 Rolls
Box Size –  special
Qty. Per Box – 1 Rolls
Weight/box – 
Box Per Pallet – 
Pallet Type – </t>
  </si>
  <si>
    <t>Core  –  3" Paper 1/8" Strouse Brown
Width – 4.0"
Number Across Run/FInish –  11/1
Core Label – Yes
±10% –  Yes
Unwind Dir. Run – N/A
Unwind Dir. Finish –  N/A
Diecut/Continuous/Sheet –  Continuous
Partial Case –  Yes
Pieces per roll/Unit – 1 Roll
Length per roll/unit –  100'
Finish – Web Techniques
Application – </t>
  </si>
  <si>
    <t>50570 Cost of Goods Sold</t>
  </si>
  <si>
    <t>Printed Film 3M 7300 42" x 500'</t>
  </si>
  <si>
    <t>61ST1700-1013754241</t>
  </si>
  <si>
    <t>Printed Film - 3M 7300 - 42" x 500'</t>
  </si>
  <si>
    <t>Number Across Run/Finish –  1/1
Where Finished –  Off Press
Length per Roll/Unit – 500'
Core Type –  As Recd.
Core Width – 42"
Core Label – Yes
Dividers – 
Bag Size – 
Qty. Per Bag – 
Box Size –  8 x 8 x 8
Qty. Per Box – 30 
Weight/box – 
Box Per Pallet – 
Pallet Type – </t>
  </si>
  <si>
    <t>1.  The rolls will be packed Eye to the sky coming in to us, palletized and stretch wrapped
2.  As the roll is in your right hand, unwinding to the left off the top, the print will read upside down (L to R) about 6” in from edge.
3.  Each roll will have a core label from Corydon that has the material (3M 7300), 42” x 500 feet, Strouse PO number.  Pallet label same plus number of rolls.
4.  No Corydon info on the packaging or label.</t>
  </si>
  <si>
    <t>Core  –  As Recd.
Width – 42"
Number Across Run/FInish –  1/1
Core Label – Yes
±10% –  No
Unwind Dir. Run – See Note
Unwind Dir. Finish –  See Note
Diecut/Continuous/Sheet –  Continuous
Partial Case –  Yes
Pieces per roll/Unit – 
Length per roll/unit –  500'
Finish – Off Press
Application – </t>
  </si>
  <si>
    <t>Rolls of 7300 to be purchased by Strouse - Sent to Corydon for printing and perfing.  Rolls to be sent back to Strouse for inspection.</t>
  </si>
  <si>
    <t>50571 Cost of Goods Sold</t>
  </si>
  <si>
    <t>Die Cut Part TLX Rocker Mask RH rev 6 3.19" x 4.40"</t>
  </si>
  <si>
    <t>300475</t>
  </si>
  <si>
    <t>Die Cut Part - TLX Rocker Mask RH rev 6 - 3.19" x 4.40"</t>
  </si>
  <si>
    <t>Number Across Run/Finish –  1/1
Where Finished –  On Press
Length per Roll/Unit – 230'
Core Type –  3" Paper 1/8" Strouse Brown
Core Width – 5"
Core Label – Yes
Dividers – 
Bag Size – 
Qty. Per Bag – 1 
Box Size –  11.5 x 8.875 x 10.625
Qty. Per Box – 1 
Weight/box – 
Box Per Pallet – 
Pallet Type – </t>
  </si>
  <si>
    <t>50572 Cost of Goods Sold</t>
  </si>
  <si>
    <t>Sheeted Part 3M 7840HL 11" x 7"</t>
  </si>
  <si>
    <t>4400387</t>
  </si>
  <si>
    <t>Sheeted Part - 3M 7840HL - 11" x 7"</t>
  </si>
  <si>
    <t>Number Across Run/Finish –  1/1
Where Finished –  Off Press
Length per Roll/Unit – 459'
Core Type –  N/A
Core Width – N/A
Core Label – No
Dividers – 
Bag Size – 
Qty. Per Bag – 0.25 M
Box Size –  12 x 12 x 10
Qty. Per Box – 4 
Weight/box – 
Box Per Pallet – 
Pallet Type – </t>
  </si>
  <si>
    <t>Core  –  N/A
Width – N/A
Number Across Run/FInish –  1/1
Core Label – No
±10% –  Yes
Unwind Dir. Run – N/A
Unwind Dir. Finish –  N/A
Diecut/Continuous/Sheet –  Die Cut Sheet
Partial Case –  Yes
Pieces per roll/Unit – 500
Length per roll/unit –  459'
Finish – Off Press
Application – </t>
  </si>
  <si>
    <t>50573 Cost of Goods Sold</t>
  </si>
  <si>
    <t>Target Tape 1/4" reflective dots with 2" spacing - BLACK 1/2" x 167'</t>
  </si>
  <si>
    <t>6650-0504</t>
  </si>
  <si>
    <t>Target Tape - 1/4" reflective dots with 2" spacing - BLACK - 1/2" x 167'</t>
  </si>
  <si>
    <t>Number Across Run/Finish –  4/1
Where Finished –  Web Techniques
Length per Roll/Unit – 167'
Core Type –  3" Plastic 0.10" HDPE
Core Width – 0.5"
Core Label – Yes
Dividers – 
Bag Size – 
Qty. Per Bag – 1 Roll
Box Size –  8 x 8 x 8
Qty. Per Box – 24 Rolls
Weight/box – 
Box Per Pallet – 
Pallet Type – </t>
  </si>
  <si>
    <t>Use tape guide labeled JJ 6484</t>
  </si>
  <si>
    <t>50574 Cost of Goods Sold</t>
  </si>
  <si>
    <t>Die Cut Part 5 mil Polyimide 6mm Dia</t>
  </si>
  <si>
    <t>MMI-78263729B AD0</t>
  </si>
  <si>
    <t>Die Cut Part - 5 mil Polyimide - 6mm Dia</t>
  </si>
  <si>
    <t>Number Across Run/Finish –  2/1
Where Finished –  On Press
Length per Roll/Unit – 52'
Core Type –  3" Paper 1/8" Strouse Brown
Core Width – 0.75"
Core Label – Yes
Dividers – 
Bag Size – 
Qty. Per Bag – 1 Roll
Box Size –  16.5 x 16.5 x 8
Qty. Per Box – 6 M
Weight/box – 
Box Per Pallet – 
Pallet Type – </t>
  </si>
  <si>
    <t>Use label formats: 8226 and 8226 Core
Include the following statement on a C of C:
"Shelf Life: 24 months from Shipment Date
Shipment Date: --/--/----"
• Shipment Date is for the 5 mil Polyimide.</t>
  </si>
  <si>
    <t>Core  –  3" Paper 1/8" Strouse Brown
Width – 0.75"
Number Across Run/FInish –  2/1
Core Label – Yes
±10% –  Yes
Unwind Dir. Run – Parts In
Unwind Dir. Finish –  Parts In
Diecut/Continuous/Sheet –  Die Cut
Partial Case –  Yes
Pieces per roll/Unit – 2,000
Length per roll/unit –  52'
Finish – On Press
Application – </t>
  </si>
  <si>
    <t>Minimal adhesive transfer from carrier onto polyimide is common; this should be OK.</t>
  </si>
  <si>
    <t>50575 Cost of Goods Sold</t>
  </si>
  <si>
    <t>Die Cut Part 3M 4941 OD/ID 0.9" OD x 0.65" ID</t>
  </si>
  <si>
    <t>8227</t>
  </si>
  <si>
    <t>Die Cut Part - 3M 4941 OD/ID  - 0.9" OD x 0.65" ID</t>
  </si>
  <si>
    <t>Number Across Run/Finish –  1/1
Where Finished –  On Press
Length per Roll/Unit – 105'
Core Type –  3" Paper 1/8" Strouse Brown
Core Width – 1.75"
Core Label – Yes
Dividers – 9" Round PolyFlute
Bag Size – 
Qty. Per Bag – 4 Rolls
Box Size –  12 x 12 x 6
Qty. Per Box – 10 M
Weight/box – 
Box Per Pallet – 
Pallet Type – </t>
  </si>
  <si>
    <t>Core  –  3" Paper 1/8" Strouse Brown
Width – 1.75"
Number Across Run/FInish –  1/1
Core Label – Yes
±10% –  Yes
Unwind Dir. Run – Parts Out
Unwind Dir. Finish –  Parts Out
Diecut/Continuous/Sheet –  Die Cut
Partial Case –  Yes
Pieces per roll/Unit – 1,250
Length per roll/unit –  105'
Finish – On Press
Application – </t>
  </si>
  <si>
    <t>50576 Cost of Goods Sold</t>
  </si>
  <si>
    <t>Sheeted Part AFTC 5319 0.47" x 1.57"</t>
  </si>
  <si>
    <t>31003774</t>
  </si>
  <si>
    <t>Sheeted Part - AFTC 5319 - 0.47" x 1.57"</t>
  </si>
  <si>
    <t>Number Across Run/Finish –  3/1
Where Finished –  On Press
Length per Roll/Unit – 18'
Core Type –  N/A
Core Width – N/A
Core Label – No
Dividers – 
Bag Size – 
Qty. Per Bag – 1 M
Box Size –  14 x 14 x 8
Qty. Per Box – 6 M
Weight/box – 
Box Per Pallet – 
Pallet Type – </t>
  </si>
  <si>
    <t>Core  –  N/A
Width – N/A
Number Across Run/FInish –  3/1
Core Label – No
±10% –  Yes
Unwind Dir. Run – N/A
Unwind Dir. Finish –  N/A
Diecut/Continuous/Sheet –  Die Cut Sheet
Partial Case –  Yes
Pieces per roll/Unit – 1,000
Length per roll/unit –  18'
Finish – On Press
Application – </t>
  </si>
  <si>
    <t>A454 material helps with the laser cutting.</t>
  </si>
  <si>
    <t>50577 Cost of Goods Sold</t>
  </si>
  <si>
    <t>Slit Tape 3M 4950 2" x 36Yd</t>
  </si>
  <si>
    <t>8239</t>
  </si>
  <si>
    <t>Slit Tape - 3M 4950 - 2" x 36Yd</t>
  </si>
  <si>
    <t>Number Across Run/Finish –  1/1
Where Finished –  As rec'd
Length per Roll/Unit – As Rec'd
Core Type –  As Recd.
Core Width – 
Core Label – As rec'd
Dividers – As rec'd
Bag Size – 
Qty. Per Bag – As rec'd 
Box Size –  14 x 14 x 8
Qty. Per Box – As rec'd 
Weight/box – 
Box Per Pallet – 
Pallet Type – </t>
  </si>
  <si>
    <t>Core  –  As Recd.
Width – 
Number Across Run/FInish –  1/1
Core Label – As rec'd
±10% –  Yes
Unwind Dir. Run – 
Unwind Dir. Finish –  As Rec'd
Diecut/Continuous/Sheet –  
Partial Case –  Yes
Pieces per roll/Unit – 
Length per roll/unit –  As Rec'd
Finish – As rec'd
Application – </t>
  </si>
  <si>
    <t>50578 Cost of Goods Sold</t>
  </si>
  <si>
    <t>Slit Tape 3M 2090 2" x 60Yd</t>
  </si>
  <si>
    <t>1013297421</t>
  </si>
  <si>
    <t>Slit Tape - 3M 2090 - 2" x 60Yd</t>
  </si>
  <si>
    <t>Number Across Run/Finish –  1/1
Where Finished –  As rec'd
Length per Roll/Unit – As Rec'd
Core Type –  As Recd.
Core Width – 
Core Label – 
Dividers – As rec'd
Bag Size – 
Qty. Per Bag – As rec'd 
Box Size –  16.5 x 16.5 x 8
Qty. Per Box – As rec'd 
Weight/box – 
Box Per Pallet – 
Pallet Type – </t>
  </si>
  <si>
    <t>Core  –  As Recd.
Width – 
Number Across Run/FInish –  1/1
Core Label – 
±10% –  No
Unwind Dir. Run – 
Unwind Dir. Finish –  As Rec'd
Diecut/Continuous/Sheet –  
Partial Case –  Yes
Pieces per roll/Unit – 
Length per roll/unit –  As Rec'd
Finish – As rec'd
Application – </t>
  </si>
  <si>
    <t>50579 Cost of Goods Sold</t>
  </si>
  <si>
    <t>Sheeted Part GE Engine mask 15" x 2.75"</t>
  </si>
  <si>
    <t>GE15X2.75(.15GAP)</t>
  </si>
  <si>
    <t>Sheeted Part - GE Engine mask - 15" x 2.75"</t>
  </si>
  <si>
    <t>Number Across Run/Finish –  1/1
Where Finished –  On Press
Length per Roll/Unit – 250'
Core Type –  N/A
Core Width – N/A
Core Label – Yes - on bag
Dividers – 
Bag Size – 
Qty. Per Bag – 0.2 M
Box Size –  
Qty. Per Box – 3 M
Weight/box – 
Box Per Pallet – 
Pallet Type – </t>
  </si>
  <si>
    <t>50580 Cost of Goods Sold</t>
  </si>
  <si>
    <t>Slit Tape 3M 468MP 20" x 180Yd</t>
  </si>
  <si>
    <t>468MP</t>
  </si>
  <si>
    <t>Slit Tape - 3M 468MP - 20" x 180Yd</t>
  </si>
  <si>
    <t>Number Across Run/Finish –  1/1
Where Finished –  As Received
Length per Roll/Unit – 180 Yd
Core Type –  As Recd.
Core Width – 20.0"
Core Label – As Received
Dividers – 
Bag Size – 
Qty. Per Bag – As Received 
Box Size –  11 x 11 x 8
Qty. Per Box – As Received 
Weight/box – 
Box Per Pallet – 
Pallet Type – </t>
  </si>
  <si>
    <t>Core  –  As Recd.
Width – 20.0"
Number Across Run/FInish –  1/1
Core Label – As Received
±10% –  No
Unwind Dir. Run – 
Unwind Dir. Finish –  As Received
Diecut/Continuous/Sheet –  
Partial Case –  Yes
Pieces per roll/Unit – 
Length per roll/unit –  180 Yd
Finish – As Received
Application – </t>
  </si>
  <si>
    <t>50581 Cost of Goods Sold</t>
  </si>
  <si>
    <t>Printed Label Brown Kraft printed Blue with "TransferRite" 19" x 3.5"</t>
  </si>
  <si>
    <t>909K</t>
  </si>
  <si>
    <t>Printed Label - Brown Kraft printed Blue with "TransferRite" - 19" x 3.5"</t>
  </si>
  <si>
    <t>Number Across Run/Finish –  2/1
Where Finished –  Web Techniques
Length per Roll/Unit – 792'
Core Type –  3" Paper 1/8" White Brown
Core Width – 3.5"
Core Label – Yes
Dividers – Paper
Bag Size – 
Qty. Per Bag – 2 Rolls
Box Size –  11 x 11 x 8
Qty. Per Box – 2 Rolls
Weight/box – 
Box Per Pallet – 
Pallet Type – </t>
  </si>
  <si>
    <t xml:space="preserve">
Remove any flagged print sections while rewinding
Maximum of 2 splices.  No splices in first or last 159 feet per customer document ABI21503 Rev 11</t>
  </si>
  <si>
    <t>Core  –  3" Paper 1/8" White Brown
Width – 3.5"
Number Across Run/FInish –  2/1
Core Label – Yes
±10% –  Yes
Unwind Dir. Run – 4
Unwind Dir. Finish –  3
Diecut/Continuous/Sheet –  Die Cut
Partial Case –  Yes
Pieces per roll/Unit – 500
Length per roll/unit –  792'
Finish – Web Techniques
Application – </t>
  </si>
  <si>
    <t>Plates in Flat Drawer 6. MS
Wikoff: PFW-10397 Poly Pro Opaque 300 Blue</t>
  </si>
  <si>
    <t>50582 Cost of Goods Sold</t>
  </si>
  <si>
    <t>Printed Label Brown Kraft printed Red with "ProtectRite" 19" x 3.5"</t>
  </si>
  <si>
    <t>Printed Label - Brown Kraft printed Red with "ProtectRite" - 19" x 3.5"</t>
  </si>
  <si>
    <t>Number Across Run/Finish –  2/1
Where Finished –  Web Techniques
Length per Roll/Unit – 792'
Core Type –  3" Paper 1/8" White Brown
Core Width – 3.5"
Core Label – Yes
Dividers – Paper
Bag Size – 
Qty. Per Bag – 2 Rolls
Box Size –  10 x 10 x 10
Qty. Per Box – 2 Rolls
Weight/box – 
Box Per Pallet – 
Pallet Type – </t>
  </si>
  <si>
    <t>Plates in Flat Drawer 6. MS
Wikoff: PFW-10398 Poly Pro Opaque 185 Red</t>
  </si>
  <si>
    <t>50583 Cost of Goods Sold</t>
  </si>
  <si>
    <t>Printed Label Brown Kraft printed Green with "Autowrap" 19" x 5"</t>
  </si>
  <si>
    <t>Printed Label - Brown Kraft printed Green with "Autowrap" - 19" x 5"</t>
  </si>
  <si>
    <t>Number Across Run/Finish –  2/1
Where Finished –  Web Techniques
Length per Roll/Unit – 792'
Core Type –  3" Paper 1/8" White Brown
Core Width – 5"
Core Label – Yes
Dividers – Paper
Bag Size – 
Qty. Per Bag – 2 Rolls
Box Size –  11 x 11 x 8
Qty. Per Box – 2 Rolls
Weight/box – 
Box Per Pallet – 
Pallet Type – </t>
  </si>
  <si>
    <t>Core  –  3" Paper 1/8" White Brown
Width – 5"
Number Across Run/FInish –  2/1
Core Label – Yes
±10% –  Yes
Unwind Dir. Run – 4
Unwind Dir. Finish –  3
Diecut/Continuous/Sheet –  Die Cut
Partial Case –  Yes
Pieces per roll/Unit – 500
Length per roll/unit –  792'
Finish – Web Techniques
Application – </t>
  </si>
  <si>
    <t>Plates in Flat Drawer 6. MS
PFW-10399 Poly Pro Opaque 327 Green</t>
  </si>
  <si>
    <t>50584 Cost of Goods Sold</t>
  </si>
  <si>
    <t>Printed Label Brown Kraft printed Blue with "StencilRite" 19" x 3.5"</t>
  </si>
  <si>
    <t>Printed Label - Brown Kraft printed Blue with "StencilRite" - 19" x 3.5"</t>
  </si>
  <si>
    <t>50585 Cost of Goods Sold</t>
  </si>
  <si>
    <t>Slit Tape SG 25A25C 6" x 300'</t>
  </si>
  <si>
    <t>8274</t>
  </si>
  <si>
    <t>Slit Tape - SG 25A25C - 6" x 300'</t>
  </si>
  <si>
    <t>Number Across Run/Finish –  1/1
Where Finished –  On Press
Length per Roll/Unit – 300'
Core Type –  3" Paper 1/8" Strouse Brown
Core Width – 6"
Core Label – Yes
Dividers – 
Bag Size – 
Qty. Per Bag – 1 
Box Size –  16 x 16 x 10-1/4
Qty. Per Box – 4 
Weight/box – 
Box Per Pallet – 
Pallet Type – </t>
  </si>
  <si>
    <t>Core  –  3" Paper 1/8" Strouse Brown
Width – 6"
Number Across Run/FInish –  1/1
Core Label – Yes
±10% –  Yes
Unwind Dir. Run – Adh. In
Unwind Dir. Finish –  Adh. In
Diecut/Continuous/Sheet –  Continuous
Partial Case –  Yes
Pieces per roll/Unit – 
Length per roll/unit –  300'
Finish – On Press
Application – </t>
  </si>
  <si>
    <t>50586 Cost of Goods Sold</t>
  </si>
  <si>
    <t>Sheeted Part P104878F 4.875" x 5.943"</t>
  </si>
  <si>
    <t>P104878F</t>
  </si>
  <si>
    <t>Sheeted Part - P104878F - 4.875" x 5.943"</t>
  </si>
  <si>
    <t>Number Across Run/Finish –  9/1
Where Finished –  On Press
Length per Roll/Unit – 115'
Core Type –  N/A
Core Width – N/A
Core Label – No
Dividers – 
Bag Size – 
Qty. Per Bag – 250 Each
Box Size –  12 x 12 x 10
Qty. Per Box – 500 Each
Weight/box – 
Box Per Pallet – 
Pallet Type – </t>
  </si>
  <si>
    <t>Core  –  N/A
Width – N/A
Number Across Run/FInish –  9/1
Core Label – No
±10% –  Yes
Unwind Dir. Run – N/A
Unwind Dir. Finish –  N/A
Diecut/Continuous/Sheet –  Sheet
Partial Case –  Yes
Pieces per roll/Unit – 250
Length per roll/unit –  115'
Finish – On Press
Application – </t>
  </si>
  <si>
    <t>50587 Cost of Goods Sold</t>
  </si>
  <si>
    <t>Slit Tape ST-2119 1/2" x 5,000'</t>
  </si>
  <si>
    <t>film500-2119</t>
  </si>
  <si>
    <t>Slit Tape - ST-2119 - 1/2" x 5,000'</t>
  </si>
  <si>
    <t>Number Across Run/Finish –  77/1
Where Finished –  On Press
Length per Roll/Unit – 5,000'
Core Type –  As Recd.
Core Width – 0.5"
Core Label – No
Dividers – Paper
Bag Size – 
Qty. Per Bag – 20 Rolls
Box Size –  Best Fit Per Qty
Qty. Per Box – 20 Rolls
Weight/box – 
Box Per Pallet – 
Pallet Type – </t>
  </si>
  <si>
    <t>Core  –  As Recd.
Width – 0.5"
Number Across Run/FInish –  77/1
Core Label – No
±10% –  Yes
Unwind Dir. Run – Adh. In
Unwind Dir. Finish –  Adh. In
Diecut/Continuous/Sheet –  Continuous
Partial Case –  Yes
Pieces per roll/Unit – 1 Roll
Length per roll/unit –  5,000'
Finish – On Press
Application – </t>
  </si>
  <si>
    <t>Measure and record durometer of log prior to slitting.</t>
  </si>
  <si>
    <t>50588 Cost of Goods Sold</t>
  </si>
  <si>
    <t>Die Cut Part Wafer Seal
 1" Dia</t>
  </si>
  <si>
    <t>8293</t>
  </si>
  <si>
    <t>Die Cut Part - Wafer Seal
 - 1" Dia</t>
  </si>
  <si>
    <t>Number Across Run/Finish –  6/1
Where Finished –  On Press
Length per Roll/Unit – 463'
Core Type –  3" Paper 1/8" White Brown
Core Width – 1.125"
Core Label – No
Dividers – 
Bag Size – 
Qty. Per Bag – 
Box Size –  16 x 16 x 16
Qty. Per Box – Best fit per order 
Weight/box – 
Box Per Pallet – 
Pallet Type – </t>
  </si>
  <si>
    <t>Packaging for internal use.
Creates CAT# 19916.
A good fit is:
9x9x13 Box
11 rolls per bag
55 M per box</t>
  </si>
  <si>
    <t>Core  –  3" Paper 1/8" White Brown
Width – 1.125"
Number Across Run/FInish –  6/1
Core Label – No
±10% –  Yes
Unwind Dir. Run – Parts Out
Unwind Dir. Finish –  Parts Out
Diecut/Continuous/Sheet –  Die Cut
Partial Case –  Yes
Pieces per roll/Unit – 5,000
Length per roll/unit –  463'
Finish – On Press
Application – </t>
  </si>
  <si>
    <t>50589 Cost of Goods Sold</t>
  </si>
  <si>
    <t>Sheeted Part P105376K 5" x 6.67"</t>
  </si>
  <si>
    <t>P105376K</t>
  </si>
  <si>
    <t>Sheeted Part - P105376K - 5" x 6.67"</t>
  </si>
  <si>
    <t>Number Across Run/Finish –  8/1
Where Finished –  On Press
Length per Roll/Unit – 215'
Core Type –  N/A
Core Width – N/A
Core Label – No
Dividers – 
Bag Size – 
Qty. Per Bag – 250 Each
Box Size –  6 x 6 x 6
Qty. Per Box – 500 Each
Weight/box – 
Box Per Pallet – 
Pallet Type – </t>
  </si>
  <si>
    <t>Core  –  N/A
Width – N/A
Number Across Run/FInish –  8/1
Core Label – No
±10% –  Yes
Unwind Dir. Run – N/A
Unwind Dir. Finish –  N/A
Diecut/Continuous/Sheet –  Sheet
Partial Case –  Yes
Pieces per roll/Unit – 
Length per roll/unit –  215'
Finish – On Press
Application – </t>
  </si>
  <si>
    <t>50590 Cost of Goods Sold</t>
  </si>
  <si>
    <t>Sheeted Part Roscolux 94 Kelly Green 1.43" x 1.30"</t>
  </si>
  <si>
    <t>257801</t>
  </si>
  <si>
    <t>Sheeted Part - Roscolux 94 Kelly Green - 1.43" x 1.30"</t>
  </si>
  <si>
    <t>Number Across Run/Finish –  12/1
Where Finished –  Off Press
Length per Roll/Unit – N/A
Core Type –  N/A
Core Width – N/A
Core Label – No
Dividers – 
Bag Size – 
Qty. Per Bag – 125 Each
Box Size –  12 x 12 x 12
Qty. Per Box – 125 Each
Weight/box – 
Box Per Pallet – 
Pallet Type – </t>
  </si>
  <si>
    <t>Core  –  N/A
Width – N/A
Number Across Run/FInish –  12/1
Core Label – No
±10% –  Yes
Unwind Dir. Run – N/A
Unwind Dir. Finish –  N/A
Diecut/Continuous/Sheet –  Sheet
Partial Case –  Yes
Pieces per roll/Unit – 125
Length per roll/unit –  N/A
Finish – Off Press
Application – </t>
  </si>
  <si>
    <t>50591 Cost of Goods Sold</t>
  </si>
  <si>
    <t>Die Cut Part SG Polymask 3195EZ 590mm x 45mm</t>
  </si>
  <si>
    <t>23223</t>
  </si>
  <si>
    <t>Die Cut Part - SG Polymask 3195EZ - 590mm x 45mm</t>
  </si>
  <si>
    <t>Number Across Run/Finish –  5/1
Where Finished –  On Press
Length per Roll/Unit – 195'
Core Type –  3" Paper 1/8" Strouse Brown
Core Width – 1.9"
Core Label – Yes
Dividers – 
Bag Size – 
Qty. Per Bag – 6 Rolls
Box Size –  10 x 10 x 10
Qty. Per Box – 2 M
Weight/box – 
Box Per Pallet – 
Pallet Type – </t>
  </si>
  <si>
    <t>Core  –  3" Paper 1/8" Strouse Brown
Width – 1.9"
Number Across Run/FInish –  5/1
Core Label – Yes
±10% –  Yes
Unwind Dir. Run – Parts Out
Unwind Dir. Finish –  Parts Out
Diecut/Continuous/Sheet –  Die Cut
Partial Case –  Yes
Pieces per roll/Unit – 100
Length per roll/unit –  195'
Finish – On Press
Application – </t>
  </si>
  <si>
    <t>50592 Cost of Goods Sold</t>
  </si>
  <si>
    <t>Die Cut Part SG Polymask 3195EZ 341mm x 43mm</t>
  </si>
  <si>
    <t>23224</t>
  </si>
  <si>
    <t>Die Cut Part - SG Polymask 3195EZ - 341mm x 43mm</t>
  </si>
  <si>
    <t>Number Across Run/Finish –  5/1
Where Finished –  On Press
Length per Roll/Unit – 114'
Core Type –  3" Paper 1/8" Strouse Brown
Core Width – 1.8"
Core Label – Yes
Dividers – 
Bag Size – 
Qty. Per Bag – 5 Rolls
Box Size –  12 x 12 x 10
Qty. Per Box – 2 M
Weight/box – 
Box Per Pallet – 
Pallet Type – </t>
  </si>
  <si>
    <t>Core  –  3" Paper 1/8" Strouse Brown
Width – 1.8"
Number Across Run/FInish –  5/1
Core Label – Yes
±10% –  Yes
Unwind Dir. Run – Parts Out
Unwind Dir. Finish –  Parts Out
Diecut/Continuous/Sheet –  Die Cut
Partial Case –  Yes
Pieces per roll/Unit – 100
Length per roll/unit –  114'
Finish – On Press
Application – </t>
  </si>
  <si>
    <t>50593 Cost of Goods Sold</t>
  </si>
  <si>
    <t>Die Cut Part 3M 5952 3.69" x 0.5"</t>
  </si>
  <si>
    <t>405-0150-00</t>
  </si>
  <si>
    <t>Die Cut Part - 3M 5952 - 3.69" x 0.5"</t>
  </si>
  <si>
    <t>Number Across Run/Finish –  1/1
Where Finished –  On Press
Length per Roll/Unit – 160'
Core Type –  3" Paper 1/8" White Brown
Core Width – 1.25"
Core Label – Yes
Dividers – 
Bag Size – 
Qty. Per Bag – 
Box Size –  12 x 12 x 10
Qty. Per Box – 2,500 Each
Weight/box – 
Box Per Pallet – 
Pallet Type – </t>
  </si>
  <si>
    <t>Core  –  3" Paper 1/8" White Brown
Width – 1.25"
Number Across Run/FInish –  1/1
Core Label – Yes
±10% –  Yes
Unwind Dir. Run – Parts Out
Unwind Dir. Finish –  Parts Out
Diecut/Continuous/Sheet –  Die Cut
Partial Case –  Yes
Pieces per roll/Unit – 500
Length per roll/unit –  160'
Finish – On Press
Application – </t>
  </si>
  <si>
    <t>Run this job on Siat 1 only.</t>
  </si>
  <si>
    <t>50594 Cost of Goods Sold</t>
  </si>
  <si>
    <t>Sheeted Part #23 Trim Strips 11.5" x 0.5"</t>
  </si>
  <si>
    <t>Sheeted Part - #23 Trim Strips - 11.5" x 0.5"</t>
  </si>
  <si>
    <t>Number Across Run/Finish –  8/1
Where Finished –  On Press
Length per Roll/Unit – 120'
Core Type –  N/A
Core Width – N/A
Core Label – No
Dividers – 
Bag Size – 
Qty. Per Bag – 1 M
Box Size –  12 x 12 x 13
Qty. Per Box – 8 M
Weight/box – 
Box Per Pallet – 
Pallet Type – </t>
  </si>
  <si>
    <t>Have Packager at press during run.</t>
  </si>
  <si>
    <t>Core  –  N/A
Width – N/A
Number Across Run/FInish –  8/1
Core Label – No
±10% –  Yes
Unwind Dir. Run – N/A
Unwind Dir. Finish –  N/A
Diecut/Continuous/Sheet –  Die Cut Sheet
Partial Case –  Yes
Pieces per roll/Unit – 1,000
Length per roll/unit –  120'
Finish – On Press
Application – </t>
  </si>
  <si>
    <t>Run on Allied 1 or Allied 2 only.   Have Packager at press during run.</t>
  </si>
  <si>
    <t>50595 Cost of Goods Sold</t>
  </si>
  <si>
    <t>Sheeted Part 3M SJ3560 2.75" x 1"</t>
  </si>
  <si>
    <t>26297</t>
  </si>
  <si>
    <t>Sheeted Part - 3M SJ3560 - 2.75" x 1"</t>
  </si>
  <si>
    <t>Number Across Run/Finish –  1/1
Where Finished –  On Press
Length per Roll/Unit – 230'
Core Type –  N/A
Core Width – N/A
Core Label – No
Dividers – 
Bag Size – 
Qty. Per Bag – 1 M
Box Size –  16 x 16 x 10-1/4
Qty. Per Box – 2 M
Weight/box – 
Box Per Pallet – 
Pallet Type – </t>
  </si>
  <si>
    <t>Use a standard 40 X 48 pallet; 9 per layer x 3 high = 27 boxes (12 X 12 X 13 – 2,000 count).
Use 3” tape to seal boxes - Tape and dispenser located TC4H rack location.
No more than 3" of tape down sides of boxes.  Tape and label to be straight.</t>
  </si>
  <si>
    <t>Core  –  N/A
Width – N/A
Number Across Run/FInish –  1/1
Core Label – No
±10% –  Yes
Unwind Dir. Run – N/A
Unwind Dir. Finish –  N/A
Diecut/Continuous/Sheet –  Die Cut Sheet
Partial Case –  Yes
Pieces per roll/Unit – 1,000
Length per roll/unit –  230'
Finish – On Press
Application – </t>
  </si>
  <si>
    <t>Run a minimum of 3 lanes across</t>
  </si>
  <si>
    <t>50596 Cost of Goods Sold</t>
  </si>
  <si>
    <t>Sheeted Part Laser cut stencil 15" x 7"</t>
  </si>
  <si>
    <t>12596052</t>
  </si>
  <si>
    <t>Sheeted Part - Laser cut stencil - 15" x 7"</t>
  </si>
  <si>
    <t>Number Across Run/Finish –  1/1
Where Finished –  On Press
Length per Roll/Unit – 20'
Core Type –  N/A
Core Width – N/A
Core Label – No
Dividers – 
Bag Size – 
Qty. Per Bag – 15 Each
Box Size –  12 x 12 x 12
Qty. Per Box – 15 Each
Weight/box – 
Box Per Pallet – 
Pallet Type – </t>
  </si>
  <si>
    <t>Core  –  N/A
Width – N/A
Number Across Run/FInish –  1/1
Core Label – No
±10% –  Yes
Unwind Dir. Run – N/A
Unwind Dir. Finish –  N/A
Diecut/Continuous/Sheet –  Sheet
Partial Case –  Yes
Pieces per roll/Unit – 15
Length per roll/unit –  20'
Finish – On Press
Application – </t>
  </si>
  <si>
    <t>50597 Cost of Goods Sold</t>
  </si>
  <si>
    <t>Die Cut Part Shield, AL Foil Adh., 4-Port 1.080" x 0.240"</t>
  </si>
  <si>
    <t>71139-0002</t>
  </si>
  <si>
    <t>Die Cut Part - Shield, AL Foil Adh., 4-Port - 1.080" x 0.240"</t>
  </si>
  <si>
    <t>Number Across Run/Finish –  2/1
Where Finished –  On Press
Length per Roll/Unit – 495'
Core Type –  3" Paper 1/8" White Brown
Core Width – 0.5"
Core Label – No
Dividers – 
Bag Size – 
Qty. Per Bag – 20 Rolls
Box Size –  10 x 10 x 10
Qty. Per Box – 100 M
Weight/box – 
Box Per Pallet – 
Pallet Type – </t>
  </si>
  <si>
    <t>3M Cert needed.
Include a C of C with 3M Lot #.</t>
  </si>
  <si>
    <t>Core  –  3" Paper 1/8" White Brown
Width – 0.5"
Number Across Run/FInish –  2/1
Core Label – No
±10% –  Yes
Unwind Dir. Run – Parts Out
Unwind Dir. Finish –  Parts Out
Diecut/Continuous/Sheet –  Die Cut
Partial Case –  Yes
Pieces per roll/Unit – 5,000
Length per roll/unit –  495'
Finish – On Press
Application – </t>
  </si>
  <si>
    <t>50598 Cost of Goods Sold</t>
  </si>
  <si>
    <t>Die Cut Part Shield, AL Foil Adh., 2-Port 0.410" x 0.240"</t>
  </si>
  <si>
    <t>71140-0002</t>
  </si>
  <si>
    <t>Die Cut Part - Shield, AL Foil Adh., 2-Port - 0.410" x 0.240"</t>
  </si>
  <si>
    <t>Number Across Run/Finish –  2/1
Where Finished –  On Press
Length per Roll/Unit – 198'
Core Type –  3" Paper 1/8" White Brown
Core Width – 0.5"
Core Label – No
Dividers – 
Bag Size – 
Qty. Per Bag – 20 Rolls
Box Size –  10 x 10 x 10
Qty. Per Box – 100 M
Weight/box – 
Box Per Pallet – 
Pallet Type – </t>
  </si>
  <si>
    <t>Core  –  3" Paper 1/8" White Brown
Width – 0.5"
Number Across Run/FInish –  2/1
Core Label – No
±10% –  Yes
Unwind Dir. Run – Parts Out
Unwind Dir. Finish –  Parts Out
Diecut/Continuous/Sheet –  Die Cut
Partial Case –  Yes
Pieces per roll/Unit – 5,000
Length per roll/unit –  198'
Finish – On Press
Application – </t>
  </si>
  <si>
    <t>50599 Cost of Goods Sold</t>
  </si>
  <si>
    <t>Die Cut Part Shield, AL Foil Adh., 1-Port 0.320" x 0.240"</t>
  </si>
  <si>
    <t>71141-0002</t>
  </si>
  <si>
    <t>Die Cut Part - Shield, AL Foil Adh., 1-Port - 0.320" x 0.240"</t>
  </si>
  <si>
    <t>Number Across Run/Finish –  2/1
Where Finished –  On Press
Length per Roll/Unit – 189'
Core Type –  3" Paper 1/8" White Brown
Core Width – 0.5"
Core Label – No
Dividers – 
Bag Size – 
Qty. Per Bag – 20 Rolls
Box Size –  10 x 10 x 10
Qty. Per Box – 100 M
Weight/box – 
Box Per Pallet – 
Pallet Type – </t>
  </si>
  <si>
    <t>Core  –  3" Paper 1/8" White Brown
Width – 0.5"
Number Across Run/FInish –  2/1
Core Label – No
±10% –  Yes
Unwind Dir. Run – Parts Out
Unwind Dir. Finish –  Parts Out
Diecut/Continuous/Sheet –  Die Cut
Partial Case –  Yes
Pieces per roll/Unit – 5,000
Length per roll/unit –  189'
Finish – On Press
Application – </t>
  </si>
  <si>
    <t>50600 Cost of Goods Sold</t>
  </si>
  <si>
    <t>Die Cut Part GE PN 3074T08P02 1-7/16" x 9/32"</t>
  </si>
  <si>
    <t>8346</t>
  </si>
  <si>
    <t>Die Cut Part - GE PN 3074T08P02 - 1-7/16" x 9/32"</t>
  </si>
  <si>
    <t>Number Across Run/Finish –  1/2
Where Finished –  On Press
Length per Roll/Unit – 65'
Core Type –  3" Paper 1/8" White Brown
Core Width – 1.5"
Core Label – Yes
Dividers – 
Bag Size – 
Qty. Per Bag – 1 Roll
Box Size –  11 x 11 x 8
Qty. Per Box – 7 Rolls
Weight/box – 
Box Per Pallet – 
Pallet Type – </t>
  </si>
  <si>
    <t>Add GE part number to core labels.
Remove 4 sets of parts at the end of each roll (to create a leader).</t>
  </si>
  <si>
    <t>Core  –  3" Paper 1/8" White Brown
Width – 1.5"
Number Across Run/FInish –  1/2
Core Label – Yes
±10% –  Yes
Unwind Dir. Run – Parts Out
Unwind Dir. Finish –  Parts Out
Diecut/Continuous/Sheet –  Die Cut
Partial Case –  Yes
Pieces per roll/Unit – 1,000
Length per roll/unit –  65'
Finish – On Press
Application – </t>
  </si>
  <si>
    <t xml:space="preserve">Strip matrix from die and use a thin foam if needed.
Use Ceve juice roller
If standard foam is not working, use 2 layers of 1772 foam laminated together for die foam. Stick the foam to the die using the adhesive that comes on the 1772 foam to keep the foam from releasing so easily from the die. This is key to making this work. </t>
  </si>
  <si>
    <t>50601 Cost of Goods Sold</t>
  </si>
  <si>
    <t>Die Cut Part GE PN T700 3/4" x 1/8"</t>
  </si>
  <si>
    <t>8348</t>
  </si>
  <si>
    <t>Die Cut Part - GE PN T700 - 3/4" x 1/8"</t>
  </si>
  <si>
    <t>Number Across Run/Finish –  1/2
Where Finished –  On Press
Length per Roll/Unit – 37'
Core Type –  3" Paper 1/8" White Brown
Core Width – 1.5"
Core Label – Yes
Dividers – 
Bag Size – 
Qty. Per Bag – 1 Roll
Box Size –  8 x 8 x 8
Qty. Per Box – 16 Rolls
Weight/box – 
Box Per Pallet – 
Pallet Type – </t>
  </si>
  <si>
    <t>Core  –  3" Paper 1/8" White Brown
Width – 1.5"
Number Across Run/FInish –  1/2
Core Label – Yes
±10% –  Yes
Unwind Dir. Run – Parts Out
Unwind Dir. Finish –  Parts Out
Diecut/Continuous/Sheet –  Die Cut
Partial Case –  Yes
Pieces per roll/Unit – 1,000
Length per roll/unit –  37'
Finish – On Press
Application – </t>
  </si>
  <si>
    <t xml:space="preserve">Strip matrix from die. Use a Ceve Roller and use 2 layers of 1772 foam laminated together for die foam. Stick the foam to the die using the adhesive that comes on the 1772 foam to keep the foam from releasing so easily from the die. This is key to making this work. </t>
  </si>
  <si>
    <t>50602 Cost of Goods Sold</t>
  </si>
  <si>
    <t>Die Cut Part GE PN 6078T19P10 9/16" x 1/8"</t>
  </si>
  <si>
    <t>8349</t>
  </si>
  <si>
    <t>Die Cut Part - GE PN 6078T19P10 - 9/16" x 1/8"</t>
  </si>
  <si>
    <t>Number Across Run/Finish –  1/2
Where Finished –  On Press
Length per Roll/Unit – 58'
Core Type –  3" Paper 1/8" White Brown
Core Width – 1.5"
Core Label – Yes
Dividers – 
Bag Size – 
Qty. Per Bag – 1 Roll
Box Size –  10 x 10 x 10
Qty. Per Box – 4 Rolls
Weight/box – 
Box Per Pallet – 
Pallet Type – </t>
  </si>
  <si>
    <t>Core  –  3" Paper 1/8" White Brown
Width – 1.5"
Number Across Run/FInish –  1/2
Core Label – Yes
±10% –  Yes
Unwind Dir. Run – Parts Out
Unwind Dir. Finish –  Parts Out
Diecut/Continuous/Sheet –  Die Cut
Partial Case –  Yes
Pieces per roll/Unit – 2,000
Length per roll/unit –  58'
Finish – On Press
Application – </t>
  </si>
  <si>
    <t>Strip matrix from die and use a thin foam if needed.
Use Ceve juice roller</t>
  </si>
  <si>
    <t>50603 Cost of Goods Sold</t>
  </si>
  <si>
    <t>Slit Tape 3M 3903 1/2" x 50Yd</t>
  </si>
  <si>
    <t>8356</t>
  </si>
  <si>
    <t>Slit Tape - 3M 3903 - 1/2" x 50Yd</t>
  </si>
  <si>
    <t>Number Across Run/Finish –  95/1
Where Finished –  On Press
Length per Roll/Unit – 50 Yd
Core Type –  As Recd.
Core Width – 0.5"
Core Label – No
Dividers – Paper
Bag Size – 
Qty. Per Bag – 20 Rolls
Box Size –  8 x 8 x 8
Qty. Per Box – 80 Rolls
Weight/box – 
Box Per Pallet – 
Pallet Type – </t>
  </si>
  <si>
    <t>Core  –  As Recd.
Width – 0.5"
Number Across Run/FInish –  95/1
Core Label – No
±10% –  Yes
Unwind Dir. Run – Adh. In
Unwind Dir. Finish –  Adh. In
Diecut/Continuous/Sheet –  Continuous
Partial Case –  Yes
Pieces per roll/Unit – 1
Length per roll/unit –  50 Yd
Finish – On Press
Application – </t>
  </si>
  <si>
    <t>50604 Cost of Goods Sold</t>
  </si>
  <si>
    <t>Die Cut Part GE PN 6051T72G02 1/2" x 1/8"</t>
  </si>
  <si>
    <t>8359</t>
  </si>
  <si>
    <t>Die Cut Part - GE PN 6051T72G02 - 1/2" x 1/8"</t>
  </si>
  <si>
    <t>Number Across Run/Finish –  1/2
Where Finished –  On Press
Length per Roll/Unit – 52'
Core Type –  3" Paper 1/8" White Brown
Core Width – 1.5"
Core Label – Yes
Dividers – 
Bag Size – 
Qty. Per Bag – 1 Roll
Box Size –  10 x 10 x 10
Qty. Per Box – 4 Rolls
Weight/box – 
Box Per Pallet – 
Pallet Type – </t>
  </si>
  <si>
    <t>Core  –  3" Paper 1/8" White Brown
Width – 1.5"
Number Across Run/FInish –  1/2
Core Label – Yes
±10% –  Yes
Unwind Dir. Run – Parts Out
Unwind Dir. Finish –  Parts Out
Diecut/Continuous/Sheet –  Die Cut
Partial Case –  Yes
Pieces per roll/Unit – 2,000
Length per roll/unit –  52'
Finish – On Press
Application – </t>
  </si>
  <si>
    <t>50605 Cost of Goods Sold</t>
  </si>
  <si>
    <t>Die Cut Part GE PN 5101T38G08-1 1-3/16" x 9/32"</t>
  </si>
  <si>
    <t>8630</t>
  </si>
  <si>
    <t>Die Cut Part - GE PN 5101T38G08-1 - 1-3/16" x 9/32"</t>
  </si>
  <si>
    <t>Number Across Run/Finish –  1/2
Where Finished –  On Press
Length per Roll/Unit – 55'
Core Type –  3" Paper (1/8" wall)
Core Width – 1.500"
Core Label – Yes
Dividers – 
Bag Size – 
Qty. Per Bag – 1 Roll
Box Size –  10 x 10 x 10
Qty. Per Box – 7 Rolls
Weight/box – 
Box Per Pallet – 
Pallet Type – </t>
  </si>
  <si>
    <t>Core  –  3" Paper (1/8" wall)
Width – 1.500"
Number Across Run/FInish –  1/2
Core Label – Yes
±10% –  Yes
Unwind Dir. Run – Parts Out
Unwind Dir. Finish –  Parts Out
Diecut/Continuous/Sheet –  Die Cut
Partial Case –  Yes
Pieces per roll/Unit – 1,000
Length per roll/unit –  55'
Finish – On Press
Application – </t>
  </si>
  <si>
    <t>50606 Cost of Goods Sold</t>
  </si>
  <si>
    <t>Die Cut Part GE PN 5101T38G08-2 2" x 9/32"</t>
  </si>
  <si>
    <t>8362</t>
  </si>
  <si>
    <t>Die Cut Part - GE PN 5101T38G08-2 - 2" x 9/32"</t>
  </si>
  <si>
    <t>Number Across Run/Finish –  1/2
Where Finished –  On Press
Length per Roll/Unit – 89'
Core Type –  3" Paper 1/8" White Brown
Core Width – 1.5"
Core Label – Yes
Dividers – 
Bag Size – 
Qty. Per Bag – 1 Roll
Box Size –  12 x 12 x 12
Qty. Per Box – 7 Rolls
Weight/box – 
Box Per Pallet – 
Pallet Type – </t>
  </si>
  <si>
    <t>Core  –  3" Paper 1/8" White Brown
Width – 1.5"
Number Across Run/FInish –  1/2
Core Label – Yes
±10% –  Yes
Unwind Dir. Run – Parts Out
Unwind Dir. Finish –  Parts Out
Diecut/Continuous/Sheet –  Die Cut
Partial Case –  Yes
Pieces per roll/Unit – 1,000
Length per roll/unit –  89'
Finish – On Press
Application – </t>
  </si>
  <si>
    <t>50607 Cost of Goods Sold</t>
  </si>
  <si>
    <t>Sheeted Part Mated hook and loop 1.5" x 1"</t>
  </si>
  <si>
    <t>8364</t>
  </si>
  <si>
    <t>Sheeted Part - Mated hook and loop - 1.5" x 1"</t>
  </si>
  <si>
    <t>Number Across Run/Finish –  1/1
Where Finished –  Off Press
Length per Roll/Unit – 125'
Core Type –  N/A
Core Width – N/A
Core Label – No
Dividers – 
Bag Size – 
Qty. Per Bag – 1 Each
Box Size –  8 x 8 x 8
Qty. Per Box – 5 M
Weight/box – 
Box Per Pallet – 
Pallet Type – </t>
  </si>
  <si>
    <t>Package one part in a 2" x 2" zip bag.</t>
  </si>
  <si>
    <t>Core  –  N/A
Width – N/A
Number Across Run/FInish –  1/1
Core Label – No
±10% –  Yes
Unwind Dir. Run – N/A
Unwind Dir. Finish –  N/A
Diecut/Continuous/Sheet –  Sheet
Partial Case –  Yes
Pieces per roll/Unit – 1,000
Length per roll/unit –  125'
Finish – Off Press
Application – </t>
  </si>
  <si>
    <t>50608 Cost of Goods Sold</t>
  </si>
  <si>
    <t>Sheeted Part 3M 4008 82mm x 7mm</t>
  </si>
  <si>
    <t>5041781</t>
  </si>
  <si>
    <t>Sheeted Part - 3M 4008 - 82mm x 7mm</t>
  </si>
  <si>
    <t>Number Across Run/Finish –  7/1
Where Finished –  On Press
Length per Roll/Unit – N/A
Core Type –  N/A
Core Width – N/A
Core Label – No
Dividers – 
Bag Size – 
Qty. Per Bag – 100 Each
Box Size –  12 3/4 x 11 x 4
Qty. Per Box – 1,000 Each
Weight/box – 
Box Per Pallet – 
Pallet Type – </t>
  </si>
  <si>
    <t>Core  –  N/A
Width – N/A
Number Across Run/FInish –  7/1
Core Label – No
±10% –  Yes
Unwind Dir. Run – N/A
Unwind Dir. Finish –  N/A
Diecut/Continuous/Sheet –  Die Cut Sheet
Partial Case –  Yes
Pieces per roll/Unit – 
Length per roll/unit –  N/A
Finish – On Press
Application – </t>
  </si>
  <si>
    <t>50609 Cost of Goods Sold</t>
  </si>
  <si>
    <t>Sheeted Part 3M 4941 41mm x 38mm</t>
  </si>
  <si>
    <t>5041782</t>
  </si>
  <si>
    <t>Sheeted Part - 3M 4941 - 41mm x 38mm</t>
  </si>
  <si>
    <t>Number Across Run/Finish –  3/1
Where Finished –  On Press
Length per Roll/Unit – N/A
Core Type –  N/A
Core Width – N/A
Core Label – No
Dividers – 
Bag Size – 
Qty. Per Bag – 100 Each
Box Size –  6 x 6 x 6
Qty. Per Box – 1,000 Each
Weight/box – 
Box Per Pallet – 
Pallet Type – </t>
  </si>
  <si>
    <t>Core  –  N/A
Width – N/A
Number Across Run/FInish –  3/1
Core Label – No
±10% –  No
Unwind Dir. Run – N/A
Unwind Dir. Finish –  N/A
Diecut/Continuous/Sheet –  Sheet
Partial Case –  Yes
Pieces per roll/Unit – 
Length per roll/unit –  N/A
Finish – On Press
Application – </t>
  </si>
  <si>
    <t>50610 Cost of Goods Sold</t>
  </si>
  <si>
    <t>Sheeted Part 3M 9703 9mm x 9mm</t>
  </si>
  <si>
    <t>5041842</t>
  </si>
  <si>
    <t>Sheeted Part - 3M 9703 - 9mm x 9mm</t>
  </si>
  <si>
    <t>Number Across Run/Finish –  48/1
Where Finished –  On Press
Length per Roll/Unit – N/A
Core Type –  N/A
Core Width – N/A
Core Label – No
Dividers – 
Bag Size – 
Qty. Per Bag – 100 Each
Box Size –  10 x 10 x 10
Qty. Per Box – 100 Each
Weight/box – 
Box Per Pallet – 
Pallet Type – </t>
  </si>
  <si>
    <t>Core  –  N/A
Width – N/A
Number Across Run/FInish –  48/1
Core Label – No
±10% –  No
Unwind Dir. Run – N/A
Unwind Dir. Finish –  N/A
Diecut/Continuous/Sheet –  Sheet
Partial Case –  Yes
Pieces per roll/Unit – 
Length per roll/unit –  N/A
Finish – On Press
Application – </t>
  </si>
  <si>
    <t>50611 Cost of Goods Sold</t>
  </si>
  <si>
    <t>Sheeted Part PPI TC-250B 114mm x 105mm</t>
  </si>
  <si>
    <t>5041868</t>
  </si>
  <si>
    <t>Sheeted Part - PPI TC-250B - 114mm x 105mm</t>
  </si>
  <si>
    <t>Number Across Run/Finish –  1/1
Where Finished –  On Press
Length per Roll/Unit – N/A
Core Type –  N/A
Core Width – N/A
Core Label – No
Dividers – 
Bag Size – 
Qty. Per Bag – 100 Each
Box Size –  13 x 13 x 10
Qty. Per Box – 1,000 Each
Weight/box – 
Box Per Pallet – 
Pallet Type – </t>
  </si>
  <si>
    <t>Core  –  N/A
Width – N/A
Number Across Run/FInish –  1/1
Core Label – No
±10% –  No
Unwind Dir. Run – N/A
Unwind Dir. Finish –  N/A
Diecut/Continuous/Sheet –  Die Cut Sheet
Partial Case –  Yes
Pieces per roll/Unit – 100
Length per roll/unit –  N/A
Finish – On Press
Application – </t>
  </si>
  <si>
    <t>50612 Cost of Goods Sold</t>
  </si>
  <si>
    <t>Printed Tape 3M 1529 5" x 1,500'</t>
  </si>
  <si>
    <t>8381</t>
  </si>
  <si>
    <t>Printed Tape - 3M 1529 - 5" x 1,500'</t>
  </si>
  <si>
    <t>Number Across Run/Finish –  2/1
Where Finished –  Web Techniques
Length per Roll/Unit – 1,500'
Core Type –  3" Paper 1/8" Strouse Brown
Core Width – 5"
Core Label – Yes
Dividers – Paper
Bag Size – 
Qty. Per Bag – 1 Roll
Box Size –  12 x 12 x 12
Qty. Per Box – 2 Rolls
Weight/box – 
Box Per Pallet – 
Pallet Type – </t>
  </si>
  <si>
    <t>Core  –  3" Paper 1/8" Strouse Brown
Width – 5"
Number Across Run/FInish –  2/1
Core Label – Yes
±10% –  No
Unwind Dir. Run – Print In
Unwind Dir. Finish –  Print In
Diecut/Continuous/Sheet –  Continuous
Partial Case –  Yes
Pieces per roll/Unit – 1 Roll
Length per roll/unit –  1,500'
Finish – Web Techniques
Application – </t>
  </si>
  <si>
    <t xml:space="preserve">Use same printing plate as JT 8667/JT 8777
</t>
  </si>
  <si>
    <t>50613 Cost of Goods Sold</t>
  </si>
  <si>
    <t>Sheeted Part 3M 1522 0.5" x 3"</t>
  </si>
  <si>
    <t>8382</t>
  </si>
  <si>
    <t>Sheeted Part - 3M 1522 - 0.5" x 3"</t>
  </si>
  <si>
    <t>Number Across Run/Finish –  1/1
Where Finished –  On Press
Length per Roll/Unit – 2'
Core Type –  N/A
Core Width – N/A
Core Label – No
Dividers – 
Bag Size – 
Qty. Per Bag – 36 
Box Size –  12 x 12 x 12
Qty. Per Box – 60,000 
Weight/box – 
Box Per Pallet – 
Pallet Type – </t>
  </si>
  <si>
    <t>The customer wants to be able to grab a stack of 36 parts when unpacking the parts to put into kits without having to count them out.
For extra stability place 1 cardboard divider on top and bottom of box. 
Double tape top and bottom and add tape cross ways for additional support. 
Must use Scaltec scale to weigh parts. Other scales not sensitive enough for these light parts. See picture in JJ for the scale to use.</t>
  </si>
  <si>
    <t>Core  –  N/A
Width – N/A
Number Across Run/FInish –  1/1
Core Label – No
±10% –  Yes
Unwind Dir. Run – N/A
Unwind Dir. Finish –  N/A
Diecut/Continuous/Sheet –  Sheet
Partial Case –  Yes
Pieces per roll/Unit – 
Length per roll/unit –  2'
Finish – On Press
Application – </t>
  </si>
  <si>
    <t>50614 Cost of Goods Sold</t>
  </si>
  <si>
    <t>Printed Tape Light green PVC printed black "Tower 1" 1" x 72Yd</t>
  </si>
  <si>
    <t>806760157</t>
  </si>
  <si>
    <t>Printed Tape - Light green PVC printed black "Tower 1" - 1" x 72Yd</t>
  </si>
  <si>
    <t>Number Across Run/Finish –  5/1
Where Finished –  On Press
Length per Roll/Unit – 72 Yd
Core Type –  3" Paper 1/8" Strouse Brown
Core Width – 1.0"
Core Label – Yes - See Note
Dividers – Paper
Bag Size – 
Qty. Per Bag – 10 Rolls
Box Size –  12 x 12 x 12
Qty. Per Box – 50 Rolls
Weight/box – 
Box Per Pallet – 
Pallet Type – </t>
  </si>
  <si>
    <t>Core  –  3" Paper 1/8" Strouse Brown
Width – 1.0"
Number Across Run/FInish –  5/1
Core Label – Yes - See Note
±10% –  Yes
Unwind Dir. Run – 2
Unwind Dir. Finish –  2
Diecut/Continuous/Sheet –  Continuous
Partial Case –  Yes
Pieces per roll/Unit – 1
Length per roll/unit –  72 Yd
Finish – On Press
Application – </t>
  </si>
  <si>
    <t>50615 Cost of Goods Sold</t>
  </si>
  <si>
    <t>Printed Tape Light Blue EE12 printed black "Tower 2" 1" x 72Yd</t>
  </si>
  <si>
    <t>806760158</t>
  </si>
  <si>
    <t>Printed Tape - Light Blue EE12 printed black "Tower 2" - 1" x 72Yd</t>
  </si>
  <si>
    <t>Number Across Run/Finish –  5/1
Where Finished –  On Press
Length per Roll/Unit – 72 Yd
Core Type –  3" Paper 1/8" Strouse Brown
Core Width – 1"
Core Label – Yes - See Note
Dividers – Paper
Bag Size – 
Qty. Per Bag – 10 Rolls
Box Size –  12 x 12 x 12
Qty. Per Box – 50 Rolls
Weight/box – 
Box Per Pallet – 
Pallet Type – </t>
  </si>
  <si>
    <t>Core  –  3" Paper 1/8" Strouse Brown
Width – 1"
Number Across Run/FInish –  5/1
Core Label – Yes - See Note
±10% –  Yes
Unwind Dir. Run – 2
Unwind Dir. Finish –  2
Diecut/Continuous/Sheet –  Continuous
Partial Case –  Yes
Pieces per roll/Unit – 1
Length per roll/unit –  72 Yd
Finish – On Press
Application – </t>
  </si>
  <si>
    <t>50616 Cost of Goods Sold</t>
  </si>
  <si>
    <t>Printed Tape Red EE12 printed black "Tower 3" 1" x 72Yd</t>
  </si>
  <si>
    <t>806760159</t>
  </si>
  <si>
    <t>Printed Tape - Red EE12 printed black "Tower 3" - 1" x 72Yd</t>
  </si>
  <si>
    <t>50617 Cost of Goods Sold</t>
  </si>
  <si>
    <t>Printed Tape EE12 printed black "Tower 4" 1" x 72Yd</t>
  </si>
  <si>
    <t>806760160</t>
  </si>
  <si>
    <t>Printed Tape -  EE12 printed black "Tower 4" - 1" x 72Yd</t>
  </si>
  <si>
    <t>Number Across Run/Finish –  5/1
Where Finished –  On Press
Length per Roll/Unit – 72 Yd
Core Type –  3" Paper 1/8" Strouse Brown
Core Width – 1"
Core Label – Yes - See Note
Dividers – Paper
Bag Size – 
Qty. Per Bag – 10 Rolls
Box Size –  12 x 12 x 4
Qty. Per Box – 50 Rolls
Weight/box – 
Box Per Pallet – 
Pallet Type – </t>
  </si>
  <si>
    <t>50618 Cost of Goods Sold</t>
  </si>
  <si>
    <t>Sheeted Part 3M 5930P 4.4" x 5.5"</t>
  </si>
  <si>
    <t>440-0092-069</t>
  </si>
  <si>
    <t>Sheeted Part - 3M 5930P - 4.4" x 5.5"</t>
  </si>
  <si>
    <t>Number Across Run/Finish –  1/1
Where Finished –  On Press
Length per Roll/Unit – 375'
Core Type –  N/A
Core Width – N/A
Core Label – No
Dividers – 
Bag Size – 
Qty. Per Bag – 200 
Box Size –  16 1/2 x 8 1/2 x 13
Qty. Per Box – 200 
Weight/box – 
Box Per Pallet – 
Pallet Type – </t>
  </si>
  <si>
    <t>Core  –  N/A
Width – N/A
Number Across Run/FInish –  1/1
Core Label – No
±10% –  Yes
Unwind Dir. Run – N/A
Unwind Dir. Finish –  N/A
Diecut/Continuous/Sheet –  Die Cut Sheet
Partial Case –  Yes
Pieces per roll/Unit – 
Length per roll/unit –  375'
Finish – On Press
Application – </t>
  </si>
  <si>
    <t>50619 Cost of Goods Sold</t>
  </si>
  <si>
    <t>Butt Cut Tape ST-1753 butt cut every 4" w/ tab 4" x 4"</t>
  </si>
  <si>
    <t xml:space="preserve">0837-3FNX </t>
  </si>
  <si>
    <t>Butt Cut Tape - ST-1753 butt cut every 4" w/ tab - 4" x 4"</t>
  </si>
  <si>
    <t>Number Across Run/Finish –  1/1
Where Finished –  On Press
Length per Roll/Unit – 167'
Core Type –  3" Paper 1/8" Strouse Brown
Core Width – 4.25"
Core Label – Yes
Dividers – 
Bag Size – 
Qty. Per Bag – 
Box Size –  6 x 6 x 6
Qty. Per Box – 6 Rolls
Weight/box – 
Box Per Pallet – 
Pallet Type – </t>
  </si>
  <si>
    <t>Core  –  3" Paper 1/8" Strouse Brown
Width – 4.25"
Number Across Run/FInish –  1/1
Core Label – Yes
±10% –  No
Unwind Dir. Run – Parts In
Unwind Dir. Finish –  Parts In
Diecut/Continuous/Sheet –  Die Cut
Partial Case –  Yes
Pieces per roll/Unit – 500
Length per roll/unit –  167'
Finish – On Press
Application – </t>
  </si>
  <si>
    <t>Liner needs to be press slit to 4.25 NO WIDER.
Sets up &amp; Runs best on A2 to use the mid press web guide.</t>
  </si>
  <si>
    <t>50620 Cost of Goods Sold</t>
  </si>
  <si>
    <t>Sheeted Part 22-TS0-R##-FCSpacer-483_LFA 8.00_170614 85.9mm x 25.2mm</t>
  </si>
  <si>
    <t>ABG299-R00</t>
  </si>
  <si>
    <t>Sheeted Part - 22-TS0-R##-FCSpacer-483_LFA 8.00_170614 - 85.9mm x 25.2mm</t>
  </si>
  <si>
    <t>Number Across Run/Finish –  3/1
Where Finished –  On Press
Length per Roll/Unit – N/A
Core Type –  N/A
Core Width – N/A
Core Label – Yes - on bag
Dividers – 
Bag Size – 
Qty. Per Bag – 100 Each
Box Size –  14 1/4 x 8 3/4  x 12 5/8
Qty. Per Box – 1,000 Each
Weight/box – 
Box Per Pallet – 
Pallet Type – </t>
  </si>
  <si>
    <t>See WO for specific lot # of materials to be used on each job.
Do not clean the spacers after laser cutting.
Laser cut the material with the double adhesive layer facing down on the platform.
Label or otherwise identify the double adhesive layer on the spacers.
Please specify the lot number of the AS-203 and Skyrol on the packing slip for quality control purposes.</t>
  </si>
  <si>
    <t>Core  –  N/A
Width – N/A
Number Across Run/FInish –  3/1
Core Label – Yes - on bag
±10% –  Yes
Unwind Dir. Run – N/A
Unwind Dir. Finish –  N/A
Diecut/Continuous/Sheet –  Die Cut Sheet
Partial Case –  Yes
Pieces per roll/Unit – 
Length per roll/unit –  N/A
Finish – On Press
Application – </t>
  </si>
  <si>
    <t>DO NOT USE RAGS TO CLEAN PARTS!!  IF NEEDED USE LINT FREE CLEAN ROOM CLOTHS ONLY!!!
Need to cut with double layer of AS203 down - Wear black nitrile gloves when handling.  
DO NOT CHANGE LASER POWER/SPEED/FREQUENCY SETTINGS WITHOUT PRIOR APPROVAL.</t>
  </si>
  <si>
    <t>50621 Cost of Goods Sold</t>
  </si>
  <si>
    <t>Slit Tape 3M 3073 72mm x 50m</t>
  </si>
  <si>
    <t>10980690</t>
  </si>
  <si>
    <t>Slit Tape - 3M 3073 - 72mm x 50m</t>
  </si>
  <si>
    <t>Number Across Run/Finish –  1/1
Where Finished –  On Press
Length per Roll/Unit – 50 m
Core Type –  3" Plastic 0.10" HDPE
Core Width – 72 mm
Core Label – Yes
Dividers – Paper
Bag Size – 
Qty. Per Bag – 4/24 Rolls
Box Size –  10 x 10 x 10
Qty. Per Box – 24 Rolls
Weight/box – 
Box Per Pallet – 
Pallet Type – </t>
  </si>
  <si>
    <t>Rolls have to be clean; free of dirt, debris, etc. 
Tab end of rolls with blue splice tape.
Place 4 rolls in a bag, then place these inside of a bigger bag inside the box (to be used in a clean room).</t>
  </si>
  <si>
    <t>Core  –  3" Plastic 0.10" HDPE
Width – 72 mm
Number Across Run/FInish –  1/1
Core Label – Yes
±10% –  Yes
Unwind Dir. Run – Adh. In
Unwind Dir. Finish –  Adh. In
Diecut/Continuous/Sheet –  Continuous
Partial Case –  Yes
Pieces per roll/Unit – 1 Roll
Length per roll/unit –  50 m
Finish – On Press
Application – </t>
  </si>
  <si>
    <t>50622 Cost of Goods Sold</t>
  </si>
  <si>
    <t>Slit Tape P-221 3/16" x 36Yd</t>
  </si>
  <si>
    <t>1060132</t>
  </si>
  <si>
    <t>Slit Tape - P-221 - 3/16" x 36Yd</t>
  </si>
  <si>
    <t>Number Across Run/Finish –  128/1
Where Finished –  On Press
Length per Roll/Unit – 36 Yd
Core Type –  As Recd.
Core Width – 0.1875"
Core Label – Yes - On bag
Dividers – None
Bag Size – 
Qty. Per Bag – 1 Roll
Box Size –  10 x 10 x 10
Qty. Per Box – 64 Rolls
Weight/box – 
Box Per Pallet – 
Pallet Type – </t>
  </si>
  <si>
    <t>Wear gloves when handling material.
Use bag label format "8431 Special Bag Label".
Include a C of C, and a Material Cert for P221.
The Packing List and Labels must include the following: Supplier, Part Number, DOE, and P-221 x 3/16" (or .187).</t>
  </si>
  <si>
    <t>Core  –  As Recd.
Width – 0.1875"
Number Across Run/FInish –  128/1
Core Label – Yes - On bag
±10% –  Yes
Unwind Dir. Run – Adh. In
Unwind Dir. Finish –  Adh. In
Diecut/Continuous/Sheet –  Continuous
Partial Case –  Yes
Pieces per roll/Unit – 1 Roll
Length per roll/unit –  36 Yd
Finish – On Press
Application – </t>
  </si>
  <si>
    <t>Wear gloves when handling material.  Pay specific attention to engagement speed and be cognizant of potential (out of round) rolls to avoid double cuts.</t>
  </si>
  <si>
    <t>50623 Cost of Goods Sold</t>
  </si>
  <si>
    <t>Slit Roll 2.5 mil C1S Easy Release liner 2.5" x 1,340'</t>
  </si>
  <si>
    <t>242-0102164</t>
  </si>
  <si>
    <t>Slit Roll - 2.5 mil C1S Easy Release liner - 2.5" x 1,340'</t>
  </si>
  <si>
    <t>Number Across Run/Finish –  5/1
Where Finished –  On Press
Length per Roll/Unit – 1,340'
Core Type –  3" Paper 1/8" White Brown
Core Width – 2.50"
Core Label – Yes
Dividers – 
Bag Size – 
Qty. Per Bag – 4 Rolls
Box Size –  12 x 12 x 10
Qty. Per Box – 4 Rolls
Weight/box – 
Box Per Pallet – 
Pallet Type – </t>
  </si>
  <si>
    <t>Core  –  3" Paper 1/8" White Brown
Width – 2.50"
Number Across Run/FInish –  5/1
Core Label – Yes
±10% –  Yes
Unwind Dir. Run – Sil. In
Unwind Dir. Finish –  Sil. In
Diecut/Continuous/Sheet –  Continuous
Partial Case –  Yes
Pieces per roll/Unit – 1 Roll
Length per roll/unit –  1,340'
Finish – On Press
Application – </t>
  </si>
  <si>
    <t>Please wind rolls tightly so that they will not telescope when used in the customer's application.
Ok to have splices in finished rolls.</t>
  </si>
  <si>
    <t>50624 Cost of Goods Sold</t>
  </si>
  <si>
    <t>Perfed Film Pregis 2A04B Blue 271mm x 39.5mm</t>
  </si>
  <si>
    <t>Perfed Film - Pregis 2A04B Blue - 271mm x 39.5mm</t>
  </si>
  <si>
    <t>Number Across Run/Finish –  6/1
Where Finished –  On Press
Length per Roll/Unit – 886'
Core Type –  3" Paper 1/8" White Brown
Core Width – 39.5 mm
Core Label – Yes
Dividers – Paper
Bag Size – 
Qty. Per Bag – 6 Rolls
Box Size –  18 x 18 x 8
Qty. Per Box – 24 M
Weight/box – 
Box Per Pallet – 
Pallet Type – </t>
  </si>
  <si>
    <t>Core  –  3" Paper 1/8" White Brown
Width – 39.5 mm
Number Across Run/FInish –  6/1
Core Label – Yes
±10% –  Yes
Unwind Dir. Run – Adh. In
Unwind Dir. Finish –  Adh. In
Diecut/Continuous/Sheet –  Continuous
Partial Case –  Yes
Pieces per roll/Unit – 1,000
Length per roll/unit –  886'
Finish – On Press
Application – </t>
  </si>
  <si>
    <t>50625 Cost of Goods Sold</t>
  </si>
  <si>
    <t>Die Cut Part 3M 4955 60mm x 6mm</t>
  </si>
  <si>
    <t>3M 4955/ 60mm x 6mm</t>
  </si>
  <si>
    <t>Die Cut Part - 3M 4955 - 60mm x 6mm</t>
  </si>
  <si>
    <t>Number Across Run/Finish –  3/3
Where Finished –  On Press
Length per Roll/Unit – 207'
Core Type –  6" plastic, 0.155" PP
Core Width – 2"
Core Label – Yes
Dividers – 
Bag Size – 
Qty. Per Bag – 2 Rolls
Box Size –  10 x 10 x 10
Qty. Per Box – 11,640 Each
Weight/box – 
Box Per Pallet – 
Pallet Type – </t>
  </si>
  <si>
    <t>Core  –  6" plastic, 0.155" PP
Width – 2"
Number Across Run/FInish –  3/3
Core Label – Yes
±10% –  Yes
Unwind Dir. Run – Parts Out
Unwind Dir. Finish –  Parts Out
Diecut/Continuous/Sheet –  Die Cut
Partial Case –  Yes
Pieces per roll/Unit – 2,910
Length per roll/unit –  207'
Finish – On Press
Application – </t>
  </si>
  <si>
    <t>50626 Cost of Goods Sold</t>
  </si>
  <si>
    <t>Die Cut Part Bezel Mask Protective Film 53.4mm x 94.6mm</t>
  </si>
  <si>
    <t>130-X00046</t>
  </si>
  <si>
    <t>Die Cut Part - Bezel Mask Protective Film - 53.4mm x 94.6mm</t>
  </si>
  <si>
    <t>Number Across Run/Finish –  1/1
Where Finished –  On Press
Length per Roll/Unit – 11'
Core Type –  3" Paper 1/8" Strouse Brown
Core Width – 4.375"
Core Label – Yes
Dividers – 
Bag Size – 
Qty. Per Bag – 2 Rolls
Box Size –  12 x 12 x 12
Qty. Per Box –  M
Weight/box – 
Box Per Pallet – 
Pallet Type – </t>
  </si>
  <si>
    <t>Core  –  3" Paper 1/8" Strouse Brown
Width – 4.375"
Number Across Run/FInish –  1/1
Core Label – Yes
±10% –  Yes
Unwind Dir. Run – Parts Out
Unwind Dir. Finish –  Parts Out
Diecut/Continuous/Sheet –  Die Cut
Partial Case –  Yes
Pieces per roll/Unit – 50
Length per roll/unit –  11'
Finish – On Press
Application – </t>
  </si>
  <si>
    <t>50627 Cost of Goods Sold</t>
  </si>
  <si>
    <t>Sheeted Part 3M 4496W 4" x 2"</t>
  </si>
  <si>
    <t>147435</t>
  </si>
  <si>
    <t>Sheeted Part - 3M 4496W - 4" x 2"</t>
  </si>
  <si>
    <t>Number Across Run/Finish –  1/1
Where Finished –  On Press
Length per Roll/Unit – 334'
Core Type –  N/A
Core Width – N/A
Core Label – No
Dividers – 
Bag Size – 
Qty. Per Bag – 1 M
Box Size –  22 X 17 X 26
Qty. Per Box – 1 M
Weight/box – 
Box Per Pallet – 
Pallet Type – </t>
  </si>
  <si>
    <t>Please put a box label on two adjacent sides.
Partial case to be marked as such.</t>
  </si>
  <si>
    <t>Core  –  N/A
Width – N/A
Number Across Run/FInish –  1/1
Core Label – No
±10% –  Yes
Unwind Dir. Run – N/A
Unwind Dir. Finish –  N/A
Diecut/Continuous/Sheet –  Sheet
Partial Case –  Yes
Pieces per roll/Unit – 1,000
Length per roll/unit –  334'
Finish – On Press
Application – </t>
  </si>
  <si>
    <t>50628 Cost of Goods Sold</t>
  </si>
  <si>
    <t>BRZ-LN1-160-008 Rev B</t>
  </si>
  <si>
    <t>Box</t>
  </si>
  <si>
    <t>Number Across Run/Finish –  1/1
Where Finished –  Off Press
Length per Roll/Unit – 2'
Core Type –  N/A
Core Width – N/A
Core Label – No
Dividers – 
Bag Size – 
Qty. Per Bag – 
Box Size –  20 3/4 X 16 3/4 X 26
Qty. Per Box – 204 
Weight/box – 
Box Per Pallet – 8
Pallet Type – </t>
  </si>
  <si>
    <t>Print label using format 8444-Box on Honeywell Printer.  Apply printed label to blank box and seal box with wafer seal.
Zeltiq Lot Number and DOM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12 cartons per layer in brown shipping box.  Polyethylene sheets between each layer.  17 layers deep.  Add one sheet on bottom of box and cover top layer of box with one polyethylene sheet , then two double sheets of bubble wrap.   204 cartons per brown shipping box.  8 brown shipping boxes per skid.  1,632 cartons per skid.</t>
  </si>
  <si>
    <t>Core  –  N/A
Width – N/A
Number Across Run/FInish –  1/1
Core Label – No
±10% –  Yes
Unwind Dir. Run – N/A
Unwind Dir. Finish –  N/A
Diecut/Continuous/Sheet –  Die Cut Sheet
Partial Case –  Ask
Pieces per roll/Unit – 8
Length per roll/unit –  2'
Finish – Off Press
Application – </t>
  </si>
  <si>
    <t>50629 Cost of Goods Sold</t>
  </si>
  <si>
    <t>BRZ-LN1-180-008 Rev B</t>
  </si>
  <si>
    <t>Number Across Run/Finish –  1/1
Where Finished –  Off Press
Length per Roll/Unit – 3'
Core Type –  N/A
Core Width – N/A
Core Label – No
Dividers – 
Bag Size – 
Qty. Per Bag – 
Box Size –  20 7/8 X 20 X 26
Qty. Per Box – 136 
Weight/box – 
Box Per Pallet – 8
Pallet Type – </t>
  </si>
  <si>
    <t>Print label using format 8445-Box on Honeywell Printer.  Apply printed label to blank box and seal box with wafer seal.
Zeltiq Lot Number and DOM,DOE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8 cartons per layer in brown shipping box.  Polyethylene sheets between each layer.  17 layers deep. One sheet on bottom of box. Cover top layer of box with one polyethylene sheet and two double sheets of bubble wrap, tape closed.  136 cartons per brown shipping box.  8 brown shipping boxes per skid.  1,088 cartons per skid.</t>
  </si>
  <si>
    <t>Core  –  N/A
Width – N/A
Number Across Run/FInish –  1/1
Core Label – No
±10% –  Yes
Unwind Dir. Run – N/A
Unwind Dir. Finish –  N/A
Diecut/Continuous/Sheet –  Die Cut Sheet
Partial Case –  Ask
Pieces per roll/Unit – 8
Length per roll/unit –  3'
Finish – Off Press
Application – </t>
  </si>
  <si>
    <t>50630 Cost of Goods Sold</t>
  </si>
  <si>
    <t>BRZ-LN1-140-008 Rev B</t>
  </si>
  <si>
    <t>Number Across Run/Finish –  1/1
Where Finished –  Off Press
Length per Roll/Unit – 1'
Core Type –  N/A
Core Width – N/A
Core Label – No
Dividers – 
Bag Size – 
Qty. Per Bag – 
Box Size –  16 1/2 x 8 1/2 x 13
Qty. Per Box – 240 
Weight/box – 
Box Per Pallet – 8
Pallet Type – </t>
  </si>
  <si>
    <t>Print label using format 8446-Box on Honeywell Printer.  Apply printed label to blank box and seal box with wafer seal.
Zeltiq Lot Number and DOM are required on the Certificate of Conformance.
Input Full Lot Number "SYYYYMM-XX".  
YYYY - Current 4 digit year.
MM - Current 2 digit month.
XX - Changes with each new WO for this job jacket number and restarts at 01 at the beginning of the month.
• Input 2-digit expiration year, month and day as prompted. 3 years from production start date.
• Have quality inspect first part every time a format file format is loaded.
Do not print without quality sign-off 
15 cartons per layer in brown shipping box.  Polyethylene sheets between each layer.  16 layers deep.  240 cartons per brown shipping box.  8 brown shipping boxes per skid.  1,920 cartons per skid.</t>
  </si>
  <si>
    <t>Core  –  N/A
Width – N/A
Number Across Run/FInish –  1/1
Core Label – No
±10% –  Yes
Unwind Dir. Run – N/A
Unwind Dir. Finish –  N/A
Diecut/Continuous/Sheet –  Die Cut Sheet
Partial Case –  Ask
Pieces per roll/Unit – 8
Length per roll/unit –  1'
Finish – Off Press
Application – </t>
  </si>
  <si>
    <t>50631 Cost of Goods Sold</t>
  </si>
  <si>
    <t>Die Cut Part 6" x 4" Printed Label for Advantage Pouch, Color 10220C (Metallic Purple) 6" x 4"</t>
  </si>
  <si>
    <t>8458</t>
  </si>
  <si>
    <t>Die Cut Part - 6" x 4" Printed Label for Advantage Pouch, Color 10220C (Metallic Purple) - 6" x 4"</t>
  </si>
  <si>
    <t>Number Across Run/Finish –  2/1
Where Finished –  Web Techniques
Length per Roll/Unit – 510'
Core Type –  3" Paper 1/8" White Brown
Core Width – 4.125"
Core Label – Yes
Dividers – 
Bag Size – 
Qty. Per Bag – 
Box Size –  12 x 12 x 4
Qty. Per Box – 6 M
Weight/box – 
Box Per Pallet – 
Pallet Type – </t>
  </si>
  <si>
    <t>50632 Cost of Goods Sold</t>
  </si>
  <si>
    <t>Sheeted Part 3M 5930P 6.73" x 5.37"</t>
  </si>
  <si>
    <t>JC-435110 Rev. A</t>
  </si>
  <si>
    <t>Sheeted Part - 3M 5930P - 6.73" x 5.37"</t>
  </si>
  <si>
    <t>Number Across Run/Finish –  1/1
Where Finished –  On Press
Length per Roll/Unit – 30'
Core Type –  N/A
Core Width – N/A
Core Label – Yes - On Bag
Dividers – 
Bag Size – 
Qty. Per Bag – 75 Each
Box Size –  
Qty. Per Box – 75 Each
Weight/box – 
Box Per Pallet – 
Pallet Type – </t>
  </si>
  <si>
    <t>Include a C of C and Certificate of RoHS Compliance.</t>
  </si>
  <si>
    <t>Core  –  N/A
Width – N/A
Number Across Run/FInish –  1/1
Core Label – Yes - On Bag
±10% –  Yes
Unwind Dir. Run – N/A
Unwind Dir. Finish –  N/A
Diecut/Continuous/Sheet –  Die Cut Sheet
Partial Case –  Yes
Pieces per roll/Unit – 50
Length per roll/unit –  30'
Finish – On Press
Application – </t>
  </si>
  <si>
    <t>50633 Cost of Goods Sold</t>
  </si>
  <si>
    <t>Slit Tape ST-934 0.75" x 55m</t>
  </si>
  <si>
    <t>10985734</t>
  </si>
  <si>
    <t>Slit Tape - ST-934 - 0.75" x 55m</t>
  </si>
  <si>
    <t>Number Across Run/Finish –  1/1
Where Finished –  
Length per Roll/Unit – 
Core Type –  N/A
Core Width – 
Core Label – 
Dividers – 
Bag Size – 
Qty. Per Bag – 
Box Size –  9 x 9 x 13
Qty. Per Box – 
Weight/box – 
Box Per Pallet – 
Pallet Type – </t>
  </si>
  <si>
    <t>BOXED ITEM TO BE RELABELED</t>
  </si>
  <si>
    <t>Core  –  N/A
Width – 
Number Across Run/FInish –  1/1
Core Label – 
±10% –  Yes
Unwind Dir. Run – N/A
Unwind Dir. Finish –  N/A
Diecut/Continuous/Sheet –  Continuous
Partial Case –  Yes
Pieces per roll/Unit – 1
Length per roll/unit –  
Finish – 
Application – </t>
  </si>
  <si>
    <t>50634 Cost of Goods Sold</t>
  </si>
  <si>
    <t>Slit Tape Tesa 62932 1" x 55Yd</t>
  </si>
  <si>
    <t>62932/1.0</t>
  </si>
  <si>
    <t>Slit Tape - Tesa 62932 - 1" x 55Yd</t>
  </si>
  <si>
    <t>Number Across Run/Finish –  52/1
Where Finished –  On Press
Length per Roll/Unit – 55 Yd
Core Type –  As Recd.
Core Width – 1"
Core Label – Yes
Dividers – 
Bag Size – 
Qty. Per Bag – 13 Rolls
Box Size –  23 x 12 1/4 x 7
Qty. Per Box – 13 Rolls
Weight/box – 
Box Per Pallet – 
Pallet Type – </t>
  </si>
  <si>
    <t>Core  –  As Recd.
Width – 1"
Number Across Run/FInish –  52/1
Core Label – Yes
±10% –  Yes
Unwind Dir. Run – Adh. In
Unwind Dir. Finish –  Adh. In
Diecut/Continuous/Sheet –  Continuous
Partial Case –  Yes
Pieces per roll/Unit – 1 Roll
Length per roll/unit –  55 Yd
Finish – On Press
Application – </t>
  </si>
  <si>
    <t>50635 Cost of Goods Sold</t>
  </si>
  <si>
    <t>Sheeted Part 3M SJ3571 White Loop 5/8" 0.625" Dia</t>
  </si>
  <si>
    <t>44-0061-1558-6</t>
  </si>
  <si>
    <t>Sheeted Part - 3M SJ3571 White Loop 5/8" - 0.625" Dia</t>
  </si>
  <si>
    <t>Number Across Run/Finish –  1/1
Where Finished –  Off Press
Length per Roll/Unit – 13'
Core Type –  N/A
Core Width – N/A
Core Label – No
Dividers – See notes
Bag Size – 
Qty. Per Bag – 
Box Size –  23 x 12 1/4 x 7
Qty. Per Box – 3 M
Weight/box – 
Box Per Pallet – 
Pallet Type – </t>
  </si>
  <si>
    <t>4 dividers - 22.75" x 12" per box
9 dividers - 22.75" x 2.25" per box
2,750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</si>
  <si>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Core  –  N/A
Width – N/A
Number Across Run/FInish –  1/1
Core Label – No
±10% –  Yes
Unwind Dir. Run – N/A
Unwind Dir. Finish –  N/A
Diecut/Continuous/Sheet –  Die Cut Sheet
Partial Case –  No
Pieces per roll/Unit – 50 Sheets
Length per roll/unit –  13'
Finish – Off Press
Application – </t>
  </si>
  <si>
    <t>Be sure to clean the press thoroughly prior to starting the job to prevent cross contamination between white/black/clear particulate from any prior 3M CHIM jobs.
Cleaning Procedure:
1)  Vacuum bulk of particulate.
2)  Compressed air wash.
3)  Alcohol wipe-down.</t>
  </si>
  <si>
    <t>50636 Cost of Goods Sold</t>
  </si>
  <si>
    <t>Sheeted Part 3M SJ3572 White Hook 5/8" 0.625" Dia</t>
  </si>
  <si>
    <t>44-0061-1557-8</t>
  </si>
  <si>
    <t>Sheeted Part - 3M SJ3572 White Hook 5/8" - 0.625" Dia</t>
  </si>
  <si>
    <t>4 dividers - 22.75" x 12" per box
9 dividers - 22.75" x 2.25" per box
2,900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</si>
  <si>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 xml:space="preserve">Be sure to clean the press thoroughly prior to starting the job to prevent cross contamination between white/black/clear particulate from any prior 3M CHIM jobs. 
Cleaning Procedure:
1)  Vacuum bulk of particulate.
2)  Compressed air wash.
3)  Alcohol wipe-down. </t>
  </si>
  <si>
    <t>50637 Cost of Goods Sold</t>
  </si>
  <si>
    <t>Sheeted Part 3M SJ3571 Black Loop 5/8" 0.625" Dia</t>
  </si>
  <si>
    <t>44-0061-1560-2</t>
  </si>
  <si>
    <t>Sheeted Part - 3M SJ3571 Black Loop 5/8" - 0.625" Dia</t>
  </si>
  <si>
    <t>4 dividers - 22.75" x 12" per box
9 dividers - 22.75" x 2.25" per box
2,700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</si>
  <si>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50638 Cost of Goods Sold</t>
  </si>
  <si>
    <t>Sheeted Part 3M SJ3572 Black Hook 5/8" 0.625" Dia</t>
  </si>
  <si>
    <t>44-0061-1559-4</t>
  </si>
  <si>
    <t>Sheeted Part - 3M SJ3572 Black Hook 5/8" - 0.625" Dia</t>
  </si>
  <si>
    <t>4 dividers - 22.75" x 12" per box
9 dividers - 22.75" x 2.25" per box
3,000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</si>
  <si>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Be sure to clean the press thoroughly prior to starting the job to prevent cross contamination between white/black/clear particulate from any prior 3M CHIM jobs.  
Cleaning Procedure:
1)  Vacuum bulk of particulate.
2)  Compressed air wash.
3)  Alcohol wipe-down.</t>
  </si>
  <si>
    <t>50639 Cost of Goods Sold</t>
  </si>
  <si>
    <t>Sheeted Part 3M SJ3571 White Loop 3/4" 0.75" Dia</t>
  </si>
  <si>
    <t>44-0061-1562-8</t>
  </si>
  <si>
    <t>Sheeted Part - 3M SJ3571 White Loop 3/4" - 0.75" Dia</t>
  </si>
  <si>
    <t>4 dividers - 22.75" x 12" per box
9 dividers - 22.75" x 2.25" per box
2,750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</si>
  <si>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50640 Cost of Goods Sold</t>
  </si>
  <si>
    <t>Sheeted Part 3M SJ3572 White Hook 3/4" 0.75" Dia</t>
  </si>
  <si>
    <t>44-0061-1561-0</t>
  </si>
  <si>
    <t>Sheeted Part - 3M SJ3572 White Hook 3/4" - 0.75" Dia</t>
  </si>
  <si>
    <t>50641 Cost of Goods Sold</t>
  </si>
  <si>
    <t>Sheeted Part 3M SJ3571 White Loop 7/8" 0.875" x 0.875"</t>
  </si>
  <si>
    <t>44-0061-1663-4</t>
  </si>
  <si>
    <t>Sheeted Part - 3M SJ3571 White Loop 7/8" - 0.875" x 0.875"</t>
  </si>
  <si>
    <t>50642 Cost of Goods Sold</t>
  </si>
  <si>
    <t>Sheeted Part 3M SJ3572 White Hook 7/8" 0.875" x 0.875"</t>
  </si>
  <si>
    <t>44-0061-1664-2</t>
  </si>
  <si>
    <t>Sheeted Part - 3M SJ3572 White Hook 7/8" - 0.875" x 0.875"</t>
  </si>
  <si>
    <t>4 dividers - 22.75" x 12" per box
9 dividers - 22.75" x 2.25" per box
3,000 sheets per box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</si>
  <si>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50643 Cost of Goods Sold</t>
  </si>
  <si>
    <t>Sheeted Part 3M SJ3571 Black Loop 7/8" 0.875" x 0.875"</t>
  </si>
  <si>
    <t>44-0061-1665-9</t>
  </si>
  <si>
    <t>Sheeted Part - 3M SJ3571 Black Loop 7/8" - 0.875" x 0.875"</t>
  </si>
  <si>
    <t>4 dividers - 22.75" x 12" per box
9 dividers - 22.75" x 2.25" per box
2,850 sheets per box (part is a sheet.)
- Use 22.75" x 12" divider on bottom of box.
- Box must be filled on an incline, with stacks building from bottom to top in the direction of the 23" dimension.
- Fill box 4 rows wide, with a 22.75" x 2.25" divider between each row.
- Fill box 3 layers high, with a 22.75" x 12" divider between each layer.
- Fill each row until product is "snug".
Date on box label to read out as: YYJJJ (Ex. 12/31/2018 should read as 18365).
Strouse C of C required: with "Statement of Specifications".</t>
  </si>
  <si>
    <t>50644 Cost of Goods Sold</t>
  </si>
  <si>
    <t>Sheeted Part 3M SJ3572 Black Hook 7/8" 0.875" x 0.875"</t>
  </si>
  <si>
    <t>44-0061-1666-7</t>
  </si>
  <si>
    <t>Sheeted Part - 3M SJ3572 Black Hook 7/8" - 0.875" x 0.875"</t>
  </si>
  <si>
    <t>Number Across Run/Finish –  1/1
Where Finished –  Off Press
Length per Roll/Unit – 13'
Core Type –  N/A
Core Width – N/A
Core Label – No
Dividers – See notes
Bag Size – 
Qty. Per Bag – 
Box Size –  20.25 x 20.25 x 2.5 cake
Qty. Per Box – 3 M
Weight/box – 
Box Per Pallet – 
Pallet Type – </t>
  </si>
  <si>
    <t>50645 Cost of Goods Sold</t>
  </si>
  <si>
    <t>Sheeted Part 15" Ford Fiesta Wheel Mask 16.6" Dia</t>
  </si>
  <si>
    <t>51134-00095-00</t>
  </si>
  <si>
    <t>Sheeted Part - 15" Ford Fiesta Wheel Mask - 16.6" Dia</t>
  </si>
  <si>
    <t>Number Across Run/Finish –  1/1
Where Finished –  On Press
Length per Roll/Unit – 447'
Core Type –  N/A
Core Width – N/A
Core Label – No
Dividers – 
Bag Size – 
Qty. Per Bag – 
Box Size –  10 x 10 x 10
Qty. Per Box –  
Weight/box – 
Box Per Pallet – 
Pallet Type – </t>
  </si>
  <si>
    <t>Place GREEN dot on case near/on label.</t>
  </si>
  <si>
    <t>Core  –  N/A
Width – N/A
Number Across Run/FInish –  1/1
Core Label – No
±10% –  Yes
Unwind Dir. Run – N/A
Unwind Dir. Finish –  N/A
Diecut/Continuous/Sheet –  Sheet
Partial Case –  Yes
Pieces per roll/Unit – 300
Length per roll/unit –  447'
Finish – On Press
Application – </t>
  </si>
  <si>
    <t>Cannot run on P3 as the die is too small in circumference to fit the adaptor. Journal sits on adaptor plate.</t>
  </si>
  <si>
    <t>50646 Cost of Goods Sold</t>
  </si>
  <si>
    <t>Slit Tape CSM, Flexcon FLX000322 2" x 500'</t>
  </si>
  <si>
    <t>8508</t>
  </si>
  <si>
    <t>Slit Tape - CSM, Flexcon FLX000322 - 2" x 500'</t>
  </si>
  <si>
    <t>Number Across Run/Finish –  3/1
Where Finished –  On Press
Length per Roll/Unit – 500'
Core Type –  3" Paper 1/8" White Brown
Core Width – 2"
Core Label – No
Dividers – Paper
Bag Size – 
Qty. Per Bag – 5 Rolls
Box Size –  12 x 12 x 12
Qty. Per Box – 5 Rolls
Weight/box – 
Box Per Pallet – 
Pallet Type – </t>
  </si>
  <si>
    <t>Use plain cores and unprinted tabs.</t>
  </si>
  <si>
    <t>Core  –  3" Paper 1/8" White Brown
Width – 2"
Number Across Run/FInish –  3/1
Core Label – No
±10% –  Yes
Unwind Dir. Run – Film Out
Unwind Dir. Finish –  Film Out
Diecut/Continuous/Sheet –  Continuous
Partial Case –  Yes
Pieces per roll/Unit – 1
Length per roll/unit –  500'
Finish – On Press
Application – </t>
  </si>
  <si>
    <t>No waste job.  Set up on some other 6" wide label stock.
Use plain cores and unprinted tabs.</t>
  </si>
  <si>
    <t>50647 Cost of Goods Sold</t>
  </si>
  <si>
    <t>Sheeted Part 3M SJ3550CF 15mm x 25.4mm</t>
  </si>
  <si>
    <t>5814735</t>
  </si>
  <si>
    <t>Sheeted Part - 3M SJ3550CF - 15mm x 25.4mm</t>
  </si>
  <si>
    <t>Number Across Run/Finish –  5/1
Where Finished –  On Press
Length per Roll/Unit – 22'
Core Type –  N/A
Core Width – N/A
Core Label – Yes - on bag
Dividers – 
Bag Size – 
Qty. Per Bag – 446 Each
Box Size –  14 x 14 x 10
Qty. Per Box – 1,784 Each
Weight/box – 
Box Per Pallet – 
Pallet Type – </t>
  </si>
  <si>
    <t>Polaris Part# 5814735 and quantity to be on bag labels.
Cannot over or undership</t>
  </si>
  <si>
    <t>Core  –  N/A
Width – N/A
Number Across Run/FInish –  5/1
Core Label – Yes - on bag
±10% –  No
Unwind Dir. Run – N/A
Unwind Dir. Finish –  N/A
Diecut/Continuous/Sheet –  Sheet
Partial Case –  Yes
Pieces per roll/Unit – 446
Length per roll/unit –  22'
Finish – On Press
Application – </t>
  </si>
  <si>
    <t>50648 Cost of Goods Sold</t>
  </si>
  <si>
    <t>Foam Die Cut ETTH Cheek Pad - Standard 57.2mm x 69.9mm</t>
  </si>
  <si>
    <t>TFXETTH-04</t>
  </si>
  <si>
    <t>Foam Die Cut - ETTH Cheek Pad - Standard - 57.2mm x 69.9mm</t>
  </si>
  <si>
    <t>Number Across Run/Finish –  1/1
Where Finished –  Off Press
Length per Roll/Unit – 21'
Core Type –  N/A
Core Width – N/A
Core Label – Yes - on bag
Dividers – 
Bag Size – 
Qty. Per Bag – See note 
Box Size –  14 x 14 x 10
Qty. Per Box – 1 M
Weight/box – 
Box Per Pallet – 
Pallet Type – </t>
  </si>
  <si>
    <t>• 1 Finishing person will be needed for removal of product from the conveyor at press. 
• Package 10 parts into a 4 x 4 Zip bag.
• Place 150 parts (15 Zip bags) into a silver Static Shielding bag [3 rows of 4 and 1 row of 3].  Hand seal bag twice; fold and tape down flap.
• Core label on Static Shielding bag.</t>
  </si>
  <si>
    <t>Core  –  N/A
Width – N/A
Number Across Run/FInish –  1/1
Core Label – Yes - on bag
±10% –  Yes
Unwind Dir. Run – N/A
Unwind Dir. Finish –  N/A
Diecut/Continuous/Sheet –  Die Cut Sheet
Partial Case –  Yes
Pieces per roll/Unit – 100
Length per roll/unit –  21'
Finish – Off Press
Application – </t>
  </si>
  <si>
    <t xml:space="preserve">Note: It is necessary to over drive the foam between die stations to create as close to no tension on the foam as possible.  </t>
  </si>
  <si>
    <t>50649 Cost of Goods Sold</t>
  </si>
  <si>
    <t>Foam Die Cut ETTH Cheek Pad - Small 42.86mm x 52.39mm</t>
  </si>
  <si>
    <t>TFXETTH-19</t>
  </si>
  <si>
    <t>Foam Die Cut - ETTH Cheek Pad - Small - 42.86mm x 52.39mm</t>
  </si>
  <si>
    <t>Number Across Run/Finish –  1/1
Where Finished –  Off Press
Length per Roll/Unit – 16'
Core Type –  N/A
Core Width – N/A
Core Label – Yes - on bag
Dividers – 
Bag Size – 
Qty. Per Bag – See note 
Box Size –  8 x 8 x 8
Qty. Per Box – 2 M
Weight/box – 
Box Per Pallet – 
Pallet Type – </t>
  </si>
  <si>
    <t>• 1 Finishing person will be needed for removal of product from the conveyor at press.
• Package 10 parts into a 4 x 3 Zip bag.
• Place 200 parts (20 Zip bags) into a silver Static Shielding bag [4 rows x 5 bags across].  Hand seal bag twice; fold and tape down flap.
• Core label on Static Shielding bag.</t>
  </si>
  <si>
    <t>Core  –  N/A
Width – N/A
Number Across Run/FInish –  1/1
Core Label – Yes - on bag
±10% –  Yes
Unwind Dir. Run – N/A
Unwind Dir. Finish –  N/A
Diecut/Continuous/Sheet –  Die Cut Sheet
Partial Case –  Yes
Pieces per roll/Unit – 100
Length per roll/unit –  16'
Finish – Off Press
Application – </t>
  </si>
  <si>
    <t>50650 Cost of Goods Sold</t>
  </si>
  <si>
    <t>Slit Tape 3M 4929 0.1875" x 36Yd</t>
  </si>
  <si>
    <t>3M 4929/0.1875</t>
  </si>
  <si>
    <t>Slit Tape - 3M 4929 - 0.1875" x 36Yd</t>
  </si>
  <si>
    <t>Number Across Run/Finish –  25/1
Where Finished –  On Press
Length per Roll/Unit – 36 Yd
Core Type –  As Recd.
Core Width – 0.1875"
Core Label – No
Dividers – Paper
Bag Size – 
Qty. Per Bag – 25 Rolls
Box Size –  10 x 10 x 10
Qty. Per Box – 25 Rolls
Weight/box – 
Box Per Pallet – 
Pallet Type – </t>
  </si>
  <si>
    <t>Core  –  As Recd.
Width – 0.1875"
Number Across Run/FInish –  25/1
Core Label – No
±10% –  Yes
Unwind Dir. Run – As Rec'd
Unwind Dir. Finish –  As Rec'd
Diecut/Continuous/Sheet –  Continuous
Partial Case –  Yes
Pieces per roll/Unit – 1
Length per roll/unit –  36 Yd
Finish – On Press
Application – </t>
  </si>
  <si>
    <t>50651 Cost of Goods Sold</t>
  </si>
  <si>
    <t>Perfed Tape SG 25A29C 332mm x 48mm</t>
  </si>
  <si>
    <t>Perfed Tape - SG 25A29C - 332mm x 48mm</t>
  </si>
  <si>
    <t>Number Across Run/Finish –  4/1
Where Finished –  On Press
Length per Roll/Unit – 545'
Core Type –  3" Paper 1/8" White Brown
Core Width – See JT
Core Label – Yes
Dividers – 
Bag Size – 
Qty. Per Bag – 5 Rolls
Box Size –  12 x 12 x 10
Qty. Per Box – 5 M
Weight/box – 
Box Per Pallet – 
Pallet Type – </t>
  </si>
  <si>
    <t>Core  –  3" Paper 1/8" White Brown
Width – See JT
Number Across Run/FInish –  4/1
Core Label – Yes
±10% –  Yes
Unwind Dir. Run – Adh. In
Unwind Dir. Finish –  Adh. In
Diecut/Continuous/Sheet –  Continuous
Partial Case –  Yes
Pieces per roll/Unit – 500
Length per roll/unit –  545'
Finish – On Press
Application – </t>
  </si>
  <si>
    <t>This job needs to be run on A3 to take advantage of low tension controls and so the product winds nicely in order to get 4 rolls out when slitting on the Ceve in the next step (this is to reduce coning issues).</t>
  </si>
  <si>
    <t>50652 Cost of Goods Sold</t>
  </si>
  <si>
    <t>Slit Tape ST-2119 0.69" x 5,000'</t>
  </si>
  <si>
    <t>film690-4</t>
  </si>
  <si>
    <t>Slit Tape - ST-2119 - 0.69" x 5,000'</t>
  </si>
  <si>
    <t>Number Across Run/Finish –  60/1
Where Finished –  On Press
Length per Roll/Unit – 5,000'
Core Type –  As Recd.
Core Width – 0.690"
Core Label – Yes
Dividers – Paper
Bag Size – 
Qty. Per Bag – 11 Rolls
Box Size –  special
Qty. Per Box – 11 Rolls
Weight/box – 
Box Per Pallet – 
Pallet Type – </t>
  </si>
  <si>
    <t>Core  –  As Recd.
Width – 0.690"
Number Across Run/FInish –  60/1
Core Label – Yes
±10% –  Yes
Unwind Dir. Run – Adh. In
Unwind Dir. Finish –  Adh. In
Diecut/Continuous/Sheet –  Continuous
Partial Case –  Yes
Pieces per roll/Unit – 1 Roll
Length per roll/unit –  5,000'
Finish – On Press
Application – </t>
  </si>
  <si>
    <t>50653 Cost of Goods Sold</t>
  </si>
  <si>
    <t>Slit Tape 3M 218 Green w/ liner Various - See WO</t>
  </si>
  <si>
    <t>8533</t>
  </si>
  <si>
    <t>Slit Tape - 3M 218 Green w/ liner - Various - See WO</t>
  </si>
  <si>
    <t>Number Across Run/Finish –  1/1
Where Finished –  On Press
Length per Roll/Unit – 60 Yd
Core Type –  3" Paper 1/8" Strouse Brown
Core Width – Various
Core Label – Yes
Dividers – 
Bag Size – 
Qty. Per Bag – 
Box Size –  10 x 10 x 10
Qty. Per Box – 1 Roll
Weight/box – 
Box Per Pallet – 
Pallet Type – </t>
  </si>
  <si>
    <t>MFG CERT WITH SHELF LIFE (85% REMAINING) MUST GO WITH EACH ITEM.
9 x 9 x 13 Boxes work well for rolls under 13".
8 x 8 x 8 Used as Top &amp; Bottom work well for larger width rolls.</t>
  </si>
  <si>
    <t>Core  –  3" Paper 1/8" Strouse Brown
Width – Various
Number Across Run/FInish –  1/1
Core Label – Yes
±10% –  Yes
Unwind Dir. Run – Tape Out
Unwind Dir. Finish –  Tape Out
Diecut/Continuous/Sheet –  Continuous
Partial Case –  Yes
Pieces per roll/Unit – 1
Length per roll/unit –  60 Yd
Finish – On Press
Application – </t>
  </si>
  <si>
    <t>50654 Cost of Goods Sold</t>
  </si>
  <si>
    <t>Perfed Tape SG 25A29C 390mm x 38mm</t>
  </si>
  <si>
    <t>Perfed Tape - SG 25A29C - 390mm x 38mm</t>
  </si>
  <si>
    <t>Number Across Run/Finish –  6/1
Where Finished –  On Press
Length per Roll/Unit – 641'
Core Type –  3" Paper 1/8" White Brown
Core Width – See JT
Core Label – Yes
Dividers – 
Bag Size – 
Qty. Per Bag – 5 Rolls
Box Size –  12 x 12 x 4
Qty. Per Box – 5 M
Weight/box – 
Box Per Pallet – 
Pallet Type – </t>
  </si>
  <si>
    <t>Core  –  3" Paper 1/8" White Brown
Width – See JT
Number Across Run/FInish –  6/1
Core Label – Yes
±10% –  Yes
Unwind Dir. Run – Adh. In
Unwind Dir. Finish –  Adh. In
Diecut/Continuous/Sheet –  Continuous
Partial Case –  Yes
Pieces per roll/Unit – 500
Length per roll/unit –  641'
Finish – On Press
Application – </t>
  </si>
  <si>
    <t>This job needs to be run on A3 to take advantage of low tension controls and so the product winds nicely in order to get 6 rolls out when slitting on the Ceve in the next step (this is to reduce coning issues).</t>
  </si>
  <si>
    <t>50655 Cost of Goods Sold</t>
  </si>
  <si>
    <t>Die Cut Part 3M 4926 1" x 1"</t>
  </si>
  <si>
    <t>8540</t>
  </si>
  <si>
    <t>Die Cut Part - 3M 4926 - 1" x 1"</t>
  </si>
  <si>
    <t>Number Across Run/Finish –  4/1
Where Finished –  On Press
Length per Roll/Unit – 94'
Core Type –  3" Paper 1/8" Strouse Brown
Core Width – 2"
Core Label – Yes
Dividers – 
Bag Size – 
Qty. Per Bag – 2 Rolls
Box Size –  13 x 13 x 13
Qty. Per Box – 4 M
Weight/box – 
Box Per Pallet – 
Pallet Type – </t>
  </si>
  <si>
    <t>Core  –  3" Paper 1/8" Strouse Brown
Width – 2"
Number Across Run/FInish –  4/1
Core Label – Yes
±10% –  Yes
Unwind Dir. Run – Parts Out
Unwind Dir. Finish –  Parts Out
Diecut/Continuous/Sheet –  Die Cut
Partial Case –  Yes
Pieces per roll/Unit – 1,000
Length per roll/unit –  94'
Finish – On Press
Application – </t>
  </si>
  <si>
    <t>50656 Cost of Goods Sold</t>
  </si>
  <si>
    <t>Perfed Tape ABI 8510 Blue/ perfed 3" 2" x 110Yd</t>
  </si>
  <si>
    <t>ABI 8510</t>
  </si>
  <si>
    <t>Perfed Tape - ABI 8510 Blue/ perfed 3" - 2" x 110Yd</t>
  </si>
  <si>
    <t>Number Across Run/Finish –  3/1
Where Finished –  On Press
Length per Roll/Unit – 330'
Core Type –  3" Paper 1/8" Strouse Brown
Core Width – 2.000"
Core Label – Yes
Dividers – Paper
Bag Size – 
Qty. Per Bag – 5 
Box Size –  16 1/2 x 8 1/2 x 13
Qty. Per Box – 25 
Weight/box – 
Box Per Pallet – 
Pallet Type – </t>
  </si>
  <si>
    <t>Core  –  3" Paper 1/8" Strouse Brown
Width – 2.000"
Number Across Run/FInish –  3/1
Core Label – Yes
±10% –  Yes
Unwind Dir. Run – Adh. In
Unwind Dir. Finish –  Adh. In
Diecut/Continuous/Sheet –  Continuous
Partial Case –  Yes
Pieces per roll/Unit – 1 Roll
Length per roll/unit –  330'
Finish – On Press
Application – </t>
  </si>
  <si>
    <t>Note: There has been a tape guide made for this job. It is located in the Siat area with the other tape guides and is marked  JJ 8543
Please run on A2 to use mid press web guide. MS</t>
  </si>
  <si>
    <t>50657 Cost of Goods Sold</t>
  </si>
  <si>
    <t>Die Cut Part JM Mask - 2 piece set 7.99" x 7.65"</t>
  </si>
  <si>
    <t>8001073</t>
  </si>
  <si>
    <t>Die Cut Part - JM Mask - 2 piece set - 7.99" x 7.65"</t>
  </si>
  <si>
    <t>Number Across Run/Finish –  1/1
Where Finished –  On Press
Length per Roll/Unit – 344'
Core Type –  3" Paper 1/8" White Brown
Core Width – 8.5"
Core Label – Yes
Dividers – 
Bag Size – 
Qty. Per Bag – 1 
Box Size –  12 x 12 x 12
Qty. Per Box – 1 
Weight/box – 
Box Per Pallet – 
Pallet Type – </t>
  </si>
  <si>
    <t>Package 2 rolls (1 M parts) per box.</t>
  </si>
  <si>
    <t>Core  –  3" Paper 1/8" White Brown
Width – 8.5"
Number Across Run/FInish –  1/1
Core Label – Yes
±10% –  Yes
Unwind Dir. Run – Parts Out
Unwind Dir. Finish –  Parts Out
Diecut/Continuous/Sheet –  Die Cut
Partial Case –  Yes
Pieces per roll/Unit – 500
Length per roll/unit –  344'
Finish – On Press
Application – </t>
  </si>
  <si>
    <t>50658 Cost of Goods Sold</t>
  </si>
  <si>
    <t>Die Cut Part CE Mask 3.35" x 4.48"</t>
  </si>
  <si>
    <t>8001072</t>
  </si>
  <si>
    <t>Die Cut Part - CE Mask - 3.35" x 4.48"</t>
  </si>
  <si>
    <t>Number Across Run/Finish –  1/1
Where Finished –  On Press
Length per Roll/Unit – 146'
Core Type –  3" Paper 1/8" White Brown
Core Width – 5.75"
Core Label – Yes
Dividers – 
Bag Size – 
Qty. Per Bag – 1 Rolls
Box Size –  10 x 10 x 10
Qty. Per Box – 4 M
Weight/box – 
Box Per Pallet – 
Pallet Type – </t>
  </si>
  <si>
    <t>Package 8 rolls (4 M) per box.</t>
  </si>
  <si>
    <t>Core  –  3" Paper 1/8" White Brown
Width – 5.75"
Number Across Run/FInish –  1/1
Core Label – Yes
±10% –  Yes
Unwind Dir. Run – Parts Out
Unwind Dir. Finish –  Parts Out
Diecut/Continuous/Sheet –  Continuous
Partial Case –  Yes
Pieces per roll/Unit – 500
Length per roll/unit –  146'
Finish – On Press
Application – </t>
  </si>
  <si>
    <t>50659 Cost of Goods Sold</t>
  </si>
  <si>
    <t>Slit Tape AFTC 5310 XL 3/4" x 99'</t>
  </si>
  <si>
    <t>8586</t>
  </si>
  <si>
    <t>Slit Tape - AFTC 5310 XL - 3/4" x 99'</t>
  </si>
  <si>
    <t>Number Across Run/Finish –  4/1
Where Finished –  On Press
Length per Roll/Unit – 99'
Core Type –  3" Paper 1/8" Strouse Brown
Core Width – 1.000"
Core Label – Yes
Dividers – Paper
Bag Size – 
Qty. Per Bag – 10 
Box Size –  11 x 11 x 14
Qty. Per Box – 10 
Weight/box – 
Box Per Pallet – 
Pallet Type – </t>
  </si>
  <si>
    <t>Core  –  3" Paper 1/8" Strouse Brown
Width – 1.000"
Number Across Run/FInish –  4/1
Core Label – Yes
±10% –  Yes
Unwind Dir. Run – Adh. In
Unwind Dir. Finish –  Adh. In
Diecut/Continuous/Sheet –  Continuous
Partial Case –  Yes
Pieces per roll/Unit – 1 Roll
Length per roll/unit –  99'
Finish – On Press
Application – </t>
  </si>
  <si>
    <t>Note: There is a tape guide for this job marked JJ 8586. It is located on the peg board at Siat 1.</t>
  </si>
  <si>
    <t>50660 Cost of Goods Sold</t>
  </si>
  <si>
    <t>Slit Adh 3M 966 12" x 180'</t>
  </si>
  <si>
    <t>8588</t>
  </si>
  <si>
    <t>Slit Adh - 3M 966 - 12" x 180'</t>
  </si>
  <si>
    <t>Number Across Run/Finish –  4/1
Where Finished –  On Press
Length per Roll/Unit – 180'
Core Type –  3" Paper 1/8" Strouse Brown
Core Width – 12.5"
Core Label – No
Dividers – 
Bag Size – 
Qty. Per Bag – 1 Roll
Box Size –  9 x 9 x 13
Qty. Per Box – 1 Roll
Weight/box – 
Box Per Pallet – 
Pallet Type – </t>
  </si>
  <si>
    <t>Include Material Certs and a C of C.</t>
  </si>
  <si>
    <t>Core  –  3" Paper 1/8" Strouse Brown
Width – 12.5"
Number Across Run/FInish –  4/1
Core Label – No
±10% –  Yes
Unwind Dir. Run – N/A
Unwind Dir. Finish –  N/A
Diecut/Continuous/Sheet –  Continuous
Partial Case –  Yes
Pieces per roll/Unit – 1 Roll
Length per roll/unit –  180'
Finish – On Press
Application – </t>
  </si>
  <si>
    <t>50661 Cost of Goods Sold</t>
  </si>
  <si>
    <t>Die Cut Part White PE Foam 50.6mm x 2mm</t>
  </si>
  <si>
    <t>5062PE</t>
  </si>
  <si>
    <t>Die Cut Part - White PE Foam - 50.6mm x 2mm</t>
  </si>
  <si>
    <t>Number Across Run/Finish –  6/3
Where Finished –  On Press
Length per Roll/Unit – 48'
Core Type –  3" Paper 1/8" White Brown
Core Width – 0.875"
Core Label – Yes
Dividers – 
Bag Size – 
Qty. Per Bag – 12 Rolls
Box Size –  12 x 12 x 13
Qty. Per Box – 10 M
Weight/box – 
Box Per Pallet – 
Pallet Type – </t>
  </si>
  <si>
    <t>MFG Cert required.</t>
  </si>
  <si>
    <t>Core  –  3" Paper 1/8" White Brown
Width – 0.875"
Number Across Run/FInish –  6/3
Core Label – Yes
±10% –  Yes
Unwind Dir. Run – Parts Out
Unwind Dir. Finish –  Parts Out
Diecut/Continuous/Sheet –  Die Cut
Partial Case –  Yes
Pieces per roll/Unit – 800
Length per roll/unit –  48'
Finish – On Press
Application – </t>
  </si>
  <si>
    <t>Foam just channels with white foam. then foam the die again with pink foam. use sharp peel bar to keep parts on liner. still may miss a few, add 2ft per roll for missing parts if needed</t>
  </si>
  <si>
    <t>50662 Cost of Goods Sold</t>
  </si>
  <si>
    <t>Die Cut Part SG 13220L 3" x 3"</t>
  </si>
  <si>
    <t>126-00132</t>
  </si>
  <si>
    <t>Die Cut Part - SG 13220L - 3" x 3"</t>
  </si>
  <si>
    <t>Number Across Run/Finish –  2/1
Where Finished –  On Press
Length per Roll/Unit – 326'
Core Type –  3" Paper 1/8" White Brown
Core Width – 3.125"
Core Label – Yes
Dividers – 
Bag Size – 
Qty. Per Bag – 4 Rolls
Box Size –  12 x 12 x 12
Qty. Per Box – 20 M
Weight/box – 
Box Per Pallet – 
Pallet Type – </t>
  </si>
  <si>
    <t>Core  –  3" Paper 1/8" White Brown
Width – 3.125"
Number Across Run/FInish –  2/1
Core Label – Yes
±10% –  Yes
Unwind Dir. Run – Parts Out
Unwind Dir. Finish –  Parts Out
Diecut/Continuous/Sheet –  Die Cut
Partial Case –  Yes
Pieces per roll/Unit – 1,250
Length per roll/unit –  326'
Finish – On Press
Application – </t>
  </si>
  <si>
    <t>50663 Cost of Goods Sold</t>
  </si>
  <si>
    <t>Slit Tape 3M 69 2.0" x 36Yd</t>
  </si>
  <si>
    <t>Slit Tape - 3M 69 - 2.0" x 36Yd</t>
  </si>
  <si>
    <t>Number Across Run/Finish –  24/1
Where Finished –  On Press
Length per Roll/Unit – 36 Yd
Core Type –  As Recd.
Core Width – 2"
Core Label – Yes
Dividers – Paper
Bag Size – 
Qty. Per Bag – 6 Rolls
Box Size –  6 x 6 x 6
Qty. Per Box – 30 Rolls
Weight/box – 
Box Per Pallet – 18
Pallet Type – </t>
  </si>
  <si>
    <t>MIL spec (MIL-I-19166) to be on core label for Obbco.  Format "8597 Core Obbco"
If Customer is Fastenal: use core label format "8597 Core Fastenal"
C of C is only required for Obbco.
No more than 18 boxes (2 levels of 9) on a pallet.
Multiple customers order this product.  See work order for company and part number.</t>
  </si>
  <si>
    <t>Core  –  As Recd.
Width – 2"
Number Across Run/FInish –  24/1
Core Label – Yes
±10% –  No
Unwind Dir. Run – Adh. In
Unwind Dir. Finish –  Adh. In
Diecut/Continuous/Sheet –  Continuous
Partial Case –  Yes
Pieces per roll/Unit – 1 Roll
Length per roll/unit –  36 Yd
Finish – On Press
Application – </t>
  </si>
  <si>
    <t>Multiple customers order this product.  See work order for company and part number.</t>
  </si>
  <si>
    <t>50664 Cost of Goods Sold</t>
  </si>
  <si>
    <t>Die Cut Part 3M 92 0.2" x 0.2"</t>
  </si>
  <si>
    <t>TAP3M920.2X0.2RL</t>
  </si>
  <si>
    <t>Die Cut Part - 3M 92 - 0.2" x 0.2"</t>
  </si>
  <si>
    <t>Number Across Run/Finish –  2/2
Where Finished –  On Press
Length per Roll/Unit – 92'
Core Type –  3" Paper 1/8" Strouse Brown
Core Width – 1.000"
Core Label – Yes
Dividers – 
Bag Size – 
Qty. Per Bag – 6 
Box Size –  12 x 12 x 4
Qty. Per Box – 41 
Weight/box – 
Box Per Pallet – 
Pallet Type – </t>
  </si>
  <si>
    <t>3M 92 material needs to have 80% shelf life.
Include:  MFG Cert w/ Test Data; and Strouse C of C w/ Material Lot #, Date of Expiration, and Shelf Life.</t>
  </si>
  <si>
    <t>Core  –  3" Paper 1/8" Strouse Brown
Width – 1.000"
Number Across Run/FInish –  2/2
Core Label – Yes
±10% –  Yes
Unwind Dir. Run – Parts Out
Unwind Dir. Finish –  Parts Out
Diecut/Continuous/Sheet –  Die Cut
Partial Case –  Yes
Pieces per roll/Unit – 6,750
Length per roll/unit –  92'
Finish – On Press
Application – </t>
  </si>
  <si>
    <t>Siat 1 only.  Need extra die station.</t>
  </si>
  <si>
    <t>50665 Cost of Goods Sold</t>
  </si>
  <si>
    <t>Sheeted Part RH Absorber pad 11.3mm x 4.9mm</t>
  </si>
  <si>
    <t>730-03262-01 Rev. 03</t>
  </si>
  <si>
    <t>Sheeted Part - RH Absorber pad - 11.3mm x 4.9mm</t>
  </si>
  <si>
    <t>Number Across Run/Finish –  35/1
Where Finished –  On Press
Length per Roll/Unit – N/A
Core Type –  N/A
Core Width – N/A
Core Label – No
Dividers – 
Bag Size – 
Qty. Per Bag – 250 Each
Box Size –  12 x 12 x 4
Qty. Per Box – 1,000 Each
Weight/box – 
Box Per Pallet – 
Pallet Type – </t>
  </si>
  <si>
    <t>Include C of C with the following:
• Name of Supplier (on Supplier Letterhead)
• A title at the top of the document indicating Certificate of Compliance/Conformance
• Plexus Part Number
• Drawing # and Revision, when applicable
• EC level or Revision level
• Material P/N, Lot code, and Date code
• Quantity
• PO #
• Authorizer's Signature
• Ship Date</t>
  </si>
  <si>
    <t>Core  –  N/A
Width – N/A
Number Across Run/FInish –  35/1
Core Label – No
±10% –  Yes
Unwind Dir. Run – N/A
Unwind Dir. Finish –  N/A
Diecut/Continuous/Sheet –  Sheet
Partial Case –  Yes
Pieces per roll/Unit – 250
Length per roll/unit –  N/A
Finish – On Press
Application – </t>
  </si>
  <si>
    <t>50666 Cost of Goods Sold</t>
  </si>
  <si>
    <t>Sheeted Part RH Absorber pad 11.3mm x 6.4mm</t>
  </si>
  <si>
    <t>730-03263-01 Rev. 02</t>
  </si>
  <si>
    <t>Sheeted Part - RH Absorber pad - 11.3mm x 6.4mm</t>
  </si>
  <si>
    <t>Number Across Run/Finish –  28/1
Where Finished –  On Press
Length per Roll/Unit – N/A
Core Type –  N/A
Core Width – N/A
Core Label – No
Dividers – 
Bag Size – 
Qty. Per Bag – 250 Each
Box Size –  6 x 6 x 6
Qty. Per Box – 1,000 Each
Weight/box – 
Box Per Pallet – 
Pallet Type – </t>
  </si>
  <si>
    <t>Include C of C with the following:
• Name of Supplier (on Supplier Letterhead)
• A title at the top of the document indicating Certificate of Compliance/Conformance
• Plexus Part Number
• Drawing # and Revision, when applicable
• EC level or Revision level
• Material P/N, Lot code, and Date code
• Quantity
• PO #
• Authorizer's Signature
• Ship Date</t>
  </si>
  <si>
    <t>Core  –  N/A
Width – N/A
Number Across Run/FInish –  28/1
Core Label – No
±10% –  Yes
Unwind Dir. Run – N/A
Unwind Dir. Finish –  N/A
Diecut/Continuous/Sheet –  Sheet
Partial Case –  Yes
Pieces per roll/Unit – 250
Length per roll/unit –  N/A
Finish – On Press
Application – </t>
  </si>
  <si>
    <t>50667 Cost of Goods Sold</t>
  </si>
  <si>
    <t>Sheeted Part RH Absorber pad 13.3mm x 6.9mm</t>
  </si>
  <si>
    <t>730-03264-01 Rev. 02</t>
  </si>
  <si>
    <t>Sheeted Part - RH Absorber pad - 13.3mm x 6.9mm</t>
  </si>
  <si>
    <t>Number Across Run/Finish –  28/1
Where Finished –  On Press
Length per Roll/Unit – N/A
Core Type –  N/A
Core Width – N/A
Core Label – No
Dividers – 
Bag Size – 
Qty. Per Bag – 250 Each
Box Size –  16 x 16 x 16
Qty. Per Box – 1,000 Each
Weight/box – 
Box Per Pallet – 
Pallet Type – </t>
  </si>
  <si>
    <t>50668 Cost of Goods Sold</t>
  </si>
  <si>
    <t>Die Cut Part 3M 5962P 3.178" x 4.3"</t>
  </si>
  <si>
    <t>79856_REV4</t>
  </si>
  <si>
    <t>Die Cut Part - 3M 5962P - 3.178" x 4.3"</t>
  </si>
  <si>
    <t>Number Across Run/Finish –  1/1
Where Finished –  On Press
Length per Roll/Unit – 144'
Core Type –  10" Paper 3/8" Brown Brown
Core Width – 5.5"
Core Label – Yes
Dividers – Se note
Bag Size – 
Qty. Per Bag – 
Box Size –  12 x 12 x 12
Qty. Per Box – 
Weight/box – 
Box Per Pallet – 
Pallet Type – </t>
  </si>
  <si>
    <t>Special Packaging Instructions:
- Items Needed:
* 16" x 16" Plastic Core Holder (2 per box) - Loacated in A10A
* Custom cut 10" to 3" core adapter inserts (2 per box) - Cut on flatbed laser.
* 16" x 16" x 16" box
* 3" OD x 5.5" wide core
* 16" OD x 3" ID paper divider (2 per box)
See pictures in JJ for step by step process.
If 16" Pad Plugs are not available, use flashcut to cut cardboard substitute. File is named 16_x_16 Pad_Plug.</t>
  </si>
  <si>
    <t>Core  –  10" Paper 3/8" Brown Brown
Width – 5.5"
Number Across Run/FInish –  1/1
Core Label – Yes
±10% –  Yes
Unwind Dir. Run – Parts Out
Unwind Dir. Finish –  Parts Out
Diecut/Continuous/Sheet –  Die Cut
Partial Case –  Yes
Pieces per roll/Unit – 500
Length per roll/unit –  144'
Finish – On Press
Application – </t>
  </si>
  <si>
    <t>50669 Cost of Goods Sold</t>
  </si>
  <si>
    <t>Slit Tape 3M 69 3.0" x 36Yd</t>
  </si>
  <si>
    <t>Slit Tape - 3M 69 - 3.0" x 36Yd</t>
  </si>
  <si>
    <t>Number Across Run/Finish –  16/1
Where Finished –  On Press
Length per Roll/Unit – 36 Yd
Core Type –  As Recd.
Core Width – 3"
Core Label – Yes
Dividers – Paper
Bag Size – 
Qty. Per Bag – 4 Rolls
Box Size –  13 x 13 x 13
Qty. Per Box – 20 Rolls
Weight/box – 
Box Per Pallet – 36
Pallet Type – </t>
  </si>
  <si>
    <t>MIL spec (MIL-I-19166) to be on core label for Obbco.  Format "8624 Core"
No more than 36 case per pallet.  4 levels of 9 boxes.</t>
  </si>
  <si>
    <t>Core  –  As Recd.
Width – 3"
Number Across Run/FInish –  16/1
Core Label – Yes
±10% –  No
Unwind Dir. Run – Adh. In
Unwind Dir. Finish –  Adh. In
Diecut/Continuous/Sheet –  Continuous
Partial Case –  Yes
Pieces per roll/Unit – 1 Roll
Length per roll/unit –  36 Yd
Finish – On Press
Application – </t>
  </si>
  <si>
    <t>50670 Cost of Goods Sold</t>
  </si>
  <si>
    <t>Sheeted Part CSM Lidding seal 9mm Dia</t>
  </si>
  <si>
    <t xml:space="preserve">Rubber 2 Seal Lidding </t>
  </si>
  <si>
    <t>Sheeted Part - CSM Lidding seal - 9mm Dia</t>
  </si>
  <si>
    <t>Number Across Run/Finish –  24/1
Where Finished –  On Press
Length per Roll/Unit – 125'
Core Type –  N/A
Core Width – N/A
Core Label – No
Dividers – 
Bag Size – 
Qty. Per Bag – 75 M
Box Size –  13 x 13 x 13
Qty. Per Box – 75 M
Weight/box – 
Box Per Pallet – 
Pallet Type – </t>
  </si>
  <si>
    <t>Core  –  N/A
Width – N/A
Number Across Run/FInish –  24/1
Core Label – No
±10% –  Yes
Unwind Dir. Run – N/A
Unwind Dir. Finish –  N/A
Diecut/Continuous/Sheet –  Sheet
Partial Case –  Yes
Pieces per roll/Unit – 75,000
Length per roll/unit –  125'
Finish – On Press
Application – </t>
  </si>
  <si>
    <t>50671 Cost of Goods Sold</t>
  </si>
  <si>
    <t>Die Cut Part Matte Silver printed 2 color 1.5" x 3"</t>
  </si>
  <si>
    <t>8637</t>
  </si>
  <si>
    <t>Die Cut Part - Matte Silver printed 2 color - 1.5" x 3"</t>
  </si>
  <si>
    <t>Number Across Run/Finish –  3/1
Where Finished –  On Press
Length per Roll/Unit – 170'
Core Type –  3" Paper 1/8" Strouse Brown
Core Width – 3.125"
Core Label – Yes
Dividers – 
Bag Size – 
Qty. Per Bag – 2 Rolls
Box Size –  Best Fit Per Qty
Qty. Per Box – 10 M
Weight/box – 
Box Per Pallet – 
Pallet Type – </t>
  </si>
  <si>
    <t>Core  –  3" Paper 1/8" Strouse Brown
Width – 3.125"
Number Across Run/FInish –  3/1
Core Label – Yes
±10% –  Yes
Unwind Dir. Run – See notes
Unwind Dir. Finish –  1
Diecut/Continuous/Sheet –  Die Cut
Partial Case –  Yes
Pieces per roll/Unit – 1,250
Length per roll/unit –  170'
Finish – On Press
Application – </t>
  </si>
  <si>
    <t>50672 Cost of Goods Sold</t>
  </si>
  <si>
    <t>Die Cut Part 3M RP45 die cut and perfed 0.75" x 2" with tab</t>
  </si>
  <si>
    <t>RODRAILTAPE01</t>
  </si>
  <si>
    <t>Die Cut Part - 3M RP45 die cut and perfed - 0.75" x 2" with tab</t>
  </si>
  <si>
    <t>Number Across Run/Finish –  1/1
Where Finished –  On Press
Length per Roll/Unit – 167'
Core Type –  3" Paper 1/8" Strouse Brown
Core Width – 2.500"
Core Label – No
Dividers – 
Bag Size – 
Qty. Per Bag – 1 
Box Size –  14 x 14 x 14
Qty. Per Box – Best fit per order 
Weight/box – 
Box Per Pallet – 
Pallet Type – </t>
  </si>
  <si>
    <t>Wind direction not critical</t>
  </si>
  <si>
    <t>Core  –  3" Paper 1/8" Strouse Brown
Width – 2.500"
Number Across Run/FInish –  1/1
Core Label – No
±10% –  Yes
Unwind Dir. Run – Parts Out
Unwind Dir. Finish –  Parts Out
Diecut/Continuous/Sheet –  Die Cut
Partial Case –  Yes
Pieces per roll/Unit – 2,000
Length per roll/unit –  167'
Finish – On Press
Application – </t>
  </si>
  <si>
    <t>50673 Cost of Goods Sold</t>
  </si>
  <si>
    <t>Slit Tape 3M 9828 XL liner 2.5" x 1,400'</t>
  </si>
  <si>
    <t>8642</t>
  </si>
  <si>
    <t>Slit Tape - 3M 9828 XL liner - 2.5" x 1,400'</t>
  </si>
  <si>
    <t>Number Across Run/Finish –  2/1
Where Finished –  On Press
Length per Roll/Unit – 1,400'
Core Type –  3" Plastic 0.10" HDPE
Core Width – 2.5"
Core Label – Yes
Dividers – Poly Flute
Bag Size – 
Qty. Per Bag – 5 Rolls
Box Size –  Best Fit Per Qty
Qty. Per Box – 5 Rolls
Weight/box – 
Box Per Pallet – 
Pallet Type – </t>
  </si>
  <si>
    <t>Include C of C.
Use Poly Flute top and bottom, and between each roll (In a bag).
Bubbles on top to secure fit.
Use 48" x 48" pallets.  Can't ship when hanging over pallet.</t>
  </si>
  <si>
    <t>Core  –  3" Plastic 0.10" HDPE
Width – 2.5"
Number Across Run/FInish –  2/1
Core Label – Yes
±10% –  Yes
Unwind Dir. Run – Adh. In
Unwind Dir. Finish –  Adh. In
Diecut/Continuous/Sheet –  Continuous Die Cut
Partial Case –  Yes
Pieces per roll/Unit – 1 Roll
Length per roll/unit –  1,400'
Finish – On Press
Application – </t>
  </si>
  <si>
    <t>Must use Yellow Splice tape over Blue Splice tape.  "Must replace factory Adhesive Splices"</t>
  </si>
  <si>
    <t>50674 Cost of Goods Sold</t>
  </si>
  <si>
    <t>Slit Tape 3M 8412 Various</t>
  </si>
  <si>
    <t>See note</t>
  </si>
  <si>
    <t>Slit Tape - 3M 8412 - Various</t>
  </si>
  <si>
    <t>Number Across Run/Finish –  ?/1
Where Finished –  On Press
Length per Roll/Unit – 72 Yd
Core Type –  As Recd.
Core Width – N/A
Core Label – No
Dividers – Paper
Bag Size – 
Qty. Per Bag – See note 
Box Size –  Best Fit Per Qty
Qty. Per Box – See note 
Weight/box – 
Box Per Pallet – 
Pallet Type – </t>
  </si>
  <si>
    <t>Best fit per order.  Package different slit widths separately.
C OF C needed with: PO #, Shelf Life, Lot #, and Honeywell Part #'s (HO-xxx-xxxxx-xxxx)
MUST HAVE 75% SHELF LIFE OR MORE REMAINING
0.50" = HO-012-01005-0002
0.25" = HO-012-01005-0003
2.25" = HO-012-01005-0004
1" = HO-012-01005-0005
1.50" = HO-012-01005-0007</t>
  </si>
  <si>
    <t>Core  –  As Recd.
Width – N/A
Number Across Run/FInish –  ?/1
Core Label – No
±10% –  Yes
Unwind Dir. Run – N/A
Unwind Dir. Finish –  N/A
Diecut/Continuous/Sheet –  Continuous
Partial Case –  Yes
Pieces per roll/Unit – 1 Roll
Length per roll/unit –  72 Yd
Finish – On Press
Application – </t>
  </si>
  <si>
    <t>50675 Cost of Goods Sold</t>
  </si>
  <si>
    <t>Slit Tape 3M 234 Various</t>
  </si>
  <si>
    <t>Slit Tape - 3M 234 - Various</t>
  </si>
  <si>
    <t>Number Across Run/Finish –  ?/1
Where Finished –  On Press
Length per Roll/Unit – 60 Yd
Core Type –  As Recd.
Core Width – N/A
Core Label – No
Dividers – Paper
Bag Size – 
Qty. Per Bag – See note 
Box Size –  26 x 22 x 12
Qty. Per Box – See note 
Weight/box – 
Box Per Pallet – 
Pallet Type – </t>
  </si>
  <si>
    <t>Best fit per order.  Package different slit widths separately.
C OF C needed with: PO #, Shelf Life, Lot #, and Honeywell Part #'s (HO-xxx-xxxxx-xxxx)
MUST HAVE 75% SHELF LIFE OR MORE REMAINING
12 mm = HO-012-01663-0001
48 mm = HO-012-01663-0002
9 mm = HO-012-01663-0004
18 mm = HO-012-01663-0005
24 mm = HO-012-01663-0006</t>
  </si>
  <si>
    <t>Core  –  As Recd.
Width – N/A
Number Across Run/FInish –  ?/1
Core Label – No
±10% –  Yes
Unwind Dir. Run – N/A
Unwind Dir. Finish –  N/A
Diecut/Continuous/Sheet –  Continuous
Partial Case –  Yes
Pieces per roll/Unit – 1 Roll
Length per roll/unit –  60 Yd
Finish – On Press
Application – </t>
  </si>
  <si>
    <t>50676 Cost of Goods Sold</t>
  </si>
  <si>
    <t>Sheeted Part 3M 1774W 18" x 24"</t>
  </si>
  <si>
    <t>1503-LYY0004(A)</t>
  </si>
  <si>
    <t>Sheeted Part - 3M 1774W - 18" x 24"</t>
  </si>
  <si>
    <t>Number Across Run/Finish –  1/1
Where Finished –  On Press
Length per Roll/Unit – 75'
Core Type –  N/A
Core Width – N/A
Core Label – No
Dividers – 
Bag Size – 
Qty. Per Bag – 50 Each
Box Size –  16 x 16 x 16
Qty. Per Box – 500 Each
Weight/box – 
Box Per Pallet – 
Pallet Type – </t>
  </si>
  <si>
    <t>Fill void space in the boxes with Air Pillows.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</si>
  <si>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50
Length per roll/unit –  75'
Finish – On Press
Application – </t>
  </si>
  <si>
    <t>Clean press (Full IPA Wipedown) prior to putting materials on press.</t>
  </si>
  <si>
    <t>50677 Cost of Goods Sold</t>
  </si>
  <si>
    <t>Die Cut Part 3M 5952P VHB seal 3.2" x 4.46"</t>
  </si>
  <si>
    <t>79862 Rev 2</t>
  </si>
  <si>
    <t>Die Cut Part - 3M 5952P VHB seal - 3.2" x 4.46"</t>
  </si>
  <si>
    <t>Number Across Run/Finish –  1/1
Where Finished –  On Press
Length per Roll/Unit – 145'
Core Type –  10" Paper 3/8" Brown Brown
Core Width – 5.000"
Core Label – Yes
Dividers – 
Bag Size – 
Qty. Per Bag – 2 Roll
Box Size –  14 x 14 x 10
Qty. Per Box – 2 Each
Weight/box – 
Box Per Pallet – 
Pallet Type – </t>
  </si>
  <si>
    <t>Special Packaging Instructions:
- Items Needed:
* 16" x 16" Plastic Core Holder (2 per box) - Located in A10A
* Custom cut 10" to 3" core adapter inserts (2 per box) - Cut on Trump's laser.
* 16" x 16" x 16" box
* 3" OD x 5.5" wide core
* 16" OD x 3" ID paper divider (2 per box)
If 16" Pad Plugs are not available, use flashcut to cut cardboard substitute. File is named 16_x_16 Pad_Plug. See photos for build process.
See pictures in JJ for step by step process.
See special comments on Work Order for certs and other special requirements</t>
  </si>
  <si>
    <t>Core  –  10" Paper 3/8" Brown Brown
Width – 5.000"
Number Across Run/FInish –  1/1
Core Label – Yes
±10% –  Yes
Unwind Dir. Run – Parts Out
Unwind Dir. Finish –  Parts Out
Diecut/Continuous/Sheet –  Die Cut
Partial Case –  Yes
Pieces per roll/Unit – 500
Length per roll/unit –  145'
Finish – On Press
Application – </t>
  </si>
  <si>
    <t>See special comments on Work Order for certs and other special requirements</t>
  </si>
  <si>
    <t>50678 Cost of Goods Sold</t>
  </si>
  <si>
    <t>Sheeted Part Triangles - 2018 4.5" x 3.375"</t>
  </si>
  <si>
    <t>8658</t>
  </si>
  <si>
    <t>Sheeted Part - Triangles - 2018 - 4.5" x 3.375"</t>
  </si>
  <si>
    <t>Number Across Run/Finish –  1/1
Where Finished –  On Press
Length per Roll/Unit – 94'
Core Type –  N/A
Core Width – N/A
Core Label – No
Dividers – 
Bag Size – 
Qty. Per Bag – .25 M
Box Size –  
Qty. Per Box – 6 M
Weight/box – 
Box Per Pallet – 
Pallet Type – </t>
  </si>
  <si>
    <t>Keep sheets as clean as possible.
24 bags per box.</t>
  </si>
  <si>
    <t>Core  –  N/A
Width – N/A
Number Across Run/FInish –  1/1
Core Label – No
±10% –  Yes
Unwind Dir. Run – N/A
Unwind Dir. Finish –  N/A
Diecut/Continuous/Sheet –  Die Cut Sheet
Partial Case –  Yes
Pieces per roll/Unit – 250
Length per roll/unit –  94'
Finish – On Press
Application – </t>
  </si>
  <si>
    <t>Parts need to be as clean as possible.  Watch for deep die strike.</t>
  </si>
  <si>
    <t>50679 Cost of Goods Sold</t>
  </si>
  <si>
    <t xml:space="preserve">Die Cut Part  </t>
  </si>
  <si>
    <t>8659</t>
  </si>
  <si>
    <t>Die Cut Part</t>
  </si>
  <si>
    <t>Number Across Run/Finish –  6/1
Where Finished –  On Press
Length per Roll/Unit – 50'
Core Type –  3" Paper 1/8" Strouse Brown
Core Width – 10 mm
Core Label – Yes
Dividers – 
Bag Size – 
Qty. Per Bag – 1 
Box Size –  14 x 14 x 10
Qty. Per Box – 2 
Weight/box – 
Box Per Pallet – 
Pallet Type – </t>
  </si>
  <si>
    <t>Finished rolls to freezer as soon as possible off press.
One label on core; one on end of roll; on on aluminum bag, and one in box 
1 AL bag for each profile (meaning AB/CD); 2 AL bags per cooler
Package in Foil bags</t>
  </si>
  <si>
    <t>Core  –  3" Paper 1/8" Strouse Brown
Width – 10 mm
Number Across Run/FInish –  6/1
Core Label – Yes
±10% –  Yes
Unwind Dir. Run – Parts Out
Unwind Dir. Finish –  Parts Out
Diecut/Continuous/Sheet –  Die Cut
Partial Case –  Yes
Pieces per roll/Unit – 1,000
Length per roll/unit –  50'
Finish – On Press
Application – </t>
  </si>
  <si>
    <t>50680 Cost of Goods Sold</t>
  </si>
  <si>
    <t>Sheeted Part Variety - 2018 4.5" x 3.375"</t>
  </si>
  <si>
    <t>8663</t>
  </si>
  <si>
    <t>Sheeted Part - Variety - 2018 - 4.5" x 3.375"</t>
  </si>
  <si>
    <t>Number Across Run/Finish –  1/1
Where Finished –  On Press
Length per Roll/Unit – 94'
Core Type –  N/A
Core Width – N/A
Core Label – No
Dividers – 
Bag Size – 
Qty. Per Bag – 0.25 M
Box Size –  12 x 12 x 12
Qty. Per Box – 6 M
Weight/box – 
Box Per Pallet – 
Pallet Type – </t>
  </si>
  <si>
    <t>Keep sheets as clean as possible.
1.   Place two stacks in corner of zip bag, fold top of bag to back.
2.   Gently press air out of bag, zip to close, then add blue tab.
3.   24 bags in a box.</t>
  </si>
  <si>
    <t>50681 Cost of Goods Sold</t>
  </si>
  <si>
    <t>Die Cut Part Stiffener 0.787" Dia</t>
  </si>
  <si>
    <t>1348-LYY0007</t>
  </si>
  <si>
    <t>Die Cut Part - Stiffener - 0.787" Dia</t>
  </si>
  <si>
    <t>Number Across Run/Finish –  8/1
Where Finished –  On Press
Length per Roll/Unit – 128'
Core Type –  3" Paper 1/8" Strouse Brown
Core Width – 1.000"
Core Label – Yes
Dividers – 
Bag Size – 
Qty. Per Bag – 12 Rolls
Box Size –  special
Qty. Per Box – 24 Rolls
Weight/box – 
Box Per Pallet – 
Pallet Type – </t>
  </si>
  <si>
    <t>C of C with Material Lot #, DOM, and Shelf Life must accompany shipment.
Use label formats "8664" &amp; "8664 Core"
Rolls to have 20" leader.</t>
  </si>
  <si>
    <t>Core  –  3" Paper 1/8" Strouse Brown
Width – 1.000"
Number Across Run/FInish –  8/1
Core Label – Yes
±10% –  Yes
Unwind Dir. Run – Parts Out
Unwind Dir. Finish –  Parts Out
Diecut/Continuous/Sheet –  Die Cut
Partial Case –  Yes
Pieces per roll/Unit – 1,600
Length per roll/unit –  128'
Finish – On Press
Application – </t>
  </si>
  <si>
    <t>Clean press (Full IPA Wipedown) prior to putting materials on press.
Take note of and mark splices in raw material.  Monitor the web at splices and roll changes for shift resulting in mis-cut circle preforms.
Cover roller following die with gator tape to inhibit picking of parts by the roller.</t>
  </si>
  <si>
    <t>50682 Cost of Goods Sold</t>
  </si>
  <si>
    <t>Laminated Roll 3M 1522 24" x 72Yd</t>
  </si>
  <si>
    <t>8665</t>
  </si>
  <si>
    <t>Laminated Roll - 3M 1522 - 24" x 72Yd</t>
  </si>
  <si>
    <t>Number Across Run/Finish –  1/1
Where Finished –  On Press
Length per Roll/Unit – 216'
Core Type –  6" Paper 3/8" Brown Brown
Core Width – 24.5"
Core Label – No
Dividers – 
Bag Size – 
Qty. Per Bag – 1 Roll
Box Size –  9 x 9 x 13
Qty. Per Box – 1 Roll
Weight/box – 
Box Per Pallet – 
Pallet Type – </t>
  </si>
  <si>
    <t>Bag finished rolls (with desiccant packs) IMMEDIATELY after run; to eliminate wrinkles in the adhesive.
Use boxes that 1522 came in to pack finished rolls.</t>
  </si>
  <si>
    <t>Core  –  6" Paper 3/8" Brown Brown
Width – 24.5"
Number Across Run/FInish –  1/1
Core Label – No
±10% –  Yes
Unwind Dir. Run – Tape Out
Unwind Dir. Finish –  Tape Out
Diecut/Continuous/Sheet –  Continuous
Partial Case –  Yes
Pieces per roll/Unit – 1 Roll
Length per roll/unit –  216'
Finish – On Press
Application – </t>
  </si>
  <si>
    <t>50683 Cost of Goods Sold</t>
  </si>
  <si>
    <t>Die Cut Part Pad Foam Large Rear Hsg Calypso 6.6mm x 12.6mm</t>
  </si>
  <si>
    <t>E060762</t>
  </si>
  <si>
    <t>Die Cut Part - Pad Foam Large Rear Hsg Calypso - 6.6mm x 12.6mm</t>
  </si>
  <si>
    <t>Number Across Run/Finish –  2/2
Where Finished –  On Press
Length per Roll/Unit – 28'
Core Type –  3" Paper 1/8" Strouse Brown
Core Width – 1.375"
Core Label – Yes
Dividers – 
Bag Size – 
Qty. Per Bag – 8 
Box Size –  10 x 10 x 10
Qty. Per Box – 20 
Weight/box – 
Box Per Pallet – 
Pallet Type – </t>
  </si>
  <si>
    <t>Include C of C.</t>
  </si>
  <si>
    <t>Core  –  3" Paper 1/8" Strouse Brown
Width – 1.375"
Number Across Run/FInish –  2/2
Core Label – Yes
±10% –  Yes
Unwind Dir. Run – Parts Out
Unwind Dir. Finish –  Parts Out
Diecut/Continuous/Sheet –  Die Cut
Partial Case –  Yes
Pieces per roll/Unit – 2,500
Length per roll/unit –  28'
Finish – On Press
Application – </t>
  </si>
  <si>
    <t>50684 Cost of Goods Sold</t>
  </si>
  <si>
    <t>Die Cut Part Pad Foam Small Rear Hsg Calypso 5.5mm x 7.1mm</t>
  </si>
  <si>
    <t>E060763</t>
  </si>
  <si>
    <t>Die Cut Part - Pad Foam Small Rear Hsg Calypso - 5.5mm x 7.1mm</t>
  </si>
  <si>
    <t>Number Across Run/Finish –  2/2
Where Finished –  On Press
Length per Roll/Unit – 23'
Core Type –  3" Paper 1/8" Strouse Brown
Core Width – 0.75"
Core Label – Yes
Dividers – 
Bag Size – 
Qty. Per Bag – 8 
Box Size –  10 x 10 x 10
Qty. Per Box – 20 
Weight/box – 
Box Per Pallet – 
Pallet Type – </t>
  </si>
  <si>
    <t>Core  –  3" Paper 1/8" Strouse Brown
Width – 0.75"
Number Across Run/FInish –  2/2
Core Label – Yes
±10% –  Yes
Unwind Dir. Run – Parts Out
Unwind Dir. Finish –  Parts Out
Diecut/Continuous/Sheet –  Die Cut
Partial Case –  Yes
Pieces per roll/Unit – 2,500
Length per roll/unit –  23'
Finish – On Press
Application – </t>
  </si>
  <si>
    <t>50685 Cost of Goods Sold</t>
  </si>
  <si>
    <t>Slit Roll 3M 9086 d/c tape 0.25" x 165Yd</t>
  </si>
  <si>
    <t>8673</t>
  </si>
  <si>
    <t>Slit Roll - 3M 9086 d/c tape - 0.25" x 165Yd</t>
  </si>
  <si>
    <t>Number Across Run/Finish –  212/1
Where Finished –  On Press
Length per Roll/Unit – 165 Yd
Core Type –  3" Plastic 0.10" HDPE
Core Width – 0.25"
Core Label – No
Dividers – Paper
Bag Size – 
Qty. Per Bag – 36 Rolls
Box Size –  11.5 x 11.5 x 7.5
Qty. Per Box – 36 Rolls
Weight/box – 
Box Per Pallet – 
Pallet Type – </t>
  </si>
  <si>
    <t>If packaged differently than 36 rolls per box, contact customer service.  
Partial cases allowed to finish the order.</t>
  </si>
  <si>
    <t>Core  –  3" Plastic 0.10" HDPE
Width – 0.25"
Number Across Run/FInish –  212/1
Core Label – No
±10% –  Yes
Unwind Dir. Run – N/A
Unwind Dir. Finish –  N/A
Diecut/Continuous/Sheet –  Continuous
Partial Case –  Yes
Pieces per roll/Unit – 1 Roll
Length per roll/unit –  165 Yd
Finish – On Press
Application – </t>
  </si>
  <si>
    <t>50686 Cost of Goods Sold</t>
  </si>
  <si>
    <t>Male Carrier Strip Dark Blue Dual Cap 1.11" x 7.00"</t>
  </si>
  <si>
    <t>702845-002 Rev. 004</t>
  </si>
  <si>
    <t>Male Carrier Strip - Dark Blue Dual Cap - 1.11" x 7.00"</t>
  </si>
  <si>
    <t>Number Across Run/Finish –  1/1
Where Finished –  On Press
Length per Roll/Unit – 592'
Core Type –  3" Paper 1/8" Strouse Brown
Core Width – 7.250"
Core Label – Yes
Dividers – 
Bag Size – 
Qty. Per Bag – 1 Roll
Box Size –  13 x 13 x 13
Qty. Per Box – 1 Roll
Weight/box – 
Box Per Pallet – 
Pallet Type – </t>
  </si>
  <si>
    <t>No more than 2 missing parts in a row!
As of 08/26/2019 - PPS 702845 Revision 004  Part number is 702845-002
PPS Revision to be on C of C and Packing List
Parts to be double Bagged</t>
  </si>
  <si>
    <t>Core  –  3" Paper 1/8" Strouse Brown
Width – 7.250"
Number Across Run/FInish –  1/1
Core Label – Yes
±10% –  Yes
Unwind Dir. Run – Parts In
Unwind Dir. Finish –  Parts In
Diecut/Continuous/Sheet –  Die Cut
Partial Case –  Yes
Pieces per roll/Unit – 6,400
Length per roll/unit –  592'
Finish – On Press
Application – </t>
  </si>
  <si>
    <t>No Latex gloves to be worn or other latex products used during production</t>
  </si>
  <si>
    <t>50687 Cost of Goods Sold</t>
  </si>
  <si>
    <t>Slit Tape ABI 8510 Blue 2" x 110Yd</t>
  </si>
  <si>
    <t>Slit Tape - ABI 8510 Blue - 2" x 110Yd</t>
  </si>
  <si>
    <t>Number Across Run/Finish –  3/1
Where Finished –  On Press
Length per Roll/Unit – 110 Yd
Core Type –  3" Paper 1/8" Strouse Brown
Core Width – 2.000"
Core Label – Yes
Dividers – Paper
Bag Size – 
Qty. Per Bag – 5 Rolls
Box Size –  12 x 12 x 4
Qty. Per Box – 25 Rolls
Weight/box – 
Box Per Pallet – 
Pallet Type – </t>
  </si>
  <si>
    <t>Core  –  3" Paper 1/8" Strouse Brown
Width – 2.000"
Number Across Run/FInish –  3/1
Core Label – Yes
±10% –  Yes
Unwind Dir. Run – Adh. In
Unwind Dir. Finish –  Adh. In
Diecut/Continuous/Sheet –  Continuous
Partial Case –  Yes
Pieces per roll/Unit – 1 Roll
Length per roll/unit –  110 Yd
Finish – On Press
Application – </t>
  </si>
  <si>
    <t>50688 Cost of Goods Sold</t>
  </si>
  <si>
    <t>Slit Tape 3M 4956XL 1" x 120'</t>
  </si>
  <si>
    <t>8680</t>
  </si>
  <si>
    <t>Slit Tape - 3M 4956XL - 1" x 120'</t>
  </si>
  <si>
    <t>Number Across Run/Finish –  3/1
Where Finished –  On Press
Length per Roll/Unit – 120'
Core Type –  3" Paper 1/8" Strouse Brown
Core Width – 1.250"
Core Label – Yes
Dividers – 
Bag Size – 
Qty. Per Bag – 1 
Box Size –  Best Fit Per Qty
Qty. Per Box – 1 
Weight/box – 
Box Per Pallet – 
Pallet Type – </t>
  </si>
  <si>
    <t>Core  –  3" Paper 1/8" Strouse Brown
Width – 1.250"
Number Across Run/FInish –  3/1
Core Label – Yes
±10% –  Yes
Unwind Dir. Run – Adh. In
Unwind Dir. Finish –  Adh. In
Diecut/Continuous/Sheet –  Continuous
Partial Case –  Yes
Pieces per roll/Unit – 1 Roll
Length per roll/unit –  120'
Finish – On Press
Application – </t>
  </si>
  <si>
    <t>50689 Cost of Goods Sold</t>
  </si>
  <si>
    <t>Die Cut Part 3M RP45 die cut and perfed 0.75" x 0.75" with tab</t>
  </si>
  <si>
    <t>75x75DWGTABPERF</t>
  </si>
  <si>
    <t>Die Cut Part - 3M RP45 die cut and perfed - 0.75" x 0.75" with tab</t>
  </si>
  <si>
    <t>Number Across Run/Finish –  2/1
Where Finished –  On Press
Length per Roll/Unit – 105'
Core Type –  3" Paper 1/8" Strouse Brown
Core Width – 1.25"
Core Label – No
Dividers – 
Bag Size – 
Qty. Per Bag – 1 
Box Size –  9 x 9 x 13
Qty. Per Box – Best fit per order 
Weight/box – 
Box Per Pallet – 
Pallet Type – </t>
  </si>
  <si>
    <t>Core  –  3" Paper 1/8" Strouse Brown
Width – 1.25"
Number Across Run/FInish –  2/1
Core Label – No
±10% –  Yes
Unwind Dir. Run – Parts Out
Unwind Dir. Finish –  Parts Out
Diecut/Continuous/Sheet –  Die Cut
Partial Case –  Yes
Pieces per roll/Unit – 1,250
Length per roll/unit –  105'
Finish – On Press
Application – </t>
  </si>
  <si>
    <t>50690 Cost of Goods Sold</t>
  </si>
  <si>
    <t>Die Cut Part Gasket LCD Foam Calypso 71.5mm x 44.88mm</t>
  </si>
  <si>
    <t>E060761</t>
  </si>
  <si>
    <t>Die Cut Part - Gasket LCD Foam Calypso - 71.5mm x 44.88mm</t>
  </si>
  <si>
    <t>Number Across Run/Finish –  2/2
Where Finished –  On Press
Length per Roll/Unit – 159'
Core Type –  3" Paper 1/8" Strouse Brown
Core Width – 4.25"
Core Label – Yes
Dividers – 
Bag Size – 
Qty. Per Bag – 3 Rolls
Box Size –  12 x 12 x 4
Qty. Per Box – 4 M
Weight/box – 
Box Per Pallet – 
Pallet Type – </t>
  </si>
  <si>
    <t>Core  –  3" Paper 1/8" Strouse Brown
Width – 4.25"
Number Across Run/FInish –  2/2
Core Label – Yes
±10% –  Yes
Unwind Dir. Run – Parts Out
Unwind Dir. Finish –  Parts Out
Diecut/Continuous/Sheet –  Die Cut
Partial Case –  Yes
Pieces per roll/Unit – 1,250
Length per roll/unit –  159'
Finish – On Press
Application – </t>
  </si>
  <si>
    <t>50691 Cost of Goods Sold</t>
  </si>
  <si>
    <t>Die Cut Part Foam TW Conn Retainer BTM Housing Calypso 4mm x 4mm</t>
  </si>
  <si>
    <t>E060766</t>
  </si>
  <si>
    <t>Die Cut Part - Foam TW Conn Retainer BTM Housing Calypso - 4mm x 4mm</t>
  </si>
  <si>
    <t>Number Across Run/Finish –  2/2
Where Finished –  On Press
Length per Roll/Unit – 86'
Core Type –  3" Paper 1/8" Strouse Brown
Core Width – 0.625"
Core Label – No
Dividers – 
Bag Size – 
Qty. Per Bag – 4 
Box Size –  9 1/4 x 9 1/4 x 11 1/2
Qty. Per Box – 20 
Weight/box – 
Box Per Pallet – 
Pallet Type – </t>
  </si>
  <si>
    <t>Core  –  3" Paper 1/8" Strouse Brown
Width – 0.625"
Number Across Run/FInish –  2/2
Core Label – No
±10% –  Yes
Unwind Dir. Run – Parts Out
Unwind Dir. Finish –  Parts Out
Diecut/Continuous/Sheet –  Die Cut
Partial Case –  Yes
Pieces per roll/Unit – 5,000
Length per roll/unit –  86'
Finish – On Press
Application – </t>
  </si>
  <si>
    <t>50692 Cost of Goods Sold</t>
  </si>
  <si>
    <t>Female Carrier Strip Light Blue Dual Cap 1.11" x 10.75"</t>
  </si>
  <si>
    <t>703131-003 Rev. 004</t>
  </si>
  <si>
    <t>Female Carrier Strip - Light Blue Dual Cap - 1.11" x 10.75"</t>
  </si>
  <si>
    <t>Number Across Run/Finish –  1/1
Where Finished –  On Press
Length per Roll/Unit – 429'
Core Type –  3" Paper 1/8" Strouse Brown
Core Width – 11.000"
Core Label – Yes
Dividers – 
Bag Size – 
Qty. Per Bag – 1 Roll
Box Size –  16 x 16 x 10-1/4
Qty. Per Box – 1 Rolls
Weight/box – 
Box Per Pallet – 
Pallet Type – </t>
  </si>
  <si>
    <t>No more than 2 missing parts in a row!
As of 05/01/2019 - PPS 703131 Revision 004  Part number is 703131-003
PPS Revision to be on C of C and Packing List
Parts to be double Bagged
48" x 42" pallet works best, but it is not specified/required.</t>
  </si>
  <si>
    <t>Core  –  3" Paper 1/8" Strouse Brown
Width – 11.000"
Number Across Run/FInish –  1/1
Core Label – Yes
±10% –  Yes
Unwind Dir. Run – Parts In
Unwind Dir. Finish –  Parts In
Diecut/Continuous/Sheet –  Die Cut
Partial Case –  Yes
Pieces per roll/Unit – 4,600
Length per roll/unit –  429'
Finish – On Press
Application – </t>
  </si>
  <si>
    <t>50693 Cost of Goods Sold</t>
  </si>
  <si>
    <t>Sheeted Part Volara 2A Foam &amp; 3M 1522 1.25" Dia</t>
  </si>
  <si>
    <t>PCD03</t>
  </si>
  <si>
    <t>Sheeted Part - Volara 2A Foam &amp; 3M 1522 - 1.25" Dia</t>
  </si>
  <si>
    <t>Number Across Run/Finish –  5/1
Where Finished –  On Press
Length per Roll/Unit – 15'
Core Type –  N/A
Core Width – N/A
Core Label – No
Dividers – 
Bag Size – 
Qty. Per Bag – 500 Each
Box Size –  11 x 11 x 14
Qty. Per Box – 3 M
Weight/box – 
Box Per Pallet – 
Pallet Type – </t>
  </si>
  <si>
    <t>Labels to have customer PO number.
Include a C of C with:
• PO Number
• Part Number
• Adhesive Supplier ~ Part Number ~ Lot
• Foam Supplier ~ Part Number ~ Lot
• Statement certifying that the material meets the specs provided (already on C of C template)</t>
  </si>
  <si>
    <t>Core  –  N/A
Width – N/A
Number Across Run/FInish –  5/1
Core Label – No
±10% –  Yes
Unwind Dir. Run – N/A
Unwind Dir. Finish –  N/A
Diecut/Continuous/Sheet –  Die Cut Sheet
Partial Case –  Yes
Pieces per roll/Unit – 500
Length per roll/unit –  15'
Finish – On Press
Application – </t>
  </si>
  <si>
    <t>50694 Cost of Goods Sold</t>
  </si>
  <si>
    <t>Slit Roll Headliner film without masking 22mm x 100m</t>
  </si>
  <si>
    <t>ST-930-22MMX100M</t>
  </si>
  <si>
    <t>Slit Roll - Headliner film without masking - 22mm x 100m</t>
  </si>
  <si>
    <t>Number Across Run/Finish –  6/1
Where Finished –  On Press
Length per Roll/Unit – 328'
Core Type –  3" Paper 1/8" White Brown
Core Width – 0.866"
Core Label – No
Dividers – 
Bag Size – 
Qty. Per Bag – 15 Rolls
Box Size –  12 x 12 x 12
Qty. Per Box – 60 Rolls
Weight/box – 
Box Per Pallet – 
Pallet Type – </t>
  </si>
  <si>
    <t>Strouse C of C required</t>
  </si>
  <si>
    <t>Core  –  3" Paper 1/8" White Brown
Width – 0.866"
Number Across Run/FInish –  6/1
Core Label – No
±10% –  No
Unwind Dir. Run – N/A
Unwind Dir. Finish –  N/A
Diecut/Continuous/Sheet –  Continuous
Partial Case –  Yes
Pieces per roll/Unit – 1 Roll
Length per roll/unit –  328'
Finish – On Press
Application – </t>
  </si>
  <si>
    <t>50695 Cost of Goods Sold</t>
  </si>
  <si>
    <t>Sheeted Part Oral Hydration indicator 1.59" x 2.80"</t>
  </si>
  <si>
    <t>8717</t>
  </si>
  <si>
    <t>Sheeted Part - Oral Hydration indicator - 1.59" x 2.80"</t>
  </si>
  <si>
    <t>Number Across Run/Finish –  2/1
Where Finished –  On Press
Length per Roll/Unit – 37'
Core Type –  N/A
Core Width – N/A
Core Label – No
Dividers – 
Bag Size – 
Qty. Per Bag – 250 Each
Box Size –  12 x 12 x 12
Qty. Per Box – 2,500 Each
Weight/box – 
Box Per Pallet – 
Pallet Type – </t>
  </si>
  <si>
    <t>250/BAG</t>
  </si>
  <si>
    <t>Core  –  N/A
Width – N/A
Number Across Run/FInish –  2/1
Core Label – No
±10% –  Yes
Unwind Dir. Run – N/A
Unwind Dir. Finish –  N/A
Diecut/Continuous/Sheet –  Die Cut Sheet
Partial Case –  Yes
Pieces per roll/Unit – 250
Length per roll/unit –  37'
Finish – On Press
Application – </t>
  </si>
  <si>
    <t>50696 Cost of Goods Sold</t>
  </si>
  <si>
    <t>Slit Tape 3M 8555 11.5" x 72Yd</t>
  </si>
  <si>
    <t>3M8555MC11.5X72RL</t>
  </si>
  <si>
    <t>Slit Tape - 3M 8555 - 11.5" x 72Yd</t>
  </si>
  <si>
    <t>Number Across Run/Finish –  4/1
Where Finished –  On Press
Length per Roll/Unit – 72 Yd
Core Type –  As Recd.
Core Width – 11.5"
Core Label – Yes
Dividers – 
Bag Size – 
Qty. Per Bag – 1 Roll
Box Size –  12 x 12 x 4
Qty. Per Box – 1 Rolls
Weight/box – 
Box Per Pallet – 
Pallet Type – </t>
  </si>
  <si>
    <t>Include:  MFG Cert w/ Test Data; and Strouse C of C w/ Material Lot #, Date of Expiration, and Shelf Life.</t>
  </si>
  <si>
    <t>Core  –  As Recd.
Width – 11.5"
Number Across Run/FInish –  4/1
Core Label – Yes
±10% –  Yes
Unwind Dir. Run – N/A
Unwind Dir. Finish –  N/A
Diecut/Continuous/Sheet –  Continuous
Partial Case –  Yes
Pieces per roll/Unit – 1 Roll
Length per roll/unit –  72 Yd
Finish – On Press
Application – </t>
  </si>
  <si>
    <t>50697 Cost of Goods Sold</t>
  </si>
  <si>
    <t>Sheeted Part Canister Label Assembly 5.73" x 3.44"</t>
  </si>
  <si>
    <t>1003 Rev B</t>
  </si>
  <si>
    <t>Sheeted Part - Canister Label Assembly - 5.73" x 3.44"</t>
  </si>
  <si>
    <t>Number Across Run/Finish –  1/1
Where Finished –  On Press
Length per Roll/Unit – 17'
Core Type –  N/A
Core Width – "
Core Label – No
Dividers – 
Bag Size – 
Qty. Per Bag – 150 Each
Box Size –  12 x 12 x 4
Qty. Per Box – 150 Each
Weight/box – 
Box Per Pallet – 
Pallet Type – </t>
  </si>
  <si>
    <t>Core  –  N/A
Width – "
Number Across Run/FInish –  1/1
Core Label – No
±10% –  Yes
Unwind Dir. Run – N/A
Unwind Dir. Finish –  N/A
Diecut/Continuous/Sheet –  Sheet
Partial Case –  Yes
Pieces per roll/Unit – 50
Length per roll/unit –  17'
Finish – On Press
Application – </t>
  </si>
  <si>
    <t>50698 Cost of Goods Sold</t>
  </si>
  <si>
    <t>Sheeted Part RFID VHB label 1.25" Dia</t>
  </si>
  <si>
    <t>8030496</t>
  </si>
  <si>
    <t>Sheeted Part - RFID VHB label - 1.25" Dia</t>
  </si>
  <si>
    <t>Number Across Run/Finish –  1/1
Where Finished –  On Press
Length per Roll/Unit – 287'
Core Type –  N/A
Core Width – N/A
Core Label – No
Dividers – 
Bag Size – 
Qty. Per Bag – 2.5 M
Box Size –  10 x 10 x 10
Qty. Per Box – 3 M
Weight/box – 
Box Per Pallet – 
Pallet Type – </t>
  </si>
  <si>
    <t>PARTS NEED TO BE PACKAGED AS FLAT AS POSSIBLE IN THE BOX</t>
  </si>
  <si>
    <t>Core  –  N/A
Width – N/A
Number Across Run/FInish –  1/1
Core Label – No
±10% –  Yes
Unwind Dir. Run – N/A
Unwind Dir. Finish –  N/A
Diecut/Continuous/Sheet –  Die Cut Sheet
Partial Case –  Yes
Pieces per roll/Unit – 2,500
Length per roll/unit –  287'
Finish – On Press
Application – </t>
  </si>
  <si>
    <t>May need to double foam die.</t>
  </si>
  <si>
    <t>50699 Cost of Goods Sold</t>
  </si>
  <si>
    <t>Die Cut Part 3M 4914 10.3mm x 27.6mm</t>
  </si>
  <si>
    <t>2543</t>
  </si>
  <si>
    <t>Die Cut Part - 3M 4914 - 10.3mm x 27.6mm</t>
  </si>
  <si>
    <t>Number Across Run/Finish –  1/1
Where Finished –  On Press
Length per Roll/Unit – 45'
Core Type –  3" Paper 1/8" White Brown
Core Width – 2"
Core Label – Yes
Dividers – 
Bag Size – 
Qty. Per Bag – 5 M
Box Size –  13 x 13 x 13
Qty. Per Box – 20 M
Weight/box – 
Box Per Pallet – 
Pallet Type – </t>
  </si>
  <si>
    <t>Core  –  3" Paper 1/8" White Brown
Width – 2"
Number Across Run/FInish –  1/1
Core Label – Yes
±10% –  Yes
Unwind Dir. Run – Parts Out
Unwind Dir. Finish –  Parts Out
Diecut/Continuous/Sheet –  Die Cut
Partial Case –  Yes
Pieces per roll/Unit – 1,000
Length per roll/unit –  45'
Finish – On Press
Application – </t>
  </si>
  <si>
    <t>50700 Cost of Goods Sold</t>
  </si>
  <si>
    <t>Die Cut Part Matte Silver 1.5" x 3.0"</t>
  </si>
  <si>
    <t>8728</t>
  </si>
  <si>
    <t>Die Cut Part - Matte Silver - 1.5" x 3.0"</t>
  </si>
  <si>
    <t>Number Across Run/Finish –  3/1
Where Finished –  On Press
Length per Roll/Unit – 170'
Core Type –  3" Paper 1/8" Strouse Brown
Core Width – 3.125"
Core Label – Yes
Dividers – 
Bag Size – 
Qty. Per Bag – 4 Rolls
Box Size –  6 x 6 x 6
Qty. Per Box – 8 Rolls
Weight/box – 
Box Per Pallet – 
Pallet Type – </t>
  </si>
  <si>
    <t>Core  –  3" Paper 1/8" Strouse Brown
Width – 3.125"
Number Across Run/FInish –  3/1
Core Label – Yes
±10% –  Yes
Unwind Dir. Run – Parts Out
Unwind Dir. Finish –  Parts Out
Diecut/Continuous/Sheet –  Die Cut
Partial Case –  Yes
Pieces per roll/Unit – 1,250
Length per roll/unit –  170'
Finish – On Press
Application – </t>
  </si>
  <si>
    <t>50701 Cost of Goods Sold</t>
  </si>
  <si>
    <t>Slit Tape 3M 9793R 24mm x 25Yd</t>
  </si>
  <si>
    <t>8730</t>
  </si>
  <si>
    <t>Slit Tape - 3M 9793R - 24mm x 25Yd</t>
  </si>
  <si>
    <t>Number Across Run/Finish –  5/1
Where Finished –  On Press
Length per Roll/Unit – 25 Yd
Core Type –  1" Plastic 0.090"
Core Width – 24 mm
Core Label – No
Dividers – Paper
Bag Size – 
Qty. Per Bag – 5 Rolls
Box Size –  16.5 x 16.5 x 8
Qty. Per Box – 5 Rolls
Weight/box – 
Box Per Pallet – 
Pallet Type – </t>
  </si>
  <si>
    <t>Core  –  1" Plastic 0.090"
Width – 24 mm
Number Across Run/FInish –  5/1
Core Label – No
±10% –  Yes
Unwind Dir. Run – N/A
Unwind Dir. Finish –  N/A
Diecut/Continuous/Sheet –  Continuous
Partial Case –  Yes
Pieces per roll/Unit – 1 Roll
Length per roll/unit –  25 Yd
Finish – On Press
Application – </t>
  </si>
  <si>
    <t>50702 Cost of Goods Sold</t>
  </si>
  <si>
    <t>Die Cut Part Hose Card Model 555 3.625" Dia</t>
  </si>
  <si>
    <t>78-8083-8303-4</t>
  </si>
  <si>
    <t>Die Cut Part - Hose Card Model 555 - 3.625" Dia</t>
  </si>
  <si>
    <t>Number Across Run/Finish –  2/1
Where Finished –  On Press
Length per Roll/Unit – 834'
Core Type –  3" Paper 0.180" Brown Brown
Core Width – 3.75"
Core Label – Yes
Dividers – 16 x 16
Bag Size – 
Qty. Per Bag – 2 Rolls
Box Size –  10 x 10 x 10
Qty. Per Box – 2 Rolls
Weight/box – 
Box Per Pallet – 20
Pallet Type – </t>
  </si>
  <si>
    <t>Remove hose cards with splices in the card stock.  No more than 2 missing hose cards in a row.  Use 1" tape for splices, use a butt splice with no overlap, and assure that the splice tape covers the entire width of the web.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</si>
  <si>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0.180" Brown Brown
Width – 3.75"
Number Across Run/FInish –  2/1
Core Label – Yes
±10% –  Yes
Unwind Dir. Run – Parts Out
Unwind Dir. Finish –  Parts Out
Diecut/Continuous/Sheet –  Die Cut
Partial Case –  Yes
Pieces per roll/Unit – 2,500
Length per roll/unit –  834'
Finish – On Press
Application – </t>
  </si>
  <si>
    <t>Box labels are to be printed daily and core labels are to be printed at shift changes.  Raw material lot # to be included on the core label.  Core label to be placed on the box for each lot of raw material within the box.
Use all of one held lot before moving to the next.</t>
  </si>
  <si>
    <t>50703 Cost of Goods Sold</t>
  </si>
  <si>
    <t>Sheeted Part Magnetic Shield painted black 2.91" x 0.70"</t>
  </si>
  <si>
    <t>31004134</t>
  </si>
  <si>
    <t>Sheeted Part - Magnetic Shield painted black - 2.91" x 0.70"</t>
  </si>
  <si>
    <t>Number Across Run/Finish –  3/1
Where Finished –  Off Press
Length per Roll/Unit – 84'
Core Type –  N/A
Core Width – N/A
Core Label – No
Dividers – 
Bag Size – 
Qty. Per Bag – 5000 Each
Box Size –  19 x 11 x 13
Qty. Per Box – 5,000 Each
Weight/box – 
Box Per Pallet – 
Pallet Type – </t>
  </si>
  <si>
    <t>Stack parts neatly and tightly so they do not shift during shipping.
Include a Material Cert for the foil and a C of C w/ current EU Directive statement (refer to customer PO for EU Directive('s).</t>
  </si>
  <si>
    <t>Core  –  N/A
Width – N/A
Number Across Run/FInish –  3/1
Core Label – No
±10% –  Yes
Unwind Dir. Run – N/A
Unwind Dir. Finish –  N/A
Diecut/Continuous/Sheet –  Die Cut Sheet
Partial Case –  Yes
Pieces per roll/Unit – 1,000
Length per roll/unit –  84'
Finish – Off Press
Application – </t>
  </si>
  <si>
    <t>Gaps and voids in adhesive and liner are acceptable per Engineering and Sales.</t>
  </si>
  <si>
    <t>50704 Cost of Goods Sold</t>
  </si>
  <si>
    <t>Fabricated Part 1 mil PET/9458 15" x 180Yd</t>
  </si>
  <si>
    <t>0ZW31</t>
  </si>
  <si>
    <t>Fabricated Part - 1 mil PET/9458 - 15" x 180Yd</t>
  </si>
  <si>
    <t>Number Across Run/Finish –  1/1
Where Finished –  On Press
Length per Roll/Unit – 180 Yd
Core Type –  3" Paper 1/8" Strouse Brown
Core Width – 17"
Core Label – Yes
Dividers – 
Bag Size – 
Qty. Per Bag – 1 Roll
Box Size –  10 x 10 x 10
Qty. Per Box – 2 Rolls
Weight/box – 
Box Per Pallet – 
Pallet Type – </t>
  </si>
  <si>
    <t>See Drawing for Wind Direction; double release out.
Include C of C with: 	• PO #
				• TE P/N
				• D.O.M. (Date of Strouse conversion)
				• D.O.E. (Date of Strouse conversion + 2 Years)</t>
  </si>
  <si>
    <t>Core  –  3" Paper 1/8" Strouse Brown
Width – 17"
Number Across Run/FInish –  1/1
Core Label – Yes
±10% –  Yes
Unwind Dir. Run – Adh. Out
Unwind Dir. Finish –  Adh. Out
Diecut/Continuous/Sheet –  Continuous
Partial Case –  Yes
Pieces per roll/Unit – 1 Roll
Length per roll/unit –  180 Yd
Finish – On Press
Application – </t>
  </si>
  <si>
    <t>Scorer set to 15"
Use a wider roll of PVC tape to remove the adhesive trim.</t>
  </si>
  <si>
    <t>50705 Cost of Goods Sold</t>
  </si>
  <si>
    <t>Die Cut Label Strouse Accuplace label 1.25" Dia</t>
  </si>
  <si>
    <t>8747</t>
  </si>
  <si>
    <t>Die Cut Label - Strouse Accuplace label - 1.25" Dia</t>
  </si>
  <si>
    <t>Number Across Run/Finish –  3/1
Where Finished –  Web Techniques
Length per Roll/Unit – 115'
Core Type –  3" Paper (1/8) PRINT
Core Width – 1.375"
Core Label – No
Dividers – 
Bag Size – 
Qty. Per Bag – 7 Rolls
Box Size –  13 x 13 x 13
Qty. Per Box – 10 Rolls
Weight/box – 
Box Per Pallet – 
Pallet Type – </t>
  </si>
  <si>
    <t>Core  –  3" Paper (1/8) PRINT
Width – 1.375"
Number Across Run/FInish –  3/1
Core Label – No
±10% –  Yes
Unwind Dir. Run – 3
Unwind Dir. Finish –  4
Diecut/Continuous/Sheet –  Die Cut
Partial Case –  Yes
Pieces per roll/Unit – 1,000
Length per roll/unit –  115'
Finish – Web Techniques
Application – </t>
  </si>
  <si>
    <t>Use the razor spacers from Funai/Lexmark - 1.375" or 35 mm.  
Plates are mounted on AB 834 and AB 1096 - location P100 and P101.</t>
  </si>
  <si>
    <t>50706 Cost of Goods Sold</t>
  </si>
  <si>
    <t>Printed Tape White printed black 0.5" x 225Yd</t>
  </si>
  <si>
    <t>RA330-04</t>
  </si>
  <si>
    <t>Printed Tape - White printed black - 0.5" x 225Yd</t>
  </si>
  <si>
    <t>Number Across Run/Finish –  11/1
Where Finished –  On Press
Length per Roll/Unit – 225 Yd
Core Type –  3" Paper 1/8" White Brown
Core Width – 0.5"
Core Label – No
Dividers – Paper
Bag Size – 
Qty. Per Bag – 12 Rolls
Box Size –  CUSTOMER SUPPLIED
Qty. Per Box – 72 Rolls
Weight/box – 
Box Per Pallet – 
Pallet Type – </t>
  </si>
  <si>
    <t>"No Strouse Markings"
Must use plain cores only
Labels on all 4 sides of the box.</t>
  </si>
  <si>
    <t>Core  –  3" Paper 1/8" White Brown
Width – 0.5"
Number Across Run/FInish –  11/1
Core Label – No
±10% –  Yes
Unwind Dir. Run – 1
Unwind Dir. Finish –  1
Diecut/Continuous/Sheet –  Continuous
Partial Case –  No
Pieces per roll/Unit – 1 Roll
Length per roll/unit –  225 Yd
Finish – On Press
Application – </t>
  </si>
  <si>
    <t>"No Strouse Markings"
Must use plain cores only</t>
  </si>
  <si>
    <t>50707 Cost of Goods Sold</t>
  </si>
  <si>
    <t>Butt Cut Part Hook Coin Fastener w/ Non-Engagement Edges - Gowns, 2.5" 1" x 2.5"</t>
  </si>
  <si>
    <t>78-8083-8234-1 Rev A</t>
  </si>
  <si>
    <t>Butt Cut Part - Hook Coin Fastener w/ Non-Engagement Edges - Gowns, 2.5" - 1" x 2.5"</t>
  </si>
  <si>
    <t>Number Across Run/Finish –  3/1
Where Finished –  On Press
Length per Roll/Unit – 300'
Core Type –  3" Paper 1/8" White Brown
Core Width – 2.5"
Core Label – Yes
Dividers – Paper
Bag Size – 
Qty. Per Bag – 3 Rolls
Box Size –  12 x 12 x 4
Qty. Per Box – 11 M
Weight/box – 
Box Per Pallet – 36
Pallet Type – </t>
  </si>
  <si>
    <t>Include stock W/O #('s) on a Strouse C of C.
• Quantity on Box Labels to read: 10,500
(If roll length is less than 250', label box with actual quantity instead of 10,500)
• Use core labels reflecting the Work Order # and Operator # on the inside of the finished rolls, and on the outside of each shipping box.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</si>
  <si>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2.5"
Number Across Run/FInish –  3/1
Core Label – Yes
±10% –  Yes
Unwind Dir. Run – Parts Out
Unwind Dir. Finish –  Parts Out
Diecut/Continuous/Sheet –  Die Cut
Partial Case –  Yes
Pieces per roll/Unit – 3,500
Length per roll/unit –  300'
Finish – On Press
Application – </t>
  </si>
  <si>
    <t>Must track scrap, see QC or 3M Project Manager with questions.
Inspections: Every set visually check Op, Mid, &amp; Gr lane for butt cut &amp; deadening.
Every fourth set measure 1-lane; alternate lanes and indicate on IPIC the lane.</t>
  </si>
  <si>
    <t>50708 Cost of Goods Sold</t>
  </si>
  <si>
    <t>Sheeted Part 3M 213 5.75" x 2.5"</t>
  </si>
  <si>
    <t>Curve Side</t>
  </si>
  <si>
    <t>Sheeted Part - 3M 213 - 5.75" x 2.5"</t>
  </si>
  <si>
    <t>Number Across Run/Finish –  2/1
Where Finished –  On Press
Length per Roll/Unit – 180'
Core Type –  N/A
Core Width – N/A
Core Label – No
Dividers – 
Bag Size – 
Qty. Per Bag – 360 Each
Box Size –  12 x 12 x 4
Qty. Per Box – 720 Each
Weight/box – 
Box Per Pallet – 
Pallet Type – </t>
  </si>
  <si>
    <t>Core  –  N/A
Width – N/A
Number Across Run/FInish –  2/1
Core Label – No
±10% –  Yes
Unwind Dir. Run – N/A
Unwind Dir. Finish –  N/A
Diecut/Continuous/Sheet –  Die Cut Sheet
Partial Case –  Yes
Pieces per roll/Unit – 360
Length per roll/unit –  180'
Finish – On Press
Application – </t>
  </si>
  <si>
    <t>Runs with 8756</t>
  </si>
  <si>
    <t>50709 Cost of Goods Sold</t>
  </si>
  <si>
    <t>Stem Side</t>
  </si>
  <si>
    <t>Number Across Run/Finish –  2/1
Where Finished –  On Press
Length per Roll/Unit – 180'
Core Type –  N/A
Core Width – N/A
Core Label – No
Dividers – 
Bag Size – 
Qty. Per Bag – 360 Each
Box Size –  18 x 18 x 8
Qty. Per Box – 720 Each
Weight/box – 
Box Per Pallet – 
Pallet Type – </t>
  </si>
  <si>
    <t>Runs with 8755</t>
  </si>
  <si>
    <t>50710 Cost of Goods Sold</t>
  </si>
  <si>
    <t>Fabricated Part Ultraweld Top Bus 3.5" x 164'</t>
  </si>
  <si>
    <t>LM1048D</t>
  </si>
  <si>
    <t>Fabricated Part - Ultraweld Top Bus - 3.5" x 164'</t>
  </si>
  <si>
    <t>Number Across Run/Finish –  1/1
Where Finished –  On Press
Length per Roll/Unit – 164'
Core Type –  10" Paper 3/8" Brown Brown
Core Width – 3.50"
Core Label – Yes
Dividers – 
Bag Size – 
Qty. Per Bag – 1 Roll
Box Size –  16 x 16 x 10-1/4
Qty. Per Box – 1 Rolls
Weight/box – 
Box Per Pallet – 
Pallet Type – </t>
  </si>
  <si>
    <t>Using AVX 10" cores</t>
  </si>
  <si>
    <t>Core  –  10" Paper 3/8" Brown Brown
Width – 3.50"
Number Across Run/FInish –  1/1
Core Label – Yes
±10% –  Yes
Unwind Dir. Run – KPT-2 Out
Unwind Dir. Finish –  KPT-2 Out
Diecut/Continuous/Sheet –  Continuous
Partial Case –  Yes
Pieces per roll/Unit – 1 Roll
Length per roll/unit –  164'
Finish – On Press
Application – </t>
  </si>
  <si>
    <t>BE SURE THAT THE FINISHED ROLL WILL UW FROM THE TOP OF THE ROLL TOWARD YOU WITH THE KAPTON SHIFTED AND TABBED SIDE TO THE LEFT (SEE DRAWING FOR REFERENCE).    Make sure you laminate the adhesive of the 850 to the adhesive to deaden the tab area.</t>
  </si>
  <si>
    <t>50711 Cost of Goods Sold</t>
  </si>
  <si>
    <t>Number Across Run/Finish –  9/1
Where Finished –  On Press
Length per Roll/Unit – 1,151'
Core Type –  3" Paper 1/8" White Brown
Core Width – 1"
Core Label – Yes
Dividers – 
Bag Size – 
Qty. Per Bag – 9 Rolls
Box Size –  10 x 10 x 10
Qty. Per Box – 59 M
Weight/box – 
Box Per Pallet – 16 (936 M)
Pallet Type – </t>
  </si>
  <si>
    <t>50712 Cost of Goods Sold</t>
  </si>
  <si>
    <t>Die Cut Part 3M 5915P 22.1mm x 10mm</t>
  </si>
  <si>
    <t>C1676-0312</t>
  </si>
  <si>
    <t>Die Cut Part - 3M 5915P - 22.1mm x 10mm</t>
  </si>
  <si>
    <t>Number Across Run/Finish –  2/2
Where Finished –  On Press
Length per Roll/Unit – 42'
Core Type –  3" Paper 1/8" White Brown
Core Width – 2"
Core Label – Yes
Dividers – 
Bag Size – 
Qty. Per Bag – 6 M
Box Size –  16 x 16 x 10-1/4
Qty. Per Box – 6 M
Weight/box – 
Box Per Pallet – 
Pallet Type – </t>
  </si>
  <si>
    <t>Core  –  3" Paper 1/8" White Brown
Width – 2"
Number Across Run/FInish –  2/2
Core Label – Yes
±10% –  Yes
Unwind Dir. Run – Parts Out
Unwind Dir. Finish –  Parts Out
Diecut/Continuous/Sheet –  Die Cut
Partial Case –  Yes
Pieces per roll/Unit – 1,000
Length per roll/unit –  42'
Finish – On Press
Application – </t>
  </si>
  <si>
    <t>50713 Cost of Goods Sold</t>
  </si>
  <si>
    <t>Die Cut Part Tape, 0.75" X 1.25", Roll 1.25" x 0.75"</t>
  </si>
  <si>
    <t>78-8083-4292-3 Rev C</t>
  </si>
  <si>
    <t>Die Cut Part - Tape, 0.75" X 1.25", Roll - 1.25" x 0.75"</t>
  </si>
  <si>
    <t>Number Across Run/Finish –  8/1
Where Finished –  On Press
Length per Roll/Unit – 1,146'
Core Type –  3" Paper 1/8" White Brown
Core Width – 1.125"
Core Label – Yes
Dividers – 0.02" Thick Chipboard
Bag Size – 
Qty. Per Bag – 9 Rolls
Box Size –  12 x 12 x 10
Qty. Per Box – 90 M
Weight/box – 
Box Per Pallet – 16 (1440 M)
Pallet Type – </t>
  </si>
  <si>
    <t>Finished Unwind Direction: Hold roll in your RIGHT hand and unwind to the LEFT.  The TAB should be on the TOP.  Parts Out.
MAX 2 PARTS MISSING IN A ROW
MAX 5 SPLICES PER ROLL
USE 2" BLUE SPLICE TAPE ON BACK SIDE ONLY, NO MISSING PARTS AT LINER SPLICE
MAX ROLL DIAMETER: 16"
MIN ROLL DIAMETER: 14"
ROLLS MUST LAY FLAT - MUST USE 20pt (0.02" THICK) CHIPBOARD DIVIDERS.
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</si>
  <si>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3" Paper 1/8" White Brown
Width – 1.125"
Number Across Run/FInish –  8/1
Core Label – Yes
±10% –  Yes
Unwind Dir. Run – See Note
Unwind Dir. Finish –  See Note
Diecut/Continuous/Sheet –  Die Cut
Partial Case –  No
Pieces per roll/Unit – 10,000
Length per roll/unit –  1,146'
Finish – On Press
Application – </t>
  </si>
  <si>
    <t>50714 Cost of Goods Sold</t>
  </si>
  <si>
    <t>Sheeted Part EPE sheets 80mmx 60mm</t>
  </si>
  <si>
    <t>4001001</t>
  </si>
  <si>
    <t>Sheeted Part - EPE sheets - 80mmx 60mm</t>
  </si>
  <si>
    <t>Number Across Run/Finish –  4/1
Where Finished –  On Press
Length per Roll/Unit – 591'
Core Type –  N/A
Core Width – N/A
Core Label – No
Dividers – 
Bag Size – 
Qty. Per Bag – 9 M
Box Size –  12 x 12 x 10
Qty. Per Box – 9 M
Weight/box – 
Box Per Pallet – 
Pallet Type – </t>
  </si>
  <si>
    <t>Core  –  N/A
Width – N/A
Number Across Run/FInish –  4/1
Core Label – No
±10% –  Yes
Unwind Dir. Run – N/A
Unwind Dir. Finish –  N/A
Diecut/Continuous/Sheet –  Die Cut Sheet
Partial Case –  Yes
Pieces per roll/Unit – 9,000
Length per roll/unit –  591'
Finish – On Press
Application – </t>
  </si>
  <si>
    <t>Convert all material sent in by customer.
This runs best on A2 with mid press web guide. MS</t>
  </si>
  <si>
    <t>50715 Cost of Goods Sold</t>
  </si>
  <si>
    <t>Paint Adhesion Tape ST-1195 on plain cores 2" x 60Yd</t>
  </si>
  <si>
    <t>ST-1195/2x60</t>
  </si>
  <si>
    <t>Paint Adhesion Tape - ST-1195 on plain cores - 2" x 60Yd</t>
  </si>
  <si>
    <t>Number Across Run/Finish –  2/1
Where Finished –  On Press
Length per Roll/Unit – 60 Yd
Core Type –  3" Paper 1/8" White Brown
Core Width – 2.0"
Core Label – No
Dividers – 
Bag Size – 
Qty. Per Bag – 5 Rolls
Box Size –  11 x 11 x 14
Qty. Per Box – 20 Rolls
Weight/box – 
Box Per Pallet – 
Pallet Type – </t>
  </si>
  <si>
    <t>Core  –  3" Paper 1/8" White Brown
Width – 2.0"
Number Across Run/FInish –  2/1
Core Label – No
±10% –  Yes
Unwind Dir. Run – Adh. In
Unwind Dir. Finish –  Adh. In
Diecut/Continuous/Sheet –  Continuous
Partial Case –  Yes
Pieces per roll/Unit – 1 Roll
Length per roll/unit –  60 Yd
Finish – On Press
Application – </t>
  </si>
  <si>
    <t>50716 Cost of Goods Sold</t>
  </si>
  <si>
    <t>Printed Tape MED 5707 5" x 100Yd</t>
  </si>
  <si>
    <t>5707/5x100</t>
  </si>
  <si>
    <t>Printed Tape - MED 5707 - 5" x 100Yd</t>
  </si>
  <si>
    <t>Number Across Run/Finish –  2/1
Where Finished –  Web Techniques
Length per Roll/Unit – 300'
Core Type –  3" Paper 1/8" Strouse Brown
Core Width – 5"
Core Label – Yes
Dividers – Paper
Bag Size – 
Qty. Per Bag – 1 Roll
Box Size –  14 x 14 x 10
Qty. Per Box – 2 Rolls
Weight/box – 
Box Per Pallet – 
Pallet Type – </t>
  </si>
  <si>
    <t>Core  –  3" Paper 1/8" Strouse Brown
Width – 5"
Number Across Run/FInish –  2/1
Core Label – Yes
±10% –  No
Unwind Dir. Run – Print In
Unwind Dir. Finish –  Print In
Diecut/Continuous/Sheet –  Continuous
Partial Case –  Yes
Pieces per roll/Unit – 1 Roll
Length per roll/unit –  300'
Finish – Web Techniques
Application – </t>
  </si>
  <si>
    <t xml:space="preserve">Use same printing plate as JT 8381/JT 8667
</t>
  </si>
  <si>
    <t>50717 Cost of Goods Sold</t>
  </si>
  <si>
    <t>Sheeted Part Long Sheet - 2016 4.5" x 3.375"</t>
  </si>
  <si>
    <t>Long Sheet</t>
  </si>
  <si>
    <t>Sheeted Part - Long Sheet - 2016 - 4.5" x 3.375"</t>
  </si>
  <si>
    <t>Number Across Run/Finish –  1/1
Where Finished –  On Press
Length per Roll/Unit – 94'
Core Type –  N/A
Core Width – N/A
Core Label – No
Dividers – 
Bag Size – 
Qty. Per Bag – .25 M
Box Size –  12 x 12 x 10
Qty. Per Box – 6 M
Weight/box – 
Box Per Pallet – 
Pallet Type – </t>
  </si>
  <si>
    <t>50718 Cost of Goods Sold</t>
  </si>
  <si>
    <t>Slit Tape 3M 8686 0.75" x 36Yd</t>
  </si>
  <si>
    <t>2033198-1 REV B</t>
  </si>
  <si>
    <t>Slit Tape - 3M 8686 - 0.75" x 36Yd</t>
  </si>
  <si>
    <t>Number Across Run/Finish –  30/1
Where Finished –  On Press
Length per Roll/Unit – 36 Yd
Core Type –  As Recd.
Core Width – 0.75"
Core Label – Yes
Dividers – 
Bag Size – 
Qty. Per Bag – 8 Rolls
Box Size –  12 x 12 x 4
Qty. Per Box – 30 Rolls
Weight/box – 
Box Per Pallet – 
Pallet Type – </t>
  </si>
  <si>
    <t>Labels to have End User PO number.</t>
  </si>
  <si>
    <t>Core  –  As Recd.
Width – 0.75"
Number Across Run/FInish –  30/1
Core Label – Yes
±10% –  Yes
Unwind Dir. Run – As Rec'd
Unwind Dir. Finish –  As Rec'd
Diecut/Continuous/Sheet –  
Partial Case –  Yes
Pieces per roll/Unit – 1 Roll
Length per roll/unit –  36 Yd
Finish – On Press
Application – </t>
  </si>
  <si>
    <t>50719 Cost of Goods Sold</t>
  </si>
  <si>
    <t>Sheeted Part 3M 9916 2.5" x 0.5"</t>
  </si>
  <si>
    <t>R090</t>
  </si>
  <si>
    <t>Sheeted Part - 3M 9916 - 2.5" x 0.5"</t>
  </si>
  <si>
    <t>Number Across Run/Finish –  4/1
Where Finished –  Off Press
Length per Roll/Unit – 6'
Core Type –  N/A
Core Width – N/A
Core Label – No
Dividers – 
Bag Size – 
Qty. Per Bag – 100 Each
Box Size –  16 x 16 x 16
Qty. Per Box – 2,500 M
Weight/box – 
Box Per Pallet – 
Pallet Type – </t>
  </si>
  <si>
    <t>Sold by the sheet.  10,000 parts = 10,000 sheets (20,000 strips)</t>
  </si>
  <si>
    <t>Core  –  N/A
Width – N/A
Number Across Run/FInish –  4/1
Core Label – No
±10% –  Yes
Unwind Dir. Run – N/A
Unwind Dir. Finish –  N/A
Diecut/Continuous/Sheet –  Die Cut Sheet
Partial Case –  Yes
Pieces per roll/Unit – 100
Length per roll/unit –  6'
Finish – Off Press
Application – </t>
  </si>
  <si>
    <t>See Shawn F - Packaging needs reviewed for function
Sold by the sheet.  10,000 parts = 10,000 sheets (20,000 strips)
Use 0.5 mil Stepped anvil until die is retooled.</t>
  </si>
  <si>
    <t>50720 Cost of Goods Sold</t>
  </si>
  <si>
    <t>Butt Cut Part 3M FP0862 17" x 14"</t>
  </si>
  <si>
    <t>FP0862/14x17</t>
  </si>
  <si>
    <t>Butt Cut Part - 3M FP0862 - 17" x 14"</t>
  </si>
  <si>
    <t>Number Across Run/Finish –  1/1
Where Finished –  On Press
Length per Roll/Unit – 567'
Core Type –  3" Paper 1/8" Strouse Brown
Core Width – 14"
Core Label – Yes
Dividers – 
Bag Size – 
Qty. Per Bag – 1 Roll
Box Size –  16 x 16 x 10-1/4
Qty. Per Box – 2 M
Weight/box – 
Box Per Pallet – 
Pallet Type – </t>
  </si>
  <si>
    <t>Core  –  3" Paper 1/8" Strouse Brown
Width – 14"
Number Across Run/FInish –  1/1
Core Label – Yes
±10% –  Yes
Unwind Dir. Run – Parts Out
Unwind Dir. Finish –  Parts Out
Diecut/Continuous/Sheet –  Die Cut
Partial Case –  Yes
Pieces per roll/Unit – 400
Length per roll/unit –  567'
Finish – On Press
Application – </t>
  </si>
  <si>
    <t>50721 Cost of Goods Sold</t>
  </si>
  <si>
    <t>Die Cut Part Left Hand diffuser 35.5mm x 22.0mm</t>
  </si>
  <si>
    <t>022-0248-L Rev A</t>
  </si>
  <si>
    <t>Die Cut Part - Left Hand diffuser - 35.5mm x 22.0mm</t>
  </si>
  <si>
    <t>Number Across Run/Finish –  3/1
Where Finished –  Off Press
Length per Roll/Unit – 270'
Core Type –  6" plastic, 0.155" PP
Core Width – 1.5"
Core Label – Yes
Dividers – Special
Bag Size – 
Qty. Per Bag – 1 Roll
Box Size –  16 x 16 x 10-1/4
Qty. Per Box – 10 M
Weight/box – 
Box Per Pallet – 
Pallet Type – </t>
  </si>
  <si>
    <t>Rolls can have up to 2 missing parts in a row.
- Core labels required on Core, Sideboards, and Shrink Film.
- Place the shrink filmed rolls into a single bag (16" x 14" x 36" 2mil GSTD) in the box.
- Box labels required on two adjacent sides of box.
Rolls require sideboards attached to the core.  Custom polyflute sideboards need to be taped to the core in 4 locations spaced around the diameter to create a sort of spool - see picture in the job jacket for reference.</t>
  </si>
  <si>
    <t>Core  –  6" plastic, 0.155" PP
Width – 1.5"
Number Across Run/FInish –  3/1
Core Label – Yes
±10% –  Yes
Unwind Dir. Run – Parts Out
Unwind Dir. Finish –  See Drawing
Diecut/Continuous/Sheet –  Die Cut
Partial Case –  Yes
Pieces per roll/Unit – 2,000
Length per roll/unit –  270'
Finish – Off Press
Application – </t>
  </si>
  <si>
    <t>9495B to be laminated to the rough side of the 8B35 diffuser film.
Rolls can have up to 2 missing parts in a row.</t>
  </si>
  <si>
    <t>50722 Cost of Goods Sold</t>
  </si>
  <si>
    <t>Die Cut Part Right Hand diffuser 35.5mm x 22.0mm</t>
  </si>
  <si>
    <t>022-0248-R Rev A</t>
  </si>
  <si>
    <t>Die Cut Part - Right Hand diffuser - 35.5mm x 22.0mm</t>
  </si>
  <si>
    <t>Number Across Run/Finish –  3/1
Where Finished –  Off Press
Length per Roll/Unit – 250'
Core Type –  6" plastic, 0.155" PP
Core Width – 1.5"
Core Label – Yes
Dividers – Special
Bag Size – 
Qty. Per Bag – 1 Roll
Box Size –  12 x 12 x 4
Qty. Per Box – 10 M
Weight/box – 
Box Per Pallet – 
Pallet Type – </t>
  </si>
  <si>
    <t>Rolls can have up to 2 missing parts in a row.
- Core labels required on Core, Sideboards, and Shrink Film.
- Place the shrink filmed rolls into a single bag in the box.
- Box labels required on two adjacent sides of box.
Rolls require sideboards attached to the core.  Custom polyflute sideboards need to be taped to the core in 4 locations spaced around the diameter to create a sort of spool - see picture in the job jacket for reference.</t>
  </si>
  <si>
    <t>Core  –  6" plastic, 0.155" PP
Width – 1.5"
Number Across Run/FInish –  3/1
Core Label – Yes
±10% –  Yes
Unwind Dir. Run – Parts Out
Unwind Dir. Finish –  See Drawing
Diecut/Continuous/Sheet –  Die Cut
Partial Case –  Yes
Pieces per roll/Unit – 2,000
Length per roll/unit –  250'
Finish – Off Press
Application – </t>
  </si>
  <si>
    <t>50723 Cost of Goods Sold</t>
  </si>
  <si>
    <t>Sheeted Part Screen Protector 5.94" x 4.13"</t>
  </si>
  <si>
    <t>P000002566 Rev A</t>
  </si>
  <si>
    <t>Sheeted Part - Screen Protector - 5.94" x 4.13"</t>
  </si>
  <si>
    <t>Number Across Run/Finish –  3/1
Where Finished –  On Press
Length per Roll/Unit – 10'
Core Type –  N/A
Core Width – N/A
Core Label – No
Dividers – 
Bag Size – 
Qty. Per Bag – 50 Each
Box Size –  12 x 12 x 12
Qty. Per Box – 200 Each
Weight/box – 
Box Per Pallet – 
Pallet Type – </t>
  </si>
  <si>
    <t>Core  –  N/A
Width – N/A
Number Across Run/FInish –  3/1
Core Label – No
±10% –  Yes
Unwind Dir. Run – N/A
Unwind Dir. Finish –  N/A
Diecut/Continuous/Sheet –  Sheet
Partial Case –  Yes
Pieces per roll/Unit – 50
Length per roll/unit –  10'
Finish – On Press
Application – </t>
  </si>
  <si>
    <t>Laminate the polymask material to the coated side of the paper liner.</t>
  </si>
  <si>
    <t>50724 Cost of Goods Sold</t>
  </si>
  <si>
    <t>Slit Tape 3M 8555 6" x 72Yd</t>
  </si>
  <si>
    <t>3M8555MC6X72RL</t>
  </si>
  <si>
    <t>Slit Tape - 3M 8555 - 6" x 72Yd</t>
  </si>
  <si>
    <t>Number Across Run/Finish –  7/1
Where Finished –  On Press
Length per Roll/Unit – 72 Yd
Core Type –  As Recd.
Core Width – 6.0"
Core Label – Yes
Dividers – Paper
Bag Size – 
Qty. Per Bag – 2 Rolls
Box Size –  26 x 26 x 3 T&amp;B
Qty. Per Box – 8 Rolls
Weight/box – 
Box Per Pallet – 
Pallet Type – </t>
  </si>
  <si>
    <t>Core  –  As Recd.
Width – 6.0"
Number Across Run/FInish –  7/1
Core Label – Yes
±10% –  Yes
Unwind Dir. Run – Adh. In
Unwind Dir. Finish –  Adh. In
Diecut/Continuous/Sheet –  Continuous
Partial Case –  Yes
Pieces per roll/Unit – 1 Roll
Length per roll/unit –  72 Yd
Finish – On Press
Application – </t>
  </si>
  <si>
    <t>50725 Cost of Goods Sold</t>
  </si>
  <si>
    <t>Sheeted Part 3M 1509 24" x 18"</t>
  </si>
  <si>
    <t>8804</t>
  </si>
  <si>
    <t>Sheeted Part - 3M 1509 - 24" x 18"</t>
  </si>
  <si>
    <t>Number Across Run/Finish –  1/1
Where Finished –  On Press
Length per Roll/Unit – 250'
Core Type –  N/A
Core Width – N/A
Core Label – No
Dividers – 
Bag Size – 
Qty. Per Bag – 50 Each
Box Size –  10 x 10 x 10
Qty. Per Box – 250 Each
Weight/box – 
Box Per Pallet – 
Pallet Type – </t>
  </si>
  <si>
    <t>Core  –  N/A
Width – N/A
Number Across Run/FInish –  1/1
Core Label – No
±10% –  Yes
Unwind Dir. Run – N/A
Unwind Dir. Finish –  N/A
Diecut/Continuous/Sheet –  Sheet
Partial Case –  Yes
Pieces per roll/Unit – 125
Length per roll/unit –  250'
Finish – On Press
Application – </t>
  </si>
  <si>
    <t>50726 Cost of Goods Sold</t>
  </si>
  <si>
    <t>Butt Cut Part 3M 1181 0.5" x 3.15"</t>
  </si>
  <si>
    <t>305-00037</t>
  </si>
  <si>
    <t>Butt Cut Part - 3M 1181 - 0.5" x 3.15"</t>
  </si>
  <si>
    <t>Number Across Run/Finish –  7/1
Where Finished –  On Press
Length per Roll/Unit – 21'
Core Type –  3" Paper 1/8" Strouse Brown
Core Width – 3.15"
Core Label – Yes
Dividers – 
Bag Size – 
Qty. Per Bag – 1 Roll
Box Size –  12 x 12 x 12
Qty. Per Box – 5 M
Weight/box – 
Box Per Pallet – 
Pallet Type – </t>
  </si>
  <si>
    <t>Core  –  3" Paper 1/8" Strouse Brown
Width – 3.15"
Number Across Run/FInish –  7/1
Core Label – Yes
±10% –  Yes
Unwind Dir. Run – Parts Out
Unwind Dir. Finish –  Parts Out
Diecut/Continuous/Sheet –  Die Cut
Partial Case –  Yes
Pieces per roll/Unit – 500
Length per roll/unit –  21'
Finish – On Press
Application – </t>
  </si>
  <si>
    <t>50727 Cost of Goods Sold</t>
  </si>
  <si>
    <t>Die Cut Part Preform Contact 15mm x 18.6mm</t>
  </si>
  <si>
    <t>2PMH00715 Rev 0</t>
  </si>
  <si>
    <t>Die Cut Part - Preform Contact - 15mm x 18.6mm</t>
  </si>
  <si>
    <t>Number Across Run/Finish –  3/1
Where Finished –  On Press
Length per Roll/Unit – 776'
Core Type –  3" Plastic 0.10" HDPE
Core Width – 38.1 mm
Core Label – Yes
Dividers – Lexmark style
Bag Size – 
Qty. Per Bag – 1 Roll
Box Size –  12 x 12 x 12
Qty. Per Box – 100 M
Weight/box – 13
Box Per Pallet – 
Pallet Type – </t>
  </si>
  <si>
    <t>Rewind Direction Note:
Hold the roll in your LEFT hand and pull tabs across.  The TAB should be on TOP, with a 3' leader.
Parts Out.  12,500 parts (776 ft) per roll.
Rolls not to exceed 12"
For CEBU shipments - MUST USE PLASTIC PALLETS
Include a C of C w/ material Lot #'s.</t>
  </si>
  <si>
    <t>Core  –  3" Plastic 0.10" HDPE
Width – 38.1 mm
Number Across Run/FInish –  3/1
Core Label – Yes
±10% –  Yes
Unwind Dir. Run – See note
Unwind Dir. Finish –  See note
Diecut/Continuous/Sheet –  Die Cut
Partial Case –  Yes
Pieces per roll/Unit – 12,500
Length per roll/unit –  776'
Finish – On Press
Application – </t>
  </si>
  <si>
    <t>Only rewind if needed.  Designed to finish on press.</t>
  </si>
  <si>
    <t>50728 Cost of Goods Sold</t>
  </si>
  <si>
    <t>Sheeted Part CSM fabric with 3M 1524 4.5" x 2.25"</t>
  </si>
  <si>
    <t>8821</t>
  </si>
  <si>
    <t>Sheeted Part - CSM fabric with 3M 1524  - 4.5" x 2.25"</t>
  </si>
  <si>
    <t>Number Across Run/Finish –  2/1
Where Finished –  On Press
Length per Roll/Unit – 20'
Core Type –  N/A
Core Width – N/A
Core Label – No
Dividers – 
Bag Size – 
Qty. Per Bag – 50 Each
Box Size –  14 x 14 x 8
Qty. Per Box – 3,500 Each
Weight/box – 
Box Per Pallet – 
Pallet Type – </t>
  </si>
  <si>
    <t>50 Each per bag.
70 bags (3500 Each) per box.</t>
  </si>
  <si>
    <t>Core  –  N/A
Width – N/A
Number Across Run/FInish –  2/1
Core Label – No
±10% –  Yes
Unwind Dir. Run – N/A
Unwind Dir. Finish –  N/A
Diecut/Continuous/Sheet –  Die Cut Sheet
Partial Case –  Yes
Pieces per roll/Unit – 50
Length per roll/unit –  20'
Finish – On Press
Application – </t>
  </si>
  <si>
    <t>50729 Cost of Goods Sold</t>
  </si>
  <si>
    <t>Fabricated Part 3 mil Polypro film with holes 18mm x 3,200'</t>
  </si>
  <si>
    <t>11101454</t>
  </si>
  <si>
    <t>Fabricated Part - 3 mil Polypro film with holes - 18mm x 3,200'</t>
  </si>
  <si>
    <t>Number Across Run/Finish –  8/1
Where Finished –  On Press
Length per Roll/Unit – 3,200'
Core Type –  3" Plastic 0.375" HDPE
Core Width – 18 mm
Core Label – Yes
Dividers – 
Bag Size – 
Qty. Per Bag – 10 Rolls
Box Size –  Custom-folding
Qty. Per Box – 10 Rolls
Weight/box – 
Box Per Pallet – 
Pallet Type – </t>
  </si>
  <si>
    <t>Corona treatment to be wound out on input rolls and on finished rolls.  *When testing for the treated side; the side that holds the dye the longest is the Corona treated side.
• Material needs to be white.  If it's translucent/clear; See QA.
• Must use hard rigid plastic cores, to prevent cores from crushing.
• SPLICES ARE NOT ALLOWED IN FINISHED ROLLS.</t>
  </si>
  <si>
    <t>Core  –  3" Plastic 0.375" HDPE
Width – 18 mm
Number Across Run/FInish –  8/1
Core Label – Yes
±10% –  Yes
Unwind Dir. Run – See Drawing
Unwind Dir. Finish –  See Drawing
Diecut/Continuous/Sheet –  Continuous Die Cut
Partial Case –  Yes
Pieces per roll/Unit – 1 Roll
Length per roll/unit –  3,200'
Finish – On Press
Application – </t>
  </si>
  <si>
    <t>Use minimum pressure for die set up.
Corona treatment to be wound out on input rolls and on finished rolls. Must use hard rigid plastic cores to prevent cores from crushing.</t>
  </si>
  <si>
    <t>50730 Cost of Goods Sold</t>
  </si>
  <si>
    <t>Laminated Roll CSM Teflon with 13220L See WO</t>
  </si>
  <si>
    <t>13220L</t>
  </si>
  <si>
    <t>Laminated Roll - CSM Teflon with 13220L - See WO</t>
  </si>
  <si>
    <t>Number Across Run/Finish –  1/1
Where Finished –  On Press
Length per Roll/Unit – See WO
Core Type –  3" Paper 3/8" Brown Brown
Core Width – See WO
Core Label – Yes
Dividers – 
Bag Size – 
Qty. Per Bag – 
Box Size –  12 x 12 x 6
Qty. Per Box – 1 Roll
Weight/box – 
Box Per Pallet – 
Pallet Type – </t>
  </si>
  <si>
    <t>Wind with 13220L in
CHECK WORK ORDER FOR SPECIAL PACKAGING INSTRUCTIONS.  IF NOT PRESENT THEN FOLLOW STEPS BELOW.
1)	Flatten original boxes and place between cardboard sheet and cradles on pallet to be returned to Acton with film.
2)	Apply liner centered on film web to side indicated by sticker on each roll and rewind with liner to inside wrap of each roll.
3)	Please ensure all efforts be made to minimize scrap, reduce wrinkles and creasing of PTFE film during application process.
4)	Rewind film on original PVC - 6 “cores, or when 3” cardboard cores are used, please extend length of cores beyond width of film by 1-2” on each side and return PVC  6” cores to Acton.
5)	Apply individual roll lot number stickers provided by Acton with film for traceability. 
6)             Save cores to send back to customer on a separate pallet.  (CSM core, CAT ID 21966, should be put on hold for the order before shipping.)</t>
  </si>
  <si>
    <t>Core  –  3" Paper 3/8" Brown Brown
Width – See WO
Number Across Run/FInish –  1/1
Core Label – Yes
±10% –  Yes
Unwind Dir. Run – 13220L In
Unwind Dir. Finish –  13220L In
Diecut/Continuous/Sheet –  Continuous
Partial Case –  Yes
Pieces per roll/Unit – 1 Roll
Length per roll/unit –  See WO
Finish – On Press
Application – </t>
  </si>
  <si>
    <t>Wind with 13220L in.  CSM may vary in color, thickness, or length.  Please run all CSM.</t>
  </si>
  <si>
    <t>50731 Cost of Goods Sold</t>
  </si>
  <si>
    <t>Sheeted Part Hose Card Plug, Manual 2.74" x 2.74"</t>
  </si>
  <si>
    <t>78-8083-8302-6</t>
  </si>
  <si>
    <t>Sheeted Part - Hose Card Plug, Manual - 2.74" x 2.74"</t>
  </si>
  <si>
    <t>Number Across Run/Finish –  2/1
Where Finished –  On Press
Length per Roll/Unit – 600'
Core Type –  N/A
Core Width – N/A
Core Label – No
Dividers – 12 x 12
Bag Size – 
Qty. Per Bag – 
Box Size –  12 x 12 x 4
Qty. Per Box – 5 M
Weight/box – 
Box Per Pallet – 54
Pallet Type – </t>
  </si>
  <si>
    <t>NOTE: Do not put partial cases in finished goods. Operators/ finishers should try to run full cases, extra parts would be considered waste.  
Production Packaging Specs:
- Heat Treated Pallet
- No material can overhang the pallet.
- Edge protector for each corner of the pallet.
- Pallet must be shrink wrapped.
- Mark pallet as "Do Not Stack".</t>
  </si>
  <si>
    <t>Core  –  N/A
Width – N/A
Number Across Run/FInish –  2/1
Core Label – No
±10% –  Yes
Unwind Dir. Run – N/A
Unwind Dir. Finish –  N/A
Diecut/Continuous/Sheet –  Die Cut Sheet
Partial Case –  No
Pieces per roll/Unit – 5,000
Length per roll/unit –  600'
Finish – On Press
Application – </t>
  </si>
  <si>
    <t>Box labels to be printed daily.  Until dies are retooled for low tack carrier we will need to use the adjustable anvil set to 1.5 mil step down.</t>
  </si>
  <si>
    <t>50732 Cost of Goods Sold</t>
  </si>
  <si>
    <t>Sheeted Part VHB Die cut 66.06mm x 29.85mm</t>
  </si>
  <si>
    <t>mq-vhbcut.dxf</t>
  </si>
  <si>
    <t>Sheeted Part - VHB Die cut - 66.06mm x 29.85mm</t>
  </si>
  <si>
    <t>Number Across Run/Finish –  7/1
Where Finished –  On Press
Length per Roll/Unit – 4'
Core Type –  N/A
Core Width – N/A
Core Label – No
Dividers – 
Bag Size – 
Qty. Per Bag – 100 Each
Box Size –  12 x 12 x 4
Qty. Per Box – 600 Each
Weight/box – 
Box Per Pallet – 
Pallet Type – </t>
  </si>
  <si>
    <t>Core  –  N/A
Width – N/A
Number Across Run/FInish –  7/1
Core Label – No
±10% –  Yes
Unwind Dir. Run – N/A
Unwind Dir. Finish –  N/A
Diecut/Continuous/Sheet –  Sheet
Partial Case –  Yes
Pieces per roll/Unit – 100
Length per roll/unit –  4'
Finish – On Press
Application – </t>
  </si>
  <si>
    <t>50733 Cost of Goods Sold</t>
  </si>
  <si>
    <t>Sheeted Part 3M 414DC 2" x 1"</t>
  </si>
  <si>
    <t>KA10085</t>
  </si>
  <si>
    <t>Sheeted Part - 3M 414DC - 2" x 1"</t>
  </si>
  <si>
    <t>Number Across Run/Finish –  1/1
Where Finished –  On Press
Length per Roll/Unit – 167'
Core Type –  N/A
Core Width – N/A
Core Label – No
Dividers – 
Bag Size – 
Qty. Per Bag – 1 M
Box Size –  12 x 12 x 4
Qty. Per Box – 2 M
Weight/box – 
Box Per Pallet – 
Pallet Type – </t>
  </si>
  <si>
    <t>Package for best fit per order.</t>
  </si>
  <si>
    <t>Core  –  N/A
Width – N/A
Number Across Run/FInish –  1/1
Core Label – No
±10% –  Yes
Unwind Dir. Run – N/A
Unwind Dir. Finish –  N/A
Diecut/Continuous/Sheet –  Sheet
Partial Case –  Yes
Pieces per roll/Unit – 1,000
Length per roll/unit –  167'
Finish – On Press
Application – </t>
  </si>
  <si>
    <t>50734 Cost of Goods Sold</t>
  </si>
  <si>
    <t>Sheeted Part Tesa 62932 3.025" x 2.45"</t>
  </si>
  <si>
    <t>A1510-C</t>
  </si>
  <si>
    <t>Sheeted Part - Tesa 62932 - 3.025" x 2.45"</t>
  </si>
  <si>
    <t>Number Across Run/Finish –  1/1
Where Finished –  On Press
Length per Roll/Unit – N/A
Core Type –  N/A
Core Width – N/A
Core Label – No
Dividers – 
Bag Size – 
Qty. Per Bag – 0.25 M
Box Size –  12 x 12 x 4
Qty. Per Box –  M
Weight/box – 
Box Per Pallet – 
Pallet Type – </t>
  </si>
  <si>
    <t>Core  –  N/A
Width – N/A
Number Across Run/FInish –  1/1
Core Label – No
±10% –  Yes
Unwind Dir. Run – N/A
Unwind Dir. Finish –  N/A
Diecut/Continuous/Sheet –  Die Cut Sheet
Partial Case –  Yes
Pieces per roll/Unit – 250
Length per roll/unit –  N/A
Finish – On Press
Application – </t>
  </si>
  <si>
    <t>50735 Cost of Goods Sold</t>
  </si>
  <si>
    <t>Sheeted Part Poron 4701-40 1.25" x 0.25"</t>
  </si>
  <si>
    <t>J000173</t>
  </si>
  <si>
    <t>Sheeted Part - Poron 4701-40 - 1.25" x 0.25"</t>
  </si>
  <si>
    <t>Number Across Run/Finish –  9/1
Where Finished –  On Press
Length per Roll/Unit – 1 Sheets
Core Type –  N/A
Core Width – N/A
Core Label – No
Dividers – 
Bag Size – 
Qty. Per Bag – 250 Each
Box Size –  16.5 x 16.5 x 8
Qty. Per Box – 250 Each
Weight/box – 
Box Per Pallet – 
Pallet Type – </t>
  </si>
  <si>
    <t>Core  –  N/A
Width – N/A
Number Across Run/FInish –  9/1
Core Label – No
±10% –  Yes
Unwind Dir. Run – N/A
Unwind Dir. Finish –  N/A
Diecut/Continuous/Sheet –  Sheet
Partial Case –  Yes
Pieces per roll/Unit – 250
Length per roll/unit –  1 Sheets
Finish – On Press
Application – </t>
  </si>
  <si>
    <t>50736 Cost of Goods Sold</t>
  </si>
  <si>
    <t>Die Cut Part Printed foam part 1.18" x 0.71"</t>
  </si>
  <si>
    <t>DC08</t>
  </si>
  <si>
    <t>Die Cut Part - Printed foam part - 1.18" x 0.71"</t>
  </si>
  <si>
    <t>Number Across Run/Finish –  3/3
Where Finished –  Web Techniques
Length per Roll/Unit – 46'
Core Type –  3" Paper 1/8" Strouse Brown
Core Width – 3"
Core Label – Yes
Dividers – 
Bag Size – 
Qty. Per Bag – 1.2 M
Box Size –  
Qty. Per Box – 10 M
Weight/box – 
Box Per Pallet – 
Pallet Type – </t>
  </si>
  <si>
    <t>Include a C of C with:
• PO Number
• Part Number
• Adhesive Supplier ~ Part Number ~ Lot
• Foam Supplier ~ Part Number ~ Lot
• Statement certifying that the material meets the specs provided (already on C of C template)</t>
  </si>
  <si>
    <t>Core  –  3" Paper 1/8" Strouse Brown
Width – 3"
Number Across Run/FInish –  3/3
Core Label – Yes
±10% –  Yes
Unwind Dir. Run – N/A
Unwind Dir. Finish –  Parts Out
Diecut/Continuous/Sheet –  Die Cut
Partial Case –  Yes
Pieces per roll/Unit – 1,200
Length per roll/unit –  46'
Finish – Web Techniques
Application – </t>
  </si>
  <si>
    <t>There are 3 different parts on this die.  Make sure you are using the correct one.</t>
  </si>
  <si>
    <t>50737 Cost of Goods Sold</t>
  </si>
  <si>
    <t>Slit Tape Nitto RB200S See WO</t>
  </si>
  <si>
    <t>Slit Tape - Nitto RB200S - See WO</t>
  </si>
  <si>
    <t>Number Across Run/Finish –  ?/1
Where Finished –  On Press
Length per Roll/Unit – 200 m
Core Type –  As Recd.
Core Width – Various
Core Label – Yes
Dividers – 
Bag Size – 
Qty. Per Bag – 
Box Size –  10 x 10 x 10
Qty. Per Box – 
Weight/box – 
Box Per Pallet – 
Pallet Type – </t>
  </si>
  <si>
    <t>Package best fit per order/size</t>
  </si>
  <si>
    <t>Core  –  As Recd.
Width – Various
Number Across Run/FInish –  ?/1
Core Label – Yes
±10% –  Yes
Unwind Dir. Run – N/A
Unwind Dir. Finish –  N/A
Diecut/Continuous/Sheet –  Continuous
Partial Case –  Yes
Pieces per roll/Unit – 1 Roll
Length per roll/unit –  200 m
Finish – On Press
Application – </t>
  </si>
  <si>
    <t>50738 Cost of Goods Sold</t>
  </si>
  <si>
    <t>Sheeted Part 90# C2S tabs with 1/2" BLUE STRIPE 1" x 4"</t>
  </si>
  <si>
    <t>157779</t>
  </si>
  <si>
    <t>Sheeted Part - 90# C2S tabs with 1/2" BLUE STRIPE - 1" x 4"</t>
  </si>
  <si>
    <t>Number Across Run/Finish –  2/1
Where Finished –  On Press
Length per Roll/Unit – 168'
Core Type –  N/A
Core Width – N/A
Core Label – No
Dividers – 
Bag Size – 
Qty. Per Bag – 4 M
Box Size –  6 x 6 x 6
Qty. Per Box – 4 M
Weight/box – 6
Box Per Pallet – 
Pallet Type – </t>
  </si>
  <si>
    <t>Core  –  N/A
Width – N/A
Number Across Run/FInish –  2/1
Core Label – No
±10% –  Ask
Unwind Dir. Run – N/A
Unwind Dir. Finish –  N/A
Diecut/Continuous/Sheet –  Sheet
Partial Case –  Yes
Pieces per roll/Unit – 4,000
Length per roll/unit –  168'
Finish – On Press
Application – </t>
  </si>
  <si>
    <t>50739 Cost of Goods Sold</t>
  </si>
  <si>
    <t>Trial LC Covers 3.967mm x 1.392mm</t>
  </si>
  <si>
    <t>190222</t>
  </si>
  <si>
    <t>Trial - LC Covers - 3.967mm x 1.392mm</t>
  </si>
  <si>
    <t>Number Across Run/Finish –  4/1
Where Finished –  On Press
Length per Roll/Unit – 82'
Core Type –  CSM Spool
Core Width – 6.10 mm
Core Label – Yes
Dividers – 
Bag Size – 
Qty. Per Bag – 4.5 M
Box Size –  16 x 16 x 10-1/4
Qty. Per Box – 14 M
Weight/box – 
Box Per Pallet – 
Pallet Type – </t>
  </si>
  <si>
    <t>Core  –  CSM Spool
Width – 6.10 mm
Number Across Run/FInish –  4/1
Core Label – Yes
±10% –  Yes
Unwind Dir. Run – Parts Out
Unwind Dir. Finish –  Parts Out
Diecut/Continuous/Sheet –  Die Cut
Partial Case –  Yes
Pieces per roll/Unit – 4,500
Length per roll/unit –  82'
Finish – On Press
Application – </t>
  </si>
  <si>
    <t>50740 Cost of Goods Sold</t>
  </si>
  <si>
    <t>022-0249-L Rev A</t>
  </si>
  <si>
    <t>Number Across Run/Finish –  3/1
Where Finished –  Off Press
Length per Roll/Unit – 260'
Core Type –  6" plastic, 0.155" PP
Core Width – 1.5"
Core Label – Yes
Dividers – Special
Bag Size – 
Qty. Per Bag – 1 Roll
Box Size –  16 x 16 x 10-1/4
Qty. Per Box – 10 M
Weight/box – 
Box Per Pallet – 
Pallet Type – </t>
  </si>
  <si>
    <t>Core  –  6" plastic, 0.155" PP
Width – 1.5"
Number Across Run/FInish –  3/1
Core Label – Yes
±10% –  Yes
Unwind Dir. Run – Parts Out
Unwind Dir. Finish –  See Drawing
Diecut/Continuous/Sheet –  Die Cut
Partial Case –  Yes
Pieces per roll/Unit – 2,000
Length per roll/unit –  260'
Finish – Off Press
Application – </t>
  </si>
  <si>
    <t>50741 Cost of Goods Sold</t>
  </si>
  <si>
    <t>022-0249-R Rev A</t>
  </si>
  <si>
    <t>50742 Cost of Goods Sold</t>
  </si>
  <si>
    <t>022-0247-L Rev A</t>
  </si>
  <si>
    <t>50743 Cost of Goods Sold</t>
  </si>
  <si>
    <t>022-0247-R Rev A</t>
  </si>
  <si>
    <t>Number Across Run/Finish –  3/1
Where Finished –  Off Press
Length per Roll/Unit – 260'
Core Type –  6" plastic, 0.155" PP
Core Width – 1.5"
Core Label – Yes
Dividers – Special
Bag Size – 
Qty. Per Bag – 1 Roll
Box Size –  12 x 12 x 4
Qty. Per Box – 10 M
Weight/box – 
Box Per Pallet – 
Pallet Type – </t>
  </si>
  <si>
    <t>50744 Cost of Goods Sold</t>
  </si>
  <si>
    <t>Sheeted Part Pall Versapor Oleophobic filter 1.08" x 0.33"</t>
  </si>
  <si>
    <t>0028 Rev C</t>
  </si>
  <si>
    <t>Sheeted Part - Pall Versapor Oleophobic filter - 1.08" x 0.33"</t>
  </si>
  <si>
    <t>Number Across Run/Finish –  20/1
Where Finished –  On Press
Length per Roll/Unit – 3'
Core Type –  N/A
Core Width – N/A
Core Label – No
Dividers – 
Bag Size – 
Qty. Per Bag – 100 Each
Box Size –  12 x 12 x 4
Qty. Per Box – 500 Each
Weight/box – 
Box Per Pallet – 
Pallet Type – </t>
  </si>
  <si>
    <t>Core  –  N/A
Width – N/A
Number Across Run/FInish –  20/1
Core Label – No
±10% –  Yes
Unwind Dir. Run – N/A
Unwind Dir. Finish –  N/A
Diecut/Continuous/Sheet –  Sheet
Partial Case –  Yes
Pieces per roll/Unit – 500
Length per roll/unit –  3'
Finish – On Press
Application – </t>
  </si>
  <si>
    <t>50745 Cost of Goods Sold</t>
  </si>
  <si>
    <t>Sheeted Part 20 mil PC with 3M 467MP 5.75" X 2.75"</t>
  </si>
  <si>
    <t>8847</t>
  </si>
  <si>
    <t>Sheeted Part - 20 mil PC with 3M 467MP - 5.75" X 2.75"</t>
  </si>
  <si>
    <t>Number Across Run/Finish –  4/1
Where Finished –  On Press
Length per Roll/Unit – 7'
Core Type –  N/A
Core Width – N/A
Core Label – No
Dividers – 
Bag Size – 
Qty. Per Bag – 50 Each
Box Size –  12 x 12 x 10
Qty. Per Box – 100 Each
Weight/box – 
Box Per Pallet – 
Pallet Type – </t>
  </si>
  <si>
    <t>Core  –  N/A
Width – N/A
Number Across Run/FInish –  4/1
Core Label – No
±10% –  Yes
Unwind Dir. Run – N/A
Unwind Dir. Finish –  N/A
Diecut/Continuous/Sheet –  Sheet
Partial Case –  Yes
Pieces per roll/Unit – 50
Length per roll/unit –  7'
Finish – On Press
Application – </t>
  </si>
  <si>
    <t>50746 Cost of Goods Sold</t>
  </si>
  <si>
    <t>Die Cut Part PRV label 0.5" Dia</t>
  </si>
  <si>
    <t>8848</t>
  </si>
  <si>
    <t>Die Cut Part - PRV label - 0.5" Dia</t>
  </si>
  <si>
    <t>Number Across Run/Finish –  4/1
Where Finished –  Web Techniques
Length per Roll/Unit – 521'
Core Type –  3" Paper 1/8" Strouse Brown
Core Width – 0.815"
Core Label – Yes
Dividers – Lexmark Style
Bag Size – 
Qty. Per Bag – 1 Rolls
Box Size –  14 x 14 x 14
Qty. Per Box – 100 M
Weight/box – 
Box Per Pallet – 
Pallet Type – </t>
  </si>
  <si>
    <t>NO Splices in finished rolls.</t>
  </si>
  <si>
    <t>Core  –  3" Paper 1/8" Strouse Brown
Width – 0.815"
Number Across Run/FInish –  4/1
Core Label – Yes
±10% –  Yes
Unwind Dir. Run – 4
Unwind Dir. Finish –  3
Diecut/Continuous/Sheet –  Die Cut
Partial Case –  Yes
Pieces per roll/Unit – 10,000
Length per roll/unit –  521'
Finish – Web Techniques
Application – </t>
  </si>
  <si>
    <t>50747 Cost of Goods Sold</t>
  </si>
  <si>
    <t>Fabricated Part PET with foil and conductive ink 4" x 1,000'</t>
  </si>
  <si>
    <t>8849</t>
  </si>
  <si>
    <t>Fabricated Part - PET with foil and conductive ink - 4" x 1,000'</t>
  </si>
  <si>
    <t>Number Across Run/Finish –  2/1
Where Finished –  On Press
Length per Roll/Unit – 1,000'
Core Type –  3" Paper 3/8" Brown Brown
Core Width – 4"
Core Label – Yes
Dividers – 
Bag Size – 
Qty. Per Bag – 3 Rolls
Box Size –  12 x 12 x 12
Qty. Per Box – 3 M/Ft
Weight/box – 
Box Per Pallet – 
Pallet Type – </t>
  </si>
  <si>
    <t>Core  –  3" Paper 3/8" Brown Brown
Width – 4"
Number Across Run/FInish –  2/1
Core Label – Yes
±10% –  Yes
Unwind Dir. Run – Foil Out
Unwind Dir. Finish –  Foil Out
Diecut/Continuous/Sheet –  Continuous
Partial Case –  Yes
Pieces per roll/Unit – 1 Roll
Length per roll/unit –  1,000'
Finish – On Press
Application – </t>
  </si>
  <si>
    <t>Special conductive ink and engraved tint sleeve - 200 line, 6.75 BCM</t>
  </si>
  <si>
    <t>50748 Cost of Goods Sold</t>
  </si>
  <si>
    <t>Slit Tape 3M 8555 0.25" x 72Yd</t>
  </si>
  <si>
    <t>3M8555MC1/4x72RL</t>
  </si>
  <si>
    <t>Slit Tape - 3M 8555 - 0.25" x 72Yd</t>
  </si>
  <si>
    <t>Number Across Run/Finish –  184/1
Where Finished –  On Press
Length per Roll/Unit – 72 Yd
Core Type –  As Recd.
Core Width – 0.25"
Core Label – No
Dividers – Paper
Bag Size – 
Qty. Per Bag – 24 Rolls
Box Size –  48 x 6 x 6
Qty. Per Box – 72 Rolls
Weight/box – 
Box Per Pallet – 
Pallet Type – </t>
  </si>
  <si>
    <t>Core  –  As Recd.
Width – 0.25"
Number Across Run/FInish –  184/1
Core Label – No
±10% –  Yes
Unwind Dir. Run – Adh. In
Unwind Dir. Finish –  Adh. In
Diecut/Continuous/Sheet –  Continuous
Partial Case –  Yes
Pieces per roll/Unit – 1 Roll
Length per roll/unit –  72 Yd
Finish – On Press
Application – </t>
  </si>
  <si>
    <t>50749 Cost of Goods Sold</t>
  </si>
  <si>
    <t>Sheeted Part CSM with 6035PC 3" x 48"</t>
  </si>
  <si>
    <t>8853</t>
  </si>
  <si>
    <t>Sheeted Part - CSM with 6035PC - 3" x 48"</t>
  </si>
  <si>
    <t>Number Across Run/Finish –  14/1
Where Finished –  On Press
Length per Roll/Unit – 25'
Core Type –  N/A
Core Width – N/A
Core Label – No
Dividers – 
Bag Size – 
Qty. Per Bag – 
Box Size –  48 x 6 x 6
Qty. Per Box – 25 Each
Weight/box – 
Box Per Pallet – 
Pallet Type – </t>
  </si>
  <si>
    <t>Core  –  N/A
Width – N/A
Number Across Run/FInish –  14/1
Core Label – No
±10% –  Yes
Unwind Dir. Run – N/A
Unwind Dir. Finish –  N/A
Diecut/Continuous/Sheet –  Sheet
Partial Case –  Yes
Pieces per roll/Unit – 50
Length per roll/unit –  25'
Finish – On Press
Application – </t>
  </si>
  <si>
    <t xml:space="preserve">Use blade # 01047659 to run this job. 
When setting up for job use Dayton Hydraulic lifter to get rolls on to table (take off the plate if plate is on) When putting rolls onto the lifter use pole to place the roll on the lifter
</t>
  </si>
  <si>
    <t>50750 Cost of Goods Sold</t>
  </si>
  <si>
    <t>Sheeted Part CSM with 6035PC 5" x 48"</t>
  </si>
  <si>
    <t>8854</t>
  </si>
  <si>
    <t>Sheeted Part - CSM with 6035PC - 5" x 48"</t>
  </si>
  <si>
    <t>Number Across Run/Finish –  8/1
Where Finished –  On Press
Length per Roll/Unit – 50'
Core Type –  N/A
Core Width – N/A
Core Label – No
Dividers – 
Bag Size – 
Qty. Per Bag – 
Box Size –  16 x 16 x 10-1/4
Qty. Per Box – 25 Each
Weight/box – 
Box Per Pallet – 
Pallet Type – </t>
  </si>
  <si>
    <t>Core  –  N/A
Width – N/A
Number Across Run/FInish –  8/1
Core Label – No
±10% –  Yes
Unwind Dir. Run – N/A
Unwind Dir. Finish –  N/A
Diecut/Continuous/Sheet –  Sheet
Partial Case –  Yes
Pieces per roll/Unit – 50
Length per roll/unit –  50'
Finish – On Press
Application – </t>
  </si>
  <si>
    <t xml:space="preserve">Use blade # 01047659 to run this job. </t>
  </si>
  <si>
    <t>50751 Cost of Goods Sold</t>
  </si>
  <si>
    <t>Sheeted Part 3M 7070UV 16" x 10"</t>
  </si>
  <si>
    <t>12612099</t>
  </si>
  <si>
    <t>Sheeted Part - 3M 7070UV - 16" x 10"</t>
  </si>
  <si>
    <t>Number Across Run/Finish –  4/1
Where Finished –  On Press
Length per Roll/Unit – 58'
Core Type –  N/A
Core Width – N/A
Core Label – No
Dividers – 
Bag Size – 
Qty. Per Bag – 170 Each
Box Size –  10 x 10 x 10
Qty. Per Box – 170 Each
Weight/box – 
Box Per Pallet – 
Pallet Type – </t>
  </si>
  <si>
    <t>Core  –  N/A
Width – N/A
Number Across Run/FInish –  4/1
Core Label – No
±10% –  No
Unwind Dir. Run – N/A
Unwind Dir. Finish –  N/A
Diecut/Continuous/Sheet –  Sheet
Partial Case –  Yes
Pieces per roll/Unit – 170
Length per roll/unit –  58'
Finish – On Press
Application – </t>
  </si>
  <si>
    <t>50752 Cost of Goods Sold</t>
  </si>
  <si>
    <t>Printed Tape White tape printed Black "Mil-80S-D2" 1/2" x 50Yd</t>
  </si>
  <si>
    <t>Mil-80S-D2</t>
  </si>
  <si>
    <t>Printed Tape - White tape printed Black "Mil-80S-D2" - 1/2" x 50Yd</t>
  </si>
  <si>
    <t>Number Across Run/Finish –  11/1
Where Finished –  On Press
Length per Roll/Unit – 50 Yd
Core Type –  3" Paper 1/8" Strouse Brown
Core Width – 0.5"
Core Label – No
Dividers – Paper
Bag Size – 
Qty. Per Bag – 10 Rolls
Box Size –  12 x 12 x 10
Qty. Per Box – 40 Rolls
Weight/box – 
Box Per Pallet – 
Pallet Type – </t>
  </si>
  <si>
    <t>50753 Cost of Goods Sold</t>
  </si>
  <si>
    <t>Die Cut Part AA 3332-1 foam 0.313" Dia</t>
  </si>
  <si>
    <t>DN002407</t>
  </si>
  <si>
    <t>Die Cut Part - AA 3332-1 foam - 0.313" Dia</t>
  </si>
  <si>
    <t>Number Across Run/Finish –  9/9
Where Finished –  On Press
Length per Roll/Unit – 116'
Core Type –  3" Paper 1/8" Strouse Brown
Core Width – 5"
Core Label – Yes
Dividers – 
Bag Size – 
Qty. Per Bag – 25 M
Box Size –  18 x 18 x 8
Qty. Per Box – 50 M
Weight/box – 
Box Per Pallet – 
Pallet Type – </t>
  </si>
  <si>
    <t>Shelf Life or Expiration Date to be on all labels.
Use label formats: 8861 and 8861 Core</t>
  </si>
  <si>
    <t>Core  –  3" Paper 1/8" Strouse Brown
Width – 5"
Number Across Run/FInish –  9/9
Core Label – Yes
±10% –  Yes
Unwind Dir. Run – Parts Out
Unwind Dir. Finish –  Parts Out
Diecut/Continuous/Sheet –  Die Cut
Partial Case –  Yes
Pieces per roll/Unit – 25,000
Length per roll/unit –  116'
Finish – On Press
Application – </t>
  </si>
  <si>
    <t>50754 Cost of Goods Sold</t>
  </si>
  <si>
    <t>Die Cut Part 3M 5952 Gasket 4.375" x 1.445"</t>
  </si>
  <si>
    <t>TM50</t>
  </si>
  <si>
    <t>Die Cut Part - 3M 5952 Gasket - 4.375" x 1.445"</t>
  </si>
  <si>
    <t>Number Across Run/Finish –  1/1
Where Finished –  On Press
Length per Roll/Unit – 314'
Core Type –  6" Paper 3/8" Brown Brown
Core Width – 3"
Core Label – Yes
Dividers – 
Bag Size – 
Qty. Per Bag – 1 Roll
Box Size –  14 x 14 x 4
Qty. Per Box – 2 M
Weight/box – 
Box Per Pallet – 
Pallet Type – </t>
  </si>
  <si>
    <t>Core  –  6" Paper 3/8" Brown Brown
Width – 3"
Number Across Run/FInish –  1/1
Core Label – Yes
±10% –  Yes
Unwind Dir. Run – Parts Out
Unwind Dir. Finish –  Parts Out
Diecut/Continuous/Sheet –  Die Cut
Partial Case –  Yes
Pieces per roll/Unit – 835
Length per roll/unit –  314'
Finish – On Press
Application – </t>
  </si>
  <si>
    <t>50755 Cost of Goods Sold</t>
  </si>
  <si>
    <t>Slit Roll CSM wound onto CSM Mandrels 17mm x</t>
  </si>
  <si>
    <t>504-0309-000</t>
  </si>
  <si>
    <t>Slit Roll - CSM wound onto CSM Mandrels - 17mm x</t>
  </si>
  <si>
    <t>Number Across Run/Finish –  4/1
Where Finished –  On Press
Length per Roll/Unit – 19,500
Core Type –  CSM Special
Core Width – 17 mm
Core Label – Yes - See note
Dividers – See notes
Bag Size – 
Qty. Per Bag – 4 Rolls
Box Size –  12 x 12 x 12
Qty. Per Box – 4 Rolls
Weight/box – 
Box Per Pallet – 
Pallet Type – </t>
  </si>
  <si>
    <t>Each box gets bag, 5 polyflute dividers, 4 rolls.
Core labels on CSM mandrel to be CAT# 21625 (Must use this label stock as it needs to be removable from the mandrel by the customer.)</t>
  </si>
  <si>
    <t>Core  –  CSM Special
Width – 17 mm
Number Across Run/FInish –  4/1
Core Label – Yes - See note
±10% –  Yes
Unwind Dir. Run – Gold Out
Unwind Dir. Finish –  Gold Out
Diecut/Continuous/Sheet –  Continuous
Partial Case –  Yes
Pieces per roll/Unit – 1 Roll
Length per roll/unit –  19,500
Finish – On Press
Application – </t>
  </si>
  <si>
    <t>Save all trim.  See notes for how to label slit rolls and track slit positions.  Need to save end cuts on rolls A and E from press slitting step.  Tape Guide marked JJ 8866 has been placed in Siat area.</t>
  </si>
  <si>
    <t>50756 Cost of Goods Sold</t>
  </si>
  <si>
    <t>Sheeted Part 3M 4959 1.5" x 2.5"</t>
  </si>
  <si>
    <t>104-0017-002</t>
  </si>
  <si>
    <t>Sheeted Part - 3M 4959 - 1.5" x 2.5"</t>
  </si>
  <si>
    <t>Number Across Run/Finish –  2/1
Where Finished –  On Press
Length per Roll/Unit – 2'
Core Type –  N/A
Core Width – N/A
Core Label – No
Dividers – 
Bag Size – 
Qty. Per Bag – 25 Each
Box Size –  12 x 12 x 13
Qty. Per Box – 350 Each
Weight/box – 
Box Per Pallet – 
Pallet Type – </t>
  </si>
  <si>
    <t>Core  –  N/A
Width – N/A
Number Across Run/FInish –  2/1
Core Label – No
±10% –  Yes
Unwind Dir. Run – N/A
Unwind Dir. Finish –  N/A
Diecut/Continuous/Sheet –  Die Cut Sheet
Partial Case –  Yes
Pieces per roll/Unit – 25
Length per roll/unit –  2'
Finish – On Press
Application – </t>
  </si>
  <si>
    <t>50757 Cost of Goods Sold</t>
  </si>
  <si>
    <t>Die Cut Part Preform, LL Contacts, "Heatwave" ST-1987 8.8mm x 15.82mm</t>
  </si>
  <si>
    <t>2PMH00729</t>
  </si>
  <si>
    <t>Die Cut Part - Preform, LL Contacts, "Heatwave" ST-1987 - 8.8mm x 15.82mm</t>
  </si>
  <si>
    <t>Number Across Run/Finish –  4/1
Where Finished –  Off Press
Length per Roll/Unit – 533'
Core Type –  3" Plastic 0.10" HDPE
Core Width – 37.1 mm
Core Label – Yes
Dividers – Lexmark style
Bag Size – 
Qty. Per Bag – 1 Roll
Box Size –  12 x 12 x 13
Qty. Per Box – 100 M
Weight/box – 
Box Per Pallet – 
Pallet Type – </t>
  </si>
  <si>
    <t>Rewind Direction Note: Hold the roll in your RIGHT hand and unwind roll from the top going to the LEFT.  The TAB should be on the BOTTOM.  Parts Out.  12,500 parts (533 ft) per roll.  Rolls not to exceed 12".
For CEBU shipments --MUST USE PLASTIC PALLETS</t>
  </si>
  <si>
    <t>Core  –  3" Plastic 0.10" HDPE
Width – 37.1 mm
Number Across Run/FInish –  4/1
Core Label – Yes
±10% –  Yes
Unwind Dir. Run – See Drawing
Unwind Dir. Finish –  See Drawing
Diecut/Continuous/Sheet –  Die Cut
Partial Case –  Yes
Pieces per roll/Unit – 12,500
Length per roll/unit –  533'
Finish – Off Press
Application – </t>
  </si>
  <si>
    <t>Use adjustable anvil for outside shape - Wrap #7 anvil with HDS-90 to keep parts from sticking</t>
  </si>
  <si>
    <t>50758 Cost of Goods Sold</t>
  </si>
  <si>
    <t>Die Cut Part Preform, LL Chip, "Heatwave", ST-1987 13.10mm x 12.55mm</t>
  </si>
  <si>
    <t>2PMH00728</t>
  </si>
  <si>
    <t>Die Cut Part - Preform, LL Chip, "Heatwave", ST-1987 - 13.10mm x 12.55mm</t>
  </si>
  <si>
    <t>Number Across Run/Finish –  4/1
Where Finished –  Off Press
Length per Roll/Unit – 704'
Core Type –  3" Plastic 0.10" HDPE
Core Width – .997"
Core Label – Yes
Dividers – Lexmark style
Bag Size – 
Qty. Per Bag – 1 Rolls
Box Size –  12 x 12 x 10
Qty. Per Box – 3 
Weight/box – 
Box Per Pallet – 
Pallet Type – </t>
  </si>
  <si>
    <t>Rewind Direction Note: Hold the roll in your RIGHT hand and unwind roll from the top going to the LEFT.  The TAB should be on the BOTTOM.  Parts Out.  12,500 parts (704 ft) per roll.  Rolls not to exceed 12".
For CEBU shipments --MUST USE PLASTIC PALLETS</t>
  </si>
  <si>
    <t>Core  –  3" Plastic 0.10" HDPE
Width – .997"
Number Across Run/FInish –  4/1
Core Label – Yes
±10% –  Yes
Unwind Dir. Run – See Drawing
Unwind Dir. Finish –  See Drawing
Diecut/Continuous/Sheet –  Die Cut
Partial Case –  Yes
Pieces per roll/Unit – 12,500
Length per roll/unit –  704'
Finish – Off Press
Application – </t>
  </si>
  <si>
    <t>Adjustable anvil for outside shape - DA 856</t>
  </si>
  <si>
    <t>50759 Cost of Goods Sold</t>
  </si>
  <si>
    <t>Die Cut Part Protective film with tab 40mm x 48mm</t>
  </si>
  <si>
    <t>ASM-121906-Outer Film</t>
  </si>
  <si>
    <t>Die Cut Part - Protective film with tab - 40mm x 48mm</t>
  </si>
  <si>
    <t>Number Across Run/Finish –  1/1
Where Finished –  On Press
Length per Roll/Unit – 153'
Core Type –  3" Paper 1/8" Strouse Brown
Core Width – 3"
Core Label – Yes
Dividers – 
Bag Size – 
Qty. Per Bag – 3 M
Box Size –  12 x 12 x 10
Qty. Per Box – 12 M
Weight/box – 
Box Per Pallet – 
Pallet Type – </t>
  </si>
  <si>
    <t>Core  –  3" Paper 1/8" Strouse Brown
Width – 3"
Number Across Run/FInish –  1/1
Core Label – Yes
±10% –  Yes
Unwind Dir. Run – Parts Out
Unwind Dir. Finish –  Parts Out
Diecut/Continuous/Sheet –  Die Cut
Partial Case –  Yes
Pieces per roll/Unit – 1,000
Length per roll/unit –  153'
Finish – On Press
Application – </t>
  </si>
  <si>
    <t>50760 Cost of Goods Sold</t>
  </si>
  <si>
    <t>Die Cut Part Protective film with tab and stripe 40mm x 48mm</t>
  </si>
  <si>
    <t>ASM-121906-Inner Film</t>
  </si>
  <si>
    <t>Die Cut Part - Protective film with tab and stripe - 40mm x 48mm</t>
  </si>
  <si>
    <t>Number Across Run/Finish –  1/1
Where Finished –  On Press
Length per Roll/Unit – 153'
Core Type –  3" Paper 1/8" Strouse Brown
Core Width – 5"
Core Label – Yes
Dividers – 
Bag Size – 
Qty. Per Bag – 2 M
Box Size –  16 x 16 x 10-1/4
Qty. Per Box – 8 M
Weight/box – 
Box Per Pallet – 
Pallet Type – </t>
  </si>
  <si>
    <t>Core  –  3" Paper 1/8" Strouse Brown
Width – 5"
Number Across Run/FInish –  1/1
Core Label – Yes
±10% –  Yes
Unwind Dir. Run – Parts Out
Unwind Dir. Finish –  Parts Out
Diecut/Continuous/Sheet –  Die Cut
Partial Case –  Yes
Pieces per roll/Unit – 1,000
Length per roll/unit –  153'
Finish – On Press
Application – </t>
  </si>
  <si>
    <t>50761 Cost of Goods Sold</t>
  </si>
  <si>
    <t>Butt Cut Part 3M 4466W 2" x 2"</t>
  </si>
  <si>
    <t>20071176</t>
  </si>
  <si>
    <t>Butt Cut Part - 3M 4466W - 2" x 2"</t>
  </si>
  <si>
    <t>Number Across Run/Finish –  1/1
Where Finished –  On Press
Length per Roll/Unit – 130'
Core Type –  3" Paper 1/8" White Brown
Core Width – 2.5"
Core Label – Yes
Dividers – 
Bag Size – 
Qty. Per Bag – 775 Each
Box Size –  10 x 10 x 10 3/8
Qty. Per Box – 4 Rolls
Weight/box – 
Box Per Pallet – 
Pallet Type – </t>
  </si>
  <si>
    <t>Core  –  3" Paper 1/8" White Brown
Width – 2.5"
Number Across Run/FInish –  1/1
Core Label – Yes
±10% –  Yes
Unwind Dir. Run – Parts Out
Unwind Dir. Finish –  Parts Out
Diecut/Continuous/Sheet –  Die Cut
Partial Case –  Yes
Pieces per roll/Unit – 775
Length per roll/unit –  130'
Finish – On Press
Application – </t>
  </si>
  <si>
    <t>50762 Cost of Goods Sold</t>
  </si>
  <si>
    <t>Fabricated Part Windset Farms 2LB Symphony Tomato Ensemble 216mm x 265mm x 2,250'</t>
  </si>
  <si>
    <t>WNDST002LBSYMTPSLWWENNA</t>
  </si>
  <si>
    <t>Fabricated Part - Windset Farms 2LB Symphony Tomato Ensemble - 216mm x 265mm x 2,250'</t>
  </si>
  <si>
    <t>Number Across Run/Finish –  1/1
Where Finished –  On Press
Length per Roll/Unit – 2,250'
Core Type –  3" Paper 3/8" Brown Brown
Core Width – 265 mm
Core Label – Yes
Dividers – 
Bag Size – 
Qty. Per Bag – 1 Rolls
Box Size –  10 x 10 x 10 3/8
Qty. Per Box – 1 Rolls
Weight/box – 
Box Per Pallet – 
Pallet Type – </t>
  </si>
  <si>
    <t>Include a "Manufacturer's C of C" 
Label quantity to be written as impressions per roll.  
1 roll = 2,250 ft = 3,175 impressions
Please use thick wall cores.
Rewind direction to be #2.  See Drawing!</t>
  </si>
  <si>
    <t>Core  –  3" Paper 3/8" Brown Brown
Width – 265 mm
Number Across Run/FInish –  1/1
Core Label – Yes
±10% –  Yes
Unwind Dir. Run – 2
Unwind Dir. Finish –  2
Diecut/Continuous/Sheet –  Continuous
Partial Case –  Yes
Pieces per roll/Unit – 1 Roll
Length per roll/unit –  2,250'
Finish – On Press
Application – </t>
  </si>
  <si>
    <t xml:space="preserve">Only 2 splices per roll.  Use a colored tape for splices. Make a nice butt splice in register with colored tape top and bottom. 
</t>
  </si>
  <si>
    <t>50763 Cost of Goods Sold</t>
  </si>
  <si>
    <t>Fabricated Part Windset Farms 2LB Concerto Tomato Bili 216mm x 265mm x 2,250'</t>
  </si>
  <si>
    <t>WNDST002LBGTMTPSLWWEFCS</t>
  </si>
  <si>
    <t>Fabricated Part - Windset Farms 2LB Concerto Tomato Bili - 216mm x 265mm x 2,250'</t>
  </si>
  <si>
    <t>50764 Cost of Goods Sold</t>
  </si>
  <si>
    <t>Fabricated Part Windset Farms 2LB Organic Grape Tomato 216mm x 265mm x 2,250'</t>
  </si>
  <si>
    <t>WNDST002LBOGGTMTPSLMXCSV2</t>
  </si>
  <si>
    <t>Fabricated Part - Windset Farms 2LB Organic Grape Tomato - 216mm x 265mm x 2,250'</t>
  </si>
  <si>
    <t>Number Across Run/Finish –  1/1
Where Finished –  On Press
Length per Roll/Unit – 2,250'
Core Type –  3" Paper 3/8" Brown Brown
Core Width – 265 mm
Core Label – Yes
Dividers – 
Bag Size – 
Qty. Per Bag – 1 Rolls
Box Size –  10 x 10 x 10
Qty. Per Box – 1 Rolls
Weight/box – 
Box Per Pallet – 
Pallet Type – </t>
  </si>
  <si>
    <t>50765 Cost of Goods Sold</t>
  </si>
  <si>
    <t>Butt Cut Part Adh. mounting tape 38mm x 46mm with 3mm tab</t>
  </si>
  <si>
    <t>1553-06-10-0 REV F</t>
  </si>
  <si>
    <t>Butt Cut Part - Adh. mounting tape - 38mm x 46mm with 3mm tab</t>
  </si>
  <si>
    <t>Number Across Run/Finish –  1/1
Where Finished –  On Press
Length per Roll/Unit – 210 Yd
Core Type –  3" Paper 1/8" Strouse Brown
Core Width – 63 mm
Core Label – Yes
Dividers – See Note
Bag Size – 
Qty. Per Bag – 5 M
Box Size –  10 x 10 x 10
Qty. Per Box – 25 M
Weight/box – 
Box Per Pallet – 
Pallet Type – </t>
  </si>
  <si>
    <t>Hold roll in your RIGHT hand and pull to the LEFT; the TAB should be on the TOP EDGE.  Parts Out.
Place rolls between 2 Polyflute inserts (to prevent rolls from sliding), then place in a 10 x 8 x 24 bag, and twist tie the bag closed as tight as possible.
Maximum roll O.D. 12" and splice free.</t>
  </si>
  <si>
    <t>Core  –  3" Paper 1/8" Strouse Brown
Width – 63 mm
Number Across Run/FInish –  1/1
Core Label – Yes
±10% –  Yes
Unwind Dir. Run – See Note
Unwind Dir. Finish –  See Note
Diecut/Continuous/Sheet –  Die Cut
Partial Case –  Yes
Pieces per roll/Unit – 5,000
Length per roll/unit –  210 Yd
Finish – On Press
Application – </t>
  </si>
  <si>
    <t>50766 Cost of Goods Sold</t>
  </si>
  <si>
    <t>Perfed Tape 25A29 perfed every 16.5" 1.5" x 1,000'</t>
  </si>
  <si>
    <t>Perfed Tape - 25A29 perfed every 16.5" - 1.5" x 1,000'</t>
  </si>
  <si>
    <t>Number Across Run/Finish –  6/1
Where Finished –  On Press
Length per Roll/Unit – 1,000'
Core Type –  3" Paper 1/8" White Brown
Core Width – See JT
Core Label – Yes
Dividers – 
Bag Size – 
Qty. Per Bag – 
Box Size –  8 x 8 x 8
Qty. Per Box – 6 Rolls
Weight/box – 
Box Per Pallet – 
Pallet Type – </t>
  </si>
  <si>
    <t>pcs per roll for calc states 1000 for system calculations as it is sold by the roll, but the roll size is correctly identified at 725 parts per roll for a 1000' roll in the work order description.
"NO STROUSE MARKINGS" ALLOWED ON ANYTHING
MUST USE PLAIN CORES</t>
  </si>
  <si>
    <t>Core  –  3" Paper 1/8" White Brown
Width – See JT
Number Across Run/FInish –  6/1
Core Label – Yes
±10% –  Yes
Unwind Dir. Run – Adh. In
Unwind Dir. Finish –  Adh. In
Diecut/Continuous/Sheet –  Continuous
Partial Case –  Yes
Pieces per roll/Unit – 1 Roll
Length per roll/unit –  1,000'
Finish – On Press
Application – </t>
  </si>
  <si>
    <t>50767 Cost of Goods Sold</t>
  </si>
  <si>
    <t>Die Cut Part 3M 401+ 1.62" x 1.28"</t>
  </si>
  <si>
    <t>8888</t>
  </si>
  <si>
    <t>Die Cut Part - 3M 401+ - 1.62" x 1.28"</t>
  </si>
  <si>
    <t>Number Across Run/Finish –  1/1
Where Finished –  On Press
Length per Roll/Unit – 306'
Core Type –  3" Paper 1/8" Strouse Brown
Core Width – 2"
Core Label – Yes
Dividers – 
Bag Size – 
Qty. Per Bag – 
Box Size –  12 x 12 x 10
Qty. Per Box – 2 M
Weight/box – 
Box Per Pallet – 
Pallet Type – </t>
  </si>
  <si>
    <t>Core  –  3" Paper 1/8" Strouse Brown
Width – 2"
Number Across Run/FInish –  1/1
Core Label – Yes
±10% –  Yes
Unwind Dir. Run – Parts Out
Unwind Dir. Finish –  Parts Out
Diecut/Continuous/Sheet –  Die Cut
Partial Case –  Yes
Pieces per roll/Unit – 2,000
Length per roll/unit –  306'
Finish – On Press
Application – </t>
  </si>
  <si>
    <t>50768 Cost of Goods Sold</t>
  </si>
  <si>
    <t>Sheeted Part 3M 1522 1.5" x 1.25"</t>
  </si>
  <si>
    <t>Breast Form Store Print</t>
  </si>
  <si>
    <t>Sheeted Part - 3M 1522 - 1.5" x 1.25"</t>
  </si>
  <si>
    <t>Number Across Run/Finish –  1/1
Where Finished –  On Press
Length per Roll/Unit – 198'
Core Type –  N/A
Core Width – N/A
Core Label – Yes - on bag
Dividers – N/A
Bag Size – 
Qty. Per Bag – 1.5 M
Box Size –  12 x 12 x 10
Qty. Per Box – 9 M
Weight/box – 
Box Per Pallet – 
Pallet Type – </t>
  </si>
  <si>
    <t>Heat seal 300 parts (100 sheets ) and then package 1,500 parts (500 sheets) per bag and 9,000 parts (3,000 sheets) per box</t>
  </si>
  <si>
    <t>Core  –  N/A
Width – N/A
Number Across Run/FInish –  1/1
Core Label – Yes - on bag
±10% –  Yes
Unwind Dir. Run – N/A
Unwind Dir. Finish –  N/A
Diecut/Continuous/Sheet –  Die Cut Sheet
Partial Case –  Yes
Pieces per roll/Unit – 1,500
Length per roll/unit –  198'
Finish – On Press
Application – </t>
  </si>
  <si>
    <t>Part is sold by the part.  3 parts per sheet.  1,000 sheets = 3,000 parts.</t>
  </si>
  <si>
    <t>50769 Cost of Goods Sold</t>
  </si>
  <si>
    <t>Prodigal Son Ventures Print</t>
  </si>
  <si>
    <t>Number Across Run/Finish –  1/1
Where Finished –  On Press
Length per Roll/Unit – 198'
Core Type –  N/A
Core Width – N/A
Core Label – Yes - on bag
Dividers – N/A
Bag Size – 
Qty. Per Bag – 1.5 M
Box Size –  12 x 12 x 4
Qty. Per Box – 9 M
Weight/box – 
Box Per Pallet – 
Pallet Type – </t>
  </si>
  <si>
    <t>50770 Cost of Goods Sold</t>
  </si>
  <si>
    <t>Die Cut Part Cu foil with Conductive Adh. 0.50" x 0.10"</t>
  </si>
  <si>
    <t>Die Cut Part - Cu foil with Conductive Adh. - 0.50" x 0.10"</t>
  </si>
  <si>
    <t>Number Across Run/Finish –  1/1
Where Finished –  On Press
Length per Roll/Unit – 112'
Core Type –  CSM Spool
Core Width – 0.22"
Core Label – Yes
Dividers – 
Bag Size – 
Qty. Per Bag – 2.4 M
Box Size –  10 x 10 x 10
Qty. Per Box – 24 Rolls
Weight/box – 
Box Per Pallet – 
Pallet Type – </t>
  </si>
  <si>
    <t>Include a C of C, and Material Certs for the Copper and Adhesive.
5 pieces in zip lock bag from roll to be attached to outside of each roll; with a core label.
(2,010 in Pieces Per Unit = 2,400 pieces per roll + 5 retain pieces per roll + 5 pieces for the outside of each roll).
CS material to be locked in cage unless at press.  All waste and matrix to be saved and returned to Deringer-Ney</t>
  </si>
  <si>
    <t>Core  –  CSM Spool
Width – 0.22"
Number Across Run/FInish –  1/1
Core Label – Yes
±10% –  Yes
Unwind Dir. Run – Parts In
Unwind Dir. Finish –  Parts In
Diecut/Continuous/Sheet –  Die Cut
Partial Case –  Yes
Pieces per roll/Unit – 2,410
Length per roll/unit –  112'
Finish – On Press
Application – </t>
  </si>
  <si>
    <t>CS material to be locked in cage unless at press.  
All waste and waste matrix to be saved and returned to Deringer-Ney with each order.
Wear gloves when handling 9707 material.</t>
  </si>
  <si>
    <t>50771 Cost of Goods Sold</t>
  </si>
  <si>
    <t>Die Cut Part d/c Adh. patch 1.36" x 1.48" with tab</t>
  </si>
  <si>
    <t>8897</t>
  </si>
  <si>
    <t>Die Cut Part - d/c Adh. patch - 1.36" x 1.48" with tab</t>
  </si>
  <si>
    <t>Number Across Run/Finish –  3/3
Where Finished –  On Press
Length per Roll/Unit – 197'
Core Type –  3" Paper 1/8" Strouse Brown
Core Width – 5.64"
Core Label – Yes
Dividers – 
Bag Size – 
Qty. Per Bag – 1 M
Box Size –  16 x 16 x 10-1/4
Qty. Per Box – 1 M
Weight/box – 
Box Per Pallet – 
Pallet Type – </t>
  </si>
  <si>
    <t>Core  –  3" Paper 1/8" Strouse Brown
Width – 5.64"
Number Across Run/FInish –  3/3
Core Label – Yes
±10% –  Yes
Unwind Dir. Run – Parts Out
Unwind Dir. Finish –  Parts Out
Diecut/Continuous/Sheet –  Die Cut
Partial Case –  Yes
Pieces per roll/Unit – 5,000
Length per roll/unit –  197'
Finish – On Press
Application – </t>
  </si>
  <si>
    <t>50772 Cost of Goods Sold</t>
  </si>
  <si>
    <t>Die Cut Part Left Hand diffuser 23.5mm x 22.5mm</t>
  </si>
  <si>
    <t>022-0252-L</t>
  </si>
  <si>
    <t>Die Cut Part - Left Hand diffuser - 23.5mm x 22.5mm</t>
  </si>
  <si>
    <t>Number Across Run/Finish –  3/1
Where Finished –  Off Press
Length per Roll/Unit – 254'
Core Type –  6" plastic, 0.155" PP
Core Width – 1.5"
Core Label – Yes
Dividers – Special
Bag Size – 
Qty. Per Bag – 1 Roll
Box Size –  16 x 16 x 10-1/4
Qty. Per Box – 13 M
Weight/box – 
Box Per Pallet – 
Pallet Type – </t>
  </si>
  <si>
    <t>Core  –  6" plastic, 0.155" PP
Width – 1.5"
Number Across Run/FInish –  3/1
Core Label – Yes
±10% –  Yes
Unwind Dir. Run – Parts Out
Unwind Dir. Finish –  See Drawing
Diecut/Continuous/Sheet –  Die Cut
Partial Case –  Yes
Pieces per roll/Unit – 2,600
Length per roll/unit –  254'
Finish – Off Press
Application – </t>
  </si>
  <si>
    <t>50773 Cost of Goods Sold</t>
  </si>
  <si>
    <t>Die Cut Part Right Hand diffuser 23.5mm x 22.5mm</t>
  </si>
  <si>
    <t>022-0252-R</t>
  </si>
  <si>
    <t>Die Cut Part - Right Hand diffuser - 23.5mm x 22.5mm</t>
  </si>
  <si>
    <t>Number Across Run/Finish –  3/1
Where Finished –  Off Press
Length per Roll/Unit – 254'
Core Type –  6" plastic, 0.155" PP
Core Width – 1.5"
Core Label – Yes
Dividers – Special
Bag Size – 
Qty. Per Bag – 1 Roll
Box Size –  12 x 12 x 4
Qty. Per Box – 13 M
Weight/box – 
Box Per Pallet – 
Pallet Type – </t>
  </si>
  <si>
    <t>50774 Cost of Goods Sold</t>
  </si>
  <si>
    <t>Die Cut Parts 3M 5952 1" Dia</t>
  </si>
  <si>
    <t>8901</t>
  </si>
  <si>
    <t>Die Cut Parts - 3M 5952 - 1" Dia</t>
  </si>
  <si>
    <t>Number Across Run/Finish –  1/1
Where Finished –  On Press
Length per Roll/Unit – 47'
Core Type –  3" Paper 1/8" Strouse Brown
Core Width – 1.50"
Core Label – Yes
Dividers – 
Bag Size – 
Qty. Per Bag – 1 Rolls
Box Size –  10 x 10 x 10 3/8
Qty. Per Box – 1 M
Weight/box – 
Box Per Pallet – 
Pallet Type – </t>
  </si>
  <si>
    <t>Core  –  3" Paper 1/8" Strouse Brown
Width – 1.50"
Number Across Run/FInish –  1/1
Core Label – Yes
±10% –  Yes
Unwind Dir. Run – Parts Out
Unwind Dir. Finish –  Parts Out
Diecut/Continuous/Sheet –  Die Cut
Partial Case –  Yes
Pieces per roll/Unit – 500
Length per roll/unit –  47'
Finish – On Press
Application – </t>
  </si>
  <si>
    <t>50775 Cost of Goods Sold</t>
  </si>
  <si>
    <t>Fabricated Part Windset Farms 2LB Symphony Tomato Fair Trade 216mm x 265mm x 2,250'</t>
  </si>
  <si>
    <t>WNDST002LBSYMTPSLWWENFT</t>
  </si>
  <si>
    <t>Fabricated Part - Windset Farms 2LB Symphony Tomato Fair Trade - 216mm x 265mm x 2,250'</t>
  </si>
  <si>
    <t>50776 Cost of Goods Sold</t>
  </si>
  <si>
    <t>Fabricated Part Windset Farms 681g Pres Chc Axiany Cherry Tom 216mm x 265mm x 2,250'</t>
  </si>
  <si>
    <t>PRZCH0681GCYMTPSLWWEFAX</t>
  </si>
  <si>
    <t>Fabricated Part - Windset Farms 681g Pres Chc Axiany Cherry Tom - 216mm x 265mm x 2,250'</t>
  </si>
  <si>
    <t>Include a "Manufacturer's C of C" 
Label quantity to be written as impressions per roll.  
1 roll = 2,250 ft = 3,175 impressions
Please use thick wall cores.
Rewind direction to be #4.  See Drawing!</t>
  </si>
  <si>
    <t>Core  –  3" Paper 3/8" Brown Brown
Width – 265 mm
Number Across Run/FInish –  1/1
Core Label – Yes
±10% –  Yes
Unwind Dir. Run – 4
Unwind Dir. Finish –  4
Diecut/Continuous/Sheet –  Continuous
Partial Case –  Yes
Pieces per roll/Unit – 1 Roll
Length per roll/unit –  2,250'
Finish – On Press
Application – </t>
  </si>
  <si>
    <t>50777 Cost of Goods Sold</t>
  </si>
  <si>
    <t>Windset Farms 1.5LB Concerto Grape Tomato Bili. 216mm x 265mm x 2,250'</t>
  </si>
  <si>
    <t>WNDST015LBGTMTPSLWWEFCS</t>
  </si>
  <si>
    <t>Windset Farms - 1.5LB Concerto Grape Tomato Bili. - 216mm x 265mm x 2,250'</t>
  </si>
  <si>
    <t>Core  –  3" Paper 3/8" Brown Brown
Width – 265 mm
Number Across Run/FInish –  1/1
Core Label – Yes
±10% –  Yes
Unwind Dir. Run – 2
Unwind Dir. Finish –  2
Diecut/Continuous/Sheet –  Continuous
Partial Case –  Yes
Pieces per roll/Unit – 3,175
Length per roll/unit –  2,250'
Finish – On Press
Application – </t>
  </si>
  <si>
    <t>50778 Cost of Goods Sold</t>
  </si>
  <si>
    <t>Fabricated Part WF 1.5LB Symphony Windset TopSeal 216mm x 265mm x 2,250'</t>
  </si>
  <si>
    <t>WNDST015LBSYMTPSLWWEFV2</t>
  </si>
  <si>
    <t>Fabricated Part - WF 1.5LB Symphony Windset TopSeal - 216mm x 265mm x 2,250'</t>
  </si>
  <si>
    <t xml:space="preserve">Only 2 splices per roll.  Use a colored tape for splices. Make a nice butt splice in register with colored tape top and bottom. </t>
  </si>
  <si>
    <t>50779 Cost of Goods Sold</t>
  </si>
  <si>
    <t>Fabricated Part WF 681g Pres Chc Variety Pack Tom 216mm x 265mm x 2,250'</t>
  </si>
  <si>
    <t>PRZCH0681GTOMTPSLWWVRPK</t>
  </si>
  <si>
    <t>Fabricated Part - WF 681g Pres Chc Variety Pack Tom - 216mm x 265mm x 2,250'</t>
  </si>
  <si>
    <t>Number Across Run/Finish –  1/1
Where Finished –  On Press
Length per Roll/Unit – 2,250'
Core Type –  3" Paper 3/8" Brown Brown
Core Width – 265 mm
Core Label – Yes
Dividers – 
Bag Size – 
Qty. Per Bag – 1 Rolls
Box Size –  12 x 12 x 12
Qty. Per Box – 1 Rolls
Weight/box – 
Box Per Pallet – 
Pallet Type – </t>
  </si>
  <si>
    <t>50780 Cost of Goods Sold</t>
  </si>
  <si>
    <t>Sheeted Part Eversense Adh. Patches, 30-pack White 2.34" x 2.84"</t>
  </si>
  <si>
    <t>FG-6402-01-300</t>
  </si>
  <si>
    <t>Sheeted Part - Eversense Adh. Patches, 30-pack White - 2.34" x 2.84"</t>
  </si>
  <si>
    <t>Number Across Run/Finish –  1/1
Where Finished –  Off Press
Length per Roll/Unit – 7'
Core Type –  N/A
Core Width – N/A
Core Label – Yes - on bag
Dividers – 
Bag Size – 
Qty. Per Bag – 30 Each
Box Size –  16 x 16 x 10-1/4
Qty. Per Box – 9 M
Weight/box – 
Box Per Pallet – 
Pallet Type – </t>
  </si>
  <si>
    <t>Use label format "8909"
Bulk pack 300 bags per carton
Mfg date on label to be Strouse date of conversion  YYYY-MM-DD
Expiration to be 3 years from Strouse date of conversion  YYYY-MM-DD
C of C needed with:	• Part # w/ current Rev. level	  • Lot # (Strouse W/O; entered as xxxxxx)
				• DOM &amp; Exp. Date                         	  • PO #
				• White patch Lot # - (Ex. FG-6402-01-300 Lot: xxxxxx)
Also, E-mail CS a "PDF" MFG. Cert for each lot of material used: 2476P, 2477P.</t>
  </si>
  <si>
    <t>Core  –  N/A
Width – N/A
Number Across Run/FInish –  1/1
Core Label – Yes - on bag
±10% –  Yes
Unwind Dir. Run – N/A
Unwind Dir. Finish –  N/A
Diecut/Continuous/Sheet –  Sheet
Partial Case –  Yes
Pieces per roll/Unit – 30
Length per roll/unit –  7'
Finish – Off Press
Application – </t>
  </si>
  <si>
    <t>50781 Cost of Goods Sold</t>
  </si>
  <si>
    <t>Sheeted Part Eversense Adh. Patches, 3 30-packs White &amp; 1 10-pack Clear (100PK) 2.34" x 2.84"</t>
  </si>
  <si>
    <t>FG-6403-01-300</t>
  </si>
  <si>
    <t>Sheeted Part - Eversense Adh. Patches, 3 30-packs White &amp; 1 10-pack Clear (100PK) - 2.34" x 2.84"</t>
  </si>
  <si>
    <t>Number Across Run/Finish –  1/1
Where Finished –  Off Press
Length per Roll/Unit – 
Core Type –  N/A
Core Width – N/A
Core Label – Yes - on bag
Dividers – 16 x 16 See note
Bag Size – 
Qty. Per Bag – 
Box Size –  11 x 11 x 14
Qty. Per Box – See note 
Weight/box – 
Box Per Pallet – 
Pallet Type – </t>
  </si>
  <si>
    <t>Use label format "8910"
C of C needed with:	• Part # w/ current Rev. level	  • Lot # (Strouse W/O; entered as xxxxxx)	• DOM &amp; Exp. Date                         			• PO #		• White and Clear patch Lot #'s - 	(Ex. FG-6402-01-300 Lot: xxxxxx)
										(Ex. FG-6400-01-300 Lot: xxxxxx)                                                                                                                                
Also, E-mail CS a "PDF" MFG. Cert for each lot of material used: 1510, 2476P, 2477P.
• (3) 30-packs of White patches to a Kit.
• (1) 10-pack of Clear patches to a Kit.
• (80) 100-pack Kits will be packaged in a 16" x 16" x 10 1/4" carton and labeled.  Each layer in carton will contain 8 Kits (x 10 layers).
• MAX. 3 layers high (4 per layer; 12 brown boxes total per pallet).
• Use a 16" x 16" brown paper divider (coated 2 sides) on Top/Bottom of box, and between each layer.
Mfg date on label to be Strouse date of conversion  YYYY-MM-DD
Expiration to be 3 years from Strouse date of conversion  YYYY-MM-DD
***One expiration date per Lot # (Strouse W/O #).</t>
  </si>
  <si>
    <t>Core  –  N/A
Width – N/A
Number Across Run/FInish –  1/1
Core Label – Yes - on bag
±10% –  Yes
Unwind Dir. Run – N/A
Unwind Dir. Finish –  N/A
Diecut/Continuous/Sheet –  Sheet
Partial Case –  Yes
Pieces per roll/Unit – 100
Length per roll/unit –  
Finish – Off Press
Application – </t>
  </si>
  <si>
    <t>50782 Cost of Goods Sold</t>
  </si>
  <si>
    <t>Slit Tape 3M 8815 12mm x 36Yd</t>
  </si>
  <si>
    <t>10212-04217</t>
  </si>
  <si>
    <t>Slit Tape - 3M 8815 - 12mm x 36Yd</t>
  </si>
  <si>
    <t>Number Across Run/Finish –  14/1
Where Finished –  On Press
Length per Roll/Unit – 108'
Core Type –  6" plastic, 0.155" PP
Core Width – 12 mm
Core Label – No
Dividers – Paper
Bag Size – 
Qty. Per Bag – 14 Rolls
Box Size –  12 x 12 x 12
Qty. Per Box – 28 Rolls
Weight/box – 
Box Per Pallet – 
Pallet Type – </t>
  </si>
  <si>
    <t>Core  –  6" plastic, 0.155" PP
Width – 12 mm
Number Across Run/FInish –  14/1
Core Label – No
±10% –  Yes
Unwind Dir. Run – N/A
Unwind Dir. Finish –  N/A
Diecut/Continuous/Sheet –  Continuous
Partial Case –  Yes
Pieces per roll/Unit – 1 Roll
Length per roll/unit –  108'
Finish – On Press
Application – </t>
  </si>
  <si>
    <t>50783 Cost of Goods Sold</t>
  </si>
  <si>
    <t>Die Cut Part Cartridge Manifold Cover 99.33mm x 83.69mm</t>
  </si>
  <si>
    <t>DMP-238004-0003</t>
  </si>
  <si>
    <t>Die Cut Part - Cartridge Manifold Cover - 99.33mm x 83.69mm</t>
  </si>
  <si>
    <t>Number Across Run/Finish –  1/1
Where Finished –  On Press
Length per Roll/Unit – 176'
Core Type –  6" plastic, 0.155" PP
Core Width – 91 mm
Core Label – Yes
Dividers – 
Bag Size – 
Qty. Per Bag – 1 Roll
Box Size –  12 x 12 x 12
Qty. Per Box – 2 M
Weight/box – 
Box Per Pallet – 
Pallet Type – </t>
  </si>
  <si>
    <t>Core  –  6" plastic, 0.155" PP
Width – 91 mm
Number Across Run/FInish –  1/1
Core Label – Yes
±10% –  Yes
Unwind Dir. Run – See Drawing
Unwind Dir. Finish –  See Drawing
Diecut/Continuous/Sheet –  Die Cut
Partial Case –  Yes
Pieces per roll/Unit – 500
Length per roll/unit –  176'
Finish – On Press
Application – </t>
  </si>
  <si>
    <t>50784 Cost of Goods Sold</t>
  </si>
  <si>
    <t>Die Cut Part Cartridge Film 159.3mm x 91.9mm</t>
  </si>
  <si>
    <t>DMP-238004-0002</t>
  </si>
  <si>
    <t>Die Cut Part - Cartridge Film - 159.3mm x 91.9mm</t>
  </si>
  <si>
    <t>Number Across Run/Finish –  1/1
Where Finished –  On Press
Length per Roll/Unit – 277'
Core Type –  6" plastic, 0.155" PP
Core Width – 97.8 mm
Core Label – Yes
Dividers – 
Bag Size – 
Qty. Per Bag – 1 Roll
Box Size –  10 x 10 x 10
Qty. Per Box – 2 M
Weight/box – 
Box Per Pallet – 
Pallet Type – </t>
  </si>
  <si>
    <t>Core  –  6" plastic, 0.155" PP
Width – 97.8 mm
Number Across Run/FInish –  1/1
Core Label – Yes
±10% –  Yes
Unwind Dir. Run – See Drawing
Unwind Dir. Finish –  See Drawing
Diecut/Continuous/Sheet –  Die Cut
Partial Case –  Yes
Pieces per roll/Unit – 500
Length per roll/unit –  277'
Finish – On Press
Application – </t>
  </si>
  <si>
    <t>50785 Cost of Goods Sold</t>
  </si>
  <si>
    <t>Die Cut Part 3M 965 1.145" x 2.16"</t>
  </si>
  <si>
    <t>CC47851-001 Rev. A</t>
  </si>
  <si>
    <t>Die Cut Part - 3M 965 - 1.145" x 2.16"</t>
  </si>
  <si>
    <t>Number Across Run/Finish –  1/1
Where Finished –  On Press
Length per Roll/Unit – 107'
Core Type –  3" Paper 1/8" White Brown
Core Width – 2.5"
Core Label – Yes
Dividers – 
Bag Size – 
Qty. Per Bag – 1 M
Box Size –  8 x 8 x 8
Qty. Per Box – 20 M
Weight/box – 
Box Per Pallet – 
Pallet Type – </t>
  </si>
  <si>
    <t>Core  –  3" Paper 1/8" White Brown
Width – 2.5"
Number Across Run/FInish –  1/1
Core Label – Yes
±10% –  Yes
Unwind Dir. Run – Parts Out
Unwind Dir. Finish –  Parts Out
Diecut/Continuous/Sheet –  Die Cut
Partial Case –  Yes
Pieces per roll/Unit – 1,000
Length per roll/unit –  107'
Finish – On Press
Application – </t>
  </si>
  <si>
    <t>50786 Cost of Goods Sold</t>
  </si>
  <si>
    <t>Sheeted Part 3M 5423 65mm x 25mm</t>
  </si>
  <si>
    <t>5814985</t>
  </si>
  <si>
    <t>Sheeted Part - 3M 5423 - 65mm x 25mm</t>
  </si>
  <si>
    <t>Number Across Run/Finish –  1/1
Where Finished –  On Press
Length per Roll/Unit – 107'
Core Type –  N/A
Core Width – N/A
Core Label – Yes - on bag
Dividers – 
Bag Size – 
Qty. Per Bag – 500 Each
Box Size –  10 x 10 x 10
Qty. Per Box – 1,000 Each
Weight/box – 
Box Per Pallet – 
Pallet Type – </t>
  </si>
  <si>
    <t>No over or under shipping.</t>
  </si>
  <si>
    <t>Core  –  N/A
Width – N/A
Number Across Run/FInish –  1/1
Core Label – Yes - on bag
±10% –  No
Unwind Dir. Run – N/A
Unwind Dir. Finish –  N/A
Diecut/Continuous/Sheet –  Sheet
Partial Case –  Yes
Pieces per roll/Unit – 500
Length per roll/unit –  107'
Finish – On Press
Application – </t>
  </si>
  <si>
    <t>50787 Cost of Goods Sold</t>
  </si>
  <si>
    <t>Sheeted Part Poron/468MP 55mm x 25mm</t>
  </si>
  <si>
    <t>5814986</t>
  </si>
  <si>
    <t>Sheeted Part - Poron/468MP - 55mm x 25mm</t>
  </si>
  <si>
    <t>Number Across Run/Finish –  2/1
Where Finished –  On Press
Length per Roll/Unit – 46'
Core Type –  N/A
Core Width – N/A
Core Label – Yes - on bag
Dividers – 
Bag Size – 
Qty. Per Bag – 500 Each
Box Size –  8 x 8 x 8
Qty. Per Box – 1,000 Each
Weight/box – 
Box Per Pallet – 
Pallet Type – </t>
  </si>
  <si>
    <t xml:space="preserve">Polaris Part # 5814986 has to be on bag label.
500 parts per bag
</t>
  </si>
  <si>
    <t>Core  –  N/A
Width – N/A
Number Across Run/FInish –  2/1
Core Label – Yes - on bag
±10% –  No
Unwind Dir. Run – N/A
Unwind Dir. Finish –  N/A
Diecut/Continuous/Sheet –  Sheet
Partial Case –  Yes
Pieces per roll/Unit – 500
Length per roll/unit –  46'
Finish – On Press
Application – </t>
  </si>
  <si>
    <t>50788 Cost of Goods Sold</t>
  </si>
  <si>
    <t>Die Cut Part Membrane Sticker 1.134" x 1.384"</t>
  </si>
  <si>
    <t>DXN01-016</t>
  </si>
  <si>
    <t>Die Cut Part - Membrane Sticker - 1.134" x 1.384"</t>
  </si>
  <si>
    <t>Number Across Run/Finish –  1/1
Where Finished –  On Press
Length per Roll/Unit – 313'
Core Type –  6" plastic, 0.155" PP
Core Width – 2"
Core Label – Yes
Dividers – Polyflute
Bag Size – 
Qty. Per Bag – 1 Roll
Box Size –  12 x 12 x 12
Qty. Per Box – 10 M
Weight/box – 
Box Per Pallet – 
Pallet Type – </t>
  </si>
  <si>
    <t>First and last part from each finished roll to be saved and packaged separately for shipping.
DOUBLE BAG / PUT LARGE BAG IN BOX AND ALSO BAG EACH ROLL INDIVIDUALLY.
Include a C of C and Material Certs for the 8212 &amp; Membrane.  If using CSM and a Material Cert was not provided, just send a C of C and applicable Material Certs.</t>
  </si>
  <si>
    <t>Core  –  6" plastic, 0.155" PP
Width – 2"
Number Across Run/FInish –  1/1
Core Label – Yes
±10% –  Yes
Unwind Dir. Run – See Drawing
Unwind Dir. Finish –  See Drawing
Diecut/Continuous/Sheet –  Die Cut
Partial Case –  Yes
Pieces per roll/Unit – 2,500
Length per roll/unit –  313'
Finish – On Press
Application – </t>
  </si>
  <si>
    <t>Gloves, hairnets and beardnets required for running this job.
First and last part from each finished roll to be saved and packaged separately for shipping.</t>
  </si>
  <si>
    <t>50789 Cost of Goods Sold</t>
  </si>
  <si>
    <t>Butt Cut Part 3M 9877 1.5" x 1.5"</t>
  </si>
  <si>
    <t>6292-01</t>
  </si>
  <si>
    <t>Butt Cut Part - 3M 9877 - 1.5" x 1.5"</t>
  </si>
  <si>
    <t>Number Across Run/Finish –  3/1
Where Finished –  On Press
Length per Roll/Unit – 213'
Core Type –  3" Paper 1/8" White Brown
Core Width – 1.5"
Core Label – Yes
Dividers – 
Bag Size – 
Qty. Per Bag – 1.7 M
Box Size –  10 x 10 x 7 1/8
Qty. Per Box – 14 M
Weight/box – 
Box Per Pallet – 
Pallet Type – </t>
  </si>
  <si>
    <t>C of C to include 3M 9877 Shelf Life (24 months from DOM) and 3M 9877 Date of Manufacture</t>
  </si>
  <si>
    <t>Core  –  3" Paper 1/8" White Brown
Width – 1.5"
Number Across Run/FInish –  3/1
Core Label – Yes
±10% –  Yes
Unwind Dir. Run – Parts In
Unwind Dir. Finish –  Parts In
Diecut/Continuous/Sheet –  Die Cut
Partial Case –  Yes
Pieces per roll/Unit – 1,700
Length per roll/unit –  213'
Finish – On Press
Application – </t>
  </si>
  <si>
    <t>50790 Cost of Goods Sold</t>
  </si>
  <si>
    <t>Fabricated Part 1 PT Concerto Grape Tomato 136.1mm x 175mm x 2,250'</t>
  </si>
  <si>
    <t>WNDST001PTGTMTPSLWWEFNA</t>
  </si>
  <si>
    <t>Fabricated Part - 1 PT Concerto Grape Tomato - 136.1mm x 175mm x 2,250'</t>
  </si>
  <si>
    <t>Number Across Run/Finish –  1/1
Where Finished –  On Press
Length per Roll/Unit – 2,250'
Core Type –  3" Paper 3/8" Brown Brown
Core Width – 175 mm
Core Label – Yes
Dividers – 
Bag Size – 
Qty. Per Bag – 1 Rolls
Box Size –  11 x 11 x 14
Qty. Per Box – 2 Rolls
Weight/box – 
Box Per Pallet – 
Pallet Type – </t>
  </si>
  <si>
    <t xml:space="preserve">Include a "Manufacturer's C of C" 
Label quantity to be written as impressions per roll.  
1 roll = 2,250 ft = 5,050 impressions
Please use thick wall cores.
Rewind direction to be #2.  </t>
  </si>
  <si>
    <t>Core  –  3" Paper 3/8" Brown Brown
Width – 175 mm
Number Across Run/FInish –  1/1
Core Label – Yes
±10% –  Yes
Unwind Dir. Run – 2
Unwind Dir. Finish –  2
Diecut/Continuous/Sheet –  Continuous
Partial Case –  Yes
Pieces per roll/Unit – 1 Roll
Length per roll/unit –  2,250'
Finish – On Press
Application – </t>
  </si>
  <si>
    <t>50791 Cost of Goods Sold</t>
  </si>
  <si>
    <t>Laminated Tape 3M 6035PC 13" x 60Yd</t>
  </si>
  <si>
    <t>8931</t>
  </si>
  <si>
    <t>Laminated Tape - 3M 6035PC - 13" x 60Yd</t>
  </si>
  <si>
    <t>Number Across Run/Finish –  1/1
Where Finished –  On Press
Length per Roll/Unit – 180'
Core Type –  6" plastic, 0.155" PP
Core Width – 13.5"
Core Label – Yes
Dividers – 
Bag Size – 
Qty. Per Bag – 1 Rolls
Box Size –  10 x 10 x 7 1/8
Qty. Per Box – 1 Rolls
Weight/box – 
Box Per Pallet – 
Pallet Type – </t>
  </si>
  <si>
    <t>Core  –  6" plastic, 0.155" PP
Width – 13.5"
Number Across Run/FInish –  1/1
Core Label – Yes
±10% –  Yes
Unwind Dir. Run – Liner Out
Unwind Dir. Finish –  Liner Out
Diecut/Continuous/Sheet –  Continuous
Partial Case –  Yes
Pieces per roll/Unit – 1 Roll
Length per roll/unit –  180'
Finish – On Press
Application – </t>
  </si>
  <si>
    <t>50792 Cost of Goods Sold</t>
  </si>
  <si>
    <t>PRVT SEL 1PT PETIT GOLD CHRY MX 149.2mm x 165mm x 2,250'</t>
  </si>
  <si>
    <t>PRVSL001PTCTMTPSLMXPTGD</t>
  </si>
  <si>
    <t>PRVT SEL 1PT PETIT - GOLD CHRY MX - 149.2mm x 165mm x 2,250'</t>
  </si>
  <si>
    <t>Number Across Run/Finish –  1/1
Where Finished –  On Press
Length per Roll/Unit – 2,250'
Core Type –  3" Paper 3/8" Brown Brown
Core Width – 176 mm
Core Label – Yes
Dividers – 
Bag Size – 
Qty. Per Bag – 1 Roll
Box Size –  10 x 10 x 7 1/8
Qty. Per Box – 2 Rolls
Weight/box – 
Box Per Pallet – 
Pallet Type – </t>
  </si>
  <si>
    <t xml:space="preserve">Include a "Manufacturer's C of C" 
Label quantity to be written as impressions per roll.  
1 roll = 2,250 ft = 4,595 impressions
Please use thick wall cores.
Rewind direction to be #2.  </t>
  </si>
  <si>
    <t>Core  –  3" Paper 3/8" Brown Brown
Width – 176 mm
Number Across Run/FInish –  1/1
Core Label – Yes
±10% –  Yes
Unwind Dir. Run – 1
Unwind Dir. Finish –  2
Diecut/Continuous/Sheet –  Continuous
Partial Case –  Yes
Pieces per roll/Unit – 4,595
Length per roll/unit –  2,250'
Finish – On Press
Application – </t>
  </si>
  <si>
    <t>50793 Cost of Goods Sold</t>
  </si>
  <si>
    <t>1 Pint Prvt Select Petite Cherry Mix 149.2mm x 165mm x 2,250'</t>
  </si>
  <si>
    <t>PRVSL001PTCYMTPSLMXPTSN</t>
  </si>
  <si>
    <t>1 Pint Prvt Select - Petite Cherry Mix - 149.2mm x 165mm x 2,250'</t>
  </si>
  <si>
    <t>50794 Cost of Goods Sold</t>
  </si>
  <si>
    <t>1PT Prvt Select Petit Grape MX 149.2mm x 165mm x 2,250'</t>
  </si>
  <si>
    <t>PRVSL001PTGTMTPSLMXPTNA</t>
  </si>
  <si>
    <t>1PT Prvt Select - Petit Grape MX - 149.2mm x 165mm x 2,250'</t>
  </si>
  <si>
    <t>Number Across Run/Finish –  1/1
Where Finished –  On Press
Length per Roll/Unit – 2,250'
Core Type –  3" Paper 3/8" Brown Brown
Core Width – 176 mm
Core Label – Yes
Dividers – 
Bag Size – 
Qty. Per Bag – 1 Roll
Box Size –  22 x 10 x 4
Qty. Per Box – 2 Rolls
Weight/box – 
Box Per Pallet – 
Pallet Type – </t>
  </si>
  <si>
    <t>50795 Cost of Goods Sold</t>
  </si>
  <si>
    <t>Sheeted Part Foam Disk, Bottom 1.614" Dia</t>
  </si>
  <si>
    <t>78-8083-7056-9 Rev E</t>
  </si>
  <si>
    <t>Sheeted Part - Foam Disk, Bottom - 1.614" Dia</t>
  </si>
  <si>
    <t>Number Across Run/Finish –  4/1
Where Finished –  Off Press
Length per Roll/Unit – 100'
Core Type –  N/A
Core Width – N/A
Core Label – No
Dividers – 
Bag Size – 
Qty. Per Bag – 600 Each
Box Size –  11 x 11 x 8
Qty. Per Box – 600 Each
Weight/box – 
Box Per Pallet – 54
Pallet Type – </t>
  </si>
  <si>
    <t>Case build:  1. Place bag in box, square bag to bottom of box.  2. Place box in tilted position on scale, add 150 sheets of parts on edge per box, using scale to count.  3. Total individual parts is 600 per box.  4. Fold short sides of bag together first, then fold triangle point of bag down once, each side, gently press out air, place 2 blue tabs on edge of fold.  Place bubble wrap over top, the length of box (2 unbroken sheets).  5. Place label on long side of box (in front), then add two (this side up) labels on right front corner of box, and adjacent right back corner.
• Very important that the packing of case never creates a situation that the lid will not close without forcing.
• Pallet to be built with alternating layers of 6 cases per layer x 9 layers; 54 cases per pallet.
NOTE: Do not put partial cases in finished goods.  Operators/ finishers should try to run full cases, extra parts would be considered waste.
Include stock lot # on C of C
Include FT1804 lot #(s) and date(s) of expiration on C of C (expiration is 1 year from the purchase date on the material Cert).</t>
  </si>
  <si>
    <t>Core  –  N/A
Width – N/A
Number Across Run/FInish –  4/1
Core Label – No
±10% –  Yes
Unwind Dir. Run – N/A
Unwind Dir. Finish –  N/A
Diecut/Continuous/Sheet –  Die Cut Sheet
Partial Case –  No
Pieces per roll/Unit – 600
Length per roll/unit –  100'
Finish – Off Press
Application – </t>
  </si>
  <si>
    <t>C of C required: w/ Stock Lot #
Use FB 83 as primary and FB 82 as backup.</t>
  </si>
  <si>
    <t>50796 Cost of Goods Sold</t>
  </si>
  <si>
    <t>Die Cut Part Thermal Transfer label 2" x 2.86"</t>
  </si>
  <si>
    <t>11130877</t>
  </si>
  <si>
    <t>Die Cut Part - Thermal Transfer label - 2" x 2.86"</t>
  </si>
  <si>
    <t>Number Across Run/Finish –  1/1
Where Finished –  Off Press
Length per Roll/Unit – 886'
Core Type –  N/A
Core Width – N/A
Core Label – No
Dividers – 
Bag Size – 
Qty. Per Bag – 
Box Size –  12 x 12 x 10
Qty. Per Box – 5 M
Weight/box – 
Box Per Pallet – 
Pallet Type – </t>
  </si>
  <si>
    <t>Fan Fold - 5,000 per case.
USE TWO CARDBOARD DIVIDERS TO HOLD THE FAN FOLDED PARTS 
IN PLACE.</t>
  </si>
  <si>
    <t>Core  –  N/A
Width – N/A
Number Across Run/FInish –  1/1
Core Label – No
±10% –  Yes
Unwind Dir. Run – N/A
Unwind Dir. Finish –  N/A
Diecut/Continuous/Sheet –  Die Cut
Partial Case –  Yes
Pieces per roll/Unit – 5,000
Length per roll/unit –  886'
Finish – Off Press
Application – </t>
  </si>
  <si>
    <t>50797 Cost of Goods Sold</t>
  </si>
  <si>
    <t>Slit Tape 3M 8671 1.5" x 36Yd</t>
  </si>
  <si>
    <t>3M 8671/1.5</t>
  </si>
  <si>
    <t>Slit Tape - 3M 8671 - 1.5" x 36Yd</t>
  </si>
  <si>
    <t>Number Across Run/Finish –  12/1
Where Finished –  On Press
Length per Roll/Unit – 36 Yd
Core Type –  As Recd.
Core Width – 1.5"
Core Label – Yes
Dividers – Paper
Bag Size – 
Qty. Per Bag – 6 Rolls
Box Size –  19 x 13 x 6
Qty. Per Box – 12 Rolls
Weight/box – 
Box Per Pallet – 
Pallet Type – </t>
  </si>
  <si>
    <t>Core  –  As Recd.
Width – 1.5"
Number Across Run/FInish –  12/1
Core Label – Yes
±10% –  Yes
Unwind Dir. Run – As Rec'd
Unwind Dir. Finish –  As Rec'd
Diecut/Continuous/Sheet –  Continuous
Partial Case –  Yes
Pieces per roll/Unit – 1 Roll
Length per roll/unit –  36 Yd
Finish – On Press
Application – </t>
  </si>
  <si>
    <t>50798 Cost of Goods Sold</t>
  </si>
  <si>
    <t>Sheeted Part 3M 1774W 18" x 12"</t>
  </si>
  <si>
    <t>1531-LYY0006</t>
  </si>
  <si>
    <t>Sheeted Part - 3M 1774W - 18" x 12"</t>
  </si>
  <si>
    <t>Number Across Run/Finish –  1/1
Where Finished –  On Press
Length per Roll/Unit – 150'
Core Type –  N/A
Core Width – N/A
Core Label – Yes - on bag
Dividers – 
Bag Size – 
Qty. Per Bag – 0.1 M
Box Size –  12 x 12 x 4
Qty. Per Box –  M
Weight/box – 
Box Per Pallet – 
Pallet Type – </t>
  </si>
  <si>
    <t>Core  –  N/A
Width – N/A
Number Across Run/FInish –  1/1
Core Label – Yes - on bag
±10% –  Yes
Unwind Dir. Run – N/A
Unwind Dir. Finish –  N/A
Diecut/Continuous/Sheet –  Die Cut Sheet
Partial Case –  Yes
Pieces per roll/Unit – 100
Length per roll/unit –  150'
Finish – On Press
Application – </t>
  </si>
  <si>
    <t>50799 Cost of Goods Sold</t>
  </si>
  <si>
    <t>Sheeted Part Release Liner, Clip 1.57" x 1.57"</t>
  </si>
  <si>
    <t>1538-LYY0015</t>
  </si>
  <si>
    <t>Sheeted Part - Release Liner, Clip - 1.57" x 1.57"</t>
  </si>
  <si>
    <t>Number Across Run/Finish –  3/1
Where Finished –  Off Press
Length per Roll/Unit – 57'
Core Type –  N/A
Core Width – N/A
Core Label – Yes - on bag
Dividers – 
Bag Size – 
Qty. Per Bag – 1.2 M
Box Size –  12 1/2 x 8 1/2 x 12 5/8
Qty. Per Box – 20 M
Weight/box – 
Box Per Pallet – 
Pallet Type – </t>
  </si>
  <si>
    <t>Must use label formats: "8944" and "8944 Core" (labels must have "Mfg. Date:"; in MM-DD-YYYY format)
SHIPPING INSTRUCTIONS:
a. PARTS ARE TO BE BAGGED IN QUANTITIES OF 1,200 AND PACKAGED IN SUCH A WAY AS TO PREVENT BENDING, DISTORTION OR DAMAGE TO PARTS DURING SHIPPING AND HANDLING.
b. EACH SHIPMENT MUST CONTAIN THE FOLLOWING INFORMATION:
	1. FIRST PIECE INSPECTION DATA
	2. MATERIAL CERTIFICATE OF CONFORMANCE IS REQUIRED FOR EACH SHIPMENT, AT MINIMUM.
STATISTICAL EVIDENCE OF INSPECTION AT THE MANUFACTURER IS PREFERRED.  THE
	MANUFACTURER SHALL MAINTAIN TRACEABILITY TO THE MASTER ROLL THROUGH THE LOT NUMBERING SYSTEM.
	3. DATE OF MANUFACTURE
	4. QUANTITY
	5. MANUFACTURE PART NUMBER
	6. JOHNSON MEDTECH PART NUMBER "1538-LYY0015"
C of C with Material Lot #, DOM, and Shelf Life must accompany shipment.</t>
  </si>
  <si>
    <t>Core  –  N/A
Width – N/A
Number Across Run/FInish –  3/1
Core Label – Yes - on bag
±10% –  Yes
Unwind Dir. Run – N/A
Unwind Dir. Finish –  N/A
Diecut/Continuous/Sheet –  Die Cut Sheet
Partial Case –  Yes
Pieces per roll/Unit – 1,200
Length per roll/unit –  57'
Finish – Off Press
Application – </t>
  </si>
  <si>
    <t>50800 Cost of Goods Sold</t>
  </si>
  <si>
    <t>Slit Tape 3M 893 48mm x 10Yd</t>
  </si>
  <si>
    <t>8945</t>
  </si>
  <si>
    <t>Slit Tape - 3M 893 - 48mm x 10Yd</t>
  </si>
  <si>
    <t>Number Across Run/Finish –  1/1
Where Finished –  On Press
Length per Roll/Unit – 10 Yd
Core Type –  3" Paper 1/8" White Brown
Core Width – 48 mm
Core Label – Yes
Dividers – 
Bag Size – 
Qty. Per Bag – 6 Rolls
Box Size –  14 x 14 x 14
Qty. Per Box – 36 Rolls
Weight/box – 
Box Per Pallet – 
Pallet Type – </t>
  </si>
  <si>
    <t>Core  –  3" Paper 1/8" White Brown
Width – 48 mm
Number Across Run/FInish –  1/1
Core Label – Yes
±10% –  Yes
Unwind Dir. Run – Adh. In
Unwind Dir. Finish –  Adh. In
Diecut/Continuous/Sheet –  Continuous
Partial Case –  Yes
Pieces per roll/Unit – 1 Roll
Length per roll/unit –  10 Yd
Finish – On Press
Application – </t>
  </si>
  <si>
    <t>50801 Cost of Goods Sold</t>
  </si>
  <si>
    <t>Sheeted Part Facial Smoothies GENTLE Variety 4" x 5"</t>
  </si>
  <si>
    <t>8946</t>
  </si>
  <si>
    <t>Sheeted Part - Facial Smoothies GENTLE Variety - 4" x 5"</t>
  </si>
  <si>
    <t>Number Across Run/Finish –  1/1
Where Finished –  Off Press
Length per Roll/Unit – 42'
Core Type –  N/A
Core Width – N/A
Core Label – No
Dividers – 
Bag Size – 
Qty. Per Bag – 250 Each
Box Size –  12 x 12 x 10
Qty. Per Box – 6,000 M
Weight/box – 
Box Per Pallet – 
Pallet Type – </t>
  </si>
  <si>
    <t>Core  –  N/A
Width – N/A
Number Across Run/FInish –  1/1
Core Label – No
±10% –  Yes
Unwind Dir. Run – N/A
Unwind Dir. Finish –  N/A
Diecut/Continuous/Sheet –  Die Cut Sheet
Partial Case –  Yes
Pieces per roll/Unit – 250
Length per roll/unit –  42'
Finish – Off Press
Application – </t>
  </si>
  <si>
    <t>50802 Cost of Goods Sold</t>
  </si>
  <si>
    <t>Sheeted Part Gauze pads 2" x 2"</t>
  </si>
  <si>
    <t>HM-0022UHP</t>
  </si>
  <si>
    <t>Sheeted Part -  Gauze pads - 2" x 2"</t>
  </si>
  <si>
    <t>Number Across Run/Finish –  1/1
Where Finished –  On Press
Length per Roll/Unit – 188'
Core Type –  N/A
Core Width – N/A
Core Label – Yes - on bag
Dividers – 
Bag Size – 
Qty. Per Bag – 250 Each
Box Size –  Custom-folding
Qty. Per Box – 1,000 Each
Weight/box – 
Box Per Pallet – 
Pallet Type – </t>
  </si>
  <si>
    <t>Core  –  N/A
Width – N/A
Number Across Run/FInish –  1/1
Core Label – Yes - on bag
±10% –  Yes
Unwind Dir. Run – N/A
Unwind Dir. Finish –  N/A
Diecut/Continuous/Sheet –  Sheet
Partial Case –  Yes
Pieces per roll/Unit – 500
Length per roll/unit –  188'
Finish – On Press
Application – </t>
  </si>
  <si>
    <t>50803 Cost of Goods Sold</t>
  </si>
  <si>
    <t>Slit Tape 3M 8211 650mm x 180Yd</t>
  </si>
  <si>
    <t>8950</t>
  </si>
  <si>
    <t>Slit Tape - 3M 8211 - 650mm x 180Yd</t>
  </si>
  <si>
    <t>Number Across Run/Finish –  1/1
Where Finished –  On Press
Length per Roll/Unit – 180 Yd
Core Type –  As Recd.
Core Width – 650 mm
Core Label – Yes
Dividers – 
Bag Size – 
Qty. Per Bag – 1 Rolls
Box Size –  10 x 10 x 10
Qty. Per Box – 1 Rolls
Weight/box – 
Box Per Pallet – 
Pallet Type – </t>
  </si>
  <si>
    <t>Core  –  As Recd.
Width – 650 mm
Number Across Run/FInish –  1/1
Core Label – Yes
±10% –  Yes
Unwind Dir. Run – N/A
Unwind Dir. Finish –  N/A
Diecut/Continuous/Sheet –  Continuous
Partial Case –  Yes
Pieces per roll/Unit – 1 Roll
Length per roll/unit –  180 Yd
Finish – On Press
Application – </t>
  </si>
  <si>
    <t>50804 Cost of Goods Sold</t>
  </si>
  <si>
    <t>Slit Tape 3M 213 0.75" x 60Yd</t>
  </si>
  <si>
    <t>8951</t>
  </si>
  <si>
    <t>Slit Tape - 3M 213 - 0.75" x 60Yd</t>
  </si>
  <si>
    <t>Number Across Run/Finish –  31/1
Where Finished –  On Press
Length per Roll/Unit – 60 Yd
Core Type –  3" Paper 1/8" White Brown
Core Width – 0.75"
Core Label – No
Dividers – Paper
Bag Size – 
Qty. Per Bag – 12 Rolls
Box Size –  
Qty. Per Box – 48 Rolls
Weight/box – 
Box Per Pallet – 
Pallet Type – </t>
  </si>
  <si>
    <t>Core  –  3" Paper 1/8" White Brown
Width – 0.75"
Number Across Run/FInish –  31/1
Core Label – No
±10% –  Yes
Unwind Dir. Run – N/A
Unwind Dir. Finish –  N/A
Diecut/Continuous/Sheet –  Continuous
Partial Case –  Yes
Pieces per roll/Unit – 1 Roll
Length per roll/unit –  60 Yd
Finish – On Press
Application – </t>
  </si>
  <si>
    <t>50805 Cost of Goods Sold</t>
  </si>
  <si>
    <t>Sheeted Part Hydrogel Dressing 15.2cm x 15.2cm</t>
  </si>
  <si>
    <t>HB66T</t>
  </si>
  <si>
    <t>Sheeted Part - Hydrogel Dressing - 15.2cm x 15.2cm</t>
  </si>
  <si>
    <t>Number Across Run/Finish –  1/1
Where Finished –  On Press
Length per Roll/Unit – 15'
Core Type –  N/A
Core Width – N/A
Core Label – Yes
Dividers – 
Bag Size – 
Qty. Per Bag – 
Box Size –  10 x 10 x 10
Qty. Per Box – 
Weight/box – 
Box Per Pallet – 
Pallet Type – </t>
  </si>
  <si>
    <t xml:space="preserve">o	Put poly liner bag in S-4723 box. 
o	Print Bemis pouch with appropriate tracking info (lot #/exp. date/etc.).
o	Place 1 dressing in a Bemis pouch.
o	Seal the pouch using the PCL impulse sealer (outlined below).
o	Apply 4”x6” label to the Tenka pouch.
o	Place 10 Bemis pouches in a Tenka pouch.
o	Seal the zipper portion of the pouch.
o	Seal the pouch using the PCL impulse sealer (outlined below).
o	Place Tenka pouches in box in 2 stacks of 10/Seal up the poly box liner/Seal the box/Place on a pallet.
</t>
  </si>
  <si>
    <t>Core  –  N/A
Width – N/A
Number Across Run/FInish –  1/1
Core Label – Yes
±10% –  Yes
Unwind Dir. Run – N/A
Unwind Dir. Finish –  N/A
Diecut/Continuous/Sheet –  Die Cut Sheet
Partial Case –  Yes
Pieces per roll/Unit – 25
Length per roll/unit –  15'
Finish – On Press
Application – </t>
  </si>
  <si>
    <t>50806 Cost of Goods Sold</t>
  </si>
  <si>
    <t>Sheeted Part Velcro strap 2" x 1"</t>
  </si>
  <si>
    <t>8953</t>
  </si>
  <si>
    <t>Sheeted Part - Velcro strap - 2" x 1"</t>
  </si>
  <si>
    <t>Number Across Run/Finish –  1/1
Where Finished –  Off Press
Length per Roll/Unit – 17'
Core Type –  N/A
Core Width – N/A
Core Label – No
Dividers – 
Bag Size – 
Qty. Per Bag – 100 Each
Box Size –  12 x 12 x 12
Qty. Per Box – 100 Each
Weight/box – 
Box Per Pallet – 
Pallet Type – </t>
  </si>
  <si>
    <t>Core  –  N/A
Width – N/A
Number Across Run/FInish –  1/1
Core Label – No
±10% –  Yes
Unwind Dir. Run – N/A
Unwind Dir. Finish –  N/A
Diecut/Continuous/Sheet –  Sheet
Partial Case –  Yes
Pieces per roll/Unit – 100
Length per roll/unit –  17'
Finish – Off Press
Application – </t>
  </si>
  <si>
    <t>50807 Cost of Goods Sold</t>
  </si>
  <si>
    <t>Die Cut Label Tape - LL Chip 5mm x 25mm</t>
  </si>
  <si>
    <t>2PSA01415</t>
  </si>
  <si>
    <t>Die Cut Label - Tape - LL Chip - 5mm x 25mm</t>
  </si>
  <si>
    <t>Number Across Run/Finish –  3/1
Where Finished –  Web Techniques
Length per Roll/Unit – 118'
Core Type –  3" Plastic 0.10" HDPE
Core Width – 35.26 mm
Core Label – Yes
Dividers – Lexmark Style
Bag Size – 
Qty. Per Bag – 5 M
Box Size –  12 x 12 x 12
Qty. Per Box – 40 M
Weight/box – 
Box Per Pallet – 
Pallet Type – </t>
  </si>
  <si>
    <t>See Drawing for wind direction.  Part is not centered on liner.</t>
  </si>
  <si>
    <t>Core  –  3" Plastic 0.10" HDPE
Width – 35.26 mm
Number Across Run/FInish –  3/1
Core Label – Yes
±10% –  Yes
Unwind Dir. Run – See Drawing
Unwind Dir. Finish –  See Drawing
Diecut/Continuous/Sheet –  Die Cut
Partial Case –  Yes
Pieces per roll/Unit – 5,000
Length per roll/unit –  118'
Finish – Web Techniques
Application – </t>
  </si>
  <si>
    <t>See Drawing for wind direction</t>
  </si>
  <si>
    <t>50808 Cost of Goods Sold</t>
  </si>
  <si>
    <t>Die Cut Label Lid LL Cartridge 17.47mm x 46.97mm</t>
  </si>
  <si>
    <t>2PMH00587</t>
  </si>
  <si>
    <t>Die Cut Label - Lid LL Cartridge - 17.47mm x 46.97mm</t>
  </si>
  <si>
    <t>Number Across Run/Finish –  2/1
Where Finished –  Web Techniques
Length per Roll/Unit – 374'
Core Type –  3" Plastic 0.10" HDPE
Core Width – 60.32 mm
Core Label – Yes
Dividers – Lexmark Style
Bag Size – 
Qty. Per Bag – 5 M
Box Size –  12 x 12 x 4
Qty. Per Box – 20 M
Weight/box – 
Box Per Pallet – 
Pallet Type – </t>
  </si>
  <si>
    <t>Core  –  3" Plastic 0.10" HDPE
Width – 60.32 mm
Number Across Run/FInish –  2/1
Core Label – Yes
±10% –  Yes
Unwind Dir. Run – See Drawing
Unwind Dir. Finish –  See Drawing
Diecut/Continuous/Sheet –  Die Cut
Partial Case –  Yes
Pieces per roll/Unit – 5,000
Length per roll/unit –  374'
Finish – Web Techniques
Application – </t>
  </si>
  <si>
    <t>50809 Cost of Goods Sold</t>
  </si>
  <si>
    <t>Sheeted Part 3M 4926 40mm x 5mm</t>
  </si>
  <si>
    <t>8956</t>
  </si>
  <si>
    <t>Sheeted Part - 3M 4926 - 40mm x 5mm</t>
  </si>
  <si>
    <t>Number Across Run/Finish –  7/1
Where Finished –  On Press
Length per Roll/Unit – 10'
Core Type –  N/A
Core Width – N/A
Core Label – No
Dividers – 
Bag Size – 
Qty. Per Bag – 500 Each
Box Size –  10 x 10 x 10 3/8
Qty. Per Box – 500 Each
Weight/box – 
Box Per Pallet – 
Pallet Type – </t>
  </si>
  <si>
    <t>Core  –  N/A
Width – N/A
Number Across Run/FInish –  7/1
Core Label – No
±10% –  Yes
Unwind Dir. Run – N/A
Unwind Dir. Finish –  N/A
Diecut/Continuous/Sheet –  Sheet
Partial Case –  Yes
Pieces per roll/Unit – 500
Length per roll/unit –  10'
Finish – On Press
Application – </t>
  </si>
  <si>
    <t>50810 Cost of Goods Sold</t>
  </si>
  <si>
    <t>Fabricated Part WF 2LB Concerto Grape Tomato Fair Trade 216mm x 265mm x 2,250'</t>
  </si>
  <si>
    <t xml:space="preserve">WNDST002LBGTMTPSLWWENFT </t>
  </si>
  <si>
    <t>Fabricated Part - WF 2LB Concerto Grape Tomato Fair Trade - 216mm x 265mm x 2,250'</t>
  </si>
  <si>
    <t>Number Across Run/Finish –  1/1
Where Finished –  On Press
Length per Roll/Unit – 2,250'
Core Type –  3" Paper 3/8" Brown Brown
Core Width – 265 mm
Core Label – Yes
Dividers – 
Bag Size – 
Qty. Per Bag – 1 Rolls
Box Size –  13 x 13 x 13
Qty. Per Box – 1 Rolls
Weight/box – 
Box Per Pallet – 
Pallet Type – </t>
  </si>
  <si>
    <t>50811 Cost of Goods Sold</t>
  </si>
  <si>
    <t>Slit Tape 3M 7953MP 6.5" x 180Yd</t>
  </si>
  <si>
    <t>8958</t>
  </si>
  <si>
    <t>Slit Tape - 3M 7953MP - 6.5" x 180Yd</t>
  </si>
  <si>
    <t>Number Across Run/Finish –  7/1
Where Finished –  On Press
Length per Roll/Unit – 180 Yd
Core Type –  As Recd.
Core Width – 6.5"
Core Label – Yes
Dividers – Paper
Bag Size – 
Qty. Per Bag – 2 Rolls
Box Size –  10 x 10 x 10
Qty. Per Box – 2 Rolls
Weight/box – 
Box Per Pallet – 
Pallet Type – </t>
  </si>
  <si>
    <t>Core  –  As Recd.
Width – 6.5"
Number Across Run/FInish –  7/1
Core Label – Yes
±10% –  Yes
Unwind Dir. Run – N/A
Unwind Dir. Finish –  N/A
Diecut/Continuous/Sheet –  Continuous
Partial Case –  Yes
Pieces per roll/Unit – 1
Length per roll/unit –  180 Yd
Finish – On Press
Application – </t>
  </si>
  <si>
    <t>50812 Cost of Goods Sold</t>
  </si>
  <si>
    <t>Die Cut Part 3M 2477P 0.88" x 1.86"</t>
  </si>
  <si>
    <t>9072-0046-01</t>
  </si>
  <si>
    <t>Die Cut Part - 3M 2477P - 0.88" x 1.86"</t>
  </si>
  <si>
    <t>Number Across Run/Finish –  1/1
Where Finished –  On Press
Length per Roll/Unit – 84'
Core Type –  3" Paper 1/8" Strouse Brown
Core Width – 2.5"
Core Label – Yes
Dividers – 
Bag Size – 
Qty. Per Bag – 4 M
Box Size –  10 x 10 x 10
Qty. Per Box – 16 M
Weight/box – 
Box Per Pallet – 
Pallet Type – </t>
  </si>
  <si>
    <t>Core  –  3" Paper 1/8" Strouse Brown
Width – 2.5"
Number Across Run/FInish –  1/1
Core Label – Yes
±10% –  Yes
Unwind Dir. Run – Parts Out
Unwind Dir. Finish –  Parts Out
Diecut/Continuous/Sheet –  Die Cut
Partial Case –  Yes
Pieces per roll/Unit – 1,000
Length per roll/unit –  84'
Finish – On Press
Application – </t>
  </si>
  <si>
    <t>50813 Cost of Goods Sold</t>
  </si>
  <si>
    <t>Die Cut Part 3M 1181 0.96" x 1.23"</t>
  </si>
  <si>
    <t>9072-0050-0002</t>
  </si>
  <si>
    <t>Die Cut Part - 3M 1181 - 0.96" x 1.23"</t>
  </si>
  <si>
    <t>Number Across Run/Finish –  2/1
Where Finished –  On Press
Length per Roll/Unit – 46'
Core Type –  3" Paper 1/8" Strouse Brown
Core Width – 1.438"
Core Label – Yes
Dividers – 
Bag Size – 
Qty. Per Bag – 3 M
Box Size –  
Qty. Per Box – 15 M
Weight/box – 
Box Per Pallet – 
Pallet Type – </t>
  </si>
  <si>
    <t>Core  –  3" Paper 1/8" Strouse Brown
Width – 1.438"
Number Across Run/FInish –  2/1
Core Label – Yes
±10% –  Yes
Unwind Dir. Run – Parts Out
Unwind Dir. Finish –  Parts Out
Diecut/Continuous/Sheet –  Die Cut
Partial Case –  Yes
Pieces per roll/Unit – 500
Length per roll/unit –  46'
Finish – On Press
Application – </t>
  </si>
  <si>
    <t>50814 Cost of Goods Sold</t>
  </si>
  <si>
    <t>Sheeted Part PF-4 C-Foam 0.96" x 0.69"</t>
  </si>
  <si>
    <t>9072-0050-0001</t>
  </si>
  <si>
    <t>Sheeted Part - PF-4 C-Foam - 0.96" x 0.69"</t>
  </si>
  <si>
    <t>Number Across Run/Finish –  34/1
Where Finished –  On Press
Length per Roll/Unit – 1 Sheet
Core Type –  N/A
Core Width – N/A
Core Label – No
Dividers – 
Bag Size – 
Qty. Per Bag – 500 Each
Box Size –  10 x 10 x 10
Qty. Per Box – 1,000 Each
Weight/box – 
Box Per Pallet – 
Pallet Type – </t>
  </si>
  <si>
    <t>Certificate of Conformance w/ material specs, Drawing revision, QTY, and PO #.</t>
  </si>
  <si>
    <t>Core  –  N/A
Width – N/A
Number Across Run/FInish –  34/1
Core Label – No
±10% –  Yes
Unwind Dir. Run – N/A
Unwind Dir. Finish –  N/A
Diecut/Continuous/Sheet –  Sheet
Partial Case –  Yes
Pieces per roll/Unit – 500
Length per roll/unit –  1 Sheet
Finish – On Press
Application – </t>
  </si>
  <si>
    <t>50815 Cost of Goods Sold</t>
  </si>
  <si>
    <t>Die Cut Part BHTM Sensor Adh. 1.61" Dia</t>
  </si>
  <si>
    <t>78-8083-7558-4 Rev. B</t>
  </si>
  <si>
    <t>Die Cut Part - BHTM Sensor Adh. - 1.61" Dia</t>
  </si>
  <si>
    <t>Number Across Run/Finish –  4/1
Where Finished –  On Press
Length per Roll/Unit – 365'
Core Type –  3" Plastic 0.10" HDPE
Core Width – 2"
Core Label – Yes
Dividers – Cardboard 10x10
Bag Size – 
Qty. Per Bag – 1 Rolls
Box Size –  12 x 12 x 10
Qty. Per Box – 10 M
Weight/box – 
Box Per Pallet – 40" x 48"
Pallet Type – </t>
  </si>
  <si>
    <t>See roll picture for final unwind direction.
NOTE: Do not put partial cases in finished goods. Operators/ finishers should try to run full cases, extra parts would be considered waste.
Include stock lot # on C of C
Include 3M 9948 lot #(s) and date(s) of expiration on C of C
Use cardboard dividers, 10" X 10"  between each roll and on top ( 4 cardboard dividers notched, per box).</t>
  </si>
  <si>
    <t>Core  –  3" Plastic 0.10" HDPE
Width – 2"
Number Across Run/FInish –  4/1
Core Label – Yes
±10% –  Yes
Unwind Dir. Run – Parts In
Unwind Dir. Finish –  Parts In
Diecut/Continuous/Sheet –  Die Cut
Partial Case –  No
Pieces per roll/Unit – 2,500
Length per roll/unit –  365'
Finish – On Press
Application – </t>
  </si>
  <si>
    <t>C of C required: w/ Stock Lot #</t>
  </si>
  <si>
    <t>50816 Cost of Goods Sold</t>
  </si>
  <si>
    <t>Die Cut Part 3M 9952, Sensor Tab 25mm x 19.6mm</t>
  </si>
  <si>
    <t>78-8083-4027-3 Rev. C</t>
  </si>
  <si>
    <t>Die Cut Part - 3M 9952, Sensor Tab - 25mm x 19.6mm</t>
  </si>
  <si>
    <t>Number Across Run/Finish –  4/1
Where Finished –  On Press
Length per Roll/Unit – 521'
Core Type –  3" Plastic 0.10" HDPE
Core Width – 1.25"
Core Label – Yes
Dividers – 0.02" Thick Chipboard
Bag Size – 
Qty. Per Bag – 8 Rolls
Box Size –  22 x 22 x 10
Qty. Per Box – 40 M
Weight/box – 
Box Per Pallet – 
Pallet Type – </t>
  </si>
  <si>
    <t>- MAX 2 PARTS MISSING IN A ROW
- TRANSLUCENT SPLICE TAPE (CLEAR BOXING TAPE), NO PART ON LINER SPLICE 
- LINER CANNOT BE DAMAGED
- MAX ROLL DIAMETER: 12" (on 3" PLASTIC CORE)
- TELESCOPING SHOULD NOT EXCEED 1/4" (ROLLS MUST LAY FLAT - MUST USE 20pt (0.02" THICK) CHIPBOARD DIVIDERS)
NOTE: Do not put partial cases in finished goods. Operators/ finishers should try to run full cases, extra parts would be considered waste.  
Production Packaging Specs:
- Pallet height must not exceed 48"
- No material can overhang the pallet.
- Edge protector for each corner of the pallet.
- Pallet must be shrink wrapped.
- Mark pallet as "Do Not Stack".
Include 3M material date of manufacture on C of C</t>
  </si>
  <si>
    <t>Core  –  3" Plastic 0.10" HDPE
Width – 1.25"
Number Across Run/FInish –  4/1
Core Label – Yes
±10% –  Yes
Unwind Dir. Run – Parts In
Unwind Dir. Finish –  Parts In
Diecut/Continuous/Sheet –  Die Cut
Partial Case –  No
Pieces per roll/Unit – 5,000
Length per roll/unit –  521'
Finish – On Press
Application – </t>
  </si>
  <si>
    <t>Wind rolls as loose as possible while still maintaining the integrity of the roll.
C of C required: w/ Stock Lot #, Raw Material Lot # &amp; Expiration Date, and 3M Part # w/ current Rev.</t>
  </si>
  <si>
    <t>50817 Cost of Goods Sold</t>
  </si>
  <si>
    <t>Die Cut Part MD360 Foam, Top 41mm Dia</t>
  </si>
  <si>
    <t>78-8083-4527-2 Rev. C</t>
  </si>
  <si>
    <t>Die Cut Part - MD360 Foam, Top - 41mm Dia</t>
  </si>
  <si>
    <t>Number Across Run/Finish –  4/1
Where Finished –  On Press
Length per Roll/Unit – 391'
Core Type –  3" Paper 1/8" White Brown
Core Width – 1.75"
Core Label – Yes
Dividers – 
Bag Size – 
Qty. Per Bag – 2500 Each
Box Size –  8 1/8 x 8 1/8 x 32 Top &amp; Bottom Log Box
Qty. Per Box – 5 Rolls
Weight/box – 
Box Per Pallet – 
Pallet Type – </t>
  </si>
  <si>
    <t>- MAX ROLL DIAMETER: 24" (on 3" core)  No more than 2 missing parts in a row and splices are acceptable but must be taped so that they can go over a peel plate.
NOTE: Do not put partial cases in finished goods. Operators/ finishers should try to run full cases, extra parts would be considered waste.
Production Packaging Specs:
- Pallet height must not exceed 48"
- No material can overhang the pallet.
- Edge protector for each corner of the pallet.
- Pallet must be shrink wrapped.
- Mark pallet as "Do Not Stack".
Include stock lot # on C of C
Include 3M 1772 lot #(s) and date(s) of expiration on C of C
Include 3M 9836 lot #(s) and date(s) of expiration on C of C</t>
  </si>
  <si>
    <t>Core  –  3" Paper 1/8" White Brown
Width – 1.75"
Number Across Run/FInish –  4/1
Core Label – Yes
±10% –  Yes
Unwind Dir. Run – 3
Unwind Dir. Finish –  3
Diecut/Continuous/Sheet –  Die Cut
Partial Case –  No
Pieces per roll/Unit – 2,500
Length per roll/unit –  391'
Finish – On Press
Application – </t>
  </si>
  <si>
    <t>See Drawing to make sure text aligns with notch on circle. 
C of C required: w/ Stock Lot #, 1772 and 9836 Raw Material Lot #'s &amp; Expiration Date's, and 3M Part # w/ current Rev.</t>
  </si>
  <si>
    <t>50818 Cost of Goods Sold</t>
  </si>
  <si>
    <t>Fabricated Tape Bron 6866 on 78# liner 24" x 70Yd</t>
  </si>
  <si>
    <t xml:space="preserve">TAPBRON686624X70RL </t>
  </si>
  <si>
    <t>Fabricated Tape - Bron 6866 on 78# liner - 24" x 70Yd</t>
  </si>
  <si>
    <t>Number Across Run/Finish –  1/1
Where Finished –  On Press
Length per Roll/Unit – 210'
Core Type –  3" Paper 1/8" Strouse Brown
Core Width – 24.25"
Core Label – Yes
Dividers – 
Bag Size – 
Qty. Per Bag – 1 Roll
Box Size –  12 x 12 x 12
Qty. Per Box – 1 Roll
Weight/box – 
Box Per Pallet – 
Pallet Type – </t>
  </si>
  <si>
    <t>Include:  MFG Cert w/ Test Data; and Strouse C of C w/ Material Lot #, Date of Expiration, and Shelf Life.
Needs 80% Shelf Life remaining
Only one lot per shipment</t>
  </si>
  <si>
    <t>Core  –  3" Paper 1/8" Strouse Brown
Width – 24.25"
Number Across Run/FInish –  1/1
Core Label – Yes
±10% –  Yes
Unwind Dir. Run – Film Out
Unwind Dir. Finish –  Film Out
Diecut/Continuous/Sheet –  Continuous
Partial Case –  Yes
Pieces per roll/Unit – 1
Length per roll/unit –  210'
Finish – On Press
Application – </t>
  </si>
  <si>
    <t>50819 Cost of Goods Sold</t>
  </si>
  <si>
    <t>Sheeted Part Cetco T80NR 12" OD x 1" ID</t>
  </si>
  <si>
    <t>WIS-02 ASSY</t>
  </si>
  <si>
    <t>Sheeted Part - Cetco T80NR - 12" OD x 1" ID</t>
  </si>
  <si>
    <t>Number Across Run/Finish –  6/1
Where Finished –  On Press
Length per Roll/Unit – 21'
Core Type –  N/A
Core Width – N/A
Core Label – No
Dividers – 
Bag Size – 
Qty. Per Bag – 125 Each
Box Size –  10 x 10 x 10
Qty. Per Box – 125 Each
Weight/box – 
Box Per Pallet – 
Pallet Type – </t>
  </si>
  <si>
    <t>Core  –  N/A
Width – N/A
Number Across Run/FInish –  6/1
Core Label – No
±10% –  Yes
Unwind Dir. Run – N/A
Unwind Dir. Finish –  N/A
Diecut/Continuous/Sheet –  Sheet
Partial Case –  Yes
Pieces per roll/Unit – 125
Length per roll/unit –  21'
Finish – On Press
Application – </t>
  </si>
  <si>
    <t>50820 Cost of Goods Sold</t>
  </si>
  <si>
    <t>Die Cut Part 3M 96042 1.63" x 0.88"</t>
  </si>
  <si>
    <t>9072-0000-M</t>
  </si>
  <si>
    <t>Die Cut Part - 3M 96042 - 1.63" x 0.88"</t>
  </si>
  <si>
    <t>Number Across Run/Finish –  2/1
Where Finished –  On Press
Length per Roll/Unit – 84'
Core Type –  3" Paper 1/8" Strouse Brown
Core Width – 1.25"
Core Label – Yes
Dividers – 
Bag Size – 
Qty. Per Bag – 4 M
Box Size –  12 x 12 x 12
Qty. Per Box – 16 M
Weight/box – 
Box Per Pallet – 
Pallet Type – </t>
  </si>
  <si>
    <t>Core  –  3" Paper 1/8" Strouse Brown
Width – 1.25"
Number Across Run/FInish –  2/1
Core Label – Yes
±10% –  Yes
Unwind Dir. Run – Parts Out
Unwind Dir. Finish –  Parts Out
Diecut/Continuous/Sheet –  Die Cut
Partial Case –  Yes
Pieces per roll/Unit – 500
Length per roll/unit –  84'
Finish – On Press
Application – </t>
  </si>
  <si>
    <t>50821 Cost of Goods Sold</t>
  </si>
  <si>
    <t>Printed Label Label 5.8mm x 22.7mm</t>
  </si>
  <si>
    <t>18L0349-02</t>
  </si>
  <si>
    <t>Printed Label - Label - 5.8mm x 22.7mm</t>
  </si>
  <si>
    <t>Number Across Run/Finish –  4/1
Where Finished –  Web Techniques
Length per Roll/Unit – 200'
Core Type –  3" Plastic 0.10" HDPE
Core Width – 35 mm
Core Label – Yes
Dividers – Lexmark style
Bag Size – 
Qty. Per Bag – 5 M
Box Size –  12 x 12 x 10
Qty. Per Box – 40 M
Weight/box – 
Box Per Pallet – 
Pallet Type – </t>
  </si>
  <si>
    <t>Core  –  3" Plastic 0.10" HDPE
Width – 35 mm
Number Across Run/FInish –  4/1
Core Label – Yes
±10% –  Yes
Unwind Dir. Run – 1
Unwind Dir. Finish –  2
Diecut/Continuous/Sheet –  Die Cut
Partial Case –  Yes
Pieces per roll/Unit – 5,000
Length per roll/unit –  200'
Finish – Web Techniques
Application – </t>
  </si>
  <si>
    <t>Uses same plate as 9001</t>
  </si>
  <si>
    <t>50822 Cost of Goods Sold</t>
  </si>
  <si>
    <t>Slit Tape 3M 5952P 2.375" x 36Yd</t>
  </si>
  <si>
    <t>8969</t>
  </si>
  <si>
    <t>Slit Tape - 3M 5952P - 2.375" x 36Yd</t>
  </si>
  <si>
    <t>Number Across Run/Finish –  2/1
Where Finished –  On Press
Length per Roll/Unit – 36 Yd
Core Type –  As Recd.
Core Width – 2.375"
Core Label – Yes
Dividers – Paper
Bag Size – 
Qty. Per Bag – 4 Rolls
Box Size –  14 x 14 x 14
Qty. Per Box – 4 Rolls
Weight/box – 
Box Per Pallet – 
Pallet Type – </t>
  </si>
  <si>
    <t xml:space="preserve">Use plain cores / no Strouse Markings on labels or cores </t>
  </si>
  <si>
    <t>Core  –  As Recd.
Width – 2.375"
Number Across Run/FInish –  2/1
Core Label – Yes
±10% –  Yes
Unwind Dir. Run – N/A
Unwind Dir. Finish –  N/A
Diecut/Continuous/Sheet –  Continuous
Partial Case –  Yes
Pieces per roll/Unit – 1 Roll
Length per roll/unit –  36 Yd
Finish – On Press
Application – </t>
  </si>
  <si>
    <t>50823 Cost of Goods Sold</t>
  </si>
  <si>
    <t>Slit Rolls CSM - Fiberglass/PP weave 1.75" x See W/O for length</t>
  </si>
  <si>
    <t>OP-6000170-G</t>
  </si>
  <si>
    <t>Slit Rolls - CSM - Fiberglass/PP weave - 1.75" x See W/O for length</t>
  </si>
  <si>
    <t>Number Across Run/Finish –  45/1
Where Finished –  On Press
Length per Roll/Unit – See WO
Core Type –  3" Paper 1/8" White Brown
Core Width – 1.75"
Core Label – No
Dividers – 
Bag Size – 
Qty. Per Bag – 
Box Size –  12 x 12 x 10
Qty. Per Box – 8 Rolls
Weight/box – 
Box Per Pallet – 
Pallet Type – </t>
  </si>
  <si>
    <t>Core  –  3" Paper 1/8" White Brown
Width – 1.75"
Number Across Run/FInish –  45/1
Core Label – No
±10% –  Yes
Unwind Dir. Run – N/A
Unwind Dir. Finish –  N/A
Diecut/Continuous/Sheet –  Continuous
Partial Case –  Yes
Pieces per roll/Unit – 1 Roll
Length per roll/unit –  See WO
Finish – On Press
Application – </t>
  </si>
  <si>
    <t>See work order for finished roll length.</t>
  </si>
  <si>
    <t>50824 Cost of Goods Sold</t>
  </si>
  <si>
    <t>Slit Roll 3M 8545HS with skip slit 9" x 108'</t>
  </si>
  <si>
    <t>3M8545HSD29X362SSR</t>
  </si>
  <si>
    <t>Slit Roll - 3M 8545HS with skip slit - 9" x 108'</t>
  </si>
  <si>
    <t>Number Across Run/Finish –  1/1
Where Finished –  On Press
Length per Roll/Unit – 108'
Core Type –  3" Paper 3/8" Brown Brown
Core Width – 9"
Core Label – Yes
Dividers – 
Bag Size – 
Qty. Per Bag – 1 Roll
Box Size –  26 x 26 x 3 T&amp;B
Qty. Per Box – 1 Roll
Weight/box – 
Box Per Pallet – 
Pallet Type – </t>
  </si>
  <si>
    <t>Core  –  3" Paper 3/8" Brown Brown
Width – 9"
Number Across Run/FInish –  1/1
Core Label – Yes
±10% –  Yes
Unwind Dir. Run – Liner Out
Unwind Dir. Finish –  Liner Out
Diecut/Continuous/Sheet –  Continuous Die Cut
Partial Case –  Yes
Pieces per roll/Unit – 1 Roll
Length per roll/unit –  108'
Finish – On Press
Application – </t>
  </si>
  <si>
    <t>50825 Cost of Goods Sold</t>
  </si>
  <si>
    <t>Sheeted Part AR 10 mil PET 18" x 24"</t>
  </si>
  <si>
    <t>8972</t>
  </si>
  <si>
    <t>Sheeted Part - AR 10 mil PET - 18" x 24"</t>
  </si>
  <si>
    <t>Number Across Run/Finish –  1/1
Where Finished –  On Press
Length per Roll/Unit – 200'
Core Type –  N/A
Core Width – N/A
Core Label – Yes - on bag
Dividers – 
Bag Size – 
Qty. Per Bag – 100 Each
Box Size –  13 x 13 x 13
Qty. Per Box – 200 Each
Weight/box – 
Box Per Pallet – 
Pallet Type – </t>
  </si>
  <si>
    <t>C of C with Material Lot #, DOM, and Shelf Life must accompany shipment.</t>
  </si>
  <si>
    <t>Core  –  N/A
Width – N/A
Number Across Run/FInish –  1/1
Core Label – Yes - on bag
±10% –  Yes
Unwind Dir. Run – N/A
Unwind Dir. Finish –  N/A
Diecut/Continuous/Sheet –  Sheet
Partial Case –  Yes
Pieces per roll/Unit – 100
Length per roll/unit –  200'
Finish – On Press
Application – </t>
  </si>
  <si>
    <t>50826 Cost of Goods Sold</t>
  </si>
  <si>
    <t>Slit Rolls CSM - 3M 4991 0.375" x 36Yd</t>
  </si>
  <si>
    <t>8974</t>
  </si>
  <si>
    <t>Slit Rolls - CSM - 3M 4991 - 0.375" x 36Yd</t>
  </si>
  <si>
    <t>Number Across Run/Finish –  2/1
Where Finished –  On Press
Length per Roll/Unit – 36 Yd
Core Type –  3" Paper 1/8" White Brown
Core Width – 0.43"
Core Label – No
Dividers – paper
Bag Size – 
Qty. Per Bag – 32 Rolls
Box Size –  12 x 12 x 4
Qty. Per Box – 32 Rolls
Weight/box – 
Box Per Pallet – 
Pallet Type – </t>
  </si>
  <si>
    <t>Core  –  3" Paper 1/8" White Brown
Width – 0.43"
Number Across Run/FInish –  2/1
Core Label – No
±10% –  Yes
Unwind Dir. Run – Adh. In
Unwind Dir. Finish –  Adh. In
Diecut/Continuous/Sheet –  Continuous
Partial Case –  Yes
Pieces per roll/Unit – 1 Roll
Length per roll/unit –  36 Yd
Finish – On Press
Application – </t>
  </si>
  <si>
    <t>50827 Cost of Goods Sold</t>
  </si>
  <si>
    <t>Sheeted Part 3M 5909 with tab 149.15mm x 86.6mm with tab</t>
  </si>
  <si>
    <t>10008</t>
  </si>
  <si>
    <t>Sheeted Part - 3M 5909 with tab - 149.15mm x 86.6mm with tab</t>
  </si>
  <si>
    <t>Number Across Run/Finish –  1/1
Where Finished –  On Press
Length per Roll/Unit – 3'
Core Type –  N/A
Core Width – N/A
Core Label – No
Dividers – 
Bag Size – 
Qty. Per Bag – 10 Each
Box Size –  6 x 6 x 6
Qty. Per Box – 30 Each
Weight/box – 
Box Per Pallet – 
Pallet Type – </t>
  </si>
  <si>
    <t>Core  –  N/A
Width – N/A
Number Across Run/FInish –  1/1
Core Label – No
±10% –  Yes
Unwind Dir. Run – N/A
Unwind Dir. Finish –  N/A
Diecut/Continuous/Sheet –  Sheet
Partial Case –  Yes
Pieces per roll/Unit – 10
Length per roll/unit –  3'
Finish – On Press
Application – </t>
  </si>
  <si>
    <t>50828 Cost of Goods Sold</t>
  </si>
  <si>
    <t>Sheeted Part Insulator sheet 47.20mm x 20.80mm</t>
  </si>
  <si>
    <t>13769</t>
  </si>
  <si>
    <t>Sheeted Part - Insulator sheet - 47.20mm x 20.80mm</t>
  </si>
  <si>
    <t>Number Across Run/Finish –  2/1
Where Finished –  On Press
Length per Roll/Unit – 9'
Core Type –  N/A
Core Width – N/A
Core Label – No
Dividers – 
Bag Size – 
Qty. Per Bag – 100 Each
Box Size –  
Qty. Per Box – 100 Each
Weight/box – 
Box Per Pallet – 
Pallet Type – </t>
  </si>
  <si>
    <t>Core  –  N/A
Width – N/A
Number Across Run/FInish –  2/1
Core Label – No
±10% –  Yes
Unwind Dir. Run – N/A
Unwind Dir. Finish –  N/A
Diecut/Continuous/Sheet –  Sheet
Partial Case –  Yes
Pieces per roll/Unit – 100
Length per roll/unit –  9'
Finish – On Press
Application – </t>
  </si>
  <si>
    <t>50829 Cost of Goods Sold</t>
  </si>
  <si>
    <t xml:space="preserve">  </t>
  </si>
  <si>
    <t>DR06</t>
  </si>
  <si>
    <t>Number Across Run/Finish –  
Where Finished –  
Length per Roll/Unit – 
Core Type –  N/A
Core Width – 
Core Label – 
Dividers – 
Bag Size – 
Qty. Per Bag – 
Box Size –  
Qty. Per Box – 
Weight/box – 
Box Per Pallet – 
Pallet Type – </t>
  </si>
  <si>
    <t>Core  –  N/A
Width – 
Number Across Run/FInish –  
Core Label – 
±10% –  
Unwind Dir. Run – 
Unwind Dir. Finish –  
Diecut/Continuous/Sheet –  
Partial Case –  
Pieces per roll/Unit – 
Length per roll/unit –  
Finish – 
Application – </t>
  </si>
  <si>
    <t>50830 Cost of Goods Sold</t>
  </si>
  <si>
    <t>DR05</t>
  </si>
  <si>
    <t>50831 Cost of Goods Sold</t>
  </si>
  <si>
    <t>DR04</t>
  </si>
  <si>
    <t>Number Across Run/Finish –  
Where Finished –  
Length per Roll/Unit – 
Core Type –  N/A
Core Width – 
Core Label – 
Dividers – 
Bag Size – 
Qty. Per Bag – 
Box Size –  12 x 12 x 10
Qty. Per Box – 
Weight/box – 
Box Per Pallet – 
Pallet Type – </t>
  </si>
  <si>
    <t>50832 Cost of Goods Sold</t>
  </si>
  <si>
    <t>Paint Adhesion Tape ST-1195 perfed every 4" 1" x 60Yd</t>
  </si>
  <si>
    <t>ST-1195 perfed</t>
  </si>
  <si>
    <t>Paint Adhesion Tape - ST-1195 perfed every 4" - 1" x 60Yd</t>
  </si>
  <si>
    <t>Number Across Run/Finish –  5/1
Where Finished –  On Press
Length per Roll/Unit – 60 Yd
Core Type –  3" Paper 1/8" Custom White
Core Width – 1"
Core Label – No
Dividers – Paper
Bag Size – 
Qty. Per Bag – 10 Rolls
Box Size –  14 x 14 x 10
Qty. Per Box – 40 Rolls
Weight/box – 
Box Per Pallet – 
Pallet Type – </t>
  </si>
  <si>
    <t>Core  –  3" Paper 1/8" Custom White
Width – 1"
Number Across Run/FInish –  5/1
Core Label – No
±10% –  Yes
Unwind Dir. Run – Adh. In
Unwind Dir. Finish –  Adh. In
Diecut/Continuous/Sheet –  Continuous
Partial Case –  Yes
Pieces per roll/Unit – 1 Roll
Length per roll/unit –  60 Yd
Finish – On Press
Application – </t>
  </si>
  <si>
    <t>50833 Cost of Goods Sold</t>
  </si>
  <si>
    <t>Fabricated Part Tesa 4962 squares 2" x 54Yd</t>
  </si>
  <si>
    <t>C3091144962</t>
  </si>
  <si>
    <t>Fabricated Part - Tesa 4962 squares - 2" x 54Yd</t>
  </si>
  <si>
    <t>Number Across Run/Finish –  4/1
Where Finished –  On Press
Length per Roll/Unit – 162'
Core Type –  3" Paper 1/8" White Brown
Core Width – 2"
Core Label – Yes
Dividers – Paper
Bag Size – 
Qty. Per Bag – 4 Rolls
Box Size –  26 x 26 x 3 T&amp;B
Qty. Per Box – 4 Rolls
Weight/box – 
Box Per Pallet – 
Pallet Type – </t>
  </si>
  <si>
    <t>Core  –  3" Paper 1/8" White Brown
Width – 2"
Number Across Run/FInish –  4/1
Core Label – Yes
±10% –  Yes
Unwind Dir. Run – Adh. In
Unwind Dir. Finish –  Adh. In
Diecut/Continuous/Sheet –  Continuous Die Cut
Partial Case –  Yes
Pieces per roll/Unit – 1 Roll
Length per roll/unit –  162'
Finish – On Press
Application – </t>
  </si>
  <si>
    <t>50834 Cost of Goods Sold</t>
  </si>
  <si>
    <t>Sheeted Part 3M 1510 24" x 18"</t>
  </si>
  <si>
    <t>8983</t>
  </si>
  <si>
    <t>Sheeted Part - 3M 1510 - 24" x 18"</t>
  </si>
  <si>
    <t>Number Across Run/Finish –  1/1
Where Finished –  On Press
Length per Roll/Unit – 200'
Core Type –  N/A
Core Width – N/A
Core Label – No
Dividers – 
Bag Size – 
Qty. Per Bag – 50 Each
Box Size –  9 x 9 x 13
Qty. Per Box – 100 Each
Weight/box – 
Box Per Pallet – 
Pallet Type – </t>
  </si>
  <si>
    <t>Core  –  N/A
Width – N/A
Number Across Run/FInish –  1/1
Core Label – No
±10% –  Yes
Unwind Dir. Run – N/A
Unwind Dir. Finish –  N/A
Diecut/Continuous/Sheet –  Sheet
Partial Case –  Yes
Pieces per roll/Unit – 100
Length per roll/unit –  200'
Finish – On Press
Application – </t>
  </si>
  <si>
    <t>50835 Cost of Goods Sold</t>
  </si>
  <si>
    <t>Die Cut Part 3M 880 11.5" x 0.5"</t>
  </si>
  <si>
    <t>8984</t>
  </si>
  <si>
    <t>Die Cut Part - 3M 880 - 11.5" x 0.5"</t>
  </si>
  <si>
    <t>Number Across Run/Finish –  1/1
Where Finished –  On Press
Length per Roll/Unit – 196'
Core Type –  3" Paper 1/8" White Brown
Core Width – 6"
Core Label – Yes
Dividers – 
Bag Size – 
Qty. Per Bag – 2 M
Box Size –  14 x 14 x 14
Qty. Per Box – 4 M
Weight/box – 
Box Per Pallet – 
Pallet Type – </t>
  </si>
  <si>
    <t>Core  –  3" Paper 1/8" White Brown
Width – 6"
Number Across Run/FInish –  1/1
Core Label – Yes
±10% –  Yes
Unwind Dir. Run – Parts Out
Unwind Dir. Finish –  Parts Out
Diecut/Continuous/Sheet –  Die Cut
Partial Case –  Yes
Pieces per roll/Unit – 2,000
Length per roll/unit –  196'
Finish – On Press
Application – </t>
  </si>
  <si>
    <t>50836 Cost of Goods Sold</t>
  </si>
  <si>
    <t>Sheeted Part 1/16" foam disk 113.3mm Dia</t>
  </si>
  <si>
    <t>96-009600</t>
  </si>
  <si>
    <t>Sheeted Part - 1/16" foam disk - 113.3mm Dia</t>
  </si>
  <si>
    <t>Number Across Run/Finish –  1/1
Where Finished –  On Press
Length per Roll/Unit – 764'
Core Type –  N/A
Core Width – N/A
Core Label – No
Dividers – See Note
Bag Size – 
Qty. Per Bag – 2 M
Box Size –  11 x 11 x 14
Qty. Per Box – 2 M
Weight/box – 
Box Per Pallet – 
Pallet Type – </t>
  </si>
  <si>
    <t>Per customer--Disks: 2,000 bagged per carton - (9 stacks inside plastic bag).  Close bag by folding the top, and then place a 14 x 14 cardboard divider on top before closing box.  "We can accept a slightly smaller box, but not a larger one, as they go on line".  Partial boxes must be properly marked.
- Labels to be on two adjacent sides of cartons.
- Avon Purchase Order, Part Number, Part Number Revision, Spec Number, Quantity, Description, Week or Day of Manufacture, and lot number MUST be noted on all outer box labels, certifications, packing slips, and invoices.  Include Stock Lot numbers on the C of C.  Include a Material Cert for the foam.
- Lot number, quantity, and spec number MUST be barcoded on all outer box labels.
- All items with a shelf life MUST have the expiration date noted on the packing slip, certification, and individual item or container.</t>
  </si>
  <si>
    <t>Core  –  N/A
Width – N/A
Number Across Run/FInish –  1/1
Core Label – No
±10% –  Yes
Unwind Dir. Run – N/A
Unwind Dir. Finish –  N/A
Diecut/Continuous/Sheet –  Sheet
Partial Case –  Yes
Pieces per roll/Unit – 2,000
Length per roll/unit –  764'
Finish – On Press
Application – </t>
  </si>
  <si>
    <t>50837 Cost of Goods Sold</t>
  </si>
  <si>
    <t>Printed Tape 3M 3903 Blue, printed White with "STEAM PLANT CLEAN" 1" x 50Yd</t>
  </si>
  <si>
    <t>0B3903SPC</t>
  </si>
  <si>
    <t>Printed Tape - 3M 3903 Blue, printed White with "STEAM PLANT CLEAN" - 1" x 50Yd</t>
  </si>
  <si>
    <t>Number Across Run/Finish –  5/1
Where Finished –  On Press
Length per Roll/Unit – 50 Yd
Core Type –  3" Paper 1/8" Strouse Brown
Core Width – 1"
Core Label – Yes
Dividers – Paper
Bag Size – 
Qty. Per Bag – 12 Rolls
Box Size –  special
Qty. Per Box – 48 Rolls
Weight/box – 
Box Per Pallet – 
Pallet Type – </t>
  </si>
  <si>
    <t>Put end user PO# (Ship to Specs) on the box and core labels.</t>
  </si>
  <si>
    <t>Core  –  3" Paper 1/8" Strouse Brown
Width – 1"
Number Across Run/FInish –  5/1
Core Label – Yes
±10% –  No
Unwind Dir. Run – 2
Unwind Dir. Finish –  2
Diecut/Continuous/Sheet –  Continuous
Partial Case –  Yes
Pieces per roll/Unit – 1 Roll
Length per roll/unit –  50 Yd
Finish – On Press
Application – </t>
  </si>
  <si>
    <t>3M 3903 must be refrigerated 24 hours before laminating to liner.  Do not remove from refrigerator until press is set up and ready to run the material.  DO NOT FREEZE THE MATERIAL!</t>
  </si>
  <si>
    <t>50838 Cost of Goods Sold</t>
  </si>
  <si>
    <t>Slit Roll 1/16" foam 4.65" x 1,050'</t>
  </si>
  <si>
    <t>96-013100</t>
  </si>
  <si>
    <t>Slit Roll - 1/16" foam - 4.65" x 1,050'</t>
  </si>
  <si>
    <t>Number Across Run/Finish –  12/1
Where Finished –  On Press
Length per Roll/Unit – 1,050'
Core Type –  3" Paper 0.180" Brown Brown
Core Width – 4.65"
Core Label – Yes
Dividers – 
Bag Size – 
Qty. Per Bag – 1 Roll
Box Size –  12 1/2 x 8 1/2 x 12 5/8
Qty. Per Box – 6 Rolls
Weight/box – 
Box Per Pallet – 
Pallet Type – </t>
  </si>
  <si>
    <t>Per customer--Rolls: 1 pallet, cardboard as bottom layer, each roll is protected with a thin plastic bag and stacked 6 rolls high (Max), shrink wrapped with edge protector each side on top, cross banded to the pallet with "DO NOT DOUBLE STACK" labels.
- Labels to be on two adjacent sides of cartons/pallets.
- Avon Purchase Order, Part Number, Part Number Revision, Spec Number, Quantity, Description, Week or Day of Manufacture, and lot number MUST be noted on all outer box labels, certifications, packing slips, and invoices.  Include Stock Lot numbers on the C of C.  Include a Material Cert for the foam.
- Lot number, quantity, and spec number MUST be barcoded on all outer box labels.
- All items with a shelf life MUST have the expiration date noted on the packing slip, certification, and individual item or container.
SPLICE QUALITY REQUIREMENTS:
- THE EDGES OF THE FOAM SHALL BE ALIGNED FLUSH ON BOTH SIDES OF THE SPLICE
- NO GAP OR OVERLAP AT THE BUTT SPLICE JOINT
- ALL CUTS SHALL BE STRAIGHT AND PERPENDICULAR TO THE EDGES OF THE FOAM
- THE TAPE SHALL BE CENTERED SO THERE IS EQUAL COVERAGE ON BOTH SIDES OF THE SPLICE
- NO WRINKLES ALLOWED IN THE SPLICING TAPE OR THE FOAM
- THE TAPE SHALL SPAN THE ENTIRE WIDTH OF THE SPLICE
- THE TAPE SHALL NOT STICK OUT PAST THE EDGE OF THE FINISHED ROLLS</t>
  </si>
  <si>
    <t>Core  –  3" Paper 0.180" Brown Brown
Width – 4.65"
Number Across Run/FInish –  12/1
Core Label – Yes
±10% –  Yes
Unwind Dir. Run – N/A
Unwind Dir. Finish –  N/A
Diecut/Continuous/Sheet –  Continuous
Partial Case –  Yes
Pieces per roll/Unit – 1 Roll
Length per roll/unit –  1,050'
Finish – On Press
Application – </t>
  </si>
  <si>
    <t>SPLICE QUALITY REQUIREMENTS:
- THE EDGES OF THE FOAM SHALL BE ALIGNED FLUSH ON BOTH SIDES OF THE SPLICE
- NO GAP OR OVERLAP AT THE BUTT SPLICE JOINT
- ALL CUTS SHALL BE STRAIGHT AND PERPENDICULAR TO THE EDGES OF THE FOAM
- THE TAPE SHALL BE CENTERED SO THERE IS EQUAL COVERAGE ON BOTH SIDES OF THE SPLICE
- NO WRINKLES ALLOWED IN THE SPLICING TAPE OR THE FOAM
- THE TAPE SHALL SPAN THE ENTIRE WIDTH OF THE SPLICE
- THE TAPE SHALL NOT STICK OUT PAST THE EDGE OF THE FINISHED ROLLS</t>
  </si>
  <si>
    <t>50839 Cost of Goods Sold</t>
  </si>
  <si>
    <t>Die Cut Label Thermal Transfer 0.94" x 1.84"</t>
  </si>
  <si>
    <t>8989</t>
  </si>
  <si>
    <t>Die Cut Label - Thermal Transfer - 0.94" x 1.84"</t>
  </si>
  <si>
    <t>Number Across Run/Finish –  2/1
Where Finished –  On Press
Length per Roll/Unit – 441'
Core Type –  3" Paper 1/8" Strouse Brown
Core Width – 2.09"
Core Label – Yes
Dividers – 
Bag Size – 
Qty. Per Bag – 
Box Size –  None
Qty. Per Box – 60 M
Weight/box – 
Box Per Pallet – 
Pallet Type – </t>
  </si>
  <si>
    <t>Core  –  3" Paper 1/8" Strouse Brown
Width – 2.09"
Number Across Run/FInish –  2/1
Core Label – Yes
±10% –  Yes
Unwind Dir. Run – Parts Out
Unwind Dir. Finish –  parts Out
Diecut/Continuous/Sheet –  Die Cut
Partial Case –  Yes
Pieces per roll/Unit – 5,000
Length per roll/unit –  441'
Finish – On Press
Application – </t>
  </si>
  <si>
    <t>50840 Cost of Goods Sold</t>
  </si>
  <si>
    <t>Slit Film CS 0.3 mm clear PVC 88.20mm x 280m</t>
  </si>
  <si>
    <t>TRPV0034 Rev 02</t>
  </si>
  <si>
    <t>Slit Film - CS 0.3 mm clear PVC - 88.20mm x 280m</t>
  </si>
  <si>
    <t>Number Across Run/Finish –  9/1
Where Finished –  On Press
Length per Roll/Unit – 280 m
Core Type –  3" Plastic 0.10" HDPE
Core Width – 88.2 mm
Core Label – Yes
Dividers – 
Bag Size – 
Qty. Per Bag – 1 Rolls
Box Size –  None
Qty. Per Box – N/A 
Weight/box – 
Box Per Pallet – 
Pallet Type – </t>
  </si>
  <si>
    <t xml:space="preserve">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36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
</t>
  </si>
  <si>
    <t>Core  –  3" Plastic 0.10" HDPE
Width – 88.2 mm
Number Across Run/FInish –  9/1
Core Label – Yes
±10% –  Yes
Unwind Dir. Run – N/A
Unwind Dir. Finish –  N/A
Diecut/Continuous/Sheet –  Continuous
Partial Case –  Yes
Pieces per roll/Unit – 1 Roll
Length per roll/unit –  280 m
Finish – On Press
Application – </t>
  </si>
  <si>
    <t xml:space="preserve">Use splice method that was determined during splicing trial.
Sample Procedure - Cut 1 foot length sample from each finished roll.  Place in a poly bag label with “SAMPLE”, Part number and batch/lot#.  Put all sample bags together with shipment.  
</t>
  </si>
  <si>
    <t>50841 Cost of Goods Sold</t>
  </si>
  <si>
    <t>Slit Film CS 0.3 mm clear PVC 96.7mm x 280m</t>
  </si>
  <si>
    <t>TRPV0035 Rev 02</t>
  </si>
  <si>
    <t>Slit Film - CS 0.3 mm clear PVC - 96.7mm x 280m</t>
  </si>
  <si>
    <t>Number Across Run/Finish –  8/1
Where Finished –  On Press
Length per Roll/Unit – 280 m
Core Type –  3" Plastic 0.10" HDPE
Core Width – 96.7 mm
Core Label – Yes
Dividers – 
Bag Size – 
Qty. Per Bag – 1 Rolls
Box Size –  None
Qty. Per Box – N/A 
Weight/box – 
Box Per Pallet – 
Pallet Type – </t>
  </si>
  <si>
    <t>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30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t>
  </si>
  <si>
    <t>Core  –  3" Plastic 0.10" HDPE
Width – 96.7 mm
Number Across Run/FInish –  8/1
Core Label – Yes
±10% –  Yes
Unwind Dir. Run – N/A
Unwind Dir. Finish –  N/A
Diecut/Continuous/Sheet –  Continuous
Partial Case –  Yes
Pieces per roll/Unit – 1 Roll
Length per roll/unit –  280 m
Finish – On Press
Application – </t>
  </si>
  <si>
    <t xml:space="preserve">Use splice method that was determined during splicing trial.  
Sample Procedure - Cut 1 foot length sample from each finished roll.  Place in a poly bag label with “SAMPLE”, Part number and batch/lot#.  Put all sample bags together with shipment.  
</t>
  </si>
  <si>
    <t>50842 Cost of Goods Sold</t>
  </si>
  <si>
    <t>Slit Film CS 0.5 mm clear PVC 307mm x 300m</t>
  </si>
  <si>
    <t>TRPV0036 Rev 03</t>
  </si>
  <si>
    <t>Slit Film - CS 0.5 mm clear PVC - 307mm x 300m</t>
  </si>
  <si>
    <t>Number Across Run/Finish –  3/1
Where Finished –  On Press
Length per Roll/Unit – 300 m
Core Type –  3" Plastic 0.10" HDPE
Core Width – 307 mm
Core Label – Yes
Dividers – 
Bag Size – 
Qty. Per Bag – 1 Rolls
Box Size –  None
Qty. Per Box – N/A 
Weight/box – 
Box Per Pallet – 
Pallet Type – </t>
  </si>
  <si>
    <t>Use splice method that was determined during splicing trial.
Operator:
Double bag before removing from tree (Use 16x14x36 2 mil bags).  Plastic skids that the material comes in on are to be reused for finished roll (Additional skids (wood or plastic) will be needed).  Place corrugated board as base for skid.  4 rolls per pallet laying flat side down.  Cover roll's top and side with cardboard.  Need to place label on cardboard or box on all 4 sides of the skid.
Shipping:
Strap material to skid using pound method (#) Shrink wrap skid
Pallet to be labeled with label that includes item number, lot number, quantity, and Purchase Order Number.
Document:
Product Revision to be on all documentation and labels
C of C to contain:
Product number and revision
Lot Number
Quantity
Roll footages from the machine footage counter</t>
  </si>
  <si>
    <t>Core  –  3" Plastic 0.10" HDPE
Width – 307 mm
Number Across Run/FInish –  3/1
Core Label – Yes
±10% –  Yes
Unwind Dir. Run – N/A
Unwind Dir. Finish –  N/A
Diecut/Continuous/Sheet –  Continuous
Partial Case –  Yes
Pieces per roll/Unit – 1 Roll
Length per roll/unit –  300 m
Finish – On Press
Application – </t>
  </si>
  <si>
    <t xml:space="preserve">No splices without approval from Sales and Engineering.  If a splice is needed, consult one of those parties for further instructions.  Sample Procedure - Cut 1 foot length sample from each finished roll.  Place in a poly bag label with “SAMPLE”, Part number and batch/lot#.  Put all sample bags together with shipment.  
</t>
  </si>
  <si>
    <t>50843 Cost of Goods Sold</t>
  </si>
  <si>
    <t>Slit Film CS 0.5 mm clear PVC 273mm x 300m</t>
  </si>
  <si>
    <t>TRPV0037 Rev 02</t>
  </si>
  <si>
    <t>Slit Film - CS 0.5 mm clear PVC - 273mm x 300m</t>
  </si>
  <si>
    <t>Number Across Run/Finish –  3/1
Where Finished –  On Press
Length per Roll/Unit – 300 m
Core Type –  3" Plastic 0.10" HDPE
Core Width – 273 mm
Core Label – Yes
Dividers – 
Bag Size – 
Qty. Per Bag – 1 Rolls
Box Size –  None
Qty. Per Box – N/A 
Weight/box – 
Box Per Pallet – 
Pallet Type – </t>
  </si>
  <si>
    <t>Core  –  3" Plastic 0.10" HDPE
Width – 273 mm
Number Across Run/FInish –  3/1
Core Label – Yes
±10% –  Yes
Unwind Dir. Run – N/A
Unwind Dir. Finish –  N/A
Diecut/Continuous/Sheet –  Continuous
Partial Case –  Yes
Pieces per roll/Unit – 1 Roll
Length per roll/unit –  300 m
Finish – On Press
Application – </t>
  </si>
  <si>
    <t>50844 Cost of Goods Sold</t>
  </si>
  <si>
    <t>Slit Film CS 0.5 mm clear PVC 93.53mm x 300m</t>
  </si>
  <si>
    <t>TRPV0033 Rev 02</t>
  </si>
  <si>
    <t>Slit Film - CS 0.5 mm clear PVC - 93.53mm x 300m</t>
  </si>
  <si>
    <t>Number Across Run/Finish –  10/1
Where Finished –  On Press
Length per Roll/Unit – 300 m
Core Type –  3" Plastic 0.10" HDPE
Core Width – 93.53 mm
Core Label – Yes
Dividers – 
Bag Size – 
Qty. Per Bag – 1 Rolls
Box Size –  14 x 14 x 4
Qty. Per Box – N/A 
Weight/box – 
Box Per Pallet – 
Pallet Type – </t>
  </si>
  <si>
    <t>Core  –  3" Plastic 0.10" HDPE
Width – 93.53 mm
Number Across Run/FInish –  10/1
Core Label – Yes
±10% –  Yes
Unwind Dir. Run – N/A
Unwind Dir. Finish –  N/A
Diecut/Continuous/Sheet –  Continuous
Partial Case –  Yes
Pieces per roll/Unit – 1 Roll
Length per roll/unit –  300 m
Finish – On Press
Application – </t>
  </si>
  <si>
    <t>50845 Cost of Goods Sold</t>
  </si>
  <si>
    <t>Sheeted Part 3M 4919F 12.3" x 8.8"</t>
  </si>
  <si>
    <t>8995</t>
  </si>
  <si>
    <t>Sheeted Part - 3M 4919F - 12.3" x 8.8"</t>
  </si>
  <si>
    <t>Number Across Run/Finish –  1/1
Where Finished –  On Press
Length per Roll/Unit – 105'
Core Type –  N/A
Core Width – N/A
Core Label – No
Dividers – 
Bag Size – 
Qty. Per Bag – 100 Each
Box Size –  12 x 12 x 12
Qty. Per Box – 100 Each
Weight/box – 
Box Per Pallet – 
Pallet Type – </t>
  </si>
  <si>
    <t>Package for internal use.  These are used in the assembly step on JT 8996.  Put extra in inventory under CAT# 21762</t>
  </si>
  <si>
    <t>Core  –  N/A
Width – N/A
Number Across Run/FInish –  1/1
Core Label – No
±10% –  Yes
Unwind Dir. Run – N/A
Unwind Dir. Finish –  N/A
Diecut/Continuous/Sheet –  Die Cut Sheet
Partial Case –  Yes
Pieces per roll/Unit – 100
Length per roll/unit –  105'
Finish – On Press
Application – </t>
  </si>
  <si>
    <t>50846 Cost of Goods Sold</t>
  </si>
  <si>
    <t>Sheeted Part Hand assembly of CS parts and VHB N/A</t>
  </si>
  <si>
    <t>8996</t>
  </si>
  <si>
    <t>Sheeted Part - Hand assembly of CS parts and VHB - N/A</t>
  </si>
  <si>
    <t>Number Across Run/Finish –  1/1
Where Finished –  On Press
Length per Roll/Unit – N/A
Core Type –  N/A
Core Width – N/A
Core Label – No
Dividers – Plastic
Bag Size – 
Qty. Per Bag – 20 Each
Box Size –  8 x 8 x 8
Qty. Per Box – 20 Each
Weight/box – 
Box Per Pallet – 
Pallet Type – </t>
  </si>
  <si>
    <t>12X12 plastic corrugated pad in between each assembled part.</t>
  </si>
  <si>
    <t>Core  –  N/A
Width – N/A
Number Across Run/FInish –  1/1
Core Label – No
±10% –  Yes
Unwind Dir. Run – N/A
Unwind Dir. Finish –  N/A
Diecut/Continuous/Sheet –  Sheet
Partial Case –  Yes
Pieces per roll/Unit – 1
Length per roll/unit –  N/A
Finish – On Press
Application – </t>
  </si>
  <si>
    <t>50847 Cost of Goods Sold</t>
  </si>
  <si>
    <t>Sheeted Part 3M 9472LE 20mm x 70mm</t>
  </si>
  <si>
    <t>8997</t>
  </si>
  <si>
    <t>Sheeted Part - 3M 9472LE - 20mm x 70mm</t>
  </si>
  <si>
    <t>Number Across Run/Finish –  1/1
Where Finished –  On Press
Length per Roll/Unit – 84'
Core Type –  N/A
Core Width – N/A
Core Label – No
Dividers – 
Bag Size – 
Qty. Per Bag – 1000 Each
Box Size –  10 x 10 x 10
Qty. Per Box – 2,000 Each
Weight/box – 
Box Per Pallet – 
Pallet Type – </t>
  </si>
  <si>
    <t>Core  –  N/A
Width – N/A
Number Across Run/FInish –  1/1
Core Label – No
±10% –  Yes
Unwind Dir. Run – N/A
Unwind Dir. Finish –  N/A
Diecut/Continuous/Sheet –  Die Cut Sheet
Partial Case –  Yes
Pieces per roll/Unit – 1,000
Length per roll/unit –  84'
Finish – On Press
Application – </t>
  </si>
  <si>
    <t>50848 Cost of Goods Sold</t>
  </si>
  <si>
    <t>Printed Tape White UPVC printed black "7" 1/2" x 80Yd</t>
  </si>
  <si>
    <t>806196106</t>
  </si>
  <si>
    <t>Printed Tape - White UPVC printed black "7" - 1/2" x 80Yd</t>
  </si>
  <si>
    <t>50849 Cost of Goods Sold</t>
  </si>
  <si>
    <t>Printed Tape White UPVC printed black "8" 1/2" x 80Yd</t>
  </si>
  <si>
    <t>806196107</t>
  </si>
  <si>
    <t>Printed Tape - White UPVC printed black "8" - 1/2" x 80Yd</t>
  </si>
  <si>
    <t>Number Across Run/Finish –  11/1
Where Finished –  On Press
Length per Roll/Unit – 80 Yd
Core Type –  3" Paper 1/8" Strouse Brown
Core Width – 0.5"
Core Label – Yes - See Note
Dividers – Paper
Bag Size – 
Qty. Per Bag – 6 Rolls
Box Size –  12 x 12 x 12
Qty. Per Box – 66 Rolls
Weight/box – 
Box Per Pallet – 
Pallet Type – </t>
  </si>
  <si>
    <t>50850 Cost of Goods Sold</t>
  </si>
  <si>
    <t>2PMH00803</t>
  </si>
  <si>
    <t>Number Across Run/Finish –  4/1
Where Finished –  Web Techniques
Length per Roll/Unit – 200'
Core Type –  3" Plastic 0.10" HDPE
Core Width – 35 mm
Core Label – Yes
Dividers – Lexmark style
Bag Size – 
Qty. Per Bag – 5 M
Box Size –  12 x 12 x 4
Qty. Per Box – 40 M
Weight/box – 
Box Per Pallet – 
Pallet Type – </t>
  </si>
  <si>
    <t>Include a C of C w/ material Lot #'s.</t>
  </si>
  <si>
    <t>Uses same plate as 8968.  Use siat slitting spacers to set blades. Used 12mm along with 23mm. Thin blades</t>
  </si>
  <si>
    <t>50851 Cost of Goods Sold</t>
  </si>
  <si>
    <t>Slit Tape UL181A-P 0.375" x 60Yd</t>
  </si>
  <si>
    <t>9002</t>
  </si>
  <si>
    <t>Slit Tape - UL181A-P - 0.375" x 60Yd</t>
  </si>
  <si>
    <t>Number Across Run/Finish –  8/1
Where Finished –  On Press
Length per Roll/Unit – 60 Yd
Core Type –  As Recd.
Core Width – 0.375"
Core Label – No
Dividers – Paper
Bag Size – 
Qty. Per Bag – 10 Rolls
Box Size –  12 x 12 x 12
Qty. Per Box – 40 Rolls
Weight/box – 
Box Per Pallet – 
Pallet Type – </t>
  </si>
  <si>
    <t>Core  –  As Recd.
Width – 0.375"
Number Across Run/FInish –  8/1
Core Label – No
±10% –  Yes
Unwind Dir. Run – N/A
Unwind Dir. Finish –  N/A
Diecut/Continuous/Sheet –  Continuous
Partial Case –  Yes
Pieces per roll/Unit – 1 Roll
Length per roll/unit –  60 Yd
Finish – On Press
Application – </t>
  </si>
  <si>
    <t>50852 Cost of Goods Sold</t>
  </si>
  <si>
    <t>Slit Rolls FLX001449 See WO</t>
  </si>
  <si>
    <t>Slit Rolls - FLX001449 - See WO</t>
  </si>
  <si>
    <t>Number Across Run/Finish –  ?/1
Where Finished –  On Press
Length per Roll/Unit – See WO
Core Type –  3" Paper 1/8" White Brown
Core Width – See WO
Core Label – No
Dividers – Paper
Bag Size – 
Qty. Per Bag – 12 Rolls
Box Size –  14 x 14 x 14
Qty. Per Box – 48 Rolls
Weight/box – 
Box Per Pallet – 
Pallet Type – </t>
  </si>
  <si>
    <t>C of C to include:
• Company Name/Location, Quantity, PO #, Description, Shipment Date, Material Lot #, Part Number (Drawing number; if different) and Revision (needs to be on Cert).
• Signature of a responsible representative of the supplier.
• A statement certifying to the effect that the products or services provided under the Purchase Order have been manufactured, processed, inspected, and tested in accordance with the provisions of the Purchase Order requirements.  (The statement already on our C of C should suffice).
Also, include a material C of A.
(If material or articles used in production of the deliverable are supplied by ILC Dover, they shall be referenced on C of C w/ P/N and traceability information; if applicable).</t>
  </si>
  <si>
    <t>Core  –  3" Paper 1/8" White Brown
Width – See WO
Number Across Run/FInish –  ?/1
Core Label – No
±10% –  Yes
Unwind Dir. Run – N/A
Unwind Dir. Finish –  N/A
Diecut/Continuous/Sheet –  Continuous
Partial Case –  Yes
Pieces per roll/Unit – 1 Roll
Length per roll/unit –  See WO
Finish – On Press
Application – </t>
  </si>
  <si>
    <t>50853 Cost of Goods Sold</t>
  </si>
  <si>
    <t>Sheeted Part 3M 5952 9" x 3"</t>
  </si>
  <si>
    <t>27085-FMT-097-0001</t>
  </si>
  <si>
    <t>Sheeted Part - 3M 5952 - 9" x 3"</t>
  </si>
  <si>
    <t>Number Across Run/Finish –  1/1
Where Finished –  On Press
Length per Roll/Unit – 375'
Core Type –  N/A
Core Width – N/A
Core Label – No
Dividers – 
Bag Size – 
Qty. Per Bag – 0.5 M
Box Size –  10 x 10 x 10
Qty. Per Box – 2 M
Weight/box – 
Box Per Pallet – 
Pallet Type – </t>
  </si>
  <si>
    <t>P/N ON BOX LABELS MUST BE: 27085-FMT-097-0001</t>
  </si>
  <si>
    <t>Core  –  N/A
Width – N/A
Number Across Run/FInish –  1/1
Core Label – No
±10% –  Yes
Unwind Dir. Run – N/A
Unwind Dir. Finish –  N/A
Diecut/Continuous/Sheet –  Sheet
Partial Case –  Yes
Pieces per roll/Unit – 500
Length per roll/unit –  375'
Finish – On Press
Application – </t>
  </si>
  <si>
    <t>50854 Cost of Goods Sold</t>
  </si>
  <si>
    <t>Printed Tape 3M 471 yellow 2" x 36Yd</t>
  </si>
  <si>
    <t>3M471NOSTEPY2X36RL</t>
  </si>
  <si>
    <t>Printed Tape - 3M 471 yellow - 2" x 36Yd</t>
  </si>
  <si>
    <t>Number Across Run/Finish –  2/1
Where Finished –  On Press
Length per Roll/Unit – 36 Yd
Core Type –  3" Paper 1/8" Strouse Brown
Core Width – 2.0"
Core Label – Yes
Dividers – Paper
Bag Size – 
Qty. Per Bag – 5 Rolls
Box Size –  12 x 12 x 12
Qty. Per Box – 20 Rolls
Weight/box – 
Box Per Pallet – 
Pallet Type – </t>
  </si>
  <si>
    <t>Include:  MFG Cert w/ Test Data; and Strouse C of C w/ Material Lot #, Date of Expiration, and Shelf Life.
Needs 80% Shelf Life remaining</t>
  </si>
  <si>
    <t>Core  –  3" Paper 1/8" Strouse Brown
Width – 2.0"
Number Across Run/FInish –  2/1
Core Label – Yes
±10% –  Yes
Unwind Dir. Run – 3
Unwind Dir. Finish –  3
Diecut/Continuous/Sheet –  Continuous
Partial Case –  Yes
Pieces per roll/Unit – 1 Roll
Length per roll/unit –  36 Yd
Finish – On Press
Application – </t>
  </si>
  <si>
    <t>50855 Cost of Goods Sold</t>
  </si>
  <si>
    <t>Printed Label Chartreuse with black print 3" x 5"</t>
  </si>
  <si>
    <t>9006</t>
  </si>
  <si>
    <t>Printed Label - Chartreuse with black print - 3" x 5"</t>
  </si>
  <si>
    <t>Number Across Run/Finish –  1/1
Where Finished –  Web Techniques
Length per Roll/Unit – 131'
Core Type –  3" Paper 1/8" Strouse Brown
Core Width – 5.5"
Core Label – Yes
Dividers – 
Bag Size – 
Qty. Per Bag – 2 Rolls
Box Size –  12 1/2 x 8 1/2 x 12 5/8
Qty. Per Box – 10 Rolls
Weight/box – 
Box Per Pallet – 
Pallet Type – </t>
  </si>
  <si>
    <t>Core  –  3" Paper 1/8" Strouse Brown
Width – 5.5"
Number Across Run/FInish –  1/1
Core Label – Yes
±10% –  Yes
Unwind Dir. Run – 1
Unwind Dir. Finish –  2
Diecut/Continuous/Sheet –  Die Cut
Partial Case –  Yes
Pieces per roll/Unit – 500
Length per roll/unit –  131'
Finish – Web Techniques
Application – </t>
  </si>
  <si>
    <t>50856 Cost of Goods Sold</t>
  </si>
  <si>
    <t>Printed Tape White with 2 colors 72mm x 72Yd</t>
  </si>
  <si>
    <t>9007</t>
  </si>
  <si>
    <t>Printed Tape - White with 2 colors - 72mm x 72Yd</t>
  </si>
  <si>
    <t>Number Across Run/Finish –  2/1
Where Finished –  On Press
Length per Roll/Unit – 72 Yd
Core Type –  3" Paper 1/8" Strouse Brown
Core Width – 72 mm
Core Label – Yes
Dividers – 
Bag Size – 
Qty. Per Bag – 
Box Size –  9 x 9 x 13
Qty. Per Box – 24 Rolls
Weight/box – 
Box Per Pallet – 
Pallet Type – </t>
  </si>
  <si>
    <t>Core  –  3" Paper 1/8" Strouse Brown
Width – 72 mm
Number Across Run/FInish –  2/1
Core Label – Yes
±10% –  Yes
Unwind Dir. Run – 4
Unwind Dir. Finish –  4
Diecut/Continuous/Sheet –  Continuous
Partial Case –  Yes
Pieces per roll/Unit – 1 Roll
Length per roll/unit –  72 Yd
Finish – On Press
Application – </t>
  </si>
  <si>
    <t>MUST BE RUN IN ONE PASS!</t>
  </si>
  <si>
    <t>50857 Cost of Goods Sold</t>
  </si>
  <si>
    <t>Slit Tape 3M 87630A 4" x 500'</t>
  </si>
  <si>
    <t>9008</t>
  </si>
  <si>
    <t>Slit Tape - 3M 87630A - 4" x 500'</t>
  </si>
  <si>
    <t>Number Across Run/Finish –  1/1
Where Finished –  Web Techniques
Length per Roll/Unit – 500'
Core Type –  3" Plastic 0.10" HDPE
Core Width – 4.00"
Core Label – Yes
Dividers – 
Bag Size – 
Qty. Per Bag – 1 Rolls
Box Size –  14 x 14 x 4
Qty. Per Box – 3 Rolls
Weight/box – 
Box Per Pallet – 
Pallet Type – </t>
  </si>
  <si>
    <t>Core  –  3" Plastic 0.10" HDPE
Width – 4.00"
Number Across Run/FInish –  1/1
Core Label – Yes
±10% –  Yes
Unwind Dir. Run – N/A
Unwind Dir. Finish –  N/A
Diecut/Continuous/Sheet –  Continuous
Partial Case –  Yes
Pieces per roll/Unit – 1
Length per roll/unit –  500'
Finish – Web Techniques
Application – </t>
  </si>
  <si>
    <t>50858 Cost of Goods Sold</t>
  </si>
  <si>
    <t>Sheeted Part 3M 467MP 10" x 12"</t>
  </si>
  <si>
    <t>3M 467MP/10 x 12</t>
  </si>
  <si>
    <t>Sheeted Part - 3M 467MP - 10" x 12"</t>
  </si>
  <si>
    <t>Number Across Run/Finish –  1/1
Where Finished –  On Press
Length per Roll/Unit – 42'
Core Type –  N/A
Core Width – N/A
Core Label – No
Dividers – 
Bag Size – 
Qty. Per Bag – 25 Each
Box Size –  
Qty. Per Box – 50 Each
Weight/box – 
Box Per Pallet – 
Pallet Type – </t>
  </si>
  <si>
    <t>Core  –  N/A
Width – N/A
Number Across Run/FInish –  1/1
Core Label – No
±10% –  Yes
Unwind Dir. Run – N/A
Unwind Dir. Finish –  N/A
Diecut/Continuous/Sheet –  Sheet
Partial Case –  Yes
Pieces per roll/Unit – 50
Length per roll/unit –  42'
Finish – On Press
Application – </t>
  </si>
  <si>
    <t>50859 Cost of Goods Sold</t>
  </si>
  <si>
    <t>Sheeted Part Hydrogel Dressing 4.75" x 4.75"</t>
  </si>
  <si>
    <t>HB44T</t>
  </si>
  <si>
    <t>Sheeted Part - Hydrogel Dressing - 4.75" x 4.75"</t>
  </si>
  <si>
    <t>Number Across Run/Finish –  1/1
Where Finished –  On Press
Length per Roll/Unit – 11'
Core Type –  N/A
Core Width – N/A
Core Label – Yes
Dividers – 
Bag Size – 
Qty. Per Bag – 
Box Size –  
Qty. Per Box – 
Weight/box – 
Box Per Pallet – 
Pallet Type – </t>
  </si>
  <si>
    <t>Core  –  N/A
Width – N/A
Number Across Run/FInish –  1/1
Core Label – Yes
±10% –  Yes
Unwind Dir. Run – N/A
Unwind Dir. Finish –  N/A
Diecut/Continuous/Sheet –  Die Cut Sheet
Partial Case –  Yes
Pieces per roll/Unit – 25
Length per roll/unit –  11'
Finish – On Press
Application – </t>
  </si>
  <si>
    <t>50860 Cost of Goods Sold</t>
  </si>
  <si>
    <t>Sheeted Part Hydrogel Dressing 4.75" x 6.75"</t>
  </si>
  <si>
    <t>HB46T</t>
  </si>
  <si>
    <t>Sheeted Part - Hydrogel Dressing - 4.75" x 6.75"</t>
  </si>
  <si>
    <t>Number Across Run/Finish –  1/1
Where Finished –  On Press
Length per Roll/Unit – 11'
Core Type –  N/A
Core Width – N/A
Core Label – Yes
Dividers – 
Bag Size – 
Qty. Per Bag – 
Box Size –  12 x 12 x 4
Qty. Per Box – 
Weight/box – 
Box Per Pallet – 
Pallet Type – </t>
  </si>
  <si>
    <t>50861 Cost of Goods Sold</t>
  </si>
  <si>
    <t>Sheeted Part 3M 1181 255.04mm x 224.54mm</t>
  </si>
  <si>
    <t>PT00115416-1-985 REV A</t>
  </si>
  <si>
    <t>Sheeted Part - 3M 1181 - 255.04mm x 224.54mm</t>
  </si>
  <si>
    <t>Number Across Run/Finish –  1/1
Where Finished –  On Press
Length per Roll/Unit – 46'
Core Type –  N/A
Core Width – N/A
Core Label – No
Dividers – 
Bag Size – 
Qty. Per Bag – 50 Each
Box Size –  11 x 11 x 8
Qty. Per Box – 50 Each
Weight/box – 
Box Per Pallet – 
Pallet Type – </t>
  </si>
  <si>
    <t>Customer has approved the "rough" edges produced by the Flashcut.</t>
  </si>
  <si>
    <t>Core  –  N/A
Width – N/A
Number Across Run/FInish –  1/1
Core Label – No
±10% –  Yes
Unwind Dir. Run – N/A
Unwind Dir. Finish –  N/A
Diecut/Continuous/Sheet –  Sheet
Partial Case –  Yes
Pieces per roll/Unit – 50
Length per roll/unit –  46'
Finish – On Press
Application – </t>
  </si>
  <si>
    <t>50862 Cost of Goods Sold</t>
  </si>
  <si>
    <t>Fabricated Part CSM CHEMFILM FEP FG 2Mil., perfed at 12.5" 6" x 500'</t>
  </si>
  <si>
    <t>MM206015041</t>
  </si>
  <si>
    <t>Fabricated Part - CSM CHEMFILM FEP FG 2Mil., perfed at 12.5" - 6" x 500'</t>
  </si>
  <si>
    <t>Number Across Run/Finish –  1/1
Where Finished –  On Press
Length per Roll/Unit – 500'
Core Type –  3" Plastic 0.10" HDPE
Core Width – 6.0"
Core Label – Special - 9013 Core Big
Dividers – 
Bag Size – 
Qty. Per Bag – 1 Roll
Box Size –  10 x 10 x 10
Qty. Per Box – 3 Rolls
Weight/box – 
Box Per Pallet – 
Pallet Type – </t>
  </si>
  <si>
    <t>If shipping 50M Ft or over put on TWO PALLETS MINIMUM
Ship in sturdy cartons to prevent damage.  C of C required.
• Each roll to be individually bagged and labeled (inside the core and on the outside of each bag) with:
• Item # MM206015041     • Prod. Desc.: 2 mil FEP FG     • PO # (to be provided)     • Atlantic PO # as "Lot" number     • Actual footage for roll     • Roll #.
Use core label format "9013 Core Big"
• The open end of each bag to be pushed down into the core and a 7-3/4" x 3" end cap placed in both ends.  Each bagged roll to then be placed in a bubble bag.  Do not heat seal.  Also, place a core label below the box label on the OUTSIDE of the box.
• Mark the Packing Slip with PO # and correct total footage shipped.  Check with Sales or CSR if NOT shipping on a pallet; must be approved by customer.
If there are defective rolls, these are NOT to be trashed, advise MM or CSR what is defective about the roll(s), how much and put someplace that is not in the trash can, this is CSM and Dupont credits Atlantic for bad material.</t>
  </si>
  <si>
    <t>Core  –  3" Plastic 0.10" HDPE
Width – 6.0"
Number Across Run/FInish –  1/1
Core Label – Special - 9013 Core Big
±10% –  ask
Unwind Dir. Run – N/A
Unwind Dir. Finish –  N/A
Diecut/Continuous/Sheet –  Continuous
Partial Case –  Ask
Pieces per roll/Unit – 1 Roll
Length per roll/unit –  500'
Finish – On Press
Application – </t>
  </si>
  <si>
    <t>Must run on 10" press only - Per MS.  Use gloves when handling the rolls.  DO NOT NIP AGAINST A TEXTURED ROLLER.  WRAP PLASMA COATED ROLLERS WITH LINER TO PREVENT SCRATCHES AND OTHER DEFECTS.  Run on Pace 2 - MS</t>
  </si>
  <si>
    <t>50863 Cost of Goods Sold</t>
  </si>
  <si>
    <t>Slit Tape Tesa 70740 19mm x 10m</t>
  </si>
  <si>
    <t>9014</t>
  </si>
  <si>
    <t>Slit Tape - Tesa 70740 - 19mm x 10m</t>
  </si>
  <si>
    <t>Number Across Run/Finish –  19/1
Where Finished –  On Press
Length per Roll/Unit – 10 m
Core Type –  As Recd.
Core Width – 19 mm
Core Label – No
Dividers – Paper
Bag Size – 
Qty. Per Bag – 10 Rolls
Box Size –  12 x 12 x 12
Qty. Per Box – 50 Rolls
Weight/box – 
Box Per Pallet – 
Pallet Type – </t>
  </si>
  <si>
    <t>Core  –  As Recd.
Width – 19 mm
Number Across Run/FInish –  19/1
Core Label – No
±10% –  Yes
Unwind Dir. Run – N/A
Unwind Dir. Finish –  N/A
Diecut/Continuous/Sheet –  Continuous
Partial Case –  Yes
Pieces per roll/Unit – 1 Roll
Length per roll/unit –  10 m
Finish – On Press
Application – </t>
  </si>
  <si>
    <t>50864 Cost of Goods Sold</t>
  </si>
  <si>
    <t>Slit Tape 3M 7953MP 6" x 180Yd</t>
  </si>
  <si>
    <t>9015</t>
  </si>
  <si>
    <t>Slit Tape - 3M 7953MP - 6" x 180Yd</t>
  </si>
  <si>
    <t>Number Across Run/Finish –  8/1
Where Finished –  On Press
Length per Roll/Unit – 180 Yd
Core Type –  As Recd.
Core Width – 6"
Core Label – No
Dividers – paper
Bag Size – 
Qty. Per Bag – 2 Rolls
Box Size –  12 1/2 x 8 1/2 x 12 5/8
Qty. Per Box – 2 Rolls
Weight/box – 
Box Per Pallet – 
Pallet Type – </t>
  </si>
  <si>
    <t>Core  –  As Recd.
Width – 6"
Number Across Run/FInish –  8/1
Core Label – No
±10% –  Yes
Unwind Dir. Run – As Rec'd
Unwind Dir. Finish –  As Rec'd
Diecut/Continuous/Sheet –  Continuous
Partial Case –  Yes
Pieces per roll/Unit – 1 Roll
Length per roll/unit –  180 Yd
Finish – On Press
Application – </t>
  </si>
  <si>
    <t>50865 Cost of Goods Sold</t>
  </si>
  <si>
    <t>Die Cut Part Tabbed wafer seal 44.45mm Dia</t>
  </si>
  <si>
    <t>8001111476A</t>
  </si>
  <si>
    <t>Die Cut Part - Tabbed wafer seal - 44.45mm Dia</t>
  </si>
  <si>
    <t>Number Across Run/Finish –  2/2
Where Finished –  On Press
Length per Roll/Unit – 167'
Core Type –  3" Paper 1/8" White Brown
Core Width – 5"
Core Label – Yes
Dividers – 
Bag Size – 
Qty. Per Bag – 1 Roll
Box Size –  6 x 6 x 6
Qty. Per Box – 8 M
Weight/box – 
Box Per Pallet – 
Pallet Type – </t>
  </si>
  <si>
    <t>Use Label Format "9016"</t>
  </si>
  <si>
    <t>Core  –  3" Paper 1/8" White Brown
Width – 5"
Number Across Run/FInish –  2/2
Core Label – Yes
±10% –  Yes
Unwind Dir. Run – Parts Out
Unwind Dir. Finish –  Parts Out
Diecut/Continuous/Sheet –  Die Cut
Partial Case –  Yes
Pieces per roll/Unit – 2,000
Length per roll/unit –  167'
Finish – On Press
Application – </t>
  </si>
  <si>
    <t>BH Try to run on P2 first, then a Delta, then the Allieds. It runs the slowest on the Allieds.</t>
  </si>
  <si>
    <t>50866 Cost of Goods Sold</t>
  </si>
  <si>
    <t>Die Cut Part 3M 467MP 8mm x 8mm</t>
  </si>
  <si>
    <t>9017</t>
  </si>
  <si>
    <t>Die Cut Part - 3M 467MP - 8mm x 8mm</t>
  </si>
  <si>
    <t>Number Across Run/Finish –  4/4
Where Finished –  On Press
Length per Roll/Unit – 15'
Core Type –  3" Paper 1/8" White Brown
Core Width – 2.00"
Core Label – Yes
Dividers – 
Bag Size – 
Qty. Per Bag – 1.5 M
Box Size –  16 x 16 x 10-1/4
Qty. Per Box – 2 M
Weight/box – 
Box Per Pallet – 
Pallet Type – </t>
  </si>
  <si>
    <t>Core  –  3" Paper 1/8" White Brown
Width – 2.00"
Number Across Run/FInish –  4/4
Core Label – Yes
±10% –  Yes
Unwind Dir. Run – Parts Out
Unwind Dir. Finish –  Parts Out
Diecut/Continuous/Sheet –  Die Cut
Partial Case –  Yes
Pieces per roll/Unit – 1,500
Length per roll/unit –  15'
Finish – On Press
Application – </t>
  </si>
  <si>
    <t>50867 Cost of Goods Sold</t>
  </si>
  <si>
    <t>Die Cut Part IB1190XTP2 0.375" x 4"</t>
  </si>
  <si>
    <t>9018</t>
  </si>
  <si>
    <t>Die Cut Part - IB1190XTP2 - 0.375" x 4"</t>
  </si>
  <si>
    <t>Number Across Run/Finish –  1/1
Where Finished –  On Press
Length per Roll/Unit – 750'
Core Type –  6" plastic, 0.155" PP
Core Width – 4.33"
Core Label – Yes
Dividers – 
Bag Size – 
Qty. Per Bag – 1 Roll
Box Size –  10 x 10 x 10
Qty. Per Box – 2 Rolls
Weight/box – 
Box Per Pallet – 
Pallet Type – </t>
  </si>
  <si>
    <t>48" leader and trailer for each roll.
14" Maximum O.D.
Finished Unwind Direction: Hold roll in your RIGHT hand, unwind to the LEFT; registration notches are to be below the right hand side of the parts.  Interleave Out.</t>
  </si>
  <si>
    <t>Core  –  6" plastic, 0.155" PP
Width – 4.33"
Number Across Run/FInish –  1/1
Core Label – Yes
±10% –  Yes
Unwind Dir. Run – Parts Out
Unwind Dir. Finish –  Parts Out
Diecut/Continuous/Sheet –  Die Cut
Partial Case –  Yes
Pieces per roll/Unit – 13,000
Length per roll/unit –  750'
Finish – On Press
Application – </t>
  </si>
  <si>
    <t>50868 Cost of Goods Sold</t>
  </si>
  <si>
    <t>Printed Tape White tape printed Black "100-1" 1/2" x 50Yd</t>
  </si>
  <si>
    <t>100-1</t>
  </si>
  <si>
    <t>Printed Tape - White tape printed Black "100-1" - 1/2" x 50Yd</t>
  </si>
  <si>
    <t>Number Across Run/Finish –  11/1
Where Finished –  On Press
Length per Roll/Unit – 50 Yd
Core Type –  3" Paper 1/8" Strouse Brown
Core Width – 0.50"
Core Label – No
Dividers – Paper
Bag Size – 
Qty. Per Bag – 10 Rolls
Box Size –  12 x 12 x 10
Qty. Per Box – 40 Rolls
Weight/box – 
Box Per Pallet – 
Pallet Type – </t>
  </si>
  <si>
    <t>50869 Cost of Goods Sold</t>
  </si>
  <si>
    <t>Die Cut Part AA 3332-1 foam 0.437" Dia</t>
  </si>
  <si>
    <t>DN002015.1</t>
  </si>
  <si>
    <t>Die Cut Part - AA 3332-1 foam - 0.437" Dia</t>
  </si>
  <si>
    <t>Number Across Run/Finish –  7/7
Where Finished –  On Press
Length per Roll/Unit – 187'
Core Type –  3" Paper 1/8" Strouse Brown
Core Width – 5"
Core Label – Yes
Dividers – 
Bag Size – 
Qty. Per Bag – 2 Rolls
Box Size –  19 x 11 x 13
Qty. Per Box – 50 M
Weight/box – 
Box Per Pallet – 
Pallet Type – </t>
  </si>
  <si>
    <t>Shelf Life or Expiration Date to be on all labels.
Use label formats: 9020 and 9020 Core</t>
  </si>
  <si>
    <t>Core  –  3" Paper 1/8" Strouse Brown
Width – 5"
Number Across Run/FInish –  7/7
Core Label – Yes
±10% –  Yes
Unwind Dir. Run – Parts Out
Unwind Dir. Finish –  Parts Out
Diecut/Continuous/Sheet –  Die Cut
Partial Case –  Yes
Pieces per roll/Unit – 25,000
Length per roll/unit –  187'
Finish – On Press
Application – </t>
  </si>
  <si>
    <t>50870 Cost of Goods Sold</t>
  </si>
  <si>
    <t>Fabricated Part Smoke Mask Half - Small - Gray 7" x 5.75"</t>
  </si>
  <si>
    <t>N2902S</t>
  </si>
  <si>
    <t>Fabricated Part - Smoke Mask Half - Small - Gray - 7" x 5.75"</t>
  </si>
  <si>
    <t>Number Across Run/Finish –  1/1
Where Finished –  On Press
Length per Roll/Unit – 60'
Core Type –  N/A
Core Width – N/A
Core Label – No
Dividers – 
Bag Size – 
Qty. Per Bag – 0.1 M
Box Size –  19 x 11 x 13
Qty. Per Box – 1 M
Weight/box – 
Box Per Pallet – 
Pallet Type – </t>
  </si>
  <si>
    <t xml:space="preserve">Each lot of product not to be released for shipping until third party functional testing report showing the samples have passed is received and reviewed.
A Plain C of C, Raw Material Certs, and a copy of IPIC need to accompany all orders; 
</t>
  </si>
  <si>
    <t>Core  –  N/A
Width – N/A
Number Across Run/FInish –  1/1
Core Label – No
±10% –  Yes
Unwind Dir. Run – N/A
Unwind Dir. Finish –  N/A
Diecut/Continuous/Sheet –  Die Cut Sheet
Partial Case –  Yes
Pieces per roll/Unit – 100
Length per roll/unit –  60'
Finish – On Press
Application – </t>
  </si>
  <si>
    <t>50871 Cost of Goods Sold</t>
  </si>
  <si>
    <t>Fabricated Part Smoke Mask Half - Large - Gray 8.00" x 6.25"</t>
  </si>
  <si>
    <t>N2902L</t>
  </si>
  <si>
    <t>Fabricated Part - Smoke Mask Half - Large - Gray - 8.00" x 6.25"</t>
  </si>
  <si>
    <t>Number Across Run/Finish –  1/1
Where Finished –  On Press
Length per Roll/Unit – 68'
Core Type –  N/A
Core Width – N/A
Core Label – No
Dividers – 
Bag Size – 
Qty. Per Bag – 0.1 M
Box Size –  10 x 10 x 10
Qty. Per Box – 1 M
Weight/box – 
Box Per Pallet – 
Pallet Type – </t>
  </si>
  <si>
    <t>Each lot of product not to be released for shipping until third party functional testing report showing the samples have passed is received and reviewed.
A Plain C of C, Raw Material Certs, and a copy of IPIC need to accompany all orders;</t>
  </si>
  <si>
    <t>Core  –  N/A
Width – N/A
Number Across Run/FInish –  1/1
Core Label – No
±10% –  Yes
Unwind Dir. Run – N/A
Unwind Dir. Finish –  N/A
Diecut/Continuous/Sheet –  Die Cut Sheet
Partial Case –  Yes
Pieces per roll/Unit – 100
Length per roll/unit –  68'
Finish – On Press
Application – </t>
  </si>
  <si>
    <t>50872 Cost of Goods Sold</t>
  </si>
  <si>
    <t>Butt Cut Tape 3M 9964 2" x 1" x 25Yd</t>
  </si>
  <si>
    <t>9023</t>
  </si>
  <si>
    <t>Butt Cut Tape - 3M 9964 - 2" x 1" x 25Yd</t>
  </si>
  <si>
    <t>Number Across Run/Finish –  5/1
Where Finished –  On Press
Length per Roll/Unit – 25 Yd
Core Type –  1" Plastic 0.090"
Core Width – 1.00"
Core Label – Yes
Dividers – 
Bag Size – 
Qty. Per Bag – 10 Rolls
Box Size –  10 x 10 x 10
Qty. Per Box – 50 Rolls
Weight/box – 
Box Per Pallet – 
Pallet Type – </t>
  </si>
  <si>
    <t>Core  –  1" Plastic 0.090"
Width – 1.00"
Number Across Run/FInish –  5/1
Core Label – Yes
±10% –  Yes
Unwind Dir. Run – Parts Out
Unwind Dir. Finish –  Parts Out
Diecut/Continuous/Sheet –  Die Cut
Partial Case –  Yes
Pieces per roll/Unit – 1 Roll
Length per roll/unit –  25 Yd
Finish – On Press
Application – </t>
  </si>
  <si>
    <t>50873 Cost of Goods Sold</t>
  </si>
  <si>
    <t>Slit Tape Tesa 70730 19mm x 10m</t>
  </si>
  <si>
    <t>9024</t>
  </si>
  <si>
    <t>Slit Tape - Tesa 70730 - 19mm x 10m</t>
  </si>
  <si>
    <t>Number Across Run/Finish –  19/1
Where Finished –  On Press
Length per Roll/Unit – 10 m
Core Type –  As Recd.
Core Width – 19 mm
Core Label – No
Dividers – Paper
Bag Size – 
Qty. Per Bag – 10 Rolls
Box Size –  9 x 9 x 13
Qty. Per Box – 50 Rolls
Weight/box – 
Box Per Pallet – 
Pallet Type – </t>
  </si>
  <si>
    <t>50874 Cost of Goods Sold</t>
  </si>
  <si>
    <t>Die Cut Part 3M 4910 1" x 5"</t>
  </si>
  <si>
    <t>9025</t>
  </si>
  <si>
    <t>Die Cut Part - 3M 4910 - 1" x 5"</t>
  </si>
  <si>
    <t>Number Across Run/Finish –  2/1
Where Finished –  On Press
Length per Roll/Unit – 94'
Core Type –  3" Paper (1/8" wall)
Core Width – 6.125"
Core Label – Yes
Dividers – 
Bag Size – 
Qty. Per Bag – 2 M
Box Size –  12 x 12 x 12
Qty. Per Box – 2 M
Weight/box – 
Box Per Pallet – 
Pallet Type – </t>
  </si>
  <si>
    <t>Wind direction does not matter.</t>
  </si>
  <si>
    <t>Core  –  3" Paper (1/8" wall)
Width – 6.125"
Number Across Run/FInish –  2/1
Core Label – Yes
±10% –  Yes
Unwind Dir. Run – Parts Out
Unwind Dir. Finish –  Parts Out
Diecut/Continuous/Sheet –  Die Cut
Partial Case –  Yes
Pieces per roll/Unit – 1,000
Length per roll/unit –  94'
Finish – On Press
Application – </t>
  </si>
  <si>
    <t>50875 Cost of Goods Sold</t>
  </si>
  <si>
    <t>Die Cut Part 3M 4910 Tape Assembly 16.7mm x 34.71mm w/ tab</t>
  </si>
  <si>
    <t>000-0397</t>
  </si>
  <si>
    <t>Die Cut Part - 3M 4910 Tape Assembly - 16.7mm x 34.71mm w/ tab</t>
  </si>
  <si>
    <t>Number Across Run/Finish –  1/1
Where Finished –  On Press
Length per Roll/Unit – 68'
Core Type –  3" Paper 1/8" Strouse Brown
Core Width – 2.75"
Core Label – Yes
Dividers – 
Bag Size – 
Qty. Per Bag – 4 M
Box Size –  12 x 12 x 10
Qty. Per Box – 16 M
Weight/box – 
Box Per Pallet – 
Pallet Type – </t>
  </si>
  <si>
    <t>Core  –  3" Paper 1/8" Strouse Brown
Width – 2.75"
Number Across Run/FInish –  1/1
Core Label – Yes
±10% –  Yes
Unwind Dir. Run – Parts Out
Unwind Dir. Finish –  Parts Out
Diecut/Continuous/Sheet –  Die Cut
Partial Case –  Yes
Pieces per roll/Unit – 1,000
Length per roll/unit –  68'
Finish – On Press
Application – </t>
  </si>
  <si>
    <t>50876 Cost of Goods Sold</t>
  </si>
  <si>
    <t>Sheeted Part 7 mil PET/467MP/3M 87630A 10" x 8"</t>
  </si>
  <si>
    <t>9027</t>
  </si>
  <si>
    <t>Sheeted Part - 7 mil PET/467MP/3M 87630A - 10" x 8"</t>
  </si>
  <si>
    <t>Number Across Run/Finish –  1/1
Where Finished –  Off Press
Length per Roll/Unit – 430'
Core Type –  N/A
Core Width – N/A
Core Label – No
Dividers – 
Bag Size – 
Qty. Per Bag – 500 Each
Box Size –  10 x 10 x 10
Qty. Per Box – 500 Each
Weight/box – 
Box Per Pallet – 
Pallet Type – </t>
  </si>
  <si>
    <t>Core  –  N/A
Width – N/A
Number Across Run/FInish –  1/1
Core Label – No
±10% –  Yes
Unwind Dir. Run – N/A
Unwind Dir. Finish –  N/A
Diecut/Continuous/Sheet –  Die Cut Sheet
Partial Case –  Yes
Pieces per roll/Unit – 500
Length per roll/unit –  430'
Finish – Off Press
Application – </t>
  </si>
  <si>
    <t>50877 Cost of Goods Sold</t>
  </si>
  <si>
    <t>Slit Tape 3M 87630A 8" x 656'</t>
  </si>
  <si>
    <t>9028</t>
  </si>
  <si>
    <t>Slit Tape - 3M 87630A - 8" x 656'</t>
  </si>
  <si>
    <t>Number Across Run/Finish –  5/1
Where Finished –  On Press
Length per Roll/Unit – 656'
Core Type –  As Recd.
Core Width – 8"
Core Label – Yes
Dividers – 
Bag Size – 
Qty. Per Bag – 1 Rolls
Box Size –  14 x 14 x 14
Qty. Per Box – 1 Rolls
Weight/box – 
Box Per Pallet – 
Pallet Type – </t>
  </si>
  <si>
    <t>Core  –  As Recd.
Width – 8"
Number Across Run/FInish –  5/1
Core Label – Yes
±10% –  Yes
Unwind Dir. Run – N/A
Unwind Dir. Finish –  N/A
Diecut/Continuous/Sheet –  Continuous
Partial Case –  Yes
Pieces per roll/Unit – 1
Length per roll/unit –  656'
Finish – On Press
Application – </t>
  </si>
  <si>
    <t>50878 Cost of Goods Sold</t>
  </si>
  <si>
    <t>Sheeted Part DRC11 Disc Ring/Cap Assembly 70mm x 70mm</t>
  </si>
  <si>
    <t>DRC11</t>
  </si>
  <si>
    <t>Sheeted Part - DRC11 Disc Ring/Cap Assembly - 70mm x 70mm</t>
  </si>
  <si>
    <t>Number Across Run/Finish –  1/1
Where Finished –  On Press
Length per Roll/Unit – 125'
Core Type –  N/A
Core Width – N/A
Core Label – Yes - On bag
Dividers – 
Bag Size – 
Qty. Per Bag – 0.5 M
Box Size –  12 x 12 x 13
Qty. Per Box – 1 M
Weight/box – 
Box Per Pallet – 
Pallet Type – </t>
  </si>
  <si>
    <t>Requires special format CoC, see QA</t>
  </si>
  <si>
    <t>Core  –  N/A
Width – N/A
Number Across Run/FInish –  1/1
Core Label – Yes - On bag
±10% –  Yes
Unwind Dir. Run – N/A
Unwind Dir. Finish –  N/A
Diecut/Continuous/Sheet –  Die Cut Sheet
Partial Case –  Yes
Pieces per roll/Unit – 500
Length per roll/unit –  125'
Finish – On Press
Application – </t>
  </si>
  <si>
    <t>50879 Cost of Goods Sold</t>
  </si>
  <si>
    <t>Butt Cut Part 3M 4008 1" x 2"</t>
  </si>
  <si>
    <t>8001335</t>
  </si>
  <si>
    <t>Butt Cut Part - 3M 4008 - 1" x 2"</t>
  </si>
  <si>
    <t>Number Across Run/Finish –  1/1
Where Finished –  Off Press
Length per Roll/Unit – 50'
Core Type –  3" Paper 1/8" White Brown
Core Width – 2.25"
Core Label – Yes
Dividers – 
Bag Size – 
Qty. Per Bag – 0.6 M
Box Size –  22 x 16 x 6
Qty. Per Box – 3 M
Weight/box – 
Box Per Pallet – 
Pallet Type – </t>
  </si>
  <si>
    <t>Core  –  3" Paper 1/8" White Brown
Width – 2.25"
Number Across Run/FInish –  1/1
Core Label – Yes
±10% –  Yes
Unwind Dir. Run – Parts Out
Unwind Dir. Finish –  Parts Out
Diecut/Continuous/Sheet –  Die Cut
Partial Case –  Yes
Pieces per roll/Unit – 600
Length per roll/unit –  50'
Finish – Off Press
Application – </t>
  </si>
  <si>
    <t>50880 Cost of Goods Sold</t>
  </si>
  <si>
    <t>Sheeted Label Discrepancy marking - Green 20" x 13"</t>
  </si>
  <si>
    <t>ETCOR#100865 3M790BA13X20G250BX</t>
  </si>
  <si>
    <t>Sheeted Label - Discrepancy marking - Green - 20" x 13"</t>
  </si>
  <si>
    <t>Number Across Run/Finish –  1/1
Where Finished –  On Press
Length per Roll/Unit – 417'
Core Type –  N/A
Core Width – N/A
Core Label – No
Dividers – 
Bag Size – 
Qty. Per Bag – 0.25 M
Box Size –  22 x 16 x 6
Qty. Per Box – 1 Bags
Weight/box – 
Box Per Pallet – 
Pallet Type – </t>
  </si>
  <si>
    <t>Core  –  N/A
Width – N/A
Number Across Run/FInish –  1/1
Core Label – No
±10% –  Yes
Unwind Dir. Run – N/A
Unwind Dir. Finish –  N/A
Diecut/Continuous/Sheet –  Sheet
Partial Case –  Yes
Pieces per roll/Unit – 250
Length per roll/unit –  417'
Finish – On Press
Application – </t>
  </si>
  <si>
    <t>ACFBK42-01 STD LED High Adhesion Process Black
Same plates for JT 7211, 9031, 9032, and 9033 - Flat Drawer #5</t>
  </si>
  <si>
    <t>50881 Cost of Goods Sold</t>
  </si>
  <si>
    <t>Sheeted Label Discrepancy marking - Purple 20" x 13"</t>
  </si>
  <si>
    <t>ETCOR#100865 3M790BA13X20P250BX</t>
  </si>
  <si>
    <t>Sheeted Label - Discrepancy marking - Purple - 20" x 13"</t>
  </si>
  <si>
    <t>50882 Cost of Goods Sold</t>
  </si>
  <si>
    <t>Sheeted Label Discrepancy marking - Yellow 20" x 13"</t>
  </si>
  <si>
    <t>ETCOR#100865 3M790BA13X20Y250BX</t>
  </si>
  <si>
    <t>Sheeted Label - Discrepancy marking - Yellow - 20" x 13"</t>
  </si>
  <si>
    <t>Number Across Run/Finish –  1/1
Where Finished –  On Press
Length per Roll/Unit – 417'
Core Type –  N/A
Core Width – N/A
Core Label – No
Dividers – 
Bag Size – 
Qty. Per Bag – 0.25 M
Box Size –  12 x 12 x 4
Qty. Per Box – 1 Bags
Weight/box – 
Box Per Pallet – 
Pallet Type – </t>
  </si>
  <si>
    <t>50883 Cost of Goods Sold</t>
  </si>
  <si>
    <t>Sheeted Part 3M 5958FR 0.7" OD x 0.58" ID</t>
  </si>
  <si>
    <t>08410-573</t>
  </si>
  <si>
    <t>Sheeted Part - 3M 5958FR - 0.7" OD x 0.58" ID</t>
  </si>
  <si>
    <t>Number Across Run/Finish –  2/1
Where Finished –  On Press
Length per Roll/Unit – 5"
Core Type –  N/A
Core Width – N/A
Core Label – No
Dividers – 
Bag Size – 
Qty. Per Bag – 25 Each
Box Size –  19 x 11 x 13
Qty. Per Box – 25 Each
Weight/box – 
Box Per Pallet – 
Pallet Type – </t>
  </si>
  <si>
    <t>Core  –  N/A
Width – N/A
Number Across Run/FInish –  2/1
Core Label – No
±10% –  Yes
Unwind Dir. Run – N/A
Unwind Dir. Finish –  N/A
Diecut/Continuous/Sheet –  Die Cut Sheet
Partial Case –  Yes
Pieces per roll/Unit – 25
Length per roll/unit –  5"
Finish – On Press
Application – </t>
  </si>
  <si>
    <t>50884 Cost of Goods Sold</t>
  </si>
  <si>
    <t>Sheeted Part Large, Yellow filter media 8" x 6.25"</t>
  </si>
  <si>
    <t>N1901L</t>
  </si>
  <si>
    <t>Sheeted Part - Large, Yellow filter media - 8" x 6.25"</t>
  </si>
  <si>
    <t>Number Across Run/Finish –  1/1
Where Finished –  On Press
Length per Roll/Unit – 68'
Core Type –  N/A
Core Width – N/A
Core Label – Yes
Dividers – 
Bag Size – 
Qty. Per Bag – 0.1 M
Box Size –  19 x 11 x 13
Qty. Per Box – 1 M
Weight/box – 
Box Per Pallet – 
Pallet Type – </t>
  </si>
  <si>
    <t>Label each bag of 100 using format "9035 Bag"</t>
  </si>
  <si>
    <t>Core  –  N/A
Width – N/A
Number Across Run/FInish –  1/1
Core Label – Yes
±10% –  Yes
Unwind Dir. Run – N/A
Unwind Dir. Finish –  N/A
Diecut/Continuous/Sheet –  Die Cut Sheet
Partial Case –  Yes
Pieces per roll/Unit – 100
Length per roll/unit –  68'
Finish – On Press
Application – </t>
  </si>
  <si>
    <t>50885 Cost of Goods Sold</t>
  </si>
  <si>
    <t>Sheeted Part Small, Yellow filter media 7" x 5.75"</t>
  </si>
  <si>
    <t>N1901S</t>
  </si>
  <si>
    <t>Sheeted Part - Small, Yellow filter media - 7" x 5.75"</t>
  </si>
  <si>
    <t>Number Across Run/Finish –  1/1
Where Finished –  On Press
Length per Roll/Unit – 60'
Core Type –  N/A
Core Width – N/A
Core Label – Yes
Dividers – 
Bag Size – 
Qty. Per Bag – 0.1 M
Box Size –  19 x 11 x 13
Qty. Per Box – 1 M
Weight/box – 
Box Per Pallet – 
Pallet Type – </t>
  </si>
  <si>
    <t>Label each bag of 100 using format "9036 Bag"</t>
  </si>
  <si>
    <t>Core  –  N/A
Width – N/A
Number Across Run/FInish –  1/1
Core Label – Yes
±10% –  Yes
Unwind Dir. Run – N/A
Unwind Dir. Finish –  N/A
Diecut/Continuous/Sheet –  Die Cut Sheet
Partial Case –  Yes
Pieces per roll/Unit – 100
Length per roll/unit –  60'
Finish – On Press
Application – </t>
  </si>
  <si>
    <t>50886 Cost of Goods Sold</t>
  </si>
  <si>
    <t>Sheeted Part Strouse Face Shield w/PU strap 10" x 8"</t>
  </si>
  <si>
    <t>9037</t>
  </si>
  <si>
    <t>Sheeted Part - Strouse Face Shield w/PU strap - 10" x 8"</t>
  </si>
  <si>
    <t>Number Across Run/Finish –  1/1
Where Finished –  On Press
Length per Roll/Unit – 137'
Core Type –  N/A
Core Width – N/A
Core Label – No
Dividers – 
Bag Size – 
Qty. Per Bag – 160 Each
Box Size –  12 1/2 x 8 1/2 x 12 5/8
Qty. Per Box – 160 Each
Weight/box – 
Box Per Pallet – 
Pallet Type – </t>
  </si>
  <si>
    <t>This JT creates CAT# 21946.  Strouse standard face shields.</t>
  </si>
  <si>
    <t>Core  –  N/A
Width – N/A
Number Across Run/FInish –  1/1
Core Label – No
±10% –  Yes
Unwind Dir. Run – N/A
Unwind Dir. Finish –  N/A
Diecut/Continuous/Sheet –  Die Cut Sheet
Partial Case –  Yes
Pieces per roll/Unit – 160
Length per roll/unit –  137'
Finish – On Press
Application – </t>
  </si>
  <si>
    <t>50887 Cost of Goods Sold</t>
  </si>
  <si>
    <t>Slit Tape 3M 256 Green 0.5" x 60Yd</t>
  </si>
  <si>
    <t>256.0.5</t>
  </si>
  <si>
    <t>Slit Tape - 3M 256 Green - 0.5" x 60Yd</t>
  </si>
  <si>
    <t>Number Across Run/Finish –  4/1
Where Finished –  On Press
Length per Roll/Unit – 60 Yd
Core Type –  3" Paper 1/8" White Brown
Core Width – 0.5"
Core Label – No
Dividers – 
Bag Size – 
Qty. Per Bag – 21 Rolls
Box Size –  12 x 12 x 12
Qty. Per Box – 42 Rolls
Weight/box – 
Box Per Pallet – 
Pallet Type – </t>
  </si>
  <si>
    <t>Core  –  3" Paper 1/8" White Brown
Width – 0.5"
Number Across Run/FInish –  4/1
Core Label – No
±10% –  Yes
Unwind Dir. Run – Adh. In
Unwind Dir. Finish –  Adh. In
Diecut/Continuous/Sheet –  Continuous
Partial Case –  Yes
Pieces per roll/Unit – 1
Length per roll/unit –  60 Yd
Finish – On Press
Application – </t>
  </si>
  <si>
    <t>50888 Cost of Goods Sold</t>
  </si>
  <si>
    <t>Die Cut Part CS film on low tack carrier 80.46mm x 129.31mm</t>
  </si>
  <si>
    <t>M26527 REV A</t>
  </si>
  <si>
    <t>Die Cut Part - CS film on low tack carrier - 80.46mm x 129.31mm</t>
  </si>
  <si>
    <t>Number Across Run/Finish –  1/1
Where Finished –  On Press
Length per Roll/Unit – 960'
Core Type –  3" Plastic 0.10" HDPE
Core Width – 5.5"
Core Label – Yes
Dividers – 
Bag Size – 
Qty. Per Bag – 1 Roll
Box Size –  19 x 19 x 19
Qty. Per Box – 7 M
Weight/box – 
Box Per Pallet – 
Pallet Type – </t>
  </si>
  <si>
    <t>Can ship +/- 5%
Must Wear Gloves when handling the material.
Finished rolls are to be double bagged.
Include a C of C with the following statement: 3M 8993LC carrier is RoHS compliant.</t>
  </si>
  <si>
    <t>Core  –  3" Plastic 0.10" HDPE
Width – 5.5"
Number Across Run/FInish –  1/1
Core Label – Yes
±10% –  No
Unwind Dir. Run – Parts Out
Unwind Dir. Finish –  Parts Out
Diecut/Continuous/Sheet –  Die Cut
Partial Case –  Yes
Pieces per roll/Unit – 3,500
Length per roll/unit –  960'
Finish – On Press
Application – </t>
  </si>
  <si>
    <t>Must Wear Gloves when handling the material.</t>
  </si>
  <si>
    <t>50889 Cost of Goods Sold</t>
  </si>
  <si>
    <t>PPE:FS812</t>
  </si>
  <si>
    <t>Number Across Run/Finish –  1/1
Where Finished –  Off Press
Length per Roll/Unit – N/A
Core Type –  N/A
Core Width – N/A
Core Label – No
Dividers – 
Bag Size – 
Qty. Per Bag – 5 Each
Box Size –  12 x 12 x 10
Qty. Per Box – 200 Each
Weight/box – 
Box Per Pallet – 
Pallet Type – </t>
  </si>
  <si>
    <t>Core  –  N/A
Width – N/A
Number Across Run/FInish –  1/1
Core Label – No
±10% –  Yes
Unwind Dir. Run – N/A
Unwind Dir. Finish –  N/A
Diecut/Continuous/Sheet –  Sheet
Partial Case –  Yes
Pieces per roll/Unit – 200
Length per roll/unit –  N/A
Finish – Off Press
Application – </t>
  </si>
  <si>
    <t>50890 Cost of Goods Sold</t>
  </si>
  <si>
    <t>Die Cut Part 3M 1567 Circles 0.5" Dia</t>
  </si>
  <si>
    <t>9041</t>
  </si>
  <si>
    <t>Die Cut Part - 3M 1567 Circles - 0.5" Dia</t>
  </si>
  <si>
    <t>Number Across Run/Finish –  2/2
Where Finished –  On Press
Length per Roll/Unit – 125'
Core Type –  3" Paper 1/8" Strouse Brown
Core Width – 1.5"
Core Label – Yes
Dividers – 
Bag Size – 
Qty. Per Bag – 18 M
Box Size –  12 x 12 x 10
Qty. Per Box – 90 M
Weight/box – 
Box Per Pallet – 
Pallet Type – </t>
  </si>
  <si>
    <t>Core  –  3" Paper 1/8" Strouse Brown
Width – 1.5"
Number Across Run/FInish –  2/2
Core Label – Yes
±10% –  Yes
Unwind Dir. Run – Parts In
Unwind Dir. Finish –  Parts In
Diecut/Continuous/Sheet –  Die Cut
Partial Case –  Yes
Pieces per roll/Unit – 3,000
Length per roll/unit –  125'
Finish – On Press
Application – </t>
  </si>
  <si>
    <t>50891 Cost of Goods Sold</t>
  </si>
  <si>
    <t>Die Cut Part 3M 1567 Rectangle 1" x 0.5"</t>
  </si>
  <si>
    <t>9042</t>
  </si>
  <si>
    <t>Die Cut Part - 3M 1567 Rectangle - 1" x 0.5"</t>
  </si>
  <si>
    <t>Number Across Run/Finish –  2/2
Where Finished –  On Press
Length per Roll/Unit – 250'
Core Type –  3" Paper 1/8" Strouse Brown
Core Width – 2"
Core Label – Yes
Dividers – 
Bag Size – 
Qty. Per Bag – 15 M
Box Size –  6 x 6 x 6
Qty. Per Box – 60 M
Weight/box – 
Box Per Pallet – 
Pallet Type – </t>
  </si>
  <si>
    <t>Core  –  3" Paper 1/8" Strouse Brown
Width – 2"
Number Across Run/FInish –  2/2
Core Label – Yes
±10% –  Yes
Unwind Dir. Run – Parts Out
Unwind Dir. Finish –  PArts Out
Diecut/Continuous/Sheet –  Die Cut
Partial Case –  Yes
Pieces per roll/Unit – 3,000
Length per roll/unit –  250'
Finish – On Press
Application – </t>
  </si>
  <si>
    <t>50892 Cost of Goods Sold</t>
  </si>
  <si>
    <t>Slit Tape 3M 396 0.375" x 36Yd</t>
  </si>
  <si>
    <t>3M 396/0.375 x 36</t>
  </si>
  <si>
    <t>Slit Tape - 3M 396 - 0.375" x 36Yd</t>
  </si>
  <si>
    <t>Number Across Run/Finish –  10/1
Where Finished –  On Press
Length per Roll/Unit – 36 Yd
Core Type –  As Recd.
Core Width – 0.375"
Core Label – No
Dividers – Paper
Bag Size – 
Qty. Per Bag – 10 Rolls
Box Size –  12 x 12 x 4
Qty. Per Box – 10 Rolls
Weight/box – 
Box Per Pallet – 
Pallet Type – </t>
  </si>
  <si>
    <t>Core  –  As Recd.
Width – 0.375"
Number Across Run/FInish –  10/1
Core Label – No
±10% –  Yes
Unwind Dir. Run – As Rec'd
Unwind Dir. Finish –  N/A
Diecut/Continuous/Sheet –  Continuous
Partial Case –  Yes
Pieces per roll/Unit – 1 Roll
Length per roll/unit –  36 Yd
Finish – On Press
Application – </t>
  </si>
  <si>
    <t>50893 Cost of Goods Sold</t>
  </si>
  <si>
    <t>Sheeted Part 3M 4905 2" x 1"</t>
  </si>
  <si>
    <t>9044</t>
  </si>
  <si>
    <t>Sheeted Part - 3M 4905 - 2" x 1"</t>
  </si>
  <si>
    <t>Number Across Run/Finish –  1/1
Where Finished –  On Press
Length per Roll/Unit – 84'
Core Type –  N/A
Core Width – N/A
Core Label – No
Dividers – 
Bag Size – 
Qty. Per Bag – 0.5 M
Box Size –  12 x 12 x 12
Qty. Per Box – 1 M
Weight/box – 
Box Per Pallet – 
Pallet Type – </t>
  </si>
  <si>
    <t>Core  –  N/A
Width – N/A
Number Across Run/FInish –  1/1
Core Label – No
±10% –  Yes
Unwind Dir. Run – N/A
Unwind Dir. Finish –  N/A
Diecut/Continuous/Sheet –  Sheet
Partial Case –  Yes
Pieces per roll/Unit – 500
Length per roll/unit –  84'
Finish – On Press
Application – </t>
  </si>
  <si>
    <t>50894 Cost of Goods Sold</t>
  </si>
  <si>
    <t>Slit Tape 3M 855 11.5" x 72Yd</t>
  </si>
  <si>
    <t>9045</t>
  </si>
  <si>
    <t>Slit Tape - 3M 855 - 11.5" x 72Yd</t>
  </si>
  <si>
    <t>Number Across Run/Finish –  4/1
Where Finished –  On Press
Length per Roll/Unit – 72 Yd
Core Type –  As Recd.
Core Width – 11.5"
Core Label – Yes
Dividers – 
Bag Size – 
Qty. Per Bag – 1 Rolls
Box Size –  12 x 12 x 12
Qty. Per Box – 4 Rolls
Weight/box – 
Box Per Pallet – 
Pallet Type – </t>
  </si>
  <si>
    <t>Core  –  As Recd.
Width – 11.5"
Number Across Run/FInish –  4/1
Core Label – Yes
±10% –  Yes
Unwind Dir. Run – As Rec'd
Unwind Dir. Finish –  As Rec'd
Diecut/Continuous/Sheet –  Continuous
Partial Case –  Yes
Pieces per roll/Unit – 1 Roll
Length per roll/unit –  72 Yd
Finish – On Press
Application – </t>
  </si>
  <si>
    <t>50895 Cost of Goods Sold</t>
  </si>
  <si>
    <t>Slit Tape CARC Tape 12" x 164'</t>
  </si>
  <si>
    <t>ST-2040</t>
  </si>
  <si>
    <t>Slit Tape - CARC Tape - 12" x 164'</t>
  </si>
  <si>
    <t>Number Across Run/Finish –  3/1
Where Finished –  On Press
Length per Roll/Unit – 164'
Core Type –  As Recd.
Core Width – 12"
Core Label – Yes
Dividers – Paper
Bag Size – 
Qty. Per Bag – 1 Roll
Box Size –  6 x 6 x 6
Qty. Per Box – 1 Roll
Weight/box – 
Box Per Pallet – 
Pallet Type – </t>
  </si>
  <si>
    <t>Core  –  As Recd.
Width – 12"
Number Across Run/FInish –  3/1
Core Label – Yes
±10% –  Yes
Unwind Dir. Run – As Rec'd
Unwind Dir. Finish –  As Rec'd
Diecut/Continuous/Sheet –  Continuous
Partial Case –  Yes
Pieces per roll/Unit – 1 Roll
Length per roll/unit –  164'
Finish – On Press
Application – </t>
  </si>
  <si>
    <t>50896 Cost of Goods Sold</t>
  </si>
  <si>
    <t>Sheeted Part Kapton Insulator 1.845" x 0.465"</t>
  </si>
  <si>
    <t>13845-001</t>
  </si>
  <si>
    <t>Sheeted Part - Kapton Insulator - 1.845" x 0.465"</t>
  </si>
  <si>
    <t>Number Across Run/Finish –  1/1
Where Finished –  On Press
Length per Roll/Unit – 17'
Core Type –  N/A
Core Width – N/A
Core Label – No
Dividers – 
Bag Size – 
Qty. Per Bag – 100 Each
Box Size –  6 x 6 x 6
Qty. Per Box – 100 Each
Weight/box – 
Box Per Pallet – 
Pallet Type – </t>
  </si>
  <si>
    <t>Include a C of C and Material Cert with each shipment.</t>
  </si>
  <si>
    <t>Core  –  N/A
Width – N/A
Number Across Run/FInish –  1/1
Core Label – No
±10% –  Yes
Unwind Dir. Run – N/A
Unwind Dir. Finish –  N/A
Diecut/Continuous/Sheet –  Sheet
Partial Case –  Yes
Pieces per roll/Unit – 100
Length per roll/unit –  17'
Finish – On Press
Application – </t>
  </si>
  <si>
    <t>50897 Cost of Goods Sold</t>
  </si>
  <si>
    <t>13845-002</t>
  </si>
  <si>
    <t>50898 Cost of Goods Sold</t>
  </si>
  <si>
    <t>Sheeted Part Kapton Insulator 1.34" x 0.47"</t>
  </si>
  <si>
    <t>13846-001</t>
  </si>
  <si>
    <t>Sheeted Part - Kapton Insulator - 1.34" x 0.47"</t>
  </si>
  <si>
    <t>Number Across Run/Finish –  1/1
Where Finished –  On Press
Length per Roll/Unit – 13'
Core Type –  N/A
Core Width – N/A
Core Label – No
Dividers – 
Bag Size – 
Qty. Per Bag – 100 Each
Box Size –  6 x 6 x 6
Qty. Per Box – 100 Each
Weight/box – 
Box Per Pallet – 
Pallet Type – </t>
  </si>
  <si>
    <t>Core  –  N/A
Width – N/A
Number Across Run/FInish –  1/1
Core Label – No
±10% –  Yes
Unwind Dir. Run – N/A
Unwind Dir. Finish –  N/A
Diecut/Continuous/Sheet –  Sheet
Partial Case –  Yes
Pieces per roll/Unit – 100
Length per roll/unit –  13'
Finish – On Press
Application – </t>
  </si>
  <si>
    <t>50899 Cost of Goods Sold</t>
  </si>
  <si>
    <t>13846-002</t>
  </si>
  <si>
    <t>Number Across Run/Finish –  1/1
Where Finished –  On Press
Length per Roll/Unit – 13'
Core Type –  N/A
Core Width – N/A
Core Label – No
Dividers – 
Bag Size – 
Qty. Per Bag – 100 Each
Box Size –  19 x 19 x 19
Qty. Per Box – 100 Each
Weight/box – 
Box Per Pallet – 
Pallet Type – </t>
  </si>
  <si>
    <t>50900 Cost of Goods Sold</t>
  </si>
  <si>
    <t>Number Across Run/Finish –  1/1
Where Finished –  Off Press
Length per Roll/Unit – N/A
Core Type –  N/A
Core Width – N/A
Core Label – No
Dividers – 
Bag Size – 
Qty. Per Bag – 5 Each
Box Size –  10 x 10 x 10
Qty. Per Box – 100 Each
Weight/box – 
Box Per Pallet – 
Pallet Type – </t>
  </si>
  <si>
    <t>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</si>
  <si>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Yes
Pieces per roll/Unit – 100
Length per roll/unit –  N/A
Finish – Off Press
Application – </t>
  </si>
  <si>
    <t>50901 Cost of Goods Sold</t>
  </si>
  <si>
    <t>9052</t>
  </si>
  <si>
    <t>Number Across Run/Finish –  1/1
Where Finished –  On Press
Length per Roll/Unit – 171'
Core Type –  N/A
Core Width – N/A
Core Label – No
Dividers – 
Bag Size – 
Qty. Per Bag – 200 Each
Box Size –  10 x 10 x 10
Qty. Per Box – 200 Each
Weight/box – 
Box Per Pallet – 
Pallet Type – </t>
  </si>
  <si>
    <t>This JT creates CAT# 21989.  Strouse standard face shields.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</si>
  <si>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Yes
Pieces per roll/Unit – 200
Length per roll/unit –  171'
Finish – On Press
Application – </t>
  </si>
  <si>
    <t>50902 Cost of Goods Sold</t>
  </si>
  <si>
    <t>Slit Part Ascorbic Acid Reagent 80mm x 120'</t>
  </si>
  <si>
    <t>DR179</t>
  </si>
  <si>
    <t>Slit Part - Ascorbic Acid Reagent - 80mm x 120'</t>
  </si>
  <si>
    <t>Number Across Run/Finish –  1/1
Where Finished –  On Press
Length per Roll/Unit – 120'
Core Type –  6" plastic, 0.155" PP
Core Width – 80 mm
Core Label – Yes
Dividers – 
Bag Size – 
Qty. Per Bag – 1 Rolls
Box Size –  12 x 12 x 12
Qty. Per Box – 2 Rolls
Weight/box – 
Box Per Pallet – 
Pallet Type – </t>
  </si>
  <si>
    <t>1 finished roll will have 16 lanes on a common core
Need to use light and moisture proof bags with desiccant in each bag
Bag = Heat Sealer Bags, (Dri-Shield 3000 Series)  16" x 18"</t>
  </si>
  <si>
    <t>Core  –  6" plastic, 0.155" PP
Width – 80 mm
Number Across Run/FInish –  1/1
Core Label – Yes
±10% –  Yes
Unwind Dir. Run – Reagent Out
Unwind Dir. Finish –  Reagent Out
Diecut/Continuous/Sheet –  Continuous
Partial Case –  Yes
Pieces per roll/Unit – 1 Roll
Length per roll/unit –  120'
Finish – On Press
Application – </t>
  </si>
  <si>
    <t>1 finished roll will have 16 lanes on a common core</t>
  </si>
  <si>
    <t>50903 Cost of Goods Sold</t>
  </si>
  <si>
    <t>Sheeted Part 3M 2477P Adh. 26.5mm x 36.5mm</t>
  </si>
  <si>
    <t>MBT-SYS-PT-0006</t>
  </si>
  <si>
    <t>Sheeted Part - 3M 2477P Adh. - 26.5mm x 36.5mm</t>
  </si>
  <si>
    <t>Number Across Run/Finish –  3/1
Where Finished –  On Press
Length per Roll/Unit – 2'
Core Type –  N/A
Core Width – N/A
Core Label – No
Dividers – 
Bag Size – 
Qty. Per Bag – 40 Each
Box Size –  12 x 12 x 13
Qty. Per Box – 500 Bags
Weight/box – 
Box Per Pallet – 
Pallet Type – </t>
  </si>
  <si>
    <t>500 bags/20M parts per box.</t>
  </si>
  <si>
    <t>Core  –  N/A
Width – N/A
Number Across Run/FInish –  3/1
Core Label – No
±10% –  Yes
Unwind Dir. Run – N/A
Unwind Dir. Finish –  N/A
Diecut/Continuous/Sheet –  Die Cut Sheet
Partial Case –  Yes
Pieces per roll/Unit – 40
Length per roll/unit –  2'
Finish – On Press
Application – </t>
  </si>
  <si>
    <t>DO NOT RUN ON DELTA 2</t>
  </si>
  <si>
    <t>50904 Cost of Goods Sold</t>
  </si>
  <si>
    <t>Die Cut Part AG640 Conductive Hydrogel 0.69" Dia</t>
  </si>
  <si>
    <t>1412-LYY0005</t>
  </si>
  <si>
    <t>Die Cut Part - AG640 Conductive Hydrogel - 0.69" Dia</t>
  </si>
  <si>
    <t>Number Across Run/Finish –  5/1
Where Finished –  Off Press
Length per Roll/Unit – 92'
Core Type –  6" plastic, 0.155" PP
Core Width – 1.25"
Core Label – Yes
Dividers – Flanges
Bag Size – 
Qty. Per Bag – 1 Roll
Box Size –  18 x 18 x 18
Qty. Per Box – 7 M
Weight/box – 
Box Per Pallet – 
Pallet Type – </t>
  </si>
  <si>
    <t>Rewind/Packaging: Add flanges to prevent telescoping.  Rolls to be individually sealed in plastic bags to prevent contamination.
2 FLANGES PER ROLL AND CARD BOARD DIVIDERS BETWEEN EACH ROLL
C of C with Material Lot #, DOM, and Shelf Life must accompany shipment.</t>
  </si>
  <si>
    <t>Core  –  6" plastic, 0.155" PP
Width – 1.25"
Number Across Run/FInish –  5/1
Core Label – Yes
±10% –  Yes
Unwind Dir. Run – See Drawing
Unwind Dir. Finish –  See Drawing
Diecut/Continuous/Sheet –  Die Cut
Partial Case –  Yes
Pieces per roll/Unit – 1,000
Length per roll/unit –  92'
Finish – Off Press
Application – </t>
  </si>
  <si>
    <t>Wrap last anvil with Q100 liner to keep parts from sticking.
BE CAREFUL NOT TO REWIND ROLLS WITH TOO MUCH TENSION OR OVER HAND-TIGHTEN FINISHED ROLLS TO AVOID ROLLS CINCHING/PARTS SHIFTING ON LINER.</t>
  </si>
  <si>
    <t>50905 Cost of Goods Sold</t>
  </si>
  <si>
    <t>Sheeted Part Volara 2A Foam &amp; 3M 1522 38.1mm x 38.1mm</t>
  </si>
  <si>
    <t>PCD02</t>
  </si>
  <si>
    <t>Sheeted Part - Volara 2A Foam &amp; 3M 1522 - 38.1mm x 38.1mm</t>
  </si>
  <si>
    <t>Number Across Run/Finish –  1/1
Where Finished –  On Press
Length per Roll/Unit – 79'
Core Type –  N/A
Core Width – N/A
Core Label – No
Dividers – 
Bag Size – 
Qty. Per Bag – 500 Each
Box Size –  14 x 14 x 4
Qty. Per Box – 4,000 Each
Weight/box – 
Box Per Pallet – 
Pallet Type – </t>
  </si>
  <si>
    <t>Core  –  N/A
Width – N/A
Number Across Run/FInish –  1/1
Core Label – No
±10% –  Yes
Unwind Dir. Run – N/A
Unwind Dir. Finish –  N/A
Diecut/Continuous/Sheet –  Die Cut Sheet
Partial Case –  Yes
Pieces per roll/Unit – 500
Length per roll/unit –  79'
Finish – On Press
Application – </t>
  </si>
  <si>
    <t>50906 Cost of Goods Sold</t>
  </si>
  <si>
    <t>Sheeted Part 3M 7070UV 14.5" x 2"</t>
  </si>
  <si>
    <t>9057</t>
  </si>
  <si>
    <t>Sheeted Part - 3M 7070UV - 14.5" x 2"</t>
  </si>
  <si>
    <t>Number Across Run/Finish –  22/1
Where Finished –  On Press
Length per Roll/Unit – 14'
Core Type –  N/A
Core Width – N/A
Core Label – No
Dividers – 
Bag Size – 
Qty. Per Bag – 250 Each
Box Size –  12 x 12 x 4
Qty. Per Box – 250 Each
Weight/box – 
Box Per Pallet – 
Pallet Type – </t>
  </si>
  <si>
    <t>Include a C of C w/ Date of Manufacture.</t>
  </si>
  <si>
    <t>Core  –  N/A
Width – N/A
Number Across Run/FInish –  22/1
Core Label – No
±10% –  Yes
Unwind Dir. Run – N/A
Unwind Dir. Finish –  N/A
Diecut/Continuous/Sheet –  Sheet
Partial Case –  Yes
Pieces per roll/Unit – 250
Length per roll/unit –  14'
Finish – On Press
Application – </t>
  </si>
  <si>
    <t>Only run on Laser 2, DO NOT USE Flash Cut as it becomes a multi step process. MS</t>
  </si>
  <si>
    <t>50907 Cost of Goods Sold</t>
  </si>
  <si>
    <t>Sheeted Part 3M 7070UV 11.5" x 2"</t>
  </si>
  <si>
    <t>9058</t>
  </si>
  <si>
    <t>Sheeted Part - 3M 7070UV - 11.5" x 2"</t>
  </si>
  <si>
    <t>Number Across Run/Finish –  22/1
Where Finished –  On Press
Length per Roll/Unit – 11'
Core Type –  N/A
Core Width – N/A
Core Label – No
Dividers – 
Bag Size – 
Qty. Per Bag – 250 Each
Box Size –  24 x 14 x 6
Qty. Per Box – 250 Each
Weight/box – 
Box Per Pallet – 
Pallet Type – </t>
  </si>
  <si>
    <t>Core  –  N/A
Width – N/A
Number Across Run/FInish –  22/1
Core Label – No
±10% –  Yes
Unwind Dir. Run – N/A
Unwind Dir. Finish –  N/A
Diecut/Continuous/Sheet –  Sheet
Partial Case –  Yes
Pieces per roll/Unit – 250
Length per roll/unit –  11'
Finish – On Press
Application – </t>
  </si>
  <si>
    <t>50908 Cost of Goods Sold</t>
  </si>
  <si>
    <t>Sheeted Part CSM Bisco BF-2000 24" x 9"</t>
  </si>
  <si>
    <t>9059</t>
  </si>
  <si>
    <t>Sheeted Part - CSM Bisco BF-2000 - 24" x 9"</t>
  </si>
  <si>
    <t>Number Across Run/Finish –  1/1
Where Finished –  On Press
Length per Roll/Unit – N/A
Core Type –  N/A
Core Width – N/A
Core Label – No
Dividers – 
Bag Size – 
Qty. Per Bag – 
Box Size –  16 x 16 x 10-1/4
Qty. Per Box – 30 Each
Weight/box – 
Box Per Pallet – 
Pallet Type – </t>
  </si>
  <si>
    <t>Core  –  N/A
Width – N/A
Number Across Run/FInish –  1/1
Core Label – No
±10% –  Yes
Unwind Dir. Run – N/A
Unwind Dir. Finish –  N/A
Diecut/Continuous/Sheet –  Sheet
Partial Case –  Yes
Pieces per roll/Unit – 1 Roll
Length per roll/unit –  N/A
Finish – On Press
Application – </t>
  </si>
  <si>
    <t>50909 Cost of Goods Sold</t>
  </si>
  <si>
    <t>Sheeted Part 70 duro 6 mm black rubber 70mm x 20mm</t>
  </si>
  <si>
    <t>0091302</t>
  </si>
  <si>
    <t>Sheeted Part - 70 duro 6 mm black rubber - 70mm x 20mm</t>
  </si>
  <si>
    <t>Number Across Run/Finish –  40/1
Where Finished –  On Press
Length per Roll/Unit – 6'
Core Type –  N/A
Core Width – N/A
Core Label – No
Dividers – 
Bag Size – 
Qty. Per Bag – 1000 Each
Box Size –  16 1/2 x 8 1/2 x 13
Qty. Per Box – 1,000 Each
Weight/box – 
Box Per Pallet – 
Pallet Type – </t>
  </si>
  <si>
    <t>Include a C of C with "Shelf Life: 12 Months"</t>
  </si>
  <si>
    <t>Core  –  N/A
Width – N/A
Number Across Run/FInish –  40/1
Core Label – No
±10% –  Yes
Unwind Dir. Run – N/A
Unwind Dir. Finish –  N/A
Diecut/Continuous/Sheet –  Sheet
Partial Case –  Yes
Pieces per roll/Unit – 1,000
Length per roll/unit –  6'
Finish – On Press
Application – </t>
  </si>
  <si>
    <t>50910 Cost of Goods Sold</t>
  </si>
  <si>
    <t>Sheeted Part 0.75" thick foam strips 8" x 1.5"</t>
  </si>
  <si>
    <t>PPE:FSFOAM-38</t>
  </si>
  <si>
    <t>Sheeted Part - 0.75" thick foam strips - 8" x 1.5"</t>
  </si>
  <si>
    <t>Number Across Run/Finish –  2/1
Where Finished –  On Press
Length per Roll/Unit – 67'
Core Type –  N/A
Core Width – N/A
Core Label – No
Dividers – 
Bag Size – 
Qty. Per Bag – 200 Each
Box Size –  10 x 10 x 10
Qty. Per Box – 200 Each
Weight/box – 
Box Per Pallet – 
Pallet Type – </t>
  </si>
  <si>
    <t>Core  –  N/A
Width – N/A
Number Across Run/FInish –  2/1
Core Label – No
±10% –  Yes
Unwind Dir. Run – N/A
Unwind Dir. Finish –  N/A
Diecut/Continuous/Sheet –  Sheet
Partial Case –  Yes
Pieces per roll/Unit – 200
Length per roll/unit –  67'
Finish – On Press
Application – </t>
  </si>
  <si>
    <t>50911 Cost of Goods Sold</t>
  </si>
  <si>
    <t>Die Cut Part Assay Pad Assembly 4.9mm x 13mm</t>
  </si>
  <si>
    <t>9062</t>
  </si>
  <si>
    <t>Die Cut Part - Assay Pad Assembly - 4.9mm x 13mm</t>
  </si>
  <si>
    <t>Number Across Run/Finish –  1/1
Where Finished –  On Press
Length per Roll/Unit – 32'
Core Type –  3" Plastic 0.10" HDPE
Core Width – 0.75"
Core Label – Yes
Dividers – 
Bag Size – 
Qty. Per Bag – 
Box Size –  12 x 12 x 12
Qty. Per Box – 
Weight/box – 
Box Per Pallet – 
Pallet Type – </t>
  </si>
  <si>
    <t>Packaging to be determined with this trial.</t>
  </si>
  <si>
    <t>Core  –  3" Plastic 0.10" HDPE
Width – 0.75"
Number Across Run/FInish –  1/1
Core Label – Yes
±10% –  Yes
Unwind Dir. Run – Parts Out
Unwind Dir. Finish –  Parts Out
Diecut/Continuous/Sheet –  Die Cut
Partial Case –  Yes
Pieces per roll/Unit – 1,000
Length per roll/unit –  32'
Finish – On Press
Application – </t>
  </si>
  <si>
    <t>There are 12 materials and 11 steps on this JT</t>
  </si>
  <si>
    <t>50912 Cost of Goods Sold</t>
  </si>
  <si>
    <t>Sheeted Part Printed short piece 1.25" x 1.25"</t>
  </si>
  <si>
    <t>PRT-104027-1</t>
  </si>
  <si>
    <t>Sheeted Part - Printed short piece - 1.25" x 1.25"</t>
  </si>
  <si>
    <t>Number Across Run/Finish –  1/1
Where Finished –  On Press
Length per Roll/Unit – 115'
Core Type –  N/A
Core Width – N/A
Core Label – No
Dividers – 
Bag Size – 
Qty. Per Bag – 1 M
Box Size –  
Qty. Per Box – 1 M
Weight/box – 
Box Per Pallet – 
Pallet Type – </t>
  </si>
  <si>
    <t>Core  –  N/A
Width – N/A
Number Across Run/FInish –  1/1
Core Label – No
±10% –  Yes
Unwind Dir. Run – N/A
Unwind Dir. Finish –  N/A
Diecut/Continuous/Sheet –  Die Cut Sheet
Partial Case –  Yes
Pieces per roll/Unit – 1,000
Length per roll/unit –  115'
Finish – On Press
Application – </t>
  </si>
  <si>
    <t>Plate is mounted on DH 60 print cylinder</t>
  </si>
  <si>
    <t>50913 Cost of Goods Sold</t>
  </si>
  <si>
    <t>Sheeted Part Long Piece 0.75" x 3"</t>
  </si>
  <si>
    <t>PRT-104027-2</t>
  </si>
  <si>
    <t>Sheeted Part - Long Piece - 0.75" x 3"</t>
  </si>
  <si>
    <t>Number Across Run/Finish –  1/1
Where Finished –  On Press
Length per Roll/Unit – 37'
Core Type –  N/A
Core Width – N/A
Core Label – No
Dividers – 
Bag Size – 
Qty. Per Bag – 500 Each
Box Size –  12 x 12 x 10
Qty. Per Box – 5,000 Each
Weight/box – 
Box Per Pallet – 
Pallet Type – </t>
  </si>
  <si>
    <t>Core  –  N/A
Width – N/A
Number Across Run/FInish –  1/1
Core Label – No
±10% –  Yes
Unwind Dir. Run – N/A
Unwind Dir. Finish –  N/A
Diecut/Continuous/Sheet –  Sheet
Partial Case –  Yes
Pieces per roll/Unit – 500
Length per roll/unit –  37'
Finish – On Press
Application – </t>
  </si>
  <si>
    <t>50914 Cost of Goods Sold</t>
  </si>
  <si>
    <t>Assembled Part Implant Tensioner Assembly 1.25" x 3.5"</t>
  </si>
  <si>
    <t>ASY-104250 A</t>
  </si>
  <si>
    <t>Assembled Part - Implant Tensioner Assembly - 1.25" x 3.5"</t>
  </si>
  <si>
    <t>Number Across Run/Finish –  1/1
Where Finished –  Off Press
Length per Roll/Unit – 5 Parts
Core Type –  N/A
Core Width – N/A
Core Label – No
Dividers – 
Bag Size – 
Qty. Per Bag – 5 Each
Box Size –  Best Fit Per Qty
Qty. Per Box – 1,000 Bags
Weight/box – 
Box Per Pallet – 
Pallet Type – </t>
  </si>
  <si>
    <t>Core  –  N/A
Width – N/A
Number Across Run/FInish –  1/1
Core Label – No
±10% –  Yes
Unwind Dir. Run – N/A
Unwind Dir. Finish –  N/A
Diecut/Continuous/Sheet –  Sheet
Partial Case –  Yes
Pieces per roll/Unit – 5
Length per roll/unit –  5 Parts
Finish – Off Press
Application – </t>
  </si>
  <si>
    <t>50915 Cost of Goods Sold</t>
  </si>
  <si>
    <t>Slit Tape 3M 1181 Various</t>
  </si>
  <si>
    <t>Slit Tape - 3M 1181 - Various</t>
  </si>
  <si>
    <t>Number Across Run/Finish –  ?/1
Where Finished –  On Press
Length per Roll/Unit – 18 Yd
Core Type –  As Recd.
Core Width – N/A
Core Label – No
Dividers – Paper
Bag Size – 
Qty. Per Bag – See note 
Box Size –  
Qty. Per Box – See note 
Weight/box – 
Box Per Pallet – 
Pallet Type – </t>
  </si>
  <si>
    <t>Best fit per order.  Package different slit widths separately.
C OF C needed with: PO #, Shelf Life, Lot #, and Honeywell Part #'s (HO-xxx-xxxxx-xxxx)
MUST HAVE 75% SHELF LIFE OR MORE REMAINING
3" = HO-016-01134-0000
1" = HO-016-01134-0001
0.50" = HO-016-01134-0002
0.25" = HO-016-01134-0003</t>
  </si>
  <si>
    <t>Core  –  As Recd.
Width – N/A
Number Across Run/FInish –  ?/1
Core Label – No
±10% –  Yes
Unwind Dir. Run – N/A
Unwind Dir. Finish –  N/A
Diecut/Continuous/Sheet –  Continuous
Partial Case –  Yes
Pieces per roll/Unit – 1 Roll
Length per roll/unit –  18 Yd
Finish – On Press
Application – </t>
  </si>
  <si>
    <t>50916 Cost of Goods Sold</t>
  </si>
  <si>
    <t>Sheeted Label CSM Post-it Flex Write 4" x 6"</t>
  </si>
  <si>
    <t>9067</t>
  </si>
  <si>
    <t>Sheeted Label - CSM Post-it Flex Write - 4" x 6"</t>
  </si>
  <si>
    <t>Number Across Run/Finish –  1/1
Where Finished –  On Press
Length per Roll/Unit – 167'
Core Type –  N/A
Core Width – N/A
Core Label – No
Dividers – 
Bag Size – 
Qty. Per Bag – 500 Each
Box Size –  24 x 14 x 6
Qty. Per Box – 2,000 Each
Weight/box – 
Box Per Pallet – 
Pallet Type – </t>
  </si>
  <si>
    <t>Core  –  N/A
Width – N/A
Number Across Run/FInish –  1/1
Core Label – No
±10% –  Yes
Unwind Dir. Run – N/A
Unwind Dir. Finish –  N/A
Diecut/Continuous/Sheet –  Sheet
Partial Case –  Yes
Pieces per roll/Unit – 500
Length per roll/unit –  167'
Finish – On Press
Application – </t>
  </si>
  <si>
    <t>50917 Cost of Goods Sold</t>
  </si>
  <si>
    <t>Sheeted Part CSM Bisco BF-2000 24" x 12"</t>
  </si>
  <si>
    <t>9068</t>
  </si>
  <si>
    <t>Sheeted Part - CSM Bisco BF-2000 - 24" x 12"</t>
  </si>
  <si>
    <t>Number Across Run/Finish –  1/1
Where Finished –  On Press
Length per Roll/Unit – N/A
Core Type –  N/A
Core Width – N/A
Core Label – No
Dividers – 
Bag Size – 
Qty. Per Bag – 
Box Size –  12 x 12 x 10
Qty. Per Box – 30 Each
Weight/box – 
Box Per Pallet – 
Pallet Type – </t>
  </si>
  <si>
    <t>50918 Cost of Goods Sold</t>
  </si>
  <si>
    <t>Die Cut Part ESD Cover, Gecko 0.8" x 0.82"</t>
  </si>
  <si>
    <t>1201-LYY0001 (B)</t>
  </si>
  <si>
    <t>Die Cut Part - ESD Cover, Gecko - 0.8" x 0.82"</t>
  </si>
  <si>
    <t>Number Across Run/Finish –  4/1
Where Finished –  Web Techniques
Length per Roll/Unit – 471'
Core Type –  3" Plastic 0.10" HDPE
Core Width – 1.000"
Core Label – Yes
Dividers – Lexmark style
Bag Size – 
Qty. Per Bag – 1 Roll
Box Size –  Best Fit Per Qty
Qty. Per Box – 25 M
Weight/box – 
Box Per Pallet – 
Pallet Type – </t>
  </si>
  <si>
    <t>Each roll to have min. 16" leader.  No more than 2 missing parts in a row.
C of C with Material Lot #, DOM, and Shelf Life must accompany shipment.</t>
  </si>
  <si>
    <t>Core  –  3" Plastic 0.10" HDPE
Width – 1.000"
Number Across Run/FInish –  4/1
Core Label – Yes
±10% –  Yes
Unwind Dir. Run – See Drawing
Unwind Dir. Finish –  See Drawing
Diecut/Continuous/Sheet –  Die Cut
Partial Case –  Yes
Pieces per roll/Unit – 6,250
Length per roll/unit –  471'
Finish – Web Techniques
Application – </t>
  </si>
  <si>
    <t>Laminate smooth side of polycarbonate to adhesive.  Use Cevi juice roller on adhesive score.</t>
  </si>
  <si>
    <t>50919 Cost of Goods Sold</t>
  </si>
  <si>
    <t>Sheeted Part CSM Poron 4701-37-14118-04 24" x 18"</t>
  </si>
  <si>
    <t>11430</t>
  </si>
  <si>
    <t>Sheeted Part - CSM Poron 4701-37-14118-04 - 24" x 18"</t>
  </si>
  <si>
    <t>Number Across Run/Finish –  3/1
Where Finished –  On Press
Length per Roll/Unit – N/A
Core Type –  N/A
Core Width – N/A
Core Label – No
Dividers – 
Bag Size – 
Qty. Per Bag – 
Box Size –  14 x 14 x 10
Qty. Per Box – 
Weight/box – 
Box Per Pallet – 
Pallet Type – </t>
  </si>
  <si>
    <t>Packaging to be determined and based on material received.</t>
  </si>
  <si>
    <t>Core  –  N/A
Width – N/A
Number Across Run/FInish –  3/1
Core Label – No
±10% –  Yes
Unwind Dir. Run – N/A
Unwind Dir. Finish –  N/A
Diecut/Continuous/Sheet –  Sheet
Partial Case –  Yes
Pieces per roll/Unit – 1 Roll
Length per roll/unit –  N/A
Finish – On Press
Application – </t>
  </si>
  <si>
    <t>50920 Cost of Goods Sold</t>
  </si>
  <si>
    <t>Laminated Roll 7 mil mesh with 0.5" Adh. 2.5" x 100Yd</t>
  </si>
  <si>
    <t>9071</t>
  </si>
  <si>
    <t>Laminated Roll - 7 mil mesh with 0.5" Adh. - 2.5" x 100Yd</t>
  </si>
  <si>
    <t>Number Across Run/Finish –  1/1
Where Finished –  On Press
Length per Roll/Unit – 100 Yd
Core Type –  3" Paper 1/8" Strouse Brown
Core Width – 2.5"
Core Label – Yes
Dividers – 
Bag Size – 
Qty. Per Bag – 4 Rolls
Box Size –  12 x 12 x 12
Qty. Per Box – 25 Rolls
Weight/box – 
Box Per Pallet – 
Pallet Type – </t>
  </si>
  <si>
    <t>Core  –  3" Paper 1/8" Strouse Brown
Width – 2.5"
Number Across Run/FInish –  1/1
Core Label – Yes
±10% –  Yes
Unwind Dir. Run – Adh. Out
Unwind Dir. Finish –  Adh. Out
Diecut/Continuous/Sheet –  Continuous
Partial Case –  Yes
Pieces per roll/Unit – 1 Roll
Length per roll/unit –  100 Yd
Finish – On Press
Application – </t>
  </si>
  <si>
    <t>50921 Cost of Goods Sold</t>
  </si>
  <si>
    <t>Slit Tape 3M DT17 24mm x 32m</t>
  </si>
  <si>
    <t>9072</t>
  </si>
  <si>
    <t>Slit Tape - 3M DT17 - 24mm x 32m</t>
  </si>
  <si>
    <t>Number Across Run/Finish –  1/1
Where Finished –  On Press
Length per Roll/Unit – 32 m
Core Type –  As Recd.
Core Width – 24 mm
Core Label – No
Dividers – Paper
Bag Size – 
Qty. Per Bag – 12 Rolls
Box Size –  6 x 6 x 6
Qty. Per Box – 48 Rolls
Weight/box – 
Box Per Pallet – 
Pallet Type – </t>
  </si>
  <si>
    <t>Core  –  As Recd.
Width – 24 mm
Number Across Run/FInish –  1/1
Core Label – No
±10% –  Yes
Unwind Dir. Run – N/A
Unwind Dir. Finish –  N/A
Diecut/Continuous/Sheet –  Continuous
Partial Case –  Yes
Pieces per roll/Unit – 1 Roll
Length per roll/unit –  32 m
Finish – On Press
Application – </t>
  </si>
  <si>
    <t>50922 Cost of Goods Sold</t>
  </si>
  <si>
    <t>Sheeted Part 3M 93020LE 1.75" x 1.024"</t>
  </si>
  <si>
    <t>Blanka Sticker</t>
  </si>
  <si>
    <t>Sheeted Part - 3M 93020LE - 1.75" x 1.024"</t>
  </si>
  <si>
    <t>Number Across Run/Finish –  1/1
Where Finished –  On Press
Length per Roll/Unit – 4'
Core Type –  N/A
Core Width – N/A
Core Label – No
Dividers – 
Bag Size – 
Qty. Per Bag – 25 Each
Box Size –  6 x 6 x 6
Qty. Per Box – 25 Each
Weight/box – 
Box Per Pallet – 
Pallet Type – </t>
  </si>
  <si>
    <t>Core  –  N/A
Width – N/A
Number Across Run/FInish –  1/1
Core Label – No
±10% –  Yes
Unwind Dir. Run – N/A
Unwind Dir. Finish –  N/A
Diecut/Continuous/Sheet –  Sheet
Partial Case –  Yes
Pieces per roll/Unit – 25
Length per roll/unit –  4'
Finish – On Press
Application – </t>
  </si>
  <si>
    <t>50923 Cost of Goods Sold</t>
  </si>
  <si>
    <t>Sheeted Part 3M 93020LE 3.001" x 0.954"</t>
  </si>
  <si>
    <t>Sagat Sticker</t>
  </si>
  <si>
    <t>Sheeted Part - 3M 93020LE - 3.001" x 0.954"</t>
  </si>
  <si>
    <t>Number Across Run/Finish –  1/1
Where Finished –  On Press
Length per Roll/Unit – 6'
Core Type –  N/A
Core Width – N/A
Core Label – No
Dividers – 
Bag Size – 
Qty. Per Bag – 25 Each
Box Size –  12 x 12 x 10
Qty. Per Box – 25 Each
Weight/box – 
Box Per Pallet – 
Pallet Type – </t>
  </si>
  <si>
    <t>Core  –  N/A
Width – N/A
Number Across Run/FInish –  1/1
Core Label – No
±10% –  Yes
Unwind Dir. Run – N/A
Unwind Dir. Finish –  N/A
Diecut/Continuous/Sheet –  Sheet
Partial Case –  Yes
Pieces per roll/Unit – 25
Length per roll/unit –  6'
Finish – On Press
Application – </t>
  </si>
  <si>
    <t>50924 Cost of Goods Sold</t>
  </si>
  <si>
    <t>Die Cut Part CSM - PT205HD 0.315" c 0.472"</t>
  </si>
  <si>
    <t>212.253-00</t>
  </si>
  <si>
    <t>Die Cut Part - CSM - PT205HD - 0.315" c 0.472"</t>
  </si>
  <si>
    <t>Number Across Run/Finish –  6/1
Where Finished –  Web Techniques
Length per Roll/Unit – 420'
Core Type –  3" Paper 1/8" Strouse Brown
Core Width – 0.75"
Core Label – Yes
Dividers – Lexmark style
Bag Size – 
Qty. Per Bag – 1 Rolls
Box Size –  12 x 12 x 12
Qty. Per Box – 100 M
Weight/box – 
Box Per Pallet – 
Pallet Type – </t>
  </si>
  <si>
    <t>Core  –  3" Paper 1/8" Strouse Brown
Width – 0.75"
Number Across Run/FInish –  6/1
Core Label – Yes
±10% –  Yes
Unwind Dir. Run – See Drawing
Unwind Dir. Finish –  See Drawing
Diecut/Continuous/Sheet –  Die Cut
Partial Case –  Yes
Pieces per roll/Unit – 10,000
Length per roll/unit –  420'
Finish – Web Techniques
Application – </t>
  </si>
  <si>
    <t>50925 Cost of Goods Sold</t>
  </si>
  <si>
    <t>Die Cut Part CSM - PT205HD 0.394" x 0.830"</t>
  </si>
  <si>
    <t>212.253-50 Rev 2</t>
  </si>
  <si>
    <t>Die Cut Part - CSM - PT205HD - 0.394" x 0.830"</t>
  </si>
  <si>
    <t>Number Across Run/Finish –  4/1
Where Finished –  Web Techniques
Length per Roll/Unit – 420'
Core Type –  3" Paper 1/8" Strouse Brown
Core Width – 1.08"
Core Label – Yes
Dividers – Lexmark Style
Bag Size – 
Qty. Per Bag – 1 Rolls
Box Size –  
Qty. Per Box – 100 M
Weight/box – 
Box Per Pallet – 
Pallet Type – </t>
  </si>
  <si>
    <t>Core  –  3" Paper 1/8" Strouse Brown
Width – 1.08"
Number Across Run/FInish –  4/1
Core Label – Yes
±10% –  Yes
Unwind Dir. Run – See Drawing
Unwind Dir. Finish –  See Drawing
Diecut/Continuous/Sheet –  Die Cut
Partial Case –  Yes
Pieces per roll/Unit – 10,000
Length per roll/unit –  420'
Finish – Web Techniques
Application – </t>
  </si>
  <si>
    <t xml:space="preserve">Use tape guide labeled JJ 9076 located in Siat area. </t>
  </si>
  <si>
    <t>50926 Cost of Goods Sold</t>
  </si>
  <si>
    <t>Slit Tape 3M 112PO5 23.5" x 60Yd</t>
  </si>
  <si>
    <t>112PO5/23.5</t>
  </si>
  <si>
    <t>Slit Tape - 3M 112PO5 - 23.5" x 60Yd</t>
  </si>
  <si>
    <t>Number Across Run/Finish –  1/1
Where Finished –  On Press
Length per Roll/Unit – 60 Yd
Core Type –  As Recd.
Core Width – 23.5"
Core Label – Yes
Dividers – 
Bag Size – 
Qty. Per Bag – As Received 
Box Size –  12 x 12 x 4
Qty. Per Box – As Received 
Weight/box – 
Box Per Pallet – 
Pallet Type – </t>
  </si>
  <si>
    <t xml:space="preserve">Special 3M test report and Peel Test data from Strouse is required to be included with the shipment
</t>
  </si>
  <si>
    <t>Core  –  As Recd.
Width – 23.5"
Number Across Run/FInish –  1/1
Core Label – Yes
±10% –  Yes
Unwind Dir. Run – N/A
Unwind Dir. Finish –  N/A
Diecut/Continuous/Sheet –  Continuous
Partial Case –  Yes
Pieces per roll/Unit – 1 Roll
Length per roll/unit –  60 Yd
Finish – On Press
Application – </t>
  </si>
  <si>
    <t>50927 Cost of Goods Sold</t>
  </si>
  <si>
    <t>Sheeted Part 3M 1181/9495B 0.550" x 0.549"</t>
  </si>
  <si>
    <t>9078</t>
  </si>
  <si>
    <t>Sheeted Part - 3M 1181/9495B - 0.550" x 0.549"</t>
  </si>
  <si>
    <t>Number Across Run/Finish –  5/1
Where Finished –  On Press
Length per Roll/Unit – 4'
Core Type –  N/A
Core Width – N/A
Core Label – No
Dividers – 
Bag Size – 
Qty. Per Bag – 25 Each
Box Size –  10 x 10 x 10
Qty. Per Box – 200 Each
Weight/box – 
Box Per Pallet – 
Pallet Type – </t>
  </si>
  <si>
    <t>Core  –  N/A
Width – N/A
Number Across Run/FInish –  5/1
Core Label – No
±10% –  Yes
Unwind Dir. Run – N/A
Unwind Dir. Finish –  N/A
Diecut/Continuous/Sheet –  Die Cut Sheet
Partial Case –  Yes
Pieces per roll/Unit – 200
Length per roll/unit –  4'
Finish – On Press
Application – </t>
  </si>
  <si>
    <t>50928 Cost of Goods Sold</t>
  </si>
  <si>
    <t>Printed Tape White UPVC printed black "1". "2", "C" 1/2" x 80Yd</t>
  </si>
  <si>
    <t>806196100/-101/-112</t>
  </si>
  <si>
    <t>Printed Tape - White UPVC printed black "1". "2", "C" - 1/2" x 80Yd</t>
  </si>
  <si>
    <t>Core Label Info.:
Part #
Lot # found on Raw ID label on material.
Date of Mfg. (conversion)
806196100 = "1"
806196101 = "2"
806196112 = "C"</t>
  </si>
  <si>
    <t>50929 Cost of Goods Sold</t>
  </si>
  <si>
    <t>Die Cut Part ARCare 90445 w/ tab 10.75" x 0.53"</t>
  </si>
  <si>
    <t>9080</t>
  </si>
  <si>
    <t>Die Cut Part - ARCare 90445 w/ tab - 10.75" x 0.53"</t>
  </si>
  <si>
    <t>Number Across Run/Finish –  8/8
Where Finished –  On Press
Length per Roll/Unit – 235'
Core Type –  6" plastic, 0.155" PP
Core Width – 8.5"
Core Label – Yes
Dividers – 
Bag Size – 
Qty. Per Bag – 1 Roll
Box Size –  12 x 12 x 13
Qty. Per Box – 1 Rolls
Weight/box – 
Box Per Pallet – 
Pallet Type – </t>
  </si>
  <si>
    <t>Core  –  6" plastic, 0.155" PP
Width – 8.5"
Number Across Run/FInish –  8/8
Core Label – Yes
±10% –  Yes
Unwind Dir. Run – Parts Out
Unwind Dir. Finish –  Parts Out
Diecut/Continuous/Sheet –  Die Cut
Partial Case –  Yes
Pieces per roll/Unit – 2,000
Length per roll/unit –  235'
Finish – On Press
Application – </t>
  </si>
  <si>
    <t>50930 Cost of Goods Sold</t>
  </si>
  <si>
    <t>Sheeted Part Hook Tabs. 4 packs 3.8" x 1.5"</t>
  </si>
  <si>
    <t>CS-SS-HT-04-00</t>
  </si>
  <si>
    <t>Sheeted Part - Hook Tabs. 4 packs - 3.8" x 1.5"</t>
  </si>
  <si>
    <t>Number Across Run/Finish –  1/1
Where Finished –  Off Press
Length per Roll/Unit – 2'
Core Type –  N/A
Core Width – N/A
Core Label – No
Dividers – 
Bag Size – 
Qty. Per Bag – 4 Each
Box Size –  6 x 6 x 6
Qty. Per Box – 250 Bags
Weight/box – 
Box Per Pallet – 
Pallet Type – </t>
  </si>
  <si>
    <t>Print thermal labels on the Preco Zebra using Zebra software.
Attach label, insert 4 parts in to zip lock bag, when label is right reading, zip closure should be on right, see enclosed Drawing.  Place in box.
3" x 5" (4 Mil) Seal-Top Bags to be used
Include D.O.M. on the C of C.</t>
  </si>
  <si>
    <t>Core  –  N/A
Width – N/A
Number Across Run/FInish –  1/1
Core Label – No
±10% –  Yes
Unwind Dir. Run – N/A
Unwind Dir. Finish –  N/A
Diecut/Continuous/Sheet –  Die Cut Sheet
Partial Case –  Yes
Pieces per roll/Unit – 4
Length per roll/unit –  2'
Finish – Off Press
Application – </t>
  </si>
  <si>
    <t>Use AB 463 in last die station as a nip to avoid using and tearing up a rubber nip.</t>
  </si>
  <si>
    <t>50931 Cost of Goods Sold</t>
  </si>
  <si>
    <t>Sheeted Part 3M 93020LE 3.031" x 1.457"</t>
  </si>
  <si>
    <t>Zangief Sticker</t>
  </si>
  <si>
    <t>Sheeted Part - 3M 93020LE - 3.031" x 1.457"</t>
  </si>
  <si>
    <t>Number Across Run/Finish –  4/1
Where Finished –  On Press
Length per Roll/Unit – 4'
Core Type –  N/A
Core Width – N/A
Core Label – No
Dividers – 
Bag Size – 
Qty. Per Bag – 25 Each
Box Size –  10 x 10 x 10
Qty. Per Box – 50 Each
Weight/box – 
Box Per Pallet – 
Pallet Type – </t>
  </si>
  <si>
    <t>Core  –  N/A
Width – N/A
Number Across Run/FInish –  4/1
Core Label – No
±10% –  Yes
Unwind Dir. Run – N/A
Unwind Dir. Finish –  N/A
Diecut/Continuous/Sheet –  Sheet
Partial Case –  Yes
Pieces per roll/Unit – 25
Length per roll/unit –  4'
Finish – On Press
Application – </t>
  </si>
  <si>
    <t>50932 Cost of Goods Sold</t>
  </si>
  <si>
    <t>Printed Tape White tape printed Black "MIL 70S-3" 1/2" x 50Yd</t>
  </si>
  <si>
    <t>MIL 70S-3</t>
  </si>
  <si>
    <t>Printed Tape - White tape printed Black "MIL 70S-3" - 1/2" x 50Yd</t>
  </si>
  <si>
    <t>Number Across Run/Finish –  11/1
Where Finished –  On Press
Length per Roll/Unit – 50 Yd
Core Type –  3" Paper 1/8" Strouse Brown
Core Width – 0.50"
Core Label – No
Dividers – Paper
Bag Size – 
Qty. Per Bag – 10 Rolls
Box Size –  10 x 10 x 10
Qty. Per Box – 40 Rolls
Weight/box – 
Box Per Pallet – 
Pallet Type – </t>
  </si>
  <si>
    <t>50933 Cost of Goods Sold</t>
  </si>
  <si>
    <t>Die Cut Part 5 mil Lexan/Drytac Facemount 24mm x 25Yd</t>
  </si>
  <si>
    <t>9084</t>
  </si>
  <si>
    <t>Die Cut Part - 5 mil Lexan/Drytac Facemount - 24mm x 25Yd</t>
  </si>
  <si>
    <t>Number Across Run/Finish –  9/1
Where Finished –  On Press
Length per Roll/Unit – 75'
Core Type –  3" Paper 1/8" Strouse Brown
Core Width – 24 mm
Core Label – No
Dividers – Paper
Bag Size – 
Qty. Per Bag – 10 Rolls
Box Size –  13 x 13 x 10
Qty. Per Box – 40 Rolls
Weight/box – 
Box Per Pallet – 
Pallet Type – </t>
  </si>
  <si>
    <t>Finished roll is 75 ft (25 yds) long containing approx. 450 butt cut parts.</t>
  </si>
  <si>
    <t>Core  –  3" Paper 1/8" Strouse Brown
Width – 24 mm
Number Across Run/FInish –  9/1
Core Label – No
±10% –  Yes
Unwind Dir. Run – Parts Out
Unwind Dir. Finish –  Parts Out
Diecut/Continuous/Sheet –  Die Cut
Partial Case –  Yes
Pieces per roll/Unit – 1 Roll
Length per roll/unit –  75'
Finish – On Press
Application – </t>
  </si>
  <si>
    <t>50934 Cost of Goods Sold</t>
  </si>
  <si>
    <t>Sheeted Part Anti-Fog PET 4.5" x 8"</t>
  </si>
  <si>
    <t>9085</t>
  </si>
  <si>
    <t>Sheeted Part - Anti-Fog PET - 4.5" x 8"</t>
  </si>
  <si>
    <t>Number Across Run/Finish –  1/1
Where Finished –  On Press
Length per Roll/Unit – 20'
Core Type –  N/A
Core Width – N/A
Core Label – No
Dividers – 
Bag Size – 
Qty. Per Bag – 50 Each
Box Size –  14 x 14 x 10
Qty. Per Box – 100 Bags
Weight/box – 
Box Per Pallet – 
Pallet Type – </t>
  </si>
  <si>
    <t>Core  –  N/A
Width – N/A
Number Across Run/FInish –  1/1
Core Label – No
±10% –  Yes
Unwind Dir. Run – N/A
Unwind Dir. Finish –  N/A
Diecut/Continuous/Sheet –  Sheet
Partial Case –  Yes
Pieces per roll/Unit – 50
Length per roll/unit –  20'
Finish – On Press
Application – </t>
  </si>
  <si>
    <t>50935 Cost of Goods Sold</t>
  </si>
  <si>
    <t>Die Cut Part 3M 8212 1.145" x 2.326"</t>
  </si>
  <si>
    <t>DXN01-015 Rev A</t>
  </si>
  <si>
    <t>Die Cut Part - 3M 8212 - 1.145" x 2.326"</t>
  </si>
  <si>
    <t>Number Across Run/Finish –  1/1
Where Finished –  On Press
Length per Roll/Unit – 287'
Core Type –  3" Plastic 0.10" HDPE
Core Width – 3.75"
Core Label – Yes
Dividers – 
Bag Size – 
Qty. Per Bag – 1 Roll
Box Size –  10 x 10 x 10
Qty. Per Box – 10 M
Weight/box – 
Box Per Pallet – 
Pallet Type – </t>
  </si>
  <si>
    <t>First and last part from each finished roll to be saved and packaged separately for shipping.
DOUBLE BAG / PUT LARGE BAG IN BOX AND ALSO BAG EACH ROLL INDIVIDUALLY.
Include a C of C and a Material Cert for the 8212.  If using CSM and a Material Cert was not provided, just send a C of C and applicable Material Certs.</t>
  </si>
  <si>
    <t>Core  –  3" Plastic 0.10" HDPE
Width – 3.75"
Number Across Run/FInish –  1/1
Core Label – Yes
±10% –  Yes
Unwind Dir. Run – Parts In
Unwind Dir. Finish –  Parts In
Diecut/Continuous/Sheet –  Die Cut
Partial Case –  Yes
Pieces per roll/Unit – 2,500
Length per roll/unit –  287'
Finish – On Press
Application – </t>
  </si>
  <si>
    <t>50936 Cost of Goods Sold</t>
  </si>
  <si>
    <t>Die Cut Label 3M 7860 0.75" x 2.75"</t>
  </si>
  <si>
    <t>1503818-0001 Rev. B</t>
  </si>
  <si>
    <t>Die Cut Label - 3M 7860 - 0.75" x 2.75"</t>
  </si>
  <si>
    <t>Number Across Run/Finish –  2/1
Where Finished –  On Press
Length per Roll/Unit – 375'
Core Type –  3" Paper 1/8" White Brown
Core Width – 3.0"
Core Label – Yes
Dividers – 
Bag Size – 
Qty. Per Bag – 15 M
Box Size –  9 x 9 x 13
Qty. Per Box – 15 M
Weight/box – 
Box Per Pallet – 
Pallet Type – </t>
  </si>
  <si>
    <t>Revision Level must be on labels</t>
  </si>
  <si>
    <t>Core  –  3" Paper 1/8" White Brown
Width – 3.0"
Number Across Run/FInish –  2/1
Core Label – Yes
±10% –  Yes
Unwind Dir. Run – Parts Out
Unwind Dir. Finish –  Parts Out
Diecut/Continuous/Sheet –  Die Cut
Partial Case –  Yes
Pieces per roll/Unit – 5,000
Length per roll/unit –  375'
Finish – On Press
Application – </t>
  </si>
  <si>
    <t>50937 Cost of Goods Sold</t>
  </si>
  <si>
    <t>Die Cut Label 3M 7860 1" x 2.75"</t>
  </si>
  <si>
    <t>1503818-0003 Rev. B</t>
  </si>
  <si>
    <t>Die Cut Label - 3M 7860 - 1" x 2.75"</t>
  </si>
  <si>
    <t>Number Across Run/Finish –  2/1
Where Finished –  On Press
Length per Roll/Unit – 469'
Core Type –  3" Paper 1/8" White Brown
Core Width – 3.0"
Core Label – Yes
Dividers – 
Bag Size – 
Qty. Per Bag – 15 M
Box Size –  16 x 16 x 10-1/4
Qty. Per Box – 15 M
Weight/box – 
Box Per Pallet – 
Pallet Type – </t>
  </si>
  <si>
    <t>Core  –  3" Paper 1/8" White Brown
Width – 3.0"
Number Across Run/FInish –  2/1
Core Label – Yes
±10% –  Yes
Unwind Dir. Run – Parts Out
Unwind Dir. Finish –  Parts Out
Diecut/Continuous/Sheet –  Die Cut
Partial Case –  Yes
Pieces per roll/Unit – 5,000
Length per roll/unit –  469'
Finish – On Press
Application – </t>
  </si>
  <si>
    <t>50938 Cost of Goods Sold</t>
  </si>
  <si>
    <t>Slit Film CSM - 10 mil Melinex 5mm x 200'</t>
  </si>
  <si>
    <t>9089</t>
  </si>
  <si>
    <t>Slit Film - CSM - 10 mil Melinex - 5mm x 200'</t>
  </si>
  <si>
    <t>Number Across Run/Finish –  16/1
Where Finished –  On Press
Length per Roll/Unit – 200'
Core Type –  3" Plastic 0.10" HDPE
Core Width – 5 mm
Core Label – No
Dividers – Round Poly Flute
Bag Size – 
Qty. Per Bag – 9 or 18 Rolls
Box Size –  12 x 12 x 12
Qty. Per Box – 36 Rolls
Weight/box – 
Box Per Pallet – 
Pallet Type – </t>
  </si>
  <si>
    <t>Rolls are delicate.  Please take extra care in handling.</t>
  </si>
  <si>
    <t>Core  –  3" Plastic 0.10" HDPE
Width – 5 mm
Number Across Run/FInish –  16/1
Core Label – No
±10% –  Yes
Unwind Dir. Run – N/A
Unwind Dir. Finish –  N/A
Diecut/Continuous/Sheet –  Continuous
Partial Case –  Yes
Pieces per roll/Unit – 1 Roll
Length per roll/unit –  200'
Finish – On Press
Application – </t>
  </si>
  <si>
    <t>50939 Cost of Goods Sold</t>
  </si>
  <si>
    <t>Sheeted Part 3M SJ3560 0.5" x 1"</t>
  </si>
  <si>
    <t>9090</t>
  </si>
  <si>
    <t>Sheeted Part - 3M SJ3560 - 0.5" x 1"</t>
  </si>
  <si>
    <t>Number Across Run/Finish –  1/1
Where Finished –  On Press
Length per Roll/Unit – 105'
Core Type –  N/A
Core Width – N/A
Core Label – No
Dividers – 
Bag Size – 
Qty. Per Bag – 2.5 M
Box Size –  12 x 12 x 10
Qty. Per Box – 5 M
Weight/box – 
Box Per Pallet – 
Pallet Type – </t>
  </si>
  <si>
    <t>Leave air in bags; to reduce the chance of parts locking together prematurely.</t>
  </si>
  <si>
    <t>Core  –  N/A
Width – N/A
Number Across Run/FInish –  1/1
Core Label – No
±10% –  Yes
Unwind Dir. Run – N/A
Unwind Dir. Finish –  N/A
Diecut/Continuous/Sheet –  Sheet
Partial Case –  Yes
Pieces per roll/Unit – 2,500
Length per roll/unit –  105'
Finish – On Press
Application – </t>
  </si>
  <si>
    <t>DO NOT USE FOAM IN DIE, Run faster than idle or parts might stick in die, speed helps.</t>
  </si>
  <si>
    <t>50940 Cost of Goods Sold</t>
  </si>
  <si>
    <t>Die Cut Part Thinstick Antenna Calypso, 7007596 34.85mm x 21.65mm</t>
  </si>
  <si>
    <t>E060764</t>
  </si>
  <si>
    <t>Die Cut Part - Thinstick Antenna Calypso, 7007596 - 34.85mm x 21.65mm</t>
  </si>
  <si>
    <t>Number Across Run/Finish –  2/2
Where Finished –  On Press
Length per Roll/Unit – 63'
Core Type –  3" Paper 1/8" Strouse Brown
Core Width – 2.000"
Core Label – No
Dividers – 
Bag Size – 
Qty. Per Bag – 4 M
Box Size –  8 x 8 x 8
Qty. Per Box – 4 M
Weight/box – 
Box Per Pallet – 
Pallet Type – </t>
  </si>
  <si>
    <t>Core  –  3" Paper 1/8" Strouse Brown
Width – 2.000"
Number Across Run/FInish –  2/2
Core Label – No
±10% –  Yes
Unwind Dir. Run – Parts Out
Unwind Dir. Finish –  Parts Out
Diecut/Continuous/Sheet –  Die Cut
Partial Case –  Yes
Pieces per roll/Unit – 1,000
Length per roll/unit –  63'
Finish – On Press
Application – </t>
  </si>
  <si>
    <t>50941 Cost of Goods Sold</t>
  </si>
  <si>
    <t>Die Cut Part Foam LCD Conn Retainer BTM Housing Calypso 10mm x 4mm</t>
  </si>
  <si>
    <t>E060765</t>
  </si>
  <si>
    <t>Die Cut Part - Foam LCD Conn Retainer BTM Housing Calypso - 10mm x 4mm</t>
  </si>
  <si>
    <t>Number Across Run/Finish –  8/2
Where Finished –  On Press
Length per Roll/Unit – 33'
Core Type –  3" Paper 1/8" Strouse Brown
Core Width – 8 mm
Core Label – No
Dividers – Paper
Bag Size – 
Qty. Per Bag – 2 Rolls
Box Size –  23 x 23 x 2.5 cake
Qty. Per Box – 20 Rolls
Weight/box – 
Box Per Pallet – 
Pallet Type – </t>
  </si>
  <si>
    <t>Core  –  3" Paper 1/8" Strouse Brown
Width – 8 mm
Number Across Run/FInish –  8/2
Core Label – No
±10% –  Yes
Unwind Dir. Run – Parts Out
Unwind Dir. Finish –  Parts Out
Diecut/Continuous/Sheet –  Die Cut
Partial Case –  Yes
Pieces per roll/Unit – 2,000
Length per roll/unit –  33'
Finish – On Press
Application – </t>
  </si>
  <si>
    <t>50942 Cost of Goods Sold</t>
  </si>
  <si>
    <t>Sheeted Part 508 mm (20") Wheel Mask 508mm Dia</t>
  </si>
  <si>
    <t>Sheeted Part - 508 mm (20") Wheel Mask - 508mm Dia</t>
  </si>
  <si>
    <t>Number Across Run/Finish –  1/1
Where Finished –  On Press
Length per Roll/Unit – 438'
Core Type –  N/A
Core Width – N/A
Core Label – No
Dividers – 
Bag Size – 
Qty. Per Bag – 
Box Size –  12 1/2 x 8 1/2 x 12 5/8
Qty. Per Box – 250 Each
Weight/box – 
Box Per Pallet – 
Pallet Type – </t>
  </si>
  <si>
    <t>--2 labels per box
--Use enough packing material to protect the integrity of the box
--Never ship boxes UPS or Fed Ex without MDC approval.  These should always ship palletized by truck.
--Maximum of 8 layers
--Band Pallets in both directions and use corner boards
See Work order for PART NUMBER!!</t>
  </si>
  <si>
    <t>Core  –  N/A
Width – N/A
Number Across Run/FInish –  1/1
Core Label – No
±10% –  Yes
Unwind Dir. Run – N/A
Unwind Dir. Finish –  N/A
Diecut/Continuous/Sheet –  Die Cut Sheet
Partial Case –  No
Pieces per roll/Unit – 250
Length per roll/unit –  438'
Finish – On Press
Application – </t>
  </si>
  <si>
    <t>Do not tape boxes shut.
Keep Finished Product Separated by Raw Material Lot Number</t>
  </si>
  <si>
    <t>50943 Cost of Goods Sold</t>
  </si>
  <si>
    <t>Die Cut Label Thermal Transfer 4" x 2.5"</t>
  </si>
  <si>
    <t>9094</t>
  </si>
  <si>
    <t>Die Cut Label - Thermal Transfer - 4" x 2.5"</t>
  </si>
  <si>
    <t>Number Across Run/Finish –  1/1
Where Finished –  On Press
Length per Roll/Unit – 345'
Core Type –  3" Paper 1/8" White Brown
Core Width – 2.625"
Core Label – No
Dividers – 
Bag Size – 
Qty. Per Bag – 
Box Size –  12 x 12 x 4
Qty. Per Box – 8 M
Weight/box – 
Box Per Pallet – 
Pallet Type – </t>
  </si>
  <si>
    <t>Creates CAT# 22153
No slitting Dust.
Package for internal use.
Wind rolls as loose as possible!!!</t>
  </si>
  <si>
    <t>Core  –  3" Paper 1/8" White Brown
Width – 2.625"
Number Across Run/FInish –  1/1
Core Label – No
±10% –  Yes
Unwind Dir. Run – Parts Out
Unwind Dir. Finish –  Parts Out
Diecut/Continuous/Sheet –  Die Cut
Partial Case –  Yes
Pieces per roll/Unit – 1,000
Length per roll/unit –  345'
Finish – On Press
Application – </t>
  </si>
  <si>
    <t>50944 Cost of Goods Sold</t>
  </si>
  <si>
    <t>Sheeted Part CSM Brass/3M 9628FL 8" x 11.5"</t>
  </si>
  <si>
    <t>9095</t>
  </si>
  <si>
    <t>Sheeted Part - CSM Brass/3M 9628FL - 8" x 11.5"</t>
  </si>
  <si>
    <t>Number Across Run/Finish –  1/1
Where Finished –  On Press
Length per Roll/Unit – 67'
Core Type –  N/A
Core Width – N/A
Core Label – Yes
Dividers – 
Bag Size – 
Qty. Per Bag – 100 Each
Box Size –  11 x 11 x 14
Qty. Per Box – 300 Each
Weight/box – 
Box Per Pallet – 
Pallet Type – </t>
  </si>
  <si>
    <t>Wear gloves when handling.  Edges may be sharp.</t>
  </si>
  <si>
    <t>Core  –  N/A
Width – N/A
Number Across Run/FInish –  1/1
Core Label – Yes
±10% –  Yes
Unwind Dir. Run – N/A
Unwind Dir. Finish –  N/A
Diecut/Continuous/Sheet –  Sheet
Partial Case –  Yes
Pieces per roll/Unit – 100
Length per roll/unit –  67'
Finish – On Press
Application – </t>
  </si>
  <si>
    <t>50945 Cost of Goods Sold</t>
  </si>
  <si>
    <t>Sheeted Part Large, Gray filter media 8" x 6.25"</t>
  </si>
  <si>
    <t>N95 Model - N1902L</t>
  </si>
  <si>
    <t>Sheeted Part - Large, Gray filter media - 8" x 6.25"</t>
  </si>
  <si>
    <t>Number Across Run/Finish –  1/1
Where Finished –  On Press
Length per Roll/Unit – 340'
Core Type –  N/A
Core Width – N/A
Core Label – No
Dividers – 
Bag Size – 
Qty. Per Bag – 10 Each
Box Size –  16 x 16 x 10-1/4
Qty. Per Box – 1,000 Each
Weight/box – 
Box Per Pallet – 
Pallet Type – </t>
  </si>
  <si>
    <t>8.5 x 7" Tamper Evident 4 mil thick bag
Masks will be placed in bag where 3/4” printed liner is facing towards the ziploc
1 bag includes: 1 Info card (printed landscape), 1 instruction sheet (printed landscape), 10 Masks front facing towards the back of the bag so it is visible when bag with contents is flipped over 
10 masks / bag
100 bags / box or otherwise 1,000 masks / box</t>
  </si>
  <si>
    <t>Core  –  N/A
Width – N/A
Number Across Run/FInish –  1/1
Core Label – No
±10% –  Yes
Unwind Dir. Run – N/A
Unwind Dir. Finish –  N/A
Diecut/Continuous/Sheet –  Die Cut Sheet
Partial Case –  Yes
Pieces per roll/Unit – 500
Length per roll/unit –  340'
Finish – On Press
Application – </t>
  </si>
  <si>
    <t>Back light web during printing step so you can better inspect print for defects and positioning.</t>
  </si>
  <si>
    <t>50946 Cost of Goods Sold</t>
  </si>
  <si>
    <t>Sheeted Part Small, Gray filter media 7" x 5.75"</t>
  </si>
  <si>
    <t>N95 Model - N1902S</t>
  </si>
  <si>
    <t>Sheeted Part - Small, Gray filter media - 7" x 5.75"</t>
  </si>
  <si>
    <t>Number Across Run/Finish –  1/1
Where Finished –  On Press
Length per Roll/Unit – 297'
Core Type –  N/A
Core Width – N/A
Core Label – No
Dividers – 
Bag Size – 
Qty. Per Bag – 10 Each
Box Size –  12 x 12 x 10
Qty. Per Box – 1,000 Each
Weight/box – 
Box Per Pallet – 
Pallet Type – </t>
  </si>
  <si>
    <t>Core  –  N/A
Width – N/A
Number Across Run/FInish –  1/1
Core Label – No
±10% –  Yes
Unwind Dir. Run – N/A
Unwind Dir. Finish –  N/A
Diecut/Continuous/Sheet –  Die Cut Sheet
Partial Case –  Yes
Pieces per roll/Unit – 500
Length per roll/unit –  297'
Finish – On Press
Application – </t>
  </si>
  <si>
    <t>50947 Cost of Goods Sold</t>
  </si>
  <si>
    <t>Sheeted Part Blue VCI paper 5" x 1"</t>
  </si>
  <si>
    <t>2110030A</t>
  </si>
  <si>
    <t>Sheeted Part - Blue VCI paper - 5" x 1"</t>
  </si>
  <si>
    <t>Number Across Run/Finish –  3/1
Where Finished –  On Press
Length per Roll/Unit – 417'
Core Type –  N/A
Core Width – N/A
Core Label – No
Dividers – 
Bag Size – 
Qty. Per Bag – 3 M
Box Size –  
Qty. Per Box – 3 M
Weight/box – 
Box Per Pallet – 
Pallet Type – </t>
  </si>
  <si>
    <t>Multiple shades of blue VCI Sheeting are allowed.
Do not sqeeze air out of bags when sealing.  Leave loose!</t>
  </si>
  <si>
    <t>Core  –  N/A
Width – N/A
Number Across Run/FInish –  3/1
Core Label – No
±10% –  Yes
Unwind Dir. Run – N/A
Unwind Dir. Finish –  N/A
Diecut/Continuous/Sheet –  Die Cut Sheet
Partial Case –  Yes
Pieces per roll/Unit – 1,000
Length per roll/unit –  417'
Finish – On Press
Application – </t>
  </si>
  <si>
    <t>Multiple shades of blue VCI Sheeting are allowed.</t>
  </si>
  <si>
    <t>50948 Cost of Goods Sold</t>
  </si>
  <si>
    <t>Slit Tape Internal Use UPVC 1/4" x 1000Yd</t>
  </si>
  <si>
    <t>9101</t>
  </si>
  <si>
    <t>Slit Tape - Internal Use UPVC - 1/4" x 1000Yd</t>
  </si>
  <si>
    <t>Number Across Run/Finish –  20/1
Where Finished –  On Press
Length per Roll/Unit – 1,000 Yd
Core Type –  3" Paper (1/8" wall)
Core Width – 0.25"
Core Label – No
Dividers – 
Bag Size – 
Qty. Per Bag – 
Box Size –  
Qty. Per Box – 
Weight/box – 
Box Per Pallet – 
Pallet Type – </t>
  </si>
  <si>
    <t>Core  –  3" Paper (1/8" wall)
Width – 0.25"
Number Across Run/FInish –  20/1
Core Label – No
±10% –  Yes
Unwind Dir. Run – Adh. In
Unwind Dir. Finish –  Adh. In
Diecut/Continuous/Sheet –  Continuous
Partial Case –  Yes
Pieces per roll/Unit – 1 Roll
Length per roll/unit –  1,000 Yd
Finish – On Press
Application – </t>
  </si>
  <si>
    <t>50949 Cost of Goods Sold</t>
  </si>
  <si>
    <t>Sheeted Part Dressing 8" x 8"</t>
  </si>
  <si>
    <t>GB116</t>
  </si>
  <si>
    <t>Sheeted Part - Dressing - 8" x 8"</t>
  </si>
  <si>
    <t>Number Across Run/Finish –  1/1
Where Finished –  On Press
Length per Roll/Unit – 69'
Core Type –  N/A
Core Width – N/A
Core Label – No
Dividers – 
Bag Size – 
Qty. Per Bag – 
Box Size –  14 x 14 x 8
Qty. Per Box – 
Weight/box – 
Box Per Pallet – 
Pallet Type – </t>
  </si>
  <si>
    <t>See Engineering and Sales for final packaging.</t>
  </si>
  <si>
    <t>Core  –  N/A
Width – N/A
Number Across Run/FInish –  1/1
Core Label – No
±10% –  Yes
Unwind Dir. Run – N/A
Unwind Dir. Finish –  N/A
Diecut/Continuous/Sheet –  Die Cut Sheet
Partial Case –  Yes
Pieces per roll/Unit – 100
Length per roll/unit –  69'
Finish – On Press
Application – </t>
  </si>
  <si>
    <t>50950 Cost of Goods Sold</t>
  </si>
  <si>
    <t>Sheeted Part Dressing 8.5" x 4.5"</t>
  </si>
  <si>
    <t>GB113</t>
  </si>
  <si>
    <t>Sheeted Part - Dressing - 8.5" x 4.5"</t>
  </si>
  <si>
    <t>Number Across Run/Finish –  1/1
Where Finished –  On Press
Length per Roll/Unit – 75'
Core Type –  6" plastic, 0.155" PP
Core Width – 5"
Core Label – No
Dividers – 
Bag Size – 
Qty. Per Bag – 
Box Size –  11 x 11 x 14
Qty. Per Box – 100 Each
Weight/box – 
Box Per Pallet – 
Pallet Type – </t>
  </si>
  <si>
    <t>Special printed boxes for this order
9103 Part for part label
9103 Small Box for Printed Box Label</t>
  </si>
  <si>
    <t>Core  –  6" plastic, 0.155" PP
Width – 5"
Number Across Run/FInish –  1/1
Core Label – No
±10% –  Yes
Unwind Dir. Run – N/A
Unwind Dir. Finish –  N/A
Diecut/Continuous/Sheet –  Die Cut Sheet
Partial Case –  Yes
Pieces per roll/Unit – 100
Length per roll/unit –  75'
Finish – On Press
Application – </t>
  </si>
  <si>
    <t>50951 Cost of Goods Sold</t>
  </si>
  <si>
    <t>Printed Tape 3M 9836 4" x 100Yd</t>
  </si>
  <si>
    <t>9106</t>
  </si>
  <si>
    <t>Printed Tape - 3M 9836 - 4" x 100Yd</t>
  </si>
  <si>
    <t>Number Across Run/Finish –  1/1
Where Finished –  On Press
Length per Roll/Unit – 300'
Core Type –  3" Paper 1/8" Strouse Brown
Core Width – 4.00"
Core Label – Yes
Dividers – Paper
Bag Size – 
Qty. Per Bag – 3 Rolls
Box Size –  16 x 16 x 10-1/4
Qty. Per Box – 3 Rolls
Weight/box – 
Box Per Pallet – 
Pallet Type – </t>
  </si>
  <si>
    <t>Core  –  3" Paper 1/8" Strouse Brown
Width – 4.00"
Number Across Run/FInish –  1/1
Core Label – Yes
±10% –  Yes
Unwind Dir. Run – Print In
Unwind Dir. Finish –  Print In
Diecut/Continuous/Sheet –  Continuous
Partial Case –  Yes
Pieces per roll/Unit – 1 Roll
Length per roll/unit –  300'
Finish – On Press
Application – </t>
  </si>
  <si>
    <t>50952 Cost of Goods Sold</t>
  </si>
  <si>
    <t>Slit Tape MED 5707 5" x 750'</t>
  </si>
  <si>
    <t>9107</t>
  </si>
  <si>
    <t>Slit Tape - MED 5707 - 5" x 750'</t>
  </si>
  <si>
    <t>Number Across Run/Finish –  2/1
Where Finished –  On Press
Length per Roll/Unit – 750'
Core Type –  3" Paper 1/8" Strouse Brown
Core Width – 5.00"
Core Label – Yes
Dividers – Paper
Bag Size – 
Qty. Per Bag – 2 Rolls
Box Size –  14 x 14 x 10
Qty. Per Box – 2 Rolls
Weight/box – 
Box Per Pallet – 
Pallet Type – </t>
  </si>
  <si>
    <t>Sold as one roll of 10" slit into two finished rolls.  If the WO says 5 rolls, then that equals 10 finished rolls at 5" wide.</t>
  </si>
  <si>
    <t>Core  –  3" Paper 1/8" Strouse Brown
Width – 5.00"
Number Across Run/FInish –  2/1
Core Label – Yes
±10% –  Yes
Unwind Dir. Run – N/A
Unwind Dir. Finish –  N/A
Diecut/Continuous/Sheet –  Continuous
Partial Case –  Yes
Pieces per roll/Unit – 1 Roll
Length per roll/unit –  750'
Finish – On Press
Application – </t>
  </si>
  <si>
    <t>50953 Cost of Goods Sold</t>
  </si>
  <si>
    <t>Slit Tape 3M 1529 5" x 1,500'</t>
  </si>
  <si>
    <t>9108</t>
  </si>
  <si>
    <t>Slit Tape - 3M 1529 - 5" x 1,500'</t>
  </si>
  <si>
    <t>Number Across Run/Finish –  2/1
Where Finished –  On Press
Length per Roll/Unit – 1,500'
Core Type –  3" Paper 1/8" Strouse Brown
Core Width – 5.00"
Core Label – Yes
Dividers – Paper
Bag Size – 
Qty. Per Bag – 2 Rolls
Box Size –  14 x 14 x 14
Qty. Per Box – 2 Rolls
Weight/box – 
Box Per Pallet – 
Pallet Type – </t>
  </si>
  <si>
    <t>Core  –  3" Paper 1/8" Strouse Brown
Width – 5.00"
Number Across Run/FInish –  2/1
Core Label – Yes
±10% –  Yes
Unwind Dir. Run – N/A
Unwind Dir. Finish –  N/A
Diecut/Continuous/Sheet –  Continuous
Partial Case –  Yes
Pieces per roll/Unit – 1 Roll
Length per roll/unit –  1,500'
Finish – On Press
Application – </t>
  </si>
  <si>
    <t>50954 Cost of Goods Sold</t>
  </si>
  <si>
    <t>Slit Tape 3M 231 / White plastic core 0.125" x 60Yd</t>
  </si>
  <si>
    <t>9109</t>
  </si>
  <si>
    <t>Slit Tape - 3M 231 / White plastic core - 0.125" x 60Yd</t>
  </si>
  <si>
    <t>Number Across Run/Finish –  216/1
Where Finished –  On Press
Length per Roll/Unit – 60 Yd
Core Type –  3" Plastic 0.10" HDPE
Core Width – 0.125"
Core Label – No
Dividers – Paper
Bag Size – 
Qty. Per Bag – 110 Rolls
Box Size –  14 x 14 x 14
Qty. Per Box – 220 Rolls
Weight/box – 
Box Per Pallet – 
Pallet Type – </t>
  </si>
  <si>
    <t>Core  –  3" Plastic 0.10" HDPE
Width – 0.125"
Number Across Run/FInish –  216/1
Core Label – No
±10% –  Yes
Unwind Dir. Run – N/A
Unwind Dir. Finish –  N/A
Diecut/Continuous/Sheet –  Continuous
Partial Case –  Yes
Pieces per roll/Unit – 110
Length per roll/unit –  60 Yd
Finish – On Press
Application – </t>
  </si>
  <si>
    <t>50955 Cost of Goods Sold</t>
  </si>
  <si>
    <t>Slit Tape 3M 231 / Green plastic core 0.125" x 60Yd</t>
  </si>
  <si>
    <t>9110</t>
  </si>
  <si>
    <t>Slit Tape - 3M 231 / Green plastic core - 0.125" x 60Yd</t>
  </si>
  <si>
    <t>Number Across Run/Finish –  216/1
Where Finished –  On Press
Length per Roll/Unit – 60 Yd
Core Type –  3" Plastic 0.10" Color HDPE
Core Width – 0.125"
Core Label – No
Dividers – Paper
Bag Size – 
Qty. Per Bag – 110 Rolls
Box Size –  10 x 10 x 10
Qty. Per Box – 220 Rolls
Weight/box – 
Box Per Pallet – 
Pallet Type – </t>
  </si>
  <si>
    <t>Core  –  3" Plastic 0.10" Color HDPE
Width – 0.125"
Number Across Run/FInish –  216/1
Core Label – No
±10% –  Yes
Unwind Dir. Run – N/A
Unwind Dir. Finish –  N/A
Diecut/Continuous/Sheet –  Continuous
Partial Case –  Yes
Pieces per roll/Unit – 110
Length per roll/unit –  60 Yd
Finish – On Press
Application – </t>
  </si>
  <si>
    <t>50956 Cost of Goods Sold</t>
  </si>
  <si>
    <t>Die Cut Part d/c Adh. Patch with Tab 28mm x 28mm</t>
  </si>
  <si>
    <t>9111</t>
  </si>
  <si>
    <t>Die Cut Part - d/c Adh. Patch with Tab - 28mm x 28mm</t>
  </si>
  <si>
    <t>Number Across Run/Finish –  2/1
Where Finished –  On Press
Length per Roll/Unit – 144'
Core Type –  3" Paper 1/8" Strouse Brown
Core Width – 1.6"
Core Label – Yes
Dividers – 
Bag Size – 
Qty. Per Bag – 6 Rolls
Box Size –  16 x 12 x 4 Strouse
Qty. Per Box – 6 Rolls
Weight/box – 
Box Per Pallet – 
Pallet Type – </t>
  </si>
  <si>
    <t>Rewind direction is not critical.  Hand applied.</t>
  </si>
  <si>
    <t>Core  –  3" Paper 1/8" Strouse Brown
Width – 1.6"
Number Across Run/FInish –  2/1
Core Label – Yes
±10% –  Yes
Unwind Dir. Run – Parts Out
Unwind Dir. Finish –  Parts Out
Diecut/Continuous/Sheet –  Die Cut
Partial Case –  Yes
Pieces per roll/Unit – 1,250
Length per roll/unit –  144'
Finish – On Press
Application – </t>
  </si>
  <si>
    <t>Rewind direction is not critical.  We will ship both directions.</t>
  </si>
  <si>
    <t>50957 Cost of Goods Sold</t>
  </si>
  <si>
    <t>Sheeted Part Face Shield w/PU strap, 25/Case 10" x 8"</t>
  </si>
  <si>
    <t>PPE:FS812-25</t>
  </si>
  <si>
    <t>Sheeted Part - Face Shield w/PU strap, 25/Case - 10" x 8"</t>
  </si>
  <si>
    <t>Number Across Run/Finish –  1/1
Where Finished –  On Press
Length per Roll/Unit – 22'
Core Type –  N/A
Core Width – N/A
Core Label – No
Dividers – 
Bag Size – 
Qty. Per Bag – 5 Each
Box Size –  
Qty. Per Box – 25 Each
Weight/box – 
Box Per Pallet – 72
Pallet Type – </t>
  </si>
  <si>
    <t>Use Strouse branded boxes.  Use label format "9112" (2.5" x 4" labels)
5 shields per shrink pack and 25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</si>
  <si>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25
Length per roll/unit –  22'
Finish – On Press
Application – </t>
  </si>
  <si>
    <t>EACH = 1 case of 25 shields</t>
  </si>
  <si>
    <t>50958 Cost of Goods Sold</t>
  </si>
  <si>
    <t>Die Cut Part Push Tab Various</t>
  </si>
  <si>
    <t>9113</t>
  </si>
  <si>
    <t>Die Cut Part - Push Tab - Various</t>
  </si>
  <si>
    <t>Number Across Run/Finish –  4/
Where Finished –  
Length per Roll/Unit – 
Core Type –  N/A
Core Width – 
Core Label – 
Dividers – 
Bag Size – 
Qty. Per Bag – 
Box Size –  16 x 12 x 6 Strouse
Qty. Per Box – 
Weight/box – 
Box Per Pallet – 
Pallet Type – </t>
  </si>
  <si>
    <t>Concept Trial</t>
  </si>
  <si>
    <t>Core  –  N/A
Width – 
Number Across Run/FInish –  4/
Core Label – 
±10% –  Yes
Unwind Dir. Run – N/A
Unwind Dir. Finish –  
Diecut/Continuous/Sheet –  Die Cut
Partial Case –  Yes
Pieces per roll/Unit – 
Length per roll/unit –  
Finish – 
Application – </t>
  </si>
  <si>
    <t>50959 Cost of Goods Sold</t>
  </si>
  <si>
    <t>Sheeted Part Face Shield w/PU strap, 50/Case 10" x 8"</t>
  </si>
  <si>
    <t>PPE:FS812-50</t>
  </si>
  <si>
    <t>Sheeted Part - Face Shield w/PU strap, 50/Case - 10" x 8"</t>
  </si>
  <si>
    <t>Number Across Run/Finish –  1/1
Where Finished –  On Press
Length per Roll/Unit – 43'
Core Type –  N/A
Core Width – N/A
Core Label – No
Dividers – 
Bag Size – 
Qty. Per Bag – 5 Each
Box Size –  16 x 12 x 8 Strouse
Qty. Per Box – 50 Each
Weight/box – 
Box Per Pallet – 63
Pallet Type – </t>
  </si>
  <si>
    <t>Use Strouse branded boxes.  Use label format "9114" (2.5" x 4" labels)
5 shields per shrink pack and 50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</si>
  <si>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50
Length per roll/unit –  43'
Finish – On Press
Application – </t>
  </si>
  <si>
    <t>EACH = 1 case of 50 shields</t>
  </si>
  <si>
    <t>50960 Cost of Goods Sold</t>
  </si>
  <si>
    <t>Sheeted Part Face Shield w/PU strap, 100/Case 10" x 8"</t>
  </si>
  <si>
    <t>PPE:FS812-100</t>
  </si>
  <si>
    <t>Sheeted Part - Face Shield w/PU strap, 100/Case - 10" x 8"</t>
  </si>
  <si>
    <t>Number Across Run/Finish –  1/1
Where Finished –  On Press
Length per Roll/Unit – 86'
Core Type –  N/A
Core Width – N/A
Core Label – No
Dividers – 
Bag Size – 
Qty. Per Bag – 5 Each
Box Size –  12 x 12 x 4
Qty. Per Box – 100 Each
Weight/box – 
Box Per Pallet – 54
Pallet Type – </t>
  </si>
  <si>
    <t>Use Strouse branded boxes.  Use label format "9115" (2.5" x 4" labels)
5 shields per shrink pack and 100 shields per case.
Curl test description – When part is laying with foam up and there is curl that raises the center up, check using ¼” spacer.  If this spacer can slide under the “hump”, this fails.  If the spacer hits the mask, this is a pass.  Any curl that raises the ends or curls towards the foam side is unacceptable and needs to be fixed.
See pictures for examples.</t>
  </si>
  <si>
    <t>Core  –  N/A
Width – N/A
Number Across Run/FInish –  1/1
Core Label – No
±10% –  Yes
Unwind Dir. Run – N/A
Unwind Dir. Finish –  N/A
Diecut/Continuous/Sheet –  Sheet
Partial Case –  No
Pieces per roll/Unit – 100
Length per roll/unit –  86'
Finish – On Press
Application – </t>
  </si>
  <si>
    <t>EACH = 1 case of 100 shields</t>
  </si>
  <si>
    <t>50961 Cost of Goods Sold</t>
  </si>
  <si>
    <t>Slit Roll 3M 4914 on a secondary liner 1.75" x 216'</t>
  </si>
  <si>
    <t>9116</t>
  </si>
  <si>
    <t>Slit Roll - 3M 4914 on a secondary liner - 1.75" x 216'</t>
  </si>
  <si>
    <t>Number Across Run/Finish –  1/1
Where Finished –  On Press
Length per Roll/Unit – 216'
Core Type –  6" plastic, 0.155" PP
Core Width – 2.00"
Core Label – No
Dividers – 
Bag Size – 
Qty. Per Bag – 1 Rolls
Box Size –  16 x 16 x 10-1/4
Qty. Per Box – 1 Rolls
Weight/box – 
Box Per Pallet – 
Pallet Type – </t>
  </si>
  <si>
    <t>Core  –  6" plastic, 0.155" PP
Width – 2.00"
Number Across Run/FInish –  1/1
Core Label – No
±10% –  Yes
Unwind Dir. Run – 4914 In
Unwind Dir. Finish –  4914 In
Diecut/Continuous/Sheet –  Continuous
Partial Case –  Yes
Pieces per roll/Unit – 1 Roll
Length per roll/unit –  216'
Finish – On Press
Application – </t>
  </si>
  <si>
    <t>50962 Cost of Goods Sold</t>
  </si>
  <si>
    <t>Die Cut Part Tesa 62934 19.83mm x 26.42mm</t>
  </si>
  <si>
    <t>022-0243-L Rev C</t>
  </si>
  <si>
    <t>Die Cut Part - Tesa 62934 - 19.83mm x 26.42mm</t>
  </si>
  <si>
    <t>Number Across Run/Finish –  3/1
Where Finished –  Off Press
Length per Roll/Unit – 250'
Core Type –  6" plastic, 0.155" PP
Core Width – 1.5"
Core Label – Yes
Dividers – Special
Bag Size – 
Qty. Per Bag – 1 Roll
Box Size –  16 x 16 x 10-1/4
Qty. Per Box – 15 M
Weight/box – 
Box Per Pallet – 
Pallet Type – </t>
  </si>
  <si>
    <t>Rolls can have up to 2 missing parts in a row.
- Core labels required on Core, Sideboards, and Shrink Film.
- Place the shrink filmed rolls into a single bag in the box.
- Box labels required on two adjacent sides of box.
Rolls require sideboards attached to the core.  Custom polyflute sideboards need to be taped to the core in 4 locations spaced around the diameter to create a sort of spool.</t>
  </si>
  <si>
    <t>Core  –  6" plastic, 0.155" PP
Width – 1.5"
Number Across Run/FInish –  3/1
Core Label – Yes
±10% –  Yes
Unwind Dir. Run – Parts Out
Unwind Dir. Finish –  See Drawing
Diecut/Continuous/Sheet –  Die Cut
Partial Case –  Yes
Pieces per roll/Unit – 3,000
Length per roll/unit –  250'
Finish – Off Press
Application – </t>
  </si>
  <si>
    <t>Rolls can have up to 2 missing parts in a row.</t>
  </si>
  <si>
    <t>50963 Cost of Goods Sold</t>
  </si>
  <si>
    <t>022-0243-R Rev C</t>
  </si>
  <si>
    <t>50964 Cost of Goods Sold</t>
  </si>
  <si>
    <t>Die Cut Part 3M 4492B 19.83mm x 26.42mm</t>
  </si>
  <si>
    <t>022-0159-L Rev C</t>
  </si>
  <si>
    <t>Die Cut Part - 3M 4492B - 19.83mm x 26.42mm</t>
  </si>
  <si>
    <t>50965 Cost of Goods Sold</t>
  </si>
  <si>
    <t>022-0159-R Rev C</t>
  </si>
  <si>
    <t>50966 Cost of Goods Sold</t>
  </si>
  <si>
    <t>Die Cut Part Tesa 62934 19.8mm x 27.5mm</t>
  </si>
  <si>
    <t>022-0192-L Rev D</t>
  </si>
  <si>
    <t>Die Cut Part - Tesa 62934 - 19.8mm x 27.5mm</t>
  </si>
  <si>
    <t>50967 Cost of Goods Sold</t>
  </si>
  <si>
    <t>022-0192-R Rev D</t>
  </si>
  <si>
    <t>Number Across Run/Finish –  3/1
Where Finished –  Off Press
Length per Roll/Unit – 250'
Core Type –  6" plastic, 0.155" PP
Core Width – 1.5"
Core Label – Yes
Dividers – Special
Bag Size – 
Qty. Per Bag – 1 Roll
Box Size –  26 x 26 x 3 T&amp;B
Qty. Per Box – 15 M
Weight/box – 
Box Per Pallet – 
Pallet Type – </t>
  </si>
  <si>
    <t>Rolls can have up to 2 missing parts in a row.
- Core labels required on Core, Sideboards, and Shrink Film.
- Place the shrink filmed rolls into a single bag (16"x14"x36" 2mil GSTD) in the box.
- Box labels required on two adjacent sides of box.
Rolls require sideboards attached to the core.  Custom polyflute sideboards need to be taped to the core in 4 locations spaced around the diameter to create a sort of spool.</t>
  </si>
  <si>
    <t>50968 Cost of Goods Sold</t>
  </si>
  <si>
    <t>Sheeted Part 3M 1524 18" x 24"</t>
  </si>
  <si>
    <t>9123</t>
  </si>
  <si>
    <t>Sheeted Part - 3M 1524 - 18" x 24"</t>
  </si>
  <si>
    <t>Number Across Run/Finish –  1/1
Where Finished –  On Press
Length per Roll/Unit – 150'
Core Type –  N/A
Core Width – N/A
Core Label – No
Dividers – 
Bag Size – 
Qty. Per Bag – 100 Each
Box Size –  26 x 26 x 3 T&amp;B
Qty. Per Box – 100 Each
Weight/box – 
Box Per Pallet – 
Pallet Type – </t>
  </si>
  <si>
    <t>Make batches of 100 sheets, and IMMEDIATELY move them to the Heat Sealer to be double bagged and heat sealed (to eliminate as much time in the humidity as possible).  16" x 14" x 36"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</si>
  <si>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No
±10% –  Yes
Unwind Dir. Run – N/A
Unwind Dir. Finish –  N/A
Diecut/Continuous/Sheet –  Sheet
Partial Case –  Yes
Pieces per roll/Unit – 100
Length per roll/unit –  150'
Finish – On Press
Application – </t>
  </si>
  <si>
    <t>50969 Cost of Goods Sold</t>
  </si>
  <si>
    <t>Sheeted Part 3M 9874 18" x 24"</t>
  </si>
  <si>
    <t xml:space="preserve">9124 </t>
  </si>
  <si>
    <t>Sheeted Part - 3M 9874 - 18" x 24"</t>
  </si>
  <si>
    <t>Number Across Run/Finish –  1/1
Where Finished –  On Press
Length per Roll/Unit – 150'
Core Type –  N/A
Core Width – N/A
Core Label – No
Dividers – 
Bag Size – 
Qty. Per Bag – 100 Each
Box Size –  12 x 12 x 10
Qty. Per Box – 100 Each
Weight/box – 
Box Per Pallet – 
Pallet Type – </t>
  </si>
  <si>
    <t>50970 Cost of Goods Sold</t>
  </si>
  <si>
    <t>Die Cut Part DX Tape - Top of Card 26.21mm x 85.93mm</t>
  </si>
  <si>
    <t>100001327 Rev B</t>
  </si>
  <si>
    <t>Die Cut Part - DX Tape - Top of Card - 26.21mm x 85.93mm</t>
  </si>
  <si>
    <t>Number Across Run/Finish –  1/1
Where Finished –  Web Techniques
Length per Roll/Unit – 527'
Core Type –  3" Plastic 0.10" HDPE
Core Width – 4.5"
Core Label – Yes
Dividers – Lexmark Style
Bag Size – 
Qty. Per Bag – 1 Roll
Box Size –  12 x 12 x 12
Qty. Per Box – 2 Rolls
Weight/box – 
Box Per Pallet – 
Pallet Type – </t>
  </si>
  <si>
    <t>Finish rewind direction - see Strouse roll Drawing.</t>
  </si>
  <si>
    <t>Core  –  3" Plastic 0.10" HDPE
Width – 4.5"
Number Across Run/FInish –  1/1
Core Label – Yes
±10% –  Yes
Unwind Dir. Run – Parts Out
Unwind Dir. Finish –  Parts Out
Diecut/Continuous/Sheet –  Die Cut
Partial Case –  Yes
Pieces per roll/Unit – 5,000
Length per roll/unit –  527'
Finish – Web Techniques
Application – </t>
  </si>
  <si>
    <t>50971 Cost of Goods Sold</t>
  </si>
  <si>
    <t>Die Cut Part DX Tape - Shroud 34.06mm x 94.21mm</t>
  </si>
  <si>
    <t>100001329 Rev B</t>
  </si>
  <si>
    <t>Die Cut Part - DX Tape - Shroud - 34.06mm x 94.21mm</t>
  </si>
  <si>
    <t>Number Across Run/Finish –  1/1
Where Finished –  Web Techniques
Length per Roll/Unit – 631'
Core Type –  3" Plastic 0.10" HDPE
Core Width – 4.5"
Core Label – Yes
Dividers – Lexmark Style
Bag Size – 
Qty. Per Bag – 1 Roll
Box Size –  12 x 12 x 12
Qty. Per Box – 3 Rolls
Weight/box – 
Box Per Pallet – 
Pallet Type – </t>
  </si>
  <si>
    <t>Core  –  3" Plastic 0.10" HDPE
Width – 4.5"
Number Across Run/FInish –  1/1
Core Label – Yes
±10% –  Yes
Unwind Dir. Run – Parts Out
Unwind Dir. Finish –  Parts Out
Diecut/Continuous/Sheet –  Die Cut
Partial Case –  Yes
Pieces per roll/Unit – 5,000
Length per roll/unit –  631'
Finish – Web Techniques
Application – </t>
  </si>
  <si>
    <t>50972 Cost of Goods Sold</t>
  </si>
  <si>
    <t>Die Cut Part DX Tape - Bottom of Card 25.42mm x 81.89mm</t>
  </si>
  <si>
    <t>100001328 Rev B</t>
  </si>
  <si>
    <t>Die Cut Part - DX Tape - Bottom of Card - 25.42mm x 81.89mm</t>
  </si>
  <si>
    <t>Number Across Run/Finish –  1/1
Where Finished –  Web Techniques
Length per Roll/Unit – 475'
Core Type –  3" Plastic 0.10" HDPE
Core Width – 4.5"
Core Label – Yes
Dividers – Lexmark Style
Bag Size – 
Qty. Per Bag – 1 Roll
Box Size –  12 x 12 x 4
Qty. Per Box – 2 Rolls
Weight/box – 
Box Per Pallet – 
Pallet Type – </t>
  </si>
  <si>
    <t>Core  –  3" Plastic 0.10" HDPE
Width – 4.5"
Number Across Run/FInish –  1/1
Core Label – Yes
±10% –  Yes
Unwind Dir. Run – Parts Out
Unwind Dir. Finish –  Parts Out
Diecut/Continuous/Sheet –  Die Cut
Partial Case –  Yes
Pieces per roll/Unit – 5,000
Length per roll/unit –  475'
Finish – Web Techniques
Application – </t>
  </si>
  <si>
    <t>50973 Cost of Goods Sold</t>
  </si>
  <si>
    <t>Die Cut Part 3M 1181 0.50" x 0.10"</t>
  </si>
  <si>
    <t>105143 Rev B</t>
  </si>
  <si>
    <t>Die Cut Part - 3M 1181 - 0.50" x 0.10"</t>
  </si>
  <si>
    <t>Number Across Run/Finish –  2/1
Where Finished –  On Press
Length per Roll/Unit – 103'
Core Type –  CSM Spool
Core Width – Special
Core Label – Yes
Dividers – 
Bag Size – 
Qty. Per Bag – 1 Rolls
Box Size –  12 x 4 x 4
Qty. Per Box – 2 Rolls
Weight/box – 
Box Per Pallet – 
Pallet Type – </t>
  </si>
  <si>
    <t>Include a C of C, and Material Certs for the Copper.
5 pieces in zip lock bag from roll to be attached to outside of each roll; with a core label.
(2,210 in Pieces Per Unit = 2,200 pieces per roll + 5 retain pieces per roll + 5 pieces for the outside of each roll).</t>
  </si>
  <si>
    <t>Core  –  CSM Spool
Width – Special
Number Across Run/FInish –  2/1
Core Label – Yes
±10% –  Yes
Unwind Dir. Run – Parts In
Unwind Dir. Finish –  Parts In
Diecut/Continuous/Sheet –  Die Cut
Partial Case –  Yes
Pieces per roll/Unit – 2,200
Length per roll/unit –  103'
Finish – On Press
Application – </t>
  </si>
  <si>
    <t>50974 Cost of Goods Sold</t>
  </si>
  <si>
    <t>Sheeted Part ECF 568 Base 2.64" x 1.719"</t>
  </si>
  <si>
    <t>RDDECF568-04</t>
  </si>
  <si>
    <t>Sheeted Part - ECF 568 Base - 2.64" x 1.719"</t>
  </si>
  <si>
    <t>Number Across Run/Finish –  4/1
Where Finished –  On Press
Length per Roll/Unit – 1'
Core Type –  N/A
Core Width – N/A
Core Label – No
Dividers – 
Bag Size – 
Qty. Per Bag – 10 Each
Box Size –  12 x 12 x 4
Qty. Per Box – 10 Each
Weight/box – 
Box Per Pallet – 
Pallet Type – </t>
  </si>
  <si>
    <t>Must be shipped on Dry Ice.  Do not ship on a Friday.</t>
  </si>
  <si>
    <t>Core  –  N/A
Width – N/A
Number Across Run/FInish –  4/1
Core Label – No
±10% –  Yes
Unwind Dir. Run – N/A
Unwind Dir. Finish –  N/A
Diecut/Continuous/Sheet –  Die Cut Sheet
Partial Case –  Yes
Pieces per roll/Unit – 10
Length per roll/unit –  1'
Finish – On Press
Application – </t>
  </si>
  <si>
    <t>50975 Cost of Goods Sold</t>
  </si>
  <si>
    <t>Sheeted Part ECF 568 Finger #1 0.456" x 0.122"</t>
  </si>
  <si>
    <t>RDDECF568-01</t>
  </si>
  <si>
    <t>Sheeted Part - ECF 568 Finger #1 - 0.456" x 0.122"</t>
  </si>
  <si>
    <t>Number Across Run/Finish –  5/5
Where Finished –  On Press
Length per Roll/Unit – 1'
Core Type –  N/A
Core Width – N/A
Core Label – No
Dividers – 
Bag Size – 
Qty. Per Bag – 10 Each
Box Size –  12 x 12 x 4
Qty. Per Box – 10 Each
Weight/box – 
Box Per Pallet – 
Pallet Type – </t>
  </si>
  <si>
    <t>Core  –  N/A
Width – N/A
Number Across Run/FInish –  5/5
Core Label – No
±10% –  Yes
Unwind Dir. Run – N/A
Unwind Dir. Finish –  N/A
Diecut/Continuous/Sheet –  Die Cut Sheet
Partial Case –  Yes
Pieces per roll/Unit – 50
Length per roll/unit –  1'
Finish – On Press
Application – </t>
  </si>
  <si>
    <t>50976 Cost of Goods Sold</t>
  </si>
  <si>
    <t xml:space="preserve">Sheeted Part ECF 568 Finger #2 </t>
  </si>
  <si>
    <t>RDDECF568-02</t>
  </si>
  <si>
    <t>Sheeted Part - ECF 568 Finger #2</t>
  </si>
  <si>
    <t>Number Across Run/Finish –  3/3
Where Finished –  On Press
Length per Roll/Unit – 1'
Core Type –  N/A
Core Width – N/A
Core Label – No
Dividers – 
Bag Size – 
Qty. Per Bag – 10 Each
Box Size –  12 x 12 x 4
Qty. Per Box – 10 Each
Weight/box – 
Box Per Pallet – 
Pallet Type – </t>
  </si>
  <si>
    <t>Core  –  N/A
Width – N/A
Number Across Run/FInish –  3/3
Core Label – No
±10% –  Yes
Unwind Dir. Run – N/A
Unwind Dir. Finish –  N/A
Diecut/Continuous/Sheet –  Die Cut Sheet
Partial Case –  Yes
Pieces per roll/Unit – 30
Length per roll/unit –  1'
Finish – On Press
Application – </t>
  </si>
  <si>
    <t>50977 Cost of Goods Sold</t>
  </si>
  <si>
    <t xml:space="preserve">Sheeted Part ECF 568 Finger #3 </t>
  </si>
  <si>
    <t>RDDECF568-03</t>
  </si>
  <si>
    <t>Sheeted Part - ECF 568 Finger #3</t>
  </si>
  <si>
    <t>Number Across Run/Finish –  2/2
Where Finished –  On Press
Length per Roll/Unit – 1'
Core Type –  N/A
Core Width – N/A
Core Label – No
Dividers – 
Bag Size – 
Qty. Per Bag – 10 Each
Box Size –  12 x 12 x 12
Qty. Per Box – 10 Each
Weight/box – 
Box Per Pallet – 
Pallet Type – </t>
  </si>
  <si>
    <t>Core  –  N/A
Width – N/A
Number Across Run/FInish –  2/2
Core Label – No
±10% –  Yes
Unwind Dir. Run – N/A
Unwind Dir. Finish –  N/A
Diecut/Continuous/Sheet –  Die Cut Sheet
Partial Case –  Yes
Pieces per roll/Unit – 20
Length per roll/unit –  1'
Finish – On Press
Application – </t>
  </si>
  <si>
    <t>50978 Cost of Goods Sold</t>
  </si>
  <si>
    <t>Die Cut Part Cartridge Film 159.29mm x 91.86mm</t>
  </si>
  <si>
    <t>DMP-522</t>
  </si>
  <si>
    <t>Die Cut Part - Cartridge Film - 159.29mm x 91.86mm</t>
  </si>
  <si>
    <t>Number Across Run/Finish –  1/1
Where Finished –  On Press
Length per Roll/Unit – 277'
Core Type –  6" plastic, 0.155" PP
Core Width – 97.8 mm
Core Label – Yes
Dividers – 
Bag Size – 
Qty. Per Bag – 1 Roll
Box Size –  6 x 6 x 6
Qty. Per Box – 2 M
Weight/box – 
Box Per Pallet – 
Pallet Type – </t>
  </si>
  <si>
    <t>50979 Cost of Goods Sold</t>
  </si>
  <si>
    <t>Sheeted Part ST-2058 2" x 4"</t>
  </si>
  <si>
    <t>9134</t>
  </si>
  <si>
    <t>Sheeted Part - ST-2058 - 2" x 4"</t>
  </si>
  <si>
    <t>Number Across Run/Finish –  1/1
Where Finished –  Off Press
Length per Roll/Unit – 67'
Core Type –  N/A
Core Width – N/A
Core Label – No
Dividers – 
Bag Size – 
Qty. Per Bag – 4 Each
Box Size –  14 x 14 x 10
Qty. Per Box – 1,000 Each
Weight/box – 
Box Per Pallet – 
Pallet Type – </t>
  </si>
  <si>
    <t>250 bags per box</t>
  </si>
  <si>
    <t>Core  –  N/A
Width – N/A
Number Across Run/FInish –  1/1
Core Label – No
±10% –  No
Unwind Dir. Run – N/A
Unwind Dir. Finish –  N/A
Diecut/Continuous/Sheet –  Sheet
Partial Case –  No
Pieces per roll/Unit – 400
Length per roll/unit –  67'
Finish – Off Press
Application – </t>
  </si>
  <si>
    <t>50980 Cost of Goods Sold</t>
  </si>
  <si>
    <t>Die Cut Part Clip Foam 1.5" Dia</t>
  </si>
  <si>
    <t>1542-LYY0004</t>
  </si>
  <si>
    <t>Die Cut Part - Clip Foam - 1.5" Dia</t>
  </si>
  <si>
    <t>Number Across Run/Finish –  3/1
Where Finished –  On Press
Length per Roll/Unit – 163'
Core Type –  3" Paper 1/8" Strouse Brown
Core Width – 2"
Core Label – Yes
Dividers – Cardboard 13x13
Bag Size – 
Qty. Per Bag – 1 Rolls
Box Size –  13 x 13 x 10
Qty. Per Box – 4 M
Weight/box – 
Box Per Pallet – 
Pallet Type – </t>
  </si>
  <si>
    <t>See Drawing for packing/Shipping instructions
C of C with Material Lot #, DOM, and Shelf Life must accompany shipment.
Cardboard dividers bottom, top. &amp; middle.</t>
  </si>
  <si>
    <t>Core  –  3" Paper 1/8" Strouse Brown
Width – 2"
Number Across Run/FInish –  3/1
Core Label – Yes
±10% –  Yes
Unwind Dir. Run – See Drawing
Unwind Dir. Finish –  See Drawing
Diecut/Continuous/Sheet –  Die Cut
Partial Case –  Yes
Pieces per roll/Unit – 1,200
Length per roll/unit –  163'
Finish – On Press
Application – </t>
  </si>
  <si>
    <t>Need to double foam die.
At raw material splices/roll changes confirm that the center slotted slug is continuing to remove with the matrix.  Should any rip free and be left behind please remove them and assure the matrix is pulling correctly before proceeding. 06/20/2022 DT</t>
  </si>
  <si>
    <t>50981 Cost of Goods Sold</t>
  </si>
  <si>
    <t>Sheeted Part 3M 8211 300mm x 300mm</t>
  </si>
  <si>
    <t>9136</t>
  </si>
  <si>
    <t>Sheeted Part - 3M 8211 - 300mm x 300mm</t>
  </si>
  <si>
    <t>Number Across Run/Finish –  5/1
Where Finished –  On Press
Length per Roll/Unit – 60 Yd
Core Type –  N/A
Core Width – N/A
Core Label – No
Dividers – 
Bag Size – 
Qty. Per Bag – 100 Each
Box Size –  12 x 12 x 10
Qty. Per Box – 500 Each
Weight/box – 
Box Per Pallet – 
Pallet Type – </t>
  </si>
  <si>
    <t>Sold by the roll.  We should yield about 720 sheets from a 60 yd roll.
20 sheets every 60" of length</t>
  </si>
  <si>
    <t>Core  –  N/A
Width – N/A
Number Across Run/FInish –  5/1
Core Label – No
±10% –  Yes
Unwind Dir. Run – N/A
Unwind Dir. Finish –  N/A
Diecut/Continuous/Sheet –  Sheet
Partial Case –  Yes
Pieces per roll/Unit – 1
Length per roll/unit –  60 Yd
Finish – On Press
Application – </t>
  </si>
  <si>
    <t>Wear gloves when handling material.</t>
  </si>
  <si>
    <t>50982 Cost of Goods Sold</t>
  </si>
  <si>
    <t>Sheeted Part N95 Strouse Mask 11.5" x 6.5"</t>
  </si>
  <si>
    <t>Emerge Mask</t>
  </si>
  <si>
    <t>Sheeted Part - N95 Strouse Mask - 11.5" x 6.5"</t>
  </si>
  <si>
    <t>Number Across Run/Finish –  1/1
Where Finished –  On Press
Length per Roll/Unit – 196'
Core Type –  N/A
Core Width – N/A
Core Label – No
Dividers – 
Bag Size – 
Qty. Per Bag – 200 Each
Box Size –  12 x 12 x 10
Qty. Per Box – 1,000 Each
Weight/box – 
Box Per Pallet – 
Pallet Type – </t>
  </si>
  <si>
    <t>Core  –  N/A
Width – N/A
Number Across Run/FInish –  1/1
Core Label – No
±10% –  Yes
Unwind Dir. Run – N/A
Unwind Dir. Finish –  N/A
Diecut/Continuous/Sheet –  Die Cut Sheet
Partial Case –  Yes
Pieces per roll/Unit – 200
Length per roll/unit –  196'
Finish – On Press
Application – </t>
  </si>
  <si>
    <t>50983 Cost of Goods Sold</t>
  </si>
  <si>
    <t>Sheeted Part 3M 4941 0.75" x 3"</t>
  </si>
  <si>
    <t>7500-04</t>
  </si>
  <si>
    <t>Sheeted Part - 3M 4941 - 0.75" x 3"</t>
  </si>
  <si>
    <t>Number Across Run/Finish –  1/1
Where Finished –  On Press
Length per Roll/Unit – 30'
Core Type –  N/A
Core Width – N/A
Core Label – No
Dividers – 
Bag Size – 
Qty. Per Bag – 400 Each
Box Size –  16 x 16 x 16
Qty. Per Box – 1,200 Each
Weight/box – 
Box Per Pallet – 
Pallet Type – </t>
  </si>
  <si>
    <t>Core  –  N/A
Width – N/A
Number Across Run/FInish –  1/1
Core Label – No
±10% –  Yes
Unwind Dir. Run – N/A
Unwind Dir. Finish –  N/A
Diecut/Continuous/Sheet –  Sheet
Partial Case –  Yes
Pieces per roll/Unit – 400
Length per roll/unit –  30'
Finish – On Press
Application – </t>
  </si>
  <si>
    <t>50984 Cost of Goods Sold</t>
  </si>
  <si>
    <t>Pinfeed Tape 3M 8992L 15" x 72Yd</t>
  </si>
  <si>
    <t>9140</t>
  </si>
  <si>
    <t>Pinfeed Tape - 3M 8992L - 15" x 72Yd</t>
  </si>
  <si>
    <t>Number Across Run/Finish –  3/1
Where Finished –  On Press
Length per Roll/Unit – 72 Yd
Core Type –  3" Plastic 0.10" HDPE
Core Width – 15.00"
Core Label – Yes
Dividers – 
Bag Size – 
Qty. Per Bag – 1 Rolls
Box Size –  12 x 12 x 12
Qty. Per Box – 6 Rolls
Weight/box – 
Box Per Pallet – 
Pallet Type – </t>
  </si>
  <si>
    <t>Core  –  3" Plastic 0.10" HDPE
Width – 15.00"
Number Across Run/FInish –  3/1
Core Label – Yes
±10% –  Yes
Unwind Dir. Run – Tape Out
Unwind Dir. Finish –  Tape Out
Diecut/Continuous/Sheet –  Continuous Die Cut
Partial Case –  Yes
Pieces per roll/Unit – 1 Roll
Length per roll/unit –  72 Yd
Finish – On Press
Application – </t>
  </si>
  <si>
    <t>50985 Cost of Goods Sold</t>
  </si>
  <si>
    <t>Laminated Part APR1510/Printed liner 12" x 60Yd</t>
  </si>
  <si>
    <t>9141</t>
  </si>
  <si>
    <t>Laminated Part - APR1510/Printed liner - 12" x 60Yd</t>
  </si>
  <si>
    <t>Number Across Run/Finish –  1/1
Where Finished –  On Press
Length per Roll/Unit – 180'
Core Type –  3" Paper 1/8" Strouse Brown
Core Width – 12.25"
Core Label – Yes
Dividers – 
Bag Size – 
Qty. Per Bag – 1 Rolls
Box Size –  9 x 9 x 13
Qty. Per Box – 2 Rolls
Weight/box – 
Box Per Pallet – 
Pallet Type – </t>
  </si>
  <si>
    <t>Core  –  3" Paper 1/8" Strouse Brown
Width – 12.25"
Number Across Run/FInish –  1/1
Core Label – Yes
±10% –  Yes
Unwind Dir. Run – N/A
Unwind Dir. Finish –  N/A
Diecut/Continuous/Sheet –  Continuous
Partial Case –  Yes
Pieces per roll/Unit – 1 Roll
Length per roll/unit –  180'
Finish – On Press
Application – </t>
  </si>
  <si>
    <t>50986 Cost of Goods Sold</t>
  </si>
  <si>
    <t>Slit Tape 3M 8211 6" x 60Yd</t>
  </si>
  <si>
    <t>9142</t>
  </si>
  <si>
    <t>Slit Tape - 3M 8211 - 6" x 60Yd</t>
  </si>
  <si>
    <t>Number Across Run/Finish –  10/1
Where Finished –  On Press
Length per Roll/Unit – 60 Yd
Core Type –  As Recd.
Core Width – 6"
Core Label – Yes
Dividers – paper
Bag Size – 
Qty. Per Bag – 2 Rolls
Box Size –  
Qty. Per Box – 2 Rolls
Weight/box – 
Box Per Pallet – 
Pallet Type – </t>
  </si>
  <si>
    <t>Core  –  As Recd.
Width – 6"
Number Across Run/FInish –  10/1
Core Label – Yes
±10% –  Yes
Unwind Dir. Run – N/A
Unwind Dir. Finish –  N/A
Diecut/Continuous/Sheet –  Continuous
Partial Case –  Yes
Pieces per roll/Unit – 1 Roll
Length per roll/unit –  60 Yd
Finish – On Press
Application – </t>
  </si>
  <si>
    <t>50987 Cost of Goods Sold</t>
  </si>
  <si>
    <t>Slit Tape Internal Use UPVC 3/8" x 1000Yd</t>
  </si>
  <si>
    <t>9143</t>
  </si>
  <si>
    <t>Slit Tape - Internal Use UPVC - 3/8" x 1000Yd</t>
  </si>
  <si>
    <t>Number Across Run/Finish –  12/1
Where Finished –  On Press
Length per Roll/Unit – 1,000 Yd
Core Type –  3" Paper (1/8" wall)
Core Width – 0.375"
Core Label – No
Dividers – 
Bag Size – 
Qty. Per Bag – 
Box Size –  
Qty. Per Box – 
Weight/box – 
Box Per Pallet – 
Pallet Type – </t>
  </si>
  <si>
    <t>Core  –  3" Paper (1/8" wall)
Width – 0.375"
Number Across Run/FInish –  12/1
Core Label – No
±10% –  Yes
Unwind Dir. Run – Adh. In
Unwind Dir. Finish –  Adh. In
Diecut/Continuous/Sheet –  Continuous
Partial Case –  Yes
Pieces per roll/Unit – 1 Roll
Length per roll/unit –  1,000 Yd
Finish – On Press
Application – </t>
  </si>
  <si>
    <t>50988 Cost of Goods Sold</t>
  </si>
  <si>
    <t>Slit Tape Internal Use UPVC 1/2" x 1000Yd</t>
  </si>
  <si>
    <t>9144</t>
  </si>
  <si>
    <t>Slit Tape - Internal Use UPVC - 1/2" x 1000Yd</t>
  </si>
  <si>
    <t>Number Across Run/Finish –  11/1
Where Finished –  On Press
Length per Roll/Unit – 1,000 Yd
Core Type –  3" Paper (1/8" wall)
Core Width – 0.492"
Core Label – No
Dividers – 
Bag Size – 
Qty. Per Bag – 
Box Size –  
Qty. Per Box – 
Weight/box – 
Box Per Pallet – 
Pallet Type – </t>
  </si>
  <si>
    <t>Core  –  3" Paper (1/8" wall)
Width – 0.492"
Number Across Run/FInish –  11/1
Core Label – No
±10% –  Yes
Unwind Dir. Run – Adh. In
Unwind Dir. Finish –  Adh. In
Diecut/Continuous/Sheet –  Continuous
Partial Case –  Yes
Pieces per roll/Unit – 1 Roll
Length per roll/unit –  1,000 Yd
Finish – On Press
Application – </t>
  </si>
  <si>
    <t>50989 Cost of Goods Sold</t>
  </si>
  <si>
    <t>Slit Tape Internal Use UPVC 3/4" x 1000Yd</t>
  </si>
  <si>
    <t>9145</t>
  </si>
  <si>
    <t>Slit Tape - Internal Use UPVC - 3/4" x 1000Yd</t>
  </si>
  <si>
    <t>Number Across Run/Finish –  8/1
Where Finished –  On Press
Length per Roll/Unit – 1,000 Yd
Core Type –  3" Paper (1/8" wall)
Core Width – 0.738"
Core Label – No
Dividers – 
Bag Size – 
Qty. Per Bag – 
Box Size –  
Qty. Per Box – 
Weight/box – 
Box Per Pallet – 
Pallet Type – </t>
  </si>
  <si>
    <t>Core  –  3" Paper (1/8" wall)
Width – 0.738"
Number Across Run/FInish –  8/1
Core Label – No
±10% –  Yes
Unwind Dir. Run – Adh. In
Unwind Dir. Finish –  Adh. In
Diecut/Continuous/Sheet –  Continuous
Partial Case –  Yes
Pieces per roll/Unit – 1 Roll
Length per roll/unit –  1,000 Yd
Finish – On Press
Application – </t>
  </si>
  <si>
    <t>50990 Cost of Goods Sold</t>
  </si>
  <si>
    <t>Slit Tape Internal Use UPVC 1" x 1000Yd</t>
  </si>
  <si>
    <t>9146</t>
  </si>
  <si>
    <t>Slit Tape - Internal Use UPVC - 1" x 1000Yd</t>
  </si>
  <si>
    <t>Number Across Run/Finish –  6/1
Where Finished –  On Press
Length per Roll/Unit – 1,000 Yd
Core Type –  3" Paper (1/8" wall)
Core Width – 0.984"
Core Label – No
Dividers – 
Bag Size – 
Qty. Per Bag – 
Box Size –  12 x 12 x 12
Qty. Per Box – 
Weight/box – 
Box Per Pallet – 
Pallet Type – </t>
  </si>
  <si>
    <t>Core  –  3" Paper (1/8" wall)
Width – 0.984"
Number Across Run/FInish –  6/1
Core Label – No
±10% –  Yes
Unwind Dir. Run – Adh. In
Unwind Dir. Finish –  Adh. In
Diecut/Continuous/Sheet –  Continuous
Partial Case –  Yes
Pieces per roll/Unit – 1 Roll
Length per roll/unit –  1,000 Yd
Finish – On Press
Application – </t>
  </si>
  <si>
    <t>50991 Cost of Goods Sold</t>
  </si>
  <si>
    <t>Fabricated Roll Custom lamination 280mm x 50m</t>
  </si>
  <si>
    <t>9147</t>
  </si>
  <si>
    <t>Fabricated Roll - Custom lamination - 280mm x 50m</t>
  </si>
  <si>
    <t>Number Across Run/Finish –  1/1
Where Finished –  On Press
Length per Roll/Unit – 164'
Core Type –  6" Paper 3/8" Brown Brown
Core Width – 280 mm
Core Label – No
Dividers – 
Bag Size – 
Qty. Per Bag – 1 Rolls
Box Size –  9 x 9 x 13
Qty. Per Box – 1 Rolls
Weight/box – 
Box Per Pallet – 
Pallet Type – </t>
  </si>
  <si>
    <t>Core  –  6" Paper 3/8" Brown Brown
Width – 280 mm
Number Across Run/FInish –  1/1
Core Label – No
±10% –  Yes
Unwind Dir. Run – N/A
Unwind Dir. Finish –  N/A
Diecut/Continuous/Sheet –  Continuous
Partial Case –  Yes
Pieces per roll/Unit – 1 Roll
Length per roll/unit –  164'
Finish – On Press
Application – </t>
  </si>
  <si>
    <t>50992 Cost of Goods Sold</t>
  </si>
  <si>
    <t>Spool Tape CSM - Z2000 6mm x 99m</t>
  </si>
  <si>
    <t>9148</t>
  </si>
  <si>
    <t>Spool Tape - CSM - Z2000 - 6mm x 99m</t>
  </si>
  <si>
    <t>Number Across Run/Finish –  125/1
Where Finished –  On Press
Length per Roll/Unit – 99 m
Core Type –  6" Paper 3/8" Brown Brown
Core Width – 6"
Core Label – Yes
Dividers – 
Bag Size – 
Qty. Per Bag – 1 Rolls
Box Size –  23 x 23 x 2.5 cake
Qty. Per Box – 2 Rolls
Weight/box – 
Box Per Pallet – 
Pallet Type – </t>
  </si>
  <si>
    <t>Core  –  6" Paper 3/8" Brown Brown
Width – 6"
Number Across Run/FInish –  125/1
Core Label – Yes
±10% –  Yes
Unwind Dir. Run – Liner Out
Unwind Dir. Finish –  Liner Out
Diecut/Continuous/Sheet –  Continuous
Partial Case –  Yes
Pieces per roll/Unit – 1 Roll
Length per roll/unit –  99 m
Finish – On Press
Application – </t>
  </si>
  <si>
    <t>50993 Cost of Goods Sold</t>
  </si>
  <si>
    <t>Sheeted Part 558.8 mm (22") Wheel Mask 558.80mm Dia</t>
  </si>
  <si>
    <t>Sheeted Part - 558.8 mm (22") Wheel Mask - 558.80mm Dia</t>
  </si>
  <si>
    <t>Number Across Run/Finish –  1/1
Where Finished –  On Press
Length per Roll/Unit – 384'
Core Type –  N/A
Core Width – N/A
Core Label – No
Dividers – 
Bag Size – 
Qty. Per Bag – 
Box Size –  Various Sizes
Qty. Per Box – 200 Each
Weight/box – 
Box Per Pallet – 
Pallet Type – </t>
  </si>
  <si>
    <t>--2 labels per box -Place on side of box ( in right corners adjacent to each other)
--Use enough packing material to protect the integrity of the box
--Never ship boxes UPS or Fed Ex without MDC approval.  These should always ship palletized by truck.
--Maximum of 8 layers
--Band Pallets in both directions and use corner boards
See Work order for PART NUMBER!!</t>
  </si>
  <si>
    <t>Core  –  N/A
Width – N/A
Number Across Run/FInish –  1/1
Core Label – No
±10% –  Yes
Unwind Dir. Run – N/A
Unwind Dir. Finish –  N/A
Diecut/Continuous/Sheet –  Die Cut Sheet
Partial Case –  No
Pieces per roll/Unit – 200
Length per roll/unit –  384'
Finish – On Press
Application – </t>
  </si>
  <si>
    <t>50994 Cost of Goods Sold</t>
  </si>
  <si>
    <t>Sheeted Part Foam Border, S150 2.065" x 5.702"</t>
  </si>
  <si>
    <t>CS-FB-15S-01-00</t>
  </si>
  <si>
    <t>Sheeted Part - Foam Border, S150 - 2.065" x 5.702"</t>
  </si>
  <si>
    <t>Number Across Run/Finish –  1/1
Where Finished –  On Press
Length per Roll/Unit – 3'
Core Type –  N/A
Core Width – N/A
Core Label – No
Dividers – See Note
Bag Size – 
Qty. Per Bag – 2 Each
Box Size –  24 x 24 x 6
Qty. Per Box – 
Weight/box – 
Box Per Pallet – 16
Pallet Type – </t>
  </si>
  <si>
    <t>2 parts per Pouch, 10 pouches per Carton, 10 cartons per Shipper box.  Polyethylene sheets between each layer.
White Carton = 11.5" x 7.5" x 5"
Brown Shipper box = 24" x 20" x 12"
Pouch label goes on Tyvek side of pouch, with pouch opening on the left (See example in Job Jacket).  Do not print variable data on pouch (with pouch sealer).
Outer Shipper box to be labeled with Part Number and Revision, Lot Number, Expiration Date, and Quantity.  No other information should appear on the Shipper label.  Pallet size is 48" x 48".  (16 brown shipping boxes per pallet).
See CS/SALES for partial cases, Partial pallets, and over or under shipping.
C of C to include:  Part Number w/ current Rev, Drawing Number w/ current Rev, Foam and Adhesive Lot Numbers, Zeltiq Lot Number, DOM, EXP Date, and RoHS Compliance Statement.  Also, include Material Certs for Rubberlite White EVA Foam and 3M 1509 Adhesive.
Pouch label, Carton label, and Shipper label - Date and Lot identification:
- Variable information is prompted when you print.
- Expiration date is 3 years from the date production started and is in the format YYYY-MM-DD.
- Lot number is formatted SYYYYMM-XX where S is fixed for "Strouse", YYYY is the current 4 digit year, MM is the current 2 digit month, and XX is the current number of times we have run this product this month.</t>
  </si>
  <si>
    <t>Core  –  N/A
Width – N/A
Number Across Run/FInish –  1/1
Core Label – No
±10% –  Ask
Unwind Dir. Run – N/A
Unwind Dir. Finish –  N/A
Diecut/Continuous/Sheet –  Die Cut Sheet
Partial Case –  Ask
Pieces per roll/Unit – 20
Length per roll/unit –  3'
Finish – On Press
Application – </t>
  </si>
  <si>
    <t>Hair net and beard cover (if necessary) to be worn during die-cutting and packaging operation or if otherwise working with or near product in designated work cell.</t>
  </si>
  <si>
    <t>50995 Cost of Goods Sold</t>
  </si>
  <si>
    <t>Sheeted Part 3426A/1524 24" x 18"</t>
  </si>
  <si>
    <t>9151</t>
  </si>
  <si>
    <t>Sheeted Part - 3426A/1524 - 24" x 18"</t>
  </si>
  <si>
    <t>Number Across Run/Finish –  1/1
Where Finished –  On Press
Length per Roll/Unit – 200'
Core Type –  N/A
Core Width – N/A
Core Label – Yes
Dividers – 
Bag Size – 
Qty. Per Bag – 100 Each
Box Size –  12 x 12 x 4
Qty. Per Box – 100 Each
Weight/box – 
Box Per Pallet – 
Pallet Type – </t>
  </si>
  <si>
    <t>Make batches of 100 sheets, and IMMEDIATELY move them to the Heat Sealer to be double bagged and heat sealed (to eliminate as much time in the humidity as possible).  36" x 42" bags - Heat seal.  Place sheets in a bag with desiccant packs (16 Grams Min. per bag)
Fill void space in the boxes with either Air Pillows and two 3" ID cores on the sides of the sheets - cut to the Width of the box, or use Air Pillows alone.
PLACE FINISHED PARTS IN THE CLEAN ROOM AFTER PACKAGING.
C of C with Material Lot #, DOM, and Shelf Life must accompany shipment.</t>
  </si>
  <si>
    <t>Core  –  N/A
Width – N/A
Number Across Run/FInish –  1/1
Core Label – Yes
±10% –  Yes
Unwind Dir. Run – N/A
Unwind Dir. Finish –  N/A
Diecut/Continuous/Sheet –  Sheet
Partial Case –  Yes
Pieces per roll/Unit – 100
Length per roll/unit –  200'
Finish – On Press
Application – </t>
  </si>
  <si>
    <t>Must run on Pace 3 because of unwinds and rewinds.</t>
  </si>
  <si>
    <t>50996 Cost of Goods Sold</t>
  </si>
  <si>
    <t>Sheeted Part 3M 5909 15mm x 11mm</t>
  </si>
  <si>
    <t>10031</t>
  </si>
  <si>
    <t>Sheeted Part - 3M 5909 - 15mm x 11mm</t>
  </si>
  <si>
    <t>Number Across Run/Finish –  6/1
Where Finished –  On Press
Length per Roll/Unit – 1'
Core Type –  N/A
Core Width – N/A
Core Label – No
Dividers – 
Bag Size – 
Qty. Per Bag – 50 Each
Box Size –  12 x 12 x 10
Qty. Per Box – 300 Each
Weight/box – 
Box Per Pallet – 
Pallet Type – </t>
  </si>
  <si>
    <t>Core  –  N/A
Width – N/A
Number Across Run/FInish –  6/1
Core Label – No
±10% –  Yes
Unwind Dir. Run – N/A
Unwind Dir. Finish –  N/A
Diecut/Continuous/Sheet –  Sheet
Partial Case –  Yes
Pieces per roll/Unit – 50
Length per roll/unit –  1'
Finish – On Press
Application – </t>
  </si>
  <si>
    <t>50997 Cost of Goods Sold</t>
  </si>
  <si>
    <t>Die Cut Part Cling Vinyl 1.84" x 3.86"</t>
  </si>
  <si>
    <t>385844</t>
  </si>
  <si>
    <t>Die Cut Part - Cling Vinyl - 1.84" x 3.86"</t>
  </si>
  <si>
    <t>Number Across Run/Finish –  2/1
Where Finished –  On Press
Length per Roll/Unit – 917'
Core Type –  3" Paper 1/8" Strouse Brown
Core Width – 4.5"
Core Label – Yes
Dividers – 
Bag Size – 
Qty. Per Bag – 1 Roll
Box Size –  special
Qty. Per Box – 10 M
Weight/box – 
Box Per Pallet – 
Pallet Type – </t>
  </si>
  <si>
    <t>Core  –  3" Paper 1/8" Strouse Brown
Width – 4.5"
Number Across Run/FInish –  2/1
Core Label – Yes
±10% –  Yes
Unwind Dir. Run – Parts Out
Unwind Dir. Finish –  Parts Out
Diecut/Continuous/Sheet –  Die Cut
Partial Case –  Yes
Pieces per roll/Unit – 5,000
Length per roll/unit –  917'
Finish – On Press
Application – </t>
  </si>
  <si>
    <t>50998 Cost of Goods Sold</t>
  </si>
  <si>
    <t>Slit Roll CSM 5 mil PET 24.5" x 500'</t>
  </si>
  <si>
    <t>9154</t>
  </si>
  <si>
    <t>Slit Roll - CSM 5 mil PET - 24.5" x 500'</t>
  </si>
  <si>
    <t>Number Across Run/Finish –  1/1
Where Finished –  On Press
Length per Roll/Unit – See WO
Core Type –  6" plastic, 0.155" PP
Core Width – 24.5"
Core Label – Yes
Dividers – 
Bag Size – 
Qty. Per Bag – 1 Rolls
Box Size –  12 x 12 x 12
Qty. Per Box – 
Weight/box – 
Box Per Pallet – 
Pallet Type – </t>
  </si>
  <si>
    <t>Material is sensitive to scratching.  Handle with care!!
See WO for roll size</t>
  </si>
  <si>
    <t>Core  –  6" plastic, 0.155" PP
Width – 24.5"
Number Across Run/FInish –  1/1
Core Label – Yes
±10% –  No
Unwind Dir. Run – As Rec'd
Unwind Dir. Finish –  As Rec'd
Diecut/Continuous/Sheet –  Continuous
Partial Case –  Yes
Pieces per roll/Unit – See WO
Length per roll/unit –  See WO
Finish – On Press
Application – </t>
  </si>
  <si>
    <t>Mitsubishi film is for set up only.  Care to be taken handling the CS material.  It has a coating that can be scratched off.</t>
  </si>
  <si>
    <t>50999 Cost of Goods Sold</t>
  </si>
  <si>
    <t>Die Cut Part Anti-splinter film 2.77" x 5.526"</t>
  </si>
  <si>
    <t>9155</t>
  </si>
  <si>
    <t>Die Cut Part - Anti-splinter film - 2.77" x 5.526"</t>
  </si>
  <si>
    <t>Number Across Run/Finish –  1/1
Where Finished –  On Press
Length per Roll/Unit – 250'
Core Type –  6" plastic, 0.155" PP
Core Width – 6.00"
Core Label – Yes
Dividers – 
Bag Size – 
Qty. Per Bag – 1 Rolls
Box Size –  16 x 16 x 10-1/4
Qty. Per Box – 2 Rolls
Weight/box – 
Box Per Pallet – 
Pallet Type – </t>
  </si>
  <si>
    <t>Core  –  6" plastic, 0.155" PP
Width – 6.00"
Number Across Run/FInish –  1/1
Core Label – Yes
±10% –  Yes
Unwind Dir. Run – Parts In
Unwind Dir. Finish –  Parts In
Diecut/Continuous/Sheet –  Die Cut
Partial Case –  Yes
Pieces per roll/Unit – 1,000
Length per roll/unit –  250'
Finish – On Press
Application – </t>
  </si>
  <si>
    <t>51000 Cost of Goods Sold</t>
  </si>
  <si>
    <t>Sheeted Part Hook Tabs. 4 packs 7.0" x 1.5"</t>
  </si>
  <si>
    <t>CS-SS-HL-04-00</t>
  </si>
  <si>
    <t>Sheeted Part - Hook Tabs. 4 packs - 7.0" x 1.5"</t>
  </si>
  <si>
    <t>Number Across Run/Finish –  1/1
Where Finished –  Off Press
Length per Roll/Unit – 3'
Core Type –  N/A
Core Width – N/A
Core Label – No
Dividers – 
Bag Size – 
Qty. Per Bag – 4 Each
Box Size –  11 x 11 x 8
Qty. Per Box – 250 Bags
Weight/box – 
Box Per Pallet – 
Pallet Type – </t>
  </si>
  <si>
    <t>Print thermal labels on the Preco Zebra using Zebra software.
Insert 4 parts into zip lock, attach label, when label is right reading, zip closure should be on right, see enclosed Drawing.  Place in box.
3" x 8" (4 Mil) Seal-Top Bags to be used
Include D.O.M. on the C of C.</t>
  </si>
  <si>
    <t>Core  –  N/A
Width – N/A
Number Across Run/FInish –  1/1
Core Label – No
±10% –  Yes
Unwind Dir. Run – N/A
Unwind Dir. Finish –  N/A
Diecut/Continuous/Sheet –  Die Cut Sheet
Partial Case –  Yes
Pieces per roll/Unit – 4
Length per roll/unit –  3'
Finish – Off Press
Application – </t>
  </si>
  <si>
    <t>Die is over sized to help get in spec.</t>
  </si>
  <si>
    <t>51001 Cost of Goods Sold</t>
  </si>
  <si>
    <t>Slit material CSM Asymmetric Polysulfone membrane 0.75" x 500'</t>
  </si>
  <si>
    <t>9157</t>
  </si>
  <si>
    <t>Lot</t>
  </si>
  <si>
    <t>Slit material - CSM Asymmetric Polysulfone membrane  - 0.75" x 500'</t>
  </si>
  <si>
    <t>Number Across Run/Finish –  5/1
Where Finished –  On Press
Length per Roll/Unit – 500'
Core Type –  3" Plastic 0.10" HDPE
Core Width – 0.75"
Core Label – Yes
Dividers – 
Bag Size – 
Qty. Per Bag – 5 Rolls
Box Size –  14 x 14 x 10
Qty. Per Box – 10 Rolls
Weight/box – 
Box Per Pallet – 
Pallet Type – </t>
  </si>
  <si>
    <t xml:space="preserve">Keep lots/rolls of Membrane separate. </t>
  </si>
  <si>
    <t>Core  –  3" Plastic 0.10" HDPE
Width – 0.75"
Number Across Run/FInish –  5/1
Core Label – Yes
±10% –  Yes
Unwind Dir. Run – As Rec'd
Unwind Dir. Finish –  As Rec'd
Diecut/Continuous/Sheet –  Continuous
Partial Case –  Yes
Pieces per roll/Unit – 1 Roll
Length per roll/unit –  500'
Finish – On Press
Application – </t>
  </si>
  <si>
    <t>51002 Cost of Goods Sold</t>
  </si>
  <si>
    <t>Die Cut Part Adh. Tab 0.49" x 0.95"</t>
  </si>
  <si>
    <t>1348-LYY0015 Rev. D</t>
  </si>
  <si>
    <t>Die Cut Part - Adh. Tab - 0.49" x 0.95"</t>
  </si>
  <si>
    <t>Number Across Run/Finish –  3/1
Where Finished –  On Press
Length per Roll/Unit – 439'
Core Type –  3" Plastic 0.10" HDPE
Core Width – 1.13"
Core Label – Yes
Dividers – Lexmark style
Bag Size – 
Qty. Per Bag – 1 Roll
Box Size –  Best Fit Per Qty
Qty. Per Box – 70 M
Weight/box – 
Box Per Pallet – 
Pallet Type – </t>
  </si>
  <si>
    <t>PLEASE BE SURE ROLLS ARE WOUND PARTS-IN PER CUSTOMER COMPLAINT OF PARTS FALLING OFF.</t>
  </si>
  <si>
    <t>Core  –  3" Plastic 0.10" HDPE
Width – 1.13"
Number Across Run/FInish –  3/1
Core Label – Yes
±10% –  Yes
Unwind Dir. Run – PARTS In
Unwind Dir. Finish –  PARTS In
Diecut/Continuous/Sheet –  Die Cut
Partial Case –  Yes
Pieces per roll/Unit – 7,000
Length per roll/unit –  439'
Finish – On Press
Application – </t>
  </si>
  <si>
    <t>51003 Cost of Goods Sold</t>
  </si>
  <si>
    <t>Slit Label stock 3M FM046902 0.945" x 2,160'</t>
  </si>
  <si>
    <t>3M-FM046902-0.945"</t>
  </si>
  <si>
    <t>Slit Label stock - 3M FM046902 - 0.945" x 2,160'</t>
  </si>
  <si>
    <t>Number Across Run/Finish –  13/1
Where Finished –  On Press
Length per Roll/Unit – 2,160'
Core Type –  3" Paper 1/8" Strouse Brown
Core Width – 0.945"
Core Label – Yes
Dividers – Paper
Bag Size – 
Qty. Per Bag – 
Box Size –  16.5 x 16.5 x 8
Qty. Per Box – 13 Rolls
Weight/box – 
Box Per Pallet – 
Pallet Type – </t>
  </si>
  <si>
    <t>Core  –  3" Paper 1/8" Strouse Brown
Width – 0.945"
Number Across Run/FInish –  13/1
Core Label – Yes
±10% –  Yes
Unwind Dir. Run – As Rec'd
Unwind Dir. Finish –  As Rec'd
Diecut/Continuous/Sheet –  Continuous
Partial Case –  Yes
Pieces per roll/Unit – 1 Roll
Length per roll/unit –  2,160'
Finish – On Press
Application – </t>
  </si>
  <si>
    <t>Use set up material to set blades and cores etc.</t>
  </si>
  <si>
    <t>51004 Cost of Goods Sold</t>
  </si>
  <si>
    <t>Slit Tape 3M 4712Y 15" x 36Yd</t>
  </si>
  <si>
    <t>9160</t>
  </si>
  <si>
    <t>Slit Tape - 3M 4712Y - 15" x 36Yd</t>
  </si>
  <si>
    <t>Number Across Run/Finish –  2/1
Where Finished –  Web Techniques
Length per Roll/Unit – 108'
Core Type –  3" Paper 1/8" Strouse Brown
Core Width – 15"
Core Label – No
Dividers – 
Bag Size – 
Qty. Per Bag – 1 Rolls
Box Size –  12 x 12 x 10
Qty. Per Box – 3 Rolls
Weight/box – 
Box Per Pallet – 
Pallet Type – </t>
  </si>
  <si>
    <t>Core  –  3" Paper 1/8" Strouse Brown
Width – 15"
Number Across Run/FInish –  2/1
Core Label – No
±10% –  Yes
Unwind Dir. Run – Vinyl In
Unwind Dir. Finish –  Vinyl In
Diecut/Continuous/Sheet –  Continuous
Partial Case –  Yes
Pieces per roll/Unit – 1 Roll
Length per roll/unit –  108'
Finish – Web Techniques
Application – </t>
  </si>
  <si>
    <t>51005 Cost of Goods Sold</t>
  </si>
  <si>
    <t>Slit Tape 3M 966 0.5" x 25Yd</t>
  </si>
  <si>
    <t>9138</t>
  </si>
  <si>
    <t>Slit Tape - 3M 966 - 0.5" x 25Yd</t>
  </si>
  <si>
    <t>Number Across Run/Finish –  90/1
Where Finished –  On Press
Length per Roll/Unit – 25 Yd
Core Type –  3" Paper 1/8" White Brown
Core Width – 0.5"
Core Label – No
Dividers – Paper
Bag Size – 
Qty. Per Bag – 12 Rolls
Box Size –  10 x 10 x 10
Qty. Per Box – 48 Rolls
Weight/box – 
Box Per Pallet – 
Pallet Type – </t>
  </si>
  <si>
    <t>Core  –  3" Paper 1/8" White Brown
Width – 0.5"
Number Across Run/FInish –  90/1
Core Label – No
±10% –  Yes
Unwind Dir. Run – Adh. In
Unwind Dir. Finish –  Adh. In
Diecut/Continuous/Sheet –  Continuous
Partial Case –  Yes
Pieces per roll/Unit – 1 Roll
Length per roll/unit –  25 Yd
Finish – On Press
Application – </t>
  </si>
  <si>
    <t>51006 Cost of Goods Sold</t>
  </si>
  <si>
    <t>Die Cut Part Test Skin Film 2.35" x 3.966"</t>
  </si>
  <si>
    <t>X90431</t>
  </si>
  <si>
    <t>Die Cut Part - Test Skin Film - 2.35" x 3.966"</t>
  </si>
  <si>
    <t>Number Across Run/Finish –  2/2
Where Finished –  On Press
Length per Roll/Unit – 27'
Core Type –  3" Plastic 0.10" HDPE
Core Width – 9"
Core Label – Yes
Dividers – 
Bag Size – 
Qty. Per Bag – 2 Rolls
Box Size –  14 x 14 x 14
Qty. Per Box – 4 Rolls
Weight/box – 
Box Per Pallet – 
Pallet Type – </t>
  </si>
  <si>
    <t>Need label on 2 sides.</t>
  </si>
  <si>
    <t>Core  –  3" Plastic 0.10" HDPE
Width – 9"
Number Across Run/FInish –  2/2
Core Label – Yes
±10% –  Yes
Unwind Dir. Run – Parts Out
Unwind Dir. Finish –  Parts Out
Diecut/Continuous/Sheet –  Die Cut
Partial Case –  Yes
Pieces per roll/Unit – 250
Length per roll/unit –  27'
Finish – On Press
Application – </t>
  </si>
  <si>
    <t>51007 Cost of Goods Sold</t>
  </si>
  <si>
    <t>Sheeted Part 3M 1524/3M 9776 0.5" x 1"</t>
  </si>
  <si>
    <t>80011915</t>
  </si>
  <si>
    <t>Sheeted Part - 3M 1524/3M 9776 - 0.5" x 1"</t>
  </si>
  <si>
    <t>Number Across Run/Finish –  1/1
Where Finished –  On Press
Length per Roll/Unit – 42'
Core Type –  N/A
Core Width – N/A
Core Label – No
Dividers – 
Bag Size – 
Qty. Per Bag – 1 M
Box Size –  12 x 12 x 6
Qty. Per Box – 5 M
Weight/box – 
Box Per Pallet – 
Pallet Type – </t>
  </si>
  <si>
    <t>Core  –  N/A
Width – N/A
Number Across Run/FInish –  1/1
Core Label – No
±10% –  Yes
Unwind Dir. Run – N/A
Unwind Dir. Finish –  N/A
Diecut/Continuous/Sheet –  Sheet
Partial Case –  Yes
Pieces per roll/Unit – 1,000
Length per roll/unit –  42'
Finish – On Press
Application – </t>
  </si>
  <si>
    <t>51008 Cost of Goods Sold</t>
  </si>
  <si>
    <t>Slit Tape St-2067 10.16mm x 350'</t>
  </si>
  <si>
    <t>Chrome Splice Tape</t>
  </si>
  <si>
    <t>Slit Tape - St-2067 - 10.16mm x 350'</t>
  </si>
  <si>
    <t>Number Across Run/Finish –  8/1
Where Finished –  On Press
Length per Roll/Unit – 350'
Core Type –  3" Paper 1/8" White Brown
Core Width – 0.4"
Core Label – No
Dividers – Paper
Bag Size – 
Qty. Per Bag – 15 Rolls
Box Size –  12 x 12 x 10
Qty. Per Box – 135 Rolls
Weight/box – 
Box Per Pallet – 
Pallet Type – </t>
  </si>
  <si>
    <t>Core  –  3" Paper 1/8" White Brown
Width – 0.4"
Number Across Run/FInish –  8/1
Core Label – No
±10% –  Yes
Unwind Dir. Run – Silver Out
Unwind Dir. Finish –  Silver Out
Diecut/Continuous/Sheet –  Continuous
Partial Case –  Yes
Pieces per roll/Unit – 1 Roll
Length per roll/unit –  350'
Finish – On Press
Application – </t>
  </si>
  <si>
    <t>51009 Cost of Goods Sold</t>
  </si>
  <si>
    <t>Die Cut Part 3M 8212 1.702" x 2.856"</t>
  </si>
  <si>
    <t>DXN01-038</t>
  </si>
  <si>
    <t>Die Cut Part - 3M 8212 - 1.702" x 2.856"</t>
  </si>
  <si>
    <t>Number Across Run/Finish –  1/1
Where Finished –  On Press
Length per Roll/Unit – 417'
Core Type –  3" Plastic 0.10" HDPE
Core Width – 3.75"
Core Label – Yes
Dividers – 
Bag Size – 
Qty. Per Bag – 1 Roll
Box Size –  12 x 12 x 10
Qty. Per Box – 5 M
Weight/box – 
Box Per Pallet – 
Pallet Type – </t>
  </si>
  <si>
    <t>Core  –  3" Plastic 0.10" HDPE
Width – 3.75"
Number Across Run/FInish –  1/1
Core Label – Yes
±10% –  Yes
Unwind Dir. Run – Parts In
Unwind Dir. Finish –  Parts In
Diecut/Continuous/Sheet –  Die Cut
Partial Case –  Yes
Pieces per roll/Unit – 2,500
Length per roll/unit –  417'
Finish – On Press
Application – </t>
  </si>
  <si>
    <t>51010 Cost of Goods Sold</t>
  </si>
  <si>
    <t>Sheeted Part Gauze pads 2" x 4"</t>
  </si>
  <si>
    <t>HM-0024UHP</t>
  </si>
  <si>
    <t>Sheeted Part -  Gauze pads - 2" x 4"</t>
  </si>
  <si>
    <t>Number Across Run/Finish –  1/1
Where Finished –  On Press
Length per Roll/Unit – 188'
Core Type –  N/A
Core Width – N/A
Core Label – Yes - on bag
Dividers – 
Bag Size – 
Qty. Per Bag – 100 Each
Box Size –  16 x 16 x 10-1/4
Qty. Per Box – 100 Each
Weight/box – 
Box Per Pallet – 
Pallet Type – </t>
  </si>
  <si>
    <t>51011 Cost of Goods Sold</t>
  </si>
  <si>
    <t>Sheeted Part Gauze pads 4" x 4"</t>
  </si>
  <si>
    <t>HM-0044UHP</t>
  </si>
  <si>
    <t>Sheeted Part -  Gauze pads - 4" x 4"</t>
  </si>
  <si>
    <t>Number Across Run/Finish –  1/1
Where Finished –  On Press
Length per Roll/Unit – 334'
Core Type –  N/A
Core Width – N/A
Core Label – Yes - on bag
Dividers – 
Bag Size – 
Qty. Per Bag – 100 Each
Box Size –  12 x 12 x 4
Qty. Per Box – 100 Each
Weight/box – 
Box Per Pallet – 
Pallet Type – </t>
  </si>
  <si>
    <t>Core  –  N/A
Width – N/A
Number Across Run/FInish –  1/1
Core Label – Yes - on bag
±10% –  Yes
Unwind Dir. Run – N/A
Unwind Dir. Finish –  N/A
Diecut/Continuous/Sheet –  Sheet
Partial Case –  Yes
Pieces per roll/Unit – 500
Length per roll/unit –  334'
Finish – On Press
Application – </t>
  </si>
  <si>
    <t>51012 Cost of Goods Sold</t>
  </si>
  <si>
    <t>Die Cut Part PREFORM - CHIP DW2A DBOD 9.45mm x 18.2mm</t>
  </si>
  <si>
    <t>2PMH00901</t>
  </si>
  <si>
    <t>Die Cut Part - PREFORM - CHIP DW2A DBOD - 9.45mm x 18.2mm</t>
  </si>
  <si>
    <t>Number Across Run/Finish –  1/1
Where Finished –  Web Techniques
Length per Roll/Unit – 524'
Core Type –  3" Plastic 0.10" HDPE
Core Width – 38.1 mm
Core Label – Yes
Dividers – Lexmark style
Bag Size – 
Qty. Per Bag – 1 Roll
Box Size –  8 x 8 x 8
Qty. Per Box – 25 M
Weight/box – 3
Box Per Pallet – 
Pallet Type – </t>
  </si>
  <si>
    <t>Core  –  3" Plastic 0.10" HDPE
Width – 38.1 mm
Number Across Run/FInish –  1/1
Core Label – Yes
±10% –  Yes
Unwind Dir. Run – See Drawing
Unwind Dir. Finish –  See Drawing
Diecut/Continuous/Sheet –  Die Cut
Partial Case –  Yes
Pieces per roll/Unit – 12,500
Length per roll/unit –  524'
Finish – Web Techniques
Application – </t>
  </si>
  <si>
    <t>51013 Cost of Goods Sold</t>
  </si>
  <si>
    <t>Slit Tape 3M 8926-02 0.775" x 40m</t>
  </si>
  <si>
    <t>9169</t>
  </si>
  <si>
    <t>Slit Tape - 3M 8926-02 - 0.775" x 40m</t>
  </si>
  <si>
    <t>Number Across Run/Finish –  5/1
Where Finished –  On Press
Length per Roll/Unit – 40 m
Core Type –  As Recd.
Core Width – 0.775"
Core Label – Yes
Dividers – Paper
Bag Size – 
Qty. Per Bag – 10 Rolls
Box Size –  12 x 12 x 4
Qty. Per Box – 10 Rolls
Weight/box – 
Box Per Pallet – 
Pallet Type – </t>
  </si>
  <si>
    <t>Core  –  As Recd.
Width – 0.775"
Number Across Run/FInish –  5/1
Core Label – Yes
±10% –  Yes
Unwind Dir. Run – As Rec'd
Unwind Dir. Finish –  N/A
Diecut/Continuous/Sheet –  Continuous
Partial Case –  Yes
Pieces per roll/Unit – 1 Roll
Length per roll/unit –  40 m
Finish – On Press
Application – </t>
  </si>
  <si>
    <t>51014 Cost of Goods Sold</t>
  </si>
  <si>
    <t>Sheeted Part Handle Grip Tape 6.77" x 2.25"</t>
  </si>
  <si>
    <t>1917</t>
  </si>
  <si>
    <t>Sheeted Part - Handle Grip Tape - 6.77" x 2.25"</t>
  </si>
  <si>
    <t>Number Across Run/Finish –  1/1
Where Finished –  On Press
Length per Roll/Unit – 60'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</si>
  <si>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60'
Finish – On Press
Application – </t>
  </si>
  <si>
    <t>51015 Cost of Goods Sold</t>
  </si>
  <si>
    <t>Sheeted Part Speaker Tape 0.59" x 0.43"</t>
  </si>
  <si>
    <t>1599</t>
  </si>
  <si>
    <t>Sheeted Part - Speaker Tape - 0.59" x 0.43"</t>
  </si>
  <si>
    <t>Number Across Run/Finish –  1/1
Where Finished –  On Press
Length per Roll/Unit – 8'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</si>
  <si>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8'
Finish – On Press
Application – </t>
  </si>
  <si>
    <t>51016 Cost of Goods Sold</t>
  </si>
  <si>
    <t>Sheeted Part Charge Pin Tape 0.561" x 1.161"</t>
  </si>
  <si>
    <t>1929</t>
  </si>
  <si>
    <t>Sheeted Part - Charge Pin Tape - 0.561" x 1.161"</t>
  </si>
  <si>
    <t>Number Across Run/Finish –  1/1
Where Finished –  On Press
Length per Roll/Unit – 9'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</si>
  <si>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9'
Finish – On Press
Application – </t>
  </si>
  <si>
    <t>51017 Cost of Goods Sold</t>
  </si>
  <si>
    <t>Sheeted Part Display Tape 5.81" x 3.35"</t>
  </si>
  <si>
    <t>1915</t>
  </si>
  <si>
    <t>Sheeted Part - Display Tape - 5.81" x 3.35"</t>
  </si>
  <si>
    <t>Number Across Run/Finish –  1/1
Where Finished –  On Press
Length per Roll/Unit – 51'
Core Type –  N/A
Core Width – N/A
Core Label – Yes - on bag
Dividers – 
Bag Size – 
Qty. Per Bag – 100 Each
Box Size –  6 x 6 x 6
Qty. Per Box – 500 Each
Weight/box – 
Box Per Pallet – 
Pallet Type – </t>
  </si>
  <si>
    <t>Core  –  N/A
Width – N/A
Number Across Run/FInish –  1/1
Core Label – Yes - on bag
±10% –  Yes
Unwind Dir. Run – Sheets
Unwind Dir. Finish –  N/A
Diecut/Continuous/Sheet –  Die Cut Sheet
Partial Case –  Yes
Pieces per roll/Unit – 100
Length per roll/unit –  51'
Finish – On Press
Application – </t>
  </si>
  <si>
    <t>51018 Cost of Goods Sold</t>
  </si>
  <si>
    <t>Sheeted Part Outer Optical Glass Tape 3.71" x 1.36"</t>
  </si>
  <si>
    <t>1931</t>
  </si>
  <si>
    <t>Sheeted Part - Outer Optical Glass Tape - 3.71" x 1.36"</t>
  </si>
  <si>
    <t>Number Across Run/Finish –  1/1
Where Finished –  On Press
Length per Roll/Unit – 35'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</si>
  <si>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35'
Finish – On Press
Application – </t>
  </si>
  <si>
    <t>51019 Cost of Goods Sold</t>
  </si>
  <si>
    <t>Sheeted Part SOM Heat Sink 3.80" x 1.55"</t>
  </si>
  <si>
    <t>1942</t>
  </si>
  <si>
    <t>Sheeted Part - SOM Heat Sink - 3.80" x 1.55"</t>
  </si>
  <si>
    <t>Number Across Run/Finish –  1/1
Where Finished –  On Press
Length per Roll/Unit – 35'
Core Type –  N/A
Core Width – N/A
Core Label – Yes - On bag
Dividers – 
Bag Size – 
Qty. Per Bag – 100 Each
Box Size –  6 x 6 x 6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</si>
  <si>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35'
Finish – On Press
Application – </t>
  </si>
  <si>
    <t>51020 Cost of Goods Sold</t>
  </si>
  <si>
    <t>Sheeted Part Camera Thermal Pad 0.31" x 0.31"</t>
  </si>
  <si>
    <t>1845</t>
  </si>
  <si>
    <t>Sheeted Part - Camera Thermal Pad - 0.31" x 0.31"</t>
  </si>
  <si>
    <t>Number Across Run/Finish –  1/1
Where Finished –  On Press
Length per Roll/Unit – 6'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</si>
  <si>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
Finish – On Press
Application – </t>
  </si>
  <si>
    <t>51021 Cost of Goods Sold</t>
  </si>
  <si>
    <t>Sheeted Part Screw Cover Tape 0.311" x 0.303"</t>
  </si>
  <si>
    <t>1943</t>
  </si>
  <si>
    <t>Sheeted Part - Screw Cover Tape - 0.311" x 0.303"</t>
  </si>
  <si>
    <t>Number Across Run/Finish –  1/1
Where Finished –  On Press
Length per Roll/Unit – 6'
Core Type –  N/A
Core Width – N/A
Core Label – Yes - On bag
Dividers – 
Bag Size – 
Qty. Per Bag – 100 Each
Box Size –  12 x 12 x 4
Qty. Per Box – 500 Each
Weight/box – 
Box Per Pallet – 
Pallet Type – </t>
  </si>
  <si>
    <t>Core  –  N/A
Width – N/A
Number Across Run/FInish –  1/1
Core Label – Yes - On bag
±10% –  Yes
Unwind Dir. Run – N/A
Unwind Dir. Finish –  N/A
Diecut/Continuous/Sheet –  Die Cut Sheet
Partial Case –  Yes
Pieces per roll/Unit – 100
Length per roll/unit –  6'
Finish – On Press
Application – </t>
  </si>
  <si>
    <t>51022 Cost of Goods Sold</t>
  </si>
  <si>
    <t>Sheeted Part Battery Foam 5.12" x 0.51"</t>
  </si>
  <si>
    <t>1849</t>
  </si>
  <si>
    <t>Sheeted Part - Battery Foam - 5.12" x 0.51"</t>
  </si>
  <si>
    <t>Number Across Run/Finish –  1/1
Where Finished –  On Press
Length per Roll/Unit – 45'
Core Type –  N/A
Core Width – N/A
Core Label – Yes - On bag
Dividers – 
Bag Size – 
Qty. Per Bag – 100 Each
Box Size –  12 x 12 x 12
Qty. Per Box – 500 Each
Weight/box – 
Box Per Pallet – 
Pallet Type – </t>
  </si>
  <si>
    <t>Core  –  N/A
Width – N/A
Number Across Run/FInish –  1/1
Core Label – Yes - On bag
±10% –  Yes
Unwind Dir. Run – N/A
Unwind Dir. Finish –  N/A
Diecut/Continuous/Sheet –  Sheet
Partial Case –  Yes
Pieces per roll/Unit – 100
Length per roll/unit –  45'
Finish – On Press
Application – </t>
  </si>
  <si>
    <t>51023 Cost of Goods Sold</t>
  </si>
  <si>
    <t>Slit Tape 3M 838 12" x 72Yd</t>
  </si>
  <si>
    <t>838</t>
  </si>
  <si>
    <t>Slit Tape - 3M 838 - 12" x 72Yd</t>
  </si>
  <si>
    <t>Number Across Run/Finish –  4/1
Where Finished –  On Press
Length per Roll/Unit – 72 Yd
Core Type –  As Recd.
Core Width – 12"
Core Label – Yes
Dividers – 
Bag Size – 
Qty. Per Bag – 1 Rolls
Box Size –  26 x 26 x 3 T&amp;B
Qty. Per Box – 4 Rolls
Weight/box – 
Box Per Pallet – 
Pallet Type – </t>
  </si>
  <si>
    <t>Core  –  As Recd.
Width – 12"
Number Across Run/FInish –  4/1
Core Label – Yes
±10% –  Yes
Unwind Dir. Run – N/A
Unwind Dir. Finish –  N/A
Diecut/Continuous/Sheet –  Continuous
Partial Case –  Yes
Pieces per roll/Unit – 1 Roll
Length per roll/unit –  72 Yd
Finish – On Press
Application – </t>
  </si>
  <si>
    <t>51024 Cost of Goods Sold</t>
  </si>
  <si>
    <t>Sheeted Part 3M 1524/CSM Liner 24" x 18"</t>
  </si>
  <si>
    <t>9180</t>
  </si>
  <si>
    <t>Sheeted Part - 3M 1524/CSM Liner - 24" x 18"</t>
  </si>
  <si>
    <t>Number Across Run/Finish –  1/1
Where Finished –  On Press
Length per Roll/Unit – 140'
Core Type –  N/A
Core Width – N/A
Core Label – No
Dividers – 
Bag Size – 
Qty. Per Bag – 70 Each
Box Size –  6 x 6 x 6
Qty. Per Box – 140 Each
Weight/box – 
Box Per Pallet – 
Pallet Type – </t>
  </si>
  <si>
    <t>Core  –  N/A
Width – N/A
Number Across Run/FInish –  1/1
Core Label – No
±10% –  Yes
Unwind Dir. Run – N/A
Unwind Dir. Finish –  N/A
Diecut/Continuous/Sheet –  Sheet
Partial Case –  Yes
Pieces per roll/Unit – 70
Length per roll/unit –  140'
Finish – On Press
Application – </t>
  </si>
  <si>
    <t>51025 Cost of Goods Sold</t>
  </si>
  <si>
    <t>Slit material CSM- Coated Ahlstrom 6613 5mm x 125'</t>
  </si>
  <si>
    <t>9181</t>
  </si>
  <si>
    <t>Slit material - CSM- Coated Ahlstrom 6613 - 5mm x 125'</t>
  </si>
  <si>
    <t>Number Across Run/Finish –  1/1
Where Finished –  On Press
Length per Roll/Unit – 125'
Core Type –  3" Plastic 0.10" HDPE
Core Width – 5 mm
Core Label – 
Dividers – paper
Bag Size – 
Qty. Per Bag – 16 Rolls
Box Size –  13 x 13 x 13
Qty. Per Box – 16 Rolls
Weight/box – 
Box Per Pallet – 
Pallet Type – </t>
  </si>
  <si>
    <t>Core  –  3" Plastic 0.10" HDPE
Width – 5 mm
Number Across Run/FInish –  1/1
Core Label – 
±10% –  Yes
Unwind Dir. Run – As Rec'd
Unwind Dir. Finish –  As Rec'd
Diecut/Continuous/Sheet –  Continuous
Partial Case –  Yes
Pieces per roll/Unit – 1
Length per roll/unit –  125'
Finish – On Press
Application – </t>
  </si>
  <si>
    <t>One roll = 16 finished rolls</t>
  </si>
  <si>
    <t>51026 Cost of Goods Sold</t>
  </si>
  <si>
    <t>Die Cut Part 51825C Protective film 38mm x 28mm</t>
  </si>
  <si>
    <t>9182</t>
  </si>
  <si>
    <t>Die Cut Part - 51825C Protective film - 38mm x 28mm</t>
  </si>
  <si>
    <t>Core  –  3" Paper 1/8" Strouse Brown
Width – 2.5"
Number Across Run/FInish –  1/1
Core Label – Yes
±10% –  Yes
Unwind Dir. Run – Parts Out
Unwind Dir. Finish –  Parts Out
Diecut/Continuous/Sheet –  Die Cut
Partial Case –  Yes
Pieces per roll/Unit – 1,000
Length per roll/unit –  139'
Finish – On Press
Application – </t>
  </si>
  <si>
    <t>51027 Cost of Goods Sold</t>
  </si>
  <si>
    <t>Laminated Film 3001-022/90# liner 26.5" x 1000'</t>
  </si>
  <si>
    <t>9184</t>
  </si>
  <si>
    <t>Laminated Film - 3001-022/90# liner - 26.5" x 1000'</t>
  </si>
  <si>
    <t>Number Across Run/Finish –  1/1
Where Finished –  On Press
Length per Roll/Unit – 1,000'
Core Type –  3" Paper 1/8" Strouse Brown
Core Width – 27"
Core Label – Yes
Dividers – 
Bag Size – 
Qty. Per Bag – 1 Rolls
Box Size –  6 x 6 x 6
Qty. Per Box – 1 Rolls
Weight/box – 
Box Per Pallet – 
Pallet Type – </t>
  </si>
  <si>
    <t>Core  –  3" Paper 1/8" Strouse Brown
Width – 27"
Number Across Run/FInish –  1/1
Core Label – Yes
±10% –  Yes
Unwind Dir. Run – Film Out
Unwind Dir. Finish –  Film Out
Diecut/Continuous/Sheet –  Continuous
Partial Case –  Yes
Pieces per roll/Unit – 1 Roll
Length per roll/unit –  1,000'
Finish – On Press
Application – </t>
  </si>
  <si>
    <t>51029 Cost of Goods Sold</t>
  </si>
  <si>
    <t>Die Cut Part 3M 7610 0.25" Dia</t>
  </si>
  <si>
    <t>9185</t>
  </si>
  <si>
    <t>Die Cut Part - 3M 7610 - 0.25" Dia</t>
  </si>
  <si>
    <t>Number Across Run/Finish –  2/1
Where Finished –  On Press
Length per Roll/Unit – 32'
Core Type –  3" Paper 1/8" Strouse Brown
Core Width – 0.375"
Core Label – No
Dividers – 
Bag Size – 
Qty. Per Bag – 1 Rolls
Box Size –  12 x 12 x 12
Qty. Per Box – 2 Rolls
Weight/box – 
Box Per Pallet – 
Pallet Type – </t>
  </si>
  <si>
    <t>Core  –  3" Paper 1/8" Strouse Brown
Width – 0.375"
Number Across Run/FInish –  2/1
Core Label – No
±10% –  Yes
Unwind Dir. Run – Parts Out
Unwind Dir. Finish –  Parts Out
Diecut/Continuous/Sheet –  Die Cut
Partial Case –  Yes
Pieces per roll/Unit – 1,000
Length per roll/unit –  32'
Finish – On Press
Application – </t>
  </si>
  <si>
    <t>Use 0.5 mil step up anvil.</t>
  </si>
  <si>
    <t>51030 Cost of Goods Sold</t>
  </si>
  <si>
    <t>Slit Tape Sekisui 500WC Red 24mm x 50m</t>
  </si>
  <si>
    <t>9186</t>
  </si>
  <si>
    <t>Slit Tape - Sekisui 500WC Red - 24mm x 50m</t>
  </si>
  <si>
    <t>Number Across Run/Finish –  53/1
Where Finished –  On Press
Length per Roll/Unit – 50 m
Core Type –  As Recd.
Core Width – 24 mm
Core Label – No
Dividers – Paper
Bag Size – 
Qty. Per Bag – 12 Rolls
Box Size –  14 x 14 x 10
Qty. Per Box – 48 Rolls
Weight/box – 
Box Per Pallet – 
Pallet Type – </t>
  </si>
  <si>
    <t>Core  –  As Recd.
Width – 24 mm
Number Across Run/FInish –  53/1
Core Label – No
±10% –  Yes
Unwind Dir. Run – N/A
Unwind Dir. Finish –  N/A
Diecut/Continuous/Sheet –  Continuous
Partial Case –  Yes
Pieces per roll/Unit – 1 Roll
Length per roll/unit –  50 m
Finish – On Press
Application – </t>
  </si>
  <si>
    <t>51031 Cost of Goods Sold</t>
  </si>
  <si>
    <t>Sheeted Part Wide 4.9375" x 4"</t>
  </si>
  <si>
    <t>Wide</t>
  </si>
  <si>
    <t>Sheeted Part - Wide - 4.9375" x 4"</t>
  </si>
  <si>
    <t>Number Across Run/Finish –  1/1
Where Finished –  On Press
Length per Roll/Unit – 103'
Core Type –  N/A
Core Width – N/A
Core Label – No
Dividers – 
Bag Size – 
Qty. Per Bag – 0.25 M
Box Size –  12 x 12 x 4
Qty. Per Box – 6 M
Weight/box – 
Box Per Pallet – 
Pallet Type – </t>
  </si>
  <si>
    <t>Core  –  N/A
Width – N/A
Number Across Run/FInish –  1/1
Core Label – No
±10% –  Yes
Unwind Dir. Run – N/A
Unwind Dir. Finish –   N/A
Diecut/Continuous/Sheet –  Die Cut Sheet
Partial Case –  Yes
Pieces per roll/Unit – 250
Length per roll/unit –  103'
Finish – On Press
Application – </t>
  </si>
  <si>
    <t>You will need to overspeed AB 185 to sheet to the correct length.  This is to prevent bagging before the sheeter die.</t>
  </si>
  <si>
    <t>51032 Cost of Goods Sold</t>
  </si>
  <si>
    <t>Sheeted Part EPE M6 40mm x 40mm</t>
  </si>
  <si>
    <t>9188</t>
  </si>
  <si>
    <t>Sheeted Part - EPE M6 - 40mm x 40mm</t>
  </si>
  <si>
    <t>Core  –  N/A
Width – N/A
Number Across Run/FInish –  6/1
Core Label – No
±10% –  Yes
Unwind Dir. Run – N/A
Unwind Dir. Finish –  N/A
Diecut/Continuous/Sheet –  Die Cut Sheet
Partial Case –  Yes
Pieces per roll/Unit – 9,000
Length per roll/unit –  197'
Finish – On Press
Application – </t>
  </si>
  <si>
    <t>51033 Cost of Goods Sold</t>
  </si>
  <si>
    <t>Sheeted Part d/c 3M 1170 40" Dia</t>
  </si>
  <si>
    <t>J410A150, 15105497 FORM 2</t>
  </si>
  <si>
    <t>Sheeted Part - d/c 3M 1170 - 40" Dia</t>
  </si>
  <si>
    <t>Number Across Run/Finish –  1/1
Where Finished –  On Press
Length per Roll/Unit – 4'
Core Type –  N/A
Core Width – N/A
Core Label – No
Dividers – 
Bag Size – 
Qty. Per Bag – 
Box Size –  10 x 10 x 10
Qty. Per Box – 
Weight/box – 
Box Per Pallet – 
Pallet Type – </t>
  </si>
  <si>
    <t>Packaging to be determined on first run.</t>
  </si>
  <si>
    <t>Core  –  N/A
Width – N/A
Number Across Run/FInish –  1/1
Core Label – No
±10% –  Yes
Unwind Dir. Run – N/A
Unwind Dir. Finish –  N/A
Diecut/Continuous/Sheet –  Sheet
Partial Case –  Yes
Pieces per roll/Unit – 1
Length per roll/unit –  4'
Finish – On Press
Application – </t>
  </si>
  <si>
    <t>Roll seams after cutting to flatten any bumps or wrinkles.</t>
  </si>
  <si>
    <t>51034 Cost of Goods Sold</t>
  </si>
  <si>
    <t>Slit Part Magnesium Reagent 80mm x 120'</t>
  </si>
  <si>
    <t>Slit Part - Magnesium Reagent - 80mm x 120'</t>
  </si>
  <si>
    <t>Number Across Run/Finish –  1/1
Where Finished –  On Press
Length per Roll/Unit – 120'
Core Type –  6" plastic, 0.155" PP
Core Width – 80 mm
Core Label – Yes
Dividers – 
Bag Size – 
Qty. Per Bag – 1 Rolls
Box Size –  13 x 13 x 13
Qty. Per Box – 2 Rolls
Weight/box – 
Box Per Pallet – 
Pallet Type – </t>
  </si>
  <si>
    <t>51035 Cost of Goods Sold</t>
  </si>
  <si>
    <t>Sheeted Part ZyMot Multi 3000 Membrane Sticker 1.691" x 1.691"</t>
  </si>
  <si>
    <t>DXN01-039</t>
  </si>
  <si>
    <t>Sheeted Part - ZyMot Multi 3000 Membrane Sticker - 1.691" x 1.691"</t>
  </si>
  <si>
    <t>Number Across Run/Finish –  1/1
Where Finished –  On Press
Length per Roll/Unit – 417'
Core Type –  6" plastic, 0.155" PP
Core Width – 3.25"
Core Label – Yes
Dividers – 
Bag Size – 
Qty. Per Bag – 1 Roll
Box Size –  10 x 10 x 10
Qty. Per Box – 10 M
Weight/box – 
Box Per Pallet – 
Pallet Type – </t>
  </si>
  <si>
    <t>Core  –  6" plastic, 0.155" PP
Width – 3.25"
Number Across Run/FInish –  1/1
Core Label – Yes
±10% –  Yes
Unwind Dir. Run – N/A
Unwind Dir. Finish –  Parts Out
Diecut/Continuous/Sheet –  Die Cut
Partial Case –  Yes
Pieces per roll/Unit – 2,500
Length per roll/unit –  417'
Finish – On Press
Application – </t>
  </si>
  <si>
    <t>51036 Cost of Goods Sold</t>
  </si>
  <si>
    <t>Slit Part Calcium Reagent 80mm x 120'</t>
  </si>
  <si>
    <t>Slit Part - Calcium Reagent - 80mm x 120'</t>
  </si>
  <si>
    <t>Number Across Run/Finish –  1/1
Where Finished –  On Press
Length per Roll/Unit – 120'
Core Type –  6" plastic, 0.155" PP
Core Width – 80 mm
Core Label – Yes
Dividers – 
Bag Size – 
Qty. Per Bag – 1 Rolls
Box Size –  10 x 10 x 10
Qty. Per Box – 2 Rolls
Weight/box – 
Box Per Pallet – 
Pallet Type – </t>
  </si>
  <si>
    <t>51037 Cost of Goods Sold</t>
  </si>
  <si>
    <t>Slit Part pH Reagent 80mm x 120'</t>
  </si>
  <si>
    <t>Slit Part - pH Reagent - 80mm x 120'</t>
  </si>
  <si>
    <t>51038 Cost of Goods Sold</t>
  </si>
  <si>
    <t>Slit Part Specific Gravity Reagent 80mm x 120'</t>
  </si>
  <si>
    <t>Slit Part - Specific Gravity Reagent - 80mm x 120'</t>
  </si>
  <si>
    <t>51039 Cost of Goods Sold</t>
  </si>
  <si>
    <t>Slit Part BHB Reagent 80mm x 120'</t>
  </si>
  <si>
    <t>Slit Part - BHB Reagent - 80mm x 120'</t>
  </si>
  <si>
    <t>Number Across Run/Finish –  1/1
Where Finished –  On Press
Length per Roll/Unit – 120'
Core Type –  6" plastic, 0.155" PP
Core Width – 80 mm
Core Label – Yes
Dividers – 
Bag Size – 
Qty. Per Bag – 1 Rolls
Box Size –  9 x 9 x 13
Qty. Per Box – 2 Rolls
Weight/box – 
Box Per Pallet – 
Pallet Type – </t>
  </si>
  <si>
    <t>51040 Cost of Goods Sold</t>
  </si>
  <si>
    <t>Slit Tape Kapton 200MT 0.9" x 500'</t>
  </si>
  <si>
    <t>9197</t>
  </si>
  <si>
    <t>Slit Tape - Kapton 200MT - 0.9" x 500'</t>
  </si>
  <si>
    <t>Number Across Run/Finish –  12/1
Where Finished –  On Press
Length per Roll/Unit – 500'
Core Type –  3" Plastic 0.10" HDPE
Core Width – 0.9"
Core Label – Yes - on bag
Dividers – 
Bag Size – 
Qty. Per Bag – 1 Rolls
Box Size –  16 x 16 x 16
Qty. Per Box – 12 Rolls
Weight/box – 
Box Per Pallet – 
Pallet Type – </t>
  </si>
  <si>
    <t>~Certificate of compliance required for every shipment.
~Inside bag of each roll to be labeled with part#, description, revision, and length of roll.</t>
  </si>
  <si>
    <t>Core  –  3" Plastic 0.10" HDPE
Width – 0.9"
Number Across Run/FInish –  12/1
Core Label – Yes - on bag
±10% –  Yes
Unwind Dir. Run – N/A
Unwind Dir. Finish –  N/A
Diecut/Continuous/Sheet –  Continuous
Partial Case –  Yes
Pieces per roll/Unit – 1 Roll
Length per roll/unit –  500'
Finish – On Press
Application – </t>
  </si>
  <si>
    <t>51041 Cost of Goods Sold</t>
  </si>
  <si>
    <t>Sheeted Part PC Sheet, Coated 6.472" x 3.811"</t>
  </si>
  <si>
    <t>90956254</t>
  </si>
  <si>
    <t>Sheeted Part - PC Sheet, Coated - 6.472" x 3.811"</t>
  </si>
  <si>
    <t>Number Across Run/Finish –  1/1
Where Finished –  On Press
Length per Roll/Unit – N/A
Core Type –  N/A
Core Width – N/A
Core Label – Yes - See note
Dividers – Foam Pouches
Bag Size – 
Qty. Per Bag – 25 Each
Box Size –  12 x 12 x 12
Qty. Per Box – 250 Each
Weight/box – 
Box Per Pallet – 
Pallet Type – </t>
  </si>
  <si>
    <t>Place parts in foam pouches (1 part per pouch), then double bag 25 pouched parts, with an identification label on the bundle of 25.  The bundle must be double bagged in poly bags and protected for shipping &amp; handling.
Bags must be labeled with the following: Part #, material lot numbers, manufacturing lot # and quantity. - FORMAT 9198 Bag
Inspection - Viewing conditions as they have specified here per the Society of the Plastics Industry would be 18” at a 30° tilt (top away from you) in normal light with the test article in your line of sight but assuring that you are not getting a direct reflection from the article.  You should also rotate it side to side (like a windshield wiper).
Include a C of C w/ RoHS compliance statement.</t>
  </si>
  <si>
    <t>Core  –  N/A
Width – N/A
Number Across Run/FInish –  1/1
Core Label – Yes - See note
±10% –  Yes
Unwind Dir. Run – N/A
Unwind Dir. Finish –  N/A
Diecut/Continuous/Sheet –  Sheet
Partial Case –  Yes
Pieces per roll/Unit – 25
Length per roll/unit –  N/A
Finish – On Press
Application – </t>
  </si>
  <si>
    <t>51042 Cost of Goods Sold</t>
  </si>
  <si>
    <t>Die Cut Part 3M VHB LSE-160WF 1.88" x 1.88"</t>
  </si>
  <si>
    <t>9199</t>
  </si>
  <si>
    <t>Die Cut Part - 3M VHB LSE-160WF - 1.88" x 1.88"</t>
  </si>
  <si>
    <t>Number Across Run/Finish –  2/1
Where Finished –  On Press
Length per Roll/Unit – 84'
Core Type –  6" Paper 3/8" Brown Brown
Core Width – 2.125"
Core Label – Yes
Dividers – 
Bag Size – 
Qty. Per Bag – 5 Rolls
Box Size –  12 x 12 x 12
Qty. Per Box – 3 M
Weight/box – 
Box Per Pallet – 
Pallet Type – </t>
  </si>
  <si>
    <t>Core  –  6" Paper 3/8" Brown Brown
Width – 2.125"
Number Across Run/FInish –  2/1
Core Label – Yes
±10% –  Yes
Unwind Dir. Run – Parts Out
Unwind Dir. Finish –  Parts Out
Diecut/Continuous/Sheet –  Die Cut
Partial Case –  Yes
Pieces per roll/Unit – 500
Length per roll/unit –  84'
Finish – On Press
Application – </t>
  </si>
  <si>
    <t>51043 Cost of Goods Sold</t>
  </si>
  <si>
    <t>Die Cut Part - Packaging White 'Phoenix' Adh. Patch 2.34" x 2.84"</t>
  </si>
  <si>
    <t>FG-6400-50-301</t>
  </si>
  <si>
    <t>Die Cut Part - Packaging - White 'Phoenix' Adh. Patch - 2.34" x 2.84"</t>
  </si>
  <si>
    <t>Number Across Run/Finish –  1/1
Where Finished –  Off Press
Length per Roll/Unit – 7'
Core Type –  N/A
Core Width – N/A
Core Label – Yes - on bag
Dividers – 
Bag Size – 
Qty. Per Bag – 30 Each
Box Size –  12 x 12 x 10
Qty. Per Box – 9 M
Weight/box – 
Box Per Pallet – 
Pallet Type – </t>
  </si>
  <si>
    <t>Use label format "9200"
Bulk pack 300 bags per carton
Mfg date on label to be Strouse date of conversion  YYYY-MM-DD
Expiration to be 3 years from Strouse date of conversion  YYYY-MM-DD
C of C needed with:	• Part # w/ current Rev. level	  • Lot # (Strouse W/O)
				• DOM &amp; Exp. Date                         	  • PO #
				• White patch Lot # - (Ex. FG-6400-50-301 Lot: 0xxxxx)
Also, E-mail CS a "PDF" MFG. Cert for each lot of material used: 2476P, 2477P.</t>
  </si>
  <si>
    <t>Core  –  N/A
Width – N/A
Number Across Run/FInish –  1/1
Core Label – Yes - on bag
±10% –  Yes
Unwind Dir. Run – N/A
Unwind Dir. Finish –  N/A
Diecut/Continuous/Sheet –  Die Cut Sheet
Partial Case –  Yes
Pieces per roll/Unit – 30
Length per roll/unit –  7'
Finish – Off Press
Application – </t>
  </si>
  <si>
    <t>51044 Cost of Goods Sold</t>
  </si>
  <si>
    <t>Fabricated Part 3M 467MPF/2 mil PET 0.75" x 1,000'</t>
  </si>
  <si>
    <t>9201</t>
  </si>
  <si>
    <t>Fabricated Part - 3M 467MPF/2 mil PET - 0.75" x 1,000'</t>
  </si>
  <si>
    <t>Number Across Run/Finish –  4/1
Where Finished –  Web Techniques
Length per Roll/Unit – 1,000'
Core Type –  3" Paper 1/8" Strouse Brown
Core Width – 0.75"
Core Label – Yes
Dividers – paper
Bag Size – 
Qty. Per Bag – 1 Each
Box Size –  12 x 12 x 4
Qty. Per Box – 6 Rolls
Weight/box – 
Box Per Pallet – 
Pallet Type – </t>
  </si>
  <si>
    <t>Core  –  3" Paper 1/8" Strouse Brown
Width – 0.75"
Number Across Run/FInish –  4/1
Core Label – Yes
±10% –  Yes
Unwind Dir. Run – See Drawing
Unwind Dir. Finish –  See Drawing
Diecut/Continuous/Sheet –  Continuous
Partial Case –  Yes
Pieces per roll/Unit – 1
Length per roll/unit –  1,000'
Finish – Web Techniques
Application – </t>
  </si>
  <si>
    <t>51045 Cost of Goods Sold</t>
  </si>
  <si>
    <t>Sheeted Part Poron/9471LE 2.25" x 0.9"</t>
  </si>
  <si>
    <t>9202</t>
  </si>
  <si>
    <t>Sheeted Part - Poron/9471LE - 2.25" x 0.9"</t>
  </si>
  <si>
    <t>Number Across Run/Finish –  6/1
Where Finished –  On Press
Length per Roll/Unit – 4'
Core Type –  N/A
Core Width – N/A
Core Label – No
Dividers – 
Bag Size – 
Qty. Per Bag – 120 Each
Box Size –  Best Fit Per Qty
Qty. Per Box – 120 Each
Weight/box – 
Box Per Pallet – 
Pallet Type – </t>
  </si>
  <si>
    <t>Core  –  N/A
Width – N/A
Number Across Run/FInish –  6/1
Core Label – No
±10% –  Yes
Unwind Dir. Run – N/A
Unwind Dir. Finish –  N/A
Diecut/Continuous/Sheet –  Sheet
Partial Case –  Yes
Pieces per roll/Unit – 120
Length per roll/unit –  4'
Finish – On Press
Application – </t>
  </si>
  <si>
    <t>51046 Cost of Goods Sold</t>
  </si>
  <si>
    <t>E0519-20611/1</t>
  </si>
  <si>
    <t>Number Across Run/Finish –  2/1
Where Finished –  On Press
Length per Roll/Unit – N/A
Core Type –  N/A
Core Width – N/A
Core Label – No
Dividers – 
Bag Size – 
Qty. Per Bag – 50 Each
Box Size –  11 x 11 x 14
Qty. Per Box – 50 Each
Weight/box – 
Box Per Pallet – 
Pallet Type – </t>
  </si>
  <si>
    <t>51047 Cost of Goods Sold</t>
  </si>
  <si>
    <t>Slit Tape 3M 5288-OB220 2" x 20Yd</t>
  </si>
  <si>
    <t>SG-1228494</t>
  </si>
  <si>
    <t>Slit Tape - 3M 5288-OB220 - 2" x 20Yd</t>
  </si>
  <si>
    <t>Number Across Run/Finish –  1/1
Where Finished –  On Press
Length per Roll/Unit – 20 Yd
Core Type –  3" Paper 1/8" White Brown
Core Width – 2.00"
Core Label – Yes
Dividers – Paper
Bag Size – 
Qty. Per Bag – 3 Rolls
Box Size –  11 x 11 x 14
Qty. Per Box – 6 Rolls
Weight/box – 
Box Per Pallet – 
Pallet Type – </t>
  </si>
  <si>
    <t>Core  –  3" Paper 1/8" White Brown
Width – 2.00"
Number Across Run/FInish –  1/1
Core Label – Yes
±10% –  Yes
Unwind Dir. Run – Adh. In
Unwind Dir. Finish –  Adh. In
Diecut/Continuous/Sheet –  Continuous
Partial Case –  Yes
Pieces per roll/Unit – 1 Roll
Length per roll/unit –  20 Yd
Finish – On Press
Application – </t>
  </si>
  <si>
    <t>Wrinkles in finished product are OK per MM and US Tool.</t>
  </si>
  <si>
    <t>51048 Cost of Goods Sold</t>
  </si>
  <si>
    <t>Slit Tape 3M 5288-OB120 1" x 20Yd</t>
  </si>
  <si>
    <t>SG-1228501</t>
  </si>
  <si>
    <t>Slit Tape - 3M 5288-OB120 - 1" x 20Yd</t>
  </si>
  <si>
    <t>Number Across Run/Finish –  2/1
Where Finished –  On Press
Length per Roll/Unit – 20 Yd
Core Type –  3" Paper 1/8" White Brown
Core Width – 1.00"
Core Label – Yes
Dividers – Paper
Bag Size – 
Qty. Per Bag – 6 Rolls
Box Size –  11 x 11 x 14
Qty. Per Box – 12 Rolls
Weight/box – 
Box Per Pallet – 
Pallet Type – </t>
  </si>
  <si>
    <t>Core  –  3" Paper 1/8" White Brown
Width – 1.00"
Number Across Run/FInish –  2/1
Core Label – Yes
±10% –  Yes
Unwind Dir. Run – Adh. In
Unwind Dir. Finish –  Adh. In
Diecut/Continuous/Sheet –  Continuous
Partial Case –  Yes
Pieces per roll/Unit – 1 Roll
Length per roll/unit –  20 Yd
Finish – On Press
Application – </t>
  </si>
  <si>
    <t>51049 Cost of Goods Sold</t>
  </si>
  <si>
    <t>Slit Tape 3M 5288-OB320 3" x 20Yd</t>
  </si>
  <si>
    <t>SG-1228502</t>
  </si>
  <si>
    <t>Slit Tape - 3M 5288-OB320 - 3" x 20Yd</t>
  </si>
  <si>
    <t>Number Across Run/Finish –  1/1
Where Finished –  On Press
Length per Roll/Unit – 20 Yd
Core Type –  3" Paper 1/8" White Brown
Core Width – 3.75"
Core Label – Yes
Dividers – Paper
Bag Size – 
Qty. Per Bag – 2 Rolls
Box Size –  
Qty. Per Box – 4 Rolls
Weight/box – 
Box Per Pallet – 
Pallet Type – </t>
  </si>
  <si>
    <t>Core  –  3" Paper 1/8" White Brown
Width – 3.75"
Number Across Run/FInish –  1/1
Core Label – Yes
±10% –  Yes
Unwind Dir. Run – Adh. In
Unwind Dir. Finish –  Adh. In
Diecut/Continuous/Sheet –  Continuous
Partial Case –  Yes
Pieces per roll/Unit – 1 Roll
Length per roll/unit –  20 Yd
Finish – On Press
Application – </t>
  </si>
  <si>
    <t>51050 Cost of Goods Sold</t>
  </si>
  <si>
    <t>Sheeted Part 3M 1170 40" Dia</t>
  </si>
  <si>
    <t>J410A200, 15105497 FORM 1</t>
  </si>
  <si>
    <t>Sheeted Part - 3M 1170 - 40" Dia</t>
  </si>
  <si>
    <t>Number Across Run/Finish –  1/1
Where Finished –  On Press
Length per Roll/Unit – 4'
Core Type –  N/A
Core Width – N/A
Core Label – No
Dividers – 
Bag Size – 
Qty. Per Bag – 
Box Size –  14 x 14 x 10
Qty. Per Box – 
Weight/box – 
Box Per Pallet – 
Pallet Type – </t>
  </si>
  <si>
    <t>51051 Cost of Goods Sold</t>
  </si>
  <si>
    <t>Die Cut Part AA 1016P/R 0.375" x 0.75"</t>
  </si>
  <si>
    <t>9208</t>
  </si>
  <si>
    <t>Die Cut Part - AA 1016P/R - 0.375" x 0.75"</t>
  </si>
  <si>
    <t>Number Across Run/Finish –  2/2
Where Finished –  On Press
Length per Roll/Unit – 52'
Core Type –  3" Paper (1/8" wall)
Core Width – 3"
Core Label – Yes
Dividers – 
Bag Size – 
Qty. Per Bag – 
Box Size –  12 x 12 x 12
Qty. Per Box – 13 M
Weight/box – 
Box Per Pallet – 
Pallet Type – </t>
  </si>
  <si>
    <t>Core  –  3" Paper (1/8" wall)
Width – 3"
Number Across Run/FInish –  2/2
Core Label – Yes
±10% –  Yes
Unwind Dir. Run – Parts Out
Unwind Dir. Finish –  Parts Out
Diecut/Continuous/Sheet –  Die Cut
Partial Case –  Yes
Pieces per roll/Unit – 2,500
Length per roll/unit –  52'
Finish – On Press
Application – </t>
  </si>
  <si>
    <t>51052 Cost of Goods Sold</t>
  </si>
  <si>
    <t>Die Cut Part 3M 110LSE-WF Tape Assembly 16.7mm x 34.71mm w/ tab</t>
  </si>
  <si>
    <t>3000-0397</t>
  </si>
  <si>
    <t>Die Cut Part - 3M 110LSE-WF Tape Assembly - 16.7mm x 34.71mm w/ tab</t>
  </si>
  <si>
    <t>Number Across Run/Finish –  1/1
Where Finished –  On Press
Length per Roll/Unit – 68'
Core Type –  3" Paper 1/8" Strouse Brown
Core Width – 2.75"
Core Label – Yes
Dividers – 
Bag Size – 
Qty. Per Bag – 4 Rolls
Box Size –  13 x 13 x 10
Qty. Per Box – 16 M
Weight/box – 
Box Per Pallet – 
Pallet Type – </t>
  </si>
  <si>
    <t>Inspection report for critical characteristics required to accompany order- Items 1 through 5 on page 1 of the customer Drawing.</t>
  </si>
  <si>
    <t>51053 Cost of Goods Sold</t>
  </si>
  <si>
    <t>Sheeted Part 3M 5952 4" x 3"</t>
  </si>
  <si>
    <t>9210</t>
  </si>
  <si>
    <t>Sheeted Part - 3M 5952 - 4" x 3"</t>
  </si>
  <si>
    <t>Number Across Run/Finish –  1/1
Where Finished –  On Press
Length per Roll/Unit – 354'
Core Type –  N/A
Core Width – N/A
Core Label – No
Dividers – 
Bag Size – 
Qty. Per Bag – 50 Each
Box Size –  14 x 14 x 6
Qty. Per Box – 1,000 Each
Weight/box – 
Box Per Pallet – 
Pallet Type – </t>
  </si>
  <si>
    <t>Core  –  N/A
Width – N/A
Number Across Run/FInish –  1/1
Core Label – No
±10% –  Yes
Unwind Dir. Run – N/A
Unwind Dir. Finish –  N/A
Diecut/Continuous/Sheet –  Sheet
Partial Case –  Yes
Pieces per roll/Unit – 1,000
Length per roll/unit –  354'
Finish – On Press
Application – </t>
  </si>
  <si>
    <t>51054 Cost of Goods Sold</t>
  </si>
  <si>
    <t>Sheeted Part 3M 5915P 336mm x 6.86mm</t>
  </si>
  <si>
    <t>8567506</t>
  </si>
  <si>
    <t>Sheeted Part - 3M 5915P - 336mm x 6.86mm</t>
  </si>
  <si>
    <t>Number Across Run/Finish –  1/1
Where Finished –  On Press
Length per Roll/Unit – 58'
Core Type –  N/A
Core Width – N/A
Core Label – Yes - on bag
Dividers – 
Bag Size – 
Qty. Per Bag – 50 Each
Box Size –  10 x 10 x 10
Qty. Per Box – 1,000 Each
Weight/box – 
Box Per Pallet – 
Pallet Type – </t>
  </si>
  <si>
    <t>Bag label to have quantity and part #.
Use DOM from 3M cert and 24 months as shelf life per TDS for 5915P.  If shelf life remaining is less than 12 months, use Strouse DOM and 12 months as shelf life.</t>
  </si>
  <si>
    <t>Core  –  N/A
Width – N/A
Number Across Run/FInish –  1/1
Core Label – Yes - on bag
±10% –  No
Unwind Dir. Run – N/A
Unwind Dir. Finish –  N/A
Diecut/Continuous/Sheet –  Die Cut Sheet
Partial Case –  Yes
Pieces per roll/Unit – 50
Length per roll/unit –  58'
Finish – On Press
Application – </t>
  </si>
  <si>
    <t>51055 Cost of Goods Sold</t>
  </si>
  <si>
    <t>Die Cut Part ST - 2090 0.5" x 2.83"</t>
  </si>
  <si>
    <t>ST - 2090</t>
  </si>
  <si>
    <t>Die Cut Part - ST - 2090 - 0.5" x 2.83"</t>
  </si>
  <si>
    <t>Number Across Run/Finish –  3/1
Where Finished –  On Press
Length per Roll/Unit – 1,797'
Core Type –  3" Paper 1/8" Strouse Brown
Core Width – 3.08"
Core Label – Yes
Dividers – 
Bag Size – 
Qty. Per Bag – 1 Rolls
Box Size –  10 x 10 x 10
Qty. Per Box – 3 Rolls
Weight/box – 
Box Per Pallet – 
Pallet Type – </t>
  </si>
  <si>
    <t>Core  –  3" Paper 1/8" Strouse Brown
Width – 3.08"
Number Across Run/FInish –  3/1
Core Label – Yes
±10% –  Yes
Unwind Dir. Run – See Drawing
Unwind Dir. Finish –  See Drawing
Diecut/Continuous/Sheet –  Die Cut
Partial Case –  Yes
Pieces per roll/Unit – 34,500
Length per roll/unit –  1,797'
Finish – On Press
Application – </t>
  </si>
  <si>
    <t>51056 Cost of Goods Sold</t>
  </si>
  <si>
    <t>Slit Tape 3M 8810 0.625" x 108'</t>
  </si>
  <si>
    <t>525DSAA0400</t>
  </si>
  <si>
    <t>Slit Tape - 3M 8810 - 0.625" x 108'</t>
  </si>
  <si>
    <t>Number Across Run/Finish –  6/1
Where Finished –  On Press
Length per Roll/Unit – 108'
Core Type –  6" plastic, 0.155" PP
Core Width – 0.625"
Core Label – No
Dividers – Paper
Bag Size – 
Qty. Per Bag – 16 Rolls
Box Size –  12 x 12 x 12
Qty. Per Box – 16 Rolls
Weight/box – 
Box Per Pallet – 
Pallet Type – </t>
  </si>
  <si>
    <t>Core  –  6" plastic, 0.155" PP
Width – 0.625"
Number Across Run/FInish –  6/1
Core Label – No
±10% –  Yes
Unwind Dir. Run – As Rec'd
Unwind Dir. Finish –  As Rec'd
Diecut/Continuous/Sheet –  Continuous
Partial Case –  Yes
Pieces per roll/Unit – 1 Roll
Length per roll/unit –  108'
Finish – On Press
Application – </t>
  </si>
  <si>
    <t>51057 Cost of Goods Sold</t>
  </si>
  <si>
    <t>Slit Tape ST-2114 1.375" x 1640'</t>
  </si>
  <si>
    <t>20028989</t>
  </si>
  <si>
    <t>Slit Tape - ST-2114 - 1.375" x 1640'</t>
  </si>
  <si>
    <t>Number Across Run/Finish –  30/1
Where Finished –  On Press
Length per Roll/Unit – 1,640'
Core Type –  As Recd.
Core Width – 1.375"
Core Label – Yes
Dividers – Paper
Bag Size – 
Qty. Per Bag – 8 Rolls
Box Size –  6 x 6 x 6
Qty. Per Box – 8 Rolls
Weight/box – 
Box Per Pallet – 
Pallet Type – </t>
  </si>
  <si>
    <t>Use paper dividers - top and bottom of each stack of 8 Rolls, in a bag.</t>
  </si>
  <si>
    <t>Core  –  As Recd.
Width – 1.375"
Number Across Run/FInish –  30/1
Core Label – Yes
±10% –  Yes
Unwind Dir. Run – As Rec'd
Unwind Dir. Finish –  As Rec'd
Diecut/Continuous/Sheet –  Continuous
Partial Case –  Yes
Pieces per roll/Unit – 1 Roll
Length per roll/unit –  1,640'
Finish – On Press
Application – </t>
  </si>
  <si>
    <t>51058 Cost of Goods Sold</t>
  </si>
  <si>
    <t>Slit Tape 3M 9874 5.9" x 200Yd</t>
  </si>
  <si>
    <t>9216</t>
  </si>
  <si>
    <t>Slit Tape - 3M 9874 - 5.9" x 200Yd</t>
  </si>
  <si>
    <t>Number Across Run/Finish –  1/1
Where Finished –  Web Techniques
Length per Roll/Unit – 600'
Core Type –  3" Paper 1/8" Strouse Brown
Core Width – 5.9"
Core Label – Yes
Dividers – 
Bag Size – 
Qty. Per Bag – 1 Rolls
Box Size –  6 x 6 x 6
Qty. Per Box – 1 Rolls
Weight/box – 
Box Per Pallet – 
Pallet Type – </t>
  </si>
  <si>
    <t>Core  –  3" Paper 1/8" Strouse Brown
Width – 5.9"
Number Across Run/FInish –  1/1
Core Label – Yes
±10% –  Yes
Unwind Dir. Run – As Rec'd
Unwind Dir. Finish –  As Rec'd
Diecut/Continuous/Sheet –  Continuous
Partial Case –  Yes
Pieces per roll/Unit – 1 Roll
Length per roll/unit –  600'
Finish – Web Techniques
Application – </t>
  </si>
  <si>
    <t>51059 Cost of Goods Sold</t>
  </si>
  <si>
    <t>Sheeted Part Insulator, Latch Base 1.31" x 1.00"</t>
  </si>
  <si>
    <t>3270286</t>
  </si>
  <si>
    <t>Sheeted Part - Insulator, Latch Base - 1.31" x 1.00"</t>
  </si>
  <si>
    <t>51060 Cost of Goods Sold</t>
  </si>
  <si>
    <t>Sheeted Part Roscolux 26 Light Red 1.43" x 1.30"</t>
  </si>
  <si>
    <t>257800</t>
  </si>
  <si>
    <t>Sheeted Part - Roscolux 26 Light Red - 1.43" x 1.30"</t>
  </si>
  <si>
    <t>Number Across Run/Finish –  12/1
Where Finished –  Off Press
Length per Roll/Unit – N/A
Core Type –  N/A
Core Width – N/A
Core Label – No
Dividers – 
Bag Size – 
Qty. Per Bag – 125 Each
Box Size –  14 x 14 x 10
Qty. Per Box – 125 Each
Weight/box – 
Box Per Pallet – 
Pallet Type – </t>
  </si>
  <si>
    <t>51061 Cost of Goods Sold</t>
  </si>
  <si>
    <t>Sheeted Part Saliva collection device 40.6mm x 71mm</t>
  </si>
  <si>
    <t>REV C</t>
  </si>
  <si>
    <t>Sheeted Part - Saliva collection device - 40.6mm x 71mm</t>
  </si>
  <si>
    <t>Number Across Run/Finish –  2/1
Where Finished –  On Press
Length per Roll/Unit – 37'
Core Type –  N/A
Core Width – N/A
Core Label – No
Dividers – 
Bag Size – 
Qty. Per Bag – 250 Each
Box Size –  12 x 12 x 12
Qty. Per Box – 5 M
Weight/box – 
Box Per Pallet – 
Pallet Type – </t>
  </si>
  <si>
    <t>51062 Cost of Goods Sold</t>
  </si>
  <si>
    <t>Die Cut Part 3M 7953MP 3.445" x 1.22"</t>
  </si>
  <si>
    <t>003140</t>
  </si>
  <si>
    <t>Die Cut Part - 3M 7953MP - 3.445" x 1.22"</t>
  </si>
  <si>
    <t>Number Across Run/Finish –  1/1
Where Finished –  On Press
Length per Roll/Unit – 817'
Core Type –  3" Plastic
Core Width – 1.75"
Core Label – Yes
Dividers – Lexmark style
Bag Size – 
Qty. Per Bag – 1 Rolls
Box Size –  12 x 12 x 4
Qty. Per Box – 7 Rolls
Weight/box – 
Box Per Pallet – 
Pallet Type – </t>
  </si>
  <si>
    <t>Core  –  3" Plastic
Width – 1.75"
Number Across Run/FInish –  1/1
Core Label – Yes
±10% –  Yes
Unwind Dir. Run – See Drawing
Unwind Dir. Finish –  See Drawing
Diecut/Continuous/Sheet –  Die Cut
Partial Case –  Yes
Pieces per roll/Unit – 2,500
Length per roll/unit –  817'
Finish – On Press
Application – </t>
  </si>
  <si>
    <t>Rolls to have 5 ft leader and trailer on each roll.  Remove parts to create this.  Roll footage includes 10 ft extra to account for this.  Leader and trailer are only on the carrier liner.</t>
  </si>
  <si>
    <t>51063 Cost of Goods Sold</t>
  </si>
  <si>
    <t>Die Cut Part 3M 4052 0.827" x 0.827"</t>
  </si>
  <si>
    <t>413591</t>
  </si>
  <si>
    <t>Die Cut Part - 3M 4052 - 0.827" x 0.827"</t>
  </si>
  <si>
    <t>Number Across Run/Finish –  1/1
Where Finished –  On Press
Length per Roll/Unit – 84'
Core Type –  3" Paper 1/8" Strouse Brown
Core Width – 1"
Core Label – Yes
Dividers – 
Bag Size – 
Qty. Per Bag – 
Box Size –  8 x 8 x 8
Qty. Per Box – 4 Rolls
Weight/box – 
Box Per Pallet – 
Pallet Type – </t>
  </si>
  <si>
    <t>Core  –  3" Paper 1/8" Strouse Brown
Width – 1"
Number Across Run/FInish –  1/1
Core Label – Yes
±10% –  Yes
Unwind Dir. Run – Parts Out
Unwind Dir. Finish –  Parts Out
Diecut/Continuous/Sheet –  Die Cut
Partial Case –  Yes
Pieces per roll/Unit – 1,000
Length per roll/unit –  84'
Finish – On Press
Application – </t>
  </si>
  <si>
    <t>51064 Cost of Goods Sold</t>
  </si>
  <si>
    <t>Slit Tape 3M 1280 0.292" x 144Yd</t>
  </si>
  <si>
    <t>9222</t>
  </si>
  <si>
    <t>Slit Tape - 3M 1280 - 0.292" x 144Yd</t>
  </si>
  <si>
    <t>Number Across Run/Finish –  17/1
Where Finished –  On Press
Length per Roll/Unit – 144 Yd
Core Type –  As Recd.
Core Width – 0.292"
Core Label – No
Dividers – Paper
Bag Size – 
Qty. Per Bag – 9 Rolls
Box Size –  12 x 12 x 10
Qty. Per Box – 9 Rolls
Weight/box – 
Box Per Pallet – 
Pallet Type – </t>
  </si>
  <si>
    <t>Core  –  As Recd.
Width – 0.292"
Number Across Run/FInish –  17/1
Core Label – No
±10% –  Yes
Unwind Dir. Run – N/A
Unwind Dir. Finish –  N/A
Diecut/Continuous/Sheet –  Continuous
Partial Case –  Yes
Pieces per roll/Unit – 1 Roll
Length per roll/unit –  144 Yd
Finish – On Press
Application – </t>
  </si>
  <si>
    <t>51065 Cost of Goods Sold</t>
  </si>
  <si>
    <t>Slit Tape 2A04B 1.4" x 1,000'</t>
  </si>
  <si>
    <t>9223</t>
  </si>
  <si>
    <t>Slit Tape - 2A04B - 1.4" x 1,000'</t>
  </si>
  <si>
    <t>Number Across Run/Finish –  6/1
Where Finished –  On Press
Length per Roll/Unit – 1,000'
Core Type –  As Recd.
Core Width – 1.4"
Core Label – Yes
Dividers – Paper
Bag Size – 
Qty. Per Bag – 6 Rolls
Box Size –  12 x 12 x 4
Qty. Per Box – 12 Rolls
Weight/box – 
Box Per Pallet – 
Pallet Type – </t>
  </si>
  <si>
    <t>Core  –  As Recd.
Width – 1.4"
Number Across Run/FInish –  6/1
Core Label – Yes
±10% –  Yes
Unwind Dir. Run – N/A
Unwind Dir. Finish –  N/A
Diecut/Continuous/Sheet –  Continuous
Partial Case –  Yes
Pieces per roll/Unit – 1 Roll
Length per roll/unit –  1,000'
Finish – On Press
Application – </t>
  </si>
  <si>
    <t>51066 Cost of Goods Sold</t>
  </si>
  <si>
    <t>Die Cut Part 3M 5952 0.14" x 0.25"</t>
  </si>
  <si>
    <t>165-93281-002A</t>
  </si>
  <si>
    <t>Die Cut Part - 3M 5952 - 0.14" x 0.25"</t>
  </si>
  <si>
    <t>Number Across Run/Finish –  1/1
Where Finished –  On Press
Length per Roll/Unit – 63'
Core Type –  3" Paper 1/8" White Brown
Core Width – 2"
Core Label – Yes
Dividers – N/A
Bag Size – 
Qty. Per Bag – 1 Rolls
Box Size –  12 x 12 x 4
Qty. Per Box – 3 M
Weight/box – 
Box Per Pallet – 
Pallet Type – </t>
  </si>
  <si>
    <t>Core  –  3" Paper 1/8" White Brown
Width – 2"
Number Across Run/FInish –  1/1
Core Label – Yes
±10% –  Yes
Unwind Dir. Run – Parts In
Unwind Dir. Finish –  parts In
Diecut/Continuous/Sheet –  Die Cut
Partial Case –  Yes
Pieces per roll/Unit – 3,000
Length per roll/unit –  63'
Finish – On Press
Application – </t>
  </si>
  <si>
    <t>See Engineering for web path for Delta 5</t>
  </si>
  <si>
    <t>51067 Cost of Goods Sold</t>
  </si>
  <si>
    <t>Die Cut Part 3M 5952 0.44" x 0.6"</t>
  </si>
  <si>
    <t>165-93281-003A</t>
  </si>
  <si>
    <t>Die Cut Part - 3M 5952 - 0.44" x 0.6"</t>
  </si>
  <si>
    <t>Number Across Run/Finish –  1/1
Where Finished –  On Press
Length per Roll/Unit – 157'
Core Type –  3" Paper 1/8" White Brown
Core Width – 2"
Core Label – Yes
Dividers – N/A
Bag Size – 
Qty. Per Bag – 1 Rolls
Box Size –  16 x 16 x 10-1/4
Qty. Per Box – 3 M
Weight/box – 
Box Per Pallet – 
Pallet Type – </t>
  </si>
  <si>
    <t>Core  –  3" Paper 1/8" White Brown
Width – 2"
Number Across Run/FInish –  1/1
Core Label – Yes
±10% –  Yes
Unwind Dir. Run – Parts In
Unwind Dir. Finish –  Parts In
Diecut/Continuous/Sheet –  Die Cut
Partial Case –  Yes
Pieces per roll/Unit – 3,000
Length per roll/unit –  157'
Finish – On Press
Application – </t>
  </si>
  <si>
    <t>51068 Cost of Goods Sold</t>
  </si>
  <si>
    <t>Die Cut Part 3M 401+ 2.03" OD with tab</t>
  </si>
  <si>
    <t>2950-516</t>
  </si>
  <si>
    <t>Die Cut Part - 3M 401+ - 2.03" OD with tab</t>
  </si>
  <si>
    <t>Number Across Run/Finish –  2/2
Where Finished –  On Press
Length per Roll/Unit – 188'
Core Type –  3" Paper 1/8" Strouse Brown
Core Width – 5.25"
Core Label – Yes
Dividers – 
Bag Size – 
Qty. Per Bag – 2 Rolls
Box Size –  14 x 14 x 8
Qty. Per Box – 10 Rolls
Weight/box – 
Box Per Pallet – 
Pallet Type – </t>
  </si>
  <si>
    <t>Core  –  3" Paper 1/8" Strouse Brown
Width – 5.25"
Number Across Run/FInish –  2/2
Core Label – Yes
±10% –  Yes
Unwind Dir. Run – Parts Out
Unwind Dir. Finish –  Parts Out
Diecut/Continuous/Sheet –  Die Cut
Partial Case –  Yes
Pieces per roll/Unit – 2,000
Length per roll/unit –  188'
Finish – On Press
Application – </t>
  </si>
  <si>
    <t>51069 Cost of Goods Sold</t>
  </si>
  <si>
    <t>Die Cut Part 3M 401+ 1.3" OD with tab</t>
  </si>
  <si>
    <t>2950-517</t>
  </si>
  <si>
    <t>Die Cut Part - 3M 401+ - 1.3" OD with tab</t>
  </si>
  <si>
    <t>Number Across Run/Finish –  2/2
Where Finished –  On Press
Length per Roll/Unit – 167'
Core Type –  3" Paper 1/8" Strouse Brown
Core Width – 3.25"
Core Label – Yes
Dividers – 
Bag Size – 
Qty. Per Bag – 
Box Size –  14 x 14 x 6
Qty. Per Box – 10 Rolls
Weight/box – 
Box Per Pallet – 
Pallet Type – </t>
  </si>
  <si>
    <t>Core  –  3" Paper 1/8" Strouse Brown
Width – 3.25"
Number Across Run/FInish –  2/2
Core Label – Yes
±10% –  Yes
Unwind Dir. Run – Parts Out
Unwind Dir. Finish –  Parts Out
Diecut/Continuous/Sheet –  Die Cut
Partial Case –  Yes
Pieces per roll/Unit – 2,000
Length per roll/unit –  167'
Finish – On Press
Application – </t>
  </si>
  <si>
    <t>51070 Cost of Goods Sold</t>
  </si>
  <si>
    <t>Die Cut Part 3M 401+ 1" x 0.5" with tab</t>
  </si>
  <si>
    <t xml:space="preserve"> 2950-518</t>
  </si>
  <si>
    <t>Die Cut Part - 3M 401+ - 1" x 0.5" with tab</t>
  </si>
  <si>
    <t>Number Across Run/Finish –  2/2
Where Finished –  On Press
Length per Roll/Unit – 105'
Core Type –  3" Paper 1/8" Strouse Brown
Core Width – 2.75"
Core Label – Yes
Dividers – 
Bag Size – 
Qty. Per Bag – 2 Rolls
Box Size –  13 x 13 x 13
Qty. Per Box – 10 Rolls
Weight/box – 
Box Per Pallet – 
Pallet Type – </t>
  </si>
  <si>
    <t>Core  –  3" Paper 1/8" Strouse Brown
Width – 2.75"
Number Across Run/FInish –  2/2
Core Label – Yes
±10% –  Yes
Unwind Dir. Run – Parts Out
Unwind Dir. Finish –  Parts Out
Diecut/Continuous/Sheet –  Die Cut
Partial Case –  Yes
Pieces per roll/Unit – 2,000
Length per roll/unit –  105'
Finish – On Press
Application – </t>
  </si>
  <si>
    <t>51071 Cost of Goods Sold</t>
  </si>
  <si>
    <t>Die Cut Part 3M 401+ 1" x 2" with tab</t>
  </si>
  <si>
    <t>2950-519</t>
  </si>
  <si>
    <t>Die Cut Part - 3M 401+ - 1" x 2" with tab</t>
  </si>
  <si>
    <t>Number Across Run/Finish –  2/2
Where Finished –  On Press
Length per Roll/Unit – 105'
Core Type –  3" Paper 1/8" Strouse Brown
Core Width – 5.5"
Core Label – Yes
Dividers – 
Bag Size – 
Qty. Per Bag – 
Box Size –  12 x 12 x 10
Qty. Per Box – 10 Rolls
Weight/box – 
Box Per Pallet – 
Pallet Type – </t>
  </si>
  <si>
    <t>Core  –  3" Paper 1/8" Strouse Brown
Width – 5.5"
Number Across Run/FInish –  2/2
Core Label – Yes
±10% –  Yes
Unwind Dir. Run – Parts Out
Unwind Dir. Finish –  Parts Out
Diecut/Continuous/Sheet –  Die Cut
Partial Case –  Yes
Pieces per roll/Unit – 2,000
Length per roll/unit –  105'
Finish – On Press
Application – </t>
  </si>
  <si>
    <t>51072 Cost of Goods Sold</t>
  </si>
  <si>
    <t>Butt Cut Part 1/16" white foam 0.375" x 0.375"</t>
  </si>
  <si>
    <t>1531-LYY0001</t>
  </si>
  <si>
    <t>Butt Cut Part - 1/16" white foam - 0.375" x 0.375"</t>
  </si>
  <si>
    <t>Number Across Run/Finish –  15/1
Where Finished –  On Press
Length per Roll/Unit – 94'
Core Type –  3" Plastic 0.10" HDPE
Core Width – 0.375"
Core Label – No
Dividers – Paper 12.5" x "3 Cir
Bag Size – 
Qty. Per Bag – 25 Roll
Box Size –  
Qty. Per Box – 75 M
Weight/box – 
Box Per Pallet – 
Pallet Type – </t>
  </si>
  <si>
    <t xml:space="preserve">C of C with Material Lot #, DOM, and Shelf Life must accompany shipment.
Also, include a Material Cert for the foam.
  1.  Each Roll = 3,000 '
  2.  Single Bag per stack of 25 Rolls with dividers between each roll (bottom and top of stack)
  3. Card board on top with corner slice.
  4.  Fill corners with one pillow each stacked as needed.
</t>
  </si>
  <si>
    <t>Core  –  3" Plastic 0.10" HDPE
Width – 0.375"
Number Across Run/FInish –  15/1
Core Label – No
±10% –  Yes
Unwind Dir. Run – Parts Out
Unwind Dir. Finish –  Parts Out
Diecut/Continuous/Sheet –  Die Cut
Partial Case –  Yes
Pieces per roll/Unit – 3,000
Length per roll/unit –  94'
Finish – On Press
Application – </t>
  </si>
  <si>
    <t>51073 Cost of Goods Sold</t>
  </si>
  <si>
    <t xml:space="preserve">Die Cut Part VVM14 - Trial </t>
  </si>
  <si>
    <t>VVM14</t>
  </si>
  <si>
    <t>Die Cut Part - VVM14 - Trial</t>
  </si>
  <si>
    <t>Number Across Run/Finish –  6/1
Where Finished –  On Press
Length per Roll/Unit – 50'
Core Type –  3" Paper 1/8" Strouse Brown
Core Width – 10 mm
Core Label – Yes
Dividers – 
Bag Size – 
Qty. Per Bag – 1 Rolls
Box Size –  10 x 10 x 10
Qty. Per Box – 2 Rolls
Weight/box – 
Box Per Pallet – 
Pallet Type – </t>
  </si>
  <si>
    <t xml:space="preserve"> Finished rolls to freezer as soon as possible off press.
One label on core; one on end of roll; on on aluminum bag, and one in box 
1 AL bag for each profile (meaning AB/CD); 2 AL bags per cooler
Package in Foil bags</t>
  </si>
  <si>
    <t>51074 Cost of Goods Sold</t>
  </si>
  <si>
    <t>Slit Tape CSM FKM-04/9719 1" x 20'</t>
  </si>
  <si>
    <t>21731-1-HB</t>
  </si>
  <si>
    <t>Slit Tape - CSM FKM-04/9719 - 1" x 20'</t>
  </si>
  <si>
    <t>Number Across Run/Finish –  9/1
Where Finished –  On Press
Length per Roll/Unit – 20'
Core Type –  3" Paper 1/8" Strouse Brown
Core Width – 1.00"
Core Label – Yes
Dividers – Paper
Bag Size – 
Qty. Per Bag – 9 Rolls
Box Size –  12 x 4 x 4
Qty. Per Box – 36 Rolls
Weight/box – 
Box Per Pallet – 
Pallet Type – </t>
  </si>
  <si>
    <t>Core  –  3" Paper 1/8" Strouse Brown
Width – 1.00"
Number Across Run/FInish –  9/1
Core Label – Yes
±10% –  Yes
Unwind Dir. Run – Adh. In
Unwind Dir. Finish –  Adh. In
Diecut/Continuous/Sheet –  Continuous
Partial Case –  Yes
Pieces per roll/Unit – 1 Roll
Length per roll/unit –  20'
Finish – On Press
Application – </t>
  </si>
  <si>
    <t>51075 Cost of Goods Sold</t>
  </si>
  <si>
    <t>Sheeted Part 3M 5906 0.223" x 0.787"</t>
  </si>
  <si>
    <t>GSKT013</t>
  </si>
  <si>
    <t>Sheeted Part - 3M 5906 - 0.223" x 0.787"</t>
  </si>
  <si>
    <t>Number Across Run/Finish –  6/1
Where Finished –  On Press
Length per Roll/Unit – 5'
Core Type –  N/A
Core Width – N/A
Core Label – No
Dividers – 
Bag Size – 
Qty. Per Bag – 110 Each
Box Size –  12 x 4 x 4
Qty. Per Box – 110 Each
Weight/box – 
Box Per Pallet – 
Pallet Type – </t>
  </si>
  <si>
    <t>Core  –  N/A
Width – N/A
Number Across Run/FInish –  6/1
Core Label – No
±10% –  Yes
Unwind Dir. Run – N/A
Unwind Dir. Finish –  N/A
Diecut/Continuous/Sheet –  Sheet
Partial Case –  Yes
Pieces per roll/Unit – 1,000
Length per roll/unit –  5'
Finish – On Press
Application – </t>
  </si>
  <si>
    <t>51076 Cost of Goods Sold</t>
  </si>
  <si>
    <t>Sheeted Part 3M 5906 0.38" x 1.161"</t>
  </si>
  <si>
    <t>GSKT014</t>
  </si>
  <si>
    <t>Sheeted Part - 3M 5906 - 0.38" x 1.161"</t>
  </si>
  <si>
    <t>Number Across Run/Finish –  5/1
Where Finished –  On Press
Length per Roll/Unit – 9'
Core Type –  N/A
Core Width – N/A
Core Label – No
Dividers – 
Bag Size – 
Qty. Per Bag – 110 Each
Box Size –  12 x 12 x 4
Qty. Per Box – 110 Each
Weight/box – 
Box Per Pallet – 
Pallet Type – </t>
  </si>
  <si>
    <t>Core  –  N/A
Width – N/A
Number Across Run/FInish –  5/1
Core Label – No
±10% –  Yes
Unwind Dir. Run – N/A
Unwind Dir. Finish –  N/A
Diecut/Continuous/Sheet –  Sheet
Partial Case –  Yes
Pieces per roll/Unit – 1,000
Length per roll/unit –  9'
Finish – On Press
Application – </t>
  </si>
  <si>
    <t>51077 Cost of Goods Sold</t>
  </si>
  <si>
    <t>Sheeted Part 3M 5906 0.998" x 2.379"</t>
  </si>
  <si>
    <t>GSKT012</t>
  </si>
  <si>
    <t>Sheeted Part - 3M 5906 - 0.998" x 2.379"</t>
  </si>
  <si>
    <t>Number Across Run/Finish –  5/1
Where Finished –  On Press
Length per Roll/Unit – 42'
Core Type –  N/A
Core Width – N/A
Core Label – No
Dividers – 
Bag Size – 
Qty. Per Bag – 110 Each
Box Size –  12 x 12 x 4
Qty. Per Box – 110 Each
Weight/box – 
Box Per Pallet – 
Pallet Type – </t>
  </si>
  <si>
    <t>Core  –  N/A
Width – N/A
Number Across Run/FInish –  5/1
Core Label – No
±10% –  Yes
Unwind Dir. Run – N/A
Unwind Dir. Finish –  N/A
Diecut/Continuous/Sheet –  Sheet
Partial Case –  Yes
Pieces per roll/Unit – 1,000
Length per roll/unit –  42'
Finish – On Press
Application – </t>
  </si>
  <si>
    <t>51078 Cost of Goods Sold</t>
  </si>
  <si>
    <t>Sheeted Part 3M 5906 0.757" x 2.142"</t>
  </si>
  <si>
    <t>GSKT011</t>
  </si>
  <si>
    <t>Sheeted Part - 3M 5906 - 0.757" x 2.142"</t>
  </si>
  <si>
    <t>Number Across Run/Finish –  7/1
Where Finished –  On Press
Length per Roll/Unit – 28'
Core Type –  N/A
Core Width – N/A
Core Label – No
Dividers – 
Bag Size – 
Qty. Per Bag – 110 Each
Box Size –  13 x 13 x 13
Qty. Per Box – 110 Each
Weight/box – 
Box Per Pallet – 
Pallet Type – </t>
  </si>
  <si>
    <t>Core  –  N/A
Width – N/A
Number Across Run/FInish –  7/1
Core Label – No
±10% –  Yes
Unwind Dir. Run – N/A
Unwind Dir. Finish –  N/A
Diecut/Continuous/Sheet –  Sheet
Partial Case –  Yes
Pieces per roll/Unit – 1,000
Length per roll/unit –  28'
Finish – On Press
Application – </t>
  </si>
  <si>
    <t>51079 Cost of Goods Sold</t>
  </si>
  <si>
    <t>Die Cut Part 3M 4712 171.59mm x 56.36mm</t>
  </si>
  <si>
    <t xml:space="preserve"> Sets</t>
  </si>
  <si>
    <t>Die Cut Part - 3M 4712 - 171.59mm x 56.36mm</t>
  </si>
  <si>
    <t>Number Across Run/Finish –  1/1
Where Finished –  On Press
Length per Roll/Unit – 292'
Core Type –  3" Paper 1/8" Strouse Brown
Core Width – 6.25"
Core Label – Yes
Dividers – 
Bag Size – 
Qty. Per Bag – 2 Rolls
Box Size –  Best Fit Per Qty
Qty. Per Box – 8 Rolls
Weight/box – 
Box Per Pallet – 
Pallet Type – </t>
  </si>
  <si>
    <t>Part is sold in SETS.  1,000 sets equals 1,000 of each side.  The number across references SETS across</t>
  </si>
  <si>
    <t>Core  –  3" Paper 1/8" Strouse Brown
Width – 6.25"
Number Across Run/FInish –  1/1
Core Label – Yes
±10% –  Yes
Unwind Dir. Run – See Drawing
Unwind Dir. Finish –  See Drawing
Diecut/Continuous/Sheet –  Die Cut
Partial Case –  Yes
Pieces per roll/Unit – 500
Length per roll/unit –  292'
Finish – On Press
Application – </t>
  </si>
  <si>
    <t>51080 Cost of Goods Sold</t>
  </si>
  <si>
    <t>Slit Tape CSM - 8926-02 Vari x 40m</t>
  </si>
  <si>
    <t>9238</t>
  </si>
  <si>
    <t>Slit Tape - CSM - 8926-02 - Vari x 40m</t>
  </si>
  <si>
    <t>Number Across Run/Finish –  /1
Where Finished –  On Press
Length per Roll/Unit – 40 m
Core Type –  As Recd.
Core Width – N/A
Core Label – No
Dividers – Paper
Bag Size – 
Qty. Per Bag – 10 Rolls
Box Size –  11 x 11 x 8
Qty. Per Box – 
Weight/box – 
Box Per Pallet – 
Pallet Type – </t>
  </si>
  <si>
    <t>Package as best fit per quantity and size ordered</t>
  </si>
  <si>
    <t>Core  –  As Recd.
Width – N/A
Number Across Run/FInish –  /1
Core Label – No
±10% –  Yes
Unwind Dir. Run – N/A
Unwind Dir. Finish –  N/A
Diecut/Continuous/Sheet –  Continuous
Partial Case –  Yes
Pieces per roll/Unit – 1 Roll
Length per roll/unit –  40 m
Finish – On Press
Application – </t>
  </si>
  <si>
    <t>51081 Cost of Goods Sold</t>
  </si>
  <si>
    <t>Fabricated Part CSM CHEMOURS TEFLON PFA 200LP 2Mil., perfed at 12.5" 6" x 500'</t>
  </si>
  <si>
    <t>MM206015043</t>
  </si>
  <si>
    <t>Fabricated Part - CSM CHEMOURS TEFLON  PFA 200LP 2Mil., perfed at 12.5" - 6" x 500'</t>
  </si>
  <si>
    <t>Number Across Run/Finish –  1/1
Where Finished –  On Press
Length per Roll/Unit – 500'
Core Type –  3" Plastic
Core Width – 6.0"
Core Label – Special - 9239 Core Big
Dividers – 
Bag Size – 
Qty. Per Bag – 1 Roll
Box Size –  12 1/2 x 8 1/2 x 12 5/8
Qty. Per Box – 3 Rolls
Weight/box – 
Box Per Pallet – 
Pallet Type – </t>
  </si>
  <si>
    <t>If shipping 50M Ft or over put on TWO PALLETS MINIMUM
Ship in sturdy carton to prevent damage.   C of C required
Each Roll to be individually labeled inside the core with:
Item # MM206015043     PO #: to be provided       See Core Label format "9239 core big"
Actual footage for roll.  Prod. Desc.: 2 mil PFA.  Label each roll with Atlantic PO# as "lot" number,may be separate label.  Each Roll to be individually bagged, open end of each bag to be pushed down into the core and a 7-3/4" x 3" end cap placed in both ends. Each bagged roll to then be placed in a bubble bag.  PLACE a CORE LABEL on the OUTSIDE of each bag.  MARK Packing Slip with PO# and correct total footage shipped</t>
  </si>
  <si>
    <t>Core  –  3" Plastic
Width – 6.0"
Number Across Run/FInish –  1/1
Core Label – Special - 9239 Core Big
±10% –  ask
Unwind Dir. Run – N/A
Unwind Dir. Finish –  N/A
Diecut/Continuous/Sheet –  Continuous
Partial Case –  Ask
Pieces per roll/Unit – 1 Roll
Length per roll/unit –  500'
Finish – On Press
Application – </t>
  </si>
  <si>
    <t>51082 Cost of Goods Sold</t>
  </si>
  <si>
    <t>Slit Tape Novacel 9275 3" x 660' x 12" Perf</t>
  </si>
  <si>
    <t>1013647017</t>
  </si>
  <si>
    <t>Slit Tape - Novacel 9275 - 3" x 660' x 12" Perf</t>
  </si>
  <si>
    <t>Number Across Run/Finish –  1/1
Where Finished –  On Press
Length per Roll/Unit – 660'
Core Type –  3" Paper 1/8" Strouse Brown
Core Width – 3.00"
Core Label – Yes
Dividers – Paper 7 x 3
Bag Size – 
Qty. Per Bag – 4 Rolls
Box Size –  22 x 16 x 6
Qty. Per Box – 8 Rolls
Weight/box – 
Box Per Pallet – 
Pallet Type – </t>
  </si>
  <si>
    <t>Core  –  3" Paper 1/8" Strouse Brown
Width – 3.00"
Number Across Run/FInish –  1/1
Core Label – Yes
±10% –  No
Unwind Dir. Run – Adh. In
Unwind Dir. Finish –  Adh. In
Diecut/Continuous/Sheet –  Continuous
Partial Case –  Yes
Pieces per roll/Unit – 1 Roll
Length per roll/unit –  660'
Finish – On Press
Application – </t>
  </si>
  <si>
    <t>To obtain length use: 1 Layer of 1772 white foam with 1 layer of pink (red) foam over then Teflon tape covering the pink foam to build body of die up to ideal circumference. MS</t>
  </si>
  <si>
    <t>51083 Cost of Goods Sold</t>
  </si>
  <si>
    <t>Sheeted Part Window Gasket 21.48" x 12.32"</t>
  </si>
  <si>
    <t>327002-001</t>
  </si>
  <si>
    <t>Sheeted Part - Window Gasket - 21.48" x 12.32"</t>
  </si>
  <si>
    <t>Number Across Run/Finish –  1/1
Where Finished –  On Press
Length per Roll/Unit – 10'
Core Type –  N/A
Core Width – N/A
Core Label – Yes - On bag
Dividers – 
Bag Size – 
Qty. Per Bag – 5 Each
Box Size –  12 x 12 x 4
Qty. Per Box – 5 Each
Weight/box – 
Box Per Pallet – 
Pallet Type – </t>
  </si>
  <si>
    <t>Core  –  N/A
Width – N/A
Number Across Run/FInish –  1/1
Core Label – Yes - On bag
±10% –  Yes
Unwind Dir. Run – N/A
Unwind Dir. Finish –  N/A
Diecut/Continuous/Sheet –  Die Cut Sheet
Partial Case –  Yes
Pieces per roll/Unit – 5
Length per roll/unit –  10'
Finish – On Press
Application – </t>
  </si>
  <si>
    <t>51084 Cost of Goods Sold</t>
  </si>
  <si>
    <t>Sheeted Part Neoprene gasket 0.25" x 0.15"</t>
  </si>
  <si>
    <t xml:space="preserve">GSKT010  </t>
  </si>
  <si>
    <t>Sheeted Part - Neoprene gasket - 0.25" x 0.15"</t>
  </si>
  <si>
    <t>Number Across Run/Finish –  3/1
Where Finished –  On Press
Length per Roll/Unit – 2'
Core Type –  N/A
Core Width – N/A
Core Label – No
Dividers – 
Bag Size – 
Qty. Per Bag – 500 Each
Box Size –  12 x 12 x 10
Qty. Per Box – 2,000 Each
Weight/box – 
Box Per Pallet – 
Pallet Type – </t>
  </si>
  <si>
    <t>Core  –  N/A
Width – N/A
Number Across Run/FInish –  3/1
Core Label – No
±10% –  Yes
Unwind Dir. Run – N/A
Unwind Dir. Finish –  N/A
Diecut/Continuous/Sheet –  Sheet
Partial Case –  Yes
Pieces per roll/Unit – 500
Length per roll/unit –  2'
Finish – On Press
Application – </t>
  </si>
  <si>
    <t>51085 Cost of Goods Sold</t>
  </si>
  <si>
    <t>Slit Tape Berry 827 PE film tape 2" x 6Yd</t>
  </si>
  <si>
    <t>107918584001</t>
  </si>
  <si>
    <t>Slit Tape - Berry 827 PE film tape - 2" x 6Yd</t>
  </si>
  <si>
    <t>Number Across Run/Finish –  1/1
Where Finished –  On Press
Length per Roll/Unit – 6 Yd
Core Type –  1" Paper 1/8" White White
Core Width – 48 mm
Core Label – Yes
Dividers – Paper
Bag Size – 
Qty. Per Bag – 
Box Size –  6 x 6 x 6
Qty. Per Box – 180 Rolls
Weight/box – 
Box Per Pallet – 
Pallet Type – </t>
  </si>
  <si>
    <t xml:space="preserve">180 ROLLS PER BOX, 5 LAYERS OF 36 ROLLS WITH TAN COLOR PAPER DIVIDERS IN BETWEEN EACH LAYER.
</t>
  </si>
  <si>
    <t>Core  –  1" Paper 1/8" White White
Width – 48 mm
Number Across Run/FInish –  1/1
Core Label – Yes
±10% –  Yes
Unwind Dir. Run – Adh. In
Unwind Dir. Finish –  Adh. In
Diecut/Continuous/Sheet –  Continuous
Partial Case –  Yes
Pieces per roll/Unit – 1 Roll
Length per roll/unit –  6 Yd
Finish – On Press
Application – </t>
  </si>
  <si>
    <t>51086 Cost of Goods Sold</t>
  </si>
  <si>
    <t>Slit material CS Membrane 4.5" x 260'</t>
  </si>
  <si>
    <t>Vivid GR membrane</t>
  </si>
  <si>
    <t>Slit material - CS Membrane - 4.5" x 260'</t>
  </si>
  <si>
    <t>Number Across Run/Finish –  1/1
Where Finished –  On Press
Length per Roll/Unit – 260'
Core Type –  3" Plastic 0.10" HDPE
Core Width – 4.5"
Core Label – Yes
Dividers – 
Bag Size – 
Qty. Per Bag – 1 Rolls
Box Size –  11 x 11 x 14
Qty. Per Box – 1 Rolls
Weight/box – 
Box Per Pallet – 
Pallet Type – </t>
  </si>
  <si>
    <t>Core  –  3" Plastic 0.10" HDPE
Width – 4.5"
Number Across Run/FInish –  1/1
Core Label – Yes
±10% –  Yes
Unwind Dir. Run – N/A
Unwind Dir. Finish –  N/A
Diecut/Continuous/Sheet –  Continuous
Partial Case –  Yes
Pieces per roll/Unit – 1 Roll
Length per roll/unit –  260'
Finish – On Press
Application – </t>
  </si>
  <si>
    <t>51087 Cost of Goods Sold</t>
  </si>
  <si>
    <t>Printed Tape MED 5707 5" x 1,500'</t>
  </si>
  <si>
    <t>9245</t>
  </si>
  <si>
    <t>Printed Tape - MED 5707 - 5" x 1,500'</t>
  </si>
  <si>
    <t>Number Across Run/Finish –  2/1
Where Finished –  On Press
Length per Roll/Unit – 1,500'
Core Type –  3" Paper 1/8" Strouse Brown
Core Width – 5.00"
Core Label – Yes
Dividers – Paper
Bag Size – 
Qty. Per Bag – 1 Rolls
Box Size –  12 x 12 x 10
Qty. Per Box – 2 Rolls
Weight/box – 
Box Per Pallet – 
Pallet Type – </t>
  </si>
  <si>
    <t>Core  –  3" Paper 1/8" Strouse Brown
Width – 5.00"
Number Across Run/FInish –  2/1
Core Label – Yes
±10% –  No
Unwind Dir. Run – Print In
Unwind Dir. Finish –  Print In
Diecut/Continuous/Sheet –  Continuous
Partial Case –  Yes
Pieces per roll/Unit – 1 Roll
Length per roll/unit –  1,500'
Finish – On Press
Application – </t>
  </si>
  <si>
    <t>Use same printing plate as JT 8381/JT 8667/JT 8777</t>
  </si>
  <si>
    <t>51088 Cost of Goods Sold</t>
  </si>
  <si>
    <t>Sheeted Part ST-2138 3.98" x 2.6"</t>
  </si>
  <si>
    <t>P000109-01</t>
  </si>
  <si>
    <t>Sheeted Part - ST-2138 - 3.98" x 2.6"</t>
  </si>
  <si>
    <t>Number Across Run/Finish –  8/1
Where Finished –  On Press
Length per Roll/Unit – 3'
Core Type –  N/A
Core Width – N/A
Core Label – No
Dividers – 
Bag Size – 
Qty. Per Bag – 100 Each
Box Size –  10 x 10 x 10
Qty. Per Box – 500 Each
Weight/box – 
Box Per Pallet – 
Pallet Type – </t>
  </si>
  <si>
    <t>Core  –  N/A
Width – N/A
Number Across Run/FInish –  8/1
Core Label – No
±10% –  Yes
Unwind Dir. Run – N/A
Unwind Dir. Finish –  N/A
Diecut/Continuous/Sheet –  Sheet
Partial Case –  Yes
Pieces per roll/Unit – 100
Length per roll/unit –  3'
Finish – On Press
Application – </t>
  </si>
  <si>
    <t>51089 Cost of Goods Sold</t>
  </si>
  <si>
    <t>Slit Material CS Membrane 4.5" x 100'</t>
  </si>
  <si>
    <t>9247</t>
  </si>
  <si>
    <t>Slit Material - CS Membrane - 4.5" x 100'</t>
  </si>
  <si>
    <t>Number Across Run/Finish –  2/1
Where Finished –  On Press
Length per Roll/Unit – 100'
Core Type –  3" Plastic 0.10" HDPE
Core Width – 4.5"
Core Label – Yes
Dividers – 
Bag Size – 
Qty. Per Bag – 2 Rolls
Box Size –  10 x 10 x 10
Qty. Per Box – 10 Rolls
Weight/box – 
Box Per Pallet – 
Pallet Type – </t>
  </si>
  <si>
    <t>Core  –  3" Plastic 0.10" HDPE
Width – 4.5"
Number Across Run/FInish –  2/1
Core Label – Yes
±10% –  Yes
Unwind Dir. Run – As Rec'd
Unwind Dir. Finish –  As Rec'd
Diecut/Continuous/Sheet –  Continuous
Partial Case –  Yes
Pieces per roll/Unit – 1 Roll
Length per roll/unit –  100'
Finish – On Press
Application – </t>
  </si>
  <si>
    <t>51090 Cost of Goods Sold</t>
  </si>
  <si>
    <t>Die Cut Part Matte Silver/3M 5908 1.5" x 0.75"</t>
  </si>
  <si>
    <t>9248</t>
  </si>
  <si>
    <t>Die Cut Part - Matte Silver/3M 5908 - 1.5" x 0.75"</t>
  </si>
  <si>
    <t>Number Across Run/Finish –  2/1
Where Finished –  On Press
Length per Roll/Unit – 170'
Core Type –  3" Paper 1/8" Strouse Brown
Core Width – 0.875"
Core Label – Yes
Dividers – 
Bag Size – 
Qty. Per Bag – 11 Rolls
Box Size –  12 x 12 x 10
Qty. Per Box – 14 M
Weight/box – 
Box Per Pallet – 
Pallet Type – </t>
  </si>
  <si>
    <t>Core  –  3" Paper 1/8" Strouse Brown
Width – 0.875"
Number Across Run/FInish –  2/1
Core Label – Yes
±10% –  Yes
Unwind Dir. Run – Parts Out
Unwind Dir. Finish –  Parts Out
Diecut/Continuous/Sheet –  Die Cut
Partial Case –  Yes
Pieces per roll/Unit – 1,250
Length per roll/unit –  170'
Finish – On Press
Application – </t>
  </si>
  <si>
    <t>Minimize missing labels if possible.  If you are having issues with missing labels alert Engineering.</t>
  </si>
  <si>
    <t>51091 Cost of Goods Sold</t>
  </si>
  <si>
    <t>Slit Tape 3M 1280 0.655" x 144Yd</t>
  </si>
  <si>
    <t>9249</t>
  </si>
  <si>
    <t>Slit Tape - 3M 1280 - 0.655" x 144Yd</t>
  </si>
  <si>
    <t>Number Across Run/Finish –  8/1
Where Finished –  On Press
Length per Roll/Unit – 144 Yd
Core Type –  3" Plastic 0.10" HDPE
Core Width – 0.655"
Core Label – Yes
Dividers – Paper
Bag Size – 
Qty. Per Bag – 15 Rolls
Box Size –  12 x 12 x 12
Qty. Per Box – 60 Rolls
Weight/box – 
Box Per Pallet – 
Pallet Type – </t>
  </si>
  <si>
    <t>Core  –  3" Plastic 0.10" HDPE
Width – 0.655"
Number Across Run/FInish –  8/1
Core Label – Yes
±10% –  Yes
Unwind Dir. Run – Adh. In
Unwind Dir. Finish –  Adh. In
Diecut/Continuous/Sheet –  Continuous
Partial Case –  Yes
Pieces per roll/Unit – 1 Roll
Length per roll/unit –  144 Yd
Finish – On Press
Application – </t>
  </si>
  <si>
    <t>51092 Cost of Goods Sold</t>
  </si>
  <si>
    <t>Fabricated Part Wire Shield 27" x 1.8"</t>
  </si>
  <si>
    <t>PE-0375</t>
  </si>
  <si>
    <t>Fabricated Part - Wire Shield - 27" x 1.8"</t>
  </si>
  <si>
    <t>Number Across Run/Finish –  3/1
Where Finished –  On Press
Length per Roll/Unit – 1,125'
Core Type –  3" Paper 1/8" White Brown
Core Width – 1.8"
Core Label – Yes
Dividers – Paper
Bag Size – 
Qty. Per Bag – 6 Rolls
Box Size –  17.56 x 4.3125 x 17.937
Qty. Per Box – 6 Rolls
Weight/box – 
Box Per Pallet – 
Pallet Type – </t>
  </si>
  <si>
    <t>Core  –  3" Paper 1/8" White Brown
Width – 1.8"
Number Across Run/FInish –  3/1
Core Label – Yes
±10% –  Yes
Unwind Dir. Run – Adh. In.
Unwind Dir. Finish –  Adh. In
Diecut/Continuous/Sheet –  Continuous Die Cut
Partial Case –  Yes
Pieces per roll/Unit – 500
Length per roll/unit –  1,125'
Finish – On Press
Application – </t>
  </si>
  <si>
    <t>51093 Cost of Goods Sold</t>
  </si>
  <si>
    <t>Die Cut Part Hose Card, Standard CCT 3.75" x 3.5"</t>
  </si>
  <si>
    <t>78-8083-9947-7;  SAP # 1100015261</t>
  </si>
  <si>
    <t>Die Cut Part - Hose Card, Standard CCT - 3.75" x 3.5"</t>
  </si>
  <si>
    <t>Number Across Run/Finish –  2/1
Where Finished –  Off Press
Length per Roll/Unit – 667'
Core Type –  6" Paper (3/8" wall)
Core Width – N/A
Core Label – No
Dividers – 
Bag Size – 
Qty. Per Bag – 
Box Size –  12 x 12 x 4
Qty. Per Box – 2 M
Weight/box – 
Box Per Pallet – 40 (80 M)
Pallet Type – </t>
  </si>
  <si>
    <t>Fanfold into stacks of 2,000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Please be sure to use the correct label designated for the shipping destination. (Germany uses a separate label from Eden Prairie/Mexico.)
Production Packaging Specs:
- 48" x 40"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</si>
  <si>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wall)
Width – N/A
Number Across Run/FInish –  2/1
Core Label – No
±10% –  Yes
Unwind Dir. Run – N/A
Unwind Dir. Finish –  N/A
Diecut/Continuous/Sheet –  Die Cut
Partial Case –  No
Pieces per roll/Unit – 2,000
Length per roll/unit –  667'
Finish – Off Press
Application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</si>
  <si>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9253</t>
  </si>
  <si>
    <t>51094 Cost of Goods Sold</t>
  </si>
  <si>
    <t>Sheeted Part 3M 300LSE 50mm x 23mm</t>
  </si>
  <si>
    <t>Z000222</t>
  </si>
  <si>
    <t>Sheeted Part - 3M 300LSE - 50mm x 23mm</t>
  </si>
  <si>
    <t>Number Across Run/Finish –  5/1
Where Finished –  On Press
Length per Roll/Unit – 2'
Core Type –  N/A
Core Width – N/A
Core Label – No
Dividers – 
Bag Size – 
Qty. Per Bag – 50 Each
Box Size –  
Qty. Per Box – 50 Each
Weight/box – 
Box Per Pallet – 
Pallet Type – </t>
  </si>
  <si>
    <t>Core  –  N/A
Width – N/A
Number Across Run/FInish –  5/1
Core Label – No
±10% –  Yes
Unwind Dir. Run – N/A
Unwind Dir. Finish –  N/A
Diecut/Continuous/Sheet –  Sheet
Partial Case –  Yes
Pieces per roll/Unit – 50
Length per roll/unit –  2'
Finish – On Press
Application – </t>
  </si>
  <si>
    <t>51095 Cost of Goods Sold</t>
  </si>
  <si>
    <t>Slit Tape Internal Use UPVC 1.5" x 1000Yd</t>
  </si>
  <si>
    <t>9257</t>
  </si>
  <si>
    <t>Slit Tape - Internal Use UPVC - 1.5" x 1000Yd</t>
  </si>
  <si>
    <t>Number Across Run/Finish –  4/1
Where Finished –  On Press
Length per Roll/Unit – 1,000 Yd
Core Type –  3" Paper (1/8" wall)
Core Width – 1.476"
Core Label – No
Dividers – 
Bag Size – 
Qty. Per Bag – 
Box Size –  12 x 12 x 12
Qty. Per Box – 
Weight/box – 
Box Per Pallet – 
Pallet Type – </t>
  </si>
  <si>
    <t>Core  –  3" Paper (1/8" wall)
Width – 1.476"
Number Across Run/FInish –  4/1
Core Label – No
±10% –  Yes
Unwind Dir. Run – Adh. In
Unwind Dir. Finish –  Adh. In
Diecut/Continuous/Sheet –  Continuous
Partial Case –  Yes
Pieces per roll/Unit – 1 Roll
Length per roll/unit –  1,000 Yd
Finish – On Press
Application – </t>
  </si>
  <si>
    <t>51096 Cost of Goods Sold</t>
  </si>
  <si>
    <t>Slit Tape 3M 9793R 27.6mm x 262m</t>
  </si>
  <si>
    <t>9258</t>
  </si>
  <si>
    <t>Slit Tape - 3M 9793R - 27.6mm x 262m</t>
  </si>
  <si>
    <t>Number Across Run/Finish –  4/1
Where Finished –  On Press
Length per Roll/Unit – 860'
Core Type –  3" Plastic 0.10" HDPE
Core Width – 1.08"
Core Label – Yes
Dividers – Paper
Bag Size – 
Qty. Per Bag – 10 Rolls
Box Size –  14 x 14 x 14
Qty. Per Box – 20 Rolls
Weight/box – 
Box Per Pallet – 
Pallet Type – </t>
  </si>
  <si>
    <t>Core  –  3" Plastic 0.10" HDPE
Width – 1.08"
Number Across Run/FInish –  4/1
Core Label – Yes
±10% –  Yes
Unwind Dir. Run – N/A
Unwind Dir. Finish –  N/A
Diecut/Continuous/Sheet –  Continuous
Partial Case –  Yes
Pieces per roll/Unit – 1 Roll
Length per roll/unit –  860'
Finish – On Press
Application – </t>
  </si>
  <si>
    <t>51097 Cost of Goods Sold</t>
  </si>
  <si>
    <t>Die Cut Part 3M 9472 1.5" Dia</t>
  </si>
  <si>
    <t>11468943</t>
  </si>
  <si>
    <t>Die Cut Part - 3M 9472 - 1.5" Dia</t>
  </si>
  <si>
    <t>Number Across Run/Finish –  1/1
Where Finished –  On Press
Length per Roll/Unit – 136'
Core Type –  3" Paper 1/8" Strouse Brown
Core Width – 1.750"
Core Label – Yes
Dividers – 
Bag Size – 
Qty. Per Bag – 8 Rolls
Box Size –  14 x 14 x 10
Qty. Per Box – 72 Rolls
Weight/box – 
Box Per Pallet – 
Pallet Type – </t>
  </si>
  <si>
    <t>Core  –  3" Paper 1/8" Strouse Brown
Width – 1.750"
Number Across Run/FInish –  1/1
Core Label – Yes
±10% –  Yes
Unwind Dir. Run – N/A
Unwind Dir. Finish –  N/A
Diecut/Continuous/Sheet –  Die Cut
Partial Case –  Yes
Pieces per roll/Unit – 1,000
Length per roll/unit –  136'
Finish – On Press
Application – </t>
  </si>
  <si>
    <t>51098 Cost of Goods Sold</t>
  </si>
  <si>
    <t>Sheeted Part Full Coverage 4.25" x 5.25"</t>
  </si>
  <si>
    <t>Full Coverage</t>
  </si>
  <si>
    <t>Sheeted Part - Full Coverage - 4.25" x 5.25"</t>
  </si>
  <si>
    <t>Number Across Run/Finish –  1/1
Where Finished –  On Press
Length per Roll/Unit – 89'
Core Type –  N/A
Core Width – N/A
Core Label – No
Dividers – 
Bag Size – 
Qty. Per Bag – 0.25 M
Box Size –  22 x 16 x 6
Qty. Per Box – 6 M
Weight/box – 
Box Per Pallet – 
Pallet Type – </t>
  </si>
  <si>
    <t>Core  –  N/A
Width – N/A
Number Across Run/FInish –  1/1
Core Label – No
±10% –  Yes
Unwind Dir. Run – N/A
Unwind Dir. Finish –  N/A
Diecut/Continuous/Sheet –  Die Cut Sheet
Partial Case –  Yes
Pieces per roll/Unit – 250
Length per roll/unit –  89'
Finish – On Press
Application – </t>
  </si>
  <si>
    <t>51099 Cost of Goods Sold</t>
  </si>
  <si>
    <t>Sheeted Label Discrepancy marking - White 20" x 13"</t>
  </si>
  <si>
    <t>ETCOR#100865 3M7901BA13X250BX</t>
  </si>
  <si>
    <t>Sheeted Label - Discrepancy marking - White - 20" x 13"</t>
  </si>
  <si>
    <t>Number Across Run/Finish –  1/1
Where Finished –  On Press
Length per Roll/Unit – 417'
Core Type –  N/A
Core Width – N/A
Core Label – No
Dividers – 
Bag Size – 
Qty. Per Bag – 0.25 M
Box Size –  6 x 6 x 6
Qty. Per Box – 1 Bags
Weight/box – 
Box Per Pallet – 
Pallet Type – </t>
  </si>
  <si>
    <t>ACFBK42-01 STD LED High Adhesion Process Black
Same black plate for JT 7211, 9031, 9032, and 9033 - Flat Drawer #5</t>
  </si>
  <si>
    <t>51100 Cost of Goods Sold</t>
  </si>
  <si>
    <t>Sheeted Part 3M 9795R 3.07" x 4.527"</t>
  </si>
  <si>
    <t>9262</t>
  </si>
  <si>
    <t>Sheeted Part - 3M 9795R - 3.07" x 4.527"</t>
  </si>
  <si>
    <t>Number Across Run/Finish –  1/1
Where Finished –  On Press
Length per Roll/Unit – 20'
Core Type –  N/A
Core Width – N/A
Core Label – No
Dividers – 
Bag Size – 
Qty. Per Bag – 50 Each
Box Size –  10 x 10 x 10
Qty. Per Box – 50 Each
Weight/box – 
Box Per Pallet – 
Pallet Type – </t>
  </si>
  <si>
    <t>51101 Cost of Goods Sold</t>
  </si>
  <si>
    <t>Slit Rolls CSM/A802 PSA 0.5" x 500'</t>
  </si>
  <si>
    <t>9263</t>
  </si>
  <si>
    <t>Slit Rolls - CSM/A802 PSA - 0.5" x 500'</t>
  </si>
  <si>
    <t>Number Across Run/Finish –  40/1
Where Finished –  On Press
Length per Roll/Unit – 500'
Core Type –  3" Paper 1/8" White Brown
Core Width – 0.5"
Core Label – No
Dividers – Paper
Bag Size – 
Qty. Per Bag – 20 Rolls
Box Size –  18 x 18 x 18
Qty. Per Box – 20 Rolls
Weight/box – 
Box Per Pallet – 
Pallet Type – </t>
  </si>
  <si>
    <t>Core  –  3" Paper 1/8" White Brown
Width – 0.5"
Number Across Run/FInish –  40/1
Core Label – No
±10% –  Yes
Unwind Dir. Run – Adh. In
Unwind Dir. Finish –  Adh. In
Diecut/Continuous/Sheet –  Continuous
Partial Case –  Yes
Pieces per roll/Unit – 1 Roll
Length per roll/unit –  500'
Finish – On Press
Application – </t>
  </si>
  <si>
    <t>51102 Cost of Goods Sold</t>
  </si>
  <si>
    <t>Slit material CSM - Vivid GR 4.5" x 100'</t>
  </si>
  <si>
    <t>9264</t>
  </si>
  <si>
    <t>Slit material - CSM - Vivid GR - 4.5" x 100'</t>
  </si>
  <si>
    <t>Number Across Run/Finish –  2/1
Where Finished –  On Press
Length per Roll/Unit – 100'
Core Type –  3" Plastic 0.10" HDPE
Core Width – 4.5"
Core Label – Yes
Dividers – none
Bag Size – 
Qty. Per Bag – 2 
Box Size –  10 x 10 x 10 3/8
Qty. Per Box – 2 
Weight/box – 
Box Per Pallet – 
Pallet Type – </t>
  </si>
  <si>
    <t>Total number of finished rolls should be 18.
14 finished rolls at 100ft, 2 finished rolls at 90ft, and 2 finished rolls at 70ft. Wrap finished roll in plastic, splice tape in closed. Place core protectors on each side of core. Wrap material in bubble wrap.</t>
  </si>
  <si>
    <t>Core  –  3" Plastic 0.10" HDPE
Width – 4.5"
Number Across Run/FInish –  2/1
Core Label – Yes
±10% –  Yes
Unwind Dir. Run – Shiny In
Unwind Dir. Finish –  Shiny In
Diecut/Continuous/Sheet –  Continuous
Partial Case –  Yes
Pieces per roll/Unit – 1 Roll
Length per roll/unit –  100'
Finish – On Press
Application – </t>
  </si>
  <si>
    <t>51103 Cost of Goods Sold</t>
  </si>
  <si>
    <t>Slit Tape 3M 1194 5mm x 55m</t>
  </si>
  <si>
    <t>9265</t>
  </si>
  <si>
    <t>Slit Tape - 3M 1194 - 5mm x 55m</t>
  </si>
  <si>
    <t>Number Across Run/Finish –  115/1
Where Finished –  On Press
Length per Roll/Unit – 55 m
Core Type –  3" Plastic
Core Width – 5 mm
Core Label – No
Dividers – Paper
Bag Size – 
Qty. Per Bag – 50 Rolls
Box Size –  22 x 22 x 22 275lb
Qty. Per Box – 200 Rolls
Weight/box – 
Box Per Pallet – 
Pallet Type – </t>
  </si>
  <si>
    <t>Core  –  3" Plastic
Width – 5 mm
Number Across Run/FInish –  115/1
Core Label – No
±10% –  Yes
Unwind Dir. Run – N/A
Unwind Dir. Finish –  N/A
Diecut/Continuous/Sheet –  Continuous
Partial Case –  Yes
Pieces per roll/Unit – 1 Roll
Length per roll/unit –  55 m
Finish – On Press
Application – </t>
  </si>
  <si>
    <t>51104 Cost of Goods Sold</t>
  </si>
  <si>
    <t>78-8083-9946-9 Rev A</t>
  </si>
  <si>
    <t>Number Across Run/Finish –  2/1
Where Finished –  On Press
Length per Roll/Unit – 860'
Core Type –  6" Paper 3/8" Brown Brown
Core Width – 3.75"
Core Label – Yes
Dividers – 19 x 19
Bag Size – 
Qty. Per Bag – 1 Rolls
Box Size –  16 x 16 x 16
Qty. Per Box – 13 M
Weight/box – 
Box Per Pallet – 4 (50 M )
Pallet Type – </t>
  </si>
  <si>
    <t>Remove hose cards with splices in the card stock.  No more than 2 missing hose cards in a row.
Use 2" tape for splices, splice between parts, use a butt splice with no overlap, and assure that the splice tape covers the entire width of the web.
5 rolls per box.  Stack boxes 2 high x 2 across on pallet (package rolls in boxes while they are on the pallet).
NOTE: Do not put partial cases in finished goods. Operators/ finishers should try to run full cases, extra parts would be considered waste.  
Include stock W/O #'s on Strouse C of C.</t>
  </si>
  <si>
    <t>51105 Cost of Goods Sold</t>
  </si>
  <si>
    <t>Slit Tape 3M 2090 16" x 60Yd</t>
  </si>
  <si>
    <t>9267</t>
  </si>
  <si>
    <t>Slit Tape - 3M 2090 - 16" x 60Yd</t>
  </si>
  <si>
    <t>Number Across Run/Finish –  3/1
Where Finished –  On Press
Length per Roll/Unit – 60 Yd
Core Type –  As Recd.
Core Width – 16"
Core Label – Yes
Dividers – 
Bag Size – 
Qty. Per Bag – 1 Rolls
Box Size –  6 x 6 x 6
Qty. Per Box – 4 Rolls
Weight/box – 
Box Per Pallet – 
Pallet Type – </t>
  </si>
  <si>
    <t>Core  –  As Recd.
Width – 16"
Number Across Run/FInish –  3/1
Core Label – Yes
±10% –  Yes
Unwind Dir. Run – N/A
Unwind Dir. Finish –  N/A
Diecut/Continuous/Sheet –  Continuous
Partial Case –  Yes
Pieces per roll/Unit – 1 Roll
Length per roll/unit –  60 Yd
Finish – On Press
Application – </t>
  </si>
  <si>
    <t>51106 Cost of Goods Sold</t>
  </si>
  <si>
    <t>Printed Label Blue label with white text 3" x 5"</t>
  </si>
  <si>
    <t>230L5058</t>
  </si>
  <si>
    <t>Printed Label - Blue label with white text - 3" x 5"</t>
  </si>
  <si>
    <t>Number Across Run/Finish –  1/1
Where Finished –  Web Techniques
Length per Roll/Unit – 260'
Core Type –  3" Paper 1/8" White Brown
Core Width – 5.125"
Core Label – Yes
Dividers – 
Bag Size – 
Qty. Per Bag – 
Box Size –  14 x 14 x 10
Qty. Per Box – 1 Rolls
Weight/box – 
Box Per Pallet – 
Pallet Type – </t>
  </si>
  <si>
    <t>Core  –  3" Paper 1/8" White Brown
Width – 5.125"
Number Across Run/FInish –  1/1
Core Label – Yes
±10% –  Yes
Unwind Dir. Run – 1
Unwind Dir. Finish –  2
Diecut/Continuous/Sheet –  Die Cut
Partial Case –  Yes
Pieces per roll/Unit – 1,000
Length per roll/unit –  260'
Finish – Web Techniques
Application – </t>
  </si>
  <si>
    <t>51107 Cost of Goods Sold</t>
  </si>
  <si>
    <t>Slit Tape "See work order for material" 1" x 36Yd</t>
  </si>
  <si>
    <t>83C68762</t>
  </si>
  <si>
    <t>Slit Tape - "See work order for material" - 1" x 36Yd</t>
  </si>
  <si>
    <t>Number Across Run/Finish –  2/1
Where Finished –  On Press
Length per Roll/Unit – 36 Yd
Core Type –  3" Paper 1/8" White Brown
Core Width – 1.00"
Core Label – Yes
Dividers – Paper
Bag Size – 
Qty. Per Bag – 10 Rolls
Box Size –  6 x 6 x 6
Qty. Per Box – 10 Rolls
Weight/box – 
Box Per Pallet – 
Pallet Type – </t>
  </si>
  <si>
    <t>Core  –  3" Paper 1/8" White Brown
Width – 1.00"
Number Across Run/FInish –  2/1
Core Label – Yes
±10% –  Yes
Unwind Dir. Run – Adh. In
Unwind Dir. Finish –  Adh. In
Diecut/Continuous/Sheet –  Continuous
Partial Case –  Yes
Pieces per roll/Unit – 1 Roll
Length per roll/unit –  36 Yd
Finish – On Press
Application – </t>
  </si>
  <si>
    <t>51108 Cost of Goods Sold</t>
  </si>
  <si>
    <t>Slit Tape 3M 9874 6" x 200Yd</t>
  </si>
  <si>
    <t>9271</t>
  </si>
  <si>
    <t>Slit Tape - 3M 9874 - 6" x 200Yd</t>
  </si>
  <si>
    <t>Number Across Run/Finish –  3/1
Where Finished –  Web Techniques
Length per Roll/Unit – 600'
Core Type –  3" Paper (1/8" wall)
Core Width – 6"
Core Label – Yes
Dividers – 
Bag Size – 
Qty. Per Bag – 1 Rolls
Box Size –  12 1/2 x 8 1/2 x 12 5/8
Qty. Per Box – 1 Rolls
Weight/box – 
Box Per Pallet – 
Pallet Type – </t>
  </si>
  <si>
    <t>Core  –  3" Paper (1/8" wall)
Width – 6"
Number Across Run/FInish –  3/1
Core Label – Yes
±10% –  Yes
Unwind Dir. Run – Adh. In
Unwind Dir. Finish –  Adh. In
Diecut/Continuous/Sheet –  Continuous
Partial Case –  Yes
Pieces per roll/Unit – 1 Roll
Length per roll/unit –  600'
Finish – Web Techniques
Application – </t>
  </si>
  <si>
    <t>51109 Cost of Goods Sold</t>
  </si>
  <si>
    <t>Slit Tape Sekisui 500WC Red 38mm x 50m</t>
  </si>
  <si>
    <t>6189862</t>
  </si>
  <si>
    <t>Slit Tape - Sekisui 500WC Red - 38mm x 50m</t>
  </si>
  <si>
    <t>Number Across Run/Finish –  34/1
Where Finished –  On Press
Length per Roll/Unit – 50 m
Core Type –  As Recd.
Core Width – 38 mm
Core Label – No
Dividers – Paper
Bag Size – 
Qty. Per Bag – 6 Rolls
Box Size –  12 x 12 x 10
Qty. Per Box – 36 Rolls
Weight/box – 
Box Per Pallet – 
Pallet Type – </t>
  </si>
  <si>
    <t>Best fit for 36 rolls per case. Advise on box size chosen</t>
  </si>
  <si>
    <t>Core  –  As Recd.
Width – 38 mm
Number Across Run/FInish –  34/1
Core Label – No
±10% –  Yes
Unwind Dir. Run – N/A
Unwind Dir. Finish –  N/A
Diecut/Continuous/Sheet –  Continuous
Partial Case –  No
Pieces per roll/Unit – 1 Roll
Length per roll/unit –  50 m
Finish – On Press
Application – </t>
  </si>
  <si>
    <t>51110 Cost of Goods Sold</t>
  </si>
  <si>
    <t>Die Cut Part Medium Gel Disc 1.34" Dia</t>
  </si>
  <si>
    <t>1412-LYY0004_Rev 02</t>
  </si>
  <si>
    <t>Die Cut Part - Medium Gel Disc - 1.34" Dia</t>
  </si>
  <si>
    <t>Number Across Run/Finish –  4/1
Where Finished –  Web Techniques
Length per Roll/Unit – 209'
Core Type –  6" plastic, 0.155" PP
Core Width – 2.00"
Core Label – Yes
Dividers – Flanges
Bag Size – 
Qty. Per Bag – 1 Rolls
Box Size –  6 x 6 x 6
Qty. Per Box – 4 Rolls
Weight/box – 
Box Per Pallet – 
Pallet Type – </t>
  </si>
  <si>
    <t>2 foot leader for all rolls. Rolls to be individually sealed in plastic bags to prevent drying &amp; contamination.  Rolls to have flanges in bag
4 heat sealed rolls in a larger bag.</t>
  </si>
  <si>
    <t>Core  –  6" plastic, 0.155" PP
Width – 2.00"
Number Across Run/FInish –  4/1
Core Label – Yes
±10% –  Yes
Unwind Dir. Run – See Drawing
Unwind Dir. Finish –  See Drawing
Diecut/Continuous/Sheet –  Die Cut
Partial Case –  Yes
Pieces per roll/Unit – 1,250
Length per roll/unit –  209'
Finish – Web Techniques
Application – </t>
  </si>
  <si>
    <t>51111 Cost of Goods Sold</t>
  </si>
  <si>
    <t>Sheeted Part Roscolux 94 Green, 4b_button_gel 1.62" x 0.84"</t>
  </si>
  <si>
    <t>4B_BUTTON_GEL_A</t>
  </si>
  <si>
    <t>Sheeted Part - Roscolux 94 Green, 4b_button_gel - 1.62" x 0.84"</t>
  </si>
  <si>
    <t>Number Across Run/Finish –  17/1
Where Finished –  On Press
Length per Roll/Unit – 2'
Core Type –  N/A
Core Width – N/A
Core Label – No
Dividers – 
Bag Size – 
Qty. Per Bag – 125 Each
Box Size –  6 x 6 x 6
Qty. Per Box – 125 Each
Weight/box – 
Box Per Pallet – 
Pallet Type – </t>
  </si>
  <si>
    <t>Core  –  N/A
Width – N/A
Number Across Run/FInish –  17/1
Core Label – No
±10% –  Yes
Unwind Dir. Run – N/A
Unwind Dir. Finish –  N/A
Diecut/Continuous/Sheet –  Sheet
Partial Case –  Yes
Pieces per roll/Unit – 125
Length per roll/unit –  2'
Finish – On Press
Application – </t>
  </si>
  <si>
    <t>51112 Cost of Goods Sold</t>
  </si>
  <si>
    <t>Sheeted Part Roscolux 26 Red 1.43" x 0.59"</t>
  </si>
  <si>
    <t>CPN7567_4B_FILM</t>
  </si>
  <si>
    <t>Sheeted Part - Roscolux 26 Red - 1.43" x 0.59"</t>
  </si>
  <si>
    <t>Number Across Run/Finish –  21/1
Where Finished –  On Press
Length per Roll/Unit – 2'
Core Type –  N/A
Core Width – N/A
Core Label – No
Dividers – 
Bag Size – 
Qty. Per Bag – 125 Each
Box Size –  18 x 18 x 8
Qty. Per Box – 125 Each
Weight/box – 
Box Per Pallet – 
Pallet Type – </t>
  </si>
  <si>
    <t>Core  –  N/A
Width – N/A
Number Across Run/FInish –  21/1
Core Label – No
±10% –  Yes
Unwind Dir. Run – N/A
Unwind Dir. Finish –  N/A
Diecut/Continuous/Sheet –  Sheet
Partial Case –  Yes
Pieces per roll/Unit – 125
Length per roll/unit –  2'
Finish – On Press
Application – </t>
  </si>
  <si>
    <t>51113 Cost of Goods Sold</t>
  </si>
  <si>
    <t>Sheeted Part d/c foam strips 1" x 5.75"</t>
  </si>
  <si>
    <t>520003-58807000G</t>
  </si>
  <si>
    <t>Sheeted Part - d/c foam strips - 1" x 5.75"</t>
  </si>
  <si>
    <t>Number Across Run/Finish –  1/1
Where Finished –  On Press
Length per Roll/Unit – 250'
Core Type –  N/A
Core Width – N/A
Core Label – No
Dividers – 
Bag Size – 
Qty. Per Bag – 3 M
Box Size –  Best Fit Per Qty
Qty. Per Box – 3 M
Weight/box – 
Box Per Pallet – 
Pallet Type – </t>
  </si>
  <si>
    <t>Core  –  N/A
Width – N/A
Number Across Run/FInish –  1/1
Core Label – No
±10% –  Yes
Unwind Dir. Run – N/A
Unwind Dir. Finish –  N/A
Diecut/Continuous/Sheet –  Sheet
Partial Case –  Yes
Pieces per roll/Unit – 3,000
Length per roll/unit –  250'
Finish – On Press
Application – </t>
  </si>
  <si>
    <t>51114 Cost of Goods Sold</t>
  </si>
  <si>
    <t>Sheeted Part EPDM/3M L3+T5 4.5" x 2.95"</t>
  </si>
  <si>
    <t>15107596-1</t>
  </si>
  <si>
    <t>Sheeted Part - EPDM/3M L3+T5 - 4.5" x 2.95"</t>
  </si>
  <si>
    <t>Number Across Run/Finish –  1/1
Where Finished –  On Press
Length per Roll/Unit – 4'
Core Type –  N/A
Core Width – N/A
Core Label – No
Dividers – 
Bag Size – 
Qty. Per Bag – 4 Each
Box Size –  14 1/4 x 8 3/4  x 12 5/8
Qty. Per Box – 
Weight/box – 
Box Per Pallet – 
Pallet Type – </t>
  </si>
  <si>
    <t>Core  –  N/A
Width – N/A
Number Across Run/FInish –  1/1
Core Label – No
±10% –  Yes
Unwind Dir. Run – N/A
Unwind Dir. Finish –  N/A
Diecut/Continuous/Sheet –  Sheet
Partial Case –  Yes
Pieces per roll/Unit – 10
Length per roll/unit –  4'
Finish – On Press
Application – </t>
  </si>
  <si>
    <t>51115 Cost of Goods Sold</t>
  </si>
  <si>
    <t>PC 13952</t>
  </si>
  <si>
    <t>Number Across Run/Finish –  2/1
Where Finished –  Web Techniques
Length per Roll/Unit – 510'
Core Type –  3" Paper 1/8" White Brown
Core Width – 4.125"
Core Label – Yes
Dividers – Corrugated on top and bottom
Bag Size – 
Qty. Per Bag – 2 Rolls
Box Size –  12 x 12 x 12
Qty. Per Box – 6 Rolls
Weight/box – 
Box Per Pallet – 
Pallet Type – </t>
  </si>
  <si>
    <t>- No Factory Splices
- No slitting Dust
- 1/16" liner edge to edge
Wind rolls as loose as possible</t>
  </si>
  <si>
    <t>Core  –  3" Paper 1/8" White Brown
Width – 4.125"
Number Across Run/FInish –  2/1
Core Label – Yes
±10% –  Yes
Unwind Dir. Run – Parts Out
Unwind Dir. Finish –  Parts Out
Diecut/Continuous/Sheet –  Die Cut
Partial Case –  Yes
Pieces per roll/Unit – 1,000
Length per roll/unit –  510'
Finish – Web Techniques
Application – </t>
  </si>
  <si>
    <t>51116 Cost of Goods Sold</t>
  </si>
  <si>
    <t>9279</t>
  </si>
  <si>
    <t>Number Across Run/Finish –  1/1
Where Finished –  On Press
Length per Roll/Unit – 150'
Core Type –  6" Plastic 0.135" ABS
Core Width – 280 mm
Core Label – Yes
Dividers – paper
Bag Size – 
Qty. Per Bag – 1 Rolls
Box Size –  12 x 12 x 12
Qty. Per Box – 1 Rolls
Weight/box – 
Box Per Pallet – 
Pallet Type – </t>
  </si>
  <si>
    <t>Core  –  6" Plastic 0.135" ABS
Width – 280 mm
Number Across Run/FInish –  1/1
Core Label – Yes
±10% –  Yes
Unwind Dir. Run – 9425HT to Core
Unwind Dir. Finish –  9425HT to Core
Diecut/Continuous/Sheet –  Continuous
Partial Case –  Yes
Pieces per roll/Unit – 1 Roll
Length per roll/unit –  150'
Finish – On Press
Application – </t>
  </si>
  <si>
    <t>51117 Cost of Goods Sold</t>
  </si>
  <si>
    <t>Slit Tape 3M RP45 12" x 60'</t>
  </si>
  <si>
    <t>9280</t>
  </si>
  <si>
    <t>Slit Tape - 3M RP45 - 12" x 60'</t>
  </si>
  <si>
    <t>Number Across Run/Finish –  1/1
Where Finished –  Web Techniques
Length per Roll/Unit – 60'
Core Type –  3" Paper 1/8" Strouse Brown
Core Width – 12"
Core Label – Yes
Dividers – 
Bag Size – 
Qty. Per Bag – 1 Rolls
Box Size –  6 x 6 x 6
Qty. Per Box – 1 Rolls
Weight/box – 
Box Per Pallet – 
Pallet Type – </t>
  </si>
  <si>
    <t>Core  –  3" Paper 1/8" Strouse Brown
Width – 12"
Number Across Run/FInish –  1/1
Core Label – Yes
±10% –  Yes
Unwind Dir. Run – Adh. In
Unwind Dir. Finish –  Adh. In
Diecut/Continuous/Sheet –  Continuous
Partial Case –  Yes
Pieces per roll/Unit – 1 Roll
Length per roll/unit –  60'
Finish – Web Techniques
Application – </t>
  </si>
  <si>
    <t>51118 Cost of Goods Sold</t>
  </si>
  <si>
    <t>Die Cut Part Acrylic Adh. Hook 7.357" x 0.727"</t>
  </si>
  <si>
    <t>CS-308491-01</t>
  </si>
  <si>
    <t>Die Cut Part - Acrylic Adh. Hook - 7.357" x 0.727"</t>
  </si>
  <si>
    <t>Number Across Run/Finish –  1/1
Where Finished –  On Press
Length per Roll/Unit – 64'
Core Type –  3" Paper 1/8" White Brown
Core Width – 2"
Core Label – Yes
Dividers – 
Bag Size – 
Qty. Per Bag – 1 Rolls
Box Size –  8 x 8 x 8
Qty. Per Box – 1 Rolls
Weight/box – 
Box Per Pallet – 
Pallet Type – </t>
  </si>
  <si>
    <t>Core  –  3" Paper 1/8" White Brown
Width – 2"
Number Across Run/FInish –  1/1
Core Label – Yes
±10% –  Yes
Unwind Dir. Run – See Drawing
Unwind Dir. Finish –  See Drawing
Diecut/Continuous/Sheet –  Die Cut
Partial Case –  Yes
Pieces per roll/Unit – 100
Length per roll/unit –  64'
Finish – On Press
Application – </t>
  </si>
  <si>
    <t>51119 Cost of Goods Sold</t>
  </si>
  <si>
    <t>Die Cut Part Acrylic Adh. Hook 2.9" x 1.7"</t>
  </si>
  <si>
    <t>CS-308546-01</t>
  </si>
  <si>
    <t>Die Cut Part - Acrylic Adh. Hook - 2.9" x 1.7"</t>
  </si>
  <si>
    <t>Number Across Run/Finish –  1/1
Where Finished –  On Press
Length per Roll/Unit – 55'
Core Type –  3" Paper 1/8" White Brown
Core Width – 2"
Core Label – Yes
Dividers – 
Bag Size – 
Qty. Per Bag – 1 Rolls
Box Size –  10 x 10 x 10
Qty. Per Box – 4 Rolls
Weight/box – 
Box Per Pallet – 
Pallet Type – </t>
  </si>
  <si>
    <t>Core  –  3" Paper 1/8" White Brown
Width – 2"
Number Across Run/FInish –  1/1
Core Label – Yes
±10% –  Yes
Unwind Dir. Run – See Drawing
Unwind Dir. Finish –  See Drawing
Diecut/Continuous/Sheet –  Die Cut
Partial Case –  Yes
Pieces per roll/Unit – 200
Length per roll/unit –  55'
Finish – On Press
Application – </t>
  </si>
  <si>
    <t>51120 Cost of Goods Sold</t>
  </si>
  <si>
    <t>Die Cut Part Acrylic Adh. Hook 3.5" x 1.7"</t>
  </si>
  <si>
    <t>CS-308489-01</t>
  </si>
  <si>
    <t>Die Cut Part - Acrylic Adh. Hook - 3.5" x 1.7"</t>
  </si>
  <si>
    <t>Number Across Run/Finish –  1/1
Where Finished –  On Press
Length per Roll/Unit – 94'
Core Type –  3" Paper 1/8" White Brown
Core Width – 2"
Core Label – Yes
Dividers – 
Bag Size – 
Qty. Per Bag – 1 Rolls
Box Size –  8 x 8 x 8
Qty. Per Box – 5 Rolls
Weight/box – 
Box Per Pallet – 
Pallet Type – </t>
  </si>
  <si>
    <t>Core  –  3" Paper 1/8" White Brown
Width – 2"
Number Across Run/FInish –  1/1
Core Label – Yes
±10% –  Yes
Unwind Dir. Run – See Drawing
Unwind Dir. Finish –  See Drawing
Diecut/Continuous/Sheet –  Die Cut
Partial Case –  Yes
Pieces per roll/Unit – 300
Length per roll/unit –  94'
Finish – On Press
Application – </t>
  </si>
  <si>
    <t>51121 Cost of Goods Sold</t>
  </si>
  <si>
    <t>Die Cut Part Acrylic Adh. Hook 4.79" x 1.7"</t>
  </si>
  <si>
    <t>CS-308493-01</t>
  </si>
  <si>
    <t>Die Cut Part - Acrylic Adh. Hook - 4.79" x 1.7"</t>
  </si>
  <si>
    <t>Number Across Run/Finish –  1/1
Where Finished –  On Press
Length per Roll/Unit – 42'
Core Type –  3" Paper 1/8" White Brown
Core Width – 2"
Core Label – Yes
Dividers – 
Bag Size – 
Qty. Per Bag – 1 Rolls
Box Size –  12 x 12 x 10
Qty. Per Box – 4 Rolls
Weight/box – 
Box Per Pallet – 
Pallet Type – </t>
  </si>
  <si>
    <t>Core  –  3" Paper 1/8" White Brown
Width – 2"
Number Across Run/FInish –  1/1
Core Label – Yes
±10% –  Yes
Unwind Dir. Run – See Drawing
Unwind Dir. Finish –  See Drawing
Diecut/Continuous/Sheet –  Die Cut
Partial Case –  Yes
Pieces per roll/Unit – 100
Length per roll/unit –  42'
Finish – On Press
Application – </t>
  </si>
  <si>
    <t>51122 Cost of Goods Sold</t>
  </si>
  <si>
    <t>Laminated material CSM/9458 10" x 100'</t>
  </si>
  <si>
    <t>9285</t>
  </si>
  <si>
    <t>Laminated material - CSM/9458 - 10" x 100'</t>
  </si>
  <si>
    <t>Number Across Run/Finish –  1/1
Where Finished –  On Press
Length per Roll/Unit – 100'
Core Type –  3" Paper 1/8" Strouse Brown
Core Width – 10.00"
Core Label – Yes
Dividers – 
Bag Size – 
Qty. Per Bag – 1 Rolls
Box Size –  
Qty. Per Box – 6 Rolls
Weight/box – 
Box Per Pallet – 
Pallet Type – </t>
  </si>
  <si>
    <t>Core  –  3" Paper 1/8" Strouse Brown
Width – 10.00"
Number Across Run/FInish –  1/1
Core Label – Yes
±10% –  Yes
Unwind Dir. Run – Adh. In
Unwind Dir. Finish –  Adh. In
Diecut/Continuous/Sheet –  Continuous
Partial Case –  Yes
Pieces per roll/Unit – 1 Roll
Length per roll/unit –  100'
Finish – On Press
Application – </t>
  </si>
  <si>
    <t>51123 Cost of Goods Sold</t>
  </si>
  <si>
    <t>Lamination 3M CSM Kapton/UCT-10 4" wide</t>
  </si>
  <si>
    <t>KPUCT10-005-006</t>
  </si>
  <si>
    <t>Lamination - 3M CSM Kapton/UCT-10 - 4" wide</t>
  </si>
  <si>
    <t>Number Across Run/Finish –  1/1
Where Finished –  On Press
Length per Roll/Unit – 
Core Type –  3" Plastic 0.10" HDPE
Core Width – 4"
Core Label – 
Dividers – 
Bag Size – 
Qty. Per Bag – 1 Rolls
Box Size –  12 x 12 x 12
Qty. Per Box – 
Weight/box – 
Box Per Pallet – 
Pallet Type – </t>
  </si>
  <si>
    <t>See enclosed instructions for all information.</t>
  </si>
  <si>
    <t>Core  –  3" Plastic 0.10" HDPE
Width – 4"
Number Across Run/FInish –  1/1
Core Label – 
±10% –  Yes
Unwind Dir. Run – Kapton Out
Unwind Dir. Finish –  Kapton Out
Diecut/Continuous/Sheet –  Continuous
Partial Case –  Yes
Pieces per roll/Unit – 1 Roll
Length per roll/unit –  
Finish – On Press
Application – </t>
  </si>
  <si>
    <t>51124 Cost of Goods Sold</t>
  </si>
  <si>
    <t>Laminated material 3M 9458/54# liner 10" x 108'</t>
  </si>
  <si>
    <t>9287</t>
  </si>
  <si>
    <t>Laminated material - 3M 9458/54# liner - 10" x 108'</t>
  </si>
  <si>
    <t>Number Across Run/Finish –  1/1
Where Finished –  On Press
Length per Roll/Unit – 108'
Core Type –  3" Paper 1/8" Strouse Brown
Core Width – 10.5"
Core Label – Yes
Dividers – 
Bag Size – 
Qty. Per Bag – 1 Rolls
Box Size –  10 x 10 x 10
Qty. Per Box – 5 Rolls
Weight/box – 
Box Per Pallet – 
Pallet Type – </t>
  </si>
  <si>
    <t>Core  –  3" Paper 1/8" Strouse Brown
Width – 10.5"
Number Across Run/FInish –  1/1
Core Label – Yes
±10% –  Yes
Unwind Dir. Run – 54# In
Unwind Dir. Finish –  54# In
Diecut/Continuous/Sheet –  Continuous
Partial Case –  Yes
Pieces per roll/Unit – 1 Roll
Length per roll/unit –  108'
Finish – On Press
Application – </t>
  </si>
  <si>
    <t>51125 Cost of Goods Sold</t>
  </si>
  <si>
    <t>Slit Tape UHMW-PE 1.25" x 500'</t>
  </si>
  <si>
    <t>211900-143</t>
  </si>
  <si>
    <t>Slit Tape - UHMW-PE - 1.25" x 500'</t>
  </si>
  <si>
    <t>Number Across Run/Finish –  1/1
Where Finished –  Off Press
Length per Roll/Unit – 500'
Core Type –  As Recd.
Core Width – 1.25"
Core Label – Yes
Dividers – Paper
Bag Size – 
Qty. Per Bag – 7 Rolls
Box Size –  12 x 12 x 10
Qty. Per Box – 7 Rolls
Weight/box – 
Box Per Pallet – 
Pallet Type – </t>
  </si>
  <si>
    <t>Core  –  As Recd.
Width – 1.25"
Number Across Run/FInish –  1/1
Core Label – Yes
±10% –  Yes
Unwind Dir. Run – N/A
Unwind Dir. Finish –  N/A
Diecut/Continuous/Sheet –  Continuous
Partial Case –  Yes
Pieces per roll/Unit – 1 Roll
Length per roll/unit –  500'
Finish – Off Press
Application – </t>
  </si>
  <si>
    <t>51126 Cost of Goods Sold</t>
  </si>
  <si>
    <t>Slit Tape 3M 1280 0.660" x 144Yd</t>
  </si>
  <si>
    <t>9290</t>
  </si>
  <si>
    <t>Slit Tape - 3M 1280 - 0.660" x 144Yd</t>
  </si>
  <si>
    <t>Number Across Run/Finish –  8/1
Where Finished –  On Press
Length per Roll/Unit – 144 Yd
Core Type –  3" Plastic 0.10" HDPE
Core Width – 0.66"
Core Label – Yes
Dividers – Paper
Bag Size – 
Qty. Per Bag – 15 Rolls
Box Size –  17.56 x 4.3125 x 17.937
Qty. Per Box – 60 Rolls
Weight/box – 
Box Per Pallet – 
Pallet Type – </t>
  </si>
  <si>
    <t>Core  –  3" Plastic 0.10" HDPE
Width – 0.66"
Number Across Run/FInish –  8/1
Core Label – Yes
±10% –  Yes
Unwind Dir. Run – Adh. In
Unwind Dir. Finish –  Adh. In
Diecut/Continuous/Sheet –  Continuous
Partial Case –  Yes
Pieces per roll/Unit – 1 Roll
Length per roll/unit –  144 Yd
Finish – On Press
Application – </t>
  </si>
  <si>
    <t>51127 Cost of Goods Sold</t>
  </si>
  <si>
    <t>Die Cut Part Hose Card, Standard/Hose Card 3.75" x 3.5"</t>
  </si>
  <si>
    <t>78-8083-8929-6 Rev C</t>
  </si>
  <si>
    <t>Die Cut Part - Hose Card, Standard/Hose Card - 3.75" x 3.5"</t>
  </si>
  <si>
    <t>Number Across Run/Finish –  2/1
Where Finished –  Off Press
Length per Roll/Unit – 667'
Core Type –  6" Paper (3/8" wall)
Core Width – N/A
Core Label – No
Dividers – 
Bag Size – 
Qty. Per Bag – 
Box Size –  13 x 13 x 13
Qty. Per Box – 1 M
Weight/box – 
Box Per Pallet – 40 (80 M)
Pallet Type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</si>
  <si>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9291</t>
  </si>
  <si>
    <t>51128 Cost of Goods Sold</t>
  </si>
  <si>
    <t>Sheeted Part 3M SJ3551CF Dual Lock, mated 4" x 1"</t>
  </si>
  <si>
    <t>147-0220</t>
  </si>
  <si>
    <t>Sheeted Part - 3M SJ3551CF Dual Lock, mated - 4" x 1"</t>
  </si>
  <si>
    <t>Number Across Run/Finish –  1/1
Where Finished –  On Press
Length per Roll/Unit – 334'
Core Type –  N/A
Core Width – N/A
Core Label – No
Dividers – 
Bag Size – 
Qty. Per Bag – 1 Each
Box Size –  14 x 14 x 14
Qty. Per Box – 1 Each
Weight/box – 
Box Per Pallet – 
Pallet Type – </t>
  </si>
  <si>
    <t>51129 Cost of Goods Sold</t>
  </si>
  <si>
    <t>Slit Tape 3M 4646 1.25" x 5Yd</t>
  </si>
  <si>
    <t>Slit Tape - 3M 4646 - 1.25" x 5Yd</t>
  </si>
  <si>
    <t>Number Across Run/Finish –  1/1
Where Finished –  On Press
Length per Roll/Unit – 5 Yd
Core Type –  3" Paper 1/8" Strouse Brown
Core Width – 1.25"
Core Label – Yes
Dividers – Paper
Bag Size – 
Qty. Per Bag – 8 Rolls
Box Size –  14 x 14 x 10
Qty. Per Box – 72 Rolls
Weight/box – 
Box Per Pallet – 
Pallet Type – </t>
  </si>
  <si>
    <t>NO SPLICES ALLOWED IN FINISHED ROLLS</t>
  </si>
  <si>
    <t>Core  –  3" Paper 1/8" Strouse Brown
Width – 1.25"
Number Across Run/FInish –  1/1
Core Label – Yes
±10% –  No
Unwind Dir. Run – N/A
Unwind Dir. Finish –  N/A
Diecut/Continuous/Sheet –  Continuous
Partial Case –  Yes
Pieces per roll/Unit – 1 Roll
Length per roll/unit –  5 Yd
Finish – On Press
Application – </t>
  </si>
  <si>
    <t>51130 Cost of Goods Sold</t>
  </si>
  <si>
    <t>Slit Tape 3M 4646 2.25" x 5Yd</t>
  </si>
  <si>
    <t>14182-00085</t>
  </si>
  <si>
    <t>Slit Tape - 3M 4646 - 2.25" x 5Yd</t>
  </si>
  <si>
    <t>Number Across Run/Finish –  1/1
Where Finished –  On Press
Length per Roll/Unit – 5 Yd
Core Type –  3" Paper 1/8" Strouse Brown
Core Width – 2.25"
Core Label – Yes
Dividers – Paper
Bag Size – 
Qty. Per Bag – 4 Rolls
Box Size –  8 x 8 x 8
Qty. Per Box – 36 Rolls
Weight/box – 
Box Per Pallet – 
Pallet Type – </t>
  </si>
  <si>
    <t>Core  –  3" Paper 1/8" Strouse Brown
Width – 2.25"
Number Across Run/FInish –  1/1
Core Label – Yes
±10% –  No
Unwind Dir. Run – N/A
Unwind Dir. Finish –  N/A
Diecut/Continuous/Sheet –  Continuous
Partial Case –  Yes
Pieces per roll/Unit – 1 Roll
Length per roll/unit –  5 Yd
Finish – On Press
Application – </t>
  </si>
  <si>
    <t>51131 Cost of Goods Sold</t>
  </si>
  <si>
    <t>Die Cut Part Membrane Sticker - 14um Pore size 1.134" x 1.384"</t>
  </si>
  <si>
    <t>DXN01-017 REV 2</t>
  </si>
  <si>
    <t>Die Cut Part - Membrane Sticker - 14um Pore size - 1.134" x 1.384"</t>
  </si>
  <si>
    <t>Number Across Run/Finish –  1/1
Where Finished –  On Press
Length per Roll/Unit – 313'
Core Type –  6" plastic, 0.155" PP
Core Width – 2"
Core Label – Yes
Dividers – Polyflute
Bag Size – 
Qty. Per Bag – 1 Roll
Box Size –  13 x 13 x 13
Qty. Per Box – 10 M
Weight/box – 
Box Per Pallet – 
Pallet Type – </t>
  </si>
  <si>
    <t>51132 Cost of Goods Sold</t>
  </si>
  <si>
    <t>Sheeted Part Multi 3ML Veterinary Membrane sticker, 14 Micron 1.691" x 1.691"</t>
  </si>
  <si>
    <t>DXN01-044 REV 2</t>
  </si>
  <si>
    <t>Sheeted Part - Multi 3ML Veterinary Membrane sticker, 14 Micron  - 1.691" x 1.691"</t>
  </si>
  <si>
    <t>Number Across Run/Finish –  1/1
Where Finished –  On Press
Length per Roll/Unit – 417'
Core Type –  6" plastic, 0.155" PP
Core Width – 2.5"
Core Label – Yes
Dividers – 
Bag Size – 
Qty. Per Bag – 1 Roll
Box Size –  
Qty. Per Box – 10 M
Weight/box – 
Box Per Pallet – 
Pallet Type – </t>
  </si>
  <si>
    <t>Core  –  6" plastic, 0.155" PP
Width – 2.5"
Number Across Run/FInish –  1/1
Core Label – Yes
±10% –  Yes
Unwind Dir. Run – N/A
Unwind Dir. Finish –  N/A
Diecut/Continuous/Sheet –  Die Cut
Partial Case –  Yes
Pieces per roll/Unit – 2,500
Length per roll/unit –  417'
Finish – On Press
Application – </t>
  </si>
  <si>
    <t>51133 Cost of Goods Sold</t>
  </si>
  <si>
    <t>Rewinding CSM Film 118mm wide</t>
  </si>
  <si>
    <t>9297</t>
  </si>
  <si>
    <t>Rewinding - CSM Film - 118mm wide</t>
  </si>
  <si>
    <t>Number Across Run/Finish –  1/1
Where Finished –  Web Techniques
Length per Roll/Unit – 1,000 m
Core Type –  CSM Special
Core Width – 118 mm
Core Label – No
Dividers – 
Bag Size – 
Qty. Per Bag – 
Box Size –  12 x 12 x 6
Qty. Per Box – 110 Rolls
Weight/box – 
Box Per Pallet – 
Pallet Type – </t>
  </si>
  <si>
    <t>Package like it was received.</t>
  </si>
  <si>
    <t>Core  –  CSM Special
Width – 118 mm
Number Across Run/FInish –  1/1
Core Label – No
±10% –  Yes
Unwind Dir. Run – 2
Unwind Dir. Finish –  2
Diecut/Continuous/Sheet –  Continuous
Partial Case –  Yes
Pieces per roll/Unit – 1 Roll
Length per roll/unit –  1,000 m
Finish – Web Techniques
Application – </t>
  </si>
  <si>
    <t>51134 Cost of Goods Sold</t>
  </si>
  <si>
    <t>Sheeted Part Foil lidding film 0.690" Dia</t>
  </si>
  <si>
    <t>MOL09-007</t>
  </si>
  <si>
    <t>Sheeted Part - Foil lidding film - 0.690" Dia</t>
  </si>
  <si>
    <t>Number Across Run/Finish –  3/1
Where Finished –  On Press
Length per Roll/Unit – 34'
Core Type –  N/A
Core Width – N/A
Core Label – Yes - On bag
Dividers – 
Bag Size – 
Qty. Per Bag – 1000 Each
Box Size –  12 x 12 x 4
Qty. Per Box – 5,000 Each
Weight/box – 
Box Per Pallet – 
Pallet Type – </t>
  </si>
  <si>
    <t>Must wear Nitrile Gloves while handling material and product.
Include a C of C and a Material Cert for the Aluminum Film.  If using CSM and a Material Cert was not provided, just send a C of C.</t>
  </si>
  <si>
    <t>Core  –  N/A
Width – N/A
Number Across Run/FInish –  3/1
Core Label – Yes - On bag
±10% –  Yes
Unwind Dir. Run – N/A
Unwind Dir. Finish –  N/A
Diecut/Continuous/Sheet –  Die Cut Sheet
Partial Case –  Yes
Pieces per roll/Unit – 1,000
Length per roll/unit –  34'
Finish – On Press
Application – </t>
  </si>
  <si>
    <t>Must wear Nitrile Gloves while handling material and product.  If PVC is used to strengthen matrix, it should be over driven.</t>
  </si>
  <si>
    <t>51135 Cost of Goods Sold</t>
  </si>
  <si>
    <t>Die Cut Part 3M 5952 5mm x 32mm</t>
  </si>
  <si>
    <t>9299</t>
  </si>
  <si>
    <t>Die Cut Part - 3M 5952 - 5mm x 32mm</t>
  </si>
  <si>
    <t>Number Across Run/Finish –  1/1
Where Finished –  On Press
Length per Roll/Unit – 79'
Core Type –  3" Paper 1/8" Strouse Brown
Core Width – 2"
Core Label – Yes
Dividers – 
Bag Size – 
Qty. Per Bag – 
Box Size –  10 x 10 x 10
Qty. Per Box – 10 M
Weight/box – 
Box Per Pallet – 
Pallet Type – </t>
  </si>
  <si>
    <t>Core  –  3" Paper 1/8" Strouse Brown
Width – 2"
Number Across Run/FInish –  1/1
Core Label – Yes
±10% –  Yes
Unwind Dir. Run – N/A
Unwind Dir. Finish –  N/A
Diecut/Continuous/Sheet –  Die Cut
Partial Case –  Yes
Pieces per roll/Unit – 2,500
Length per roll/unit –  79'
Finish – On Press
Application – </t>
  </si>
  <si>
    <t>51136 Cost of Goods Sold</t>
  </si>
  <si>
    <t>Die Cut Label Motor cover label, Black 11.625" x 1.5"</t>
  </si>
  <si>
    <t>9300</t>
  </si>
  <si>
    <t>Die Cut Label - Motor cover label, Black - 11.625" x 1.5"</t>
  </si>
  <si>
    <t>Number Across Run/Finish –  2/1
Where Finished –  Web Techniques
Length per Roll/Unit – 500'
Core Type –  3" Paper 1/8" White Brown
Core Width – 1.75"
Core Label – Yes
Dividers – 
Bag Size – 
Qty. Per Bag – 4 Rolls
Box Size –  12 x 12 x 12
Qty. Per Box – 4 Rolls
Weight/box – 
Box Per Pallet – 
Pallet Type – </t>
  </si>
  <si>
    <t>Wind with labels in.
Send C of C with our DOM and 1 year shelf life.</t>
  </si>
  <si>
    <t>Core  –  3" Paper 1/8" White Brown
Width – 1.75"
Number Across Run/FInish –  2/1
Core Label – Yes
±10% –  Yes
Unwind Dir. Run – N/A
Unwind Dir. Finish –  Labels In
Diecut/Continuous/Sheet –  Die Cut
Partial Case –  Yes
Pieces per roll/Unit – 500
Length per roll/unit –  500'
Finish – Web Techniques
Application – </t>
  </si>
  <si>
    <t>51137 Cost of Goods Sold</t>
  </si>
  <si>
    <t>Sheeted Part Adh. ISP 80mm x 105.5mm</t>
  </si>
  <si>
    <t>DC-U0148</t>
  </si>
  <si>
    <t>Sheeted Part - Adh. ISP - 80mm x 105.5mm</t>
  </si>
  <si>
    <t>Number Across Run/Finish –  2/1
Where Finished –  On Press
Length per Roll/Unit – 73'
Core Type –  N/A
Core Width – N/A
Core Label – Yes - On bag
Dividers – 
Bag Size – 
Qty. Per Bag – 500 Each
Box Size –  12 x 12 x 6
Qty. Per Box – 1 M
Weight/box – 
Box Per Pallet – 
Pallet Type – </t>
  </si>
  <si>
    <t>Core  –  N/A
Width – N/A
Number Across Run/FInish –  2/1
Core Label – Yes - On bag
±10% –  Yes
Unwind Dir. Run – N/A
Unwind Dir. Finish –  N/A
Diecut/Continuous/Sheet –  Die Cut Sheet
Partial Case –  Yes
Pieces per roll/Unit – 500
Length per roll/unit –  73'
Finish – On Press
Application – </t>
  </si>
  <si>
    <t>51138 Cost of Goods Sold</t>
  </si>
  <si>
    <t>Sheeted Part Extraction Tube seal 0.64" x 0.438"</t>
  </si>
  <si>
    <t>9302</t>
  </si>
  <si>
    <t>Sheeted Part - Extraction Tube seal - 0.64" x 0.438"</t>
  </si>
  <si>
    <t>Number Across Run/Finish –  7/1
Where Finished –  On Press
Length per Roll/Unit – 18'
Core Type –  N/A
Core Width – N/A
Core Label – No
Dividers – 
Bag Size – 
Qty. Per Bag – 2 M
Box Size –  10 x 10 x 10
Qty. Per Box – 100 M
Weight/box – 
Box Per Pallet – 
Pallet Type – </t>
  </si>
  <si>
    <t>Core  –  N/A
Width – N/A
Number Across Run/FInish –  7/1
Core Label – No
±10% –  Yes
Unwind Dir. Run – N/A
Unwind Dir. Finish –  N/A
Diecut/Continuous/Sheet –  Die Cut Sheet
Partial Case –  Yes
Pieces per roll/Unit – 2,000
Length per roll/unit –  18'
Finish – On Press
Application – </t>
  </si>
  <si>
    <t>Must wear Nitrile Gloves while handling material and product.</t>
  </si>
  <si>
    <t>51139 Cost of Goods Sold</t>
  </si>
  <si>
    <t>Sheeted Part Tesa 75507 9.25" x 1.75"</t>
  </si>
  <si>
    <t>301242-2 Rev 7</t>
  </si>
  <si>
    <t>Sheeted Part - Tesa 75507 - 9.25" x 1.75"</t>
  </si>
  <si>
    <t>Number Across Run/Finish –  3/1
Where Finished –  Off Press
Length per Roll/Unit – 990'
Core Type –  N/A
Core Width – N/A
Core Label – No
Dividers – 
Bag Size – 
Qty. Per Bag – 3.75 M
Box Size –  12 x 12 x 10
Qty. Per Box – 4 M
Weight/box – 
Box Per Pallet – 
Pallet Type – </t>
  </si>
  <si>
    <t>May need to add grip tape to outfeed nip to hold size.
Note: Tesa 75507 is in the Tesa 4965 family of adhesives.</t>
  </si>
  <si>
    <t>51140 Cost of Goods Sold</t>
  </si>
  <si>
    <t>Slit Tape 3M 3903 White 1/2" x 50Yd</t>
  </si>
  <si>
    <t>20052446</t>
  </si>
  <si>
    <t>Slit Tape - 3M 3903 White - 1/2" x 50Yd</t>
  </si>
  <si>
    <t>Number Across Run/Finish –  95/1
Where Finished –  On Press
Length per Roll/Unit – 50 Yd
Core Type –  As Recd.
Core Width – 0.5"
Core Label – No
Dividers – Paper
Bag Size – 
Qty. Per Bag – 20 Rolls
Box Size –  12 x 12 x 10
Qty. Per Box – 80 Rolls
Weight/box – 
Box Per Pallet – 
Pallet Type – </t>
  </si>
  <si>
    <t>Core  –  As Recd.
Width – 0.5"
Number Across Run/FInish –  95/1
Core Label – No
±10% –  Yes
Unwind Dir. Run – N/A
Unwind Dir. Finish –  N/A
Diecut/Continuous/Sheet –  Continuous
Partial Case –  Yes
Pieces per roll/Unit – 1 Roll
Length per roll/unit –  50 Yd
Finish – On Press
Application – </t>
  </si>
  <si>
    <t>51141 Cost of Goods Sold</t>
  </si>
  <si>
    <t>Slit Tape 3M RP16 0.25" x 36Yd</t>
  </si>
  <si>
    <t>9305</t>
  </si>
  <si>
    <t>Slit Tape - 3M RP16 - 0.25" x 36Yd</t>
  </si>
  <si>
    <t>Number Across Run/Finish –  24/1
Where Finished –  On Press
Length per Roll/Unit – 36 Yd
Core Type –  3" Paper 1/8" Strouse Brown
Core Width – 0.25"
Core Label – No
Dividers – Paper
Bag Size – 
Qty. Per Bag – 
Box Size –  
Qty. Per Box – 48 Rolls
Weight/box – 
Box Per Pallet – 
Pallet Type – </t>
  </si>
  <si>
    <t>Core  –  3" Paper 1/8" Strouse Brown
Width – 0.25"
Number Across Run/FInish –  24/1
Core Label – No
±10% –  Yes
Unwind Dir. Run – Adh. In
Unwind Dir. Finish –  Adh. In
Diecut/Continuous/Sheet –  Continuous
Partial Case –  Yes
Pieces per roll/Unit – 1 Roll
Length per roll/unit –  36 Yd
Finish – On Press
Application – </t>
  </si>
  <si>
    <t>51142 Cost of Goods Sold</t>
  </si>
  <si>
    <t>Number Across Run/Finish –  
Where Finished –  
Length per Roll/Unit – 
Core Type –  
Core Width – 
Core Label – 
Dividers – 
Bag Size – 
Qty. Per Bag – 
Box Size –  14 x 14 x 10
Qty. Per Box – 
Weight/box – 
Box Per Pallet – 
Pallet Type – </t>
  </si>
  <si>
    <t>Core  –  
Width – 
Number Across Run/FInish –  
Core Label – 
±10% –  
Unwind Dir. Run – 
Unwind Dir. Finish –  
Diecut/Continuous/Sheet –  
Partial Case –  
Pieces per roll/Unit – 
Length per roll/unit –  
Finish – 
Application – </t>
  </si>
  <si>
    <t>51143 Cost of Goods Sold</t>
  </si>
  <si>
    <t>Die Cut Part Aperture Release Sheet 33mm x 200mm</t>
  </si>
  <si>
    <t>063E14971</t>
  </si>
  <si>
    <t>Die Cut Part - Aperture Release Sheet - 33mm x 200mm</t>
  </si>
  <si>
    <t>Number Across Run/Finish –  1/1
Where Finished –  On Press
Length per Roll/Unit – 188'
Core Type –  3" Plastic 0.10" HDPE
Core Width – 8.25"
Core Label – Yes
Dividers – 
Bag Size – 
Qty. Per Bag – 1 Rolls
Box Size –  14 x 14 x 10
Qty. Per Box – 5 Rolls
Weight/box – 
Box Per Pallet – 
Pallet Type – </t>
  </si>
  <si>
    <t>Core  –  3" Plastic 0.10" HDPE
Width – 8.25"
Number Across Run/FInish –  1/1
Core Label – Yes
±10% –  Yes
Unwind Dir. Run – Parts In
Unwind Dir. Finish –  Parts In
Diecut/Continuous/Sheet –  Die Cut
Partial Case –  Yes
Pieces per roll/Unit – 1,500
Length per roll/unit –  188'
Finish – On Press
Application – </t>
  </si>
  <si>
    <t>51144 Cost of Goods Sold</t>
  </si>
  <si>
    <t>Slit Tape 3M 4229P - CSM 0.25" x 262'</t>
  </si>
  <si>
    <t>9308</t>
  </si>
  <si>
    <t>Slit Tape - 3M 4229P - CSM - 0.25" x 262'</t>
  </si>
  <si>
    <t>Number Across Run/Finish –  17/1
Where Finished –  On Press
Length per Roll/Unit – 262'
Core Type –  3" Plastic 0.10" HDPE
Core Width – 0.25"
Core Label – No
Dividers – Paper
Bag Size – 
Qty. Per Bag – 30 Rolls
Box Size –  12 x 12 x 12
Qty. Per Box – 30 Rolls
Weight/box – 
Box Per Pallet – 
Pallet Type – </t>
  </si>
  <si>
    <t>Core  –  3" Plastic 0.10" HDPE
Width – 0.25"
Number Across Run/FInish –  17/1
Core Label – No
±10% –  Yes
Unwind Dir. Run – Adh. In
Unwind Dir. Finish –  Adh. In
Diecut/Continuous/Sheet –  Continuous
Partial Case –  Yes
Pieces per roll/Unit – 1 Roll
Length per roll/unit –  262'
Finish – On Press
Application – </t>
  </si>
  <si>
    <t>Run ALL customer supplied material.  Yield as many rolls as possible and use set up material to reduce waste.</t>
  </si>
  <si>
    <t>51145 Cost of Goods Sold</t>
  </si>
  <si>
    <t>Slit Tape 3M 2392 2" x 60Yd</t>
  </si>
  <si>
    <t>1011193879</t>
  </si>
  <si>
    <t>Slit Tape - 3M 2392 - 2" x 60Yd</t>
  </si>
  <si>
    <t>Number Across Run/Finish –  30/1
Where Finished –  On Press
Length per Roll/Unit – 60 Yd
Core Type –  3" Paper 0.180" Brown Brown
Core Width – 1.9375"
Core Label – Yes
Dividers – Paper
Bag Size – 
Qty. Per Bag – 6 Rolls
Box Size –  
Qty. Per Box – 24 Rolls
Weight/box – 
Box Per Pallet – 
Pallet Type – </t>
  </si>
  <si>
    <t>Core  –  3" Paper 0.180" Brown Brown
Width – 1.9375"
Number Across Run/FInish –  30/1
Core Label – Yes
±10% –  No
Unwind Dir. Run – Adh. In
Unwind Dir. Finish –  Adh. In
Diecut/Continuous/Sheet –  Continuous
Partial Case –  No
Pieces per roll/Unit – 1 Roll
Length per roll/unit –  60 Yd
Finish – On Press
Application – </t>
  </si>
  <si>
    <t>51146 Cost of Goods Sold</t>
  </si>
  <si>
    <t>Slit Tape 3M 9828 Various x 240Yd</t>
  </si>
  <si>
    <t>Slit Tape - 3M 9828 - Various x 240Yd</t>
  </si>
  <si>
    <t>Number Across Run/Finish –  1/1
Where Finished –  On Press
Length per Roll/Unit – 240 Yd
Core Type –  As Recd.
Core Width – See WO
Core Label – Yes
Dividers – 
Bag Size – 
Qty. Per Bag – 
Box Size –  
Qty. Per Box – 
Weight/box – 
Box Per Pallet – 
Pallet Type – </t>
  </si>
  <si>
    <t>Pack best fit per slit widths</t>
  </si>
  <si>
    <t>Core  –  As Recd.
Width – See WO
Number Across Run/FInish –  1/1
Core Label – Yes
±10% –  Yes
Unwind Dir. Run – N/A
Unwind Dir. Finish –  N/A
Diecut/Continuous/Sheet –  Continuous
Partial Case –  Yes
Pieces per roll/Unit – 1 Roll
Length per roll/unit –  240 Yd
Finish – On Press
Application – </t>
  </si>
  <si>
    <t>See work order for slit widths</t>
  </si>
  <si>
    <t>51147 Cost of Goods Sold</t>
  </si>
  <si>
    <t>Number Across Run/Finish –  
Where Finished –  
Length per Roll/Unit – 
Core Type –  
Core Width – 
Core Label – 
Dividers – 
Bag Size – 
Qty. Per Bag – 
Box Size –  
Qty. Per Box – 
Weight/box – 
Box Per Pallet – 
Pallet Type – </t>
  </si>
  <si>
    <t>51148 Cost of Goods Sold</t>
  </si>
  <si>
    <t>P-212/2.0</t>
  </si>
  <si>
    <t>Number Across Run/Finish –  
Where Finished –  
Length per Roll/Unit – 
Core Type –  
Core Width – 
Core Label – 
Dividers – 
Bag Size – 
Qty. Per Bag – 1 
Box Size –  
Qty. Per Box – 12 
Weight/box – 
Box Per Pallet – 
Pallet Type – </t>
  </si>
  <si>
    <t>Special Non Silicone Dividers to be used on both sides of rolls.  P212HD is a silicone adhesive.  See work order for additional special instructions. Use 4 mil bags and tabletop impulse sealer to heat seal rolls Individually. Check the integrity of the seal.  
Place a core label on the outside of the bag.  No core label on the core.  Core label format 6279 CORE.  NITTO MFG CERT WITH SHELF LIFE (75% OF SHELF LIFE) MUST GO WITH EACH ITEM.   Take lot number from Nitto Cert.  Check the lot # on the core of the material versus the material cert versus the bag(core) and box labels to assure they all agree.  See spec sheet in job jacket for part number - based on width</t>
  </si>
  <si>
    <t>51149 Cost of Goods Sold</t>
  </si>
  <si>
    <t>206015041</t>
  </si>
  <si>
    <t>Number Across Run/Finish –  
Where Finished –  
Length per Roll/Unit – 
Core Type –  
Core Width – 
Core Label – 
Dividers – 
Bag Size – 
Qty. Per Bag – 
Box Size –  12 x 12 x 10
Qty. Per Box – 
Weight/box – 
Box Per Pallet – 
Pallet Type – </t>
  </si>
  <si>
    <t>51150 Cost of Goods Sold</t>
  </si>
  <si>
    <t>Printed Label Grey with black print 2" x 2"</t>
  </si>
  <si>
    <t>9314</t>
  </si>
  <si>
    <t>Printed Label - Grey with black print - 2" x 2"</t>
  </si>
  <si>
    <t>Number Across Run/Finish –  2/1
Where Finished –  Web Techniques
Length per Roll/Unit – 178'
Core Type –  3" Paper 1/8" Strouse Brown
Core Width – 2.25"
Core Label – Yes
Dividers – 
Bag Size – 
Qty. Per Bag – 
Box Size –  16 x 16 x 10-1/4
Qty. Per Box – 10 Rolls
Weight/box – 
Box Per Pallet – 
Pallet Type – </t>
  </si>
  <si>
    <t>Core  –  3" Paper 1/8" Strouse Brown
Width – 2.25"
Number Across Run/FInish –  2/1
Core Label – Yes
±10% –  Yes
Unwind Dir. Run – 1
Unwind Dir. Finish –  2
Diecut/Continuous/Sheet –  Die Cut
Partial Case –  Yes
Pieces per roll/Unit – 1,000
Length per roll/unit –  178'
Finish – Web Techniques
Application – </t>
  </si>
  <si>
    <t>51151 Cost of Goods Sold</t>
  </si>
  <si>
    <t>Die Cut Part Foam gasket - Battery door 3.45" x 4.2"</t>
  </si>
  <si>
    <t>72-48-638</t>
  </si>
  <si>
    <t>Die Cut Part - Foam gasket - Battery door - 3.45" x 4.2"</t>
  </si>
  <si>
    <t>Number Across Run/Finish –  1/1
Where Finished –  On Press
Length per Roll/Unit – 159'
Core Type –  6" Paper 3/8" Brown Brown
Core Width – 5"
Core Label – Yes
Dividers – 
Bag Size – 
Qty. Per Bag – 1 Rolls
Box Size –  20 x 20 x 8
Qty. Per Box – 2 Rolls
Weight/box – 
Box Per Pallet – 
Pallet Type – </t>
  </si>
  <si>
    <t>The parts with seams in the foam must be removed from the finished rolls
Running 525 pieces per roll but calling it 500 to account for splices.</t>
  </si>
  <si>
    <t>Core  –  6" Paper 3/8" Brown Brown
Width – 5"
Number Across Run/FInish –  1/1
Core Label – Yes
±10% –  Yes
Unwind Dir. Run – Parts Out
Unwind Dir. Finish –  Parts Out
Diecut/Continuous/Sheet –  Die Cut
Partial Case –  Yes
Pieces per roll/Unit – 500
Length per roll/unit –  159'
Finish – On Press
Application – </t>
  </si>
  <si>
    <t>51152 Cost of Goods Sold</t>
  </si>
  <si>
    <t>Die Cut Part Foam gasket - Case bottom 6.5" x 7.1"</t>
  </si>
  <si>
    <t>72-48-689</t>
  </si>
  <si>
    <t>Die Cut Part - Foam gasket - Case bottom - 6.5" x 7.1"</t>
  </si>
  <si>
    <t>Number Across Run/Finish –  1/1
Where Finished –  On Press
Length per Roll/Unit – 396'
Core Type –  6" Paper 3/8" Brown Brown
Core Width – 7.5"
Core Label – Yes
Dividers – 
Bag Size – 
Qty. Per Bag – 1 Rolls
Box Size –  22 x 14 x 6
Qty. Per Box – 1 Rolls
Weight/box – 
Box Per Pallet – 
Pallet Type – </t>
  </si>
  <si>
    <t>The parts with seams in the foam must be removed from the finished rolls
Running 525 pieces per roll but calling it 500 to account for splices</t>
  </si>
  <si>
    <t>Core  –  6" Paper 3/8" Brown Brown
Width – 7.5"
Number Across Run/FInish –  1/1
Core Label – Yes
±10% –  Yes
Unwind Dir. Run – Parts Out
Unwind Dir. Finish –  Parts Out
Diecut/Continuous/Sheet –  Die Cut
Partial Case –  Yes
Pieces per roll/Unit – 500
Length per roll/unit –  396'
Finish – On Press
Application – </t>
  </si>
  <si>
    <t xml:space="preserve">Must keep watch on foam tension. Too little tension will cause wrinkles in foam at point of lamination. Too much tension will excessive curl and foam shrinkage off of adhesive. The shrinkage will expose adhesive outside edges of finished part. </t>
  </si>
  <si>
    <t>51153 Cost of Goods Sold</t>
  </si>
  <si>
    <t>Sheeted Part Device Adh. 17" x 10.35"</t>
  </si>
  <si>
    <t>1348-LYY0025 Rev C</t>
  </si>
  <si>
    <t>Sheeted Part - Device Adh. - 17" x 10.35"</t>
  </si>
  <si>
    <t>Number Across Run/Finish –  1/1
Where Finished –  On Press
Length per Roll/Unit – 145'
Core Type –  N/A
Core Width – N/A
Core Label – Yes - On Bag
Dividers – 
Bag Size – 
Qty. Per Bag – 50 Each
Box Size –  22 x 14 x 6
Qty. Per Box – 600 Each
Weight/box – 
Box Per Pallet – 
Pallet Type – </t>
  </si>
  <si>
    <t>Core  –  N/A
Width – N/A
Number Across Run/FInish –  1/1
Core Label – Yes - On Bag
±10% –  Yes
Unwind Dir. Run – N/A
Unwind Dir. Finish –  N/A
Diecut/Continuous/Sheet –  Die Cut Sheet
Partial Case –  Yes
Pieces per roll/Unit – 100
Length per roll/unit –  145'
Finish – On Press
Application – </t>
  </si>
  <si>
    <t>51154 Cost of Goods Sold</t>
  </si>
  <si>
    <t>Sheeted Part Liner Adh. 17.38" x 11.25"</t>
  </si>
  <si>
    <t>1348-LYY0024 Rev. B</t>
  </si>
  <si>
    <t>Sheeted Part - Liner Adh. - 17.38" x 11.25"</t>
  </si>
  <si>
    <t>Number Across Run/Finish –  1/1
Where Finished –  On Press
Length per Roll/Unit – 145'
Core Type –  N/A
Core Width – N/A
Core Label – Yes - On Bag
Dividers – 
Bag Size – 
Qty. Per Bag – 100 Each
Box Size –  22 x 14 x 6
Qty. Per Box – 600 Each
Weight/box – 
Box Per Pallet – 
Pallet Type – </t>
  </si>
  <si>
    <t>51155 Cost of Goods Sold</t>
  </si>
  <si>
    <t>Sheeted Part Circuit Adh. 17" x 10.5"</t>
  </si>
  <si>
    <t>1348-LYY0023 Rev A</t>
  </si>
  <si>
    <t>Sheeted Part - Circuit Adh. - 17" x 10.5"</t>
  </si>
  <si>
    <t>Number Across Run/Finish –  1/1
Where Finished –  On Press
Length per Roll/Unit – 142'
Core Type –  N/A
Core Width – N/A
Core Label – Yes
Dividers – 
Bag Size – 
Qty. Per Bag – 100 Each
Box Size –  
Qty. Per Box – 600 Each
Weight/box – 
Box Per Pallet – 
Pallet Type – </t>
  </si>
  <si>
    <t>Core  –  N/A
Width – N/A
Number Across Run/FInish –  1/1
Core Label – Yes
±10% –  Yes
Unwind Dir. Run – N/A
Unwind Dir. Finish –  N/A
Diecut/Continuous/Sheet –  Die Cut Sheet
Partial Case –  Yes
Pieces per roll/Unit – 100
Length per roll/unit –  142'
Finish – On Press
Application – </t>
  </si>
  <si>
    <t>51156 Cost of Goods Sold</t>
  </si>
  <si>
    <t>Slit Tape A462DC 27" x 36Yd</t>
  </si>
  <si>
    <t>9322</t>
  </si>
  <si>
    <t>Slit Tape - A462DC - 27" x 36Yd</t>
  </si>
  <si>
    <t>Number Across Run/Finish –  1/1
Where Finished –  On Press
Length per Roll/Unit – 36 Yd
Core Type –  As Recd.
Core Width – See WO
Core Label – Yes
Dividers – 
Bag Size – 
Qty. Per Bag – 
Box Size –  16 x 16 x 16
Qty. Per Box – 
Weight/box – 
Box Per Pallet – 
Pallet Type – </t>
  </si>
  <si>
    <t>Core  –  As Recd.
Width – See WO
Number Across Run/FInish –  1/1
Core Label – Yes
±10% –  Yes
Unwind Dir. Run – N/A
Unwind Dir. Finish –  N/A
Diecut/Continuous/Sheet –  Continuous
Partial Case –  Yes
Pieces per roll/Unit – 1 Roll
Length per roll/unit –  36 Yd
Finish – On Press
Application – </t>
  </si>
  <si>
    <t>See work order for slit roll sizes</t>
  </si>
  <si>
    <t>51157 Cost of Goods Sold</t>
  </si>
  <si>
    <t>Slit Tape 3M 4412N 3" x 15'</t>
  </si>
  <si>
    <t>9323</t>
  </si>
  <si>
    <t>Slit Tape - 3M 4412N - 3" x 15'</t>
  </si>
  <si>
    <t>Number Across Run/Finish –  1/1
Where Finished –  Web Techniques
Length per Roll/Unit – 15'
Core Type –  3" Paper 1/8" White Brown
Core Width – 3.00"
Core Label – Yes
Dividers – paper
Bag Size – 
Qty. Per Bag – 5 Rolls
Box Size –  18 x 18 x 18
Qty. Per Box – 25 Rolls
Weight/box – 
Box Per Pallet – 
Pallet Type – </t>
  </si>
  <si>
    <t>Core  –  3" Paper 1/8" White Brown
Width – 3.00"
Number Across Run/FInish –  1/1
Core Label – Yes
±10% –  Yes
Unwind Dir. Run – As Rec'd
Unwind Dir. Finish –  As Rec'd
Diecut/Continuous/Sheet –  Continuous
Partial Case –  Yes
Pieces per roll/Unit – 1 Roll
Length per roll/unit –  15'
Finish – Web Techniques
Application – </t>
  </si>
  <si>
    <t>51158 Cost of Goods Sold</t>
  </si>
  <si>
    <t>Slit Tape 3M Dirt Trap 4" x 300'</t>
  </si>
  <si>
    <t>ST-2175</t>
  </si>
  <si>
    <t>Slit Tape - 3M Dirt Trap - 4" x 300'</t>
  </si>
  <si>
    <t>Number Across Run/Finish –  14/1
Where Finished –  On Press
Length per Roll/Unit – 300'
Core Type –  As Recd.
Core Width – 4"
Core Label – Yes
Dividers – Paper
Bag Size – 
Qty. Per Bag – 4 Rolls
Box Size –  18 x 18 x 18
Qty. Per Box – 16 Rolls
Weight/box – 
Box Per Pallet – 
Pallet Type – </t>
  </si>
  <si>
    <t>Core  –  As Recd.
Width – 4"
Number Across Run/FInish –  14/1
Core Label – Yes
±10% –  Yes
Unwind Dir. Run – N/A
Unwind Dir. Finish –  N/A
Diecut/Continuous/Sheet –  Continuous
Partial Case –  Yes
Pieces per roll/Unit – 1 Roll
Length per roll/unit –  300'
Finish – On Press
Application – </t>
  </si>
  <si>
    <t>51159 Cost of Goods Sold</t>
  </si>
  <si>
    <t>Slit Tape 3M Dirt Trap 18" x 300'</t>
  </si>
  <si>
    <t>ST-2174</t>
  </si>
  <si>
    <t>Slit Tape - 3M Dirt Trap - 18" x 300'</t>
  </si>
  <si>
    <t>Number Across Run/Finish –  3/1
Where Finished –  On Press
Length per Roll/Unit – 300'
Core Type –  As Recd.
Core Width – 18"
Core Label – Yes
Dividers – Paper
Bag Size – 
Qty. Per Bag – 1 Roll
Box Size –  10 x 10 x 10
Qty. Per Box – 3 Rolls
Weight/box – 
Box Per Pallet – 
Pallet Type – </t>
  </si>
  <si>
    <t>Core  –  As Recd.
Width – 18"
Number Across Run/FInish –  3/1
Core Label – Yes
±10% –  Yes
Unwind Dir. Run – N/A
Unwind Dir. Finish –  N/A
Diecut/Continuous/Sheet –  Continuous
Partial Case –  Yes
Pieces per roll/Unit – 1 Roll
Length per roll/unit –  300'
Finish – On Press
Application – </t>
  </si>
  <si>
    <t>51160 Cost of Goods Sold</t>
  </si>
  <si>
    <t>Slit Tape 3M 8412 0.5" x 72Yd</t>
  </si>
  <si>
    <t>SS26230</t>
  </si>
  <si>
    <t>Slit Tape - 3M 8412 - 0.5" x 72Yd</t>
  </si>
  <si>
    <t>Number Across Run/Finish –  92/1
Where Finished –  On Press
Length per Roll/Unit – 72 Yd
Core Type –  As Recd.
Core Width – 0.5"
Core Label – No
Dividers – Paper
Bag Size – 
Qty. Per Bag – 20 Rolls
Box Size –  12 x 12 x 4
Qty. Per Box – 80 Rolls
Weight/box – 
Box Per Pallet – 
Pallet Type – </t>
  </si>
  <si>
    <t>Core  –  As Recd.
Width – 0.5"
Number Across Run/FInish –  92/1
Core Label – No
±10% –  Yes
Unwind Dir. Run – N/A
Unwind Dir. Finish –  N/A
Diecut/Continuous/Sheet –  Continuous
Partial Case –  Yes
Pieces per roll/Unit – 1 Roll
Length per roll/unit –  72 Yd
Finish – On Press
Application – </t>
  </si>
  <si>
    <t>51161 Cost of Goods Sold</t>
  </si>
  <si>
    <t>Sheeted Part mBrace Hydrocolloid pads 2.723" x 2.348"</t>
  </si>
  <si>
    <t>9327</t>
  </si>
  <si>
    <t>Sheeted Part - mBrace Hydrocolloid pads - 2.723" x 2.348"</t>
  </si>
  <si>
    <t>Number Across Run/Finish –  3/1
Where Finished –  On Press
Length per Roll/Unit – 8'
Core Type –  N/A
Core Width – N/A
Core Label – No
Dividers – 
Bag Size – 
Qty. Per Bag – 100 Each
Box Size –  
Qty. Per Box – 400 Each
Weight/box – 
Box Per Pallet – 
Pallet Type – </t>
  </si>
  <si>
    <t>Core  –  N/A
Width – N/A
Number Across Run/FInish –  3/1
Core Label – No
±10% –  Yes
Unwind Dir. Run – N/A
Unwind Dir. Finish –  N/A
Diecut/Continuous/Sheet –  Sheet
Partial Case –  Yes
Pieces per roll/Unit – 100
Length per roll/unit –  8'
Finish – On Press
Application – </t>
  </si>
  <si>
    <t>51162 Cost of Goods Sold</t>
  </si>
  <si>
    <t>Sheeted Part Foam Border, S180 74mm x 184mm</t>
  </si>
  <si>
    <t>CS-309047 Rev 01</t>
  </si>
  <si>
    <t>Sheeted Part - Foam Border, S180 - 74mm x 184mm</t>
  </si>
  <si>
    <t>Number Across Run/Finish –  1/1
Where Finished –  On Press
Length per Roll/Unit – 12'
Core Type –  N/A
Core Width – N/A
Core Label – 
Dividers – 
Bag Size – 
Qty. Per Bag – 50 Each
Box Size –  
Qty. Per Box – 50 Each
Weight/box – 
Box Per Pallet – 
Pallet Type – </t>
  </si>
  <si>
    <t>Core  –  N/A
Width – N/A
Number Across Run/FInish –  1/1
Core Label – 
±10% –  Yes
Unwind Dir. Run – N/A
Unwind Dir. Finish –  N/A
Diecut/Continuous/Sheet –  Sheet
Partial Case –  Yes
Pieces per roll/Unit – 50
Length per roll/unit –  12'
Finish – On Press
Application – </t>
  </si>
  <si>
    <t>51163 Cost of Goods Sold</t>
  </si>
  <si>
    <t>Sheeted Part Foam Border, T260 80.5mm x 202mm</t>
  </si>
  <si>
    <t>CS-309131 Rev 01</t>
  </si>
  <si>
    <t>Set</t>
  </si>
  <si>
    <t>Sheeted Part - Foam Border, T260 - 80.5mm x 202mm</t>
  </si>
  <si>
    <t>Number Across Run/Finish –  2/2
Where Finished –  On Press
Length per Roll/Unit – 22'
Core Type –  N/A
Core Width – N/A
Core Label – 
Dividers – 
Bag Size – 
Qty. Per Bag – 50 Each
Box Size –  10 x 10 x 10
Qty. Per Box – 50 Each
Weight/box – 
Box Per Pallet – 
Pallet Type – </t>
  </si>
  <si>
    <t>Core  –  N/A
Width – N/A
Number Across Run/FInish –  2/2
Core Label – 
±10% –  Yes
Unwind Dir. Run – N/A
Unwind Dir. Finish –  N/A
Diecut/Continuous/Sheet –  Die Cut Sheet
Partial Case –  Yes
Pieces per roll/Unit – 50
Length per roll/unit –  22'
Finish – On Press
Application – </t>
  </si>
  <si>
    <t>51164 Cost of Goods Sold</t>
  </si>
  <si>
    <t>Slit Liner 54# C2S Medium release 0.375" x 250Yd</t>
  </si>
  <si>
    <t>9330</t>
  </si>
  <si>
    <t>Slit Liner - 54# C2S Medium release - 0.375" x 250Yd</t>
  </si>
  <si>
    <t>Number Across Run/Finish –  9/1
Where Finished –  On Press
Length per Roll/Unit – 250 Yd
Core Type –  3" Paper 1/8" White Brown
Core Width – 0.375"
Core Label – No
Dividers – 
Bag Size – 
Qty. Per Bag – 
Box Size –  16 1/2 x 8 1/2 x 13
Qty. Per Box – 25 Rolls
Weight/box – 
Box Per Pallet – 
Pallet Type – </t>
  </si>
  <si>
    <t>Core  –  3" Paper 1/8" White Brown
Width – 0.375"
Number Across Run/FInish –  9/1
Core Label – No
±10% –  Yes
Unwind Dir. Run – As Rec'd
Unwind Dir. Finish –  As Rec'd
Diecut/Continuous/Sheet –  Continuous
Partial Case –  Yes
Pieces per roll/Unit – 1 Roll
Length per roll/unit –  250 Yd
Finish – On Press
Application – </t>
  </si>
  <si>
    <t>51165 Cost of Goods Sold</t>
  </si>
  <si>
    <t>Die Cut Part 6.125" x 4" Printed Cover Label for Advantage Standard, 101-10 Violet 6.125" x 4"</t>
  </si>
  <si>
    <t>9331</t>
  </si>
  <si>
    <t>Die Cut Part - 6.125" x 4" Printed Cover Label for Advantage Standard, 101-10 Violet - 6.125" x 4"</t>
  </si>
  <si>
    <t>Number Across Run/Finish –  2/1
Where Finished –  Web Techniques
Length per Roll/Unit – 521'
Core Type –  3" Paper 1/8" White Brown
Core Width – 4.125"
Core Label – Yes
Dividers – 
Bag Size – 
Qty. Per Bag – 
Box Size –  16 1/2 x 8 1/2 x 13
Qty. Per Box – 6 Rolls
Weight/box – 
Box Per Pallet – 
Pallet Type – </t>
  </si>
  <si>
    <t>Core  –  3" Paper 1/8" White Brown
Width – 4.125"
Number Across Run/FInish –  2/1
Core Label – Yes
±10% –  No
Unwind Dir. Run – 3
Unwind Dir. Finish –  4
Diecut/Continuous/Sheet –  Die Cut
Partial Case –  Yes
Pieces per roll/Unit – 1,000
Length per roll/unit –  521'
Finish – Web Techniques
Application – </t>
  </si>
  <si>
    <t xml:space="preserve">PSVI13-22049 STD 101-10 Violet
JT 9331, 9332, and 9333 all use the same plates
</t>
  </si>
  <si>
    <t>51166 Cost of Goods Sold</t>
  </si>
  <si>
    <t>Die Cut Part 6.125" x 4" Printed Cover Label for Advantage Petite, 2467 Brown 6.125" x 4"</t>
  </si>
  <si>
    <t>9332</t>
  </si>
  <si>
    <t>Die Cut Part - 6.125" x 4" Printed Cover Label for Advantage Petite, 2467 Brown - 6.125" x 4"</t>
  </si>
  <si>
    <t>PSBN13-22053 2467 Brown
JT 9331, 9332, and 9333 all use the same plates</t>
  </si>
  <si>
    <t>51167 Cost of Goods Sold</t>
  </si>
  <si>
    <t>Die Cut Part 6.125" x 4" Printed Cover Label for Advantage Plus, Cool Gray 6 6.125" x 4"</t>
  </si>
  <si>
    <t>9333</t>
  </si>
  <si>
    <t>Die Cut Part - 6.125" x 4" Printed Cover Label for Advantage Plus, Cool Gray 6 - 6.125" x 4"</t>
  </si>
  <si>
    <t>Number Across Run/Finish –  2/1
Where Finished –  Web Techniques
Length per Roll/Unit – 521'
Core Type –  3" Paper 1/8" White Brown
Core Width – 4.125"
Core Label – Yes
Dividers – 
Bag Size – 
Qty. Per Bag – 
Box Size –  14 x 14 x 10
Qty. Per Box – 6 Rolls
Weight/box – 
Box Per Pallet – 
Pallet Type – </t>
  </si>
  <si>
    <t>PSCG13-22048 STD Cool Grey 6.        Use adjusted Ink Marked JJ9333
JT 9331, 9332, and 9333 all use the same plates</t>
  </si>
  <si>
    <t>51168 Cost of Goods Sold</t>
  </si>
  <si>
    <t>Die Cut Part ChemFilm Release 33mm x 200mm</t>
  </si>
  <si>
    <t>103E62101</t>
  </si>
  <si>
    <t>Die Cut Part - ChemFilm Release - 33mm x 200mm</t>
  </si>
  <si>
    <t>Number Across Run/Finish –  1/1
Where Finished –  On Press
Length per Roll/Unit – 188'
Core Type –  3" Plastic 0.10" HDPE
Core Width – 8.25"
Core Label – Yes
Dividers – 
Bag Size – 
Qty. Per Bag – 1 Rolls
Box Size –  12 x 12 x 10
Qty. Per Box – 5 Rolls
Weight/box – 
Box Per Pallet – 
Pallet Type – </t>
  </si>
  <si>
    <t>51169 Cost of Goods Sold</t>
  </si>
  <si>
    <t>Sheeted Part #161 Trim Strips 11.5" x 3.56"</t>
  </si>
  <si>
    <t>161</t>
  </si>
  <si>
    <t>Sheeted Part - #161 Trim Strips - 11.5" x 3.56"</t>
  </si>
  <si>
    <t>Number Across Run/Finish –  1/1
Where Finished –  On Press
Length per Roll/Unit – 384'
Core Type –  N/A
Core Width – N/A
Core Label – No
Dividers – 
Bag Size – 
Qty. Per Bag – 400 Each
Box Size –  12 x 12 x 10
Qty. Per Box – 1,600 Each
Weight/box – 
Box Per Pallet – 
Pallet Type – </t>
  </si>
  <si>
    <t>Core  –  N/A
Width – N/A
Number Across Run/FInish –  1/1
Core Label – No
±10% –  Yes
Unwind Dir. Run – N/A
Unwind Dir. Finish –  N/A
Diecut/Continuous/Sheet –  Die Cut Sheet
Partial Case –  Yes
Pieces per roll/Unit – 400
Length per roll/unit –  384'
Finish – On Press
Application – </t>
  </si>
  <si>
    <t>51170 Cost of Goods Sold</t>
  </si>
  <si>
    <t>Sheeted Part #183 Trim Strips 11.5" x 4.44"</t>
  </si>
  <si>
    <t>183</t>
  </si>
  <si>
    <t>Sheeted Part - #183 Trim Strips - 11.5" x 4.44"</t>
  </si>
  <si>
    <t>Number Across Run/Finish –  1/1
Where Finished –  On Press
Length per Roll/Unit – 384'
Core Type –  N/A
Core Width – N/A
Core Label – No
Dividers – 
Bag Size – 
Qty. Per Bag – 400 Each
Box Size –  9 x 9 x 13
Qty. Per Box – 1,600 Each
Weight/box – 
Box Per Pallet – 
Pallet Type – </t>
  </si>
  <si>
    <t>51171 Cost of Goods Sold</t>
  </si>
  <si>
    <t>Die Cut Part Backing, Adh. Foam, SideLok 1.267" x 0.625"</t>
  </si>
  <si>
    <t>600-0001-00</t>
  </si>
  <si>
    <t>Die Cut Part - Backing, Adh. Foam, SideLok - 1.267" x 0.625"</t>
  </si>
  <si>
    <t>Number Across Run/Finish –  2/1
Where Finished –  On Press
Length per Roll/Unit – 125'
Core Type –  3" Plastic 0.10" HDPE
Core Width – 2.75"
Core Label – Yes
Dividers – 
Bag Size – 
Qty. Per Bag – 10 Rolls
Box Size –  13 x 13 x 10
Qty. Per Box – 10 Rolls
Weight/box – 
Box Per Pallet – 
Pallet Type – </t>
  </si>
  <si>
    <t>Core  –  3" Plastic 0.10" HDPE
Width – 2.75"
Number Across Run/FInish –  2/1
Core Label – Yes
±10% –  Yes
Unwind Dir. Run – Parts Out
Unwind Dir. Finish –  Parts Out
Diecut/Continuous/Sheet –  Die Cut
Partial Case –  Yes
Pieces per roll/Unit – 1,000
Length per roll/unit –  125'
Finish – On Press
Application – </t>
  </si>
  <si>
    <t>51172 Cost of Goods Sold</t>
  </si>
  <si>
    <t>Female Carrier Strip Light Blue Dual Cap - Brick pack 1.11" x 10.75"</t>
  </si>
  <si>
    <t>Female Carrier Strip - Light Blue Dual Cap - Brick pack - 1.11" x 10.75"</t>
  </si>
  <si>
    <t>Number Across Run/Finish –  1/1
Where Finished –  On Press
Length per Roll/Unit – 93'
Core Type –  N/A
Core Width – N/A
Core Label – Yes - On film
Dividers – 
Bag Size – 
Qty. Per Bag – 1000 Each
Box Size –  13 x 9 x 11
Qty. Per Box – 7,000 Each
Weight/box – 
Box Per Pallet – 
Pallet Type – </t>
  </si>
  <si>
    <t>SPECIAL REQUIREMENTS
Place the sealed trays in a large bag (15 x 9 x 24) in the box; close with a twist tie.
Supplier to provide certificate that contains information listed below:
1 Compliance with this specification, including revision level
2 Supplier Identification
3 Product Identification
4 Supplier lot #
5 Purchase Order #
6 Quantity
7 Manufacturing Date
8 Dimensional analysis of hole placement, strip width and thickness.
Prior to making any changes to materials, processes, configuration, manufacturing location or inspection methods the Supplier is required to notify Merit Medical Systems both (1) in writing and (2) by phone.  Written approval from Merit must be received by the Supplier prior to making those changes.
Latex gloves or products containing latex shall not be used in manufacturing this component.
The supplier shall send a packing slip with each shipment with the following information:
1 Merit Medical Purchase Order Number
2 Merit Medical Part Number
3 Supplier Name
4 Supplier Lot numbers
5 A brief part description
6 The Purchased Part Specification (PPS) Revision level that the components are manufactured to.
7 Total number of components shipped
8 Quantity per Supplier lot/batch when more than a supplier lot/batch is shipped.</t>
  </si>
  <si>
    <t>Core  –  N/A
Width – N/A
Number Across Run/FInish –  1/1
Core Label – Yes - On film
±10% –  Yes
Unwind Dir. Run – N/A
Unwind Dir. Finish –  N/A
Diecut/Continuous/Sheet –  Die Cut Sheet
Partial Case –  Yes
Pieces per roll/Unit – 1,000
Length per roll/unit –  93'
Finish – On Press
Application – </t>
  </si>
  <si>
    <t>Only run on Delta 8 due to heat shrink cell.</t>
  </si>
  <si>
    <t>51173 Cost of Goods Sold</t>
  </si>
  <si>
    <t>Male Carrier Strip Dark Blue Dual Cap - Brick pack 1.11" x 7.00"</t>
  </si>
  <si>
    <t>Male Carrier Strip - Dark Blue Dual Cap - Brick pack - 1.11" x 7.00"</t>
  </si>
  <si>
    <t>Number Across Run/Finish –  1/1
Where Finished –  On Press
Length per Roll/Unit – 84'
Core Type –  N/A
Core Width – N/A
Core Label – Yes - On film
Dividers – 
Bag Size – 
Qty. Per Bag – 900 Each
Box Size –  12 x 12 x 12
Qty. Per Box – 8,100 Each
Weight/box – 
Box Per Pallet – 
Pallet Type – </t>
  </si>
  <si>
    <t>SPECIAL REQUIREMENTS
Place the sealed trays in a large bag in the box; close with a twist tie.
Supplier to provide certificate that contains information listed below:
1 Compliance with this specification, including revision level
2 Supplier Identification
3 Product Identification
4 Supplier lot #
5 Purchase Order #
6 Quantity
7 Manufacturing Date
8 Dimensional analysis of hole placement, strip width and thickness.
Prior to making any changes to materials, processes, configuration, manufacturing location or inspection methods the Supplier is required to notify Merit Medical Systems both (1) in writing and (2) by phone.  Written approval from Merit must be received by the Supplier prior to making those changes.
Latex gloves or products containing latex shall not be used in manufacturing this component.
The supplier shall send a packing slip with each shipment with the following information:
1 Merit Medical Purchase Order Number
2 Merit Medical Part Number
3 Supplier Name
4 Supplier Lot numbers
5 A brief part description
6 The Purchased Part Specification (PPS) Revision level that the components are manufactured to.
7 Total number of components shipped
8 Quantity per Supplier lot/batch when more than a supplier lot/batch is shipped.</t>
  </si>
  <si>
    <t>Core  –  N/A
Width – N/A
Number Across Run/FInish –  1/1
Core Label – Yes - On film
±10% –  Yes
Unwind Dir. Run – N/A
Unwind Dir. Finish –  N/A
Diecut/Continuous/Sheet –  Die Cut Sheet
Partial Case –  Yes
Pieces per roll/Unit – 900
Length per roll/unit –  84'
Finish – On Press
Application – </t>
  </si>
  <si>
    <t>51174 Cost of Goods Sold</t>
  </si>
  <si>
    <t>9341</t>
  </si>
  <si>
    <t>Number Across Run/Finish –  1/1
Where Finished –  On Press
Length per Roll/Unit – 150'
Core Type –  3" Plastic 0.10" HDPE
Core Width – 280 mm
Core Label – Yes
Dividers – Paper
Bag Size – 
Qty. Per Bag – 1 Rolls
Box Size –  12 x 12 x 12
Qty. Per Box – 1 Rolls
Weight/box – 
Box Per Pallet – 
Pallet Type – </t>
  </si>
  <si>
    <t>Core  –  3" Plastic 0.10" HDPE
Width – 280 mm
Number Across Run/FInish –  1/1
Core Label – Yes
±10% –  Yes
Unwind Dir. Run – 9425HT to Core
Unwind Dir. Finish –  9425HT to Core
Diecut/Continuous/Sheet –  Continuous
Partial Case –  Yes
Pieces per roll/Unit – 1 Roll
Length per roll/unit –  150'
Finish – On Press
Application – </t>
  </si>
  <si>
    <t>51175 Cost of Goods Sold</t>
  </si>
  <si>
    <t>Die Cut Label CSM - PET/PSA 306 4.9mm x 59.37mm</t>
  </si>
  <si>
    <t>2PMH00941</t>
  </si>
  <si>
    <t>Die Cut Label - CSM - PET/PSA 306 - 4.9mm x 59.37mm</t>
  </si>
  <si>
    <t>Number Across Run/Finish –  2/1
Where Finished –  On Press
Length per Roll/Unit – 116'
Core Type –  3" Plastic 0.10" HDPE
Core Width – 2.73"
Core Label – Yes
Dividers – 
Bag Size – 
Qty. Per Bag – 1 Rolls
Box Size –  12 x 12 x 10
Qty. Per Box – 20 Rolls
Weight/box – 
Box Per Pallet – 
Pallet Type – </t>
  </si>
  <si>
    <t>Finished Unwind Direction:
Hold the roll in your LEFT hand and unwind roll from the top going to the RIGHT.  The NARROW end of the part should be on the TOP.
Parts Out. 3 Ft Leader and Trailer.</t>
  </si>
  <si>
    <t>Core  –  3" Plastic 0.10" HDPE
Width – 2.73"
Number Across Run/FInish –  2/1
Core Label – Yes
±10% –  Yes
Unwind Dir. Run – Parts Out
Unwind Dir. Finish –  Parts Out
Diecut/Continuous/Sheet –  Die Cut
Partial Case –  Yes
Pieces per roll/Unit – 5,000
Length per roll/unit –  116'
Finish – On Press
Application – </t>
  </si>
  <si>
    <t>51176 Cost of Goods Sold</t>
  </si>
  <si>
    <t>Die Cut Part 3M 9828 3.16" x 1.83"</t>
  </si>
  <si>
    <t>052-1110</t>
  </si>
  <si>
    <t>Die Cut Part - 3M 9828 - 3.16" x 1.83"</t>
  </si>
  <si>
    <t>Number Across Run/Finish –  2/1
Where Finished –  On Press
Length per Roll/Unit – 694'
Core Type –  3" Paper 1/8" Strouse Brown
Core Width – 2.45"
Core Label – Yes
Dividers – Coreplast
Bag Size – 
Qty. Per Bag – 1 Rolls
Box Size –  6 x 6 x 6
Qty. Per Box – 4 Rolls
Weight/box – 
Box Per Pallet – 
Pallet Type – </t>
  </si>
  <si>
    <t>With finished roll in left hand, tab to be on top when unwinding.</t>
  </si>
  <si>
    <t>Core  –  3" Paper 1/8" Strouse Brown
Width – 2.45"
Number Across Run/FInish –  2/1
Core Label – Yes
±10% –  Yes
Unwind Dir. Run – See note
Unwind Dir. Finish –  See Note
Diecut/Continuous/Sheet –  Die Cut
Partial Case –  Yes
Pieces per roll/Unit – 2,500
Length per roll/unit –  694'
Finish – On Press
Application – </t>
  </si>
  <si>
    <t>51177 Cost of Goods Sold</t>
  </si>
  <si>
    <t>Sheeted Part Phone accessory 6.15cm x 7.8cm</t>
  </si>
  <si>
    <t>9344</t>
  </si>
  <si>
    <t>Sheeted Part - Phone accessory - 6.15cm x 7.8cm</t>
  </si>
  <si>
    <t>Number Across Run/Finish –  1/1
Where Finished –  On Press
Length per Roll/Unit – 28'
Core Type –  N/A
Core Width – N/A
Core Label – No
Dividers – 
Bag Size – 
Qty. Per Bag – 1 Each
Box Size –  12 x 12 x 4
Qty. Per Box – 1 Each
Weight/box – 
Box Per Pallet – 
Pallet Type – </t>
  </si>
  <si>
    <t>Core  –  N/A
Width – N/A
Number Across Run/FInish –  1/1
Core Label – No
±10% –  Yes
Unwind Dir. Run – N/A
Unwind Dir. Finish –  N/A
Diecut/Continuous/Sheet –  Die Cut Sheet
Partial Case –  Yes
Pieces per roll/Unit – 125
Length per roll/unit –  28'
Finish – On Press
Application – </t>
  </si>
  <si>
    <t>Note: Setup materials are recommended for this job. 9828 can be used in place of FBA8218GL. Green splice tape  can be used in place of S2822. 2HLK/0300 can be used in place of W10002.</t>
  </si>
  <si>
    <t>51178 Cost of Goods Sold</t>
  </si>
  <si>
    <t>Sheeted Part 1/8" Neoprene w/ Adh. 8" x 0.5"</t>
  </si>
  <si>
    <t>9345</t>
  </si>
  <si>
    <t>Sheeted Part - 1/8" Neoprene w/ Adh. - 8" x 0.5"</t>
  </si>
  <si>
    <t>Number Across Run/Finish –  22/1
Where Finished –  On Press
Length per Roll/Unit – 16'
Core Type –  N/A
Core Width – N/A
Core Label – No
Dividers – 
Bag Size – 
Qty. Per Bag – 0.5 M
Box Size –  CUSTOMER SUPPLIED
Qty. Per Box – 4 Rolls
Weight/box – 
Box Per Pallet – 
Pallet Type – </t>
  </si>
  <si>
    <t>Core  –  N/A
Width – N/A
Number Across Run/FInish –  22/1
Core Label – No
±10% –  Yes
Unwind Dir. Run – N/A
Unwind Dir. Finish –  N/A
Diecut/Continuous/Sheet –  Sheet
Partial Case –  Yes
Pieces per roll/Unit – 500
Length per roll/unit –  16'
Finish – On Press
Application – </t>
  </si>
  <si>
    <t>Finished product to have adhesive on one side only.</t>
  </si>
  <si>
    <t>51179 Cost of Goods Sold</t>
  </si>
  <si>
    <t>Assembly 96 Well assembly 2.92" x 4.41"</t>
  </si>
  <si>
    <t>3-2000-1D0011</t>
  </si>
  <si>
    <t>Assembly - 96 Well assembly - 2.92" x 4.41"</t>
  </si>
  <si>
    <t>Number Across Run/Finish –  1/1
Where Finished –  Off Press
Length per Roll/Unit – 261'
Core Type –  3" Plastic 0.10" HDPE
Core Width – 5.3"
Core Label – No
Dividers – 
Bag Size – 
Qty. Per Bag – 
Box Size –  CUSTOMER SUPPLIED
Qty. Per Box – 
Weight/box – 
Box Per Pallet – 
Pallet Type – </t>
  </si>
  <si>
    <t>PO to be on box and bag labels
Repack finished assemblies in the original tray boxes.  See pictures for more details.</t>
  </si>
  <si>
    <t>Core  –  3" Plastic 0.10" HDPE
Width – 5.3"
Number Across Run/FInish –  1/1
Core Label – No
±10% –  Yes
Unwind Dir. Run – N/A
Unwind Dir. Finish –  N/A
Diecut/Continuous/Sheet –  Die Cut Sheet
Partial Case –  Yes
Pieces per roll/Unit – 1,000
Length per roll/unit –  261'
Finish – Off Press
Application – </t>
  </si>
  <si>
    <t>51180 Cost of Goods Sold</t>
  </si>
  <si>
    <t>Assembly 384 Well assembly 2.92" x 4.41"</t>
  </si>
  <si>
    <t>3-2000-1D0012</t>
  </si>
  <si>
    <t>Assembly - 384 Well assembly - 2.92" x 4.41"</t>
  </si>
  <si>
    <t>Number Across Run/Finish –  1/1
Where Finished –  Off Press
Length per Roll/Unit – 261'
Core Type –  3" Plastic 0.10" HDPE
Core Width – 5.3"
Core Label – No
Dividers – 
Bag Size – 
Qty. Per Bag – 
Box Size –  16 x 16 x 10-1/4
Qty. Per Box – 
Weight/box – 
Box Per Pallet – 
Pallet Type – </t>
  </si>
  <si>
    <t>51181 Cost of Goods Sold</t>
  </si>
  <si>
    <t>Die Cut Part Angled Mobility Mount 305mm x 25.4mm</t>
  </si>
  <si>
    <t>01676775-003</t>
  </si>
  <si>
    <t>Die Cut Part - Angled Mobility Mount - 305mm x 25.4mm</t>
  </si>
  <si>
    <t>Number Across Run/Finish –  8/1
Where Finished –  On Press
Length per Roll/Unit – 100'
Core Type –  3" Paper 1/8" Strouse Brown
Core Width – 1"
Core Label – Yes
Dividers – Silicone Paper
Bag Size – 
Qty. Per Bag – 10 Rolls
Box Size –  14 x 14 x 14
Qty. Per Box – 10 Rolls
Weight/box – 
Box Per Pallet – 
Pallet Type – </t>
  </si>
  <si>
    <t>Core  –  3" Paper 1/8" Strouse Brown
Width – 1"
Number Across Run/FInish –  8/1
Core Label – Yes
±10% –  Yes
Unwind Dir. Run – parts Out
Unwind Dir. Finish –  Parts Out
Diecut/Continuous/Sheet –  Die Cut
Partial Case –  Yes
Pieces per roll/Unit – 100
Length per roll/unit –  100'
Finish – On Press
Application – </t>
  </si>
  <si>
    <t>51182 Cost of Goods Sold</t>
  </si>
  <si>
    <t>Slit Tape IPG RA 6 6" x 60Yd</t>
  </si>
  <si>
    <t>9349</t>
  </si>
  <si>
    <t>Slit Tape - IPG RA 6 - 6" x 60Yd</t>
  </si>
  <si>
    <t>Number Across Run/Finish –  9/1
Where Finished –  On Press
Length per Roll/Unit – 60 Yd
Core Type –  3" Paper 0.180" Brown Brown
Core Width – 5.937"
Core Label – Yes
Dividers – Paper
Bag Size – 
Qty. Per Bag – 2 Rolls
Box Size –  CUSTOMER SUPPLIED
Qty. Per Box – 8 Rolls
Weight/box – 
Box Per Pallet – 
Pallet Type – </t>
  </si>
  <si>
    <t>Core  –  3" Paper 0.180" Brown Brown
Width – 5.937"
Number Across Run/FInish –  9/1
Core Label – Yes
±10% –  Yes
Unwind Dir. Run – N/A
Unwind Dir. Finish –  N/A
Diecut/Continuous/Sheet –  Continuous
Partial Case –  Yes
Pieces per roll/Unit – 1
Length per roll/unit –  60 Yd
Finish – On Press
Application – </t>
  </si>
  <si>
    <t>51183 Cost of Goods Sold</t>
  </si>
  <si>
    <t>Slit Tape CSM - DNP D-EL408PH 100mm x 100m</t>
  </si>
  <si>
    <t>9350</t>
  </si>
  <si>
    <t>Slit Tape - CSM -  DNP D-EL408PH - 100mm x 100m</t>
  </si>
  <si>
    <t>Number Across Run/Finish –  1/1
Where Finished –  On Press
Length per Roll/Unit – 100 m
Core Type –  As Recd.
Core Width – 100 mm
Core Label – Yes
Dividers – Paper
Bag Size – 
Qty. Per Bag – 
Box Size –  12 x 12 x 13
Qty. Per Box – 2 Rolls
Weight/box – 
Box Per Pallet – 
Pallet Type – </t>
  </si>
  <si>
    <t>Packaging in box original roll was shipped if possible.</t>
  </si>
  <si>
    <t>Core  –  As Recd.
Width – 100 mm
Number Across Run/FInish –  1/1
Core Label – Yes
±10% –  Yes
Unwind Dir. Run – N/A
Unwind Dir. Finish –  N/A
Diecut/Continuous/Sheet –  Continuous
Partial Case –  Yes
Pieces per roll/Unit – 1 Roll
Length per roll/unit –  100 m
Finish – On Press
Application – </t>
  </si>
  <si>
    <t>51184 Cost of Goods Sold</t>
  </si>
  <si>
    <t>Butt Cut Part Adh. mounting tape 37mm x 48mm with 3mm tab</t>
  </si>
  <si>
    <t>1553-06-12-0</t>
  </si>
  <si>
    <t>Butt Cut Part - Adh. mounting tape - 37mm x 48mm with 3mm tab</t>
  </si>
  <si>
    <t>Number Across Run/Finish –  1/1
Where Finished –  On Press
Length per Roll/Unit – 203 Yd
Core Type –  3" Paper 1/8" Strouse Brown
Core Width – 65 mm
Core Label – Yes
Dividers – See Note
Bag Size – 
Qty. Per Bag – 5 M
Box Size –  12 x 12 x 4
Qty. Per Box – 25 M
Weight/box – 
Box Per Pallet – 
Pallet Type – </t>
  </si>
  <si>
    <t>With roll in right hand and end in left hand, tab should be on the top edge.
Place rolls between 2 Polyflute inserts (to prevent rolls from sliding), then place in a 10 x 8 x 24 bag, and twist tie the bag closed as tight as possible.
Maximum roll O.D. 12" and splice free.</t>
  </si>
  <si>
    <t>Core  –  3" Paper 1/8" Strouse Brown
Width – 65 mm
Number Across Run/FInish –  1/1
Core Label – Yes
±10% –  Yes
Unwind Dir. Run – See Drawing
Unwind Dir. Finish –  See Drawing
Diecut/Continuous/Sheet –  Die Cut
Partial Case –  Yes
Pieces per roll/Unit – 5,000
Length per roll/unit –  203 Yd
Finish – On Press
Application – </t>
  </si>
  <si>
    <t>51185 Cost of Goods Sold</t>
  </si>
  <si>
    <t>Sheeted Part 3M 93020LE 6" x 3.5"</t>
  </si>
  <si>
    <t>9352</t>
  </si>
  <si>
    <t>Sheeted Part - 3M 93020LE - 6" x 3.5"</t>
  </si>
  <si>
    <t>Number Across Run/Finish –  1/1
Where Finished –  On Press
Length per Roll/Unit – 120'
Core Type –  N/A
Core Width – N/A
Core Label – No
Dividers – 
Bag Size – 
Qty. Per Bag – 220 Each
Box Size –  17.56 x 4.3125 x 17.937
Qty. Per Box – 220 Each
Weight/box – 
Box Per Pallet – 
Pallet Type – </t>
  </si>
  <si>
    <t>Core  –  N/A
Width – N/A
Number Across Run/FInish –  1/1
Core Label – No
±10% –  Yes
Unwind Dir. Run – N/A
Unwind Dir. Finish –  N/A
Diecut/Continuous/Sheet –  Sheet
Partial Case –  Yes
Pieces per roll/Unit – 220
Length per roll/unit –  120'
Finish – On Press
Application – </t>
  </si>
  <si>
    <t>51186 Cost of Goods Sold</t>
  </si>
  <si>
    <t>Number Across Run/Finish –  2/1
Where Finished –  Off Press
Length per Roll/Unit – 667'
Core Type –  6" Paper (3/8" wall)
Core Width – N/A
Core Label – No
Dividers – 
Bag Size – 
Qty. Per Bag – 
Box Size –  14 1/4 x 8 3/4  x 12 5/8
Qty. Per Box – 1 M
Weight/box – 
Box Per Pallet – 40 (80 M)
Pallet Type – </t>
  </si>
  <si>
    <t>Note: Set up press with 2 lint rollers and vacuum to minimize the impact of dust from the GPI material.
Fanfold into stacks of 2,000 parts (500 folds).  Special box - see Drawing.
Include stock W/O #'s on Strouse C of C.
Remove hose cards with splices in the card stock.  No more than 2 missing hose cards in a row.  Use 2" tape for splices, splice at perforation, use a butt splice with no overlap, and assure that the splice tape covers the entire width of the web.  Place 1 label on each box - the narrow side that the "tail" would exit the box.
NOTE: Please be sure to use the correct label designated for the shipping destination. (Germany uses a separate label from Eden Prairie/Mexico.)
Production Packaging Specs:
- 48" x 40" Pallet
- 2 layers high
- No material can overhang the pallet.
- Edge protector for each corner of the pallet.
- Pallet must be shrink wrapped.
- Pallet height not to exceed 48" tall.
- Boxes to be placed on pallet in upright orientation only.
- Mark pallet as "Do Not Stack".</t>
  </si>
  <si>
    <t>Core  –  6" Paper (3/8" wall)
Width – N/A
Number Across Run/FInish –  2/1
Core Label – No
±10% –  Yes
Unwind Dir. Run – N/A
Unwind Dir. Finish –  N/A
Diecut/Continuous/Sheet –  Die Cut
Partial Case –  Yes
Pieces per roll/Unit – 2,000
Length per roll/unit –  667'
Finish – Off Press
Application – </t>
  </si>
  <si>
    <t>Laminate/Die Cut:  Use fixture shown in press pics to eject chads.  Use splice tape on bottom only for liner splices.  Remove factory splices from liner rolls.  Remove hose cards with splices in the card stock.  Remove hose cards on top of liner splices.  No more than 1 missing hose cards in a row or there will be issues fan folding.  Need to target a press run rate of at least 50 ft/min.
Label format:  9353</t>
  </si>
  <si>
    <t>51187 Cost of Goods Sold</t>
  </si>
  <si>
    <t>Die Cut Part Protective Foil 193.6mm x 169mm</t>
  </si>
  <si>
    <t>1616-399</t>
  </si>
  <si>
    <t>Die Cut Part - Protective Foil - 193.6mm x 169mm</t>
  </si>
  <si>
    <t>Number Across Run/Finish –  1/1
Where Finished –  On Press
Length per Roll/Unit – 323'
Core Type –  3" Paper 1/8" Strouse Brown
Core Width – 7.5"
Core Label – Yes
Dividers – 
Bag Size – 
Qty. Per Bag – 1 Rolls
Box Size –  10 x 10 x 10
Qty. Per Box – 2 Rolls
Weight/box – 
Box Per Pallet – 
Pallet Type – </t>
  </si>
  <si>
    <t>Core  –  3" Paper 1/8" Strouse Brown
Width – 7.5"
Number Across Run/FInish –  1/1
Core Label – Yes
±10% –  Yes
Unwind Dir. Run – Parts Out
Unwind Dir. Finish –  Parts Out
Diecut/Continuous/Sheet –  Die Cut
Partial Case –  Yes
Pieces per roll/Unit – 500
Length per roll/unit –  323'
Finish – On Press
Application – </t>
  </si>
  <si>
    <t>51188 Cost of Goods Sold</t>
  </si>
  <si>
    <t>Butt Cut Part Protective Foil 152mm x 75mm</t>
  </si>
  <si>
    <t>1616-400</t>
  </si>
  <si>
    <t>Butt Cut Part - Protective Foil - 152mm x 75mm</t>
  </si>
  <si>
    <t>Number Across Run/Finish –  2/1
Where Finished –  On Press
Length per Roll/Unit – 500'
Core Type –  3" Paper 1/8" Strouse Brown
Core Width – 75 mm
Core Label – Yes
Dividers – Paper
Bag Size – 
Qty. Per Bag – 2 Rolls
Box Size –  
Qty. Per Box – 2 Rolls
Weight/box – 
Box Per Pallet – 
Pallet Type – </t>
  </si>
  <si>
    <t>Core  –  3" Paper 1/8" Strouse Brown
Width – 75 mm
Number Across Run/FInish –  2/1
Core Label – Yes
±10% –  Yes
Unwind Dir. Run – Parts Out
Unwind Dir. Finish –  Parts Out
Diecut/Continuous/Sheet –  Die Cut
Partial Case –  Yes
Pieces per roll/Unit – 1,000
Length per roll/unit –  500'
Finish – On Press
Application – </t>
  </si>
  <si>
    <t>51189 Cost of Goods Sold</t>
  </si>
  <si>
    <t>Number Across Run/Finish –  
Where Finished –  
Length per Roll/Unit – 
Core Type –  
Core Width – 
Core Label – 
Dividers – 
Bag Size – 
Qty. Per Bag – 
Box Size –  12 x 12 x 4
Qty. Per Box – 
Weight/box – 
Box Per Pallet – 
Pallet Type – </t>
  </si>
  <si>
    <t>Include a C of C w/ the material's Date of Manufacture, Date of Expiration, and Lot Number
Packaging - see requirements in Job Jacket
Labels to contain, at a minimum: Part Number, PO Number, and Quantity</t>
  </si>
  <si>
    <t>Single Date per lot</t>
  </si>
  <si>
    <t>51190 Cost of Goods Sold</t>
  </si>
  <si>
    <t>Sheeted Part EPE - Slotted 40mm x 40mm</t>
  </si>
  <si>
    <t>20221103-4.1 EPE</t>
  </si>
  <si>
    <t>Sheeted Part - EPE - Slotted - 40mm x 40mm</t>
  </si>
  <si>
    <t>Number Across Run/Finish –  6/1
Where Finished –  On Press
Length per Roll/Unit – 197'
Core Type –  N/A
Core Width – N/A
Core Label – No
Dividers – Cardboard
Bag Size – 
Qty. Per Bag – 9 M
Box Size –  9 x 9 x 13
Qty. Per Box – 9 M
Weight/box – 
Box Per Pallet – 
Pallet Type – </t>
  </si>
  <si>
    <t>Not all chads have to be removed from product, Per Sales.  Try to remove as many as possible(goal is 75% - 90% chad free).  Cannot change low tack carriers without sales approval.
9 boxes per layer on skid.</t>
  </si>
  <si>
    <t>Not all chads have to be removed from product, Per Sales.  Try to remove as many as possible(goal is 75% - 90% chad free).  Cannot change low tack carriers without sales approval.</t>
  </si>
  <si>
    <t>51191 Cost of Goods Sold</t>
  </si>
  <si>
    <t>Slit Tape 3M 63 0.625" x 36Yd</t>
  </si>
  <si>
    <t>3M 63/.625</t>
  </si>
  <si>
    <t>Slit Tape - 3M 63 - 0.625" x 36Yd</t>
  </si>
  <si>
    <t>Number Across Run/Finish –  20/1
Where Finished –  On Press
Length per Roll/Unit – 36 Yd
Core Type –  As Recd.
Core Width – 0.625"
Core Label – Yes - On bag
Dividers – 
Bag Size – 
Qty. Per Bag – 1 Roll
Box Size –  
Qty. Per Box – 20 Rolls
Weight/box – 
Box Per Pallet – 
Pallet Type – </t>
  </si>
  <si>
    <t>See work order for any special instructions.
3M MFG CERT WITH SHELF LIFE (75% OF SHELF LIFE) MUST GO WITH EACH ITEM
Use 4 mil bags and tabletop impulse sealer to heat seal rolls Individually. Check the integrity of the seal.
Place a core label on the outside of the bag.  No core label on the core.
Check the lot # on the core of the material versus the material cert versus the bag(core) and box labels to assure they all agree.
Only one lot# allowed per order</t>
  </si>
  <si>
    <t>Core  –  As Recd.
Width – 0.625"
Number Across Run/FInish –  20/1
Core Label – Yes - On bag
±10% –  Yes
Unwind Dir. Run – N/A
Unwind Dir. Finish –  N/A
Diecut/Continuous/Sheet –  Continuous
Partial Case –  Yes
Pieces per roll/Unit – 1,000
Length per roll/unit –  36 Yd
Finish – On Press
Application – </t>
  </si>
  <si>
    <t>51192 Cost of Goods Sold</t>
  </si>
  <si>
    <t>51193 Cost of Goods Sold</t>
  </si>
  <si>
    <t>Die Cut Part Preform - Chip EG 13.26mm x 35.67mm</t>
  </si>
  <si>
    <t>2PMH00964</t>
  </si>
  <si>
    <t>Die Cut Part - Preform - Chip EG - 13.26mm x 35.67mm</t>
  </si>
  <si>
    <t>Number Across Run/Finish –  2/1
Where Finished –  On Press
Length per Roll/Unit – 358'
Core Type –  3" Plastic 0.10" HDPE
Core Width – 55 mm
Core Label – Yes
Dividers – Lexmark style
Bag Size – 
Qty. Per Bag – 1 Rolls
Box Size –  12 x 12 x 10
Qty. Per Box – 4 Rolls
Weight/box – 
Box Per Pallet – 
Pallet Type – </t>
  </si>
  <si>
    <t>Core  –  3" Plastic 0.10" HDPE
Width – 55 mm
Number Across Run/FInish –  2/1
Core Label – Yes
±10% –  Yes
Unwind Dir. Run – See Drawing
Unwind Dir. Finish –  See Drawing
Diecut/Continuous/Sheet –  Die Cut
Partial Case –  Yes
Pieces per roll/Unit – 6,250
Length per roll/unit –  358'
Finish – On Press
Application – </t>
  </si>
  <si>
    <t>51194 Cost of Goods Sold</t>
  </si>
  <si>
    <t>Slit Tape Berry 827 PE film tape - Black 2" x 6Yd</t>
  </si>
  <si>
    <t>107936024001</t>
  </si>
  <si>
    <t>Slit Tape - Berry 827 PE film tape - Black - 2" x 6Yd</t>
  </si>
  <si>
    <t>Number Across Run/Finish –  2/1
Where Finished –  On Press
Length per Roll/Unit – 6 Yd
Core Type –  1" Paper 1/8" White White
Core Width – 48 mm
Core Label – Yes
Dividers – Paper
Bag Size – 
Qty. Per Bag – 
Box Size –  12 x 12 x 4
Qty. Per Box – 180 Rolls
Weight/box – 
Box Per Pallet – 
Pallet Type – </t>
  </si>
  <si>
    <t>Core  –  1" Paper 1/8" White White
Width – 48 mm
Number Across Run/FInish –  2/1
Core Label – Yes
±10% –  Yes
Unwind Dir. Run – Adh. In
Unwind Dir. Finish –  Adh. In
Diecut/Continuous/Sheet –  Continuous
Partial Case –  Yes
Pieces per roll/Unit – 1 Roll
Length per roll/unit –  6 Yd
Finish – On Press
Application – </t>
  </si>
  <si>
    <t>51195 Cost of Goods Sold</t>
  </si>
  <si>
    <t>Sheeted Part Check Pad Paper Sleeve 74.5mm x 160mm</t>
  </si>
  <si>
    <t>RD22-0154-0014</t>
  </si>
  <si>
    <t>Sheeted Part - Check Pad Paper Sleeve - 74.5mm x 160mm</t>
  </si>
  <si>
    <t>Number Across Run/Finish –  1/1
Where Finished –  On Press
Length per Roll/Unit – 53'
Core Type –  N/A
Core Width – N/A
Core Label – No
Dividers – 
Bag Size – 
Qty. Per Bag – 200 Each
Box Size –  12 x 12 x 12
Qty. Per Box – 2,000 Each
Weight/box – 
Box Per Pallet – 
Pallet Type – </t>
  </si>
  <si>
    <t>Core  –  N/A
Width – N/A
Number Across Run/FInish –  1/1
Core Label – No
±10% –  Yes
Unwind Dir. Run – N/A
Unwind Dir. Finish –  N/A
Diecut/Continuous/Sheet –  Die Cut Sheet
Partial Case –  Yes
Pieces per roll/Unit – 200
Length per roll/unit –  53'
Finish – On Press
Application – </t>
  </si>
  <si>
    <t>51196 Cost of Goods Sold</t>
  </si>
  <si>
    <t>Sheeted Part Foam Nose Brace 37mm x 11.3mm</t>
  </si>
  <si>
    <t>RD22-0154-0006</t>
  </si>
  <si>
    <t>Sheeted Part - Foam Nose Brace - 37mm x 11.3mm</t>
  </si>
  <si>
    <t>Number Across Run/Finish –  80/1
Where Finished –  On Press
Length per Roll/Unit – 2'
Core Type –  N/A
Core Width – N/A
Core Label – No
Dividers – 
Bag Size – 
Qty. Per Bag – 1000 Each
Box Size –  13 x 13 x 13
Qty. Per Box – 1,000 Each
Weight/box – 
Box Per Pallet – 
Pallet Type – </t>
  </si>
  <si>
    <t>Core  –  N/A
Width – N/A
Number Across Run/FInish –  80/1
Core Label – No
±10% –  Yes
Unwind Dir. Run – N/A
Unwind Dir. Finish –  N/A
Diecut/Continuous/Sheet –  Sheet
Partial Case –  Yes
Pieces per roll/Unit – 1,000
Length per roll/unit –  2'
Finish – On Press
Application – </t>
  </si>
  <si>
    <t>51197 Cost of Goods Sold</t>
  </si>
  <si>
    <t>Sheeted Part Nose Foam Brace Assembly 37mm x 11.3mm</t>
  </si>
  <si>
    <t>RD22-0154-0005</t>
  </si>
  <si>
    <t>Sheeted Part - Nose Foam Brace Assembly - 37mm x 11.3mm</t>
  </si>
  <si>
    <t>Number Across Run/Finish –  1/1
Where Finished –  Off Press
Length per Roll/Unit – N/A
Core Type –  N/A
Core Width – N/A
Core Label – No
Dividers – 
Bag Size – 
Qty. Per Bag – 50 Each
Box Size –  12 x 12 x 4
Qty. Per Box – 500 Each
Weight/box – 
Box Per Pallet – 
Pallet Type – </t>
  </si>
  <si>
    <t>51198 Cost of Goods Sold</t>
  </si>
  <si>
    <t>Sheeted Part 3M 4950 8" x 0.5"</t>
  </si>
  <si>
    <t>4950 .5" x 8"</t>
  </si>
  <si>
    <t>Sheeted Part - 3M 4950 - 8" x 0.5"</t>
  </si>
  <si>
    <t>Number Across Run/Finish –  1/1
Where Finished –  On Press
Length per Roll/Unit – 9'
Core Type –  N/A
Core Width – N/A
Core Label – No
Dividers – 
Bag Size – 
Qty. Per Bag – 205 Each
Box Size –  12 x 12 x 4
Qty. Per Box – 205 Each
Weight/box – 
Box Per Pallet – 
Pallet Type – </t>
  </si>
  <si>
    <t>RoHS compliance statement required on CoC</t>
  </si>
  <si>
    <t>Core  –  N/A
Width – N/A
Number Across Run/FInish –  1/1
Core Label – No
±10% –  Yes
Unwind Dir. Run – N/A
Unwind Dir. Finish –  N/A
Diecut/Continuous/Sheet –  Sheet
Partial Case –  Yes
Pieces per roll/Unit – 205
Length per roll/unit –  9'
Finish – On Press
Application – </t>
  </si>
  <si>
    <t>51199 Cost of Goods Sold</t>
  </si>
  <si>
    <t>Sheeted Part 3M RP+230GF 6.25" x 1"</t>
  </si>
  <si>
    <t>RP+230GF 1" x 6.25"</t>
  </si>
  <si>
    <t>Sheeted Part - 3M RP+230GF - 6.25" x 1"</t>
  </si>
  <si>
    <t>Number Across Run/Finish –  1/1
Where Finished –  On Press
Length per Roll/Unit – 26'
Core Type –  N/A
Core Width – N/A
Core Label – No
Dividers – 
Bag Size – 
Qty. Per Bag – 305 Each
Box Size –  12 x 12 x 4
Qty. Per Box – 305 Each
Weight/box – 
Box Per Pallet – 
Pallet Type – </t>
  </si>
  <si>
    <t>Core  –  N/A
Width – N/A
Number Across Run/FInish –  1/1
Core Label – No
±10% –  Yes
Unwind Dir. Run – N/A
Unwind Dir. Finish –  N/A
Diecut/Continuous/Sheet –  Sheet
Partial Case –  Yes
Pieces per roll/Unit – 305
Length per roll/unit –  26'
Finish – On Press
Application – </t>
  </si>
  <si>
    <t>51200 Cost of Goods Sold</t>
  </si>
  <si>
    <t>Sheeted Part 3M RP+230GF 6.8" x 1"</t>
  </si>
  <si>
    <t xml:space="preserve">RP+230GF 1" x 6.8" </t>
  </si>
  <si>
    <t>Sheeted Part - 3M RP+230GF - 6.8" x 1"</t>
  </si>
  <si>
    <t>Number Across Run/Finish –  5/1
Where Finished –  On Press
Length per Roll/Unit – 24'
Core Type –  N/A
Core Width – N/A
Core Label – No
Dividers – 
Bag Size – 
Qty. Per Bag – 205 Each
Box Size –  19 x 13 x 6
Qty. Per Box – 205 Each
Weight/box – 
Box Per Pallet – 
Pallet Type – </t>
  </si>
  <si>
    <t>Core  –  N/A
Width – N/A
Number Across Run/FInish –  5/1
Core Label – No
±10% –  Yes
Unwind Dir. Run – N/A
Unwind Dir. Finish –  N/A
Diecut/Continuous/Sheet –  Sheet
Partial Case –  Yes
Pieces per roll/Unit – 205
Length per roll/unit –  24'
Finish – On Press
Application – </t>
  </si>
  <si>
    <t>51201 Cost of Goods Sold</t>
  </si>
  <si>
    <t>Sheeted Part CCB Tape 473.8mm x 301.8mm</t>
  </si>
  <si>
    <t>001-01685</t>
  </si>
  <si>
    <t>Sheeted Part - CCB Tape - 473.8mm x 301.8mm</t>
  </si>
  <si>
    <t>Number Across Run/Finish –  1/
Where Finished –  On Press
Length per Roll/Unit – 34'
Core Type –  N/A
Core Width – N/A
Core Label – No
Dividers – 
Bag Size – 
Qty. Per Bag – 20 Each
Box Size –  
Qty. Per Box – 80 Each
Weight/box – 
Box Per Pallet – 
Pallet Type – </t>
  </si>
  <si>
    <t>Core  –  N/A
Width – N/A
Number Across Run/FInish –  1/
Core Label – No
±10% –  Yes
Unwind Dir. Run – N/A
Unwind Dir. Finish –  
Diecut/Continuous/Sheet –  Die Cut Sheet
Partial Case –  Yes
Pieces per roll/Unit – 20
Length per roll/unit –  34'
Finish – On Press
Application – </t>
  </si>
  <si>
    <t>51202 Cost of Goods Sold</t>
  </si>
  <si>
    <t>5060-0000004421
11162142</t>
  </si>
  <si>
    <t>Number Across Run/Finish –  
Where Finished –  
Length per Roll/Unit – 
Core Type –  
Core Width – 
Core Label – 
Dividers – 
Bag Size – 
Qty. Per Bag – 250 
Box Size –  14 1/4 x 8 3/4  x 12 5/8
Qty. Per Box – 500 
Weight/box – 
Box Per Pallet – 
Pallet Type – </t>
  </si>
  <si>
    <t>51203 Cost of Goods Sold</t>
  </si>
  <si>
    <t>Sheeted Part White Adh. Patch 304.8mm x 219.1mm</t>
  </si>
  <si>
    <t>OP-6004656-A</t>
  </si>
  <si>
    <t>Sheeted Part - White Adh. Patch - 304.8mm x 219.1mm</t>
  </si>
  <si>
    <t>51204 Cost of Goods Sold</t>
  </si>
  <si>
    <t>Sheeted Part 3M 8671/9471LE, Insulator, LH Companion Seat 21.69" x 1.25"</t>
  </si>
  <si>
    <t>3397322</t>
  </si>
  <si>
    <t>Sheeted Part - 3M 8671/9471LE, Insulator, LH Companion Seat - 21.69" x 1.25"</t>
  </si>
  <si>
    <t>Number Across Run/Finish –  8/1
Where Finished –  On Press
Length per Roll/Unit – 8'
Core Type –  N/A
Core Width – N/A
Core Label – No
Dividers – 
Bag Size – 
Qty. Per Bag – 25 Each
Box Size –  20.25 x 20.25 x 2.5 cake
Qty. Per Box – 25 Each
Weight/box – 
Box Per Pallet – 
Pallet Type – </t>
  </si>
  <si>
    <t>Core  –  N/A
Width – N/A
Number Across Run/FInish –  8/1
Core Label – No
±10% –  Yes
Unwind Dir. Run – N/A
Unwind Dir. Finish –  N/A
Diecut/Continuous/Sheet –  Die Cut Sheet
Partial Case –  Yes
Pieces per roll/Unit – 25
Length per roll/unit –  8'
Finish – On Press
Application – </t>
  </si>
  <si>
    <t>51206 Cost of Goods Sold</t>
  </si>
  <si>
    <t>Sheeted Part 3M 8671/9471LE, Insulator, Front Companion Seat 40.75" x 1.25"</t>
  </si>
  <si>
    <t>3397324</t>
  </si>
  <si>
    <t>Sheeted Part - 3M 8671/9471LE, Insulator, Front Companion Seat - 40.75" x 1.25"</t>
  </si>
  <si>
    <t>Number Across Run/Finish –  8/1
Where Finished –  On Press
Length per Roll/Unit – 16'
Core Type –  N/A
Core Width – N/A
Core Label – No
Dividers – 
Bag Size – 
Qty. Per Bag – 25 Each
Box Size –  11 x 11 x 8
Qty. Per Box – 25 Each
Weight/box – 
Box Per Pallet – 
Pallet Type – </t>
  </si>
  <si>
    <t>Core  –  N/A
Width – N/A
Number Across Run/FInish –  8/1
Core Label – No
±10% –  Yes
Unwind Dir. Run – N/A
Unwind Dir. Finish –  N/A
Diecut/Continuous/Sheet –  Die Cut Sheet
Partial Case –  Yes
Pieces per roll/Unit – 25
Length per roll/unit –  16'
Finish – On Press
Application – </t>
  </si>
  <si>
    <t>51207 Cost of Goods Sold</t>
  </si>
  <si>
    <t>Slit Tape 3M 501+ 0.585" x 60Yd</t>
  </si>
  <si>
    <t>Slit Tape - 3M 501+ - 0.585" x 60Yd</t>
  </si>
  <si>
    <t>Number Across Run/Finish –  96/1
Where Finished –  On Press
Length per Roll/Unit – 60 Yd
Core Type –  As Recd.
Core Width – 0.585"
Core Label – No
Dividers – Paper
Bag Size – 
Qty. Per Bag – 
Box Size –  14 x 14 x 10
Qty. Per Box – 48 Rolls
Weight/box – 
Box Per Pallet – 
Pallet Type – </t>
  </si>
  <si>
    <t>Core  –  As Recd.
Width – 0.585"
Number Across Run/FInish –  96/1
Core Label – No
±10% –  Yes
Unwind Dir. Run – As Rec'd
Unwind Dir. Finish –  As Rec'd
Diecut/Continuous/Sheet –  Continuous
Partial Case –  Yes
Pieces per roll/Unit – 1
Length per roll/unit –  60 Yd
Finish – On Press
Application – </t>
  </si>
  <si>
    <t>51208 Cost of Goods Sold</t>
  </si>
  <si>
    <t>Die Cut Part Neorpene gasket 1.5" x 2"</t>
  </si>
  <si>
    <t>9375</t>
  </si>
  <si>
    <t>Die Cut Part - Neorpene gasket - 1.5" x 2"</t>
  </si>
  <si>
    <t>Number Across Run/Finish –  1/1
Where Finished –  On Press
Length per Roll/Unit – 35'
Core Type –  3" Paper 1/8" Strouse Brown
Core Width – 2.5"
Core Label – Yes
Dividers – 
Bag Size – 
Qty. Per Bag – 4 Rolls
Box Size –  
Qty. Per Box – 4 M
Weight/box – 
Box Per Pallet – 
Pallet Type – </t>
  </si>
  <si>
    <t>Core  –  3" Paper 1/8" Strouse Brown
Width – 2.5"
Number Across Run/FInish –  1/1
Core Label – Yes
±10% –  Yes
Unwind Dir. Run – Parts Out
Unwind Dir. Finish –  Parts Out
Diecut/Continuous/Sheet –  Die Cut
Partial Case –  Yes
Pieces per roll/Unit – 250
Length per roll/unit –  35'
Finish – On Press
Application – </t>
  </si>
  <si>
    <t>51209 Cost of Goods Sold</t>
  </si>
  <si>
    <t>Core  –  3" Paper 0.180" Brown Brown
Width – 12.00
Number Across Run/FInish –  
Core Label – 
±10% –  
Unwind Dir. Run – 
Unwind Dir. Finish –  
Diecut/Continuous/Sheet –  
Partial Case –  
Pieces per roll/Unit – 
Length per roll/unit –  
Finish – 
Application – </t>
  </si>
  <si>
    <t>51210 Cost of Goods Sold</t>
  </si>
  <si>
    <t>Die Cut Part TPE-X36B washer 1" x 1"</t>
  </si>
  <si>
    <t>760068-02</t>
  </si>
  <si>
    <t>Die Cut Part - TPE-X36B washer - 1" x 1"</t>
  </si>
  <si>
    <t>Number Across Run/Finish –  1/1
Where Finished –  On Press
Length per Roll/Unit – 84'
Core Type –  3" Paper 1/8" Strouse Brown
Core Width – 1.18"
Core Label – Yes
Dividers – 
Bag Size – 
Qty. Per Bag – 5 Rolls
Box Size –  12 x 12 x 4
Qty. Per Box – 10 Rolls
Weight/box – 
Box Per Pallet – 
Pallet Type – </t>
  </si>
  <si>
    <t>Core  –  3" Paper 1/8" Strouse Brown
Width – 1.18"
Number Across Run/FInish –  1/1
Core Label – Yes
±10% –  Yes
Unwind Dir. Run – Parts In
Unwind Dir. Finish –  Parts In
Diecut/Continuous/Sheet –  Die Cut
Partial Case –  Yes
Pieces per roll/Unit – 1,000
Length per roll/unit –  84'
Finish – On Press
Application – </t>
  </si>
  <si>
    <t>51211 Cost of Goods Sold</t>
  </si>
  <si>
    <t>Sheeted Part 8671/9485PC 11" x 1.125"</t>
  </si>
  <si>
    <t>3576112</t>
  </si>
  <si>
    <t>Sheeted Part - 8671/9485PC - 11" x 1.125"</t>
  </si>
  <si>
    <t>Number Across Run/Finish –  3/1
Where Finished –  On Press
Length per Roll/Unit – 
Core Type –  N/A
Core Width – N/A
Core Label – No
Dividers – 
Bag Size – 
Qty. Per Bag – 100 Each
Box Size –  12 x 12 x 12
Qty. Per Box – 100 Each
Weight/box – 
Box Per Pallet – 
Pallet Type – </t>
  </si>
  <si>
    <t>Core  –  N/A
Width – N/A
Number Across Run/FInish –  3/1
Core Label – No
±10% –  Yes
Unwind Dir. Run – N/A
Unwind Dir. Finish –  N/A
Diecut/Continuous/Sheet –  Sheet
Partial Case –  Yes
Pieces per roll/Unit – 1,000
Length per roll/unit –  
Finish – On Press
Application – </t>
  </si>
  <si>
    <t>51212 Cost of Goods Sold</t>
  </si>
  <si>
    <t>Slit Tape 3M 9795R 1" x 120Yd</t>
  </si>
  <si>
    <t>9379</t>
  </si>
  <si>
    <t>Slit Tape - 3M 9795R - 1" x 120Yd</t>
  </si>
  <si>
    <t>Number Across Run/Finish –  4/1
Where Finished –  On Press
Length per Roll/Unit – 120 Yd
Core Type –  3" Paper 1/8" Strouse Brown
Core Width – 1.00"
Core Label – Yes
Dividers – Paper
Bag Size – 
Qty. Per Bag – 12 Rolls
Box Size –  
Qty. Per Box – 48 Rolls
Weight/box – 
Box Per Pallet – 
Pallet Type – </t>
  </si>
  <si>
    <t>Core  –  3" Paper 1/8" Strouse Brown
Width – 1.00"
Number Across Run/FInish –  4/1
Core Label – Yes
±10% –  Yes
Unwind Dir. Run – N/A
Unwind Dir. Finish –  N/A
Diecut/Continuous/Sheet –  Continuous
Partial Case –  Yes
Pieces per roll/Unit – 1 Roll
Length per roll/unit –  120 Yd
Finish – On Press
Application – </t>
  </si>
  <si>
    <t>51213 Cost of Goods Sold</t>
  </si>
  <si>
    <t>Die Cut Part 3M 4926 0.75" x 0.75" w/ tab</t>
  </si>
  <si>
    <t>44-0039-01</t>
  </si>
  <si>
    <t>Die Cut Part - 3M 4926 - 0.75" x 0.75" w/ tab</t>
  </si>
  <si>
    <t>Number Across Run/Finish –  2/
Where Finished –  
Length per Roll/Unit – 
Core Type –  3" Paper 1/8" White Brown
Core Width – 2.5
Core Label – 
Dividers – 
Bag Size – 
Qty. Per Bag – 
Box Size –  12 1/2 x 8 1/2 x 12 5/8
Qty. Per Box – 8 
Weight/box – 
Box Per Pallet – 
Pallet Type – </t>
  </si>
  <si>
    <t>Core  –  3" Paper 1/8" White Brown
Width – 2.5
Number Across Run/FInish –  2/
Core Label – 
±10% –  Yes
Unwind Dir. Run – 
Unwind Dir. Finish –  
Diecut/Continuous/Sheet –  
Partial Case –  Yes
Pieces per roll/Unit – 
Length per roll/unit –  
Finish – 
Application – </t>
  </si>
  <si>
    <t>51214 Cost of Goods Sold</t>
  </si>
  <si>
    <t>Die Cut Part Petite label, 6" x 3.939" 6" x 3.9"</t>
  </si>
  <si>
    <t>206030</t>
  </si>
  <si>
    <t>Die Cut Part - Petite label, 6" x 3.939" - 6" x 3.9"</t>
  </si>
  <si>
    <t>Number Across Run/Finish –  2/1
Where Finished –  Web Techniques
Length per Roll/Unit – 510'
Core Type –  3" Paper 1/8" White Brown
Core Width – 4.125"
Core Label – No
Dividers – 
Bag Size – 
Qty. Per Bag – 
Box Size –  
Qty. Per Box – 
Weight/box – 
Box Per Pallet – 
Pallet Type – </t>
  </si>
  <si>
    <t>Core  –  3" Paper 1/8" White Brown
Width – 4.125"
Number Across Run/FInish –  2/1
Core Label – No
±10% –  No
Unwind Dir. Run – 3
Unwind Dir. Finish –  4
Diecut/Continuous/Sheet –  Die Cut
Partial Case –  Yes
Pieces per roll/Unit – 1,000
Length per roll/unit –  510'
Finish – Web Techniques
Application – </t>
  </si>
  <si>
    <t>JT 7675, 9381, 9382, and 9383 all use the same plates</t>
  </si>
  <si>
    <t>51215 Cost of Goods Sold</t>
  </si>
  <si>
    <t>Die Cut Part Standard label 6" x 3.9"</t>
  </si>
  <si>
    <t>203844</t>
  </si>
  <si>
    <t>Die Cut Part - Standard label - 6" x 3.9"</t>
  </si>
  <si>
    <t>Number Across Run/Finish –  2/1
Where Finished –  Web Techniques
Length per Roll/Unit – 510'
Core Type –  3" Paper 1/8" White Brown
Core Width – 4.125"
Core Label – No
Dividers – 
Bag Size – 
Qty. Per Bag – 
Box Size –  12 1/2 x 8 1/2 x 12 5/8
Qty. Per Box – 
Weight/box – 
Box Per Pallet – 
Pallet Type – </t>
  </si>
  <si>
    <t>51216 Cost of Goods Sold</t>
  </si>
  <si>
    <t>Die Cut Part Plus label 6" x 3.9"</t>
  </si>
  <si>
    <t>204348</t>
  </si>
  <si>
    <t>Die Cut Part - Plus label - 6" x 3.9"</t>
  </si>
  <si>
    <t>Number Across Run/Finish –  2/1
Where Finished –  Web Techniques
Length per Roll/Unit – 510'
Core Type –  3" Paper 1/8" White Brown
Core Width – 4.125"
Core Label – No
Dividers – 
Bag Size – 
Qty. Per Bag – 
Box Size –  14 x 14 x 10
Qty. Per Box – 
Weight/box – 
Box Per Pallet – 
Pallet Type – </t>
  </si>
  <si>
    <t>51217 Cost of Goods Sold</t>
  </si>
  <si>
    <t>Die Cut Part Clip Foam - MED 6017 1.5" Dia</t>
  </si>
  <si>
    <t>1542-LYY0005 Rev A</t>
  </si>
  <si>
    <t>Die Cut Part - Clip Foam - MED 6017 - 1.5" Dia</t>
  </si>
  <si>
    <t>Number Across Run/Finish –  3/1
Where Finished –  On Press
Length per Roll/Unit – 163'
Core Type –  3" Paper 1/8" Strouse Brown
Core Width – 2"
Core Label – Yes
Dividers – Cardboard 13x13
Bag Size – 
Qty. Per Bag – 1 Rolls
Box Size –  19.75 x 14 x 2.5
Qty. Per Box – 4 M
Weight/box – 
Box Per Pallet – 
Pallet Type – </t>
  </si>
  <si>
    <t>Only difference between LYY0004 and LYY0005 is the foam.   Need to double foam die.
At raw material splices/roll changes confirm that the center slotted slug is continuing to remove with the matrix.  Should any rip free and be left behind please remove them and assure the matrix is pulling correctly before proceeding. 06/20/2022 DT</t>
  </si>
  <si>
    <t>51218 Cost of Goods Sold</t>
  </si>
  <si>
    <t>Sheeted Part 54 lb. Medium Release liner 2" x 16.5"</t>
  </si>
  <si>
    <t>9385</t>
  </si>
  <si>
    <t>Sheeted Part - 54 lb. Medium Release liner - 2" x 16.5"</t>
  </si>
  <si>
    <t>Number Across Run/Finish –  1/1
Where Finished –  On Press
Length per Roll/Unit – 100'
Core Type –  N/A
Core Width – N/A
Core Label – No
Dividers – 
Bag Size – 
Qty. Per Bag – 500 Each
Box Size –  24 x 24 x 6
Qty. Per Box – 1,000 Each
Weight/box – 
Box Per Pallet – 
Pallet Type – </t>
  </si>
  <si>
    <t>Core  –  N/A
Width – N/A
Number Across Run/FInish –  1/1
Core Label – No
±10% –  Yes
Unwind Dir. Run – N/A
Unwind Dir. Finish –  N/A
Diecut/Continuous/Sheet –  Sheet
Partial Case –  Yes
Pieces per roll/Unit – 500
Length per roll/unit –  100'
Finish – On Press
Application – </t>
  </si>
  <si>
    <t>51219 Cost of Goods Sold</t>
  </si>
  <si>
    <t>Sheeted Part 3M 8555/Loparex liner 24"</t>
  </si>
  <si>
    <t>Sheeted Part - 3M 8555/Loparex liner - 24"</t>
  </si>
  <si>
    <t>Number Across Run/Finish –  1/1
Where Finished –  On Press
Length per Roll/Unit – N/A
Core Type –  N/A
Core Width – N/A
Core Label – No
Dividers – 
Bag Size – 
Qty. Per Bag – 10 Each
Box Size –  
Qty. Per Box – 100 Each
Weight/box – 
Box Per Pallet – 
Pallet Type – </t>
  </si>
  <si>
    <t>Handle all materials using gloves.  All dies and press surfaces need to be wiped down using the Desoclean 45
Package in heat sealed packaging as called out in BOM</t>
  </si>
  <si>
    <t>Core  –  N/A
Width – N/A
Number Across Run/FInish –  1/1
Core Label – No
±10% –  Yes
Unwind Dir. Run – N/A
Unwind Dir. Finish –  N/A
Diecut/Continuous/Sheet –  Die Cut Sheet
Partial Case –  Yes
Pieces per roll/Unit – 1
Length per roll/unit –  N/A
Finish – On Press
Application – </t>
  </si>
  <si>
    <t>Handle all materials using gloves.  All dies and press surfaces need to be wiped down using the Desoclean 45</t>
  </si>
  <si>
    <t>51220 Cost of Goods Sold</t>
  </si>
  <si>
    <t>Die Cut Part Loop - Small 25mm x 12mm</t>
  </si>
  <si>
    <t>TFX-007496</t>
  </si>
  <si>
    <t>Die Cut Part - Loop - Small - 25mm x 12mm</t>
  </si>
  <si>
    <t>Number Across Run/Finish –  
Where Finished –  
Length per Roll/Unit – 
Core Type –  
Core Width – 
Core Label – 
Dividers – 
Bag Size – 
Qty. Per Bag – 1000 
Box Size –  
Qty. Per Box – 1,000 
Weight/box – 
Box Per Pallet – 
Pallet Type – </t>
  </si>
  <si>
    <t>Core  –  
Width – 
Number Across Run/FInish –  
Core Label – 
±10% –  Yes
Unwind Dir. Run – 
Unwind Dir. Finish –  
Diecut/Continuous/Sheet –  
Partial Case –  Yes
Pieces per roll/Unit – 
Length per roll/unit –  
Finish – 
Application – </t>
  </si>
  <si>
    <t>51221 Cost of Goods Sold</t>
  </si>
  <si>
    <t>Die Cut Part Loop - Large 30mm x 18mm</t>
  </si>
  <si>
    <t>TFX-007497</t>
  </si>
  <si>
    <t>Die Cut Part - Loop - Large - 30mm x 18mm</t>
  </si>
  <si>
    <t>51222 Cost of Goods Sold</t>
  </si>
  <si>
    <t>Die Cut Part Cub pad - Small 26mm x 16mm</t>
  </si>
  <si>
    <t>TFX-007498</t>
  </si>
  <si>
    <t>Die Cut Part - Cub pad - Small - 26mm x 16mm</t>
  </si>
  <si>
    <t>51223 Cost of Goods Sold</t>
  </si>
  <si>
    <t>Die Cut Part Cub pad - Large 40mm x 20mm</t>
  </si>
  <si>
    <t>TFX-007499</t>
  </si>
  <si>
    <t>Die Cut Part - Cub pad - Large - 40mm x 20mm</t>
  </si>
  <si>
    <t>Number Across Run/Finish –  
Where Finished –  
Length per Roll/Unit – 
Core Type –  
Core Width – 
Core Label – 
Dividers – 
Bag Size – 
Qty. Per Bag – 1000 
Box Size –  12 x 12 x 4
Qty. Per Box – 1,000 
Weight/box – 
Box Per Pallet – 
Pallet Type – </t>
  </si>
  <si>
    <t>51224 Cost of Goods Sold</t>
  </si>
  <si>
    <t>Sheeted Part Gasket 3.5mm OD x 1.6mm ID</t>
  </si>
  <si>
    <t>10010</t>
  </si>
  <si>
    <t>Sheeted Part - Gasket - 3.5mm OD x 1.6mm ID</t>
  </si>
  <si>
    <t>Number Across Run/Finish –  45/1
Where Finished –  On Press
Length per Roll/Unit – 1 Sheet
Core Type –  N/A
Core Width – N/A
Core Label – Yes - bag label
Dividers – 
Bag Size – 
Qty. Per Bag – 250 Each
Box Size –  12 x 12 x 4
Qty. Per Box – 1 M
Weight/box – 
Box Per Pallet – 
Pallet Type – </t>
  </si>
  <si>
    <t>Include a Material Cert for the 9471LE.</t>
  </si>
  <si>
    <t>Core  –  N/A
Width – N/A
Number Across Run/FInish –  45/1
Core Label – Yes - bag label
±10% –  Yes
Unwind Dir. Run – N/A
Unwind Dir. Finish –  N/A
Diecut/Continuous/Sheet –  Sheet
Partial Case –  Yes
Pieces per roll/Unit – 250
Length per roll/unit –  1 Sheet
Finish – On Press
Application – </t>
  </si>
  <si>
    <t>51225 Cost of Goods Sold</t>
  </si>
  <si>
    <t>Sheeted Part 3M SJ5816 11" x 1.5"</t>
  </si>
  <si>
    <t>3387548</t>
  </si>
  <si>
    <t>Sheeted Part - 3M SJ5816 - 11" x 1.5"</t>
  </si>
  <si>
    <t>Number Across Run/Finish –  2/1
Where Finished –  On Press
Length per Roll/Unit – 116'
Core Type –  N/A
Core Width – N/A
Core Label – No
Dividers – 
Bag Size – 
Qty. Per Bag – 250 Each
Box Size –  12 x 12 x 4
Qty. Per Box – 250 Each
Weight/box – 
Box Per Pallet – 
Pallet Type – </t>
  </si>
  <si>
    <t>Core  –  N/A
Width – N/A
Number Across Run/FInish –  2/1
Core Label – No
±10% –  Yes
Unwind Dir. Run – N/A
Unwind Dir. Finish –  N/A
Diecut/Continuous/Sheet –  Die Cut Sheet
Partial Case –  Yes
Pieces per roll/Unit – 250
Length per roll/unit –  116'
Finish – On Press
Application – </t>
  </si>
  <si>
    <t>51226 Cost of Goods Sold</t>
  </si>
  <si>
    <t>Laser Cut Part Polyimide Tape Mask, Pattern A 0.375" x 0.375"</t>
  </si>
  <si>
    <t>DN002877</t>
  </si>
  <si>
    <t>Laser Cut Part - Polyimide Tape Mask, Pattern A - 0.375" x 0.375"</t>
  </si>
  <si>
    <t>Number Across Run/Finish –  2/2
Where Finished –  On Press
Length per Roll/Unit – 53'
Core Type –  3" Plastic 0.10" HDPE
Core Width – 1.5"
Core Label – Yes
Dividers – 
Bag Size – 
Qty. Per Bag – 1 Rolls
Box Size –  12 x 12 x 10
Qty. Per Box – 10 M
Weight/box – 
Box Per Pallet – 
Pallet Type – </t>
  </si>
  <si>
    <t>Core  –  3" Plastic 0.10" HDPE
Width – 1.5"
Number Across Run/FInish –  2/2
Core Label – Yes
±10% –  Yes
Unwind Dir. Run – parts Out
Unwind Dir. Finish –  Parts Out
Diecut/Continuous/Sheet –  Die Cut
Partial Case –  Yes
Pieces per roll/Unit – 2,500
Length per roll/unit –  53'
Finish – On Press
Application – </t>
  </si>
  <si>
    <t>51227 Cost of Goods Sold</t>
  </si>
  <si>
    <t>Slit Tape 3M 9576 6-5/32" x 328Yd</t>
  </si>
  <si>
    <t>3M9576-328</t>
  </si>
  <si>
    <t>Slit Tape - 3M 9576 - 6-5/32" x 328Yd</t>
  </si>
  <si>
    <t>Number Across Run/Finish –  4/1
Where Finished –  On Press
Length per Roll/Unit – 328 Yd
Core Type –  As Recd.
Core Width – 6.156"
Core Label – Yes
Dividers – Paper
Bag Size – 
Qty. Per Bag – 1 Roll
Box Size –  18 x 18 x 18
Qty. Per Box – 1 Roll
Weight/box – 
Box Per Pallet – 
Pallet Type – </t>
  </si>
  <si>
    <t>Core  –  As Recd.
Width – 6.156"
Number Across Run/FInish –  4/1
Core Label – Yes
±10% –  Yes
Unwind Dir. Run – N/A
Unwind Dir. Finish –  N/A
Diecut/Continuous/Sheet –  Continuous
Partial Case –  Yes
Pieces per roll/Unit – 1 Roll
Length per roll/unit –  328 Yd
Finish – On Press
Application – </t>
  </si>
  <si>
    <t>51228 Cost of Goods Sold</t>
  </si>
  <si>
    <t>Slit Tape 3M 4076 with scored liner 5" x 288Yd</t>
  </si>
  <si>
    <t>9395</t>
  </si>
  <si>
    <t>Slit Tape - 3M 4076 with scored liner - 5" x 288Yd</t>
  </si>
  <si>
    <t>Number Across Run/Finish –  1/1
Where Finished –  On Press
Length per Roll/Unit – 864'
Core Type –  3" Plastic 0.10" HDPE
Core Width – 5.00"
Core Label – Yes
Dividers – 
Bag Size – 
Qty. Per Bag – 1 Rolls
Box Size –  12 x 12 x 4
Qty. Per Box – 3 Rolls
Weight/box – 
Box Per Pallet – 
Pallet Type – </t>
  </si>
  <si>
    <t>Core  –  3" Plastic 0.10" HDPE
Width – 5.00"
Number Across Run/FInish –  1/1
Core Label – Yes
±10% –  Yes
Unwind Dir. Run – Liner In
Unwind Dir. Finish –  Liner In
Diecut/Continuous/Sheet –  Continuous
Partial Case –  Yes
Pieces per roll/Unit – 1 Roll
Length per roll/unit –  864'
Finish – On Press
Application – </t>
  </si>
  <si>
    <t>51229 Cost of Goods Sold</t>
  </si>
  <si>
    <t>Die Cut Part Blower Gasket Cover - 4930 84.54mm x 54mm</t>
  </si>
  <si>
    <t>Die Cut Part - Blower Gasket Cover - 4930 - 84.54mm x 54mm</t>
  </si>
  <si>
    <t>Number Across Run/Finish –  1/1
Where Finished –  On Press
Length per Roll/Unit – 125'
Core Type –  N/A
Core Width – N/A
Core Label – No
Dividers – 3 x 4.5 Silicone
Bag Size – 
Qty. Per Bag – 25 Each
Box Size –  
Qty. Per Box – 500 Each
Weight/box – 
Box Per Pallet – 
Pallet Type – </t>
  </si>
  <si>
    <t>Use box label format 9396.
- Avon Purchase Order, Part Number, Part Number Revision, Spec Number, Quantity, Description, Week or Day of Manufacture, and lot number MUST be noted on all outer box labels, certifications, packing slips, and invoices. 
- Include Stock Lot numbers, VHB DOM, DOE and lot # on the C of C.  Include a Material Cert for the VHB.
- Lot number, quantity, and spec number MUST be barcoded on all outer box labels.
- All items with a shelf life MUST have the VHB expiration date noted on the WO, packing slip, certification, and individual item or container.</t>
  </si>
  <si>
    <t>Core  –  N/A
Width – N/A
Number Across Run/FInish –  1/1
Core Label – No
±10% –  Ask
Unwind Dir. Run – N/A
Unwind Dir. Finish –  N/A
Diecut/Continuous/Sheet –  Sheet
Partial Case –  Ask
Pieces per roll/Unit – 500
Length per roll/unit –  125'
Finish – On Press
Application – </t>
  </si>
  <si>
    <t>51230 Cost of Goods Sold</t>
  </si>
  <si>
    <t>51231 Cost of Goods Sold</t>
  </si>
  <si>
    <t>Core  –  3" Plastic 0.10" HDPE
Width – 1.25
Number Across Run/FInish –  
Core Label – 
±10% –  
Unwind Dir. Run – 
Unwind Dir. Finish –  
Diecut/Continuous/Sheet –  
Partial Case –  
Pieces per roll/Unit – 
Length per roll/unit –  
Finish – 
Application – </t>
  </si>
  <si>
    <t>51232 Cost of Goods Sold</t>
  </si>
  <si>
    <t>Laminated Rolls 3M 9415PC/15 mil HIPS 3.96" x 700'</t>
  </si>
  <si>
    <t>9400</t>
  </si>
  <si>
    <t>Laminated Rolls - 3M 9415PC/15 mil HIPS - 3.96" x 700'</t>
  </si>
  <si>
    <t>Number Across Run/Finish –  5/1
Where Finished –  On Press
Length per Roll/Unit – 700'
Core Type –  3" Plastic 0.20" HDPE
Core Width – 3.96"
Core Label – Yes
Dividers – 
Bag Size – 
Qty. Per Bag – 3 Rolls
Box Size –  12 x 12 x 4
Qty. Per Box – 3 Rolls
Weight/box – 
Box Per Pallet – 
Pallet Type – </t>
  </si>
  <si>
    <t>Core  –  3" Plastic 0.20" HDPE
Width – 3.96"
Number Across Run/FInish –  5/1
Core Label – Yes
±10% –  Yes
Unwind Dir. Run – Adh. Out
Unwind Dir. Finish –  Adh. Out
Diecut/Continuous/Sheet –  Continuous
Partial Case –  Yes
Pieces per roll/Unit – 1 Roll
Length per roll/unit –  700'
Finish – On Press
Application – </t>
  </si>
  <si>
    <t>HIPS is WHITE even though description says BLUE</t>
  </si>
  <si>
    <t>51234 Cost of Goods Sold</t>
  </si>
  <si>
    <t>Sheeted Part 3M SJ3560 3" x 1"</t>
  </si>
  <si>
    <t>9401</t>
  </si>
  <si>
    <t>Sheeted Part - 3M SJ3560 - 3" x 1"</t>
  </si>
  <si>
    <t>Number Across Run/Finish –  1/1
Where Finished –  On Press
Length per Roll/Unit – 75'
Core Type –  N/A
Core Width – N/A
Core Label – No
Dividers – 
Bag Size – 
Qty. Per Bag – 300 Each
Box Size –  
Qty. Per Box – 300 Each
Weight/box – 
Box Per Pallet – 
Pallet Type – </t>
  </si>
  <si>
    <t>Core  –  N/A
Width – N/A
Number Across Run/FInish –  1/1
Core Label – No
±10% –  Yes
Unwind Dir. Run – N/A
Unwind Dir. Finish –  N/A
Diecut/Continuous/Sheet –  Sheet
Partial Case –  Yes
Pieces per roll/Unit – 300
Length per roll/unit –  75'
Finish – On Press
Application – </t>
  </si>
  <si>
    <t>51235 Cost of Goods Sold</t>
  </si>
  <si>
    <t>51236 Cost of Goods Sold</t>
  </si>
  <si>
    <t>06-00031-1</t>
  </si>
  <si>
    <t>Number Across Run/Finish –  
Where Finished –  
Length per Roll/Unit – 
Core Type –  
Core Width – 
Core Label – 
Dividers – 
Bag Size – 
Qty. Per Bag – 1 
Box Size –  
Qty. Per Box – 1 
Weight/box – 
Box Per Pallet – 
Pallet Type – </t>
  </si>
  <si>
    <t>51237 Cost of Goods Sold</t>
  </si>
  <si>
    <t>06-00032-1</t>
  </si>
  <si>
    <t>51238 Cost of Goods Sold</t>
  </si>
  <si>
    <t>2M-03465 Rev A</t>
  </si>
  <si>
    <t>Number Across Run/Finish –  
Where Finished –  
Length per Roll/Unit – 
Core Type –  
Core Width – 
Core Label – 
Dividers – 
Bag Size – 
Qty. Per Bag – .5 
Box Size –  
Qty. Per Box – 1 
Weight/box – 
Box Per Pallet – 
Pallet Type – </t>
  </si>
  <si>
    <t>51239 Cost of Goods Sold</t>
  </si>
  <si>
    <t>2M-03466 Rev A</t>
  </si>
  <si>
    <t>Number Across Run/Finish –  
Where Finished –  
Length per Roll/Unit – 
Core Type –  
Core Width – 
Core Label – 
Dividers – 
Bag Size – 
Qty. Per Bag – .5 
Box Size –  14 1/4 x 8 3/4  x 12 5/8
Qty. Per Box – 1 
Weight/box – 
Box Per Pallet – 
Pallet Type – </t>
  </si>
  <si>
    <t>51240 Cost of Goods Sold</t>
  </si>
  <si>
    <t>Slit Tape Splicing tape - ST-2221 1.5" x 180 ft</t>
  </si>
  <si>
    <t>6207033</t>
  </si>
  <si>
    <t>Slit Tape - Splicing tape - ST-2221 - 1.5" x 180 ft</t>
  </si>
  <si>
    <t>Number Across Run/Finish –  7/1
Where Finished –  On Press
Length per Roll/Unit – 180'
Core Type –  
Core Width – 1.500"
Core Label – Yes
Dividers – 
Bag Size – 
Qty. Per Bag – 8 Rolls
Box Size –  
Qty. Per Box – 16 Rolls
Weight/box – 
Box Per Pallet – 
Pallet Type – </t>
  </si>
  <si>
    <t>Must use yellow silicone release tape for splicing.</t>
  </si>
  <si>
    <t>Core  –  
Width – 1.500"
Number Across Run/FInish –  7/1
Core Label – Yes
±10% –  Yes
Unwind Dir. Run – Liner out
Unwind Dir. Finish –  Liner out
Diecut/Continuous/Sheet –  Continuous
Partial Case –  Yes
Pieces per roll/Unit – 1 Roll
Length per roll/unit –  180'
Finish – On Press
Application – </t>
  </si>
  <si>
    <t>51241 Cost of Goods Sold</t>
  </si>
  <si>
    <t>Length of butt cut in Inches</t>
  </si>
  <si>
    <t>Units are Inches
Wind foam side out.</t>
  </si>
  <si>
    <t>Units are Inches</t>
  </si>
  <si>
    <t>Units are mm</t>
  </si>
  <si>
    <t>Units are mm
Use Calipers</t>
  </si>
  <si>
    <t>Note (1) Raw Material failure does not cause Strouse product reject.
Units are Inches</t>
  </si>
  <si>
    <t>Units are Inches
May use Rule</t>
  </si>
  <si>
    <t>Units are Inches
Check length every roll</t>
  </si>
  <si>
    <t>Units are Inches.  Tightened Inspection following CAR</t>
  </si>
  <si>
    <t>Units are Inches
Tolerance = +/- 1/32</t>
  </si>
  <si>
    <t>Units are Inches.  Check Perforation at end of each roll</t>
  </si>
  <si>
    <t>Units are mm. All location descriptions assume part is oriented as it is in the drawing.</t>
  </si>
  <si>
    <t>Visually inspect every roll for complete butt cuts and watch for material weaving. Units are mm</t>
  </si>
  <si>
    <t>Units are Inches (mm)</t>
  </si>
  <si>
    <t>Units are mm - Alternate measuring 1st and 3rd and 2nd and 4th rolls from each set.</t>
  </si>
  <si>
    <t>Units are Inches - Tolerances to be determined at time of material arrival</t>
  </si>
  <si>
    <t>Units are Inches.  Inspect 2 samples from each finished roll.  Collect data with Viper during run.  For run qtys &lt;225,000 see QA to check freq.</t>
  </si>
  <si>
    <t>Units are Inches - Look at  samples from different areas of each finished bag for mis-cuts, also look for mis-cuts as you sift.  From each bag record pass/fails.  If any parts are not completely cut mark and quarantine bag for review.</t>
  </si>
  <si>
    <t>Every set visually check Op, Mid, &amp; Gr lane for butt cut &amp; deadening.
Every fourth set measure 1-lane; alternate lanes and indicate on IPIC the lane.  Units are Inches.</t>
  </si>
  <si>
    <t>Units are Inches - use hundredths scale and magnifier or Ram scope to measure</t>
  </si>
  <si>
    <t>Units are Inches - See attached drawing for dimension references.  Pull 3 samples from each roll</t>
  </si>
  <si>
    <t>Units are Inches
Use ruler to check parts</t>
  </si>
  <si>
    <t>Units are mm - Asymmetric tolerance is correct.</t>
  </si>
  <si>
    <t>Units are Inches
Check go/no-go gauge every 1,000
Record measurement every 4,000</t>
  </si>
  <si>
    <t>Units are Inches
Check go/no-go gauge every 1,000
Record measurement every 5,000</t>
  </si>
  <si>
    <t>Units are mm - Asymmetric tolerance is correct per customer drawing.</t>
  </si>
  <si>
    <t>Units are mm
CHECK DIE CUT/PERF at EVERY ROLL</t>
  </si>
  <si>
    <t>Units are Inches except the print height</t>
  </si>
  <si>
    <t>Units are Inches - Use Ruler</t>
  </si>
  <si>
    <t>Units are mm - Use Ruler</t>
  </si>
  <si>
    <t xml:space="preserve">Units are mm
Check items 3,4,5 every 1000
Check items 1,2 every 5000
</t>
  </si>
  <si>
    <t>Units are Inches
For each set check 2 lanes at random</t>
  </si>
  <si>
    <t>Units are Inches - For deviation only</t>
  </si>
  <si>
    <t>Units are Inches.  For orders 100M - 500M, please collect 80 samples.  (For different qty; see QA)</t>
  </si>
  <si>
    <t>Units are mm; Prescribed frequency valid for lot sizes of 500,000 or greater for lesser lot quantities see QA</t>
  </si>
  <si>
    <t>Units are mm - Save 2 additional retains per roll</t>
  </si>
  <si>
    <t>Units are Inches
Keyence Program Exists</t>
  </si>
  <si>
    <t>Units are mm
Check two samples from each set run</t>
  </si>
  <si>
    <t>Units are mm. Use Lupe Digital Scale</t>
  </si>
  <si>
    <t>Units are mm.  Use Lupe Digital Scale</t>
  </si>
  <si>
    <t>Units are mm - Measure all rows during set up and alternate during run.</t>
  </si>
  <si>
    <t>Units are mm - Measure all rows during set up and alternate rows during run.</t>
  </si>
  <si>
    <t>Units are Inches for Step 1 and mm for Step 2</t>
  </si>
  <si>
    <t>Units are mm - All measurements are from center of large hole.</t>
  </si>
  <si>
    <t xml:space="preserve">Units are Inches. Need to maintain inspection frequency to match the customer required sampling for order quantities of 125M. See QC if quantity is lower. </t>
  </si>
  <si>
    <t>Units are Inches.  500 samples required for all orders of size 35,001 to 150,000.  If order is for different quantity please see QA for sample size</t>
  </si>
  <si>
    <t>Units are Inches
[Measure per prescribed frequency]
(Only one retained part is required per shift)</t>
  </si>
  <si>
    <t>Units are Inches for Step 1 and mm for Step 2 - See enclosed reference drawing for dimensions to check.</t>
  </si>
  <si>
    <t>Units are Inches for Step 1.
Use template for Step 2.</t>
  </si>
  <si>
    <t>Units are Inches.  375 samples required for all orders of size 35,001 to 150,000.  If order is for different quantity please see QA for sample size</t>
  </si>
  <si>
    <t>Units are Inches. 375 samples required for all orders of size 35,001 to 150,000.  If order is for different quantity please see QA for sample size</t>
  </si>
  <si>
    <t>Units are mm; For Prescribed frequency see QA</t>
  </si>
  <si>
    <t>Units are Inches
(Program is on the Keyence)</t>
  </si>
  <si>
    <t>Units are Inches
(Program is on the Keyence)
*If the Radii and/or Angle measurements fail on the Keyence program; please see QA)</t>
  </si>
  <si>
    <t>Units are mm
Trial Inspection - Inspect 10 parts per 1000 parts at end of run.</t>
  </si>
  <si>
    <t>Units are Inches - Dimensional check every 100 sheets</t>
  </si>
  <si>
    <t>Units are Inches.</t>
  </si>
  <si>
    <t>Units are Inches
Check 15 parts from each set to achieve sample size</t>
  </si>
  <si>
    <t>Units are Inches - Wait 10 min. before calling for initial sign off to insure no shrinkage of foam.</t>
  </si>
  <si>
    <t>Units are Inches
(Program is on the Keyence, same as JT 9135)</t>
  </si>
  <si>
    <t>Assembly Number</t>
  </si>
  <si>
    <t>InspectionSequence</t>
  </si>
  <si>
    <t>Operation Sequence (line)</t>
  </si>
  <si>
    <t>Item Internal Id</t>
  </si>
  <si>
    <t>Max Target Min</t>
  </si>
  <si>
    <t>External ID</t>
  </si>
  <si>
    <t>ID</t>
  </si>
  <si>
    <t>JobJacket( Extrnal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</si>
</sst>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theme="1"/>
      <name val="Calibri"/>
      <family val="2"/>
      <scheme val="minor"/>
    </font>
    <font>
      <b/>
      <sz val="10"/>
      <color theme="1"/>
      <name val="Calibri"/>
      <family val="2"/>
      <scheme val="minor"/>
    </font>
    <font>
      <sz val="10"/>
      <color theme="1"/>
      <name val="Calibri"/>
      <family val="2"/>
      <scheme val="minor"/>
    </font>
    <font>
      <b/>
      <sz val="10"/>
      <color indexed="10"/>
      <name val="Arial"/>
      <family val="2"/>
    </font>
    <font>
      <b/>
      <sz val="11"/>
      <color rgb="FFFF0000"/>
      <name val="Calibri"/>
      <family val="2"/>
      <scheme val="minor"/>
    </font>
    <font>
      <b/>
      <sz val="10"/>
      <name val="Arial"/>
      <family val="2"/>
    </font>
    <font>
      <b/>
      <sz val="11"/>
      <name val="Calibri"/>
      <family val="2"/>
      <scheme val="minor"/>
    </font>
    <font>
      <b/>
      <sz val="10"/>
      <color indexed="12"/>
      <name val="Arial"/>
      <family val="2"/>
    </font>
    <font>
      <b/>
      <sz val="10"/>
      <color rgb="FFFF0000"/>
      <name val="Arial"/>
      <family val="2"/>
    </font>
    <font>
      <sz val="11"/>
      <color theme="1"/>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35">
    <xf numFmtId="0" fontId="0" fillId="0" borderId="0" xfId="0"/>
    <xf numFmtId="0" fontId="1" fillId="0" borderId="0" xfId="0" applyFont="1" applyAlignment="1">
      <alignment horizontal="center" vertical="top"/>
    </xf>
    <xf numFmtId="0" fontId="0" fillId="0" borderId="0" xfId="0" applyAlignment="1">
      <alignment vertical="top"/>
    </xf>
    <xf numFmtId="49" fontId="0" fillId="0" borderId="0" xfId="0" applyNumberFormat="1" applyAlignment="1">
      <alignment vertical="top"/>
    </xf>
    <xf numFmtId="0" fontId="3" fillId="0" borderId="0" xfId="1" applyFont="1" applyAlignment="1">
      <alignment horizontal="left"/>
    </xf>
    <xf numFmtId="0" fontId="4" fillId="0" borderId="0" xfId="1" applyFont="1" applyAlignment="1">
      <alignment horizontal="left"/>
    </xf>
    <xf numFmtId="0" fontId="5" fillId="0" borderId="0" xfId="1" applyFont="1" applyAlignment="1">
      <alignment horizontal="left"/>
    </xf>
    <xf numFmtId="0" fontId="6" fillId="0" borderId="0" xfId="1" applyFont="1" applyAlignment="1">
      <alignment horizontal="left"/>
    </xf>
    <xf numFmtId="0" fontId="6" fillId="0" borderId="0" xfId="1" applyFont="1" applyAlignment="1">
      <alignment horizontal="left" wrapText="1"/>
    </xf>
    <xf numFmtId="0" fontId="2" fillId="0" borderId="0" xfId="1"/>
    <xf numFmtId="0" fontId="7" fillId="0" borderId="0" xfId="1" applyFont="1" applyAlignment="1">
      <alignment horizontal="left" vertical="top" wrapText="1"/>
    </xf>
    <xf numFmtId="0" fontId="5" fillId="0" borderId="0" xfId="1" applyFont="1" applyAlignment="1">
      <alignment horizontal="left" vertical="top" wrapText="1"/>
    </xf>
    <xf numFmtId="0" fontId="8" fillId="0" borderId="0" xfId="1" applyFont="1" applyAlignment="1">
      <alignment horizontal="left" wrapText="1"/>
    </xf>
    <xf numFmtId="0" fontId="5" fillId="0" borderId="0" xfId="1" applyFont="1" applyAlignment="1">
      <alignment horizontal="left" wrapText="1"/>
    </xf>
    <xf numFmtId="0" fontId="2" fillId="0" borderId="0" xfId="1" applyAlignment="1">
      <alignment horizontal="left" wrapText="1"/>
    </xf>
    <xf numFmtId="0" fontId="8" fillId="0" borderId="0" xfId="1" applyFont="1" applyAlignment="1">
      <alignment horizontal="left"/>
    </xf>
    <xf numFmtId="0" fontId="2" fillId="0" borderId="0" xfId="1" applyAlignment="1">
      <alignment wrapText="1"/>
    </xf>
    <xf numFmtId="0" fontId="5" fillId="2" borderId="0" xfId="1" applyFont="1" applyFill="1" applyAlignment="1">
      <alignment horizontal="left" wrapText="1"/>
    </xf>
    <xf numFmtId="0" fontId="9" fillId="2" borderId="0" xfId="1" applyFont="1" applyFill="1" applyAlignment="1">
      <alignment horizontal="left" wrapText="1"/>
    </xf>
    <xf numFmtId="0" fontId="9" fillId="0" borderId="0" xfId="1" applyFont="1" applyAlignment="1">
      <alignment wrapText="1"/>
    </xf>
    <xf numFmtId="0" fontId="10" fillId="0" borderId="0" xfId="1" applyFont="1" applyAlignment="1">
      <alignment horizontal="center" vertical="center"/>
    </xf>
    <xf numFmtId="0" fontId="2" fillId="0" borderId="0" xfId="1" applyAlignment="1">
      <alignment horizontal="center" vertical="center"/>
    </xf>
    <xf numFmtId="0" fontId="9" fillId="0" borderId="0" xfId="1" applyFont="1" applyAlignment="1">
      <alignment horizontal="center" vertical="center"/>
    </xf>
    <xf numFmtId="0" fontId="2" fillId="0" borderId="0" xfId="1" applyAlignment="1">
      <alignment vertical="center" wrapText="1"/>
    </xf>
    <xf numFmtId="0" fontId="2" fillId="0" borderId="0" xfId="1" applyAlignment="1">
      <alignment horizontal="center" vertical="center" wrapText="1"/>
    </xf>
    <xf numFmtId="0" fontId="10" fillId="0" borderId="0" xfId="1" applyFont="1"/>
    <xf numFmtId="0" fontId="10" fillId="0" borderId="0" xfId="1" applyFont="1" applyAlignment="1">
      <alignment wrapText="1"/>
    </xf>
    <xf numFmtId="0" fontId="2" fillId="0" borderId="1" xfId="1" applyBorder="1" applyAlignment="1">
      <alignment vertical="center" wrapText="1"/>
    </xf>
    <xf numFmtId="0" fontId="10" fillId="0" borderId="0" xfId="1" applyFont="1" applyAlignment="1">
      <alignment horizontal="center" vertical="center" wrapText="1"/>
    </xf>
    <xf numFmtId="49" fontId="0" fillId="0" borderId="0" xfId="0" applyNumberFormat="1" applyAlignment="1">
      <alignment vertical="top" wrapText="1"/>
    </xf>
    <xf numFmtId="0" fontId="0" fillId="0" borderId="0" xfId="0" applyAlignment="1">
      <alignment wrapText="1"/>
    </xf>
    <xf numFmtId="0" fontId="1" fillId="0" borderId="0" xfId="0" applyFont="1"/>
    <xf numFmtId="0" fontId="1" fillId="0" borderId="0" xfId="0" applyNumberFormat="1" applyFont="1" applyAlignment="1">
      <alignment horizontal="center" vertical="top"/>
    </xf>
    <xf numFmtId="0" fontId="0" fillId="0" borderId="0" xfId="0" applyNumberFormat="1" applyAlignment="1">
      <alignment vertical="top"/>
    </xf>
    <xf numFmtId="0" fontId="0" fillId="0" borderId="0" xfId="0" applyNumberFormat="1"/>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apr\Downloads\Items5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s"/>
    </sheetNames>
    <sheetDataSet>
      <sheetData sheetId="0">
        <row r="1">
          <cell r="A1" t="str">
            <v>Name</v>
          </cell>
          <cell r="B1" t="str">
            <v>Internal ID</v>
          </cell>
        </row>
        <row r="2">
          <cell r="A2" t="str">
            <v>Anilox</v>
          </cell>
          <cell r="B2">
            <v>6019</v>
          </cell>
        </row>
        <row r="3">
          <cell r="A3" t="str">
            <v>Print Cylinder</v>
          </cell>
          <cell r="B3">
            <v>6018</v>
          </cell>
        </row>
        <row r="4">
          <cell r="A4" t="str">
            <v>Other</v>
          </cell>
          <cell r="B4">
            <v>6017</v>
          </cell>
        </row>
        <row r="5">
          <cell r="A5" t="str">
            <v>Guide</v>
          </cell>
          <cell r="B5">
            <v>6015</v>
          </cell>
        </row>
        <row r="6">
          <cell r="A6" t="str">
            <v>Anvil &amp; Stepped Anvil</v>
          </cell>
          <cell r="B6">
            <v>6014</v>
          </cell>
        </row>
        <row r="7">
          <cell r="A7">
            <v>9408</v>
          </cell>
          <cell r="B7">
            <v>2159</v>
          </cell>
        </row>
        <row r="8">
          <cell r="A8">
            <v>9400</v>
          </cell>
          <cell r="B8">
            <v>2158</v>
          </cell>
        </row>
        <row r="9">
          <cell r="A9">
            <v>9394</v>
          </cell>
          <cell r="B9">
            <v>2156</v>
          </cell>
        </row>
        <row r="10">
          <cell r="A10">
            <v>9395</v>
          </cell>
          <cell r="B10">
            <v>2157</v>
          </cell>
        </row>
        <row r="11">
          <cell r="A11">
            <v>9386</v>
          </cell>
          <cell r="B11">
            <v>2155</v>
          </cell>
        </row>
        <row r="12">
          <cell r="A12">
            <v>9379</v>
          </cell>
          <cell r="B12">
            <v>2154</v>
          </cell>
        </row>
        <row r="13">
          <cell r="A13">
            <v>9376</v>
          </cell>
          <cell r="B13">
            <v>2153</v>
          </cell>
        </row>
        <row r="14">
          <cell r="A14">
            <v>9361</v>
          </cell>
          <cell r="B14">
            <v>2152</v>
          </cell>
        </row>
        <row r="15">
          <cell r="A15">
            <v>9359</v>
          </cell>
          <cell r="B15">
            <v>2151</v>
          </cell>
        </row>
        <row r="16">
          <cell r="A16">
            <v>9358</v>
          </cell>
          <cell r="B16">
            <v>2150</v>
          </cell>
        </row>
        <row r="17">
          <cell r="A17">
            <v>9350</v>
          </cell>
          <cell r="B17">
            <v>2148</v>
          </cell>
        </row>
        <row r="18">
          <cell r="A18">
            <v>9356</v>
          </cell>
          <cell r="B18">
            <v>2149</v>
          </cell>
        </row>
        <row r="19">
          <cell r="A19">
            <v>9349</v>
          </cell>
          <cell r="B19">
            <v>2147</v>
          </cell>
        </row>
        <row r="20">
          <cell r="A20">
            <v>9341</v>
          </cell>
          <cell r="B20">
            <v>2146</v>
          </cell>
        </row>
        <row r="21">
          <cell r="A21">
            <v>9330</v>
          </cell>
          <cell r="B21">
            <v>2145</v>
          </cell>
        </row>
        <row r="22">
          <cell r="A22">
            <v>9329</v>
          </cell>
          <cell r="B22">
            <v>2144</v>
          </cell>
        </row>
        <row r="23">
          <cell r="A23">
            <v>9326</v>
          </cell>
          <cell r="B23">
            <v>2143</v>
          </cell>
        </row>
        <row r="24">
          <cell r="A24">
            <v>9325</v>
          </cell>
          <cell r="B24">
            <v>2142</v>
          </cell>
        </row>
        <row r="25">
          <cell r="A25">
            <v>9324</v>
          </cell>
          <cell r="B25">
            <v>2141</v>
          </cell>
        </row>
        <row r="26">
          <cell r="A26">
            <v>9323</v>
          </cell>
          <cell r="B26">
            <v>2140</v>
          </cell>
        </row>
        <row r="27">
          <cell r="A27">
            <v>9322</v>
          </cell>
          <cell r="B27">
            <v>2139</v>
          </cell>
        </row>
        <row r="28">
          <cell r="A28">
            <v>9312</v>
          </cell>
          <cell r="B28">
            <v>2138</v>
          </cell>
        </row>
        <row r="29">
          <cell r="A29">
            <v>9310</v>
          </cell>
          <cell r="B29">
            <v>2137</v>
          </cell>
        </row>
        <row r="30">
          <cell r="A30">
            <v>9309</v>
          </cell>
          <cell r="B30">
            <v>2136</v>
          </cell>
        </row>
        <row r="31">
          <cell r="A31">
            <v>9308</v>
          </cell>
          <cell r="B31">
            <v>2135</v>
          </cell>
        </row>
        <row r="32">
          <cell r="A32">
            <v>9306</v>
          </cell>
          <cell r="B32">
            <v>2134</v>
          </cell>
        </row>
        <row r="33">
          <cell r="A33">
            <v>9305</v>
          </cell>
          <cell r="B33">
            <v>2133</v>
          </cell>
        </row>
        <row r="34">
          <cell r="A34">
            <v>9297</v>
          </cell>
          <cell r="B34">
            <v>2131</v>
          </cell>
        </row>
        <row r="35">
          <cell r="A35">
            <v>9304</v>
          </cell>
          <cell r="B35">
            <v>2132</v>
          </cell>
        </row>
        <row r="36">
          <cell r="A36">
            <v>9294</v>
          </cell>
          <cell r="B36">
            <v>2130</v>
          </cell>
        </row>
        <row r="37">
          <cell r="A37">
            <v>9293</v>
          </cell>
          <cell r="B37">
            <v>2129</v>
          </cell>
        </row>
        <row r="38">
          <cell r="A38">
            <v>9290</v>
          </cell>
          <cell r="B38">
            <v>2128</v>
          </cell>
        </row>
        <row r="39">
          <cell r="A39">
            <v>9289</v>
          </cell>
          <cell r="B39">
            <v>2127</v>
          </cell>
        </row>
        <row r="40">
          <cell r="A40">
            <v>9287</v>
          </cell>
          <cell r="B40">
            <v>2126</v>
          </cell>
        </row>
        <row r="41">
          <cell r="A41">
            <v>9285</v>
          </cell>
          <cell r="B41">
            <v>2125</v>
          </cell>
        </row>
        <row r="42">
          <cell r="A42">
            <v>9280</v>
          </cell>
          <cell r="B42">
            <v>2124</v>
          </cell>
        </row>
        <row r="43">
          <cell r="A43">
            <v>9279</v>
          </cell>
          <cell r="B43">
            <v>2123</v>
          </cell>
        </row>
        <row r="44">
          <cell r="A44">
            <v>9272</v>
          </cell>
          <cell r="B44">
            <v>2122</v>
          </cell>
        </row>
        <row r="45">
          <cell r="A45">
            <v>9269</v>
          </cell>
          <cell r="B45">
            <v>2120</v>
          </cell>
        </row>
        <row r="46">
          <cell r="A46">
            <v>9271</v>
          </cell>
          <cell r="B46">
            <v>2121</v>
          </cell>
        </row>
        <row r="47">
          <cell r="A47">
            <v>9265</v>
          </cell>
          <cell r="B47">
            <v>2118</v>
          </cell>
        </row>
        <row r="48">
          <cell r="A48">
            <v>9267</v>
          </cell>
          <cell r="B48">
            <v>2119</v>
          </cell>
        </row>
        <row r="49">
          <cell r="A49">
            <v>9263</v>
          </cell>
          <cell r="B49">
            <v>2117</v>
          </cell>
        </row>
        <row r="50">
          <cell r="A50">
            <v>9258</v>
          </cell>
          <cell r="B50">
            <v>2116</v>
          </cell>
        </row>
        <row r="51">
          <cell r="A51">
            <v>9257</v>
          </cell>
          <cell r="B51">
            <v>2115</v>
          </cell>
        </row>
        <row r="52">
          <cell r="A52">
            <v>9249</v>
          </cell>
          <cell r="B52">
            <v>2114</v>
          </cell>
        </row>
        <row r="53">
          <cell r="A53">
            <v>9245</v>
          </cell>
          <cell r="B53">
            <v>2113</v>
          </cell>
        </row>
        <row r="54">
          <cell r="A54">
            <v>9244</v>
          </cell>
          <cell r="B54">
            <v>2112</v>
          </cell>
        </row>
        <row r="55">
          <cell r="A55">
            <v>9243</v>
          </cell>
          <cell r="B55">
            <v>2111</v>
          </cell>
        </row>
        <row r="56">
          <cell r="A56">
            <v>9240</v>
          </cell>
          <cell r="B56">
            <v>2110</v>
          </cell>
        </row>
        <row r="57">
          <cell r="A57">
            <v>9238</v>
          </cell>
          <cell r="B57">
            <v>2109</v>
          </cell>
        </row>
        <row r="58">
          <cell r="A58">
            <v>9232</v>
          </cell>
          <cell r="B58">
            <v>2108</v>
          </cell>
        </row>
        <row r="59">
          <cell r="A59">
            <v>9223</v>
          </cell>
          <cell r="B59">
            <v>2107</v>
          </cell>
        </row>
        <row r="60">
          <cell r="A60">
            <v>9222</v>
          </cell>
          <cell r="B60">
            <v>2106</v>
          </cell>
        </row>
        <row r="61">
          <cell r="A61">
            <v>9216</v>
          </cell>
          <cell r="B61">
            <v>2105</v>
          </cell>
        </row>
        <row r="62">
          <cell r="A62">
            <v>9215</v>
          </cell>
          <cell r="B62">
            <v>2104</v>
          </cell>
        </row>
        <row r="63">
          <cell r="A63">
            <v>9214</v>
          </cell>
          <cell r="B63">
            <v>2103</v>
          </cell>
        </row>
        <row r="64">
          <cell r="A64">
            <v>9206</v>
          </cell>
          <cell r="B64">
            <v>2102</v>
          </cell>
        </row>
        <row r="65">
          <cell r="A65">
            <v>9205</v>
          </cell>
          <cell r="B65">
            <v>2101</v>
          </cell>
        </row>
        <row r="66">
          <cell r="A66">
            <v>9204</v>
          </cell>
          <cell r="B66">
            <v>2100</v>
          </cell>
        </row>
        <row r="67">
          <cell r="A67">
            <v>9197</v>
          </cell>
          <cell r="B67">
            <v>2099</v>
          </cell>
        </row>
        <row r="68">
          <cell r="A68">
            <v>9196</v>
          </cell>
          <cell r="B68">
            <v>2098</v>
          </cell>
        </row>
        <row r="69">
          <cell r="A69">
            <v>9195</v>
          </cell>
          <cell r="B69">
            <v>2097</v>
          </cell>
        </row>
        <row r="70">
          <cell r="A70">
            <v>9194</v>
          </cell>
          <cell r="B70">
            <v>2096</v>
          </cell>
        </row>
        <row r="71">
          <cell r="A71">
            <v>9191</v>
          </cell>
          <cell r="B71">
            <v>2094</v>
          </cell>
        </row>
        <row r="72">
          <cell r="A72">
            <v>9193</v>
          </cell>
          <cell r="B72">
            <v>2095</v>
          </cell>
        </row>
        <row r="73">
          <cell r="A73">
            <v>9186</v>
          </cell>
          <cell r="B73">
            <v>2093</v>
          </cell>
        </row>
        <row r="74">
          <cell r="A74">
            <v>9184</v>
          </cell>
          <cell r="B74">
            <v>2092</v>
          </cell>
        </row>
        <row r="75">
          <cell r="A75">
            <v>9181</v>
          </cell>
          <cell r="B75">
            <v>2091</v>
          </cell>
        </row>
        <row r="76">
          <cell r="A76">
            <v>9179</v>
          </cell>
          <cell r="B76">
            <v>2090</v>
          </cell>
        </row>
        <row r="77">
          <cell r="A77">
            <v>9169</v>
          </cell>
          <cell r="B77">
            <v>2089</v>
          </cell>
        </row>
        <row r="78">
          <cell r="A78">
            <v>9164</v>
          </cell>
          <cell r="B78">
            <v>2088</v>
          </cell>
        </row>
        <row r="79">
          <cell r="A79">
            <v>9160</v>
          </cell>
          <cell r="B79">
            <v>2086</v>
          </cell>
        </row>
        <row r="80">
          <cell r="A80">
            <v>9161</v>
          </cell>
          <cell r="B80">
            <v>2087</v>
          </cell>
        </row>
        <row r="81">
          <cell r="A81">
            <v>9159</v>
          </cell>
          <cell r="B81">
            <v>2085</v>
          </cell>
        </row>
        <row r="82">
          <cell r="A82">
            <v>9157</v>
          </cell>
          <cell r="B82">
            <v>2084</v>
          </cell>
        </row>
        <row r="83">
          <cell r="A83">
            <v>9154</v>
          </cell>
          <cell r="B83">
            <v>2083</v>
          </cell>
        </row>
        <row r="84">
          <cell r="A84">
            <v>9147</v>
          </cell>
          <cell r="B84">
            <v>2082</v>
          </cell>
        </row>
        <row r="85">
          <cell r="A85">
            <v>9146</v>
          </cell>
          <cell r="B85">
            <v>2081</v>
          </cell>
        </row>
        <row r="86">
          <cell r="A86">
            <v>9145</v>
          </cell>
          <cell r="B86">
            <v>2080</v>
          </cell>
        </row>
        <row r="87">
          <cell r="A87">
            <v>9144</v>
          </cell>
          <cell r="B87">
            <v>2079</v>
          </cell>
        </row>
        <row r="88">
          <cell r="A88">
            <v>9143</v>
          </cell>
          <cell r="B88">
            <v>2078</v>
          </cell>
        </row>
        <row r="89">
          <cell r="A89">
            <v>9142</v>
          </cell>
          <cell r="B89">
            <v>2077</v>
          </cell>
        </row>
        <row r="90">
          <cell r="A90">
            <v>9141</v>
          </cell>
          <cell r="B90">
            <v>2076</v>
          </cell>
        </row>
        <row r="91">
          <cell r="A91">
            <v>9140</v>
          </cell>
          <cell r="B91">
            <v>2075</v>
          </cell>
        </row>
        <row r="92">
          <cell r="A92">
            <v>9136</v>
          </cell>
          <cell r="B92">
            <v>2074</v>
          </cell>
        </row>
        <row r="93">
          <cell r="A93">
            <v>9116</v>
          </cell>
          <cell r="B93">
            <v>2073</v>
          </cell>
        </row>
        <row r="94">
          <cell r="A94">
            <v>9110</v>
          </cell>
          <cell r="B94">
            <v>2072</v>
          </cell>
        </row>
        <row r="95">
          <cell r="A95">
            <v>9109</v>
          </cell>
          <cell r="B95">
            <v>2071</v>
          </cell>
        </row>
        <row r="96">
          <cell r="A96">
            <v>9108</v>
          </cell>
          <cell r="B96">
            <v>2070</v>
          </cell>
        </row>
        <row r="97">
          <cell r="A97">
            <v>9107</v>
          </cell>
          <cell r="B97">
            <v>2069</v>
          </cell>
        </row>
        <row r="98">
          <cell r="A98">
            <v>9106</v>
          </cell>
          <cell r="B98">
            <v>2068</v>
          </cell>
        </row>
        <row r="99">
          <cell r="A99">
            <v>9101</v>
          </cell>
          <cell r="B99">
            <v>2067</v>
          </cell>
        </row>
        <row r="100">
          <cell r="A100">
            <v>9095</v>
          </cell>
          <cell r="B100">
            <v>2066</v>
          </cell>
        </row>
        <row r="101">
          <cell r="A101">
            <v>9089</v>
          </cell>
          <cell r="B101">
            <v>2065</v>
          </cell>
        </row>
        <row r="102">
          <cell r="A102">
            <v>9084</v>
          </cell>
          <cell r="B102">
            <v>2064</v>
          </cell>
        </row>
        <row r="103">
          <cell r="A103">
            <v>9083</v>
          </cell>
          <cell r="B103">
            <v>2063</v>
          </cell>
        </row>
        <row r="104">
          <cell r="A104">
            <v>9079</v>
          </cell>
          <cell r="B104">
            <v>2062</v>
          </cell>
        </row>
        <row r="105">
          <cell r="A105">
            <v>9077</v>
          </cell>
          <cell r="B105">
            <v>2061</v>
          </cell>
        </row>
        <row r="106">
          <cell r="A106">
            <v>9072</v>
          </cell>
          <cell r="B106">
            <v>2060</v>
          </cell>
        </row>
        <row r="107">
          <cell r="A107">
            <v>9071</v>
          </cell>
          <cell r="B107">
            <v>2059</v>
          </cell>
        </row>
        <row r="108">
          <cell r="A108">
            <v>9070</v>
          </cell>
          <cell r="B108">
            <v>2058</v>
          </cell>
        </row>
        <row r="109">
          <cell r="A109">
            <v>9068</v>
          </cell>
          <cell r="B109">
            <v>2057</v>
          </cell>
        </row>
        <row r="110">
          <cell r="A110">
            <v>9066</v>
          </cell>
          <cell r="B110">
            <v>2056</v>
          </cell>
        </row>
        <row r="111">
          <cell r="A111">
            <v>9059</v>
          </cell>
          <cell r="B111">
            <v>2055</v>
          </cell>
        </row>
        <row r="112">
          <cell r="A112">
            <v>9055</v>
          </cell>
          <cell r="B112">
            <v>2054</v>
          </cell>
        </row>
        <row r="113">
          <cell r="A113">
            <v>9053</v>
          </cell>
          <cell r="B113">
            <v>2053</v>
          </cell>
        </row>
        <row r="114">
          <cell r="A114">
            <v>9046</v>
          </cell>
          <cell r="B114">
            <v>2052</v>
          </cell>
        </row>
        <row r="115">
          <cell r="A115">
            <v>9045</v>
          </cell>
          <cell r="B115">
            <v>2051</v>
          </cell>
        </row>
        <row r="116">
          <cell r="A116">
            <v>9043</v>
          </cell>
          <cell r="B116">
            <v>2050</v>
          </cell>
        </row>
        <row r="117">
          <cell r="A117">
            <v>9038</v>
          </cell>
          <cell r="B117">
            <v>2049</v>
          </cell>
        </row>
        <row r="118">
          <cell r="A118">
            <v>9028</v>
          </cell>
          <cell r="B118">
            <v>2048</v>
          </cell>
        </row>
        <row r="119">
          <cell r="A119">
            <v>9024</v>
          </cell>
          <cell r="B119">
            <v>2047</v>
          </cell>
        </row>
        <row r="120">
          <cell r="A120">
            <v>9023</v>
          </cell>
          <cell r="B120">
            <v>2046</v>
          </cell>
        </row>
        <row r="121">
          <cell r="A121">
            <v>9019</v>
          </cell>
          <cell r="B121">
            <v>2045</v>
          </cell>
        </row>
        <row r="122">
          <cell r="A122">
            <v>9018</v>
          </cell>
          <cell r="B122">
            <v>2044</v>
          </cell>
        </row>
        <row r="123">
          <cell r="A123">
            <v>9014</v>
          </cell>
          <cell r="B123">
            <v>2042</v>
          </cell>
        </row>
        <row r="124">
          <cell r="A124">
            <v>9015</v>
          </cell>
          <cell r="B124">
            <v>2043</v>
          </cell>
        </row>
        <row r="125">
          <cell r="A125">
            <v>9008</v>
          </cell>
          <cell r="B125">
            <v>2041</v>
          </cell>
        </row>
        <row r="126">
          <cell r="A126">
            <v>9007</v>
          </cell>
          <cell r="B126">
            <v>2040</v>
          </cell>
        </row>
        <row r="127">
          <cell r="A127">
            <v>9006</v>
          </cell>
          <cell r="B127">
            <v>2039</v>
          </cell>
        </row>
        <row r="128">
          <cell r="A128">
            <v>9003</v>
          </cell>
          <cell r="B128">
            <v>2037</v>
          </cell>
        </row>
        <row r="129">
          <cell r="A129">
            <v>9005</v>
          </cell>
          <cell r="B129">
            <v>2038</v>
          </cell>
        </row>
        <row r="130">
          <cell r="A130">
            <v>9002</v>
          </cell>
          <cell r="B130">
            <v>2036</v>
          </cell>
        </row>
        <row r="131">
          <cell r="A131">
            <v>8999</v>
          </cell>
          <cell r="B131">
            <v>2035</v>
          </cell>
        </row>
        <row r="132">
          <cell r="A132">
            <v>8998</v>
          </cell>
          <cell r="B132">
            <v>2034</v>
          </cell>
        </row>
        <row r="133">
          <cell r="A133">
            <v>8994</v>
          </cell>
          <cell r="B133">
            <v>2033</v>
          </cell>
        </row>
        <row r="134">
          <cell r="A134">
            <v>8992</v>
          </cell>
          <cell r="B134">
            <v>2031</v>
          </cell>
        </row>
        <row r="135">
          <cell r="A135">
            <v>8993</v>
          </cell>
          <cell r="B135">
            <v>2032</v>
          </cell>
        </row>
        <row r="136">
          <cell r="A136">
            <v>8991</v>
          </cell>
          <cell r="B136">
            <v>2030</v>
          </cell>
        </row>
        <row r="137">
          <cell r="A137">
            <v>8990</v>
          </cell>
          <cell r="B137">
            <v>2029</v>
          </cell>
        </row>
        <row r="138">
          <cell r="A138">
            <v>8987</v>
          </cell>
          <cell r="B138">
            <v>2028</v>
          </cell>
        </row>
        <row r="139">
          <cell r="A139">
            <v>8986</v>
          </cell>
          <cell r="B139">
            <v>2027</v>
          </cell>
        </row>
        <row r="140">
          <cell r="A140">
            <v>8982</v>
          </cell>
          <cell r="B140">
            <v>2026</v>
          </cell>
        </row>
        <row r="141">
          <cell r="A141">
            <v>8981</v>
          </cell>
          <cell r="B141">
            <v>2025</v>
          </cell>
        </row>
        <row r="142">
          <cell r="A142">
            <v>8974</v>
          </cell>
          <cell r="B142">
            <v>2024</v>
          </cell>
        </row>
        <row r="143">
          <cell r="A143">
            <v>8971</v>
          </cell>
          <cell r="B143">
            <v>2023</v>
          </cell>
        </row>
        <row r="144">
          <cell r="A144">
            <v>8970</v>
          </cell>
          <cell r="B144">
            <v>2022</v>
          </cell>
        </row>
        <row r="145">
          <cell r="A145">
            <v>8969</v>
          </cell>
          <cell r="B145">
            <v>2021</v>
          </cell>
        </row>
        <row r="146">
          <cell r="A146">
            <v>8958</v>
          </cell>
          <cell r="B146">
            <v>2019</v>
          </cell>
        </row>
        <row r="147">
          <cell r="A147">
            <v>8965</v>
          </cell>
          <cell r="B147">
            <v>2020</v>
          </cell>
        </row>
        <row r="148">
          <cell r="A148">
            <v>8957</v>
          </cell>
          <cell r="B148">
            <v>2018</v>
          </cell>
        </row>
        <row r="149">
          <cell r="A149">
            <v>8951</v>
          </cell>
          <cell r="B149">
            <v>2017</v>
          </cell>
        </row>
        <row r="150">
          <cell r="A150">
            <v>8950</v>
          </cell>
          <cell r="B150">
            <v>2016</v>
          </cell>
        </row>
        <row r="151">
          <cell r="A151">
            <v>8945</v>
          </cell>
          <cell r="B151">
            <v>2015</v>
          </cell>
        </row>
        <row r="152">
          <cell r="A152">
            <v>8941</v>
          </cell>
          <cell r="B152">
            <v>2014</v>
          </cell>
        </row>
        <row r="153">
          <cell r="A153">
            <v>8937</v>
          </cell>
          <cell r="B153">
            <v>2013</v>
          </cell>
        </row>
        <row r="154">
          <cell r="A154">
            <v>8936</v>
          </cell>
          <cell r="B154">
            <v>2012</v>
          </cell>
        </row>
        <row r="155">
          <cell r="A155">
            <v>8935</v>
          </cell>
          <cell r="B155">
            <v>2011</v>
          </cell>
        </row>
        <row r="156">
          <cell r="A156">
            <v>8931</v>
          </cell>
          <cell r="B156">
            <v>2010</v>
          </cell>
        </row>
        <row r="157">
          <cell r="A157">
            <v>8930</v>
          </cell>
          <cell r="B157">
            <v>2009</v>
          </cell>
        </row>
        <row r="158">
          <cell r="A158">
            <v>8912</v>
          </cell>
          <cell r="B158">
            <v>2008</v>
          </cell>
        </row>
        <row r="159">
          <cell r="A159">
            <v>8906</v>
          </cell>
          <cell r="B159">
            <v>2007</v>
          </cell>
        </row>
        <row r="160">
          <cell r="A160">
            <v>8905</v>
          </cell>
          <cell r="B160">
            <v>2006</v>
          </cell>
        </row>
        <row r="161">
          <cell r="A161">
            <v>8904</v>
          </cell>
          <cell r="B161">
            <v>2005</v>
          </cell>
        </row>
        <row r="162">
          <cell r="A162">
            <v>8903</v>
          </cell>
          <cell r="B162">
            <v>2004</v>
          </cell>
        </row>
        <row r="163">
          <cell r="A163">
            <v>8902</v>
          </cell>
          <cell r="B163">
            <v>2003</v>
          </cell>
        </row>
        <row r="164">
          <cell r="A164">
            <v>8887</v>
          </cell>
          <cell r="B164">
            <v>2002</v>
          </cell>
        </row>
        <row r="165">
          <cell r="A165">
            <v>8879</v>
          </cell>
          <cell r="B165">
            <v>2001</v>
          </cell>
        </row>
        <row r="166">
          <cell r="A166">
            <v>8878</v>
          </cell>
          <cell r="B166">
            <v>2000</v>
          </cell>
        </row>
        <row r="167">
          <cell r="A167">
            <v>8876</v>
          </cell>
          <cell r="B167">
            <v>1999</v>
          </cell>
        </row>
        <row r="168">
          <cell r="A168">
            <v>8857</v>
          </cell>
          <cell r="B168">
            <v>1998</v>
          </cell>
        </row>
        <row r="169">
          <cell r="A169">
            <v>8852</v>
          </cell>
          <cell r="B169">
            <v>1997</v>
          </cell>
        </row>
        <row r="170">
          <cell r="A170">
            <v>8825</v>
          </cell>
          <cell r="B170">
            <v>1995</v>
          </cell>
        </row>
        <row r="171">
          <cell r="A171">
            <v>8838</v>
          </cell>
          <cell r="B171">
            <v>1996</v>
          </cell>
        </row>
        <row r="172">
          <cell r="A172">
            <v>8824</v>
          </cell>
          <cell r="B172">
            <v>1994</v>
          </cell>
        </row>
        <row r="173">
          <cell r="A173">
            <v>8802</v>
          </cell>
          <cell r="B173">
            <v>1993</v>
          </cell>
        </row>
        <row r="174">
          <cell r="A174">
            <v>8779</v>
          </cell>
          <cell r="B174">
            <v>1992</v>
          </cell>
        </row>
        <row r="175">
          <cell r="A175">
            <v>8777</v>
          </cell>
          <cell r="B175">
            <v>1991</v>
          </cell>
        </row>
        <row r="176">
          <cell r="A176">
            <v>8772</v>
          </cell>
          <cell r="B176">
            <v>1990</v>
          </cell>
        </row>
        <row r="177">
          <cell r="A177">
            <v>8757</v>
          </cell>
          <cell r="B177">
            <v>1989</v>
          </cell>
        </row>
        <row r="178">
          <cell r="A178">
            <v>8750</v>
          </cell>
          <cell r="B178">
            <v>1988</v>
          </cell>
        </row>
        <row r="179">
          <cell r="A179">
            <v>8740</v>
          </cell>
          <cell r="B179">
            <v>1987</v>
          </cell>
        </row>
        <row r="180">
          <cell r="A180">
            <v>8730</v>
          </cell>
          <cell r="B180">
            <v>1986</v>
          </cell>
        </row>
        <row r="181">
          <cell r="A181">
            <v>8719</v>
          </cell>
          <cell r="B181">
            <v>1985</v>
          </cell>
        </row>
        <row r="182">
          <cell r="A182">
            <v>8715</v>
          </cell>
          <cell r="B182">
            <v>1984</v>
          </cell>
        </row>
        <row r="183">
          <cell r="A183">
            <v>8680</v>
          </cell>
          <cell r="B183">
            <v>1983</v>
          </cell>
        </row>
        <row r="184">
          <cell r="A184">
            <v>8673</v>
          </cell>
          <cell r="B184">
            <v>1981</v>
          </cell>
        </row>
        <row r="185">
          <cell r="A185">
            <v>8679</v>
          </cell>
          <cell r="B185">
            <v>1982</v>
          </cell>
        </row>
        <row r="186">
          <cell r="A186">
            <v>8664</v>
          </cell>
          <cell r="B186">
            <v>1980</v>
          </cell>
        </row>
        <row r="187">
          <cell r="A187">
            <v>8644</v>
          </cell>
          <cell r="B187">
            <v>1979</v>
          </cell>
        </row>
        <row r="188">
          <cell r="A188">
            <v>8643</v>
          </cell>
          <cell r="B188">
            <v>1978</v>
          </cell>
        </row>
        <row r="189">
          <cell r="A189">
            <v>8642</v>
          </cell>
          <cell r="B189">
            <v>1977</v>
          </cell>
        </row>
        <row r="190">
          <cell r="A190">
            <v>8624</v>
          </cell>
          <cell r="B190">
            <v>1976</v>
          </cell>
        </row>
        <row r="191">
          <cell r="A191">
            <v>8597</v>
          </cell>
          <cell r="B191">
            <v>1975</v>
          </cell>
        </row>
        <row r="192">
          <cell r="A192">
            <v>8586</v>
          </cell>
          <cell r="B192">
            <v>1973</v>
          </cell>
        </row>
        <row r="193">
          <cell r="A193">
            <v>8588</v>
          </cell>
          <cell r="B193">
            <v>1974</v>
          </cell>
        </row>
        <row r="194">
          <cell r="A194">
            <v>8543</v>
          </cell>
          <cell r="B194">
            <v>1972</v>
          </cell>
        </row>
        <row r="195">
          <cell r="A195">
            <v>8533</v>
          </cell>
          <cell r="B195">
            <v>1971</v>
          </cell>
        </row>
        <row r="196">
          <cell r="A196">
            <v>8531</v>
          </cell>
          <cell r="B196">
            <v>1970</v>
          </cell>
        </row>
        <row r="197">
          <cell r="A197">
            <v>8523</v>
          </cell>
          <cell r="B197">
            <v>1969</v>
          </cell>
        </row>
        <row r="198">
          <cell r="A198">
            <v>8508</v>
          </cell>
          <cell r="B198">
            <v>1968</v>
          </cell>
        </row>
        <row r="199">
          <cell r="A199">
            <v>8476</v>
          </cell>
          <cell r="B199">
            <v>1967</v>
          </cell>
        </row>
        <row r="200">
          <cell r="A200">
            <v>8475</v>
          </cell>
          <cell r="B200">
            <v>1966</v>
          </cell>
        </row>
        <row r="201">
          <cell r="A201">
            <v>8432</v>
          </cell>
          <cell r="B201">
            <v>1965</v>
          </cell>
        </row>
        <row r="202">
          <cell r="A202">
            <v>8431</v>
          </cell>
          <cell r="B202">
            <v>1964</v>
          </cell>
        </row>
        <row r="203">
          <cell r="A203">
            <v>8411</v>
          </cell>
          <cell r="B203">
            <v>1962</v>
          </cell>
        </row>
        <row r="204">
          <cell r="A204">
            <v>8423</v>
          </cell>
          <cell r="B204">
            <v>1963</v>
          </cell>
        </row>
        <row r="205">
          <cell r="A205">
            <v>8387</v>
          </cell>
          <cell r="B205">
            <v>1961</v>
          </cell>
        </row>
        <row r="206">
          <cell r="A206">
            <v>8386</v>
          </cell>
          <cell r="B206">
            <v>1960</v>
          </cell>
        </row>
        <row r="207">
          <cell r="A207">
            <v>8385</v>
          </cell>
          <cell r="B207">
            <v>1959</v>
          </cell>
        </row>
        <row r="208">
          <cell r="A208">
            <v>8384</v>
          </cell>
          <cell r="B208">
            <v>1958</v>
          </cell>
        </row>
        <row r="209">
          <cell r="A209">
            <v>8381</v>
          </cell>
          <cell r="B209">
            <v>1957</v>
          </cell>
        </row>
        <row r="210">
          <cell r="A210">
            <v>8362</v>
          </cell>
          <cell r="B210">
            <v>1956</v>
          </cell>
        </row>
        <row r="211">
          <cell r="A211">
            <v>8360</v>
          </cell>
          <cell r="B211">
            <v>1955</v>
          </cell>
        </row>
        <row r="212">
          <cell r="A212">
            <v>8359</v>
          </cell>
          <cell r="B212">
            <v>1954</v>
          </cell>
        </row>
        <row r="213">
          <cell r="A213">
            <v>8356</v>
          </cell>
          <cell r="B213">
            <v>1953</v>
          </cell>
        </row>
        <row r="214">
          <cell r="A214">
            <v>8349</v>
          </cell>
          <cell r="B214">
            <v>1952</v>
          </cell>
        </row>
        <row r="215">
          <cell r="A215">
            <v>8348</v>
          </cell>
          <cell r="B215">
            <v>1951</v>
          </cell>
        </row>
        <row r="216">
          <cell r="A216">
            <v>8346</v>
          </cell>
          <cell r="B216">
            <v>1950</v>
          </cell>
        </row>
        <row r="217">
          <cell r="A217">
            <v>8288</v>
          </cell>
          <cell r="B217">
            <v>1949</v>
          </cell>
        </row>
        <row r="218">
          <cell r="A218">
            <v>8274</v>
          </cell>
          <cell r="B218">
            <v>1948</v>
          </cell>
        </row>
        <row r="219">
          <cell r="A219">
            <v>8252</v>
          </cell>
          <cell r="B219">
            <v>1946</v>
          </cell>
        </row>
        <row r="220">
          <cell r="A220">
            <v>8267</v>
          </cell>
          <cell r="B220">
            <v>1947</v>
          </cell>
        </row>
        <row r="221">
          <cell r="A221">
            <v>8239</v>
          </cell>
          <cell r="B221">
            <v>1945</v>
          </cell>
        </row>
        <row r="222">
          <cell r="A222">
            <v>8223</v>
          </cell>
          <cell r="B222">
            <v>1944</v>
          </cell>
        </row>
        <row r="223">
          <cell r="A223">
            <v>8197</v>
          </cell>
          <cell r="B223">
            <v>1943</v>
          </cell>
        </row>
        <row r="224">
          <cell r="A224">
            <v>8195</v>
          </cell>
          <cell r="B224">
            <v>1942</v>
          </cell>
        </row>
        <row r="225">
          <cell r="A225">
            <v>8141</v>
          </cell>
          <cell r="B225">
            <v>1941</v>
          </cell>
        </row>
        <row r="226">
          <cell r="A226">
            <v>8049</v>
          </cell>
          <cell r="B226">
            <v>1940</v>
          </cell>
        </row>
        <row r="227">
          <cell r="A227">
            <v>8036</v>
          </cell>
          <cell r="B227">
            <v>1939</v>
          </cell>
        </row>
        <row r="228">
          <cell r="A228">
            <v>8021</v>
          </cell>
          <cell r="B228">
            <v>1938</v>
          </cell>
        </row>
        <row r="229">
          <cell r="A229">
            <v>8003</v>
          </cell>
          <cell r="B229">
            <v>1937</v>
          </cell>
        </row>
        <row r="230">
          <cell r="A230">
            <v>7996</v>
          </cell>
          <cell r="B230">
            <v>1936</v>
          </cell>
        </row>
        <row r="231">
          <cell r="A231">
            <v>7947</v>
          </cell>
          <cell r="B231">
            <v>1934</v>
          </cell>
        </row>
        <row r="232">
          <cell r="A232">
            <v>7975</v>
          </cell>
          <cell r="B232">
            <v>1935</v>
          </cell>
        </row>
        <row r="233">
          <cell r="A233">
            <v>7933</v>
          </cell>
          <cell r="B233">
            <v>1933</v>
          </cell>
        </row>
        <row r="234">
          <cell r="A234">
            <v>7930</v>
          </cell>
          <cell r="B234">
            <v>1932</v>
          </cell>
        </row>
        <row r="235">
          <cell r="A235">
            <v>7914</v>
          </cell>
          <cell r="B235">
            <v>1931</v>
          </cell>
        </row>
        <row r="236">
          <cell r="A236">
            <v>7913</v>
          </cell>
          <cell r="B236">
            <v>1930</v>
          </cell>
        </row>
        <row r="237">
          <cell r="A237">
            <v>7906</v>
          </cell>
          <cell r="B237">
            <v>1929</v>
          </cell>
        </row>
        <row r="238">
          <cell r="A238">
            <v>7902</v>
          </cell>
          <cell r="B238">
            <v>1928</v>
          </cell>
        </row>
        <row r="239">
          <cell r="A239">
            <v>7890</v>
          </cell>
          <cell r="B239">
            <v>1927</v>
          </cell>
        </row>
        <row r="240">
          <cell r="A240">
            <v>7889</v>
          </cell>
          <cell r="B240">
            <v>1926</v>
          </cell>
        </row>
        <row r="241">
          <cell r="A241">
            <v>7883</v>
          </cell>
          <cell r="B241">
            <v>1925</v>
          </cell>
        </row>
        <row r="242">
          <cell r="A242">
            <v>7843</v>
          </cell>
          <cell r="B242">
            <v>1924</v>
          </cell>
        </row>
        <row r="243">
          <cell r="A243">
            <v>7829</v>
          </cell>
          <cell r="B243">
            <v>1923</v>
          </cell>
        </row>
        <row r="244">
          <cell r="A244">
            <v>7828</v>
          </cell>
          <cell r="B244">
            <v>1922</v>
          </cell>
        </row>
        <row r="245">
          <cell r="A245">
            <v>7815</v>
          </cell>
          <cell r="B245">
            <v>1921</v>
          </cell>
        </row>
        <row r="246">
          <cell r="A246">
            <v>7814</v>
          </cell>
          <cell r="B246">
            <v>1920</v>
          </cell>
        </row>
        <row r="247">
          <cell r="A247">
            <v>7811</v>
          </cell>
          <cell r="B247">
            <v>1919</v>
          </cell>
        </row>
        <row r="248">
          <cell r="A248">
            <v>7795</v>
          </cell>
          <cell r="B248">
            <v>1918</v>
          </cell>
        </row>
        <row r="249">
          <cell r="A249">
            <v>7792</v>
          </cell>
          <cell r="B249">
            <v>1917</v>
          </cell>
        </row>
        <row r="250">
          <cell r="A250">
            <v>7784</v>
          </cell>
          <cell r="B250">
            <v>1916</v>
          </cell>
        </row>
        <row r="251">
          <cell r="A251">
            <v>7777</v>
          </cell>
          <cell r="B251">
            <v>1914</v>
          </cell>
        </row>
        <row r="252">
          <cell r="A252">
            <v>7780</v>
          </cell>
          <cell r="B252">
            <v>1915</v>
          </cell>
        </row>
        <row r="253">
          <cell r="A253">
            <v>7769</v>
          </cell>
          <cell r="B253">
            <v>1913</v>
          </cell>
        </row>
        <row r="254">
          <cell r="A254">
            <v>7764</v>
          </cell>
          <cell r="B254">
            <v>1912</v>
          </cell>
        </row>
        <row r="255">
          <cell r="A255">
            <v>7762</v>
          </cell>
          <cell r="B255">
            <v>1911</v>
          </cell>
        </row>
        <row r="256">
          <cell r="A256">
            <v>7737</v>
          </cell>
          <cell r="B256">
            <v>1909</v>
          </cell>
        </row>
        <row r="257">
          <cell r="A257">
            <v>7759</v>
          </cell>
          <cell r="B257">
            <v>1910</v>
          </cell>
        </row>
        <row r="258">
          <cell r="A258">
            <v>7708</v>
          </cell>
          <cell r="B258">
            <v>1908</v>
          </cell>
        </row>
        <row r="259">
          <cell r="A259">
            <v>7680</v>
          </cell>
          <cell r="B259">
            <v>1907</v>
          </cell>
        </row>
        <row r="260">
          <cell r="A260">
            <v>7639</v>
          </cell>
          <cell r="B260">
            <v>1905</v>
          </cell>
        </row>
        <row r="261">
          <cell r="A261">
            <v>7676</v>
          </cell>
          <cell r="B261">
            <v>1906</v>
          </cell>
        </row>
        <row r="262">
          <cell r="A262">
            <v>7603</v>
          </cell>
          <cell r="B262">
            <v>1904</v>
          </cell>
        </row>
        <row r="263">
          <cell r="A263">
            <v>7592</v>
          </cell>
          <cell r="B263">
            <v>1903</v>
          </cell>
        </row>
        <row r="264">
          <cell r="A264">
            <v>7569</v>
          </cell>
          <cell r="B264">
            <v>1902</v>
          </cell>
        </row>
        <row r="265">
          <cell r="A265">
            <v>7557</v>
          </cell>
          <cell r="B265">
            <v>1901</v>
          </cell>
        </row>
        <row r="266">
          <cell r="A266">
            <v>7553</v>
          </cell>
          <cell r="B266">
            <v>1900</v>
          </cell>
        </row>
        <row r="267">
          <cell r="A267">
            <v>7549</v>
          </cell>
          <cell r="B267">
            <v>1899</v>
          </cell>
        </row>
        <row r="268">
          <cell r="A268">
            <v>7545</v>
          </cell>
          <cell r="B268">
            <v>1898</v>
          </cell>
        </row>
        <row r="269">
          <cell r="A269">
            <v>7526</v>
          </cell>
          <cell r="B269">
            <v>1897</v>
          </cell>
        </row>
        <row r="270">
          <cell r="A270">
            <v>7524</v>
          </cell>
          <cell r="B270">
            <v>1896</v>
          </cell>
        </row>
        <row r="271">
          <cell r="A271">
            <v>7523</v>
          </cell>
          <cell r="B271">
            <v>1895</v>
          </cell>
        </row>
        <row r="272">
          <cell r="A272">
            <v>7509</v>
          </cell>
          <cell r="B272">
            <v>1894</v>
          </cell>
        </row>
        <row r="273">
          <cell r="A273">
            <v>7498</v>
          </cell>
          <cell r="B273">
            <v>1893</v>
          </cell>
        </row>
        <row r="274">
          <cell r="A274">
            <v>7487</v>
          </cell>
          <cell r="B274">
            <v>1892</v>
          </cell>
        </row>
        <row r="275">
          <cell r="A275">
            <v>7481</v>
          </cell>
          <cell r="B275">
            <v>1891</v>
          </cell>
        </row>
        <row r="276">
          <cell r="A276">
            <v>7466</v>
          </cell>
          <cell r="B276">
            <v>1889</v>
          </cell>
        </row>
        <row r="277">
          <cell r="A277">
            <v>7479</v>
          </cell>
          <cell r="B277">
            <v>1890</v>
          </cell>
        </row>
        <row r="278">
          <cell r="A278">
            <v>7444</v>
          </cell>
          <cell r="B278">
            <v>1887</v>
          </cell>
        </row>
        <row r="279">
          <cell r="A279">
            <v>7455</v>
          </cell>
          <cell r="B279">
            <v>1888</v>
          </cell>
        </row>
        <row r="280">
          <cell r="A280">
            <v>7434</v>
          </cell>
          <cell r="B280">
            <v>1886</v>
          </cell>
        </row>
        <row r="281">
          <cell r="A281">
            <v>7433</v>
          </cell>
          <cell r="B281">
            <v>1885</v>
          </cell>
        </row>
        <row r="282">
          <cell r="A282">
            <v>7432</v>
          </cell>
          <cell r="B282">
            <v>1884</v>
          </cell>
        </row>
        <row r="283">
          <cell r="A283">
            <v>7431</v>
          </cell>
          <cell r="B283">
            <v>1883</v>
          </cell>
        </row>
        <row r="284">
          <cell r="A284">
            <v>7410</v>
          </cell>
          <cell r="B284">
            <v>1882</v>
          </cell>
        </row>
        <row r="285">
          <cell r="A285">
            <v>7407</v>
          </cell>
          <cell r="B285">
            <v>1881</v>
          </cell>
        </row>
        <row r="286">
          <cell r="A286">
            <v>7392</v>
          </cell>
          <cell r="B286">
            <v>1880</v>
          </cell>
        </row>
        <row r="287">
          <cell r="A287">
            <v>7385</v>
          </cell>
          <cell r="B287">
            <v>1879</v>
          </cell>
        </row>
        <row r="288">
          <cell r="A288">
            <v>7383</v>
          </cell>
          <cell r="B288">
            <v>1878</v>
          </cell>
        </row>
        <row r="289">
          <cell r="A289">
            <v>7381</v>
          </cell>
          <cell r="B289">
            <v>1877</v>
          </cell>
        </row>
        <row r="290">
          <cell r="A290">
            <v>7373</v>
          </cell>
          <cell r="B290">
            <v>1876</v>
          </cell>
        </row>
        <row r="291">
          <cell r="A291">
            <v>7367</v>
          </cell>
          <cell r="B291">
            <v>1875</v>
          </cell>
        </row>
        <row r="292">
          <cell r="A292">
            <v>7311</v>
          </cell>
          <cell r="B292">
            <v>1874</v>
          </cell>
        </row>
        <row r="293">
          <cell r="A293">
            <v>7306</v>
          </cell>
          <cell r="B293">
            <v>1873</v>
          </cell>
        </row>
        <row r="294">
          <cell r="A294">
            <v>7275</v>
          </cell>
          <cell r="B294">
            <v>1872</v>
          </cell>
        </row>
        <row r="295">
          <cell r="A295">
            <v>7223</v>
          </cell>
          <cell r="B295">
            <v>1871</v>
          </cell>
        </row>
        <row r="296">
          <cell r="A296">
            <v>7199</v>
          </cell>
          <cell r="B296">
            <v>1870</v>
          </cell>
        </row>
        <row r="297">
          <cell r="A297">
            <v>7183</v>
          </cell>
          <cell r="B297">
            <v>1869</v>
          </cell>
        </row>
        <row r="298">
          <cell r="A298">
            <v>7174</v>
          </cell>
          <cell r="B298">
            <v>1868</v>
          </cell>
        </row>
        <row r="299">
          <cell r="A299">
            <v>7170</v>
          </cell>
          <cell r="B299">
            <v>1867</v>
          </cell>
        </row>
        <row r="300">
          <cell r="A300">
            <v>7135</v>
          </cell>
          <cell r="B300">
            <v>1866</v>
          </cell>
        </row>
        <row r="301">
          <cell r="A301">
            <v>7130</v>
          </cell>
          <cell r="B301">
            <v>1865</v>
          </cell>
        </row>
        <row r="302">
          <cell r="A302">
            <v>7122</v>
          </cell>
          <cell r="B302">
            <v>1864</v>
          </cell>
        </row>
        <row r="303">
          <cell r="A303">
            <v>7120</v>
          </cell>
          <cell r="B303">
            <v>1863</v>
          </cell>
        </row>
        <row r="304">
          <cell r="A304">
            <v>7087</v>
          </cell>
          <cell r="B304">
            <v>1862</v>
          </cell>
        </row>
        <row r="305">
          <cell r="A305">
            <v>7059</v>
          </cell>
          <cell r="B305">
            <v>1861</v>
          </cell>
        </row>
        <row r="306">
          <cell r="A306">
            <v>7057</v>
          </cell>
          <cell r="B306">
            <v>1860</v>
          </cell>
        </row>
        <row r="307">
          <cell r="A307">
            <v>7049</v>
          </cell>
          <cell r="B307">
            <v>1859</v>
          </cell>
        </row>
        <row r="308">
          <cell r="A308">
            <v>7035</v>
          </cell>
          <cell r="B308">
            <v>1858</v>
          </cell>
        </row>
        <row r="309">
          <cell r="A309">
            <v>7030</v>
          </cell>
          <cell r="B309">
            <v>1857</v>
          </cell>
        </row>
        <row r="310">
          <cell r="A310">
            <v>7028</v>
          </cell>
          <cell r="B310">
            <v>1856</v>
          </cell>
        </row>
        <row r="311">
          <cell r="A311">
            <v>7027</v>
          </cell>
          <cell r="B311">
            <v>1855</v>
          </cell>
        </row>
        <row r="312">
          <cell r="A312">
            <v>7018</v>
          </cell>
          <cell r="B312">
            <v>1854</v>
          </cell>
        </row>
        <row r="313">
          <cell r="A313">
            <v>7006</v>
          </cell>
          <cell r="B313">
            <v>1853</v>
          </cell>
        </row>
        <row r="314">
          <cell r="A314">
            <v>7005</v>
          </cell>
          <cell r="B314">
            <v>1852</v>
          </cell>
        </row>
        <row r="315">
          <cell r="A315">
            <v>7000</v>
          </cell>
          <cell r="B315">
            <v>1851</v>
          </cell>
        </row>
        <row r="316">
          <cell r="A316">
            <v>6968</v>
          </cell>
          <cell r="B316">
            <v>1850</v>
          </cell>
        </row>
        <row r="317">
          <cell r="A317">
            <v>6952</v>
          </cell>
          <cell r="B317">
            <v>1849</v>
          </cell>
        </row>
        <row r="318">
          <cell r="A318">
            <v>6928</v>
          </cell>
          <cell r="B318">
            <v>1848</v>
          </cell>
        </row>
        <row r="319">
          <cell r="A319">
            <v>6876</v>
          </cell>
          <cell r="B319">
            <v>1847</v>
          </cell>
        </row>
        <row r="320">
          <cell r="A320">
            <v>6874</v>
          </cell>
          <cell r="B320">
            <v>1846</v>
          </cell>
        </row>
        <row r="321">
          <cell r="A321">
            <v>6829</v>
          </cell>
          <cell r="B321">
            <v>1845</v>
          </cell>
        </row>
        <row r="322">
          <cell r="A322">
            <v>6802</v>
          </cell>
          <cell r="B322">
            <v>1844</v>
          </cell>
        </row>
        <row r="323">
          <cell r="A323">
            <v>6792</v>
          </cell>
          <cell r="B323">
            <v>1843</v>
          </cell>
        </row>
        <row r="324">
          <cell r="A324">
            <v>6770</v>
          </cell>
          <cell r="B324">
            <v>1842</v>
          </cell>
        </row>
        <row r="325">
          <cell r="A325">
            <v>6769</v>
          </cell>
          <cell r="B325">
            <v>1841</v>
          </cell>
        </row>
        <row r="326">
          <cell r="A326">
            <v>6766</v>
          </cell>
          <cell r="B326">
            <v>1840</v>
          </cell>
        </row>
        <row r="327">
          <cell r="A327">
            <v>6765</v>
          </cell>
          <cell r="B327">
            <v>1839</v>
          </cell>
        </row>
        <row r="328">
          <cell r="A328">
            <v>6750</v>
          </cell>
          <cell r="B328">
            <v>1838</v>
          </cell>
        </row>
        <row r="329">
          <cell r="A329">
            <v>6722</v>
          </cell>
          <cell r="B329">
            <v>1836</v>
          </cell>
        </row>
        <row r="330">
          <cell r="A330">
            <v>6741</v>
          </cell>
          <cell r="B330">
            <v>1837</v>
          </cell>
        </row>
        <row r="331">
          <cell r="A331">
            <v>6710</v>
          </cell>
          <cell r="B331">
            <v>1835</v>
          </cell>
        </row>
        <row r="332">
          <cell r="A332">
            <v>6703</v>
          </cell>
          <cell r="B332">
            <v>1834</v>
          </cell>
        </row>
        <row r="333">
          <cell r="A333">
            <v>6677</v>
          </cell>
          <cell r="B333">
            <v>1833</v>
          </cell>
        </row>
        <row r="334">
          <cell r="A334">
            <v>6606</v>
          </cell>
          <cell r="B334">
            <v>1831</v>
          </cell>
        </row>
        <row r="335">
          <cell r="A335">
            <v>6661</v>
          </cell>
          <cell r="B335">
            <v>1832</v>
          </cell>
        </row>
        <row r="336">
          <cell r="A336">
            <v>6605</v>
          </cell>
          <cell r="B336">
            <v>1830</v>
          </cell>
        </row>
        <row r="337">
          <cell r="A337">
            <v>6581</v>
          </cell>
          <cell r="B337">
            <v>1829</v>
          </cell>
        </row>
        <row r="338">
          <cell r="A338">
            <v>6575</v>
          </cell>
          <cell r="B338">
            <v>1828</v>
          </cell>
        </row>
        <row r="339">
          <cell r="A339">
            <v>6572</v>
          </cell>
          <cell r="B339">
            <v>1827</v>
          </cell>
        </row>
        <row r="340">
          <cell r="A340">
            <v>6538</v>
          </cell>
          <cell r="B340">
            <v>1826</v>
          </cell>
        </row>
        <row r="341">
          <cell r="A341">
            <v>6521</v>
          </cell>
          <cell r="B341">
            <v>1825</v>
          </cell>
        </row>
        <row r="342">
          <cell r="A342">
            <v>6518</v>
          </cell>
          <cell r="B342">
            <v>1824</v>
          </cell>
        </row>
        <row r="343">
          <cell r="A343">
            <v>6513</v>
          </cell>
          <cell r="B343">
            <v>1823</v>
          </cell>
        </row>
        <row r="344">
          <cell r="A344">
            <v>6512</v>
          </cell>
          <cell r="B344">
            <v>1822</v>
          </cell>
        </row>
        <row r="345">
          <cell r="A345">
            <v>6484</v>
          </cell>
          <cell r="B345">
            <v>1821</v>
          </cell>
        </row>
        <row r="346">
          <cell r="A346">
            <v>6483</v>
          </cell>
          <cell r="B346">
            <v>1820</v>
          </cell>
        </row>
        <row r="347">
          <cell r="A347">
            <v>6481</v>
          </cell>
          <cell r="B347">
            <v>1819</v>
          </cell>
        </row>
        <row r="348">
          <cell r="A348">
            <v>6478</v>
          </cell>
          <cell r="B348">
            <v>1818</v>
          </cell>
        </row>
        <row r="349">
          <cell r="A349">
            <v>6477</v>
          </cell>
          <cell r="B349">
            <v>1817</v>
          </cell>
        </row>
        <row r="350">
          <cell r="A350">
            <v>6476</v>
          </cell>
          <cell r="B350">
            <v>1816</v>
          </cell>
        </row>
        <row r="351">
          <cell r="A351">
            <v>6474</v>
          </cell>
          <cell r="B351">
            <v>1815</v>
          </cell>
        </row>
        <row r="352">
          <cell r="A352">
            <v>6467</v>
          </cell>
          <cell r="B352">
            <v>1814</v>
          </cell>
        </row>
        <row r="353">
          <cell r="A353">
            <v>6466</v>
          </cell>
          <cell r="B353">
            <v>1813</v>
          </cell>
        </row>
        <row r="354">
          <cell r="A354">
            <v>6464</v>
          </cell>
          <cell r="B354">
            <v>1812</v>
          </cell>
        </row>
        <row r="355">
          <cell r="A355">
            <v>6461</v>
          </cell>
          <cell r="B355">
            <v>1811</v>
          </cell>
        </row>
        <row r="356">
          <cell r="A356">
            <v>6426</v>
          </cell>
          <cell r="B356">
            <v>1809</v>
          </cell>
        </row>
        <row r="357">
          <cell r="A357">
            <v>6460</v>
          </cell>
          <cell r="B357">
            <v>1810</v>
          </cell>
        </row>
        <row r="358">
          <cell r="A358">
            <v>6424</v>
          </cell>
          <cell r="B358">
            <v>1808</v>
          </cell>
        </row>
        <row r="359">
          <cell r="A359">
            <v>6411</v>
          </cell>
          <cell r="B359">
            <v>1807</v>
          </cell>
        </row>
        <row r="360">
          <cell r="A360">
            <v>6386</v>
          </cell>
          <cell r="B360">
            <v>1806</v>
          </cell>
        </row>
        <row r="361">
          <cell r="A361">
            <v>6345</v>
          </cell>
          <cell r="B361">
            <v>1804</v>
          </cell>
        </row>
        <row r="362">
          <cell r="A362">
            <v>6377</v>
          </cell>
          <cell r="B362">
            <v>1805</v>
          </cell>
        </row>
        <row r="363">
          <cell r="A363">
            <v>6342</v>
          </cell>
          <cell r="B363">
            <v>1803</v>
          </cell>
        </row>
        <row r="364">
          <cell r="A364">
            <v>6337</v>
          </cell>
          <cell r="B364">
            <v>1802</v>
          </cell>
        </row>
        <row r="365">
          <cell r="A365">
            <v>6308</v>
          </cell>
          <cell r="B365">
            <v>1801</v>
          </cell>
        </row>
        <row r="366">
          <cell r="A366">
            <v>6299</v>
          </cell>
          <cell r="B366">
            <v>1800</v>
          </cell>
        </row>
        <row r="367">
          <cell r="A367">
            <v>6294</v>
          </cell>
          <cell r="B367">
            <v>1799</v>
          </cell>
        </row>
        <row r="368">
          <cell r="A368">
            <v>6293</v>
          </cell>
          <cell r="B368">
            <v>1798</v>
          </cell>
        </row>
        <row r="369">
          <cell r="A369">
            <v>6292</v>
          </cell>
          <cell r="B369">
            <v>1797</v>
          </cell>
        </row>
        <row r="370">
          <cell r="A370">
            <v>6291</v>
          </cell>
          <cell r="B370">
            <v>1796</v>
          </cell>
        </row>
        <row r="371">
          <cell r="A371">
            <v>6279</v>
          </cell>
          <cell r="B371">
            <v>1795</v>
          </cell>
        </row>
        <row r="372">
          <cell r="A372">
            <v>6275</v>
          </cell>
          <cell r="B372">
            <v>1794</v>
          </cell>
        </row>
        <row r="373">
          <cell r="A373">
            <v>6273</v>
          </cell>
          <cell r="B373">
            <v>1793</v>
          </cell>
        </row>
        <row r="374">
          <cell r="A374">
            <v>6247</v>
          </cell>
          <cell r="B374">
            <v>1792</v>
          </cell>
        </row>
        <row r="375">
          <cell r="A375">
            <v>6244</v>
          </cell>
          <cell r="B375">
            <v>1791</v>
          </cell>
        </row>
        <row r="376">
          <cell r="A376">
            <v>6219</v>
          </cell>
          <cell r="B376">
            <v>1790</v>
          </cell>
        </row>
        <row r="377">
          <cell r="A377">
            <v>6142</v>
          </cell>
          <cell r="B377">
            <v>1789</v>
          </cell>
        </row>
        <row r="378">
          <cell r="A378">
            <v>6119</v>
          </cell>
          <cell r="B378">
            <v>1788</v>
          </cell>
        </row>
        <row r="379">
          <cell r="A379">
            <v>6111</v>
          </cell>
          <cell r="B379">
            <v>1787</v>
          </cell>
        </row>
        <row r="380">
          <cell r="A380">
            <v>6028</v>
          </cell>
          <cell r="B380">
            <v>1786</v>
          </cell>
        </row>
        <row r="381">
          <cell r="A381">
            <v>6027</v>
          </cell>
          <cell r="B381">
            <v>1785</v>
          </cell>
        </row>
        <row r="382">
          <cell r="A382">
            <v>6026</v>
          </cell>
          <cell r="B382">
            <v>1784</v>
          </cell>
        </row>
        <row r="383">
          <cell r="A383">
            <v>6018</v>
          </cell>
          <cell r="B383">
            <v>1783</v>
          </cell>
        </row>
        <row r="384">
          <cell r="A384">
            <v>5913</v>
          </cell>
          <cell r="B384">
            <v>1782</v>
          </cell>
        </row>
        <row r="385">
          <cell r="A385">
            <v>5909</v>
          </cell>
          <cell r="B385">
            <v>1781</v>
          </cell>
        </row>
        <row r="386">
          <cell r="A386">
            <v>5903</v>
          </cell>
          <cell r="B386">
            <v>1780</v>
          </cell>
        </row>
        <row r="387">
          <cell r="A387">
            <v>5902</v>
          </cell>
          <cell r="B387">
            <v>1779</v>
          </cell>
        </row>
        <row r="388">
          <cell r="A388">
            <v>5875</v>
          </cell>
          <cell r="B388">
            <v>1778</v>
          </cell>
        </row>
        <row r="389">
          <cell r="A389">
            <v>5736</v>
          </cell>
          <cell r="B389">
            <v>1776</v>
          </cell>
        </row>
        <row r="390">
          <cell r="A390">
            <v>5841</v>
          </cell>
          <cell r="B390">
            <v>1777</v>
          </cell>
        </row>
        <row r="391">
          <cell r="A391">
            <v>5735</v>
          </cell>
          <cell r="B391">
            <v>1775</v>
          </cell>
        </row>
        <row r="392">
          <cell r="A392">
            <v>5734</v>
          </cell>
          <cell r="B392">
            <v>1774</v>
          </cell>
        </row>
        <row r="393">
          <cell r="A393">
            <v>5733</v>
          </cell>
          <cell r="B393">
            <v>1773</v>
          </cell>
        </row>
        <row r="394">
          <cell r="A394">
            <v>5732</v>
          </cell>
          <cell r="B394">
            <v>1772</v>
          </cell>
        </row>
        <row r="395">
          <cell r="A395">
            <v>5680</v>
          </cell>
          <cell r="B395">
            <v>1771</v>
          </cell>
        </row>
        <row r="396">
          <cell r="A396">
            <v>5675</v>
          </cell>
          <cell r="B396">
            <v>1770</v>
          </cell>
        </row>
        <row r="397">
          <cell r="A397">
            <v>5649</v>
          </cell>
          <cell r="B397">
            <v>1769</v>
          </cell>
        </row>
        <row r="398">
          <cell r="A398">
            <v>5612</v>
          </cell>
          <cell r="B398">
            <v>1768</v>
          </cell>
        </row>
        <row r="399">
          <cell r="A399">
            <v>5593</v>
          </cell>
          <cell r="B399">
            <v>1766</v>
          </cell>
        </row>
        <row r="400">
          <cell r="A400">
            <v>5611</v>
          </cell>
          <cell r="B400">
            <v>1767</v>
          </cell>
        </row>
        <row r="401">
          <cell r="A401">
            <v>5577</v>
          </cell>
          <cell r="B401">
            <v>1765</v>
          </cell>
        </row>
        <row r="402">
          <cell r="A402">
            <v>5575</v>
          </cell>
          <cell r="B402">
            <v>1764</v>
          </cell>
        </row>
        <row r="403">
          <cell r="A403">
            <v>5546</v>
          </cell>
          <cell r="B403">
            <v>1763</v>
          </cell>
        </row>
        <row r="404">
          <cell r="A404">
            <v>5494</v>
          </cell>
          <cell r="B404">
            <v>1762</v>
          </cell>
        </row>
        <row r="405">
          <cell r="A405">
            <v>5457</v>
          </cell>
          <cell r="B405">
            <v>1761</v>
          </cell>
        </row>
        <row r="406">
          <cell r="A406">
            <v>5395</v>
          </cell>
          <cell r="B406">
            <v>1760</v>
          </cell>
        </row>
        <row r="407">
          <cell r="A407">
            <v>5322</v>
          </cell>
          <cell r="B407">
            <v>1759</v>
          </cell>
        </row>
        <row r="408">
          <cell r="A408">
            <v>5312</v>
          </cell>
          <cell r="B408">
            <v>1758</v>
          </cell>
        </row>
        <row r="409">
          <cell r="A409">
            <v>5309</v>
          </cell>
          <cell r="B409">
            <v>1757</v>
          </cell>
        </row>
        <row r="410">
          <cell r="A410">
            <v>5258</v>
          </cell>
          <cell r="B410">
            <v>1756</v>
          </cell>
        </row>
        <row r="411">
          <cell r="A411">
            <v>5201</v>
          </cell>
          <cell r="B411">
            <v>1754</v>
          </cell>
        </row>
        <row r="412">
          <cell r="A412">
            <v>5253</v>
          </cell>
          <cell r="B412">
            <v>1755</v>
          </cell>
        </row>
        <row r="413">
          <cell r="A413">
            <v>5169</v>
          </cell>
          <cell r="B413">
            <v>1753</v>
          </cell>
        </row>
        <row r="414">
          <cell r="A414">
            <v>5148</v>
          </cell>
          <cell r="B414">
            <v>1752</v>
          </cell>
        </row>
        <row r="415">
          <cell r="A415">
            <v>5140</v>
          </cell>
          <cell r="B415">
            <v>1751</v>
          </cell>
        </row>
        <row r="416">
          <cell r="A416">
            <v>5097</v>
          </cell>
          <cell r="B416">
            <v>1750</v>
          </cell>
        </row>
        <row r="417">
          <cell r="A417">
            <v>5076</v>
          </cell>
          <cell r="B417">
            <v>1749</v>
          </cell>
        </row>
        <row r="418">
          <cell r="A418">
            <v>5027</v>
          </cell>
          <cell r="B418">
            <v>1748</v>
          </cell>
        </row>
        <row r="419">
          <cell r="A419">
            <v>5026</v>
          </cell>
          <cell r="B419">
            <v>1747</v>
          </cell>
        </row>
        <row r="420">
          <cell r="A420">
            <v>5021</v>
          </cell>
          <cell r="B420">
            <v>1746</v>
          </cell>
        </row>
        <row r="421">
          <cell r="A421">
            <v>5017</v>
          </cell>
          <cell r="B421">
            <v>1745</v>
          </cell>
        </row>
        <row r="422">
          <cell r="A422">
            <v>4979</v>
          </cell>
          <cell r="B422">
            <v>1744</v>
          </cell>
        </row>
        <row r="423">
          <cell r="A423">
            <v>4975</v>
          </cell>
          <cell r="B423">
            <v>1743</v>
          </cell>
        </row>
        <row r="424">
          <cell r="A424">
            <v>4928</v>
          </cell>
          <cell r="B424">
            <v>1741</v>
          </cell>
        </row>
        <row r="425">
          <cell r="A425">
            <v>4967</v>
          </cell>
          <cell r="B425">
            <v>1742</v>
          </cell>
        </row>
        <row r="426">
          <cell r="A426">
            <v>4913</v>
          </cell>
          <cell r="B426">
            <v>1740</v>
          </cell>
        </row>
        <row r="427">
          <cell r="A427">
            <v>4848</v>
          </cell>
          <cell r="B427">
            <v>1739</v>
          </cell>
        </row>
        <row r="428">
          <cell r="A428">
            <v>4658</v>
          </cell>
          <cell r="B428">
            <v>1738</v>
          </cell>
        </row>
        <row r="429">
          <cell r="A429">
            <v>4601</v>
          </cell>
          <cell r="B429">
            <v>1737</v>
          </cell>
        </row>
        <row r="430">
          <cell r="A430">
            <v>4597</v>
          </cell>
          <cell r="B430">
            <v>1736</v>
          </cell>
        </row>
        <row r="431">
          <cell r="A431">
            <v>4557</v>
          </cell>
          <cell r="B431">
            <v>1735</v>
          </cell>
        </row>
        <row r="432">
          <cell r="A432">
            <v>4556</v>
          </cell>
          <cell r="B432">
            <v>1734</v>
          </cell>
        </row>
        <row r="433">
          <cell r="A433">
            <v>4554</v>
          </cell>
          <cell r="B433">
            <v>1733</v>
          </cell>
        </row>
        <row r="434">
          <cell r="A434">
            <v>4543</v>
          </cell>
          <cell r="B434">
            <v>1732</v>
          </cell>
        </row>
        <row r="435">
          <cell r="A435">
            <v>4534</v>
          </cell>
          <cell r="B435">
            <v>1731</v>
          </cell>
        </row>
        <row r="436">
          <cell r="A436">
            <v>4516</v>
          </cell>
          <cell r="B436">
            <v>1730</v>
          </cell>
        </row>
        <row r="437">
          <cell r="A437">
            <v>4255</v>
          </cell>
          <cell r="B437">
            <v>1729</v>
          </cell>
        </row>
        <row r="438">
          <cell r="A438">
            <v>4147</v>
          </cell>
          <cell r="B438">
            <v>1728</v>
          </cell>
        </row>
        <row r="439">
          <cell r="A439">
            <v>4121</v>
          </cell>
          <cell r="B439">
            <v>1727</v>
          </cell>
        </row>
        <row r="440">
          <cell r="A440">
            <v>3713</v>
          </cell>
          <cell r="B440">
            <v>1726</v>
          </cell>
        </row>
        <row r="441">
          <cell r="A441">
            <v>3653</v>
          </cell>
          <cell r="B441">
            <v>1725</v>
          </cell>
        </row>
        <row r="442">
          <cell r="A442">
            <v>3368</v>
          </cell>
          <cell r="B442">
            <v>1724</v>
          </cell>
        </row>
        <row r="443">
          <cell r="A443">
            <v>3314</v>
          </cell>
          <cell r="B443">
            <v>1723</v>
          </cell>
        </row>
        <row r="444">
          <cell r="A444">
            <v>3304</v>
          </cell>
          <cell r="B444">
            <v>1722</v>
          </cell>
        </row>
        <row r="445">
          <cell r="A445">
            <v>3141</v>
          </cell>
          <cell r="B445">
            <v>1721</v>
          </cell>
        </row>
        <row r="446">
          <cell r="A446">
            <v>3127</v>
          </cell>
          <cell r="B446">
            <v>1720</v>
          </cell>
        </row>
        <row r="447">
          <cell r="A447">
            <v>3115</v>
          </cell>
          <cell r="B447">
            <v>1719</v>
          </cell>
        </row>
        <row r="448">
          <cell r="A448">
            <v>3034</v>
          </cell>
          <cell r="B448">
            <v>1718</v>
          </cell>
        </row>
        <row r="449">
          <cell r="A449">
            <v>3027</v>
          </cell>
          <cell r="B449">
            <v>1717</v>
          </cell>
        </row>
        <row r="450">
          <cell r="A450">
            <v>2876</v>
          </cell>
          <cell r="B450">
            <v>1716</v>
          </cell>
        </row>
        <row r="451">
          <cell r="A451">
            <v>2812</v>
          </cell>
          <cell r="B451">
            <v>1715</v>
          </cell>
        </row>
        <row r="452">
          <cell r="A452">
            <v>2700</v>
          </cell>
          <cell r="B452">
            <v>1714</v>
          </cell>
        </row>
        <row r="453">
          <cell r="A453">
            <v>2413</v>
          </cell>
          <cell r="B453">
            <v>1713</v>
          </cell>
        </row>
        <row r="454">
          <cell r="A454">
            <v>2387</v>
          </cell>
          <cell r="B454">
            <v>1712</v>
          </cell>
        </row>
        <row r="455">
          <cell r="A455">
            <v>2377</v>
          </cell>
          <cell r="B455">
            <v>1711</v>
          </cell>
        </row>
        <row r="456">
          <cell r="A456">
            <v>2314</v>
          </cell>
          <cell r="B456">
            <v>1710</v>
          </cell>
        </row>
        <row r="457">
          <cell r="A457">
            <v>2282</v>
          </cell>
          <cell r="B457">
            <v>1709</v>
          </cell>
        </row>
        <row r="458">
          <cell r="A458">
            <v>2191</v>
          </cell>
          <cell r="B458">
            <v>1708</v>
          </cell>
        </row>
        <row r="459">
          <cell r="A459">
            <v>2187</v>
          </cell>
          <cell r="B459">
            <v>1707</v>
          </cell>
        </row>
        <row r="460">
          <cell r="A460">
            <v>2186</v>
          </cell>
          <cell r="B460">
            <v>1706</v>
          </cell>
        </row>
        <row r="461">
          <cell r="A461">
            <v>1878</v>
          </cell>
          <cell r="B461">
            <v>1705</v>
          </cell>
        </row>
        <row r="462">
          <cell r="A462">
            <v>1829</v>
          </cell>
          <cell r="B462">
            <v>1704</v>
          </cell>
        </row>
        <row r="463">
          <cell r="A463">
            <v>1796</v>
          </cell>
          <cell r="B463">
            <v>1703</v>
          </cell>
        </row>
        <row r="464">
          <cell r="A464">
            <v>1783</v>
          </cell>
          <cell r="B464">
            <v>1702</v>
          </cell>
        </row>
        <row r="465">
          <cell r="A465">
            <v>1751</v>
          </cell>
          <cell r="B465">
            <v>1701</v>
          </cell>
        </row>
        <row r="466">
          <cell r="A466">
            <v>1633</v>
          </cell>
          <cell r="B466">
            <v>1700</v>
          </cell>
        </row>
        <row r="467">
          <cell r="A467">
            <v>1497</v>
          </cell>
          <cell r="B467">
            <v>1699</v>
          </cell>
        </row>
        <row r="468">
          <cell r="A468">
            <v>1386</v>
          </cell>
          <cell r="B468">
            <v>1698</v>
          </cell>
        </row>
        <row r="469">
          <cell r="A469">
            <v>1311</v>
          </cell>
          <cell r="B469">
            <v>1697</v>
          </cell>
        </row>
        <row r="470">
          <cell r="A470">
            <v>1286</v>
          </cell>
          <cell r="B470">
            <v>1696</v>
          </cell>
        </row>
        <row r="471">
          <cell r="A471">
            <v>1200</v>
          </cell>
          <cell r="B471">
            <v>1695</v>
          </cell>
        </row>
        <row r="472">
          <cell r="A472">
            <v>1088</v>
          </cell>
          <cell r="B472">
            <v>1694</v>
          </cell>
        </row>
        <row r="473">
          <cell r="A473">
            <v>847</v>
          </cell>
          <cell r="B473">
            <v>1693</v>
          </cell>
        </row>
        <row r="474">
          <cell r="A474">
            <v>814</v>
          </cell>
          <cell r="B474">
            <v>1692</v>
          </cell>
        </row>
        <row r="475">
          <cell r="A475">
            <v>760</v>
          </cell>
          <cell r="B475">
            <v>1691</v>
          </cell>
        </row>
        <row r="476">
          <cell r="A476">
            <v>618</v>
          </cell>
          <cell r="B476">
            <v>1690</v>
          </cell>
        </row>
        <row r="477">
          <cell r="A477">
            <v>602</v>
          </cell>
          <cell r="B477">
            <v>1689</v>
          </cell>
        </row>
        <row r="478">
          <cell r="A478">
            <v>461</v>
          </cell>
          <cell r="B478">
            <v>1687</v>
          </cell>
        </row>
        <row r="479">
          <cell r="A479">
            <v>526</v>
          </cell>
          <cell r="B479">
            <v>1688</v>
          </cell>
        </row>
        <row r="480">
          <cell r="A480">
            <v>322</v>
          </cell>
          <cell r="B480">
            <v>1686</v>
          </cell>
        </row>
        <row r="481">
          <cell r="A481">
            <v>278</v>
          </cell>
          <cell r="B481">
            <v>1685</v>
          </cell>
        </row>
        <row r="482">
          <cell r="A482">
            <v>273</v>
          </cell>
          <cell r="B482">
            <v>1684</v>
          </cell>
        </row>
        <row r="483">
          <cell r="A483">
            <v>272</v>
          </cell>
          <cell r="B483">
            <v>1683</v>
          </cell>
        </row>
        <row r="484">
          <cell r="A484">
            <v>133</v>
          </cell>
          <cell r="B484">
            <v>1682</v>
          </cell>
        </row>
        <row r="485">
          <cell r="A485">
            <v>124</v>
          </cell>
          <cell r="B485">
            <v>1681</v>
          </cell>
        </row>
        <row r="486">
          <cell r="A486">
            <v>2</v>
          </cell>
          <cell r="B486">
            <v>1680</v>
          </cell>
        </row>
        <row r="487">
          <cell r="A487">
            <v>9411</v>
          </cell>
          <cell r="B487">
            <v>1640</v>
          </cell>
        </row>
        <row r="488">
          <cell r="A488">
            <v>9412</v>
          </cell>
          <cell r="B488">
            <v>1641</v>
          </cell>
        </row>
        <row r="489">
          <cell r="A489">
            <v>9409</v>
          </cell>
          <cell r="B489">
            <v>1639</v>
          </cell>
        </row>
        <row r="490">
          <cell r="A490">
            <v>9405</v>
          </cell>
          <cell r="B490">
            <v>1637</v>
          </cell>
        </row>
        <row r="491">
          <cell r="A491">
            <v>9406</v>
          </cell>
          <cell r="B491">
            <v>1638</v>
          </cell>
        </row>
        <row r="492">
          <cell r="A492">
            <v>9404</v>
          </cell>
          <cell r="B492">
            <v>1636</v>
          </cell>
        </row>
        <row r="493">
          <cell r="A493">
            <v>9403</v>
          </cell>
          <cell r="B493">
            <v>1635</v>
          </cell>
        </row>
        <row r="494">
          <cell r="A494">
            <v>9401</v>
          </cell>
          <cell r="B494">
            <v>1633</v>
          </cell>
        </row>
        <row r="495">
          <cell r="A495">
            <v>9402</v>
          </cell>
          <cell r="B495">
            <v>1634</v>
          </cell>
        </row>
        <row r="496">
          <cell r="A496">
            <v>9398</v>
          </cell>
          <cell r="B496">
            <v>1632</v>
          </cell>
        </row>
        <row r="497">
          <cell r="A497">
            <v>9397</v>
          </cell>
          <cell r="B497">
            <v>1631</v>
          </cell>
        </row>
        <row r="498">
          <cell r="A498">
            <v>9393</v>
          </cell>
          <cell r="B498">
            <v>1629</v>
          </cell>
        </row>
        <row r="499">
          <cell r="A499">
            <v>9396</v>
          </cell>
          <cell r="B499">
            <v>1630</v>
          </cell>
        </row>
        <row r="500">
          <cell r="A500">
            <v>9392</v>
          </cell>
          <cell r="B500">
            <v>1628</v>
          </cell>
        </row>
        <row r="501">
          <cell r="A501">
            <v>9391</v>
          </cell>
          <cell r="B501">
            <v>1627</v>
          </cell>
        </row>
        <row r="502">
          <cell r="A502">
            <v>9389</v>
          </cell>
          <cell r="B502">
            <v>1625</v>
          </cell>
        </row>
        <row r="503">
          <cell r="A503">
            <v>9390</v>
          </cell>
          <cell r="B503">
            <v>1626</v>
          </cell>
        </row>
        <row r="504">
          <cell r="A504">
            <v>9388</v>
          </cell>
          <cell r="B504">
            <v>1624</v>
          </cell>
        </row>
        <row r="505">
          <cell r="A505">
            <v>9385</v>
          </cell>
          <cell r="B505">
            <v>1622</v>
          </cell>
        </row>
        <row r="506">
          <cell r="A506">
            <v>9387</v>
          </cell>
          <cell r="B506">
            <v>1623</v>
          </cell>
        </row>
        <row r="507">
          <cell r="A507">
            <v>9384</v>
          </cell>
          <cell r="B507">
            <v>1621</v>
          </cell>
        </row>
        <row r="508">
          <cell r="A508">
            <v>9383</v>
          </cell>
          <cell r="B508">
            <v>1620</v>
          </cell>
        </row>
        <row r="509">
          <cell r="A509">
            <v>9381</v>
          </cell>
          <cell r="B509">
            <v>1618</v>
          </cell>
        </row>
        <row r="510">
          <cell r="A510">
            <v>9382</v>
          </cell>
          <cell r="B510">
            <v>1619</v>
          </cell>
        </row>
        <row r="511">
          <cell r="A511">
            <v>9380</v>
          </cell>
          <cell r="B511">
            <v>1617</v>
          </cell>
        </row>
        <row r="512">
          <cell r="A512">
            <v>9377</v>
          </cell>
          <cell r="B512">
            <v>1615</v>
          </cell>
        </row>
        <row r="513">
          <cell r="A513">
            <v>9378</v>
          </cell>
          <cell r="B513">
            <v>1616</v>
          </cell>
        </row>
        <row r="514">
          <cell r="A514">
            <v>9375</v>
          </cell>
          <cell r="B514">
            <v>1614</v>
          </cell>
        </row>
        <row r="515">
          <cell r="A515">
            <v>9374</v>
          </cell>
          <cell r="B515">
            <v>1613</v>
          </cell>
        </row>
        <row r="516">
          <cell r="A516">
            <v>9372</v>
          </cell>
          <cell r="B516">
            <v>1611</v>
          </cell>
        </row>
        <row r="517">
          <cell r="A517">
            <v>9373</v>
          </cell>
          <cell r="B517">
            <v>1612</v>
          </cell>
        </row>
        <row r="518">
          <cell r="A518">
            <v>9370</v>
          </cell>
          <cell r="B518">
            <v>1610</v>
          </cell>
        </row>
        <row r="519">
          <cell r="A519">
            <v>9369</v>
          </cell>
          <cell r="B519">
            <v>1609</v>
          </cell>
        </row>
        <row r="520">
          <cell r="A520">
            <v>9367</v>
          </cell>
          <cell r="B520">
            <v>1607</v>
          </cell>
        </row>
        <row r="521">
          <cell r="A521">
            <v>9368</v>
          </cell>
          <cell r="B521">
            <v>1608</v>
          </cell>
        </row>
        <row r="522">
          <cell r="A522">
            <v>9366</v>
          </cell>
          <cell r="B522">
            <v>1606</v>
          </cell>
        </row>
        <row r="523">
          <cell r="A523">
            <v>9364</v>
          </cell>
          <cell r="B523">
            <v>1604</v>
          </cell>
        </row>
        <row r="524">
          <cell r="A524">
            <v>9365</v>
          </cell>
          <cell r="B524">
            <v>1605</v>
          </cell>
        </row>
        <row r="525">
          <cell r="A525">
            <v>9363</v>
          </cell>
          <cell r="B525">
            <v>1603</v>
          </cell>
        </row>
        <row r="526">
          <cell r="A526">
            <v>9362</v>
          </cell>
          <cell r="B526">
            <v>1602</v>
          </cell>
        </row>
        <row r="527">
          <cell r="A527">
            <v>9360</v>
          </cell>
          <cell r="B527">
            <v>1601</v>
          </cell>
        </row>
        <row r="528">
          <cell r="A528">
            <v>9355</v>
          </cell>
          <cell r="B528">
            <v>1599</v>
          </cell>
        </row>
        <row r="529">
          <cell r="A529">
            <v>9357</v>
          </cell>
          <cell r="B529">
            <v>1600</v>
          </cell>
        </row>
        <row r="530">
          <cell r="A530">
            <v>9354</v>
          </cell>
          <cell r="B530">
            <v>1598</v>
          </cell>
        </row>
        <row r="531">
          <cell r="A531">
            <v>9353</v>
          </cell>
          <cell r="B531">
            <v>1597</v>
          </cell>
        </row>
        <row r="532">
          <cell r="A532">
            <v>9351</v>
          </cell>
          <cell r="B532">
            <v>1595</v>
          </cell>
        </row>
        <row r="533">
          <cell r="A533">
            <v>9352</v>
          </cell>
          <cell r="B533">
            <v>1596</v>
          </cell>
        </row>
        <row r="534">
          <cell r="A534">
            <v>9348</v>
          </cell>
          <cell r="B534">
            <v>1594</v>
          </cell>
        </row>
        <row r="535">
          <cell r="A535">
            <v>9347</v>
          </cell>
          <cell r="B535">
            <v>1593</v>
          </cell>
        </row>
        <row r="536">
          <cell r="A536">
            <v>9345</v>
          </cell>
          <cell r="B536">
            <v>1591</v>
          </cell>
        </row>
        <row r="537">
          <cell r="A537">
            <v>9346</v>
          </cell>
          <cell r="B537">
            <v>1592</v>
          </cell>
        </row>
        <row r="538">
          <cell r="A538">
            <v>9344</v>
          </cell>
          <cell r="B538">
            <v>1590</v>
          </cell>
        </row>
        <row r="539">
          <cell r="A539">
            <v>9342</v>
          </cell>
          <cell r="B539">
            <v>1588</v>
          </cell>
        </row>
        <row r="540">
          <cell r="A540">
            <v>9343</v>
          </cell>
          <cell r="B540">
            <v>1589</v>
          </cell>
        </row>
        <row r="541">
          <cell r="A541">
            <v>9340</v>
          </cell>
          <cell r="B541">
            <v>1587</v>
          </cell>
        </row>
        <row r="542">
          <cell r="A542">
            <v>9339</v>
          </cell>
          <cell r="B542">
            <v>1586</v>
          </cell>
        </row>
        <row r="543">
          <cell r="A543">
            <v>9337</v>
          </cell>
          <cell r="B543">
            <v>1585</v>
          </cell>
        </row>
        <row r="544">
          <cell r="A544">
            <v>9336</v>
          </cell>
          <cell r="B544">
            <v>1584</v>
          </cell>
        </row>
        <row r="545">
          <cell r="A545">
            <v>9334</v>
          </cell>
          <cell r="B545">
            <v>1582</v>
          </cell>
        </row>
        <row r="546">
          <cell r="A546">
            <v>9335</v>
          </cell>
          <cell r="B546">
            <v>1583</v>
          </cell>
        </row>
        <row r="547">
          <cell r="A547">
            <v>9333</v>
          </cell>
          <cell r="B547">
            <v>1581</v>
          </cell>
        </row>
        <row r="548">
          <cell r="A548">
            <v>9332</v>
          </cell>
          <cell r="B548">
            <v>1580</v>
          </cell>
        </row>
        <row r="549">
          <cell r="A549">
            <v>9331</v>
          </cell>
          <cell r="B549">
            <v>1579</v>
          </cell>
        </row>
        <row r="550">
          <cell r="A550">
            <v>9327</v>
          </cell>
          <cell r="B550">
            <v>1577</v>
          </cell>
        </row>
        <row r="551">
          <cell r="A551">
            <v>9328</v>
          </cell>
          <cell r="B551">
            <v>1578</v>
          </cell>
        </row>
        <row r="552">
          <cell r="A552">
            <v>9321</v>
          </cell>
          <cell r="B552">
            <v>1576</v>
          </cell>
        </row>
        <row r="553">
          <cell r="A553">
            <v>9320</v>
          </cell>
          <cell r="B553">
            <v>1575</v>
          </cell>
        </row>
        <row r="554">
          <cell r="A554">
            <v>9319</v>
          </cell>
          <cell r="B554">
            <v>1574</v>
          </cell>
        </row>
        <row r="555">
          <cell r="A555">
            <v>9315</v>
          </cell>
          <cell r="B555">
            <v>1572</v>
          </cell>
        </row>
        <row r="556">
          <cell r="A556">
            <v>9316</v>
          </cell>
          <cell r="B556">
            <v>1573</v>
          </cell>
        </row>
        <row r="557">
          <cell r="A557">
            <v>9314</v>
          </cell>
          <cell r="B557">
            <v>1571</v>
          </cell>
        </row>
        <row r="558">
          <cell r="A558">
            <v>9313</v>
          </cell>
          <cell r="B558">
            <v>1570</v>
          </cell>
        </row>
        <row r="559">
          <cell r="A559">
            <v>9307</v>
          </cell>
          <cell r="B559">
            <v>1568</v>
          </cell>
        </row>
        <row r="560">
          <cell r="A560">
            <v>9311</v>
          </cell>
          <cell r="B560">
            <v>1569</v>
          </cell>
        </row>
        <row r="561">
          <cell r="A561">
            <v>9303</v>
          </cell>
          <cell r="B561">
            <v>1567</v>
          </cell>
        </row>
        <row r="562">
          <cell r="A562">
            <v>9302</v>
          </cell>
          <cell r="B562">
            <v>1566</v>
          </cell>
        </row>
        <row r="563">
          <cell r="A563">
            <v>9300</v>
          </cell>
          <cell r="B563">
            <v>1564</v>
          </cell>
        </row>
        <row r="564">
          <cell r="A564">
            <v>9301</v>
          </cell>
          <cell r="B564">
            <v>1565</v>
          </cell>
        </row>
        <row r="565">
          <cell r="A565">
            <v>9299</v>
          </cell>
          <cell r="B565">
            <v>1563</v>
          </cell>
        </row>
        <row r="566">
          <cell r="A566">
            <v>9298</v>
          </cell>
          <cell r="B566">
            <v>1562</v>
          </cell>
        </row>
        <row r="567">
          <cell r="A567">
            <v>9296</v>
          </cell>
          <cell r="B567">
            <v>1561</v>
          </cell>
        </row>
        <row r="568">
          <cell r="A568">
            <v>9292</v>
          </cell>
          <cell r="B568">
            <v>1559</v>
          </cell>
        </row>
        <row r="569">
          <cell r="A569">
            <v>9295</v>
          </cell>
          <cell r="B569">
            <v>1560</v>
          </cell>
        </row>
        <row r="570">
          <cell r="A570">
            <v>9291</v>
          </cell>
          <cell r="B570">
            <v>1558</v>
          </cell>
        </row>
        <row r="571">
          <cell r="A571">
            <v>9286</v>
          </cell>
          <cell r="B571">
            <v>1557</v>
          </cell>
        </row>
        <row r="572">
          <cell r="A572">
            <v>9283</v>
          </cell>
          <cell r="B572">
            <v>1555</v>
          </cell>
        </row>
        <row r="573">
          <cell r="A573">
            <v>9284</v>
          </cell>
          <cell r="B573">
            <v>1556</v>
          </cell>
        </row>
        <row r="574">
          <cell r="A574">
            <v>9282</v>
          </cell>
          <cell r="B574">
            <v>1554</v>
          </cell>
        </row>
        <row r="575">
          <cell r="A575">
            <v>9281</v>
          </cell>
          <cell r="B575">
            <v>1553</v>
          </cell>
        </row>
        <row r="576">
          <cell r="A576">
            <v>9277</v>
          </cell>
          <cell r="B576">
            <v>1551</v>
          </cell>
        </row>
        <row r="577">
          <cell r="A577">
            <v>9278</v>
          </cell>
          <cell r="B577">
            <v>1552</v>
          </cell>
        </row>
        <row r="578">
          <cell r="A578">
            <v>9276</v>
          </cell>
          <cell r="B578">
            <v>1550</v>
          </cell>
        </row>
        <row r="579">
          <cell r="A579">
            <v>9275</v>
          </cell>
          <cell r="B579">
            <v>1549</v>
          </cell>
        </row>
        <row r="580">
          <cell r="A580">
            <v>9274</v>
          </cell>
          <cell r="B580">
            <v>1548</v>
          </cell>
        </row>
        <row r="581">
          <cell r="A581">
            <v>9268</v>
          </cell>
          <cell r="B581">
            <v>1546</v>
          </cell>
        </row>
        <row r="582">
          <cell r="A582">
            <v>9273</v>
          </cell>
          <cell r="B582">
            <v>1547</v>
          </cell>
        </row>
        <row r="583">
          <cell r="A583">
            <v>9266</v>
          </cell>
          <cell r="B583">
            <v>1545</v>
          </cell>
        </row>
        <row r="584">
          <cell r="A584">
            <v>9264</v>
          </cell>
          <cell r="B584">
            <v>1544</v>
          </cell>
        </row>
        <row r="585">
          <cell r="A585">
            <v>9262</v>
          </cell>
          <cell r="B585">
            <v>1543</v>
          </cell>
        </row>
        <row r="586">
          <cell r="A586">
            <v>9260</v>
          </cell>
          <cell r="B586">
            <v>1541</v>
          </cell>
        </row>
        <row r="587">
          <cell r="A587">
            <v>9261</v>
          </cell>
          <cell r="B587">
            <v>1542</v>
          </cell>
        </row>
        <row r="588">
          <cell r="A588">
            <v>9259</v>
          </cell>
          <cell r="B588">
            <v>1540</v>
          </cell>
        </row>
        <row r="589">
          <cell r="A589">
            <v>9254</v>
          </cell>
          <cell r="B589">
            <v>1539</v>
          </cell>
        </row>
        <row r="590">
          <cell r="A590">
            <v>9250</v>
          </cell>
          <cell r="B590">
            <v>1537</v>
          </cell>
        </row>
        <row r="591">
          <cell r="A591">
            <v>9253</v>
          </cell>
          <cell r="B591">
            <v>1538</v>
          </cell>
        </row>
        <row r="592">
          <cell r="A592">
            <v>9248</v>
          </cell>
          <cell r="B592">
            <v>1536</v>
          </cell>
        </row>
        <row r="593">
          <cell r="A593">
            <v>9247</v>
          </cell>
          <cell r="B593">
            <v>1535</v>
          </cell>
        </row>
        <row r="594">
          <cell r="A594">
            <v>9246</v>
          </cell>
          <cell r="B594">
            <v>1534</v>
          </cell>
        </row>
        <row r="595">
          <cell r="A595">
            <v>9241</v>
          </cell>
          <cell r="B595">
            <v>1532</v>
          </cell>
        </row>
        <row r="596">
          <cell r="A596">
            <v>9242</v>
          </cell>
          <cell r="B596">
            <v>1533</v>
          </cell>
        </row>
        <row r="597">
          <cell r="A597">
            <v>9239</v>
          </cell>
          <cell r="B597">
            <v>1531</v>
          </cell>
        </row>
        <row r="598">
          <cell r="A598">
            <v>9237</v>
          </cell>
          <cell r="B598">
            <v>1530</v>
          </cell>
        </row>
        <row r="599">
          <cell r="A599">
            <v>9236</v>
          </cell>
          <cell r="B599">
            <v>1529</v>
          </cell>
        </row>
        <row r="600">
          <cell r="A600">
            <v>9235</v>
          </cell>
          <cell r="B600">
            <v>1528</v>
          </cell>
        </row>
        <row r="601">
          <cell r="A601">
            <v>9233</v>
          </cell>
          <cell r="B601">
            <v>1526</v>
          </cell>
        </row>
        <row r="602">
          <cell r="A602">
            <v>9234</v>
          </cell>
          <cell r="B602">
            <v>1527</v>
          </cell>
        </row>
        <row r="603">
          <cell r="A603">
            <v>9231</v>
          </cell>
          <cell r="B603">
            <v>1525</v>
          </cell>
        </row>
        <row r="604">
          <cell r="A604">
            <v>9230</v>
          </cell>
          <cell r="B604">
            <v>1524</v>
          </cell>
        </row>
        <row r="605">
          <cell r="A605">
            <v>9229</v>
          </cell>
          <cell r="B605">
            <v>1523</v>
          </cell>
        </row>
        <row r="606">
          <cell r="A606">
            <v>9228</v>
          </cell>
          <cell r="B606">
            <v>1522</v>
          </cell>
        </row>
        <row r="607">
          <cell r="A607">
            <v>9226</v>
          </cell>
          <cell r="B607">
            <v>1520</v>
          </cell>
        </row>
        <row r="608">
          <cell r="A608">
            <v>9227</v>
          </cell>
          <cell r="B608">
            <v>1521</v>
          </cell>
        </row>
        <row r="609">
          <cell r="A609">
            <v>9225</v>
          </cell>
          <cell r="B609">
            <v>1519</v>
          </cell>
        </row>
        <row r="610">
          <cell r="A610">
            <v>9224</v>
          </cell>
          <cell r="B610">
            <v>1518</v>
          </cell>
        </row>
        <row r="611">
          <cell r="A611">
            <v>9221</v>
          </cell>
          <cell r="B611">
            <v>1517</v>
          </cell>
        </row>
        <row r="612">
          <cell r="A612">
            <v>9219</v>
          </cell>
          <cell r="B612">
            <v>1515</v>
          </cell>
        </row>
        <row r="613">
          <cell r="A613">
            <v>9220</v>
          </cell>
          <cell r="B613">
            <v>1516</v>
          </cell>
        </row>
        <row r="614">
          <cell r="A614">
            <v>9218</v>
          </cell>
          <cell r="B614">
            <v>1514</v>
          </cell>
        </row>
        <row r="615">
          <cell r="A615">
            <v>9217</v>
          </cell>
          <cell r="B615">
            <v>1513</v>
          </cell>
        </row>
        <row r="616">
          <cell r="A616">
            <v>9212</v>
          </cell>
          <cell r="B616">
            <v>1512</v>
          </cell>
        </row>
        <row r="617">
          <cell r="A617">
            <v>9211</v>
          </cell>
          <cell r="B617">
            <v>1511</v>
          </cell>
        </row>
        <row r="618">
          <cell r="A618">
            <v>9209</v>
          </cell>
          <cell r="B618">
            <v>1509</v>
          </cell>
        </row>
        <row r="619">
          <cell r="A619">
            <v>9210</v>
          </cell>
          <cell r="B619">
            <v>1510</v>
          </cell>
        </row>
        <row r="620">
          <cell r="A620">
            <v>9208</v>
          </cell>
          <cell r="B620">
            <v>1508</v>
          </cell>
        </row>
        <row r="621">
          <cell r="A621">
            <v>9207</v>
          </cell>
          <cell r="B621">
            <v>1507</v>
          </cell>
        </row>
        <row r="622">
          <cell r="A622">
            <v>9203</v>
          </cell>
          <cell r="B622">
            <v>1506</v>
          </cell>
        </row>
        <row r="623">
          <cell r="A623">
            <v>9201</v>
          </cell>
          <cell r="B623">
            <v>1504</v>
          </cell>
        </row>
        <row r="624">
          <cell r="A624">
            <v>9202</v>
          </cell>
          <cell r="B624">
            <v>1505</v>
          </cell>
        </row>
        <row r="625">
          <cell r="A625">
            <v>9200</v>
          </cell>
          <cell r="B625">
            <v>1503</v>
          </cell>
        </row>
        <row r="626">
          <cell r="A626">
            <v>9199</v>
          </cell>
          <cell r="B626">
            <v>1502</v>
          </cell>
        </row>
        <row r="627">
          <cell r="A627">
            <v>9198</v>
          </cell>
          <cell r="B627">
            <v>1501</v>
          </cell>
        </row>
        <row r="628">
          <cell r="A628">
            <v>9192</v>
          </cell>
          <cell r="B628">
            <v>1500</v>
          </cell>
        </row>
        <row r="629">
          <cell r="A629">
            <v>9188</v>
          </cell>
          <cell r="B629">
            <v>1498</v>
          </cell>
        </row>
        <row r="630">
          <cell r="A630">
            <v>9190</v>
          </cell>
          <cell r="B630">
            <v>1499</v>
          </cell>
        </row>
        <row r="631">
          <cell r="A631">
            <v>9187</v>
          </cell>
          <cell r="B631">
            <v>1497</v>
          </cell>
        </row>
        <row r="632">
          <cell r="A632">
            <v>9185</v>
          </cell>
          <cell r="B632">
            <v>1496</v>
          </cell>
        </row>
        <row r="633">
          <cell r="A633">
            <v>9180</v>
          </cell>
          <cell r="B633">
            <v>1494</v>
          </cell>
        </row>
        <row r="634">
          <cell r="A634">
            <v>9182</v>
          </cell>
          <cell r="B634">
            <v>1495</v>
          </cell>
        </row>
        <row r="635">
          <cell r="A635">
            <v>9178</v>
          </cell>
          <cell r="B635">
            <v>1493</v>
          </cell>
        </row>
        <row r="636">
          <cell r="A636">
            <v>9177</v>
          </cell>
          <cell r="B636">
            <v>1492</v>
          </cell>
        </row>
        <row r="637">
          <cell r="A637">
            <v>9176</v>
          </cell>
          <cell r="B637">
            <v>1491</v>
          </cell>
        </row>
        <row r="638">
          <cell r="A638">
            <v>9174</v>
          </cell>
          <cell r="B638">
            <v>1489</v>
          </cell>
        </row>
        <row r="639">
          <cell r="A639">
            <v>9175</v>
          </cell>
          <cell r="B639">
            <v>1490</v>
          </cell>
        </row>
        <row r="640">
          <cell r="A640">
            <v>9173</v>
          </cell>
          <cell r="B640">
            <v>1488</v>
          </cell>
        </row>
        <row r="641">
          <cell r="A641">
            <v>9172</v>
          </cell>
          <cell r="B641">
            <v>1487</v>
          </cell>
        </row>
        <row r="642">
          <cell r="A642">
            <v>9171</v>
          </cell>
          <cell r="B642">
            <v>1486</v>
          </cell>
        </row>
        <row r="643">
          <cell r="A643">
            <v>9168</v>
          </cell>
          <cell r="B643">
            <v>1484</v>
          </cell>
        </row>
        <row r="644">
          <cell r="A644">
            <v>9170</v>
          </cell>
          <cell r="B644">
            <v>1485</v>
          </cell>
        </row>
        <row r="645">
          <cell r="A645">
            <v>9167</v>
          </cell>
          <cell r="B645">
            <v>1483</v>
          </cell>
        </row>
        <row r="646">
          <cell r="A646">
            <v>9166</v>
          </cell>
          <cell r="B646">
            <v>1482</v>
          </cell>
        </row>
        <row r="647">
          <cell r="A647">
            <v>9165</v>
          </cell>
          <cell r="B647">
            <v>1481</v>
          </cell>
        </row>
        <row r="648">
          <cell r="A648">
            <v>9162</v>
          </cell>
          <cell r="B648">
            <v>1479</v>
          </cell>
        </row>
        <row r="649">
          <cell r="A649">
            <v>9163</v>
          </cell>
          <cell r="B649">
            <v>1480</v>
          </cell>
        </row>
        <row r="650">
          <cell r="A650">
            <v>9158</v>
          </cell>
          <cell r="B650">
            <v>1478</v>
          </cell>
        </row>
        <row r="651">
          <cell r="A651">
            <v>9156</v>
          </cell>
          <cell r="B651">
            <v>1477</v>
          </cell>
        </row>
        <row r="652">
          <cell r="A652">
            <v>9153</v>
          </cell>
          <cell r="B652">
            <v>1475</v>
          </cell>
        </row>
        <row r="653">
          <cell r="A653">
            <v>9155</v>
          </cell>
          <cell r="B653">
            <v>1476</v>
          </cell>
        </row>
        <row r="654">
          <cell r="A654">
            <v>9152</v>
          </cell>
          <cell r="B654">
            <v>1474</v>
          </cell>
        </row>
        <row r="655">
          <cell r="A655">
            <v>9151</v>
          </cell>
          <cell r="B655">
            <v>1473</v>
          </cell>
        </row>
        <row r="656">
          <cell r="A656">
            <v>9149</v>
          </cell>
          <cell r="B656">
            <v>1471</v>
          </cell>
        </row>
        <row r="657">
          <cell r="A657">
            <v>9150</v>
          </cell>
          <cell r="B657">
            <v>1472</v>
          </cell>
        </row>
        <row r="658">
          <cell r="A658">
            <v>9148</v>
          </cell>
          <cell r="B658">
            <v>1470</v>
          </cell>
        </row>
        <row r="659">
          <cell r="A659">
            <v>9139</v>
          </cell>
          <cell r="B659">
            <v>1469</v>
          </cell>
        </row>
        <row r="660">
          <cell r="A660">
            <v>9137</v>
          </cell>
          <cell r="B660">
            <v>1468</v>
          </cell>
        </row>
        <row r="661">
          <cell r="A661">
            <v>9134</v>
          </cell>
          <cell r="B661">
            <v>1466</v>
          </cell>
        </row>
        <row r="662">
          <cell r="A662">
            <v>9135</v>
          </cell>
          <cell r="B662">
            <v>1467</v>
          </cell>
        </row>
        <row r="663">
          <cell r="A663">
            <v>9133</v>
          </cell>
          <cell r="B663">
            <v>1465</v>
          </cell>
        </row>
        <row r="664">
          <cell r="A664">
            <v>9132</v>
          </cell>
          <cell r="B664">
            <v>1464</v>
          </cell>
        </row>
        <row r="665">
          <cell r="A665">
            <v>9130</v>
          </cell>
          <cell r="B665">
            <v>1462</v>
          </cell>
        </row>
        <row r="666">
          <cell r="A666">
            <v>9131</v>
          </cell>
          <cell r="B666">
            <v>1463</v>
          </cell>
        </row>
        <row r="667">
          <cell r="A667">
            <v>9129</v>
          </cell>
          <cell r="B667">
            <v>1461</v>
          </cell>
        </row>
        <row r="668">
          <cell r="A668">
            <v>9128</v>
          </cell>
          <cell r="B668">
            <v>1460</v>
          </cell>
        </row>
        <row r="669">
          <cell r="A669">
            <v>9126</v>
          </cell>
          <cell r="B669">
            <v>1458</v>
          </cell>
        </row>
        <row r="670">
          <cell r="A670">
            <v>9127</v>
          </cell>
          <cell r="B670">
            <v>1459</v>
          </cell>
        </row>
        <row r="671">
          <cell r="A671">
            <v>9125</v>
          </cell>
          <cell r="B671">
            <v>1457</v>
          </cell>
        </row>
        <row r="672">
          <cell r="A672">
            <v>9124</v>
          </cell>
          <cell r="B672">
            <v>1456</v>
          </cell>
        </row>
        <row r="673">
          <cell r="A673">
            <v>9123</v>
          </cell>
          <cell r="B673">
            <v>1455</v>
          </cell>
        </row>
        <row r="674">
          <cell r="A674">
            <v>9121</v>
          </cell>
          <cell r="B674">
            <v>1453</v>
          </cell>
        </row>
        <row r="675">
          <cell r="A675">
            <v>9122</v>
          </cell>
          <cell r="B675">
            <v>1454</v>
          </cell>
        </row>
        <row r="676">
          <cell r="A676">
            <v>9120</v>
          </cell>
          <cell r="B676">
            <v>1452</v>
          </cell>
        </row>
        <row r="677">
          <cell r="A677">
            <v>9119</v>
          </cell>
          <cell r="B677">
            <v>1451</v>
          </cell>
        </row>
        <row r="678">
          <cell r="A678">
            <v>9118</v>
          </cell>
          <cell r="B678">
            <v>1450</v>
          </cell>
        </row>
        <row r="679">
          <cell r="A679">
            <v>9115</v>
          </cell>
          <cell r="B679">
            <v>1448</v>
          </cell>
        </row>
        <row r="680">
          <cell r="A680">
            <v>9117</v>
          </cell>
          <cell r="B680">
            <v>1449</v>
          </cell>
        </row>
        <row r="681">
          <cell r="A681">
            <v>9114</v>
          </cell>
          <cell r="B681">
            <v>1447</v>
          </cell>
        </row>
        <row r="682">
          <cell r="A682">
            <v>9113</v>
          </cell>
          <cell r="B682">
            <v>1446</v>
          </cell>
        </row>
        <row r="683">
          <cell r="A683">
            <v>9112</v>
          </cell>
          <cell r="B683">
            <v>1445</v>
          </cell>
        </row>
        <row r="684">
          <cell r="A684">
            <v>9111</v>
          </cell>
          <cell r="B684">
            <v>1444</v>
          </cell>
        </row>
        <row r="685">
          <cell r="A685">
            <v>9103</v>
          </cell>
          <cell r="B685">
            <v>1443</v>
          </cell>
        </row>
        <row r="686">
          <cell r="A686">
            <v>9102</v>
          </cell>
          <cell r="B686">
            <v>1442</v>
          </cell>
        </row>
        <row r="687">
          <cell r="A687">
            <v>9098</v>
          </cell>
          <cell r="B687">
            <v>1440</v>
          </cell>
        </row>
        <row r="688">
          <cell r="A688">
            <v>9100</v>
          </cell>
          <cell r="B688">
            <v>1441</v>
          </cell>
        </row>
        <row r="689">
          <cell r="A689">
            <v>9096</v>
          </cell>
          <cell r="B689">
            <v>1439</v>
          </cell>
        </row>
        <row r="690">
          <cell r="A690">
            <v>9094</v>
          </cell>
          <cell r="B690">
            <v>1438</v>
          </cell>
        </row>
        <row r="691">
          <cell r="A691">
            <v>9093</v>
          </cell>
          <cell r="B691">
            <v>1437</v>
          </cell>
        </row>
        <row r="692">
          <cell r="A692">
            <v>9091</v>
          </cell>
          <cell r="B692">
            <v>1435</v>
          </cell>
        </row>
        <row r="693">
          <cell r="A693">
            <v>9092</v>
          </cell>
          <cell r="B693">
            <v>1436</v>
          </cell>
        </row>
        <row r="694">
          <cell r="A694">
            <v>9090</v>
          </cell>
          <cell r="B694">
            <v>1434</v>
          </cell>
        </row>
        <row r="695">
          <cell r="A695">
            <v>9088</v>
          </cell>
          <cell r="B695">
            <v>1433</v>
          </cell>
        </row>
        <row r="696">
          <cell r="A696">
            <v>9087</v>
          </cell>
          <cell r="B696">
            <v>1432</v>
          </cell>
        </row>
        <row r="697">
          <cell r="A697">
            <v>9086</v>
          </cell>
          <cell r="B697">
            <v>1431</v>
          </cell>
        </row>
        <row r="698">
          <cell r="A698">
            <v>9085</v>
          </cell>
          <cell r="B698">
            <v>1430</v>
          </cell>
        </row>
        <row r="699">
          <cell r="A699">
            <v>9082</v>
          </cell>
          <cell r="B699">
            <v>1429</v>
          </cell>
        </row>
        <row r="700">
          <cell r="A700">
            <v>9080</v>
          </cell>
          <cell r="B700">
            <v>1427</v>
          </cell>
        </row>
        <row r="701">
          <cell r="A701">
            <v>9081</v>
          </cell>
          <cell r="B701">
            <v>1428</v>
          </cell>
        </row>
        <row r="702">
          <cell r="A702">
            <v>9078</v>
          </cell>
          <cell r="B702">
            <v>1426</v>
          </cell>
        </row>
        <row r="703">
          <cell r="A703">
            <v>9076</v>
          </cell>
          <cell r="B703">
            <v>1425</v>
          </cell>
        </row>
        <row r="704">
          <cell r="A704">
            <v>9075</v>
          </cell>
          <cell r="B704">
            <v>1424</v>
          </cell>
        </row>
        <row r="705">
          <cell r="A705">
            <v>9073</v>
          </cell>
          <cell r="B705">
            <v>1422</v>
          </cell>
        </row>
        <row r="706">
          <cell r="A706">
            <v>9074</v>
          </cell>
          <cell r="B706">
            <v>1423</v>
          </cell>
        </row>
        <row r="707">
          <cell r="A707">
            <v>9069</v>
          </cell>
          <cell r="B707">
            <v>1421</v>
          </cell>
        </row>
        <row r="708">
          <cell r="A708">
            <v>9067</v>
          </cell>
          <cell r="B708">
            <v>1420</v>
          </cell>
        </row>
        <row r="709">
          <cell r="A709">
            <v>9065</v>
          </cell>
          <cell r="B709">
            <v>1419</v>
          </cell>
        </row>
        <row r="710">
          <cell r="A710">
            <v>9064</v>
          </cell>
          <cell r="B710">
            <v>1418</v>
          </cell>
        </row>
        <row r="711">
          <cell r="A711">
            <v>9063</v>
          </cell>
          <cell r="B711">
            <v>1417</v>
          </cell>
        </row>
        <row r="712">
          <cell r="A712">
            <v>9062</v>
          </cell>
          <cell r="B712">
            <v>1416</v>
          </cell>
        </row>
        <row r="713">
          <cell r="A713">
            <v>9061</v>
          </cell>
          <cell r="B713">
            <v>1415</v>
          </cell>
        </row>
        <row r="714">
          <cell r="A714">
            <v>9060</v>
          </cell>
          <cell r="B714">
            <v>1414</v>
          </cell>
        </row>
        <row r="715">
          <cell r="A715">
            <v>9058</v>
          </cell>
          <cell r="B715">
            <v>1413</v>
          </cell>
        </row>
        <row r="716">
          <cell r="A716">
            <v>9057</v>
          </cell>
          <cell r="B716">
            <v>1412</v>
          </cell>
        </row>
        <row r="717">
          <cell r="A717">
            <v>9054</v>
          </cell>
          <cell r="B717">
            <v>1410</v>
          </cell>
        </row>
        <row r="718">
          <cell r="A718">
            <v>9056</v>
          </cell>
          <cell r="B718">
            <v>1411</v>
          </cell>
        </row>
        <row r="719">
          <cell r="A719">
            <v>9052</v>
          </cell>
          <cell r="B719">
            <v>1409</v>
          </cell>
        </row>
        <row r="720">
          <cell r="A720">
            <v>9051</v>
          </cell>
          <cell r="B720">
            <v>1408</v>
          </cell>
        </row>
        <row r="721">
          <cell r="A721">
            <v>9050</v>
          </cell>
          <cell r="B721">
            <v>1407</v>
          </cell>
        </row>
        <row r="722">
          <cell r="A722">
            <v>9049</v>
          </cell>
          <cell r="B722">
            <v>1406</v>
          </cell>
        </row>
        <row r="723">
          <cell r="A723">
            <v>9048</v>
          </cell>
          <cell r="B723">
            <v>1405</v>
          </cell>
        </row>
        <row r="724">
          <cell r="A724">
            <v>9044</v>
          </cell>
          <cell r="B724">
            <v>1403</v>
          </cell>
        </row>
        <row r="725">
          <cell r="A725">
            <v>9047</v>
          </cell>
          <cell r="B725">
            <v>1404</v>
          </cell>
        </row>
        <row r="726">
          <cell r="A726">
            <v>9042</v>
          </cell>
          <cell r="B726">
            <v>1402</v>
          </cell>
        </row>
        <row r="727">
          <cell r="A727">
            <v>9041</v>
          </cell>
          <cell r="B727">
            <v>1401</v>
          </cell>
        </row>
        <row r="728">
          <cell r="A728">
            <v>9040</v>
          </cell>
          <cell r="B728">
            <v>1400</v>
          </cell>
        </row>
        <row r="729">
          <cell r="A729">
            <v>9039</v>
          </cell>
          <cell r="B729">
            <v>1399</v>
          </cell>
        </row>
        <row r="730">
          <cell r="A730">
            <v>9036</v>
          </cell>
          <cell r="B730">
            <v>1397</v>
          </cell>
        </row>
        <row r="731">
          <cell r="A731">
            <v>9037</v>
          </cell>
          <cell r="B731">
            <v>1398</v>
          </cell>
        </row>
        <row r="732">
          <cell r="A732">
            <v>9034</v>
          </cell>
          <cell r="B732">
            <v>1395</v>
          </cell>
        </row>
        <row r="733">
          <cell r="A733">
            <v>9035</v>
          </cell>
          <cell r="B733">
            <v>1396</v>
          </cell>
        </row>
        <row r="734">
          <cell r="A734">
            <v>9033</v>
          </cell>
          <cell r="B734">
            <v>1394</v>
          </cell>
        </row>
        <row r="735">
          <cell r="A735">
            <v>9032</v>
          </cell>
          <cell r="B735">
            <v>1393</v>
          </cell>
        </row>
        <row r="736">
          <cell r="A736">
            <v>9030</v>
          </cell>
          <cell r="B736">
            <v>1391</v>
          </cell>
        </row>
        <row r="737">
          <cell r="A737">
            <v>9031</v>
          </cell>
          <cell r="B737">
            <v>1392</v>
          </cell>
        </row>
        <row r="738">
          <cell r="A738">
            <v>9029</v>
          </cell>
          <cell r="B738">
            <v>1390</v>
          </cell>
        </row>
        <row r="739">
          <cell r="A739">
            <v>9027</v>
          </cell>
          <cell r="B739">
            <v>1389</v>
          </cell>
        </row>
        <row r="740">
          <cell r="A740">
            <v>9026</v>
          </cell>
          <cell r="B740">
            <v>1388</v>
          </cell>
        </row>
        <row r="741">
          <cell r="A741">
            <v>9022</v>
          </cell>
          <cell r="B741">
            <v>1386</v>
          </cell>
        </row>
        <row r="742">
          <cell r="A742">
            <v>9025</v>
          </cell>
          <cell r="B742">
            <v>1387</v>
          </cell>
        </row>
        <row r="743">
          <cell r="A743">
            <v>9021</v>
          </cell>
          <cell r="B743">
            <v>1385</v>
          </cell>
        </row>
        <row r="744">
          <cell r="A744">
            <v>9020</v>
          </cell>
          <cell r="B744">
            <v>1384</v>
          </cell>
        </row>
        <row r="745">
          <cell r="A745">
            <v>9017</v>
          </cell>
          <cell r="B745">
            <v>1383</v>
          </cell>
        </row>
        <row r="746">
          <cell r="A746">
            <v>9013</v>
          </cell>
          <cell r="B746">
            <v>1381</v>
          </cell>
        </row>
        <row r="747">
          <cell r="A747">
            <v>9016</v>
          </cell>
          <cell r="B747">
            <v>1382</v>
          </cell>
        </row>
        <row r="748">
          <cell r="A748">
            <v>9012</v>
          </cell>
          <cell r="B748">
            <v>1380</v>
          </cell>
        </row>
        <row r="749">
          <cell r="A749">
            <v>9011</v>
          </cell>
          <cell r="B749">
            <v>1379</v>
          </cell>
        </row>
        <row r="750">
          <cell r="A750">
            <v>9010</v>
          </cell>
          <cell r="B750">
            <v>1378</v>
          </cell>
        </row>
        <row r="751">
          <cell r="A751">
            <v>9004</v>
          </cell>
          <cell r="B751">
            <v>1376</v>
          </cell>
        </row>
        <row r="752">
          <cell r="A752">
            <v>9009</v>
          </cell>
          <cell r="B752">
            <v>1377</v>
          </cell>
        </row>
        <row r="753">
          <cell r="A753">
            <v>9001</v>
          </cell>
          <cell r="B753">
            <v>1375</v>
          </cell>
        </row>
        <row r="754">
          <cell r="A754">
            <v>8997</v>
          </cell>
          <cell r="B754">
            <v>1374</v>
          </cell>
        </row>
        <row r="755">
          <cell r="A755">
            <v>8995</v>
          </cell>
          <cell r="B755">
            <v>1372</v>
          </cell>
        </row>
        <row r="756">
          <cell r="A756">
            <v>8996</v>
          </cell>
          <cell r="B756">
            <v>1373</v>
          </cell>
        </row>
        <row r="757">
          <cell r="A757">
            <v>8989</v>
          </cell>
          <cell r="B757">
            <v>1371</v>
          </cell>
        </row>
        <row r="758">
          <cell r="A758">
            <v>8985</v>
          </cell>
          <cell r="B758">
            <v>1370</v>
          </cell>
        </row>
        <row r="759">
          <cell r="A759">
            <v>8984</v>
          </cell>
          <cell r="B759">
            <v>1369</v>
          </cell>
        </row>
        <row r="760">
          <cell r="A760">
            <v>8980</v>
          </cell>
          <cell r="B760">
            <v>1367</v>
          </cell>
        </row>
        <row r="761">
          <cell r="A761">
            <v>8983</v>
          </cell>
          <cell r="B761">
            <v>1368</v>
          </cell>
        </row>
        <row r="762">
          <cell r="A762">
            <v>8979</v>
          </cell>
          <cell r="B762">
            <v>1366</v>
          </cell>
        </row>
        <row r="763">
          <cell r="A763">
            <v>8978</v>
          </cell>
          <cell r="B763">
            <v>1365</v>
          </cell>
        </row>
        <row r="764">
          <cell r="A764">
            <v>8976</v>
          </cell>
          <cell r="B764">
            <v>1363</v>
          </cell>
        </row>
        <row r="765">
          <cell r="A765">
            <v>8977</v>
          </cell>
          <cell r="B765">
            <v>1364</v>
          </cell>
        </row>
        <row r="766">
          <cell r="A766">
            <v>8972</v>
          </cell>
          <cell r="B766">
            <v>1362</v>
          </cell>
        </row>
        <row r="767">
          <cell r="A767">
            <v>8968</v>
          </cell>
          <cell r="B767">
            <v>1361</v>
          </cell>
        </row>
        <row r="768">
          <cell r="A768">
            <v>8966</v>
          </cell>
          <cell r="B768">
            <v>1359</v>
          </cell>
        </row>
        <row r="769">
          <cell r="A769">
            <v>8967</v>
          </cell>
          <cell r="B769">
            <v>1360</v>
          </cell>
        </row>
        <row r="770">
          <cell r="A770">
            <v>8964</v>
          </cell>
          <cell r="B770">
            <v>1358</v>
          </cell>
        </row>
        <row r="771">
          <cell r="A771">
            <v>8963</v>
          </cell>
          <cell r="B771">
            <v>1357</v>
          </cell>
        </row>
        <row r="772">
          <cell r="A772">
            <v>8962</v>
          </cell>
          <cell r="B772">
            <v>1356</v>
          </cell>
        </row>
        <row r="773">
          <cell r="A773">
            <v>8960</v>
          </cell>
          <cell r="B773">
            <v>1354</v>
          </cell>
        </row>
        <row r="774">
          <cell r="A774">
            <v>8961</v>
          </cell>
          <cell r="B774">
            <v>1355</v>
          </cell>
        </row>
        <row r="775">
          <cell r="A775">
            <v>8959</v>
          </cell>
          <cell r="B775">
            <v>1353</v>
          </cell>
        </row>
        <row r="776">
          <cell r="A776">
            <v>8956</v>
          </cell>
          <cell r="B776">
            <v>1352</v>
          </cell>
        </row>
        <row r="777">
          <cell r="A777">
            <v>8954</v>
          </cell>
          <cell r="B777">
            <v>1350</v>
          </cell>
        </row>
        <row r="778">
          <cell r="A778">
            <v>8955</v>
          </cell>
          <cell r="B778">
            <v>1351</v>
          </cell>
        </row>
        <row r="779">
          <cell r="A779">
            <v>8953</v>
          </cell>
          <cell r="B779">
            <v>1349</v>
          </cell>
        </row>
        <row r="780">
          <cell r="A780">
            <v>8952</v>
          </cell>
          <cell r="B780">
            <v>1348</v>
          </cell>
        </row>
        <row r="781">
          <cell r="A781">
            <v>8947</v>
          </cell>
          <cell r="B781">
            <v>1347</v>
          </cell>
        </row>
        <row r="782">
          <cell r="A782">
            <v>8946</v>
          </cell>
          <cell r="B782">
            <v>1346</v>
          </cell>
        </row>
        <row r="783">
          <cell r="A783">
            <v>8942</v>
          </cell>
          <cell r="B783">
            <v>1344</v>
          </cell>
        </row>
        <row r="784">
          <cell r="A784">
            <v>8944</v>
          </cell>
          <cell r="B784">
            <v>1345</v>
          </cell>
        </row>
        <row r="785">
          <cell r="A785">
            <v>8939</v>
          </cell>
          <cell r="B785">
            <v>1343</v>
          </cell>
        </row>
        <row r="786">
          <cell r="A786">
            <v>8924</v>
          </cell>
          <cell r="B786">
            <v>1341</v>
          </cell>
        </row>
        <row r="787">
          <cell r="A787">
            <v>8938</v>
          </cell>
          <cell r="B787">
            <v>1342</v>
          </cell>
        </row>
        <row r="788">
          <cell r="A788">
            <v>8923</v>
          </cell>
          <cell r="B788">
            <v>1340</v>
          </cell>
        </row>
        <row r="789">
          <cell r="A789">
            <v>8922</v>
          </cell>
          <cell r="B789">
            <v>1339</v>
          </cell>
        </row>
        <row r="790">
          <cell r="A790">
            <v>8921</v>
          </cell>
          <cell r="B790">
            <v>1338</v>
          </cell>
        </row>
        <row r="791">
          <cell r="A791">
            <v>8915</v>
          </cell>
          <cell r="B791">
            <v>1336</v>
          </cell>
        </row>
        <row r="792">
          <cell r="A792">
            <v>8919</v>
          </cell>
          <cell r="B792">
            <v>1337</v>
          </cell>
        </row>
        <row r="793">
          <cell r="A793">
            <v>8914</v>
          </cell>
          <cell r="B793">
            <v>1335</v>
          </cell>
        </row>
        <row r="794">
          <cell r="A794">
            <v>8910</v>
          </cell>
          <cell r="B794">
            <v>1334</v>
          </cell>
        </row>
        <row r="795">
          <cell r="A795">
            <v>8901</v>
          </cell>
          <cell r="B795">
            <v>1332</v>
          </cell>
        </row>
        <row r="796">
          <cell r="A796">
            <v>8909</v>
          </cell>
          <cell r="B796">
            <v>1333</v>
          </cell>
        </row>
        <row r="797">
          <cell r="A797">
            <v>8899</v>
          </cell>
          <cell r="B797">
            <v>1331</v>
          </cell>
        </row>
        <row r="798">
          <cell r="A798">
            <v>8898</v>
          </cell>
          <cell r="B798">
            <v>1330</v>
          </cell>
        </row>
        <row r="799">
          <cell r="A799">
            <v>8897</v>
          </cell>
          <cell r="B799">
            <v>1329</v>
          </cell>
        </row>
        <row r="800">
          <cell r="A800">
            <v>8892</v>
          </cell>
          <cell r="B800">
            <v>1327</v>
          </cell>
        </row>
        <row r="801">
          <cell r="A801">
            <v>8893</v>
          </cell>
          <cell r="B801">
            <v>1328</v>
          </cell>
        </row>
        <row r="802">
          <cell r="A802">
            <v>8891</v>
          </cell>
          <cell r="B802">
            <v>1326</v>
          </cell>
        </row>
        <row r="803">
          <cell r="A803">
            <v>8888</v>
          </cell>
          <cell r="B803">
            <v>1325</v>
          </cell>
        </row>
        <row r="804">
          <cell r="A804">
            <v>8875</v>
          </cell>
          <cell r="B804">
            <v>1323</v>
          </cell>
        </row>
        <row r="805">
          <cell r="A805">
            <v>8884</v>
          </cell>
          <cell r="B805">
            <v>1324</v>
          </cell>
        </row>
        <row r="806">
          <cell r="A806">
            <v>8872</v>
          </cell>
          <cell r="B806">
            <v>1322</v>
          </cell>
        </row>
        <row r="807">
          <cell r="A807">
            <v>8871</v>
          </cell>
          <cell r="B807">
            <v>1321</v>
          </cell>
        </row>
        <row r="808">
          <cell r="A808">
            <v>8870</v>
          </cell>
          <cell r="B808">
            <v>1320</v>
          </cell>
        </row>
        <row r="809">
          <cell r="A809">
            <v>8867</v>
          </cell>
          <cell r="B809">
            <v>1318</v>
          </cell>
        </row>
        <row r="810">
          <cell r="A810">
            <v>8869</v>
          </cell>
          <cell r="B810">
            <v>1319</v>
          </cell>
        </row>
        <row r="811">
          <cell r="A811">
            <v>8866</v>
          </cell>
          <cell r="B811">
            <v>1317</v>
          </cell>
        </row>
        <row r="812">
          <cell r="A812">
            <v>8861</v>
          </cell>
          <cell r="B812">
            <v>1315</v>
          </cell>
        </row>
        <row r="813">
          <cell r="A813">
            <v>8862</v>
          </cell>
          <cell r="B813">
            <v>1316</v>
          </cell>
        </row>
        <row r="814">
          <cell r="A814">
            <v>8856</v>
          </cell>
          <cell r="B814">
            <v>1314</v>
          </cell>
        </row>
        <row r="815">
          <cell r="A815">
            <v>8854</v>
          </cell>
          <cell r="B815">
            <v>1313</v>
          </cell>
        </row>
        <row r="816">
          <cell r="A816">
            <v>8853</v>
          </cell>
          <cell r="B816">
            <v>1312</v>
          </cell>
        </row>
        <row r="817">
          <cell r="A817">
            <v>8849</v>
          </cell>
          <cell r="B817">
            <v>1311</v>
          </cell>
        </row>
        <row r="818">
          <cell r="A818">
            <v>8847</v>
          </cell>
          <cell r="B818">
            <v>1309</v>
          </cell>
        </row>
        <row r="819">
          <cell r="A819">
            <v>8848</v>
          </cell>
          <cell r="B819">
            <v>1310</v>
          </cell>
        </row>
        <row r="820">
          <cell r="A820">
            <v>8846</v>
          </cell>
          <cell r="B820">
            <v>1308</v>
          </cell>
        </row>
        <row r="821">
          <cell r="A821">
            <v>8845</v>
          </cell>
          <cell r="B821">
            <v>1307</v>
          </cell>
        </row>
        <row r="822">
          <cell r="A822">
            <v>8843</v>
          </cell>
          <cell r="B822">
            <v>1305</v>
          </cell>
        </row>
        <row r="823">
          <cell r="A823">
            <v>8844</v>
          </cell>
          <cell r="B823">
            <v>1306</v>
          </cell>
        </row>
        <row r="824">
          <cell r="A824">
            <v>8842</v>
          </cell>
          <cell r="B824">
            <v>1304</v>
          </cell>
        </row>
        <row r="825">
          <cell r="A825">
            <v>8839</v>
          </cell>
          <cell r="B825">
            <v>1302</v>
          </cell>
        </row>
        <row r="826">
          <cell r="A826">
            <v>8841</v>
          </cell>
          <cell r="B826">
            <v>1303</v>
          </cell>
        </row>
        <row r="827">
          <cell r="A827">
            <v>8837</v>
          </cell>
          <cell r="B827">
            <v>1301</v>
          </cell>
        </row>
        <row r="828">
          <cell r="A828">
            <v>8835</v>
          </cell>
          <cell r="B828">
            <v>1300</v>
          </cell>
        </row>
        <row r="829">
          <cell r="A829">
            <v>8834</v>
          </cell>
          <cell r="B829">
            <v>1299</v>
          </cell>
        </row>
        <row r="830">
          <cell r="A830">
            <v>8831</v>
          </cell>
          <cell r="B830">
            <v>1297</v>
          </cell>
        </row>
        <row r="831">
          <cell r="A831">
            <v>8833</v>
          </cell>
          <cell r="B831">
            <v>1298</v>
          </cell>
        </row>
        <row r="832">
          <cell r="A832">
            <v>8826</v>
          </cell>
          <cell r="B832">
            <v>1296</v>
          </cell>
        </row>
        <row r="833">
          <cell r="A833">
            <v>8821</v>
          </cell>
          <cell r="B833">
            <v>1295</v>
          </cell>
        </row>
        <row r="834">
          <cell r="A834">
            <v>8816</v>
          </cell>
          <cell r="B834">
            <v>1294</v>
          </cell>
        </row>
        <row r="835">
          <cell r="A835">
            <v>8804</v>
          </cell>
          <cell r="B835">
            <v>1292</v>
          </cell>
        </row>
        <row r="836">
          <cell r="A836">
            <v>8815</v>
          </cell>
          <cell r="B836">
            <v>1293</v>
          </cell>
        </row>
        <row r="837">
          <cell r="A837">
            <v>8801</v>
          </cell>
          <cell r="B837">
            <v>1291</v>
          </cell>
        </row>
        <row r="838">
          <cell r="A838">
            <v>8796</v>
          </cell>
          <cell r="B838">
            <v>1289</v>
          </cell>
        </row>
        <row r="839">
          <cell r="A839">
            <v>8797</v>
          </cell>
          <cell r="B839">
            <v>1290</v>
          </cell>
        </row>
        <row r="840">
          <cell r="A840">
            <v>8791</v>
          </cell>
          <cell r="B840">
            <v>1288</v>
          </cell>
        </row>
        <row r="841">
          <cell r="A841">
            <v>8789</v>
          </cell>
          <cell r="B841">
            <v>1287</v>
          </cell>
        </row>
        <row r="842">
          <cell r="A842">
            <v>8767</v>
          </cell>
          <cell r="B842">
            <v>1285</v>
          </cell>
        </row>
        <row r="843">
          <cell r="A843">
            <v>8778</v>
          </cell>
          <cell r="B843">
            <v>1286</v>
          </cell>
        </row>
        <row r="844">
          <cell r="A844">
            <v>8765</v>
          </cell>
          <cell r="B844">
            <v>1284</v>
          </cell>
        </row>
        <row r="845">
          <cell r="A845">
            <v>8758</v>
          </cell>
          <cell r="B845">
            <v>1282</v>
          </cell>
        </row>
        <row r="846">
          <cell r="A846">
            <v>8762</v>
          </cell>
          <cell r="B846">
            <v>1283</v>
          </cell>
        </row>
        <row r="847">
          <cell r="A847">
            <v>8756</v>
          </cell>
          <cell r="B847">
            <v>1281</v>
          </cell>
        </row>
        <row r="848">
          <cell r="A848">
            <v>8755</v>
          </cell>
          <cell r="B848">
            <v>1280</v>
          </cell>
        </row>
        <row r="849">
          <cell r="A849">
            <v>8751</v>
          </cell>
          <cell r="B849">
            <v>1279</v>
          </cell>
        </row>
        <row r="850">
          <cell r="A850">
            <v>8738</v>
          </cell>
          <cell r="B850">
            <v>1277</v>
          </cell>
        </row>
        <row r="851">
          <cell r="A851">
            <v>8747</v>
          </cell>
          <cell r="B851">
            <v>1278</v>
          </cell>
        </row>
        <row r="852">
          <cell r="A852">
            <v>8733</v>
          </cell>
          <cell r="B852">
            <v>1276</v>
          </cell>
        </row>
        <row r="853">
          <cell r="A853">
            <v>8727</v>
          </cell>
          <cell r="B853">
            <v>1274</v>
          </cell>
        </row>
        <row r="854">
          <cell r="A854">
            <v>8728</v>
          </cell>
          <cell r="B854">
            <v>1275</v>
          </cell>
        </row>
        <row r="855">
          <cell r="A855">
            <v>8726</v>
          </cell>
          <cell r="B855">
            <v>1273</v>
          </cell>
        </row>
        <row r="856">
          <cell r="A856">
            <v>8725</v>
          </cell>
          <cell r="B856">
            <v>1272</v>
          </cell>
        </row>
        <row r="857">
          <cell r="A857">
            <v>8707</v>
          </cell>
          <cell r="B857">
            <v>1270</v>
          </cell>
        </row>
        <row r="858">
          <cell r="A858">
            <v>8717</v>
          </cell>
          <cell r="B858">
            <v>1271</v>
          </cell>
        </row>
        <row r="859">
          <cell r="A859">
            <v>8693</v>
          </cell>
          <cell r="B859">
            <v>1269</v>
          </cell>
        </row>
        <row r="860">
          <cell r="A860">
            <v>8692</v>
          </cell>
          <cell r="B860">
            <v>1268</v>
          </cell>
        </row>
        <row r="861">
          <cell r="A861">
            <v>8689</v>
          </cell>
          <cell r="B861">
            <v>1266</v>
          </cell>
        </row>
        <row r="862">
          <cell r="A862">
            <v>8691</v>
          </cell>
          <cell r="B862">
            <v>1267</v>
          </cell>
        </row>
        <row r="863">
          <cell r="A863">
            <v>8675</v>
          </cell>
          <cell r="B863">
            <v>1265</v>
          </cell>
        </row>
        <row r="864">
          <cell r="A864">
            <v>8669</v>
          </cell>
          <cell r="B864">
            <v>1264</v>
          </cell>
        </row>
        <row r="865">
          <cell r="A865">
            <v>8665</v>
          </cell>
          <cell r="B865">
            <v>1262</v>
          </cell>
        </row>
        <row r="866">
          <cell r="A866">
            <v>8668</v>
          </cell>
          <cell r="B866">
            <v>1263</v>
          </cell>
        </row>
        <row r="867">
          <cell r="A867">
            <v>8663</v>
          </cell>
          <cell r="B867">
            <v>1261</v>
          </cell>
        </row>
        <row r="868">
          <cell r="A868">
            <v>8659</v>
          </cell>
          <cell r="B868">
            <v>1260</v>
          </cell>
        </row>
        <row r="869">
          <cell r="A869">
            <v>8651</v>
          </cell>
          <cell r="B869">
            <v>1258</v>
          </cell>
        </row>
        <row r="870">
          <cell r="A870">
            <v>8658</v>
          </cell>
          <cell r="B870">
            <v>1259</v>
          </cell>
        </row>
        <row r="871">
          <cell r="A871">
            <v>8650</v>
          </cell>
          <cell r="B871">
            <v>1257</v>
          </cell>
        </row>
        <row r="872">
          <cell r="A872">
            <v>8638</v>
          </cell>
          <cell r="B872">
            <v>1256</v>
          </cell>
        </row>
        <row r="873">
          <cell r="A873">
            <v>8626</v>
          </cell>
          <cell r="B873">
            <v>1254</v>
          </cell>
        </row>
        <row r="874">
          <cell r="A874">
            <v>8637</v>
          </cell>
          <cell r="B874">
            <v>1255</v>
          </cell>
        </row>
        <row r="875">
          <cell r="A875">
            <v>8614</v>
          </cell>
          <cell r="B875">
            <v>1253</v>
          </cell>
        </row>
        <row r="876">
          <cell r="A876">
            <v>8613</v>
          </cell>
          <cell r="B876">
            <v>1252</v>
          </cell>
        </row>
        <row r="877">
          <cell r="A877">
            <v>8611</v>
          </cell>
          <cell r="B877">
            <v>1250</v>
          </cell>
        </row>
        <row r="878">
          <cell r="A878">
            <v>8612</v>
          </cell>
          <cell r="B878">
            <v>1251</v>
          </cell>
        </row>
        <row r="879">
          <cell r="A879">
            <v>8604</v>
          </cell>
          <cell r="B879">
            <v>1249</v>
          </cell>
        </row>
        <row r="880">
          <cell r="A880">
            <v>8594</v>
          </cell>
          <cell r="B880">
            <v>1248</v>
          </cell>
        </row>
        <row r="881">
          <cell r="A881">
            <v>8592</v>
          </cell>
          <cell r="B881">
            <v>1247</v>
          </cell>
        </row>
        <row r="882">
          <cell r="A882">
            <v>8578</v>
          </cell>
          <cell r="B882">
            <v>1245</v>
          </cell>
        </row>
        <row r="883">
          <cell r="A883">
            <v>8579</v>
          </cell>
          <cell r="B883">
            <v>1246</v>
          </cell>
        </row>
        <row r="884">
          <cell r="A884">
            <v>8540</v>
          </cell>
          <cell r="B884">
            <v>1244</v>
          </cell>
        </row>
        <row r="885">
          <cell r="A885">
            <v>8529</v>
          </cell>
          <cell r="B885">
            <v>1242</v>
          </cell>
        </row>
        <row r="886">
          <cell r="A886">
            <v>8535</v>
          </cell>
          <cell r="B886">
            <v>1243</v>
          </cell>
        </row>
        <row r="887">
          <cell r="A887">
            <v>8515</v>
          </cell>
          <cell r="B887">
            <v>1241</v>
          </cell>
        </row>
        <row r="888">
          <cell r="A888">
            <v>8514</v>
          </cell>
          <cell r="B888">
            <v>1240</v>
          </cell>
        </row>
        <row r="889">
          <cell r="A889">
            <v>8498</v>
          </cell>
          <cell r="B889">
            <v>1238</v>
          </cell>
        </row>
        <row r="890">
          <cell r="A890">
            <v>8510</v>
          </cell>
          <cell r="B890">
            <v>1239</v>
          </cell>
        </row>
        <row r="891">
          <cell r="A891">
            <v>8486</v>
          </cell>
          <cell r="B891">
            <v>1237</v>
          </cell>
        </row>
        <row r="892">
          <cell r="A892">
            <v>8484</v>
          </cell>
          <cell r="B892">
            <v>1235</v>
          </cell>
        </row>
        <row r="893">
          <cell r="A893">
            <v>8485</v>
          </cell>
          <cell r="B893">
            <v>1236</v>
          </cell>
        </row>
        <row r="894">
          <cell r="A894">
            <v>8483</v>
          </cell>
          <cell r="B894">
            <v>1234</v>
          </cell>
        </row>
        <row r="895">
          <cell r="A895">
            <v>8482</v>
          </cell>
          <cell r="B895">
            <v>1233</v>
          </cell>
        </row>
        <row r="896">
          <cell r="A896">
            <v>8480</v>
          </cell>
          <cell r="B896">
            <v>1231</v>
          </cell>
        </row>
        <row r="897">
          <cell r="A897">
            <v>8481</v>
          </cell>
          <cell r="B897">
            <v>1232</v>
          </cell>
        </row>
        <row r="898">
          <cell r="A898">
            <v>8479</v>
          </cell>
          <cell r="B898">
            <v>1230</v>
          </cell>
        </row>
        <row r="899">
          <cell r="A899">
            <v>8478</v>
          </cell>
          <cell r="B899">
            <v>1229</v>
          </cell>
        </row>
        <row r="900">
          <cell r="A900">
            <v>8469</v>
          </cell>
          <cell r="B900">
            <v>1227</v>
          </cell>
        </row>
        <row r="901">
          <cell r="A901">
            <v>8477</v>
          </cell>
          <cell r="B901">
            <v>1228</v>
          </cell>
        </row>
        <row r="902">
          <cell r="A902">
            <v>8458</v>
          </cell>
          <cell r="B902">
            <v>1226</v>
          </cell>
        </row>
        <row r="903">
          <cell r="A903">
            <v>8445</v>
          </cell>
          <cell r="B903">
            <v>1224</v>
          </cell>
        </row>
        <row r="904">
          <cell r="A904">
            <v>8446</v>
          </cell>
          <cell r="B904">
            <v>1225</v>
          </cell>
        </row>
        <row r="905">
          <cell r="A905">
            <v>8444</v>
          </cell>
          <cell r="B905">
            <v>1223</v>
          </cell>
        </row>
        <row r="906">
          <cell r="A906">
            <v>8442</v>
          </cell>
          <cell r="B906">
            <v>1222</v>
          </cell>
        </row>
        <row r="907">
          <cell r="A907">
            <v>8437</v>
          </cell>
          <cell r="B907">
            <v>1220</v>
          </cell>
        </row>
        <row r="908">
          <cell r="A908">
            <v>8440</v>
          </cell>
          <cell r="B908">
            <v>1221</v>
          </cell>
        </row>
        <row r="909">
          <cell r="A909">
            <v>8435</v>
          </cell>
          <cell r="B909">
            <v>1219</v>
          </cell>
        </row>
        <row r="910">
          <cell r="A910">
            <v>8416</v>
          </cell>
          <cell r="B910">
            <v>1218</v>
          </cell>
        </row>
        <row r="911">
          <cell r="A911">
            <v>8382</v>
          </cell>
          <cell r="B911">
            <v>1216</v>
          </cell>
        </row>
        <row r="912">
          <cell r="A912">
            <v>8395</v>
          </cell>
          <cell r="B912">
            <v>1217</v>
          </cell>
        </row>
        <row r="913">
          <cell r="A913">
            <v>8376</v>
          </cell>
          <cell r="B913">
            <v>1215</v>
          </cell>
        </row>
        <row r="914">
          <cell r="A914">
            <v>8373</v>
          </cell>
          <cell r="B914">
            <v>1213</v>
          </cell>
        </row>
        <row r="915">
          <cell r="A915">
            <v>8375</v>
          </cell>
          <cell r="B915">
            <v>1214</v>
          </cell>
        </row>
        <row r="916">
          <cell r="A916">
            <v>8372</v>
          </cell>
          <cell r="B916">
            <v>1212</v>
          </cell>
        </row>
        <row r="917">
          <cell r="A917">
            <v>8364</v>
          </cell>
          <cell r="B917">
            <v>1211</v>
          </cell>
        </row>
        <row r="918">
          <cell r="A918">
            <v>8339</v>
          </cell>
          <cell r="B918">
            <v>1210</v>
          </cell>
        </row>
        <row r="919">
          <cell r="A919">
            <v>8337</v>
          </cell>
          <cell r="B919">
            <v>1208</v>
          </cell>
        </row>
        <row r="920">
          <cell r="A920">
            <v>8338</v>
          </cell>
          <cell r="B920">
            <v>1209</v>
          </cell>
        </row>
        <row r="921">
          <cell r="A921">
            <v>8334</v>
          </cell>
          <cell r="B921">
            <v>1207</v>
          </cell>
        </row>
        <row r="922">
          <cell r="A922">
            <v>8331</v>
          </cell>
          <cell r="B922">
            <v>1206</v>
          </cell>
        </row>
        <row r="923">
          <cell r="A923">
            <v>8329</v>
          </cell>
          <cell r="B923">
            <v>1205</v>
          </cell>
        </row>
        <row r="924">
          <cell r="A924">
            <v>8315</v>
          </cell>
          <cell r="B924">
            <v>1203</v>
          </cell>
        </row>
        <row r="925">
          <cell r="A925">
            <v>8319</v>
          </cell>
          <cell r="B925">
            <v>1204</v>
          </cell>
        </row>
        <row r="926">
          <cell r="A926">
            <v>8314</v>
          </cell>
          <cell r="B926">
            <v>1202</v>
          </cell>
        </row>
        <row r="927">
          <cell r="A927">
            <v>8296</v>
          </cell>
          <cell r="B927">
            <v>1200</v>
          </cell>
        </row>
        <row r="928">
          <cell r="A928">
            <v>8304</v>
          </cell>
          <cell r="B928">
            <v>1201</v>
          </cell>
        </row>
        <row r="929">
          <cell r="A929">
            <v>8293</v>
          </cell>
          <cell r="B929">
            <v>1199</v>
          </cell>
        </row>
        <row r="930">
          <cell r="A930">
            <v>8286</v>
          </cell>
          <cell r="B930">
            <v>1198</v>
          </cell>
        </row>
        <row r="931">
          <cell r="A931">
            <v>8273</v>
          </cell>
          <cell r="B931">
            <v>1197</v>
          </cell>
        </row>
        <row r="932">
          <cell r="A932">
            <v>8271</v>
          </cell>
          <cell r="B932">
            <v>1195</v>
          </cell>
        </row>
        <row r="933">
          <cell r="A933">
            <v>8272</v>
          </cell>
          <cell r="B933">
            <v>1196</v>
          </cell>
        </row>
        <row r="934">
          <cell r="A934">
            <v>8270</v>
          </cell>
          <cell r="B934">
            <v>1194</v>
          </cell>
        </row>
        <row r="935">
          <cell r="A935">
            <v>8264</v>
          </cell>
          <cell r="B935">
            <v>1193</v>
          </cell>
        </row>
        <row r="936">
          <cell r="A936">
            <v>8227</v>
          </cell>
          <cell r="B936">
            <v>1191</v>
          </cell>
        </row>
        <row r="937">
          <cell r="A937">
            <v>8233</v>
          </cell>
          <cell r="B937">
            <v>1192</v>
          </cell>
        </row>
        <row r="938">
          <cell r="A938">
            <v>8226</v>
          </cell>
          <cell r="B938">
            <v>1190</v>
          </cell>
        </row>
        <row r="939">
          <cell r="A939">
            <v>8207</v>
          </cell>
          <cell r="B939">
            <v>1188</v>
          </cell>
        </row>
        <row r="940">
          <cell r="A940">
            <v>8221</v>
          </cell>
          <cell r="B940">
            <v>1189</v>
          </cell>
        </row>
        <row r="941">
          <cell r="A941">
            <v>8191</v>
          </cell>
          <cell r="B941">
            <v>1187</v>
          </cell>
        </row>
        <row r="942">
          <cell r="A942">
            <v>8184</v>
          </cell>
          <cell r="B942">
            <v>1186</v>
          </cell>
        </row>
        <row r="943">
          <cell r="A943">
            <v>8178</v>
          </cell>
          <cell r="B943">
            <v>1184</v>
          </cell>
        </row>
        <row r="944">
          <cell r="A944">
            <v>8183</v>
          </cell>
          <cell r="B944">
            <v>1185</v>
          </cell>
        </row>
        <row r="945">
          <cell r="A945">
            <v>8173</v>
          </cell>
          <cell r="B945">
            <v>1183</v>
          </cell>
        </row>
        <row r="946">
          <cell r="A946">
            <v>8142</v>
          </cell>
          <cell r="B946">
            <v>1181</v>
          </cell>
        </row>
        <row r="947">
          <cell r="A947">
            <v>8150</v>
          </cell>
          <cell r="B947">
            <v>1182</v>
          </cell>
        </row>
        <row r="948">
          <cell r="A948">
            <v>8133</v>
          </cell>
          <cell r="B948">
            <v>1180</v>
          </cell>
        </row>
        <row r="949">
          <cell r="A949">
            <v>8130</v>
          </cell>
          <cell r="B949">
            <v>1179</v>
          </cell>
        </row>
        <row r="950">
          <cell r="A950">
            <v>8128</v>
          </cell>
          <cell r="B950">
            <v>1177</v>
          </cell>
        </row>
        <row r="951">
          <cell r="A951">
            <v>8129</v>
          </cell>
          <cell r="B951">
            <v>1178</v>
          </cell>
        </row>
        <row r="952">
          <cell r="A952">
            <v>8094</v>
          </cell>
          <cell r="B952">
            <v>1176</v>
          </cell>
        </row>
        <row r="953">
          <cell r="A953">
            <v>8093</v>
          </cell>
          <cell r="B953">
            <v>1175</v>
          </cell>
        </row>
        <row r="954">
          <cell r="A954">
            <v>8075</v>
          </cell>
          <cell r="B954">
            <v>1173</v>
          </cell>
        </row>
        <row r="955">
          <cell r="A955">
            <v>8090</v>
          </cell>
          <cell r="B955">
            <v>1174</v>
          </cell>
        </row>
        <row r="956">
          <cell r="A956">
            <v>8037</v>
          </cell>
          <cell r="B956">
            <v>1172</v>
          </cell>
        </row>
        <row r="957">
          <cell r="A957">
            <v>8035</v>
          </cell>
          <cell r="B957">
            <v>1171</v>
          </cell>
        </row>
        <row r="958">
          <cell r="A958">
            <v>7994</v>
          </cell>
          <cell r="B958">
            <v>1169</v>
          </cell>
        </row>
        <row r="959">
          <cell r="A959">
            <v>8022</v>
          </cell>
          <cell r="B959">
            <v>1170</v>
          </cell>
        </row>
        <row r="960">
          <cell r="A960">
            <v>7991</v>
          </cell>
          <cell r="B960">
            <v>1168</v>
          </cell>
        </row>
        <row r="961">
          <cell r="A961">
            <v>7954</v>
          </cell>
          <cell r="B961">
            <v>1166</v>
          </cell>
        </row>
        <row r="962">
          <cell r="A962">
            <v>7963</v>
          </cell>
          <cell r="B962">
            <v>1167</v>
          </cell>
        </row>
        <row r="963">
          <cell r="A963">
            <v>7939</v>
          </cell>
          <cell r="B963">
            <v>1165</v>
          </cell>
        </row>
        <row r="964">
          <cell r="A964">
            <v>7938</v>
          </cell>
          <cell r="B964">
            <v>1164</v>
          </cell>
        </row>
        <row r="965">
          <cell r="A965">
            <v>7900</v>
          </cell>
          <cell r="B965">
            <v>1162</v>
          </cell>
        </row>
        <row r="966">
          <cell r="A966">
            <v>7903</v>
          </cell>
          <cell r="B966">
            <v>1163</v>
          </cell>
        </row>
        <row r="967">
          <cell r="A967">
            <v>7897</v>
          </cell>
          <cell r="B967">
            <v>1161</v>
          </cell>
        </row>
        <row r="968">
          <cell r="A968">
            <v>7881</v>
          </cell>
          <cell r="B968">
            <v>1160</v>
          </cell>
        </row>
        <row r="969">
          <cell r="A969">
            <v>7880</v>
          </cell>
          <cell r="B969">
            <v>1159</v>
          </cell>
        </row>
        <row r="970">
          <cell r="A970">
            <v>7867</v>
          </cell>
          <cell r="B970">
            <v>1158</v>
          </cell>
        </row>
        <row r="971">
          <cell r="A971">
            <v>7853</v>
          </cell>
          <cell r="B971">
            <v>1156</v>
          </cell>
        </row>
        <row r="972">
          <cell r="A972">
            <v>7856</v>
          </cell>
          <cell r="B972">
            <v>1157</v>
          </cell>
        </row>
        <row r="973">
          <cell r="A973">
            <v>7827</v>
          </cell>
          <cell r="B973">
            <v>1155</v>
          </cell>
        </row>
        <row r="974">
          <cell r="A974">
            <v>7806</v>
          </cell>
          <cell r="B974">
            <v>1153</v>
          </cell>
        </row>
        <row r="975">
          <cell r="A975">
            <v>7821</v>
          </cell>
          <cell r="B975">
            <v>1154</v>
          </cell>
        </row>
        <row r="976">
          <cell r="A976">
            <v>7802</v>
          </cell>
          <cell r="B976">
            <v>1152</v>
          </cell>
        </row>
        <row r="977">
          <cell r="A977">
            <v>7786</v>
          </cell>
          <cell r="B977">
            <v>1150</v>
          </cell>
        </row>
        <row r="978">
          <cell r="A978">
            <v>7789</v>
          </cell>
          <cell r="B978">
            <v>1151</v>
          </cell>
        </row>
        <row r="979">
          <cell r="A979">
            <v>7776</v>
          </cell>
          <cell r="B979">
            <v>1149</v>
          </cell>
        </row>
        <row r="980">
          <cell r="A980">
            <v>7753</v>
          </cell>
          <cell r="B980">
            <v>1147</v>
          </cell>
        </row>
        <row r="981">
          <cell r="A981">
            <v>7763</v>
          </cell>
          <cell r="B981">
            <v>1148</v>
          </cell>
        </row>
        <row r="982">
          <cell r="A982">
            <v>7747</v>
          </cell>
          <cell r="B982">
            <v>1146</v>
          </cell>
        </row>
        <row r="983">
          <cell r="A983">
            <v>7746</v>
          </cell>
          <cell r="B983">
            <v>1145</v>
          </cell>
        </row>
        <row r="984">
          <cell r="A984">
            <v>7741</v>
          </cell>
          <cell r="B984">
            <v>1144</v>
          </cell>
        </row>
        <row r="985">
          <cell r="A985">
            <v>7728</v>
          </cell>
          <cell r="B985">
            <v>1142</v>
          </cell>
        </row>
        <row r="986">
          <cell r="A986">
            <v>7740</v>
          </cell>
          <cell r="B986">
            <v>1143</v>
          </cell>
        </row>
        <row r="987">
          <cell r="A987">
            <v>7727</v>
          </cell>
          <cell r="B987">
            <v>1141</v>
          </cell>
        </row>
        <row r="988">
          <cell r="A988">
            <v>7700</v>
          </cell>
          <cell r="B988">
            <v>1139</v>
          </cell>
        </row>
        <row r="989">
          <cell r="A989">
            <v>7726</v>
          </cell>
          <cell r="B989">
            <v>1140</v>
          </cell>
        </row>
        <row r="990">
          <cell r="A990">
            <v>7685</v>
          </cell>
          <cell r="B990">
            <v>1138</v>
          </cell>
        </row>
        <row r="991">
          <cell r="A991">
            <v>7677</v>
          </cell>
          <cell r="B991">
            <v>1137</v>
          </cell>
        </row>
        <row r="992">
          <cell r="A992">
            <v>7674</v>
          </cell>
          <cell r="B992">
            <v>1135</v>
          </cell>
        </row>
        <row r="993">
          <cell r="A993">
            <v>7675</v>
          </cell>
          <cell r="B993">
            <v>1136</v>
          </cell>
        </row>
        <row r="994">
          <cell r="A994">
            <v>7605</v>
          </cell>
          <cell r="B994">
            <v>1134</v>
          </cell>
        </row>
        <row r="995">
          <cell r="A995">
            <v>7601</v>
          </cell>
          <cell r="B995">
            <v>1132</v>
          </cell>
        </row>
        <row r="996">
          <cell r="A996">
            <v>7604</v>
          </cell>
          <cell r="B996">
            <v>1133</v>
          </cell>
        </row>
        <row r="997">
          <cell r="A997">
            <v>7597</v>
          </cell>
          <cell r="B997">
            <v>1131</v>
          </cell>
        </row>
        <row r="998">
          <cell r="A998">
            <v>7596</v>
          </cell>
          <cell r="B998">
            <v>1130</v>
          </cell>
        </row>
        <row r="999">
          <cell r="A999">
            <v>7581</v>
          </cell>
          <cell r="B999">
            <v>1128</v>
          </cell>
        </row>
        <row r="1000">
          <cell r="A1000">
            <v>7590</v>
          </cell>
          <cell r="B1000">
            <v>1129</v>
          </cell>
        </row>
        <row r="1001">
          <cell r="A1001">
            <v>7580</v>
          </cell>
          <cell r="B1001">
            <v>1127</v>
          </cell>
        </row>
        <row r="1002">
          <cell r="A1002">
            <v>7579</v>
          </cell>
          <cell r="B1002">
            <v>1126</v>
          </cell>
        </row>
        <row r="1003">
          <cell r="A1003">
            <v>7578</v>
          </cell>
          <cell r="B1003">
            <v>1125</v>
          </cell>
        </row>
        <row r="1004">
          <cell r="A1004">
            <v>7566</v>
          </cell>
          <cell r="B1004">
            <v>1123</v>
          </cell>
        </row>
        <row r="1005">
          <cell r="A1005">
            <v>7567</v>
          </cell>
          <cell r="B1005">
            <v>1124</v>
          </cell>
        </row>
        <row r="1006">
          <cell r="A1006">
            <v>7543</v>
          </cell>
          <cell r="B1006">
            <v>1122</v>
          </cell>
        </row>
        <row r="1007">
          <cell r="A1007">
            <v>7529</v>
          </cell>
          <cell r="B1007">
            <v>1120</v>
          </cell>
        </row>
        <row r="1008">
          <cell r="A1008">
            <v>7530</v>
          </cell>
          <cell r="B1008">
            <v>1121</v>
          </cell>
        </row>
        <row r="1009">
          <cell r="A1009">
            <v>7510</v>
          </cell>
          <cell r="B1009">
            <v>1119</v>
          </cell>
        </row>
        <row r="1010">
          <cell r="A1010">
            <v>7506</v>
          </cell>
          <cell r="B1010">
            <v>1118</v>
          </cell>
        </row>
        <row r="1011">
          <cell r="A1011">
            <v>7500</v>
          </cell>
          <cell r="B1011">
            <v>1116</v>
          </cell>
        </row>
        <row r="1012">
          <cell r="A1012">
            <v>7501</v>
          </cell>
          <cell r="B1012">
            <v>1117</v>
          </cell>
        </row>
        <row r="1013">
          <cell r="A1013">
            <v>7495</v>
          </cell>
          <cell r="B1013">
            <v>1115</v>
          </cell>
        </row>
        <row r="1014">
          <cell r="A1014">
            <v>7493</v>
          </cell>
          <cell r="B1014">
            <v>1114</v>
          </cell>
        </row>
        <row r="1015">
          <cell r="A1015">
            <v>7482</v>
          </cell>
          <cell r="B1015">
            <v>1112</v>
          </cell>
        </row>
        <row r="1016">
          <cell r="A1016">
            <v>7485</v>
          </cell>
          <cell r="B1016">
            <v>1113</v>
          </cell>
        </row>
        <row r="1017">
          <cell r="A1017">
            <v>7470</v>
          </cell>
          <cell r="B1017">
            <v>1111</v>
          </cell>
        </row>
        <row r="1018">
          <cell r="A1018">
            <v>7468</v>
          </cell>
          <cell r="B1018">
            <v>1110</v>
          </cell>
        </row>
        <row r="1019">
          <cell r="A1019">
            <v>7450</v>
          </cell>
          <cell r="B1019">
            <v>1108</v>
          </cell>
        </row>
        <row r="1020">
          <cell r="A1020">
            <v>7458</v>
          </cell>
          <cell r="B1020">
            <v>1109</v>
          </cell>
        </row>
        <row r="1021">
          <cell r="A1021">
            <v>7413</v>
          </cell>
          <cell r="B1021">
            <v>1107</v>
          </cell>
        </row>
        <row r="1022">
          <cell r="A1022">
            <v>7374</v>
          </cell>
          <cell r="B1022">
            <v>1105</v>
          </cell>
        </row>
        <row r="1023">
          <cell r="A1023">
            <v>7393</v>
          </cell>
          <cell r="B1023">
            <v>1106</v>
          </cell>
        </row>
        <row r="1024">
          <cell r="A1024">
            <v>7325</v>
          </cell>
          <cell r="B1024">
            <v>1104</v>
          </cell>
        </row>
        <row r="1025">
          <cell r="A1025">
            <v>7324</v>
          </cell>
          <cell r="B1025">
            <v>1103</v>
          </cell>
        </row>
        <row r="1026">
          <cell r="A1026">
            <v>7307</v>
          </cell>
          <cell r="B1026">
            <v>1101</v>
          </cell>
        </row>
        <row r="1027">
          <cell r="A1027">
            <v>7321</v>
          </cell>
          <cell r="B1027">
            <v>1102</v>
          </cell>
        </row>
        <row r="1028">
          <cell r="A1028">
            <v>7296</v>
          </cell>
          <cell r="B1028">
            <v>1100</v>
          </cell>
        </row>
        <row r="1029">
          <cell r="A1029">
            <v>7273</v>
          </cell>
          <cell r="B1029">
            <v>1098</v>
          </cell>
        </row>
        <row r="1030">
          <cell r="A1030">
            <v>7274</v>
          </cell>
          <cell r="B1030">
            <v>1099</v>
          </cell>
        </row>
        <row r="1031">
          <cell r="A1031">
            <v>7272</v>
          </cell>
          <cell r="B1031">
            <v>1097</v>
          </cell>
        </row>
        <row r="1032">
          <cell r="A1032">
            <v>7264</v>
          </cell>
          <cell r="B1032">
            <v>1096</v>
          </cell>
        </row>
        <row r="1033">
          <cell r="A1033">
            <v>7262</v>
          </cell>
          <cell r="B1033">
            <v>1094</v>
          </cell>
        </row>
        <row r="1034">
          <cell r="A1034">
            <v>7263</v>
          </cell>
          <cell r="B1034">
            <v>1095</v>
          </cell>
        </row>
        <row r="1035">
          <cell r="A1035">
            <v>7233</v>
          </cell>
          <cell r="B1035">
            <v>1093</v>
          </cell>
        </row>
        <row r="1036">
          <cell r="A1036">
            <v>7196</v>
          </cell>
          <cell r="B1036">
            <v>1091</v>
          </cell>
        </row>
        <row r="1037">
          <cell r="A1037">
            <v>7211</v>
          </cell>
          <cell r="B1037">
            <v>1092</v>
          </cell>
        </row>
        <row r="1038">
          <cell r="A1038">
            <v>7195</v>
          </cell>
          <cell r="B1038">
            <v>1090</v>
          </cell>
        </row>
        <row r="1039">
          <cell r="A1039">
            <v>7194</v>
          </cell>
          <cell r="B1039">
            <v>1089</v>
          </cell>
        </row>
        <row r="1040">
          <cell r="A1040">
            <v>7180</v>
          </cell>
          <cell r="B1040">
            <v>1087</v>
          </cell>
        </row>
        <row r="1041">
          <cell r="A1041">
            <v>7191</v>
          </cell>
          <cell r="B1041">
            <v>1088</v>
          </cell>
        </row>
        <row r="1042">
          <cell r="A1042">
            <v>7166</v>
          </cell>
          <cell r="B1042">
            <v>1086</v>
          </cell>
        </row>
        <row r="1043">
          <cell r="A1043">
            <v>7145</v>
          </cell>
          <cell r="B1043">
            <v>1084</v>
          </cell>
        </row>
        <row r="1044">
          <cell r="A1044">
            <v>7158</v>
          </cell>
          <cell r="B1044">
            <v>1085</v>
          </cell>
        </row>
        <row r="1045">
          <cell r="A1045">
            <v>7126</v>
          </cell>
          <cell r="B1045">
            <v>1083</v>
          </cell>
        </row>
        <row r="1046">
          <cell r="A1046">
            <v>7086</v>
          </cell>
          <cell r="B1046">
            <v>1082</v>
          </cell>
        </row>
        <row r="1047">
          <cell r="A1047">
            <v>7081</v>
          </cell>
          <cell r="B1047">
            <v>1080</v>
          </cell>
        </row>
        <row r="1048">
          <cell r="A1048">
            <v>7082</v>
          </cell>
          <cell r="B1048">
            <v>1081</v>
          </cell>
        </row>
        <row r="1049">
          <cell r="A1049">
            <v>7061</v>
          </cell>
          <cell r="B1049">
            <v>1079</v>
          </cell>
        </row>
        <row r="1050">
          <cell r="A1050">
            <v>7055</v>
          </cell>
          <cell r="B1050">
            <v>1078</v>
          </cell>
        </row>
        <row r="1051">
          <cell r="A1051">
            <v>7047</v>
          </cell>
          <cell r="B1051">
            <v>1076</v>
          </cell>
        </row>
        <row r="1052">
          <cell r="A1052">
            <v>7052</v>
          </cell>
          <cell r="B1052">
            <v>1077</v>
          </cell>
        </row>
        <row r="1053">
          <cell r="A1053">
            <v>7046</v>
          </cell>
          <cell r="B1053">
            <v>1075</v>
          </cell>
        </row>
        <row r="1054">
          <cell r="A1054">
            <v>7024</v>
          </cell>
          <cell r="B1054">
            <v>1074</v>
          </cell>
        </row>
        <row r="1055">
          <cell r="A1055">
            <v>7004</v>
          </cell>
          <cell r="B1055">
            <v>1072</v>
          </cell>
        </row>
        <row r="1056">
          <cell r="A1056">
            <v>7023</v>
          </cell>
          <cell r="B1056">
            <v>1073</v>
          </cell>
        </row>
        <row r="1057">
          <cell r="A1057">
            <v>6978</v>
          </cell>
          <cell r="B1057">
            <v>1071</v>
          </cell>
        </row>
        <row r="1058">
          <cell r="A1058">
            <v>6970</v>
          </cell>
          <cell r="B1058">
            <v>1070</v>
          </cell>
        </row>
        <row r="1059">
          <cell r="A1059">
            <v>6945</v>
          </cell>
          <cell r="B1059">
            <v>1068</v>
          </cell>
        </row>
        <row r="1060">
          <cell r="A1060">
            <v>6960</v>
          </cell>
          <cell r="B1060">
            <v>1069</v>
          </cell>
        </row>
        <row r="1061">
          <cell r="A1061">
            <v>6931</v>
          </cell>
          <cell r="B1061">
            <v>1067</v>
          </cell>
        </row>
        <row r="1062">
          <cell r="A1062">
            <v>6836</v>
          </cell>
          <cell r="B1062">
            <v>1065</v>
          </cell>
        </row>
        <row r="1063">
          <cell r="A1063">
            <v>6923</v>
          </cell>
          <cell r="B1063">
            <v>1066</v>
          </cell>
        </row>
        <row r="1064">
          <cell r="A1064">
            <v>6835</v>
          </cell>
          <cell r="B1064">
            <v>1064</v>
          </cell>
        </row>
        <row r="1065">
          <cell r="A1065">
            <v>6825</v>
          </cell>
          <cell r="B1065">
            <v>1062</v>
          </cell>
        </row>
        <row r="1066">
          <cell r="A1066">
            <v>6826</v>
          </cell>
          <cell r="B1066">
            <v>1063</v>
          </cell>
        </row>
        <row r="1067">
          <cell r="A1067">
            <v>6824</v>
          </cell>
          <cell r="B1067">
            <v>1061</v>
          </cell>
        </row>
        <row r="1068">
          <cell r="A1068">
            <v>6822</v>
          </cell>
          <cell r="B1068">
            <v>1059</v>
          </cell>
        </row>
        <row r="1069">
          <cell r="A1069">
            <v>6823</v>
          </cell>
          <cell r="B1069">
            <v>1060</v>
          </cell>
        </row>
        <row r="1070">
          <cell r="A1070">
            <v>6821</v>
          </cell>
          <cell r="B1070">
            <v>1058</v>
          </cell>
        </row>
        <row r="1071">
          <cell r="A1071">
            <v>6820</v>
          </cell>
          <cell r="B1071">
            <v>1057</v>
          </cell>
        </row>
        <row r="1072">
          <cell r="A1072">
            <v>6819</v>
          </cell>
          <cell r="B1072">
            <v>1056</v>
          </cell>
        </row>
        <row r="1073">
          <cell r="A1073">
            <v>6817</v>
          </cell>
          <cell r="B1073">
            <v>1054</v>
          </cell>
        </row>
        <row r="1074">
          <cell r="A1074">
            <v>6818</v>
          </cell>
          <cell r="B1074">
            <v>1055</v>
          </cell>
        </row>
        <row r="1075">
          <cell r="A1075">
            <v>6816</v>
          </cell>
          <cell r="B1075">
            <v>1053</v>
          </cell>
        </row>
        <row r="1076">
          <cell r="A1076">
            <v>6814</v>
          </cell>
          <cell r="B1076">
            <v>1051</v>
          </cell>
        </row>
        <row r="1077">
          <cell r="A1077">
            <v>6815</v>
          </cell>
          <cell r="B1077">
            <v>1052</v>
          </cell>
        </row>
        <row r="1078">
          <cell r="A1078">
            <v>6813</v>
          </cell>
          <cell r="B1078">
            <v>1050</v>
          </cell>
        </row>
        <row r="1079">
          <cell r="A1079">
            <v>6801</v>
          </cell>
          <cell r="B1079">
            <v>1049</v>
          </cell>
        </row>
        <row r="1080">
          <cell r="A1080">
            <v>6786</v>
          </cell>
          <cell r="B1080">
            <v>1047</v>
          </cell>
        </row>
        <row r="1081">
          <cell r="A1081">
            <v>6800</v>
          </cell>
          <cell r="B1081">
            <v>1048</v>
          </cell>
        </row>
        <row r="1082">
          <cell r="A1082">
            <v>6782</v>
          </cell>
          <cell r="B1082">
            <v>1046</v>
          </cell>
        </row>
        <row r="1083">
          <cell r="A1083">
            <v>6756</v>
          </cell>
          <cell r="B1083">
            <v>1044</v>
          </cell>
        </row>
        <row r="1084">
          <cell r="A1084">
            <v>6761</v>
          </cell>
          <cell r="B1084">
            <v>1045</v>
          </cell>
        </row>
        <row r="1085">
          <cell r="A1085">
            <v>6738</v>
          </cell>
          <cell r="B1085">
            <v>1043</v>
          </cell>
        </row>
        <row r="1086">
          <cell r="A1086">
            <v>6730</v>
          </cell>
          <cell r="B1086">
            <v>1042</v>
          </cell>
        </row>
        <row r="1087">
          <cell r="A1087">
            <v>6704</v>
          </cell>
          <cell r="B1087">
            <v>1040</v>
          </cell>
        </row>
        <row r="1088">
          <cell r="A1088">
            <v>6729</v>
          </cell>
          <cell r="B1088">
            <v>1041</v>
          </cell>
        </row>
        <row r="1089">
          <cell r="A1089">
            <v>6695</v>
          </cell>
          <cell r="B1089">
            <v>1039</v>
          </cell>
        </row>
        <row r="1090">
          <cell r="A1090">
            <v>6660</v>
          </cell>
          <cell r="B1090">
            <v>1038</v>
          </cell>
        </row>
        <row r="1091">
          <cell r="A1091">
            <v>6640</v>
          </cell>
          <cell r="B1091">
            <v>1036</v>
          </cell>
        </row>
        <row r="1092">
          <cell r="A1092">
            <v>6641</v>
          </cell>
          <cell r="B1092">
            <v>1037</v>
          </cell>
        </row>
        <row r="1093">
          <cell r="A1093">
            <v>6639</v>
          </cell>
          <cell r="B1093">
            <v>1035</v>
          </cell>
        </row>
        <row r="1094">
          <cell r="A1094">
            <v>6638</v>
          </cell>
          <cell r="B1094">
            <v>1034</v>
          </cell>
        </row>
        <row r="1095">
          <cell r="A1095">
            <v>6631</v>
          </cell>
          <cell r="B1095">
            <v>1032</v>
          </cell>
        </row>
        <row r="1096">
          <cell r="A1096">
            <v>6634</v>
          </cell>
          <cell r="B1096">
            <v>1033</v>
          </cell>
        </row>
        <row r="1097">
          <cell r="A1097">
            <v>6597</v>
          </cell>
          <cell r="B1097">
            <v>1031</v>
          </cell>
        </row>
        <row r="1098">
          <cell r="A1098">
            <v>6551</v>
          </cell>
          <cell r="B1098">
            <v>1029</v>
          </cell>
        </row>
        <row r="1099">
          <cell r="A1099">
            <v>6552</v>
          </cell>
          <cell r="B1099">
            <v>1030</v>
          </cell>
        </row>
        <row r="1100">
          <cell r="A1100">
            <v>6531</v>
          </cell>
          <cell r="B1100">
            <v>1028</v>
          </cell>
        </row>
        <row r="1101">
          <cell r="A1101">
            <v>6526</v>
          </cell>
          <cell r="B1101">
            <v>1027</v>
          </cell>
        </row>
        <row r="1102">
          <cell r="A1102">
            <v>6524</v>
          </cell>
          <cell r="B1102">
            <v>1025</v>
          </cell>
        </row>
        <row r="1103">
          <cell r="A1103">
            <v>6525</v>
          </cell>
          <cell r="B1103">
            <v>1026</v>
          </cell>
        </row>
        <row r="1104">
          <cell r="A1104">
            <v>6511</v>
          </cell>
          <cell r="B1104">
            <v>1024</v>
          </cell>
        </row>
        <row r="1105">
          <cell r="A1105">
            <v>6445</v>
          </cell>
          <cell r="B1105">
            <v>1023</v>
          </cell>
        </row>
        <row r="1106">
          <cell r="A1106">
            <v>6441</v>
          </cell>
          <cell r="B1106">
            <v>1021</v>
          </cell>
        </row>
        <row r="1107">
          <cell r="A1107">
            <v>6442</v>
          </cell>
          <cell r="B1107">
            <v>1022</v>
          </cell>
        </row>
        <row r="1108">
          <cell r="A1108">
            <v>6427</v>
          </cell>
          <cell r="B1108">
            <v>1020</v>
          </cell>
        </row>
        <row r="1109">
          <cell r="A1109">
            <v>6425</v>
          </cell>
          <cell r="B1109">
            <v>1019</v>
          </cell>
        </row>
        <row r="1110">
          <cell r="A1110">
            <v>6415</v>
          </cell>
          <cell r="B1110">
            <v>1017</v>
          </cell>
        </row>
        <row r="1111">
          <cell r="A1111">
            <v>6422</v>
          </cell>
          <cell r="B1111">
            <v>1018</v>
          </cell>
        </row>
        <row r="1112">
          <cell r="A1112">
            <v>6391</v>
          </cell>
          <cell r="B1112">
            <v>1016</v>
          </cell>
        </row>
        <row r="1113">
          <cell r="A1113">
            <v>6340</v>
          </cell>
          <cell r="B1113">
            <v>1015</v>
          </cell>
        </row>
        <row r="1114">
          <cell r="A1114">
            <v>6331</v>
          </cell>
          <cell r="B1114">
            <v>1013</v>
          </cell>
        </row>
        <row r="1115">
          <cell r="A1115">
            <v>6335</v>
          </cell>
          <cell r="B1115">
            <v>1014</v>
          </cell>
        </row>
        <row r="1116">
          <cell r="A1116">
            <v>6288</v>
          </cell>
          <cell r="B1116">
            <v>1012</v>
          </cell>
        </row>
        <row r="1117">
          <cell r="A1117">
            <v>6280</v>
          </cell>
          <cell r="B1117">
            <v>1011</v>
          </cell>
        </row>
        <row r="1118">
          <cell r="A1118">
            <v>6241</v>
          </cell>
          <cell r="B1118">
            <v>1009</v>
          </cell>
        </row>
        <row r="1119">
          <cell r="A1119">
            <v>6258</v>
          </cell>
          <cell r="B1119">
            <v>1010</v>
          </cell>
        </row>
        <row r="1120">
          <cell r="A1120">
            <v>6240</v>
          </cell>
          <cell r="B1120">
            <v>1008</v>
          </cell>
        </row>
        <row r="1121">
          <cell r="A1121">
            <v>6224</v>
          </cell>
          <cell r="B1121">
            <v>1007</v>
          </cell>
        </row>
        <row r="1122">
          <cell r="A1122">
            <v>6180</v>
          </cell>
          <cell r="B1122">
            <v>1005</v>
          </cell>
        </row>
        <row r="1123">
          <cell r="A1123">
            <v>6199</v>
          </cell>
          <cell r="B1123">
            <v>1006</v>
          </cell>
        </row>
        <row r="1124">
          <cell r="A1124">
            <v>6173</v>
          </cell>
          <cell r="B1124">
            <v>1004</v>
          </cell>
        </row>
        <row r="1125">
          <cell r="A1125">
            <v>6118</v>
          </cell>
          <cell r="B1125">
            <v>1003</v>
          </cell>
        </row>
        <row r="1126">
          <cell r="A1126">
            <v>6108</v>
          </cell>
          <cell r="B1126">
            <v>1002</v>
          </cell>
        </row>
        <row r="1127">
          <cell r="A1127">
            <v>6067</v>
          </cell>
          <cell r="B1127">
            <v>1000</v>
          </cell>
        </row>
        <row r="1128">
          <cell r="A1128">
            <v>6107</v>
          </cell>
          <cell r="B1128">
            <v>1001</v>
          </cell>
        </row>
        <row r="1129">
          <cell r="A1129">
            <v>6053</v>
          </cell>
          <cell r="B1129">
            <v>999</v>
          </cell>
        </row>
        <row r="1130">
          <cell r="A1130">
            <v>6052</v>
          </cell>
          <cell r="B1130">
            <v>998</v>
          </cell>
        </row>
        <row r="1131">
          <cell r="A1131">
            <v>6007</v>
          </cell>
          <cell r="B1131">
            <v>996</v>
          </cell>
        </row>
        <row r="1132">
          <cell r="A1132">
            <v>6040</v>
          </cell>
          <cell r="B1132">
            <v>997</v>
          </cell>
        </row>
        <row r="1133">
          <cell r="A1133">
            <v>5979</v>
          </cell>
          <cell r="B1133">
            <v>995</v>
          </cell>
        </row>
        <row r="1134">
          <cell r="A1134">
            <v>5966</v>
          </cell>
          <cell r="B1134">
            <v>994</v>
          </cell>
        </row>
        <row r="1135">
          <cell r="A1135">
            <v>5944</v>
          </cell>
          <cell r="B1135">
            <v>992</v>
          </cell>
        </row>
        <row r="1136">
          <cell r="A1136">
            <v>5964</v>
          </cell>
          <cell r="B1136">
            <v>993</v>
          </cell>
        </row>
        <row r="1137">
          <cell r="A1137">
            <v>5937</v>
          </cell>
          <cell r="B1137">
            <v>991</v>
          </cell>
        </row>
        <row r="1138">
          <cell r="A1138">
            <v>5932</v>
          </cell>
          <cell r="B1138">
            <v>989</v>
          </cell>
        </row>
        <row r="1139">
          <cell r="A1139">
            <v>5936</v>
          </cell>
          <cell r="B1139">
            <v>990</v>
          </cell>
        </row>
        <row r="1140">
          <cell r="A1140">
            <v>5908</v>
          </cell>
          <cell r="B1140">
            <v>988</v>
          </cell>
        </row>
        <row r="1141">
          <cell r="A1141">
            <v>5899</v>
          </cell>
          <cell r="B1141">
            <v>987</v>
          </cell>
        </row>
        <row r="1142">
          <cell r="A1142">
            <v>5898</v>
          </cell>
          <cell r="B1142">
            <v>986</v>
          </cell>
        </row>
        <row r="1143">
          <cell r="A1143">
            <v>5851</v>
          </cell>
          <cell r="B1143">
            <v>984</v>
          </cell>
        </row>
        <row r="1144">
          <cell r="A1144">
            <v>5855</v>
          </cell>
          <cell r="B1144">
            <v>985</v>
          </cell>
        </row>
        <row r="1145">
          <cell r="A1145">
            <v>5782</v>
          </cell>
          <cell r="B1145">
            <v>983</v>
          </cell>
        </row>
        <row r="1146">
          <cell r="A1146">
            <v>5781</v>
          </cell>
          <cell r="B1146">
            <v>982</v>
          </cell>
        </row>
        <row r="1147">
          <cell r="A1147">
            <v>5689</v>
          </cell>
          <cell r="B1147">
            <v>980</v>
          </cell>
        </row>
        <row r="1148">
          <cell r="A1148">
            <v>5751</v>
          </cell>
          <cell r="B1148">
            <v>981</v>
          </cell>
        </row>
        <row r="1149">
          <cell r="A1149">
            <v>5682</v>
          </cell>
          <cell r="B1149">
            <v>979</v>
          </cell>
        </row>
        <row r="1150">
          <cell r="A1150">
            <v>5673</v>
          </cell>
          <cell r="B1150">
            <v>977</v>
          </cell>
        </row>
        <row r="1151">
          <cell r="A1151">
            <v>5674</v>
          </cell>
          <cell r="B1151">
            <v>978</v>
          </cell>
        </row>
        <row r="1152">
          <cell r="A1152">
            <v>5672</v>
          </cell>
          <cell r="B1152">
            <v>976</v>
          </cell>
        </row>
        <row r="1153">
          <cell r="A1153">
            <v>5660</v>
          </cell>
          <cell r="B1153">
            <v>975</v>
          </cell>
        </row>
        <row r="1154">
          <cell r="A1154">
            <v>5635</v>
          </cell>
          <cell r="B1154">
            <v>973</v>
          </cell>
        </row>
        <row r="1155">
          <cell r="A1155">
            <v>5651</v>
          </cell>
          <cell r="B1155">
            <v>974</v>
          </cell>
        </row>
        <row r="1156">
          <cell r="A1156">
            <v>5633</v>
          </cell>
          <cell r="B1156">
            <v>972</v>
          </cell>
        </row>
        <row r="1157">
          <cell r="A1157">
            <v>5632</v>
          </cell>
          <cell r="B1157">
            <v>971</v>
          </cell>
        </row>
        <row r="1158">
          <cell r="A1158">
            <v>5630</v>
          </cell>
          <cell r="B1158">
            <v>969</v>
          </cell>
        </row>
        <row r="1159">
          <cell r="A1159">
            <v>5631</v>
          </cell>
          <cell r="B1159">
            <v>970</v>
          </cell>
        </row>
        <row r="1160">
          <cell r="A1160">
            <v>5599</v>
          </cell>
          <cell r="B1160">
            <v>968</v>
          </cell>
        </row>
        <row r="1161">
          <cell r="A1161">
            <v>5597</v>
          </cell>
          <cell r="B1161">
            <v>967</v>
          </cell>
        </row>
        <row r="1162">
          <cell r="A1162">
            <v>5557</v>
          </cell>
          <cell r="B1162">
            <v>965</v>
          </cell>
        </row>
        <row r="1163">
          <cell r="A1163">
            <v>5579</v>
          </cell>
          <cell r="B1163">
            <v>966</v>
          </cell>
        </row>
        <row r="1164">
          <cell r="A1164">
            <v>5547</v>
          </cell>
          <cell r="B1164">
            <v>964</v>
          </cell>
        </row>
        <row r="1165">
          <cell r="A1165">
            <v>5544</v>
          </cell>
          <cell r="B1165">
            <v>963</v>
          </cell>
        </row>
        <row r="1166">
          <cell r="A1166">
            <v>5542</v>
          </cell>
          <cell r="B1166">
            <v>961</v>
          </cell>
        </row>
        <row r="1167">
          <cell r="A1167">
            <v>5543</v>
          </cell>
          <cell r="B1167">
            <v>962</v>
          </cell>
        </row>
        <row r="1168">
          <cell r="A1168">
            <v>5541</v>
          </cell>
          <cell r="B1168">
            <v>960</v>
          </cell>
        </row>
        <row r="1169">
          <cell r="A1169">
            <v>5473</v>
          </cell>
          <cell r="B1169">
            <v>959</v>
          </cell>
        </row>
        <row r="1170">
          <cell r="A1170">
            <v>5371</v>
          </cell>
          <cell r="B1170">
            <v>957</v>
          </cell>
        </row>
        <row r="1171">
          <cell r="A1171">
            <v>5470</v>
          </cell>
          <cell r="B1171">
            <v>958</v>
          </cell>
        </row>
        <row r="1172">
          <cell r="A1172">
            <v>5354</v>
          </cell>
          <cell r="B1172">
            <v>956</v>
          </cell>
        </row>
        <row r="1173">
          <cell r="A1173">
            <v>5308</v>
          </cell>
          <cell r="B1173">
            <v>955</v>
          </cell>
        </row>
        <row r="1174">
          <cell r="A1174">
            <v>5282</v>
          </cell>
          <cell r="B1174">
            <v>953</v>
          </cell>
        </row>
        <row r="1175">
          <cell r="A1175">
            <v>5283</v>
          </cell>
          <cell r="B1175">
            <v>954</v>
          </cell>
        </row>
        <row r="1176">
          <cell r="A1176">
            <v>5281</v>
          </cell>
          <cell r="B1176">
            <v>952</v>
          </cell>
        </row>
        <row r="1177">
          <cell r="A1177">
            <v>5279</v>
          </cell>
          <cell r="B1177">
            <v>950</v>
          </cell>
        </row>
        <row r="1178">
          <cell r="A1178">
            <v>5280</v>
          </cell>
          <cell r="B1178">
            <v>951</v>
          </cell>
        </row>
        <row r="1179">
          <cell r="A1179">
            <v>5278</v>
          </cell>
          <cell r="B1179">
            <v>949</v>
          </cell>
        </row>
        <row r="1180">
          <cell r="A1180">
            <v>5277</v>
          </cell>
          <cell r="B1180">
            <v>948</v>
          </cell>
        </row>
        <row r="1181">
          <cell r="A1181">
            <v>5249</v>
          </cell>
          <cell r="B1181">
            <v>946</v>
          </cell>
        </row>
        <row r="1182">
          <cell r="A1182">
            <v>5267</v>
          </cell>
          <cell r="B1182">
            <v>947</v>
          </cell>
        </row>
        <row r="1183">
          <cell r="A1183">
            <v>5184</v>
          </cell>
          <cell r="B1183">
            <v>945</v>
          </cell>
        </row>
        <row r="1184">
          <cell r="A1184">
            <v>5182</v>
          </cell>
          <cell r="B1184">
            <v>943</v>
          </cell>
        </row>
        <row r="1185">
          <cell r="A1185">
            <v>5183</v>
          </cell>
          <cell r="B1185">
            <v>944</v>
          </cell>
        </row>
        <row r="1186">
          <cell r="A1186">
            <v>5159</v>
          </cell>
          <cell r="B1186">
            <v>942</v>
          </cell>
        </row>
        <row r="1187">
          <cell r="A1187">
            <v>5158</v>
          </cell>
          <cell r="B1187">
            <v>941</v>
          </cell>
        </row>
        <row r="1188">
          <cell r="A1188">
            <v>5108</v>
          </cell>
          <cell r="B1188">
            <v>940</v>
          </cell>
        </row>
        <row r="1189">
          <cell r="A1189">
            <v>4982</v>
          </cell>
          <cell r="B1189">
            <v>938</v>
          </cell>
        </row>
        <row r="1190">
          <cell r="A1190">
            <v>5005</v>
          </cell>
          <cell r="B1190">
            <v>939</v>
          </cell>
        </row>
        <row r="1191">
          <cell r="A1191">
            <v>4980</v>
          </cell>
          <cell r="B1191">
            <v>937</v>
          </cell>
        </row>
        <row r="1192">
          <cell r="A1192">
            <v>4924</v>
          </cell>
          <cell r="B1192">
            <v>935</v>
          </cell>
        </row>
        <row r="1193">
          <cell r="A1193">
            <v>4951</v>
          </cell>
          <cell r="B1193">
            <v>936</v>
          </cell>
        </row>
        <row r="1194">
          <cell r="A1194">
            <v>4909</v>
          </cell>
          <cell r="B1194">
            <v>934</v>
          </cell>
        </row>
        <row r="1195">
          <cell r="A1195">
            <v>4908</v>
          </cell>
          <cell r="B1195">
            <v>933</v>
          </cell>
        </row>
        <row r="1196">
          <cell r="A1196">
            <v>4905</v>
          </cell>
          <cell r="B1196">
            <v>931</v>
          </cell>
        </row>
        <row r="1197">
          <cell r="A1197">
            <v>4907</v>
          </cell>
          <cell r="B1197">
            <v>932</v>
          </cell>
        </row>
        <row r="1198">
          <cell r="A1198">
            <v>4884</v>
          </cell>
          <cell r="B1198">
            <v>930</v>
          </cell>
        </row>
        <row r="1199">
          <cell r="A1199">
            <v>4735</v>
          </cell>
          <cell r="B1199">
            <v>929</v>
          </cell>
        </row>
        <row r="1200">
          <cell r="A1200">
            <v>4730</v>
          </cell>
          <cell r="B1200">
            <v>928</v>
          </cell>
        </row>
        <row r="1201">
          <cell r="A1201">
            <v>4689</v>
          </cell>
          <cell r="B1201">
            <v>926</v>
          </cell>
        </row>
        <row r="1202">
          <cell r="A1202">
            <v>4690</v>
          </cell>
          <cell r="B1202">
            <v>927</v>
          </cell>
        </row>
        <row r="1203">
          <cell r="A1203">
            <v>4636</v>
          </cell>
          <cell r="B1203">
            <v>925</v>
          </cell>
        </row>
        <row r="1204">
          <cell r="A1204">
            <v>4494</v>
          </cell>
          <cell r="B1204">
            <v>923</v>
          </cell>
        </row>
        <row r="1205">
          <cell r="A1205">
            <v>4538</v>
          </cell>
          <cell r="B1205">
            <v>924</v>
          </cell>
        </row>
        <row r="1206">
          <cell r="A1206">
            <v>4467</v>
          </cell>
          <cell r="B1206">
            <v>922</v>
          </cell>
        </row>
        <row r="1207">
          <cell r="A1207">
            <v>4398</v>
          </cell>
          <cell r="B1207">
            <v>921</v>
          </cell>
        </row>
        <row r="1208">
          <cell r="A1208">
            <v>4276</v>
          </cell>
          <cell r="B1208">
            <v>920</v>
          </cell>
        </row>
        <row r="1209">
          <cell r="A1209">
            <v>4200</v>
          </cell>
          <cell r="B1209">
            <v>918</v>
          </cell>
        </row>
        <row r="1210">
          <cell r="A1210">
            <v>4220</v>
          </cell>
          <cell r="B1210">
            <v>919</v>
          </cell>
        </row>
        <row r="1211">
          <cell r="A1211">
            <v>4115</v>
          </cell>
          <cell r="B1211">
            <v>917</v>
          </cell>
        </row>
        <row r="1212">
          <cell r="A1212">
            <v>3771</v>
          </cell>
          <cell r="B1212">
            <v>916</v>
          </cell>
        </row>
        <row r="1213">
          <cell r="A1213">
            <v>3664</v>
          </cell>
          <cell r="B1213">
            <v>914</v>
          </cell>
        </row>
        <row r="1214">
          <cell r="A1214">
            <v>3683</v>
          </cell>
          <cell r="B1214">
            <v>915</v>
          </cell>
        </row>
        <row r="1215">
          <cell r="A1215">
            <v>3614</v>
          </cell>
          <cell r="B1215">
            <v>913</v>
          </cell>
        </row>
        <row r="1216">
          <cell r="A1216">
            <v>3551</v>
          </cell>
          <cell r="B1216">
            <v>912</v>
          </cell>
        </row>
        <row r="1217">
          <cell r="A1217">
            <v>3538</v>
          </cell>
          <cell r="B1217">
            <v>911</v>
          </cell>
        </row>
        <row r="1218">
          <cell r="A1218">
            <v>3516</v>
          </cell>
          <cell r="B1218">
            <v>909</v>
          </cell>
        </row>
        <row r="1219">
          <cell r="A1219">
            <v>3524</v>
          </cell>
          <cell r="B1219">
            <v>910</v>
          </cell>
        </row>
        <row r="1220">
          <cell r="A1220">
            <v>3479</v>
          </cell>
          <cell r="B1220">
            <v>908</v>
          </cell>
        </row>
        <row r="1221">
          <cell r="A1221">
            <v>3356</v>
          </cell>
          <cell r="B1221">
            <v>907</v>
          </cell>
        </row>
        <row r="1222">
          <cell r="A1222">
            <v>3345</v>
          </cell>
          <cell r="B1222">
            <v>906</v>
          </cell>
        </row>
        <row r="1223">
          <cell r="A1223">
            <v>3164</v>
          </cell>
          <cell r="B1223">
            <v>904</v>
          </cell>
        </row>
        <row r="1224">
          <cell r="A1224">
            <v>3282</v>
          </cell>
          <cell r="B1224">
            <v>905</v>
          </cell>
        </row>
        <row r="1225">
          <cell r="A1225">
            <v>3136</v>
          </cell>
          <cell r="B1225">
            <v>903</v>
          </cell>
        </row>
        <row r="1226">
          <cell r="A1226">
            <v>3114</v>
          </cell>
          <cell r="B1226">
            <v>902</v>
          </cell>
        </row>
        <row r="1227">
          <cell r="A1227">
            <v>3083</v>
          </cell>
          <cell r="B1227">
            <v>901</v>
          </cell>
        </row>
        <row r="1228">
          <cell r="A1228">
            <v>3082</v>
          </cell>
          <cell r="B1228">
            <v>900</v>
          </cell>
        </row>
        <row r="1229">
          <cell r="A1229">
            <v>3036</v>
          </cell>
          <cell r="B1229">
            <v>898</v>
          </cell>
        </row>
        <row r="1230">
          <cell r="A1230">
            <v>3053</v>
          </cell>
          <cell r="B1230">
            <v>899</v>
          </cell>
        </row>
        <row r="1231">
          <cell r="A1231">
            <v>2926</v>
          </cell>
          <cell r="B1231">
            <v>897</v>
          </cell>
        </row>
        <row r="1232">
          <cell r="A1232">
            <v>2886</v>
          </cell>
          <cell r="B1232">
            <v>896</v>
          </cell>
        </row>
        <row r="1233">
          <cell r="A1233">
            <v>2749</v>
          </cell>
          <cell r="B1233">
            <v>895</v>
          </cell>
        </row>
        <row r="1234">
          <cell r="A1234">
            <v>2693</v>
          </cell>
          <cell r="B1234">
            <v>893</v>
          </cell>
        </row>
        <row r="1235">
          <cell r="A1235">
            <v>2737</v>
          </cell>
          <cell r="B1235">
            <v>894</v>
          </cell>
        </row>
        <row r="1236">
          <cell r="A1236">
            <v>2563</v>
          </cell>
          <cell r="B1236">
            <v>892</v>
          </cell>
        </row>
        <row r="1237">
          <cell r="A1237">
            <v>2347</v>
          </cell>
          <cell r="B1237">
            <v>891</v>
          </cell>
        </row>
        <row r="1238">
          <cell r="A1238">
            <v>2329</v>
          </cell>
          <cell r="B1238">
            <v>890</v>
          </cell>
        </row>
        <row r="1239">
          <cell r="A1239">
            <v>1831</v>
          </cell>
          <cell r="B1239">
            <v>888</v>
          </cell>
        </row>
        <row r="1240">
          <cell r="A1240">
            <v>2190</v>
          </cell>
          <cell r="B1240">
            <v>889</v>
          </cell>
        </row>
        <row r="1241">
          <cell r="A1241">
            <v>1812</v>
          </cell>
          <cell r="B1241">
            <v>887</v>
          </cell>
        </row>
        <row r="1242">
          <cell r="A1242">
            <v>1771</v>
          </cell>
          <cell r="B1242">
            <v>886</v>
          </cell>
        </row>
        <row r="1243">
          <cell r="A1243">
            <v>1305</v>
          </cell>
          <cell r="B1243">
            <v>884</v>
          </cell>
        </row>
        <row r="1244">
          <cell r="A1244">
            <v>1735</v>
          </cell>
          <cell r="B1244">
            <v>885</v>
          </cell>
        </row>
        <row r="1245">
          <cell r="A1245">
            <v>1226</v>
          </cell>
          <cell r="B1245">
            <v>883</v>
          </cell>
        </row>
        <row r="1246">
          <cell r="A1246">
            <v>519</v>
          </cell>
          <cell r="B1246">
            <v>882</v>
          </cell>
        </row>
        <row r="1247">
          <cell r="A1247">
            <v>286</v>
          </cell>
          <cell r="B1247">
            <v>881</v>
          </cell>
        </row>
        <row r="1248">
          <cell r="A1248">
            <v>194</v>
          </cell>
          <cell r="B1248">
            <v>880</v>
          </cell>
        </row>
        <row r="1249">
          <cell r="A1249">
            <v>192</v>
          </cell>
          <cell r="B1249">
            <v>879</v>
          </cell>
        </row>
        <row r="1250">
          <cell r="A1250" t="str">
            <v>Mag Cylinder</v>
          </cell>
          <cell r="B1250">
            <v>287</v>
          </cell>
        </row>
        <row r="1251">
          <cell r="A1251" t="str">
            <v>Die &amp; Flex Die</v>
          </cell>
          <cell r="B1251">
            <v>262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4"/>
  <sheetViews>
    <sheetView workbookViewId="0">
      <selection activeCell="G8" sqref="G8"/>
    </sheetView>
  </sheetViews>
  <sheetFormatPr defaultRowHeight="13.8" x14ac:dyDescent="0.3"/>
  <cols>
    <col min="15" max="15" width="15.6640625" bestFit="1" customWidth="1"/>
  </cols>
  <sheetData>
    <row r="1" spans="1:16" x14ac:dyDescent="0.3">
      <c r="A1" s="1" t="s">
        <v>0</v>
      </c>
      <c r="B1" s="1" t="s">
        <v>14267</v>
      </c>
      <c r="C1" s="1" t="s">
        <v>14264</v>
      </c>
      <c r="D1" s="1" t="s">
        <v>1</v>
      </c>
      <c r="E1" s="1" t="s">
        <v>2</v>
      </c>
      <c r="F1" s="1" t="s">
        <v>3</v>
      </c>
      <c r="G1" s="1" t="s">
        <v>4</v>
      </c>
      <c r="H1" s="1" t="s">
        <v>5</v>
      </c>
      <c r="I1" s="1" t="s">
        <v>14266</v>
      </c>
      <c r="J1" s="1" t="s">
        <v>14265</v>
      </c>
      <c r="K1" s="1" t="s">
        <v>6</v>
      </c>
      <c r="L1" s="1" t="s">
        <v>7</v>
      </c>
      <c r="M1" s="1" t="s">
        <v>8</v>
      </c>
      <c r="N1" s="1" t="s">
        <v>9</v>
      </c>
      <c r="O1" s="1" t="s">
        <v>14268</v>
      </c>
      <c r="P1" s="1" t="s">
        <v>10</v>
      </c>
    </row>
    <row r="2" spans="1:16" ht="69" x14ac:dyDescent="0.3">
      <c r="A2" s="2">
        <v>1878</v>
      </c>
      <c r="B2" s="2">
        <f>VLOOKUP(A:A,[1]Items!$A:$B,2,)</f>
        <v>1705</v>
      </c>
      <c r="C2" s="2" t="s">
        <v>6539</v>
      </c>
      <c r="D2" s="29" t="s">
        <v>14205</v>
      </c>
      <c r="F2" s="3" t="s">
        <v>11</v>
      </c>
      <c r="I2" s="2">
        <v>10</v>
      </c>
      <c r="J2" s="2">
        <v>2</v>
      </c>
      <c r="K2" s="3" t="s">
        <v>12</v>
      </c>
      <c r="L2" s="3" t="s">
        <v>13</v>
      </c>
      <c r="M2" s="3" t="s">
        <v>14</v>
      </c>
      <c r="O2" s="30" t="str">
        <f>"MAX : " &amp; N2 &amp; CHAR(10) &amp; "TARGET : " &amp; M2 &amp; CHAR(10) &amp; "MIN : " &amp; L2</f>
        <v>MAX : 
TARGET : Yes(Pass)
MIN : No(Fail)</v>
      </c>
    </row>
    <row r="3" spans="1:16" ht="69" x14ac:dyDescent="0.3">
      <c r="A3" s="2">
        <v>1878</v>
      </c>
      <c r="B3" s="2">
        <f>VLOOKUP(A:A,[1]Items!$A:$B,2,)</f>
        <v>1705</v>
      </c>
      <c r="C3" s="2" t="s">
        <v>6539</v>
      </c>
      <c r="D3" s="29" t="s">
        <v>14205</v>
      </c>
      <c r="F3" s="3" t="s">
        <v>11</v>
      </c>
      <c r="I3" s="2">
        <v>10</v>
      </c>
      <c r="J3" s="2">
        <v>3</v>
      </c>
      <c r="K3" s="3" t="s">
        <v>15</v>
      </c>
      <c r="L3" s="3" t="s">
        <v>13</v>
      </c>
      <c r="M3" s="3" t="s">
        <v>14</v>
      </c>
      <c r="O3" s="30" t="str">
        <f t="shared" ref="O3:O4" si="0">"MAX : " &amp; N3 &amp; CHAR(10) &amp; "TARGET : " &amp; M3 &amp; CHAR(10) &amp; "MIN : " &amp; L3</f>
        <v>MAX : 
TARGET : Yes(Pass)
MIN : No(Fail)</v>
      </c>
    </row>
    <row r="4" spans="1:16" ht="69" x14ac:dyDescent="0.3">
      <c r="A4" s="2">
        <v>1878</v>
      </c>
      <c r="B4" s="2">
        <f>VLOOKUP(A:A,[1]Items!$A:$B,2,)</f>
        <v>1705</v>
      </c>
      <c r="C4" s="2" t="s">
        <v>6539</v>
      </c>
      <c r="D4" s="29" t="s">
        <v>14205</v>
      </c>
      <c r="F4" s="3" t="s">
        <v>11</v>
      </c>
      <c r="I4" s="2">
        <v>10</v>
      </c>
      <c r="J4" s="2">
        <v>4</v>
      </c>
      <c r="K4" s="3" t="s">
        <v>16</v>
      </c>
      <c r="L4" s="3" t="s">
        <v>13</v>
      </c>
      <c r="M4" s="3" t="s">
        <v>14</v>
      </c>
      <c r="O4" s="30" t="str">
        <f t="shared" si="0"/>
        <v>MAX : 
TARGET : Yes(Pass)
MIN : No(Fail)</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6349"/>
  <sheetViews>
    <sheetView zoomScaleNormal="100" workbookViewId="0">
      <selection sqref="A1:XFD1048576"/>
    </sheetView>
  </sheetViews>
  <sheetFormatPr defaultColWidth="21.6640625" defaultRowHeight="13.8" x14ac:dyDescent="0.3"/>
  <cols>
    <col min="3" max="3" width="21.6640625" style="34"/>
    <col min="6" max="6" width="72.5546875" customWidth="1"/>
  </cols>
  <sheetData>
    <row r="1" spans="1:18" x14ac:dyDescent="0.3">
      <c r="A1" t="s">
        <v>14270</v>
      </c>
      <c r="B1" s="31" t="s">
        <v>14269</v>
      </c>
      <c r="C1" s="32" t="s">
        <v>14271</v>
      </c>
      <c r="D1" s="1" t="s">
        <v>14267</v>
      </c>
      <c r="E1" s="1" t="s">
        <v>14264</v>
      </c>
      <c r="F1" s="1" t="s">
        <v>1</v>
      </c>
      <c r="G1" s="1" t="s">
        <v>2</v>
      </c>
      <c r="H1" s="1" t="s">
        <v>3</v>
      </c>
      <c r="I1" s="1" t="s">
        <v>4</v>
      </c>
      <c r="J1" s="1" t="s">
        <v>5</v>
      </c>
      <c r="K1" s="1" t="s">
        <v>14266</v>
      </c>
      <c r="L1" s="1" t="s">
        <v>14265</v>
      </c>
      <c r="M1" s="1" t="s">
        <v>6</v>
      </c>
      <c r="N1" s="1" t="s">
        <v>7</v>
      </c>
      <c r="O1" s="1" t="s">
        <v>8</v>
      </c>
      <c r="P1" s="1" t="s">
        <v>9</v>
      </c>
      <c r="Q1" s="1" t="s">
        <v>14268</v>
      </c>
      <c r="R1" s="1" t="s">
        <v>10</v>
      </c>
    </row>
    <row r="2" spans="1:18" ht="41.4" x14ac:dyDescent="0.3">
      <c r="B2">
        <v>1</v>
      </c>
      <c r="C2" s="33">
        <v>2</v>
      </c>
      <c r="D2" s="2">
        <v>1680</v>
      </c>
      <c r="E2" s="2" t="s">
        <v>6290</v>
      </c>
      <c r="F2" s="3" t="s">
        <v>14206</v>
      </c>
      <c r="H2" s="3" t="s">
        <v>5677</v>
      </c>
      <c r="I2" s="3" t="s">
        <v>487</v>
      </c>
      <c r="K2" s="2">
        <v>10</v>
      </c>
      <c r="L2" s="2">
        <v>1</v>
      </c>
      <c r="M2" s="3" t="s">
        <v>458</v>
      </c>
      <c r="N2" s="3" t="s">
        <v>2131</v>
      </c>
      <c r="O2" s="3" t="s">
        <v>284</v>
      </c>
      <c r="P2" s="3" t="s">
        <v>644</v>
      </c>
      <c r="Q2" s="30" t="str">
        <f t="shared" ref="Q2:Q65" si="0">"MAX : " &amp; P2 &amp; CHAR(10) &amp; "TARGET : " &amp; O2 &amp; CHAR(10) &amp; "MIN : " &amp; N2</f>
        <v>MAX : 0.218
TARGET : 0.188
MIN : 0.158</v>
      </c>
    </row>
    <row r="3" spans="1:18" ht="41.4" x14ac:dyDescent="0.3">
      <c r="B3">
        <v>1</v>
      </c>
      <c r="C3" s="33">
        <v>124</v>
      </c>
      <c r="D3" s="2">
        <v>1681</v>
      </c>
      <c r="E3" s="2" t="s">
        <v>6298</v>
      </c>
      <c r="F3" s="29" t="s">
        <v>14208</v>
      </c>
      <c r="H3" s="3" t="s">
        <v>50</v>
      </c>
      <c r="K3" t="s">
        <v>6295</v>
      </c>
      <c r="L3" s="2">
        <v>1</v>
      </c>
      <c r="M3" s="3" t="s">
        <v>59</v>
      </c>
      <c r="N3" s="3" t="s">
        <v>60</v>
      </c>
      <c r="O3" s="3" t="s">
        <v>61</v>
      </c>
      <c r="P3" s="3" t="s">
        <v>62</v>
      </c>
      <c r="Q3" s="30" t="str">
        <f t="shared" si="0"/>
        <v>MAX : 20.50
TARGET : 20.00
MIN : 19.50</v>
      </c>
    </row>
    <row r="4" spans="1:18" ht="41.4" x14ac:dyDescent="0.3">
      <c r="B4">
        <v>0</v>
      </c>
      <c r="C4" s="33">
        <v>1878</v>
      </c>
      <c r="D4" s="2">
        <v>1705</v>
      </c>
      <c r="E4" s="2" t="s">
        <v>6539</v>
      </c>
      <c r="F4" s="29" t="s">
        <v>14205</v>
      </c>
      <c r="H4" s="3" t="s">
        <v>11</v>
      </c>
      <c r="K4" s="2">
        <v>10</v>
      </c>
      <c r="L4" s="2">
        <v>4</v>
      </c>
      <c r="M4" s="3" t="s">
        <v>16</v>
      </c>
      <c r="N4" s="3" t="s">
        <v>13</v>
      </c>
      <c r="O4" s="3" t="s">
        <v>14</v>
      </c>
      <c r="Q4" s="30" t="str">
        <f t="shared" si="0"/>
        <v>MAX : 
TARGET : Yes(Pass)
MIN : No(Fail)</v>
      </c>
    </row>
    <row r="5" spans="1:18" ht="41.4" x14ac:dyDescent="0.3">
      <c r="B5">
        <v>1</v>
      </c>
      <c r="C5" s="33">
        <v>124</v>
      </c>
      <c r="D5" s="2">
        <v>1681</v>
      </c>
      <c r="E5" s="2" t="s">
        <v>6298</v>
      </c>
      <c r="F5" s="29" t="s">
        <v>14208</v>
      </c>
      <c r="H5" s="3" t="s">
        <v>50</v>
      </c>
      <c r="K5" t="s">
        <v>6295</v>
      </c>
      <c r="L5" s="2">
        <v>2</v>
      </c>
      <c r="M5" s="3" t="s">
        <v>63</v>
      </c>
      <c r="N5" s="3" t="s">
        <v>60</v>
      </c>
      <c r="O5" s="3" t="s">
        <v>61</v>
      </c>
      <c r="P5" s="3" t="s">
        <v>62</v>
      </c>
      <c r="Q5" s="30" t="str">
        <f t="shared" si="0"/>
        <v>MAX : 20.50
TARGET : 20.00
MIN : 19.50</v>
      </c>
    </row>
    <row r="6" spans="1:18" ht="41.4" x14ac:dyDescent="0.3">
      <c r="B6">
        <v>1</v>
      </c>
      <c r="C6" s="33">
        <v>133</v>
      </c>
      <c r="D6" s="2">
        <v>1682</v>
      </c>
      <c r="E6" s="2" t="s">
        <v>6305</v>
      </c>
      <c r="F6" s="29" t="s">
        <v>14210</v>
      </c>
      <c r="H6" s="3" t="s">
        <v>181</v>
      </c>
      <c r="K6" s="2">
        <v>10</v>
      </c>
      <c r="L6" s="2">
        <v>1</v>
      </c>
      <c r="M6" s="3" t="s">
        <v>182</v>
      </c>
      <c r="N6" s="3" t="s">
        <v>183</v>
      </c>
      <c r="O6" s="3" t="s">
        <v>184</v>
      </c>
      <c r="P6" s="3" t="s">
        <v>185</v>
      </c>
      <c r="Q6" s="30" t="str">
        <f t="shared" si="0"/>
        <v>MAX : 5.03
TARGET : 5.00
MIN : 4.97</v>
      </c>
    </row>
    <row r="7" spans="1:18" ht="41.4" x14ac:dyDescent="0.3">
      <c r="B7">
        <v>0</v>
      </c>
      <c r="C7" s="33">
        <v>618</v>
      </c>
      <c r="D7" s="2">
        <v>1690</v>
      </c>
      <c r="E7" s="2" t="s">
        <v>6391</v>
      </c>
      <c r="F7" s="3" t="s">
        <v>14206</v>
      </c>
      <c r="H7" s="3" t="s">
        <v>17</v>
      </c>
      <c r="K7" s="2">
        <v>10</v>
      </c>
      <c r="L7" s="2">
        <v>6</v>
      </c>
      <c r="M7" s="3" t="s">
        <v>23</v>
      </c>
      <c r="N7" s="3" t="s">
        <v>24</v>
      </c>
      <c r="O7" s="3" t="s">
        <v>25</v>
      </c>
      <c r="Q7" s="30" t="str">
        <f t="shared" si="0"/>
        <v>MAX : 
TARGET : Yes (Pass)
MIN : No (Fail)</v>
      </c>
    </row>
    <row r="8" spans="1:18" ht="41.4" x14ac:dyDescent="0.3">
      <c r="B8">
        <v>0</v>
      </c>
      <c r="C8" s="33">
        <v>618</v>
      </c>
      <c r="D8" s="2">
        <v>1690</v>
      </c>
      <c r="E8" s="2" t="s">
        <v>6391</v>
      </c>
      <c r="F8" s="3" t="s">
        <v>14206</v>
      </c>
      <c r="H8" s="3" t="s">
        <v>17</v>
      </c>
      <c r="K8" s="2">
        <v>10</v>
      </c>
      <c r="L8" s="2">
        <v>4</v>
      </c>
      <c r="M8" s="3" t="s">
        <v>26</v>
      </c>
      <c r="N8" s="3" t="s">
        <v>24</v>
      </c>
      <c r="O8" s="3" t="s">
        <v>25</v>
      </c>
      <c r="Q8" s="30" t="str">
        <f t="shared" si="0"/>
        <v>MAX : 
TARGET : Yes (Pass)
MIN : No (Fail)</v>
      </c>
    </row>
    <row r="9" spans="1:18" ht="41.4" x14ac:dyDescent="0.3">
      <c r="B9">
        <v>1</v>
      </c>
      <c r="C9" s="33">
        <v>133</v>
      </c>
      <c r="D9" s="2">
        <v>1682</v>
      </c>
      <c r="E9" s="2" t="s">
        <v>6305</v>
      </c>
      <c r="F9" s="29" t="s">
        <v>14210</v>
      </c>
      <c r="H9" s="3" t="s">
        <v>181</v>
      </c>
      <c r="K9" s="2">
        <v>10</v>
      </c>
      <c r="L9" s="2">
        <v>2</v>
      </c>
      <c r="M9" s="3" t="s">
        <v>186</v>
      </c>
      <c r="N9" s="3" t="s">
        <v>187</v>
      </c>
      <c r="O9" s="3" t="s">
        <v>20</v>
      </c>
      <c r="P9" s="3" t="s">
        <v>188</v>
      </c>
      <c r="Q9" s="30" t="str">
        <f t="shared" si="0"/>
        <v>MAX : 0.780
TARGET : 0.750
MIN : 0.720</v>
      </c>
    </row>
    <row r="10" spans="1:18" ht="41.4" x14ac:dyDescent="0.3">
      <c r="B10">
        <v>1</v>
      </c>
      <c r="C10" s="33">
        <v>192</v>
      </c>
      <c r="D10" s="2">
        <v>879</v>
      </c>
      <c r="E10" s="2" t="s">
        <v>6312</v>
      </c>
      <c r="F10" s="3" t="s">
        <v>14206</v>
      </c>
      <c r="H10" s="3" t="s">
        <v>41</v>
      </c>
      <c r="K10" s="2">
        <v>10</v>
      </c>
      <c r="L10" s="2">
        <v>1</v>
      </c>
      <c r="M10" s="3" t="s">
        <v>18</v>
      </c>
      <c r="N10" s="3" t="s">
        <v>42</v>
      </c>
      <c r="O10" s="3" t="s">
        <v>43</v>
      </c>
      <c r="P10" s="3" t="s">
        <v>44</v>
      </c>
      <c r="Q10" s="30" t="str">
        <f t="shared" si="0"/>
        <v>MAX : 9.500
TARGET : 9.437
MIN : 9.375</v>
      </c>
    </row>
    <row r="11" spans="1:18" ht="41.4" x14ac:dyDescent="0.3">
      <c r="B11">
        <v>0</v>
      </c>
      <c r="C11" s="33">
        <v>526</v>
      </c>
      <c r="D11" s="2">
        <v>1688</v>
      </c>
      <c r="E11" s="2" t="s">
        <v>6378</v>
      </c>
      <c r="F11" s="3" t="s">
        <v>14207</v>
      </c>
      <c r="H11" s="3" t="s">
        <v>30</v>
      </c>
      <c r="K11" s="2">
        <v>10</v>
      </c>
      <c r="L11" s="2">
        <v>3</v>
      </c>
      <c r="M11" s="3" t="s">
        <v>37</v>
      </c>
      <c r="O11" s="3" t="s">
        <v>38</v>
      </c>
      <c r="P11" s="3" t="s">
        <v>39</v>
      </c>
      <c r="Q11" s="30" t="str">
        <f t="shared" si="0"/>
        <v xml:space="preserve">MAX : Yes(Fail)
TARGET : No(Pass)
MIN : </v>
      </c>
    </row>
    <row r="12" spans="1:18" ht="41.4" x14ac:dyDescent="0.3">
      <c r="B12">
        <v>0</v>
      </c>
      <c r="C12" s="33">
        <v>526</v>
      </c>
      <c r="D12" s="2">
        <v>1688</v>
      </c>
      <c r="E12" s="2" t="s">
        <v>6378</v>
      </c>
      <c r="F12" s="3" t="s">
        <v>14207</v>
      </c>
      <c r="H12" s="3" t="s">
        <v>30</v>
      </c>
      <c r="K12" s="2">
        <v>10</v>
      </c>
      <c r="L12" s="2">
        <v>4</v>
      </c>
      <c r="M12" s="3" t="s">
        <v>40</v>
      </c>
      <c r="N12" s="3" t="s">
        <v>13</v>
      </c>
      <c r="O12" s="3" t="s">
        <v>14</v>
      </c>
      <c r="Q12" s="30" t="str">
        <f t="shared" si="0"/>
        <v>MAX : 
TARGET : Yes(Pass)
MIN : No(Fail)</v>
      </c>
    </row>
    <row r="13" spans="1:18" ht="41.4" x14ac:dyDescent="0.3">
      <c r="B13">
        <v>1</v>
      </c>
      <c r="C13" s="33">
        <v>194</v>
      </c>
      <c r="D13" s="2">
        <v>880</v>
      </c>
      <c r="E13" s="2" t="s">
        <v>6319</v>
      </c>
      <c r="F13" s="3" t="s">
        <v>14206</v>
      </c>
      <c r="H13" s="3" t="s">
        <v>73</v>
      </c>
      <c r="K13" s="2">
        <v>10</v>
      </c>
      <c r="L13" s="2">
        <v>1</v>
      </c>
      <c r="M13" s="3" t="s">
        <v>74</v>
      </c>
      <c r="N13" s="3" t="s">
        <v>75</v>
      </c>
      <c r="O13" s="3" t="s">
        <v>76</v>
      </c>
      <c r="P13" s="3" t="s">
        <v>77</v>
      </c>
      <c r="Q13" s="30" t="str">
        <f t="shared" si="0"/>
        <v>MAX : 2.53
TARGET : 2.50
MIN : 2.47</v>
      </c>
    </row>
    <row r="14" spans="1:18" ht="41.4" x14ac:dyDescent="0.3">
      <c r="B14">
        <v>0</v>
      </c>
      <c r="C14" s="33">
        <v>192</v>
      </c>
      <c r="D14" s="2">
        <v>879</v>
      </c>
      <c r="E14" s="2" t="s">
        <v>6312</v>
      </c>
      <c r="F14" s="3" t="s">
        <v>14206</v>
      </c>
      <c r="H14" s="3" t="s">
        <v>41</v>
      </c>
      <c r="K14" s="2">
        <v>10</v>
      </c>
      <c r="L14" s="2">
        <v>2</v>
      </c>
      <c r="M14" s="3" t="s">
        <v>22</v>
      </c>
      <c r="N14" s="3" t="s">
        <v>45</v>
      </c>
      <c r="O14" s="3" t="s">
        <v>46</v>
      </c>
      <c r="P14" s="3" t="s">
        <v>47</v>
      </c>
      <c r="Q14" s="30" t="str">
        <f t="shared" si="0"/>
        <v>MAX : 4.250
TARGET : 4.187
MIN : 4.125</v>
      </c>
    </row>
    <row r="15" spans="1:18" ht="41.4" x14ac:dyDescent="0.3">
      <c r="B15">
        <v>0</v>
      </c>
      <c r="C15" s="33">
        <v>192</v>
      </c>
      <c r="D15" s="2">
        <v>879</v>
      </c>
      <c r="E15" s="2" t="s">
        <v>6312</v>
      </c>
      <c r="F15" s="3" t="s">
        <v>14206</v>
      </c>
      <c r="H15" s="3" t="s">
        <v>41</v>
      </c>
      <c r="K15" s="2">
        <v>10</v>
      </c>
      <c r="L15" s="2">
        <v>3</v>
      </c>
      <c r="M15" s="3" t="s">
        <v>48</v>
      </c>
      <c r="N15" s="3" t="s">
        <v>13</v>
      </c>
      <c r="O15" s="3" t="s">
        <v>14</v>
      </c>
      <c r="Q15" s="30" t="str">
        <f t="shared" si="0"/>
        <v>MAX : 
TARGET : Yes(Pass)
MIN : No(Fail)</v>
      </c>
    </row>
    <row r="16" spans="1:18" ht="41.4" x14ac:dyDescent="0.3">
      <c r="B16">
        <v>0</v>
      </c>
      <c r="C16" s="33">
        <v>192</v>
      </c>
      <c r="D16" s="2">
        <v>879</v>
      </c>
      <c r="E16" s="2" t="s">
        <v>6312</v>
      </c>
      <c r="F16" s="3" t="s">
        <v>14206</v>
      </c>
      <c r="H16" s="3" t="s">
        <v>41</v>
      </c>
      <c r="K16" s="2">
        <v>10</v>
      </c>
      <c r="L16" s="2">
        <v>4</v>
      </c>
      <c r="M16" s="3" t="s">
        <v>49</v>
      </c>
      <c r="N16" s="3" t="s">
        <v>13</v>
      </c>
      <c r="O16" s="3" t="s">
        <v>14</v>
      </c>
      <c r="Q16" s="30" t="str">
        <f t="shared" si="0"/>
        <v>MAX : 
TARGET : Yes(Pass)
MIN : No(Fail)</v>
      </c>
    </row>
    <row r="17" spans="2:17" ht="41.4" x14ac:dyDescent="0.3">
      <c r="B17">
        <v>0</v>
      </c>
      <c r="C17" s="33">
        <v>192</v>
      </c>
      <c r="D17" s="2">
        <v>879</v>
      </c>
      <c r="E17" s="2" t="s">
        <v>6312</v>
      </c>
      <c r="F17" s="3" t="s">
        <v>14206</v>
      </c>
      <c r="H17" s="3" t="s">
        <v>41</v>
      </c>
      <c r="K17" s="2">
        <v>10</v>
      </c>
      <c r="L17" s="2">
        <v>5</v>
      </c>
      <c r="M17" s="3" t="s">
        <v>1908</v>
      </c>
      <c r="N17" s="3" t="s">
        <v>13</v>
      </c>
      <c r="O17" s="3" t="s">
        <v>14</v>
      </c>
      <c r="Q17" s="30" t="str">
        <f t="shared" si="0"/>
        <v>MAX : 
TARGET : Yes(Pass)
MIN : No(Fail)</v>
      </c>
    </row>
    <row r="18" spans="2:17" ht="41.4" x14ac:dyDescent="0.3">
      <c r="B18">
        <v>1</v>
      </c>
      <c r="C18" s="33">
        <v>194</v>
      </c>
      <c r="D18" s="2">
        <v>880</v>
      </c>
      <c r="E18" s="2" t="s">
        <v>6319</v>
      </c>
      <c r="F18" s="3" t="s">
        <v>14206</v>
      </c>
      <c r="H18" s="3" t="s">
        <v>73</v>
      </c>
      <c r="K18" s="2">
        <v>10</v>
      </c>
      <c r="L18" s="2">
        <v>2</v>
      </c>
      <c r="M18" s="3" t="s">
        <v>78</v>
      </c>
      <c r="N18" s="3" t="s">
        <v>24</v>
      </c>
      <c r="O18" s="3" t="s">
        <v>25</v>
      </c>
      <c r="Q18" s="30" t="str">
        <f t="shared" si="0"/>
        <v>MAX : 
TARGET : Yes (Pass)
MIN : No (Fail)</v>
      </c>
    </row>
    <row r="19" spans="2:17" ht="41.4" x14ac:dyDescent="0.3">
      <c r="B19">
        <v>0</v>
      </c>
      <c r="C19" s="33">
        <v>2282</v>
      </c>
      <c r="D19" s="2">
        <v>1709</v>
      </c>
      <c r="E19" s="2" t="s">
        <v>6571</v>
      </c>
      <c r="F19" s="3" t="s">
        <v>14206</v>
      </c>
      <c r="H19" s="3" t="s">
        <v>50</v>
      </c>
      <c r="K19" s="2">
        <v>10</v>
      </c>
      <c r="L19" s="2">
        <v>3</v>
      </c>
      <c r="M19" s="3" t="s">
        <v>58</v>
      </c>
      <c r="N19" s="3" t="s">
        <v>24</v>
      </c>
      <c r="O19" s="3" t="s">
        <v>25</v>
      </c>
      <c r="Q19" s="30" t="str">
        <f t="shared" si="0"/>
        <v>MAX : 
TARGET : Yes (Pass)
MIN : No (Fail)</v>
      </c>
    </row>
    <row r="20" spans="2:17" ht="41.4" x14ac:dyDescent="0.3">
      <c r="B20">
        <v>1</v>
      </c>
      <c r="C20" s="33">
        <v>272</v>
      </c>
      <c r="D20" s="2">
        <v>1683</v>
      </c>
      <c r="E20" s="2" t="s">
        <v>6327</v>
      </c>
      <c r="F20" s="3" t="s">
        <v>14206</v>
      </c>
      <c r="H20" s="3" t="s">
        <v>98</v>
      </c>
      <c r="K20" s="2">
        <v>10</v>
      </c>
      <c r="L20" s="2">
        <v>1</v>
      </c>
      <c r="M20" s="3" t="s">
        <v>55</v>
      </c>
      <c r="N20" s="3" t="s">
        <v>301</v>
      </c>
      <c r="O20" s="3" t="s">
        <v>302</v>
      </c>
      <c r="P20" s="3" t="s">
        <v>303</v>
      </c>
      <c r="Q20" s="30" t="str">
        <f t="shared" si="0"/>
        <v>MAX : 3.594
TARGET : 3.563
MIN : 3.532</v>
      </c>
    </row>
    <row r="21" spans="2:17" ht="41.4" x14ac:dyDescent="0.3">
      <c r="B21">
        <v>1</v>
      </c>
      <c r="C21" s="33">
        <v>272</v>
      </c>
      <c r="D21" s="2">
        <v>1683</v>
      </c>
      <c r="E21" s="2" t="s">
        <v>6327</v>
      </c>
      <c r="F21" s="3" t="s">
        <v>14206</v>
      </c>
      <c r="H21" s="3" t="s">
        <v>98</v>
      </c>
      <c r="K21" s="2">
        <v>10</v>
      </c>
      <c r="L21" s="2">
        <v>2</v>
      </c>
      <c r="M21" s="3" t="s">
        <v>51</v>
      </c>
      <c r="N21" s="3" t="s">
        <v>19</v>
      </c>
      <c r="O21" s="3" t="s">
        <v>20</v>
      </c>
      <c r="P21" s="3" t="s">
        <v>21</v>
      </c>
      <c r="Q21" s="30" t="str">
        <f t="shared" si="0"/>
        <v>MAX : 0.781
TARGET : 0.750
MIN : 0.719</v>
      </c>
    </row>
    <row r="22" spans="2:17" ht="41.4" x14ac:dyDescent="0.3">
      <c r="B22">
        <v>0</v>
      </c>
      <c r="C22" s="33">
        <v>124</v>
      </c>
      <c r="D22" s="2">
        <v>1681</v>
      </c>
      <c r="E22" s="2" t="s">
        <v>6298</v>
      </c>
      <c r="F22" s="29" t="s">
        <v>14208</v>
      </c>
      <c r="H22" s="3" t="s">
        <v>50</v>
      </c>
      <c r="K22" t="s">
        <v>6295</v>
      </c>
      <c r="L22" s="2">
        <v>3</v>
      </c>
      <c r="M22" s="3" t="s">
        <v>64</v>
      </c>
      <c r="N22" s="3" t="s">
        <v>24</v>
      </c>
      <c r="O22" s="3" t="s">
        <v>25</v>
      </c>
      <c r="Q22" s="30" t="str">
        <f t="shared" si="0"/>
        <v>MAX : 
TARGET : Yes (Pass)
MIN : No (Fail)</v>
      </c>
    </row>
    <row r="23" spans="2:17" ht="41.4" x14ac:dyDescent="0.3">
      <c r="B23">
        <v>0</v>
      </c>
      <c r="C23" s="33">
        <v>124</v>
      </c>
      <c r="D23" s="2">
        <v>1681</v>
      </c>
      <c r="E23" s="2" t="s">
        <v>6298</v>
      </c>
      <c r="F23" s="29" t="s">
        <v>14208</v>
      </c>
      <c r="H23" s="3" t="s">
        <v>50</v>
      </c>
      <c r="K23" t="s">
        <v>6295</v>
      </c>
      <c r="L23" s="2">
        <v>4</v>
      </c>
      <c r="M23" s="3" t="s">
        <v>65</v>
      </c>
      <c r="N23" s="3" t="s">
        <v>24</v>
      </c>
      <c r="O23" s="3" t="s">
        <v>25</v>
      </c>
      <c r="Q23" s="30" t="str">
        <f t="shared" si="0"/>
        <v>MAX : 
TARGET : Yes (Pass)
MIN : No (Fail)</v>
      </c>
    </row>
    <row r="24" spans="2:17" ht="41.4" x14ac:dyDescent="0.3">
      <c r="B24">
        <v>1</v>
      </c>
      <c r="C24" s="33">
        <v>273</v>
      </c>
      <c r="D24" s="2">
        <v>1684</v>
      </c>
      <c r="E24" s="2" t="s">
        <v>6333</v>
      </c>
      <c r="F24" s="3" t="s">
        <v>14206</v>
      </c>
      <c r="H24" s="3" t="s">
        <v>50</v>
      </c>
      <c r="K24" s="2">
        <v>10</v>
      </c>
      <c r="L24" s="2">
        <v>1</v>
      </c>
      <c r="M24" s="3" t="s">
        <v>18</v>
      </c>
      <c r="N24" s="3" t="s">
        <v>128</v>
      </c>
      <c r="O24" s="3" t="s">
        <v>129</v>
      </c>
      <c r="P24" s="3" t="s">
        <v>130</v>
      </c>
      <c r="Q24" s="30" t="str">
        <f t="shared" si="0"/>
        <v>MAX : 4.09
TARGET : 4.06
MIN : 4.03</v>
      </c>
    </row>
    <row r="25" spans="2:17" ht="41.4" x14ac:dyDescent="0.3">
      <c r="B25">
        <v>1</v>
      </c>
      <c r="C25" s="33">
        <v>273</v>
      </c>
      <c r="D25" s="2">
        <v>1684</v>
      </c>
      <c r="E25" s="2" t="s">
        <v>6333</v>
      </c>
      <c r="F25" s="3" t="s">
        <v>14206</v>
      </c>
      <c r="H25" s="3" t="s">
        <v>50</v>
      </c>
      <c r="K25" s="2">
        <v>10</v>
      </c>
      <c r="L25" s="2">
        <v>2</v>
      </c>
      <c r="M25" s="3" t="s">
        <v>22</v>
      </c>
      <c r="N25" s="3" t="s">
        <v>131</v>
      </c>
      <c r="O25" s="3" t="s">
        <v>132</v>
      </c>
      <c r="P25" s="3" t="s">
        <v>133</v>
      </c>
      <c r="Q25" s="30" t="str">
        <f t="shared" si="0"/>
        <v>MAX : 0.78
TARGET : 0.75
MIN : 0.72</v>
      </c>
    </row>
    <row r="26" spans="2:17" ht="41.4" x14ac:dyDescent="0.3">
      <c r="B26">
        <v>0</v>
      </c>
      <c r="C26" s="33">
        <v>461</v>
      </c>
      <c r="D26" s="2">
        <v>1687</v>
      </c>
      <c r="E26" s="2" t="s">
        <v>6363</v>
      </c>
      <c r="F26" s="3" t="s">
        <v>14207</v>
      </c>
      <c r="H26" s="3" t="s">
        <v>66</v>
      </c>
      <c r="K26" s="2">
        <v>10</v>
      </c>
      <c r="L26" s="2">
        <v>3</v>
      </c>
      <c r="M26" s="3" t="s">
        <v>71</v>
      </c>
      <c r="N26" s="3" t="s">
        <v>13</v>
      </c>
      <c r="O26" s="3" t="s">
        <v>14</v>
      </c>
      <c r="Q26" s="30" t="str">
        <f t="shared" si="0"/>
        <v>MAX : 
TARGET : Yes(Pass)
MIN : No(Fail)</v>
      </c>
    </row>
    <row r="27" spans="2:17" ht="41.4" x14ac:dyDescent="0.3">
      <c r="B27">
        <v>0</v>
      </c>
      <c r="C27" s="33">
        <v>461</v>
      </c>
      <c r="D27" s="2">
        <v>1687</v>
      </c>
      <c r="E27" s="2" t="s">
        <v>6363</v>
      </c>
      <c r="F27" s="3" t="s">
        <v>14207</v>
      </c>
      <c r="H27" s="3" t="s">
        <v>66</v>
      </c>
      <c r="K27" s="2">
        <v>10</v>
      </c>
      <c r="L27" s="2">
        <v>4</v>
      </c>
      <c r="M27" s="3" t="s">
        <v>72</v>
      </c>
      <c r="N27" s="3" t="s">
        <v>13</v>
      </c>
      <c r="O27" s="3" t="s">
        <v>14</v>
      </c>
      <c r="Q27" s="30" t="str">
        <f t="shared" si="0"/>
        <v>MAX : 
TARGET : Yes(Pass)
MIN : No(Fail)</v>
      </c>
    </row>
    <row r="28" spans="2:17" ht="41.4" x14ac:dyDescent="0.3">
      <c r="B28">
        <v>1</v>
      </c>
      <c r="C28" s="33">
        <v>278</v>
      </c>
      <c r="D28" s="2">
        <v>1685</v>
      </c>
      <c r="E28" s="2" t="s">
        <v>6341</v>
      </c>
      <c r="F28" s="3" t="s">
        <v>14206</v>
      </c>
      <c r="H28" s="3" t="s">
        <v>98</v>
      </c>
      <c r="K28" s="2">
        <v>10</v>
      </c>
      <c r="L28" s="2">
        <v>1</v>
      </c>
      <c r="M28" s="3" t="s">
        <v>99</v>
      </c>
      <c r="N28" s="3" t="s">
        <v>100</v>
      </c>
      <c r="O28" s="3" t="s">
        <v>101</v>
      </c>
      <c r="P28" s="3" t="s">
        <v>21</v>
      </c>
      <c r="Q28" s="30" t="str">
        <f t="shared" si="0"/>
        <v>MAX : 0.781
TARGET : 0.625
MIN : 0.469</v>
      </c>
    </row>
    <row r="29" spans="2:17" ht="41.4" x14ac:dyDescent="0.3">
      <c r="B29">
        <v>1</v>
      </c>
      <c r="C29" s="33">
        <v>278</v>
      </c>
      <c r="D29" s="2">
        <v>1685</v>
      </c>
      <c r="E29" s="2" t="s">
        <v>6341</v>
      </c>
      <c r="F29" s="3" t="s">
        <v>14206</v>
      </c>
      <c r="H29" s="3" t="s">
        <v>98</v>
      </c>
      <c r="K29" s="2">
        <v>10</v>
      </c>
      <c r="L29" s="2">
        <v>2</v>
      </c>
      <c r="M29" s="3" t="s">
        <v>102</v>
      </c>
      <c r="N29" s="3" t="s">
        <v>103</v>
      </c>
      <c r="O29" s="3" t="s">
        <v>104</v>
      </c>
      <c r="P29" s="3" t="s">
        <v>105</v>
      </c>
      <c r="Q29" s="30" t="str">
        <f t="shared" si="0"/>
        <v>MAX : 0.0012
TARGET : 0.0010
MIN : 0.0008</v>
      </c>
    </row>
    <row r="30" spans="2:17" ht="41.4" x14ac:dyDescent="0.3">
      <c r="B30">
        <v>0</v>
      </c>
      <c r="C30" s="33">
        <v>194</v>
      </c>
      <c r="D30" s="2">
        <v>880</v>
      </c>
      <c r="E30" s="2" t="s">
        <v>6319</v>
      </c>
      <c r="F30" s="3" t="s">
        <v>14206</v>
      </c>
      <c r="H30" s="3" t="s">
        <v>73</v>
      </c>
      <c r="K30" s="2">
        <v>10</v>
      </c>
      <c r="L30" s="2">
        <v>3</v>
      </c>
      <c r="M30" s="3" t="s">
        <v>79</v>
      </c>
      <c r="N30" s="3" t="s">
        <v>24</v>
      </c>
      <c r="O30" s="3" t="s">
        <v>25</v>
      </c>
      <c r="Q30" s="30" t="str">
        <f t="shared" si="0"/>
        <v>MAX : 
TARGET : Yes (Pass)
MIN : No (Fail)</v>
      </c>
    </row>
    <row r="31" spans="2:17" ht="41.4" x14ac:dyDescent="0.3">
      <c r="B31">
        <v>1</v>
      </c>
      <c r="C31" s="33">
        <v>286</v>
      </c>
      <c r="D31" s="2">
        <v>881</v>
      </c>
      <c r="E31" s="2" t="s">
        <v>6348</v>
      </c>
      <c r="F31" s="3" t="s">
        <v>14206</v>
      </c>
      <c r="H31" s="3" t="s">
        <v>73</v>
      </c>
      <c r="K31" s="2">
        <v>10</v>
      </c>
      <c r="L31" s="2">
        <v>1</v>
      </c>
      <c r="M31" s="3" t="s">
        <v>194</v>
      </c>
      <c r="N31" s="3" t="s">
        <v>249</v>
      </c>
      <c r="O31" s="3" t="s">
        <v>250</v>
      </c>
      <c r="P31" s="3" t="s">
        <v>251</v>
      </c>
      <c r="Q31" s="30" t="str">
        <f t="shared" si="0"/>
        <v>MAX : 6.03
TARGET : 6.00
MIN : 5.97</v>
      </c>
    </row>
    <row r="32" spans="2:17" ht="41.4" x14ac:dyDescent="0.3">
      <c r="B32">
        <v>1</v>
      </c>
      <c r="C32" s="33">
        <v>286</v>
      </c>
      <c r="D32" s="2">
        <v>881</v>
      </c>
      <c r="E32" s="2" t="s">
        <v>6348</v>
      </c>
      <c r="F32" s="3" t="s">
        <v>14206</v>
      </c>
      <c r="H32" s="3" t="s">
        <v>73</v>
      </c>
      <c r="K32" s="2">
        <v>10</v>
      </c>
      <c r="L32" s="2">
        <v>2</v>
      </c>
      <c r="M32" s="3" t="s">
        <v>198</v>
      </c>
      <c r="N32" s="3" t="s">
        <v>252</v>
      </c>
      <c r="O32" s="3" t="s">
        <v>253</v>
      </c>
      <c r="P32" s="3" t="s">
        <v>128</v>
      </c>
      <c r="Q32" s="30" t="str">
        <f t="shared" si="0"/>
        <v>MAX : 4.03
TARGET : 4.00
MIN : 3.97</v>
      </c>
    </row>
    <row r="33" spans="2:17" ht="41.4" x14ac:dyDescent="0.3">
      <c r="B33">
        <v>0</v>
      </c>
      <c r="C33" s="33">
        <v>2329</v>
      </c>
      <c r="D33" s="2">
        <v>890</v>
      </c>
      <c r="E33" s="2" t="s">
        <v>6583</v>
      </c>
      <c r="F33" s="3" t="s">
        <v>14206</v>
      </c>
      <c r="H33" s="3" t="s">
        <v>80</v>
      </c>
      <c r="K33" s="2">
        <v>10</v>
      </c>
      <c r="L33" s="2">
        <v>3</v>
      </c>
      <c r="M33" s="3" t="s">
        <v>88</v>
      </c>
      <c r="N33" s="3" t="s">
        <v>54</v>
      </c>
      <c r="O33" s="3" t="s">
        <v>86</v>
      </c>
      <c r="P33" s="3" t="s">
        <v>87</v>
      </c>
      <c r="Q33" s="30" t="str">
        <f t="shared" si="0"/>
        <v>MAX : 0.530
TARGET : 0.500
MIN : 0.470</v>
      </c>
    </row>
    <row r="34" spans="2:17" ht="41.4" x14ac:dyDescent="0.3">
      <c r="B34">
        <v>0</v>
      </c>
      <c r="C34" s="33">
        <v>2329</v>
      </c>
      <c r="D34" s="2">
        <v>890</v>
      </c>
      <c r="E34" s="2" t="s">
        <v>6583</v>
      </c>
      <c r="F34" s="3" t="s">
        <v>14206</v>
      </c>
      <c r="H34" s="3" t="s">
        <v>80</v>
      </c>
      <c r="K34" s="2">
        <v>10</v>
      </c>
      <c r="L34" s="2">
        <v>4</v>
      </c>
      <c r="M34" s="3" t="s">
        <v>89</v>
      </c>
      <c r="N34" s="3" t="s">
        <v>90</v>
      </c>
      <c r="O34" s="3" t="s">
        <v>91</v>
      </c>
      <c r="P34" s="3" t="s">
        <v>92</v>
      </c>
      <c r="Q34" s="30" t="str">
        <f t="shared" si="0"/>
        <v>MAX : 0.230
TARGET : 0.200
MIN : 0.170</v>
      </c>
    </row>
    <row r="35" spans="2:17" ht="41.4" x14ac:dyDescent="0.3">
      <c r="B35">
        <v>0</v>
      </c>
      <c r="C35" s="33">
        <v>2329</v>
      </c>
      <c r="D35" s="2">
        <v>890</v>
      </c>
      <c r="E35" s="2" t="s">
        <v>6583</v>
      </c>
      <c r="F35" s="3" t="s">
        <v>14206</v>
      </c>
      <c r="H35" s="3" t="s">
        <v>80</v>
      </c>
      <c r="K35" s="2">
        <v>10</v>
      </c>
      <c r="L35" s="2">
        <v>7</v>
      </c>
      <c r="M35" s="3" t="s">
        <v>93</v>
      </c>
      <c r="N35" s="3" t="s">
        <v>24</v>
      </c>
      <c r="O35" s="3" t="s">
        <v>25</v>
      </c>
      <c r="Q35" s="30" t="str">
        <f t="shared" si="0"/>
        <v>MAX : 
TARGET : Yes (Pass)
MIN : No (Fail)</v>
      </c>
    </row>
    <row r="36" spans="2:17" ht="41.4" x14ac:dyDescent="0.3">
      <c r="B36">
        <v>0</v>
      </c>
      <c r="C36" s="33">
        <v>2329</v>
      </c>
      <c r="D36" s="2">
        <v>890</v>
      </c>
      <c r="E36" s="2" t="s">
        <v>6583</v>
      </c>
      <c r="F36" s="3" t="s">
        <v>14206</v>
      </c>
      <c r="H36" s="3" t="s">
        <v>80</v>
      </c>
      <c r="K36" s="2">
        <v>10</v>
      </c>
      <c r="L36" s="2">
        <v>5</v>
      </c>
      <c r="M36" s="3" t="s">
        <v>94</v>
      </c>
      <c r="N36" s="3" t="s">
        <v>95</v>
      </c>
      <c r="O36" s="3" t="s">
        <v>96</v>
      </c>
      <c r="P36" s="3" t="s">
        <v>97</v>
      </c>
      <c r="Q36" s="30" t="str">
        <f t="shared" si="0"/>
        <v>MAX : 1.685
TARGET : 1.625
MIN : 1.565</v>
      </c>
    </row>
    <row r="37" spans="2:17" ht="41.4" x14ac:dyDescent="0.3">
      <c r="B37">
        <v>1</v>
      </c>
      <c r="C37" s="33">
        <v>322</v>
      </c>
      <c r="D37" s="2">
        <v>1686</v>
      </c>
      <c r="E37" s="2" t="s">
        <v>6356</v>
      </c>
      <c r="F37" s="3" t="s">
        <v>6215</v>
      </c>
      <c r="H37" s="3" t="s">
        <v>117</v>
      </c>
      <c r="K37" s="2">
        <v>10</v>
      </c>
      <c r="L37" s="2">
        <v>1</v>
      </c>
      <c r="M37" s="3" t="s">
        <v>18</v>
      </c>
      <c r="N37" s="3" t="s">
        <v>118</v>
      </c>
      <c r="O37" s="3" t="s">
        <v>119</v>
      </c>
      <c r="P37" s="3" t="s">
        <v>120</v>
      </c>
      <c r="Q37" s="30" t="str">
        <f t="shared" si="0"/>
        <v>MAX : 120.8
TARGET : 120.0
MIN : 119.2</v>
      </c>
    </row>
    <row r="38" spans="2:17" ht="41.4" x14ac:dyDescent="0.3">
      <c r="B38">
        <v>1</v>
      </c>
      <c r="C38" s="33">
        <v>322</v>
      </c>
      <c r="D38" s="2">
        <v>1686</v>
      </c>
      <c r="E38" s="2" t="s">
        <v>6356</v>
      </c>
      <c r="F38" s="3" t="s">
        <v>6215</v>
      </c>
      <c r="H38" s="3" t="s">
        <v>117</v>
      </c>
      <c r="K38" s="2">
        <v>10</v>
      </c>
      <c r="L38" s="2">
        <v>2</v>
      </c>
      <c r="M38" s="3" t="s">
        <v>22</v>
      </c>
      <c r="N38" s="3" t="s">
        <v>34</v>
      </c>
      <c r="O38" s="3" t="s">
        <v>35</v>
      </c>
      <c r="P38" s="3" t="s">
        <v>36</v>
      </c>
      <c r="Q38" s="30" t="str">
        <f t="shared" si="0"/>
        <v>MAX : 19.8
TARGET : 19.0
MIN : 18.2</v>
      </c>
    </row>
    <row r="39" spans="2:17" ht="41.4" x14ac:dyDescent="0.3">
      <c r="B39">
        <v>0</v>
      </c>
      <c r="C39" s="33">
        <v>278</v>
      </c>
      <c r="D39" s="2">
        <v>1685</v>
      </c>
      <c r="E39" s="2" t="s">
        <v>6341</v>
      </c>
      <c r="F39" s="3" t="s">
        <v>14206</v>
      </c>
      <c r="H39" s="3" t="s">
        <v>98</v>
      </c>
      <c r="K39" s="2">
        <v>10</v>
      </c>
      <c r="L39" s="2">
        <v>3</v>
      </c>
      <c r="M39" s="3" t="s">
        <v>106</v>
      </c>
      <c r="N39" s="3" t="s">
        <v>24</v>
      </c>
      <c r="O39" s="3" t="s">
        <v>25</v>
      </c>
      <c r="Q39" s="30" t="str">
        <f t="shared" si="0"/>
        <v>MAX : 
TARGET : Yes (Pass)
MIN : No (Fail)</v>
      </c>
    </row>
    <row r="40" spans="2:17" ht="41.4" x14ac:dyDescent="0.3">
      <c r="B40">
        <v>0</v>
      </c>
      <c r="C40" s="33">
        <v>278</v>
      </c>
      <c r="D40" s="2">
        <v>1685</v>
      </c>
      <c r="E40" s="2" t="s">
        <v>6341</v>
      </c>
      <c r="F40" s="3" t="s">
        <v>14206</v>
      </c>
      <c r="H40" s="3" t="s">
        <v>98</v>
      </c>
      <c r="K40" s="2">
        <v>10</v>
      </c>
      <c r="L40" s="2">
        <v>4</v>
      </c>
      <c r="M40" s="3" t="s">
        <v>107</v>
      </c>
      <c r="N40" s="3" t="s">
        <v>24</v>
      </c>
      <c r="O40" s="3" t="s">
        <v>25</v>
      </c>
      <c r="Q40" s="30" t="str">
        <f t="shared" si="0"/>
        <v>MAX : 
TARGET : Yes (Pass)
MIN : No (Fail)</v>
      </c>
    </row>
    <row r="41" spans="2:17" ht="41.4" x14ac:dyDescent="0.3">
      <c r="B41">
        <v>1</v>
      </c>
      <c r="C41" s="33">
        <v>461</v>
      </c>
      <c r="D41" s="2">
        <v>1687</v>
      </c>
      <c r="E41" s="2" t="s">
        <v>6363</v>
      </c>
      <c r="F41" s="3" t="s">
        <v>14207</v>
      </c>
      <c r="H41" s="3" t="s">
        <v>66</v>
      </c>
      <c r="K41" s="2">
        <v>10</v>
      </c>
      <c r="L41" s="2">
        <v>2</v>
      </c>
      <c r="M41" s="3" t="s">
        <v>70</v>
      </c>
      <c r="N41" s="3" t="s">
        <v>67</v>
      </c>
      <c r="O41" s="3" t="s">
        <v>68</v>
      </c>
      <c r="P41" s="3" t="s">
        <v>69</v>
      </c>
      <c r="Q41" s="30" t="str">
        <f t="shared" si="0"/>
        <v>MAX : 20
TARGET : 19
MIN : 18</v>
      </c>
    </row>
    <row r="42" spans="2:17" ht="41.4" x14ac:dyDescent="0.3">
      <c r="B42">
        <v>1</v>
      </c>
      <c r="C42" s="33">
        <v>461</v>
      </c>
      <c r="D42" s="2">
        <v>1687</v>
      </c>
      <c r="E42" s="2" t="s">
        <v>6363</v>
      </c>
      <c r="F42" s="3" t="s">
        <v>14207</v>
      </c>
      <c r="H42" s="3" t="s">
        <v>66</v>
      </c>
      <c r="K42" s="2">
        <v>10</v>
      </c>
      <c r="L42" s="2">
        <v>1</v>
      </c>
      <c r="M42" s="3" t="s">
        <v>18</v>
      </c>
      <c r="N42" s="3" t="s">
        <v>67</v>
      </c>
      <c r="O42" s="3" t="s">
        <v>68</v>
      </c>
      <c r="P42" s="3" t="s">
        <v>69</v>
      </c>
      <c r="Q42" s="30" t="str">
        <f t="shared" si="0"/>
        <v>MAX : 20
TARGET : 19
MIN : 18</v>
      </c>
    </row>
    <row r="43" spans="2:17" ht="41.4" x14ac:dyDescent="0.3">
      <c r="B43">
        <v>0</v>
      </c>
      <c r="C43" s="33">
        <v>1305</v>
      </c>
      <c r="D43" s="2">
        <v>884</v>
      </c>
      <c r="E43" s="2" t="s">
        <v>6446</v>
      </c>
      <c r="F43" s="3" t="s">
        <v>14207</v>
      </c>
      <c r="H43" s="3" t="s">
        <v>108</v>
      </c>
      <c r="K43" s="2">
        <v>10</v>
      </c>
      <c r="L43" s="2">
        <v>3</v>
      </c>
      <c r="M43" s="3" t="s">
        <v>114</v>
      </c>
      <c r="N43" s="3" t="s">
        <v>13</v>
      </c>
      <c r="O43" s="3" t="s">
        <v>14</v>
      </c>
      <c r="Q43" s="30" t="str">
        <f t="shared" si="0"/>
        <v>MAX : 
TARGET : Yes(Pass)
MIN : No(Fail)</v>
      </c>
    </row>
    <row r="44" spans="2:17" ht="41.4" x14ac:dyDescent="0.3">
      <c r="B44">
        <v>0</v>
      </c>
      <c r="C44" s="33">
        <v>1305</v>
      </c>
      <c r="D44" s="2">
        <v>884</v>
      </c>
      <c r="E44" s="2" t="s">
        <v>6446</v>
      </c>
      <c r="F44" s="3" t="s">
        <v>14207</v>
      </c>
      <c r="H44" s="3" t="s">
        <v>108</v>
      </c>
      <c r="K44" s="2">
        <v>10</v>
      </c>
      <c r="L44" s="2">
        <v>4</v>
      </c>
      <c r="M44" s="3" t="s">
        <v>115</v>
      </c>
      <c r="N44" s="3" t="s">
        <v>13</v>
      </c>
      <c r="O44" s="3" t="s">
        <v>14</v>
      </c>
      <c r="Q44" s="30" t="str">
        <f t="shared" si="0"/>
        <v>MAX : 
TARGET : Yes(Pass)
MIN : No(Fail)</v>
      </c>
    </row>
    <row r="45" spans="2:17" ht="41.4" x14ac:dyDescent="0.3">
      <c r="B45">
        <v>0</v>
      </c>
      <c r="C45" s="33">
        <v>1305</v>
      </c>
      <c r="D45" s="2">
        <v>884</v>
      </c>
      <c r="E45" s="2" t="s">
        <v>6446</v>
      </c>
      <c r="F45" s="3" t="s">
        <v>14207</v>
      </c>
      <c r="H45" s="3" t="s">
        <v>108</v>
      </c>
      <c r="K45" s="2">
        <v>10</v>
      </c>
      <c r="L45" s="2">
        <v>5</v>
      </c>
      <c r="M45" s="3" t="s">
        <v>116</v>
      </c>
      <c r="N45" s="3" t="s">
        <v>13</v>
      </c>
      <c r="O45" s="3" t="s">
        <v>14</v>
      </c>
      <c r="Q45" s="30" t="str">
        <f t="shared" si="0"/>
        <v>MAX : 
TARGET : Yes(Pass)
MIN : No(Fail)</v>
      </c>
    </row>
    <row r="46" spans="2:17" ht="41.4" x14ac:dyDescent="0.3">
      <c r="B46">
        <v>1</v>
      </c>
      <c r="C46" s="33">
        <v>519</v>
      </c>
      <c r="D46" s="2">
        <v>882</v>
      </c>
      <c r="E46" s="2" t="s">
        <v>6369</v>
      </c>
      <c r="F46" s="3" t="s">
        <v>14206</v>
      </c>
      <c r="H46" s="3" t="s">
        <v>363</v>
      </c>
      <c r="K46" s="2">
        <v>10</v>
      </c>
      <c r="L46" s="2">
        <v>1</v>
      </c>
      <c r="M46" s="3" t="s">
        <v>364</v>
      </c>
      <c r="N46" s="3" t="s">
        <v>365</v>
      </c>
      <c r="O46" s="3" t="s">
        <v>366</v>
      </c>
      <c r="P46" s="3" t="s">
        <v>367</v>
      </c>
      <c r="Q46" s="30" t="str">
        <f t="shared" si="0"/>
        <v>MAX : 3.875
TARGET : 3.9375
MIN : 4.000</v>
      </c>
    </row>
    <row r="47" spans="2:17" ht="55.2" x14ac:dyDescent="0.3">
      <c r="B47">
        <v>1</v>
      </c>
      <c r="C47" s="33">
        <v>519</v>
      </c>
      <c r="D47" s="2">
        <v>882</v>
      </c>
      <c r="E47" s="2" t="s">
        <v>6369</v>
      </c>
      <c r="F47" s="3" t="s">
        <v>14206</v>
      </c>
      <c r="H47" s="3" t="s">
        <v>363</v>
      </c>
      <c r="K47" s="2">
        <v>10</v>
      </c>
      <c r="L47" s="2">
        <v>2</v>
      </c>
      <c r="M47" s="3" t="s">
        <v>368</v>
      </c>
      <c r="N47" s="3" t="s">
        <v>24</v>
      </c>
      <c r="O47" s="3" t="s">
        <v>369</v>
      </c>
      <c r="Q47" s="30" t="str">
        <f t="shared" si="0"/>
        <v>MAX : 
TARGET : Yes (Pass)
No (Fail)
MIN : No (Fail)</v>
      </c>
    </row>
    <row r="48" spans="2:17" ht="41.4" x14ac:dyDescent="0.3">
      <c r="B48">
        <v>0</v>
      </c>
      <c r="C48" s="33">
        <v>322</v>
      </c>
      <c r="D48" s="2">
        <v>1686</v>
      </c>
      <c r="E48" s="2" t="s">
        <v>6356</v>
      </c>
      <c r="F48" s="3" t="s">
        <v>6215</v>
      </c>
      <c r="H48" s="3" t="s">
        <v>117</v>
      </c>
      <c r="K48" s="2">
        <v>10</v>
      </c>
      <c r="L48" s="2">
        <v>3</v>
      </c>
      <c r="M48" s="3" t="s">
        <v>121</v>
      </c>
      <c r="N48" s="3" t="s">
        <v>24</v>
      </c>
      <c r="O48" s="3" t="s">
        <v>25</v>
      </c>
      <c r="Q48" s="30" t="str">
        <f t="shared" si="0"/>
        <v>MAX : 
TARGET : Yes (Pass)
MIN : No (Fail)</v>
      </c>
    </row>
    <row r="49" spans="2:18" ht="41.4" x14ac:dyDescent="0.3">
      <c r="B49">
        <v>0</v>
      </c>
      <c r="C49" s="33">
        <v>322</v>
      </c>
      <c r="D49" s="2">
        <v>1686</v>
      </c>
      <c r="E49" s="2" t="s">
        <v>6356</v>
      </c>
      <c r="F49" s="3" t="s">
        <v>6215</v>
      </c>
      <c r="H49" s="3" t="s">
        <v>117</v>
      </c>
      <c r="K49" s="2">
        <v>10</v>
      </c>
      <c r="L49" s="2">
        <v>4</v>
      </c>
      <c r="M49" s="3" t="s">
        <v>122</v>
      </c>
      <c r="N49" s="3" t="s">
        <v>123</v>
      </c>
      <c r="O49" s="3" t="s">
        <v>124</v>
      </c>
      <c r="Q49" s="30" t="str">
        <f t="shared" si="0"/>
        <v>MAX : 
TARGET : Yes (Fail)
MIN : No (Pass)</v>
      </c>
    </row>
    <row r="50" spans="2:18" ht="41.4" x14ac:dyDescent="0.3">
      <c r="B50">
        <v>0</v>
      </c>
      <c r="C50" s="33">
        <v>322</v>
      </c>
      <c r="D50" s="2">
        <v>1686</v>
      </c>
      <c r="E50" s="2" t="s">
        <v>6356</v>
      </c>
      <c r="F50" s="3" t="s">
        <v>6215</v>
      </c>
      <c r="H50" s="3" t="s">
        <v>117</v>
      </c>
      <c r="K50" s="2">
        <v>10</v>
      </c>
      <c r="L50" s="2">
        <v>5</v>
      </c>
      <c r="M50" s="3" t="s">
        <v>125</v>
      </c>
      <c r="N50" s="3" t="s">
        <v>24</v>
      </c>
      <c r="O50" s="3" t="s">
        <v>25</v>
      </c>
      <c r="Q50" s="30" t="str">
        <f t="shared" si="0"/>
        <v>MAX : 
TARGET : Yes (Pass)
MIN : No (Fail)</v>
      </c>
    </row>
    <row r="51" spans="2:18" ht="55.2" x14ac:dyDescent="0.3">
      <c r="B51">
        <v>0</v>
      </c>
      <c r="C51" s="33">
        <v>322</v>
      </c>
      <c r="D51" s="2">
        <v>1686</v>
      </c>
      <c r="E51" s="2" t="s">
        <v>6356</v>
      </c>
      <c r="F51" s="3" t="s">
        <v>6215</v>
      </c>
      <c r="H51" s="3" t="s">
        <v>117</v>
      </c>
      <c r="K51" s="2">
        <v>10</v>
      </c>
      <c r="L51" s="2">
        <v>6</v>
      </c>
      <c r="M51" s="3" t="s">
        <v>126</v>
      </c>
      <c r="N51" s="3" t="s">
        <v>24</v>
      </c>
      <c r="O51" s="3" t="s">
        <v>25</v>
      </c>
      <c r="P51" s="3" t="s">
        <v>127</v>
      </c>
      <c r="Q51" s="30" t="str">
        <f t="shared" si="0"/>
        <v>MAX : 
TARGET : Yes (Pass)
MIN : No (Fail)</v>
      </c>
    </row>
    <row r="52" spans="2:18" ht="41.4" x14ac:dyDescent="0.3">
      <c r="B52">
        <v>1</v>
      </c>
      <c r="C52" s="33">
        <v>526</v>
      </c>
      <c r="D52" s="2">
        <v>1688</v>
      </c>
      <c r="E52" s="2" t="s">
        <v>6378</v>
      </c>
      <c r="F52" s="3" t="s">
        <v>14207</v>
      </c>
      <c r="H52" s="3" t="s">
        <v>30</v>
      </c>
      <c r="K52" s="2">
        <v>10</v>
      </c>
      <c r="L52" s="2">
        <v>2</v>
      </c>
      <c r="M52" s="3" t="s">
        <v>18</v>
      </c>
      <c r="N52" s="3" t="s">
        <v>34</v>
      </c>
      <c r="O52" s="3" t="s">
        <v>35</v>
      </c>
      <c r="P52" s="3" t="s">
        <v>36</v>
      </c>
      <c r="Q52" s="30" t="str">
        <f t="shared" si="0"/>
        <v>MAX : 19.8
TARGET : 19.0
MIN : 18.2</v>
      </c>
    </row>
    <row r="53" spans="2:18" ht="41.4" x14ac:dyDescent="0.3">
      <c r="B53">
        <v>1</v>
      </c>
      <c r="C53" s="33">
        <v>526</v>
      </c>
      <c r="D53" s="2">
        <v>1688</v>
      </c>
      <c r="E53" s="2" t="s">
        <v>6378</v>
      </c>
      <c r="F53" s="3" t="s">
        <v>14207</v>
      </c>
      <c r="H53" s="3" t="s">
        <v>30</v>
      </c>
      <c r="K53" s="2">
        <v>10</v>
      </c>
      <c r="L53" s="2">
        <v>1</v>
      </c>
      <c r="M53" s="3" t="s">
        <v>22</v>
      </c>
      <c r="N53" s="3" t="s">
        <v>31</v>
      </c>
      <c r="O53" s="3" t="s">
        <v>32</v>
      </c>
      <c r="P53" s="3" t="s">
        <v>33</v>
      </c>
      <c r="Q53" s="30" t="str">
        <f t="shared" si="0"/>
        <v>MAX : 16.8
TARGET : 16.0
MIN : 15.2</v>
      </c>
    </row>
    <row r="54" spans="2:18" ht="41.4" x14ac:dyDescent="0.3">
      <c r="B54">
        <v>0</v>
      </c>
      <c r="C54" s="33">
        <v>273</v>
      </c>
      <c r="D54" s="2">
        <v>1684</v>
      </c>
      <c r="E54" s="2" t="s">
        <v>6333</v>
      </c>
      <c r="F54" s="3" t="s">
        <v>14206</v>
      </c>
      <c r="H54" s="3" t="s">
        <v>50</v>
      </c>
      <c r="K54" s="2">
        <v>10</v>
      </c>
      <c r="L54" s="2">
        <v>3</v>
      </c>
      <c r="M54" s="3" t="s">
        <v>134</v>
      </c>
      <c r="N54" s="3" t="s">
        <v>13</v>
      </c>
      <c r="O54" s="3" t="s">
        <v>14</v>
      </c>
      <c r="Q54" s="30" t="str">
        <f t="shared" si="0"/>
        <v>MAX : 
TARGET : Yes(Pass)
MIN : No(Fail)</v>
      </c>
    </row>
    <row r="55" spans="2:18" ht="41.4" x14ac:dyDescent="0.3">
      <c r="B55">
        <v>0</v>
      </c>
      <c r="C55" s="33">
        <v>273</v>
      </c>
      <c r="D55" s="2">
        <v>1684</v>
      </c>
      <c r="E55" s="2" t="s">
        <v>6333</v>
      </c>
      <c r="F55" s="3" t="s">
        <v>14206</v>
      </c>
      <c r="H55" s="3" t="s">
        <v>50</v>
      </c>
      <c r="K55" s="2">
        <v>10</v>
      </c>
      <c r="L55" s="2">
        <v>4</v>
      </c>
      <c r="M55" s="3" t="s">
        <v>135</v>
      </c>
      <c r="N55" s="3" t="s">
        <v>13</v>
      </c>
      <c r="O55" s="3" t="s">
        <v>136</v>
      </c>
      <c r="Q55" s="30" t="str">
        <f t="shared" si="0"/>
        <v>MAX : 
TARGET : Yes(Pass) 
MIN : No(Fail)</v>
      </c>
    </row>
    <row r="56" spans="2:18" ht="41.4" x14ac:dyDescent="0.3">
      <c r="B56">
        <v>0</v>
      </c>
      <c r="C56" s="33">
        <v>273</v>
      </c>
      <c r="D56" s="2">
        <v>1684</v>
      </c>
      <c r="E56" s="2" t="s">
        <v>6333</v>
      </c>
      <c r="F56" s="3" t="s">
        <v>14206</v>
      </c>
      <c r="H56" s="3" t="s">
        <v>50</v>
      </c>
      <c r="K56" s="2">
        <v>10</v>
      </c>
      <c r="L56" s="2">
        <v>5</v>
      </c>
      <c r="M56" s="3" t="s">
        <v>137</v>
      </c>
      <c r="N56" s="3" t="s">
        <v>13</v>
      </c>
      <c r="O56" s="3" t="s">
        <v>14</v>
      </c>
      <c r="Q56" s="30" t="str">
        <f t="shared" si="0"/>
        <v>MAX : 
TARGET : Yes(Pass)
MIN : No(Fail)</v>
      </c>
    </row>
    <row r="57" spans="2:18" ht="41.4" x14ac:dyDescent="0.3">
      <c r="B57">
        <v>1</v>
      </c>
      <c r="C57" s="33">
        <v>602</v>
      </c>
      <c r="D57" s="2">
        <v>1689</v>
      </c>
      <c r="E57" s="2" t="s">
        <v>6384</v>
      </c>
      <c r="F57" s="3" t="s">
        <v>14206</v>
      </c>
      <c r="H57" s="3" t="s">
        <v>50</v>
      </c>
      <c r="K57" s="2">
        <v>10</v>
      </c>
      <c r="L57" s="2">
        <v>2</v>
      </c>
      <c r="M57" s="3" t="s">
        <v>22</v>
      </c>
      <c r="N57" s="3" t="s">
        <v>141</v>
      </c>
      <c r="O57" s="3" t="s">
        <v>142</v>
      </c>
      <c r="P57" s="3" t="s">
        <v>143</v>
      </c>
      <c r="Q57" s="30" t="str">
        <f t="shared" si="0"/>
        <v>MAX : .781
TARGET : .750
MIN : .719</v>
      </c>
    </row>
    <row r="58" spans="2:18" ht="41.4" x14ac:dyDescent="0.3">
      <c r="B58">
        <v>1</v>
      </c>
      <c r="C58" s="33">
        <v>602</v>
      </c>
      <c r="D58" s="2">
        <v>1689</v>
      </c>
      <c r="E58" s="2" t="s">
        <v>6384</v>
      </c>
      <c r="F58" s="3" t="s">
        <v>14206</v>
      </c>
      <c r="H58" s="3" t="s">
        <v>50</v>
      </c>
      <c r="K58" s="2">
        <v>10</v>
      </c>
      <c r="L58" s="2">
        <v>6</v>
      </c>
      <c r="M58" s="3" t="s">
        <v>23</v>
      </c>
      <c r="N58" s="3" t="s">
        <v>24</v>
      </c>
      <c r="O58" s="3" t="s">
        <v>25</v>
      </c>
      <c r="Q58" s="30" t="str">
        <f t="shared" si="0"/>
        <v>MAX : 
TARGET : Yes (Pass)
MIN : No (Fail)</v>
      </c>
    </row>
    <row r="59" spans="2:18" ht="41.4" x14ac:dyDescent="0.3">
      <c r="B59">
        <v>0</v>
      </c>
      <c r="C59" s="33">
        <v>602</v>
      </c>
      <c r="D59" s="2">
        <v>1689</v>
      </c>
      <c r="E59" s="2" t="s">
        <v>6384</v>
      </c>
      <c r="F59" s="3" t="s">
        <v>14206</v>
      </c>
      <c r="H59" s="3" t="s">
        <v>50</v>
      </c>
      <c r="K59" s="2">
        <v>10</v>
      </c>
      <c r="L59" s="2">
        <v>3</v>
      </c>
      <c r="M59" s="3" t="s">
        <v>144</v>
      </c>
      <c r="N59" s="3" t="s">
        <v>24</v>
      </c>
      <c r="O59" s="3" t="s">
        <v>25</v>
      </c>
      <c r="Q59" s="30" t="str">
        <f t="shared" si="0"/>
        <v>MAX : 
TARGET : Yes (Pass)
MIN : No (Fail)</v>
      </c>
    </row>
    <row r="60" spans="2:18" ht="41.4" x14ac:dyDescent="0.3">
      <c r="B60">
        <v>0</v>
      </c>
      <c r="C60" s="33">
        <v>602</v>
      </c>
      <c r="D60" s="2">
        <v>1689</v>
      </c>
      <c r="E60" s="2" t="s">
        <v>6384</v>
      </c>
      <c r="F60" s="3" t="s">
        <v>14206</v>
      </c>
      <c r="H60" s="3" t="s">
        <v>50</v>
      </c>
      <c r="K60" s="2">
        <v>10</v>
      </c>
      <c r="L60" s="2">
        <v>4</v>
      </c>
      <c r="M60" s="3" t="s">
        <v>26</v>
      </c>
      <c r="N60" s="3" t="s">
        <v>24</v>
      </c>
      <c r="O60" s="3" t="s">
        <v>25</v>
      </c>
      <c r="Q60" s="30" t="str">
        <f t="shared" si="0"/>
        <v>MAX : 
TARGET : Yes (Pass)
MIN : No (Fail)</v>
      </c>
    </row>
    <row r="61" spans="2:18" ht="41.4" x14ac:dyDescent="0.3">
      <c r="B61">
        <v>0</v>
      </c>
      <c r="C61" s="33">
        <v>602</v>
      </c>
      <c r="D61" s="2">
        <v>1689</v>
      </c>
      <c r="E61" s="2" t="s">
        <v>6384</v>
      </c>
      <c r="F61" s="3" t="s">
        <v>14206</v>
      </c>
      <c r="H61" s="3" t="s">
        <v>50</v>
      </c>
      <c r="K61" s="2">
        <v>10</v>
      </c>
      <c r="L61" s="2">
        <v>5</v>
      </c>
      <c r="M61" s="3" t="s">
        <v>145</v>
      </c>
      <c r="N61" s="3" t="s">
        <v>24</v>
      </c>
      <c r="O61" s="3" t="s">
        <v>25</v>
      </c>
      <c r="Q61" s="30" t="str">
        <f t="shared" si="0"/>
        <v>MAX : 
TARGET : Yes (Pass)
MIN : No (Fail)</v>
      </c>
    </row>
    <row r="62" spans="2:18" ht="41.4" x14ac:dyDescent="0.3">
      <c r="B62">
        <v>0</v>
      </c>
      <c r="C62" s="33">
        <v>602</v>
      </c>
      <c r="D62" s="2">
        <v>1689</v>
      </c>
      <c r="E62" s="2" t="s">
        <v>6384</v>
      </c>
      <c r="F62" s="3" t="s">
        <v>14206</v>
      </c>
      <c r="H62" s="3" t="s">
        <v>50</v>
      </c>
      <c r="K62" s="2">
        <v>10</v>
      </c>
      <c r="L62" s="2">
        <v>1</v>
      </c>
      <c r="M62" s="3" t="s">
        <v>18</v>
      </c>
      <c r="N62" s="3" t="s">
        <v>138</v>
      </c>
      <c r="O62" s="3" t="s">
        <v>139</v>
      </c>
      <c r="P62" s="3" t="s">
        <v>140</v>
      </c>
      <c r="Q62" s="30" t="str">
        <f t="shared" si="0"/>
        <v>MAX : 1.031
TARGET : 1.000
MIN : 0.968</v>
      </c>
    </row>
    <row r="63" spans="2:18" ht="41.4" x14ac:dyDescent="0.3">
      <c r="B63">
        <v>1</v>
      </c>
      <c r="C63" s="33">
        <v>618</v>
      </c>
      <c r="D63" s="2">
        <v>1690</v>
      </c>
      <c r="E63" s="2" t="s">
        <v>6391</v>
      </c>
      <c r="F63" s="3" t="s">
        <v>14206</v>
      </c>
      <c r="H63" s="3" t="s">
        <v>17</v>
      </c>
      <c r="K63" s="2">
        <v>10</v>
      </c>
      <c r="L63" s="2">
        <v>2</v>
      </c>
      <c r="M63" s="3" t="s">
        <v>22</v>
      </c>
      <c r="N63" s="3" t="s">
        <v>19</v>
      </c>
      <c r="O63" s="3" t="s">
        <v>20</v>
      </c>
      <c r="P63" s="3" t="s">
        <v>21</v>
      </c>
      <c r="Q63" s="30" t="str">
        <f t="shared" si="0"/>
        <v>MAX : 0.781
TARGET : 0.750
MIN : 0.719</v>
      </c>
    </row>
    <row r="64" spans="2:18" ht="41.4" x14ac:dyDescent="0.3">
      <c r="B64">
        <v>0</v>
      </c>
      <c r="C64" s="33">
        <v>1831</v>
      </c>
      <c r="D64" s="2">
        <v>888</v>
      </c>
      <c r="E64" s="2" t="s">
        <v>6531</v>
      </c>
      <c r="F64" s="29" t="s">
        <v>14209</v>
      </c>
      <c r="H64" s="3" t="s">
        <v>146</v>
      </c>
      <c r="K64" s="2">
        <v>10</v>
      </c>
      <c r="L64" s="2">
        <v>3</v>
      </c>
      <c r="M64" s="3" t="s">
        <v>153</v>
      </c>
      <c r="O64" s="3" t="s">
        <v>123</v>
      </c>
      <c r="P64" s="3" t="s">
        <v>124</v>
      </c>
      <c r="Q64" s="30" t="str">
        <f t="shared" si="0"/>
        <v xml:space="preserve">MAX : Yes (Fail)
TARGET : No (Pass)
MIN : </v>
      </c>
      <c r="R64" s="3" t="s">
        <v>151</v>
      </c>
    </row>
    <row r="65" spans="2:18" ht="41.4" x14ac:dyDescent="0.3">
      <c r="B65">
        <v>0</v>
      </c>
      <c r="C65" s="33">
        <v>1831</v>
      </c>
      <c r="D65" s="2">
        <v>888</v>
      </c>
      <c r="E65" s="2" t="s">
        <v>6531</v>
      </c>
      <c r="F65" s="29" t="s">
        <v>14209</v>
      </c>
      <c r="H65" s="3" t="s">
        <v>146</v>
      </c>
      <c r="K65" s="2">
        <v>10</v>
      </c>
      <c r="L65" s="2">
        <v>4</v>
      </c>
      <c r="M65" s="3" t="s">
        <v>154</v>
      </c>
      <c r="O65" s="3" t="s">
        <v>123</v>
      </c>
      <c r="P65" s="3" t="s">
        <v>124</v>
      </c>
      <c r="Q65" s="30" t="str">
        <f t="shared" si="0"/>
        <v xml:space="preserve">MAX : Yes (Fail)
TARGET : No (Pass)
MIN : </v>
      </c>
      <c r="R65" s="3" t="s">
        <v>151</v>
      </c>
    </row>
    <row r="66" spans="2:18" ht="41.4" x14ac:dyDescent="0.3">
      <c r="B66">
        <v>0</v>
      </c>
      <c r="C66" s="33">
        <v>1831</v>
      </c>
      <c r="D66" s="2">
        <v>888</v>
      </c>
      <c r="E66" s="2" t="s">
        <v>6531</v>
      </c>
      <c r="F66" s="29" t="s">
        <v>14209</v>
      </c>
      <c r="H66" s="3" t="s">
        <v>146</v>
      </c>
      <c r="K66" s="2">
        <v>10</v>
      </c>
      <c r="L66" s="2">
        <v>5</v>
      </c>
      <c r="M66" s="3" t="s">
        <v>155</v>
      </c>
      <c r="O66" s="3" t="s">
        <v>123</v>
      </c>
      <c r="P66" s="3" t="s">
        <v>124</v>
      </c>
      <c r="Q66" s="30" t="str">
        <f t="shared" ref="Q66:Q129" si="1">"MAX : " &amp; P66 &amp; CHAR(10) &amp; "TARGET : " &amp; O66 &amp; CHAR(10) &amp; "MIN : " &amp; N66</f>
        <v xml:space="preserve">MAX : Yes (Fail)
TARGET : No (Pass)
MIN : </v>
      </c>
      <c r="R66" s="3" t="s">
        <v>151</v>
      </c>
    </row>
    <row r="67" spans="2:18" ht="41.4" x14ac:dyDescent="0.3">
      <c r="B67">
        <v>0</v>
      </c>
      <c r="C67" s="33">
        <v>1831</v>
      </c>
      <c r="D67" s="2">
        <v>888</v>
      </c>
      <c r="E67" s="2" t="s">
        <v>6531</v>
      </c>
      <c r="F67" s="29" t="s">
        <v>14209</v>
      </c>
      <c r="H67" s="3" t="s">
        <v>146</v>
      </c>
      <c r="K67" s="2">
        <v>10</v>
      </c>
      <c r="L67" s="2">
        <v>6</v>
      </c>
      <c r="M67" s="3" t="s">
        <v>156</v>
      </c>
      <c r="O67" s="3" t="s">
        <v>123</v>
      </c>
      <c r="P67" s="3" t="s">
        <v>124</v>
      </c>
      <c r="Q67" s="30" t="str">
        <f t="shared" si="1"/>
        <v xml:space="preserve">MAX : Yes (Fail)
TARGET : No (Pass)
MIN : </v>
      </c>
      <c r="R67" s="3" t="s">
        <v>151</v>
      </c>
    </row>
    <row r="68" spans="2:18" ht="41.4" x14ac:dyDescent="0.3">
      <c r="B68">
        <v>0</v>
      </c>
      <c r="C68" s="33">
        <v>1831</v>
      </c>
      <c r="D68" s="2">
        <v>888</v>
      </c>
      <c r="E68" s="2" t="s">
        <v>6531</v>
      </c>
      <c r="F68" s="29" t="s">
        <v>14209</v>
      </c>
      <c r="H68" s="3" t="s">
        <v>146</v>
      </c>
      <c r="K68" s="2">
        <v>10</v>
      </c>
      <c r="L68" s="2">
        <v>7</v>
      </c>
      <c r="M68" s="3" t="s">
        <v>157</v>
      </c>
      <c r="O68" s="3" t="s">
        <v>123</v>
      </c>
      <c r="P68" s="3" t="s">
        <v>124</v>
      </c>
      <c r="Q68" s="30" t="str">
        <f t="shared" si="1"/>
        <v xml:space="preserve">MAX : Yes (Fail)
TARGET : No (Pass)
MIN : </v>
      </c>
      <c r="R68" s="3" t="s">
        <v>151</v>
      </c>
    </row>
    <row r="69" spans="2:18" ht="41.4" x14ac:dyDescent="0.3">
      <c r="B69">
        <v>0</v>
      </c>
      <c r="C69" s="33">
        <v>1831</v>
      </c>
      <c r="D69" s="2">
        <v>888</v>
      </c>
      <c r="E69" s="2" t="s">
        <v>6531</v>
      </c>
      <c r="F69" s="29" t="s">
        <v>14209</v>
      </c>
      <c r="H69" s="3" t="s">
        <v>146</v>
      </c>
      <c r="K69" s="2">
        <v>10</v>
      </c>
      <c r="L69" s="2">
        <v>8</v>
      </c>
      <c r="M69" s="3" t="s">
        <v>158</v>
      </c>
      <c r="Q69" s="30" t="str">
        <f t="shared" si="1"/>
        <v xml:space="preserve">MAX : 
TARGET : 
MIN : </v>
      </c>
      <c r="R69" s="3" t="s">
        <v>151</v>
      </c>
    </row>
    <row r="70" spans="2:18" ht="41.4" x14ac:dyDescent="0.3">
      <c r="B70">
        <v>1</v>
      </c>
      <c r="C70" s="33">
        <v>618</v>
      </c>
      <c r="D70" s="2">
        <v>1690</v>
      </c>
      <c r="E70" s="2" t="s">
        <v>6391</v>
      </c>
      <c r="F70" s="3" t="s">
        <v>14206</v>
      </c>
      <c r="H70" s="3" t="s">
        <v>17</v>
      </c>
      <c r="K70" s="2">
        <v>10</v>
      </c>
      <c r="L70" s="2">
        <v>1</v>
      </c>
      <c r="M70" s="3" t="s">
        <v>18</v>
      </c>
      <c r="N70" s="3" t="s">
        <v>19</v>
      </c>
      <c r="O70" s="3" t="s">
        <v>20</v>
      </c>
      <c r="P70" s="3" t="s">
        <v>21</v>
      </c>
      <c r="Q70" s="30" t="str">
        <f t="shared" si="1"/>
        <v>MAX : 0.781
TARGET : 0.750
MIN : 0.719</v>
      </c>
    </row>
    <row r="71" spans="2:18" ht="41.4" x14ac:dyDescent="0.3">
      <c r="B71">
        <v>1</v>
      </c>
      <c r="C71" s="33">
        <v>618</v>
      </c>
      <c r="D71" s="2">
        <v>1690</v>
      </c>
      <c r="E71" s="2" t="s">
        <v>6391</v>
      </c>
      <c r="F71" s="3" t="s">
        <v>14206</v>
      </c>
      <c r="H71" s="3" t="s">
        <v>17</v>
      </c>
      <c r="K71" s="2">
        <v>10</v>
      </c>
      <c r="L71" s="2">
        <v>3</v>
      </c>
      <c r="M71" s="3" t="s">
        <v>144</v>
      </c>
      <c r="N71" s="3" t="s">
        <v>24</v>
      </c>
      <c r="O71" s="3" t="s">
        <v>25</v>
      </c>
      <c r="Q71" s="30" t="str">
        <f t="shared" si="1"/>
        <v>MAX : 
TARGET : Yes (Pass)
MIN : No (Fail)</v>
      </c>
    </row>
    <row r="72" spans="2:18" ht="41.4" x14ac:dyDescent="0.3">
      <c r="B72">
        <v>0</v>
      </c>
      <c r="C72" s="33">
        <v>760</v>
      </c>
      <c r="D72" s="2">
        <v>1691</v>
      </c>
      <c r="E72" s="2" t="s">
        <v>6396</v>
      </c>
      <c r="F72" s="3" t="s">
        <v>14206</v>
      </c>
      <c r="H72" s="3" t="s">
        <v>159</v>
      </c>
      <c r="K72" s="2">
        <v>10</v>
      </c>
      <c r="L72" s="2">
        <v>3</v>
      </c>
      <c r="M72" s="3" t="s">
        <v>165</v>
      </c>
      <c r="N72" s="3" t="s">
        <v>24</v>
      </c>
      <c r="O72" s="3" t="s">
        <v>25</v>
      </c>
      <c r="Q72" s="30" t="str">
        <f t="shared" si="1"/>
        <v>MAX : 
TARGET : Yes (Pass)
MIN : No (Fail)</v>
      </c>
    </row>
    <row r="73" spans="2:18" ht="41.4" x14ac:dyDescent="0.3">
      <c r="B73">
        <v>0</v>
      </c>
      <c r="C73" s="33">
        <v>760</v>
      </c>
      <c r="D73" s="2">
        <v>1691</v>
      </c>
      <c r="E73" s="2" t="s">
        <v>6396</v>
      </c>
      <c r="F73" s="3" t="s">
        <v>14206</v>
      </c>
      <c r="H73" s="3" t="s">
        <v>159</v>
      </c>
      <c r="K73" s="2">
        <v>10</v>
      </c>
      <c r="L73" s="2">
        <v>4</v>
      </c>
      <c r="M73" s="3" t="s">
        <v>166</v>
      </c>
      <c r="N73" s="3" t="s">
        <v>24</v>
      </c>
      <c r="O73" s="3" t="s">
        <v>25</v>
      </c>
      <c r="Q73" s="30" t="str">
        <f t="shared" si="1"/>
        <v>MAX : 
TARGET : Yes (Pass)
MIN : No (Fail)</v>
      </c>
    </row>
    <row r="74" spans="2:18" ht="41.4" x14ac:dyDescent="0.3">
      <c r="B74">
        <v>0</v>
      </c>
      <c r="C74" s="33">
        <v>760</v>
      </c>
      <c r="D74" s="2">
        <v>1691</v>
      </c>
      <c r="E74" s="2" t="s">
        <v>6396</v>
      </c>
      <c r="F74" s="3" t="s">
        <v>14206</v>
      </c>
      <c r="H74" s="3" t="s">
        <v>159</v>
      </c>
      <c r="K74" s="2">
        <v>10</v>
      </c>
      <c r="L74" s="2">
        <v>5</v>
      </c>
      <c r="M74" s="3" t="s">
        <v>167</v>
      </c>
      <c r="N74" s="3" t="s">
        <v>24</v>
      </c>
      <c r="O74" s="3" t="s">
        <v>25</v>
      </c>
      <c r="Q74" s="30" t="str">
        <f t="shared" si="1"/>
        <v>MAX : 
TARGET : Yes (Pass)
MIN : No (Fail)</v>
      </c>
    </row>
    <row r="75" spans="2:18" ht="41.4" x14ac:dyDescent="0.3">
      <c r="B75">
        <v>1</v>
      </c>
      <c r="C75" s="33">
        <v>618</v>
      </c>
      <c r="D75" s="2">
        <v>1690</v>
      </c>
      <c r="E75" s="2" t="s">
        <v>6391</v>
      </c>
      <c r="F75" s="3" t="s">
        <v>14206</v>
      </c>
      <c r="H75" s="3" t="s">
        <v>17</v>
      </c>
      <c r="K75" s="2">
        <v>10</v>
      </c>
      <c r="L75" s="2">
        <v>5</v>
      </c>
      <c r="M75" s="3" t="s">
        <v>145</v>
      </c>
      <c r="N75" s="3" t="s">
        <v>24</v>
      </c>
      <c r="O75" s="3" t="s">
        <v>25</v>
      </c>
      <c r="Q75" s="30" t="str">
        <f t="shared" si="1"/>
        <v>MAX : 
TARGET : Yes (Pass)
MIN : No (Fail)</v>
      </c>
    </row>
    <row r="76" spans="2:18" ht="41.4" x14ac:dyDescent="0.3">
      <c r="B76">
        <v>1</v>
      </c>
      <c r="C76" s="33">
        <v>760</v>
      </c>
      <c r="D76" s="2">
        <v>1691</v>
      </c>
      <c r="E76" s="2" t="s">
        <v>6396</v>
      </c>
      <c r="F76" s="3" t="s">
        <v>14206</v>
      </c>
      <c r="H76" s="3" t="s">
        <v>159</v>
      </c>
      <c r="K76" s="2">
        <v>10</v>
      </c>
      <c r="L76" s="2">
        <v>2</v>
      </c>
      <c r="M76" s="3" t="s">
        <v>161</v>
      </c>
      <c r="N76" s="3" t="s">
        <v>162</v>
      </c>
      <c r="O76" s="3" t="s">
        <v>163</v>
      </c>
      <c r="P76" s="3" t="s">
        <v>164</v>
      </c>
      <c r="Q76" s="30" t="str">
        <f t="shared" si="1"/>
        <v>MAX : 3.78
TARGET : 3.75
MIN : 3.72</v>
      </c>
    </row>
    <row r="77" spans="2:18" ht="41.4" x14ac:dyDescent="0.3">
      <c r="B77">
        <v>0</v>
      </c>
      <c r="C77" s="33">
        <v>1497</v>
      </c>
      <c r="D77" s="2">
        <v>1699</v>
      </c>
      <c r="E77" s="2" t="s">
        <v>6467</v>
      </c>
      <c r="F77" s="3" t="s">
        <v>14206</v>
      </c>
      <c r="H77" s="3" t="s">
        <v>168</v>
      </c>
      <c r="K77" s="2">
        <v>10</v>
      </c>
      <c r="L77" s="2">
        <v>4</v>
      </c>
      <c r="M77" s="3" t="s">
        <v>171</v>
      </c>
      <c r="N77" s="3" t="s">
        <v>24</v>
      </c>
      <c r="O77" s="3" t="s">
        <v>25</v>
      </c>
      <c r="Q77" s="30" t="str">
        <f t="shared" si="1"/>
        <v>MAX : 
TARGET : Yes (Pass)
MIN : No (Fail)</v>
      </c>
    </row>
    <row r="78" spans="2:18" ht="41.4" x14ac:dyDescent="0.3">
      <c r="B78">
        <v>1</v>
      </c>
      <c r="C78" s="33">
        <v>760</v>
      </c>
      <c r="D78" s="2">
        <v>1691</v>
      </c>
      <c r="E78" s="2" t="s">
        <v>6396</v>
      </c>
      <c r="F78" s="3" t="s">
        <v>14206</v>
      </c>
      <c r="H78" s="3" t="s">
        <v>159</v>
      </c>
      <c r="K78" s="2">
        <v>10</v>
      </c>
      <c r="L78" s="2">
        <v>1</v>
      </c>
      <c r="M78" s="3" t="s">
        <v>160</v>
      </c>
      <c r="N78" s="3" t="s">
        <v>131</v>
      </c>
      <c r="O78" s="3" t="s">
        <v>132</v>
      </c>
      <c r="P78" s="3" t="s">
        <v>133</v>
      </c>
      <c r="Q78" s="30" t="str">
        <f t="shared" si="1"/>
        <v>MAX : 0.78
TARGET : 0.75
MIN : 0.72</v>
      </c>
    </row>
    <row r="79" spans="2:18" ht="41.4" x14ac:dyDescent="0.3">
      <c r="B79">
        <v>1</v>
      </c>
      <c r="C79" s="33">
        <v>814</v>
      </c>
      <c r="D79" s="2">
        <v>1692</v>
      </c>
      <c r="E79" s="2" t="s">
        <v>6403</v>
      </c>
      <c r="F79" s="3" t="s">
        <v>14206</v>
      </c>
      <c r="H79" s="3" t="s">
        <v>289</v>
      </c>
      <c r="K79" s="2">
        <v>10</v>
      </c>
      <c r="L79" s="2">
        <v>1</v>
      </c>
      <c r="M79" s="3" t="s">
        <v>322</v>
      </c>
      <c r="N79" s="3" t="s">
        <v>323</v>
      </c>
      <c r="O79" s="3" t="s">
        <v>8</v>
      </c>
      <c r="P79" s="3" t="s">
        <v>324</v>
      </c>
      <c r="Q79" s="30" t="str">
        <f t="shared" si="1"/>
        <v>MAX : +0.030
TARGET : Target
MIN : -0.030</v>
      </c>
    </row>
    <row r="80" spans="2:18" ht="41.4" x14ac:dyDescent="0.3">
      <c r="B80">
        <v>0</v>
      </c>
      <c r="C80" s="33">
        <v>1751</v>
      </c>
      <c r="D80" s="2">
        <v>1701</v>
      </c>
      <c r="E80" s="2" t="s">
        <v>6489</v>
      </c>
      <c r="F80" s="3" t="s">
        <v>14206</v>
      </c>
      <c r="H80" s="3" t="s">
        <v>172</v>
      </c>
      <c r="K80" s="2">
        <v>10</v>
      </c>
      <c r="L80" s="2">
        <v>4</v>
      </c>
      <c r="M80" s="3" t="s">
        <v>178</v>
      </c>
      <c r="N80" s="3" t="s">
        <v>24</v>
      </c>
      <c r="O80" s="3" t="s">
        <v>25</v>
      </c>
      <c r="Q80" s="30" t="str">
        <f t="shared" si="1"/>
        <v>MAX : 
TARGET : Yes (Pass)
MIN : No (Fail)</v>
      </c>
    </row>
    <row r="81" spans="2:17" ht="41.4" x14ac:dyDescent="0.3">
      <c r="B81">
        <v>0</v>
      </c>
      <c r="C81" s="33">
        <v>1751</v>
      </c>
      <c r="D81" s="2">
        <v>1701</v>
      </c>
      <c r="E81" s="2" t="s">
        <v>6489</v>
      </c>
      <c r="F81" s="3" t="s">
        <v>14206</v>
      </c>
      <c r="H81" s="3" t="s">
        <v>172</v>
      </c>
      <c r="K81" s="2">
        <v>10</v>
      </c>
      <c r="L81" s="2">
        <v>5</v>
      </c>
      <c r="M81" s="3" t="s">
        <v>179</v>
      </c>
      <c r="N81" s="3" t="s">
        <v>24</v>
      </c>
      <c r="O81" s="3" t="s">
        <v>25</v>
      </c>
      <c r="Q81" s="30" t="str">
        <f t="shared" si="1"/>
        <v>MAX : 
TARGET : Yes (Pass)
MIN : No (Fail)</v>
      </c>
    </row>
    <row r="82" spans="2:17" ht="41.4" x14ac:dyDescent="0.3">
      <c r="B82">
        <v>1</v>
      </c>
      <c r="C82" s="33">
        <v>814</v>
      </c>
      <c r="D82" s="2">
        <v>1692</v>
      </c>
      <c r="E82" s="2" t="s">
        <v>6403</v>
      </c>
      <c r="F82" s="3" t="s">
        <v>14206</v>
      </c>
      <c r="H82" s="3" t="s">
        <v>289</v>
      </c>
      <c r="K82" s="2">
        <v>10</v>
      </c>
      <c r="L82" s="2">
        <v>2</v>
      </c>
      <c r="M82" s="3" t="s">
        <v>325</v>
      </c>
      <c r="N82" s="3" t="s">
        <v>24</v>
      </c>
      <c r="O82" s="3" t="s">
        <v>25</v>
      </c>
      <c r="Q82" s="30" t="str">
        <f t="shared" si="1"/>
        <v>MAX : 
TARGET : Yes (Pass)
MIN : No (Fail)</v>
      </c>
    </row>
    <row r="83" spans="2:17" ht="41.4" x14ac:dyDescent="0.3">
      <c r="B83">
        <v>1</v>
      </c>
      <c r="C83" s="33">
        <v>847</v>
      </c>
      <c r="D83" s="2">
        <v>1693</v>
      </c>
      <c r="E83" s="2" t="s">
        <v>6409</v>
      </c>
      <c r="F83" s="3" t="s">
        <v>14206</v>
      </c>
      <c r="H83" s="3" t="s">
        <v>11</v>
      </c>
      <c r="K83" s="2">
        <v>10</v>
      </c>
      <c r="L83" s="2">
        <v>1</v>
      </c>
      <c r="M83" s="3" t="s">
        <v>109</v>
      </c>
      <c r="N83" s="3" t="s">
        <v>464</v>
      </c>
      <c r="O83" s="3" t="s">
        <v>465</v>
      </c>
      <c r="P83" s="3" t="s">
        <v>466</v>
      </c>
      <c r="Q83" s="30" t="str">
        <f t="shared" si="1"/>
        <v>MAX : 2.531
TARGET : 2.500
MIN : 2.469</v>
      </c>
    </row>
    <row r="84" spans="2:17" ht="41.4" x14ac:dyDescent="0.3">
      <c r="B84">
        <v>0</v>
      </c>
      <c r="C84" s="33">
        <v>1796</v>
      </c>
      <c r="D84" s="2">
        <v>1703</v>
      </c>
      <c r="E84" s="2" t="s">
        <v>6509</v>
      </c>
      <c r="F84" s="3" t="s">
        <v>14206</v>
      </c>
      <c r="H84" s="3" t="s">
        <v>172</v>
      </c>
      <c r="K84" s="2">
        <v>10</v>
      </c>
      <c r="L84" s="2">
        <v>4</v>
      </c>
      <c r="M84" s="3" t="s">
        <v>178</v>
      </c>
      <c r="N84" s="3" t="s">
        <v>24</v>
      </c>
      <c r="O84" s="3" t="s">
        <v>25</v>
      </c>
      <c r="Q84" s="30" t="str">
        <f t="shared" si="1"/>
        <v>MAX : 
TARGET : Yes (Pass)
MIN : No (Fail)</v>
      </c>
    </row>
    <row r="85" spans="2:17" ht="41.4" x14ac:dyDescent="0.3">
      <c r="B85">
        <v>0</v>
      </c>
      <c r="C85" s="33">
        <v>1796</v>
      </c>
      <c r="D85" s="2">
        <v>1703</v>
      </c>
      <c r="E85" s="2" t="s">
        <v>6509</v>
      </c>
      <c r="F85" s="3" t="s">
        <v>14206</v>
      </c>
      <c r="H85" s="3" t="s">
        <v>172</v>
      </c>
      <c r="K85" s="2">
        <v>10</v>
      </c>
      <c r="L85" s="2">
        <v>5</v>
      </c>
      <c r="M85" s="3" t="s">
        <v>179</v>
      </c>
      <c r="N85" s="3" t="s">
        <v>24</v>
      </c>
      <c r="O85" s="3" t="s">
        <v>25</v>
      </c>
      <c r="Q85" s="30" t="str">
        <f t="shared" si="1"/>
        <v>MAX : 
TARGET : Yes (Pass)
MIN : No (Fail)</v>
      </c>
    </row>
    <row r="86" spans="2:17" ht="41.4" x14ac:dyDescent="0.3">
      <c r="B86">
        <v>1</v>
      </c>
      <c r="C86" s="33">
        <v>847</v>
      </c>
      <c r="D86" s="2">
        <v>1693</v>
      </c>
      <c r="E86" s="2" t="s">
        <v>6409</v>
      </c>
      <c r="F86" s="3" t="s">
        <v>14206</v>
      </c>
      <c r="H86" s="3" t="s">
        <v>11</v>
      </c>
      <c r="K86" s="2">
        <v>10</v>
      </c>
      <c r="L86" s="2">
        <v>2</v>
      </c>
      <c r="M86" s="3" t="s">
        <v>467</v>
      </c>
      <c r="N86" s="3" t="s">
        <v>19</v>
      </c>
      <c r="O86" s="3" t="s">
        <v>20</v>
      </c>
      <c r="P86" s="3" t="s">
        <v>21</v>
      </c>
      <c r="Q86" s="30" t="str">
        <f t="shared" si="1"/>
        <v>MAX : 0.781
TARGET : 0.750
MIN : 0.719</v>
      </c>
    </row>
    <row r="87" spans="2:17" ht="41.4" x14ac:dyDescent="0.3">
      <c r="B87">
        <v>1</v>
      </c>
      <c r="C87" s="33">
        <v>1088</v>
      </c>
      <c r="D87" s="2">
        <v>1694</v>
      </c>
      <c r="E87" s="2" t="s">
        <v>6416</v>
      </c>
      <c r="F87" s="3" t="s">
        <v>14206</v>
      </c>
      <c r="H87" s="3" t="s">
        <v>391</v>
      </c>
      <c r="K87" s="2">
        <v>10</v>
      </c>
      <c r="L87" s="2">
        <v>1</v>
      </c>
      <c r="M87" s="3" t="s">
        <v>299</v>
      </c>
      <c r="N87" s="3" t="s">
        <v>392</v>
      </c>
      <c r="O87" s="3" t="s">
        <v>393</v>
      </c>
      <c r="P87" s="3" t="s">
        <v>394</v>
      </c>
      <c r="Q87" s="30" t="str">
        <f t="shared" si="1"/>
        <v>MAX : 1.966
TARGET : 1.936
MIN : 1.906</v>
      </c>
    </row>
    <row r="88" spans="2:17" ht="41.4" x14ac:dyDescent="0.3">
      <c r="B88">
        <v>0</v>
      </c>
      <c r="C88" s="33">
        <v>133</v>
      </c>
      <c r="D88" s="2">
        <v>1682</v>
      </c>
      <c r="E88" s="2" t="s">
        <v>6305</v>
      </c>
      <c r="F88" s="29" t="s">
        <v>14210</v>
      </c>
      <c r="H88" s="3" t="s">
        <v>181</v>
      </c>
      <c r="K88" s="2">
        <v>10</v>
      </c>
      <c r="L88" s="2">
        <v>3</v>
      </c>
      <c r="M88" s="3" t="s">
        <v>189</v>
      </c>
      <c r="N88" s="3" t="s">
        <v>24</v>
      </c>
      <c r="O88" s="3" t="s">
        <v>25</v>
      </c>
      <c r="Q88" s="30" t="str">
        <f t="shared" si="1"/>
        <v>MAX : 
TARGET : Yes (Pass)
MIN : No (Fail)</v>
      </c>
    </row>
    <row r="89" spans="2:17" ht="41.4" x14ac:dyDescent="0.3">
      <c r="B89">
        <v>1</v>
      </c>
      <c r="C89" s="33">
        <v>1088</v>
      </c>
      <c r="D89" s="2">
        <v>1694</v>
      </c>
      <c r="E89" s="2" t="s">
        <v>6416</v>
      </c>
      <c r="F89" s="3" t="s">
        <v>14206</v>
      </c>
      <c r="H89" s="3" t="s">
        <v>391</v>
      </c>
      <c r="K89" s="2">
        <v>10</v>
      </c>
      <c r="L89" s="2">
        <v>2</v>
      </c>
      <c r="M89" s="3" t="s">
        <v>395</v>
      </c>
      <c r="N89" s="3" t="s">
        <v>139</v>
      </c>
      <c r="O89" s="3" t="s">
        <v>396</v>
      </c>
      <c r="P89" s="3" t="s">
        <v>397</v>
      </c>
      <c r="Q89" s="30" t="str">
        <f t="shared" si="1"/>
        <v>MAX : 1.045
TARGET : 1.030
MIN : 1.000</v>
      </c>
    </row>
    <row r="90" spans="2:17" ht="41.4" x14ac:dyDescent="0.3">
      <c r="B90">
        <v>1</v>
      </c>
      <c r="C90" s="33">
        <v>1200</v>
      </c>
      <c r="D90" s="2">
        <v>1695</v>
      </c>
      <c r="E90" s="2" t="s">
        <v>6424</v>
      </c>
      <c r="F90" s="3" t="s">
        <v>14206</v>
      </c>
      <c r="G90" s="3" t="s">
        <v>236</v>
      </c>
      <c r="H90" s="3" t="s">
        <v>98</v>
      </c>
      <c r="K90" s="2">
        <v>10</v>
      </c>
      <c r="L90" s="2">
        <v>1</v>
      </c>
      <c r="M90" s="3" t="s">
        <v>74</v>
      </c>
      <c r="N90" s="3" t="s">
        <v>237</v>
      </c>
      <c r="O90" s="3" t="s">
        <v>238</v>
      </c>
      <c r="P90" s="3" t="s">
        <v>239</v>
      </c>
      <c r="Q90" s="30" t="str">
        <f t="shared" si="1"/>
        <v>MAX : 0.967
TARGET : 0.937
MIN : 0.907</v>
      </c>
    </row>
    <row r="91" spans="2:17" ht="41.4" x14ac:dyDescent="0.3">
      <c r="B91">
        <v>0</v>
      </c>
      <c r="C91" s="33">
        <v>1497</v>
      </c>
      <c r="D91" s="2">
        <v>1699</v>
      </c>
      <c r="E91" s="2" t="s">
        <v>6467</v>
      </c>
      <c r="F91" s="3" t="s">
        <v>14206</v>
      </c>
      <c r="H91" s="3" t="s">
        <v>168</v>
      </c>
      <c r="K91" s="2">
        <v>10</v>
      </c>
      <c r="L91" s="2">
        <v>7</v>
      </c>
      <c r="M91" s="3" t="s">
        <v>192</v>
      </c>
      <c r="N91" s="3" t="s">
        <v>24</v>
      </c>
      <c r="O91" s="3" t="s">
        <v>25</v>
      </c>
      <c r="Q91" s="30" t="str">
        <f t="shared" si="1"/>
        <v>MAX : 
TARGET : Yes (Pass)
MIN : No (Fail)</v>
      </c>
    </row>
    <row r="92" spans="2:17" ht="41.4" x14ac:dyDescent="0.3">
      <c r="B92">
        <v>1</v>
      </c>
      <c r="C92" s="33">
        <v>1200</v>
      </c>
      <c r="D92" s="2">
        <v>1695</v>
      </c>
      <c r="E92" s="2" t="s">
        <v>6424</v>
      </c>
      <c r="F92" s="3" t="s">
        <v>14206</v>
      </c>
      <c r="G92" s="3" t="s">
        <v>236</v>
      </c>
      <c r="H92" s="3" t="s">
        <v>98</v>
      </c>
      <c r="K92" s="2">
        <v>10</v>
      </c>
      <c r="L92" s="2">
        <v>4</v>
      </c>
      <c r="M92" s="3" t="s">
        <v>3615</v>
      </c>
      <c r="N92" s="3" t="s">
        <v>24</v>
      </c>
      <c r="O92" s="3" t="s">
        <v>25</v>
      </c>
      <c r="Q92" s="30" t="str">
        <f t="shared" si="1"/>
        <v>MAX : 
TARGET : Yes (Pass)
MIN : No (Fail)</v>
      </c>
    </row>
    <row r="93" spans="2:17" ht="41.4" x14ac:dyDescent="0.3">
      <c r="B93">
        <v>1</v>
      </c>
      <c r="C93" s="33">
        <v>1200</v>
      </c>
      <c r="D93" s="2">
        <v>1695</v>
      </c>
      <c r="E93" s="2" t="s">
        <v>6424</v>
      </c>
      <c r="F93" s="3" t="s">
        <v>14206</v>
      </c>
      <c r="G93" s="3" t="s">
        <v>236</v>
      </c>
      <c r="H93" s="3" t="s">
        <v>98</v>
      </c>
      <c r="K93" s="2">
        <v>10</v>
      </c>
      <c r="L93" s="2">
        <v>2</v>
      </c>
      <c r="M93" s="3" t="s">
        <v>240</v>
      </c>
      <c r="N93" s="3" t="s">
        <v>241</v>
      </c>
      <c r="O93" s="3" t="s">
        <v>242</v>
      </c>
      <c r="P93" s="3" t="s">
        <v>243</v>
      </c>
      <c r="Q93" s="30" t="str">
        <f t="shared" si="1"/>
        <v>MAX : 0.187
TARGET : 0.156
MIN : 0.125</v>
      </c>
    </row>
    <row r="94" spans="2:17" ht="41.4" x14ac:dyDescent="0.3">
      <c r="B94">
        <v>0</v>
      </c>
      <c r="C94" s="33">
        <v>1633</v>
      </c>
      <c r="D94" s="2">
        <v>1700</v>
      </c>
      <c r="E94" s="2" t="s">
        <v>6473</v>
      </c>
      <c r="F94" s="3" t="s">
        <v>14206</v>
      </c>
      <c r="H94" s="3" t="s">
        <v>193</v>
      </c>
      <c r="K94" s="2">
        <v>10</v>
      </c>
      <c r="L94" s="2">
        <v>3</v>
      </c>
      <c r="M94" s="3" t="s">
        <v>202</v>
      </c>
      <c r="N94" s="3" t="s">
        <v>203</v>
      </c>
      <c r="O94" s="3" t="s">
        <v>76</v>
      </c>
      <c r="P94" s="3" t="s">
        <v>204</v>
      </c>
      <c r="Q94" s="30" t="str">
        <f t="shared" si="1"/>
        <v>MAX : 2.63
TARGET : 2.50
MIN : 2.37</v>
      </c>
    </row>
    <row r="95" spans="2:17" ht="41.4" x14ac:dyDescent="0.3">
      <c r="B95">
        <v>0</v>
      </c>
      <c r="C95" s="33">
        <v>1633</v>
      </c>
      <c r="D95" s="2">
        <v>1700</v>
      </c>
      <c r="E95" s="2" t="s">
        <v>6473</v>
      </c>
      <c r="F95" s="3" t="s">
        <v>14206</v>
      </c>
      <c r="H95" s="3" t="s">
        <v>193</v>
      </c>
      <c r="K95" s="2">
        <v>10</v>
      </c>
      <c r="L95" s="2">
        <v>4</v>
      </c>
      <c r="M95" s="3" t="s">
        <v>205</v>
      </c>
      <c r="N95" s="3" t="s">
        <v>24</v>
      </c>
      <c r="O95" s="3" t="s">
        <v>25</v>
      </c>
      <c r="Q95" s="30" t="str">
        <f t="shared" si="1"/>
        <v>MAX : 
TARGET : Yes (Pass)
MIN : No (Fail)</v>
      </c>
    </row>
    <row r="96" spans="2:17" ht="41.4" x14ac:dyDescent="0.3">
      <c r="B96">
        <v>0</v>
      </c>
      <c r="C96" s="33">
        <v>1633</v>
      </c>
      <c r="D96" s="2">
        <v>1700</v>
      </c>
      <c r="E96" s="2" t="s">
        <v>6473</v>
      </c>
      <c r="F96" s="3" t="s">
        <v>14206</v>
      </c>
      <c r="H96" s="3" t="s">
        <v>193</v>
      </c>
      <c r="K96" s="2">
        <v>10</v>
      </c>
      <c r="L96" s="2">
        <v>5</v>
      </c>
      <c r="M96" s="3" t="s">
        <v>206</v>
      </c>
      <c r="N96" s="3" t="s">
        <v>24</v>
      </c>
      <c r="O96" s="3" t="s">
        <v>25</v>
      </c>
      <c r="Q96" s="30" t="str">
        <f t="shared" si="1"/>
        <v>MAX : 
TARGET : Yes (Pass)
MIN : No (Fail)</v>
      </c>
    </row>
    <row r="97" spans="2:17" ht="41.4" x14ac:dyDescent="0.3">
      <c r="B97">
        <v>0</v>
      </c>
      <c r="C97" s="33">
        <v>1633</v>
      </c>
      <c r="D97" s="2">
        <v>1700</v>
      </c>
      <c r="E97" s="2" t="s">
        <v>6473</v>
      </c>
      <c r="F97" s="3" t="s">
        <v>14206</v>
      </c>
      <c r="H97" s="3" t="s">
        <v>193</v>
      </c>
      <c r="K97" s="2">
        <v>10</v>
      </c>
      <c r="L97" s="2">
        <v>6</v>
      </c>
      <c r="M97" s="3" t="s">
        <v>207</v>
      </c>
      <c r="N97" s="3" t="s">
        <v>24</v>
      </c>
      <c r="O97" s="3" t="s">
        <v>25</v>
      </c>
      <c r="Q97" s="30" t="str">
        <f t="shared" si="1"/>
        <v>MAX : 
TARGET : Yes (Pass)
MIN : No (Fail)</v>
      </c>
    </row>
    <row r="98" spans="2:17" ht="41.4" x14ac:dyDescent="0.3">
      <c r="B98">
        <v>0</v>
      </c>
      <c r="C98" s="33">
        <v>1633</v>
      </c>
      <c r="D98" s="2">
        <v>1700</v>
      </c>
      <c r="E98" s="2" t="s">
        <v>6473</v>
      </c>
      <c r="F98" s="3" t="s">
        <v>14206</v>
      </c>
      <c r="H98" s="3" t="s">
        <v>193</v>
      </c>
      <c r="K98" s="2">
        <v>10</v>
      </c>
      <c r="L98" s="2">
        <v>7</v>
      </c>
      <c r="M98" s="3" t="s">
        <v>208</v>
      </c>
      <c r="N98" s="3" t="s">
        <v>24</v>
      </c>
      <c r="O98" s="3" t="s">
        <v>25</v>
      </c>
      <c r="Q98" s="30" t="str">
        <f t="shared" si="1"/>
        <v>MAX : 
TARGET : Yes (Pass)
MIN : No (Fail)</v>
      </c>
    </row>
    <row r="99" spans="2:17" ht="41.4" x14ac:dyDescent="0.3">
      <c r="B99">
        <v>0</v>
      </c>
      <c r="C99" s="33">
        <v>1633</v>
      </c>
      <c r="D99" s="2">
        <v>1700</v>
      </c>
      <c r="E99" s="2" t="s">
        <v>6473</v>
      </c>
      <c r="F99" s="3" t="s">
        <v>14206</v>
      </c>
      <c r="H99" s="3" t="s">
        <v>193</v>
      </c>
      <c r="K99" s="2">
        <v>10</v>
      </c>
      <c r="L99" s="2">
        <v>8</v>
      </c>
      <c r="M99" s="3" t="s">
        <v>209</v>
      </c>
      <c r="N99" s="3" t="s">
        <v>24</v>
      </c>
      <c r="O99" s="3" t="s">
        <v>25</v>
      </c>
      <c r="Q99" s="30" t="str">
        <f t="shared" si="1"/>
        <v>MAX : 
TARGET : Yes (Pass)
MIN : No (Fail)</v>
      </c>
    </row>
    <row r="100" spans="2:17" ht="41.4" x14ac:dyDescent="0.3">
      <c r="B100">
        <v>1</v>
      </c>
      <c r="C100" s="33">
        <v>1226</v>
      </c>
      <c r="D100" s="2">
        <v>883</v>
      </c>
      <c r="E100" s="2" t="s">
        <v>6432</v>
      </c>
      <c r="F100" s="3" t="s">
        <v>14206</v>
      </c>
      <c r="H100" s="3" t="s">
        <v>1903</v>
      </c>
      <c r="K100" s="2">
        <v>10</v>
      </c>
      <c r="L100" s="2">
        <v>1</v>
      </c>
      <c r="M100" s="3" t="s">
        <v>109</v>
      </c>
      <c r="N100" s="3" t="s">
        <v>488</v>
      </c>
      <c r="O100" s="3" t="s">
        <v>76</v>
      </c>
      <c r="P100" s="3" t="s">
        <v>489</v>
      </c>
      <c r="Q100" s="30" t="str">
        <f t="shared" si="1"/>
        <v>MAX : 2.56
TARGET : 2.50
MIN : 2.44</v>
      </c>
    </row>
    <row r="101" spans="2:17" ht="41.4" x14ac:dyDescent="0.3">
      <c r="B101">
        <v>1</v>
      </c>
      <c r="C101" s="33">
        <v>1226</v>
      </c>
      <c r="D101" s="2">
        <v>883</v>
      </c>
      <c r="E101" s="2" t="s">
        <v>6432</v>
      </c>
      <c r="F101" s="3" t="s">
        <v>14206</v>
      </c>
      <c r="H101" s="3" t="s">
        <v>1903</v>
      </c>
      <c r="K101" s="2">
        <v>10</v>
      </c>
      <c r="L101" s="2">
        <v>2</v>
      </c>
      <c r="M101" s="3" t="s">
        <v>467</v>
      </c>
      <c r="N101" s="3" t="s">
        <v>2286</v>
      </c>
      <c r="O101" s="3" t="s">
        <v>132</v>
      </c>
      <c r="P101" s="3" t="s">
        <v>2287</v>
      </c>
      <c r="Q101" s="30" t="str">
        <f t="shared" si="1"/>
        <v>MAX : 0.81
TARGET : 0.75
MIN : 0.69</v>
      </c>
    </row>
    <row r="102" spans="2:17" ht="41.4" x14ac:dyDescent="0.3">
      <c r="B102">
        <v>0</v>
      </c>
      <c r="C102" s="33">
        <v>2347</v>
      </c>
      <c r="D102" s="2">
        <v>891</v>
      </c>
      <c r="E102" s="2" t="s">
        <v>6591</v>
      </c>
      <c r="F102" s="29" t="s">
        <v>14211</v>
      </c>
      <c r="H102" s="3" t="s">
        <v>210</v>
      </c>
      <c r="K102" s="2">
        <v>10</v>
      </c>
      <c r="L102" s="2">
        <v>6</v>
      </c>
      <c r="M102" s="3" t="s">
        <v>219</v>
      </c>
      <c r="N102" s="3" t="s">
        <v>216</v>
      </c>
      <c r="O102" s="3" t="s">
        <v>217</v>
      </c>
      <c r="P102" s="3" t="s">
        <v>218</v>
      </c>
      <c r="Q102" s="30" t="str">
        <f t="shared" si="1"/>
        <v>MAX : 0.180
TARGET : 0.150
MIN : 0.120</v>
      </c>
    </row>
    <row r="103" spans="2:17" ht="41.4" x14ac:dyDescent="0.3">
      <c r="B103">
        <v>0</v>
      </c>
      <c r="C103" s="33">
        <v>2347</v>
      </c>
      <c r="D103" s="2">
        <v>891</v>
      </c>
      <c r="E103" s="2" t="s">
        <v>6591</v>
      </c>
      <c r="F103" s="29" t="s">
        <v>14211</v>
      </c>
      <c r="H103" s="3" t="s">
        <v>210</v>
      </c>
      <c r="K103" s="2">
        <v>10</v>
      </c>
      <c r="L103" s="2">
        <v>9</v>
      </c>
      <c r="M103" s="3" t="s">
        <v>220</v>
      </c>
      <c r="N103" s="3" t="s">
        <v>221</v>
      </c>
      <c r="O103" s="3" t="s">
        <v>222</v>
      </c>
      <c r="P103" s="3" t="s">
        <v>223</v>
      </c>
      <c r="Q103" s="30" t="str">
        <f t="shared" si="1"/>
        <v>MAX : 3.715
TARGET : 3.700
MIN : 3.685</v>
      </c>
    </row>
    <row r="104" spans="2:17" ht="41.4" x14ac:dyDescent="0.3">
      <c r="B104">
        <v>0</v>
      </c>
      <c r="C104" s="33">
        <v>2347</v>
      </c>
      <c r="D104" s="2">
        <v>891</v>
      </c>
      <c r="E104" s="2" t="s">
        <v>6591</v>
      </c>
      <c r="F104" s="29" t="s">
        <v>14211</v>
      </c>
      <c r="H104" s="3" t="s">
        <v>210</v>
      </c>
      <c r="K104" s="2">
        <v>10</v>
      </c>
      <c r="L104" s="2">
        <v>7</v>
      </c>
      <c r="M104" s="3" t="s">
        <v>224</v>
      </c>
      <c r="N104" s="3" t="s">
        <v>90</v>
      </c>
      <c r="O104" s="3" t="s">
        <v>91</v>
      </c>
      <c r="P104" s="3" t="s">
        <v>92</v>
      </c>
      <c r="Q104" s="30" t="str">
        <f t="shared" si="1"/>
        <v>MAX : 0.230
TARGET : 0.200
MIN : 0.170</v>
      </c>
    </row>
    <row r="105" spans="2:17" ht="41.4" x14ac:dyDescent="0.3">
      <c r="B105">
        <v>0</v>
      </c>
      <c r="C105" s="33">
        <v>2347</v>
      </c>
      <c r="D105" s="2">
        <v>891</v>
      </c>
      <c r="E105" s="2" t="s">
        <v>6591</v>
      </c>
      <c r="F105" s="29" t="s">
        <v>14211</v>
      </c>
      <c r="H105" s="3" t="s">
        <v>210</v>
      </c>
      <c r="K105" s="2">
        <v>10</v>
      </c>
      <c r="L105" s="2">
        <v>8</v>
      </c>
      <c r="M105" s="3" t="s">
        <v>225</v>
      </c>
      <c r="N105" s="3" t="s">
        <v>90</v>
      </c>
      <c r="O105" s="3" t="s">
        <v>91</v>
      </c>
      <c r="P105" s="3" t="s">
        <v>92</v>
      </c>
      <c r="Q105" s="30" t="str">
        <f t="shared" si="1"/>
        <v>MAX : 0.230
TARGET : 0.200
MIN : 0.170</v>
      </c>
    </row>
    <row r="106" spans="2:17" ht="41.4" x14ac:dyDescent="0.3">
      <c r="B106">
        <v>0</v>
      </c>
      <c r="C106" s="33">
        <v>2347</v>
      </c>
      <c r="D106" s="2">
        <v>891</v>
      </c>
      <c r="E106" s="2" t="s">
        <v>6591</v>
      </c>
      <c r="F106" s="29" t="s">
        <v>14211</v>
      </c>
      <c r="H106" s="3" t="s">
        <v>210</v>
      </c>
      <c r="K106" s="2">
        <v>10</v>
      </c>
      <c r="L106" s="2">
        <v>13</v>
      </c>
      <c r="M106" s="3" t="s">
        <v>226</v>
      </c>
      <c r="N106" s="3" t="s">
        <v>24</v>
      </c>
      <c r="O106" s="3" t="s">
        <v>25</v>
      </c>
      <c r="Q106" s="30" t="str">
        <f t="shared" si="1"/>
        <v>MAX : 
TARGET : Yes (Pass)
MIN : No (Fail)</v>
      </c>
    </row>
    <row r="107" spans="2:17" ht="41.4" x14ac:dyDescent="0.3">
      <c r="B107">
        <v>1</v>
      </c>
      <c r="C107" s="33">
        <v>1286</v>
      </c>
      <c r="D107" s="2">
        <v>1696</v>
      </c>
      <c r="E107" s="2" t="s">
        <v>6439</v>
      </c>
      <c r="F107" s="3" t="s">
        <v>14207</v>
      </c>
      <c r="H107" s="3" t="s">
        <v>2260</v>
      </c>
      <c r="K107" s="2">
        <v>10</v>
      </c>
      <c r="L107" s="2">
        <v>1</v>
      </c>
      <c r="M107" s="3" t="s">
        <v>174</v>
      </c>
      <c r="N107" s="3" t="s">
        <v>2261</v>
      </c>
      <c r="O107" s="3" t="s">
        <v>2262</v>
      </c>
      <c r="P107" s="3" t="s">
        <v>306</v>
      </c>
      <c r="Q107" s="30" t="str">
        <f t="shared" si="1"/>
        <v>MAX : 50
TARGET : 48
MIN : 46</v>
      </c>
    </row>
    <row r="108" spans="2:17" ht="41.4" x14ac:dyDescent="0.3">
      <c r="B108">
        <v>1</v>
      </c>
      <c r="C108" s="33">
        <v>1305</v>
      </c>
      <c r="D108" s="2">
        <v>884</v>
      </c>
      <c r="E108" s="2" t="s">
        <v>6446</v>
      </c>
      <c r="F108" s="3" t="s">
        <v>14207</v>
      </c>
      <c r="H108" s="3" t="s">
        <v>108</v>
      </c>
      <c r="K108" s="2">
        <v>10</v>
      </c>
      <c r="L108" s="2">
        <v>2</v>
      </c>
      <c r="M108" s="3" t="s">
        <v>113</v>
      </c>
      <c r="N108" s="3" t="s">
        <v>110</v>
      </c>
      <c r="O108" s="3" t="s">
        <v>111</v>
      </c>
      <c r="P108" s="3" t="s">
        <v>112</v>
      </c>
      <c r="Q108" s="30" t="str">
        <f t="shared" si="1"/>
        <v>MAX : 201
TARGET : 200
MIN : 199</v>
      </c>
    </row>
    <row r="109" spans="2:17" ht="41.4" x14ac:dyDescent="0.3">
      <c r="B109">
        <v>0</v>
      </c>
      <c r="C109" s="33">
        <v>1783</v>
      </c>
      <c r="D109" s="2">
        <v>1702</v>
      </c>
      <c r="E109" s="2" t="s">
        <v>6503</v>
      </c>
      <c r="F109" s="3" t="s">
        <v>14206</v>
      </c>
      <c r="H109" s="3" t="s">
        <v>172</v>
      </c>
      <c r="K109" s="2">
        <v>10</v>
      </c>
      <c r="L109" s="2">
        <v>4</v>
      </c>
      <c r="M109" s="3" t="s">
        <v>178</v>
      </c>
      <c r="N109" s="3" t="s">
        <v>24</v>
      </c>
      <c r="O109" s="3" t="s">
        <v>25</v>
      </c>
      <c r="Q109" s="30" t="str">
        <f t="shared" si="1"/>
        <v>MAX : 
TARGET : Yes (Pass)
MIN : No (Fail)</v>
      </c>
    </row>
    <row r="110" spans="2:17" ht="41.4" x14ac:dyDescent="0.3">
      <c r="B110">
        <v>0</v>
      </c>
      <c r="C110" s="33">
        <v>1783</v>
      </c>
      <c r="D110" s="2">
        <v>1702</v>
      </c>
      <c r="E110" s="2" t="s">
        <v>6503</v>
      </c>
      <c r="F110" s="3" t="s">
        <v>14206</v>
      </c>
      <c r="H110" s="3" t="s">
        <v>172</v>
      </c>
      <c r="K110" s="2">
        <v>10</v>
      </c>
      <c r="L110" s="2">
        <v>2</v>
      </c>
      <c r="M110" s="3" t="s">
        <v>228</v>
      </c>
      <c r="N110" s="3" t="s">
        <v>24</v>
      </c>
      <c r="O110" s="3" t="s">
        <v>25</v>
      </c>
      <c r="Q110" s="30" t="str">
        <f t="shared" si="1"/>
        <v>MAX : 
TARGET : Yes (Pass)
MIN : No (Fail)</v>
      </c>
    </row>
    <row r="111" spans="2:17" ht="41.4" x14ac:dyDescent="0.3">
      <c r="B111">
        <v>0</v>
      </c>
      <c r="C111" s="33">
        <v>1783</v>
      </c>
      <c r="D111" s="2">
        <v>1702</v>
      </c>
      <c r="E111" s="2" t="s">
        <v>6503</v>
      </c>
      <c r="F111" s="3" t="s">
        <v>14206</v>
      </c>
      <c r="H111" s="3" t="s">
        <v>172</v>
      </c>
      <c r="K111" s="2">
        <v>10</v>
      </c>
      <c r="L111" s="2">
        <v>5</v>
      </c>
      <c r="M111" s="3" t="s">
        <v>179</v>
      </c>
      <c r="N111" s="3" t="s">
        <v>24</v>
      </c>
      <c r="O111" s="3" t="s">
        <v>25</v>
      </c>
      <c r="Q111" s="30" t="str">
        <f t="shared" si="1"/>
        <v>MAX : 
TARGET : Yes (Pass)
MIN : No (Fail)</v>
      </c>
    </row>
    <row r="112" spans="2:17" ht="41.4" x14ac:dyDescent="0.3">
      <c r="B112">
        <v>1</v>
      </c>
      <c r="C112" s="33">
        <v>1305</v>
      </c>
      <c r="D112" s="2">
        <v>884</v>
      </c>
      <c r="E112" s="2" t="s">
        <v>6446</v>
      </c>
      <c r="F112" s="3" t="s">
        <v>14207</v>
      </c>
      <c r="H112" s="3" t="s">
        <v>108</v>
      </c>
      <c r="K112" s="2">
        <v>10</v>
      </c>
      <c r="L112" s="2">
        <v>1</v>
      </c>
      <c r="M112" s="3" t="s">
        <v>109</v>
      </c>
      <c r="N112" s="3" t="s">
        <v>110</v>
      </c>
      <c r="O112" s="3" t="s">
        <v>111</v>
      </c>
      <c r="P112" s="3" t="s">
        <v>112</v>
      </c>
      <c r="Q112" s="30" t="str">
        <f t="shared" si="1"/>
        <v>MAX : 201
TARGET : 200
MIN : 199</v>
      </c>
    </row>
    <row r="113" spans="2:17" ht="41.4" x14ac:dyDescent="0.3">
      <c r="B113">
        <v>1</v>
      </c>
      <c r="C113" s="33">
        <v>1311</v>
      </c>
      <c r="D113" s="2">
        <v>1697</v>
      </c>
      <c r="E113" s="2" t="s">
        <v>6453</v>
      </c>
      <c r="F113" s="3" t="s">
        <v>14206</v>
      </c>
      <c r="H113" s="3" t="s">
        <v>98</v>
      </c>
      <c r="K113" s="2">
        <v>10</v>
      </c>
      <c r="L113" s="2">
        <v>1</v>
      </c>
      <c r="M113" s="3" t="s">
        <v>3219</v>
      </c>
      <c r="N113" s="3" t="s">
        <v>100</v>
      </c>
      <c r="O113" s="3" t="s">
        <v>101</v>
      </c>
      <c r="P113" s="3" t="s">
        <v>21</v>
      </c>
      <c r="Q113" s="30" t="str">
        <f t="shared" si="1"/>
        <v>MAX : 0.781
TARGET : 0.625
MIN : 0.469</v>
      </c>
    </row>
    <row r="114" spans="2:17" ht="41.4" x14ac:dyDescent="0.3">
      <c r="B114">
        <v>0</v>
      </c>
      <c r="C114" s="33">
        <v>2190</v>
      </c>
      <c r="D114" s="2">
        <v>889</v>
      </c>
      <c r="E114" s="2" t="s">
        <v>6558</v>
      </c>
      <c r="F114" s="3" t="s">
        <v>14207</v>
      </c>
      <c r="G114" s="3" t="s">
        <v>229</v>
      </c>
      <c r="H114" s="3" t="s">
        <v>230</v>
      </c>
      <c r="K114" s="2">
        <v>10</v>
      </c>
      <c r="L114" s="2">
        <v>3</v>
      </c>
      <c r="M114" s="3" t="s">
        <v>121</v>
      </c>
      <c r="N114" s="3" t="s">
        <v>24</v>
      </c>
      <c r="O114" s="3" t="s">
        <v>25</v>
      </c>
      <c r="Q114" s="30" t="str">
        <f t="shared" si="1"/>
        <v>MAX : 
TARGET : Yes (Pass)
MIN : No (Fail)</v>
      </c>
    </row>
    <row r="115" spans="2:17" ht="41.4" x14ac:dyDescent="0.3">
      <c r="B115">
        <v>1</v>
      </c>
      <c r="C115" s="33">
        <v>1311</v>
      </c>
      <c r="D115" s="2">
        <v>1697</v>
      </c>
      <c r="E115" s="2" t="s">
        <v>6453</v>
      </c>
      <c r="F115" s="3" t="s">
        <v>14206</v>
      </c>
      <c r="H115" s="3" t="s">
        <v>98</v>
      </c>
      <c r="K115" s="2">
        <v>10</v>
      </c>
      <c r="L115" s="2">
        <v>2</v>
      </c>
      <c r="M115" s="3" t="s">
        <v>3220</v>
      </c>
      <c r="N115" s="3" t="s">
        <v>3221</v>
      </c>
      <c r="O115" s="3" t="s">
        <v>3222</v>
      </c>
      <c r="P115" s="3" t="s">
        <v>3223</v>
      </c>
      <c r="Q115" s="30" t="str">
        <f t="shared" si="1"/>
        <v>MAX : 0.0022
TARGET : 0.0020
MIN : 0.0018</v>
      </c>
    </row>
    <row r="116" spans="2:17" ht="41.4" x14ac:dyDescent="0.3">
      <c r="B116">
        <v>1</v>
      </c>
      <c r="C116" s="33">
        <v>1386</v>
      </c>
      <c r="D116" s="2">
        <v>1698</v>
      </c>
      <c r="E116" s="2" t="s">
        <v>6461</v>
      </c>
      <c r="F116" s="3" t="s">
        <v>14206</v>
      </c>
      <c r="H116" s="3" t="s">
        <v>30</v>
      </c>
      <c r="K116" s="2">
        <v>10</v>
      </c>
      <c r="L116" s="2">
        <v>1</v>
      </c>
      <c r="M116" s="3" t="s">
        <v>18</v>
      </c>
      <c r="N116" s="3" t="s">
        <v>377</v>
      </c>
      <c r="O116" s="3" t="s">
        <v>20</v>
      </c>
      <c r="P116" s="3" t="s">
        <v>21</v>
      </c>
      <c r="Q116" s="30" t="str">
        <f t="shared" si="1"/>
        <v>MAX : 0.781
TARGET : 0.750
MIN : 0.718</v>
      </c>
    </row>
    <row r="117" spans="2:17" ht="41.4" x14ac:dyDescent="0.3">
      <c r="B117">
        <v>0</v>
      </c>
      <c r="C117" s="33">
        <v>1200</v>
      </c>
      <c r="D117" s="2">
        <v>1695</v>
      </c>
      <c r="E117" s="2" t="s">
        <v>6424</v>
      </c>
      <c r="F117" s="3" t="s">
        <v>14206</v>
      </c>
      <c r="G117" s="3" t="s">
        <v>236</v>
      </c>
      <c r="H117" s="3" t="s">
        <v>98</v>
      </c>
      <c r="K117" s="2">
        <v>10</v>
      </c>
      <c r="L117" s="2">
        <v>3</v>
      </c>
      <c r="M117" s="3" t="s">
        <v>244</v>
      </c>
      <c r="N117" s="3" t="s">
        <v>24</v>
      </c>
      <c r="O117" s="3" t="s">
        <v>25</v>
      </c>
      <c r="Q117" s="30" t="str">
        <f t="shared" si="1"/>
        <v>MAX : 
TARGET : Yes (Pass)
MIN : No (Fail)</v>
      </c>
    </row>
    <row r="118" spans="2:17" ht="41.4" x14ac:dyDescent="0.3">
      <c r="B118">
        <v>1</v>
      </c>
      <c r="C118" s="33">
        <v>1386</v>
      </c>
      <c r="D118" s="2">
        <v>1698</v>
      </c>
      <c r="E118" s="2" t="s">
        <v>6461</v>
      </c>
      <c r="F118" s="3" t="s">
        <v>14206</v>
      </c>
      <c r="H118" s="3" t="s">
        <v>30</v>
      </c>
      <c r="K118" s="2">
        <v>10</v>
      </c>
      <c r="L118" s="2">
        <v>2</v>
      </c>
      <c r="M118" s="3" t="s">
        <v>70</v>
      </c>
      <c r="N118" s="3" t="s">
        <v>377</v>
      </c>
      <c r="O118" s="3" t="s">
        <v>20</v>
      </c>
      <c r="P118" s="3" t="s">
        <v>21</v>
      </c>
      <c r="Q118" s="30" t="str">
        <f t="shared" si="1"/>
        <v>MAX : 0.781
TARGET : 0.750
MIN : 0.718</v>
      </c>
    </row>
    <row r="119" spans="2:17" ht="41.4" x14ac:dyDescent="0.3">
      <c r="B119">
        <v>1</v>
      </c>
      <c r="C119" s="33">
        <v>1497</v>
      </c>
      <c r="D119" s="2">
        <v>1699</v>
      </c>
      <c r="E119" s="2" t="s">
        <v>6467</v>
      </c>
      <c r="F119" s="3" t="s">
        <v>14206</v>
      </c>
      <c r="H119" s="3" t="s">
        <v>168</v>
      </c>
      <c r="K119" s="2">
        <v>10</v>
      </c>
      <c r="L119" s="2">
        <v>3</v>
      </c>
      <c r="M119" s="3" t="s">
        <v>170</v>
      </c>
      <c r="N119" s="3" t="s">
        <v>24</v>
      </c>
      <c r="O119" s="3" t="s">
        <v>25</v>
      </c>
      <c r="Q119" s="30" t="str">
        <f t="shared" si="1"/>
        <v>MAX : 
TARGET : Yes (Pass)
MIN : No (Fail)</v>
      </c>
    </row>
    <row r="120" spans="2:17" ht="41.4" x14ac:dyDescent="0.3">
      <c r="B120">
        <v>0</v>
      </c>
      <c r="C120" s="33">
        <v>286</v>
      </c>
      <c r="D120" s="2">
        <v>881</v>
      </c>
      <c r="E120" s="2" t="s">
        <v>6348</v>
      </c>
      <c r="F120" s="3" t="s">
        <v>14206</v>
      </c>
      <c r="H120" s="3" t="s">
        <v>73</v>
      </c>
      <c r="K120" s="2">
        <v>10</v>
      </c>
      <c r="L120" s="2">
        <v>3</v>
      </c>
      <c r="M120" s="3" t="s">
        <v>78</v>
      </c>
      <c r="N120" s="3" t="s">
        <v>24</v>
      </c>
      <c r="O120" s="3" t="s">
        <v>25</v>
      </c>
      <c r="Q120" s="30" t="str">
        <f t="shared" si="1"/>
        <v>MAX : 
TARGET : Yes (Pass)
MIN : No (Fail)</v>
      </c>
    </row>
    <row r="121" spans="2:17" ht="41.4" x14ac:dyDescent="0.3">
      <c r="B121">
        <v>1</v>
      </c>
      <c r="C121" s="33">
        <v>1497</v>
      </c>
      <c r="D121" s="2">
        <v>1699</v>
      </c>
      <c r="E121" s="2" t="s">
        <v>6467</v>
      </c>
      <c r="F121" s="3" t="s">
        <v>14206</v>
      </c>
      <c r="H121" s="3" t="s">
        <v>168</v>
      </c>
      <c r="K121" s="2">
        <v>10</v>
      </c>
      <c r="L121" s="2">
        <v>6</v>
      </c>
      <c r="M121" s="3" t="s">
        <v>191</v>
      </c>
      <c r="N121" s="3" t="s">
        <v>24</v>
      </c>
      <c r="O121" s="3" t="s">
        <v>25</v>
      </c>
      <c r="Q121" s="30" t="str">
        <f t="shared" si="1"/>
        <v>MAX : 
TARGET : Yes (Pass)
MIN : No (Fail)</v>
      </c>
    </row>
    <row r="122" spans="2:17" ht="41.4" x14ac:dyDescent="0.3">
      <c r="B122">
        <v>1</v>
      </c>
      <c r="C122" s="33">
        <v>1497</v>
      </c>
      <c r="D122" s="2">
        <v>1699</v>
      </c>
      <c r="E122" s="2" t="s">
        <v>6467</v>
      </c>
      <c r="F122" s="3" t="s">
        <v>14206</v>
      </c>
      <c r="H122" s="3" t="s">
        <v>168</v>
      </c>
      <c r="K122" s="2">
        <v>10</v>
      </c>
      <c r="L122" s="2">
        <v>2</v>
      </c>
      <c r="M122" s="3" t="s">
        <v>169</v>
      </c>
      <c r="N122" s="3" t="s">
        <v>24</v>
      </c>
      <c r="O122" s="3" t="s">
        <v>25</v>
      </c>
      <c r="Q122" s="30" t="str">
        <f t="shared" si="1"/>
        <v>MAX : 
TARGET : Yes (Pass)
MIN : No (Fail)</v>
      </c>
    </row>
    <row r="123" spans="2:17" ht="41.4" x14ac:dyDescent="0.3">
      <c r="B123">
        <v>0</v>
      </c>
      <c r="C123" s="33">
        <v>2191</v>
      </c>
      <c r="D123" s="2">
        <v>1708</v>
      </c>
      <c r="E123" s="2" t="s">
        <v>6565</v>
      </c>
      <c r="F123" s="3" t="s">
        <v>14207</v>
      </c>
      <c r="H123" s="3" t="s">
        <v>50</v>
      </c>
      <c r="K123" s="2">
        <v>10</v>
      </c>
      <c r="L123" s="2">
        <v>3</v>
      </c>
      <c r="M123" s="3" t="s">
        <v>259</v>
      </c>
      <c r="N123" s="3" t="s">
        <v>24</v>
      </c>
      <c r="O123" s="3" t="s">
        <v>25</v>
      </c>
      <c r="Q123" s="30" t="str">
        <f t="shared" si="1"/>
        <v>MAX : 
TARGET : Yes (Pass)
MIN : No (Fail)</v>
      </c>
    </row>
    <row r="124" spans="2:17" ht="41.4" x14ac:dyDescent="0.3">
      <c r="B124">
        <v>0</v>
      </c>
      <c r="C124" s="33">
        <v>2191</v>
      </c>
      <c r="D124" s="2">
        <v>1708</v>
      </c>
      <c r="E124" s="2" t="s">
        <v>6565</v>
      </c>
      <c r="F124" s="3" t="s">
        <v>14207</v>
      </c>
      <c r="H124" s="3" t="s">
        <v>50</v>
      </c>
      <c r="K124" s="2">
        <v>10</v>
      </c>
      <c r="L124" s="2">
        <v>4</v>
      </c>
      <c r="M124" s="3" t="s">
        <v>260</v>
      </c>
      <c r="N124" s="3" t="s">
        <v>24</v>
      </c>
      <c r="O124" s="3" t="s">
        <v>25</v>
      </c>
      <c r="Q124" s="30" t="str">
        <f t="shared" si="1"/>
        <v>MAX : 
TARGET : Yes (Pass)
MIN : No (Fail)</v>
      </c>
    </row>
    <row r="125" spans="2:17" ht="41.4" x14ac:dyDescent="0.3">
      <c r="B125">
        <v>1</v>
      </c>
      <c r="C125" s="33">
        <v>1497</v>
      </c>
      <c r="D125" s="2">
        <v>1699</v>
      </c>
      <c r="E125" s="2" t="s">
        <v>6467</v>
      </c>
      <c r="F125" s="3" t="s">
        <v>14206</v>
      </c>
      <c r="H125" s="3" t="s">
        <v>168</v>
      </c>
      <c r="K125" s="2">
        <v>10</v>
      </c>
      <c r="L125" s="2">
        <v>5</v>
      </c>
      <c r="M125" s="3" t="s">
        <v>190</v>
      </c>
      <c r="N125" s="3" t="s">
        <v>24</v>
      </c>
      <c r="O125" s="3" t="s">
        <v>25</v>
      </c>
      <c r="Q125" s="30" t="str">
        <f t="shared" si="1"/>
        <v>MAX : 
TARGET : Yes (Pass)
MIN : No (Fail)</v>
      </c>
    </row>
    <row r="126" spans="2:17" ht="41.4" x14ac:dyDescent="0.3">
      <c r="B126">
        <v>1</v>
      </c>
      <c r="C126" s="33">
        <v>1497</v>
      </c>
      <c r="D126" s="2">
        <v>1699</v>
      </c>
      <c r="E126" s="2" t="s">
        <v>6467</v>
      </c>
      <c r="F126" s="3" t="s">
        <v>14206</v>
      </c>
      <c r="H126" s="3" t="s">
        <v>168</v>
      </c>
      <c r="K126" s="2">
        <v>10</v>
      </c>
      <c r="L126" s="2">
        <v>1</v>
      </c>
      <c r="M126" s="3" t="s">
        <v>811</v>
      </c>
      <c r="N126" s="3" t="s">
        <v>729</v>
      </c>
      <c r="O126" s="3" t="s">
        <v>25</v>
      </c>
      <c r="Q126" s="30" t="str">
        <f t="shared" si="1"/>
        <v>MAX : 
TARGET : Yes (Pass)
MIN : No (Fail</v>
      </c>
    </row>
    <row r="127" spans="2:17" ht="41.4" x14ac:dyDescent="0.3">
      <c r="B127">
        <v>0</v>
      </c>
      <c r="C127" s="33">
        <v>2377</v>
      </c>
      <c r="D127" s="2">
        <v>1711</v>
      </c>
      <c r="E127" s="2" t="s">
        <v>6599</v>
      </c>
      <c r="F127" s="3" t="s">
        <v>14206</v>
      </c>
      <c r="H127" s="3" t="s">
        <v>261</v>
      </c>
      <c r="K127" s="2">
        <v>10</v>
      </c>
      <c r="L127" s="2">
        <v>5</v>
      </c>
      <c r="M127" s="3" t="s">
        <v>266</v>
      </c>
      <c r="N127" s="3" t="s">
        <v>13</v>
      </c>
      <c r="O127" s="3" t="s">
        <v>14</v>
      </c>
      <c r="Q127" s="30" t="str">
        <f t="shared" si="1"/>
        <v>MAX : 
TARGET : Yes(Pass)
MIN : No(Fail)</v>
      </c>
    </row>
    <row r="128" spans="2:17" ht="41.4" x14ac:dyDescent="0.3">
      <c r="B128">
        <v>0</v>
      </c>
      <c r="C128" s="33">
        <v>2377</v>
      </c>
      <c r="D128" s="2">
        <v>1711</v>
      </c>
      <c r="E128" s="2" t="s">
        <v>6599</v>
      </c>
      <c r="F128" s="3" t="s">
        <v>14206</v>
      </c>
      <c r="H128" s="3" t="s">
        <v>261</v>
      </c>
      <c r="K128" s="2">
        <v>10</v>
      </c>
      <c r="L128" s="2">
        <v>3</v>
      </c>
      <c r="M128" s="3" t="s">
        <v>267</v>
      </c>
      <c r="N128" s="3" t="s">
        <v>13</v>
      </c>
      <c r="O128" s="3" t="s">
        <v>14</v>
      </c>
      <c r="Q128" s="30" t="str">
        <f t="shared" si="1"/>
        <v>MAX : 
TARGET : Yes(Pass)
MIN : No(Fail)</v>
      </c>
    </row>
    <row r="129" spans="2:17" ht="41.4" x14ac:dyDescent="0.3">
      <c r="B129">
        <v>0</v>
      </c>
      <c r="C129" s="33">
        <v>2377</v>
      </c>
      <c r="D129" s="2">
        <v>1711</v>
      </c>
      <c r="E129" s="2" t="s">
        <v>6599</v>
      </c>
      <c r="F129" s="3" t="s">
        <v>14206</v>
      </c>
      <c r="H129" s="3" t="s">
        <v>261</v>
      </c>
      <c r="K129" s="2">
        <v>10</v>
      </c>
      <c r="L129" s="2">
        <v>4</v>
      </c>
      <c r="M129" s="3" t="s">
        <v>268</v>
      </c>
      <c r="N129" s="3" t="s">
        <v>13</v>
      </c>
      <c r="O129" s="3" t="s">
        <v>14</v>
      </c>
      <c r="Q129" s="30" t="str">
        <f t="shared" si="1"/>
        <v>MAX : 
TARGET : Yes(Pass)
MIN : No(Fail)</v>
      </c>
    </row>
    <row r="130" spans="2:17" ht="41.4" x14ac:dyDescent="0.3">
      <c r="B130">
        <v>1</v>
      </c>
      <c r="C130" s="33">
        <v>1633</v>
      </c>
      <c r="D130" s="2">
        <v>1700</v>
      </c>
      <c r="E130" s="2" t="s">
        <v>6473</v>
      </c>
      <c r="F130" s="3" t="s">
        <v>14206</v>
      </c>
      <c r="H130" s="3" t="s">
        <v>193</v>
      </c>
      <c r="K130" s="2">
        <v>10</v>
      </c>
      <c r="L130" s="2">
        <v>2</v>
      </c>
      <c r="M130" s="3" t="s">
        <v>198</v>
      </c>
      <c r="N130" s="3" t="s">
        <v>199</v>
      </c>
      <c r="O130" s="3" t="s">
        <v>200</v>
      </c>
      <c r="P130" s="3" t="s">
        <v>201</v>
      </c>
      <c r="Q130" s="30" t="str">
        <f t="shared" ref="Q130:Q193" si="2">"MAX : " &amp; P130 &amp; CHAR(10) &amp; "TARGET : " &amp; O130 &amp; CHAR(10) &amp; "MIN : " &amp; N130</f>
        <v>MAX : 5.75
TARGET : 5.50
MIN : 5.25</v>
      </c>
    </row>
    <row r="131" spans="2:17" ht="41.4" x14ac:dyDescent="0.3">
      <c r="B131">
        <v>1</v>
      </c>
      <c r="C131" s="33">
        <v>1633</v>
      </c>
      <c r="D131" s="2">
        <v>1700</v>
      </c>
      <c r="E131" s="2" t="s">
        <v>6473</v>
      </c>
      <c r="F131" s="3" t="s">
        <v>14206</v>
      </c>
      <c r="H131" s="3" t="s">
        <v>193</v>
      </c>
      <c r="K131" s="2">
        <v>10</v>
      </c>
      <c r="L131" s="2">
        <v>1</v>
      </c>
      <c r="M131" s="3" t="s">
        <v>194</v>
      </c>
      <c r="N131" s="3" t="s">
        <v>195</v>
      </c>
      <c r="O131" s="3" t="s">
        <v>196</v>
      </c>
      <c r="P131" s="3" t="s">
        <v>197</v>
      </c>
      <c r="Q131" s="30" t="str">
        <f t="shared" si="2"/>
        <v>MAX : 13.25
TARGET : 13.00
MIN : 12.75</v>
      </c>
    </row>
    <row r="132" spans="2:17" ht="41.4" x14ac:dyDescent="0.3">
      <c r="B132">
        <v>0</v>
      </c>
      <c r="C132" s="33">
        <v>2387</v>
      </c>
      <c r="D132" s="2">
        <v>1712</v>
      </c>
      <c r="E132" s="2" t="s">
        <v>6607</v>
      </c>
      <c r="F132" s="3" t="s">
        <v>14206</v>
      </c>
      <c r="H132" s="3" t="s">
        <v>269</v>
      </c>
      <c r="K132" s="2">
        <v>30</v>
      </c>
      <c r="L132" s="2">
        <v>3</v>
      </c>
      <c r="M132" s="3" t="s">
        <v>278</v>
      </c>
      <c r="N132" s="3" t="s">
        <v>275</v>
      </c>
      <c r="O132" s="3" t="s">
        <v>276</v>
      </c>
      <c r="P132" s="3" t="s">
        <v>277</v>
      </c>
      <c r="Q132" s="30" t="str">
        <f t="shared" si="2"/>
        <v>MAX : 0.406
TARGET : 0.375
MIN : 0.343</v>
      </c>
    </row>
    <row r="133" spans="2:17" ht="41.4" x14ac:dyDescent="0.3">
      <c r="B133">
        <v>0</v>
      </c>
      <c r="C133" s="33">
        <v>2387</v>
      </c>
      <c r="D133" s="2">
        <v>1712</v>
      </c>
      <c r="E133" s="2" t="s">
        <v>6607</v>
      </c>
      <c r="F133" s="3" t="s">
        <v>14206</v>
      </c>
      <c r="H133" s="3" t="s">
        <v>269</v>
      </c>
      <c r="K133" s="2">
        <v>30</v>
      </c>
      <c r="L133" s="2">
        <v>4</v>
      </c>
      <c r="M133" s="3" t="s">
        <v>279</v>
      </c>
      <c r="N133" s="3" t="s">
        <v>280</v>
      </c>
      <c r="O133" s="3" t="s">
        <v>281</v>
      </c>
      <c r="P133" s="3" t="s">
        <v>282</v>
      </c>
      <c r="Q133" s="30" t="str">
        <f t="shared" si="2"/>
        <v>MAX : 0.281
TARGET : 0.250
MIN : 0.219</v>
      </c>
    </row>
    <row r="134" spans="2:17" ht="41.4" x14ac:dyDescent="0.3">
      <c r="B134">
        <v>0</v>
      </c>
      <c r="C134" s="33">
        <v>2387</v>
      </c>
      <c r="D134" s="2">
        <v>1712</v>
      </c>
      <c r="E134" s="2" t="s">
        <v>6607</v>
      </c>
      <c r="F134" s="3" t="s">
        <v>14206</v>
      </c>
      <c r="H134" s="3" t="s">
        <v>269</v>
      </c>
      <c r="K134" s="2">
        <v>30</v>
      </c>
      <c r="L134" s="2">
        <v>6</v>
      </c>
      <c r="M134" s="3" t="s">
        <v>283</v>
      </c>
      <c r="N134" s="3" t="s">
        <v>242</v>
      </c>
      <c r="O134" s="3" t="s">
        <v>284</v>
      </c>
      <c r="P134" s="3" t="s">
        <v>280</v>
      </c>
      <c r="Q134" s="30" t="str">
        <f t="shared" si="2"/>
        <v>MAX : 0.219
TARGET : 0.188
MIN : 0.156</v>
      </c>
    </row>
    <row r="135" spans="2:17" ht="41.4" x14ac:dyDescent="0.3">
      <c r="B135">
        <v>0</v>
      </c>
      <c r="C135" s="33">
        <v>2387</v>
      </c>
      <c r="D135" s="2">
        <v>1712</v>
      </c>
      <c r="E135" s="2" t="s">
        <v>6607</v>
      </c>
      <c r="F135" s="3" t="s">
        <v>14206</v>
      </c>
      <c r="H135" s="3" t="s">
        <v>269</v>
      </c>
      <c r="K135" s="2">
        <v>30</v>
      </c>
      <c r="L135" s="2">
        <v>5</v>
      </c>
      <c r="M135" s="3" t="s">
        <v>285</v>
      </c>
      <c r="N135" s="3" t="s">
        <v>280</v>
      </c>
      <c r="O135" s="3" t="s">
        <v>281</v>
      </c>
      <c r="P135" s="3" t="s">
        <v>282</v>
      </c>
      <c r="Q135" s="30" t="str">
        <f t="shared" si="2"/>
        <v>MAX : 0.281
TARGET : 0.250
MIN : 0.219</v>
      </c>
    </row>
    <row r="136" spans="2:17" ht="41.4" x14ac:dyDescent="0.3">
      <c r="B136">
        <v>0</v>
      </c>
      <c r="C136" s="33">
        <v>2387</v>
      </c>
      <c r="D136" s="2">
        <v>1712</v>
      </c>
      <c r="E136" s="2" t="s">
        <v>6607</v>
      </c>
      <c r="F136" s="3" t="s">
        <v>14206</v>
      </c>
      <c r="H136" s="3" t="s">
        <v>269</v>
      </c>
      <c r="K136" s="2">
        <v>30</v>
      </c>
      <c r="L136" s="2">
        <v>7</v>
      </c>
      <c r="M136" s="3" t="s">
        <v>286</v>
      </c>
      <c r="N136" s="3" t="s">
        <v>13</v>
      </c>
      <c r="O136" s="3" t="s">
        <v>14</v>
      </c>
      <c r="Q136" s="30" t="str">
        <f t="shared" si="2"/>
        <v>MAX : 
TARGET : Yes(Pass)
MIN : No(Fail)</v>
      </c>
    </row>
    <row r="137" spans="2:17" ht="41.4" x14ac:dyDescent="0.3">
      <c r="B137">
        <v>0</v>
      </c>
      <c r="C137" s="33">
        <v>2387</v>
      </c>
      <c r="D137" s="2">
        <v>1712</v>
      </c>
      <c r="E137" s="2" t="s">
        <v>6607</v>
      </c>
      <c r="F137" s="3" t="s">
        <v>14206</v>
      </c>
      <c r="H137" s="3" t="s">
        <v>269</v>
      </c>
      <c r="K137" s="2">
        <v>20</v>
      </c>
      <c r="L137" s="2">
        <v>2</v>
      </c>
      <c r="M137" s="3" t="s">
        <v>287</v>
      </c>
      <c r="N137" s="3" t="s">
        <v>13</v>
      </c>
      <c r="O137" s="3" t="s">
        <v>14</v>
      </c>
      <c r="Q137" s="30" t="str">
        <f t="shared" si="2"/>
        <v>MAX : 
TARGET : Yes(Pass)
MIN : No(Fail)</v>
      </c>
    </row>
    <row r="138" spans="2:17" ht="41.4" x14ac:dyDescent="0.3">
      <c r="B138">
        <v>0</v>
      </c>
      <c r="C138" s="33">
        <v>2387</v>
      </c>
      <c r="D138" s="2">
        <v>1712</v>
      </c>
      <c r="E138" s="2" t="s">
        <v>6607</v>
      </c>
      <c r="F138" s="3" t="s">
        <v>14206</v>
      </c>
      <c r="H138" s="3" t="s">
        <v>269</v>
      </c>
      <c r="K138" s="2">
        <v>20</v>
      </c>
      <c r="L138" s="2">
        <v>1</v>
      </c>
      <c r="M138" s="3" t="s">
        <v>288</v>
      </c>
      <c r="N138" s="3" t="s">
        <v>13</v>
      </c>
      <c r="O138" s="3" t="s">
        <v>14</v>
      </c>
      <c r="Q138" s="30" t="str">
        <f t="shared" si="2"/>
        <v>MAX : 
TARGET : Yes(Pass)
MIN : No(Fail)</v>
      </c>
    </row>
    <row r="139" spans="2:17" ht="41.4" x14ac:dyDescent="0.3">
      <c r="B139">
        <v>1</v>
      </c>
      <c r="C139" s="33">
        <v>1633</v>
      </c>
      <c r="D139" s="2">
        <v>1700</v>
      </c>
      <c r="E139" s="2" t="s">
        <v>6473</v>
      </c>
      <c r="F139" s="3" t="s">
        <v>14206</v>
      </c>
      <c r="H139" s="3" t="s">
        <v>193</v>
      </c>
      <c r="K139" s="2">
        <v>10</v>
      </c>
      <c r="L139" s="2">
        <v>9</v>
      </c>
      <c r="M139" s="3" t="s">
        <v>1606</v>
      </c>
      <c r="N139" s="3" t="s">
        <v>24</v>
      </c>
      <c r="O139" s="3" t="s">
        <v>25</v>
      </c>
      <c r="Q139" s="30" t="str">
        <f t="shared" si="2"/>
        <v>MAX : 
TARGET : Yes (Pass)
MIN : No (Fail)</v>
      </c>
    </row>
    <row r="140" spans="2:17" ht="41.4" x14ac:dyDescent="0.3">
      <c r="B140">
        <v>1</v>
      </c>
      <c r="C140" s="33">
        <v>1633</v>
      </c>
      <c r="D140" s="2">
        <v>1700</v>
      </c>
      <c r="E140" s="2" t="s">
        <v>6473</v>
      </c>
      <c r="F140" s="3" t="s">
        <v>14206</v>
      </c>
      <c r="H140" s="3" t="s">
        <v>193</v>
      </c>
      <c r="K140" s="2">
        <v>10</v>
      </c>
      <c r="L140" s="2">
        <v>10</v>
      </c>
      <c r="M140" s="3" t="s">
        <v>2964</v>
      </c>
      <c r="N140" s="3" t="s">
        <v>24</v>
      </c>
      <c r="O140" s="3" t="s">
        <v>25</v>
      </c>
      <c r="Q140" s="30" t="str">
        <f t="shared" si="2"/>
        <v>MAX : 
TARGET : Yes (Pass)
MIN : No (Fail)</v>
      </c>
    </row>
    <row r="141" spans="2:17" ht="41.4" x14ac:dyDescent="0.3">
      <c r="B141">
        <v>0</v>
      </c>
      <c r="C141" s="33">
        <v>2413</v>
      </c>
      <c r="D141" s="2">
        <v>1713</v>
      </c>
      <c r="E141" s="2" t="s">
        <v>6614</v>
      </c>
      <c r="F141" s="3" t="s">
        <v>14206</v>
      </c>
      <c r="H141" s="3" t="s">
        <v>289</v>
      </c>
      <c r="K141" s="2">
        <v>10</v>
      </c>
      <c r="L141" s="2">
        <v>3</v>
      </c>
      <c r="M141" s="3" t="s">
        <v>296</v>
      </c>
      <c r="N141" s="3" t="s">
        <v>13</v>
      </c>
      <c r="O141" s="3" t="s">
        <v>14</v>
      </c>
      <c r="Q141" s="30" t="str">
        <f t="shared" si="2"/>
        <v>MAX : 
TARGET : Yes(Pass)
MIN : No(Fail)</v>
      </c>
    </row>
    <row r="142" spans="2:17" ht="41.4" x14ac:dyDescent="0.3">
      <c r="B142">
        <v>0</v>
      </c>
      <c r="C142" s="33">
        <v>2413</v>
      </c>
      <c r="D142" s="2">
        <v>1713</v>
      </c>
      <c r="E142" s="2" t="s">
        <v>6614</v>
      </c>
      <c r="F142" s="3" t="s">
        <v>14206</v>
      </c>
      <c r="H142" s="3" t="s">
        <v>289</v>
      </c>
      <c r="K142" s="2">
        <v>10</v>
      </c>
      <c r="L142" s="2">
        <v>4</v>
      </c>
      <c r="M142" s="3" t="s">
        <v>297</v>
      </c>
      <c r="N142" s="3" t="s">
        <v>13</v>
      </c>
      <c r="O142" s="3" t="s">
        <v>14</v>
      </c>
      <c r="Q142" s="30" t="str">
        <f t="shared" si="2"/>
        <v>MAX : 
TARGET : Yes(Pass)
MIN : No(Fail)</v>
      </c>
    </row>
    <row r="143" spans="2:17" ht="41.4" x14ac:dyDescent="0.3">
      <c r="B143">
        <v>0</v>
      </c>
      <c r="C143" s="33">
        <v>2413</v>
      </c>
      <c r="D143" s="2">
        <v>1713</v>
      </c>
      <c r="E143" s="2" t="s">
        <v>6614</v>
      </c>
      <c r="F143" s="3" t="s">
        <v>14206</v>
      </c>
      <c r="H143" s="3" t="s">
        <v>289</v>
      </c>
      <c r="K143" s="2">
        <v>10</v>
      </c>
      <c r="L143" s="2">
        <v>5</v>
      </c>
      <c r="M143" s="3" t="s">
        <v>298</v>
      </c>
      <c r="N143" s="3" t="s">
        <v>13</v>
      </c>
      <c r="O143" s="3" t="s">
        <v>14</v>
      </c>
      <c r="Q143" s="30" t="str">
        <f t="shared" si="2"/>
        <v>MAX : 
TARGET : Yes(Pass)
MIN : No(Fail)</v>
      </c>
    </row>
    <row r="144" spans="2:17" ht="41.4" x14ac:dyDescent="0.3">
      <c r="B144">
        <v>1</v>
      </c>
      <c r="C144" s="33">
        <v>1633</v>
      </c>
      <c r="D144" s="2">
        <v>1700</v>
      </c>
      <c r="E144" s="2" t="s">
        <v>6473</v>
      </c>
      <c r="F144" s="3" t="s">
        <v>14206</v>
      </c>
      <c r="H144" s="3" t="s">
        <v>193</v>
      </c>
      <c r="K144" s="2">
        <v>10</v>
      </c>
      <c r="L144" s="2">
        <v>11</v>
      </c>
      <c r="M144" s="3" t="s">
        <v>3161</v>
      </c>
      <c r="N144" s="3" t="s">
        <v>24</v>
      </c>
      <c r="O144" s="3" t="s">
        <v>25</v>
      </c>
      <c r="Q144" s="30" t="str">
        <f t="shared" si="2"/>
        <v>MAX : 
TARGET : Yes (Pass)
MIN : No (Fail)</v>
      </c>
    </row>
    <row r="145" spans="2:18" ht="41.4" x14ac:dyDescent="0.3">
      <c r="B145">
        <v>1</v>
      </c>
      <c r="C145" s="33">
        <v>1633</v>
      </c>
      <c r="D145" s="2">
        <v>1700</v>
      </c>
      <c r="E145" s="2" t="s">
        <v>6473</v>
      </c>
      <c r="F145" s="3" t="s">
        <v>14206</v>
      </c>
      <c r="H145" s="3" t="s">
        <v>193</v>
      </c>
      <c r="K145" s="2">
        <v>10</v>
      </c>
      <c r="L145" s="2">
        <v>12</v>
      </c>
      <c r="M145" s="3" t="s">
        <v>5109</v>
      </c>
      <c r="N145" s="3" t="s">
        <v>24</v>
      </c>
      <c r="O145" s="3" t="s">
        <v>25</v>
      </c>
      <c r="Q145" s="30" t="str">
        <f t="shared" si="2"/>
        <v>MAX : 
TARGET : Yes (Pass)
MIN : No (Fail)</v>
      </c>
    </row>
    <row r="146" spans="2:18" ht="41.4" x14ac:dyDescent="0.3">
      <c r="B146">
        <v>0</v>
      </c>
      <c r="C146" s="33">
        <v>272</v>
      </c>
      <c r="D146" s="2">
        <v>1683</v>
      </c>
      <c r="E146" s="2" t="s">
        <v>6327</v>
      </c>
      <c r="F146" s="3" t="s">
        <v>14206</v>
      </c>
      <c r="H146" s="3" t="s">
        <v>98</v>
      </c>
      <c r="K146" s="2">
        <v>10</v>
      </c>
      <c r="L146" s="2">
        <v>3</v>
      </c>
      <c r="M146" s="3" t="s">
        <v>304</v>
      </c>
      <c r="N146" s="3" t="s">
        <v>13</v>
      </c>
      <c r="O146" s="3" t="s">
        <v>14</v>
      </c>
      <c r="Q146" s="30" t="str">
        <f t="shared" si="2"/>
        <v>MAX : 
TARGET : Yes(Pass)
MIN : No(Fail)</v>
      </c>
    </row>
    <row r="147" spans="2:18" ht="41.4" x14ac:dyDescent="0.3">
      <c r="B147">
        <v>0</v>
      </c>
      <c r="C147" s="33">
        <v>272</v>
      </c>
      <c r="D147" s="2">
        <v>1683</v>
      </c>
      <c r="E147" s="2" t="s">
        <v>6327</v>
      </c>
      <c r="F147" s="3" t="s">
        <v>14206</v>
      </c>
      <c r="H147" s="3" t="s">
        <v>98</v>
      </c>
      <c r="K147" s="2">
        <v>10</v>
      </c>
      <c r="L147" s="2">
        <v>4</v>
      </c>
      <c r="M147" s="3" t="s">
        <v>305</v>
      </c>
      <c r="N147" s="3" t="s">
        <v>13</v>
      </c>
      <c r="O147" s="3" t="s">
        <v>14</v>
      </c>
      <c r="Q147" s="30" t="str">
        <f t="shared" si="2"/>
        <v>MAX : 
TARGET : Yes(Pass)
MIN : No(Fail)</v>
      </c>
    </row>
    <row r="148" spans="2:18" ht="41.4" x14ac:dyDescent="0.3">
      <c r="B148">
        <v>1</v>
      </c>
      <c r="C148" s="33">
        <v>1735</v>
      </c>
      <c r="D148" s="2">
        <v>885</v>
      </c>
      <c r="E148" s="2" t="s">
        <v>6481</v>
      </c>
      <c r="F148" s="3" t="s">
        <v>14206</v>
      </c>
      <c r="H148" s="3" t="s">
        <v>378</v>
      </c>
      <c r="K148" s="2">
        <v>10</v>
      </c>
      <c r="L148" s="2">
        <v>1</v>
      </c>
      <c r="M148" s="3" t="s">
        <v>194</v>
      </c>
      <c r="N148" s="3" t="s">
        <v>379</v>
      </c>
      <c r="O148" s="3" t="s">
        <v>380</v>
      </c>
      <c r="P148" s="3" t="s">
        <v>272</v>
      </c>
      <c r="Q148" s="30" t="str">
        <f t="shared" si="2"/>
        <v>MAX : 1.00
TARGET : 0.9375
MIN : 0.875</v>
      </c>
    </row>
    <row r="149" spans="2:18" ht="41.4" x14ac:dyDescent="0.3">
      <c r="B149">
        <v>1</v>
      </c>
      <c r="C149" s="33">
        <v>1735</v>
      </c>
      <c r="D149" s="2">
        <v>885</v>
      </c>
      <c r="E149" s="2" t="s">
        <v>6481</v>
      </c>
      <c r="F149" s="3" t="s">
        <v>14206</v>
      </c>
      <c r="H149" s="3" t="s">
        <v>378</v>
      </c>
      <c r="K149" s="2">
        <v>10</v>
      </c>
      <c r="L149" s="2">
        <v>2</v>
      </c>
      <c r="M149" s="3" t="s">
        <v>198</v>
      </c>
      <c r="N149" s="3" t="s">
        <v>101</v>
      </c>
      <c r="O149" s="3" t="s">
        <v>381</v>
      </c>
      <c r="P149" s="3" t="s">
        <v>132</v>
      </c>
      <c r="Q149" s="30" t="str">
        <f t="shared" si="2"/>
        <v>MAX : 0.75
TARGET : 0.6875
MIN : 0.625</v>
      </c>
    </row>
    <row r="150" spans="2:18" ht="41.4" x14ac:dyDescent="0.3">
      <c r="B150">
        <v>0</v>
      </c>
      <c r="C150" s="33">
        <v>1829</v>
      </c>
      <c r="D150" s="2">
        <v>1704</v>
      </c>
      <c r="E150" s="2" t="s">
        <v>6523</v>
      </c>
      <c r="F150" s="3" t="s">
        <v>14206</v>
      </c>
      <c r="G150" s="3" t="s">
        <v>236</v>
      </c>
      <c r="H150" s="3" t="s">
        <v>306</v>
      </c>
      <c r="K150" s="2">
        <v>10</v>
      </c>
      <c r="L150" s="2">
        <v>3</v>
      </c>
      <c r="M150" s="3" t="s">
        <v>312</v>
      </c>
      <c r="N150" s="3" t="s">
        <v>13</v>
      </c>
      <c r="O150" s="3" t="s">
        <v>14</v>
      </c>
      <c r="Q150" s="30" t="str">
        <f t="shared" si="2"/>
        <v>MAX : 
TARGET : Yes(Pass)
MIN : No(Fail)</v>
      </c>
    </row>
    <row r="151" spans="2:18" ht="41.4" x14ac:dyDescent="0.3">
      <c r="B151">
        <v>0</v>
      </c>
      <c r="C151" s="33">
        <v>1829</v>
      </c>
      <c r="D151" s="2">
        <v>1704</v>
      </c>
      <c r="E151" s="2" t="s">
        <v>6523</v>
      </c>
      <c r="F151" s="3" t="s">
        <v>14206</v>
      </c>
      <c r="G151" s="3" t="s">
        <v>236</v>
      </c>
      <c r="H151" s="3" t="s">
        <v>306</v>
      </c>
      <c r="K151" s="2">
        <v>10</v>
      </c>
      <c r="L151" s="2">
        <v>4</v>
      </c>
      <c r="M151" s="3" t="s">
        <v>313</v>
      </c>
      <c r="N151" s="3" t="s">
        <v>13</v>
      </c>
      <c r="O151" s="3" t="s">
        <v>14</v>
      </c>
      <c r="Q151" s="30" t="str">
        <f t="shared" si="2"/>
        <v>MAX : 
TARGET : Yes(Pass)
MIN : No(Fail)</v>
      </c>
    </row>
    <row r="152" spans="2:18" ht="41.4" x14ac:dyDescent="0.3">
      <c r="B152">
        <v>0</v>
      </c>
      <c r="C152" s="33">
        <v>1829</v>
      </c>
      <c r="D152" s="2">
        <v>1704</v>
      </c>
      <c r="E152" s="2" t="s">
        <v>6523</v>
      </c>
      <c r="F152" s="3" t="s">
        <v>14206</v>
      </c>
      <c r="G152" s="3" t="s">
        <v>236</v>
      </c>
      <c r="H152" s="3" t="s">
        <v>306</v>
      </c>
      <c r="K152" s="2">
        <v>10</v>
      </c>
      <c r="L152" s="2">
        <v>5</v>
      </c>
      <c r="M152" s="3" t="s">
        <v>314</v>
      </c>
      <c r="N152" s="3" t="s">
        <v>13</v>
      </c>
      <c r="O152" s="3" t="s">
        <v>14</v>
      </c>
      <c r="Q152" s="30" t="str">
        <f t="shared" si="2"/>
        <v>MAX : 
TARGET : Yes(Pass)
MIN : No(Fail)</v>
      </c>
    </row>
    <row r="153" spans="2:18" ht="41.4" x14ac:dyDescent="0.3">
      <c r="B153">
        <v>0</v>
      </c>
      <c r="C153" s="33">
        <v>1829</v>
      </c>
      <c r="D153" s="2">
        <v>1704</v>
      </c>
      <c r="E153" s="2" t="s">
        <v>6523</v>
      </c>
      <c r="F153" s="3" t="s">
        <v>14206</v>
      </c>
      <c r="G153" s="3" t="s">
        <v>236</v>
      </c>
      <c r="H153" s="3" t="s">
        <v>306</v>
      </c>
      <c r="K153" s="2">
        <v>20</v>
      </c>
      <c r="L153" s="2">
        <v>1</v>
      </c>
      <c r="M153" s="3" t="s">
        <v>315</v>
      </c>
      <c r="N153" s="3" t="s">
        <v>13</v>
      </c>
      <c r="O153" s="3" t="s">
        <v>14</v>
      </c>
      <c r="Q153" s="30" t="str">
        <f t="shared" si="2"/>
        <v>MAX : 
TARGET : Yes(Pass)
MIN : No(Fail)</v>
      </c>
    </row>
    <row r="154" spans="2:18" ht="41.4" x14ac:dyDescent="0.3">
      <c r="B154">
        <v>1</v>
      </c>
      <c r="C154" s="33">
        <v>1751</v>
      </c>
      <c r="D154" s="2">
        <v>1701</v>
      </c>
      <c r="E154" s="2" t="s">
        <v>6489</v>
      </c>
      <c r="F154" s="3" t="s">
        <v>14206</v>
      </c>
      <c r="H154" s="3" t="s">
        <v>172</v>
      </c>
      <c r="K154" s="2">
        <v>10</v>
      </c>
      <c r="L154" s="2">
        <v>1</v>
      </c>
      <c r="M154" s="3" t="s">
        <v>174</v>
      </c>
      <c r="N154" s="3" t="s">
        <v>175</v>
      </c>
      <c r="O154" s="3" t="s">
        <v>176</v>
      </c>
      <c r="P154" s="3" t="s">
        <v>177</v>
      </c>
      <c r="Q154" s="30" t="str">
        <f t="shared" si="2"/>
        <v>MAX : 0.774
TARGET : 0.743
MIN : 0.711</v>
      </c>
    </row>
    <row r="155" spans="2:18" ht="41.4" x14ac:dyDescent="0.3">
      <c r="B155">
        <v>1</v>
      </c>
      <c r="C155" s="33">
        <v>1751</v>
      </c>
      <c r="D155" s="2">
        <v>1701</v>
      </c>
      <c r="E155" s="2" t="s">
        <v>6489</v>
      </c>
      <c r="F155" s="3" t="s">
        <v>14206</v>
      </c>
      <c r="H155" s="3" t="s">
        <v>172</v>
      </c>
      <c r="K155" s="2">
        <v>10</v>
      </c>
      <c r="L155" s="2">
        <v>2</v>
      </c>
      <c r="M155" s="3" t="s">
        <v>173</v>
      </c>
      <c r="N155" s="3" t="s">
        <v>24</v>
      </c>
      <c r="O155" s="3" t="s">
        <v>25</v>
      </c>
      <c r="Q155" s="30" t="str">
        <f t="shared" si="2"/>
        <v>MAX : 
TARGET : Yes (Pass)
MIN : No (Fail)</v>
      </c>
    </row>
    <row r="156" spans="2:18" ht="41.4" x14ac:dyDescent="0.3">
      <c r="B156">
        <v>0</v>
      </c>
      <c r="C156" s="33">
        <v>2186</v>
      </c>
      <c r="D156" s="2">
        <v>1706</v>
      </c>
      <c r="E156" s="2" t="s">
        <v>6546</v>
      </c>
      <c r="F156" s="3" t="s">
        <v>14206</v>
      </c>
      <c r="H156" s="3" t="s">
        <v>261</v>
      </c>
      <c r="K156" s="2">
        <v>10</v>
      </c>
      <c r="L156" s="2">
        <v>3</v>
      </c>
      <c r="M156" s="3" t="s">
        <v>318</v>
      </c>
      <c r="N156" s="3" t="s">
        <v>13</v>
      </c>
      <c r="O156" s="3" t="s">
        <v>14</v>
      </c>
      <c r="Q156" s="30" t="str">
        <f t="shared" si="2"/>
        <v>MAX : 
TARGET : Yes(Pass)
MIN : No(Fail)</v>
      </c>
    </row>
    <row r="157" spans="2:18" ht="41.4" x14ac:dyDescent="0.3">
      <c r="B157">
        <v>0</v>
      </c>
      <c r="C157" s="33">
        <v>2186</v>
      </c>
      <c r="D157" s="2">
        <v>1706</v>
      </c>
      <c r="E157" s="2" t="s">
        <v>6546</v>
      </c>
      <c r="F157" s="3" t="s">
        <v>14206</v>
      </c>
      <c r="H157" s="3" t="s">
        <v>261</v>
      </c>
      <c r="K157" s="2">
        <v>10</v>
      </c>
      <c r="L157" s="2">
        <v>4</v>
      </c>
      <c r="M157" s="3" t="s">
        <v>319</v>
      </c>
      <c r="N157" s="3" t="s">
        <v>13</v>
      </c>
      <c r="O157" s="3" t="s">
        <v>14</v>
      </c>
      <c r="Q157" s="30" t="str">
        <f t="shared" si="2"/>
        <v>MAX : 
TARGET : Yes(Pass)
MIN : No(Fail)</v>
      </c>
    </row>
    <row r="158" spans="2:18" ht="41.4" x14ac:dyDescent="0.3">
      <c r="B158">
        <v>0</v>
      </c>
      <c r="C158" s="33">
        <v>2186</v>
      </c>
      <c r="D158" s="2">
        <v>1706</v>
      </c>
      <c r="E158" s="2" t="s">
        <v>6546</v>
      </c>
      <c r="F158" s="3" t="s">
        <v>14206</v>
      </c>
      <c r="H158" s="3" t="s">
        <v>261</v>
      </c>
      <c r="K158" s="2">
        <v>10</v>
      </c>
      <c r="L158" s="2">
        <v>5</v>
      </c>
      <c r="M158" s="3" t="s">
        <v>320</v>
      </c>
      <c r="N158" s="3" t="s">
        <v>13</v>
      </c>
      <c r="O158" s="3" t="s">
        <v>14</v>
      </c>
      <c r="Q158" s="30" t="str">
        <f t="shared" si="2"/>
        <v>MAX : 
TARGET : Yes(Pass)
MIN : No(Fail)</v>
      </c>
    </row>
    <row r="159" spans="2:18" ht="41.4" x14ac:dyDescent="0.3">
      <c r="B159">
        <v>1</v>
      </c>
      <c r="C159" s="33">
        <v>1751</v>
      </c>
      <c r="D159" s="2">
        <v>1701</v>
      </c>
      <c r="E159" s="2" t="s">
        <v>6489</v>
      </c>
      <c r="F159" s="3" t="s">
        <v>14206</v>
      </c>
      <c r="H159" s="3" t="s">
        <v>172</v>
      </c>
      <c r="K159" s="2">
        <v>10</v>
      </c>
      <c r="L159" s="2">
        <v>3</v>
      </c>
      <c r="M159" s="3" t="s">
        <v>227</v>
      </c>
      <c r="N159" s="3" t="s">
        <v>24</v>
      </c>
      <c r="O159" s="3" t="s">
        <v>25</v>
      </c>
      <c r="Q159" s="30" t="str">
        <f t="shared" si="2"/>
        <v>MAX : 
TARGET : Yes (Pass)
MIN : No (Fail)</v>
      </c>
    </row>
    <row r="160" spans="2:18" ht="41.4" x14ac:dyDescent="0.3">
      <c r="B160">
        <v>1</v>
      </c>
      <c r="C160" s="33">
        <v>1771</v>
      </c>
      <c r="D160" s="2">
        <v>886</v>
      </c>
      <c r="E160" s="2" t="s">
        <v>6496</v>
      </c>
      <c r="F160" s="3" t="s">
        <v>14206</v>
      </c>
      <c r="H160" s="3" t="s">
        <v>269</v>
      </c>
      <c r="K160" s="2">
        <v>20</v>
      </c>
      <c r="L160" s="2">
        <v>1</v>
      </c>
      <c r="M160" s="3" t="s">
        <v>18</v>
      </c>
      <c r="N160" s="3" t="s">
        <v>440</v>
      </c>
      <c r="O160" s="3" t="s">
        <v>441</v>
      </c>
      <c r="P160" s="3" t="s">
        <v>442</v>
      </c>
      <c r="Q160" s="30" t="str">
        <f t="shared" si="2"/>
        <v>MAX : 0.407
TARGET : 0.402
MIN : 0.397</v>
      </c>
      <c r="R160" s="3" t="s">
        <v>443</v>
      </c>
    </row>
    <row r="161" spans="2:18" ht="41.4" x14ac:dyDescent="0.3">
      <c r="B161">
        <v>0</v>
      </c>
      <c r="C161" s="33">
        <v>2187</v>
      </c>
      <c r="D161" s="2">
        <v>1707</v>
      </c>
      <c r="E161" s="2" t="s">
        <v>6552</v>
      </c>
      <c r="F161" s="3" t="s">
        <v>14206</v>
      </c>
      <c r="H161" s="3" t="s">
        <v>261</v>
      </c>
      <c r="K161" s="2">
        <v>10</v>
      </c>
      <c r="L161" s="2">
        <v>3</v>
      </c>
      <c r="M161" s="3" t="s">
        <v>318</v>
      </c>
      <c r="N161" s="3" t="s">
        <v>13</v>
      </c>
      <c r="O161" s="3" t="s">
        <v>14</v>
      </c>
      <c r="Q161" s="30" t="str">
        <f t="shared" si="2"/>
        <v>MAX : 
TARGET : Yes(Pass)
MIN : No(Fail)</v>
      </c>
    </row>
    <row r="162" spans="2:18" ht="41.4" x14ac:dyDescent="0.3">
      <c r="B162">
        <v>0</v>
      </c>
      <c r="C162" s="33">
        <v>2187</v>
      </c>
      <c r="D162" s="2">
        <v>1707</v>
      </c>
      <c r="E162" s="2" t="s">
        <v>6552</v>
      </c>
      <c r="F162" s="3" t="s">
        <v>14206</v>
      </c>
      <c r="H162" s="3" t="s">
        <v>261</v>
      </c>
      <c r="K162" s="2">
        <v>10</v>
      </c>
      <c r="L162" s="2">
        <v>4</v>
      </c>
      <c r="M162" s="3" t="s">
        <v>319</v>
      </c>
      <c r="N162" s="3" t="s">
        <v>13</v>
      </c>
      <c r="O162" s="3" t="s">
        <v>14</v>
      </c>
      <c r="Q162" s="30" t="str">
        <f t="shared" si="2"/>
        <v>MAX : 
TARGET : Yes(Pass)
MIN : No(Fail)</v>
      </c>
    </row>
    <row r="163" spans="2:18" ht="41.4" x14ac:dyDescent="0.3">
      <c r="B163">
        <v>0</v>
      </c>
      <c r="C163" s="33">
        <v>2187</v>
      </c>
      <c r="D163" s="2">
        <v>1707</v>
      </c>
      <c r="E163" s="2" t="s">
        <v>6552</v>
      </c>
      <c r="F163" s="3" t="s">
        <v>14206</v>
      </c>
      <c r="H163" s="3" t="s">
        <v>261</v>
      </c>
      <c r="K163" s="2">
        <v>10</v>
      </c>
      <c r="L163" s="2">
        <v>5</v>
      </c>
      <c r="M163" s="3" t="s">
        <v>320</v>
      </c>
      <c r="N163" s="3" t="s">
        <v>13</v>
      </c>
      <c r="O163" s="3" t="s">
        <v>14</v>
      </c>
      <c r="Q163" s="30" t="str">
        <f t="shared" si="2"/>
        <v>MAX : 
TARGET : Yes(Pass)
MIN : No(Fail)</v>
      </c>
    </row>
    <row r="164" spans="2:18" ht="41.4" x14ac:dyDescent="0.3">
      <c r="B164">
        <v>0</v>
      </c>
      <c r="C164" s="33">
        <v>2187</v>
      </c>
      <c r="D164" s="2">
        <v>1707</v>
      </c>
      <c r="E164" s="2" t="s">
        <v>6552</v>
      </c>
      <c r="F164" s="3" t="s">
        <v>14206</v>
      </c>
      <c r="H164" s="3" t="s">
        <v>261</v>
      </c>
      <c r="K164" s="2">
        <v>10</v>
      </c>
      <c r="L164" s="2">
        <v>6</v>
      </c>
      <c r="M164" s="3" t="s">
        <v>321</v>
      </c>
      <c r="N164" s="3" t="s">
        <v>13</v>
      </c>
      <c r="O164" s="3" t="s">
        <v>14</v>
      </c>
      <c r="Q164" s="30" t="str">
        <f t="shared" si="2"/>
        <v>MAX : 
TARGET : Yes(Pass)
MIN : No(Fail)</v>
      </c>
    </row>
    <row r="165" spans="2:18" ht="41.4" x14ac:dyDescent="0.3">
      <c r="B165">
        <v>1</v>
      </c>
      <c r="C165" s="33">
        <v>1771</v>
      </c>
      <c r="D165" s="2">
        <v>886</v>
      </c>
      <c r="E165" s="2" t="s">
        <v>6496</v>
      </c>
      <c r="F165" s="3" t="s">
        <v>14206</v>
      </c>
      <c r="H165" s="3" t="s">
        <v>269</v>
      </c>
      <c r="K165" s="2">
        <v>20</v>
      </c>
      <c r="L165" s="2">
        <v>4</v>
      </c>
      <c r="M165" s="3" t="s">
        <v>681</v>
      </c>
      <c r="N165" s="3" t="s">
        <v>3400</v>
      </c>
      <c r="O165" s="3" t="s">
        <v>3401</v>
      </c>
      <c r="P165" s="3" t="s">
        <v>3402</v>
      </c>
      <c r="Q165" s="30" t="str">
        <f t="shared" si="2"/>
        <v>MAX : 0.389
TARGET : 0.384
MIN : 0.379</v>
      </c>
      <c r="R165" s="3" t="s">
        <v>443</v>
      </c>
    </row>
    <row r="166" spans="2:18" ht="41.4" x14ac:dyDescent="0.3">
      <c r="B166">
        <v>1</v>
      </c>
      <c r="C166" s="33">
        <v>1771</v>
      </c>
      <c r="D166" s="2">
        <v>886</v>
      </c>
      <c r="E166" s="2" t="s">
        <v>6496</v>
      </c>
      <c r="F166" s="3" t="s">
        <v>14206</v>
      </c>
      <c r="H166" s="3" t="s">
        <v>269</v>
      </c>
      <c r="K166" s="2">
        <v>20</v>
      </c>
      <c r="L166" s="2">
        <v>2</v>
      </c>
      <c r="M166" s="3" t="s">
        <v>444</v>
      </c>
      <c r="N166" s="3" t="s">
        <v>445</v>
      </c>
      <c r="O166" s="3" t="s">
        <v>446</v>
      </c>
      <c r="P166" s="3" t="s">
        <v>447</v>
      </c>
      <c r="Q166" s="30" t="str">
        <f t="shared" si="2"/>
        <v>MAX : 0.217
TARGET : 0.212
MIN : 0.207</v>
      </c>
      <c r="R166" s="3" t="s">
        <v>443</v>
      </c>
    </row>
    <row r="167" spans="2:18" ht="41.4" x14ac:dyDescent="0.3">
      <c r="B167">
        <v>1</v>
      </c>
      <c r="C167" s="33">
        <v>1771</v>
      </c>
      <c r="D167" s="2">
        <v>886</v>
      </c>
      <c r="E167" s="2" t="s">
        <v>6496</v>
      </c>
      <c r="F167" s="3" t="s">
        <v>14206</v>
      </c>
      <c r="H167" s="3" t="s">
        <v>269</v>
      </c>
      <c r="K167" s="2">
        <v>20</v>
      </c>
      <c r="L167" s="2">
        <v>3</v>
      </c>
      <c r="M167" s="3" t="s">
        <v>3403</v>
      </c>
      <c r="N167" s="3" t="s">
        <v>445</v>
      </c>
      <c r="O167" s="3" t="s">
        <v>446</v>
      </c>
      <c r="P167" s="3" t="s">
        <v>447</v>
      </c>
      <c r="Q167" s="30" t="str">
        <f t="shared" si="2"/>
        <v>MAX : 0.217
TARGET : 0.212
MIN : 0.207</v>
      </c>
      <c r="R167" s="3" t="s">
        <v>443</v>
      </c>
    </row>
    <row r="168" spans="2:18" ht="41.4" x14ac:dyDescent="0.3">
      <c r="B168">
        <v>1</v>
      </c>
      <c r="C168" s="33">
        <v>1783</v>
      </c>
      <c r="D168" s="2">
        <v>1702</v>
      </c>
      <c r="E168" s="2" t="s">
        <v>6503</v>
      </c>
      <c r="F168" s="3" t="s">
        <v>14206</v>
      </c>
      <c r="H168" s="3" t="s">
        <v>172</v>
      </c>
      <c r="K168" s="2">
        <v>10</v>
      </c>
      <c r="L168" s="2">
        <v>1</v>
      </c>
      <c r="M168" s="3" t="s">
        <v>174</v>
      </c>
      <c r="N168" s="3" t="s">
        <v>175</v>
      </c>
      <c r="O168" s="3" t="s">
        <v>176</v>
      </c>
      <c r="P168" s="3" t="s">
        <v>177</v>
      </c>
      <c r="Q168" s="30" t="str">
        <f t="shared" si="2"/>
        <v>MAX : 0.774
TARGET : 0.743
MIN : 0.711</v>
      </c>
    </row>
    <row r="169" spans="2:18" ht="41.4" x14ac:dyDescent="0.3">
      <c r="B169">
        <v>1</v>
      </c>
      <c r="C169" s="33">
        <v>1783</v>
      </c>
      <c r="D169" s="2">
        <v>1702</v>
      </c>
      <c r="E169" s="2" t="s">
        <v>6503</v>
      </c>
      <c r="F169" s="3" t="s">
        <v>14206</v>
      </c>
      <c r="H169" s="3" t="s">
        <v>172</v>
      </c>
      <c r="K169" s="2">
        <v>10</v>
      </c>
      <c r="L169" s="2">
        <v>3</v>
      </c>
      <c r="M169" s="3" t="s">
        <v>227</v>
      </c>
      <c r="N169" s="3" t="s">
        <v>24</v>
      </c>
      <c r="O169" s="3" t="s">
        <v>25</v>
      </c>
      <c r="Q169" s="30" t="str">
        <f t="shared" si="2"/>
        <v>MAX : 
TARGET : Yes (Pass)
MIN : No (Fail)</v>
      </c>
    </row>
    <row r="170" spans="2:18" ht="41.4" x14ac:dyDescent="0.3">
      <c r="B170">
        <v>1</v>
      </c>
      <c r="C170" s="33">
        <v>1796</v>
      </c>
      <c r="D170" s="2">
        <v>1703</v>
      </c>
      <c r="E170" s="2" t="s">
        <v>6509</v>
      </c>
      <c r="F170" s="3" t="s">
        <v>14206</v>
      </c>
      <c r="H170" s="3" t="s">
        <v>172</v>
      </c>
      <c r="K170" s="2">
        <v>10</v>
      </c>
      <c r="L170" s="2">
        <v>1</v>
      </c>
      <c r="M170" s="3" t="s">
        <v>174</v>
      </c>
      <c r="N170" s="3" t="s">
        <v>175</v>
      </c>
      <c r="O170" s="3" t="s">
        <v>176</v>
      </c>
      <c r="P170" s="3" t="s">
        <v>177</v>
      </c>
      <c r="Q170" s="30" t="str">
        <f t="shared" si="2"/>
        <v>MAX : 0.774
TARGET : 0.743
MIN : 0.711</v>
      </c>
    </row>
    <row r="171" spans="2:18" ht="41.4" x14ac:dyDescent="0.3">
      <c r="B171">
        <v>0</v>
      </c>
      <c r="C171" s="33">
        <v>519</v>
      </c>
      <c r="D171" s="2">
        <v>882</v>
      </c>
      <c r="E171" s="2" t="s">
        <v>6369</v>
      </c>
      <c r="F171" s="3" t="s">
        <v>14206</v>
      </c>
      <c r="H171" s="3" t="s">
        <v>363</v>
      </c>
      <c r="K171" s="2">
        <v>10</v>
      </c>
      <c r="L171" s="2">
        <v>3</v>
      </c>
      <c r="M171" s="3" t="s">
        <v>370</v>
      </c>
      <c r="N171" s="3" t="s">
        <v>24</v>
      </c>
      <c r="O171" s="3" t="s">
        <v>25</v>
      </c>
      <c r="Q171" s="30" t="str">
        <f t="shared" si="2"/>
        <v>MAX : 
TARGET : Yes (Pass)
MIN : No (Fail)</v>
      </c>
    </row>
    <row r="172" spans="2:18" ht="41.4" x14ac:dyDescent="0.3">
      <c r="B172">
        <v>0</v>
      </c>
      <c r="C172" s="33">
        <v>519</v>
      </c>
      <c r="D172" s="2">
        <v>882</v>
      </c>
      <c r="E172" s="2" t="s">
        <v>6369</v>
      </c>
      <c r="F172" s="3" t="s">
        <v>14206</v>
      </c>
      <c r="H172" s="3" t="s">
        <v>363</v>
      </c>
      <c r="K172" s="2">
        <v>10</v>
      </c>
      <c r="L172" s="2">
        <v>4</v>
      </c>
      <c r="M172" s="3" t="s">
        <v>371</v>
      </c>
      <c r="N172" s="3" t="s">
        <v>24</v>
      </c>
      <c r="O172" s="3" t="s">
        <v>25</v>
      </c>
      <c r="Q172" s="30" t="str">
        <f t="shared" si="2"/>
        <v>MAX : 
TARGET : Yes (Pass)
MIN : No (Fail)</v>
      </c>
    </row>
    <row r="173" spans="2:18" ht="41.4" x14ac:dyDescent="0.3">
      <c r="B173">
        <v>0</v>
      </c>
      <c r="C173" s="33">
        <v>519</v>
      </c>
      <c r="D173" s="2">
        <v>882</v>
      </c>
      <c r="E173" s="2" t="s">
        <v>6369</v>
      </c>
      <c r="F173" s="3" t="s">
        <v>14206</v>
      </c>
      <c r="H173" s="3" t="s">
        <v>363</v>
      </c>
      <c r="K173" s="2">
        <v>10</v>
      </c>
      <c r="L173" s="2">
        <v>5</v>
      </c>
      <c r="M173" s="3" t="s">
        <v>372</v>
      </c>
      <c r="N173" s="3" t="s">
        <v>373</v>
      </c>
      <c r="O173" s="3" t="s">
        <v>374</v>
      </c>
      <c r="P173" s="3" t="s">
        <v>375</v>
      </c>
      <c r="Q173" s="30" t="str">
        <f t="shared" si="2"/>
        <v>MAX : 30 degrees
TARGET : 24 degrees
MIN : 20 degrees</v>
      </c>
    </row>
    <row r="174" spans="2:18" ht="41.4" x14ac:dyDescent="0.3">
      <c r="B174">
        <v>0</v>
      </c>
      <c r="C174" s="33">
        <v>519</v>
      </c>
      <c r="D174" s="2">
        <v>882</v>
      </c>
      <c r="E174" s="2" t="s">
        <v>6369</v>
      </c>
      <c r="F174" s="3" t="s">
        <v>14206</v>
      </c>
      <c r="H174" s="3" t="s">
        <v>363</v>
      </c>
      <c r="K174" s="2">
        <v>10</v>
      </c>
      <c r="L174" s="2">
        <v>6</v>
      </c>
      <c r="M174" s="3" t="s">
        <v>376</v>
      </c>
      <c r="N174" s="3" t="s">
        <v>24</v>
      </c>
      <c r="O174" s="3" t="s">
        <v>25</v>
      </c>
      <c r="Q174" s="30" t="str">
        <f t="shared" si="2"/>
        <v>MAX : 
TARGET : Yes (Pass)
MIN : No (Fail)</v>
      </c>
    </row>
    <row r="175" spans="2:18" ht="41.4" x14ac:dyDescent="0.3">
      <c r="B175">
        <v>1</v>
      </c>
      <c r="C175" s="33">
        <v>1796</v>
      </c>
      <c r="D175" s="2">
        <v>1703</v>
      </c>
      <c r="E175" s="2" t="s">
        <v>6509</v>
      </c>
      <c r="F175" s="3" t="s">
        <v>14206</v>
      </c>
      <c r="H175" s="3" t="s">
        <v>172</v>
      </c>
      <c r="K175" s="2">
        <v>10</v>
      </c>
      <c r="L175" s="2">
        <v>2</v>
      </c>
      <c r="M175" s="3" t="s">
        <v>180</v>
      </c>
      <c r="N175" s="3" t="s">
        <v>24</v>
      </c>
      <c r="O175" s="3" t="s">
        <v>25</v>
      </c>
      <c r="Q175" s="30" t="str">
        <f t="shared" si="2"/>
        <v>MAX : 
TARGET : Yes (Pass)
MIN : No (Fail)</v>
      </c>
    </row>
    <row r="176" spans="2:18" ht="41.4" x14ac:dyDescent="0.3">
      <c r="B176">
        <v>1</v>
      </c>
      <c r="C176" s="33">
        <v>1796</v>
      </c>
      <c r="D176" s="2">
        <v>1703</v>
      </c>
      <c r="E176" s="2" t="s">
        <v>6509</v>
      </c>
      <c r="F176" s="3" t="s">
        <v>14206</v>
      </c>
      <c r="H176" s="3" t="s">
        <v>172</v>
      </c>
      <c r="K176" s="2">
        <v>10</v>
      </c>
      <c r="L176" s="2">
        <v>3</v>
      </c>
      <c r="M176" s="3" t="s">
        <v>227</v>
      </c>
      <c r="N176" s="3" t="s">
        <v>24</v>
      </c>
      <c r="O176" s="3" t="s">
        <v>25</v>
      </c>
      <c r="Q176" s="30" t="str">
        <f t="shared" si="2"/>
        <v>MAX : 
TARGET : Yes (Pass)
MIN : No (Fail)</v>
      </c>
    </row>
    <row r="177" spans="2:18" ht="41.4" x14ac:dyDescent="0.3">
      <c r="B177">
        <v>0</v>
      </c>
      <c r="C177" s="33">
        <v>1386</v>
      </c>
      <c r="D177" s="2">
        <v>1698</v>
      </c>
      <c r="E177" s="2" t="s">
        <v>6461</v>
      </c>
      <c r="F177" s="3" t="s">
        <v>14206</v>
      </c>
      <c r="H177" s="3" t="s">
        <v>30</v>
      </c>
      <c r="K177" s="2">
        <v>10</v>
      </c>
      <c r="L177" s="2">
        <v>3</v>
      </c>
      <c r="M177" s="3" t="s">
        <v>37</v>
      </c>
      <c r="O177" s="3" t="s">
        <v>38</v>
      </c>
      <c r="P177" s="3" t="s">
        <v>39</v>
      </c>
      <c r="Q177" s="30" t="str">
        <f t="shared" si="2"/>
        <v xml:space="preserve">MAX : Yes(Fail)
TARGET : No(Pass)
MIN : </v>
      </c>
    </row>
    <row r="178" spans="2:18" ht="41.4" x14ac:dyDescent="0.3">
      <c r="B178">
        <v>0</v>
      </c>
      <c r="C178" s="33">
        <v>1386</v>
      </c>
      <c r="D178" s="2">
        <v>1698</v>
      </c>
      <c r="E178" s="2" t="s">
        <v>6461</v>
      </c>
      <c r="F178" s="3" t="s">
        <v>14206</v>
      </c>
      <c r="H178" s="3" t="s">
        <v>30</v>
      </c>
      <c r="K178" s="2">
        <v>10</v>
      </c>
      <c r="L178" s="2">
        <v>4</v>
      </c>
      <c r="M178" s="3" t="s">
        <v>40</v>
      </c>
      <c r="N178" s="3" t="s">
        <v>13</v>
      </c>
      <c r="O178" s="3" t="s">
        <v>14</v>
      </c>
      <c r="Q178" s="30" t="str">
        <f t="shared" si="2"/>
        <v>MAX : 
TARGET : Yes(Pass)
MIN : No(Fail)</v>
      </c>
    </row>
    <row r="179" spans="2:18" ht="41.4" x14ac:dyDescent="0.3">
      <c r="B179">
        <v>1</v>
      </c>
      <c r="C179" s="33">
        <v>1829</v>
      </c>
      <c r="D179" s="2">
        <v>1704</v>
      </c>
      <c r="E179" s="2" t="s">
        <v>6523</v>
      </c>
      <c r="F179" s="3" t="s">
        <v>14206</v>
      </c>
      <c r="G179" s="3" t="s">
        <v>236</v>
      </c>
      <c r="H179" s="3" t="s">
        <v>306</v>
      </c>
      <c r="K179" s="2">
        <v>10</v>
      </c>
      <c r="L179" s="2">
        <v>2</v>
      </c>
      <c r="M179" s="3" t="s">
        <v>311</v>
      </c>
      <c r="N179" s="3" t="s">
        <v>13</v>
      </c>
      <c r="O179" s="3" t="s">
        <v>14</v>
      </c>
      <c r="Q179" s="30" t="str">
        <f t="shared" si="2"/>
        <v>MAX : 
TARGET : Yes(Pass)
MIN : No(Fail)</v>
      </c>
    </row>
    <row r="180" spans="2:18" ht="41.4" x14ac:dyDescent="0.3">
      <c r="B180">
        <v>1</v>
      </c>
      <c r="C180" s="33">
        <v>1829</v>
      </c>
      <c r="D180" s="2">
        <v>1704</v>
      </c>
      <c r="E180" s="2" t="s">
        <v>6523</v>
      </c>
      <c r="F180" s="3" t="s">
        <v>14206</v>
      </c>
      <c r="G180" s="3" t="s">
        <v>236</v>
      </c>
      <c r="H180" s="3" t="s">
        <v>306</v>
      </c>
      <c r="K180" s="2">
        <v>10</v>
      </c>
      <c r="L180" s="2">
        <v>1</v>
      </c>
      <c r="M180" s="3" t="s">
        <v>307</v>
      </c>
      <c r="N180" s="3" t="s">
        <v>308</v>
      </c>
      <c r="O180" s="3" t="s">
        <v>309</v>
      </c>
      <c r="P180" s="3" t="s">
        <v>310</v>
      </c>
      <c r="Q180" s="30" t="str">
        <f t="shared" si="2"/>
        <v>MAX : 0.53
TARGET : 0.50
MIN : 0.47</v>
      </c>
    </row>
    <row r="181" spans="2:18" ht="41.4" x14ac:dyDescent="0.3">
      <c r="B181">
        <v>0</v>
      </c>
      <c r="C181" s="33">
        <v>1735</v>
      </c>
      <c r="D181" s="2">
        <v>885</v>
      </c>
      <c r="E181" s="2" t="s">
        <v>6481</v>
      </c>
      <c r="F181" s="3" t="s">
        <v>14206</v>
      </c>
      <c r="H181" s="3" t="s">
        <v>378</v>
      </c>
      <c r="K181" s="2">
        <v>10</v>
      </c>
      <c r="L181" s="2">
        <v>3</v>
      </c>
      <c r="M181" s="3" t="s">
        <v>121</v>
      </c>
      <c r="N181" s="3" t="s">
        <v>24</v>
      </c>
      <c r="O181" s="3" t="s">
        <v>25</v>
      </c>
      <c r="Q181" s="30" t="str">
        <f t="shared" si="2"/>
        <v>MAX : 
TARGET : Yes (Pass)
MIN : No (Fail)</v>
      </c>
    </row>
    <row r="182" spans="2:18" ht="41.4" x14ac:dyDescent="0.3">
      <c r="B182">
        <v>1</v>
      </c>
      <c r="C182" s="33">
        <v>1829</v>
      </c>
      <c r="D182" s="2">
        <v>1704</v>
      </c>
      <c r="E182" s="2" t="s">
        <v>6523</v>
      </c>
      <c r="F182" s="3" t="s">
        <v>14206</v>
      </c>
      <c r="G182" s="3" t="s">
        <v>236</v>
      </c>
      <c r="H182" s="3" t="s">
        <v>306</v>
      </c>
      <c r="K182" s="2">
        <v>10</v>
      </c>
      <c r="L182" s="2">
        <v>6</v>
      </c>
      <c r="M182" s="3" t="s">
        <v>2003</v>
      </c>
      <c r="N182" s="3" t="s">
        <v>13</v>
      </c>
      <c r="O182" s="3" t="s">
        <v>14</v>
      </c>
      <c r="Q182" s="30" t="str">
        <f t="shared" si="2"/>
        <v>MAX : 
TARGET : Yes(Pass)
MIN : No(Fail)</v>
      </c>
    </row>
    <row r="183" spans="2:18" ht="41.4" x14ac:dyDescent="0.3">
      <c r="B183">
        <v>1</v>
      </c>
      <c r="C183" s="33">
        <v>1831</v>
      </c>
      <c r="D183" s="2">
        <v>888</v>
      </c>
      <c r="E183" s="2" t="s">
        <v>6531</v>
      </c>
      <c r="F183" s="29" t="s">
        <v>14209</v>
      </c>
      <c r="H183" s="3" t="s">
        <v>146</v>
      </c>
      <c r="K183" s="2">
        <v>10</v>
      </c>
      <c r="L183" s="2">
        <v>2</v>
      </c>
      <c r="M183" s="3" t="s">
        <v>152</v>
      </c>
      <c r="O183" s="3" t="s">
        <v>123</v>
      </c>
      <c r="P183" s="3" t="s">
        <v>124</v>
      </c>
      <c r="Q183" s="30" t="str">
        <f t="shared" si="2"/>
        <v xml:space="preserve">MAX : Yes (Fail)
TARGET : No (Pass)
MIN : </v>
      </c>
      <c r="R183" s="3" t="s">
        <v>151</v>
      </c>
    </row>
    <row r="184" spans="2:18" ht="41.4" x14ac:dyDescent="0.3">
      <c r="B184">
        <v>0</v>
      </c>
      <c r="C184" s="33">
        <v>1088</v>
      </c>
      <c r="D184" s="2">
        <v>1694</v>
      </c>
      <c r="E184" s="2" t="s">
        <v>6416</v>
      </c>
      <c r="F184" s="3" t="s">
        <v>14206</v>
      </c>
      <c r="H184" s="3" t="s">
        <v>391</v>
      </c>
      <c r="K184" s="2">
        <v>10</v>
      </c>
      <c r="L184" s="2">
        <v>3</v>
      </c>
      <c r="M184" s="3" t="s">
        <v>398</v>
      </c>
      <c r="N184" s="3" t="s">
        <v>13</v>
      </c>
      <c r="O184" s="3" t="s">
        <v>14</v>
      </c>
      <c r="Q184" s="30" t="str">
        <f t="shared" si="2"/>
        <v>MAX : 
TARGET : Yes(Pass)
MIN : No(Fail)</v>
      </c>
    </row>
    <row r="185" spans="2:18" ht="41.4" x14ac:dyDescent="0.3">
      <c r="B185">
        <v>0</v>
      </c>
      <c r="C185" s="33">
        <v>1088</v>
      </c>
      <c r="D185" s="2">
        <v>1694</v>
      </c>
      <c r="E185" s="2" t="s">
        <v>6416</v>
      </c>
      <c r="F185" s="3" t="s">
        <v>14206</v>
      </c>
      <c r="H185" s="3" t="s">
        <v>391</v>
      </c>
      <c r="K185" s="2">
        <v>10</v>
      </c>
      <c r="L185" s="2">
        <v>4</v>
      </c>
      <c r="M185" s="3" t="s">
        <v>399</v>
      </c>
      <c r="N185" s="3" t="s">
        <v>13</v>
      </c>
      <c r="O185" s="3" t="s">
        <v>14</v>
      </c>
      <c r="Q185" s="30" t="str">
        <f t="shared" si="2"/>
        <v>MAX : 
TARGET : Yes(Pass)
MIN : No(Fail)</v>
      </c>
    </row>
    <row r="186" spans="2:18" ht="41.4" x14ac:dyDescent="0.3">
      <c r="B186">
        <v>0</v>
      </c>
      <c r="C186" s="33">
        <v>1088</v>
      </c>
      <c r="D186" s="2">
        <v>1694</v>
      </c>
      <c r="E186" s="2" t="s">
        <v>6416</v>
      </c>
      <c r="F186" s="3" t="s">
        <v>14206</v>
      </c>
      <c r="H186" s="3" t="s">
        <v>391</v>
      </c>
      <c r="K186" s="2">
        <v>10</v>
      </c>
      <c r="L186" s="2">
        <v>5</v>
      </c>
      <c r="M186" s="3" t="s">
        <v>400</v>
      </c>
      <c r="N186" s="3" t="s">
        <v>13</v>
      </c>
      <c r="O186" s="3" t="s">
        <v>14</v>
      </c>
      <c r="Q186" s="30" t="str">
        <f t="shared" si="2"/>
        <v>MAX : 
TARGET : Yes(Pass)
MIN : No(Fail)</v>
      </c>
    </row>
    <row r="187" spans="2:18" ht="41.4" x14ac:dyDescent="0.3">
      <c r="B187">
        <v>0</v>
      </c>
      <c r="C187" s="33">
        <v>1088</v>
      </c>
      <c r="D187" s="2">
        <v>1694</v>
      </c>
      <c r="E187" s="2" t="s">
        <v>6416</v>
      </c>
      <c r="F187" s="3" t="s">
        <v>14206</v>
      </c>
      <c r="H187" s="3" t="s">
        <v>391</v>
      </c>
      <c r="K187" s="2">
        <v>10</v>
      </c>
      <c r="L187" s="2">
        <v>6</v>
      </c>
      <c r="M187" s="3" t="s">
        <v>401</v>
      </c>
      <c r="N187" s="3" t="s">
        <v>13</v>
      </c>
      <c r="O187" s="3" t="s">
        <v>14</v>
      </c>
      <c r="Q187" s="30" t="str">
        <f t="shared" si="2"/>
        <v>MAX : 
TARGET : Yes(Pass)
MIN : No(Fail)</v>
      </c>
    </row>
    <row r="188" spans="2:18" ht="41.4" x14ac:dyDescent="0.3">
      <c r="B188">
        <v>0</v>
      </c>
      <c r="C188" s="33">
        <v>1088</v>
      </c>
      <c r="D188" s="2">
        <v>1694</v>
      </c>
      <c r="E188" s="2" t="s">
        <v>6416</v>
      </c>
      <c r="F188" s="3" t="s">
        <v>14206</v>
      </c>
      <c r="H188" s="3" t="s">
        <v>391</v>
      </c>
      <c r="K188" s="2">
        <v>10</v>
      </c>
      <c r="L188" s="2">
        <v>7</v>
      </c>
      <c r="M188" s="3" t="s">
        <v>402</v>
      </c>
      <c r="N188" s="3" t="s">
        <v>13</v>
      </c>
      <c r="O188" s="3" t="s">
        <v>14</v>
      </c>
      <c r="Q188" s="30" t="str">
        <f t="shared" si="2"/>
        <v>MAX : 
TARGET : Yes(Pass)
MIN : No(Fail)</v>
      </c>
    </row>
    <row r="189" spans="2:18" ht="41.4" x14ac:dyDescent="0.3">
      <c r="B189">
        <v>0</v>
      </c>
      <c r="C189" s="33">
        <v>1088</v>
      </c>
      <c r="D189" s="2">
        <v>1694</v>
      </c>
      <c r="E189" s="2" t="s">
        <v>6416</v>
      </c>
      <c r="F189" s="3" t="s">
        <v>14206</v>
      </c>
      <c r="H189" s="3" t="s">
        <v>391</v>
      </c>
      <c r="K189" s="2">
        <v>10</v>
      </c>
      <c r="L189" s="2">
        <v>8</v>
      </c>
      <c r="M189" s="3" t="s">
        <v>403</v>
      </c>
      <c r="N189" s="3" t="s">
        <v>13</v>
      </c>
      <c r="O189" s="3" t="s">
        <v>14</v>
      </c>
      <c r="Q189" s="30" t="str">
        <f t="shared" si="2"/>
        <v>MAX : 
TARGET : Yes(Pass)
MIN : No(Fail)</v>
      </c>
    </row>
    <row r="190" spans="2:18" ht="41.4" x14ac:dyDescent="0.3">
      <c r="B190">
        <v>1</v>
      </c>
      <c r="C190" s="33">
        <v>1831</v>
      </c>
      <c r="D190" s="2">
        <v>888</v>
      </c>
      <c r="E190" s="2" t="s">
        <v>6531</v>
      </c>
      <c r="F190" s="29" t="s">
        <v>14209</v>
      </c>
      <c r="H190" s="3" t="s">
        <v>146</v>
      </c>
      <c r="K190" s="2">
        <v>10</v>
      </c>
      <c r="L190" s="2">
        <v>1</v>
      </c>
      <c r="M190" s="3" t="s">
        <v>147</v>
      </c>
      <c r="N190" s="3" t="s">
        <v>148</v>
      </c>
      <c r="O190" s="3" t="s">
        <v>149</v>
      </c>
      <c r="P190" s="3" t="s">
        <v>150</v>
      </c>
      <c r="Q190" s="30" t="str">
        <f t="shared" si="2"/>
        <v>MAX : 12.25
TARGET : 12.00
MIN : 11.75</v>
      </c>
      <c r="R190" s="3" t="s">
        <v>151</v>
      </c>
    </row>
    <row r="191" spans="2:18" ht="41.4" x14ac:dyDescent="0.3">
      <c r="B191">
        <v>1</v>
      </c>
      <c r="C191" s="33">
        <v>1878</v>
      </c>
      <c r="D191" s="2">
        <v>1705</v>
      </c>
      <c r="E191" s="2" t="s">
        <v>6539</v>
      </c>
      <c r="F191" s="29" t="s">
        <v>14205</v>
      </c>
      <c r="H191" s="3" t="s">
        <v>11</v>
      </c>
      <c r="K191" s="2">
        <v>10</v>
      </c>
      <c r="L191" s="2">
        <v>3</v>
      </c>
      <c r="M191" s="3" t="s">
        <v>15</v>
      </c>
      <c r="N191" s="3" t="s">
        <v>13</v>
      </c>
      <c r="O191" s="3" t="s">
        <v>14</v>
      </c>
      <c r="Q191" s="30" t="str">
        <f t="shared" si="2"/>
        <v>MAX : 
TARGET : Yes(Pass)
MIN : No(Fail)</v>
      </c>
    </row>
    <row r="192" spans="2:18" ht="41.4" x14ac:dyDescent="0.3">
      <c r="B192">
        <v>0</v>
      </c>
      <c r="C192" s="33">
        <v>2693</v>
      </c>
      <c r="D192" s="2">
        <v>893</v>
      </c>
      <c r="E192" s="2" t="s">
        <v>6626</v>
      </c>
      <c r="F192" s="3" t="s">
        <v>14206</v>
      </c>
      <c r="H192" s="3" t="s">
        <v>404</v>
      </c>
      <c r="K192" s="2">
        <v>10</v>
      </c>
      <c r="L192" s="2">
        <v>3</v>
      </c>
      <c r="M192" s="3" t="s">
        <v>411</v>
      </c>
      <c r="N192" s="3" t="s">
        <v>24</v>
      </c>
      <c r="O192" s="3" t="s">
        <v>25</v>
      </c>
      <c r="Q192" s="30" t="str">
        <f t="shared" si="2"/>
        <v>MAX : 
TARGET : Yes (Pass)
MIN : No (Fail)</v>
      </c>
    </row>
    <row r="193" spans="2:17" ht="41.4" x14ac:dyDescent="0.3">
      <c r="B193">
        <v>1</v>
      </c>
      <c r="C193" s="33">
        <v>1878</v>
      </c>
      <c r="D193" s="2">
        <v>1705</v>
      </c>
      <c r="E193" s="2" t="s">
        <v>6539</v>
      </c>
      <c r="F193" s="29" t="s">
        <v>14205</v>
      </c>
      <c r="H193" s="3" t="s">
        <v>11</v>
      </c>
      <c r="K193" s="2">
        <v>10</v>
      </c>
      <c r="L193" s="2">
        <v>2</v>
      </c>
      <c r="M193" s="3" t="s">
        <v>12</v>
      </c>
      <c r="N193" s="3" t="s">
        <v>13</v>
      </c>
      <c r="O193" s="3" t="s">
        <v>14</v>
      </c>
      <c r="Q193" s="30" t="str">
        <f t="shared" si="2"/>
        <v>MAX : 
TARGET : Yes(Pass)
MIN : No(Fail)</v>
      </c>
    </row>
    <row r="194" spans="2:17" ht="41.4" x14ac:dyDescent="0.3">
      <c r="B194">
        <v>1</v>
      </c>
      <c r="C194" s="33">
        <v>1878</v>
      </c>
      <c r="D194" s="2">
        <v>1705</v>
      </c>
      <c r="E194" s="2" t="s">
        <v>6539</v>
      </c>
      <c r="F194" s="29" t="s">
        <v>14205</v>
      </c>
      <c r="H194" s="3" t="s">
        <v>11</v>
      </c>
      <c r="K194" s="2">
        <v>10</v>
      </c>
      <c r="L194" s="2">
        <v>5</v>
      </c>
      <c r="M194" s="3" t="s">
        <v>477</v>
      </c>
      <c r="N194" s="3" t="s">
        <v>13</v>
      </c>
      <c r="O194" s="3" t="s">
        <v>14</v>
      </c>
      <c r="Q194" s="30" t="str">
        <f t="shared" ref="Q194:Q257" si="3">"MAX : " &amp; P194 &amp; CHAR(10) &amp; "TARGET : " &amp; O194 &amp; CHAR(10) &amp; "MIN : " &amp; N194</f>
        <v>MAX : 
TARGET : Yes(Pass)
MIN : No(Fail)</v>
      </c>
    </row>
    <row r="195" spans="2:17" ht="41.4" x14ac:dyDescent="0.3">
      <c r="B195">
        <v>0</v>
      </c>
      <c r="C195" s="33">
        <v>2700</v>
      </c>
      <c r="D195" s="2">
        <v>1714</v>
      </c>
      <c r="E195" s="2" t="s">
        <v>6632</v>
      </c>
      <c r="F195" s="3" t="s">
        <v>14206</v>
      </c>
      <c r="H195" s="3" t="s">
        <v>412</v>
      </c>
      <c r="K195" s="2">
        <v>40</v>
      </c>
      <c r="L195" s="2">
        <v>3</v>
      </c>
      <c r="M195" s="3" t="s">
        <v>194</v>
      </c>
      <c r="N195" s="3" t="s">
        <v>308</v>
      </c>
      <c r="O195" s="3" t="s">
        <v>309</v>
      </c>
      <c r="P195" s="3" t="s">
        <v>310</v>
      </c>
      <c r="Q195" s="30" t="str">
        <f t="shared" si="3"/>
        <v>MAX : 0.53
TARGET : 0.50
MIN : 0.47</v>
      </c>
    </row>
    <row r="196" spans="2:17" ht="41.4" x14ac:dyDescent="0.3">
      <c r="B196">
        <v>0</v>
      </c>
      <c r="C196" s="33">
        <v>2700</v>
      </c>
      <c r="D196" s="2">
        <v>1714</v>
      </c>
      <c r="E196" s="2" t="s">
        <v>6632</v>
      </c>
      <c r="F196" s="3" t="s">
        <v>14206</v>
      </c>
      <c r="H196" s="3" t="s">
        <v>412</v>
      </c>
      <c r="K196" s="2">
        <v>40</v>
      </c>
      <c r="L196" s="2">
        <v>5</v>
      </c>
      <c r="M196" s="3" t="s">
        <v>416</v>
      </c>
      <c r="N196" s="3" t="s">
        <v>13</v>
      </c>
      <c r="O196" s="3" t="s">
        <v>14</v>
      </c>
      <c r="Q196" s="30" t="str">
        <f t="shared" si="3"/>
        <v>MAX : 
TARGET : Yes(Pass)
MIN : No(Fail)</v>
      </c>
    </row>
    <row r="197" spans="2:17" ht="41.4" x14ac:dyDescent="0.3">
      <c r="B197">
        <v>1</v>
      </c>
      <c r="C197" s="33">
        <v>1878</v>
      </c>
      <c r="D197" s="2">
        <v>1705</v>
      </c>
      <c r="E197" s="2" t="s">
        <v>6539</v>
      </c>
      <c r="F197" s="29" t="s">
        <v>14205</v>
      </c>
      <c r="H197" s="3" t="s">
        <v>11</v>
      </c>
      <c r="K197" s="2">
        <v>10</v>
      </c>
      <c r="L197" s="2">
        <v>1</v>
      </c>
      <c r="M197" s="3" t="s">
        <v>5633</v>
      </c>
      <c r="N197" s="3" t="s">
        <v>24</v>
      </c>
      <c r="O197" s="3" t="s">
        <v>25</v>
      </c>
      <c r="Q197" s="30" t="str">
        <f t="shared" si="3"/>
        <v>MAX : 
TARGET : Yes (Pass)
MIN : No (Fail)</v>
      </c>
    </row>
    <row r="198" spans="2:17" ht="41.4" x14ac:dyDescent="0.3">
      <c r="B198">
        <v>1</v>
      </c>
      <c r="C198" s="33">
        <v>2186</v>
      </c>
      <c r="D198" s="2">
        <v>1706</v>
      </c>
      <c r="E198" s="2" t="s">
        <v>6546</v>
      </c>
      <c r="F198" s="3" t="s">
        <v>14206</v>
      </c>
      <c r="H198" s="3" t="s">
        <v>261</v>
      </c>
      <c r="K198" s="2">
        <v>10</v>
      </c>
      <c r="L198" s="2">
        <v>2</v>
      </c>
      <c r="M198" s="3" t="s">
        <v>265</v>
      </c>
      <c r="N198" s="3" t="s">
        <v>13</v>
      </c>
      <c r="O198" s="3" t="s">
        <v>14</v>
      </c>
      <c r="Q198" s="30" t="str">
        <f t="shared" si="3"/>
        <v>MAX : 
TARGET : Yes(Pass)
MIN : No(Fail)</v>
      </c>
    </row>
    <row r="199" spans="2:17" ht="41.4" x14ac:dyDescent="0.3">
      <c r="B199">
        <v>0</v>
      </c>
      <c r="C199" s="33">
        <v>2737</v>
      </c>
      <c r="D199" s="2">
        <v>894</v>
      </c>
      <c r="E199" s="2" t="s">
        <v>6640</v>
      </c>
      <c r="F199" s="3" t="s">
        <v>14206</v>
      </c>
      <c r="H199" s="3" t="s">
        <v>417</v>
      </c>
      <c r="K199" s="2">
        <v>20</v>
      </c>
      <c r="L199" s="2">
        <v>4</v>
      </c>
      <c r="M199" s="3" t="s">
        <v>421</v>
      </c>
      <c r="N199" s="3" t="s">
        <v>13</v>
      </c>
      <c r="O199" s="3" t="s">
        <v>14</v>
      </c>
      <c r="Q199" s="30" t="str">
        <f t="shared" si="3"/>
        <v>MAX : 
TARGET : Yes(Pass)
MIN : No(Fail)</v>
      </c>
    </row>
    <row r="200" spans="2:17" ht="41.4" x14ac:dyDescent="0.3">
      <c r="B200">
        <v>0</v>
      </c>
      <c r="C200" s="33">
        <v>2737</v>
      </c>
      <c r="D200" s="2">
        <v>894</v>
      </c>
      <c r="E200" s="2" t="s">
        <v>6640</v>
      </c>
      <c r="F200" s="3" t="s">
        <v>14206</v>
      </c>
      <c r="H200" s="3" t="s">
        <v>417</v>
      </c>
      <c r="K200" s="2">
        <v>20</v>
      </c>
      <c r="L200" s="2">
        <v>3</v>
      </c>
      <c r="M200" s="3" t="s">
        <v>422</v>
      </c>
      <c r="N200" s="3" t="s">
        <v>423</v>
      </c>
      <c r="O200" s="3" t="s">
        <v>424</v>
      </c>
      <c r="P200" s="3" t="s">
        <v>425</v>
      </c>
      <c r="Q200" s="30" t="str">
        <f t="shared" si="3"/>
        <v>MAX : 0.31
TARGET : 0.25
MIN : 0.19</v>
      </c>
    </row>
    <row r="201" spans="2:17" ht="41.4" x14ac:dyDescent="0.3">
      <c r="B201">
        <v>1</v>
      </c>
      <c r="C201" s="33">
        <v>2186</v>
      </c>
      <c r="D201" s="2">
        <v>1706</v>
      </c>
      <c r="E201" s="2" t="s">
        <v>6546</v>
      </c>
      <c r="F201" s="3" t="s">
        <v>14206</v>
      </c>
      <c r="H201" s="3" t="s">
        <v>261</v>
      </c>
      <c r="K201" s="2">
        <v>10</v>
      </c>
      <c r="L201" s="2">
        <v>1</v>
      </c>
      <c r="M201" s="3" t="s">
        <v>299</v>
      </c>
      <c r="N201" s="3" t="s">
        <v>316</v>
      </c>
      <c r="O201" s="3" t="s">
        <v>86</v>
      </c>
      <c r="P201" s="3" t="s">
        <v>317</v>
      </c>
      <c r="Q201" s="30" t="str">
        <f t="shared" si="3"/>
        <v>MAX : 0.515
TARGET : 0.500
MIN : 0.468</v>
      </c>
    </row>
    <row r="202" spans="2:17" ht="41.4" x14ac:dyDescent="0.3">
      <c r="B202">
        <v>1</v>
      </c>
      <c r="C202" s="33">
        <v>2187</v>
      </c>
      <c r="D202" s="2">
        <v>1707</v>
      </c>
      <c r="E202" s="2" t="s">
        <v>6552</v>
      </c>
      <c r="F202" s="3" t="s">
        <v>14206</v>
      </c>
      <c r="H202" s="3" t="s">
        <v>261</v>
      </c>
      <c r="K202" s="2">
        <v>10</v>
      </c>
      <c r="L202" s="2">
        <v>2</v>
      </c>
      <c r="M202" s="3" t="s">
        <v>265</v>
      </c>
      <c r="N202" s="3" t="s">
        <v>13</v>
      </c>
      <c r="O202" s="3" t="s">
        <v>14</v>
      </c>
      <c r="Q202" s="30" t="str">
        <f t="shared" si="3"/>
        <v>MAX : 
TARGET : Yes(Pass)
MIN : No(Fail)</v>
      </c>
    </row>
    <row r="203" spans="2:17" ht="41.4" x14ac:dyDescent="0.3">
      <c r="B203">
        <v>0</v>
      </c>
      <c r="C203" s="33">
        <v>2749</v>
      </c>
      <c r="D203" s="2">
        <v>895</v>
      </c>
      <c r="E203" s="2" t="s">
        <v>6647</v>
      </c>
      <c r="F203" s="3" t="s">
        <v>14212</v>
      </c>
      <c r="H203" s="3" t="s">
        <v>426</v>
      </c>
      <c r="K203" s="2">
        <v>20</v>
      </c>
      <c r="L203" s="2">
        <v>3</v>
      </c>
      <c r="M203" s="3" t="s">
        <v>18</v>
      </c>
      <c r="N203" s="3" t="s">
        <v>433</v>
      </c>
      <c r="O203" s="3" t="s">
        <v>86</v>
      </c>
      <c r="P203" s="3" t="s">
        <v>317</v>
      </c>
      <c r="Q203" s="30" t="str">
        <f t="shared" si="3"/>
        <v>MAX : 0.515
TARGET : 0.500
MIN : 0.485</v>
      </c>
    </row>
    <row r="204" spans="2:17" ht="41.4" x14ac:dyDescent="0.3">
      <c r="B204">
        <v>0</v>
      </c>
      <c r="C204" s="33">
        <v>2749</v>
      </c>
      <c r="D204" s="2">
        <v>895</v>
      </c>
      <c r="E204" s="2" t="s">
        <v>6647</v>
      </c>
      <c r="F204" s="3" t="s">
        <v>14212</v>
      </c>
      <c r="H204" s="3" t="s">
        <v>426</v>
      </c>
      <c r="K204" s="2">
        <v>20</v>
      </c>
      <c r="L204" s="2">
        <v>4</v>
      </c>
      <c r="M204" s="3" t="s">
        <v>434</v>
      </c>
      <c r="N204" s="3" t="s">
        <v>435</v>
      </c>
      <c r="O204" s="3" t="s">
        <v>436</v>
      </c>
      <c r="P204" s="3" t="s">
        <v>437</v>
      </c>
      <c r="Q204" s="30" t="str">
        <f t="shared" si="3"/>
        <v>MAX : 0.23
TARGET : 0.20
MIN : 0.17</v>
      </c>
    </row>
    <row r="205" spans="2:17" ht="41.4" x14ac:dyDescent="0.3">
      <c r="B205">
        <v>0</v>
      </c>
      <c r="C205" s="33">
        <v>2749</v>
      </c>
      <c r="D205" s="2">
        <v>895</v>
      </c>
      <c r="E205" s="2" t="s">
        <v>6647</v>
      </c>
      <c r="F205" s="3" t="s">
        <v>14212</v>
      </c>
      <c r="H205" s="3" t="s">
        <v>426</v>
      </c>
      <c r="K205" s="2">
        <v>20</v>
      </c>
      <c r="L205" s="2">
        <v>5</v>
      </c>
      <c r="M205" s="3" t="s">
        <v>438</v>
      </c>
      <c r="N205" s="3" t="s">
        <v>24</v>
      </c>
      <c r="O205" s="3" t="s">
        <v>25</v>
      </c>
      <c r="Q205" s="30" t="str">
        <f t="shared" si="3"/>
        <v>MAX : 
TARGET : Yes (Pass)
MIN : No (Fail)</v>
      </c>
    </row>
    <row r="206" spans="2:17" ht="41.4" x14ac:dyDescent="0.3">
      <c r="B206">
        <v>0</v>
      </c>
      <c r="C206" s="33">
        <v>2749</v>
      </c>
      <c r="D206" s="2">
        <v>895</v>
      </c>
      <c r="E206" s="2" t="s">
        <v>6647</v>
      </c>
      <c r="F206" s="3" t="s">
        <v>14212</v>
      </c>
      <c r="H206" s="3" t="s">
        <v>426</v>
      </c>
      <c r="K206" s="2">
        <v>20</v>
      </c>
      <c r="L206" s="2">
        <v>7</v>
      </c>
      <c r="M206" s="3" t="s">
        <v>439</v>
      </c>
      <c r="N206" s="3" t="s">
        <v>24</v>
      </c>
      <c r="O206" s="3" t="s">
        <v>25</v>
      </c>
      <c r="Q206" s="30" t="str">
        <f t="shared" si="3"/>
        <v>MAX : 
TARGET : Yes (Pass)
MIN : No (Fail)</v>
      </c>
    </row>
    <row r="207" spans="2:17" ht="41.4" x14ac:dyDescent="0.3">
      <c r="B207">
        <v>1</v>
      </c>
      <c r="C207" s="33">
        <v>2187</v>
      </c>
      <c r="D207" s="2">
        <v>1707</v>
      </c>
      <c r="E207" s="2" t="s">
        <v>6552</v>
      </c>
      <c r="F207" s="3" t="s">
        <v>14206</v>
      </c>
      <c r="H207" s="3" t="s">
        <v>261</v>
      </c>
      <c r="K207" s="2">
        <v>10</v>
      </c>
      <c r="L207" s="2">
        <v>1</v>
      </c>
      <c r="M207" s="3" t="s">
        <v>299</v>
      </c>
      <c r="N207" s="3" t="s">
        <v>316</v>
      </c>
      <c r="O207" s="3" t="s">
        <v>86</v>
      </c>
      <c r="P207" s="3" t="s">
        <v>317</v>
      </c>
      <c r="Q207" s="30" t="str">
        <f t="shared" si="3"/>
        <v>MAX : 0.515
TARGET : 0.500
MIN : 0.468</v>
      </c>
    </row>
    <row r="208" spans="2:17" ht="41.4" x14ac:dyDescent="0.3">
      <c r="B208">
        <v>1</v>
      </c>
      <c r="C208" s="33">
        <v>2190</v>
      </c>
      <c r="D208" s="2">
        <v>889</v>
      </c>
      <c r="E208" s="2" t="s">
        <v>6558</v>
      </c>
      <c r="F208" s="3" t="s">
        <v>14207</v>
      </c>
      <c r="G208" s="3" t="s">
        <v>229</v>
      </c>
      <c r="H208" s="3" t="s">
        <v>230</v>
      </c>
      <c r="K208" s="2">
        <v>10</v>
      </c>
      <c r="L208" s="2">
        <v>2</v>
      </c>
      <c r="M208" s="3" t="s">
        <v>198</v>
      </c>
      <c r="N208" s="3" t="s">
        <v>234</v>
      </c>
      <c r="O208" s="3" t="s">
        <v>149</v>
      </c>
      <c r="P208" s="3" t="s">
        <v>235</v>
      </c>
      <c r="Q208" s="30" t="str">
        <f t="shared" si="3"/>
        <v>MAX : 12.79
TARGET : 12.00
MIN : 11.21</v>
      </c>
    </row>
    <row r="209" spans="2:18" ht="41.4" x14ac:dyDescent="0.3">
      <c r="B209">
        <v>0</v>
      </c>
      <c r="C209" s="33">
        <v>1771</v>
      </c>
      <c r="D209" s="2">
        <v>886</v>
      </c>
      <c r="E209" s="2" t="s">
        <v>6496</v>
      </c>
      <c r="F209" s="3" t="s">
        <v>14206</v>
      </c>
      <c r="H209" s="3" t="s">
        <v>269</v>
      </c>
      <c r="K209" s="2">
        <v>20</v>
      </c>
      <c r="L209" s="2">
        <v>5</v>
      </c>
      <c r="M209" s="3" t="s">
        <v>448</v>
      </c>
      <c r="N209" s="3" t="s">
        <v>13</v>
      </c>
      <c r="O209" s="3" t="s">
        <v>14</v>
      </c>
      <c r="Q209" s="30" t="str">
        <f t="shared" si="3"/>
        <v>MAX : 
TARGET : Yes(Pass)
MIN : No(Fail)</v>
      </c>
      <c r="R209" s="3" t="s">
        <v>443</v>
      </c>
    </row>
    <row r="210" spans="2:18" ht="41.4" x14ac:dyDescent="0.3">
      <c r="B210">
        <v>0</v>
      </c>
      <c r="C210" s="33">
        <v>1771</v>
      </c>
      <c r="D210" s="2">
        <v>886</v>
      </c>
      <c r="E210" s="2" t="s">
        <v>6496</v>
      </c>
      <c r="F210" s="3" t="s">
        <v>14206</v>
      </c>
      <c r="H210" s="3" t="s">
        <v>269</v>
      </c>
      <c r="K210" s="2">
        <v>20</v>
      </c>
      <c r="L210" s="2">
        <v>6</v>
      </c>
      <c r="M210" s="3" t="s">
        <v>449</v>
      </c>
      <c r="N210" s="3" t="s">
        <v>13</v>
      </c>
      <c r="O210" s="3" t="s">
        <v>14</v>
      </c>
      <c r="Q210" s="30" t="str">
        <f t="shared" si="3"/>
        <v>MAX : 
TARGET : Yes(Pass)
MIN : No(Fail)</v>
      </c>
      <c r="R210" s="3" t="s">
        <v>443</v>
      </c>
    </row>
    <row r="211" spans="2:18" ht="41.4" x14ac:dyDescent="0.3">
      <c r="B211">
        <v>0</v>
      </c>
      <c r="C211" s="33">
        <v>1771</v>
      </c>
      <c r="D211" s="2">
        <v>886</v>
      </c>
      <c r="E211" s="2" t="s">
        <v>6496</v>
      </c>
      <c r="F211" s="3" t="s">
        <v>14206</v>
      </c>
      <c r="H211" s="3" t="s">
        <v>269</v>
      </c>
      <c r="K211" s="2">
        <v>20</v>
      </c>
      <c r="L211" s="2">
        <v>7</v>
      </c>
      <c r="M211" s="3" t="s">
        <v>93</v>
      </c>
      <c r="N211" s="3" t="s">
        <v>13</v>
      </c>
      <c r="O211" s="3" t="s">
        <v>14</v>
      </c>
      <c r="Q211" s="30" t="str">
        <f t="shared" si="3"/>
        <v>MAX : 
TARGET : Yes(Pass)
MIN : No(Fail)</v>
      </c>
      <c r="R211" s="3" t="s">
        <v>443</v>
      </c>
    </row>
    <row r="212" spans="2:18" ht="41.4" x14ac:dyDescent="0.3">
      <c r="B212">
        <v>1</v>
      </c>
      <c r="C212" s="33">
        <v>2190</v>
      </c>
      <c r="D212" s="2">
        <v>889</v>
      </c>
      <c r="E212" s="2" t="s">
        <v>6558</v>
      </c>
      <c r="F212" s="3" t="s">
        <v>14207</v>
      </c>
      <c r="G212" s="3" t="s">
        <v>229</v>
      </c>
      <c r="H212" s="3" t="s">
        <v>230</v>
      </c>
      <c r="K212" s="2">
        <v>10</v>
      </c>
      <c r="L212" s="2">
        <v>1</v>
      </c>
      <c r="M212" s="3" t="s">
        <v>194</v>
      </c>
      <c r="N212" s="3" t="s">
        <v>231</v>
      </c>
      <c r="O212" s="3" t="s">
        <v>232</v>
      </c>
      <c r="P212" s="3" t="s">
        <v>233</v>
      </c>
      <c r="Q212" s="30" t="str">
        <f t="shared" si="3"/>
        <v>MAX : 40.79
TARGET : 40.00
MIN : 39.21</v>
      </c>
    </row>
    <row r="213" spans="2:18" ht="41.4" x14ac:dyDescent="0.3">
      <c r="B213">
        <v>1</v>
      </c>
      <c r="C213" s="33">
        <v>2191</v>
      </c>
      <c r="D213" s="2">
        <v>1708</v>
      </c>
      <c r="E213" s="2" t="s">
        <v>6565</v>
      </c>
      <c r="F213" s="3" t="s">
        <v>14207</v>
      </c>
      <c r="H213" s="3" t="s">
        <v>50</v>
      </c>
      <c r="K213" s="2">
        <v>10</v>
      </c>
      <c r="L213" s="2">
        <v>2</v>
      </c>
      <c r="M213" s="3" t="s">
        <v>70</v>
      </c>
      <c r="N213" s="3" t="s">
        <v>256</v>
      </c>
      <c r="O213" s="3" t="s">
        <v>257</v>
      </c>
      <c r="P213" s="3" t="s">
        <v>258</v>
      </c>
      <c r="Q213" s="30" t="str">
        <f t="shared" si="3"/>
        <v>MAX : 15.4
TARGET : 15.0
MIN : 14.6</v>
      </c>
    </row>
    <row r="214" spans="2:18" ht="41.4" x14ac:dyDescent="0.3">
      <c r="B214">
        <v>0</v>
      </c>
      <c r="C214" s="33">
        <v>2812</v>
      </c>
      <c r="D214" s="2">
        <v>1715</v>
      </c>
      <c r="E214" s="2" t="s">
        <v>6655</v>
      </c>
      <c r="F214" s="3" t="s">
        <v>14206</v>
      </c>
      <c r="H214" s="3" t="s">
        <v>193</v>
      </c>
      <c r="K214" s="2">
        <v>20</v>
      </c>
      <c r="L214" s="2">
        <v>3</v>
      </c>
      <c r="M214" s="3" t="s">
        <v>453</v>
      </c>
      <c r="O214" s="3" t="s">
        <v>123</v>
      </c>
      <c r="P214" s="3" t="s">
        <v>124</v>
      </c>
      <c r="Q214" s="30" t="str">
        <f t="shared" si="3"/>
        <v xml:space="preserve">MAX : Yes (Fail)
TARGET : No (Pass)
MIN : </v>
      </c>
    </row>
    <row r="215" spans="2:18" ht="41.4" x14ac:dyDescent="0.3">
      <c r="B215">
        <v>0</v>
      </c>
      <c r="C215" s="33">
        <v>2812</v>
      </c>
      <c r="D215" s="2">
        <v>1715</v>
      </c>
      <c r="E215" s="2" t="s">
        <v>6655</v>
      </c>
      <c r="F215" s="3" t="s">
        <v>14206</v>
      </c>
      <c r="H215" s="3" t="s">
        <v>193</v>
      </c>
      <c r="K215" s="2">
        <v>20</v>
      </c>
      <c r="L215" s="2">
        <v>4</v>
      </c>
      <c r="M215" s="3" t="s">
        <v>454</v>
      </c>
      <c r="O215" s="3" t="s">
        <v>25</v>
      </c>
      <c r="P215" s="3" t="s">
        <v>24</v>
      </c>
      <c r="Q215" s="30" t="str">
        <f t="shared" si="3"/>
        <v xml:space="preserve">MAX : No (Fail)
TARGET : Yes (Pass)
MIN : </v>
      </c>
    </row>
    <row r="216" spans="2:18" ht="41.4" x14ac:dyDescent="0.3">
      <c r="B216">
        <v>0</v>
      </c>
      <c r="C216" s="33">
        <v>2812</v>
      </c>
      <c r="D216" s="2">
        <v>1715</v>
      </c>
      <c r="E216" s="2" t="s">
        <v>6655</v>
      </c>
      <c r="F216" s="3" t="s">
        <v>14206</v>
      </c>
      <c r="H216" s="3" t="s">
        <v>193</v>
      </c>
      <c r="K216" s="2">
        <v>10</v>
      </c>
      <c r="L216" s="2">
        <v>5</v>
      </c>
      <c r="M216" s="3" t="s">
        <v>455</v>
      </c>
      <c r="N216" s="3" t="s">
        <v>13</v>
      </c>
      <c r="O216" s="3" t="s">
        <v>14</v>
      </c>
      <c r="Q216" s="30" t="str">
        <f t="shared" si="3"/>
        <v>MAX : 
TARGET : Yes(Pass)
MIN : No(Fail)</v>
      </c>
    </row>
    <row r="217" spans="2:18" ht="41.4" x14ac:dyDescent="0.3">
      <c r="B217">
        <v>1</v>
      </c>
      <c r="C217" s="33">
        <v>2191</v>
      </c>
      <c r="D217" s="2">
        <v>1708</v>
      </c>
      <c r="E217" s="2" t="s">
        <v>6565</v>
      </c>
      <c r="F217" s="3" t="s">
        <v>14207</v>
      </c>
      <c r="H217" s="3" t="s">
        <v>50</v>
      </c>
      <c r="K217" s="2">
        <v>10</v>
      </c>
      <c r="L217" s="2">
        <v>1</v>
      </c>
      <c r="M217" s="3" t="s">
        <v>18</v>
      </c>
      <c r="N217" s="3" t="s">
        <v>254</v>
      </c>
      <c r="O217" s="3" t="s">
        <v>35</v>
      </c>
      <c r="P217" s="3" t="s">
        <v>255</v>
      </c>
      <c r="Q217" s="30" t="str">
        <f t="shared" si="3"/>
        <v>MAX : 19.4
TARGET : 19.0
MIN : 18.6</v>
      </c>
    </row>
    <row r="218" spans="2:18" ht="41.4" x14ac:dyDescent="0.3">
      <c r="B218">
        <v>1</v>
      </c>
      <c r="C218" s="33">
        <v>2282</v>
      </c>
      <c r="D218" s="2">
        <v>1709</v>
      </c>
      <c r="E218" s="2" t="s">
        <v>6571</v>
      </c>
      <c r="F218" s="3" t="s">
        <v>14206</v>
      </c>
      <c r="H218" s="3" t="s">
        <v>50</v>
      </c>
      <c r="K218" s="2">
        <v>10</v>
      </c>
      <c r="L218" s="2">
        <v>2</v>
      </c>
      <c r="M218" s="3" t="s">
        <v>55</v>
      </c>
      <c r="N218" s="3" t="s">
        <v>56</v>
      </c>
      <c r="O218" s="3" t="s">
        <v>20</v>
      </c>
      <c r="P218" s="3" t="s">
        <v>57</v>
      </c>
      <c r="Q218" s="30" t="str">
        <f t="shared" si="3"/>
        <v>MAX : 0.765
TARGET : 0.750
MIN : 0.735</v>
      </c>
    </row>
    <row r="219" spans="2:18" ht="41.4" x14ac:dyDescent="0.3">
      <c r="B219">
        <v>1</v>
      </c>
      <c r="C219" s="33">
        <v>2282</v>
      </c>
      <c r="D219" s="2">
        <v>1709</v>
      </c>
      <c r="E219" s="2" t="s">
        <v>6571</v>
      </c>
      <c r="F219" s="3" t="s">
        <v>14206</v>
      </c>
      <c r="H219" s="3" t="s">
        <v>50</v>
      </c>
      <c r="K219" s="2">
        <v>10</v>
      </c>
      <c r="L219" s="2">
        <v>1</v>
      </c>
      <c r="M219" s="3" t="s">
        <v>51</v>
      </c>
      <c r="N219" s="3" t="s">
        <v>52</v>
      </c>
      <c r="O219" s="3" t="s">
        <v>53</v>
      </c>
      <c r="P219" s="3" t="s">
        <v>54</v>
      </c>
      <c r="Q219" s="30" t="str">
        <f t="shared" si="3"/>
        <v>MAX : 0.470
TARGET : 0.455
MIN : 0.440</v>
      </c>
    </row>
    <row r="220" spans="2:18" ht="41.4" x14ac:dyDescent="0.3">
      <c r="B220">
        <v>1</v>
      </c>
      <c r="C220" s="33">
        <v>2314</v>
      </c>
      <c r="D220" s="2">
        <v>1710</v>
      </c>
      <c r="E220" s="2" t="s">
        <v>6363</v>
      </c>
      <c r="F220" s="3" t="s">
        <v>14207</v>
      </c>
      <c r="H220" s="3" t="s">
        <v>66</v>
      </c>
      <c r="K220" s="2">
        <v>10</v>
      </c>
      <c r="L220" s="2">
        <v>1</v>
      </c>
      <c r="M220" s="3" t="s">
        <v>18</v>
      </c>
      <c r="N220" s="3" t="s">
        <v>956</v>
      </c>
      <c r="O220" s="3" t="s">
        <v>35</v>
      </c>
      <c r="P220" s="3" t="s">
        <v>957</v>
      </c>
      <c r="Q220" s="30" t="str">
        <f t="shared" si="3"/>
        <v>MAX : 19.5
TARGET : 19.0
MIN : 18.5</v>
      </c>
    </row>
    <row r="221" spans="2:18" ht="41.4" x14ac:dyDescent="0.3">
      <c r="B221">
        <v>0</v>
      </c>
      <c r="C221" s="33">
        <v>847</v>
      </c>
      <c r="D221" s="2">
        <v>1693</v>
      </c>
      <c r="E221" s="2" t="s">
        <v>6409</v>
      </c>
      <c r="F221" s="3" t="s">
        <v>14206</v>
      </c>
      <c r="H221" s="3" t="s">
        <v>11</v>
      </c>
      <c r="K221" s="2">
        <v>10</v>
      </c>
      <c r="L221" s="2">
        <v>3</v>
      </c>
      <c r="M221" s="3" t="s">
        <v>468</v>
      </c>
      <c r="N221" s="3" t="s">
        <v>13</v>
      </c>
      <c r="O221" s="3" t="s">
        <v>14</v>
      </c>
      <c r="Q221" s="30" t="str">
        <f t="shared" si="3"/>
        <v>MAX : 
TARGET : Yes(Pass)
MIN : No(Fail)</v>
      </c>
    </row>
    <row r="222" spans="2:18" ht="41.4" x14ac:dyDescent="0.3">
      <c r="B222">
        <v>1</v>
      </c>
      <c r="C222" s="33">
        <v>2314</v>
      </c>
      <c r="D222" s="2">
        <v>1710</v>
      </c>
      <c r="E222" s="2" t="s">
        <v>6363</v>
      </c>
      <c r="F222" s="3" t="s">
        <v>14207</v>
      </c>
      <c r="H222" s="3" t="s">
        <v>66</v>
      </c>
      <c r="K222" s="2">
        <v>10</v>
      </c>
      <c r="L222" s="2">
        <v>2</v>
      </c>
      <c r="M222" s="3" t="s">
        <v>70</v>
      </c>
      <c r="N222" s="3" t="s">
        <v>956</v>
      </c>
      <c r="O222" s="3" t="s">
        <v>35</v>
      </c>
      <c r="P222" s="3" t="s">
        <v>957</v>
      </c>
      <c r="Q222" s="30" t="str">
        <f t="shared" si="3"/>
        <v>MAX : 19.5
TARGET : 19.0
MIN : 18.5</v>
      </c>
    </row>
    <row r="223" spans="2:18" ht="41.4" x14ac:dyDescent="0.3">
      <c r="B223">
        <v>1</v>
      </c>
      <c r="C223" s="33">
        <v>2329</v>
      </c>
      <c r="D223" s="2">
        <v>890</v>
      </c>
      <c r="E223" s="2" t="s">
        <v>6583</v>
      </c>
      <c r="F223" s="3" t="s">
        <v>14206</v>
      </c>
      <c r="H223" s="3" t="s">
        <v>80</v>
      </c>
      <c r="K223" s="2">
        <v>10</v>
      </c>
      <c r="L223" s="2">
        <v>2</v>
      </c>
      <c r="M223" s="3" t="s">
        <v>85</v>
      </c>
      <c r="N223" s="3" t="s">
        <v>54</v>
      </c>
      <c r="O223" s="3" t="s">
        <v>86</v>
      </c>
      <c r="P223" s="3" t="s">
        <v>87</v>
      </c>
      <c r="Q223" s="30" t="str">
        <f t="shared" si="3"/>
        <v>MAX : 0.530
TARGET : 0.500
MIN : 0.470</v>
      </c>
    </row>
    <row r="224" spans="2:18" ht="41.4" x14ac:dyDescent="0.3">
      <c r="B224">
        <v>0</v>
      </c>
      <c r="C224" s="33">
        <v>2886</v>
      </c>
      <c r="D224" s="2">
        <v>896</v>
      </c>
      <c r="E224" s="2" t="s">
        <v>6668</v>
      </c>
      <c r="F224" s="3" t="s">
        <v>14206</v>
      </c>
      <c r="H224" s="3" t="s">
        <v>469</v>
      </c>
      <c r="K224" s="2">
        <v>20</v>
      </c>
      <c r="L224" s="2">
        <v>3</v>
      </c>
      <c r="M224" s="3" t="s">
        <v>18</v>
      </c>
      <c r="N224" s="3" t="s">
        <v>263</v>
      </c>
      <c r="O224" s="3" t="s">
        <v>309</v>
      </c>
      <c r="P224" s="3" t="s">
        <v>475</v>
      </c>
      <c r="Q224" s="30" t="str">
        <f t="shared" si="3"/>
        <v>MAX : 0.51
TARGET : 0.50
MIN : 0.49</v>
      </c>
    </row>
    <row r="225" spans="2:17" ht="41.4" x14ac:dyDescent="0.3">
      <c r="B225">
        <v>0</v>
      </c>
      <c r="C225" s="33">
        <v>2886</v>
      </c>
      <c r="D225" s="2">
        <v>896</v>
      </c>
      <c r="E225" s="2" t="s">
        <v>6668</v>
      </c>
      <c r="F225" s="3" t="s">
        <v>14206</v>
      </c>
      <c r="H225" s="3" t="s">
        <v>469</v>
      </c>
      <c r="K225" s="2">
        <v>20</v>
      </c>
      <c r="L225" s="2">
        <v>4</v>
      </c>
      <c r="M225" s="3" t="s">
        <v>434</v>
      </c>
      <c r="N225" s="3" t="s">
        <v>435</v>
      </c>
      <c r="O225" s="3" t="s">
        <v>436</v>
      </c>
      <c r="P225" s="3" t="s">
        <v>437</v>
      </c>
      <c r="Q225" s="30" t="str">
        <f t="shared" si="3"/>
        <v>MAX : 0.23
TARGET : 0.20
MIN : 0.17</v>
      </c>
    </row>
    <row r="226" spans="2:17" ht="41.4" x14ac:dyDescent="0.3">
      <c r="B226">
        <v>0</v>
      </c>
      <c r="C226" s="33">
        <v>2886</v>
      </c>
      <c r="D226" s="2">
        <v>896</v>
      </c>
      <c r="E226" s="2" t="s">
        <v>6668</v>
      </c>
      <c r="F226" s="3" t="s">
        <v>14206</v>
      </c>
      <c r="H226" s="3" t="s">
        <v>469</v>
      </c>
      <c r="K226" s="2">
        <v>20</v>
      </c>
      <c r="L226" s="2">
        <v>5</v>
      </c>
      <c r="M226" s="3" t="s">
        <v>476</v>
      </c>
      <c r="N226" s="3" t="s">
        <v>24</v>
      </c>
      <c r="O226" s="3" t="s">
        <v>25</v>
      </c>
      <c r="Q226" s="30" t="str">
        <f t="shared" si="3"/>
        <v>MAX : 
TARGET : Yes (Pass)
MIN : No (Fail)</v>
      </c>
    </row>
    <row r="227" spans="2:17" ht="41.4" x14ac:dyDescent="0.3">
      <c r="B227">
        <v>0</v>
      </c>
      <c r="C227" s="33">
        <v>2886</v>
      </c>
      <c r="D227" s="2">
        <v>896</v>
      </c>
      <c r="E227" s="2" t="s">
        <v>6668</v>
      </c>
      <c r="F227" s="3" t="s">
        <v>14206</v>
      </c>
      <c r="H227" s="3" t="s">
        <v>469</v>
      </c>
      <c r="K227" s="2">
        <v>20</v>
      </c>
      <c r="L227" s="2">
        <v>7</v>
      </c>
      <c r="M227" s="3" t="s">
        <v>93</v>
      </c>
      <c r="N227" s="3" t="s">
        <v>24</v>
      </c>
      <c r="O227" s="3" t="s">
        <v>25</v>
      </c>
      <c r="Q227" s="30" t="str">
        <f t="shared" si="3"/>
        <v>MAX : 
TARGET : Yes (Pass)
MIN : No (Fail)</v>
      </c>
    </row>
    <row r="228" spans="2:17" ht="41.4" x14ac:dyDescent="0.3">
      <c r="B228">
        <v>1</v>
      </c>
      <c r="C228" s="33">
        <v>2329</v>
      </c>
      <c r="D228" s="2">
        <v>890</v>
      </c>
      <c r="E228" s="2" t="s">
        <v>6583</v>
      </c>
      <c r="F228" s="3" t="s">
        <v>14206</v>
      </c>
      <c r="H228" s="3" t="s">
        <v>80</v>
      </c>
      <c r="K228" s="2">
        <v>10</v>
      </c>
      <c r="L228" s="2">
        <v>1</v>
      </c>
      <c r="M228" s="3" t="s">
        <v>81</v>
      </c>
      <c r="N228" s="3" t="s">
        <v>82</v>
      </c>
      <c r="O228" s="3" t="s">
        <v>83</v>
      </c>
      <c r="P228" s="3" t="s">
        <v>84</v>
      </c>
      <c r="Q228" s="30" t="str">
        <f t="shared" si="3"/>
        <v>MAX : 0.850
TARGET : 0.820
MIN : 0.790</v>
      </c>
    </row>
    <row r="229" spans="2:17" ht="41.4" x14ac:dyDescent="0.3">
      <c r="B229">
        <v>1</v>
      </c>
      <c r="C229" s="33">
        <v>2329</v>
      </c>
      <c r="D229" s="2">
        <v>890</v>
      </c>
      <c r="E229" s="2" t="s">
        <v>6583</v>
      </c>
      <c r="F229" s="3" t="s">
        <v>14206</v>
      </c>
      <c r="H229" s="3" t="s">
        <v>80</v>
      </c>
      <c r="K229" s="2">
        <v>10</v>
      </c>
      <c r="L229" s="2">
        <v>6</v>
      </c>
      <c r="M229" s="3" t="s">
        <v>503</v>
      </c>
      <c r="N229" s="3" t="s">
        <v>24</v>
      </c>
      <c r="O229" s="3" t="s">
        <v>25</v>
      </c>
      <c r="Q229" s="30" t="str">
        <f t="shared" si="3"/>
        <v>MAX : 
TARGET : Yes (Pass)
MIN : No (Fail)</v>
      </c>
    </row>
    <row r="230" spans="2:17" ht="41.4" x14ac:dyDescent="0.3">
      <c r="B230">
        <v>1</v>
      </c>
      <c r="C230" s="33">
        <v>2347</v>
      </c>
      <c r="D230" s="2">
        <v>891</v>
      </c>
      <c r="E230" s="2" t="s">
        <v>6591</v>
      </c>
      <c r="F230" s="29" t="s">
        <v>14211</v>
      </c>
      <c r="H230" s="3" t="s">
        <v>210</v>
      </c>
      <c r="K230" s="2">
        <v>10</v>
      </c>
      <c r="L230" s="2">
        <v>5</v>
      </c>
      <c r="M230" s="3" t="s">
        <v>215</v>
      </c>
      <c r="N230" s="3" t="s">
        <v>216</v>
      </c>
      <c r="O230" s="3" t="s">
        <v>217</v>
      </c>
      <c r="P230" s="3" t="s">
        <v>218</v>
      </c>
      <c r="Q230" s="30" t="str">
        <f t="shared" si="3"/>
        <v>MAX : 0.180
TARGET : 0.150
MIN : 0.120</v>
      </c>
    </row>
    <row r="231" spans="2:17" ht="41.4" x14ac:dyDescent="0.3">
      <c r="B231">
        <v>1</v>
      </c>
      <c r="C231" s="33">
        <v>2347</v>
      </c>
      <c r="D231" s="2">
        <v>891</v>
      </c>
      <c r="E231" s="2" t="s">
        <v>6591</v>
      </c>
      <c r="F231" s="29" t="s">
        <v>14211</v>
      </c>
      <c r="H231" s="3" t="s">
        <v>210</v>
      </c>
      <c r="K231" s="2">
        <v>10</v>
      </c>
      <c r="L231" s="2">
        <v>3</v>
      </c>
      <c r="M231" s="3" t="s">
        <v>211</v>
      </c>
      <c r="N231" s="3" t="s">
        <v>212</v>
      </c>
      <c r="O231" s="3" t="s">
        <v>213</v>
      </c>
      <c r="P231" s="3" t="s">
        <v>214</v>
      </c>
      <c r="Q231" s="30" t="str">
        <f t="shared" si="3"/>
        <v>MAX : 6.005
TARGET : 6.000
MIN : 5.995</v>
      </c>
    </row>
    <row r="232" spans="2:17" ht="41.4" x14ac:dyDescent="0.3">
      <c r="B232">
        <v>1</v>
      </c>
      <c r="C232" s="33">
        <v>2347</v>
      </c>
      <c r="D232" s="2">
        <v>891</v>
      </c>
      <c r="E232" s="2" t="s">
        <v>6591</v>
      </c>
      <c r="F232" s="29" t="s">
        <v>14211</v>
      </c>
      <c r="H232" s="3" t="s">
        <v>210</v>
      </c>
      <c r="K232" s="2">
        <v>10</v>
      </c>
      <c r="L232" s="2">
        <v>11</v>
      </c>
      <c r="M232" s="3" t="s">
        <v>581</v>
      </c>
      <c r="N232" s="3" t="s">
        <v>24</v>
      </c>
      <c r="O232" s="3" t="s">
        <v>25</v>
      </c>
      <c r="Q232" s="30" t="str">
        <f t="shared" si="3"/>
        <v>MAX : 
TARGET : Yes (Pass)
MIN : No (Fail)</v>
      </c>
    </row>
    <row r="233" spans="2:17" ht="41.4" x14ac:dyDescent="0.3">
      <c r="B233">
        <v>1</v>
      </c>
      <c r="C233" s="33">
        <v>2347</v>
      </c>
      <c r="D233" s="2">
        <v>891</v>
      </c>
      <c r="E233" s="2" t="s">
        <v>6591</v>
      </c>
      <c r="F233" s="29" t="s">
        <v>14211</v>
      </c>
      <c r="H233" s="3" t="s">
        <v>210</v>
      </c>
      <c r="K233" s="2">
        <v>10</v>
      </c>
      <c r="L233" s="2">
        <v>12</v>
      </c>
      <c r="M233" s="3" t="s">
        <v>567</v>
      </c>
      <c r="N233" s="3" t="s">
        <v>24</v>
      </c>
      <c r="O233" s="3" t="s">
        <v>25</v>
      </c>
      <c r="Q233" s="30" t="str">
        <f t="shared" si="3"/>
        <v>MAX : 
TARGET : Yes (Pass)
MIN : No (Fail)</v>
      </c>
    </row>
    <row r="234" spans="2:17" ht="41.4" x14ac:dyDescent="0.3">
      <c r="B234">
        <v>1</v>
      </c>
      <c r="C234" s="33">
        <v>2347</v>
      </c>
      <c r="D234" s="2">
        <v>891</v>
      </c>
      <c r="E234" s="2" t="s">
        <v>6591</v>
      </c>
      <c r="F234" s="29" t="s">
        <v>14211</v>
      </c>
      <c r="H234" s="3" t="s">
        <v>210</v>
      </c>
      <c r="K234" s="2">
        <v>10</v>
      </c>
      <c r="L234" s="2">
        <v>4</v>
      </c>
      <c r="M234" s="3" t="s">
        <v>5801</v>
      </c>
      <c r="N234" s="3" t="s">
        <v>5802</v>
      </c>
      <c r="O234" s="3" t="s">
        <v>5803</v>
      </c>
      <c r="P234" s="3" t="s">
        <v>5804</v>
      </c>
      <c r="Q234" s="30" t="str">
        <f t="shared" si="3"/>
        <v>MAX : 3.405
TARGET : 3.400
MIN : 3.395</v>
      </c>
    </row>
    <row r="235" spans="2:17" ht="41.4" x14ac:dyDescent="0.3">
      <c r="B235">
        <v>0</v>
      </c>
      <c r="C235" s="33">
        <v>3034</v>
      </c>
      <c r="D235" s="2">
        <v>1718</v>
      </c>
      <c r="E235" s="2" t="s">
        <v>6689</v>
      </c>
      <c r="F235" s="3" t="s">
        <v>14206</v>
      </c>
      <c r="H235" s="3" t="s">
        <v>491</v>
      </c>
      <c r="K235" s="2">
        <v>10</v>
      </c>
      <c r="L235" s="2">
        <v>3</v>
      </c>
      <c r="M235" s="3" t="s">
        <v>165</v>
      </c>
      <c r="N235" s="3" t="s">
        <v>24</v>
      </c>
      <c r="O235" s="3" t="s">
        <v>25</v>
      </c>
      <c r="Q235" s="30" t="str">
        <f t="shared" si="3"/>
        <v>MAX : 
TARGET : Yes (Pass)
MIN : No (Fail)</v>
      </c>
    </row>
    <row r="236" spans="2:17" ht="41.4" x14ac:dyDescent="0.3">
      <c r="B236">
        <v>0</v>
      </c>
      <c r="C236" s="33">
        <v>3034</v>
      </c>
      <c r="D236" s="2">
        <v>1718</v>
      </c>
      <c r="E236" s="2" t="s">
        <v>6689</v>
      </c>
      <c r="F236" s="3" t="s">
        <v>14206</v>
      </c>
      <c r="H236" s="3" t="s">
        <v>491</v>
      </c>
      <c r="K236" s="2">
        <v>10</v>
      </c>
      <c r="L236" s="2">
        <v>4</v>
      </c>
      <c r="M236" s="3" t="s">
        <v>166</v>
      </c>
      <c r="N236" s="3" t="s">
        <v>24</v>
      </c>
      <c r="O236" s="3" t="s">
        <v>25</v>
      </c>
      <c r="Q236" s="30" t="str">
        <f t="shared" si="3"/>
        <v>MAX : 
TARGET : Yes (Pass)
MIN : No (Fail)</v>
      </c>
    </row>
    <row r="237" spans="2:17" ht="41.4" x14ac:dyDescent="0.3">
      <c r="B237">
        <v>0</v>
      </c>
      <c r="C237" s="33">
        <v>3034</v>
      </c>
      <c r="D237" s="2">
        <v>1718</v>
      </c>
      <c r="E237" s="2" t="s">
        <v>6689</v>
      </c>
      <c r="F237" s="3" t="s">
        <v>14206</v>
      </c>
      <c r="H237" s="3" t="s">
        <v>491</v>
      </c>
      <c r="K237" s="2">
        <v>10</v>
      </c>
      <c r="L237" s="2">
        <v>5</v>
      </c>
      <c r="M237" s="3" t="s">
        <v>495</v>
      </c>
      <c r="N237" s="3" t="s">
        <v>24</v>
      </c>
      <c r="O237" s="3" t="s">
        <v>25</v>
      </c>
      <c r="Q237" s="30" t="str">
        <f t="shared" si="3"/>
        <v>MAX : 
TARGET : Yes (Pass)
MIN : No (Fail)</v>
      </c>
    </row>
    <row r="238" spans="2:17" ht="41.4" x14ac:dyDescent="0.3">
      <c r="B238">
        <v>1</v>
      </c>
      <c r="C238" s="33">
        <v>2347</v>
      </c>
      <c r="D238" s="2">
        <v>891</v>
      </c>
      <c r="E238" s="2" t="s">
        <v>6591</v>
      </c>
      <c r="F238" s="29" t="s">
        <v>14211</v>
      </c>
      <c r="H238" s="3" t="s">
        <v>210</v>
      </c>
      <c r="K238" s="2">
        <v>10</v>
      </c>
      <c r="L238" s="2">
        <v>1</v>
      </c>
      <c r="M238" s="3" t="s">
        <v>5805</v>
      </c>
      <c r="N238" s="3" t="s">
        <v>1021</v>
      </c>
      <c r="O238" s="3" t="s">
        <v>5809</v>
      </c>
      <c r="P238" s="3" t="s">
        <v>1417</v>
      </c>
      <c r="Q238" s="30" t="str">
        <f t="shared" si="3"/>
        <v>MAX : 0.845
TARGET : 0.840
MIN : 0.835</v>
      </c>
    </row>
    <row r="239" spans="2:17" ht="41.4" x14ac:dyDescent="0.3">
      <c r="B239">
        <v>1</v>
      </c>
      <c r="C239" s="33">
        <v>2347</v>
      </c>
      <c r="D239" s="2">
        <v>891</v>
      </c>
      <c r="E239" s="2" t="s">
        <v>6591</v>
      </c>
      <c r="F239" s="29" t="s">
        <v>14211</v>
      </c>
      <c r="H239" s="3" t="s">
        <v>210</v>
      </c>
      <c r="K239" s="2">
        <v>10</v>
      </c>
      <c r="L239" s="2">
        <v>2</v>
      </c>
      <c r="M239" s="3" t="s">
        <v>5807</v>
      </c>
      <c r="N239" s="3" t="s">
        <v>3737</v>
      </c>
      <c r="O239" s="3" t="s">
        <v>2185</v>
      </c>
      <c r="P239" s="3" t="s">
        <v>928</v>
      </c>
      <c r="Q239" s="30" t="str">
        <f t="shared" si="3"/>
        <v>MAX : 0.395
TARGET : 0.390
MIN : 0.385</v>
      </c>
    </row>
    <row r="240" spans="2:17" ht="41.4" x14ac:dyDescent="0.3">
      <c r="B240">
        <v>0</v>
      </c>
      <c r="C240" s="33">
        <v>3036</v>
      </c>
      <c r="D240" s="2">
        <v>898</v>
      </c>
      <c r="E240" s="2" t="s">
        <v>6697</v>
      </c>
      <c r="F240" s="29" t="s">
        <v>14211</v>
      </c>
      <c r="G240" s="3" t="s">
        <v>496</v>
      </c>
      <c r="H240" s="3" t="s">
        <v>210</v>
      </c>
      <c r="K240" s="2">
        <v>10</v>
      </c>
      <c r="L240" s="2">
        <v>6</v>
      </c>
      <c r="M240" s="3" t="s">
        <v>498</v>
      </c>
      <c r="N240" s="3" t="s">
        <v>216</v>
      </c>
      <c r="O240" s="3" t="s">
        <v>217</v>
      </c>
      <c r="P240" s="3" t="s">
        <v>218</v>
      </c>
      <c r="Q240" s="30" t="str">
        <f t="shared" si="3"/>
        <v>MAX : 0.180
TARGET : 0.150
MIN : 0.120</v>
      </c>
    </row>
    <row r="241" spans="2:17" ht="41.4" x14ac:dyDescent="0.3">
      <c r="B241">
        <v>0</v>
      </c>
      <c r="C241" s="33">
        <v>3036</v>
      </c>
      <c r="D241" s="2">
        <v>898</v>
      </c>
      <c r="E241" s="2" t="s">
        <v>6697</v>
      </c>
      <c r="F241" s="29" t="s">
        <v>14211</v>
      </c>
      <c r="G241" s="3" t="s">
        <v>496</v>
      </c>
      <c r="H241" s="3" t="s">
        <v>210</v>
      </c>
      <c r="K241" s="2">
        <v>10</v>
      </c>
      <c r="L241" s="2">
        <v>9</v>
      </c>
      <c r="M241" s="3" t="s">
        <v>220</v>
      </c>
      <c r="N241" s="3" t="s">
        <v>221</v>
      </c>
      <c r="O241" s="3" t="s">
        <v>222</v>
      </c>
      <c r="P241" s="3" t="s">
        <v>223</v>
      </c>
      <c r="Q241" s="30" t="str">
        <f t="shared" si="3"/>
        <v>MAX : 3.715
TARGET : 3.700
MIN : 3.685</v>
      </c>
    </row>
    <row r="242" spans="2:17" ht="41.4" x14ac:dyDescent="0.3">
      <c r="B242">
        <v>0</v>
      </c>
      <c r="C242" s="33">
        <v>3036</v>
      </c>
      <c r="D242" s="2">
        <v>898</v>
      </c>
      <c r="E242" s="2" t="s">
        <v>6697</v>
      </c>
      <c r="F242" s="29" t="s">
        <v>14211</v>
      </c>
      <c r="G242" s="3" t="s">
        <v>496</v>
      </c>
      <c r="H242" s="3" t="s">
        <v>210</v>
      </c>
      <c r="K242" s="2">
        <v>10</v>
      </c>
      <c r="L242" s="2">
        <v>7</v>
      </c>
      <c r="M242" s="3" t="s">
        <v>499</v>
      </c>
      <c r="N242" s="3" t="s">
        <v>90</v>
      </c>
      <c r="O242" s="3" t="s">
        <v>91</v>
      </c>
      <c r="P242" s="3" t="s">
        <v>92</v>
      </c>
      <c r="Q242" s="30" t="str">
        <f t="shared" si="3"/>
        <v>MAX : 0.230
TARGET : 0.200
MIN : 0.170</v>
      </c>
    </row>
    <row r="243" spans="2:17" ht="41.4" x14ac:dyDescent="0.3">
      <c r="B243">
        <v>0</v>
      </c>
      <c r="C243" s="33">
        <v>3036</v>
      </c>
      <c r="D243" s="2">
        <v>898</v>
      </c>
      <c r="E243" s="2" t="s">
        <v>6697</v>
      </c>
      <c r="F243" s="29" t="s">
        <v>14211</v>
      </c>
      <c r="G243" s="3" t="s">
        <v>496</v>
      </c>
      <c r="H243" s="3" t="s">
        <v>210</v>
      </c>
      <c r="K243" s="2">
        <v>10</v>
      </c>
      <c r="L243" s="2">
        <v>8</v>
      </c>
      <c r="M243" s="3" t="s">
        <v>500</v>
      </c>
      <c r="N243" s="3" t="s">
        <v>90</v>
      </c>
      <c r="O243" s="3" t="s">
        <v>91</v>
      </c>
      <c r="P243" s="3" t="s">
        <v>92</v>
      </c>
      <c r="Q243" s="30" t="str">
        <f t="shared" si="3"/>
        <v>MAX : 0.230
TARGET : 0.200
MIN : 0.170</v>
      </c>
    </row>
    <row r="244" spans="2:17" ht="41.4" x14ac:dyDescent="0.3">
      <c r="B244">
        <v>0</v>
      </c>
      <c r="C244" s="33">
        <v>3036</v>
      </c>
      <c r="D244" s="2">
        <v>898</v>
      </c>
      <c r="E244" s="2" t="s">
        <v>6697</v>
      </c>
      <c r="F244" s="29" t="s">
        <v>14211</v>
      </c>
      <c r="G244" s="3" t="s">
        <v>496</v>
      </c>
      <c r="H244" s="3" t="s">
        <v>210</v>
      </c>
      <c r="K244" s="2">
        <v>10</v>
      </c>
      <c r="L244" s="2">
        <v>13</v>
      </c>
      <c r="M244" s="3" t="s">
        <v>226</v>
      </c>
      <c r="N244" s="3" t="s">
        <v>24</v>
      </c>
      <c r="O244" s="3" t="s">
        <v>25</v>
      </c>
      <c r="Q244" s="30" t="str">
        <f t="shared" si="3"/>
        <v>MAX : 
TARGET : Yes (Pass)
MIN : No (Fail)</v>
      </c>
    </row>
    <row r="245" spans="2:17" ht="41.4" x14ac:dyDescent="0.3">
      <c r="B245">
        <v>1</v>
      </c>
      <c r="C245" s="33">
        <v>2377</v>
      </c>
      <c r="D245" s="2">
        <v>1711</v>
      </c>
      <c r="E245" s="2" t="s">
        <v>6599</v>
      </c>
      <c r="F245" s="3" t="s">
        <v>14206</v>
      </c>
      <c r="H245" s="3" t="s">
        <v>261</v>
      </c>
      <c r="K245" s="2">
        <v>10</v>
      </c>
      <c r="L245" s="2">
        <v>2</v>
      </c>
      <c r="M245" s="3" t="s">
        <v>265</v>
      </c>
      <c r="N245" s="3" t="s">
        <v>13</v>
      </c>
      <c r="O245" s="3" t="s">
        <v>14</v>
      </c>
      <c r="Q245" s="30" t="str">
        <f t="shared" si="3"/>
        <v>MAX : 
TARGET : Yes(Pass)
MIN : No(Fail)</v>
      </c>
    </row>
    <row r="246" spans="2:17" ht="41.4" x14ac:dyDescent="0.3">
      <c r="B246">
        <v>1</v>
      </c>
      <c r="C246" s="33">
        <v>2377</v>
      </c>
      <c r="D246" s="2">
        <v>1711</v>
      </c>
      <c r="E246" s="2" t="s">
        <v>6599</v>
      </c>
      <c r="F246" s="3" t="s">
        <v>14206</v>
      </c>
      <c r="H246" s="3" t="s">
        <v>261</v>
      </c>
      <c r="K246" s="2">
        <v>10</v>
      </c>
      <c r="L246" s="2">
        <v>1</v>
      </c>
      <c r="M246" s="3" t="s">
        <v>99</v>
      </c>
      <c r="N246" s="3" t="s">
        <v>262</v>
      </c>
      <c r="O246" s="3" t="s">
        <v>263</v>
      </c>
      <c r="P246" s="3" t="s">
        <v>264</v>
      </c>
      <c r="Q246" s="30" t="str">
        <f t="shared" si="3"/>
        <v>MAX : 0.52
TARGET : 0.49
MIN : 0.46</v>
      </c>
    </row>
    <row r="247" spans="2:17" ht="41.4" x14ac:dyDescent="0.3">
      <c r="B247">
        <v>0</v>
      </c>
      <c r="C247" s="33">
        <v>3053</v>
      </c>
      <c r="D247" s="2">
        <v>899</v>
      </c>
      <c r="E247" s="2" t="s">
        <v>6704</v>
      </c>
      <c r="F247" s="3" t="s">
        <v>14206</v>
      </c>
      <c r="H247" s="3" t="s">
        <v>501</v>
      </c>
      <c r="K247" s="2">
        <v>20</v>
      </c>
      <c r="L247" s="2">
        <v>3</v>
      </c>
      <c r="M247" s="3" t="s">
        <v>503</v>
      </c>
      <c r="N247" s="3" t="s">
        <v>24</v>
      </c>
      <c r="O247" s="3" t="s">
        <v>25</v>
      </c>
      <c r="Q247" s="30" t="str">
        <f t="shared" si="3"/>
        <v>MAX : 
TARGET : Yes (Pass)
MIN : No (Fail)</v>
      </c>
    </row>
    <row r="248" spans="2:17" ht="41.4" x14ac:dyDescent="0.3">
      <c r="B248">
        <v>1</v>
      </c>
      <c r="C248" s="33">
        <v>2387</v>
      </c>
      <c r="D248" s="2">
        <v>1712</v>
      </c>
      <c r="E248" s="2" t="s">
        <v>6607</v>
      </c>
      <c r="F248" s="3" t="s">
        <v>14206</v>
      </c>
      <c r="H248" s="3" t="s">
        <v>269</v>
      </c>
      <c r="K248" s="2">
        <v>30</v>
      </c>
      <c r="L248" s="2">
        <v>2</v>
      </c>
      <c r="M248" s="3" t="s">
        <v>274</v>
      </c>
      <c r="N248" s="3" t="s">
        <v>275</v>
      </c>
      <c r="O248" s="3" t="s">
        <v>276</v>
      </c>
      <c r="P248" s="3" t="s">
        <v>277</v>
      </c>
      <c r="Q248" s="30" t="str">
        <f t="shared" si="3"/>
        <v>MAX : 0.406
TARGET : 0.375
MIN : 0.343</v>
      </c>
    </row>
    <row r="249" spans="2:17" ht="41.4" x14ac:dyDescent="0.3">
      <c r="B249">
        <v>1</v>
      </c>
      <c r="C249" s="33">
        <v>2387</v>
      </c>
      <c r="D249" s="2">
        <v>1712</v>
      </c>
      <c r="E249" s="2" t="s">
        <v>6607</v>
      </c>
      <c r="F249" s="3" t="s">
        <v>14206</v>
      </c>
      <c r="H249" s="3" t="s">
        <v>269</v>
      </c>
      <c r="K249" s="2">
        <v>30</v>
      </c>
      <c r="L249" s="2">
        <v>1</v>
      </c>
      <c r="M249" s="3" t="s">
        <v>270</v>
      </c>
      <c r="N249" s="3" t="s">
        <v>271</v>
      </c>
      <c r="O249" s="3" t="s">
        <v>272</v>
      </c>
      <c r="P249" s="3" t="s">
        <v>273</v>
      </c>
      <c r="Q249" s="30" t="str">
        <f t="shared" si="3"/>
        <v>MAX : 1.13
TARGET : 1.00
MIN : 0.88</v>
      </c>
    </row>
    <row r="250" spans="2:17" ht="41.4" x14ac:dyDescent="0.3">
      <c r="B250">
        <v>0</v>
      </c>
      <c r="C250" s="33">
        <v>3082</v>
      </c>
      <c r="D250" s="2">
        <v>900</v>
      </c>
      <c r="E250" s="2" t="s">
        <v>6710</v>
      </c>
      <c r="F250" s="3" t="s">
        <v>14206</v>
      </c>
      <c r="H250" s="3" t="s">
        <v>504</v>
      </c>
      <c r="K250" s="2">
        <v>20</v>
      </c>
      <c r="L250" s="2">
        <v>3</v>
      </c>
      <c r="M250" s="3" t="s">
        <v>18</v>
      </c>
      <c r="N250" s="3" t="s">
        <v>485</v>
      </c>
      <c r="O250" s="3" t="s">
        <v>272</v>
      </c>
      <c r="P250" s="3" t="s">
        <v>507</v>
      </c>
      <c r="Q250" s="30" t="str">
        <f t="shared" si="3"/>
        <v>MAX : 1.06
TARGET : 1.00
MIN : 0.94</v>
      </c>
    </row>
    <row r="251" spans="2:17" ht="41.4" x14ac:dyDescent="0.3">
      <c r="B251">
        <v>0</v>
      </c>
      <c r="C251" s="33">
        <v>3082</v>
      </c>
      <c r="D251" s="2">
        <v>900</v>
      </c>
      <c r="E251" s="2" t="s">
        <v>6710</v>
      </c>
      <c r="F251" s="3" t="s">
        <v>14206</v>
      </c>
      <c r="H251" s="3" t="s">
        <v>504</v>
      </c>
      <c r="K251" s="2">
        <v>20</v>
      </c>
      <c r="L251" s="2">
        <v>4</v>
      </c>
      <c r="M251" s="3" t="s">
        <v>508</v>
      </c>
      <c r="N251" s="3" t="s">
        <v>13</v>
      </c>
      <c r="O251" s="3" t="s">
        <v>14</v>
      </c>
      <c r="Q251" s="30" t="str">
        <f t="shared" si="3"/>
        <v>MAX : 
TARGET : Yes(Pass)
MIN : No(Fail)</v>
      </c>
    </row>
    <row r="252" spans="2:17" ht="41.4" x14ac:dyDescent="0.3">
      <c r="B252">
        <v>0</v>
      </c>
      <c r="C252" s="33">
        <v>3082</v>
      </c>
      <c r="D252" s="2">
        <v>900</v>
      </c>
      <c r="E252" s="2" t="s">
        <v>6710</v>
      </c>
      <c r="F252" s="3" t="s">
        <v>14206</v>
      </c>
      <c r="H252" s="3" t="s">
        <v>504</v>
      </c>
      <c r="K252" s="2">
        <v>20</v>
      </c>
      <c r="L252" s="2">
        <v>5</v>
      </c>
      <c r="M252" s="3" t="s">
        <v>509</v>
      </c>
      <c r="N252" s="3" t="s">
        <v>13</v>
      </c>
      <c r="O252" s="3" t="s">
        <v>14</v>
      </c>
      <c r="Q252" s="30" t="str">
        <f t="shared" si="3"/>
        <v>MAX : 
TARGET : Yes(Pass)
MIN : No(Fail)</v>
      </c>
    </row>
    <row r="253" spans="2:17" ht="41.4" x14ac:dyDescent="0.3">
      <c r="B253">
        <v>1</v>
      </c>
      <c r="C253" s="33">
        <v>2413</v>
      </c>
      <c r="D253" s="2">
        <v>1713</v>
      </c>
      <c r="E253" s="2" t="s">
        <v>6614</v>
      </c>
      <c r="F253" s="3" t="s">
        <v>14206</v>
      </c>
      <c r="H253" s="3" t="s">
        <v>289</v>
      </c>
      <c r="K253" s="2">
        <v>10</v>
      </c>
      <c r="L253" s="2">
        <v>2</v>
      </c>
      <c r="M253" s="3" t="s">
        <v>22</v>
      </c>
      <c r="N253" s="3" t="s">
        <v>294</v>
      </c>
      <c r="O253" s="3" t="s">
        <v>199</v>
      </c>
      <c r="P253" s="3" t="s">
        <v>295</v>
      </c>
      <c r="Q253" s="30" t="str">
        <f t="shared" si="3"/>
        <v>MAX : 5.28
TARGET : 5.25
MIN : 5.22</v>
      </c>
    </row>
    <row r="254" spans="2:17" ht="41.4" x14ac:dyDescent="0.3">
      <c r="B254">
        <v>1</v>
      </c>
      <c r="C254" s="33">
        <v>2413</v>
      </c>
      <c r="D254" s="2">
        <v>1713</v>
      </c>
      <c r="E254" s="2" t="s">
        <v>6614</v>
      </c>
      <c r="F254" s="3" t="s">
        <v>14206</v>
      </c>
      <c r="H254" s="3" t="s">
        <v>289</v>
      </c>
      <c r="K254" s="2">
        <v>10</v>
      </c>
      <c r="L254" s="2">
        <v>1</v>
      </c>
      <c r="M254" s="3" t="s">
        <v>290</v>
      </c>
      <c r="N254" s="3" t="s">
        <v>291</v>
      </c>
      <c r="O254" s="3" t="s">
        <v>292</v>
      </c>
      <c r="P254" s="3" t="s">
        <v>293</v>
      </c>
      <c r="Q254" s="30" t="str">
        <f t="shared" si="3"/>
        <v>MAX : 4.78
TARGET : 4.75
MIN : 4.72</v>
      </c>
    </row>
    <row r="255" spans="2:17" ht="41.4" x14ac:dyDescent="0.3">
      <c r="B255">
        <v>0</v>
      </c>
      <c r="C255" s="33">
        <v>3083</v>
      </c>
      <c r="D255" s="2">
        <v>901</v>
      </c>
      <c r="E255" s="2" t="s">
        <v>6717</v>
      </c>
      <c r="F255" s="3" t="s">
        <v>14206</v>
      </c>
      <c r="H255" s="3" t="s">
        <v>504</v>
      </c>
      <c r="K255" s="2">
        <v>20</v>
      </c>
      <c r="L255" s="2">
        <v>3</v>
      </c>
      <c r="M255" s="3" t="s">
        <v>18</v>
      </c>
      <c r="N255" s="3" t="s">
        <v>485</v>
      </c>
      <c r="O255" s="3" t="s">
        <v>272</v>
      </c>
      <c r="P255" s="3" t="s">
        <v>507</v>
      </c>
      <c r="Q255" s="30" t="str">
        <f t="shared" si="3"/>
        <v>MAX : 1.06
TARGET : 1.00
MIN : 0.94</v>
      </c>
    </row>
    <row r="256" spans="2:17" ht="41.4" x14ac:dyDescent="0.3">
      <c r="B256">
        <v>0</v>
      </c>
      <c r="C256" s="33">
        <v>3083</v>
      </c>
      <c r="D256" s="2">
        <v>901</v>
      </c>
      <c r="E256" s="2" t="s">
        <v>6717</v>
      </c>
      <c r="F256" s="3" t="s">
        <v>14206</v>
      </c>
      <c r="H256" s="3" t="s">
        <v>504</v>
      </c>
      <c r="K256" s="2">
        <v>20</v>
      </c>
      <c r="L256" s="2">
        <v>4</v>
      </c>
      <c r="M256" s="3" t="s">
        <v>508</v>
      </c>
      <c r="N256" s="3" t="s">
        <v>13</v>
      </c>
      <c r="O256" s="3" t="s">
        <v>14</v>
      </c>
      <c r="Q256" s="30" t="str">
        <f t="shared" si="3"/>
        <v>MAX : 
TARGET : Yes(Pass)
MIN : No(Fail)</v>
      </c>
    </row>
    <row r="257" spans="2:18" ht="41.4" x14ac:dyDescent="0.3">
      <c r="B257">
        <v>0</v>
      </c>
      <c r="C257" s="33">
        <v>3083</v>
      </c>
      <c r="D257" s="2">
        <v>901</v>
      </c>
      <c r="E257" s="2" t="s">
        <v>6717</v>
      </c>
      <c r="F257" s="3" t="s">
        <v>14206</v>
      </c>
      <c r="H257" s="3" t="s">
        <v>504</v>
      </c>
      <c r="K257" s="2">
        <v>20</v>
      </c>
      <c r="L257" s="2">
        <v>5</v>
      </c>
      <c r="M257" s="3" t="s">
        <v>509</v>
      </c>
      <c r="N257" s="3" t="s">
        <v>13</v>
      </c>
      <c r="O257" s="3" t="s">
        <v>14</v>
      </c>
      <c r="Q257" s="30" t="str">
        <f t="shared" si="3"/>
        <v>MAX : 
TARGET : Yes(Pass)
MIN : No(Fail)</v>
      </c>
    </row>
    <row r="258" spans="2:18" ht="41.4" x14ac:dyDescent="0.3">
      <c r="B258">
        <v>1</v>
      </c>
      <c r="C258" s="33">
        <v>2563</v>
      </c>
      <c r="D258" s="2">
        <v>892</v>
      </c>
      <c r="E258" s="2" t="s">
        <v>6620</v>
      </c>
      <c r="F258" s="3" t="s">
        <v>14206</v>
      </c>
      <c r="H258" s="3" t="s">
        <v>326</v>
      </c>
      <c r="K258" s="2">
        <v>20</v>
      </c>
      <c r="L258" s="2">
        <v>3</v>
      </c>
      <c r="M258" s="3" t="s">
        <v>134</v>
      </c>
      <c r="N258" s="3" t="s">
        <v>13</v>
      </c>
      <c r="O258" s="3" t="s">
        <v>14</v>
      </c>
      <c r="Q258" s="30" t="str">
        <f t="shared" ref="Q258:Q321" si="4">"MAX : " &amp; P258 &amp; CHAR(10) &amp; "TARGET : " &amp; O258 &amp; CHAR(10) &amp; "MIN : " &amp; N258</f>
        <v>MAX : 
TARGET : Yes(Pass)
MIN : No(Fail)</v>
      </c>
    </row>
    <row r="259" spans="2:18" ht="41.4" x14ac:dyDescent="0.3">
      <c r="B259">
        <v>1</v>
      </c>
      <c r="C259" s="33">
        <v>2563</v>
      </c>
      <c r="D259" s="2">
        <v>892</v>
      </c>
      <c r="E259" s="2" t="s">
        <v>6620</v>
      </c>
      <c r="F259" s="3" t="s">
        <v>14206</v>
      </c>
      <c r="H259" s="3" t="s">
        <v>326</v>
      </c>
      <c r="K259" s="2">
        <v>20</v>
      </c>
      <c r="L259" s="2">
        <v>2</v>
      </c>
      <c r="M259" s="3" t="s">
        <v>327</v>
      </c>
      <c r="N259" s="3" t="s">
        <v>13</v>
      </c>
      <c r="O259" s="3" t="s">
        <v>14</v>
      </c>
      <c r="Q259" s="30" t="str">
        <f t="shared" si="4"/>
        <v>MAX : 
TARGET : Yes(Pass)
MIN : No(Fail)</v>
      </c>
    </row>
    <row r="260" spans="2:18" ht="41.4" x14ac:dyDescent="0.3">
      <c r="B260">
        <v>0</v>
      </c>
      <c r="C260" s="33">
        <v>3114</v>
      </c>
      <c r="D260" s="2">
        <v>902</v>
      </c>
      <c r="E260" s="2" t="s">
        <v>6722</v>
      </c>
      <c r="F260" s="3" t="s">
        <v>14206</v>
      </c>
      <c r="H260" s="3" t="s">
        <v>510</v>
      </c>
      <c r="K260" t="s">
        <v>6295</v>
      </c>
      <c r="L260" s="2">
        <v>3</v>
      </c>
      <c r="M260" s="3" t="s">
        <v>519</v>
      </c>
      <c r="N260" s="3" t="s">
        <v>520</v>
      </c>
      <c r="O260" s="3" t="s">
        <v>521</v>
      </c>
      <c r="P260" s="3" t="s">
        <v>522</v>
      </c>
      <c r="Q260" s="30" t="str">
        <f t="shared" si="4"/>
        <v>MAX : 3.812
TARGET : 3.750
MIN : 3.625</v>
      </c>
      <c r="R260" s="3" t="s">
        <v>514</v>
      </c>
    </row>
    <row r="261" spans="2:18" ht="41.4" x14ac:dyDescent="0.3">
      <c r="B261">
        <v>0</v>
      </c>
      <c r="C261" s="33">
        <v>3114</v>
      </c>
      <c r="D261" s="2">
        <v>902</v>
      </c>
      <c r="E261" s="2" t="s">
        <v>6722</v>
      </c>
      <c r="F261" s="3" t="s">
        <v>14206</v>
      </c>
      <c r="H261" s="3" t="s">
        <v>510</v>
      </c>
      <c r="K261" t="s">
        <v>6295</v>
      </c>
      <c r="L261" s="2">
        <v>4</v>
      </c>
      <c r="M261" s="3" t="s">
        <v>523</v>
      </c>
      <c r="N261" s="3" t="s">
        <v>524</v>
      </c>
      <c r="O261" s="3" t="s">
        <v>525</v>
      </c>
      <c r="P261" s="3" t="s">
        <v>526</v>
      </c>
      <c r="Q261" s="30" t="str">
        <f t="shared" si="4"/>
        <v>MAX : 6.312
TARGET : 6.250
MIN : 6.188</v>
      </c>
      <c r="R261" s="3" t="s">
        <v>514</v>
      </c>
    </row>
    <row r="262" spans="2:18" ht="41.4" x14ac:dyDescent="0.3">
      <c r="B262">
        <v>0</v>
      </c>
      <c r="C262" s="33">
        <v>3114</v>
      </c>
      <c r="D262" s="2">
        <v>902</v>
      </c>
      <c r="E262" s="2" t="s">
        <v>6722</v>
      </c>
      <c r="F262" s="3" t="s">
        <v>14206</v>
      </c>
      <c r="H262" s="3" t="s">
        <v>510</v>
      </c>
      <c r="K262" t="s">
        <v>6295</v>
      </c>
      <c r="L262" s="2">
        <v>5</v>
      </c>
      <c r="M262" s="3" t="s">
        <v>527</v>
      </c>
      <c r="N262" s="3" t="s">
        <v>528</v>
      </c>
      <c r="O262" s="3" t="s">
        <v>529</v>
      </c>
      <c r="P262" s="3" t="s">
        <v>530</v>
      </c>
      <c r="Q262" s="30" t="str">
        <f t="shared" si="4"/>
        <v>MAX : .562
TARGET : .500
MIN : .438</v>
      </c>
      <c r="R262" s="3" t="s">
        <v>514</v>
      </c>
    </row>
    <row r="263" spans="2:18" ht="41.4" x14ac:dyDescent="0.3">
      <c r="B263">
        <v>0</v>
      </c>
      <c r="C263" s="33">
        <v>3114</v>
      </c>
      <c r="D263" s="2">
        <v>902</v>
      </c>
      <c r="E263" s="2" t="s">
        <v>6722</v>
      </c>
      <c r="F263" s="3" t="s">
        <v>14206</v>
      </c>
      <c r="H263" s="3" t="s">
        <v>510</v>
      </c>
      <c r="K263" t="s">
        <v>6295</v>
      </c>
      <c r="L263" s="2">
        <v>6</v>
      </c>
      <c r="M263" s="3" t="s">
        <v>531</v>
      </c>
      <c r="N263" s="3" t="s">
        <v>13</v>
      </c>
      <c r="O263" s="3" t="s">
        <v>14</v>
      </c>
      <c r="Q263" s="30" t="str">
        <f t="shared" si="4"/>
        <v>MAX : 
TARGET : Yes(Pass)
MIN : No(Fail)</v>
      </c>
      <c r="R263" s="3" t="s">
        <v>514</v>
      </c>
    </row>
    <row r="264" spans="2:18" ht="41.4" x14ac:dyDescent="0.3">
      <c r="B264">
        <v>0</v>
      </c>
      <c r="C264" s="33">
        <v>3114</v>
      </c>
      <c r="D264" s="2">
        <v>902</v>
      </c>
      <c r="E264" s="2" t="s">
        <v>6722</v>
      </c>
      <c r="F264" s="3" t="s">
        <v>14206</v>
      </c>
      <c r="H264" s="3" t="s">
        <v>510</v>
      </c>
      <c r="K264" t="s">
        <v>6295</v>
      </c>
      <c r="L264" s="2">
        <v>7</v>
      </c>
      <c r="M264" s="3" t="s">
        <v>532</v>
      </c>
      <c r="N264" s="3" t="s">
        <v>24</v>
      </c>
      <c r="O264" s="3" t="s">
        <v>25</v>
      </c>
      <c r="Q264" s="30" t="str">
        <f t="shared" si="4"/>
        <v>MAX : 
TARGET : Yes (Pass)
MIN : No (Fail)</v>
      </c>
      <c r="R264" s="3" t="s">
        <v>514</v>
      </c>
    </row>
    <row r="265" spans="2:18" ht="41.4" x14ac:dyDescent="0.3">
      <c r="B265">
        <v>0</v>
      </c>
      <c r="C265" s="33">
        <v>3114</v>
      </c>
      <c r="D265" s="2">
        <v>902</v>
      </c>
      <c r="E265" s="2" t="s">
        <v>6722</v>
      </c>
      <c r="F265" s="3" t="s">
        <v>14206</v>
      </c>
      <c r="H265" s="3" t="s">
        <v>510</v>
      </c>
      <c r="K265" t="s">
        <v>6295</v>
      </c>
      <c r="L265" s="2">
        <v>8</v>
      </c>
      <c r="M265" s="3" t="s">
        <v>533</v>
      </c>
      <c r="N265" s="3" t="s">
        <v>13</v>
      </c>
      <c r="O265" s="3" t="s">
        <v>14</v>
      </c>
      <c r="Q265" s="30" t="str">
        <f t="shared" si="4"/>
        <v>MAX : 
TARGET : Yes(Pass)
MIN : No(Fail)</v>
      </c>
      <c r="R265" s="3" t="s">
        <v>514</v>
      </c>
    </row>
    <row r="266" spans="2:18" ht="41.4" x14ac:dyDescent="0.3">
      <c r="B266">
        <v>0</v>
      </c>
      <c r="C266" s="33">
        <v>3114</v>
      </c>
      <c r="D266" s="2">
        <v>902</v>
      </c>
      <c r="E266" s="2" t="s">
        <v>6722</v>
      </c>
      <c r="F266" s="3" t="s">
        <v>14206</v>
      </c>
      <c r="H266" s="3" t="s">
        <v>510</v>
      </c>
      <c r="K266" t="s">
        <v>6295</v>
      </c>
      <c r="L266" s="2">
        <v>9</v>
      </c>
      <c r="M266" s="3" t="s">
        <v>534</v>
      </c>
      <c r="N266" s="3" t="s">
        <v>13</v>
      </c>
      <c r="O266" s="3" t="s">
        <v>14</v>
      </c>
      <c r="Q266" s="30" t="str">
        <f t="shared" si="4"/>
        <v>MAX : 
TARGET : Yes(Pass)
MIN : No(Fail)</v>
      </c>
      <c r="R266" s="3" t="s">
        <v>514</v>
      </c>
    </row>
    <row r="267" spans="2:18" ht="41.4" x14ac:dyDescent="0.3">
      <c r="B267">
        <v>1</v>
      </c>
      <c r="C267" s="33">
        <v>2563</v>
      </c>
      <c r="D267" s="2">
        <v>892</v>
      </c>
      <c r="E267" s="2" t="s">
        <v>6620</v>
      </c>
      <c r="F267" s="3" t="s">
        <v>14206</v>
      </c>
      <c r="H267" s="3" t="s">
        <v>326</v>
      </c>
      <c r="K267" s="2">
        <v>20</v>
      </c>
      <c r="L267" s="2">
        <v>4</v>
      </c>
      <c r="M267" s="3" t="s">
        <v>3614</v>
      </c>
      <c r="N267" s="3" t="s">
        <v>24</v>
      </c>
      <c r="O267" s="3" t="s">
        <v>25</v>
      </c>
      <c r="Q267" s="30" t="str">
        <f t="shared" si="4"/>
        <v>MAX : 
TARGET : Yes (Pass)
MIN : No (Fail)</v>
      </c>
    </row>
    <row r="268" spans="2:18" ht="41.4" x14ac:dyDescent="0.3">
      <c r="B268">
        <v>1</v>
      </c>
      <c r="C268" s="33">
        <v>2563</v>
      </c>
      <c r="D268" s="2">
        <v>892</v>
      </c>
      <c r="E268" s="2" t="s">
        <v>6620</v>
      </c>
      <c r="F268" s="3" t="s">
        <v>14206</v>
      </c>
      <c r="H268" s="3" t="s">
        <v>326</v>
      </c>
      <c r="K268" s="2">
        <v>20</v>
      </c>
      <c r="L268" s="2">
        <v>1</v>
      </c>
      <c r="M268" s="3" t="s">
        <v>811</v>
      </c>
      <c r="N268" s="3" t="s">
        <v>24</v>
      </c>
      <c r="O268" s="3" t="s">
        <v>25</v>
      </c>
      <c r="Q268" s="30" t="str">
        <f t="shared" si="4"/>
        <v>MAX : 
TARGET : Yes (Pass)
MIN : No (Fail)</v>
      </c>
    </row>
    <row r="269" spans="2:18" ht="41.4" x14ac:dyDescent="0.3">
      <c r="B269">
        <v>0</v>
      </c>
      <c r="C269" s="33">
        <v>3115</v>
      </c>
      <c r="D269" s="2">
        <v>1719</v>
      </c>
      <c r="E269" s="2" t="s">
        <v>6730</v>
      </c>
      <c r="F269" s="3" t="s">
        <v>14206</v>
      </c>
      <c r="H269" s="3" t="s">
        <v>193</v>
      </c>
      <c r="K269" s="2">
        <v>10</v>
      </c>
      <c r="L269" s="2">
        <v>3</v>
      </c>
      <c r="M269" s="3" t="s">
        <v>539</v>
      </c>
      <c r="N269" s="3" t="s">
        <v>13</v>
      </c>
      <c r="O269" s="3" t="s">
        <v>14</v>
      </c>
      <c r="Q269" s="30" t="str">
        <f t="shared" si="4"/>
        <v>MAX : 
TARGET : Yes(Pass)
MIN : No(Fail)</v>
      </c>
    </row>
    <row r="270" spans="2:18" ht="41.4" x14ac:dyDescent="0.3">
      <c r="B270">
        <v>0</v>
      </c>
      <c r="C270" s="33">
        <v>3115</v>
      </c>
      <c r="D270" s="2">
        <v>1719</v>
      </c>
      <c r="E270" s="2" t="s">
        <v>6730</v>
      </c>
      <c r="F270" s="3" t="s">
        <v>14206</v>
      </c>
      <c r="H270" s="3" t="s">
        <v>193</v>
      </c>
      <c r="K270" s="2">
        <v>10</v>
      </c>
      <c r="L270" s="2">
        <v>4</v>
      </c>
      <c r="M270" s="3" t="s">
        <v>540</v>
      </c>
      <c r="N270" s="3" t="s">
        <v>13</v>
      </c>
      <c r="O270" s="3" t="s">
        <v>14</v>
      </c>
      <c r="Q270" s="30" t="str">
        <f t="shared" si="4"/>
        <v>MAX : 
TARGET : Yes(Pass)
MIN : No(Fail)</v>
      </c>
    </row>
    <row r="271" spans="2:18" ht="41.4" x14ac:dyDescent="0.3">
      <c r="B271">
        <v>0</v>
      </c>
      <c r="C271" s="33">
        <v>3115</v>
      </c>
      <c r="D271" s="2">
        <v>1719</v>
      </c>
      <c r="E271" s="2" t="s">
        <v>6730</v>
      </c>
      <c r="F271" s="3" t="s">
        <v>14206</v>
      </c>
      <c r="H271" s="3" t="s">
        <v>193</v>
      </c>
      <c r="K271" s="2">
        <v>10</v>
      </c>
      <c r="L271" s="2">
        <v>5</v>
      </c>
      <c r="M271" s="3" t="s">
        <v>318</v>
      </c>
      <c r="N271" s="3" t="s">
        <v>13</v>
      </c>
      <c r="O271" s="3" t="s">
        <v>14</v>
      </c>
      <c r="Q271" s="30" t="str">
        <f t="shared" si="4"/>
        <v>MAX : 
TARGET : Yes(Pass)
MIN : No(Fail)</v>
      </c>
    </row>
    <row r="272" spans="2:18" ht="41.4" x14ac:dyDescent="0.3">
      <c r="B272">
        <v>1</v>
      </c>
      <c r="C272" s="33">
        <v>2693</v>
      </c>
      <c r="D272" s="2">
        <v>893</v>
      </c>
      <c r="E272" s="2" t="s">
        <v>6626</v>
      </c>
      <c r="F272" s="3" t="s">
        <v>14206</v>
      </c>
      <c r="H272" s="3" t="s">
        <v>404</v>
      </c>
      <c r="K272" s="2">
        <v>10</v>
      </c>
      <c r="L272" s="2">
        <v>2</v>
      </c>
      <c r="M272" s="3" t="s">
        <v>194</v>
      </c>
      <c r="N272" s="3" t="s">
        <v>408</v>
      </c>
      <c r="O272" s="3" t="s">
        <v>409</v>
      </c>
      <c r="P272" s="3" t="s">
        <v>410</v>
      </c>
      <c r="Q272" s="30" t="str">
        <f t="shared" si="4"/>
        <v>MAX : .56
TARGET : .50
MIN : .44</v>
      </c>
    </row>
    <row r="273" spans="2:17" ht="41.4" x14ac:dyDescent="0.3">
      <c r="B273">
        <v>1</v>
      </c>
      <c r="C273" s="33">
        <v>2693</v>
      </c>
      <c r="D273" s="2">
        <v>893</v>
      </c>
      <c r="E273" s="2" t="s">
        <v>6626</v>
      </c>
      <c r="F273" s="3" t="s">
        <v>14206</v>
      </c>
      <c r="H273" s="3" t="s">
        <v>404</v>
      </c>
      <c r="K273" s="2">
        <v>10</v>
      </c>
      <c r="L273" s="2">
        <v>1</v>
      </c>
      <c r="M273" s="3" t="s">
        <v>198</v>
      </c>
      <c r="N273" s="3" t="s">
        <v>405</v>
      </c>
      <c r="O273" s="3" t="s">
        <v>406</v>
      </c>
      <c r="P273" s="3" t="s">
        <v>407</v>
      </c>
      <c r="Q273" s="30" t="str">
        <f t="shared" si="4"/>
        <v>MAX : 2.06
TARGET : 2.00
MIN : 1.94</v>
      </c>
    </row>
    <row r="274" spans="2:17" ht="41.4" x14ac:dyDescent="0.3">
      <c r="B274">
        <v>0</v>
      </c>
      <c r="C274" s="33">
        <v>3127</v>
      </c>
      <c r="D274" s="2">
        <v>1720</v>
      </c>
      <c r="E274" s="2" t="s">
        <v>6737</v>
      </c>
      <c r="F274" s="3" t="s">
        <v>14207</v>
      </c>
      <c r="H274" s="3" t="s">
        <v>558</v>
      </c>
      <c r="K274" s="2">
        <v>10</v>
      </c>
      <c r="L274" s="2">
        <v>3</v>
      </c>
      <c r="M274" s="3" t="s">
        <v>562</v>
      </c>
      <c r="N274" s="3" t="s">
        <v>13</v>
      </c>
      <c r="O274" s="3" t="s">
        <v>14</v>
      </c>
      <c r="Q274" s="30" t="str">
        <f t="shared" si="4"/>
        <v>MAX : 
TARGET : Yes(Pass)
MIN : No(Fail)</v>
      </c>
    </row>
    <row r="275" spans="2:17" ht="41.4" x14ac:dyDescent="0.3">
      <c r="B275">
        <v>1</v>
      </c>
      <c r="C275" s="33">
        <v>2700</v>
      </c>
      <c r="D275" s="2">
        <v>1714</v>
      </c>
      <c r="E275" s="2" t="s">
        <v>6632</v>
      </c>
      <c r="F275" s="3" t="s">
        <v>14206</v>
      </c>
      <c r="H275" s="3" t="s">
        <v>412</v>
      </c>
      <c r="K275" s="2">
        <v>40</v>
      </c>
      <c r="L275" s="2">
        <v>2</v>
      </c>
      <c r="M275" s="3" t="s">
        <v>415</v>
      </c>
      <c r="N275" s="3" t="s">
        <v>308</v>
      </c>
      <c r="O275" s="3" t="s">
        <v>309</v>
      </c>
      <c r="P275" s="3" t="s">
        <v>310</v>
      </c>
      <c r="Q275" s="30" t="str">
        <f t="shared" si="4"/>
        <v>MAX : 0.53
TARGET : 0.50
MIN : 0.47</v>
      </c>
    </row>
    <row r="276" spans="2:17" ht="41.4" x14ac:dyDescent="0.3">
      <c r="B276">
        <v>1</v>
      </c>
      <c r="C276" s="33">
        <v>2700</v>
      </c>
      <c r="D276" s="2">
        <v>1714</v>
      </c>
      <c r="E276" s="2" t="s">
        <v>6632</v>
      </c>
      <c r="F276" s="3" t="s">
        <v>14206</v>
      </c>
      <c r="H276" s="3" t="s">
        <v>412</v>
      </c>
      <c r="K276" s="2">
        <v>40</v>
      </c>
      <c r="L276" s="2">
        <v>1</v>
      </c>
      <c r="M276" s="3" t="s">
        <v>198</v>
      </c>
      <c r="N276" s="3" t="s">
        <v>413</v>
      </c>
      <c r="O276" s="3" t="s">
        <v>272</v>
      </c>
      <c r="P276" s="3" t="s">
        <v>414</v>
      </c>
      <c r="Q276" s="30" t="str">
        <f t="shared" si="4"/>
        <v>MAX : 1.03
TARGET : 1.00
MIN : 0.970</v>
      </c>
    </row>
    <row r="277" spans="2:17" ht="41.4" x14ac:dyDescent="0.3">
      <c r="B277">
        <v>0</v>
      </c>
      <c r="C277" s="33">
        <v>3136</v>
      </c>
      <c r="D277" s="2">
        <v>903</v>
      </c>
      <c r="E277" s="2" t="s">
        <v>6743</v>
      </c>
      <c r="F277" s="29" t="s">
        <v>14211</v>
      </c>
      <c r="H277" s="3" t="s">
        <v>210</v>
      </c>
      <c r="K277" s="2">
        <v>10</v>
      </c>
      <c r="L277" s="2">
        <v>6</v>
      </c>
      <c r="M277" s="3" t="s">
        <v>564</v>
      </c>
      <c r="N277" s="3" t="s">
        <v>216</v>
      </c>
      <c r="O277" s="3" t="s">
        <v>217</v>
      </c>
      <c r="P277" s="3" t="s">
        <v>218</v>
      </c>
      <c r="Q277" s="30" t="str">
        <f t="shared" si="4"/>
        <v>MAX : 0.180
TARGET : 0.150
MIN : 0.120</v>
      </c>
    </row>
    <row r="278" spans="2:17" ht="41.4" x14ac:dyDescent="0.3">
      <c r="B278">
        <v>0</v>
      </c>
      <c r="C278" s="33">
        <v>3136</v>
      </c>
      <c r="D278" s="2">
        <v>903</v>
      </c>
      <c r="E278" s="2" t="s">
        <v>6743</v>
      </c>
      <c r="F278" s="29" t="s">
        <v>14211</v>
      </c>
      <c r="H278" s="3" t="s">
        <v>210</v>
      </c>
      <c r="K278" s="2">
        <v>10</v>
      </c>
      <c r="L278" s="2">
        <v>9</v>
      </c>
      <c r="M278" s="3" t="s">
        <v>220</v>
      </c>
      <c r="N278" s="3" t="s">
        <v>221</v>
      </c>
      <c r="O278" s="3" t="s">
        <v>222</v>
      </c>
      <c r="P278" s="3" t="s">
        <v>223</v>
      </c>
      <c r="Q278" s="30" t="str">
        <f t="shared" si="4"/>
        <v>MAX : 3.715
TARGET : 3.700
MIN : 3.685</v>
      </c>
    </row>
    <row r="279" spans="2:17" ht="41.4" x14ac:dyDescent="0.3">
      <c r="B279">
        <v>0</v>
      </c>
      <c r="C279" s="33">
        <v>3136</v>
      </c>
      <c r="D279" s="2">
        <v>903</v>
      </c>
      <c r="E279" s="2" t="s">
        <v>6743</v>
      </c>
      <c r="F279" s="29" t="s">
        <v>14211</v>
      </c>
      <c r="H279" s="3" t="s">
        <v>210</v>
      </c>
      <c r="K279" s="2">
        <v>10</v>
      </c>
      <c r="L279" s="2">
        <v>7</v>
      </c>
      <c r="M279" s="3" t="s">
        <v>565</v>
      </c>
      <c r="N279" s="3" t="s">
        <v>90</v>
      </c>
      <c r="O279" s="3" t="s">
        <v>91</v>
      </c>
      <c r="P279" s="3" t="s">
        <v>92</v>
      </c>
      <c r="Q279" s="30" t="str">
        <f t="shared" si="4"/>
        <v>MAX : 0.230
TARGET : 0.200
MIN : 0.170</v>
      </c>
    </row>
    <row r="280" spans="2:17" ht="41.4" x14ac:dyDescent="0.3">
      <c r="B280">
        <v>0</v>
      </c>
      <c r="C280" s="33">
        <v>3136</v>
      </c>
      <c r="D280" s="2">
        <v>903</v>
      </c>
      <c r="E280" s="2" t="s">
        <v>6743</v>
      </c>
      <c r="F280" s="29" t="s">
        <v>14211</v>
      </c>
      <c r="H280" s="3" t="s">
        <v>210</v>
      </c>
      <c r="K280" s="2">
        <v>10</v>
      </c>
      <c r="L280" s="2">
        <v>8</v>
      </c>
      <c r="M280" s="3" t="s">
        <v>566</v>
      </c>
      <c r="N280" s="3" t="s">
        <v>90</v>
      </c>
      <c r="O280" s="3" t="s">
        <v>91</v>
      </c>
      <c r="P280" s="3" t="s">
        <v>92</v>
      </c>
      <c r="Q280" s="30" t="str">
        <f t="shared" si="4"/>
        <v>MAX : 0.230
TARGET : 0.200
MIN : 0.170</v>
      </c>
    </row>
    <row r="281" spans="2:17" ht="41.4" x14ac:dyDescent="0.3">
      <c r="B281">
        <v>0</v>
      </c>
      <c r="C281" s="33">
        <v>3136</v>
      </c>
      <c r="D281" s="2">
        <v>903</v>
      </c>
      <c r="E281" s="2" t="s">
        <v>6743</v>
      </c>
      <c r="F281" s="29" t="s">
        <v>14211</v>
      </c>
      <c r="H281" s="3" t="s">
        <v>210</v>
      </c>
      <c r="K281" s="2">
        <v>10</v>
      </c>
      <c r="L281" s="2">
        <v>13</v>
      </c>
      <c r="M281" s="3" t="s">
        <v>556</v>
      </c>
      <c r="N281" s="3" t="s">
        <v>24</v>
      </c>
      <c r="O281" s="3" t="s">
        <v>25</v>
      </c>
      <c r="Q281" s="30" t="str">
        <f t="shared" si="4"/>
        <v>MAX : 
TARGET : Yes (Pass)
MIN : No (Fail)</v>
      </c>
    </row>
    <row r="282" spans="2:17" ht="41.4" x14ac:dyDescent="0.3">
      <c r="B282">
        <v>0</v>
      </c>
      <c r="C282" s="33">
        <v>3136</v>
      </c>
      <c r="D282" s="2">
        <v>903</v>
      </c>
      <c r="E282" s="2" t="s">
        <v>6743</v>
      </c>
      <c r="F282" s="29" t="s">
        <v>14211</v>
      </c>
      <c r="H282" s="3" t="s">
        <v>210</v>
      </c>
      <c r="K282" s="2">
        <v>10</v>
      </c>
      <c r="L282" s="2">
        <v>12</v>
      </c>
      <c r="M282" s="3" t="s">
        <v>567</v>
      </c>
      <c r="N282" s="3" t="s">
        <v>24</v>
      </c>
      <c r="O282" s="3" t="s">
        <v>25</v>
      </c>
      <c r="Q282" s="30" t="str">
        <f t="shared" si="4"/>
        <v>MAX : 
TARGET : Yes (Pass)
MIN : No (Fail)</v>
      </c>
    </row>
    <row r="283" spans="2:17" ht="41.4" x14ac:dyDescent="0.3">
      <c r="B283">
        <v>1</v>
      </c>
      <c r="C283" s="33">
        <v>2700</v>
      </c>
      <c r="D283" s="2">
        <v>1714</v>
      </c>
      <c r="E283" s="2" t="s">
        <v>6632</v>
      </c>
      <c r="F283" s="3" t="s">
        <v>14206</v>
      </c>
      <c r="H283" s="3" t="s">
        <v>412</v>
      </c>
      <c r="K283" s="2">
        <v>10</v>
      </c>
      <c r="L283" s="2">
        <v>1</v>
      </c>
      <c r="M283" s="3" t="s">
        <v>458</v>
      </c>
      <c r="N283" s="3" t="s">
        <v>1094</v>
      </c>
      <c r="O283" s="3" t="s">
        <v>1095</v>
      </c>
      <c r="P283" s="3" t="s">
        <v>2160</v>
      </c>
      <c r="Q283" s="30" t="str">
        <f t="shared" si="4"/>
        <v>MAX : 5.46
TARGET : 5.40
MIN : 5.34</v>
      </c>
    </row>
    <row r="284" spans="2:17" ht="41.4" x14ac:dyDescent="0.3">
      <c r="B284">
        <v>1</v>
      </c>
      <c r="C284" s="33">
        <v>2700</v>
      </c>
      <c r="D284" s="2">
        <v>1714</v>
      </c>
      <c r="E284" s="2" t="s">
        <v>6632</v>
      </c>
      <c r="F284" s="3" t="s">
        <v>14206</v>
      </c>
      <c r="H284" s="3" t="s">
        <v>412</v>
      </c>
      <c r="K284" s="2">
        <v>40</v>
      </c>
      <c r="L284" s="2">
        <v>4</v>
      </c>
      <c r="M284" s="3" t="s">
        <v>3774</v>
      </c>
      <c r="N284" s="3" t="s">
        <v>13</v>
      </c>
      <c r="O284" s="3" t="s">
        <v>14</v>
      </c>
      <c r="Q284" s="30" t="str">
        <f t="shared" si="4"/>
        <v>MAX : 
TARGET : Yes(Pass)
MIN : No(Fail)</v>
      </c>
    </row>
    <row r="285" spans="2:17" ht="41.4" x14ac:dyDescent="0.3">
      <c r="B285">
        <v>0</v>
      </c>
      <c r="C285" s="33">
        <v>3141</v>
      </c>
      <c r="D285" s="2">
        <v>1721</v>
      </c>
      <c r="E285" s="2" t="s">
        <v>6750</v>
      </c>
      <c r="F285" s="3" t="s">
        <v>14206</v>
      </c>
      <c r="H285" s="3" t="s">
        <v>568</v>
      </c>
      <c r="K285" s="2">
        <v>10</v>
      </c>
      <c r="L285" s="2">
        <v>3</v>
      </c>
      <c r="M285" s="3" t="s">
        <v>573</v>
      </c>
      <c r="N285" s="3" t="s">
        <v>13</v>
      </c>
      <c r="O285" s="3" t="s">
        <v>14</v>
      </c>
      <c r="Q285" s="30" t="str">
        <f t="shared" si="4"/>
        <v>MAX : 
TARGET : Yes(Pass)
MIN : No(Fail)</v>
      </c>
    </row>
    <row r="286" spans="2:17" ht="41.4" x14ac:dyDescent="0.3">
      <c r="B286">
        <v>0</v>
      </c>
      <c r="C286" s="33">
        <v>3141</v>
      </c>
      <c r="D286" s="2">
        <v>1721</v>
      </c>
      <c r="E286" s="2" t="s">
        <v>6750</v>
      </c>
      <c r="F286" s="3" t="s">
        <v>14206</v>
      </c>
      <c r="H286" s="3" t="s">
        <v>568</v>
      </c>
      <c r="K286" s="2">
        <v>10</v>
      </c>
      <c r="L286" s="2">
        <v>4</v>
      </c>
      <c r="M286" s="3" t="s">
        <v>574</v>
      </c>
      <c r="N286" s="3" t="s">
        <v>13</v>
      </c>
      <c r="O286" s="3" t="s">
        <v>14</v>
      </c>
      <c r="Q286" s="30" t="str">
        <f t="shared" si="4"/>
        <v>MAX : 
TARGET : Yes(Pass)
MIN : No(Fail)</v>
      </c>
    </row>
    <row r="287" spans="2:17" ht="41.4" x14ac:dyDescent="0.3">
      <c r="B287">
        <v>1</v>
      </c>
      <c r="C287" s="33">
        <v>2700</v>
      </c>
      <c r="D287" s="2">
        <v>1714</v>
      </c>
      <c r="E287" s="2" t="s">
        <v>6632</v>
      </c>
      <c r="F287" s="3" t="s">
        <v>14206</v>
      </c>
      <c r="H287" s="3" t="s">
        <v>412</v>
      </c>
      <c r="K287" s="2">
        <v>20</v>
      </c>
      <c r="L287" s="2">
        <v>1</v>
      </c>
      <c r="M287" s="3" t="s">
        <v>3115</v>
      </c>
      <c r="N287" s="3" t="s">
        <v>641</v>
      </c>
      <c r="O287" s="3" t="s">
        <v>101</v>
      </c>
      <c r="P287" s="3" t="s">
        <v>642</v>
      </c>
      <c r="Q287" s="30" t="str">
        <f t="shared" si="4"/>
        <v>MAX : 0.655
TARGET : 0.625
MIN : 0.595</v>
      </c>
    </row>
    <row r="288" spans="2:17" ht="41.4" x14ac:dyDescent="0.3">
      <c r="B288">
        <v>1</v>
      </c>
      <c r="C288" s="33">
        <v>2737</v>
      </c>
      <c r="D288" s="2">
        <v>894</v>
      </c>
      <c r="E288" s="2" t="s">
        <v>6640</v>
      </c>
      <c r="F288" s="3" t="s">
        <v>14206</v>
      </c>
      <c r="H288" s="3" t="s">
        <v>417</v>
      </c>
      <c r="K288" s="2">
        <v>20</v>
      </c>
      <c r="L288" s="2">
        <v>2</v>
      </c>
      <c r="M288" s="3" t="s">
        <v>194</v>
      </c>
      <c r="N288" s="3" t="s">
        <v>420</v>
      </c>
      <c r="O288" s="3" t="s">
        <v>272</v>
      </c>
      <c r="P288" s="3" t="s">
        <v>414</v>
      </c>
      <c r="Q288" s="30" t="str">
        <f t="shared" si="4"/>
        <v>MAX : 1.03
TARGET : 1.00
MIN : 0.97</v>
      </c>
    </row>
    <row r="289" spans="2:17" ht="41.4" x14ac:dyDescent="0.3">
      <c r="B289">
        <v>0</v>
      </c>
      <c r="C289" s="33">
        <v>3164</v>
      </c>
      <c r="D289" s="2">
        <v>904</v>
      </c>
      <c r="E289" s="2" t="s">
        <v>6757</v>
      </c>
      <c r="F289" s="3" t="s">
        <v>14207</v>
      </c>
      <c r="H289" s="3" t="s">
        <v>469</v>
      </c>
      <c r="I289" s="3" t="s">
        <v>575</v>
      </c>
      <c r="K289" s="2">
        <v>10</v>
      </c>
      <c r="L289" s="2">
        <v>4</v>
      </c>
      <c r="M289" s="3" t="s">
        <v>580</v>
      </c>
      <c r="N289" s="3" t="s">
        <v>13</v>
      </c>
      <c r="O289" s="3" t="s">
        <v>14</v>
      </c>
      <c r="Q289" s="30" t="str">
        <f t="shared" si="4"/>
        <v>MAX : 
TARGET : Yes(Pass)
MIN : No(Fail)</v>
      </c>
    </row>
    <row r="290" spans="2:17" ht="41.4" x14ac:dyDescent="0.3">
      <c r="B290">
        <v>1</v>
      </c>
      <c r="C290" s="33">
        <v>2737</v>
      </c>
      <c r="D290" s="2">
        <v>894</v>
      </c>
      <c r="E290" s="2" t="s">
        <v>6640</v>
      </c>
      <c r="F290" s="3" t="s">
        <v>14206</v>
      </c>
      <c r="H290" s="3" t="s">
        <v>417</v>
      </c>
      <c r="K290" s="2">
        <v>20</v>
      </c>
      <c r="L290" s="2">
        <v>1</v>
      </c>
      <c r="M290" s="3" t="s">
        <v>198</v>
      </c>
      <c r="N290" s="3" t="s">
        <v>418</v>
      </c>
      <c r="O290" s="3" t="s">
        <v>344</v>
      </c>
      <c r="P290" s="3" t="s">
        <v>419</v>
      </c>
      <c r="Q290" s="30" t="str">
        <f t="shared" si="4"/>
        <v>MAX : 1.28
TARGET : 1.25
MIN : 1.22</v>
      </c>
    </row>
    <row r="291" spans="2:17" ht="41.4" x14ac:dyDescent="0.3">
      <c r="B291">
        <v>0</v>
      </c>
      <c r="C291" s="33">
        <v>2377</v>
      </c>
      <c r="D291" s="2">
        <v>1711</v>
      </c>
      <c r="E291" s="2" t="s">
        <v>6599</v>
      </c>
      <c r="F291" s="3" t="s">
        <v>14206</v>
      </c>
      <c r="H291" s="3" t="s">
        <v>261</v>
      </c>
      <c r="K291" s="2">
        <v>10</v>
      </c>
      <c r="L291" s="2">
        <v>6</v>
      </c>
      <c r="M291" s="3" t="s">
        <v>6009</v>
      </c>
      <c r="N291" s="3" t="s">
        <v>13</v>
      </c>
      <c r="O291" s="3" t="s">
        <v>14</v>
      </c>
      <c r="Q291" s="30" t="str">
        <f t="shared" si="4"/>
        <v>MAX : 
TARGET : Yes(Pass)
MIN : No(Fail)</v>
      </c>
    </row>
    <row r="292" spans="2:17" ht="41.4" x14ac:dyDescent="0.3">
      <c r="B292">
        <v>1</v>
      </c>
      <c r="C292" s="33">
        <v>2737</v>
      </c>
      <c r="D292" s="2">
        <v>894</v>
      </c>
      <c r="E292" s="2" t="s">
        <v>6640</v>
      </c>
      <c r="F292" s="3" t="s">
        <v>14206</v>
      </c>
      <c r="H292" s="3" t="s">
        <v>417</v>
      </c>
      <c r="K292" s="2">
        <v>20</v>
      </c>
      <c r="L292" s="2">
        <v>5</v>
      </c>
      <c r="M292" s="3" t="s">
        <v>5123</v>
      </c>
      <c r="N292" s="3" t="s">
        <v>13</v>
      </c>
      <c r="O292" s="3" t="s">
        <v>14</v>
      </c>
      <c r="Q292" s="30" t="str">
        <f t="shared" si="4"/>
        <v>MAX : 
TARGET : Yes(Pass)
MIN : No(Fail)</v>
      </c>
    </row>
    <row r="293" spans="2:17" ht="41.4" x14ac:dyDescent="0.3">
      <c r="B293">
        <v>0</v>
      </c>
      <c r="C293" s="33">
        <v>3282</v>
      </c>
      <c r="D293" s="2">
        <v>905</v>
      </c>
      <c r="E293" s="2" t="s">
        <v>6763</v>
      </c>
      <c r="F293" s="3" t="s">
        <v>14207</v>
      </c>
      <c r="H293" s="3" t="s">
        <v>582</v>
      </c>
      <c r="I293" s="3" t="s">
        <v>575</v>
      </c>
      <c r="K293" s="2">
        <v>10</v>
      </c>
      <c r="L293" s="2">
        <v>3</v>
      </c>
      <c r="M293" s="3" t="s">
        <v>589</v>
      </c>
      <c r="N293" s="3" t="s">
        <v>13</v>
      </c>
      <c r="O293" s="3" t="s">
        <v>14</v>
      </c>
      <c r="Q293" s="30" t="str">
        <f t="shared" si="4"/>
        <v>MAX : 
TARGET : Yes(Pass)
MIN : No(Fail)</v>
      </c>
    </row>
    <row r="294" spans="2:17" ht="41.4" x14ac:dyDescent="0.3">
      <c r="B294">
        <v>0</v>
      </c>
      <c r="C294" s="33">
        <v>3282</v>
      </c>
      <c r="D294" s="2">
        <v>905</v>
      </c>
      <c r="E294" s="2" t="s">
        <v>6763</v>
      </c>
      <c r="F294" s="3" t="s">
        <v>14207</v>
      </c>
      <c r="H294" s="3" t="s">
        <v>582</v>
      </c>
      <c r="I294" s="3" t="s">
        <v>575</v>
      </c>
      <c r="K294" s="2">
        <v>10</v>
      </c>
      <c r="L294" s="2">
        <v>4</v>
      </c>
      <c r="M294" s="3" t="s">
        <v>590</v>
      </c>
      <c r="N294" s="3" t="s">
        <v>13</v>
      </c>
      <c r="O294" s="3" t="s">
        <v>14</v>
      </c>
      <c r="Q294" s="30" t="str">
        <f t="shared" si="4"/>
        <v>MAX : 
TARGET : Yes(Pass)
MIN : No(Fail)</v>
      </c>
    </row>
    <row r="295" spans="2:17" ht="41.4" x14ac:dyDescent="0.3">
      <c r="B295">
        <v>0</v>
      </c>
      <c r="C295" s="33">
        <v>3282</v>
      </c>
      <c r="D295" s="2">
        <v>905</v>
      </c>
      <c r="E295" s="2" t="s">
        <v>6763</v>
      </c>
      <c r="F295" s="3" t="s">
        <v>14207</v>
      </c>
      <c r="H295" s="3" t="s">
        <v>582</v>
      </c>
      <c r="I295" s="3" t="s">
        <v>575</v>
      </c>
      <c r="K295" s="2">
        <v>10</v>
      </c>
      <c r="L295" s="2">
        <v>5</v>
      </c>
      <c r="M295" s="3" t="s">
        <v>591</v>
      </c>
      <c r="N295" s="3" t="s">
        <v>13</v>
      </c>
      <c r="O295" s="3" t="s">
        <v>14</v>
      </c>
      <c r="Q295" s="30" t="str">
        <f t="shared" si="4"/>
        <v>MAX : 
TARGET : Yes(Pass)
MIN : No(Fail)</v>
      </c>
    </row>
    <row r="296" spans="2:17" ht="41.4" x14ac:dyDescent="0.3">
      <c r="B296">
        <v>1</v>
      </c>
      <c r="C296" s="33">
        <v>2749</v>
      </c>
      <c r="D296" s="2">
        <v>895</v>
      </c>
      <c r="E296" s="2" t="s">
        <v>6647</v>
      </c>
      <c r="F296" s="3" t="s">
        <v>14212</v>
      </c>
      <c r="H296" s="3" t="s">
        <v>426</v>
      </c>
      <c r="K296" s="2">
        <v>20</v>
      </c>
      <c r="L296" s="2">
        <v>2</v>
      </c>
      <c r="M296" s="3" t="s">
        <v>429</v>
      </c>
      <c r="N296" s="3" t="s">
        <v>430</v>
      </c>
      <c r="O296" s="3" t="s">
        <v>431</v>
      </c>
      <c r="P296" s="3" t="s">
        <v>432</v>
      </c>
      <c r="Q296" s="30" t="str">
        <f t="shared" si="4"/>
        <v>MAX : 1.165
TARGET : 1.150
MIN : 1.135</v>
      </c>
    </row>
    <row r="297" spans="2:17" ht="41.4" x14ac:dyDescent="0.3">
      <c r="B297">
        <v>1</v>
      </c>
      <c r="C297" s="33">
        <v>2749</v>
      </c>
      <c r="D297" s="2">
        <v>895</v>
      </c>
      <c r="E297" s="2" t="s">
        <v>6647</v>
      </c>
      <c r="F297" s="3" t="s">
        <v>14212</v>
      </c>
      <c r="H297" s="3" t="s">
        <v>426</v>
      </c>
      <c r="K297" s="2">
        <v>20</v>
      </c>
      <c r="L297" s="2">
        <v>1</v>
      </c>
      <c r="M297" s="3" t="s">
        <v>22</v>
      </c>
      <c r="N297" s="3" t="s">
        <v>386</v>
      </c>
      <c r="O297" s="3" t="s">
        <v>427</v>
      </c>
      <c r="P297" s="3" t="s">
        <v>428</v>
      </c>
      <c r="Q297" s="30" t="str">
        <f t="shared" si="4"/>
        <v>MAX : 1.68
TARGET : 1.65
MIN : 1.62</v>
      </c>
    </row>
    <row r="298" spans="2:17" ht="41.4" x14ac:dyDescent="0.3">
      <c r="B298">
        <v>0</v>
      </c>
      <c r="C298" s="33">
        <v>3304</v>
      </c>
      <c r="D298" s="2">
        <v>1722</v>
      </c>
      <c r="E298" s="2" t="s">
        <v>6770</v>
      </c>
      <c r="F298" s="3" t="s">
        <v>14206</v>
      </c>
      <c r="H298" s="3" t="s">
        <v>491</v>
      </c>
      <c r="K298" s="2">
        <v>10</v>
      </c>
      <c r="L298" s="2">
        <v>3</v>
      </c>
      <c r="M298" s="3" t="s">
        <v>481</v>
      </c>
      <c r="N298" s="3" t="s">
        <v>13</v>
      </c>
      <c r="O298" s="3" t="s">
        <v>14</v>
      </c>
      <c r="Q298" s="30" t="str">
        <f t="shared" si="4"/>
        <v>MAX : 
TARGET : Yes(Pass)
MIN : No(Fail)</v>
      </c>
    </row>
    <row r="299" spans="2:17" ht="41.4" x14ac:dyDescent="0.3">
      <c r="B299">
        <v>0</v>
      </c>
      <c r="C299" s="33">
        <v>3304</v>
      </c>
      <c r="D299" s="2">
        <v>1722</v>
      </c>
      <c r="E299" s="2" t="s">
        <v>6770</v>
      </c>
      <c r="F299" s="3" t="s">
        <v>14206</v>
      </c>
      <c r="H299" s="3" t="s">
        <v>491</v>
      </c>
      <c r="K299" s="2">
        <v>10</v>
      </c>
      <c r="L299" s="2">
        <v>4</v>
      </c>
      <c r="M299" s="3" t="s">
        <v>593</v>
      </c>
      <c r="N299" s="3" t="s">
        <v>13</v>
      </c>
      <c r="O299" s="3" t="s">
        <v>14</v>
      </c>
      <c r="Q299" s="30" t="str">
        <f t="shared" si="4"/>
        <v>MAX : 
TARGET : Yes(Pass)
MIN : No(Fail)</v>
      </c>
    </row>
    <row r="300" spans="2:17" ht="41.4" x14ac:dyDescent="0.3">
      <c r="B300">
        <v>1</v>
      </c>
      <c r="C300" s="33">
        <v>2749</v>
      </c>
      <c r="D300" s="2">
        <v>895</v>
      </c>
      <c r="E300" s="2" t="s">
        <v>6647</v>
      </c>
      <c r="F300" s="3" t="s">
        <v>14212</v>
      </c>
      <c r="H300" s="3" t="s">
        <v>426</v>
      </c>
      <c r="K300" s="2">
        <v>20</v>
      </c>
      <c r="L300" s="2">
        <v>6</v>
      </c>
      <c r="M300" s="3" t="s">
        <v>503</v>
      </c>
      <c r="N300" s="3" t="s">
        <v>24</v>
      </c>
      <c r="O300" s="3" t="s">
        <v>25</v>
      </c>
      <c r="Q300" s="30" t="str">
        <f t="shared" si="4"/>
        <v>MAX : 
TARGET : Yes (Pass)
MIN : No (Fail)</v>
      </c>
    </row>
    <row r="301" spans="2:17" ht="41.4" x14ac:dyDescent="0.3">
      <c r="B301">
        <v>1</v>
      </c>
      <c r="C301" s="33">
        <v>2812</v>
      </c>
      <c r="D301" s="2">
        <v>1715</v>
      </c>
      <c r="E301" s="2" t="s">
        <v>6655</v>
      </c>
      <c r="F301" s="3" t="s">
        <v>14206</v>
      </c>
      <c r="H301" s="3" t="s">
        <v>193</v>
      </c>
      <c r="K301" s="2">
        <v>20</v>
      </c>
      <c r="L301" s="2">
        <v>2</v>
      </c>
      <c r="M301" s="3" t="s">
        <v>452</v>
      </c>
      <c r="O301" s="3" t="s">
        <v>25</v>
      </c>
      <c r="P301" s="3" t="s">
        <v>24</v>
      </c>
      <c r="Q301" s="30" t="str">
        <f t="shared" si="4"/>
        <v xml:space="preserve">MAX : No (Fail)
TARGET : Yes (Pass)
MIN : </v>
      </c>
    </row>
    <row r="302" spans="2:17" ht="41.4" x14ac:dyDescent="0.3">
      <c r="B302">
        <v>0</v>
      </c>
      <c r="C302" s="33">
        <v>3314</v>
      </c>
      <c r="D302" s="2">
        <v>1723</v>
      </c>
      <c r="E302" s="2" t="s">
        <v>6778</v>
      </c>
      <c r="F302" s="3" t="s">
        <v>14206</v>
      </c>
      <c r="H302" s="3" t="s">
        <v>269</v>
      </c>
      <c r="K302" s="2">
        <v>10</v>
      </c>
      <c r="L302" s="2">
        <v>3</v>
      </c>
      <c r="M302" s="3" t="s">
        <v>599</v>
      </c>
      <c r="N302" s="3" t="s">
        <v>13</v>
      </c>
      <c r="O302" s="3" t="s">
        <v>14</v>
      </c>
      <c r="Q302" s="30" t="str">
        <f t="shared" si="4"/>
        <v>MAX : 
TARGET : Yes(Pass)
MIN : No(Fail)</v>
      </c>
    </row>
    <row r="303" spans="2:17" ht="41.4" x14ac:dyDescent="0.3">
      <c r="B303">
        <v>1</v>
      </c>
      <c r="C303" s="33">
        <v>2812</v>
      </c>
      <c r="D303" s="2">
        <v>1715</v>
      </c>
      <c r="E303" s="2" t="s">
        <v>6655</v>
      </c>
      <c r="F303" s="3" t="s">
        <v>14206</v>
      </c>
      <c r="H303" s="3" t="s">
        <v>193</v>
      </c>
      <c r="K303" s="2">
        <v>20</v>
      </c>
      <c r="L303" s="2">
        <v>1</v>
      </c>
      <c r="M303" s="3" t="s">
        <v>307</v>
      </c>
      <c r="N303" s="3" t="s">
        <v>450</v>
      </c>
      <c r="O303" s="3" t="s">
        <v>379</v>
      </c>
      <c r="P303" s="3" t="s">
        <v>451</v>
      </c>
      <c r="Q303" s="30" t="str">
        <f t="shared" si="4"/>
        <v>MAX : 0.890
TARGET : 0.875
MIN : 0.860</v>
      </c>
    </row>
    <row r="304" spans="2:17" ht="41.4" x14ac:dyDescent="0.3">
      <c r="B304">
        <v>1</v>
      </c>
      <c r="C304" s="33">
        <v>2876</v>
      </c>
      <c r="D304" s="2">
        <v>1716</v>
      </c>
      <c r="E304" s="2" t="s">
        <v>6662</v>
      </c>
      <c r="F304" s="3" t="s">
        <v>14206</v>
      </c>
      <c r="H304" s="3" t="s">
        <v>461</v>
      </c>
      <c r="K304" s="2">
        <v>10</v>
      </c>
      <c r="L304" s="2">
        <v>2</v>
      </c>
      <c r="M304" s="3" t="s">
        <v>325</v>
      </c>
      <c r="N304" s="3" t="s">
        <v>13</v>
      </c>
      <c r="O304" s="3" t="s">
        <v>14</v>
      </c>
      <c r="Q304" s="30" t="str">
        <f t="shared" si="4"/>
        <v>MAX : 
TARGET : Yes(Pass)
MIN : No(Fail)</v>
      </c>
    </row>
    <row r="305" spans="2:17" ht="41.4" x14ac:dyDescent="0.3">
      <c r="B305">
        <v>0</v>
      </c>
      <c r="C305" s="33">
        <v>3345</v>
      </c>
      <c r="D305" s="2">
        <v>906</v>
      </c>
      <c r="E305" s="2" t="s">
        <v>6784</v>
      </c>
      <c r="F305" s="3" t="s">
        <v>14206</v>
      </c>
      <c r="H305" s="3" t="s">
        <v>600</v>
      </c>
      <c r="K305" s="2">
        <v>10</v>
      </c>
      <c r="L305" s="2">
        <v>3</v>
      </c>
      <c r="M305" s="3" t="s">
        <v>603</v>
      </c>
      <c r="N305" s="3" t="s">
        <v>308</v>
      </c>
      <c r="O305" s="3" t="s">
        <v>309</v>
      </c>
      <c r="P305" s="3" t="s">
        <v>310</v>
      </c>
      <c r="Q305" s="30" t="str">
        <f t="shared" si="4"/>
        <v>MAX : 0.53
TARGET : 0.50
MIN : 0.47</v>
      </c>
    </row>
    <row r="306" spans="2:17" ht="41.4" x14ac:dyDescent="0.3">
      <c r="B306">
        <v>0</v>
      </c>
      <c r="C306" s="33">
        <v>3345</v>
      </c>
      <c r="D306" s="2">
        <v>906</v>
      </c>
      <c r="E306" s="2" t="s">
        <v>6784</v>
      </c>
      <c r="F306" s="3" t="s">
        <v>14206</v>
      </c>
      <c r="H306" s="3" t="s">
        <v>600</v>
      </c>
      <c r="K306" s="2">
        <v>10</v>
      </c>
      <c r="L306" s="2">
        <v>4</v>
      </c>
      <c r="M306" s="3" t="s">
        <v>604</v>
      </c>
      <c r="N306" s="3" t="s">
        <v>13</v>
      </c>
      <c r="O306" s="3" t="s">
        <v>14</v>
      </c>
      <c r="Q306" s="30" t="str">
        <f t="shared" si="4"/>
        <v>MAX : 
TARGET : Yes(Pass)
MIN : No(Fail)</v>
      </c>
    </row>
    <row r="307" spans="2:17" ht="41.4" x14ac:dyDescent="0.3">
      <c r="B307">
        <v>0</v>
      </c>
      <c r="C307" s="33">
        <v>3345</v>
      </c>
      <c r="D307" s="2">
        <v>906</v>
      </c>
      <c r="E307" s="2" t="s">
        <v>6784</v>
      </c>
      <c r="F307" s="3" t="s">
        <v>14206</v>
      </c>
      <c r="H307" s="3" t="s">
        <v>600</v>
      </c>
      <c r="K307" s="2">
        <v>10</v>
      </c>
      <c r="L307" s="2">
        <v>5</v>
      </c>
      <c r="M307" s="3" t="s">
        <v>605</v>
      </c>
      <c r="N307" s="3" t="s">
        <v>13</v>
      </c>
      <c r="O307" s="3" t="s">
        <v>14</v>
      </c>
      <c r="Q307" s="30" t="str">
        <f t="shared" si="4"/>
        <v>MAX : 
TARGET : Yes(Pass)
MIN : No(Fail)</v>
      </c>
    </row>
    <row r="308" spans="2:17" ht="41.4" x14ac:dyDescent="0.3">
      <c r="B308">
        <v>1</v>
      </c>
      <c r="C308" s="33">
        <v>2876</v>
      </c>
      <c r="D308" s="2">
        <v>1716</v>
      </c>
      <c r="E308" s="2" t="s">
        <v>6662</v>
      </c>
      <c r="F308" s="3" t="s">
        <v>14206</v>
      </c>
      <c r="H308" s="3" t="s">
        <v>461</v>
      </c>
      <c r="K308" s="2">
        <v>10</v>
      </c>
      <c r="L308" s="2">
        <v>1</v>
      </c>
      <c r="M308" s="3" t="s">
        <v>99</v>
      </c>
      <c r="N308" s="3" t="s">
        <v>462</v>
      </c>
      <c r="O308" s="3" t="s">
        <v>424</v>
      </c>
      <c r="P308" s="3" t="s">
        <v>463</v>
      </c>
      <c r="Q308" s="30" t="str">
        <f t="shared" si="4"/>
        <v>MAX : 0.28
TARGET : 0.25
MIN : 0.22</v>
      </c>
    </row>
    <row r="309" spans="2:17" ht="41.4" x14ac:dyDescent="0.3">
      <c r="B309">
        <v>1</v>
      </c>
      <c r="C309" s="33">
        <v>2876</v>
      </c>
      <c r="D309" s="2">
        <v>1716</v>
      </c>
      <c r="E309" s="2" t="s">
        <v>6662</v>
      </c>
      <c r="F309" s="3" t="s">
        <v>14206</v>
      </c>
      <c r="H309" s="3" t="s">
        <v>461</v>
      </c>
      <c r="K309" s="2">
        <v>10</v>
      </c>
      <c r="L309" s="2">
        <v>3</v>
      </c>
      <c r="M309" s="3" t="s">
        <v>611</v>
      </c>
      <c r="N309" s="3" t="s">
        <v>13</v>
      </c>
      <c r="O309" s="3" t="s">
        <v>14</v>
      </c>
      <c r="Q309" s="30" t="str">
        <f t="shared" si="4"/>
        <v>MAX : 
TARGET : Yes(Pass)
MIN : No(Fail)</v>
      </c>
    </row>
    <row r="310" spans="2:17" ht="41.4" x14ac:dyDescent="0.3">
      <c r="B310">
        <v>0</v>
      </c>
      <c r="C310" s="33">
        <v>3356</v>
      </c>
      <c r="D310" s="2">
        <v>907</v>
      </c>
      <c r="E310" s="2" t="s">
        <v>6791</v>
      </c>
      <c r="F310" s="3" t="s">
        <v>606</v>
      </c>
      <c r="H310" s="3" t="s">
        <v>607</v>
      </c>
      <c r="K310" s="2">
        <v>10</v>
      </c>
      <c r="L310" s="2">
        <v>3</v>
      </c>
      <c r="M310" s="3" t="s">
        <v>610</v>
      </c>
      <c r="O310" s="3" t="s">
        <v>38</v>
      </c>
      <c r="P310" s="3" t="s">
        <v>39</v>
      </c>
      <c r="Q310" s="30" t="str">
        <f t="shared" si="4"/>
        <v xml:space="preserve">MAX : Yes(Fail)
TARGET : No(Pass)
MIN : </v>
      </c>
    </row>
    <row r="311" spans="2:17" ht="41.4" x14ac:dyDescent="0.3">
      <c r="B311">
        <v>1</v>
      </c>
      <c r="C311" s="33">
        <v>2886</v>
      </c>
      <c r="D311" s="2">
        <v>896</v>
      </c>
      <c r="E311" s="2" t="s">
        <v>6668</v>
      </c>
      <c r="F311" s="3" t="s">
        <v>14206</v>
      </c>
      <c r="H311" s="3" t="s">
        <v>469</v>
      </c>
      <c r="K311" s="2">
        <v>20</v>
      </c>
      <c r="L311" s="2">
        <v>2</v>
      </c>
      <c r="M311" s="3" t="s">
        <v>429</v>
      </c>
      <c r="N311" s="3" t="s">
        <v>472</v>
      </c>
      <c r="O311" s="3" t="s">
        <v>473</v>
      </c>
      <c r="P311" s="3" t="s">
        <v>474</v>
      </c>
      <c r="Q311" s="30" t="str">
        <f t="shared" si="4"/>
        <v>MAX : 1.254
TARGET : 1.244
MIN : 1.234</v>
      </c>
    </row>
    <row r="312" spans="2:17" ht="41.4" x14ac:dyDescent="0.3">
      <c r="B312">
        <v>1</v>
      </c>
      <c r="C312" s="33">
        <v>2886</v>
      </c>
      <c r="D312" s="2">
        <v>896</v>
      </c>
      <c r="E312" s="2" t="s">
        <v>6668</v>
      </c>
      <c r="F312" s="3" t="s">
        <v>14206</v>
      </c>
      <c r="H312" s="3" t="s">
        <v>469</v>
      </c>
      <c r="K312" s="2">
        <v>20</v>
      </c>
      <c r="L312" s="2">
        <v>1</v>
      </c>
      <c r="M312" s="3" t="s">
        <v>22</v>
      </c>
      <c r="N312" s="3" t="s">
        <v>470</v>
      </c>
      <c r="O312" s="3" t="s">
        <v>471</v>
      </c>
      <c r="P312" s="3" t="s">
        <v>387</v>
      </c>
      <c r="Q312" s="30" t="str">
        <f t="shared" si="4"/>
        <v>MAX : 1.77
TARGET : 1.74
MIN : 1.71</v>
      </c>
    </row>
    <row r="313" spans="2:17" ht="41.4" x14ac:dyDescent="0.3">
      <c r="B313">
        <v>0</v>
      </c>
      <c r="C313" s="33">
        <v>3368</v>
      </c>
      <c r="D313" s="2">
        <v>1724</v>
      </c>
      <c r="E313" s="2" t="s">
        <v>6800</v>
      </c>
      <c r="F313" s="3" t="s">
        <v>14206</v>
      </c>
      <c r="H313" s="3" t="s">
        <v>261</v>
      </c>
      <c r="K313" s="2">
        <v>10</v>
      </c>
      <c r="L313" s="2">
        <v>3</v>
      </c>
      <c r="M313" s="3" t="s">
        <v>265</v>
      </c>
      <c r="N313" s="3" t="s">
        <v>13</v>
      </c>
      <c r="O313" s="3" t="s">
        <v>14</v>
      </c>
      <c r="Q313" s="30" t="str">
        <f t="shared" si="4"/>
        <v>MAX : 
TARGET : Yes(Pass)
MIN : No(Fail)</v>
      </c>
    </row>
    <row r="314" spans="2:17" ht="41.4" x14ac:dyDescent="0.3">
      <c r="B314">
        <v>0</v>
      </c>
      <c r="C314" s="33">
        <v>3368</v>
      </c>
      <c r="D314" s="2">
        <v>1724</v>
      </c>
      <c r="E314" s="2" t="s">
        <v>6800</v>
      </c>
      <c r="F314" s="3" t="s">
        <v>14206</v>
      </c>
      <c r="H314" s="3" t="s">
        <v>261</v>
      </c>
      <c r="K314" s="2">
        <v>10</v>
      </c>
      <c r="L314" s="2">
        <v>4</v>
      </c>
      <c r="M314" s="3" t="s">
        <v>611</v>
      </c>
      <c r="N314" s="3" t="s">
        <v>13</v>
      </c>
      <c r="O314" s="3" t="s">
        <v>14</v>
      </c>
      <c r="Q314" s="30" t="str">
        <f t="shared" si="4"/>
        <v>MAX : 
TARGET : Yes(Pass)
MIN : No(Fail)</v>
      </c>
    </row>
    <row r="315" spans="2:17" ht="41.4" x14ac:dyDescent="0.3">
      <c r="B315">
        <v>1</v>
      </c>
      <c r="C315" s="33">
        <v>2886</v>
      </c>
      <c r="D315" s="2">
        <v>896</v>
      </c>
      <c r="E315" s="2" t="s">
        <v>6668</v>
      </c>
      <c r="F315" s="3" t="s">
        <v>14206</v>
      </c>
      <c r="H315" s="3" t="s">
        <v>469</v>
      </c>
      <c r="K315" s="2">
        <v>20</v>
      </c>
      <c r="L315" s="2">
        <v>6</v>
      </c>
      <c r="M315" s="3" t="s">
        <v>503</v>
      </c>
      <c r="N315" s="3" t="s">
        <v>24</v>
      </c>
      <c r="O315" s="3" t="s">
        <v>25</v>
      </c>
      <c r="Q315" s="30" t="str">
        <f t="shared" si="4"/>
        <v>MAX : 
TARGET : Yes (Pass)
MIN : No (Fail)</v>
      </c>
    </row>
    <row r="316" spans="2:17" ht="41.4" x14ac:dyDescent="0.3">
      <c r="B316">
        <v>1</v>
      </c>
      <c r="C316" s="33">
        <v>2926</v>
      </c>
      <c r="D316" s="2">
        <v>897</v>
      </c>
      <c r="E316" s="2" t="s">
        <v>6675</v>
      </c>
      <c r="F316" s="3" t="s">
        <v>14206</v>
      </c>
      <c r="H316" s="3" t="s">
        <v>482</v>
      </c>
      <c r="K316" s="2">
        <v>20</v>
      </c>
      <c r="L316" s="2">
        <v>2</v>
      </c>
      <c r="M316" s="3" t="s">
        <v>486</v>
      </c>
      <c r="N316" s="3" t="s">
        <v>13</v>
      </c>
      <c r="O316" s="3" t="s">
        <v>14</v>
      </c>
      <c r="Q316" s="30" t="str">
        <f t="shared" si="4"/>
        <v>MAX : 
TARGET : Yes(Pass)
MIN : No(Fail)</v>
      </c>
    </row>
    <row r="317" spans="2:17" ht="41.4" x14ac:dyDescent="0.3">
      <c r="B317">
        <v>0</v>
      </c>
      <c r="C317" s="33">
        <v>3479</v>
      </c>
      <c r="D317" s="2">
        <v>908</v>
      </c>
      <c r="E317" s="2" t="s">
        <v>6807</v>
      </c>
      <c r="F317" s="3" t="s">
        <v>14207</v>
      </c>
      <c r="H317" s="3" t="s">
        <v>612</v>
      </c>
      <c r="K317" s="2">
        <v>10</v>
      </c>
      <c r="L317" s="2">
        <v>3</v>
      </c>
      <c r="M317" s="3" t="s">
        <v>619</v>
      </c>
      <c r="N317" s="3" t="s">
        <v>620</v>
      </c>
      <c r="O317" s="3" t="s">
        <v>62</v>
      </c>
      <c r="P317" s="3" t="s">
        <v>621</v>
      </c>
      <c r="Q317" s="30" t="str">
        <f t="shared" si="4"/>
        <v>MAX : 20.88
TARGET : 20.50
MIN : 20.12</v>
      </c>
    </row>
    <row r="318" spans="2:17" ht="41.4" x14ac:dyDescent="0.3">
      <c r="B318">
        <v>0</v>
      </c>
      <c r="C318" s="33">
        <v>3479</v>
      </c>
      <c r="D318" s="2">
        <v>908</v>
      </c>
      <c r="E318" s="2" t="s">
        <v>6807</v>
      </c>
      <c r="F318" s="3" t="s">
        <v>14207</v>
      </c>
      <c r="H318" s="3" t="s">
        <v>612</v>
      </c>
      <c r="K318" s="2">
        <v>10</v>
      </c>
      <c r="L318" s="2">
        <v>4</v>
      </c>
      <c r="M318" s="3" t="s">
        <v>622</v>
      </c>
      <c r="N318" s="3" t="s">
        <v>13</v>
      </c>
      <c r="O318" s="3" t="s">
        <v>14</v>
      </c>
      <c r="Q318" s="30" t="str">
        <f t="shared" si="4"/>
        <v>MAX : 
TARGET : Yes(Pass)
MIN : No(Fail)</v>
      </c>
    </row>
    <row r="319" spans="2:17" ht="41.4" x14ac:dyDescent="0.3">
      <c r="B319">
        <v>0</v>
      </c>
      <c r="C319" s="33">
        <v>3479</v>
      </c>
      <c r="D319" s="2">
        <v>908</v>
      </c>
      <c r="E319" s="2" t="s">
        <v>6807</v>
      </c>
      <c r="F319" s="3" t="s">
        <v>14207</v>
      </c>
      <c r="H319" s="3" t="s">
        <v>612</v>
      </c>
      <c r="K319" s="2">
        <v>10</v>
      </c>
      <c r="L319" s="2">
        <v>5</v>
      </c>
      <c r="M319" s="3" t="s">
        <v>623</v>
      </c>
      <c r="N319" s="3" t="s">
        <v>13</v>
      </c>
      <c r="O319" s="3" t="s">
        <v>14</v>
      </c>
      <c r="Q319" s="30" t="str">
        <f t="shared" si="4"/>
        <v>MAX : 
TARGET : Yes(Pass)
MIN : No(Fail)</v>
      </c>
    </row>
    <row r="320" spans="2:17" ht="41.4" x14ac:dyDescent="0.3">
      <c r="B320">
        <v>1</v>
      </c>
      <c r="C320" s="33">
        <v>2926</v>
      </c>
      <c r="D320" s="2">
        <v>897</v>
      </c>
      <c r="E320" s="2" t="s">
        <v>6675</v>
      </c>
      <c r="F320" s="3" t="s">
        <v>14206</v>
      </c>
      <c r="H320" s="3" t="s">
        <v>482</v>
      </c>
      <c r="K320" s="2">
        <v>20</v>
      </c>
      <c r="L320" s="2">
        <v>1</v>
      </c>
      <c r="M320" s="3" t="s">
        <v>483</v>
      </c>
      <c r="N320" s="3" t="s">
        <v>484</v>
      </c>
      <c r="O320" s="3" t="s">
        <v>485</v>
      </c>
      <c r="P320" s="3" t="s">
        <v>420</v>
      </c>
      <c r="Q320" s="30" t="str">
        <f t="shared" si="4"/>
        <v>MAX : 0.97
TARGET : 0.94
MIN : 0.91</v>
      </c>
    </row>
    <row r="321" spans="2:17" ht="41.4" x14ac:dyDescent="0.3">
      <c r="B321">
        <v>1</v>
      </c>
      <c r="C321" s="33">
        <v>3027</v>
      </c>
      <c r="D321" s="2">
        <v>1717</v>
      </c>
      <c r="E321" s="2" t="s">
        <v>6682</v>
      </c>
      <c r="F321" s="3" t="s">
        <v>14206</v>
      </c>
      <c r="H321" s="3" t="s">
        <v>261</v>
      </c>
      <c r="I321" s="3" t="s">
        <v>487</v>
      </c>
      <c r="K321" s="2">
        <v>10</v>
      </c>
      <c r="L321" s="2">
        <v>2</v>
      </c>
      <c r="M321" s="3" t="s">
        <v>490</v>
      </c>
      <c r="N321" s="3" t="s">
        <v>13</v>
      </c>
      <c r="O321" s="3" t="s">
        <v>14</v>
      </c>
      <c r="Q321" s="30" t="str">
        <f t="shared" si="4"/>
        <v>MAX : 
TARGET : Yes(Pass)
MIN : No(Fail)</v>
      </c>
    </row>
    <row r="322" spans="2:17" ht="41.4" x14ac:dyDescent="0.3">
      <c r="B322">
        <v>0</v>
      </c>
      <c r="C322" s="33">
        <v>3516</v>
      </c>
      <c r="D322" s="2">
        <v>909</v>
      </c>
      <c r="E322" s="2" t="s">
        <v>6814</v>
      </c>
      <c r="F322" s="3" t="s">
        <v>14206</v>
      </c>
      <c r="H322" s="3" t="s">
        <v>632</v>
      </c>
      <c r="K322" s="2">
        <v>10</v>
      </c>
      <c r="L322" s="2">
        <v>3</v>
      </c>
      <c r="M322" s="3" t="s">
        <v>638</v>
      </c>
      <c r="N322" s="3" t="s">
        <v>13</v>
      </c>
      <c r="O322" s="3" t="s">
        <v>14</v>
      </c>
      <c r="Q322" s="30" t="str">
        <f t="shared" ref="Q322:Q385" si="5">"MAX : " &amp; P322 &amp; CHAR(10) &amp; "TARGET : " &amp; O322 &amp; CHAR(10) &amp; "MIN : " &amp; N322</f>
        <v>MAX : 
TARGET : Yes(Pass)
MIN : No(Fail)</v>
      </c>
    </row>
    <row r="323" spans="2:17" ht="41.4" x14ac:dyDescent="0.3">
      <c r="B323">
        <v>0</v>
      </c>
      <c r="C323" s="33">
        <v>3516</v>
      </c>
      <c r="D323" s="2">
        <v>909</v>
      </c>
      <c r="E323" s="2" t="s">
        <v>6814</v>
      </c>
      <c r="F323" s="3" t="s">
        <v>14206</v>
      </c>
      <c r="H323" s="3" t="s">
        <v>632</v>
      </c>
      <c r="K323" s="2">
        <v>10</v>
      </c>
      <c r="L323" s="2">
        <v>4</v>
      </c>
      <c r="M323" s="3" t="s">
        <v>639</v>
      </c>
      <c r="N323" s="3" t="s">
        <v>13</v>
      </c>
      <c r="O323" s="3" t="s">
        <v>14</v>
      </c>
      <c r="Q323" s="30" t="str">
        <f t="shared" si="5"/>
        <v>MAX : 
TARGET : Yes(Pass)
MIN : No(Fail)</v>
      </c>
    </row>
    <row r="324" spans="2:17" ht="41.4" x14ac:dyDescent="0.3">
      <c r="B324">
        <v>1</v>
      </c>
      <c r="C324" s="33">
        <v>3027</v>
      </c>
      <c r="D324" s="2">
        <v>1717</v>
      </c>
      <c r="E324" s="2" t="s">
        <v>6682</v>
      </c>
      <c r="F324" s="3" t="s">
        <v>14206</v>
      </c>
      <c r="H324" s="3" t="s">
        <v>261</v>
      </c>
      <c r="I324" s="3" t="s">
        <v>487</v>
      </c>
      <c r="K324" s="2">
        <v>10</v>
      </c>
      <c r="L324" s="2">
        <v>1</v>
      </c>
      <c r="M324" s="3" t="s">
        <v>99</v>
      </c>
      <c r="N324" s="3" t="s">
        <v>488</v>
      </c>
      <c r="O324" s="3" t="s">
        <v>76</v>
      </c>
      <c r="P324" s="3" t="s">
        <v>489</v>
      </c>
      <c r="Q324" s="30" t="str">
        <f t="shared" si="5"/>
        <v>MAX : 2.56
TARGET : 2.50
MIN : 2.44</v>
      </c>
    </row>
    <row r="325" spans="2:17" ht="41.4" x14ac:dyDescent="0.3">
      <c r="B325">
        <v>1</v>
      </c>
      <c r="C325" s="33">
        <v>3034</v>
      </c>
      <c r="D325" s="2">
        <v>1718</v>
      </c>
      <c r="E325" s="2" t="s">
        <v>6689</v>
      </c>
      <c r="F325" s="3" t="s">
        <v>14206</v>
      </c>
      <c r="H325" s="3" t="s">
        <v>491</v>
      </c>
      <c r="K325" s="2">
        <v>10</v>
      </c>
      <c r="L325" s="2">
        <v>2</v>
      </c>
      <c r="M325" s="3" t="s">
        <v>161</v>
      </c>
      <c r="N325" s="3" t="s">
        <v>492</v>
      </c>
      <c r="O325" s="3" t="s">
        <v>493</v>
      </c>
      <c r="P325" s="3" t="s">
        <v>494</v>
      </c>
      <c r="Q325" s="30" t="str">
        <f t="shared" si="5"/>
        <v>MAX : 2.155
TARGET : 2.125
MIN : 2.095</v>
      </c>
    </row>
    <row r="326" spans="2:17" ht="41.4" x14ac:dyDescent="0.3">
      <c r="B326">
        <v>0</v>
      </c>
      <c r="C326" s="33">
        <v>3524</v>
      </c>
      <c r="D326" s="2">
        <v>910</v>
      </c>
      <c r="E326" s="2" t="s">
        <v>6820</v>
      </c>
      <c r="F326" s="3" t="s">
        <v>14206</v>
      </c>
      <c r="H326" s="3" t="s">
        <v>469</v>
      </c>
      <c r="K326" s="2">
        <v>10</v>
      </c>
      <c r="L326" s="2">
        <v>3</v>
      </c>
      <c r="M326" s="3" t="s">
        <v>646</v>
      </c>
      <c r="N326" s="3" t="s">
        <v>13</v>
      </c>
      <c r="O326" s="3" t="s">
        <v>14</v>
      </c>
      <c r="Q326" s="30" t="str">
        <f t="shared" si="5"/>
        <v>MAX : 
TARGET : Yes(Pass)
MIN : No(Fail)</v>
      </c>
    </row>
    <row r="327" spans="2:17" ht="41.4" x14ac:dyDescent="0.3">
      <c r="B327">
        <v>0</v>
      </c>
      <c r="C327" s="33">
        <v>3524</v>
      </c>
      <c r="D327" s="2">
        <v>910</v>
      </c>
      <c r="E327" s="2" t="s">
        <v>6820</v>
      </c>
      <c r="F327" s="3" t="s">
        <v>14206</v>
      </c>
      <c r="H327" s="3" t="s">
        <v>469</v>
      </c>
      <c r="K327" s="2">
        <v>10</v>
      </c>
      <c r="L327" s="2">
        <v>4</v>
      </c>
      <c r="M327" s="3" t="s">
        <v>647</v>
      </c>
      <c r="N327" s="3" t="s">
        <v>13</v>
      </c>
      <c r="O327" s="3" t="s">
        <v>14</v>
      </c>
      <c r="Q327" s="30" t="str">
        <f t="shared" si="5"/>
        <v>MAX : 
TARGET : Yes(Pass)
MIN : No(Fail)</v>
      </c>
    </row>
    <row r="328" spans="2:17" ht="41.4" x14ac:dyDescent="0.3">
      <c r="B328">
        <v>1</v>
      </c>
      <c r="C328" s="33">
        <v>3034</v>
      </c>
      <c r="D328" s="2">
        <v>1718</v>
      </c>
      <c r="E328" s="2" t="s">
        <v>6689</v>
      </c>
      <c r="F328" s="3" t="s">
        <v>14206</v>
      </c>
      <c r="H328" s="3" t="s">
        <v>491</v>
      </c>
      <c r="K328" s="2">
        <v>10</v>
      </c>
      <c r="L328" s="2">
        <v>1</v>
      </c>
      <c r="M328" s="3" t="s">
        <v>160</v>
      </c>
      <c r="N328" s="3" t="s">
        <v>56</v>
      </c>
      <c r="O328" s="3" t="s">
        <v>20</v>
      </c>
      <c r="P328" s="3" t="s">
        <v>57</v>
      </c>
      <c r="Q328" s="30" t="str">
        <f t="shared" si="5"/>
        <v>MAX : 0.765
TARGET : 0.750
MIN : 0.735</v>
      </c>
    </row>
    <row r="329" spans="2:17" ht="41.4" x14ac:dyDescent="0.3">
      <c r="B329">
        <v>1</v>
      </c>
      <c r="C329" s="33">
        <v>3036</v>
      </c>
      <c r="D329" s="2">
        <v>898</v>
      </c>
      <c r="E329" s="2" t="s">
        <v>6697</v>
      </c>
      <c r="F329" s="29" t="s">
        <v>14211</v>
      </c>
      <c r="G329" s="3" t="s">
        <v>496</v>
      </c>
      <c r="H329" s="3" t="s">
        <v>210</v>
      </c>
      <c r="K329" s="2">
        <v>10</v>
      </c>
      <c r="L329" s="2">
        <v>5</v>
      </c>
      <c r="M329" s="3" t="s">
        <v>497</v>
      </c>
      <c r="N329" s="3" t="s">
        <v>216</v>
      </c>
      <c r="O329" s="3" t="s">
        <v>217</v>
      </c>
      <c r="P329" s="3" t="s">
        <v>218</v>
      </c>
      <c r="Q329" s="30" t="str">
        <f t="shared" si="5"/>
        <v>MAX : 0.180
TARGET : 0.150
MIN : 0.120</v>
      </c>
    </row>
    <row r="330" spans="2:17" ht="41.4" x14ac:dyDescent="0.3">
      <c r="B330">
        <v>0</v>
      </c>
      <c r="C330" s="33">
        <v>3538</v>
      </c>
      <c r="D330" s="2">
        <v>911</v>
      </c>
      <c r="E330" s="2" t="s">
        <v>6827</v>
      </c>
      <c r="F330" s="3" t="s">
        <v>14206</v>
      </c>
      <c r="H330" s="3" t="s">
        <v>648</v>
      </c>
      <c r="K330" t="s">
        <v>6295</v>
      </c>
      <c r="L330" s="2">
        <v>3</v>
      </c>
      <c r="M330" s="3" t="s">
        <v>655</v>
      </c>
      <c r="N330" s="3" t="s">
        <v>24</v>
      </c>
      <c r="O330" s="3" t="s">
        <v>25</v>
      </c>
      <c r="Q330" s="30" t="str">
        <f t="shared" si="5"/>
        <v>MAX : 
TARGET : Yes (Pass)
MIN : No (Fail)</v>
      </c>
    </row>
    <row r="331" spans="2:17" ht="41.4" x14ac:dyDescent="0.3">
      <c r="B331">
        <v>1</v>
      </c>
      <c r="C331" s="33">
        <v>3036</v>
      </c>
      <c r="D331" s="2">
        <v>898</v>
      </c>
      <c r="E331" s="2" t="s">
        <v>6697</v>
      </c>
      <c r="F331" s="29" t="s">
        <v>14211</v>
      </c>
      <c r="G331" s="3" t="s">
        <v>496</v>
      </c>
      <c r="H331" s="3" t="s">
        <v>210</v>
      </c>
      <c r="K331" s="2">
        <v>10</v>
      </c>
      <c r="L331" s="2">
        <v>3</v>
      </c>
      <c r="M331" s="3" t="s">
        <v>211</v>
      </c>
      <c r="N331" s="3" t="s">
        <v>212</v>
      </c>
      <c r="O331" s="3" t="s">
        <v>213</v>
      </c>
      <c r="P331" s="3" t="s">
        <v>214</v>
      </c>
      <c r="Q331" s="30" t="str">
        <f t="shared" si="5"/>
        <v>MAX : 6.005
TARGET : 6.000
MIN : 5.995</v>
      </c>
    </row>
    <row r="332" spans="2:17" ht="41.4" x14ac:dyDescent="0.3">
      <c r="B332">
        <v>1</v>
      </c>
      <c r="C332" s="33">
        <v>3036</v>
      </c>
      <c r="D332" s="2">
        <v>898</v>
      </c>
      <c r="E332" s="2" t="s">
        <v>6697</v>
      </c>
      <c r="F332" s="29" t="s">
        <v>14211</v>
      </c>
      <c r="G332" s="3" t="s">
        <v>496</v>
      </c>
      <c r="H332" s="3" t="s">
        <v>210</v>
      </c>
      <c r="K332" s="2">
        <v>10</v>
      </c>
      <c r="L332" s="2">
        <v>4</v>
      </c>
      <c r="M332" s="3" t="s">
        <v>5801</v>
      </c>
      <c r="N332" s="3" t="s">
        <v>5802</v>
      </c>
      <c r="O332" s="3" t="s">
        <v>5803</v>
      </c>
      <c r="P332" s="3" t="s">
        <v>5804</v>
      </c>
      <c r="Q332" s="30" t="str">
        <f t="shared" si="5"/>
        <v>MAX : 3.405
TARGET : 3.400
MIN : 3.395</v>
      </c>
    </row>
    <row r="333" spans="2:17" ht="41.4" x14ac:dyDescent="0.3">
      <c r="B333">
        <v>0</v>
      </c>
      <c r="C333" s="33">
        <v>3551</v>
      </c>
      <c r="D333" s="2">
        <v>912</v>
      </c>
      <c r="E333" s="2" t="s">
        <v>6835</v>
      </c>
      <c r="F333" s="3" t="s">
        <v>14207</v>
      </c>
      <c r="H333" s="3" t="s">
        <v>656</v>
      </c>
      <c r="K333" s="2">
        <v>10</v>
      </c>
      <c r="L333" s="2">
        <v>3</v>
      </c>
      <c r="M333" s="3" t="s">
        <v>78</v>
      </c>
      <c r="N333" s="3" t="s">
        <v>13</v>
      </c>
      <c r="O333" s="3" t="s">
        <v>14</v>
      </c>
      <c r="Q333" s="30" t="str">
        <f t="shared" si="5"/>
        <v>MAX : 
TARGET : Yes(Pass)
MIN : No(Fail)</v>
      </c>
    </row>
    <row r="334" spans="2:17" ht="41.4" x14ac:dyDescent="0.3">
      <c r="B334">
        <v>1</v>
      </c>
      <c r="C334" s="33">
        <v>3036</v>
      </c>
      <c r="D334" s="2">
        <v>898</v>
      </c>
      <c r="E334" s="2" t="s">
        <v>6697</v>
      </c>
      <c r="F334" s="29" t="s">
        <v>14211</v>
      </c>
      <c r="G334" s="3" t="s">
        <v>496</v>
      </c>
      <c r="H334" s="3" t="s">
        <v>210</v>
      </c>
      <c r="K334" s="2">
        <v>10</v>
      </c>
      <c r="L334" s="2">
        <v>1</v>
      </c>
      <c r="M334" s="3" t="s">
        <v>5805</v>
      </c>
      <c r="N334" s="3" t="s">
        <v>5806</v>
      </c>
      <c r="O334" s="3" t="s">
        <v>553</v>
      </c>
      <c r="P334" s="3" t="s">
        <v>554</v>
      </c>
      <c r="Q334" s="30" t="str">
        <f t="shared" si="5"/>
        <v>MAX : 1.599
TARGET : 1.594
MIN : 1.589</v>
      </c>
    </row>
    <row r="335" spans="2:17" ht="41.4" x14ac:dyDescent="0.3">
      <c r="B335">
        <v>1</v>
      </c>
      <c r="C335" s="33">
        <v>3036</v>
      </c>
      <c r="D335" s="2">
        <v>898</v>
      </c>
      <c r="E335" s="2" t="s">
        <v>6697</v>
      </c>
      <c r="F335" s="29" t="s">
        <v>14211</v>
      </c>
      <c r="G335" s="3" t="s">
        <v>496</v>
      </c>
      <c r="H335" s="3" t="s">
        <v>210</v>
      </c>
      <c r="K335" s="2">
        <v>10</v>
      </c>
      <c r="L335" s="2">
        <v>11</v>
      </c>
      <c r="M335" s="3" t="s">
        <v>581</v>
      </c>
      <c r="N335" s="3" t="s">
        <v>24</v>
      </c>
      <c r="O335" s="3" t="s">
        <v>25</v>
      </c>
      <c r="Q335" s="30" t="str">
        <f t="shared" si="5"/>
        <v>MAX : 
TARGET : Yes (Pass)
MIN : No (Fail)</v>
      </c>
    </row>
    <row r="336" spans="2:17" ht="41.4" x14ac:dyDescent="0.3">
      <c r="B336">
        <v>0</v>
      </c>
      <c r="C336" s="33">
        <v>3614</v>
      </c>
      <c r="D336" s="2">
        <v>913</v>
      </c>
      <c r="E336" s="2" t="s">
        <v>6842</v>
      </c>
      <c r="F336" s="3" t="s">
        <v>14206</v>
      </c>
      <c r="H336" s="3" t="s">
        <v>665</v>
      </c>
      <c r="K336" s="2">
        <v>10</v>
      </c>
      <c r="L336" s="2">
        <v>3</v>
      </c>
      <c r="M336" s="3" t="s">
        <v>670</v>
      </c>
      <c r="N336" s="3" t="s">
        <v>13</v>
      </c>
      <c r="O336" s="3" t="s">
        <v>14</v>
      </c>
      <c r="Q336" s="30" t="str">
        <f t="shared" si="5"/>
        <v>MAX : 
TARGET : Yes(Pass)
MIN : No(Fail)</v>
      </c>
    </row>
    <row r="337" spans="2:17" ht="41.4" x14ac:dyDescent="0.3">
      <c r="B337">
        <v>1</v>
      </c>
      <c r="C337" s="33">
        <v>3036</v>
      </c>
      <c r="D337" s="2">
        <v>898</v>
      </c>
      <c r="E337" s="2" t="s">
        <v>6697</v>
      </c>
      <c r="F337" s="29" t="s">
        <v>14211</v>
      </c>
      <c r="G337" s="3" t="s">
        <v>496</v>
      </c>
      <c r="H337" s="3" t="s">
        <v>210</v>
      </c>
      <c r="K337" s="2">
        <v>10</v>
      </c>
      <c r="L337" s="2">
        <v>12</v>
      </c>
      <c r="M337" s="3" t="s">
        <v>567</v>
      </c>
      <c r="N337" s="3" t="s">
        <v>24</v>
      </c>
      <c r="O337" s="3" t="s">
        <v>25</v>
      </c>
      <c r="Q337" s="30" t="str">
        <f t="shared" si="5"/>
        <v>MAX : 
TARGET : Yes (Pass)
MIN : No (Fail)</v>
      </c>
    </row>
    <row r="338" spans="2:17" ht="41.4" x14ac:dyDescent="0.3">
      <c r="B338">
        <v>1</v>
      </c>
      <c r="C338" s="33">
        <v>3036</v>
      </c>
      <c r="D338" s="2">
        <v>898</v>
      </c>
      <c r="E338" s="2" t="s">
        <v>6697</v>
      </c>
      <c r="F338" s="29" t="s">
        <v>14211</v>
      </c>
      <c r="G338" s="3" t="s">
        <v>496</v>
      </c>
      <c r="H338" s="3" t="s">
        <v>210</v>
      </c>
      <c r="K338" s="2">
        <v>10</v>
      </c>
      <c r="L338" s="2">
        <v>2</v>
      </c>
      <c r="M338" s="3" t="s">
        <v>5807</v>
      </c>
      <c r="N338" s="3" t="s">
        <v>5808</v>
      </c>
      <c r="O338" s="3" t="s">
        <v>1615</v>
      </c>
      <c r="P338" s="3" t="s">
        <v>451</v>
      </c>
      <c r="Q338" s="30" t="str">
        <f t="shared" si="5"/>
        <v>MAX : 0.890
TARGET : 0.885
MIN : 0.880</v>
      </c>
    </row>
    <row r="339" spans="2:17" ht="41.4" x14ac:dyDescent="0.3">
      <c r="B339">
        <v>0</v>
      </c>
      <c r="C339" s="33">
        <v>3653</v>
      </c>
      <c r="D339" s="2">
        <v>1725</v>
      </c>
      <c r="E339" s="2" t="s">
        <v>6849</v>
      </c>
      <c r="F339" s="3" t="s">
        <v>14207</v>
      </c>
      <c r="H339" s="3" t="s">
        <v>558</v>
      </c>
      <c r="K339" s="2">
        <v>10</v>
      </c>
      <c r="L339" s="2">
        <v>1</v>
      </c>
      <c r="M339" s="3" t="s">
        <v>678</v>
      </c>
      <c r="N339" s="3" t="s">
        <v>24</v>
      </c>
      <c r="O339" s="3" t="s">
        <v>25</v>
      </c>
      <c r="Q339" s="30" t="str">
        <f t="shared" si="5"/>
        <v>MAX : 
TARGET : Yes (Pass)
MIN : No (Fail)</v>
      </c>
    </row>
    <row r="340" spans="2:17" ht="41.4" x14ac:dyDescent="0.3">
      <c r="B340">
        <v>0</v>
      </c>
      <c r="C340" s="33">
        <v>3653</v>
      </c>
      <c r="D340" s="2">
        <v>1725</v>
      </c>
      <c r="E340" s="2" t="s">
        <v>6849</v>
      </c>
      <c r="F340" s="3" t="s">
        <v>14207</v>
      </c>
      <c r="H340" s="3" t="s">
        <v>558</v>
      </c>
      <c r="K340" s="2">
        <v>10</v>
      </c>
      <c r="L340" s="2">
        <v>2</v>
      </c>
      <c r="M340" s="3" t="s">
        <v>679</v>
      </c>
      <c r="N340" s="3" t="s">
        <v>24</v>
      </c>
      <c r="O340" s="3" t="s">
        <v>25</v>
      </c>
      <c r="Q340" s="30" t="str">
        <f t="shared" si="5"/>
        <v>MAX : 
TARGET : Yes (Pass)
MIN : No (Fail)</v>
      </c>
    </row>
    <row r="341" spans="2:17" ht="41.4" x14ac:dyDescent="0.3">
      <c r="B341">
        <v>0</v>
      </c>
      <c r="C341" s="33">
        <v>3653</v>
      </c>
      <c r="D341" s="2">
        <v>1725</v>
      </c>
      <c r="E341" s="2" t="s">
        <v>6849</v>
      </c>
      <c r="F341" s="3" t="s">
        <v>14207</v>
      </c>
      <c r="H341" s="3" t="s">
        <v>558</v>
      </c>
      <c r="K341" s="2">
        <v>20</v>
      </c>
      <c r="L341" s="2">
        <v>3</v>
      </c>
      <c r="M341" s="3" t="s">
        <v>680</v>
      </c>
      <c r="N341" s="3" t="s">
        <v>24</v>
      </c>
      <c r="O341" s="3" t="s">
        <v>25</v>
      </c>
      <c r="Q341" s="30" t="str">
        <f t="shared" si="5"/>
        <v>MAX : 
TARGET : Yes (Pass)
MIN : No (Fail)</v>
      </c>
    </row>
    <row r="342" spans="2:17" ht="41.4" x14ac:dyDescent="0.3">
      <c r="B342">
        <v>1</v>
      </c>
      <c r="C342" s="33">
        <v>3036</v>
      </c>
      <c r="D342" s="2">
        <v>898</v>
      </c>
      <c r="E342" s="2" t="s">
        <v>6697</v>
      </c>
      <c r="F342" s="29" t="s">
        <v>14211</v>
      </c>
      <c r="G342" s="3" t="s">
        <v>496</v>
      </c>
      <c r="H342" s="3" t="s">
        <v>210</v>
      </c>
      <c r="K342" s="2">
        <v>10</v>
      </c>
      <c r="L342" s="2">
        <v>10</v>
      </c>
      <c r="M342" s="3" t="s">
        <v>5810</v>
      </c>
      <c r="N342" s="3" t="s">
        <v>3125</v>
      </c>
      <c r="O342" s="3" t="s">
        <v>217</v>
      </c>
      <c r="P342" s="3" t="s">
        <v>1747</v>
      </c>
      <c r="Q342" s="30" t="str">
        <f t="shared" si="5"/>
        <v>MAX : 0.165
TARGET : 0.150
MIN : 0.135</v>
      </c>
    </row>
    <row r="343" spans="2:17" ht="41.4" x14ac:dyDescent="0.3">
      <c r="B343">
        <v>1</v>
      </c>
      <c r="C343" s="33">
        <v>3053</v>
      </c>
      <c r="D343" s="2">
        <v>899</v>
      </c>
      <c r="E343" s="2" t="s">
        <v>6704</v>
      </c>
      <c r="F343" s="3" t="s">
        <v>14206</v>
      </c>
      <c r="H343" s="3" t="s">
        <v>501</v>
      </c>
      <c r="K343" s="2">
        <v>20</v>
      </c>
      <c r="L343" s="2">
        <v>2</v>
      </c>
      <c r="M343" s="3" t="s">
        <v>99</v>
      </c>
      <c r="N343" s="3" t="s">
        <v>27</v>
      </c>
      <c r="O343" s="3" t="s">
        <v>28</v>
      </c>
      <c r="P343" s="3" t="s">
        <v>29</v>
      </c>
      <c r="Q343" s="30" t="str">
        <f t="shared" si="5"/>
        <v>MAX : 1.53
TARGET : 1.50
MIN : 1.47</v>
      </c>
    </row>
    <row r="344" spans="2:17" ht="41.4" x14ac:dyDescent="0.3">
      <c r="B344">
        <v>0</v>
      </c>
      <c r="C344" s="33">
        <v>3664</v>
      </c>
      <c r="D344" s="2">
        <v>914</v>
      </c>
      <c r="E344" s="2" t="s">
        <v>6857</v>
      </c>
      <c r="F344" s="29" t="s">
        <v>14213</v>
      </c>
      <c r="H344" s="3" t="s">
        <v>685</v>
      </c>
      <c r="K344" s="2">
        <v>10</v>
      </c>
      <c r="L344" s="2">
        <v>3</v>
      </c>
      <c r="M344" s="3" t="s">
        <v>692</v>
      </c>
      <c r="N344" s="3" t="s">
        <v>693</v>
      </c>
      <c r="O344" s="3" t="s">
        <v>694</v>
      </c>
      <c r="P344" s="3" t="s">
        <v>695</v>
      </c>
      <c r="Q344" s="30" t="str">
        <f t="shared" si="5"/>
        <v>MAX : 0.925
TARGET : 0.895
MIN : 0.865</v>
      </c>
    </row>
    <row r="345" spans="2:17" ht="41.4" x14ac:dyDescent="0.3">
      <c r="B345">
        <v>0</v>
      </c>
      <c r="C345" s="33">
        <v>3664</v>
      </c>
      <c r="D345" s="2">
        <v>914</v>
      </c>
      <c r="E345" s="2" t="s">
        <v>6857</v>
      </c>
      <c r="F345" s="29" t="s">
        <v>14213</v>
      </c>
      <c r="H345" s="3" t="s">
        <v>685</v>
      </c>
      <c r="K345" s="2">
        <v>10</v>
      </c>
      <c r="L345" s="2">
        <v>4</v>
      </c>
      <c r="M345" s="3" t="s">
        <v>696</v>
      </c>
      <c r="N345" s="3" t="s">
        <v>13</v>
      </c>
      <c r="O345" s="3" t="s">
        <v>14</v>
      </c>
      <c r="Q345" s="30" t="str">
        <f t="shared" si="5"/>
        <v>MAX : 
TARGET : Yes(Pass)
MIN : No(Fail)</v>
      </c>
    </row>
    <row r="346" spans="2:17" ht="41.4" x14ac:dyDescent="0.3">
      <c r="B346">
        <v>0</v>
      </c>
      <c r="C346" s="33">
        <v>3664</v>
      </c>
      <c r="D346" s="2">
        <v>914</v>
      </c>
      <c r="E346" s="2" t="s">
        <v>6857</v>
      </c>
      <c r="F346" s="29" t="s">
        <v>14213</v>
      </c>
      <c r="H346" s="3" t="s">
        <v>685</v>
      </c>
      <c r="K346" s="2">
        <v>10</v>
      </c>
      <c r="L346" s="2">
        <v>5</v>
      </c>
      <c r="M346" s="3" t="s">
        <v>697</v>
      </c>
      <c r="N346" s="3" t="s">
        <v>39</v>
      </c>
      <c r="O346" s="3" t="s">
        <v>38</v>
      </c>
      <c r="Q346" s="30" t="str">
        <f t="shared" si="5"/>
        <v>MAX : 
TARGET : No(Pass)
MIN : Yes(Fail)</v>
      </c>
    </row>
    <row r="347" spans="2:17" ht="41.4" x14ac:dyDescent="0.3">
      <c r="B347">
        <v>1</v>
      </c>
      <c r="C347" s="33">
        <v>3053</v>
      </c>
      <c r="D347" s="2">
        <v>899</v>
      </c>
      <c r="E347" s="2" t="s">
        <v>6704</v>
      </c>
      <c r="F347" s="3" t="s">
        <v>14206</v>
      </c>
      <c r="H347" s="3" t="s">
        <v>501</v>
      </c>
      <c r="K347" s="2">
        <v>20</v>
      </c>
      <c r="L347" s="2">
        <v>1</v>
      </c>
      <c r="M347" s="3" t="s">
        <v>502</v>
      </c>
      <c r="N347" s="3" t="s">
        <v>462</v>
      </c>
      <c r="O347" s="3" t="s">
        <v>424</v>
      </c>
      <c r="P347" s="3" t="s">
        <v>463</v>
      </c>
      <c r="Q347" s="30" t="str">
        <f t="shared" si="5"/>
        <v>MAX : 0.28
TARGET : 0.25
MIN : 0.22</v>
      </c>
    </row>
    <row r="348" spans="2:17" ht="41.4" x14ac:dyDescent="0.3">
      <c r="B348">
        <v>1</v>
      </c>
      <c r="C348" s="33">
        <v>3082</v>
      </c>
      <c r="D348" s="2">
        <v>900</v>
      </c>
      <c r="E348" s="2" t="s">
        <v>6710</v>
      </c>
      <c r="F348" s="3" t="s">
        <v>14206</v>
      </c>
      <c r="H348" s="3" t="s">
        <v>504</v>
      </c>
      <c r="K348" s="2">
        <v>20</v>
      </c>
      <c r="L348" s="2">
        <v>2</v>
      </c>
      <c r="M348" s="3" t="s">
        <v>506</v>
      </c>
      <c r="N348" s="3" t="s">
        <v>308</v>
      </c>
      <c r="O348" s="3" t="s">
        <v>309</v>
      </c>
      <c r="P348" s="3" t="s">
        <v>310</v>
      </c>
      <c r="Q348" s="30" t="str">
        <f t="shared" si="5"/>
        <v>MAX : 0.53
TARGET : 0.50
MIN : 0.47</v>
      </c>
    </row>
    <row r="349" spans="2:17" ht="41.4" x14ac:dyDescent="0.3">
      <c r="B349">
        <v>0</v>
      </c>
      <c r="C349" s="33">
        <v>3683</v>
      </c>
      <c r="D349" s="2">
        <v>915</v>
      </c>
      <c r="E349" s="2" t="s">
        <v>6864</v>
      </c>
      <c r="F349" s="3" t="s">
        <v>14206</v>
      </c>
      <c r="H349" s="3" t="s">
        <v>469</v>
      </c>
      <c r="K349" s="2">
        <v>10</v>
      </c>
      <c r="L349" s="2">
        <v>3</v>
      </c>
      <c r="M349" s="3" t="s">
        <v>646</v>
      </c>
      <c r="N349" s="3" t="s">
        <v>13</v>
      </c>
      <c r="O349" s="3" t="s">
        <v>14</v>
      </c>
      <c r="Q349" s="30" t="str">
        <f t="shared" si="5"/>
        <v>MAX : 
TARGET : Yes(Pass)
MIN : No(Fail)</v>
      </c>
    </row>
    <row r="350" spans="2:17" ht="41.4" x14ac:dyDescent="0.3">
      <c r="B350">
        <v>0</v>
      </c>
      <c r="C350" s="33">
        <v>3683</v>
      </c>
      <c r="D350" s="2">
        <v>915</v>
      </c>
      <c r="E350" s="2" t="s">
        <v>6864</v>
      </c>
      <c r="F350" s="3" t="s">
        <v>14206</v>
      </c>
      <c r="H350" s="3" t="s">
        <v>469</v>
      </c>
      <c r="K350" s="2">
        <v>10</v>
      </c>
      <c r="L350" s="2">
        <v>4</v>
      </c>
      <c r="M350" s="3" t="s">
        <v>647</v>
      </c>
      <c r="N350" s="3" t="s">
        <v>13</v>
      </c>
      <c r="O350" s="3" t="s">
        <v>14</v>
      </c>
      <c r="Q350" s="30" t="str">
        <f t="shared" si="5"/>
        <v>MAX : 
TARGET : Yes(Pass)
MIN : No(Fail)</v>
      </c>
    </row>
    <row r="351" spans="2:17" ht="41.4" x14ac:dyDescent="0.3">
      <c r="B351">
        <v>1</v>
      </c>
      <c r="C351" s="33">
        <v>3082</v>
      </c>
      <c r="D351" s="2">
        <v>900</v>
      </c>
      <c r="E351" s="2" t="s">
        <v>6710</v>
      </c>
      <c r="F351" s="3" t="s">
        <v>14206</v>
      </c>
      <c r="H351" s="3" t="s">
        <v>504</v>
      </c>
      <c r="K351" s="2">
        <v>20</v>
      </c>
      <c r="L351" s="2">
        <v>1</v>
      </c>
      <c r="M351" s="3" t="s">
        <v>198</v>
      </c>
      <c r="N351" s="3" t="s">
        <v>252</v>
      </c>
      <c r="O351" s="3" t="s">
        <v>253</v>
      </c>
      <c r="P351" s="3" t="s">
        <v>505</v>
      </c>
      <c r="Q351" s="30" t="str">
        <f t="shared" si="5"/>
        <v>MAX : 4.12
TARGET : 4.00
MIN : 3.97</v>
      </c>
    </row>
    <row r="352" spans="2:17" ht="41.4" x14ac:dyDescent="0.3">
      <c r="B352">
        <v>1</v>
      </c>
      <c r="C352" s="33">
        <v>3083</v>
      </c>
      <c r="D352" s="2">
        <v>901</v>
      </c>
      <c r="E352" s="2" t="s">
        <v>6717</v>
      </c>
      <c r="F352" s="3" t="s">
        <v>14206</v>
      </c>
      <c r="H352" s="3" t="s">
        <v>504</v>
      </c>
      <c r="K352" s="2">
        <v>20</v>
      </c>
      <c r="L352" s="2">
        <v>2</v>
      </c>
      <c r="M352" s="3" t="s">
        <v>506</v>
      </c>
      <c r="N352" s="3" t="s">
        <v>308</v>
      </c>
      <c r="O352" s="3" t="s">
        <v>309</v>
      </c>
      <c r="P352" s="3" t="s">
        <v>310</v>
      </c>
      <c r="Q352" s="30" t="str">
        <f t="shared" si="5"/>
        <v>MAX : 0.53
TARGET : 0.50
MIN : 0.47</v>
      </c>
    </row>
    <row r="353" spans="2:18" ht="41.4" x14ac:dyDescent="0.3">
      <c r="B353">
        <v>0</v>
      </c>
      <c r="C353" s="33">
        <v>3713</v>
      </c>
      <c r="D353" s="2">
        <v>1726</v>
      </c>
      <c r="E353" s="2" t="s">
        <v>6871</v>
      </c>
      <c r="F353" s="3" t="s">
        <v>14206</v>
      </c>
      <c r="H353" s="3" t="s">
        <v>701</v>
      </c>
      <c r="K353" s="2">
        <v>10</v>
      </c>
      <c r="L353" s="2">
        <v>3</v>
      </c>
      <c r="M353" s="3" t="s">
        <v>78</v>
      </c>
      <c r="N353" s="3" t="s">
        <v>24</v>
      </c>
      <c r="O353" s="3" t="s">
        <v>25</v>
      </c>
      <c r="Q353" s="30" t="str">
        <f t="shared" si="5"/>
        <v>MAX : 
TARGET : Yes (Pass)
MIN : No (Fail)</v>
      </c>
    </row>
    <row r="354" spans="2:18" ht="41.4" x14ac:dyDescent="0.3">
      <c r="B354">
        <v>0</v>
      </c>
      <c r="C354" s="33">
        <v>3713</v>
      </c>
      <c r="D354" s="2">
        <v>1726</v>
      </c>
      <c r="E354" s="2" t="s">
        <v>6871</v>
      </c>
      <c r="F354" s="3" t="s">
        <v>14206</v>
      </c>
      <c r="H354" s="3" t="s">
        <v>701</v>
      </c>
      <c r="K354" s="2">
        <v>10</v>
      </c>
      <c r="L354" s="2">
        <v>4</v>
      </c>
      <c r="M354" s="3" t="s">
        <v>705</v>
      </c>
      <c r="N354" s="3" t="s">
        <v>24</v>
      </c>
      <c r="O354" s="3" t="s">
        <v>25</v>
      </c>
      <c r="Q354" s="30" t="str">
        <f t="shared" si="5"/>
        <v>MAX : 
TARGET : Yes (Pass)
MIN : No (Fail)</v>
      </c>
    </row>
    <row r="355" spans="2:18" ht="41.4" x14ac:dyDescent="0.3">
      <c r="B355">
        <v>1</v>
      </c>
      <c r="C355" s="33">
        <v>3083</v>
      </c>
      <c r="D355" s="2">
        <v>901</v>
      </c>
      <c r="E355" s="2" t="s">
        <v>6717</v>
      </c>
      <c r="F355" s="3" t="s">
        <v>14206</v>
      </c>
      <c r="H355" s="3" t="s">
        <v>504</v>
      </c>
      <c r="K355" s="2">
        <v>20</v>
      </c>
      <c r="L355" s="2">
        <v>1</v>
      </c>
      <c r="M355" s="3" t="s">
        <v>198</v>
      </c>
      <c r="N355" s="3" t="s">
        <v>252</v>
      </c>
      <c r="O355" s="3" t="s">
        <v>253</v>
      </c>
      <c r="P355" s="3" t="s">
        <v>505</v>
      </c>
      <c r="Q355" s="30" t="str">
        <f t="shared" si="5"/>
        <v>MAX : 4.12
TARGET : 4.00
MIN : 3.97</v>
      </c>
    </row>
    <row r="356" spans="2:18" ht="41.4" x14ac:dyDescent="0.3">
      <c r="B356">
        <v>1</v>
      </c>
      <c r="C356" s="33">
        <v>3114</v>
      </c>
      <c r="D356" s="2">
        <v>902</v>
      </c>
      <c r="E356" s="2" t="s">
        <v>6722</v>
      </c>
      <c r="F356" s="3" t="s">
        <v>14206</v>
      </c>
      <c r="H356" s="3" t="s">
        <v>510</v>
      </c>
      <c r="K356" t="s">
        <v>6295</v>
      </c>
      <c r="L356" s="2">
        <v>2</v>
      </c>
      <c r="M356" s="3" t="s">
        <v>515</v>
      </c>
      <c r="N356" s="3" t="s">
        <v>516</v>
      </c>
      <c r="O356" s="3" t="s">
        <v>517</v>
      </c>
      <c r="P356" s="3" t="s">
        <v>518</v>
      </c>
      <c r="Q356" s="30" t="str">
        <f t="shared" si="5"/>
        <v>MAX : 5.312
TARGET : 5.250
MIN : 5.188</v>
      </c>
      <c r="R356" s="3" t="s">
        <v>514</v>
      </c>
    </row>
    <row r="357" spans="2:18" ht="41.4" x14ac:dyDescent="0.3">
      <c r="B357">
        <v>0</v>
      </c>
      <c r="C357" s="33">
        <v>3771</v>
      </c>
      <c r="D357" s="2">
        <v>916</v>
      </c>
      <c r="E357" s="2" t="s">
        <v>6877</v>
      </c>
      <c r="F357" s="3" t="s">
        <v>14206</v>
      </c>
      <c r="H357" s="3" t="s">
        <v>706</v>
      </c>
      <c r="K357" s="2">
        <v>10</v>
      </c>
      <c r="L357" s="2">
        <v>3</v>
      </c>
      <c r="M357" s="3" t="s">
        <v>712</v>
      </c>
      <c r="N357" s="3" t="s">
        <v>13</v>
      </c>
      <c r="O357" s="3" t="s">
        <v>14</v>
      </c>
      <c r="Q357" s="30" t="str">
        <f t="shared" si="5"/>
        <v>MAX : 
TARGET : Yes(Pass)
MIN : No(Fail)</v>
      </c>
      <c r="R357" s="3" t="s">
        <v>443</v>
      </c>
    </row>
    <row r="358" spans="2:18" ht="41.4" x14ac:dyDescent="0.3">
      <c r="B358">
        <v>1</v>
      </c>
      <c r="C358" s="33">
        <v>3114</v>
      </c>
      <c r="D358" s="2">
        <v>902</v>
      </c>
      <c r="E358" s="2" t="s">
        <v>6722</v>
      </c>
      <c r="F358" s="3" t="s">
        <v>14206</v>
      </c>
      <c r="H358" s="3" t="s">
        <v>510</v>
      </c>
      <c r="K358" t="s">
        <v>6295</v>
      </c>
      <c r="L358" s="2">
        <v>1</v>
      </c>
      <c r="M358" s="3" t="s">
        <v>194</v>
      </c>
      <c r="N358" s="3" t="s">
        <v>511</v>
      </c>
      <c r="O358" s="3" t="s">
        <v>512</v>
      </c>
      <c r="P358" s="3" t="s">
        <v>513</v>
      </c>
      <c r="Q358" s="30" t="str">
        <f t="shared" si="5"/>
        <v>MAX : .344
TARGET : .313
MIN : .282</v>
      </c>
      <c r="R358" s="3" t="s">
        <v>514</v>
      </c>
    </row>
    <row r="359" spans="2:18" ht="41.4" x14ac:dyDescent="0.3">
      <c r="B359">
        <v>1</v>
      </c>
      <c r="C359" s="33">
        <v>3114</v>
      </c>
      <c r="D359" s="2">
        <v>902</v>
      </c>
      <c r="E359" s="2" t="s">
        <v>6722</v>
      </c>
      <c r="F359" s="3" t="s">
        <v>14206</v>
      </c>
      <c r="H359" s="3" t="s">
        <v>510</v>
      </c>
      <c r="K359" t="s">
        <v>6295</v>
      </c>
      <c r="L359" s="2">
        <v>10</v>
      </c>
      <c r="M359" s="3" t="s">
        <v>4884</v>
      </c>
      <c r="N359" s="3" t="s">
        <v>13</v>
      </c>
      <c r="O359" s="3" t="s">
        <v>14</v>
      </c>
      <c r="Q359" s="30" t="str">
        <f t="shared" si="5"/>
        <v>MAX : 
TARGET : Yes(Pass)
MIN : No(Fail)</v>
      </c>
      <c r="R359" s="3" t="s">
        <v>514</v>
      </c>
    </row>
    <row r="360" spans="2:18" ht="41.4" x14ac:dyDescent="0.3">
      <c r="B360">
        <v>0</v>
      </c>
      <c r="C360" s="33">
        <v>4115</v>
      </c>
      <c r="D360" s="2">
        <v>917</v>
      </c>
      <c r="E360" s="2" t="s">
        <v>6883</v>
      </c>
      <c r="F360" s="3" t="s">
        <v>14206</v>
      </c>
      <c r="H360" s="3" t="s">
        <v>713</v>
      </c>
      <c r="K360" s="2">
        <v>10</v>
      </c>
      <c r="L360" s="2">
        <v>3</v>
      </c>
      <c r="M360" s="3" t="s">
        <v>716</v>
      </c>
      <c r="N360" s="3" t="s">
        <v>717</v>
      </c>
      <c r="O360" s="3" t="s">
        <v>241</v>
      </c>
      <c r="P360" s="3" t="s">
        <v>718</v>
      </c>
      <c r="Q360" s="30" t="str">
        <f t="shared" si="5"/>
        <v>MAX : 0.185
TARGET : 0.125
MIN : 0.065</v>
      </c>
    </row>
    <row r="361" spans="2:18" ht="41.4" x14ac:dyDescent="0.3">
      <c r="B361">
        <v>0</v>
      </c>
      <c r="C361" s="33">
        <v>4115</v>
      </c>
      <c r="D361" s="2">
        <v>917</v>
      </c>
      <c r="E361" s="2" t="s">
        <v>6883</v>
      </c>
      <c r="F361" s="3" t="s">
        <v>14206</v>
      </c>
      <c r="H361" s="3" t="s">
        <v>713</v>
      </c>
      <c r="K361" s="2">
        <v>10</v>
      </c>
      <c r="L361" s="2">
        <v>4</v>
      </c>
      <c r="M361" s="3" t="s">
        <v>719</v>
      </c>
      <c r="N361" s="3" t="s">
        <v>13</v>
      </c>
      <c r="O361" s="3" t="s">
        <v>14</v>
      </c>
      <c r="Q361" s="30" t="str">
        <f t="shared" si="5"/>
        <v>MAX : 
TARGET : Yes(Pass)
MIN : No(Fail)</v>
      </c>
    </row>
    <row r="362" spans="2:18" ht="41.4" x14ac:dyDescent="0.3">
      <c r="B362">
        <v>0</v>
      </c>
      <c r="C362" s="33">
        <v>4115</v>
      </c>
      <c r="D362" s="2">
        <v>917</v>
      </c>
      <c r="E362" s="2" t="s">
        <v>6883</v>
      </c>
      <c r="F362" s="3" t="s">
        <v>14206</v>
      </c>
      <c r="H362" s="3" t="s">
        <v>713</v>
      </c>
      <c r="K362" s="2">
        <v>10</v>
      </c>
      <c r="L362" s="2">
        <v>5</v>
      </c>
      <c r="M362" s="3" t="s">
        <v>720</v>
      </c>
      <c r="N362" s="3" t="s">
        <v>13</v>
      </c>
      <c r="O362" s="3" t="s">
        <v>14</v>
      </c>
      <c r="Q362" s="30" t="str">
        <f t="shared" si="5"/>
        <v>MAX : 
TARGET : Yes(Pass)
MIN : No(Fail)</v>
      </c>
    </row>
    <row r="363" spans="2:18" ht="41.4" x14ac:dyDescent="0.3">
      <c r="B363">
        <v>1</v>
      </c>
      <c r="C363" s="33">
        <v>3115</v>
      </c>
      <c r="D363" s="2">
        <v>1719</v>
      </c>
      <c r="E363" s="2" t="s">
        <v>6730</v>
      </c>
      <c r="F363" s="3" t="s">
        <v>14206</v>
      </c>
      <c r="H363" s="3" t="s">
        <v>193</v>
      </c>
      <c r="K363" s="2">
        <v>10</v>
      </c>
      <c r="L363" s="2">
        <v>2</v>
      </c>
      <c r="M363" s="3" t="s">
        <v>538</v>
      </c>
      <c r="N363" s="3" t="s">
        <v>13</v>
      </c>
      <c r="O363" s="3" t="s">
        <v>14</v>
      </c>
      <c r="Q363" s="30" t="str">
        <f t="shared" si="5"/>
        <v>MAX : 
TARGET : Yes(Pass)
MIN : No(Fail)</v>
      </c>
    </row>
    <row r="364" spans="2:18" ht="41.4" x14ac:dyDescent="0.3">
      <c r="B364">
        <v>1</v>
      </c>
      <c r="C364" s="33">
        <v>3115</v>
      </c>
      <c r="D364" s="2">
        <v>1719</v>
      </c>
      <c r="E364" s="2" t="s">
        <v>6730</v>
      </c>
      <c r="F364" s="3" t="s">
        <v>14206</v>
      </c>
      <c r="H364" s="3" t="s">
        <v>193</v>
      </c>
      <c r="K364" s="2">
        <v>10</v>
      </c>
      <c r="L364" s="2">
        <v>1</v>
      </c>
      <c r="M364" s="3" t="s">
        <v>299</v>
      </c>
      <c r="N364" s="3" t="s">
        <v>535</v>
      </c>
      <c r="O364" s="3" t="s">
        <v>536</v>
      </c>
      <c r="P364" s="3" t="s">
        <v>537</v>
      </c>
      <c r="Q364" s="30" t="str">
        <f t="shared" si="5"/>
        <v>MAX : 0.956
TARGET : 0.936
MIN : 0.916</v>
      </c>
    </row>
    <row r="365" spans="2:18" ht="41.4" x14ac:dyDescent="0.3">
      <c r="B365">
        <v>1</v>
      </c>
      <c r="C365" s="33">
        <v>3127</v>
      </c>
      <c r="D365" s="2">
        <v>1720</v>
      </c>
      <c r="E365" s="2" t="s">
        <v>6737</v>
      </c>
      <c r="F365" s="3" t="s">
        <v>14207</v>
      </c>
      <c r="H365" s="3" t="s">
        <v>558</v>
      </c>
      <c r="K365" s="2">
        <v>10</v>
      </c>
      <c r="L365" s="2">
        <v>2</v>
      </c>
      <c r="M365" s="3" t="s">
        <v>561</v>
      </c>
      <c r="N365" s="3" t="s">
        <v>13</v>
      </c>
      <c r="O365" s="3" t="s">
        <v>14</v>
      </c>
      <c r="Q365" s="30" t="str">
        <f t="shared" si="5"/>
        <v>MAX : 
TARGET : Yes(Pass)
MIN : No(Fail)</v>
      </c>
    </row>
    <row r="366" spans="2:18" ht="41.4" x14ac:dyDescent="0.3">
      <c r="B366">
        <v>1</v>
      </c>
      <c r="C366" s="33">
        <v>3127</v>
      </c>
      <c r="D366" s="2">
        <v>1720</v>
      </c>
      <c r="E366" s="2" t="s">
        <v>6737</v>
      </c>
      <c r="F366" s="3" t="s">
        <v>14207</v>
      </c>
      <c r="H366" s="3" t="s">
        <v>558</v>
      </c>
      <c r="K366" s="2">
        <v>10</v>
      </c>
      <c r="L366" s="2">
        <v>1</v>
      </c>
      <c r="M366" s="3" t="s">
        <v>559</v>
      </c>
      <c r="N366" s="3" t="s">
        <v>255</v>
      </c>
      <c r="O366" s="3" t="s">
        <v>36</v>
      </c>
      <c r="P366" s="3" t="s">
        <v>560</v>
      </c>
      <c r="Q366" s="30" t="str">
        <f t="shared" si="5"/>
        <v>MAX : 20.2
TARGET : 19.8
MIN : 19.4</v>
      </c>
    </row>
    <row r="367" spans="2:18" ht="41.4" x14ac:dyDescent="0.3">
      <c r="B367">
        <v>0</v>
      </c>
      <c r="C367" s="33">
        <v>4147</v>
      </c>
      <c r="D367" s="2">
        <v>1728</v>
      </c>
      <c r="E367" s="2" t="s">
        <v>6897</v>
      </c>
      <c r="F367" s="3" t="s">
        <v>6216</v>
      </c>
      <c r="H367" s="3" t="s">
        <v>98</v>
      </c>
      <c r="K367" s="2">
        <v>10</v>
      </c>
      <c r="L367" s="2">
        <v>3</v>
      </c>
      <c r="M367" s="3" t="s">
        <v>723</v>
      </c>
      <c r="N367" s="3" t="s">
        <v>24</v>
      </c>
      <c r="O367" s="3" t="s">
        <v>25</v>
      </c>
      <c r="Q367" s="30" t="str">
        <f t="shared" si="5"/>
        <v>MAX : 
TARGET : Yes (Pass)
MIN : No (Fail)</v>
      </c>
    </row>
    <row r="368" spans="2:18" ht="41.4" x14ac:dyDescent="0.3">
      <c r="B368">
        <v>0</v>
      </c>
      <c r="C368" s="33">
        <v>4147</v>
      </c>
      <c r="D368" s="2">
        <v>1728</v>
      </c>
      <c r="E368" s="2" t="s">
        <v>6897</v>
      </c>
      <c r="F368" s="3" t="s">
        <v>6216</v>
      </c>
      <c r="H368" s="3" t="s">
        <v>98</v>
      </c>
      <c r="K368" s="2">
        <v>10</v>
      </c>
      <c r="L368" s="2">
        <v>4</v>
      </c>
      <c r="M368" s="3" t="s">
        <v>724</v>
      </c>
      <c r="N368" s="3" t="s">
        <v>24</v>
      </c>
      <c r="O368" s="3" t="s">
        <v>25</v>
      </c>
      <c r="Q368" s="30" t="str">
        <f t="shared" si="5"/>
        <v>MAX : 
TARGET : Yes (Pass)
MIN : No (Fail)</v>
      </c>
    </row>
    <row r="369" spans="2:18" ht="41.4" x14ac:dyDescent="0.3">
      <c r="B369">
        <v>0</v>
      </c>
      <c r="C369" s="33">
        <v>4147</v>
      </c>
      <c r="D369" s="2">
        <v>1728</v>
      </c>
      <c r="E369" s="2" t="s">
        <v>6897</v>
      </c>
      <c r="F369" s="3" t="s">
        <v>6216</v>
      </c>
      <c r="H369" s="3" t="s">
        <v>98</v>
      </c>
      <c r="K369" s="2">
        <v>10</v>
      </c>
      <c r="L369" s="2">
        <v>5</v>
      </c>
      <c r="M369" s="3" t="s">
        <v>725</v>
      </c>
      <c r="N369" s="3" t="s">
        <v>24</v>
      </c>
      <c r="O369" s="3" t="s">
        <v>25</v>
      </c>
      <c r="Q369" s="30" t="str">
        <f t="shared" si="5"/>
        <v>MAX : 
TARGET : Yes (Pass)
MIN : No (Fail)</v>
      </c>
    </row>
    <row r="370" spans="2:18" ht="41.4" x14ac:dyDescent="0.3">
      <c r="B370">
        <v>0</v>
      </c>
      <c r="C370" s="33">
        <v>4147</v>
      </c>
      <c r="D370" s="2">
        <v>1728</v>
      </c>
      <c r="E370" s="2" t="s">
        <v>6897</v>
      </c>
      <c r="F370" s="3" t="s">
        <v>6216</v>
      </c>
      <c r="H370" s="3" t="s">
        <v>98</v>
      </c>
      <c r="K370" s="2">
        <v>10</v>
      </c>
      <c r="L370" s="2">
        <v>6</v>
      </c>
      <c r="M370" s="3" t="s">
        <v>726</v>
      </c>
      <c r="N370" s="3" t="s">
        <v>24</v>
      </c>
      <c r="O370" s="3" t="s">
        <v>25</v>
      </c>
      <c r="Q370" s="30" t="str">
        <f t="shared" si="5"/>
        <v>MAX : 
TARGET : Yes (Pass)
MIN : No (Fail)</v>
      </c>
    </row>
    <row r="371" spans="2:18" ht="41.4" x14ac:dyDescent="0.3">
      <c r="B371">
        <v>1</v>
      </c>
      <c r="C371" s="33">
        <v>3136</v>
      </c>
      <c r="D371" s="2">
        <v>903</v>
      </c>
      <c r="E371" s="2" t="s">
        <v>6743</v>
      </c>
      <c r="F371" s="29" t="s">
        <v>14211</v>
      </c>
      <c r="H371" s="3" t="s">
        <v>210</v>
      </c>
      <c r="K371" s="2">
        <v>10</v>
      </c>
      <c r="L371" s="2">
        <v>5</v>
      </c>
      <c r="M371" s="3" t="s">
        <v>563</v>
      </c>
      <c r="N371" s="3" t="s">
        <v>216</v>
      </c>
      <c r="O371" s="3" t="s">
        <v>217</v>
      </c>
      <c r="P371" s="3" t="s">
        <v>218</v>
      </c>
      <c r="Q371" s="30" t="str">
        <f t="shared" si="5"/>
        <v>MAX : 0.180
TARGET : 0.150
MIN : 0.120</v>
      </c>
    </row>
    <row r="372" spans="2:18" ht="41.4" x14ac:dyDescent="0.3">
      <c r="B372">
        <v>1</v>
      </c>
      <c r="C372" s="33">
        <v>3136</v>
      </c>
      <c r="D372" s="2">
        <v>903</v>
      </c>
      <c r="E372" s="2" t="s">
        <v>6743</v>
      </c>
      <c r="F372" s="29" t="s">
        <v>14211</v>
      </c>
      <c r="H372" s="3" t="s">
        <v>210</v>
      </c>
      <c r="K372" s="2">
        <v>10</v>
      </c>
      <c r="L372" s="2">
        <v>3</v>
      </c>
      <c r="M372" s="3" t="s">
        <v>211</v>
      </c>
      <c r="N372" s="3" t="s">
        <v>212</v>
      </c>
      <c r="O372" s="3" t="s">
        <v>213</v>
      </c>
      <c r="P372" s="3" t="s">
        <v>214</v>
      </c>
      <c r="Q372" s="30" t="str">
        <f t="shared" si="5"/>
        <v>MAX : 6.005
TARGET : 6.000
MIN : 5.995</v>
      </c>
    </row>
    <row r="373" spans="2:18" ht="41.4" x14ac:dyDescent="0.3">
      <c r="B373">
        <v>0</v>
      </c>
      <c r="C373" s="33">
        <v>4200</v>
      </c>
      <c r="D373" s="2">
        <v>918</v>
      </c>
      <c r="E373" s="2" t="s">
        <v>6903</v>
      </c>
      <c r="F373" s="3" t="s">
        <v>14206</v>
      </c>
      <c r="H373" s="3" t="s">
        <v>727</v>
      </c>
      <c r="K373" s="2">
        <v>20</v>
      </c>
      <c r="L373" s="2">
        <v>3</v>
      </c>
      <c r="M373" s="3" t="s">
        <v>731</v>
      </c>
      <c r="N373" s="3" t="s">
        <v>24</v>
      </c>
      <c r="O373" s="3" t="s">
        <v>25</v>
      </c>
      <c r="Q373" s="30" t="str">
        <f t="shared" si="5"/>
        <v>MAX : 
TARGET : Yes (Pass)
MIN : No (Fail)</v>
      </c>
    </row>
    <row r="374" spans="2:18" ht="41.4" x14ac:dyDescent="0.3">
      <c r="B374">
        <v>0</v>
      </c>
      <c r="C374" s="33">
        <v>4200</v>
      </c>
      <c r="D374" s="2">
        <v>918</v>
      </c>
      <c r="E374" s="2" t="s">
        <v>6903</v>
      </c>
      <c r="F374" s="3" t="s">
        <v>14206</v>
      </c>
      <c r="H374" s="3" t="s">
        <v>727</v>
      </c>
      <c r="K374" s="2">
        <v>20</v>
      </c>
      <c r="L374" s="2">
        <v>4</v>
      </c>
      <c r="M374" s="3" t="s">
        <v>732</v>
      </c>
      <c r="N374" s="3" t="s">
        <v>24</v>
      </c>
      <c r="O374" s="3" t="s">
        <v>25</v>
      </c>
      <c r="Q374" s="30" t="str">
        <f t="shared" si="5"/>
        <v>MAX : 
TARGET : Yes (Pass)
MIN : No (Fail)</v>
      </c>
    </row>
    <row r="375" spans="2:18" ht="41.4" x14ac:dyDescent="0.3">
      <c r="B375">
        <v>1</v>
      </c>
      <c r="C375" s="33">
        <v>3136</v>
      </c>
      <c r="D375" s="2">
        <v>903</v>
      </c>
      <c r="E375" s="2" t="s">
        <v>6743</v>
      </c>
      <c r="F375" s="29" t="s">
        <v>14211</v>
      </c>
      <c r="H375" s="3" t="s">
        <v>210</v>
      </c>
      <c r="K375" s="2">
        <v>10</v>
      </c>
      <c r="L375" s="2">
        <v>11</v>
      </c>
      <c r="M375" s="3" t="s">
        <v>581</v>
      </c>
      <c r="N375" s="3" t="s">
        <v>24</v>
      </c>
      <c r="O375" s="3" t="s">
        <v>25</v>
      </c>
      <c r="Q375" s="30" t="str">
        <f t="shared" si="5"/>
        <v>MAX : 
TARGET : Yes (Pass)
MIN : No (Fail)</v>
      </c>
    </row>
    <row r="376" spans="2:18" ht="41.4" x14ac:dyDescent="0.3">
      <c r="B376">
        <v>1</v>
      </c>
      <c r="C376" s="33">
        <v>3136</v>
      </c>
      <c r="D376" s="2">
        <v>903</v>
      </c>
      <c r="E376" s="2" t="s">
        <v>6743</v>
      </c>
      <c r="F376" s="29" t="s">
        <v>14211</v>
      </c>
      <c r="H376" s="3" t="s">
        <v>210</v>
      </c>
      <c r="K376" s="2">
        <v>10</v>
      </c>
      <c r="L376" s="2">
        <v>1</v>
      </c>
      <c r="M376" s="3" t="s">
        <v>5805</v>
      </c>
      <c r="N376" s="3" t="s">
        <v>5811</v>
      </c>
      <c r="O376" s="3" t="s">
        <v>5812</v>
      </c>
      <c r="P376" s="3" t="s">
        <v>5813</v>
      </c>
      <c r="Q376" s="30" t="str">
        <f t="shared" si="5"/>
        <v>MAX : 0.572
TARGET : 0.567
MIN : 0.562</v>
      </c>
    </row>
    <row r="377" spans="2:18" ht="41.4" x14ac:dyDescent="0.3">
      <c r="B377">
        <v>1</v>
      </c>
      <c r="C377" s="33">
        <v>3141</v>
      </c>
      <c r="D377" s="2">
        <v>1721</v>
      </c>
      <c r="E377" s="2" t="s">
        <v>6750</v>
      </c>
      <c r="F377" s="3" t="s">
        <v>14206</v>
      </c>
      <c r="H377" s="3" t="s">
        <v>568</v>
      </c>
      <c r="K377" s="2">
        <v>10</v>
      </c>
      <c r="L377" s="2">
        <v>2</v>
      </c>
      <c r="M377" s="3" t="s">
        <v>570</v>
      </c>
      <c r="N377" s="3" t="s">
        <v>571</v>
      </c>
      <c r="O377" s="3" t="s">
        <v>276</v>
      </c>
      <c r="P377" s="3" t="s">
        <v>572</v>
      </c>
      <c r="Q377" s="30" t="str">
        <f t="shared" si="5"/>
        <v>MAX : 0.405
TARGET : 0.375
MIN : 0.345</v>
      </c>
    </row>
    <row r="378" spans="2:18" ht="41.4" x14ac:dyDescent="0.3">
      <c r="B378">
        <v>1</v>
      </c>
      <c r="C378" s="33">
        <v>3141</v>
      </c>
      <c r="D378" s="2">
        <v>1721</v>
      </c>
      <c r="E378" s="2" t="s">
        <v>6750</v>
      </c>
      <c r="F378" s="3" t="s">
        <v>14206</v>
      </c>
      <c r="H378" s="3" t="s">
        <v>568</v>
      </c>
      <c r="K378" s="2">
        <v>10</v>
      </c>
      <c r="L378" s="2">
        <v>1</v>
      </c>
      <c r="M378" s="3" t="s">
        <v>569</v>
      </c>
      <c r="N378" s="3" t="s">
        <v>54</v>
      </c>
      <c r="O378" s="3" t="s">
        <v>86</v>
      </c>
      <c r="P378" s="3" t="s">
        <v>87</v>
      </c>
      <c r="Q378" s="30" t="str">
        <f t="shared" si="5"/>
        <v>MAX : 0.530
TARGET : 0.500
MIN : 0.470</v>
      </c>
    </row>
    <row r="379" spans="2:18" ht="41.4" x14ac:dyDescent="0.3">
      <c r="B379">
        <v>0</v>
      </c>
      <c r="C379" s="33">
        <v>4398</v>
      </c>
      <c r="D379" s="2">
        <v>921</v>
      </c>
      <c r="E379" s="2" t="s">
        <v>6930</v>
      </c>
      <c r="F379" s="3" t="s">
        <v>14206</v>
      </c>
      <c r="H379" s="3" t="s">
        <v>738</v>
      </c>
      <c r="K379" s="2">
        <v>10</v>
      </c>
      <c r="L379" s="2">
        <v>3</v>
      </c>
      <c r="M379" s="3" t="s">
        <v>744</v>
      </c>
      <c r="N379" s="3" t="s">
        <v>24</v>
      </c>
      <c r="O379" s="3" t="s">
        <v>25</v>
      </c>
      <c r="Q379" s="30" t="str">
        <f t="shared" si="5"/>
        <v>MAX : 
TARGET : Yes (Pass)
MIN : No (Fail)</v>
      </c>
    </row>
    <row r="380" spans="2:18" ht="41.4" x14ac:dyDescent="0.3">
      <c r="B380">
        <v>1</v>
      </c>
      <c r="C380" s="33">
        <v>3164</v>
      </c>
      <c r="D380" s="2">
        <v>904</v>
      </c>
      <c r="E380" s="2" t="s">
        <v>6757</v>
      </c>
      <c r="F380" s="3" t="s">
        <v>14207</v>
      </c>
      <c r="H380" s="3" t="s">
        <v>469</v>
      </c>
      <c r="I380" s="3" t="s">
        <v>575</v>
      </c>
      <c r="K380" s="2">
        <v>10</v>
      </c>
      <c r="L380" s="2">
        <v>3</v>
      </c>
      <c r="M380" s="3" t="s">
        <v>579</v>
      </c>
      <c r="N380" s="3" t="s">
        <v>13</v>
      </c>
      <c r="O380" s="3" t="s">
        <v>14</v>
      </c>
      <c r="Q380" s="30" t="str">
        <f t="shared" si="5"/>
        <v>MAX : 
TARGET : Yes(Pass)
MIN : No(Fail)</v>
      </c>
    </row>
    <row r="381" spans="2:18" ht="41.4" x14ac:dyDescent="0.3">
      <c r="B381">
        <v>1</v>
      </c>
      <c r="C381" s="33">
        <v>3164</v>
      </c>
      <c r="D381" s="2">
        <v>904</v>
      </c>
      <c r="E381" s="2" t="s">
        <v>6757</v>
      </c>
      <c r="F381" s="3" t="s">
        <v>14207</v>
      </c>
      <c r="H381" s="3" t="s">
        <v>469</v>
      </c>
      <c r="I381" s="3" t="s">
        <v>575</v>
      </c>
      <c r="K381" s="2">
        <v>10</v>
      </c>
      <c r="L381" s="2">
        <v>1</v>
      </c>
      <c r="M381" s="3" t="s">
        <v>502</v>
      </c>
      <c r="N381" s="3" t="s">
        <v>576</v>
      </c>
      <c r="O381" s="3" t="s">
        <v>577</v>
      </c>
      <c r="P381" s="3" t="s">
        <v>578</v>
      </c>
      <c r="Q381" s="30" t="str">
        <f t="shared" si="5"/>
        <v>MAX : 9.72
TARGET : 9.52
MIN : 9.32</v>
      </c>
    </row>
    <row r="382" spans="2:18" ht="41.4" x14ac:dyDescent="0.3">
      <c r="B382">
        <v>0</v>
      </c>
      <c r="C382" s="33">
        <v>4276</v>
      </c>
      <c r="D382" s="2">
        <v>920</v>
      </c>
      <c r="E382" s="2" t="s">
        <v>6923</v>
      </c>
      <c r="F382" s="29" t="s">
        <v>14211</v>
      </c>
      <c r="H382" s="3" t="s">
        <v>745</v>
      </c>
      <c r="K382" s="2">
        <v>10</v>
      </c>
      <c r="L382" s="2">
        <v>6</v>
      </c>
      <c r="M382" s="3" t="s">
        <v>564</v>
      </c>
      <c r="N382" s="3" t="s">
        <v>544</v>
      </c>
      <c r="O382" s="3" t="s">
        <v>545</v>
      </c>
      <c r="P382" s="3" t="s">
        <v>546</v>
      </c>
      <c r="Q382" s="30" t="str">
        <f t="shared" si="5"/>
        <v>MAX : .180
TARGET : .150
MIN : .120</v>
      </c>
      <c r="R382" s="3" t="s">
        <v>746</v>
      </c>
    </row>
    <row r="383" spans="2:18" ht="41.4" x14ac:dyDescent="0.3">
      <c r="B383">
        <v>0</v>
      </c>
      <c r="C383" s="33">
        <v>4276</v>
      </c>
      <c r="D383" s="2">
        <v>920</v>
      </c>
      <c r="E383" s="2" t="s">
        <v>6923</v>
      </c>
      <c r="F383" s="29" t="s">
        <v>14211</v>
      </c>
      <c r="H383" s="3" t="s">
        <v>745</v>
      </c>
      <c r="K383" s="2">
        <v>10</v>
      </c>
      <c r="L383" s="2">
        <v>9</v>
      </c>
      <c r="M383" s="3" t="s">
        <v>220</v>
      </c>
      <c r="N383" s="3" t="s">
        <v>221</v>
      </c>
      <c r="O383" s="3" t="s">
        <v>222</v>
      </c>
      <c r="P383" s="3" t="s">
        <v>223</v>
      </c>
      <c r="Q383" s="30" t="str">
        <f t="shared" si="5"/>
        <v>MAX : 3.715
TARGET : 3.700
MIN : 3.685</v>
      </c>
      <c r="R383" s="3" t="s">
        <v>746</v>
      </c>
    </row>
    <row r="384" spans="2:18" ht="41.4" x14ac:dyDescent="0.3">
      <c r="B384">
        <v>0</v>
      </c>
      <c r="C384" s="33">
        <v>4276</v>
      </c>
      <c r="D384" s="2">
        <v>920</v>
      </c>
      <c r="E384" s="2" t="s">
        <v>6923</v>
      </c>
      <c r="F384" s="29" t="s">
        <v>14211</v>
      </c>
      <c r="H384" s="3" t="s">
        <v>745</v>
      </c>
      <c r="K384" s="2">
        <v>10</v>
      </c>
      <c r="L384" s="2">
        <v>7</v>
      </c>
      <c r="M384" s="3" t="s">
        <v>547</v>
      </c>
      <c r="N384" s="3" t="s">
        <v>548</v>
      </c>
      <c r="O384" s="3" t="s">
        <v>549</v>
      </c>
      <c r="P384" s="3" t="s">
        <v>550</v>
      </c>
      <c r="Q384" s="30" t="str">
        <f t="shared" si="5"/>
        <v>MAX : .230
TARGET : .200
MIN : .170</v>
      </c>
      <c r="R384" s="3" t="s">
        <v>746</v>
      </c>
    </row>
    <row r="385" spans="2:18" ht="41.4" x14ac:dyDescent="0.3">
      <c r="B385">
        <v>0</v>
      </c>
      <c r="C385" s="33">
        <v>4276</v>
      </c>
      <c r="D385" s="2">
        <v>920</v>
      </c>
      <c r="E385" s="2" t="s">
        <v>6923</v>
      </c>
      <c r="F385" s="29" t="s">
        <v>14211</v>
      </c>
      <c r="H385" s="3" t="s">
        <v>745</v>
      </c>
      <c r="K385" s="2">
        <v>10</v>
      </c>
      <c r="L385" s="2">
        <v>8</v>
      </c>
      <c r="M385" s="3" t="s">
        <v>551</v>
      </c>
      <c r="N385" s="3" t="s">
        <v>548</v>
      </c>
      <c r="O385" s="3" t="s">
        <v>549</v>
      </c>
      <c r="P385" s="3" t="s">
        <v>550</v>
      </c>
      <c r="Q385" s="30" t="str">
        <f t="shared" si="5"/>
        <v>MAX : .230
TARGET : .200
MIN : .170</v>
      </c>
      <c r="R385" s="3" t="s">
        <v>746</v>
      </c>
    </row>
    <row r="386" spans="2:18" ht="41.4" x14ac:dyDescent="0.3">
      <c r="B386">
        <v>0</v>
      </c>
      <c r="C386" s="33">
        <v>4276</v>
      </c>
      <c r="D386" s="2">
        <v>920</v>
      </c>
      <c r="E386" s="2" t="s">
        <v>6923</v>
      </c>
      <c r="F386" s="29" t="s">
        <v>14211</v>
      </c>
      <c r="H386" s="3" t="s">
        <v>745</v>
      </c>
      <c r="K386" s="2">
        <v>10</v>
      </c>
      <c r="L386" s="2">
        <v>13</v>
      </c>
      <c r="M386" s="3" t="s">
        <v>556</v>
      </c>
      <c r="N386" s="3" t="s">
        <v>24</v>
      </c>
      <c r="O386" s="3" t="s">
        <v>25</v>
      </c>
      <c r="Q386" s="30" t="str">
        <f t="shared" ref="Q386:Q449" si="6">"MAX : " &amp; P386 &amp; CHAR(10) &amp; "TARGET : " &amp; O386 &amp; CHAR(10) &amp; "MIN : " &amp; N386</f>
        <v>MAX : 
TARGET : Yes (Pass)
MIN : No (Fail)</v>
      </c>
      <c r="R386" s="3" t="s">
        <v>746</v>
      </c>
    </row>
    <row r="387" spans="2:18" ht="41.4" x14ac:dyDescent="0.3">
      <c r="B387">
        <v>1</v>
      </c>
      <c r="C387" s="33">
        <v>3282</v>
      </c>
      <c r="D387" s="2">
        <v>905</v>
      </c>
      <c r="E387" s="2" t="s">
        <v>6763</v>
      </c>
      <c r="F387" s="3" t="s">
        <v>14207</v>
      </c>
      <c r="H387" s="3" t="s">
        <v>582</v>
      </c>
      <c r="I387" s="3" t="s">
        <v>575</v>
      </c>
      <c r="K387" s="2">
        <v>10</v>
      </c>
      <c r="L387" s="2">
        <v>2</v>
      </c>
      <c r="M387" s="3" t="s">
        <v>194</v>
      </c>
      <c r="N387" s="3" t="s">
        <v>586</v>
      </c>
      <c r="O387" s="3" t="s">
        <v>587</v>
      </c>
      <c r="P387" s="3" t="s">
        <v>588</v>
      </c>
      <c r="Q387" s="30" t="str">
        <f t="shared" si="6"/>
        <v>MAX : 46.5
TARGET : 46.0
MIN : 45.5</v>
      </c>
    </row>
    <row r="388" spans="2:18" ht="41.4" x14ac:dyDescent="0.3">
      <c r="B388">
        <v>1</v>
      </c>
      <c r="C388" s="33">
        <v>3282</v>
      </c>
      <c r="D388" s="2">
        <v>905</v>
      </c>
      <c r="E388" s="2" t="s">
        <v>6763</v>
      </c>
      <c r="F388" s="3" t="s">
        <v>14207</v>
      </c>
      <c r="H388" s="3" t="s">
        <v>582</v>
      </c>
      <c r="I388" s="3" t="s">
        <v>575</v>
      </c>
      <c r="K388" s="2">
        <v>10</v>
      </c>
      <c r="L388" s="2">
        <v>1</v>
      </c>
      <c r="M388" s="3" t="s">
        <v>198</v>
      </c>
      <c r="N388" s="3" t="s">
        <v>583</v>
      </c>
      <c r="O388" s="3" t="s">
        <v>584</v>
      </c>
      <c r="P388" s="3" t="s">
        <v>585</v>
      </c>
      <c r="Q388" s="30" t="str">
        <f t="shared" si="6"/>
        <v>MAX : 109.5
TARGET : 109.0
MIN : 108.5</v>
      </c>
    </row>
    <row r="389" spans="2:18" ht="41.4" x14ac:dyDescent="0.3">
      <c r="B389">
        <v>0</v>
      </c>
      <c r="C389" s="33">
        <v>4467</v>
      </c>
      <c r="D389" s="2">
        <v>922</v>
      </c>
      <c r="E389" s="2" t="s">
        <v>6938</v>
      </c>
      <c r="F389" s="3" t="s">
        <v>14206</v>
      </c>
      <c r="H389" s="3" t="s">
        <v>747</v>
      </c>
      <c r="K389" s="2">
        <v>20</v>
      </c>
      <c r="L389" s="2">
        <v>3</v>
      </c>
      <c r="M389" s="3" t="s">
        <v>753</v>
      </c>
      <c r="N389" s="3" t="s">
        <v>424</v>
      </c>
      <c r="O389" s="3" t="s">
        <v>463</v>
      </c>
      <c r="P389" s="3" t="s">
        <v>425</v>
      </c>
      <c r="Q389" s="30" t="str">
        <f t="shared" si="6"/>
        <v>MAX : 0.31
TARGET : 0.28
MIN : 0.25</v>
      </c>
      <c r="R389" s="3" t="s">
        <v>443</v>
      </c>
    </row>
    <row r="390" spans="2:18" ht="41.4" x14ac:dyDescent="0.3">
      <c r="B390">
        <v>0</v>
      </c>
      <c r="C390" s="33">
        <v>4467</v>
      </c>
      <c r="D390" s="2">
        <v>922</v>
      </c>
      <c r="E390" s="2" t="s">
        <v>6938</v>
      </c>
      <c r="F390" s="3" t="s">
        <v>14206</v>
      </c>
      <c r="H390" s="3" t="s">
        <v>747</v>
      </c>
      <c r="K390" s="2">
        <v>20</v>
      </c>
      <c r="L390" s="2">
        <v>4</v>
      </c>
      <c r="M390" s="3" t="s">
        <v>754</v>
      </c>
      <c r="N390" s="3" t="s">
        <v>424</v>
      </c>
      <c r="O390" s="3" t="s">
        <v>463</v>
      </c>
      <c r="P390" s="3" t="s">
        <v>425</v>
      </c>
      <c r="Q390" s="30" t="str">
        <f t="shared" si="6"/>
        <v>MAX : 0.31
TARGET : 0.28
MIN : 0.25</v>
      </c>
      <c r="R390" s="3" t="s">
        <v>443</v>
      </c>
    </row>
    <row r="391" spans="2:18" ht="41.4" x14ac:dyDescent="0.3">
      <c r="B391">
        <v>1</v>
      </c>
      <c r="C391" s="33">
        <v>3304</v>
      </c>
      <c r="D391" s="2">
        <v>1722</v>
      </c>
      <c r="E391" s="2" t="s">
        <v>6770</v>
      </c>
      <c r="F391" s="3" t="s">
        <v>14206</v>
      </c>
      <c r="H391" s="3" t="s">
        <v>491</v>
      </c>
      <c r="K391" s="2">
        <v>10</v>
      </c>
      <c r="L391" s="2">
        <v>2</v>
      </c>
      <c r="M391" s="3" t="s">
        <v>480</v>
      </c>
      <c r="N391" s="3" t="s">
        <v>13</v>
      </c>
      <c r="O391" s="3" t="s">
        <v>14</v>
      </c>
      <c r="Q391" s="30" t="str">
        <f t="shared" si="6"/>
        <v>MAX : 
TARGET : Yes(Pass)
MIN : No(Fail)</v>
      </c>
    </row>
    <row r="392" spans="2:18" ht="41.4" x14ac:dyDescent="0.3">
      <c r="B392">
        <v>1</v>
      </c>
      <c r="C392" s="33">
        <v>3304</v>
      </c>
      <c r="D392" s="2">
        <v>1722</v>
      </c>
      <c r="E392" s="2" t="s">
        <v>6770</v>
      </c>
      <c r="F392" s="3" t="s">
        <v>14206</v>
      </c>
      <c r="H392" s="3" t="s">
        <v>491</v>
      </c>
      <c r="K392" s="2">
        <v>10</v>
      </c>
      <c r="L392" s="2">
        <v>1</v>
      </c>
      <c r="M392" s="3" t="s">
        <v>478</v>
      </c>
      <c r="N392" s="3" t="s">
        <v>392</v>
      </c>
      <c r="O392" s="3" t="s">
        <v>393</v>
      </c>
      <c r="P392" s="3" t="s">
        <v>592</v>
      </c>
      <c r="Q392" s="30" t="str">
        <f t="shared" si="6"/>
        <v>MAX : 1.968
TARGET : 1.936
MIN : 1.906</v>
      </c>
    </row>
    <row r="393" spans="2:18" ht="41.4" x14ac:dyDescent="0.3">
      <c r="B393">
        <v>0</v>
      </c>
      <c r="C393" s="33">
        <v>4494</v>
      </c>
      <c r="D393" s="2">
        <v>923</v>
      </c>
      <c r="E393" s="2" t="s">
        <v>6945</v>
      </c>
      <c r="F393" s="3" t="s">
        <v>14206</v>
      </c>
      <c r="H393" s="3" t="s">
        <v>612</v>
      </c>
      <c r="K393" s="2">
        <v>10</v>
      </c>
      <c r="L393" s="2">
        <v>3</v>
      </c>
      <c r="M393" s="3" t="s">
        <v>759</v>
      </c>
      <c r="N393" s="3" t="s">
        <v>760</v>
      </c>
      <c r="O393" s="3" t="s">
        <v>284</v>
      </c>
      <c r="P393" s="3" t="s">
        <v>645</v>
      </c>
      <c r="Q393" s="30" t="str">
        <f t="shared" si="6"/>
        <v>MAX : 0.248
TARGET : 0.188
MIN : 0.128</v>
      </c>
    </row>
    <row r="394" spans="2:18" ht="41.4" x14ac:dyDescent="0.3">
      <c r="B394">
        <v>0</v>
      </c>
      <c r="C394" s="33">
        <v>4494</v>
      </c>
      <c r="D394" s="2">
        <v>923</v>
      </c>
      <c r="E394" s="2" t="s">
        <v>6945</v>
      </c>
      <c r="F394" s="3" t="s">
        <v>14206</v>
      </c>
      <c r="H394" s="3" t="s">
        <v>612</v>
      </c>
      <c r="K394" s="2">
        <v>10</v>
      </c>
      <c r="L394" s="2">
        <v>4</v>
      </c>
      <c r="M394" s="3" t="s">
        <v>761</v>
      </c>
      <c r="N394" s="3" t="s">
        <v>760</v>
      </c>
      <c r="O394" s="3" t="s">
        <v>284</v>
      </c>
      <c r="P394" s="3" t="s">
        <v>645</v>
      </c>
      <c r="Q394" s="30" t="str">
        <f t="shared" si="6"/>
        <v>MAX : 0.248
TARGET : 0.188
MIN : 0.128</v>
      </c>
    </row>
    <row r="395" spans="2:18" ht="41.4" x14ac:dyDescent="0.3">
      <c r="B395">
        <v>1</v>
      </c>
      <c r="C395" s="33">
        <v>3314</v>
      </c>
      <c r="D395" s="2">
        <v>1723</v>
      </c>
      <c r="E395" s="2" t="s">
        <v>6778</v>
      </c>
      <c r="F395" s="3" t="s">
        <v>14206</v>
      </c>
      <c r="H395" s="3" t="s">
        <v>269</v>
      </c>
      <c r="K395" s="2">
        <v>10</v>
      </c>
      <c r="L395" s="2">
        <v>2</v>
      </c>
      <c r="M395" s="3" t="s">
        <v>598</v>
      </c>
      <c r="N395" s="3" t="s">
        <v>13</v>
      </c>
      <c r="O395" s="3" t="s">
        <v>14</v>
      </c>
      <c r="Q395" s="30" t="str">
        <f t="shared" si="6"/>
        <v>MAX : 
TARGET : Yes(Pass)
MIN : No(Fail)</v>
      </c>
    </row>
    <row r="396" spans="2:18" ht="41.4" x14ac:dyDescent="0.3">
      <c r="B396">
        <v>0</v>
      </c>
      <c r="C396" s="33">
        <v>3053</v>
      </c>
      <c r="D396" s="2">
        <v>899</v>
      </c>
      <c r="E396" s="2" t="s">
        <v>6704</v>
      </c>
      <c r="F396" s="3" t="s">
        <v>14206</v>
      </c>
      <c r="H396" s="3" t="s">
        <v>501</v>
      </c>
      <c r="K396" s="2">
        <v>20</v>
      </c>
      <c r="L396" s="2">
        <v>4</v>
      </c>
      <c r="M396" s="3" t="s">
        <v>3277</v>
      </c>
      <c r="N396" s="3" t="s">
        <v>24</v>
      </c>
      <c r="O396" s="3" t="s">
        <v>25</v>
      </c>
      <c r="Q396" s="30" t="str">
        <f t="shared" si="6"/>
        <v>MAX : 
TARGET : Yes (Pass)
MIN : No (Fail)</v>
      </c>
    </row>
    <row r="397" spans="2:18" ht="41.4" x14ac:dyDescent="0.3">
      <c r="B397">
        <v>1</v>
      </c>
      <c r="C397" s="33">
        <v>3314</v>
      </c>
      <c r="D397" s="2">
        <v>1723</v>
      </c>
      <c r="E397" s="2" t="s">
        <v>6778</v>
      </c>
      <c r="F397" s="3" t="s">
        <v>14206</v>
      </c>
      <c r="H397" s="3" t="s">
        <v>269</v>
      </c>
      <c r="K397" s="2">
        <v>10</v>
      </c>
      <c r="L397" s="2">
        <v>1</v>
      </c>
      <c r="M397" s="3" t="s">
        <v>99</v>
      </c>
      <c r="N397" s="3" t="s">
        <v>595</v>
      </c>
      <c r="O397" s="3" t="s">
        <v>596</v>
      </c>
      <c r="P397" s="3" t="s">
        <v>597</v>
      </c>
      <c r="Q397" s="30" t="str">
        <f t="shared" si="6"/>
        <v>MAX : 1.156
TARGET : 1.125
MIN : 1.093</v>
      </c>
    </row>
    <row r="398" spans="2:18" ht="41.4" x14ac:dyDescent="0.3">
      <c r="B398">
        <v>1</v>
      </c>
      <c r="C398" s="33">
        <v>3345</v>
      </c>
      <c r="D398" s="2">
        <v>906</v>
      </c>
      <c r="E398" s="2" t="s">
        <v>6784</v>
      </c>
      <c r="F398" s="3" t="s">
        <v>14206</v>
      </c>
      <c r="H398" s="3" t="s">
        <v>600</v>
      </c>
      <c r="K398" s="2">
        <v>10</v>
      </c>
      <c r="L398" s="2">
        <v>2</v>
      </c>
      <c r="M398" s="3" t="s">
        <v>22</v>
      </c>
      <c r="N398" s="3" t="s">
        <v>601</v>
      </c>
      <c r="O398" s="3" t="s">
        <v>96</v>
      </c>
      <c r="P398" s="3" t="s">
        <v>602</v>
      </c>
      <c r="Q398" s="30" t="str">
        <f t="shared" si="6"/>
        <v>MAX : 1.655
TARGET : 1.625
MIN : 1.595</v>
      </c>
    </row>
    <row r="399" spans="2:18" ht="41.4" x14ac:dyDescent="0.3">
      <c r="B399">
        <v>0</v>
      </c>
      <c r="C399" s="33">
        <v>4538</v>
      </c>
      <c r="D399" s="2">
        <v>924</v>
      </c>
      <c r="E399" s="2" t="s">
        <v>6963</v>
      </c>
      <c r="F399" s="3" t="s">
        <v>14206</v>
      </c>
      <c r="H399" s="3" t="s">
        <v>612</v>
      </c>
      <c r="K399" s="2">
        <v>10</v>
      </c>
      <c r="L399" s="2">
        <v>3</v>
      </c>
      <c r="M399" s="3" t="s">
        <v>770</v>
      </c>
      <c r="N399" s="3" t="s">
        <v>771</v>
      </c>
      <c r="O399" s="3" t="s">
        <v>772</v>
      </c>
      <c r="P399" s="3" t="s">
        <v>773</v>
      </c>
      <c r="Q399" s="30" t="str">
        <f t="shared" si="6"/>
        <v>MAX : 1.20
TARGET : 1.18
MIN : 1.16</v>
      </c>
    </row>
    <row r="400" spans="2:18" ht="41.4" x14ac:dyDescent="0.3">
      <c r="B400">
        <v>0</v>
      </c>
      <c r="C400" s="33">
        <v>4538</v>
      </c>
      <c r="D400" s="2">
        <v>924</v>
      </c>
      <c r="E400" s="2" t="s">
        <v>6963</v>
      </c>
      <c r="F400" s="3" t="s">
        <v>14206</v>
      </c>
      <c r="H400" s="3" t="s">
        <v>612</v>
      </c>
      <c r="K400" s="2">
        <v>10</v>
      </c>
      <c r="L400" s="2">
        <v>4</v>
      </c>
      <c r="M400" s="3" t="s">
        <v>774</v>
      </c>
      <c r="N400" s="3" t="s">
        <v>775</v>
      </c>
      <c r="O400" s="3" t="s">
        <v>776</v>
      </c>
      <c r="P400" s="3" t="s">
        <v>777</v>
      </c>
      <c r="Q400" s="30" t="str">
        <f t="shared" si="6"/>
        <v>MAX : 0.08
TARGET : 0.04
MIN : 0.00</v>
      </c>
    </row>
    <row r="401" spans="2:17" ht="41.4" x14ac:dyDescent="0.3">
      <c r="B401">
        <v>1</v>
      </c>
      <c r="C401" s="33">
        <v>3345</v>
      </c>
      <c r="D401" s="2">
        <v>906</v>
      </c>
      <c r="E401" s="2" t="s">
        <v>6784</v>
      </c>
      <c r="F401" s="3" t="s">
        <v>14206</v>
      </c>
      <c r="H401" s="3" t="s">
        <v>600</v>
      </c>
      <c r="K401" s="2">
        <v>10</v>
      </c>
      <c r="L401" s="2">
        <v>1</v>
      </c>
      <c r="M401" s="3" t="s">
        <v>18</v>
      </c>
      <c r="N401" s="3" t="s">
        <v>601</v>
      </c>
      <c r="O401" s="3" t="s">
        <v>96</v>
      </c>
      <c r="P401" s="3" t="s">
        <v>602</v>
      </c>
      <c r="Q401" s="30" t="str">
        <f t="shared" si="6"/>
        <v>MAX : 1.655
TARGET : 1.625
MIN : 1.595</v>
      </c>
    </row>
    <row r="402" spans="2:17" ht="41.4" x14ac:dyDescent="0.3">
      <c r="B402">
        <v>1</v>
      </c>
      <c r="C402" s="33">
        <v>3356</v>
      </c>
      <c r="D402" s="2">
        <v>907</v>
      </c>
      <c r="E402" s="2" t="s">
        <v>6791</v>
      </c>
      <c r="F402" s="3" t="s">
        <v>606</v>
      </c>
      <c r="H402" s="3" t="s">
        <v>607</v>
      </c>
      <c r="K402" s="2">
        <v>10</v>
      </c>
      <c r="L402" s="2">
        <v>2</v>
      </c>
      <c r="M402" s="3" t="s">
        <v>609</v>
      </c>
      <c r="N402" s="3" t="s">
        <v>13</v>
      </c>
      <c r="O402" s="3" t="s">
        <v>14</v>
      </c>
      <c r="Q402" s="30" t="str">
        <f t="shared" si="6"/>
        <v>MAX : 
TARGET : Yes(Pass)
MIN : No(Fail)</v>
      </c>
    </row>
    <row r="403" spans="2:17" ht="41.4" x14ac:dyDescent="0.3">
      <c r="B403">
        <v>0</v>
      </c>
      <c r="C403" s="33">
        <v>4543</v>
      </c>
      <c r="D403" s="2">
        <v>1732</v>
      </c>
      <c r="E403" s="2" t="s">
        <v>6969</v>
      </c>
      <c r="F403" s="3" t="s">
        <v>14207</v>
      </c>
      <c r="H403" s="3" t="s">
        <v>172</v>
      </c>
      <c r="K403" s="2">
        <v>10</v>
      </c>
      <c r="L403" s="2">
        <v>5</v>
      </c>
      <c r="M403" s="3" t="s">
        <v>179</v>
      </c>
      <c r="N403" s="3" t="s">
        <v>24</v>
      </c>
      <c r="O403" s="3" t="s">
        <v>25</v>
      </c>
      <c r="Q403" s="30" t="str">
        <f t="shared" si="6"/>
        <v>MAX : 
TARGET : Yes (Pass)
MIN : No (Fail)</v>
      </c>
    </row>
    <row r="404" spans="2:17" ht="41.4" x14ac:dyDescent="0.3">
      <c r="B404">
        <v>0</v>
      </c>
      <c r="C404" s="33">
        <v>4543</v>
      </c>
      <c r="D404" s="2">
        <v>1732</v>
      </c>
      <c r="E404" s="2" t="s">
        <v>6969</v>
      </c>
      <c r="F404" s="3" t="s">
        <v>14207</v>
      </c>
      <c r="H404" s="3" t="s">
        <v>172</v>
      </c>
      <c r="K404" s="2">
        <v>10</v>
      </c>
      <c r="L404" s="2">
        <v>2</v>
      </c>
      <c r="M404" s="3" t="s">
        <v>781</v>
      </c>
      <c r="N404" s="3" t="s">
        <v>24</v>
      </c>
      <c r="O404" s="3" t="s">
        <v>25</v>
      </c>
      <c r="Q404" s="30" t="str">
        <f t="shared" si="6"/>
        <v>MAX : 
TARGET : Yes (Pass)
MIN : No (Fail)</v>
      </c>
    </row>
    <row r="405" spans="2:17" ht="41.4" x14ac:dyDescent="0.3">
      <c r="B405">
        <v>1</v>
      </c>
      <c r="C405" s="33">
        <v>3356</v>
      </c>
      <c r="D405" s="2">
        <v>907</v>
      </c>
      <c r="E405" s="2" t="s">
        <v>6791</v>
      </c>
      <c r="F405" s="3" t="s">
        <v>606</v>
      </c>
      <c r="H405" s="3" t="s">
        <v>607</v>
      </c>
      <c r="K405" s="2">
        <v>10</v>
      </c>
      <c r="L405" s="2">
        <v>1</v>
      </c>
      <c r="M405" s="3" t="s">
        <v>608</v>
      </c>
      <c r="N405" s="3" t="s">
        <v>360</v>
      </c>
      <c r="O405" s="3" t="s">
        <v>359</v>
      </c>
      <c r="Q405" s="30" t="str">
        <f t="shared" si="6"/>
        <v>MAX : 
TARGET : Pass
MIN : Fail</v>
      </c>
    </row>
    <row r="406" spans="2:17" ht="41.4" x14ac:dyDescent="0.3">
      <c r="B406">
        <v>1</v>
      </c>
      <c r="C406" s="33">
        <v>3368</v>
      </c>
      <c r="D406" s="2">
        <v>1724</v>
      </c>
      <c r="E406" s="2" t="s">
        <v>6800</v>
      </c>
      <c r="F406" s="3" t="s">
        <v>14206</v>
      </c>
      <c r="H406" s="3" t="s">
        <v>261</v>
      </c>
      <c r="K406" s="2">
        <v>10</v>
      </c>
      <c r="L406" s="2">
        <v>2</v>
      </c>
      <c r="M406" s="3" t="s">
        <v>538</v>
      </c>
      <c r="N406" s="3" t="s">
        <v>13</v>
      </c>
      <c r="O406" s="3" t="s">
        <v>14</v>
      </c>
      <c r="Q406" s="30" t="str">
        <f t="shared" si="6"/>
        <v>MAX : 
TARGET : Yes(Pass)
MIN : No(Fail)</v>
      </c>
    </row>
    <row r="407" spans="2:17" ht="41.4" x14ac:dyDescent="0.3">
      <c r="B407">
        <v>0</v>
      </c>
      <c r="C407" s="33">
        <v>4556</v>
      </c>
      <c r="D407" s="2">
        <v>1734</v>
      </c>
      <c r="E407" s="2" t="s">
        <v>6984</v>
      </c>
      <c r="F407" s="3" t="s">
        <v>14206</v>
      </c>
      <c r="H407" s="3" t="s">
        <v>66</v>
      </c>
      <c r="K407" s="2">
        <v>20</v>
      </c>
      <c r="L407" s="2">
        <v>3</v>
      </c>
      <c r="M407" s="3" t="s">
        <v>786</v>
      </c>
      <c r="N407" s="3" t="s">
        <v>24</v>
      </c>
      <c r="O407" s="3" t="s">
        <v>25</v>
      </c>
      <c r="Q407" s="30" t="str">
        <f t="shared" si="6"/>
        <v>MAX : 
TARGET : Yes (Pass)
MIN : No (Fail)</v>
      </c>
    </row>
    <row r="408" spans="2:17" ht="41.4" x14ac:dyDescent="0.3">
      <c r="B408">
        <v>0</v>
      </c>
      <c r="C408" s="33">
        <v>4556</v>
      </c>
      <c r="D408" s="2">
        <v>1734</v>
      </c>
      <c r="E408" s="2" t="s">
        <v>6984</v>
      </c>
      <c r="F408" s="3" t="s">
        <v>14206</v>
      </c>
      <c r="H408" s="3" t="s">
        <v>66</v>
      </c>
      <c r="K408" s="2">
        <v>20</v>
      </c>
      <c r="L408" s="2">
        <v>4</v>
      </c>
      <c r="M408" s="3" t="s">
        <v>787</v>
      </c>
      <c r="N408" s="3" t="s">
        <v>24</v>
      </c>
      <c r="O408" s="3" t="s">
        <v>25</v>
      </c>
      <c r="Q408" s="30" t="str">
        <f t="shared" si="6"/>
        <v>MAX : 
TARGET : Yes (Pass)
MIN : No (Fail)</v>
      </c>
    </row>
    <row r="409" spans="2:17" ht="41.4" x14ac:dyDescent="0.3">
      <c r="B409">
        <v>1</v>
      </c>
      <c r="C409" s="33">
        <v>3368</v>
      </c>
      <c r="D409" s="2">
        <v>1724</v>
      </c>
      <c r="E409" s="2" t="s">
        <v>6800</v>
      </c>
      <c r="F409" s="3" t="s">
        <v>14206</v>
      </c>
      <c r="H409" s="3" t="s">
        <v>261</v>
      </c>
      <c r="K409" s="2">
        <v>10</v>
      </c>
      <c r="L409" s="2">
        <v>1</v>
      </c>
      <c r="M409" s="3" t="s">
        <v>299</v>
      </c>
      <c r="N409" s="3" t="s">
        <v>433</v>
      </c>
      <c r="O409" s="3" t="s">
        <v>86</v>
      </c>
      <c r="P409" s="3" t="s">
        <v>317</v>
      </c>
      <c r="Q409" s="30" t="str">
        <f t="shared" si="6"/>
        <v>MAX : 0.515
TARGET : 0.500
MIN : 0.485</v>
      </c>
    </row>
    <row r="410" spans="2:17" ht="41.4" x14ac:dyDescent="0.3">
      <c r="B410">
        <v>1</v>
      </c>
      <c r="C410" s="33">
        <v>3479</v>
      </c>
      <c r="D410" s="2">
        <v>908</v>
      </c>
      <c r="E410" s="2" t="s">
        <v>6807</v>
      </c>
      <c r="F410" s="3" t="s">
        <v>14207</v>
      </c>
      <c r="H410" s="3" t="s">
        <v>612</v>
      </c>
      <c r="K410" s="2">
        <v>10</v>
      </c>
      <c r="L410" s="2">
        <v>2</v>
      </c>
      <c r="M410" s="3" t="s">
        <v>615</v>
      </c>
      <c r="N410" s="3" t="s">
        <v>616</v>
      </c>
      <c r="O410" s="3" t="s">
        <v>617</v>
      </c>
      <c r="P410" s="3" t="s">
        <v>618</v>
      </c>
      <c r="Q410" s="30" t="str">
        <f t="shared" si="6"/>
        <v>MAX : 18.88
TARGET : 18.50
MIN : 18.12</v>
      </c>
    </row>
    <row r="411" spans="2:17" ht="41.4" x14ac:dyDescent="0.3">
      <c r="B411">
        <v>0</v>
      </c>
      <c r="C411" s="33">
        <v>4557</v>
      </c>
      <c r="D411" s="2">
        <v>1735</v>
      </c>
      <c r="E411" s="2" t="s">
        <v>6992</v>
      </c>
      <c r="F411" s="3" t="s">
        <v>14206</v>
      </c>
      <c r="H411" s="3" t="s">
        <v>66</v>
      </c>
      <c r="K411" s="2">
        <v>20</v>
      </c>
      <c r="L411" s="2">
        <v>3</v>
      </c>
      <c r="M411" s="3" t="s">
        <v>786</v>
      </c>
      <c r="N411" s="3" t="s">
        <v>24</v>
      </c>
      <c r="O411" s="3" t="s">
        <v>25</v>
      </c>
      <c r="Q411" s="30" t="str">
        <f t="shared" si="6"/>
        <v>MAX : 
TARGET : Yes (Pass)
MIN : No (Fail)</v>
      </c>
    </row>
    <row r="412" spans="2:17" ht="41.4" x14ac:dyDescent="0.3">
      <c r="B412">
        <v>0</v>
      </c>
      <c r="C412" s="33">
        <v>4557</v>
      </c>
      <c r="D412" s="2">
        <v>1735</v>
      </c>
      <c r="E412" s="2" t="s">
        <v>6992</v>
      </c>
      <c r="F412" s="3" t="s">
        <v>14206</v>
      </c>
      <c r="H412" s="3" t="s">
        <v>66</v>
      </c>
      <c r="K412" s="2">
        <v>20</v>
      </c>
      <c r="L412" s="2">
        <v>4</v>
      </c>
      <c r="M412" s="3" t="s">
        <v>787</v>
      </c>
      <c r="N412" s="3" t="s">
        <v>24</v>
      </c>
      <c r="O412" s="3" t="s">
        <v>25</v>
      </c>
      <c r="Q412" s="30" t="str">
        <f t="shared" si="6"/>
        <v>MAX : 
TARGET : Yes (Pass)
MIN : No (Fail)</v>
      </c>
    </row>
    <row r="413" spans="2:17" ht="41.4" x14ac:dyDescent="0.3">
      <c r="B413">
        <v>1</v>
      </c>
      <c r="C413" s="33">
        <v>3479</v>
      </c>
      <c r="D413" s="2">
        <v>908</v>
      </c>
      <c r="E413" s="2" t="s">
        <v>6807</v>
      </c>
      <c r="F413" s="3" t="s">
        <v>14207</v>
      </c>
      <c r="H413" s="3" t="s">
        <v>612</v>
      </c>
      <c r="K413" s="2">
        <v>10</v>
      </c>
      <c r="L413" s="2">
        <v>1</v>
      </c>
      <c r="M413" s="3" t="s">
        <v>18</v>
      </c>
      <c r="N413" s="3" t="s">
        <v>613</v>
      </c>
      <c r="O413" s="3" t="s">
        <v>457</v>
      </c>
      <c r="P413" s="3" t="s">
        <v>614</v>
      </c>
      <c r="Q413" s="30" t="str">
        <f t="shared" si="6"/>
        <v>MAX : 14.38
TARGET : 14.00
MIN : 13.62</v>
      </c>
    </row>
    <row r="414" spans="2:17" ht="41.4" x14ac:dyDescent="0.3">
      <c r="B414">
        <v>1</v>
      </c>
      <c r="C414" s="33">
        <v>3516</v>
      </c>
      <c r="D414" s="2">
        <v>909</v>
      </c>
      <c r="E414" s="2" t="s">
        <v>6814</v>
      </c>
      <c r="F414" s="3" t="s">
        <v>14206</v>
      </c>
      <c r="H414" s="3" t="s">
        <v>632</v>
      </c>
      <c r="K414" s="2">
        <v>10</v>
      </c>
      <c r="L414" s="2">
        <v>2</v>
      </c>
      <c r="M414" s="3" t="s">
        <v>18</v>
      </c>
      <c r="N414" s="3" t="s">
        <v>635</v>
      </c>
      <c r="O414" s="3" t="s">
        <v>636</v>
      </c>
      <c r="P414" s="3" t="s">
        <v>637</v>
      </c>
      <c r="Q414" s="30" t="str">
        <f t="shared" si="6"/>
        <v>MAX : 36.31
TARGET : 36.25
MIN : 36.19</v>
      </c>
    </row>
    <row r="415" spans="2:17" ht="41.4" x14ac:dyDescent="0.3">
      <c r="B415">
        <v>1</v>
      </c>
      <c r="C415" s="33">
        <v>3516</v>
      </c>
      <c r="D415" s="2">
        <v>909</v>
      </c>
      <c r="E415" s="2" t="s">
        <v>6814</v>
      </c>
      <c r="F415" s="3" t="s">
        <v>14206</v>
      </c>
      <c r="H415" s="3" t="s">
        <v>632</v>
      </c>
      <c r="K415" s="2">
        <v>10</v>
      </c>
      <c r="L415" s="2">
        <v>1</v>
      </c>
      <c r="M415" s="3" t="s">
        <v>22</v>
      </c>
      <c r="N415" s="3" t="s">
        <v>633</v>
      </c>
      <c r="O415" s="3" t="s">
        <v>379</v>
      </c>
      <c r="P415" s="3" t="s">
        <v>634</v>
      </c>
      <c r="Q415" s="30" t="str">
        <f t="shared" si="6"/>
        <v>MAX : 0.935
TARGET : 0.875
MIN : 0.815</v>
      </c>
    </row>
    <row r="416" spans="2:17" ht="41.4" x14ac:dyDescent="0.3">
      <c r="B416">
        <v>1</v>
      </c>
      <c r="C416" s="33">
        <v>3516</v>
      </c>
      <c r="D416" s="2">
        <v>909</v>
      </c>
      <c r="E416" s="2" t="s">
        <v>6814</v>
      </c>
      <c r="F416" s="3" t="s">
        <v>14206</v>
      </c>
      <c r="H416" s="3" t="s">
        <v>632</v>
      </c>
      <c r="K416" s="2">
        <v>10</v>
      </c>
      <c r="L416" s="2">
        <v>5</v>
      </c>
      <c r="M416" s="3" t="s">
        <v>605</v>
      </c>
      <c r="N416" s="3" t="s">
        <v>13</v>
      </c>
      <c r="O416" s="3" t="s">
        <v>14</v>
      </c>
      <c r="Q416" s="30" t="str">
        <f t="shared" si="6"/>
        <v>MAX : 
TARGET : Yes(Pass)
MIN : No(Fail)</v>
      </c>
    </row>
    <row r="417" spans="2:17" ht="41.4" x14ac:dyDescent="0.3">
      <c r="B417">
        <v>1</v>
      </c>
      <c r="C417" s="33">
        <v>3524</v>
      </c>
      <c r="D417" s="2">
        <v>910</v>
      </c>
      <c r="E417" s="2" t="s">
        <v>6820</v>
      </c>
      <c r="F417" s="3" t="s">
        <v>14206</v>
      </c>
      <c r="H417" s="3" t="s">
        <v>469</v>
      </c>
      <c r="K417" s="2">
        <v>10</v>
      </c>
      <c r="L417" s="2">
        <v>2</v>
      </c>
      <c r="M417" s="3" t="s">
        <v>643</v>
      </c>
      <c r="N417" s="3" t="s">
        <v>284</v>
      </c>
      <c r="O417" s="3" t="s">
        <v>644</v>
      </c>
      <c r="P417" s="3" t="s">
        <v>645</v>
      </c>
      <c r="Q417" s="30" t="str">
        <f t="shared" si="6"/>
        <v>MAX : 0.248
TARGET : 0.218
MIN : 0.188</v>
      </c>
    </row>
    <row r="418" spans="2:17" ht="41.4" x14ac:dyDescent="0.3">
      <c r="B418">
        <v>1</v>
      </c>
      <c r="C418" s="33">
        <v>3524</v>
      </c>
      <c r="D418" s="2">
        <v>910</v>
      </c>
      <c r="E418" s="2" t="s">
        <v>6820</v>
      </c>
      <c r="F418" s="3" t="s">
        <v>14206</v>
      </c>
      <c r="H418" s="3" t="s">
        <v>469</v>
      </c>
      <c r="K418" s="2">
        <v>10</v>
      </c>
      <c r="L418" s="2">
        <v>1</v>
      </c>
      <c r="M418" s="3" t="s">
        <v>640</v>
      </c>
      <c r="N418" s="3" t="s">
        <v>641</v>
      </c>
      <c r="O418" s="3" t="s">
        <v>101</v>
      </c>
      <c r="P418" s="3" t="s">
        <v>642</v>
      </c>
      <c r="Q418" s="30" t="str">
        <f t="shared" si="6"/>
        <v>MAX : 0.655
TARGET : 0.625
MIN : 0.595</v>
      </c>
    </row>
    <row r="419" spans="2:17" ht="41.4" x14ac:dyDescent="0.3">
      <c r="B419">
        <v>0</v>
      </c>
      <c r="C419" s="33">
        <v>4636</v>
      </c>
      <c r="D419" s="2">
        <v>925</v>
      </c>
      <c r="E419" s="2" t="s">
        <v>7013</v>
      </c>
      <c r="F419" s="3" t="s">
        <v>14206</v>
      </c>
      <c r="H419" s="3" t="s">
        <v>713</v>
      </c>
      <c r="K419" s="2">
        <v>10</v>
      </c>
      <c r="L419" s="2">
        <v>3</v>
      </c>
      <c r="M419" s="3" t="s">
        <v>799</v>
      </c>
      <c r="N419" s="3" t="s">
        <v>24</v>
      </c>
      <c r="O419" s="3" t="s">
        <v>25</v>
      </c>
      <c r="Q419" s="30" t="str">
        <f t="shared" si="6"/>
        <v>MAX : 
TARGET : Yes (Pass)
MIN : No (Fail)</v>
      </c>
    </row>
    <row r="420" spans="2:17" ht="41.4" x14ac:dyDescent="0.3">
      <c r="B420">
        <v>1</v>
      </c>
      <c r="C420" s="33">
        <v>3538</v>
      </c>
      <c r="D420" s="2">
        <v>911</v>
      </c>
      <c r="E420" s="2" t="s">
        <v>6827</v>
      </c>
      <c r="F420" s="3" t="s">
        <v>14206</v>
      </c>
      <c r="H420" s="3" t="s">
        <v>648</v>
      </c>
      <c r="K420" t="s">
        <v>6295</v>
      </c>
      <c r="L420" s="2">
        <v>2</v>
      </c>
      <c r="M420" s="3" t="s">
        <v>198</v>
      </c>
      <c r="N420" s="3" t="s">
        <v>652</v>
      </c>
      <c r="O420" s="3" t="s">
        <v>653</v>
      </c>
      <c r="P420" s="3" t="s">
        <v>654</v>
      </c>
      <c r="Q420" s="30" t="str">
        <f t="shared" si="6"/>
        <v>MAX : 13.125
TARGET : 13.000
MIN : 12.875</v>
      </c>
    </row>
    <row r="421" spans="2:17" ht="41.4" x14ac:dyDescent="0.3">
      <c r="B421">
        <v>1</v>
      </c>
      <c r="C421" s="33">
        <v>3538</v>
      </c>
      <c r="D421" s="2">
        <v>911</v>
      </c>
      <c r="E421" s="2" t="s">
        <v>6827</v>
      </c>
      <c r="F421" s="3" t="s">
        <v>14206</v>
      </c>
      <c r="H421" s="3" t="s">
        <v>648</v>
      </c>
      <c r="K421" t="s">
        <v>6295</v>
      </c>
      <c r="L421" s="2">
        <v>1</v>
      </c>
      <c r="M421" s="3" t="s">
        <v>194</v>
      </c>
      <c r="N421" s="3" t="s">
        <v>649</v>
      </c>
      <c r="O421" s="3" t="s">
        <v>650</v>
      </c>
      <c r="P421" s="3" t="s">
        <v>651</v>
      </c>
      <c r="Q421" s="30" t="str">
        <f t="shared" si="6"/>
        <v>MAX : 12.125
TARGET : 12.000
MIN : 11.875</v>
      </c>
    </row>
    <row r="422" spans="2:17" ht="41.4" x14ac:dyDescent="0.3">
      <c r="B422">
        <v>0</v>
      </c>
      <c r="C422" s="33">
        <v>4554</v>
      </c>
      <c r="D422" s="2">
        <v>1733</v>
      </c>
      <c r="E422" s="2" t="s">
        <v>6976</v>
      </c>
      <c r="F422" s="3" t="s">
        <v>14214</v>
      </c>
      <c r="H422" s="3" t="s">
        <v>11</v>
      </c>
      <c r="K422" s="2">
        <v>20</v>
      </c>
      <c r="L422" s="2">
        <v>2</v>
      </c>
      <c r="M422" s="3" t="s">
        <v>804</v>
      </c>
      <c r="N422" s="3" t="s">
        <v>13</v>
      </c>
      <c r="O422" s="3" t="s">
        <v>14</v>
      </c>
      <c r="Q422" s="30" t="str">
        <f t="shared" si="6"/>
        <v>MAX : 
TARGET : Yes(Pass)
MIN : No(Fail)</v>
      </c>
    </row>
    <row r="423" spans="2:17" ht="41.4" x14ac:dyDescent="0.3">
      <c r="B423">
        <v>0</v>
      </c>
      <c r="C423" s="33">
        <v>4554</v>
      </c>
      <c r="D423" s="2">
        <v>1733</v>
      </c>
      <c r="E423" s="2" t="s">
        <v>6976</v>
      </c>
      <c r="F423" s="3" t="s">
        <v>14214</v>
      </c>
      <c r="H423" s="3" t="s">
        <v>11</v>
      </c>
      <c r="K423" s="2">
        <v>20</v>
      </c>
      <c r="L423" s="2">
        <v>3</v>
      </c>
      <c r="M423" s="3" t="s">
        <v>805</v>
      </c>
      <c r="N423" s="3" t="s">
        <v>13</v>
      </c>
      <c r="O423" s="3" t="s">
        <v>14</v>
      </c>
      <c r="Q423" s="30" t="str">
        <f t="shared" si="6"/>
        <v>MAX : 
TARGET : Yes(Pass)
MIN : No(Fail)</v>
      </c>
    </row>
    <row r="424" spans="2:17" ht="41.4" x14ac:dyDescent="0.3">
      <c r="B424">
        <v>1</v>
      </c>
      <c r="C424" s="33">
        <v>3551</v>
      </c>
      <c r="D424" s="2">
        <v>912</v>
      </c>
      <c r="E424" s="2" t="s">
        <v>6835</v>
      </c>
      <c r="F424" s="3" t="s">
        <v>14207</v>
      </c>
      <c r="H424" s="3" t="s">
        <v>656</v>
      </c>
      <c r="K424" s="2">
        <v>10</v>
      </c>
      <c r="L424" s="2">
        <v>2</v>
      </c>
      <c r="M424" s="3" t="s">
        <v>198</v>
      </c>
      <c r="N424" s="3" t="s">
        <v>660</v>
      </c>
      <c r="O424" s="3" t="s">
        <v>661</v>
      </c>
      <c r="P424" s="3" t="s">
        <v>662</v>
      </c>
      <c r="Q424" s="30" t="str">
        <f t="shared" si="6"/>
        <v>MAX : 51.5
TARGET : 50.0
MIN : 48.5</v>
      </c>
    </row>
    <row r="425" spans="2:17" ht="41.4" x14ac:dyDescent="0.3">
      <c r="B425">
        <v>1</v>
      </c>
      <c r="C425" s="33">
        <v>3551</v>
      </c>
      <c r="D425" s="2">
        <v>912</v>
      </c>
      <c r="E425" s="2" t="s">
        <v>6835</v>
      </c>
      <c r="F425" s="3" t="s">
        <v>14207</v>
      </c>
      <c r="H425" s="3" t="s">
        <v>656</v>
      </c>
      <c r="K425" s="2">
        <v>10</v>
      </c>
      <c r="L425" s="2">
        <v>1</v>
      </c>
      <c r="M425" s="3" t="s">
        <v>194</v>
      </c>
      <c r="N425" s="3" t="s">
        <v>657</v>
      </c>
      <c r="O425" s="3" t="s">
        <v>658</v>
      </c>
      <c r="P425" s="3" t="s">
        <v>659</v>
      </c>
      <c r="Q425" s="30" t="str">
        <f t="shared" si="6"/>
        <v>MAX : 26.5
TARGET : 25.0
MIN : 23.5</v>
      </c>
    </row>
    <row r="426" spans="2:17" ht="41.4" x14ac:dyDescent="0.3">
      <c r="B426">
        <v>1</v>
      </c>
      <c r="C426" s="33">
        <v>3614</v>
      </c>
      <c r="D426" s="2">
        <v>913</v>
      </c>
      <c r="E426" s="2" t="s">
        <v>6842</v>
      </c>
      <c r="F426" s="3" t="s">
        <v>14206</v>
      </c>
      <c r="H426" s="3" t="s">
        <v>665</v>
      </c>
      <c r="K426" s="2">
        <v>10</v>
      </c>
      <c r="L426" s="2">
        <v>2</v>
      </c>
      <c r="M426" s="3" t="s">
        <v>669</v>
      </c>
      <c r="N426" s="3" t="s">
        <v>13</v>
      </c>
      <c r="O426" s="3" t="s">
        <v>14</v>
      </c>
      <c r="Q426" s="30" t="str">
        <f t="shared" si="6"/>
        <v>MAX : 
TARGET : Yes(Pass)
MIN : No(Fail)</v>
      </c>
    </row>
    <row r="427" spans="2:17" ht="41.4" x14ac:dyDescent="0.3">
      <c r="B427">
        <v>0</v>
      </c>
      <c r="C427" s="33">
        <v>3164</v>
      </c>
      <c r="D427" s="2">
        <v>904</v>
      </c>
      <c r="E427" s="2" t="s">
        <v>6757</v>
      </c>
      <c r="F427" s="3" t="s">
        <v>14207</v>
      </c>
      <c r="H427" s="3" t="s">
        <v>469</v>
      </c>
      <c r="I427" s="3" t="s">
        <v>575</v>
      </c>
      <c r="K427" s="2">
        <v>10</v>
      </c>
      <c r="L427" s="2">
        <v>2</v>
      </c>
      <c r="M427" s="3" t="s">
        <v>3069</v>
      </c>
      <c r="N427" s="3" t="s">
        <v>4920</v>
      </c>
      <c r="O427" s="3" t="s">
        <v>2367</v>
      </c>
      <c r="P427" s="3" t="s">
        <v>4921</v>
      </c>
      <c r="Q427" s="30" t="str">
        <f t="shared" si="6"/>
        <v>MAX : 3.66
TARGET : 3.56
MIN : 3.46</v>
      </c>
    </row>
    <row r="428" spans="2:17" ht="41.4" x14ac:dyDescent="0.3">
      <c r="B428">
        <v>1</v>
      </c>
      <c r="C428" s="33">
        <v>3614</v>
      </c>
      <c r="D428" s="2">
        <v>913</v>
      </c>
      <c r="E428" s="2" t="s">
        <v>6842</v>
      </c>
      <c r="F428" s="3" t="s">
        <v>14206</v>
      </c>
      <c r="H428" s="3" t="s">
        <v>665</v>
      </c>
      <c r="K428" s="2">
        <v>10</v>
      </c>
      <c r="L428" s="2">
        <v>1</v>
      </c>
      <c r="M428" s="3" t="s">
        <v>18</v>
      </c>
      <c r="N428" s="3" t="s">
        <v>666</v>
      </c>
      <c r="O428" s="3" t="s">
        <v>667</v>
      </c>
      <c r="P428" s="3" t="s">
        <v>668</v>
      </c>
      <c r="Q428" s="30" t="str">
        <f t="shared" si="6"/>
        <v>MAX : 20.125
TARGET : 20.000
MIN : 19.875</v>
      </c>
    </row>
    <row r="429" spans="2:17" ht="41.4" x14ac:dyDescent="0.3">
      <c r="B429">
        <v>0</v>
      </c>
      <c r="C429" s="33">
        <v>4689</v>
      </c>
      <c r="D429" s="2">
        <v>926</v>
      </c>
      <c r="E429" s="2" t="s">
        <v>7027</v>
      </c>
      <c r="F429" s="3" t="s">
        <v>14206</v>
      </c>
      <c r="H429" s="3" t="s">
        <v>812</v>
      </c>
      <c r="K429" s="2">
        <v>10</v>
      </c>
      <c r="L429" s="2">
        <v>4</v>
      </c>
      <c r="M429" s="3" t="s">
        <v>78</v>
      </c>
      <c r="N429" s="3" t="s">
        <v>13</v>
      </c>
      <c r="O429" s="3" t="s">
        <v>14</v>
      </c>
      <c r="Q429" s="30" t="str">
        <f t="shared" si="6"/>
        <v>MAX : 
TARGET : Yes(Pass)
MIN : No(Fail)</v>
      </c>
    </row>
    <row r="430" spans="2:17" ht="41.4" x14ac:dyDescent="0.3">
      <c r="B430">
        <v>0</v>
      </c>
      <c r="C430" s="33">
        <v>4689</v>
      </c>
      <c r="D430" s="2">
        <v>926</v>
      </c>
      <c r="E430" s="2" t="s">
        <v>7027</v>
      </c>
      <c r="F430" s="3" t="s">
        <v>14206</v>
      </c>
      <c r="H430" s="3" t="s">
        <v>812</v>
      </c>
      <c r="K430" s="2">
        <v>10</v>
      </c>
      <c r="L430" s="2">
        <v>5</v>
      </c>
      <c r="M430" s="3" t="s">
        <v>817</v>
      </c>
      <c r="N430" s="3" t="s">
        <v>13</v>
      </c>
      <c r="O430" s="3" t="s">
        <v>14</v>
      </c>
      <c r="Q430" s="30" t="str">
        <f t="shared" si="6"/>
        <v>MAX : 
TARGET : Yes(Pass)
MIN : No(Fail)</v>
      </c>
    </row>
    <row r="431" spans="2:17" ht="41.4" x14ac:dyDescent="0.3">
      <c r="B431">
        <v>1</v>
      </c>
      <c r="C431" s="33">
        <v>3653</v>
      </c>
      <c r="D431" s="2">
        <v>1725</v>
      </c>
      <c r="E431" s="2" t="s">
        <v>6849</v>
      </c>
      <c r="F431" s="3" t="s">
        <v>14207</v>
      </c>
      <c r="H431" s="3" t="s">
        <v>558</v>
      </c>
      <c r="K431" s="2">
        <v>20</v>
      </c>
      <c r="L431" s="2">
        <v>2</v>
      </c>
      <c r="M431" s="3" t="s">
        <v>675</v>
      </c>
      <c r="N431" s="3" t="s">
        <v>676</v>
      </c>
      <c r="O431" s="3" t="s">
        <v>61</v>
      </c>
      <c r="P431" s="3" t="s">
        <v>677</v>
      </c>
      <c r="Q431" s="30" t="str">
        <f t="shared" si="6"/>
        <v>MAX : 20.79
TARGET : 20.00
MIN : 19.21</v>
      </c>
    </row>
    <row r="432" spans="2:17" ht="41.4" x14ac:dyDescent="0.3">
      <c r="B432">
        <v>1</v>
      </c>
      <c r="C432" s="33">
        <v>3653</v>
      </c>
      <c r="D432" s="2">
        <v>1725</v>
      </c>
      <c r="E432" s="2" t="s">
        <v>6849</v>
      </c>
      <c r="F432" s="3" t="s">
        <v>14207</v>
      </c>
      <c r="H432" s="3" t="s">
        <v>558</v>
      </c>
      <c r="K432" s="2">
        <v>20</v>
      </c>
      <c r="L432" s="2">
        <v>1</v>
      </c>
      <c r="M432" s="3" t="s">
        <v>671</v>
      </c>
      <c r="N432" s="3" t="s">
        <v>672</v>
      </c>
      <c r="O432" s="3" t="s">
        <v>673</v>
      </c>
      <c r="P432" s="3" t="s">
        <v>674</v>
      </c>
      <c r="Q432" s="30" t="str">
        <f t="shared" si="6"/>
        <v>MAX : 112.32
TARGET : 111.53
MIN : 110.74</v>
      </c>
    </row>
    <row r="433" spans="2:18" ht="41.4" x14ac:dyDescent="0.3">
      <c r="B433">
        <v>0</v>
      </c>
      <c r="C433" s="33">
        <v>4730</v>
      </c>
      <c r="D433" s="2">
        <v>928</v>
      </c>
      <c r="E433" s="2" t="s">
        <v>7040</v>
      </c>
      <c r="F433" s="3" t="s">
        <v>14207</v>
      </c>
      <c r="H433" s="3" t="s">
        <v>648</v>
      </c>
      <c r="K433" s="2">
        <v>20</v>
      </c>
      <c r="L433" s="2">
        <v>3</v>
      </c>
      <c r="M433" s="3" t="s">
        <v>821</v>
      </c>
      <c r="N433" s="3" t="s">
        <v>822</v>
      </c>
      <c r="O433" s="3" t="s">
        <v>250</v>
      </c>
      <c r="P433" s="3" t="s">
        <v>823</v>
      </c>
      <c r="Q433" s="30" t="str">
        <f t="shared" si="6"/>
        <v>MAX : 6.79
TARGET : 6.00
MIN : 5.21</v>
      </c>
      <c r="R433" s="3" t="s">
        <v>443</v>
      </c>
    </row>
    <row r="434" spans="2:18" ht="41.4" x14ac:dyDescent="0.3">
      <c r="B434">
        <v>1</v>
      </c>
      <c r="C434" s="33">
        <v>3664</v>
      </c>
      <c r="D434" s="2">
        <v>914</v>
      </c>
      <c r="E434" s="2" t="s">
        <v>6857</v>
      </c>
      <c r="F434" s="29" t="s">
        <v>14213</v>
      </c>
      <c r="H434" s="3" t="s">
        <v>685</v>
      </c>
      <c r="K434" s="2">
        <v>10</v>
      </c>
      <c r="L434" s="2">
        <v>1</v>
      </c>
      <c r="M434" s="3" t="s">
        <v>18</v>
      </c>
      <c r="N434" s="3" t="s">
        <v>689</v>
      </c>
      <c r="O434" s="3" t="s">
        <v>690</v>
      </c>
      <c r="P434" s="3" t="s">
        <v>691</v>
      </c>
      <c r="Q434" s="30" t="str">
        <f t="shared" si="6"/>
        <v>MAX : 0.36
TARGET : 0.33
MIN : 0.30</v>
      </c>
    </row>
    <row r="435" spans="2:18" ht="41.4" x14ac:dyDescent="0.3">
      <c r="B435">
        <v>1</v>
      </c>
      <c r="C435" s="33">
        <v>3664</v>
      </c>
      <c r="D435" s="2">
        <v>914</v>
      </c>
      <c r="E435" s="2" t="s">
        <v>6857</v>
      </c>
      <c r="F435" s="29" t="s">
        <v>14213</v>
      </c>
      <c r="H435" s="3" t="s">
        <v>685</v>
      </c>
      <c r="K435" s="2">
        <v>10</v>
      </c>
      <c r="L435" s="2">
        <v>2</v>
      </c>
      <c r="M435" s="3" t="s">
        <v>198</v>
      </c>
      <c r="N435" s="3" t="s">
        <v>686</v>
      </c>
      <c r="O435" s="3" t="s">
        <v>687</v>
      </c>
      <c r="P435" s="3" t="s">
        <v>688</v>
      </c>
      <c r="Q435" s="30" t="str">
        <f t="shared" si="6"/>
        <v>MAX : 1.175
TARGET : 1.145
MIN : 1.115</v>
      </c>
    </row>
    <row r="436" spans="2:18" ht="41.4" x14ac:dyDescent="0.3">
      <c r="B436">
        <v>0</v>
      </c>
      <c r="C436" s="33">
        <v>3314</v>
      </c>
      <c r="D436" s="2">
        <v>1723</v>
      </c>
      <c r="E436" s="2" t="s">
        <v>6778</v>
      </c>
      <c r="F436" s="3" t="s">
        <v>14206</v>
      </c>
      <c r="H436" s="3" t="s">
        <v>269</v>
      </c>
      <c r="K436" s="2">
        <v>10</v>
      </c>
      <c r="L436" s="2">
        <v>4</v>
      </c>
      <c r="M436" s="3" t="s">
        <v>611</v>
      </c>
      <c r="N436" s="3" t="s">
        <v>13</v>
      </c>
      <c r="O436" s="3" t="s">
        <v>14</v>
      </c>
      <c r="Q436" s="30" t="str">
        <f t="shared" si="6"/>
        <v>MAX : 
TARGET : Yes(Pass)
MIN : No(Fail)</v>
      </c>
    </row>
    <row r="437" spans="2:18" ht="41.4" x14ac:dyDescent="0.3">
      <c r="B437">
        <v>1</v>
      </c>
      <c r="C437" s="33">
        <v>3683</v>
      </c>
      <c r="D437" s="2">
        <v>915</v>
      </c>
      <c r="E437" s="2" t="s">
        <v>6864</v>
      </c>
      <c r="F437" s="3" t="s">
        <v>14206</v>
      </c>
      <c r="H437" s="3" t="s">
        <v>469</v>
      </c>
      <c r="K437" s="2">
        <v>10</v>
      </c>
      <c r="L437" s="2">
        <v>2</v>
      </c>
      <c r="M437" s="3" t="s">
        <v>643</v>
      </c>
      <c r="N437" s="3" t="s">
        <v>698</v>
      </c>
      <c r="O437" s="3" t="s">
        <v>699</v>
      </c>
      <c r="P437" s="3" t="s">
        <v>700</v>
      </c>
      <c r="Q437" s="30" t="str">
        <f t="shared" si="6"/>
        <v>MAX : 0.360
TARGET : 0.330
MIN : 0.300</v>
      </c>
    </row>
    <row r="438" spans="2:18" ht="41.4" x14ac:dyDescent="0.3">
      <c r="B438">
        <v>1</v>
      </c>
      <c r="C438" s="33">
        <v>3683</v>
      </c>
      <c r="D438" s="2">
        <v>915</v>
      </c>
      <c r="E438" s="2" t="s">
        <v>6864</v>
      </c>
      <c r="F438" s="3" t="s">
        <v>14206</v>
      </c>
      <c r="H438" s="3" t="s">
        <v>469</v>
      </c>
      <c r="K438" s="2">
        <v>10</v>
      </c>
      <c r="L438" s="2">
        <v>1</v>
      </c>
      <c r="M438" s="3" t="s">
        <v>640</v>
      </c>
      <c r="N438" s="3" t="s">
        <v>187</v>
      </c>
      <c r="O438" s="3" t="s">
        <v>20</v>
      </c>
      <c r="P438" s="3" t="s">
        <v>188</v>
      </c>
      <c r="Q438" s="30" t="str">
        <f t="shared" si="6"/>
        <v>MAX : 0.780
TARGET : 0.750
MIN : 0.720</v>
      </c>
    </row>
    <row r="439" spans="2:18" ht="41.4" x14ac:dyDescent="0.3">
      <c r="B439">
        <v>0</v>
      </c>
      <c r="C439" s="33">
        <v>4735</v>
      </c>
      <c r="D439" s="2">
        <v>929</v>
      </c>
      <c r="E439" s="2" t="s">
        <v>7046</v>
      </c>
      <c r="F439" s="29" t="s">
        <v>14211</v>
      </c>
      <c r="H439" s="3" t="s">
        <v>210</v>
      </c>
      <c r="K439" s="2">
        <v>10</v>
      </c>
      <c r="L439" s="2">
        <v>6</v>
      </c>
      <c r="M439" s="3" t="s">
        <v>564</v>
      </c>
      <c r="N439" s="3" t="s">
        <v>216</v>
      </c>
      <c r="O439" s="3" t="s">
        <v>217</v>
      </c>
      <c r="P439" s="3" t="s">
        <v>218</v>
      </c>
      <c r="Q439" s="30" t="str">
        <f t="shared" si="6"/>
        <v>MAX : 0.180
TARGET : 0.150
MIN : 0.120</v>
      </c>
      <c r="R439" s="3" t="s">
        <v>829</v>
      </c>
    </row>
    <row r="440" spans="2:18" ht="41.4" x14ac:dyDescent="0.3">
      <c r="B440">
        <v>0</v>
      </c>
      <c r="C440" s="33">
        <v>4735</v>
      </c>
      <c r="D440" s="2">
        <v>929</v>
      </c>
      <c r="E440" s="2" t="s">
        <v>7046</v>
      </c>
      <c r="F440" s="29" t="s">
        <v>14211</v>
      </c>
      <c r="H440" s="3" t="s">
        <v>210</v>
      </c>
      <c r="K440" s="2">
        <v>10</v>
      </c>
      <c r="L440" s="2">
        <v>9</v>
      </c>
      <c r="M440" s="3" t="s">
        <v>220</v>
      </c>
      <c r="N440" s="3" t="s">
        <v>221</v>
      </c>
      <c r="O440" s="3" t="s">
        <v>222</v>
      </c>
      <c r="P440" s="3" t="s">
        <v>223</v>
      </c>
      <c r="Q440" s="30" t="str">
        <f t="shared" si="6"/>
        <v>MAX : 3.715
TARGET : 3.700
MIN : 3.685</v>
      </c>
      <c r="R440" s="3" t="s">
        <v>829</v>
      </c>
    </row>
    <row r="441" spans="2:18" ht="41.4" x14ac:dyDescent="0.3">
      <c r="B441">
        <v>0</v>
      </c>
      <c r="C441" s="33">
        <v>4735</v>
      </c>
      <c r="D441" s="2">
        <v>929</v>
      </c>
      <c r="E441" s="2" t="s">
        <v>7046</v>
      </c>
      <c r="F441" s="29" t="s">
        <v>14211</v>
      </c>
      <c r="H441" s="3" t="s">
        <v>210</v>
      </c>
      <c r="K441" s="2">
        <v>10</v>
      </c>
      <c r="L441" s="2">
        <v>7</v>
      </c>
      <c r="M441" s="3" t="s">
        <v>547</v>
      </c>
      <c r="N441" s="3" t="s">
        <v>90</v>
      </c>
      <c r="O441" s="3" t="s">
        <v>91</v>
      </c>
      <c r="P441" s="3" t="s">
        <v>92</v>
      </c>
      <c r="Q441" s="30" t="str">
        <f t="shared" si="6"/>
        <v>MAX : 0.230
TARGET : 0.200
MIN : 0.170</v>
      </c>
      <c r="R441" s="3" t="s">
        <v>829</v>
      </c>
    </row>
    <row r="442" spans="2:18" ht="41.4" x14ac:dyDescent="0.3">
      <c r="B442">
        <v>0</v>
      </c>
      <c r="C442" s="33">
        <v>4735</v>
      </c>
      <c r="D442" s="2">
        <v>929</v>
      </c>
      <c r="E442" s="2" t="s">
        <v>7046</v>
      </c>
      <c r="F442" s="29" t="s">
        <v>14211</v>
      </c>
      <c r="H442" s="3" t="s">
        <v>210</v>
      </c>
      <c r="K442" s="2">
        <v>10</v>
      </c>
      <c r="L442" s="2">
        <v>8</v>
      </c>
      <c r="M442" s="3" t="s">
        <v>551</v>
      </c>
      <c r="N442" s="3" t="s">
        <v>90</v>
      </c>
      <c r="O442" s="3" t="s">
        <v>91</v>
      </c>
      <c r="P442" s="3" t="s">
        <v>92</v>
      </c>
      <c r="Q442" s="30" t="str">
        <f t="shared" si="6"/>
        <v>MAX : 0.230
TARGET : 0.200
MIN : 0.170</v>
      </c>
      <c r="R442" s="3" t="s">
        <v>829</v>
      </c>
    </row>
    <row r="443" spans="2:18" ht="41.4" x14ac:dyDescent="0.3">
      <c r="B443">
        <v>0</v>
      </c>
      <c r="C443" s="33">
        <v>4735</v>
      </c>
      <c r="D443" s="2">
        <v>929</v>
      </c>
      <c r="E443" s="2" t="s">
        <v>7046</v>
      </c>
      <c r="F443" s="29" t="s">
        <v>14211</v>
      </c>
      <c r="H443" s="3" t="s">
        <v>210</v>
      </c>
      <c r="K443" s="2">
        <v>10</v>
      </c>
      <c r="L443" s="2">
        <v>13</v>
      </c>
      <c r="M443" s="3" t="s">
        <v>556</v>
      </c>
      <c r="N443" s="3" t="s">
        <v>24</v>
      </c>
      <c r="O443" s="3" t="s">
        <v>25</v>
      </c>
      <c r="Q443" s="30" t="str">
        <f t="shared" si="6"/>
        <v>MAX : 
TARGET : Yes (Pass)
MIN : No (Fail)</v>
      </c>
      <c r="R443" s="3" t="s">
        <v>829</v>
      </c>
    </row>
    <row r="444" spans="2:18" ht="41.4" x14ac:dyDescent="0.3">
      <c r="B444">
        <v>0</v>
      </c>
      <c r="C444" s="33">
        <v>4735</v>
      </c>
      <c r="D444" s="2">
        <v>929</v>
      </c>
      <c r="E444" s="2" t="s">
        <v>7046</v>
      </c>
      <c r="F444" s="29" t="s">
        <v>14211</v>
      </c>
      <c r="H444" s="3" t="s">
        <v>210</v>
      </c>
      <c r="K444" s="2">
        <v>10</v>
      </c>
      <c r="L444" s="2">
        <v>12</v>
      </c>
      <c r="M444" s="3" t="s">
        <v>567</v>
      </c>
      <c r="N444" s="3" t="s">
        <v>24</v>
      </c>
      <c r="O444" s="3" t="s">
        <v>25</v>
      </c>
      <c r="Q444" s="30" t="str">
        <f t="shared" si="6"/>
        <v>MAX : 
TARGET : Yes (Pass)
MIN : No (Fail)</v>
      </c>
      <c r="R444" s="3" t="s">
        <v>829</v>
      </c>
    </row>
    <row r="445" spans="2:18" ht="41.4" x14ac:dyDescent="0.3">
      <c r="B445">
        <v>1</v>
      </c>
      <c r="C445" s="33">
        <v>3713</v>
      </c>
      <c r="D445" s="2">
        <v>1726</v>
      </c>
      <c r="E445" s="2" t="s">
        <v>6871</v>
      </c>
      <c r="F445" s="3" t="s">
        <v>14206</v>
      </c>
      <c r="H445" s="3" t="s">
        <v>701</v>
      </c>
      <c r="K445" s="2">
        <v>10</v>
      </c>
      <c r="L445" s="2">
        <v>2</v>
      </c>
      <c r="M445" s="3" t="s">
        <v>198</v>
      </c>
      <c r="N445" s="3" t="s">
        <v>131</v>
      </c>
      <c r="O445" s="3" t="s">
        <v>132</v>
      </c>
      <c r="P445" s="3" t="s">
        <v>133</v>
      </c>
      <c r="Q445" s="30" t="str">
        <f t="shared" si="6"/>
        <v>MAX : 0.78
TARGET : 0.75
MIN : 0.72</v>
      </c>
    </row>
    <row r="446" spans="2:18" ht="41.4" x14ac:dyDescent="0.3">
      <c r="B446">
        <v>1</v>
      </c>
      <c r="C446" s="33">
        <v>3713</v>
      </c>
      <c r="D446" s="2">
        <v>1726</v>
      </c>
      <c r="E446" s="2" t="s">
        <v>6871</v>
      </c>
      <c r="F446" s="3" t="s">
        <v>14206</v>
      </c>
      <c r="H446" s="3" t="s">
        <v>701</v>
      </c>
      <c r="K446" s="2">
        <v>10</v>
      </c>
      <c r="L446" s="2">
        <v>1</v>
      </c>
      <c r="M446" s="3" t="s">
        <v>194</v>
      </c>
      <c r="N446" s="3" t="s">
        <v>702</v>
      </c>
      <c r="O446" s="3" t="s">
        <v>703</v>
      </c>
      <c r="P446" s="3" t="s">
        <v>704</v>
      </c>
      <c r="Q446" s="30" t="str">
        <f t="shared" si="6"/>
        <v>MAX : 4.53
TARGET : 4.50
MIN : 4.47</v>
      </c>
    </row>
    <row r="447" spans="2:18" ht="41.4" x14ac:dyDescent="0.3">
      <c r="B447">
        <v>1</v>
      </c>
      <c r="C447" s="33">
        <v>3771</v>
      </c>
      <c r="D447" s="2">
        <v>916</v>
      </c>
      <c r="E447" s="2" t="s">
        <v>6877</v>
      </c>
      <c r="F447" s="3" t="s">
        <v>14206</v>
      </c>
      <c r="H447" s="3" t="s">
        <v>706</v>
      </c>
      <c r="K447" s="2">
        <v>10</v>
      </c>
      <c r="L447" s="2">
        <v>2</v>
      </c>
      <c r="M447" s="3" t="s">
        <v>51</v>
      </c>
      <c r="N447" s="3" t="s">
        <v>710</v>
      </c>
      <c r="O447" s="3" t="s">
        <v>86</v>
      </c>
      <c r="P447" s="3" t="s">
        <v>711</v>
      </c>
      <c r="Q447" s="30" t="str">
        <f t="shared" si="6"/>
        <v>MAX : 0.505
TARGET : 0.500
MIN : 0.495</v>
      </c>
      <c r="R447" s="3" t="s">
        <v>443</v>
      </c>
    </row>
    <row r="448" spans="2:18" ht="41.4" x14ac:dyDescent="0.3">
      <c r="B448">
        <v>1</v>
      </c>
      <c r="C448" s="33">
        <v>3771</v>
      </c>
      <c r="D448" s="2">
        <v>916</v>
      </c>
      <c r="E448" s="2" t="s">
        <v>6877</v>
      </c>
      <c r="F448" s="3" t="s">
        <v>14206</v>
      </c>
      <c r="H448" s="3" t="s">
        <v>706</v>
      </c>
      <c r="K448" s="2">
        <v>10</v>
      </c>
      <c r="L448" s="2">
        <v>1</v>
      </c>
      <c r="M448" s="3" t="s">
        <v>55</v>
      </c>
      <c r="N448" s="3" t="s">
        <v>707</v>
      </c>
      <c r="O448" s="3" t="s">
        <v>708</v>
      </c>
      <c r="P448" s="3" t="s">
        <v>709</v>
      </c>
      <c r="Q448" s="30" t="str">
        <f t="shared" si="6"/>
        <v>MAX : 1.724
TARGET : 1.719
MIN : 1.714</v>
      </c>
      <c r="R448" s="3" t="s">
        <v>443</v>
      </c>
    </row>
    <row r="449" spans="2:18" ht="41.4" x14ac:dyDescent="0.3">
      <c r="B449">
        <v>0</v>
      </c>
      <c r="C449" s="33">
        <v>4905</v>
      </c>
      <c r="D449" s="2">
        <v>931</v>
      </c>
      <c r="E449" s="2" t="s">
        <v>7065</v>
      </c>
      <c r="F449" s="3" t="s">
        <v>14206</v>
      </c>
      <c r="H449" s="3" t="s">
        <v>648</v>
      </c>
      <c r="K449" s="2">
        <v>20</v>
      </c>
      <c r="L449" s="2">
        <v>3</v>
      </c>
      <c r="M449" s="3" t="s">
        <v>843</v>
      </c>
      <c r="Q449" s="30" t="str">
        <f t="shared" si="6"/>
        <v xml:space="preserve">MAX : 
TARGET : 
MIN : </v>
      </c>
    </row>
    <row r="450" spans="2:18" ht="41.4" x14ac:dyDescent="0.3">
      <c r="B450">
        <v>1</v>
      </c>
      <c r="C450" s="33">
        <v>4115</v>
      </c>
      <c r="D450" s="2">
        <v>917</v>
      </c>
      <c r="E450" s="2" t="s">
        <v>6883</v>
      </c>
      <c r="F450" s="3" t="s">
        <v>14206</v>
      </c>
      <c r="H450" s="3" t="s">
        <v>713</v>
      </c>
      <c r="K450" s="2">
        <v>10</v>
      </c>
      <c r="L450" s="2">
        <v>2</v>
      </c>
      <c r="M450" s="3" t="s">
        <v>715</v>
      </c>
      <c r="N450" s="3" t="s">
        <v>420</v>
      </c>
      <c r="O450" s="3" t="s">
        <v>272</v>
      </c>
      <c r="P450" s="3" t="s">
        <v>414</v>
      </c>
      <c r="Q450" s="30" t="str">
        <f t="shared" ref="Q450:Q513" si="7">"MAX : " &amp; P450 &amp; CHAR(10) &amp; "TARGET : " &amp; O450 &amp; CHAR(10) &amp; "MIN : " &amp; N450</f>
        <v>MAX : 1.03
TARGET : 1.00
MIN : 0.97</v>
      </c>
    </row>
    <row r="451" spans="2:18" ht="41.4" x14ac:dyDescent="0.3">
      <c r="B451">
        <v>1</v>
      </c>
      <c r="C451" s="33">
        <v>4115</v>
      </c>
      <c r="D451" s="2">
        <v>917</v>
      </c>
      <c r="E451" s="2" t="s">
        <v>6883</v>
      </c>
      <c r="F451" s="3" t="s">
        <v>14206</v>
      </c>
      <c r="H451" s="3" t="s">
        <v>713</v>
      </c>
      <c r="K451" s="2">
        <v>10</v>
      </c>
      <c r="L451" s="2">
        <v>1</v>
      </c>
      <c r="M451" s="3" t="s">
        <v>714</v>
      </c>
      <c r="N451" s="3" t="s">
        <v>420</v>
      </c>
      <c r="O451" s="3" t="s">
        <v>272</v>
      </c>
      <c r="P451" s="3" t="s">
        <v>414</v>
      </c>
      <c r="Q451" s="30" t="str">
        <f t="shared" si="7"/>
        <v>MAX : 1.03
TARGET : 1.00
MIN : 0.97</v>
      </c>
    </row>
    <row r="452" spans="2:18" ht="41.4" x14ac:dyDescent="0.3">
      <c r="B452">
        <v>1</v>
      </c>
      <c r="C452" s="33">
        <v>4121</v>
      </c>
      <c r="D452" s="2">
        <v>1727</v>
      </c>
      <c r="E452" s="2" t="s">
        <v>6891</v>
      </c>
      <c r="F452" s="3" t="s">
        <v>14206</v>
      </c>
      <c r="H452" s="3" t="s">
        <v>721</v>
      </c>
      <c r="K452" s="2">
        <v>20</v>
      </c>
      <c r="L452" s="2">
        <v>2</v>
      </c>
      <c r="M452" s="3" t="s">
        <v>722</v>
      </c>
      <c r="N452" s="3" t="s">
        <v>13</v>
      </c>
      <c r="O452" s="3" t="s">
        <v>14</v>
      </c>
      <c r="Q452" s="30" t="str">
        <f t="shared" si="7"/>
        <v>MAX : 
TARGET : Yes(Pass)
MIN : No(Fail)</v>
      </c>
    </row>
    <row r="453" spans="2:18" ht="41.4" x14ac:dyDescent="0.3">
      <c r="B453">
        <v>1</v>
      </c>
      <c r="C453" s="33">
        <v>4121</v>
      </c>
      <c r="D453" s="2">
        <v>1727</v>
      </c>
      <c r="E453" s="2" t="s">
        <v>6891</v>
      </c>
      <c r="F453" s="3" t="s">
        <v>14206</v>
      </c>
      <c r="H453" s="3" t="s">
        <v>721</v>
      </c>
      <c r="K453" s="2">
        <v>20</v>
      </c>
      <c r="L453" s="2">
        <v>1</v>
      </c>
      <c r="M453" s="3" t="s">
        <v>307</v>
      </c>
      <c r="N453" s="3" t="s">
        <v>420</v>
      </c>
      <c r="O453" s="3" t="s">
        <v>272</v>
      </c>
      <c r="P453" s="3" t="s">
        <v>414</v>
      </c>
      <c r="Q453" s="30" t="str">
        <f t="shared" si="7"/>
        <v>MAX : 1.03
TARGET : 1.00
MIN : 0.97</v>
      </c>
    </row>
    <row r="454" spans="2:18" ht="41.4" x14ac:dyDescent="0.3">
      <c r="B454">
        <v>1</v>
      </c>
      <c r="C454" s="33">
        <v>4147</v>
      </c>
      <c r="D454" s="2">
        <v>1728</v>
      </c>
      <c r="E454" s="2" t="s">
        <v>6897</v>
      </c>
      <c r="F454" s="3" t="s">
        <v>6216</v>
      </c>
      <c r="H454" s="3" t="s">
        <v>98</v>
      </c>
      <c r="K454" s="2">
        <v>10</v>
      </c>
      <c r="L454" s="2">
        <v>2</v>
      </c>
      <c r="M454" s="3" t="s">
        <v>99</v>
      </c>
      <c r="N454" s="3" t="s">
        <v>459</v>
      </c>
      <c r="O454" s="3" t="s">
        <v>406</v>
      </c>
      <c r="P454" s="3" t="s">
        <v>460</v>
      </c>
      <c r="Q454" s="30" t="str">
        <f t="shared" si="7"/>
        <v>MAX : 2.03
TARGET : 2.00
MIN : 1.97</v>
      </c>
    </row>
    <row r="455" spans="2:18" ht="41.4" x14ac:dyDescent="0.3">
      <c r="B455">
        <v>1</v>
      </c>
      <c r="C455" s="33">
        <v>4147</v>
      </c>
      <c r="D455" s="2">
        <v>1728</v>
      </c>
      <c r="E455" s="2" t="s">
        <v>6897</v>
      </c>
      <c r="F455" s="3" t="s">
        <v>6216</v>
      </c>
      <c r="H455" s="3" t="s">
        <v>98</v>
      </c>
      <c r="K455" s="2">
        <v>10</v>
      </c>
      <c r="L455" s="2">
        <v>1</v>
      </c>
      <c r="M455" s="3" t="s">
        <v>194</v>
      </c>
      <c r="N455" s="3" t="s">
        <v>459</v>
      </c>
      <c r="O455" s="3" t="s">
        <v>406</v>
      </c>
      <c r="P455" s="3" t="s">
        <v>460</v>
      </c>
      <c r="Q455" s="30" t="str">
        <f t="shared" si="7"/>
        <v>MAX : 2.03
TARGET : 2.00
MIN : 1.97</v>
      </c>
    </row>
    <row r="456" spans="2:18" ht="41.4" x14ac:dyDescent="0.3">
      <c r="B456">
        <v>0</v>
      </c>
      <c r="C456" s="33">
        <v>4924</v>
      </c>
      <c r="D456" s="2">
        <v>935</v>
      </c>
      <c r="E456" s="2" t="s">
        <v>7100</v>
      </c>
      <c r="F456" s="3" t="s">
        <v>14207</v>
      </c>
      <c r="H456" s="3" t="s">
        <v>727</v>
      </c>
      <c r="K456" s="2">
        <v>10</v>
      </c>
      <c r="L456" s="2">
        <v>3</v>
      </c>
      <c r="M456" s="3" t="s">
        <v>619</v>
      </c>
      <c r="N456" s="3" t="s">
        <v>858</v>
      </c>
      <c r="O456" s="3" t="s">
        <v>859</v>
      </c>
      <c r="P456" s="3" t="s">
        <v>860</v>
      </c>
      <c r="Q456" s="30" t="str">
        <f t="shared" si="7"/>
        <v>MAX : 18.00
TARGET : 17.50
MIN : 17.00</v>
      </c>
      <c r="R456" s="3" t="s">
        <v>443</v>
      </c>
    </row>
    <row r="457" spans="2:18" ht="41.4" x14ac:dyDescent="0.3">
      <c r="B457">
        <v>0</v>
      </c>
      <c r="C457" s="33">
        <v>4924</v>
      </c>
      <c r="D457" s="2">
        <v>935</v>
      </c>
      <c r="E457" s="2" t="s">
        <v>7100</v>
      </c>
      <c r="F457" s="3" t="s">
        <v>14207</v>
      </c>
      <c r="H457" s="3" t="s">
        <v>727</v>
      </c>
      <c r="K457" s="2">
        <v>10</v>
      </c>
      <c r="L457" s="2">
        <v>4</v>
      </c>
      <c r="M457" s="3" t="s">
        <v>622</v>
      </c>
      <c r="N457" s="3" t="s">
        <v>13</v>
      </c>
      <c r="O457" s="3" t="s">
        <v>14</v>
      </c>
      <c r="Q457" s="30" t="str">
        <f t="shared" si="7"/>
        <v>MAX : 
TARGET : Yes(Pass)
MIN : No(Fail)</v>
      </c>
      <c r="R457" s="3" t="s">
        <v>443</v>
      </c>
    </row>
    <row r="458" spans="2:18" ht="41.4" x14ac:dyDescent="0.3">
      <c r="B458">
        <v>1</v>
      </c>
      <c r="C458" s="33">
        <v>4200</v>
      </c>
      <c r="D458" s="2">
        <v>918</v>
      </c>
      <c r="E458" s="2" t="s">
        <v>6903</v>
      </c>
      <c r="F458" s="3" t="s">
        <v>14206</v>
      </c>
      <c r="H458" s="3" t="s">
        <v>727</v>
      </c>
      <c r="K458" s="2">
        <v>20</v>
      </c>
      <c r="L458" s="2">
        <v>2</v>
      </c>
      <c r="M458" s="3" t="s">
        <v>730</v>
      </c>
      <c r="N458" s="3" t="s">
        <v>24</v>
      </c>
      <c r="O458" s="3" t="s">
        <v>25</v>
      </c>
      <c r="Q458" s="30" t="str">
        <f t="shared" si="7"/>
        <v>MAX : 
TARGET : Yes (Pass)
MIN : No (Fail)</v>
      </c>
    </row>
    <row r="459" spans="2:18" ht="41.4" x14ac:dyDescent="0.3">
      <c r="B459">
        <v>1</v>
      </c>
      <c r="C459" s="33">
        <v>4200</v>
      </c>
      <c r="D459" s="2">
        <v>918</v>
      </c>
      <c r="E459" s="2" t="s">
        <v>6903</v>
      </c>
      <c r="F459" s="3" t="s">
        <v>14206</v>
      </c>
      <c r="H459" s="3" t="s">
        <v>727</v>
      </c>
      <c r="K459" s="2">
        <v>20</v>
      </c>
      <c r="L459" s="2">
        <v>1</v>
      </c>
      <c r="M459" s="3" t="s">
        <v>728</v>
      </c>
      <c r="N459" s="3" t="s">
        <v>729</v>
      </c>
      <c r="O459" s="3" t="s">
        <v>25</v>
      </c>
      <c r="Q459" s="30" t="str">
        <f t="shared" si="7"/>
        <v>MAX : 
TARGET : Yes (Pass)
MIN : No (Fail</v>
      </c>
    </row>
    <row r="460" spans="2:18" ht="41.4" x14ac:dyDescent="0.3">
      <c r="B460">
        <v>0</v>
      </c>
      <c r="C460" s="33">
        <v>4928</v>
      </c>
      <c r="D460" s="2">
        <v>1741</v>
      </c>
      <c r="E460" s="2" t="s">
        <v>7107</v>
      </c>
      <c r="F460" s="3" t="s">
        <v>14206</v>
      </c>
      <c r="H460" s="3" t="s">
        <v>269</v>
      </c>
      <c r="K460" s="2">
        <v>20</v>
      </c>
      <c r="L460" s="2">
        <v>3</v>
      </c>
      <c r="M460" s="3" t="s">
        <v>866</v>
      </c>
      <c r="N460" s="3" t="s">
        <v>423</v>
      </c>
      <c r="O460" s="3" t="s">
        <v>424</v>
      </c>
      <c r="P460" s="3" t="s">
        <v>425</v>
      </c>
      <c r="Q460" s="30" t="str">
        <f t="shared" si="7"/>
        <v>MAX : 0.31
TARGET : 0.25
MIN : 0.19</v>
      </c>
    </row>
    <row r="461" spans="2:18" ht="41.4" x14ac:dyDescent="0.3">
      <c r="B461">
        <v>0</v>
      </c>
      <c r="C461" s="33">
        <v>4928</v>
      </c>
      <c r="D461" s="2">
        <v>1741</v>
      </c>
      <c r="E461" s="2" t="s">
        <v>7107</v>
      </c>
      <c r="F461" s="3" t="s">
        <v>14206</v>
      </c>
      <c r="H461" s="3" t="s">
        <v>269</v>
      </c>
      <c r="K461" s="2">
        <v>20</v>
      </c>
      <c r="L461" s="2">
        <v>4</v>
      </c>
      <c r="M461" s="3" t="s">
        <v>867</v>
      </c>
      <c r="N461" s="3" t="s">
        <v>418</v>
      </c>
      <c r="O461" s="3" t="s">
        <v>344</v>
      </c>
      <c r="P461" s="3" t="s">
        <v>419</v>
      </c>
      <c r="Q461" s="30" t="str">
        <f t="shared" si="7"/>
        <v>MAX : 1.28
TARGET : 1.25
MIN : 1.22</v>
      </c>
    </row>
    <row r="462" spans="2:18" ht="41.4" x14ac:dyDescent="0.3">
      <c r="B462">
        <v>1</v>
      </c>
      <c r="C462" s="33">
        <v>4220</v>
      </c>
      <c r="D462" s="2">
        <v>919</v>
      </c>
      <c r="E462" s="2" t="s">
        <v>6910</v>
      </c>
      <c r="F462" s="3" t="s">
        <v>14206</v>
      </c>
      <c r="H462" s="3" t="s">
        <v>810</v>
      </c>
      <c r="K462" s="2">
        <v>10</v>
      </c>
      <c r="L462" s="2">
        <v>1</v>
      </c>
      <c r="M462" s="3" t="s">
        <v>18</v>
      </c>
      <c r="N462" s="3" t="s">
        <v>571</v>
      </c>
      <c r="O462" s="3" t="s">
        <v>276</v>
      </c>
      <c r="P462" s="3" t="s">
        <v>572</v>
      </c>
      <c r="Q462" s="30" t="str">
        <f t="shared" si="7"/>
        <v>MAX : 0.405
TARGET : 0.375
MIN : 0.345</v>
      </c>
    </row>
    <row r="463" spans="2:18" ht="41.4" x14ac:dyDescent="0.3">
      <c r="B463">
        <v>1</v>
      </c>
      <c r="C463" s="33">
        <v>4220</v>
      </c>
      <c r="D463" s="2">
        <v>919</v>
      </c>
      <c r="E463" s="2" t="s">
        <v>6910</v>
      </c>
      <c r="F463" s="3" t="s">
        <v>14206</v>
      </c>
      <c r="H463" s="3" t="s">
        <v>810</v>
      </c>
      <c r="K463" s="2">
        <v>10</v>
      </c>
      <c r="L463" s="2">
        <v>2</v>
      </c>
      <c r="M463" s="3" t="s">
        <v>22</v>
      </c>
      <c r="N463" s="3" t="s">
        <v>571</v>
      </c>
      <c r="O463" s="3" t="s">
        <v>276</v>
      </c>
      <c r="P463" s="3" t="s">
        <v>572</v>
      </c>
      <c r="Q463" s="30" t="str">
        <f t="shared" si="7"/>
        <v>MAX : 0.405
TARGET : 0.375
MIN : 0.345</v>
      </c>
    </row>
    <row r="464" spans="2:18" ht="41.4" x14ac:dyDescent="0.3">
      <c r="B464">
        <v>1</v>
      </c>
      <c r="C464" s="33">
        <v>4255</v>
      </c>
      <c r="D464" s="2">
        <v>1729</v>
      </c>
      <c r="E464" s="2" t="s">
        <v>6917</v>
      </c>
      <c r="F464" s="3" t="s">
        <v>14206</v>
      </c>
      <c r="H464" s="3" t="s">
        <v>504</v>
      </c>
      <c r="K464" s="2">
        <v>20</v>
      </c>
      <c r="L464" s="2">
        <v>2</v>
      </c>
      <c r="M464" s="3" t="s">
        <v>22</v>
      </c>
      <c r="N464" s="3" t="s">
        <v>735</v>
      </c>
      <c r="O464" s="3" t="s">
        <v>199</v>
      </c>
      <c r="P464" s="3" t="s">
        <v>736</v>
      </c>
      <c r="Q464" s="30" t="str">
        <f t="shared" si="7"/>
        <v>MAX : 5.30
TARGET : 5.25
MIN : 5.20</v>
      </c>
    </row>
    <row r="465" spans="2:18" ht="41.4" x14ac:dyDescent="0.3">
      <c r="B465">
        <v>1</v>
      </c>
      <c r="C465" s="33">
        <v>4255</v>
      </c>
      <c r="D465" s="2">
        <v>1729</v>
      </c>
      <c r="E465" s="2" t="s">
        <v>6917</v>
      </c>
      <c r="F465" s="3" t="s">
        <v>14206</v>
      </c>
      <c r="H465" s="3" t="s">
        <v>504</v>
      </c>
      <c r="K465" s="2">
        <v>20</v>
      </c>
      <c r="L465" s="2">
        <v>1</v>
      </c>
      <c r="M465" s="3" t="s">
        <v>18</v>
      </c>
      <c r="N465" s="3" t="s">
        <v>292</v>
      </c>
      <c r="O465" s="3" t="s">
        <v>733</v>
      </c>
      <c r="P465" s="3" t="s">
        <v>734</v>
      </c>
      <c r="Q465" s="30" t="str">
        <f t="shared" si="7"/>
        <v>MAX : 4.85
TARGET : 4.80
MIN : 4.75</v>
      </c>
    </row>
    <row r="466" spans="2:18" ht="41.4" x14ac:dyDescent="0.3">
      <c r="B466">
        <v>1</v>
      </c>
      <c r="C466" s="33">
        <v>4276</v>
      </c>
      <c r="D466" s="2">
        <v>920</v>
      </c>
      <c r="E466" s="2" t="s">
        <v>6923</v>
      </c>
      <c r="F466" s="29" t="s">
        <v>14211</v>
      </c>
      <c r="H466" s="3" t="s">
        <v>745</v>
      </c>
      <c r="K466" s="2">
        <v>10</v>
      </c>
      <c r="L466" s="2">
        <v>5</v>
      </c>
      <c r="M466" s="3" t="s">
        <v>563</v>
      </c>
      <c r="N466" s="3" t="s">
        <v>544</v>
      </c>
      <c r="O466" s="3" t="s">
        <v>545</v>
      </c>
      <c r="P466" s="3" t="s">
        <v>546</v>
      </c>
      <c r="Q466" s="30" t="str">
        <f t="shared" si="7"/>
        <v>MAX : .180
TARGET : .150
MIN : .120</v>
      </c>
      <c r="R466" s="3" t="s">
        <v>746</v>
      </c>
    </row>
    <row r="467" spans="2:18" ht="41.4" x14ac:dyDescent="0.3">
      <c r="B467">
        <v>1</v>
      </c>
      <c r="C467" s="33">
        <v>4276</v>
      </c>
      <c r="D467" s="2">
        <v>920</v>
      </c>
      <c r="E467" s="2" t="s">
        <v>6923</v>
      </c>
      <c r="F467" s="29" t="s">
        <v>14211</v>
      </c>
      <c r="H467" s="3" t="s">
        <v>745</v>
      </c>
      <c r="K467" s="2">
        <v>10</v>
      </c>
      <c r="L467" s="2">
        <v>3</v>
      </c>
      <c r="M467" s="3" t="s">
        <v>211</v>
      </c>
      <c r="N467" s="3" t="s">
        <v>212</v>
      </c>
      <c r="O467" s="3" t="s">
        <v>213</v>
      </c>
      <c r="P467" s="3" t="s">
        <v>214</v>
      </c>
      <c r="Q467" s="30" t="str">
        <f t="shared" si="7"/>
        <v>MAX : 6.005
TARGET : 6.000
MIN : 5.995</v>
      </c>
      <c r="R467" s="3" t="s">
        <v>746</v>
      </c>
    </row>
    <row r="468" spans="2:18" ht="41.4" x14ac:dyDescent="0.3">
      <c r="B468">
        <v>1</v>
      </c>
      <c r="C468" s="33">
        <v>4276</v>
      </c>
      <c r="D468" s="2">
        <v>920</v>
      </c>
      <c r="E468" s="2" t="s">
        <v>6923</v>
      </c>
      <c r="F468" s="29" t="s">
        <v>14211</v>
      </c>
      <c r="H468" s="3" t="s">
        <v>745</v>
      </c>
      <c r="K468" s="2">
        <v>10</v>
      </c>
      <c r="L468" s="2">
        <v>12</v>
      </c>
      <c r="M468" s="3" t="s">
        <v>567</v>
      </c>
      <c r="N468" s="3" t="s">
        <v>24</v>
      </c>
      <c r="O468" s="3" t="s">
        <v>25</v>
      </c>
      <c r="Q468" s="30" t="str">
        <f t="shared" si="7"/>
        <v>MAX : 
TARGET : Yes (Pass)
MIN : No (Fail)</v>
      </c>
      <c r="R468" s="3" t="s">
        <v>746</v>
      </c>
    </row>
    <row r="469" spans="2:18" ht="41.4" x14ac:dyDescent="0.3">
      <c r="B469">
        <v>1</v>
      </c>
      <c r="C469" s="33">
        <v>4276</v>
      </c>
      <c r="D469" s="2">
        <v>920</v>
      </c>
      <c r="E469" s="2" t="s">
        <v>6923</v>
      </c>
      <c r="F469" s="29" t="s">
        <v>14211</v>
      </c>
      <c r="H469" s="3" t="s">
        <v>745</v>
      </c>
      <c r="K469" s="2">
        <v>10</v>
      </c>
      <c r="L469" s="2">
        <v>11</v>
      </c>
      <c r="M469" s="3" t="s">
        <v>581</v>
      </c>
      <c r="O469" s="3" t="s">
        <v>24</v>
      </c>
      <c r="P469" s="3" t="s">
        <v>25</v>
      </c>
      <c r="Q469" s="30" t="str">
        <f t="shared" si="7"/>
        <v xml:space="preserve">MAX : Yes (Pass)
TARGET : No (Fail)
MIN : </v>
      </c>
      <c r="R469" s="3" t="s">
        <v>746</v>
      </c>
    </row>
    <row r="470" spans="2:18" ht="41.4" x14ac:dyDescent="0.3">
      <c r="B470">
        <v>1</v>
      </c>
      <c r="C470" s="33">
        <v>4276</v>
      </c>
      <c r="D470" s="2">
        <v>920</v>
      </c>
      <c r="E470" s="2" t="s">
        <v>6923</v>
      </c>
      <c r="F470" s="29" t="s">
        <v>14211</v>
      </c>
      <c r="H470" s="3" t="s">
        <v>745</v>
      </c>
      <c r="K470" s="2">
        <v>10</v>
      </c>
      <c r="L470" s="2">
        <v>1</v>
      </c>
      <c r="M470" s="3" t="s">
        <v>5805</v>
      </c>
      <c r="N470" s="3" t="s">
        <v>5528</v>
      </c>
      <c r="O470" s="3" t="s">
        <v>1344</v>
      </c>
      <c r="P470" s="3" t="s">
        <v>571</v>
      </c>
      <c r="Q470" s="30" t="str">
        <f t="shared" si="7"/>
        <v>MAX : 0.345
TARGET : 0.340
MIN : 0.335</v>
      </c>
      <c r="R470" s="3" t="s">
        <v>746</v>
      </c>
    </row>
    <row r="471" spans="2:18" ht="41.4" x14ac:dyDescent="0.3">
      <c r="B471">
        <v>1</v>
      </c>
      <c r="C471" s="33">
        <v>4398</v>
      </c>
      <c r="D471" s="2">
        <v>921</v>
      </c>
      <c r="E471" s="2" t="s">
        <v>6930</v>
      </c>
      <c r="F471" s="3" t="s">
        <v>14206</v>
      </c>
      <c r="H471" s="3" t="s">
        <v>738</v>
      </c>
      <c r="K471" s="2">
        <v>10</v>
      </c>
      <c r="L471" s="2">
        <v>2</v>
      </c>
      <c r="M471" s="3" t="s">
        <v>740</v>
      </c>
      <c r="N471" s="3" t="s">
        <v>741</v>
      </c>
      <c r="O471" s="3" t="s">
        <v>742</v>
      </c>
      <c r="P471" s="3" t="s">
        <v>743</v>
      </c>
      <c r="Q471" s="30" t="str">
        <f t="shared" si="7"/>
        <v>MAX : 3.175
TARGET : 3.125
MIN : 3.075</v>
      </c>
    </row>
    <row r="472" spans="2:18" ht="41.4" x14ac:dyDescent="0.3">
      <c r="B472">
        <v>1</v>
      </c>
      <c r="C472" s="33">
        <v>4398</v>
      </c>
      <c r="D472" s="2">
        <v>921</v>
      </c>
      <c r="E472" s="2" t="s">
        <v>6930</v>
      </c>
      <c r="F472" s="3" t="s">
        <v>14206</v>
      </c>
      <c r="H472" s="3" t="s">
        <v>738</v>
      </c>
      <c r="K472" s="2">
        <v>10</v>
      </c>
      <c r="L472" s="2">
        <v>1</v>
      </c>
      <c r="M472" s="3" t="s">
        <v>739</v>
      </c>
      <c r="N472" s="3" t="s">
        <v>24</v>
      </c>
      <c r="O472" s="3" t="s">
        <v>25</v>
      </c>
      <c r="Q472" s="30" t="str">
        <f t="shared" si="7"/>
        <v>MAX : 
TARGET : Yes (Pass)
MIN : No (Fail)</v>
      </c>
    </row>
    <row r="473" spans="2:18" ht="41.4" x14ac:dyDescent="0.3">
      <c r="B473">
        <v>1</v>
      </c>
      <c r="C473" s="33">
        <v>4467</v>
      </c>
      <c r="D473" s="2">
        <v>922</v>
      </c>
      <c r="E473" s="2" t="s">
        <v>6938</v>
      </c>
      <c r="F473" s="3" t="s">
        <v>14206</v>
      </c>
      <c r="H473" s="3" t="s">
        <v>747</v>
      </c>
      <c r="K473" s="2">
        <v>20</v>
      </c>
      <c r="L473" s="2">
        <v>2</v>
      </c>
      <c r="M473" s="3" t="s">
        <v>198</v>
      </c>
      <c r="N473" s="3" t="s">
        <v>750</v>
      </c>
      <c r="O473" s="3" t="s">
        <v>751</v>
      </c>
      <c r="P473" s="3" t="s">
        <v>752</v>
      </c>
      <c r="Q473" s="30" t="str">
        <f t="shared" si="7"/>
        <v>MAX : 1.72
TARGET : 1.69
MIN : 1.66</v>
      </c>
      <c r="R473" s="3" t="s">
        <v>443</v>
      </c>
    </row>
    <row r="474" spans="2:18" ht="41.4" x14ac:dyDescent="0.3">
      <c r="B474">
        <v>1</v>
      </c>
      <c r="C474" s="33">
        <v>4467</v>
      </c>
      <c r="D474" s="2">
        <v>922</v>
      </c>
      <c r="E474" s="2" t="s">
        <v>6938</v>
      </c>
      <c r="F474" s="3" t="s">
        <v>14206</v>
      </c>
      <c r="H474" s="3" t="s">
        <v>747</v>
      </c>
      <c r="K474" s="2">
        <v>20</v>
      </c>
      <c r="L474" s="2">
        <v>1</v>
      </c>
      <c r="M474" s="3" t="s">
        <v>194</v>
      </c>
      <c r="N474" s="3" t="s">
        <v>748</v>
      </c>
      <c r="O474" s="3" t="s">
        <v>749</v>
      </c>
      <c r="P474" s="3" t="s">
        <v>343</v>
      </c>
      <c r="Q474" s="30" t="str">
        <f t="shared" si="7"/>
        <v>MAX : 2.04
TARGET : 2.01
MIN : 1.98</v>
      </c>
      <c r="R474" s="3" t="s">
        <v>443</v>
      </c>
    </row>
    <row r="475" spans="2:18" ht="41.4" x14ac:dyDescent="0.3">
      <c r="B475">
        <v>1</v>
      </c>
      <c r="C475" s="33">
        <v>4494</v>
      </c>
      <c r="D475" s="2">
        <v>923</v>
      </c>
      <c r="E475" s="2" t="s">
        <v>6945</v>
      </c>
      <c r="F475" s="3" t="s">
        <v>14206</v>
      </c>
      <c r="H475" s="3" t="s">
        <v>612</v>
      </c>
      <c r="K475" s="2">
        <v>10</v>
      </c>
      <c r="L475" s="2">
        <v>2</v>
      </c>
      <c r="M475" s="3" t="s">
        <v>756</v>
      </c>
      <c r="N475" s="3" t="s">
        <v>757</v>
      </c>
      <c r="O475" s="3" t="s">
        <v>101</v>
      </c>
      <c r="P475" s="3" t="s">
        <v>758</v>
      </c>
      <c r="Q475" s="30" t="str">
        <f t="shared" si="7"/>
        <v>MAX : 0.675
TARGET : 0.625
MIN : 0.565</v>
      </c>
    </row>
    <row r="476" spans="2:18" ht="41.4" x14ac:dyDescent="0.3">
      <c r="B476">
        <v>0</v>
      </c>
      <c r="C476" s="33">
        <v>5017</v>
      </c>
      <c r="D476" s="2">
        <v>1745</v>
      </c>
      <c r="E476" s="2" t="s">
        <v>7161</v>
      </c>
      <c r="F476" s="3" t="s">
        <v>14206</v>
      </c>
      <c r="H476" s="3" t="s">
        <v>882</v>
      </c>
      <c r="K476" s="2">
        <v>10</v>
      </c>
      <c r="L476" s="2">
        <v>3</v>
      </c>
      <c r="M476" s="3" t="s">
        <v>886</v>
      </c>
      <c r="N476" s="3" t="s">
        <v>887</v>
      </c>
      <c r="O476" s="3" t="s">
        <v>272</v>
      </c>
      <c r="P476" s="3" t="s">
        <v>507</v>
      </c>
      <c r="Q476" s="30" t="str">
        <f t="shared" si="7"/>
        <v>MAX : 1.06
TARGET : 1.00
MIN : 0.93</v>
      </c>
    </row>
    <row r="477" spans="2:18" ht="41.4" x14ac:dyDescent="0.3">
      <c r="B477">
        <v>1</v>
      </c>
      <c r="C477" s="33">
        <v>4494</v>
      </c>
      <c r="D477" s="2">
        <v>923</v>
      </c>
      <c r="E477" s="2" t="s">
        <v>6945</v>
      </c>
      <c r="F477" s="3" t="s">
        <v>14206</v>
      </c>
      <c r="H477" s="3" t="s">
        <v>612</v>
      </c>
      <c r="K477" s="2">
        <v>10</v>
      </c>
      <c r="L477" s="2">
        <v>1</v>
      </c>
      <c r="M477" s="3" t="s">
        <v>755</v>
      </c>
      <c r="N477" s="3" t="s">
        <v>717</v>
      </c>
      <c r="O477" s="3" t="s">
        <v>241</v>
      </c>
      <c r="P477" s="3" t="s">
        <v>718</v>
      </c>
      <c r="Q477" s="30" t="str">
        <f t="shared" si="7"/>
        <v>MAX : 0.185
TARGET : 0.125
MIN : 0.065</v>
      </c>
    </row>
    <row r="478" spans="2:18" ht="41.4" x14ac:dyDescent="0.3">
      <c r="B478">
        <v>1</v>
      </c>
      <c r="C478" s="33">
        <v>4516</v>
      </c>
      <c r="D478" s="2">
        <v>1730</v>
      </c>
      <c r="E478" s="2" t="s">
        <v>6952</v>
      </c>
      <c r="F478" s="3" t="s">
        <v>14206</v>
      </c>
      <c r="H478" s="3" t="s">
        <v>762</v>
      </c>
      <c r="K478" s="2">
        <v>10</v>
      </c>
      <c r="L478" s="2">
        <v>1</v>
      </c>
      <c r="M478" s="3" t="s">
        <v>763</v>
      </c>
      <c r="N478" s="3" t="s">
        <v>27</v>
      </c>
      <c r="O478" s="3" t="s">
        <v>28</v>
      </c>
      <c r="P478" s="3" t="s">
        <v>29</v>
      </c>
      <c r="Q478" s="30" t="str">
        <f t="shared" si="7"/>
        <v>MAX : 1.53
TARGET : 1.50
MIN : 1.47</v>
      </c>
      <c r="R478" s="3" t="s">
        <v>764</v>
      </c>
    </row>
    <row r="479" spans="2:18" ht="41.4" x14ac:dyDescent="0.3">
      <c r="B479">
        <v>1</v>
      </c>
      <c r="C479" s="33">
        <v>4534</v>
      </c>
      <c r="D479" s="2">
        <v>1731</v>
      </c>
      <c r="E479" s="2" t="s">
        <v>6958</v>
      </c>
      <c r="F479" s="3" t="s">
        <v>14206</v>
      </c>
      <c r="H479" s="3" t="s">
        <v>11</v>
      </c>
      <c r="K479" s="2">
        <v>10</v>
      </c>
      <c r="L479" s="2">
        <v>1</v>
      </c>
      <c r="M479" s="3" t="s">
        <v>765</v>
      </c>
      <c r="N479" s="3" t="s">
        <v>24</v>
      </c>
      <c r="O479" s="3" t="s">
        <v>25</v>
      </c>
      <c r="Q479" s="30" t="str">
        <f t="shared" si="7"/>
        <v>MAX : 
TARGET : Yes (Pass)
MIN : No (Fail)</v>
      </c>
    </row>
    <row r="480" spans="2:18" ht="41.4" x14ac:dyDescent="0.3">
      <c r="B480">
        <v>1</v>
      </c>
      <c r="C480" s="33">
        <v>4538</v>
      </c>
      <c r="D480" s="2">
        <v>924</v>
      </c>
      <c r="E480" s="2" t="s">
        <v>6963</v>
      </c>
      <c r="F480" s="3" t="s">
        <v>14206</v>
      </c>
      <c r="H480" s="3" t="s">
        <v>612</v>
      </c>
      <c r="K480" s="2">
        <v>10</v>
      </c>
      <c r="L480" s="2">
        <v>2</v>
      </c>
      <c r="M480" s="3" t="s">
        <v>194</v>
      </c>
      <c r="N480" s="3" t="s">
        <v>769</v>
      </c>
      <c r="O480" s="3" t="s">
        <v>309</v>
      </c>
      <c r="P480" s="3" t="s">
        <v>264</v>
      </c>
      <c r="Q480" s="30" t="str">
        <f t="shared" si="7"/>
        <v>MAX : 0.52
TARGET : 0.50
MIN : 0.48</v>
      </c>
    </row>
    <row r="481" spans="2:17" ht="41.4" x14ac:dyDescent="0.3">
      <c r="B481">
        <v>0</v>
      </c>
      <c r="C481" s="33">
        <v>5026</v>
      </c>
      <c r="D481" s="2">
        <v>1747</v>
      </c>
      <c r="E481" s="2" t="s">
        <v>7175</v>
      </c>
      <c r="F481" s="3" t="s">
        <v>14206</v>
      </c>
      <c r="H481" s="3" t="s">
        <v>888</v>
      </c>
      <c r="K481" s="2">
        <v>10</v>
      </c>
      <c r="L481" s="2">
        <v>3</v>
      </c>
      <c r="M481" s="3" t="s">
        <v>37</v>
      </c>
      <c r="O481" s="3" t="s">
        <v>38</v>
      </c>
      <c r="P481" s="3" t="s">
        <v>39</v>
      </c>
      <c r="Q481" s="30" t="str">
        <f t="shared" si="7"/>
        <v xml:space="preserve">MAX : Yes(Fail)
TARGET : No(Pass)
MIN : </v>
      </c>
    </row>
    <row r="482" spans="2:17" ht="41.4" x14ac:dyDescent="0.3">
      <c r="B482">
        <v>0</v>
      </c>
      <c r="C482" s="33">
        <v>5026</v>
      </c>
      <c r="D482" s="2">
        <v>1747</v>
      </c>
      <c r="E482" s="2" t="s">
        <v>7175</v>
      </c>
      <c r="F482" s="3" t="s">
        <v>14206</v>
      </c>
      <c r="H482" s="3" t="s">
        <v>888</v>
      </c>
      <c r="K482" s="2">
        <v>10</v>
      </c>
      <c r="L482" s="2">
        <v>4</v>
      </c>
      <c r="M482" s="3" t="s">
        <v>889</v>
      </c>
      <c r="N482" s="3" t="s">
        <v>13</v>
      </c>
      <c r="O482" s="3" t="s">
        <v>14</v>
      </c>
      <c r="Q482" s="30" t="str">
        <f t="shared" si="7"/>
        <v>MAX : 
TARGET : Yes(Pass)
MIN : No(Fail)</v>
      </c>
    </row>
    <row r="483" spans="2:17" ht="41.4" x14ac:dyDescent="0.3">
      <c r="B483">
        <v>0</v>
      </c>
      <c r="C483" s="33">
        <v>5026</v>
      </c>
      <c r="D483" s="2">
        <v>1747</v>
      </c>
      <c r="E483" s="2" t="s">
        <v>7175</v>
      </c>
      <c r="F483" s="3" t="s">
        <v>14206</v>
      </c>
      <c r="H483" s="3" t="s">
        <v>888</v>
      </c>
      <c r="K483" s="2">
        <v>10</v>
      </c>
      <c r="L483" s="2">
        <v>5</v>
      </c>
      <c r="M483" s="3" t="s">
        <v>890</v>
      </c>
      <c r="N483" s="3" t="s">
        <v>13</v>
      </c>
      <c r="O483" s="3" t="s">
        <v>14</v>
      </c>
      <c r="Q483" s="30" t="str">
        <f t="shared" si="7"/>
        <v>MAX : 
TARGET : Yes(Pass)
MIN : No(Fail)</v>
      </c>
    </row>
    <row r="484" spans="2:17" ht="41.4" x14ac:dyDescent="0.3">
      <c r="B484">
        <v>1</v>
      </c>
      <c r="C484" s="33">
        <v>4538</v>
      </c>
      <c r="D484" s="2">
        <v>924</v>
      </c>
      <c r="E484" s="2" t="s">
        <v>6963</v>
      </c>
      <c r="F484" s="3" t="s">
        <v>14206</v>
      </c>
      <c r="H484" s="3" t="s">
        <v>612</v>
      </c>
      <c r="K484" s="2">
        <v>10</v>
      </c>
      <c r="L484" s="2">
        <v>1</v>
      </c>
      <c r="M484" s="3" t="s">
        <v>198</v>
      </c>
      <c r="N484" s="3" t="s">
        <v>766</v>
      </c>
      <c r="O484" s="3" t="s">
        <v>767</v>
      </c>
      <c r="P484" s="3" t="s">
        <v>768</v>
      </c>
      <c r="Q484" s="30" t="str">
        <f t="shared" si="7"/>
        <v>MAX : 3.96
TARGET : 3.94
MIN : 3.92</v>
      </c>
    </row>
    <row r="485" spans="2:17" ht="41.4" x14ac:dyDescent="0.3">
      <c r="B485">
        <v>1</v>
      </c>
      <c r="C485" s="33">
        <v>4543</v>
      </c>
      <c r="D485" s="2">
        <v>1732</v>
      </c>
      <c r="E485" s="2" t="s">
        <v>6969</v>
      </c>
      <c r="F485" s="3" t="s">
        <v>14207</v>
      </c>
      <c r="H485" s="3" t="s">
        <v>172</v>
      </c>
      <c r="K485" s="2">
        <v>10</v>
      </c>
      <c r="L485" s="2">
        <v>3</v>
      </c>
      <c r="M485" s="3" t="s">
        <v>227</v>
      </c>
      <c r="N485" s="3" t="s">
        <v>24</v>
      </c>
      <c r="O485" s="3" t="s">
        <v>25</v>
      </c>
      <c r="Q485" s="30" t="str">
        <f t="shared" si="7"/>
        <v>MAX : 
TARGET : Yes (Pass)
MIN : No (Fail)</v>
      </c>
    </row>
    <row r="486" spans="2:17" ht="41.4" x14ac:dyDescent="0.3">
      <c r="B486">
        <v>0</v>
      </c>
      <c r="C486" s="33">
        <v>5027</v>
      </c>
      <c r="D486" s="2">
        <v>1748</v>
      </c>
      <c r="E486" s="2" t="s">
        <v>7182</v>
      </c>
      <c r="F486" s="3" t="s">
        <v>14207</v>
      </c>
      <c r="H486" s="3" t="s">
        <v>11</v>
      </c>
      <c r="K486" s="2">
        <v>10</v>
      </c>
      <c r="L486" s="2">
        <v>3</v>
      </c>
      <c r="M486" s="3" t="s">
        <v>37</v>
      </c>
      <c r="O486" s="3" t="s">
        <v>38</v>
      </c>
      <c r="P486" s="3" t="s">
        <v>39</v>
      </c>
      <c r="Q486" s="30" t="str">
        <f t="shared" si="7"/>
        <v xml:space="preserve">MAX : Yes(Fail)
TARGET : No(Pass)
MIN : </v>
      </c>
    </row>
    <row r="487" spans="2:17" ht="41.4" x14ac:dyDescent="0.3">
      <c r="B487">
        <v>0</v>
      </c>
      <c r="C487" s="33">
        <v>5027</v>
      </c>
      <c r="D487" s="2">
        <v>1748</v>
      </c>
      <c r="E487" s="2" t="s">
        <v>7182</v>
      </c>
      <c r="F487" s="3" t="s">
        <v>14207</v>
      </c>
      <c r="H487" s="3" t="s">
        <v>11</v>
      </c>
      <c r="K487" s="2">
        <v>10</v>
      </c>
      <c r="L487" s="2">
        <v>4</v>
      </c>
      <c r="M487" s="3" t="s">
        <v>40</v>
      </c>
      <c r="N487" s="3" t="s">
        <v>13</v>
      </c>
      <c r="O487" s="3" t="s">
        <v>14</v>
      </c>
      <c r="Q487" s="30" t="str">
        <f t="shared" si="7"/>
        <v>MAX : 
TARGET : Yes(Pass)
MIN : No(Fail)</v>
      </c>
    </row>
    <row r="488" spans="2:17" ht="41.4" x14ac:dyDescent="0.3">
      <c r="B488">
        <v>0</v>
      </c>
      <c r="C488" s="33">
        <v>5027</v>
      </c>
      <c r="D488" s="2">
        <v>1748</v>
      </c>
      <c r="E488" s="2" t="s">
        <v>7182</v>
      </c>
      <c r="F488" s="3" t="s">
        <v>14207</v>
      </c>
      <c r="H488" s="3" t="s">
        <v>11</v>
      </c>
      <c r="K488" s="2">
        <v>10</v>
      </c>
      <c r="L488" s="2">
        <v>5</v>
      </c>
      <c r="M488" s="3" t="s">
        <v>890</v>
      </c>
      <c r="N488" s="3" t="s">
        <v>13</v>
      </c>
      <c r="O488" s="3" t="s">
        <v>14</v>
      </c>
      <c r="Q488" s="30" t="str">
        <f t="shared" si="7"/>
        <v>MAX : 
TARGET : Yes(Pass)
MIN : No(Fail)</v>
      </c>
    </row>
    <row r="489" spans="2:17" ht="41.4" x14ac:dyDescent="0.3">
      <c r="B489">
        <v>1</v>
      </c>
      <c r="C489" s="33">
        <v>4543</v>
      </c>
      <c r="D489" s="2">
        <v>1732</v>
      </c>
      <c r="E489" s="2" t="s">
        <v>6969</v>
      </c>
      <c r="F489" s="3" t="s">
        <v>14207</v>
      </c>
      <c r="H489" s="3" t="s">
        <v>172</v>
      </c>
      <c r="K489" s="2">
        <v>10</v>
      </c>
      <c r="L489" s="2">
        <v>1</v>
      </c>
      <c r="M489" s="3" t="s">
        <v>174</v>
      </c>
      <c r="N489" s="3" t="s">
        <v>778</v>
      </c>
      <c r="O489" s="3" t="s">
        <v>779</v>
      </c>
      <c r="P489" s="3" t="s">
        <v>780</v>
      </c>
      <c r="Q489" s="30" t="str">
        <f t="shared" si="7"/>
        <v>MAX : 14.5
TARGET : 12.5
MIN : 10.5</v>
      </c>
    </row>
    <row r="490" spans="2:17" ht="41.4" x14ac:dyDescent="0.3">
      <c r="B490">
        <v>1</v>
      </c>
      <c r="C490" s="33">
        <v>4543</v>
      </c>
      <c r="D490" s="2">
        <v>1732</v>
      </c>
      <c r="E490" s="2" t="s">
        <v>6969</v>
      </c>
      <c r="F490" s="3" t="s">
        <v>14207</v>
      </c>
      <c r="H490" s="3" t="s">
        <v>172</v>
      </c>
      <c r="K490" s="2">
        <v>10</v>
      </c>
      <c r="L490" s="2">
        <v>4</v>
      </c>
      <c r="M490" s="3" t="s">
        <v>178</v>
      </c>
      <c r="N490" s="3" t="s">
        <v>24</v>
      </c>
      <c r="O490" s="3" t="s">
        <v>25</v>
      </c>
      <c r="Q490" s="30" t="str">
        <f t="shared" si="7"/>
        <v>MAX : 
TARGET : Yes (Pass)
MIN : No (Fail)</v>
      </c>
    </row>
    <row r="491" spans="2:17" ht="41.4" x14ac:dyDescent="0.3">
      <c r="B491">
        <v>1</v>
      </c>
      <c r="C491" s="33">
        <v>4554</v>
      </c>
      <c r="D491" s="2">
        <v>1733</v>
      </c>
      <c r="E491" s="2" t="s">
        <v>6976</v>
      </c>
      <c r="F491" s="3" t="s">
        <v>14214</v>
      </c>
      <c r="H491" s="3" t="s">
        <v>11</v>
      </c>
      <c r="K491" s="2">
        <v>10</v>
      </c>
      <c r="L491" s="2">
        <v>1</v>
      </c>
      <c r="M491" s="3" t="s">
        <v>756</v>
      </c>
      <c r="N491" s="3" t="s">
        <v>649</v>
      </c>
      <c r="O491" s="3" t="s">
        <v>650</v>
      </c>
      <c r="P491" s="3" t="s">
        <v>651</v>
      </c>
      <c r="Q491" s="30" t="str">
        <f t="shared" si="7"/>
        <v>MAX : 12.125
TARGET : 12.000
MIN : 11.875</v>
      </c>
    </row>
    <row r="492" spans="2:17" ht="41.4" x14ac:dyDescent="0.3">
      <c r="B492">
        <v>1</v>
      </c>
      <c r="C492" s="33">
        <v>4554</v>
      </c>
      <c r="D492" s="2">
        <v>1733</v>
      </c>
      <c r="E492" s="2" t="s">
        <v>6976</v>
      </c>
      <c r="F492" s="3" t="s">
        <v>14214</v>
      </c>
      <c r="H492" s="3" t="s">
        <v>11</v>
      </c>
      <c r="K492" s="2">
        <v>20</v>
      </c>
      <c r="L492" s="2">
        <v>1</v>
      </c>
      <c r="M492" s="3" t="s">
        <v>800</v>
      </c>
      <c r="N492" s="3" t="s">
        <v>801</v>
      </c>
      <c r="O492" s="3" t="s">
        <v>802</v>
      </c>
      <c r="P492" s="3" t="s">
        <v>803</v>
      </c>
      <c r="Q492" s="30" t="str">
        <f t="shared" si="7"/>
        <v>MAX : 24.125
TARGET : 24.000
MIN : 23.875</v>
      </c>
    </row>
    <row r="493" spans="2:17" ht="41.4" x14ac:dyDescent="0.3">
      <c r="B493">
        <v>0</v>
      </c>
      <c r="C493" s="33">
        <v>5108</v>
      </c>
      <c r="D493" s="2">
        <v>940</v>
      </c>
      <c r="E493" s="2" t="s">
        <v>7202</v>
      </c>
      <c r="F493" s="3" t="s">
        <v>14206</v>
      </c>
      <c r="H493" s="3" t="s">
        <v>899</v>
      </c>
      <c r="K493" s="2">
        <v>10</v>
      </c>
      <c r="L493" s="2">
        <v>6</v>
      </c>
      <c r="M493" s="3" t="s">
        <v>902</v>
      </c>
      <c r="Q493" s="30" t="str">
        <f t="shared" si="7"/>
        <v xml:space="preserve">MAX : 
TARGET : 
MIN : </v>
      </c>
    </row>
    <row r="494" spans="2:17" ht="41.4" x14ac:dyDescent="0.3">
      <c r="B494">
        <v>0</v>
      </c>
      <c r="C494" s="33">
        <v>5108</v>
      </c>
      <c r="D494" s="2">
        <v>940</v>
      </c>
      <c r="E494" s="2" t="s">
        <v>7202</v>
      </c>
      <c r="F494" s="3" t="s">
        <v>14206</v>
      </c>
      <c r="H494" s="3" t="s">
        <v>899</v>
      </c>
      <c r="K494" s="2">
        <v>10</v>
      </c>
      <c r="L494" s="2">
        <v>5</v>
      </c>
      <c r="M494" s="3" t="s">
        <v>903</v>
      </c>
      <c r="Q494" s="30" t="str">
        <f t="shared" si="7"/>
        <v xml:space="preserve">MAX : 
TARGET : 
MIN : </v>
      </c>
    </row>
    <row r="495" spans="2:17" ht="41.4" x14ac:dyDescent="0.3">
      <c r="B495">
        <v>1</v>
      </c>
      <c r="C495" s="33">
        <v>4556</v>
      </c>
      <c r="D495" s="2">
        <v>1734</v>
      </c>
      <c r="E495" s="2" t="s">
        <v>6984</v>
      </c>
      <c r="F495" s="3" t="s">
        <v>14206</v>
      </c>
      <c r="H495" s="3" t="s">
        <v>66</v>
      </c>
      <c r="K495" s="2">
        <v>20</v>
      </c>
      <c r="L495" s="2">
        <v>2</v>
      </c>
      <c r="M495" s="3" t="s">
        <v>783</v>
      </c>
      <c r="N495" s="3" t="s">
        <v>784</v>
      </c>
      <c r="O495" s="3" t="s">
        <v>309</v>
      </c>
      <c r="P495" s="3" t="s">
        <v>785</v>
      </c>
      <c r="Q495" s="30" t="str">
        <f t="shared" si="7"/>
        <v>MAX : 0.55
TARGET : 0.50
MIN : 0.45</v>
      </c>
    </row>
    <row r="496" spans="2:17" ht="41.4" x14ac:dyDescent="0.3">
      <c r="B496">
        <v>1</v>
      </c>
      <c r="C496" s="33">
        <v>4556</v>
      </c>
      <c r="D496" s="2">
        <v>1734</v>
      </c>
      <c r="E496" s="2" t="s">
        <v>6984</v>
      </c>
      <c r="F496" s="3" t="s">
        <v>14206</v>
      </c>
      <c r="H496" s="3" t="s">
        <v>66</v>
      </c>
      <c r="K496" s="2">
        <v>20</v>
      </c>
      <c r="L496" s="2">
        <v>1</v>
      </c>
      <c r="M496" s="3" t="s">
        <v>782</v>
      </c>
      <c r="N496" s="3" t="s">
        <v>405</v>
      </c>
      <c r="O496" s="3" t="s">
        <v>406</v>
      </c>
      <c r="P496" s="3" t="s">
        <v>407</v>
      </c>
      <c r="Q496" s="30" t="str">
        <f t="shared" si="7"/>
        <v>MAX : 2.06
TARGET : 2.00
MIN : 1.94</v>
      </c>
    </row>
    <row r="497" spans="2:18" ht="41.4" x14ac:dyDescent="0.3">
      <c r="B497">
        <v>0</v>
      </c>
      <c r="C497" s="33">
        <v>5158</v>
      </c>
      <c r="D497" s="2">
        <v>941</v>
      </c>
      <c r="E497" s="2" t="s">
        <v>7223</v>
      </c>
      <c r="F497" s="3" t="s">
        <v>14206</v>
      </c>
      <c r="H497" s="3" t="s">
        <v>648</v>
      </c>
      <c r="K497" s="2">
        <v>10</v>
      </c>
      <c r="L497" s="2">
        <v>3</v>
      </c>
      <c r="M497" s="3" t="s">
        <v>911</v>
      </c>
      <c r="N497" s="3" t="s">
        <v>912</v>
      </c>
      <c r="O497" s="3" t="s">
        <v>913</v>
      </c>
      <c r="P497" s="3" t="s">
        <v>914</v>
      </c>
      <c r="Q497" s="30" t="str">
        <f t="shared" si="7"/>
        <v>MAX : 2.880
TARGET : 2.820
MIN : 2.760</v>
      </c>
    </row>
    <row r="498" spans="2:18" ht="41.4" x14ac:dyDescent="0.3">
      <c r="B498">
        <v>0</v>
      </c>
      <c r="C498" s="33">
        <v>5158</v>
      </c>
      <c r="D498" s="2">
        <v>941</v>
      </c>
      <c r="E498" s="2" t="s">
        <v>7223</v>
      </c>
      <c r="F498" s="3" t="s">
        <v>14206</v>
      </c>
      <c r="H498" s="3" t="s">
        <v>648</v>
      </c>
      <c r="K498" s="2">
        <v>10</v>
      </c>
      <c r="L498" s="2">
        <v>4</v>
      </c>
      <c r="M498" s="3" t="s">
        <v>915</v>
      </c>
      <c r="N498" s="3" t="s">
        <v>13</v>
      </c>
      <c r="O498" s="3" t="s">
        <v>14</v>
      </c>
      <c r="Q498" s="30" t="str">
        <f t="shared" si="7"/>
        <v>MAX : 
TARGET : Yes(Pass)
MIN : No(Fail)</v>
      </c>
    </row>
    <row r="499" spans="2:18" ht="41.4" x14ac:dyDescent="0.3">
      <c r="B499">
        <v>0</v>
      </c>
      <c r="C499" s="33">
        <v>5158</v>
      </c>
      <c r="D499" s="2">
        <v>941</v>
      </c>
      <c r="E499" s="2" t="s">
        <v>7223</v>
      </c>
      <c r="F499" s="3" t="s">
        <v>14206</v>
      </c>
      <c r="H499" s="3" t="s">
        <v>648</v>
      </c>
      <c r="K499" s="2">
        <v>10</v>
      </c>
      <c r="L499" s="2">
        <v>5</v>
      </c>
      <c r="M499" s="3" t="s">
        <v>916</v>
      </c>
      <c r="N499" s="3" t="s">
        <v>13</v>
      </c>
      <c r="O499" s="3" t="s">
        <v>14</v>
      </c>
      <c r="Q499" s="30" t="str">
        <f t="shared" si="7"/>
        <v>MAX : 
TARGET : Yes(Pass)
MIN : No(Fail)</v>
      </c>
    </row>
    <row r="500" spans="2:18" ht="41.4" x14ac:dyDescent="0.3">
      <c r="B500">
        <v>1</v>
      </c>
      <c r="C500" s="33">
        <v>4557</v>
      </c>
      <c r="D500" s="2">
        <v>1735</v>
      </c>
      <c r="E500" s="2" t="s">
        <v>6992</v>
      </c>
      <c r="F500" s="3" t="s">
        <v>14206</v>
      </c>
      <c r="H500" s="3" t="s">
        <v>66</v>
      </c>
      <c r="K500" s="2">
        <v>20</v>
      </c>
      <c r="L500" s="2">
        <v>2</v>
      </c>
      <c r="M500" s="3" t="s">
        <v>783</v>
      </c>
      <c r="N500" s="3" t="s">
        <v>784</v>
      </c>
      <c r="O500" s="3" t="s">
        <v>309</v>
      </c>
      <c r="P500" s="3" t="s">
        <v>785</v>
      </c>
      <c r="Q500" s="30" t="str">
        <f t="shared" si="7"/>
        <v>MAX : 0.55
TARGET : 0.50
MIN : 0.45</v>
      </c>
    </row>
    <row r="501" spans="2:18" ht="41.4" x14ac:dyDescent="0.3">
      <c r="B501">
        <v>1</v>
      </c>
      <c r="C501" s="33">
        <v>4557</v>
      </c>
      <c r="D501" s="2">
        <v>1735</v>
      </c>
      <c r="E501" s="2" t="s">
        <v>6992</v>
      </c>
      <c r="F501" s="3" t="s">
        <v>14206</v>
      </c>
      <c r="H501" s="3" t="s">
        <v>66</v>
      </c>
      <c r="K501" s="2">
        <v>20</v>
      </c>
      <c r="L501" s="2">
        <v>1</v>
      </c>
      <c r="M501" s="3" t="s">
        <v>782</v>
      </c>
      <c r="N501" s="3" t="s">
        <v>405</v>
      </c>
      <c r="O501" s="3" t="s">
        <v>406</v>
      </c>
      <c r="P501" s="3" t="s">
        <v>407</v>
      </c>
      <c r="Q501" s="30" t="str">
        <f t="shared" si="7"/>
        <v>MAX : 2.06
TARGET : 2.00
MIN : 1.94</v>
      </c>
    </row>
    <row r="502" spans="2:18" ht="41.4" x14ac:dyDescent="0.3">
      <c r="B502">
        <v>0</v>
      </c>
      <c r="C502" s="33">
        <v>5169</v>
      </c>
      <c r="D502" s="2">
        <v>1753</v>
      </c>
      <c r="E502" s="2" t="s">
        <v>7237</v>
      </c>
      <c r="F502" s="3" t="s">
        <v>14206</v>
      </c>
      <c r="H502" s="3" t="s">
        <v>917</v>
      </c>
      <c r="K502" s="2">
        <v>20</v>
      </c>
      <c r="L502" s="2">
        <v>3</v>
      </c>
      <c r="M502" s="3" t="s">
        <v>921</v>
      </c>
      <c r="N502" s="3" t="s">
        <v>13</v>
      </c>
      <c r="O502" s="3" t="s">
        <v>14</v>
      </c>
      <c r="Q502" s="30" t="str">
        <f t="shared" si="7"/>
        <v>MAX : 
TARGET : Yes(Pass)
MIN : No(Fail)</v>
      </c>
    </row>
    <row r="503" spans="2:18" ht="41.4" x14ac:dyDescent="0.3">
      <c r="B503">
        <v>1</v>
      </c>
      <c r="C503" s="33">
        <v>4597</v>
      </c>
      <c r="D503" s="2">
        <v>1736</v>
      </c>
      <c r="E503" s="2" t="s">
        <v>7000</v>
      </c>
      <c r="F503" s="3" t="s">
        <v>14206</v>
      </c>
      <c r="H503" s="3" t="s">
        <v>491</v>
      </c>
      <c r="K503" s="2">
        <v>10</v>
      </c>
      <c r="L503" s="2">
        <v>2</v>
      </c>
      <c r="M503" s="3" t="s">
        <v>611</v>
      </c>
      <c r="N503" s="3" t="s">
        <v>13</v>
      </c>
      <c r="O503" s="3" t="s">
        <v>14</v>
      </c>
      <c r="Q503" s="30" t="str">
        <f t="shared" si="7"/>
        <v>MAX : 
TARGET : Yes(Pass)
MIN : No(Fail)</v>
      </c>
    </row>
    <row r="504" spans="2:18" ht="41.4" x14ac:dyDescent="0.3">
      <c r="B504">
        <v>1</v>
      </c>
      <c r="C504" s="33">
        <v>4597</v>
      </c>
      <c r="D504" s="2">
        <v>1736</v>
      </c>
      <c r="E504" s="2" t="s">
        <v>7000</v>
      </c>
      <c r="F504" s="3" t="s">
        <v>14206</v>
      </c>
      <c r="H504" s="3" t="s">
        <v>491</v>
      </c>
      <c r="K504" s="2">
        <v>10</v>
      </c>
      <c r="L504" s="2">
        <v>1</v>
      </c>
      <c r="M504" s="3" t="s">
        <v>788</v>
      </c>
      <c r="N504" s="3" t="s">
        <v>789</v>
      </c>
      <c r="O504" s="3" t="s">
        <v>790</v>
      </c>
      <c r="P504" s="3" t="s">
        <v>791</v>
      </c>
      <c r="Q504" s="30" t="str">
        <f t="shared" si="7"/>
        <v>MAX : 2.30
TARGET : 2.25
MIN : 2.20</v>
      </c>
    </row>
    <row r="505" spans="2:18" ht="41.4" x14ac:dyDescent="0.3">
      <c r="B505">
        <v>0</v>
      </c>
      <c r="C505" s="33">
        <v>5182</v>
      </c>
      <c r="D505" s="2">
        <v>943</v>
      </c>
      <c r="E505" s="2" t="s">
        <v>7244</v>
      </c>
      <c r="F505" s="3" t="s">
        <v>14206</v>
      </c>
      <c r="H505" s="3" t="s">
        <v>922</v>
      </c>
      <c r="K505" s="2">
        <v>10</v>
      </c>
      <c r="L505" s="2">
        <v>3</v>
      </c>
      <c r="M505" s="3" t="s">
        <v>929</v>
      </c>
      <c r="N505" s="3" t="s">
        <v>930</v>
      </c>
      <c r="O505" s="3" t="s">
        <v>492</v>
      </c>
      <c r="P505" s="3" t="s">
        <v>905</v>
      </c>
      <c r="Q505" s="30" t="str">
        <f t="shared" si="7"/>
        <v>MAX : 2.115
TARGET : 2.095
MIN : 2.075</v>
      </c>
      <c r="R505" s="3" t="s">
        <v>926</v>
      </c>
    </row>
    <row r="506" spans="2:18" ht="41.4" x14ac:dyDescent="0.3">
      <c r="B506">
        <v>0</v>
      </c>
      <c r="C506" s="33">
        <v>5182</v>
      </c>
      <c r="D506" s="2">
        <v>943</v>
      </c>
      <c r="E506" s="2" t="s">
        <v>7244</v>
      </c>
      <c r="F506" s="3" t="s">
        <v>14206</v>
      </c>
      <c r="H506" s="3" t="s">
        <v>922</v>
      </c>
      <c r="K506" s="2">
        <v>10</v>
      </c>
      <c r="L506" s="2">
        <v>4</v>
      </c>
      <c r="M506" s="3" t="s">
        <v>931</v>
      </c>
      <c r="N506" s="3" t="s">
        <v>24</v>
      </c>
      <c r="O506" s="3" t="s">
        <v>25</v>
      </c>
      <c r="Q506" s="30" t="str">
        <f t="shared" si="7"/>
        <v>MAX : 
TARGET : Yes (Pass)
MIN : No (Fail)</v>
      </c>
      <c r="R506" s="3" t="s">
        <v>926</v>
      </c>
    </row>
    <row r="507" spans="2:18" ht="41.4" x14ac:dyDescent="0.3">
      <c r="B507">
        <v>1</v>
      </c>
      <c r="C507" s="33">
        <v>4597</v>
      </c>
      <c r="D507" s="2">
        <v>1736</v>
      </c>
      <c r="E507" s="2" t="s">
        <v>7000</v>
      </c>
      <c r="F507" s="3" t="s">
        <v>14206</v>
      </c>
      <c r="H507" s="3" t="s">
        <v>491</v>
      </c>
      <c r="K507" s="2">
        <v>10</v>
      </c>
      <c r="L507" s="2">
        <v>3</v>
      </c>
      <c r="M507" s="3" t="s">
        <v>2685</v>
      </c>
      <c r="N507" s="3" t="s">
        <v>13</v>
      </c>
      <c r="O507" s="3" t="s">
        <v>14</v>
      </c>
      <c r="Q507" s="30" t="str">
        <f t="shared" si="7"/>
        <v>MAX : 
TARGET : Yes(Pass)
MIN : No(Fail)</v>
      </c>
    </row>
    <row r="508" spans="2:18" ht="41.4" x14ac:dyDescent="0.3">
      <c r="B508">
        <v>1</v>
      </c>
      <c r="C508" s="33">
        <v>4601</v>
      </c>
      <c r="D508" s="2">
        <v>1737</v>
      </c>
      <c r="E508" s="2" t="s">
        <v>7006</v>
      </c>
      <c r="F508" s="3" t="s">
        <v>14206</v>
      </c>
      <c r="H508" s="3" t="s">
        <v>792</v>
      </c>
      <c r="K508" s="2">
        <v>10</v>
      </c>
      <c r="L508" s="2">
        <v>2</v>
      </c>
      <c r="M508" s="3" t="s">
        <v>611</v>
      </c>
      <c r="N508" s="3" t="s">
        <v>13</v>
      </c>
      <c r="O508" s="3" t="s">
        <v>14</v>
      </c>
      <c r="Q508" s="30" t="str">
        <f t="shared" si="7"/>
        <v>MAX : 
TARGET : Yes(Pass)
MIN : No(Fail)</v>
      </c>
    </row>
    <row r="509" spans="2:18" ht="41.4" x14ac:dyDescent="0.3">
      <c r="B509">
        <v>0</v>
      </c>
      <c r="C509" s="33">
        <v>5183</v>
      </c>
      <c r="D509" s="2">
        <v>944</v>
      </c>
      <c r="E509" s="2" t="s">
        <v>7252</v>
      </c>
      <c r="F509" s="3" t="s">
        <v>14206</v>
      </c>
      <c r="H509" s="3" t="s">
        <v>922</v>
      </c>
      <c r="K509" s="2">
        <v>10</v>
      </c>
      <c r="L509" s="2">
        <v>3</v>
      </c>
      <c r="M509" s="3" t="s">
        <v>929</v>
      </c>
      <c r="N509" s="3" t="s">
        <v>935</v>
      </c>
      <c r="O509" s="3" t="s">
        <v>936</v>
      </c>
      <c r="P509" s="3" t="s">
        <v>937</v>
      </c>
      <c r="Q509" s="30" t="str">
        <f t="shared" si="7"/>
        <v>MAX : 0.641
TARGET : 0.621
MIN : 0.601</v>
      </c>
      <c r="R509" s="3" t="s">
        <v>926</v>
      </c>
    </row>
    <row r="510" spans="2:18" ht="41.4" x14ac:dyDescent="0.3">
      <c r="B510">
        <v>0</v>
      </c>
      <c r="C510" s="33">
        <v>5183</v>
      </c>
      <c r="D510" s="2">
        <v>944</v>
      </c>
      <c r="E510" s="2" t="s">
        <v>7252</v>
      </c>
      <c r="F510" s="3" t="s">
        <v>14206</v>
      </c>
      <c r="H510" s="3" t="s">
        <v>922</v>
      </c>
      <c r="K510" s="2">
        <v>10</v>
      </c>
      <c r="L510" s="2">
        <v>4</v>
      </c>
      <c r="M510" s="3" t="s">
        <v>931</v>
      </c>
      <c r="N510" s="3" t="s">
        <v>24</v>
      </c>
      <c r="O510" s="3" t="s">
        <v>25</v>
      </c>
      <c r="Q510" s="30" t="str">
        <f t="shared" si="7"/>
        <v>MAX : 
TARGET : Yes (Pass)
MIN : No (Fail)</v>
      </c>
      <c r="R510" s="3" t="s">
        <v>926</v>
      </c>
    </row>
    <row r="511" spans="2:18" ht="41.4" x14ac:dyDescent="0.3">
      <c r="B511">
        <v>1</v>
      </c>
      <c r="C511" s="33">
        <v>4601</v>
      </c>
      <c r="D511" s="2">
        <v>1737</v>
      </c>
      <c r="E511" s="2" t="s">
        <v>7006</v>
      </c>
      <c r="F511" s="3" t="s">
        <v>14206</v>
      </c>
      <c r="H511" s="3" t="s">
        <v>792</v>
      </c>
      <c r="K511" s="2">
        <v>10</v>
      </c>
      <c r="L511" s="2">
        <v>1</v>
      </c>
      <c r="M511" s="3" t="s">
        <v>793</v>
      </c>
      <c r="N511" s="3" t="s">
        <v>794</v>
      </c>
      <c r="O511" s="3" t="s">
        <v>795</v>
      </c>
      <c r="P511" s="3" t="s">
        <v>796</v>
      </c>
      <c r="Q511" s="30" t="str">
        <f t="shared" si="7"/>
        <v>MAX : 3.70
TARGET : 3.65
MIN : 3.60</v>
      </c>
    </row>
    <row r="512" spans="2:18" ht="41.4" x14ac:dyDescent="0.3">
      <c r="B512">
        <v>1</v>
      </c>
      <c r="C512" s="33">
        <v>4636</v>
      </c>
      <c r="D512" s="2">
        <v>925</v>
      </c>
      <c r="E512" s="2" t="s">
        <v>7013</v>
      </c>
      <c r="F512" s="3" t="s">
        <v>14206</v>
      </c>
      <c r="H512" s="3" t="s">
        <v>713</v>
      </c>
      <c r="K512" s="2">
        <v>10</v>
      </c>
      <c r="L512" s="2">
        <v>2</v>
      </c>
      <c r="M512" s="3" t="s">
        <v>798</v>
      </c>
      <c r="N512" s="3" t="s">
        <v>24</v>
      </c>
      <c r="O512" s="3" t="s">
        <v>25</v>
      </c>
      <c r="Q512" s="30" t="str">
        <f t="shared" si="7"/>
        <v>MAX : 
TARGET : Yes (Pass)
MIN : No (Fail)</v>
      </c>
    </row>
    <row r="513" spans="2:18" ht="41.4" x14ac:dyDescent="0.3">
      <c r="B513">
        <v>0</v>
      </c>
      <c r="C513" s="33">
        <v>5184</v>
      </c>
      <c r="D513" s="2">
        <v>945</v>
      </c>
      <c r="E513" s="2" t="s">
        <v>7258</v>
      </c>
      <c r="F513" s="3" t="s">
        <v>14206</v>
      </c>
      <c r="H513" s="3" t="s">
        <v>922</v>
      </c>
      <c r="K513" s="2">
        <v>20</v>
      </c>
      <c r="L513" s="2">
        <v>3</v>
      </c>
      <c r="M513" s="3" t="s">
        <v>944</v>
      </c>
      <c r="N513" s="3" t="s">
        <v>945</v>
      </c>
      <c r="O513" s="3" t="s">
        <v>946</v>
      </c>
      <c r="P513" s="3" t="s">
        <v>947</v>
      </c>
      <c r="Q513" s="30" t="str">
        <f t="shared" si="7"/>
        <v>MAX : 0.708
TARGET : 0.688
MIN : 0.668</v>
      </c>
      <c r="R513" s="3" t="s">
        <v>926</v>
      </c>
    </row>
    <row r="514" spans="2:18" ht="41.4" x14ac:dyDescent="0.3">
      <c r="B514">
        <v>1</v>
      </c>
      <c r="C514" s="33">
        <v>4636</v>
      </c>
      <c r="D514" s="2">
        <v>925</v>
      </c>
      <c r="E514" s="2" t="s">
        <v>7013</v>
      </c>
      <c r="F514" s="3" t="s">
        <v>14206</v>
      </c>
      <c r="H514" s="3" t="s">
        <v>713</v>
      </c>
      <c r="K514" s="2">
        <v>10</v>
      </c>
      <c r="L514" s="2">
        <v>1</v>
      </c>
      <c r="M514" s="3" t="s">
        <v>797</v>
      </c>
      <c r="N514" s="3" t="s">
        <v>24</v>
      </c>
      <c r="O514" s="3" t="s">
        <v>25</v>
      </c>
      <c r="Q514" s="30" t="str">
        <f t="shared" ref="Q514:Q577" si="8">"MAX : " &amp; P514 &amp; CHAR(10) &amp; "TARGET : " &amp; O514 &amp; CHAR(10) &amp; "MIN : " &amp; N514</f>
        <v>MAX : 
TARGET : Yes (Pass)
MIN : No (Fail)</v>
      </c>
    </row>
    <row r="515" spans="2:18" ht="41.4" x14ac:dyDescent="0.3">
      <c r="B515">
        <v>1</v>
      </c>
      <c r="C515" s="33">
        <v>4658</v>
      </c>
      <c r="D515" s="2">
        <v>1738</v>
      </c>
      <c r="E515" s="2" t="s">
        <v>7020</v>
      </c>
      <c r="F515" s="3" t="s">
        <v>14206</v>
      </c>
      <c r="H515" s="3" t="s">
        <v>568</v>
      </c>
      <c r="K515" s="2">
        <v>10</v>
      </c>
      <c r="L515" s="2">
        <v>1</v>
      </c>
      <c r="M515" s="3" t="s">
        <v>809</v>
      </c>
      <c r="N515" s="3" t="s">
        <v>24</v>
      </c>
      <c r="O515" s="3" t="s">
        <v>25</v>
      </c>
      <c r="Q515" s="30" t="str">
        <f t="shared" si="8"/>
        <v>MAX : 
TARGET : Yes (Pass)
MIN : No (Fail)</v>
      </c>
    </row>
    <row r="516" spans="2:18" ht="41.4" x14ac:dyDescent="0.3">
      <c r="B516">
        <v>1</v>
      </c>
      <c r="C516" s="33">
        <v>4658</v>
      </c>
      <c r="D516" s="2">
        <v>1738</v>
      </c>
      <c r="E516" s="2" t="s">
        <v>7020</v>
      </c>
      <c r="F516" s="3" t="s">
        <v>14206</v>
      </c>
      <c r="H516" s="3" t="s">
        <v>568</v>
      </c>
      <c r="K516" s="2">
        <v>20</v>
      </c>
      <c r="L516" s="2">
        <v>1</v>
      </c>
      <c r="M516" s="3" t="s">
        <v>806</v>
      </c>
      <c r="N516" s="3" t="s">
        <v>807</v>
      </c>
      <c r="O516" s="3" t="s">
        <v>132</v>
      </c>
      <c r="P516" s="3" t="s">
        <v>808</v>
      </c>
      <c r="Q516" s="30" t="str">
        <f t="shared" si="8"/>
        <v>MAX : 0.80
TARGET : 0.75
MIN : 0.70</v>
      </c>
    </row>
    <row r="517" spans="2:18" ht="41.4" x14ac:dyDescent="0.3">
      <c r="B517">
        <v>1</v>
      </c>
      <c r="C517" s="33">
        <v>4689</v>
      </c>
      <c r="D517" s="2">
        <v>926</v>
      </c>
      <c r="E517" s="2" t="s">
        <v>7027</v>
      </c>
      <c r="F517" s="3" t="s">
        <v>14206</v>
      </c>
      <c r="H517" s="3" t="s">
        <v>812</v>
      </c>
      <c r="K517" s="2">
        <v>10</v>
      </c>
      <c r="L517" s="2">
        <v>2</v>
      </c>
      <c r="M517" s="3" t="s">
        <v>198</v>
      </c>
      <c r="N517" s="3" t="s">
        <v>183</v>
      </c>
      <c r="O517" s="3" t="s">
        <v>184</v>
      </c>
      <c r="P517" s="3" t="s">
        <v>185</v>
      </c>
      <c r="Q517" s="30" t="str">
        <f t="shared" si="8"/>
        <v>MAX : 5.03
TARGET : 5.00
MIN : 4.97</v>
      </c>
    </row>
    <row r="518" spans="2:18" ht="41.4" x14ac:dyDescent="0.3">
      <c r="B518">
        <v>0</v>
      </c>
      <c r="C518" s="33">
        <v>5159</v>
      </c>
      <c r="D518" s="2">
        <v>942</v>
      </c>
      <c r="E518" s="2" t="s">
        <v>7223</v>
      </c>
      <c r="F518" s="3" t="s">
        <v>14206</v>
      </c>
      <c r="H518" s="3" t="s">
        <v>648</v>
      </c>
      <c r="K518" s="2">
        <v>10</v>
      </c>
      <c r="L518" s="2">
        <v>3</v>
      </c>
      <c r="M518" s="3" t="s">
        <v>911</v>
      </c>
      <c r="N518" s="3" t="s">
        <v>950</v>
      </c>
      <c r="O518" s="3" t="s">
        <v>951</v>
      </c>
      <c r="P518" s="3" t="s">
        <v>952</v>
      </c>
      <c r="Q518" s="30" t="str">
        <f t="shared" si="8"/>
        <v>MAX : 2.890
TARGET : 2.830
MIN : 2.770</v>
      </c>
    </row>
    <row r="519" spans="2:18" ht="41.4" x14ac:dyDescent="0.3">
      <c r="B519">
        <v>0</v>
      </c>
      <c r="C519" s="33">
        <v>5159</v>
      </c>
      <c r="D519" s="2">
        <v>942</v>
      </c>
      <c r="E519" s="2" t="s">
        <v>7223</v>
      </c>
      <c r="F519" s="3" t="s">
        <v>14206</v>
      </c>
      <c r="H519" s="3" t="s">
        <v>648</v>
      </c>
      <c r="K519" s="2">
        <v>10</v>
      </c>
      <c r="L519" s="2">
        <v>4</v>
      </c>
      <c r="M519" s="3" t="s">
        <v>915</v>
      </c>
      <c r="N519" s="3" t="s">
        <v>13</v>
      </c>
      <c r="O519" s="3" t="s">
        <v>14</v>
      </c>
      <c r="Q519" s="30" t="str">
        <f t="shared" si="8"/>
        <v>MAX : 
TARGET : Yes(Pass)
MIN : No(Fail)</v>
      </c>
    </row>
    <row r="520" spans="2:18" ht="41.4" x14ac:dyDescent="0.3">
      <c r="B520">
        <v>0</v>
      </c>
      <c r="C520" s="33">
        <v>5159</v>
      </c>
      <c r="D520" s="2">
        <v>942</v>
      </c>
      <c r="E520" s="2" t="s">
        <v>7223</v>
      </c>
      <c r="F520" s="3" t="s">
        <v>14206</v>
      </c>
      <c r="H520" s="3" t="s">
        <v>648</v>
      </c>
      <c r="K520" s="2">
        <v>10</v>
      </c>
      <c r="L520" s="2">
        <v>5</v>
      </c>
      <c r="M520" s="3" t="s">
        <v>916</v>
      </c>
      <c r="N520" s="3" t="s">
        <v>13</v>
      </c>
      <c r="O520" s="3" t="s">
        <v>14</v>
      </c>
      <c r="Q520" s="30" t="str">
        <f t="shared" si="8"/>
        <v>MAX : 
TARGET : Yes(Pass)
MIN : No(Fail)</v>
      </c>
    </row>
    <row r="521" spans="2:18" ht="41.4" x14ac:dyDescent="0.3">
      <c r="B521">
        <v>0</v>
      </c>
      <c r="C521" s="33">
        <v>5159</v>
      </c>
      <c r="D521" s="2">
        <v>942</v>
      </c>
      <c r="E521" s="2" t="s">
        <v>7223</v>
      </c>
      <c r="F521" s="3" t="s">
        <v>14206</v>
      </c>
      <c r="H521" s="3" t="s">
        <v>648</v>
      </c>
      <c r="K521" s="2">
        <v>20</v>
      </c>
      <c r="L521" s="2">
        <v>1</v>
      </c>
      <c r="M521" s="3" t="s">
        <v>953</v>
      </c>
      <c r="N521" s="3" t="s">
        <v>13</v>
      </c>
      <c r="O521" s="3" t="s">
        <v>14</v>
      </c>
      <c r="Q521" s="30" t="str">
        <f t="shared" si="8"/>
        <v>MAX : 
TARGET : Yes(Pass)
MIN : No(Fail)</v>
      </c>
    </row>
    <row r="522" spans="2:18" ht="41.4" x14ac:dyDescent="0.3">
      <c r="B522">
        <v>0</v>
      </c>
      <c r="C522" s="33">
        <v>5159</v>
      </c>
      <c r="D522" s="2">
        <v>942</v>
      </c>
      <c r="E522" s="2" t="s">
        <v>7223</v>
      </c>
      <c r="F522" s="3" t="s">
        <v>14206</v>
      </c>
      <c r="H522" s="3" t="s">
        <v>648</v>
      </c>
      <c r="K522" s="2">
        <v>20</v>
      </c>
      <c r="L522" s="2">
        <v>2</v>
      </c>
      <c r="M522" s="3" t="s">
        <v>954</v>
      </c>
      <c r="N522" s="3" t="s">
        <v>13</v>
      </c>
      <c r="O522" s="3" t="s">
        <v>14</v>
      </c>
      <c r="Q522" s="30" t="str">
        <f t="shared" si="8"/>
        <v>MAX : 
TARGET : Yes(Pass)
MIN : No(Fail)</v>
      </c>
    </row>
    <row r="523" spans="2:18" ht="41.4" x14ac:dyDescent="0.3">
      <c r="B523">
        <v>1</v>
      </c>
      <c r="C523" s="33">
        <v>4689</v>
      </c>
      <c r="D523" s="2">
        <v>926</v>
      </c>
      <c r="E523" s="2" t="s">
        <v>7027</v>
      </c>
      <c r="F523" s="3" t="s">
        <v>14206</v>
      </c>
      <c r="H523" s="3" t="s">
        <v>812</v>
      </c>
      <c r="K523" s="2">
        <v>10</v>
      </c>
      <c r="L523" s="2">
        <v>1</v>
      </c>
      <c r="M523" s="3" t="s">
        <v>813</v>
      </c>
      <c r="N523" s="3" t="s">
        <v>814</v>
      </c>
      <c r="O523" s="3" t="s">
        <v>815</v>
      </c>
      <c r="P523" s="3" t="s">
        <v>816</v>
      </c>
      <c r="Q523" s="30" t="str">
        <f t="shared" si="8"/>
        <v>MAX : 3.03
TARGET : 3.00
MIN : 2.97</v>
      </c>
    </row>
    <row r="524" spans="2:18" ht="41.4" x14ac:dyDescent="0.3">
      <c r="B524">
        <v>0</v>
      </c>
      <c r="C524" s="33">
        <v>4494</v>
      </c>
      <c r="D524" s="2">
        <v>923</v>
      </c>
      <c r="E524" s="2" t="s">
        <v>6945</v>
      </c>
      <c r="F524" s="3" t="s">
        <v>14206</v>
      </c>
      <c r="H524" s="3" t="s">
        <v>612</v>
      </c>
      <c r="K524" s="2">
        <v>10</v>
      </c>
      <c r="L524" s="2">
        <v>5</v>
      </c>
      <c r="M524" s="3" t="s">
        <v>1607</v>
      </c>
      <c r="N524" s="3" t="s">
        <v>13</v>
      </c>
      <c r="O524" s="3" t="s">
        <v>14</v>
      </c>
      <c r="Q524" s="30" t="str">
        <f t="shared" si="8"/>
        <v>MAX : 
TARGET : Yes(Pass)
MIN : No(Fail)</v>
      </c>
    </row>
    <row r="525" spans="2:18" ht="41.4" x14ac:dyDescent="0.3">
      <c r="B525">
        <v>1</v>
      </c>
      <c r="C525" s="33">
        <v>4690</v>
      </c>
      <c r="D525" s="2">
        <v>927</v>
      </c>
      <c r="E525" s="2" t="s">
        <v>7034</v>
      </c>
      <c r="F525" s="3" t="s">
        <v>14206</v>
      </c>
      <c r="H525" s="3" t="s">
        <v>810</v>
      </c>
      <c r="K525" s="2">
        <v>10</v>
      </c>
      <c r="L525" s="2">
        <v>1</v>
      </c>
      <c r="M525" s="3" t="s">
        <v>811</v>
      </c>
      <c r="N525" s="3" t="s">
        <v>13</v>
      </c>
      <c r="O525" s="3" t="s">
        <v>14</v>
      </c>
      <c r="Q525" s="30" t="str">
        <f t="shared" si="8"/>
        <v>MAX : 
TARGET : Yes(Pass)
MIN : No(Fail)</v>
      </c>
    </row>
    <row r="526" spans="2:18" ht="41.4" x14ac:dyDescent="0.3">
      <c r="B526">
        <v>1</v>
      </c>
      <c r="C526" s="33">
        <v>4730</v>
      </c>
      <c r="D526" s="2">
        <v>928</v>
      </c>
      <c r="E526" s="2" t="s">
        <v>7040</v>
      </c>
      <c r="F526" s="3" t="s">
        <v>14207</v>
      </c>
      <c r="H526" s="3" t="s">
        <v>648</v>
      </c>
      <c r="K526" s="2">
        <v>20</v>
      </c>
      <c r="L526" s="2">
        <v>2</v>
      </c>
      <c r="M526" s="3" t="s">
        <v>194</v>
      </c>
      <c r="N526" s="3" t="s">
        <v>231</v>
      </c>
      <c r="O526" s="3" t="s">
        <v>232</v>
      </c>
      <c r="P526" s="3" t="s">
        <v>233</v>
      </c>
      <c r="Q526" s="30" t="str">
        <f t="shared" si="8"/>
        <v>MAX : 40.79
TARGET : 40.00
MIN : 39.21</v>
      </c>
      <c r="R526" s="3" t="s">
        <v>443</v>
      </c>
    </row>
    <row r="527" spans="2:18" ht="41.4" x14ac:dyDescent="0.3">
      <c r="B527">
        <v>0</v>
      </c>
      <c r="C527" s="33">
        <v>2314</v>
      </c>
      <c r="D527" s="2">
        <v>1710</v>
      </c>
      <c r="E527" s="2" t="s">
        <v>6363</v>
      </c>
      <c r="F527" s="3" t="s">
        <v>14207</v>
      </c>
      <c r="H527" s="3" t="s">
        <v>66</v>
      </c>
      <c r="K527" s="2">
        <v>10</v>
      </c>
      <c r="L527" s="2">
        <v>3</v>
      </c>
      <c r="M527" s="3" t="s">
        <v>37</v>
      </c>
      <c r="O527" s="3" t="s">
        <v>38</v>
      </c>
      <c r="P527" s="3" t="s">
        <v>39</v>
      </c>
      <c r="Q527" s="30" t="str">
        <f t="shared" si="8"/>
        <v xml:space="preserve">MAX : Yes(Fail)
TARGET : No(Pass)
MIN : </v>
      </c>
    </row>
    <row r="528" spans="2:18" ht="41.4" x14ac:dyDescent="0.3">
      <c r="B528">
        <v>0</v>
      </c>
      <c r="C528" s="33">
        <v>2314</v>
      </c>
      <c r="D528" s="2">
        <v>1710</v>
      </c>
      <c r="E528" s="2" t="s">
        <v>6363</v>
      </c>
      <c r="F528" s="3" t="s">
        <v>14207</v>
      </c>
      <c r="H528" s="3" t="s">
        <v>66</v>
      </c>
      <c r="K528" s="2">
        <v>10</v>
      </c>
      <c r="L528" s="2">
        <v>4</v>
      </c>
      <c r="M528" s="3" t="s">
        <v>958</v>
      </c>
      <c r="N528" s="3" t="s">
        <v>13</v>
      </c>
      <c r="O528" s="3" t="s">
        <v>14</v>
      </c>
      <c r="Q528" s="30" t="str">
        <f t="shared" si="8"/>
        <v>MAX : 
TARGET : Yes(Pass)
MIN : No(Fail)</v>
      </c>
    </row>
    <row r="529" spans="2:18" ht="41.4" x14ac:dyDescent="0.3">
      <c r="B529">
        <v>1</v>
      </c>
      <c r="C529" s="33">
        <v>4730</v>
      </c>
      <c r="D529" s="2">
        <v>928</v>
      </c>
      <c r="E529" s="2" t="s">
        <v>7040</v>
      </c>
      <c r="F529" s="3" t="s">
        <v>14207</v>
      </c>
      <c r="H529" s="3" t="s">
        <v>648</v>
      </c>
      <c r="K529" s="2">
        <v>20</v>
      </c>
      <c r="L529" s="2">
        <v>1</v>
      </c>
      <c r="M529" s="3" t="s">
        <v>198</v>
      </c>
      <c r="N529" s="3" t="s">
        <v>818</v>
      </c>
      <c r="O529" s="3" t="s">
        <v>819</v>
      </c>
      <c r="P529" s="3" t="s">
        <v>820</v>
      </c>
      <c r="Q529" s="30" t="str">
        <f t="shared" si="8"/>
        <v>MAX : 35.79
TARGET : 35.00
MIN : 34.21</v>
      </c>
      <c r="R529" s="3" t="s">
        <v>443</v>
      </c>
    </row>
    <row r="530" spans="2:18" ht="41.4" x14ac:dyDescent="0.3">
      <c r="B530">
        <v>1</v>
      </c>
      <c r="C530" s="33">
        <v>4735</v>
      </c>
      <c r="D530" s="2">
        <v>929</v>
      </c>
      <c r="E530" s="2" t="s">
        <v>7046</v>
      </c>
      <c r="F530" s="29" t="s">
        <v>14211</v>
      </c>
      <c r="H530" s="3" t="s">
        <v>210</v>
      </c>
      <c r="K530" s="2">
        <v>10</v>
      </c>
      <c r="L530" s="2">
        <v>5</v>
      </c>
      <c r="M530" s="3" t="s">
        <v>563</v>
      </c>
      <c r="N530" s="3" t="s">
        <v>216</v>
      </c>
      <c r="O530" s="3" t="s">
        <v>217</v>
      </c>
      <c r="P530" s="3" t="s">
        <v>218</v>
      </c>
      <c r="Q530" s="30" t="str">
        <f t="shared" si="8"/>
        <v>MAX : 0.180
TARGET : 0.150
MIN : 0.120</v>
      </c>
      <c r="R530" s="3" t="s">
        <v>829</v>
      </c>
    </row>
    <row r="531" spans="2:18" ht="41.4" x14ac:dyDescent="0.3">
      <c r="B531">
        <v>0</v>
      </c>
      <c r="C531" s="33">
        <v>5201</v>
      </c>
      <c r="D531" s="2">
        <v>1754</v>
      </c>
      <c r="E531" s="2" t="s">
        <v>7265</v>
      </c>
      <c r="F531" s="3" t="s">
        <v>14206</v>
      </c>
      <c r="H531" s="3" t="s">
        <v>412</v>
      </c>
      <c r="K531" s="2">
        <v>20</v>
      </c>
      <c r="L531" s="2">
        <v>1</v>
      </c>
      <c r="M531" s="3" t="s">
        <v>961</v>
      </c>
      <c r="N531" s="3" t="s">
        <v>13</v>
      </c>
      <c r="O531" s="3" t="s">
        <v>14</v>
      </c>
      <c r="Q531" s="30" t="str">
        <f t="shared" si="8"/>
        <v>MAX : 
TARGET : Yes(Pass)
MIN : No(Fail)</v>
      </c>
    </row>
    <row r="532" spans="2:18" ht="41.4" x14ac:dyDescent="0.3">
      <c r="B532">
        <v>1</v>
      </c>
      <c r="C532" s="33">
        <v>4735</v>
      </c>
      <c r="D532" s="2">
        <v>929</v>
      </c>
      <c r="E532" s="2" t="s">
        <v>7046</v>
      </c>
      <c r="F532" s="29" t="s">
        <v>14211</v>
      </c>
      <c r="H532" s="3" t="s">
        <v>210</v>
      </c>
      <c r="K532" s="2">
        <v>10</v>
      </c>
      <c r="L532" s="2">
        <v>3</v>
      </c>
      <c r="M532" s="3" t="s">
        <v>211</v>
      </c>
      <c r="N532" s="3" t="s">
        <v>212</v>
      </c>
      <c r="O532" s="3" t="s">
        <v>213</v>
      </c>
      <c r="P532" s="3" t="s">
        <v>214</v>
      </c>
      <c r="Q532" s="30" t="str">
        <f t="shared" si="8"/>
        <v>MAX : 6.005
TARGET : 6.000
MIN : 5.995</v>
      </c>
      <c r="R532" s="3" t="s">
        <v>829</v>
      </c>
    </row>
    <row r="533" spans="2:18" ht="41.4" x14ac:dyDescent="0.3">
      <c r="B533">
        <v>1</v>
      </c>
      <c r="C533" s="33">
        <v>4735</v>
      </c>
      <c r="D533" s="2">
        <v>929</v>
      </c>
      <c r="E533" s="2" t="s">
        <v>7046</v>
      </c>
      <c r="F533" s="29" t="s">
        <v>14211</v>
      </c>
      <c r="H533" s="3" t="s">
        <v>210</v>
      </c>
      <c r="K533" s="2">
        <v>10</v>
      </c>
      <c r="L533" s="2">
        <v>4</v>
      </c>
      <c r="M533" s="3" t="s">
        <v>5801</v>
      </c>
      <c r="N533" s="3" t="s">
        <v>5802</v>
      </c>
      <c r="O533" s="3" t="s">
        <v>5803</v>
      </c>
      <c r="P533" s="3" t="s">
        <v>5804</v>
      </c>
      <c r="Q533" s="30" t="str">
        <f t="shared" si="8"/>
        <v>MAX : 3.405
TARGET : 3.400
MIN : 3.395</v>
      </c>
      <c r="R533" s="3" t="s">
        <v>829</v>
      </c>
    </row>
    <row r="534" spans="2:18" ht="41.4" x14ac:dyDescent="0.3">
      <c r="B534">
        <v>1</v>
      </c>
      <c r="C534" s="33">
        <v>4735</v>
      </c>
      <c r="D534" s="2">
        <v>929</v>
      </c>
      <c r="E534" s="2" t="s">
        <v>7046</v>
      </c>
      <c r="F534" s="29" t="s">
        <v>14211</v>
      </c>
      <c r="H534" s="3" t="s">
        <v>210</v>
      </c>
      <c r="K534" s="2">
        <v>10</v>
      </c>
      <c r="L534" s="2">
        <v>11</v>
      </c>
      <c r="M534" s="3" t="s">
        <v>581</v>
      </c>
      <c r="N534" s="3" t="s">
        <v>24</v>
      </c>
      <c r="O534" s="3" t="s">
        <v>25</v>
      </c>
      <c r="Q534" s="30" t="str">
        <f t="shared" si="8"/>
        <v>MAX : 
TARGET : Yes (Pass)
MIN : No (Fail)</v>
      </c>
      <c r="R534" s="3" t="s">
        <v>829</v>
      </c>
    </row>
    <row r="535" spans="2:18" ht="41.4" x14ac:dyDescent="0.3">
      <c r="B535">
        <v>1</v>
      </c>
      <c r="C535" s="33">
        <v>4735</v>
      </c>
      <c r="D535" s="2">
        <v>929</v>
      </c>
      <c r="E535" s="2" t="s">
        <v>7046</v>
      </c>
      <c r="F535" s="29" t="s">
        <v>14211</v>
      </c>
      <c r="H535" s="3" t="s">
        <v>210</v>
      </c>
      <c r="K535" s="2">
        <v>10</v>
      </c>
      <c r="L535" s="2">
        <v>1</v>
      </c>
      <c r="M535" s="3" t="s">
        <v>5805</v>
      </c>
      <c r="N535" s="3" t="s">
        <v>5816</v>
      </c>
      <c r="O535" s="3" t="s">
        <v>5817</v>
      </c>
      <c r="P535" s="3" t="s">
        <v>5818</v>
      </c>
      <c r="Q535" s="30" t="str">
        <f t="shared" si="8"/>
        <v>MAX : 0.454
TARGET : 0.449
MIN : 0.444</v>
      </c>
      <c r="R535" s="3" t="s">
        <v>829</v>
      </c>
    </row>
    <row r="536" spans="2:18" ht="41.4" x14ac:dyDescent="0.3">
      <c r="B536">
        <v>0</v>
      </c>
      <c r="C536" s="33">
        <v>5249</v>
      </c>
      <c r="D536" s="2">
        <v>946</v>
      </c>
      <c r="E536" s="2" t="s">
        <v>7272</v>
      </c>
      <c r="F536" s="3" t="s">
        <v>14206</v>
      </c>
      <c r="H536" s="3" t="s">
        <v>469</v>
      </c>
      <c r="K536" s="2">
        <v>10</v>
      </c>
      <c r="L536" s="2">
        <v>3</v>
      </c>
      <c r="M536" s="3" t="s">
        <v>911</v>
      </c>
      <c r="N536" s="3" t="s">
        <v>974</v>
      </c>
      <c r="O536" s="3" t="s">
        <v>975</v>
      </c>
      <c r="P536" s="3" t="s">
        <v>976</v>
      </c>
      <c r="Q536" s="30" t="str">
        <f t="shared" si="8"/>
        <v>MAX : 2.89
TARGET : 2.88
MIN : 2.87</v>
      </c>
    </row>
    <row r="537" spans="2:18" ht="41.4" x14ac:dyDescent="0.3">
      <c r="B537">
        <v>0</v>
      </c>
      <c r="C537" s="33">
        <v>5249</v>
      </c>
      <c r="D537" s="2">
        <v>946</v>
      </c>
      <c r="E537" s="2" t="s">
        <v>7272</v>
      </c>
      <c r="F537" s="3" t="s">
        <v>14206</v>
      </c>
      <c r="H537" s="3" t="s">
        <v>469</v>
      </c>
      <c r="K537" s="2">
        <v>10</v>
      </c>
      <c r="L537" s="2">
        <v>4</v>
      </c>
      <c r="M537" s="3" t="s">
        <v>915</v>
      </c>
      <c r="N537" s="3" t="s">
        <v>13</v>
      </c>
      <c r="O537" s="3" t="s">
        <v>14</v>
      </c>
      <c r="Q537" s="30" t="str">
        <f t="shared" si="8"/>
        <v>MAX : 
TARGET : Yes(Pass)
MIN : No(Fail)</v>
      </c>
    </row>
    <row r="538" spans="2:18" ht="41.4" x14ac:dyDescent="0.3">
      <c r="B538">
        <v>0</v>
      </c>
      <c r="C538" s="33">
        <v>5249</v>
      </c>
      <c r="D538" s="2">
        <v>946</v>
      </c>
      <c r="E538" s="2" t="s">
        <v>7272</v>
      </c>
      <c r="F538" s="3" t="s">
        <v>14206</v>
      </c>
      <c r="H538" s="3" t="s">
        <v>469</v>
      </c>
      <c r="K538" s="2">
        <v>10</v>
      </c>
      <c r="L538" s="2">
        <v>5</v>
      </c>
      <c r="M538" s="3" t="s">
        <v>916</v>
      </c>
      <c r="N538" s="3" t="s">
        <v>13</v>
      </c>
      <c r="O538" s="3" t="s">
        <v>14</v>
      </c>
      <c r="Q538" s="30" t="str">
        <f t="shared" si="8"/>
        <v>MAX : 
TARGET : Yes(Pass)
MIN : No(Fail)</v>
      </c>
    </row>
    <row r="539" spans="2:18" ht="41.4" x14ac:dyDescent="0.3">
      <c r="B539">
        <v>0</v>
      </c>
      <c r="C539" s="33">
        <v>5249</v>
      </c>
      <c r="D539" s="2">
        <v>946</v>
      </c>
      <c r="E539" s="2" t="s">
        <v>7272</v>
      </c>
      <c r="F539" s="3" t="s">
        <v>14206</v>
      </c>
      <c r="H539" s="3" t="s">
        <v>469</v>
      </c>
      <c r="K539" s="2">
        <v>20</v>
      </c>
      <c r="L539" s="2">
        <v>1</v>
      </c>
      <c r="M539" s="3" t="s">
        <v>948</v>
      </c>
      <c r="N539" s="3" t="s">
        <v>13</v>
      </c>
      <c r="O539" s="3" t="s">
        <v>14</v>
      </c>
      <c r="Q539" s="30" t="str">
        <f t="shared" si="8"/>
        <v>MAX : 
TARGET : Yes(Pass)
MIN : No(Fail)</v>
      </c>
    </row>
    <row r="540" spans="2:18" ht="41.4" x14ac:dyDescent="0.3">
      <c r="B540">
        <v>0</v>
      </c>
      <c r="C540" s="33">
        <v>5249</v>
      </c>
      <c r="D540" s="2">
        <v>946</v>
      </c>
      <c r="E540" s="2" t="s">
        <v>7272</v>
      </c>
      <c r="F540" s="3" t="s">
        <v>14206</v>
      </c>
      <c r="H540" s="3" t="s">
        <v>469</v>
      </c>
      <c r="K540" s="2">
        <v>20</v>
      </c>
      <c r="L540" s="2">
        <v>2</v>
      </c>
      <c r="M540" s="3" t="s">
        <v>949</v>
      </c>
      <c r="N540" s="3" t="s">
        <v>13</v>
      </c>
      <c r="O540" s="3" t="s">
        <v>14</v>
      </c>
      <c r="Q540" s="30" t="str">
        <f t="shared" si="8"/>
        <v>MAX : 
TARGET : Yes(Pass)
MIN : No(Fail)</v>
      </c>
    </row>
    <row r="541" spans="2:18" ht="41.4" x14ac:dyDescent="0.3">
      <c r="B541">
        <v>0</v>
      </c>
      <c r="C541" s="33">
        <v>5249</v>
      </c>
      <c r="D541" s="2">
        <v>946</v>
      </c>
      <c r="E541" s="2" t="s">
        <v>7272</v>
      </c>
      <c r="F541" s="3" t="s">
        <v>14206</v>
      </c>
      <c r="H541" s="3" t="s">
        <v>469</v>
      </c>
      <c r="K541" s="2">
        <v>20</v>
      </c>
      <c r="L541" s="2">
        <v>3</v>
      </c>
      <c r="M541" s="3" t="s">
        <v>977</v>
      </c>
      <c r="N541" s="3" t="s">
        <v>13</v>
      </c>
      <c r="O541" s="3" t="s">
        <v>14</v>
      </c>
      <c r="Q541" s="30" t="str">
        <f t="shared" si="8"/>
        <v>MAX : 
TARGET : Yes(Pass)
MIN : No(Fail)</v>
      </c>
    </row>
    <row r="542" spans="2:18" ht="41.4" x14ac:dyDescent="0.3">
      <c r="B542">
        <v>1</v>
      </c>
      <c r="C542" s="33">
        <v>4848</v>
      </c>
      <c r="D542" s="2">
        <v>1739</v>
      </c>
      <c r="E542" s="2" t="s">
        <v>7053</v>
      </c>
      <c r="F542" s="3" t="s">
        <v>14206</v>
      </c>
      <c r="H542" s="3" t="s">
        <v>824</v>
      </c>
      <c r="K542" s="2">
        <v>10</v>
      </c>
      <c r="L542" s="2">
        <v>1</v>
      </c>
      <c r="M542" s="3" t="s">
        <v>825</v>
      </c>
      <c r="N542" s="3" t="s">
        <v>826</v>
      </c>
      <c r="O542" s="3" t="s">
        <v>827</v>
      </c>
      <c r="P542" s="3" t="s">
        <v>828</v>
      </c>
      <c r="Q542" s="30" t="str">
        <f t="shared" si="8"/>
        <v>MAX : 8.37
TARGET : 8.31
MIN : 8.25</v>
      </c>
    </row>
    <row r="543" spans="2:18" ht="41.4" x14ac:dyDescent="0.3">
      <c r="B543">
        <v>1</v>
      </c>
      <c r="C543" s="33">
        <v>4848</v>
      </c>
      <c r="D543" s="2">
        <v>1739</v>
      </c>
      <c r="E543" s="2" t="s">
        <v>7053</v>
      </c>
      <c r="F543" s="3" t="s">
        <v>14206</v>
      </c>
      <c r="H543" s="3" t="s">
        <v>824</v>
      </c>
      <c r="K543" s="2">
        <v>10</v>
      </c>
      <c r="L543" s="2">
        <v>2</v>
      </c>
      <c r="M543" s="3" t="s">
        <v>325</v>
      </c>
      <c r="N543" s="3" t="s">
        <v>13</v>
      </c>
      <c r="O543" s="3" t="s">
        <v>14</v>
      </c>
      <c r="Q543" s="30" t="str">
        <f t="shared" si="8"/>
        <v>MAX : 
TARGET : Yes(Pass)
MIN : No(Fail)</v>
      </c>
    </row>
    <row r="544" spans="2:18" ht="41.4" x14ac:dyDescent="0.3">
      <c r="B544">
        <v>0</v>
      </c>
      <c r="C544" s="33">
        <v>5253</v>
      </c>
      <c r="D544" s="2">
        <v>1755</v>
      </c>
      <c r="E544" s="2" t="s">
        <v>7280</v>
      </c>
      <c r="F544" s="3" t="s">
        <v>14206</v>
      </c>
      <c r="H544" s="3" t="s">
        <v>412</v>
      </c>
      <c r="K544" t="s">
        <v>6295</v>
      </c>
      <c r="L544" s="2">
        <v>3</v>
      </c>
      <c r="M544" s="3" t="s">
        <v>981</v>
      </c>
      <c r="N544" s="3" t="s">
        <v>24</v>
      </c>
      <c r="O544" s="3" t="s">
        <v>25</v>
      </c>
      <c r="Q544" s="30" t="str">
        <f t="shared" si="8"/>
        <v>MAX : 
TARGET : Yes (Pass)
MIN : No (Fail)</v>
      </c>
    </row>
    <row r="545" spans="2:18" ht="41.4" x14ac:dyDescent="0.3">
      <c r="B545">
        <v>1</v>
      </c>
      <c r="C545" s="33">
        <v>4884</v>
      </c>
      <c r="D545" s="2">
        <v>930</v>
      </c>
      <c r="E545" s="2" t="s">
        <v>7060</v>
      </c>
      <c r="F545" s="3" t="s">
        <v>14206</v>
      </c>
      <c r="H545" s="3" t="s">
        <v>830</v>
      </c>
      <c r="K545" s="2">
        <v>20</v>
      </c>
      <c r="L545" s="2">
        <v>2</v>
      </c>
      <c r="M545" s="3" t="s">
        <v>198</v>
      </c>
      <c r="N545" s="3" t="s">
        <v>834</v>
      </c>
      <c r="O545" s="3" t="s">
        <v>835</v>
      </c>
      <c r="P545" s="3" t="s">
        <v>836</v>
      </c>
      <c r="Q545" s="30" t="str">
        <f t="shared" si="8"/>
        <v>MAX : 1.500
TARGET : 1.480
MIN : 1.460</v>
      </c>
    </row>
    <row r="546" spans="2:18" ht="41.4" x14ac:dyDescent="0.3">
      <c r="B546">
        <v>1</v>
      </c>
      <c r="C546" s="33">
        <v>4884</v>
      </c>
      <c r="D546" s="2">
        <v>930</v>
      </c>
      <c r="E546" s="2" t="s">
        <v>7060</v>
      </c>
      <c r="F546" s="3" t="s">
        <v>14206</v>
      </c>
      <c r="H546" s="3" t="s">
        <v>830</v>
      </c>
      <c r="K546" s="2">
        <v>20</v>
      </c>
      <c r="L546" s="2">
        <v>1</v>
      </c>
      <c r="M546" s="3" t="s">
        <v>813</v>
      </c>
      <c r="N546" s="3" t="s">
        <v>831</v>
      </c>
      <c r="O546" s="3" t="s">
        <v>832</v>
      </c>
      <c r="P546" s="3" t="s">
        <v>833</v>
      </c>
      <c r="Q546" s="30" t="str">
        <f t="shared" si="8"/>
        <v>MAX : 2.750
TARGET : 2.730
MIN : 2.710</v>
      </c>
    </row>
    <row r="547" spans="2:18" ht="41.4" x14ac:dyDescent="0.3">
      <c r="B547">
        <v>0</v>
      </c>
      <c r="C547" s="33">
        <v>5258</v>
      </c>
      <c r="D547" s="2">
        <v>1756</v>
      </c>
      <c r="E547" s="2" t="s">
        <v>7287</v>
      </c>
      <c r="F547" s="3" t="s">
        <v>14206</v>
      </c>
      <c r="H547" s="3" t="s">
        <v>98</v>
      </c>
      <c r="K547" s="2">
        <v>20</v>
      </c>
      <c r="L547" s="2">
        <v>3</v>
      </c>
      <c r="M547" s="3" t="s">
        <v>985</v>
      </c>
      <c r="N547" s="3" t="s">
        <v>24</v>
      </c>
      <c r="O547" s="3" t="s">
        <v>25</v>
      </c>
      <c r="Q547" s="30" t="str">
        <f t="shared" si="8"/>
        <v>MAX : 
TARGET : Yes (Pass)
MIN : No (Fail)</v>
      </c>
    </row>
    <row r="548" spans="2:18" ht="41.4" x14ac:dyDescent="0.3">
      <c r="B548">
        <v>1</v>
      </c>
      <c r="C548" s="33">
        <v>4905</v>
      </c>
      <c r="D548" s="2">
        <v>931</v>
      </c>
      <c r="E548" s="2" t="s">
        <v>7065</v>
      </c>
      <c r="F548" s="3" t="s">
        <v>14206</v>
      </c>
      <c r="H548" s="3" t="s">
        <v>648</v>
      </c>
      <c r="K548" s="2">
        <v>20</v>
      </c>
      <c r="L548" s="2">
        <v>2</v>
      </c>
      <c r="M548" s="3" t="s">
        <v>198</v>
      </c>
      <c r="N548" s="3" t="s">
        <v>840</v>
      </c>
      <c r="O548" s="3" t="s">
        <v>841</v>
      </c>
      <c r="P548" s="3" t="s">
        <v>842</v>
      </c>
      <c r="Q548" s="30" t="str">
        <f t="shared" si="8"/>
        <v>MAX : 5.375
TARGET : 5.313
MIN : 5.251</v>
      </c>
    </row>
    <row r="549" spans="2:18" ht="41.4" x14ac:dyDescent="0.3">
      <c r="B549">
        <v>1</v>
      </c>
      <c r="C549" s="33">
        <v>4905</v>
      </c>
      <c r="D549" s="2">
        <v>931</v>
      </c>
      <c r="E549" s="2" t="s">
        <v>7065</v>
      </c>
      <c r="F549" s="3" t="s">
        <v>14206</v>
      </c>
      <c r="H549" s="3" t="s">
        <v>648</v>
      </c>
      <c r="K549" s="2">
        <v>20</v>
      </c>
      <c r="L549" s="2">
        <v>1</v>
      </c>
      <c r="M549" s="3" t="s">
        <v>18</v>
      </c>
      <c r="N549" s="3" t="s">
        <v>837</v>
      </c>
      <c r="O549" s="3" t="s">
        <v>838</v>
      </c>
      <c r="P549" s="3" t="s">
        <v>839</v>
      </c>
      <c r="Q549" s="30" t="str">
        <f t="shared" si="8"/>
        <v>MAX : 5.688
TARGET : 5.625
MIN : 5.563</v>
      </c>
    </row>
    <row r="550" spans="2:18" ht="41.4" x14ac:dyDescent="0.3">
      <c r="B550">
        <v>0</v>
      </c>
      <c r="C550" s="33">
        <v>5267</v>
      </c>
      <c r="D550" s="2">
        <v>947</v>
      </c>
      <c r="E550" s="2" t="s">
        <v>7294</v>
      </c>
      <c r="F550" s="3" t="s">
        <v>14206</v>
      </c>
      <c r="H550" s="3" t="s">
        <v>986</v>
      </c>
      <c r="K550" s="2">
        <v>10</v>
      </c>
      <c r="L550" s="2">
        <v>3</v>
      </c>
      <c r="M550" s="3" t="s">
        <v>994</v>
      </c>
      <c r="N550" s="3" t="s">
        <v>13</v>
      </c>
      <c r="O550" s="3" t="s">
        <v>14</v>
      </c>
      <c r="Q550" s="30" t="str">
        <f t="shared" si="8"/>
        <v>MAX : 
TARGET : Yes(Pass)
MIN : No(Fail)</v>
      </c>
    </row>
    <row r="551" spans="2:18" ht="41.4" x14ac:dyDescent="0.3">
      <c r="B551">
        <v>1</v>
      </c>
      <c r="C551" s="33">
        <v>4907</v>
      </c>
      <c r="D551" s="2">
        <v>932</v>
      </c>
      <c r="E551" s="2" t="s">
        <v>7072</v>
      </c>
      <c r="F551" s="3" t="s">
        <v>14206</v>
      </c>
      <c r="H551" s="3" t="s">
        <v>469</v>
      </c>
      <c r="K551" s="2">
        <v>20</v>
      </c>
      <c r="L551" s="2">
        <v>2</v>
      </c>
      <c r="M551" s="3" t="s">
        <v>845</v>
      </c>
      <c r="N551" s="3" t="s">
        <v>13</v>
      </c>
      <c r="O551" s="3" t="s">
        <v>14</v>
      </c>
      <c r="Q551" s="30" t="str">
        <f t="shared" si="8"/>
        <v>MAX : 
TARGET : Yes(Pass)
MIN : No(Fail)</v>
      </c>
    </row>
    <row r="552" spans="2:18" ht="41.4" x14ac:dyDescent="0.3">
      <c r="B552">
        <v>1</v>
      </c>
      <c r="C552" s="33">
        <v>4907</v>
      </c>
      <c r="D552" s="2">
        <v>932</v>
      </c>
      <c r="E552" s="2" t="s">
        <v>7072</v>
      </c>
      <c r="F552" s="3" t="s">
        <v>14206</v>
      </c>
      <c r="H552" s="3" t="s">
        <v>469</v>
      </c>
      <c r="K552" s="2">
        <v>20</v>
      </c>
      <c r="L552" s="2">
        <v>1</v>
      </c>
      <c r="M552" s="3" t="s">
        <v>844</v>
      </c>
      <c r="N552" s="3" t="s">
        <v>24</v>
      </c>
      <c r="O552" s="3" t="s">
        <v>25</v>
      </c>
      <c r="Q552" s="30" t="str">
        <f t="shared" si="8"/>
        <v>MAX : 
TARGET : Yes (Pass)
MIN : No (Fail)</v>
      </c>
    </row>
    <row r="553" spans="2:18" ht="41.4" x14ac:dyDescent="0.3">
      <c r="B553">
        <v>0</v>
      </c>
      <c r="C553" s="33">
        <v>5277</v>
      </c>
      <c r="D553" s="2">
        <v>948</v>
      </c>
      <c r="E553" s="2" t="s">
        <v>7300</v>
      </c>
      <c r="F553" s="3" t="s">
        <v>14206</v>
      </c>
      <c r="H553" s="3" t="s">
        <v>922</v>
      </c>
      <c r="K553" s="2">
        <v>20</v>
      </c>
      <c r="L553" s="2">
        <v>3</v>
      </c>
      <c r="M553" s="3" t="s">
        <v>998</v>
      </c>
      <c r="N553" s="3" t="s">
        <v>999</v>
      </c>
      <c r="O553" s="3" t="s">
        <v>1000</v>
      </c>
      <c r="P553" s="3" t="s">
        <v>1001</v>
      </c>
      <c r="Q553" s="30" t="str">
        <f t="shared" si="8"/>
        <v>MAX : 0.5065
TARGET : 0.4865
MIN : 0.4665</v>
      </c>
      <c r="R553" s="3" t="s">
        <v>926</v>
      </c>
    </row>
    <row r="554" spans="2:18" ht="41.4" x14ac:dyDescent="0.3">
      <c r="B554">
        <v>0</v>
      </c>
      <c r="C554" s="33">
        <v>5277</v>
      </c>
      <c r="D554" s="2">
        <v>948</v>
      </c>
      <c r="E554" s="2" t="s">
        <v>7300</v>
      </c>
      <c r="F554" s="3" t="s">
        <v>14206</v>
      </c>
      <c r="H554" s="3" t="s">
        <v>922</v>
      </c>
      <c r="K554" s="2">
        <v>20</v>
      </c>
      <c r="L554" s="2">
        <v>4</v>
      </c>
      <c r="M554" s="3" t="s">
        <v>1002</v>
      </c>
      <c r="N554" s="3" t="s">
        <v>1003</v>
      </c>
      <c r="O554" s="3" t="s">
        <v>1004</v>
      </c>
      <c r="P554" s="3" t="s">
        <v>1005</v>
      </c>
      <c r="Q554" s="30" t="str">
        <f t="shared" si="8"/>
        <v>MAX : 1.919
TARGET : 1.899
MIN : 1.879</v>
      </c>
      <c r="R554" s="3" t="s">
        <v>926</v>
      </c>
    </row>
    <row r="555" spans="2:18" ht="41.4" x14ac:dyDescent="0.3">
      <c r="B555">
        <v>0</v>
      </c>
      <c r="C555" s="33">
        <v>5277</v>
      </c>
      <c r="D555" s="2">
        <v>948</v>
      </c>
      <c r="E555" s="2" t="s">
        <v>7300</v>
      </c>
      <c r="F555" s="3" t="s">
        <v>14206</v>
      </c>
      <c r="H555" s="3" t="s">
        <v>922</v>
      </c>
      <c r="K555" s="2">
        <v>20</v>
      </c>
      <c r="L555" s="2">
        <v>5</v>
      </c>
      <c r="M555" s="3" t="s">
        <v>931</v>
      </c>
      <c r="N555" s="3" t="s">
        <v>24</v>
      </c>
      <c r="O555" s="3" t="s">
        <v>25</v>
      </c>
      <c r="Q555" s="30" t="str">
        <f t="shared" si="8"/>
        <v>MAX : 
TARGET : Yes (Pass)
MIN : No (Fail)</v>
      </c>
      <c r="R555" s="3" t="s">
        <v>926</v>
      </c>
    </row>
    <row r="556" spans="2:18" ht="41.4" x14ac:dyDescent="0.3">
      <c r="B556">
        <v>0</v>
      </c>
      <c r="C556" s="33">
        <v>5277</v>
      </c>
      <c r="D556" s="2">
        <v>948</v>
      </c>
      <c r="E556" s="2" t="s">
        <v>7300</v>
      </c>
      <c r="F556" s="3" t="s">
        <v>14206</v>
      </c>
      <c r="H556" s="3" t="s">
        <v>922</v>
      </c>
      <c r="K556" s="2">
        <v>20</v>
      </c>
      <c r="L556" s="2">
        <v>6</v>
      </c>
      <c r="M556" s="3" t="s">
        <v>1006</v>
      </c>
      <c r="N556" s="3" t="s">
        <v>24</v>
      </c>
      <c r="O556" s="3" t="s">
        <v>25</v>
      </c>
      <c r="Q556" s="30" t="str">
        <f t="shared" si="8"/>
        <v>MAX : 
TARGET : Yes (Pass)
MIN : No (Fail)</v>
      </c>
      <c r="R556" s="3" t="s">
        <v>926</v>
      </c>
    </row>
    <row r="557" spans="2:18" ht="41.4" x14ac:dyDescent="0.3">
      <c r="B557">
        <v>1</v>
      </c>
      <c r="C557" s="33">
        <v>4908</v>
      </c>
      <c r="D557" s="2">
        <v>933</v>
      </c>
      <c r="E557" s="2" t="s">
        <v>7078</v>
      </c>
      <c r="F557" s="3" t="s">
        <v>14206</v>
      </c>
      <c r="H557" s="3" t="s">
        <v>1915</v>
      </c>
      <c r="K557" s="2">
        <v>20</v>
      </c>
      <c r="L557" s="2">
        <v>1</v>
      </c>
      <c r="M557" s="3" t="s">
        <v>811</v>
      </c>
      <c r="N557" s="3" t="s">
        <v>24</v>
      </c>
      <c r="O557" s="3" t="s">
        <v>25</v>
      </c>
      <c r="Q557" s="30" t="str">
        <f t="shared" si="8"/>
        <v>MAX : 
TARGET : Yes (Pass)
MIN : No (Fail)</v>
      </c>
    </row>
    <row r="558" spans="2:18" ht="41.4" x14ac:dyDescent="0.3">
      <c r="B558">
        <v>1</v>
      </c>
      <c r="C558" s="33">
        <v>4909</v>
      </c>
      <c r="D558" s="2">
        <v>934</v>
      </c>
      <c r="E558" s="2" t="s">
        <v>7085</v>
      </c>
      <c r="F558" s="3" t="s">
        <v>14206</v>
      </c>
      <c r="H558" s="3" t="s">
        <v>1915</v>
      </c>
      <c r="K558" s="2">
        <v>20</v>
      </c>
      <c r="L558" s="2">
        <v>1</v>
      </c>
      <c r="M558" s="3" t="s">
        <v>739</v>
      </c>
      <c r="N558" s="3" t="s">
        <v>24</v>
      </c>
      <c r="O558" s="3" t="s">
        <v>25</v>
      </c>
      <c r="Q558" s="30" t="str">
        <f t="shared" si="8"/>
        <v>MAX : 
TARGET : Yes (Pass)
MIN : No (Fail)</v>
      </c>
    </row>
    <row r="559" spans="2:18" ht="41.4" x14ac:dyDescent="0.3">
      <c r="B559">
        <v>0</v>
      </c>
      <c r="C559" s="33">
        <v>5278</v>
      </c>
      <c r="D559" s="2">
        <v>949</v>
      </c>
      <c r="E559" s="2" t="s">
        <v>7306</v>
      </c>
      <c r="F559" s="3" t="s">
        <v>14206</v>
      </c>
      <c r="H559" s="3" t="s">
        <v>922</v>
      </c>
      <c r="K559" s="2">
        <v>10</v>
      </c>
      <c r="L559" s="2">
        <v>3</v>
      </c>
      <c r="M559" s="3" t="s">
        <v>929</v>
      </c>
      <c r="N559" s="3" t="s">
        <v>1010</v>
      </c>
      <c r="O559" s="3" t="s">
        <v>1011</v>
      </c>
      <c r="P559" s="3" t="s">
        <v>1012</v>
      </c>
      <c r="Q559" s="30" t="str">
        <f t="shared" si="8"/>
        <v>MAX : 2.338
TARGET : 2.318
MIN : 2.298</v>
      </c>
      <c r="R559" s="3" t="s">
        <v>926</v>
      </c>
    </row>
    <row r="560" spans="2:18" ht="41.4" x14ac:dyDescent="0.3">
      <c r="B560">
        <v>0</v>
      </c>
      <c r="C560" s="33">
        <v>5278</v>
      </c>
      <c r="D560" s="2">
        <v>949</v>
      </c>
      <c r="E560" s="2" t="s">
        <v>7306</v>
      </c>
      <c r="F560" s="3" t="s">
        <v>14206</v>
      </c>
      <c r="H560" s="3" t="s">
        <v>922</v>
      </c>
      <c r="K560" s="2">
        <v>10</v>
      </c>
      <c r="L560" s="2">
        <v>4</v>
      </c>
      <c r="M560" s="3" t="s">
        <v>931</v>
      </c>
      <c r="N560" s="3" t="s">
        <v>24</v>
      </c>
      <c r="O560" s="3" t="s">
        <v>25</v>
      </c>
      <c r="Q560" s="30" t="str">
        <f t="shared" si="8"/>
        <v>MAX : 
TARGET : Yes (Pass)
MIN : No (Fail)</v>
      </c>
      <c r="R560" s="3" t="s">
        <v>926</v>
      </c>
    </row>
    <row r="561" spans="2:18" ht="41.4" x14ac:dyDescent="0.3">
      <c r="B561">
        <v>0</v>
      </c>
      <c r="C561" s="33">
        <v>5278</v>
      </c>
      <c r="D561" s="2">
        <v>949</v>
      </c>
      <c r="E561" s="2" t="s">
        <v>7306</v>
      </c>
      <c r="F561" s="3" t="s">
        <v>14206</v>
      </c>
      <c r="H561" s="3" t="s">
        <v>922</v>
      </c>
      <c r="K561" s="2">
        <v>10</v>
      </c>
      <c r="L561" s="2">
        <v>5</v>
      </c>
      <c r="M561" s="3" t="s">
        <v>1006</v>
      </c>
      <c r="N561" s="3" t="s">
        <v>24</v>
      </c>
      <c r="O561" s="3" t="s">
        <v>25</v>
      </c>
      <c r="Q561" s="30" t="str">
        <f t="shared" si="8"/>
        <v>MAX : 
TARGET : Yes (Pass)
MIN : No (Fail)</v>
      </c>
      <c r="R561" s="3" t="s">
        <v>926</v>
      </c>
    </row>
    <row r="562" spans="2:18" ht="41.4" x14ac:dyDescent="0.3">
      <c r="B562">
        <v>1</v>
      </c>
      <c r="C562" s="33">
        <v>4913</v>
      </c>
      <c r="D562" s="2">
        <v>1740</v>
      </c>
      <c r="E562" s="2" t="s">
        <v>7092</v>
      </c>
      <c r="F562" s="3" t="s">
        <v>14206</v>
      </c>
      <c r="H562" s="3" t="s">
        <v>846</v>
      </c>
      <c r="K562" s="2">
        <v>10</v>
      </c>
      <c r="L562" s="2">
        <v>2</v>
      </c>
      <c r="M562" s="3" t="s">
        <v>850</v>
      </c>
      <c r="N562" s="3" t="s">
        <v>851</v>
      </c>
      <c r="O562" s="3" t="s">
        <v>852</v>
      </c>
      <c r="Q562" s="30" t="str">
        <f t="shared" si="8"/>
        <v>MAX : 
TARGET : Yes(pass)
MIN : No(fail)</v>
      </c>
    </row>
    <row r="563" spans="2:18" ht="41.4" x14ac:dyDescent="0.3">
      <c r="B563">
        <v>1</v>
      </c>
      <c r="C563" s="33">
        <v>4913</v>
      </c>
      <c r="D563" s="2">
        <v>1740</v>
      </c>
      <c r="E563" s="2" t="s">
        <v>7092</v>
      </c>
      <c r="F563" s="3" t="s">
        <v>14206</v>
      </c>
      <c r="H563" s="3" t="s">
        <v>846</v>
      </c>
      <c r="K563" s="2">
        <v>10</v>
      </c>
      <c r="L563" s="2">
        <v>1</v>
      </c>
      <c r="M563" s="3" t="s">
        <v>99</v>
      </c>
      <c r="N563" s="3" t="s">
        <v>847</v>
      </c>
      <c r="O563" s="3" t="s">
        <v>848</v>
      </c>
      <c r="P563" s="3" t="s">
        <v>849</v>
      </c>
      <c r="Q563" s="30" t="str">
        <f t="shared" si="8"/>
        <v>MAX : 2.031
TARGET : 2.000
MIN : 1.969</v>
      </c>
    </row>
    <row r="564" spans="2:18" ht="41.4" x14ac:dyDescent="0.3">
      <c r="B564">
        <v>0</v>
      </c>
      <c r="C564" s="33">
        <v>5279</v>
      </c>
      <c r="D564" s="2">
        <v>950</v>
      </c>
      <c r="E564" s="2" t="s">
        <v>7312</v>
      </c>
      <c r="F564" s="3" t="s">
        <v>14206</v>
      </c>
      <c r="H564" s="3" t="s">
        <v>922</v>
      </c>
      <c r="K564" t="s">
        <v>6295</v>
      </c>
      <c r="L564" s="2">
        <v>3</v>
      </c>
      <c r="M564" s="3" t="s">
        <v>929</v>
      </c>
      <c r="N564" s="3" t="s">
        <v>1016</v>
      </c>
      <c r="O564" s="3" t="s">
        <v>1017</v>
      </c>
      <c r="P564" s="3" t="s">
        <v>535</v>
      </c>
      <c r="Q564" s="30" t="str">
        <f t="shared" si="8"/>
        <v>MAX : 0.916
TARGET : 0.896
MIN : 0.876</v>
      </c>
      <c r="R564" s="3" t="s">
        <v>926</v>
      </c>
    </row>
    <row r="565" spans="2:18" ht="41.4" x14ac:dyDescent="0.3">
      <c r="B565">
        <v>0</v>
      </c>
      <c r="C565" s="33">
        <v>5279</v>
      </c>
      <c r="D565" s="2">
        <v>950</v>
      </c>
      <c r="E565" s="2" t="s">
        <v>7312</v>
      </c>
      <c r="F565" s="3" t="s">
        <v>14206</v>
      </c>
      <c r="H565" s="3" t="s">
        <v>922</v>
      </c>
      <c r="K565" t="s">
        <v>6295</v>
      </c>
      <c r="L565" s="2">
        <v>4</v>
      </c>
      <c r="M565" s="3" t="s">
        <v>931</v>
      </c>
      <c r="N565" s="3" t="s">
        <v>24</v>
      </c>
      <c r="O565" s="3" t="s">
        <v>25</v>
      </c>
      <c r="Q565" s="30" t="str">
        <f t="shared" si="8"/>
        <v>MAX : 
TARGET : Yes (Pass)
MIN : No (Fail)</v>
      </c>
      <c r="R565" s="3" t="s">
        <v>926</v>
      </c>
    </row>
    <row r="566" spans="2:18" ht="41.4" x14ac:dyDescent="0.3">
      <c r="B566">
        <v>0</v>
      </c>
      <c r="C566" s="33">
        <v>5279</v>
      </c>
      <c r="D566" s="2">
        <v>950</v>
      </c>
      <c r="E566" s="2" t="s">
        <v>7312</v>
      </c>
      <c r="F566" s="3" t="s">
        <v>14206</v>
      </c>
      <c r="H566" s="3" t="s">
        <v>922</v>
      </c>
      <c r="K566" t="s">
        <v>6295</v>
      </c>
      <c r="L566" s="2">
        <v>5</v>
      </c>
      <c r="M566" s="3" t="s">
        <v>1006</v>
      </c>
      <c r="N566" s="3" t="s">
        <v>24</v>
      </c>
      <c r="O566" s="3" t="s">
        <v>25</v>
      </c>
      <c r="Q566" s="30" t="str">
        <f t="shared" si="8"/>
        <v>MAX : 
TARGET : Yes (Pass)
MIN : No (Fail)</v>
      </c>
      <c r="R566" s="3" t="s">
        <v>926</v>
      </c>
    </row>
    <row r="567" spans="2:18" ht="41.4" x14ac:dyDescent="0.3">
      <c r="B567">
        <v>1</v>
      </c>
      <c r="C567" s="33">
        <v>4924</v>
      </c>
      <c r="D567" s="2">
        <v>935</v>
      </c>
      <c r="E567" s="2" t="s">
        <v>7100</v>
      </c>
      <c r="F567" s="3" t="s">
        <v>14207</v>
      </c>
      <c r="H567" s="3" t="s">
        <v>727</v>
      </c>
      <c r="K567" s="2">
        <v>10</v>
      </c>
      <c r="L567" s="2">
        <v>2</v>
      </c>
      <c r="M567" s="3" t="s">
        <v>615</v>
      </c>
      <c r="N567" s="3" t="s">
        <v>855</v>
      </c>
      <c r="O567" s="3" t="s">
        <v>856</v>
      </c>
      <c r="P567" s="3" t="s">
        <v>857</v>
      </c>
      <c r="Q567" s="30" t="str">
        <f t="shared" si="8"/>
        <v>MAX : 16.00
TARGET : 15.50
MIN : 15.00</v>
      </c>
      <c r="R567" s="3" t="s">
        <v>443</v>
      </c>
    </row>
    <row r="568" spans="2:18" ht="41.4" x14ac:dyDescent="0.3">
      <c r="B568">
        <v>1</v>
      </c>
      <c r="C568" s="33">
        <v>4924</v>
      </c>
      <c r="D568" s="2">
        <v>935</v>
      </c>
      <c r="E568" s="2" t="s">
        <v>7100</v>
      </c>
      <c r="F568" s="3" t="s">
        <v>14207</v>
      </c>
      <c r="H568" s="3" t="s">
        <v>727</v>
      </c>
      <c r="K568" s="2">
        <v>10</v>
      </c>
      <c r="L568" s="2">
        <v>1</v>
      </c>
      <c r="M568" s="3" t="s">
        <v>18</v>
      </c>
      <c r="N568" s="3" t="s">
        <v>853</v>
      </c>
      <c r="O568" s="3" t="s">
        <v>457</v>
      </c>
      <c r="P568" s="3" t="s">
        <v>854</v>
      </c>
      <c r="Q568" s="30" t="str">
        <f t="shared" si="8"/>
        <v>MAX : 14.50
TARGET : 14.00
MIN : 13.50</v>
      </c>
      <c r="R568" s="3" t="s">
        <v>443</v>
      </c>
    </row>
    <row r="569" spans="2:18" ht="41.4" x14ac:dyDescent="0.3">
      <c r="B569">
        <v>0</v>
      </c>
      <c r="C569" s="33">
        <v>5280</v>
      </c>
      <c r="D569" s="2">
        <v>951</v>
      </c>
      <c r="E569" s="2" t="s">
        <v>7318</v>
      </c>
      <c r="F569" s="3" t="s">
        <v>14206</v>
      </c>
      <c r="H569" s="3" t="s">
        <v>922</v>
      </c>
      <c r="K569" s="2">
        <v>10</v>
      </c>
      <c r="L569" s="2">
        <v>3</v>
      </c>
      <c r="M569" s="3" t="s">
        <v>929</v>
      </c>
      <c r="N569" s="3" t="s">
        <v>633</v>
      </c>
      <c r="O569" s="3" t="s">
        <v>1021</v>
      </c>
      <c r="P569" s="3" t="s">
        <v>1022</v>
      </c>
      <c r="Q569" s="30" t="str">
        <f t="shared" si="8"/>
        <v>MAX : 0.855
TARGET : 0.835
MIN : 0.815</v>
      </c>
      <c r="R569" s="3" t="s">
        <v>926</v>
      </c>
    </row>
    <row r="570" spans="2:18" ht="41.4" x14ac:dyDescent="0.3">
      <c r="B570">
        <v>0</v>
      </c>
      <c r="C570" s="33">
        <v>5280</v>
      </c>
      <c r="D570" s="2">
        <v>951</v>
      </c>
      <c r="E570" s="2" t="s">
        <v>7318</v>
      </c>
      <c r="F570" s="3" t="s">
        <v>14206</v>
      </c>
      <c r="H570" s="3" t="s">
        <v>922</v>
      </c>
      <c r="K570" s="2">
        <v>10</v>
      </c>
      <c r="L570" s="2">
        <v>4</v>
      </c>
      <c r="M570" s="3" t="s">
        <v>931</v>
      </c>
      <c r="N570" s="3" t="s">
        <v>24</v>
      </c>
      <c r="O570" s="3" t="s">
        <v>25</v>
      </c>
      <c r="Q570" s="30" t="str">
        <f t="shared" si="8"/>
        <v>MAX : 
TARGET : Yes (Pass)
MIN : No (Fail)</v>
      </c>
      <c r="R570" s="3" t="s">
        <v>926</v>
      </c>
    </row>
    <row r="571" spans="2:18" ht="41.4" x14ac:dyDescent="0.3">
      <c r="B571">
        <v>0</v>
      </c>
      <c r="C571" s="33">
        <v>5280</v>
      </c>
      <c r="D571" s="2">
        <v>951</v>
      </c>
      <c r="E571" s="2" t="s">
        <v>7318</v>
      </c>
      <c r="F571" s="3" t="s">
        <v>14206</v>
      </c>
      <c r="H571" s="3" t="s">
        <v>922</v>
      </c>
      <c r="K571" s="2">
        <v>10</v>
      </c>
      <c r="L571" s="2">
        <v>5</v>
      </c>
      <c r="M571" s="3" t="s">
        <v>1006</v>
      </c>
      <c r="N571" s="3" t="s">
        <v>24</v>
      </c>
      <c r="O571" s="3" t="s">
        <v>25</v>
      </c>
      <c r="Q571" s="30" t="str">
        <f t="shared" si="8"/>
        <v>MAX : 
TARGET : Yes (Pass)
MIN : No (Fail)</v>
      </c>
      <c r="R571" s="3" t="s">
        <v>926</v>
      </c>
    </row>
    <row r="572" spans="2:18" ht="41.4" x14ac:dyDescent="0.3">
      <c r="B572">
        <v>1</v>
      </c>
      <c r="C572" s="33">
        <v>4928</v>
      </c>
      <c r="D572" s="2">
        <v>1741</v>
      </c>
      <c r="E572" s="2" t="s">
        <v>7107</v>
      </c>
      <c r="F572" s="3" t="s">
        <v>14206</v>
      </c>
      <c r="H572" s="3" t="s">
        <v>269</v>
      </c>
      <c r="K572" s="2">
        <v>20</v>
      </c>
      <c r="L572" s="2">
        <v>2</v>
      </c>
      <c r="M572" s="3" t="s">
        <v>862</v>
      </c>
      <c r="N572" s="3" t="s">
        <v>863</v>
      </c>
      <c r="O572" s="3" t="s">
        <v>864</v>
      </c>
      <c r="P572" s="3" t="s">
        <v>865</v>
      </c>
      <c r="Q572" s="30" t="str">
        <f t="shared" si="8"/>
        <v>MAX : +0.03
TARGET : 0
MIN : -0.03</v>
      </c>
    </row>
    <row r="573" spans="2:18" ht="41.4" x14ac:dyDescent="0.3">
      <c r="B573">
        <v>1</v>
      </c>
      <c r="C573" s="33">
        <v>4928</v>
      </c>
      <c r="D573" s="2">
        <v>1741</v>
      </c>
      <c r="E573" s="2" t="s">
        <v>7107</v>
      </c>
      <c r="F573" s="3" t="s">
        <v>14206</v>
      </c>
      <c r="H573" s="3" t="s">
        <v>269</v>
      </c>
      <c r="K573" s="2">
        <v>20</v>
      </c>
      <c r="L573" s="2">
        <v>1</v>
      </c>
      <c r="M573" s="3" t="s">
        <v>861</v>
      </c>
      <c r="N573" s="3" t="s">
        <v>13</v>
      </c>
      <c r="O573" s="3" t="s">
        <v>14</v>
      </c>
      <c r="Q573" s="30" t="str">
        <f t="shared" si="8"/>
        <v>MAX : 
TARGET : Yes(Pass)
MIN : No(Fail)</v>
      </c>
    </row>
    <row r="574" spans="2:18" ht="41.4" x14ac:dyDescent="0.3">
      <c r="B574">
        <v>0</v>
      </c>
      <c r="C574" s="33">
        <v>5281</v>
      </c>
      <c r="D574" s="2">
        <v>952</v>
      </c>
      <c r="E574" s="2" t="s">
        <v>7324</v>
      </c>
      <c r="F574" s="3" t="s">
        <v>14206</v>
      </c>
      <c r="H574" s="3" t="s">
        <v>922</v>
      </c>
      <c r="K574" s="2">
        <v>10</v>
      </c>
      <c r="L574" s="2">
        <v>3</v>
      </c>
      <c r="M574" s="3" t="s">
        <v>929</v>
      </c>
      <c r="N574" s="3" t="s">
        <v>1026</v>
      </c>
      <c r="O574" s="3" t="s">
        <v>1027</v>
      </c>
      <c r="P574" s="3" t="s">
        <v>1028</v>
      </c>
      <c r="Q574" s="30" t="str">
        <f t="shared" si="8"/>
        <v>MAX : 1.041
TARGET : 1.021
MIN : 1.001</v>
      </c>
      <c r="R574" s="3" t="s">
        <v>926</v>
      </c>
    </row>
    <row r="575" spans="2:18" ht="41.4" x14ac:dyDescent="0.3">
      <c r="B575">
        <v>0</v>
      </c>
      <c r="C575" s="33">
        <v>5281</v>
      </c>
      <c r="D575" s="2">
        <v>952</v>
      </c>
      <c r="E575" s="2" t="s">
        <v>7324</v>
      </c>
      <c r="F575" s="3" t="s">
        <v>14206</v>
      </c>
      <c r="H575" s="3" t="s">
        <v>922</v>
      </c>
      <c r="K575" s="2">
        <v>10</v>
      </c>
      <c r="L575" s="2">
        <v>4</v>
      </c>
      <c r="M575" s="3" t="s">
        <v>931</v>
      </c>
      <c r="N575" s="3" t="s">
        <v>24</v>
      </c>
      <c r="O575" s="3" t="s">
        <v>25</v>
      </c>
      <c r="Q575" s="30" t="str">
        <f t="shared" si="8"/>
        <v>MAX : 
TARGET : Yes (Pass)
MIN : No (Fail)</v>
      </c>
      <c r="R575" s="3" t="s">
        <v>926</v>
      </c>
    </row>
    <row r="576" spans="2:18" ht="41.4" x14ac:dyDescent="0.3">
      <c r="B576">
        <v>0</v>
      </c>
      <c r="C576" s="33">
        <v>5281</v>
      </c>
      <c r="D576" s="2">
        <v>952</v>
      </c>
      <c r="E576" s="2" t="s">
        <v>7324</v>
      </c>
      <c r="F576" s="3" t="s">
        <v>14206</v>
      </c>
      <c r="H576" s="3" t="s">
        <v>922</v>
      </c>
      <c r="K576" s="2">
        <v>10</v>
      </c>
      <c r="L576" s="2">
        <v>5</v>
      </c>
      <c r="M576" s="3" t="s">
        <v>1006</v>
      </c>
      <c r="N576" s="3" t="s">
        <v>24</v>
      </c>
      <c r="O576" s="3" t="s">
        <v>25</v>
      </c>
      <c r="Q576" s="30" t="str">
        <f t="shared" si="8"/>
        <v>MAX : 
TARGET : Yes (Pass)
MIN : No (Fail)</v>
      </c>
      <c r="R576" s="3" t="s">
        <v>926</v>
      </c>
    </row>
    <row r="577" spans="2:18" ht="41.4" x14ac:dyDescent="0.3">
      <c r="B577">
        <v>1</v>
      </c>
      <c r="C577" s="33">
        <v>4951</v>
      </c>
      <c r="D577" s="2">
        <v>936</v>
      </c>
      <c r="E577" s="2" t="s">
        <v>7115</v>
      </c>
      <c r="F577" s="3" t="s">
        <v>14206</v>
      </c>
      <c r="H577" s="3" t="s">
        <v>962</v>
      </c>
      <c r="K577" s="2">
        <v>10</v>
      </c>
      <c r="L577" s="2">
        <v>2</v>
      </c>
      <c r="M577" s="3" t="s">
        <v>18</v>
      </c>
      <c r="N577" s="3" t="s">
        <v>965</v>
      </c>
      <c r="O577" s="3" t="s">
        <v>966</v>
      </c>
      <c r="P577" s="3" t="s">
        <v>967</v>
      </c>
      <c r="Q577" s="30" t="str">
        <f t="shared" si="8"/>
        <v>MAX : 7.08
TARGET : 7.00
MIN : 6.92</v>
      </c>
    </row>
    <row r="578" spans="2:18" ht="41.4" x14ac:dyDescent="0.3">
      <c r="B578">
        <v>1</v>
      </c>
      <c r="C578" s="33">
        <v>4951</v>
      </c>
      <c r="D578" s="2">
        <v>936</v>
      </c>
      <c r="E578" s="2" t="s">
        <v>7115</v>
      </c>
      <c r="F578" s="3" t="s">
        <v>14206</v>
      </c>
      <c r="H578" s="3" t="s">
        <v>962</v>
      </c>
      <c r="K578" s="2">
        <v>10</v>
      </c>
      <c r="L578" s="2">
        <v>1</v>
      </c>
      <c r="M578" s="3" t="s">
        <v>22</v>
      </c>
      <c r="N578" s="3" t="s">
        <v>963</v>
      </c>
      <c r="O578" s="3" t="s">
        <v>272</v>
      </c>
      <c r="P578" s="3" t="s">
        <v>964</v>
      </c>
      <c r="Q578" s="30" t="str">
        <f t="shared" ref="Q578:Q641" si="9">"MAX : " &amp; P578 &amp; CHAR(10) &amp; "TARGET : " &amp; O578 &amp; CHAR(10) &amp; "MIN : " &amp; N578</f>
        <v>MAX : 1.08
TARGET : 1.00
MIN : 0.92</v>
      </c>
    </row>
    <row r="579" spans="2:18" ht="41.4" x14ac:dyDescent="0.3">
      <c r="B579">
        <v>0</v>
      </c>
      <c r="C579" s="33">
        <v>5282</v>
      </c>
      <c r="D579" s="2">
        <v>953</v>
      </c>
      <c r="E579" s="2" t="s">
        <v>7330</v>
      </c>
      <c r="F579" s="3" t="s">
        <v>14206</v>
      </c>
      <c r="H579" s="3" t="s">
        <v>922</v>
      </c>
      <c r="K579" s="2">
        <v>20</v>
      </c>
      <c r="L579" s="2">
        <v>3</v>
      </c>
      <c r="M579" s="3" t="s">
        <v>944</v>
      </c>
      <c r="N579" s="3" t="s">
        <v>1035</v>
      </c>
      <c r="O579" s="3" t="s">
        <v>86</v>
      </c>
      <c r="P579" s="3" t="s">
        <v>1036</v>
      </c>
      <c r="Q579" s="30" t="str">
        <f t="shared" si="9"/>
        <v>MAX : 0.520
TARGET : 0.500
MIN : 0.480</v>
      </c>
      <c r="R579" s="3" t="s">
        <v>926</v>
      </c>
    </row>
    <row r="580" spans="2:18" ht="41.4" x14ac:dyDescent="0.3">
      <c r="B580">
        <v>0</v>
      </c>
      <c r="C580" s="33">
        <v>5282</v>
      </c>
      <c r="D580" s="2">
        <v>953</v>
      </c>
      <c r="E580" s="2" t="s">
        <v>7330</v>
      </c>
      <c r="F580" s="3" t="s">
        <v>14206</v>
      </c>
      <c r="H580" s="3" t="s">
        <v>922</v>
      </c>
      <c r="K580" s="2">
        <v>20</v>
      </c>
      <c r="L580" s="2">
        <v>4</v>
      </c>
      <c r="M580" s="3" t="s">
        <v>1037</v>
      </c>
      <c r="O580" s="3" t="s">
        <v>1038</v>
      </c>
      <c r="P580" s="3" t="s">
        <v>1039</v>
      </c>
      <c r="Q580" s="30" t="str">
        <f t="shared" si="9"/>
        <v xml:space="preserve">MAX : 0.020
TARGET : 0.000
MIN : </v>
      </c>
      <c r="R580" s="3" t="s">
        <v>926</v>
      </c>
    </row>
    <row r="581" spans="2:18" ht="41.4" x14ac:dyDescent="0.3">
      <c r="B581">
        <v>0</v>
      </c>
      <c r="C581" s="33">
        <v>5282</v>
      </c>
      <c r="D581" s="2">
        <v>953</v>
      </c>
      <c r="E581" s="2" t="s">
        <v>7330</v>
      </c>
      <c r="F581" s="3" t="s">
        <v>14206</v>
      </c>
      <c r="H581" s="3" t="s">
        <v>922</v>
      </c>
      <c r="K581" s="2">
        <v>20</v>
      </c>
      <c r="L581" s="2">
        <v>5</v>
      </c>
      <c r="M581" s="3" t="s">
        <v>931</v>
      </c>
      <c r="N581" s="3" t="s">
        <v>24</v>
      </c>
      <c r="O581" s="3" t="s">
        <v>25</v>
      </c>
      <c r="Q581" s="30" t="str">
        <f t="shared" si="9"/>
        <v>MAX : 
TARGET : Yes (Pass)
MIN : No (Fail)</v>
      </c>
      <c r="R581" s="3" t="s">
        <v>926</v>
      </c>
    </row>
    <row r="582" spans="2:18" ht="41.4" x14ac:dyDescent="0.3">
      <c r="B582">
        <v>1</v>
      </c>
      <c r="C582" s="33">
        <v>4951</v>
      </c>
      <c r="D582" s="2">
        <v>936</v>
      </c>
      <c r="E582" s="2" t="s">
        <v>7115</v>
      </c>
      <c r="F582" s="3" t="s">
        <v>14206</v>
      </c>
      <c r="H582" s="3" t="s">
        <v>962</v>
      </c>
      <c r="K582" s="2">
        <v>10</v>
      </c>
      <c r="L582" s="2">
        <v>3</v>
      </c>
      <c r="M582" s="3" t="s">
        <v>638</v>
      </c>
      <c r="N582" s="3" t="s">
        <v>13</v>
      </c>
      <c r="O582" s="3" t="s">
        <v>14</v>
      </c>
      <c r="Q582" s="30" t="str">
        <f t="shared" si="9"/>
        <v>MAX : 
TARGET : Yes(Pass)
MIN : No(Fail)</v>
      </c>
    </row>
    <row r="583" spans="2:18" ht="41.4" x14ac:dyDescent="0.3">
      <c r="B583">
        <v>1</v>
      </c>
      <c r="C583" s="33">
        <v>4951</v>
      </c>
      <c r="D583" s="2">
        <v>936</v>
      </c>
      <c r="E583" s="2" t="s">
        <v>7115</v>
      </c>
      <c r="F583" s="3" t="s">
        <v>14206</v>
      </c>
      <c r="H583" s="3" t="s">
        <v>962</v>
      </c>
      <c r="K583" s="2">
        <v>10</v>
      </c>
      <c r="L583" s="2">
        <v>4</v>
      </c>
      <c r="M583" s="3" t="s">
        <v>639</v>
      </c>
      <c r="N583" s="3" t="s">
        <v>13</v>
      </c>
      <c r="O583" s="3" t="s">
        <v>14</v>
      </c>
      <c r="Q583" s="30" t="str">
        <f t="shared" si="9"/>
        <v>MAX : 
TARGET : Yes(Pass)
MIN : No(Fail)</v>
      </c>
    </row>
    <row r="584" spans="2:18" ht="41.4" x14ac:dyDescent="0.3">
      <c r="B584">
        <v>0</v>
      </c>
      <c r="C584" s="33">
        <v>5283</v>
      </c>
      <c r="D584" s="2">
        <v>954</v>
      </c>
      <c r="E584" s="2" t="s">
        <v>7336</v>
      </c>
      <c r="F584" s="3" t="s">
        <v>14206</v>
      </c>
      <c r="H584" s="3" t="s">
        <v>922</v>
      </c>
      <c r="K584" s="2">
        <v>20</v>
      </c>
      <c r="L584" s="2">
        <v>3</v>
      </c>
      <c r="M584" s="3" t="s">
        <v>944</v>
      </c>
      <c r="N584" s="3" t="s">
        <v>1035</v>
      </c>
      <c r="O584" s="3" t="s">
        <v>86</v>
      </c>
      <c r="P584" s="3" t="s">
        <v>1036</v>
      </c>
      <c r="Q584" s="30" t="str">
        <f t="shared" si="9"/>
        <v>MAX : 0.520
TARGET : 0.500
MIN : 0.480</v>
      </c>
      <c r="R584" s="3" t="s">
        <v>926</v>
      </c>
    </row>
    <row r="585" spans="2:18" ht="41.4" x14ac:dyDescent="0.3">
      <c r="B585">
        <v>0</v>
      </c>
      <c r="C585" s="33">
        <v>5283</v>
      </c>
      <c r="D585" s="2">
        <v>954</v>
      </c>
      <c r="E585" s="2" t="s">
        <v>7336</v>
      </c>
      <c r="F585" s="3" t="s">
        <v>14206</v>
      </c>
      <c r="H585" s="3" t="s">
        <v>922</v>
      </c>
      <c r="K585" s="2">
        <v>20</v>
      </c>
      <c r="L585" s="2">
        <v>4</v>
      </c>
      <c r="M585" s="3" t="s">
        <v>1048</v>
      </c>
      <c r="N585" s="3" t="s">
        <v>1049</v>
      </c>
      <c r="O585" s="3" t="s">
        <v>1050</v>
      </c>
      <c r="P585" s="3" t="s">
        <v>1051</v>
      </c>
      <c r="Q585" s="30" t="str">
        <f t="shared" si="9"/>
        <v>MAX : 2.461
TARGET : 2.441
MIN : 2.421</v>
      </c>
      <c r="R585" s="3" t="s">
        <v>926</v>
      </c>
    </row>
    <row r="586" spans="2:18" ht="41.4" x14ac:dyDescent="0.3">
      <c r="B586">
        <v>0</v>
      </c>
      <c r="C586" s="33">
        <v>5283</v>
      </c>
      <c r="D586" s="2">
        <v>954</v>
      </c>
      <c r="E586" s="2" t="s">
        <v>7336</v>
      </c>
      <c r="F586" s="3" t="s">
        <v>14206</v>
      </c>
      <c r="H586" s="3" t="s">
        <v>922</v>
      </c>
      <c r="K586" s="2">
        <v>20</v>
      </c>
      <c r="L586" s="2">
        <v>5</v>
      </c>
      <c r="M586" s="3" t="s">
        <v>931</v>
      </c>
      <c r="N586" s="3" t="s">
        <v>24</v>
      </c>
      <c r="O586" s="3" t="s">
        <v>25</v>
      </c>
      <c r="Q586" s="30" t="str">
        <f t="shared" si="9"/>
        <v>MAX : 
TARGET : Yes (Pass)
MIN : No (Fail)</v>
      </c>
      <c r="R586" s="3" t="s">
        <v>926</v>
      </c>
    </row>
    <row r="587" spans="2:18" ht="41.4" x14ac:dyDescent="0.3">
      <c r="B587">
        <v>1</v>
      </c>
      <c r="C587" s="33">
        <v>4951</v>
      </c>
      <c r="D587" s="2">
        <v>936</v>
      </c>
      <c r="E587" s="2" t="s">
        <v>7115</v>
      </c>
      <c r="F587" s="3" t="s">
        <v>14206</v>
      </c>
      <c r="H587" s="3" t="s">
        <v>962</v>
      </c>
      <c r="K587" s="2">
        <v>10</v>
      </c>
      <c r="L587" s="2">
        <v>5</v>
      </c>
      <c r="M587" s="3" t="s">
        <v>605</v>
      </c>
      <c r="N587" s="3" t="s">
        <v>13</v>
      </c>
      <c r="O587" s="3" t="s">
        <v>14</v>
      </c>
      <c r="Q587" s="30" t="str">
        <f t="shared" si="9"/>
        <v>MAX : 
TARGET : Yes(Pass)
MIN : No(Fail)</v>
      </c>
    </row>
    <row r="588" spans="2:18" ht="41.4" x14ac:dyDescent="0.3">
      <c r="B588">
        <v>1</v>
      </c>
      <c r="C588" s="33">
        <v>4967</v>
      </c>
      <c r="D588" s="2">
        <v>1742</v>
      </c>
      <c r="E588" s="2" t="s">
        <v>7123</v>
      </c>
      <c r="F588" s="3" t="s">
        <v>14206</v>
      </c>
      <c r="H588" s="3" t="s">
        <v>193</v>
      </c>
      <c r="K588" s="2">
        <v>20</v>
      </c>
      <c r="L588" s="2">
        <v>2</v>
      </c>
      <c r="M588" s="3" t="s">
        <v>869</v>
      </c>
      <c r="N588" s="3" t="s">
        <v>13</v>
      </c>
      <c r="O588" s="3" t="s">
        <v>14</v>
      </c>
      <c r="Q588" s="30" t="str">
        <f t="shared" si="9"/>
        <v>MAX : 
TARGET : Yes(Pass)
MIN : No(Fail)</v>
      </c>
    </row>
    <row r="589" spans="2:18" ht="41.4" x14ac:dyDescent="0.3">
      <c r="B589">
        <v>1</v>
      </c>
      <c r="C589" s="33">
        <v>4967</v>
      </c>
      <c r="D589" s="2">
        <v>1742</v>
      </c>
      <c r="E589" s="2" t="s">
        <v>7123</v>
      </c>
      <c r="F589" s="3" t="s">
        <v>14206</v>
      </c>
      <c r="H589" s="3" t="s">
        <v>193</v>
      </c>
      <c r="K589" s="2">
        <v>20</v>
      </c>
      <c r="L589" s="2">
        <v>1</v>
      </c>
      <c r="M589" s="3" t="s">
        <v>868</v>
      </c>
      <c r="N589" s="3" t="s">
        <v>308</v>
      </c>
      <c r="O589" s="3" t="s">
        <v>309</v>
      </c>
      <c r="P589" s="3" t="s">
        <v>310</v>
      </c>
      <c r="Q589" s="30" t="str">
        <f t="shared" si="9"/>
        <v>MAX : 0.53
TARGET : 0.50
MIN : 0.47</v>
      </c>
    </row>
    <row r="590" spans="2:18" ht="41.4" x14ac:dyDescent="0.3">
      <c r="B590">
        <v>1</v>
      </c>
      <c r="C590" s="33">
        <v>4967</v>
      </c>
      <c r="D590" s="2">
        <v>1742</v>
      </c>
      <c r="E590" s="2" t="s">
        <v>7123</v>
      </c>
      <c r="F590" s="3" t="s">
        <v>14206</v>
      </c>
      <c r="H590" s="3" t="s">
        <v>193</v>
      </c>
      <c r="K590" s="2">
        <v>20</v>
      </c>
      <c r="L590" s="2">
        <v>3</v>
      </c>
      <c r="M590" s="3" t="s">
        <v>611</v>
      </c>
      <c r="Q590" s="30" t="str">
        <f t="shared" si="9"/>
        <v xml:space="preserve">MAX : 
TARGET : 
MIN : </v>
      </c>
    </row>
    <row r="591" spans="2:18" ht="41.4" x14ac:dyDescent="0.3">
      <c r="B591">
        <v>1</v>
      </c>
      <c r="C591" s="33">
        <v>4975</v>
      </c>
      <c r="D591" s="2">
        <v>1743</v>
      </c>
      <c r="E591" s="2" t="s">
        <v>7129</v>
      </c>
      <c r="F591" s="3" t="s">
        <v>14206</v>
      </c>
      <c r="H591" s="3" t="s">
        <v>870</v>
      </c>
      <c r="K591" s="2">
        <v>10</v>
      </c>
      <c r="L591" s="2">
        <v>2</v>
      </c>
      <c r="M591" s="3" t="s">
        <v>872</v>
      </c>
      <c r="N591" s="3" t="s">
        <v>851</v>
      </c>
      <c r="O591" s="3" t="s">
        <v>852</v>
      </c>
      <c r="Q591" s="30" t="str">
        <f t="shared" si="9"/>
        <v>MAX : 
TARGET : Yes(pass)
MIN : No(fail)</v>
      </c>
    </row>
    <row r="592" spans="2:18" ht="41.4" x14ac:dyDescent="0.3">
      <c r="B592">
        <v>0</v>
      </c>
      <c r="C592" s="33">
        <v>5309</v>
      </c>
      <c r="D592" s="2">
        <v>1757</v>
      </c>
      <c r="E592" s="2" t="s">
        <v>7349</v>
      </c>
      <c r="F592" s="3" t="s">
        <v>14206</v>
      </c>
      <c r="H592" s="3" t="s">
        <v>1059</v>
      </c>
      <c r="K592" s="2">
        <v>30</v>
      </c>
      <c r="L592" s="2">
        <v>3</v>
      </c>
      <c r="M592" s="3" t="s">
        <v>1061</v>
      </c>
      <c r="N592" s="3" t="s">
        <v>13</v>
      </c>
      <c r="O592" s="3" t="s">
        <v>14</v>
      </c>
      <c r="Q592" s="30" t="str">
        <f t="shared" si="9"/>
        <v>MAX : 
TARGET : Yes(Pass)
MIN : No(Fail)</v>
      </c>
    </row>
    <row r="593" spans="2:17" ht="41.4" x14ac:dyDescent="0.3">
      <c r="B593">
        <v>0</v>
      </c>
      <c r="C593" s="33">
        <v>5309</v>
      </c>
      <c r="D593" s="2">
        <v>1757</v>
      </c>
      <c r="E593" s="2" t="s">
        <v>7349</v>
      </c>
      <c r="F593" s="3" t="s">
        <v>14206</v>
      </c>
      <c r="H593" s="3" t="s">
        <v>1059</v>
      </c>
      <c r="K593" s="2">
        <v>30</v>
      </c>
      <c r="L593" s="2">
        <v>4</v>
      </c>
      <c r="M593" s="3" t="s">
        <v>1062</v>
      </c>
      <c r="N593" s="3" t="s">
        <v>13</v>
      </c>
      <c r="O593" s="3" t="s">
        <v>14</v>
      </c>
      <c r="Q593" s="30" t="str">
        <f t="shared" si="9"/>
        <v>MAX : 
TARGET : Yes(Pass)
MIN : No(Fail)</v>
      </c>
    </row>
    <row r="594" spans="2:17" ht="41.4" x14ac:dyDescent="0.3">
      <c r="B594">
        <v>1</v>
      </c>
      <c r="C594" s="33">
        <v>4975</v>
      </c>
      <c r="D594" s="2">
        <v>1743</v>
      </c>
      <c r="E594" s="2" t="s">
        <v>7129</v>
      </c>
      <c r="F594" s="3" t="s">
        <v>14206</v>
      </c>
      <c r="H594" s="3" t="s">
        <v>870</v>
      </c>
      <c r="K594" s="2">
        <v>10</v>
      </c>
      <c r="L594" s="2">
        <v>1</v>
      </c>
      <c r="M594" s="3" t="s">
        <v>198</v>
      </c>
      <c r="N594" s="3" t="s">
        <v>871</v>
      </c>
      <c r="O594" s="3" t="s">
        <v>276</v>
      </c>
      <c r="P594" s="3" t="s">
        <v>277</v>
      </c>
      <c r="Q594" s="30" t="str">
        <f t="shared" si="9"/>
        <v>MAX : 0.406
TARGET : 0.375
MIN : 0.344</v>
      </c>
    </row>
    <row r="595" spans="2:17" ht="41.4" x14ac:dyDescent="0.3">
      <c r="B595">
        <v>1</v>
      </c>
      <c r="C595" s="33">
        <v>4979</v>
      </c>
      <c r="D595" s="2">
        <v>1744</v>
      </c>
      <c r="E595" s="2" t="s">
        <v>7136</v>
      </c>
      <c r="F595" s="3" t="s">
        <v>14206</v>
      </c>
      <c r="H595" s="3" t="s">
        <v>491</v>
      </c>
      <c r="K595" s="2">
        <v>10</v>
      </c>
      <c r="L595" s="2">
        <v>2</v>
      </c>
      <c r="M595" s="3" t="s">
        <v>875</v>
      </c>
      <c r="N595" s="3" t="s">
        <v>13</v>
      </c>
      <c r="O595" s="3" t="s">
        <v>14</v>
      </c>
      <c r="Q595" s="30" t="str">
        <f t="shared" si="9"/>
        <v>MAX : 
TARGET : Yes(Pass)
MIN : No(Fail)</v>
      </c>
    </row>
    <row r="596" spans="2:17" ht="41.4" x14ac:dyDescent="0.3">
      <c r="B596">
        <v>1</v>
      </c>
      <c r="C596" s="33">
        <v>4979</v>
      </c>
      <c r="D596" s="2">
        <v>1744</v>
      </c>
      <c r="E596" s="2" t="s">
        <v>7136</v>
      </c>
      <c r="F596" s="3" t="s">
        <v>14206</v>
      </c>
      <c r="H596" s="3" t="s">
        <v>491</v>
      </c>
      <c r="K596" s="2">
        <v>10</v>
      </c>
      <c r="L596" s="2">
        <v>1</v>
      </c>
      <c r="M596" s="3" t="s">
        <v>873</v>
      </c>
      <c r="N596" s="3" t="s">
        <v>874</v>
      </c>
      <c r="O596" s="3" t="s">
        <v>748</v>
      </c>
      <c r="P596" s="3" t="s">
        <v>749</v>
      </c>
      <c r="Q596" s="30" t="str">
        <f t="shared" si="9"/>
        <v>MAX : 2.01
TARGET : 1.98
MIN : 1.95</v>
      </c>
    </row>
    <row r="597" spans="2:17" ht="41.4" x14ac:dyDescent="0.3">
      <c r="B597">
        <v>1</v>
      </c>
      <c r="C597" s="33">
        <v>4980</v>
      </c>
      <c r="D597" s="2">
        <v>937</v>
      </c>
      <c r="E597" s="2" t="s">
        <v>7142</v>
      </c>
      <c r="F597" s="3" t="s">
        <v>14206</v>
      </c>
      <c r="H597" s="3" t="s">
        <v>648</v>
      </c>
      <c r="K597" s="2">
        <v>10</v>
      </c>
      <c r="L597" s="2">
        <v>2</v>
      </c>
      <c r="M597" s="3" t="s">
        <v>879</v>
      </c>
      <c r="N597" s="3" t="s">
        <v>24</v>
      </c>
      <c r="O597" s="3" t="s">
        <v>25</v>
      </c>
      <c r="Q597" s="30" t="str">
        <f t="shared" si="9"/>
        <v>MAX : 
TARGET : Yes (Pass)
MIN : No (Fail)</v>
      </c>
    </row>
    <row r="598" spans="2:17" ht="41.4" x14ac:dyDescent="0.3">
      <c r="B598">
        <v>0</v>
      </c>
      <c r="C598" s="33">
        <v>5354</v>
      </c>
      <c r="D598" s="2">
        <v>956</v>
      </c>
      <c r="E598" s="2" t="s">
        <v>7370</v>
      </c>
      <c r="F598" s="3" t="s">
        <v>14206</v>
      </c>
      <c r="H598" s="3" t="s">
        <v>1069</v>
      </c>
      <c r="K598" s="2">
        <v>20</v>
      </c>
      <c r="L598" s="2">
        <v>3</v>
      </c>
      <c r="M598" s="3" t="s">
        <v>1072</v>
      </c>
      <c r="N598" s="3" t="s">
        <v>1073</v>
      </c>
      <c r="O598" s="3" t="s">
        <v>1074</v>
      </c>
      <c r="P598" s="3" t="s">
        <v>1075</v>
      </c>
      <c r="Q598" s="30" t="str">
        <f t="shared" si="9"/>
        <v>MAX : 0.2500
TARGET : 0.1875
MIN : 0.1250</v>
      </c>
    </row>
    <row r="599" spans="2:17" ht="41.4" x14ac:dyDescent="0.3">
      <c r="B599">
        <v>0</v>
      </c>
      <c r="C599" s="33">
        <v>5354</v>
      </c>
      <c r="D599" s="2">
        <v>956</v>
      </c>
      <c r="E599" s="2" t="s">
        <v>7370</v>
      </c>
      <c r="F599" s="3" t="s">
        <v>14206</v>
      </c>
      <c r="H599" s="3" t="s">
        <v>1069</v>
      </c>
      <c r="K599" s="2">
        <v>10</v>
      </c>
      <c r="L599" s="2">
        <v>2</v>
      </c>
      <c r="M599" s="3" t="s">
        <v>1076</v>
      </c>
      <c r="N599" s="3" t="s">
        <v>13</v>
      </c>
      <c r="O599" s="3" t="s">
        <v>14</v>
      </c>
      <c r="Q599" s="30" t="str">
        <f t="shared" si="9"/>
        <v>MAX : 
TARGET : Yes(Pass)
MIN : No(Fail)</v>
      </c>
    </row>
    <row r="600" spans="2:17" ht="41.4" x14ac:dyDescent="0.3">
      <c r="B600">
        <v>0</v>
      </c>
      <c r="C600" s="33">
        <v>5354</v>
      </c>
      <c r="D600" s="2">
        <v>956</v>
      </c>
      <c r="E600" s="2" t="s">
        <v>7370</v>
      </c>
      <c r="F600" s="3" t="s">
        <v>14206</v>
      </c>
      <c r="H600" s="3" t="s">
        <v>1069</v>
      </c>
      <c r="K600" s="2">
        <v>20</v>
      </c>
      <c r="L600" s="2">
        <v>4</v>
      </c>
      <c r="M600" s="3" t="s">
        <v>1077</v>
      </c>
      <c r="N600" s="3" t="s">
        <v>13</v>
      </c>
      <c r="O600" s="3" t="s">
        <v>14</v>
      </c>
      <c r="Q600" s="30" t="str">
        <f t="shared" si="9"/>
        <v>MAX : 
TARGET : Yes(Pass)
MIN : No(Fail)</v>
      </c>
    </row>
    <row r="601" spans="2:17" ht="41.4" x14ac:dyDescent="0.3">
      <c r="B601">
        <v>0</v>
      </c>
      <c r="C601" s="33">
        <v>5354</v>
      </c>
      <c r="D601" s="2">
        <v>956</v>
      </c>
      <c r="E601" s="2" t="s">
        <v>7370</v>
      </c>
      <c r="F601" s="3" t="s">
        <v>14206</v>
      </c>
      <c r="H601" s="3" t="s">
        <v>1069</v>
      </c>
      <c r="K601" s="2">
        <v>20</v>
      </c>
      <c r="L601" s="2">
        <v>5</v>
      </c>
      <c r="M601" s="3" t="s">
        <v>1078</v>
      </c>
      <c r="N601" s="3" t="s">
        <v>13</v>
      </c>
      <c r="O601" s="3" t="s">
        <v>14</v>
      </c>
      <c r="Q601" s="30" t="str">
        <f t="shared" si="9"/>
        <v>MAX : 
TARGET : Yes(Pass)
MIN : No(Fail)</v>
      </c>
    </row>
    <row r="602" spans="2:17" ht="41.4" x14ac:dyDescent="0.3">
      <c r="B602">
        <v>0</v>
      </c>
      <c r="C602" s="33">
        <v>5354</v>
      </c>
      <c r="D602" s="2">
        <v>956</v>
      </c>
      <c r="E602" s="2" t="s">
        <v>7370</v>
      </c>
      <c r="F602" s="3" t="s">
        <v>14206</v>
      </c>
      <c r="H602" s="3" t="s">
        <v>1069</v>
      </c>
      <c r="K602" s="2">
        <v>20</v>
      </c>
      <c r="L602" s="2">
        <v>6</v>
      </c>
      <c r="M602" s="3" t="s">
        <v>1079</v>
      </c>
      <c r="N602" s="3" t="s">
        <v>13</v>
      </c>
      <c r="O602" s="3" t="s">
        <v>14</v>
      </c>
      <c r="Q602" s="30" t="str">
        <f t="shared" si="9"/>
        <v>MAX : 
TARGET : Yes(Pass)
MIN : No(Fail)</v>
      </c>
    </row>
    <row r="603" spans="2:17" ht="41.4" x14ac:dyDescent="0.3">
      <c r="B603">
        <v>1</v>
      </c>
      <c r="C603" s="33">
        <v>4980</v>
      </c>
      <c r="D603" s="2">
        <v>937</v>
      </c>
      <c r="E603" s="2" t="s">
        <v>7142</v>
      </c>
      <c r="F603" s="3" t="s">
        <v>14206</v>
      </c>
      <c r="H603" s="3" t="s">
        <v>648</v>
      </c>
      <c r="K603" s="2">
        <v>10</v>
      </c>
      <c r="L603" s="2">
        <v>1</v>
      </c>
      <c r="M603" s="3" t="s">
        <v>811</v>
      </c>
      <c r="N603" s="3" t="s">
        <v>24</v>
      </c>
      <c r="O603" s="3" t="s">
        <v>25</v>
      </c>
      <c r="Q603" s="30" t="str">
        <f t="shared" si="9"/>
        <v>MAX : 
TARGET : Yes (Pass)
MIN : No (Fail)</v>
      </c>
    </row>
    <row r="604" spans="2:17" ht="41.4" x14ac:dyDescent="0.3">
      <c r="B604">
        <v>1</v>
      </c>
      <c r="C604" s="33">
        <v>4982</v>
      </c>
      <c r="D604" s="2">
        <v>938</v>
      </c>
      <c r="E604" s="2" t="s">
        <v>7148</v>
      </c>
      <c r="F604" s="3" t="s">
        <v>14206</v>
      </c>
      <c r="H604" s="3" t="s">
        <v>876</v>
      </c>
      <c r="K604" s="2">
        <v>10</v>
      </c>
      <c r="L604" s="2">
        <v>2</v>
      </c>
      <c r="M604" s="3" t="s">
        <v>194</v>
      </c>
      <c r="N604" s="3" t="s">
        <v>877</v>
      </c>
      <c r="O604" s="3" t="s">
        <v>836</v>
      </c>
      <c r="P604" s="3" t="s">
        <v>878</v>
      </c>
      <c r="Q604" s="30" t="str">
        <f t="shared" si="9"/>
        <v>MAX : 1.531
TARGET : 1.500
MIN : 1.469</v>
      </c>
    </row>
    <row r="605" spans="2:17" ht="41.4" x14ac:dyDescent="0.3">
      <c r="B605">
        <v>0</v>
      </c>
      <c r="C605" s="33">
        <v>5371</v>
      </c>
      <c r="D605" s="2">
        <v>957</v>
      </c>
      <c r="E605" s="2" t="s">
        <v>7377</v>
      </c>
      <c r="F605" s="3" t="s">
        <v>14206</v>
      </c>
      <c r="H605" s="3" t="s">
        <v>1080</v>
      </c>
      <c r="K605" s="2">
        <v>20</v>
      </c>
      <c r="L605" s="2">
        <v>3</v>
      </c>
      <c r="M605" s="3" t="s">
        <v>78</v>
      </c>
      <c r="N605" s="3" t="s">
        <v>13</v>
      </c>
      <c r="O605" s="3" t="s">
        <v>14</v>
      </c>
      <c r="Q605" s="30" t="str">
        <f t="shared" si="9"/>
        <v>MAX : 
TARGET : Yes(Pass)
MIN : No(Fail)</v>
      </c>
    </row>
    <row r="606" spans="2:17" ht="41.4" x14ac:dyDescent="0.3">
      <c r="B606">
        <v>1</v>
      </c>
      <c r="C606" s="33">
        <v>4982</v>
      </c>
      <c r="D606" s="2">
        <v>938</v>
      </c>
      <c r="E606" s="2" t="s">
        <v>7148</v>
      </c>
      <c r="F606" s="3" t="s">
        <v>14206</v>
      </c>
      <c r="H606" s="3" t="s">
        <v>876</v>
      </c>
      <c r="K606" s="2">
        <v>10</v>
      </c>
      <c r="L606" s="2">
        <v>1</v>
      </c>
      <c r="M606" s="3" t="s">
        <v>198</v>
      </c>
      <c r="N606" s="3" t="s">
        <v>19</v>
      </c>
      <c r="O606" s="3" t="s">
        <v>20</v>
      </c>
      <c r="P606" s="3" t="s">
        <v>379</v>
      </c>
      <c r="Q606" s="30" t="str">
        <f t="shared" si="9"/>
        <v>MAX : 0.875
TARGET : 0.750
MIN : 0.719</v>
      </c>
    </row>
    <row r="607" spans="2:17" ht="41.4" x14ac:dyDescent="0.3">
      <c r="B607">
        <v>1</v>
      </c>
      <c r="C607" s="33">
        <v>4982</v>
      </c>
      <c r="D607" s="2">
        <v>938</v>
      </c>
      <c r="E607" s="2" t="s">
        <v>7148</v>
      </c>
      <c r="F607" s="3" t="s">
        <v>14206</v>
      </c>
      <c r="H607" s="3" t="s">
        <v>876</v>
      </c>
      <c r="K607" s="2">
        <v>10</v>
      </c>
      <c r="L607" s="2">
        <v>3</v>
      </c>
      <c r="M607" s="3" t="s">
        <v>1881</v>
      </c>
      <c r="N607" s="3" t="s">
        <v>13</v>
      </c>
      <c r="O607" s="3" t="s">
        <v>14</v>
      </c>
      <c r="Q607" s="30" t="str">
        <f t="shared" si="9"/>
        <v>MAX : 
TARGET : Yes(Pass)
MIN : No(Fail)</v>
      </c>
    </row>
    <row r="608" spans="2:17" ht="41.4" x14ac:dyDescent="0.3">
      <c r="B608">
        <v>0</v>
      </c>
      <c r="C608" s="33">
        <v>5097</v>
      </c>
      <c r="D608" s="2">
        <v>1750</v>
      </c>
      <c r="E608" s="2" t="s">
        <v>7196</v>
      </c>
      <c r="F608" s="3" t="s">
        <v>14206</v>
      </c>
      <c r="H608" s="3" t="s">
        <v>193</v>
      </c>
      <c r="K608" s="2">
        <v>20</v>
      </c>
      <c r="L608" s="2">
        <v>3</v>
      </c>
      <c r="M608" s="3" t="s">
        <v>1082</v>
      </c>
      <c r="N608" s="3" t="s">
        <v>13</v>
      </c>
      <c r="O608" s="3" t="s">
        <v>14</v>
      </c>
      <c r="Q608" s="30" t="str">
        <f t="shared" si="9"/>
        <v>MAX : 
TARGET : Yes(Pass)
MIN : No(Fail)</v>
      </c>
    </row>
    <row r="609" spans="2:17" ht="41.4" x14ac:dyDescent="0.3">
      <c r="B609">
        <v>0</v>
      </c>
      <c r="C609" s="33">
        <v>5097</v>
      </c>
      <c r="D609" s="2">
        <v>1750</v>
      </c>
      <c r="E609" s="2" t="s">
        <v>7196</v>
      </c>
      <c r="F609" s="3" t="s">
        <v>14206</v>
      </c>
      <c r="H609" s="3" t="s">
        <v>193</v>
      </c>
      <c r="K609" s="2">
        <v>20</v>
      </c>
      <c r="L609" s="2">
        <v>4</v>
      </c>
      <c r="M609" s="3" t="s">
        <v>1083</v>
      </c>
      <c r="N609" s="3" t="s">
        <v>13</v>
      </c>
      <c r="O609" s="3" t="s">
        <v>14</v>
      </c>
      <c r="Q609" s="30" t="str">
        <f t="shared" si="9"/>
        <v>MAX : 
TARGET : Yes(Pass)
MIN : No(Fail)</v>
      </c>
    </row>
    <row r="610" spans="2:17" ht="41.4" x14ac:dyDescent="0.3">
      <c r="B610">
        <v>1</v>
      </c>
      <c r="C610" s="33">
        <v>5005</v>
      </c>
      <c r="D610" s="2">
        <v>939</v>
      </c>
      <c r="E610" s="2" t="s">
        <v>7155</v>
      </c>
      <c r="F610" s="3" t="s">
        <v>14206</v>
      </c>
      <c r="H610" s="3" t="s">
        <v>426</v>
      </c>
      <c r="I610" s="3" t="s">
        <v>575</v>
      </c>
      <c r="K610" s="2">
        <v>20</v>
      </c>
      <c r="L610" s="2">
        <v>2</v>
      </c>
      <c r="M610" s="3" t="s">
        <v>194</v>
      </c>
      <c r="N610" s="3" t="s">
        <v>880</v>
      </c>
      <c r="O610" s="3" t="s">
        <v>83</v>
      </c>
      <c r="P610" s="3" t="s">
        <v>881</v>
      </c>
      <c r="Q610" s="30" t="str">
        <f t="shared" si="9"/>
        <v>MAX : 0.851
TARGET : 0.820
MIN : 0.789</v>
      </c>
    </row>
    <row r="611" spans="2:17" ht="41.4" x14ac:dyDescent="0.3">
      <c r="B611">
        <v>1</v>
      </c>
      <c r="C611" s="33">
        <v>5005</v>
      </c>
      <c r="D611" s="2">
        <v>939</v>
      </c>
      <c r="E611" s="2" t="s">
        <v>7155</v>
      </c>
      <c r="F611" s="3" t="s">
        <v>14206</v>
      </c>
      <c r="H611" s="3" t="s">
        <v>426</v>
      </c>
      <c r="I611" s="3" t="s">
        <v>575</v>
      </c>
      <c r="K611" s="2">
        <v>20</v>
      </c>
      <c r="L611" s="2">
        <v>1</v>
      </c>
      <c r="M611" s="3" t="s">
        <v>198</v>
      </c>
      <c r="N611" s="3" t="s">
        <v>19</v>
      </c>
      <c r="O611" s="3" t="s">
        <v>20</v>
      </c>
      <c r="P611" s="3" t="s">
        <v>21</v>
      </c>
      <c r="Q611" s="30" t="str">
        <f t="shared" si="9"/>
        <v>MAX : 0.781
TARGET : 0.750
MIN : 0.719</v>
      </c>
    </row>
    <row r="612" spans="2:17" ht="41.4" x14ac:dyDescent="0.3">
      <c r="B612">
        <v>0</v>
      </c>
      <c r="C612" s="33">
        <v>5395</v>
      </c>
      <c r="D612" s="2">
        <v>1760</v>
      </c>
      <c r="E612" s="2" t="s">
        <v>7383</v>
      </c>
      <c r="F612" s="3" t="s">
        <v>14207</v>
      </c>
      <c r="H612" s="3" t="s">
        <v>289</v>
      </c>
      <c r="K612" s="2">
        <v>10</v>
      </c>
      <c r="L612" s="2">
        <v>3</v>
      </c>
      <c r="M612" s="3" t="s">
        <v>71</v>
      </c>
      <c r="N612" s="3" t="s">
        <v>13</v>
      </c>
      <c r="O612" s="3" t="s">
        <v>14</v>
      </c>
      <c r="Q612" s="30" t="str">
        <f t="shared" si="9"/>
        <v>MAX : 
TARGET : Yes(Pass)
MIN : No(Fail)</v>
      </c>
    </row>
    <row r="613" spans="2:17" ht="41.4" x14ac:dyDescent="0.3">
      <c r="B613">
        <v>1</v>
      </c>
      <c r="C613" s="33">
        <v>5005</v>
      </c>
      <c r="D613" s="2">
        <v>939</v>
      </c>
      <c r="E613" s="2" t="s">
        <v>7155</v>
      </c>
      <c r="F613" s="3" t="s">
        <v>14206</v>
      </c>
      <c r="H613" s="3" t="s">
        <v>426</v>
      </c>
      <c r="I613" s="3" t="s">
        <v>575</v>
      </c>
      <c r="K613" s="2">
        <v>10</v>
      </c>
      <c r="L613" s="2">
        <v>1</v>
      </c>
      <c r="M613" s="3" t="s">
        <v>325</v>
      </c>
      <c r="N613" s="3" t="s">
        <v>13</v>
      </c>
      <c r="O613" s="3" t="s">
        <v>14</v>
      </c>
      <c r="Q613" s="30" t="str">
        <f t="shared" si="9"/>
        <v>MAX : 
TARGET : Yes(Pass)
MIN : No(Fail)</v>
      </c>
    </row>
    <row r="614" spans="2:17" ht="41.4" x14ac:dyDescent="0.3">
      <c r="B614">
        <v>1</v>
      </c>
      <c r="C614" s="33">
        <v>5005</v>
      </c>
      <c r="D614" s="2">
        <v>939</v>
      </c>
      <c r="E614" s="2" t="s">
        <v>7155</v>
      </c>
      <c r="F614" s="3" t="s">
        <v>14206</v>
      </c>
      <c r="H614" s="3" t="s">
        <v>426</v>
      </c>
      <c r="I614" s="3" t="s">
        <v>575</v>
      </c>
      <c r="K614" s="2">
        <v>20</v>
      </c>
      <c r="L614" s="2">
        <v>3</v>
      </c>
      <c r="M614" s="3" t="s">
        <v>3986</v>
      </c>
      <c r="N614" s="3" t="s">
        <v>13</v>
      </c>
      <c r="O614" s="3" t="s">
        <v>14</v>
      </c>
      <c r="Q614" s="30" t="str">
        <f t="shared" si="9"/>
        <v>MAX : 
TARGET : Yes(Pass)
MIN : No(Fail)</v>
      </c>
    </row>
    <row r="615" spans="2:17" ht="41.4" x14ac:dyDescent="0.3">
      <c r="B615">
        <v>1</v>
      </c>
      <c r="C615" s="33">
        <v>5017</v>
      </c>
      <c r="D615" s="2">
        <v>1745</v>
      </c>
      <c r="E615" s="2" t="s">
        <v>7161</v>
      </c>
      <c r="F615" s="3" t="s">
        <v>14206</v>
      </c>
      <c r="H615" s="3" t="s">
        <v>882</v>
      </c>
      <c r="K615" s="2">
        <v>10</v>
      </c>
      <c r="L615" s="2">
        <v>2</v>
      </c>
      <c r="M615" s="3" t="s">
        <v>885</v>
      </c>
      <c r="N615" s="3" t="s">
        <v>884</v>
      </c>
      <c r="O615" s="3" t="s">
        <v>253</v>
      </c>
      <c r="P615" s="3" t="s">
        <v>129</v>
      </c>
      <c r="Q615" s="30" t="str">
        <f t="shared" si="9"/>
        <v>MAX : 4.06
TARGET : 4.00
MIN : 3.93</v>
      </c>
    </row>
    <row r="616" spans="2:17" ht="41.4" x14ac:dyDescent="0.3">
      <c r="B616">
        <v>0</v>
      </c>
      <c r="C616" s="33">
        <v>5473</v>
      </c>
      <c r="D616" s="2">
        <v>959</v>
      </c>
      <c r="E616" s="2" t="s">
        <v>7403</v>
      </c>
      <c r="F616" s="3" t="s">
        <v>14206</v>
      </c>
      <c r="H616" s="3" t="s">
        <v>426</v>
      </c>
      <c r="K616" s="2">
        <v>10</v>
      </c>
      <c r="L616" s="2">
        <v>3</v>
      </c>
      <c r="M616" s="3" t="s">
        <v>1089</v>
      </c>
      <c r="N616" s="3" t="s">
        <v>13</v>
      </c>
      <c r="O616" s="3" t="s">
        <v>14</v>
      </c>
      <c r="Q616" s="30" t="str">
        <f t="shared" si="9"/>
        <v>MAX : 
TARGET : Yes(Pass)
MIN : No(Fail)</v>
      </c>
    </row>
    <row r="617" spans="2:17" ht="41.4" x14ac:dyDescent="0.3">
      <c r="B617">
        <v>0</v>
      </c>
      <c r="C617" s="33">
        <v>5473</v>
      </c>
      <c r="D617" s="2">
        <v>959</v>
      </c>
      <c r="E617" s="2" t="s">
        <v>7403</v>
      </c>
      <c r="F617" s="3" t="s">
        <v>14206</v>
      </c>
      <c r="H617" s="3" t="s">
        <v>426</v>
      </c>
      <c r="K617" s="2">
        <v>10</v>
      </c>
      <c r="L617" s="2">
        <v>4</v>
      </c>
      <c r="M617" s="3" t="s">
        <v>1090</v>
      </c>
      <c r="N617" s="3" t="s">
        <v>13</v>
      </c>
      <c r="O617" s="3" t="s">
        <v>14</v>
      </c>
      <c r="Q617" s="30" t="str">
        <f t="shared" si="9"/>
        <v>MAX : 
TARGET : Yes(Pass)
MIN : No(Fail)</v>
      </c>
    </row>
    <row r="618" spans="2:17" ht="41.4" x14ac:dyDescent="0.3">
      <c r="B618">
        <v>1</v>
      </c>
      <c r="C618" s="33">
        <v>5017</v>
      </c>
      <c r="D618" s="2">
        <v>1745</v>
      </c>
      <c r="E618" s="2" t="s">
        <v>7161</v>
      </c>
      <c r="F618" s="3" t="s">
        <v>14206</v>
      </c>
      <c r="H618" s="3" t="s">
        <v>882</v>
      </c>
      <c r="K618" s="2">
        <v>10</v>
      </c>
      <c r="L618" s="2">
        <v>1</v>
      </c>
      <c r="M618" s="3" t="s">
        <v>883</v>
      </c>
      <c r="N618" s="3" t="s">
        <v>884</v>
      </c>
      <c r="O618" s="3" t="s">
        <v>253</v>
      </c>
      <c r="P618" s="3" t="s">
        <v>129</v>
      </c>
      <c r="Q618" s="30" t="str">
        <f t="shared" si="9"/>
        <v>MAX : 4.06
TARGET : 4.00
MIN : 3.93</v>
      </c>
    </row>
    <row r="619" spans="2:17" ht="41.4" x14ac:dyDescent="0.3">
      <c r="B619">
        <v>1</v>
      </c>
      <c r="C619" s="33">
        <v>5017</v>
      </c>
      <c r="D619" s="2">
        <v>1745</v>
      </c>
      <c r="E619" s="2" t="s">
        <v>7161</v>
      </c>
      <c r="F619" s="3" t="s">
        <v>14206</v>
      </c>
      <c r="H619" s="3" t="s">
        <v>882</v>
      </c>
      <c r="K619" s="2">
        <v>10</v>
      </c>
      <c r="L619" s="2">
        <v>4</v>
      </c>
      <c r="M619" s="3" t="s">
        <v>3435</v>
      </c>
      <c r="N619" s="3" t="s">
        <v>1803</v>
      </c>
      <c r="O619" s="3" t="s">
        <v>28</v>
      </c>
      <c r="P619" s="3" t="s">
        <v>386</v>
      </c>
      <c r="Q619" s="30" t="str">
        <f t="shared" si="9"/>
        <v>MAX : 1.62
TARGET : 1.50
MIN : 1.38</v>
      </c>
    </row>
    <row r="620" spans="2:17" ht="41.4" x14ac:dyDescent="0.3">
      <c r="B620">
        <v>0</v>
      </c>
      <c r="C620" s="33">
        <v>5470</v>
      </c>
      <c r="D620" s="2">
        <v>958</v>
      </c>
      <c r="E620" s="2" t="s">
        <v>7396</v>
      </c>
      <c r="F620" s="3" t="s">
        <v>14206</v>
      </c>
      <c r="H620" s="3" t="s">
        <v>469</v>
      </c>
      <c r="K620" s="2">
        <v>20</v>
      </c>
      <c r="L620" s="2">
        <v>3</v>
      </c>
      <c r="M620" s="3" t="s">
        <v>1096</v>
      </c>
      <c r="N620" s="3" t="s">
        <v>13</v>
      </c>
      <c r="O620" s="3" t="s">
        <v>14</v>
      </c>
      <c r="Q620" s="30" t="str">
        <f t="shared" si="9"/>
        <v>MAX : 
TARGET : Yes(Pass)
MIN : No(Fail)</v>
      </c>
    </row>
    <row r="621" spans="2:17" ht="41.4" x14ac:dyDescent="0.3">
      <c r="B621">
        <v>1</v>
      </c>
      <c r="C621" s="33">
        <v>5021</v>
      </c>
      <c r="D621" s="2">
        <v>1746</v>
      </c>
      <c r="E621" s="2" t="s">
        <v>7169</v>
      </c>
      <c r="F621" s="3" t="s">
        <v>14206</v>
      </c>
      <c r="H621" s="3" t="s">
        <v>193</v>
      </c>
      <c r="K621" s="2">
        <v>20</v>
      </c>
      <c r="L621" s="2">
        <v>2</v>
      </c>
      <c r="M621" s="3" t="s">
        <v>611</v>
      </c>
      <c r="N621" s="3" t="s">
        <v>13</v>
      </c>
      <c r="O621" s="3" t="s">
        <v>14</v>
      </c>
      <c r="Q621" s="30" t="str">
        <f t="shared" si="9"/>
        <v>MAX : 
TARGET : Yes(Pass)
MIN : No(Fail)</v>
      </c>
    </row>
    <row r="622" spans="2:17" ht="41.4" x14ac:dyDescent="0.3">
      <c r="B622">
        <v>1</v>
      </c>
      <c r="C622" s="33">
        <v>5021</v>
      </c>
      <c r="D622" s="2">
        <v>1746</v>
      </c>
      <c r="E622" s="2" t="s">
        <v>7169</v>
      </c>
      <c r="F622" s="3" t="s">
        <v>14206</v>
      </c>
      <c r="H622" s="3" t="s">
        <v>193</v>
      </c>
      <c r="K622" s="2">
        <v>20</v>
      </c>
      <c r="L622" s="2">
        <v>1</v>
      </c>
      <c r="M622" s="3" t="s">
        <v>174</v>
      </c>
      <c r="N622" s="3" t="s">
        <v>19</v>
      </c>
      <c r="O622" s="3" t="s">
        <v>20</v>
      </c>
      <c r="P622" s="3" t="s">
        <v>21</v>
      </c>
      <c r="Q622" s="30" t="str">
        <f t="shared" si="9"/>
        <v>MAX : 0.781
TARGET : 0.750
MIN : 0.719</v>
      </c>
    </row>
    <row r="623" spans="2:17" ht="41.4" x14ac:dyDescent="0.3">
      <c r="B623">
        <v>1</v>
      </c>
      <c r="C623" s="33">
        <v>5026</v>
      </c>
      <c r="D623" s="2">
        <v>1747</v>
      </c>
      <c r="E623" s="2" t="s">
        <v>7175</v>
      </c>
      <c r="F623" s="3" t="s">
        <v>14206</v>
      </c>
      <c r="H623" s="3" t="s">
        <v>888</v>
      </c>
      <c r="K623" s="2">
        <v>10</v>
      </c>
      <c r="L623" s="2">
        <v>2</v>
      </c>
      <c r="M623" s="3" t="s">
        <v>70</v>
      </c>
      <c r="N623" s="3" t="s">
        <v>377</v>
      </c>
      <c r="O623" s="3" t="s">
        <v>20</v>
      </c>
      <c r="P623" s="3" t="s">
        <v>21</v>
      </c>
      <c r="Q623" s="30" t="str">
        <f t="shared" si="9"/>
        <v>MAX : 0.781
TARGET : 0.750
MIN : 0.718</v>
      </c>
    </row>
    <row r="624" spans="2:17" ht="41.4" x14ac:dyDescent="0.3">
      <c r="B624">
        <v>1</v>
      </c>
      <c r="C624" s="33">
        <v>5026</v>
      </c>
      <c r="D624" s="2">
        <v>1747</v>
      </c>
      <c r="E624" s="2" t="s">
        <v>7175</v>
      </c>
      <c r="F624" s="3" t="s">
        <v>14206</v>
      </c>
      <c r="H624" s="3" t="s">
        <v>888</v>
      </c>
      <c r="K624" s="2">
        <v>10</v>
      </c>
      <c r="L624" s="2">
        <v>1</v>
      </c>
      <c r="M624" s="3" t="s">
        <v>18</v>
      </c>
      <c r="N624" s="3" t="s">
        <v>377</v>
      </c>
      <c r="O624" s="3" t="s">
        <v>20</v>
      </c>
      <c r="P624" s="3" t="s">
        <v>21</v>
      </c>
      <c r="Q624" s="30" t="str">
        <f t="shared" si="9"/>
        <v>MAX : 0.781
TARGET : 0.750
MIN : 0.718</v>
      </c>
    </row>
    <row r="625" spans="2:18" ht="41.4" x14ac:dyDescent="0.3">
      <c r="B625">
        <v>1</v>
      </c>
      <c r="C625" s="33">
        <v>5027</v>
      </c>
      <c r="D625" s="2">
        <v>1748</v>
      </c>
      <c r="E625" s="2" t="s">
        <v>7182</v>
      </c>
      <c r="F625" s="3" t="s">
        <v>14207</v>
      </c>
      <c r="H625" s="3" t="s">
        <v>11</v>
      </c>
      <c r="K625" s="2">
        <v>10</v>
      </c>
      <c r="L625" s="2">
        <v>2</v>
      </c>
      <c r="M625" s="3" t="s">
        <v>70</v>
      </c>
      <c r="N625" s="3" t="s">
        <v>68</v>
      </c>
      <c r="O625" s="3" t="s">
        <v>69</v>
      </c>
      <c r="P625" s="3" t="s">
        <v>894</v>
      </c>
      <c r="Q625" s="30" t="str">
        <f t="shared" si="9"/>
        <v>MAX : 21
TARGET : 20
MIN : 19</v>
      </c>
    </row>
    <row r="626" spans="2:18" ht="41.4" x14ac:dyDescent="0.3">
      <c r="B626">
        <v>1</v>
      </c>
      <c r="C626" s="33">
        <v>5027</v>
      </c>
      <c r="D626" s="2">
        <v>1748</v>
      </c>
      <c r="E626" s="2" t="s">
        <v>7182</v>
      </c>
      <c r="F626" s="3" t="s">
        <v>14207</v>
      </c>
      <c r="H626" s="3" t="s">
        <v>11</v>
      </c>
      <c r="K626" s="2">
        <v>10</v>
      </c>
      <c r="L626" s="2">
        <v>1</v>
      </c>
      <c r="M626" s="3" t="s">
        <v>18</v>
      </c>
      <c r="N626" s="3" t="s">
        <v>891</v>
      </c>
      <c r="O626" s="3" t="s">
        <v>892</v>
      </c>
      <c r="P626" s="3" t="s">
        <v>893</v>
      </c>
      <c r="Q626" s="30" t="str">
        <f t="shared" si="9"/>
        <v>MAX : 11
TARGET : 10
MIN : 9</v>
      </c>
    </row>
    <row r="627" spans="2:18" ht="41.4" x14ac:dyDescent="0.3">
      <c r="B627">
        <v>0</v>
      </c>
      <c r="C627" s="33">
        <v>5541</v>
      </c>
      <c r="D627" s="2">
        <v>960</v>
      </c>
      <c r="E627" s="2" t="s">
        <v>7417</v>
      </c>
      <c r="F627" s="3" t="s">
        <v>14206</v>
      </c>
      <c r="H627" s="3" t="s">
        <v>922</v>
      </c>
      <c r="K627" s="2">
        <v>10</v>
      </c>
      <c r="L627" s="2">
        <v>3</v>
      </c>
      <c r="M627" s="3" t="s">
        <v>929</v>
      </c>
      <c r="N627" s="3" t="s">
        <v>1106</v>
      </c>
      <c r="O627" s="3" t="s">
        <v>1107</v>
      </c>
      <c r="P627" s="3" t="s">
        <v>1108</v>
      </c>
      <c r="Q627" s="30" t="str">
        <f t="shared" si="9"/>
        <v>MAX : 1.106
TARGET : 1.086
MIN : 1.066</v>
      </c>
      <c r="R627" s="3" t="s">
        <v>926</v>
      </c>
    </row>
    <row r="628" spans="2:18" ht="41.4" x14ac:dyDescent="0.3">
      <c r="B628">
        <v>0</v>
      </c>
      <c r="C628" s="33">
        <v>5541</v>
      </c>
      <c r="D628" s="2">
        <v>960</v>
      </c>
      <c r="E628" s="2" t="s">
        <v>7417</v>
      </c>
      <c r="F628" s="3" t="s">
        <v>14206</v>
      </c>
      <c r="H628" s="3" t="s">
        <v>922</v>
      </c>
      <c r="K628" s="2">
        <v>10</v>
      </c>
      <c r="L628" s="2">
        <v>4</v>
      </c>
      <c r="M628" s="3" t="s">
        <v>931</v>
      </c>
      <c r="N628" s="3" t="s">
        <v>24</v>
      </c>
      <c r="O628" s="3" t="s">
        <v>25</v>
      </c>
      <c r="Q628" s="30" t="str">
        <f t="shared" si="9"/>
        <v>MAX : 
TARGET : Yes (Pass)
MIN : No (Fail)</v>
      </c>
      <c r="R628" s="3" t="s">
        <v>926</v>
      </c>
    </row>
    <row r="629" spans="2:18" ht="41.4" x14ac:dyDescent="0.3">
      <c r="B629">
        <v>0</v>
      </c>
      <c r="C629" s="33">
        <v>5541</v>
      </c>
      <c r="D629" s="2">
        <v>960</v>
      </c>
      <c r="E629" s="2" t="s">
        <v>7417</v>
      </c>
      <c r="F629" s="3" t="s">
        <v>14206</v>
      </c>
      <c r="H629" s="3" t="s">
        <v>922</v>
      </c>
      <c r="K629" s="2">
        <v>10</v>
      </c>
      <c r="L629" s="2">
        <v>5</v>
      </c>
      <c r="M629" s="3" t="s">
        <v>1006</v>
      </c>
      <c r="N629" s="3" t="s">
        <v>24</v>
      </c>
      <c r="O629" s="3" t="s">
        <v>25</v>
      </c>
      <c r="Q629" s="30" t="str">
        <f t="shared" si="9"/>
        <v>MAX : 
TARGET : Yes (Pass)
MIN : No (Fail)</v>
      </c>
      <c r="R629" s="3" t="s">
        <v>926</v>
      </c>
    </row>
    <row r="630" spans="2:18" ht="41.4" x14ac:dyDescent="0.3">
      <c r="B630">
        <v>1</v>
      </c>
      <c r="C630" s="33">
        <v>5076</v>
      </c>
      <c r="D630" s="2">
        <v>1749</v>
      </c>
      <c r="E630" s="2" t="s">
        <v>7189</v>
      </c>
      <c r="F630" s="3" t="s">
        <v>14207</v>
      </c>
      <c r="H630" s="3" t="s">
        <v>895</v>
      </c>
      <c r="K630" s="2">
        <v>10</v>
      </c>
      <c r="L630" s="2">
        <v>2</v>
      </c>
      <c r="M630" s="3" t="s">
        <v>896</v>
      </c>
      <c r="N630" s="3" t="s">
        <v>897</v>
      </c>
      <c r="O630" s="3" t="s">
        <v>632</v>
      </c>
      <c r="P630" s="3" t="s">
        <v>898</v>
      </c>
      <c r="Q630" s="30" t="str">
        <f t="shared" si="9"/>
        <v>MAX : 26
TARGET : 25
MIN : 24</v>
      </c>
    </row>
    <row r="631" spans="2:18" ht="41.4" x14ac:dyDescent="0.3">
      <c r="B631">
        <v>1</v>
      </c>
      <c r="C631" s="33">
        <v>5076</v>
      </c>
      <c r="D631" s="2">
        <v>1749</v>
      </c>
      <c r="E631" s="2" t="s">
        <v>7189</v>
      </c>
      <c r="F631" s="3" t="s">
        <v>14207</v>
      </c>
      <c r="H631" s="3" t="s">
        <v>895</v>
      </c>
      <c r="K631" s="2">
        <v>10</v>
      </c>
      <c r="L631" s="2">
        <v>1</v>
      </c>
      <c r="M631" s="3" t="s">
        <v>22</v>
      </c>
      <c r="N631" s="3" t="s">
        <v>67</v>
      </c>
      <c r="O631" s="3" t="s">
        <v>68</v>
      </c>
      <c r="P631" s="3" t="s">
        <v>69</v>
      </c>
      <c r="Q631" s="30" t="str">
        <f t="shared" si="9"/>
        <v>MAX : 20
TARGET : 19
MIN : 18</v>
      </c>
    </row>
    <row r="632" spans="2:18" ht="41.4" x14ac:dyDescent="0.3">
      <c r="B632">
        <v>0</v>
      </c>
      <c r="C632" s="33">
        <v>5542</v>
      </c>
      <c r="D632" s="2">
        <v>961</v>
      </c>
      <c r="E632" s="2" t="s">
        <v>7422</v>
      </c>
      <c r="F632" s="3" t="s">
        <v>14206</v>
      </c>
      <c r="H632" s="3" t="s">
        <v>922</v>
      </c>
      <c r="K632" s="2">
        <v>10</v>
      </c>
      <c r="L632" s="2">
        <v>3</v>
      </c>
      <c r="M632" s="3" t="s">
        <v>944</v>
      </c>
      <c r="N632" s="3" t="s">
        <v>945</v>
      </c>
      <c r="O632" s="3" t="s">
        <v>946</v>
      </c>
      <c r="P632" s="3" t="s">
        <v>947</v>
      </c>
      <c r="Q632" s="30" t="str">
        <f t="shared" si="9"/>
        <v>MAX : 0.708
TARGET : 0.688
MIN : 0.668</v>
      </c>
      <c r="R632" s="3" t="s">
        <v>1112</v>
      </c>
    </row>
    <row r="633" spans="2:18" ht="41.4" x14ac:dyDescent="0.3">
      <c r="B633">
        <v>0</v>
      </c>
      <c r="C633" s="33">
        <v>5542</v>
      </c>
      <c r="D633" s="2">
        <v>961</v>
      </c>
      <c r="E633" s="2" t="s">
        <v>7422</v>
      </c>
      <c r="F633" s="3" t="s">
        <v>14206</v>
      </c>
      <c r="H633" s="3" t="s">
        <v>922</v>
      </c>
      <c r="K633" s="2">
        <v>10</v>
      </c>
      <c r="L633" s="2">
        <v>4</v>
      </c>
      <c r="M633" s="3" t="s">
        <v>1116</v>
      </c>
      <c r="O633" s="3" t="s">
        <v>1038</v>
      </c>
      <c r="P633" s="3" t="s">
        <v>1039</v>
      </c>
      <c r="Q633" s="30" t="str">
        <f t="shared" si="9"/>
        <v xml:space="preserve">MAX : 0.020
TARGET : 0.000
MIN : </v>
      </c>
      <c r="R633" s="3" t="s">
        <v>1112</v>
      </c>
    </row>
    <row r="634" spans="2:18" ht="41.4" x14ac:dyDescent="0.3">
      <c r="B634">
        <v>0</v>
      </c>
      <c r="C634" s="33">
        <v>5542</v>
      </c>
      <c r="D634" s="2">
        <v>961</v>
      </c>
      <c r="E634" s="2" t="s">
        <v>7422</v>
      </c>
      <c r="F634" s="3" t="s">
        <v>14206</v>
      </c>
      <c r="H634" s="3" t="s">
        <v>922</v>
      </c>
      <c r="K634" s="2">
        <v>10</v>
      </c>
      <c r="L634" s="2">
        <v>5</v>
      </c>
      <c r="M634" s="3" t="s">
        <v>931</v>
      </c>
      <c r="N634" s="3" t="s">
        <v>13</v>
      </c>
      <c r="O634" s="3" t="s">
        <v>14</v>
      </c>
      <c r="Q634" s="30" t="str">
        <f t="shared" si="9"/>
        <v>MAX : 
TARGET : Yes(Pass)
MIN : No(Fail)</v>
      </c>
      <c r="R634" s="3" t="s">
        <v>1112</v>
      </c>
    </row>
    <row r="635" spans="2:18" ht="41.4" x14ac:dyDescent="0.3">
      <c r="B635">
        <v>1</v>
      </c>
      <c r="C635" s="33">
        <v>5076</v>
      </c>
      <c r="D635" s="2">
        <v>1749</v>
      </c>
      <c r="E635" s="2" t="s">
        <v>7189</v>
      </c>
      <c r="F635" s="3" t="s">
        <v>14207</v>
      </c>
      <c r="H635" s="3" t="s">
        <v>895</v>
      </c>
      <c r="K635" s="2">
        <v>10</v>
      </c>
      <c r="L635" s="2">
        <v>3</v>
      </c>
      <c r="M635" s="3" t="s">
        <v>3978</v>
      </c>
      <c r="N635" s="3" t="s">
        <v>13</v>
      </c>
      <c r="O635" s="3" t="s">
        <v>14</v>
      </c>
      <c r="Q635" s="30" t="str">
        <f t="shared" si="9"/>
        <v>MAX : 
TARGET : Yes(Pass)
MIN : No(Fail)</v>
      </c>
    </row>
    <row r="636" spans="2:18" ht="41.4" x14ac:dyDescent="0.3">
      <c r="B636">
        <v>1</v>
      </c>
      <c r="C636" s="33">
        <v>5097</v>
      </c>
      <c r="D636" s="2">
        <v>1750</v>
      </c>
      <c r="E636" s="2" t="s">
        <v>7196</v>
      </c>
      <c r="F636" s="3" t="s">
        <v>14206</v>
      </c>
      <c r="H636" s="3" t="s">
        <v>193</v>
      </c>
      <c r="K636" s="2">
        <v>20</v>
      </c>
      <c r="L636" s="2">
        <v>2</v>
      </c>
      <c r="M636" s="3" t="s">
        <v>1081</v>
      </c>
      <c r="N636" s="3" t="s">
        <v>13</v>
      </c>
      <c r="O636" s="3" t="s">
        <v>14</v>
      </c>
      <c r="Q636" s="30" t="str">
        <f t="shared" si="9"/>
        <v>MAX : 
TARGET : Yes(Pass)
MIN : No(Fail)</v>
      </c>
    </row>
    <row r="637" spans="2:18" ht="41.4" x14ac:dyDescent="0.3">
      <c r="B637">
        <v>0</v>
      </c>
      <c r="C637" s="33">
        <v>5543</v>
      </c>
      <c r="D637" s="2">
        <v>962</v>
      </c>
      <c r="E637" s="2" t="s">
        <v>7429</v>
      </c>
      <c r="F637" s="3" t="s">
        <v>14206</v>
      </c>
      <c r="H637" s="3" t="s">
        <v>922</v>
      </c>
      <c r="K637" s="2">
        <v>20</v>
      </c>
      <c r="L637" s="2">
        <v>3</v>
      </c>
      <c r="M637" s="3" t="s">
        <v>998</v>
      </c>
      <c r="N637" s="3" t="s">
        <v>999</v>
      </c>
      <c r="O637" s="3" t="s">
        <v>1000</v>
      </c>
      <c r="P637" s="3" t="s">
        <v>1001</v>
      </c>
      <c r="Q637" s="30" t="str">
        <f t="shared" si="9"/>
        <v>MAX : 0.5065
TARGET : 0.4865
MIN : 0.4665</v>
      </c>
      <c r="R637" s="3" t="s">
        <v>926</v>
      </c>
    </row>
    <row r="638" spans="2:18" ht="41.4" x14ac:dyDescent="0.3">
      <c r="B638">
        <v>0</v>
      </c>
      <c r="C638" s="33">
        <v>5543</v>
      </c>
      <c r="D638" s="2">
        <v>962</v>
      </c>
      <c r="E638" s="2" t="s">
        <v>7429</v>
      </c>
      <c r="F638" s="3" t="s">
        <v>14206</v>
      </c>
      <c r="H638" s="3" t="s">
        <v>922</v>
      </c>
      <c r="K638" s="2">
        <v>20</v>
      </c>
      <c r="L638" s="2">
        <v>4</v>
      </c>
      <c r="M638" s="3" t="s">
        <v>1002</v>
      </c>
      <c r="N638" s="3" t="s">
        <v>1120</v>
      </c>
      <c r="O638" s="3" t="s">
        <v>1121</v>
      </c>
      <c r="P638" s="3" t="s">
        <v>1122</v>
      </c>
      <c r="Q638" s="30" t="str">
        <f t="shared" si="9"/>
        <v>MAX : 1.832
TARGET : 1.812
MIN : 1.792</v>
      </c>
      <c r="R638" s="3" t="s">
        <v>926</v>
      </c>
    </row>
    <row r="639" spans="2:18" ht="41.4" x14ac:dyDescent="0.3">
      <c r="B639">
        <v>0</v>
      </c>
      <c r="C639" s="33">
        <v>5543</v>
      </c>
      <c r="D639" s="2">
        <v>962</v>
      </c>
      <c r="E639" s="2" t="s">
        <v>7429</v>
      </c>
      <c r="F639" s="3" t="s">
        <v>14206</v>
      </c>
      <c r="H639" s="3" t="s">
        <v>922</v>
      </c>
      <c r="K639" s="2">
        <v>20</v>
      </c>
      <c r="L639" s="2">
        <v>5</v>
      </c>
      <c r="M639" s="3" t="s">
        <v>931</v>
      </c>
      <c r="N639" s="3" t="s">
        <v>24</v>
      </c>
      <c r="O639" s="3" t="s">
        <v>25</v>
      </c>
      <c r="Q639" s="30" t="str">
        <f t="shared" si="9"/>
        <v>MAX : 
TARGET : Yes (Pass)
MIN : No (Fail)</v>
      </c>
      <c r="R639" s="3" t="s">
        <v>926</v>
      </c>
    </row>
    <row r="640" spans="2:18" ht="41.4" x14ac:dyDescent="0.3">
      <c r="B640">
        <v>0</v>
      </c>
      <c r="C640" s="33">
        <v>5543</v>
      </c>
      <c r="D640" s="2">
        <v>962</v>
      </c>
      <c r="E640" s="2" t="s">
        <v>7429</v>
      </c>
      <c r="F640" s="3" t="s">
        <v>14206</v>
      </c>
      <c r="H640" s="3" t="s">
        <v>922</v>
      </c>
      <c r="K640" s="2">
        <v>20</v>
      </c>
      <c r="L640" s="2">
        <v>6</v>
      </c>
      <c r="M640" s="3" t="s">
        <v>1006</v>
      </c>
      <c r="N640" s="3" t="s">
        <v>24</v>
      </c>
      <c r="O640" s="3" t="s">
        <v>25</v>
      </c>
      <c r="Q640" s="30" t="str">
        <f t="shared" si="9"/>
        <v>MAX : 
TARGET : Yes (Pass)
MIN : No (Fail)</v>
      </c>
      <c r="R640" s="3" t="s">
        <v>926</v>
      </c>
    </row>
    <row r="641" spans="2:18" ht="41.4" x14ac:dyDescent="0.3">
      <c r="B641">
        <v>1</v>
      </c>
      <c r="C641" s="33">
        <v>5097</v>
      </c>
      <c r="D641" s="2">
        <v>1750</v>
      </c>
      <c r="E641" s="2" t="s">
        <v>7196</v>
      </c>
      <c r="F641" s="3" t="s">
        <v>14206</v>
      </c>
      <c r="H641" s="3" t="s">
        <v>193</v>
      </c>
      <c r="K641" s="2">
        <v>20</v>
      </c>
      <c r="L641" s="2">
        <v>1</v>
      </c>
      <c r="M641" s="3" t="s">
        <v>307</v>
      </c>
      <c r="N641" s="3" t="s">
        <v>900</v>
      </c>
      <c r="O641" s="3" t="s">
        <v>28</v>
      </c>
      <c r="P641" s="3" t="s">
        <v>901</v>
      </c>
      <c r="Q641" s="30" t="str">
        <f t="shared" si="9"/>
        <v>MAX : 1.56
TARGET : 1.50
MIN : 1.44</v>
      </c>
    </row>
    <row r="642" spans="2:18" ht="41.4" x14ac:dyDescent="0.3">
      <c r="B642">
        <v>1</v>
      </c>
      <c r="C642" s="33">
        <v>5108</v>
      </c>
      <c r="D642" s="2">
        <v>940</v>
      </c>
      <c r="E642" s="2" t="s">
        <v>7202</v>
      </c>
      <c r="F642" s="3" t="s">
        <v>14206</v>
      </c>
      <c r="H642" s="3" t="s">
        <v>899</v>
      </c>
      <c r="K642" s="2">
        <v>10</v>
      </c>
      <c r="L642" s="2">
        <v>2</v>
      </c>
      <c r="M642" s="3" t="s">
        <v>22</v>
      </c>
      <c r="N642" s="3" t="s">
        <v>485</v>
      </c>
      <c r="O642" s="3" t="s">
        <v>272</v>
      </c>
      <c r="P642" s="3" t="s">
        <v>507</v>
      </c>
      <c r="Q642" s="30" t="str">
        <f t="shared" ref="Q642:Q705" si="10">"MAX : " &amp; P642 &amp; CHAR(10) &amp; "TARGET : " &amp; O642 &amp; CHAR(10) &amp; "MIN : " &amp; N642</f>
        <v>MAX : 1.06
TARGET : 1.00
MIN : 0.94</v>
      </c>
    </row>
    <row r="643" spans="2:18" ht="41.4" x14ac:dyDescent="0.3">
      <c r="B643">
        <v>0</v>
      </c>
      <c r="C643" s="33">
        <v>5544</v>
      </c>
      <c r="D643" s="2">
        <v>963</v>
      </c>
      <c r="E643" s="2" t="s">
        <v>7433</v>
      </c>
      <c r="F643" s="3" t="s">
        <v>14206</v>
      </c>
      <c r="H643" s="3" t="s">
        <v>922</v>
      </c>
      <c r="K643" s="2">
        <v>10</v>
      </c>
      <c r="L643" s="2">
        <v>3</v>
      </c>
      <c r="M643" s="3" t="s">
        <v>929</v>
      </c>
      <c r="N643" s="3" t="s">
        <v>1126</v>
      </c>
      <c r="O643" s="3" t="s">
        <v>1127</v>
      </c>
      <c r="P643" s="3" t="s">
        <v>1128</v>
      </c>
      <c r="Q643" s="30" t="str">
        <f t="shared" si="10"/>
        <v>MAX : 2.576
TARGET : 2.556
MIN : 2.536</v>
      </c>
      <c r="R643" s="3" t="s">
        <v>926</v>
      </c>
    </row>
    <row r="644" spans="2:18" ht="41.4" x14ac:dyDescent="0.3">
      <c r="B644">
        <v>0</v>
      </c>
      <c r="C644" s="33">
        <v>5544</v>
      </c>
      <c r="D644" s="2">
        <v>963</v>
      </c>
      <c r="E644" s="2" t="s">
        <v>7433</v>
      </c>
      <c r="F644" s="3" t="s">
        <v>14206</v>
      </c>
      <c r="H644" s="3" t="s">
        <v>922</v>
      </c>
      <c r="K644" s="2">
        <v>10</v>
      </c>
      <c r="L644" s="2">
        <v>4</v>
      </c>
      <c r="M644" s="3" t="s">
        <v>931</v>
      </c>
      <c r="N644" s="3" t="s">
        <v>24</v>
      </c>
      <c r="O644" s="3" t="s">
        <v>25</v>
      </c>
      <c r="Q644" s="30" t="str">
        <f t="shared" si="10"/>
        <v>MAX : 
TARGET : Yes (Pass)
MIN : No (Fail)</v>
      </c>
      <c r="R644" s="3" t="s">
        <v>926</v>
      </c>
    </row>
    <row r="645" spans="2:18" ht="41.4" x14ac:dyDescent="0.3">
      <c r="B645">
        <v>0</v>
      </c>
      <c r="C645" s="33">
        <v>5544</v>
      </c>
      <c r="D645" s="2">
        <v>963</v>
      </c>
      <c r="E645" s="2" t="s">
        <v>7433</v>
      </c>
      <c r="F645" s="3" t="s">
        <v>14206</v>
      </c>
      <c r="H645" s="3" t="s">
        <v>922</v>
      </c>
      <c r="K645" s="2">
        <v>10</v>
      </c>
      <c r="L645" s="2">
        <v>5</v>
      </c>
      <c r="M645" s="3" t="s">
        <v>1006</v>
      </c>
      <c r="N645" s="3" t="s">
        <v>24</v>
      </c>
      <c r="O645" s="3" t="s">
        <v>25</v>
      </c>
      <c r="Q645" s="30" t="str">
        <f t="shared" si="10"/>
        <v>MAX : 
TARGET : Yes (Pass)
MIN : No (Fail)</v>
      </c>
      <c r="R645" s="3" t="s">
        <v>926</v>
      </c>
    </row>
    <row r="646" spans="2:18" ht="41.4" x14ac:dyDescent="0.3">
      <c r="B646">
        <v>1</v>
      </c>
      <c r="C646" s="33">
        <v>5108</v>
      </c>
      <c r="D646" s="2">
        <v>940</v>
      </c>
      <c r="E646" s="2" t="s">
        <v>7202</v>
      </c>
      <c r="F646" s="3" t="s">
        <v>14206</v>
      </c>
      <c r="H646" s="3" t="s">
        <v>899</v>
      </c>
      <c r="K646" s="2">
        <v>10</v>
      </c>
      <c r="L646" s="2">
        <v>1</v>
      </c>
      <c r="M646" s="3" t="s">
        <v>18</v>
      </c>
      <c r="N646" s="3" t="s">
        <v>900</v>
      </c>
      <c r="O646" s="3" t="s">
        <v>28</v>
      </c>
      <c r="P646" s="3" t="s">
        <v>901</v>
      </c>
      <c r="Q646" s="30" t="str">
        <f t="shared" si="10"/>
        <v>MAX : 1.56
TARGET : 1.50
MIN : 1.44</v>
      </c>
    </row>
    <row r="647" spans="2:18" ht="41.4" x14ac:dyDescent="0.3">
      <c r="B647">
        <v>1</v>
      </c>
      <c r="C647" s="33">
        <v>5108</v>
      </c>
      <c r="D647" s="2">
        <v>940</v>
      </c>
      <c r="E647" s="2" t="s">
        <v>7202</v>
      </c>
      <c r="F647" s="3" t="s">
        <v>14206</v>
      </c>
      <c r="H647" s="3" t="s">
        <v>899</v>
      </c>
      <c r="K647" s="2">
        <v>10</v>
      </c>
      <c r="L647" s="2">
        <v>4</v>
      </c>
      <c r="M647" s="3" t="s">
        <v>2237</v>
      </c>
      <c r="O647" s="3" t="s">
        <v>38</v>
      </c>
      <c r="P647" s="3" t="s">
        <v>39</v>
      </c>
      <c r="Q647" s="30" t="str">
        <f t="shared" si="10"/>
        <v xml:space="preserve">MAX : Yes(Fail)
TARGET : No(Pass)
MIN : </v>
      </c>
    </row>
    <row r="648" spans="2:18" ht="41.4" x14ac:dyDescent="0.3">
      <c r="B648">
        <v>1</v>
      </c>
      <c r="C648" s="33">
        <v>5108</v>
      </c>
      <c r="D648" s="2">
        <v>940</v>
      </c>
      <c r="E648" s="2" t="s">
        <v>7202</v>
      </c>
      <c r="F648" s="3" t="s">
        <v>14206</v>
      </c>
      <c r="H648" s="3" t="s">
        <v>899</v>
      </c>
      <c r="K648" s="2">
        <v>10</v>
      </c>
      <c r="L648" s="2">
        <v>3</v>
      </c>
      <c r="M648" s="3" t="s">
        <v>3475</v>
      </c>
      <c r="N648" s="3" t="s">
        <v>13</v>
      </c>
      <c r="O648" s="3" t="s">
        <v>14</v>
      </c>
      <c r="Q648" s="30" t="str">
        <f t="shared" si="10"/>
        <v>MAX : 
TARGET : Yes(Pass)
MIN : No(Fail)</v>
      </c>
    </row>
    <row r="649" spans="2:18" ht="41.4" x14ac:dyDescent="0.3">
      <c r="B649">
        <v>1</v>
      </c>
      <c r="C649" s="33">
        <v>5140</v>
      </c>
      <c r="D649" s="2">
        <v>1751</v>
      </c>
      <c r="E649" s="2" t="s">
        <v>7210</v>
      </c>
      <c r="F649" s="3" t="s">
        <v>14206</v>
      </c>
      <c r="H649" s="3" t="s">
        <v>1101</v>
      </c>
      <c r="K649" s="2">
        <v>20</v>
      </c>
      <c r="L649" s="2">
        <v>2</v>
      </c>
      <c r="M649" s="3" t="s">
        <v>1102</v>
      </c>
      <c r="N649" s="3" t="s">
        <v>13</v>
      </c>
      <c r="O649" s="3" t="s">
        <v>14</v>
      </c>
      <c r="Q649" s="30" t="str">
        <f t="shared" si="10"/>
        <v>MAX : 
TARGET : Yes(Pass)
MIN : No(Fail)</v>
      </c>
    </row>
    <row r="650" spans="2:18" ht="41.4" x14ac:dyDescent="0.3">
      <c r="B650">
        <v>0</v>
      </c>
      <c r="C650" s="33">
        <v>5557</v>
      </c>
      <c r="D650" s="2">
        <v>965</v>
      </c>
      <c r="E650" s="2" t="s">
        <v>7454</v>
      </c>
      <c r="F650" s="3" t="s">
        <v>14206</v>
      </c>
      <c r="H650" s="3" t="s">
        <v>1130</v>
      </c>
      <c r="K650" s="2">
        <v>10</v>
      </c>
      <c r="L650" s="2">
        <v>3</v>
      </c>
      <c r="M650" s="3" t="s">
        <v>638</v>
      </c>
      <c r="N650" s="3" t="s">
        <v>13</v>
      </c>
      <c r="O650" s="3" t="s">
        <v>14</v>
      </c>
      <c r="Q650" s="30" t="str">
        <f t="shared" si="10"/>
        <v>MAX : 
TARGET : Yes(Pass)
MIN : No(Fail)</v>
      </c>
    </row>
    <row r="651" spans="2:18" ht="41.4" x14ac:dyDescent="0.3">
      <c r="B651">
        <v>0</v>
      </c>
      <c r="C651" s="33">
        <v>5557</v>
      </c>
      <c r="D651" s="2">
        <v>965</v>
      </c>
      <c r="E651" s="2" t="s">
        <v>7454</v>
      </c>
      <c r="F651" s="3" t="s">
        <v>14206</v>
      </c>
      <c r="H651" s="3" t="s">
        <v>1130</v>
      </c>
      <c r="K651" s="2">
        <v>10</v>
      </c>
      <c r="L651" s="2">
        <v>4</v>
      </c>
      <c r="M651" s="3" t="s">
        <v>639</v>
      </c>
      <c r="N651" s="3" t="s">
        <v>13</v>
      </c>
      <c r="O651" s="3" t="s">
        <v>14</v>
      </c>
      <c r="Q651" s="30" t="str">
        <f t="shared" si="10"/>
        <v>MAX : 
TARGET : Yes(Pass)
MIN : No(Fail)</v>
      </c>
    </row>
    <row r="652" spans="2:18" ht="41.4" x14ac:dyDescent="0.3">
      <c r="B652">
        <v>1</v>
      </c>
      <c r="C652" s="33">
        <v>5140</v>
      </c>
      <c r="D652" s="2">
        <v>1751</v>
      </c>
      <c r="E652" s="2" t="s">
        <v>7210</v>
      </c>
      <c r="F652" s="3" t="s">
        <v>14206</v>
      </c>
      <c r="H652" s="3" t="s">
        <v>1101</v>
      </c>
      <c r="K652" s="2">
        <v>10</v>
      </c>
      <c r="L652" s="2">
        <v>1</v>
      </c>
      <c r="M652" s="3" t="s">
        <v>198</v>
      </c>
      <c r="N652" s="3" t="s">
        <v>252</v>
      </c>
      <c r="O652" s="3" t="s">
        <v>253</v>
      </c>
      <c r="P652" s="3" t="s">
        <v>128</v>
      </c>
      <c r="Q652" s="30" t="str">
        <f t="shared" si="10"/>
        <v>MAX : 4.03
TARGET : 4.00
MIN : 3.97</v>
      </c>
    </row>
    <row r="653" spans="2:18" ht="41.4" x14ac:dyDescent="0.3">
      <c r="B653">
        <v>1</v>
      </c>
      <c r="C653" s="33">
        <v>5158</v>
      </c>
      <c r="D653" s="2">
        <v>941</v>
      </c>
      <c r="E653" s="2" t="s">
        <v>7223</v>
      </c>
      <c r="F653" s="3" t="s">
        <v>14206</v>
      </c>
      <c r="H653" s="3" t="s">
        <v>648</v>
      </c>
      <c r="K653" s="2">
        <v>10</v>
      </c>
      <c r="L653" s="2">
        <v>2</v>
      </c>
      <c r="M653" s="3" t="s">
        <v>907</v>
      </c>
      <c r="N653" s="3" t="s">
        <v>908</v>
      </c>
      <c r="O653" s="3" t="s">
        <v>909</v>
      </c>
      <c r="P653" s="3" t="s">
        <v>910</v>
      </c>
      <c r="Q653" s="30" t="str">
        <f t="shared" si="10"/>
        <v>MAX : 3.260
TARGET : 3.200
MIN : 3.140</v>
      </c>
    </row>
    <row r="654" spans="2:18" ht="41.4" x14ac:dyDescent="0.3">
      <c r="B654">
        <v>0</v>
      </c>
      <c r="C654" s="33">
        <v>5575</v>
      </c>
      <c r="D654" s="2">
        <v>1764</v>
      </c>
      <c r="E654" s="2" t="s">
        <v>7460</v>
      </c>
      <c r="F654" s="3" t="s">
        <v>14206</v>
      </c>
      <c r="H654" s="3" t="s">
        <v>168</v>
      </c>
      <c r="K654" s="2">
        <v>10</v>
      </c>
      <c r="L654" s="2">
        <v>6</v>
      </c>
      <c r="M654" s="3" t="s">
        <v>1136</v>
      </c>
      <c r="O654" s="3" t="s">
        <v>123</v>
      </c>
      <c r="P654" s="3" t="s">
        <v>124</v>
      </c>
      <c r="Q654" s="30" t="str">
        <f t="shared" si="10"/>
        <v xml:space="preserve">MAX : Yes (Fail)
TARGET : No (Pass)
MIN : </v>
      </c>
      <c r="R654" s="3" t="s">
        <v>1134</v>
      </c>
    </row>
    <row r="655" spans="2:18" ht="41.4" x14ac:dyDescent="0.3">
      <c r="B655">
        <v>0</v>
      </c>
      <c r="C655" s="33">
        <v>5575</v>
      </c>
      <c r="D655" s="2">
        <v>1764</v>
      </c>
      <c r="E655" s="2" t="s">
        <v>7460</v>
      </c>
      <c r="F655" s="3" t="s">
        <v>14206</v>
      </c>
      <c r="H655" s="3" t="s">
        <v>168</v>
      </c>
      <c r="K655" s="2">
        <v>10</v>
      </c>
      <c r="L655" s="2">
        <v>3</v>
      </c>
      <c r="M655" s="3" t="s">
        <v>1137</v>
      </c>
      <c r="N655" s="3" t="s">
        <v>24</v>
      </c>
      <c r="O655" s="3" t="s">
        <v>25</v>
      </c>
      <c r="Q655" s="30" t="str">
        <f t="shared" si="10"/>
        <v>MAX : 
TARGET : Yes (Pass)
MIN : No (Fail)</v>
      </c>
      <c r="R655" s="3" t="s">
        <v>1134</v>
      </c>
    </row>
    <row r="656" spans="2:18" ht="41.4" x14ac:dyDescent="0.3">
      <c r="B656">
        <v>1</v>
      </c>
      <c r="C656" s="33">
        <v>5158</v>
      </c>
      <c r="D656" s="2">
        <v>941</v>
      </c>
      <c r="E656" s="2" t="s">
        <v>7223</v>
      </c>
      <c r="F656" s="3" t="s">
        <v>14206</v>
      </c>
      <c r="H656" s="3" t="s">
        <v>648</v>
      </c>
      <c r="K656" s="2">
        <v>20</v>
      </c>
      <c r="L656" s="2">
        <v>1</v>
      </c>
      <c r="M656" s="3" t="s">
        <v>949</v>
      </c>
      <c r="N656" s="3" t="s">
        <v>13</v>
      </c>
      <c r="O656" s="3" t="s">
        <v>14</v>
      </c>
      <c r="Q656" s="30" t="str">
        <f t="shared" si="10"/>
        <v>MAX : 
TARGET : Yes(Pass)
MIN : No(Fail)</v>
      </c>
    </row>
    <row r="657" spans="2:18" ht="41.4" x14ac:dyDescent="0.3">
      <c r="B657">
        <v>1</v>
      </c>
      <c r="C657" s="33">
        <v>5158</v>
      </c>
      <c r="D657" s="2">
        <v>941</v>
      </c>
      <c r="E657" s="2" t="s">
        <v>7223</v>
      </c>
      <c r="F657" s="3" t="s">
        <v>14206</v>
      </c>
      <c r="H657" s="3" t="s">
        <v>648</v>
      </c>
      <c r="K657" s="2">
        <v>10</v>
      </c>
      <c r="L657" s="2">
        <v>1</v>
      </c>
      <c r="M657" s="3" t="s">
        <v>194</v>
      </c>
      <c r="N657" s="3" t="s">
        <v>904</v>
      </c>
      <c r="O657" s="3" t="s">
        <v>905</v>
      </c>
      <c r="P657" s="3" t="s">
        <v>906</v>
      </c>
      <c r="Q657" s="30" t="str">
        <f t="shared" si="10"/>
        <v>MAX : 2.175
TARGET : 2.115
MIN : 2.055</v>
      </c>
    </row>
    <row r="658" spans="2:18" ht="41.4" x14ac:dyDescent="0.3">
      <c r="B658">
        <v>1</v>
      </c>
      <c r="C658" s="33">
        <v>5158</v>
      </c>
      <c r="D658" s="2">
        <v>941</v>
      </c>
      <c r="E658" s="2" t="s">
        <v>7223</v>
      </c>
      <c r="F658" s="3" t="s">
        <v>14206</v>
      </c>
      <c r="H658" s="3" t="s">
        <v>648</v>
      </c>
      <c r="K658" s="2">
        <v>20</v>
      </c>
      <c r="L658" s="2">
        <v>1</v>
      </c>
      <c r="M658" s="3" t="s">
        <v>948</v>
      </c>
      <c r="N658" s="3" t="s">
        <v>13</v>
      </c>
      <c r="O658" s="3" t="s">
        <v>14</v>
      </c>
      <c r="Q658" s="30" t="str">
        <f t="shared" si="10"/>
        <v>MAX : 
TARGET : Yes(Pass)
MIN : No(Fail)</v>
      </c>
    </row>
    <row r="659" spans="2:18" ht="41.4" x14ac:dyDescent="0.3">
      <c r="B659">
        <v>1</v>
      </c>
      <c r="C659" s="33">
        <v>5159</v>
      </c>
      <c r="D659" s="2">
        <v>942</v>
      </c>
      <c r="E659" s="2" t="s">
        <v>7223</v>
      </c>
      <c r="F659" s="3" t="s">
        <v>14206</v>
      </c>
      <c r="H659" s="3" t="s">
        <v>648</v>
      </c>
      <c r="K659" s="2">
        <v>10</v>
      </c>
      <c r="L659" s="2">
        <v>2</v>
      </c>
      <c r="M659" s="3" t="s">
        <v>907</v>
      </c>
      <c r="N659" s="3" t="s">
        <v>908</v>
      </c>
      <c r="O659" s="3" t="s">
        <v>909</v>
      </c>
      <c r="P659" s="3" t="s">
        <v>910</v>
      </c>
      <c r="Q659" s="30" t="str">
        <f t="shared" si="10"/>
        <v>MAX : 3.260
TARGET : 3.200
MIN : 3.140</v>
      </c>
    </row>
    <row r="660" spans="2:18" ht="41.4" x14ac:dyDescent="0.3">
      <c r="B660">
        <v>1</v>
      </c>
      <c r="C660" s="33">
        <v>5159</v>
      </c>
      <c r="D660" s="2">
        <v>942</v>
      </c>
      <c r="E660" s="2" t="s">
        <v>7223</v>
      </c>
      <c r="F660" s="3" t="s">
        <v>14206</v>
      </c>
      <c r="H660" s="3" t="s">
        <v>648</v>
      </c>
      <c r="K660" s="2">
        <v>10</v>
      </c>
      <c r="L660" s="2">
        <v>1</v>
      </c>
      <c r="M660" s="3" t="s">
        <v>194</v>
      </c>
      <c r="N660" s="3" t="s">
        <v>904</v>
      </c>
      <c r="O660" s="3" t="s">
        <v>905</v>
      </c>
      <c r="P660" s="3" t="s">
        <v>906</v>
      </c>
      <c r="Q660" s="30" t="str">
        <f t="shared" si="10"/>
        <v>MAX : 2.175
TARGET : 2.115
MIN : 2.055</v>
      </c>
    </row>
    <row r="661" spans="2:18" ht="41.4" x14ac:dyDescent="0.3">
      <c r="B661">
        <v>1</v>
      </c>
      <c r="C661" s="33">
        <v>5169</v>
      </c>
      <c r="D661" s="2">
        <v>1753</v>
      </c>
      <c r="E661" s="2" t="s">
        <v>7237</v>
      </c>
      <c r="F661" s="3" t="s">
        <v>14206</v>
      </c>
      <c r="H661" s="3" t="s">
        <v>917</v>
      </c>
      <c r="K661" s="2">
        <v>20</v>
      </c>
      <c r="L661" s="2">
        <v>2</v>
      </c>
      <c r="M661" s="3" t="s">
        <v>920</v>
      </c>
      <c r="N661" s="3" t="s">
        <v>13</v>
      </c>
      <c r="O661" s="3" t="s">
        <v>14</v>
      </c>
      <c r="Q661" s="30" t="str">
        <f t="shared" si="10"/>
        <v>MAX : 
TARGET : Yes(Pass)
MIN : No(Fail)</v>
      </c>
    </row>
    <row r="662" spans="2:18" ht="41.4" x14ac:dyDescent="0.3">
      <c r="B662">
        <v>0</v>
      </c>
      <c r="C662" s="33">
        <v>5593</v>
      </c>
      <c r="D662" s="2">
        <v>1766</v>
      </c>
      <c r="E662" s="2" t="s">
        <v>7482</v>
      </c>
      <c r="F662" s="3" t="s">
        <v>14207</v>
      </c>
      <c r="H662" s="3" t="s">
        <v>1144</v>
      </c>
      <c r="K662" s="2">
        <v>10</v>
      </c>
      <c r="L662" s="2">
        <v>3</v>
      </c>
      <c r="M662" s="3" t="s">
        <v>1148</v>
      </c>
      <c r="N662" s="3" t="s">
        <v>13</v>
      </c>
      <c r="O662" s="3" t="s">
        <v>14</v>
      </c>
      <c r="Q662" s="30" t="str">
        <f t="shared" si="10"/>
        <v>MAX : 
TARGET : Yes(Pass)
MIN : No(Fail)</v>
      </c>
    </row>
    <row r="663" spans="2:18" ht="41.4" x14ac:dyDescent="0.3">
      <c r="B663">
        <v>1</v>
      </c>
      <c r="C663" s="33">
        <v>5169</v>
      </c>
      <c r="D663" s="2">
        <v>1753</v>
      </c>
      <c r="E663" s="2" t="s">
        <v>7237</v>
      </c>
      <c r="F663" s="3" t="s">
        <v>14206</v>
      </c>
      <c r="H663" s="3" t="s">
        <v>917</v>
      </c>
      <c r="K663" s="2">
        <v>20</v>
      </c>
      <c r="L663" s="2">
        <v>1</v>
      </c>
      <c r="M663" s="3" t="s">
        <v>307</v>
      </c>
      <c r="N663" s="3" t="s">
        <v>918</v>
      </c>
      <c r="O663" s="3" t="s">
        <v>241</v>
      </c>
      <c r="P663" s="3" t="s">
        <v>919</v>
      </c>
      <c r="Q663" s="30" t="str">
        <f t="shared" si="10"/>
        <v>MAX : 0.157
TARGET : 0.125
MIN : 0.093</v>
      </c>
    </row>
    <row r="664" spans="2:18" ht="41.4" x14ac:dyDescent="0.3">
      <c r="B664">
        <v>1</v>
      </c>
      <c r="C664" s="33">
        <v>5169</v>
      </c>
      <c r="D664" s="2">
        <v>1753</v>
      </c>
      <c r="E664" s="2" t="s">
        <v>7237</v>
      </c>
      <c r="F664" s="3" t="s">
        <v>14206</v>
      </c>
      <c r="H664" s="3" t="s">
        <v>917</v>
      </c>
      <c r="K664" s="2">
        <v>10</v>
      </c>
      <c r="L664" s="2">
        <v>1</v>
      </c>
      <c r="M664" s="3" t="s">
        <v>3295</v>
      </c>
      <c r="N664" s="3" t="s">
        <v>13</v>
      </c>
      <c r="O664" s="3" t="s">
        <v>14</v>
      </c>
      <c r="Q664" s="30" t="str">
        <f t="shared" si="10"/>
        <v>MAX : 
TARGET : Yes(Pass)
MIN : No(Fail)</v>
      </c>
    </row>
    <row r="665" spans="2:18" ht="41.4" x14ac:dyDescent="0.3">
      <c r="B665">
        <v>0</v>
      </c>
      <c r="C665" s="33">
        <v>5597</v>
      </c>
      <c r="D665" s="2">
        <v>967</v>
      </c>
      <c r="E665" s="2" t="s">
        <v>7489</v>
      </c>
      <c r="F665" s="3" t="s">
        <v>14206</v>
      </c>
      <c r="H665" s="3" t="s">
        <v>727</v>
      </c>
      <c r="K665" s="2">
        <v>10</v>
      </c>
      <c r="L665" s="2">
        <v>3</v>
      </c>
      <c r="M665" s="3" t="s">
        <v>1153</v>
      </c>
      <c r="N665" s="3" t="s">
        <v>13</v>
      </c>
      <c r="O665" s="3" t="s">
        <v>14</v>
      </c>
      <c r="Q665" s="30" t="str">
        <f t="shared" si="10"/>
        <v>MAX : 
TARGET : Yes(Pass)
MIN : No(Fail)</v>
      </c>
    </row>
    <row r="666" spans="2:18" ht="41.4" x14ac:dyDescent="0.3">
      <c r="B666">
        <v>1</v>
      </c>
      <c r="C666" s="33">
        <v>5169</v>
      </c>
      <c r="D666" s="2">
        <v>1753</v>
      </c>
      <c r="E666" s="2" t="s">
        <v>7237</v>
      </c>
      <c r="F666" s="3" t="s">
        <v>14206</v>
      </c>
      <c r="H666" s="3" t="s">
        <v>917</v>
      </c>
      <c r="K666" s="2">
        <v>10</v>
      </c>
      <c r="L666" s="2">
        <v>2</v>
      </c>
      <c r="M666" s="3" t="s">
        <v>921</v>
      </c>
      <c r="N666" s="3" t="s">
        <v>13</v>
      </c>
      <c r="O666" s="3" t="s">
        <v>14</v>
      </c>
      <c r="Q666" s="30" t="str">
        <f t="shared" si="10"/>
        <v>MAX : 
TARGET : Yes(Pass)
MIN : No(Fail)</v>
      </c>
    </row>
    <row r="667" spans="2:18" ht="41.4" x14ac:dyDescent="0.3">
      <c r="B667">
        <v>1</v>
      </c>
      <c r="C667" s="33">
        <v>5182</v>
      </c>
      <c r="D667" s="2">
        <v>943</v>
      </c>
      <c r="E667" s="2" t="s">
        <v>7244</v>
      </c>
      <c r="F667" s="3" t="s">
        <v>14206</v>
      </c>
      <c r="H667" s="3" t="s">
        <v>922</v>
      </c>
      <c r="K667" s="2">
        <v>10</v>
      </c>
      <c r="L667" s="2">
        <v>2</v>
      </c>
      <c r="M667" s="3" t="s">
        <v>18</v>
      </c>
      <c r="N667" s="3" t="s">
        <v>927</v>
      </c>
      <c r="O667" s="3" t="s">
        <v>276</v>
      </c>
      <c r="P667" s="3" t="s">
        <v>928</v>
      </c>
      <c r="Q667" s="30" t="str">
        <f t="shared" si="10"/>
        <v>MAX : 0.395
TARGET : 0.375
MIN : 0.355</v>
      </c>
      <c r="R667" s="3" t="s">
        <v>926</v>
      </c>
    </row>
    <row r="668" spans="2:18" ht="41.4" x14ac:dyDescent="0.3">
      <c r="B668">
        <v>1</v>
      </c>
      <c r="C668" s="33">
        <v>5182</v>
      </c>
      <c r="D668" s="2">
        <v>943</v>
      </c>
      <c r="E668" s="2" t="s">
        <v>7244</v>
      </c>
      <c r="F668" s="3" t="s">
        <v>14206</v>
      </c>
      <c r="H668" s="3" t="s">
        <v>922</v>
      </c>
      <c r="K668" s="2">
        <v>10</v>
      </c>
      <c r="L668" s="2">
        <v>1</v>
      </c>
      <c r="M668" s="3" t="s">
        <v>22</v>
      </c>
      <c r="N668" s="3" t="s">
        <v>923</v>
      </c>
      <c r="O668" s="3" t="s">
        <v>924</v>
      </c>
      <c r="P668" s="3" t="s">
        <v>925</v>
      </c>
      <c r="Q668" s="30" t="str">
        <f t="shared" si="10"/>
        <v>MAX : 4.460
TARGET : 4.440
MIN : 4.420</v>
      </c>
      <c r="R668" s="3" t="s">
        <v>926</v>
      </c>
    </row>
    <row r="669" spans="2:18" ht="41.4" x14ac:dyDescent="0.3">
      <c r="B669">
        <v>1</v>
      </c>
      <c r="C669" s="33">
        <v>5182</v>
      </c>
      <c r="D669" s="2">
        <v>943</v>
      </c>
      <c r="E669" s="2" t="s">
        <v>7244</v>
      </c>
      <c r="F669" s="3" t="s">
        <v>14206</v>
      </c>
      <c r="H669" s="3" t="s">
        <v>922</v>
      </c>
      <c r="K669" s="2">
        <v>10</v>
      </c>
      <c r="L669" s="2">
        <v>5</v>
      </c>
      <c r="M669" s="3" t="s">
        <v>1006</v>
      </c>
      <c r="N669" s="3" t="s">
        <v>24</v>
      </c>
      <c r="O669" s="3" t="s">
        <v>25</v>
      </c>
      <c r="Q669" s="30" t="str">
        <f t="shared" si="10"/>
        <v>MAX : 
TARGET : Yes (Pass)
MIN : No (Fail)</v>
      </c>
      <c r="R669" s="3" t="s">
        <v>926</v>
      </c>
    </row>
    <row r="670" spans="2:18" ht="41.4" x14ac:dyDescent="0.3">
      <c r="B670">
        <v>0</v>
      </c>
      <c r="C670" s="33">
        <v>5630</v>
      </c>
      <c r="D670" s="2">
        <v>969</v>
      </c>
      <c r="E670" s="2" t="s">
        <v>7517</v>
      </c>
      <c r="F670" s="3" t="s">
        <v>14207</v>
      </c>
      <c r="H670" s="3" t="s">
        <v>1154</v>
      </c>
      <c r="K670" s="2">
        <v>20</v>
      </c>
      <c r="L670" s="2">
        <v>3</v>
      </c>
      <c r="M670" s="3" t="s">
        <v>1156</v>
      </c>
      <c r="N670" s="3" t="s">
        <v>778</v>
      </c>
      <c r="O670" s="3" t="s">
        <v>1157</v>
      </c>
      <c r="P670" s="3" t="s">
        <v>1158</v>
      </c>
      <c r="Q670" s="30" t="str">
        <f t="shared" si="10"/>
        <v>MAX : 11.5
TARGET : 11.0
MIN : 10.5</v>
      </c>
    </row>
    <row r="671" spans="2:18" ht="41.4" x14ac:dyDescent="0.3">
      <c r="B671">
        <v>0</v>
      </c>
      <c r="C671" s="33">
        <v>5630</v>
      </c>
      <c r="D671" s="2">
        <v>969</v>
      </c>
      <c r="E671" s="2" t="s">
        <v>7517</v>
      </c>
      <c r="F671" s="3" t="s">
        <v>14207</v>
      </c>
      <c r="H671" s="3" t="s">
        <v>1154</v>
      </c>
      <c r="K671" s="2">
        <v>20</v>
      </c>
      <c r="L671" s="2">
        <v>4</v>
      </c>
      <c r="M671" s="3" t="s">
        <v>1159</v>
      </c>
      <c r="N671" s="3" t="s">
        <v>778</v>
      </c>
      <c r="O671" s="3" t="s">
        <v>1157</v>
      </c>
      <c r="P671" s="3" t="s">
        <v>1158</v>
      </c>
      <c r="Q671" s="30" t="str">
        <f t="shared" si="10"/>
        <v>MAX : 11.5
TARGET : 11.0
MIN : 10.5</v>
      </c>
    </row>
    <row r="672" spans="2:18" ht="41.4" x14ac:dyDescent="0.3">
      <c r="B672">
        <v>0</v>
      </c>
      <c r="C672" s="33">
        <v>5630</v>
      </c>
      <c r="D672" s="2">
        <v>969</v>
      </c>
      <c r="E672" s="2" t="s">
        <v>7517</v>
      </c>
      <c r="F672" s="3" t="s">
        <v>14207</v>
      </c>
      <c r="H672" s="3" t="s">
        <v>1154</v>
      </c>
      <c r="K672" s="2">
        <v>20</v>
      </c>
      <c r="L672" s="2">
        <v>5</v>
      </c>
      <c r="M672" s="3" t="s">
        <v>1160</v>
      </c>
      <c r="N672" s="3" t="s">
        <v>13</v>
      </c>
      <c r="O672" s="3" t="s">
        <v>14</v>
      </c>
      <c r="Q672" s="30" t="str">
        <f t="shared" si="10"/>
        <v>MAX : 
TARGET : Yes(Pass)
MIN : No(Fail)</v>
      </c>
    </row>
    <row r="673" spans="2:18" ht="41.4" x14ac:dyDescent="0.3">
      <c r="B673">
        <v>0</v>
      </c>
      <c r="C673" s="33">
        <v>5630</v>
      </c>
      <c r="D673" s="2">
        <v>969</v>
      </c>
      <c r="E673" s="2" t="s">
        <v>7517</v>
      </c>
      <c r="F673" s="3" t="s">
        <v>14207</v>
      </c>
      <c r="H673" s="3" t="s">
        <v>1154</v>
      </c>
      <c r="K673" s="2">
        <v>20</v>
      </c>
      <c r="L673" s="2">
        <v>6</v>
      </c>
      <c r="M673" s="3" t="s">
        <v>1161</v>
      </c>
      <c r="N673" s="3" t="s">
        <v>13</v>
      </c>
      <c r="O673" s="3" t="s">
        <v>14</v>
      </c>
      <c r="Q673" s="30" t="str">
        <f t="shared" si="10"/>
        <v>MAX : 
TARGET : Yes(Pass)
MIN : No(Fail)</v>
      </c>
    </row>
    <row r="674" spans="2:18" ht="41.4" x14ac:dyDescent="0.3">
      <c r="B674">
        <v>1</v>
      </c>
      <c r="C674" s="33">
        <v>5183</v>
      </c>
      <c r="D674" s="2">
        <v>944</v>
      </c>
      <c r="E674" s="2" t="s">
        <v>7252</v>
      </c>
      <c r="F674" s="3" t="s">
        <v>14206</v>
      </c>
      <c r="H674" s="3" t="s">
        <v>922</v>
      </c>
      <c r="K674" s="2">
        <v>10</v>
      </c>
      <c r="L674" s="2">
        <v>2</v>
      </c>
      <c r="M674" s="3" t="s">
        <v>18</v>
      </c>
      <c r="N674" s="3" t="s">
        <v>927</v>
      </c>
      <c r="O674" s="3" t="s">
        <v>276</v>
      </c>
      <c r="P674" s="3" t="s">
        <v>928</v>
      </c>
      <c r="Q674" s="30" t="str">
        <f t="shared" si="10"/>
        <v>MAX : 0.395
TARGET : 0.375
MIN : 0.355</v>
      </c>
      <c r="R674" s="3" t="s">
        <v>926</v>
      </c>
    </row>
    <row r="675" spans="2:18" ht="41.4" x14ac:dyDescent="0.3">
      <c r="B675">
        <v>1</v>
      </c>
      <c r="C675" s="33">
        <v>5183</v>
      </c>
      <c r="D675" s="2">
        <v>944</v>
      </c>
      <c r="E675" s="2" t="s">
        <v>7252</v>
      </c>
      <c r="F675" s="3" t="s">
        <v>14206</v>
      </c>
      <c r="H675" s="3" t="s">
        <v>922</v>
      </c>
      <c r="K675" s="2">
        <v>10</v>
      </c>
      <c r="L675" s="2">
        <v>1</v>
      </c>
      <c r="M675" s="3" t="s">
        <v>22</v>
      </c>
      <c r="N675" s="3" t="s">
        <v>932</v>
      </c>
      <c r="O675" s="3" t="s">
        <v>933</v>
      </c>
      <c r="P675" s="3" t="s">
        <v>934</v>
      </c>
      <c r="Q675" s="30" t="str">
        <f t="shared" si="10"/>
        <v>MAX : 1.512
TARGET : 1.492
MIN : 1.472</v>
      </c>
      <c r="R675" s="3" t="s">
        <v>926</v>
      </c>
    </row>
    <row r="676" spans="2:18" ht="41.4" x14ac:dyDescent="0.3">
      <c r="B676">
        <v>0</v>
      </c>
      <c r="C676" s="33">
        <v>5631</v>
      </c>
      <c r="D676" s="2">
        <v>970</v>
      </c>
      <c r="E676" s="2" t="s">
        <v>7525</v>
      </c>
      <c r="F676" s="3" t="s">
        <v>14207</v>
      </c>
      <c r="H676" s="3" t="s">
        <v>1154</v>
      </c>
      <c r="K676" s="2">
        <v>20</v>
      </c>
      <c r="L676" s="2">
        <v>3</v>
      </c>
      <c r="M676" s="3" t="s">
        <v>1156</v>
      </c>
      <c r="N676" s="3" t="s">
        <v>1164</v>
      </c>
      <c r="O676" s="3" t="s">
        <v>1165</v>
      </c>
      <c r="P676" s="3" t="s">
        <v>1166</v>
      </c>
      <c r="Q676" s="30" t="str">
        <f t="shared" si="10"/>
        <v>MAX : 21.5
TARGET : 21.0
MIN : 20.5</v>
      </c>
    </row>
    <row r="677" spans="2:18" ht="41.4" x14ac:dyDescent="0.3">
      <c r="B677">
        <v>0</v>
      </c>
      <c r="C677" s="33">
        <v>5631</v>
      </c>
      <c r="D677" s="2">
        <v>970</v>
      </c>
      <c r="E677" s="2" t="s">
        <v>7525</v>
      </c>
      <c r="F677" s="3" t="s">
        <v>14207</v>
      </c>
      <c r="H677" s="3" t="s">
        <v>1154</v>
      </c>
      <c r="K677" s="2">
        <v>20</v>
      </c>
      <c r="L677" s="2">
        <v>4</v>
      </c>
      <c r="M677" s="3" t="s">
        <v>1159</v>
      </c>
      <c r="N677" s="3" t="s">
        <v>780</v>
      </c>
      <c r="O677" s="3" t="s">
        <v>257</v>
      </c>
      <c r="P677" s="3" t="s">
        <v>1155</v>
      </c>
      <c r="Q677" s="30" t="str">
        <f t="shared" si="10"/>
        <v>MAX : 15.5
TARGET : 15.0
MIN : 14.5</v>
      </c>
    </row>
    <row r="678" spans="2:18" ht="41.4" x14ac:dyDescent="0.3">
      <c r="B678">
        <v>0</v>
      </c>
      <c r="C678" s="33">
        <v>5631</v>
      </c>
      <c r="D678" s="2">
        <v>970</v>
      </c>
      <c r="E678" s="2" t="s">
        <v>7525</v>
      </c>
      <c r="F678" s="3" t="s">
        <v>14207</v>
      </c>
      <c r="H678" s="3" t="s">
        <v>1154</v>
      </c>
      <c r="K678" s="2">
        <v>20</v>
      </c>
      <c r="L678" s="2">
        <v>5</v>
      </c>
      <c r="M678" s="3" t="s">
        <v>1160</v>
      </c>
      <c r="N678" s="3" t="s">
        <v>13</v>
      </c>
      <c r="O678" s="3" t="s">
        <v>14</v>
      </c>
      <c r="Q678" s="30" t="str">
        <f t="shared" si="10"/>
        <v>MAX : 
TARGET : Yes(Pass)
MIN : No(Fail)</v>
      </c>
    </row>
    <row r="679" spans="2:18" ht="41.4" x14ac:dyDescent="0.3">
      <c r="B679">
        <v>0</v>
      </c>
      <c r="C679" s="33">
        <v>5631</v>
      </c>
      <c r="D679" s="2">
        <v>970</v>
      </c>
      <c r="E679" s="2" t="s">
        <v>7525</v>
      </c>
      <c r="F679" s="3" t="s">
        <v>14207</v>
      </c>
      <c r="H679" s="3" t="s">
        <v>1154</v>
      </c>
      <c r="K679" s="2">
        <v>20</v>
      </c>
      <c r="L679" s="2">
        <v>6</v>
      </c>
      <c r="M679" s="3" t="s">
        <v>1161</v>
      </c>
      <c r="N679" s="3" t="s">
        <v>13</v>
      </c>
      <c r="O679" s="3" t="s">
        <v>14</v>
      </c>
      <c r="Q679" s="30" t="str">
        <f t="shared" si="10"/>
        <v>MAX : 
TARGET : Yes(Pass)
MIN : No(Fail)</v>
      </c>
    </row>
    <row r="680" spans="2:18" ht="41.4" x14ac:dyDescent="0.3">
      <c r="B680">
        <v>1</v>
      </c>
      <c r="C680" s="33">
        <v>5183</v>
      </c>
      <c r="D680" s="2">
        <v>944</v>
      </c>
      <c r="E680" s="2" t="s">
        <v>7252</v>
      </c>
      <c r="F680" s="3" t="s">
        <v>14206</v>
      </c>
      <c r="H680" s="3" t="s">
        <v>922</v>
      </c>
      <c r="K680" s="2">
        <v>10</v>
      </c>
      <c r="L680" s="2">
        <v>5</v>
      </c>
      <c r="M680" s="3" t="s">
        <v>1006</v>
      </c>
      <c r="N680" s="3" t="s">
        <v>24</v>
      </c>
      <c r="O680" s="3" t="s">
        <v>25</v>
      </c>
      <c r="Q680" s="30" t="str">
        <f t="shared" si="10"/>
        <v>MAX : 
TARGET : Yes (Pass)
MIN : No (Fail)</v>
      </c>
      <c r="R680" s="3" t="s">
        <v>926</v>
      </c>
    </row>
    <row r="681" spans="2:18" ht="41.4" x14ac:dyDescent="0.3">
      <c r="B681">
        <v>1</v>
      </c>
      <c r="C681" s="33">
        <v>5184</v>
      </c>
      <c r="D681" s="2">
        <v>945</v>
      </c>
      <c r="E681" s="2" t="s">
        <v>7258</v>
      </c>
      <c r="F681" s="3" t="s">
        <v>14206</v>
      </c>
      <c r="H681" s="3" t="s">
        <v>922</v>
      </c>
      <c r="K681" s="2">
        <v>20</v>
      </c>
      <c r="L681" s="2">
        <v>2</v>
      </c>
      <c r="M681" s="3" t="s">
        <v>18</v>
      </c>
      <c r="N681" s="3" t="s">
        <v>941</v>
      </c>
      <c r="O681" s="3" t="s">
        <v>942</v>
      </c>
      <c r="P681" s="3" t="s">
        <v>943</v>
      </c>
      <c r="Q681" s="30" t="str">
        <f t="shared" si="10"/>
        <v>MAX : 3.126
TARGET : 3.106
MIN : 3.086</v>
      </c>
      <c r="R681" s="3" t="s">
        <v>926</v>
      </c>
    </row>
    <row r="682" spans="2:18" ht="41.4" x14ac:dyDescent="0.3">
      <c r="B682">
        <v>0</v>
      </c>
      <c r="C682" s="33">
        <v>5632</v>
      </c>
      <c r="D682" s="2">
        <v>971</v>
      </c>
      <c r="E682" s="2" t="s">
        <v>7531</v>
      </c>
      <c r="F682" s="3" t="s">
        <v>14207</v>
      </c>
      <c r="H682" s="3" t="s">
        <v>1154</v>
      </c>
      <c r="K682" s="2">
        <v>20</v>
      </c>
      <c r="L682" s="2">
        <v>3</v>
      </c>
      <c r="M682" s="3" t="s">
        <v>1156</v>
      </c>
      <c r="N682" s="3" t="s">
        <v>1164</v>
      </c>
      <c r="O682" s="3" t="s">
        <v>1165</v>
      </c>
      <c r="P682" s="3" t="s">
        <v>1166</v>
      </c>
      <c r="Q682" s="30" t="str">
        <f t="shared" si="10"/>
        <v>MAX : 21.5
TARGET : 21.0
MIN : 20.5</v>
      </c>
    </row>
    <row r="683" spans="2:18" ht="41.4" x14ac:dyDescent="0.3">
      <c r="B683">
        <v>0</v>
      </c>
      <c r="C683" s="33">
        <v>5632</v>
      </c>
      <c r="D683" s="2">
        <v>971</v>
      </c>
      <c r="E683" s="2" t="s">
        <v>7531</v>
      </c>
      <c r="F683" s="3" t="s">
        <v>14207</v>
      </c>
      <c r="H683" s="3" t="s">
        <v>1154</v>
      </c>
      <c r="K683" s="2">
        <v>20</v>
      </c>
      <c r="L683" s="2">
        <v>4</v>
      </c>
      <c r="M683" s="3" t="s">
        <v>1159</v>
      </c>
      <c r="N683" s="3" t="s">
        <v>780</v>
      </c>
      <c r="O683" s="3" t="s">
        <v>257</v>
      </c>
      <c r="P683" s="3" t="s">
        <v>1155</v>
      </c>
      <c r="Q683" s="30" t="str">
        <f t="shared" si="10"/>
        <v>MAX : 15.5
TARGET : 15.0
MIN : 14.5</v>
      </c>
    </row>
    <row r="684" spans="2:18" ht="41.4" x14ac:dyDescent="0.3">
      <c r="B684">
        <v>0</v>
      </c>
      <c r="C684" s="33">
        <v>5632</v>
      </c>
      <c r="D684" s="2">
        <v>971</v>
      </c>
      <c r="E684" s="2" t="s">
        <v>7531</v>
      </c>
      <c r="F684" s="3" t="s">
        <v>14207</v>
      </c>
      <c r="H684" s="3" t="s">
        <v>1154</v>
      </c>
      <c r="K684" s="2">
        <v>20</v>
      </c>
      <c r="L684" s="2">
        <v>5</v>
      </c>
      <c r="M684" s="3" t="s">
        <v>1160</v>
      </c>
      <c r="N684" s="3" t="s">
        <v>13</v>
      </c>
      <c r="O684" s="3" t="s">
        <v>14</v>
      </c>
      <c r="Q684" s="30" t="str">
        <f t="shared" si="10"/>
        <v>MAX : 
TARGET : Yes(Pass)
MIN : No(Fail)</v>
      </c>
    </row>
    <row r="685" spans="2:18" ht="41.4" x14ac:dyDescent="0.3">
      <c r="B685">
        <v>0</v>
      </c>
      <c r="C685" s="33">
        <v>5632</v>
      </c>
      <c r="D685" s="2">
        <v>971</v>
      </c>
      <c r="E685" s="2" t="s">
        <v>7531</v>
      </c>
      <c r="F685" s="3" t="s">
        <v>14207</v>
      </c>
      <c r="H685" s="3" t="s">
        <v>1154</v>
      </c>
      <c r="K685" s="2">
        <v>20</v>
      </c>
      <c r="L685" s="2">
        <v>6</v>
      </c>
      <c r="M685" s="3" t="s">
        <v>1161</v>
      </c>
      <c r="N685" s="3" t="s">
        <v>13</v>
      </c>
      <c r="O685" s="3" t="s">
        <v>14</v>
      </c>
      <c r="Q685" s="30" t="str">
        <f t="shared" si="10"/>
        <v>MAX : 
TARGET : Yes(Pass)
MIN : No(Fail)</v>
      </c>
    </row>
    <row r="686" spans="2:18" ht="41.4" x14ac:dyDescent="0.3">
      <c r="B686">
        <v>1</v>
      </c>
      <c r="C686" s="33">
        <v>5184</v>
      </c>
      <c r="D686" s="2">
        <v>945</v>
      </c>
      <c r="E686" s="2" t="s">
        <v>7258</v>
      </c>
      <c r="F686" s="3" t="s">
        <v>14206</v>
      </c>
      <c r="H686" s="3" t="s">
        <v>922</v>
      </c>
      <c r="K686" s="2">
        <v>20</v>
      </c>
      <c r="L686" s="2">
        <v>1</v>
      </c>
      <c r="M686" s="3" t="s">
        <v>22</v>
      </c>
      <c r="N686" s="3" t="s">
        <v>938</v>
      </c>
      <c r="O686" s="3" t="s">
        <v>939</v>
      </c>
      <c r="P686" s="3" t="s">
        <v>940</v>
      </c>
      <c r="Q686" s="30" t="str">
        <f t="shared" si="10"/>
        <v>MAX : 5.147
TARGET : 5.127
MIN : 5.107</v>
      </c>
      <c r="R686" s="3" t="s">
        <v>926</v>
      </c>
    </row>
    <row r="687" spans="2:18" ht="41.4" x14ac:dyDescent="0.3">
      <c r="B687">
        <v>1</v>
      </c>
      <c r="C687" s="33">
        <v>5184</v>
      </c>
      <c r="D687" s="2">
        <v>945</v>
      </c>
      <c r="E687" s="2" t="s">
        <v>7258</v>
      </c>
      <c r="F687" s="3" t="s">
        <v>14206</v>
      </c>
      <c r="H687" s="3" t="s">
        <v>922</v>
      </c>
      <c r="K687" s="2">
        <v>20</v>
      </c>
      <c r="L687" s="2">
        <v>6</v>
      </c>
      <c r="M687" s="3" t="s">
        <v>931</v>
      </c>
      <c r="N687" s="3" t="s">
        <v>24</v>
      </c>
      <c r="O687" s="3" t="s">
        <v>25</v>
      </c>
      <c r="Q687" s="30" t="str">
        <f t="shared" si="10"/>
        <v>MAX : 
TARGET : Yes (Pass)
MIN : No (Fail)</v>
      </c>
      <c r="R687" s="3" t="s">
        <v>926</v>
      </c>
    </row>
    <row r="688" spans="2:18" ht="41.4" x14ac:dyDescent="0.3">
      <c r="B688">
        <v>0</v>
      </c>
      <c r="C688" s="33">
        <v>5633</v>
      </c>
      <c r="D688" s="2">
        <v>972</v>
      </c>
      <c r="E688" s="2" t="s">
        <v>7538</v>
      </c>
      <c r="F688" s="3" t="s">
        <v>14207</v>
      </c>
      <c r="H688" s="3" t="s">
        <v>1154</v>
      </c>
      <c r="K688" s="2">
        <v>20</v>
      </c>
      <c r="L688" s="2">
        <v>3</v>
      </c>
      <c r="M688" s="3" t="s">
        <v>1156</v>
      </c>
      <c r="N688" s="3" t="s">
        <v>1155</v>
      </c>
      <c r="O688" s="3" t="s">
        <v>32</v>
      </c>
      <c r="P688" s="3" t="s">
        <v>1169</v>
      </c>
      <c r="Q688" s="30" t="str">
        <f t="shared" si="10"/>
        <v>MAX : 16.5
TARGET : 16.0
MIN : 15.5</v>
      </c>
    </row>
    <row r="689" spans="2:18" ht="41.4" x14ac:dyDescent="0.3">
      <c r="B689">
        <v>0</v>
      </c>
      <c r="C689" s="33">
        <v>5633</v>
      </c>
      <c r="D689" s="2">
        <v>972</v>
      </c>
      <c r="E689" s="2" t="s">
        <v>7538</v>
      </c>
      <c r="F689" s="3" t="s">
        <v>14207</v>
      </c>
      <c r="H689" s="3" t="s">
        <v>1154</v>
      </c>
      <c r="K689" s="2">
        <v>20</v>
      </c>
      <c r="L689" s="2">
        <v>4</v>
      </c>
      <c r="M689" s="3" t="s">
        <v>1159</v>
      </c>
      <c r="N689" s="3" t="s">
        <v>778</v>
      </c>
      <c r="O689" s="3" t="s">
        <v>1157</v>
      </c>
      <c r="P689" s="3" t="s">
        <v>1158</v>
      </c>
      <c r="Q689" s="30" t="str">
        <f t="shared" si="10"/>
        <v>MAX : 11.5
TARGET : 11.0
MIN : 10.5</v>
      </c>
    </row>
    <row r="690" spans="2:18" ht="41.4" x14ac:dyDescent="0.3">
      <c r="B690">
        <v>0</v>
      </c>
      <c r="C690" s="33">
        <v>5633</v>
      </c>
      <c r="D690" s="2">
        <v>972</v>
      </c>
      <c r="E690" s="2" t="s">
        <v>7538</v>
      </c>
      <c r="F690" s="3" t="s">
        <v>14207</v>
      </c>
      <c r="H690" s="3" t="s">
        <v>1154</v>
      </c>
      <c r="K690" s="2">
        <v>20</v>
      </c>
      <c r="L690" s="2">
        <v>5</v>
      </c>
      <c r="M690" s="3" t="s">
        <v>1160</v>
      </c>
      <c r="N690" s="3" t="s">
        <v>24</v>
      </c>
      <c r="O690" s="3" t="s">
        <v>25</v>
      </c>
      <c r="Q690" s="30" t="str">
        <f t="shared" si="10"/>
        <v>MAX : 
TARGET : Yes (Pass)
MIN : No (Fail)</v>
      </c>
    </row>
    <row r="691" spans="2:18" ht="41.4" x14ac:dyDescent="0.3">
      <c r="B691">
        <v>0</v>
      </c>
      <c r="C691" s="33">
        <v>5633</v>
      </c>
      <c r="D691" s="2">
        <v>972</v>
      </c>
      <c r="E691" s="2" t="s">
        <v>7538</v>
      </c>
      <c r="F691" s="3" t="s">
        <v>14207</v>
      </c>
      <c r="H691" s="3" t="s">
        <v>1154</v>
      </c>
      <c r="K691" s="2">
        <v>20</v>
      </c>
      <c r="L691" s="2">
        <v>6</v>
      </c>
      <c r="M691" s="3" t="s">
        <v>1161</v>
      </c>
      <c r="N691" s="3" t="s">
        <v>24</v>
      </c>
      <c r="O691" s="3" t="s">
        <v>25</v>
      </c>
      <c r="Q691" s="30" t="str">
        <f t="shared" si="10"/>
        <v>MAX : 
TARGET : Yes (Pass)
MIN : No (Fail)</v>
      </c>
    </row>
    <row r="692" spans="2:18" ht="41.4" x14ac:dyDescent="0.3">
      <c r="B692">
        <v>1</v>
      </c>
      <c r="C692" s="33">
        <v>5184</v>
      </c>
      <c r="D692" s="2">
        <v>945</v>
      </c>
      <c r="E692" s="2" t="s">
        <v>7258</v>
      </c>
      <c r="F692" s="3" t="s">
        <v>14206</v>
      </c>
      <c r="H692" s="3" t="s">
        <v>922</v>
      </c>
      <c r="K692" s="2">
        <v>20</v>
      </c>
      <c r="L692" s="2">
        <v>7</v>
      </c>
      <c r="M692" s="3" t="s">
        <v>1006</v>
      </c>
      <c r="N692" s="3" t="s">
        <v>24</v>
      </c>
      <c r="O692" s="3" t="s">
        <v>25</v>
      </c>
      <c r="Q692" s="30" t="str">
        <f t="shared" si="10"/>
        <v>MAX : 
TARGET : Yes (Pass)
MIN : No (Fail)</v>
      </c>
      <c r="R692" s="3" t="s">
        <v>926</v>
      </c>
    </row>
    <row r="693" spans="2:18" ht="41.4" x14ac:dyDescent="0.3">
      <c r="B693">
        <v>1</v>
      </c>
      <c r="C693" s="33">
        <v>5184</v>
      </c>
      <c r="D693" s="2">
        <v>945</v>
      </c>
      <c r="E693" s="2" t="s">
        <v>7258</v>
      </c>
      <c r="F693" s="3" t="s">
        <v>14206</v>
      </c>
      <c r="H693" s="3" t="s">
        <v>922</v>
      </c>
      <c r="K693" s="2">
        <v>20</v>
      </c>
      <c r="L693" s="2">
        <v>4</v>
      </c>
      <c r="M693" s="3" t="s">
        <v>6026</v>
      </c>
      <c r="N693" s="3" t="s">
        <v>6027</v>
      </c>
      <c r="O693" s="3" t="s">
        <v>6028</v>
      </c>
      <c r="P693" s="3" t="s">
        <v>6029</v>
      </c>
      <c r="Q693" s="30" t="str">
        <f t="shared" si="10"/>
        <v>MAX : 2.458
TARGET : 2.438
MIN : 2.418</v>
      </c>
      <c r="R693" s="3" t="s">
        <v>926</v>
      </c>
    </row>
    <row r="694" spans="2:18" ht="41.4" x14ac:dyDescent="0.3">
      <c r="B694">
        <v>1</v>
      </c>
      <c r="C694" s="33">
        <v>5184</v>
      </c>
      <c r="D694" s="2">
        <v>945</v>
      </c>
      <c r="E694" s="2" t="s">
        <v>7258</v>
      </c>
      <c r="F694" s="3" t="s">
        <v>14206</v>
      </c>
      <c r="H694" s="3" t="s">
        <v>922</v>
      </c>
      <c r="K694" s="2">
        <v>20</v>
      </c>
      <c r="L694" s="2">
        <v>5</v>
      </c>
      <c r="M694" s="3" t="s">
        <v>6146</v>
      </c>
      <c r="N694" s="3" t="s">
        <v>6027</v>
      </c>
      <c r="O694" s="3" t="s">
        <v>6028</v>
      </c>
      <c r="P694" s="3" t="s">
        <v>6029</v>
      </c>
      <c r="Q694" s="30" t="str">
        <f t="shared" si="10"/>
        <v>MAX : 2.458
TARGET : 2.438
MIN : 2.418</v>
      </c>
      <c r="R694" s="3" t="s">
        <v>926</v>
      </c>
    </row>
    <row r="695" spans="2:18" ht="41.4" x14ac:dyDescent="0.3">
      <c r="B695">
        <v>0</v>
      </c>
      <c r="C695" s="33">
        <v>5599</v>
      </c>
      <c r="D695" s="2">
        <v>968</v>
      </c>
      <c r="E695" s="2" t="s">
        <v>7496</v>
      </c>
      <c r="F695" s="3" t="s">
        <v>14206</v>
      </c>
      <c r="H695" s="3" t="s">
        <v>146</v>
      </c>
      <c r="K695" s="2">
        <v>10</v>
      </c>
      <c r="L695" s="2">
        <v>3</v>
      </c>
      <c r="M695" s="3" t="s">
        <v>99</v>
      </c>
      <c r="N695" s="3" t="s">
        <v>1173</v>
      </c>
      <c r="O695" s="3" t="s">
        <v>250</v>
      </c>
      <c r="P695" s="3" t="s">
        <v>1174</v>
      </c>
      <c r="Q695" s="30" t="str">
        <f t="shared" si="10"/>
        <v>MAX : 6.06
TARGET : 6.00
MIN : 5.94</v>
      </c>
    </row>
    <row r="696" spans="2:18" ht="41.4" x14ac:dyDescent="0.3">
      <c r="B696">
        <v>0</v>
      </c>
      <c r="C696" s="33">
        <v>5599</v>
      </c>
      <c r="D696" s="2">
        <v>968</v>
      </c>
      <c r="E696" s="2" t="s">
        <v>7496</v>
      </c>
      <c r="F696" s="3" t="s">
        <v>14206</v>
      </c>
      <c r="H696" s="3" t="s">
        <v>146</v>
      </c>
      <c r="K696" s="2">
        <v>10</v>
      </c>
      <c r="L696" s="2">
        <v>4</v>
      </c>
      <c r="M696" s="3" t="s">
        <v>1175</v>
      </c>
      <c r="N696" s="3" t="s">
        <v>150</v>
      </c>
      <c r="O696" s="3" t="s">
        <v>1176</v>
      </c>
      <c r="P696" s="3" t="s">
        <v>195</v>
      </c>
      <c r="Q696" s="30" t="str">
        <f t="shared" si="10"/>
        <v>MAX : 12.75
TARGET : 12.50
MIN : 12.25</v>
      </c>
    </row>
    <row r="697" spans="2:18" ht="41.4" x14ac:dyDescent="0.3">
      <c r="B697">
        <v>0</v>
      </c>
      <c r="C697" s="33">
        <v>5599</v>
      </c>
      <c r="D697" s="2">
        <v>968</v>
      </c>
      <c r="E697" s="2" t="s">
        <v>7496</v>
      </c>
      <c r="F697" s="3" t="s">
        <v>14206</v>
      </c>
      <c r="H697" s="3" t="s">
        <v>146</v>
      </c>
      <c r="K697" s="2">
        <v>20</v>
      </c>
      <c r="L697" s="2">
        <v>1</v>
      </c>
      <c r="M697" s="3" t="s">
        <v>1177</v>
      </c>
      <c r="N697" s="3" t="s">
        <v>13</v>
      </c>
      <c r="O697" s="3" t="s">
        <v>14</v>
      </c>
      <c r="Q697" s="30" t="str">
        <f t="shared" si="10"/>
        <v>MAX : 
TARGET : Yes(Pass)
MIN : No(Fail)</v>
      </c>
    </row>
    <row r="698" spans="2:18" ht="41.4" x14ac:dyDescent="0.3">
      <c r="B698">
        <v>0</v>
      </c>
      <c r="C698" s="33">
        <v>5599</v>
      </c>
      <c r="D698" s="2">
        <v>968</v>
      </c>
      <c r="E698" s="2" t="s">
        <v>7496</v>
      </c>
      <c r="F698" s="3" t="s">
        <v>14206</v>
      </c>
      <c r="H698" s="3" t="s">
        <v>146</v>
      </c>
      <c r="K698" s="2">
        <v>20</v>
      </c>
      <c r="L698" s="2">
        <v>2</v>
      </c>
      <c r="M698" s="3" t="s">
        <v>1178</v>
      </c>
      <c r="N698" s="3" t="s">
        <v>13</v>
      </c>
      <c r="O698" s="3" t="s">
        <v>14</v>
      </c>
      <c r="Q698" s="30" t="str">
        <f t="shared" si="10"/>
        <v>MAX : 
TARGET : Yes(Pass)
MIN : No(Fail)</v>
      </c>
    </row>
    <row r="699" spans="2:18" ht="41.4" x14ac:dyDescent="0.3">
      <c r="B699">
        <v>0</v>
      </c>
      <c r="C699" s="33">
        <v>5599</v>
      </c>
      <c r="D699" s="2">
        <v>968</v>
      </c>
      <c r="E699" s="2" t="s">
        <v>7496</v>
      </c>
      <c r="F699" s="3" t="s">
        <v>14206</v>
      </c>
      <c r="H699" s="3" t="s">
        <v>146</v>
      </c>
      <c r="K699" s="2">
        <v>20</v>
      </c>
      <c r="L699" s="2">
        <v>3</v>
      </c>
      <c r="M699" s="3" t="s">
        <v>1179</v>
      </c>
      <c r="N699" s="3" t="s">
        <v>13</v>
      </c>
      <c r="O699" s="3" t="s">
        <v>14</v>
      </c>
      <c r="Q699" s="30" t="str">
        <f t="shared" si="10"/>
        <v>MAX : 
TARGET : Yes(Pass)
MIN : No(Fail)</v>
      </c>
    </row>
    <row r="700" spans="2:18" ht="41.4" x14ac:dyDescent="0.3">
      <c r="B700">
        <v>0</v>
      </c>
      <c r="C700" s="33">
        <v>5599</v>
      </c>
      <c r="D700" s="2">
        <v>968</v>
      </c>
      <c r="E700" s="2" t="s">
        <v>7496</v>
      </c>
      <c r="F700" s="3" t="s">
        <v>14206</v>
      </c>
      <c r="H700" s="3" t="s">
        <v>146</v>
      </c>
      <c r="K700" s="2">
        <v>20</v>
      </c>
      <c r="L700" s="2">
        <v>4</v>
      </c>
      <c r="M700" s="3" t="s">
        <v>1180</v>
      </c>
      <c r="N700" s="3" t="s">
        <v>13</v>
      </c>
      <c r="O700" s="3" t="s">
        <v>14</v>
      </c>
      <c r="Q700" s="30" t="str">
        <f t="shared" si="10"/>
        <v>MAX : 
TARGET : Yes(Pass)
MIN : No(Fail)</v>
      </c>
    </row>
    <row r="701" spans="2:18" ht="41.4" x14ac:dyDescent="0.3">
      <c r="B701">
        <v>0</v>
      </c>
      <c r="C701" s="33">
        <v>5599</v>
      </c>
      <c r="D701" s="2">
        <v>968</v>
      </c>
      <c r="E701" s="2" t="s">
        <v>7496</v>
      </c>
      <c r="F701" s="3" t="s">
        <v>14206</v>
      </c>
      <c r="H701" s="3" t="s">
        <v>146</v>
      </c>
      <c r="K701" s="2">
        <v>20</v>
      </c>
      <c r="L701" s="2">
        <v>5</v>
      </c>
      <c r="M701" s="3" t="s">
        <v>1181</v>
      </c>
      <c r="N701" s="3" t="s">
        <v>13</v>
      </c>
      <c r="O701" s="3" t="s">
        <v>14</v>
      </c>
      <c r="Q701" s="30" t="str">
        <f t="shared" si="10"/>
        <v>MAX : 
TARGET : Yes(Pass)
MIN : No(Fail)</v>
      </c>
    </row>
    <row r="702" spans="2:18" ht="41.4" x14ac:dyDescent="0.3">
      <c r="B702">
        <v>0</v>
      </c>
      <c r="C702" s="33">
        <v>5599</v>
      </c>
      <c r="D702" s="2">
        <v>968</v>
      </c>
      <c r="E702" s="2" t="s">
        <v>7496</v>
      </c>
      <c r="F702" s="3" t="s">
        <v>14206</v>
      </c>
      <c r="H702" s="3" t="s">
        <v>146</v>
      </c>
      <c r="K702" s="2">
        <v>10</v>
      </c>
      <c r="L702" s="2">
        <v>5</v>
      </c>
      <c r="M702" s="3" t="s">
        <v>1182</v>
      </c>
      <c r="N702" s="3" t="s">
        <v>13</v>
      </c>
      <c r="O702" s="3" t="s">
        <v>14</v>
      </c>
      <c r="Q702" s="30" t="str">
        <f t="shared" si="10"/>
        <v>MAX : 
TARGET : Yes(Pass)
MIN : No(Fail)</v>
      </c>
    </row>
    <row r="703" spans="2:18" ht="41.4" x14ac:dyDescent="0.3">
      <c r="B703">
        <v>1</v>
      </c>
      <c r="C703" s="33">
        <v>5201</v>
      </c>
      <c r="D703" s="2">
        <v>1754</v>
      </c>
      <c r="E703" s="2" t="s">
        <v>7265</v>
      </c>
      <c r="F703" s="3" t="s">
        <v>14206</v>
      </c>
      <c r="H703" s="3" t="s">
        <v>412</v>
      </c>
      <c r="K703" s="2">
        <v>30</v>
      </c>
      <c r="L703" s="2">
        <v>3</v>
      </c>
      <c r="M703" s="3" t="s">
        <v>960</v>
      </c>
      <c r="N703" s="3" t="s">
        <v>13</v>
      </c>
      <c r="O703" s="3" t="s">
        <v>14</v>
      </c>
      <c r="Q703" s="30" t="str">
        <f t="shared" si="10"/>
        <v>MAX : 
TARGET : Yes(Pass)
MIN : No(Fail)</v>
      </c>
    </row>
    <row r="704" spans="2:18" ht="41.4" x14ac:dyDescent="0.3">
      <c r="B704">
        <v>1</v>
      </c>
      <c r="C704" s="33">
        <v>5201</v>
      </c>
      <c r="D704" s="2">
        <v>1754</v>
      </c>
      <c r="E704" s="2" t="s">
        <v>7265</v>
      </c>
      <c r="F704" s="3" t="s">
        <v>14206</v>
      </c>
      <c r="H704" s="3" t="s">
        <v>412</v>
      </c>
      <c r="K704" s="2">
        <v>30</v>
      </c>
      <c r="L704" s="2">
        <v>1</v>
      </c>
      <c r="M704" s="3" t="s">
        <v>174</v>
      </c>
      <c r="N704" s="3" t="s">
        <v>955</v>
      </c>
      <c r="O704" s="3" t="s">
        <v>139</v>
      </c>
      <c r="P704" s="3" t="s">
        <v>140</v>
      </c>
      <c r="Q704" s="30" t="str">
        <f t="shared" si="10"/>
        <v>MAX : 1.031
TARGET : 1.000
MIN : 0.969</v>
      </c>
    </row>
    <row r="705" spans="2:17" ht="41.4" x14ac:dyDescent="0.3">
      <c r="B705">
        <v>0</v>
      </c>
      <c r="C705" s="33">
        <v>5651</v>
      </c>
      <c r="D705" s="2">
        <v>974</v>
      </c>
      <c r="E705" s="2" t="s">
        <v>7555</v>
      </c>
      <c r="F705" s="3" t="s">
        <v>14215</v>
      </c>
      <c r="H705" s="3" t="s">
        <v>1183</v>
      </c>
      <c r="I705" s="3" t="s">
        <v>575</v>
      </c>
      <c r="K705" s="2">
        <v>10</v>
      </c>
      <c r="L705" s="2">
        <v>3</v>
      </c>
      <c r="M705" s="3" t="s">
        <v>1187</v>
      </c>
      <c r="N705" s="3" t="s">
        <v>790</v>
      </c>
      <c r="O705" s="3" t="s">
        <v>76</v>
      </c>
      <c r="P705" s="3" t="s">
        <v>1185</v>
      </c>
      <c r="Q705" s="30" t="str">
        <f t="shared" si="10"/>
        <v>MAX : 2.75
TARGET : 2.50
MIN : 2.25</v>
      </c>
    </row>
    <row r="706" spans="2:17" ht="41.4" x14ac:dyDescent="0.3">
      <c r="B706">
        <v>0</v>
      </c>
      <c r="C706" s="33">
        <v>5651</v>
      </c>
      <c r="D706" s="2">
        <v>974</v>
      </c>
      <c r="E706" s="2" t="s">
        <v>7555</v>
      </c>
      <c r="F706" s="3" t="s">
        <v>14215</v>
      </c>
      <c r="H706" s="3" t="s">
        <v>1183</v>
      </c>
      <c r="I706" s="3" t="s">
        <v>575</v>
      </c>
      <c r="K706" s="2">
        <v>10</v>
      </c>
      <c r="L706" s="2">
        <v>4</v>
      </c>
      <c r="M706" s="3" t="s">
        <v>1188</v>
      </c>
      <c r="N706" s="3" t="s">
        <v>790</v>
      </c>
      <c r="O706" s="3" t="s">
        <v>76</v>
      </c>
      <c r="P706" s="3" t="s">
        <v>1185</v>
      </c>
      <c r="Q706" s="30" t="str">
        <f t="shared" ref="Q706:Q769" si="11">"MAX : " &amp; P706 &amp; CHAR(10) &amp; "TARGET : " &amp; O706 &amp; CHAR(10) &amp; "MIN : " &amp; N706</f>
        <v>MAX : 2.75
TARGET : 2.50
MIN : 2.25</v>
      </c>
    </row>
    <row r="707" spans="2:17" ht="41.4" x14ac:dyDescent="0.3">
      <c r="B707">
        <v>0</v>
      </c>
      <c r="C707" s="33">
        <v>5651</v>
      </c>
      <c r="D707" s="2">
        <v>974</v>
      </c>
      <c r="E707" s="2" t="s">
        <v>7555</v>
      </c>
      <c r="F707" s="3" t="s">
        <v>14215</v>
      </c>
      <c r="H707" s="3" t="s">
        <v>1183</v>
      </c>
      <c r="I707" s="3" t="s">
        <v>575</v>
      </c>
      <c r="K707" s="2">
        <v>10</v>
      </c>
      <c r="L707" s="2">
        <v>5</v>
      </c>
      <c r="M707" s="3" t="s">
        <v>1189</v>
      </c>
      <c r="N707" s="3" t="s">
        <v>790</v>
      </c>
      <c r="O707" s="3" t="s">
        <v>76</v>
      </c>
      <c r="P707" s="3" t="s">
        <v>1185</v>
      </c>
      <c r="Q707" s="30" t="str">
        <f t="shared" si="11"/>
        <v>MAX : 2.75
TARGET : 2.50
MIN : 2.25</v>
      </c>
    </row>
    <row r="708" spans="2:17" ht="41.4" x14ac:dyDescent="0.3">
      <c r="B708">
        <v>0</v>
      </c>
      <c r="C708" s="33">
        <v>5651</v>
      </c>
      <c r="D708" s="2">
        <v>974</v>
      </c>
      <c r="E708" s="2" t="s">
        <v>7555</v>
      </c>
      <c r="F708" s="3" t="s">
        <v>14215</v>
      </c>
      <c r="H708" s="3" t="s">
        <v>1183</v>
      </c>
      <c r="I708" s="3" t="s">
        <v>575</v>
      </c>
      <c r="K708" s="2">
        <v>10</v>
      </c>
      <c r="L708" s="2">
        <v>6</v>
      </c>
      <c r="M708" s="3" t="s">
        <v>1190</v>
      </c>
      <c r="N708" s="3" t="s">
        <v>1191</v>
      </c>
      <c r="O708" s="3" t="s">
        <v>1192</v>
      </c>
      <c r="P708" s="3" t="s">
        <v>1193</v>
      </c>
      <c r="Q708" s="30" t="str">
        <f t="shared" si="11"/>
        <v>MAX : 49.25
TARGET : 49.00
MIN : 48.75</v>
      </c>
    </row>
    <row r="709" spans="2:17" ht="41.4" x14ac:dyDescent="0.3">
      <c r="B709">
        <v>0</v>
      </c>
      <c r="C709" s="33">
        <v>5651</v>
      </c>
      <c r="D709" s="2">
        <v>974</v>
      </c>
      <c r="E709" s="2" t="s">
        <v>7555</v>
      </c>
      <c r="F709" s="3" t="s">
        <v>14215</v>
      </c>
      <c r="H709" s="3" t="s">
        <v>1183</v>
      </c>
      <c r="I709" s="3" t="s">
        <v>575</v>
      </c>
      <c r="K709" s="2">
        <v>10</v>
      </c>
      <c r="L709" s="2">
        <v>7</v>
      </c>
      <c r="M709" s="3" t="s">
        <v>1194</v>
      </c>
      <c r="N709" s="3" t="s">
        <v>1195</v>
      </c>
      <c r="O709" s="3" t="s">
        <v>1196</v>
      </c>
      <c r="P709" s="3" t="s">
        <v>1197</v>
      </c>
      <c r="Q709" s="30" t="str">
        <f t="shared" si="11"/>
        <v>MAX : 24.75
TARGET : 24.50
MIN : 24.25</v>
      </c>
    </row>
    <row r="710" spans="2:17" ht="41.4" x14ac:dyDescent="0.3">
      <c r="B710">
        <v>0</v>
      </c>
      <c r="C710" s="33">
        <v>5651</v>
      </c>
      <c r="D710" s="2">
        <v>974</v>
      </c>
      <c r="E710" s="2" t="s">
        <v>7555</v>
      </c>
      <c r="F710" s="3" t="s">
        <v>14215</v>
      </c>
      <c r="H710" s="3" t="s">
        <v>1183</v>
      </c>
      <c r="I710" s="3" t="s">
        <v>575</v>
      </c>
      <c r="K710" s="2">
        <v>10</v>
      </c>
      <c r="L710" s="2">
        <v>8</v>
      </c>
      <c r="M710" s="3" t="s">
        <v>1198</v>
      </c>
      <c r="N710" s="3" t="s">
        <v>1195</v>
      </c>
      <c r="O710" s="3" t="s">
        <v>1196</v>
      </c>
      <c r="P710" s="3" t="s">
        <v>1197</v>
      </c>
      <c r="Q710" s="30" t="str">
        <f t="shared" si="11"/>
        <v>MAX : 24.75
TARGET : 24.50
MIN : 24.25</v>
      </c>
    </row>
    <row r="711" spans="2:17" ht="41.4" x14ac:dyDescent="0.3">
      <c r="B711">
        <v>0</v>
      </c>
      <c r="C711" s="33">
        <v>5651</v>
      </c>
      <c r="D711" s="2">
        <v>974</v>
      </c>
      <c r="E711" s="2" t="s">
        <v>7555</v>
      </c>
      <c r="F711" s="3" t="s">
        <v>14215</v>
      </c>
      <c r="H711" s="3" t="s">
        <v>1183</v>
      </c>
      <c r="I711" s="3" t="s">
        <v>575</v>
      </c>
      <c r="K711" s="2">
        <v>10</v>
      </c>
      <c r="L711" s="2">
        <v>9</v>
      </c>
      <c r="M711" s="3" t="s">
        <v>1199</v>
      </c>
      <c r="N711" s="3" t="s">
        <v>1200</v>
      </c>
      <c r="O711" s="3" t="s">
        <v>1201</v>
      </c>
      <c r="P711" s="3" t="s">
        <v>1202</v>
      </c>
      <c r="Q711" s="30" t="str">
        <f t="shared" si="11"/>
        <v>MAX : 44.25
TARGET : 44.00
MIN : 43.75</v>
      </c>
    </row>
    <row r="712" spans="2:17" ht="41.4" x14ac:dyDescent="0.3">
      <c r="B712">
        <v>1</v>
      </c>
      <c r="C712" s="33">
        <v>5201</v>
      </c>
      <c r="D712" s="2">
        <v>1754</v>
      </c>
      <c r="E712" s="2" t="s">
        <v>7265</v>
      </c>
      <c r="F712" s="3" t="s">
        <v>14206</v>
      </c>
      <c r="H712" s="3" t="s">
        <v>412</v>
      </c>
      <c r="K712" s="2">
        <v>30</v>
      </c>
      <c r="L712" s="2">
        <v>2</v>
      </c>
      <c r="M712" s="3" t="s">
        <v>959</v>
      </c>
      <c r="N712" s="3" t="s">
        <v>13</v>
      </c>
      <c r="O712" s="3" t="s">
        <v>14</v>
      </c>
      <c r="Q712" s="30" t="str">
        <f t="shared" si="11"/>
        <v>MAX : 
TARGET : Yes(Pass)
MIN : No(Fail)</v>
      </c>
    </row>
    <row r="713" spans="2:17" ht="41.4" x14ac:dyDescent="0.3">
      <c r="B713">
        <v>1</v>
      </c>
      <c r="C713" s="33">
        <v>5201</v>
      </c>
      <c r="D713" s="2">
        <v>1754</v>
      </c>
      <c r="E713" s="2" t="s">
        <v>7265</v>
      </c>
      <c r="F713" s="3" t="s">
        <v>14206</v>
      </c>
      <c r="H713" s="3" t="s">
        <v>412</v>
      </c>
      <c r="K713" s="2">
        <v>10</v>
      </c>
      <c r="L713" s="2">
        <v>1</v>
      </c>
      <c r="M713" s="3" t="s">
        <v>3928</v>
      </c>
      <c r="N713" s="3" t="s">
        <v>1173</v>
      </c>
      <c r="O713" s="3" t="s">
        <v>250</v>
      </c>
      <c r="P713" s="3" t="s">
        <v>1174</v>
      </c>
      <c r="Q713" s="30" t="str">
        <f t="shared" si="11"/>
        <v>MAX : 6.06
TARGET : 6.00
MIN : 5.94</v>
      </c>
    </row>
    <row r="714" spans="2:17" ht="41.4" x14ac:dyDescent="0.3">
      <c r="B714">
        <v>0</v>
      </c>
      <c r="C714" s="33">
        <v>5660</v>
      </c>
      <c r="D714" s="2">
        <v>975</v>
      </c>
      <c r="E714" s="2" t="s">
        <v>7562</v>
      </c>
      <c r="F714" s="3" t="s">
        <v>14216</v>
      </c>
      <c r="H714" s="3" t="s">
        <v>727</v>
      </c>
      <c r="K714" s="2">
        <v>20</v>
      </c>
      <c r="L714" s="2">
        <v>3</v>
      </c>
      <c r="M714" s="3" t="s">
        <v>18</v>
      </c>
      <c r="N714" s="3" t="s">
        <v>200</v>
      </c>
      <c r="O714" s="3" t="s">
        <v>250</v>
      </c>
      <c r="P714" s="3" t="s">
        <v>1211</v>
      </c>
      <c r="Q714" s="30" t="str">
        <f t="shared" si="11"/>
        <v>MAX : 6.50
TARGET : 6.00
MIN : 5.50</v>
      </c>
    </row>
    <row r="715" spans="2:17" ht="41.4" x14ac:dyDescent="0.3">
      <c r="B715">
        <v>0</v>
      </c>
      <c r="C715" s="33">
        <v>5660</v>
      </c>
      <c r="D715" s="2">
        <v>975</v>
      </c>
      <c r="E715" s="2" t="s">
        <v>7562</v>
      </c>
      <c r="F715" s="3" t="s">
        <v>14216</v>
      </c>
      <c r="H715" s="3" t="s">
        <v>727</v>
      </c>
      <c r="K715" s="2">
        <v>20</v>
      </c>
      <c r="L715" s="2">
        <v>6</v>
      </c>
      <c r="M715" s="3" t="s">
        <v>1212</v>
      </c>
      <c r="N715" s="3" t="s">
        <v>13</v>
      </c>
      <c r="O715" s="3" t="s">
        <v>14</v>
      </c>
      <c r="Q715" s="30" t="str">
        <f t="shared" si="11"/>
        <v>MAX : 
TARGET : Yes(Pass)
MIN : No(Fail)</v>
      </c>
    </row>
    <row r="716" spans="2:17" ht="41.4" x14ac:dyDescent="0.3">
      <c r="B716">
        <v>0</v>
      </c>
      <c r="C716" s="33">
        <v>5660</v>
      </c>
      <c r="D716" s="2">
        <v>975</v>
      </c>
      <c r="E716" s="2" t="s">
        <v>7562</v>
      </c>
      <c r="F716" s="3" t="s">
        <v>14216</v>
      </c>
      <c r="H716" s="3" t="s">
        <v>727</v>
      </c>
      <c r="K716" s="2">
        <v>20</v>
      </c>
      <c r="L716" s="2">
        <v>4</v>
      </c>
      <c r="M716" s="3" t="s">
        <v>1213</v>
      </c>
      <c r="N716" s="3" t="s">
        <v>13</v>
      </c>
      <c r="O716" s="3" t="s">
        <v>14</v>
      </c>
      <c r="Q716" s="30" t="str">
        <f t="shared" si="11"/>
        <v>MAX : 
TARGET : Yes(Pass)
MIN : No(Fail)</v>
      </c>
    </row>
    <row r="717" spans="2:17" ht="41.4" x14ac:dyDescent="0.3">
      <c r="B717">
        <v>0</v>
      </c>
      <c r="C717" s="33">
        <v>5660</v>
      </c>
      <c r="D717" s="2">
        <v>975</v>
      </c>
      <c r="E717" s="2" t="s">
        <v>7562</v>
      </c>
      <c r="F717" s="3" t="s">
        <v>14216</v>
      </c>
      <c r="H717" s="3" t="s">
        <v>727</v>
      </c>
      <c r="K717" s="2">
        <v>20</v>
      </c>
      <c r="L717" s="2">
        <v>5</v>
      </c>
      <c r="M717" s="3" t="s">
        <v>1214</v>
      </c>
      <c r="N717" s="3" t="s">
        <v>13</v>
      </c>
      <c r="O717" s="3" t="s">
        <v>14</v>
      </c>
      <c r="Q717" s="30" t="str">
        <f t="shared" si="11"/>
        <v>MAX : 
TARGET : Yes(Pass)
MIN : No(Fail)</v>
      </c>
    </row>
    <row r="718" spans="2:17" ht="41.4" x14ac:dyDescent="0.3">
      <c r="B718">
        <v>1</v>
      </c>
      <c r="C718" s="33">
        <v>5249</v>
      </c>
      <c r="D718" s="2">
        <v>946</v>
      </c>
      <c r="E718" s="2" t="s">
        <v>7272</v>
      </c>
      <c r="F718" s="3" t="s">
        <v>14206</v>
      </c>
      <c r="H718" s="3" t="s">
        <v>469</v>
      </c>
      <c r="K718" s="2">
        <v>10</v>
      </c>
      <c r="L718" s="2">
        <v>2</v>
      </c>
      <c r="M718" s="3" t="s">
        <v>907</v>
      </c>
      <c r="N718" s="3" t="s">
        <v>971</v>
      </c>
      <c r="O718" s="3" t="s">
        <v>972</v>
      </c>
      <c r="P718" s="3" t="s">
        <v>973</v>
      </c>
      <c r="Q718" s="30" t="str">
        <f t="shared" si="11"/>
        <v>MAX : 3.310
TARGET : 3.250
MIN : 3.190</v>
      </c>
    </row>
    <row r="719" spans="2:17" ht="41.4" x14ac:dyDescent="0.3">
      <c r="B719">
        <v>1</v>
      </c>
      <c r="C719" s="33">
        <v>5249</v>
      </c>
      <c r="D719" s="2">
        <v>946</v>
      </c>
      <c r="E719" s="2" t="s">
        <v>7272</v>
      </c>
      <c r="F719" s="3" t="s">
        <v>14206</v>
      </c>
      <c r="H719" s="3" t="s">
        <v>469</v>
      </c>
      <c r="K719" s="2">
        <v>10</v>
      </c>
      <c r="L719" s="2">
        <v>1</v>
      </c>
      <c r="M719" s="3" t="s">
        <v>194</v>
      </c>
      <c r="N719" s="3" t="s">
        <v>968</v>
      </c>
      <c r="O719" s="3" t="s">
        <v>969</v>
      </c>
      <c r="P719" s="3" t="s">
        <v>970</v>
      </c>
      <c r="Q719" s="30" t="str">
        <f t="shared" si="11"/>
        <v>MAX : 2.170
TARGET : 2.160
MIN : 2.150</v>
      </c>
    </row>
    <row r="720" spans="2:17" ht="41.4" x14ac:dyDescent="0.3">
      <c r="B720">
        <v>0</v>
      </c>
      <c r="C720" s="33">
        <v>5674</v>
      </c>
      <c r="D720" s="2">
        <v>978</v>
      </c>
      <c r="E720" s="2" t="s">
        <v>7581</v>
      </c>
      <c r="F720" s="3" t="s">
        <v>14206</v>
      </c>
      <c r="H720" s="3" t="s">
        <v>648</v>
      </c>
      <c r="K720" s="2">
        <v>10</v>
      </c>
      <c r="L720" s="2">
        <v>3</v>
      </c>
      <c r="M720" s="3" t="s">
        <v>1220</v>
      </c>
      <c r="N720" s="3" t="s">
        <v>1221</v>
      </c>
      <c r="O720" s="3" t="s">
        <v>1222</v>
      </c>
      <c r="P720" s="3" t="s">
        <v>1223</v>
      </c>
      <c r="Q720" s="30" t="str">
        <f t="shared" si="11"/>
        <v>MAX : 2.904
TARGET : 2.844
MIN : 2.784</v>
      </c>
    </row>
    <row r="721" spans="2:18" ht="41.4" x14ac:dyDescent="0.3">
      <c r="B721">
        <v>0</v>
      </c>
      <c r="C721" s="33">
        <v>5674</v>
      </c>
      <c r="D721" s="2">
        <v>978</v>
      </c>
      <c r="E721" s="2" t="s">
        <v>7581</v>
      </c>
      <c r="F721" s="3" t="s">
        <v>14206</v>
      </c>
      <c r="H721" s="3" t="s">
        <v>648</v>
      </c>
      <c r="K721" s="2">
        <v>10</v>
      </c>
      <c r="L721" s="2">
        <v>4</v>
      </c>
      <c r="M721" s="3" t="s">
        <v>1224</v>
      </c>
      <c r="N721" s="3" t="s">
        <v>13</v>
      </c>
      <c r="O721" s="3" t="s">
        <v>14</v>
      </c>
      <c r="Q721" s="30" t="str">
        <f t="shared" si="11"/>
        <v>MAX : 
TARGET : Yes(Pass)
MIN : No(Fail)</v>
      </c>
    </row>
    <row r="722" spans="2:18" ht="41.4" x14ac:dyDescent="0.3">
      <c r="B722">
        <v>0</v>
      </c>
      <c r="C722" s="33">
        <v>5674</v>
      </c>
      <c r="D722" s="2">
        <v>978</v>
      </c>
      <c r="E722" s="2" t="s">
        <v>7581</v>
      </c>
      <c r="F722" s="3" t="s">
        <v>14206</v>
      </c>
      <c r="H722" s="3" t="s">
        <v>648</v>
      </c>
      <c r="K722" s="2">
        <v>10</v>
      </c>
      <c r="L722" s="2">
        <v>5</v>
      </c>
      <c r="M722" s="3" t="s">
        <v>1225</v>
      </c>
      <c r="N722" s="3" t="s">
        <v>13</v>
      </c>
      <c r="O722" s="3" t="s">
        <v>14</v>
      </c>
      <c r="Q722" s="30" t="str">
        <f t="shared" si="11"/>
        <v>MAX : 
TARGET : Yes(Pass)
MIN : No(Fail)</v>
      </c>
    </row>
    <row r="723" spans="2:18" ht="41.4" x14ac:dyDescent="0.3">
      <c r="B723">
        <v>0</v>
      </c>
      <c r="C723" s="33">
        <v>5674</v>
      </c>
      <c r="D723" s="2">
        <v>978</v>
      </c>
      <c r="E723" s="2" t="s">
        <v>7581</v>
      </c>
      <c r="F723" s="3" t="s">
        <v>14206</v>
      </c>
      <c r="H723" s="3" t="s">
        <v>648</v>
      </c>
      <c r="K723" s="2">
        <v>10</v>
      </c>
      <c r="L723" s="2">
        <v>6</v>
      </c>
      <c r="M723" s="3" t="s">
        <v>1226</v>
      </c>
      <c r="N723" s="3" t="s">
        <v>13</v>
      </c>
      <c r="O723" s="3" t="s">
        <v>14</v>
      </c>
      <c r="Q723" s="30" t="str">
        <f t="shared" si="11"/>
        <v>MAX : 
TARGET : Yes(Pass)
MIN : No(Fail)</v>
      </c>
    </row>
    <row r="724" spans="2:18" ht="41.4" x14ac:dyDescent="0.3">
      <c r="B724">
        <v>0</v>
      </c>
      <c r="C724" s="33">
        <v>5674</v>
      </c>
      <c r="D724" s="2">
        <v>978</v>
      </c>
      <c r="E724" s="2" t="s">
        <v>7581</v>
      </c>
      <c r="F724" s="3" t="s">
        <v>14206</v>
      </c>
      <c r="H724" s="3" t="s">
        <v>648</v>
      </c>
      <c r="K724" s="2">
        <v>10</v>
      </c>
      <c r="L724" s="2">
        <v>7</v>
      </c>
      <c r="M724" s="3" t="s">
        <v>1227</v>
      </c>
      <c r="N724" s="3" t="s">
        <v>13</v>
      </c>
      <c r="O724" s="3" t="s">
        <v>14</v>
      </c>
      <c r="Q724" s="30" t="str">
        <f t="shared" si="11"/>
        <v>MAX : 
TARGET : Yes(Pass)
MIN : No(Fail)</v>
      </c>
    </row>
    <row r="725" spans="2:18" ht="41.4" x14ac:dyDescent="0.3">
      <c r="B725">
        <v>0</v>
      </c>
      <c r="C725" s="33">
        <v>5674</v>
      </c>
      <c r="D725" s="2">
        <v>978</v>
      </c>
      <c r="E725" s="2" t="s">
        <v>7581</v>
      </c>
      <c r="F725" s="3" t="s">
        <v>14206</v>
      </c>
      <c r="H725" s="3" t="s">
        <v>648</v>
      </c>
      <c r="K725" s="2">
        <v>10</v>
      </c>
      <c r="L725" s="2">
        <v>8</v>
      </c>
      <c r="M725" s="3" t="s">
        <v>1228</v>
      </c>
      <c r="N725" s="3" t="s">
        <v>13</v>
      </c>
      <c r="O725" s="3" t="s">
        <v>14</v>
      </c>
      <c r="Q725" s="30" t="str">
        <f t="shared" si="11"/>
        <v>MAX : 
TARGET : Yes(Pass)
MIN : No(Fail)</v>
      </c>
    </row>
    <row r="726" spans="2:18" ht="41.4" x14ac:dyDescent="0.3">
      <c r="B726">
        <v>1</v>
      </c>
      <c r="C726" s="33">
        <v>5253</v>
      </c>
      <c r="D726" s="2">
        <v>1755</v>
      </c>
      <c r="E726" s="2" t="s">
        <v>7280</v>
      </c>
      <c r="F726" s="3" t="s">
        <v>14206</v>
      </c>
      <c r="H726" s="3" t="s">
        <v>412</v>
      </c>
      <c r="K726" t="s">
        <v>6295</v>
      </c>
      <c r="L726" s="2">
        <v>2</v>
      </c>
      <c r="M726" s="3" t="s">
        <v>980</v>
      </c>
      <c r="N726" s="3" t="s">
        <v>24</v>
      </c>
      <c r="O726" s="3" t="s">
        <v>25</v>
      </c>
      <c r="Q726" s="30" t="str">
        <f t="shared" si="11"/>
        <v>MAX : 
TARGET : Yes (Pass)
MIN : No (Fail)</v>
      </c>
    </row>
    <row r="727" spans="2:18" ht="41.4" x14ac:dyDescent="0.3">
      <c r="B727">
        <v>1</v>
      </c>
      <c r="C727" s="33">
        <v>5253</v>
      </c>
      <c r="D727" s="2">
        <v>1755</v>
      </c>
      <c r="E727" s="2" t="s">
        <v>7280</v>
      </c>
      <c r="F727" s="3" t="s">
        <v>14206</v>
      </c>
      <c r="H727" s="3" t="s">
        <v>412</v>
      </c>
      <c r="K727" t="s">
        <v>6295</v>
      </c>
      <c r="L727" s="2">
        <v>1</v>
      </c>
      <c r="M727" s="3" t="s">
        <v>978</v>
      </c>
      <c r="N727" s="3" t="s">
        <v>979</v>
      </c>
      <c r="O727" s="3" t="s">
        <v>308</v>
      </c>
      <c r="P727" s="3" t="s">
        <v>309</v>
      </c>
      <c r="Q727" s="30" t="str">
        <f t="shared" si="11"/>
        <v>MAX : 0.50
TARGET : 0.47
MIN : 0.44</v>
      </c>
    </row>
    <row r="728" spans="2:18" ht="41.4" x14ac:dyDescent="0.3">
      <c r="B728">
        <v>0</v>
      </c>
      <c r="C728" s="33">
        <v>5675</v>
      </c>
      <c r="D728" s="2">
        <v>1770</v>
      </c>
      <c r="E728" s="2" t="s">
        <v>7588</v>
      </c>
      <c r="F728" s="3" t="s">
        <v>14206</v>
      </c>
      <c r="H728" s="3" t="s">
        <v>289</v>
      </c>
      <c r="K728" s="2">
        <v>20</v>
      </c>
      <c r="L728" s="2">
        <v>1</v>
      </c>
      <c r="M728" s="3" t="s">
        <v>1233</v>
      </c>
      <c r="N728" s="3" t="s">
        <v>13</v>
      </c>
      <c r="O728" s="3" t="s">
        <v>14</v>
      </c>
      <c r="Q728" s="30" t="str">
        <f t="shared" si="11"/>
        <v>MAX : 
TARGET : Yes(Pass)
MIN : No(Fail)</v>
      </c>
    </row>
    <row r="729" spans="2:18" ht="41.4" x14ac:dyDescent="0.3">
      <c r="B729">
        <v>1</v>
      </c>
      <c r="C729" s="33">
        <v>5258</v>
      </c>
      <c r="D729" s="2">
        <v>1756</v>
      </c>
      <c r="E729" s="2" t="s">
        <v>7287</v>
      </c>
      <c r="F729" s="3" t="s">
        <v>14206</v>
      </c>
      <c r="H729" s="3" t="s">
        <v>98</v>
      </c>
      <c r="K729" s="2">
        <v>20</v>
      </c>
      <c r="L729" s="2">
        <v>2</v>
      </c>
      <c r="M729" s="3" t="s">
        <v>245</v>
      </c>
      <c r="N729" s="3" t="s">
        <v>983</v>
      </c>
      <c r="O729" s="3" t="s">
        <v>241</v>
      </c>
      <c r="P729" s="3" t="s">
        <v>984</v>
      </c>
      <c r="Q729" s="30" t="str">
        <f t="shared" si="11"/>
        <v>MAX : 0.155
TARGET : 0.125
MIN : 0.095</v>
      </c>
    </row>
    <row r="730" spans="2:18" ht="41.4" x14ac:dyDescent="0.3">
      <c r="B730">
        <v>1</v>
      </c>
      <c r="C730" s="33">
        <v>5258</v>
      </c>
      <c r="D730" s="2">
        <v>1756</v>
      </c>
      <c r="E730" s="2" t="s">
        <v>7287</v>
      </c>
      <c r="F730" s="3" t="s">
        <v>14206</v>
      </c>
      <c r="H730" s="3" t="s">
        <v>98</v>
      </c>
      <c r="K730" s="2">
        <v>20</v>
      </c>
      <c r="L730" s="2">
        <v>1</v>
      </c>
      <c r="M730" s="3" t="s">
        <v>982</v>
      </c>
      <c r="N730" s="3" t="s">
        <v>131</v>
      </c>
      <c r="O730" s="3" t="s">
        <v>132</v>
      </c>
      <c r="P730" s="3" t="s">
        <v>133</v>
      </c>
      <c r="Q730" s="30" t="str">
        <f t="shared" si="11"/>
        <v>MAX : 0.78
TARGET : 0.75
MIN : 0.72</v>
      </c>
    </row>
    <row r="731" spans="2:18" ht="41.4" x14ac:dyDescent="0.3">
      <c r="B731">
        <v>0</v>
      </c>
      <c r="C731" s="33">
        <v>5673</v>
      </c>
      <c r="D731" s="2">
        <v>977</v>
      </c>
      <c r="E731" s="2" t="s">
        <v>7575</v>
      </c>
      <c r="F731" s="3" t="s">
        <v>14206</v>
      </c>
      <c r="H731" s="3" t="s">
        <v>922</v>
      </c>
      <c r="K731" s="2">
        <v>20</v>
      </c>
      <c r="L731" s="2">
        <v>3</v>
      </c>
      <c r="M731" s="3" t="s">
        <v>944</v>
      </c>
      <c r="N731" s="3" t="s">
        <v>1035</v>
      </c>
      <c r="O731" s="3" t="s">
        <v>86</v>
      </c>
      <c r="P731" s="3" t="s">
        <v>1036</v>
      </c>
      <c r="Q731" s="30" t="str">
        <f t="shared" si="11"/>
        <v>MAX : 0.520
TARGET : 0.500
MIN : 0.480</v>
      </c>
      <c r="R731" s="3" t="s">
        <v>926</v>
      </c>
    </row>
    <row r="732" spans="2:18" ht="41.4" x14ac:dyDescent="0.3">
      <c r="B732">
        <v>0</v>
      </c>
      <c r="C732" s="33">
        <v>5673</v>
      </c>
      <c r="D732" s="2">
        <v>977</v>
      </c>
      <c r="E732" s="2" t="s">
        <v>7575</v>
      </c>
      <c r="F732" s="3" t="s">
        <v>14206</v>
      </c>
      <c r="H732" s="3" t="s">
        <v>922</v>
      </c>
      <c r="K732" s="2">
        <v>20</v>
      </c>
      <c r="L732" s="2">
        <v>4</v>
      </c>
      <c r="M732" s="3" t="s">
        <v>1240</v>
      </c>
      <c r="N732" s="3" t="s">
        <v>1241</v>
      </c>
      <c r="O732" s="3" t="s">
        <v>1242</v>
      </c>
      <c r="P732" s="3" t="s">
        <v>1243</v>
      </c>
      <c r="Q732" s="30" t="str">
        <f t="shared" si="11"/>
        <v>MAX : 2.466
TARGET : 2.446
MIN : 2.426</v>
      </c>
      <c r="R732" s="3" t="s">
        <v>926</v>
      </c>
    </row>
    <row r="733" spans="2:18" ht="41.4" x14ac:dyDescent="0.3">
      <c r="B733">
        <v>0</v>
      </c>
      <c r="C733" s="33">
        <v>5673</v>
      </c>
      <c r="D733" s="2">
        <v>977</v>
      </c>
      <c r="E733" s="2" t="s">
        <v>7575</v>
      </c>
      <c r="F733" s="3" t="s">
        <v>14206</v>
      </c>
      <c r="H733" s="3" t="s">
        <v>922</v>
      </c>
      <c r="K733" s="2">
        <v>20</v>
      </c>
      <c r="L733" s="2">
        <v>5</v>
      </c>
      <c r="M733" s="3" t="s">
        <v>931</v>
      </c>
      <c r="N733" s="3" t="s">
        <v>24</v>
      </c>
      <c r="O733" s="3" t="s">
        <v>25</v>
      </c>
      <c r="Q733" s="30" t="str">
        <f t="shared" si="11"/>
        <v>MAX : 
TARGET : Yes (Pass)
MIN : No (Fail)</v>
      </c>
      <c r="R733" s="3" t="s">
        <v>926</v>
      </c>
    </row>
    <row r="734" spans="2:18" ht="41.4" x14ac:dyDescent="0.3">
      <c r="B734">
        <v>0</v>
      </c>
      <c r="C734" s="33">
        <v>5673</v>
      </c>
      <c r="D734" s="2">
        <v>977</v>
      </c>
      <c r="E734" s="2" t="s">
        <v>7575</v>
      </c>
      <c r="F734" s="3" t="s">
        <v>14206</v>
      </c>
      <c r="H734" s="3" t="s">
        <v>922</v>
      </c>
      <c r="K734" s="2">
        <v>20</v>
      </c>
      <c r="L734" s="2">
        <v>6</v>
      </c>
      <c r="M734" s="3" t="s">
        <v>1244</v>
      </c>
      <c r="N734" s="3" t="s">
        <v>24</v>
      </c>
      <c r="O734" s="3" t="s">
        <v>25</v>
      </c>
      <c r="Q734" s="30" t="str">
        <f t="shared" si="11"/>
        <v>MAX : 
TARGET : Yes (Pass)
MIN : No (Fail)</v>
      </c>
      <c r="R734" s="3" t="s">
        <v>926</v>
      </c>
    </row>
    <row r="735" spans="2:18" ht="41.4" x14ac:dyDescent="0.3">
      <c r="B735">
        <v>0</v>
      </c>
      <c r="C735" s="33">
        <v>5673</v>
      </c>
      <c r="D735" s="2">
        <v>977</v>
      </c>
      <c r="E735" s="2" t="s">
        <v>7575</v>
      </c>
      <c r="F735" s="3" t="s">
        <v>14206</v>
      </c>
      <c r="H735" s="3" t="s">
        <v>922</v>
      </c>
      <c r="K735" s="2">
        <v>20</v>
      </c>
      <c r="L735" s="2">
        <v>7</v>
      </c>
      <c r="M735" s="3" t="s">
        <v>1006</v>
      </c>
      <c r="N735" s="3" t="s">
        <v>24</v>
      </c>
      <c r="O735" s="3" t="s">
        <v>25</v>
      </c>
      <c r="Q735" s="30" t="str">
        <f t="shared" si="11"/>
        <v>MAX : 
TARGET : Yes (Pass)
MIN : No (Fail)</v>
      </c>
      <c r="R735" s="3" t="s">
        <v>926</v>
      </c>
    </row>
    <row r="736" spans="2:18" ht="41.4" x14ac:dyDescent="0.3">
      <c r="B736">
        <v>1</v>
      </c>
      <c r="C736" s="33">
        <v>5267</v>
      </c>
      <c r="D736" s="2">
        <v>947</v>
      </c>
      <c r="E736" s="2" t="s">
        <v>7294</v>
      </c>
      <c r="F736" s="3" t="s">
        <v>14206</v>
      </c>
      <c r="H736" s="3" t="s">
        <v>986</v>
      </c>
      <c r="K736" s="2">
        <v>10</v>
      </c>
      <c r="L736" s="2">
        <v>2</v>
      </c>
      <c r="M736" s="3" t="s">
        <v>990</v>
      </c>
      <c r="N736" s="3" t="s">
        <v>991</v>
      </c>
      <c r="O736" s="3" t="s">
        <v>992</v>
      </c>
      <c r="P736" s="3" t="s">
        <v>993</v>
      </c>
      <c r="Q736" s="30" t="str">
        <f t="shared" si="11"/>
        <v>MAX : 11.375
TARGET : 11.250
MIN : 11.125</v>
      </c>
    </row>
    <row r="737" spans="2:18" ht="41.4" x14ac:dyDescent="0.3">
      <c r="B737">
        <v>1</v>
      </c>
      <c r="C737" s="33">
        <v>5267</v>
      </c>
      <c r="D737" s="2">
        <v>947</v>
      </c>
      <c r="E737" s="2" t="s">
        <v>7294</v>
      </c>
      <c r="F737" s="3" t="s">
        <v>14206</v>
      </c>
      <c r="H737" s="3" t="s">
        <v>986</v>
      </c>
      <c r="K737" s="2">
        <v>10</v>
      </c>
      <c r="L737" s="2">
        <v>1</v>
      </c>
      <c r="M737" s="3" t="s">
        <v>194</v>
      </c>
      <c r="N737" s="3" t="s">
        <v>987</v>
      </c>
      <c r="O737" s="3" t="s">
        <v>988</v>
      </c>
      <c r="P737" s="3" t="s">
        <v>989</v>
      </c>
      <c r="Q737" s="30" t="str">
        <f t="shared" si="11"/>
        <v>MAX : 20.500
TARGET : 20.375
MIN : 20.250</v>
      </c>
    </row>
    <row r="738" spans="2:18" ht="41.4" x14ac:dyDescent="0.3">
      <c r="B738">
        <v>0</v>
      </c>
      <c r="C738" s="33">
        <v>5672</v>
      </c>
      <c r="D738" s="2">
        <v>976</v>
      </c>
      <c r="E738" s="2" t="s">
        <v>7569</v>
      </c>
      <c r="F738" s="3" t="s">
        <v>14206</v>
      </c>
      <c r="H738" s="3" t="s">
        <v>922</v>
      </c>
      <c r="K738" s="2">
        <v>10</v>
      </c>
      <c r="L738" s="2">
        <v>4</v>
      </c>
      <c r="M738" s="3" t="s">
        <v>998</v>
      </c>
      <c r="N738" s="3" t="s">
        <v>999</v>
      </c>
      <c r="O738" s="3" t="s">
        <v>1000</v>
      </c>
      <c r="P738" s="3" t="s">
        <v>1001</v>
      </c>
      <c r="Q738" s="30" t="str">
        <f t="shared" si="11"/>
        <v>MAX : 0.5065
TARGET : 0.4865
MIN : 0.4665</v>
      </c>
      <c r="R738" s="3" t="s">
        <v>1112</v>
      </c>
    </row>
    <row r="739" spans="2:18" ht="41.4" x14ac:dyDescent="0.3">
      <c r="B739">
        <v>0</v>
      </c>
      <c r="C739" s="33">
        <v>5672</v>
      </c>
      <c r="D739" s="2">
        <v>976</v>
      </c>
      <c r="E739" s="2" t="s">
        <v>7569</v>
      </c>
      <c r="F739" s="3" t="s">
        <v>14206</v>
      </c>
      <c r="H739" s="3" t="s">
        <v>922</v>
      </c>
      <c r="K739" s="2">
        <v>10</v>
      </c>
      <c r="L739" s="2">
        <v>5</v>
      </c>
      <c r="M739" s="3" t="s">
        <v>1002</v>
      </c>
      <c r="N739" s="3" t="s">
        <v>1248</v>
      </c>
      <c r="O739" s="3" t="s">
        <v>1249</v>
      </c>
      <c r="P739" s="3" t="s">
        <v>1250</v>
      </c>
      <c r="Q739" s="30" t="str">
        <f t="shared" si="11"/>
        <v>MAX : 2.1065
TARGET : 2.0865
MIN : 2.0665</v>
      </c>
      <c r="R739" s="3" t="s">
        <v>1112</v>
      </c>
    </row>
    <row r="740" spans="2:18" ht="41.4" x14ac:dyDescent="0.3">
      <c r="B740">
        <v>0</v>
      </c>
      <c r="C740" s="33">
        <v>5672</v>
      </c>
      <c r="D740" s="2">
        <v>976</v>
      </c>
      <c r="E740" s="2" t="s">
        <v>7569</v>
      </c>
      <c r="F740" s="3" t="s">
        <v>14206</v>
      </c>
      <c r="H740" s="3" t="s">
        <v>922</v>
      </c>
      <c r="K740" s="2">
        <v>10</v>
      </c>
      <c r="L740" s="2">
        <v>6</v>
      </c>
      <c r="M740" s="3" t="s">
        <v>931</v>
      </c>
      <c r="N740" s="3" t="s">
        <v>24</v>
      </c>
      <c r="O740" s="3" t="s">
        <v>25</v>
      </c>
      <c r="Q740" s="30" t="str">
        <f t="shared" si="11"/>
        <v>MAX : 
TARGET : Yes (Pass)
MIN : No (Fail)</v>
      </c>
      <c r="R740" s="3" t="s">
        <v>1112</v>
      </c>
    </row>
    <row r="741" spans="2:18" ht="41.4" x14ac:dyDescent="0.3">
      <c r="B741">
        <v>0</v>
      </c>
      <c r="C741" s="33">
        <v>5672</v>
      </c>
      <c r="D741" s="2">
        <v>976</v>
      </c>
      <c r="E741" s="2" t="s">
        <v>7569</v>
      </c>
      <c r="F741" s="3" t="s">
        <v>14206</v>
      </c>
      <c r="H741" s="3" t="s">
        <v>922</v>
      </c>
      <c r="K741" s="2">
        <v>10</v>
      </c>
      <c r="L741" s="2">
        <v>7</v>
      </c>
      <c r="M741" s="3" t="s">
        <v>1244</v>
      </c>
      <c r="N741" s="3" t="s">
        <v>24</v>
      </c>
      <c r="O741" s="3" t="s">
        <v>25</v>
      </c>
      <c r="Q741" s="30" t="str">
        <f t="shared" si="11"/>
        <v>MAX : 
TARGET : Yes (Pass)
MIN : No (Fail)</v>
      </c>
      <c r="R741" s="3" t="s">
        <v>1112</v>
      </c>
    </row>
    <row r="742" spans="2:18" ht="41.4" x14ac:dyDescent="0.3">
      <c r="B742">
        <v>0</v>
      </c>
      <c r="C742" s="33">
        <v>5672</v>
      </c>
      <c r="D742" s="2">
        <v>976</v>
      </c>
      <c r="E742" s="2" t="s">
        <v>7569</v>
      </c>
      <c r="F742" s="3" t="s">
        <v>14206</v>
      </c>
      <c r="H742" s="3" t="s">
        <v>922</v>
      </c>
      <c r="K742" s="2">
        <v>10</v>
      </c>
      <c r="L742" s="2">
        <v>8</v>
      </c>
      <c r="M742" s="3" t="s">
        <v>1006</v>
      </c>
      <c r="N742" s="3" t="s">
        <v>24</v>
      </c>
      <c r="O742" s="3" t="s">
        <v>25</v>
      </c>
      <c r="Q742" s="30" t="str">
        <f t="shared" si="11"/>
        <v>MAX : 
TARGET : Yes (Pass)
MIN : No (Fail)</v>
      </c>
      <c r="R742" s="3" t="s">
        <v>1112</v>
      </c>
    </row>
    <row r="743" spans="2:18" ht="41.4" x14ac:dyDescent="0.3">
      <c r="B743">
        <v>1</v>
      </c>
      <c r="C743" s="33">
        <v>5277</v>
      </c>
      <c r="D743" s="2">
        <v>948</v>
      </c>
      <c r="E743" s="2" t="s">
        <v>7300</v>
      </c>
      <c r="F743" s="3" t="s">
        <v>14206</v>
      </c>
      <c r="H743" s="3" t="s">
        <v>922</v>
      </c>
      <c r="K743" s="2">
        <v>20</v>
      </c>
      <c r="L743" s="2">
        <v>2</v>
      </c>
      <c r="M743" s="3" t="s">
        <v>18</v>
      </c>
      <c r="N743" s="3" t="s">
        <v>927</v>
      </c>
      <c r="O743" s="3" t="s">
        <v>276</v>
      </c>
      <c r="P743" s="3" t="s">
        <v>928</v>
      </c>
      <c r="Q743" s="30" t="str">
        <f t="shared" si="11"/>
        <v>MAX : 0.395
TARGET : 0.375
MIN : 0.355</v>
      </c>
      <c r="R743" s="3" t="s">
        <v>926</v>
      </c>
    </row>
    <row r="744" spans="2:18" ht="41.4" x14ac:dyDescent="0.3">
      <c r="B744">
        <v>1</v>
      </c>
      <c r="C744" s="33">
        <v>5277</v>
      </c>
      <c r="D744" s="2">
        <v>948</v>
      </c>
      <c r="E744" s="2" t="s">
        <v>7300</v>
      </c>
      <c r="F744" s="3" t="s">
        <v>14206</v>
      </c>
      <c r="H744" s="3" t="s">
        <v>922</v>
      </c>
      <c r="K744" s="2">
        <v>20</v>
      </c>
      <c r="L744" s="2">
        <v>1</v>
      </c>
      <c r="M744" s="3" t="s">
        <v>70</v>
      </c>
      <c r="N744" s="3" t="s">
        <v>995</v>
      </c>
      <c r="O744" s="3" t="s">
        <v>996</v>
      </c>
      <c r="P744" s="3" t="s">
        <v>997</v>
      </c>
      <c r="Q744" s="30" t="str">
        <f t="shared" si="11"/>
        <v>MAX : 4.068
TARGET : 4.048
MIN : 4.028</v>
      </c>
      <c r="R744" s="3" t="s">
        <v>926</v>
      </c>
    </row>
    <row r="745" spans="2:18" ht="41.4" x14ac:dyDescent="0.3">
      <c r="B745">
        <v>0</v>
      </c>
      <c r="C745" s="33">
        <v>5680</v>
      </c>
      <c r="D745" s="2">
        <v>1771</v>
      </c>
      <c r="E745" s="2" t="s">
        <v>7596</v>
      </c>
      <c r="F745" s="3" t="s">
        <v>14206</v>
      </c>
      <c r="H745" s="3" t="s">
        <v>1251</v>
      </c>
      <c r="K745" s="2">
        <v>10</v>
      </c>
      <c r="L745" s="2">
        <v>3</v>
      </c>
      <c r="M745" s="3" t="s">
        <v>1257</v>
      </c>
      <c r="N745" s="3" t="s">
        <v>13</v>
      </c>
      <c r="O745" s="3" t="s">
        <v>14</v>
      </c>
      <c r="Q745" s="30" t="str">
        <f t="shared" si="11"/>
        <v>MAX : 
TARGET : Yes(Pass)
MIN : No(Fail)</v>
      </c>
    </row>
    <row r="746" spans="2:18" ht="41.4" x14ac:dyDescent="0.3">
      <c r="B746">
        <v>0</v>
      </c>
      <c r="C746" s="33">
        <v>5680</v>
      </c>
      <c r="D746" s="2">
        <v>1771</v>
      </c>
      <c r="E746" s="2" t="s">
        <v>7596</v>
      </c>
      <c r="F746" s="3" t="s">
        <v>14206</v>
      </c>
      <c r="H746" s="3" t="s">
        <v>1251</v>
      </c>
      <c r="K746" s="2">
        <v>10</v>
      </c>
      <c r="L746" s="2">
        <v>4</v>
      </c>
      <c r="M746" s="3" t="s">
        <v>1258</v>
      </c>
      <c r="N746" s="3" t="s">
        <v>13</v>
      </c>
      <c r="O746" s="3" t="s">
        <v>14</v>
      </c>
      <c r="Q746" s="30" t="str">
        <f t="shared" si="11"/>
        <v>MAX : 
TARGET : Yes(Pass)
MIN : No(Fail)</v>
      </c>
    </row>
    <row r="747" spans="2:18" ht="41.4" x14ac:dyDescent="0.3">
      <c r="B747">
        <v>0</v>
      </c>
      <c r="C747" s="33">
        <v>5680</v>
      </c>
      <c r="D747" s="2">
        <v>1771</v>
      </c>
      <c r="E747" s="2" t="s">
        <v>7596</v>
      </c>
      <c r="F747" s="3" t="s">
        <v>14206</v>
      </c>
      <c r="H747" s="3" t="s">
        <v>1251</v>
      </c>
      <c r="K747" s="2">
        <v>10</v>
      </c>
      <c r="L747" s="2">
        <v>5</v>
      </c>
      <c r="M747" s="3" t="s">
        <v>1259</v>
      </c>
      <c r="N747" s="3" t="s">
        <v>13</v>
      </c>
      <c r="O747" s="3" t="s">
        <v>14</v>
      </c>
      <c r="Q747" s="30" t="str">
        <f t="shared" si="11"/>
        <v>MAX : 
TARGET : Yes(Pass)
MIN : No(Fail)</v>
      </c>
    </row>
    <row r="748" spans="2:18" ht="41.4" x14ac:dyDescent="0.3">
      <c r="B748">
        <v>1</v>
      </c>
      <c r="C748" s="33">
        <v>5278</v>
      </c>
      <c r="D748" s="2">
        <v>949</v>
      </c>
      <c r="E748" s="2" t="s">
        <v>7306</v>
      </c>
      <c r="F748" s="3" t="s">
        <v>14206</v>
      </c>
      <c r="H748" s="3" t="s">
        <v>922</v>
      </c>
      <c r="K748" s="2">
        <v>10</v>
      </c>
      <c r="L748" s="2">
        <v>2</v>
      </c>
      <c r="M748" s="3" t="s">
        <v>18</v>
      </c>
      <c r="N748" s="3" t="s">
        <v>927</v>
      </c>
      <c r="O748" s="3" t="s">
        <v>276</v>
      </c>
      <c r="P748" s="3" t="s">
        <v>928</v>
      </c>
      <c r="Q748" s="30" t="str">
        <f t="shared" si="11"/>
        <v>MAX : 0.395
TARGET : 0.375
MIN : 0.355</v>
      </c>
      <c r="R748" s="3" t="s">
        <v>926</v>
      </c>
    </row>
    <row r="749" spans="2:18" ht="41.4" x14ac:dyDescent="0.3">
      <c r="B749">
        <v>1</v>
      </c>
      <c r="C749" s="33">
        <v>5278</v>
      </c>
      <c r="D749" s="2">
        <v>949</v>
      </c>
      <c r="E749" s="2" t="s">
        <v>7306</v>
      </c>
      <c r="F749" s="3" t="s">
        <v>14206</v>
      </c>
      <c r="H749" s="3" t="s">
        <v>922</v>
      </c>
      <c r="K749" s="2">
        <v>10</v>
      </c>
      <c r="L749" s="2">
        <v>1</v>
      </c>
      <c r="M749" s="3" t="s">
        <v>22</v>
      </c>
      <c r="N749" s="3" t="s">
        <v>1007</v>
      </c>
      <c r="O749" s="3" t="s">
        <v>1008</v>
      </c>
      <c r="P749" s="3" t="s">
        <v>1009</v>
      </c>
      <c r="Q749" s="30" t="str">
        <f t="shared" si="11"/>
        <v>MAX : 4.906
TARGET : 4.886
MIN : 4.866</v>
      </c>
      <c r="R749" s="3" t="s">
        <v>926</v>
      </c>
    </row>
    <row r="750" spans="2:18" ht="41.4" x14ac:dyDescent="0.3">
      <c r="B750">
        <v>0</v>
      </c>
      <c r="C750" s="33">
        <v>5682</v>
      </c>
      <c r="D750" s="2">
        <v>979</v>
      </c>
      <c r="E750" s="2" t="s">
        <v>7603</v>
      </c>
      <c r="F750" s="3" t="s">
        <v>14206</v>
      </c>
      <c r="H750" s="3" t="s">
        <v>108</v>
      </c>
      <c r="K750" s="2">
        <v>10</v>
      </c>
      <c r="L750" s="2">
        <v>3</v>
      </c>
      <c r="M750" s="3" t="s">
        <v>1263</v>
      </c>
      <c r="N750" s="3" t="s">
        <v>24</v>
      </c>
      <c r="O750" s="3" t="s">
        <v>25</v>
      </c>
      <c r="Q750" s="30" t="str">
        <f t="shared" si="11"/>
        <v>MAX : 
TARGET : Yes (Pass)
MIN : No (Fail)</v>
      </c>
    </row>
    <row r="751" spans="2:18" ht="41.4" x14ac:dyDescent="0.3">
      <c r="B751">
        <v>0</v>
      </c>
      <c r="C751" s="33">
        <v>5682</v>
      </c>
      <c r="D751" s="2">
        <v>979</v>
      </c>
      <c r="E751" s="2" t="s">
        <v>7603</v>
      </c>
      <c r="F751" s="3" t="s">
        <v>14206</v>
      </c>
      <c r="H751" s="3" t="s">
        <v>108</v>
      </c>
      <c r="K751" s="2">
        <v>10</v>
      </c>
      <c r="L751" s="2">
        <v>4</v>
      </c>
      <c r="M751" s="3" t="s">
        <v>1264</v>
      </c>
      <c r="N751" s="3" t="s">
        <v>24</v>
      </c>
      <c r="O751" s="3" t="s">
        <v>25</v>
      </c>
      <c r="Q751" s="30" t="str">
        <f t="shared" si="11"/>
        <v>MAX : 
TARGET : Yes (Pass)
MIN : No (Fail)</v>
      </c>
    </row>
    <row r="752" spans="2:18" ht="41.4" x14ac:dyDescent="0.3">
      <c r="B752">
        <v>0</v>
      </c>
      <c r="C752" s="33">
        <v>5682</v>
      </c>
      <c r="D752" s="2">
        <v>979</v>
      </c>
      <c r="E752" s="2" t="s">
        <v>7603</v>
      </c>
      <c r="F752" s="3" t="s">
        <v>14206</v>
      </c>
      <c r="H752" s="3" t="s">
        <v>108</v>
      </c>
      <c r="K752" s="2">
        <v>10</v>
      </c>
      <c r="L752" s="2">
        <v>5</v>
      </c>
      <c r="M752" s="3" t="s">
        <v>1265</v>
      </c>
      <c r="N752" s="3" t="s">
        <v>24</v>
      </c>
      <c r="O752" s="3" t="s">
        <v>25</v>
      </c>
      <c r="Q752" s="30" t="str">
        <f t="shared" si="11"/>
        <v>MAX : 
TARGET : Yes (Pass)
MIN : No (Fail)</v>
      </c>
    </row>
    <row r="753" spans="2:18" ht="41.4" x14ac:dyDescent="0.3">
      <c r="B753">
        <v>1</v>
      </c>
      <c r="C753" s="33">
        <v>5279</v>
      </c>
      <c r="D753" s="2">
        <v>950</v>
      </c>
      <c r="E753" s="2" t="s">
        <v>7312</v>
      </c>
      <c r="F753" s="3" t="s">
        <v>14206</v>
      </c>
      <c r="H753" s="3" t="s">
        <v>922</v>
      </c>
      <c r="K753" t="s">
        <v>6295</v>
      </c>
      <c r="L753" s="2">
        <v>2</v>
      </c>
      <c r="M753" s="3" t="s">
        <v>18</v>
      </c>
      <c r="N753" s="3" t="s">
        <v>927</v>
      </c>
      <c r="O753" s="3" t="s">
        <v>276</v>
      </c>
      <c r="P753" s="3" t="s">
        <v>928</v>
      </c>
      <c r="Q753" s="30" t="str">
        <f t="shared" si="11"/>
        <v>MAX : 0.395
TARGET : 0.375
MIN : 0.355</v>
      </c>
      <c r="R753" s="3" t="s">
        <v>926</v>
      </c>
    </row>
    <row r="754" spans="2:18" ht="41.4" x14ac:dyDescent="0.3">
      <c r="B754">
        <v>1</v>
      </c>
      <c r="C754" s="33">
        <v>5279</v>
      </c>
      <c r="D754" s="2">
        <v>950</v>
      </c>
      <c r="E754" s="2" t="s">
        <v>7312</v>
      </c>
      <c r="F754" s="3" t="s">
        <v>14206</v>
      </c>
      <c r="H754" s="3" t="s">
        <v>922</v>
      </c>
      <c r="K754" t="s">
        <v>6295</v>
      </c>
      <c r="L754" s="2">
        <v>1</v>
      </c>
      <c r="M754" s="3" t="s">
        <v>22</v>
      </c>
      <c r="N754" s="3" t="s">
        <v>1013</v>
      </c>
      <c r="O754" s="3" t="s">
        <v>1014</v>
      </c>
      <c r="P754" s="3" t="s">
        <v>1015</v>
      </c>
      <c r="Q754" s="30" t="str">
        <f t="shared" si="11"/>
        <v>MAX : 2.062
TARGET : 2.042
MIN : 2.022</v>
      </c>
      <c r="R754" s="3" t="s">
        <v>926</v>
      </c>
    </row>
    <row r="755" spans="2:18" ht="41.4" x14ac:dyDescent="0.3">
      <c r="B755">
        <v>0</v>
      </c>
      <c r="C755" s="33">
        <v>5689</v>
      </c>
      <c r="D755" s="2">
        <v>980</v>
      </c>
      <c r="E755" s="2" t="s">
        <v>7610</v>
      </c>
      <c r="F755" s="3" t="s">
        <v>14206</v>
      </c>
      <c r="H755" s="3" t="s">
        <v>1266</v>
      </c>
      <c r="K755" s="2">
        <v>10</v>
      </c>
      <c r="L755" s="2">
        <v>3</v>
      </c>
      <c r="M755" s="3" t="s">
        <v>1267</v>
      </c>
      <c r="N755" s="3" t="s">
        <v>13</v>
      </c>
      <c r="O755" s="3" t="s">
        <v>14</v>
      </c>
      <c r="Q755" s="30" t="str">
        <f t="shared" si="11"/>
        <v>MAX : 
TARGET : Yes(Pass)
MIN : No(Fail)</v>
      </c>
    </row>
    <row r="756" spans="2:18" ht="41.4" x14ac:dyDescent="0.3">
      <c r="B756">
        <v>0</v>
      </c>
      <c r="C756" s="33">
        <v>5689</v>
      </c>
      <c r="D756" s="2">
        <v>980</v>
      </c>
      <c r="E756" s="2" t="s">
        <v>7610</v>
      </c>
      <c r="F756" s="3" t="s">
        <v>14206</v>
      </c>
      <c r="H756" s="3" t="s">
        <v>1266</v>
      </c>
      <c r="K756" s="2">
        <v>20</v>
      </c>
      <c r="L756" s="2">
        <v>1</v>
      </c>
      <c r="M756" s="3" t="s">
        <v>1268</v>
      </c>
      <c r="N756" s="3" t="s">
        <v>13</v>
      </c>
      <c r="O756" s="3" t="s">
        <v>14</v>
      </c>
      <c r="Q756" s="30" t="str">
        <f t="shared" si="11"/>
        <v>MAX : 
TARGET : Yes(Pass)
MIN : No(Fail)</v>
      </c>
    </row>
    <row r="757" spans="2:18" ht="41.4" x14ac:dyDescent="0.3">
      <c r="B757">
        <v>0</v>
      </c>
      <c r="C757" s="33">
        <v>5689</v>
      </c>
      <c r="D757" s="2">
        <v>980</v>
      </c>
      <c r="E757" s="2" t="s">
        <v>7610</v>
      </c>
      <c r="F757" s="3" t="s">
        <v>14206</v>
      </c>
      <c r="H757" s="3" t="s">
        <v>1266</v>
      </c>
      <c r="K757" s="2">
        <v>10</v>
      </c>
      <c r="L757" s="2">
        <v>4</v>
      </c>
      <c r="M757" s="3" t="s">
        <v>1269</v>
      </c>
      <c r="N757" s="3" t="s">
        <v>13</v>
      </c>
      <c r="O757" s="3" t="s">
        <v>14</v>
      </c>
      <c r="Q757" s="30" t="str">
        <f t="shared" si="11"/>
        <v>MAX : 
TARGET : Yes(Pass)
MIN : No(Fail)</v>
      </c>
    </row>
    <row r="758" spans="2:18" ht="41.4" x14ac:dyDescent="0.3">
      <c r="B758">
        <v>1</v>
      </c>
      <c r="C758" s="33">
        <v>5280</v>
      </c>
      <c r="D758" s="2">
        <v>951</v>
      </c>
      <c r="E758" s="2" t="s">
        <v>7318</v>
      </c>
      <c r="F758" s="3" t="s">
        <v>14206</v>
      </c>
      <c r="H758" s="3" t="s">
        <v>922</v>
      </c>
      <c r="K758" s="2">
        <v>10</v>
      </c>
      <c r="L758" s="2">
        <v>2</v>
      </c>
      <c r="M758" s="3" t="s">
        <v>18</v>
      </c>
      <c r="N758" s="3" t="s">
        <v>927</v>
      </c>
      <c r="O758" s="3" t="s">
        <v>276</v>
      </c>
      <c r="P758" s="3" t="s">
        <v>928</v>
      </c>
      <c r="Q758" s="30" t="str">
        <f t="shared" si="11"/>
        <v>MAX : 0.395
TARGET : 0.375
MIN : 0.355</v>
      </c>
      <c r="R758" s="3" t="s">
        <v>926</v>
      </c>
    </row>
    <row r="759" spans="2:18" ht="41.4" x14ac:dyDescent="0.3">
      <c r="B759">
        <v>1</v>
      </c>
      <c r="C759" s="33">
        <v>5280</v>
      </c>
      <c r="D759" s="2">
        <v>951</v>
      </c>
      <c r="E759" s="2" t="s">
        <v>7318</v>
      </c>
      <c r="F759" s="3" t="s">
        <v>14206</v>
      </c>
      <c r="H759" s="3" t="s">
        <v>922</v>
      </c>
      <c r="K759" s="2">
        <v>10</v>
      </c>
      <c r="L759" s="2">
        <v>1</v>
      </c>
      <c r="M759" s="3" t="s">
        <v>22</v>
      </c>
      <c r="N759" s="3" t="s">
        <v>1018</v>
      </c>
      <c r="O759" s="3" t="s">
        <v>1019</v>
      </c>
      <c r="P759" s="3" t="s">
        <v>1020</v>
      </c>
      <c r="Q759" s="30" t="str">
        <f t="shared" si="11"/>
        <v>MAX : 1.940
TARGET : 1.920
MIN : 1.900</v>
      </c>
      <c r="R759" s="3" t="s">
        <v>926</v>
      </c>
    </row>
    <row r="760" spans="2:18" ht="41.4" x14ac:dyDescent="0.3">
      <c r="B760">
        <v>0</v>
      </c>
      <c r="C760" s="33">
        <v>5732</v>
      </c>
      <c r="D760" s="2">
        <v>1772</v>
      </c>
      <c r="E760" s="2" t="s">
        <v>7617</v>
      </c>
      <c r="F760" s="3" t="s">
        <v>14206</v>
      </c>
      <c r="H760" s="3" t="s">
        <v>1270</v>
      </c>
      <c r="K760" s="2">
        <v>10</v>
      </c>
      <c r="L760" s="2">
        <v>3</v>
      </c>
      <c r="M760" s="3" t="s">
        <v>265</v>
      </c>
      <c r="N760" s="3" t="s">
        <v>13</v>
      </c>
      <c r="O760" s="3" t="s">
        <v>14</v>
      </c>
      <c r="Q760" s="30" t="str">
        <f t="shared" si="11"/>
        <v>MAX : 
TARGET : Yes(Pass)
MIN : No(Fail)</v>
      </c>
    </row>
    <row r="761" spans="2:18" ht="41.4" x14ac:dyDescent="0.3">
      <c r="B761">
        <v>0</v>
      </c>
      <c r="C761" s="33">
        <v>5732</v>
      </c>
      <c r="D761" s="2">
        <v>1772</v>
      </c>
      <c r="E761" s="2" t="s">
        <v>7617</v>
      </c>
      <c r="F761" s="3" t="s">
        <v>14206</v>
      </c>
      <c r="H761" s="3" t="s">
        <v>1270</v>
      </c>
      <c r="K761" s="2">
        <v>10</v>
      </c>
      <c r="L761" s="2">
        <v>4</v>
      </c>
      <c r="M761" s="3" t="s">
        <v>1271</v>
      </c>
      <c r="N761" s="3" t="s">
        <v>13</v>
      </c>
      <c r="O761" s="3" t="s">
        <v>136</v>
      </c>
      <c r="Q761" s="30" t="str">
        <f t="shared" si="11"/>
        <v>MAX : 
TARGET : Yes(Pass) 
MIN : No(Fail)</v>
      </c>
    </row>
    <row r="762" spans="2:18" ht="41.4" x14ac:dyDescent="0.3">
      <c r="B762">
        <v>0</v>
      </c>
      <c r="C762" s="33">
        <v>5732</v>
      </c>
      <c r="D762" s="2">
        <v>1772</v>
      </c>
      <c r="E762" s="2" t="s">
        <v>7617</v>
      </c>
      <c r="F762" s="3" t="s">
        <v>14206</v>
      </c>
      <c r="H762" s="3" t="s">
        <v>1270</v>
      </c>
      <c r="K762" s="2">
        <v>10</v>
      </c>
      <c r="L762" s="2">
        <v>5</v>
      </c>
      <c r="M762" s="3" t="s">
        <v>318</v>
      </c>
      <c r="N762" s="3" t="s">
        <v>13</v>
      </c>
      <c r="O762" s="3" t="s">
        <v>14</v>
      </c>
      <c r="Q762" s="30" t="str">
        <f t="shared" si="11"/>
        <v>MAX : 
TARGET : Yes(Pass)
MIN : No(Fail)</v>
      </c>
    </row>
    <row r="763" spans="2:18" ht="41.4" x14ac:dyDescent="0.3">
      <c r="B763">
        <v>1</v>
      </c>
      <c r="C763" s="33">
        <v>5280</v>
      </c>
      <c r="D763" s="2">
        <v>951</v>
      </c>
      <c r="E763" s="2" t="s">
        <v>7318</v>
      </c>
      <c r="F763" s="3" t="s">
        <v>14206</v>
      </c>
      <c r="H763" s="3" t="s">
        <v>922</v>
      </c>
      <c r="K763" s="2">
        <v>10</v>
      </c>
      <c r="L763" s="2">
        <v>6</v>
      </c>
      <c r="M763" s="3" t="s">
        <v>3300</v>
      </c>
      <c r="N763" s="3" t="s">
        <v>24</v>
      </c>
      <c r="O763" s="3" t="s">
        <v>25</v>
      </c>
      <c r="Q763" s="30" t="str">
        <f t="shared" si="11"/>
        <v>MAX : 
TARGET : Yes (Pass)
MIN : No (Fail)</v>
      </c>
      <c r="R763" s="3" t="s">
        <v>926</v>
      </c>
    </row>
    <row r="764" spans="2:18" ht="41.4" x14ac:dyDescent="0.3">
      <c r="B764">
        <v>1</v>
      </c>
      <c r="C764" s="33">
        <v>5281</v>
      </c>
      <c r="D764" s="2">
        <v>952</v>
      </c>
      <c r="E764" s="2" t="s">
        <v>7324</v>
      </c>
      <c r="F764" s="3" t="s">
        <v>14206</v>
      </c>
      <c r="H764" s="3" t="s">
        <v>922</v>
      </c>
      <c r="K764" s="2">
        <v>10</v>
      </c>
      <c r="L764" s="2">
        <v>2</v>
      </c>
      <c r="M764" s="3" t="s">
        <v>18</v>
      </c>
      <c r="N764" s="3" t="s">
        <v>927</v>
      </c>
      <c r="O764" s="3" t="s">
        <v>276</v>
      </c>
      <c r="P764" s="3" t="s">
        <v>928</v>
      </c>
      <c r="Q764" s="30" t="str">
        <f t="shared" si="11"/>
        <v>MAX : 0.395
TARGET : 0.375
MIN : 0.355</v>
      </c>
      <c r="R764" s="3" t="s">
        <v>926</v>
      </c>
    </row>
    <row r="765" spans="2:18" ht="41.4" x14ac:dyDescent="0.3">
      <c r="B765">
        <v>0</v>
      </c>
      <c r="C765" s="33">
        <v>5733</v>
      </c>
      <c r="D765" s="2">
        <v>1773</v>
      </c>
      <c r="E765" s="2" t="s">
        <v>7625</v>
      </c>
      <c r="F765" s="3" t="s">
        <v>14206</v>
      </c>
      <c r="H765" s="3" t="s">
        <v>1270</v>
      </c>
      <c r="K765" s="2">
        <v>10</v>
      </c>
      <c r="L765" s="2">
        <v>3</v>
      </c>
      <c r="M765" s="3" t="s">
        <v>265</v>
      </c>
      <c r="N765" s="3" t="s">
        <v>13</v>
      </c>
      <c r="O765" s="3" t="s">
        <v>14</v>
      </c>
      <c r="Q765" s="30" t="str">
        <f t="shared" si="11"/>
        <v>MAX : 
TARGET : Yes(Pass)
MIN : No(Fail)</v>
      </c>
    </row>
    <row r="766" spans="2:18" ht="41.4" x14ac:dyDescent="0.3">
      <c r="B766">
        <v>0</v>
      </c>
      <c r="C766" s="33">
        <v>5733</v>
      </c>
      <c r="D766" s="2">
        <v>1773</v>
      </c>
      <c r="E766" s="2" t="s">
        <v>7625</v>
      </c>
      <c r="F766" s="3" t="s">
        <v>14206</v>
      </c>
      <c r="H766" s="3" t="s">
        <v>1270</v>
      </c>
      <c r="K766" s="2">
        <v>10</v>
      </c>
      <c r="L766" s="2">
        <v>4</v>
      </c>
      <c r="M766" s="3" t="s">
        <v>1272</v>
      </c>
      <c r="N766" s="3" t="s">
        <v>13</v>
      </c>
      <c r="O766" s="3" t="s">
        <v>136</v>
      </c>
      <c r="Q766" s="30" t="str">
        <f t="shared" si="11"/>
        <v>MAX : 
TARGET : Yes(Pass) 
MIN : No(Fail)</v>
      </c>
    </row>
    <row r="767" spans="2:18" ht="41.4" x14ac:dyDescent="0.3">
      <c r="B767">
        <v>0</v>
      </c>
      <c r="C767" s="33">
        <v>5733</v>
      </c>
      <c r="D767" s="2">
        <v>1773</v>
      </c>
      <c r="E767" s="2" t="s">
        <v>7625</v>
      </c>
      <c r="F767" s="3" t="s">
        <v>14206</v>
      </c>
      <c r="H767" s="3" t="s">
        <v>1270</v>
      </c>
      <c r="K767" s="2">
        <v>10</v>
      </c>
      <c r="L767" s="2">
        <v>5</v>
      </c>
      <c r="M767" s="3" t="s">
        <v>318</v>
      </c>
      <c r="N767" s="3" t="s">
        <v>13</v>
      </c>
      <c r="O767" s="3" t="s">
        <v>14</v>
      </c>
      <c r="Q767" s="30" t="str">
        <f t="shared" si="11"/>
        <v>MAX : 
TARGET : Yes(Pass)
MIN : No(Fail)</v>
      </c>
    </row>
    <row r="768" spans="2:18" ht="41.4" x14ac:dyDescent="0.3">
      <c r="B768">
        <v>1</v>
      </c>
      <c r="C768" s="33">
        <v>5281</v>
      </c>
      <c r="D768" s="2">
        <v>952</v>
      </c>
      <c r="E768" s="2" t="s">
        <v>7324</v>
      </c>
      <c r="F768" s="3" t="s">
        <v>14206</v>
      </c>
      <c r="H768" s="3" t="s">
        <v>922</v>
      </c>
      <c r="K768" s="2">
        <v>10</v>
      </c>
      <c r="L768" s="2">
        <v>1</v>
      </c>
      <c r="M768" s="3" t="s">
        <v>22</v>
      </c>
      <c r="N768" s="3" t="s">
        <v>1023</v>
      </c>
      <c r="O768" s="3" t="s">
        <v>1024</v>
      </c>
      <c r="P768" s="3" t="s">
        <v>1025</v>
      </c>
      <c r="Q768" s="30" t="str">
        <f t="shared" si="11"/>
        <v>MAX : 2.312
TARGET : 2.292
MIN : 2.272</v>
      </c>
      <c r="R768" s="3" t="s">
        <v>926</v>
      </c>
    </row>
    <row r="769" spans="2:18" ht="41.4" x14ac:dyDescent="0.3">
      <c r="B769">
        <v>1</v>
      </c>
      <c r="C769" s="33">
        <v>5282</v>
      </c>
      <c r="D769" s="2">
        <v>953</v>
      </c>
      <c r="E769" s="2" t="s">
        <v>7330</v>
      </c>
      <c r="F769" s="3" t="s">
        <v>14206</v>
      </c>
      <c r="H769" s="3" t="s">
        <v>922</v>
      </c>
      <c r="K769" s="2">
        <v>20</v>
      </c>
      <c r="L769" s="2">
        <v>1</v>
      </c>
      <c r="M769" s="3" t="s">
        <v>22</v>
      </c>
      <c r="N769" s="3" t="s">
        <v>1032</v>
      </c>
      <c r="O769" s="3" t="s">
        <v>1033</v>
      </c>
      <c r="P769" s="3" t="s">
        <v>1034</v>
      </c>
      <c r="Q769" s="30" t="str">
        <f t="shared" si="11"/>
        <v>MAX : 5.149
TARGET : 5.129
MIN : 5.109</v>
      </c>
      <c r="R769" s="3" t="s">
        <v>926</v>
      </c>
    </row>
    <row r="770" spans="2:18" ht="41.4" x14ac:dyDescent="0.3">
      <c r="B770">
        <v>0</v>
      </c>
      <c r="C770" s="33">
        <v>5734</v>
      </c>
      <c r="D770" s="2">
        <v>1774</v>
      </c>
      <c r="E770" s="2" t="s">
        <v>7633</v>
      </c>
      <c r="F770" s="3" t="s">
        <v>14206</v>
      </c>
      <c r="H770" s="3" t="s">
        <v>1270</v>
      </c>
      <c r="K770" t="s">
        <v>6295</v>
      </c>
      <c r="L770" s="2">
        <v>3</v>
      </c>
      <c r="M770" s="3" t="s">
        <v>265</v>
      </c>
      <c r="N770" s="3" t="s">
        <v>13</v>
      </c>
      <c r="O770" s="3" t="s">
        <v>14</v>
      </c>
      <c r="Q770" s="30" t="str">
        <f t="shared" ref="Q770:Q833" si="12">"MAX : " &amp; P770 &amp; CHAR(10) &amp; "TARGET : " &amp; O770 &amp; CHAR(10) &amp; "MIN : " &amp; N770</f>
        <v>MAX : 
TARGET : Yes(Pass)
MIN : No(Fail)</v>
      </c>
    </row>
    <row r="771" spans="2:18" ht="41.4" x14ac:dyDescent="0.3">
      <c r="B771">
        <v>0</v>
      </c>
      <c r="C771" s="33">
        <v>5734</v>
      </c>
      <c r="D771" s="2">
        <v>1774</v>
      </c>
      <c r="E771" s="2" t="s">
        <v>7633</v>
      </c>
      <c r="F771" s="3" t="s">
        <v>14206</v>
      </c>
      <c r="H771" s="3" t="s">
        <v>1270</v>
      </c>
      <c r="K771" t="s">
        <v>6295</v>
      </c>
      <c r="L771" s="2">
        <v>4</v>
      </c>
      <c r="M771" s="3" t="s">
        <v>1271</v>
      </c>
      <c r="N771" s="3" t="s">
        <v>13</v>
      </c>
      <c r="O771" s="3" t="s">
        <v>136</v>
      </c>
      <c r="Q771" s="30" t="str">
        <f t="shared" si="12"/>
        <v>MAX : 
TARGET : Yes(Pass) 
MIN : No(Fail)</v>
      </c>
    </row>
    <row r="772" spans="2:18" ht="41.4" x14ac:dyDescent="0.3">
      <c r="B772">
        <v>0</v>
      </c>
      <c r="C772" s="33">
        <v>5734</v>
      </c>
      <c r="D772" s="2">
        <v>1774</v>
      </c>
      <c r="E772" s="2" t="s">
        <v>7633</v>
      </c>
      <c r="F772" s="3" t="s">
        <v>14206</v>
      </c>
      <c r="H772" s="3" t="s">
        <v>1270</v>
      </c>
      <c r="K772" t="s">
        <v>6295</v>
      </c>
      <c r="L772" s="2">
        <v>5</v>
      </c>
      <c r="M772" s="3" t="s">
        <v>318</v>
      </c>
      <c r="N772" s="3" t="s">
        <v>13</v>
      </c>
      <c r="O772" s="3" t="s">
        <v>14</v>
      </c>
      <c r="Q772" s="30" t="str">
        <f t="shared" si="12"/>
        <v>MAX : 
TARGET : Yes(Pass)
MIN : No(Fail)</v>
      </c>
    </row>
    <row r="773" spans="2:18" ht="41.4" x14ac:dyDescent="0.3">
      <c r="B773">
        <v>1</v>
      </c>
      <c r="C773" s="33">
        <v>5282</v>
      </c>
      <c r="D773" s="2">
        <v>953</v>
      </c>
      <c r="E773" s="2" t="s">
        <v>7330</v>
      </c>
      <c r="F773" s="3" t="s">
        <v>14206</v>
      </c>
      <c r="H773" s="3" t="s">
        <v>922</v>
      </c>
      <c r="K773" s="2">
        <v>20</v>
      </c>
      <c r="L773" s="2">
        <v>2</v>
      </c>
      <c r="M773" s="3" t="s">
        <v>18</v>
      </c>
      <c r="N773" s="3" t="s">
        <v>1029</v>
      </c>
      <c r="O773" s="3" t="s">
        <v>1030</v>
      </c>
      <c r="P773" s="3" t="s">
        <v>1031</v>
      </c>
      <c r="Q773" s="30" t="str">
        <f t="shared" si="12"/>
        <v>MAX : 5.196
TARGET : 5.176
MIN : 5.156</v>
      </c>
      <c r="R773" s="3" t="s">
        <v>926</v>
      </c>
    </row>
    <row r="774" spans="2:18" ht="41.4" x14ac:dyDescent="0.3">
      <c r="B774">
        <v>1</v>
      </c>
      <c r="C774" s="33">
        <v>5282</v>
      </c>
      <c r="D774" s="2">
        <v>953</v>
      </c>
      <c r="E774" s="2" t="s">
        <v>7330</v>
      </c>
      <c r="F774" s="3" t="s">
        <v>14206</v>
      </c>
      <c r="H774" s="3" t="s">
        <v>922</v>
      </c>
      <c r="K774" s="2">
        <v>20</v>
      </c>
      <c r="L774" s="2">
        <v>6</v>
      </c>
      <c r="M774" s="3" t="s">
        <v>1006</v>
      </c>
      <c r="N774" s="3" t="s">
        <v>24</v>
      </c>
      <c r="O774" s="3" t="s">
        <v>25</v>
      </c>
      <c r="Q774" s="30" t="str">
        <f t="shared" si="12"/>
        <v>MAX : 
TARGET : Yes (Pass)
MIN : No (Fail)</v>
      </c>
      <c r="R774" s="3" t="s">
        <v>926</v>
      </c>
    </row>
    <row r="775" spans="2:18" ht="41.4" x14ac:dyDescent="0.3">
      <c r="B775">
        <v>0</v>
      </c>
      <c r="C775" s="33">
        <v>5735</v>
      </c>
      <c r="D775" s="2">
        <v>1775</v>
      </c>
      <c r="E775" s="2" t="s">
        <v>7637</v>
      </c>
      <c r="F775" s="3" t="s">
        <v>14206</v>
      </c>
      <c r="H775" s="3" t="s">
        <v>1270</v>
      </c>
      <c r="K775" s="2">
        <v>10</v>
      </c>
      <c r="L775" s="2">
        <v>3</v>
      </c>
      <c r="M775" s="3" t="s">
        <v>265</v>
      </c>
      <c r="N775" s="3" t="s">
        <v>13</v>
      </c>
      <c r="O775" s="3" t="s">
        <v>14</v>
      </c>
      <c r="Q775" s="30" t="str">
        <f t="shared" si="12"/>
        <v>MAX : 
TARGET : Yes(Pass)
MIN : No(Fail)</v>
      </c>
    </row>
    <row r="776" spans="2:18" ht="41.4" x14ac:dyDescent="0.3">
      <c r="B776">
        <v>0</v>
      </c>
      <c r="C776" s="33">
        <v>5735</v>
      </c>
      <c r="D776" s="2">
        <v>1775</v>
      </c>
      <c r="E776" s="2" t="s">
        <v>7637</v>
      </c>
      <c r="F776" s="3" t="s">
        <v>14206</v>
      </c>
      <c r="H776" s="3" t="s">
        <v>1270</v>
      </c>
      <c r="K776" s="2">
        <v>10</v>
      </c>
      <c r="L776" s="2">
        <v>4</v>
      </c>
      <c r="M776" s="3" t="s">
        <v>1271</v>
      </c>
      <c r="N776" s="3" t="s">
        <v>13</v>
      </c>
      <c r="O776" s="3" t="s">
        <v>136</v>
      </c>
      <c r="Q776" s="30" t="str">
        <f t="shared" si="12"/>
        <v>MAX : 
TARGET : Yes(Pass) 
MIN : No(Fail)</v>
      </c>
    </row>
    <row r="777" spans="2:18" ht="41.4" x14ac:dyDescent="0.3">
      <c r="B777">
        <v>0</v>
      </c>
      <c r="C777" s="33">
        <v>5735</v>
      </c>
      <c r="D777" s="2">
        <v>1775</v>
      </c>
      <c r="E777" s="2" t="s">
        <v>7637</v>
      </c>
      <c r="F777" s="3" t="s">
        <v>14206</v>
      </c>
      <c r="H777" s="3" t="s">
        <v>1270</v>
      </c>
      <c r="K777" s="2">
        <v>10</v>
      </c>
      <c r="L777" s="2">
        <v>5</v>
      </c>
      <c r="M777" s="3" t="s">
        <v>318</v>
      </c>
      <c r="N777" s="3" t="s">
        <v>13</v>
      </c>
      <c r="O777" s="3" t="s">
        <v>14</v>
      </c>
      <c r="Q777" s="30" t="str">
        <f t="shared" si="12"/>
        <v>MAX : 
TARGET : Yes(Pass)
MIN : No(Fail)</v>
      </c>
    </row>
    <row r="778" spans="2:18" ht="41.4" x14ac:dyDescent="0.3">
      <c r="B778">
        <v>1</v>
      </c>
      <c r="C778" s="33">
        <v>5283</v>
      </c>
      <c r="D778" s="2">
        <v>954</v>
      </c>
      <c r="E778" s="2" t="s">
        <v>7336</v>
      </c>
      <c r="F778" s="3" t="s">
        <v>14206</v>
      </c>
      <c r="H778" s="3" t="s">
        <v>922</v>
      </c>
      <c r="K778" s="2">
        <v>20</v>
      </c>
      <c r="L778" s="2">
        <v>2</v>
      </c>
      <c r="M778" s="3" t="s">
        <v>1044</v>
      </c>
      <c r="N778" s="3" t="s">
        <v>1045</v>
      </c>
      <c r="O778" s="3" t="s">
        <v>1046</v>
      </c>
      <c r="P778" s="3" t="s">
        <v>1047</v>
      </c>
      <c r="Q778" s="30" t="str">
        <f t="shared" si="12"/>
        <v>MAX : 5.152
TARGET : 5.132
MIN : 5.112</v>
      </c>
      <c r="R778" s="3" t="s">
        <v>926</v>
      </c>
    </row>
    <row r="779" spans="2:18" ht="41.4" x14ac:dyDescent="0.3">
      <c r="B779">
        <v>1</v>
      </c>
      <c r="C779" s="33">
        <v>5283</v>
      </c>
      <c r="D779" s="2">
        <v>954</v>
      </c>
      <c r="E779" s="2" t="s">
        <v>7336</v>
      </c>
      <c r="F779" s="3" t="s">
        <v>14206</v>
      </c>
      <c r="H779" s="3" t="s">
        <v>922</v>
      </c>
      <c r="K779" s="2">
        <v>20</v>
      </c>
      <c r="L779" s="2">
        <v>1</v>
      </c>
      <c r="M779" s="3" t="s">
        <v>1040</v>
      </c>
      <c r="N779" s="3" t="s">
        <v>1041</v>
      </c>
      <c r="O779" s="3" t="s">
        <v>1042</v>
      </c>
      <c r="P779" s="3" t="s">
        <v>1043</v>
      </c>
      <c r="Q779" s="30" t="str">
        <f t="shared" si="12"/>
        <v>MAX : 8.811
TARGET : 8.791
MIN : 8.771</v>
      </c>
      <c r="R779" s="3" t="s">
        <v>926</v>
      </c>
    </row>
    <row r="780" spans="2:18" ht="41.4" x14ac:dyDescent="0.3">
      <c r="B780">
        <v>0</v>
      </c>
      <c r="C780" s="33">
        <v>5736</v>
      </c>
      <c r="D780" s="2">
        <v>1776</v>
      </c>
      <c r="E780" s="2" t="s">
        <v>7641</v>
      </c>
      <c r="F780" s="3" t="s">
        <v>14206</v>
      </c>
      <c r="H780" s="3" t="s">
        <v>1270</v>
      </c>
      <c r="K780" s="2">
        <v>10</v>
      </c>
      <c r="L780" s="2">
        <v>3</v>
      </c>
      <c r="M780" s="3" t="s">
        <v>265</v>
      </c>
      <c r="N780" s="3" t="s">
        <v>13</v>
      </c>
      <c r="O780" s="3" t="s">
        <v>14</v>
      </c>
      <c r="Q780" s="30" t="str">
        <f t="shared" si="12"/>
        <v>MAX : 
TARGET : Yes(Pass)
MIN : No(Fail)</v>
      </c>
    </row>
    <row r="781" spans="2:18" ht="41.4" x14ac:dyDescent="0.3">
      <c r="B781">
        <v>0</v>
      </c>
      <c r="C781" s="33">
        <v>5736</v>
      </c>
      <c r="D781" s="2">
        <v>1776</v>
      </c>
      <c r="E781" s="2" t="s">
        <v>7641</v>
      </c>
      <c r="F781" s="3" t="s">
        <v>14206</v>
      </c>
      <c r="H781" s="3" t="s">
        <v>1270</v>
      </c>
      <c r="K781" s="2">
        <v>10</v>
      </c>
      <c r="L781" s="2">
        <v>4</v>
      </c>
      <c r="M781" s="3" t="s">
        <v>1273</v>
      </c>
      <c r="N781" s="3" t="s">
        <v>13</v>
      </c>
      <c r="O781" s="3" t="s">
        <v>136</v>
      </c>
      <c r="Q781" s="30" t="str">
        <f t="shared" si="12"/>
        <v>MAX : 
TARGET : Yes(Pass) 
MIN : No(Fail)</v>
      </c>
    </row>
    <row r="782" spans="2:18" ht="41.4" x14ac:dyDescent="0.3">
      <c r="B782">
        <v>0</v>
      </c>
      <c r="C782" s="33">
        <v>5736</v>
      </c>
      <c r="D782" s="2">
        <v>1776</v>
      </c>
      <c r="E782" s="2" t="s">
        <v>7641</v>
      </c>
      <c r="F782" s="3" t="s">
        <v>14206</v>
      </c>
      <c r="H782" s="3" t="s">
        <v>1270</v>
      </c>
      <c r="K782" s="2">
        <v>10</v>
      </c>
      <c r="L782" s="2">
        <v>5</v>
      </c>
      <c r="M782" s="3" t="s">
        <v>318</v>
      </c>
      <c r="N782" s="3" t="s">
        <v>13</v>
      </c>
      <c r="O782" s="3" t="s">
        <v>14</v>
      </c>
      <c r="Q782" s="30" t="str">
        <f t="shared" si="12"/>
        <v>MAX : 
TARGET : Yes(Pass)
MIN : No(Fail)</v>
      </c>
    </row>
    <row r="783" spans="2:18" ht="41.4" x14ac:dyDescent="0.3">
      <c r="B783">
        <v>1</v>
      </c>
      <c r="C783" s="33">
        <v>5283</v>
      </c>
      <c r="D783" s="2">
        <v>954</v>
      </c>
      <c r="E783" s="2" t="s">
        <v>7336</v>
      </c>
      <c r="F783" s="3" t="s">
        <v>14206</v>
      </c>
      <c r="H783" s="3" t="s">
        <v>922</v>
      </c>
      <c r="K783" s="2">
        <v>20</v>
      </c>
      <c r="L783" s="2">
        <v>6</v>
      </c>
      <c r="M783" s="3" t="s">
        <v>1006</v>
      </c>
      <c r="N783" s="3" t="s">
        <v>24</v>
      </c>
      <c r="O783" s="3" t="s">
        <v>25</v>
      </c>
      <c r="Q783" s="30" t="str">
        <f t="shared" si="12"/>
        <v>MAX : 
TARGET : Yes (Pass)
MIN : No (Fail)</v>
      </c>
      <c r="R783" s="3" t="s">
        <v>926</v>
      </c>
    </row>
    <row r="784" spans="2:18" ht="41.4" x14ac:dyDescent="0.3">
      <c r="B784">
        <v>1</v>
      </c>
      <c r="C784" s="33">
        <v>5308</v>
      </c>
      <c r="D784" s="2">
        <v>955</v>
      </c>
      <c r="E784" s="2" t="s">
        <v>7342</v>
      </c>
      <c r="F784" s="3" t="s">
        <v>14206</v>
      </c>
      <c r="H784" s="3" t="s">
        <v>1052</v>
      </c>
      <c r="K784" s="2">
        <v>10</v>
      </c>
      <c r="L784" s="2">
        <v>1</v>
      </c>
      <c r="M784" s="3" t="s">
        <v>22</v>
      </c>
      <c r="N784" s="3" t="s">
        <v>1056</v>
      </c>
      <c r="O784" s="3" t="s">
        <v>1057</v>
      </c>
      <c r="P784" s="3" t="s">
        <v>1058</v>
      </c>
      <c r="Q784" s="30" t="str">
        <f t="shared" si="12"/>
        <v>MAX : 13.750
TARGET : 13.500
MIN : 13.250</v>
      </c>
    </row>
    <row r="785" spans="2:17" ht="41.4" x14ac:dyDescent="0.3">
      <c r="B785">
        <v>0</v>
      </c>
      <c r="C785" s="33">
        <v>5751</v>
      </c>
      <c r="D785" s="2">
        <v>981</v>
      </c>
      <c r="E785" s="2" t="s">
        <v>7646</v>
      </c>
      <c r="F785" s="3" t="s">
        <v>14217</v>
      </c>
      <c r="G785" s="3" t="s">
        <v>1274</v>
      </c>
      <c r="H785" s="3" t="s">
        <v>1275</v>
      </c>
      <c r="K785" s="2">
        <v>10</v>
      </c>
      <c r="L785" s="2">
        <v>3</v>
      </c>
      <c r="M785" s="3" t="s">
        <v>1283</v>
      </c>
      <c r="N785" s="3" t="s">
        <v>1284</v>
      </c>
      <c r="O785" s="3" t="s">
        <v>1285</v>
      </c>
      <c r="P785" s="3" t="s">
        <v>1286</v>
      </c>
      <c r="Q785" s="30" t="str">
        <f t="shared" si="12"/>
        <v>MAX : 0.095 (2.41)
TARGET : 0.090 (2.29)
MIN : 0.085 (2.16)</v>
      </c>
    </row>
    <row r="786" spans="2:17" ht="41.4" x14ac:dyDescent="0.3">
      <c r="B786">
        <v>0</v>
      </c>
      <c r="C786" s="33">
        <v>5751</v>
      </c>
      <c r="D786" s="2">
        <v>981</v>
      </c>
      <c r="E786" s="2" t="s">
        <v>7646</v>
      </c>
      <c r="F786" s="3" t="s">
        <v>14217</v>
      </c>
      <c r="G786" s="3" t="s">
        <v>1274</v>
      </c>
      <c r="H786" s="3" t="s">
        <v>1275</v>
      </c>
      <c r="K786" s="2">
        <v>10</v>
      </c>
      <c r="L786" s="2">
        <v>4</v>
      </c>
      <c r="M786" s="3" t="s">
        <v>1287</v>
      </c>
      <c r="N786" s="3" t="s">
        <v>1288</v>
      </c>
      <c r="O786" s="3" t="s">
        <v>1289</v>
      </c>
      <c r="P786" s="3" t="s">
        <v>1290</v>
      </c>
      <c r="Q786" s="30" t="str">
        <f t="shared" si="12"/>
        <v>MAX : 0.280 (7.11)
TARGET : 0.275 (6.99)
MIN : 0.270 (6.86)</v>
      </c>
    </row>
    <row r="787" spans="2:17" ht="41.4" x14ac:dyDescent="0.3">
      <c r="B787">
        <v>0</v>
      </c>
      <c r="C787" s="33">
        <v>5751</v>
      </c>
      <c r="D787" s="2">
        <v>981</v>
      </c>
      <c r="E787" s="2" t="s">
        <v>7646</v>
      </c>
      <c r="F787" s="3" t="s">
        <v>14217</v>
      </c>
      <c r="G787" s="3" t="s">
        <v>1274</v>
      </c>
      <c r="H787" s="3" t="s">
        <v>1275</v>
      </c>
      <c r="K787" s="2">
        <v>10</v>
      </c>
      <c r="L787" s="2">
        <v>5</v>
      </c>
      <c r="M787" s="3" t="s">
        <v>1291</v>
      </c>
      <c r="N787" s="3" t="s">
        <v>13</v>
      </c>
      <c r="O787" s="3" t="s">
        <v>14</v>
      </c>
      <c r="Q787" s="30" t="str">
        <f t="shared" si="12"/>
        <v>MAX : 
TARGET : Yes(Pass)
MIN : No(Fail)</v>
      </c>
    </row>
    <row r="788" spans="2:17" ht="41.4" x14ac:dyDescent="0.3">
      <c r="B788">
        <v>0</v>
      </c>
      <c r="C788" s="33">
        <v>5751</v>
      </c>
      <c r="D788" s="2">
        <v>981</v>
      </c>
      <c r="E788" s="2" t="s">
        <v>7646</v>
      </c>
      <c r="F788" s="3" t="s">
        <v>14217</v>
      </c>
      <c r="G788" s="3" t="s">
        <v>1274</v>
      </c>
      <c r="H788" s="3" t="s">
        <v>1275</v>
      </c>
      <c r="K788" s="2">
        <v>10</v>
      </c>
      <c r="L788" s="2">
        <v>6</v>
      </c>
      <c r="M788" s="3" t="s">
        <v>1292</v>
      </c>
      <c r="N788" s="3" t="s">
        <v>13</v>
      </c>
      <c r="O788" s="3" t="s">
        <v>14</v>
      </c>
      <c r="Q788" s="30" t="str">
        <f t="shared" si="12"/>
        <v>MAX : 
TARGET : Yes(Pass)
MIN : No(Fail)</v>
      </c>
    </row>
    <row r="789" spans="2:17" ht="41.4" x14ac:dyDescent="0.3">
      <c r="B789">
        <v>1</v>
      </c>
      <c r="C789" s="33">
        <v>5308</v>
      </c>
      <c r="D789" s="2">
        <v>955</v>
      </c>
      <c r="E789" s="2" t="s">
        <v>7342</v>
      </c>
      <c r="F789" s="3" t="s">
        <v>14206</v>
      </c>
      <c r="H789" s="3" t="s">
        <v>1052</v>
      </c>
      <c r="K789" s="2">
        <v>10</v>
      </c>
      <c r="L789" s="2">
        <v>2</v>
      </c>
      <c r="M789" s="3" t="s">
        <v>18</v>
      </c>
      <c r="N789" s="3" t="s">
        <v>1053</v>
      </c>
      <c r="O789" s="3" t="s">
        <v>1054</v>
      </c>
      <c r="P789" s="3" t="s">
        <v>1055</v>
      </c>
      <c r="Q789" s="30" t="str">
        <f t="shared" si="12"/>
        <v>MAX : 19.625
TARGET : 19.375
MIN : 19.125</v>
      </c>
    </row>
    <row r="790" spans="2:17" ht="41.4" x14ac:dyDescent="0.3">
      <c r="B790">
        <v>1</v>
      </c>
      <c r="C790" s="33">
        <v>5309</v>
      </c>
      <c r="D790" s="2">
        <v>1757</v>
      </c>
      <c r="E790" s="2" t="s">
        <v>7349</v>
      </c>
      <c r="F790" s="3" t="s">
        <v>14206</v>
      </c>
      <c r="H790" s="3" t="s">
        <v>1059</v>
      </c>
      <c r="K790" s="2">
        <v>30</v>
      </c>
      <c r="L790" s="2">
        <v>2</v>
      </c>
      <c r="M790" s="3" t="s">
        <v>1060</v>
      </c>
      <c r="N790" s="3" t="s">
        <v>13</v>
      </c>
      <c r="O790" s="3" t="s">
        <v>14</v>
      </c>
      <c r="Q790" s="30" t="str">
        <f t="shared" si="12"/>
        <v>MAX : 
TARGET : Yes(Pass)
MIN : No(Fail)</v>
      </c>
    </row>
    <row r="791" spans="2:17" ht="41.4" x14ac:dyDescent="0.3">
      <c r="B791">
        <v>0</v>
      </c>
      <c r="C791" s="33">
        <v>5781</v>
      </c>
      <c r="D791" s="2">
        <v>982</v>
      </c>
      <c r="E791" s="2" t="s">
        <v>7654</v>
      </c>
      <c r="F791" s="3" t="s">
        <v>14207</v>
      </c>
      <c r="H791" s="3" t="s">
        <v>426</v>
      </c>
      <c r="K791" s="2">
        <v>10</v>
      </c>
      <c r="L791" s="2">
        <v>2</v>
      </c>
      <c r="M791" s="3" t="s">
        <v>1298</v>
      </c>
      <c r="N791" s="3" t="s">
        <v>1299</v>
      </c>
      <c r="O791" s="3" t="s">
        <v>1300</v>
      </c>
      <c r="P791" s="3" t="s">
        <v>1301</v>
      </c>
      <c r="Q791" s="30" t="str">
        <f t="shared" si="12"/>
        <v>MAX : 17.49
TARGET : 14.29
MIN : 11.09</v>
      </c>
    </row>
    <row r="792" spans="2:17" ht="41.4" x14ac:dyDescent="0.3">
      <c r="B792">
        <v>0</v>
      </c>
      <c r="C792" s="33">
        <v>5781</v>
      </c>
      <c r="D792" s="2">
        <v>982</v>
      </c>
      <c r="E792" s="2" t="s">
        <v>7654</v>
      </c>
      <c r="F792" s="3" t="s">
        <v>14207</v>
      </c>
      <c r="H792" s="3" t="s">
        <v>426</v>
      </c>
      <c r="K792" s="2">
        <v>10</v>
      </c>
      <c r="L792" s="2">
        <v>3</v>
      </c>
      <c r="M792" s="3" t="s">
        <v>1302</v>
      </c>
      <c r="N792" s="3" t="s">
        <v>1303</v>
      </c>
      <c r="O792" s="3" t="s">
        <v>1304</v>
      </c>
      <c r="P792" s="3" t="s">
        <v>1305</v>
      </c>
      <c r="Q792" s="30" t="str">
        <f t="shared" si="12"/>
        <v>MAX : 118.1
TARGET : 114.90
MIN : 111.7</v>
      </c>
    </row>
    <row r="793" spans="2:17" ht="41.4" x14ac:dyDescent="0.3">
      <c r="B793">
        <v>0</v>
      </c>
      <c r="C793" s="33">
        <v>5781</v>
      </c>
      <c r="D793" s="2">
        <v>982</v>
      </c>
      <c r="E793" s="2" t="s">
        <v>7654</v>
      </c>
      <c r="F793" s="3" t="s">
        <v>14207</v>
      </c>
      <c r="H793" s="3" t="s">
        <v>426</v>
      </c>
      <c r="K793" s="2">
        <v>10</v>
      </c>
      <c r="L793" s="2">
        <v>4</v>
      </c>
      <c r="M793" s="3" t="s">
        <v>625</v>
      </c>
      <c r="N793" s="3" t="s">
        <v>1306</v>
      </c>
      <c r="O793" s="3" t="s">
        <v>1307</v>
      </c>
      <c r="P793" s="3" t="s">
        <v>1308</v>
      </c>
      <c r="Q793" s="30" t="str">
        <f t="shared" si="12"/>
        <v>MAX : 586.20
TARGET : 584.20
MIN : 582.20</v>
      </c>
    </row>
    <row r="794" spans="2:17" ht="41.4" x14ac:dyDescent="0.3">
      <c r="B794">
        <v>0</v>
      </c>
      <c r="C794" s="33">
        <v>5781</v>
      </c>
      <c r="D794" s="2">
        <v>982</v>
      </c>
      <c r="E794" s="2" t="s">
        <v>7654</v>
      </c>
      <c r="F794" s="3" t="s">
        <v>14207</v>
      </c>
      <c r="H794" s="3" t="s">
        <v>426</v>
      </c>
      <c r="K794" s="2">
        <v>10</v>
      </c>
      <c r="L794" s="2">
        <v>6</v>
      </c>
      <c r="M794" s="3" t="s">
        <v>1309</v>
      </c>
      <c r="N794" s="3" t="s">
        <v>24</v>
      </c>
      <c r="O794" s="3" t="s">
        <v>25</v>
      </c>
      <c r="Q794" s="30" t="str">
        <f t="shared" si="12"/>
        <v>MAX : 
TARGET : Yes (Pass)
MIN : No (Fail)</v>
      </c>
    </row>
    <row r="795" spans="2:17" ht="41.4" x14ac:dyDescent="0.3">
      <c r="B795">
        <v>0</v>
      </c>
      <c r="C795" s="33">
        <v>5781</v>
      </c>
      <c r="D795" s="2">
        <v>982</v>
      </c>
      <c r="E795" s="2" t="s">
        <v>7654</v>
      </c>
      <c r="F795" s="3" t="s">
        <v>14207</v>
      </c>
      <c r="H795" s="3" t="s">
        <v>426</v>
      </c>
      <c r="K795" s="2">
        <v>10</v>
      </c>
      <c r="L795" s="2">
        <v>7</v>
      </c>
      <c r="M795" s="3" t="s">
        <v>1310</v>
      </c>
      <c r="N795" s="3" t="s">
        <v>851</v>
      </c>
      <c r="O795" s="3" t="s">
        <v>852</v>
      </c>
      <c r="Q795" s="30" t="str">
        <f t="shared" si="12"/>
        <v>MAX : 
TARGET : Yes(pass)
MIN : No(fail)</v>
      </c>
    </row>
    <row r="796" spans="2:17" ht="41.4" x14ac:dyDescent="0.3">
      <c r="B796">
        <v>1</v>
      </c>
      <c r="C796" s="33">
        <v>5309</v>
      </c>
      <c r="D796" s="2">
        <v>1757</v>
      </c>
      <c r="E796" s="2" t="s">
        <v>7349</v>
      </c>
      <c r="F796" s="3" t="s">
        <v>14206</v>
      </c>
      <c r="H796" s="3" t="s">
        <v>1059</v>
      </c>
      <c r="K796" s="2">
        <v>30</v>
      </c>
      <c r="L796" s="2">
        <v>1</v>
      </c>
      <c r="M796" s="3" t="s">
        <v>788</v>
      </c>
      <c r="N796" s="3" t="s">
        <v>405</v>
      </c>
      <c r="O796" s="3" t="s">
        <v>406</v>
      </c>
      <c r="P796" s="3" t="s">
        <v>407</v>
      </c>
      <c r="Q796" s="30" t="str">
        <f t="shared" si="12"/>
        <v>MAX : 2.06
TARGET : 2.00
MIN : 1.94</v>
      </c>
    </row>
    <row r="797" spans="2:17" ht="41.4" x14ac:dyDescent="0.3">
      <c r="B797">
        <v>1</v>
      </c>
      <c r="C797" s="33">
        <v>5312</v>
      </c>
      <c r="D797" s="2">
        <v>1758</v>
      </c>
      <c r="E797" s="2" t="s">
        <v>7357</v>
      </c>
      <c r="F797" s="3" t="s">
        <v>14206</v>
      </c>
      <c r="H797" s="3" t="s">
        <v>66</v>
      </c>
      <c r="K797" s="2">
        <v>20</v>
      </c>
      <c r="L797" s="2">
        <v>1</v>
      </c>
      <c r="M797" s="3" t="s">
        <v>1655</v>
      </c>
      <c r="N797" s="3" t="s">
        <v>485</v>
      </c>
      <c r="O797" s="3" t="s">
        <v>272</v>
      </c>
      <c r="P797" s="3" t="s">
        <v>507</v>
      </c>
      <c r="Q797" s="30" t="str">
        <f t="shared" si="12"/>
        <v>MAX : 1.06
TARGET : 1.00
MIN : 0.94</v>
      </c>
    </row>
    <row r="798" spans="2:17" ht="41.4" x14ac:dyDescent="0.3">
      <c r="B798">
        <v>0</v>
      </c>
      <c r="C798" s="33">
        <v>5782</v>
      </c>
      <c r="D798" s="2">
        <v>983</v>
      </c>
      <c r="E798" s="2" t="s">
        <v>7661</v>
      </c>
      <c r="F798" s="3" t="s">
        <v>14207</v>
      </c>
      <c r="H798" s="3" t="s">
        <v>426</v>
      </c>
      <c r="K798" t="s">
        <v>6295</v>
      </c>
      <c r="L798" s="2">
        <v>3</v>
      </c>
      <c r="M798" s="3" t="s">
        <v>1314</v>
      </c>
      <c r="N798" s="3" t="s">
        <v>1315</v>
      </c>
      <c r="O798" s="3" t="s">
        <v>1316</v>
      </c>
      <c r="P798" s="3" t="s">
        <v>1317</v>
      </c>
      <c r="Q798" s="30" t="str">
        <f t="shared" si="12"/>
        <v>MAX : 32.57
TARGET : 29.37
MIN : 26.17</v>
      </c>
    </row>
    <row r="799" spans="2:17" ht="41.4" x14ac:dyDescent="0.3">
      <c r="B799">
        <v>0</v>
      </c>
      <c r="C799" s="33">
        <v>5782</v>
      </c>
      <c r="D799" s="2">
        <v>983</v>
      </c>
      <c r="E799" s="2" t="s">
        <v>7661</v>
      </c>
      <c r="F799" s="3" t="s">
        <v>14207</v>
      </c>
      <c r="H799" s="3" t="s">
        <v>426</v>
      </c>
      <c r="K799" t="s">
        <v>6295</v>
      </c>
      <c r="L799" s="2">
        <v>4</v>
      </c>
      <c r="M799" s="3" t="s">
        <v>1302</v>
      </c>
      <c r="N799" s="3" t="s">
        <v>1318</v>
      </c>
      <c r="O799" s="3" t="s">
        <v>1319</v>
      </c>
      <c r="P799" s="3" t="s">
        <v>1320</v>
      </c>
      <c r="Q799" s="30" t="str">
        <f t="shared" si="12"/>
        <v>MAX : 122.87
TARGET : 120.87
MIN : 118.87</v>
      </c>
    </row>
    <row r="800" spans="2:17" ht="41.4" x14ac:dyDescent="0.3">
      <c r="B800">
        <v>0</v>
      </c>
      <c r="C800" s="33">
        <v>5782</v>
      </c>
      <c r="D800" s="2">
        <v>983</v>
      </c>
      <c r="E800" s="2" t="s">
        <v>7661</v>
      </c>
      <c r="F800" s="3" t="s">
        <v>14207</v>
      </c>
      <c r="H800" s="3" t="s">
        <v>426</v>
      </c>
      <c r="K800" t="s">
        <v>6295</v>
      </c>
      <c r="L800" s="2">
        <v>5</v>
      </c>
      <c r="M800" s="3" t="s">
        <v>625</v>
      </c>
      <c r="N800" s="3" t="s">
        <v>1321</v>
      </c>
      <c r="O800" s="3" t="s">
        <v>1322</v>
      </c>
      <c r="P800" s="3" t="s">
        <v>1323</v>
      </c>
      <c r="Q800" s="30" t="str">
        <f t="shared" si="12"/>
        <v>MAX : 659.7
TARGET : 647.70
MIN : 635.7</v>
      </c>
    </row>
    <row r="801" spans="2:17" ht="41.4" x14ac:dyDescent="0.3">
      <c r="B801">
        <v>0</v>
      </c>
      <c r="C801" s="33">
        <v>5782</v>
      </c>
      <c r="D801" s="2">
        <v>983</v>
      </c>
      <c r="E801" s="2" t="s">
        <v>7661</v>
      </c>
      <c r="F801" s="3" t="s">
        <v>14207</v>
      </c>
      <c r="H801" s="3" t="s">
        <v>426</v>
      </c>
      <c r="K801" t="s">
        <v>6295</v>
      </c>
      <c r="L801" s="2">
        <v>6</v>
      </c>
      <c r="M801" s="3" t="s">
        <v>1309</v>
      </c>
      <c r="N801" s="3" t="s">
        <v>24</v>
      </c>
      <c r="O801" s="3" t="s">
        <v>25</v>
      </c>
      <c r="Q801" s="30" t="str">
        <f t="shared" si="12"/>
        <v>MAX : 
TARGET : Yes (Pass)
MIN : No (Fail)</v>
      </c>
    </row>
    <row r="802" spans="2:17" ht="41.4" x14ac:dyDescent="0.3">
      <c r="B802">
        <v>0</v>
      </c>
      <c r="C802" s="33">
        <v>5782</v>
      </c>
      <c r="D802" s="2">
        <v>983</v>
      </c>
      <c r="E802" s="2" t="s">
        <v>7661</v>
      </c>
      <c r="F802" s="3" t="s">
        <v>14207</v>
      </c>
      <c r="H802" s="3" t="s">
        <v>426</v>
      </c>
      <c r="K802" t="s">
        <v>6295</v>
      </c>
      <c r="L802" s="2">
        <v>7</v>
      </c>
      <c r="M802" s="3" t="s">
        <v>1310</v>
      </c>
      <c r="N802" s="3" t="s">
        <v>851</v>
      </c>
      <c r="O802" s="3" t="s">
        <v>852</v>
      </c>
      <c r="Q802" s="30" t="str">
        <f t="shared" si="12"/>
        <v>MAX : 
TARGET : Yes(pass)
MIN : No(fail)</v>
      </c>
    </row>
    <row r="803" spans="2:17" ht="41.4" x14ac:dyDescent="0.3">
      <c r="B803">
        <v>1</v>
      </c>
      <c r="C803" s="33">
        <v>5312</v>
      </c>
      <c r="D803" s="2">
        <v>1758</v>
      </c>
      <c r="E803" s="2" t="s">
        <v>7357</v>
      </c>
      <c r="F803" s="3" t="s">
        <v>14206</v>
      </c>
      <c r="H803" s="3" t="s">
        <v>66</v>
      </c>
      <c r="K803" s="2">
        <v>10</v>
      </c>
      <c r="L803" s="2">
        <v>1</v>
      </c>
      <c r="M803" s="3" t="s">
        <v>458</v>
      </c>
      <c r="N803" s="3" t="s">
        <v>1173</v>
      </c>
      <c r="O803" s="3" t="s">
        <v>250</v>
      </c>
      <c r="P803" s="3" t="s">
        <v>1174</v>
      </c>
      <c r="Q803" s="30" t="str">
        <f t="shared" si="12"/>
        <v>MAX : 6.06
TARGET : 6.00
MIN : 5.94</v>
      </c>
    </row>
    <row r="804" spans="2:17" ht="41.4" x14ac:dyDescent="0.3">
      <c r="B804">
        <v>1</v>
      </c>
      <c r="C804" s="33">
        <v>5312</v>
      </c>
      <c r="D804" s="2">
        <v>1758</v>
      </c>
      <c r="E804" s="2" t="s">
        <v>7357</v>
      </c>
      <c r="F804" s="3" t="s">
        <v>14206</v>
      </c>
      <c r="H804" s="3" t="s">
        <v>66</v>
      </c>
      <c r="K804" s="2">
        <v>20</v>
      </c>
      <c r="L804" s="2">
        <v>2</v>
      </c>
      <c r="M804" s="3" t="s">
        <v>800</v>
      </c>
      <c r="N804" s="3" t="s">
        <v>1656</v>
      </c>
      <c r="O804" s="3" t="s">
        <v>966</v>
      </c>
      <c r="P804" s="3" t="s">
        <v>1657</v>
      </c>
      <c r="Q804" s="30" t="str">
        <f t="shared" si="12"/>
        <v>MAX : 7.06
TARGET : 7.00
MIN : 6.94</v>
      </c>
    </row>
    <row r="805" spans="2:17" ht="41.4" x14ac:dyDescent="0.3">
      <c r="B805">
        <v>1</v>
      </c>
      <c r="C805" s="33">
        <v>5322</v>
      </c>
      <c r="D805" s="2">
        <v>1759</v>
      </c>
      <c r="E805" s="2" t="s">
        <v>7363</v>
      </c>
      <c r="F805" s="3" t="s">
        <v>14207</v>
      </c>
      <c r="H805" s="3" t="s">
        <v>1063</v>
      </c>
      <c r="K805" s="2">
        <v>20</v>
      </c>
      <c r="L805" s="2">
        <v>2</v>
      </c>
      <c r="M805" s="3" t="s">
        <v>1066</v>
      </c>
      <c r="N805" s="3" t="s">
        <v>1067</v>
      </c>
      <c r="O805" s="3" t="s">
        <v>1068</v>
      </c>
      <c r="Q805" s="30" t="str">
        <f t="shared" si="12"/>
        <v>MAX : 
TARGET : Yes
MIN : No</v>
      </c>
    </row>
    <row r="806" spans="2:17" ht="41.4" x14ac:dyDescent="0.3">
      <c r="B806">
        <v>1</v>
      </c>
      <c r="C806" s="33">
        <v>5322</v>
      </c>
      <c r="D806" s="2">
        <v>1759</v>
      </c>
      <c r="E806" s="2" t="s">
        <v>7363</v>
      </c>
      <c r="F806" s="3" t="s">
        <v>14207</v>
      </c>
      <c r="H806" s="3" t="s">
        <v>1063</v>
      </c>
      <c r="K806" s="2">
        <v>20</v>
      </c>
      <c r="L806" s="2">
        <v>1</v>
      </c>
      <c r="M806" s="3" t="s">
        <v>99</v>
      </c>
      <c r="N806" s="3" t="s">
        <v>1064</v>
      </c>
      <c r="O806" s="3" t="s">
        <v>1065</v>
      </c>
      <c r="P806" s="3" t="s">
        <v>388</v>
      </c>
      <c r="Q806" s="30" t="str">
        <f t="shared" si="12"/>
        <v>MAX : 6.0
TARGET : 5.0
MIN : 4.0</v>
      </c>
    </row>
    <row r="807" spans="2:17" ht="41.4" x14ac:dyDescent="0.3">
      <c r="B807">
        <v>0</v>
      </c>
      <c r="C807" s="33">
        <v>5851</v>
      </c>
      <c r="D807" s="2">
        <v>984</v>
      </c>
      <c r="E807" s="2" t="s">
        <v>7673</v>
      </c>
      <c r="F807" s="3" t="s">
        <v>14206</v>
      </c>
      <c r="H807" s="3" t="s">
        <v>1328</v>
      </c>
      <c r="K807" s="2">
        <v>10</v>
      </c>
      <c r="L807" s="2">
        <v>3</v>
      </c>
      <c r="M807" s="3" t="s">
        <v>638</v>
      </c>
      <c r="N807" s="3" t="s">
        <v>13</v>
      </c>
      <c r="O807" s="3" t="s">
        <v>14</v>
      </c>
      <c r="Q807" s="30" t="str">
        <f t="shared" si="12"/>
        <v>MAX : 
TARGET : Yes(Pass)
MIN : No(Fail)</v>
      </c>
    </row>
    <row r="808" spans="2:17" ht="41.4" x14ac:dyDescent="0.3">
      <c r="B808">
        <v>0</v>
      </c>
      <c r="C808" s="33">
        <v>5851</v>
      </c>
      <c r="D808" s="2">
        <v>984</v>
      </c>
      <c r="E808" s="2" t="s">
        <v>7673</v>
      </c>
      <c r="F808" s="3" t="s">
        <v>14206</v>
      </c>
      <c r="H808" s="3" t="s">
        <v>1328</v>
      </c>
      <c r="K808" s="2">
        <v>10</v>
      </c>
      <c r="L808" s="2">
        <v>4</v>
      </c>
      <c r="M808" s="3" t="s">
        <v>639</v>
      </c>
      <c r="N808" s="3" t="s">
        <v>13</v>
      </c>
      <c r="O808" s="3" t="s">
        <v>14</v>
      </c>
      <c r="Q808" s="30" t="str">
        <f t="shared" si="12"/>
        <v>MAX : 
TARGET : Yes(Pass)
MIN : No(Fail)</v>
      </c>
    </row>
    <row r="809" spans="2:17" ht="41.4" x14ac:dyDescent="0.3">
      <c r="B809">
        <v>1</v>
      </c>
      <c r="C809" s="33">
        <v>5322</v>
      </c>
      <c r="D809" s="2">
        <v>1759</v>
      </c>
      <c r="E809" s="2" t="s">
        <v>7363</v>
      </c>
      <c r="F809" s="3" t="s">
        <v>14207</v>
      </c>
      <c r="H809" s="3" t="s">
        <v>1063</v>
      </c>
      <c r="K809" s="2">
        <v>10</v>
      </c>
      <c r="L809" s="2">
        <v>1</v>
      </c>
      <c r="M809" s="3" t="s">
        <v>3195</v>
      </c>
      <c r="N809" s="3" t="s">
        <v>1067</v>
      </c>
      <c r="O809" s="3" t="s">
        <v>1068</v>
      </c>
      <c r="Q809" s="30" t="str">
        <f t="shared" si="12"/>
        <v>MAX : 
TARGET : Yes
MIN : No</v>
      </c>
    </row>
    <row r="810" spans="2:17" ht="41.4" x14ac:dyDescent="0.3">
      <c r="B810">
        <v>1</v>
      </c>
      <c r="C810" s="33">
        <v>5322</v>
      </c>
      <c r="D810" s="2">
        <v>1759</v>
      </c>
      <c r="E810" s="2" t="s">
        <v>7363</v>
      </c>
      <c r="F810" s="3" t="s">
        <v>14207</v>
      </c>
      <c r="H810" s="3" t="s">
        <v>1063</v>
      </c>
      <c r="K810" s="2">
        <v>10</v>
      </c>
      <c r="L810" s="2">
        <v>2</v>
      </c>
      <c r="M810" s="3" t="s">
        <v>3196</v>
      </c>
      <c r="N810" s="3" t="s">
        <v>1067</v>
      </c>
      <c r="O810" s="3" t="s">
        <v>1068</v>
      </c>
      <c r="Q810" s="30" t="str">
        <f t="shared" si="12"/>
        <v>MAX : 
TARGET : Yes
MIN : No</v>
      </c>
    </row>
    <row r="811" spans="2:17" ht="41.4" x14ac:dyDescent="0.3">
      <c r="B811">
        <v>0</v>
      </c>
      <c r="C811" s="33">
        <v>5855</v>
      </c>
      <c r="D811" s="2">
        <v>985</v>
      </c>
      <c r="E811" s="2" t="s">
        <v>7679</v>
      </c>
      <c r="F811" s="3" t="s">
        <v>14206</v>
      </c>
      <c r="H811" s="3" t="s">
        <v>1332</v>
      </c>
      <c r="K811" s="2">
        <v>10</v>
      </c>
      <c r="L811" s="2">
        <v>4</v>
      </c>
      <c r="M811" s="3" t="s">
        <v>1175</v>
      </c>
      <c r="N811" s="3" t="s">
        <v>1336</v>
      </c>
      <c r="O811" s="3" t="s">
        <v>457</v>
      </c>
      <c r="P811" s="3" t="s">
        <v>1337</v>
      </c>
      <c r="Q811" s="30" t="str">
        <f t="shared" si="12"/>
        <v>MAX : 14.25
TARGET : 14.00
MIN : 13.75</v>
      </c>
    </row>
    <row r="812" spans="2:17" ht="41.4" x14ac:dyDescent="0.3">
      <c r="B812">
        <v>0</v>
      </c>
      <c r="C812" s="33">
        <v>5855</v>
      </c>
      <c r="D812" s="2">
        <v>985</v>
      </c>
      <c r="E812" s="2" t="s">
        <v>7679</v>
      </c>
      <c r="F812" s="3" t="s">
        <v>14206</v>
      </c>
      <c r="H812" s="3" t="s">
        <v>1332</v>
      </c>
      <c r="K812" s="2">
        <v>10</v>
      </c>
      <c r="L812" s="2">
        <v>5</v>
      </c>
      <c r="M812" s="3" t="s">
        <v>1177</v>
      </c>
      <c r="N812" s="3" t="s">
        <v>13</v>
      </c>
      <c r="O812" s="3" t="s">
        <v>14</v>
      </c>
      <c r="Q812" s="30" t="str">
        <f t="shared" si="12"/>
        <v>MAX : 
TARGET : Yes(Pass)
MIN : No(Fail)</v>
      </c>
    </row>
    <row r="813" spans="2:17" ht="41.4" x14ac:dyDescent="0.3">
      <c r="B813">
        <v>0</v>
      </c>
      <c r="C813" s="33">
        <v>5855</v>
      </c>
      <c r="D813" s="2">
        <v>985</v>
      </c>
      <c r="E813" s="2" t="s">
        <v>7679</v>
      </c>
      <c r="F813" s="3" t="s">
        <v>14206</v>
      </c>
      <c r="H813" s="3" t="s">
        <v>1332</v>
      </c>
      <c r="K813" s="2">
        <v>10</v>
      </c>
      <c r="L813" s="2">
        <v>8</v>
      </c>
      <c r="M813" s="3" t="s">
        <v>1338</v>
      </c>
      <c r="N813" s="3" t="s">
        <v>13</v>
      </c>
      <c r="O813" s="3" t="s">
        <v>14</v>
      </c>
      <c r="Q813" s="30" t="str">
        <f t="shared" si="12"/>
        <v>MAX : 
TARGET : Yes(Pass)
MIN : No(Fail)</v>
      </c>
    </row>
    <row r="814" spans="2:17" ht="41.4" x14ac:dyDescent="0.3">
      <c r="B814">
        <v>0</v>
      </c>
      <c r="C814" s="33">
        <v>5855</v>
      </c>
      <c r="D814" s="2">
        <v>985</v>
      </c>
      <c r="E814" s="2" t="s">
        <v>7679</v>
      </c>
      <c r="F814" s="3" t="s">
        <v>14206</v>
      </c>
      <c r="H814" s="3" t="s">
        <v>1332</v>
      </c>
      <c r="K814" s="2">
        <v>10</v>
      </c>
      <c r="L814" s="2">
        <v>6</v>
      </c>
      <c r="M814" s="3" t="s">
        <v>1179</v>
      </c>
      <c r="N814" s="3" t="s">
        <v>13</v>
      </c>
      <c r="O814" s="3" t="s">
        <v>14</v>
      </c>
      <c r="Q814" s="30" t="str">
        <f t="shared" si="12"/>
        <v>MAX : 
TARGET : Yes(Pass)
MIN : No(Fail)</v>
      </c>
    </row>
    <row r="815" spans="2:17" ht="41.4" x14ac:dyDescent="0.3">
      <c r="B815">
        <v>0</v>
      </c>
      <c r="C815" s="33">
        <v>5855</v>
      </c>
      <c r="D815" s="2">
        <v>985</v>
      </c>
      <c r="E815" s="2" t="s">
        <v>7679</v>
      </c>
      <c r="F815" s="3" t="s">
        <v>14206</v>
      </c>
      <c r="H815" s="3" t="s">
        <v>1332</v>
      </c>
      <c r="K815" s="2">
        <v>10</v>
      </c>
      <c r="L815" s="2">
        <v>7</v>
      </c>
      <c r="M815" s="3" t="s">
        <v>1180</v>
      </c>
      <c r="N815" s="3" t="s">
        <v>13</v>
      </c>
      <c r="O815" s="3" t="s">
        <v>14</v>
      </c>
      <c r="Q815" s="30" t="str">
        <f t="shared" si="12"/>
        <v>MAX : 
TARGET : Yes(Pass)
MIN : No(Fail)</v>
      </c>
    </row>
    <row r="816" spans="2:17" ht="41.4" x14ac:dyDescent="0.3">
      <c r="B816">
        <v>0</v>
      </c>
      <c r="C816" s="33">
        <v>5855</v>
      </c>
      <c r="D816" s="2">
        <v>985</v>
      </c>
      <c r="E816" s="2" t="s">
        <v>7679</v>
      </c>
      <c r="F816" s="3" t="s">
        <v>14206</v>
      </c>
      <c r="H816" s="3" t="s">
        <v>1332</v>
      </c>
      <c r="K816" s="2">
        <v>10</v>
      </c>
      <c r="L816" s="2">
        <v>9</v>
      </c>
      <c r="M816" s="3" t="s">
        <v>1181</v>
      </c>
      <c r="N816" s="3" t="s">
        <v>13</v>
      </c>
      <c r="O816" s="3" t="s">
        <v>14</v>
      </c>
      <c r="Q816" s="30" t="str">
        <f t="shared" si="12"/>
        <v>MAX : 
TARGET : Yes(Pass)
MIN : No(Fail)</v>
      </c>
    </row>
    <row r="817" spans="2:18" ht="41.4" x14ac:dyDescent="0.3">
      <c r="B817">
        <v>0</v>
      </c>
      <c r="C817" s="33">
        <v>5855</v>
      </c>
      <c r="D817" s="2">
        <v>985</v>
      </c>
      <c r="E817" s="2" t="s">
        <v>7679</v>
      </c>
      <c r="F817" s="3" t="s">
        <v>14206</v>
      </c>
      <c r="H817" s="3" t="s">
        <v>1332</v>
      </c>
      <c r="K817" s="2">
        <v>10</v>
      </c>
      <c r="L817" s="2">
        <v>1</v>
      </c>
      <c r="M817" s="3" t="s">
        <v>1339</v>
      </c>
      <c r="N817" s="3" t="s">
        <v>13</v>
      </c>
      <c r="O817" s="3" t="s">
        <v>14</v>
      </c>
      <c r="Q817" s="30" t="str">
        <f t="shared" si="12"/>
        <v>MAX : 
TARGET : Yes(Pass)
MIN : No(Fail)</v>
      </c>
    </row>
    <row r="818" spans="2:18" ht="41.4" x14ac:dyDescent="0.3">
      <c r="B818">
        <v>1</v>
      </c>
      <c r="C818" s="33">
        <v>5354</v>
      </c>
      <c r="D818" s="2">
        <v>956</v>
      </c>
      <c r="E818" s="2" t="s">
        <v>7370</v>
      </c>
      <c r="F818" s="3" t="s">
        <v>14206</v>
      </c>
      <c r="H818" s="3" t="s">
        <v>1069</v>
      </c>
      <c r="K818" s="2">
        <v>20</v>
      </c>
      <c r="L818" s="2">
        <v>2</v>
      </c>
      <c r="M818" s="3" t="s">
        <v>18</v>
      </c>
      <c r="N818" s="3" t="s">
        <v>1070</v>
      </c>
      <c r="O818" s="3" t="s">
        <v>742</v>
      </c>
      <c r="P818" s="3" t="s">
        <v>1071</v>
      </c>
      <c r="Q818" s="30" t="str">
        <f t="shared" si="12"/>
        <v>MAX : 3.155
TARGET : 3.125
MIN : 3.095</v>
      </c>
    </row>
    <row r="819" spans="2:18" ht="41.4" x14ac:dyDescent="0.3">
      <c r="B819">
        <v>1</v>
      </c>
      <c r="C819" s="33">
        <v>5354</v>
      </c>
      <c r="D819" s="2">
        <v>956</v>
      </c>
      <c r="E819" s="2" t="s">
        <v>7370</v>
      </c>
      <c r="F819" s="3" t="s">
        <v>14206</v>
      </c>
      <c r="H819" s="3" t="s">
        <v>1069</v>
      </c>
      <c r="K819" s="2">
        <v>20</v>
      </c>
      <c r="L819" s="2">
        <v>1</v>
      </c>
      <c r="M819" s="3" t="s">
        <v>22</v>
      </c>
      <c r="N819" s="3" t="s">
        <v>641</v>
      </c>
      <c r="O819" s="3" t="s">
        <v>101</v>
      </c>
      <c r="P819" s="3" t="s">
        <v>642</v>
      </c>
      <c r="Q819" s="30" t="str">
        <f t="shared" si="12"/>
        <v>MAX : 0.655
TARGET : 0.625
MIN : 0.595</v>
      </c>
    </row>
    <row r="820" spans="2:18" ht="41.4" x14ac:dyDescent="0.3">
      <c r="B820">
        <v>0</v>
      </c>
      <c r="C820" s="33">
        <v>5898</v>
      </c>
      <c r="D820" s="2">
        <v>986</v>
      </c>
      <c r="E820" s="2" t="s">
        <v>7694</v>
      </c>
      <c r="F820" s="3" t="s">
        <v>14206</v>
      </c>
      <c r="H820" s="3" t="s">
        <v>504</v>
      </c>
      <c r="K820" s="2">
        <v>10</v>
      </c>
      <c r="L820" s="2">
        <v>3</v>
      </c>
      <c r="M820" s="3" t="s">
        <v>1341</v>
      </c>
      <c r="N820" s="3" t="s">
        <v>13</v>
      </c>
      <c r="O820" s="3" t="s">
        <v>14</v>
      </c>
      <c r="Q820" s="30" t="str">
        <f t="shared" si="12"/>
        <v>MAX : 
TARGET : Yes(Pass)
MIN : No(Fail)</v>
      </c>
    </row>
    <row r="821" spans="2:18" ht="41.4" x14ac:dyDescent="0.3">
      <c r="B821">
        <v>1</v>
      </c>
      <c r="C821" s="33">
        <v>5371</v>
      </c>
      <c r="D821" s="2">
        <v>957</v>
      </c>
      <c r="E821" s="2" t="s">
        <v>7377</v>
      </c>
      <c r="F821" s="3" t="s">
        <v>14206</v>
      </c>
      <c r="H821" s="3" t="s">
        <v>1080</v>
      </c>
      <c r="K821" s="2">
        <v>20</v>
      </c>
      <c r="L821" s="2">
        <v>2</v>
      </c>
      <c r="M821" s="3" t="s">
        <v>194</v>
      </c>
      <c r="N821" s="3" t="s">
        <v>131</v>
      </c>
      <c r="O821" s="3" t="s">
        <v>132</v>
      </c>
      <c r="P821" s="3" t="s">
        <v>133</v>
      </c>
      <c r="Q821" s="30" t="str">
        <f t="shared" si="12"/>
        <v>MAX : 0.78
TARGET : 0.75
MIN : 0.72</v>
      </c>
    </row>
    <row r="822" spans="2:18" ht="41.4" x14ac:dyDescent="0.3">
      <c r="B822">
        <v>1</v>
      </c>
      <c r="C822" s="33">
        <v>5371</v>
      </c>
      <c r="D822" s="2">
        <v>957</v>
      </c>
      <c r="E822" s="2" t="s">
        <v>7377</v>
      </c>
      <c r="F822" s="3" t="s">
        <v>14206</v>
      </c>
      <c r="H822" s="3" t="s">
        <v>1080</v>
      </c>
      <c r="K822" s="2">
        <v>20</v>
      </c>
      <c r="L822" s="2">
        <v>1</v>
      </c>
      <c r="M822" s="3" t="s">
        <v>198</v>
      </c>
      <c r="N822" s="3" t="s">
        <v>814</v>
      </c>
      <c r="O822" s="3" t="s">
        <v>815</v>
      </c>
      <c r="P822" s="3" t="s">
        <v>816</v>
      </c>
      <c r="Q822" s="30" t="str">
        <f t="shared" si="12"/>
        <v>MAX : 3.03
TARGET : 3.00
MIN : 2.97</v>
      </c>
    </row>
    <row r="823" spans="2:18" ht="41.4" x14ac:dyDescent="0.3">
      <c r="B823">
        <v>0</v>
      </c>
      <c r="C823" s="33">
        <v>5899</v>
      </c>
      <c r="D823" s="2">
        <v>987</v>
      </c>
      <c r="E823" s="2" t="s">
        <v>7701</v>
      </c>
      <c r="F823" s="3" t="s">
        <v>14206</v>
      </c>
      <c r="H823" s="3" t="s">
        <v>504</v>
      </c>
      <c r="K823" s="2">
        <v>10</v>
      </c>
      <c r="L823" s="2">
        <v>3</v>
      </c>
      <c r="M823" s="3" t="s">
        <v>1341</v>
      </c>
      <c r="N823" s="3" t="s">
        <v>13</v>
      </c>
      <c r="O823" s="3" t="s">
        <v>14</v>
      </c>
      <c r="Q823" s="30" t="str">
        <f t="shared" si="12"/>
        <v>MAX : 
TARGET : Yes(Pass)
MIN : No(Fail)</v>
      </c>
    </row>
    <row r="824" spans="2:18" ht="41.4" x14ac:dyDescent="0.3">
      <c r="B824">
        <v>1</v>
      </c>
      <c r="C824" s="33">
        <v>5395</v>
      </c>
      <c r="D824" s="2">
        <v>1760</v>
      </c>
      <c r="E824" s="2" t="s">
        <v>7383</v>
      </c>
      <c r="F824" s="3" t="s">
        <v>14207</v>
      </c>
      <c r="H824" s="3" t="s">
        <v>289</v>
      </c>
      <c r="K824" s="2">
        <v>10</v>
      </c>
      <c r="L824" s="2">
        <v>2</v>
      </c>
      <c r="M824" s="3" t="s">
        <v>51</v>
      </c>
      <c r="N824" s="3" t="s">
        <v>67</v>
      </c>
      <c r="O824" s="3" t="s">
        <v>68</v>
      </c>
      <c r="P824" s="3" t="s">
        <v>69</v>
      </c>
      <c r="Q824" s="30" t="str">
        <f t="shared" si="12"/>
        <v>MAX : 20
TARGET : 19
MIN : 18</v>
      </c>
    </row>
    <row r="825" spans="2:18" ht="41.4" x14ac:dyDescent="0.3">
      <c r="B825">
        <v>1</v>
      </c>
      <c r="C825" s="33">
        <v>5395</v>
      </c>
      <c r="D825" s="2">
        <v>1760</v>
      </c>
      <c r="E825" s="2" t="s">
        <v>7383</v>
      </c>
      <c r="F825" s="3" t="s">
        <v>14207</v>
      </c>
      <c r="H825" s="3" t="s">
        <v>289</v>
      </c>
      <c r="K825" s="2">
        <v>10</v>
      </c>
      <c r="L825" s="2">
        <v>1</v>
      </c>
      <c r="M825" s="3" t="s">
        <v>55</v>
      </c>
      <c r="N825" s="3" t="s">
        <v>67</v>
      </c>
      <c r="O825" s="3" t="s">
        <v>68</v>
      </c>
      <c r="P825" s="3" t="s">
        <v>69</v>
      </c>
      <c r="Q825" s="30" t="str">
        <f t="shared" si="12"/>
        <v>MAX : 20
TARGET : 19
MIN : 18</v>
      </c>
    </row>
    <row r="826" spans="2:18" ht="41.4" x14ac:dyDescent="0.3">
      <c r="B826">
        <v>1</v>
      </c>
      <c r="C826" s="33">
        <v>5395</v>
      </c>
      <c r="D826" s="2">
        <v>1760</v>
      </c>
      <c r="E826" s="2" t="s">
        <v>7383</v>
      </c>
      <c r="F826" s="3" t="s">
        <v>14207</v>
      </c>
      <c r="H826" s="3" t="s">
        <v>289</v>
      </c>
      <c r="K826" s="2">
        <v>10</v>
      </c>
      <c r="L826" s="2">
        <v>4</v>
      </c>
      <c r="M826" s="3" t="s">
        <v>72</v>
      </c>
      <c r="N826" s="3" t="s">
        <v>13</v>
      </c>
      <c r="O826" s="3" t="s">
        <v>14</v>
      </c>
      <c r="Q826" s="30" t="str">
        <f t="shared" si="12"/>
        <v>MAX : 
TARGET : Yes(Pass)
MIN : No(Fail)</v>
      </c>
    </row>
    <row r="827" spans="2:18" ht="41.4" x14ac:dyDescent="0.3">
      <c r="B827">
        <v>1</v>
      </c>
      <c r="C827" s="33">
        <v>5457</v>
      </c>
      <c r="D827" s="2">
        <v>1761</v>
      </c>
      <c r="E827" s="2" t="s">
        <v>7389</v>
      </c>
      <c r="F827" s="3" t="s">
        <v>14207</v>
      </c>
      <c r="H827" s="3" t="s">
        <v>1084</v>
      </c>
      <c r="K827" t="s">
        <v>6295</v>
      </c>
      <c r="Q827" s="30" t="str">
        <f t="shared" si="12"/>
        <v xml:space="preserve">MAX : 
TARGET : 
MIN : </v>
      </c>
      <c r="R827" s="3" t="s">
        <v>762</v>
      </c>
    </row>
    <row r="828" spans="2:18" ht="41.4" x14ac:dyDescent="0.3">
      <c r="B828">
        <v>1</v>
      </c>
      <c r="C828" s="33">
        <v>5470</v>
      </c>
      <c r="D828" s="2">
        <v>958</v>
      </c>
      <c r="E828" s="2" t="s">
        <v>7396</v>
      </c>
      <c r="F828" s="3" t="s">
        <v>14206</v>
      </c>
      <c r="H828" s="3" t="s">
        <v>469</v>
      </c>
      <c r="K828" s="2">
        <v>20</v>
      </c>
      <c r="L828" s="2">
        <v>2</v>
      </c>
      <c r="M828" s="3" t="s">
        <v>22</v>
      </c>
      <c r="N828" s="3" t="s">
        <v>295</v>
      </c>
      <c r="O828" s="3" t="s">
        <v>1094</v>
      </c>
      <c r="P828" s="3" t="s">
        <v>1095</v>
      </c>
      <c r="Q828" s="30" t="str">
        <f t="shared" si="12"/>
        <v>MAX : 5.40
TARGET : 5.34
MIN : 5.28</v>
      </c>
    </row>
    <row r="829" spans="2:18" ht="41.4" x14ac:dyDescent="0.3">
      <c r="B829">
        <v>1</v>
      </c>
      <c r="C829" s="33">
        <v>5470</v>
      </c>
      <c r="D829" s="2">
        <v>958</v>
      </c>
      <c r="E829" s="2" t="s">
        <v>7396</v>
      </c>
      <c r="F829" s="3" t="s">
        <v>14206</v>
      </c>
      <c r="H829" s="3" t="s">
        <v>469</v>
      </c>
      <c r="K829" s="2">
        <v>20</v>
      </c>
      <c r="L829" s="2">
        <v>1</v>
      </c>
      <c r="M829" s="3" t="s">
        <v>194</v>
      </c>
      <c r="N829" s="3" t="s">
        <v>1091</v>
      </c>
      <c r="O829" s="3" t="s">
        <v>1092</v>
      </c>
      <c r="P829" s="3" t="s">
        <v>1093</v>
      </c>
      <c r="Q829" s="30" t="str">
        <f t="shared" si="12"/>
        <v>MAX : 6.81
TARGET : 6.75
MIN : 6.69</v>
      </c>
    </row>
    <row r="830" spans="2:18" ht="41.4" x14ac:dyDescent="0.3">
      <c r="B830">
        <v>0</v>
      </c>
      <c r="C830" s="33">
        <v>5875</v>
      </c>
      <c r="D830" s="2">
        <v>1778</v>
      </c>
      <c r="E830" s="2" t="s">
        <v>7687</v>
      </c>
      <c r="F830" s="3" t="s">
        <v>14207</v>
      </c>
      <c r="H830" s="3" t="s">
        <v>1349</v>
      </c>
      <c r="K830" s="2">
        <v>30</v>
      </c>
      <c r="L830" s="2">
        <v>3</v>
      </c>
      <c r="M830" s="3" t="s">
        <v>1357</v>
      </c>
      <c r="N830" s="3" t="s">
        <v>1351</v>
      </c>
      <c r="O830" s="3" t="s">
        <v>1352</v>
      </c>
      <c r="P830" s="3" t="s">
        <v>1354</v>
      </c>
      <c r="Q830" s="30" t="str">
        <f t="shared" si="12"/>
        <v>MAX : 9.0
TARGET : 8.5
MIN : 8.0</v>
      </c>
    </row>
    <row r="831" spans="2:18" ht="41.4" x14ac:dyDescent="0.3">
      <c r="B831">
        <v>0</v>
      </c>
      <c r="C831" s="33">
        <v>5875</v>
      </c>
      <c r="D831" s="2">
        <v>1778</v>
      </c>
      <c r="E831" s="2" t="s">
        <v>7687</v>
      </c>
      <c r="F831" s="3" t="s">
        <v>14207</v>
      </c>
      <c r="H831" s="3" t="s">
        <v>1349</v>
      </c>
      <c r="K831" s="2">
        <v>30</v>
      </c>
      <c r="L831" s="2">
        <v>4</v>
      </c>
      <c r="M831" s="3" t="s">
        <v>1358</v>
      </c>
      <c r="N831" s="3" t="s">
        <v>300</v>
      </c>
      <c r="O831" s="3" t="s">
        <v>1359</v>
      </c>
      <c r="P831" s="3" t="s">
        <v>1360</v>
      </c>
      <c r="Q831" s="30" t="str">
        <f t="shared" si="12"/>
        <v>MAX : 45
TARGET : 40
MIN : 35</v>
      </c>
    </row>
    <row r="832" spans="2:18" ht="41.4" x14ac:dyDescent="0.3">
      <c r="B832">
        <v>0</v>
      </c>
      <c r="C832" s="33">
        <v>5875</v>
      </c>
      <c r="D832" s="2">
        <v>1778</v>
      </c>
      <c r="E832" s="2" t="s">
        <v>7687</v>
      </c>
      <c r="F832" s="3" t="s">
        <v>14207</v>
      </c>
      <c r="H832" s="3" t="s">
        <v>1349</v>
      </c>
      <c r="K832" s="2">
        <v>30</v>
      </c>
      <c r="L832" s="2">
        <v>5</v>
      </c>
      <c r="M832" s="3" t="s">
        <v>1361</v>
      </c>
      <c r="N832" s="3" t="s">
        <v>1362</v>
      </c>
      <c r="O832" s="3" t="s">
        <v>300</v>
      </c>
      <c r="P832" s="3" t="s">
        <v>1359</v>
      </c>
      <c r="Q832" s="30" t="str">
        <f t="shared" si="12"/>
        <v>MAX : 40
TARGET : 35
MIN : 30</v>
      </c>
    </row>
    <row r="833" spans="2:18" ht="41.4" x14ac:dyDescent="0.3">
      <c r="B833">
        <v>0</v>
      </c>
      <c r="C833" s="33">
        <v>5875</v>
      </c>
      <c r="D833" s="2">
        <v>1778</v>
      </c>
      <c r="E833" s="2" t="s">
        <v>7687</v>
      </c>
      <c r="F833" s="3" t="s">
        <v>14207</v>
      </c>
      <c r="H833" s="3" t="s">
        <v>1349</v>
      </c>
      <c r="K833" s="2">
        <v>30</v>
      </c>
      <c r="L833" s="2">
        <v>6</v>
      </c>
      <c r="M833" s="3" t="s">
        <v>1363</v>
      </c>
      <c r="N833" s="3" t="s">
        <v>13</v>
      </c>
      <c r="O833" s="3" t="s">
        <v>14</v>
      </c>
      <c r="Q833" s="30" t="str">
        <f t="shared" si="12"/>
        <v>MAX : 
TARGET : Yes(Pass)
MIN : No(Fail)</v>
      </c>
    </row>
    <row r="834" spans="2:18" ht="41.4" x14ac:dyDescent="0.3">
      <c r="B834">
        <v>0</v>
      </c>
      <c r="C834" s="33">
        <v>5875</v>
      </c>
      <c r="D834" s="2">
        <v>1778</v>
      </c>
      <c r="E834" s="2" t="s">
        <v>7687</v>
      </c>
      <c r="F834" s="3" t="s">
        <v>14207</v>
      </c>
      <c r="H834" s="3" t="s">
        <v>1349</v>
      </c>
      <c r="K834" s="2">
        <v>30</v>
      </c>
      <c r="L834" s="2">
        <v>7</v>
      </c>
      <c r="M834" s="3" t="s">
        <v>1364</v>
      </c>
      <c r="N834" s="3" t="s">
        <v>13</v>
      </c>
      <c r="O834" s="3" t="s">
        <v>14</v>
      </c>
      <c r="Q834" s="30" t="str">
        <f t="shared" ref="Q834:Q897" si="13">"MAX : " &amp; P834 &amp; CHAR(10) &amp; "TARGET : " &amp; O834 &amp; CHAR(10) &amp; "MIN : " &amp; N834</f>
        <v>MAX : 
TARGET : Yes(Pass)
MIN : No(Fail)</v>
      </c>
    </row>
    <row r="835" spans="2:18" ht="41.4" x14ac:dyDescent="0.3">
      <c r="B835">
        <v>0</v>
      </c>
      <c r="C835" s="33">
        <v>5875</v>
      </c>
      <c r="D835" s="2">
        <v>1778</v>
      </c>
      <c r="E835" s="2" t="s">
        <v>7687</v>
      </c>
      <c r="F835" s="3" t="s">
        <v>14207</v>
      </c>
      <c r="H835" s="3" t="s">
        <v>1349</v>
      </c>
      <c r="K835" s="2">
        <v>30</v>
      </c>
      <c r="L835" s="2">
        <v>8</v>
      </c>
      <c r="M835" s="3" t="s">
        <v>1365</v>
      </c>
      <c r="N835" s="3" t="s">
        <v>13</v>
      </c>
      <c r="O835" s="3" t="s">
        <v>14</v>
      </c>
      <c r="Q835" s="30" t="str">
        <f t="shared" si="13"/>
        <v>MAX : 
TARGET : Yes(Pass)
MIN : No(Fail)</v>
      </c>
    </row>
    <row r="836" spans="2:18" ht="41.4" x14ac:dyDescent="0.3">
      <c r="B836">
        <v>1</v>
      </c>
      <c r="C836" s="33">
        <v>5473</v>
      </c>
      <c r="D836" s="2">
        <v>959</v>
      </c>
      <c r="E836" s="2" t="s">
        <v>7403</v>
      </c>
      <c r="F836" s="3" t="s">
        <v>14206</v>
      </c>
      <c r="H836" s="3" t="s">
        <v>426</v>
      </c>
      <c r="K836" s="2">
        <v>10</v>
      </c>
      <c r="L836" s="2">
        <v>2</v>
      </c>
      <c r="M836" s="3" t="s">
        <v>1086</v>
      </c>
      <c r="N836" s="3" t="s">
        <v>1087</v>
      </c>
      <c r="O836" s="3" t="s">
        <v>1087</v>
      </c>
      <c r="P836" s="3" t="s">
        <v>1088</v>
      </c>
      <c r="Q836" s="30" t="str">
        <f t="shared" si="13"/>
        <v>MAX : 4.502
TARGET : 4.492
MIN : 4.492</v>
      </c>
    </row>
    <row r="837" spans="2:18" ht="41.4" x14ac:dyDescent="0.3">
      <c r="B837">
        <v>1</v>
      </c>
      <c r="C837" s="33">
        <v>5473</v>
      </c>
      <c r="D837" s="2">
        <v>959</v>
      </c>
      <c r="E837" s="2" t="s">
        <v>7403</v>
      </c>
      <c r="F837" s="3" t="s">
        <v>14206</v>
      </c>
      <c r="H837" s="3" t="s">
        <v>426</v>
      </c>
      <c r="K837" s="2">
        <v>10</v>
      </c>
      <c r="L837" s="2">
        <v>1</v>
      </c>
      <c r="M837" s="3" t="s">
        <v>194</v>
      </c>
      <c r="N837" s="3" t="s">
        <v>132</v>
      </c>
      <c r="O837" s="3" t="s">
        <v>132</v>
      </c>
      <c r="P837" s="3" t="s">
        <v>1085</v>
      </c>
      <c r="Q837" s="30" t="str">
        <f t="shared" si="13"/>
        <v>MAX : 0.76
TARGET : 0.75
MIN : 0.75</v>
      </c>
    </row>
    <row r="838" spans="2:18" ht="41.4" x14ac:dyDescent="0.3">
      <c r="B838">
        <v>1</v>
      </c>
      <c r="C838" s="33">
        <v>5494</v>
      </c>
      <c r="D838" s="2">
        <v>1762</v>
      </c>
      <c r="E838" s="2" t="s">
        <v>7411</v>
      </c>
      <c r="F838" s="3" t="s">
        <v>14206</v>
      </c>
      <c r="H838" s="3" t="s">
        <v>269</v>
      </c>
      <c r="K838" s="2">
        <v>10</v>
      </c>
      <c r="L838" s="2">
        <v>2</v>
      </c>
      <c r="M838" s="3" t="s">
        <v>1100</v>
      </c>
      <c r="N838" s="3" t="s">
        <v>663</v>
      </c>
      <c r="O838" s="3" t="s">
        <v>664</v>
      </c>
      <c r="Q838" s="30" t="str">
        <f t="shared" si="13"/>
        <v>MAX : 
TARGET : Y (Pass)
MIN : N</v>
      </c>
    </row>
    <row r="839" spans="2:18" ht="41.4" x14ac:dyDescent="0.3">
      <c r="B839">
        <v>0</v>
      </c>
      <c r="C839" s="33">
        <v>5909</v>
      </c>
      <c r="D839" s="2">
        <v>1781</v>
      </c>
      <c r="E839" s="2" t="s">
        <v>7726</v>
      </c>
      <c r="F839" s="3" t="s">
        <v>14206</v>
      </c>
      <c r="H839" s="3" t="s">
        <v>1270</v>
      </c>
      <c r="K839" s="2">
        <v>10</v>
      </c>
      <c r="L839" s="2">
        <v>3</v>
      </c>
      <c r="M839" s="3" t="s">
        <v>265</v>
      </c>
      <c r="N839" s="3" t="s">
        <v>13</v>
      </c>
      <c r="O839" s="3" t="s">
        <v>14</v>
      </c>
      <c r="Q839" s="30" t="str">
        <f t="shared" si="13"/>
        <v>MAX : 
TARGET : Yes(Pass)
MIN : No(Fail)</v>
      </c>
    </row>
    <row r="840" spans="2:18" ht="41.4" x14ac:dyDescent="0.3">
      <c r="B840">
        <v>0</v>
      </c>
      <c r="C840" s="33">
        <v>5909</v>
      </c>
      <c r="D840" s="2">
        <v>1781</v>
      </c>
      <c r="E840" s="2" t="s">
        <v>7726</v>
      </c>
      <c r="F840" s="3" t="s">
        <v>14206</v>
      </c>
      <c r="H840" s="3" t="s">
        <v>1270</v>
      </c>
      <c r="K840" s="2">
        <v>10</v>
      </c>
      <c r="L840" s="2">
        <v>4</v>
      </c>
      <c r="M840" s="3" t="s">
        <v>1273</v>
      </c>
      <c r="N840" s="3" t="s">
        <v>13</v>
      </c>
      <c r="O840" s="3" t="s">
        <v>14</v>
      </c>
      <c r="Q840" s="30" t="str">
        <f t="shared" si="13"/>
        <v>MAX : 
TARGET : Yes(Pass)
MIN : No(Fail)</v>
      </c>
    </row>
    <row r="841" spans="2:18" ht="41.4" x14ac:dyDescent="0.3">
      <c r="B841">
        <v>0</v>
      </c>
      <c r="C841" s="33">
        <v>5909</v>
      </c>
      <c r="D841" s="2">
        <v>1781</v>
      </c>
      <c r="E841" s="2" t="s">
        <v>7726</v>
      </c>
      <c r="F841" s="3" t="s">
        <v>14206</v>
      </c>
      <c r="H841" s="3" t="s">
        <v>1270</v>
      </c>
      <c r="K841" s="2">
        <v>10</v>
      </c>
      <c r="L841" s="2">
        <v>5</v>
      </c>
      <c r="M841" s="3" t="s">
        <v>318</v>
      </c>
      <c r="N841" s="3" t="s">
        <v>13</v>
      </c>
      <c r="O841" s="3" t="s">
        <v>14</v>
      </c>
      <c r="Q841" s="30" t="str">
        <f t="shared" si="13"/>
        <v>MAX : 
TARGET : Yes(Pass)
MIN : No(Fail)</v>
      </c>
    </row>
    <row r="842" spans="2:18" ht="41.4" x14ac:dyDescent="0.3">
      <c r="B842">
        <v>1</v>
      </c>
      <c r="C842" s="33">
        <v>5494</v>
      </c>
      <c r="D842" s="2">
        <v>1762</v>
      </c>
      <c r="E842" s="2" t="s">
        <v>7411</v>
      </c>
      <c r="F842" s="3" t="s">
        <v>14206</v>
      </c>
      <c r="H842" s="3" t="s">
        <v>269</v>
      </c>
      <c r="K842" s="2">
        <v>10</v>
      </c>
      <c r="L842" s="2">
        <v>1</v>
      </c>
      <c r="M842" s="3" t="s">
        <v>307</v>
      </c>
      <c r="N842" s="3" t="s">
        <v>1097</v>
      </c>
      <c r="O842" s="3" t="s">
        <v>1098</v>
      </c>
      <c r="P842" s="3" t="s">
        <v>1099</v>
      </c>
      <c r="Q842" s="30" t="str">
        <f t="shared" si="13"/>
        <v>MAX : 10.06
TARGET : 10.00
MIN : 9.94</v>
      </c>
    </row>
    <row r="843" spans="2:18" ht="41.4" x14ac:dyDescent="0.3">
      <c r="B843">
        <v>1</v>
      </c>
      <c r="C843" s="33">
        <v>5541</v>
      </c>
      <c r="D843" s="2">
        <v>960</v>
      </c>
      <c r="E843" s="2" t="s">
        <v>7417</v>
      </c>
      <c r="F843" s="3" t="s">
        <v>14206</v>
      </c>
      <c r="H843" s="3" t="s">
        <v>922</v>
      </c>
      <c r="K843" s="2">
        <v>10</v>
      </c>
      <c r="L843" s="2">
        <v>2</v>
      </c>
      <c r="M843" s="3" t="s">
        <v>18</v>
      </c>
      <c r="N843" s="3" t="s">
        <v>927</v>
      </c>
      <c r="O843" s="3" t="s">
        <v>276</v>
      </c>
      <c r="P843" s="3" t="s">
        <v>928</v>
      </c>
      <c r="Q843" s="30" t="str">
        <f t="shared" si="13"/>
        <v>MAX : 0.395
TARGET : 0.375
MIN : 0.355</v>
      </c>
      <c r="R843" s="3" t="s">
        <v>926</v>
      </c>
    </row>
    <row r="844" spans="2:18" ht="41.4" x14ac:dyDescent="0.3">
      <c r="B844">
        <v>1</v>
      </c>
      <c r="C844" s="33">
        <v>5541</v>
      </c>
      <c r="D844" s="2">
        <v>960</v>
      </c>
      <c r="E844" s="2" t="s">
        <v>7417</v>
      </c>
      <c r="F844" s="3" t="s">
        <v>14206</v>
      </c>
      <c r="H844" s="3" t="s">
        <v>922</v>
      </c>
      <c r="K844" s="2">
        <v>10</v>
      </c>
      <c r="L844" s="2">
        <v>1</v>
      </c>
      <c r="M844" s="3" t="s">
        <v>22</v>
      </c>
      <c r="N844" s="3" t="s">
        <v>1103</v>
      </c>
      <c r="O844" s="3" t="s">
        <v>1104</v>
      </c>
      <c r="P844" s="3" t="s">
        <v>1105</v>
      </c>
      <c r="Q844" s="30" t="str">
        <f t="shared" si="13"/>
        <v>MAX : 2.442
TARGET : 2.422
MIN : 2.402</v>
      </c>
      <c r="R844" s="3" t="s">
        <v>926</v>
      </c>
    </row>
    <row r="845" spans="2:18" ht="41.4" x14ac:dyDescent="0.3">
      <c r="B845">
        <v>1</v>
      </c>
      <c r="C845" s="33">
        <v>5542</v>
      </c>
      <c r="D845" s="2">
        <v>961</v>
      </c>
      <c r="E845" s="2" t="s">
        <v>7422</v>
      </c>
      <c r="F845" s="3" t="s">
        <v>14206</v>
      </c>
      <c r="H845" s="3" t="s">
        <v>922</v>
      </c>
      <c r="K845" s="2">
        <v>10</v>
      </c>
      <c r="L845" s="2">
        <v>2</v>
      </c>
      <c r="M845" s="3" t="s">
        <v>18</v>
      </c>
      <c r="N845" s="3" t="s">
        <v>1113</v>
      </c>
      <c r="O845" s="3" t="s">
        <v>1114</v>
      </c>
      <c r="P845" s="3" t="s">
        <v>1115</v>
      </c>
      <c r="Q845" s="30" t="str">
        <f t="shared" si="13"/>
        <v>MAX : 3.910
TARGET : 3.890
MIN : 3.870</v>
      </c>
      <c r="R845" s="3" t="s">
        <v>1112</v>
      </c>
    </row>
    <row r="846" spans="2:18" ht="41.4" x14ac:dyDescent="0.3">
      <c r="B846">
        <v>0</v>
      </c>
      <c r="C846" s="33">
        <v>5913</v>
      </c>
      <c r="D846" s="2">
        <v>1782</v>
      </c>
      <c r="E846" s="2" t="s">
        <v>7732</v>
      </c>
      <c r="F846" s="3" t="s">
        <v>14206</v>
      </c>
      <c r="H846" s="3" t="s">
        <v>1367</v>
      </c>
      <c r="K846" s="2">
        <v>20</v>
      </c>
      <c r="L846" s="2">
        <v>3</v>
      </c>
      <c r="M846" s="3" t="s">
        <v>1369</v>
      </c>
      <c r="N846" s="3" t="s">
        <v>13</v>
      </c>
      <c r="O846" s="3" t="s">
        <v>14</v>
      </c>
      <c r="Q846" s="30" t="str">
        <f t="shared" si="13"/>
        <v>MAX : 
TARGET : Yes(Pass)
MIN : No(Fail)</v>
      </c>
    </row>
    <row r="847" spans="2:18" ht="41.4" x14ac:dyDescent="0.3">
      <c r="B847">
        <v>1</v>
      </c>
      <c r="C847" s="33">
        <v>5542</v>
      </c>
      <c r="D847" s="2">
        <v>961</v>
      </c>
      <c r="E847" s="2" t="s">
        <v>7422</v>
      </c>
      <c r="F847" s="3" t="s">
        <v>14206</v>
      </c>
      <c r="H847" s="3" t="s">
        <v>922</v>
      </c>
      <c r="K847" s="2">
        <v>10</v>
      </c>
      <c r="L847" s="2">
        <v>1</v>
      </c>
      <c r="M847" s="3" t="s">
        <v>22</v>
      </c>
      <c r="N847" s="3" t="s">
        <v>1109</v>
      </c>
      <c r="O847" s="3" t="s">
        <v>1110</v>
      </c>
      <c r="P847" s="3" t="s">
        <v>1111</v>
      </c>
      <c r="Q847" s="30" t="str">
        <f t="shared" si="13"/>
        <v>MAX : 5.145
TARGET : 5.125
MIN : 5.105</v>
      </c>
      <c r="R847" s="3" t="s">
        <v>1112</v>
      </c>
    </row>
    <row r="848" spans="2:18" ht="41.4" x14ac:dyDescent="0.3">
      <c r="B848">
        <v>1</v>
      </c>
      <c r="C848" s="33">
        <v>5543</v>
      </c>
      <c r="D848" s="2">
        <v>962</v>
      </c>
      <c r="E848" s="2" t="s">
        <v>7429</v>
      </c>
      <c r="F848" s="3" t="s">
        <v>14206</v>
      </c>
      <c r="H848" s="3" t="s">
        <v>922</v>
      </c>
      <c r="K848" s="2">
        <v>20</v>
      </c>
      <c r="L848" s="2">
        <v>2</v>
      </c>
      <c r="M848" s="3" t="s">
        <v>18</v>
      </c>
      <c r="N848" s="3" t="s">
        <v>927</v>
      </c>
      <c r="O848" s="3" t="s">
        <v>276</v>
      </c>
      <c r="P848" s="3" t="s">
        <v>928</v>
      </c>
      <c r="Q848" s="30" t="str">
        <f t="shared" si="13"/>
        <v>MAX : 0.395
TARGET : 0.375
MIN : 0.355</v>
      </c>
      <c r="R848" s="3" t="s">
        <v>926</v>
      </c>
    </row>
    <row r="849" spans="2:18" ht="41.4" x14ac:dyDescent="0.3">
      <c r="B849">
        <v>0</v>
      </c>
      <c r="C849" s="33">
        <v>5932</v>
      </c>
      <c r="D849" s="2">
        <v>989</v>
      </c>
      <c r="E849" s="2" t="s">
        <v>7739</v>
      </c>
      <c r="F849" s="3" t="s">
        <v>14206</v>
      </c>
      <c r="H849" s="3" t="s">
        <v>504</v>
      </c>
      <c r="K849" s="2">
        <v>10</v>
      </c>
      <c r="L849" s="2">
        <v>3</v>
      </c>
      <c r="M849" s="3" t="s">
        <v>1372</v>
      </c>
      <c r="N849" s="3" t="s">
        <v>1347</v>
      </c>
      <c r="O849" s="3" t="s">
        <v>698</v>
      </c>
      <c r="P849" s="3" t="s">
        <v>699</v>
      </c>
      <c r="Q849" s="30" t="str">
        <f t="shared" si="13"/>
        <v>MAX : 0.330
TARGET : 0.300
MIN : 0.270</v>
      </c>
    </row>
    <row r="850" spans="2:18" ht="41.4" x14ac:dyDescent="0.3">
      <c r="B850">
        <v>0</v>
      </c>
      <c r="C850" s="33">
        <v>5932</v>
      </c>
      <c r="D850" s="2">
        <v>989</v>
      </c>
      <c r="E850" s="2" t="s">
        <v>7739</v>
      </c>
      <c r="F850" s="3" t="s">
        <v>14206</v>
      </c>
      <c r="H850" s="3" t="s">
        <v>504</v>
      </c>
      <c r="K850" s="2">
        <v>10</v>
      </c>
      <c r="L850" s="2">
        <v>4</v>
      </c>
      <c r="M850" s="3" t="s">
        <v>1373</v>
      </c>
      <c r="N850" s="3" t="s">
        <v>1347</v>
      </c>
      <c r="O850" s="3" t="s">
        <v>698</v>
      </c>
      <c r="P850" s="3" t="s">
        <v>699</v>
      </c>
      <c r="Q850" s="30" t="str">
        <f t="shared" si="13"/>
        <v>MAX : 0.330
TARGET : 0.300
MIN : 0.270</v>
      </c>
    </row>
    <row r="851" spans="2:18" ht="41.4" x14ac:dyDescent="0.3">
      <c r="B851">
        <v>0</v>
      </c>
      <c r="C851" s="33">
        <v>5932</v>
      </c>
      <c r="D851" s="2">
        <v>989</v>
      </c>
      <c r="E851" s="2" t="s">
        <v>7739</v>
      </c>
      <c r="F851" s="3" t="s">
        <v>14206</v>
      </c>
      <c r="H851" s="3" t="s">
        <v>504</v>
      </c>
      <c r="K851" s="2">
        <v>10</v>
      </c>
      <c r="L851" s="2">
        <v>5</v>
      </c>
      <c r="M851" s="3" t="s">
        <v>1374</v>
      </c>
      <c r="N851" s="3" t="s">
        <v>24</v>
      </c>
      <c r="O851" s="3" t="s">
        <v>25</v>
      </c>
      <c r="Q851" s="30" t="str">
        <f t="shared" si="13"/>
        <v>MAX : 
TARGET : Yes (Pass)
MIN : No (Fail)</v>
      </c>
    </row>
    <row r="852" spans="2:18" ht="41.4" x14ac:dyDescent="0.3">
      <c r="B852">
        <v>1</v>
      </c>
      <c r="C852" s="33">
        <v>5543</v>
      </c>
      <c r="D852" s="2">
        <v>962</v>
      </c>
      <c r="E852" s="2" t="s">
        <v>7429</v>
      </c>
      <c r="F852" s="3" t="s">
        <v>14206</v>
      </c>
      <c r="H852" s="3" t="s">
        <v>922</v>
      </c>
      <c r="K852" s="2">
        <v>20</v>
      </c>
      <c r="L852" s="2">
        <v>1</v>
      </c>
      <c r="M852" s="3" t="s">
        <v>70</v>
      </c>
      <c r="N852" s="3" t="s">
        <v>1117</v>
      </c>
      <c r="O852" s="3" t="s">
        <v>1118</v>
      </c>
      <c r="P852" s="3" t="s">
        <v>1119</v>
      </c>
      <c r="Q852" s="30" t="str">
        <f t="shared" si="13"/>
        <v>MAX : 3.893
TARGET : 3.873
MIN : 3.853</v>
      </c>
      <c r="R852" s="3" t="s">
        <v>926</v>
      </c>
    </row>
    <row r="853" spans="2:18" ht="41.4" x14ac:dyDescent="0.3">
      <c r="B853">
        <v>1</v>
      </c>
      <c r="C853" s="33">
        <v>5544</v>
      </c>
      <c r="D853" s="2">
        <v>963</v>
      </c>
      <c r="E853" s="2" t="s">
        <v>7433</v>
      </c>
      <c r="F853" s="3" t="s">
        <v>14206</v>
      </c>
      <c r="H853" s="3" t="s">
        <v>922</v>
      </c>
      <c r="K853" s="2">
        <v>10</v>
      </c>
      <c r="L853" s="2">
        <v>2</v>
      </c>
      <c r="M853" s="3" t="s">
        <v>18</v>
      </c>
      <c r="N853" s="3" t="s">
        <v>927</v>
      </c>
      <c r="O853" s="3" t="s">
        <v>276</v>
      </c>
      <c r="P853" s="3" t="s">
        <v>928</v>
      </c>
      <c r="Q853" s="30" t="str">
        <f t="shared" si="13"/>
        <v>MAX : 0.395
TARGET : 0.375
MIN : 0.355</v>
      </c>
      <c r="R853" s="3" t="s">
        <v>926</v>
      </c>
    </row>
    <row r="854" spans="2:18" ht="41.4" x14ac:dyDescent="0.3">
      <c r="B854">
        <v>0</v>
      </c>
      <c r="C854" s="33">
        <v>5936</v>
      </c>
      <c r="D854" s="2">
        <v>990</v>
      </c>
      <c r="E854" s="2" t="s">
        <v>7747</v>
      </c>
      <c r="F854" s="3" t="s">
        <v>14206</v>
      </c>
      <c r="H854" s="3" t="s">
        <v>504</v>
      </c>
      <c r="K854" s="2">
        <v>10</v>
      </c>
      <c r="L854" s="2">
        <v>3</v>
      </c>
      <c r="M854" s="3" t="s">
        <v>1372</v>
      </c>
      <c r="N854" s="3" t="s">
        <v>1347</v>
      </c>
      <c r="O854" s="3" t="s">
        <v>698</v>
      </c>
      <c r="P854" s="3" t="s">
        <v>699</v>
      </c>
      <c r="Q854" s="30" t="str">
        <f t="shared" si="13"/>
        <v>MAX : 0.330
TARGET : 0.300
MIN : 0.270</v>
      </c>
    </row>
    <row r="855" spans="2:18" ht="41.4" x14ac:dyDescent="0.3">
      <c r="B855">
        <v>0</v>
      </c>
      <c r="C855" s="33">
        <v>5936</v>
      </c>
      <c r="D855" s="2">
        <v>990</v>
      </c>
      <c r="E855" s="2" t="s">
        <v>7747</v>
      </c>
      <c r="F855" s="3" t="s">
        <v>14206</v>
      </c>
      <c r="H855" s="3" t="s">
        <v>504</v>
      </c>
      <c r="K855" s="2">
        <v>10</v>
      </c>
      <c r="L855" s="2">
        <v>4</v>
      </c>
      <c r="M855" s="3" t="s">
        <v>1373</v>
      </c>
      <c r="N855" s="3" t="s">
        <v>1347</v>
      </c>
      <c r="O855" s="3" t="s">
        <v>698</v>
      </c>
      <c r="P855" s="3" t="s">
        <v>699</v>
      </c>
      <c r="Q855" s="30" t="str">
        <f t="shared" si="13"/>
        <v>MAX : 0.330
TARGET : 0.300
MIN : 0.270</v>
      </c>
    </row>
    <row r="856" spans="2:18" ht="41.4" x14ac:dyDescent="0.3">
      <c r="B856">
        <v>0</v>
      </c>
      <c r="C856" s="33">
        <v>5936</v>
      </c>
      <c r="D856" s="2">
        <v>990</v>
      </c>
      <c r="E856" s="2" t="s">
        <v>7747</v>
      </c>
      <c r="F856" s="3" t="s">
        <v>14206</v>
      </c>
      <c r="H856" s="3" t="s">
        <v>504</v>
      </c>
      <c r="K856" s="2">
        <v>10</v>
      </c>
      <c r="L856" s="2">
        <v>6</v>
      </c>
      <c r="M856" s="3" t="s">
        <v>1374</v>
      </c>
      <c r="N856" s="3" t="s">
        <v>24</v>
      </c>
      <c r="O856" s="3" t="s">
        <v>25</v>
      </c>
      <c r="Q856" s="30" t="str">
        <f t="shared" si="13"/>
        <v>MAX : 
TARGET : Yes (Pass)
MIN : No (Fail)</v>
      </c>
    </row>
    <row r="857" spans="2:18" ht="41.4" x14ac:dyDescent="0.3">
      <c r="B857">
        <v>1</v>
      </c>
      <c r="C857" s="33">
        <v>5544</v>
      </c>
      <c r="D857" s="2">
        <v>963</v>
      </c>
      <c r="E857" s="2" t="s">
        <v>7433</v>
      </c>
      <c r="F857" s="3" t="s">
        <v>14206</v>
      </c>
      <c r="H857" s="3" t="s">
        <v>922</v>
      </c>
      <c r="K857" s="2">
        <v>10</v>
      </c>
      <c r="L857" s="2">
        <v>1</v>
      </c>
      <c r="M857" s="3" t="s">
        <v>22</v>
      </c>
      <c r="N857" s="3" t="s">
        <v>1123</v>
      </c>
      <c r="O857" s="3" t="s">
        <v>1124</v>
      </c>
      <c r="P857" s="3" t="s">
        <v>1125</v>
      </c>
      <c r="Q857" s="30" t="str">
        <f t="shared" si="13"/>
        <v>MAX : 5.382
TARGET : 5.362
MIN : 5.342</v>
      </c>
      <c r="R857" s="3" t="s">
        <v>926</v>
      </c>
    </row>
    <row r="858" spans="2:18" ht="41.4" x14ac:dyDescent="0.3">
      <c r="B858">
        <v>1</v>
      </c>
      <c r="C858" s="33">
        <v>5547</v>
      </c>
      <c r="D858" s="2">
        <v>964</v>
      </c>
      <c r="E858" s="2" t="s">
        <v>7446</v>
      </c>
      <c r="F858" s="3" t="s">
        <v>14206</v>
      </c>
      <c r="H858" s="3" t="s">
        <v>648</v>
      </c>
      <c r="K858" s="2">
        <v>10</v>
      </c>
      <c r="L858" s="2">
        <v>2</v>
      </c>
      <c r="M858" s="3" t="s">
        <v>1086</v>
      </c>
      <c r="N858" s="3" t="s">
        <v>162</v>
      </c>
      <c r="O858" s="3" t="s">
        <v>163</v>
      </c>
      <c r="P858" s="3" t="s">
        <v>164</v>
      </c>
      <c r="Q858" s="30" t="str">
        <f t="shared" si="13"/>
        <v>MAX : 3.78
TARGET : 3.75
MIN : 3.72</v>
      </c>
      <c r="R858" s="3" t="s">
        <v>1129</v>
      </c>
    </row>
    <row r="859" spans="2:18" ht="41.4" x14ac:dyDescent="0.3">
      <c r="B859">
        <v>0</v>
      </c>
      <c r="C859" s="33">
        <v>5937</v>
      </c>
      <c r="D859" s="2">
        <v>991</v>
      </c>
      <c r="E859" s="2" t="s">
        <v>7752</v>
      </c>
      <c r="F859" s="3" t="s">
        <v>14206</v>
      </c>
      <c r="H859" s="3" t="s">
        <v>1375</v>
      </c>
      <c r="K859" s="2">
        <v>10</v>
      </c>
      <c r="L859" s="2">
        <v>3</v>
      </c>
      <c r="M859" s="3" t="s">
        <v>1372</v>
      </c>
      <c r="N859" s="3" t="s">
        <v>1347</v>
      </c>
      <c r="O859" s="3" t="s">
        <v>698</v>
      </c>
      <c r="P859" s="3" t="s">
        <v>699</v>
      </c>
      <c r="Q859" s="30" t="str">
        <f t="shared" si="13"/>
        <v>MAX : 0.330
TARGET : 0.300
MIN : 0.270</v>
      </c>
    </row>
    <row r="860" spans="2:18" ht="41.4" x14ac:dyDescent="0.3">
      <c r="B860">
        <v>0</v>
      </c>
      <c r="C860" s="33">
        <v>5937</v>
      </c>
      <c r="D860" s="2">
        <v>991</v>
      </c>
      <c r="E860" s="2" t="s">
        <v>7752</v>
      </c>
      <c r="F860" s="3" t="s">
        <v>14206</v>
      </c>
      <c r="H860" s="3" t="s">
        <v>1375</v>
      </c>
      <c r="K860" s="2">
        <v>10</v>
      </c>
      <c r="L860" s="2">
        <v>4</v>
      </c>
      <c r="M860" s="3" t="s">
        <v>1376</v>
      </c>
      <c r="N860" s="3" t="s">
        <v>1347</v>
      </c>
      <c r="O860" s="3" t="s">
        <v>698</v>
      </c>
      <c r="P860" s="3" t="s">
        <v>699</v>
      </c>
      <c r="Q860" s="30" t="str">
        <f t="shared" si="13"/>
        <v>MAX : 0.330
TARGET : 0.300
MIN : 0.270</v>
      </c>
    </row>
    <row r="861" spans="2:18" ht="41.4" x14ac:dyDescent="0.3">
      <c r="B861">
        <v>0</v>
      </c>
      <c r="C861" s="33">
        <v>5937</v>
      </c>
      <c r="D861" s="2">
        <v>991</v>
      </c>
      <c r="E861" s="2" t="s">
        <v>7752</v>
      </c>
      <c r="F861" s="3" t="s">
        <v>14206</v>
      </c>
      <c r="H861" s="3" t="s">
        <v>1375</v>
      </c>
      <c r="K861" s="2">
        <v>10</v>
      </c>
      <c r="L861" s="2">
        <v>5</v>
      </c>
      <c r="M861" s="3" t="s">
        <v>1374</v>
      </c>
      <c r="N861" s="3" t="s">
        <v>24</v>
      </c>
      <c r="O861" s="3" t="s">
        <v>25</v>
      </c>
      <c r="Q861" s="30" t="str">
        <f t="shared" si="13"/>
        <v>MAX : 
TARGET : Yes (Pass)
MIN : No (Fail)</v>
      </c>
    </row>
    <row r="862" spans="2:18" ht="41.4" x14ac:dyDescent="0.3">
      <c r="B862">
        <v>1</v>
      </c>
      <c r="C862" s="33">
        <v>5547</v>
      </c>
      <c r="D862" s="2">
        <v>964</v>
      </c>
      <c r="E862" s="2" t="s">
        <v>7446</v>
      </c>
      <c r="F862" s="3" t="s">
        <v>14206</v>
      </c>
      <c r="H862" s="3" t="s">
        <v>648</v>
      </c>
      <c r="K862" s="2">
        <v>10</v>
      </c>
      <c r="L862" s="2">
        <v>1</v>
      </c>
      <c r="M862" s="3" t="s">
        <v>18</v>
      </c>
      <c r="N862" s="3" t="s">
        <v>308</v>
      </c>
      <c r="O862" s="3" t="s">
        <v>309</v>
      </c>
      <c r="P862" s="3" t="s">
        <v>310</v>
      </c>
      <c r="Q862" s="30" t="str">
        <f t="shared" si="13"/>
        <v>MAX : 0.53
TARGET : 0.50
MIN : 0.47</v>
      </c>
      <c r="R862" s="3" t="s">
        <v>1129</v>
      </c>
    </row>
    <row r="863" spans="2:18" ht="41.4" x14ac:dyDescent="0.3">
      <c r="B863">
        <v>1</v>
      </c>
      <c r="C863" s="33">
        <v>5547</v>
      </c>
      <c r="D863" s="2">
        <v>964</v>
      </c>
      <c r="E863" s="2" t="s">
        <v>7446</v>
      </c>
      <c r="F863" s="3" t="s">
        <v>14206</v>
      </c>
      <c r="H863" s="3" t="s">
        <v>648</v>
      </c>
      <c r="K863" s="2">
        <v>10</v>
      </c>
      <c r="L863" s="2">
        <v>3</v>
      </c>
      <c r="M863" s="3" t="s">
        <v>697</v>
      </c>
      <c r="N863" s="3" t="s">
        <v>13</v>
      </c>
      <c r="O863" s="3" t="s">
        <v>14</v>
      </c>
      <c r="Q863" s="30" t="str">
        <f t="shared" si="13"/>
        <v>MAX : 
TARGET : Yes(Pass)
MIN : No(Fail)</v>
      </c>
      <c r="R863" s="3" t="s">
        <v>1129</v>
      </c>
    </row>
    <row r="864" spans="2:18" ht="41.4" x14ac:dyDescent="0.3">
      <c r="B864">
        <v>1</v>
      </c>
      <c r="C864" s="33">
        <v>5547</v>
      </c>
      <c r="D864" s="2">
        <v>964</v>
      </c>
      <c r="E864" s="2" t="s">
        <v>7446</v>
      </c>
      <c r="F864" s="3" t="s">
        <v>14206</v>
      </c>
      <c r="H864" s="3" t="s">
        <v>648</v>
      </c>
      <c r="K864" s="2">
        <v>10</v>
      </c>
      <c r="L864" s="2">
        <v>4</v>
      </c>
      <c r="M864" s="3" t="s">
        <v>2825</v>
      </c>
      <c r="N864" s="3" t="s">
        <v>13</v>
      </c>
      <c r="O864" s="3" t="s">
        <v>14</v>
      </c>
      <c r="Q864" s="30" t="str">
        <f t="shared" si="13"/>
        <v>MAX : 
TARGET : Yes(Pass)
MIN : No(Fail)</v>
      </c>
      <c r="R864" s="3" t="s">
        <v>1129</v>
      </c>
    </row>
    <row r="865" spans="2:18" ht="41.4" x14ac:dyDescent="0.3">
      <c r="B865">
        <v>1</v>
      </c>
      <c r="C865" s="33">
        <v>5557</v>
      </c>
      <c r="D865" s="2">
        <v>965</v>
      </c>
      <c r="E865" s="2" t="s">
        <v>7454</v>
      </c>
      <c r="F865" s="3" t="s">
        <v>14206</v>
      </c>
      <c r="H865" s="3" t="s">
        <v>1130</v>
      </c>
      <c r="K865" s="2">
        <v>10</v>
      </c>
      <c r="L865" s="2">
        <v>2</v>
      </c>
      <c r="M865" s="3" t="s">
        <v>18</v>
      </c>
      <c r="N865" s="3" t="s">
        <v>1131</v>
      </c>
      <c r="O865" s="3" t="s">
        <v>1132</v>
      </c>
      <c r="P865" s="3" t="s">
        <v>1133</v>
      </c>
      <c r="Q865" s="30" t="str">
        <f t="shared" si="13"/>
        <v>MAX : 42.06
TARGET : 42.00
MIN : 41.94</v>
      </c>
    </row>
    <row r="866" spans="2:18" ht="41.4" x14ac:dyDescent="0.3">
      <c r="B866">
        <v>0</v>
      </c>
      <c r="C866" s="33">
        <v>5944</v>
      </c>
      <c r="D866" s="2">
        <v>992</v>
      </c>
      <c r="E866" s="2" t="s">
        <v>7758</v>
      </c>
      <c r="F866" s="3" t="s">
        <v>14207</v>
      </c>
      <c r="H866" s="3" t="s">
        <v>41</v>
      </c>
      <c r="K866" s="2">
        <v>20</v>
      </c>
      <c r="L866" s="2">
        <v>3</v>
      </c>
      <c r="M866" s="3" t="s">
        <v>1358</v>
      </c>
      <c r="N866" s="3" t="s">
        <v>1384</v>
      </c>
      <c r="O866" s="3" t="s">
        <v>1385</v>
      </c>
      <c r="P866" s="3" t="s">
        <v>1386</v>
      </c>
      <c r="Q866" s="30" t="str">
        <f t="shared" si="13"/>
        <v>MAX : 40.92
TARGET : 40.13
MIN : 39.34</v>
      </c>
    </row>
    <row r="867" spans="2:18" ht="41.4" x14ac:dyDescent="0.3">
      <c r="B867">
        <v>0</v>
      </c>
      <c r="C867" s="33">
        <v>5944</v>
      </c>
      <c r="D867" s="2">
        <v>992</v>
      </c>
      <c r="E867" s="2" t="s">
        <v>7758</v>
      </c>
      <c r="F867" s="3" t="s">
        <v>14207</v>
      </c>
      <c r="H867" s="3" t="s">
        <v>41</v>
      </c>
      <c r="K867" s="2">
        <v>20</v>
      </c>
      <c r="L867" s="2">
        <v>4</v>
      </c>
      <c r="M867" s="3" t="s">
        <v>1387</v>
      </c>
      <c r="N867" s="3" t="s">
        <v>1388</v>
      </c>
      <c r="O867" s="3" t="s">
        <v>1389</v>
      </c>
      <c r="P867" s="3" t="s">
        <v>1390</v>
      </c>
      <c r="Q867" s="30" t="str">
        <f t="shared" si="13"/>
        <v>MAX : 18.48
TARGET : 17.69
MIN : 16.90</v>
      </c>
    </row>
    <row r="868" spans="2:18" ht="41.4" x14ac:dyDescent="0.3">
      <c r="B868">
        <v>0</v>
      </c>
      <c r="C868" s="33">
        <v>5944</v>
      </c>
      <c r="D868" s="2">
        <v>992</v>
      </c>
      <c r="E868" s="2" t="s">
        <v>7758</v>
      </c>
      <c r="F868" s="3" t="s">
        <v>14207</v>
      </c>
      <c r="H868" s="3" t="s">
        <v>41</v>
      </c>
      <c r="K868" s="2">
        <v>20</v>
      </c>
      <c r="L868" s="2">
        <v>5</v>
      </c>
      <c r="M868" s="3" t="s">
        <v>1391</v>
      </c>
      <c r="N868" s="3" t="s">
        <v>1392</v>
      </c>
      <c r="O868" s="3" t="s">
        <v>1393</v>
      </c>
      <c r="P868" s="3" t="s">
        <v>1394</v>
      </c>
      <c r="Q868" s="30" t="str">
        <f t="shared" si="13"/>
        <v>MAX : 30.03
TARGET : 29.24
MIN : 28.45</v>
      </c>
    </row>
    <row r="869" spans="2:18" ht="41.4" x14ac:dyDescent="0.3">
      <c r="B869">
        <v>0</v>
      </c>
      <c r="C869" s="33">
        <v>5944</v>
      </c>
      <c r="D869" s="2">
        <v>992</v>
      </c>
      <c r="E869" s="2" t="s">
        <v>7758</v>
      </c>
      <c r="F869" s="3" t="s">
        <v>14207</v>
      </c>
      <c r="H869" s="3" t="s">
        <v>41</v>
      </c>
      <c r="K869" s="2">
        <v>20</v>
      </c>
      <c r="L869" s="2">
        <v>6</v>
      </c>
      <c r="M869" s="3" t="s">
        <v>1395</v>
      </c>
      <c r="N869" s="3" t="s">
        <v>1396</v>
      </c>
      <c r="O869" s="3" t="s">
        <v>1397</v>
      </c>
      <c r="P869" s="3" t="s">
        <v>1398</v>
      </c>
      <c r="Q869" s="30" t="str">
        <f t="shared" si="13"/>
        <v>MAX : 57.65
TARGET : 56.86
MIN : 56.07</v>
      </c>
    </row>
    <row r="870" spans="2:18" ht="41.4" x14ac:dyDescent="0.3">
      <c r="B870">
        <v>0</v>
      </c>
      <c r="C870" s="33">
        <v>5944</v>
      </c>
      <c r="D870" s="2">
        <v>992</v>
      </c>
      <c r="E870" s="2" t="s">
        <v>7758</v>
      </c>
      <c r="F870" s="3" t="s">
        <v>14207</v>
      </c>
      <c r="H870" s="3" t="s">
        <v>41</v>
      </c>
      <c r="K870" s="2">
        <v>20</v>
      </c>
      <c r="L870" s="2">
        <v>7</v>
      </c>
      <c r="M870" s="3" t="s">
        <v>1399</v>
      </c>
      <c r="N870" s="3" t="s">
        <v>1400</v>
      </c>
      <c r="O870" s="3" t="s">
        <v>1401</v>
      </c>
      <c r="P870" s="3" t="s">
        <v>1402</v>
      </c>
      <c r="Q870" s="30" t="str">
        <f t="shared" si="13"/>
        <v>MAX : 69.13
TARGET : 68.34
MIN : 67.55</v>
      </c>
    </row>
    <row r="871" spans="2:18" ht="41.4" x14ac:dyDescent="0.3">
      <c r="B871">
        <v>0</v>
      </c>
      <c r="C871" s="33">
        <v>5944</v>
      </c>
      <c r="D871" s="2">
        <v>992</v>
      </c>
      <c r="E871" s="2" t="s">
        <v>7758</v>
      </c>
      <c r="F871" s="3" t="s">
        <v>14207</v>
      </c>
      <c r="H871" s="3" t="s">
        <v>41</v>
      </c>
      <c r="K871" s="2">
        <v>20</v>
      </c>
      <c r="L871" s="2">
        <v>8</v>
      </c>
      <c r="M871" s="3" t="s">
        <v>1403</v>
      </c>
      <c r="N871" s="3" t="s">
        <v>13</v>
      </c>
      <c r="O871" s="3" t="s">
        <v>14</v>
      </c>
      <c r="Q871" s="30" t="str">
        <f t="shared" si="13"/>
        <v>MAX : 
TARGET : Yes(Pass)
MIN : No(Fail)</v>
      </c>
    </row>
    <row r="872" spans="2:18" ht="41.4" x14ac:dyDescent="0.3">
      <c r="B872">
        <v>0</v>
      </c>
      <c r="C872" s="33">
        <v>5944</v>
      </c>
      <c r="D872" s="2">
        <v>992</v>
      </c>
      <c r="E872" s="2" t="s">
        <v>7758</v>
      </c>
      <c r="F872" s="3" t="s">
        <v>14207</v>
      </c>
      <c r="H872" s="3" t="s">
        <v>41</v>
      </c>
      <c r="K872" s="2">
        <v>20</v>
      </c>
      <c r="L872" s="2">
        <v>9</v>
      </c>
      <c r="M872" s="3" t="s">
        <v>1404</v>
      </c>
      <c r="N872" s="3" t="s">
        <v>13</v>
      </c>
      <c r="O872" s="3" t="s">
        <v>14</v>
      </c>
      <c r="Q872" s="30" t="str">
        <f t="shared" si="13"/>
        <v>MAX : 
TARGET : Yes(Pass)
MIN : No(Fail)</v>
      </c>
    </row>
    <row r="873" spans="2:18" ht="41.4" x14ac:dyDescent="0.3">
      <c r="B873">
        <v>1</v>
      </c>
      <c r="C873" s="33">
        <v>5557</v>
      </c>
      <c r="D873" s="2">
        <v>965</v>
      </c>
      <c r="E873" s="2" t="s">
        <v>7454</v>
      </c>
      <c r="F873" s="3" t="s">
        <v>14206</v>
      </c>
      <c r="H873" s="3" t="s">
        <v>1130</v>
      </c>
      <c r="K873" s="2">
        <v>10</v>
      </c>
      <c r="L873" s="2">
        <v>1</v>
      </c>
      <c r="M873" s="3" t="s">
        <v>22</v>
      </c>
      <c r="N873" s="3" t="s">
        <v>633</v>
      </c>
      <c r="O873" s="3" t="s">
        <v>379</v>
      </c>
      <c r="P873" s="3" t="s">
        <v>634</v>
      </c>
      <c r="Q873" s="30" t="str">
        <f t="shared" si="13"/>
        <v>MAX : 0.935
TARGET : 0.875
MIN : 0.815</v>
      </c>
    </row>
    <row r="874" spans="2:18" ht="41.4" x14ac:dyDescent="0.3">
      <c r="B874">
        <v>1</v>
      </c>
      <c r="C874" s="33">
        <v>5557</v>
      </c>
      <c r="D874" s="2">
        <v>965</v>
      </c>
      <c r="E874" s="2" t="s">
        <v>7454</v>
      </c>
      <c r="F874" s="3" t="s">
        <v>14206</v>
      </c>
      <c r="H874" s="3" t="s">
        <v>1130</v>
      </c>
      <c r="K874" s="2">
        <v>10</v>
      </c>
      <c r="L874" s="2">
        <v>5</v>
      </c>
      <c r="M874" s="3" t="s">
        <v>605</v>
      </c>
      <c r="N874" s="3" t="s">
        <v>13</v>
      </c>
      <c r="O874" s="3" t="s">
        <v>14</v>
      </c>
      <c r="Q874" s="30" t="str">
        <f t="shared" si="13"/>
        <v>MAX : 
TARGET : Yes(Pass)
MIN : No(Fail)</v>
      </c>
    </row>
    <row r="875" spans="2:18" ht="41.4" x14ac:dyDescent="0.3">
      <c r="B875">
        <v>0</v>
      </c>
      <c r="C875" s="33">
        <v>5966</v>
      </c>
      <c r="D875" s="2">
        <v>994</v>
      </c>
      <c r="E875" s="2" t="s">
        <v>7771</v>
      </c>
      <c r="F875" s="3" t="s">
        <v>14206</v>
      </c>
      <c r="H875" s="3" t="s">
        <v>426</v>
      </c>
      <c r="K875" s="2">
        <v>10</v>
      </c>
      <c r="L875" s="2">
        <v>3</v>
      </c>
      <c r="M875" s="3" t="s">
        <v>1405</v>
      </c>
      <c r="N875" s="3" t="s">
        <v>13</v>
      </c>
      <c r="O875" s="3" t="s">
        <v>14</v>
      </c>
      <c r="Q875" s="30" t="str">
        <f t="shared" si="13"/>
        <v>MAX : 
TARGET : Yes(Pass)
MIN : No(Fail)</v>
      </c>
    </row>
    <row r="876" spans="2:18" ht="41.4" x14ac:dyDescent="0.3">
      <c r="B876">
        <v>1</v>
      </c>
      <c r="C876" s="33">
        <v>5575</v>
      </c>
      <c r="D876" s="2">
        <v>1764</v>
      </c>
      <c r="E876" s="2" t="s">
        <v>7460</v>
      </c>
      <c r="F876" s="3" t="s">
        <v>14206</v>
      </c>
      <c r="H876" s="3" t="s">
        <v>168</v>
      </c>
      <c r="K876" s="2">
        <v>10</v>
      </c>
      <c r="L876" s="2">
        <v>2</v>
      </c>
      <c r="M876" s="3" t="s">
        <v>1135</v>
      </c>
      <c r="N876" s="3" t="s">
        <v>24</v>
      </c>
      <c r="O876" s="3" t="s">
        <v>25</v>
      </c>
      <c r="Q876" s="30" t="str">
        <f t="shared" si="13"/>
        <v>MAX : 
TARGET : Yes (Pass)
MIN : No (Fail)</v>
      </c>
      <c r="R876" s="3" t="s">
        <v>1134</v>
      </c>
    </row>
    <row r="877" spans="2:18" ht="41.4" x14ac:dyDescent="0.3">
      <c r="B877">
        <v>1</v>
      </c>
      <c r="C877" s="33">
        <v>5575</v>
      </c>
      <c r="D877" s="2">
        <v>1764</v>
      </c>
      <c r="E877" s="2" t="s">
        <v>7460</v>
      </c>
      <c r="F877" s="3" t="s">
        <v>14206</v>
      </c>
      <c r="H877" s="3" t="s">
        <v>168</v>
      </c>
      <c r="K877" s="2">
        <v>10</v>
      </c>
      <c r="L877" s="2">
        <v>1</v>
      </c>
      <c r="M877" s="3" t="s">
        <v>806</v>
      </c>
      <c r="N877" s="3" t="s">
        <v>485</v>
      </c>
      <c r="O877" s="3" t="s">
        <v>272</v>
      </c>
      <c r="P877" s="3" t="s">
        <v>507</v>
      </c>
      <c r="Q877" s="30" t="str">
        <f t="shared" si="13"/>
        <v>MAX : 1.06
TARGET : 1.00
MIN : 0.94</v>
      </c>
      <c r="R877" s="3" t="s">
        <v>1134</v>
      </c>
    </row>
    <row r="878" spans="2:18" ht="41.4" x14ac:dyDescent="0.3">
      <c r="B878">
        <v>0</v>
      </c>
      <c r="C878" s="33">
        <v>5979</v>
      </c>
      <c r="D878" s="2">
        <v>995</v>
      </c>
      <c r="E878" s="2" t="s">
        <v>7777</v>
      </c>
      <c r="F878" s="3" t="s">
        <v>14206</v>
      </c>
      <c r="H878" s="3" t="s">
        <v>747</v>
      </c>
      <c r="K878" s="2">
        <v>10</v>
      </c>
      <c r="L878" s="2">
        <v>3</v>
      </c>
      <c r="M878" s="3" t="s">
        <v>1412</v>
      </c>
      <c r="N878" s="3" t="s">
        <v>90</v>
      </c>
      <c r="O878" s="3" t="s">
        <v>718</v>
      </c>
      <c r="P878" s="3" t="s">
        <v>91</v>
      </c>
      <c r="Q878" s="30" t="str">
        <f t="shared" si="13"/>
        <v>MAX : 0.200
TARGET : 0.185
MIN : 0.170</v>
      </c>
    </row>
    <row r="879" spans="2:18" ht="41.4" x14ac:dyDescent="0.3">
      <c r="B879">
        <v>0</v>
      </c>
      <c r="C879" s="33">
        <v>5979</v>
      </c>
      <c r="D879" s="2">
        <v>995</v>
      </c>
      <c r="E879" s="2" t="s">
        <v>7777</v>
      </c>
      <c r="F879" s="3" t="s">
        <v>14206</v>
      </c>
      <c r="H879" s="3" t="s">
        <v>747</v>
      </c>
      <c r="K879" s="2">
        <v>10</v>
      </c>
      <c r="L879" s="2">
        <v>4</v>
      </c>
      <c r="M879" s="3" t="s">
        <v>1413</v>
      </c>
      <c r="N879" s="3" t="s">
        <v>645</v>
      </c>
      <c r="O879" s="3" t="s">
        <v>1414</v>
      </c>
      <c r="P879" s="3" t="s">
        <v>1415</v>
      </c>
      <c r="Q879" s="30" t="str">
        <f t="shared" si="13"/>
        <v>MAX : 0.278
TARGET : 0.263
MIN : 0.248</v>
      </c>
    </row>
    <row r="880" spans="2:18" ht="41.4" x14ac:dyDescent="0.3">
      <c r="B880">
        <v>1</v>
      </c>
      <c r="C880" s="33">
        <v>5575</v>
      </c>
      <c r="D880" s="2">
        <v>1764</v>
      </c>
      <c r="E880" s="2" t="s">
        <v>7460</v>
      </c>
      <c r="F880" s="3" t="s">
        <v>14206</v>
      </c>
      <c r="H880" s="3" t="s">
        <v>168</v>
      </c>
      <c r="K880" s="2">
        <v>10</v>
      </c>
      <c r="L880" s="2">
        <v>5</v>
      </c>
      <c r="M880" s="3" t="s">
        <v>1846</v>
      </c>
      <c r="O880" s="3" t="s">
        <v>123</v>
      </c>
      <c r="P880" s="3" t="s">
        <v>124</v>
      </c>
      <c r="Q880" s="30" t="str">
        <f t="shared" si="13"/>
        <v xml:space="preserve">MAX : Yes (Fail)
TARGET : No (Pass)
MIN : </v>
      </c>
      <c r="R880" s="3" t="s">
        <v>1134</v>
      </c>
    </row>
    <row r="881" spans="2:18" ht="41.4" x14ac:dyDescent="0.3">
      <c r="B881">
        <v>1</v>
      </c>
      <c r="C881" s="33">
        <v>5575</v>
      </c>
      <c r="D881" s="2">
        <v>1764</v>
      </c>
      <c r="E881" s="2" t="s">
        <v>7460</v>
      </c>
      <c r="F881" s="3" t="s">
        <v>14206</v>
      </c>
      <c r="H881" s="3" t="s">
        <v>168</v>
      </c>
      <c r="K881" s="2">
        <v>10</v>
      </c>
      <c r="L881" s="2">
        <v>7</v>
      </c>
      <c r="M881" s="3" t="s">
        <v>2518</v>
      </c>
      <c r="N881" s="3" t="s">
        <v>2519</v>
      </c>
      <c r="Q881" s="30" t="str">
        <f t="shared" si="13"/>
        <v>MAX : 
TARGET : 
MIN : 15.00 oz</v>
      </c>
      <c r="R881" s="3" t="s">
        <v>1134</v>
      </c>
    </row>
    <row r="882" spans="2:18" ht="41.4" x14ac:dyDescent="0.3">
      <c r="B882">
        <v>0</v>
      </c>
      <c r="C882" s="33">
        <v>6007</v>
      </c>
      <c r="D882" s="2">
        <v>996</v>
      </c>
      <c r="E882" s="2" t="s">
        <v>7785</v>
      </c>
      <c r="F882" s="3" t="s">
        <v>14206</v>
      </c>
      <c r="H882" s="3" t="s">
        <v>1416</v>
      </c>
      <c r="K882" s="2">
        <v>10</v>
      </c>
      <c r="L882" s="2">
        <v>3</v>
      </c>
      <c r="M882" s="3" t="s">
        <v>1420</v>
      </c>
      <c r="N882" s="3" t="s">
        <v>13</v>
      </c>
      <c r="O882" s="3" t="s">
        <v>14</v>
      </c>
      <c r="Q882" s="30" t="str">
        <f t="shared" si="13"/>
        <v>MAX : 
TARGET : Yes(Pass)
MIN : No(Fail)</v>
      </c>
    </row>
    <row r="883" spans="2:18" ht="41.4" x14ac:dyDescent="0.3">
      <c r="B883">
        <v>0</v>
      </c>
      <c r="C883" s="33">
        <v>6007</v>
      </c>
      <c r="D883" s="2">
        <v>996</v>
      </c>
      <c r="E883" s="2" t="s">
        <v>7785</v>
      </c>
      <c r="F883" s="3" t="s">
        <v>14206</v>
      </c>
      <c r="H883" s="3" t="s">
        <v>1416</v>
      </c>
      <c r="K883" s="2">
        <v>10</v>
      </c>
      <c r="L883" s="2">
        <v>4</v>
      </c>
      <c r="M883" s="3" t="s">
        <v>1421</v>
      </c>
      <c r="N883" s="3" t="s">
        <v>13</v>
      </c>
      <c r="O883" s="3" t="s">
        <v>14</v>
      </c>
      <c r="Q883" s="30" t="str">
        <f t="shared" si="13"/>
        <v>MAX : 
TARGET : Yes(Pass)
MIN : No(Fail)</v>
      </c>
    </row>
    <row r="884" spans="2:18" ht="41.4" x14ac:dyDescent="0.3">
      <c r="B884">
        <v>1</v>
      </c>
      <c r="C884" s="33">
        <v>5575</v>
      </c>
      <c r="D884" s="2">
        <v>1764</v>
      </c>
      <c r="E884" s="2" t="s">
        <v>7460</v>
      </c>
      <c r="F884" s="3" t="s">
        <v>14206</v>
      </c>
      <c r="H884" s="3" t="s">
        <v>168</v>
      </c>
      <c r="K884" s="2">
        <v>10</v>
      </c>
      <c r="L884" s="2">
        <v>4</v>
      </c>
      <c r="M884" s="3" t="s">
        <v>1847</v>
      </c>
      <c r="N884" s="3" t="s">
        <v>24</v>
      </c>
      <c r="O884" s="3" t="s">
        <v>25</v>
      </c>
      <c r="Q884" s="30" t="str">
        <f t="shared" si="13"/>
        <v>MAX : 
TARGET : Yes (Pass)
MIN : No (Fail)</v>
      </c>
      <c r="R884" s="3" t="s">
        <v>1134</v>
      </c>
    </row>
    <row r="885" spans="2:18" ht="41.4" x14ac:dyDescent="0.3">
      <c r="B885">
        <v>1</v>
      </c>
      <c r="C885" s="33">
        <v>5577</v>
      </c>
      <c r="D885" s="2">
        <v>1765</v>
      </c>
      <c r="E885" s="2" t="s">
        <v>7468</v>
      </c>
      <c r="F885" s="3" t="s">
        <v>14206</v>
      </c>
      <c r="H885" s="3" t="s">
        <v>168</v>
      </c>
      <c r="K885" s="2">
        <v>10</v>
      </c>
      <c r="L885" s="2">
        <v>1</v>
      </c>
      <c r="M885" s="3" t="s">
        <v>806</v>
      </c>
      <c r="N885" s="3" t="s">
        <v>485</v>
      </c>
      <c r="O885" s="3" t="s">
        <v>272</v>
      </c>
      <c r="P885" s="3" t="s">
        <v>507</v>
      </c>
      <c r="Q885" s="30" t="str">
        <f t="shared" si="13"/>
        <v>MAX : 1.06
TARGET : 1.00
MIN : 0.94</v>
      </c>
    </row>
    <row r="886" spans="2:18" ht="41.4" x14ac:dyDescent="0.3">
      <c r="B886">
        <v>0</v>
      </c>
      <c r="C886" s="33">
        <v>6018</v>
      </c>
      <c r="D886" s="2">
        <v>1783</v>
      </c>
      <c r="E886" s="2" t="s">
        <v>7793</v>
      </c>
      <c r="F886" s="3" t="s">
        <v>14206</v>
      </c>
      <c r="H886" s="3" t="s">
        <v>1270</v>
      </c>
      <c r="K886" s="2">
        <v>10</v>
      </c>
      <c r="L886" s="2">
        <v>3</v>
      </c>
      <c r="M886" s="3" t="s">
        <v>265</v>
      </c>
      <c r="N886" s="3" t="s">
        <v>13</v>
      </c>
      <c r="O886" s="3" t="s">
        <v>14</v>
      </c>
      <c r="Q886" s="30" t="str">
        <f t="shared" si="13"/>
        <v>MAX : 
TARGET : Yes(Pass)
MIN : No(Fail)</v>
      </c>
    </row>
    <row r="887" spans="2:18" ht="41.4" x14ac:dyDescent="0.3">
      <c r="B887">
        <v>0</v>
      </c>
      <c r="C887" s="33">
        <v>6018</v>
      </c>
      <c r="D887" s="2">
        <v>1783</v>
      </c>
      <c r="E887" s="2" t="s">
        <v>7793</v>
      </c>
      <c r="F887" s="3" t="s">
        <v>14206</v>
      </c>
      <c r="H887" s="3" t="s">
        <v>1270</v>
      </c>
      <c r="K887" s="2">
        <v>10</v>
      </c>
      <c r="L887" s="2">
        <v>4</v>
      </c>
      <c r="M887" s="3" t="s">
        <v>1273</v>
      </c>
      <c r="N887" s="3" t="s">
        <v>13</v>
      </c>
      <c r="O887" s="3" t="s">
        <v>14</v>
      </c>
      <c r="Q887" s="30" t="str">
        <f t="shared" si="13"/>
        <v>MAX : 
TARGET : Yes(Pass)
MIN : No(Fail)</v>
      </c>
    </row>
    <row r="888" spans="2:18" ht="41.4" x14ac:dyDescent="0.3">
      <c r="B888">
        <v>0</v>
      </c>
      <c r="C888" s="33">
        <v>6018</v>
      </c>
      <c r="D888" s="2">
        <v>1783</v>
      </c>
      <c r="E888" s="2" t="s">
        <v>7793</v>
      </c>
      <c r="F888" s="3" t="s">
        <v>14206</v>
      </c>
      <c r="H888" s="3" t="s">
        <v>1270</v>
      </c>
      <c r="K888" s="2">
        <v>10</v>
      </c>
      <c r="L888" s="2">
        <v>5</v>
      </c>
      <c r="M888" s="3" t="s">
        <v>318</v>
      </c>
      <c r="N888" s="3" t="s">
        <v>13</v>
      </c>
      <c r="O888" s="3" t="s">
        <v>14</v>
      </c>
      <c r="Q888" s="30" t="str">
        <f t="shared" si="13"/>
        <v>MAX : 
TARGET : Yes(Pass)
MIN : No(Fail)</v>
      </c>
    </row>
    <row r="889" spans="2:18" ht="41.4" x14ac:dyDescent="0.3">
      <c r="B889">
        <v>1</v>
      </c>
      <c r="C889" s="33">
        <v>5577</v>
      </c>
      <c r="D889" s="2">
        <v>1765</v>
      </c>
      <c r="E889" s="2" t="s">
        <v>7468</v>
      </c>
      <c r="F889" s="3" t="s">
        <v>14206</v>
      </c>
      <c r="H889" s="3" t="s">
        <v>168</v>
      </c>
      <c r="K889" s="2">
        <v>10</v>
      </c>
      <c r="L889" s="2">
        <v>2</v>
      </c>
      <c r="M889" s="3" t="s">
        <v>1135</v>
      </c>
      <c r="N889" s="3" t="s">
        <v>24</v>
      </c>
      <c r="O889" s="3" t="s">
        <v>25</v>
      </c>
      <c r="Q889" s="30" t="str">
        <f t="shared" si="13"/>
        <v>MAX : 
TARGET : Yes (Pass)
MIN : No (Fail)</v>
      </c>
    </row>
    <row r="890" spans="2:18" ht="41.4" x14ac:dyDescent="0.3">
      <c r="B890">
        <v>1</v>
      </c>
      <c r="C890" s="33">
        <v>5579</v>
      </c>
      <c r="D890" s="2">
        <v>966</v>
      </c>
      <c r="E890" s="2" t="s">
        <v>7474</v>
      </c>
      <c r="F890" s="3" t="s">
        <v>14206</v>
      </c>
      <c r="H890" s="3" t="s">
        <v>1138</v>
      </c>
      <c r="K890" s="2">
        <v>10</v>
      </c>
      <c r="L890" s="2">
        <v>2</v>
      </c>
      <c r="M890" s="3" t="s">
        <v>1143</v>
      </c>
      <c r="N890" s="3" t="s">
        <v>24</v>
      </c>
      <c r="O890" s="3" t="s">
        <v>25</v>
      </c>
      <c r="Q890" s="30" t="str">
        <f t="shared" si="13"/>
        <v>MAX : 
TARGET : Yes (Pass)
MIN : No (Fail)</v>
      </c>
    </row>
    <row r="891" spans="2:18" ht="41.4" x14ac:dyDescent="0.3">
      <c r="B891">
        <v>0</v>
      </c>
      <c r="C891" s="33">
        <v>6026</v>
      </c>
      <c r="D891" s="2">
        <v>1784</v>
      </c>
      <c r="E891" s="2" t="s">
        <v>7798</v>
      </c>
      <c r="F891" s="3" t="s">
        <v>14206</v>
      </c>
      <c r="H891" s="3" t="s">
        <v>1270</v>
      </c>
      <c r="K891" s="2">
        <v>10</v>
      </c>
      <c r="L891" s="2">
        <v>3</v>
      </c>
      <c r="M891" s="3" t="s">
        <v>265</v>
      </c>
      <c r="N891" s="3" t="s">
        <v>13</v>
      </c>
      <c r="O891" s="3" t="s">
        <v>14</v>
      </c>
      <c r="Q891" s="30" t="str">
        <f t="shared" si="13"/>
        <v>MAX : 
TARGET : Yes(Pass)
MIN : No(Fail)</v>
      </c>
    </row>
    <row r="892" spans="2:18" ht="41.4" x14ac:dyDescent="0.3">
      <c r="B892">
        <v>0</v>
      </c>
      <c r="C892" s="33">
        <v>6026</v>
      </c>
      <c r="D892" s="2">
        <v>1784</v>
      </c>
      <c r="E892" s="2" t="s">
        <v>7798</v>
      </c>
      <c r="F892" s="3" t="s">
        <v>14206</v>
      </c>
      <c r="H892" s="3" t="s">
        <v>1270</v>
      </c>
      <c r="K892" s="2">
        <v>10</v>
      </c>
      <c r="L892" s="2">
        <v>4</v>
      </c>
      <c r="M892" s="3" t="s">
        <v>1273</v>
      </c>
      <c r="N892" s="3" t="s">
        <v>13</v>
      </c>
      <c r="O892" s="3" t="s">
        <v>14</v>
      </c>
      <c r="Q892" s="30" t="str">
        <f t="shared" si="13"/>
        <v>MAX : 
TARGET : Yes(Pass)
MIN : No(Fail)</v>
      </c>
    </row>
    <row r="893" spans="2:18" ht="41.4" x14ac:dyDescent="0.3">
      <c r="B893">
        <v>0</v>
      </c>
      <c r="C893" s="33">
        <v>6026</v>
      </c>
      <c r="D893" s="2">
        <v>1784</v>
      </c>
      <c r="E893" s="2" t="s">
        <v>7798</v>
      </c>
      <c r="F893" s="3" t="s">
        <v>14206</v>
      </c>
      <c r="H893" s="3" t="s">
        <v>1270</v>
      </c>
      <c r="K893" s="2">
        <v>10</v>
      </c>
      <c r="L893" s="2">
        <v>5</v>
      </c>
      <c r="M893" s="3" t="s">
        <v>318</v>
      </c>
      <c r="N893" s="3" t="s">
        <v>13</v>
      </c>
      <c r="O893" s="3" t="s">
        <v>14</v>
      </c>
      <c r="Q893" s="30" t="str">
        <f t="shared" si="13"/>
        <v>MAX : 
TARGET : Yes(Pass)
MIN : No(Fail)</v>
      </c>
    </row>
    <row r="894" spans="2:18" ht="41.4" x14ac:dyDescent="0.3">
      <c r="B894">
        <v>1</v>
      </c>
      <c r="C894" s="33">
        <v>5579</v>
      </c>
      <c r="D894" s="2">
        <v>966</v>
      </c>
      <c r="E894" s="2" t="s">
        <v>7474</v>
      </c>
      <c r="F894" s="3" t="s">
        <v>14206</v>
      </c>
      <c r="H894" s="3" t="s">
        <v>1138</v>
      </c>
      <c r="K894" s="2">
        <v>10</v>
      </c>
      <c r="L894" s="2">
        <v>1</v>
      </c>
      <c r="M894" s="3" t="s">
        <v>1139</v>
      </c>
      <c r="N894" s="3" t="s">
        <v>1140</v>
      </c>
      <c r="O894" s="3" t="s">
        <v>1141</v>
      </c>
      <c r="P894" s="3" t="s">
        <v>1142</v>
      </c>
      <c r="Q894" s="30" t="str">
        <f t="shared" si="13"/>
        <v>MAX : 3.969
TARGET : 3.938
MIN : 3.906</v>
      </c>
    </row>
    <row r="895" spans="2:18" ht="41.4" x14ac:dyDescent="0.3">
      <c r="B895">
        <v>1</v>
      </c>
      <c r="C895" s="33">
        <v>5593</v>
      </c>
      <c r="D895" s="2">
        <v>1766</v>
      </c>
      <c r="E895" s="2" t="s">
        <v>7482</v>
      </c>
      <c r="F895" s="3" t="s">
        <v>14207</v>
      </c>
      <c r="H895" s="3" t="s">
        <v>1144</v>
      </c>
      <c r="K895" s="2">
        <v>10</v>
      </c>
      <c r="L895" s="2">
        <v>2</v>
      </c>
      <c r="M895" s="3" t="s">
        <v>1147</v>
      </c>
      <c r="N895" s="3" t="s">
        <v>13</v>
      </c>
      <c r="O895" s="3" t="s">
        <v>14</v>
      </c>
      <c r="Q895" s="30" t="str">
        <f t="shared" si="13"/>
        <v>MAX : 
TARGET : Yes(Pass)
MIN : No(Fail)</v>
      </c>
    </row>
    <row r="896" spans="2:18" ht="41.4" x14ac:dyDescent="0.3">
      <c r="B896">
        <v>0</v>
      </c>
      <c r="C896" s="33">
        <v>6027</v>
      </c>
      <c r="D896" s="2">
        <v>1785</v>
      </c>
      <c r="E896" s="2" t="s">
        <v>7802</v>
      </c>
      <c r="F896" s="3" t="s">
        <v>14206</v>
      </c>
      <c r="H896" s="3" t="s">
        <v>1270</v>
      </c>
      <c r="K896" s="2">
        <v>10</v>
      </c>
      <c r="L896" s="2">
        <v>3</v>
      </c>
      <c r="M896" s="3" t="s">
        <v>265</v>
      </c>
      <c r="N896" s="3" t="s">
        <v>13</v>
      </c>
      <c r="O896" s="3" t="s">
        <v>14</v>
      </c>
      <c r="Q896" s="30" t="str">
        <f t="shared" si="13"/>
        <v>MAX : 
TARGET : Yes(Pass)
MIN : No(Fail)</v>
      </c>
    </row>
    <row r="897" spans="2:17" ht="41.4" x14ac:dyDescent="0.3">
      <c r="B897">
        <v>0</v>
      </c>
      <c r="C897" s="33">
        <v>6027</v>
      </c>
      <c r="D897" s="2">
        <v>1785</v>
      </c>
      <c r="E897" s="2" t="s">
        <v>7802</v>
      </c>
      <c r="F897" s="3" t="s">
        <v>14206</v>
      </c>
      <c r="H897" s="3" t="s">
        <v>1270</v>
      </c>
      <c r="K897" s="2">
        <v>10</v>
      </c>
      <c r="L897" s="2">
        <v>4</v>
      </c>
      <c r="M897" s="3" t="s">
        <v>1273</v>
      </c>
      <c r="N897" s="3" t="s">
        <v>13</v>
      </c>
      <c r="O897" s="3" t="s">
        <v>14</v>
      </c>
      <c r="Q897" s="30" t="str">
        <f t="shared" si="13"/>
        <v>MAX : 
TARGET : Yes(Pass)
MIN : No(Fail)</v>
      </c>
    </row>
    <row r="898" spans="2:17" ht="41.4" x14ac:dyDescent="0.3">
      <c r="B898">
        <v>0</v>
      </c>
      <c r="C898" s="33">
        <v>6027</v>
      </c>
      <c r="D898" s="2">
        <v>1785</v>
      </c>
      <c r="E898" s="2" t="s">
        <v>7802</v>
      </c>
      <c r="F898" s="3" t="s">
        <v>14206</v>
      </c>
      <c r="H898" s="3" t="s">
        <v>1270</v>
      </c>
      <c r="K898" s="2">
        <v>10</v>
      </c>
      <c r="L898" s="2">
        <v>5</v>
      </c>
      <c r="M898" s="3" t="s">
        <v>318</v>
      </c>
      <c r="N898" s="3" t="s">
        <v>13</v>
      </c>
      <c r="O898" s="3" t="s">
        <v>14</v>
      </c>
      <c r="Q898" s="30" t="str">
        <f t="shared" ref="Q898:Q961" si="14">"MAX : " &amp; P898 &amp; CHAR(10) &amp; "TARGET : " &amp; O898 &amp; CHAR(10) &amp; "MIN : " &amp; N898</f>
        <v>MAX : 
TARGET : Yes(Pass)
MIN : No(Fail)</v>
      </c>
    </row>
    <row r="899" spans="2:17" ht="41.4" x14ac:dyDescent="0.3">
      <c r="B899">
        <v>1</v>
      </c>
      <c r="C899" s="33">
        <v>5593</v>
      </c>
      <c r="D899" s="2">
        <v>1766</v>
      </c>
      <c r="E899" s="2" t="s">
        <v>7482</v>
      </c>
      <c r="F899" s="3" t="s">
        <v>14207</v>
      </c>
      <c r="H899" s="3" t="s">
        <v>1144</v>
      </c>
      <c r="K899" s="2">
        <v>10</v>
      </c>
      <c r="L899" s="2">
        <v>1</v>
      </c>
      <c r="M899" s="3" t="s">
        <v>99</v>
      </c>
      <c r="N899" s="3" t="s">
        <v>1145</v>
      </c>
      <c r="O899" s="3" t="s">
        <v>35</v>
      </c>
      <c r="P899" s="3" t="s">
        <v>1146</v>
      </c>
      <c r="Q899" s="30" t="str">
        <f t="shared" si="14"/>
        <v>MAX : 20.0
TARGET : 19.0
MIN : 18.0</v>
      </c>
    </row>
    <row r="900" spans="2:17" ht="41.4" x14ac:dyDescent="0.3">
      <c r="B900">
        <v>1</v>
      </c>
      <c r="C900" s="33">
        <v>5597</v>
      </c>
      <c r="D900" s="2">
        <v>967</v>
      </c>
      <c r="E900" s="2" t="s">
        <v>7489</v>
      </c>
      <c r="F900" s="3" t="s">
        <v>14206</v>
      </c>
      <c r="H900" s="3" t="s">
        <v>727</v>
      </c>
      <c r="K900" s="2">
        <v>10</v>
      </c>
      <c r="L900" s="2">
        <v>2</v>
      </c>
      <c r="M900" s="3" t="s">
        <v>18</v>
      </c>
      <c r="N900" s="3" t="s">
        <v>1150</v>
      </c>
      <c r="O900" s="3" t="s">
        <v>1151</v>
      </c>
      <c r="P900" s="3" t="s">
        <v>1152</v>
      </c>
      <c r="Q900" s="30" t="str">
        <f t="shared" si="14"/>
        <v>MAX : 1.48
TARGET : 1.45
MIN : 1.42</v>
      </c>
    </row>
    <row r="901" spans="2:17" ht="41.4" x14ac:dyDescent="0.3">
      <c r="B901">
        <v>0</v>
      </c>
      <c r="C901" s="33">
        <v>6028</v>
      </c>
      <c r="D901" s="2">
        <v>1786</v>
      </c>
      <c r="E901" s="2" t="s">
        <v>7808</v>
      </c>
      <c r="F901" s="3" t="s">
        <v>14206</v>
      </c>
      <c r="H901" s="3" t="s">
        <v>1270</v>
      </c>
      <c r="K901" s="2">
        <v>10</v>
      </c>
      <c r="L901" s="2">
        <v>3</v>
      </c>
      <c r="M901" s="3" t="s">
        <v>265</v>
      </c>
      <c r="N901" s="3" t="s">
        <v>13</v>
      </c>
      <c r="O901" s="3" t="s">
        <v>14</v>
      </c>
      <c r="Q901" s="30" t="str">
        <f t="shared" si="14"/>
        <v>MAX : 
TARGET : Yes(Pass)
MIN : No(Fail)</v>
      </c>
    </row>
    <row r="902" spans="2:17" ht="41.4" x14ac:dyDescent="0.3">
      <c r="B902">
        <v>0</v>
      </c>
      <c r="C902" s="33">
        <v>6028</v>
      </c>
      <c r="D902" s="2">
        <v>1786</v>
      </c>
      <c r="E902" s="2" t="s">
        <v>7808</v>
      </c>
      <c r="F902" s="3" t="s">
        <v>14206</v>
      </c>
      <c r="H902" s="3" t="s">
        <v>1270</v>
      </c>
      <c r="K902" s="2">
        <v>10</v>
      </c>
      <c r="L902" s="2">
        <v>4</v>
      </c>
      <c r="M902" s="3" t="s">
        <v>1273</v>
      </c>
      <c r="N902" s="3" t="s">
        <v>13</v>
      </c>
      <c r="O902" s="3" t="s">
        <v>14</v>
      </c>
      <c r="Q902" s="30" t="str">
        <f t="shared" si="14"/>
        <v>MAX : 
TARGET : Yes(Pass)
MIN : No(Fail)</v>
      </c>
    </row>
    <row r="903" spans="2:17" ht="41.4" x14ac:dyDescent="0.3">
      <c r="B903">
        <v>0</v>
      </c>
      <c r="C903" s="33">
        <v>6028</v>
      </c>
      <c r="D903" s="2">
        <v>1786</v>
      </c>
      <c r="E903" s="2" t="s">
        <v>7808</v>
      </c>
      <c r="F903" s="3" t="s">
        <v>14206</v>
      </c>
      <c r="H903" s="3" t="s">
        <v>1270</v>
      </c>
      <c r="K903" s="2">
        <v>10</v>
      </c>
      <c r="L903" s="2">
        <v>5</v>
      </c>
      <c r="M903" s="3" t="s">
        <v>318</v>
      </c>
      <c r="N903" s="3" t="s">
        <v>13</v>
      </c>
      <c r="O903" s="3" t="s">
        <v>14</v>
      </c>
      <c r="Q903" s="30" t="str">
        <f t="shared" si="14"/>
        <v>MAX : 
TARGET : Yes(Pass)
MIN : No(Fail)</v>
      </c>
    </row>
    <row r="904" spans="2:17" ht="41.4" x14ac:dyDescent="0.3">
      <c r="B904">
        <v>1</v>
      </c>
      <c r="C904" s="33">
        <v>5597</v>
      </c>
      <c r="D904" s="2">
        <v>967</v>
      </c>
      <c r="E904" s="2" t="s">
        <v>7489</v>
      </c>
      <c r="F904" s="3" t="s">
        <v>14206</v>
      </c>
      <c r="H904" s="3" t="s">
        <v>727</v>
      </c>
      <c r="K904" s="2">
        <v>10</v>
      </c>
      <c r="L904" s="2">
        <v>1</v>
      </c>
      <c r="M904" s="3" t="s">
        <v>1149</v>
      </c>
      <c r="N904" s="3" t="s">
        <v>27</v>
      </c>
      <c r="O904" s="3" t="s">
        <v>28</v>
      </c>
      <c r="P904" s="3" t="s">
        <v>29</v>
      </c>
      <c r="Q904" s="30" t="str">
        <f t="shared" si="14"/>
        <v>MAX : 1.53
TARGET : 1.50
MIN : 1.47</v>
      </c>
    </row>
    <row r="905" spans="2:17" ht="41.4" x14ac:dyDescent="0.3">
      <c r="B905">
        <v>1</v>
      </c>
      <c r="C905" s="33">
        <v>5599</v>
      </c>
      <c r="D905" s="2">
        <v>968</v>
      </c>
      <c r="E905" s="2" t="s">
        <v>7496</v>
      </c>
      <c r="F905" s="3" t="s">
        <v>14206</v>
      </c>
      <c r="H905" s="3" t="s">
        <v>146</v>
      </c>
      <c r="K905" s="2">
        <v>10</v>
      </c>
      <c r="L905" s="2">
        <v>2</v>
      </c>
      <c r="M905" s="3" t="s">
        <v>1172</v>
      </c>
      <c r="N905" s="3" t="s">
        <v>13</v>
      </c>
      <c r="O905" s="3" t="s">
        <v>14</v>
      </c>
      <c r="Q905" s="30" t="str">
        <f t="shared" si="14"/>
        <v>MAX : 
TARGET : Yes(Pass)
MIN : No(Fail)</v>
      </c>
    </row>
    <row r="906" spans="2:17" ht="41.4" x14ac:dyDescent="0.3">
      <c r="B906">
        <v>1</v>
      </c>
      <c r="C906" s="33">
        <v>5599</v>
      </c>
      <c r="D906" s="2">
        <v>968</v>
      </c>
      <c r="E906" s="2" t="s">
        <v>7496</v>
      </c>
      <c r="F906" s="3" t="s">
        <v>14206</v>
      </c>
      <c r="H906" s="3" t="s">
        <v>146</v>
      </c>
      <c r="K906" s="2">
        <v>10</v>
      </c>
      <c r="L906" s="2">
        <v>1</v>
      </c>
      <c r="M906" s="3" t="s">
        <v>1171</v>
      </c>
      <c r="N906" s="3" t="s">
        <v>13</v>
      </c>
      <c r="O906" s="3" t="s">
        <v>14</v>
      </c>
      <c r="Q906" s="30" t="str">
        <f t="shared" si="14"/>
        <v>MAX : 
TARGET : Yes(Pass)
MIN : No(Fail)</v>
      </c>
    </row>
    <row r="907" spans="2:17" ht="41.4" x14ac:dyDescent="0.3">
      <c r="B907">
        <v>1</v>
      </c>
      <c r="C907" s="33">
        <v>5611</v>
      </c>
      <c r="D907" s="2">
        <v>1767</v>
      </c>
      <c r="E907" s="2" t="s">
        <v>7505</v>
      </c>
      <c r="F907" s="3" t="s">
        <v>14206</v>
      </c>
      <c r="H907" s="3" t="s">
        <v>412</v>
      </c>
      <c r="K907" s="2">
        <v>10</v>
      </c>
      <c r="L907" s="2">
        <v>2</v>
      </c>
      <c r="M907" s="3" t="s">
        <v>325</v>
      </c>
      <c r="N907" s="3" t="s">
        <v>13</v>
      </c>
      <c r="O907" s="3" t="s">
        <v>14</v>
      </c>
      <c r="Q907" s="30" t="str">
        <f t="shared" si="14"/>
        <v>MAX : 
TARGET : Yes(Pass)
MIN : No(Fail)</v>
      </c>
    </row>
    <row r="908" spans="2:17" ht="41.4" x14ac:dyDescent="0.3">
      <c r="B908">
        <v>0</v>
      </c>
      <c r="C908" s="33">
        <v>6052</v>
      </c>
      <c r="D908" s="2">
        <v>998</v>
      </c>
      <c r="E908" s="2" t="s">
        <v>7819</v>
      </c>
      <c r="F908" s="3" t="s">
        <v>14206</v>
      </c>
      <c r="H908" s="3" t="s">
        <v>656</v>
      </c>
      <c r="K908" s="2">
        <v>10</v>
      </c>
      <c r="L908" s="2">
        <v>3</v>
      </c>
      <c r="M908" s="3" t="s">
        <v>198</v>
      </c>
      <c r="N908" s="3" t="s">
        <v>1432</v>
      </c>
      <c r="O908" s="3" t="s">
        <v>1433</v>
      </c>
      <c r="P908" s="3" t="s">
        <v>1417</v>
      </c>
      <c r="Q908" s="30" t="str">
        <f t="shared" si="14"/>
        <v>MAX : 0.845
TARGET : 0.833
MIN : 0.821</v>
      </c>
    </row>
    <row r="909" spans="2:17" ht="41.4" x14ac:dyDescent="0.3">
      <c r="B909">
        <v>0</v>
      </c>
      <c r="C909" s="33">
        <v>6052</v>
      </c>
      <c r="D909" s="2">
        <v>998</v>
      </c>
      <c r="E909" s="2" t="s">
        <v>7819</v>
      </c>
      <c r="F909" s="3" t="s">
        <v>14206</v>
      </c>
      <c r="H909" s="3" t="s">
        <v>656</v>
      </c>
      <c r="K909" s="2">
        <v>10</v>
      </c>
      <c r="L909" s="2">
        <v>4</v>
      </c>
      <c r="M909" s="3" t="s">
        <v>1434</v>
      </c>
      <c r="N909" s="3" t="s">
        <v>1435</v>
      </c>
      <c r="O909" s="3" t="s">
        <v>1436</v>
      </c>
      <c r="P909" s="3" t="s">
        <v>1437</v>
      </c>
      <c r="Q909" s="30" t="str">
        <f t="shared" si="14"/>
        <v>MAX : 0.442
TARGET : 0.430
MIN : 0.418</v>
      </c>
    </row>
    <row r="910" spans="2:17" ht="41.4" x14ac:dyDescent="0.3">
      <c r="B910">
        <v>0</v>
      </c>
      <c r="C910" s="33">
        <v>6052</v>
      </c>
      <c r="D910" s="2">
        <v>998</v>
      </c>
      <c r="E910" s="2" t="s">
        <v>7819</v>
      </c>
      <c r="F910" s="3" t="s">
        <v>14206</v>
      </c>
      <c r="H910" s="3" t="s">
        <v>656</v>
      </c>
      <c r="K910" s="2">
        <v>10</v>
      </c>
      <c r="L910" s="2">
        <v>5</v>
      </c>
      <c r="M910" s="3" t="s">
        <v>1438</v>
      </c>
      <c r="N910" s="3" t="s">
        <v>13</v>
      </c>
      <c r="O910" s="3" t="s">
        <v>14</v>
      </c>
      <c r="Q910" s="30" t="str">
        <f t="shared" si="14"/>
        <v>MAX : 
TARGET : Yes(Pass)
MIN : No(Fail)</v>
      </c>
    </row>
    <row r="911" spans="2:17" ht="41.4" x14ac:dyDescent="0.3">
      <c r="B911">
        <v>0</v>
      </c>
      <c r="C911" s="33">
        <v>6052</v>
      </c>
      <c r="D911" s="2">
        <v>998</v>
      </c>
      <c r="E911" s="2" t="s">
        <v>7819</v>
      </c>
      <c r="F911" s="3" t="s">
        <v>14206</v>
      </c>
      <c r="H911" s="3" t="s">
        <v>656</v>
      </c>
      <c r="K911" s="2">
        <v>10</v>
      </c>
      <c r="L911" s="2">
        <v>6</v>
      </c>
      <c r="M911" s="3" t="s">
        <v>1439</v>
      </c>
      <c r="N911" s="3" t="s">
        <v>13</v>
      </c>
      <c r="O911" s="3" t="s">
        <v>14</v>
      </c>
      <c r="Q911" s="30" t="str">
        <f t="shared" si="14"/>
        <v>MAX : 
TARGET : Yes(Pass)
MIN : No(Fail)</v>
      </c>
    </row>
    <row r="912" spans="2:17" ht="41.4" x14ac:dyDescent="0.3">
      <c r="B912">
        <v>1</v>
      </c>
      <c r="C912" s="33">
        <v>5611</v>
      </c>
      <c r="D912" s="2">
        <v>1767</v>
      </c>
      <c r="E912" s="2" t="s">
        <v>7505</v>
      </c>
      <c r="F912" s="3" t="s">
        <v>14206</v>
      </c>
      <c r="H912" s="3" t="s">
        <v>412</v>
      </c>
      <c r="K912" s="2">
        <v>10</v>
      </c>
      <c r="L912" s="2">
        <v>1</v>
      </c>
      <c r="M912" s="3" t="s">
        <v>99</v>
      </c>
      <c r="N912" s="3" t="s">
        <v>75</v>
      </c>
      <c r="O912" s="3" t="s">
        <v>76</v>
      </c>
      <c r="P912" s="3" t="s">
        <v>77</v>
      </c>
      <c r="Q912" s="30" t="str">
        <f t="shared" si="14"/>
        <v>MAX : 2.53
TARGET : 2.50
MIN : 2.47</v>
      </c>
    </row>
    <row r="913" spans="2:18" ht="41.4" x14ac:dyDescent="0.3">
      <c r="B913">
        <v>1</v>
      </c>
      <c r="C913" s="33">
        <v>5612</v>
      </c>
      <c r="D913" s="2">
        <v>1768</v>
      </c>
      <c r="E913" s="2" t="s">
        <v>7511</v>
      </c>
      <c r="F913" s="3" t="s">
        <v>14206</v>
      </c>
      <c r="H913" s="3" t="s">
        <v>846</v>
      </c>
      <c r="K913" s="2">
        <v>10</v>
      </c>
      <c r="L913" s="2">
        <v>1</v>
      </c>
      <c r="M913" s="3" t="s">
        <v>99</v>
      </c>
      <c r="N913" s="3" t="s">
        <v>1726</v>
      </c>
      <c r="O913" s="3" t="s">
        <v>340</v>
      </c>
      <c r="P913" s="3" t="s">
        <v>1727</v>
      </c>
      <c r="Q913" s="30" t="str">
        <f t="shared" si="14"/>
        <v>MAX : 3.53
TARGET : 3.50
MIN : 3.47</v>
      </c>
    </row>
    <row r="914" spans="2:18" ht="41.4" x14ac:dyDescent="0.3">
      <c r="B914">
        <v>0</v>
      </c>
      <c r="C914" s="33">
        <v>6053</v>
      </c>
      <c r="D914" s="2">
        <v>999</v>
      </c>
      <c r="E914" s="2" t="s">
        <v>7825</v>
      </c>
      <c r="F914" s="3" t="s">
        <v>14206</v>
      </c>
      <c r="H914" s="3" t="s">
        <v>656</v>
      </c>
      <c r="K914" s="2">
        <v>10</v>
      </c>
      <c r="L914" s="2">
        <v>3</v>
      </c>
      <c r="M914" s="3" t="s">
        <v>198</v>
      </c>
      <c r="N914" s="3" t="s">
        <v>1444</v>
      </c>
      <c r="O914" s="3" t="s">
        <v>1445</v>
      </c>
      <c r="P914" s="3" t="s">
        <v>1446</v>
      </c>
      <c r="Q914" s="30" t="str">
        <f t="shared" si="14"/>
        <v>MAX : 0.926
TARGET : 0.914
MIN : 0.902</v>
      </c>
    </row>
    <row r="915" spans="2:18" ht="41.4" x14ac:dyDescent="0.3">
      <c r="B915">
        <v>0</v>
      </c>
      <c r="C915" s="33">
        <v>6053</v>
      </c>
      <c r="D915" s="2">
        <v>999</v>
      </c>
      <c r="E915" s="2" t="s">
        <v>7825</v>
      </c>
      <c r="F915" s="3" t="s">
        <v>14206</v>
      </c>
      <c r="H915" s="3" t="s">
        <v>656</v>
      </c>
      <c r="K915" s="2">
        <v>10</v>
      </c>
      <c r="L915" s="2">
        <v>4</v>
      </c>
      <c r="M915" s="3" t="s">
        <v>1447</v>
      </c>
      <c r="N915" s="3" t="s">
        <v>1448</v>
      </c>
      <c r="O915" s="3" t="s">
        <v>86</v>
      </c>
      <c r="P915" s="3" t="s">
        <v>1449</v>
      </c>
      <c r="Q915" s="30" t="str">
        <f t="shared" si="14"/>
        <v>MAX : 0.512
TARGET : 0.500
MIN : 0.488</v>
      </c>
    </row>
    <row r="916" spans="2:18" ht="41.4" x14ac:dyDescent="0.3">
      <c r="B916">
        <v>0</v>
      </c>
      <c r="C916" s="33">
        <v>6053</v>
      </c>
      <c r="D916" s="2">
        <v>999</v>
      </c>
      <c r="E916" s="2" t="s">
        <v>7825</v>
      </c>
      <c r="F916" s="3" t="s">
        <v>14206</v>
      </c>
      <c r="H916" s="3" t="s">
        <v>656</v>
      </c>
      <c r="K916" s="2">
        <v>10</v>
      </c>
      <c r="L916" s="2">
        <v>5</v>
      </c>
      <c r="M916" s="3" t="s">
        <v>1450</v>
      </c>
      <c r="N916" s="3" t="s">
        <v>13</v>
      </c>
      <c r="O916" s="3" t="s">
        <v>14</v>
      </c>
      <c r="Q916" s="30" t="str">
        <f t="shared" si="14"/>
        <v>MAX : 
TARGET : Yes(Pass)
MIN : No(Fail)</v>
      </c>
    </row>
    <row r="917" spans="2:18" ht="41.4" x14ac:dyDescent="0.3">
      <c r="B917">
        <v>0</v>
      </c>
      <c r="C917" s="33">
        <v>6053</v>
      </c>
      <c r="D917" s="2">
        <v>999</v>
      </c>
      <c r="E917" s="2" t="s">
        <v>7825</v>
      </c>
      <c r="F917" s="3" t="s">
        <v>14206</v>
      </c>
      <c r="H917" s="3" t="s">
        <v>656</v>
      </c>
      <c r="K917" s="2">
        <v>10</v>
      </c>
      <c r="L917" s="2">
        <v>6</v>
      </c>
      <c r="M917" s="3" t="s">
        <v>1439</v>
      </c>
      <c r="N917" s="3" t="s">
        <v>13</v>
      </c>
      <c r="O917" s="3" t="s">
        <v>14</v>
      </c>
      <c r="Q917" s="30" t="str">
        <f t="shared" si="14"/>
        <v>MAX : 
TARGET : Yes(Pass)
MIN : No(Fail)</v>
      </c>
    </row>
    <row r="918" spans="2:18" ht="41.4" x14ac:dyDescent="0.3">
      <c r="B918">
        <v>1</v>
      </c>
      <c r="C918" s="33">
        <v>5612</v>
      </c>
      <c r="D918" s="2">
        <v>1768</v>
      </c>
      <c r="E918" s="2" t="s">
        <v>7511</v>
      </c>
      <c r="F918" s="3" t="s">
        <v>14206</v>
      </c>
      <c r="H918" s="3" t="s">
        <v>846</v>
      </c>
      <c r="K918" s="2">
        <v>10</v>
      </c>
      <c r="L918" s="2">
        <v>2</v>
      </c>
      <c r="M918" s="3" t="s">
        <v>325</v>
      </c>
      <c r="N918" s="3" t="s">
        <v>13</v>
      </c>
      <c r="O918" s="3" t="s">
        <v>14</v>
      </c>
      <c r="Q918" s="30" t="str">
        <f t="shared" si="14"/>
        <v>MAX : 
TARGET : Yes(Pass)
MIN : No(Fail)</v>
      </c>
    </row>
    <row r="919" spans="2:18" ht="41.4" x14ac:dyDescent="0.3">
      <c r="B919">
        <v>0</v>
      </c>
      <c r="C919" s="33">
        <v>5354</v>
      </c>
      <c r="D919" s="2">
        <v>956</v>
      </c>
      <c r="E919" s="2" t="s">
        <v>7370</v>
      </c>
      <c r="F919" s="3" t="s">
        <v>14206</v>
      </c>
      <c r="H919" s="3" t="s">
        <v>1069</v>
      </c>
      <c r="K919" s="2">
        <v>10</v>
      </c>
      <c r="L919" s="2">
        <v>1</v>
      </c>
      <c r="M919" s="3" t="s">
        <v>3405</v>
      </c>
      <c r="N919" s="3" t="s">
        <v>1621</v>
      </c>
      <c r="O919" s="3" t="s">
        <v>1781</v>
      </c>
      <c r="P919" s="3" t="s">
        <v>3832</v>
      </c>
      <c r="Q919" s="30" t="str">
        <f t="shared" si="14"/>
        <v>MAX : 1.01
TARGET : 0.98
MIN : 0.95</v>
      </c>
    </row>
    <row r="920" spans="2:18" ht="41.4" x14ac:dyDescent="0.3">
      <c r="B920">
        <v>1</v>
      </c>
      <c r="C920" s="33">
        <v>5630</v>
      </c>
      <c r="D920" s="2">
        <v>969</v>
      </c>
      <c r="E920" s="2" t="s">
        <v>7517</v>
      </c>
      <c r="F920" s="3" t="s">
        <v>14207</v>
      </c>
      <c r="H920" s="3" t="s">
        <v>1154</v>
      </c>
      <c r="K920" s="2">
        <v>20</v>
      </c>
      <c r="L920" s="2">
        <v>2</v>
      </c>
      <c r="M920" s="3" t="s">
        <v>194</v>
      </c>
      <c r="N920" s="3" t="s">
        <v>780</v>
      </c>
      <c r="O920" s="3" t="s">
        <v>257</v>
      </c>
      <c r="P920" s="3" t="s">
        <v>1155</v>
      </c>
      <c r="Q920" s="30" t="str">
        <f t="shared" si="14"/>
        <v>MAX : 15.5
TARGET : 15.0
MIN : 14.5</v>
      </c>
    </row>
    <row r="921" spans="2:18" ht="41.4" x14ac:dyDescent="0.3">
      <c r="B921">
        <v>1</v>
      </c>
      <c r="C921" s="33">
        <v>5630</v>
      </c>
      <c r="D921" s="2">
        <v>969</v>
      </c>
      <c r="E921" s="2" t="s">
        <v>7517</v>
      </c>
      <c r="F921" s="3" t="s">
        <v>14207</v>
      </c>
      <c r="H921" s="3" t="s">
        <v>1154</v>
      </c>
      <c r="K921" s="2">
        <v>20</v>
      </c>
      <c r="L921" s="2">
        <v>1</v>
      </c>
      <c r="M921" s="3" t="s">
        <v>911</v>
      </c>
      <c r="N921" s="3" t="s">
        <v>780</v>
      </c>
      <c r="O921" s="3" t="s">
        <v>257</v>
      </c>
      <c r="P921" s="3" t="s">
        <v>1155</v>
      </c>
      <c r="Q921" s="30" t="str">
        <f t="shared" si="14"/>
        <v>MAX : 15.5
TARGET : 15.0
MIN : 14.5</v>
      </c>
    </row>
    <row r="922" spans="2:18" ht="41.4" x14ac:dyDescent="0.3">
      <c r="B922">
        <v>1</v>
      </c>
      <c r="C922" s="33">
        <v>5631</v>
      </c>
      <c r="D922" s="2">
        <v>970</v>
      </c>
      <c r="E922" s="2" t="s">
        <v>7525</v>
      </c>
      <c r="F922" s="3" t="s">
        <v>14207</v>
      </c>
      <c r="H922" s="3" t="s">
        <v>1154</v>
      </c>
      <c r="K922" s="2">
        <v>20</v>
      </c>
      <c r="L922" s="2">
        <v>2</v>
      </c>
      <c r="M922" s="3" t="s">
        <v>194</v>
      </c>
      <c r="N922" s="3" t="s">
        <v>1164</v>
      </c>
      <c r="O922" s="3" t="s">
        <v>1165</v>
      </c>
      <c r="P922" s="3" t="s">
        <v>1166</v>
      </c>
      <c r="Q922" s="30" t="str">
        <f t="shared" si="14"/>
        <v>MAX : 21.5
TARGET : 21.0
MIN : 20.5</v>
      </c>
    </row>
    <row r="923" spans="2:18" ht="41.4" x14ac:dyDescent="0.3">
      <c r="B923">
        <v>0</v>
      </c>
      <c r="C923" s="33">
        <v>6067</v>
      </c>
      <c r="D923" s="2">
        <v>1000</v>
      </c>
      <c r="E923" s="2" t="s">
        <v>7831</v>
      </c>
      <c r="F923" s="3" t="s">
        <v>14207</v>
      </c>
      <c r="H923" s="3" t="s">
        <v>504</v>
      </c>
      <c r="K923" s="2">
        <v>10</v>
      </c>
      <c r="L923" s="2">
        <v>3</v>
      </c>
      <c r="M923" s="3" t="s">
        <v>1463</v>
      </c>
      <c r="N923" s="3" t="s">
        <v>1464</v>
      </c>
      <c r="O923" s="3" t="s">
        <v>661</v>
      </c>
      <c r="P923" s="3" t="s">
        <v>1465</v>
      </c>
      <c r="Q923" s="30" t="str">
        <f t="shared" si="14"/>
        <v>MAX : 51.0
TARGET : 50.0
MIN : 49.0</v>
      </c>
      <c r="R923" s="3" t="s">
        <v>443</v>
      </c>
    </row>
    <row r="924" spans="2:18" ht="41.4" x14ac:dyDescent="0.3">
      <c r="B924">
        <v>0</v>
      </c>
      <c r="C924" s="33">
        <v>6067</v>
      </c>
      <c r="D924" s="2">
        <v>1000</v>
      </c>
      <c r="E924" s="2" t="s">
        <v>7831</v>
      </c>
      <c r="F924" s="3" t="s">
        <v>14207</v>
      </c>
      <c r="H924" s="3" t="s">
        <v>504</v>
      </c>
      <c r="K924" s="2">
        <v>10</v>
      </c>
      <c r="L924" s="2">
        <v>4</v>
      </c>
      <c r="M924" s="3" t="s">
        <v>1466</v>
      </c>
      <c r="N924" s="3" t="s">
        <v>13</v>
      </c>
      <c r="O924" s="3" t="s">
        <v>14</v>
      </c>
      <c r="Q924" s="30" t="str">
        <f t="shared" si="14"/>
        <v>MAX : 
TARGET : Yes(Pass)
MIN : No(Fail)</v>
      </c>
      <c r="R924" s="3" t="s">
        <v>443</v>
      </c>
    </row>
    <row r="925" spans="2:18" ht="41.4" x14ac:dyDescent="0.3">
      <c r="B925">
        <v>1</v>
      </c>
      <c r="C925" s="33">
        <v>5631</v>
      </c>
      <c r="D925" s="2">
        <v>970</v>
      </c>
      <c r="E925" s="2" t="s">
        <v>7525</v>
      </c>
      <c r="F925" s="3" t="s">
        <v>14207</v>
      </c>
      <c r="H925" s="3" t="s">
        <v>1154</v>
      </c>
      <c r="K925" s="2">
        <v>20</v>
      </c>
      <c r="L925" s="2">
        <v>1</v>
      </c>
      <c r="M925" s="3" t="s">
        <v>911</v>
      </c>
      <c r="N925" s="3" t="s">
        <v>659</v>
      </c>
      <c r="O925" s="3" t="s">
        <v>1162</v>
      </c>
      <c r="P925" s="3" t="s">
        <v>1163</v>
      </c>
      <c r="Q925" s="30" t="str">
        <f t="shared" si="14"/>
        <v>MAX : 27.5
TARGET : 27.0
MIN : 26.5</v>
      </c>
    </row>
    <row r="926" spans="2:18" ht="41.4" x14ac:dyDescent="0.3">
      <c r="B926">
        <v>1</v>
      </c>
      <c r="C926" s="33">
        <v>5632</v>
      </c>
      <c r="D926" s="2">
        <v>971</v>
      </c>
      <c r="E926" s="2" t="s">
        <v>7531</v>
      </c>
      <c r="F926" s="3" t="s">
        <v>14207</v>
      </c>
      <c r="H926" s="3" t="s">
        <v>1154</v>
      </c>
      <c r="K926" s="2">
        <v>20</v>
      </c>
      <c r="L926" s="2">
        <v>2</v>
      </c>
      <c r="M926" s="3" t="s">
        <v>194</v>
      </c>
      <c r="N926" s="3" t="s">
        <v>1164</v>
      </c>
      <c r="O926" s="3" t="s">
        <v>1165</v>
      </c>
      <c r="P926" s="3" t="s">
        <v>1166</v>
      </c>
      <c r="Q926" s="30" t="str">
        <f t="shared" si="14"/>
        <v>MAX : 21.5
TARGET : 21.0
MIN : 20.5</v>
      </c>
    </row>
    <row r="927" spans="2:18" ht="41.4" x14ac:dyDescent="0.3">
      <c r="B927">
        <v>1</v>
      </c>
      <c r="C927" s="33">
        <v>5632</v>
      </c>
      <c r="D927" s="2">
        <v>971</v>
      </c>
      <c r="E927" s="2" t="s">
        <v>7531</v>
      </c>
      <c r="F927" s="3" t="s">
        <v>14207</v>
      </c>
      <c r="H927" s="3" t="s">
        <v>1154</v>
      </c>
      <c r="K927" s="2">
        <v>20</v>
      </c>
      <c r="L927" s="2">
        <v>1</v>
      </c>
      <c r="M927" s="3" t="s">
        <v>868</v>
      </c>
      <c r="N927" s="3" t="s">
        <v>1167</v>
      </c>
      <c r="O927" s="3" t="s">
        <v>1168</v>
      </c>
      <c r="P927" s="3" t="s">
        <v>659</v>
      </c>
      <c r="Q927" s="30" t="str">
        <f t="shared" si="14"/>
        <v>MAX : 26.5
TARGET : 26.0
MIN : 25.5</v>
      </c>
    </row>
    <row r="928" spans="2:18" ht="41.4" x14ac:dyDescent="0.3">
      <c r="B928">
        <v>0</v>
      </c>
      <c r="C928" s="33">
        <v>6107</v>
      </c>
      <c r="D928" s="2">
        <v>1001</v>
      </c>
      <c r="E928" s="2" t="s">
        <v>7839</v>
      </c>
      <c r="F928" s="3" t="s">
        <v>14207</v>
      </c>
      <c r="H928" s="3" t="s">
        <v>1468</v>
      </c>
      <c r="K928" s="2">
        <v>20</v>
      </c>
      <c r="L928" s="2">
        <v>3</v>
      </c>
      <c r="M928" s="3" t="s">
        <v>1478</v>
      </c>
      <c r="N928" s="3" t="s">
        <v>1479</v>
      </c>
      <c r="O928" s="3" t="s">
        <v>1480</v>
      </c>
      <c r="P928" s="3" t="s">
        <v>1481</v>
      </c>
      <c r="Q928" s="30" t="str">
        <f t="shared" si="14"/>
        <v>MAX : 32.80
TARGET : 32.00
MIN : 31.20</v>
      </c>
      <c r="R928" s="3" t="s">
        <v>1473</v>
      </c>
    </row>
    <row r="929" spans="2:18" ht="41.4" x14ac:dyDescent="0.3">
      <c r="B929">
        <v>0</v>
      </c>
      <c r="C929" s="33">
        <v>6107</v>
      </c>
      <c r="D929" s="2">
        <v>1001</v>
      </c>
      <c r="E929" s="2" t="s">
        <v>7839</v>
      </c>
      <c r="F929" s="3" t="s">
        <v>14207</v>
      </c>
      <c r="H929" s="3" t="s">
        <v>1468</v>
      </c>
      <c r="K929" s="2">
        <v>20</v>
      </c>
      <c r="L929" s="2">
        <v>4</v>
      </c>
      <c r="M929" s="3" t="s">
        <v>1482</v>
      </c>
      <c r="N929" s="3" t="s">
        <v>1483</v>
      </c>
      <c r="O929" s="3" t="s">
        <v>356</v>
      </c>
      <c r="P929" s="3" t="s">
        <v>1484</v>
      </c>
      <c r="Q929" s="30" t="str">
        <f t="shared" si="14"/>
        <v>MAX : 7.03
TARGET : 6.23
MIN : 5.43</v>
      </c>
      <c r="R929" s="3" t="s">
        <v>1473</v>
      </c>
    </row>
    <row r="930" spans="2:18" ht="41.4" x14ac:dyDescent="0.3">
      <c r="B930">
        <v>0</v>
      </c>
      <c r="C930" s="33">
        <v>6107</v>
      </c>
      <c r="D930" s="2">
        <v>1001</v>
      </c>
      <c r="E930" s="2" t="s">
        <v>7839</v>
      </c>
      <c r="F930" s="3" t="s">
        <v>14207</v>
      </c>
      <c r="H930" s="3" t="s">
        <v>1468</v>
      </c>
      <c r="K930" s="2">
        <v>20</v>
      </c>
      <c r="L930" s="2">
        <v>5</v>
      </c>
      <c r="M930" s="3" t="s">
        <v>1485</v>
      </c>
      <c r="N930" s="3" t="s">
        <v>1483</v>
      </c>
      <c r="O930" s="3" t="s">
        <v>356</v>
      </c>
      <c r="P930" s="3" t="s">
        <v>1484</v>
      </c>
      <c r="Q930" s="30" t="str">
        <f t="shared" si="14"/>
        <v>MAX : 7.03
TARGET : 6.23
MIN : 5.43</v>
      </c>
      <c r="R930" s="3" t="s">
        <v>1473</v>
      </c>
    </row>
    <row r="931" spans="2:18" ht="41.4" x14ac:dyDescent="0.3">
      <c r="B931">
        <v>0</v>
      </c>
      <c r="C931" s="33">
        <v>6107</v>
      </c>
      <c r="D931" s="2">
        <v>1001</v>
      </c>
      <c r="E931" s="2" t="s">
        <v>7839</v>
      </c>
      <c r="F931" s="3" t="s">
        <v>14207</v>
      </c>
      <c r="H931" s="3" t="s">
        <v>1468</v>
      </c>
      <c r="K931" s="2">
        <v>20</v>
      </c>
      <c r="L931" s="2">
        <v>6</v>
      </c>
      <c r="M931" s="3" t="s">
        <v>1486</v>
      </c>
      <c r="N931" s="3" t="s">
        <v>13</v>
      </c>
      <c r="O931" s="3" t="s">
        <v>14</v>
      </c>
      <c r="Q931" s="30" t="str">
        <f t="shared" si="14"/>
        <v>MAX : 
TARGET : Yes(Pass)
MIN : No(Fail)</v>
      </c>
      <c r="R931" s="3" t="s">
        <v>1473</v>
      </c>
    </row>
    <row r="932" spans="2:18" ht="41.4" x14ac:dyDescent="0.3">
      <c r="B932">
        <v>0</v>
      </c>
      <c r="C932" s="33">
        <v>6107</v>
      </c>
      <c r="D932" s="2">
        <v>1001</v>
      </c>
      <c r="E932" s="2" t="s">
        <v>7839</v>
      </c>
      <c r="F932" s="3" t="s">
        <v>14207</v>
      </c>
      <c r="H932" s="3" t="s">
        <v>1468</v>
      </c>
      <c r="K932" s="2">
        <v>20</v>
      </c>
      <c r="L932" s="2">
        <v>7</v>
      </c>
      <c r="M932" s="3" t="s">
        <v>1487</v>
      </c>
      <c r="N932" s="3" t="s">
        <v>13</v>
      </c>
      <c r="O932" s="3" t="s">
        <v>14</v>
      </c>
      <c r="Q932" s="30" t="str">
        <f t="shared" si="14"/>
        <v>MAX : 
TARGET : Yes(Pass)
MIN : No(Fail)</v>
      </c>
      <c r="R932" s="3" t="s">
        <v>1473</v>
      </c>
    </row>
    <row r="933" spans="2:18" ht="41.4" x14ac:dyDescent="0.3">
      <c r="B933">
        <v>0</v>
      </c>
      <c r="C933" s="33">
        <v>6107</v>
      </c>
      <c r="D933" s="2">
        <v>1001</v>
      </c>
      <c r="E933" s="2" t="s">
        <v>7839</v>
      </c>
      <c r="F933" s="3" t="s">
        <v>14207</v>
      </c>
      <c r="H933" s="3" t="s">
        <v>1468</v>
      </c>
      <c r="K933" s="2">
        <v>20</v>
      </c>
      <c r="L933" s="2">
        <v>8</v>
      </c>
      <c r="M933" s="3" t="s">
        <v>1488</v>
      </c>
      <c r="N933" s="3" t="s">
        <v>13</v>
      </c>
      <c r="O933" s="3" t="s">
        <v>14</v>
      </c>
      <c r="Q933" s="30" t="str">
        <f t="shared" si="14"/>
        <v>MAX : 
TARGET : Yes(Pass)
MIN : No(Fail)</v>
      </c>
      <c r="R933" s="3" t="s">
        <v>1473</v>
      </c>
    </row>
    <row r="934" spans="2:18" ht="41.4" x14ac:dyDescent="0.3">
      <c r="B934">
        <v>1</v>
      </c>
      <c r="C934" s="33">
        <v>5633</v>
      </c>
      <c r="D934" s="2">
        <v>972</v>
      </c>
      <c r="E934" s="2" t="s">
        <v>7538</v>
      </c>
      <c r="F934" s="3" t="s">
        <v>14207</v>
      </c>
      <c r="H934" s="3" t="s">
        <v>1154</v>
      </c>
      <c r="K934" s="2">
        <v>20</v>
      </c>
      <c r="L934" s="2">
        <v>2</v>
      </c>
      <c r="M934" s="3" t="s">
        <v>194</v>
      </c>
      <c r="N934" s="3" t="s">
        <v>956</v>
      </c>
      <c r="O934" s="3" t="s">
        <v>35</v>
      </c>
      <c r="P934" s="3" t="s">
        <v>957</v>
      </c>
      <c r="Q934" s="30" t="str">
        <f t="shared" si="14"/>
        <v>MAX : 19.5
TARGET : 19.0
MIN : 18.5</v>
      </c>
    </row>
    <row r="935" spans="2:18" ht="41.4" x14ac:dyDescent="0.3">
      <c r="B935">
        <v>1</v>
      </c>
      <c r="C935" s="33">
        <v>5633</v>
      </c>
      <c r="D935" s="2">
        <v>972</v>
      </c>
      <c r="E935" s="2" t="s">
        <v>7538</v>
      </c>
      <c r="F935" s="3" t="s">
        <v>14207</v>
      </c>
      <c r="H935" s="3" t="s">
        <v>1154</v>
      </c>
      <c r="K935" s="2">
        <v>20</v>
      </c>
      <c r="L935" s="2">
        <v>1</v>
      </c>
      <c r="M935" s="3" t="s">
        <v>868</v>
      </c>
      <c r="N935" s="3" t="s">
        <v>35</v>
      </c>
      <c r="O935" s="3" t="s">
        <v>957</v>
      </c>
      <c r="P935" s="3" t="s">
        <v>1146</v>
      </c>
      <c r="Q935" s="30" t="str">
        <f t="shared" si="14"/>
        <v>MAX : 20.0
TARGET : 19.5
MIN : 19.0</v>
      </c>
    </row>
    <row r="936" spans="2:18" ht="41.4" x14ac:dyDescent="0.3">
      <c r="B936">
        <v>0</v>
      </c>
      <c r="C936" s="33">
        <v>6108</v>
      </c>
      <c r="D936" s="2">
        <v>1002</v>
      </c>
      <c r="E936" s="2" t="s">
        <v>7846</v>
      </c>
      <c r="F936" s="3" t="s">
        <v>14206</v>
      </c>
      <c r="H936" s="3" t="s">
        <v>648</v>
      </c>
      <c r="K936" s="2">
        <v>10</v>
      </c>
      <c r="L936" s="2">
        <v>3</v>
      </c>
      <c r="M936" s="3" t="s">
        <v>1493</v>
      </c>
      <c r="N936" s="3" t="s">
        <v>1494</v>
      </c>
      <c r="O936" s="3" t="s">
        <v>1495</v>
      </c>
      <c r="P936" s="3" t="s">
        <v>1494</v>
      </c>
      <c r="Q936" s="30" t="str">
        <f t="shared" si="14"/>
        <v>MAX : 0.02
TARGET : 0.0
MIN : 0.02</v>
      </c>
    </row>
    <row r="937" spans="2:18" ht="41.4" x14ac:dyDescent="0.3">
      <c r="B937">
        <v>0</v>
      </c>
      <c r="C937" s="33">
        <v>6108</v>
      </c>
      <c r="D937" s="2">
        <v>1002</v>
      </c>
      <c r="E937" s="2" t="s">
        <v>7846</v>
      </c>
      <c r="F937" s="3" t="s">
        <v>14206</v>
      </c>
      <c r="H937" s="3" t="s">
        <v>648</v>
      </c>
      <c r="K937" s="2">
        <v>10</v>
      </c>
      <c r="L937" s="2">
        <v>4</v>
      </c>
      <c r="M937" s="3" t="s">
        <v>198</v>
      </c>
      <c r="N937" s="3" t="s">
        <v>1496</v>
      </c>
      <c r="O937" s="3" t="s">
        <v>1185</v>
      </c>
      <c r="P937" s="3" t="s">
        <v>1497</v>
      </c>
      <c r="Q937" s="30" t="str">
        <f t="shared" si="14"/>
        <v>MAX : 2.78
TARGET : 2.75
MIN : 2.72</v>
      </c>
    </row>
    <row r="938" spans="2:18" ht="41.4" x14ac:dyDescent="0.3">
      <c r="B938">
        <v>0</v>
      </c>
      <c r="C938" s="33">
        <v>6108</v>
      </c>
      <c r="D938" s="2">
        <v>1002</v>
      </c>
      <c r="E938" s="2" t="s">
        <v>7846</v>
      </c>
      <c r="F938" s="3" t="s">
        <v>14206</v>
      </c>
      <c r="H938" s="3" t="s">
        <v>648</v>
      </c>
      <c r="K938" s="2">
        <v>10</v>
      </c>
      <c r="L938" s="2">
        <v>5</v>
      </c>
      <c r="M938" s="3" t="s">
        <v>194</v>
      </c>
      <c r="N938" s="3" t="s">
        <v>1498</v>
      </c>
      <c r="O938" s="3" t="s">
        <v>855</v>
      </c>
      <c r="P938" s="3" t="s">
        <v>1499</v>
      </c>
      <c r="Q938" s="30" t="str">
        <f t="shared" si="14"/>
        <v>MAX : 15.09
TARGET : 15.00
MIN : 14.91</v>
      </c>
    </row>
    <row r="939" spans="2:18" ht="41.4" x14ac:dyDescent="0.3">
      <c r="B939">
        <v>1</v>
      </c>
      <c r="C939" s="33">
        <v>5633</v>
      </c>
      <c r="D939" s="2">
        <v>972</v>
      </c>
      <c r="E939" s="2" t="s">
        <v>7538</v>
      </c>
      <c r="F939" s="3" t="s">
        <v>14207</v>
      </c>
      <c r="H939" s="3" t="s">
        <v>1154</v>
      </c>
      <c r="K939" s="2">
        <v>10</v>
      </c>
      <c r="L939" s="2">
        <v>1</v>
      </c>
      <c r="M939" s="3" t="s">
        <v>2405</v>
      </c>
      <c r="N939" s="3" t="s">
        <v>418</v>
      </c>
      <c r="O939" s="3" t="s">
        <v>2407</v>
      </c>
      <c r="P939" s="3" t="s">
        <v>96</v>
      </c>
      <c r="Q939" s="30" t="str">
        <f t="shared" si="14"/>
        <v>MAX : 1.625
TARGET : 1.5
MIN : 1.22</v>
      </c>
    </row>
    <row r="940" spans="2:18" ht="41.4" x14ac:dyDescent="0.3">
      <c r="B940">
        <v>1</v>
      </c>
      <c r="C940" s="33">
        <v>5635</v>
      </c>
      <c r="D940" s="2">
        <v>973</v>
      </c>
      <c r="E940" s="2" t="s">
        <v>7544</v>
      </c>
      <c r="F940" s="3" t="s">
        <v>1170</v>
      </c>
      <c r="K940" t="s">
        <v>6295</v>
      </c>
      <c r="Q940" s="30" t="str">
        <f t="shared" si="14"/>
        <v xml:space="preserve">MAX : 
TARGET : 
MIN : </v>
      </c>
    </row>
    <row r="941" spans="2:18" ht="41.4" x14ac:dyDescent="0.3">
      <c r="B941">
        <v>0</v>
      </c>
      <c r="C941" s="33">
        <v>6111</v>
      </c>
      <c r="D941" s="2">
        <v>1787</v>
      </c>
      <c r="E941" s="2" t="s">
        <v>7853</v>
      </c>
      <c r="F941" s="3" t="s">
        <v>14206</v>
      </c>
      <c r="H941" s="3" t="s">
        <v>289</v>
      </c>
      <c r="K941" s="2">
        <v>20</v>
      </c>
      <c r="L941" s="2">
        <v>3</v>
      </c>
      <c r="M941" s="3" t="s">
        <v>1503</v>
      </c>
      <c r="N941" s="3" t="s">
        <v>13</v>
      </c>
      <c r="O941" s="3" t="s">
        <v>14</v>
      </c>
      <c r="Q941" s="30" t="str">
        <f t="shared" si="14"/>
        <v>MAX : 
TARGET : Yes(Pass)
MIN : No(Fail)</v>
      </c>
    </row>
    <row r="942" spans="2:18" ht="41.4" x14ac:dyDescent="0.3">
      <c r="B942">
        <v>1</v>
      </c>
      <c r="C942" s="33">
        <v>5651</v>
      </c>
      <c r="D942" s="2">
        <v>974</v>
      </c>
      <c r="E942" s="2" t="s">
        <v>7555</v>
      </c>
      <c r="F942" s="3" t="s">
        <v>14215</v>
      </c>
      <c r="H942" s="3" t="s">
        <v>1183</v>
      </c>
      <c r="I942" s="3" t="s">
        <v>575</v>
      </c>
      <c r="K942" s="2">
        <v>10</v>
      </c>
      <c r="L942" s="2">
        <v>2</v>
      </c>
      <c r="M942" s="3" t="s">
        <v>1186</v>
      </c>
      <c r="N942" s="3" t="s">
        <v>790</v>
      </c>
      <c r="O942" s="3" t="s">
        <v>76</v>
      </c>
      <c r="P942" s="3" t="s">
        <v>1185</v>
      </c>
      <c r="Q942" s="30" t="str">
        <f t="shared" si="14"/>
        <v>MAX : 2.75
TARGET : 2.50
MIN : 2.25</v>
      </c>
    </row>
    <row r="943" spans="2:18" ht="41.4" x14ac:dyDescent="0.3">
      <c r="B943">
        <v>1</v>
      </c>
      <c r="C943" s="33">
        <v>5651</v>
      </c>
      <c r="D943" s="2">
        <v>974</v>
      </c>
      <c r="E943" s="2" t="s">
        <v>7555</v>
      </c>
      <c r="F943" s="3" t="s">
        <v>14215</v>
      </c>
      <c r="H943" s="3" t="s">
        <v>1183</v>
      </c>
      <c r="I943" s="3" t="s">
        <v>575</v>
      </c>
      <c r="K943" s="2">
        <v>10</v>
      </c>
      <c r="L943" s="2">
        <v>1</v>
      </c>
      <c r="M943" s="3" t="s">
        <v>1184</v>
      </c>
      <c r="N943" s="3" t="s">
        <v>790</v>
      </c>
      <c r="O943" s="3" t="s">
        <v>76</v>
      </c>
      <c r="P943" s="3" t="s">
        <v>1185</v>
      </c>
      <c r="Q943" s="30" t="str">
        <f t="shared" si="14"/>
        <v>MAX : 2.75
TARGET : 2.50
MIN : 2.25</v>
      </c>
    </row>
    <row r="944" spans="2:18" ht="41.4" x14ac:dyDescent="0.3">
      <c r="B944">
        <v>1</v>
      </c>
      <c r="C944" s="33">
        <v>5651</v>
      </c>
      <c r="D944" s="2">
        <v>974</v>
      </c>
      <c r="E944" s="2" t="s">
        <v>7555</v>
      </c>
      <c r="F944" s="3" t="s">
        <v>14215</v>
      </c>
      <c r="H944" s="3" t="s">
        <v>1183</v>
      </c>
      <c r="I944" s="3" t="s">
        <v>575</v>
      </c>
      <c r="K944" s="2">
        <v>10</v>
      </c>
      <c r="L944" s="2">
        <v>10</v>
      </c>
      <c r="M944" s="3" t="s">
        <v>4783</v>
      </c>
      <c r="N944" s="3" t="s">
        <v>4784</v>
      </c>
      <c r="O944" s="3" t="s">
        <v>4785</v>
      </c>
      <c r="P944" s="3" t="s">
        <v>4786</v>
      </c>
      <c r="Q944" s="30" t="str">
        <f t="shared" si="14"/>
        <v>MAX : 15.31
TARGET : 15.06
MIN : 14.81</v>
      </c>
    </row>
    <row r="945" spans="2:18" ht="41.4" x14ac:dyDescent="0.3">
      <c r="B945">
        <v>1</v>
      </c>
      <c r="C945" s="33">
        <v>5651</v>
      </c>
      <c r="D945" s="2">
        <v>974</v>
      </c>
      <c r="E945" s="2" t="s">
        <v>7555</v>
      </c>
      <c r="F945" s="3" t="s">
        <v>14215</v>
      </c>
      <c r="H945" s="3" t="s">
        <v>1183</v>
      </c>
      <c r="I945" s="3" t="s">
        <v>575</v>
      </c>
      <c r="K945" s="2">
        <v>10</v>
      </c>
      <c r="L945" s="2">
        <v>26</v>
      </c>
      <c r="M945" s="3" t="s">
        <v>5361</v>
      </c>
      <c r="N945" s="3" t="s">
        <v>24</v>
      </c>
      <c r="O945" s="3" t="s">
        <v>25</v>
      </c>
      <c r="Q945" s="30" t="str">
        <f t="shared" si="14"/>
        <v>MAX : 
TARGET : Yes (Pass)
MIN : No (Fail)</v>
      </c>
    </row>
    <row r="946" spans="2:18" ht="41.4" x14ac:dyDescent="0.3">
      <c r="B946">
        <v>1</v>
      </c>
      <c r="C946" s="33">
        <v>5651</v>
      </c>
      <c r="D946" s="2">
        <v>974</v>
      </c>
      <c r="E946" s="2" t="s">
        <v>7555</v>
      </c>
      <c r="F946" s="3" t="s">
        <v>14215</v>
      </c>
      <c r="H946" s="3" t="s">
        <v>1183</v>
      </c>
      <c r="I946" s="3" t="s">
        <v>575</v>
      </c>
      <c r="K946" s="2">
        <v>10</v>
      </c>
      <c r="L946" s="2">
        <v>22</v>
      </c>
      <c r="M946" s="3" t="s">
        <v>5769</v>
      </c>
      <c r="N946" s="3" t="s">
        <v>5770</v>
      </c>
      <c r="O946" s="3" t="s">
        <v>775</v>
      </c>
      <c r="P946" s="3" t="s">
        <v>424</v>
      </c>
      <c r="Q946" s="30" t="str">
        <f t="shared" si="14"/>
        <v>MAX : 0.25
TARGET : 0.00
MIN : -0.25</v>
      </c>
    </row>
    <row r="947" spans="2:18" ht="41.4" x14ac:dyDescent="0.3">
      <c r="B947">
        <v>1</v>
      </c>
      <c r="C947" s="33">
        <v>5651</v>
      </c>
      <c r="D947" s="2">
        <v>974</v>
      </c>
      <c r="E947" s="2" t="s">
        <v>7555</v>
      </c>
      <c r="F947" s="3" t="s">
        <v>14215</v>
      </c>
      <c r="H947" s="3" t="s">
        <v>1183</v>
      </c>
      <c r="I947" s="3" t="s">
        <v>575</v>
      </c>
      <c r="K947" s="2">
        <v>10</v>
      </c>
      <c r="L947" s="2">
        <v>11</v>
      </c>
      <c r="M947" s="3" t="s">
        <v>4787</v>
      </c>
      <c r="N947" s="3" t="s">
        <v>4788</v>
      </c>
      <c r="O947" s="3" t="s">
        <v>4789</v>
      </c>
      <c r="P947" s="3" t="s">
        <v>4790</v>
      </c>
      <c r="Q947" s="30" t="str">
        <f t="shared" si="14"/>
        <v>MAX : 41.70
TARGET : 41.45
MIN : 41.20</v>
      </c>
    </row>
    <row r="948" spans="2:18" ht="41.4" x14ac:dyDescent="0.3">
      <c r="B948">
        <v>1</v>
      </c>
      <c r="C948" s="33">
        <v>5651</v>
      </c>
      <c r="D948" s="2">
        <v>974</v>
      </c>
      <c r="E948" s="2" t="s">
        <v>7555</v>
      </c>
      <c r="F948" s="3" t="s">
        <v>14215</v>
      </c>
      <c r="H948" s="3" t="s">
        <v>1183</v>
      </c>
      <c r="I948" s="3" t="s">
        <v>575</v>
      </c>
      <c r="K948" s="2">
        <v>10</v>
      </c>
      <c r="L948" s="2">
        <v>23</v>
      </c>
      <c r="M948" s="3" t="s">
        <v>5771</v>
      </c>
      <c r="N948" s="3" t="s">
        <v>5770</v>
      </c>
      <c r="O948" s="3" t="s">
        <v>775</v>
      </c>
      <c r="P948" s="3" t="s">
        <v>424</v>
      </c>
      <c r="Q948" s="30" t="str">
        <f t="shared" si="14"/>
        <v>MAX : 0.25
TARGET : 0.00
MIN : -0.25</v>
      </c>
    </row>
    <row r="949" spans="2:18" ht="41.4" x14ac:dyDescent="0.3">
      <c r="B949">
        <v>1</v>
      </c>
      <c r="C949" s="33">
        <v>5660</v>
      </c>
      <c r="D949" s="2">
        <v>975</v>
      </c>
      <c r="E949" s="2" t="s">
        <v>7562</v>
      </c>
      <c r="F949" s="3" t="s">
        <v>14216</v>
      </c>
      <c r="H949" s="3" t="s">
        <v>727</v>
      </c>
      <c r="K949" s="2">
        <v>20</v>
      </c>
      <c r="L949" s="2">
        <v>1</v>
      </c>
      <c r="M949" s="3" t="s">
        <v>1207</v>
      </c>
      <c r="N949" s="3" t="s">
        <v>1208</v>
      </c>
      <c r="O949" s="3" t="s">
        <v>1209</v>
      </c>
      <c r="P949" s="3" t="s">
        <v>1210</v>
      </c>
      <c r="Q949" s="30" t="str">
        <f t="shared" si="14"/>
        <v>MAX : 31.00
TARGET : 30.00
MIN : 29.00</v>
      </c>
    </row>
    <row r="950" spans="2:18" ht="41.4" x14ac:dyDescent="0.3">
      <c r="B950">
        <v>1</v>
      </c>
      <c r="C950" s="33">
        <v>5660</v>
      </c>
      <c r="D950" s="2">
        <v>975</v>
      </c>
      <c r="E950" s="2" t="s">
        <v>7562</v>
      </c>
      <c r="F950" s="3" t="s">
        <v>14216</v>
      </c>
      <c r="H950" s="3" t="s">
        <v>727</v>
      </c>
      <c r="K950" s="2">
        <v>20</v>
      </c>
      <c r="L950" s="2">
        <v>2</v>
      </c>
      <c r="M950" s="3" t="s">
        <v>1203</v>
      </c>
      <c r="N950" s="3" t="s">
        <v>1204</v>
      </c>
      <c r="O950" s="3" t="s">
        <v>1205</v>
      </c>
      <c r="P950" s="3" t="s">
        <v>1206</v>
      </c>
      <c r="Q950" s="30" t="str">
        <f t="shared" si="14"/>
        <v>MAX : 81.50
TARGET : 80.00
MIN : 78.50</v>
      </c>
    </row>
    <row r="951" spans="2:18" ht="41.4" x14ac:dyDescent="0.3">
      <c r="B951">
        <v>0</v>
      </c>
      <c r="C951" s="33">
        <v>6173</v>
      </c>
      <c r="D951" s="2">
        <v>1004</v>
      </c>
      <c r="E951" s="2" t="s">
        <v>7883</v>
      </c>
      <c r="F951" s="3" t="s">
        <v>14206</v>
      </c>
      <c r="H951" s="3" t="s">
        <v>656</v>
      </c>
      <c r="K951" s="2">
        <v>10</v>
      </c>
      <c r="L951" s="2">
        <v>3</v>
      </c>
      <c r="M951" s="3" t="s">
        <v>1518</v>
      </c>
      <c r="N951" s="3" t="s">
        <v>1519</v>
      </c>
      <c r="O951" s="3" t="s">
        <v>1520</v>
      </c>
      <c r="P951" s="3" t="s">
        <v>1521</v>
      </c>
      <c r="Q951" s="30" t="str">
        <f t="shared" si="14"/>
        <v>MAX : 0.24
TARGET : 0.21
MIN : 0.18</v>
      </c>
    </row>
    <row r="952" spans="2:18" ht="41.4" x14ac:dyDescent="0.3">
      <c r="B952">
        <v>0</v>
      </c>
      <c r="C952" s="33">
        <v>6173</v>
      </c>
      <c r="D952" s="2">
        <v>1004</v>
      </c>
      <c r="E952" s="2" t="s">
        <v>7883</v>
      </c>
      <c r="F952" s="3" t="s">
        <v>14206</v>
      </c>
      <c r="H952" s="3" t="s">
        <v>656</v>
      </c>
      <c r="K952" s="2">
        <v>10</v>
      </c>
      <c r="L952" s="2">
        <v>4</v>
      </c>
      <c r="M952" s="3" t="s">
        <v>1522</v>
      </c>
      <c r="N952" s="3" t="s">
        <v>1523</v>
      </c>
      <c r="O952" s="3" t="s">
        <v>1524</v>
      </c>
      <c r="P952" s="3" t="s">
        <v>1525</v>
      </c>
      <c r="Q952" s="30" t="str">
        <f t="shared" si="14"/>
        <v>MAX : 1.660
TARGET : 1.640
MIN : 1.620</v>
      </c>
    </row>
    <row r="953" spans="2:18" ht="41.4" x14ac:dyDescent="0.3">
      <c r="B953">
        <v>0</v>
      </c>
      <c r="C953" s="33">
        <v>6173</v>
      </c>
      <c r="D953" s="2">
        <v>1004</v>
      </c>
      <c r="E953" s="2" t="s">
        <v>7883</v>
      </c>
      <c r="F953" s="3" t="s">
        <v>14206</v>
      </c>
      <c r="H953" s="3" t="s">
        <v>656</v>
      </c>
      <c r="K953" s="2">
        <v>10</v>
      </c>
      <c r="L953" s="2">
        <v>5</v>
      </c>
      <c r="M953" s="3" t="s">
        <v>1526</v>
      </c>
      <c r="N953" s="3" t="s">
        <v>1527</v>
      </c>
      <c r="O953" s="3" t="s">
        <v>1344</v>
      </c>
      <c r="P953" s="3" t="s">
        <v>700</v>
      </c>
      <c r="Q953" s="30" t="str">
        <f t="shared" si="14"/>
        <v>MAX : 0.360
TARGET : 0.340
MIN : 0.320</v>
      </c>
    </row>
    <row r="954" spans="2:18" ht="41.4" x14ac:dyDescent="0.3">
      <c r="B954">
        <v>0</v>
      </c>
      <c r="C954" s="33">
        <v>6173</v>
      </c>
      <c r="D954" s="2">
        <v>1004</v>
      </c>
      <c r="E954" s="2" t="s">
        <v>7883</v>
      </c>
      <c r="F954" s="3" t="s">
        <v>14206</v>
      </c>
      <c r="H954" s="3" t="s">
        <v>656</v>
      </c>
      <c r="K954" s="2">
        <v>10</v>
      </c>
      <c r="L954" s="2">
        <v>6</v>
      </c>
      <c r="M954" s="3" t="s">
        <v>1528</v>
      </c>
      <c r="N954" s="3" t="s">
        <v>13</v>
      </c>
      <c r="O954" s="3" t="s">
        <v>14</v>
      </c>
      <c r="Q954" s="30" t="str">
        <f t="shared" si="14"/>
        <v>MAX : 
TARGET : Yes(Pass)
MIN : No(Fail)</v>
      </c>
    </row>
    <row r="955" spans="2:18" ht="41.4" x14ac:dyDescent="0.3">
      <c r="B955">
        <v>0</v>
      </c>
      <c r="C955" s="33">
        <v>6173</v>
      </c>
      <c r="D955" s="2">
        <v>1004</v>
      </c>
      <c r="E955" s="2" t="s">
        <v>7883</v>
      </c>
      <c r="F955" s="3" t="s">
        <v>14206</v>
      </c>
      <c r="H955" s="3" t="s">
        <v>656</v>
      </c>
      <c r="K955" s="2">
        <v>10</v>
      </c>
      <c r="L955" s="2">
        <v>7</v>
      </c>
      <c r="M955" s="3" t="s">
        <v>1529</v>
      </c>
      <c r="N955" s="3" t="s">
        <v>13</v>
      </c>
      <c r="O955" s="3" t="s">
        <v>14</v>
      </c>
      <c r="Q955" s="30" t="str">
        <f t="shared" si="14"/>
        <v>MAX : 
TARGET : Yes(Pass)
MIN : No(Fail)</v>
      </c>
    </row>
    <row r="956" spans="2:18" ht="41.4" x14ac:dyDescent="0.3">
      <c r="B956">
        <v>0</v>
      </c>
      <c r="C956" s="33">
        <v>6173</v>
      </c>
      <c r="D956" s="2">
        <v>1004</v>
      </c>
      <c r="E956" s="2" t="s">
        <v>7883</v>
      </c>
      <c r="F956" s="3" t="s">
        <v>14206</v>
      </c>
      <c r="H956" s="3" t="s">
        <v>656</v>
      </c>
      <c r="K956" s="2">
        <v>10</v>
      </c>
      <c r="L956" s="2">
        <v>8</v>
      </c>
      <c r="M956" s="3" t="s">
        <v>1530</v>
      </c>
      <c r="N956" s="3" t="s">
        <v>13</v>
      </c>
      <c r="O956" s="3" t="s">
        <v>14</v>
      </c>
      <c r="Q956" s="30" t="str">
        <f t="shared" si="14"/>
        <v>MAX : 
TARGET : Yes(Pass)
MIN : No(Fail)</v>
      </c>
    </row>
    <row r="957" spans="2:18" ht="41.4" x14ac:dyDescent="0.3">
      <c r="B957">
        <v>1</v>
      </c>
      <c r="C957" s="33">
        <v>5672</v>
      </c>
      <c r="D957" s="2">
        <v>976</v>
      </c>
      <c r="E957" s="2" t="s">
        <v>7569</v>
      </c>
      <c r="F957" s="3" t="s">
        <v>14206</v>
      </c>
      <c r="H957" s="3" t="s">
        <v>922</v>
      </c>
      <c r="K957" s="2">
        <v>10</v>
      </c>
      <c r="L957" s="2">
        <v>2</v>
      </c>
      <c r="M957" s="3" t="s">
        <v>18</v>
      </c>
      <c r="N957" s="3" t="s">
        <v>927</v>
      </c>
      <c r="O957" s="3" t="s">
        <v>276</v>
      </c>
      <c r="P957" s="3" t="s">
        <v>928</v>
      </c>
      <c r="Q957" s="30" t="str">
        <f t="shared" si="14"/>
        <v>MAX : 0.395
TARGET : 0.375
MIN : 0.355</v>
      </c>
      <c r="R957" s="3" t="s">
        <v>1112</v>
      </c>
    </row>
    <row r="958" spans="2:18" ht="41.4" x14ac:dyDescent="0.3">
      <c r="B958">
        <v>1</v>
      </c>
      <c r="C958" s="33">
        <v>5672</v>
      </c>
      <c r="D958" s="2">
        <v>976</v>
      </c>
      <c r="E958" s="2" t="s">
        <v>7569</v>
      </c>
      <c r="F958" s="3" t="s">
        <v>14206</v>
      </c>
      <c r="H958" s="3" t="s">
        <v>922</v>
      </c>
      <c r="K958" s="2">
        <v>10</v>
      </c>
      <c r="L958" s="2">
        <v>1</v>
      </c>
      <c r="M958" s="3" t="s">
        <v>70</v>
      </c>
      <c r="N958" s="3" t="s">
        <v>1245</v>
      </c>
      <c r="O958" s="3" t="s">
        <v>1246</v>
      </c>
      <c r="P958" s="3" t="s">
        <v>1247</v>
      </c>
      <c r="Q958" s="30" t="str">
        <f t="shared" si="14"/>
        <v>MAX : 4.443
TARGET : 4.423
MIN : 4.403</v>
      </c>
      <c r="R958" s="3" t="s">
        <v>1112</v>
      </c>
    </row>
    <row r="959" spans="2:18" ht="41.4" x14ac:dyDescent="0.3">
      <c r="B959">
        <v>0</v>
      </c>
      <c r="C959" s="33">
        <v>6180</v>
      </c>
      <c r="D959" s="2">
        <v>1005</v>
      </c>
      <c r="E959" s="2" t="s">
        <v>7891</v>
      </c>
      <c r="F959" s="3" t="s">
        <v>14206</v>
      </c>
      <c r="H959" s="3" t="s">
        <v>73</v>
      </c>
      <c r="K959" s="2">
        <v>20</v>
      </c>
      <c r="L959" s="2">
        <v>3</v>
      </c>
      <c r="M959" s="3" t="s">
        <v>1534</v>
      </c>
      <c r="N959" s="3" t="s">
        <v>979</v>
      </c>
      <c r="O959" s="3" t="s">
        <v>309</v>
      </c>
      <c r="P959" s="3" t="s">
        <v>1531</v>
      </c>
      <c r="Q959" s="30" t="str">
        <f t="shared" si="14"/>
        <v>MAX : 0.56
TARGET : 0.50
MIN : 0.44</v>
      </c>
    </row>
    <row r="960" spans="2:18" ht="41.4" x14ac:dyDescent="0.3">
      <c r="B960">
        <v>0</v>
      </c>
      <c r="C960" s="33">
        <v>6180</v>
      </c>
      <c r="D960" s="2">
        <v>1005</v>
      </c>
      <c r="E960" s="2" t="s">
        <v>7891</v>
      </c>
      <c r="F960" s="3" t="s">
        <v>14206</v>
      </c>
      <c r="H960" s="3" t="s">
        <v>73</v>
      </c>
      <c r="K960" s="2">
        <v>20</v>
      </c>
      <c r="L960" s="2">
        <v>4</v>
      </c>
      <c r="M960" s="3" t="s">
        <v>1535</v>
      </c>
      <c r="N960" s="3" t="s">
        <v>864</v>
      </c>
      <c r="O960" s="3" t="s">
        <v>864</v>
      </c>
      <c r="P960" s="3" t="s">
        <v>1536</v>
      </c>
      <c r="Q960" s="30" t="str">
        <f t="shared" si="14"/>
        <v>MAX : 0.06
TARGET : 0
MIN : 0</v>
      </c>
    </row>
    <row r="961" spans="2:18" ht="41.4" x14ac:dyDescent="0.3">
      <c r="B961">
        <v>0</v>
      </c>
      <c r="C961" s="33">
        <v>6180</v>
      </c>
      <c r="D961" s="2">
        <v>1005</v>
      </c>
      <c r="E961" s="2" t="s">
        <v>7891</v>
      </c>
      <c r="F961" s="3" t="s">
        <v>14206</v>
      </c>
      <c r="H961" s="3" t="s">
        <v>73</v>
      </c>
      <c r="K961" s="2">
        <v>20</v>
      </c>
      <c r="L961" s="2">
        <v>5</v>
      </c>
      <c r="M961" s="3" t="s">
        <v>1537</v>
      </c>
      <c r="N961" s="3" t="s">
        <v>979</v>
      </c>
      <c r="O961" s="3" t="s">
        <v>309</v>
      </c>
      <c r="P961" s="3" t="s">
        <v>1531</v>
      </c>
      <c r="Q961" s="30" t="str">
        <f t="shared" si="14"/>
        <v>MAX : 0.56
TARGET : 0.50
MIN : 0.44</v>
      </c>
    </row>
    <row r="962" spans="2:18" ht="41.4" x14ac:dyDescent="0.3">
      <c r="B962">
        <v>0</v>
      </c>
      <c r="C962" s="33">
        <v>6180</v>
      </c>
      <c r="D962" s="2">
        <v>1005</v>
      </c>
      <c r="E962" s="2" t="s">
        <v>7891</v>
      </c>
      <c r="F962" s="3" t="s">
        <v>14206</v>
      </c>
      <c r="H962" s="3" t="s">
        <v>73</v>
      </c>
      <c r="K962" s="2">
        <v>20</v>
      </c>
      <c r="L962" s="2">
        <v>6</v>
      </c>
      <c r="M962" s="3" t="s">
        <v>1538</v>
      </c>
      <c r="N962" s="3" t="s">
        <v>485</v>
      </c>
      <c r="O962" s="3" t="s">
        <v>272</v>
      </c>
      <c r="P962" s="3" t="s">
        <v>507</v>
      </c>
      <c r="Q962" s="30" t="str">
        <f t="shared" ref="Q962:Q1025" si="15">"MAX : " &amp; P962 &amp; CHAR(10) &amp; "TARGET : " &amp; O962 &amp; CHAR(10) &amp; "MIN : " &amp; N962</f>
        <v>MAX : 1.06
TARGET : 1.00
MIN : 0.94</v>
      </c>
    </row>
    <row r="963" spans="2:18" ht="41.4" x14ac:dyDescent="0.3">
      <c r="B963">
        <v>0</v>
      </c>
      <c r="C963" s="33">
        <v>6180</v>
      </c>
      <c r="D963" s="2">
        <v>1005</v>
      </c>
      <c r="E963" s="2" t="s">
        <v>7891</v>
      </c>
      <c r="F963" s="3" t="s">
        <v>14206</v>
      </c>
      <c r="H963" s="3" t="s">
        <v>73</v>
      </c>
      <c r="K963" s="2">
        <v>20</v>
      </c>
      <c r="L963" s="2">
        <v>7</v>
      </c>
      <c r="M963" s="3" t="s">
        <v>134</v>
      </c>
      <c r="N963" s="3" t="s">
        <v>13</v>
      </c>
      <c r="O963" s="3" t="s">
        <v>14</v>
      </c>
      <c r="Q963" s="30" t="str">
        <f t="shared" si="15"/>
        <v>MAX : 
TARGET : Yes(Pass)
MIN : No(Fail)</v>
      </c>
    </row>
    <row r="964" spans="2:18" ht="41.4" x14ac:dyDescent="0.3">
      <c r="B964">
        <v>1</v>
      </c>
      <c r="C964" s="33">
        <v>5673</v>
      </c>
      <c r="D964" s="2">
        <v>977</v>
      </c>
      <c r="E964" s="2" t="s">
        <v>7575</v>
      </c>
      <c r="F964" s="3" t="s">
        <v>14206</v>
      </c>
      <c r="H964" s="3" t="s">
        <v>922</v>
      </c>
      <c r="K964" s="2">
        <v>20</v>
      </c>
      <c r="L964" s="2">
        <v>2</v>
      </c>
      <c r="M964" s="3" t="s">
        <v>18</v>
      </c>
      <c r="N964" s="3" t="s">
        <v>1237</v>
      </c>
      <c r="O964" s="3" t="s">
        <v>1238</v>
      </c>
      <c r="P964" s="3" t="s">
        <v>1239</v>
      </c>
      <c r="Q964" s="30" t="str">
        <f t="shared" si="15"/>
        <v>MAX : 1.346
TARGET : 1.326
MIN : 1.306</v>
      </c>
      <c r="R964" s="3" t="s">
        <v>926</v>
      </c>
    </row>
    <row r="965" spans="2:18" ht="41.4" x14ac:dyDescent="0.3">
      <c r="B965">
        <v>1</v>
      </c>
      <c r="C965" s="33">
        <v>5673</v>
      </c>
      <c r="D965" s="2">
        <v>977</v>
      </c>
      <c r="E965" s="2" t="s">
        <v>7575</v>
      </c>
      <c r="F965" s="3" t="s">
        <v>14206</v>
      </c>
      <c r="H965" s="3" t="s">
        <v>922</v>
      </c>
      <c r="K965" s="2">
        <v>20</v>
      </c>
      <c r="L965" s="2">
        <v>1</v>
      </c>
      <c r="M965" s="3" t="s">
        <v>22</v>
      </c>
      <c r="N965" s="3" t="s">
        <v>1234</v>
      </c>
      <c r="O965" s="3" t="s">
        <v>1235</v>
      </c>
      <c r="P965" s="3" t="s">
        <v>1236</v>
      </c>
      <c r="Q965" s="30" t="str">
        <f t="shared" si="15"/>
        <v>MAX : 9.699
TARGET : 9.679
MIN : 9.659</v>
      </c>
      <c r="R965" s="3" t="s">
        <v>926</v>
      </c>
    </row>
    <row r="966" spans="2:18" ht="41.4" x14ac:dyDescent="0.3">
      <c r="B966">
        <v>0</v>
      </c>
      <c r="C966" s="33">
        <v>6199</v>
      </c>
      <c r="D966" s="2">
        <v>1006</v>
      </c>
      <c r="E966" s="2" t="s">
        <v>7898</v>
      </c>
      <c r="F966" s="3" t="s">
        <v>14207</v>
      </c>
      <c r="H966" s="3" t="s">
        <v>426</v>
      </c>
      <c r="K966" s="2">
        <v>20</v>
      </c>
      <c r="L966" s="2">
        <v>3</v>
      </c>
      <c r="M966" s="3" t="s">
        <v>1545</v>
      </c>
      <c r="N966" s="3" t="s">
        <v>13</v>
      </c>
      <c r="O966" s="3" t="s">
        <v>14</v>
      </c>
      <c r="Q966" s="30" t="str">
        <f t="shared" si="15"/>
        <v>MAX : 
TARGET : Yes(Pass)
MIN : No(Fail)</v>
      </c>
    </row>
    <row r="967" spans="2:18" ht="41.4" x14ac:dyDescent="0.3">
      <c r="B967">
        <v>0</v>
      </c>
      <c r="C967" s="33">
        <v>6199</v>
      </c>
      <c r="D967" s="2">
        <v>1006</v>
      </c>
      <c r="E967" s="2" t="s">
        <v>7898</v>
      </c>
      <c r="F967" s="3" t="s">
        <v>14207</v>
      </c>
      <c r="H967" s="3" t="s">
        <v>426</v>
      </c>
      <c r="K967" s="2">
        <v>20</v>
      </c>
      <c r="L967" s="2">
        <v>4</v>
      </c>
      <c r="M967" s="3" t="s">
        <v>134</v>
      </c>
      <c r="N967" s="3" t="s">
        <v>13</v>
      </c>
      <c r="O967" s="3" t="s">
        <v>14</v>
      </c>
      <c r="Q967" s="30" t="str">
        <f t="shared" si="15"/>
        <v>MAX : 
TARGET : Yes(Pass)
MIN : No(Fail)</v>
      </c>
    </row>
    <row r="968" spans="2:18" ht="41.4" x14ac:dyDescent="0.3">
      <c r="B968">
        <v>1</v>
      </c>
      <c r="C968" s="33">
        <v>5674</v>
      </c>
      <c r="D968" s="2">
        <v>978</v>
      </c>
      <c r="E968" s="2" t="s">
        <v>7581</v>
      </c>
      <c r="F968" s="3" t="s">
        <v>14206</v>
      </c>
      <c r="H968" s="3" t="s">
        <v>648</v>
      </c>
      <c r="K968" s="2">
        <v>10</v>
      </c>
      <c r="L968" s="2">
        <v>2</v>
      </c>
      <c r="M968" s="3" t="s">
        <v>22</v>
      </c>
      <c r="N968" s="3" t="s">
        <v>1217</v>
      </c>
      <c r="O968" s="3" t="s">
        <v>1218</v>
      </c>
      <c r="P968" s="3" t="s">
        <v>1219</v>
      </c>
      <c r="Q968" s="30" t="str">
        <f t="shared" si="15"/>
        <v>MAX : 4.138
TARGET : 4.078
MIN : 4.018</v>
      </c>
    </row>
    <row r="969" spans="2:18" ht="41.4" x14ac:dyDescent="0.3">
      <c r="B969">
        <v>1</v>
      </c>
      <c r="C969" s="33">
        <v>5674</v>
      </c>
      <c r="D969" s="2">
        <v>978</v>
      </c>
      <c r="E969" s="2" t="s">
        <v>7581</v>
      </c>
      <c r="F969" s="3" t="s">
        <v>14206</v>
      </c>
      <c r="H969" s="3" t="s">
        <v>648</v>
      </c>
      <c r="K969" s="2">
        <v>10</v>
      </c>
      <c r="L969" s="2">
        <v>1</v>
      </c>
      <c r="M969" s="3" t="s">
        <v>18</v>
      </c>
      <c r="N969" s="3" t="s">
        <v>1215</v>
      </c>
      <c r="O969" s="3" t="s">
        <v>45</v>
      </c>
      <c r="P969" s="3" t="s">
        <v>1216</v>
      </c>
      <c r="Q969" s="30" t="str">
        <f t="shared" si="15"/>
        <v>MAX : 4.185
TARGET : 4.125
MIN : 4.065</v>
      </c>
    </row>
    <row r="970" spans="2:18" ht="41.4" x14ac:dyDescent="0.3">
      <c r="B970">
        <v>0</v>
      </c>
      <c r="C970" s="33">
        <v>6219</v>
      </c>
      <c r="D970" s="2">
        <v>1790</v>
      </c>
      <c r="E970" s="2" t="s">
        <v>7905</v>
      </c>
      <c r="F970" s="3" t="s">
        <v>14218</v>
      </c>
      <c r="H970" s="3" t="s">
        <v>289</v>
      </c>
      <c r="K970" s="2">
        <v>10</v>
      </c>
      <c r="L970" s="2">
        <v>3</v>
      </c>
      <c r="M970" s="3" t="s">
        <v>1550</v>
      </c>
      <c r="N970" s="3" t="s">
        <v>13</v>
      </c>
      <c r="O970" s="3" t="s">
        <v>14</v>
      </c>
      <c r="Q970" s="30" t="str">
        <f t="shared" si="15"/>
        <v>MAX : 
TARGET : Yes(Pass)
MIN : No(Fail)</v>
      </c>
    </row>
    <row r="971" spans="2:18" ht="41.4" x14ac:dyDescent="0.3">
      <c r="B971">
        <v>0</v>
      </c>
      <c r="C971" s="33">
        <v>6219</v>
      </c>
      <c r="D971" s="2">
        <v>1790</v>
      </c>
      <c r="E971" s="2" t="s">
        <v>7905</v>
      </c>
      <c r="F971" s="3" t="s">
        <v>14218</v>
      </c>
      <c r="H971" s="3" t="s">
        <v>289</v>
      </c>
      <c r="K971" s="2">
        <v>10</v>
      </c>
      <c r="L971" s="2">
        <v>4</v>
      </c>
      <c r="M971" s="3" t="s">
        <v>1551</v>
      </c>
      <c r="N971" s="3" t="s">
        <v>13</v>
      </c>
      <c r="O971" s="3" t="s">
        <v>14</v>
      </c>
      <c r="Q971" s="30" t="str">
        <f t="shared" si="15"/>
        <v>MAX : 
TARGET : Yes(Pass)
MIN : No(Fail)</v>
      </c>
    </row>
    <row r="972" spans="2:18" ht="41.4" x14ac:dyDescent="0.3">
      <c r="B972">
        <v>1</v>
      </c>
      <c r="C972" s="33">
        <v>5675</v>
      </c>
      <c r="D972" s="2">
        <v>1770</v>
      </c>
      <c r="E972" s="2" t="s">
        <v>7588</v>
      </c>
      <c r="F972" s="3" t="s">
        <v>14206</v>
      </c>
      <c r="H972" s="3" t="s">
        <v>289</v>
      </c>
      <c r="K972" s="2">
        <v>10</v>
      </c>
      <c r="L972" s="2">
        <v>2</v>
      </c>
      <c r="M972" s="3" t="s">
        <v>1232</v>
      </c>
      <c r="N972" s="3" t="s">
        <v>13</v>
      </c>
      <c r="O972" s="3" t="s">
        <v>14</v>
      </c>
      <c r="Q972" s="30" t="str">
        <f t="shared" si="15"/>
        <v>MAX : 
TARGET : Yes(Pass)
MIN : No(Fail)</v>
      </c>
    </row>
    <row r="973" spans="2:18" ht="41.4" x14ac:dyDescent="0.3">
      <c r="B973">
        <v>1</v>
      </c>
      <c r="C973" s="33">
        <v>5675</v>
      </c>
      <c r="D973" s="2">
        <v>1770</v>
      </c>
      <c r="E973" s="2" t="s">
        <v>7588</v>
      </c>
      <c r="F973" s="3" t="s">
        <v>14206</v>
      </c>
      <c r="H973" s="3" t="s">
        <v>289</v>
      </c>
      <c r="K973" s="2">
        <v>10</v>
      </c>
      <c r="L973" s="2">
        <v>1</v>
      </c>
      <c r="M973" s="3" t="s">
        <v>99</v>
      </c>
      <c r="N973" s="3" t="s">
        <v>1229</v>
      </c>
      <c r="O973" s="3" t="s">
        <v>1230</v>
      </c>
      <c r="P973" s="3" t="s">
        <v>1231</v>
      </c>
      <c r="Q973" s="30" t="str">
        <f t="shared" si="15"/>
        <v>MAX : 8.06
TARGET : 8.00
MIN : 7.94</v>
      </c>
    </row>
    <row r="974" spans="2:18" ht="41.4" x14ac:dyDescent="0.3">
      <c r="B974">
        <v>0</v>
      </c>
      <c r="C974" s="33">
        <v>6224</v>
      </c>
      <c r="D974" s="2">
        <v>1007</v>
      </c>
      <c r="E974" s="2" t="s">
        <v>7912</v>
      </c>
      <c r="F974" s="3" t="s">
        <v>14207</v>
      </c>
      <c r="H974" s="3" t="s">
        <v>727</v>
      </c>
      <c r="K974" s="2">
        <v>10</v>
      </c>
      <c r="L974" s="2">
        <v>3</v>
      </c>
      <c r="M974" s="3" t="s">
        <v>194</v>
      </c>
      <c r="N974" s="3" t="s">
        <v>1558</v>
      </c>
      <c r="O974" s="3" t="s">
        <v>1559</v>
      </c>
      <c r="P974" s="3" t="s">
        <v>588</v>
      </c>
      <c r="Q974" s="30" t="str">
        <f t="shared" si="15"/>
        <v>MAX : 46.5
TARGET : 45.0
MIN : 43.5</v>
      </c>
    </row>
    <row r="975" spans="2:18" ht="41.4" x14ac:dyDescent="0.3">
      <c r="B975">
        <v>0</v>
      </c>
      <c r="C975" s="33">
        <v>6224</v>
      </c>
      <c r="D975" s="2">
        <v>1007</v>
      </c>
      <c r="E975" s="2" t="s">
        <v>7912</v>
      </c>
      <c r="F975" s="3" t="s">
        <v>14207</v>
      </c>
      <c r="H975" s="3" t="s">
        <v>727</v>
      </c>
      <c r="K975" s="2">
        <v>10</v>
      </c>
      <c r="L975" s="2">
        <v>4</v>
      </c>
      <c r="M975" s="3" t="s">
        <v>1560</v>
      </c>
      <c r="N975" s="3" t="s">
        <v>1561</v>
      </c>
      <c r="O975" s="3" t="s">
        <v>1562</v>
      </c>
      <c r="P975" s="3" t="s">
        <v>1563</v>
      </c>
      <c r="Q975" s="30" t="str">
        <f t="shared" si="15"/>
        <v>MAX : 16
TARGET : 15
MIN : 14</v>
      </c>
    </row>
    <row r="976" spans="2:18" ht="41.4" x14ac:dyDescent="0.3">
      <c r="B976">
        <v>0</v>
      </c>
      <c r="C976" s="33">
        <v>6224</v>
      </c>
      <c r="D976" s="2">
        <v>1007</v>
      </c>
      <c r="E976" s="2" t="s">
        <v>7912</v>
      </c>
      <c r="F976" s="3" t="s">
        <v>14207</v>
      </c>
      <c r="H976" s="3" t="s">
        <v>727</v>
      </c>
      <c r="K976" s="2">
        <v>10</v>
      </c>
      <c r="L976" s="2">
        <v>5</v>
      </c>
      <c r="M976" s="3" t="s">
        <v>78</v>
      </c>
      <c r="N976" s="3" t="s">
        <v>13</v>
      </c>
      <c r="O976" s="3" t="s">
        <v>14</v>
      </c>
      <c r="Q976" s="30" t="str">
        <f t="shared" si="15"/>
        <v>MAX : 
TARGET : Yes(Pass)
MIN : No(Fail)</v>
      </c>
    </row>
    <row r="977" spans="2:18" ht="41.4" x14ac:dyDescent="0.3">
      <c r="B977">
        <v>1</v>
      </c>
      <c r="C977" s="33">
        <v>5675</v>
      </c>
      <c r="D977" s="2">
        <v>1770</v>
      </c>
      <c r="E977" s="2" t="s">
        <v>7588</v>
      </c>
      <c r="F977" s="3" t="s">
        <v>14206</v>
      </c>
      <c r="H977" s="3" t="s">
        <v>289</v>
      </c>
      <c r="K977" s="2">
        <v>10</v>
      </c>
      <c r="L977" s="2">
        <v>3</v>
      </c>
      <c r="M977" s="3" t="s">
        <v>2259</v>
      </c>
      <c r="N977" s="3" t="s">
        <v>13</v>
      </c>
      <c r="O977" s="3" t="s">
        <v>14</v>
      </c>
      <c r="Q977" s="30" t="str">
        <f t="shared" si="15"/>
        <v>MAX : 
TARGET : Yes(Pass)
MIN : No(Fail)</v>
      </c>
    </row>
    <row r="978" spans="2:18" ht="41.4" x14ac:dyDescent="0.3">
      <c r="B978">
        <v>1</v>
      </c>
      <c r="C978" s="33">
        <v>5680</v>
      </c>
      <c r="D978" s="2">
        <v>1771</v>
      </c>
      <c r="E978" s="2" t="s">
        <v>7596</v>
      </c>
      <c r="F978" s="3" t="s">
        <v>14206</v>
      </c>
      <c r="H978" s="3" t="s">
        <v>1251</v>
      </c>
      <c r="K978" s="2">
        <v>10</v>
      </c>
      <c r="L978" s="2">
        <v>2</v>
      </c>
      <c r="M978" s="3" t="s">
        <v>22</v>
      </c>
      <c r="N978" s="3" t="s">
        <v>1255</v>
      </c>
      <c r="O978" s="3" t="s">
        <v>1256</v>
      </c>
      <c r="P978" s="3" t="s">
        <v>991</v>
      </c>
      <c r="Q978" s="30" t="str">
        <f t="shared" si="15"/>
        <v>MAX : 11.125
TARGET : 11.000
MIN : 10.875</v>
      </c>
    </row>
    <row r="979" spans="2:18" ht="41.4" x14ac:dyDescent="0.3">
      <c r="B979">
        <v>0</v>
      </c>
      <c r="C979" s="33">
        <v>6241</v>
      </c>
      <c r="D979" s="2">
        <v>1009</v>
      </c>
      <c r="E979" s="2" t="s">
        <v>7926</v>
      </c>
      <c r="F979" s="3" t="s">
        <v>14206</v>
      </c>
      <c r="H979" s="3" t="s">
        <v>986</v>
      </c>
      <c r="K979" s="2">
        <v>20</v>
      </c>
      <c r="L979" s="2">
        <v>3</v>
      </c>
      <c r="M979" s="3" t="s">
        <v>1569</v>
      </c>
      <c r="N979" s="3" t="s">
        <v>864</v>
      </c>
      <c r="O979" s="3" t="s">
        <v>1570</v>
      </c>
      <c r="P979" s="3" t="s">
        <v>424</v>
      </c>
      <c r="Q979" s="30" t="str">
        <f t="shared" si="15"/>
        <v>MAX : 0.25
TARGET : 0.13
MIN : 0</v>
      </c>
    </row>
    <row r="980" spans="2:18" ht="41.4" x14ac:dyDescent="0.3">
      <c r="B980">
        <v>1</v>
      </c>
      <c r="C980" s="33">
        <v>5680</v>
      </c>
      <c r="D980" s="2">
        <v>1771</v>
      </c>
      <c r="E980" s="2" t="s">
        <v>7596</v>
      </c>
      <c r="F980" s="3" t="s">
        <v>14206</v>
      </c>
      <c r="H980" s="3" t="s">
        <v>1251</v>
      </c>
      <c r="K980" s="2">
        <v>10</v>
      </c>
      <c r="L980" s="2">
        <v>1</v>
      </c>
      <c r="M980" s="3" t="s">
        <v>18</v>
      </c>
      <c r="N980" s="3" t="s">
        <v>1252</v>
      </c>
      <c r="O980" s="3" t="s">
        <v>1253</v>
      </c>
      <c r="P980" s="3" t="s">
        <v>1254</v>
      </c>
      <c r="Q980" s="30" t="str">
        <f t="shared" si="15"/>
        <v>MAX : 18.125
TARGET : 18.000
MIN : 17.875</v>
      </c>
    </row>
    <row r="981" spans="2:18" ht="41.4" x14ac:dyDescent="0.3">
      <c r="B981">
        <v>1</v>
      </c>
      <c r="C981" s="33">
        <v>5682</v>
      </c>
      <c r="D981" s="2">
        <v>979</v>
      </c>
      <c r="E981" s="2" t="s">
        <v>7603</v>
      </c>
      <c r="F981" s="3" t="s">
        <v>14206</v>
      </c>
      <c r="H981" s="3" t="s">
        <v>108</v>
      </c>
      <c r="K981" s="2">
        <v>10</v>
      </c>
      <c r="L981" s="2">
        <v>2</v>
      </c>
      <c r="M981" s="3" t="s">
        <v>1262</v>
      </c>
      <c r="N981" s="3" t="s">
        <v>433</v>
      </c>
      <c r="O981" s="3" t="s">
        <v>86</v>
      </c>
      <c r="P981" s="3" t="s">
        <v>317</v>
      </c>
      <c r="Q981" s="30" t="str">
        <f t="shared" si="15"/>
        <v>MAX : 0.515
TARGET : 0.500
MIN : 0.485</v>
      </c>
    </row>
    <row r="982" spans="2:18" ht="41.4" x14ac:dyDescent="0.3">
      <c r="B982">
        <v>1</v>
      </c>
      <c r="C982" s="33">
        <v>5682</v>
      </c>
      <c r="D982" s="2">
        <v>979</v>
      </c>
      <c r="E982" s="2" t="s">
        <v>7603</v>
      </c>
      <c r="F982" s="3" t="s">
        <v>14206</v>
      </c>
      <c r="H982" s="3" t="s">
        <v>108</v>
      </c>
      <c r="K982" s="2">
        <v>10</v>
      </c>
      <c r="L982" s="2">
        <v>1</v>
      </c>
      <c r="M982" s="3" t="s">
        <v>1260</v>
      </c>
      <c r="N982" s="3" t="s">
        <v>1261</v>
      </c>
      <c r="O982" s="3" t="s">
        <v>139</v>
      </c>
      <c r="P982" s="3" t="s">
        <v>682</v>
      </c>
      <c r="Q982" s="30" t="str">
        <f t="shared" si="15"/>
        <v>MAX : 1.015
TARGET : 1.000
MIN : 0.985</v>
      </c>
    </row>
    <row r="983" spans="2:18" ht="41.4" x14ac:dyDescent="0.3">
      <c r="B983">
        <v>1</v>
      </c>
      <c r="C983" s="33">
        <v>5689</v>
      </c>
      <c r="D983" s="2">
        <v>980</v>
      </c>
      <c r="E983" s="2" t="s">
        <v>7610</v>
      </c>
      <c r="F983" s="3" t="s">
        <v>14206</v>
      </c>
      <c r="H983" s="3" t="s">
        <v>1266</v>
      </c>
      <c r="K983" s="2">
        <v>10</v>
      </c>
      <c r="L983" s="2">
        <v>2</v>
      </c>
      <c r="M983" s="3" t="s">
        <v>198</v>
      </c>
      <c r="N983" s="3" t="s">
        <v>418</v>
      </c>
      <c r="O983" s="3" t="s">
        <v>344</v>
      </c>
      <c r="P983" s="3" t="s">
        <v>419</v>
      </c>
      <c r="Q983" s="30" t="str">
        <f t="shared" si="15"/>
        <v>MAX : 1.28
TARGET : 1.25
MIN : 1.22</v>
      </c>
    </row>
    <row r="984" spans="2:18" ht="41.4" x14ac:dyDescent="0.3">
      <c r="B984">
        <v>1</v>
      </c>
      <c r="C984" s="33">
        <v>5689</v>
      </c>
      <c r="D984" s="2">
        <v>980</v>
      </c>
      <c r="E984" s="2" t="s">
        <v>7610</v>
      </c>
      <c r="F984" s="3" t="s">
        <v>14206</v>
      </c>
      <c r="H984" s="3" t="s">
        <v>1266</v>
      </c>
      <c r="K984" s="2">
        <v>10</v>
      </c>
      <c r="L984" s="2">
        <v>1</v>
      </c>
      <c r="M984" s="3" t="s">
        <v>194</v>
      </c>
      <c r="N984" s="3" t="s">
        <v>27</v>
      </c>
      <c r="O984" s="3" t="s">
        <v>28</v>
      </c>
      <c r="P984" s="3" t="s">
        <v>29</v>
      </c>
      <c r="Q984" s="30" t="str">
        <f t="shared" si="15"/>
        <v>MAX : 1.53
TARGET : 1.50
MIN : 1.47</v>
      </c>
    </row>
    <row r="985" spans="2:18" ht="41.4" x14ac:dyDescent="0.3">
      <c r="B985">
        <v>1</v>
      </c>
      <c r="C985" s="33">
        <v>5732</v>
      </c>
      <c r="D985" s="2">
        <v>1772</v>
      </c>
      <c r="E985" s="2" t="s">
        <v>7617</v>
      </c>
      <c r="F985" s="3" t="s">
        <v>14206</v>
      </c>
      <c r="H985" s="3" t="s">
        <v>1270</v>
      </c>
      <c r="K985" s="2">
        <v>10</v>
      </c>
      <c r="L985" s="2">
        <v>2</v>
      </c>
      <c r="M985" s="3" t="s">
        <v>538</v>
      </c>
      <c r="N985" s="3" t="s">
        <v>13</v>
      </c>
      <c r="O985" s="3" t="s">
        <v>14</v>
      </c>
      <c r="Q985" s="30" t="str">
        <f t="shared" si="15"/>
        <v>MAX : 
TARGET : Yes(Pass)
MIN : No(Fail)</v>
      </c>
    </row>
    <row r="986" spans="2:18" ht="41.4" x14ac:dyDescent="0.3">
      <c r="B986">
        <v>0</v>
      </c>
      <c r="C986" s="33">
        <v>6240</v>
      </c>
      <c r="D986" s="2">
        <v>1008</v>
      </c>
      <c r="E986" s="2" t="s">
        <v>7918</v>
      </c>
      <c r="F986" s="3" t="s">
        <v>14220</v>
      </c>
      <c r="H986" s="3" t="s">
        <v>426</v>
      </c>
      <c r="K986" s="2">
        <v>10</v>
      </c>
      <c r="L986" s="2">
        <v>3</v>
      </c>
      <c r="M986" s="3" t="s">
        <v>1580</v>
      </c>
      <c r="N986" s="3" t="s">
        <v>1581</v>
      </c>
      <c r="O986" s="3" t="s">
        <v>1582</v>
      </c>
      <c r="P986" s="3" t="s">
        <v>1583</v>
      </c>
      <c r="Q986" s="30" t="str">
        <f t="shared" si="15"/>
        <v>MAX : 0.2025(5.1435)
TARGET : 0.1975(5.0165)
MIN : 0.1925(4.8895)</v>
      </c>
      <c r="R986" s="3" t="s">
        <v>1473</v>
      </c>
    </row>
    <row r="987" spans="2:18" ht="41.4" x14ac:dyDescent="0.3">
      <c r="B987">
        <v>0</v>
      </c>
      <c r="C987" s="33">
        <v>6240</v>
      </c>
      <c r="D987" s="2">
        <v>1008</v>
      </c>
      <c r="E987" s="2" t="s">
        <v>7918</v>
      </c>
      <c r="F987" s="3" t="s">
        <v>14220</v>
      </c>
      <c r="H987" s="3" t="s">
        <v>426</v>
      </c>
      <c r="K987" s="2">
        <v>10</v>
      </c>
      <c r="L987" s="2">
        <v>4</v>
      </c>
      <c r="M987" s="3" t="s">
        <v>625</v>
      </c>
      <c r="N987" s="3" t="s">
        <v>1584</v>
      </c>
      <c r="O987" s="3" t="s">
        <v>1585</v>
      </c>
      <c r="P987" s="3" t="s">
        <v>1586</v>
      </c>
      <c r="Q987" s="30" t="str">
        <f t="shared" si="15"/>
        <v>MAX : 0.525(13.335)
TARGET : 0.500(12.700)
MIN : 0.475(12.065)</v>
      </c>
      <c r="R987" s="3" t="s">
        <v>1473</v>
      </c>
    </row>
    <row r="988" spans="2:18" ht="41.4" x14ac:dyDescent="0.3">
      <c r="B988">
        <v>0</v>
      </c>
      <c r="C988" s="33">
        <v>6240</v>
      </c>
      <c r="D988" s="2">
        <v>1008</v>
      </c>
      <c r="E988" s="2" t="s">
        <v>7918</v>
      </c>
      <c r="F988" s="3" t="s">
        <v>14220</v>
      </c>
      <c r="H988" s="3" t="s">
        <v>426</v>
      </c>
      <c r="K988" s="2">
        <v>10</v>
      </c>
      <c r="L988" s="2">
        <v>5</v>
      </c>
      <c r="M988" s="3" t="s">
        <v>1587</v>
      </c>
      <c r="N988" s="3" t="s">
        <v>1588</v>
      </c>
      <c r="O988" s="3" t="s">
        <v>1589</v>
      </c>
      <c r="P988" s="3" t="s">
        <v>1590</v>
      </c>
      <c r="Q988" s="30" t="str">
        <f t="shared" si="15"/>
        <v>MAX : 0.210(5.334)
TARGET : 0.205(5.207)
MIN : 0.200(5.080)</v>
      </c>
      <c r="R988" s="3" t="s">
        <v>1473</v>
      </c>
    </row>
    <row r="989" spans="2:18" ht="41.4" x14ac:dyDescent="0.3">
      <c r="B989">
        <v>0</v>
      </c>
      <c r="C989" s="33">
        <v>6240</v>
      </c>
      <c r="D989" s="2">
        <v>1008</v>
      </c>
      <c r="E989" s="2" t="s">
        <v>7918</v>
      </c>
      <c r="F989" s="3" t="s">
        <v>14220</v>
      </c>
      <c r="H989" s="3" t="s">
        <v>426</v>
      </c>
      <c r="K989" s="2">
        <v>10</v>
      </c>
      <c r="L989" s="2">
        <v>6</v>
      </c>
      <c r="M989" s="3" t="s">
        <v>1591</v>
      </c>
      <c r="N989" s="3" t="s">
        <v>1592</v>
      </c>
      <c r="O989" s="3" t="s">
        <v>1593</v>
      </c>
      <c r="Q989" s="30" t="str">
        <f t="shared" si="15"/>
        <v>MAX : 
TARGET : yes(pass)
MIN : no(fail)</v>
      </c>
      <c r="R989" s="3" t="s">
        <v>1473</v>
      </c>
    </row>
    <row r="990" spans="2:18" ht="41.4" x14ac:dyDescent="0.3">
      <c r="B990">
        <v>0</v>
      </c>
      <c r="C990" s="33">
        <v>6240</v>
      </c>
      <c r="D990" s="2">
        <v>1008</v>
      </c>
      <c r="E990" s="2" t="s">
        <v>7918</v>
      </c>
      <c r="F990" s="3" t="s">
        <v>14220</v>
      </c>
      <c r="H990" s="3" t="s">
        <v>426</v>
      </c>
      <c r="K990" s="2">
        <v>10</v>
      </c>
      <c r="L990" s="2">
        <v>7</v>
      </c>
      <c r="M990" s="3" t="s">
        <v>1594</v>
      </c>
      <c r="N990" s="3" t="s">
        <v>1592</v>
      </c>
      <c r="O990" s="3" t="s">
        <v>1593</v>
      </c>
      <c r="Q990" s="30" t="str">
        <f t="shared" si="15"/>
        <v>MAX : 
TARGET : yes(pass)
MIN : no(fail)</v>
      </c>
      <c r="R990" s="3" t="s">
        <v>1473</v>
      </c>
    </row>
    <row r="991" spans="2:18" ht="41.4" x14ac:dyDescent="0.3">
      <c r="B991">
        <v>0</v>
      </c>
      <c r="C991" s="33">
        <v>6240</v>
      </c>
      <c r="D991" s="2">
        <v>1008</v>
      </c>
      <c r="E991" s="2" t="s">
        <v>7918</v>
      </c>
      <c r="F991" s="3" t="s">
        <v>14220</v>
      </c>
      <c r="H991" s="3" t="s">
        <v>426</v>
      </c>
      <c r="K991" s="2">
        <v>10</v>
      </c>
      <c r="L991" s="2">
        <v>8</v>
      </c>
      <c r="M991" s="3" t="s">
        <v>1595</v>
      </c>
      <c r="N991" s="3" t="s">
        <v>1592</v>
      </c>
      <c r="O991" s="3" t="s">
        <v>1593</v>
      </c>
      <c r="Q991" s="30" t="str">
        <f t="shared" si="15"/>
        <v>MAX : 
TARGET : yes(pass)
MIN : no(fail)</v>
      </c>
      <c r="R991" s="3" t="s">
        <v>1473</v>
      </c>
    </row>
    <row r="992" spans="2:18" ht="41.4" x14ac:dyDescent="0.3">
      <c r="B992">
        <v>0</v>
      </c>
      <c r="C992" s="33">
        <v>6240</v>
      </c>
      <c r="D992" s="2">
        <v>1008</v>
      </c>
      <c r="E992" s="2" t="s">
        <v>7918</v>
      </c>
      <c r="F992" s="3" t="s">
        <v>14220</v>
      </c>
      <c r="H992" s="3" t="s">
        <v>426</v>
      </c>
      <c r="K992" s="2">
        <v>10</v>
      </c>
      <c r="L992" s="2">
        <v>9</v>
      </c>
      <c r="M992" s="3" t="s">
        <v>1596</v>
      </c>
      <c r="N992" s="3" t="s">
        <v>1592</v>
      </c>
      <c r="O992" s="3" t="s">
        <v>1593</v>
      </c>
      <c r="Q992" s="30" t="str">
        <f t="shared" si="15"/>
        <v>MAX : 
TARGET : yes(pass)
MIN : no(fail)</v>
      </c>
      <c r="R992" s="3" t="s">
        <v>1473</v>
      </c>
    </row>
    <row r="993" spans="2:18" ht="41.4" x14ac:dyDescent="0.3">
      <c r="B993">
        <v>0</v>
      </c>
      <c r="C993" s="33">
        <v>6240</v>
      </c>
      <c r="D993" s="2">
        <v>1008</v>
      </c>
      <c r="E993" s="2" t="s">
        <v>7918</v>
      </c>
      <c r="F993" s="3" t="s">
        <v>14220</v>
      </c>
      <c r="H993" s="3" t="s">
        <v>426</v>
      </c>
      <c r="K993" s="2">
        <v>30</v>
      </c>
      <c r="L993" s="2">
        <v>1</v>
      </c>
      <c r="M993" s="3" t="s">
        <v>1597</v>
      </c>
      <c r="N993" s="3" t="s">
        <v>1592</v>
      </c>
      <c r="O993" s="3" t="s">
        <v>1593</v>
      </c>
      <c r="Q993" s="30" t="str">
        <f t="shared" si="15"/>
        <v>MAX : 
TARGET : yes(pass)
MIN : no(fail)</v>
      </c>
      <c r="R993" s="3" t="s">
        <v>1473</v>
      </c>
    </row>
    <row r="994" spans="2:18" ht="41.4" x14ac:dyDescent="0.3">
      <c r="B994">
        <v>0</v>
      </c>
      <c r="C994" s="33">
        <v>6240</v>
      </c>
      <c r="D994" s="2">
        <v>1008</v>
      </c>
      <c r="E994" s="2" t="s">
        <v>7918</v>
      </c>
      <c r="F994" s="3" t="s">
        <v>14220</v>
      </c>
      <c r="H994" s="3" t="s">
        <v>426</v>
      </c>
      <c r="K994" s="2">
        <v>10</v>
      </c>
      <c r="L994" s="2">
        <v>10</v>
      </c>
      <c r="M994" s="3" t="s">
        <v>1598</v>
      </c>
      <c r="Q994" s="30" t="str">
        <f t="shared" si="15"/>
        <v xml:space="preserve">MAX : 
TARGET : 
MIN : </v>
      </c>
      <c r="R994" s="3" t="s">
        <v>1473</v>
      </c>
    </row>
    <row r="995" spans="2:18" ht="41.4" x14ac:dyDescent="0.3">
      <c r="B995">
        <v>1</v>
      </c>
      <c r="C995" s="33">
        <v>5732</v>
      </c>
      <c r="D995" s="2">
        <v>1772</v>
      </c>
      <c r="E995" s="2" t="s">
        <v>7617</v>
      </c>
      <c r="F995" s="3" t="s">
        <v>14206</v>
      </c>
      <c r="H995" s="3" t="s">
        <v>1270</v>
      </c>
      <c r="K995" s="2">
        <v>10</v>
      </c>
      <c r="L995" s="2">
        <v>1</v>
      </c>
      <c r="M995" s="3" t="s">
        <v>99</v>
      </c>
      <c r="N995" s="3" t="s">
        <v>433</v>
      </c>
      <c r="O995" s="3" t="s">
        <v>86</v>
      </c>
      <c r="P995" s="3" t="s">
        <v>317</v>
      </c>
      <c r="Q995" s="30" t="str">
        <f t="shared" si="15"/>
        <v>MAX : 0.515
TARGET : 0.500
MIN : 0.485</v>
      </c>
    </row>
    <row r="996" spans="2:18" ht="41.4" x14ac:dyDescent="0.3">
      <c r="B996">
        <v>1</v>
      </c>
      <c r="C996" s="33">
        <v>5733</v>
      </c>
      <c r="D996" s="2">
        <v>1773</v>
      </c>
      <c r="E996" s="2" t="s">
        <v>7625</v>
      </c>
      <c r="F996" s="3" t="s">
        <v>14206</v>
      </c>
      <c r="H996" s="3" t="s">
        <v>1270</v>
      </c>
      <c r="K996" s="2">
        <v>10</v>
      </c>
      <c r="L996" s="2">
        <v>2</v>
      </c>
      <c r="M996" s="3" t="s">
        <v>538</v>
      </c>
      <c r="N996" s="3" t="s">
        <v>13</v>
      </c>
      <c r="O996" s="3" t="s">
        <v>14</v>
      </c>
      <c r="Q996" s="30" t="str">
        <f t="shared" si="15"/>
        <v>MAX : 
TARGET : Yes(Pass)
MIN : No(Fail)</v>
      </c>
    </row>
    <row r="997" spans="2:18" ht="41.4" x14ac:dyDescent="0.3">
      <c r="B997">
        <v>0</v>
      </c>
      <c r="C997" s="33">
        <v>6258</v>
      </c>
      <c r="D997" s="2">
        <v>1010</v>
      </c>
      <c r="E997" s="2" t="s">
        <v>7949</v>
      </c>
      <c r="F997" s="3" t="s">
        <v>14206</v>
      </c>
      <c r="H997" s="3" t="s">
        <v>747</v>
      </c>
      <c r="K997" s="2">
        <v>10</v>
      </c>
      <c r="L997" s="2">
        <v>3</v>
      </c>
      <c r="M997" s="3" t="s">
        <v>422</v>
      </c>
      <c r="N997" s="3" t="s">
        <v>1602</v>
      </c>
      <c r="O997" s="3" t="s">
        <v>281</v>
      </c>
      <c r="P997" s="3" t="s">
        <v>1603</v>
      </c>
      <c r="Q997" s="30" t="str">
        <f t="shared" si="15"/>
        <v>MAX : 0.265
TARGET : 0.250
MIN : 0.235</v>
      </c>
    </row>
    <row r="998" spans="2:18" ht="41.4" x14ac:dyDescent="0.3">
      <c r="B998">
        <v>0</v>
      </c>
      <c r="C998" s="33">
        <v>6258</v>
      </c>
      <c r="D998" s="2">
        <v>1010</v>
      </c>
      <c r="E998" s="2" t="s">
        <v>7949</v>
      </c>
      <c r="F998" s="3" t="s">
        <v>14206</v>
      </c>
      <c r="H998" s="3" t="s">
        <v>747</v>
      </c>
      <c r="K998" s="2">
        <v>10</v>
      </c>
      <c r="L998" s="2">
        <v>4</v>
      </c>
      <c r="M998" s="3" t="s">
        <v>1604</v>
      </c>
      <c r="N998" s="3" t="s">
        <v>423</v>
      </c>
      <c r="O998" s="3" t="s">
        <v>424</v>
      </c>
      <c r="P998" s="3" t="s">
        <v>425</v>
      </c>
      <c r="Q998" s="30" t="str">
        <f t="shared" si="15"/>
        <v>MAX : 0.31
TARGET : 0.25
MIN : 0.19</v>
      </c>
    </row>
    <row r="999" spans="2:18" ht="41.4" x14ac:dyDescent="0.3">
      <c r="B999">
        <v>0</v>
      </c>
      <c r="C999" s="33">
        <v>6258</v>
      </c>
      <c r="D999" s="2">
        <v>1010</v>
      </c>
      <c r="E999" s="2" t="s">
        <v>7949</v>
      </c>
      <c r="F999" s="3" t="s">
        <v>14206</v>
      </c>
      <c r="H999" s="3" t="s">
        <v>747</v>
      </c>
      <c r="K999" s="2">
        <v>10</v>
      </c>
      <c r="L999" s="2">
        <v>5</v>
      </c>
      <c r="M999" s="3" t="s">
        <v>1605</v>
      </c>
      <c r="N999" s="3" t="s">
        <v>13</v>
      </c>
      <c r="O999" s="3" t="s">
        <v>14</v>
      </c>
      <c r="Q999" s="30" t="str">
        <f t="shared" si="15"/>
        <v>MAX : 
TARGET : Yes(Pass)
MIN : No(Fail)</v>
      </c>
    </row>
    <row r="1000" spans="2:18" ht="41.4" x14ac:dyDescent="0.3">
      <c r="B1000">
        <v>0</v>
      </c>
      <c r="C1000" s="33">
        <v>6258</v>
      </c>
      <c r="D1000" s="2">
        <v>1010</v>
      </c>
      <c r="E1000" s="2" t="s">
        <v>7949</v>
      </c>
      <c r="F1000" s="3" t="s">
        <v>14206</v>
      </c>
      <c r="H1000" s="3" t="s">
        <v>747</v>
      </c>
      <c r="K1000" s="2">
        <v>10</v>
      </c>
      <c r="L1000" s="2">
        <v>6</v>
      </c>
      <c r="M1000" s="3" t="s">
        <v>134</v>
      </c>
      <c r="N1000" s="3" t="s">
        <v>13</v>
      </c>
      <c r="O1000" s="3" t="s">
        <v>14</v>
      </c>
      <c r="Q1000" s="30" t="str">
        <f t="shared" si="15"/>
        <v>MAX : 
TARGET : Yes(Pass)
MIN : No(Fail)</v>
      </c>
    </row>
    <row r="1001" spans="2:18" ht="41.4" x14ac:dyDescent="0.3">
      <c r="B1001">
        <v>1</v>
      </c>
      <c r="C1001" s="33">
        <v>5733</v>
      </c>
      <c r="D1001" s="2">
        <v>1773</v>
      </c>
      <c r="E1001" s="2" t="s">
        <v>7625</v>
      </c>
      <c r="F1001" s="3" t="s">
        <v>14206</v>
      </c>
      <c r="H1001" s="3" t="s">
        <v>1270</v>
      </c>
      <c r="K1001" s="2">
        <v>10</v>
      </c>
      <c r="L1001" s="2">
        <v>1</v>
      </c>
      <c r="M1001" s="3" t="s">
        <v>99</v>
      </c>
      <c r="N1001" s="3" t="s">
        <v>433</v>
      </c>
      <c r="O1001" s="3" t="s">
        <v>86</v>
      </c>
      <c r="P1001" s="3" t="s">
        <v>317</v>
      </c>
      <c r="Q1001" s="30" t="str">
        <f t="shared" si="15"/>
        <v>MAX : 0.515
TARGET : 0.500
MIN : 0.485</v>
      </c>
    </row>
    <row r="1002" spans="2:18" ht="41.4" x14ac:dyDescent="0.3">
      <c r="B1002">
        <v>0</v>
      </c>
      <c r="C1002" s="33">
        <v>5593</v>
      </c>
      <c r="D1002" s="2">
        <v>1766</v>
      </c>
      <c r="E1002" s="2" t="s">
        <v>7482</v>
      </c>
      <c r="F1002" s="3" t="s">
        <v>14207</v>
      </c>
      <c r="H1002" s="3" t="s">
        <v>1144</v>
      </c>
      <c r="K1002" s="2">
        <v>10</v>
      </c>
      <c r="L1002" s="2">
        <v>4</v>
      </c>
      <c r="M1002" s="3" t="s">
        <v>3447</v>
      </c>
      <c r="O1002" s="3" t="s">
        <v>38</v>
      </c>
      <c r="P1002" s="3" t="s">
        <v>39</v>
      </c>
      <c r="Q1002" s="30" t="str">
        <f t="shared" si="15"/>
        <v xml:space="preserve">MAX : Yes(Fail)
TARGET : No(Pass)
MIN : </v>
      </c>
    </row>
    <row r="1003" spans="2:18" ht="41.4" x14ac:dyDescent="0.3">
      <c r="B1003">
        <v>1</v>
      </c>
      <c r="C1003" s="33">
        <v>5734</v>
      </c>
      <c r="D1003" s="2">
        <v>1774</v>
      </c>
      <c r="E1003" s="2" t="s">
        <v>7633</v>
      </c>
      <c r="F1003" s="3" t="s">
        <v>14206</v>
      </c>
      <c r="H1003" s="3" t="s">
        <v>1270</v>
      </c>
      <c r="K1003" t="s">
        <v>6295</v>
      </c>
      <c r="L1003" s="2">
        <v>2</v>
      </c>
      <c r="M1003" s="3" t="s">
        <v>538</v>
      </c>
      <c r="N1003" s="3" t="s">
        <v>13</v>
      </c>
      <c r="O1003" s="3" t="s">
        <v>14</v>
      </c>
      <c r="Q1003" s="30" t="str">
        <f t="shared" si="15"/>
        <v>MAX : 
TARGET : Yes(Pass)
MIN : No(Fail)</v>
      </c>
    </row>
    <row r="1004" spans="2:18" ht="41.4" x14ac:dyDescent="0.3">
      <c r="B1004">
        <v>0</v>
      </c>
      <c r="C1004" s="33">
        <v>6273</v>
      </c>
      <c r="D1004" s="2">
        <v>1793</v>
      </c>
      <c r="E1004" s="2" t="s">
        <v>7956</v>
      </c>
      <c r="F1004" s="3" t="s">
        <v>14206</v>
      </c>
      <c r="H1004" s="3" t="s">
        <v>269</v>
      </c>
      <c r="K1004" s="2">
        <v>10</v>
      </c>
      <c r="L1004" s="2">
        <v>3</v>
      </c>
      <c r="M1004" s="3" t="s">
        <v>1607</v>
      </c>
      <c r="N1004" s="3" t="s">
        <v>13</v>
      </c>
      <c r="O1004" s="3" t="s">
        <v>14</v>
      </c>
      <c r="Q1004" s="30" t="str">
        <f t="shared" si="15"/>
        <v>MAX : 
TARGET : Yes(Pass)
MIN : No(Fail)</v>
      </c>
    </row>
    <row r="1005" spans="2:18" ht="41.4" x14ac:dyDescent="0.3">
      <c r="B1005">
        <v>1</v>
      </c>
      <c r="C1005" s="33">
        <v>5734</v>
      </c>
      <c r="D1005" s="2">
        <v>1774</v>
      </c>
      <c r="E1005" s="2" t="s">
        <v>7633</v>
      </c>
      <c r="F1005" s="3" t="s">
        <v>14206</v>
      </c>
      <c r="H1005" s="3" t="s">
        <v>1270</v>
      </c>
      <c r="K1005" t="s">
        <v>6295</v>
      </c>
      <c r="L1005" s="2">
        <v>1</v>
      </c>
      <c r="M1005" s="3" t="s">
        <v>99</v>
      </c>
      <c r="N1005" s="3" t="s">
        <v>433</v>
      </c>
      <c r="O1005" s="3" t="s">
        <v>86</v>
      </c>
      <c r="P1005" s="3" t="s">
        <v>317</v>
      </c>
      <c r="Q1005" s="30" t="str">
        <f t="shared" si="15"/>
        <v>MAX : 0.515
TARGET : 0.500
MIN : 0.485</v>
      </c>
    </row>
    <row r="1006" spans="2:18" ht="41.4" x14ac:dyDescent="0.3">
      <c r="B1006">
        <v>1</v>
      </c>
      <c r="C1006" s="33">
        <v>5735</v>
      </c>
      <c r="D1006" s="2">
        <v>1775</v>
      </c>
      <c r="E1006" s="2" t="s">
        <v>7637</v>
      </c>
      <c r="F1006" s="3" t="s">
        <v>14206</v>
      </c>
      <c r="H1006" s="3" t="s">
        <v>1270</v>
      </c>
      <c r="K1006" s="2">
        <v>10</v>
      </c>
      <c r="L1006" s="2">
        <v>2</v>
      </c>
      <c r="M1006" s="3" t="s">
        <v>538</v>
      </c>
      <c r="N1006" s="3" t="s">
        <v>13</v>
      </c>
      <c r="O1006" s="3" t="s">
        <v>14</v>
      </c>
      <c r="Q1006" s="30" t="str">
        <f t="shared" si="15"/>
        <v>MAX : 
TARGET : Yes(Pass)
MIN : No(Fail)</v>
      </c>
    </row>
    <row r="1007" spans="2:18" ht="41.4" x14ac:dyDescent="0.3">
      <c r="B1007">
        <v>1</v>
      </c>
      <c r="C1007" s="33">
        <v>5735</v>
      </c>
      <c r="D1007" s="2">
        <v>1775</v>
      </c>
      <c r="E1007" s="2" t="s">
        <v>7637</v>
      </c>
      <c r="F1007" s="3" t="s">
        <v>14206</v>
      </c>
      <c r="H1007" s="3" t="s">
        <v>1270</v>
      </c>
      <c r="K1007" s="2">
        <v>10</v>
      </c>
      <c r="L1007" s="2">
        <v>1</v>
      </c>
      <c r="M1007" s="3" t="s">
        <v>99</v>
      </c>
      <c r="N1007" s="3" t="s">
        <v>433</v>
      </c>
      <c r="O1007" s="3" t="s">
        <v>86</v>
      </c>
      <c r="P1007" s="3" t="s">
        <v>317</v>
      </c>
      <c r="Q1007" s="30" t="str">
        <f t="shared" si="15"/>
        <v>MAX : 0.515
TARGET : 0.500
MIN : 0.485</v>
      </c>
    </row>
    <row r="1008" spans="2:18" ht="41.4" x14ac:dyDescent="0.3">
      <c r="B1008">
        <v>1</v>
      </c>
      <c r="C1008" s="33">
        <v>5736</v>
      </c>
      <c r="D1008" s="2">
        <v>1776</v>
      </c>
      <c r="E1008" s="2" t="s">
        <v>7641</v>
      </c>
      <c r="F1008" s="3" t="s">
        <v>14206</v>
      </c>
      <c r="H1008" s="3" t="s">
        <v>1270</v>
      </c>
      <c r="K1008" s="2">
        <v>10</v>
      </c>
      <c r="L1008" s="2">
        <v>2</v>
      </c>
      <c r="M1008" s="3" t="s">
        <v>538</v>
      </c>
      <c r="N1008" s="3" t="s">
        <v>13</v>
      </c>
      <c r="O1008" s="3" t="s">
        <v>14</v>
      </c>
      <c r="Q1008" s="30" t="str">
        <f t="shared" si="15"/>
        <v>MAX : 
TARGET : Yes(Pass)
MIN : No(Fail)</v>
      </c>
    </row>
    <row r="1009" spans="2:17" ht="41.4" x14ac:dyDescent="0.3">
      <c r="B1009">
        <v>1</v>
      </c>
      <c r="C1009" s="33">
        <v>5736</v>
      </c>
      <c r="D1009" s="2">
        <v>1776</v>
      </c>
      <c r="E1009" s="2" t="s">
        <v>7641</v>
      </c>
      <c r="F1009" s="3" t="s">
        <v>14206</v>
      </c>
      <c r="H1009" s="3" t="s">
        <v>1270</v>
      </c>
      <c r="K1009" s="2">
        <v>10</v>
      </c>
      <c r="L1009" s="2">
        <v>1</v>
      </c>
      <c r="M1009" s="3" t="s">
        <v>99</v>
      </c>
      <c r="N1009" s="3" t="s">
        <v>433</v>
      </c>
      <c r="O1009" s="3" t="s">
        <v>86</v>
      </c>
      <c r="P1009" s="3" t="s">
        <v>317</v>
      </c>
      <c r="Q1009" s="30" t="str">
        <f t="shared" si="15"/>
        <v>MAX : 0.515
TARGET : 0.500
MIN : 0.485</v>
      </c>
    </row>
    <row r="1010" spans="2:17" ht="41.4" x14ac:dyDescent="0.3">
      <c r="B1010">
        <v>1</v>
      </c>
      <c r="C1010" s="33">
        <v>5751</v>
      </c>
      <c r="D1010" s="2">
        <v>981</v>
      </c>
      <c r="E1010" s="2" t="s">
        <v>7646</v>
      </c>
      <c r="F1010" s="3" t="s">
        <v>14217</v>
      </c>
      <c r="G1010" s="3" t="s">
        <v>1274</v>
      </c>
      <c r="H1010" s="3" t="s">
        <v>1275</v>
      </c>
      <c r="K1010" s="2">
        <v>10</v>
      </c>
      <c r="L1010" s="2">
        <v>2</v>
      </c>
      <c r="M1010" s="3" t="s">
        <v>1279</v>
      </c>
      <c r="N1010" s="3" t="s">
        <v>1280</v>
      </c>
      <c r="O1010" s="3" t="s">
        <v>1281</v>
      </c>
      <c r="P1010" s="3" t="s">
        <v>1282</v>
      </c>
      <c r="Q1010" s="30" t="str">
        <f t="shared" si="15"/>
        <v>MAX : 0.565 (14.35)
TARGET : 0.560 (14.22)
MIN : 0.555 (14.10)</v>
      </c>
    </row>
    <row r="1011" spans="2:17" ht="41.4" x14ac:dyDescent="0.3">
      <c r="B1011">
        <v>0</v>
      </c>
      <c r="C1011" s="33">
        <v>6280</v>
      </c>
      <c r="D1011" s="2">
        <v>1011</v>
      </c>
      <c r="E1011" s="2" t="s">
        <v>7976</v>
      </c>
      <c r="F1011" s="3" t="s">
        <v>14206</v>
      </c>
      <c r="H1011" s="3" t="s">
        <v>1614</v>
      </c>
      <c r="K1011" s="2">
        <v>10</v>
      </c>
      <c r="L1011" s="2">
        <v>3</v>
      </c>
      <c r="M1011" s="3" t="s">
        <v>1618</v>
      </c>
      <c r="N1011" s="3" t="s">
        <v>13</v>
      </c>
      <c r="O1011" s="3" t="s">
        <v>14</v>
      </c>
      <c r="Q1011" s="30" t="str">
        <f t="shared" si="15"/>
        <v>MAX : 
TARGET : Yes(Pass)
MIN : No(Fail)</v>
      </c>
    </row>
    <row r="1012" spans="2:17" ht="41.4" x14ac:dyDescent="0.3">
      <c r="B1012">
        <v>1</v>
      </c>
      <c r="C1012" s="33">
        <v>5751</v>
      </c>
      <c r="D1012" s="2">
        <v>981</v>
      </c>
      <c r="E1012" s="2" t="s">
        <v>7646</v>
      </c>
      <c r="F1012" s="3" t="s">
        <v>14217</v>
      </c>
      <c r="G1012" s="3" t="s">
        <v>1274</v>
      </c>
      <c r="H1012" s="3" t="s">
        <v>1275</v>
      </c>
      <c r="K1012" s="2">
        <v>10</v>
      </c>
      <c r="L1012" s="2">
        <v>1</v>
      </c>
      <c r="M1012" s="3" t="s">
        <v>194</v>
      </c>
      <c r="N1012" s="3" t="s">
        <v>1276</v>
      </c>
      <c r="O1012" s="3" t="s">
        <v>1277</v>
      </c>
      <c r="P1012" s="3" t="s">
        <v>1278</v>
      </c>
      <c r="Q1012" s="30" t="str">
        <f t="shared" si="15"/>
        <v>MAX : 0.325 (8.25)
TARGET : 0.320 (8.13)
MIN : 0.315 (8.00)</v>
      </c>
    </row>
    <row r="1013" spans="2:17" ht="41.4" x14ac:dyDescent="0.3">
      <c r="B1013">
        <v>1</v>
      </c>
      <c r="C1013" s="33">
        <v>5751</v>
      </c>
      <c r="D1013" s="2">
        <v>981</v>
      </c>
      <c r="E1013" s="2" t="s">
        <v>7646</v>
      </c>
      <c r="F1013" s="3" t="s">
        <v>14217</v>
      </c>
      <c r="G1013" s="3" t="s">
        <v>1274</v>
      </c>
      <c r="H1013" s="3" t="s">
        <v>1275</v>
      </c>
      <c r="K1013" s="2">
        <v>20</v>
      </c>
      <c r="L1013" s="2">
        <v>2</v>
      </c>
      <c r="M1013" s="3" t="s">
        <v>3095</v>
      </c>
      <c r="N1013" s="3" t="s">
        <v>13</v>
      </c>
      <c r="O1013" s="3" t="s">
        <v>14</v>
      </c>
      <c r="Q1013" s="30" t="str">
        <f t="shared" si="15"/>
        <v>MAX : 
TARGET : Yes(Pass)
MIN : No(Fail)</v>
      </c>
    </row>
    <row r="1014" spans="2:17" ht="41.4" x14ac:dyDescent="0.3">
      <c r="B1014">
        <v>1</v>
      </c>
      <c r="C1014" s="33">
        <v>5781</v>
      </c>
      <c r="D1014" s="2">
        <v>982</v>
      </c>
      <c r="E1014" s="2" t="s">
        <v>7654</v>
      </c>
      <c r="F1014" s="3" t="s">
        <v>14207</v>
      </c>
      <c r="H1014" s="3" t="s">
        <v>426</v>
      </c>
      <c r="K1014" s="2">
        <v>10</v>
      </c>
      <c r="L1014" s="2">
        <v>5</v>
      </c>
      <c r="M1014" s="3" t="s">
        <v>1297</v>
      </c>
      <c r="N1014" s="3" t="s">
        <v>24</v>
      </c>
      <c r="O1014" s="3" t="s">
        <v>25</v>
      </c>
      <c r="Q1014" s="30" t="str">
        <f t="shared" si="15"/>
        <v>MAX : 
TARGET : Yes (Pass)
MIN : No (Fail)</v>
      </c>
    </row>
    <row r="1015" spans="2:17" ht="41.4" x14ac:dyDescent="0.3">
      <c r="B1015">
        <v>1</v>
      </c>
      <c r="C1015" s="33">
        <v>5781</v>
      </c>
      <c r="D1015" s="2">
        <v>982</v>
      </c>
      <c r="E1015" s="2" t="s">
        <v>7654</v>
      </c>
      <c r="F1015" s="3" t="s">
        <v>14207</v>
      </c>
      <c r="H1015" s="3" t="s">
        <v>426</v>
      </c>
      <c r="K1015" s="2">
        <v>10</v>
      </c>
      <c r="L1015" s="2">
        <v>1</v>
      </c>
      <c r="M1015" s="3" t="s">
        <v>1293</v>
      </c>
      <c r="N1015" s="3" t="s">
        <v>1294</v>
      </c>
      <c r="O1015" s="3" t="s">
        <v>1295</v>
      </c>
      <c r="P1015" s="3" t="s">
        <v>1296</v>
      </c>
      <c r="Q1015" s="30" t="str">
        <f t="shared" si="15"/>
        <v>MAX : 560.80
TARGET : 558.80
MIN : 556.80</v>
      </c>
    </row>
    <row r="1016" spans="2:17" ht="41.4" x14ac:dyDescent="0.3">
      <c r="B1016">
        <v>1</v>
      </c>
      <c r="C1016" s="33">
        <v>5782</v>
      </c>
      <c r="D1016" s="2">
        <v>983</v>
      </c>
      <c r="E1016" s="2" t="s">
        <v>7661</v>
      </c>
      <c r="F1016" s="3" t="s">
        <v>14207</v>
      </c>
      <c r="H1016" s="3" t="s">
        <v>426</v>
      </c>
      <c r="K1016" t="s">
        <v>6295</v>
      </c>
      <c r="L1016" s="2">
        <v>2</v>
      </c>
      <c r="M1016" s="3" t="s">
        <v>1297</v>
      </c>
      <c r="N1016" s="3" t="s">
        <v>24</v>
      </c>
      <c r="O1016" s="3" t="s">
        <v>25</v>
      </c>
      <c r="Q1016" s="30" t="str">
        <f t="shared" si="15"/>
        <v>MAX : 
TARGET : Yes (Pass)
MIN : No (Fail)</v>
      </c>
    </row>
    <row r="1017" spans="2:17" ht="41.4" x14ac:dyDescent="0.3">
      <c r="B1017">
        <v>1</v>
      </c>
      <c r="C1017" s="33">
        <v>5782</v>
      </c>
      <c r="D1017" s="2">
        <v>983</v>
      </c>
      <c r="E1017" s="2" t="s">
        <v>7661</v>
      </c>
      <c r="F1017" s="3" t="s">
        <v>14207</v>
      </c>
      <c r="H1017" s="3" t="s">
        <v>426</v>
      </c>
      <c r="K1017" t="s">
        <v>6295</v>
      </c>
      <c r="L1017" s="2">
        <v>1</v>
      </c>
      <c r="M1017" s="3" t="s">
        <v>1293</v>
      </c>
      <c r="N1017" s="3" t="s">
        <v>1311</v>
      </c>
      <c r="O1017" s="3" t="s">
        <v>1312</v>
      </c>
      <c r="P1017" s="3" t="s">
        <v>1313</v>
      </c>
      <c r="Q1017" s="30" t="str">
        <f t="shared" si="15"/>
        <v>MAX : 624.30
TARGET : 622.30
MIN : 620.30</v>
      </c>
    </row>
    <row r="1018" spans="2:17" ht="41.4" x14ac:dyDescent="0.3">
      <c r="B1018">
        <v>1</v>
      </c>
      <c r="C1018" s="33">
        <v>5841</v>
      </c>
      <c r="D1018" s="2">
        <v>1777</v>
      </c>
      <c r="E1018" s="2" t="s">
        <v>7668</v>
      </c>
      <c r="F1018" s="3" t="s">
        <v>14206</v>
      </c>
      <c r="H1018" s="3" t="s">
        <v>491</v>
      </c>
      <c r="K1018" s="2">
        <v>10</v>
      </c>
      <c r="L1018" s="2">
        <v>2</v>
      </c>
      <c r="M1018" s="3" t="s">
        <v>1327</v>
      </c>
      <c r="N1018" s="3" t="s">
        <v>13</v>
      </c>
      <c r="O1018" s="3" t="s">
        <v>14</v>
      </c>
      <c r="Q1018" s="30" t="str">
        <f t="shared" si="15"/>
        <v>MAX : 
TARGET : Yes(Pass)
MIN : No(Fail)</v>
      </c>
    </row>
    <row r="1019" spans="2:17" ht="41.4" x14ac:dyDescent="0.3">
      <c r="B1019">
        <v>0</v>
      </c>
      <c r="C1019" s="33">
        <v>5632</v>
      </c>
      <c r="D1019" s="2">
        <v>971</v>
      </c>
      <c r="E1019" s="2" t="s">
        <v>7531</v>
      </c>
      <c r="F1019" s="3" t="s">
        <v>14207</v>
      </c>
      <c r="H1019" s="3" t="s">
        <v>1154</v>
      </c>
      <c r="K1019" s="2">
        <v>10</v>
      </c>
      <c r="L1019" s="2">
        <v>1</v>
      </c>
      <c r="M1019" s="3" t="s">
        <v>2405</v>
      </c>
      <c r="N1019" s="3" t="s">
        <v>601</v>
      </c>
      <c r="O1019" s="3" t="s">
        <v>1931</v>
      </c>
      <c r="P1019" s="3" t="s">
        <v>2406</v>
      </c>
      <c r="Q1019" s="30" t="str">
        <f t="shared" si="15"/>
        <v>MAX : 2
TARGET : 1.875
MIN : 1.595</v>
      </c>
    </row>
    <row r="1020" spans="2:17" ht="41.4" x14ac:dyDescent="0.3">
      <c r="B1020">
        <v>1</v>
      </c>
      <c r="C1020" s="33">
        <v>5841</v>
      </c>
      <c r="D1020" s="2">
        <v>1777</v>
      </c>
      <c r="E1020" s="2" t="s">
        <v>7668</v>
      </c>
      <c r="F1020" s="3" t="s">
        <v>14206</v>
      </c>
      <c r="H1020" s="3" t="s">
        <v>491</v>
      </c>
      <c r="K1020" s="2">
        <v>10</v>
      </c>
      <c r="L1020" s="2">
        <v>1</v>
      </c>
      <c r="M1020" s="3" t="s">
        <v>99</v>
      </c>
      <c r="N1020" s="3" t="s">
        <v>1324</v>
      </c>
      <c r="O1020" s="3" t="s">
        <v>1325</v>
      </c>
      <c r="P1020" s="3" t="s">
        <v>1326</v>
      </c>
      <c r="Q1020" s="30" t="str">
        <f t="shared" si="15"/>
        <v>MAX : 9.060
TARGET : 9.000
MIN : 8.875</v>
      </c>
    </row>
    <row r="1021" spans="2:17" ht="41.4" x14ac:dyDescent="0.3">
      <c r="B1021">
        <v>0</v>
      </c>
      <c r="C1021" s="33">
        <v>6288</v>
      </c>
      <c r="D1021" s="2">
        <v>1012</v>
      </c>
      <c r="E1021" s="2" t="s">
        <v>7983</v>
      </c>
      <c r="F1021" s="3" t="s">
        <v>14206</v>
      </c>
      <c r="H1021" s="3" t="s">
        <v>1332</v>
      </c>
      <c r="K1021" s="2">
        <v>10</v>
      </c>
      <c r="L1021" s="2">
        <v>4</v>
      </c>
      <c r="M1021" s="3" t="s">
        <v>1175</v>
      </c>
      <c r="N1021" s="3" t="s">
        <v>1336</v>
      </c>
      <c r="O1021" s="3" t="s">
        <v>457</v>
      </c>
      <c r="P1021" s="3" t="s">
        <v>1337</v>
      </c>
      <c r="Q1021" s="30" t="str">
        <f t="shared" si="15"/>
        <v>MAX : 14.25
TARGET : 14.00
MIN : 13.75</v>
      </c>
    </row>
    <row r="1022" spans="2:17" ht="41.4" x14ac:dyDescent="0.3">
      <c r="B1022">
        <v>0</v>
      </c>
      <c r="C1022" s="33">
        <v>6288</v>
      </c>
      <c r="D1022" s="2">
        <v>1012</v>
      </c>
      <c r="E1022" s="2" t="s">
        <v>7983</v>
      </c>
      <c r="F1022" s="3" t="s">
        <v>14206</v>
      </c>
      <c r="H1022" s="3" t="s">
        <v>1332</v>
      </c>
      <c r="K1022" s="2">
        <v>10</v>
      </c>
      <c r="L1022" s="2">
        <v>5</v>
      </c>
      <c r="M1022" s="3" t="s">
        <v>1177</v>
      </c>
      <c r="N1022" s="3" t="s">
        <v>13</v>
      </c>
      <c r="O1022" s="3" t="s">
        <v>14</v>
      </c>
      <c r="Q1022" s="30" t="str">
        <f t="shared" si="15"/>
        <v>MAX : 
TARGET : Yes(Pass)
MIN : No(Fail)</v>
      </c>
    </row>
    <row r="1023" spans="2:17" ht="41.4" x14ac:dyDescent="0.3">
      <c r="B1023">
        <v>0</v>
      </c>
      <c r="C1023" s="33">
        <v>6288</v>
      </c>
      <c r="D1023" s="2">
        <v>1012</v>
      </c>
      <c r="E1023" s="2" t="s">
        <v>7983</v>
      </c>
      <c r="F1023" s="3" t="s">
        <v>14206</v>
      </c>
      <c r="H1023" s="3" t="s">
        <v>1332</v>
      </c>
      <c r="K1023" s="2">
        <v>10</v>
      </c>
      <c r="L1023" s="2">
        <v>8</v>
      </c>
      <c r="M1023" s="3" t="s">
        <v>1338</v>
      </c>
      <c r="N1023" s="3" t="s">
        <v>13</v>
      </c>
      <c r="O1023" s="3" t="s">
        <v>14</v>
      </c>
      <c r="Q1023" s="30" t="str">
        <f t="shared" si="15"/>
        <v>MAX : 
TARGET : Yes(Pass)
MIN : No(Fail)</v>
      </c>
    </row>
    <row r="1024" spans="2:17" ht="41.4" x14ac:dyDescent="0.3">
      <c r="B1024">
        <v>0</v>
      </c>
      <c r="C1024" s="33">
        <v>6288</v>
      </c>
      <c r="D1024" s="2">
        <v>1012</v>
      </c>
      <c r="E1024" s="2" t="s">
        <v>7983</v>
      </c>
      <c r="F1024" s="3" t="s">
        <v>14206</v>
      </c>
      <c r="H1024" s="3" t="s">
        <v>1332</v>
      </c>
      <c r="K1024" s="2">
        <v>10</v>
      </c>
      <c r="L1024" s="2">
        <v>6</v>
      </c>
      <c r="M1024" s="3" t="s">
        <v>1179</v>
      </c>
      <c r="N1024" s="3" t="s">
        <v>13</v>
      </c>
      <c r="O1024" s="3" t="s">
        <v>14</v>
      </c>
      <c r="Q1024" s="30" t="str">
        <f t="shared" si="15"/>
        <v>MAX : 
TARGET : Yes(Pass)
MIN : No(Fail)</v>
      </c>
    </row>
    <row r="1025" spans="2:18" ht="41.4" x14ac:dyDescent="0.3">
      <c r="B1025">
        <v>0</v>
      </c>
      <c r="C1025" s="33">
        <v>6288</v>
      </c>
      <c r="D1025" s="2">
        <v>1012</v>
      </c>
      <c r="E1025" s="2" t="s">
        <v>7983</v>
      </c>
      <c r="F1025" s="3" t="s">
        <v>14206</v>
      </c>
      <c r="H1025" s="3" t="s">
        <v>1332</v>
      </c>
      <c r="K1025" s="2">
        <v>10</v>
      </c>
      <c r="L1025" s="2">
        <v>7</v>
      </c>
      <c r="M1025" s="3" t="s">
        <v>1180</v>
      </c>
      <c r="N1025" s="3" t="s">
        <v>13</v>
      </c>
      <c r="O1025" s="3" t="s">
        <v>14</v>
      </c>
      <c r="Q1025" s="30" t="str">
        <f t="shared" si="15"/>
        <v>MAX : 
TARGET : Yes(Pass)
MIN : No(Fail)</v>
      </c>
    </row>
    <row r="1026" spans="2:18" ht="41.4" x14ac:dyDescent="0.3">
      <c r="B1026">
        <v>0</v>
      </c>
      <c r="C1026" s="33">
        <v>6288</v>
      </c>
      <c r="D1026" s="2">
        <v>1012</v>
      </c>
      <c r="E1026" s="2" t="s">
        <v>7983</v>
      </c>
      <c r="F1026" s="3" t="s">
        <v>14206</v>
      </c>
      <c r="H1026" s="3" t="s">
        <v>1332</v>
      </c>
      <c r="K1026" s="2">
        <v>10</v>
      </c>
      <c r="L1026" s="2">
        <v>9</v>
      </c>
      <c r="M1026" s="3" t="s">
        <v>1181</v>
      </c>
      <c r="N1026" s="3" t="s">
        <v>13</v>
      </c>
      <c r="O1026" s="3" t="s">
        <v>14</v>
      </c>
      <c r="Q1026" s="30" t="str">
        <f t="shared" ref="Q1026:Q1089" si="16">"MAX : " &amp; P1026 &amp; CHAR(10) &amp; "TARGET : " &amp; O1026 &amp; CHAR(10) &amp; "MIN : " &amp; N1026</f>
        <v>MAX : 
TARGET : Yes(Pass)
MIN : No(Fail)</v>
      </c>
    </row>
    <row r="1027" spans="2:18" ht="41.4" x14ac:dyDescent="0.3">
      <c r="B1027">
        <v>0</v>
      </c>
      <c r="C1027" s="33">
        <v>6288</v>
      </c>
      <c r="D1027" s="2">
        <v>1012</v>
      </c>
      <c r="E1027" s="2" t="s">
        <v>7983</v>
      </c>
      <c r="F1027" s="3" t="s">
        <v>14206</v>
      </c>
      <c r="H1027" s="3" t="s">
        <v>1332</v>
      </c>
      <c r="K1027" s="2">
        <v>10</v>
      </c>
      <c r="L1027" s="2">
        <v>1</v>
      </c>
      <c r="M1027" s="3" t="s">
        <v>1339</v>
      </c>
      <c r="N1027" s="3" t="s">
        <v>13</v>
      </c>
      <c r="O1027" s="3" t="s">
        <v>14</v>
      </c>
      <c r="Q1027" s="30" t="str">
        <f t="shared" si="16"/>
        <v>MAX : 
TARGET : Yes(Pass)
MIN : No(Fail)</v>
      </c>
    </row>
    <row r="1028" spans="2:18" ht="41.4" x14ac:dyDescent="0.3">
      <c r="B1028">
        <v>1</v>
      </c>
      <c r="C1028" s="33">
        <v>5851</v>
      </c>
      <c r="D1028" s="2">
        <v>984</v>
      </c>
      <c r="E1028" s="2" t="s">
        <v>7673</v>
      </c>
      <c r="F1028" s="3" t="s">
        <v>14206</v>
      </c>
      <c r="H1028" s="3" t="s">
        <v>1328</v>
      </c>
      <c r="K1028" s="2">
        <v>10</v>
      </c>
      <c r="L1028" s="2">
        <v>2</v>
      </c>
      <c r="M1028" s="3" t="s">
        <v>18</v>
      </c>
      <c r="N1028" s="3" t="s">
        <v>1329</v>
      </c>
      <c r="O1028" s="3" t="s">
        <v>1330</v>
      </c>
      <c r="P1028" s="3" t="s">
        <v>1331</v>
      </c>
      <c r="Q1028" s="30" t="str">
        <f t="shared" si="16"/>
        <v>MAX : 1.405
TARGET : 1.375
MIN : 1.345</v>
      </c>
    </row>
    <row r="1029" spans="2:18" ht="41.4" x14ac:dyDescent="0.3">
      <c r="B1029">
        <v>1</v>
      </c>
      <c r="C1029" s="33">
        <v>5851</v>
      </c>
      <c r="D1029" s="2">
        <v>984</v>
      </c>
      <c r="E1029" s="2" t="s">
        <v>7673</v>
      </c>
      <c r="F1029" s="3" t="s">
        <v>14206</v>
      </c>
      <c r="H1029" s="3" t="s">
        <v>1328</v>
      </c>
      <c r="K1029" s="2">
        <v>10</v>
      </c>
      <c r="L1029" s="2">
        <v>1</v>
      </c>
      <c r="M1029" s="3" t="s">
        <v>22</v>
      </c>
      <c r="N1029" s="3" t="s">
        <v>1329</v>
      </c>
      <c r="O1029" s="3" t="s">
        <v>1330</v>
      </c>
      <c r="P1029" s="3" t="s">
        <v>1331</v>
      </c>
      <c r="Q1029" s="30" t="str">
        <f t="shared" si="16"/>
        <v>MAX : 1.405
TARGET : 1.375
MIN : 1.345</v>
      </c>
    </row>
    <row r="1030" spans="2:18" ht="41.4" x14ac:dyDescent="0.3">
      <c r="B1030">
        <v>1</v>
      </c>
      <c r="C1030" s="33">
        <v>5851</v>
      </c>
      <c r="D1030" s="2">
        <v>984</v>
      </c>
      <c r="E1030" s="2" t="s">
        <v>7673</v>
      </c>
      <c r="F1030" s="3" t="s">
        <v>14206</v>
      </c>
      <c r="H1030" s="3" t="s">
        <v>1328</v>
      </c>
      <c r="K1030" s="2">
        <v>10</v>
      </c>
      <c r="L1030" s="2">
        <v>5</v>
      </c>
      <c r="M1030" s="3" t="s">
        <v>605</v>
      </c>
      <c r="N1030" s="3" t="s">
        <v>13</v>
      </c>
      <c r="O1030" s="3" t="s">
        <v>14</v>
      </c>
      <c r="Q1030" s="30" t="str">
        <f t="shared" si="16"/>
        <v>MAX : 
TARGET : Yes(Pass)
MIN : No(Fail)</v>
      </c>
    </row>
    <row r="1031" spans="2:18" ht="41.4" x14ac:dyDescent="0.3">
      <c r="B1031">
        <v>1</v>
      </c>
      <c r="C1031" s="33">
        <v>5855</v>
      </c>
      <c r="D1031" s="2">
        <v>985</v>
      </c>
      <c r="E1031" s="2" t="s">
        <v>7679</v>
      </c>
      <c r="F1031" s="3" t="s">
        <v>14206</v>
      </c>
      <c r="H1031" s="3" t="s">
        <v>1332</v>
      </c>
      <c r="K1031" s="2">
        <v>10</v>
      </c>
      <c r="L1031" s="2">
        <v>3</v>
      </c>
      <c r="M1031" s="3" t="s">
        <v>99</v>
      </c>
      <c r="N1031" s="3" t="s">
        <v>1334</v>
      </c>
      <c r="O1031" s="3" t="s">
        <v>196</v>
      </c>
      <c r="P1031" s="3" t="s">
        <v>1335</v>
      </c>
      <c r="Q1031" s="30" t="str">
        <f t="shared" si="16"/>
        <v>MAX : 13.06
TARGET : 13.00
MIN : 12.94</v>
      </c>
    </row>
    <row r="1032" spans="2:18" ht="41.4" x14ac:dyDescent="0.3">
      <c r="B1032">
        <v>0</v>
      </c>
      <c r="C1032" s="33">
        <v>6308</v>
      </c>
      <c r="D1032" s="2">
        <v>1801</v>
      </c>
      <c r="E1032" s="2" t="s">
        <v>8021</v>
      </c>
      <c r="F1032" s="3" t="s">
        <v>14206</v>
      </c>
      <c r="H1032" s="3" t="s">
        <v>1631</v>
      </c>
      <c r="K1032" s="2">
        <v>10</v>
      </c>
      <c r="L1032" s="2">
        <v>3</v>
      </c>
      <c r="M1032" s="3" t="s">
        <v>1635</v>
      </c>
      <c r="N1032" s="3" t="s">
        <v>1634</v>
      </c>
      <c r="O1032" s="3" t="s">
        <v>557</v>
      </c>
      <c r="P1032" s="3" t="s">
        <v>1110</v>
      </c>
      <c r="Q1032" s="30" t="str">
        <f t="shared" si="16"/>
        <v>MAX : 5.125
TARGET : 5.000
MIN : 4.875</v>
      </c>
    </row>
    <row r="1033" spans="2:18" ht="41.4" x14ac:dyDescent="0.3">
      <c r="B1033">
        <v>0</v>
      </c>
      <c r="C1033" s="33">
        <v>6308</v>
      </c>
      <c r="D1033" s="2">
        <v>1801</v>
      </c>
      <c r="E1033" s="2" t="s">
        <v>8021</v>
      </c>
      <c r="F1033" s="3" t="s">
        <v>14206</v>
      </c>
      <c r="H1033" s="3" t="s">
        <v>1631</v>
      </c>
      <c r="K1033" s="2">
        <v>10</v>
      </c>
      <c r="L1033" s="2">
        <v>4</v>
      </c>
      <c r="M1033" s="3" t="s">
        <v>1636</v>
      </c>
      <c r="N1033" s="3" t="s">
        <v>13</v>
      </c>
      <c r="O1033" s="3" t="s">
        <v>14</v>
      </c>
      <c r="Q1033" s="30" t="str">
        <f t="shared" si="16"/>
        <v>MAX : 
TARGET : Yes(Pass)
MIN : No(Fail)</v>
      </c>
    </row>
    <row r="1034" spans="2:18" ht="41.4" x14ac:dyDescent="0.3">
      <c r="B1034">
        <v>1</v>
      </c>
      <c r="C1034" s="33">
        <v>5855</v>
      </c>
      <c r="D1034" s="2">
        <v>985</v>
      </c>
      <c r="E1034" s="2" t="s">
        <v>7679</v>
      </c>
      <c r="F1034" s="3" t="s">
        <v>14206</v>
      </c>
      <c r="H1034" s="3" t="s">
        <v>1332</v>
      </c>
      <c r="K1034" s="2">
        <v>10</v>
      </c>
      <c r="L1034" s="2">
        <v>2</v>
      </c>
      <c r="M1034" s="3" t="s">
        <v>1333</v>
      </c>
      <c r="N1034" s="3" t="s">
        <v>13</v>
      </c>
      <c r="O1034" s="3" t="s">
        <v>14</v>
      </c>
      <c r="Q1034" s="30" t="str">
        <f t="shared" si="16"/>
        <v>MAX : 
TARGET : Yes(Pass)
MIN : No(Fail)</v>
      </c>
    </row>
    <row r="1035" spans="2:18" ht="41.4" x14ac:dyDescent="0.3">
      <c r="B1035">
        <v>1</v>
      </c>
      <c r="C1035" s="33">
        <v>5875</v>
      </c>
      <c r="D1035" s="2">
        <v>1778</v>
      </c>
      <c r="E1035" s="2" t="s">
        <v>7687</v>
      </c>
      <c r="F1035" s="3" t="s">
        <v>14207</v>
      </c>
      <c r="H1035" s="3" t="s">
        <v>1349</v>
      </c>
      <c r="K1035" s="2">
        <v>30</v>
      </c>
      <c r="L1035" s="2">
        <v>2</v>
      </c>
      <c r="M1035" s="3" t="s">
        <v>1353</v>
      </c>
      <c r="N1035" s="3" t="s">
        <v>1354</v>
      </c>
      <c r="O1035" s="3" t="s">
        <v>1355</v>
      </c>
      <c r="P1035" s="3" t="s">
        <v>1356</v>
      </c>
      <c r="Q1035" s="30" t="str">
        <f t="shared" si="16"/>
        <v>MAX : 10.0
TARGET : 9.5
MIN : 9.0</v>
      </c>
    </row>
    <row r="1036" spans="2:18" ht="41.4" x14ac:dyDescent="0.3">
      <c r="B1036">
        <v>0</v>
      </c>
      <c r="C1036" s="33">
        <v>6331</v>
      </c>
      <c r="D1036" s="2">
        <v>1013</v>
      </c>
      <c r="E1036" s="2" t="s">
        <v>8027</v>
      </c>
      <c r="F1036" s="3" t="s">
        <v>14206</v>
      </c>
      <c r="H1036" s="3" t="s">
        <v>1637</v>
      </c>
      <c r="K1036" s="2">
        <v>10</v>
      </c>
      <c r="L1036" s="2">
        <v>3</v>
      </c>
      <c r="M1036" s="3" t="s">
        <v>1639</v>
      </c>
      <c r="N1036" s="3" t="s">
        <v>13</v>
      </c>
      <c r="O1036" s="3" t="s">
        <v>14</v>
      </c>
      <c r="Q1036" s="30" t="str">
        <f t="shared" si="16"/>
        <v>MAX : 
TARGET : Yes(Pass)
MIN : No(Fail)</v>
      </c>
      <c r="R1036" s="3" t="s">
        <v>1638</v>
      </c>
    </row>
    <row r="1037" spans="2:18" ht="41.4" x14ac:dyDescent="0.3">
      <c r="B1037">
        <v>0</v>
      </c>
      <c r="C1037" s="33">
        <v>6331</v>
      </c>
      <c r="D1037" s="2">
        <v>1013</v>
      </c>
      <c r="E1037" s="2" t="s">
        <v>8027</v>
      </c>
      <c r="F1037" s="3" t="s">
        <v>14206</v>
      </c>
      <c r="H1037" s="3" t="s">
        <v>1637</v>
      </c>
      <c r="K1037" s="2">
        <v>10</v>
      </c>
      <c r="L1037" s="2">
        <v>4</v>
      </c>
      <c r="M1037" s="3" t="s">
        <v>1640</v>
      </c>
      <c r="N1037" s="3" t="s">
        <v>13</v>
      </c>
      <c r="O1037" s="3" t="s">
        <v>14</v>
      </c>
      <c r="Q1037" s="30" t="str">
        <f t="shared" si="16"/>
        <v>MAX : 
TARGET : Yes(Pass)
MIN : No(Fail)</v>
      </c>
      <c r="R1037" s="3" t="s">
        <v>1638</v>
      </c>
    </row>
    <row r="1038" spans="2:18" ht="41.4" x14ac:dyDescent="0.3">
      <c r="B1038">
        <v>1</v>
      </c>
      <c r="C1038" s="33">
        <v>5875</v>
      </c>
      <c r="D1038" s="2">
        <v>1778</v>
      </c>
      <c r="E1038" s="2" t="s">
        <v>7687</v>
      </c>
      <c r="F1038" s="3" t="s">
        <v>14207</v>
      </c>
      <c r="H1038" s="3" t="s">
        <v>1349</v>
      </c>
      <c r="K1038" s="2">
        <v>30</v>
      </c>
      <c r="L1038" s="2">
        <v>1</v>
      </c>
      <c r="M1038" s="3" t="s">
        <v>194</v>
      </c>
      <c r="N1038" s="3" t="s">
        <v>1350</v>
      </c>
      <c r="O1038" s="3" t="s">
        <v>1351</v>
      </c>
      <c r="P1038" s="3" t="s">
        <v>1352</v>
      </c>
      <c r="Q1038" s="30" t="str">
        <f t="shared" si="16"/>
        <v>MAX : 8.5
TARGET : 8.0
MIN : 7.5</v>
      </c>
    </row>
    <row r="1039" spans="2:18" ht="41.4" x14ac:dyDescent="0.3">
      <c r="B1039">
        <v>1</v>
      </c>
      <c r="C1039" s="33">
        <v>5898</v>
      </c>
      <c r="D1039" s="2">
        <v>986</v>
      </c>
      <c r="E1039" s="2" t="s">
        <v>7694</v>
      </c>
      <c r="F1039" s="3" t="s">
        <v>14206</v>
      </c>
      <c r="H1039" s="3" t="s">
        <v>504</v>
      </c>
      <c r="K1039" s="2">
        <v>10</v>
      </c>
      <c r="L1039" s="2">
        <v>2</v>
      </c>
      <c r="M1039" s="3" t="s">
        <v>194</v>
      </c>
      <c r="N1039" s="3" t="s">
        <v>420</v>
      </c>
      <c r="O1039" s="3" t="s">
        <v>272</v>
      </c>
      <c r="P1039" s="3" t="s">
        <v>414</v>
      </c>
      <c r="Q1039" s="30" t="str">
        <f t="shared" si="16"/>
        <v>MAX : 1.03
TARGET : 1.00
MIN : 0.97</v>
      </c>
    </row>
    <row r="1040" spans="2:18" ht="41.4" x14ac:dyDescent="0.3">
      <c r="B1040">
        <v>0</v>
      </c>
      <c r="C1040" s="33">
        <v>6335</v>
      </c>
      <c r="D1040" s="2">
        <v>1014</v>
      </c>
      <c r="E1040" s="2" t="s">
        <v>8033</v>
      </c>
      <c r="F1040" s="3" t="s">
        <v>14206</v>
      </c>
      <c r="H1040" s="3" t="s">
        <v>306</v>
      </c>
      <c r="K1040" s="2">
        <v>20</v>
      </c>
      <c r="L1040" s="2">
        <v>3</v>
      </c>
      <c r="M1040" s="3" t="s">
        <v>1643</v>
      </c>
      <c r="N1040" s="3" t="s">
        <v>13</v>
      </c>
      <c r="O1040" s="3" t="s">
        <v>14</v>
      </c>
      <c r="Q1040" s="30" t="str">
        <f t="shared" si="16"/>
        <v>MAX : 
TARGET : Yes(Pass)
MIN : No(Fail)</v>
      </c>
    </row>
    <row r="1041" spans="2:17" ht="41.4" x14ac:dyDescent="0.3">
      <c r="B1041">
        <v>0</v>
      </c>
      <c r="C1041" s="33">
        <v>6335</v>
      </c>
      <c r="D1041" s="2">
        <v>1014</v>
      </c>
      <c r="E1041" s="2" t="s">
        <v>8033</v>
      </c>
      <c r="F1041" s="3" t="s">
        <v>14206</v>
      </c>
      <c r="H1041" s="3" t="s">
        <v>306</v>
      </c>
      <c r="K1041" s="2">
        <v>20</v>
      </c>
      <c r="L1041" s="2">
        <v>4</v>
      </c>
      <c r="M1041" s="3" t="s">
        <v>1644</v>
      </c>
      <c r="N1041" s="3" t="s">
        <v>13</v>
      </c>
      <c r="O1041" s="3" t="s">
        <v>14</v>
      </c>
      <c r="Q1041" s="30" t="str">
        <f t="shared" si="16"/>
        <v>MAX : 
TARGET : Yes(Pass)
MIN : No(Fail)</v>
      </c>
    </row>
    <row r="1042" spans="2:17" ht="41.4" x14ac:dyDescent="0.3">
      <c r="B1042">
        <v>1</v>
      </c>
      <c r="C1042" s="33">
        <v>5898</v>
      </c>
      <c r="D1042" s="2">
        <v>986</v>
      </c>
      <c r="E1042" s="2" t="s">
        <v>7694</v>
      </c>
      <c r="F1042" s="3" t="s">
        <v>14206</v>
      </c>
      <c r="H1042" s="3" t="s">
        <v>504</v>
      </c>
      <c r="K1042" s="2">
        <v>10</v>
      </c>
      <c r="L1042" s="2">
        <v>1</v>
      </c>
      <c r="M1042" s="3" t="s">
        <v>198</v>
      </c>
      <c r="N1042" s="3" t="s">
        <v>1340</v>
      </c>
      <c r="O1042" s="3" t="s">
        <v>488</v>
      </c>
      <c r="P1042" s="3" t="s">
        <v>75</v>
      </c>
      <c r="Q1042" s="30" t="str">
        <f t="shared" si="16"/>
        <v>MAX : 2.47
TARGET : 2.44
MIN : 2.41</v>
      </c>
    </row>
    <row r="1043" spans="2:17" ht="41.4" x14ac:dyDescent="0.3">
      <c r="B1043">
        <v>1</v>
      </c>
      <c r="C1043" s="33">
        <v>5899</v>
      </c>
      <c r="D1043" s="2">
        <v>987</v>
      </c>
      <c r="E1043" s="2" t="s">
        <v>7701</v>
      </c>
      <c r="F1043" s="3" t="s">
        <v>14206</v>
      </c>
      <c r="H1043" s="3" t="s">
        <v>504</v>
      </c>
      <c r="K1043" s="2">
        <v>10</v>
      </c>
      <c r="L1043" s="2">
        <v>2</v>
      </c>
      <c r="M1043" s="3" t="s">
        <v>194</v>
      </c>
      <c r="N1043" s="3" t="s">
        <v>420</v>
      </c>
      <c r="O1043" s="3" t="s">
        <v>272</v>
      </c>
      <c r="P1043" s="3" t="s">
        <v>414</v>
      </c>
      <c r="Q1043" s="30" t="str">
        <f t="shared" si="16"/>
        <v>MAX : 1.03
TARGET : 1.00
MIN : 0.97</v>
      </c>
    </row>
    <row r="1044" spans="2:17" ht="41.4" x14ac:dyDescent="0.3">
      <c r="B1044">
        <v>0</v>
      </c>
      <c r="C1044" s="33">
        <v>6340</v>
      </c>
      <c r="D1044" s="2">
        <v>1015</v>
      </c>
      <c r="E1044" s="2" t="s">
        <v>8046</v>
      </c>
      <c r="F1044" s="3" t="s">
        <v>14207</v>
      </c>
      <c r="H1044" s="3" t="s">
        <v>648</v>
      </c>
      <c r="K1044" s="2">
        <v>10</v>
      </c>
      <c r="L1044" s="2">
        <v>3</v>
      </c>
      <c r="M1044" s="3" t="s">
        <v>74</v>
      </c>
      <c r="N1044" s="3" t="s">
        <v>1651</v>
      </c>
      <c r="O1044" s="3" t="s">
        <v>1157</v>
      </c>
      <c r="P1044" s="3" t="s">
        <v>1652</v>
      </c>
      <c r="Q1044" s="30" t="str">
        <f t="shared" si="16"/>
        <v>MAX : 11.2
TARGET : 11.0
MIN : 10.8</v>
      </c>
    </row>
    <row r="1045" spans="2:17" ht="41.4" x14ac:dyDescent="0.3">
      <c r="B1045">
        <v>0</v>
      </c>
      <c r="C1045" s="33">
        <v>6340</v>
      </c>
      <c r="D1045" s="2">
        <v>1015</v>
      </c>
      <c r="E1045" s="2" t="s">
        <v>8046</v>
      </c>
      <c r="F1045" s="3" t="s">
        <v>14207</v>
      </c>
      <c r="H1045" s="3" t="s">
        <v>648</v>
      </c>
      <c r="K1045" s="2">
        <v>10</v>
      </c>
      <c r="L1045" s="2">
        <v>4</v>
      </c>
      <c r="M1045" s="3" t="s">
        <v>1653</v>
      </c>
      <c r="N1045" s="3" t="s">
        <v>13</v>
      </c>
      <c r="O1045" s="3" t="s">
        <v>14</v>
      </c>
      <c r="Q1045" s="30" t="str">
        <f t="shared" si="16"/>
        <v>MAX : 
TARGET : Yes(Pass)
MIN : No(Fail)</v>
      </c>
    </row>
    <row r="1046" spans="2:17" ht="41.4" x14ac:dyDescent="0.3">
      <c r="B1046">
        <v>1</v>
      </c>
      <c r="C1046" s="33">
        <v>5899</v>
      </c>
      <c r="D1046" s="2">
        <v>987</v>
      </c>
      <c r="E1046" s="2" t="s">
        <v>7701</v>
      </c>
      <c r="F1046" s="3" t="s">
        <v>14206</v>
      </c>
      <c r="H1046" s="3" t="s">
        <v>504</v>
      </c>
      <c r="K1046" s="2">
        <v>10</v>
      </c>
      <c r="L1046" s="2">
        <v>1</v>
      </c>
      <c r="M1046" s="3" t="s">
        <v>198</v>
      </c>
      <c r="N1046" s="3" t="s">
        <v>1342</v>
      </c>
      <c r="O1046" s="3" t="s">
        <v>405</v>
      </c>
      <c r="P1046" s="3" t="s">
        <v>459</v>
      </c>
      <c r="Q1046" s="30" t="str">
        <f t="shared" si="16"/>
        <v>MAX : 1.97
TARGET : 1.94
MIN : 1.91</v>
      </c>
    </row>
    <row r="1047" spans="2:17" ht="41.4" x14ac:dyDescent="0.3">
      <c r="B1047">
        <v>1</v>
      </c>
      <c r="C1047" s="33">
        <v>5902</v>
      </c>
      <c r="D1047" s="2">
        <v>1779</v>
      </c>
      <c r="E1047" s="2" t="s">
        <v>7707</v>
      </c>
      <c r="F1047" s="3" t="s">
        <v>14206</v>
      </c>
      <c r="H1047" s="3" t="s">
        <v>846</v>
      </c>
      <c r="K1047" s="2">
        <v>10</v>
      </c>
      <c r="L1047" s="2">
        <v>2</v>
      </c>
      <c r="M1047" s="3" t="s">
        <v>1346</v>
      </c>
      <c r="N1047" s="3" t="s">
        <v>13</v>
      </c>
      <c r="O1047" s="3" t="s">
        <v>14</v>
      </c>
      <c r="Q1047" s="30" t="str">
        <f t="shared" si="16"/>
        <v>MAX : 
TARGET : Yes(Pass)
MIN : No(Fail)</v>
      </c>
    </row>
    <row r="1048" spans="2:17" ht="41.4" x14ac:dyDescent="0.3">
      <c r="B1048">
        <v>1</v>
      </c>
      <c r="C1048" s="33">
        <v>5902</v>
      </c>
      <c r="D1048" s="2">
        <v>1779</v>
      </c>
      <c r="E1048" s="2" t="s">
        <v>7707</v>
      </c>
      <c r="F1048" s="3" t="s">
        <v>14206</v>
      </c>
      <c r="H1048" s="3" t="s">
        <v>846</v>
      </c>
      <c r="K1048" s="2">
        <v>10</v>
      </c>
      <c r="L1048" s="2">
        <v>1</v>
      </c>
      <c r="M1048" s="3" t="s">
        <v>1343</v>
      </c>
      <c r="N1048" s="3" t="s">
        <v>1344</v>
      </c>
      <c r="O1048" s="3" t="s">
        <v>700</v>
      </c>
      <c r="P1048" s="3" t="s">
        <v>1345</v>
      </c>
      <c r="Q1048" s="30" t="str">
        <f t="shared" si="16"/>
        <v>MAX : 0.380
TARGET : 0.360
MIN : 0.340</v>
      </c>
    </row>
    <row r="1049" spans="2:17" ht="41.4" x14ac:dyDescent="0.3">
      <c r="B1049">
        <v>1</v>
      </c>
      <c r="C1049" s="33">
        <v>5903</v>
      </c>
      <c r="D1049" s="2">
        <v>1780</v>
      </c>
      <c r="E1049" s="2" t="s">
        <v>7713</v>
      </c>
      <c r="F1049" s="3" t="s">
        <v>14206</v>
      </c>
      <c r="H1049" s="3" t="s">
        <v>846</v>
      </c>
      <c r="K1049" s="2">
        <v>10</v>
      </c>
      <c r="L1049" s="2">
        <v>2</v>
      </c>
      <c r="M1049" s="3" t="s">
        <v>1346</v>
      </c>
      <c r="N1049" s="3" t="s">
        <v>13</v>
      </c>
      <c r="O1049" s="3" t="s">
        <v>14</v>
      </c>
      <c r="Q1049" s="30" t="str">
        <f t="shared" si="16"/>
        <v>MAX : 
TARGET : Yes(Pass)
MIN : No(Fail)</v>
      </c>
    </row>
    <row r="1050" spans="2:17" ht="41.4" x14ac:dyDescent="0.3">
      <c r="B1050">
        <v>1</v>
      </c>
      <c r="C1050" s="33">
        <v>5903</v>
      </c>
      <c r="D1050" s="2">
        <v>1780</v>
      </c>
      <c r="E1050" s="2" t="s">
        <v>7713</v>
      </c>
      <c r="F1050" s="3" t="s">
        <v>14206</v>
      </c>
      <c r="H1050" s="3" t="s">
        <v>846</v>
      </c>
      <c r="K1050" s="2">
        <v>10</v>
      </c>
      <c r="L1050" s="2">
        <v>1</v>
      </c>
      <c r="M1050" s="3" t="s">
        <v>1343</v>
      </c>
      <c r="N1050" s="3" t="s">
        <v>281</v>
      </c>
      <c r="O1050" s="3" t="s">
        <v>1347</v>
      </c>
      <c r="P1050" s="3" t="s">
        <v>1348</v>
      </c>
      <c r="Q1050" s="30" t="str">
        <f t="shared" si="16"/>
        <v>MAX : 0.290
TARGET : 0.270
MIN : 0.250</v>
      </c>
    </row>
    <row r="1051" spans="2:17" ht="41.4" x14ac:dyDescent="0.3">
      <c r="B1051">
        <v>0</v>
      </c>
      <c r="C1051" s="33">
        <v>5660</v>
      </c>
      <c r="D1051" s="2">
        <v>975</v>
      </c>
      <c r="E1051" s="2" t="s">
        <v>7562</v>
      </c>
      <c r="F1051" s="3" t="s">
        <v>14216</v>
      </c>
      <c r="H1051" s="3" t="s">
        <v>727</v>
      </c>
      <c r="K1051" s="2">
        <v>20</v>
      </c>
      <c r="L1051" s="2">
        <v>7</v>
      </c>
      <c r="M1051" s="3" t="s">
        <v>1467</v>
      </c>
      <c r="N1051" s="3" t="s">
        <v>13</v>
      </c>
      <c r="O1051" s="3" t="s">
        <v>14</v>
      </c>
      <c r="Q1051" s="30" t="str">
        <f t="shared" si="16"/>
        <v>MAX : 
TARGET : Yes(Pass)
MIN : No(Fail)</v>
      </c>
    </row>
    <row r="1052" spans="2:17" ht="41.4" x14ac:dyDescent="0.3">
      <c r="B1052">
        <v>1</v>
      </c>
      <c r="C1052" s="33">
        <v>5908</v>
      </c>
      <c r="D1052" s="2">
        <v>988</v>
      </c>
      <c r="E1052" s="2" t="s">
        <v>7719</v>
      </c>
      <c r="F1052" s="3" t="s">
        <v>14207</v>
      </c>
      <c r="H1052" s="3" t="s">
        <v>727</v>
      </c>
      <c r="K1052" s="2">
        <v>10</v>
      </c>
      <c r="L1052" s="2">
        <v>2</v>
      </c>
      <c r="M1052" s="3" t="s">
        <v>134</v>
      </c>
      <c r="N1052" s="3" t="s">
        <v>13</v>
      </c>
      <c r="O1052" s="3" t="s">
        <v>14</v>
      </c>
      <c r="Q1052" s="30" t="str">
        <f t="shared" si="16"/>
        <v>MAX : 
TARGET : Yes(Pass)
MIN : No(Fail)</v>
      </c>
    </row>
    <row r="1053" spans="2:17" ht="41.4" x14ac:dyDescent="0.3">
      <c r="B1053">
        <v>1</v>
      </c>
      <c r="C1053" s="33">
        <v>5908</v>
      </c>
      <c r="D1053" s="2">
        <v>988</v>
      </c>
      <c r="E1053" s="2" t="s">
        <v>7719</v>
      </c>
      <c r="F1053" s="3" t="s">
        <v>14207</v>
      </c>
      <c r="H1053" s="3" t="s">
        <v>727</v>
      </c>
      <c r="K1053" s="2">
        <v>10</v>
      </c>
      <c r="L1053" s="2">
        <v>1</v>
      </c>
      <c r="M1053" s="3" t="s">
        <v>811</v>
      </c>
      <c r="N1053" s="3" t="s">
        <v>24</v>
      </c>
      <c r="O1053" s="3" t="s">
        <v>25</v>
      </c>
      <c r="Q1053" s="30" t="str">
        <f t="shared" si="16"/>
        <v>MAX : 
TARGET : Yes (Pass)
MIN : No (Fail)</v>
      </c>
    </row>
    <row r="1054" spans="2:17" ht="41.4" x14ac:dyDescent="0.3">
      <c r="B1054">
        <v>1</v>
      </c>
      <c r="C1054" s="33">
        <v>5909</v>
      </c>
      <c r="D1054" s="2">
        <v>1781</v>
      </c>
      <c r="E1054" s="2" t="s">
        <v>7726</v>
      </c>
      <c r="F1054" s="3" t="s">
        <v>14206</v>
      </c>
      <c r="H1054" s="3" t="s">
        <v>1270</v>
      </c>
      <c r="K1054" s="2">
        <v>10</v>
      </c>
      <c r="L1054" s="2">
        <v>2</v>
      </c>
      <c r="M1054" s="3" t="s">
        <v>538</v>
      </c>
      <c r="N1054" s="3" t="s">
        <v>13</v>
      </c>
      <c r="O1054" s="3" t="s">
        <v>14</v>
      </c>
      <c r="Q1054" s="30" t="str">
        <f t="shared" si="16"/>
        <v>MAX : 
TARGET : Yes(Pass)
MIN : No(Fail)</v>
      </c>
    </row>
    <row r="1055" spans="2:17" ht="41.4" x14ac:dyDescent="0.3">
      <c r="B1055">
        <v>1</v>
      </c>
      <c r="C1055" s="33">
        <v>5909</v>
      </c>
      <c r="D1055" s="2">
        <v>1781</v>
      </c>
      <c r="E1055" s="2" t="s">
        <v>7726</v>
      </c>
      <c r="F1055" s="3" t="s">
        <v>14206</v>
      </c>
      <c r="H1055" s="3" t="s">
        <v>1270</v>
      </c>
      <c r="K1055" s="2">
        <v>10</v>
      </c>
      <c r="L1055" s="2">
        <v>1</v>
      </c>
      <c r="M1055" s="3" t="s">
        <v>99</v>
      </c>
      <c r="N1055" s="3" t="s">
        <v>433</v>
      </c>
      <c r="O1055" s="3" t="s">
        <v>86</v>
      </c>
      <c r="P1055" s="3" t="s">
        <v>317</v>
      </c>
      <c r="Q1055" s="30" t="str">
        <f t="shared" si="16"/>
        <v>MAX : 0.515
TARGET : 0.500
MIN : 0.485</v>
      </c>
    </row>
    <row r="1056" spans="2:17" ht="41.4" x14ac:dyDescent="0.3">
      <c r="B1056">
        <v>1</v>
      </c>
      <c r="C1056" s="33">
        <v>5913</v>
      </c>
      <c r="D1056" s="2">
        <v>1782</v>
      </c>
      <c r="E1056" s="2" t="s">
        <v>7732</v>
      </c>
      <c r="F1056" s="3" t="s">
        <v>14206</v>
      </c>
      <c r="H1056" s="3" t="s">
        <v>1367</v>
      </c>
      <c r="K1056" s="2">
        <v>20</v>
      </c>
      <c r="L1056" s="2">
        <v>2</v>
      </c>
      <c r="M1056" s="3" t="s">
        <v>1368</v>
      </c>
      <c r="N1056" s="3" t="s">
        <v>13</v>
      </c>
      <c r="O1056" s="3" t="s">
        <v>14</v>
      </c>
      <c r="Q1056" s="30" t="str">
        <f t="shared" si="16"/>
        <v>MAX : 
TARGET : Yes(Pass)
MIN : No(Fail)</v>
      </c>
    </row>
    <row r="1057" spans="2:18" ht="41.4" x14ac:dyDescent="0.3">
      <c r="B1057">
        <v>0</v>
      </c>
      <c r="C1057" s="33">
        <v>6391</v>
      </c>
      <c r="D1057" s="2">
        <v>1016</v>
      </c>
      <c r="E1057" s="2" t="s">
        <v>8076</v>
      </c>
      <c r="F1057" s="3" t="s">
        <v>14206</v>
      </c>
      <c r="H1057" s="3" t="s">
        <v>504</v>
      </c>
      <c r="K1057" s="2">
        <v>10</v>
      </c>
      <c r="L1057" s="2">
        <v>3</v>
      </c>
      <c r="M1057" s="3" t="s">
        <v>1664</v>
      </c>
      <c r="N1057" s="3" t="s">
        <v>13</v>
      </c>
      <c r="O1057" s="3" t="s">
        <v>14</v>
      </c>
      <c r="Q1057" s="30" t="str">
        <f t="shared" si="16"/>
        <v>MAX : 
TARGET : Yes(Pass)
MIN : No(Fail)</v>
      </c>
    </row>
    <row r="1058" spans="2:18" ht="41.4" x14ac:dyDescent="0.3">
      <c r="B1058">
        <v>0</v>
      </c>
      <c r="C1058" s="33">
        <v>6391</v>
      </c>
      <c r="D1058" s="2">
        <v>1016</v>
      </c>
      <c r="E1058" s="2" t="s">
        <v>8076</v>
      </c>
      <c r="F1058" s="3" t="s">
        <v>14206</v>
      </c>
      <c r="H1058" s="3" t="s">
        <v>504</v>
      </c>
      <c r="K1058" s="2">
        <v>10</v>
      </c>
      <c r="L1058" s="2">
        <v>4</v>
      </c>
      <c r="M1058" s="3" t="s">
        <v>1618</v>
      </c>
      <c r="N1058" s="3" t="s">
        <v>13</v>
      </c>
      <c r="O1058" s="3" t="s">
        <v>14</v>
      </c>
      <c r="Q1058" s="30" t="str">
        <f t="shared" si="16"/>
        <v>MAX : 
TARGET : Yes(Pass)
MIN : No(Fail)</v>
      </c>
    </row>
    <row r="1059" spans="2:18" ht="41.4" x14ac:dyDescent="0.3">
      <c r="B1059">
        <v>1</v>
      </c>
      <c r="C1059" s="33">
        <v>5913</v>
      </c>
      <c r="D1059" s="2">
        <v>1782</v>
      </c>
      <c r="E1059" s="2" t="s">
        <v>7732</v>
      </c>
      <c r="F1059" s="3" t="s">
        <v>14206</v>
      </c>
      <c r="H1059" s="3" t="s">
        <v>1367</v>
      </c>
      <c r="K1059" s="2">
        <v>20</v>
      </c>
      <c r="L1059" s="2">
        <v>1</v>
      </c>
      <c r="M1059" s="3" t="s">
        <v>99</v>
      </c>
      <c r="N1059" s="3" t="s">
        <v>308</v>
      </c>
      <c r="O1059" s="3" t="s">
        <v>309</v>
      </c>
      <c r="P1059" s="3" t="s">
        <v>310</v>
      </c>
      <c r="Q1059" s="30" t="str">
        <f t="shared" si="16"/>
        <v>MAX : 0.53
TARGET : 0.50
MIN : 0.47</v>
      </c>
    </row>
    <row r="1060" spans="2:18" ht="41.4" x14ac:dyDescent="0.3">
      <c r="B1060">
        <v>1</v>
      </c>
      <c r="C1060" s="33">
        <v>5932</v>
      </c>
      <c r="D1060" s="2">
        <v>989</v>
      </c>
      <c r="E1060" s="2" t="s">
        <v>7739</v>
      </c>
      <c r="F1060" s="3" t="s">
        <v>14206</v>
      </c>
      <c r="H1060" s="3" t="s">
        <v>504</v>
      </c>
      <c r="K1060" s="2">
        <v>10</v>
      </c>
      <c r="L1060" s="2">
        <v>2</v>
      </c>
      <c r="M1060" s="3" t="s">
        <v>1371</v>
      </c>
      <c r="N1060" s="3" t="s">
        <v>1347</v>
      </c>
      <c r="O1060" s="3" t="s">
        <v>698</v>
      </c>
      <c r="P1060" s="3" t="s">
        <v>699</v>
      </c>
      <c r="Q1060" s="30" t="str">
        <f t="shared" si="16"/>
        <v>MAX : 0.330
TARGET : 0.300
MIN : 0.270</v>
      </c>
    </row>
    <row r="1061" spans="2:18" ht="41.4" x14ac:dyDescent="0.3">
      <c r="B1061">
        <v>0</v>
      </c>
      <c r="C1061" s="33">
        <v>6411</v>
      </c>
      <c r="D1061" s="2">
        <v>1807</v>
      </c>
      <c r="E1061" s="2" t="s">
        <v>8084</v>
      </c>
      <c r="F1061" s="3" t="s">
        <v>14207</v>
      </c>
      <c r="G1061" s="3" t="s">
        <v>1665</v>
      </c>
      <c r="H1061" s="3" t="s">
        <v>30</v>
      </c>
      <c r="I1061" s="3" t="s">
        <v>575</v>
      </c>
      <c r="K1061" s="2">
        <v>20</v>
      </c>
      <c r="L1061" s="2">
        <v>3</v>
      </c>
      <c r="M1061" s="3" t="s">
        <v>1655</v>
      </c>
      <c r="N1061" s="3" t="s">
        <v>1671</v>
      </c>
      <c r="O1061" s="3" t="s">
        <v>855</v>
      </c>
      <c r="P1061" s="3" t="s">
        <v>1672</v>
      </c>
      <c r="Q1061" s="30" t="str">
        <f t="shared" si="16"/>
        <v>MAX : 15.25
TARGET : 15.00
MIN : 14.75</v>
      </c>
    </row>
    <row r="1062" spans="2:18" ht="41.4" x14ac:dyDescent="0.3">
      <c r="B1062">
        <v>0</v>
      </c>
      <c r="C1062" s="33">
        <v>6411</v>
      </c>
      <c r="D1062" s="2">
        <v>1807</v>
      </c>
      <c r="E1062" s="2" t="s">
        <v>8084</v>
      </c>
      <c r="F1062" s="3" t="s">
        <v>14207</v>
      </c>
      <c r="G1062" s="3" t="s">
        <v>1665</v>
      </c>
      <c r="H1062" s="3" t="s">
        <v>30</v>
      </c>
      <c r="I1062" s="3" t="s">
        <v>575</v>
      </c>
      <c r="K1062" s="2">
        <v>20</v>
      </c>
      <c r="L1062" s="2">
        <v>4</v>
      </c>
      <c r="M1062" s="3" t="s">
        <v>1673</v>
      </c>
      <c r="N1062" s="3" t="s">
        <v>1674</v>
      </c>
      <c r="O1062" s="3" t="s">
        <v>1098</v>
      </c>
      <c r="P1062" s="3" t="s">
        <v>1675</v>
      </c>
      <c r="Q1062" s="30" t="str">
        <f t="shared" si="16"/>
        <v>MAX : 10.25
TARGET : 10.00
MIN : 9.75</v>
      </c>
    </row>
    <row r="1063" spans="2:18" ht="41.4" x14ac:dyDescent="0.3">
      <c r="B1063">
        <v>0</v>
      </c>
      <c r="C1063" s="33">
        <v>6411</v>
      </c>
      <c r="D1063" s="2">
        <v>1807</v>
      </c>
      <c r="E1063" s="2" t="s">
        <v>8084</v>
      </c>
      <c r="F1063" s="3" t="s">
        <v>14207</v>
      </c>
      <c r="G1063" s="3" t="s">
        <v>1665</v>
      </c>
      <c r="H1063" s="3" t="s">
        <v>30</v>
      </c>
      <c r="I1063" s="3" t="s">
        <v>575</v>
      </c>
      <c r="K1063" s="2">
        <v>20</v>
      </c>
      <c r="L1063" s="2">
        <v>5</v>
      </c>
      <c r="M1063" s="3" t="s">
        <v>1676</v>
      </c>
      <c r="N1063" s="3" t="s">
        <v>13</v>
      </c>
      <c r="O1063" s="3" t="s">
        <v>14</v>
      </c>
      <c r="Q1063" s="30" t="str">
        <f t="shared" si="16"/>
        <v>MAX : 
TARGET : Yes(Pass)
MIN : No(Fail)</v>
      </c>
    </row>
    <row r="1064" spans="2:18" ht="41.4" x14ac:dyDescent="0.3">
      <c r="B1064">
        <v>1</v>
      </c>
      <c r="C1064" s="33">
        <v>5932</v>
      </c>
      <c r="D1064" s="2">
        <v>989</v>
      </c>
      <c r="E1064" s="2" t="s">
        <v>7739</v>
      </c>
      <c r="F1064" s="3" t="s">
        <v>14206</v>
      </c>
      <c r="H1064" s="3" t="s">
        <v>504</v>
      </c>
      <c r="K1064" s="2">
        <v>10</v>
      </c>
      <c r="L1064" s="2">
        <v>1</v>
      </c>
      <c r="M1064" s="3" t="s">
        <v>1370</v>
      </c>
      <c r="N1064" s="3" t="s">
        <v>1347</v>
      </c>
      <c r="O1064" s="3" t="s">
        <v>698</v>
      </c>
      <c r="P1064" s="3" t="s">
        <v>699</v>
      </c>
      <c r="Q1064" s="30" t="str">
        <f t="shared" si="16"/>
        <v>MAX : 0.330
TARGET : 0.300
MIN : 0.270</v>
      </c>
    </row>
    <row r="1065" spans="2:18" ht="41.4" x14ac:dyDescent="0.3">
      <c r="B1065">
        <v>1</v>
      </c>
      <c r="C1065" s="33">
        <v>5932</v>
      </c>
      <c r="D1065" s="2">
        <v>989</v>
      </c>
      <c r="E1065" s="2" t="s">
        <v>7739</v>
      </c>
      <c r="F1065" s="3" t="s">
        <v>14206</v>
      </c>
      <c r="H1065" s="3" t="s">
        <v>504</v>
      </c>
      <c r="K1065" s="2">
        <v>10</v>
      </c>
      <c r="L1065" s="2">
        <v>6</v>
      </c>
      <c r="M1065" s="3" t="s">
        <v>1451</v>
      </c>
      <c r="N1065" s="3" t="s">
        <v>1452</v>
      </c>
      <c r="O1065" s="3" t="s">
        <v>1453</v>
      </c>
      <c r="P1065" s="3" t="s">
        <v>1454</v>
      </c>
      <c r="Q1065" s="30" t="str">
        <f t="shared" si="16"/>
        <v>MAX : 1.280
TARGET : 1.250
MIN : 1.220</v>
      </c>
    </row>
    <row r="1066" spans="2:18" ht="41.4" x14ac:dyDescent="0.3">
      <c r="B1066">
        <v>1</v>
      </c>
      <c r="C1066" s="33">
        <v>5936</v>
      </c>
      <c r="D1066" s="2">
        <v>990</v>
      </c>
      <c r="E1066" s="2" t="s">
        <v>7747</v>
      </c>
      <c r="F1066" s="3" t="s">
        <v>14206</v>
      </c>
      <c r="H1066" s="3" t="s">
        <v>504</v>
      </c>
      <c r="K1066" s="2">
        <v>10</v>
      </c>
      <c r="L1066" s="2">
        <v>2</v>
      </c>
      <c r="M1066" s="3" t="s">
        <v>1371</v>
      </c>
      <c r="N1066" s="3" t="s">
        <v>1347</v>
      </c>
      <c r="O1066" s="3" t="s">
        <v>698</v>
      </c>
      <c r="P1066" s="3" t="s">
        <v>699</v>
      </c>
      <c r="Q1066" s="30" t="str">
        <f t="shared" si="16"/>
        <v>MAX : 0.330
TARGET : 0.300
MIN : 0.270</v>
      </c>
    </row>
    <row r="1067" spans="2:18" ht="41.4" x14ac:dyDescent="0.3">
      <c r="B1067">
        <v>1</v>
      </c>
      <c r="C1067" s="33">
        <v>5936</v>
      </c>
      <c r="D1067" s="2">
        <v>990</v>
      </c>
      <c r="E1067" s="2" t="s">
        <v>7747</v>
      </c>
      <c r="F1067" s="3" t="s">
        <v>14206</v>
      </c>
      <c r="H1067" s="3" t="s">
        <v>504</v>
      </c>
      <c r="K1067" s="2">
        <v>10</v>
      </c>
      <c r="L1067" s="2">
        <v>1</v>
      </c>
      <c r="M1067" s="3" t="s">
        <v>1370</v>
      </c>
      <c r="N1067" s="3" t="s">
        <v>1347</v>
      </c>
      <c r="O1067" s="3" t="s">
        <v>698</v>
      </c>
      <c r="P1067" s="3" t="s">
        <v>699</v>
      </c>
      <c r="Q1067" s="30" t="str">
        <f t="shared" si="16"/>
        <v>MAX : 0.330
TARGET : 0.300
MIN : 0.270</v>
      </c>
    </row>
    <row r="1068" spans="2:18" ht="41.4" x14ac:dyDescent="0.3">
      <c r="B1068">
        <v>1</v>
      </c>
      <c r="C1068" s="33">
        <v>5936</v>
      </c>
      <c r="D1068" s="2">
        <v>990</v>
      </c>
      <c r="E1068" s="2" t="s">
        <v>7747</v>
      </c>
      <c r="F1068" s="3" t="s">
        <v>14206</v>
      </c>
      <c r="H1068" s="3" t="s">
        <v>504</v>
      </c>
      <c r="K1068" s="2">
        <v>10</v>
      </c>
      <c r="L1068" s="2">
        <v>5</v>
      </c>
      <c r="M1068" s="3" t="s">
        <v>1451</v>
      </c>
      <c r="N1068" s="3" t="s">
        <v>1455</v>
      </c>
      <c r="O1068" s="3" t="s">
        <v>1453</v>
      </c>
      <c r="P1068" s="3" t="s">
        <v>1456</v>
      </c>
      <c r="Q1068" s="30" t="str">
        <f t="shared" si="16"/>
        <v>MAX : 1.290
TARGET : 1.250
MIN : 1.210</v>
      </c>
    </row>
    <row r="1069" spans="2:18" ht="41.4" x14ac:dyDescent="0.3">
      <c r="B1069">
        <v>1</v>
      </c>
      <c r="C1069" s="33">
        <v>5937</v>
      </c>
      <c r="D1069" s="2">
        <v>991</v>
      </c>
      <c r="E1069" s="2" t="s">
        <v>7752</v>
      </c>
      <c r="F1069" s="3" t="s">
        <v>14206</v>
      </c>
      <c r="H1069" s="3" t="s">
        <v>1375</v>
      </c>
      <c r="K1069" s="2">
        <v>10</v>
      </c>
      <c r="L1069" s="2">
        <v>2</v>
      </c>
      <c r="M1069" s="3" t="s">
        <v>1371</v>
      </c>
      <c r="N1069" s="3" t="s">
        <v>1347</v>
      </c>
      <c r="O1069" s="3" t="s">
        <v>698</v>
      </c>
      <c r="P1069" s="3" t="s">
        <v>699</v>
      </c>
      <c r="Q1069" s="30" t="str">
        <f t="shared" si="16"/>
        <v>MAX : 0.330
TARGET : 0.300
MIN : 0.270</v>
      </c>
    </row>
    <row r="1070" spans="2:18" ht="41.4" x14ac:dyDescent="0.3">
      <c r="B1070">
        <v>0</v>
      </c>
      <c r="C1070" s="33">
        <v>6415</v>
      </c>
      <c r="D1070" s="2">
        <v>1017</v>
      </c>
      <c r="E1070" s="2" t="s">
        <v>8092</v>
      </c>
      <c r="F1070" s="3" t="s">
        <v>14206</v>
      </c>
      <c r="H1070" s="3" t="s">
        <v>922</v>
      </c>
      <c r="K1070" t="s">
        <v>6295</v>
      </c>
      <c r="L1070" s="2">
        <v>3</v>
      </c>
      <c r="M1070" s="3" t="s">
        <v>929</v>
      </c>
      <c r="N1070" s="3" t="s">
        <v>1685</v>
      </c>
      <c r="O1070" s="3" t="s">
        <v>96</v>
      </c>
      <c r="P1070" s="3" t="s">
        <v>1686</v>
      </c>
      <c r="Q1070" s="30" t="str">
        <f t="shared" si="16"/>
        <v>MAX : 1.645
TARGET : 1.625
MIN : 1.605</v>
      </c>
      <c r="R1070" s="3" t="s">
        <v>926</v>
      </c>
    </row>
    <row r="1071" spans="2:18" ht="41.4" x14ac:dyDescent="0.3">
      <c r="B1071">
        <v>0</v>
      </c>
      <c r="C1071" s="33">
        <v>6415</v>
      </c>
      <c r="D1071" s="2">
        <v>1017</v>
      </c>
      <c r="E1071" s="2" t="s">
        <v>8092</v>
      </c>
      <c r="F1071" s="3" t="s">
        <v>14206</v>
      </c>
      <c r="H1071" s="3" t="s">
        <v>922</v>
      </c>
      <c r="K1071" t="s">
        <v>6295</v>
      </c>
      <c r="L1071" s="2">
        <v>4</v>
      </c>
      <c r="M1071" s="3" t="s">
        <v>931</v>
      </c>
      <c r="N1071" s="3" t="s">
        <v>24</v>
      </c>
      <c r="O1071" s="3" t="s">
        <v>25</v>
      </c>
      <c r="Q1071" s="30" t="str">
        <f t="shared" si="16"/>
        <v>MAX : 
TARGET : Yes (Pass)
MIN : No (Fail)</v>
      </c>
      <c r="R1071" s="3" t="s">
        <v>926</v>
      </c>
    </row>
    <row r="1072" spans="2:18" ht="41.4" x14ac:dyDescent="0.3">
      <c r="B1072">
        <v>1</v>
      </c>
      <c r="C1072" s="33">
        <v>5937</v>
      </c>
      <c r="D1072" s="2">
        <v>991</v>
      </c>
      <c r="E1072" s="2" t="s">
        <v>7752</v>
      </c>
      <c r="F1072" s="3" t="s">
        <v>14206</v>
      </c>
      <c r="H1072" s="3" t="s">
        <v>1375</v>
      </c>
      <c r="K1072" s="2">
        <v>10</v>
      </c>
      <c r="L1072" s="2">
        <v>1</v>
      </c>
      <c r="M1072" s="3" t="s">
        <v>1370</v>
      </c>
      <c r="N1072" s="3" t="s">
        <v>1347</v>
      </c>
      <c r="O1072" s="3" t="s">
        <v>698</v>
      </c>
      <c r="P1072" s="3" t="s">
        <v>699</v>
      </c>
      <c r="Q1072" s="30" t="str">
        <f t="shared" si="16"/>
        <v>MAX : 0.330
TARGET : 0.300
MIN : 0.270</v>
      </c>
    </row>
    <row r="1073" spans="2:18" ht="41.4" x14ac:dyDescent="0.3">
      <c r="B1073">
        <v>1</v>
      </c>
      <c r="C1073" s="33">
        <v>5937</v>
      </c>
      <c r="D1073" s="2">
        <v>991</v>
      </c>
      <c r="E1073" s="2" t="s">
        <v>7752</v>
      </c>
      <c r="F1073" s="3" t="s">
        <v>14206</v>
      </c>
      <c r="H1073" s="3" t="s">
        <v>1375</v>
      </c>
      <c r="K1073" s="2">
        <v>10</v>
      </c>
      <c r="L1073" s="2">
        <v>6</v>
      </c>
      <c r="M1073" s="3" t="s">
        <v>1451</v>
      </c>
      <c r="N1073" s="3" t="s">
        <v>1452</v>
      </c>
      <c r="O1073" s="3" t="s">
        <v>1453</v>
      </c>
      <c r="P1073" s="3" t="s">
        <v>1454</v>
      </c>
      <c r="Q1073" s="30" t="str">
        <f t="shared" si="16"/>
        <v>MAX : 1.280
TARGET : 1.250
MIN : 1.220</v>
      </c>
    </row>
    <row r="1074" spans="2:18" ht="41.4" x14ac:dyDescent="0.3">
      <c r="B1074">
        <v>0</v>
      </c>
      <c r="C1074" s="33">
        <v>6427</v>
      </c>
      <c r="D1074" s="2">
        <v>1020</v>
      </c>
      <c r="E1074" s="2" t="s">
        <v>8127</v>
      </c>
      <c r="F1074" s="3" t="s">
        <v>14206</v>
      </c>
      <c r="H1074" s="3" t="s">
        <v>1687</v>
      </c>
      <c r="K1074" s="2">
        <v>10</v>
      </c>
      <c r="L1074" s="2">
        <v>3</v>
      </c>
      <c r="M1074" s="3" t="s">
        <v>1694</v>
      </c>
      <c r="N1074" s="3" t="s">
        <v>750</v>
      </c>
      <c r="O1074" s="3" t="s">
        <v>751</v>
      </c>
      <c r="P1074" s="3" t="s">
        <v>752</v>
      </c>
      <c r="Q1074" s="30" t="str">
        <f t="shared" si="16"/>
        <v>MAX : 1.72
TARGET : 1.69
MIN : 1.66</v>
      </c>
    </row>
    <row r="1075" spans="2:18" ht="41.4" x14ac:dyDescent="0.3">
      <c r="B1075">
        <v>0</v>
      </c>
      <c r="C1075" s="33">
        <v>6427</v>
      </c>
      <c r="D1075" s="2">
        <v>1020</v>
      </c>
      <c r="E1075" s="2" t="s">
        <v>8127</v>
      </c>
      <c r="F1075" s="3" t="s">
        <v>14206</v>
      </c>
      <c r="H1075" s="3" t="s">
        <v>1687</v>
      </c>
      <c r="K1075" s="2">
        <v>10</v>
      </c>
      <c r="L1075" s="2">
        <v>4</v>
      </c>
      <c r="M1075" s="3" t="s">
        <v>1695</v>
      </c>
      <c r="N1075" s="3" t="s">
        <v>1696</v>
      </c>
      <c r="O1075" s="3" t="s">
        <v>1697</v>
      </c>
      <c r="P1075" s="3" t="s">
        <v>1698</v>
      </c>
      <c r="Q1075" s="30" t="str">
        <f t="shared" si="16"/>
        <v>MAX : PMS 286
TARGET : PMS 293
MIN : PMS 2935</v>
      </c>
    </row>
    <row r="1076" spans="2:18" ht="41.4" x14ac:dyDescent="0.3">
      <c r="B1076">
        <v>0</v>
      </c>
      <c r="C1076" s="33">
        <v>6427</v>
      </c>
      <c r="D1076" s="2">
        <v>1020</v>
      </c>
      <c r="E1076" s="2" t="s">
        <v>8127</v>
      </c>
      <c r="F1076" s="3" t="s">
        <v>14206</v>
      </c>
      <c r="H1076" s="3" t="s">
        <v>1687</v>
      </c>
      <c r="K1076" s="2">
        <v>10</v>
      </c>
      <c r="L1076" s="2">
        <v>5</v>
      </c>
      <c r="M1076" s="3" t="s">
        <v>1699</v>
      </c>
      <c r="N1076" s="3" t="s">
        <v>13</v>
      </c>
      <c r="O1076" s="3" t="s">
        <v>14</v>
      </c>
      <c r="Q1076" s="30" t="str">
        <f t="shared" si="16"/>
        <v>MAX : 
TARGET : Yes(Pass)
MIN : No(Fail)</v>
      </c>
    </row>
    <row r="1077" spans="2:18" ht="41.4" x14ac:dyDescent="0.3">
      <c r="B1077">
        <v>1</v>
      </c>
      <c r="C1077" s="33">
        <v>5944</v>
      </c>
      <c r="D1077" s="2">
        <v>992</v>
      </c>
      <c r="E1077" s="2" t="s">
        <v>7758</v>
      </c>
      <c r="F1077" s="3" t="s">
        <v>14207</v>
      </c>
      <c r="H1077" s="3" t="s">
        <v>41</v>
      </c>
      <c r="K1077" s="2">
        <v>20</v>
      </c>
      <c r="L1077" s="2">
        <v>2</v>
      </c>
      <c r="M1077" s="3" t="s">
        <v>1380</v>
      </c>
      <c r="N1077" s="3" t="s">
        <v>1381</v>
      </c>
      <c r="O1077" s="3" t="s">
        <v>1382</v>
      </c>
      <c r="P1077" s="3" t="s">
        <v>1383</v>
      </c>
      <c r="Q1077" s="30" t="str">
        <f t="shared" si="16"/>
        <v>MAX : 25.85
TARGET : 25.06
MIN : 24.27</v>
      </c>
    </row>
    <row r="1078" spans="2:18" ht="41.4" x14ac:dyDescent="0.3">
      <c r="B1078">
        <v>1</v>
      </c>
      <c r="C1078" s="33">
        <v>5944</v>
      </c>
      <c r="D1078" s="2">
        <v>992</v>
      </c>
      <c r="E1078" s="2" t="s">
        <v>7758</v>
      </c>
      <c r="F1078" s="3" t="s">
        <v>14207</v>
      </c>
      <c r="H1078" s="3" t="s">
        <v>41</v>
      </c>
      <c r="K1078" s="2">
        <v>20</v>
      </c>
      <c r="L1078" s="2">
        <v>1</v>
      </c>
      <c r="M1078" s="3" t="s">
        <v>194</v>
      </c>
      <c r="N1078" s="3" t="s">
        <v>1377</v>
      </c>
      <c r="O1078" s="3" t="s">
        <v>1378</v>
      </c>
      <c r="P1078" s="3" t="s">
        <v>1379</v>
      </c>
      <c r="Q1078" s="30" t="str">
        <f t="shared" si="16"/>
        <v>MAX : 88.49
TARGET : 87.70
MIN : 86.91</v>
      </c>
    </row>
    <row r="1079" spans="2:18" ht="41.4" x14ac:dyDescent="0.3">
      <c r="B1079">
        <v>0</v>
      </c>
      <c r="C1079" s="33">
        <v>6422</v>
      </c>
      <c r="D1079" s="2">
        <v>1018</v>
      </c>
      <c r="E1079" s="2" t="s">
        <v>8098</v>
      </c>
      <c r="F1079" s="3" t="s">
        <v>14206</v>
      </c>
      <c r="H1079" s="3" t="s">
        <v>11</v>
      </c>
      <c r="K1079" s="2">
        <v>20</v>
      </c>
      <c r="L1079" s="2">
        <v>2</v>
      </c>
      <c r="M1079" s="3" t="s">
        <v>1707</v>
      </c>
      <c r="N1079" s="3" t="s">
        <v>864</v>
      </c>
      <c r="O1079" s="3" t="s">
        <v>1708</v>
      </c>
      <c r="P1079" s="3" t="s">
        <v>1709</v>
      </c>
      <c r="Q1079" s="30" t="str">
        <f t="shared" si="16"/>
        <v>MAX : &gt;4 - FAIL
TARGET : &lt;4
MIN : 0</v>
      </c>
    </row>
    <row r="1080" spans="2:18" ht="41.4" x14ac:dyDescent="0.3">
      <c r="B1080">
        <v>0</v>
      </c>
      <c r="C1080" s="33">
        <v>6422</v>
      </c>
      <c r="D1080" s="2">
        <v>1018</v>
      </c>
      <c r="E1080" s="2" t="s">
        <v>8098</v>
      </c>
      <c r="F1080" s="3" t="s">
        <v>14206</v>
      </c>
      <c r="H1080" s="3" t="s">
        <v>11</v>
      </c>
      <c r="K1080" s="2">
        <v>10</v>
      </c>
      <c r="L1080" s="2">
        <v>2</v>
      </c>
      <c r="M1080" s="3" t="s">
        <v>1710</v>
      </c>
      <c r="N1080" s="3" t="s">
        <v>13</v>
      </c>
      <c r="O1080" s="3" t="s">
        <v>14</v>
      </c>
      <c r="Q1080" s="30" t="str">
        <f t="shared" si="16"/>
        <v>MAX : 
TARGET : Yes(Pass)
MIN : No(Fail)</v>
      </c>
    </row>
    <row r="1081" spans="2:18" ht="41.4" x14ac:dyDescent="0.3">
      <c r="B1081">
        <v>1</v>
      </c>
      <c r="C1081" s="33">
        <v>5964</v>
      </c>
      <c r="D1081" s="2">
        <v>993</v>
      </c>
      <c r="E1081" s="2" t="s">
        <v>7765</v>
      </c>
      <c r="F1081" s="3" t="s">
        <v>14207</v>
      </c>
      <c r="H1081" s="3" t="s">
        <v>727</v>
      </c>
      <c r="K1081" s="2">
        <v>10</v>
      </c>
      <c r="L1081" s="2">
        <v>2</v>
      </c>
      <c r="M1081" s="3" t="s">
        <v>134</v>
      </c>
      <c r="N1081" s="3" t="s">
        <v>13</v>
      </c>
      <c r="O1081" s="3" t="s">
        <v>14</v>
      </c>
      <c r="Q1081" s="30" t="str">
        <f t="shared" si="16"/>
        <v>MAX : 
TARGET : Yes(Pass)
MIN : No(Fail)</v>
      </c>
    </row>
    <row r="1082" spans="2:18" ht="41.4" x14ac:dyDescent="0.3">
      <c r="B1082">
        <v>1</v>
      </c>
      <c r="C1082" s="33">
        <v>5964</v>
      </c>
      <c r="D1082" s="2">
        <v>993</v>
      </c>
      <c r="E1082" s="2" t="s">
        <v>7765</v>
      </c>
      <c r="F1082" s="3" t="s">
        <v>14207</v>
      </c>
      <c r="H1082" s="3" t="s">
        <v>727</v>
      </c>
      <c r="K1082" s="2">
        <v>10</v>
      </c>
      <c r="L1082" s="2">
        <v>1</v>
      </c>
      <c r="M1082" s="3" t="s">
        <v>811</v>
      </c>
      <c r="N1082" s="3" t="s">
        <v>24</v>
      </c>
      <c r="O1082" s="3" t="s">
        <v>25</v>
      </c>
      <c r="Q1082" s="30" t="str">
        <f t="shared" si="16"/>
        <v>MAX : 
TARGET : Yes (Pass)
MIN : No (Fail)</v>
      </c>
    </row>
    <row r="1083" spans="2:18" ht="41.4" x14ac:dyDescent="0.3">
      <c r="B1083">
        <v>0</v>
      </c>
      <c r="C1083" s="33">
        <v>6425</v>
      </c>
      <c r="D1083" s="2">
        <v>1019</v>
      </c>
      <c r="E1083" s="2" t="s">
        <v>8112</v>
      </c>
      <c r="F1083" s="3" t="s">
        <v>14206</v>
      </c>
      <c r="H1083" s="3" t="s">
        <v>504</v>
      </c>
      <c r="K1083" s="2">
        <v>10</v>
      </c>
      <c r="L1083" s="2">
        <v>3</v>
      </c>
      <c r="M1083" s="3" t="s">
        <v>198</v>
      </c>
      <c r="N1083" s="3" t="s">
        <v>459</v>
      </c>
      <c r="O1083" s="3" t="s">
        <v>406</v>
      </c>
      <c r="P1083" s="3" t="s">
        <v>460</v>
      </c>
      <c r="Q1083" s="30" t="str">
        <f t="shared" si="16"/>
        <v>MAX : 2.03
TARGET : 2.00
MIN : 1.97</v>
      </c>
      <c r="R1083" s="3" t="s">
        <v>1473</v>
      </c>
    </row>
    <row r="1084" spans="2:18" ht="41.4" x14ac:dyDescent="0.3">
      <c r="B1084">
        <v>0</v>
      </c>
      <c r="C1084" s="33">
        <v>6425</v>
      </c>
      <c r="D1084" s="2">
        <v>1019</v>
      </c>
      <c r="E1084" s="2" t="s">
        <v>8112</v>
      </c>
      <c r="F1084" s="3" t="s">
        <v>14206</v>
      </c>
      <c r="H1084" s="3" t="s">
        <v>504</v>
      </c>
      <c r="K1084" s="2">
        <v>10</v>
      </c>
      <c r="L1084" s="2">
        <v>4</v>
      </c>
      <c r="M1084" s="3" t="s">
        <v>194</v>
      </c>
      <c r="N1084" s="3" t="s">
        <v>698</v>
      </c>
      <c r="O1084" s="3" t="s">
        <v>1713</v>
      </c>
      <c r="P1084" s="3" t="s">
        <v>1714</v>
      </c>
      <c r="Q1084" s="30" t="str">
        <f t="shared" si="16"/>
        <v>MAX : 0.315
TARGET : 0.310
MIN : 0.300</v>
      </c>
      <c r="R1084" s="3" t="s">
        <v>1473</v>
      </c>
    </row>
    <row r="1085" spans="2:18" ht="41.4" x14ac:dyDescent="0.3">
      <c r="B1085">
        <v>0</v>
      </c>
      <c r="C1085" s="33">
        <v>6425</v>
      </c>
      <c r="D1085" s="2">
        <v>1019</v>
      </c>
      <c r="E1085" s="2" t="s">
        <v>8112</v>
      </c>
      <c r="F1085" s="3" t="s">
        <v>14206</v>
      </c>
      <c r="H1085" s="3" t="s">
        <v>504</v>
      </c>
      <c r="K1085" s="2">
        <v>10</v>
      </c>
      <c r="L1085" s="2">
        <v>5</v>
      </c>
      <c r="M1085" s="3" t="s">
        <v>1715</v>
      </c>
      <c r="N1085" s="3" t="s">
        <v>1716</v>
      </c>
      <c r="O1085" s="3" t="s">
        <v>1717</v>
      </c>
      <c r="P1085" s="3" t="s">
        <v>484</v>
      </c>
      <c r="Q1085" s="30" t="str">
        <f t="shared" si="16"/>
        <v>MAX : 0.91
TARGET : 0.87
MIN : 0.83</v>
      </c>
      <c r="R1085" s="3" t="s">
        <v>1473</v>
      </c>
    </row>
    <row r="1086" spans="2:18" ht="41.4" x14ac:dyDescent="0.3">
      <c r="B1086">
        <v>1</v>
      </c>
      <c r="C1086" s="33">
        <v>5966</v>
      </c>
      <c r="D1086" s="2">
        <v>994</v>
      </c>
      <c r="E1086" s="2" t="s">
        <v>7771</v>
      </c>
      <c r="F1086" s="3" t="s">
        <v>14206</v>
      </c>
      <c r="H1086" s="3" t="s">
        <v>426</v>
      </c>
      <c r="K1086" s="2">
        <v>10</v>
      </c>
      <c r="L1086" s="2">
        <v>2</v>
      </c>
      <c r="M1086" s="3" t="s">
        <v>198</v>
      </c>
      <c r="N1086" s="3" t="s">
        <v>459</v>
      </c>
      <c r="O1086" s="3" t="s">
        <v>406</v>
      </c>
      <c r="P1086" s="3" t="s">
        <v>460</v>
      </c>
      <c r="Q1086" s="30" t="str">
        <f t="shared" si="16"/>
        <v>MAX : 2.03
TARGET : 2.00
MIN : 1.97</v>
      </c>
    </row>
    <row r="1087" spans="2:18" ht="41.4" x14ac:dyDescent="0.3">
      <c r="B1087">
        <v>1</v>
      </c>
      <c r="C1087" s="33">
        <v>5966</v>
      </c>
      <c r="D1087" s="2">
        <v>994</v>
      </c>
      <c r="E1087" s="2" t="s">
        <v>7771</v>
      </c>
      <c r="F1087" s="3" t="s">
        <v>14206</v>
      </c>
      <c r="H1087" s="3" t="s">
        <v>426</v>
      </c>
      <c r="K1087" s="2">
        <v>10</v>
      </c>
      <c r="L1087" s="2">
        <v>1</v>
      </c>
      <c r="M1087" s="3" t="s">
        <v>194</v>
      </c>
      <c r="N1087" s="3" t="s">
        <v>308</v>
      </c>
      <c r="O1087" s="3" t="s">
        <v>309</v>
      </c>
      <c r="P1087" s="3" t="s">
        <v>310</v>
      </c>
      <c r="Q1087" s="30" t="str">
        <f t="shared" si="16"/>
        <v>MAX : 0.53
TARGET : 0.50
MIN : 0.47</v>
      </c>
    </row>
    <row r="1088" spans="2:18" ht="41.4" x14ac:dyDescent="0.3">
      <c r="B1088">
        <v>1</v>
      </c>
      <c r="C1088" s="33">
        <v>5979</v>
      </c>
      <c r="D1088" s="2">
        <v>995</v>
      </c>
      <c r="E1088" s="2" t="s">
        <v>7777</v>
      </c>
      <c r="F1088" s="3" t="s">
        <v>14206</v>
      </c>
      <c r="H1088" s="3" t="s">
        <v>747</v>
      </c>
      <c r="K1088" s="2">
        <v>10</v>
      </c>
      <c r="L1088" s="2">
        <v>2</v>
      </c>
      <c r="M1088" s="3" t="s">
        <v>198</v>
      </c>
      <c r="N1088" s="3" t="s">
        <v>1409</v>
      </c>
      <c r="O1088" s="3" t="s">
        <v>1410</v>
      </c>
      <c r="P1088" s="3" t="s">
        <v>1411</v>
      </c>
      <c r="Q1088" s="30" t="str">
        <f t="shared" si="16"/>
        <v>MAX : 0.740
TARGET : 0.725
MIN : 0.710</v>
      </c>
    </row>
    <row r="1089" spans="2:17" ht="41.4" x14ac:dyDescent="0.3">
      <c r="B1089">
        <v>1</v>
      </c>
      <c r="C1089" s="33">
        <v>5979</v>
      </c>
      <c r="D1089" s="2">
        <v>995</v>
      </c>
      <c r="E1089" s="2" t="s">
        <v>7777</v>
      </c>
      <c r="F1089" s="3" t="s">
        <v>14206</v>
      </c>
      <c r="H1089" s="3" t="s">
        <v>747</v>
      </c>
      <c r="K1089" s="2">
        <v>10</v>
      </c>
      <c r="L1089" s="2">
        <v>1</v>
      </c>
      <c r="M1089" s="3" t="s">
        <v>194</v>
      </c>
      <c r="N1089" s="3" t="s">
        <v>1406</v>
      </c>
      <c r="O1089" s="3" t="s">
        <v>1407</v>
      </c>
      <c r="P1089" s="3" t="s">
        <v>1408</v>
      </c>
      <c r="Q1089" s="30" t="str">
        <f t="shared" si="16"/>
        <v>MAX : 0.615
TARGET : 0.600
MIN : 0.585</v>
      </c>
    </row>
    <row r="1090" spans="2:17" ht="41.4" x14ac:dyDescent="0.3">
      <c r="B1090">
        <v>1</v>
      </c>
      <c r="C1090" s="33">
        <v>5979</v>
      </c>
      <c r="D1090" s="2">
        <v>995</v>
      </c>
      <c r="E1090" s="2" t="s">
        <v>7777</v>
      </c>
      <c r="F1090" s="3" t="s">
        <v>14206</v>
      </c>
      <c r="H1090" s="3" t="s">
        <v>747</v>
      </c>
      <c r="K1090" s="2">
        <v>10</v>
      </c>
      <c r="L1090" s="2">
        <v>5</v>
      </c>
      <c r="M1090" s="3" t="s">
        <v>2110</v>
      </c>
      <c r="N1090" s="3" t="s">
        <v>2111</v>
      </c>
      <c r="O1090" s="3" t="s">
        <v>139</v>
      </c>
      <c r="P1090" s="3" t="s">
        <v>2112</v>
      </c>
      <c r="Q1090" s="30" t="str">
        <f t="shared" ref="Q1090:Q1153" si="17">"MAX : " &amp; P1090 &amp; CHAR(10) &amp; "TARGET : " &amp; O1090 &amp; CHAR(10) &amp; "MIN : " &amp; N1090</f>
        <v>MAX : 1.010
TARGET : 1.000
MIN : 0.990</v>
      </c>
    </row>
    <row r="1091" spans="2:17" ht="41.4" x14ac:dyDescent="0.3">
      <c r="B1091">
        <v>0</v>
      </c>
      <c r="C1091" s="33">
        <v>5751</v>
      </c>
      <c r="D1091" s="2">
        <v>981</v>
      </c>
      <c r="E1091" s="2" t="s">
        <v>7646</v>
      </c>
      <c r="F1091" s="3" t="s">
        <v>14217</v>
      </c>
      <c r="G1091" s="3" t="s">
        <v>1274</v>
      </c>
      <c r="H1091" s="3" t="s">
        <v>1275</v>
      </c>
      <c r="K1091" s="2">
        <v>10</v>
      </c>
      <c r="L1091" s="2">
        <v>7</v>
      </c>
      <c r="M1091" s="3" t="s">
        <v>1366</v>
      </c>
      <c r="N1091" s="3" t="s">
        <v>13</v>
      </c>
      <c r="O1091" s="3" t="s">
        <v>14</v>
      </c>
      <c r="Q1091" s="30" t="str">
        <f t="shared" si="17"/>
        <v>MAX : 
TARGET : Yes(Pass)
MIN : No(Fail)</v>
      </c>
    </row>
    <row r="1092" spans="2:17" ht="41.4" x14ac:dyDescent="0.3">
      <c r="B1092">
        <v>0</v>
      </c>
      <c r="C1092" s="33">
        <v>5751</v>
      </c>
      <c r="D1092" s="2">
        <v>981</v>
      </c>
      <c r="E1092" s="2" t="s">
        <v>7646</v>
      </c>
      <c r="F1092" s="3" t="s">
        <v>14217</v>
      </c>
      <c r="G1092" s="3" t="s">
        <v>1274</v>
      </c>
      <c r="H1092" s="3" t="s">
        <v>1275</v>
      </c>
      <c r="K1092" s="2">
        <v>20</v>
      </c>
      <c r="L1092" s="2">
        <v>1</v>
      </c>
      <c r="M1092" s="3" t="s">
        <v>3094</v>
      </c>
      <c r="N1092" s="3" t="s">
        <v>13</v>
      </c>
      <c r="O1092" s="3" t="s">
        <v>14</v>
      </c>
      <c r="Q1092" s="30" t="str">
        <f t="shared" si="17"/>
        <v>MAX : 
TARGET : Yes(Pass)
MIN : No(Fail)</v>
      </c>
    </row>
    <row r="1093" spans="2:17" ht="41.4" x14ac:dyDescent="0.3">
      <c r="B1093">
        <v>0</v>
      </c>
      <c r="C1093" s="33">
        <v>5751</v>
      </c>
      <c r="D1093" s="2">
        <v>981</v>
      </c>
      <c r="E1093" s="2" t="s">
        <v>7646</v>
      </c>
      <c r="F1093" s="3" t="s">
        <v>14217</v>
      </c>
      <c r="G1093" s="3" t="s">
        <v>1274</v>
      </c>
      <c r="H1093" s="3" t="s">
        <v>1275</v>
      </c>
      <c r="K1093" s="2">
        <v>20</v>
      </c>
      <c r="L1093" s="2">
        <v>3</v>
      </c>
      <c r="M1093" s="3" t="s">
        <v>3146</v>
      </c>
      <c r="N1093" s="3" t="s">
        <v>13</v>
      </c>
      <c r="O1093" s="3" t="s">
        <v>14</v>
      </c>
      <c r="Q1093" s="30" t="str">
        <f t="shared" si="17"/>
        <v>MAX : 
TARGET : Yes(Pass)
MIN : No(Fail)</v>
      </c>
    </row>
    <row r="1094" spans="2:17" ht="41.4" x14ac:dyDescent="0.3">
      <c r="B1094">
        <v>1</v>
      </c>
      <c r="C1094" s="33">
        <v>6007</v>
      </c>
      <c r="D1094" s="2">
        <v>996</v>
      </c>
      <c r="E1094" s="2" t="s">
        <v>7785</v>
      </c>
      <c r="F1094" s="3" t="s">
        <v>14206</v>
      </c>
      <c r="H1094" s="3" t="s">
        <v>1416</v>
      </c>
      <c r="K1094" s="2">
        <v>10</v>
      </c>
      <c r="L1094" s="2">
        <v>2</v>
      </c>
      <c r="M1094" s="3" t="s">
        <v>1419</v>
      </c>
      <c r="N1094" s="3" t="s">
        <v>983</v>
      </c>
      <c r="O1094" s="3" t="s">
        <v>241</v>
      </c>
      <c r="P1094" s="3" t="s">
        <v>984</v>
      </c>
      <c r="Q1094" s="30" t="str">
        <f t="shared" si="17"/>
        <v>MAX : 0.155
TARGET : 0.125
MIN : 0.095</v>
      </c>
    </row>
    <row r="1095" spans="2:17" ht="41.4" x14ac:dyDescent="0.3">
      <c r="B1095">
        <v>0</v>
      </c>
      <c r="C1095" s="33">
        <v>5781</v>
      </c>
      <c r="D1095" s="2">
        <v>982</v>
      </c>
      <c r="E1095" s="2" t="s">
        <v>7654</v>
      </c>
      <c r="F1095" s="3" t="s">
        <v>14207</v>
      </c>
      <c r="H1095" s="3" t="s">
        <v>426</v>
      </c>
      <c r="K1095" s="2">
        <v>10</v>
      </c>
      <c r="L1095" s="2">
        <v>8</v>
      </c>
      <c r="M1095" s="3" t="s">
        <v>2266</v>
      </c>
      <c r="N1095" s="3" t="s">
        <v>13</v>
      </c>
      <c r="O1095" s="3" t="s">
        <v>14</v>
      </c>
      <c r="Q1095" s="30" t="str">
        <f t="shared" si="17"/>
        <v>MAX : 
TARGET : Yes(Pass)
MIN : No(Fail)</v>
      </c>
    </row>
    <row r="1096" spans="2:17" ht="41.4" x14ac:dyDescent="0.3">
      <c r="B1096">
        <v>1</v>
      </c>
      <c r="C1096" s="33">
        <v>6007</v>
      </c>
      <c r="D1096" s="2">
        <v>996</v>
      </c>
      <c r="E1096" s="2" t="s">
        <v>7785</v>
      </c>
      <c r="F1096" s="3" t="s">
        <v>14206</v>
      </c>
      <c r="H1096" s="3" t="s">
        <v>1416</v>
      </c>
      <c r="K1096" s="2">
        <v>10</v>
      </c>
      <c r="L1096" s="2">
        <v>1</v>
      </c>
      <c r="M1096" s="3" t="s">
        <v>502</v>
      </c>
      <c r="N1096" s="3" t="s">
        <v>1417</v>
      </c>
      <c r="O1096" s="3" t="s">
        <v>379</v>
      </c>
      <c r="P1096" s="3" t="s">
        <v>1418</v>
      </c>
      <c r="Q1096" s="30" t="str">
        <f t="shared" si="17"/>
        <v>MAX : 0.905
TARGET : 0.875
MIN : 0.845</v>
      </c>
    </row>
    <row r="1097" spans="2:17" ht="41.4" x14ac:dyDescent="0.3">
      <c r="B1097">
        <v>1</v>
      </c>
      <c r="C1097" s="33">
        <v>6018</v>
      </c>
      <c r="D1097" s="2">
        <v>1783</v>
      </c>
      <c r="E1097" s="2" t="s">
        <v>7793</v>
      </c>
      <c r="F1097" s="3" t="s">
        <v>14206</v>
      </c>
      <c r="H1097" s="3" t="s">
        <v>1270</v>
      </c>
      <c r="K1097" s="2">
        <v>10</v>
      </c>
      <c r="L1097" s="2">
        <v>2</v>
      </c>
      <c r="M1097" s="3" t="s">
        <v>538</v>
      </c>
      <c r="N1097" s="3" t="s">
        <v>13</v>
      </c>
      <c r="O1097" s="3" t="s">
        <v>14</v>
      </c>
      <c r="Q1097" s="30" t="str">
        <f t="shared" si="17"/>
        <v>MAX : 
TARGET : Yes(Pass)
MIN : No(Fail)</v>
      </c>
    </row>
    <row r="1098" spans="2:17" ht="41.4" x14ac:dyDescent="0.3">
      <c r="B1098">
        <v>0</v>
      </c>
      <c r="C1098" s="33">
        <v>6441</v>
      </c>
      <c r="D1098" s="2">
        <v>1021</v>
      </c>
      <c r="E1098" s="2" t="s">
        <v>8135</v>
      </c>
      <c r="F1098" s="3" t="s">
        <v>14206</v>
      </c>
      <c r="H1098" s="3" t="s">
        <v>1721</v>
      </c>
      <c r="K1098" s="2">
        <v>10</v>
      </c>
      <c r="L1098" s="2">
        <v>3</v>
      </c>
      <c r="M1098" s="3" t="s">
        <v>1725</v>
      </c>
      <c r="N1098" s="3" t="s">
        <v>13</v>
      </c>
      <c r="O1098" s="3" t="s">
        <v>14</v>
      </c>
      <c r="Q1098" s="30" t="str">
        <f t="shared" si="17"/>
        <v>MAX : 
TARGET : Yes(Pass)
MIN : No(Fail)</v>
      </c>
    </row>
    <row r="1099" spans="2:17" ht="41.4" x14ac:dyDescent="0.3">
      <c r="B1099">
        <v>0</v>
      </c>
      <c r="C1099" s="33">
        <v>6441</v>
      </c>
      <c r="D1099" s="2">
        <v>1021</v>
      </c>
      <c r="E1099" s="2" t="s">
        <v>8135</v>
      </c>
      <c r="F1099" s="3" t="s">
        <v>14206</v>
      </c>
      <c r="H1099" s="3" t="s">
        <v>1721</v>
      </c>
      <c r="K1099" s="2">
        <v>10</v>
      </c>
      <c r="L1099" s="2">
        <v>4</v>
      </c>
      <c r="M1099" s="3" t="s">
        <v>78</v>
      </c>
      <c r="N1099" s="3" t="s">
        <v>13</v>
      </c>
      <c r="O1099" s="3" t="s">
        <v>14</v>
      </c>
      <c r="Q1099" s="30" t="str">
        <f t="shared" si="17"/>
        <v>MAX : 
TARGET : Yes(Pass)
MIN : No(Fail)</v>
      </c>
    </row>
    <row r="1100" spans="2:17" ht="41.4" x14ac:dyDescent="0.3">
      <c r="B1100">
        <v>1</v>
      </c>
      <c r="C1100" s="33">
        <v>6018</v>
      </c>
      <c r="D1100" s="2">
        <v>1783</v>
      </c>
      <c r="E1100" s="2" t="s">
        <v>7793</v>
      </c>
      <c r="F1100" s="3" t="s">
        <v>14206</v>
      </c>
      <c r="H1100" s="3" t="s">
        <v>1270</v>
      </c>
      <c r="K1100" s="2">
        <v>10</v>
      </c>
      <c r="L1100" s="2">
        <v>1</v>
      </c>
      <c r="M1100" s="3" t="s">
        <v>99</v>
      </c>
      <c r="N1100" s="3" t="s">
        <v>433</v>
      </c>
      <c r="O1100" s="3" t="s">
        <v>86</v>
      </c>
      <c r="P1100" s="3" t="s">
        <v>317</v>
      </c>
      <c r="Q1100" s="30" t="str">
        <f t="shared" si="17"/>
        <v>MAX : 0.515
TARGET : 0.500
MIN : 0.485</v>
      </c>
    </row>
    <row r="1101" spans="2:17" ht="41.4" x14ac:dyDescent="0.3">
      <c r="B1101">
        <v>1</v>
      </c>
      <c r="C1101" s="33">
        <v>6026</v>
      </c>
      <c r="D1101" s="2">
        <v>1784</v>
      </c>
      <c r="E1101" s="2" t="s">
        <v>7798</v>
      </c>
      <c r="F1101" s="3" t="s">
        <v>14206</v>
      </c>
      <c r="H1101" s="3" t="s">
        <v>1270</v>
      </c>
      <c r="K1101" s="2">
        <v>10</v>
      </c>
      <c r="L1101" s="2">
        <v>2</v>
      </c>
      <c r="M1101" s="3" t="s">
        <v>538</v>
      </c>
      <c r="N1101" s="3" t="s">
        <v>13</v>
      </c>
      <c r="O1101" s="3" t="s">
        <v>14</v>
      </c>
      <c r="Q1101" s="30" t="str">
        <f t="shared" si="17"/>
        <v>MAX : 
TARGET : Yes(Pass)
MIN : No(Fail)</v>
      </c>
    </row>
    <row r="1102" spans="2:17" ht="41.4" x14ac:dyDescent="0.3">
      <c r="B1102">
        <v>0</v>
      </c>
      <c r="C1102" s="33">
        <v>6442</v>
      </c>
      <c r="D1102" s="2">
        <v>1022</v>
      </c>
      <c r="E1102" s="2" t="s">
        <v>8142</v>
      </c>
      <c r="F1102" s="3" t="s">
        <v>14206</v>
      </c>
      <c r="H1102" s="3" t="s">
        <v>1721</v>
      </c>
      <c r="K1102" s="2">
        <v>10</v>
      </c>
      <c r="L1102" s="2">
        <v>3</v>
      </c>
      <c r="M1102" s="3" t="s">
        <v>1725</v>
      </c>
      <c r="N1102" s="3" t="s">
        <v>13</v>
      </c>
      <c r="O1102" s="3" t="s">
        <v>14</v>
      </c>
      <c r="Q1102" s="30" t="str">
        <f t="shared" si="17"/>
        <v>MAX : 
TARGET : Yes(Pass)
MIN : No(Fail)</v>
      </c>
    </row>
    <row r="1103" spans="2:17" ht="41.4" x14ac:dyDescent="0.3">
      <c r="B1103">
        <v>0</v>
      </c>
      <c r="C1103" s="33">
        <v>6442</v>
      </c>
      <c r="D1103" s="2">
        <v>1022</v>
      </c>
      <c r="E1103" s="2" t="s">
        <v>8142</v>
      </c>
      <c r="F1103" s="3" t="s">
        <v>14206</v>
      </c>
      <c r="H1103" s="3" t="s">
        <v>1721</v>
      </c>
      <c r="K1103" s="2">
        <v>10</v>
      </c>
      <c r="L1103" s="2">
        <v>4</v>
      </c>
      <c r="M1103" s="3" t="s">
        <v>78</v>
      </c>
      <c r="N1103" s="3" t="s">
        <v>13</v>
      </c>
      <c r="O1103" s="3" t="s">
        <v>14</v>
      </c>
      <c r="Q1103" s="30" t="str">
        <f t="shared" si="17"/>
        <v>MAX : 
TARGET : Yes(Pass)
MIN : No(Fail)</v>
      </c>
    </row>
    <row r="1104" spans="2:17" ht="41.4" x14ac:dyDescent="0.3">
      <c r="B1104">
        <v>1</v>
      </c>
      <c r="C1104" s="33">
        <v>6026</v>
      </c>
      <c r="D1104" s="2">
        <v>1784</v>
      </c>
      <c r="E1104" s="2" t="s">
        <v>7798</v>
      </c>
      <c r="F1104" s="3" t="s">
        <v>14206</v>
      </c>
      <c r="H1104" s="3" t="s">
        <v>1270</v>
      </c>
      <c r="K1104" s="2">
        <v>10</v>
      </c>
      <c r="L1104" s="2">
        <v>1</v>
      </c>
      <c r="M1104" s="3" t="s">
        <v>99</v>
      </c>
      <c r="N1104" s="3" t="s">
        <v>433</v>
      </c>
      <c r="O1104" s="3" t="s">
        <v>86</v>
      </c>
      <c r="P1104" s="3" t="s">
        <v>317</v>
      </c>
      <c r="Q1104" s="30" t="str">
        <f t="shared" si="17"/>
        <v>MAX : 0.515
TARGET : 0.500
MIN : 0.485</v>
      </c>
    </row>
    <row r="1105" spans="2:18" ht="41.4" x14ac:dyDescent="0.3">
      <c r="B1105">
        <v>1</v>
      </c>
      <c r="C1105" s="33">
        <v>6027</v>
      </c>
      <c r="D1105" s="2">
        <v>1785</v>
      </c>
      <c r="E1105" s="2" t="s">
        <v>7802</v>
      </c>
      <c r="F1105" s="3" t="s">
        <v>14206</v>
      </c>
      <c r="H1105" s="3" t="s">
        <v>1270</v>
      </c>
      <c r="K1105" s="2">
        <v>10</v>
      </c>
      <c r="L1105" s="2">
        <v>2</v>
      </c>
      <c r="M1105" s="3" t="s">
        <v>538</v>
      </c>
      <c r="N1105" s="3" t="s">
        <v>13</v>
      </c>
      <c r="O1105" s="3" t="s">
        <v>14</v>
      </c>
      <c r="Q1105" s="30" t="str">
        <f t="shared" si="17"/>
        <v>MAX : 
TARGET : Yes(Pass)
MIN : No(Fail)</v>
      </c>
    </row>
    <row r="1106" spans="2:18" ht="41.4" x14ac:dyDescent="0.3">
      <c r="B1106">
        <v>1</v>
      </c>
      <c r="C1106" s="33">
        <v>6027</v>
      </c>
      <c r="D1106" s="2">
        <v>1785</v>
      </c>
      <c r="E1106" s="2" t="s">
        <v>7802</v>
      </c>
      <c r="F1106" s="3" t="s">
        <v>14206</v>
      </c>
      <c r="H1106" s="3" t="s">
        <v>1270</v>
      </c>
      <c r="K1106" s="2">
        <v>10</v>
      </c>
      <c r="L1106" s="2">
        <v>1</v>
      </c>
      <c r="M1106" s="3" t="s">
        <v>99</v>
      </c>
      <c r="N1106" s="3" t="s">
        <v>433</v>
      </c>
      <c r="O1106" s="3" t="s">
        <v>86</v>
      </c>
      <c r="P1106" s="3" t="s">
        <v>317</v>
      </c>
      <c r="Q1106" s="30" t="str">
        <f t="shared" si="17"/>
        <v>MAX : 0.515
TARGET : 0.500
MIN : 0.485</v>
      </c>
    </row>
    <row r="1107" spans="2:18" ht="41.4" x14ac:dyDescent="0.3">
      <c r="B1107">
        <v>1</v>
      </c>
      <c r="C1107" s="33">
        <v>6028</v>
      </c>
      <c r="D1107" s="2">
        <v>1786</v>
      </c>
      <c r="E1107" s="2" t="s">
        <v>7808</v>
      </c>
      <c r="F1107" s="3" t="s">
        <v>14206</v>
      </c>
      <c r="H1107" s="3" t="s">
        <v>1270</v>
      </c>
      <c r="K1107" s="2">
        <v>10</v>
      </c>
      <c r="L1107" s="2">
        <v>2</v>
      </c>
      <c r="M1107" s="3" t="s">
        <v>538</v>
      </c>
      <c r="N1107" s="3" t="s">
        <v>13</v>
      </c>
      <c r="O1107" s="3" t="s">
        <v>14</v>
      </c>
      <c r="Q1107" s="30" t="str">
        <f t="shared" si="17"/>
        <v>MAX : 
TARGET : Yes(Pass)
MIN : No(Fail)</v>
      </c>
    </row>
    <row r="1108" spans="2:18" ht="41.4" x14ac:dyDescent="0.3">
      <c r="B1108">
        <v>0</v>
      </c>
      <c r="C1108" s="33">
        <v>6425</v>
      </c>
      <c r="D1108" s="2">
        <v>1019</v>
      </c>
      <c r="E1108" s="2" t="s">
        <v>8112</v>
      </c>
      <c r="F1108" s="3" t="s">
        <v>14206</v>
      </c>
      <c r="H1108" s="3" t="s">
        <v>504</v>
      </c>
      <c r="K1108" s="2">
        <v>10</v>
      </c>
      <c r="L1108" s="2">
        <v>8</v>
      </c>
      <c r="M1108" s="3" t="s">
        <v>1736</v>
      </c>
      <c r="N1108" s="3" t="s">
        <v>1737</v>
      </c>
      <c r="O1108" s="3" t="s">
        <v>1738</v>
      </c>
      <c r="P1108" s="3" t="s">
        <v>1739</v>
      </c>
      <c r="Q1108" s="30" t="str">
        <f t="shared" si="17"/>
        <v>MAX : 0.593
TARGET : 0.573
MIN : 0.553</v>
      </c>
      <c r="R1108" s="3" t="s">
        <v>1473</v>
      </c>
    </row>
    <row r="1109" spans="2:18" ht="41.4" x14ac:dyDescent="0.3">
      <c r="B1109">
        <v>0</v>
      </c>
      <c r="C1109" s="33">
        <v>6425</v>
      </c>
      <c r="D1109" s="2">
        <v>1019</v>
      </c>
      <c r="E1109" s="2" t="s">
        <v>8112</v>
      </c>
      <c r="F1109" s="3" t="s">
        <v>14206</v>
      </c>
      <c r="H1109" s="3" t="s">
        <v>504</v>
      </c>
      <c r="K1109" s="2">
        <v>10</v>
      </c>
      <c r="L1109" s="2">
        <v>9</v>
      </c>
      <c r="M1109" s="3" t="s">
        <v>1740</v>
      </c>
      <c r="N1109" s="3" t="s">
        <v>1603</v>
      </c>
      <c r="O1109" s="3" t="s">
        <v>1705</v>
      </c>
      <c r="P1109" s="3" t="s">
        <v>1706</v>
      </c>
      <c r="Q1109" s="30" t="str">
        <f t="shared" si="17"/>
        <v>MAX : 0.285
TARGET : 0.275
MIN : 0.265</v>
      </c>
      <c r="R1109" s="3" t="s">
        <v>1473</v>
      </c>
    </row>
    <row r="1110" spans="2:18" ht="41.4" x14ac:dyDescent="0.3">
      <c r="B1110">
        <v>0</v>
      </c>
      <c r="C1110" s="33">
        <v>6425</v>
      </c>
      <c r="D1110" s="2">
        <v>1019</v>
      </c>
      <c r="E1110" s="2" t="s">
        <v>8112</v>
      </c>
      <c r="F1110" s="3" t="s">
        <v>14206</v>
      </c>
      <c r="H1110" s="3" t="s">
        <v>504</v>
      </c>
      <c r="K1110" s="2">
        <v>10</v>
      </c>
      <c r="L1110" s="2">
        <v>10</v>
      </c>
      <c r="M1110" s="3" t="s">
        <v>1666</v>
      </c>
      <c r="N1110" s="3" t="s">
        <v>1741</v>
      </c>
      <c r="O1110" s="3" t="s">
        <v>1742</v>
      </c>
      <c r="P1110" s="3" t="s">
        <v>435</v>
      </c>
      <c r="Q1110" s="30" t="str">
        <f t="shared" si="17"/>
        <v>MAX : 0.17
TARGET : 0.16
MIN : 0.15</v>
      </c>
      <c r="R1110" s="3" t="s">
        <v>1473</v>
      </c>
    </row>
    <row r="1111" spans="2:18" ht="41.4" x14ac:dyDescent="0.3">
      <c r="B1111">
        <v>0</v>
      </c>
      <c r="C1111" s="33">
        <v>6425</v>
      </c>
      <c r="D1111" s="2">
        <v>1019</v>
      </c>
      <c r="E1111" s="2" t="s">
        <v>8112</v>
      </c>
      <c r="F1111" s="3" t="s">
        <v>14206</v>
      </c>
      <c r="H1111" s="3" t="s">
        <v>504</v>
      </c>
      <c r="K1111" s="2">
        <v>10</v>
      </c>
      <c r="L1111" s="2">
        <v>11</v>
      </c>
      <c r="M1111" s="3" t="s">
        <v>1743</v>
      </c>
      <c r="N1111" s="3" t="s">
        <v>1744</v>
      </c>
      <c r="O1111" s="3" t="s">
        <v>1409</v>
      </c>
      <c r="P1111" s="3" t="s">
        <v>187</v>
      </c>
      <c r="Q1111" s="30" t="str">
        <f t="shared" si="17"/>
        <v>MAX : 0.720
TARGET : 0.710
MIN : 0.700</v>
      </c>
      <c r="R1111" s="3" t="s">
        <v>1473</v>
      </c>
    </row>
    <row r="1112" spans="2:18" ht="41.4" x14ac:dyDescent="0.3">
      <c r="B1112">
        <v>0</v>
      </c>
      <c r="C1112" s="33">
        <v>6425</v>
      </c>
      <c r="D1112" s="2">
        <v>1019</v>
      </c>
      <c r="E1112" s="2" t="s">
        <v>8112</v>
      </c>
      <c r="F1112" s="3" t="s">
        <v>14206</v>
      </c>
      <c r="H1112" s="3" t="s">
        <v>504</v>
      </c>
      <c r="K1112" s="2">
        <v>10</v>
      </c>
      <c r="L1112" s="2">
        <v>12</v>
      </c>
      <c r="M1112" s="3" t="s">
        <v>1745</v>
      </c>
      <c r="N1112" s="3" t="s">
        <v>1746</v>
      </c>
      <c r="O1112" s="3" t="s">
        <v>984</v>
      </c>
      <c r="P1112" s="3" t="s">
        <v>1747</v>
      </c>
      <c r="Q1112" s="30" t="str">
        <f t="shared" si="17"/>
        <v>MAX : 0.165
TARGET : 0.155
MIN : 0.145</v>
      </c>
      <c r="R1112" s="3" t="s">
        <v>1473</v>
      </c>
    </row>
    <row r="1113" spans="2:18" ht="41.4" x14ac:dyDescent="0.3">
      <c r="B1113">
        <v>0</v>
      </c>
      <c r="C1113" s="33">
        <v>6425</v>
      </c>
      <c r="D1113" s="2">
        <v>1019</v>
      </c>
      <c r="E1113" s="2" t="s">
        <v>8112</v>
      </c>
      <c r="F1113" s="3" t="s">
        <v>14206</v>
      </c>
      <c r="H1113" s="3" t="s">
        <v>504</v>
      </c>
      <c r="K1113" s="2">
        <v>10</v>
      </c>
      <c r="L1113" s="2">
        <v>13</v>
      </c>
      <c r="M1113" s="3" t="s">
        <v>1748</v>
      </c>
      <c r="N1113" s="3" t="s">
        <v>13</v>
      </c>
      <c r="O1113" s="3" t="s">
        <v>14</v>
      </c>
      <c r="Q1113" s="30" t="str">
        <f t="shared" si="17"/>
        <v>MAX : 
TARGET : Yes(Pass)
MIN : No(Fail)</v>
      </c>
      <c r="R1113" s="3" t="s">
        <v>1473</v>
      </c>
    </row>
    <row r="1114" spans="2:18" ht="41.4" x14ac:dyDescent="0.3">
      <c r="B1114">
        <v>0</v>
      </c>
      <c r="C1114" s="33">
        <v>6425</v>
      </c>
      <c r="D1114" s="2">
        <v>1019</v>
      </c>
      <c r="E1114" s="2" t="s">
        <v>8112</v>
      </c>
      <c r="F1114" s="3" t="s">
        <v>14206</v>
      </c>
      <c r="H1114" s="3" t="s">
        <v>504</v>
      </c>
      <c r="K1114" s="2">
        <v>10</v>
      </c>
      <c r="L1114" s="2">
        <v>14</v>
      </c>
      <c r="M1114" s="3" t="s">
        <v>1749</v>
      </c>
      <c r="N1114" s="3" t="s">
        <v>13</v>
      </c>
      <c r="O1114" s="3" t="s">
        <v>14</v>
      </c>
      <c r="Q1114" s="30" t="str">
        <f t="shared" si="17"/>
        <v>MAX : 
TARGET : Yes(Pass)
MIN : No(Fail)</v>
      </c>
      <c r="R1114" s="3" t="s">
        <v>1473</v>
      </c>
    </row>
    <row r="1115" spans="2:18" ht="41.4" x14ac:dyDescent="0.3">
      <c r="B1115">
        <v>0</v>
      </c>
      <c r="C1115" s="33">
        <v>6425</v>
      </c>
      <c r="D1115" s="2">
        <v>1019</v>
      </c>
      <c r="E1115" s="2" t="s">
        <v>8112</v>
      </c>
      <c r="F1115" s="3" t="s">
        <v>14206</v>
      </c>
      <c r="H1115" s="3" t="s">
        <v>504</v>
      </c>
      <c r="K1115" s="2">
        <v>10</v>
      </c>
      <c r="L1115" s="2">
        <v>15</v>
      </c>
      <c r="M1115" s="3" t="s">
        <v>1750</v>
      </c>
      <c r="N1115" s="3" t="s">
        <v>1751</v>
      </c>
      <c r="O1115" s="3" t="s">
        <v>1752</v>
      </c>
      <c r="Q1115" s="30" t="str">
        <f t="shared" si="17"/>
        <v>MAX : 
TARGET : &lt;/=4(Pass)
MIN : &gt;4(Fail)</v>
      </c>
      <c r="R1115" s="3" t="s">
        <v>1473</v>
      </c>
    </row>
    <row r="1116" spans="2:18" ht="41.4" x14ac:dyDescent="0.3">
      <c r="B1116">
        <v>1</v>
      </c>
      <c r="C1116" s="33">
        <v>6028</v>
      </c>
      <c r="D1116" s="2">
        <v>1786</v>
      </c>
      <c r="E1116" s="2" t="s">
        <v>7808</v>
      </c>
      <c r="F1116" s="3" t="s">
        <v>14206</v>
      </c>
      <c r="H1116" s="3" t="s">
        <v>1270</v>
      </c>
      <c r="K1116" s="2">
        <v>10</v>
      </c>
      <c r="L1116" s="2">
        <v>1</v>
      </c>
      <c r="M1116" s="3" t="s">
        <v>99</v>
      </c>
      <c r="N1116" s="3" t="s">
        <v>433</v>
      </c>
      <c r="O1116" s="3" t="s">
        <v>86</v>
      </c>
      <c r="P1116" s="3" t="s">
        <v>317</v>
      </c>
      <c r="Q1116" s="30" t="str">
        <f t="shared" si="17"/>
        <v>MAX : 0.515
TARGET : 0.500
MIN : 0.485</v>
      </c>
    </row>
    <row r="1117" spans="2:18" ht="41.4" x14ac:dyDescent="0.3">
      <c r="B1117">
        <v>1</v>
      </c>
      <c r="C1117" s="33">
        <v>6040</v>
      </c>
      <c r="D1117" s="2">
        <v>997</v>
      </c>
      <c r="E1117" s="2" t="s">
        <v>7812</v>
      </c>
      <c r="F1117" s="3" t="s">
        <v>14206</v>
      </c>
      <c r="H1117" s="3" t="s">
        <v>1422</v>
      </c>
      <c r="K1117" s="2">
        <v>10</v>
      </c>
      <c r="L1117" s="2">
        <v>2</v>
      </c>
      <c r="M1117" s="3" t="s">
        <v>1424</v>
      </c>
      <c r="N1117" s="3" t="s">
        <v>13</v>
      </c>
      <c r="O1117" s="3" t="s">
        <v>14</v>
      </c>
      <c r="Q1117" s="30" t="str">
        <f t="shared" si="17"/>
        <v>MAX : 
TARGET : Yes(Pass)
MIN : No(Fail)</v>
      </c>
    </row>
    <row r="1118" spans="2:18" ht="41.4" x14ac:dyDescent="0.3">
      <c r="B1118">
        <v>1</v>
      </c>
      <c r="C1118" s="33">
        <v>6040</v>
      </c>
      <c r="D1118" s="2">
        <v>997</v>
      </c>
      <c r="E1118" s="2" t="s">
        <v>7812</v>
      </c>
      <c r="F1118" s="3" t="s">
        <v>14206</v>
      </c>
      <c r="H1118" s="3" t="s">
        <v>1422</v>
      </c>
      <c r="K1118" s="2">
        <v>10</v>
      </c>
      <c r="L1118" s="2">
        <v>1</v>
      </c>
      <c r="M1118" s="3" t="s">
        <v>1423</v>
      </c>
      <c r="N1118" s="3" t="s">
        <v>13</v>
      </c>
      <c r="O1118" s="3" t="s">
        <v>14</v>
      </c>
      <c r="Q1118" s="30" t="str">
        <f t="shared" si="17"/>
        <v>MAX : 
TARGET : Yes(Pass)
MIN : No(Fail)</v>
      </c>
    </row>
    <row r="1119" spans="2:18" ht="41.4" x14ac:dyDescent="0.3">
      <c r="B1119">
        <v>1</v>
      </c>
      <c r="C1119" s="33">
        <v>6052</v>
      </c>
      <c r="D1119" s="2">
        <v>998</v>
      </c>
      <c r="E1119" s="2" t="s">
        <v>7819</v>
      </c>
      <c r="F1119" s="3" t="s">
        <v>14206</v>
      </c>
      <c r="H1119" s="3" t="s">
        <v>656</v>
      </c>
      <c r="K1119" s="2">
        <v>10</v>
      </c>
      <c r="L1119" s="2">
        <v>2</v>
      </c>
      <c r="M1119" s="3" t="s">
        <v>1428</v>
      </c>
      <c r="N1119" s="3" t="s">
        <v>1429</v>
      </c>
      <c r="O1119" s="3" t="s">
        <v>1430</v>
      </c>
      <c r="P1119" s="3" t="s">
        <v>1431</v>
      </c>
      <c r="Q1119" s="30" t="str">
        <f t="shared" si="17"/>
        <v>MAX : 2.943
TARGET : 2.931
MIN : 2.919</v>
      </c>
    </row>
    <row r="1120" spans="2:18" ht="41.4" x14ac:dyDescent="0.3">
      <c r="B1120">
        <v>1</v>
      </c>
      <c r="C1120" s="33">
        <v>6052</v>
      </c>
      <c r="D1120" s="2">
        <v>998</v>
      </c>
      <c r="E1120" s="2" t="s">
        <v>7819</v>
      </c>
      <c r="F1120" s="3" t="s">
        <v>14206</v>
      </c>
      <c r="H1120" s="3" t="s">
        <v>656</v>
      </c>
      <c r="K1120" s="2">
        <v>10</v>
      </c>
      <c r="L1120" s="2">
        <v>1</v>
      </c>
      <c r="M1120" s="3" t="s">
        <v>194</v>
      </c>
      <c r="N1120" s="3" t="s">
        <v>1425</v>
      </c>
      <c r="O1120" s="3" t="s">
        <v>1426</v>
      </c>
      <c r="P1120" s="3" t="s">
        <v>1427</v>
      </c>
      <c r="Q1120" s="30" t="str">
        <f t="shared" si="17"/>
        <v>MAX : 3.445
TARGET : 3.433
MIN : 3.421</v>
      </c>
    </row>
    <row r="1121" spans="2:18" ht="41.4" x14ac:dyDescent="0.3">
      <c r="B1121">
        <v>0</v>
      </c>
      <c r="C1121" s="33">
        <v>6464</v>
      </c>
      <c r="D1121" s="2">
        <v>1812</v>
      </c>
      <c r="E1121" s="2" t="s">
        <v>8169</v>
      </c>
      <c r="F1121" s="3" t="s">
        <v>14206</v>
      </c>
      <c r="H1121" s="3" t="s">
        <v>98</v>
      </c>
      <c r="K1121" s="2">
        <v>20</v>
      </c>
      <c r="L1121" s="2">
        <v>3</v>
      </c>
      <c r="M1121" s="3" t="s">
        <v>1759</v>
      </c>
      <c r="N1121" s="3" t="s">
        <v>13</v>
      </c>
      <c r="O1121" s="3" t="s">
        <v>14</v>
      </c>
      <c r="Q1121" s="30" t="str">
        <f t="shared" si="17"/>
        <v>MAX : 
TARGET : Yes(Pass)
MIN : No(Fail)</v>
      </c>
    </row>
    <row r="1122" spans="2:18" ht="41.4" x14ac:dyDescent="0.3">
      <c r="B1122">
        <v>1</v>
      </c>
      <c r="C1122" s="33">
        <v>6053</v>
      </c>
      <c r="D1122" s="2">
        <v>999</v>
      </c>
      <c r="E1122" s="2" t="s">
        <v>7825</v>
      </c>
      <c r="F1122" s="3" t="s">
        <v>14206</v>
      </c>
      <c r="H1122" s="3" t="s">
        <v>656</v>
      </c>
      <c r="K1122" s="2">
        <v>10</v>
      </c>
      <c r="L1122" s="2">
        <v>2</v>
      </c>
      <c r="M1122" s="3" t="s">
        <v>1440</v>
      </c>
      <c r="N1122" s="3" t="s">
        <v>1441</v>
      </c>
      <c r="O1122" s="3" t="s">
        <v>1442</v>
      </c>
      <c r="P1122" s="3" t="s">
        <v>1443</v>
      </c>
      <c r="Q1122" s="30" t="str">
        <f t="shared" si="17"/>
        <v>MAX : 0.326
TARGET : 0.314
MIN : 0.302</v>
      </c>
    </row>
    <row r="1123" spans="2:18" ht="41.4" x14ac:dyDescent="0.3">
      <c r="B1123">
        <v>1</v>
      </c>
      <c r="C1123" s="33">
        <v>6053</v>
      </c>
      <c r="D1123" s="2">
        <v>999</v>
      </c>
      <c r="E1123" s="2" t="s">
        <v>7825</v>
      </c>
      <c r="F1123" s="3" t="s">
        <v>14206</v>
      </c>
      <c r="H1123" s="3" t="s">
        <v>656</v>
      </c>
      <c r="K1123" s="2">
        <v>10</v>
      </c>
      <c r="L1123" s="2">
        <v>1</v>
      </c>
      <c r="M1123" s="3" t="s">
        <v>194</v>
      </c>
      <c r="N1123" s="3" t="s">
        <v>1425</v>
      </c>
      <c r="O1123" s="3" t="s">
        <v>1426</v>
      </c>
      <c r="P1123" s="3" t="s">
        <v>1427</v>
      </c>
      <c r="Q1123" s="30" t="str">
        <f t="shared" si="17"/>
        <v>MAX : 3.445
TARGET : 3.433
MIN : 3.421</v>
      </c>
    </row>
    <row r="1124" spans="2:18" ht="41.4" x14ac:dyDescent="0.3">
      <c r="B1124">
        <v>0</v>
      </c>
      <c r="C1124" s="33">
        <v>6466</v>
      </c>
      <c r="D1124" s="2">
        <v>1813</v>
      </c>
      <c r="E1124" s="2" t="s">
        <v>8175</v>
      </c>
      <c r="F1124" s="3" t="s">
        <v>14206</v>
      </c>
      <c r="H1124" s="3" t="s">
        <v>491</v>
      </c>
      <c r="K1124" s="2">
        <v>20</v>
      </c>
      <c r="L1124" s="2">
        <v>3</v>
      </c>
      <c r="M1124" s="3" t="s">
        <v>1763</v>
      </c>
      <c r="N1124" s="3" t="s">
        <v>13</v>
      </c>
      <c r="O1124" s="3" t="s">
        <v>14</v>
      </c>
      <c r="Q1124" s="30" t="str">
        <f t="shared" si="17"/>
        <v>MAX : 
TARGET : Yes(Pass)
MIN : No(Fail)</v>
      </c>
    </row>
    <row r="1125" spans="2:18" ht="41.4" x14ac:dyDescent="0.3">
      <c r="B1125">
        <v>1</v>
      </c>
      <c r="C1125" s="33">
        <v>6067</v>
      </c>
      <c r="D1125" s="2">
        <v>1000</v>
      </c>
      <c r="E1125" s="2" t="s">
        <v>7831</v>
      </c>
      <c r="F1125" s="3" t="s">
        <v>14207</v>
      </c>
      <c r="H1125" s="3" t="s">
        <v>504</v>
      </c>
      <c r="K1125" s="2">
        <v>10</v>
      </c>
      <c r="L1125" s="2">
        <v>2</v>
      </c>
      <c r="M1125" s="3" t="s">
        <v>22</v>
      </c>
      <c r="N1125" s="3" t="s">
        <v>1460</v>
      </c>
      <c r="O1125" s="3" t="s">
        <v>1461</v>
      </c>
      <c r="P1125" s="3" t="s">
        <v>1462</v>
      </c>
      <c r="Q1125" s="30" t="str">
        <f t="shared" si="17"/>
        <v>MAX : 101.0
TARGET : 100.0
MIN : 99.0</v>
      </c>
      <c r="R1125" s="3" t="s">
        <v>443</v>
      </c>
    </row>
    <row r="1126" spans="2:18" ht="41.4" x14ac:dyDescent="0.3">
      <c r="B1126">
        <v>1</v>
      </c>
      <c r="C1126" s="33">
        <v>6067</v>
      </c>
      <c r="D1126" s="2">
        <v>1000</v>
      </c>
      <c r="E1126" s="2" t="s">
        <v>7831</v>
      </c>
      <c r="F1126" s="3" t="s">
        <v>14207</v>
      </c>
      <c r="H1126" s="3" t="s">
        <v>504</v>
      </c>
      <c r="K1126" s="2">
        <v>10</v>
      </c>
      <c r="L1126" s="2">
        <v>1</v>
      </c>
      <c r="M1126" s="3" t="s">
        <v>18</v>
      </c>
      <c r="N1126" s="3" t="s">
        <v>1457</v>
      </c>
      <c r="O1126" s="3" t="s">
        <v>1458</v>
      </c>
      <c r="P1126" s="3" t="s">
        <v>1459</v>
      </c>
      <c r="Q1126" s="30" t="str">
        <f t="shared" si="17"/>
        <v>MAX : 71.0
TARGET : 70.0
MIN : 69.0</v>
      </c>
      <c r="R1126" s="3" t="s">
        <v>443</v>
      </c>
    </row>
    <row r="1127" spans="2:18" ht="41.4" x14ac:dyDescent="0.3">
      <c r="B1127">
        <v>0</v>
      </c>
      <c r="C1127" s="33">
        <v>6467</v>
      </c>
      <c r="D1127" s="2">
        <v>1814</v>
      </c>
      <c r="E1127" s="2" t="s">
        <v>8181</v>
      </c>
      <c r="F1127" s="3" t="s">
        <v>14206</v>
      </c>
      <c r="H1127" s="3" t="s">
        <v>98</v>
      </c>
      <c r="K1127" s="2">
        <v>20</v>
      </c>
      <c r="L1127" s="2">
        <v>3</v>
      </c>
      <c r="M1127" s="3" t="s">
        <v>1763</v>
      </c>
      <c r="N1127" s="3" t="s">
        <v>13</v>
      </c>
      <c r="O1127" s="3" t="s">
        <v>14</v>
      </c>
      <c r="Q1127" s="30" t="str">
        <f t="shared" si="17"/>
        <v>MAX : 
TARGET : Yes(Pass)
MIN : No(Fail)</v>
      </c>
    </row>
    <row r="1128" spans="2:18" ht="41.4" x14ac:dyDescent="0.3">
      <c r="B1128">
        <v>1</v>
      </c>
      <c r="C1128" s="33">
        <v>6067</v>
      </c>
      <c r="D1128" s="2">
        <v>1000</v>
      </c>
      <c r="E1128" s="2" t="s">
        <v>7831</v>
      </c>
      <c r="F1128" s="3" t="s">
        <v>14207</v>
      </c>
      <c r="H1128" s="3" t="s">
        <v>504</v>
      </c>
      <c r="K1128" s="2">
        <v>10</v>
      </c>
      <c r="L1128" s="2">
        <v>5</v>
      </c>
      <c r="M1128" s="3" t="s">
        <v>3334</v>
      </c>
      <c r="N1128" s="3" t="s">
        <v>13</v>
      </c>
      <c r="O1128" s="3" t="s">
        <v>14</v>
      </c>
      <c r="Q1128" s="30" t="str">
        <f t="shared" si="17"/>
        <v>MAX : 
TARGET : Yes(Pass)
MIN : No(Fail)</v>
      </c>
      <c r="R1128" s="3" t="s">
        <v>443</v>
      </c>
    </row>
    <row r="1129" spans="2:18" ht="41.4" x14ac:dyDescent="0.3">
      <c r="B1129">
        <v>1</v>
      </c>
      <c r="C1129" s="33">
        <v>6107</v>
      </c>
      <c r="D1129" s="2">
        <v>1001</v>
      </c>
      <c r="E1129" s="2" t="s">
        <v>7839</v>
      </c>
      <c r="F1129" s="3" t="s">
        <v>14207</v>
      </c>
      <c r="H1129" s="3" t="s">
        <v>1468</v>
      </c>
      <c r="K1129" s="2">
        <v>20</v>
      </c>
      <c r="L1129" s="2">
        <v>2</v>
      </c>
      <c r="M1129" s="3" t="s">
        <v>1474</v>
      </c>
      <c r="N1129" s="3" t="s">
        <v>1475</v>
      </c>
      <c r="O1129" s="3" t="s">
        <v>1476</v>
      </c>
      <c r="P1129" s="3" t="s">
        <v>1477</v>
      </c>
      <c r="Q1129" s="30" t="str">
        <f t="shared" si="17"/>
        <v>MAX : 127.80
TARGET : 127.00
MIN : 126.20</v>
      </c>
      <c r="R1129" s="3" t="s">
        <v>1473</v>
      </c>
    </row>
    <row r="1130" spans="2:18" ht="41.4" x14ac:dyDescent="0.3">
      <c r="B1130">
        <v>1</v>
      </c>
      <c r="C1130" s="33">
        <v>6107</v>
      </c>
      <c r="D1130" s="2">
        <v>1001</v>
      </c>
      <c r="E1130" s="2" t="s">
        <v>7839</v>
      </c>
      <c r="F1130" s="3" t="s">
        <v>14207</v>
      </c>
      <c r="H1130" s="3" t="s">
        <v>1468</v>
      </c>
      <c r="K1130" s="2">
        <v>20</v>
      </c>
      <c r="L1130" s="2">
        <v>1</v>
      </c>
      <c r="M1130" s="3" t="s">
        <v>1469</v>
      </c>
      <c r="N1130" s="3" t="s">
        <v>1470</v>
      </c>
      <c r="O1130" s="3" t="s">
        <v>1471</v>
      </c>
      <c r="P1130" s="3" t="s">
        <v>1472</v>
      </c>
      <c r="Q1130" s="30" t="str">
        <f t="shared" si="17"/>
        <v>MAX : 45.25
TARGET : 44.45
MIN : 43.65</v>
      </c>
      <c r="R1130" s="3" t="s">
        <v>1473</v>
      </c>
    </row>
    <row r="1131" spans="2:18" ht="41.4" x14ac:dyDescent="0.3">
      <c r="B1131">
        <v>1</v>
      </c>
      <c r="C1131" s="33">
        <v>6108</v>
      </c>
      <c r="D1131" s="2">
        <v>1002</v>
      </c>
      <c r="E1131" s="2" t="s">
        <v>7846</v>
      </c>
      <c r="F1131" s="3" t="s">
        <v>14206</v>
      </c>
      <c r="H1131" s="3" t="s">
        <v>648</v>
      </c>
      <c r="K1131" s="2">
        <v>10</v>
      </c>
      <c r="L1131" s="2">
        <v>2</v>
      </c>
      <c r="M1131" s="3" t="s">
        <v>1492</v>
      </c>
      <c r="N1131" s="3" t="s">
        <v>927</v>
      </c>
      <c r="O1131" s="3" t="s">
        <v>276</v>
      </c>
      <c r="P1131" s="3" t="s">
        <v>928</v>
      </c>
      <c r="Q1131" s="30" t="str">
        <f t="shared" si="17"/>
        <v>MAX : 0.395
TARGET : 0.375
MIN : 0.355</v>
      </c>
    </row>
    <row r="1132" spans="2:18" ht="41.4" x14ac:dyDescent="0.3">
      <c r="B1132">
        <v>1</v>
      </c>
      <c r="C1132" s="33">
        <v>6108</v>
      </c>
      <c r="D1132" s="2">
        <v>1002</v>
      </c>
      <c r="E1132" s="2" t="s">
        <v>7846</v>
      </c>
      <c r="F1132" s="3" t="s">
        <v>14206</v>
      </c>
      <c r="H1132" s="3" t="s">
        <v>648</v>
      </c>
      <c r="K1132" s="2">
        <v>10</v>
      </c>
      <c r="L1132" s="2">
        <v>1</v>
      </c>
      <c r="M1132" s="3" t="s">
        <v>1489</v>
      </c>
      <c r="N1132" s="3" t="s">
        <v>1490</v>
      </c>
      <c r="O1132" s="3" t="s">
        <v>132</v>
      </c>
      <c r="P1132" s="3" t="s">
        <v>1491</v>
      </c>
      <c r="Q1132" s="30" t="str">
        <f t="shared" si="17"/>
        <v>MAX : 0.77
TARGET : 0.75
MIN : 0.73</v>
      </c>
    </row>
    <row r="1133" spans="2:18" ht="41.4" x14ac:dyDescent="0.3">
      <c r="B1133">
        <v>1</v>
      </c>
      <c r="C1133" s="33">
        <v>6108</v>
      </c>
      <c r="D1133" s="2">
        <v>1002</v>
      </c>
      <c r="E1133" s="2" t="s">
        <v>7846</v>
      </c>
      <c r="F1133" s="3" t="s">
        <v>14206</v>
      </c>
      <c r="H1133" s="3" t="s">
        <v>648</v>
      </c>
      <c r="K1133" s="2">
        <v>10</v>
      </c>
      <c r="L1133" s="2">
        <v>6</v>
      </c>
      <c r="M1133" s="3" t="s">
        <v>1510</v>
      </c>
      <c r="N1133" s="3" t="s">
        <v>13</v>
      </c>
      <c r="O1133" s="3" t="s">
        <v>14</v>
      </c>
      <c r="Q1133" s="30" t="str">
        <f t="shared" si="17"/>
        <v>MAX : 
TARGET : Yes(Pass)
MIN : No(Fail)</v>
      </c>
    </row>
    <row r="1134" spans="2:18" ht="41.4" x14ac:dyDescent="0.3">
      <c r="B1134">
        <v>1</v>
      </c>
      <c r="C1134" s="33">
        <v>6111</v>
      </c>
      <c r="D1134" s="2">
        <v>1787</v>
      </c>
      <c r="E1134" s="2" t="s">
        <v>7853</v>
      </c>
      <c r="F1134" s="3" t="s">
        <v>14206</v>
      </c>
      <c r="H1134" s="3" t="s">
        <v>289</v>
      </c>
      <c r="K1134" s="2">
        <v>20</v>
      </c>
      <c r="L1134" s="2">
        <v>2</v>
      </c>
      <c r="M1134" s="3" t="s">
        <v>1502</v>
      </c>
      <c r="N1134" s="3" t="s">
        <v>13</v>
      </c>
      <c r="O1134" s="3" t="s">
        <v>14</v>
      </c>
      <c r="Q1134" s="30" t="str">
        <f t="shared" si="17"/>
        <v>MAX : 
TARGET : Yes(Pass)
MIN : No(Fail)</v>
      </c>
    </row>
    <row r="1135" spans="2:18" ht="41.4" x14ac:dyDescent="0.3">
      <c r="B1135">
        <v>1</v>
      </c>
      <c r="C1135" s="33">
        <v>6111</v>
      </c>
      <c r="D1135" s="2">
        <v>1787</v>
      </c>
      <c r="E1135" s="2" t="s">
        <v>7853</v>
      </c>
      <c r="F1135" s="3" t="s">
        <v>14206</v>
      </c>
      <c r="H1135" s="3" t="s">
        <v>289</v>
      </c>
      <c r="K1135" s="2">
        <v>20</v>
      </c>
      <c r="L1135" s="2">
        <v>1</v>
      </c>
      <c r="M1135" s="3" t="s">
        <v>174</v>
      </c>
      <c r="N1135" s="3" t="s">
        <v>1500</v>
      </c>
      <c r="O1135" s="3" t="s">
        <v>1209</v>
      </c>
      <c r="P1135" s="3" t="s">
        <v>1501</v>
      </c>
      <c r="Q1135" s="30" t="str">
        <f t="shared" si="17"/>
        <v>MAX : 30.06
TARGET : 30.00
MIN : 29.94</v>
      </c>
    </row>
    <row r="1136" spans="2:18" ht="41.4" x14ac:dyDescent="0.3">
      <c r="B1136">
        <v>1</v>
      </c>
      <c r="C1136" s="33">
        <v>6118</v>
      </c>
      <c r="D1136" s="2">
        <v>1003</v>
      </c>
      <c r="E1136" s="2" t="s">
        <v>7861</v>
      </c>
      <c r="F1136" s="3" t="s">
        <v>14206</v>
      </c>
      <c r="H1136" s="3" t="s">
        <v>1506</v>
      </c>
      <c r="K1136" s="2">
        <v>20</v>
      </c>
      <c r="L1136" s="2">
        <v>3</v>
      </c>
      <c r="M1136" s="3" t="s">
        <v>1509</v>
      </c>
      <c r="N1136" s="3" t="s">
        <v>13</v>
      </c>
      <c r="O1136" s="3" t="s">
        <v>14</v>
      </c>
      <c r="Q1136" s="30" t="str">
        <f t="shared" si="17"/>
        <v>MAX : 
TARGET : Yes(Pass)
MIN : No(Fail)</v>
      </c>
    </row>
    <row r="1137" spans="2:18" ht="41.4" x14ac:dyDescent="0.3">
      <c r="B1137">
        <v>1</v>
      </c>
      <c r="C1137" s="33">
        <v>6118</v>
      </c>
      <c r="D1137" s="2">
        <v>1003</v>
      </c>
      <c r="E1137" s="2" t="s">
        <v>7861</v>
      </c>
      <c r="F1137" s="3" t="s">
        <v>14206</v>
      </c>
      <c r="H1137" s="3" t="s">
        <v>1506</v>
      </c>
      <c r="K1137" s="2">
        <v>20</v>
      </c>
      <c r="L1137" s="2">
        <v>1</v>
      </c>
      <c r="M1137" s="3" t="s">
        <v>456</v>
      </c>
      <c r="N1137" s="3" t="s">
        <v>1254</v>
      </c>
      <c r="O1137" s="3" t="s">
        <v>1507</v>
      </c>
      <c r="P1137" s="3" t="s">
        <v>1508</v>
      </c>
      <c r="Q1137" s="30" t="str">
        <f t="shared" si="17"/>
        <v>MAX : 18.375
TARGET : 18.250
MIN : 18.125</v>
      </c>
    </row>
    <row r="1138" spans="2:18" ht="41.4" x14ac:dyDescent="0.3">
      <c r="B1138">
        <v>0</v>
      </c>
      <c r="C1138" s="33">
        <v>6460</v>
      </c>
      <c r="D1138" s="2">
        <v>1810</v>
      </c>
      <c r="E1138" s="2" t="s">
        <v>8155</v>
      </c>
      <c r="F1138" s="3" t="s">
        <v>14206</v>
      </c>
      <c r="H1138" s="3" t="s">
        <v>289</v>
      </c>
      <c r="K1138" s="2">
        <v>20</v>
      </c>
      <c r="L1138" s="2">
        <v>3</v>
      </c>
      <c r="M1138" s="3" t="s">
        <v>1775</v>
      </c>
      <c r="N1138" s="3" t="s">
        <v>13</v>
      </c>
      <c r="O1138" s="3" t="s">
        <v>14</v>
      </c>
      <c r="Q1138" s="30" t="str">
        <f t="shared" si="17"/>
        <v>MAX : 
TARGET : Yes(Pass)
MIN : No(Fail)</v>
      </c>
    </row>
    <row r="1139" spans="2:18" ht="41.4" x14ac:dyDescent="0.3">
      <c r="B1139">
        <v>1</v>
      </c>
      <c r="C1139" s="33">
        <v>6118</v>
      </c>
      <c r="D1139" s="2">
        <v>1003</v>
      </c>
      <c r="E1139" s="2" t="s">
        <v>7861</v>
      </c>
      <c r="F1139" s="3" t="s">
        <v>14206</v>
      </c>
      <c r="H1139" s="3" t="s">
        <v>1506</v>
      </c>
      <c r="K1139" s="2">
        <v>20</v>
      </c>
      <c r="L1139" s="2">
        <v>2</v>
      </c>
      <c r="M1139" s="3" t="s">
        <v>99</v>
      </c>
      <c r="N1139" s="3" t="s">
        <v>3768</v>
      </c>
      <c r="O1139" s="3" t="s">
        <v>815</v>
      </c>
      <c r="P1139" s="3" t="s">
        <v>2025</v>
      </c>
      <c r="Q1139" s="30" t="str">
        <f t="shared" si="17"/>
        <v>MAX : 3.09
TARGET : 3.00
MIN : 2.91</v>
      </c>
    </row>
    <row r="1140" spans="2:18" ht="41.4" x14ac:dyDescent="0.3">
      <c r="B1140">
        <v>1</v>
      </c>
      <c r="C1140" s="33">
        <v>6119</v>
      </c>
      <c r="D1140" s="2">
        <v>1788</v>
      </c>
      <c r="E1140" s="2" t="s">
        <v>7869</v>
      </c>
      <c r="F1140" s="3" t="s">
        <v>14206</v>
      </c>
      <c r="H1140" s="3" t="s">
        <v>30</v>
      </c>
      <c r="I1140" s="3" t="s">
        <v>487</v>
      </c>
      <c r="K1140" s="2">
        <v>10</v>
      </c>
      <c r="L1140" s="2">
        <v>2</v>
      </c>
      <c r="M1140" s="3" t="s">
        <v>490</v>
      </c>
      <c r="N1140" s="3" t="s">
        <v>13</v>
      </c>
      <c r="O1140" s="3" t="s">
        <v>14</v>
      </c>
      <c r="Q1140" s="30" t="str">
        <f t="shared" si="17"/>
        <v>MAX : 
TARGET : Yes(Pass)
MIN : No(Fail)</v>
      </c>
    </row>
    <row r="1141" spans="2:18" ht="41.4" x14ac:dyDescent="0.3">
      <c r="B1141">
        <v>1</v>
      </c>
      <c r="C1141" s="33">
        <v>6119</v>
      </c>
      <c r="D1141" s="2">
        <v>1788</v>
      </c>
      <c r="E1141" s="2" t="s">
        <v>7869</v>
      </c>
      <c r="F1141" s="3" t="s">
        <v>14206</v>
      </c>
      <c r="H1141" s="3" t="s">
        <v>30</v>
      </c>
      <c r="I1141" s="3" t="s">
        <v>487</v>
      </c>
      <c r="K1141" s="2">
        <v>10</v>
      </c>
      <c r="L1141" s="2">
        <v>1</v>
      </c>
      <c r="M1141" s="3" t="s">
        <v>99</v>
      </c>
      <c r="N1141" s="3" t="s">
        <v>1504</v>
      </c>
      <c r="O1141" s="3" t="s">
        <v>815</v>
      </c>
      <c r="P1141" s="3" t="s">
        <v>1505</v>
      </c>
      <c r="Q1141" s="30" t="str">
        <f t="shared" si="17"/>
        <v>MAX : 3.06
TARGET : 3.00
MIN : 2.94</v>
      </c>
    </row>
    <row r="1142" spans="2:18" ht="41.4" x14ac:dyDescent="0.3">
      <c r="B1142">
        <v>1</v>
      </c>
      <c r="C1142" s="33">
        <v>6142</v>
      </c>
      <c r="D1142" s="2">
        <v>1789</v>
      </c>
      <c r="E1142" s="2" t="s">
        <v>7876</v>
      </c>
      <c r="F1142" s="3" t="s">
        <v>14206</v>
      </c>
      <c r="H1142" s="3" t="s">
        <v>269</v>
      </c>
      <c r="K1142" s="2">
        <v>10</v>
      </c>
      <c r="L1142" s="2">
        <v>2</v>
      </c>
      <c r="M1142" s="3" t="s">
        <v>1346</v>
      </c>
      <c r="N1142" s="3" t="s">
        <v>13</v>
      </c>
      <c r="O1142" s="3" t="s">
        <v>14</v>
      </c>
      <c r="Q1142" s="30" t="str">
        <f t="shared" si="17"/>
        <v>MAX : 
TARGET : Yes(Pass)
MIN : No(Fail)</v>
      </c>
      <c r="R1142" s="3" t="s">
        <v>1512</v>
      </c>
    </row>
    <row r="1143" spans="2:18" ht="41.4" x14ac:dyDescent="0.3">
      <c r="B1143">
        <v>0</v>
      </c>
      <c r="C1143" s="33">
        <v>6483</v>
      </c>
      <c r="D1143" s="2">
        <v>1820</v>
      </c>
      <c r="E1143" s="2" t="s">
        <v>8218</v>
      </c>
      <c r="F1143" s="3" t="s">
        <v>14206</v>
      </c>
      <c r="H1143" s="3" t="s">
        <v>656</v>
      </c>
      <c r="K1143" s="2">
        <v>10</v>
      </c>
      <c r="L1143" s="2">
        <v>3</v>
      </c>
      <c r="M1143" s="3" t="s">
        <v>1779</v>
      </c>
      <c r="N1143" s="3" t="s">
        <v>1780</v>
      </c>
      <c r="O1143" s="3" t="s">
        <v>241</v>
      </c>
      <c r="P1143" s="3" t="s">
        <v>1746</v>
      </c>
      <c r="Q1143" s="30" t="str">
        <f t="shared" si="17"/>
        <v>MAX : 0.145
TARGET : 0.125
MIN : 0.105</v>
      </c>
    </row>
    <row r="1144" spans="2:18" ht="41.4" x14ac:dyDescent="0.3">
      <c r="B1144">
        <v>0</v>
      </c>
      <c r="C1144" s="33">
        <v>6483</v>
      </c>
      <c r="D1144" s="2">
        <v>1820</v>
      </c>
      <c r="E1144" s="2" t="s">
        <v>8218</v>
      </c>
      <c r="F1144" s="3" t="s">
        <v>14206</v>
      </c>
      <c r="H1144" s="3" t="s">
        <v>656</v>
      </c>
      <c r="K1144" s="2">
        <v>10</v>
      </c>
      <c r="L1144" s="2">
        <v>4</v>
      </c>
      <c r="M1144" s="3" t="s">
        <v>174</v>
      </c>
      <c r="N1144" s="3" t="s">
        <v>308</v>
      </c>
      <c r="O1144" s="3" t="s">
        <v>309</v>
      </c>
      <c r="P1144" s="3" t="s">
        <v>310</v>
      </c>
      <c r="Q1144" s="30" t="str">
        <f t="shared" si="17"/>
        <v>MAX : 0.53
TARGET : 0.50
MIN : 0.47</v>
      </c>
    </row>
    <row r="1145" spans="2:18" ht="41.4" x14ac:dyDescent="0.3">
      <c r="B1145">
        <v>1</v>
      </c>
      <c r="C1145" s="33">
        <v>6142</v>
      </c>
      <c r="D1145" s="2">
        <v>1789</v>
      </c>
      <c r="E1145" s="2" t="s">
        <v>7876</v>
      </c>
      <c r="F1145" s="3" t="s">
        <v>14206</v>
      </c>
      <c r="H1145" s="3" t="s">
        <v>269</v>
      </c>
      <c r="K1145" s="2">
        <v>10</v>
      </c>
      <c r="L1145" s="2">
        <v>1</v>
      </c>
      <c r="M1145" s="3" t="s">
        <v>1511</v>
      </c>
      <c r="N1145" s="3" t="s">
        <v>863</v>
      </c>
      <c r="O1145" s="3" t="s">
        <v>8</v>
      </c>
      <c r="P1145" s="3" t="s">
        <v>865</v>
      </c>
      <c r="Q1145" s="30" t="str">
        <f t="shared" si="17"/>
        <v>MAX : +0.03
TARGET : Target
MIN : -0.03</v>
      </c>
      <c r="R1145" s="3" t="s">
        <v>1512</v>
      </c>
    </row>
    <row r="1146" spans="2:18" ht="41.4" x14ac:dyDescent="0.3">
      <c r="B1146">
        <v>1</v>
      </c>
      <c r="C1146" s="33">
        <v>6142</v>
      </c>
      <c r="D1146" s="2">
        <v>1789</v>
      </c>
      <c r="E1146" s="2" t="s">
        <v>7876</v>
      </c>
      <c r="F1146" s="3" t="s">
        <v>14206</v>
      </c>
      <c r="H1146" s="3" t="s">
        <v>269</v>
      </c>
      <c r="K1146" s="2">
        <v>10</v>
      </c>
      <c r="L1146" s="2">
        <v>3</v>
      </c>
      <c r="M1146" s="3" t="s">
        <v>1720</v>
      </c>
      <c r="N1146" s="3" t="s">
        <v>851</v>
      </c>
      <c r="O1146" s="3" t="s">
        <v>14</v>
      </c>
      <c r="Q1146" s="30" t="str">
        <f t="shared" si="17"/>
        <v>MAX : 
TARGET : Yes(Pass)
MIN : No(fail)</v>
      </c>
      <c r="R1146" s="3" t="s">
        <v>1512</v>
      </c>
    </row>
    <row r="1147" spans="2:18" ht="41.4" x14ac:dyDescent="0.3">
      <c r="B1147">
        <v>0</v>
      </c>
      <c r="C1147" s="33">
        <v>6484</v>
      </c>
      <c r="D1147" s="2">
        <v>1821</v>
      </c>
      <c r="E1147" s="2" t="s">
        <v>8224</v>
      </c>
      <c r="F1147" s="3" t="s">
        <v>14206</v>
      </c>
      <c r="H1147" s="3" t="s">
        <v>656</v>
      </c>
      <c r="K1147" s="2">
        <v>20</v>
      </c>
      <c r="L1147" s="2">
        <v>3</v>
      </c>
      <c r="M1147" s="3" t="s">
        <v>1779</v>
      </c>
      <c r="N1147" s="3" t="s">
        <v>1780</v>
      </c>
      <c r="O1147" s="3" t="s">
        <v>241</v>
      </c>
      <c r="P1147" s="3" t="s">
        <v>1746</v>
      </c>
      <c r="Q1147" s="30" t="str">
        <f t="shared" si="17"/>
        <v>MAX : 0.145
TARGET : 0.125
MIN : 0.105</v>
      </c>
    </row>
    <row r="1148" spans="2:18" ht="41.4" x14ac:dyDescent="0.3">
      <c r="B1148">
        <v>0</v>
      </c>
      <c r="C1148" s="33">
        <v>6484</v>
      </c>
      <c r="D1148" s="2">
        <v>1821</v>
      </c>
      <c r="E1148" s="2" t="s">
        <v>8224</v>
      </c>
      <c r="F1148" s="3" t="s">
        <v>14206</v>
      </c>
      <c r="H1148" s="3" t="s">
        <v>656</v>
      </c>
      <c r="K1148" s="2">
        <v>20</v>
      </c>
      <c r="L1148" s="2">
        <v>4</v>
      </c>
      <c r="M1148" s="3" t="s">
        <v>174</v>
      </c>
      <c r="N1148" s="3" t="s">
        <v>308</v>
      </c>
      <c r="O1148" s="3" t="s">
        <v>309</v>
      </c>
      <c r="P1148" s="3" t="s">
        <v>310</v>
      </c>
      <c r="Q1148" s="30" t="str">
        <f t="shared" si="17"/>
        <v>MAX : 0.53
TARGET : 0.50
MIN : 0.47</v>
      </c>
    </row>
    <row r="1149" spans="2:18" ht="41.4" x14ac:dyDescent="0.3">
      <c r="B1149">
        <v>1</v>
      </c>
      <c r="C1149" s="33">
        <v>6173</v>
      </c>
      <c r="D1149" s="2">
        <v>1004</v>
      </c>
      <c r="E1149" s="2" t="s">
        <v>7883</v>
      </c>
      <c r="F1149" s="3" t="s">
        <v>14206</v>
      </c>
      <c r="H1149" s="3" t="s">
        <v>656</v>
      </c>
      <c r="K1149" s="2">
        <v>10</v>
      </c>
      <c r="L1149" s="2">
        <v>2</v>
      </c>
      <c r="M1149" s="3" t="s">
        <v>194</v>
      </c>
      <c r="N1149" s="3" t="s">
        <v>1516</v>
      </c>
      <c r="O1149" s="3" t="s">
        <v>139</v>
      </c>
      <c r="P1149" s="3" t="s">
        <v>1517</v>
      </c>
      <c r="Q1149" s="30" t="str">
        <f t="shared" si="17"/>
        <v>MAX : 1.020
TARGET : 1.000
MIN : 0.980</v>
      </c>
    </row>
    <row r="1150" spans="2:18" ht="41.4" x14ac:dyDescent="0.3">
      <c r="B1150">
        <v>1</v>
      </c>
      <c r="C1150" s="33">
        <v>6173</v>
      </c>
      <c r="D1150" s="2">
        <v>1004</v>
      </c>
      <c r="E1150" s="2" t="s">
        <v>7883</v>
      </c>
      <c r="F1150" s="3" t="s">
        <v>14206</v>
      </c>
      <c r="H1150" s="3" t="s">
        <v>656</v>
      </c>
      <c r="K1150" s="2">
        <v>10</v>
      </c>
      <c r="L1150" s="2">
        <v>1</v>
      </c>
      <c r="M1150" s="3" t="s">
        <v>198</v>
      </c>
      <c r="N1150" s="3" t="s">
        <v>1513</v>
      </c>
      <c r="O1150" s="3" t="s">
        <v>1514</v>
      </c>
      <c r="P1150" s="3" t="s">
        <v>1515</v>
      </c>
      <c r="Q1150" s="30" t="str">
        <f t="shared" si="17"/>
        <v>MAX : 2.320
TARGET : 2.300
MIN : 2.280</v>
      </c>
    </row>
    <row r="1151" spans="2:18" ht="41.4" x14ac:dyDescent="0.3">
      <c r="B1151">
        <v>0</v>
      </c>
      <c r="C1151" s="33">
        <v>6511</v>
      </c>
      <c r="D1151" s="2">
        <v>1024</v>
      </c>
      <c r="E1151" s="2" t="s">
        <v>8230</v>
      </c>
      <c r="F1151" s="3" t="s">
        <v>14206</v>
      </c>
      <c r="H1151" s="3" t="s">
        <v>504</v>
      </c>
      <c r="K1151" s="2">
        <v>10</v>
      </c>
      <c r="L1151" s="2">
        <v>3</v>
      </c>
      <c r="M1151" s="3" t="s">
        <v>1776</v>
      </c>
      <c r="N1151" s="3" t="s">
        <v>13</v>
      </c>
      <c r="O1151" s="3" t="s">
        <v>14</v>
      </c>
      <c r="Q1151" s="30" t="str">
        <f t="shared" si="17"/>
        <v>MAX : 
TARGET : Yes(Pass)
MIN : No(Fail)</v>
      </c>
    </row>
    <row r="1152" spans="2:18" ht="41.4" x14ac:dyDescent="0.3">
      <c r="B1152">
        <v>1</v>
      </c>
      <c r="C1152" s="33">
        <v>6180</v>
      </c>
      <c r="D1152" s="2">
        <v>1005</v>
      </c>
      <c r="E1152" s="2" t="s">
        <v>7891</v>
      </c>
      <c r="F1152" s="3" t="s">
        <v>14206</v>
      </c>
      <c r="H1152" s="3" t="s">
        <v>73</v>
      </c>
      <c r="K1152" s="2">
        <v>20</v>
      </c>
      <c r="L1152" s="2">
        <v>2</v>
      </c>
      <c r="M1152" s="3" t="s">
        <v>198</v>
      </c>
      <c r="N1152" s="3" t="s">
        <v>1532</v>
      </c>
      <c r="O1152" s="3" t="s">
        <v>200</v>
      </c>
      <c r="P1152" s="3" t="s">
        <v>1533</v>
      </c>
      <c r="Q1152" s="30" t="str">
        <f t="shared" si="17"/>
        <v>MAX : 5.56
TARGET : 5.50
MIN : 5.44</v>
      </c>
    </row>
    <row r="1153" spans="2:17" ht="41.4" x14ac:dyDescent="0.3">
      <c r="B1153">
        <v>1</v>
      </c>
      <c r="C1153" s="33">
        <v>6180</v>
      </c>
      <c r="D1153" s="2">
        <v>1005</v>
      </c>
      <c r="E1153" s="2" t="s">
        <v>7891</v>
      </c>
      <c r="F1153" s="3" t="s">
        <v>14206</v>
      </c>
      <c r="H1153" s="3" t="s">
        <v>73</v>
      </c>
      <c r="K1153" s="2">
        <v>20</v>
      </c>
      <c r="L1153" s="2">
        <v>1</v>
      </c>
      <c r="M1153" s="3" t="s">
        <v>194</v>
      </c>
      <c r="N1153" s="3" t="s">
        <v>979</v>
      </c>
      <c r="O1153" s="3" t="s">
        <v>309</v>
      </c>
      <c r="P1153" s="3" t="s">
        <v>1531</v>
      </c>
      <c r="Q1153" s="30" t="str">
        <f t="shared" si="17"/>
        <v>MAX : 0.56
TARGET : 0.50
MIN : 0.44</v>
      </c>
    </row>
    <row r="1154" spans="2:17" ht="41.4" x14ac:dyDescent="0.3">
      <c r="B1154">
        <v>0</v>
      </c>
      <c r="C1154" s="33">
        <v>6512</v>
      </c>
      <c r="D1154" s="2">
        <v>1822</v>
      </c>
      <c r="E1154" s="2" t="s">
        <v>8236</v>
      </c>
      <c r="F1154" s="3" t="s">
        <v>14206</v>
      </c>
      <c r="H1154" s="3" t="s">
        <v>1270</v>
      </c>
      <c r="K1154" s="2">
        <v>10</v>
      </c>
      <c r="L1154" s="2">
        <v>3</v>
      </c>
      <c r="M1154" s="3" t="s">
        <v>265</v>
      </c>
      <c r="N1154" s="3" t="s">
        <v>13</v>
      </c>
      <c r="O1154" s="3" t="s">
        <v>14</v>
      </c>
      <c r="Q1154" s="30" t="str">
        <f t="shared" ref="Q1154:Q1217" si="18">"MAX : " &amp; P1154 &amp; CHAR(10) &amp; "TARGET : " &amp; O1154 &amp; CHAR(10) &amp; "MIN : " &amp; N1154</f>
        <v>MAX : 
TARGET : Yes(Pass)
MIN : No(Fail)</v>
      </c>
    </row>
    <row r="1155" spans="2:17" ht="41.4" x14ac:dyDescent="0.3">
      <c r="B1155">
        <v>0</v>
      </c>
      <c r="C1155" s="33">
        <v>6512</v>
      </c>
      <c r="D1155" s="2">
        <v>1822</v>
      </c>
      <c r="E1155" s="2" t="s">
        <v>8236</v>
      </c>
      <c r="F1155" s="3" t="s">
        <v>14206</v>
      </c>
      <c r="H1155" s="3" t="s">
        <v>1270</v>
      </c>
      <c r="K1155" s="2">
        <v>10</v>
      </c>
      <c r="L1155" s="2">
        <v>4</v>
      </c>
      <c r="M1155" s="3" t="s">
        <v>1271</v>
      </c>
      <c r="N1155" s="3" t="s">
        <v>13</v>
      </c>
      <c r="O1155" s="3" t="s">
        <v>14</v>
      </c>
      <c r="Q1155" s="30" t="str">
        <f t="shared" si="18"/>
        <v>MAX : 
TARGET : Yes(Pass)
MIN : No(Fail)</v>
      </c>
    </row>
    <row r="1156" spans="2:17" ht="41.4" x14ac:dyDescent="0.3">
      <c r="B1156">
        <v>0</v>
      </c>
      <c r="C1156" s="33">
        <v>6512</v>
      </c>
      <c r="D1156" s="2">
        <v>1822</v>
      </c>
      <c r="E1156" s="2" t="s">
        <v>8236</v>
      </c>
      <c r="F1156" s="3" t="s">
        <v>14206</v>
      </c>
      <c r="H1156" s="3" t="s">
        <v>1270</v>
      </c>
      <c r="K1156" s="2">
        <v>10</v>
      </c>
      <c r="L1156" s="2">
        <v>5</v>
      </c>
      <c r="M1156" s="3" t="s">
        <v>318</v>
      </c>
      <c r="N1156" s="3" t="s">
        <v>13</v>
      </c>
      <c r="O1156" s="3" t="s">
        <v>14</v>
      </c>
      <c r="Q1156" s="30" t="str">
        <f t="shared" si="18"/>
        <v>MAX : 
TARGET : Yes(Pass)
MIN : No(Fail)</v>
      </c>
    </row>
    <row r="1157" spans="2:17" ht="41.4" x14ac:dyDescent="0.3">
      <c r="B1157">
        <v>1</v>
      </c>
      <c r="C1157" s="33">
        <v>6199</v>
      </c>
      <c r="D1157" s="2">
        <v>1006</v>
      </c>
      <c r="E1157" s="2" t="s">
        <v>7898</v>
      </c>
      <c r="F1157" s="3" t="s">
        <v>14207</v>
      </c>
      <c r="H1157" s="3" t="s">
        <v>426</v>
      </c>
      <c r="K1157" s="2">
        <v>20</v>
      </c>
      <c r="L1157" s="2">
        <v>2</v>
      </c>
      <c r="M1157" s="3" t="s">
        <v>198</v>
      </c>
      <c r="N1157" s="3" t="s">
        <v>1542</v>
      </c>
      <c r="O1157" s="3" t="s">
        <v>1543</v>
      </c>
      <c r="P1157" s="3" t="s">
        <v>1544</v>
      </c>
      <c r="Q1157" s="30" t="str">
        <f t="shared" si="18"/>
        <v>MAX : 13.58
TARGET : 13.20
MIN : 12.82</v>
      </c>
    </row>
    <row r="1158" spans="2:17" ht="41.4" x14ac:dyDescent="0.3">
      <c r="B1158">
        <v>1</v>
      </c>
      <c r="C1158" s="33">
        <v>6199</v>
      </c>
      <c r="D1158" s="2">
        <v>1006</v>
      </c>
      <c r="E1158" s="2" t="s">
        <v>7898</v>
      </c>
      <c r="F1158" s="3" t="s">
        <v>14207</v>
      </c>
      <c r="H1158" s="3" t="s">
        <v>426</v>
      </c>
      <c r="K1158" s="2">
        <v>20</v>
      </c>
      <c r="L1158" s="2">
        <v>1</v>
      </c>
      <c r="M1158" s="3" t="s">
        <v>194</v>
      </c>
      <c r="N1158" s="3" t="s">
        <v>1539</v>
      </c>
      <c r="O1158" s="3" t="s">
        <v>1540</v>
      </c>
      <c r="P1158" s="3" t="s">
        <v>1541</v>
      </c>
      <c r="Q1158" s="30" t="str">
        <f t="shared" si="18"/>
        <v>MAX : 6.28
TARGET : 5.90
MIN : 5.52</v>
      </c>
    </row>
    <row r="1159" spans="2:17" ht="41.4" x14ac:dyDescent="0.3">
      <c r="B1159">
        <v>0</v>
      </c>
      <c r="C1159" s="33">
        <v>6513</v>
      </c>
      <c r="D1159" s="2">
        <v>1823</v>
      </c>
      <c r="E1159" s="2" t="s">
        <v>8241</v>
      </c>
      <c r="F1159" s="3" t="s">
        <v>14206</v>
      </c>
      <c r="H1159" s="3" t="s">
        <v>1270</v>
      </c>
      <c r="K1159" s="2">
        <v>10</v>
      </c>
      <c r="L1159" s="2">
        <v>3</v>
      </c>
      <c r="M1159" s="3" t="s">
        <v>265</v>
      </c>
      <c r="N1159" s="3" t="s">
        <v>13</v>
      </c>
      <c r="O1159" s="3" t="s">
        <v>14</v>
      </c>
      <c r="Q1159" s="30" t="str">
        <f t="shared" si="18"/>
        <v>MAX : 
TARGET : Yes(Pass)
MIN : No(Fail)</v>
      </c>
    </row>
    <row r="1160" spans="2:17" ht="41.4" x14ac:dyDescent="0.3">
      <c r="B1160">
        <v>0</v>
      </c>
      <c r="C1160" s="33">
        <v>6513</v>
      </c>
      <c r="D1160" s="2">
        <v>1823</v>
      </c>
      <c r="E1160" s="2" t="s">
        <v>8241</v>
      </c>
      <c r="F1160" s="3" t="s">
        <v>14206</v>
      </c>
      <c r="H1160" s="3" t="s">
        <v>1270</v>
      </c>
      <c r="K1160" s="2">
        <v>10</v>
      </c>
      <c r="L1160" s="2">
        <v>4</v>
      </c>
      <c r="M1160" s="3" t="s">
        <v>1272</v>
      </c>
      <c r="N1160" s="3" t="s">
        <v>13</v>
      </c>
      <c r="O1160" s="3" t="s">
        <v>14</v>
      </c>
      <c r="Q1160" s="30" t="str">
        <f t="shared" si="18"/>
        <v>MAX : 
TARGET : Yes(Pass)
MIN : No(Fail)</v>
      </c>
    </row>
    <row r="1161" spans="2:17" ht="41.4" x14ac:dyDescent="0.3">
      <c r="B1161">
        <v>0</v>
      </c>
      <c r="C1161" s="33">
        <v>6513</v>
      </c>
      <c r="D1161" s="2">
        <v>1823</v>
      </c>
      <c r="E1161" s="2" t="s">
        <v>8241</v>
      </c>
      <c r="F1161" s="3" t="s">
        <v>14206</v>
      </c>
      <c r="H1161" s="3" t="s">
        <v>1270</v>
      </c>
      <c r="K1161" s="2">
        <v>10</v>
      </c>
      <c r="L1161" s="2">
        <v>5</v>
      </c>
      <c r="M1161" s="3" t="s">
        <v>318</v>
      </c>
      <c r="N1161" s="3" t="s">
        <v>13</v>
      </c>
      <c r="O1161" s="3" t="s">
        <v>14</v>
      </c>
      <c r="Q1161" s="30" t="str">
        <f t="shared" si="18"/>
        <v>MAX : 
TARGET : Yes(Pass)
MIN : No(Fail)</v>
      </c>
    </row>
    <row r="1162" spans="2:17" ht="41.4" x14ac:dyDescent="0.3">
      <c r="B1162">
        <v>1</v>
      </c>
      <c r="C1162" s="33">
        <v>6219</v>
      </c>
      <c r="D1162" s="2">
        <v>1790</v>
      </c>
      <c r="E1162" s="2" t="s">
        <v>7905</v>
      </c>
      <c r="F1162" s="3" t="s">
        <v>14218</v>
      </c>
      <c r="H1162" s="3" t="s">
        <v>289</v>
      </c>
      <c r="K1162" s="2">
        <v>10</v>
      </c>
      <c r="L1162" s="2">
        <v>2</v>
      </c>
      <c r="M1162" s="3" t="s">
        <v>1549</v>
      </c>
      <c r="N1162" s="3" t="s">
        <v>13</v>
      </c>
      <c r="O1162" s="3" t="s">
        <v>14</v>
      </c>
      <c r="Q1162" s="30" t="str">
        <f t="shared" si="18"/>
        <v>MAX : 
TARGET : Yes(Pass)
MIN : No(Fail)</v>
      </c>
    </row>
    <row r="1163" spans="2:17" ht="41.4" x14ac:dyDescent="0.3">
      <c r="B1163">
        <v>1</v>
      </c>
      <c r="C1163" s="33">
        <v>6219</v>
      </c>
      <c r="D1163" s="2">
        <v>1790</v>
      </c>
      <c r="E1163" s="2" t="s">
        <v>7905</v>
      </c>
      <c r="F1163" s="3" t="s">
        <v>14218</v>
      </c>
      <c r="H1163" s="3" t="s">
        <v>289</v>
      </c>
      <c r="K1163" s="2">
        <v>10</v>
      </c>
      <c r="L1163" s="2">
        <v>1</v>
      </c>
      <c r="M1163" s="3" t="s">
        <v>99</v>
      </c>
      <c r="N1163" s="3" t="s">
        <v>1546</v>
      </c>
      <c r="O1163" s="3" t="s">
        <v>1547</v>
      </c>
      <c r="P1163" s="3" t="s">
        <v>1548</v>
      </c>
      <c r="Q1163" s="30" t="str">
        <f t="shared" si="18"/>
        <v>MAX : 67.0
TARGET : 66.5
MIN : 66.0</v>
      </c>
    </row>
    <row r="1164" spans="2:17" ht="41.4" x14ac:dyDescent="0.3">
      <c r="B1164">
        <v>0</v>
      </c>
      <c r="C1164" s="33">
        <v>6518</v>
      </c>
      <c r="D1164" s="2">
        <v>1824</v>
      </c>
      <c r="E1164" s="2" t="s">
        <v>8247</v>
      </c>
      <c r="F1164" s="3" t="s">
        <v>14206</v>
      </c>
      <c r="H1164" s="3" t="s">
        <v>656</v>
      </c>
      <c r="K1164" s="2">
        <v>20</v>
      </c>
      <c r="L1164" s="2">
        <v>3</v>
      </c>
      <c r="M1164" s="3" t="s">
        <v>1779</v>
      </c>
      <c r="N1164" s="3" t="s">
        <v>1780</v>
      </c>
      <c r="O1164" s="3" t="s">
        <v>241</v>
      </c>
      <c r="P1164" s="3" t="s">
        <v>1746</v>
      </c>
      <c r="Q1164" s="30" t="str">
        <f t="shared" si="18"/>
        <v>MAX : 0.145
TARGET : 0.125
MIN : 0.105</v>
      </c>
    </row>
    <row r="1165" spans="2:17" ht="41.4" x14ac:dyDescent="0.3">
      <c r="B1165">
        <v>0</v>
      </c>
      <c r="C1165" s="33">
        <v>6518</v>
      </c>
      <c r="D1165" s="2">
        <v>1824</v>
      </c>
      <c r="E1165" s="2" t="s">
        <v>8247</v>
      </c>
      <c r="F1165" s="3" t="s">
        <v>14206</v>
      </c>
      <c r="H1165" s="3" t="s">
        <v>656</v>
      </c>
      <c r="K1165" s="2">
        <v>20</v>
      </c>
      <c r="L1165" s="2">
        <v>4</v>
      </c>
      <c r="M1165" s="3" t="s">
        <v>174</v>
      </c>
      <c r="N1165" s="3" t="s">
        <v>308</v>
      </c>
      <c r="O1165" s="3" t="s">
        <v>309</v>
      </c>
      <c r="P1165" s="3" t="s">
        <v>310</v>
      </c>
      <c r="Q1165" s="30" t="str">
        <f t="shared" si="18"/>
        <v>MAX : 0.53
TARGET : 0.50
MIN : 0.47</v>
      </c>
    </row>
    <row r="1166" spans="2:17" ht="41.4" x14ac:dyDescent="0.3">
      <c r="B1166">
        <v>1</v>
      </c>
      <c r="C1166" s="33">
        <v>6219</v>
      </c>
      <c r="D1166" s="2">
        <v>1790</v>
      </c>
      <c r="E1166" s="2" t="s">
        <v>7905</v>
      </c>
      <c r="F1166" s="3" t="s">
        <v>14218</v>
      </c>
      <c r="H1166" s="3" t="s">
        <v>289</v>
      </c>
      <c r="K1166" s="2">
        <v>10</v>
      </c>
      <c r="L1166" s="2">
        <v>5</v>
      </c>
      <c r="M1166" s="3" t="s">
        <v>1718</v>
      </c>
      <c r="N1166" s="3" t="s">
        <v>13</v>
      </c>
      <c r="O1166" s="3" t="s">
        <v>14</v>
      </c>
      <c r="Q1166" s="30" t="str">
        <f t="shared" si="18"/>
        <v>MAX : 
TARGET : Yes(Pass)
MIN : No(Fail)</v>
      </c>
    </row>
    <row r="1167" spans="2:17" ht="41.4" x14ac:dyDescent="0.3">
      <c r="B1167">
        <v>1</v>
      </c>
      <c r="C1167" s="33">
        <v>6224</v>
      </c>
      <c r="D1167" s="2">
        <v>1007</v>
      </c>
      <c r="E1167" s="2" t="s">
        <v>7912</v>
      </c>
      <c r="F1167" s="3" t="s">
        <v>14207</v>
      </c>
      <c r="H1167" s="3" t="s">
        <v>727</v>
      </c>
      <c r="K1167" s="2">
        <v>10</v>
      </c>
      <c r="L1167" s="2">
        <v>2</v>
      </c>
      <c r="M1167" s="3" t="s">
        <v>1555</v>
      </c>
      <c r="N1167" s="3" t="s">
        <v>1556</v>
      </c>
      <c r="O1167" s="3" t="s">
        <v>300</v>
      </c>
      <c r="P1167" s="3" t="s">
        <v>1557</v>
      </c>
      <c r="Q1167" s="30" t="str">
        <f t="shared" si="18"/>
        <v>MAX : 36
TARGET : 35
MIN : 34</v>
      </c>
    </row>
    <row r="1168" spans="2:17" ht="41.4" x14ac:dyDescent="0.3">
      <c r="B1168">
        <v>0</v>
      </c>
      <c r="C1168" s="33">
        <v>6521</v>
      </c>
      <c r="D1168" s="2">
        <v>1825</v>
      </c>
      <c r="E1168" s="2" t="s">
        <v>8253</v>
      </c>
      <c r="F1168" s="3" t="s">
        <v>14206</v>
      </c>
      <c r="H1168" s="3" t="s">
        <v>289</v>
      </c>
      <c r="K1168" s="2">
        <v>20</v>
      </c>
      <c r="L1168" s="2">
        <v>3</v>
      </c>
      <c r="M1168" s="3" t="s">
        <v>78</v>
      </c>
      <c r="N1168" s="3" t="s">
        <v>13</v>
      </c>
      <c r="O1168" s="3" t="s">
        <v>14</v>
      </c>
      <c r="Q1168" s="30" t="str">
        <f t="shared" si="18"/>
        <v>MAX : 
TARGET : Yes(Pass)
MIN : No(Fail)</v>
      </c>
    </row>
    <row r="1169" spans="2:18" ht="41.4" x14ac:dyDescent="0.3">
      <c r="B1169">
        <v>1</v>
      </c>
      <c r="C1169" s="33">
        <v>6224</v>
      </c>
      <c r="D1169" s="2">
        <v>1007</v>
      </c>
      <c r="E1169" s="2" t="s">
        <v>7912</v>
      </c>
      <c r="F1169" s="3" t="s">
        <v>14207</v>
      </c>
      <c r="H1169" s="3" t="s">
        <v>727</v>
      </c>
      <c r="K1169" s="2">
        <v>10</v>
      </c>
      <c r="L1169" s="2">
        <v>1</v>
      </c>
      <c r="M1169" s="3" t="s">
        <v>198</v>
      </c>
      <c r="N1169" s="3" t="s">
        <v>1552</v>
      </c>
      <c r="O1169" s="3" t="s">
        <v>1553</v>
      </c>
      <c r="P1169" s="3" t="s">
        <v>1554</v>
      </c>
      <c r="Q1169" s="30" t="str">
        <f t="shared" si="18"/>
        <v>MAX : 74.5
TARGET : 73.0
MIN : 71.5</v>
      </c>
    </row>
    <row r="1170" spans="2:18" ht="41.4" x14ac:dyDescent="0.3">
      <c r="B1170">
        <v>1</v>
      </c>
      <c r="C1170" s="33">
        <v>6224</v>
      </c>
      <c r="D1170" s="2">
        <v>1007</v>
      </c>
      <c r="E1170" s="2" t="s">
        <v>7912</v>
      </c>
      <c r="F1170" s="3" t="s">
        <v>14207</v>
      </c>
      <c r="H1170" s="3" t="s">
        <v>727</v>
      </c>
      <c r="K1170" s="2">
        <v>10</v>
      </c>
      <c r="L1170" s="2">
        <v>6</v>
      </c>
      <c r="M1170" s="3" t="s">
        <v>1719</v>
      </c>
      <c r="N1170" s="3" t="s">
        <v>13</v>
      </c>
      <c r="O1170" s="3" t="s">
        <v>14</v>
      </c>
      <c r="Q1170" s="30" t="str">
        <f t="shared" si="18"/>
        <v>MAX : 
TARGET : Yes(Pass)
MIN : No(Fail)</v>
      </c>
    </row>
    <row r="1171" spans="2:18" ht="41.4" x14ac:dyDescent="0.3">
      <c r="B1171">
        <v>0</v>
      </c>
      <c r="C1171" s="33">
        <v>6524</v>
      </c>
      <c r="D1171" s="2">
        <v>1025</v>
      </c>
      <c r="E1171" s="2" t="s">
        <v>8261</v>
      </c>
      <c r="F1171" s="3" t="s">
        <v>14206</v>
      </c>
      <c r="H1171" s="3" t="s">
        <v>1328</v>
      </c>
      <c r="K1171" s="2">
        <v>10</v>
      </c>
      <c r="L1171" s="2">
        <v>3</v>
      </c>
      <c r="M1171" s="3" t="s">
        <v>1795</v>
      </c>
      <c r="N1171" s="3" t="s">
        <v>1796</v>
      </c>
      <c r="O1171" s="3" t="s">
        <v>292</v>
      </c>
      <c r="P1171" s="3" t="s">
        <v>733</v>
      </c>
      <c r="Q1171" s="30" t="str">
        <f t="shared" si="18"/>
        <v>MAX : 4.80
TARGET : 4.75
MIN : 4.70</v>
      </c>
    </row>
    <row r="1172" spans="2:18" ht="41.4" x14ac:dyDescent="0.3">
      <c r="B1172">
        <v>0</v>
      </c>
      <c r="C1172" s="33">
        <v>6524</v>
      </c>
      <c r="D1172" s="2">
        <v>1025</v>
      </c>
      <c r="E1172" s="2" t="s">
        <v>8261</v>
      </c>
      <c r="F1172" s="3" t="s">
        <v>14206</v>
      </c>
      <c r="H1172" s="3" t="s">
        <v>1328</v>
      </c>
      <c r="K1172" s="2">
        <v>10</v>
      </c>
      <c r="L1172" s="2">
        <v>4</v>
      </c>
      <c r="M1172" s="3" t="s">
        <v>1655</v>
      </c>
      <c r="N1172" s="3" t="s">
        <v>1797</v>
      </c>
      <c r="O1172" s="3" t="s">
        <v>1798</v>
      </c>
      <c r="P1172" s="3" t="s">
        <v>628</v>
      </c>
      <c r="Q1172" s="30" t="str">
        <f t="shared" si="18"/>
        <v>MAX : 1.93
TARGET : 1.88
MIN : 1.83</v>
      </c>
    </row>
    <row r="1173" spans="2:18" ht="41.4" x14ac:dyDescent="0.3">
      <c r="B1173">
        <v>0</v>
      </c>
      <c r="C1173" s="33">
        <v>6524</v>
      </c>
      <c r="D1173" s="2">
        <v>1025</v>
      </c>
      <c r="E1173" s="2" t="s">
        <v>8261</v>
      </c>
      <c r="F1173" s="3" t="s">
        <v>14206</v>
      </c>
      <c r="H1173" s="3" t="s">
        <v>1328</v>
      </c>
      <c r="K1173" s="2">
        <v>10</v>
      </c>
      <c r="L1173" s="2">
        <v>5</v>
      </c>
      <c r="M1173" s="3" t="s">
        <v>1799</v>
      </c>
      <c r="N1173" s="3" t="s">
        <v>1800</v>
      </c>
      <c r="O1173" s="3" t="s">
        <v>900</v>
      </c>
      <c r="P1173" s="3" t="s">
        <v>1801</v>
      </c>
      <c r="Q1173" s="30" t="str">
        <f t="shared" si="18"/>
        <v>MAX : 1.49
TARGET : 1.44
MIN : 1.39</v>
      </c>
    </row>
    <row r="1174" spans="2:18" ht="41.4" x14ac:dyDescent="0.3">
      <c r="B1174">
        <v>0</v>
      </c>
      <c r="C1174" s="33">
        <v>6524</v>
      </c>
      <c r="D1174" s="2">
        <v>1025</v>
      </c>
      <c r="E1174" s="2" t="s">
        <v>8261</v>
      </c>
      <c r="F1174" s="3" t="s">
        <v>14206</v>
      </c>
      <c r="H1174" s="3" t="s">
        <v>1328</v>
      </c>
      <c r="K1174" s="2">
        <v>10</v>
      </c>
      <c r="L1174" s="2">
        <v>6</v>
      </c>
      <c r="M1174" s="3" t="s">
        <v>1802</v>
      </c>
      <c r="N1174" s="3" t="s">
        <v>419</v>
      </c>
      <c r="O1174" s="3" t="s">
        <v>631</v>
      </c>
      <c r="P1174" s="3" t="s">
        <v>1803</v>
      </c>
      <c r="Q1174" s="30" t="str">
        <f t="shared" si="18"/>
        <v>MAX : 1.38
TARGET : 1.33
MIN : 1.28</v>
      </c>
    </row>
    <row r="1175" spans="2:18" ht="41.4" x14ac:dyDescent="0.3">
      <c r="B1175">
        <v>0</v>
      </c>
      <c r="C1175" s="33">
        <v>6524</v>
      </c>
      <c r="D1175" s="2">
        <v>1025</v>
      </c>
      <c r="E1175" s="2" t="s">
        <v>8261</v>
      </c>
      <c r="F1175" s="3" t="s">
        <v>14206</v>
      </c>
      <c r="H1175" s="3" t="s">
        <v>1328</v>
      </c>
      <c r="K1175" s="2">
        <v>10</v>
      </c>
      <c r="L1175" s="2">
        <v>7</v>
      </c>
      <c r="M1175" s="3" t="s">
        <v>1676</v>
      </c>
      <c r="N1175" s="3" t="s">
        <v>13</v>
      </c>
      <c r="O1175" s="3" t="s">
        <v>14</v>
      </c>
      <c r="Q1175" s="30" t="str">
        <f t="shared" si="18"/>
        <v>MAX : 
TARGET : Yes(Pass)
MIN : No(Fail)</v>
      </c>
    </row>
    <row r="1176" spans="2:18" ht="41.4" x14ac:dyDescent="0.3">
      <c r="B1176">
        <v>1</v>
      </c>
      <c r="C1176" s="33">
        <v>6240</v>
      </c>
      <c r="D1176" s="2">
        <v>1008</v>
      </c>
      <c r="E1176" s="2" t="s">
        <v>7918</v>
      </c>
      <c r="F1176" s="3" t="s">
        <v>14220</v>
      </c>
      <c r="H1176" s="3" t="s">
        <v>426</v>
      </c>
      <c r="K1176" s="2">
        <v>10</v>
      </c>
      <c r="L1176" s="2">
        <v>2</v>
      </c>
      <c r="M1176" s="3" t="s">
        <v>681</v>
      </c>
      <c r="N1176" s="3" t="s">
        <v>1577</v>
      </c>
      <c r="O1176" s="3" t="s">
        <v>1578</v>
      </c>
      <c r="P1176" s="3" t="s">
        <v>1579</v>
      </c>
      <c r="Q1176" s="30" t="str">
        <f t="shared" si="18"/>
        <v>MAX : 0.115(2.921)
TARGET : 0.105(2.667)
MIN : 0.095(2.413)</v>
      </c>
      <c r="R1176" s="3" t="s">
        <v>1473</v>
      </c>
    </row>
    <row r="1177" spans="2:18" ht="41.4" x14ac:dyDescent="0.3">
      <c r="B1177">
        <v>1</v>
      </c>
      <c r="C1177" s="33">
        <v>6240</v>
      </c>
      <c r="D1177" s="2">
        <v>1008</v>
      </c>
      <c r="E1177" s="2" t="s">
        <v>7918</v>
      </c>
      <c r="F1177" s="3" t="s">
        <v>14220</v>
      </c>
      <c r="H1177" s="3" t="s">
        <v>426</v>
      </c>
      <c r="K1177" s="2">
        <v>10</v>
      </c>
      <c r="L1177" s="2">
        <v>1</v>
      </c>
      <c r="M1177" s="3" t="s">
        <v>1576</v>
      </c>
      <c r="N1177" s="3" t="s">
        <v>1577</v>
      </c>
      <c r="O1177" s="3" t="s">
        <v>1578</v>
      </c>
      <c r="P1177" s="3" t="s">
        <v>1579</v>
      </c>
      <c r="Q1177" s="30" t="str">
        <f t="shared" si="18"/>
        <v>MAX : 0.115(2.921)
TARGET : 0.105(2.667)
MIN : 0.095(2.413)</v>
      </c>
      <c r="R1177" s="3" t="s">
        <v>1473</v>
      </c>
    </row>
    <row r="1178" spans="2:18" ht="41.4" x14ac:dyDescent="0.3">
      <c r="B1178">
        <v>0</v>
      </c>
      <c r="C1178" s="33">
        <v>6525</v>
      </c>
      <c r="D1178" s="2">
        <v>1026</v>
      </c>
      <c r="E1178" s="2" t="s">
        <v>8268</v>
      </c>
      <c r="F1178" s="3" t="s">
        <v>14206</v>
      </c>
      <c r="H1178" s="3" t="s">
        <v>1328</v>
      </c>
      <c r="K1178" s="2">
        <v>10</v>
      </c>
      <c r="L1178" s="2">
        <v>3</v>
      </c>
      <c r="M1178" s="3" t="s">
        <v>1668</v>
      </c>
      <c r="N1178" s="3" t="s">
        <v>1809</v>
      </c>
      <c r="O1178" s="3" t="s">
        <v>1810</v>
      </c>
      <c r="P1178" s="3" t="s">
        <v>1811</v>
      </c>
      <c r="Q1178" s="30" t="str">
        <f t="shared" si="18"/>
        <v>MAX : 2.270
TARGET : 2.250
MIN : 2.230</v>
      </c>
    </row>
    <row r="1179" spans="2:18" ht="41.4" x14ac:dyDescent="0.3">
      <c r="B1179">
        <v>0</v>
      </c>
      <c r="C1179" s="33">
        <v>6525</v>
      </c>
      <c r="D1179" s="2">
        <v>1026</v>
      </c>
      <c r="E1179" s="2" t="s">
        <v>8268</v>
      </c>
      <c r="F1179" s="3" t="s">
        <v>14206</v>
      </c>
      <c r="H1179" s="3" t="s">
        <v>1328</v>
      </c>
      <c r="K1179" s="2">
        <v>10</v>
      </c>
      <c r="L1179" s="2">
        <v>4</v>
      </c>
      <c r="M1179" s="3" t="s">
        <v>1655</v>
      </c>
      <c r="N1179" s="3" t="s">
        <v>1812</v>
      </c>
      <c r="O1179" s="3" t="s">
        <v>340</v>
      </c>
      <c r="P1179" s="3" t="s">
        <v>1813</v>
      </c>
      <c r="Q1179" s="30" t="str">
        <f t="shared" si="18"/>
        <v>MAX : 3.55
TARGET : 3.50
MIN : 3.45</v>
      </c>
    </row>
    <row r="1180" spans="2:18" ht="41.4" x14ac:dyDescent="0.3">
      <c r="B1180">
        <v>0</v>
      </c>
      <c r="C1180" s="33">
        <v>6525</v>
      </c>
      <c r="D1180" s="2">
        <v>1026</v>
      </c>
      <c r="E1180" s="2" t="s">
        <v>8268</v>
      </c>
      <c r="F1180" s="3" t="s">
        <v>14206</v>
      </c>
      <c r="H1180" s="3" t="s">
        <v>1328</v>
      </c>
      <c r="K1180" s="2">
        <v>10</v>
      </c>
      <c r="L1180" s="2">
        <v>5</v>
      </c>
      <c r="M1180" s="3" t="s">
        <v>1673</v>
      </c>
      <c r="N1180" s="3" t="s">
        <v>1701</v>
      </c>
      <c r="O1180" s="3" t="s">
        <v>1814</v>
      </c>
      <c r="P1180" s="3" t="s">
        <v>1815</v>
      </c>
      <c r="Q1180" s="30" t="str">
        <f t="shared" si="18"/>
        <v>MAX : 0.68
TARGET : 0.63
MIN : 0.58</v>
      </c>
    </row>
    <row r="1181" spans="2:18" ht="41.4" x14ac:dyDescent="0.3">
      <c r="B1181">
        <v>0</v>
      </c>
      <c r="C1181" s="33">
        <v>6525</v>
      </c>
      <c r="D1181" s="2">
        <v>1026</v>
      </c>
      <c r="E1181" s="2" t="s">
        <v>8268</v>
      </c>
      <c r="F1181" s="3" t="s">
        <v>14206</v>
      </c>
      <c r="H1181" s="3" t="s">
        <v>1328</v>
      </c>
      <c r="K1181" s="2">
        <v>10</v>
      </c>
      <c r="L1181" s="2">
        <v>6</v>
      </c>
      <c r="M1181" s="3" t="s">
        <v>1673</v>
      </c>
      <c r="N1181" s="3" t="s">
        <v>1621</v>
      </c>
      <c r="O1181" s="3" t="s">
        <v>272</v>
      </c>
      <c r="P1181" s="3" t="s">
        <v>1622</v>
      </c>
      <c r="Q1181" s="30" t="str">
        <f t="shared" si="18"/>
        <v>MAX : 1.05
TARGET : 1.00
MIN : 0.95</v>
      </c>
    </row>
    <row r="1182" spans="2:18" ht="41.4" x14ac:dyDescent="0.3">
      <c r="B1182">
        <v>0</v>
      </c>
      <c r="C1182" s="33">
        <v>6525</v>
      </c>
      <c r="D1182" s="2">
        <v>1026</v>
      </c>
      <c r="E1182" s="2" t="s">
        <v>8268</v>
      </c>
      <c r="F1182" s="3" t="s">
        <v>14206</v>
      </c>
      <c r="H1182" s="3" t="s">
        <v>1328</v>
      </c>
      <c r="K1182" s="2">
        <v>10</v>
      </c>
      <c r="L1182" s="2">
        <v>7</v>
      </c>
      <c r="M1182" s="3" t="s">
        <v>1676</v>
      </c>
      <c r="N1182" s="3" t="s">
        <v>13</v>
      </c>
      <c r="O1182" s="3" t="s">
        <v>14</v>
      </c>
      <c r="Q1182" s="30" t="str">
        <f t="shared" si="18"/>
        <v>MAX : 
TARGET : Yes(Pass)
MIN : No(Fail)</v>
      </c>
    </row>
    <row r="1183" spans="2:18" ht="41.4" x14ac:dyDescent="0.3">
      <c r="B1183">
        <v>1</v>
      </c>
      <c r="C1183" s="33">
        <v>6241</v>
      </c>
      <c r="D1183" s="2">
        <v>1009</v>
      </c>
      <c r="E1183" s="2" t="s">
        <v>7926</v>
      </c>
      <c r="F1183" s="3" t="s">
        <v>14206</v>
      </c>
      <c r="H1183" s="3" t="s">
        <v>986</v>
      </c>
      <c r="K1183" s="2">
        <v>20</v>
      </c>
      <c r="L1183" s="2">
        <v>2</v>
      </c>
      <c r="M1183" s="3" t="s">
        <v>1566</v>
      </c>
      <c r="N1183" s="3" t="s">
        <v>1567</v>
      </c>
      <c r="O1183" s="3" t="s">
        <v>857</v>
      </c>
      <c r="P1183" s="3" t="s">
        <v>1568</v>
      </c>
      <c r="Q1183" s="30" t="str">
        <f t="shared" si="18"/>
        <v>MAX : 16.13
TARGET : 16.00
MIN : 15.87</v>
      </c>
    </row>
    <row r="1184" spans="2:18" ht="41.4" x14ac:dyDescent="0.3">
      <c r="B1184">
        <v>1</v>
      </c>
      <c r="C1184" s="33">
        <v>6241</v>
      </c>
      <c r="D1184" s="2">
        <v>1009</v>
      </c>
      <c r="E1184" s="2" t="s">
        <v>7926</v>
      </c>
      <c r="F1184" s="3" t="s">
        <v>14206</v>
      </c>
      <c r="H1184" s="3" t="s">
        <v>986</v>
      </c>
      <c r="K1184" s="2">
        <v>20</v>
      </c>
      <c r="L1184" s="2">
        <v>1</v>
      </c>
      <c r="M1184" s="3" t="s">
        <v>174</v>
      </c>
      <c r="N1184" s="3" t="s">
        <v>1564</v>
      </c>
      <c r="O1184" s="3" t="s">
        <v>149</v>
      </c>
      <c r="P1184" s="3" t="s">
        <v>1565</v>
      </c>
      <c r="Q1184" s="30" t="str">
        <f t="shared" si="18"/>
        <v>MAX : 12.13
TARGET : 12.00
MIN : 11.87</v>
      </c>
    </row>
    <row r="1185" spans="2:18" ht="41.4" x14ac:dyDescent="0.3">
      <c r="B1185">
        <v>0</v>
      </c>
      <c r="C1185" s="33">
        <v>6526</v>
      </c>
      <c r="D1185" s="2">
        <v>1027</v>
      </c>
      <c r="E1185" s="2" t="s">
        <v>8274</v>
      </c>
      <c r="F1185" s="3" t="s">
        <v>14206</v>
      </c>
      <c r="H1185" s="3" t="s">
        <v>1328</v>
      </c>
      <c r="K1185" t="s">
        <v>6295</v>
      </c>
      <c r="L1185" s="2">
        <v>3</v>
      </c>
      <c r="M1185" s="3" t="s">
        <v>1668</v>
      </c>
      <c r="N1185" s="3" t="s">
        <v>1819</v>
      </c>
      <c r="O1185" s="3" t="s">
        <v>1820</v>
      </c>
      <c r="P1185" s="3" t="s">
        <v>1821</v>
      </c>
      <c r="Q1185" s="30" t="str">
        <f t="shared" si="18"/>
        <v>MAX : 3.020
TARGET : 3.000
MIN : 2.980</v>
      </c>
    </row>
    <row r="1186" spans="2:18" ht="41.4" x14ac:dyDescent="0.3">
      <c r="B1186">
        <v>0</v>
      </c>
      <c r="C1186" s="33">
        <v>6526</v>
      </c>
      <c r="D1186" s="2">
        <v>1027</v>
      </c>
      <c r="E1186" s="2" t="s">
        <v>8274</v>
      </c>
      <c r="F1186" s="3" t="s">
        <v>14206</v>
      </c>
      <c r="H1186" s="3" t="s">
        <v>1328</v>
      </c>
      <c r="K1186" t="s">
        <v>6295</v>
      </c>
      <c r="L1186" s="2">
        <v>4</v>
      </c>
      <c r="M1186" s="3" t="s">
        <v>1655</v>
      </c>
      <c r="N1186" s="3" t="s">
        <v>1796</v>
      </c>
      <c r="O1186" s="3" t="s">
        <v>292</v>
      </c>
      <c r="P1186" s="3" t="s">
        <v>733</v>
      </c>
      <c r="Q1186" s="30" t="str">
        <f t="shared" si="18"/>
        <v>MAX : 4.80
TARGET : 4.75
MIN : 4.70</v>
      </c>
    </row>
    <row r="1187" spans="2:18" ht="41.4" x14ac:dyDescent="0.3">
      <c r="B1187">
        <v>0</v>
      </c>
      <c r="C1187" s="33">
        <v>6526</v>
      </c>
      <c r="D1187" s="2">
        <v>1027</v>
      </c>
      <c r="E1187" s="2" t="s">
        <v>8274</v>
      </c>
      <c r="F1187" s="3" t="s">
        <v>14206</v>
      </c>
      <c r="H1187" s="3" t="s">
        <v>1328</v>
      </c>
      <c r="K1187" t="s">
        <v>6295</v>
      </c>
      <c r="L1187" s="2">
        <v>5</v>
      </c>
      <c r="M1187" s="3" t="s">
        <v>1795</v>
      </c>
      <c r="N1187" s="3" t="s">
        <v>1822</v>
      </c>
      <c r="O1187" s="3" t="s">
        <v>1823</v>
      </c>
      <c r="P1187" s="3" t="s">
        <v>1824</v>
      </c>
      <c r="Q1187" s="30" t="str">
        <f t="shared" si="18"/>
        <v>MAX : 10.30
TARGET : 10.24
MIN : 10.18</v>
      </c>
    </row>
    <row r="1188" spans="2:18" ht="41.4" x14ac:dyDescent="0.3">
      <c r="B1188">
        <v>0</v>
      </c>
      <c r="C1188" s="33">
        <v>6526</v>
      </c>
      <c r="D1188" s="2">
        <v>1027</v>
      </c>
      <c r="E1188" s="2" t="s">
        <v>8274</v>
      </c>
      <c r="F1188" s="3" t="s">
        <v>14206</v>
      </c>
      <c r="H1188" s="3" t="s">
        <v>1328</v>
      </c>
      <c r="K1188" t="s">
        <v>6295</v>
      </c>
      <c r="L1188" s="2">
        <v>6</v>
      </c>
      <c r="M1188" s="3" t="s">
        <v>1673</v>
      </c>
      <c r="N1188" s="3" t="s">
        <v>773</v>
      </c>
      <c r="O1188" s="3" t="s">
        <v>344</v>
      </c>
      <c r="P1188" s="3" t="s">
        <v>630</v>
      </c>
      <c r="Q1188" s="30" t="str">
        <f t="shared" si="18"/>
        <v>MAX : 1.30
TARGET : 1.25
MIN : 1.20</v>
      </c>
    </row>
    <row r="1189" spans="2:18" ht="41.4" x14ac:dyDescent="0.3">
      <c r="B1189">
        <v>0</v>
      </c>
      <c r="C1189" s="33">
        <v>6526</v>
      </c>
      <c r="D1189" s="2">
        <v>1027</v>
      </c>
      <c r="E1189" s="2" t="s">
        <v>8274</v>
      </c>
      <c r="F1189" s="3" t="s">
        <v>14206</v>
      </c>
      <c r="H1189" s="3" t="s">
        <v>1328</v>
      </c>
      <c r="K1189" t="s">
        <v>6295</v>
      </c>
      <c r="L1189" s="2">
        <v>7</v>
      </c>
      <c r="M1189" s="3" t="s">
        <v>1673</v>
      </c>
      <c r="N1189" s="3" t="s">
        <v>1716</v>
      </c>
      <c r="O1189" s="3" t="s">
        <v>271</v>
      </c>
      <c r="P1189" s="3" t="s">
        <v>887</v>
      </c>
      <c r="Q1189" s="30" t="str">
        <f t="shared" si="18"/>
        <v>MAX : 0.93
TARGET : 0.88
MIN : 0.83</v>
      </c>
    </row>
    <row r="1190" spans="2:18" ht="41.4" x14ac:dyDescent="0.3">
      <c r="B1190">
        <v>1</v>
      </c>
      <c r="C1190" s="33">
        <v>6244</v>
      </c>
      <c r="D1190" s="2">
        <v>1791</v>
      </c>
      <c r="E1190" s="2" t="s">
        <v>7933</v>
      </c>
      <c r="F1190" s="3" t="s">
        <v>14206</v>
      </c>
      <c r="H1190" s="3" t="s">
        <v>168</v>
      </c>
      <c r="K1190" s="2">
        <v>10</v>
      </c>
      <c r="L1190" s="2">
        <v>2</v>
      </c>
      <c r="M1190" s="3" t="s">
        <v>1573</v>
      </c>
      <c r="N1190" s="3" t="s">
        <v>13</v>
      </c>
      <c r="O1190" s="3" t="s">
        <v>14</v>
      </c>
      <c r="Q1190" s="30" t="str">
        <f t="shared" si="18"/>
        <v>MAX : 
TARGET : Yes(Pass)
MIN : No(Fail)</v>
      </c>
    </row>
    <row r="1191" spans="2:18" ht="41.4" x14ac:dyDescent="0.3">
      <c r="B1191">
        <v>1</v>
      </c>
      <c r="C1191" s="33">
        <v>6244</v>
      </c>
      <c r="D1191" s="2">
        <v>1791</v>
      </c>
      <c r="E1191" s="2" t="s">
        <v>7933</v>
      </c>
      <c r="F1191" s="3" t="s">
        <v>14206</v>
      </c>
      <c r="H1191" s="3" t="s">
        <v>168</v>
      </c>
      <c r="K1191" s="2">
        <v>10</v>
      </c>
      <c r="L1191" s="2">
        <v>1</v>
      </c>
      <c r="M1191" s="3" t="s">
        <v>99</v>
      </c>
      <c r="N1191" s="3" t="s">
        <v>1571</v>
      </c>
      <c r="O1191" s="3" t="s">
        <v>241</v>
      </c>
      <c r="P1191" s="3" t="s">
        <v>1572</v>
      </c>
      <c r="Q1191" s="30" t="str">
        <f t="shared" si="18"/>
        <v>MAX : 0.141
TARGET : 0.125
MIN : 0.109</v>
      </c>
    </row>
    <row r="1192" spans="2:18" ht="41.4" x14ac:dyDescent="0.3">
      <c r="B1192">
        <v>1</v>
      </c>
      <c r="C1192" s="33">
        <v>6244</v>
      </c>
      <c r="D1192" s="2">
        <v>1791</v>
      </c>
      <c r="E1192" s="2" t="s">
        <v>7933</v>
      </c>
      <c r="F1192" s="3" t="s">
        <v>14206</v>
      </c>
      <c r="H1192" s="3" t="s">
        <v>168</v>
      </c>
      <c r="K1192" s="2">
        <v>10</v>
      </c>
      <c r="L1192" s="2">
        <v>3</v>
      </c>
      <c r="M1192" s="3" t="s">
        <v>1720</v>
      </c>
      <c r="N1192" s="3" t="s">
        <v>13</v>
      </c>
      <c r="O1192" s="3" t="s">
        <v>14</v>
      </c>
      <c r="Q1192" s="30" t="str">
        <f t="shared" si="18"/>
        <v>MAX : 
TARGET : Yes(Pass)
MIN : No(Fail)</v>
      </c>
    </row>
    <row r="1193" spans="2:18" ht="41.4" x14ac:dyDescent="0.3">
      <c r="B1193">
        <v>1</v>
      </c>
      <c r="C1193" s="33">
        <v>6247</v>
      </c>
      <c r="D1193" s="2">
        <v>1792</v>
      </c>
      <c r="E1193" s="2" t="s">
        <v>7941</v>
      </c>
      <c r="F1193" s="3" t="s">
        <v>14219</v>
      </c>
      <c r="H1193" s="3" t="s">
        <v>568</v>
      </c>
      <c r="K1193" s="2">
        <v>10</v>
      </c>
      <c r="L1193" s="2">
        <v>2</v>
      </c>
      <c r="M1193" s="3" t="s">
        <v>1575</v>
      </c>
      <c r="N1193" s="3" t="s">
        <v>13</v>
      </c>
      <c r="O1193" s="3" t="s">
        <v>14</v>
      </c>
      <c r="Q1193" s="30" t="str">
        <f t="shared" si="18"/>
        <v>MAX : 
TARGET : Yes(Pass)
MIN : No(Fail)</v>
      </c>
    </row>
    <row r="1194" spans="2:18" ht="41.4" x14ac:dyDescent="0.3">
      <c r="B1194">
        <v>0</v>
      </c>
      <c r="C1194" s="33">
        <v>6531</v>
      </c>
      <c r="D1194" s="2">
        <v>1028</v>
      </c>
      <c r="E1194" s="2" t="s">
        <v>8280</v>
      </c>
      <c r="F1194" s="3" t="s">
        <v>14206</v>
      </c>
      <c r="H1194" s="3" t="s">
        <v>1828</v>
      </c>
      <c r="K1194" s="2">
        <v>10</v>
      </c>
      <c r="L1194" s="2">
        <v>3</v>
      </c>
      <c r="M1194" s="3" t="s">
        <v>1835</v>
      </c>
      <c r="N1194" s="3" t="s">
        <v>13</v>
      </c>
      <c r="O1194" s="3" t="s">
        <v>14</v>
      </c>
      <c r="Q1194" s="30" t="str">
        <f t="shared" si="18"/>
        <v>MAX : 
TARGET : Yes(Pass)
MIN : No(Fail)</v>
      </c>
    </row>
    <row r="1195" spans="2:18" ht="41.4" x14ac:dyDescent="0.3">
      <c r="B1195">
        <v>0</v>
      </c>
      <c r="C1195" s="33">
        <v>6531</v>
      </c>
      <c r="D1195" s="2">
        <v>1028</v>
      </c>
      <c r="E1195" s="2" t="s">
        <v>8280</v>
      </c>
      <c r="F1195" s="3" t="s">
        <v>14206</v>
      </c>
      <c r="H1195" s="3" t="s">
        <v>1828</v>
      </c>
      <c r="K1195" s="2">
        <v>10</v>
      </c>
      <c r="L1195" s="2">
        <v>4</v>
      </c>
      <c r="M1195" s="3" t="s">
        <v>1836</v>
      </c>
      <c r="N1195" s="3" t="s">
        <v>13</v>
      </c>
      <c r="O1195" s="3" t="s">
        <v>14</v>
      </c>
      <c r="Q1195" s="30" t="str">
        <f t="shared" si="18"/>
        <v>MAX : 
TARGET : Yes(Pass)
MIN : No(Fail)</v>
      </c>
    </row>
    <row r="1196" spans="2:18" ht="41.4" x14ac:dyDescent="0.3">
      <c r="B1196">
        <v>1</v>
      </c>
      <c r="C1196" s="33">
        <v>6247</v>
      </c>
      <c r="D1196" s="2">
        <v>1792</v>
      </c>
      <c r="E1196" s="2" t="s">
        <v>7941</v>
      </c>
      <c r="F1196" s="3" t="s">
        <v>14219</v>
      </c>
      <c r="H1196" s="3" t="s">
        <v>568</v>
      </c>
      <c r="K1196" s="2">
        <v>10</v>
      </c>
      <c r="L1196" s="2">
        <v>1</v>
      </c>
      <c r="M1196" s="3" t="s">
        <v>1574</v>
      </c>
      <c r="N1196" s="3" t="s">
        <v>863</v>
      </c>
      <c r="O1196" s="3" t="s">
        <v>8</v>
      </c>
      <c r="P1196" s="3" t="s">
        <v>865</v>
      </c>
      <c r="Q1196" s="30" t="str">
        <f t="shared" si="18"/>
        <v>MAX : +0.03
TARGET : Target
MIN : -0.03</v>
      </c>
    </row>
    <row r="1197" spans="2:18" ht="41.4" x14ac:dyDescent="0.3">
      <c r="B1197">
        <v>1</v>
      </c>
      <c r="C1197" s="33">
        <v>6258</v>
      </c>
      <c r="D1197" s="2">
        <v>1010</v>
      </c>
      <c r="E1197" s="2" t="s">
        <v>7949</v>
      </c>
      <c r="F1197" s="3" t="s">
        <v>14206</v>
      </c>
      <c r="H1197" s="3" t="s">
        <v>747</v>
      </c>
      <c r="K1197" s="2">
        <v>10</v>
      </c>
      <c r="L1197" s="2">
        <v>2</v>
      </c>
      <c r="M1197" s="3" t="s">
        <v>194</v>
      </c>
      <c r="N1197" s="3" t="s">
        <v>216</v>
      </c>
      <c r="O1197" s="3" t="s">
        <v>241</v>
      </c>
      <c r="P1197" s="3" t="s">
        <v>1601</v>
      </c>
      <c r="Q1197" s="30" t="str">
        <f t="shared" si="18"/>
        <v>MAX : 0.130
TARGET : 0.125
MIN : 0.120</v>
      </c>
    </row>
    <row r="1198" spans="2:18" ht="41.4" x14ac:dyDescent="0.3">
      <c r="B1198">
        <v>1</v>
      </c>
      <c r="C1198" s="33">
        <v>6258</v>
      </c>
      <c r="D1198" s="2">
        <v>1010</v>
      </c>
      <c r="E1198" s="2" t="s">
        <v>7949</v>
      </c>
      <c r="F1198" s="3" t="s">
        <v>14206</v>
      </c>
      <c r="H1198" s="3" t="s">
        <v>747</v>
      </c>
      <c r="K1198" s="2">
        <v>10</v>
      </c>
      <c r="L1198" s="2">
        <v>1</v>
      </c>
      <c r="M1198" s="3" t="s">
        <v>198</v>
      </c>
      <c r="N1198" s="3" t="s">
        <v>970</v>
      </c>
      <c r="O1198" s="3" t="s">
        <v>1599</v>
      </c>
      <c r="P1198" s="3" t="s">
        <v>1600</v>
      </c>
      <c r="Q1198" s="30" t="str">
        <f t="shared" si="18"/>
        <v>MAX : 2.200
TARGET : 2.185
MIN : 2.170</v>
      </c>
    </row>
    <row r="1199" spans="2:18" ht="41.4" x14ac:dyDescent="0.3">
      <c r="B1199">
        <v>1</v>
      </c>
      <c r="C1199" s="33">
        <v>6273</v>
      </c>
      <c r="D1199" s="2">
        <v>1793</v>
      </c>
      <c r="E1199" s="2" t="s">
        <v>7956</v>
      </c>
      <c r="F1199" s="3" t="s">
        <v>14206</v>
      </c>
      <c r="H1199" s="3" t="s">
        <v>269</v>
      </c>
      <c r="K1199" s="2">
        <v>10</v>
      </c>
      <c r="L1199" s="2">
        <v>2</v>
      </c>
      <c r="M1199" s="3" t="s">
        <v>194</v>
      </c>
      <c r="N1199" s="3" t="s">
        <v>131</v>
      </c>
      <c r="O1199" s="3" t="s">
        <v>132</v>
      </c>
      <c r="P1199" s="3" t="s">
        <v>133</v>
      </c>
      <c r="Q1199" s="30" t="str">
        <f t="shared" si="18"/>
        <v>MAX : 0.78
TARGET : 0.75
MIN : 0.72</v>
      </c>
    </row>
    <row r="1200" spans="2:18" ht="41.4" x14ac:dyDescent="0.3">
      <c r="B1200">
        <v>0</v>
      </c>
      <c r="C1200" s="33">
        <v>6551</v>
      </c>
      <c r="D1200" s="2">
        <v>1029</v>
      </c>
      <c r="E1200" s="2" t="s">
        <v>8293</v>
      </c>
      <c r="F1200" s="3" t="s">
        <v>14206</v>
      </c>
      <c r="H1200" s="3" t="s">
        <v>713</v>
      </c>
      <c r="K1200" s="2">
        <v>20</v>
      </c>
      <c r="L1200" s="2">
        <v>3</v>
      </c>
      <c r="M1200" s="3" t="s">
        <v>198</v>
      </c>
      <c r="N1200" s="3" t="s">
        <v>814</v>
      </c>
      <c r="O1200" s="3" t="s">
        <v>815</v>
      </c>
      <c r="P1200" s="3" t="s">
        <v>816</v>
      </c>
      <c r="Q1200" s="30" t="str">
        <f t="shared" si="18"/>
        <v>MAX : 3.03
TARGET : 3.00
MIN : 2.97</v>
      </c>
      <c r="R1200" s="3" t="s">
        <v>1638</v>
      </c>
    </row>
    <row r="1201" spans="2:18" ht="41.4" x14ac:dyDescent="0.3">
      <c r="B1201">
        <v>0</v>
      </c>
      <c r="C1201" s="33">
        <v>6551</v>
      </c>
      <c r="D1201" s="2">
        <v>1029</v>
      </c>
      <c r="E1201" s="2" t="s">
        <v>8293</v>
      </c>
      <c r="F1201" s="3" t="s">
        <v>14206</v>
      </c>
      <c r="H1201" s="3" t="s">
        <v>713</v>
      </c>
      <c r="K1201" s="2">
        <v>20</v>
      </c>
      <c r="L1201" s="2">
        <v>4</v>
      </c>
      <c r="M1201" s="3" t="s">
        <v>1839</v>
      </c>
      <c r="N1201" s="3" t="s">
        <v>1840</v>
      </c>
      <c r="O1201" s="3" t="s">
        <v>271</v>
      </c>
      <c r="P1201" s="3" t="s">
        <v>485</v>
      </c>
      <c r="Q1201" s="30" t="str">
        <f t="shared" si="18"/>
        <v>MAX : 0.94
TARGET : 0.88
MIN : 0.82</v>
      </c>
      <c r="R1201" s="3" t="s">
        <v>1638</v>
      </c>
    </row>
    <row r="1202" spans="2:18" ht="41.4" x14ac:dyDescent="0.3">
      <c r="B1202">
        <v>0</v>
      </c>
      <c r="C1202" s="33">
        <v>6551</v>
      </c>
      <c r="D1202" s="2">
        <v>1029</v>
      </c>
      <c r="E1202" s="2" t="s">
        <v>8293</v>
      </c>
      <c r="F1202" s="3" t="s">
        <v>14206</v>
      </c>
      <c r="H1202" s="3" t="s">
        <v>713</v>
      </c>
      <c r="K1202" s="2">
        <v>20</v>
      </c>
      <c r="L1202" s="2">
        <v>5</v>
      </c>
      <c r="M1202" s="3" t="s">
        <v>415</v>
      </c>
      <c r="N1202" s="3" t="s">
        <v>979</v>
      </c>
      <c r="O1202" s="3" t="s">
        <v>309</v>
      </c>
      <c r="P1202" s="3" t="s">
        <v>1531</v>
      </c>
      <c r="Q1202" s="30" t="str">
        <f t="shared" si="18"/>
        <v>MAX : 0.56
TARGET : 0.50
MIN : 0.44</v>
      </c>
      <c r="R1202" s="3" t="s">
        <v>1638</v>
      </c>
    </row>
    <row r="1203" spans="2:18" ht="41.4" x14ac:dyDescent="0.3">
      <c r="B1203">
        <v>0</v>
      </c>
      <c r="C1203" s="33">
        <v>6551</v>
      </c>
      <c r="D1203" s="2">
        <v>1029</v>
      </c>
      <c r="E1203" s="2" t="s">
        <v>8293</v>
      </c>
      <c r="F1203" s="3" t="s">
        <v>14206</v>
      </c>
      <c r="H1203" s="3" t="s">
        <v>713</v>
      </c>
      <c r="K1203" s="2">
        <v>20</v>
      </c>
      <c r="L1203" s="2">
        <v>6</v>
      </c>
      <c r="M1203" s="3" t="s">
        <v>1450</v>
      </c>
      <c r="N1203" s="3" t="s">
        <v>13</v>
      </c>
      <c r="O1203" s="3" t="s">
        <v>14</v>
      </c>
      <c r="Q1203" s="30" t="str">
        <f t="shared" si="18"/>
        <v>MAX : 
TARGET : Yes(Pass)
MIN : No(Fail)</v>
      </c>
      <c r="R1203" s="3" t="s">
        <v>1638</v>
      </c>
    </row>
    <row r="1204" spans="2:18" ht="41.4" x14ac:dyDescent="0.3">
      <c r="B1204">
        <v>0</v>
      </c>
      <c r="C1204" s="33">
        <v>6551</v>
      </c>
      <c r="D1204" s="2">
        <v>1029</v>
      </c>
      <c r="E1204" s="2" t="s">
        <v>8293</v>
      </c>
      <c r="F1204" s="3" t="s">
        <v>14206</v>
      </c>
      <c r="H1204" s="3" t="s">
        <v>713</v>
      </c>
      <c r="K1204" s="2">
        <v>20</v>
      </c>
      <c r="L1204" s="2">
        <v>7</v>
      </c>
      <c r="M1204" s="3" t="s">
        <v>134</v>
      </c>
      <c r="N1204" s="3" t="s">
        <v>13</v>
      </c>
      <c r="O1204" s="3" t="s">
        <v>14</v>
      </c>
      <c r="Q1204" s="30" t="str">
        <f t="shared" si="18"/>
        <v>MAX : 
TARGET : Yes(Pass)
MIN : No(Fail)</v>
      </c>
      <c r="R1204" s="3" t="s">
        <v>1638</v>
      </c>
    </row>
    <row r="1205" spans="2:18" ht="41.4" x14ac:dyDescent="0.3">
      <c r="B1205">
        <v>1</v>
      </c>
      <c r="C1205" s="33">
        <v>6273</v>
      </c>
      <c r="D1205" s="2">
        <v>1793</v>
      </c>
      <c r="E1205" s="2" t="s">
        <v>7956</v>
      </c>
      <c r="F1205" s="3" t="s">
        <v>14206</v>
      </c>
      <c r="H1205" s="3" t="s">
        <v>269</v>
      </c>
      <c r="K1205" s="2">
        <v>10</v>
      </c>
      <c r="L1205" s="2">
        <v>1</v>
      </c>
      <c r="M1205" s="3" t="s">
        <v>198</v>
      </c>
      <c r="N1205" s="3" t="s">
        <v>131</v>
      </c>
      <c r="O1205" s="3" t="s">
        <v>132</v>
      </c>
      <c r="P1205" s="3" t="s">
        <v>133</v>
      </c>
      <c r="Q1205" s="30" t="str">
        <f t="shared" si="18"/>
        <v>MAX : 0.78
TARGET : 0.75
MIN : 0.72</v>
      </c>
    </row>
    <row r="1206" spans="2:18" ht="41.4" x14ac:dyDescent="0.3">
      <c r="B1206">
        <v>1</v>
      </c>
      <c r="C1206" s="33">
        <v>6275</v>
      </c>
      <c r="D1206" s="2">
        <v>1794</v>
      </c>
      <c r="E1206" s="2" t="s">
        <v>7962</v>
      </c>
      <c r="F1206" s="3" t="s">
        <v>14206</v>
      </c>
      <c r="H1206" s="3" t="s">
        <v>1608</v>
      </c>
      <c r="K1206" s="2">
        <v>10</v>
      </c>
      <c r="L1206" s="2">
        <v>2</v>
      </c>
      <c r="M1206" s="3" t="s">
        <v>1609</v>
      </c>
      <c r="N1206" s="3" t="s">
        <v>13</v>
      </c>
      <c r="O1206" s="3" t="s">
        <v>14</v>
      </c>
      <c r="Q1206" s="30" t="str">
        <f t="shared" si="18"/>
        <v>MAX : 
TARGET : Yes(Pass)
MIN : No(Fail)</v>
      </c>
    </row>
    <row r="1207" spans="2:18" ht="41.4" x14ac:dyDescent="0.3">
      <c r="B1207">
        <v>1</v>
      </c>
      <c r="C1207" s="33">
        <v>6275</v>
      </c>
      <c r="D1207" s="2">
        <v>1794</v>
      </c>
      <c r="E1207" s="2" t="s">
        <v>7962</v>
      </c>
      <c r="F1207" s="3" t="s">
        <v>14206</v>
      </c>
      <c r="H1207" s="3" t="s">
        <v>1608</v>
      </c>
      <c r="K1207" s="2">
        <v>10</v>
      </c>
      <c r="L1207" s="2">
        <v>1</v>
      </c>
      <c r="M1207" s="3" t="s">
        <v>99</v>
      </c>
      <c r="N1207" s="3" t="s">
        <v>308</v>
      </c>
      <c r="O1207" s="3" t="s">
        <v>309</v>
      </c>
      <c r="P1207" s="3" t="s">
        <v>310</v>
      </c>
      <c r="Q1207" s="30" t="str">
        <f t="shared" si="18"/>
        <v>MAX : 0.53
TARGET : 0.50
MIN : 0.47</v>
      </c>
    </row>
    <row r="1208" spans="2:18" ht="41.4" x14ac:dyDescent="0.3">
      <c r="B1208">
        <v>1</v>
      </c>
      <c r="C1208" s="33">
        <v>6275</v>
      </c>
      <c r="D1208" s="2">
        <v>1794</v>
      </c>
      <c r="E1208" s="2" t="s">
        <v>7962</v>
      </c>
      <c r="F1208" s="3" t="s">
        <v>14206</v>
      </c>
      <c r="H1208" s="3" t="s">
        <v>1608</v>
      </c>
      <c r="K1208" s="2">
        <v>20</v>
      </c>
      <c r="L1208" s="2">
        <v>1</v>
      </c>
      <c r="M1208" s="3" t="s">
        <v>1720</v>
      </c>
      <c r="N1208" s="3" t="s">
        <v>13</v>
      </c>
      <c r="O1208" s="3" t="s">
        <v>14</v>
      </c>
      <c r="Q1208" s="30" t="str">
        <f t="shared" si="18"/>
        <v>MAX : 
TARGET : Yes(Pass)
MIN : No(Fail)</v>
      </c>
    </row>
    <row r="1209" spans="2:18" ht="41.4" x14ac:dyDescent="0.3">
      <c r="B1209">
        <v>1</v>
      </c>
      <c r="C1209" s="33">
        <v>6279</v>
      </c>
      <c r="D1209" s="2">
        <v>1795</v>
      </c>
      <c r="E1209" s="2" t="s">
        <v>7969</v>
      </c>
      <c r="F1209" s="3" t="s">
        <v>14206</v>
      </c>
      <c r="H1209" s="3" t="s">
        <v>11</v>
      </c>
      <c r="K1209" s="2">
        <v>10</v>
      </c>
      <c r="L1209" s="2">
        <v>2</v>
      </c>
      <c r="M1209" s="3" t="s">
        <v>1613</v>
      </c>
      <c r="N1209" s="3" t="s">
        <v>13</v>
      </c>
      <c r="O1209" s="3" t="s">
        <v>14</v>
      </c>
      <c r="Q1209" s="30" t="str">
        <f t="shared" si="18"/>
        <v>MAX : 
TARGET : Yes(Pass)
MIN : No(Fail)</v>
      </c>
      <c r="R1209" s="3" t="s">
        <v>1512</v>
      </c>
    </row>
    <row r="1210" spans="2:18" ht="41.4" x14ac:dyDescent="0.3">
      <c r="B1210">
        <v>1</v>
      </c>
      <c r="C1210" s="33">
        <v>6279</v>
      </c>
      <c r="D1210" s="2">
        <v>1795</v>
      </c>
      <c r="E1210" s="2" t="s">
        <v>7969</v>
      </c>
      <c r="F1210" s="3" t="s">
        <v>14206</v>
      </c>
      <c r="H1210" s="3" t="s">
        <v>11</v>
      </c>
      <c r="K1210" s="2">
        <v>10</v>
      </c>
      <c r="L1210" s="2">
        <v>1</v>
      </c>
      <c r="M1210" s="3" t="s">
        <v>1610</v>
      </c>
      <c r="N1210" s="3" t="s">
        <v>1611</v>
      </c>
      <c r="O1210" s="3" t="s">
        <v>8</v>
      </c>
      <c r="P1210" s="3" t="s">
        <v>1612</v>
      </c>
      <c r="Q1210" s="30" t="str">
        <f t="shared" si="18"/>
        <v>MAX : +0.015
TARGET : Target
MIN : -0.015</v>
      </c>
      <c r="R1210" s="3" t="s">
        <v>1512</v>
      </c>
    </row>
    <row r="1211" spans="2:18" ht="41.4" x14ac:dyDescent="0.3">
      <c r="B1211">
        <v>1</v>
      </c>
      <c r="C1211" s="33">
        <v>6279</v>
      </c>
      <c r="D1211" s="2">
        <v>1795</v>
      </c>
      <c r="E1211" s="2" t="s">
        <v>7969</v>
      </c>
      <c r="F1211" s="3" t="s">
        <v>14206</v>
      </c>
      <c r="H1211" s="3" t="s">
        <v>11</v>
      </c>
      <c r="K1211" s="2">
        <v>10</v>
      </c>
      <c r="L1211" s="2">
        <v>3</v>
      </c>
      <c r="M1211" s="3" t="s">
        <v>1720</v>
      </c>
      <c r="N1211" s="3" t="s">
        <v>13</v>
      </c>
      <c r="O1211" s="3" t="s">
        <v>14</v>
      </c>
      <c r="Q1211" s="30" t="str">
        <f t="shared" si="18"/>
        <v>MAX : 
TARGET : Yes(Pass)
MIN : No(Fail)</v>
      </c>
      <c r="R1211" s="3" t="s">
        <v>1512</v>
      </c>
    </row>
    <row r="1212" spans="2:18" ht="41.4" x14ac:dyDescent="0.3">
      <c r="B1212">
        <v>1</v>
      </c>
      <c r="C1212" s="33">
        <v>6280</v>
      </c>
      <c r="D1212" s="2">
        <v>1011</v>
      </c>
      <c r="E1212" s="2" t="s">
        <v>7976</v>
      </c>
      <c r="F1212" s="3" t="s">
        <v>14206</v>
      </c>
      <c r="H1212" s="3" t="s">
        <v>1614</v>
      </c>
      <c r="K1212" s="2">
        <v>10</v>
      </c>
      <c r="L1212" s="2">
        <v>2</v>
      </c>
      <c r="M1212" s="3" t="s">
        <v>194</v>
      </c>
      <c r="N1212" s="3" t="s">
        <v>687</v>
      </c>
      <c r="O1212" s="3" t="s">
        <v>771</v>
      </c>
      <c r="P1212" s="3" t="s">
        <v>688</v>
      </c>
      <c r="Q1212" s="30" t="str">
        <f t="shared" si="18"/>
        <v>MAX : 1.175
TARGET : 1.16
MIN : 1.145</v>
      </c>
    </row>
    <row r="1213" spans="2:18" ht="41.4" x14ac:dyDescent="0.3">
      <c r="B1213">
        <v>0</v>
      </c>
      <c r="C1213" s="33">
        <v>6575</v>
      </c>
      <c r="D1213" s="2">
        <v>1828</v>
      </c>
      <c r="E1213" s="2" t="s">
        <v>8312</v>
      </c>
      <c r="F1213" s="3" t="s">
        <v>14206</v>
      </c>
      <c r="H1213" s="3" t="s">
        <v>1270</v>
      </c>
      <c r="K1213" s="2">
        <v>10</v>
      </c>
      <c r="L1213" s="2">
        <v>3</v>
      </c>
      <c r="M1213" s="3" t="s">
        <v>265</v>
      </c>
      <c r="N1213" s="3" t="s">
        <v>13</v>
      </c>
      <c r="O1213" s="3" t="s">
        <v>14</v>
      </c>
      <c r="Q1213" s="30" t="str">
        <f t="shared" si="18"/>
        <v>MAX : 
TARGET : Yes(Pass)
MIN : No(Fail)</v>
      </c>
    </row>
    <row r="1214" spans="2:18" ht="41.4" x14ac:dyDescent="0.3">
      <c r="B1214">
        <v>0</v>
      </c>
      <c r="C1214" s="33">
        <v>6575</v>
      </c>
      <c r="D1214" s="2">
        <v>1828</v>
      </c>
      <c r="E1214" s="2" t="s">
        <v>8312</v>
      </c>
      <c r="F1214" s="3" t="s">
        <v>14206</v>
      </c>
      <c r="H1214" s="3" t="s">
        <v>1270</v>
      </c>
      <c r="K1214" s="2">
        <v>10</v>
      </c>
      <c r="L1214" s="2">
        <v>4</v>
      </c>
      <c r="M1214" s="3" t="s">
        <v>1272</v>
      </c>
      <c r="N1214" s="3" t="s">
        <v>13</v>
      </c>
      <c r="O1214" s="3" t="s">
        <v>14</v>
      </c>
      <c r="Q1214" s="30" t="str">
        <f t="shared" si="18"/>
        <v>MAX : 
TARGET : Yes(Pass)
MIN : No(Fail)</v>
      </c>
    </row>
    <row r="1215" spans="2:18" ht="41.4" x14ac:dyDescent="0.3">
      <c r="B1215">
        <v>0</v>
      </c>
      <c r="C1215" s="33">
        <v>6575</v>
      </c>
      <c r="D1215" s="2">
        <v>1828</v>
      </c>
      <c r="E1215" s="2" t="s">
        <v>8312</v>
      </c>
      <c r="F1215" s="3" t="s">
        <v>14206</v>
      </c>
      <c r="H1215" s="3" t="s">
        <v>1270</v>
      </c>
      <c r="K1215" s="2">
        <v>10</v>
      </c>
      <c r="L1215" s="2">
        <v>5</v>
      </c>
      <c r="M1215" s="3" t="s">
        <v>318</v>
      </c>
      <c r="N1215" s="3" t="s">
        <v>13</v>
      </c>
      <c r="O1215" s="3" t="s">
        <v>14</v>
      </c>
      <c r="Q1215" s="30" t="str">
        <f t="shared" si="18"/>
        <v>MAX : 
TARGET : Yes(Pass)
MIN : No(Fail)</v>
      </c>
    </row>
    <row r="1216" spans="2:18" ht="41.4" x14ac:dyDescent="0.3">
      <c r="B1216">
        <v>1</v>
      </c>
      <c r="C1216" s="33">
        <v>6280</v>
      </c>
      <c r="D1216" s="2">
        <v>1011</v>
      </c>
      <c r="E1216" s="2" t="s">
        <v>7976</v>
      </c>
      <c r="F1216" s="3" t="s">
        <v>14206</v>
      </c>
      <c r="H1216" s="3" t="s">
        <v>1614</v>
      </c>
      <c r="K1216" s="2">
        <v>10</v>
      </c>
      <c r="L1216" s="2">
        <v>1</v>
      </c>
      <c r="M1216" s="3" t="s">
        <v>198</v>
      </c>
      <c r="N1216" s="3" t="s">
        <v>1615</v>
      </c>
      <c r="O1216" s="3" t="s">
        <v>1616</v>
      </c>
      <c r="P1216" s="3" t="s">
        <v>1617</v>
      </c>
      <c r="Q1216" s="30" t="str">
        <f t="shared" si="18"/>
        <v>MAX : 0.915
TARGET : 0.90
MIN : 0.885</v>
      </c>
    </row>
    <row r="1217" spans="2:18" ht="41.4" x14ac:dyDescent="0.3">
      <c r="B1217">
        <v>1</v>
      </c>
      <c r="C1217" s="33">
        <v>6288</v>
      </c>
      <c r="D1217" s="2">
        <v>1012</v>
      </c>
      <c r="E1217" s="2" t="s">
        <v>7983</v>
      </c>
      <c r="F1217" s="3" t="s">
        <v>14206</v>
      </c>
      <c r="H1217" s="3" t="s">
        <v>1332</v>
      </c>
      <c r="K1217" s="2">
        <v>10</v>
      </c>
      <c r="L1217" s="2">
        <v>3</v>
      </c>
      <c r="M1217" s="3" t="s">
        <v>99</v>
      </c>
      <c r="N1217" s="3" t="s">
        <v>1629</v>
      </c>
      <c r="O1217" s="3" t="s">
        <v>150</v>
      </c>
      <c r="P1217" s="3" t="s">
        <v>1630</v>
      </c>
      <c r="Q1217" s="30" t="str">
        <f t="shared" si="18"/>
        <v>MAX : 12.31
TARGET : 12.25
MIN : 12.19</v>
      </c>
    </row>
    <row r="1218" spans="2:18" ht="41.4" x14ac:dyDescent="0.3">
      <c r="B1218">
        <v>0</v>
      </c>
      <c r="C1218" s="33">
        <v>6581</v>
      </c>
      <c r="D1218" s="2">
        <v>1829</v>
      </c>
      <c r="E1218" s="2" t="s">
        <v>8317</v>
      </c>
      <c r="F1218" s="3" t="s">
        <v>14206</v>
      </c>
      <c r="H1218" s="3" t="s">
        <v>1270</v>
      </c>
      <c r="K1218" s="2">
        <v>10</v>
      </c>
      <c r="L1218" s="2">
        <v>3</v>
      </c>
      <c r="M1218" s="3" t="s">
        <v>265</v>
      </c>
      <c r="N1218" s="3" t="s">
        <v>13</v>
      </c>
      <c r="O1218" s="3" t="s">
        <v>14</v>
      </c>
      <c r="Q1218" s="30" t="str">
        <f t="shared" ref="Q1218:Q1281" si="19">"MAX : " &amp; P1218 &amp; CHAR(10) &amp; "TARGET : " &amp; O1218 &amp; CHAR(10) &amp; "MIN : " &amp; N1218</f>
        <v>MAX : 
TARGET : Yes(Pass)
MIN : No(Fail)</v>
      </c>
    </row>
    <row r="1219" spans="2:18" ht="41.4" x14ac:dyDescent="0.3">
      <c r="B1219">
        <v>0</v>
      </c>
      <c r="C1219" s="33">
        <v>6581</v>
      </c>
      <c r="D1219" s="2">
        <v>1829</v>
      </c>
      <c r="E1219" s="2" t="s">
        <v>8317</v>
      </c>
      <c r="F1219" s="3" t="s">
        <v>14206</v>
      </c>
      <c r="H1219" s="3" t="s">
        <v>1270</v>
      </c>
      <c r="K1219" s="2">
        <v>10</v>
      </c>
      <c r="L1219" s="2">
        <v>4</v>
      </c>
      <c r="M1219" s="3" t="s">
        <v>1271</v>
      </c>
      <c r="N1219" s="3" t="s">
        <v>13</v>
      </c>
      <c r="O1219" s="3" t="s">
        <v>14</v>
      </c>
      <c r="Q1219" s="30" t="str">
        <f t="shared" si="19"/>
        <v>MAX : 
TARGET : Yes(Pass)
MIN : No(Fail)</v>
      </c>
    </row>
    <row r="1220" spans="2:18" ht="41.4" x14ac:dyDescent="0.3">
      <c r="B1220">
        <v>0</v>
      </c>
      <c r="C1220" s="33">
        <v>6581</v>
      </c>
      <c r="D1220" s="2">
        <v>1829</v>
      </c>
      <c r="E1220" s="2" t="s">
        <v>8317</v>
      </c>
      <c r="F1220" s="3" t="s">
        <v>14206</v>
      </c>
      <c r="H1220" s="3" t="s">
        <v>1270</v>
      </c>
      <c r="K1220" s="2">
        <v>10</v>
      </c>
      <c r="L1220" s="2">
        <v>5</v>
      </c>
      <c r="M1220" s="3" t="s">
        <v>318</v>
      </c>
      <c r="N1220" s="3" t="s">
        <v>13</v>
      </c>
      <c r="O1220" s="3" t="s">
        <v>14</v>
      </c>
      <c r="Q1220" s="30" t="str">
        <f t="shared" si="19"/>
        <v>MAX : 
TARGET : Yes(Pass)
MIN : No(Fail)</v>
      </c>
    </row>
    <row r="1221" spans="2:18" ht="41.4" x14ac:dyDescent="0.3">
      <c r="B1221">
        <v>1</v>
      </c>
      <c r="C1221" s="33">
        <v>6288</v>
      </c>
      <c r="D1221" s="2">
        <v>1012</v>
      </c>
      <c r="E1221" s="2" t="s">
        <v>7983</v>
      </c>
      <c r="F1221" s="3" t="s">
        <v>14206</v>
      </c>
      <c r="H1221" s="3" t="s">
        <v>1332</v>
      </c>
      <c r="K1221" s="2">
        <v>10</v>
      </c>
      <c r="L1221" s="2">
        <v>2</v>
      </c>
      <c r="M1221" s="3" t="s">
        <v>1333</v>
      </c>
      <c r="N1221" s="3" t="s">
        <v>13</v>
      </c>
      <c r="O1221" s="3" t="s">
        <v>14</v>
      </c>
      <c r="Q1221" s="30" t="str">
        <f t="shared" si="19"/>
        <v>MAX : 
TARGET : Yes(Pass)
MIN : No(Fail)</v>
      </c>
    </row>
    <row r="1222" spans="2:18" ht="41.4" x14ac:dyDescent="0.3">
      <c r="B1222">
        <v>1</v>
      </c>
      <c r="C1222" s="33">
        <v>6291</v>
      </c>
      <c r="D1222" s="2">
        <v>1796</v>
      </c>
      <c r="E1222" s="2" t="s">
        <v>7990</v>
      </c>
      <c r="F1222" s="3" t="s">
        <v>14206</v>
      </c>
      <c r="H1222" s="3" t="s">
        <v>568</v>
      </c>
      <c r="K1222" t="s">
        <v>6295</v>
      </c>
      <c r="L1222" s="2">
        <v>2</v>
      </c>
      <c r="M1222" s="3" t="s">
        <v>1573</v>
      </c>
      <c r="N1222" s="3" t="s">
        <v>1619</v>
      </c>
      <c r="O1222" s="3" t="s">
        <v>1620</v>
      </c>
      <c r="Q1222" s="30" t="str">
        <f t="shared" si="19"/>
        <v>MAX : 
TARGET : Yes (pass)
MIN : No (fail)</v>
      </c>
    </row>
    <row r="1223" spans="2:18" ht="41.4" x14ac:dyDescent="0.3">
      <c r="B1223">
        <v>0</v>
      </c>
      <c r="C1223" s="33">
        <v>6597</v>
      </c>
      <c r="D1223" s="2">
        <v>1031</v>
      </c>
      <c r="E1223" s="2" t="s">
        <v>8322</v>
      </c>
      <c r="F1223" s="3" t="s">
        <v>14207</v>
      </c>
      <c r="H1223" s="3" t="s">
        <v>1848</v>
      </c>
      <c r="K1223" s="2">
        <v>20</v>
      </c>
      <c r="L1223" s="2">
        <v>3</v>
      </c>
      <c r="M1223" s="3" t="s">
        <v>1857</v>
      </c>
      <c r="N1223" s="3" t="s">
        <v>1858</v>
      </c>
      <c r="O1223" s="3" t="s">
        <v>1859</v>
      </c>
      <c r="P1223" s="3" t="s">
        <v>1860</v>
      </c>
      <c r="Q1223" s="30" t="str">
        <f t="shared" si="19"/>
        <v>MAX : 192
TARGET : 190
MIN : 188</v>
      </c>
    </row>
    <row r="1224" spans="2:18" ht="41.4" x14ac:dyDescent="0.3">
      <c r="B1224">
        <v>0</v>
      </c>
      <c r="C1224" s="33">
        <v>6597</v>
      </c>
      <c r="D1224" s="2">
        <v>1031</v>
      </c>
      <c r="E1224" s="2" t="s">
        <v>8322</v>
      </c>
      <c r="F1224" s="3" t="s">
        <v>14207</v>
      </c>
      <c r="H1224" s="3" t="s">
        <v>1848</v>
      </c>
      <c r="K1224" s="2">
        <v>20</v>
      </c>
      <c r="L1224" s="2">
        <v>4</v>
      </c>
      <c r="M1224" s="3" t="s">
        <v>1861</v>
      </c>
      <c r="N1224" s="3" t="s">
        <v>1862</v>
      </c>
      <c r="O1224" s="3" t="s">
        <v>1863</v>
      </c>
      <c r="P1224" s="3" t="s">
        <v>1864</v>
      </c>
      <c r="Q1224" s="30" t="str">
        <f t="shared" si="19"/>
        <v>MAX : 180
TARGET : 178
MIN : 176</v>
      </c>
    </row>
    <row r="1225" spans="2:18" ht="41.4" x14ac:dyDescent="0.3">
      <c r="B1225">
        <v>0</v>
      </c>
      <c r="C1225" s="33">
        <v>6597</v>
      </c>
      <c r="D1225" s="2">
        <v>1031</v>
      </c>
      <c r="E1225" s="2" t="s">
        <v>8322</v>
      </c>
      <c r="F1225" s="3" t="s">
        <v>14207</v>
      </c>
      <c r="H1225" s="3" t="s">
        <v>1848</v>
      </c>
      <c r="K1225" s="2">
        <v>20</v>
      </c>
      <c r="L1225" s="2">
        <v>5</v>
      </c>
      <c r="M1225" s="3" t="s">
        <v>1865</v>
      </c>
      <c r="N1225" s="3" t="s">
        <v>13</v>
      </c>
      <c r="O1225" s="3" t="s">
        <v>14</v>
      </c>
      <c r="Q1225" s="30" t="str">
        <f t="shared" si="19"/>
        <v>MAX : 
TARGET : Yes(Pass)
MIN : No(Fail)</v>
      </c>
    </row>
    <row r="1226" spans="2:18" ht="41.4" x14ac:dyDescent="0.3">
      <c r="B1226">
        <v>1</v>
      </c>
      <c r="C1226" s="33">
        <v>6291</v>
      </c>
      <c r="D1226" s="2">
        <v>1796</v>
      </c>
      <c r="E1226" s="2" t="s">
        <v>7990</v>
      </c>
      <c r="F1226" s="3" t="s">
        <v>14206</v>
      </c>
      <c r="H1226" s="3" t="s">
        <v>568</v>
      </c>
      <c r="K1226" t="s">
        <v>6295</v>
      </c>
      <c r="L1226" s="2">
        <v>1</v>
      </c>
      <c r="M1226" s="3" t="s">
        <v>99</v>
      </c>
      <c r="N1226" s="3" t="s">
        <v>27</v>
      </c>
      <c r="O1226" s="3" t="s">
        <v>28</v>
      </c>
      <c r="P1226" s="3" t="s">
        <v>29</v>
      </c>
      <c r="Q1226" s="30" t="str">
        <f t="shared" si="19"/>
        <v>MAX : 1.53
TARGET : 1.50
MIN : 1.47</v>
      </c>
    </row>
    <row r="1227" spans="2:18" ht="41.4" x14ac:dyDescent="0.3">
      <c r="B1227">
        <v>1</v>
      </c>
      <c r="C1227" s="33">
        <v>6292</v>
      </c>
      <c r="D1227" s="2">
        <v>1797</v>
      </c>
      <c r="E1227" s="2" t="s">
        <v>7997</v>
      </c>
      <c r="F1227" s="3" t="s">
        <v>14206</v>
      </c>
      <c r="H1227" s="3" t="s">
        <v>193</v>
      </c>
      <c r="I1227" s="3" t="s">
        <v>487</v>
      </c>
      <c r="K1227" s="2">
        <v>10</v>
      </c>
      <c r="L1227" s="2">
        <v>2</v>
      </c>
      <c r="M1227" s="3" t="s">
        <v>1623</v>
      </c>
      <c r="N1227" s="3" t="s">
        <v>13</v>
      </c>
      <c r="O1227" s="3" t="s">
        <v>14</v>
      </c>
      <c r="Q1227" s="30" t="str">
        <f t="shared" si="19"/>
        <v>MAX : 
TARGET : Yes(Pass)
MIN : No(Fail)</v>
      </c>
    </row>
    <row r="1228" spans="2:18" ht="41.4" x14ac:dyDescent="0.3">
      <c r="B1228">
        <v>1</v>
      </c>
      <c r="C1228" s="33">
        <v>6292</v>
      </c>
      <c r="D1228" s="2">
        <v>1797</v>
      </c>
      <c r="E1228" s="2" t="s">
        <v>7997</v>
      </c>
      <c r="F1228" s="3" t="s">
        <v>14206</v>
      </c>
      <c r="H1228" s="3" t="s">
        <v>193</v>
      </c>
      <c r="I1228" s="3" t="s">
        <v>487</v>
      </c>
      <c r="K1228" s="2">
        <v>10</v>
      </c>
      <c r="L1228" s="2">
        <v>1</v>
      </c>
      <c r="M1228" s="3" t="s">
        <v>99</v>
      </c>
      <c r="N1228" s="3" t="s">
        <v>1621</v>
      </c>
      <c r="O1228" s="3" t="s">
        <v>272</v>
      </c>
      <c r="P1228" s="3" t="s">
        <v>1622</v>
      </c>
      <c r="Q1228" s="30" t="str">
        <f t="shared" si="19"/>
        <v>MAX : 1.05
TARGET : 1.00
MIN : 0.95</v>
      </c>
    </row>
    <row r="1229" spans="2:18" ht="41.4" x14ac:dyDescent="0.3">
      <c r="B1229">
        <v>1</v>
      </c>
      <c r="C1229" s="33">
        <v>6292</v>
      </c>
      <c r="D1229" s="2">
        <v>1797</v>
      </c>
      <c r="E1229" s="2" t="s">
        <v>7997</v>
      </c>
      <c r="F1229" s="3" t="s">
        <v>14206</v>
      </c>
      <c r="H1229" s="3" t="s">
        <v>193</v>
      </c>
      <c r="I1229" s="3" t="s">
        <v>487</v>
      </c>
      <c r="K1229" s="2">
        <v>10</v>
      </c>
      <c r="L1229" s="2">
        <v>3</v>
      </c>
      <c r="M1229" s="3" t="s">
        <v>5797</v>
      </c>
      <c r="N1229" s="3" t="s">
        <v>13</v>
      </c>
      <c r="O1229" s="3" t="s">
        <v>14</v>
      </c>
      <c r="Q1229" s="30" t="str">
        <f t="shared" si="19"/>
        <v>MAX : 
TARGET : Yes(Pass)
MIN : No(Fail)</v>
      </c>
    </row>
    <row r="1230" spans="2:18" ht="41.4" x14ac:dyDescent="0.3">
      <c r="B1230">
        <v>1</v>
      </c>
      <c r="C1230" s="33">
        <v>6293</v>
      </c>
      <c r="D1230" s="2">
        <v>1798</v>
      </c>
      <c r="E1230" s="2" t="s">
        <v>8003</v>
      </c>
      <c r="F1230" s="3" t="s">
        <v>14206</v>
      </c>
      <c r="H1230" s="3" t="s">
        <v>491</v>
      </c>
      <c r="I1230" s="3" t="s">
        <v>487</v>
      </c>
      <c r="K1230" s="2">
        <v>10</v>
      </c>
      <c r="L1230" s="2">
        <v>2</v>
      </c>
      <c r="M1230" s="3" t="s">
        <v>1623</v>
      </c>
      <c r="N1230" s="3" t="s">
        <v>13</v>
      </c>
      <c r="O1230" s="3" t="s">
        <v>14</v>
      </c>
      <c r="Q1230" s="30" t="str">
        <f t="shared" si="19"/>
        <v>MAX : 
TARGET : Yes(Pass)
MIN : No(Fail)</v>
      </c>
      <c r="R1230" s="3" t="s">
        <v>1625</v>
      </c>
    </row>
    <row r="1231" spans="2:18" ht="41.4" x14ac:dyDescent="0.3">
      <c r="B1231">
        <v>0</v>
      </c>
      <c r="C1231" s="33">
        <v>6118</v>
      </c>
      <c r="D1231" s="2">
        <v>1003</v>
      </c>
      <c r="E1231" s="2" t="s">
        <v>7861</v>
      </c>
      <c r="F1231" s="3" t="s">
        <v>14206</v>
      </c>
      <c r="H1231" s="3" t="s">
        <v>1506</v>
      </c>
      <c r="K1231" s="2">
        <v>10</v>
      </c>
      <c r="L1231" s="2">
        <v>1</v>
      </c>
      <c r="M1231" s="3" t="s">
        <v>99</v>
      </c>
      <c r="N1231" s="3" t="s">
        <v>3199</v>
      </c>
      <c r="O1231" s="3" t="s">
        <v>3200</v>
      </c>
      <c r="P1231" s="3" t="s">
        <v>2470</v>
      </c>
      <c r="Q1231" s="30" t="str">
        <f t="shared" si="19"/>
        <v>MAX : 9.25
TARGET : 9.00
MIN : 8.75</v>
      </c>
    </row>
    <row r="1232" spans="2:18" ht="41.4" x14ac:dyDescent="0.3">
      <c r="B1232">
        <v>1</v>
      </c>
      <c r="C1232" s="33">
        <v>6293</v>
      </c>
      <c r="D1232" s="2">
        <v>1798</v>
      </c>
      <c r="E1232" s="2" t="s">
        <v>8003</v>
      </c>
      <c r="F1232" s="3" t="s">
        <v>14206</v>
      </c>
      <c r="H1232" s="3" t="s">
        <v>491</v>
      </c>
      <c r="I1232" s="3" t="s">
        <v>487</v>
      </c>
      <c r="K1232" s="2">
        <v>10</v>
      </c>
      <c r="L1232" s="2">
        <v>1</v>
      </c>
      <c r="M1232" s="3" t="s">
        <v>99</v>
      </c>
      <c r="N1232" s="3" t="s">
        <v>874</v>
      </c>
      <c r="O1232" s="3" t="s">
        <v>406</v>
      </c>
      <c r="P1232" s="3" t="s">
        <v>1624</v>
      </c>
      <c r="Q1232" s="30" t="str">
        <f t="shared" si="19"/>
        <v>MAX : 2.05
TARGET : 2.00
MIN : 1.95</v>
      </c>
      <c r="R1232" s="3" t="s">
        <v>1625</v>
      </c>
    </row>
    <row r="1233" spans="2:18" ht="41.4" x14ac:dyDescent="0.3">
      <c r="B1233">
        <v>0</v>
      </c>
      <c r="C1233" s="33">
        <v>6631</v>
      </c>
      <c r="D1233" s="2">
        <v>1032</v>
      </c>
      <c r="E1233" s="2" t="s">
        <v>8344</v>
      </c>
      <c r="F1233" s="3" t="s">
        <v>14207</v>
      </c>
      <c r="H1233" s="3" t="s">
        <v>1848</v>
      </c>
      <c r="K1233" s="2">
        <v>20</v>
      </c>
      <c r="L1233" s="2">
        <v>3</v>
      </c>
      <c r="M1233" s="3" t="s">
        <v>1857</v>
      </c>
      <c r="N1233" s="3" t="s">
        <v>1875</v>
      </c>
      <c r="O1233" s="3" t="s">
        <v>1876</v>
      </c>
      <c r="P1233" s="3" t="s">
        <v>1877</v>
      </c>
      <c r="Q1233" s="30" t="str">
        <f t="shared" si="19"/>
        <v>MAX : 152
TARGET : 150
MIN : 148</v>
      </c>
    </row>
    <row r="1234" spans="2:18" ht="41.4" x14ac:dyDescent="0.3">
      <c r="B1234">
        <v>0</v>
      </c>
      <c r="C1234" s="33">
        <v>6631</v>
      </c>
      <c r="D1234" s="2">
        <v>1032</v>
      </c>
      <c r="E1234" s="2" t="s">
        <v>8344</v>
      </c>
      <c r="F1234" s="3" t="s">
        <v>14207</v>
      </c>
      <c r="H1234" s="3" t="s">
        <v>1848</v>
      </c>
      <c r="K1234" s="2">
        <v>20</v>
      </c>
      <c r="L1234" s="2">
        <v>4</v>
      </c>
      <c r="M1234" s="3" t="s">
        <v>1861</v>
      </c>
      <c r="N1234" s="3" t="s">
        <v>1878</v>
      </c>
      <c r="O1234" s="3" t="s">
        <v>1879</v>
      </c>
      <c r="P1234" s="3" t="s">
        <v>1880</v>
      </c>
      <c r="Q1234" s="30" t="str">
        <f t="shared" si="19"/>
        <v>MAX : 140
TARGET : 138
MIN : 136</v>
      </c>
    </row>
    <row r="1235" spans="2:18" ht="41.4" x14ac:dyDescent="0.3">
      <c r="B1235">
        <v>0</v>
      </c>
      <c r="C1235" s="33">
        <v>6631</v>
      </c>
      <c r="D1235" s="2">
        <v>1032</v>
      </c>
      <c r="E1235" s="2" t="s">
        <v>8344</v>
      </c>
      <c r="F1235" s="3" t="s">
        <v>14207</v>
      </c>
      <c r="H1235" s="3" t="s">
        <v>1848</v>
      </c>
      <c r="K1235" s="2">
        <v>20</v>
      </c>
      <c r="L1235" s="2">
        <v>5</v>
      </c>
      <c r="M1235" s="3" t="s">
        <v>1865</v>
      </c>
      <c r="N1235" s="3" t="s">
        <v>13</v>
      </c>
      <c r="O1235" s="3" t="s">
        <v>14</v>
      </c>
      <c r="Q1235" s="30" t="str">
        <f t="shared" si="19"/>
        <v>MAX : 
TARGET : Yes(Pass)
MIN : No(Fail)</v>
      </c>
    </row>
    <row r="1236" spans="2:18" ht="41.4" x14ac:dyDescent="0.3">
      <c r="B1236">
        <v>1</v>
      </c>
      <c r="C1236" s="33">
        <v>6293</v>
      </c>
      <c r="D1236" s="2">
        <v>1798</v>
      </c>
      <c r="E1236" s="2" t="s">
        <v>8003</v>
      </c>
      <c r="F1236" s="3" t="s">
        <v>14206</v>
      </c>
      <c r="H1236" s="3" t="s">
        <v>491</v>
      </c>
      <c r="I1236" s="3" t="s">
        <v>487</v>
      </c>
      <c r="K1236" s="2">
        <v>10</v>
      </c>
      <c r="L1236" s="2">
        <v>3</v>
      </c>
      <c r="M1236" s="3" t="s">
        <v>5797</v>
      </c>
      <c r="N1236" s="3" t="s">
        <v>13</v>
      </c>
      <c r="O1236" s="3" t="s">
        <v>14</v>
      </c>
      <c r="Q1236" s="30" t="str">
        <f t="shared" si="19"/>
        <v>MAX : 
TARGET : Yes(Pass)
MIN : No(Fail)</v>
      </c>
      <c r="R1236" s="3" t="s">
        <v>1625</v>
      </c>
    </row>
    <row r="1237" spans="2:18" ht="41.4" x14ac:dyDescent="0.3">
      <c r="B1237">
        <v>1</v>
      </c>
      <c r="C1237" s="33">
        <v>6294</v>
      </c>
      <c r="D1237" s="2">
        <v>1799</v>
      </c>
      <c r="E1237" s="2" t="s">
        <v>8009</v>
      </c>
      <c r="F1237" s="3" t="s">
        <v>14206</v>
      </c>
      <c r="H1237" s="3" t="s">
        <v>98</v>
      </c>
      <c r="I1237" s="3" t="s">
        <v>487</v>
      </c>
      <c r="K1237" s="2">
        <v>10</v>
      </c>
      <c r="L1237" s="2">
        <v>1</v>
      </c>
      <c r="M1237" s="3" t="s">
        <v>1626</v>
      </c>
      <c r="N1237" s="3" t="s">
        <v>1627</v>
      </c>
      <c r="O1237" s="3" t="s">
        <v>815</v>
      </c>
      <c r="P1237" s="3" t="s">
        <v>1628</v>
      </c>
      <c r="Q1237" s="30" t="str">
        <f t="shared" si="19"/>
        <v>MAX : 3.05
TARGET : 3.00
MIN : 2.95</v>
      </c>
    </row>
    <row r="1238" spans="2:18" ht="41.4" x14ac:dyDescent="0.3">
      <c r="B1238">
        <v>1</v>
      </c>
      <c r="C1238" s="33">
        <v>6294</v>
      </c>
      <c r="D1238" s="2">
        <v>1799</v>
      </c>
      <c r="E1238" s="2" t="s">
        <v>8009</v>
      </c>
      <c r="F1238" s="3" t="s">
        <v>14206</v>
      </c>
      <c r="H1238" s="3" t="s">
        <v>98</v>
      </c>
      <c r="I1238" s="3" t="s">
        <v>487</v>
      </c>
      <c r="K1238" s="2">
        <v>10</v>
      </c>
      <c r="L1238" s="2">
        <v>2</v>
      </c>
      <c r="M1238" s="3" t="s">
        <v>1623</v>
      </c>
      <c r="N1238" s="3" t="s">
        <v>13</v>
      </c>
      <c r="O1238" s="3" t="s">
        <v>14</v>
      </c>
      <c r="Q1238" s="30" t="str">
        <f t="shared" si="19"/>
        <v>MAX : 
TARGET : Yes(Pass)
MIN : No(Fail)</v>
      </c>
    </row>
    <row r="1239" spans="2:18" ht="41.4" x14ac:dyDescent="0.3">
      <c r="B1239">
        <v>1</v>
      </c>
      <c r="C1239" s="33">
        <v>6294</v>
      </c>
      <c r="D1239" s="2">
        <v>1799</v>
      </c>
      <c r="E1239" s="2" t="s">
        <v>8009</v>
      </c>
      <c r="F1239" s="3" t="s">
        <v>14206</v>
      </c>
      <c r="H1239" s="3" t="s">
        <v>98</v>
      </c>
      <c r="I1239" s="3" t="s">
        <v>487</v>
      </c>
      <c r="K1239" s="2">
        <v>10</v>
      </c>
      <c r="L1239" s="2">
        <v>3</v>
      </c>
      <c r="M1239" s="3" t="s">
        <v>5797</v>
      </c>
      <c r="N1239" s="3" t="s">
        <v>13</v>
      </c>
      <c r="O1239" s="3" t="s">
        <v>14</v>
      </c>
      <c r="Q1239" s="30" t="str">
        <f t="shared" si="19"/>
        <v>MAX : 
TARGET : Yes(Pass)
MIN : No(Fail)</v>
      </c>
    </row>
    <row r="1240" spans="2:18" ht="41.4" x14ac:dyDescent="0.3">
      <c r="B1240">
        <v>1</v>
      </c>
      <c r="C1240" s="33">
        <v>6299</v>
      </c>
      <c r="D1240" s="2">
        <v>1800</v>
      </c>
      <c r="E1240" s="2" t="s">
        <v>8015</v>
      </c>
      <c r="F1240" s="3" t="s">
        <v>14206</v>
      </c>
      <c r="H1240" s="3" t="s">
        <v>11</v>
      </c>
      <c r="K1240" s="2">
        <v>10</v>
      </c>
      <c r="L1240" s="2">
        <v>2</v>
      </c>
      <c r="M1240" s="3" t="s">
        <v>1613</v>
      </c>
      <c r="N1240" s="3" t="s">
        <v>13</v>
      </c>
      <c r="O1240" s="3" t="s">
        <v>14</v>
      </c>
      <c r="Q1240" s="30" t="str">
        <f t="shared" si="19"/>
        <v>MAX : 
TARGET : Yes(Pass)
MIN : No(Fail)</v>
      </c>
      <c r="R1240" s="3" t="s">
        <v>1512</v>
      </c>
    </row>
    <row r="1241" spans="2:18" ht="41.4" x14ac:dyDescent="0.3">
      <c r="B1241">
        <v>0</v>
      </c>
      <c r="C1241" s="33">
        <v>6638</v>
      </c>
      <c r="D1241" s="2">
        <v>1034</v>
      </c>
      <c r="E1241" s="2" t="s">
        <v>8357</v>
      </c>
      <c r="F1241" s="3" t="s">
        <v>14206</v>
      </c>
      <c r="H1241" s="3" t="s">
        <v>1885</v>
      </c>
      <c r="K1241" s="2">
        <v>10</v>
      </c>
      <c r="L1241" s="2">
        <v>3</v>
      </c>
      <c r="M1241" s="3" t="s">
        <v>1888</v>
      </c>
      <c r="N1241" s="3" t="s">
        <v>24</v>
      </c>
      <c r="O1241" s="3" t="s">
        <v>25</v>
      </c>
      <c r="Q1241" s="30" t="str">
        <f t="shared" si="19"/>
        <v>MAX : 
TARGET : Yes (Pass)
MIN : No (Fail)</v>
      </c>
    </row>
    <row r="1242" spans="2:18" ht="41.4" x14ac:dyDescent="0.3">
      <c r="B1242">
        <v>1</v>
      </c>
      <c r="C1242" s="33">
        <v>6299</v>
      </c>
      <c r="D1242" s="2">
        <v>1800</v>
      </c>
      <c r="E1242" s="2" t="s">
        <v>8015</v>
      </c>
      <c r="F1242" s="3" t="s">
        <v>14206</v>
      </c>
      <c r="H1242" s="3" t="s">
        <v>11</v>
      </c>
      <c r="K1242" s="2">
        <v>10</v>
      </c>
      <c r="L1242" s="2">
        <v>1</v>
      </c>
      <c r="M1242" s="3" t="s">
        <v>1610</v>
      </c>
      <c r="N1242" s="3" t="s">
        <v>1611</v>
      </c>
      <c r="O1242" s="3" t="s">
        <v>8</v>
      </c>
      <c r="P1242" s="3" t="s">
        <v>1612</v>
      </c>
      <c r="Q1242" s="30" t="str">
        <f t="shared" si="19"/>
        <v>MAX : +0.015
TARGET : Target
MIN : -0.015</v>
      </c>
      <c r="R1242" s="3" t="s">
        <v>1512</v>
      </c>
    </row>
    <row r="1243" spans="2:18" ht="41.4" x14ac:dyDescent="0.3">
      <c r="B1243">
        <v>1</v>
      </c>
      <c r="C1243" s="33">
        <v>6308</v>
      </c>
      <c r="D1243" s="2">
        <v>1801</v>
      </c>
      <c r="E1243" s="2" t="s">
        <v>8021</v>
      </c>
      <c r="F1243" s="3" t="s">
        <v>14206</v>
      </c>
      <c r="H1243" s="3" t="s">
        <v>1631</v>
      </c>
      <c r="K1243" s="2">
        <v>10</v>
      </c>
      <c r="L1243" s="2">
        <v>2</v>
      </c>
      <c r="M1243" s="3" t="s">
        <v>1633</v>
      </c>
      <c r="N1243" s="3" t="s">
        <v>1634</v>
      </c>
      <c r="O1243" s="3" t="s">
        <v>557</v>
      </c>
      <c r="P1243" s="3" t="s">
        <v>1110</v>
      </c>
      <c r="Q1243" s="30" t="str">
        <f t="shared" si="19"/>
        <v>MAX : 5.125
TARGET : 5.000
MIN : 4.875</v>
      </c>
    </row>
    <row r="1244" spans="2:18" ht="41.4" x14ac:dyDescent="0.3">
      <c r="B1244">
        <v>0</v>
      </c>
      <c r="C1244" s="33">
        <v>6639</v>
      </c>
      <c r="D1244" s="2">
        <v>1035</v>
      </c>
      <c r="E1244" s="2" t="s">
        <v>8363</v>
      </c>
      <c r="F1244" s="3" t="s">
        <v>14206</v>
      </c>
      <c r="H1244" s="3" t="s">
        <v>1885</v>
      </c>
      <c r="K1244" s="2">
        <v>10</v>
      </c>
      <c r="L1244" s="2">
        <v>3</v>
      </c>
      <c r="M1244" s="3" t="s">
        <v>1888</v>
      </c>
      <c r="N1244" s="3" t="s">
        <v>24</v>
      </c>
      <c r="O1244" s="3" t="s">
        <v>25</v>
      </c>
      <c r="Q1244" s="30" t="str">
        <f t="shared" si="19"/>
        <v>MAX : 
TARGET : Yes (Pass)
MIN : No (Fail)</v>
      </c>
    </row>
    <row r="1245" spans="2:18" ht="41.4" x14ac:dyDescent="0.3">
      <c r="B1245">
        <v>1</v>
      </c>
      <c r="C1245" s="33">
        <v>6308</v>
      </c>
      <c r="D1245" s="2">
        <v>1801</v>
      </c>
      <c r="E1245" s="2" t="s">
        <v>8021</v>
      </c>
      <c r="F1245" s="3" t="s">
        <v>14206</v>
      </c>
      <c r="H1245" s="3" t="s">
        <v>1631</v>
      </c>
      <c r="K1245" s="2">
        <v>10</v>
      </c>
      <c r="L1245" s="2">
        <v>1</v>
      </c>
      <c r="M1245" s="3" t="s">
        <v>99</v>
      </c>
      <c r="N1245" s="3" t="s">
        <v>1632</v>
      </c>
      <c r="O1245" s="3" t="s">
        <v>1209</v>
      </c>
      <c r="P1245" s="3" t="s">
        <v>1394</v>
      </c>
      <c r="Q1245" s="30" t="str">
        <f t="shared" si="19"/>
        <v>MAX : 30.03
TARGET : 30.00
MIN : 29.97</v>
      </c>
    </row>
    <row r="1246" spans="2:18" ht="41.4" x14ac:dyDescent="0.3">
      <c r="B1246">
        <v>1</v>
      </c>
      <c r="C1246" s="33">
        <v>6331</v>
      </c>
      <c r="D1246" s="2">
        <v>1013</v>
      </c>
      <c r="E1246" s="2" t="s">
        <v>8027</v>
      </c>
      <c r="F1246" s="3" t="s">
        <v>14206</v>
      </c>
      <c r="H1246" s="3" t="s">
        <v>1637</v>
      </c>
      <c r="K1246" s="2">
        <v>10</v>
      </c>
      <c r="L1246" s="2">
        <v>2</v>
      </c>
      <c r="M1246" s="3" t="s">
        <v>198</v>
      </c>
      <c r="N1246" s="3" t="s">
        <v>1602</v>
      </c>
      <c r="O1246" s="3" t="s">
        <v>281</v>
      </c>
      <c r="P1246" s="3" t="s">
        <v>1603</v>
      </c>
      <c r="Q1246" s="30" t="str">
        <f t="shared" si="19"/>
        <v>MAX : 0.265
TARGET : 0.250
MIN : 0.235</v>
      </c>
      <c r="R1246" s="3" t="s">
        <v>1638</v>
      </c>
    </row>
    <row r="1247" spans="2:18" ht="41.4" x14ac:dyDescent="0.3">
      <c r="B1247">
        <v>0</v>
      </c>
      <c r="C1247" s="33">
        <v>6640</v>
      </c>
      <c r="D1247" s="2">
        <v>1036</v>
      </c>
      <c r="E1247" s="2" t="s">
        <v>8368</v>
      </c>
      <c r="F1247" s="3" t="s">
        <v>14206</v>
      </c>
      <c r="H1247" s="3" t="s">
        <v>504</v>
      </c>
      <c r="K1247" s="2">
        <v>10</v>
      </c>
      <c r="L1247" s="2">
        <v>3</v>
      </c>
      <c r="M1247" s="3" t="s">
        <v>1890</v>
      </c>
      <c r="N1247" s="3" t="s">
        <v>13</v>
      </c>
      <c r="O1247" s="3" t="s">
        <v>14</v>
      </c>
      <c r="Q1247" s="30" t="str">
        <f t="shared" si="19"/>
        <v>MAX : 
TARGET : Yes(Pass)
MIN : No(Fail)</v>
      </c>
    </row>
    <row r="1248" spans="2:18" ht="41.4" x14ac:dyDescent="0.3">
      <c r="B1248">
        <v>1</v>
      </c>
      <c r="C1248" s="33">
        <v>6331</v>
      </c>
      <c r="D1248" s="2">
        <v>1013</v>
      </c>
      <c r="E1248" s="2" t="s">
        <v>8027</v>
      </c>
      <c r="F1248" s="3" t="s">
        <v>14206</v>
      </c>
      <c r="H1248" s="3" t="s">
        <v>1637</v>
      </c>
      <c r="K1248" s="2">
        <v>10</v>
      </c>
      <c r="L1248" s="2">
        <v>1</v>
      </c>
      <c r="M1248" s="3" t="s">
        <v>194</v>
      </c>
      <c r="N1248" s="3" t="s">
        <v>433</v>
      </c>
      <c r="O1248" s="3" t="s">
        <v>86</v>
      </c>
      <c r="P1248" s="3" t="s">
        <v>317</v>
      </c>
      <c r="Q1248" s="30" t="str">
        <f t="shared" si="19"/>
        <v>MAX : 0.515
TARGET : 0.500
MIN : 0.485</v>
      </c>
      <c r="R1248" s="3" t="s">
        <v>1638</v>
      </c>
    </row>
    <row r="1249" spans="2:17" ht="41.4" x14ac:dyDescent="0.3">
      <c r="B1249">
        <v>1</v>
      </c>
      <c r="C1249" s="33">
        <v>6335</v>
      </c>
      <c r="D1249" s="2">
        <v>1014</v>
      </c>
      <c r="E1249" s="2" t="s">
        <v>8033</v>
      </c>
      <c r="F1249" s="3" t="s">
        <v>14206</v>
      </c>
      <c r="H1249" s="3" t="s">
        <v>306</v>
      </c>
      <c r="K1249" s="2">
        <v>20</v>
      </c>
      <c r="L1249" s="2">
        <v>2</v>
      </c>
      <c r="M1249" s="3" t="s">
        <v>194</v>
      </c>
      <c r="N1249" s="3" t="s">
        <v>1641</v>
      </c>
      <c r="O1249" s="3" t="s">
        <v>149</v>
      </c>
      <c r="P1249" s="3" t="s">
        <v>1642</v>
      </c>
      <c r="Q1249" s="30" t="str">
        <f t="shared" si="19"/>
        <v>MAX : 12.06
TARGET : 12.00
MIN : 11.94</v>
      </c>
    </row>
    <row r="1250" spans="2:17" ht="41.4" x14ac:dyDescent="0.3">
      <c r="B1250">
        <v>0</v>
      </c>
      <c r="C1250" s="33">
        <v>6641</v>
      </c>
      <c r="D1250" s="2">
        <v>1037</v>
      </c>
      <c r="E1250" s="2" t="s">
        <v>8376</v>
      </c>
      <c r="F1250" s="3" t="s">
        <v>14206</v>
      </c>
      <c r="H1250" s="3" t="s">
        <v>504</v>
      </c>
      <c r="K1250" s="2">
        <v>10</v>
      </c>
      <c r="L1250" s="2">
        <v>3</v>
      </c>
      <c r="M1250" s="3" t="s">
        <v>1890</v>
      </c>
      <c r="N1250" s="3" t="s">
        <v>13</v>
      </c>
      <c r="O1250" s="3" t="s">
        <v>14</v>
      </c>
      <c r="Q1250" s="30" t="str">
        <f t="shared" si="19"/>
        <v>MAX : 
TARGET : Yes(Pass)
MIN : No(Fail)</v>
      </c>
    </row>
    <row r="1251" spans="2:17" ht="41.4" x14ac:dyDescent="0.3">
      <c r="B1251">
        <v>1</v>
      </c>
      <c r="C1251" s="33">
        <v>6335</v>
      </c>
      <c r="D1251" s="2">
        <v>1014</v>
      </c>
      <c r="E1251" s="2" t="s">
        <v>8033</v>
      </c>
      <c r="F1251" s="3" t="s">
        <v>14206</v>
      </c>
      <c r="H1251" s="3" t="s">
        <v>306</v>
      </c>
      <c r="K1251" s="2">
        <v>20</v>
      </c>
      <c r="L1251" s="2">
        <v>1</v>
      </c>
      <c r="M1251" s="3" t="s">
        <v>198</v>
      </c>
      <c r="N1251" s="3" t="s">
        <v>1229</v>
      </c>
      <c r="O1251" s="3" t="s">
        <v>1230</v>
      </c>
      <c r="P1251" s="3" t="s">
        <v>1231</v>
      </c>
      <c r="Q1251" s="30" t="str">
        <f t="shared" si="19"/>
        <v>MAX : 8.06
TARGET : 8.00
MIN : 7.94</v>
      </c>
    </row>
    <row r="1252" spans="2:17" ht="41.4" x14ac:dyDescent="0.3">
      <c r="B1252">
        <v>1</v>
      </c>
      <c r="C1252" s="33">
        <v>6337</v>
      </c>
      <c r="D1252" s="2">
        <v>1802</v>
      </c>
      <c r="E1252" s="2" t="s">
        <v>8039</v>
      </c>
      <c r="F1252" s="3" t="s">
        <v>14206</v>
      </c>
      <c r="H1252" s="3" t="s">
        <v>1996</v>
      </c>
      <c r="K1252" s="2">
        <v>30</v>
      </c>
      <c r="L1252" s="2">
        <v>1</v>
      </c>
      <c r="M1252" s="3" t="s">
        <v>22</v>
      </c>
      <c r="N1252" s="3" t="s">
        <v>1997</v>
      </c>
      <c r="O1252" s="3" t="s">
        <v>1998</v>
      </c>
      <c r="P1252" s="3" t="s">
        <v>1999</v>
      </c>
      <c r="Q1252" s="30" t="str">
        <f t="shared" si="19"/>
        <v>MAX : 1.774
TARGET : 1.730
MIN : 1.686</v>
      </c>
    </row>
    <row r="1253" spans="2:17" ht="41.4" x14ac:dyDescent="0.3">
      <c r="B1253">
        <v>0</v>
      </c>
      <c r="C1253" s="33">
        <v>6660</v>
      </c>
      <c r="D1253" s="2">
        <v>1038</v>
      </c>
      <c r="E1253" s="2" t="s">
        <v>8381</v>
      </c>
      <c r="F1253" s="3" t="s">
        <v>14206</v>
      </c>
      <c r="H1253" s="3" t="s">
        <v>1891</v>
      </c>
      <c r="K1253" s="2">
        <v>20</v>
      </c>
      <c r="L1253" s="2">
        <v>3</v>
      </c>
      <c r="M1253" s="3" t="s">
        <v>198</v>
      </c>
      <c r="N1253" s="3" t="s">
        <v>1683</v>
      </c>
      <c r="O1253" s="3" t="s">
        <v>340</v>
      </c>
      <c r="P1253" s="3" t="s">
        <v>1684</v>
      </c>
      <c r="Q1253" s="30" t="str">
        <f t="shared" si="19"/>
        <v>MAX : 3.52
TARGET : 3.50
MIN : 3.48</v>
      </c>
    </row>
    <row r="1254" spans="2:17" ht="41.4" x14ac:dyDescent="0.3">
      <c r="B1254">
        <v>0</v>
      </c>
      <c r="C1254" s="33">
        <v>6660</v>
      </c>
      <c r="D1254" s="2">
        <v>1038</v>
      </c>
      <c r="E1254" s="2" t="s">
        <v>8381</v>
      </c>
      <c r="F1254" s="3" t="s">
        <v>14206</v>
      </c>
      <c r="H1254" s="3" t="s">
        <v>1891</v>
      </c>
      <c r="K1254" s="2">
        <v>20</v>
      </c>
      <c r="L1254" s="2">
        <v>4</v>
      </c>
      <c r="M1254" s="3" t="s">
        <v>1434</v>
      </c>
      <c r="N1254" s="3" t="s">
        <v>769</v>
      </c>
      <c r="O1254" s="3" t="s">
        <v>309</v>
      </c>
      <c r="P1254" s="3" t="s">
        <v>264</v>
      </c>
      <c r="Q1254" s="30" t="str">
        <f t="shared" si="19"/>
        <v>MAX : 0.52
TARGET : 0.50
MIN : 0.48</v>
      </c>
    </row>
    <row r="1255" spans="2:17" ht="41.4" x14ac:dyDescent="0.3">
      <c r="B1255">
        <v>0</v>
      </c>
      <c r="C1255" s="33">
        <v>6660</v>
      </c>
      <c r="D1255" s="2">
        <v>1038</v>
      </c>
      <c r="E1255" s="2" t="s">
        <v>8381</v>
      </c>
      <c r="F1255" s="3" t="s">
        <v>14206</v>
      </c>
      <c r="H1255" s="3" t="s">
        <v>1891</v>
      </c>
      <c r="K1255" s="2">
        <v>20</v>
      </c>
      <c r="L1255" s="2">
        <v>5</v>
      </c>
      <c r="M1255" s="3" t="s">
        <v>134</v>
      </c>
      <c r="N1255" s="3" t="s">
        <v>13</v>
      </c>
      <c r="O1255" s="3" t="s">
        <v>14</v>
      </c>
      <c r="Q1255" s="30" t="str">
        <f t="shared" si="19"/>
        <v>MAX : 
TARGET : Yes(Pass)
MIN : No(Fail)</v>
      </c>
    </row>
    <row r="1256" spans="2:17" ht="41.4" x14ac:dyDescent="0.3">
      <c r="B1256">
        <v>0</v>
      </c>
      <c r="C1256" s="33">
        <v>6660</v>
      </c>
      <c r="D1256" s="2">
        <v>1038</v>
      </c>
      <c r="E1256" s="2" t="s">
        <v>8381</v>
      </c>
      <c r="F1256" s="3" t="s">
        <v>14206</v>
      </c>
      <c r="H1256" s="3" t="s">
        <v>1891</v>
      </c>
      <c r="K1256" s="2">
        <v>20</v>
      </c>
      <c r="L1256" s="2">
        <v>6</v>
      </c>
      <c r="M1256" s="3" t="s">
        <v>1896</v>
      </c>
      <c r="N1256" s="3" t="s">
        <v>13</v>
      </c>
      <c r="O1256" s="3" t="s">
        <v>14</v>
      </c>
      <c r="Q1256" s="30" t="str">
        <f t="shared" si="19"/>
        <v>MAX : 
TARGET : Yes(Pass)
MIN : No(Fail)</v>
      </c>
    </row>
    <row r="1257" spans="2:17" ht="41.4" x14ac:dyDescent="0.3">
      <c r="B1257">
        <v>1</v>
      </c>
      <c r="C1257" s="33">
        <v>6337</v>
      </c>
      <c r="D1257" s="2">
        <v>1802</v>
      </c>
      <c r="E1257" s="2" t="s">
        <v>8039</v>
      </c>
      <c r="F1257" s="3" t="s">
        <v>14206</v>
      </c>
      <c r="H1257" s="3" t="s">
        <v>1996</v>
      </c>
      <c r="K1257" s="2">
        <v>20</v>
      </c>
      <c r="L1257" s="2">
        <v>1</v>
      </c>
      <c r="M1257" s="3" t="s">
        <v>1636</v>
      </c>
      <c r="N1257" s="3" t="s">
        <v>13</v>
      </c>
      <c r="O1257" s="3" t="s">
        <v>14</v>
      </c>
      <c r="Q1257" s="30" t="str">
        <f t="shared" si="19"/>
        <v>MAX : 
TARGET : Yes(Pass)
MIN : No(Fail)</v>
      </c>
    </row>
    <row r="1258" spans="2:17" ht="41.4" x14ac:dyDescent="0.3">
      <c r="B1258">
        <v>1</v>
      </c>
      <c r="C1258" s="33">
        <v>6337</v>
      </c>
      <c r="D1258" s="2">
        <v>1802</v>
      </c>
      <c r="E1258" s="2" t="s">
        <v>8039</v>
      </c>
      <c r="F1258" s="3" t="s">
        <v>14206</v>
      </c>
      <c r="H1258" s="3" t="s">
        <v>1996</v>
      </c>
      <c r="K1258" s="2">
        <v>30</v>
      </c>
      <c r="L1258" s="2">
        <v>2</v>
      </c>
      <c r="M1258" s="3" t="s">
        <v>1478</v>
      </c>
      <c r="N1258" s="3" t="s">
        <v>633</v>
      </c>
      <c r="O1258" s="3" t="s">
        <v>693</v>
      </c>
      <c r="P1258" s="3" t="s">
        <v>1617</v>
      </c>
      <c r="Q1258" s="30" t="str">
        <f t="shared" si="19"/>
        <v>MAX : 0.915
TARGET : 0.865
MIN : 0.815</v>
      </c>
    </row>
    <row r="1259" spans="2:17" ht="41.4" x14ac:dyDescent="0.3">
      <c r="B1259">
        <v>0</v>
      </c>
      <c r="C1259" s="33">
        <v>6661</v>
      </c>
      <c r="D1259" s="2">
        <v>1832</v>
      </c>
      <c r="E1259" s="2" t="s">
        <v>8387</v>
      </c>
      <c r="F1259" s="3" t="s">
        <v>14206</v>
      </c>
      <c r="H1259" s="3" t="s">
        <v>491</v>
      </c>
      <c r="K1259" s="2">
        <v>10</v>
      </c>
      <c r="L1259" s="2">
        <v>3</v>
      </c>
      <c r="M1259" s="3" t="s">
        <v>1720</v>
      </c>
      <c r="N1259" s="3" t="s">
        <v>13</v>
      </c>
      <c r="O1259" s="3" t="s">
        <v>14</v>
      </c>
      <c r="Q1259" s="30" t="str">
        <f t="shared" si="19"/>
        <v>MAX : 
TARGET : Yes(Pass)
MIN : No(Fail)</v>
      </c>
    </row>
    <row r="1260" spans="2:17" ht="41.4" x14ac:dyDescent="0.3">
      <c r="B1260">
        <v>1</v>
      </c>
      <c r="C1260" s="33">
        <v>6340</v>
      </c>
      <c r="D1260" s="2">
        <v>1015</v>
      </c>
      <c r="E1260" s="2" t="s">
        <v>8046</v>
      </c>
      <c r="F1260" s="3" t="s">
        <v>14207</v>
      </c>
      <c r="H1260" s="3" t="s">
        <v>648</v>
      </c>
      <c r="K1260" s="2">
        <v>10</v>
      </c>
      <c r="L1260" s="2">
        <v>2</v>
      </c>
      <c r="M1260" s="3" t="s">
        <v>625</v>
      </c>
      <c r="N1260" s="3" t="s">
        <v>1648</v>
      </c>
      <c r="O1260" s="3" t="s">
        <v>1649</v>
      </c>
      <c r="P1260" s="3" t="s">
        <v>1650</v>
      </c>
      <c r="Q1260" s="30" t="str">
        <f t="shared" si="19"/>
        <v>MAX : 25.9
TARGET : 25.4
MIN : 24.9</v>
      </c>
    </row>
    <row r="1261" spans="2:17" ht="41.4" x14ac:dyDescent="0.3">
      <c r="B1261">
        <v>1</v>
      </c>
      <c r="C1261" s="33">
        <v>6340</v>
      </c>
      <c r="D1261" s="2">
        <v>1015</v>
      </c>
      <c r="E1261" s="2" t="s">
        <v>8046</v>
      </c>
      <c r="F1261" s="3" t="s">
        <v>14207</v>
      </c>
      <c r="H1261" s="3" t="s">
        <v>648</v>
      </c>
      <c r="K1261" s="2">
        <v>10</v>
      </c>
      <c r="L1261" s="2">
        <v>1</v>
      </c>
      <c r="M1261" s="3" t="s">
        <v>1645</v>
      </c>
      <c r="N1261" s="3" t="s">
        <v>1646</v>
      </c>
      <c r="O1261" s="3" t="s">
        <v>1647</v>
      </c>
      <c r="P1261" s="3" t="s">
        <v>780</v>
      </c>
      <c r="Q1261" s="30" t="str">
        <f t="shared" si="19"/>
        <v>MAX : 14.5
TARGET : 14.0
MIN : 13.5</v>
      </c>
    </row>
    <row r="1262" spans="2:17" ht="41.4" x14ac:dyDescent="0.3">
      <c r="B1262">
        <v>0</v>
      </c>
      <c r="C1262" s="33">
        <v>6677</v>
      </c>
      <c r="D1262" s="2">
        <v>1833</v>
      </c>
      <c r="E1262" s="2" t="s">
        <v>8394</v>
      </c>
      <c r="F1262" s="3" t="s">
        <v>14206</v>
      </c>
      <c r="H1262" s="3" t="s">
        <v>261</v>
      </c>
      <c r="K1262" s="2">
        <v>20</v>
      </c>
      <c r="L1262" s="2">
        <v>3</v>
      </c>
      <c r="M1262" s="3" t="s">
        <v>1897</v>
      </c>
      <c r="N1262" s="3" t="s">
        <v>13</v>
      </c>
      <c r="O1262" s="3" t="s">
        <v>14</v>
      </c>
      <c r="Q1262" s="30" t="str">
        <f t="shared" si="19"/>
        <v>MAX : 
TARGET : Yes(Pass)
MIN : No(Fail)</v>
      </c>
    </row>
    <row r="1263" spans="2:17" ht="41.4" x14ac:dyDescent="0.3">
      <c r="B1263">
        <v>0</v>
      </c>
      <c r="C1263" s="33">
        <v>6677</v>
      </c>
      <c r="D1263" s="2">
        <v>1833</v>
      </c>
      <c r="E1263" s="2" t="s">
        <v>8394</v>
      </c>
      <c r="F1263" s="3" t="s">
        <v>14206</v>
      </c>
      <c r="H1263" s="3" t="s">
        <v>261</v>
      </c>
      <c r="K1263" s="2">
        <v>20</v>
      </c>
      <c r="L1263" s="2">
        <v>4</v>
      </c>
      <c r="M1263" s="3" t="s">
        <v>1898</v>
      </c>
      <c r="N1263" s="3" t="s">
        <v>13</v>
      </c>
      <c r="O1263" s="3" t="s">
        <v>14</v>
      </c>
      <c r="Q1263" s="30" t="str">
        <f t="shared" si="19"/>
        <v>MAX : 
TARGET : Yes(Pass)
MIN : No(Fail)</v>
      </c>
    </row>
    <row r="1264" spans="2:17" ht="41.4" x14ac:dyDescent="0.3">
      <c r="B1264">
        <v>0</v>
      </c>
      <c r="C1264" s="33">
        <v>6677</v>
      </c>
      <c r="D1264" s="2">
        <v>1833</v>
      </c>
      <c r="E1264" s="2" t="s">
        <v>8394</v>
      </c>
      <c r="F1264" s="3" t="s">
        <v>14206</v>
      </c>
      <c r="H1264" s="3" t="s">
        <v>261</v>
      </c>
      <c r="K1264" s="2">
        <v>20</v>
      </c>
      <c r="L1264" s="2">
        <v>5</v>
      </c>
      <c r="M1264" s="3" t="s">
        <v>1899</v>
      </c>
      <c r="N1264" s="3" t="s">
        <v>13</v>
      </c>
      <c r="O1264" s="3" t="s">
        <v>14</v>
      </c>
      <c r="Q1264" s="30" t="str">
        <f t="shared" si="19"/>
        <v>MAX : 
TARGET : Yes(Pass)
MIN : No(Fail)</v>
      </c>
    </row>
    <row r="1265" spans="2:18" ht="41.4" x14ac:dyDescent="0.3">
      <c r="B1265">
        <v>1</v>
      </c>
      <c r="C1265" s="33">
        <v>6340</v>
      </c>
      <c r="D1265" s="2">
        <v>1015</v>
      </c>
      <c r="E1265" s="2" t="s">
        <v>8046</v>
      </c>
      <c r="F1265" s="3" t="s">
        <v>14207</v>
      </c>
      <c r="H1265" s="3" t="s">
        <v>648</v>
      </c>
      <c r="K1265" s="2">
        <v>10</v>
      </c>
      <c r="L1265" s="2">
        <v>5</v>
      </c>
      <c r="M1265" s="3" t="s">
        <v>1654</v>
      </c>
      <c r="N1265" s="3" t="s">
        <v>13</v>
      </c>
      <c r="O1265" s="3" t="s">
        <v>14</v>
      </c>
      <c r="Q1265" s="30" t="str">
        <f t="shared" si="19"/>
        <v>MAX : 
TARGET : Yes(Pass)
MIN : No(Fail)</v>
      </c>
    </row>
    <row r="1266" spans="2:18" ht="41.4" x14ac:dyDescent="0.3">
      <c r="B1266">
        <v>1</v>
      </c>
      <c r="C1266" s="33">
        <v>6342</v>
      </c>
      <c r="D1266" s="2">
        <v>1803</v>
      </c>
      <c r="E1266" s="2" t="s">
        <v>8052</v>
      </c>
      <c r="F1266" s="3" t="s">
        <v>14206</v>
      </c>
      <c r="H1266" s="3" t="s">
        <v>11</v>
      </c>
      <c r="K1266" s="2">
        <v>10</v>
      </c>
      <c r="L1266" s="2">
        <v>2</v>
      </c>
      <c r="M1266" s="3" t="s">
        <v>1613</v>
      </c>
      <c r="N1266" s="3" t="s">
        <v>13</v>
      </c>
      <c r="O1266" s="3" t="s">
        <v>14</v>
      </c>
      <c r="Q1266" s="30" t="str">
        <f t="shared" si="19"/>
        <v>MAX : 
TARGET : Yes(Pass)
MIN : No(Fail)</v>
      </c>
      <c r="R1266" s="3" t="s">
        <v>1512</v>
      </c>
    </row>
    <row r="1267" spans="2:18" ht="41.4" x14ac:dyDescent="0.3">
      <c r="B1267">
        <v>0</v>
      </c>
      <c r="C1267" s="33">
        <v>6695</v>
      </c>
      <c r="D1267" s="2">
        <v>1039</v>
      </c>
      <c r="E1267" s="2" t="s">
        <v>8402</v>
      </c>
      <c r="F1267" s="3" t="s">
        <v>14206</v>
      </c>
      <c r="H1267" s="3" t="s">
        <v>713</v>
      </c>
      <c r="K1267" s="2">
        <v>20</v>
      </c>
      <c r="L1267" s="2">
        <v>3</v>
      </c>
      <c r="M1267" s="3" t="s">
        <v>1901</v>
      </c>
      <c r="N1267" s="3" t="s">
        <v>13</v>
      </c>
      <c r="O1267" s="3" t="s">
        <v>14</v>
      </c>
      <c r="Q1267" s="30" t="str">
        <f t="shared" si="19"/>
        <v>MAX : 
TARGET : Yes(Pass)
MIN : No(Fail)</v>
      </c>
    </row>
    <row r="1268" spans="2:18" ht="41.4" x14ac:dyDescent="0.3">
      <c r="B1268">
        <v>0</v>
      </c>
      <c r="C1268" s="33">
        <v>6695</v>
      </c>
      <c r="D1268" s="2">
        <v>1039</v>
      </c>
      <c r="E1268" s="2" t="s">
        <v>8402</v>
      </c>
      <c r="F1268" s="3" t="s">
        <v>14206</v>
      </c>
      <c r="H1268" s="3" t="s">
        <v>713</v>
      </c>
      <c r="K1268" s="2">
        <v>20</v>
      </c>
      <c r="L1268" s="2">
        <v>4</v>
      </c>
      <c r="M1268" s="3" t="s">
        <v>78</v>
      </c>
      <c r="N1268" s="3" t="s">
        <v>13</v>
      </c>
      <c r="O1268" s="3" t="s">
        <v>14</v>
      </c>
      <c r="Q1268" s="30" t="str">
        <f t="shared" si="19"/>
        <v>MAX : 
TARGET : Yes(Pass)
MIN : No(Fail)</v>
      </c>
    </row>
    <row r="1269" spans="2:18" ht="41.4" x14ac:dyDescent="0.3">
      <c r="B1269">
        <v>0</v>
      </c>
      <c r="C1269" s="33">
        <v>6695</v>
      </c>
      <c r="D1269" s="2">
        <v>1039</v>
      </c>
      <c r="E1269" s="2" t="s">
        <v>8402</v>
      </c>
      <c r="F1269" s="3" t="s">
        <v>14206</v>
      </c>
      <c r="H1269" s="3" t="s">
        <v>713</v>
      </c>
      <c r="K1269" s="2">
        <v>20</v>
      </c>
      <c r="L1269" s="2">
        <v>5</v>
      </c>
      <c r="M1269" s="3" t="s">
        <v>1902</v>
      </c>
      <c r="N1269" s="3" t="s">
        <v>13</v>
      </c>
      <c r="O1269" s="3" t="s">
        <v>14</v>
      </c>
      <c r="Q1269" s="30" t="str">
        <f t="shared" si="19"/>
        <v>MAX : 
TARGET : Yes(Pass)
MIN : No(Fail)</v>
      </c>
    </row>
    <row r="1270" spans="2:18" ht="41.4" x14ac:dyDescent="0.3">
      <c r="B1270">
        <v>1</v>
      </c>
      <c r="C1270" s="33">
        <v>6342</v>
      </c>
      <c r="D1270" s="2">
        <v>1803</v>
      </c>
      <c r="E1270" s="2" t="s">
        <v>8052</v>
      </c>
      <c r="F1270" s="3" t="s">
        <v>14206</v>
      </c>
      <c r="H1270" s="3" t="s">
        <v>11</v>
      </c>
      <c r="K1270" s="2">
        <v>10</v>
      </c>
      <c r="L1270" s="2">
        <v>1</v>
      </c>
      <c r="M1270" s="3" t="s">
        <v>1610</v>
      </c>
      <c r="N1270" s="3" t="s">
        <v>1611</v>
      </c>
      <c r="O1270" s="3" t="s">
        <v>8</v>
      </c>
      <c r="P1270" s="3" t="s">
        <v>1612</v>
      </c>
      <c r="Q1270" s="30" t="str">
        <f t="shared" si="19"/>
        <v>MAX : +0.015
TARGET : Target
MIN : -0.015</v>
      </c>
      <c r="R1270" s="3" t="s">
        <v>1512</v>
      </c>
    </row>
    <row r="1271" spans="2:18" ht="41.4" x14ac:dyDescent="0.3">
      <c r="B1271">
        <v>1</v>
      </c>
      <c r="C1271" s="33">
        <v>6342</v>
      </c>
      <c r="D1271" s="2">
        <v>1803</v>
      </c>
      <c r="E1271" s="2" t="s">
        <v>8052</v>
      </c>
      <c r="F1271" s="3" t="s">
        <v>14206</v>
      </c>
      <c r="H1271" s="3" t="s">
        <v>11</v>
      </c>
      <c r="K1271" s="2">
        <v>10</v>
      </c>
      <c r="L1271" s="2">
        <v>3</v>
      </c>
      <c r="M1271" s="3" t="s">
        <v>1720</v>
      </c>
      <c r="N1271" s="3" t="s">
        <v>13</v>
      </c>
      <c r="O1271" s="3" t="s">
        <v>14</v>
      </c>
      <c r="Q1271" s="30" t="str">
        <f t="shared" si="19"/>
        <v>MAX : 
TARGET : Yes(Pass)
MIN : No(Fail)</v>
      </c>
      <c r="R1271" s="3" t="s">
        <v>1512</v>
      </c>
    </row>
    <row r="1272" spans="2:18" ht="41.4" x14ac:dyDescent="0.3">
      <c r="B1272">
        <v>0</v>
      </c>
      <c r="C1272" s="33">
        <v>6703</v>
      </c>
      <c r="D1272" s="2">
        <v>1834</v>
      </c>
      <c r="E1272" s="2" t="s">
        <v>8408</v>
      </c>
      <c r="F1272" s="3" t="s">
        <v>14206</v>
      </c>
      <c r="H1272" s="3" t="s">
        <v>1903</v>
      </c>
      <c r="K1272" s="2">
        <v>10</v>
      </c>
      <c r="L1272" s="2">
        <v>3</v>
      </c>
      <c r="M1272" s="3" t="s">
        <v>1720</v>
      </c>
      <c r="N1272" s="3" t="s">
        <v>13</v>
      </c>
      <c r="O1272" s="3" t="s">
        <v>14</v>
      </c>
      <c r="Q1272" s="30" t="str">
        <f t="shared" si="19"/>
        <v>MAX : 
TARGET : Yes(Pass)
MIN : No(Fail)</v>
      </c>
    </row>
    <row r="1273" spans="2:18" ht="41.4" x14ac:dyDescent="0.3">
      <c r="B1273">
        <v>1</v>
      </c>
      <c r="C1273" s="33">
        <v>6345</v>
      </c>
      <c r="D1273" s="2">
        <v>1804</v>
      </c>
      <c r="E1273" s="2" t="s">
        <v>8057</v>
      </c>
      <c r="F1273" s="3" t="s">
        <v>14206</v>
      </c>
      <c r="H1273" s="3" t="s">
        <v>269</v>
      </c>
      <c r="K1273" s="2">
        <v>10</v>
      </c>
      <c r="L1273" s="2">
        <v>2</v>
      </c>
      <c r="M1273" s="3" t="s">
        <v>1613</v>
      </c>
      <c r="N1273" s="3" t="s">
        <v>13</v>
      </c>
      <c r="O1273" s="3" t="s">
        <v>14</v>
      </c>
      <c r="Q1273" s="30" t="str">
        <f t="shared" si="19"/>
        <v>MAX : 
TARGET : Yes(Pass)
MIN : No(Fail)</v>
      </c>
      <c r="R1273" s="3" t="s">
        <v>1512</v>
      </c>
    </row>
    <row r="1274" spans="2:18" ht="41.4" x14ac:dyDescent="0.3">
      <c r="B1274">
        <v>1</v>
      </c>
      <c r="C1274" s="33">
        <v>6345</v>
      </c>
      <c r="D1274" s="2">
        <v>1804</v>
      </c>
      <c r="E1274" s="2" t="s">
        <v>8057</v>
      </c>
      <c r="F1274" s="3" t="s">
        <v>14206</v>
      </c>
      <c r="H1274" s="3" t="s">
        <v>269</v>
      </c>
      <c r="K1274" s="2">
        <v>10</v>
      </c>
      <c r="L1274" s="2">
        <v>1</v>
      </c>
      <c r="M1274" s="3" t="s">
        <v>1610</v>
      </c>
      <c r="N1274" s="3" t="s">
        <v>1611</v>
      </c>
      <c r="O1274" s="3" t="s">
        <v>8</v>
      </c>
      <c r="P1274" s="3" t="s">
        <v>1612</v>
      </c>
      <c r="Q1274" s="30" t="str">
        <f t="shared" si="19"/>
        <v>MAX : +0.015
TARGET : Target
MIN : -0.015</v>
      </c>
      <c r="R1274" s="3" t="s">
        <v>1512</v>
      </c>
    </row>
    <row r="1275" spans="2:18" ht="41.4" x14ac:dyDescent="0.3">
      <c r="B1275">
        <v>1</v>
      </c>
      <c r="C1275" s="33">
        <v>6345</v>
      </c>
      <c r="D1275" s="2">
        <v>1804</v>
      </c>
      <c r="E1275" s="2" t="s">
        <v>8057</v>
      </c>
      <c r="F1275" s="3" t="s">
        <v>14206</v>
      </c>
      <c r="H1275" s="3" t="s">
        <v>269</v>
      </c>
      <c r="K1275" s="2">
        <v>10</v>
      </c>
      <c r="L1275" s="2">
        <v>3</v>
      </c>
      <c r="M1275" s="3" t="s">
        <v>1720</v>
      </c>
      <c r="N1275" s="3" t="s">
        <v>13</v>
      </c>
      <c r="O1275" s="3" t="s">
        <v>14</v>
      </c>
      <c r="Q1275" s="30" t="str">
        <f t="shared" si="19"/>
        <v>MAX : 
TARGET : Yes(Pass)
MIN : No(Fail)</v>
      </c>
      <c r="R1275" s="3" t="s">
        <v>1512</v>
      </c>
    </row>
    <row r="1276" spans="2:18" ht="41.4" x14ac:dyDescent="0.3">
      <c r="B1276">
        <v>0</v>
      </c>
      <c r="C1276" s="33">
        <v>6710</v>
      </c>
      <c r="D1276" s="2">
        <v>1835</v>
      </c>
      <c r="E1276" s="2" t="s">
        <v>8421</v>
      </c>
      <c r="F1276" s="3" t="s">
        <v>14206</v>
      </c>
      <c r="H1276" s="3" t="s">
        <v>261</v>
      </c>
      <c r="K1276" s="2">
        <v>20</v>
      </c>
      <c r="L1276" s="2">
        <v>3</v>
      </c>
      <c r="M1276" s="3" t="s">
        <v>1897</v>
      </c>
      <c r="N1276" s="3" t="s">
        <v>13</v>
      </c>
      <c r="O1276" s="3" t="s">
        <v>14</v>
      </c>
      <c r="Q1276" s="30" t="str">
        <f t="shared" si="19"/>
        <v>MAX : 
TARGET : Yes(Pass)
MIN : No(Fail)</v>
      </c>
    </row>
    <row r="1277" spans="2:18" ht="41.4" x14ac:dyDescent="0.3">
      <c r="B1277">
        <v>0</v>
      </c>
      <c r="C1277" s="33">
        <v>6710</v>
      </c>
      <c r="D1277" s="2">
        <v>1835</v>
      </c>
      <c r="E1277" s="2" t="s">
        <v>8421</v>
      </c>
      <c r="F1277" s="3" t="s">
        <v>14206</v>
      </c>
      <c r="H1277" s="3" t="s">
        <v>261</v>
      </c>
      <c r="K1277" s="2">
        <v>20</v>
      </c>
      <c r="L1277" s="2">
        <v>4</v>
      </c>
      <c r="M1277" s="3" t="s">
        <v>1898</v>
      </c>
      <c r="N1277" s="3" t="s">
        <v>13</v>
      </c>
      <c r="O1277" s="3" t="s">
        <v>14</v>
      </c>
      <c r="Q1277" s="30" t="str">
        <f t="shared" si="19"/>
        <v>MAX : 
TARGET : Yes(Pass)
MIN : No(Fail)</v>
      </c>
    </row>
    <row r="1278" spans="2:18" ht="41.4" x14ac:dyDescent="0.3">
      <c r="B1278">
        <v>0</v>
      </c>
      <c r="C1278" s="33">
        <v>6710</v>
      </c>
      <c r="D1278" s="2">
        <v>1835</v>
      </c>
      <c r="E1278" s="2" t="s">
        <v>8421</v>
      </c>
      <c r="F1278" s="3" t="s">
        <v>14206</v>
      </c>
      <c r="H1278" s="3" t="s">
        <v>261</v>
      </c>
      <c r="K1278" s="2">
        <v>20</v>
      </c>
      <c r="L1278" s="2">
        <v>5</v>
      </c>
      <c r="M1278" s="3" t="s">
        <v>1899</v>
      </c>
      <c r="N1278" s="3" t="s">
        <v>13</v>
      </c>
      <c r="O1278" s="3" t="s">
        <v>14</v>
      </c>
      <c r="Q1278" s="30" t="str">
        <f t="shared" si="19"/>
        <v>MAX : 
TARGET : Yes(Pass)
MIN : No(Fail)</v>
      </c>
    </row>
    <row r="1279" spans="2:18" ht="41.4" x14ac:dyDescent="0.3">
      <c r="B1279">
        <v>1</v>
      </c>
      <c r="C1279" s="33">
        <v>6377</v>
      </c>
      <c r="D1279" s="2">
        <v>1805</v>
      </c>
      <c r="E1279" s="2" t="s">
        <v>8063</v>
      </c>
      <c r="F1279" s="3" t="s">
        <v>14206</v>
      </c>
      <c r="H1279" s="3" t="s">
        <v>11</v>
      </c>
      <c r="K1279" t="s">
        <v>6295</v>
      </c>
      <c r="L1279" s="2">
        <v>2</v>
      </c>
      <c r="M1279" s="3" t="s">
        <v>1613</v>
      </c>
      <c r="N1279" s="3" t="s">
        <v>13</v>
      </c>
      <c r="O1279" s="3" t="s">
        <v>14</v>
      </c>
      <c r="Q1279" s="30" t="str">
        <f t="shared" si="19"/>
        <v>MAX : 
TARGET : Yes(Pass)
MIN : No(Fail)</v>
      </c>
      <c r="R1279" s="3" t="s">
        <v>1512</v>
      </c>
    </row>
    <row r="1280" spans="2:18" ht="41.4" x14ac:dyDescent="0.3">
      <c r="B1280">
        <v>1</v>
      </c>
      <c r="C1280" s="33">
        <v>6377</v>
      </c>
      <c r="D1280" s="2">
        <v>1805</v>
      </c>
      <c r="E1280" s="2" t="s">
        <v>8063</v>
      </c>
      <c r="F1280" s="3" t="s">
        <v>14206</v>
      </c>
      <c r="H1280" s="3" t="s">
        <v>11</v>
      </c>
      <c r="K1280" t="s">
        <v>6295</v>
      </c>
      <c r="L1280" s="2">
        <v>1</v>
      </c>
      <c r="M1280" s="3" t="s">
        <v>1610</v>
      </c>
      <c r="N1280" s="3" t="s">
        <v>1611</v>
      </c>
      <c r="O1280" s="3" t="s">
        <v>8</v>
      </c>
      <c r="P1280" s="3" t="s">
        <v>1612</v>
      </c>
      <c r="Q1280" s="30" t="str">
        <f t="shared" si="19"/>
        <v>MAX : +0.015
TARGET : Target
MIN : -0.015</v>
      </c>
      <c r="R1280" s="3" t="s">
        <v>1512</v>
      </c>
    </row>
    <row r="1281" spans="2:18" ht="41.4" x14ac:dyDescent="0.3">
      <c r="B1281">
        <v>0</v>
      </c>
      <c r="C1281" s="33">
        <v>6722</v>
      </c>
      <c r="D1281" s="2">
        <v>1836</v>
      </c>
      <c r="E1281" s="2" t="s">
        <v>8425</v>
      </c>
      <c r="F1281" s="3" t="s">
        <v>14206</v>
      </c>
      <c r="H1281" s="3" t="s">
        <v>1903</v>
      </c>
      <c r="I1281" s="3" t="s">
        <v>487</v>
      </c>
      <c r="K1281" s="2">
        <v>10</v>
      </c>
      <c r="L1281" s="2">
        <v>3</v>
      </c>
      <c r="M1281" s="3" t="s">
        <v>1914</v>
      </c>
      <c r="N1281" s="3" t="s">
        <v>13</v>
      </c>
      <c r="O1281" s="3" t="s">
        <v>14</v>
      </c>
      <c r="Q1281" s="30" t="str">
        <f t="shared" si="19"/>
        <v>MAX : 
TARGET : Yes(Pass)
MIN : No(Fail)</v>
      </c>
    </row>
    <row r="1282" spans="2:18" ht="41.4" x14ac:dyDescent="0.3">
      <c r="B1282">
        <v>1</v>
      </c>
      <c r="C1282" s="33">
        <v>6377</v>
      </c>
      <c r="D1282" s="2">
        <v>1805</v>
      </c>
      <c r="E1282" s="2" t="s">
        <v>8063</v>
      </c>
      <c r="F1282" s="3" t="s">
        <v>14206</v>
      </c>
      <c r="H1282" s="3" t="s">
        <v>11</v>
      </c>
      <c r="K1282" t="s">
        <v>6295</v>
      </c>
      <c r="L1282" s="2">
        <v>3</v>
      </c>
      <c r="M1282" s="3" t="s">
        <v>1720</v>
      </c>
      <c r="N1282" s="3" t="s">
        <v>13</v>
      </c>
      <c r="O1282" s="3" t="s">
        <v>14</v>
      </c>
      <c r="Q1282" s="30" t="str">
        <f t="shared" ref="Q1282:Q1345" si="20">"MAX : " &amp; P1282 &amp; CHAR(10) &amp; "TARGET : " &amp; O1282 &amp; CHAR(10) &amp; "MIN : " &amp; N1282</f>
        <v>MAX : 
TARGET : Yes(Pass)
MIN : No(Fail)</v>
      </c>
      <c r="R1282" s="3" t="s">
        <v>1512</v>
      </c>
    </row>
    <row r="1283" spans="2:18" ht="41.4" x14ac:dyDescent="0.3">
      <c r="B1283">
        <v>1</v>
      </c>
      <c r="C1283" s="33">
        <v>6391</v>
      </c>
      <c r="D1283" s="2">
        <v>1016</v>
      </c>
      <c r="E1283" s="2" t="s">
        <v>8076</v>
      </c>
      <c r="F1283" s="3" t="s">
        <v>14206</v>
      </c>
      <c r="H1283" s="3" t="s">
        <v>504</v>
      </c>
      <c r="K1283" s="2">
        <v>10</v>
      </c>
      <c r="L1283" s="2">
        <v>2</v>
      </c>
      <c r="M1283" s="3" t="s">
        <v>1279</v>
      </c>
      <c r="N1283" s="3" t="s">
        <v>1661</v>
      </c>
      <c r="O1283" s="3" t="s">
        <v>1662</v>
      </c>
      <c r="P1283" s="3" t="s">
        <v>1663</v>
      </c>
      <c r="Q1283" s="30" t="str">
        <f t="shared" si="20"/>
        <v>MAX : 0.775
TARGET : 0.760
MIN : 0.745</v>
      </c>
    </row>
    <row r="1284" spans="2:18" ht="41.4" x14ac:dyDescent="0.3">
      <c r="B1284">
        <v>0</v>
      </c>
      <c r="C1284" s="33">
        <v>6729</v>
      </c>
      <c r="D1284" s="2">
        <v>1041</v>
      </c>
      <c r="E1284" s="2" t="s">
        <v>8431</v>
      </c>
      <c r="F1284" s="3" t="s">
        <v>14207</v>
      </c>
      <c r="H1284" s="3" t="s">
        <v>1915</v>
      </c>
      <c r="K1284" s="2">
        <v>10</v>
      </c>
      <c r="L1284" s="2">
        <v>3</v>
      </c>
      <c r="M1284" s="3" t="s">
        <v>1922</v>
      </c>
      <c r="N1284" s="3" t="s">
        <v>13</v>
      </c>
      <c r="O1284" s="3" t="s">
        <v>14</v>
      </c>
      <c r="Q1284" s="30" t="str">
        <f t="shared" si="20"/>
        <v>MAX : 
TARGET : Yes(Pass)
MIN : No(Fail)</v>
      </c>
    </row>
    <row r="1285" spans="2:18" ht="41.4" x14ac:dyDescent="0.3">
      <c r="B1285">
        <v>0</v>
      </c>
      <c r="C1285" s="33">
        <v>6729</v>
      </c>
      <c r="D1285" s="2">
        <v>1041</v>
      </c>
      <c r="E1285" s="2" t="s">
        <v>8431</v>
      </c>
      <c r="F1285" s="3" t="s">
        <v>14207</v>
      </c>
      <c r="H1285" s="3" t="s">
        <v>1915</v>
      </c>
      <c r="K1285" s="2">
        <v>10</v>
      </c>
      <c r="L1285" s="2">
        <v>4</v>
      </c>
      <c r="M1285" s="3" t="s">
        <v>134</v>
      </c>
      <c r="N1285" s="3" t="s">
        <v>851</v>
      </c>
      <c r="O1285" s="3" t="s">
        <v>14</v>
      </c>
      <c r="Q1285" s="30" t="str">
        <f t="shared" si="20"/>
        <v>MAX : 
TARGET : Yes(Pass)
MIN : No(fail)</v>
      </c>
    </row>
    <row r="1286" spans="2:18" ht="41.4" x14ac:dyDescent="0.3">
      <c r="B1286">
        <v>1</v>
      </c>
      <c r="C1286" s="33">
        <v>6391</v>
      </c>
      <c r="D1286" s="2">
        <v>1016</v>
      </c>
      <c r="E1286" s="2" t="s">
        <v>8076</v>
      </c>
      <c r="F1286" s="3" t="s">
        <v>14206</v>
      </c>
      <c r="H1286" s="3" t="s">
        <v>504</v>
      </c>
      <c r="K1286" s="2">
        <v>10</v>
      </c>
      <c r="L1286" s="2">
        <v>1</v>
      </c>
      <c r="M1286" s="3" t="s">
        <v>1658</v>
      </c>
      <c r="N1286" s="3" t="s">
        <v>710</v>
      </c>
      <c r="O1286" s="3" t="s">
        <v>1659</v>
      </c>
      <c r="P1286" s="3" t="s">
        <v>1660</v>
      </c>
      <c r="Q1286" s="30" t="str">
        <f t="shared" si="20"/>
        <v>MAX : 0.525
TARGET : 0.510
MIN : 0.495</v>
      </c>
    </row>
    <row r="1287" spans="2:18" ht="41.4" x14ac:dyDescent="0.3">
      <c r="B1287">
        <v>1</v>
      </c>
      <c r="C1287" s="33">
        <v>6411</v>
      </c>
      <c r="D1287" s="2">
        <v>1807</v>
      </c>
      <c r="E1287" s="2" t="s">
        <v>8084</v>
      </c>
      <c r="F1287" s="3" t="s">
        <v>14207</v>
      </c>
      <c r="G1287" s="3" t="s">
        <v>1665</v>
      </c>
      <c r="H1287" s="3" t="s">
        <v>30</v>
      </c>
      <c r="I1287" s="3" t="s">
        <v>575</v>
      </c>
      <c r="K1287" s="2">
        <v>20</v>
      </c>
      <c r="L1287" s="2">
        <v>2</v>
      </c>
      <c r="M1287" s="3" t="s">
        <v>1668</v>
      </c>
      <c r="N1287" s="3" t="s">
        <v>1669</v>
      </c>
      <c r="O1287" s="3" t="s">
        <v>1670</v>
      </c>
      <c r="P1287" s="3" t="s">
        <v>1542</v>
      </c>
      <c r="Q1287" s="30" t="str">
        <f t="shared" si="20"/>
        <v>MAX : 12.82
TARGET : 12.70
MIN : 12.58</v>
      </c>
    </row>
    <row r="1288" spans="2:18" ht="41.4" x14ac:dyDescent="0.3">
      <c r="B1288">
        <v>1</v>
      </c>
      <c r="C1288" s="33">
        <v>6411</v>
      </c>
      <c r="D1288" s="2">
        <v>1807</v>
      </c>
      <c r="E1288" s="2" t="s">
        <v>8084</v>
      </c>
      <c r="F1288" s="3" t="s">
        <v>14207</v>
      </c>
      <c r="G1288" s="3" t="s">
        <v>1665</v>
      </c>
      <c r="H1288" s="3" t="s">
        <v>30</v>
      </c>
      <c r="I1288" s="3" t="s">
        <v>575</v>
      </c>
      <c r="K1288" s="2">
        <v>20</v>
      </c>
      <c r="L1288" s="2">
        <v>1</v>
      </c>
      <c r="M1288" s="3" t="s">
        <v>1666</v>
      </c>
      <c r="N1288" s="3" t="s">
        <v>1667</v>
      </c>
      <c r="O1288" s="3" t="s">
        <v>253</v>
      </c>
      <c r="P1288" s="3" t="s">
        <v>505</v>
      </c>
      <c r="Q1288" s="30" t="str">
        <f t="shared" si="20"/>
        <v>MAX : 4.12
TARGET : 4.00
MIN : 3.88</v>
      </c>
    </row>
    <row r="1289" spans="2:18" ht="41.4" x14ac:dyDescent="0.3">
      <c r="B1289">
        <v>1</v>
      </c>
      <c r="C1289" s="33">
        <v>6411</v>
      </c>
      <c r="D1289" s="2">
        <v>1807</v>
      </c>
      <c r="E1289" s="2" t="s">
        <v>8084</v>
      </c>
      <c r="F1289" s="3" t="s">
        <v>14207</v>
      </c>
      <c r="G1289" s="3" t="s">
        <v>1665</v>
      </c>
      <c r="H1289" s="3" t="s">
        <v>30</v>
      </c>
      <c r="I1289" s="3" t="s">
        <v>575</v>
      </c>
      <c r="K1289" s="2">
        <v>20</v>
      </c>
      <c r="L1289" s="2">
        <v>6</v>
      </c>
      <c r="M1289" s="3" t="s">
        <v>1868</v>
      </c>
      <c r="N1289" s="3" t="s">
        <v>13</v>
      </c>
      <c r="O1289" s="3" t="s">
        <v>14</v>
      </c>
      <c r="Q1289" s="30" t="str">
        <f t="shared" si="20"/>
        <v>MAX : 
TARGET : Yes(Pass)
MIN : No(Fail)</v>
      </c>
    </row>
    <row r="1290" spans="2:18" ht="41.4" x14ac:dyDescent="0.3">
      <c r="B1290">
        <v>0</v>
      </c>
      <c r="C1290" s="33">
        <v>6738</v>
      </c>
      <c r="D1290" s="2">
        <v>1043</v>
      </c>
      <c r="E1290" s="2" t="s">
        <v>8443</v>
      </c>
      <c r="F1290" s="3" t="s">
        <v>14206</v>
      </c>
      <c r="H1290" s="3" t="s">
        <v>469</v>
      </c>
      <c r="K1290" s="2">
        <v>10</v>
      </c>
      <c r="L1290" s="2">
        <v>3</v>
      </c>
      <c r="M1290" s="3" t="s">
        <v>1923</v>
      </c>
      <c r="N1290" s="3" t="s">
        <v>462</v>
      </c>
      <c r="O1290" s="3" t="s">
        <v>424</v>
      </c>
      <c r="P1290" s="3" t="s">
        <v>463</v>
      </c>
      <c r="Q1290" s="30" t="str">
        <f t="shared" si="20"/>
        <v>MAX : 0.28
TARGET : 0.25
MIN : 0.22</v>
      </c>
    </row>
    <row r="1291" spans="2:18" ht="41.4" x14ac:dyDescent="0.3">
      <c r="B1291">
        <v>0</v>
      </c>
      <c r="C1291" s="33">
        <v>6738</v>
      </c>
      <c r="D1291" s="2">
        <v>1043</v>
      </c>
      <c r="E1291" s="2" t="s">
        <v>8443</v>
      </c>
      <c r="F1291" s="3" t="s">
        <v>14206</v>
      </c>
      <c r="H1291" s="3" t="s">
        <v>469</v>
      </c>
      <c r="K1291" s="2">
        <v>10</v>
      </c>
      <c r="L1291" s="2">
        <v>4</v>
      </c>
      <c r="M1291" s="3" t="s">
        <v>1924</v>
      </c>
      <c r="N1291" s="3" t="s">
        <v>13</v>
      </c>
      <c r="O1291" s="3" t="s">
        <v>14</v>
      </c>
      <c r="Q1291" s="30" t="str">
        <f t="shared" si="20"/>
        <v>MAX : 
TARGET : Yes(Pass)
MIN : No(Fail)</v>
      </c>
    </row>
    <row r="1292" spans="2:18" ht="41.4" x14ac:dyDescent="0.3">
      <c r="B1292">
        <v>1</v>
      </c>
      <c r="C1292" s="33">
        <v>6415</v>
      </c>
      <c r="D1292" s="2">
        <v>1017</v>
      </c>
      <c r="E1292" s="2" t="s">
        <v>8092</v>
      </c>
      <c r="F1292" s="3" t="s">
        <v>14206</v>
      </c>
      <c r="H1292" s="3" t="s">
        <v>922</v>
      </c>
      <c r="K1292" t="s">
        <v>6295</v>
      </c>
      <c r="L1292" s="2">
        <v>2</v>
      </c>
      <c r="M1292" s="3" t="s">
        <v>18</v>
      </c>
      <c r="N1292" s="3" t="s">
        <v>927</v>
      </c>
      <c r="O1292" s="3" t="s">
        <v>276</v>
      </c>
      <c r="P1292" s="3" t="s">
        <v>928</v>
      </c>
      <c r="Q1292" s="30" t="str">
        <f t="shared" si="20"/>
        <v>MAX : 0.395
TARGET : 0.375
MIN : 0.355</v>
      </c>
      <c r="R1292" s="3" t="s">
        <v>926</v>
      </c>
    </row>
    <row r="1293" spans="2:18" ht="41.4" x14ac:dyDescent="0.3">
      <c r="B1293">
        <v>1</v>
      </c>
      <c r="C1293" s="33">
        <v>6415</v>
      </c>
      <c r="D1293" s="2">
        <v>1017</v>
      </c>
      <c r="E1293" s="2" t="s">
        <v>8092</v>
      </c>
      <c r="F1293" s="3" t="s">
        <v>14206</v>
      </c>
      <c r="H1293" s="3" t="s">
        <v>922</v>
      </c>
      <c r="K1293" t="s">
        <v>6295</v>
      </c>
      <c r="L1293" s="2">
        <v>1</v>
      </c>
      <c r="M1293" s="3" t="s">
        <v>22</v>
      </c>
      <c r="N1293" s="3" t="s">
        <v>1683</v>
      </c>
      <c r="O1293" s="3" t="s">
        <v>340</v>
      </c>
      <c r="P1293" s="3" t="s">
        <v>1684</v>
      </c>
      <c r="Q1293" s="30" t="str">
        <f t="shared" si="20"/>
        <v>MAX : 3.52
TARGET : 3.50
MIN : 3.48</v>
      </c>
      <c r="R1293" s="3" t="s">
        <v>926</v>
      </c>
    </row>
    <row r="1294" spans="2:18" ht="41.4" x14ac:dyDescent="0.3">
      <c r="B1294">
        <v>1</v>
      </c>
      <c r="C1294" s="33">
        <v>6422</v>
      </c>
      <c r="D1294" s="2">
        <v>1018</v>
      </c>
      <c r="E1294" s="2" t="s">
        <v>8098</v>
      </c>
      <c r="F1294" s="3" t="s">
        <v>14206</v>
      </c>
      <c r="H1294" s="3" t="s">
        <v>11</v>
      </c>
      <c r="K1294" s="2">
        <v>20</v>
      </c>
      <c r="L1294" s="2">
        <v>1</v>
      </c>
      <c r="M1294" s="3" t="s">
        <v>1704</v>
      </c>
      <c r="N1294" s="3" t="s">
        <v>1603</v>
      </c>
      <c r="O1294" s="3" t="s">
        <v>1705</v>
      </c>
      <c r="P1294" s="3" t="s">
        <v>1706</v>
      </c>
      <c r="Q1294" s="30" t="str">
        <f t="shared" si="20"/>
        <v>MAX : 0.285
TARGET : 0.275
MIN : 0.265</v>
      </c>
    </row>
    <row r="1295" spans="2:18" ht="41.4" x14ac:dyDescent="0.3">
      <c r="B1295">
        <v>1</v>
      </c>
      <c r="C1295" s="33">
        <v>6422</v>
      </c>
      <c r="D1295" s="2">
        <v>1018</v>
      </c>
      <c r="E1295" s="2" t="s">
        <v>8098</v>
      </c>
      <c r="F1295" s="3" t="s">
        <v>14206</v>
      </c>
      <c r="H1295" s="3" t="s">
        <v>11</v>
      </c>
      <c r="K1295" s="2">
        <v>10</v>
      </c>
      <c r="L1295" s="2">
        <v>1</v>
      </c>
      <c r="M1295" s="3" t="s">
        <v>1700</v>
      </c>
      <c r="N1295" s="3" t="s">
        <v>1701</v>
      </c>
      <c r="O1295" s="3" t="s">
        <v>1702</v>
      </c>
      <c r="P1295" s="3" t="s">
        <v>1703</v>
      </c>
      <c r="Q1295" s="30" t="str">
        <f t="shared" si="20"/>
        <v>MAX : 0.60
TARGET : 0.59
MIN : 0.58</v>
      </c>
    </row>
    <row r="1296" spans="2:18" ht="41.4" x14ac:dyDescent="0.3">
      <c r="B1296">
        <v>0</v>
      </c>
      <c r="C1296" s="33">
        <v>6756</v>
      </c>
      <c r="D1296" s="2">
        <v>1044</v>
      </c>
      <c r="E1296" s="2" t="s">
        <v>8464</v>
      </c>
      <c r="F1296" s="3" t="s">
        <v>14206</v>
      </c>
      <c r="H1296" s="3" t="s">
        <v>713</v>
      </c>
      <c r="K1296" s="2">
        <v>20</v>
      </c>
      <c r="L1296" s="2">
        <v>3</v>
      </c>
      <c r="M1296" s="3" t="s">
        <v>1928</v>
      </c>
      <c r="N1296" s="3" t="s">
        <v>264</v>
      </c>
      <c r="O1296" s="3" t="s">
        <v>1927</v>
      </c>
      <c r="P1296" s="3" t="s">
        <v>1531</v>
      </c>
      <c r="Q1296" s="30" t="str">
        <f t="shared" si="20"/>
        <v>MAX : 0.56
TARGET : 0.54
MIN : 0.52</v>
      </c>
    </row>
    <row r="1297" spans="2:18" ht="41.4" x14ac:dyDescent="0.3">
      <c r="B1297">
        <v>1</v>
      </c>
      <c r="C1297" s="33">
        <v>6422</v>
      </c>
      <c r="D1297" s="2">
        <v>1018</v>
      </c>
      <c r="E1297" s="2" t="s">
        <v>8098</v>
      </c>
      <c r="F1297" s="3" t="s">
        <v>14206</v>
      </c>
      <c r="H1297" s="3" t="s">
        <v>11</v>
      </c>
      <c r="K1297" s="2">
        <v>20</v>
      </c>
      <c r="L1297" s="2">
        <v>3</v>
      </c>
      <c r="M1297" s="3" t="s">
        <v>1753</v>
      </c>
      <c r="N1297" s="3" t="s">
        <v>13</v>
      </c>
      <c r="O1297" s="3" t="s">
        <v>14</v>
      </c>
      <c r="Q1297" s="30" t="str">
        <f t="shared" si="20"/>
        <v>MAX : 
TARGET : Yes(Pass)
MIN : No(Fail)</v>
      </c>
    </row>
    <row r="1298" spans="2:18" ht="41.4" x14ac:dyDescent="0.3">
      <c r="B1298">
        <v>1</v>
      </c>
      <c r="C1298" s="33">
        <v>6422</v>
      </c>
      <c r="D1298" s="2">
        <v>1018</v>
      </c>
      <c r="E1298" s="2" t="s">
        <v>8098</v>
      </c>
      <c r="F1298" s="3" t="s">
        <v>14206</v>
      </c>
      <c r="H1298" s="3" t="s">
        <v>11</v>
      </c>
      <c r="K1298" s="2">
        <v>20</v>
      </c>
      <c r="L1298" s="2">
        <v>4</v>
      </c>
      <c r="M1298" s="3" t="s">
        <v>1710</v>
      </c>
      <c r="N1298" s="3" t="s">
        <v>13</v>
      </c>
      <c r="O1298" s="3" t="s">
        <v>14</v>
      </c>
      <c r="Q1298" s="30" t="str">
        <f t="shared" si="20"/>
        <v>MAX : 
TARGET : Yes(Pass)
MIN : No(Fail)</v>
      </c>
    </row>
    <row r="1299" spans="2:18" ht="41.4" x14ac:dyDescent="0.3">
      <c r="B1299">
        <v>0</v>
      </c>
      <c r="C1299" s="33">
        <v>6761</v>
      </c>
      <c r="D1299" s="2">
        <v>1045</v>
      </c>
      <c r="E1299" s="2" t="s">
        <v>8471</v>
      </c>
      <c r="F1299" s="3" t="s">
        <v>14206</v>
      </c>
      <c r="H1299" s="3" t="s">
        <v>648</v>
      </c>
      <c r="K1299" s="2">
        <v>30</v>
      </c>
      <c r="L1299" s="2">
        <v>3</v>
      </c>
      <c r="M1299" s="3" t="s">
        <v>1935</v>
      </c>
      <c r="N1299" s="3" t="s">
        <v>1936</v>
      </c>
      <c r="O1299" s="3" t="s">
        <v>1937</v>
      </c>
      <c r="P1299" s="3" t="s">
        <v>1938</v>
      </c>
      <c r="Q1299" s="30" t="str">
        <f t="shared" si="20"/>
        <v>MAX : 0.205
TARGET : 0.190
MIN : 0.175</v>
      </c>
      <c r="R1299" s="3" t="s">
        <v>1638</v>
      </c>
    </row>
    <row r="1300" spans="2:18" ht="41.4" x14ac:dyDescent="0.3">
      <c r="B1300">
        <v>0</v>
      </c>
      <c r="C1300" s="33">
        <v>6761</v>
      </c>
      <c r="D1300" s="2">
        <v>1045</v>
      </c>
      <c r="E1300" s="2" t="s">
        <v>8471</v>
      </c>
      <c r="F1300" s="3" t="s">
        <v>14206</v>
      </c>
      <c r="H1300" s="3" t="s">
        <v>648</v>
      </c>
      <c r="K1300" s="2">
        <v>30</v>
      </c>
      <c r="L1300" s="2">
        <v>4</v>
      </c>
      <c r="M1300" s="3" t="s">
        <v>1939</v>
      </c>
      <c r="N1300" s="3" t="s">
        <v>1940</v>
      </c>
      <c r="O1300" s="3" t="s">
        <v>1345</v>
      </c>
      <c r="P1300" s="3" t="s">
        <v>928</v>
      </c>
      <c r="Q1300" s="30" t="str">
        <f t="shared" si="20"/>
        <v>MAX : 0.395
TARGET : 0.380
MIN : 0.365</v>
      </c>
      <c r="R1300" s="3" t="s">
        <v>1638</v>
      </c>
    </row>
    <row r="1301" spans="2:18" ht="41.4" x14ac:dyDescent="0.3">
      <c r="B1301">
        <v>0</v>
      </c>
      <c r="C1301" s="33">
        <v>6761</v>
      </c>
      <c r="D1301" s="2">
        <v>1045</v>
      </c>
      <c r="E1301" s="2" t="s">
        <v>8471</v>
      </c>
      <c r="F1301" s="3" t="s">
        <v>14206</v>
      </c>
      <c r="H1301" s="3" t="s">
        <v>648</v>
      </c>
      <c r="K1301" s="2">
        <v>30</v>
      </c>
      <c r="L1301" s="2">
        <v>5</v>
      </c>
      <c r="M1301" s="3" t="s">
        <v>1941</v>
      </c>
      <c r="N1301" s="3" t="s">
        <v>1942</v>
      </c>
      <c r="O1301" s="3" t="s">
        <v>1453</v>
      </c>
      <c r="P1301" s="3" t="s">
        <v>1943</v>
      </c>
      <c r="Q1301" s="30" t="str">
        <f t="shared" si="20"/>
        <v>MAX : 1.265
TARGET : 1.250
MIN : 1.235</v>
      </c>
      <c r="R1301" s="3" t="s">
        <v>1638</v>
      </c>
    </row>
    <row r="1302" spans="2:18" ht="41.4" x14ac:dyDescent="0.3">
      <c r="B1302">
        <v>0</v>
      </c>
      <c r="C1302" s="33">
        <v>6761</v>
      </c>
      <c r="D1302" s="2">
        <v>1045</v>
      </c>
      <c r="E1302" s="2" t="s">
        <v>8471</v>
      </c>
      <c r="F1302" s="3" t="s">
        <v>14206</v>
      </c>
      <c r="H1302" s="3" t="s">
        <v>648</v>
      </c>
      <c r="K1302" s="2">
        <v>30</v>
      </c>
      <c r="L1302" s="2">
        <v>9</v>
      </c>
      <c r="M1302" s="3" t="s">
        <v>1944</v>
      </c>
      <c r="N1302" s="3" t="s">
        <v>24</v>
      </c>
      <c r="O1302" s="3" t="s">
        <v>25</v>
      </c>
      <c r="Q1302" s="30" t="str">
        <f t="shared" si="20"/>
        <v>MAX : 
TARGET : Yes (Pass)
MIN : No (Fail)</v>
      </c>
      <c r="R1302" s="3" t="s">
        <v>1638</v>
      </c>
    </row>
    <row r="1303" spans="2:18" ht="41.4" x14ac:dyDescent="0.3">
      <c r="B1303">
        <v>0</v>
      </c>
      <c r="C1303" s="33">
        <v>6761</v>
      </c>
      <c r="D1303" s="2">
        <v>1045</v>
      </c>
      <c r="E1303" s="2" t="s">
        <v>8471</v>
      </c>
      <c r="F1303" s="3" t="s">
        <v>14206</v>
      </c>
      <c r="H1303" s="3" t="s">
        <v>648</v>
      </c>
      <c r="K1303" s="2">
        <v>30</v>
      </c>
      <c r="L1303" s="2">
        <v>10</v>
      </c>
      <c r="M1303" s="3" t="s">
        <v>1945</v>
      </c>
      <c r="N1303" s="3" t="s">
        <v>24</v>
      </c>
      <c r="O1303" s="3" t="s">
        <v>25</v>
      </c>
      <c r="Q1303" s="30" t="str">
        <f t="shared" si="20"/>
        <v>MAX : 
TARGET : Yes (Pass)
MIN : No (Fail)</v>
      </c>
      <c r="R1303" s="3" t="s">
        <v>1638</v>
      </c>
    </row>
    <row r="1304" spans="2:18" ht="41.4" x14ac:dyDescent="0.3">
      <c r="B1304">
        <v>1</v>
      </c>
      <c r="C1304" s="33">
        <v>6424</v>
      </c>
      <c r="D1304" s="2">
        <v>1808</v>
      </c>
      <c r="E1304" s="2" t="s">
        <v>8106</v>
      </c>
      <c r="F1304" s="3" t="s">
        <v>14207</v>
      </c>
      <c r="H1304" s="3" t="s">
        <v>1677</v>
      </c>
      <c r="K1304" s="2">
        <v>20</v>
      </c>
      <c r="L1304" s="2">
        <v>2</v>
      </c>
      <c r="M1304" s="3" t="s">
        <v>1609</v>
      </c>
      <c r="N1304" s="3" t="s">
        <v>13</v>
      </c>
      <c r="O1304" s="3" t="s">
        <v>14</v>
      </c>
      <c r="Q1304" s="30" t="str">
        <f t="shared" si="20"/>
        <v>MAX : 
TARGET : Yes(Pass)
MIN : No(Fail)</v>
      </c>
    </row>
    <row r="1305" spans="2:18" ht="41.4" x14ac:dyDescent="0.3">
      <c r="B1305">
        <v>1</v>
      </c>
      <c r="C1305" s="33">
        <v>6424</v>
      </c>
      <c r="D1305" s="2">
        <v>1808</v>
      </c>
      <c r="E1305" s="2" t="s">
        <v>8106</v>
      </c>
      <c r="F1305" s="3" t="s">
        <v>14207</v>
      </c>
      <c r="H1305" s="3" t="s">
        <v>1677</v>
      </c>
      <c r="K1305" s="2">
        <v>20</v>
      </c>
      <c r="L1305" s="2">
        <v>1</v>
      </c>
      <c r="M1305" s="3" t="s">
        <v>99</v>
      </c>
      <c r="N1305" s="3" t="s">
        <v>1678</v>
      </c>
      <c r="O1305" s="3" t="s">
        <v>1145</v>
      </c>
      <c r="P1305" s="3" t="s">
        <v>1679</v>
      </c>
      <c r="Q1305" s="30" t="str">
        <f t="shared" si="20"/>
        <v>MAX : 18.8
TARGET : 18.0
MIN : 17.2</v>
      </c>
    </row>
    <row r="1306" spans="2:18" ht="41.4" x14ac:dyDescent="0.3">
      <c r="B1306">
        <v>1</v>
      </c>
      <c r="C1306" s="33">
        <v>6425</v>
      </c>
      <c r="D1306" s="2">
        <v>1019</v>
      </c>
      <c r="E1306" s="2" t="s">
        <v>8112</v>
      </c>
      <c r="F1306" s="3" t="s">
        <v>14206</v>
      </c>
      <c r="H1306" s="3" t="s">
        <v>504</v>
      </c>
      <c r="K1306" s="2">
        <v>10</v>
      </c>
      <c r="L1306" s="2">
        <v>2</v>
      </c>
      <c r="M1306" s="3" t="s">
        <v>1712</v>
      </c>
      <c r="N1306" s="3" t="s">
        <v>13</v>
      </c>
      <c r="O1306" s="3" t="s">
        <v>14</v>
      </c>
      <c r="Q1306" s="30" t="str">
        <f t="shared" si="20"/>
        <v>MAX : 
TARGET : Yes(Pass)
MIN : No(Fail)</v>
      </c>
      <c r="R1306" s="3" t="s">
        <v>1473</v>
      </c>
    </row>
    <row r="1307" spans="2:18" ht="41.4" x14ac:dyDescent="0.3">
      <c r="B1307">
        <v>1</v>
      </c>
      <c r="C1307" s="33">
        <v>6425</v>
      </c>
      <c r="D1307" s="2">
        <v>1019</v>
      </c>
      <c r="E1307" s="2" t="s">
        <v>8112</v>
      </c>
      <c r="F1307" s="3" t="s">
        <v>14206</v>
      </c>
      <c r="H1307" s="3" t="s">
        <v>504</v>
      </c>
      <c r="K1307" s="2">
        <v>10</v>
      </c>
      <c r="L1307" s="2">
        <v>7</v>
      </c>
      <c r="M1307" s="3" t="s">
        <v>1733</v>
      </c>
      <c r="N1307" s="3" t="s">
        <v>928</v>
      </c>
      <c r="O1307" s="3" t="s">
        <v>1734</v>
      </c>
      <c r="P1307" s="3" t="s">
        <v>1735</v>
      </c>
      <c r="Q1307" s="30" t="str">
        <f t="shared" si="20"/>
        <v>MAX : 0.435
TARGET : 0.415
MIN : 0.395</v>
      </c>
      <c r="R1307" s="3" t="s">
        <v>1473</v>
      </c>
    </row>
    <row r="1308" spans="2:18" ht="41.4" x14ac:dyDescent="0.3">
      <c r="B1308">
        <v>1</v>
      </c>
      <c r="C1308" s="33">
        <v>6425</v>
      </c>
      <c r="D1308" s="2">
        <v>1019</v>
      </c>
      <c r="E1308" s="2" t="s">
        <v>8112</v>
      </c>
      <c r="F1308" s="3" t="s">
        <v>14206</v>
      </c>
      <c r="H1308" s="3" t="s">
        <v>504</v>
      </c>
      <c r="K1308" s="2">
        <v>10</v>
      </c>
      <c r="L1308" s="2">
        <v>1</v>
      </c>
      <c r="M1308" s="3" t="s">
        <v>1711</v>
      </c>
      <c r="N1308" s="3" t="s">
        <v>13</v>
      </c>
      <c r="O1308" s="3" t="s">
        <v>14</v>
      </c>
      <c r="Q1308" s="30" t="str">
        <f t="shared" si="20"/>
        <v>MAX : 
TARGET : Yes(Pass)
MIN : No(Fail)</v>
      </c>
      <c r="R1308" s="3" t="s">
        <v>1473</v>
      </c>
    </row>
    <row r="1309" spans="2:18" ht="41.4" x14ac:dyDescent="0.3">
      <c r="B1309">
        <v>1</v>
      </c>
      <c r="C1309" s="33">
        <v>6425</v>
      </c>
      <c r="D1309" s="2">
        <v>1019</v>
      </c>
      <c r="E1309" s="2" t="s">
        <v>8112</v>
      </c>
      <c r="F1309" s="3" t="s">
        <v>14206</v>
      </c>
      <c r="H1309" s="3" t="s">
        <v>504</v>
      </c>
      <c r="K1309" s="2">
        <v>10</v>
      </c>
      <c r="L1309" s="2">
        <v>6</v>
      </c>
      <c r="M1309" s="3" t="s">
        <v>1730</v>
      </c>
      <c r="N1309" s="3" t="s">
        <v>1731</v>
      </c>
      <c r="O1309" s="3" t="s">
        <v>1732</v>
      </c>
      <c r="P1309" s="3" t="s">
        <v>248</v>
      </c>
      <c r="Q1309" s="30" t="str">
        <f t="shared" si="20"/>
        <v>MAX : 0.41
TARGET : 0.39
MIN : 0.37</v>
      </c>
      <c r="R1309" s="3" t="s">
        <v>1473</v>
      </c>
    </row>
    <row r="1310" spans="2:18" ht="41.4" x14ac:dyDescent="0.3">
      <c r="B1310">
        <v>1</v>
      </c>
      <c r="C1310" s="33">
        <v>6425</v>
      </c>
      <c r="D1310" s="2">
        <v>1019</v>
      </c>
      <c r="E1310" s="2" t="s">
        <v>8112</v>
      </c>
      <c r="F1310" s="3" t="s">
        <v>14206</v>
      </c>
      <c r="H1310" s="3" t="s">
        <v>504</v>
      </c>
      <c r="K1310" s="2">
        <v>10</v>
      </c>
      <c r="L1310" s="2">
        <v>16</v>
      </c>
      <c r="M1310" s="3" t="s">
        <v>2901</v>
      </c>
      <c r="Q1310" s="30" t="str">
        <f t="shared" si="20"/>
        <v xml:space="preserve">MAX : 
TARGET : 
MIN : </v>
      </c>
      <c r="R1310" s="3" t="s">
        <v>1473</v>
      </c>
    </row>
    <row r="1311" spans="2:18" ht="41.4" x14ac:dyDescent="0.3">
      <c r="B1311">
        <v>1</v>
      </c>
      <c r="C1311" s="33">
        <v>6426</v>
      </c>
      <c r="D1311" s="2">
        <v>1809</v>
      </c>
      <c r="E1311" s="2" t="s">
        <v>8120</v>
      </c>
      <c r="F1311" s="3" t="s">
        <v>14206</v>
      </c>
      <c r="H1311" s="3" t="s">
        <v>289</v>
      </c>
      <c r="K1311" s="2">
        <v>10</v>
      </c>
      <c r="L1311" s="2">
        <v>2</v>
      </c>
      <c r="M1311" s="3" t="s">
        <v>1682</v>
      </c>
      <c r="N1311" s="3" t="s">
        <v>13</v>
      </c>
      <c r="O1311" s="3" t="s">
        <v>14</v>
      </c>
      <c r="Q1311" s="30" t="str">
        <f t="shared" si="20"/>
        <v>MAX : 
TARGET : Yes(Pass)
MIN : No(Fail)</v>
      </c>
    </row>
    <row r="1312" spans="2:18" ht="41.4" x14ac:dyDescent="0.3">
      <c r="B1312">
        <v>0</v>
      </c>
      <c r="C1312" s="33">
        <v>6782</v>
      </c>
      <c r="D1312" s="2">
        <v>1046</v>
      </c>
      <c r="E1312" s="2" t="s">
        <v>8506</v>
      </c>
      <c r="F1312" s="3" t="s">
        <v>14206</v>
      </c>
      <c r="H1312" s="3" t="s">
        <v>1949</v>
      </c>
      <c r="K1312" s="2">
        <v>10</v>
      </c>
      <c r="L1312" s="2">
        <v>3</v>
      </c>
      <c r="M1312" s="3" t="s">
        <v>1951</v>
      </c>
      <c r="N1312" s="3" t="s">
        <v>13</v>
      </c>
      <c r="O1312" s="3" t="s">
        <v>14</v>
      </c>
      <c r="Q1312" s="30" t="str">
        <f t="shared" si="20"/>
        <v>MAX : 
TARGET : Yes(Pass)
MIN : No(Fail)</v>
      </c>
    </row>
    <row r="1313" spans="2:17" ht="41.4" x14ac:dyDescent="0.3">
      <c r="B1313">
        <v>1</v>
      </c>
      <c r="C1313" s="33">
        <v>6426</v>
      </c>
      <c r="D1313" s="2">
        <v>1809</v>
      </c>
      <c r="E1313" s="2" t="s">
        <v>8120</v>
      </c>
      <c r="F1313" s="3" t="s">
        <v>14206</v>
      </c>
      <c r="H1313" s="3" t="s">
        <v>289</v>
      </c>
      <c r="K1313" s="2">
        <v>10</v>
      </c>
      <c r="L1313" s="2">
        <v>1</v>
      </c>
      <c r="M1313" s="3" t="s">
        <v>99</v>
      </c>
      <c r="N1313" s="3" t="s">
        <v>1680</v>
      </c>
      <c r="O1313" s="3" t="s">
        <v>790</v>
      </c>
      <c r="P1313" s="3" t="s">
        <v>1681</v>
      </c>
      <c r="Q1313" s="30" t="str">
        <f t="shared" si="20"/>
        <v>MAX : 2.31
TARGET : 2.25
MIN : 2.19</v>
      </c>
    </row>
    <row r="1314" spans="2:17" ht="41.4" x14ac:dyDescent="0.3">
      <c r="B1314">
        <v>1</v>
      </c>
      <c r="C1314" s="33">
        <v>6427</v>
      </c>
      <c r="D1314" s="2">
        <v>1020</v>
      </c>
      <c r="E1314" s="2" t="s">
        <v>8127</v>
      </c>
      <c r="F1314" s="3" t="s">
        <v>14206</v>
      </c>
      <c r="H1314" s="3" t="s">
        <v>1687</v>
      </c>
      <c r="K1314" s="2">
        <v>10</v>
      </c>
      <c r="L1314" s="2">
        <v>2</v>
      </c>
      <c r="M1314" s="3" t="s">
        <v>1691</v>
      </c>
      <c r="N1314" s="3" t="s">
        <v>777</v>
      </c>
      <c r="O1314" s="3" t="s">
        <v>1692</v>
      </c>
      <c r="P1314" s="3" t="s">
        <v>1693</v>
      </c>
      <c r="Q1314" s="30" t="str">
        <f t="shared" si="20"/>
        <v>MAX : 0.14
TARGET : 0.11
MIN : 0.08</v>
      </c>
    </row>
    <row r="1315" spans="2:17" ht="41.4" x14ac:dyDescent="0.3">
      <c r="B1315">
        <v>0</v>
      </c>
      <c r="C1315" s="33">
        <v>6704</v>
      </c>
      <c r="D1315" s="2">
        <v>1040</v>
      </c>
      <c r="E1315" s="2" t="s">
        <v>8415</v>
      </c>
      <c r="F1315" s="3" t="s">
        <v>14206</v>
      </c>
      <c r="H1315" s="3" t="s">
        <v>1952</v>
      </c>
      <c r="K1315" s="2">
        <v>20</v>
      </c>
      <c r="L1315" s="2">
        <v>3</v>
      </c>
      <c r="M1315" s="3" t="s">
        <v>422</v>
      </c>
      <c r="N1315" s="3" t="s">
        <v>1958</v>
      </c>
      <c r="O1315" s="3" t="s">
        <v>1959</v>
      </c>
      <c r="P1315" s="3" t="s">
        <v>1960</v>
      </c>
      <c r="Q1315" s="30" t="str">
        <f t="shared" si="20"/>
        <v>MAX : 0.329
TARGET : 0.266
MIN : 0.203</v>
      </c>
    </row>
    <row r="1316" spans="2:17" ht="41.4" x14ac:dyDescent="0.3">
      <c r="B1316">
        <v>0</v>
      </c>
      <c r="C1316" s="33">
        <v>6704</v>
      </c>
      <c r="D1316" s="2">
        <v>1040</v>
      </c>
      <c r="E1316" s="2" t="s">
        <v>8415</v>
      </c>
      <c r="F1316" s="3" t="s">
        <v>14206</v>
      </c>
      <c r="H1316" s="3" t="s">
        <v>1952</v>
      </c>
      <c r="K1316" s="2">
        <v>20</v>
      </c>
      <c r="L1316" s="2">
        <v>4</v>
      </c>
      <c r="M1316" s="3" t="s">
        <v>134</v>
      </c>
      <c r="N1316" s="3" t="s">
        <v>13</v>
      </c>
      <c r="O1316" s="3" t="s">
        <v>14</v>
      </c>
      <c r="Q1316" s="30" t="str">
        <f t="shared" si="20"/>
        <v>MAX : 
TARGET : Yes(Pass)
MIN : No(Fail)</v>
      </c>
    </row>
    <row r="1317" spans="2:17" ht="41.4" x14ac:dyDescent="0.3">
      <c r="B1317">
        <v>1</v>
      </c>
      <c r="C1317" s="33">
        <v>6427</v>
      </c>
      <c r="D1317" s="2">
        <v>1020</v>
      </c>
      <c r="E1317" s="2" t="s">
        <v>8127</v>
      </c>
      <c r="F1317" s="3" t="s">
        <v>14206</v>
      </c>
      <c r="H1317" s="3" t="s">
        <v>1687</v>
      </c>
      <c r="K1317" s="2">
        <v>10</v>
      </c>
      <c r="L1317" s="2">
        <v>1</v>
      </c>
      <c r="M1317" s="3" t="s">
        <v>1469</v>
      </c>
      <c r="N1317" s="3" t="s">
        <v>1688</v>
      </c>
      <c r="O1317" s="3" t="s">
        <v>1689</v>
      </c>
      <c r="P1317" s="3" t="s">
        <v>1690</v>
      </c>
      <c r="Q1317" s="30" t="str">
        <f t="shared" si="20"/>
        <v>MAX : 2.83
TARGET : 2.80
MIN : 2.77</v>
      </c>
    </row>
    <row r="1318" spans="2:17" ht="41.4" x14ac:dyDescent="0.3">
      <c r="B1318">
        <v>1</v>
      </c>
      <c r="C1318" s="33">
        <v>6441</v>
      </c>
      <c r="D1318" s="2">
        <v>1021</v>
      </c>
      <c r="E1318" s="2" t="s">
        <v>8135</v>
      </c>
      <c r="F1318" s="3" t="s">
        <v>14206</v>
      </c>
      <c r="H1318" s="3" t="s">
        <v>1721</v>
      </c>
      <c r="K1318" s="2">
        <v>10</v>
      </c>
      <c r="L1318" s="2">
        <v>2</v>
      </c>
      <c r="M1318" s="3" t="s">
        <v>467</v>
      </c>
      <c r="N1318" s="3" t="s">
        <v>814</v>
      </c>
      <c r="O1318" s="3" t="s">
        <v>815</v>
      </c>
      <c r="P1318" s="3" t="s">
        <v>816</v>
      </c>
      <c r="Q1318" s="30" t="str">
        <f t="shared" si="20"/>
        <v>MAX : 3.03
TARGET : 3.00
MIN : 2.97</v>
      </c>
    </row>
    <row r="1319" spans="2:17" ht="41.4" x14ac:dyDescent="0.3">
      <c r="B1319">
        <v>0</v>
      </c>
      <c r="C1319" s="33">
        <v>6786</v>
      </c>
      <c r="D1319" s="2">
        <v>1047</v>
      </c>
      <c r="E1319" s="2" t="s">
        <v>8513</v>
      </c>
      <c r="F1319" s="3" t="s">
        <v>14206</v>
      </c>
      <c r="H1319" s="3" t="s">
        <v>600</v>
      </c>
      <c r="K1319" s="2">
        <v>10</v>
      </c>
      <c r="L1319" s="2">
        <v>3</v>
      </c>
      <c r="M1319" s="3" t="s">
        <v>198</v>
      </c>
      <c r="N1319" s="3" t="s">
        <v>459</v>
      </c>
      <c r="O1319" s="3" t="s">
        <v>406</v>
      </c>
      <c r="P1319" s="3" t="s">
        <v>460</v>
      </c>
      <c r="Q1319" s="30" t="str">
        <f t="shared" si="20"/>
        <v>MAX : 2.03
TARGET : 2.00
MIN : 1.97</v>
      </c>
    </row>
    <row r="1320" spans="2:17" ht="41.4" x14ac:dyDescent="0.3">
      <c r="B1320">
        <v>0</v>
      </c>
      <c r="C1320" s="33">
        <v>6786</v>
      </c>
      <c r="D1320" s="2">
        <v>1047</v>
      </c>
      <c r="E1320" s="2" t="s">
        <v>8513</v>
      </c>
      <c r="F1320" s="3" t="s">
        <v>14206</v>
      </c>
      <c r="H1320" s="3" t="s">
        <v>600</v>
      </c>
      <c r="K1320" s="2">
        <v>10</v>
      </c>
      <c r="L1320" s="2">
        <v>4</v>
      </c>
      <c r="M1320" s="3" t="s">
        <v>1964</v>
      </c>
      <c r="N1320" s="3" t="s">
        <v>1965</v>
      </c>
      <c r="O1320" s="3" t="s">
        <v>1966</v>
      </c>
      <c r="P1320" s="3" t="s">
        <v>1967</v>
      </c>
      <c r="Q1320" s="30" t="str">
        <f t="shared" si="20"/>
        <v>MAX : 6.93
TARGET : 6.90
MIN : 6.87</v>
      </c>
    </row>
    <row r="1321" spans="2:17" ht="41.4" x14ac:dyDescent="0.3">
      <c r="B1321">
        <v>0</v>
      </c>
      <c r="C1321" s="33">
        <v>6786</v>
      </c>
      <c r="D1321" s="2">
        <v>1047</v>
      </c>
      <c r="E1321" s="2" t="s">
        <v>8513</v>
      </c>
      <c r="F1321" s="3" t="s">
        <v>14206</v>
      </c>
      <c r="H1321" s="3" t="s">
        <v>600</v>
      </c>
      <c r="K1321" s="2">
        <v>10</v>
      </c>
      <c r="L1321" s="2">
        <v>5</v>
      </c>
      <c r="M1321" s="3" t="s">
        <v>1968</v>
      </c>
      <c r="N1321" s="3" t="s">
        <v>1969</v>
      </c>
      <c r="O1321" s="3" t="s">
        <v>273</v>
      </c>
      <c r="P1321" s="3" t="s">
        <v>771</v>
      </c>
      <c r="Q1321" s="30" t="str">
        <f t="shared" si="20"/>
        <v>MAX : 1.16
TARGET : 1.13
MIN : 1.10</v>
      </c>
    </row>
    <row r="1322" spans="2:17" ht="41.4" x14ac:dyDescent="0.3">
      <c r="B1322">
        <v>0</v>
      </c>
      <c r="C1322" s="33">
        <v>6786</v>
      </c>
      <c r="D1322" s="2">
        <v>1047</v>
      </c>
      <c r="E1322" s="2" t="s">
        <v>8513</v>
      </c>
      <c r="F1322" s="3" t="s">
        <v>14206</v>
      </c>
      <c r="H1322" s="3" t="s">
        <v>600</v>
      </c>
      <c r="K1322" s="2">
        <v>10</v>
      </c>
      <c r="L1322" s="2">
        <v>6</v>
      </c>
      <c r="M1322" s="3" t="s">
        <v>1970</v>
      </c>
      <c r="N1322" s="3" t="s">
        <v>13</v>
      </c>
      <c r="O1322" s="3" t="s">
        <v>14</v>
      </c>
      <c r="Q1322" s="30" t="str">
        <f t="shared" si="20"/>
        <v>MAX : 
TARGET : Yes(Pass)
MIN : No(Fail)</v>
      </c>
    </row>
    <row r="1323" spans="2:17" ht="41.4" x14ac:dyDescent="0.3">
      <c r="B1323">
        <v>1</v>
      </c>
      <c r="C1323" s="33">
        <v>6441</v>
      </c>
      <c r="D1323" s="2">
        <v>1021</v>
      </c>
      <c r="E1323" s="2" t="s">
        <v>8135</v>
      </c>
      <c r="F1323" s="3" t="s">
        <v>14206</v>
      </c>
      <c r="H1323" s="3" t="s">
        <v>1721</v>
      </c>
      <c r="K1323" s="2">
        <v>10</v>
      </c>
      <c r="L1323" s="2">
        <v>1</v>
      </c>
      <c r="M1323" s="3" t="s">
        <v>109</v>
      </c>
      <c r="N1323" s="3" t="s">
        <v>1722</v>
      </c>
      <c r="O1323" s="3" t="s">
        <v>1723</v>
      </c>
      <c r="P1323" s="3" t="s">
        <v>1724</v>
      </c>
      <c r="Q1323" s="30" t="str">
        <f t="shared" si="20"/>
        <v>MAX : 11.66
TARGET : 11.63
MIN : 11.60</v>
      </c>
    </row>
    <row r="1324" spans="2:17" ht="41.4" x14ac:dyDescent="0.3">
      <c r="B1324">
        <v>1</v>
      </c>
      <c r="C1324" s="33">
        <v>6442</v>
      </c>
      <c r="D1324" s="2">
        <v>1022</v>
      </c>
      <c r="E1324" s="2" t="s">
        <v>8142</v>
      </c>
      <c r="F1324" s="3" t="s">
        <v>14206</v>
      </c>
      <c r="H1324" s="3" t="s">
        <v>1721</v>
      </c>
      <c r="K1324" s="2">
        <v>10</v>
      </c>
      <c r="L1324" s="2">
        <v>2</v>
      </c>
      <c r="M1324" s="3" t="s">
        <v>467</v>
      </c>
      <c r="N1324" s="3" t="s">
        <v>1726</v>
      </c>
      <c r="O1324" s="3" t="s">
        <v>340</v>
      </c>
      <c r="P1324" s="3" t="s">
        <v>1727</v>
      </c>
      <c r="Q1324" s="30" t="str">
        <f t="shared" si="20"/>
        <v>MAX : 3.53
TARGET : 3.50
MIN : 3.47</v>
      </c>
    </row>
    <row r="1325" spans="2:17" ht="41.4" x14ac:dyDescent="0.3">
      <c r="B1325">
        <v>0</v>
      </c>
      <c r="C1325" s="33">
        <v>6792</v>
      </c>
      <c r="D1325" s="2">
        <v>1843</v>
      </c>
      <c r="E1325" s="2" t="s">
        <v>8520</v>
      </c>
      <c r="F1325" s="3" t="s">
        <v>14206</v>
      </c>
      <c r="H1325" s="3" t="s">
        <v>269</v>
      </c>
      <c r="K1325" s="2">
        <v>10</v>
      </c>
      <c r="L1325" s="2">
        <v>3</v>
      </c>
      <c r="M1325" s="3" t="s">
        <v>1720</v>
      </c>
      <c r="N1325" s="3" t="s">
        <v>13</v>
      </c>
      <c r="O1325" s="3" t="s">
        <v>14</v>
      </c>
      <c r="Q1325" s="30" t="str">
        <f t="shared" si="20"/>
        <v>MAX : 
TARGET : Yes(Pass)
MIN : No(Fail)</v>
      </c>
    </row>
    <row r="1326" spans="2:17" ht="41.4" x14ac:dyDescent="0.3">
      <c r="B1326">
        <v>1</v>
      </c>
      <c r="C1326" s="33">
        <v>6442</v>
      </c>
      <c r="D1326" s="2">
        <v>1022</v>
      </c>
      <c r="E1326" s="2" t="s">
        <v>8142</v>
      </c>
      <c r="F1326" s="3" t="s">
        <v>14206</v>
      </c>
      <c r="H1326" s="3" t="s">
        <v>1721</v>
      </c>
      <c r="K1326" s="2">
        <v>10</v>
      </c>
      <c r="L1326" s="2">
        <v>1</v>
      </c>
      <c r="M1326" s="3" t="s">
        <v>109</v>
      </c>
      <c r="N1326" s="3" t="s">
        <v>1722</v>
      </c>
      <c r="O1326" s="3" t="s">
        <v>1723</v>
      </c>
      <c r="P1326" s="3" t="s">
        <v>1724</v>
      </c>
      <c r="Q1326" s="30" t="str">
        <f t="shared" si="20"/>
        <v>MAX : 11.66
TARGET : 11.63
MIN : 11.60</v>
      </c>
    </row>
    <row r="1327" spans="2:17" ht="41.4" x14ac:dyDescent="0.3">
      <c r="B1327">
        <v>1</v>
      </c>
      <c r="C1327" s="33">
        <v>6445</v>
      </c>
      <c r="D1327" s="2">
        <v>1023</v>
      </c>
      <c r="E1327" s="2" t="s">
        <v>8149</v>
      </c>
      <c r="F1327" s="3" t="s">
        <v>14206</v>
      </c>
      <c r="H1327" s="3" t="s">
        <v>986</v>
      </c>
      <c r="K1327" s="2">
        <v>10</v>
      </c>
      <c r="L1327" s="2">
        <v>2</v>
      </c>
      <c r="M1327" s="3" t="s">
        <v>1729</v>
      </c>
      <c r="N1327" s="3" t="s">
        <v>13</v>
      </c>
      <c r="O1327" s="3" t="s">
        <v>14</v>
      </c>
      <c r="Q1327" s="30" t="str">
        <f t="shared" si="20"/>
        <v>MAX : 
TARGET : Yes(Pass)
MIN : No(Fail)</v>
      </c>
    </row>
    <row r="1328" spans="2:17" ht="41.4" x14ac:dyDescent="0.3">
      <c r="B1328">
        <v>0</v>
      </c>
      <c r="C1328" s="33">
        <v>6800</v>
      </c>
      <c r="D1328" s="2">
        <v>1048</v>
      </c>
      <c r="E1328" s="2" t="s">
        <v>8525</v>
      </c>
      <c r="F1328" s="3" t="s">
        <v>14206</v>
      </c>
      <c r="H1328" s="3" t="s">
        <v>1328</v>
      </c>
      <c r="K1328" s="2">
        <v>20</v>
      </c>
      <c r="L1328" s="2">
        <v>2</v>
      </c>
      <c r="M1328" s="3" t="s">
        <v>1973</v>
      </c>
      <c r="N1328" s="3" t="s">
        <v>13</v>
      </c>
      <c r="O1328" s="3" t="s">
        <v>14</v>
      </c>
      <c r="Q1328" s="30" t="str">
        <f t="shared" si="20"/>
        <v>MAX : 
TARGET : Yes(Pass)
MIN : No(Fail)</v>
      </c>
    </row>
    <row r="1329" spans="2:18" ht="41.4" x14ac:dyDescent="0.3">
      <c r="B1329">
        <v>1</v>
      </c>
      <c r="C1329" s="33">
        <v>6445</v>
      </c>
      <c r="D1329" s="2">
        <v>1023</v>
      </c>
      <c r="E1329" s="2" t="s">
        <v>8149</v>
      </c>
      <c r="F1329" s="3" t="s">
        <v>14206</v>
      </c>
      <c r="H1329" s="3" t="s">
        <v>986</v>
      </c>
      <c r="K1329" s="2">
        <v>10</v>
      </c>
      <c r="L1329" s="2">
        <v>1</v>
      </c>
      <c r="M1329" s="3" t="s">
        <v>1728</v>
      </c>
      <c r="N1329" s="3" t="s">
        <v>13</v>
      </c>
      <c r="O1329" s="3" t="s">
        <v>14</v>
      </c>
      <c r="Q1329" s="30" t="str">
        <f t="shared" si="20"/>
        <v>MAX : 
TARGET : Yes(Pass)
MIN : No(Fail)</v>
      </c>
    </row>
    <row r="1330" spans="2:18" ht="41.4" x14ac:dyDescent="0.3">
      <c r="B1330">
        <v>1</v>
      </c>
      <c r="C1330" s="33">
        <v>6460</v>
      </c>
      <c r="D1330" s="2">
        <v>1810</v>
      </c>
      <c r="E1330" s="2" t="s">
        <v>8155</v>
      </c>
      <c r="F1330" s="3" t="s">
        <v>14206</v>
      </c>
      <c r="H1330" s="3" t="s">
        <v>289</v>
      </c>
      <c r="K1330" s="2">
        <v>20</v>
      </c>
      <c r="L1330" s="2">
        <v>2</v>
      </c>
      <c r="M1330" s="3" t="s">
        <v>194</v>
      </c>
      <c r="N1330" s="3" t="s">
        <v>1772</v>
      </c>
      <c r="O1330" s="3" t="s">
        <v>1773</v>
      </c>
      <c r="P1330" s="3" t="s">
        <v>1774</v>
      </c>
      <c r="Q1330" s="30" t="str">
        <f t="shared" si="20"/>
        <v>MAX : 3.34
TARGET : 3.31
MIN : 3.28</v>
      </c>
    </row>
    <row r="1331" spans="2:18" ht="41.4" x14ac:dyDescent="0.3">
      <c r="B1331">
        <v>1</v>
      </c>
      <c r="C1331" s="33">
        <v>6460</v>
      </c>
      <c r="D1331" s="2">
        <v>1810</v>
      </c>
      <c r="E1331" s="2" t="s">
        <v>8155</v>
      </c>
      <c r="F1331" s="3" t="s">
        <v>14206</v>
      </c>
      <c r="H1331" s="3" t="s">
        <v>289</v>
      </c>
      <c r="K1331" s="2">
        <v>20</v>
      </c>
      <c r="L1331" s="2">
        <v>1</v>
      </c>
      <c r="M1331" s="3" t="s">
        <v>198</v>
      </c>
      <c r="N1331" s="3" t="s">
        <v>419</v>
      </c>
      <c r="O1331" s="3" t="s">
        <v>1770</v>
      </c>
      <c r="P1331" s="3" t="s">
        <v>1771</v>
      </c>
      <c r="Q1331" s="30" t="str">
        <f t="shared" si="20"/>
        <v>MAX : 1.34
TARGET : 1.31
MIN : 1.28</v>
      </c>
    </row>
    <row r="1332" spans="2:18" ht="41.4" x14ac:dyDescent="0.3">
      <c r="B1332">
        <v>1</v>
      </c>
      <c r="C1332" s="33">
        <v>6461</v>
      </c>
      <c r="D1332" s="2">
        <v>1811</v>
      </c>
      <c r="E1332" s="2" t="s">
        <v>8162</v>
      </c>
      <c r="F1332" s="3" t="s">
        <v>14206</v>
      </c>
      <c r="H1332" s="3" t="s">
        <v>1754</v>
      </c>
      <c r="K1332" s="2">
        <v>20</v>
      </c>
      <c r="L1332" s="2">
        <v>2</v>
      </c>
      <c r="M1332" s="3" t="s">
        <v>134</v>
      </c>
      <c r="N1332" s="3" t="s">
        <v>13</v>
      </c>
      <c r="O1332" s="3" t="s">
        <v>14</v>
      </c>
      <c r="Q1332" s="30" t="str">
        <f t="shared" si="20"/>
        <v>MAX : 
TARGET : Yes(Pass)
MIN : No(Fail)</v>
      </c>
    </row>
    <row r="1333" spans="2:18" ht="41.4" x14ac:dyDescent="0.3">
      <c r="B1333">
        <v>0</v>
      </c>
      <c r="C1333" s="33">
        <v>6770</v>
      </c>
      <c r="D1333" s="2">
        <v>1842</v>
      </c>
      <c r="E1333" s="2" t="s">
        <v>8499</v>
      </c>
      <c r="F1333" s="3" t="s">
        <v>14206</v>
      </c>
      <c r="H1333" s="3" t="s">
        <v>491</v>
      </c>
      <c r="K1333" t="s">
        <v>6295</v>
      </c>
      <c r="L1333" s="2">
        <v>3</v>
      </c>
      <c r="M1333" s="3" t="s">
        <v>1720</v>
      </c>
      <c r="N1333" s="3" t="s">
        <v>13</v>
      </c>
      <c r="O1333" s="3" t="s">
        <v>14</v>
      </c>
      <c r="Q1333" s="30" t="str">
        <f t="shared" si="20"/>
        <v>MAX : 
TARGET : Yes(Pass)
MIN : No(Fail)</v>
      </c>
    </row>
    <row r="1334" spans="2:18" ht="41.4" x14ac:dyDescent="0.3">
      <c r="B1334">
        <v>1</v>
      </c>
      <c r="C1334" s="33">
        <v>6461</v>
      </c>
      <c r="D1334" s="2">
        <v>1811</v>
      </c>
      <c r="E1334" s="2" t="s">
        <v>8162</v>
      </c>
      <c r="F1334" s="3" t="s">
        <v>14206</v>
      </c>
      <c r="H1334" s="3" t="s">
        <v>1754</v>
      </c>
      <c r="K1334" s="2">
        <v>20</v>
      </c>
      <c r="L1334" s="2">
        <v>1</v>
      </c>
      <c r="M1334" s="3" t="s">
        <v>74</v>
      </c>
      <c r="N1334" s="3" t="s">
        <v>420</v>
      </c>
      <c r="O1334" s="3" t="s">
        <v>272</v>
      </c>
      <c r="P1334" s="3" t="s">
        <v>414</v>
      </c>
      <c r="Q1334" s="30" t="str">
        <f t="shared" si="20"/>
        <v>MAX : 1.03
TARGET : 1.00
MIN : 0.97</v>
      </c>
    </row>
    <row r="1335" spans="2:18" ht="41.4" x14ac:dyDescent="0.3">
      <c r="B1335">
        <v>1</v>
      </c>
      <c r="C1335" s="33">
        <v>6464</v>
      </c>
      <c r="D1335" s="2">
        <v>1812</v>
      </c>
      <c r="E1335" s="2" t="s">
        <v>8169</v>
      </c>
      <c r="F1335" s="3" t="s">
        <v>14206</v>
      </c>
      <c r="H1335" s="3" t="s">
        <v>98</v>
      </c>
      <c r="K1335" s="2">
        <v>20</v>
      </c>
      <c r="L1335" s="2">
        <v>2</v>
      </c>
      <c r="M1335" s="3" t="s">
        <v>194</v>
      </c>
      <c r="N1335" s="3" t="s">
        <v>1757</v>
      </c>
      <c r="O1335" s="3" t="s">
        <v>1255</v>
      </c>
      <c r="P1335" s="3" t="s">
        <v>1758</v>
      </c>
      <c r="Q1335" s="30" t="str">
        <f t="shared" si="20"/>
        <v>MAX : 10.905
TARGET : 10.875
MIN : 10.845</v>
      </c>
    </row>
    <row r="1336" spans="2:18" ht="41.4" x14ac:dyDescent="0.3">
      <c r="B1336">
        <v>0</v>
      </c>
      <c r="C1336" s="33">
        <v>6802</v>
      </c>
      <c r="D1336" s="2">
        <v>1844</v>
      </c>
      <c r="E1336" s="2" t="s">
        <v>8538</v>
      </c>
      <c r="F1336" s="3" t="s">
        <v>14206</v>
      </c>
      <c r="H1336" s="3" t="s">
        <v>491</v>
      </c>
      <c r="K1336" s="2">
        <v>10</v>
      </c>
      <c r="L1336" s="2">
        <v>3</v>
      </c>
      <c r="M1336" s="3" t="s">
        <v>1980</v>
      </c>
      <c r="N1336" s="3" t="s">
        <v>13</v>
      </c>
      <c r="O1336" s="3" t="s">
        <v>14</v>
      </c>
      <c r="Q1336" s="30" t="str">
        <f t="shared" si="20"/>
        <v>MAX : 
TARGET : Yes(Pass)
MIN : No(Fail)</v>
      </c>
    </row>
    <row r="1337" spans="2:18" ht="41.4" x14ac:dyDescent="0.3">
      <c r="B1337">
        <v>1</v>
      </c>
      <c r="C1337" s="33">
        <v>6464</v>
      </c>
      <c r="D1337" s="2">
        <v>1812</v>
      </c>
      <c r="E1337" s="2" t="s">
        <v>8169</v>
      </c>
      <c r="F1337" s="3" t="s">
        <v>14206</v>
      </c>
      <c r="H1337" s="3" t="s">
        <v>98</v>
      </c>
      <c r="K1337" s="2">
        <v>20</v>
      </c>
      <c r="L1337" s="2">
        <v>1</v>
      </c>
      <c r="M1337" s="3" t="s">
        <v>198</v>
      </c>
      <c r="N1337" s="3" t="s">
        <v>1755</v>
      </c>
      <c r="O1337" s="3" t="s">
        <v>201</v>
      </c>
      <c r="P1337" s="3" t="s">
        <v>1756</v>
      </c>
      <c r="Q1337" s="30" t="str">
        <f t="shared" si="20"/>
        <v>MAX : 5.78
TARGET : 5.75
MIN : 5.72</v>
      </c>
    </row>
    <row r="1338" spans="2:18" ht="41.4" x14ac:dyDescent="0.3">
      <c r="B1338">
        <v>0</v>
      </c>
      <c r="C1338" s="33">
        <v>6299</v>
      </c>
      <c r="D1338" s="2">
        <v>1800</v>
      </c>
      <c r="E1338" s="2" t="s">
        <v>8015</v>
      </c>
      <c r="F1338" s="3" t="s">
        <v>14206</v>
      </c>
      <c r="H1338" s="3" t="s">
        <v>11</v>
      </c>
      <c r="K1338" s="2">
        <v>10</v>
      </c>
      <c r="L1338" s="2">
        <v>3</v>
      </c>
      <c r="M1338" s="3" t="s">
        <v>1720</v>
      </c>
      <c r="N1338" s="3" t="s">
        <v>13</v>
      </c>
      <c r="O1338" s="3" t="s">
        <v>14</v>
      </c>
      <c r="Q1338" s="30" t="str">
        <f t="shared" si="20"/>
        <v>MAX : 
TARGET : Yes(Pass)
MIN : No(Fail)</v>
      </c>
      <c r="R1338" s="3" t="s">
        <v>1512</v>
      </c>
    </row>
    <row r="1339" spans="2:18" ht="41.4" x14ac:dyDescent="0.3">
      <c r="B1339">
        <v>1</v>
      </c>
      <c r="C1339" s="33">
        <v>6466</v>
      </c>
      <c r="D1339" s="2">
        <v>1813</v>
      </c>
      <c r="E1339" s="2" t="s">
        <v>8175</v>
      </c>
      <c r="F1339" s="3" t="s">
        <v>14206</v>
      </c>
      <c r="H1339" s="3" t="s">
        <v>491</v>
      </c>
      <c r="K1339" s="2">
        <v>20</v>
      </c>
      <c r="L1339" s="2">
        <v>2</v>
      </c>
      <c r="M1339" s="3" t="s">
        <v>194</v>
      </c>
      <c r="N1339" s="3" t="s">
        <v>1761</v>
      </c>
      <c r="O1339" s="3" t="s">
        <v>733</v>
      </c>
      <c r="P1339" s="3" t="s">
        <v>1762</v>
      </c>
      <c r="Q1339" s="30" t="str">
        <f t="shared" si="20"/>
        <v>MAX : 4.83
TARGET : 4.80
MIN : 4.77</v>
      </c>
    </row>
    <row r="1340" spans="2:18" ht="41.4" x14ac:dyDescent="0.3">
      <c r="B1340">
        <v>0</v>
      </c>
      <c r="C1340" s="33">
        <v>6801</v>
      </c>
      <c r="D1340" s="2">
        <v>1049</v>
      </c>
      <c r="E1340" s="2" t="s">
        <v>8532</v>
      </c>
      <c r="F1340" s="3" t="s">
        <v>14206</v>
      </c>
      <c r="H1340" s="3" t="s">
        <v>1328</v>
      </c>
      <c r="K1340" s="2">
        <v>20</v>
      </c>
      <c r="L1340" s="2">
        <v>5</v>
      </c>
      <c r="M1340" s="3" t="s">
        <v>1981</v>
      </c>
      <c r="N1340" s="3" t="s">
        <v>13</v>
      </c>
      <c r="O1340" s="3" t="s">
        <v>14</v>
      </c>
      <c r="Q1340" s="30" t="str">
        <f t="shared" si="20"/>
        <v>MAX : 
TARGET : Yes(Pass)
MIN : No(Fail)</v>
      </c>
    </row>
    <row r="1341" spans="2:18" ht="41.4" x14ac:dyDescent="0.3">
      <c r="B1341">
        <v>1</v>
      </c>
      <c r="C1341" s="33">
        <v>6466</v>
      </c>
      <c r="D1341" s="2">
        <v>1813</v>
      </c>
      <c r="E1341" s="2" t="s">
        <v>8175</v>
      </c>
      <c r="F1341" s="3" t="s">
        <v>14206</v>
      </c>
      <c r="H1341" s="3" t="s">
        <v>491</v>
      </c>
      <c r="K1341" s="2">
        <v>20</v>
      </c>
      <c r="L1341" s="2">
        <v>1</v>
      </c>
      <c r="M1341" s="3" t="s">
        <v>198</v>
      </c>
      <c r="N1341" s="3" t="s">
        <v>1760</v>
      </c>
      <c r="O1341" s="3" t="s">
        <v>966</v>
      </c>
      <c r="P1341" s="3" t="s">
        <v>1484</v>
      </c>
      <c r="Q1341" s="30" t="str">
        <f t="shared" si="20"/>
        <v>MAX : 7.03
TARGET : 7.00
MIN : 6.97</v>
      </c>
    </row>
    <row r="1342" spans="2:18" ht="41.4" x14ac:dyDescent="0.3">
      <c r="B1342">
        <v>1</v>
      </c>
      <c r="C1342" s="33">
        <v>6467</v>
      </c>
      <c r="D1342" s="2">
        <v>1814</v>
      </c>
      <c r="E1342" s="2" t="s">
        <v>8181</v>
      </c>
      <c r="F1342" s="3" t="s">
        <v>14206</v>
      </c>
      <c r="H1342" s="3" t="s">
        <v>98</v>
      </c>
      <c r="K1342" s="2">
        <v>20</v>
      </c>
      <c r="L1342" s="2">
        <v>2</v>
      </c>
      <c r="M1342" s="3" t="s">
        <v>194</v>
      </c>
      <c r="N1342" s="3" t="s">
        <v>1764</v>
      </c>
      <c r="O1342" s="3" t="s">
        <v>1765</v>
      </c>
      <c r="P1342" s="3" t="s">
        <v>1766</v>
      </c>
      <c r="Q1342" s="30" t="str">
        <f t="shared" si="20"/>
        <v>MAX : 3.43
TARGET : 3.40
MIN : 3.37</v>
      </c>
    </row>
    <row r="1343" spans="2:18" ht="41.4" x14ac:dyDescent="0.3">
      <c r="B1343">
        <v>0</v>
      </c>
      <c r="C1343" s="33">
        <v>6813</v>
      </c>
      <c r="D1343" s="2">
        <v>1050</v>
      </c>
      <c r="E1343" s="2" t="s">
        <v>8545</v>
      </c>
      <c r="F1343" s="3" t="s">
        <v>14206</v>
      </c>
      <c r="H1343" s="3" t="s">
        <v>1130</v>
      </c>
      <c r="K1343" s="2">
        <v>20</v>
      </c>
      <c r="L1343" s="2">
        <v>3</v>
      </c>
      <c r="M1343" s="3" t="s">
        <v>1981</v>
      </c>
      <c r="N1343" s="3" t="s">
        <v>13</v>
      </c>
      <c r="O1343" s="3" t="s">
        <v>14</v>
      </c>
      <c r="Q1343" s="30" t="str">
        <f t="shared" si="20"/>
        <v>MAX : 
TARGET : Yes(Pass)
MIN : No(Fail)</v>
      </c>
    </row>
    <row r="1344" spans="2:18" ht="41.4" x14ac:dyDescent="0.3">
      <c r="B1344">
        <v>1</v>
      </c>
      <c r="C1344" s="33">
        <v>6467</v>
      </c>
      <c r="D1344" s="2">
        <v>1814</v>
      </c>
      <c r="E1344" s="2" t="s">
        <v>8181</v>
      </c>
      <c r="F1344" s="3" t="s">
        <v>14206</v>
      </c>
      <c r="H1344" s="3" t="s">
        <v>98</v>
      </c>
      <c r="K1344" s="2">
        <v>20</v>
      </c>
      <c r="L1344" s="2">
        <v>1</v>
      </c>
      <c r="M1344" s="3" t="s">
        <v>198</v>
      </c>
      <c r="N1344" s="3" t="s">
        <v>291</v>
      </c>
      <c r="O1344" s="3" t="s">
        <v>292</v>
      </c>
      <c r="P1344" s="3" t="s">
        <v>293</v>
      </c>
      <c r="Q1344" s="30" t="str">
        <f t="shared" si="20"/>
        <v>MAX : 4.78
TARGET : 4.75
MIN : 4.72</v>
      </c>
    </row>
    <row r="1345" spans="2:17" ht="41.4" x14ac:dyDescent="0.3">
      <c r="B1345">
        <v>1</v>
      </c>
      <c r="C1345" s="33">
        <v>6474</v>
      </c>
      <c r="D1345" s="2">
        <v>1815</v>
      </c>
      <c r="E1345" s="2" t="s">
        <v>8187</v>
      </c>
      <c r="F1345" s="3" t="s">
        <v>14206</v>
      </c>
      <c r="H1345" s="3" t="s">
        <v>412</v>
      </c>
      <c r="K1345" s="2">
        <v>20</v>
      </c>
      <c r="L1345" s="2">
        <v>2</v>
      </c>
      <c r="M1345" s="3" t="s">
        <v>134</v>
      </c>
      <c r="N1345" s="3" t="s">
        <v>13</v>
      </c>
      <c r="O1345" s="3" t="s">
        <v>14</v>
      </c>
      <c r="Q1345" s="30" t="str">
        <f t="shared" si="20"/>
        <v>MAX : 
TARGET : Yes(Pass)
MIN : No(Fail)</v>
      </c>
    </row>
    <row r="1346" spans="2:17" ht="41.4" x14ac:dyDescent="0.3">
      <c r="B1346">
        <v>0</v>
      </c>
      <c r="C1346" s="33">
        <v>6821</v>
      </c>
      <c r="D1346" s="2">
        <v>1058</v>
      </c>
      <c r="E1346" s="2" t="s">
        <v>8545</v>
      </c>
      <c r="F1346" s="3" t="s">
        <v>14206</v>
      </c>
      <c r="H1346" s="3" t="s">
        <v>1130</v>
      </c>
      <c r="K1346" s="2">
        <v>20</v>
      </c>
      <c r="L1346" s="2">
        <v>4</v>
      </c>
      <c r="M1346" s="3" t="s">
        <v>1981</v>
      </c>
      <c r="N1346" s="3" t="s">
        <v>13</v>
      </c>
      <c r="O1346" s="3" t="s">
        <v>14</v>
      </c>
      <c r="Q1346" s="30" t="str">
        <f t="shared" ref="Q1346:Q1409" si="21">"MAX : " &amp; P1346 &amp; CHAR(10) &amp; "TARGET : " &amp; O1346 &amp; CHAR(10) &amp; "MIN : " &amp; N1346</f>
        <v>MAX : 
TARGET : Yes(Pass)
MIN : No(Fail)</v>
      </c>
    </row>
    <row r="1347" spans="2:17" ht="41.4" x14ac:dyDescent="0.3">
      <c r="B1347">
        <v>1</v>
      </c>
      <c r="C1347" s="33">
        <v>6474</v>
      </c>
      <c r="D1347" s="2">
        <v>1815</v>
      </c>
      <c r="E1347" s="2" t="s">
        <v>8187</v>
      </c>
      <c r="F1347" s="3" t="s">
        <v>14206</v>
      </c>
      <c r="H1347" s="3" t="s">
        <v>412</v>
      </c>
      <c r="K1347" s="2">
        <v>20</v>
      </c>
      <c r="L1347" s="2">
        <v>1</v>
      </c>
      <c r="M1347" s="3" t="s">
        <v>74</v>
      </c>
      <c r="N1347" s="3" t="s">
        <v>1767</v>
      </c>
      <c r="O1347" s="3" t="s">
        <v>1230</v>
      </c>
      <c r="P1347" s="3" t="s">
        <v>1768</v>
      </c>
      <c r="Q1347" s="30" t="str">
        <f t="shared" si="21"/>
        <v>MAX : 8.03
TARGET : 8.00
MIN : 7.97</v>
      </c>
    </row>
    <row r="1348" spans="2:17" ht="41.4" x14ac:dyDescent="0.3">
      <c r="B1348">
        <v>1</v>
      </c>
      <c r="C1348" s="33">
        <v>6476</v>
      </c>
      <c r="D1348" s="2">
        <v>1816</v>
      </c>
      <c r="E1348" s="2" t="s">
        <v>8194</v>
      </c>
      <c r="F1348" s="3" t="s">
        <v>14206</v>
      </c>
      <c r="H1348" s="3" t="s">
        <v>412</v>
      </c>
      <c r="K1348" s="2">
        <v>20</v>
      </c>
      <c r="L1348" s="2">
        <v>2</v>
      </c>
      <c r="M1348" s="3" t="s">
        <v>134</v>
      </c>
      <c r="N1348" s="3" t="s">
        <v>13</v>
      </c>
      <c r="O1348" s="3" t="s">
        <v>14</v>
      </c>
      <c r="Q1348" s="30" t="str">
        <f t="shared" si="21"/>
        <v>MAX : 
TARGET : Yes(Pass)
MIN : No(Fail)</v>
      </c>
    </row>
    <row r="1349" spans="2:17" ht="41.4" x14ac:dyDescent="0.3">
      <c r="B1349">
        <v>0</v>
      </c>
      <c r="C1349" s="33">
        <v>6814</v>
      </c>
      <c r="D1349" s="2">
        <v>1051</v>
      </c>
      <c r="E1349" s="2" t="s">
        <v>8552</v>
      </c>
      <c r="F1349" s="3" t="s">
        <v>14206</v>
      </c>
      <c r="H1349" s="3" t="s">
        <v>1130</v>
      </c>
      <c r="K1349" s="2">
        <v>20</v>
      </c>
      <c r="L1349" s="2">
        <v>3</v>
      </c>
      <c r="M1349" s="3" t="s">
        <v>1981</v>
      </c>
      <c r="N1349" s="3" t="s">
        <v>13</v>
      </c>
      <c r="O1349" s="3" t="s">
        <v>14</v>
      </c>
      <c r="Q1349" s="30" t="str">
        <f t="shared" si="21"/>
        <v>MAX : 
TARGET : Yes(Pass)
MIN : No(Fail)</v>
      </c>
    </row>
    <row r="1350" spans="2:17" ht="41.4" x14ac:dyDescent="0.3">
      <c r="B1350">
        <v>1</v>
      </c>
      <c r="C1350" s="33">
        <v>6476</v>
      </c>
      <c r="D1350" s="2">
        <v>1816</v>
      </c>
      <c r="E1350" s="2" t="s">
        <v>8194</v>
      </c>
      <c r="F1350" s="3" t="s">
        <v>14206</v>
      </c>
      <c r="H1350" s="3" t="s">
        <v>412</v>
      </c>
      <c r="K1350" s="2">
        <v>20</v>
      </c>
      <c r="L1350" s="2">
        <v>1</v>
      </c>
      <c r="M1350" s="3" t="s">
        <v>74</v>
      </c>
      <c r="N1350" s="3" t="s">
        <v>752</v>
      </c>
      <c r="O1350" s="3" t="s">
        <v>345</v>
      </c>
      <c r="P1350" s="3" t="s">
        <v>1769</v>
      </c>
      <c r="Q1350" s="30" t="str">
        <f t="shared" si="21"/>
        <v>MAX : 1.78
TARGET : 1.75
MIN : 1.72</v>
      </c>
    </row>
    <row r="1351" spans="2:17" ht="41.4" x14ac:dyDescent="0.3">
      <c r="B1351">
        <v>1</v>
      </c>
      <c r="C1351" s="33">
        <v>6477</v>
      </c>
      <c r="D1351" s="2">
        <v>1817</v>
      </c>
      <c r="E1351" s="2" t="s">
        <v>8200</v>
      </c>
      <c r="F1351" s="3" t="s">
        <v>14206</v>
      </c>
      <c r="H1351" s="3" t="s">
        <v>269</v>
      </c>
      <c r="K1351" t="s">
        <v>6295</v>
      </c>
      <c r="L1351" s="2">
        <v>2</v>
      </c>
      <c r="M1351" s="3" t="s">
        <v>134</v>
      </c>
      <c r="N1351" s="3" t="s">
        <v>13</v>
      </c>
      <c r="O1351" s="3" t="s">
        <v>14</v>
      </c>
      <c r="Q1351" s="30" t="str">
        <f t="shared" si="21"/>
        <v>MAX : 
TARGET : Yes(Pass)
MIN : No(Fail)</v>
      </c>
    </row>
    <row r="1352" spans="2:17" ht="41.4" x14ac:dyDescent="0.3">
      <c r="B1352">
        <v>0</v>
      </c>
      <c r="C1352" s="33">
        <v>6822</v>
      </c>
      <c r="D1352" s="2">
        <v>1059</v>
      </c>
      <c r="E1352" s="2" t="s">
        <v>8552</v>
      </c>
      <c r="F1352" s="3" t="s">
        <v>14206</v>
      </c>
      <c r="H1352" s="3" t="s">
        <v>1130</v>
      </c>
      <c r="K1352" s="2">
        <v>20</v>
      </c>
      <c r="L1352" s="2">
        <v>3</v>
      </c>
      <c r="M1352" s="3" t="s">
        <v>1981</v>
      </c>
      <c r="N1352" s="3" t="s">
        <v>13</v>
      </c>
      <c r="O1352" s="3" t="s">
        <v>14</v>
      </c>
      <c r="Q1352" s="30" t="str">
        <f t="shared" si="21"/>
        <v>MAX : 
TARGET : Yes(Pass)
MIN : No(Fail)</v>
      </c>
    </row>
    <row r="1353" spans="2:17" ht="41.4" x14ac:dyDescent="0.3">
      <c r="B1353">
        <v>1</v>
      </c>
      <c r="C1353" s="33">
        <v>6477</v>
      </c>
      <c r="D1353" s="2">
        <v>1817</v>
      </c>
      <c r="E1353" s="2" t="s">
        <v>8200</v>
      </c>
      <c r="F1353" s="3" t="s">
        <v>14206</v>
      </c>
      <c r="H1353" s="3" t="s">
        <v>269</v>
      </c>
      <c r="K1353" t="s">
        <v>6295</v>
      </c>
      <c r="L1353" s="2">
        <v>1</v>
      </c>
      <c r="M1353" s="3" t="s">
        <v>74</v>
      </c>
      <c r="N1353" s="3" t="s">
        <v>702</v>
      </c>
      <c r="O1353" s="3" t="s">
        <v>703</v>
      </c>
      <c r="P1353" s="3" t="s">
        <v>704</v>
      </c>
      <c r="Q1353" s="30" t="str">
        <f t="shared" si="21"/>
        <v>MAX : 4.53
TARGET : 4.50
MIN : 4.47</v>
      </c>
    </row>
    <row r="1354" spans="2:17" ht="41.4" x14ac:dyDescent="0.3">
      <c r="B1354">
        <v>1</v>
      </c>
      <c r="C1354" s="33">
        <v>6478</v>
      </c>
      <c r="D1354" s="2">
        <v>1818</v>
      </c>
      <c r="E1354" s="2" t="s">
        <v>8206</v>
      </c>
      <c r="F1354" s="3" t="s">
        <v>14206</v>
      </c>
      <c r="H1354" s="3" t="s">
        <v>412</v>
      </c>
      <c r="K1354" s="2">
        <v>20</v>
      </c>
      <c r="L1354" s="2">
        <v>2</v>
      </c>
      <c r="M1354" s="3" t="s">
        <v>134</v>
      </c>
      <c r="N1354" s="3" t="s">
        <v>13</v>
      </c>
      <c r="O1354" s="3" t="s">
        <v>14</v>
      </c>
      <c r="Q1354" s="30" t="str">
        <f t="shared" si="21"/>
        <v>MAX : 
TARGET : Yes(Pass)
MIN : No(Fail)</v>
      </c>
    </row>
    <row r="1355" spans="2:17" ht="41.4" x14ac:dyDescent="0.3">
      <c r="B1355">
        <v>0</v>
      </c>
      <c r="C1355" s="33">
        <v>6815</v>
      </c>
      <c r="D1355" s="2">
        <v>1052</v>
      </c>
      <c r="E1355" s="2" t="s">
        <v>8558</v>
      </c>
      <c r="F1355" s="3" t="s">
        <v>14206</v>
      </c>
      <c r="H1355" s="3" t="s">
        <v>1130</v>
      </c>
      <c r="K1355" s="2">
        <v>20</v>
      </c>
      <c r="L1355" s="2">
        <v>3</v>
      </c>
      <c r="M1355" s="3" t="s">
        <v>1981</v>
      </c>
      <c r="N1355" s="3" t="s">
        <v>13</v>
      </c>
      <c r="O1355" s="3" t="s">
        <v>14</v>
      </c>
      <c r="Q1355" s="30" t="str">
        <f t="shared" si="21"/>
        <v>MAX : 
TARGET : Yes(Pass)
MIN : No(Fail)</v>
      </c>
    </row>
    <row r="1356" spans="2:17" ht="41.4" x14ac:dyDescent="0.3">
      <c r="B1356">
        <v>1</v>
      </c>
      <c r="C1356" s="33">
        <v>6478</v>
      </c>
      <c r="D1356" s="2">
        <v>1818</v>
      </c>
      <c r="E1356" s="2" t="s">
        <v>8206</v>
      </c>
      <c r="F1356" s="3" t="s">
        <v>14206</v>
      </c>
      <c r="H1356" s="3" t="s">
        <v>412</v>
      </c>
      <c r="K1356" s="2">
        <v>20</v>
      </c>
      <c r="L1356" s="2">
        <v>1</v>
      </c>
      <c r="M1356" s="3" t="s">
        <v>74</v>
      </c>
      <c r="N1356" s="3" t="s">
        <v>814</v>
      </c>
      <c r="O1356" s="3" t="s">
        <v>815</v>
      </c>
      <c r="P1356" s="3" t="s">
        <v>816</v>
      </c>
      <c r="Q1356" s="30" t="str">
        <f t="shared" si="21"/>
        <v>MAX : 3.03
TARGET : 3.00
MIN : 2.97</v>
      </c>
    </row>
    <row r="1357" spans="2:17" ht="41.4" x14ac:dyDescent="0.3">
      <c r="B1357">
        <v>1</v>
      </c>
      <c r="C1357" s="33">
        <v>6481</v>
      </c>
      <c r="D1357" s="2">
        <v>1819</v>
      </c>
      <c r="E1357" s="2" t="s">
        <v>8212</v>
      </c>
      <c r="F1357" s="3" t="s">
        <v>14206</v>
      </c>
      <c r="H1357" s="3" t="s">
        <v>491</v>
      </c>
      <c r="K1357" s="2">
        <v>20</v>
      </c>
      <c r="L1357" s="2">
        <v>2</v>
      </c>
      <c r="M1357" s="3" t="s">
        <v>1776</v>
      </c>
      <c r="N1357" s="3" t="s">
        <v>13</v>
      </c>
      <c r="O1357" s="3" t="s">
        <v>14</v>
      </c>
      <c r="Q1357" s="30" t="str">
        <f t="shared" si="21"/>
        <v>MAX : 
TARGET : Yes(Pass)
MIN : No(Fail)</v>
      </c>
    </row>
    <row r="1358" spans="2:17" ht="41.4" x14ac:dyDescent="0.3">
      <c r="B1358">
        <v>0</v>
      </c>
      <c r="C1358" s="33">
        <v>6823</v>
      </c>
      <c r="D1358" s="2">
        <v>1060</v>
      </c>
      <c r="E1358" s="2" t="s">
        <v>8558</v>
      </c>
      <c r="F1358" s="3" t="s">
        <v>14206</v>
      </c>
      <c r="H1358" s="3" t="s">
        <v>1130</v>
      </c>
      <c r="K1358" s="2">
        <v>20</v>
      </c>
      <c r="L1358" s="2">
        <v>3</v>
      </c>
      <c r="M1358" s="3" t="s">
        <v>1981</v>
      </c>
      <c r="N1358" s="3" t="s">
        <v>13</v>
      </c>
      <c r="O1358" s="3" t="s">
        <v>14</v>
      </c>
      <c r="Q1358" s="30" t="str">
        <f t="shared" si="21"/>
        <v>MAX : 
TARGET : Yes(Pass)
MIN : No(Fail)</v>
      </c>
    </row>
    <row r="1359" spans="2:17" ht="41.4" x14ac:dyDescent="0.3">
      <c r="B1359">
        <v>1</v>
      </c>
      <c r="C1359" s="33">
        <v>6481</v>
      </c>
      <c r="D1359" s="2">
        <v>1819</v>
      </c>
      <c r="E1359" s="2" t="s">
        <v>8212</v>
      </c>
      <c r="F1359" s="3" t="s">
        <v>14206</v>
      </c>
      <c r="H1359" s="3" t="s">
        <v>491</v>
      </c>
      <c r="K1359" s="2">
        <v>20</v>
      </c>
      <c r="L1359" s="2">
        <v>1</v>
      </c>
      <c r="M1359" s="3" t="s">
        <v>811</v>
      </c>
      <c r="N1359" s="3" t="s">
        <v>24</v>
      </c>
      <c r="O1359" s="3" t="s">
        <v>25</v>
      </c>
      <c r="Q1359" s="30" t="str">
        <f t="shared" si="21"/>
        <v>MAX : 
TARGET : Yes (Pass)
MIN : No (Fail)</v>
      </c>
    </row>
    <row r="1360" spans="2:17" ht="41.4" x14ac:dyDescent="0.3">
      <c r="B1360">
        <v>1</v>
      </c>
      <c r="C1360" s="33">
        <v>6483</v>
      </c>
      <c r="D1360" s="2">
        <v>1820</v>
      </c>
      <c r="E1360" s="2" t="s">
        <v>8218</v>
      </c>
      <c r="F1360" s="3" t="s">
        <v>14206</v>
      </c>
      <c r="H1360" s="3" t="s">
        <v>656</v>
      </c>
      <c r="K1360" s="2">
        <v>10</v>
      </c>
      <c r="L1360" s="2">
        <v>2</v>
      </c>
      <c r="M1360" s="3" t="s">
        <v>1778</v>
      </c>
      <c r="N1360" s="3" t="s">
        <v>769</v>
      </c>
      <c r="O1360" s="3" t="s">
        <v>309</v>
      </c>
      <c r="P1360" s="3" t="s">
        <v>264</v>
      </c>
      <c r="Q1360" s="30" t="str">
        <f t="shared" si="21"/>
        <v>MAX : 0.52
TARGET : 0.50
MIN : 0.48</v>
      </c>
    </row>
    <row r="1361" spans="2:17" ht="41.4" x14ac:dyDescent="0.3">
      <c r="B1361">
        <v>0</v>
      </c>
      <c r="C1361" s="33">
        <v>6816</v>
      </c>
      <c r="D1361" s="2">
        <v>1053</v>
      </c>
      <c r="E1361" s="2" t="s">
        <v>8564</v>
      </c>
      <c r="F1361" s="3" t="s">
        <v>14206</v>
      </c>
      <c r="H1361" s="3" t="s">
        <v>1130</v>
      </c>
      <c r="K1361" s="2">
        <v>20</v>
      </c>
      <c r="L1361" s="2">
        <v>3</v>
      </c>
      <c r="M1361" s="3" t="s">
        <v>1981</v>
      </c>
      <c r="N1361" s="3" t="s">
        <v>13</v>
      </c>
      <c r="O1361" s="3" t="s">
        <v>14</v>
      </c>
      <c r="Q1361" s="30" t="str">
        <f t="shared" si="21"/>
        <v>MAX : 
TARGET : Yes(Pass)
MIN : No(Fail)</v>
      </c>
    </row>
    <row r="1362" spans="2:17" ht="41.4" x14ac:dyDescent="0.3">
      <c r="B1362">
        <v>1</v>
      </c>
      <c r="C1362" s="33">
        <v>6483</v>
      </c>
      <c r="D1362" s="2">
        <v>1820</v>
      </c>
      <c r="E1362" s="2" t="s">
        <v>8218</v>
      </c>
      <c r="F1362" s="3" t="s">
        <v>14206</v>
      </c>
      <c r="H1362" s="3" t="s">
        <v>656</v>
      </c>
      <c r="K1362" s="2">
        <v>10</v>
      </c>
      <c r="L1362" s="2">
        <v>1</v>
      </c>
      <c r="M1362" s="3" t="s">
        <v>1777</v>
      </c>
      <c r="N1362" s="3" t="s">
        <v>462</v>
      </c>
      <c r="O1362" s="3" t="s">
        <v>424</v>
      </c>
      <c r="P1362" s="3" t="s">
        <v>463</v>
      </c>
      <c r="Q1362" s="30" t="str">
        <f t="shared" si="21"/>
        <v>MAX : 0.28
TARGET : 0.25
MIN : 0.22</v>
      </c>
    </row>
    <row r="1363" spans="2:17" ht="41.4" x14ac:dyDescent="0.3">
      <c r="B1363">
        <v>1</v>
      </c>
      <c r="C1363" s="33">
        <v>6483</v>
      </c>
      <c r="D1363" s="2">
        <v>1820</v>
      </c>
      <c r="E1363" s="2" t="s">
        <v>8218</v>
      </c>
      <c r="F1363" s="3" t="s">
        <v>14206</v>
      </c>
      <c r="H1363" s="3" t="s">
        <v>656</v>
      </c>
      <c r="K1363" s="2">
        <v>10</v>
      </c>
      <c r="L1363" s="2">
        <v>5</v>
      </c>
      <c r="M1363" s="3" t="s">
        <v>3611</v>
      </c>
      <c r="Q1363" s="30" t="str">
        <f t="shared" si="21"/>
        <v xml:space="preserve">MAX : 
TARGET : 
MIN : </v>
      </c>
    </row>
    <row r="1364" spans="2:17" ht="41.4" x14ac:dyDescent="0.3">
      <c r="B1364">
        <v>0</v>
      </c>
      <c r="C1364" s="33">
        <v>6824</v>
      </c>
      <c r="D1364" s="2">
        <v>1061</v>
      </c>
      <c r="E1364" s="2" t="s">
        <v>8564</v>
      </c>
      <c r="F1364" s="3" t="s">
        <v>14206</v>
      </c>
      <c r="H1364" s="3" t="s">
        <v>1130</v>
      </c>
      <c r="K1364" s="2">
        <v>20</v>
      </c>
      <c r="L1364" s="2">
        <v>4</v>
      </c>
      <c r="M1364" s="3" t="s">
        <v>1981</v>
      </c>
      <c r="N1364" s="3" t="s">
        <v>13</v>
      </c>
      <c r="O1364" s="3" t="s">
        <v>14</v>
      </c>
      <c r="Q1364" s="30" t="str">
        <f t="shared" si="21"/>
        <v>MAX : 
TARGET : Yes(Pass)
MIN : No(Fail)</v>
      </c>
    </row>
    <row r="1365" spans="2:17" ht="41.4" x14ac:dyDescent="0.3">
      <c r="B1365">
        <v>1</v>
      </c>
      <c r="C1365" s="33">
        <v>6483</v>
      </c>
      <c r="D1365" s="2">
        <v>1820</v>
      </c>
      <c r="E1365" s="2" t="s">
        <v>8218</v>
      </c>
      <c r="F1365" s="3" t="s">
        <v>14206</v>
      </c>
      <c r="H1365" s="3" t="s">
        <v>656</v>
      </c>
      <c r="K1365" s="2">
        <v>10</v>
      </c>
      <c r="L1365" s="2">
        <v>6</v>
      </c>
      <c r="M1365" s="3" t="s">
        <v>3622</v>
      </c>
      <c r="N1365" s="3" t="s">
        <v>24</v>
      </c>
      <c r="O1365" s="3" t="s">
        <v>737</v>
      </c>
      <c r="Q1365" s="30" t="str">
        <f t="shared" si="21"/>
        <v>MAX : 
TARGET : Yes (Pass) 
MIN : No (Fail)</v>
      </c>
    </row>
    <row r="1366" spans="2:17" ht="41.4" x14ac:dyDescent="0.3">
      <c r="B1366">
        <v>1</v>
      </c>
      <c r="C1366" s="33">
        <v>6484</v>
      </c>
      <c r="D1366" s="2">
        <v>1821</v>
      </c>
      <c r="E1366" s="2" t="s">
        <v>8224</v>
      </c>
      <c r="F1366" s="3" t="s">
        <v>14206</v>
      </c>
      <c r="H1366" s="3" t="s">
        <v>656</v>
      </c>
      <c r="K1366" s="2">
        <v>20</v>
      </c>
      <c r="L1366" s="2">
        <v>2</v>
      </c>
      <c r="M1366" s="3" t="s">
        <v>1778</v>
      </c>
      <c r="N1366" s="3" t="s">
        <v>1781</v>
      </c>
      <c r="O1366" s="3" t="s">
        <v>272</v>
      </c>
      <c r="P1366" s="3" t="s">
        <v>1782</v>
      </c>
      <c r="Q1366" s="30" t="str">
        <f t="shared" si="21"/>
        <v>MAX : 1.02
TARGET : 1.00
MIN : 0.98</v>
      </c>
    </row>
    <row r="1367" spans="2:17" ht="41.4" x14ac:dyDescent="0.3">
      <c r="B1367">
        <v>0</v>
      </c>
      <c r="C1367" s="33">
        <v>6817</v>
      </c>
      <c r="D1367" s="2">
        <v>1054</v>
      </c>
      <c r="E1367" s="2" t="s">
        <v>8570</v>
      </c>
      <c r="F1367" s="3" t="s">
        <v>14206</v>
      </c>
      <c r="H1367" s="3" t="s">
        <v>1130</v>
      </c>
      <c r="K1367" s="2">
        <v>20</v>
      </c>
      <c r="L1367" s="2">
        <v>2</v>
      </c>
      <c r="M1367" s="3" t="s">
        <v>1981</v>
      </c>
      <c r="N1367" s="3" t="s">
        <v>13</v>
      </c>
      <c r="O1367" s="3" t="s">
        <v>14</v>
      </c>
      <c r="Q1367" s="30" t="str">
        <f t="shared" si="21"/>
        <v>MAX : 
TARGET : Yes(Pass)
MIN : No(Fail)</v>
      </c>
    </row>
    <row r="1368" spans="2:17" ht="41.4" x14ac:dyDescent="0.3">
      <c r="B1368">
        <v>1</v>
      </c>
      <c r="C1368" s="33">
        <v>6484</v>
      </c>
      <c r="D1368" s="2">
        <v>1821</v>
      </c>
      <c r="E1368" s="2" t="s">
        <v>8224</v>
      </c>
      <c r="F1368" s="3" t="s">
        <v>14206</v>
      </c>
      <c r="H1368" s="3" t="s">
        <v>656</v>
      </c>
      <c r="K1368" s="2">
        <v>20</v>
      </c>
      <c r="L1368" s="2">
        <v>1</v>
      </c>
      <c r="M1368" s="3" t="s">
        <v>1777</v>
      </c>
      <c r="N1368" s="3" t="s">
        <v>462</v>
      </c>
      <c r="O1368" s="3" t="s">
        <v>424</v>
      </c>
      <c r="P1368" s="3" t="s">
        <v>463</v>
      </c>
      <c r="Q1368" s="30" t="str">
        <f t="shared" si="21"/>
        <v>MAX : 0.28
TARGET : 0.25
MIN : 0.22</v>
      </c>
    </row>
    <row r="1369" spans="2:17" ht="41.4" x14ac:dyDescent="0.3">
      <c r="B1369">
        <v>1</v>
      </c>
      <c r="C1369" s="33">
        <v>6484</v>
      </c>
      <c r="D1369" s="2">
        <v>1821</v>
      </c>
      <c r="E1369" s="2" t="s">
        <v>8224</v>
      </c>
      <c r="F1369" s="3" t="s">
        <v>14206</v>
      </c>
      <c r="H1369" s="3" t="s">
        <v>656</v>
      </c>
      <c r="K1369" s="2">
        <v>20</v>
      </c>
      <c r="L1369" s="2">
        <v>5</v>
      </c>
      <c r="M1369" s="3" t="s">
        <v>3612</v>
      </c>
      <c r="Q1369" s="30" t="str">
        <f t="shared" si="21"/>
        <v xml:space="preserve">MAX : 
TARGET : 
MIN : </v>
      </c>
    </row>
    <row r="1370" spans="2:17" ht="41.4" x14ac:dyDescent="0.3">
      <c r="B1370">
        <v>0</v>
      </c>
      <c r="C1370" s="33">
        <v>6825</v>
      </c>
      <c r="D1370" s="2">
        <v>1062</v>
      </c>
      <c r="E1370" s="2" t="s">
        <v>8570</v>
      </c>
      <c r="F1370" s="3" t="s">
        <v>14206</v>
      </c>
      <c r="H1370" s="3" t="s">
        <v>1130</v>
      </c>
      <c r="K1370" s="2">
        <v>20</v>
      </c>
      <c r="L1370" s="2">
        <v>3</v>
      </c>
      <c r="M1370" s="3" t="s">
        <v>1981</v>
      </c>
      <c r="N1370" s="3" t="s">
        <v>13</v>
      </c>
      <c r="O1370" s="3" t="s">
        <v>14</v>
      </c>
      <c r="Q1370" s="30" t="str">
        <f t="shared" si="21"/>
        <v>MAX : 
TARGET : Yes(Pass)
MIN : No(Fail)</v>
      </c>
    </row>
    <row r="1371" spans="2:17" ht="41.4" x14ac:dyDescent="0.3">
      <c r="B1371">
        <v>1</v>
      </c>
      <c r="C1371" s="33">
        <v>6484</v>
      </c>
      <c r="D1371" s="2">
        <v>1821</v>
      </c>
      <c r="E1371" s="2" t="s">
        <v>8224</v>
      </c>
      <c r="F1371" s="3" t="s">
        <v>14206</v>
      </c>
      <c r="H1371" s="3" t="s">
        <v>656</v>
      </c>
      <c r="K1371" s="2">
        <v>20</v>
      </c>
      <c r="L1371" s="2">
        <v>6</v>
      </c>
      <c r="M1371" s="3" t="s">
        <v>3622</v>
      </c>
      <c r="N1371" s="3" t="s">
        <v>24</v>
      </c>
      <c r="O1371" s="3" t="s">
        <v>25</v>
      </c>
      <c r="Q1371" s="30" t="str">
        <f t="shared" si="21"/>
        <v>MAX : 
TARGET : Yes (Pass)
MIN : No (Fail)</v>
      </c>
    </row>
    <row r="1372" spans="2:17" ht="41.4" x14ac:dyDescent="0.3">
      <c r="B1372">
        <v>1</v>
      </c>
      <c r="C1372" s="33">
        <v>6511</v>
      </c>
      <c r="D1372" s="2">
        <v>1024</v>
      </c>
      <c r="E1372" s="2" t="s">
        <v>8230</v>
      </c>
      <c r="F1372" s="3" t="s">
        <v>14206</v>
      </c>
      <c r="H1372" s="3" t="s">
        <v>504</v>
      </c>
      <c r="K1372" s="2">
        <v>10</v>
      </c>
      <c r="L1372" s="2">
        <v>2</v>
      </c>
      <c r="M1372" s="3" t="s">
        <v>198</v>
      </c>
      <c r="N1372" s="3" t="s">
        <v>418</v>
      </c>
      <c r="O1372" s="3" t="s">
        <v>344</v>
      </c>
      <c r="P1372" s="3" t="s">
        <v>419</v>
      </c>
      <c r="Q1372" s="30" t="str">
        <f t="shared" si="21"/>
        <v>MAX : 1.28
TARGET : 1.25
MIN : 1.22</v>
      </c>
    </row>
    <row r="1373" spans="2:17" ht="41.4" x14ac:dyDescent="0.3">
      <c r="B1373">
        <v>0</v>
      </c>
      <c r="C1373" s="33">
        <v>6818</v>
      </c>
      <c r="D1373" s="2">
        <v>1055</v>
      </c>
      <c r="E1373" s="2" t="s">
        <v>8576</v>
      </c>
      <c r="F1373" s="3" t="s">
        <v>14206</v>
      </c>
      <c r="H1373" s="3" t="s">
        <v>1130</v>
      </c>
      <c r="K1373" s="2">
        <v>20</v>
      </c>
      <c r="L1373" s="2">
        <v>3</v>
      </c>
      <c r="M1373" s="3" t="s">
        <v>1981</v>
      </c>
      <c r="N1373" s="3" t="s">
        <v>13</v>
      </c>
      <c r="O1373" s="3" t="s">
        <v>14</v>
      </c>
      <c r="Q1373" s="30" t="str">
        <f t="shared" si="21"/>
        <v>MAX : 
TARGET : Yes(Pass)
MIN : No(Fail)</v>
      </c>
    </row>
    <row r="1374" spans="2:17" ht="41.4" x14ac:dyDescent="0.3">
      <c r="B1374">
        <v>1</v>
      </c>
      <c r="C1374" s="33">
        <v>6511</v>
      </c>
      <c r="D1374" s="2">
        <v>1024</v>
      </c>
      <c r="E1374" s="2" t="s">
        <v>8230</v>
      </c>
      <c r="F1374" s="3" t="s">
        <v>14206</v>
      </c>
      <c r="H1374" s="3" t="s">
        <v>504</v>
      </c>
      <c r="K1374" s="2">
        <v>10</v>
      </c>
      <c r="L1374" s="2">
        <v>1</v>
      </c>
      <c r="M1374" s="3" t="s">
        <v>194</v>
      </c>
      <c r="N1374" s="3" t="s">
        <v>308</v>
      </c>
      <c r="O1374" s="3" t="s">
        <v>309</v>
      </c>
      <c r="P1374" s="3" t="s">
        <v>310</v>
      </c>
      <c r="Q1374" s="30" t="str">
        <f t="shared" si="21"/>
        <v>MAX : 0.53
TARGET : 0.50
MIN : 0.47</v>
      </c>
    </row>
    <row r="1375" spans="2:17" ht="41.4" x14ac:dyDescent="0.3">
      <c r="B1375">
        <v>1</v>
      </c>
      <c r="C1375" s="33">
        <v>6512</v>
      </c>
      <c r="D1375" s="2">
        <v>1822</v>
      </c>
      <c r="E1375" s="2" t="s">
        <v>8236</v>
      </c>
      <c r="F1375" s="3" t="s">
        <v>14206</v>
      </c>
      <c r="H1375" s="3" t="s">
        <v>1270</v>
      </c>
      <c r="K1375" s="2">
        <v>10</v>
      </c>
      <c r="L1375" s="2">
        <v>2</v>
      </c>
      <c r="M1375" s="3" t="s">
        <v>538</v>
      </c>
      <c r="N1375" s="3" t="s">
        <v>13</v>
      </c>
      <c r="O1375" s="3" t="s">
        <v>14</v>
      </c>
      <c r="Q1375" s="30" t="str">
        <f t="shared" si="21"/>
        <v>MAX : 
TARGET : Yes(Pass)
MIN : No(Fail)</v>
      </c>
    </row>
    <row r="1376" spans="2:17" ht="41.4" x14ac:dyDescent="0.3">
      <c r="B1376">
        <v>0</v>
      </c>
      <c r="C1376" s="33">
        <v>6826</v>
      </c>
      <c r="D1376" s="2">
        <v>1063</v>
      </c>
      <c r="E1376" s="2" t="s">
        <v>8576</v>
      </c>
      <c r="F1376" s="3" t="s">
        <v>14206</v>
      </c>
      <c r="H1376" s="3" t="s">
        <v>1130</v>
      </c>
      <c r="K1376" s="2">
        <v>20</v>
      </c>
      <c r="L1376" s="2">
        <v>3</v>
      </c>
      <c r="M1376" s="3" t="s">
        <v>1981</v>
      </c>
      <c r="N1376" s="3" t="s">
        <v>13</v>
      </c>
      <c r="O1376" s="3" t="s">
        <v>14</v>
      </c>
      <c r="Q1376" s="30" t="str">
        <f t="shared" si="21"/>
        <v>MAX : 
TARGET : Yes(Pass)
MIN : No(Fail)</v>
      </c>
    </row>
    <row r="1377" spans="2:18" ht="41.4" x14ac:dyDescent="0.3">
      <c r="B1377">
        <v>1</v>
      </c>
      <c r="C1377" s="33">
        <v>6512</v>
      </c>
      <c r="D1377" s="2">
        <v>1822</v>
      </c>
      <c r="E1377" s="2" t="s">
        <v>8236</v>
      </c>
      <c r="F1377" s="3" t="s">
        <v>14206</v>
      </c>
      <c r="H1377" s="3" t="s">
        <v>1270</v>
      </c>
      <c r="K1377" s="2">
        <v>10</v>
      </c>
      <c r="L1377" s="2">
        <v>1</v>
      </c>
      <c r="M1377" s="3" t="s">
        <v>299</v>
      </c>
      <c r="N1377" s="3" t="s">
        <v>433</v>
      </c>
      <c r="O1377" s="3" t="s">
        <v>86</v>
      </c>
      <c r="P1377" s="3" t="s">
        <v>317</v>
      </c>
      <c r="Q1377" s="30" t="str">
        <f t="shared" si="21"/>
        <v>MAX : 0.515
TARGET : 0.500
MIN : 0.485</v>
      </c>
    </row>
    <row r="1378" spans="2:18" ht="41.4" x14ac:dyDescent="0.3">
      <c r="B1378">
        <v>1</v>
      </c>
      <c r="C1378" s="33">
        <v>6513</v>
      </c>
      <c r="D1378" s="2">
        <v>1823</v>
      </c>
      <c r="E1378" s="2" t="s">
        <v>8241</v>
      </c>
      <c r="F1378" s="3" t="s">
        <v>14206</v>
      </c>
      <c r="H1378" s="3" t="s">
        <v>1270</v>
      </c>
      <c r="K1378" s="2">
        <v>10</v>
      </c>
      <c r="L1378" s="2">
        <v>2</v>
      </c>
      <c r="M1378" s="3" t="s">
        <v>538</v>
      </c>
      <c r="N1378" s="3" t="s">
        <v>13</v>
      </c>
      <c r="O1378" s="3" t="s">
        <v>14</v>
      </c>
      <c r="Q1378" s="30" t="str">
        <f t="shared" si="21"/>
        <v>MAX : 
TARGET : Yes(Pass)
MIN : No(Fail)</v>
      </c>
    </row>
    <row r="1379" spans="2:18" ht="41.4" x14ac:dyDescent="0.3">
      <c r="B1379">
        <v>0</v>
      </c>
      <c r="C1379" s="33">
        <v>6819</v>
      </c>
      <c r="D1379" s="2">
        <v>1056</v>
      </c>
      <c r="E1379" s="2" t="s">
        <v>8581</v>
      </c>
      <c r="F1379" s="3" t="s">
        <v>14206</v>
      </c>
      <c r="H1379" s="3" t="s">
        <v>1130</v>
      </c>
      <c r="K1379" s="2">
        <v>20</v>
      </c>
      <c r="L1379" s="2">
        <v>3</v>
      </c>
      <c r="M1379" s="3" t="s">
        <v>1981</v>
      </c>
      <c r="N1379" s="3" t="s">
        <v>13</v>
      </c>
      <c r="O1379" s="3" t="s">
        <v>14</v>
      </c>
      <c r="Q1379" s="30" t="str">
        <f t="shared" si="21"/>
        <v>MAX : 
TARGET : Yes(Pass)
MIN : No(Fail)</v>
      </c>
    </row>
    <row r="1380" spans="2:18" ht="41.4" x14ac:dyDescent="0.3">
      <c r="B1380">
        <v>1</v>
      </c>
      <c r="C1380" s="33">
        <v>6513</v>
      </c>
      <c r="D1380" s="2">
        <v>1823</v>
      </c>
      <c r="E1380" s="2" t="s">
        <v>8241</v>
      </c>
      <c r="F1380" s="3" t="s">
        <v>14206</v>
      </c>
      <c r="H1380" s="3" t="s">
        <v>1270</v>
      </c>
      <c r="K1380" s="2">
        <v>10</v>
      </c>
      <c r="L1380" s="2">
        <v>1</v>
      </c>
      <c r="M1380" s="3" t="s">
        <v>99</v>
      </c>
      <c r="N1380" s="3" t="s">
        <v>433</v>
      </c>
      <c r="O1380" s="3" t="s">
        <v>86</v>
      </c>
      <c r="P1380" s="3" t="s">
        <v>317</v>
      </c>
      <c r="Q1380" s="30" t="str">
        <f t="shared" si="21"/>
        <v>MAX : 0.515
TARGET : 0.500
MIN : 0.485</v>
      </c>
    </row>
    <row r="1381" spans="2:18" ht="41.4" x14ac:dyDescent="0.3">
      <c r="B1381">
        <v>1</v>
      </c>
      <c r="C1381" s="33">
        <v>6518</v>
      </c>
      <c r="D1381" s="2">
        <v>1824</v>
      </c>
      <c r="E1381" s="2" t="s">
        <v>8247</v>
      </c>
      <c r="F1381" s="3" t="s">
        <v>14206</v>
      </c>
      <c r="H1381" s="3" t="s">
        <v>656</v>
      </c>
      <c r="K1381" s="2">
        <v>20</v>
      </c>
      <c r="L1381" s="2">
        <v>2</v>
      </c>
      <c r="M1381" s="3" t="s">
        <v>1783</v>
      </c>
      <c r="N1381" s="3" t="s">
        <v>748</v>
      </c>
      <c r="O1381" s="3" t="s">
        <v>406</v>
      </c>
      <c r="P1381" s="3" t="s">
        <v>1784</v>
      </c>
      <c r="Q1381" s="30" t="str">
        <f t="shared" si="21"/>
        <v>MAX : 2.02
TARGET : 2.00
MIN : 1.98</v>
      </c>
    </row>
    <row r="1382" spans="2:18" ht="41.4" x14ac:dyDescent="0.3">
      <c r="B1382">
        <v>0</v>
      </c>
      <c r="C1382" s="33">
        <v>6820</v>
      </c>
      <c r="D1382" s="2">
        <v>1057</v>
      </c>
      <c r="E1382" s="2" t="s">
        <v>8586</v>
      </c>
      <c r="F1382" s="3" t="s">
        <v>14206</v>
      </c>
      <c r="H1382" s="3" t="s">
        <v>1130</v>
      </c>
      <c r="K1382" s="2">
        <v>20</v>
      </c>
      <c r="L1382" s="2">
        <v>3</v>
      </c>
      <c r="M1382" s="3" t="s">
        <v>1981</v>
      </c>
      <c r="N1382" s="3" t="s">
        <v>13</v>
      </c>
      <c r="O1382" s="3" t="s">
        <v>14</v>
      </c>
      <c r="Q1382" s="30" t="str">
        <f t="shared" si="21"/>
        <v>MAX : 
TARGET : Yes(Pass)
MIN : No(Fail)</v>
      </c>
    </row>
    <row r="1383" spans="2:18" ht="41.4" x14ac:dyDescent="0.3">
      <c r="B1383">
        <v>1</v>
      </c>
      <c r="C1383" s="33">
        <v>6518</v>
      </c>
      <c r="D1383" s="2">
        <v>1824</v>
      </c>
      <c r="E1383" s="2" t="s">
        <v>8247</v>
      </c>
      <c r="F1383" s="3" t="s">
        <v>14206</v>
      </c>
      <c r="H1383" s="3" t="s">
        <v>656</v>
      </c>
      <c r="K1383" s="2">
        <v>20</v>
      </c>
      <c r="L1383" s="2">
        <v>1</v>
      </c>
      <c r="M1383" s="3" t="s">
        <v>1777</v>
      </c>
      <c r="N1383" s="3" t="s">
        <v>462</v>
      </c>
      <c r="O1383" s="3" t="s">
        <v>424</v>
      </c>
      <c r="P1383" s="3" t="s">
        <v>463</v>
      </c>
      <c r="Q1383" s="30" t="str">
        <f t="shared" si="21"/>
        <v>MAX : 0.28
TARGET : 0.25
MIN : 0.22</v>
      </c>
    </row>
    <row r="1384" spans="2:18" ht="41.4" x14ac:dyDescent="0.3">
      <c r="B1384">
        <v>1</v>
      </c>
      <c r="C1384" s="33">
        <v>6518</v>
      </c>
      <c r="D1384" s="2">
        <v>1824</v>
      </c>
      <c r="E1384" s="2" t="s">
        <v>8247</v>
      </c>
      <c r="F1384" s="3" t="s">
        <v>14206</v>
      </c>
      <c r="H1384" s="3" t="s">
        <v>656</v>
      </c>
      <c r="K1384" s="2">
        <v>20</v>
      </c>
      <c r="L1384" s="2">
        <v>5</v>
      </c>
      <c r="M1384" s="3" t="s">
        <v>3613</v>
      </c>
      <c r="Q1384" s="30" t="str">
        <f t="shared" si="21"/>
        <v xml:space="preserve">MAX : 
TARGET : 
MIN : </v>
      </c>
    </row>
    <row r="1385" spans="2:18" ht="41.4" x14ac:dyDescent="0.3">
      <c r="B1385">
        <v>1</v>
      </c>
      <c r="C1385" s="33">
        <v>6521</v>
      </c>
      <c r="D1385" s="2">
        <v>1825</v>
      </c>
      <c r="E1385" s="2" t="s">
        <v>8253</v>
      </c>
      <c r="F1385" s="3" t="s">
        <v>14206</v>
      </c>
      <c r="H1385" s="3" t="s">
        <v>289</v>
      </c>
      <c r="K1385" s="2">
        <v>20</v>
      </c>
      <c r="L1385" s="2">
        <v>2</v>
      </c>
      <c r="M1385" s="3" t="s">
        <v>198</v>
      </c>
      <c r="N1385" s="3" t="s">
        <v>1436</v>
      </c>
      <c r="O1385" s="3" t="s">
        <v>1788</v>
      </c>
      <c r="P1385" s="3" t="s">
        <v>1789</v>
      </c>
      <c r="Q1385" s="30" t="str">
        <f t="shared" si="21"/>
        <v>MAX : 0.460
TARGET : 0.445
MIN : 0.430</v>
      </c>
    </row>
    <row r="1386" spans="2:18" ht="41.4" x14ac:dyDescent="0.3">
      <c r="B1386">
        <v>1</v>
      </c>
      <c r="C1386" s="33">
        <v>6521</v>
      </c>
      <c r="D1386" s="2">
        <v>1825</v>
      </c>
      <c r="E1386" s="2" t="s">
        <v>8253</v>
      </c>
      <c r="F1386" s="3" t="s">
        <v>14206</v>
      </c>
      <c r="H1386" s="3" t="s">
        <v>289</v>
      </c>
      <c r="K1386" s="2">
        <v>20</v>
      </c>
      <c r="L1386" s="2">
        <v>1</v>
      </c>
      <c r="M1386" s="3" t="s">
        <v>194</v>
      </c>
      <c r="N1386" s="3" t="s">
        <v>1785</v>
      </c>
      <c r="O1386" s="3" t="s">
        <v>1786</v>
      </c>
      <c r="P1386" s="3" t="s">
        <v>1787</v>
      </c>
      <c r="Q1386" s="30" t="str">
        <f t="shared" si="21"/>
        <v>MAX : 0.991
TARGET : 0.976
MIN : 0.961</v>
      </c>
    </row>
    <row r="1387" spans="2:18" ht="41.4" x14ac:dyDescent="0.3">
      <c r="B1387">
        <v>0</v>
      </c>
      <c r="C1387" s="33">
        <v>6835</v>
      </c>
      <c r="D1387" s="2">
        <v>1064</v>
      </c>
      <c r="E1387" s="2" t="s">
        <v>8611</v>
      </c>
      <c r="F1387" s="3" t="s">
        <v>14206</v>
      </c>
      <c r="H1387" s="3" t="s">
        <v>600</v>
      </c>
      <c r="K1387" s="2">
        <v>10</v>
      </c>
      <c r="L1387" s="2">
        <v>4</v>
      </c>
      <c r="M1387" s="3" t="s">
        <v>1987</v>
      </c>
      <c r="N1387" s="3" t="s">
        <v>1988</v>
      </c>
      <c r="O1387" s="3" t="s">
        <v>1989</v>
      </c>
      <c r="P1387" s="3" t="s">
        <v>1990</v>
      </c>
      <c r="Q1387" s="30" t="str">
        <f t="shared" si="21"/>
        <v>MAX : 0.367
TARGET : 0.337
MIN : 0.307</v>
      </c>
      <c r="R1387" s="3" t="s">
        <v>1512</v>
      </c>
    </row>
    <row r="1388" spans="2:18" ht="41.4" x14ac:dyDescent="0.3">
      <c r="B1388">
        <v>0</v>
      </c>
      <c r="C1388" s="33">
        <v>6835</v>
      </c>
      <c r="D1388" s="2">
        <v>1064</v>
      </c>
      <c r="E1388" s="2" t="s">
        <v>8611</v>
      </c>
      <c r="F1388" s="3" t="s">
        <v>14206</v>
      </c>
      <c r="H1388" s="3" t="s">
        <v>600</v>
      </c>
      <c r="K1388" s="2">
        <v>10</v>
      </c>
      <c r="L1388" s="2">
        <v>5</v>
      </c>
      <c r="M1388" s="3" t="s">
        <v>1991</v>
      </c>
      <c r="N1388" s="3" t="s">
        <v>1992</v>
      </c>
      <c r="O1388" s="3" t="s">
        <v>1993</v>
      </c>
      <c r="P1388" s="3" t="s">
        <v>1994</v>
      </c>
      <c r="Q1388" s="30" t="str">
        <f t="shared" si="21"/>
        <v>MAX : 2.336
TARGET : 2.326
MIN : 2.316</v>
      </c>
      <c r="R1388" s="3" t="s">
        <v>1512</v>
      </c>
    </row>
    <row r="1389" spans="2:18" ht="41.4" x14ac:dyDescent="0.3">
      <c r="B1389">
        <v>1</v>
      </c>
      <c r="C1389" s="33">
        <v>6524</v>
      </c>
      <c r="D1389" s="2">
        <v>1025</v>
      </c>
      <c r="E1389" s="2" t="s">
        <v>8261</v>
      </c>
      <c r="F1389" s="3" t="s">
        <v>14206</v>
      </c>
      <c r="H1389" s="3" t="s">
        <v>1328</v>
      </c>
      <c r="K1389" s="2">
        <v>10</v>
      </c>
      <c r="L1389" s="2">
        <v>2</v>
      </c>
      <c r="M1389" s="3" t="s">
        <v>1668</v>
      </c>
      <c r="N1389" s="3" t="s">
        <v>1792</v>
      </c>
      <c r="O1389" s="3" t="s">
        <v>1793</v>
      </c>
      <c r="P1389" s="3" t="s">
        <v>1794</v>
      </c>
      <c r="Q1389" s="30" t="str">
        <f t="shared" si="21"/>
        <v>MAX : 2.103
TARGET : 2.083
MIN : 2.063</v>
      </c>
    </row>
    <row r="1390" spans="2:18" ht="41.4" x14ac:dyDescent="0.3">
      <c r="B1390">
        <v>0</v>
      </c>
      <c r="C1390" s="33">
        <v>6415</v>
      </c>
      <c r="D1390" s="2">
        <v>1017</v>
      </c>
      <c r="E1390" s="2" t="s">
        <v>8092</v>
      </c>
      <c r="F1390" s="3" t="s">
        <v>14206</v>
      </c>
      <c r="H1390" s="3" t="s">
        <v>922</v>
      </c>
      <c r="K1390" t="s">
        <v>6295</v>
      </c>
      <c r="L1390" s="2">
        <v>5</v>
      </c>
      <c r="M1390" s="3" t="s">
        <v>1006</v>
      </c>
      <c r="N1390" s="3" t="s">
        <v>24</v>
      </c>
      <c r="O1390" s="3" t="s">
        <v>25</v>
      </c>
      <c r="Q1390" s="30" t="str">
        <f t="shared" si="21"/>
        <v>MAX : 
TARGET : Yes (Pass)
MIN : No (Fail)</v>
      </c>
      <c r="R1390" s="3" t="s">
        <v>926</v>
      </c>
    </row>
    <row r="1391" spans="2:18" ht="41.4" x14ac:dyDescent="0.3">
      <c r="B1391">
        <v>1</v>
      </c>
      <c r="C1391" s="33">
        <v>6524</v>
      </c>
      <c r="D1391" s="2">
        <v>1025</v>
      </c>
      <c r="E1391" s="2" t="s">
        <v>8261</v>
      </c>
      <c r="F1391" s="3" t="s">
        <v>14206</v>
      </c>
      <c r="H1391" s="3" t="s">
        <v>1328</v>
      </c>
      <c r="K1391" s="2">
        <v>10</v>
      </c>
      <c r="L1391" s="2">
        <v>1</v>
      </c>
      <c r="M1391" s="3" t="s">
        <v>1666</v>
      </c>
      <c r="N1391" s="3" t="s">
        <v>1790</v>
      </c>
      <c r="O1391" s="3" t="s">
        <v>282</v>
      </c>
      <c r="P1391" s="3" t="s">
        <v>1791</v>
      </c>
      <c r="Q1391" s="30" t="str">
        <f t="shared" si="21"/>
        <v>MAX : 0.301
TARGET : 0.281
MIN : 0.261</v>
      </c>
    </row>
    <row r="1392" spans="2:18" ht="41.4" x14ac:dyDescent="0.3">
      <c r="B1392">
        <v>0</v>
      </c>
      <c r="C1392" s="33">
        <v>6874</v>
      </c>
      <c r="D1392" s="2">
        <v>1846</v>
      </c>
      <c r="E1392" s="2" t="s">
        <v>8624</v>
      </c>
      <c r="F1392" s="3" t="s">
        <v>14206</v>
      </c>
      <c r="H1392" s="3" t="s">
        <v>261</v>
      </c>
      <c r="K1392" s="2">
        <v>20</v>
      </c>
      <c r="L1392" s="2">
        <v>3</v>
      </c>
      <c r="M1392" s="3" t="s">
        <v>1897</v>
      </c>
      <c r="N1392" s="3" t="s">
        <v>13</v>
      </c>
      <c r="O1392" s="3" t="s">
        <v>14</v>
      </c>
      <c r="Q1392" s="30" t="str">
        <f t="shared" si="21"/>
        <v>MAX : 
TARGET : Yes(Pass)
MIN : No(Fail)</v>
      </c>
    </row>
    <row r="1393" spans="2:17" ht="41.4" x14ac:dyDescent="0.3">
      <c r="B1393">
        <v>0</v>
      </c>
      <c r="C1393" s="33">
        <v>6874</v>
      </c>
      <c r="D1393" s="2">
        <v>1846</v>
      </c>
      <c r="E1393" s="2" t="s">
        <v>8624</v>
      </c>
      <c r="F1393" s="3" t="s">
        <v>14206</v>
      </c>
      <c r="H1393" s="3" t="s">
        <v>261</v>
      </c>
      <c r="K1393" s="2">
        <v>20</v>
      </c>
      <c r="L1393" s="2">
        <v>4</v>
      </c>
      <c r="M1393" s="3" t="s">
        <v>1898</v>
      </c>
      <c r="N1393" s="3" t="s">
        <v>13</v>
      </c>
      <c r="O1393" s="3" t="s">
        <v>14</v>
      </c>
      <c r="Q1393" s="30" t="str">
        <f t="shared" si="21"/>
        <v>MAX : 
TARGET : Yes(Pass)
MIN : No(Fail)</v>
      </c>
    </row>
    <row r="1394" spans="2:17" ht="41.4" x14ac:dyDescent="0.3">
      <c r="B1394">
        <v>0</v>
      </c>
      <c r="C1394" s="33">
        <v>6874</v>
      </c>
      <c r="D1394" s="2">
        <v>1846</v>
      </c>
      <c r="E1394" s="2" t="s">
        <v>8624</v>
      </c>
      <c r="F1394" s="3" t="s">
        <v>14206</v>
      </c>
      <c r="H1394" s="3" t="s">
        <v>261</v>
      </c>
      <c r="K1394" s="2">
        <v>20</v>
      </c>
      <c r="L1394" s="2">
        <v>5</v>
      </c>
      <c r="M1394" s="3" t="s">
        <v>1899</v>
      </c>
      <c r="N1394" s="3" t="s">
        <v>13</v>
      </c>
      <c r="O1394" s="3" t="s">
        <v>14</v>
      </c>
      <c r="Q1394" s="30" t="str">
        <f t="shared" si="21"/>
        <v>MAX : 
TARGET : Yes(Pass)
MIN : No(Fail)</v>
      </c>
    </row>
    <row r="1395" spans="2:17" ht="41.4" x14ac:dyDescent="0.3">
      <c r="B1395">
        <v>1</v>
      </c>
      <c r="C1395" s="33">
        <v>6525</v>
      </c>
      <c r="D1395" s="2">
        <v>1026</v>
      </c>
      <c r="E1395" s="2" t="s">
        <v>8268</v>
      </c>
      <c r="F1395" s="3" t="s">
        <v>14206</v>
      </c>
      <c r="H1395" s="3" t="s">
        <v>1328</v>
      </c>
      <c r="K1395" s="2">
        <v>10</v>
      </c>
      <c r="L1395" s="2">
        <v>2</v>
      </c>
      <c r="M1395" s="3" t="s">
        <v>1668</v>
      </c>
      <c r="N1395" s="3" t="s">
        <v>1806</v>
      </c>
      <c r="O1395" s="3" t="s">
        <v>1807</v>
      </c>
      <c r="P1395" s="3" t="s">
        <v>1808</v>
      </c>
      <c r="Q1395" s="30" t="str">
        <f t="shared" si="21"/>
        <v>MAX : 8.520
TARGET : 8.500
MIN : 8.480</v>
      </c>
    </row>
    <row r="1396" spans="2:17" ht="41.4" x14ac:dyDescent="0.3">
      <c r="B1396">
        <v>1</v>
      </c>
      <c r="C1396" s="33">
        <v>6525</v>
      </c>
      <c r="D1396" s="2">
        <v>1026</v>
      </c>
      <c r="E1396" s="2" t="s">
        <v>8268</v>
      </c>
      <c r="F1396" s="3" t="s">
        <v>14206</v>
      </c>
      <c r="H1396" s="3" t="s">
        <v>1328</v>
      </c>
      <c r="K1396" s="2">
        <v>10</v>
      </c>
      <c r="L1396" s="2">
        <v>1</v>
      </c>
      <c r="M1396" s="3" t="s">
        <v>1666</v>
      </c>
      <c r="N1396" s="3" t="s">
        <v>1804</v>
      </c>
      <c r="O1396" s="3" t="s">
        <v>277</v>
      </c>
      <c r="P1396" s="3" t="s">
        <v>1805</v>
      </c>
      <c r="Q1396" s="30" t="str">
        <f t="shared" si="21"/>
        <v>MAX : 0.426
TARGET : 0.406
MIN : 0.386</v>
      </c>
    </row>
    <row r="1397" spans="2:17" ht="41.4" x14ac:dyDescent="0.3">
      <c r="B1397">
        <v>0</v>
      </c>
      <c r="C1397" s="33">
        <v>6876</v>
      </c>
      <c r="D1397" s="2">
        <v>1847</v>
      </c>
      <c r="E1397" s="2" t="s">
        <v>8629</v>
      </c>
      <c r="F1397" s="3" t="s">
        <v>14206</v>
      </c>
      <c r="H1397" s="3" t="s">
        <v>261</v>
      </c>
      <c r="K1397" s="2">
        <v>20</v>
      </c>
      <c r="L1397" s="2">
        <v>3</v>
      </c>
      <c r="M1397" s="3" t="s">
        <v>1897</v>
      </c>
      <c r="N1397" s="3" t="s">
        <v>13</v>
      </c>
      <c r="O1397" s="3" t="s">
        <v>14</v>
      </c>
      <c r="Q1397" s="30" t="str">
        <f t="shared" si="21"/>
        <v>MAX : 
TARGET : Yes(Pass)
MIN : No(Fail)</v>
      </c>
    </row>
    <row r="1398" spans="2:17" ht="41.4" x14ac:dyDescent="0.3">
      <c r="B1398">
        <v>0</v>
      </c>
      <c r="C1398" s="33">
        <v>6876</v>
      </c>
      <c r="D1398" s="2">
        <v>1847</v>
      </c>
      <c r="E1398" s="2" t="s">
        <v>8629</v>
      </c>
      <c r="F1398" s="3" t="s">
        <v>14206</v>
      </c>
      <c r="H1398" s="3" t="s">
        <v>261</v>
      </c>
      <c r="K1398" s="2">
        <v>20</v>
      </c>
      <c r="L1398" s="2">
        <v>4</v>
      </c>
      <c r="M1398" s="3" t="s">
        <v>1898</v>
      </c>
      <c r="N1398" s="3" t="s">
        <v>13</v>
      </c>
      <c r="O1398" s="3" t="s">
        <v>14</v>
      </c>
      <c r="Q1398" s="30" t="str">
        <f t="shared" si="21"/>
        <v>MAX : 
TARGET : Yes(Pass)
MIN : No(Fail)</v>
      </c>
    </row>
    <row r="1399" spans="2:17" ht="41.4" x14ac:dyDescent="0.3">
      <c r="B1399">
        <v>0</v>
      </c>
      <c r="C1399" s="33">
        <v>6876</v>
      </c>
      <c r="D1399" s="2">
        <v>1847</v>
      </c>
      <c r="E1399" s="2" t="s">
        <v>8629</v>
      </c>
      <c r="F1399" s="3" t="s">
        <v>14206</v>
      </c>
      <c r="H1399" s="3" t="s">
        <v>261</v>
      </c>
      <c r="K1399" s="2">
        <v>20</v>
      </c>
      <c r="L1399" s="2">
        <v>5</v>
      </c>
      <c r="M1399" s="3" t="s">
        <v>1899</v>
      </c>
      <c r="N1399" s="3" t="s">
        <v>13</v>
      </c>
      <c r="O1399" s="3" t="s">
        <v>14</v>
      </c>
      <c r="Q1399" s="30" t="str">
        <f t="shared" si="21"/>
        <v>MAX : 
TARGET : Yes(Pass)
MIN : No(Fail)</v>
      </c>
    </row>
    <row r="1400" spans="2:17" ht="41.4" x14ac:dyDescent="0.3">
      <c r="B1400">
        <v>1</v>
      </c>
      <c r="C1400" s="33">
        <v>6525</v>
      </c>
      <c r="D1400" s="2">
        <v>1026</v>
      </c>
      <c r="E1400" s="2" t="s">
        <v>8268</v>
      </c>
      <c r="F1400" s="3" t="s">
        <v>14206</v>
      </c>
      <c r="H1400" s="3" t="s">
        <v>1328</v>
      </c>
      <c r="K1400" s="2">
        <v>10</v>
      </c>
      <c r="L1400" s="2">
        <v>8</v>
      </c>
      <c r="M1400" s="3" t="s">
        <v>1795</v>
      </c>
      <c r="N1400" s="3" t="s">
        <v>1825</v>
      </c>
      <c r="O1400" s="3" t="s">
        <v>1826</v>
      </c>
      <c r="P1400" s="3" t="s">
        <v>1827</v>
      </c>
      <c r="Q1400" s="30" t="str">
        <f t="shared" si="21"/>
        <v>MAX : 10.55
TARGET : 10.50
MIN : 10.45</v>
      </c>
    </row>
    <row r="1401" spans="2:17" ht="41.4" x14ac:dyDescent="0.3">
      <c r="B1401">
        <v>1</v>
      </c>
      <c r="C1401" s="33">
        <v>6526</v>
      </c>
      <c r="D1401" s="2">
        <v>1027</v>
      </c>
      <c r="E1401" s="2" t="s">
        <v>8274</v>
      </c>
      <c r="F1401" s="3" t="s">
        <v>14206</v>
      </c>
      <c r="H1401" s="3" t="s">
        <v>1328</v>
      </c>
      <c r="K1401" t="s">
        <v>6295</v>
      </c>
      <c r="L1401" s="2">
        <v>2</v>
      </c>
      <c r="M1401" s="3" t="s">
        <v>1668</v>
      </c>
      <c r="N1401" s="3" t="s">
        <v>1816</v>
      </c>
      <c r="O1401" s="3" t="s">
        <v>1817</v>
      </c>
      <c r="P1401" s="3" t="s">
        <v>1818</v>
      </c>
      <c r="Q1401" s="30" t="str">
        <f t="shared" si="21"/>
        <v>MAX : 4.520
TARGET : 4.500
MIN : 4.480</v>
      </c>
    </row>
    <row r="1402" spans="2:17" ht="41.4" x14ac:dyDescent="0.3">
      <c r="B1402">
        <v>1</v>
      </c>
      <c r="C1402" s="33">
        <v>6526</v>
      </c>
      <c r="D1402" s="2">
        <v>1027</v>
      </c>
      <c r="E1402" s="2" t="s">
        <v>8274</v>
      </c>
      <c r="F1402" s="3" t="s">
        <v>14206</v>
      </c>
      <c r="H1402" s="3" t="s">
        <v>1328</v>
      </c>
      <c r="K1402" t="s">
        <v>6295</v>
      </c>
      <c r="L1402" s="2">
        <v>1</v>
      </c>
      <c r="M1402" s="3" t="s">
        <v>1666</v>
      </c>
      <c r="N1402" s="3" t="s">
        <v>1804</v>
      </c>
      <c r="O1402" s="3" t="s">
        <v>277</v>
      </c>
      <c r="P1402" s="3" t="s">
        <v>1805</v>
      </c>
      <c r="Q1402" s="30" t="str">
        <f t="shared" si="21"/>
        <v>MAX : 0.426
TARGET : 0.406
MIN : 0.386</v>
      </c>
    </row>
    <row r="1403" spans="2:17" ht="41.4" x14ac:dyDescent="0.3">
      <c r="B1403">
        <v>1</v>
      </c>
      <c r="C1403" s="33">
        <v>6526</v>
      </c>
      <c r="D1403" s="2">
        <v>1027</v>
      </c>
      <c r="E1403" s="2" t="s">
        <v>8274</v>
      </c>
      <c r="F1403" s="3" t="s">
        <v>14206</v>
      </c>
      <c r="H1403" s="3" t="s">
        <v>1328</v>
      </c>
      <c r="K1403" t="s">
        <v>6295</v>
      </c>
      <c r="L1403" s="2">
        <v>8</v>
      </c>
      <c r="M1403" s="3" t="s">
        <v>1676</v>
      </c>
      <c r="N1403" s="3" t="s">
        <v>13</v>
      </c>
      <c r="O1403" s="3" t="s">
        <v>14</v>
      </c>
      <c r="Q1403" s="30" t="str">
        <f t="shared" si="21"/>
        <v>MAX : 
TARGET : Yes(Pass)
MIN : No(Fail)</v>
      </c>
    </row>
    <row r="1404" spans="2:17" ht="41.4" x14ac:dyDescent="0.3">
      <c r="B1404">
        <v>0</v>
      </c>
      <c r="C1404" s="33">
        <v>6337</v>
      </c>
      <c r="D1404" s="2">
        <v>1802</v>
      </c>
      <c r="E1404" s="2" t="s">
        <v>8039</v>
      </c>
      <c r="F1404" s="3" t="s">
        <v>14206</v>
      </c>
      <c r="H1404" s="3" t="s">
        <v>1996</v>
      </c>
      <c r="K1404" s="2">
        <v>30</v>
      </c>
      <c r="L1404" s="2">
        <v>3</v>
      </c>
      <c r="M1404" s="3" t="s">
        <v>2000</v>
      </c>
      <c r="N1404" s="3" t="s">
        <v>2001</v>
      </c>
      <c r="O1404" s="3" t="s">
        <v>775</v>
      </c>
      <c r="P1404" s="3" t="s">
        <v>2001</v>
      </c>
      <c r="Q1404" s="30" t="str">
        <f t="shared" si="21"/>
        <v>MAX : 0.03
TARGET : 0.00
MIN : 0.03</v>
      </c>
    </row>
    <row r="1405" spans="2:17" ht="41.4" x14ac:dyDescent="0.3">
      <c r="B1405">
        <v>0</v>
      </c>
      <c r="C1405" s="33">
        <v>6337</v>
      </c>
      <c r="D1405" s="2">
        <v>1802</v>
      </c>
      <c r="E1405" s="2" t="s">
        <v>8039</v>
      </c>
      <c r="F1405" s="3" t="s">
        <v>14206</v>
      </c>
      <c r="H1405" s="3" t="s">
        <v>1996</v>
      </c>
      <c r="K1405" s="2">
        <v>30</v>
      </c>
      <c r="L1405" s="2">
        <v>4</v>
      </c>
      <c r="M1405" s="3" t="s">
        <v>2002</v>
      </c>
      <c r="N1405" s="3" t="s">
        <v>13</v>
      </c>
      <c r="O1405" s="3" t="s">
        <v>14</v>
      </c>
      <c r="Q1405" s="30" t="str">
        <f t="shared" si="21"/>
        <v>MAX : 
TARGET : Yes(Pass)
MIN : No(Fail)</v>
      </c>
    </row>
    <row r="1406" spans="2:17" ht="41.4" x14ac:dyDescent="0.3">
      <c r="B1406">
        <v>1</v>
      </c>
      <c r="C1406" s="33">
        <v>6531</v>
      </c>
      <c r="D1406" s="2">
        <v>1028</v>
      </c>
      <c r="E1406" s="2" t="s">
        <v>8280</v>
      </c>
      <c r="F1406" s="3" t="s">
        <v>14206</v>
      </c>
      <c r="H1406" s="3" t="s">
        <v>1828</v>
      </c>
      <c r="K1406" s="2">
        <v>10</v>
      </c>
      <c r="L1406" s="2">
        <v>2</v>
      </c>
      <c r="M1406" s="3" t="s">
        <v>194</v>
      </c>
      <c r="N1406" s="3" t="s">
        <v>1832</v>
      </c>
      <c r="O1406" s="3" t="s">
        <v>1833</v>
      </c>
      <c r="P1406" s="3" t="s">
        <v>1834</v>
      </c>
      <c r="Q1406" s="30" t="str">
        <f t="shared" si="21"/>
        <v>MAX : 47.88
TARGET : 47.75
MIN : 47.62</v>
      </c>
    </row>
    <row r="1407" spans="2:17" ht="41.4" x14ac:dyDescent="0.3">
      <c r="B1407">
        <v>0</v>
      </c>
      <c r="C1407" s="33">
        <v>6424</v>
      </c>
      <c r="D1407" s="2">
        <v>1808</v>
      </c>
      <c r="E1407" s="2" t="s">
        <v>8106</v>
      </c>
      <c r="F1407" s="3" t="s">
        <v>14207</v>
      </c>
      <c r="H1407" s="3" t="s">
        <v>1677</v>
      </c>
      <c r="K1407" s="2">
        <v>10</v>
      </c>
      <c r="L1407" s="2">
        <v>1</v>
      </c>
      <c r="M1407" s="3" t="s">
        <v>611</v>
      </c>
      <c r="N1407" s="3" t="s">
        <v>13</v>
      </c>
      <c r="O1407" s="3" t="s">
        <v>14</v>
      </c>
      <c r="Q1407" s="30" t="str">
        <f t="shared" si="21"/>
        <v>MAX : 
TARGET : Yes(Pass)
MIN : No(Fail)</v>
      </c>
    </row>
    <row r="1408" spans="2:17" ht="41.4" x14ac:dyDescent="0.3">
      <c r="B1408">
        <v>1</v>
      </c>
      <c r="C1408" s="33">
        <v>6531</v>
      </c>
      <c r="D1408" s="2">
        <v>1028</v>
      </c>
      <c r="E1408" s="2" t="s">
        <v>8280</v>
      </c>
      <c r="F1408" s="3" t="s">
        <v>14206</v>
      </c>
      <c r="H1408" s="3" t="s">
        <v>1828</v>
      </c>
      <c r="K1408" s="2">
        <v>10</v>
      </c>
      <c r="L1408" s="2">
        <v>1</v>
      </c>
      <c r="M1408" s="3" t="s">
        <v>198</v>
      </c>
      <c r="N1408" s="3" t="s">
        <v>1829</v>
      </c>
      <c r="O1408" s="3" t="s">
        <v>1830</v>
      </c>
      <c r="P1408" s="3" t="s">
        <v>1831</v>
      </c>
      <c r="Q1408" s="30" t="str">
        <f t="shared" si="21"/>
        <v>MAX : 16.38
TARGET : 16.25
MIN : 16.12</v>
      </c>
    </row>
    <row r="1409" spans="2:18" ht="41.4" x14ac:dyDescent="0.3">
      <c r="B1409">
        <v>0</v>
      </c>
      <c r="C1409" s="33">
        <v>6923</v>
      </c>
      <c r="D1409" s="2">
        <v>1066</v>
      </c>
      <c r="E1409" s="2" t="s">
        <v>8633</v>
      </c>
      <c r="F1409" s="3" t="s">
        <v>14206</v>
      </c>
      <c r="H1409" s="3" t="s">
        <v>469</v>
      </c>
      <c r="K1409" t="s">
        <v>6295</v>
      </c>
      <c r="L1409" s="2">
        <v>3</v>
      </c>
      <c r="M1409" s="3" t="s">
        <v>2010</v>
      </c>
      <c r="N1409" s="3" t="s">
        <v>2011</v>
      </c>
      <c r="O1409" s="3" t="s">
        <v>1703</v>
      </c>
      <c r="P1409" s="3" t="s">
        <v>1814</v>
      </c>
      <c r="Q1409" s="30" t="str">
        <f t="shared" si="21"/>
        <v>MAX : 0.63
TARGET : 0.60
MIN : 0.57</v>
      </c>
    </row>
    <row r="1410" spans="2:18" ht="41.4" x14ac:dyDescent="0.3">
      <c r="B1410">
        <v>0</v>
      </c>
      <c r="C1410" s="33">
        <v>6923</v>
      </c>
      <c r="D1410" s="2">
        <v>1066</v>
      </c>
      <c r="E1410" s="2" t="s">
        <v>8633</v>
      </c>
      <c r="F1410" s="3" t="s">
        <v>14206</v>
      </c>
      <c r="H1410" s="3" t="s">
        <v>469</v>
      </c>
      <c r="K1410" t="s">
        <v>6295</v>
      </c>
      <c r="L1410" s="2">
        <v>4</v>
      </c>
      <c r="M1410" s="3" t="s">
        <v>2012</v>
      </c>
      <c r="N1410" s="3" t="s">
        <v>13</v>
      </c>
      <c r="O1410" s="3" t="s">
        <v>14</v>
      </c>
      <c r="Q1410" s="30" t="str">
        <f t="shared" ref="Q1410:Q1473" si="22">"MAX : " &amp; P1410 &amp; CHAR(10) &amp; "TARGET : " &amp; O1410 &amp; CHAR(10) &amp; "MIN : " &amp; N1410</f>
        <v>MAX : 
TARGET : Yes(Pass)
MIN : No(Fail)</v>
      </c>
    </row>
    <row r="1411" spans="2:18" ht="41.4" x14ac:dyDescent="0.3">
      <c r="B1411">
        <v>1</v>
      </c>
      <c r="C1411" s="33">
        <v>6538</v>
      </c>
      <c r="D1411" s="2">
        <v>1826</v>
      </c>
      <c r="E1411" s="2" t="s">
        <v>8288</v>
      </c>
      <c r="F1411" s="3" t="s">
        <v>14206</v>
      </c>
      <c r="H1411" s="3" t="s">
        <v>193</v>
      </c>
      <c r="K1411" s="2">
        <v>10</v>
      </c>
      <c r="L1411" s="2">
        <v>2</v>
      </c>
      <c r="M1411" s="3" t="s">
        <v>1609</v>
      </c>
      <c r="N1411" s="3" t="s">
        <v>13</v>
      </c>
      <c r="O1411" s="3" t="s">
        <v>14</v>
      </c>
      <c r="Q1411" s="30" t="str">
        <f t="shared" si="22"/>
        <v>MAX : 
TARGET : Yes(Pass)
MIN : No(Fail)</v>
      </c>
    </row>
    <row r="1412" spans="2:18" ht="41.4" x14ac:dyDescent="0.3">
      <c r="B1412">
        <v>1</v>
      </c>
      <c r="C1412" s="33">
        <v>6538</v>
      </c>
      <c r="D1412" s="2">
        <v>1826</v>
      </c>
      <c r="E1412" s="2" t="s">
        <v>8288</v>
      </c>
      <c r="F1412" s="3" t="s">
        <v>14206</v>
      </c>
      <c r="H1412" s="3" t="s">
        <v>193</v>
      </c>
      <c r="K1412" s="2">
        <v>10</v>
      </c>
      <c r="L1412" s="2">
        <v>1</v>
      </c>
      <c r="M1412" s="3" t="s">
        <v>1837</v>
      </c>
      <c r="N1412" s="3" t="s">
        <v>863</v>
      </c>
      <c r="O1412" s="3" t="s">
        <v>8</v>
      </c>
      <c r="P1412" s="3" t="s">
        <v>865</v>
      </c>
      <c r="Q1412" s="30" t="str">
        <f t="shared" si="22"/>
        <v>MAX : +0.03
TARGET : Target
MIN : -0.03</v>
      </c>
    </row>
    <row r="1413" spans="2:18" ht="41.4" x14ac:dyDescent="0.3">
      <c r="B1413">
        <v>1</v>
      </c>
      <c r="C1413" s="33">
        <v>6551</v>
      </c>
      <c r="D1413" s="2">
        <v>1029</v>
      </c>
      <c r="E1413" s="2" t="s">
        <v>8293</v>
      </c>
      <c r="F1413" s="3" t="s">
        <v>14206</v>
      </c>
      <c r="H1413" s="3" t="s">
        <v>713</v>
      </c>
      <c r="K1413" s="2">
        <v>20</v>
      </c>
      <c r="L1413" s="2">
        <v>2</v>
      </c>
      <c r="M1413" s="3" t="s">
        <v>1838</v>
      </c>
      <c r="N1413" s="3" t="s">
        <v>247</v>
      </c>
      <c r="O1413" s="3" t="s">
        <v>979</v>
      </c>
      <c r="P1413" s="3" t="s">
        <v>309</v>
      </c>
      <c r="Q1413" s="30" t="str">
        <f t="shared" si="22"/>
        <v>MAX : 0.50
TARGET : 0.44
MIN : 0.38</v>
      </c>
      <c r="R1413" s="3" t="s">
        <v>1638</v>
      </c>
    </row>
    <row r="1414" spans="2:18" ht="41.4" x14ac:dyDescent="0.3">
      <c r="B1414">
        <v>1</v>
      </c>
      <c r="C1414" s="33">
        <v>6551</v>
      </c>
      <c r="D1414" s="2">
        <v>1029</v>
      </c>
      <c r="E1414" s="2" t="s">
        <v>8293</v>
      </c>
      <c r="F1414" s="3" t="s">
        <v>14206</v>
      </c>
      <c r="H1414" s="3" t="s">
        <v>713</v>
      </c>
      <c r="K1414" s="2">
        <v>20</v>
      </c>
      <c r="L1414" s="2">
        <v>1</v>
      </c>
      <c r="M1414" s="3" t="s">
        <v>194</v>
      </c>
      <c r="N1414" s="3" t="s">
        <v>27</v>
      </c>
      <c r="O1414" s="3" t="s">
        <v>28</v>
      </c>
      <c r="P1414" s="3" t="s">
        <v>29</v>
      </c>
      <c r="Q1414" s="30" t="str">
        <f t="shared" si="22"/>
        <v>MAX : 1.53
TARGET : 1.50
MIN : 1.47</v>
      </c>
      <c r="R1414" s="3" t="s">
        <v>1638</v>
      </c>
    </row>
    <row r="1415" spans="2:18" ht="41.4" x14ac:dyDescent="0.3">
      <c r="B1415">
        <v>0</v>
      </c>
      <c r="C1415" s="33">
        <v>6756</v>
      </c>
      <c r="D1415" s="2">
        <v>1044</v>
      </c>
      <c r="E1415" s="2" t="s">
        <v>8464</v>
      </c>
      <c r="F1415" s="3" t="s">
        <v>14206</v>
      </c>
      <c r="H1415" s="3" t="s">
        <v>713</v>
      </c>
      <c r="K1415" s="2">
        <v>10</v>
      </c>
      <c r="L1415" s="2">
        <v>1</v>
      </c>
      <c r="M1415" s="3" t="s">
        <v>1273</v>
      </c>
      <c r="N1415" s="3" t="s">
        <v>13</v>
      </c>
      <c r="O1415" s="3" t="s">
        <v>14</v>
      </c>
      <c r="Q1415" s="30" t="str">
        <f t="shared" si="22"/>
        <v>MAX : 
TARGET : Yes(Pass)
MIN : No(Fail)</v>
      </c>
    </row>
    <row r="1416" spans="2:18" ht="41.4" x14ac:dyDescent="0.3">
      <c r="B1416">
        <v>1</v>
      </c>
      <c r="C1416" s="33">
        <v>6551</v>
      </c>
      <c r="D1416" s="2">
        <v>1029</v>
      </c>
      <c r="E1416" s="2" t="s">
        <v>8293</v>
      </c>
      <c r="F1416" s="3" t="s">
        <v>14206</v>
      </c>
      <c r="H1416" s="3" t="s">
        <v>713</v>
      </c>
      <c r="K1416" s="2">
        <v>10</v>
      </c>
      <c r="L1416" s="2">
        <v>2</v>
      </c>
      <c r="M1416" s="3" t="s">
        <v>3082</v>
      </c>
      <c r="N1416" s="3" t="s">
        <v>13</v>
      </c>
      <c r="O1416" s="3" t="s">
        <v>14</v>
      </c>
      <c r="Q1416" s="30" t="str">
        <f t="shared" si="22"/>
        <v>MAX : 
TARGET : Yes(Pass)
MIN : No(Fail)</v>
      </c>
      <c r="R1416" s="3" t="s">
        <v>1638</v>
      </c>
    </row>
    <row r="1417" spans="2:18" ht="41.4" x14ac:dyDescent="0.3">
      <c r="B1417">
        <v>1</v>
      </c>
      <c r="C1417" s="33">
        <v>6552</v>
      </c>
      <c r="D1417" s="2">
        <v>1030</v>
      </c>
      <c r="E1417" s="2" t="s">
        <v>8300</v>
      </c>
      <c r="F1417" s="3" t="s">
        <v>14206</v>
      </c>
      <c r="H1417" s="3" t="s">
        <v>962</v>
      </c>
      <c r="K1417" s="2">
        <v>10</v>
      </c>
      <c r="L1417" s="2">
        <v>2</v>
      </c>
      <c r="M1417" s="3" t="s">
        <v>198</v>
      </c>
      <c r="N1417" s="3" t="s">
        <v>1843</v>
      </c>
      <c r="O1417" s="3" t="s">
        <v>1844</v>
      </c>
      <c r="P1417" s="3" t="s">
        <v>1845</v>
      </c>
      <c r="Q1417" s="30" t="str">
        <f t="shared" si="22"/>
        <v>MAX : 2.874
TARGET : 2.854
MIN : 2.834</v>
      </c>
    </row>
    <row r="1418" spans="2:18" ht="41.4" x14ac:dyDescent="0.3">
      <c r="B1418">
        <v>0</v>
      </c>
      <c r="C1418" s="33">
        <v>6931</v>
      </c>
      <c r="D1418" s="2">
        <v>1067</v>
      </c>
      <c r="E1418" s="2" t="s">
        <v>8646</v>
      </c>
      <c r="F1418" s="3" t="s">
        <v>14206</v>
      </c>
      <c r="H1418" s="3" t="s">
        <v>648</v>
      </c>
      <c r="K1418" s="2">
        <v>10</v>
      </c>
      <c r="L1418" s="2">
        <v>3</v>
      </c>
      <c r="M1418" s="3" t="s">
        <v>2019</v>
      </c>
      <c r="N1418" s="3" t="s">
        <v>2020</v>
      </c>
      <c r="O1418" s="3" t="s">
        <v>807</v>
      </c>
      <c r="P1418" s="3" t="s">
        <v>1085</v>
      </c>
      <c r="Q1418" s="30" t="str">
        <f t="shared" si="22"/>
        <v>MAX : 0.76
TARGET : 0.70
MIN : 0.64</v>
      </c>
    </row>
    <row r="1419" spans="2:18" ht="41.4" x14ac:dyDescent="0.3">
      <c r="B1419">
        <v>0</v>
      </c>
      <c r="C1419" s="33">
        <v>6931</v>
      </c>
      <c r="D1419" s="2">
        <v>1067</v>
      </c>
      <c r="E1419" s="2" t="s">
        <v>8646</v>
      </c>
      <c r="F1419" s="3" t="s">
        <v>14206</v>
      </c>
      <c r="H1419" s="3" t="s">
        <v>648</v>
      </c>
      <c r="K1419" s="2">
        <v>10</v>
      </c>
      <c r="L1419" s="2">
        <v>4</v>
      </c>
      <c r="M1419" s="3" t="s">
        <v>2021</v>
      </c>
      <c r="N1419" s="3" t="s">
        <v>308</v>
      </c>
      <c r="O1419" s="3" t="s">
        <v>309</v>
      </c>
      <c r="P1419" s="3" t="s">
        <v>310</v>
      </c>
      <c r="Q1419" s="30" t="str">
        <f t="shared" si="22"/>
        <v>MAX : 0.53
TARGET : 0.50
MIN : 0.47</v>
      </c>
    </row>
    <row r="1420" spans="2:18" ht="41.4" x14ac:dyDescent="0.3">
      <c r="B1420">
        <v>1</v>
      </c>
      <c r="C1420" s="33">
        <v>6552</v>
      </c>
      <c r="D1420" s="2">
        <v>1030</v>
      </c>
      <c r="E1420" s="2" t="s">
        <v>8300</v>
      </c>
      <c r="F1420" s="3" t="s">
        <v>14206</v>
      </c>
      <c r="H1420" s="3" t="s">
        <v>962</v>
      </c>
      <c r="K1420" s="2">
        <v>10</v>
      </c>
      <c r="L1420" s="2">
        <v>1</v>
      </c>
      <c r="M1420" s="3" t="s">
        <v>194</v>
      </c>
      <c r="N1420" s="3" t="s">
        <v>1841</v>
      </c>
      <c r="O1420" s="3" t="s">
        <v>1091</v>
      </c>
      <c r="P1420" s="3" t="s">
        <v>1842</v>
      </c>
      <c r="Q1420" s="30" t="str">
        <f t="shared" si="22"/>
        <v>MAX : 6.71
TARGET : 6.69
MIN : 6.67</v>
      </c>
    </row>
    <row r="1421" spans="2:18" ht="41.4" x14ac:dyDescent="0.3">
      <c r="B1421">
        <v>1</v>
      </c>
      <c r="C1421" s="33">
        <v>6572</v>
      </c>
      <c r="D1421" s="2">
        <v>1827</v>
      </c>
      <c r="E1421" s="2" t="s">
        <v>8306</v>
      </c>
      <c r="F1421" s="3" t="s">
        <v>14206</v>
      </c>
      <c r="H1421" s="3" t="s">
        <v>491</v>
      </c>
      <c r="K1421" s="2">
        <v>10</v>
      </c>
      <c r="L1421" s="2">
        <v>2</v>
      </c>
      <c r="M1421" s="3" t="s">
        <v>611</v>
      </c>
      <c r="N1421" s="3" t="s">
        <v>13</v>
      </c>
      <c r="O1421" s="3" t="s">
        <v>14</v>
      </c>
      <c r="Q1421" s="30" t="str">
        <f t="shared" si="22"/>
        <v>MAX : 
TARGET : Yes(Pass)
MIN : No(Fail)</v>
      </c>
    </row>
    <row r="1422" spans="2:18" ht="41.4" x14ac:dyDescent="0.3">
      <c r="B1422">
        <v>0</v>
      </c>
      <c r="C1422" s="33">
        <v>6945</v>
      </c>
      <c r="D1422" s="2">
        <v>1068</v>
      </c>
      <c r="E1422" s="2" t="s">
        <v>8655</v>
      </c>
      <c r="F1422" s="3" t="s">
        <v>14206</v>
      </c>
      <c r="H1422" s="3" t="s">
        <v>426</v>
      </c>
      <c r="K1422" s="2">
        <v>20</v>
      </c>
      <c r="L1422" s="2">
        <v>3</v>
      </c>
      <c r="M1422" s="3" t="s">
        <v>2024</v>
      </c>
      <c r="N1422" s="3" t="s">
        <v>1035</v>
      </c>
      <c r="O1422" s="3" t="s">
        <v>86</v>
      </c>
      <c r="P1422" s="3" t="s">
        <v>1036</v>
      </c>
      <c r="Q1422" s="30" t="str">
        <f t="shared" si="22"/>
        <v>MAX : 0.520
TARGET : 0.500
MIN : 0.480</v>
      </c>
    </row>
    <row r="1423" spans="2:18" ht="41.4" x14ac:dyDescent="0.3">
      <c r="B1423">
        <v>0</v>
      </c>
      <c r="C1423" s="33">
        <v>6945</v>
      </c>
      <c r="D1423" s="2">
        <v>1068</v>
      </c>
      <c r="E1423" s="2" t="s">
        <v>8655</v>
      </c>
      <c r="F1423" s="3" t="s">
        <v>14206</v>
      </c>
      <c r="H1423" s="3" t="s">
        <v>426</v>
      </c>
      <c r="K1423" s="2">
        <v>20</v>
      </c>
      <c r="L1423" s="2">
        <v>4</v>
      </c>
      <c r="M1423" s="3" t="s">
        <v>194</v>
      </c>
      <c r="N1423" s="3" t="s">
        <v>816</v>
      </c>
      <c r="O1423" s="3" t="s">
        <v>1505</v>
      </c>
      <c r="P1423" s="3" t="s">
        <v>2025</v>
      </c>
      <c r="Q1423" s="30" t="str">
        <f t="shared" si="22"/>
        <v>MAX : 3.09
TARGET : 3.06
MIN : 3.03</v>
      </c>
    </row>
    <row r="1424" spans="2:18" ht="41.4" x14ac:dyDescent="0.3">
      <c r="B1424">
        <v>0</v>
      </c>
      <c r="C1424" s="33">
        <v>6945</v>
      </c>
      <c r="D1424" s="2">
        <v>1068</v>
      </c>
      <c r="E1424" s="2" t="s">
        <v>8655</v>
      </c>
      <c r="F1424" s="3" t="s">
        <v>14206</v>
      </c>
      <c r="H1424" s="3" t="s">
        <v>426</v>
      </c>
      <c r="K1424" s="2">
        <v>20</v>
      </c>
      <c r="L1424" s="2">
        <v>5</v>
      </c>
      <c r="M1424" s="3" t="s">
        <v>1428</v>
      </c>
      <c r="N1424" s="3" t="s">
        <v>246</v>
      </c>
      <c r="O1424" s="3" t="s">
        <v>247</v>
      </c>
      <c r="P1424" s="3" t="s">
        <v>248</v>
      </c>
      <c r="Q1424" s="30" t="str">
        <f t="shared" si="22"/>
        <v>MAX : 0.41
TARGET : 0.38
MIN : 0.35</v>
      </c>
    </row>
    <row r="1425" spans="2:17" ht="41.4" x14ac:dyDescent="0.3">
      <c r="B1425">
        <v>0</v>
      </c>
      <c r="C1425" s="33">
        <v>6945</v>
      </c>
      <c r="D1425" s="2">
        <v>1068</v>
      </c>
      <c r="E1425" s="2" t="s">
        <v>8655</v>
      </c>
      <c r="F1425" s="3" t="s">
        <v>14206</v>
      </c>
      <c r="H1425" s="3" t="s">
        <v>426</v>
      </c>
      <c r="K1425" s="2">
        <v>20</v>
      </c>
      <c r="L1425" s="2">
        <v>6</v>
      </c>
      <c r="M1425" s="3" t="s">
        <v>2026</v>
      </c>
      <c r="N1425" s="3" t="s">
        <v>2027</v>
      </c>
      <c r="O1425" s="3" t="s">
        <v>1731</v>
      </c>
      <c r="P1425" s="3" t="s">
        <v>2028</v>
      </c>
      <c r="Q1425" s="30" t="str">
        <f t="shared" si="22"/>
        <v>MAX : 0.40
TARGET : 0.37
MIN : 0.34</v>
      </c>
    </row>
    <row r="1426" spans="2:17" ht="41.4" x14ac:dyDescent="0.3">
      <c r="B1426">
        <v>0</v>
      </c>
      <c r="C1426" s="33">
        <v>6945</v>
      </c>
      <c r="D1426" s="2">
        <v>1068</v>
      </c>
      <c r="E1426" s="2" t="s">
        <v>8655</v>
      </c>
      <c r="F1426" s="3" t="s">
        <v>14206</v>
      </c>
      <c r="H1426" s="3" t="s">
        <v>426</v>
      </c>
      <c r="K1426" s="2">
        <v>20</v>
      </c>
      <c r="L1426" s="2">
        <v>7</v>
      </c>
      <c r="M1426" s="3" t="s">
        <v>2024</v>
      </c>
      <c r="N1426" s="3" t="s">
        <v>414</v>
      </c>
      <c r="O1426" s="3" t="s">
        <v>507</v>
      </c>
      <c r="P1426" s="3" t="s">
        <v>2029</v>
      </c>
      <c r="Q1426" s="30" t="str">
        <f t="shared" si="22"/>
        <v>MAX : 1.09
TARGET : 1.06
MIN : 1.03</v>
      </c>
    </row>
    <row r="1427" spans="2:17" ht="41.4" x14ac:dyDescent="0.3">
      <c r="B1427">
        <v>0</v>
      </c>
      <c r="C1427" s="33">
        <v>6945</v>
      </c>
      <c r="D1427" s="2">
        <v>1068</v>
      </c>
      <c r="E1427" s="2" t="s">
        <v>8655</v>
      </c>
      <c r="F1427" s="3" t="s">
        <v>14206</v>
      </c>
      <c r="H1427" s="3" t="s">
        <v>426</v>
      </c>
      <c r="K1427" s="2">
        <v>20</v>
      </c>
      <c r="L1427" s="2">
        <v>8</v>
      </c>
      <c r="M1427" s="3" t="s">
        <v>2030</v>
      </c>
      <c r="N1427" s="3" t="s">
        <v>13</v>
      </c>
      <c r="O1427" s="3" t="s">
        <v>14</v>
      </c>
      <c r="Q1427" s="30" t="str">
        <f t="shared" si="22"/>
        <v>MAX : 
TARGET : Yes(Pass)
MIN : No(Fail)</v>
      </c>
    </row>
    <row r="1428" spans="2:17" ht="41.4" x14ac:dyDescent="0.3">
      <c r="B1428">
        <v>0</v>
      </c>
      <c r="C1428" s="33">
        <v>6945</v>
      </c>
      <c r="D1428" s="2">
        <v>1068</v>
      </c>
      <c r="E1428" s="2" t="s">
        <v>8655</v>
      </c>
      <c r="F1428" s="3" t="s">
        <v>14206</v>
      </c>
      <c r="H1428" s="3" t="s">
        <v>426</v>
      </c>
      <c r="K1428" s="2">
        <v>20</v>
      </c>
      <c r="L1428" s="2">
        <v>9</v>
      </c>
      <c r="M1428" s="3" t="s">
        <v>2031</v>
      </c>
      <c r="N1428" s="3" t="s">
        <v>13</v>
      </c>
      <c r="O1428" s="3" t="s">
        <v>14</v>
      </c>
      <c r="Q1428" s="30" t="str">
        <f t="shared" si="22"/>
        <v>MAX : 
TARGET : Yes(Pass)
MIN : No(Fail)</v>
      </c>
    </row>
    <row r="1429" spans="2:17" ht="41.4" x14ac:dyDescent="0.3">
      <c r="B1429">
        <v>0</v>
      </c>
      <c r="C1429" s="33">
        <v>6945</v>
      </c>
      <c r="D1429" s="2">
        <v>1068</v>
      </c>
      <c r="E1429" s="2" t="s">
        <v>8655</v>
      </c>
      <c r="F1429" s="3" t="s">
        <v>14206</v>
      </c>
      <c r="H1429" s="3" t="s">
        <v>426</v>
      </c>
      <c r="K1429" s="2">
        <v>20</v>
      </c>
      <c r="L1429" s="2">
        <v>10</v>
      </c>
      <c r="M1429" s="3" t="s">
        <v>2032</v>
      </c>
      <c r="N1429" s="3" t="s">
        <v>13</v>
      </c>
      <c r="O1429" s="3" t="s">
        <v>14</v>
      </c>
      <c r="Q1429" s="30" t="str">
        <f t="shared" si="22"/>
        <v>MAX : 
TARGET : Yes(Pass)
MIN : No(Fail)</v>
      </c>
    </row>
    <row r="1430" spans="2:17" ht="41.4" x14ac:dyDescent="0.3">
      <c r="B1430">
        <v>1</v>
      </c>
      <c r="C1430" s="33">
        <v>6572</v>
      </c>
      <c r="D1430" s="2">
        <v>1827</v>
      </c>
      <c r="E1430" s="2" t="s">
        <v>8306</v>
      </c>
      <c r="F1430" s="3" t="s">
        <v>14206</v>
      </c>
      <c r="H1430" s="3" t="s">
        <v>491</v>
      </c>
      <c r="K1430" s="2">
        <v>10</v>
      </c>
      <c r="L1430" s="2">
        <v>1</v>
      </c>
      <c r="M1430" s="3" t="s">
        <v>99</v>
      </c>
      <c r="N1430" s="3" t="s">
        <v>131</v>
      </c>
      <c r="O1430" s="3" t="s">
        <v>132</v>
      </c>
      <c r="P1430" s="3" t="s">
        <v>133</v>
      </c>
      <c r="Q1430" s="30" t="str">
        <f t="shared" si="22"/>
        <v>MAX : 0.78
TARGET : 0.75
MIN : 0.72</v>
      </c>
    </row>
    <row r="1431" spans="2:17" ht="41.4" x14ac:dyDescent="0.3">
      <c r="B1431">
        <v>1</v>
      </c>
      <c r="C1431" s="33">
        <v>6575</v>
      </c>
      <c r="D1431" s="2">
        <v>1828</v>
      </c>
      <c r="E1431" s="2" t="s">
        <v>8312</v>
      </c>
      <c r="F1431" s="3" t="s">
        <v>14206</v>
      </c>
      <c r="H1431" s="3" t="s">
        <v>1270</v>
      </c>
      <c r="K1431" s="2">
        <v>10</v>
      </c>
      <c r="L1431" s="2">
        <v>2</v>
      </c>
      <c r="M1431" s="3" t="s">
        <v>538</v>
      </c>
      <c r="N1431" s="3" t="s">
        <v>13</v>
      </c>
      <c r="O1431" s="3" t="s">
        <v>14</v>
      </c>
      <c r="Q1431" s="30" t="str">
        <f t="shared" si="22"/>
        <v>MAX : 
TARGET : Yes(Pass)
MIN : No(Fail)</v>
      </c>
    </row>
    <row r="1432" spans="2:17" ht="41.4" x14ac:dyDescent="0.3">
      <c r="B1432">
        <v>0</v>
      </c>
      <c r="C1432" s="33">
        <v>6960</v>
      </c>
      <c r="D1432" s="2">
        <v>1069</v>
      </c>
      <c r="E1432" s="2" t="s">
        <v>8668</v>
      </c>
      <c r="F1432" s="3" t="s">
        <v>14206</v>
      </c>
      <c r="H1432" s="3" t="s">
        <v>962</v>
      </c>
      <c r="K1432" s="2">
        <v>10</v>
      </c>
      <c r="L1432" s="2">
        <v>3</v>
      </c>
      <c r="M1432" s="3" t="s">
        <v>638</v>
      </c>
      <c r="N1432" s="3" t="s">
        <v>13</v>
      </c>
      <c r="O1432" s="3" t="s">
        <v>14</v>
      </c>
      <c r="Q1432" s="30" t="str">
        <f t="shared" si="22"/>
        <v>MAX : 
TARGET : Yes(Pass)
MIN : No(Fail)</v>
      </c>
    </row>
    <row r="1433" spans="2:17" ht="41.4" x14ac:dyDescent="0.3">
      <c r="B1433">
        <v>0</v>
      </c>
      <c r="C1433" s="33">
        <v>6960</v>
      </c>
      <c r="D1433" s="2">
        <v>1069</v>
      </c>
      <c r="E1433" s="2" t="s">
        <v>8668</v>
      </c>
      <c r="F1433" s="3" t="s">
        <v>14206</v>
      </c>
      <c r="H1433" s="3" t="s">
        <v>962</v>
      </c>
      <c r="K1433" s="2">
        <v>10</v>
      </c>
      <c r="L1433" s="2">
        <v>4</v>
      </c>
      <c r="M1433" s="3" t="s">
        <v>639</v>
      </c>
      <c r="N1433" s="3" t="s">
        <v>13</v>
      </c>
      <c r="O1433" s="3" t="s">
        <v>14</v>
      </c>
      <c r="Q1433" s="30" t="str">
        <f t="shared" si="22"/>
        <v>MAX : 
TARGET : Yes(Pass)
MIN : No(Fail)</v>
      </c>
    </row>
    <row r="1434" spans="2:17" ht="41.4" x14ac:dyDescent="0.3">
      <c r="B1434">
        <v>1</v>
      </c>
      <c r="C1434" s="33">
        <v>6575</v>
      </c>
      <c r="D1434" s="2">
        <v>1828</v>
      </c>
      <c r="E1434" s="2" t="s">
        <v>8312</v>
      </c>
      <c r="F1434" s="3" t="s">
        <v>14206</v>
      </c>
      <c r="H1434" s="3" t="s">
        <v>1270</v>
      </c>
      <c r="K1434" s="2">
        <v>10</v>
      </c>
      <c r="L1434" s="2">
        <v>1</v>
      </c>
      <c r="M1434" s="3" t="s">
        <v>99</v>
      </c>
      <c r="N1434" s="3" t="s">
        <v>433</v>
      </c>
      <c r="O1434" s="3" t="s">
        <v>86</v>
      </c>
      <c r="P1434" s="3" t="s">
        <v>317</v>
      </c>
      <c r="Q1434" s="30" t="str">
        <f t="shared" si="22"/>
        <v>MAX : 0.515
TARGET : 0.500
MIN : 0.485</v>
      </c>
    </row>
    <row r="1435" spans="2:17" ht="41.4" x14ac:dyDescent="0.3">
      <c r="B1435">
        <v>1</v>
      </c>
      <c r="C1435" s="33">
        <v>6581</v>
      </c>
      <c r="D1435" s="2">
        <v>1829</v>
      </c>
      <c r="E1435" s="2" t="s">
        <v>8317</v>
      </c>
      <c r="F1435" s="3" t="s">
        <v>14206</v>
      </c>
      <c r="H1435" s="3" t="s">
        <v>1270</v>
      </c>
      <c r="K1435" s="2">
        <v>10</v>
      </c>
      <c r="L1435" s="2">
        <v>2</v>
      </c>
      <c r="M1435" s="3" t="s">
        <v>538</v>
      </c>
      <c r="N1435" s="3" t="s">
        <v>13</v>
      </c>
      <c r="O1435" s="3" t="s">
        <v>14</v>
      </c>
      <c r="Q1435" s="30" t="str">
        <f t="shared" si="22"/>
        <v>MAX : 
TARGET : Yes(Pass)
MIN : No(Fail)</v>
      </c>
    </row>
    <row r="1436" spans="2:17" ht="41.4" x14ac:dyDescent="0.3">
      <c r="B1436">
        <v>0</v>
      </c>
      <c r="C1436" s="33">
        <v>6968</v>
      </c>
      <c r="D1436" s="2">
        <v>1850</v>
      </c>
      <c r="E1436" s="2" t="s">
        <v>8674</v>
      </c>
      <c r="F1436" s="3" t="s">
        <v>14206</v>
      </c>
      <c r="H1436" s="3" t="s">
        <v>656</v>
      </c>
      <c r="K1436" s="2">
        <v>20</v>
      </c>
      <c r="L1436" s="2">
        <v>3</v>
      </c>
      <c r="M1436" s="3" t="s">
        <v>1779</v>
      </c>
      <c r="N1436" s="3" t="s">
        <v>1780</v>
      </c>
      <c r="O1436" s="3" t="s">
        <v>241</v>
      </c>
      <c r="P1436" s="3" t="s">
        <v>1746</v>
      </c>
      <c r="Q1436" s="30" t="str">
        <f t="shared" si="22"/>
        <v>MAX : 0.145
TARGET : 0.125
MIN : 0.105</v>
      </c>
    </row>
    <row r="1437" spans="2:17" ht="41.4" x14ac:dyDescent="0.3">
      <c r="B1437">
        <v>0</v>
      </c>
      <c r="C1437" s="33">
        <v>6968</v>
      </c>
      <c r="D1437" s="2">
        <v>1850</v>
      </c>
      <c r="E1437" s="2" t="s">
        <v>8674</v>
      </c>
      <c r="F1437" s="3" t="s">
        <v>14206</v>
      </c>
      <c r="H1437" s="3" t="s">
        <v>656</v>
      </c>
      <c r="K1437" s="2">
        <v>20</v>
      </c>
      <c r="L1437" s="2">
        <v>4</v>
      </c>
      <c r="M1437" s="3" t="s">
        <v>174</v>
      </c>
      <c r="N1437" s="3" t="s">
        <v>308</v>
      </c>
      <c r="O1437" s="3" t="s">
        <v>309</v>
      </c>
      <c r="P1437" s="3" t="s">
        <v>310</v>
      </c>
      <c r="Q1437" s="30" t="str">
        <f t="shared" si="22"/>
        <v>MAX : 0.53
TARGET : 0.50
MIN : 0.47</v>
      </c>
    </row>
    <row r="1438" spans="2:17" ht="41.4" x14ac:dyDescent="0.3">
      <c r="B1438">
        <v>1</v>
      </c>
      <c r="C1438" s="33">
        <v>6581</v>
      </c>
      <c r="D1438" s="2">
        <v>1829</v>
      </c>
      <c r="E1438" s="2" t="s">
        <v>8317</v>
      </c>
      <c r="F1438" s="3" t="s">
        <v>14206</v>
      </c>
      <c r="H1438" s="3" t="s">
        <v>1270</v>
      </c>
      <c r="K1438" s="2">
        <v>10</v>
      </c>
      <c r="L1438" s="2">
        <v>1</v>
      </c>
      <c r="M1438" s="3" t="s">
        <v>299</v>
      </c>
      <c r="N1438" s="3" t="s">
        <v>433</v>
      </c>
      <c r="O1438" s="3" t="s">
        <v>86</v>
      </c>
      <c r="P1438" s="3" t="s">
        <v>317</v>
      </c>
      <c r="Q1438" s="30" t="str">
        <f t="shared" si="22"/>
        <v>MAX : 0.515
TARGET : 0.500
MIN : 0.485</v>
      </c>
    </row>
    <row r="1439" spans="2:17" ht="41.4" x14ac:dyDescent="0.3">
      <c r="B1439">
        <v>1</v>
      </c>
      <c r="C1439" s="33">
        <v>6597</v>
      </c>
      <c r="D1439" s="2">
        <v>1031</v>
      </c>
      <c r="E1439" s="2" t="s">
        <v>8322</v>
      </c>
      <c r="F1439" s="3" t="s">
        <v>14207</v>
      </c>
      <c r="H1439" s="3" t="s">
        <v>1848</v>
      </c>
      <c r="K1439" s="2">
        <v>20</v>
      </c>
      <c r="L1439" s="2">
        <v>2</v>
      </c>
      <c r="M1439" s="3" t="s">
        <v>1853</v>
      </c>
      <c r="N1439" s="3" t="s">
        <v>1854</v>
      </c>
      <c r="O1439" s="3" t="s">
        <v>1855</v>
      </c>
      <c r="P1439" s="3" t="s">
        <v>1856</v>
      </c>
      <c r="Q1439" s="30" t="str">
        <f t="shared" si="22"/>
        <v>MAX : 510
TARGET : 508
MIN : 506</v>
      </c>
    </row>
    <row r="1440" spans="2:17" ht="41.4" x14ac:dyDescent="0.3">
      <c r="B1440">
        <v>1</v>
      </c>
      <c r="C1440" s="33">
        <v>6597</v>
      </c>
      <c r="D1440" s="2">
        <v>1031</v>
      </c>
      <c r="E1440" s="2" t="s">
        <v>8322</v>
      </c>
      <c r="F1440" s="3" t="s">
        <v>14207</v>
      </c>
      <c r="H1440" s="3" t="s">
        <v>1848</v>
      </c>
      <c r="K1440" s="2">
        <v>20</v>
      </c>
      <c r="L1440" s="2">
        <v>1</v>
      </c>
      <c r="M1440" s="3" t="s">
        <v>1849</v>
      </c>
      <c r="N1440" s="3" t="s">
        <v>1850</v>
      </c>
      <c r="O1440" s="3" t="s">
        <v>1851</v>
      </c>
      <c r="P1440" s="3" t="s">
        <v>1852</v>
      </c>
      <c r="Q1440" s="30" t="str">
        <f t="shared" si="22"/>
        <v>MAX : 522
TARGET : 520
MIN : 518</v>
      </c>
    </row>
    <row r="1441" spans="2:18" ht="41.4" x14ac:dyDescent="0.3">
      <c r="B1441">
        <v>1</v>
      </c>
      <c r="C1441" s="33">
        <v>6605</v>
      </c>
      <c r="D1441" s="2">
        <v>1830</v>
      </c>
      <c r="E1441" s="2" t="s">
        <v>8330</v>
      </c>
      <c r="F1441" s="3" t="s">
        <v>14206</v>
      </c>
      <c r="H1441" s="3" t="s">
        <v>1866</v>
      </c>
      <c r="K1441" s="2">
        <v>20</v>
      </c>
      <c r="L1441" s="2">
        <v>2</v>
      </c>
      <c r="M1441" s="3" t="s">
        <v>1867</v>
      </c>
      <c r="N1441" s="3" t="s">
        <v>13</v>
      </c>
      <c r="O1441" s="3" t="s">
        <v>14</v>
      </c>
      <c r="Q1441" s="30" t="str">
        <f t="shared" si="22"/>
        <v>MAX : 
TARGET : Yes(Pass)
MIN : No(Fail)</v>
      </c>
    </row>
    <row r="1442" spans="2:18" ht="41.4" x14ac:dyDescent="0.3">
      <c r="B1442">
        <v>0</v>
      </c>
      <c r="C1442" s="33">
        <v>6970</v>
      </c>
      <c r="D1442" s="2">
        <v>1070</v>
      </c>
      <c r="E1442" s="2" t="s">
        <v>8681</v>
      </c>
      <c r="F1442" s="3" t="s">
        <v>14207</v>
      </c>
      <c r="H1442" s="3" t="s">
        <v>648</v>
      </c>
      <c r="K1442" s="2">
        <v>10</v>
      </c>
      <c r="L1442" s="2">
        <v>3</v>
      </c>
      <c r="M1442" s="3" t="s">
        <v>422</v>
      </c>
      <c r="N1442" s="3" t="s">
        <v>2041</v>
      </c>
      <c r="O1442" s="3" t="s">
        <v>2039</v>
      </c>
      <c r="P1442" s="3" t="s">
        <v>2042</v>
      </c>
      <c r="Q1442" s="30" t="str">
        <f t="shared" si="22"/>
        <v>MAX : 62
TARGET : 60
MIN : 58</v>
      </c>
      <c r="R1442" s="3" t="s">
        <v>443</v>
      </c>
    </row>
    <row r="1443" spans="2:18" ht="41.4" x14ac:dyDescent="0.3">
      <c r="B1443">
        <v>0</v>
      </c>
      <c r="C1443" s="33">
        <v>6970</v>
      </c>
      <c r="D1443" s="2">
        <v>1070</v>
      </c>
      <c r="E1443" s="2" t="s">
        <v>8681</v>
      </c>
      <c r="F1443" s="3" t="s">
        <v>14207</v>
      </c>
      <c r="H1443" s="3" t="s">
        <v>648</v>
      </c>
      <c r="K1443" s="2">
        <v>10</v>
      </c>
      <c r="L1443" s="2">
        <v>5</v>
      </c>
      <c r="M1443" s="3" t="s">
        <v>2043</v>
      </c>
      <c r="N1443" s="3" t="s">
        <v>13</v>
      </c>
      <c r="O1443" s="3" t="s">
        <v>14</v>
      </c>
      <c r="Q1443" s="30" t="str">
        <f t="shared" si="22"/>
        <v>MAX : 
TARGET : Yes(Pass)
MIN : No(Fail)</v>
      </c>
      <c r="R1443" s="3" t="s">
        <v>443</v>
      </c>
    </row>
    <row r="1444" spans="2:18" ht="41.4" x14ac:dyDescent="0.3">
      <c r="B1444">
        <v>1</v>
      </c>
      <c r="C1444" s="33">
        <v>6605</v>
      </c>
      <c r="D1444" s="2">
        <v>1830</v>
      </c>
      <c r="E1444" s="2" t="s">
        <v>8330</v>
      </c>
      <c r="F1444" s="3" t="s">
        <v>14206</v>
      </c>
      <c r="H1444" s="3" t="s">
        <v>1866</v>
      </c>
      <c r="K1444" s="2">
        <v>20</v>
      </c>
      <c r="L1444" s="2">
        <v>1</v>
      </c>
      <c r="M1444" s="3" t="s">
        <v>99</v>
      </c>
      <c r="N1444" s="3" t="s">
        <v>27</v>
      </c>
      <c r="O1444" s="3" t="s">
        <v>28</v>
      </c>
      <c r="P1444" s="3" t="s">
        <v>29</v>
      </c>
      <c r="Q1444" s="30" t="str">
        <f t="shared" si="22"/>
        <v>MAX : 1.53
TARGET : 1.50
MIN : 1.47</v>
      </c>
    </row>
    <row r="1445" spans="2:18" ht="41.4" x14ac:dyDescent="0.3">
      <c r="B1445">
        <v>1</v>
      </c>
      <c r="C1445" s="33">
        <v>6605</v>
      </c>
      <c r="D1445" s="2">
        <v>1830</v>
      </c>
      <c r="E1445" s="2" t="s">
        <v>8330</v>
      </c>
      <c r="F1445" s="3" t="s">
        <v>14206</v>
      </c>
      <c r="H1445" s="3" t="s">
        <v>1866</v>
      </c>
      <c r="K1445" s="2">
        <v>20</v>
      </c>
      <c r="L1445" s="2">
        <v>3</v>
      </c>
      <c r="M1445" s="3" t="s">
        <v>1995</v>
      </c>
      <c r="N1445" s="3" t="s">
        <v>13</v>
      </c>
      <c r="O1445" s="3" t="s">
        <v>14</v>
      </c>
      <c r="Q1445" s="30" t="str">
        <f t="shared" si="22"/>
        <v>MAX : 
TARGET : Yes(Pass)
MIN : No(Fail)</v>
      </c>
    </row>
    <row r="1446" spans="2:18" ht="41.4" x14ac:dyDescent="0.3">
      <c r="B1446">
        <v>0</v>
      </c>
      <c r="C1446" s="33">
        <v>7000</v>
      </c>
      <c r="D1446" s="2">
        <v>1851</v>
      </c>
      <c r="E1446" s="2" t="s">
        <v>8697</v>
      </c>
      <c r="F1446" s="3" t="s">
        <v>14207</v>
      </c>
      <c r="H1446" s="3" t="s">
        <v>193</v>
      </c>
      <c r="K1446" s="2">
        <v>10</v>
      </c>
      <c r="L1446" s="2">
        <v>3</v>
      </c>
      <c r="M1446" s="3" t="s">
        <v>2047</v>
      </c>
      <c r="N1446" s="3" t="s">
        <v>13</v>
      </c>
      <c r="O1446" s="3" t="s">
        <v>14</v>
      </c>
      <c r="Q1446" s="30" t="str">
        <f t="shared" si="22"/>
        <v>MAX : 
TARGET : Yes(Pass)
MIN : No(Fail)</v>
      </c>
    </row>
    <row r="1447" spans="2:18" ht="41.4" x14ac:dyDescent="0.3">
      <c r="B1447">
        <v>1</v>
      </c>
      <c r="C1447" s="33">
        <v>6606</v>
      </c>
      <c r="D1447" s="2">
        <v>1831</v>
      </c>
      <c r="E1447" s="2" t="s">
        <v>8337</v>
      </c>
      <c r="F1447" s="3" t="s">
        <v>14206</v>
      </c>
      <c r="H1447" s="3" t="s">
        <v>1608</v>
      </c>
      <c r="K1447" s="2">
        <v>20</v>
      </c>
      <c r="L1447" s="2">
        <v>2</v>
      </c>
      <c r="M1447" s="3" t="s">
        <v>872</v>
      </c>
      <c r="N1447" s="3" t="s">
        <v>851</v>
      </c>
      <c r="O1447" s="3" t="s">
        <v>14</v>
      </c>
      <c r="Q1447" s="30" t="str">
        <f t="shared" si="22"/>
        <v>MAX : 
TARGET : Yes(Pass)
MIN : No(fail)</v>
      </c>
    </row>
    <row r="1448" spans="2:18" ht="41.4" x14ac:dyDescent="0.3">
      <c r="B1448">
        <v>1</v>
      </c>
      <c r="C1448" s="33">
        <v>6606</v>
      </c>
      <c r="D1448" s="2">
        <v>1831</v>
      </c>
      <c r="E1448" s="2" t="s">
        <v>8337</v>
      </c>
      <c r="F1448" s="3" t="s">
        <v>14206</v>
      </c>
      <c r="H1448" s="3" t="s">
        <v>1608</v>
      </c>
      <c r="K1448" s="2">
        <v>20</v>
      </c>
      <c r="L1448" s="2">
        <v>1</v>
      </c>
      <c r="M1448" s="3" t="s">
        <v>99</v>
      </c>
      <c r="N1448" s="3" t="s">
        <v>641</v>
      </c>
      <c r="O1448" s="3" t="s">
        <v>101</v>
      </c>
      <c r="P1448" s="3" t="s">
        <v>642</v>
      </c>
      <c r="Q1448" s="30" t="str">
        <f t="shared" si="22"/>
        <v>MAX : 0.655
TARGET : 0.625
MIN : 0.595</v>
      </c>
    </row>
    <row r="1449" spans="2:18" ht="41.4" x14ac:dyDescent="0.3">
      <c r="B1449">
        <v>0</v>
      </c>
      <c r="C1449" s="33">
        <v>7004</v>
      </c>
      <c r="D1449" s="2">
        <v>1072</v>
      </c>
      <c r="E1449" s="2" t="s">
        <v>8704</v>
      </c>
      <c r="F1449" s="3" t="s">
        <v>14206</v>
      </c>
      <c r="H1449" s="3" t="s">
        <v>1882</v>
      </c>
      <c r="K1449" s="2">
        <v>10</v>
      </c>
      <c r="L1449" s="2">
        <v>3</v>
      </c>
      <c r="M1449" s="3" t="s">
        <v>2049</v>
      </c>
      <c r="N1449" s="3" t="s">
        <v>13</v>
      </c>
      <c r="O1449" s="3" t="s">
        <v>14</v>
      </c>
      <c r="Q1449" s="30" t="str">
        <f t="shared" si="22"/>
        <v>MAX : 
TARGET : Yes(Pass)
MIN : No(Fail)</v>
      </c>
    </row>
    <row r="1450" spans="2:18" ht="41.4" x14ac:dyDescent="0.3">
      <c r="B1450">
        <v>1</v>
      </c>
      <c r="C1450" s="33">
        <v>6631</v>
      </c>
      <c r="D1450" s="2">
        <v>1032</v>
      </c>
      <c r="E1450" s="2" t="s">
        <v>8344</v>
      </c>
      <c r="F1450" s="3" t="s">
        <v>14207</v>
      </c>
      <c r="H1450" s="3" t="s">
        <v>1848</v>
      </c>
      <c r="K1450" s="2">
        <v>20</v>
      </c>
      <c r="L1450" s="2">
        <v>2</v>
      </c>
      <c r="M1450" s="3" t="s">
        <v>1853</v>
      </c>
      <c r="N1450" s="3" t="s">
        <v>1872</v>
      </c>
      <c r="O1450" s="3" t="s">
        <v>1873</v>
      </c>
      <c r="P1450" s="3" t="s">
        <v>1874</v>
      </c>
      <c r="Q1450" s="30" t="str">
        <f t="shared" si="22"/>
        <v>MAX : 466.3
TARGET : 464.3
MIN : 462.3</v>
      </c>
    </row>
    <row r="1451" spans="2:18" ht="41.4" x14ac:dyDescent="0.3">
      <c r="B1451">
        <v>1</v>
      </c>
      <c r="C1451" s="33">
        <v>6631</v>
      </c>
      <c r="D1451" s="2">
        <v>1032</v>
      </c>
      <c r="E1451" s="2" t="s">
        <v>8344</v>
      </c>
      <c r="F1451" s="3" t="s">
        <v>14207</v>
      </c>
      <c r="H1451" s="3" t="s">
        <v>1848</v>
      </c>
      <c r="K1451" s="2">
        <v>20</v>
      </c>
      <c r="L1451" s="2">
        <v>1</v>
      </c>
      <c r="M1451" s="3" t="s">
        <v>1849</v>
      </c>
      <c r="N1451" s="3" t="s">
        <v>1869</v>
      </c>
      <c r="O1451" s="3" t="s">
        <v>1870</v>
      </c>
      <c r="P1451" s="3" t="s">
        <v>1871</v>
      </c>
      <c r="Q1451" s="30" t="str">
        <f t="shared" si="22"/>
        <v>MAX : 478.3
TARGET : 476.3
MIN : 474.3</v>
      </c>
    </row>
    <row r="1452" spans="2:18" ht="41.4" x14ac:dyDescent="0.3">
      <c r="B1452">
        <v>1</v>
      </c>
      <c r="C1452" s="33">
        <v>6634</v>
      </c>
      <c r="D1452" s="2">
        <v>1033</v>
      </c>
      <c r="E1452" s="2" t="s">
        <v>8350</v>
      </c>
      <c r="F1452" s="3" t="s">
        <v>14206</v>
      </c>
      <c r="H1452" s="3" t="s">
        <v>1882</v>
      </c>
      <c r="K1452" s="2">
        <v>10</v>
      </c>
      <c r="L1452" s="2">
        <v>2</v>
      </c>
      <c r="M1452" s="3" t="s">
        <v>1884</v>
      </c>
      <c r="N1452" s="3" t="s">
        <v>1619</v>
      </c>
      <c r="O1452" s="3" t="s">
        <v>1620</v>
      </c>
      <c r="Q1452" s="30" t="str">
        <f t="shared" si="22"/>
        <v>MAX : 
TARGET : Yes (pass)
MIN : No (fail)</v>
      </c>
    </row>
    <row r="1453" spans="2:18" ht="41.4" x14ac:dyDescent="0.3">
      <c r="B1453">
        <v>1</v>
      </c>
      <c r="C1453" s="33">
        <v>6634</v>
      </c>
      <c r="D1453" s="2">
        <v>1033</v>
      </c>
      <c r="E1453" s="2" t="s">
        <v>8350</v>
      </c>
      <c r="F1453" s="3" t="s">
        <v>14206</v>
      </c>
      <c r="H1453" s="3" t="s">
        <v>1882</v>
      </c>
      <c r="K1453" s="2">
        <v>10</v>
      </c>
      <c r="L1453" s="2">
        <v>1</v>
      </c>
      <c r="M1453" s="3" t="s">
        <v>1883</v>
      </c>
      <c r="N1453" s="3" t="s">
        <v>1619</v>
      </c>
      <c r="O1453" s="3" t="s">
        <v>1620</v>
      </c>
      <c r="Q1453" s="30" t="str">
        <f t="shared" si="22"/>
        <v>MAX : 
TARGET : Yes (pass)
MIN : No (fail)</v>
      </c>
    </row>
    <row r="1454" spans="2:18" ht="41.4" x14ac:dyDescent="0.3">
      <c r="B1454">
        <v>1</v>
      </c>
      <c r="C1454" s="33">
        <v>6638</v>
      </c>
      <c r="D1454" s="2">
        <v>1034</v>
      </c>
      <c r="E1454" s="2" t="s">
        <v>8357</v>
      </c>
      <c r="F1454" s="3" t="s">
        <v>14206</v>
      </c>
      <c r="H1454" s="3" t="s">
        <v>1885</v>
      </c>
      <c r="K1454" s="2">
        <v>10</v>
      </c>
      <c r="L1454" s="2">
        <v>2</v>
      </c>
      <c r="M1454" s="3" t="s">
        <v>1887</v>
      </c>
      <c r="N1454" s="3" t="s">
        <v>24</v>
      </c>
      <c r="O1454" s="3" t="s">
        <v>25</v>
      </c>
      <c r="Q1454" s="30" t="str">
        <f t="shared" si="22"/>
        <v>MAX : 
TARGET : Yes (Pass)
MIN : No (Fail)</v>
      </c>
    </row>
    <row r="1455" spans="2:18" ht="41.4" x14ac:dyDescent="0.3">
      <c r="B1455">
        <v>1</v>
      </c>
      <c r="C1455" s="33">
        <v>6638</v>
      </c>
      <c r="D1455" s="2">
        <v>1034</v>
      </c>
      <c r="E1455" s="2" t="s">
        <v>8357</v>
      </c>
      <c r="F1455" s="3" t="s">
        <v>14206</v>
      </c>
      <c r="H1455" s="3" t="s">
        <v>1885</v>
      </c>
      <c r="K1455" s="2">
        <v>10</v>
      </c>
      <c r="L1455" s="2">
        <v>1</v>
      </c>
      <c r="M1455" s="3" t="s">
        <v>1886</v>
      </c>
      <c r="N1455" s="3" t="s">
        <v>24</v>
      </c>
      <c r="O1455" s="3" t="s">
        <v>25</v>
      </c>
      <c r="Q1455" s="30" t="str">
        <f t="shared" si="22"/>
        <v>MAX : 
TARGET : Yes (Pass)
MIN : No (Fail)</v>
      </c>
    </row>
    <row r="1456" spans="2:18" ht="41.4" x14ac:dyDescent="0.3">
      <c r="B1456">
        <v>1</v>
      </c>
      <c r="C1456" s="33">
        <v>6639</v>
      </c>
      <c r="D1456" s="2">
        <v>1035</v>
      </c>
      <c r="E1456" s="2" t="s">
        <v>8363</v>
      </c>
      <c r="F1456" s="3" t="s">
        <v>14206</v>
      </c>
      <c r="H1456" s="3" t="s">
        <v>1885</v>
      </c>
      <c r="K1456" s="2">
        <v>10</v>
      </c>
      <c r="L1456" s="2">
        <v>2</v>
      </c>
      <c r="M1456" s="3" t="s">
        <v>1887</v>
      </c>
      <c r="N1456" s="3" t="s">
        <v>24</v>
      </c>
      <c r="O1456" s="3" t="s">
        <v>25</v>
      </c>
      <c r="Q1456" s="30" t="str">
        <f t="shared" si="22"/>
        <v>MAX : 
TARGET : Yes (Pass)
MIN : No (Fail)</v>
      </c>
    </row>
    <row r="1457" spans="2:18" ht="41.4" x14ac:dyDescent="0.3">
      <c r="B1457">
        <v>1</v>
      </c>
      <c r="C1457" s="33">
        <v>6639</v>
      </c>
      <c r="D1457" s="2">
        <v>1035</v>
      </c>
      <c r="E1457" s="2" t="s">
        <v>8363</v>
      </c>
      <c r="F1457" s="3" t="s">
        <v>14206</v>
      </c>
      <c r="H1457" s="3" t="s">
        <v>1885</v>
      </c>
      <c r="K1457" s="2">
        <v>10</v>
      </c>
      <c r="L1457" s="2">
        <v>1</v>
      </c>
      <c r="M1457" s="3" t="s">
        <v>1886</v>
      </c>
      <c r="N1457" s="3" t="s">
        <v>24</v>
      </c>
      <c r="O1457" s="3" t="s">
        <v>25</v>
      </c>
      <c r="Q1457" s="30" t="str">
        <f t="shared" si="22"/>
        <v>MAX : 
TARGET : Yes (Pass)
MIN : No (Fail)</v>
      </c>
    </row>
    <row r="1458" spans="2:18" ht="41.4" x14ac:dyDescent="0.3">
      <c r="B1458">
        <v>0</v>
      </c>
      <c r="C1458" s="33">
        <v>7027</v>
      </c>
      <c r="D1458" s="2">
        <v>1855</v>
      </c>
      <c r="E1458" s="2" t="s">
        <v>8742</v>
      </c>
      <c r="F1458" s="3" t="s">
        <v>14206</v>
      </c>
      <c r="H1458" s="3" t="s">
        <v>269</v>
      </c>
      <c r="K1458" s="2">
        <v>30</v>
      </c>
      <c r="L1458" s="2">
        <v>1</v>
      </c>
      <c r="M1458" s="3" t="s">
        <v>1720</v>
      </c>
      <c r="N1458" s="3" t="s">
        <v>13</v>
      </c>
      <c r="O1458" s="3" t="s">
        <v>14</v>
      </c>
      <c r="Q1458" s="30" t="str">
        <f t="shared" si="22"/>
        <v>MAX : 
TARGET : Yes(Pass)
MIN : No(Fail)</v>
      </c>
      <c r="R1458" s="3" t="s">
        <v>1512</v>
      </c>
    </row>
    <row r="1459" spans="2:18" ht="41.4" x14ac:dyDescent="0.3">
      <c r="B1459">
        <v>1</v>
      </c>
      <c r="C1459" s="33">
        <v>6640</v>
      </c>
      <c r="D1459" s="2">
        <v>1036</v>
      </c>
      <c r="E1459" s="2" t="s">
        <v>8368</v>
      </c>
      <c r="F1459" s="3" t="s">
        <v>14206</v>
      </c>
      <c r="H1459" s="3" t="s">
        <v>504</v>
      </c>
      <c r="K1459" s="2">
        <v>10</v>
      </c>
      <c r="L1459" s="2">
        <v>2</v>
      </c>
      <c r="M1459" s="3" t="s">
        <v>134</v>
      </c>
      <c r="N1459" s="3" t="s">
        <v>13</v>
      </c>
      <c r="O1459" s="3" t="s">
        <v>14</v>
      </c>
      <c r="Q1459" s="30" t="str">
        <f t="shared" si="22"/>
        <v>MAX : 
TARGET : Yes(Pass)
MIN : No(Fail)</v>
      </c>
    </row>
    <row r="1460" spans="2:18" ht="41.4" x14ac:dyDescent="0.3">
      <c r="B1460">
        <v>1</v>
      </c>
      <c r="C1460" s="33">
        <v>6640</v>
      </c>
      <c r="D1460" s="2">
        <v>1036</v>
      </c>
      <c r="E1460" s="2" t="s">
        <v>8368</v>
      </c>
      <c r="F1460" s="3" t="s">
        <v>14206</v>
      </c>
      <c r="H1460" s="3" t="s">
        <v>504</v>
      </c>
      <c r="K1460" s="2">
        <v>10</v>
      </c>
      <c r="L1460" s="2">
        <v>1</v>
      </c>
      <c r="M1460" s="3" t="s">
        <v>1889</v>
      </c>
      <c r="N1460" s="3" t="s">
        <v>13</v>
      </c>
      <c r="O1460" s="3" t="s">
        <v>14</v>
      </c>
      <c r="Q1460" s="30" t="str">
        <f t="shared" si="22"/>
        <v>MAX : 
TARGET : Yes(Pass)
MIN : No(Fail)</v>
      </c>
    </row>
    <row r="1461" spans="2:18" ht="41.4" x14ac:dyDescent="0.3">
      <c r="B1461">
        <v>0</v>
      </c>
      <c r="C1461" s="33">
        <v>7030</v>
      </c>
      <c r="D1461" s="2">
        <v>1857</v>
      </c>
      <c r="E1461" s="2" t="s">
        <v>8756</v>
      </c>
      <c r="F1461" s="3" t="s">
        <v>14206</v>
      </c>
      <c r="H1461" s="3" t="s">
        <v>2052</v>
      </c>
      <c r="K1461" t="s">
        <v>6295</v>
      </c>
      <c r="L1461" s="2">
        <v>3</v>
      </c>
      <c r="M1461" s="3" t="s">
        <v>1720</v>
      </c>
      <c r="N1461" s="3" t="s">
        <v>13</v>
      </c>
      <c r="O1461" s="3" t="s">
        <v>14</v>
      </c>
      <c r="Q1461" s="30" t="str">
        <f t="shared" si="22"/>
        <v>MAX : 
TARGET : Yes(Pass)
MIN : No(Fail)</v>
      </c>
      <c r="R1461" s="3" t="s">
        <v>1512</v>
      </c>
    </row>
    <row r="1462" spans="2:18" ht="41.4" x14ac:dyDescent="0.3">
      <c r="B1462">
        <v>1</v>
      </c>
      <c r="C1462" s="33">
        <v>6641</v>
      </c>
      <c r="D1462" s="2">
        <v>1037</v>
      </c>
      <c r="E1462" s="2" t="s">
        <v>8376</v>
      </c>
      <c r="F1462" s="3" t="s">
        <v>14206</v>
      </c>
      <c r="H1462" s="3" t="s">
        <v>504</v>
      </c>
      <c r="K1462" s="2">
        <v>10</v>
      </c>
      <c r="L1462" s="2">
        <v>2</v>
      </c>
      <c r="M1462" s="3" t="s">
        <v>134</v>
      </c>
      <c r="N1462" s="3" t="s">
        <v>13</v>
      </c>
      <c r="O1462" s="3" t="s">
        <v>14</v>
      </c>
      <c r="Q1462" s="30" t="str">
        <f t="shared" si="22"/>
        <v>MAX : 
TARGET : Yes(Pass)
MIN : No(Fail)</v>
      </c>
    </row>
    <row r="1463" spans="2:18" ht="41.4" x14ac:dyDescent="0.3">
      <c r="B1463">
        <v>1</v>
      </c>
      <c r="C1463" s="33">
        <v>6641</v>
      </c>
      <c r="D1463" s="2">
        <v>1037</v>
      </c>
      <c r="E1463" s="2" t="s">
        <v>8376</v>
      </c>
      <c r="F1463" s="3" t="s">
        <v>14206</v>
      </c>
      <c r="H1463" s="3" t="s">
        <v>504</v>
      </c>
      <c r="K1463" s="2">
        <v>10</v>
      </c>
      <c r="L1463" s="2">
        <v>1</v>
      </c>
      <c r="M1463" s="3" t="s">
        <v>1889</v>
      </c>
      <c r="N1463" s="3" t="s">
        <v>24</v>
      </c>
      <c r="O1463" s="3" t="s">
        <v>25</v>
      </c>
      <c r="Q1463" s="30" t="str">
        <f t="shared" si="22"/>
        <v>MAX : 
TARGET : Yes (Pass)
MIN : No (Fail)</v>
      </c>
    </row>
    <row r="1464" spans="2:18" ht="41.4" x14ac:dyDescent="0.3">
      <c r="B1464">
        <v>0</v>
      </c>
      <c r="C1464" s="33">
        <v>7028</v>
      </c>
      <c r="D1464" s="2">
        <v>1856</v>
      </c>
      <c r="E1464" s="2" t="s">
        <v>8749</v>
      </c>
      <c r="F1464" s="3" t="s">
        <v>14206</v>
      </c>
      <c r="H1464" s="3" t="s">
        <v>269</v>
      </c>
      <c r="K1464" s="2">
        <v>30</v>
      </c>
      <c r="L1464" s="2">
        <v>1</v>
      </c>
      <c r="M1464" s="3" t="s">
        <v>1720</v>
      </c>
      <c r="N1464" s="3" t="s">
        <v>13</v>
      </c>
      <c r="O1464" s="3" t="s">
        <v>14</v>
      </c>
      <c r="Q1464" s="30" t="str">
        <f t="shared" si="22"/>
        <v>MAX : 
TARGET : Yes(Pass)
MIN : No(Fail)</v>
      </c>
      <c r="R1464" s="3" t="s">
        <v>1512</v>
      </c>
    </row>
    <row r="1465" spans="2:18" ht="41.4" x14ac:dyDescent="0.3">
      <c r="B1465">
        <v>1</v>
      </c>
      <c r="C1465" s="33">
        <v>6660</v>
      </c>
      <c r="D1465" s="2">
        <v>1038</v>
      </c>
      <c r="E1465" s="2" t="s">
        <v>8381</v>
      </c>
      <c r="F1465" s="3" t="s">
        <v>14206</v>
      </c>
      <c r="H1465" s="3" t="s">
        <v>1891</v>
      </c>
      <c r="K1465" s="2">
        <v>20</v>
      </c>
      <c r="L1465" s="2">
        <v>2</v>
      </c>
      <c r="M1465" s="3" t="s">
        <v>1428</v>
      </c>
      <c r="N1465" s="3" t="s">
        <v>1895</v>
      </c>
      <c r="O1465" s="3" t="s">
        <v>344</v>
      </c>
      <c r="P1465" s="3" t="s">
        <v>629</v>
      </c>
      <c r="Q1465" s="30" t="str">
        <f t="shared" si="22"/>
        <v>MAX : 1.27
TARGET : 1.25
MIN : 1.23</v>
      </c>
    </row>
    <row r="1466" spans="2:18" ht="41.4" x14ac:dyDescent="0.3">
      <c r="B1466">
        <v>1</v>
      </c>
      <c r="C1466" s="33">
        <v>6660</v>
      </c>
      <c r="D1466" s="2">
        <v>1038</v>
      </c>
      <c r="E1466" s="2" t="s">
        <v>8381</v>
      </c>
      <c r="F1466" s="3" t="s">
        <v>14206</v>
      </c>
      <c r="H1466" s="3" t="s">
        <v>1891</v>
      </c>
      <c r="K1466" s="2">
        <v>20</v>
      </c>
      <c r="L1466" s="2">
        <v>1</v>
      </c>
      <c r="M1466" s="3" t="s">
        <v>194</v>
      </c>
      <c r="N1466" s="3" t="s">
        <v>1892</v>
      </c>
      <c r="O1466" s="3" t="s">
        <v>1893</v>
      </c>
      <c r="P1466" s="3" t="s">
        <v>1894</v>
      </c>
      <c r="Q1466" s="30" t="str">
        <f t="shared" si="22"/>
        <v>MAX : 7.52
TARGET : 7.50
MIN : 7.48</v>
      </c>
    </row>
    <row r="1467" spans="2:18" ht="41.4" x14ac:dyDescent="0.3">
      <c r="B1467">
        <v>0</v>
      </c>
      <c r="C1467" s="33">
        <v>7035</v>
      </c>
      <c r="D1467" s="2">
        <v>1858</v>
      </c>
      <c r="E1467" s="2" t="s">
        <v>8764</v>
      </c>
      <c r="F1467" s="3" t="s">
        <v>14206</v>
      </c>
      <c r="H1467" s="3" t="s">
        <v>193</v>
      </c>
      <c r="K1467" s="2">
        <v>10</v>
      </c>
      <c r="L1467" s="2">
        <v>3</v>
      </c>
      <c r="M1467" s="3" t="s">
        <v>1720</v>
      </c>
      <c r="N1467" s="3" t="s">
        <v>13</v>
      </c>
      <c r="O1467" s="3" t="s">
        <v>14</v>
      </c>
      <c r="Q1467" s="30" t="str">
        <f t="shared" si="22"/>
        <v>MAX : 
TARGET : Yes(Pass)
MIN : No(Fail)</v>
      </c>
      <c r="R1467" s="3" t="s">
        <v>762</v>
      </c>
    </row>
    <row r="1468" spans="2:18" ht="41.4" x14ac:dyDescent="0.3">
      <c r="B1468">
        <v>1</v>
      </c>
      <c r="C1468" s="33">
        <v>6661</v>
      </c>
      <c r="D1468" s="2">
        <v>1832</v>
      </c>
      <c r="E1468" s="2" t="s">
        <v>8387</v>
      </c>
      <c r="F1468" s="3" t="s">
        <v>14206</v>
      </c>
      <c r="H1468" s="3" t="s">
        <v>491</v>
      </c>
      <c r="K1468" s="2">
        <v>10</v>
      </c>
      <c r="L1468" s="2">
        <v>2</v>
      </c>
      <c r="M1468" s="3" t="s">
        <v>1609</v>
      </c>
      <c r="N1468" s="3" t="s">
        <v>13</v>
      </c>
      <c r="O1468" s="3" t="s">
        <v>14</v>
      </c>
      <c r="Q1468" s="30" t="str">
        <f t="shared" si="22"/>
        <v>MAX : 
TARGET : Yes(Pass)
MIN : No(Fail)</v>
      </c>
    </row>
    <row r="1469" spans="2:18" ht="41.4" x14ac:dyDescent="0.3">
      <c r="B1469">
        <v>1</v>
      </c>
      <c r="C1469" s="33">
        <v>6661</v>
      </c>
      <c r="D1469" s="2">
        <v>1832</v>
      </c>
      <c r="E1469" s="2" t="s">
        <v>8387</v>
      </c>
      <c r="F1469" s="3" t="s">
        <v>14206</v>
      </c>
      <c r="H1469" s="3" t="s">
        <v>491</v>
      </c>
      <c r="K1469" s="2">
        <v>10</v>
      </c>
      <c r="L1469" s="2">
        <v>1</v>
      </c>
      <c r="M1469" s="3" t="s">
        <v>99</v>
      </c>
      <c r="N1469" s="3" t="s">
        <v>459</v>
      </c>
      <c r="O1469" s="3" t="s">
        <v>406</v>
      </c>
      <c r="P1469" s="3" t="s">
        <v>460</v>
      </c>
      <c r="Q1469" s="30" t="str">
        <f t="shared" si="22"/>
        <v>MAX : 2.03
TARGET : 2.00
MIN : 1.97</v>
      </c>
    </row>
    <row r="1470" spans="2:18" ht="41.4" x14ac:dyDescent="0.3">
      <c r="B1470">
        <v>0</v>
      </c>
      <c r="C1470" s="33">
        <v>7046</v>
      </c>
      <c r="D1470" s="2">
        <v>1075</v>
      </c>
      <c r="E1470" s="2" t="s">
        <v>8770</v>
      </c>
      <c r="F1470" s="3" t="s">
        <v>14206</v>
      </c>
      <c r="H1470" s="3" t="s">
        <v>727</v>
      </c>
      <c r="K1470" s="2">
        <v>10</v>
      </c>
      <c r="L1470" s="2">
        <v>3</v>
      </c>
      <c r="M1470" s="3" t="s">
        <v>2060</v>
      </c>
      <c r="N1470" s="3" t="s">
        <v>462</v>
      </c>
      <c r="O1470" s="3" t="s">
        <v>424</v>
      </c>
      <c r="P1470" s="3" t="s">
        <v>463</v>
      </c>
      <c r="Q1470" s="30" t="str">
        <f t="shared" si="22"/>
        <v>MAX : 0.28
TARGET : 0.25
MIN : 0.22</v>
      </c>
    </row>
    <row r="1471" spans="2:18" ht="41.4" x14ac:dyDescent="0.3">
      <c r="B1471">
        <v>0</v>
      </c>
      <c r="C1471" s="33">
        <v>7046</v>
      </c>
      <c r="D1471" s="2">
        <v>1075</v>
      </c>
      <c r="E1471" s="2" t="s">
        <v>8770</v>
      </c>
      <c r="F1471" s="3" t="s">
        <v>14206</v>
      </c>
      <c r="H1471" s="3" t="s">
        <v>727</v>
      </c>
      <c r="K1471" s="2">
        <v>10</v>
      </c>
      <c r="L1471" s="2">
        <v>4</v>
      </c>
      <c r="M1471" s="3" t="s">
        <v>78</v>
      </c>
      <c r="N1471" s="3" t="s">
        <v>13</v>
      </c>
      <c r="O1471" s="3" t="s">
        <v>14</v>
      </c>
      <c r="Q1471" s="30" t="str">
        <f t="shared" si="22"/>
        <v>MAX : 
TARGET : Yes(Pass)
MIN : No(Fail)</v>
      </c>
    </row>
    <row r="1472" spans="2:18" ht="41.4" x14ac:dyDescent="0.3">
      <c r="B1472">
        <v>1</v>
      </c>
      <c r="C1472" s="33">
        <v>6677</v>
      </c>
      <c r="D1472" s="2">
        <v>1833</v>
      </c>
      <c r="E1472" s="2" t="s">
        <v>8394</v>
      </c>
      <c r="F1472" s="3" t="s">
        <v>14206</v>
      </c>
      <c r="H1472" s="3" t="s">
        <v>261</v>
      </c>
      <c r="K1472" s="2">
        <v>20</v>
      </c>
      <c r="L1472" s="2">
        <v>2</v>
      </c>
      <c r="M1472" s="3" t="s">
        <v>1060</v>
      </c>
      <c r="N1472" s="3" t="s">
        <v>13</v>
      </c>
      <c r="O1472" s="3" t="s">
        <v>14</v>
      </c>
      <c r="Q1472" s="30" t="str">
        <f t="shared" si="22"/>
        <v>MAX : 
TARGET : Yes(Pass)
MIN : No(Fail)</v>
      </c>
    </row>
    <row r="1473" spans="2:17" ht="41.4" x14ac:dyDescent="0.3">
      <c r="B1473">
        <v>1</v>
      </c>
      <c r="C1473" s="33">
        <v>6677</v>
      </c>
      <c r="D1473" s="2">
        <v>1833</v>
      </c>
      <c r="E1473" s="2" t="s">
        <v>8394</v>
      </c>
      <c r="F1473" s="3" t="s">
        <v>14206</v>
      </c>
      <c r="H1473" s="3" t="s">
        <v>261</v>
      </c>
      <c r="K1473" s="2">
        <v>20</v>
      </c>
      <c r="L1473" s="2">
        <v>1</v>
      </c>
      <c r="M1473" s="3" t="s">
        <v>788</v>
      </c>
      <c r="N1473" s="3" t="s">
        <v>784</v>
      </c>
      <c r="O1473" s="3" t="s">
        <v>309</v>
      </c>
      <c r="P1473" s="3" t="s">
        <v>785</v>
      </c>
      <c r="Q1473" s="30" t="str">
        <f t="shared" si="22"/>
        <v>MAX : 0.55
TARGET : 0.50
MIN : 0.45</v>
      </c>
    </row>
    <row r="1474" spans="2:17" ht="41.4" x14ac:dyDescent="0.3">
      <c r="B1474">
        <v>0</v>
      </c>
      <c r="C1474" s="33">
        <v>7047</v>
      </c>
      <c r="D1474" s="2">
        <v>1076</v>
      </c>
      <c r="E1474" s="2" t="s">
        <v>8776</v>
      </c>
      <c r="F1474" s="3" t="s">
        <v>14206</v>
      </c>
      <c r="H1474" s="3" t="s">
        <v>504</v>
      </c>
      <c r="K1474" s="2">
        <v>20</v>
      </c>
      <c r="L1474" s="2">
        <v>3</v>
      </c>
      <c r="M1474" s="3" t="s">
        <v>2060</v>
      </c>
      <c r="N1474" s="3" t="s">
        <v>2001</v>
      </c>
      <c r="O1474" s="3" t="s">
        <v>1536</v>
      </c>
      <c r="P1474" s="3" t="s">
        <v>2061</v>
      </c>
      <c r="Q1474" s="30" t="str">
        <f t="shared" ref="Q1474:Q1537" si="23">"MAX : " &amp; P1474 &amp; CHAR(10) &amp; "TARGET : " &amp; O1474 &amp; CHAR(10) &amp; "MIN : " &amp; N1474</f>
        <v>MAX : 0.09
TARGET : 0.06
MIN : 0.03</v>
      </c>
    </row>
    <row r="1475" spans="2:17" ht="41.4" x14ac:dyDescent="0.3">
      <c r="B1475">
        <v>0</v>
      </c>
      <c r="C1475" s="33">
        <v>7047</v>
      </c>
      <c r="D1475" s="2">
        <v>1076</v>
      </c>
      <c r="E1475" s="2" t="s">
        <v>8776</v>
      </c>
      <c r="F1475" s="3" t="s">
        <v>14206</v>
      </c>
      <c r="H1475" s="3" t="s">
        <v>504</v>
      </c>
      <c r="K1475" s="2">
        <v>20</v>
      </c>
      <c r="L1475" s="2">
        <v>4</v>
      </c>
      <c r="M1475" s="3" t="s">
        <v>78</v>
      </c>
      <c r="N1475" s="3" t="s">
        <v>13</v>
      </c>
      <c r="O1475" s="3" t="s">
        <v>14</v>
      </c>
      <c r="Q1475" s="30" t="str">
        <f t="shared" si="23"/>
        <v>MAX : 
TARGET : Yes(Pass)
MIN : No(Fail)</v>
      </c>
    </row>
    <row r="1476" spans="2:17" ht="41.4" x14ac:dyDescent="0.3">
      <c r="B1476">
        <v>1</v>
      </c>
      <c r="C1476" s="33">
        <v>6695</v>
      </c>
      <c r="D1476" s="2">
        <v>1039</v>
      </c>
      <c r="E1476" s="2" t="s">
        <v>8402</v>
      </c>
      <c r="F1476" s="3" t="s">
        <v>14206</v>
      </c>
      <c r="H1476" s="3" t="s">
        <v>713</v>
      </c>
      <c r="K1476" s="2">
        <v>20</v>
      </c>
      <c r="L1476" s="2">
        <v>2</v>
      </c>
      <c r="M1476" s="3" t="s">
        <v>1900</v>
      </c>
      <c r="N1476" s="3" t="s">
        <v>246</v>
      </c>
      <c r="O1476" s="3" t="s">
        <v>247</v>
      </c>
      <c r="P1476" s="3" t="s">
        <v>248</v>
      </c>
      <c r="Q1476" s="30" t="str">
        <f t="shared" si="23"/>
        <v>MAX : 0.41
TARGET : 0.38
MIN : 0.35</v>
      </c>
    </row>
    <row r="1477" spans="2:17" ht="41.4" x14ac:dyDescent="0.3">
      <c r="B1477">
        <v>1</v>
      </c>
      <c r="C1477" s="33">
        <v>6695</v>
      </c>
      <c r="D1477" s="2">
        <v>1039</v>
      </c>
      <c r="E1477" s="2" t="s">
        <v>8402</v>
      </c>
      <c r="F1477" s="3" t="s">
        <v>14206</v>
      </c>
      <c r="H1477" s="3" t="s">
        <v>713</v>
      </c>
      <c r="K1477" s="2">
        <v>20</v>
      </c>
      <c r="L1477" s="2">
        <v>1</v>
      </c>
      <c r="M1477" s="3" t="s">
        <v>74</v>
      </c>
      <c r="N1477" s="3" t="s">
        <v>249</v>
      </c>
      <c r="O1477" s="3" t="s">
        <v>250</v>
      </c>
      <c r="P1477" s="3" t="s">
        <v>251</v>
      </c>
      <c r="Q1477" s="30" t="str">
        <f t="shared" si="23"/>
        <v>MAX : 6.03
TARGET : 6.00
MIN : 5.97</v>
      </c>
    </row>
    <row r="1478" spans="2:17" ht="41.4" x14ac:dyDescent="0.3">
      <c r="B1478">
        <v>0</v>
      </c>
      <c r="C1478" s="33">
        <v>7052</v>
      </c>
      <c r="D1478" s="2">
        <v>1077</v>
      </c>
      <c r="E1478" s="2" t="s">
        <v>8788</v>
      </c>
      <c r="F1478" s="3" t="s">
        <v>14206</v>
      </c>
      <c r="H1478" s="3" t="s">
        <v>1080</v>
      </c>
      <c r="K1478" s="2">
        <v>10</v>
      </c>
      <c r="L1478" s="2">
        <v>3</v>
      </c>
      <c r="M1478" s="3" t="s">
        <v>2062</v>
      </c>
      <c r="N1478" s="3" t="s">
        <v>13</v>
      </c>
      <c r="O1478" s="3" t="s">
        <v>14</v>
      </c>
      <c r="Q1478" s="30" t="str">
        <f t="shared" si="23"/>
        <v>MAX : 
TARGET : Yes(Pass)
MIN : No(Fail)</v>
      </c>
    </row>
    <row r="1479" spans="2:17" ht="41.4" x14ac:dyDescent="0.3">
      <c r="B1479">
        <v>0</v>
      </c>
      <c r="C1479" s="33">
        <v>7052</v>
      </c>
      <c r="D1479" s="2">
        <v>1077</v>
      </c>
      <c r="E1479" s="2" t="s">
        <v>8788</v>
      </c>
      <c r="F1479" s="3" t="s">
        <v>14206</v>
      </c>
      <c r="H1479" s="3" t="s">
        <v>1080</v>
      </c>
      <c r="K1479" s="2">
        <v>10</v>
      </c>
      <c r="L1479" s="2">
        <v>4</v>
      </c>
      <c r="M1479" s="3" t="s">
        <v>2063</v>
      </c>
      <c r="N1479" s="3" t="s">
        <v>13</v>
      </c>
      <c r="O1479" s="3" t="s">
        <v>14</v>
      </c>
      <c r="Q1479" s="30" t="str">
        <f t="shared" si="23"/>
        <v>MAX : 
TARGET : Yes(Pass)
MIN : No(Fail)</v>
      </c>
    </row>
    <row r="1480" spans="2:17" ht="41.4" x14ac:dyDescent="0.3">
      <c r="B1480">
        <v>1</v>
      </c>
      <c r="C1480" s="33">
        <v>6703</v>
      </c>
      <c r="D1480" s="2">
        <v>1834</v>
      </c>
      <c r="E1480" s="2" t="s">
        <v>8408</v>
      </c>
      <c r="F1480" s="3" t="s">
        <v>14206</v>
      </c>
      <c r="H1480" s="3" t="s">
        <v>1903</v>
      </c>
      <c r="K1480" s="2">
        <v>10</v>
      </c>
      <c r="L1480" s="2">
        <v>2</v>
      </c>
      <c r="M1480" s="3" t="s">
        <v>1907</v>
      </c>
      <c r="N1480" s="3" t="s">
        <v>13</v>
      </c>
      <c r="O1480" s="3" t="s">
        <v>14</v>
      </c>
      <c r="Q1480" s="30" t="str">
        <f t="shared" si="23"/>
        <v>MAX : 
TARGET : Yes(Pass)
MIN : No(Fail)</v>
      </c>
    </row>
    <row r="1481" spans="2:17" ht="41.4" x14ac:dyDescent="0.3">
      <c r="B1481">
        <v>1</v>
      </c>
      <c r="C1481" s="33">
        <v>6703</v>
      </c>
      <c r="D1481" s="2">
        <v>1834</v>
      </c>
      <c r="E1481" s="2" t="s">
        <v>8408</v>
      </c>
      <c r="F1481" s="3" t="s">
        <v>14206</v>
      </c>
      <c r="H1481" s="3" t="s">
        <v>1903</v>
      </c>
      <c r="K1481" s="2">
        <v>10</v>
      </c>
      <c r="L1481" s="2">
        <v>1</v>
      </c>
      <c r="M1481" s="3" t="s">
        <v>99</v>
      </c>
      <c r="N1481" s="3" t="s">
        <v>1904</v>
      </c>
      <c r="O1481" s="3" t="s">
        <v>1905</v>
      </c>
      <c r="P1481" s="3" t="s">
        <v>1906</v>
      </c>
      <c r="Q1481" s="30" t="str">
        <f t="shared" si="23"/>
        <v>MAX : 1.43
TARGET : 1.40
MIN : 1.37</v>
      </c>
    </row>
    <row r="1482" spans="2:17" ht="41.4" x14ac:dyDescent="0.3">
      <c r="B1482">
        <v>1</v>
      </c>
      <c r="C1482" s="33">
        <v>6704</v>
      </c>
      <c r="D1482" s="2">
        <v>1040</v>
      </c>
      <c r="E1482" s="2" t="s">
        <v>8415</v>
      </c>
      <c r="F1482" s="3" t="s">
        <v>14206</v>
      </c>
      <c r="H1482" s="3" t="s">
        <v>1952</v>
      </c>
      <c r="K1482" s="2">
        <v>20</v>
      </c>
      <c r="L1482" s="2">
        <v>2</v>
      </c>
      <c r="M1482" s="3" t="s">
        <v>1954</v>
      </c>
      <c r="N1482" s="3" t="s">
        <v>1955</v>
      </c>
      <c r="O1482" s="3" t="s">
        <v>1956</v>
      </c>
      <c r="P1482" s="3" t="s">
        <v>1957</v>
      </c>
      <c r="Q1482" s="30" t="str">
        <f t="shared" si="23"/>
        <v>MAX : 1.047
TARGET : 0.984
MIN : 0.921</v>
      </c>
    </row>
    <row r="1483" spans="2:17" ht="41.4" x14ac:dyDescent="0.3">
      <c r="B1483">
        <v>1</v>
      </c>
      <c r="C1483" s="33">
        <v>6704</v>
      </c>
      <c r="D1483" s="2">
        <v>1040</v>
      </c>
      <c r="E1483" s="2" t="s">
        <v>8415</v>
      </c>
      <c r="F1483" s="3" t="s">
        <v>14206</v>
      </c>
      <c r="H1483" s="3" t="s">
        <v>1952</v>
      </c>
      <c r="K1483" s="2">
        <v>20</v>
      </c>
      <c r="L1483" s="2">
        <v>1</v>
      </c>
      <c r="M1483" s="3" t="s">
        <v>194</v>
      </c>
      <c r="N1483" s="3" t="s">
        <v>238</v>
      </c>
      <c r="O1483" s="3" t="s">
        <v>139</v>
      </c>
      <c r="P1483" s="3" t="s">
        <v>1953</v>
      </c>
      <c r="Q1483" s="30" t="str">
        <f t="shared" si="23"/>
        <v>MAX : 1.063
TARGET : 1.000
MIN : 0.937</v>
      </c>
    </row>
    <row r="1484" spans="2:17" ht="41.4" x14ac:dyDescent="0.3">
      <c r="B1484">
        <v>0</v>
      </c>
      <c r="C1484" s="33">
        <v>7055</v>
      </c>
      <c r="D1484" s="2">
        <v>1078</v>
      </c>
      <c r="E1484" s="2" t="s">
        <v>8794</v>
      </c>
      <c r="F1484" s="3" t="s">
        <v>14207</v>
      </c>
      <c r="H1484" s="3" t="s">
        <v>2067</v>
      </c>
      <c r="K1484" s="2">
        <v>20</v>
      </c>
      <c r="L1484" s="2">
        <v>3</v>
      </c>
      <c r="M1484" s="3" t="s">
        <v>78</v>
      </c>
      <c r="N1484" s="3" t="s">
        <v>13</v>
      </c>
      <c r="O1484" s="3" t="s">
        <v>14</v>
      </c>
      <c r="Q1484" s="30" t="str">
        <f t="shared" si="23"/>
        <v>MAX : 
TARGET : Yes(Pass)
MIN : No(Fail)</v>
      </c>
    </row>
    <row r="1485" spans="2:17" ht="41.4" x14ac:dyDescent="0.3">
      <c r="B1485">
        <v>1</v>
      </c>
      <c r="C1485" s="33">
        <v>6710</v>
      </c>
      <c r="D1485" s="2">
        <v>1835</v>
      </c>
      <c r="E1485" s="2" t="s">
        <v>8421</v>
      </c>
      <c r="F1485" s="3" t="s">
        <v>14206</v>
      </c>
      <c r="H1485" s="3" t="s">
        <v>261</v>
      </c>
      <c r="K1485" s="2">
        <v>20</v>
      </c>
      <c r="L1485" s="2">
        <v>2</v>
      </c>
      <c r="M1485" s="3" t="s">
        <v>1060</v>
      </c>
      <c r="N1485" s="3" t="s">
        <v>13</v>
      </c>
      <c r="O1485" s="3" t="s">
        <v>14</v>
      </c>
      <c r="Q1485" s="30" t="str">
        <f t="shared" si="23"/>
        <v>MAX : 
TARGET : Yes(Pass)
MIN : No(Fail)</v>
      </c>
    </row>
    <row r="1486" spans="2:17" ht="41.4" x14ac:dyDescent="0.3">
      <c r="B1486">
        <v>1</v>
      </c>
      <c r="C1486" s="33">
        <v>6710</v>
      </c>
      <c r="D1486" s="2">
        <v>1835</v>
      </c>
      <c r="E1486" s="2" t="s">
        <v>8421</v>
      </c>
      <c r="F1486" s="3" t="s">
        <v>14206</v>
      </c>
      <c r="H1486" s="3" t="s">
        <v>261</v>
      </c>
      <c r="K1486" s="2">
        <v>20</v>
      </c>
      <c r="L1486" s="2">
        <v>1</v>
      </c>
      <c r="M1486" s="3" t="s">
        <v>788</v>
      </c>
      <c r="N1486" s="3" t="s">
        <v>784</v>
      </c>
      <c r="O1486" s="3" t="s">
        <v>309</v>
      </c>
      <c r="P1486" s="3" t="s">
        <v>785</v>
      </c>
      <c r="Q1486" s="30" t="str">
        <f t="shared" si="23"/>
        <v>MAX : 0.55
TARGET : 0.50
MIN : 0.45</v>
      </c>
    </row>
    <row r="1487" spans="2:17" ht="41.4" x14ac:dyDescent="0.3">
      <c r="B1487">
        <v>0</v>
      </c>
      <c r="C1487" s="33">
        <v>7059</v>
      </c>
      <c r="D1487" s="2">
        <v>1861</v>
      </c>
      <c r="E1487" s="2" t="s">
        <v>8806</v>
      </c>
      <c r="F1487" s="3" t="s">
        <v>14206</v>
      </c>
      <c r="H1487" s="3" t="s">
        <v>491</v>
      </c>
      <c r="K1487" s="2">
        <v>10</v>
      </c>
      <c r="L1487" s="2">
        <v>3</v>
      </c>
      <c r="M1487" s="3" t="s">
        <v>1720</v>
      </c>
      <c r="N1487" s="3" t="s">
        <v>13</v>
      </c>
      <c r="O1487" s="3" t="s">
        <v>14</v>
      </c>
      <c r="Q1487" s="30" t="str">
        <f t="shared" si="23"/>
        <v>MAX : 
TARGET : Yes(Pass)
MIN : No(Fail)</v>
      </c>
    </row>
    <row r="1488" spans="2:17" ht="41.4" x14ac:dyDescent="0.3">
      <c r="B1488">
        <v>1</v>
      </c>
      <c r="C1488" s="33">
        <v>6722</v>
      </c>
      <c r="D1488" s="2">
        <v>1836</v>
      </c>
      <c r="E1488" s="2" t="s">
        <v>8425</v>
      </c>
      <c r="F1488" s="3" t="s">
        <v>14206</v>
      </c>
      <c r="H1488" s="3" t="s">
        <v>1903</v>
      </c>
      <c r="I1488" s="3" t="s">
        <v>487</v>
      </c>
      <c r="K1488" s="2">
        <v>10</v>
      </c>
      <c r="L1488" s="2">
        <v>2</v>
      </c>
      <c r="M1488" s="3" t="s">
        <v>1913</v>
      </c>
      <c r="N1488" s="3" t="s">
        <v>276</v>
      </c>
      <c r="O1488" s="3" t="s">
        <v>86</v>
      </c>
      <c r="P1488" s="3" t="s">
        <v>101</v>
      </c>
      <c r="Q1488" s="30" t="str">
        <f t="shared" si="23"/>
        <v>MAX : 0.625
TARGET : 0.500
MIN : 0.375</v>
      </c>
    </row>
    <row r="1489" spans="2:18" ht="41.4" x14ac:dyDescent="0.3">
      <c r="B1489">
        <v>1</v>
      </c>
      <c r="C1489" s="33">
        <v>6722</v>
      </c>
      <c r="D1489" s="2">
        <v>1836</v>
      </c>
      <c r="E1489" s="2" t="s">
        <v>8425</v>
      </c>
      <c r="F1489" s="3" t="s">
        <v>14206</v>
      </c>
      <c r="H1489" s="3" t="s">
        <v>1903</v>
      </c>
      <c r="I1489" s="3" t="s">
        <v>487</v>
      </c>
      <c r="K1489" s="2">
        <v>10</v>
      </c>
      <c r="L1489" s="2">
        <v>1</v>
      </c>
      <c r="M1489" s="3" t="s">
        <v>1909</v>
      </c>
      <c r="N1489" s="3" t="s">
        <v>1910</v>
      </c>
      <c r="O1489" s="3" t="s">
        <v>1911</v>
      </c>
      <c r="P1489" s="3" t="s">
        <v>1912</v>
      </c>
      <c r="Q1489" s="30" t="str">
        <f t="shared" si="23"/>
        <v>MAX : 15.125
TARGET : 15.000
MIN : 14.875</v>
      </c>
    </row>
    <row r="1490" spans="2:18" ht="41.4" x14ac:dyDescent="0.3">
      <c r="B1490">
        <v>0</v>
      </c>
      <c r="C1490" s="33">
        <v>7057</v>
      </c>
      <c r="D1490" s="2">
        <v>1860</v>
      </c>
      <c r="E1490" s="2" t="s">
        <v>8800</v>
      </c>
      <c r="F1490" s="3" t="s">
        <v>14206</v>
      </c>
      <c r="H1490" s="3" t="s">
        <v>491</v>
      </c>
      <c r="K1490" s="2">
        <v>10</v>
      </c>
      <c r="L1490" s="2">
        <v>3</v>
      </c>
      <c r="M1490" s="3" t="s">
        <v>1720</v>
      </c>
      <c r="N1490" s="3" t="s">
        <v>13</v>
      </c>
      <c r="O1490" s="3" t="s">
        <v>14</v>
      </c>
      <c r="Q1490" s="30" t="str">
        <f t="shared" si="23"/>
        <v>MAX : 
TARGET : Yes(Pass)
MIN : No(Fail)</v>
      </c>
      <c r="R1490" s="3" t="s">
        <v>1512</v>
      </c>
    </row>
    <row r="1491" spans="2:18" ht="41.4" x14ac:dyDescent="0.3">
      <c r="B1491">
        <v>1</v>
      </c>
      <c r="C1491" s="33">
        <v>6729</v>
      </c>
      <c r="D1491" s="2">
        <v>1041</v>
      </c>
      <c r="E1491" s="2" t="s">
        <v>8431</v>
      </c>
      <c r="F1491" s="3" t="s">
        <v>14207</v>
      </c>
      <c r="H1491" s="3" t="s">
        <v>1915</v>
      </c>
      <c r="K1491" s="2">
        <v>10</v>
      </c>
      <c r="L1491" s="2">
        <v>2</v>
      </c>
      <c r="M1491" s="3" t="s">
        <v>198</v>
      </c>
      <c r="N1491" s="3" t="s">
        <v>1919</v>
      </c>
      <c r="O1491" s="3" t="s">
        <v>1920</v>
      </c>
      <c r="P1491" s="3" t="s">
        <v>1921</v>
      </c>
      <c r="Q1491" s="30" t="str">
        <f t="shared" si="23"/>
        <v>MAX : 39
TARGET : 38
MIN : 37</v>
      </c>
    </row>
    <row r="1492" spans="2:18" ht="41.4" x14ac:dyDescent="0.3">
      <c r="B1492">
        <v>1</v>
      </c>
      <c r="C1492" s="33">
        <v>6729</v>
      </c>
      <c r="D1492" s="2">
        <v>1041</v>
      </c>
      <c r="E1492" s="2" t="s">
        <v>8431</v>
      </c>
      <c r="F1492" s="3" t="s">
        <v>14207</v>
      </c>
      <c r="H1492" s="3" t="s">
        <v>1915</v>
      </c>
      <c r="K1492" s="2">
        <v>10</v>
      </c>
      <c r="L1492" s="2">
        <v>1</v>
      </c>
      <c r="M1492" s="3" t="s">
        <v>194</v>
      </c>
      <c r="N1492" s="3" t="s">
        <v>1916</v>
      </c>
      <c r="O1492" s="3" t="s">
        <v>1917</v>
      </c>
      <c r="P1492" s="3" t="s">
        <v>1918</v>
      </c>
      <c r="Q1492" s="30" t="str">
        <f t="shared" si="23"/>
        <v>MAX : 129
TARGET : 128
MIN : 127</v>
      </c>
    </row>
    <row r="1493" spans="2:18" ht="41.4" x14ac:dyDescent="0.3">
      <c r="B1493">
        <v>0</v>
      </c>
      <c r="C1493" s="33">
        <v>7049</v>
      </c>
      <c r="D1493" s="2">
        <v>1859</v>
      </c>
      <c r="E1493" s="2" t="s">
        <v>8782</v>
      </c>
      <c r="F1493" s="3" t="s">
        <v>14206</v>
      </c>
      <c r="H1493" s="3" t="s">
        <v>922</v>
      </c>
      <c r="K1493" s="2">
        <v>30</v>
      </c>
      <c r="L1493" s="2">
        <v>3</v>
      </c>
      <c r="M1493" s="3" t="s">
        <v>2073</v>
      </c>
      <c r="N1493" s="3" t="s">
        <v>435</v>
      </c>
      <c r="O1493" s="3" t="s">
        <v>436</v>
      </c>
      <c r="P1493" s="3" t="s">
        <v>437</v>
      </c>
      <c r="Q1493" s="30" t="str">
        <f t="shared" si="23"/>
        <v>MAX : 0.23
TARGET : 0.20
MIN : 0.17</v>
      </c>
    </row>
    <row r="1494" spans="2:18" ht="41.4" x14ac:dyDescent="0.3">
      <c r="B1494">
        <v>0</v>
      </c>
      <c r="C1494" s="33">
        <v>7049</v>
      </c>
      <c r="D1494" s="2">
        <v>1859</v>
      </c>
      <c r="E1494" s="2" t="s">
        <v>8782</v>
      </c>
      <c r="F1494" s="3" t="s">
        <v>14206</v>
      </c>
      <c r="H1494" s="3" t="s">
        <v>922</v>
      </c>
      <c r="K1494" s="2">
        <v>30</v>
      </c>
      <c r="L1494" s="2">
        <v>4</v>
      </c>
      <c r="M1494" s="3" t="s">
        <v>2074</v>
      </c>
      <c r="N1494" s="3" t="s">
        <v>263</v>
      </c>
      <c r="O1494" s="3" t="s">
        <v>264</v>
      </c>
      <c r="P1494" s="3" t="s">
        <v>785</v>
      </c>
      <c r="Q1494" s="30" t="str">
        <f t="shared" si="23"/>
        <v>MAX : 0.55
TARGET : 0.52
MIN : 0.49</v>
      </c>
    </row>
    <row r="1495" spans="2:18" ht="41.4" x14ac:dyDescent="0.3">
      <c r="B1495">
        <v>0</v>
      </c>
      <c r="C1495" s="33">
        <v>7049</v>
      </c>
      <c r="D1495" s="2">
        <v>1859</v>
      </c>
      <c r="E1495" s="2" t="s">
        <v>8782</v>
      </c>
      <c r="F1495" s="3" t="s">
        <v>14206</v>
      </c>
      <c r="H1495" s="3" t="s">
        <v>922</v>
      </c>
      <c r="K1495" s="2">
        <v>30</v>
      </c>
      <c r="L1495" s="2">
        <v>5</v>
      </c>
      <c r="M1495" s="3" t="s">
        <v>2075</v>
      </c>
      <c r="N1495" s="3" t="s">
        <v>13</v>
      </c>
      <c r="O1495" s="3" t="s">
        <v>14</v>
      </c>
      <c r="Q1495" s="30" t="str">
        <f t="shared" si="23"/>
        <v>MAX : 
TARGET : Yes(Pass)
MIN : No(Fail)</v>
      </c>
    </row>
    <row r="1496" spans="2:18" ht="41.4" x14ac:dyDescent="0.3">
      <c r="B1496">
        <v>0</v>
      </c>
      <c r="C1496" s="33">
        <v>7049</v>
      </c>
      <c r="D1496" s="2">
        <v>1859</v>
      </c>
      <c r="E1496" s="2" t="s">
        <v>8782</v>
      </c>
      <c r="F1496" s="3" t="s">
        <v>14206</v>
      </c>
      <c r="H1496" s="3" t="s">
        <v>922</v>
      </c>
      <c r="K1496" s="2">
        <v>30</v>
      </c>
      <c r="L1496" s="2">
        <v>6</v>
      </c>
      <c r="M1496" s="3" t="s">
        <v>2076</v>
      </c>
      <c r="N1496" s="3" t="s">
        <v>13</v>
      </c>
      <c r="O1496" s="3" t="s">
        <v>14</v>
      </c>
      <c r="Q1496" s="30" t="str">
        <f t="shared" si="23"/>
        <v>MAX : 
TARGET : Yes(Pass)
MIN : No(Fail)</v>
      </c>
    </row>
    <row r="1497" spans="2:18" ht="41.4" x14ac:dyDescent="0.3">
      <c r="B1497">
        <v>1</v>
      </c>
      <c r="C1497" s="33">
        <v>6730</v>
      </c>
      <c r="D1497" s="2">
        <v>1042</v>
      </c>
      <c r="E1497" s="2" t="s">
        <v>8436</v>
      </c>
      <c r="F1497" s="3" t="s">
        <v>14207</v>
      </c>
      <c r="H1497" s="3" t="s">
        <v>504</v>
      </c>
      <c r="K1497" s="2">
        <v>10</v>
      </c>
      <c r="L1497" s="2">
        <v>2</v>
      </c>
      <c r="M1497" s="3" t="s">
        <v>134</v>
      </c>
      <c r="N1497" s="3" t="s">
        <v>851</v>
      </c>
      <c r="O1497" s="3" t="s">
        <v>14</v>
      </c>
      <c r="Q1497" s="30" t="str">
        <f t="shared" si="23"/>
        <v>MAX : 
TARGET : Yes(Pass)
MIN : No(fail)</v>
      </c>
    </row>
    <row r="1498" spans="2:18" ht="41.4" x14ac:dyDescent="0.3">
      <c r="B1498">
        <v>1</v>
      </c>
      <c r="C1498" s="33">
        <v>6730</v>
      </c>
      <c r="D1498" s="2">
        <v>1042</v>
      </c>
      <c r="E1498" s="2" t="s">
        <v>8436</v>
      </c>
      <c r="F1498" s="3" t="s">
        <v>14207</v>
      </c>
      <c r="H1498" s="3" t="s">
        <v>504</v>
      </c>
      <c r="K1498" s="2">
        <v>10</v>
      </c>
      <c r="L1498" s="2">
        <v>1</v>
      </c>
      <c r="M1498" s="3" t="s">
        <v>502</v>
      </c>
      <c r="N1498" s="3" t="s">
        <v>891</v>
      </c>
      <c r="O1498" s="3" t="s">
        <v>892</v>
      </c>
      <c r="P1498" s="3" t="s">
        <v>893</v>
      </c>
      <c r="Q1498" s="30" t="str">
        <f t="shared" si="23"/>
        <v>MAX : 11
TARGET : 10
MIN : 9</v>
      </c>
    </row>
    <row r="1499" spans="2:18" ht="41.4" x14ac:dyDescent="0.3">
      <c r="B1499">
        <v>1</v>
      </c>
      <c r="C1499" s="33">
        <v>6738</v>
      </c>
      <c r="D1499" s="2">
        <v>1043</v>
      </c>
      <c r="E1499" s="2" t="s">
        <v>8443</v>
      </c>
      <c r="F1499" s="3" t="s">
        <v>14206</v>
      </c>
      <c r="H1499" s="3" t="s">
        <v>469</v>
      </c>
      <c r="K1499" s="2">
        <v>10</v>
      </c>
      <c r="L1499" s="2">
        <v>2</v>
      </c>
      <c r="M1499" s="3" t="s">
        <v>198</v>
      </c>
      <c r="N1499" s="3" t="s">
        <v>183</v>
      </c>
      <c r="O1499" s="3" t="s">
        <v>184</v>
      </c>
      <c r="P1499" s="3" t="s">
        <v>185</v>
      </c>
      <c r="Q1499" s="30" t="str">
        <f t="shared" si="23"/>
        <v>MAX : 5.03
TARGET : 5.00
MIN : 4.97</v>
      </c>
    </row>
    <row r="1500" spans="2:18" ht="41.4" x14ac:dyDescent="0.3">
      <c r="B1500">
        <v>0</v>
      </c>
      <c r="C1500" s="33">
        <v>7081</v>
      </c>
      <c r="D1500" s="2">
        <v>1080</v>
      </c>
      <c r="E1500" s="2" t="s">
        <v>8821</v>
      </c>
      <c r="F1500" s="3" t="s">
        <v>14221</v>
      </c>
      <c r="H1500" s="3" t="s">
        <v>713</v>
      </c>
      <c r="K1500" s="2">
        <v>30</v>
      </c>
      <c r="L1500" s="2">
        <v>2</v>
      </c>
      <c r="M1500" s="3" t="s">
        <v>2081</v>
      </c>
      <c r="N1500" s="3" t="s">
        <v>717</v>
      </c>
      <c r="O1500" s="3" t="s">
        <v>2082</v>
      </c>
      <c r="P1500" s="3" t="s">
        <v>983</v>
      </c>
      <c r="Q1500" s="30" t="str">
        <f t="shared" si="23"/>
        <v>MAX : 0.095
TARGET : 0.080
MIN : 0.065</v>
      </c>
    </row>
    <row r="1501" spans="2:18" ht="41.4" x14ac:dyDescent="0.3">
      <c r="B1501">
        <v>0</v>
      </c>
      <c r="C1501" s="33">
        <v>7081</v>
      </c>
      <c r="D1501" s="2">
        <v>1080</v>
      </c>
      <c r="E1501" s="2" t="s">
        <v>8821</v>
      </c>
      <c r="F1501" s="3" t="s">
        <v>14221</v>
      </c>
      <c r="H1501" s="3" t="s">
        <v>713</v>
      </c>
      <c r="K1501" s="2">
        <v>30</v>
      </c>
      <c r="L1501" s="2">
        <v>3</v>
      </c>
      <c r="M1501" s="3" t="s">
        <v>2083</v>
      </c>
      <c r="N1501" s="3" t="s">
        <v>717</v>
      </c>
      <c r="O1501" s="3" t="s">
        <v>2082</v>
      </c>
      <c r="P1501" s="3" t="s">
        <v>983</v>
      </c>
      <c r="Q1501" s="30" t="str">
        <f t="shared" si="23"/>
        <v>MAX : 0.095
TARGET : 0.080
MIN : 0.065</v>
      </c>
    </row>
    <row r="1502" spans="2:18" ht="41.4" x14ac:dyDescent="0.3">
      <c r="B1502">
        <v>0</v>
      </c>
      <c r="C1502" s="33">
        <v>7081</v>
      </c>
      <c r="D1502" s="2">
        <v>1080</v>
      </c>
      <c r="E1502" s="2" t="s">
        <v>8821</v>
      </c>
      <c r="F1502" s="3" t="s">
        <v>14221</v>
      </c>
      <c r="H1502" s="3" t="s">
        <v>713</v>
      </c>
      <c r="K1502" s="2">
        <v>40</v>
      </c>
      <c r="L1502" s="2">
        <v>2</v>
      </c>
      <c r="M1502" s="3" t="s">
        <v>2084</v>
      </c>
      <c r="N1502" s="3" t="s">
        <v>13</v>
      </c>
      <c r="O1502" s="3" t="s">
        <v>14</v>
      </c>
      <c r="Q1502" s="30" t="str">
        <f t="shared" si="23"/>
        <v>MAX : 
TARGET : Yes(Pass)
MIN : No(Fail)</v>
      </c>
    </row>
    <row r="1503" spans="2:18" ht="41.4" x14ac:dyDescent="0.3">
      <c r="B1503">
        <v>1</v>
      </c>
      <c r="C1503" s="33">
        <v>6738</v>
      </c>
      <c r="D1503" s="2">
        <v>1043</v>
      </c>
      <c r="E1503" s="2" t="s">
        <v>8443</v>
      </c>
      <c r="F1503" s="3" t="s">
        <v>14206</v>
      </c>
      <c r="H1503" s="3" t="s">
        <v>469</v>
      </c>
      <c r="K1503" s="2">
        <v>10</v>
      </c>
      <c r="L1503" s="2">
        <v>1</v>
      </c>
      <c r="M1503" s="3" t="s">
        <v>194</v>
      </c>
      <c r="N1503" s="3" t="s">
        <v>162</v>
      </c>
      <c r="O1503" s="3" t="s">
        <v>163</v>
      </c>
      <c r="P1503" s="3" t="s">
        <v>164</v>
      </c>
      <c r="Q1503" s="30" t="str">
        <f t="shared" si="23"/>
        <v>MAX : 3.78
TARGET : 3.75
MIN : 3.72</v>
      </c>
    </row>
    <row r="1504" spans="2:18" ht="41.4" x14ac:dyDescent="0.3">
      <c r="B1504">
        <v>1</v>
      </c>
      <c r="C1504" s="33">
        <v>6741</v>
      </c>
      <c r="D1504" s="2">
        <v>1837</v>
      </c>
      <c r="E1504" s="2" t="s">
        <v>8451</v>
      </c>
      <c r="F1504" s="3" t="s">
        <v>14206</v>
      </c>
      <c r="H1504" s="3" t="s">
        <v>11</v>
      </c>
      <c r="I1504" s="3" t="s">
        <v>487</v>
      </c>
      <c r="K1504" s="2">
        <v>10</v>
      </c>
      <c r="L1504" s="2">
        <v>1</v>
      </c>
      <c r="M1504" s="3" t="s">
        <v>99</v>
      </c>
      <c r="N1504" s="3" t="s">
        <v>4906</v>
      </c>
      <c r="O1504" s="3" t="s">
        <v>250</v>
      </c>
      <c r="P1504" s="3" t="s">
        <v>3954</v>
      </c>
      <c r="Q1504" s="30" t="str">
        <f t="shared" si="23"/>
        <v>MAX : 6.05
TARGET : 6.00
MIN : 5.95</v>
      </c>
    </row>
    <row r="1505" spans="2:18" ht="41.4" x14ac:dyDescent="0.3">
      <c r="B1505">
        <v>0</v>
      </c>
      <c r="C1505" s="33">
        <v>7082</v>
      </c>
      <c r="D1505" s="2">
        <v>1081</v>
      </c>
      <c r="E1505" s="2" t="s">
        <v>8829</v>
      </c>
      <c r="F1505" s="3" t="s">
        <v>14206</v>
      </c>
      <c r="H1505" s="3" t="s">
        <v>713</v>
      </c>
      <c r="K1505" s="2">
        <v>30</v>
      </c>
      <c r="L1505" s="2">
        <v>3</v>
      </c>
      <c r="M1505" s="3" t="s">
        <v>2083</v>
      </c>
      <c r="N1505" s="3" t="s">
        <v>717</v>
      </c>
      <c r="O1505" s="3" t="s">
        <v>2082</v>
      </c>
      <c r="P1505" s="3" t="s">
        <v>983</v>
      </c>
      <c r="Q1505" s="30" t="str">
        <f t="shared" si="23"/>
        <v>MAX : 0.095
TARGET : 0.080
MIN : 0.065</v>
      </c>
    </row>
    <row r="1506" spans="2:18" ht="41.4" x14ac:dyDescent="0.3">
      <c r="B1506">
        <v>0</v>
      </c>
      <c r="C1506" s="33">
        <v>7082</v>
      </c>
      <c r="D1506" s="2">
        <v>1081</v>
      </c>
      <c r="E1506" s="2" t="s">
        <v>8829</v>
      </c>
      <c r="F1506" s="3" t="s">
        <v>14206</v>
      </c>
      <c r="H1506" s="3" t="s">
        <v>713</v>
      </c>
      <c r="K1506" s="2">
        <v>40</v>
      </c>
      <c r="L1506" s="2">
        <v>2</v>
      </c>
      <c r="M1506" s="3" t="s">
        <v>2084</v>
      </c>
      <c r="N1506" s="3" t="s">
        <v>13</v>
      </c>
      <c r="O1506" s="3" t="s">
        <v>14</v>
      </c>
      <c r="Q1506" s="30" t="str">
        <f t="shared" si="23"/>
        <v>MAX : 
TARGET : Yes(Pass)
MIN : No(Fail)</v>
      </c>
    </row>
    <row r="1507" spans="2:18" ht="41.4" x14ac:dyDescent="0.3">
      <c r="B1507">
        <v>1</v>
      </c>
      <c r="C1507" s="33">
        <v>6741</v>
      </c>
      <c r="D1507" s="2">
        <v>1837</v>
      </c>
      <c r="E1507" s="2" t="s">
        <v>8451</v>
      </c>
      <c r="F1507" s="3" t="s">
        <v>14206</v>
      </c>
      <c r="H1507" s="3" t="s">
        <v>11</v>
      </c>
      <c r="I1507" s="3" t="s">
        <v>487</v>
      </c>
      <c r="K1507" s="2">
        <v>10</v>
      </c>
      <c r="L1507" s="2">
        <v>2</v>
      </c>
      <c r="M1507" s="3" t="s">
        <v>1623</v>
      </c>
      <c r="N1507" s="3" t="s">
        <v>13</v>
      </c>
      <c r="O1507" s="3" t="s">
        <v>14</v>
      </c>
      <c r="Q1507" s="30" t="str">
        <f t="shared" si="23"/>
        <v>MAX : 
TARGET : Yes(Pass)
MIN : No(Fail)</v>
      </c>
    </row>
    <row r="1508" spans="2:18" ht="41.4" x14ac:dyDescent="0.3">
      <c r="B1508">
        <v>0</v>
      </c>
      <c r="C1508" s="33">
        <v>6518</v>
      </c>
      <c r="D1508" s="2">
        <v>1824</v>
      </c>
      <c r="E1508" s="2" t="s">
        <v>8247</v>
      </c>
      <c r="F1508" s="3" t="s">
        <v>14206</v>
      </c>
      <c r="H1508" s="3" t="s">
        <v>656</v>
      </c>
      <c r="K1508" s="2">
        <v>20</v>
      </c>
      <c r="L1508" s="2">
        <v>6</v>
      </c>
      <c r="M1508" s="3" t="s">
        <v>3622</v>
      </c>
      <c r="N1508" s="3" t="s">
        <v>24</v>
      </c>
      <c r="O1508" s="3" t="s">
        <v>25</v>
      </c>
      <c r="Q1508" s="30" t="str">
        <f t="shared" si="23"/>
        <v>MAX : 
TARGET : Yes (Pass)
MIN : No (Fail)</v>
      </c>
    </row>
    <row r="1509" spans="2:18" ht="41.4" x14ac:dyDescent="0.3">
      <c r="B1509">
        <v>1</v>
      </c>
      <c r="C1509" s="33">
        <v>6750</v>
      </c>
      <c r="D1509" s="2">
        <v>1838</v>
      </c>
      <c r="E1509" s="2" t="s">
        <v>8457</v>
      </c>
      <c r="F1509" s="3" t="s">
        <v>14206</v>
      </c>
      <c r="H1509" s="3" t="s">
        <v>1270</v>
      </c>
      <c r="K1509" s="2">
        <v>10</v>
      </c>
      <c r="L1509" s="2">
        <v>2</v>
      </c>
      <c r="M1509" s="3" t="s">
        <v>325</v>
      </c>
      <c r="N1509" s="3" t="s">
        <v>13</v>
      </c>
      <c r="O1509" s="3" t="s">
        <v>14</v>
      </c>
      <c r="Q1509" s="30" t="str">
        <f t="shared" si="23"/>
        <v>MAX : 
TARGET : Yes(Pass)
MIN : No(Fail)</v>
      </c>
    </row>
    <row r="1510" spans="2:18" ht="41.4" x14ac:dyDescent="0.3">
      <c r="B1510">
        <v>0</v>
      </c>
      <c r="C1510" s="33">
        <v>7086</v>
      </c>
      <c r="D1510" s="2">
        <v>1082</v>
      </c>
      <c r="E1510" s="2" t="s">
        <v>8837</v>
      </c>
      <c r="F1510" s="3" t="s">
        <v>14206</v>
      </c>
      <c r="H1510" s="3" t="s">
        <v>810</v>
      </c>
      <c r="K1510" s="2">
        <v>10</v>
      </c>
      <c r="L1510" s="2">
        <v>3</v>
      </c>
      <c r="M1510" s="3" t="s">
        <v>2092</v>
      </c>
      <c r="N1510" s="3" t="s">
        <v>983</v>
      </c>
      <c r="O1510" s="3" t="s">
        <v>241</v>
      </c>
      <c r="P1510" s="3" t="s">
        <v>984</v>
      </c>
      <c r="Q1510" s="30" t="str">
        <f t="shared" si="23"/>
        <v>MAX : 0.155
TARGET : 0.125
MIN : 0.095</v>
      </c>
    </row>
    <row r="1511" spans="2:18" ht="41.4" x14ac:dyDescent="0.3">
      <c r="B1511">
        <v>0</v>
      </c>
      <c r="C1511" s="33">
        <v>7086</v>
      </c>
      <c r="D1511" s="2">
        <v>1082</v>
      </c>
      <c r="E1511" s="2" t="s">
        <v>8837</v>
      </c>
      <c r="F1511" s="3" t="s">
        <v>14206</v>
      </c>
      <c r="H1511" s="3" t="s">
        <v>810</v>
      </c>
      <c r="K1511" s="2">
        <v>10</v>
      </c>
      <c r="L1511" s="2">
        <v>4</v>
      </c>
      <c r="M1511" s="3" t="s">
        <v>2093</v>
      </c>
      <c r="N1511" s="3" t="s">
        <v>864</v>
      </c>
      <c r="O1511" s="3" t="s">
        <v>2094</v>
      </c>
      <c r="P1511" s="3" t="s">
        <v>241</v>
      </c>
      <c r="Q1511" s="30" t="str">
        <f t="shared" si="23"/>
        <v>MAX : 0.125
TARGET : 0.063
MIN : 0</v>
      </c>
    </row>
    <row r="1512" spans="2:18" ht="41.4" x14ac:dyDescent="0.3">
      <c r="B1512">
        <v>0</v>
      </c>
      <c r="C1512" s="33">
        <v>7086</v>
      </c>
      <c r="D1512" s="2">
        <v>1082</v>
      </c>
      <c r="E1512" s="2" t="s">
        <v>8837</v>
      </c>
      <c r="F1512" s="3" t="s">
        <v>14206</v>
      </c>
      <c r="H1512" s="3" t="s">
        <v>810</v>
      </c>
      <c r="K1512" s="2">
        <v>10</v>
      </c>
      <c r="L1512" s="2">
        <v>5</v>
      </c>
      <c r="M1512" s="3" t="s">
        <v>2095</v>
      </c>
      <c r="N1512" s="3" t="s">
        <v>2096</v>
      </c>
      <c r="O1512" s="3" t="s">
        <v>339</v>
      </c>
      <c r="P1512" s="3" t="s">
        <v>1773</v>
      </c>
      <c r="Q1512" s="30" t="str">
        <f t="shared" si="23"/>
        <v>MAX : 3.31
TARGET : 3.25
MIN : 3.19</v>
      </c>
    </row>
    <row r="1513" spans="2:18" ht="41.4" x14ac:dyDescent="0.3">
      <c r="B1513">
        <v>0</v>
      </c>
      <c r="C1513" s="33">
        <v>7086</v>
      </c>
      <c r="D1513" s="2">
        <v>1082</v>
      </c>
      <c r="E1513" s="2" t="s">
        <v>8837</v>
      </c>
      <c r="F1513" s="3" t="s">
        <v>14206</v>
      </c>
      <c r="H1513" s="3" t="s">
        <v>810</v>
      </c>
      <c r="K1513" s="2">
        <v>10</v>
      </c>
      <c r="L1513" s="2">
        <v>6</v>
      </c>
      <c r="M1513" s="3" t="s">
        <v>78</v>
      </c>
      <c r="N1513" s="3" t="s">
        <v>13</v>
      </c>
      <c r="O1513" s="3" t="s">
        <v>14</v>
      </c>
      <c r="Q1513" s="30" t="str">
        <f t="shared" si="23"/>
        <v>MAX : 
TARGET : Yes(Pass)
MIN : No(Fail)</v>
      </c>
    </row>
    <row r="1514" spans="2:18" ht="41.4" x14ac:dyDescent="0.3">
      <c r="B1514">
        <v>1</v>
      </c>
      <c r="C1514" s="33">
        <v>6750</v>
      </c>
      <c r="D1514" s="2">
        <v>1838</v>
      </c>
      <c r="E1514" s="2" t="s">
        <v>8457</v>
      </c>
      <c r="F1514" s="3" t="s">
        <v>14206</v>
      </c>
      <c r="H1514" s="3" t="s">
        <v>1270</v>
      </c>
      <c r="K1514" s="2">
        <v>10</v>
      </c>
      <c r="L1514" s="2">
        <v>1</v>
      </c>
      <c r="M1514" s="3" t="s">
        <v>99</v>
      </c>
      <c r="N1514" s="3" t="s">
        <v>308</v>
      </c>
      <c r="O1514" s="3" t="s">
        <v>309</v>
      </c>
      <c r="P1514" s="3" t="s">
        <v>310</v>
      </c>
      <c r="Q1514" s="30" t="str">
        <f t="shared" si="23"/>
        <v>MAX : 0.53
TARGET : 0.50
MIN : 0.47</v>
      </c>
    </row>
    <row r="1515" spans="2:18" ht="41.4" x14ac:dyDescent="0.3">
      <c r="B1515">
        <v>1</v>
      </c>
      <c r="C1515" s="33">
        <v>6756</v>
      </c>
      <c r="D1515" s="2">
        <v>1044</v>
      </c>
      <c r="E1515" s="2" t="s">
        <v>8464</v>
      </c>
      <c r="F1515" s="3" t="s">
        <v>14206</v>
      </c>
      <c r="H1515" s="3" t="s">
        <v>713</v>
      </c>
      <c r="K1515" s="2">
        <v>20</v>
      </c>
      <c r="L1515" s="2">
        <v>2</v>
      </c>
      <c r="M1515" s="3" t="s">
        <v>240</v>
      </c>
      <c r="N1515" s="3" t="s">
        <v>264</v>
      </c>
      <c r="O1515" s="3" t="s">
        <v>1927</v>
      </c>
      <c r="P1515" s="3" t="s">
        <v>1531</v>
      </c>
      <c r="Q1515" s="30" t="str">
        <f t="shared" si="23"/>
        <v>MAX : 0.56
TARGET : 0.54
MIN : 0.52</v>
      </c>
    </row>
    <row r="1516" spans="2:18" ht="41.4" x14ac:dyDescent="0.3">
      <c r="B1516">
        <v>1</v>
      </c>
      <c r="C1516" s="33">
        <v>6756</v>
      </c>
      <c r="D1516" s="2">
        <v>1044</v>
      </c>
      <c r="E1516" s="2" t="s">
        <v>8464</v>
      </c>
      <c r="F1516" s="3" t="s">
        <v>14206</v>
      </c>
      <c r="H1516" s="3" t="s">
        <v>713</v>
      </c>
      <c r="K1516" s="2">
        <v>20</v>
      </c>
      <c r="L1516" s="2">
        <v>5</v>
      </c>
      <c r="M1516" s="3" t="s">
        <v>78</v>
      </c>
      <c r="N1516" s="3" t="s">
        <v>13</v>
      </c>
      <c r="O1516" s="3" t="s">
        <v>14</v>
      </c>
      <c r="Q1516" s="30" t="str">
        <f t="shared" si="23"/>
        <v>MAX : 
TARGET : Yes(Pass)
MIN : No(Fail)</v>
      </c>
    </row>
    <row r="1517" spans="2:18" ht="41.4" x14ac:dyDescent="0.3">
      <c r="B1517">
        <v>1</v>
      </c>
      <c r="C1517" s="33">
        <v>6756</v>
      </c>
      <c r="D1517" s="2">
        <v>1044</v>
      </c>
      <c r="E1517" s="2" t="s">
        <v>8464</v>
      </c>
      <c r="F1517" s="3" t="s">
        <v>14206</v>
      </c>
      <c r="H1517" s="3" t="s">
        <v>713</v>
      </c>
      <c r="K1517" s="2">
        <v>20</v>
      </c>
      <c r="L1517" s="2">
        <v>1</v>
      </c>
      <c r="M1517" s="3" t="s">
        <v>74</v>
      </c>
      <c r="N1517" s="3" t="s">
        <v>1925</v>
      </c>
      <c r="O1517" s="3" t="s">
        <v>1926</v>
      </c>
      <c r="P1517" s="3" t="s">
        <v>1016</v>
      </c>
      <c r="Q1517" s="30" t="str">
        <f t="shared" si="23"/>
        <v>MAX : 0.876
TARGET : 0.866
MIN : 0.856</v>
      </c>
    </row>
    <row r="1518" spans="2:18" ht="41.4" x14ac:dyDescent="0.3">
      <c r="B1518">
        <v>1</v>
      </c>
      <c r="C1518" s="33">
        <v>6756</v>
      </c>
      <c r="D1518" s="2">
        <v>1044</v>
      </c>
      <c r="E1518" s="2" t="s">
        <v>8464</v>
      </c>
      <c r="F1518" s="3" t="s">
        <v>14206</v>
      </c>
      <c r="H1518" s="3" t="s">
        <v>713</v>
      </c>
      <c r="K1518" s="2">
        <v>20</v>
      </c>
      <c r="L1518" s="2">
        <v>4</v>
      </c>
      <c r="M1518" s="3" t="s">
        <v>198</v>
      </c>
      <c r="N1518" s="3" t="s">
        <v>2015</v>
      </c>
      <c r="O1518" s="3" t="s">
        <v>1803</v>
      </c>
      <c r="P1518" s="3" t="s">
        <v>1905</v>
      </c>
      <c r="Q1518" s="30" t="str">
        <f t="shared" si="23"/>
        <v>MAX : 1.40
TARGET : 1.38
MIN : 1.36</v>
      </c>
    </row>
    <row r="1519" spans="2:18" ht="41.4" x14ac:dyDescent="0.3">
      <c r="B1519">
        <v>1</v>
      </c>
      <c r="C1519" s="33">
        <v>6761</v>
      </c>
      <c r="D1519" s="2">
        <v>1045</v>
      </c>
      <c r="E1519" s="2" t="s">
        <v>8471</v>
      </c>
      <c r="F1519" s="3" t="s">
        <v>14206</v>
      </c>
      <c r="H1519" s="3" t="s">
        <v>648</v>
      </c>
      <c r="K1519" s="2">
        <v>30</v>
      </c>
      <c r="L1519" s="2">
        <v>2</v>
      </c>
      <c r="M1519" s="3" t="s">
        <v>194</v>
      </c>
      <c r="N1519" s="3" t="s">
        <v>1933</v>
      </c>
      <c r="O1519" s="3" t="s">
        <v>1810</v>
      </c>
      <c r="P1519" s="3" t="s">
        <v>1934</v>
      </c>
      <c r="Q1519" s="30" t="str">
        <f t="shared" si="23"/>
        <v>MAX : 2.265
TARGET : 2.250
MIN : 2.235</v>
      </c>
      <c r="R1519" s="3" t="s">
        <v>1638</v>
      </c>
    </row>
    <row r="1520" spans="2:18" ht="41.4" x14ac:dyDescent="0.3">
      <c r="B1520">
        <v>1</v>
      </c>
      <c r="C1520" s="33">
        <v>6761</v>
      </c>
      <c r="D1520" s="2">
        <v>1045</v>
      </c>
      <c r="E1520" s="2" t="s">
        <v>8471</v>
      </c>
      <c r="F1520" s="3" t="s">
        <v>14206</v>
      </c>
      <c r="H1520" s="3" t="s">
        <v>648</v>
      </c>
      <c r="K1520" s="2">
        <v>30</v>
      </c>
      <c r="L1520" s="2">
        <v>1</v>
      </c>
      <c r="M1520" s="3" t="s">
        <v>1929</v>
      </c>
      <c r="N1520" s="3" t="s">
        <v>1930</v>
      </c>
      <c r="O1520" s="3" t="s">
        <v>1931</v>
      </c>
      <c r="P1520" s="3" t="s">
        <v>1932</v>
      </c>
      <c r="Q1520" s="30" t="str">
        <f t="shared" si="23"/>
        <v>MAX : 1.890
TARGET : 1.875
MIN : 1.860</v>
      </c>
      <c r="R1520" s="3" t="s">
        <v>1638</v>
      </c>
    </row>
    <row r="1521" spans="2:18" ht="41.4" x14ac:dyDescent="0.3">
      <c r="B1521">
        <v>1</v>
      </c>
      <c r="C1521" s="33">
        <v>6761</v>
      </c>
      <c r="D1521" s="2">
        <v>1045</v>
      </c>
      <c r="E1521" s="2" t="s">
        <v>8471</v>
      </c>
      <c r="F1521" s="3" t="s">
        <v>14206</v>
      </c>
      <c r="H1521" s="3" t="s">
        <v>648</v>
      </c>
      <c r="K1521" s="2">
        <v>30</v>
      </c>
      <c r="L1521" s="2">
        <v>6</v>
      </c>
      <c r="M1521" s="3" t="s">
        <v>3382</v>
      </c>
      <c r="N1521" s="3" t="s">
        <v>3383</v>
      </c>
      <c r="O1521" s="3" t="s">
        <v>1780</v>
      </c>
      <c r="P1521" s="3" t="s">
        <v>216</v>
      </c>
      <c r="Q1521" s="30" t="str">
        <f t="shared" si="23"/>
        <v>MAX : 0.120
TARGET : 0.105
MIN : 0.090</v>
      </c>
      <c r="R1521" s="3" t="s">
        <v>1638</v>
      </c>
    </row>
    <row r="1522" spans="2:18" ht="41.4" x14ac:dyDescent="0.3">
      <c r="B1522">
        <v>0</v>
      </c>
      <c r="C1522" s="33">
        <v>7135</v>
      </c>
      <c r="D1522" s="2">
        <v>1866</v>
      </c>
      <c r="E1522" s="2" t="s">
        <v>8875</v>
      </c>
      <c r="F1522" s="3" t="s">
        <v>14207</v>
      </c>
      <c r="H1522" s="3" t="s">
        <v>11</v>
      </c>
      <c r="K1522" s="2">
        <v>10</v>
      </c>
      <c r="L1522" s="2">
        <v>3</v>
      </c>
      <c r="M1522" s="3" t="s">
        <v>2105</v>
      </c>
      <c r="N1522" s="3" t="s">
        <v>24</v>
      </c>
      <c r="O1522" s="3" t="s">
        <v>25</v>
      </c>
      <c r="Q1522" s="30" t="str">
        <f t="shared" si="23"/>
        <v>MAX : 
TARGET : Yes (Pass)
MIN : No (Fail)</v>
      </c>
    </row>
    <row r="1523" spans="2:18" ht="41.4" x14ac:dyDescent="0.3">
      <c r="B1523">
        <v>0</v>
      </c>
      <c r="C1523" s="33">
        <v>7135</v>
      </c>
      <c r="D1523" s="2">
        <v>1866</v>
      </c>
      <c r="E1523" s="2" t="s">
        <v>8875</v>
      </c>
      <c r="F1523" s="3" t="s">
        <v>14207</v>
      </c>
      <c r="H1523" s="3" t="s">
        <v>11</v>
      </c>
      <c r="K1523" s="2">
        <v>10</v>
      </c>
      <c r="L1523" s="2">
        <v>4</v>
      </c>
      <c r="M1523" s="3" t="s">
        <v>325</v>
      </c>
      <c r="N1523" s="3" t="s">
        <v>24</v>
      </c>
      <c r="O1523" s="3" t="s">
        <v>25</v>
      </c>
      <c r="Q1523" s="30" t="str">
        <f t="shared" si="23"/>
        <v>MAX : 
TARGET : Yes (Pass)
MIN : No (Fail)</v>
      </c>
    </row>
    <row r="1524" spans="2:18" ht="41.4" x14ac:dyDescent="0.3">
      <c r="B1524">
        <v>1</v>
      </c>
      <c r="C1524" s="33">
        <v>6761</v>
      </c>
      <c r="D1524" s="2">
        <v>1045</v>
      </c>
      <c r="E1524" s="2" t="s">
        <v>8471</v>
      </c>
      <c r="F1524" s="3" t="s">
        <v>14206</v>
      </c>
      <c r="H1524" s="3" t="s">
        <v>648</v>
      </c>
      <c r="K1524" s="2">
        <v>30</v>
      </c>
      <c r="L1524" s="2">
        <v>8</v>
      </c>
      <c r="M1524" s="3" t="s">
        <v>5672</v>
      </c>
      <c r="N1524" s="3" t="s">
        <v>2311</v>
      </c>
      <c r="O1524" s="3" t="s">
        <v>101</v>
      </c>
      <c r="P1524" s="3" t="s">
        <v>2312</v>
      </c>
      <c r="Q1524" s="30" t="str">
        <f t="shared" si="23"/>
        <v>MAX : 0.640
TARGET : 0.625
MIN : 0.610</v>
      </c>
      <c r="R1524" s="3" t="s">
        <v>1638</v>
      </c>
    </row>
    <row r="1525" spans="2:18" ht="41.4" x14ac:dyDescent="0.3">
      <c r="B1525">
        <v>1</v>
      </c>
      <c r="C1525" s="33">
        <v>6765</v>
      </c>
      <c r="D1525" s="2">
        <v>1839</v>
      </c>
      <c r="E1525" s="2" t="s">
        <v>8478</v>
      </c>
      <c r="F1525" s="3" t="s">
        <v>14206</v>
      </c>
      <c r="H1525" s="3" t="s">
        <v>568</v>
      </c>
      <c r="K1525" s="2">
        <v>10</v>
      </c>
      <c r="L1525" s="2">
        <v>2</v>
      </c>
      <c r="M1525" s="3" t="s">
        <v>134</v>
      </c>
      <c r="N1525" s="3" t="s">
        <v>13</v>
      </c>
      <c r="O1525" s="3" t="s">
        <v>14</v>
      </c>
      <c r="Q1525" s="30" t="str">
        <f t="shared" si="23"/>
        <v>MAX : 
TARGET : Yes(Pass)
MIN : No(Fail)</v>
      </c>
    </row>
    <row r="1526" spans="2:18" ht="41.4" x14ac:dyDescent="0.3">
      <c r="B1526">
        <v>0</v>
      </c>
      <c r="C1526" s="33">
        <v>7145</v>
      </c>
      <c r="D1526" s="2">
        <v>1084</v>
      </c>
      <c r="E1526" s="2" t="s">
        <v>8881</v>
      </c>
      <c r="F1526" s="3" t="s">
        <v>14206</v>
      </c>
      <c r="H1526" s="3" t="s">
        <v>504</v>
      </c>
      <c r="K1526" s="2">
        <v>10</v>
      </c>
      <c r="L1526" s="2">
        <v>3</v>
      </c>
      <c r="M1526" s="3" t="s">
        <v>570</v>
      </c>
      <c r="N1526" s="3" t="s">
        <v>459</v>
      </c>
      <c r="O1526" s="3" t="s">
        <v>406</v>
      </c>
      <c r="P1526" s="3" t="s">
        <v>460</v>
      </c>
      <c r="Q1526" s="30" t="str">
        <f t="shared" si="23"/>
        <v>MAX : 2.03
TARGET : 2.00
MIN : 1.97</v>
      </c>
    </row>
    <row r="1527" spans="2:18" ht="41.4" x14ac:dyDescent="0.3">
      <c r="B1527">
        <v>0</v>
      </c>
      <c r="C1527" s="33">
        <v>7145</v>
      </c>
      <c r="D1527" s="2">
        <v>1084</v>
      </c>
      <c r="E1527" s="2" t="s">
        <v>8881</v>
      </c>
      <c r="F1527" s="3" t="s">
        <v>14206</v>
      </c>
      <c r="H1527" s="3" t="s">
        <v>504</v>
      </c>
      <c r="K1527" s="2">
        <v>10</v>
      </c>
      <c r="L1527" s="2">
        <v>4</v>
      </c>
      <c r="M1527" s="3" t="s">
        <v>2108</v>
      </c>
      <c r="N1527" s="3" t="s">
        <v>13</v>
      </c>
      <c r="O1527" s="3" t="s">
        <v>14</v>
      </c>
      <c r="Q1527" s="30" t="str">
        <f t="shared" si="23"/>
        <v>MAX : 
TARGET : Yes(Pass)
MIN : No(Fail)</v>
      </c>
    </row>
    <row r="1528" spans="2:18" ht="41.4" x14ac:dyDescent="0.3">
      <c r="B1528">
        <v>0</v>
      </c>
      <c r="C1528" s="33">
        <v>7145</v>
      </c>
      <c r="D1528" s="2">
        <v>1084</v>
      </c>
      <c r="E1528" s="2" t="s">
        <v>8881</v>
      </c>
      <c r="F1528" s="3" t="s">
        <v>14206</v>
      </c>
      <c r="H1528" s="3" t="s">
        <v>504</v>
      </c>
      <c r="K1528" s="2">
        <v>10</v>
      </c>
      <c r="L1528" s="2">
        <v>5</v>
      </c>
      <c r="M1528" s="3" t="s">
        <v>78</v>
      </c>
      <c r="N1528" s="3" t="s">
        <v>13</v>
      </c>
      <c r="O1528" s="3" t="s">
        <v>14</v>
      </c>
      <c r="Q1528" s="30" t="str">
        <f t="shared" si="23"/>
        <v>MAX : 
TARGET : Yes(Pass)
MIN : No(Fail)</v>
      </c>
    </row>
    <row r="1529" spans="2:18" ht="41.4" x14ac:dyDescent="0.3">
      <c r="B1529">
        <v>1</v>
      </c>
      <c r="C1529" s="33">
        <v>6765</v>
      </c>
      <c r="D1529" s="2">
        <v>1839</v>
      </c>
      <c r="E1529" s="2" t="s">
        <v>8478</v>
      </c>
      <c r="F1529" s="3" t="s">
        <v>14206</v>
      </c>
      <c r="H1529" s="3" t="s">
        <v>568</v>
      </c>
      <c r="K1529" s="2">
        <v>10</v>
      </c>
      <c r="L1529" s="2">
        <v>1</v>
      </c>
      <c r="M1529" s="3" t="s">
        <v>1946</v>
      </c>
      <c r="N1529" s="3" t="s">
        <v>1947</v>
      </c>
      <c r="O1529" s="3" t="s">
        <v>281</v>
      </c>
      <c r="P1529" s="3" t="s">
        <v>1948</v>
      </c>
      <c r="Q1529" s="30" t="str">
        <f t="shared" si="23"/>
        <v>MAX : 0.280
TARGET : 0.250
MIN : 0.220</v>
      </c>
    </row>
    <row r="1530" spans="2:18" ht="41.4" x14ac:dyDescent="0.3">
      <c r="B1530">
        <v>1</v>
      </c>
      <c r="C1530" s="33">
        <v>6766</v>
      </c>
      <c r="D1530" s="2">
        <v>1840</v>
      </c>
      <c r="E1530" s="2" t="s">
        <v>8486</v>
      </c>
      <c r="F1530" s="3" t="s">
        <v>14206</v>
      </c>
      <c r="H1530" s="3" t="s">
        <v>568</v>
      </c>
      <c r="K1530" s="2">
        <v>10</v>
      </c>
      <c r="L1530" s="2">
        <v>2</v>
      </c>
      <c r="M1530" s="3" t="s">
        <v>134</v>
      </c>
      <c r="N1530" s="3" t="s">
        <v>13</v>
      </c>
      <c r="O1530" s="3" t="s">
        <v>14</v>
      </c>
      <c r="Q1530" s="30" t="str">
        <f t="shared" si="23"/>
        <v>MAX : 
TARGET : Yes(Pass)
MIN : No(Fail)</v>
      </c>
    </row>
    <row r="1531" spans="2:18" ht="41.4" x14ac:dyDescent="0.3">
      <c r="B1531">
        <v>0</v>
      </c>
      <c r="C1531" s="33">
        <v>7158</v>
      </c>
      <c r="D1531" s="2">
        <v>1085</v>
      </c>
      <c r="E1531" s="2" t="s">
        <v>8888</v>
      </c>
      <c r="F1531" s="3" t="s">
        <v>14206</v>
      </c>
      <c r="H1531" s="3" t="s">
        <v>469</v>
      </c>
      <c r="K1531" s="2">
        <v>20</v>
      </c>
      <c r="L1531" s="2">
        <v>2</v>
      </c>
      <c r="M1531" s="3" t="s">
        <v>422</v>
      </c>
      <c r="N1531" s="3" t="s">
        <v>462</v>
      </c>
      <c r="O1531" s="3" t="s">
        <v>424</v>
      </c>
      <c r="P1531" s="3" t="s">
        <v>463</v>
      </c>
      <c r="Q1531" s="30" t="str">
        <f t="shared" si="23"/>
        <v>MAX : 0.28
TARGET : 0.25
MIN : 0.22</v>
      </c>
    </row>
    <row r="1532" spans="2:18" ht="41.4" x14ac:dyDescent="0.3">
      <c r="B1532">
        <v>0</v>
      </c>
      <c r="C1532" s="33">
        <v>7158</v>
      </c>
      <c r="D1532" s="2">
        <v>1085</v>
      </c>
      <c r="E1532" s="2" t="s">
        <v>8888</v>
      </c>
      <c r="F1532" s="3" t="s">
        <v>14206</v>
      </c>
      <c r="H1532" s="3" t="s">
        <v>469</v>
      </c>
      <c r="K1532" s="2">
        <v>20</v>
      </c>
      <c r="L1532" s="2">
        <v>3</v>
      </c>
      <c r="M1532" s="3" t="s">
        <v>2109</v>
      </c>
      <c r="N1532" s="3" t="s">
        <v>13</v>
      </c>
      <c r="O1532" s="3" t="s">
        <v>14</v>
      </c>
      <c r="Q1532" s="30" t="str">
        <f t="shared" si="23"/>
        <v>MAX : 
TARGET : Yes(Pass)
MIN : No(Fail)</v>
      </c>
    </row>
    <row r="1533" spans="2:18" ht="41.4" x14ac:dyDescent="0.3">
      <c r="B1533">
        <v>1</v>
      </c>
      <c r="C1533" s="33">
        <v>6766</v>
      </c>
      <c r="D1533" s="2">
        <v>1840</v>
      </c>
      <c r="E1533" s="2" t="s">
        <v>8486</v>
      </c>
      <c r="F1533" s="3" t="s">
        <v>14206</v>
      </c>
      <c r="H1533" s="3" t="s">
        <v>568</v>
      </c>
      <c r="K1533" s="2">
        <v>10</v>
      </c>
      <c r="L1533" s="2">
        <v>1</v>
      </c>
      <c r="M1533" s="3" t="s">
        <v>1946</v>
      </c>
      <c r="N1533" s="3" t="s">
        <v>308</v>
      </c>
      <c r="O1533" s="3" t="s">
        <v>309</v>
      </c>
      <c r="P1533" s="3" t="s">
        <v>310</v>
      </c>
      <c r="Q1533" s="30" t="str">
        <f t="shared" si="23"/>
        <v>MAX : 0.53
TARGET : 0.50
MIN : 0.47</v>
      </c>
    </row>
    <row r="1534" spans="2:18" ht="41.4" x14ac:dyDescent="0.3">
      <c r="B1534">
        <v>1</v>
      </c>
      <c r="C1534" s="33">
        <v>6769</v>
      </c>
      <c r="D1534" s="2">
        <v>1841</v>
      </c>
      <c r="E1534" s="2" t="s">
        <v>8492</v>
      </c>
      <c r="F1534" s="3" t="s">
        <v>14206</v>
      </c>
      <c r="H1534" s="3" t="s">
        <v>269</v>
      </c>
      <c r="K1534" t="s">
        <v>6295</v>
      </c>
      <c r="L1534" s="2">
        <v>2</v>
      </c>
      <c r="M1534" s="3" t="s">
        <v>325</v>
      </c>
      <c r="N1534" s="3" t="s">
        <v>13</v>
      </c>
      <c r="O1534" s="3" t="s">
        <v>14</v>
      </c>
      <c r="Q1534" s="30" t="str">
        <f t="shared" si="23"/>
        <v>MAX : 
TARGET : Yes(Pass)
MIN : No(Fail)</v>
      </c>
      <c r="R1534" s="3" t="s">
        <v>1512</v>
      </c>
    </row>
    <row r="1535" spans="2:18" ht="41.4" x14ac:dyDescent="0.3">
      <c r="B1535">
        <v>0</v>
      </c>
      <c r="C1535" s="33">
        <v>7170</v>
      </c>
      <c r="D1535" s="2">
        <v>1867</v>
      </c>
      <c r="E1535" s="2" t="s">
        <v>8903</v>
      </c>
      <c r="F1535" s="3" t="s">
        <v>14207</v>
      </c>
      <c r="H1535" s="3" t="s">
        <v>66</v>
      </c>
      <c r="K1535" s="2">
        <v>10</v>
      </c>
      <c r="L1535" s="2">
        <v>3</v>
      </c>
      <c r="M1535" s="3" t="s">
        <v>71</v>
      </c>
      <c r="N1535" s="3" t="s">
        <v>13</v>
      </c>
      <c r="O1535" s="3" t="s">
        <v>14</v>
      </c>
      <c r="Q1535" s="30" t="str">
        <f t="shared" si="23"/>
        <v>MAX : 
TARGET : Yes(Pass)
MIN : No(Fail)</v>
      </c>
    </row>
    <row r="1536" spans="2:18" ht="41.4" x14ac:dyDescent="0.3">
      <c r="B1536">
        <v>0</v>
      </c>
      <c r="C1536" s="33">
        <v>7170</v>
      </c>
      <c r="D1536" s="2">
        <v>1867</v>
      </c>
      <c r="E1536" s="2" t="s">
        <v>8903</v>
      </c>
      <c r="F1536" s="3" t="s">
        <v>14207</v>
      </c>
      <c r="H1536" s="3" t="s">
        <v>66</v>
      </c>
      <c r="K1536" s="2">
        <v>10</v>
      </c>
      <c r="L1536" s="2">
        <v>4</v>
      </c>
      <c r="M1536" s="3" t="s">
        <v>72</v>
      </c>
      <c r="N1536" s="3" t="s">
        <v>13</v>
      </c>
      <c r="O1536" s="3" t="s">
        <v>14</v>
      </c>
      <c r="Q1536" s="30" t="str">
        <f t="shared" si="23"/>
        <v>MAX : 
TARGET : Yes(Pass)
MIN : No(Fail)</v>
      </c>
    </row>
    <row r="1537" spans="2:18" ht="41.4" x14ac:dyDescent="0.3">
      <c r="B1537">
        <v>1</v>
      </c>
      <c r="C1537" s="33">
        <v>6769</v>
      </c>
      <c r="D1537" s="2">
        <v>1841</v>
      </c>
      <c r="E1537" s="2" t="s">
        <v>8492</v>
      </c>
      <c r="F1537" s="3" t="s">
        <v>14206</v>
      </c>
      <c r="H1537" s="3" t="s">
        <v>269</v>
      </c>
      <c r="K1537" t="s">
        <v>6295</v>
      </c>
      <c r="L1537" s="2">
        <v>1</v>
      </c>
      <c r="M1537" s="3" t="s">
        <v>99</v>
      </c>
      <c r="N1537" s="3" t="s">
        <v>308</v>
      </c>
      <c r="O1537" s="3" t="s">
        <v>309</v>
      </c>
      <c r="P1537" s="3" t="s">
        <v>310</v>
      </c>
      <c r="Q1537" s="30" t="str">
        <f t="shared" si="23"/>
        <v>MAX : 0.53
TARGET : 0.50
MIN : 0.47</v>
      </c>
      <c r="R1537" s="3" t="s">
        <v>1512</v>
      </c>
    </row>
    <row r="1538" spans="2:18" ht="41.4" x14ac:dyDescent="0.3">
      <c r="B1538">
        <v>1</v>
      </c>
      <c r="C1538" s="33">
        <v>6770</v>
      </c>
      <c r="D1538" s="2">
        <v>1842</v>
      </c>
      <c r="E1538" s="2" t="s">
        <v>8499</v>
      </c>
      <c r="F1538" s="3" t="s">
        <v>14206</v>
      </c>
      <c r="H1538" s="3" t="s">
        <v>491</v>
      </c>
      <c r="K1538" t="s">
        <v>6295</v>
      </c>
      <c r="L1538" s="2">
        <v>2</v>
      </c>
      <c r="M1538" s="3" t="s">
        <v>1907</v>
      </c>
      <c r="N1538" s="3" t="s">
        <v>13</v>
      </c>
      <c r="O1538" s="3" t="s">
        <v>14</v>
      </c>
      <c r="Q1538" s="30" t="str">
        <f t="shared" ref="Q1538:Q1601" si="24">"MAX : " &amp; P1538 &amp; CHAR(10) &amp; "TARGET : " &amp; O1538 &amp; CHAR(10) &amp; "MIN : " &amp; N1538</f>
        <v>MAX : 
TARGET : Yes(Pass)
MIN : No(Fail)</v>
      </c>
    </row>
    <row r="1539" spans="2:18" ht="41.4" x14ac:dyDescent="0.3">
      <c r="B1539">
        <v>0</v>
      </c>
      <c r="C1539" s="33">
        <v>7174</v>
      </c>
      <c r="D1539" s="2">
        <v>1868</v>
      </c>
      <c r="E1539" s="2" t="s">
        <v>8911</v>
      </c>
      <c r="F1539" s="3" t="s">
        <v>14206</v>
      </c>
      <c r="H1539" s="3" t="s">
        <v>568</v>
      </c>
      <c r="K1539" s="2">
        <v>10</v>
      </c>
      <c r="L1539" s="2">
        <v>3</v>
      </c>
      <c r="M1539" s="3" t="s">
        <v>570</v>
      </c>
      <c r="N1539" s="3" t="s">
        <v>459</v>
      </c>
      <c r="O1539" s="3" t="s">
        <v>406</v>
      </c>
      <c r="P1539" s="3" t="s">
        <v>460</v>
      </c>
      <c r="Q1539" s="30" t="str">
        <f t="shared" si="24"/>
        <v>MAX : 2.03
TARGET : 2.00
MIN : 1.97</v>
      </c>
    </row>
    <row r="1540" spans="2:18" ht="41.4" x14ac:dyDescent="0.3">
      <c r="B1540">
        <v>0</v>
      </c>
      <c r="C1540" s="33">
        <v>7174</v>
      </c>
      <c r="D1540" s="2">
        <v>1868</v>
      </c>
      <c r="E1540" s="2" t="s">
        <v>8911</v>
      </c>
      <c r="F1540" s="3" t="s">
        <v>14206</v>
      </c>
      <c r="H1540" s="3" t="s">
        <v>568</v>
      </c>
      <c r="K1540" s="2">
        <v>10</v>
      </c>
      <c r="L1540" s="2">
        <v>4</v>
      </c>
      <c r="M1540" s="3" t="s">
        <v>1605</v>
      </c>
      <c r="N1540" s="3" t="s">
        <v>13</v>
      </c>
      <c r="O1540" s="3" t="s">
        <v>14</v>
      </c>
      <c r="Q1540" s="30" t="str">
        <f t="shared" si="24"/>
        <v>MAX : 
TARGET : Yes(Pass)
MIN : No(Fail)</v>
      </c>
    </row>
    <row r="1541" spans="2:18" ht="41.4" x14ac:dyDescent="0.3">
      <c r="B1541">
        <v>0</v>
      </c>
      <c r="C1541" s="33">
        <v>7174</v>
      </c>
      <c r="D1541" s="2">
        <v>1868</v>
      </c>
      <c r="E1541" s="2" t="s">
        <v>8911</v>
      </c>
      <c r="F1541" s="3" t="s">
        <v>14206</v>
      </c>
      <c r="H1541" s="3" t="s">
        <v>568</v>
      </c>
      <c r="K1541" s="2">
        <v>10</v>
      </c>
      <c r="L1541" s="2">
        <v>5</v>
      </c>
      <c r="M1541" s="3" t="s">
        <v>78</v>
      </c>
      <c r="N1541" s="3" t="s">
        <v>13</v>
      </c>
      <c r="O1541" s="3" t="s">
        <v>14</v>
      </c>
      <c r="Q1541" s="30" t="str">
        <f t="shared" si="24"/>
        <v>MAX : 
TARGET : Yes(Pass)
MIN : No(Fail)</v>
      </c>
    </row>
    <row r="1542" spans="2:18" ht="41.4" x14ac:dyDescent="0.3">
      <c r="B1542">
        <v>1</v>
      </c>
      <c r="C1542" s="33">
        <v>6770</v>
      </c>
      <c r="D1542" s="2">
        <v>1842</v>
      </c>
      <c r="E1542" s="2" t="s">
        <v>8499</v>
      </c>
      <c r="F1542" s="3" t="s">
        <v>14206</v>
      </c>
      <c r="H1542" s="3" t="s">
        <v>491</v>
      </c>
      <c r="K1542" t="s">
        <v>6295</v>
      </c>
      <c r="L1542" s="2">
        <v>1</v>
      </c>
      <c r="M1542" s="3" t="s">
        <v>99</v>
      </c>
      <c r="N1542" s="3" t="s">
        <v>983</v>
      </c>
      <c r="O1542" s="3" t="s">
        <v>241</v>
      </c>
      <c r="P1542" s="3" t="s">
        <v>984</v>
      </c>
      <c r="Q1542" s="30" t="str">
        <f t="shared" si="24"/>
        <v>MAX : 0.155
TARGET : 0.125
MIN : 0.095</v>
      </c>
    </row>
    <row r="1543" spans="2:18" ht="41.4" x14ac:dyDescent="0.3">
      <c r="B1543">
        <v>0</v>
      </c>
      <c r="C1543" s="33">
        <v>6551</v>
      </c>
      <c r="D1543" s="2">
        <v>1029</v>
      </c>
      <c r="E1543" s="2" t="s">
        <v>8293</v>
      </c>
      <c r="F1543" s="3" t="s">
        <v>14206</v>
      </c>
      <c r="H1543" s="3" t="s">
        <v>713</v>
      </c>
      <c r="K1543" s="2">
        <v>10</v>
      </c>
      <c r="L1543" s="2">
        <v>1</v>
      </c>
      <c r="M1543" s="3" t="s">
        <v>570</v>
      </c>
      <c r="N1543" s="3" t="s">
        <v>979</v>
      </c>
      <c r="O1543" s="3" t="s">
        <v>309</v>
      </c>
      <c r="P1543" s="3" t="s">
        <v>1531</v>
      </c>
      <c r="Q1543" s="30" t="str">
        <f t="shared" si="24"/>
        <v>MAX : 0.56
TARGET : 0.50
MIN : 0.44</v>
      </c>
      <c r="R1543" s="3" t="s">
        <v>1638</v>
      </c>
    </row>
    <row r="1544" spans="2:18" ht="41.4" x14ac:dyDescent="0.3">
      <c r="B1544">
        <v>1</v>
      </c>
      <c r="C1544" s="33">
        <v>6782</v>
      </c>
      <c r="D1544" s="2">
        <v>1046</v>
      </c>
      <c r="E1544" s="2" t="s">
        <v>8506</v>
      </c>
      <c r="F1544" s="3" t="s">
        <v>14206</v>
      </c>
      <c r="H1544" s="3" t="s">
        <v>1949</v>
      </c>
      <c r="K1544" s="2">
        <v>10</v>
      </c>
      <c r="L1544" s="2">
        <v>2</v>
      </c>
      <c r="M1544" s="3" t="s">
        <v>1950</v>
      </c>
      <c r="N1544" s="3" t="s">
        <v>13</v>
      </c>
      <c r="O1544" s="3" t="s">
        <v>14</v>
      </c>
      <c r="Q1544" s="30" t="str">
        <f t="shared" si="24"/>
        <v>MAX : 
TARGET : Yes(Pass)
MIN : No(Fail)</v>
      </c>
    </row>
    <row r="1545" spans="2:18" ht="41.4" x14ac:dyDescent="0.3">
      <c r="B1545">
        <v>0</v>
      </c>
      <c r="C1545" s="33">
        <v>7180</v>
      </c>
      <c r="D1545" s="2">
        <v>1087</v>
      </c>
      <c r="E1545" s="2" t="s">
        <v>8918</v>
      </c>
      <c r="F1545" s="29" t="s">
        <v>14222</v>
      </c>
      <c r="H1545" s="3" t="s">
        <v>2113</v>
      </c>
      <c r="K1545" s="2">
        <v>30</v>
      </c>
      <c r="L1545" s="2">
        <v>3</v>
      </c>
      <c r="M1545" s="3" t="s">
        <v>1412</v>
      </c>
      <c r="N1545" s="3" t="s">
        <v>983</v>
      </c>
      <c r="O1545" s="3" t="s">
        <v>241</v>
      </c>
      <c r="P1545" s="3" t="s">
        <v>984</v>
      </c>
      <c r="Q1545" s="30" t="str">
        <f t="shared" si="24"/>
        <v>MAX : 0.155
TARGET : 0.125
MIN : 0.095</v>
      </c>
    </row>
    <row r="1546" spans="2:18" ht="41.4" x14ac:dyDescent="0.3">
      <c r="B1546">
        <v>0</v>
      </c>
      <c r="C1546" s="33">
        <v>7180</v>
      </c>
      <c r="D1546" s="2">
        <v>1087</v>
      </c>
      <c r="E1546" s="2" t="s">
        <v>8918</v>
      </c>
      <c r="F1546" s="29" t="s">
        <v>14222</v>
      </c>
      <c r="H1546" s="3" t="s">
        <v>2113</v>
      </c>
      <c r="K1546" s="2">
        <v>30</v>
      </c>
      <c r="L1546" s="2">
        <v>4</v>
      </c>
      <c r="M1546" s="3" t="s">
        <v>2114</v>
      </c>
      <c r="N1546" s="3" t="s">
        <v>24</v>
      </c>
      <c r="O1546" s="3" t="s">
        <v>25</v>
      </c>
      <c r="Q1546" s="30" t="str">
        <f t="shared" si="24"/>
        <v>MAX : 
TARGET : Yes (Pass)
MIN : No (Fail)</v>
      </c>
    </row>
    <row r="1547" spans="2:18" ht="41.4" x14ac:dyDescent="0.3">
      <c r="B1547">
        <v>1</v>
      </c>
      <c r="C1547" s="33">
        <v>6782</v>
      </c>
      <c r="D1547" s="2">
        <v>1046</v>
      </c>
      <c r="E1547" s="2" t="s">
        <v>8506</v>
      </c>
      <c r="F1547" s="3" t="s">
        <v>14206</v>
      </c>
      <c r="H1547" s="3" t="s">
        <v>1949</v>
      </c>
      <c r="K1547" s="2">
        <v>10</v>
      </c>
      <c r="L1547" s="2">
        <v>1</v>
      </c>
      <c r="M1547" s="3" t="s">
        <v>811</v>
      </c>
      <c r="N1547" s="3" t="s">
        <v>24</v>
      </c>
      <c r="O1547" s="3" t="s">
        <v>25</v>
      </c>
      <c r="Q1547" s="30" t="str">
        <f t="shared" si="24"/>
        <v>MAX : 
TARGET : Yes (Pass)
MIN : No (Fail)</v>
      </c>
    </row>
    <row r="1548" spans="2:18" ht="41.4" x14ac:dyDescent="0.3">
      <c r="B1548">
        <v>1</v>
      </c>
      <c r="C1548" s="33">
        <v>6786</v>
      </c>
      <c r="D1548" s="2">
        <v>1047</v>
      </c>
      <c r="E1548" s="2" t="s">
        <v>8513</v>
      </c>
      <c r="F1548" s="3" t="s">
        <v>14206</v>
      </c>
      <c r="H1548" s="3" t="s">
        <v>600</v>
      </c>
      <c r="K1548" s="2">
        <v>10</v>
      </c>
      <c r="L1548" s="2">
        <v>2</v>
      </c>
      <c r="M1548" s="3" t="s">
        <v>194</v>
      </c>
      <c r="N1548" s="3" t="s">
        <v>1962</v>
      </c>
      <c r="O1548" s="3" t="s">
        <v>1893</v>
      </c>
      <c r="P1548" s="3" t="s">
        <v>1963</v>
      </c>
      <c r="Q1548" s="30" t="str">
        <f t="shared" si="24"/>
        <v>MAX : 7.53
TARGET : 7.50
MIN : 7.47</v>
      </c>
    </row>
    <row r="1549" spans="2:18" ht="41.4" x14ac:dyDescent="0.3">
      <c r="B1549">
        <v>0</v>
      </c>
      <c r="C1549" s="33">
        <v>7183</v>
      </c>
      <c r="D1549" s="2">
        <v>1869</v>
      </c>
      <c r="E1549" s="2" t="s">
        <v>8926</v>
      </c>
      <c r="F1549" s="3" t="s">
        <v>14206</v>
      </c>
      <c r="H1549" s="3" t="s">
        <v>568</v>
      </c>
      <c r="K1549" s="2">
        <v>10</v>
      </c>
      <c r="L1549" s="2">
        <v>3</v>
      </c>
      <c r="M1549" s="3" t="s">
        <v>611</v>
      </c>
      <c r="N1549" s="3" t="s">
        <v>13</v>
      </c>
      <c r="O1549" s="3" t="s">
        <v>14</v>
      </c>
      <c r="Q1549" s="30" t="str">
        <f t="shared" si="24"/>
        <v>MAX : 
TARGET : Yes(Pass)
MIN : No(Fail)</v>
      </c>
    </row>
    <row r="1550" spans="2:18" ht="41.4" x14ac:dyDescent="0.3">
      <c r="B1550">
        <v>1</v>
      </c>
      <c r="C1550" s="33">
        <v>6786</v>
      </c>
      <c r="D1550" s="2">
        <v>1047</v>
      </c>
      <c r="E1550" s="2" t="s">
        <v>8513</v>
      </c>
      <c r="F1550" s="3" t="s">
        <v>14206</v>
      </c>
      <c r="H1550" s="3" t="s">
        <v>600</v>
      </c>
      <c r="K1550" s="2">
        <v>10</v>
      </c>
      <c r="L1550" s="2">
        <v>1</v>
      </c>
      <c r="M1550" s="3" t="s">
        <v>821</v>
      </c>
      <c r="N1550" s="3" t="s">
        <v>1442</v>
      </c>
      <c r="O1550" s="3" t="s">
        <v>871</v>
      </c>
      <c r="P1550" s="3" t="s">
        <v>1961</v>
      </c>
      <c r="Q1550" s="30" t="str">
        <f t="shared" si="24"/>
        <v>MAX : 0.374
TARGET : 0.344
MIN : 0.314</v>
      </c>
    </row>
    <row r="1551" spans="2:18" ht="41.4" x14ac:dyDescent="0.3">
      <c r="B1551">
        <v>1</v>
      </c>
      <c r="C1551" s="33">
        <v>6792</v>
      </c>
      <c r="D1551" s="2">
        <v>1843</v>
      </c>
      <c r="E1551" s="2" t="s">
        <v>8520</v>
      </c>
      <c r="F1551" s="3" t="s">
        <v>14206</v>
      </c>
      <c r="H1551" s="3" t="s">
        <v>269</v>
      </c>
      <c r="K1551" s="2">
        <v>10</v>
      </c>
      <c r="L1551" s="2">
        <v>2</v>
      </c>
      <c r="M1551" s="3" t="s">
        <v>1613</v>
      </c>
      <c r="N1551" s="3" t="s">
        <v>13</v>
      </c>
      <c r="O1551" s="3" t="s">
        <v>14</v>
      </c>
      <c r="Q1551" s="30" t="str">
        <f t="shared" si="24"/>
        <v>MAX : 
TARGET : Yes(Pass)
MIN : No(Fail)</v>
      </c>
    </row>
    <row r="1552" spans="2:18" ht="41.4" x14ac:dyDescent="0.3">
      <c r="B1552">
        <v>1</v>
      </c>
      <c r="C1552" s="33">
        <v>6792</v>
      </c>
      <c r="D1552" s="2">
        <v>1843</v>
      </c>
      <c r="E1552" s="2" t="s">
        <v>8520</v>
      </c>
      <c r="F1552" s="3" t="s">
        <v>14206</v>
      </c>
      <c r="H1552" s="3" t="s">
        <v>269</v>
      </c>
      <c r="K1552" s="2">
        <v>10</v>
      </c>
      <c r="L1552" s="2">
        <v>1</v>
      </c>
      <c r="M1552" s="3" t="s">
        <v>1610</v>
      </c>
      <c r="N1552" s="3" t="s">
        <v>1611</v>
      </c>
      <c r="O1552" s="3" t="s">
        <v>8</v>
      </c>
      <c r="P1552" s="3" t="s">
        <v>1612</v>
      </c>
      <c r="Q1552" s="30" t="str">
        <f t="shared" si="24"/>
        <v>MAX : +0.015
TARGET : Target
MIN : -0.015</v>
      </c>
    </row>
    <row r="1553" spans="2:17" ht="41.4" x14ac:dyDescent="0.3">
      <c r="B1553">
        <v>0</v>
      </c>
      <c r="C1553" s="33">
        <v>7126</v>
      </c>
      <c r="D1553" s="2">
        <v>1083</v>
      </c>
      <c r="E1553" s="2" t="s">
        <v>8862</v>
      </c>
      <c r="F1553" s="3" t="s">
        <v>14206</v>
      </c>
      <c r="H1553" s="3" t="s">
        <v>2116</v>
      </c>
      <c r="K1553" s="2">
        <v>10</v>
      </c>
      <c r="L1553" s="2">
        <v>3</v>
      </c>
      <c r="M1553" s="3" t="s">
        <v>2088</v>
      </c>
      <c r="N1553" s="3" t="s">
        <v>252</v>
      </c>
      <c r="O1553" s="3" t="s">
        <v>253</v>
      </c>
      <c r="P1553" s="3" t="s">
        <v>128</v>
      </c>
      <c r="Q1553" s="30" t="str">
        <f t="shared" si="24"/>
        <v>MAX : 4.03
TARGET : 4.00
MIN : 3.97</v>
      </c>
    </row>
    <row r="1554" spans="2:17" ht="41.4" x14ac:dyDescent="0.3">
      <c r="B1554">
        <v>0</v>
      </c>
      <c r="C1554" s="33">
        <v>7126</v>
      </c>
      <c r="D1554" s="2">
        <v>1083</v>
      </c>
      <c r="E1554" s="2" t="s">
        <v>8862</v>
      </c>
      <c r="F1554" s="3" t="s">
        <v>14206</v>
      </c>
      <c r="H1554" s="3" t="s">
        <v>2116</v>
      </c>
      <c r="K1554" s="2">
        <v>10</v>
      </c>
      <c r="L1554" s="2">
        <v>4</v>
      </c>
      <c r="M1554" s="3" t="s">
        <v>160</v>
      </c>
      <c r="N1554" s="3" t="s">
        <v>308</v>
      </c>
      <c r="O1554" s="3" t="s">
        <v>309</v>
      </c>
      <c r="P1554" s="3" t="s">
        <v>310</v>
      </c>
      <c r="Q1554" s="30" t="str">
        <f t="shared" si="24"/>
        <v>MAX : 0.53
TARGET : 0.50
MIN : 0.47</v>
      </c>
    </row>
    <row r="1555" spans="2:17" ht="41.4" x14ac:dyDescent="0.3">
      <c r="B1555">
        <v>0</v>
      </c>
      <c r="C1555" s="33">
        <v>7126</v>
      </c>
      <c r="D1555" s="2">
        <v>1083</v>
      </c>
      <c r="E1555" s="2" t="s">
        <v>8862</v>
      </c>
      <c r="F1555" s="3" t="s">
        <v>14206</v>
      </c>
      <c r="H1555" s="3" t="s">
        <v>2116</v>
      </c>
      <c r="K1555" s="2">
        <v>10</v>
      </c>
      <c r="L1555" s="2">
        <v>5</v>
      </c>
      <c r="M1555" s="3" t="s">
        <v>2119</v>
      </c>
      <c r="N1555" s="3" t="s">
        <v>13</v>
      </c>
      <c r="O1555" s="3" t="s">
        <v>14</v>
      </c>
      <c r="Q1555" s="30" t="str">
        <f t="shared" si="24"/>
        <v>MAX : 
TARGET : Yes(Pass)
MIN : No(Fail)</v>
      </c>
    </row>
    <row r="1556" spans="2:17" ht="41.4" x14ac:dyDescent="0.3">
      <c r="B1556">
        <v>0</v>
      </c>
      <c r="C1556" s="33">
        <v>7126</v>
      </c>
      <c r="D1556" s="2">
        <v>1083</v>
      </c>
      <c r="E1556" s="2" t="s">
        <v>8862</v>
      </c>
      <c r="F1556" s="3" t="s">
        <v>14206</v>
      </c>
      <c r="H1556" s="3" t="s">
        <v>2116</v>
      </c>
      <c r="K1556" s="2">
        <v>10</v>
      </c>
      <c r="L1556" s="2">
        <v>6</v>
      </c>
      <c r="M1556" s="3" t="s">
        <v>2120</v>
      </c>
      <c r="N1556" s="3" t="s">
        <v>13</v>
      </c>
      <c r="O1556" s="3" t="s">
        <v>14</v>
      </c>
      <c r="Q1556" s="30" t="str">
        <f t="shared" si="24"/>
        <v>MAX : 
TARGET : Yes(Pass)
MIN : No(Fail)</v>
      </c>
    </row>
    <row r="1557" spans="2:17" ht="41.4" x14ac:dyDescent="0.3">
      <c r="B1557">
        <v>1</v>
      </c>
      <c r="C1557" s="33">
        <v>6800</v>
      </c>
      <c r="D1557" s="2">
        <v>1048</v>
      </c>
      <c r="E1557" s="2" t="s">
        <v>8525</v>
      </c>
      <c r="F1557" s="3" t="s">
        <v>14206</v>
      </c>
      <c r="H1557" s="3" t="s">
        <v>1328</v>
      </c>
      <c r="K1557" s="2">
        <v>20</v>
      </c>
      <c r="L1557" s="2">
        <v>1</v>
      </c>
      <c r="M1557" s="3" t="s">
        <v>1972</v>
      </c>
      <c r="N1557" s="3" t="s">
        <v>900</v>
      </c>
      <c r="O1557" s="3" t="s">
        <v>28</v>
      </c>
      <c r="P1557" s="3" t="s">
        <v>901</v>
      </c>
      <c r="Q1557" s="30" t="str">
        <f t="shared" si="24"/>
        <v>MAX : 1.56
TARGET : 1.50
MIN : 1.44</v>
      </c>
    </row>
    <row r="1558" spans="2:17" ht="41.4" x14ac:dyDescent="0.3">
      <c r="B1558">
        <v>1</v>
      </c>
      <c r="C1558" s="33">
        <v>6800</v>
      </c>
      <c r="D1558" s="2">
        <v>1048</v>
      </c>
      <c r="E1558" s="2" t="s">
        <v>8525</v>
      </c>
      <c r="F1558" s="3" t="s">
        <v>14206</v>
      </c>
      <c r="H1558" s="3" t="s">
        <v>1328</v>
      </c>
      <c r="K1558" s="2">
        <v>10</v>
      </c>
      <c r="L1558" s="2">
        <v>1</v>
      </c>
      <c r="M1558" s="3" t="s">
        <v>1971</v>
      </c>
      <c r="N1558" s="3" t="s">
        <v>13</v>
      </c>
      <c r="O1558" s="3" t="s">
        <v>14</v>
      </c>
      <c r="Q1558" s="30" t="str">
        <f t="shared" si="24"/>
        <v>MAX : 
TARGET : Yes(Pass)
MIN : No(Fail)</v>
      </c>
    </row>
    <row r="1559" spans="2:17" ht="41.4" x14ac:dyDescent="0.3">
      <c r="B1559">
        <v>0</v>
      </c>
      <c r="C1559" s="33">
        <v>7196</v>
      </c>
      <c r="D1559" s="2">
        <v>1091</v>
      </c>
      <c r="E1559" s="2" t="s">
        <v>8952</v>
      </c>
      <c r="F1559" s="3" t="s">
        <v>14206</v>
      </c>
      <c r="H1559" s="3" t="s">
        <v>108</v>
      </c>
      <c r="K1559" s="2">
        <v>20</v>
      </c>
      <c r="L1559" s="2">
        <v>3</v>
      </c>
      <c r="M1559" s="3" t="s">
        <v>78</v>
      </c>
      <c r="N1559" s="3" t="s">
        <v>13</v>
      </c>
      <c r="O1559" s="3" t="s">
        <v>14</v>
      </c>
      <c r="Q1559" s="30" t="str">
        <f t="shared" si="24"/>
        <v>MAX : 
TARGET : Yes(Pass)
MIN : No(Fail)</v>
      </c>
    </row>
    <row r="1560" spans="2:17" ht="41.4" x14ac:dyDescent="0.3">
      <c r="B1560">
        <v>1</v>
      </c>
      <c r="C1560" s="33">
        <v>6801</v>
      </c>
      <c r="D1560" s="2">
        <v>1049</v>
      </c>
      <c r="E1560" s="2" t="s">
        <v>8532</v>
      </c>
      <c r="F1560" s="3" t="s">
        <v>14206</v>
      </c>
      <c r="H1560" s="3" t="s">
        <v>1328</v>
      </c>
      <c r="K1560" s="2">
        <v>10</v>
      </c>
      <c r="L1560" s="2">
        <v>2</v>
      </c>
      <c r="M1560" s="3" t="s">
        <v>198</v>
      </c>
      <c r="N1560" s="3" t="s">
        <v>1977</v>
      </c>
      <c r="O1560" s="3" t="s">
        <v>1978</v>
      </c>
      <c r="P1560" s="3" t="s">
        <v>1979</v>
      </c>
      <c r="Q1560" s="30" t="str">
        <f t="shared" si="24"/>
        <v>MAX : 11.37
TARGET : 11.31
MIN : 11.25</v>
      </c>
    </row>
    <row r="1561" spans="2:17" ht="41.4" x14ac:dyDescent="0.3">
      <c r="B1561">
        <v>1</v>
      </c>
      <c r="C1561" s="33">
        <v>6801</v>
      </c>
      <c r="D1561" s="2">
        <v>1049</v>
      </c>
      <c r="E1561" s="2" t="s">
        <v>8532</v>
      </c>
      <c r="F1561" s="3" t="s">
        <v>14206</v>
      </c>
      <c r="H1561" s="3" t="s">
        <v>1328</v>
      </c>
      <c r="K1561" s="2">
        <v>20</v>
      </c>
      <c r="L1561" s="2">
        <v>4</v>
      </c>
      <c r="M1561" s="3" t="s">
        <v>1973</v>
      </c>
      <c r="N1561" s="3" t="s">
        <v>13</v>
      </c>
      <c r="O1561" s="3" t="s">
        <v>14</v>
      </c>
      <c r="Q1561" s="30" t="str">
        <f t="shared" si="24"/>
        <v>MAX : 
TARGET : Yes(Pass)
MIN : No(Fail)</v>
      </c>
    </row>
    <row r="1562" spans="2:17" ht="41.4" x14ac:dyDescent="0.3">
      <c r="B1562">
        <v>0</v>
      </c>
      <c r="C1562" s="33">
        <v>7194</v>
      </c>
      <c r="D1562" s="2">
        <v>1089</v>
      </c>
      <c r="E1562" s="2" t="s">
        <v>8939</v>
      </c>
      <c r="F1562" s="3" t="s">
        <v>14207</v>
      </c>
      <c r="H1562" s="3" t="s">
        <v>426</v>
      </c>
      <c r="K1562" s="2">
        <v>20</v>
      </c>
      <c r="L1562" s="2">
        <v>3</v>
      </c>
      <c r="M1562" s="3" t="s">
        <v>78</v>
      </c>
      <c r="N1562" s="3" t="s">
        <v>13</v>
      </c>
      <c r="O1562" s="3" t="s">
        <v>14</v>
      </c>
      <c r="Q1562" s="30" t="str">
        <f t="shared" si="24"/>
        <v>MAX : 
TARGET : Yes(Pass)
MIN : No(Fail)</v>
      </c>
    </row>
    <row r="1563" spans="2:17" ht="41.4" x14ac:dyDescent="0.3">
      <c r="B1563">
        <v>1</v>
      </c>
      <c r="C1563" s="33">
        <v>6801</v>
      </c>
      <c r="D1563" s="2">
        <v>1049</v>
      </c>
      <c r="E1563" s="2" t="s">
        <v>8532</v>
      </c>
      <c r="F1563" s="3" t="s">
        <v>14206</v>
      </c>
      <c r="H1563" s="3" t="s">
        <v>1328</v>
      </c>
      <c r="K1563" s="2">
        <v>10</v>
      </c>
      <c r="L1563" s="2">
        <v>1</v>
      </c>
      <c r="M1563" s="3" t="s">
        <v>194</v>
      </c>
      <c r="N1563" s="3" t="s">
        <v>1974</v>
      </c>
      <c r="O1563" s="3" t="s">
        <v>1975</v>
      </c>
      <c r="P1563" s="3" t="s">
        <v>1976</v>
      </c>
      <c r="Q1563" s="30" t="str">
        <f t="shared" si="24"/>
        <v>MAX : 14.78
TARGET : 14.72
MIN : 14.66</v>
      </c>
    </row>
    <row r="1564" spans="2:17" ht="41.4" x14ac:dyDescent="0.3">
      <c r="B1564">
        <v>1</v>
      </c>
      <c r="C1564" s="33">
        <v>6801</v>
      </c>
      <c r="D1564" s="2">
        <v>1049</v>
      </c>
      <c r="E1564" s="2" t="s">
        <v>8532</v>
      </c>
      <c r="F1564" s="3" t="s">
        <v>14206</v>
      </c>
      <c r="H1564" s="3" t="s">
        <v>1328</v>
      </c>
      <c r="K1564" s="2">
        <v>20</v>
      </c>
      <c r="L1564" s="2">
        <v>3</v>
      </c>
      <c r="M1564" s="3" t="s">
        <v>1972</v>
      </c>
      <c r="N1564" s="3" t="s">
        <v>485</v>
      </c>
      <c r="O1564" s="3" t="s">
        <v>272</v>
      </c>
      <c r="P1564" s="3" t="s">
        <v>507</v>
      </c>
      <c r="Q1564" s="30" t="str">
        <f t="shared" si="24"/>
        <v>MAX : 1.06
TARGET : 1.00
MIN : 0.94</v>
      </c>
    </row>
    <row r="1565" spans="2:17" ht="41.4" x14ac:dyDescent="0.3">
      <c r="B1565">
        <v>0</v>
      </c>
      <c r="C1565" s="33">
        <v>7195</v>
      </c>
      <c r="D1565" s="2">
        <v>1090</v>
      </c>
      <c r="E1565" s="2" t="s">
        <v>8946</v>
      </c>
      <c r="F1565" s="3" t="s">
        <v>14207</v>
      </c>
      <c r="H1565" s="3" t="s">
        <v>426</v>
      </c>
      <c r="K1565" s="2">
        <v>20</v>
      </c>
      <c r="L1565" s="2">
        <v>2</v>
      </c>
      <c r="M1565" s="3" t="s">
        <v>198</v>
      </c>
      <c r="N1565" s="3" t="s">
        <v>1458</v>
      </c>
      <c r="O1565" s="3" t="s">
        <v>1459</v>
      </c>
      <c r="P1565" s="3" t="s">
        <v>2130</v>
      </c>
      <c r="Q1565" s="30" t="str">
        <f t="shared" si="24"/>
        <v>MAX : 72.0
TARGET : 71.0
MIN : 70.0</v>
      </c>
    </row>
    <row r="1566" spans="2:17" ht="41.4" x14ac:dyDescent="0.3">
      <c r="B1566">
        <v>0</v>
      </c>
      <c r="C1566" s="33">
        <v>7195</v>
      </c>
      <c r="D1566" s="2">
        <v>1090</v>
      </c>
      <c r="E1566" s="2" t="s">
        <v>8946</v>
      </c>
      <c r="F1566" s="3" t="s">
        <v>14207</v>
      </c>
      <c r="H1566" s="3" t="s">
        <v>426</v>
      </c>
      <c r="K1566" s="2">
        <v>20</v>
      </c>
      <c r="L1566" s="2">
        <v>3</v>
      </c>
      <c r="M1566" s="3" t="s">
        <v>78</v>
      </c>
      <c r="N1566" s="3" t="s">
        <v>13</v>
      </c>
      <c r="O1566" s="3" t="s">
        <v>14</v>
      </c>
      <c r="Q1566" s="30" t="str">
        <f t="shared" si="24"/>
        <v>MAX : 
TARGET : Yes(Pass)
MIN : No(Fail)</v>
      </c>
    </row>
    <row r="1567" spans="2:17" ht="41.4" x14ac:dyDescent="0.3">
      <c r="B1567">
        <v>1</v>
      </c>
      <c r="C1567" s="33">
        <v>6802</v>
      </c>
      <c r="D1567" s="2">
        <v>1844</v>
      </c>
      <c r="E1567" s="2" t="s">
        <v>8538</v>
      </c>
      <c r="F1567" s="3" t="s">
        <v>14206</v>
      </c>
      <c r="H1567" s="3" t="s">
        <v>491</v>
      </c>
      <c r="K1567" s="2">
        <v>10</v>
      </c>
      <c r="L1567" s="2">
        <v>2</v>
      </c>
      <c r="M1567" s="3" t="s">
        <v>1907</v>
      </c>
      <c r="N1567" s="3" t="s">
        <v>13</v>
      </c>
      <c r="O1567" s="3" t="s">
        <v>14</v>
      </c>
      <c r="Q1567" s="30" t="str">
        <f t="shared" si="24"/>
        <v>MAX : 
TARGET : Yes(Pass)
MIN : No(Fail)</v>
      </c>
    </row>
    <row r="1568" spans="2:17" ht="41.4" x14ac:dyDescent="0.3">
      <c r="B1568">
        <v>0</v>
      </c>
      <c r="C1568" s="33">
        <v>6605</v>
      </c>
      <c r="D1568" s="2">
        <v>1830</v>
      </c>
      <c r="E1568" s="2" t="s">
        <v>8330</v>
      </c>
      <c r="F1568" s="3" t="s">
        <v>14206</v>
      </c>
      <c r="H1568" s="3" t="s">
        <v>1866</v>
      </c>
      <c r="K1568" s="2">
        <v>20</v>
      </c>
      <c r="L1568" s="2">
        <v>4</v>
      </c>
      <c r="M1568" s="3" t="s">
        <v>6056</v>
      </c>
      <c r="N1568" s="3" t="s">
        <v>13</v>
      </c>
      <c r="O1568" s="3" t="s">
        <v>14</v>
      </c>
      <c r="Q1568" s="30" t="str">
        <f t="shared" si="24"/>
        <v>MAX : 
TARGET : Yes(Pass)
MIN : No(Fail)</v>
      </c>
    </row>
    <row r="1569" spans="2:17" ht="41.4" x14ac:dyDescent="0.3">
      <c r="B1569">
        <v>1</v>
      </c>
      <c r="C1569" s="33">
        <v>6802</v>
      </c>
      <c r="D1569" s="2">
        <v>1844</v>
      </c>
      <c r="E1569" s="2" t="s">
        <v>8538</v>
      </c>
      <c r="F1569" s="3" t="s">
        <v>14206</v>
      </c>
      <c r="H1569" s="3" t="s">
        <v>491</v>
      </c>
      <c r="K1569" s="2">
        <v>10</v>
      </c>
      <c r="L1569" s="2">
        <v>1</v>
      </c>
      <c r="M1569" s="3" t="s">
        <v>99</v>
      </c>
      <c r="N1569" s="3" t="s">
        <v>462</v>
      </c>
      <c r="O1569" s="3" t="s">
        <v>424</v>
      </c>
      <c r="P1569" s="3" t="s">
        <v>463</v>
      </c>
      <c r="Q1569" s="30" t="str">
        <f t="shared" si="24"/>
        <v>MAX : 0.28
TARGET : 0.25
MIN : 0.22</v>
      </c>
    </row>
    <row r="1570" spans="2:17" ht="41.4" x14ac:dyDescent="0.3">
      <c r="B1570">
        <v>0</v>
      </c>
      <c r="C1570" s="33">
        <v>7199</v>
      </c>
      <c r="D1570" s="2">
        <v>1870</v>
      </c>
      <c r="E1570" s="2" t="s">
        <v>8959</v>
      </c>
      <c r="F1570" s="3" t="s">
        <v>14206</v>
      </c>
      <c r="H1570" s="3" t="s">
        <v>11</v>
      </c>
      <c r="K1570" s="2">
        <v>10</v>
      </c>
      <c r="L1570" s="2">
        <v>3</v>
      </c>
      <c r="M1570" s="3" t="s">
        <v>611</v>
      </c>
      <c r="N1570" s="3" t="s">
        <v>13</v>
      </c>
      <c r="O1570" s="3" t="s">
        <v>14</v>
      </c>
      <c r="Q1570" s="30" t="str">
        <f t="shared" si="24"/>
        <v>MAX : 
TARGET : Yes(Pass)
MIN : No(Fail)</v>
      </c>
    </row>
    <row r="1571" spans="2:17" ht="41.4" x14ac:dyDescent="0.3">
      <c r="B1571">
        <v>1</v>
      </c>
      <c r="C1571" s="33">
        <v>6813</v>
      </c>
      <c r="D1571" s="2">
        <v>1050</v>
      </c>
      <c r="E1571" s="2" t="s">
        <v>8545</v>
      </c>
      <c r="F1571" s="3" t="s">
        <v>14206</v>
      </c>
      <c r="H1571" s="3" t="s">
        <v>1130</v>
      </c>
      <c r="K1571" s="2">
        <v>20</v>
      </c>
      <c r="L1571" s="2">
        <v>2</v>
      </c>
      <c r="M1571" s="3" t="s">
        <v>1983</v>
      </c>
      <c r="N1571" s="3" t="s">
        <v>485</v>
      </c>
      <c r="O1571" s="3" t="s">
        <v>272</v>
      </c>
      <c r="P1571" s="3" t="s">
        <v>507</v>
      </c>
      <c r="Q1571" s="30" t="str">
        <f t="shared" si="24"/>
        <v>MAX : 1.06
TARGET : 1.00
MIN : 0.94</v>
      </c>
    </row>
    <row r="1572" spans="2:17" ht="41.4" x14ac:dyDescent="0.3">
      <c r="B1572">
        <v>1</v>
      </c>
      <c r="C1572" s="33">
        <v>6813</v>
      </c>
      <c r="D1572" s="2">
        <v>1050</v>
      </c>
      <c r="E1572" s="2" t="s">
        <v>8545</v>
      </c>
      <c r="F1572" s="3" t="s">
        <v>14206</v>
      </c>
      <c r="H1572" s="3" t="s">
        <v>1130</v>
      </c>
      <c r="K1572" s="2">
        <v>10</v>
      </c>
      <c r="L1572" s="2">
        <v>1</v>
      </c>
      <c r="M1572" s="3" t="s">
        <v>1982</v>
      </c>
      <c r="N1572" s="3" t="s">
        <v>13</v>
      </c>
      <c r="O1572" s="3" t="s">
        <v>14</v>
      </c>
      <c r="Q1572" s="30" t="str">
        <f t="shared" si="24"/>
        <v>MAX : 
TARGET : Yes(Pass)
MIN : No(Fail)</v>
      </c>
    </row>
    <row r="1573" spans="2:17" ht="41.4" x14ac:dyDescent="0.3">
      <c r="B1573">
        <v>0</v>
      </c>
      <c r="C1573" s="33">
        <v>7211</v>
      </c>
      <c r="D1573" s="2">
        <v>1092</v>
      </c>
      <c r="E1573" s="2" t="s">
        <v>8965</v>
      </c>
      <c r="F1573" s="3" t="s">
        <v>14206</v>
      </c>
      <c r="H1573" s="3" t="s">
        <v>2116</v>
      </c>
      <c r="K1573" s="2">
        <v>20</v>
      </c>
      <c r="L1573" s="2">
        <v>5</v>
      </c>
      <c r="M1573" s="3" t="s">
        <v>2135</v>
      </c>
      <c r="N1573" s="3" t="s">
        <v>13</v>
      </c>
      <c r="O1573" s="3" t="s">
        <v>14</v>
      </c>
      <c r="Q1573" s="30" t="str">
        <f t="shared" si="24"/>
        <v>MAX : 
TARGET : Yes(Pass)
MIN : No(Fail)</v>
      </c>
    </row>
    <row r="1574" spans="2:17" ht="41.4" x14ac:dyDescent="0.3">
      <c r="B1574">
        <v>0</v>
      </c>
      <c r="C1574" s="33">
        <v>7211</v>
      </c>
      <c r="D1574" s="2">
        <v>1092</v>
      </c>
      <c r="E1574" s="2" t="s">
        <v>8965</v>
      </c>
      <c r="F1574" s="3" t="s">
        <v>14206</v>
      </c>
      <c r="H1574" s="3" t="s">
        <v>2116</v>
      </c>
      <c r="K1574" s="2">
        <v>20</v>
      </c>
      <c r="L1574" s="2">
        <v>6</v>
      </c>
      <c r="M1574" s="3" t="s">
        <v>2136</v>
      </c>
      <c r="N1574" s="3" t="s">
        <v>13</v>
      </c>
      <c r="O1574" s="3" t="s">
        <v>14</v>
      </c>
      <c r="Q1574" s="30" t="str">
        <f t="shared" si="24"/>
        <v>MAX : 
TARGET : Yes(Pass)
MIN : No(Fail)</v>
      </c>
    </row>
    <row r="1575" spans="2:17" ht="41.4" x14ac:dyDescent="0.3">
      <c r="B1575">
        <v>0</v>
      </c>
      <c r="C1575" s="33">
        <v>7211</v>
      </c>
      <c r="D1575" s="2">
        <v>1092</v>
      </c>
      <c r="E1575" s="2" t="s">
        <v>8965</v>
      </c>
      <c r="F1575" s="3" t="s">
        <v>14206</v>
      </c>
      <c r="H1575" s="3" t="s">
        <v>2116</v>
      </c>
      <c r="K1575" s="2">
        <v>20</v>
      </c>
      <c r="L1575" s="2">
        <v>7</v>
      </c>
      <c r="M1575" s="3" t="s">
        <v>2137</v>
      </c>
      <c r="N1575" s="3" t="s">
        <v>13</v>
      </c>
      <c r="O1575" s="3" t="s">
        <v>14</v>
      </c>
      <c r="Q1575" s="30" t="str">
        <f t="shared" si="24"/>
        <v>MAX : 
TARGET : Yes(Pass)
MIN : No(Fail)</v>
      </c>
    </row>
    <row r="1576" spans="2:17" ht="41.4" x14ac:dyDescent="0.3">
      <c r="B1576">
        <v>1</v>
      </c>
      <c r="C1576" s="33">
        <v>6814</v>
      </c>
      <c r="D1576" s="2">
        <v>1051</v>
      </c>
      <c r="E1576" s="2" t="s">
        <v>8552</v>
      </c>
      <c r="F1576" s="3" t="s">
        <v>14206</v>
      </c>
      <c r="H1576" s="3" t="s">
        <v>1130</v>
      </c>
      <c r="K1576" s="2">
        <v>20</v>
      </c>
      <c r="L1576" s="2">
        <v>2</v>
      </c>
      <c r="M1576" s="3" t="s">
        <v>1983</v>
      </c>
      <c r="N1576" s="3" t="s">
        <v>900</v>
      </c>
      <c r="O1576" s="3" t="s">
        <v>28</v>
      </c>
      <c r="P1576" s="3" t="s">
        <v>901</v>
      </c>
      <c r="Q1576" s="30" t="str">
        <f t="shared" si="24"/>
        <v>MAX : 1.56
TARGET : 1.50
MIN : 1.44</v>
      </c>
    </row>
    <row r="1577" spans="2:17" ht="41.4" x14ac:dyDescent="0.3">
      <c r="B1577">
        <v>1</v>
      </c>
      <c r="C1577" s="33">
        <v>6814</v>
      </c>
      <c r="D1577" s="2">
        <v>1051</v>
      </c>
      <c r="E1577" s="2" t="s">
        <v>8552</v>
      </c>
      <c r="F1577" s="3" t="s">
        <v>14206</v>
      </c>
      <c r="H1577" s="3" t="s">
        <v>1130</v>
      </c>
      <c r="K1577" s="2">
        <v>10</v>
      </c>
      <c r="L1577" s="2">
        <v>1</v>
      </c>
      <c r="M1577" s="3" t="s">
        <v>1982</v>
      </c>
      <c r="N1577" s="3" t="s">
        <v>13</v>
      </c>
      <c r="O1577" s="3" t="s">
        <v>14</v>
      </c>
      <c r="Q1577" s="30" t="str">
        <f t="shared" si="24"/>
        <v>MAX : 
TARGET : Yes(Pass)
MIN : No(Fail)</v>
      </c>
    </row>
    <row r="1578" spans="2:17" ht="41.4" x14ac:dyDescent="0.3">
      <c r="B1578">
        <v>0</v>
      </c>
      <c r="C1578" s="33">
        <v>7233</v>
      </c>
      <c r="D1578" s="2">
        <v>1093</v>
      </c>
      <c r="E1578" s="2" t="s">
        <v>8980</v>
      </c>
      <c r="F1578" s="3" t="s">
        <v>14207</v>
      </c>
      <c r="H1578" s="3" t="s">
        <v>2138</v>
      </c>
      <c r="K1578" s="2">
        <v>10</v>
      </c>
      <c r="L1578" s="2">
        <v>3</v>
      </c>
      <c r="M1578" s="3" t="s">
        <v>2142</v>
      </c>
      <c r="N1578" s="3" t="s">
        <v>13</v>
      </c>
      <c r="O1578" s="3" t="s">
        <v>14</v>
      </c>
      <c r="Q1578" s="30" t="str">
        <f t="shared" si="24"/>
        <v>MAX : 
TARGET : Yes(Pass)
MIN : No(Fail)</v>
      </c>
    </row>
    <row r="1579" spans="2:17" ht="41.4" x14ac:dyDescent="0.3">
      <c r="B1579">
        <v>0</v>
      </c>
      <c r="C1579" s="33">
        <v>7233</v>
      </c>
      <c r="D1579" s="2">
        <v>1093</v>
      </c>
      <c r="E1579" s="2" t="s">
        <v>8980</v>
      </c>
      <c r="F1579" s="3" t="s">
        <v>14207</v>
      </c>
      <c r="H1579" s="3" t="s">
        <v>2138</v>
      </c>
      <c r="K1579" s="2">
        <v>20</v>
      </c>
      <c r="L1579" s="2">
        <v>1</v>
      </c>
      <c r="M1579" s="3" t="s">
        <v>2143</v>
      </c>
      <c r="N1579" s="3" t="s">
        <v>13</v>
      </c>
      <c r="O1579" s="3" t="s">
        <v>14</v>
      </c>
      <c r="Q1579" s="30" t="str">
        <f t="shared" si="24"/>
        <v>MAX : 
TARGET : Yes(Pass)
MIN : No(Fail)</v>
      </c>
    </row>
    <row r="1580" spans="2:17" ht="41.4" x14ac:dyDescent="0.3">
      <c r="B1580">
        <v>1</v>
      </c>
      <c r="C1580" s="33">
        <v>6815</v>
      </c>
      <c r="D1580" s="2">
        <v>1052</v>
      </c>
      <c r="E1580" s="2" t="s">
        <v>8558</v>
      </c>
      <c r="F1580" s="3" t="s">
        <v>14206</v>
      </c>
      <c r="H1580" s="3" t="s">
        <v>1130</v>
      </c>
      <c r="K1580" s="2">
        <v>20</v>
      </c>
      <c r="L1580" s="2">
        <v>2</v>
      </c>
      <c r="M1580" s="3" t="s">
        <v>1983</v>
      </c>
      <c r="N1580" s="3" t="s">
        <v>485</v>
      </c>
      <c r="O1580" s="3" t="s">
        <v>272</v>
      </c>
      <c r="P1580" s="3" t="s">
        <v>507</v>
      </c>
      <c r="Q1580" s="30" t="str">
        <f t="shared" si="24"/>
        <v>MAX : 1.06
TARGET : 1.00
MIN : 0.94</v>
      </c>
    </row>
    <row r="1581" spans="2:17" ht="41.4" x14ac:dyDescent="0.3">
      <c r="B1581">
        <v>1</v>
      </c>
      <c r="C1581" s="33">
        <v>6815</v>
      </c>
      <c r="D1581" s="2">
        <v>1052</v>
      </c>
      <c r="E1581" s="2" t="s">
        <v>8558</v>
      </c>
      <c r="F1581" s="3" t="s">
        <v>14206</v>
      </c>
      <c r="H1581" s="3" t="s">
        <v>1130</v>
      </c>
      <c r="K1581" s="2">
        <v>10</v>
      </c>
      <c r="L1581" s="2">
        <v>1</v>
      </c>
      <c r="M1581" s="3" t="s">
        <v>1982</v>
      </c>
      <c r="N1581" s="3" t="s">
        <v>13</v>
      </c>
      <c r="O1581" s="3" t="s">
        <v>14</v>
      </c>
      <c r="Q1581" s="30" t="str">
        <f t="shared" si="24"/>
        <v>MAX : 
TARGET : Yes(Pass)
MIN : No(Fail)</v>
      </c>
    </row>
    <row r="1582" spans="2:17" ht="41.4" x14ac:dyDescent="0.3">
      <c r="B1582">
        <v>1</v>
      </c>
      <c r="C1582" s="33">
        <v>6816</v>
      </c>
      <c r="D1582" s="2">
        <v>1053</v>
      </c>
      <c r="E1582" s="2" t="s">
        <v>8564</v>
      </c>
      <c r="F1582" s="3" t="s">
        <v>14206</v>
      </c>
      <c r="H1582" s="3" t="s">
        <v>1130</v>
      </c>
      <c r="K1582" s="2">
        <v>20</v>
      </c>
      <c r="L1582" s="2">
        <v>2</v>
      </c>
      <c r="M1582" s="3" t="s">
        <v>1983</v>
      </c>
      <c r="N1582" s="3" t="s">
        <v>900</v>
      </c>
      <c r="O1582" s="3" t="s">
        <v>28</v>
      </c>
      <c r="P1582" s="3" t="s">
        <v>901</v>
      </c>
      <c r="Q1582" s="30" t="str">
        <f t="shared" si="24"/>
        <v>MAX : 1.56
TARGET : 1.50
MIN : 1.44</v>
      </c>
    </row>
    <row r="1583" spans="2:17" ht="41.4" x14ac:dyDescent="0.3">
      <c r="B1583">
        <v>1</v>
      </c>
      <c r="C1583" s="33">
        <v>6816</v>
      </c>
      <c r="D1583" s="2">
        <v>1053</v>
      </c>
      <c r="E1583" s="2" t="s">
        <v>8564</v>
      </c>
      <c r="F1583" s="3" t="s">
        <v>14206</v>
      </c>
      <c r="H1583" s="3" t="s">
        <v>1130</v>
      </c>
      <c r="K1583" s="2">
        <v>10</v>
      </c>
      <c r="L1583" s="2">
        <v>1</v>
      </c>
      <c r="M1583" s="3" t="s">
        <v>1982</v>
      </c>
      <c r="N1583" s="3" t="s">
        <v>13</v>
      </c>
      <c r="O1583" s="3" t="s">
        <v>14</v>
      </c>
      <c r="Q1583" s="30" t="str">
        <f t="shared" si="24"/>
        <v>MAX : 
TARGET : Yes(Pass)
MIN : No(Fail)</v>
      </c>
    </row>
    <row r="1584" spans="2:17" ht="41.4" x14ac:dyDescent="0.3">
      <c r="B1584">
        <v>1</v>
      </c>
      <c r="C1584" s="33">
        <v>6817</v>
      </c>
      <c r="D1584" s="2">
        <v>1054</v>
      </c>
      <c r="E1584" s="2" t="s">
        <v>8570</v>
      </c>
      <c r="F1584" s="3" t="s">
        <v>14206</v>
      </c>
      <c r="H1584" s="3" t="s">
        <v>1130</v>
      </c>
      <c r="K1584" s="2">
        <v>20</v>
      </c>
      <c r="L1584" s="2">
        <v>1</v>
      </c>
      <c r="M1584" s="3" t="s">
        <v>1983</v>
      </c>
      <c r="N1584" s="3" t="s">
        <v>485</v>
      </c>
      <c r="O1584" s="3" t="s">
        <v>272</v>
      </c>
      <c r="P1584" s="3" t="s">
        <v>507</v>
      </c>
      <c r="Q1584" s="30" t="str">
        <f t="shared" si="24"/>
        <v>MAX : 1.06
TARGET : 1.00
MIN : 0.94</v>
      </c>
    </row>
    <row r="1585" spans="2:18" ht="41.4" x14ac:dyDescent="0.3">
      <c r="B1585">
        <v>0</v>
      </c>
      <c r="C1585" s="33">
        <v>7262</v>
      </c>
      <c r="D1585" s="2">
        <v>1094</v>
      </c>
      <c r="E1585" s="2" t="s">
        <v>8988</v>
      </c>
      <c r="F1585" s="3" t="s">
        <v>14206</v>
      </c>
      <c r="H1585" s="3" t="s">
        <v>1328</v>
      </c>
      <c r="K1585" s="2">
        <v>20</v>
      </c>
      <c r="L1585" s="2">
        <v>2</v>
      </c>
      <c r="M1585" s="3" t="s">
        <v>2149</v>
      </c>
      <c r="N1585" s="3" t="s">
        <v>485</v>
      </c>
      <c r="O1585" s="3" t="s">
        <v>272</v>
      </c>
      <c r="P1585" s="3" t="s">
        <v>507</v>
      </c>
      <c r="Q1585" s="30" t="str">
        <f t="shared" si="24"/>
        <v>MAX : 1.06
TARGET : 1.00
MIN : 0.94</v>
      </c>
    </row>
    <row r="1586" spans="2:18" ht="41.4" x14ac:dyDescent="0.3">
      <c r="B1586">
        <v>1</v>
      </c>
      <c r="C1586" s="33">
        <v>6817</v>
      </c>
      <c r="D1586" s="2">
        <v>1054</v>
      </c>
      <c r="E1586" s="2" t="s">
        <v>8570</v>
      </c>
      <c r="F1586" s="3" t="s">
        <v>14206</v>
      </c>
      <c r="H1586" s="3" t="s">
        <v>1130</v>
      </c>
      <c r="K1586" s="2">
        <v>10</v>
      </c>
      <c r="L1586" s="2">
        <v>1</v>
      </c>
      <c r="M1586" s="3" t="s">
        <v>1982</v>
      </c>
      <c r="N1586" s="3" t="s">
        <v>13</v>
      </c>
      <c r="O1586" s="3" t="s">
        <v>14</v>
      </c>
      <c r="Q1586" s="30" t="str">
        <f t="shared" si="24"/>
        <v>MAX : 
TARGET : Yes(Pass)
MIN : No(Fail)</v>
      </c>
    </row>
    <row r="1587" spans="2:18" ht="41.4" x14ac:dyDescent="0.3">
      <c r="B1587">
        <v>1</v>
      </c>
      <c r="C1587" s="33">
        <v>6818</v>
      </c>
      <c r="D1587" s="2">
        <v>1055</v>
      </c>
      <c r="E1587" s="2" t="s">
        <v>8576</v>
      </c>
      <c r="F1587" s="3" t="s">
        <v>14206</v>
      </c>
      <c r="H1587" s="3" t="s">
        <v>1130</v>
      </c>
      <c r="K1587" s="2">
        <v>20</v>
      </c>
      <c r="L1587" s="2">
        <v>2</v>
      </c>
      <c r="M1587" s="3" t="s">
        <v>1983</v>
      </c>
      <c r="N1587" s="3" t="s">
        <v>900</v>
      </c>
      <c r="O1587" s="3" t="s">
        <v>28</v>
      </c>
      <c r="P1587" s="3" t="s">
        <v>901</v>
      </c>
      <c r="Q1587" s="30" t="str">
        <f t="shared" si="24"/>
        <v>MAX : 1.56
TARGET : 1.50
MIN : 1.44</v>
      </c>
    </row>
    <row r="1588" spans="2:18" ht="41.4" x14ac:dyDescent="0.3">
      <c r="B1588">
        <v>0</v>
      </c>
      <c r="C1588" s="33">
        <v>7263</v>
      </c>
      <c r="D1588" s="2">
        <v>1095</v>
      </c>
      <c r="E1588" s="2" t="s">
        <v>8995</v>
      </c>
      <c r="F1588" s="3" t="s">
        <v>14206</v>
      </c>
      <c r="H1588" s="3" t="s">
        <v>1328</v>
      </c>
      <c r="K1588" s="2">
        <v>20</v>
      </c>
      <c r="L1588" s="2">
        <v>2</v>
      </c>
      <c r="M1588" s="3" t="s">
        <v>2149</v>
      </c>
      <c r="N1588" s="3" t="s">
        <v>485</v>
      </c>
      <c r="O1588" s="3" t="s">
        <v>272</v>
      </c>
      <c r="P1588" s="3" t="s">
        <v>507</v>
      </c>
      <c r="Q1588" s="30" t="str">
        <f t="shared" si="24"/>
        <v>MAX : 1.06
TARGET : 1.00
MIN : 0.94</v>
      </c>
    </row>
    <row r="1589" spans="2:18" ht="41.4" x14ac:dyDescent="0.3">
      <c r="B1589">
        <v>1</v>
      </c>
      <c r="C1589" s="33">
        <v>6818</v>
      </c>
      <c r="D1589" s="2">
        <v>1055</v>
      </c>
      <c r="E1589" s="2" t="s">
        <v>8576</v>
      </c>
      <c r="F1589" s="3" t="s">
        <v>14206</v>
      </c>
      <c r="H1589" s="3" t="s">
        <v>1130</v>
      </c>
      <c r="K1589" s="2">
        <v>10</v>
      </c>
      <c r="L1589" s="2">
        <v>1</v>
      </c>
      <c r="M1589" s="3" t="s">
        <v>1982</v>
      </c>
      <c r="N1589" s="3" t="s">
        <v>13</v>
      </c>
      <c r="O1589" s="3" t="s">
        <v>14</v>
      </c>
      <c r="Q1589" s="30" t="str">
        <f t="shared" si="24"/>
        <v>MAX : 
TARGET : Yes(Pass)
MIN : No(Fail)</v>
      </c>
    </row>
    <row r="1590" spans="2:18" ht="41.4" x14ac:dyDescent="0.3">
      <c r="B1590">
        <v>1</v>
      </c>
      <c r="C1590" s="33">
        <v>6819</v>
      </c>
      <c r="D1590" s="2">
        <v>1056</v>
      </c>
      <c r="E1590" s="2" t="s">
        <v>8581</v>
      </c>
      <c r="F1590" s="3" t="s">
        <v>14206</v>
      </c>
      <c r="H1590" s="3" t="s">
        <v>1130</v>
      </c>
      <c r="K1590" s="2">
        <v>20</v>
      </c>
      <c r="L1590" s="2">
        <v>2</v>
      </c>
      <c r="M1590" s="3" t="s">
        <v>1983</v>
      </c>
      <c r="N1590" s="3" t="s">
        <v>485</v>
      </c>
      <c r="O1590" s="3" t="s">
        <v>272</v>
      </c>
      <c r="P1590" s="3" t="s">
        <v>507</v>
      </c>
      <c r="Q1590" s="30" t="str">
        <f t="shared" si="24"/>
        <v>MAX : 1.06
TARGET : 1.00
MIN : 0.94</v>
      </c>
    </row>
    <row r="1591" spans="2:18" ht="41.4" x14ac:dyDescent="0.3">
      <c r="B1591">
        <v>0</v>
      </c>
      <c r="C1591" s="33">
        <v>7264</v>
      </c>
      <c r="D1591" s="2">
        <v>1096</v>
      </c>
      <c r="E1591" s="2" t="s">
        <v>9001</v>
      </c>
      <c r="F1591" s="3" t="s">
        <v>14206</v>
      </c>
      <c r="H1591" s="3" t="s">
        <v>2150</v>
      </c>
      <c r="K1591" s="2">
        <v>20</v>
      </c>
      <c r="L1591" s="2">
        <v>2</v>
      </c>
      <c r="M1591" s="3" t="s">
        <v>2149</v>
      </c>
      <c r="N1591" s="3" t="s">
        <v>485</v>
      </c>
      <c r="O1591" s="3" t="s">
        <v>272</v>
      </c>
      <c r="P1591" s="3" t="s">
        <v>507</v>
      </c>
      <c r="Q1591" s="30" t="str">
        <f t="shared" si="24"/>
        <v>MAX : 1.06
TARGET : 1.00
MIN : 0.94</v>
      </c>
    </row>
    <row r="1592" spans="2:18" ht="41.4" x14ac:dyDescent="0.3">
      <c r="B1592">
        <v>1</v>
      </c>
      <c r="C1592" s="33">
        <v>6819</v>
      </c>
      <c r="D1592" s="2">
        <v>1056</v>
      </c>
      <c r="E1592" s="2" t="s">
        <v>8581</v>
      </c>
      <c r="F1592" s="3" t="s">
        <v>14206</v>
      </c>
      <c r="H1592" s="3" t="s">
        <v>1130</v>
      </c>
      <c r="K1592" s="2">
        <v>10</v>
      </c>
      <c r="L1592" s="2">
        <v>1</v>
      </c>
      <c r="M1592" s="3" t="s">
        <v>1982</v>
      </c>
      <c r="N1592" s="3" t="s">
        <v>13</v>
      </c>
      <c r="O1592" s="3" t="s">
        <v>14</v>
      </c>
      <c r="Q1592" s="30" t="str">
        <f t="shared" si="24"/>
        <v>MAX : 
TARGET : Yes(Pass)
MIN : No(Fail)</v>
      </c>
    </row>
    <row r="1593" spans="2:18" ht="41.4" x14ac:dyDescent="0.3">
      <c r="B1593">
        <v>1</v>
      </c>
      <c r="C1593" s="33">
        <v>6820</v>
      </c>
      <c r="D1593" s="2">
        <v>1057</v>
      </c>
      <c r="E1593" s="2" t="s">
        <v>8586</v>
      </c>
      <c r="F1593" s="3" t="s">
        <v>14206</v>
      </c>
      <c r="H1593" s="3" t="s">
        <v>1130</v>
      </c>
      <c r="K1593" s="2">
        <v>20</v>
      </c>
      <c r="L1593" s="2">
        <v>2</v>
      </c>
      <c r="M1593" s="3" t="s">
        <v>1983</v>
      </c>
      <c r="N1593" s="3" t="s">
        <v>900</v>
      </c>
      <c r="O1593" s="3" t="s">
        <v>28</v>
      </c>
      <c r="P1593" s="3" t="s">
        <v>901</v>
      </c>
      <c r="Q1593" s="30" t="str">
        <f t="shared" si="24"/>
        <v>MAX : 1.56
TARGET : 1.50
MIN : 1.44</v>
      </c>
    </row>
    <row r="1594" spans="2:18" ht="41.4" x14ac:dyDescent="0.3">
      <c r="B1594">
        <v>0</v>
      </c>
      <c r="C1594" s="33">
        <v>7274</v>
      </c>
      <c r="D1594" s="2">
        <v>1099</v>
      </c>
      <c r="E1594" s="2" t="s">
        <v>9022</v>
      </c>
      <c r="F1594" s="3" t="s">
        <v>14207</v>
      </c>
      <c r="H1594" s="3" t="s">
        <v>2151</v>
      </c>
      <c r="K1594" s="2">
        <v>10</v>
      </c>
      <c r="L1594" s="2">
        <v>2</v>
      </c>
      <c r="M1594" s="3" t="s">
        <v>2154</v>
      </c>
      <c r="N1594" s="3" t="s">
        <v>2155</v>
      </c>
      <c r="O1594" s="3" t="s">
        <v>329</v>
      </c>
      <c r="P1594" s="3" t="s">
        <v>330</v>
      </c>
      <c r="Q1594" s="30" t="str">
        <f t="shared" si="24"/>
        <v>MAX : 22.46
TARGET : 22.33
MIN : 22.20</v>
      </c>
      <c r="R1594" s="3" t="s">
        <v>443</v>
      </c>
    </row>
    <row r="1595" spans="2:18" ht="41.4" x14ac:dyDescent="0.3">
      <c r="B1595">
        <v>0</v>
      </c>
      <c r="C1595" s="33">
        <v>7274</v>
      </c>
      <c r="D1595" s="2">
        <v>1099</v>
      </c>
      <c r="E1595" s="2" t="s">
        <v>9022</v>
      </c>
      <c r="F1595" s="3" t="s">
        <v>14207</v>
      </c>
      <c r="H1595" s="3" t="s">
        <v>2151</v>
      </c>
      <c r="K1595" s="2">
        <v>10</v>
      </c>
      <c r="L1595" s="2">
        <v>11</v>
      </c>
      <c r="M1595" s="3" t="s">
        <v>2156</v>
      </c>
      <c r="N1595" s="3" t="s">
        <v>339</v>
      </c>
      <c r="O1595" s="3" t="s">
        <v>340</v>
      </c>
      <c r="P1595" s="3" t="s">
        <v>163</v>
      </c>
      <c r="Q1595" s="30" t="str">
        <f t="shared" si="24"/>
        <v>MAX : 3.75
TARGET : 3.50
MIN : 3.25</v>
      </c>
      <c r="R1595" s="3" t="s">
        <v>443</v>
      </c>
    </row>
    <row r="1596" spans="2:18" ht="41.4" x14ac:dyDescent="0.3">
      <c r="B1596">
        <v>0</v>
      </c>
      <c r="C1596" s="33">
        <v>7274</v>
      </c>
      <c r="D1596" s="2">
        <v>1099</v>
      </c>
      <c r="E1596" s="2" t="s">
        <v>9022</v>
      </c>
      <c r="F1596" s="3" t="s">
        <v>14207</v>
      </c>
      <c r="H1596" s="3" t="s">
        <v>2151</v>
      </c>
      <c r="K1596" s="2">
        <v>10</v>
      </c>
      <c r="L1596" s="2">
        <v>14</v>
      </c>
      <c r="M1596" s="3" t="s">
        <v>2157</v>
      </c>
      <c r="N1596" s="3" t="s">
        <v>2158</v>
      </c>
      <c r="O1596" s="3" t="s">
        <v>2159</v>
      </c>
      <c r="P1596" s="3" t="s">
        <v>2005</v>
      </c>
      <c r="Q1596" s="30" t="str">
        <f t="shared" si="24"/>
        <v>MAX : 6.39
TARGET : 6.26
MIN : 6.13</v>
      </c>
      <c r="R1596" s="3" t="s">
        <v>443</v>
      </c>
    </row>
    <row r="1597" spans="2:18" ht="41.4" x14ac:dyDescent="0.3">
      <c r="B1597">
        <v>0</v>
      </c>
      <c r="C1597" s="33">
        <v>7274</v>
      </c>
      <c r="D1597" s="2">
        <v>1099</v>
      </c>
      <c r="E1597" s="2" t="s">
        <v>9022</v>
      </c>
      <c r="F1597" s="3" t="s">
        <v>14207</v>
      </c>
      <c r="H1597" s="3" t="s">
        <v>2151</v>
      </c>
      <c r="K1597" s="2">
        <v>10</v>
      </c>
      <c r="L1597" s="2">
        <v>10</v>
      </c>
      <c r="M1597" s="3" t="s">
        <v>335</v>
      </c>
      <c r="N1597" s="3" t="s">
        <v>336</v>
      </c>
      <c r="O1597" s="3" t="s">
        <v>337</v>
      </c>
      <c r="P1597" s="3" t="s">
        <v>338</v>
      </c>
      <c r="Q1597" s="30" t="str">
        <f t="shared" si="24"/>
        <v>MAX : 19.89
TARGET : 19.76
MIN : 19.63</v>
      </c>
      <c r="R1597" s="3" t="s">
        <v>443</v>
      </c>
    </row>
    <row r="1598" spans="2:18" ht="41.4" x14ac:dyDescent="0.3">
      <c r="B1598">
        <v>0</v>
      </c>
      <c r="C1598" s="33">
        <v>7274</v>
      </c>
      <c r="D1598" s="2">
        <v>1099</v>
      </c>
      <c r="E1598" s="2" t="s">
        <v>9022</v>
      </c>
      <c r="F1598" s="3" t="s">
        <v>14207</v>
      </c>
      <c r="H1598" s="3" t="s">
        <v>2151</v>
      </c>
      <c r="K1598" s="2">
        <v>10</v>
      </c>
      <c r="L1598" s="2">
        <v>6</v>
      </c>
      <c r="M1598" s="3" t="s">
        <v>354</v>
      </c>
      <c r="N1598" s="3" t="s">
        <v>355</v>
      </c>
      <c r="O1598" s="3" t="s">
        <v>356</v>
      </c>
      <c r="P1598" s="3" t="s">
        <v>357</v>
      </c>
      <c r="Q1598" s="30" t="str">
        <f t="shared" si="24"/>
        <v>MAX : 6.48
TARGET : 6.23
MIN : 5.98</v>
      </c>
      <c r="R1598" s="3" t="s">
        <v>443</v>
      </c>
    </row>
    <row r="1599" spans="2:18" ht="41.4" x14ac:dyDescent="0.3">
      <c r="B1599">
        <v>0</v>
      </c>
      <c r="C1599" s="33">
        <v>7274</v>
      </c>
      <c r="D1599" s="2">
        <v>1099</v>
      </c>
      <c r="E1599" s="2" t="s">
        <v>9022</v>
      </c>
      <c r="F1599" s="3" t="s">
        <v>14207</v>
      </c>
      <c r="H1599" s="3" t="s">
        <v>2151</v>
      </c>
      <c r="K1599" s="2">
        <v>10</v>
      </c>
      <c r="L1599" s="2">
        <v>8</v>
      </c>
      <c r="M1599" s="3" t="s">
        <v>351</v>
      </c>
      <c r="N1599" s="3" t="s">
        <v>2160</v>
      </c>
      <c r="O1599" s="3" t="s">
        <v>352</v>
      </c>
      <c r="P1599" s="3" t="s">
        <v>353</v>
      </c>
      <c r="Q1599" s="30" t="str">
        <f t="shared" si="24"/>
        <v>MAX : 5.96
TARGET : 5.71
MIN : 5.46</v>
      </c>
      <c r="R1599" s="3" t="s">
        <v>443</v>
      </c>
    </row>
    <row r="1600" spans="2:18" ht="41.4" x14ac:dyDescent="0.3">
      <c r="B1600">
        <v>0</v>
      </c>
      <c r="C1600" s="33">
        <v>7274</v>
      </c>
      <c r="D1600" s="2">
        <v>1099</v>
      </c>
      <c r="E1600" s="2" t="s">
        <v>9022</v>
      </c>
      <c r="F1600" s="3" t="s">
        <v>14207</v>
      </c>
      <c r="H1600" s="3" t="s">
        <v>2151</v>
      </c>
      <c r="K1600" s="2">
        <v>10</v>
      </c>
      <c r="L1600" s="2">
        <v>5</v>
      </c>
      <c r="M1600" s="3" t="s">
        <v>2161</v>
      </c>
      <c r="N1600" s="3" t="s">
        <v>2162</v>
      </c>
      <c r="O1600" s="3" t="s">
        <v>2163</v>
      </c>
      <c r="P1600" s="3" t="s">
        <v>2164</v>
      </c>
      <c r="Q1600" s="30" t="str">
        <f t="shared" si="24"/>
        <v>MAX : 26.58
TARGET : 26.33
MIN : 26.08</v>
      </c>
      <c r="R1600" s="3" t="s">
        <v>443</v>
      </c>
    </row>
    <row r="1601" spans="2:18" ht="41.4" x14ac:dyDescent="0.3">
      <c r="B1601">
        <v>0</v>
      </c>
      <c r="C1601" s="33">
        <v>7274</v>
      </c>
      <c r="D1601" s="2">
        <v>1099</v>
      </c>
      <c r="E1601" s="2" t="s">
        <v>9022</v>
      </c>
      <c r="F1601" s="3" t="s">
        <v>14207</v>
      </c>
      <c r="H1601" s="3" t="s">
        <v>2151</v>
      </c>
      <c r="K1601" s="2">
        <v>10</v>
      </c>
      <c r="L1601" s="2">
        <v>7</v>
      </c>
      <c r="M1601" s="3" t="s">
        <v>2165</v>
      </c>
      <c r="N1601" s="3" t="s">
        <v>2166</v>
      </c>
      <c r="O1601" s="3" t="s">
        <v>2167</v>
      </c>
      <c r="P1601" s="3" t="s">
        <v>2168</v>
      </c>
      <c r="Q1601" s="30" t="str">
        <f t="shared" si="24"/>
        <v>MAX : 31.83
TARGET : 31.70
MIN : 31.59</v>
      </c>
      <c r="R1601" s="3" t="s">
        <v>443</v>
      </c>
    </row>
    <row r="1602" spans="2:18" ht="41.4" x14ac:dyDescent="0.3">
      <c r="B1602">
        <v>0</v>
      </c>
      <c r="C1602" s="33">
        <v>7274</v>
      </c>
      <c r="D1602" s="2">
        <v>1099</v>
      </c>
      <c r="E1602" s="2" t="s">
        <v>9022</v>
      </c>
      <c r="F1602" s="3" t="s">
        <v>14207</v>
      </c>
      <c r="H1602" s="3" t="s">
        <v>2151</v>
      </c>
      <c r="K1602" s="2">
        <v>10</v>
      </c>
      <c r="L1602" s="2">
        <v>15</v>
      </c>
      <c r="M1602" s="3" t="s">
        <v>2169</v>
      </c>
      <c r="O1602" s="3" t="s">
        <v>38</v>
      </c>
      <c r="P1602" s="3" t="s">
        <v>39</v>
      </c>
      <c r="Q1602" s="30" t="str">
        <f t="shared" ref="Q1602:Q1665" si="25">"MAX : " &amp; P1602 &amp; CHAR(10) &amp; "TARGET : " &amp; O1602 &amp; CHAR(10) &amp; "MIN : " &amp; N1602</f>
        <v xml:space="preserve">MAX : Yes(Fail)
TARGET : No(Pass)
MIN : </v>
      </c>
      <c r="R1602" s="3" t="s">
        <v>443</v>
      </c>
    </row>
    <row r="1603" spans="2:18" ht="41.4" x14ac:dyDescent="0.3">
      <c r="B1603">
        <v>0</v>
      </c>
      <c r="C1603" s="33">
        <v>7274</v>
      </c>
      <c r="D1603" s="2">
        <v>1099</v>
      </c>
      <c r="E1603" s="2" t="s">
        <v>9022</v>
      </c>
      <c r="F1603" s="3" t="s">
        <v>14207</v>
      </c>
      <c r="H1603" s="3" t="s">
        <v>2151</v>
      </c>
      <c r="K1603" s="2">
        <v>10</v>
      </c>
      <c r="L1603" s="2">
        <v>16</v>
      </c>
      <c r="M1603" s="3" t="s">
        <v>361</v>
      </c>
      <c r="O1603" s="3" t="s">
        <v>38</v>
      </c>
      <c r="P1603" s="3" t="s">
        <v>39</v>
      </c>
      <c r="Q1603" s="30" t="str">
        <f t="shared" si="25"/>
        <v xml:space="preserve">MAX : Yes(Fail)
TARGET : No(Pass)
MIN : </v>
      </c>
      <c r="R1603" s="3" t="s">
        <v>443</v>
      </c>
    </row>
    <row r="1604" spans="2:18" ht="41.4" x14ac:dyDescent="0.3">
      <c r="B1604">
        <v>0</v>
      </c>
      <c r="C1604" s="33">
        <v>7274</v>
      </c>
      <c r="D1604" s="2">
        <v>1099</v>
      </c>
      <c r="E1604" s="2" t="s">
        <v>9022</v>
      </c>
      <c r="F1604" s="3" t="s">
        <v>14207</v>
      </c>
      <c r="H1604" s="3" t="s">
        <v>2151</v>
      </c>
      <c r="K1604" s="2">
        <v>10</v>
      </c>
      <c r="L1604" s="2">
        <v>18</v>
      </c>
      <c r="M1604" s="3" t="s">
        <v>2170</v>
      </c>
      <c r="N1604" s="3" t="s">
        <v>13</v>
      </c>
      <c r="O1604" s="3" t="s">
        <v>14</v>
      </c>
      <c r="Q1604" s="30" t="str">
        <f t="shared" si="25"/>
        <v>MAX : 
TARGET : Yes(Pass)
MIN : No(Fail)</v>
      </c>
      <c r="R1604" s="3" t="s">
        <v>443</v>
      </c>
    </row>
    <row r="1605" spans="2:18" ht="41.4" x14ac:dyDescent="0.3">
      <c r="B1605">
        <v>0</v>
      </c>
      <c r="C1605" s="33">
        <v>7274</v>
      </c>
      <c r="D1605" s="2">
        <v>1099</v>
      </c>
      <c r="E1605" s="2" t="s">
        <v>9022</v>
      </c>
      <c r="F1605" s="3" t="s">
        <v>14207</v>
      </c>
      <c r="H1605" s="3" t="s">
        <v>2151</v>
      </c>
      <c r="K1605" s="2">
        <v>10</v>
      </c>
      <c r="L1605" s="2">
        <v>17</v>
      </c>
      <c r="M1605" s="3" t="s">
        <v>362</v>
      </c>
      <c r="O1605" s="3" t="s">
        <v>38</v>
      </c>
      <c r="P1605" s="3" t="s">
        <v>39</v>
      </c>
      <c r="Q1605" s="30" t="str">
        <f t="shared" si="25"/>
        <v xml:space="preserve">MAX : Yes(Fail)
TARGET : No(Pass)
MIN : </v>
      </c>
      <c r="R1605" s="3" t="s">
        <v>443</v>
      </c>
    </row>
    <row r="1606" spans="2:18" ht="41.4" x14ac:dyDescent="0.3">
      <c r="B1606">
        <v>1</v>
      </c>
      <c r="C1606" s="33">
        <v>6820</v>
      </c>
      <c r="D1606" s="2">
        <v>1057</v>
      </c>
      <c r="E1606" s="2" t="s">
        <v>8586</v>
      </c>
      <c r="F1606" s="3" t="s">
        <v>14206</v>
      </c>
      <c r="H1606" s="3" t="s">
        <v>1130</v>
      </c>
      <c r="K1606" s="2">
        <v>10</v>
      </c>
      <c r="L1606" s="2">
        <v>1</v>
      </c>
      <c r="M1606" s="3" t="s">
        <v>1982</v>
      </c>
      <c r="N1606" s="3" t="s">
        <v>13</v>
      </c>
      <c r="O1606" s="3" t="s">
        <v>14</v>
      </c>
      <c r="Q1606" s="30" t="str">
        <f t="shared" si="25"/>
        <v>MAX : 
TARGET : Yes(Pass)
MIN : No(Fail)</v>
      </c>
    </row>
    <row r="1607" spans="2:18" ht="41.4" x14ac:dyDescent="0.3">
      <c r="B1607">
        <v>1</v>
      </c>
      <c r="C1607" s="33">
        <v>6821</v>
      </c>
      <c r="D1607" s="2">
        <v>1058</v>
      </c>
      <c r="E1607" s="2" t="s">
        <v>8545</v>
      </c>
      <c r="F1607" s="3" t="s">
        <v>14206</v>
      </c>
      <c r="H1607" s="3" t="s">
        <v>1130</v>
      </c>
      <c r="K1607" s="2">
        <v>20</v>
      </c>
      <c r="L1607" s="2">
        <v>3</v>
      </c>
      <c r="M1607" s="3" t="s">
        <v>1983</v>
      </c>
      <c r="N1607" s="3" t="s">
        <v>485</v>
      </c>
      <c r="O1607" s="3" t="s">
        <v>272</v>
      </c>
      <c r="P1607" s="3" t="s">
        <v>507</v>
      </c>
      <c r="Q1607" s="30" t="str">
        <f t="shared" si="25"/>
        <v>MAX : 1.06
TARGET : 1.00
MIN : 0.94</v>
      </c>
    </row>
    <row r="1608" spans="2:18" ht="41.4" x14ac:dyDescent="0.3">
      <c r="B1608">
        <v>0</v>
      </c>
      <c r="C1608" s="33">
        <v>7273</v>
      </c>
      <c r="D1608" s="2">
        <v>1098</v>
      </c>
      <c r="E1608" s="2" t="s">
        <v>9014</v>
      </c>
      <c r="F1608" s="3" t="s">
        <v>14207</v>
      </c>
      <c r="H1608" s="3" t="s">
        <v>2151</v>
      </c>
      <c r="K1608" s="2">
        <v>10</v>
      </c>
      <c r="L1608" s="2">
        <v>5</v>
      </c>
      <c r="M1608" s="3" t="s">
        <v>328</v>
      </c>
      <c r="N1608" s="3" t="s">
        <v>2177</v>
      </c>
      <c r="O1608" s="3" t="s">
        <v>2178</v>
      </c>
      <c r="P1608" s="3" t="s">
        <v>2179</v>
      </c>
      <c r="Q1608" s="30" t="str">
        <f t="shared" si="25"/>
        <v>MAX : 13.22
TARGET : 13.09
MIN : 12.96</v>
      </c>
    </row>
    <row r="1609" spans="2:18" ht="41.4" x14ac:dyDescent="0.3">
      <c r="B1609">
        <v>0</v>
      </c>
      <c r="C1609" s="33">
        <v>7273</v>
      </c>
      <c r="D1609" s="2">
        <v>1098</v>
      </c>
      <c r="E1609" s="2" t="s">
        <v>9014</v>
      </c>
      <c r="F1609" s="3" t="s">
        <v>14207</v>
      </c>
      <c r="H1609" s="3" t="s">
        <v>2151</v>
      </c>
      <c r="K1609" s="2">
        <v>10</v>
      </c>
      <c r="L1609" s="2">
        <v>6</v>
      </c>
      <c r="M1609" s="3" t="s">
        <v>2161</v>
      </c>
      <c r="N1609" s="3" t="s">
        <v>2180</v>
      </c>
      <c r="O1609" s="3" t="s">
        <v>2181</v>
      </c>
      <c r="P1609" s="3" t="s">
        <v>2182</v>
      </c>
      <c r="Q1609" s="30" t="str">
        <f t="shared" si="25"/>
        <v>MAX : 17.34
TARGET : 17.09
MIN : 16.84</v>
      </c>
    </row>
    <row r="1610" spans="2:18" ht="41.4" x14ac:dyDescent="0.3">
      <c r="B1610">
        <v>0</v>
      </c>
      <c r="C1610" s="33">
        <v>7273</v>
      </c>
      <c r="D1610" s="2">
        <v>1098</v>
      </c>
      <c r="E1610" s="2" t="s">
        <v>9014</v>
      </c>
      <c r="F1610" s="3" t="s">
        <v>14207</v>
      </c>
      <c r="H1610" s="3" t="s">
        <v>2151</v>
      </c>
      <c r="K1610" s="2">
        <v>10</v>
      </c>
      <c r="L1610" s="2">
        <v>2</v>
      </c>
      <c r="M1610" s="3" t="s">
        <v>351</v>
      </c>
      <c r="N1610" s="3" t="s">
        <v>2183</v>
      </c>
      <c r="O1610" s="3" t="s">
        <v>1962</v>
      </c>
      <c r="P1610" s="3" t="s">
        <v>2184</v>
      </c>
      <c r="Q1610" s="30" t="str">
        <f t="shared" si="25"/>
        <v>MAX : 7.72
TARGET : 7.47
MIN : 7.22</v>
      </c>
    </row>
    <row r="1611" spans="2:18" ht="41.4" x14ac:dyDescent="0.3">
      <c r="B1611">
        <v>0</v>
      </c>
      <c r="C1611" s="33">
        <v>7273</v>
      </c>
      <c r="D1611" s="2">
        <v>1098</v>
      </c>
      <c r="E1611" s="2" t="s">
        <v>9014</v>
      </c>
      <c r="F1611" s="3" t="s">
        <v>14207</v>
      </c>
      <c r="H1611" s="3" t="s">
        <v>2151</v>
      </c>
      <c r="K1611" s="2">
        <v>10</v>
      </c>
      <c r="L1611" s="2">
        <v>8</v>
      </c>
      <c r="M1611" s="3" t="s">
        <v>361</v>
      </c>
      <c r="O1611" s="3" t="s">
        <v>38</v>
      </c>
      <c r="P1611" s="3" t="s">
        <v>39</v>
      </c>
      <c r="Q1611" s="30" t="str">
        <f t="shared" si="25"/>
        <v xml:space="preserve">MAX : Yes(Fail)
TARGET : No(Pass)
MIN : </v>
      </c>
    </row>
    <row r="1612" spans="2:18" ht="41.4" x14ac:dyDescent="0.3">
      <c r="B1612">
        <v>0</v>
      </c>
      <c r="C1612" s="33">
        <v>7273</v>
      </c>
      <c r="D1612" s="2">
        <v>1098</v>
      </c>
      <c r="E1612" s="2" t="s">
        <v>9014</v>
      </c>
      <c r="F1612" s="3" t="s">
        <v>14207</v>
      </c>
      <c r="H1612" s="3" t="s">
        <v>2151</v>
      </c>
      <c r="K1612" s="2">
        <v>10</v>
      </c>
      <c r="L1612" s="2">
        <v>9</v>
      </c>
      <c r="M1612" s="3" t="s">
        <v>362</v>
      </c>
      <c r="O1612" s="3" t="s">
        <v>38</v>
      </c>
      <c r="P1612" s="3" t="s">
        <v>39</v>
      </c>
      <c r="Q1612" s="30" t="str">
        <f t="shared" si="25"/>
        <v xml:space="preserve">MAX : Yes(Fail)
TARGET : No(Pass)
MIN : </v>
      </c>
    </row>
    <row r="1613" spans="2:18" ht="41.4" x14ac:dyDescent="0.3">
      <c r="B1613">
        <v>0</v>
      </c>
      <c r="C1613" s="33">
        <v>7273</v>
      </c>
      <c r="D1613" s="2">
        <v>1098</v>
      </c>
      <c r="E1613" s="2" t="s">
        <v>9014</v>
      </c>
      <c r="F1613" s="3" t="s">
        <v>14207</v>
      </c>
      <c r="H1613" s="3" t="s">
        <v>2151</v>
      </c>
      <c r="K1613" s="2">
        <v>10</v>
      </c>
      <c r="L1613" s="2">
        <v>10</v>
      </c>
      <c r="M1613" s="3" t="s">
        <v>2170</v>
      </c>
      <c r="N1613" s="3" t="s">
        <v>13</v>
      </c>
      <c r="O1613" s="3" t="s">
        <v>14</v>
      </c>
      <c r="Q1613" s="30" t="str">
        <f t="shared" si="25"/>
        <v>MAX : 
TARGET : Yes(Pass)
MIN : No(Fail)</v>
      </c>
    </row>
    <row r="1614" spans="2:18" ht="41.4" x14ac:dyDescent="0.3">
      <c r="B1614">
        <v>0</v>
      </c>
      <c r="C1614" s="33">
        <v>7273</v>
      </c>
      <c r="D1614" s="2">
        <v>1098</v>
      </c>
      <c r="E1614" s="2" t="s">
        <v>9014</v>
      </c>
      <c r="F1614" s="3" t="s">
        <v>14207</v>
      </c>
      <c r="H1614" s="3" t="s">
        <v>2151</v>
      </c>
      <c r="K1614" s="2">
        <v>10</v>
      </c>
      <c r="L1614" s="2">
        <v>7</v>
      </c>
      <c r="M1614" s="3" t="s">
        <v>2169</v>
      </c>
      <c r="O1614" s="3" t="s">
        <v>38</v>
      </c>
      <c r="P1614" s="3" t="s">
        <v>39</v>
      </c>
      <c r="Q1614" s="30" t="str">
        <f t="shared" si="25"/>
        <v xml:space="preserve">MAX : Yes(Fail)
TARGET : No(Pass)
MIN : </v>
      </c>
    </row>
    <row r="1615" spans="2:18" ht="41.4" x14ac:dyDescent="0.3">
      <c r="B1615">
        <v>1</v>
      </c>
      <c r="C1615" s="33">
        <v>6821</v>
      </c>
      <c r="D1615" s="2">
        <v>1058</v>
      </c>
      <c r="E1615" s="2" t="s">
        <v>8545</v>
      </c>
      <c r="F1615" s="3" t="s">
        <v>14206</v>
      </c>
      <c r="H1615" s="3" t="s">
        <v>1130</v>
      </c>
      <c r="K1615" s="2">
        <v>10</v>
      </c>
      <c r="L1615" s="2">
        <v>1</v>
      </c>
      <c r="M1615" s="3" t="s">
        <v>1982</v>
      </c>
      <c r="N1615" s="3" t="s">
        <v>13</v>
      </c>
      <c r="O1615" s="3" t="s">
        <v>14</v>
      </c>
      <c r="Q1615" s="30" t="str">
        <f t="shared" si="25"/>
        <v>MAX : 
TARGET : Yes(Pass)
MIN : No(Fail)</v>
      </c>
    </row>
    <row r="1616" spans="2:18" ht="41.4" x14ac:dyDescent="0.3">
      <c r="B1616">
        <v>1</v>
      </c>
      <c r="C1616" s="33">
        <v>6822</v>
      </c>
      <c r="D1616" s="2">
        <v>1059</v>
      </c>
      <c r="E1616" s="2" t="s">
        <v>8552</v>
      </c>
      <c r="F1616" s="3" t="s">
        <v>14206</v>
      </c>
      <c r="H1616" s="3" t="s">
        <v>1130</v>
      </c>
      <c r="K1616" s="2">
        <v>20</v>
      </c>
      <c r="L1616" s="2">
        <v>2</v>
      </c>
      <c r="M1616" s="3" t="s">
        <v>1983</v>
      </c>
      <c r="N1616" s="3" t="s">
        <v>900</v>
      </c>
      <c r="O1616" s="3" t="s">
        <v>28</v>
      </c>
      <c r="P1616" s="3" t="s">
        <v>901</v>
      </c>
      <c r="Q1616" s="30" t="str">
        <f t="shared" si="25"/>
        <v>MAX : 1.56
TARGET : 1.50
MIN : 1.44</v>
      </c>
    </row>
    <row r="1617" spans="2:18" ht="41.4" x14ac:dyDescent="0.3">
      <c r="B1617">
        <v>0</v>
      </c>
      <c r="C1617" s="33">
        <v>7272</v>
      </c>
      <c r="D1617" s="2">
        <v>1097</v>
      </c>
      <c r="E1617" s="2" t="s">
        <v>9007</v>
      </c>
      <c r="F1617" s="3" t="s">
        <v>14206</v>
      </c>
      <c r="H1617" s="3" t="s">
        <v>426</v>
      </c>
      <c r="K1617" s="2">
        <v>10</v>
      </c>
      <c r="L1617" s="2">
        <v>3</v>
      </c>
      <c r="M1617" s="3" t="s">
        <v>198</v>
      </c>
      <c r="N1617" s="3" t="s">
        <v>2188</v>
      </c>
      <c r="O1617" s="3" t="s">
        <v>972</v>
      </c>
      <c r="P1617" s="3" t="s">
        <v>2189</v>
      </c>
      <c r="Q1617" s="30" t="str">
        <f t="shared" si="25"/>
        <v>MAX : 3.265
TARGET : 3.250
MIN : 3.235</v>
      </c>
    </row>
    <row r="1618" spans="2:18" ht="41.4" x14ac:dyDescent="0.3">
      <c r="B1618">
        <v>0</v>
      </c>
      <c r="C1618" s="33">
        <v>7272</v>
      </c>
      <c r="D1618" s="2">
        <v>1097</v>
      </c>
      <c r="E1618" s="2" t="s">
        <v>9007</v>
      </c>
      <c r="F1618" s="3" t="s">
        <v>14206</v>
      </c>
      <c r="H1618" s="3" t="s">
        <v>426</v>
      </c>
      <c r="K1618" s="2">
        <v>10</v>
      </c>
      <c r="L1618" s="2">
        <v>6</v>
      </c>
      <c r="M1618" s="3" t="s">
        <v>1605</v>
      </c>
      <c r="N1618" s="3" t="s">
        <v>13</v>
      </c>
      <c r="O1618" s="3" t="s">
        <v>14</v>
      </c>
      <c r="Q1618" s="30" t="str">
        <f t="shared" si="25"/>
        <v>MAX : 
TARGET : Yes(Pass)
MIN : No(Fail)</v>
      </c>
    </row>
    <row r="1619" spans="2:18" ht="41.4" x14ac:dyDescent="0.3">
      <c r="B1619">
        <v>0</v>
      </c>
      <c r="C1619" s="33">
        <v>7272</v>
      </c>
      <c r="D1619" s="2">
        <v>1097</v>
      </c>
      <c r="E1619" s="2" t="s">
        <v>9007</v>
      </c>
      <c r="F1619" s="3" t="s">
        <v>14206</v>
      </c>
      <c r="H1619" s="3" t="s">
        <v>426</v>
      </c>
      <c r="K1619" s="2">
        <v>10</v>
      </c>
      <c r="L1619" s="2">
        <v>7</v>
      </c>
      <c r="M1619" s="3" t="s">
        <v>2190</v>
      </c>
      <c r="N1619" s="3" t="s">
        <v>13</v>
      </c>
      <c r="O1619" s="3" t="s">
        <v>14</v>
      </c>
      <c r="Q1619" s="30" t="str">
        <f t="shared" si="25"/>
        <v>MAX : 
TARGET : Yes(Pass)
MIN : No(Fail)</v>
      </c>
    </row>
    <row r="1620" spans="2:18" ht="41.4" x14ac:dyDescent="0.3">
      <c r="B1620">
        <v>1</v>
      </c>
      <c r="C1620" s="33">
        <v>6822</v>
      </c>
      <c r="D1620" s="2">
        <v>1059</v>
      </c>
      <c r="E1620" s="2" t="s">
        <v>8552</v>
      </c>
      <c r="F1620" s="3" t="s">
        <v>14206</v>
      </c>
      <c r="H1620" s="3" t="s">
        <v>1130</v>
      </c>
      <c r="K1620" s="2">
        <v>10</v>
      </c>
      <c r="L1620" s="2">
        <v>1</v>
      </c>
      <c r="M1620" s="3" t="s">
        <v>1984</v>
      </c>
      <c r="N1620" s="3" t="s">
        <v>13</v>
      </c>
      <c r="O1620" s="3" t="s">
        <v>14</v>
      </c>
      <c r="Q1620" s="30" t="str">
        <f t="shared" si="25"/>
        <v>MAX : 
TARGET : Yes(Pass)
MIN : No(Fail)</v>
      </c>
    </row>
    <row r="1621" spans="2:18" ht="41.4" x14ac:dyDescent="0.3">
      <c r="B1621">
        <v>1</v>
      </c>
      <c r="C1621" s="33">
        <v>6823</v>
      </c>
      <c r="D1621" s="2">
        <v>1060</v>
      </c>
      <c r="E1621" s="2" t="s">
        <v>8558</v>
      </c>
      <c r="F1621" s="3" t="s">
        <v>14206</v>
      </c>
      <c r="H1621" s="3" t="s">
        <v>1130</v>
      </c>
      <c r="K1621" s="2">
        <v>20</v>
      </c>
      <c r="L1621" s="2">
        <v>2</v>
      </c>
      <c r="M1621" s="3" t="s">
        <v>1983</v>
      </c>
      <c r="N1621" s="3" t="s">
        <v>485</v>
      </c>
      <c r="O1621" s="3" t="s">
        <v>272</v>
      </c>
      <c r="P1621" s="3" t="s">
        <v>507</v>
      </c>
      <c r="Q1621" s="30" t="str">
        <f t="shared" si="25"/>
        <v>MAX : 1.06
TARGET : 1.00
MIN : 0.94</v>
      </c>
    </row>
    <row r="1622" spans="2:18" ht="41.4" x14ac:dyDescent="0.3">
      <c r="B1622">
        <v>0</v>
      </c>
      <c r="C1622" s="33">
        <v>7275</v>
      </c>
      <c r="D1622" s="2">
        <v>1872</v>
      </c>
      <c r="E1622" s="2" t="s">
        <v>9030</v>
      </c>
      <c r="F1622" s="3" t="s">
        <v>14207</v>
      </c>
      <c r="H1622" s="3" t="s">
        <v>412</v>
      </c>
      <c r="K1622" s="2">
        <v>10</v>
      </c>
      <c r="L1622" s="2">
        <v>3</v>
      </c>
      <c r="M1622" s="3" t="s">
        <v>2192</v>
      </c>
      <c r="N1622" s="3" t="s">
        <v>124</v>
      </c>
      <c r="O1622" s="3" t="s">
        <v>123</v>
      </c>
      <c r="Q1622" s="30" t="str">
        <f t="shared" si="25"/>
        <v>MAX : 
TARGET : No (Pass)
MIN : Yes (Fail)</v>
      </c>
    </row>
    <row r="1623" spans="2:18" ht="41.4" x14ac:dyDescent="0.3">
      <c r="B1623">
        <v>1</v>
      </c>
      <c r="C1623" s="33">
        <v>6823</v>
      </c>
      <c r="D1623" s="2">
        <v>1060</v>
      </c>
      <c r="E1623" s="2" t="s">
        <v>8558</v>
      </c>
      <c r="F1623" s="3" t="s">
        <v>14206</v>
      </c>
      <c r="H1623" s="3" t="s">
        <v>1130</v>
      </c>
      <c r="K1623" s="2">
        <v>10</v>
      </c>
      <c r="L1623" s="2">
        <v>1</v>
      </c>
      <c r="M1623" s="3" t="s">
        <v>1984</v>
      </c>
      <c r="N1623" s="3" t="s">
        <v>13</v>
      </c>
      <c r="O1623" s="3" t="s">
        <v>14</v>
      </c>
      <c r="Q1623" s="30" t="str">
        <f t="shared" si="25"/>
        <v>MAX : 
TARGET : Yes(Pass)
MIN : No(Fail)</v>
      </c>
    </row>
    <row r="1624" spans="2:18" ht="41.4" x14ac:dyDescent="0.3">
      <c r="B1624">
        <v>1</v>
      </c>
      <c r="C1624" s="33">
        <v>6824</v>
      </c>
      <c r="D1624" s="2">
        <v>1061</v>
      </c>
      <c r="E1624" s="2" t="s">
        <v>8564</v>
      </c>
      <c r="F1624" s="3" t="s">
        <v>14206</v>
      </c>
      <c r="H1624" s="3" t="s">
        <v>1130</v>
      </c>
      <c r="K1624" s="2">
        <v>20</v>
      </c>
      <c r="L1624" s="2">
        <v>3</v>
      </c>
      <c r="M1624" s="3" t="s">
        <v>1983</v>
      </c>
      <c r="N1624" s="3" t="s">
        <v>900</v>
      </c>
      <c r="O1624" s="3" t="s">
        <v>28</v>
      </c>
      <c r="P1624" s="3" t="s">
        <v>901</v>
      </c>
      <c r="Q1624" s="30" t="str">
        <f t="shared" si="25"/>
        <v>MAX : 1.56
TARGET : 1.50
MIN : 1.44</v>
      </c>
    </row>
    <row r="1625" spans="2:18" ht="41.4" x14ac:dyDescent="0.3">
      <c r="B1625">
        <v>0</v>
      </c>
      <c r="C1625" s="33">
        <v>7296</v>
      </c>
      <c r="D1625" s="2">
        <v>1100</v>
      </c>
      <c r="E1625" s="2" t="s">
        <v>9038</v>
      </c>
      <c r="F1625" s="3" t="s">
        <v>14207</v>
      </c>
      <c r="H1625" s="3" t="s">
        <v>2151</v>
      </c>
      <c r="K1625" s="2">
        <v>10</v>
      </c>
      <c r="L1625" s="2">
        <v>1</v>
      </c>
      <c r="M1625" s="3" t="s">
        <v>2199</v>
      </c>
      <c r="N1625" s="3" t="s">
        <v>2200</v>
      </c>
      <c r="O1625" s="3" t="s">
        <v>2201</v>
      </c>
      <c r="P1625" s="3" t="s">
        <v>2202</v>
      </c>
      <c r="Q1625" s="30" t="str">
        <f t="shared" si="25"/>
        <v>MAX : 1.85
TARGET : 1.60
MIN : 1.35</v>
      </c>
      <c r="R1625" s="3" t="s">
        <v>443</v>
      </c>
    </row>
    <row r="1626" spans="2:18" ht="41.4" x14ac:dyDescent="0.3">
      <c r="B1626">
        <v>0</v>
      </c>
      <c r="C1626" s="33">
        <v>7296</v>
      </c>
      <c r="D1626" s="2">
        <v>1100</v>
      </c>
      <c r="E1626" s="2" t="s">
        <v>9038</v>
      </c>
      <c r="F1626" s="3" t="s">
        <v>14207</v>
      </c>
      <c r="H1626" s="3" t="s">
        <v>2151</v>
      </c>
      <c r="K1626" s="2">
        <v>10</v>
      </c>
      <c r="L1626" s="2">
        <v>2</v>
      </c>
      <c r="M1626" s="3" t="s">
        <v>328</v>
      </c>
      <c r="N1626" s="3" t="s">
        <v>2203</v>
      </c>
      <c r="O1626" s="3" t="s">
        <v>859</v>
      </c>
      <c r="P1626" s="3" t="s">
        <v>2204</v>
      </c>
      <c r="Q1626" s="30" t="str">
        <f t="shared" si="25"/>
        <v>MAX : 17.63
TARGET : 17.50
MIN : 17.37</v>
      </c>
      <c r="R1626" s="3" t="s">
        <v>443</v>
      </c>
    </row>
    <row r="1627" spans="2:18" ht="41.4" x14ac:dyDescent="0.3">
      <c r="B1627">
        <v>0</v>
      </c>
      <c r="C1627" s="33">
        <v>7296</v>
      </c>
      <c r="D1627" s="2">
        <v>1100</v>
      </c>
      <c r="E1627" s="2" t="s">
        <v>9038</v>
      </c>
      <c r="F1627" s="3" t="s">
        <v>14207</v>
      </c>
      <c r="H1627" s="3" t="s">
        <v>2151</v>
      </c>
      <c r="K1627" s="2">
        <v>10</v>
      </c>
      <c r="L1627" s="2">
        <v>13</v>
      </c>
      <c r="M1627" s="3" t="s">
        <v>2205</v>
      </c>
      <c r="N1627" s="3" t="s">
        <v>2206</v>
      </c>
      <c r="O1627" s="3" t="s">
        <v>387</v>
      </c>
      <c r="P1627" s="3" t="s">
        <v>1784</v>
      </c>
      <c r="Q1627" s="30" t="str">
        <f t="shared" si="25"/>
        <v>MAX : 2.02
TARGET : 1.77
MIN : 1.52</v>
      </c>
      <c r="R1627" s="3" t="s">
        <v>443</v>
      </c>
    </row>
    <row r="1628" spans="2:18" ht="41.4" x14ac:dyDescent="0.3">
      <c r="B1628">
        <v>0</v>
      </c>
      <c r="C1628" s="33">
        <v>7296</v>
      </c>
      <c r="D1628" s="2">
        <v>1100</v>
      </c>
      <c r="E1628" s="2" t="s">
        <v>9038</v>
      </c>
      <c r="F1628" s="3" t="s">
        <v>14207</v>
      </c>
      <c r="H1628" s="3" t="s">
        <v>2151</v>
      </c>
      <c r="K1628" s="2">
        <v>10</v>
      </c>
      <c r="L1628" s="2">
        <v>12</v>
      </c>
      <c r="M1628" s="3" t="s">
        <v>2207</v>
      </c>
      <c r="N1628" s="3" t="s">
        <v>2208</v>
      </c>
      <c r="O1628" s="3" t="s">
        <v>2209</v>
      </c>
      <c r="P1628" s="3" t="s">
        <v>2210</v>
      </c>
      <c r="Q1628" s="30" t="str">
        <f t="shared" si="25"/>
        <v>MAX : 13.39
TARGET : 13.14
MIN : 12.89</v>
      </c>
      <c r="R1628" s="3" t="s">
        <v>443</v>
      </c>
    </row>
    <row r="1629" spans="2:18" ht="41.4" x14ac:dyDescent="0.3">
      <c r="B1629">
        <v>0</v>
      </c>
      <c r="C1629" s="33">
        <v>7296</v>
      </c>
      <c r="D1629" s="2">
        <v>1100</v>
      </c>
      <c r="E1629" s="2" t="s">
        <v>9038</v>
      </c>
      <c r="F1629" s="3" t="s">
        <v>14207</v>
      </c>
      <c r="H1629" s="3" t="s">
        <v>2151</v>
      </c>
      <c r="K1629" s="2">
        <v>10</v>
      </c>
      <c r="L1629" s="2">
        <v>11</v>
      </c>
      <c r="M1629" s="3" t="s">
        <v>2156</v>
      </c>
      <c r="N1629" s="3" t="s">
        <v>2206</v>
      </c>
      <c r="O1629" s="3" t="s">
        <v>387</v>
      </c>
      <c r="P1629" s="3" t="s">
        <v>1784</v>
      </c>
      <c r="Q1629" s="30" t="str">
        <f t="shared" si="25"/>
        <v>MAX : 2.02
TARGET : 1.77
MIN : 1.52</v>
      </c>
      <c r="R1629" s="3" t="s">
        <v>443</v>
      </c>
    </row>
    <row r="1630" spans="2:18" ht="41.4" x14ac:dyDescent="0.3">
      <c r="B1630">
        <v>0</v>
      </c>
      <c r="C1630" s="33">
        <v>7296</v>
      </c>
      <c r="D1630" s="2">
        <v>1100</v>
      </c>
      <c r="E1630" s="2" t="s">
        <v>9038</v>
      </c>
      <c r="F1630" s="3" t="s">
        <v>14207</v>
      </c>
      <c r="H1630" s="3" t="s">
        <v>2151</v>
      </c>
      <c r="K1630" s="2">
        <v>10</v>
      </c>
      <c r="L1630" s="2">
        <v>14</v>
      </c>
      <c r="M1630" s="3" t="s">
        <v>2211</v>
      </c>
      <c r="N1630" s="3" t="s">
        <v>2212</v>
      </c>
      <c r="O1630" s="3" t="s">
        <v>2213</v>
      </c>
      <c r="P1630" s="3" t="s">
        <v>2214</v>
      </c>
      <c r="Q1630" s="30" t="str">
        <f t="shared" si="25"/>
        <v>MAX : 9.73
TARGET : 9.60
MIN : 9.47</v>
      </c>
      <c r="R1630" s="3" t="s">
        <v>443</v>
      </c>
    </row>
    <row r="1631" spans="2:18" ht="41.4" x14ac:dyDescent="0.3">
      <c r="B1631">
        <v>0</v>
      </c>
      <c r="C1631" s="33">
        <v>7296</v>
      </c>
      <c r="D1631" s="2">
        <v>1100</v>
      </c>
      <c r="E1631" s="2" t="s">
        <v>9038</v>
      </c>
      <c r="F1631" s="3" t="s">
        <v>14207</v>
      </c>
      <c r="H1631" s="3" t="s">
        <v>2151</v>
      </c>
      <c r="K1631" s="2">
        <v>10</v>
      </c>
      <c r="L1631" s="2">
        <v>9</v>
      </c>
      <c r="M1631" s="3" t="s">
        <v>2215</v>
      </c>
      <c r="N1631" s="3" t="s">
        <v>389</v>
      </c>
      <c r="O1631" s="3" t="s">
        <v>1211</v>
      </c>
      <c r="P1631" s="3" t="s">
        <v>1092</v>
      </c>
      <c r="Q1631" s="30" t="str">
        <f t="shared" si="25"/>
        <v>MAX : 6.75
TARGET : 6.50
MIN : 6.25</v>
      </c>
      <c r="R1631" s="3" t="s">
        <v>443</v>
      </c>
    </row>
    <row r="1632" spans="2:18" ht="41.4" x14ac:dyDescent="0.3">
      <c r="B1632">
        <v>0</v>
      </c>
      <c r="C1632" s="33">
        <v>7296</v>
      </c>
      <c r="D1632" s="2">
        <v>1100</v>
      </c>
      <c r="E1632" s="2" t="s">
        <v>9038</v>
      </c>
      <c r="F1632" s="3" t="s">
        <v>14207</v>
      </c>
      <c r="H1632" s="3" t="s">
        <v>2151</v>
      </c>
      <c r="K1632" s="2">
        <v>10</v>
      </c>
      <c r="L1632" s="2">
        <v>10</v>
      </c>
      <c r="M1632" s="3" t="s">
        <v>335</v>
      </c>
      <c r="N1632" s="3" t="s">
        <v>2216</v>
      </c>
      <c r="O1632" s="3" t="s">
        <v>2217</v>
      </c>
      <c r="P1632" s="3" t="s">
        <v>2218</v>
      </c>
      <c r="Q1632" s="30" t="str">
        <f t="shared" si="25"/>
        <v>MAX : 19.77
TARGET : 19.64
MIN : 19.51</v>
      </c>
      <c r="R1632" s="3" t="s">
        <v>443</v>
      </c>
    </row>
    <row r="1633" spans="2:18" ht="41.4" x14ac:dyDescent="0.3">
      <c r="B1633">
        <v>0</v>
      </c>
      <c r="C1633" s="33">
        <v>7296</v>
      </c>
      <c r="D1633" s="2">
        <v>1100</v>
      </c>
      <c r="E1633" s="2" t="s">
        <v>9038</v>
      </c>
      <c r="F1633" s="3" t="s">
        <v>14207</v>
      </c>
      <c r="H1633" s="3" t="s">
        <v>2151</v>
      </c>
      <c r="K1633" s="2">
        <v>10</v>
      </c>
      <c r="L1633" s="2">
        <v>6</v>
      </c>
      <c r="M1633" s="3" t="s">
        <v>354</v>
      </c>
      <c r="N1633" s="3" t="s">
        <v>1756</v>
      </c>
      <c r="O1633" s="3" t="s">
        <v>251</v>
      </c>
      <c r="P1633" s="3" t="s">
        <v>1541</v>
      </c>
      <c r="Q1633" s="30" t="str">
        <f t="shared" si="25"/>
        <v>MAX : 6.28
TARGET : 6.03
MIN : 5.78</v>
      </c>
      <c r="R1633" s="3" t="s">
        <v>443</v>
      </c>
    </row>
    <row r="1634" spans="2:18" ht="41.4" x14ac:dyDescent="0.3">
      <c r="B1634">
        <v>0</v>
      </c>
      <c r="C1634" s="33">
        <v>7296</v>
      </c>
      <c r="D1634" s="2">
        <v>1100</v>
      </c>
      <c r="E1634" s="2" t="s">
        <v>9038</v>
      </c>
      <c r="F1634" s="3" t="s">
        <v>14207</v>
      </c>
      <c r="H1634" s="3" t="s">
        <v>2151</v>
      </c>
      <c r="K1634" s="2">
        <v>10</v>
      </c>
      <c r="L1634" s="2">
        <v>8</v>
      </c>
      <c r="M1634" s="3" t="s">
        <v>351</v>
      </c>
      <c r="N1634" s="3" t="s">
        <v>1756</v>
      </c>
      <c r="O1634" s="3" t="s">
        <v>251</v>
      </c>
      <c r="P1634" s="3" t="s">
        <v>1541</v>
      </c>
      <c r="Q1634" s="30" t="str">
        <f t="shared" si="25"/>
        <v>MAX : 6.28
TARGET : 6.03
MIN : 5.78</v>
      </c>
      <c r="R1634" s="3" t="s">
        <v>443</v>
      </c>
    </row>
    <row r="1635" spans="2:18" ht="41.4" x14ac:dyDescent="0.3">
      <c r="B1635">
        <v>0</v>
      </c>
      <c r="C1635" s="33">
        <v>7296</v>
      </c>
      <c r="D1635" s="2">
        <v>1100</v>
      </c>
      <c r="E1635" s="2" t="s">
        <v>9038</v>
      </c>
      <c r="F1635" s="3" t="s">
        <v>14207</v>
      </c>
      <c r="H1635" s="3" t="s">
        <v>2151</v>
      </c>
      <c r="K1635" s="2">
        <v>10</v>
      </c>
      <c r="L1635" s="2">
        <v>5</v>
      </c>
      <c r="M1635" s="3" t="s">
        <v>2161</v>
      </c>
      <c r="N1635" s="3" t="s">
        <v>2219</v>
      </c>
      <c r="O1635" s="3" t="s">
        <v>2220</v>
      </c>
      <c r="P1635" s="3" t="s">
        <v>2221</v>
      </c>
      <c r="Q1635" s="30" t="str">
        <f t="shared" si="25"/>
        <v>MAX : 21.75
TARGET : 21.50
MIN : 21.25</v>
      </c>
      <c r="R1635" s="3" t="s">
        <v>443</v>
      </c>
    </row>
    <row r="1636" spans="2:18" ht="41.4" x14ac:dyDescent="0.3">
      <c r="B1636">
        <v>0</v>
      </c>
      <c r="C1636" s="33">
        <v>7296</v>
      </c>
      <c r="D1636" s="2">
        <v>1100</v>
      </c>
      <c r="E1636" s="2" t="s">
        <v>9038</v>
      </c>
      <c r="F1636" s="3" t="s">
        <v>14207</v>
      </c>
      <c r="H1636" s="3" t="s">
        <v>2151</v>
      </c>
      <c r="K1636" s="2">
        <v>10</v>
      </c>
      <c r="L1636" s="2">
        <v>7</v>
      </c>
      <c r="M1636" s="3" t="s">
        <v>2165</v>
      </c>
      <c r="N1636" s="3" t="s">
        <v>2222</v>
      </c>
      <c r="O1636" s="3" t="s">
        <v>2167</v>
      </c>
      <c r="P1636" s="3" t="s">
        <v>2168</v>
      </c>
      <c r="Q1636" s="30" t="str">
        <f t="shared" si="25"/>
        <v>MAX : 31.83
TARGET : 31.70
MIN : 31.57</v>
      </c>
      <c r="R1636" s="3" t="s">
        <v>443</v>
      </c>
    </row>
    <row r="1637" spans="2:18" ht="41.4" x14ac:dyDescent="0.3">
      <c r="B1637">
        <v>0</v>
      </c>
      <c r="C1637" s="33">
        <v>7296</v>
      </c>
      <c r="D1637" s="2">
        <v>1100</v>
      </c>
      <c r="E1637" s="2" t="s">
        <v>9038</v>
      </c>
      <c r="F1637" s="3" t="s">
        <v>14207</v>
      </c>
      <c r="H1637" s="3" t="s">
        <v>2151</v>
      </c>
      <c r="K1637" s="2">
        <v>10</v>
      </c>
      <c r="L1637" s="2">
        <v>15</v>
      </c>
      <c r="M1637" s="3" t="s">
        <v>2169</v>
      </c>
      <c r="O1637" s="3" t="s">
        <v>38</v>
      </c>
      <c r="P1637" s="3" t="s">
        <v>39</v>
      </c>
      <c r="Q1637" s="30" t="str">
        <f t="shared" si="25"/>
        <v xml:space="preserve">MAX : Yes(Fail)
TARGET : No(Pass)
MIN : </v>
      </c>
      <c r="R1637" s="3" t="s">
        <v>443</v>
      </c>
    </row>
    <row r="1638" spans="2:18" ht="41.4" x14ac:dyDescent="0.3">
      <c r="B1638">
        <v>0</v>
      </c>
      <c r="C1638" s="33">
        <v>7296</v>
      </c>
      <c r="D1638" s="2">
        <v>1100</v>
      </c>
      <c r="E1638" s="2" t="s">
        <v>9038</v>
      </c>
      <c r="F1638" s="3" t="s">
        <v>14207</v>
      </c>
      <c r="H1638" s="3" t="s">
        <v>2151</v>
      </c>
      <c r="K1638" s="2">
        <v>10</v>
      </c>
      <c r="L1638" s="2">
        <v>18</v>
      </c>
      <c r="M1638" s="3" t="s">
        <v>2170</v>
      </c>
      <c r="N1638" s="3" t="s">
        <v>13</v>
      </c>
      <c r="O1638" s="3" t="s">
        <v>14</v>
      </c>
      <c r="Q1638" s="30" t="str">
        <f t="shared" si="25"/>
        <v>MAX : 
TARGET : Yes(Pass)
MIN : No(Fail)</v>
      </c>
      <c r="R1638" s="3" t="s">
        <v>443</v>
      </c>
    </row>
    <row r="1639" spans="2:18" ht="41.4" x14ac:dyDescent="0.3">
      <c r="B1639">
        <v>0</v>
      </c>
      <c r="C1639" s="33">
        <v>7296</v>
      </c>
      <c r="D1639" s="2">
        <v>1100</v>
      </c>
      <c r="E1639" s="2" t="s">
        <v>9038</v>
      </c>
      <c r="F1639" s="3" t="s">
        <v>14207</v>
      </c>
      <c r="H1639" s="3" t="s">
        <v>2151</v>
      </c>
      <c r="K1639" s="2">
        <v>10</v>
      </c>
      <c r="L1639" s="2">
        <v>16</v>
      </c>
      <c r="M1639" s="3" t="s">
        <v>361</v>
      </c>
      <c r="O1639" s="3" t="s">
        <v>38</v>
      </c>
      <c r="P1639" s="3" t="s">
        <v>39</v>
      </c>
      <c r="Q1639" s="30" t="str">
        <f t="shared" si="25"/>
        <v xml:space="preserve">MAX : Yes(Fail)
TARGET : No(Pass)
MIN : </v>
      </c>
      <c r="R1639" s="3" t="s">
        <v>443</v>
      </c>
    </row>
    <row r="1640" spans="2:18" ht="41.4" x14ac:dyDescent="0.3">
      <c r="B1640">
        <v>0</v>
      </c>
      <c r="C1640" s="33">
        <v>7296</v>
      </c>
      <c r="D1640" s="2">
        <v>1100</v>
      </c>
      <c r="E1640" s="2" t="s">
        <v>9038</v>
      </c>
      <c r="F1640" s="3" t="s">
        <v>14207</v>
      </c>
      <c r="H1640" s="3" t="s">
        <v>2151</v>
      </c>
      <c r="K1640" s="2">
        <v>10</v>
      </c>
      <c r="L1640" s="2">
        <v>17</v>
      </c>
      <c r="M1640" s="3" t="s">
        <v>362</v>
      </c>
      <c r="O1640" s="3" t="s">
        <v>38</v>
      </c>
      <c r="P1640" s="3" t="s">
        <v>39</v>
      </c>
      <c r="Q1640" s="30" t="str">
        <f t="shared" si="25"/>
        <v xml:space="preserve">MAX : Yes(Fail)
TARGET : No(Pass)
MIN : </v>
      </c>
      <c r="R1640" s="3" t="s">
        <v>443</v>
      </c>
    </row>
    <row r="1641" spans="2:18" ht="41.4" x14ac:dyDescent="0.3">
      <c r="B1641">
        <v>1</v>
      </c>
      <c r="C1641" s="33">
        <v>6824</v>
      </c>
      <c r="D1641" s="2">
        <v>1061</v>
      </c>
      <c r="E1641" s="2" t="s">
        <v>8564</v>
      </c>
      <c r="F1641" s="3" t="s">
        <v>14206</v>
      </c>
      <c r="H1641" s="3" t="s">
        <v>1130</v>
      </c>
      <c r="K1641" s="2">
        <v>10</v>
      </c>
      <c r="L1641" s="2">
        <v>1</v>
      </c>
      <c r="M1641" s="3" t="s">
        <v>1984</v>
      </c>
      <c r="N1641" s="3" t="s">
        <v>13</v>
      </c>
      <c r="O1641" s="3" t="s">
        <v>14</v>
      </c>
      <c r="Q1641" s="30" t="str">
        <f t="shared" si="25"/>
        <v>MAX : 
TARGET : Yes(Pass)
MIN : No(Fail)</v>
      </c>
    </row>
    <row r="1642" spans="2:18" ht="41.4" x14ac:dyDescent="0.3">
      <c r="B1642">
        <v>1</v>
      </c>
      <c r="C1642" s="33">
        <v>6825</v>
      </c>
      <c r="D1642" s="2">
        <v>1062</v>
      </c>
      <c r="E1642" s="2" t="s">
        <v>8570</v>
      </c>
      <c r="F1642" s="3" t="s">
        <v>14206</v>
      </c>
      <c r="H1642" s="3" t="s">
        <v>1130</v>
      </c>
      <c r="K1642" s="2">
        <v>20</v>
      </c>
      <c r="L1642" s="2">
        <v>2</v>
      </c>
      <c r="M1642" s="3" t="s">
        <v>1983</v>
      </c>
      <c r="N1642" s="3" t="s">
        <v>485</v>
      </c>
      <c r="O1642" s="3" t="s">
        <v>272</v>
      </c>
      <c r="P1642" s="3" t="s">
        <v>507</v>
      </c>
      <c r="Q1642" s="30" t="str">
        <f t="shared" si="25"/>
        <v>MAX : 1.06
TARGET : 1.00
MIN : 0.94</v>
      </c>
    </row>
    <row r="1643" spans="2:18" ht="41.4" x14ac:dyDescent="0.3">
      <c r="B1643">
        <v>0</v>
      </c>
      <c r="C1643" s="33">
        <v>7306</v>
      </c>
      <c r="D1643" s="2">
        <v>1873</v>
      </c>
      <c r="E1643" s="2" t="s">
        <v>9046</v>
      </c>
      <c r="F1643" s="3" t="s">
        <v>14206</v>
      </c>
      <c r="H1643" s="3" t="s">
        <v>1903</v>
      </c>
      <c r="K1643" s="2">
        <v>10</v>
      </c>
      <c r="L1643" s="2">
        <v>4</v>
      </c>
      <c r="M1643" s="3" t="s">
        <v>1503</v>
      </c>
      <c r="N1643" s="3" t="s">
        <v>13</v>
      </c>
      <c r="O1643" s="3" t="s">
        <v>14</v>
      </c>
      <c r="Q1643" s="30" t="str">
        <f t="shared" si="25"/>
        <v>MAX : 
TARGET : Yes(Pass)
MIN : No(Fail)</v>
      </c>
      <c r="R1643" s="3" t="s">
        <v>2225</v>
      </c>
    </row>
    <row r="1644" spans="2:18" ht="41.4" x14ac:dyDescent="0.3">
      <c r="B1644">
        <v>1</v>
      </c>
      <c r="C1644" s="33">
        <v>6825</v>
      </c>
      <c r="D1644" s="2">
        <v>1062</v>
      </c>
      <c r="E1644" s="2" t="s">
        <v>8570</v>
      </c>
      <c r="F1644" s="3" t="s">
        <v>14206</v>
      </c>
      <c r="H1644" s="3" t="s">
        <v>1130</v>
      </c>
      <c r="K1644" s="2">
        <v>10</v>
      </c>
      <c r="L1644" s="2">
        <v>1</v>
      </c>
      <c r="M1644" s="3" t="s">
        <v>1984</v>
      </c>
      <c r="N1644" s="3" t="s">
        <v>13</v>
      </c>
      <c r="O1644" s="3" t="s">
        <v>14</v>
      </c>
      <c r="Q1644" s="30" t="str">
        <f t="shared" si="25"/>
        <v>MAX : 
TARGET : Yes(Pass)
MIN : No(Fail)</v>
      </c>
    </row>
    <row r="1645" spans="2:18" ht="41.4" x14ac:dyDescent="0.3">
      <c r="B1645">
        <v>1</v>
      </c>
      <c r="C1645" s="33">
        <v>6826</v>
      </c>
      <c r="D1645" s="2">
        <v>1063</v>
      </c>
      <c r="E1645" s="2" t="s">
        <v>8576</v>
      </c>
      <c r="F1645" s="3" t="s">
        <v>14206</v>
      </c>
      <c r="H1645" s="3" t="s">
        <v>1130</v>
      </c>
      <c r="K1645" s="2">
        <v>20</v>
      </c>
      <c r="L1645" s="2">
        <v>2</v>
      </c>
      <c r="M1645" s="3" t="s">
        <v>1983</v>
      </c>
      <c r="N1645" s="3" t="s">
        <v>900</v>
      </c>
      <c r="O1645" s="3" t="s">
        <v>28</v>
      </c>
      <c r="P1645" s="3" t="s">
        <v>901</v>
      </c>
      <c r="Q1645" s="30" t="str">
        <f t="shared" si="25"/>
        <v>MAX : 1.56
TARGET : 1.50
MIN : 1.44</v>
      </c>
    </row>
    <row r="1646" spans="2:18" ht="41.4" x14ac:dyDescent="0.3">
      <c r="B1646">
        <v>0</v>
      </c>
      <c r="C1646" s="33">
        <v>7274</v>
      </c>
      <c r="D1646" s="2">
        <v>1099</v>
      </c>
      <c r="E1646" s="2" t="s">
        <v>9022</v>
      </c>
      <c r="F1646" s="3" t="s">
        <v>14207</v>
      </c>
      <c r="H1646" s="3" t="s">
        <v>2151</v>
      </c>
      <c r="K1646" s="2">
        <v>10</v>
      </c>
      <c r="L1646" s="2">
        <v>12</v>
      </c>
      <c r="M1646" s="3" t="s">
        <v>2207</v>
      </c>
      <c r="N1646" s="3" t="s">
        <v>347</v>
      </c>
      <c r="O1646" s="3" t="s">
        <v>348</v>
      </c>
      <c r="P1646" s="3" t="s">
        <v>349</v>
      </c>
      <c r="Q1646" s="30" t="str">
        <f t="shared" si="25"/>
        <v>MAX : 13.51
TARGET : 13.26
MIN : 13.01</v>
      </c>
      <c r="R1646" s="3" t="s">
        <v>443</v>
      </c>
    </row>
    <row r="1647" spans="2:18" ht="41.4" x14ac:dyDescent="0.3">
      <c r="B1647">
        <v>0</v>
      </c>
      <c r="C1647" s="33">
        <v>7274</v>
      </c>
      <c r="D1647" s="2">
        <v>1099</v>
      </c>
      <c r="E1647" s="2" t="s">
        <v>9022</v>
      </c>
      <c r="F1647" s="3" t="s">
        <v>14207</v>
      </c>
      <c r="H1647" s="3" t="s">
        <v>2151</v>
      </c>
      <c r="K1647" s="2">
        <v>10</v>
      </c>
      <c r="L1647" s="2">
        <v>9</v>
      </c>
      <c r="M1647" s="3" t="s">
        <v>2215</v>
      </c>
      <c r="N1647" s="3" t="s">
        <v>389</v>
      </c>
      <c r="O1647" s="3" t="s">
        <v>1211</v>
      </c>
      <c r="P1647" s="3" t="s">
        <v>1092</v>
      </c>
      <c r="Q1647" s="30" t="str">
        <f t="shared" si="25"/>
        <v>MAX : 6.75
TARGET : 6.50
MIN : 6.25</v>
      </c>
      <c r="R1647" s="3" t="s">
        <v>443</v>
      </c>
    </row>
    <row r="1648" spans="2:18" ht="41.4" x14ac:dyDescent="0.3">
      <c r="B1648">
        <v>1</v>
      </c>
      <c r="C1648" s="33">
        <v>6826</v>
      </c>
      <c r="D1648" s="2">
        <v>1063</v>
      </c>
      <c r="E1648" s="2" t="s">
        <v>8576</v>
      </c>
      <c r="F1648" s="3" t="s">
        <v>14206</v>
      </c>
      <c r="H1648" s="3" t="s">
        <v>1130</v>
      </c>
      <c r="K1648" s="2">
        <v>10</v>
      </c>
      <c r="L1648" s="2">
        <v>1</v>
      </c>
      <c r="M1648" s="3" t="s">
        <v>1984</v>
      </c>
      <c r="N1648" s="3" t="s">
        <v>13</v>
      </c>
      <c r="O1648" s="3" t="s">
        <v>14</v>
      </c>
      <c r="Q1648" s="30" t="str">
        <f t="shared" si="25"/>
        <v>MAX : 
TARGET : Yes(Pass)
MIN : No(Fail)</v>
      </c>
    </row>
    <row r="1649" spans="2:18" ht="41.4" x14ac:dyDescent="0.3">
      <c r="B1649">
        <v>1</v>
      </c>
      <c r="C1649" s="33">
        <v>6829</v>
      </c>
      <c r="D1649" s="2">
        <v>1845</v>
      </c>
      <c r="E1649" s="2" t="s">
        <v>8605</v>
      </c>
      <c r="F1649" s="3" t="s">
        <v>14206</v>
      </c>
      <c r="H1649" s="3" t="s">
        <v>568</v>
      </c>
      <c r="K1649" t="s">
        <v>6295</v>
      </c>
      <c r="L1649" s="2">
        <v>2</v>
      </c>
      <c r="M1649" s="3" t="s">
        <v>325</v>
      </c>
      <c r="N1649" s="3" t="s">
        <v>13</v>
      </c>
      <c r="O1649" s="3" t="s">
        <v>14</v>
      </c>
      <c r="Q1649" s="30" t="str">
        <f t="shared" si="25"/>
        <v>MAX : 
TARGET : Yes(Pass)
MIN : No(Fail)</v>
      </c>
    </row>
    <row r="1650" spans="2:18" ht="41.4" x14ac:dyDescent="0.3">
      <c r="B1650">
        <v>0</v>
      </c>
      <c r="C1650" s="33">
        <v>7311</v>
      </c>
      <c r="D1650" s="2">
        <v>1874</v>
      </c>
      <c r="E1650" s="2" t="s">
        <v>9060</v>
      </c>
      <c r="F1650" s="3" t="s">
        <v>14207</v>
      </c>
      <c r="H1650" s="3" t="s">
        <v>1144</v>
      </c>
      <c r="K1650" s="2">
        <v>10</v>
      </c>
      <c r="L1650" s="2">
        <v>3</v>
      </c>
      <c r="M1650" s="3" t="s">
        <v>1148</v>
      </c>
      <c r="N1650" s="3" t="s">
        <v>13</v>
      </c>
      <c r="O1650" s="3" t="s">
        <v>14</v>
      </c>
      <c r="Q1650" s="30" t="str">
        <f t="shared" si="25"/>
        <v>MAX : 
TARGET : Yes(Pass)
MIN : No(Fail)</v>
      </c>
    </row>
    <row r="1651" spans="2:18" ht="41.4" x14ac:dyDescent="0.3">
      <c r="B1651">
        <v>1</v>
      </c>
      <c r="C1651" s="33">
        <v>6829</v>
      </c>
      <c r="D1651" s="2">
        <v>1845</v>
      </c>
      <c r="E1651" s="2" t="s">
        <v>8605</v>
      </c>
      <c r="F1651" s="3" t="s">
        <v>14206</v>
      </c>
      <c r="H1651" s="3" t="s">
        <v>568</v>
      </c>
      <c r="K1651" t="s">
        <v>6295</v>
      </c>
      <c r="L1651" s="2">
        <v>1</v>
      </c>
      <c r="M1651" s="3" t="s">
        <v>174</v>
      </c>
      <c r="N1651" s="3" t="s">
        <v>1985</v>
      </c>
      <c r="O1651" s="3" t="s">
        <v>149</v>
      </c>
      <c r="P1651" s="3" t="s">
        <v>1986</v>
      </c>
      <c r="Q1651" s="30" t="str">
        <f t="shared" si="25"/>
        <v>MAX : 12.03
TARGET : 12.00
MIN : 11.97</v>
      </c>
    </row>
    <row r="1652" spans="2:18" ht="41.4" x14ac:dyDescent="0.3">
      <c r="B1652">
        <v>1</v>
      </c>
      <c r="C1652" s="33">
        <v>6835</v>
      </c>
      <c r="D1652" s="2">
        <v>1064</v>
      </c>
      <c r="E1652" s="2" t="s">
        <v>8611</v>
      </c>
      <c r="F1652" s="3" t="s">
        <v>14206</v>
      </c>
      <c r="H1652" s="3" t="s">
        <v>600</v>
      </c>
      <c r="K1652" s="2">
        <v>10</v>
      </c>
      <c r="L1652" s="2">
        <v>1</v>
      </c>
      <c r="M1652" s="3" t="s">
        <v>198</v>
      </c>
      <c r="N1652" s="3" t="s">
        <v>131</v>
      </c>
      <c r="O1652" s="3" t="s">
        <v>132</v>
      </c>
      <c r="P1652" s="3" t="s">
        <v>133</v>
      </c>
      <c r="Q1652" s="30" t="str">
        <f t="shared" si="25"/>
        <v>MAX : 0.78
TARGET : 0.75
MIN : 0.72</v>
      </c>
      <c r="R1652" s="3" t="s">
        <v>1512</v>
      </c>
    </row>
    <row r="1653" spans="2:18" ht="41.4" x14ac:dyDescent="0.3">
      <c r="B1653">
        <v>0</v>
      </c>
      <c r="C1653" s="33">
        <v>7321</v>
      </c>
      <c r="D1653" s="2">
        <v>1102</v>
      </c>
      <c r="E1653" s="2" t="s">
        <v>9066</v>
      </c>
      <c r="F1653" s="3" t="s">
        <v>14206</v>
      </c>
      <c r="H1653" s="3" t="s">
        <v>2228</v>
      </c>
      <c r="K1653" s="2">
        <v>10</v>
      </c>
      <c r="L1653" s="2">
        <v>3</v>
      </c>
      <c r="M1653" s="3" t="s">
        <v>2232</v>
      </c>
      <c r="N1653" s="3" t="s">
        <v>2233</v>
      </c>
      <c r="O1653" s="3" t="s">
        <v>2234</v>
      </c>
      <c r="P1653" s="3" t="s">
        <v>2235</v>
      </c>
      <c r="Q1653" s="30" t="str">
        <f t="shared" si="25"/>
        <v>MAX : 2.15
TARGET : 2.12
MIN : 2.09</v>
      </c>
    </row>
    <row r="1654" spans="2:18" ht="41.4" x14ac:dyDescent="0.3">
      <c r="B1654">
        <v>0</v>
      </c>
      <c r="C1654" s="33">
        <v>7321</v>
      </c>
      <c r="D1654" s="2">
        <v>1102</v>
      </c>
      <c r="E1654" s="2" t="s">
        <v>9066</v>
      </c>
      <c r="F1654" s="3" t="s">
        <v>14206</v>
      </c>
      <c r="H1654" s="3" t="s">
        <v>2228</v>
      </c>
      <c r="K1654" s="2">
        <v>10</v>
      </c>
      <c r="L1654" s="2">
        <v>3</v>
      </c>
      <c r="M1654" s="3" t="s">
        <v>2236</v>
      </c>
      <c r="N1654" s="3" t="s">
        <v>13</v>
      </c>
      <c r="O1654" s="3" t="s">
        <v>14</v>
      </c>
      <c r="Q1654" s="30" t="str">
        <f t="shared" si="25"/>
        <v>MAX : 
TARGET : Yes(Pass)
MIN : No(Fail)</v>
      </c>
    </row>
    <row r="1655" spans="2:18" ht="41.4" x14ac:dyDescent="0.3">
      <c r="B1655">
        <v>0</v>
      </c>
      <c r="C1655" s="33">
        <v>7321</v>
      </c>
      <c r="D1655" s="2">
        <v>1102</v>
      </c>
      <c r="E1655" s="2" t="s">
        <v>9066</v>
      </c>
      <c r="F1655" s="3" t="s">
        <v>14206</v>
      </c>
      <c r="H1655" s="3" t="s">
        <v>2228</v>
      </c>
      <c r="K1655" s="2">
        <v>10</v>
      </c>
      <c r="L1655" s="2">
        <v>4</v>
      </c>
      <c r="M1655" s="3" t="s">
        <v>1640</v>
      </c>
      <c r="N1655" s="3" t="s">
        <v>13</v>
      </c>
      <c r="O1655" s="3" t="s">
        <v>14</v>
      </c>
      <c r="Q1655" s="30" t="str">
        <f t="shared" si="25"/>
        <v>MAX : 
TARGET : Yes(Pass)
MIN : No(Fail)</v>
      </c>
    </row>
    <row r="1656" spans="2:18" ht="41.4" x14ac:dyDescent="0.3">
      <c r="B1656">
        <v>1</v>
      </c>
      <c r="C1656" s="33">
        <v>6835</v>
      </c>
      <c r="D1656" s="2">
        <v>1064</v>
      </c>
      <c r="E1656" s="2" t="s">
        <v>8611</v>
      </c>
      <c r="F1656" s="3" t="s">
        <v>14206</v>
      </c>
      <c r="H1656" s="3" t="s">
        <v>600</v>
      </c>
      <c r="K1656" s="2">
        <v>10</v>
      </c>
      <c r="L1656" s="2">
        <v>2</v>
      </c>
      <c r="M1656" s="3" t="s">
        <v>194</v>
      </c>
      <c r="N1656" s="3" t="s">
        <v>814</v>
      </c>
      <c r="O1656" s="3" t="s">
        <v>815</v>
      </c>
      <c r="P1656" s="3" t="s">
        <v>816</v>
      </c>
      <c r="Q1656" s="30" t="str">
        <f t="shared" si="25"/>
        <v>MAX : 3.03
TARGET : 3.00
MIN : 2.97</v>
      </c>
      <c r="R1656" s="3" t="s">
        <v>1512</v>
      </c>
    </row>
    <row r="1657" spans="2:18" ht="41.4" x14ac:dyDescent="0.3">
      <c r="B1657">
        <v>1</v>
      </c>
      <c r="C1657" s="33">
        <v>6836</v>
      </c>
      <c r="D1657" s="2">
        <v>1065</v>
      </c>
      <c r="E1657" s="2" t="s">
        <v>8618</v>
      </c>
      <c r="F1657" s="3" t="s">
        <v>14206</v>
      </c>
      <c r="H1657" s="3" t="s">
        <v>600</v>
      </c>
      <c r="K1657" s="2">
        <v>10</v>
      </c>
      <c r="L1657" s="2">
        <v>1</v>
      </c>
      <c r="M1657" s="3" t="s">
        <v>811</v>
      </c>
      <c r="N1657" s="3" t="s">
        <v>24</v>
      </c>
      <c r="O1657" s="3" t="s">
        <v>25</v>
      </c>
      <c r="Q1657" s="30" t="str">
        <f t="shared" si="25"/>
        <v>MAX : 
TARGET : Yes (Pass)
MIN : No (Fail)</v>
      </c>
    </row>
    <row r="1658" spans="2:18" ht="41.4" x14ac:dyDescent="0.3">
      <c r="B1658">
        <v>1</v>
      </c>
      <c r="C1658" s="33">
        <v>6874</v>
      </c>
      <c r="D1658" s="2">
        <v>1846</v>
      </c>
      <c r="E1658" s="2" t="s">
        <v>8624</v>
      </c>
      <c r="F1658" s="3" t="s">
        <v>14206</v>
      </c>
      <c r="H1658" s="3" t="s">
        <v>261</v>
      </c>
      <c r="K1658" s="2">
        <v>20</v>
      </c>
      <c r="L1658" s="2">
        <v>2</v>
      </c>
      <c r="M1658" s="3" t="s">
        <v>1060</v>
      </c>
      <c r="N1658" s="3" t="s">
        <v>13</v>
      </c>
      <c r="O1658" s="3" t="s">
        <v>14</v>
      </c>
      <c r="Q1658" s="30" t="str">
        <f t="shared" si="25"/>
        <v>MAX : 
TARGET : Yes(Pass)
MIN : No(Fail)</v>
      </c>
    </row>
    <row r="1659" spans="2:18" ht="41.4" x14ac:dyDescent="0.3">
      <c r="B1659">
        <v>0</v>
      </c>
      <c r="C1659" s="33">
        <v>7324</v>
      </c>
      <c r="D1659" s="2">
        <v>1103</v>
      </c>
      <c r="E1659" s="2" t="s">
        <v>9073</v>
      </c>
      <c r="F1659" s="3" t="s">
        <v>14206</v>
      </c>
      <c r="H1659" s="3" t="s">
        <v>1328</v>
      </c>
      <c r="K1659" s="2">
        <v>10</v>
      </c>
      <c r="L1659" s="2">
        <v>3</v>
      </c>
      <c r="M1659" s="3" t="s">
        <v>2241</v>
      </c>
      <c r="N1659" s="3" t="s">
        <v>13</v>
      </c>
      <c r="O1659" s="3" t="s">
        <v>14</v>
      </c>
      <c r="Q1659" s="30" t="str">
        <f t="shared" si="25"/>
        <v>MAX : 
TARGET : Yes(Pass)
MIN : No(Fail)</v>
      </c>
    </row>
    <row r="1660" spans="2:18" ht="41.4" x14ac:dyDescent="0.3">
      <c r="B1660">
        <v>1</v>
      </c>
      <c r="C1660" s="33">
        <v>6874</v>
      </c>
      <c r="D1660" s="2">
        <v>1846</v>
      </c>
      <c r="E1660" s="2" t="s">
        <v>8624</v>
      </c>
      <c r="F1660" s="3" t="s">
        <v>14206</v>
      </c>
      <c r="H1660" s="3" t="s">
        <v>261</v>
      </c>
      <c r="K1660" s="2">
        <v>20</v>
      </c>
      <c r="L1660" s="2">
        <v>1</v>
      </c>
      <c r="M1660" s="3" t="s">
        <v>788</v>
      </c>
      <c r="N1660" s="3" t="s">
        <v>784</v>
      </c>
      <c r="O1660" s="3" t="s">
        <v>309</v>
      </c>
      <c r="P1660" s="3" t="s">
        <v>785</v>
      </c>
      <c r="Q1660" s="30" t="str">
        <f t="shared" si="25"/>
        <v>MAX : 0.55
TARGET : 0.50
MIN : 0.45</v>
      </c>
    </row>
    <row r="1661" spans="2:18" ht="41.4" x14ac:dyDescent="0.3">
      <c r="B1661">
        <v>1</v>
      </c>
      <c r="C1661" s="33">
        <v>6876</v>
      </c>
      <c r="D1661" s="2">
        <v>1847</v>
      </c>
      <c r="E1661" s="2" t="s">
        <v>8629</v>
      </c>
      <c r="F1661" s="3" t="s">
        <v>14206</v>
      </c>
      <c r="H1661" s="3" t="s">
        <v>261</v>
      </c>
      <c r="K1661" s="2">
        <v>20</v>
      </c>
      <c r="L1661" s="2">
        <v>2</v>
      </c>
      <c r="M1661" s="3" t="s">
        <v>1060</v>
      </c>
      <c r="N1661" s="3" t="s">
        <v>13</v>
      </c>
      <c r="O1661" s="3" t="s">
        <v>14</v>
      </c>
      <c r="Q1661" s="30" t="str">
        <f t="shared" si="25"/>
        <v>MAX : 
TARGET : Yes(Pass)
MIN : No(Fail)</v>
      </c>
    </row>
    <row r="1662" spans="2:18" ht="41.4" x14ac:dyDescent="0.3">
      <c r="B1662">
        <v>0</v>
      </c>
      <c r="C1662" s="33">
        <v>7325</v>
      </c>
      <c r="D1662" s="2">
        <v>1104</v>
      </c>
      <c r="E1662" s="2" t="s">
        <v>9079</v>
      </c>
      <c r="F1662" s="3" t="s">
        <v>14206</v>
      </c>
      <c r="H1662" s="3" t="s">
        <v>2150</v>
      </c>
      <c r="K1662" s="2">
        <v>10</v>
      </c>
      <c r="L1662" s="2">
        <v>3</v>
      </c>
      <c r="M1662" s="3" t="s">
        <v>2241</v>
      </c>
      <c r="N1662" s="3" t="s">
        <v>13</v>
      </c>
      <c r="O1662" s="3" t="s">
        <v>14</v>
      </c>
      <c r="Q1662" s="30" t="str">
        <f t="shared" si="25"/>
        <v>MAX : 
TARGET : Yes(Pass)
MIN : No(Fail)</v>
      </c>
    </row>
    <row r="1663" spans="2:18" ht="41.4" x14ac:dyDescent="0.3">
      <c r="B1663">
        <v>1</v>
      </c>
      <c r="C1663" s="33">
        <v>6876</v>
      </c>
      <c r="D1663" s="2">
        <v>1847</v>
      </c>
      <c r="E1663" s="2" t="s">
        <v>8629</v>
      </c>
      <c r="F1663" s="3" t="s">
        <v>14206</v>
      </c>
      <c r="H1663" s="3" t="s">
        <v>261</v>
      </c>
      <c r="K1663" s="2">
        <v>20</v>
      </c>
      <c r="L1663" s="2">
        <v>1</v>
      </c>
      <c r="M1663" s="3" t="s">
        <v>788</v>
      </c>
      <c r="N1663" s="3" t="s">
        <v>784</v>
      </c>
      <c r="O1663" s="3" t="s">
        <v>309</v>
      </c>
      <c r="P1663" s="3" t="s">
        <v>785</v>
      </c>
      <c r="Q1663" s="30" t="str">
        <f t="shared" si="25"/>
        <v>MAX : 0.55
TARGET : 0.50
MIN : 0.45</v>
      </c>
    </row>
    <row r="1664" spans="2:18" ht="41.4" x14ac:dyDescent="0.3">
      <c r="B1664">
        <v>1</v>
      </c>
      <c r="C1664" s="33">
        <v>6923</v>
      </c>
      <c r="D1664" s="2">
        <v>1066</v>
      </c>
      <c r="E1664" s="2" t="s">
        <v>8633</v>
      </c>
      <c r="F1664" s="3" t="s">
        <v>14206</v>
      </c>
      <c r="H1664" s="3" t="s">
        <v>469</v>
      </c>
      <c r="K1664" t="s">
        <v>6295</v>
      </c>
      <c r="L1664" s="2">
        <v>2</v>
      </c>
      <c r="M1664" s="3" t="s">
        <v>198</v>
      </c>
      <c r="N1664" s="3" t="s">
        <v>2007</v>
      </c>
      <c r="O1664" s="3" t="s">
        <v>2008</v>
      </c>
      <c r="P1664" s="3" t="s">
        <v>2009</v>
      </c>
      <c r="Q1664" s="30" t="str">
        <f t="shared" si="25"/>
        <v>MAX : 3.20
TARGET : 3.17
MIN : 3.14</v>
      </c>
    </row>
    <row r="1665" spans="2:18" ht="41.4" x14ac:dyDescent="0.3">
      <c r="B1665">
        <v>0</v>
      </c>
      <c r="C1665" s="33">
        <v>7383</v>
      </c>
      <c r="D1665" s="2">
        <v>1878</v>
      </c>
      <c r="E1665" s="2" t="s">
        <v>9110</v>
      </c>
      <c r="F1665" s="3" t="s">
        <v>14206</v>
      </c>
      <c r="H1665" s="3" t="s">
        <v>261</v>
      </c>
      <c r="K1665" s="2">
        <v>20</v>
      </c>
      <c r="L1665" s="2">
        <v>3</v>
      </c>
      <c r="M1665" s="3" t="s">
        <v>1897</v>
      </c>
      <c r="N1665" s="3" t="s">
        <v>13</v>
      </c>
      <c r="O1665" s="3" t="s">
        <v>14</v>
      </c>
      <c r="Q1665" s="30" t="str">
        <f t="shared" si="25"/>
        <v>MAX : 
TARGET : Yes(Pass)
MIN : No(Fail)</v>
      </c>
    </row>
    <row r="1666" spans="2:18" ht="41.4" x14ac:dyDescent="0.3">
      <c r="B1666">
        <v>0</v>
      </c>
      <c r="C1666" s="33">
        <v>7383</v>
      </c>
      <c r="D1666" s="2">
        <v>1878</v>
      </c>
      <c r="E1666" s="2" t="s">
        <v>9110</v>
      </c>
      <c r="F1666" s="3" t="s">
        <v>14206</v>
      </c>
      <c r="H1666" s="3" t="s">
        <v>261</v>
      </c>
      <c r="K1666" s="2">
        <v>20</v>
      </c>
      <c r="L1666" s="2">
        <v>4</v>
      </c>
      <c r="M1666" s="3" t="s">
        <v>1898</v>
      </c>
      <c r="N1666" s="3" t="s">
        <v>13</v>
      </c>
      <c r="O1666" s="3" t="s">
        <v>14</v>
      </c>
      <c r="Q1666" s="30" t="str">
        <f t="shared" ref="Q1666:Q1729" si="26">"MAX : " &amp; P1666 &amp; CHAR(10) &amp; "TARGET : " &amp; O1666 &amp; CHAR(10) &amp; "MIN : " &amp; N1666</f>
        <v>MAX : 
TARGET : Yes(Pass)
MIN : No(Fail)</v>
      </c>
    </row>
    <row r="1667" spans="2:18" ht="41.4" x14ac:dyDescent="0.3">
      <c r="B1667">
        <v>0</v>
      </c>
      <c r="C1667" s="33">
        <v>7383</v>
      </c>
      <c r="D1667" s="2">
        <v>1878</v>
      </c>
      <c r="E1667" s="2" t="s">
        <v>9110</v>
      </c>
      <c r="F1667" s="3" t="s">
        <v>14206</v>
      </c>
      <c r="H1667" s="3" t="s">
        <v>261</v>
      </c>
      <c r="K1667" s="2">
        <v>20</v>
      </c>
      <c r="L1667" s="2">
        <v>5</v>
      </c>
      <c r="M1667" s="3" t="s">
        <v>1899</v>
      </c>
      <c r="N1667" s="3" t="s">
        <v>13</v>
      </c>
      <c r="O1667" s="3" t="s">
        <v>14</v>
      </c>
      <c r="Q1667" s="30" t="str">
        <f t="shared" si="26"/>
        <v>MAX : 
TARGET : Yes(Pass)
MIN : No(Fail)</v>
      </c>
    </row>
    <row r="1668" spans="2:18" ht="41.4" x14ac:dyDescent="0.3">
      <c r="B1668">
        <v>1</v>
      </c>
      <c r="C1668" s="33">
        <v>6923</v>
      </c>
      <c r="D1668" s="2">
        <v>1066</v>
      </c>
      <c r="E1668" s="2" t="s">
        <v>8633</v>
      </c>
      <c r="F1668" s="3" t="s">
        <v>14206</v>
      </c>
      <c r="H1668" s="3" t="s">
        <v>469</v>
      </c>
      <c r="K1668" t="s">
        <v>6295</v>
      </c>
      <c r="L1668" s="2">
        <v>1</v>
      </c>
      <c r="M1668" s="3" t="s">
        <v>194</v>
      </c>
      <c r="N1668" s="3" t="s">
        <v>2004</v>
      </c>
      <c r="O1668" s="3" t="s">
        <v>2005</v>
      </c>
      <c r="P1668" s="3" t="s">
        <v>2006</v>
      </c>
      <c r="Q1668" s="30" t="str">
        <f t="shared" si="26"/>
        <v>MAX : 6.42
TARGET : 6.39
MIN : 6.36</v>
      </c>
    </row>
    <row r="1669" spans="2:18" ht="41.4" x14ac:dyDescent="0.3">
      <c r="B1669">
        <v>1</v>
      </c>
      <c r="C1669" s="33">
        <v>6928</v>
      </c>
      <c r="D1669" s="2">
        <v>1848</v>
      </c>
      <c r="E1669" s="2" t="s">
        <v>8640</v>
      </c>
      <c r="F1669" s="3" t="s">
        <v>14207</v>
      </c>
      <c r="H1669" s="3" t="s">
        <v>721</v>
      </c>
      <c r="K1669" t="s">
        <v>6295</v>
      </c>
      <c r="L1669" s="2">
        <v>2</v>
      </c>
      <c r="M1669" s="3" t="s">
        <v>872</v>
      </c>
      <c r="N1669" s="3" t="s">
        <v>13</v>
      </c>
      <c r="O1669" s="3" t="s">
        <v>14</v>
      </c>
      <c r="Q1669" s="30" t="str">
        <f t="shared" si="26"/>
        <v>MAX : 
TARGET : Yes(Pass)
MIN : No(Fail)</v>
      </c>
    </row>
    <row r="1670" spans="2:18" ht="41.4" x14ac:dyDescent="0.3">
      <c r="B1670">
        <v>0</v>
      </c>
      <c r="C1670" s="33">
        <v>7393</v>
      </c>
      <c r="D1670" s="2">
        <v>1106</v>
      </c>
      <c r="E1670" s="2" t="s">
        <v>9128</v>
      </c>
      <c r="F1670" s="3" t="s">
        <v>14207</v>
      </c>
      <c r="H1670" s="3" t="s">
        <v>469</v>
      </c>
      <c r="K1670" s="2">
        <v>10</v>
      </c>
      <c r="L1670" s="2">
        <v>3</v>
      </c>
      <c r="M1670" s="3" t="s">
        <v>2251</v>
      </c>
      <c r="N1670" s="3" t="s">
        <v>13</v>
      </c>
      <c r="O1670" s="3" t="s">
        <v>14</v>
      </c>
      <c r="Q1670" s="30" t="str">
        <f t="shared" si="26"/>
        <v>MAX : 
TARGET : Yes(Pass)
MIN : No(Fail)</v>
      </c>
    </row>
    <row r="1671" spans="2:18" ht="41.4" x14ac:dyDescent="0.3">
      <c r="B1671">
        <v>1</v>
      </c>
      <c r="C1671" s="33">
        <v>6928</v>
      </c>
      <c r="D1671" s="2">
        <v>1848</v>
      </c>
      <c r="E1671" s="2" t="s">
        <v>8640</v>
      </c>
      <c r="F1671" s="3" t="s">
        <v>14207</v>
      </c>
      <c r="H1671" s="3" t="s">
        <v>721</v>
      </c>
      <c r="K1671" t="s">
        <v>6295</v>
      </c>
      <c r="L1671" s="2">
        <v>1</v>
      </c>
      <c r="M1671" s="3" t="s">
        <v>99</v>
      </c>
      <c r="N1671" s="3" t="s">
        <v>2013</v>
      </c>
      <c r="O1671" s="3" t="s">
        <v>461</v>
      </c>
      <c r="P1671" s="3" t="s">
        <v>2014</v>
      </c>
      <c r="Q1671" s="30" t="str">
        <f t="shared" si="26"/>
        <v>MAX : 7
TARGET : 6
MIN : 5</v>
      </c>
    </row>
    <row r="1672" spans="2:18" ht="41.4" x14ac:dyDescent="0.3">
      <c r="B1672">
        <v>1</v>
      </c>
      <c r="C1672" s="33">
        <v>6931</v>
      </c>
      <c r="D1672" s="2">
        <v>1067</v>
      </c>
      <c r="E1672" s="2" t="s">
        <v>8646</v>
      </c>
      <c r="F1672" s="3" t="s">
        <v>14206</v>
      </c>
      <c r="H1672" s="3" t="s">
        <v>648</v>
      </c>
      <c r="K1672" s="2">
        <v>10</v>
      </c>
      <c r="L1672" s="2">
        <v>2</v>
      </c>
      <c r="M1672" s="3" t="s">
        <v>194</v>
      </c>
      <c r="N1672" s="3" t="s">
        <v>2017</v>
      </c>
      <c r="O1672" s="3" t="s">
        <v>2018</v>
      </c>
      <c r="P1672" s="3" t="s">
        <v>1772</v>
      </c>
      <c r="Q1672" s="30" t="str">
        <f t="shared" si="26"/>
        <v>MAX : 3.28
TARGET : 3.22
MIN : 3.16</v>
      </c>
    </row>
    <row r="1673" spans="2:18" ht="41.4" x14ac:dyDescent="0.3">
      <c r="B1673">
        <v>0</v>
      </c>
      <c r="C1673" s="33">
        <v>7307</v>
      </c>
      <c r="D1673" s="2">
        <v>1101</v>
      </c>
      <c r="E1673" s="2" t="s">
        <v>9054</v>
      </c>
      <c r="F1673" s="3" t="s">
        <v>14207</v>
      </c>
      <c r="H1673" s="3" t="s">
        <v>810</v>
      </c>
      <c r="K1673" s="2">
        <v>20</v>
      </c>
      <c r="L1673" s="2">
        <v>3</v>
      </c>
      <c r="M1673" s="3" t="s">
        <v>2258</v>
      </c>
      <c r="N1673" s="3" t="s">
        <v>13</v>
      </c>
      <c r="O1673" s="3" t="s">
        <v>14</v>
      </c>
      <c r="Q1673" s="30" t="str">
        <f t="shared" si="26"/>
        <v>MAX : 
TARGET : Yes(Pass)
MIN : No(Fail)</v>
      </c>
    </row>
    <row r="1674" spans="2:18" ht="41.4" x14ac:dyDescent="0.3">
      <c r="B1674">
        <v>1</v>
      </c>
      <c r="C1674" s="33">
        <v>6931</v>
      </c>
      <c r="D1674" s="2">
        <v>1067</v>
      </c>
      <c r="E1674" s="2" t="s">
        <v>8646</v>
      </c>
      <c r="F1674" s="3" t="s">
        <v>14206</v>
      </c>
      <c r="H1674" s="3" t="s">
        <v>648</v>
      </c>
      <c r="K1674" s="2">
        <v>10</v>
      </c>
      <c r="L1674" s="2">
        <v>1</v>
      </c>
      <c r="M1674" s="3" t="s">
        <v>198</v>
      </c>
      <c r="N1674" s="3" t="s">
        <v>2016</v>
      </c>
      <c r="O1674" s="3" t="s">
        <v>1656</v>
      </c>
      <c r="P1674" s="3" t="s">
        <v>966</v>
      </c>
      <c r="Q1674" s="30" t="str">
        <f t="shared" si="26"/>
        <v>MAX : 7.00
TARGET : 6.94
MIN : 6.88</v>
      </c>
    </row>
    <row r="1675" spans="2:18" ht="41.4" x14ac:dyDescent="0.3">
      <c r="B1675">
        <v>1</v>
      </c>
      <c r="C1675" s="33">
        <v>6931</v>
      </c>
      <c r="D1675" s="2">
        <v>1067</v>
      </c>
      <c r="E1675" s="2" t="s">
        <v>8646</v>
      </c>
      <c r="F1675" s="3" t="s">
        <v>14206</v>
      </c>
      <c r="H1675" s="3" t="s">
        <v>648</v>
      </c>
      <c r="K1675" s="2">
        <v>20</v>
      </c>
      <c r="L1675" s="2">
        <v>5</v>
      </c>
      <c r="M1675" s="3" t="s">
        <v>3075</v>
      </c>
      <c r="N1675" s="3" t="s">
        <v>1619</v>
      </c>
      <c r="O1675" s="3" t="s">
        <v>1620</v>
      </c>
      <c r="Q1675" s="30" t="str">
        <f t="shared" si="26"/>
        <v>MAX : 
TARGET : Yes (pass)
MIN : No (fail)</v>
      </c>
    </row>
    <row r="1676" spans="2:18" ht="41.4" x14ac:dyDescent="0.3">
      <c r="B1676">
        <v>0</v>
      </c>
      <c r="C1676" s="33">
        <v>7407</v>
      </c>
      <c r="D1676" s="2">
        <v>1881</v>
      </c>
      <c r="E1676" s="2" t="s">
        <v>9134</v>
      </c>
      <c r="F1676" s="3" t="s">
        <v>14207</v>
      </c>
      <c r="H1676" s="3" t="s">
        <v>721</v>
      </c>
      <c r="K1676" s="2">
        <v>10</v>
      </c>
      <c r="L1676" s="2">
        <v>3</v>
      </c>
      <c r="M1676" s="3" t="s">
        <v>2192</v>
      </c>
      <c r="N1676" s="3" t="s">
        <v>124</v>
      </c>
      <c r="O1676" s="3" t="s">
        <v>123</v>
      </c>
      <c r="Q1676" s="30" t="str">
        <f t="shared" si="26"/>
        <v>MAX : 
TARGET : No (Pass)
MIN : Yes (Fail)</v>
      </c>
    </row>
    <row r="1677" spans="2:18" ht="41.4" x14ac:dyDescent="0.3">
      <c r="B1677">
        <v>1</v>
      </c>
      <c r="C1677" s="33">
        <v>6931</v>
      </c>
      <c r="D1677" s="2">
        <v>1067</v>
      </c>
      <c r="E1677" s="2" t="s">
        <v>8646</v>
      </c>
      <c r="F1677" s="3" t="s">
        <v>14206</v>
      </c>
      <c r="H1677" s="3" t="s">
        <v>648</v>
      </c>
      <c r="K1677" s="2">
        <v>20</v>
      </c>
      <c r="L1677" s="2">
        <v>9</v>
      </c>
      <c r="M1677" s="3" t="s">
        <v>3293</v>
      </c>
      <c r="N1677" s="3" t="s">
        <v>1619</v>
      </c>
      <c r="O1677" s="3" t="s">
        <v>1620</v>
      </c>
      <c r="Q1677" s="30" t="str">
        <f t="shared" si="26"/>
        <v>MAX : 
TARGET : Yes (pass)
MIN : No (fail)</v>
      </c>
    </row>
    <row r="1678" spans="2:18" ht="41.4" x14ac:dyDescent="0.3">
      <c r="B1678">
        <v>0</v>
      </c>
      <c r="C1678" s="33">
        <v>6761</v>
      </c>
      <c r="D1678" s="2">
        <v>1045</v>
      </c>
      <c r="E1678" s="2" t="s">
        <v>8471</v>
      </c>
      <c r="F1678" s="3" t="s">
        <v>14206</v>
      </c>
      <c r="H1678" s="3" t="s">
        <v>648</v>
      </c>
      <c r="K1678" s="2">
        <v>30</v>
      </c>
      <c r="L1678" s="2">
        <v>7</v>
      </c>
      <c r="M1678" s="3" t="s">
        <v>5671</v>
      </c>
      <c r="N1678" s="3" t="s">
        <v>2311</v>
      </c>
      <c r="O1678" s="3" t="s">
        <v>101</v>
      </c>
      <c r="P1678" s="3" t="s">
        <v>2312</v>
      </c>
      <c r="Q1678" s="30" t="str">
        <f t="shared" si="26"/>
        <v>MAX : 0.640
TARGET : 0.625
MIN : 0.610</v>
      </c>
      <c r="R1678" s="3" t="s">
        <v>1638</v>
      </c>
    </row>
    <row r="1679" spans="2:18" ht="41.4" x14ac:dyDescent="0.3">
      <c r="B1679">
        <v>0</v>
      </c>
      <c r="C1679" s="33">
        <v>6761</v>
      </c>
      <c r="D1679" s="2">
        <v>1045</v>
      </c>
      <c r="E1679" s="2" t="s">
        <v>8471</v>
      </c>
      <c r="F1679" s="3" t="s">
        <v>14206</v>
      </c>
      <c r="H1679" s="3" t="s">
        <v>648</v>
      </c>
      <c r="K1679" s="2">
        <v>30</v>
      </c>
      <c r="L1679" s="2">
        <v>11</v>
      </c>
      <c r="M1679" s="3" t="s">
        <v>6048</v>
      </c>
      <c r="N1679" s="3" t="s">
        <v>24</v>
      </c>
      <c r="O1679" s="3" t="s">
        <v>25</v>
      </c>
      <c r="Q1679" s="30" t="str">
        <f t="shared" si="26"/>
        <v>MAX : 
TARGET : Yes (Pass)
MIN : No (Fail)</v>
      </c>
      <c r="R1679" s="3" t="s">
        <v>1638</v>
      </c>
    </row>
    <row r="1680" spans="2:18" ht="41.4" x14ac:dyDescent="0.3">
      <c r="B1680">
        <v>1</v>
      </c>
      <c r="C1680" s="33">
        <v>6931</v>
      </c>
      <c r="D1680" s="2">
        <v>1067</v>
      </c>
      <c r="E1680" s="2" t="s">
        <v>8646</v>
      </c>
      <c r="F1680" s="3" t="s">
        <v>14206</v>
      </c>
      <c r="H1680" s="3" t="s">
        <v>648</v>
      </c>
      <c r="K1680" s="2">
        <v>20</v>
      </c>
      <c r="L1680" s="2">
        <v>10</v>
      </c>
      <c r="M1680" s="3" t="s">
        <v>2993</v>
      </c>
      <c r="N1680" s="3" t="s">
        <v>1619</v>
      </c>
      <c r="O1680" s="3" t="s">
        <v>1620</v>
      </c>
      <c r="Q1680" s="30" t="str">
        <f t="shared" si="26"/>
        <v>MAX : 
TARGET : Yes (pass)
MIN : No (fail)</v>
      </c>
    </row>
    <row r="1681" spans="2:17" ht="41.4" x14ac:dyDescent="0.3">
      <c r="B1681">
        <v>0</v>
      </c>
      <c r="C1681" s="33">
        <v>7432</v>
      </c>
      <c r="D1681" s="2">
        <v>1884</v>
      </c>
      <c r="E1681" s="2" t="s">
        <v>9161</v>
      </c>
      <c r="F1681" s="3" t="s">
        <v>14206</v>
      </c>
      <c r="H1681" s="3" t="s">
        <v>1903</v>
      </c>
      <c r="K1681" s="2">
        <v>10</v>
      </c>
      <c r="L1681" s="2">
        <v>3</v>
      </c>
      <c r="M1681" s="3" t="s">
        <v>2263</v>
      </c>
      <c r="N1681" s="3" t="s">
        <v>13</v>
      </c>
      <c r="O1681" s="3" t="s">
        <v>14</v>
      </c>
      <c r="Q1681" s="30" t="str">
        <f t="shared" si="26"/>
        <v>MAX : 
TARGET : Yes(Pass)
MIN : No(Fail)</v>
      </c>
    </row>
    <row r="1682" spans="2:17" ht="41.4" x14ac:dyDescent="0.3">
      <c r="B1682">
        <v>0</v>
      </c>
      <c r="C1682" s="33">
        <v>7432</v>
      </c>
      <c r="D1682" s="2">
        <v>1884</v>
      </c>
      <c r="E1682" s="2" t="s">
        <v>9161</v>
      </c>
      <c r="F1682" s="3" t="s">
        <v>14206</v>
      </c>
      <c r="H1682" s="3" t="s">
        <v>1903</v>
      </c>
      <c r="K1682" s="2">
        <v>10</v>
      </c>
      <c r="L1682" s="2">
        <v>4</v>
      </c>
      <c r="M1682" s="3" t="s">
        <v>2264</v>
      </c>
      <c r="N1682" s="3" t="s">
        <v>13</v>
      </c>
      <c r="O1682" s="3" t="s">
        <v>14</v>
      </c>
      <c r="Q1682" s="30" t="str">
        <f t="shared" si="26"/>
        <v>MAX : 
TARGET : Yes(Pass)
MIN : No(Fail)</v>
      </c>
    </row>
    <row r="1683" spans="2:17" ht="41.4" x14ac:dyDescent="0.3">
      <c r="B1683">
        <v>1</v>
      </c>
      <c r="C1683" s="33">
        <v>6931</v>
      </c>
      <c r="D1683" s="2">
        <v>1067</v>
      </c>
      <c r="E1683" s="2" t="s">
        <v>8646</v>
      </c>
      <c r="F1683" s="3" t="s">
        <v>14206</v>
      </c>
      <c r="H1683" s="3" t="s">
        <v>648</v>
      </c>
      <c r="K1683" s="2">
        <v>20</v>
      </c>
      <c r="L1683" s="2">
        <v>11</v>
      </c>
      <c r="M1683" s="3" t="s">
        <v>3443</v>
      </c>
      <c r="N1683" s="3" t="s">
        <v>1619</v>
      </c>
      <c r="O1683" s="3" t="s">
        <v>1620</v>
      </c>
      <c r="Q1683" s="30" t="str">
        <f t="shared" si="26"/>
        <v>MAX : 
TARGET : Yes (pass)
MIN : No (fail)</v>
      </c>
    </row>
    <row r="1684" spans="2:17" ht="41.4" x14ac:dyDescent="0.3">
      <c r="B1684">
        <v>1</v>
      </c>
      <c r="C1684" s="33">
        <v>6931</v>
      </c>
      <c r="D1684" s="2">
        <v>1067</v>
      </c>
      <c r="E1684" s="2" t="s">
        <v>8646</v>
      </c>
      <c r="F1684" s="3" t="s">
        <v>14206</v>
      </c>
      <c r="H1684" s="3" t="s">
        <v>648</v>
      </c>
      <c r="K1684" s="2">
        <v>20</v>
      </c>
      <c r="L1684" s="2">
        <v>12</v>
      </c>
      <c r="M1684" s="3" t="s">
        <v>3450</v>
      </c>
      <c r="N1684" s="3" t="s">
        <v>1619</v>
      </c>
      <c r="O1684" s="3" t="s">
        <v>1620</v>
      </c>
      <c r="Q1684" s="30" t="str">
        <f t="shared" si="26"/>
        <v>MAX : 
TARGET : Yes (pass)
MIN : No (fail)</v>
      </c>
    </row>
    <row r="1685" spans="2:17" ht="41.4" x14ac:dyDescent="0.3">
      <c r="B1685">
        <v>0</v>
      </c>
      <c r="C1685" s="33">
        <v>7455</v>
      </c>
      <c r="D1685" s="2">
        <v>1888</v>
      </c>
      <c r="E1685" s="2" t="s">
        <v>9193</v>
      </c>
      <c r="F1685" s="3" t="s">
        <v>14207</v>
      </c>
      <c r="H1685" s="3" t="s">
        <v>50</v>
      </c>
      <c r="K1685" s="2">
        <v>10</v>
      </c>
      <c r="L1685" s="2">
        <v>3</v>
      </c>
      <c r="M1685" s="3" t="s">
        <v>611</v>
      </c>
      <c r="N1685" s="3" t="s">
        <v>13</v>
      </c>
      <c r="O1685" s="3" t="s">
        <v>14</v>
      </c>
      <c r="Q1685" s="30" t="str">
        <f t="shared" si="26"/>
        <v>MAX : 
TARGET : Yes(Pass)
MIN : No(Fail)</v>
      </c>
    </row>
    <row r="1686" spans="2:17" ht="41.4" x14ac:dyDescent="0.3">
      <c r="B1686">
        <v>1</v>
      </c>
      <c r="C1686" s="33">
        <v>6931</v>
      </c>
      <c r="D1686" s="2">
        <v>1067</v>
      </c>
      <c r="E1686" s="2" t="s">
        <v>8646</v>
      </c>
      <c r="F1686" s="3" t="s">
        <v>14206</v>
      </c>
      <c r="H1686" s="3" t="s">
        <v>648</v>
      </c>
      <c r="K1686" s="2">
        <v>10</v>
      </c>
      <c r="L1686" s="2">
        <v>4.0999999999999996</v>
      </c>
      <c r="Q1686" s="30" t="str">
        <f t="shared" si="26"/>
        <v xml:space="preserve">MAX : 
TARGET : 
MIN : </v>
      </c>
    </row>
    <row r="1687" spans="2:17" ht="41.4" x14ac:dyDescent="0.3">
      <c r="B1687">
        <v>1</v>
      </c>
      <c r="C1687" s="33">
        <v>6931</v>
      </c>
      <c r="D1687" s="2">
        <v>1067</v>
      </c>
      <c r="E1687" s="2" t="s">
        <v>8646</v>
      </c>
      <c r="F1687" s="3" t="s">
        <v>14206</v>
      </c>
      <c r="H1687" s="3" t="s">
        <v>648</v>
      </c>
      <c r="K1687" s="2">
        <v>20</v>
      </c>
      <c r="L1687" s="2">
        <v>6</v>
      </c>
      <c r="M1687" s="3" t="s">
        <v>3076</v>
      </c>
      <c r="N1687" s="3" t="s">
        <v>1619</v>
      </c>
      <c r="O1687" s="3" t="s">
        <v>1620</v>
      </c>
      <c r="Q1687" s="30" t="str">
        <f t="shared" si="26"/>
        <v>MAX : 
TARGET : Yes (pass)
MIN : No (fail)</v>
      </c>
    </row>
    <row r="1688" spans="2:17" ht="41.4" x14ac:dyDescent="0.3">
      <c r="B1688">
        <v>0</v>
      </c>
      <c r="C1688" s="33">
        <v>7458</v>
      </c>
      <c r="D1688" s="2">
        <v>1109</v>
      </c>
      <c r="E1688" s="2" t="s">
        <v>9199</v>
      </c>
      <c r="F1688" s="3" t="s">
        <v>14206</v>
      </c>
      <c r="H1688" s="3" t="s">
        <v>30</v>
      </c>
      <c r="K1688" s="2">
        <v>10</v>
      </c>
      <c r="L1688" s="2">
        <v>3</v>
      </c>
      <c r="M1688" s="3" t="s">
        <v>2265</v>
      </c>
      <c r="N1688" s="3" t="s">
        <v>13</v>
      </c>
      <c r="O1688" s="3" t="s">
        <v>14</v>
      </c>
      <c r="Q1688" s="30" t="str">
        <f t="shared" si="26"/>
        <v>MAX : 
TARGET : Yes(Pass)
MIN : No(Fail)</v>
      </c>
    </row>
    <row r="1689" spans="2:17" ht="41.4" x14ac:dyDescent="0.3">
      <c r="B1689">
        <v>1</v>
      </c>
      <c r="C1689" s="33">
        <v>6931</v>
      </c>
      <c r="D1689" s="2">
        <v>1067</v>
      </c>
      <c r="E1689" s="2" t="s">
        <v>8646</v>
      </c>
      <c r="F1689" s="3" t="s">
        <v>14206</v>
      </c>
      <c r="H1689" s="3" t="s">
        <v>648</v>
      </c>
      <c r="K1689" s="2">
        <v>10</v>
      </c>
      <c r="L1689" s="2">
        <v>0</v>
      </c>
      <c r="M1689" s="3" t="s">
        <v>3451</v>
      </c>
      <c r="N1689" s="3" t="s">
        <v>1619</v>
      </c>
      <c r="O1689" s="3" t="s">
        <v>1620</v>
      </c>
      <c r="Q1689" s="30" t="str">
        <f t="shared" si="26"/>
        <v>MAX : 
TARGET : Yes (pass)
MIN : No (fail)</v>
      </c>
    </row>
    <row r="1690" spans="2:17" ht="41.4" x14ac:dyDescent="0.3">
      <c r="B1690">
        <v>1</v>
      </c>
      <c r="C1690" s="33">
        <v>6931</v>
      </c>
      <c r="D1690" s="2">
        <v>1067</v>
      </c>
      <c r="E1690" s="2" t="s">
        <v>8646</v>
      </c>
      <c r="F1690" s="3" t="s">
        <v>14206</v>
      </c>
      <c r="H1690" s="3" t="s">
        <v>648</v>
      </c>
      <c r="K1690" s="2">
        <v>10</v>
      </c>
      <c r="L1690" s="2">
        <v>4.2</v>
      </c>
      <c r="Q1690" s="30" t="str">
        <f t="shared" si="26"/>
        <v xml:space="preserve">MAX : 
TARGET : 
MIN : </v>
      </c>
    </row>
    <row r="1691" spans="2:17" ht="41.4" x14ac:dyDescent="0.3">
      <c r="B1691">
        <v>1</v>
      </c>
      <c r="C1691" s="33">
        <v>6945</v>
      </c>
      <c r="D1691" s="2">
        <v>1068</v>
      </c>
      <c r="E1691" s="2" t="s">
        <v>8655</v>
      </c>
      <c r="F1691" s="3" t="s">
        <v>14206</v>
      </c>
      <c r="H1691" s="3" t="s">
        <v>426</v>
      </c>
      <c r="K1691" s="2">
        <v>20</v>
      </c>
      <c r="L1691" s="2">
        <v>2</v>
      </c>
      <c r="M1691" s="3" t="s">
        <v>2022</v>
      </c>
      <c r="N1691" s="3" t="s">
        <v>1703</v>
      </c>
      <c r="O1691" s="3" t="s">
        <v>1814</v>
      </c>
      <c r="P1691" s="3" t="s">
        <v>2023</v>
      </c>
      <c r="Q1691" s="30" t="str">
        <f t="shared" si="26"/>
        <v>MAX : 0.66
TARGET : 0.63
MIN : 0.60</v>
      </c>
    </row>
    <row r="1692" spans="2:17" ht="41.4" x14ac:dyDescent="0.3">
      <c r="B1692">
        <v>1</v>
      </c>
      <c r="C1692" s="33">
        <v>6945</v>
      </c>
      <c r="D1692" s="2">
        <v>1068</v>
      </c>
      <c r="E1692" s="2" t="s">
        <v>8655</v>
      </c>
      <c r="F1692" s="3" t="s">
        <v>14206</v>
      </c>
      <c r="H1692" s="3" t="s">
        <v>426</v>
      </c>
      <c r="K1692" s="2">
        <v>20</v>
      </c>
      <c r="L1692" s="2">
        <v>1</v>
      </c>
      <c r="M1692" s="3" t="s">
        <v>194</v>
      </c>
      <c r="N1692" s="3" t="s">
        <v>752</v>
      </c>
      <c r="O1692" s="3" t="s">
        <v>345</v>
      </c>
      <c r="P1692" s="3" t="s">
        <v>1769</v>
      </c>
      <c r="Q1692" s="30" t="str">
        <f t="shared" si="26"/>
        <v>MAX : 1.78
TARGET : 1.75
MIN : 1.72</v>
      </c>
    </row>
    <row r="1693" spans="2:17" ht="41.4" x14ac:dyDescent="0.3">
      <c r="B1693">
        <v>1</v>
      </c>
      <c r="C1693" s="33">
        <v>6960</v>
      </c>
      <c r="D1693" s="2">
        <v>1069</v>
      </c>
      <c r="E1693" s="2" t="s">
        <v>8668</v>
      </c>
      <c r="F1693" s="3" t="s">
        <v>14206</v>
      </c>
      <c r="H1693" s="3" t="s">
        <v>962</v>
      </c>
      <c r="K1693" s="2">
        <v>10</v>
      </c>
      <c r="L1693" s="2">
        <v>2</v>
      </c>
      <c r="M1693" s="3" t="s">
        <v>18</v>
      </c>
      <c r="N1693" s="3" t="s">
        <v>183</v>
      </c>
      <c r="O1693" s="3" t="s">
        <v>184</v>
      </c>
      <c r="P1693" s="3" t="s">
        <v>185</v>
      </c>
      <c r="Q1693" s="30" t="str">
        <f t="shared" si="26"/>
        <v>MAX : 5.03
TARGET : 5.00
MIN : 4.97</v>
      </c>
    </row>
    <row r="1694" spans="2:17" ht="41.4" x14ac:dyDescent="0.3">
      <c r="B1694">
        <v>0</v>
      </c>
      <c r="C1694" s="33">
        <v>7466</v>
      </c>
      <c r="D1694" s="2">
        <v>1889</v>
      </c>
      <c r="E1694" s="2" t="s">
        <v>9206</v>
      </c>
      <c r="F1694" s="3" t="s">
        <v>14206</v>
      </c>
      <c r="H1694" s="3" t="s">
        <v>289</v>
      </c>
      <c r="K1694" s="2">
        <v>10</v>
      </c>
      <c r="L1694" s="2">
        <v>3</v>
      </c>
      <c r="M1694" s="3" t="s">
        <v>611</v>
      </c>
      <c r="N1694" s="3" t="s">
        <v>13</v>
      </c>
      <c r="O1694" s="3" t="s">
        <v>14</v>
      </c>
      <c r="Q1694" s="30" t="str">
        <f t="shared" si="26"/>
        <v>MAX : 
TARGET : Yes(Pass)
MIN : No(Fail)</v>
      </c>
    </row>
    <row r="1695" spans="2:17" ht="41.4" x14ac:dyDescent="0.3">
      <c r="B1695">
        <v>1</v>
      </c>
      <c r="C1695" s="33">
        <v>6960</v>
      </c>
      <c r="D1695" s="2">
        <v>1069</v>
      </c>
      <c r="E1695" s="2" t="s">
        <v>8668</v>
      </c>
      <c r="F1695" s="3" t="s">
        <v>14206</v>
      </c>
      <c r="H1695" s="3" t="s">
        <v>962</v>
      </c>
      <c r="K1695" s="2">
        <v>10</v>
      </c>
      <c r="L1695" s="2">
        <v>1</v>
      </c>
      <c r="M1695" s="3" t="s">
        <v>22</v>
      </c>
      <c r="N1695" s="3" t="s">
        <v>2033</v>
      </c>
      <c r="O1695" s="3" t="s">
        <v>2034</v>
      </c>
      <c r="P1695" s="3" t="s">
        <v>2035</v>
      </c>
      <c r="Q1695" s="30" t="str">
        <f t="shared" si="26"/>
        <v>MAX : .78
TARGET : .75
MIN : .72</v>
      </c>
    </row>
    <row r="1696" spans="2:17" ht="41.4" x14ac:dyDescent="0.3">
      <c r="B1696">
        <v>1</v>
      </c>
      <c r="C1696" s="33">
        <v>6960</v>
      </c>
      <c r="D1696" s="2">
        <v>1069</v>
      </c>
      <c r="E1696" s="2" t="s">
        <v>8668</v>
      </c>
      <c r="F1696" s="3" t="s">
        <v>14206</v>
      </c>
      <c r="H1696" s="3" t="s">
        <v>962</v>
      </c>
      <c r="K1696" s="2">
        <v>10</v>
      </c>
      <c r="L1696" s="2">
        <v>5</v>
      </c>
      <c r="M1696" s="3" t="s">
        <v>605</v>
      </c>
      <c r="N1696" s="3" t="s">
        <v>13</v>
      </c>
      <c r="O1696" s="3" t="s">
        <v>14</v>
      </c>
      <c r="Q1696" s="30" t="str">
        <f t="shared" si="26"/>
        <v>MAX : 
TARGET : Yes(Pass)
MIN : No(Fail)</v>
      </c>
    </row>
    <row r="1697" spans="2:18" ht="41.4" x14ac:dyDescent="0.3">
      <c r="B1697">
        <v>1</v>
      </c>
      <c r="C1697" s="33">
        <v>6968</v>
      </c>
      <c r="D1697" s="2">
        <v>1850</v>
      </c>
      <c r="E1697" s="2" t="s">
        <v>8674</v>
      </c>
      <c r="F1697" s="3" t="s">
        <v>14206</v>
      </c>
      <c r="H1697" s="3" t="s">
        <v>656</v>
      </c>
      <c r="K1697" s="2">
        <v>20</v>
      </c>
      <c r="L1697" s="2">
        <v>2</v>
      </c>
      <c r="M1697" s="3" t="s">
        <v>1778</v>
      </c>
      <c r="N1697" s="3" t="s">
        <v>1781</v>
      </c>
      <c r="O1697" s="3" t="s">
        <v>272</v>
      </c>
      <c r="P1697" s="3" t="s">
        <v>1782</v>
      </c>
      <c r="Q1697" s="30" t="str">
        <f t="shared" si="26"/>
        <v>MAX : 1.02
TARGET : 1.00
MIN : 0.98</v>
      </c>
    </row>
    <row r="1698" spans="2:18" ht="41.4" x14ac:dyDescent="0.3">
      <c r="B1698">
        <v>0</v>
      </c>
      <c r="C1698" s="33">
        <v>7413</v>
      </c>
      <c r="D1698" s="2">
        <v>1107</v>
      </c>
      <c r="E1698" s="2" t="s">
        <v>9148</v>
      </c>
      <c r="F1698" s="3" t="s">
        <v>14206</v>
      </c>
      <c r="H1698" s="3" t="s">
        <v>648</v>
      </c>
      <c r="K1698" s="2">
        <v>10</v>
      </c>
      <c r="L1698" s="2">
        <v>3</v>
      </c>
      <c r="M1698" s="3" t="s">
        <v>2273</v>
      </c>
      <c r="N1698" s="3" t="s">
        <v>24</v>
      </c>
      <c r="O1698" s="3" t="s">
        <v>25</v>
      </c>
      <c r="Q1698" s="30" t="str">
        <f t="shared" si="26"/>
        <v>MAX : 
TARGET : Yes (Pass)
MIN : No (Fail)</v>
      </c>
      <c r="R1698" s="3" t="s">
        <v>2271</v>
      </c>
    </row>
    <row r="1699" spans="2:18" ht="41.4" x14ac:dyDescent="0.3">
      <c r="B1699">
        <v>0</v>
      </c>
      <c r="C1699" s="33">
        <v>7413</v>
      </c>
      <c r="D1699" s="2">
        <v>1107</v>
      </c>
      <c r="E1699" s="2" t="s">
        <v>9148</v>
      </c>
      <c r="F1699" s="3" t="s">
        <v>14206</v>
      </c>
      <c r="H1699" s="3" t="s">
        <v>648</v>
      </c>
      <c r="K1699" s="2">
        <v>10</v>
      </c>
      <c r="L1699" s="2">
        <v>4</v>
      </c>
      <c r="M1699" s="3" t="s">
        <v>2274</v>
      </c>
      <c r="N1699" s="3" t="s">
        <v>24</v>
      </c>
      <c r="O1699" s="3" t="s">
        <v>25</v>
      </c>
      <c r="Q1699" s="30" t="str">
        <f t="shared" si="26"/>
        <v>MAX : 
TARGET : Yes (Pass)
MIN : No (Fail)</v>
      </c>
      <c r="R1699" s="3" t="s">
        <v>2271</v>
      </c>
    </row>
    <row r="1700" spans="2:18" ht="41.4" x14ac:dyDescent="0.3">
      <c r="B1700">
        <v>0</v>
      </c>
      <c r="C1700" s="33">
        <v>7413</v>
      </c>
      <c r="D1700" s="2">
        <v>1107</v>
      </c>
      <c r="E1700" s="2" t="s">
        <v>9148</v>
      </c>
      <c r="F1700" s="3" t="s">
        <v>14206</v>
      </c>
      <c r="H1700" s="3" t="s">
        <v>648</v>
      </c>
      <c r="K1700" s="2">
        <v>10</v>
      </c>
      <c r="L1700" s="2">
        <v>5</v>
      </c>
      <c r="M1700" s="3" t="s">
        <v>2275</v>
      </c>
      <c r="N1700" s="3" t="s">
        <v>24</v>
      </c>
      <c r="O1700" s="3" t="s">
        <v>25</v>
      </c>
      <c r="Q1700" s="30" t="str">
        <f t="shared" si="26"/>
        <v>MAX : 
TARGET : Yes (Pass)
MIN : No (Fail)</v>
      </c>
      <c r="R1700" s="3" t="s">
        <v>2271</v>
      </c>
    </row>
    <row r="1701" spans="2:18" ht="41.4" x14ac:dyDescent="0.3">
      <c r="B1701">
        <v>0</v>
      </c>
      <c r="C1701" s="33">
        <v>7413</v>
      </c>
      <c r="D1701" s="2">
        <v>1107</v>
      </c>
      <c r="E1701" s="2" t="s">
        <v>9148</v>
      </c>
      <c r="F1701" s="3" t="s">
        <v>14206</v>
      </c>
      <c r="H1701" s="3" t="s">
        <v>648</v>
      </c>
      <c r="K1701" s="2">
        <v>10</v>
      </c>
      <c r="L1701" s="2">
        <v>6</v>
      </c>
      <c r="M1701" s="3" t="s">
        <v>2276</v>
      </c>
      <c r="N1701" s="3" t="s">
        <v>13</v>
      </c>
      <c r="O1701" s="3" t="s">
        <v>14</v>
      </c>
      <c r="Q1701" s="30" t="str">
        <f t="shared" si="26"/>
        <v>MAX : 
TARGET : Yes(Pass)
MIN : No(Fail)</v>
      </c>
      <c r="R1701" s="3" t="s">
        <v>2271</v>
      </c>
    </row>
    <row r="1702" spans="2:18" ht="41.4" x14ac:dyDescent="0.3">
      <c r="B1702">
        <v>0</v>
      </c>
      <c r="C1702" s="33">
        <v>7413</v>
      </c>
      <c r="D1702" s="2">
        <v>1107</v>
      </c>
      <c r="E1702" s="2" t="s">
        <v>9148</v>
      </c>
      <c r="F1702" s="3" t="s">
        <v>14206</v>
      </c>
      <c r="H1702" s="3" t="s">
        <v>648</v>
      </c>
      <c r="K1702" s="2">
        <v>10</v>
      </c>
      <c r="L1702" s="2">
        <v>7</v>
      </c>
      <c r="M1702" s="3" t="s">
        <v>2049</v>
      </c>
      <c r="N1702" s="3" t="s">
        <v>13</v>
      </c>
      <c r="O1702" s="3" t="s">
        <v>14</v>
      </c>
      <c r="Q1702" s="30" t="str">
        <f t="shared" si="26"/>
        <v>MAX : 
TARGET : Yes(Pass)
MIN : No(Fail)</v>
      </c>
      <c r="R1702" s="3" t="s">
        <v>2271</v>
      </c>
    </row>
    <row r="1703" spans="2:18" ht="41.4" x14ac:dyDescent="0.3">
      <c r="B1703">
        <v>1</v>
      </c>
      <c r="C1703" s="33">
        <v>6968</v>
      </c>
      <c r="D1703" s="2">
        <v>1850</v>
      </c>
      <c r="E1703" s="2" t="s">
        <v>8674</v>
      </c>
      <c r="F1703" s="3" t="s">
        <v>14206</v>
      </c>
      <c r="H1703" s="3" t="s">
        <v>656</v>
      </c>
      <c r="K1703" s="2">
        <v>20</v>
      </c>
      <c r="L1703" s="2">
        <v>1</v>
      </c>
      <c r="M1703" s="3" t="s">
        <v>1777</v>
      </c>
      <c r="N1703" s="3" t="s">
        <v>462</v>
      </c>
      <c r="O1703" s="3" t="s">
        <v>424</v>
      </c>
      <c r="P1703" s="3" t="s">
        <v>463</v>
      </c>
      <c r="Q1703" s="30" t="str">
        <f t="shared" si="26"/>
        <v>MAX : 0.28
TARGET : 0.25
MIN : 0.22</v>
      </c>
    </row>
    <row r="1704" spans="2:18" ht="41.4" x14ac:dyDescent="0.3">
      <c r="B1704">
        <v>0</v>
      </c>
      <c r="C1704" s="33">
        <v>6800</v>
      </c>
      <c r="D1704" s="2">
        <v>1048</v>
      </c>
      <c r="E1704" s="2" t="s">
        <v>8525</v>
      </c>
      <c r="F1704" s="3" t="s">
        <v>14206</v>
      </c>
      <c r="H1704" s="3" t="s">
        <v>1328</v>
      </c>
      <c r="K1704" s="2">
        <v>20</v>
      </c>
      <c r="L1704" s="2">
        <v>3</v>
      </c>
      <c r="M1704" s="3" t="s">
        <v>1981</v>
      </c>
      <c r="N1704" s="3" t="s">
        <v>13</v>
      </c>
      <c r="O1704" s="3" t="s">
        <v>14</v>
      </c>
      <c r="Q1704" s="30" t="str">
        <f t="shared" si="26"/>
        <v>MAX : 
TARGET : Yes(Pass)
MIN : No(Fail)</v>
      </c>
    </row>
    <row r="1705" spans="2:18" ht="41.4" x14ac:dyDescent="0.3">
      <c r="B1705">
        <v>1</v>
      </c>
      <c r="C1705" s="33">
        <v>6968</v>
      </c>
      <c r="D1705" s="2">
        <v>1850</v>
      </c>
      <c r="E1705" s="2" t="s">
        <v>8674</v>
      </c>
      <c r="F1705" s="3" t="s">
        <v>14206</v>
      </c>
      <c r="H1705" s="3" t="s">
        <v>656</v>
      </c>
      <c r="K1705" s="2">
        <v>20</v>
      </c>
      <c r="L1705" s="2">
        <v>6</v>
      </c>
      <c r="M1705" s="3" t="s">
        <v>3622</v>
      </c>
      <c r="N1705" s="3" t="s">
        <v>24</v>
      </c>
      <c r="O1705" s="3" t="s">
        <v>25</v>
      </c>
      <c r="Q1705" s="30" t="str">
        <f t="shared" si="26"/>
        <v>MAX : 
TARGET : Yes (Pass)
MIN : No (Fail)</v>
      </c>
    </row>
    <row r="1706" spans="2:18" ht="41.4" x14ac:dyDescent="0.3">
      <c r="B1706">
        <v>0</v>
      </c>
      <c r="C1706" s="33">
        <v>7485</v>
      </c>
      <c r="D1706" s="2">
        <v>1113</v>
      </c>
      <c r="E1706" s="2" t="s">
        <v>9244</v>
      </c>
      <c r="F1706" s="3" t="s">
        <v>14206</v>
      </c>
      <c r="H1706" s="3" t="s">
        <v>648</v>
      </c>
      <c r="K1706" s="2">
        <v>30</v>
      </c>
      <c r="L1706" s="2">
        <v>3</v>
      </c>
      <c r="M1706" s="3" t="s">
        <v>2284</v>
      </c>
      <c r="N1706" s="3" t="s">
        <v>979</v>
      </c>
      <c r="O1706" s="3" t="s">
        <v>309</v>
      </c>
      <c r="P1706" s="3" t="s">
        <v>1531</v>
      </c>
      <c r="Q1706" s="30" t="str">
        <f t="shared" si="26"/>
        <v>MAX : 0.56
TARGET : 0.50
MIN : 0.44</v>
      </c>
      <c r="R1706" s="3" t="s">
        <v>2280</v>
      </c>
    </row>
    <row r="1707" spans="2:18" ht="41.4" x14ac:dyDescent="0.3">
      <c r="B1707">
        <v>0</v>
      </c>
      <c r="C1707" s="33">
        <v>7485</v>
      </c>
      <c r="D1707" s="2">
        <v>1113</v>
      </c>
      <c r="E1707" s="2" t="s">
        <v>9244</v>
      </c>
      <c r="F1707" s="3" t="s">
        <v>14206</v>
      </c>
      <c r="H1707" s="3" t="s">
        <v>648</v>
      </c>
      <c r="K1707" s="2">
        <v>30</v>
      </c>
      <c r="L1707" s="2">
        <v>4</v>
      </c>
      <c r="M1707" s="3" t="s">
        <v>2285</v>
      </c>
      <c r="N1707" s="3" t="s">
        <v>2286</v>
      </c>
      <c r="O1707" s="3" t="s">
        <v>132</v>
      </c>
      <c r="P1707" s="3" t="s">
        <v>2287</v>
      </c>
      <c r="Q1707" s="30" t="str">
        <f t="shared" si="26"/>
        <v>MAX : 0.81
TARGET : 0.75
MIN : 0.69</v>
      </c>
      <c r="R1707" s="3" t="s">
        <v>2280</v>
      </c>
    </row>
    <row r="1708" spans="2:18" ht="41.4" x14ac:dyDescent="0.3">
      <c r="B1708">
        <v>0</v>
      </c>
      <c r="C1708" s="33">
        <v>7485</v>
      </c>
      <c r="D1708" s="2">
        <v>1113</v>
      </c>
      <c r="E1708" s="2" t="s">
        <v>9244</v>
      </c>
      <c r="F1708" s="3" t="s">
        <v>14206</v>
      </c>
      <c r="H1708" s="3" t="s">
        <v>648</v>
      </c>
      <c r="K1708" s="2">
        <v>30</v>
      </c>
      <c r="L1708" s="2">
        <v>6</v>
      </c>
      <c r="M1708" s="3" t="s">
        <v>2288</v>
      </c>
      <c r="N1708" s="3" t="s">
        <v>1038</v>
      </c>
      <c r="O1708" s="3" t="s">
        <v>2289</v>
      </c>
      <c r="P1708" s="3" t="s">
        <v>241</v>
      </c>
      <c r="Q1708" s="30" t="str">
        <f t="shared" si="26"/>
        <v>MAX : 0.125
TARGET : 0.031
MIN : 0.000</v>
      </c>
      <c r="R1708" s="3" t="s">
        <v>2280</v>
      </c>
    </row>
    <row r="1709" spans="2:18" ht="41.4" x14ac:dyDescent="0.3">
      <c r="B1709">
        <v>0</v>
      </c>
      <c r="C1709" s="33">
        <v>7485</v>
      </c>
      <c r="D1709" s="2">
        <v>1113</v>
      </c>
      <c r="E1709" s="2" t="s">
        <v>9244</v>
      </c>
      <c r="F1709" s="3" t="s">
        <v>14206</v>
      </c>
      <c r="H1709" s="3" t="s">
        <v>648</v>
      </c>
      <c r="K1709" s="2">
        <v>30</v>
      </c>
      <c r="L1709" s="2">
        <v>7</v>
      </c>
      <c r="M1709" s="3" t="s">
        <v>2290</v>
      </c>
      <c r="N1709" s="3" t="s">
        <v>13</v>
      </c>
      <c r="O1709" s="3" t="s">
        <v>14</v>
      </c>
      <c r="Q1709" s="30" t="str">
        <f t="shared" si="26"/>
        <v>MAX : 
TARGET : Yes(Pass)
MIN : No(Fail)</v>
      </c>
      <c r="R1709" s="3" t="s">
        <v>2280</v>
      </c>
    </row>
    <row r="1710" spans="2:18" ht="41.4" x14ac:dyDescent="0.3">
      <c r="B1710">
        <v>0</v>
      </c>
      <c r="C1710" s="33">
        <v>7485</v>
      </c>
      <c r="D1710" s="2">
        <v>1113</v>
      </c>
      <c r="E1710" s="2" t="s">
        <v>9244</v>
      </c>
      <c r="F1710" s="3" t="s">
        <v>14206</v>
      </c>
      <c r="H1710" s="3" t="s">
        <v>648</v>
      </c>
      <c r="K1710" s="2">
        <v>30</v>
      </c>
      <c r="L1710" s="2">
        <v>8</v>
      </c>
      <c r="M1710" s="3" t="s">
        <v>2291</v>
      </c>
      <c r="N1710" s="3" t="s">
        <v>13</v>
      </c>
      <c r="O1710" s="3" t="s">
        <v>14</v>
      </c>
      <c r="Q1710" s="30" t="str">
        <f t="shared" si="26"/>
        <v>MAX : 
TARGET : Yes(Pass)
MIN : No(Fail)</v>
      </c>
      <c r="R1710" s="3" t="s">
        <v>2280</v>
      </c>
    </row>
    <row r="1711" spans="2:18" ht="41.4" x14ac:dyDescent="0.3">
      <c r="B1711">
        <v>1</v>
      </c>
      <c r="C1711" s="33">
        <v>6970</v>
      </c>
      <c r="D1711" s="2">
        <v>1070</v>
      </c>
      <c r="E1711" s="2" t="s">
        <v>8681</v>
      </c>
      <c r="F1711" s="3" t="s">
        <v>14207</v>
      </c>
      <c r="H1711" s="3" t="s">
        <v>648</v>
      </c>
      <c r="K1711" s="2">
        <v>10</v>
      </c>
      <c r="L1711" s="2">
        <v>2</v>
      </c>
      <c r="M1711" s="3" t="s">
        <v>570</v>
      </c>
      <c r="N1711" s="3" t="s">
        <v>2038</v>
      </c>
      <c r="O1711" s="3" t="s">
        <v>2039</v>
      </c>
      <c r="P1711" s="3" t="s">
        <v>2040</v>
      </c>
      <c r="Q1711" s="30" t="str">
        <f t="shared" si="26"/>
        <v>MAX : 61
TARGET : 60
MIN : 59</v>
      </c>
      <c r="R1711" s="3" t="s">
        <v>443</v>
      </c>
    </row>
    <row r="1712" spans="2:18" ht="41.4" x14ac:dyDescent="0.3">
      <c r="B1712">
        <v>1</v>
      </c>
      <c r="C1712" s="33">
        <v>6970</v>
      </c>
      <c r="D1712" s="2">
        <v>1070</v>
      </c>
      <c r="E1712" s="2" t="s">
        <v>8681</v>
      </c>
      <c r="F1712" s="3" t="s">
        <v>14207</v>
      </c>
      <c r="H1712" s="3" t="s">
        <v>648</v>
      </c>
      <c r="K1712" s="2">
        <v>10</v>
      </c>
      <c r="L1712" s="2">
        <v>1</v>
      </c>
      <c r="M1712" s="3" t="s">
        <v>194</v>
      </c>
      <c r="N1712" s="3" t="s">
        <v>2013</v>
      </c>
      <c r="O1712" s="3" t="s">
        <v>461</v>
      </c>
      <c r="P1712" s="3" t="s">
        <v>2014</v>
      </c>
      <c r="Q1712" s="30" t="str">
        <f t="shared" si="26"/>
        <v>MAX : 7
TARGET : 6
MIN : 5</v>
      </c>
      <c r="R1712" s="3" t="s">
        <v>443</v>
      </c>
    </row>
    <row r="1713" spans="2:18" ht="41.4" x14ac:dyDescent="0.3">
      <c r="B1713">
        <v>0</v>
      </c>
      <c r="C1713" s="33">
        <v>7487</v>
      </c>
      <c r="D1713" s="2">
        <v>1892</v>
      </c>
      <c r="E1713" s="2" t="s">
        <v>9250</v>
      </c>
      <c r="F1713" s="3" t="s">
        <v>14206</v>
      </c>
      <c r="H1713" s="3" t="s">
        <v>469</v>
      </c>
      <c r="K1713" s="2">
        <v>10</v>
      </c>
      <c r="L1713" s="2">
        <v>3</v>
      </c>
      <c r="M1713" s="3" t="s">
        <v>78</v>
      </c>
      <c r="N1713" s="3" t="s">
        <v>13</v>
      </c>
      <c r="O1713" s="3" t="s">
        <v>14</v>
      </c>
      <c r="Q1713" s="30" t="str">
        <f t="shared" si="26"/>
        <v>MAX : 
TARGET : Yes(Pass)
MIN : No(Fail)</v>
      </c>
    </row>
    <row r="1714" spans="2:18" ht="41.4" x14ac:dyDescent="0.3">
      <c r="B1714">
        <v>0</v>
      </c>
      <c r="C1714" s="33">
        <v>7487</v>
      </c>
      <c r="D1714" s="2">
        <v>1892</v>
      </c>
      <c r="E1714" s="2" t="s">
        <v>9250</v>
      </c>
      <c r="F1714" s="3" t="s">
        <v>14206</v>
      </c>
      <c r="H1714" s="3" t="s">
        <v>469</v>
      </c>
      <c r="K1714" s="2">
        <v>10</v>
      </c>
      <c r="L1714" s="2">
        <v>4</v>
      </c>
      <c r="M1714" s="3" t="s">
        <v>2295</v>
      </c>
      <c r="N1714" s="3" t="s">
        <v>13</v>
      </c>
      <c r="O1714" s="3" t="s">
        <v>14</v>
      </c>
      <c r="Q1714" s="30" t="str">
        <f t="shared" si="26"/>
        <v>MAX : 
TARGET : Yes(Pass)
MIN : No(Fail)</v>
      </c>
    </row>
    <row r="1715" spans="2:18" ht="41.4" x14ac:dyDescent="0.3">
      <c r="B1715">
        <v>1</v>
      </c>
      <c r="C1715" s="33">
        <v>6970</v>
      </c>
      <c r="D1715" s="2">
        <v>1070</v>
      </c>
      <c r="E1715" s="2" t="s">
        <v>8681</v>
      </c>
      <c r="F1715" s="3" t="s">
        <v>14207</v>
      </c>
      <c r="H1715" s="3" t="s">
        <v>648</v>
      </c>
      <c r="K1715" s="2">
        <v>10</v>
      </c>
      <c r="L1715" s="2">
        <v>4</v>
      </c>
      <c r="M1715" s="3" t="s">
        <v>4618</v>
      </c>
      <c r="N1715" s="3" t="s">
        <v>13</v>
      </c>
      <c r="O1715" s="3" t="s">
        <v>14</v>
      </c>
      <c r="Q1715" s="30" t="str">
        <f t="shared" si="26"/>
        <v>MAX : 
TARGET : Yes(Pass)
MIN : No(Fail)</v>
      </c>
      <c r="R1715" s="3" t="s">
        <v>443</v>
      </c>
    </row>
    <row r="1716" spans="2:18" ht="41.4" x14ac:dyDescent="0.3">
      <c r="B1716">
        <v>1</v>
      </c>
      <c r="C1716" s="33">
        <v>6978</v>
      </c>
      <c r="D1716" s="2">
        <v>1071</v>
      </c>
      <c r="E1716" s="2" t="s">
        <v>8689</v>
      </c>
      <c r="F1716" s="3" t="s">
        <v>14206</v>
      </c>
      <c r="H1716" s="3" t="s">
        <v>846</v>
      </c>
      <c r="K1716" s="2">
        <v>10</v>
      </c>
      <c r="L1716" s="2">
        <v>2</v>
      </c>
      <c r="M1716" s="3" t="s">
        <v>2037</v>
      </c>
      <c r="N1716" s="3" t="s">
        <v>13</v>
      </c>
      <c r="O1716" s="3" t="s">
        <v>14</v>
      </c>
      <c r="Q1716" s="30" t="str">
        <f t="shared" si="26"/>
        <v>MAX : 
TARGET : Yes(Pass)
MIN : No(Fail)</v>
      </c>
    </row>
    <row r="1717" spans="2:18" ht="41.4" x14ac:dyDescent="0.3">
      <c r="B1717">
        <v>0</v>
      </c>
      <c r="C1717" s="33">
        <v>7493</v>
      </c>
      <c r="D1717" s="2">
        <v>1114</v>
      </c>
      <c r="E1717" s="2" t="s">
        <v>9256</v>
      </c>
      <c r="F1717" s="3" t="s">
        <v>14206</v>
      </c>
      <c r="H1717" s="3" t="s">
        <v>2296</v>
      </c>
      <c r="K1717" s="2">
        <v>10</v>
      </c>
      <c r="L1717" s="2">
        <v>3</v>
      </c>
      <c r="M1717" s="3" t="s">
        <v>2302</v>
      </c>
      <c r="N1717" s="3" t="s">
        <v>2286</v>
      </c>
      <c r="O1717" s="3" t="s">
        <v>132</v>
      </c>
      <c r="P1717" s="3" t="s">
        <v>2287</v>
      </c>
      <c r="Q1717" s="30" t="str">
        <f t="shared" si="26"/>
        <v>MAX : 0.81
TARGET : 0.75
MIN : 0.69</v>
      </c>
    </row>
    <row r="1718" spans="2:18" ht="41.4" x14ac:dyDescent="0.3">
      <c r="B1718">
        <v>0</v>
      </c>
      <c r="C1718" s="33">
        <v>7493</v>
      </c>
      <c r="D1718" s="2">
        <v>1114</v>
      </c>
      <c r="E1718" s="2" t="s">
        <v>9256</v>
      </c>
      <c r="F1718" s="3" t="s">
        <v>14206</v>
      </c>
      <c r="H1718" s="3" t="s">
        <v>2296</v>
      </c>
      <c r="K1718" s="2">
        <v>10</v>
      </c>
      <c r="L1718" s="2">
        <v>4</v>
      </c>
      <c r="M1718" s="3" t="s">
        <v>2303</v>
      </c>
      <c r="N1718" s="3" t="s">
        <v>2304</v>
      </c>
      <c r="O1718" s="3" t="s">
        <v>241</v>
      </c>
      <c r="P1718" s="3" t="s">
        <v>91</v>
      </c>
      <c r="Q1718" s="30" t="str">
        <f t="shared" si="26"/>
        <v>MAX : 0.200
TARGET : 0.125
MIN : 0.050</v>
      </c>
    </row>
    <row r="1719" spans="2:18" ht="41.4" x14ac:dyDescent="0.3">
      <c r="B1719">
        <v>0</v>
      </c>
      <c r="C1719" s="33">
        <v>7493</v>
      </c>
      <c r="D1719" s="2">
        <v>1114</v>
      </c>
      <c r="E1719" s="2" t="s">
        <v>9256</v>
      </c>
      <c r="F1719" s="3" t="s">
        <v>14206</v>
      </c>
      <c r="H1719" s="3" t="s">
        <v>2296</v>
      </c>
      <c r="K1719" s="2">
        <v>10</v>
      </c>
      <c r="L1719" s="2">
        <v>5</v>
      </c>
      <c r="M1719" s="3" t="s">
        <v>2305</v>
      </c>
      <c r="N1719" s="3" t="s">
        <v>13</v>
      </c>
      <c r="O1719" s="3" t="s">
        <v>14</v>
      </c>
      <c r="Q1719" s="30" t="str">
        <f t="shared" si="26"/>
        <v>MAX : 
TARGET : Yes(Pass)
MIN : No(Fail)</v>
      </c>
    </row>
    <row r="1720" spans="2:18" ht="41.4" x14ac:dyDescent="0.3">
      <c r="B1720">
        <v>1</v>
      </c>
      <c r="C1720" s="33">
        <v>6978</v>
      </c>
      <c r="D1720" s="2">
        <v>1071</v>
      </c>
      <c r="E1720" s="2" t="s">
        <v>8689</v>
      </c>
      <c r="F1720" s="3" t="s">
        <v>14206</v>
      </c>
      <c r="H1720" s="3" t="s">
        <v>846</v>
      </c>
      <c r="K1720" s="2">
        <v>10</v>
      </c>
      <c r="L1720" s="2">
        <v>1</v>
      </c>
      <c r="M1720" s="3" t="s">
        <v>458</v>
      </c>
      <c r="N1720" s="3" t="s">
        <v>1521</v>
      </c>
      <c r="O1720" s="3" t="s">
        <v>424</v>
      </c>
      <c r="P1720" s="3" t="s">
        <v>2036</v>
      </c>
      <c r="Q1720" s="30" t="str">
        <f t="shared" si="26"/>
        <v>MAX : 0.26
TARGET : 0.25
MIN : 0.24</v>
      </c>
    </row>
    <row r="1721" spans="2:18" ht="41.4" x14ac:dyDescent="0.3">
      <c r="B1721">
        <v>1</v>
      </c>
      <c r="C1721" s="33">
        <v>6978</v>
      </c>
      <c r="D1721" s="2">
        <v>1071</v>
      </c>
      <c r="E1721" s="2" t="s">
        <v>8689</v>
      </c>
      <c r="F1721" s="3" t="s">
        <v>14206</v>
      </c>
      <c r="H1721" s="3" t="s">
        <v>846</v>
      </c>
      <c r="K1721" s="2">
        <v>10</v>
      </c>
      <c r="L1721" s="2">
        <v>3</v>
      </c>
      <c r="M1721" s="3" t="s">
        <v>2115</v>
      </c>
      <c r="N1721" s="3" t="s">
        <v>13</v>
      </c>
      <c r="O1721" s="3" t="s">
        <v>14</v>
      </c>
      <c r="Q1721" s="30" t="str">
        <f t="shared" si="26"/>
        <v>MAX : 
TARGET : Yes(Pass)
MIN : No(Fail)</v>
      </c>
    </row>
    <row r="1722" spans="2:18" ht="41.4" x14ac:dyDescent="0.3">
      <c r="B1722">
        <v>1</v>
      </c>
      <c r="C1722" s="33">
        <v>6978</v>
      </c>
      <c r="D1722" s="2">
        <v>1071</v>
      </c>
      <c r="E1722" s="2" t="s">
        <v>8689</v>
      </c>
      <c r="F1722" s="3" t="s">
        <v>14206</v>
      </c>
      <c r="H1722" s="3" t="s">
        <v>846</v>
      </c>
      <c r="K1722" s="2">
        <v>10</v>
      </c>
      <c r="L1722" s="2">
        <v>5</v>
      </c>
      <c r="M1722" s="3" t="s">
        <v>3350</v>
      </c>
      <c r="N1722" s="3" t="s">
        <v>13</v>
      </c>
      <c r="O1722" s="3" t="s">
        <v>14</v>
      </c>
      <c r="Q1722" s="30" t="str">
        <f t="shared" si="26"/>
        <v>MAX : 
TARGET : Yes(Pass)
MIN : No(Fail)</v>
      </c>
    </row>
    <row r="1723" spans="2:18" ht="41.4" x14ac:dyDescent="0.3">
      <c r="B1723">
        <v>0</v>
      </c>
      <c r="C1723" s="33">
        <v>7495</v>
      </c>
      <c r="D1723" s="2">
        <v>1115</v>
      </c>
      <c r="E1723" s="2" t="s">
        <v>9262</v>
      </c>
      <c r="F1723" s="3" t="s">
        <v>14206</v>
      </c>
      <c r="H1723" s="3" t="s">
        <v>2306</v>
      </c>
      <c r="K1723" s="2">
        <v>10</v>
      </c>
      <c r="L1723" s="2">
        <v>3</v>
      </c>
      <c r="M1723" s="3" t="s">
        <v>2310</v>
      </c>
      <c r="N1723" s="3" t="s">
        <v>2201</v>
      </c>
      <c r="O1723" s="3" t="s">
        <v>2309</v>
      </c>
      <c r="P1723" s="3" t="s">
        <v>750</v>
      </c>
      <c r="Q1723" s="30" t="str">
        <f t="shared" si="26"/>
        <v>MAX : 1.66
TARGET : 1.63
MIN : 1.60</v>
      </c>
      <c r="R1723" s="3" t="s">
        <v>1638</v>
      </c>
    </row>
    <row r="1724" spans="2:18" ht="41.4" x14ac:dyDescent="0.3">
      <c r="B1724">
        <v>0</v>
      </c>
      <c r="C1724" s="33">
        <v>7495</v>
      </c>
      <c r="D1724" s="2">
        <v>1115</v>
      </c>
      <c r="E1724" s="2" t="s">
        <v>9262</v>
      </c>
      <c r="F1724" s="3" t="s">
        <v>14206</v>
      </c>
      <c r="H1724" s="3" t="s">
        <v>2306</v>
      </c>
      <c r="K1724" s="2">
        <v>10</v>
      </c>
      <c r="L1724" s="2">
        <v>4</v>
      </c>
      <c r="M1724" s="3" t="s">
        <v>78</v>
      </c>
      <c r="N1724" s="3" t="s">
        <v>13</v>
      </c>
      <c r="O1724" s="3" t="s">
        <v>14</v>
      </c>
      <c r="Q1724" s="30" t="str">
        <f t="shared" si="26"/>
        <v>MAX : 
TARGET : Yes(Pass)
MIN : No(Fail)</v>
      </c>
      <c r="R1724" s="3" t="s">
        <v>1638</v>
      </c>
    </row>
    <row r="1725" spans="2:18" ht="41.4" x14ac:dyDescent="0.3">
      <c r="B1725">
        <v>1</v>
      </c>
      <c r="C1725" s="33">
        <v>7000</v>
      </c>
      <c r="D1725" s="2">
        <v>1851</v>
      </c>
      <c r="E1725" s="2" t="s">
        <v>8697</v>
      </c>
      <c r="F1725" s="3" t="s">
        <v>14207</v>
      </c>
      <c r="H1725" s="3" t="s">
        <v>193</v>
      </c>
      <c r="K1725" s="2">
        <v>10</v>
      </c>
      <c r="L1725" s="2">
        <v>2</v>
      </c>
      <c r="M1725" s="3" t="s">
        <v>325</v>
      </c>
      <c r="N1725" s="3" t="s">
        <v>13</v>
      </c>
      <c r="O1725" s="3" t="s">
        <v>14</v>
      </c>
      <c r="Q1725" s="30" t="str">
        <f t="shared" si="26"/>
        <v>MAX : 
TARGET : Yes(Pass)
MIN : No(Fail)</v>
      </c>
    </row>
    <row r="1726" spans="2:18" ht="41.4" x14ac:dyDescent="0.3">
      <c r="B1726">
        <v>1</v>
      </c>
      <c r="C1726" s="33">
        <v>7000</v>
      </c>
      <c r="D1726" s="2">
        <v>1851</v>
      </c>
      <c r="E1726" s="2" t="s">
        <v>8697</v>
      </c>
      <c r="F1726" s="3" t="s">
        <v>14207</v>
      </c>
      <c r="H1726" s="3" t="s">
        <v>193</v>
      </c>
      <c r="K1726" s="2">
        <v>10</v>
      </c>
      <c r="L1726" s="2">
        <v>1</v>
      </c>
      <c r="M1726" s="3" t="s">
        <v>99</v>
      </c>
      <c r="N1726" s="3" t="s">
        <v>2044</v>
      </c>
      <c r="O1726" s="3" t="s">
        <v>2045</v>
      </c>
      <c r="P1726" s="3" t="s">
        <v>2046</v>
      </c>
      <c r="Q1726" s="30" t="str">
        <f t="shared" si="26"/>
        <v>MAX : 121
TARGET : 120
MIN : 119</v>
      </c>
    </row>
    <row r="1727" spans="2:18" ht="41.4" x14ac:dyDescent="0.3">
      <c r="B1727">
        <v>0</v>
      </c>
      <c r="C1727" s="33">
        <v>7500</v>
      </c>
      <c r="D1727" s="2">
        <v>1116</v>
      </c>
      <c r="E1727" s="2" t="s">
        <v>9274</v>
      </c>
      <c r="F1727" s="3" t="s">
        <v>14206</v>
      </c>
      <c r="H1727" s="3" t="s">
        <v>568</v>
      </c>
      <c r="K1727" s="2">
        <v>10</v>
      </c>
      <c r="L1727" s="2">
        <v>3</v>
      </c>
      <c r="M1727" s="3" t="s">
        <v>2314</v>
      </c>
      <c r="N1727" s="3" t="s">
        <v>13</v>
      </c>
      <c r="O1727" s="3" t="s">
        <v>14</v>
      </c>
      <c r="Q1727" s="30" t="str">
        <f t="shared" si="26"/>
        <v>MAX : 
TARGET : Yes(Pass)
MIN : No(Fail)</v>
      </c>
      <c r="R1727" s="3" t="s">
        <v>1638</v>
      </c>
    </row>
    <row r="1728" spans="2:18" ht="41.4" x14ac:dyDescent="0.3">
      <c r="B1728">
        <v>1</v>
      </c>
      <c r="C1728" s="33">
        <v>7004</v>
      </c>
      <c r="D1728" s="2">
        <v>1072</v>
      </c>
      <c r="E1728" s="2" t="s">
        <v>8704</v>
      </c>
      <c r="F1728" s="3" t="s">
        <v>14206</v>
      </c>
      <c r="H1728" s="3" t="s">
        <v>1882</v>
      </c>
      <c r="K1728" s="2">
        <v>10</v>
      </c>
      <c r="L1728" s="2">
        <v>2</v>
      </c>
      <c r="M1728" s="3" t="s">
        <v>2048</v>
      </c>
      <c r="N1728" s="3" t="s">
        <v>13</v>
      </c>
      <c r="O1728" s="3" t="s">
        <v>14</v>
      </c>
      <c r="Q1728" s="30" t="str">
        <f t="shared" si="26"/>
        <v>MAX : 
TARGET : Yes(Pass)
MIN : No(Fail)</v>
      </c>
    </row>
    <row r="1729" spans="2:18" ht="41.4" x14ac:dyDescent="0.3">
      <c r="B1729">
        <v>1</v>
      </c>
      <c r="C1729" s="33">
        <v>7004</v>
      </c>
      <c r="D1729" s="2">
        <v>1072</v>
      </c>
      <c r="E1729" s="2" t="s">
        <v>8704</v>
      </c>
      <c r="F1729" s="3" t="s">
        <v>14206</v>
      </c>
      <c r="H1729" s="3" t="s">
        <v>1882</v>
      </c>
      <c r="K1729" s="2">
        <v>10</v>
      </c>
      <c r="L1729" s="2">
        <v>1</v>
      </c>
      <c r="M1729" s="3" t="s">
        <v>502</v>
      </c>
      <c r="N1729" s="3" t="s">
        <v>252</v>
      </c>
      <c r="O1729" s="3" t="s">
        <v>253</v>
      </c>
      <c r="P1729" s="3" t="s">
        <v>128</v>
      </c>
      <c r="Q1729" s="30" t="str">
        <f t="shared" si="26"/>
        <v>MAX : 4.03
TARGET : 4.00
MIN : 3.97</v>
      </c>
    </row>
    <row r="1730" spans="2:18" ht="41.4" x14ac:dyDescent="0.3">
      <c r="B1730">
        <v>0</v>
      </c>
      <c r="C1730" s="33">
        <v>7501</v>
      </c>
      <c r="D1730" s="2">
        <v>1117</v>
      </c>
      <c r="E1730" s="2" t="s">
        <v>9282</v>
      </c>
      <c r="F1730" s="3" t="s">
        <v>14206</v>
      </c>
      <c r="H1730" s="3" t="s">
        <v>491</v>
      </c>
      <c r="K1730" s="2">
        <v>10</v>
      </c>
      <c r="L1730" s="2">
        <v>3</v>
      </c>
      <c r="M1730" s="3" t="s">
        <v>2314</v>
      </c>
      <c r="N1730" s="3" t="s">
        <v>13</v>
      </c>
      <c r="O1730" s="3" t="s">
        <v>14</v>
      </c>
      <c r="Q1730" s="30" t="str">
        <f t="shared" ref="Q1730:Q1793" si="27">"MAX : " &amp; P1730 &amp; CHAR(10) &amp; "TARGET : " &amp; O1730 &amp; CHAR(10) &amp; "MIN : " &amp; N1730</f>
        <v>MAX : 
TARGET : Yes(Pass)
MIN : No(Fail)</v>
      </c>
      <c r="R1730" s="3" t="s">
        <v>1638</v>
      </c>
    </row>
    <row r="1731" spans="2:18" ht="41.4" x14ac:dyDescent="0.3">
      <c r="B1731">
        <v>1</v>
      </c>
      <c r="C1731" s="33">
        <v>7005</v>
      </c>
      <c r="D1731" s="2">
        <v>1852</v>
      </c>
      <c r="E1731" s="2" t="s">
        <v>8712</v>
      </c>
      <c r="F1731" s="3" t="s">
        <v>14206</v>
      </c>
      <c r="H1731" s="3" t="s">
        <v>269</v>
      </c>
      <c r="K1731" s="2">
        <v>10</v>
      </c>
      <c r="L1731" s="2">
        <v>2</v>
      </c>
      <c r="M1731" s="3" t="s">
        <v>2050</v>
      </c>
      <c r="N1731" s="3" t="s">
        <v>13</v>
      </c>
      <c r="O1731" s="3" t="s">
        <v>14</v>
      </c>
      <c r="Q1731" s="30" t="str">
        <f t="shared" si="27"/>
        <v>MAX : 
TARGET : Yes(Pass)
MIN : No(Fail)</v>
      </c>
    </row>
    <row r="1732" spans="2:18" ht="41.4" x14ac:dyDescent="0.3">
      <c r="B1732">
        <v>1</v>
      </c>
      <c r="C1732" s="33">
        <v>7005</v>
      </c>
      <c r="D1732" s="2">
        <v>1852</v>
      </c>
      <c r="E1732" s="2" t="s">
        <v>8712</v>
      </c>
      <c r="F1732" s="3" t="s">
        <v>14206</v>
      </c>
      <c r="H1732" s="3" t="s">
        <v>269</v>
      </c>
      <c r="K1732" s="2">
        <v>10</v>
      </c>
      <c r="L1732" s="2">
        <v>1</v>
      </c>
      <c r="M1732" s="3" t="s">
        <v>99</v>
      </c>
      <c r="N1732" s="3" t="s">
        <v>308</v>
      </c>
      <c r="O1732" s="3" t="s">
        <v>309</v>
      </c>
      <c r="P1732" s="3" t="s">
        <v>310</v>
      </c>
      <c r="Q1732" s="30" t="str">
        <f t="shared" si="27"/>
        <v>MAX : 0.53
TARGET : 0.50
MIN : 0.47</v>
      </c>
    </row>
    <row r="1733" spans="2:18" ht="41.4" x14ac:dyDescent="0.3">
      <c r="B1733">
        <v>1</v>
      </c>
      <c r="C1733" s="33">
        <v>7006</v>
      </c>
      <c r="D1733" s="2">
        <v>1853</v>
      </c>
      <c r="E1733" s="2" t="s">
        <v>8719</v>
      </c>
      <c r="F1733" s="3" t="s">
        <v>14206</v>
      </c>
      <c r="H1733" s="3" t="s">
        <v>269</v>
      </c>
      <c r="K1733" s="2">
        <v>10</v>
      </c>
      <c r="L1733" s="2">
        <v>2</v>
      </c>
      <c r="M1733" s="3" t="s">
        <v>2050</v>
      </c>
      <c r="N1733" s="3" t="s">
        <v>13</v>
      </c>
      <c r="O1733" s="3" t="s">
        <v>14</v>
      </c>
      <c r="Q1733" s="30" t="str">
        <f t="shared" si="27"/>
        <v>MAX : 
TARGET : Yes(Pass)
MIN : No(Fail)</v>
      </c>
    </row>
    <row r="1734" spans="2:18" ht="41.4" x14ac:dyDescent="0.3">
      <c r="B1734">
        <v>0</v>
      </c>
      <c r="C1734" s="33">
        <v>7482</v>
      </c>
      <c r="D1734" s="2">
        <v>1112</v>
      </c>
      <c r="E1734" s="2" t="s">
        <v>9237</v>
      </c>
      <c r="F1734" s="3" t="s">
        <v>14206</v>
      </c>
      <c r="H1734" s="3" t="s">
        <v>2315</v>
      </c>
      <c r="K1734" s="2">
        <v>10</v>
      </c>
      <c r="L1734" s="2">
        <v>15</v>
      </c>
      <c r="M1734" s="3" t="s">
        <v>2323</v>
      </c>
      <c r="N1734" s="3" t="s">
        <v>1152</v>
      </c>
      <c r="O1734" s="3" t="s">
        <v>28</v>
      </c>
      <c r="P1734" s="3" t="s">
        <v>2206</v>
      </c>
      <c r="Q1734" s="30" t="str">
        <f t="shared" si="27"/>
        <v>MAX : 1.52
TARGET : 1.50
MIN : 1.48</v>
      </c>
    </row>
    <row r="1735" spans="2:18" ht="41.4" x14ac:dyDescent="0.3">
      <c r="B1735">
        <v>0</v>
      </c>
      <c r="C1735" s="33">
        <v>7482</v>
      </c>
      <c r="D1735" s="2">
        <v>1112</v>
      </c>
      <c r="E1735" s="2" t="s">
        <v>9237</v>
      </c>
      <c r="F1735" s="3" t="s">
        <v>14206</v>
      </c>
      <c r="H1735" s="3" t="s">
        <v>2315</v>
      </c>
      <c r="K1735" s="2">
        <v>10</v>
      </c>
      <c r="L1735" s="2">
        <v>16</v>
      </c>
      <c r="M1735" s="3" t="s">
        <v>2324</v>
      </c>
      <c r="N1735" s="3" t="s">
        <v>1969</v>
      </c>
      <c r="O1735" s="3" t="s">
        <v>2325</v>
      </c>
      <c r="P1735" s="3" t="s">
        <v>2326</v>
      </c>
      <c r="Q1735" s="30" t="str">
        <f t="shared" si="27"/>
        <v>MAX : 1.14
TARGET : 1.12
MIN : 1.10</v>
      </c>
    </row>
    <row r="1736" spans="2:18" ht="41.4" x14ac:dyDescent="0.3">
      <c r="B1736">
        <v>0</v>
      </c>
      <c r="C1736" s="33">
        <v>7482</v>
      </c>
      <c r="D1736" s="2">
        <v>1112</v>
      </c>
      <c r="E1736" s="2" t="s">
        <v>9237</v>
      </c>
      <c r="F1736" s="3" t="s">
        <v>14206</v>
      </c>
      <c r="H1736" s="3" t="s">
        <v>2315</v>
      </c>
      <c r="K1736" s="2">
        <v>10</v>
      </c>
      <c r="L1736" s="2">
        <v>17</v>
      </c>
      <c r="M1736" s="3" t="s">
        <v>2327</v>
      </c>
      <c r="N1736" s="3" t="s">
        <v>1781</v>
      </c>
      <c r="O1736" s="3" t="s">
        <v>272</v>
      </c>
      <c r="P1736" s="3" t="s">
        <v>1782</v>
      </c>
      <c r="Q1736" s="30" t="str">
        <f t="shared" si="27"/>
        <v>MAX : 1.02
TARGET : 1.00
MIN : 0.98</v>
      </c>
    </row>
    <row r="1737" spans="2:18" ht="41.4" x14ac:dyDescent="0.3">
      <c r="B1737">
        <v>0</v>
      </c>
      <c r="C1737" s="33">
        <v>7482</v>
      </c>
      <c r="D1737" s="2">
        <v>1112</v>
      </c>
      <c r="E1737" s="2" t="s">
        <v>9237</v>
      </c>
      <c r="F1737" s="3" t="s">
        <v>14206</v>
      </c>
      <c r="H1737" s="3" t="s">
        <v>2315</v>
      </c>
      <c r="K1737" s="2">
        <v>10</v>
      </c>
      <c r="L1737" s="2">
        <v>18</v>
      </c>
      <c r="M1737" s="3" t="s">
        <v>2328</v>
      </c>
      <c r="N1737" s="3" t="s">
        <v>2329</v>
      </c>
      <c r="O1737" s="3" t="s">
        <v>2243</v>
      </c>
      <c r="P1737" s="3" t="s">
        <v>795</v>
      </c>
      <c r="Q1737" s="30" t="str">
        <f t="shared" si="27"/>
        <v>MAX : 3.65
TARGET : 3.62
MIN : 3.59</v>
      </c>
    </row>
    <row r="1738" spans="2:18" ht="41.4" x14ac:dyDescent="0.3">
      <c r="B1738">
        <v>0</v>
      </c>
      <c r="C1738" s="33">
        <v>7482</v>
      </c>
      <c r="D1738" s="2">
        <v>1112</v>
      </c>
      <c r="E1738" s="2" t="s">
        <v>9237</v>
      </c>
      <c r="F1738" s="3" t="s">
        <v>14206</v>
      </c>
      <c r="H1738" s="3" t="s">
        <v>2315</v>
      </c>
      <c r="K1738" s="2">
        <v>10</v>
      </c>
      <c r="L1738" s="2">
        <v>19</v>
      </c>
      <c r="M1738" s="3" t="s">
        <v>2330</v>
      </c>
      <c r="N1738" s="3" t="s">
        <v>784</v>
      </c>
      <c r="O1738" s="3" t="s">
        <v>309</v>
      </c>
      <c r="P1738" s="3" t="s">
        <v>785</v>
      </c>
      <c r="Q1738" s="30" t="str">
        <f t="shared" si="27"/>
        <v>MAX : 0.55
TARGET : 0.50
MIN : 0.45</v>
      </c>
    </row>
    <row r="1739" spans="2:18" ht="41.4" x14ac:dyDescent="0.3">
      <c r="B1739">
        <v>0</v>
      </c>
      <c r="C1739" s="33">
        <v>7482</v>
      </c>
      <c r="D1739" s="2">
        <v>1112</v>
      </c>
      <c r="E1739" s="2" t="s">
        <v>9237</v>
      </c>
      <c r="F1739" s="3" t="s">
        <v>14206</v>
      </c>
      <c r="H1739" s="3" t="s">
        <v>2315</v>
      </c>
      <c r="K1739" s="2">
        <v>10</v>
      </c>
      <c r="L1739" s="2">
        <v>20</v>
      </c>
      <c r="M1739" s="3" t="s">
        <v>2331</v>
      </c>
      <c r="N1739" s="3" t="s">
        <v>436</v>
      </c>
      <c r="O1739" s="3" t="s">
        <v>424</v>
      </c>
      <c r="P1739" s="3" t="s">
        <v>689</v>
      </c>
      <c r="Q1739" s="30" t="str">
        <f t="shared" si="27"/>
        <v>MAX : 0.30
TARGET : 0.25
MIN : 0.20</v>
      </c>
    </row>
    <row r="1740" spans="2:18" ht="41.4" x14ac:dyDescent="0.3">
      <c r="B1740">
        <v>0</v>
      </c>
      <c r="C1740" s="33">
        <v>7482</v>
      </c>
      <c r="D1740" s="2">
        <v>1112</v>
      </c>
      <c r="E1740" s="2" t="s">
        <v>9237</v>
      </c>
      <c r="F1740" s="3" t="s">
        <v>14206</v>
      </c>
      <c r="H1740" s="3" t="s">
        <v>2315</v>
      </c>
      <c r="K1740" s="2">
        <v>10</v>
      </c>
      <c r="L1740" s="2">
        <v>21</v>
      </c>
      <c r="M1740" s="3" t="s">
        <v>2332</v>
      </c>
      <c r="N1740" s="3" t="s">
        <v>1601</v>
      </c>
      <c r="O1740" s="3" t="s">
        <v>1747</v>
      </c>
      <c r="P1740" s="3" t="s">
        <v>91</v>
      </c>
      <c r="Q1740" s="30" t="str">
        <f t="shared" si="27"/>
        <v>MAX : 0.200
TARGET : 0.165
MIN : 0.130</v>
      </c>
    </row>
    <row r="1741" spans="2:18" ht="41.4" x14ac:dyDescent="0.3">
      <c r="B1741">
        <v>0</v>
      </c>
      <c r="C1741" s="33">
        <v>7482</v>
      </c>
      <c r="D1741" s="2">
        <v>1112</v>
      </c>
      <c r="E1741" s="2" t="s">
        <v>9237</v>
      </c>
      <c r="F1741" s="3" t="s">
        <v>14206</v>
      </c>
      <c r="H1741" s="3" t="s">
        <v>2315</v>
      </c>
      <c r="K1741" s="2">
        <v>10</v>
      </c>
      <c r="L1741" s="2">
        <v>27</v>
      </c>
      <c r="M1741" s="3" t="s">
        <v>2333</v>
      </c>
      <c r="N1741" s="3" t="s">
        <v>13</v>
      </c>
      <c r="O1741" s="3" t="s">
        <v>14</v>
      </c>
      <c r="Q1741" s="30" t="str">
        <f t="shared" si="27"/>
        <v>MAX : 
TARGET : Yes(Pass)
MIN : No(Fail)</v>
      </c>
    </row>
    <row r="1742" spans="2:18" ht="41.4" x14ac:dyDescent="0.3">
      <c r="B1742">
        <v>0</v>
      </c>
      <c r="C1742" s="33">
        <v>7482</v>
      </c>
      <c r="D1742" s="2">
        <v>1112</v>
      </c>
      <c r="E1742" s="2" t="s">
        <v>9237</v>
      </c>
      <c r="F1742" s="3" t="s">
        <v>14206</v>
      </c>
      <c r="H1742" s="3" t="s">
        <v>2315</v>
      </c>
      <c r="K1742" s="2">
        <v>10</v>
      </c>
      <c r="L1742" s="2">
        <v>28</v>
      </c>
      <c r="M1742" s="3" t="s">
        <v>2334</v>
      </c>
      <c r="N1742" s="3" t="s">
        <v>13</v>
      </c>
      <c r="O1742" s="3" t="s">
        <v>14</v>
      </c>
      <c r="Q1742" s="30" t="str">
        <f t="shared" si="27"/>
        <v>MAX : 
TARGET : Yes(Pass)
MIN : No(Fail)</v>
      </c>
    </row>
    <row r="1743" spans="2:18" ht="41.4" x14ac:dyDescent="0.3">
      <c r="B1743">
        <v>0</v>
      </c>
      <c r="C1743" s="33">
        <v>7482</v>
      </c>
      <c r="D1743" s="2">
        <v>1112</v>
      </c>
      <c r="E1743" s="2" t="s">
        <v>9237</v>
      </c>
      <c r="F1743" s="3" t="s">
        <v>14206</v>
      </c>
      <c r="H1743" s="3" t="s">
        <v>2315</v>
      </c>
      <c r="K1743" s="2">
        <v>10</v>
      </c>
      <c r="L1743" s="2">
        <v>29</v>
      </c>
      <c r="M1743" s="3" t="s">
        <v>2335</v>
      </c>
      <c r="N1743" s="3" t="s">
        <v>13</v>
      </c>
      <c r="O1743" s="3" t="s">
        <v>14</v>
      </c>
      <c r="Q1743" s="30" t="str">
        <f t="shared" si="27"/>
        <v>MAX : 
TARGET : Yes(Pass)
MIN : No(Fail)</v>
      </c>
    </row>
    <row r="1744" spans="2:18" ht="41.4" x14ac:dyDescent="0.3">
      <c r="B1744">
        <v>0</v>
      </c>
      <c r="C1744" s="33">
        <v>7482</v>
      </c>
      <c r="D1744" s="2">
        <v>1112</v>
      </c>
      <c r="E1744" s="2" t="s">
        <v>9237</v>
      </c>
      <c r="F1744" s="3" t="s">
        <v>14206</v>
      </c>
      <c r="H1744" s="3" t="s">
        <v>2315</v>
      </c>
      <c r="K1744" s="2">
        <v>10</v>
      </c>
      <c r="L1744" s="2">
        <v>31</v>
      </c>
      <c r="M1744" s="3" t="s">
        <v>2336</v>
      </c>
      <c r="N1744" s="3" t="s">
        <v>13</v>
      </c>
      <c r="O1744" s="3" t="s">
        <v>14</v>
      </c>
      <c r="Q1744" s="30" t="str">
        <f t="shared" si="27"/>
        <v>MAX : 
TARGET : Yes(Pass)
MIN : No(Fail)</v>
      </c>
    </row>
    <row r="1745" spans="2:18" ht="41.4" x14ac:dyDescent="0.3">
      <c r="B1745">
        <v>0</v>
      </c>
      <c r="C1745" s="33">
        <v>7482</v>
      </c>
      <c r="D1745" s="2">
        <v>1112</v>
      </c>
      <c r="E1745" s="2" t="s">
        <v>9237</v>
      </c>
      <c r="F1745" s="3" t="s">
        <v>14206</v>
      </c>
      <c r="H1745" s="3" t="s">
        <v>2315</v>
      </c>
      <c r="K1745" s="2">
        <v>10</v>
      </c>
      <c r="L1745" s="2">
        <v>22</v>
      </c>
      <c r="M1745" s="3" t="s">
        <v>2337</v>
      </c>
      <c r="N1745" s="3" t="s">
        <v>2338</v>
      </c>
      <c r="O1745" s="3" t="s">
        <v>339</v>
      </c>
      <c r="P1745" s="3" t="s">
        <v>2339</v>
      </c>
      <c r="Q1745" s="30" t="str">
        <f t="shared" si="27"/>
        <v>MAX : 3.26
TARGET : 3.25
MIN : 3.24</v>
      </c>
    </row>
    <row r="1746" spans="2:18" ht="41.4" x14ac:dyDescent="0.3">
      <c r="B1746">
        <v>0</v>
      </c>
      <c r="C1746" s="33">
        <v>7482</v>
      </c>
      <c r="D1746" s="2">
        <v>1112</v>
      </c>
      <c r="E1746" s="2" t="s">
        <v>9237</v>
      </c>
      <c r="F1746" s="3" t="s">
        <v>14206</v>
      </c>
      <c r="H1746" s="3" t="s">
        <v>2315</v>
      </c>
      <c r="K1746" s="2">
        <v>10</v>
      </c>
      <c r="L1746" s="2">
        <v>30</v>
      </c>
      <c r="M1746" s="3" t="s">
        <v>2340</v>
      </c>
      <c r="N1746" s="3" t="s">
        <v>13</v>
      </c>
      <c r="O1746" s="3" t="s">
        <v>14</v>
      </c>
      <c r="Q1746" s="30" t="str">
        <f t="shared" si="27"/>
        <v>MAX : 
TARGET : Yes(Pass)
MIN : No(Fail)</v>
      </c>
    </row>
    <row r="1747" spans="2:18" ht="41.4" x14ac:dyDescent="0.3">
      <c r="B1747">
        <v>1</v>
      </c>
      <c r="C1747" s="33">
        <v>7006</v>
      </c>
      <c r="D1747" s="2">
        <v>1853</v>
      </c>
      <c r="E1747" s="2" t="s">
        <v>8719</v>
      </c>
      <c r="F1747" s="3" t="s">
        <v>14206</v>
      </c>
      <c r="H1747" s="3" t="s">
        <v>269</v>
      </c>
      <c r="K1747" s="2">
        <v>10</v>
      </c>
      <c r="L1747" s="2">
        <v>1</v>
      </c>
      <c r="M1747" s="3" t="s">
        <v>99</v>
      </c>
      <c r="N1747" s="3" t="s">
        <v>27</v>
      </c>
      <c r="O1747" s="3" t="s">
        <v>28</v>
      </c>
      <c r="P1747" s="3" t="s">
        <v>29</v>
      </c>
      <c r="Q1747" s="30" t="str">
        <f t="shared" si="27"/>
        <v>MAX : 1.53
TARGET : 1.50
MIN : 1.47</v>
      </c>
    </row>
    <row r="1748" spans="2:18" ht="41.4" x14ac:dyDescent="0.3">
      <c r="B1748">
        <v>1</v>
      </c>
      <c r="C1748" s="33">
        <v>7018</v>
      </c>
      <c r="D1748" s="2">
        <v>1854</v>
      </c>
      <c r="E1748" s="2" t="s">
        <v>8725</v>
      </c>
      <c r="F1748" s="3" t="s">
        <v>14206</v>
      </c>
      <c r="H1748" s="3" t="s">
        <v>289</v>
      </c>
      <c r="K1748" s="2">
        <v>20</v>
      </c>
      <c r="L1748" s="2">
        <v>2</v>
      </c>
      <c r="M1748" s="3" t="s">
        <v>611</v>
      </c>
      <c r="N1748" s="3" t="s">
        <v>13</v>
      </c>
      <c r="O1748" s="3" t="s">
        <v>14</v>
      </c>
      <c r="Q1748" s="30" t="str">
        <f t="shared" si="27"/>
        <v>MAX : 
TARGET : Yes(Pass)
MIN : No(Fail)</v>
      </c>
    </row>
    <row r="1749" spans="2:18" ht="41.4" x14ac:dyDescent="0.3">
      <c r="B1749">
        <v>0</v>
      </c>
      <c r="C1749" s="33">
        <v>7509</v>
      </c>
      <c r="D1749" s="2">
        <v>1894</v>
      </c>
      <c r="E1749" s="2" t="s">
        <v>9296</v>
      </c>
      <c r="F1749" s="3" t="s">
        <v>14207</v>
      </c>
      <c r="G1749" s="3" t="s">
        <v>2341</v>
      </c>
      <c r="H1749" s="3" t="s">
        <v>568</v>
      </c>
      <c r="K1749" s="2">
        <v>10</v>
      </c>
      <c r="L1749" s="2">
        <v>3</v>
      </c>
      <c r="M1749" s="3" t="s">
        <v>2348</v>
      </c>
      <c r="N1749" s="3" t="s">
        <v>2349</v>
      </c>
      <c r="O1749" s="3" t="s">
        <v>2350</v>
      </c>
      <c r="P1749" s="3" t="s">
        <v>2351</v>
      </c>
      <c r="Q1749" s="30" t="str">
        <f t="shared" si="27"/>
        <v>MAX : 136.0
TARGET : 135.0
MIN : 134.0</v>
      </c>
      <c r="R1749" s="3" t="s">
        <v>2343</v>
      </c>
    </row>
    <row r="1750" spans="2:18" ht="41.4" x14ac:dyDescent="0.3">
      <c r="B1750">
        <v>0</v>
      </c>
      <c r="C1750" s="33">
        <v>7509</v>
      </c>
      <c r="D1750" s="2">
        <v>1894</v>
      </c>
      <c r="E1750" s="2" t="s">
        <v>9296</v>
      </c>
      <c r="F1750" s="3" t="s">
        <v>14207</v>
      </c>
      <c r="G1750" s="3" t="s">
        <v>2341</v>
      </c>
      <c r="H1750" s="3" t="s">
        <v>568</v>
      </c>
      <c r="K1750" s="2">
        <v>10</v>
      </c>
      <c r="L1750" s="2">
        <v>5</v>
      </c>
      <c r="M1750" s="3" t="s">
        <v>2352</v>
      </c>
      <c r="N1750" s="3" t="s">
        <v>2353</v>
      </c>
      <c r="O1750" s="3" t="s">
        <v>1065</v>
      </c>
      <c r="P1750" s="3" t="s">
        <v>388</v>
      </c>
      <c r="Q1750" s="30" t="str">
        <f t="shared" si="27"/>
        <v>MAX : 6.0
TARGET : 5.0
MIN : 2.0</v>
      </c>
      <c r="R1750" s="3" t="s">
        <v>2343</v>
      </c>
    </row>
    <row r="1751" spans="2:18" ht="41.4" x14ac:dyDescent="0.3">
      <c r="B1751">
        <v>0</v>
      </c>
      <c r="C1751" s="33">
        <v>7509</v>
      </c>
      <c r="D1751" s="2">
        <v>1894</v>
      </c>
      <c r="E1751" s="2" t="s">
        <v>9296</v>
      </c>
      <c r="F1751" s="3" t="s">
        <v>14207</v>
      </c>
      <c r="G1751" s="3" t="s">
        <v>2341</v>
      </c>
      <c r="H1751" s="3" t="s">
        <v>568</v>
      </c>
      <c r="K1751" s="2">
        <v>10</v>
      </c>
      <c r="L1751" s="2">
        <v>4</v>
      </c>
      <c r="M1751" s="3" t="s">
        <v>2354</v>
      </c>
      <c r="N1751" s="3" t="s">
        <v>2355</v>
      </c>
      <c r="O1751" s="3" t="s">
        <v>2356</v>
      </c>
      <c r="P1751" s="3" t="s">
        <v>2357</v>
      </c>
      <c r="Q1751" s="30" t="str">
        <f t="shared" si="27"/>
        <v>MAX : 4.2
TARGET : 3.2
MIN : 2.2</v>
      </c>
      <c r="R1751" s="3" t="s">
        <v>2343</v>
      </c>
    </row>
    <row r="1752" spans="2:18" ht="41.4" x14ac:dyDescent="0.3">
      <c r="B1752">
        <v>0</v>
      </c>
      <c r="C1752" s="33">
        <v>7509</v>
      </c>
      <c r="D1752" s="2">
        <v>1894</v>
      </c>
      <c r="E1752" s="2" t="s">
        <v>9296</v>
      </c>
      <c r="F1752" s="3" t="s">
        <v>14207</v>
      </c>
      <c r="G1752" s="3" t="s">
        <v>2341</v>
      </c>
      <c r="H1752" s="3" t="s">
        <v>568</v>
      </c>
      <c r="K1752" s="2">
        <v>10</v>
      </c>
      <c r="L1752" s="2">
        <v>6</v>
      </c>
      <c r="M1752" s="3" t="s">
        <v>2358</v>
      </c>
      <c r="N1752" s="3" t="s">
        <v>13</v>
      </c>
      <c r="O1752" s="3" t="s">
        <v>14</v>
      </c>
      <c r="Q1752" s="30" t="str">
        <f t="shared" si="27"/>
        <v>MAX : 
TARGET : Yes(Pass)
MIN : No(Fail)</v>
      </c>
      <c r="R1752" s="3" t="s">
        <v>2343</v>
      </c>
    </row>
    <row r="1753" spans="2:18" ht="41.4" x14ac:dyDescent="0.3">
      <c r="B1753">
        <v>0</v>
      </c>
      <c r="C1753" s="33">
        <v>7509</v>
      </c>
      <c r="D1753" s="2">
        <v>1894</v>
      </c>
      <c r="E1753" s="2" t="s">
        <v>9296</v>
      </c>
      <c r="F1753" s="3" t="s">
        <v>14207</v>
      </c>
      <c r="G1753" s="3" t="s">
        <v>2341</v>
      </c>
      <c r="H1753" s="3" t="s">
        <v>568</v>
      </c>
      <c r="K1753" s="2">
        <v>10</v>
      </c>
      <c r="L1753" s="2">
        <v>7</v>
      </c>
      <c r="M1753" s="3" t="s">
        <v>2359</v>
      </c>
      <c r="N1753" s="3" t="s">
        <v>24</v>
      </c>
      <c r="O1753" s="3" t="s">
        <v>25</v>
      </c>
      <c r="Q1753" s="30" t="str">
        <f t="shared" si="27"/>
        <v>MAX : 
TARGET : Yes (Pass)
MIN : No (Fail)</v>
      </c>
      <c r="R1753" s="3" t="s">
        <v>2343</v>
      </c>
    </row>
    <row r="1754" spans="2:18" ht="41.4" x14ac:dyDescent="0.3">
      <c r="B1754">
        <v>0</v>
      </c>
      <c r="C1754" s="33">
        <v>7509</v>
      </c>
      <c r="D1754" s="2">
        <v>1894</v>
      </c>
      <c r="E1754" s="2" t="s">
        <v>9296</v>
      </c>
      <c r="F1754" s="3" t="s">
        <v>14207</v>
      </c>
      <c r="G1754" s="3" t="s">
        <v>2341</v>
      </c>
      <c r="H1754" s="3" t="s">
        <v>568</v>
      </c>
      <c r="K1754" s="2">
        <v>10</v>
      </c>
      <c r="L1754" s="2">
        <v>8</v>
      </c>
      <c r="M1754" s="3" t="s">
        <v>2360</v>
      </c>
      <c r="N1754" s="3" t="s">
        <v>24</v>
      </c>
      <c r="O1754" s="3" t="s">
        <v>25</v>
      </c>
      <c r="Q1754" s="30" t="str">
        <f t="shared" si="27"/>
        <v>MAX : 
TARGET : Yes (Pass)
MIN : No (Fail)</v>
      </c>
      <c r="R1754" s="3" t="s">
        <v>2343</v>
      </c>
    </row>
    <row r="1755" spans="2:18" ht="41.4" x14ac:dyDescent="0.3">
      <c r="B1755">
        <v>1</v>
      </c>
      <c r="C1755" s="33">
        <v>7018</v>
      </c>
      <c r="D1755" s="2">
        <v>1854</v>
      </c>
      <c r="E1755" s="2" t="s">
        <v>8725</v>
      </c>
      <c r="F1755" s="3" t="s">
        <v>14206</v>
      </c>
      <c r="H1755" s="3" t="s">
        <v>289</v>
      </c>
      <c r="K1755" s="2">
        <v>20</v>
      </c>
      <c r="L1755" s="2">
        <v>1</v>
      </c>
      <c r="M1755" s="3" t="s">
        <v>99</v>
      </c>
      <c r="N1755" s="3" t="s">
        <v>1755</v>
      </c>
      <c r="O1755" s="3" t="s">
        <v>250</v>
      </c>
      <c r="P1755" s="3" t="s">
        <v>1174</v>
      </c>
      <c r="Q1755" s="30" t="str">
        <f t="shared" si="27"/>
        <v>MAX : 6.06
TARGET : 6.00
MIN : 5.72</v>
      </c>
    </row>
    <row r="1756" spans="2:18" ht="41.4" x14ac:dyDescent="0.3">
      <c r="B1756">
        <v>1</v>
      </c>
      <c r="C1756" s="33">
        <v>7024</v>
      </c>
      <c r="D1756" s="2">
        <v>1074</v>
      </c>
      <c r="E1756" s="2" t="s">
        <v>8737</v>
      </c>
      <c r="F1756" s="3" t="s">
        <v>2064</v>
      </c>
      <c r="H1756" s="3" t="s">
        <v>648</v>
      </c>
      <c r="K1756" t="s">
        <v>6295</v>
      </c>
      <c r="L1756" s="2">
        <v>2</v>
      </c>
      <c r="M1756" s="3" t="s">
        <v>2066</v>
      </c>
      <c r="N1756" s="3" t="s">
        <v>13</v>
      </c>
      <c r="O1756" s="3" t="s">
        <v>14</v>
      </c>
      <c r="Q1756" s="30" t="str">
        <f t="shared" si="27"/>
        <v>MAX : 
TARGET : Yes(Pass)
MIN : No(Fail)</v>
      </c>
    </row>
    <row r="1757" spans="2:18" ht="41.4" x14ac:dyDescent="0.3">
      <c r="B1757">
        <v>0</v>
      </c>
      <c r="C1757" s="33">
        <v>7510</v>
      </c>
      <c r="D1757" s="2">
        <v>1119</v>
      </c>
      <c r="E1757" s="2" t="s">
        <v>9304</v>
      </c>
      <c r="F1757" s="3" t="s">
        <v>14207</v>
      </c>
      <c r="H1757" s="3" t="s">
        <v>2361</v>
      </c>
      <c r="K1757" s="2">
        <v>10</v>
      </c>
      <c r="L1757" s="2">
        <v>2</v>
      </c>
      <c r="M1757" s="3" t="s">
        <v>328</v>
      </c>
      <c r="N1757" s="3" t="s">
        <v>576</v>
      </c>
      <c r="O1757" s="3" t="s">
        <v>2368</v>
      </c>
      <c r="P1757" s="3" t="s">
        <v>2369</v>
      </c>
      <c r="Q1757" s="30" t="str">
        <f t="shared" si="27"/>
        <v>MAX : 9.58
TARGET : 9.45
MIN : 9.32</v>
      </c>
    </row>
    <row r="1758" spans="2:18" ht="41.4" x14ac:dyDescent="0.3">
      <c r="B1758">
        <v>0</v>
      </c>
      <c r="C1758" s="33">
        <v>7510</v>
      </c>
      <c r="D1758" s="2">
        <v>1119</v>
      </c>
      <c r="E1758" s="2" t="s">
        <v>9304</v>
      </c>
      <c r="F1758" s="3" t="s">
        <v>14207</v>
      </c>
      <c r="H1758" s="3" t="s">
        <v>2361</v>
      </c>
      <c r="K1758" s="2">
        <v>10</v>
      </c>
      <c r="L1758" s="2">
        <v>8</v>
      </c>
      <c r="M1758" s="3" t="s">
        <v>2370</v>
      </c>
      <c r="N1758" s="3" t="s">
        <v>2371</v>
      </c>
      <c r="O1758" s="3" t="s">
        <v>2233</v>
      </c>
      <c r="P1758" s="3" t="s">
        <v>2086</v>
      </c>
      <c r="Q1758" s="30" t="str">
        <f t="shared" si="27"/>
        <v>MAX : 2.34
TARGET : 2.09
MIN : 1.84</v>
      </c>
    </row>
    <row r="1759" spans="2:18" ht="41.4" x14ac:dyDescent="0.3">
      <c r="B1759">
        <v>0</v>
      </c>
      <c r="C1759" s="33">
        <v>7510</v>
      </c>
      <c r="D1759" s="2">
        <v>1119</v>
      </c>
      <c r="E1759" s="2" t="s">
        <v>9304</v>
      </c>
      <c r="F1759" s="3" t="s">
        <v>14207</v>
      </c>
      <c r="H1759" s="3" t="s">
        <v>2361</v>
      </c>
      <c r="K1759" s="2">
        <v>10</v>
      </c>
      <c r="L1759" s="2">
        <v>11</v>
      </c>
      <c r="M1759" s="3" t="s">
        <v>2211</v>
      </c>
      <c r="N1759" s="3" t="s">
        <v>2372</v>
      </c>
      <c r="O1759" s="3" t="s">
        <v>2373</v>
      </c>
      <c r="P1759" s="3" t="s">
        <v>2374</v>
      </c>
      <c r="Q1759" s="30" t="str">
        <f t="shared" si="27"/>
        <v>MAX : 14.15
TARGET : 14.02
MIN : 13.89</v>
      </c>
    </row>
    <row r="1760" spans="2:18" ht="41.4" x14ac:dyDescent="0.3">
      <c r="B1760">
        <v>0</v>
      </c>
      <c r="C1760" s="33">
        <v>7510</v>
      </c>
      <c r="D1760" s="2">
        <v>1119</v>
      </c>
      <c r="E1760" s="2" t="s">
        <v>9304</v>
      </c>
      <c r="F1760" s="3" t="s">
        <v>14207</v>
      </c>
      <c r="H1760" s="3" t="s">
        <v>2361</v>
      </c>
      <c r="K1760" s="2">
        <v>10</v>
      </c>
      <c r="L1760" s="2">
        <v>12</v>
      </c>
      <c r="M1760" s="3" t="s">
        <v>335</v>
      </c>
      <c r="N1760" s="3" t="s">
        <v>2375</v>
      </c>
      <c r="O1760" s="3" t="s">
        <v>2376</v>
      </c>
      <c r="P1760" s="3" t="s">
        <v>2377</v>
      </c>
      <c r="Q1760" s="30" t="str">
        <f t="shared" si="27"/>
        <v>MAX : 24.55
TARGET : 24.30
MIN : 24.05</v>
      </c>
    </row>
    <row r="1761" spans="2:18" ht="41.4" x14ac:dyDescent="0.3">
      <c r="B1761">
        <v>0</v>
      </c>
      <c r="C1761" s="33">
        <v>7510</v>
      </c>
      <c r="D1761" s="2">
        <v>1119</v>
      </c>
      <c r="E1761" s="2" t="s">
        <v>9304</v>
      </c>
      <c r="F1761" s="3" t="s">
        <v>14207</v>
      </c>
      <c r="H1761" s="3" t="s">
        <v>2361</v>
      </c>
      <c r="K1761" s="2">
        <v>10</v>
      </c>
      <c r="L1761" s="2">
        <v>13</v>
      </c>
      <c r="M1761" s="3" t="s">
        <v>354</v>
      </c>
      <c r="N1761" s="3" t="s">
        <v>2378</v>
      </c>
      <c r="O1761" s="3" t="s">
        <v>1966</v>
      </c>
      <c r="P1761" s="3" t="s">
        <v>2379</v>
      </c>
      <c r="Q1761" s="30" t="str">
        <f t="shared" si="27"/>
        <v>MAX : 7.15
TARGET : 6.90
MIN : 6.65</v>
      </c>
    </row>
    <row r="1762" spans="2:18" ht="41.4" x14ac:dyDescent="0.3">
      <c r="B1762">
        <v>0</v>
      </c>
      <c r="C1762" s="33">
        <v>7510</v>
      </c>
      <c r="D1762" s="2">
        <v>1119</v>
      </c>
      <c r="E1762" s="2" t="s">
        <v>9304</v>
      </c>
      <c r="F1762" s="3" t="s">
        <v>14207</v>
      </c>
      <c r="H1762" s="3" t="s">
        <v>2361</v>
      </c>
      <c r="K1762" s="2">
        <v>10</v>
      </c>
      <c r="L1762" s="2">
        <v>6</v>
      </c>
      <c r="M1762" s="3" t="s">
        <v>2380</v>
      </c>
      <c r="N1762" s="3" t="s">
        <v>2378</v>
      </c>
      <c r="O1762" s="3" t="s">
        <v>1966</v>
      </c>
      <c r="P1762" s="3" t="s">
        <v>2379</v>
      </c>
      <c r="Q1762" s="30" t="str">
        <f t="shared" si="27"/>
        <v>MAX : 7.15
TARGET : 6.90
MIN : 6.65</v>
      </c>
    </row>
    <row r="1763" spans="2:18" ht="41.4" x14ac:dyDescent="0.3">
      <c r="B1763">
        <v>0</v>
      </c>
      <c r="C1763" s="33">
        <v>7510</v>
      </c>
      <c r="D1763" s="2">
        <v>1119</v>
      </c>
      <c r="E1763" s="2" t="s">
        <v>9304</v>
      </c>
      <c r="F1763" s="3" t="s">
        <v>14207</v>
      </c>
      <c r="H1763" s="3" t="s">
        <v>2361</v>
      </c>
      <c r="K1763" s="2">
        <v>10</v>
      </c>
      <c r="L1763" s="2">
        <v>5</v>
      </c>
      <c r="M1763" s="3" t="s">
        <v>2161</v>
      </c>
      <c r="N1763" s="3" t="s">
        <v>2381</v>
      </c>
      <c r="O1763" s="3" t="s">
        <v>1670</v>
      </c>
      <c r="P1763" s="3" t="s">
        <v>2382</v>
      </c>
      <c r="Q1763" s="30" t="str">
        <f t="shared" si="27"/>
        <v>MAX : 12.95
TARGET : 12.70
MIN : 12.45</v>
      </c>
    </row>
    <row r="1764" spans="2:18" ht="41.4" x14ac:dyDescent="0.3">
      <c r="B1764">
        <v>0</v>
      </c>
      <c r="C1764" s="33">
        <v>7510</v>
      </c>
      <c r="D1764" s="2">
        <v>1119</v>
      </c>
      <c r="E1764" s="2" t="s">
        <v>9304</v>
      </c>
      <c r="F1764" s="3" t="s">
        <v>14207</v>
      </c>
      <c r="H1764" s="3" t="s">
        <v>2361</v>
      </c>
      <c r="K1764" s="2">
        <v>10</v>
      </c>
      <c r="L1764" s="2">
        <v>14</v>
      </c>
      <c r="M1764" s="3" t="s">
        <v>2383</v>
      </c>
      <c r="N1764" s="3" t="s">
        <v>2384</v>
      </c>
      <c r="O1764" s="3" t="s">
        <v>2385</v>
      </c>
      <c r="P1764" s="3" t="s">
        <v>2386</v>
      </c>
      <c r="Q1764" s="30" t="str">
        <f t="shared" si="27"/>
        <v>MAX : 38.35
TARGET : 38.10
MIN : 37.85</v>
      </c>
    </row>
    <row r="1765" spans="2:18" ht="41.4" x14ac:dyDescent="0.3">
      <c r="B1765">
        <v>0</v>
      </c>
      <c r="C1765" s="33">
        <v>7510</v>
      </c>
      <c r="D1765" s="2">
        <v>1119</v>
      </c>
      <c r="E1765" s="2" t="s">
        <v>9304</v>
      </c>
      <c r="F1765" s="3" t="s">
        <v>14207</v>
      </c>
      <c r="H1765" s="3" t="s">
        <v>2361</v>
      </c>
      <c r="K1765" s="2">
        <v>10</v>
      </c>
      <c r="L1765" s="2">
        <v>16</v>
      </c>
      <c r="M1765" s="3" t="s">
        <v>2387</v>
      </c>
      <c r="O1765" s="3" t="s">
        <v>123</v>
      </c>
      <c r="P1765" s="3" t="s">
        <v>124</v>
      </c>
      <c r="Q1765" s="30" t="str">
        <f t="shared" si="27"/>
        <v xml:space="preserve">MAX : Yes (Fail)
TARGET : No (Pass)
MIN : </v>
      </c>
    </row>
    <row r="1766" spans="2:18" ht="41.4" x14ac:dyDescent="0.3">
      <c r="B1766">
        <v>0</v>
      </c>
      <c r="C1766" s="33">
        <v>7510</v>
      </c>
      <c r="D1766" s="2">
        <v>1119</v>
      </c>
      <c r="E1766" s="2" t="s">
        <v>9304</v>
      </c>
      <c r="F1766" s="3" t="s">
        <v>14207</v>
      </c>
      <c r="H1766" s="3" t="s">
        <v>2361</v>
      </c>
      <c r="K1766" s="2">
        <v>10</v>
      </c>
      <c r="L1766" s="2">
        <v>17</v>
      </c>
      <c r="M1766" s="3" t="s">
        <v>2388</v>
      </c>
      <c r="O1766" s="3" t="s">
        <v>123</v>
      </c>
      <c r="P1766" s="3" t="s">
        <v>124</v>
      </c>
      <c r="Q1766" s="30" t="str">
        <f t="shared" si="27"/>
        <v xml:space="preserve">MAX : Yes (Fail)
TARGET : No (Pass)
MIN : </v>
      </c>
    </row>
    <row r="1767" spans="2:18" ht="41.4" x14ac:dyDescent="0.3">
      <c r="B1767">
        <v>0</v>
      </c>
      <c r="C1767" s="33">
        <v>7510</v>
      </c>
      <c r="D1767" s="2">
        <v>1119</v>
      </c>
      <c r="E1767" s="2" t="s">
        <v>9304</v>
      </c>
      <c r="F1767" s="3" t="s">
        <v>14207</v>
      </c>
      <c r="H1767" s="3" t="s">
        <v>2361</v>
      </c>
      <c r="K1767" s="2">
        <v>10</v>
      </c>
      <c r="L1767" s="2">
        <v>18</v>
      </c>
      <c r="M1767" s="3" t="s">
        <v>2389</v>
      </c>
      <c r="N1767" s="3" t="s">
        <v>24</v>
      </c>
      <c r="O1767" s="3" t="s">
        <v>25</v>
      </c>
      <c r="Q1767" s="30" t="str">
        <f t="shared" si="27"/>
        <v>MAX : 
TARGET : Yes (Pass)
MIN : No (Fail)</v>
      </c>
    </row>
    <row r="1768" spans="2:18" ht="41.4" x14ac:dyDescent="0.3">
      <c r="B1768">
        <v>0</v>
      </c>
      <c r="C1768" s="33">
        <v>7510</v>
      </c>
      <c r="D1768" s="2">
        <v>1119</v>
      </c>
      <c r="E1768" s="2" t="s">
        <v>9304</v>
      </c>
      <c r="F1768" s="3" t="s">
        <v>14207</v>
      </c>
      <c r="H1768" s="3" t="s">
        <v>2361</v>
      </c>
      <c r="K1768" s="2">
        <v>10</v>
      </c>
      <c r="L1768" s="2">
        <v>15</v>
      </c>
      <c r="M1768" s="3" t="s">
        <v>362</v>
      </c>
      <c r="O1768" s="3" t="s">
        <v>123</v>
      </c>
      <c r="P1768" s="3" t="s">
        <v>124</v>
      </c>
      <c r="Q1768" s="30" t="str">
        <f t="shared" si="27"/>
        <v xml:space="preserve">MAX : Yes (Fail)
TARGET : No (Pass)
MIN : </v>
      </c>
    </row>
    <row r="1769" spans="2:18" ht="41.4" x14ac:dyDescent="0.3">
      <c r="B1769">
        <v>0</v>
      </c>
      <c r="C1769" s="33">
        <v>7510</v>
      </c>
      <c r="D1769" s="2">
        <v>1119</v>
      </c>
      <c r="E1769" s="2" t="s">
        <v>9304</v>
      </c>
      <c r="F1769" s="3" t="s">
        <v>14207</v>
      </c>
      <c r="H1769" s="3" t="s">
        <v>2361</v>
      </c>
      <c r="K1769" s="2">
        <v>10</v>
      </c>
      <c r="L1769" s="2">
        <v>3</v>
      </c>
      <c r="M1769" s="3" t="s">
        <v>2390</v>
      </c>
      <c r="N1769" s="3" t="s">
        <v>2391</v>
      </c>
      <c r="O1769" s="3" t="s">
        <v>1905</v>
      </c>
      <c r="P1769" s="3" t="s">
        <v>427</v>
      </c>
      <c r="Q1769" s="30" t="str">
        <f t="shared" si="27"/>
        <v>MAX : 1.65
TARGET : 1.40
MIN : 1.15</v>
      </c>
    </row>
    <row r="1770" spans="2:18" ht="41.4" x14ac:dyDescent="0.3">
      <c r="B1770">
        <v>0</v>
      </c>
      <c r="C1770" s="33">
        <v>7510</v>
      </c>
      <c r="D1770" s="2">
        <v>1119</v>
      </c>
      <c r="E1770" s="2" t="s">
        <v>9304</v>
      </c>
      <c r="F1770" s="3" t="s">
        <v>14207</v>
      </c>
      <c r="H1770" s="3" t="s">
        <v>2361</v>
      </c>
      <c r="K1770" s="2">
        <v>10</v>
      </c>
      <c r="L1770" s="2">
        <v>10</v>
      </c>
      <c r="M1770" s="3" t="s">
        <v>2392</v>
      </c>
      <c r="N1770" s="3" t="s">
        <v>2371</v>
      </c>
      <c r="O1770" s="3" t="s">
        <v>2233</v>
      </c>
      <c r="P1770" s="3" t="s">
        <v>2086</v>
      </c>
      <c r="Q1770" s="30" t="str">
        <f t="shared" si="27"/>
        <v>MAX : 2.34
TARGET : 2.09
MIN : 1.84</v>
      </c>
    </row>
    <row r="1771" spans="2:18" ht="41.4" x14ac:dyDescent="0.3">
      <c r="B1771">
        <v>0</v>
      </c>
      <c r="C1771" s="33">
        <v>7510</v>
      </c>
      <c r="D1771" s="2">
        <v>1119</v>
      </c>
      <c r="E1771" s="2" t="s">
        <v>9304</v>
      </c>
      <c r="F1771" s="3" t="s">
        <v>14207</v>
      </c>
      <c r="H1771" s="3" t="s">
        <v>2361</v>
      </c>
      <c r="K1771" s="2">
        <v>10</v>
      </c>
      <c r="L1771" s="2">
        <v>9</v>
      </c>
      <c r="M1771" s="3" t="s">
        <v>2393</v>
      </c>
      <c r="N1771" s="3" t="s">
        <v>2394</v>
      </c>
      <c r="O1771" s="3" t="s">
        <v>2395</v>
      </c>
      <c r="P1771" s="3" t="s">
        <v>2396</v>
      </c>
      <c r="Q1771" s="30" t="str">
        <f t="shared" si="27"/>
        <v>MAX : 18.45
TARGET : 18.20
MIN : 17.95</v>
      </c>
    </row>
    <row r="1772" spans="2:18" ht="41.4" x14ac:dyDescent="0.3">
      <c r="B1772">
        <v>0</v>
      </c>
      <c r="C1772" s="33">
        <v>7510</v>
      </c>
      <c r="D1772" s="2">
        <v>1119</v>
      </c>
      <c r="E1772" s="2" t="s">
        <v>9304</v>
      </c>
      <c r="F1772" s="3" t="s">
        <v>14207</v>
      </c>
      <c r="H1772" s="3" t="s">
        <v>2361</v>
      </c>
      <c r="K1772" s="2">
        <v>10</v>
      </c>
      <c r="L1772" s="2">
        <v>7</v>
      </c>
      <c r="M1772" s="3" t="s">
        <v>2215</v>
      </c>
      <c r="N1772" s="3" t="s">
        <v>2397</v>
      </c>
      <c r="O1772" s="3" t="s">
        <v>2398</v>
      </c>
      <c r="P1772" s="3" t="s">
        <v>2399</v>
      </c>
      <c r="Q1772" s="30" t="str">
        <f t="shared" si="27"/>
        <v>MAX : 6.35
TARGET : 6.10
MIN : 5.85</v>
      </c>
    </row>
    <row r="1773" spans="2:18" ht="41.4" x14ac:dyDescent="0.3">
      <c r="B1773">
        <v>1</v>
      </c>
      <c r="C1773" s="33">
        <v>7024</v>
      </c>
      <c r="D1773" s="2">
        <v>1074</v>
      </c>
      <c r="E1773" s="2" t="s">
        <v>8737</v>
      </c>
      <c r="F1773" s="3" t="s">
        <v>2064</v>
      </c>
      <c r="H1773" s="3" t="s">
        <v>648</v>
      </c>
      <c r="K1773" t="s">
        <v>6295</v>
      </c>
      <c r="L1773" s="2">
        <v>1</v>
      </c>
      <c r="M1773" s="3" t="s">
        <v>2065</v>
      </c>
      <c r="N1773" s="3" t="s">
        <v>13</v>
      </c>
      <c r="O1773" s="3" t="s">
        <v>14</v>
      </c>
      <c r="Q1773" s="30" t="str">
        <f t="shared" si="27"/>
        <v>MAX : 
TARGET : Yes(Pass)
MIN : No(Fail)</v>
      </c>
    </row>
    <row r="1774" spans="2:18" ht="41.4" x14ac:dyDescent="0.3">
      <c r="B1774">
        <v>1</v>
      </c>
      <c r="C1774" s="33">
        <v>7027</v>
      </c>
      <c r="D1774" s="2">
        <v>1855</v>
      </c>
      <c r="E1774" s="2" t="s">
        <v>8742</v>
      </c>
      <c r="F1774" s="3" t="s">
        <v>14206</v>
      </c>
      <c r="H1774" s="3" t="s">
        <v>269</v>
      </c>
      <c r="K1774" s="2">
        <v>20</v>
      </c>
      <c r="L1774" s="2">
        <v>2</v>
      </c>
      <c r="M1774" s="3" t="s">
        <v>1613</v>
      </c>
      <c r="N1774" s="3" t="s">
        <v>13</v>
      </c>
      <c r="O1774" s="3" t="s">
        <v>14</v>
      </c>
      <c r="Q1774" s="30" t="str">
        <f t="shared" si="27"/>
        <v>MAX : 
TARGET : Yes(Pass)
MIN : No(Fail)</v>
      </c>
      <c r="R1774" s="3" t="s">
        <v>1512</v>
      </c>
    </row>
    <row r="1775" spans="2:18" ht="41.4" x14ac:dyDescent="0.3">
      <c r="B1775">
        <v>1</v>
      </c>
      <c r="C1775" s="33">
        <v>7027</v>
      </c>
      <c r="D1775" s="2">
        <v>1855</v>
      </c>
      <c r="E1775" s="2" t="s">
        <v>8742</v>
      </c>
      <c r="F1775" s="3" t="s">
        <v>14206</v>
      </c>
      <c r="H1775" s="3" t="s">
        <v>269</v>
      </c>
      <c r="K1775" s="2">
        <v>20</v>
      </c>
      <c r="L1775" s="2">
        <v>1</v>
      </c>
      <c r="M1775" s="3" t="s">
        <v>99</v>
      </c>
      <c r="N1775" s="3" t="s">
        <v>1410</v>
      </c>
      <c r="O1775" s="3" t="s">
        <v>2051</v>
      </c>
      <c r="P1775" s="3" t="s">
        <v>56</v>
      </c>
      <c r="Q1775" s="30" t="str">
        <f t="shared" si="27"/>
        <v>MAX : 0.735
TARGET : 0.730
MIN : 0.725</v>
      </c>
      <c r="R1775" s="3" t="s">
        <v>1512</v>
      </c>
    </row>
    <row r="1776" spans="2:18" ht="41.4" x14ac:dyDescent="0.3">
      <c r="B1776">
        <v>1</v>
      </c>
      <c r="C1776" s="33">
        <v>7028</v>
      </c>
      <c r="D1776" s="2">
        <v>1856</v>
      </c>
      <c r="E1776" s="2" t="s">
        <v>8749</v>
      </c>
      <c r="F1776" s="3" t="s">
        <v>14206</v>
      </c>
      <c r="H1776" s="3" t="s">
        <v>269</v>
      </c>
      <c r="K1776" s="2">
        <v>20</v>
      </c>
      <c r="L1776" s="2">
        <v>2</v>
      </c>
      <c r="M1776" s="3" t="s">
        <v>1613</v>
      </c>
      <c r="N1776" s="3" t="s">
        <v>13</v>
      </c>
      <c r="O1776" s="3" t="s">
        <v>14</v>
      </c>
      <c r="Q1776" s="30" t="str">
        <f t="shared" si="27"/>
        <v>MAX : 
TARGET : Yes(Pass)
MIN : No(Fail)</v>
      </c>
      <c r="R1776" s="3" t="s">
        <v>1512</v>
      </c>
    </row>
    <row r="1777" spans="2:18" ht="41.4" x14ac:dyDescent="0.3">
      <c r="B1777">
        <v>0</v>
      </c>
      <c r="C1777" s="33">
        <v>7530</v>
      </c>
      <c r="D1777" s="2">
        <v>1121</v>
      </c>
      <c r="E1777" s="2" t="s">
        <v>9335</v>
      </c>
      <c r="F1777" s="3" t="s">
        <v>14207</v>
      </c>
      <c r="H1777" s="3" t="s">
        <v>108</v>
      </c>
      <c r="K1777" s="2">
        <v>20</v>
      </c>
      <c r="L1777" s="2">
        <v>3</v>
      </c>
      <c r="M1777" s="3" t="s">
        <v>2403</v>
      </c>
      <c r="N1777" s="3" t="s">
        <v>1064</v>
      </c>
      <c r="O1777" s="3" t="s">
        <v>1065</v>
      </c>
      <c r="P1777" s="3" t="s">
        <v>388</v>
      </c>
      <c r="Q1777" s="30" t="str">
        <f t="shared" si="27"/>
        <v>MAX : 6.0
TARGET : 5.0
MIN : 4.0</v>
      </c>
    </row>
    <row r="1778" spans="2:18" ht="41.4" x14ac:dyDescent="0.3">
      <c r="B1778">
        <v>0</v>
      </c>
      <c r="C1778" s="33">
        <v>7530</v>
      </c>
      <c r="D1778" s="2">
        <v>1121</v>
      </c>
      <c r="E1778" s="2" t="s">
        <v>9335</v>
      </c>
      <c r="F1778" s="3" t="s">
        <v>14207</v>
      </c>
      <c r="H1778" s="3" t="s">
        <v>108</v>
      </c>
      <c r="K1778" s="2">
        <v>20</v>
      </c>
      <c r="L1778" s="2">
        <v>5</v>
      </c>
      <c r="M1778" s="3" t="s">
        <v>78</v>
      </c>
      <c r="N1778" s="3" t="s">
        <v>13</v>
      </c>
      <c r="O1778" s="3" t="s">
        <v>14</v>
      </c>
      <c r="Q1778" s="30" t="str">
        <f t="shared" si="27"/>
        <v>MAX : 
TARGET : Yes(Pass)
MIN : No(Fail)</v>
      </c>
    </row>
    <row r="1779" spans="2:18" ht="41.4" x14ac:dyDescent="0.3">
      <c r="B1779">
        <v>0</v>
      </c>
      <c r="C1779" s="33">
        <v>7530</v>
      </c>
      <c r="D1779" s="2">
        <v>1121</v>
      </c>
      <c r="E1779" s="2" t="s">
        <v>9335</v>
      </c>
      <c r="F1779" s="3" t="s">
        <v>14207</v>
      </c>
      <c r="H1779" s="3" t="s">
        <v>108</v>
      </c>
      <c r="K1779" s="2">
        <v>20</v>
      </c>
      <c r="L1779" s="2">
        <v>6</v>
      </c>
      <c r="M1779" s="3" t="s">
        <v>2400</v>
      </c>
      <c r="N1779" s="3" t="s">
        <v>13</v>
      </c>
      <c r="O1779" s="3" t="s">
        <v>14</v>
      </c>
      <c r="Q1779" s="30" t="str">
        <f t="shared" si="27"/>
        <v>MAX : 
TARGET : Yes(Pass)
MIN : No(Fail)</v>
      </c>
    </row>
    <row r="1780" spans="2:18" ht="41.4" x14ac:dyDescent="0.3">
      <c r="B1780">
        <v>0</v>
      </c>
      <c r="C1780" s="33">
        <v>7530</v>
      </c>
      <c r="D1780" s="2">
        <v>1121</v>
      </c>
      <c r="E1780" s="2" t="s">
        <v>9335</v>
      </c>
      <c r="F1780" s="3" t="s">
        <v>14207</v>
      </c>
      <c r="H1780" s="3" t="s">
        <v>108</v>
      </c>
      <c r="K1780" s="2">
        <v>20</v>
      </c>
      <c r="L1780" s="2">
        <v>4</v>
      </c>
      <c r="M1780" s="3" t="s">
        <v>2404</v>
      </c>
      <c r="N1780" s="3" t="s">
        <v>13</v>
      </c>
      <c r="O1780" s="3" t="s">
        <v>14</v>
      </c>
      <c r="Q1780" s="30" t="str">
        <f t="shared" si="27"/>
        <v>MAX : 
TARGET : Yes(Pass)
MIN : No(Fail)</v>
      </c>
    </row>
    <row r="1781" spans="2:18" ht="41.4" x14ac:dyDescent="0.3">
      <c r="B1781">
        <v>1</v>
      </c>
      <c r="C1781" s="33">
        <v>7028</v>
      </c>
      <c r="D1781" s="2">
        <v>1856</v>
      </c>
      <c r="E1781" s="2" t="s">
        <v>8749</v>
      </c>
      <c r="F1781" s="3" t="s">
        <v>14206</v>
      </c>
      <c r="H1781" s="3" t="s">
        <v>269</v>
      </c>
      <c r="K1781" s="2">
        <v>20</v>
      </c>
      <c r="L1781" s="2">
        <v>1</v>
      </c>
      <c r="M1781" s="3" t="s">
        <v>99</v>
      </c>
      <c r="N1781" s="3" t="s">
        <v>541</v>
      </c>
      <c r="O1781" s="3" t="s">
        <v>139</v>
      </c>
      <c r="P1781" s="3" t="s">
        <v>542</v>
      </c>
      <c r="Q1781" s="30" t="str">
        <f t="shared" si="27"/>
        <v>MAX : 1.005
TARGET : 1.000
MIN : 0.995</v>
      </c>
      <c r="R1781" s="3" t="s">
        <v>1512</v>
      </c>
    </row>
    <row r="1782" spans="2:18" ht="41.4" x14ac:dyDescent="0.3">
      <c r="B1782">
        <v>1</v>
      </c>
      <c r="C1782" s="33">
        <v>7030</v>
      </c>
      <c r="D1782" s="2">
        <v>1857</v>
      </c>
      <c r="E1782" s="2" t="s">
        <v>8756</v>
      </c>
      <c r="F1782" s="3" t="s">
        <v>14206</v>
      </c>
      <c r="H1782" s="3" t="s">
        <v>2052</v>
      </c>
      <c r="K1782" t="s">
        <v>6295</v>
      </c>
      <c r="L1782" s="2">
        <v>2</v>
      </c>
      <c r="M1782" s="3" t="s">
        <v>1613</v>
      </c>
      <c r="N1782" s="3" t="s">
        <v>13</v>
      </c>
      <c r="O1782" s="3" t="s">
        <v>14</v>
      </c>
      <c r="Q1782" s="30" t="str">
        <f t="shared" si="27"/>
        <v>MAX : 
TARGET : Yes(Pass)
MIN : No(Fail)</v>
      </c>
      <c r="R1782" s="3" t="s">
        <v>1512</v>
      </c>
    </row>
    <row r="1783" spans="2:18" ht="41.4" x14ac:dyDescent="0.3">
      <c r="B1783">
        <v>1</v>
      </c>
      <c r="C1783" s="33">
        <v>7030</v>
      </c>
      <c r="D1783" s="2">
        <v>1857</v>
      </c>
      <c r="E1783" s="2" t="s">
        <v>8756</v>
      </c>
      <c r="F1783" s="3" t="s">
        <v>14206</v>
      </c>
      <c r="H1783" s="3" t="s">
        <v>2052</v>
      </c>
      <c r="K1783" t="s">
        <v>6295</v>
      </c>
      <c r="L1783" s="2">
        <v>1</v>
      </c>
      <c r="M1783" s="3" t="s">
        <v>99</v>
      </c>
      <c r="N1783" s="3" t="s">
        <v>2053</v>
      </c>
      <c r="O1783" s="3" t="s">
        <v>698</v>
      </c>
      <c r="P1783" s="3" t="s">
        <v>2054</v>
      </c>
      <c r="Q1783" s="30" t="str">
        <f t="shared" si="27"/>
        <v>MAX : 0.305
TARGET : 0.300
MIN : 0.295</v>
      </c>
      <c r="R1783" s="3" t="s">
        <v>1512</v>
      </c>
    </row>
    <row r="1784" spans="2:18" ht="41.4" x14ac:dyDescent="0.3">
      <c r="B1784">
        <v>1</v>
      </c>
      <c r="C1784" s="33">
        <v>7035</v>
      </c>
      <c r="D1784" s="2">
        <v>1858</v>
      </c>
      <c r="E1784" s="2" t="s">
        <v>8764</v>
      </c>
      <c r="F1784" s="3" t="s">
        <v>14206</v>
      </c>
      <c r="H1784" s="3" t="s">
        <v>193</v>
      </c>
      <c r="K1784" s="2">
        <v>10</v>
      </c>
      <c r="L1784" s="2">
        <v>2</v>
      </c>
      <c r="M1784" s="3" t="s">
        <v>2059</v>
      </c>
      <c r="N1784" s="3" t="s">
        <v>13</v>
      </c>
      <c r="O1784" s="3" t="s">
        <v>14</v>
      </c>
      <c r="Q1784" s="30" t="str">
        <f t="shared" si="27"/>
        <v>MAX : 
TARGET : Yes(Pass)
MIN : No(Fail)</v>
      </c>
      <c r="R1784" s="3" t="s">
        <v>762</v>
      </c>
    </row>
    <row r="1785" spans="2:18" ht="41.4" x14ac:dyDescent="0.3">
      <c r="B1785">
        <v>1</v>
      </c>
      <c r="C1785" s="33">
        <v>7035</v>
      </c>
      <c r="D1785" s="2">
        <v>1858</v>
      </c>
      <c r="E1785" s="2" t="s">
        <v>8764</v>
      </c>
      <c r="F1785" s="3" t="s">
        <v>14206</v>
      </c>
      <c r="H1785" s="3" t="s">
        <v>193</v>
      </c>
      <c r="K1785" s="2">
        <v>10</v>
      </c>
      <c r="L1785" s="2">
        <v>1</v>
      </c>
      <c r="M1785" s="3" t="s">
        <v>2055</v>
      </c>
      <c r="N1785" s="3" t="s">
        <v>2056</v>
      </c>
      <c r="O1785" s="3" t="s">
        <v>2057</v>
      </c>
      <c r="P1785" s="3" t="s">
        <v>2058</v>
      </c>
      <c r="Q1785" s="30" t="str">
        <f t="shared" si="27"/>
        <v>MAX : +0.02
TARGET : target
MIN : -0.02</v>
      </c>
      <c r="R1785" s="3" t="s">
        <v>762</v>
      </c>
    </row>
    <row r="1786" spans="2:18" ht="41.4" x14ac:dyDescent="0.3">
      <c r="B1786">
        <v>0</v>
      </c>
      <c r="C1786" s="33">
        <v>7543</v>
      </c>
      <c r="D1786" s="2">
        <v>1122</v>
      </c>
      <c r="E1786" s="2" t="s">
        <v>9342</v>
      </c>
      <c r="F1786" s="3" t="s">
        <v>14207</v>
      </c>
      <c r="H1786" s="3" t="s">
        <v>2409</v>
      </c>
      <c r="K1786" s="2">
        <v>10</v>
      </c>
      <c r="L1786" s="2">
        <v>1</v>
      </c>
      <c r="M1786" s="3" t="s">
        <v>2416</v>
      </c>
      <c r="N1786" s="3" t="s">
        <v>13</v>
      </c>
      <c r="O1786" s="3" t="s">
        <v>14</v>
      </c>
      <c r="Q1786" s="30" t="str">
        <f t="shared" si="27"/>
        <v>MAX : 
TARGET : Yes(Pass)
MIN : No(Fail)</v>
      </c>
    </row>
    <row r="1787" spans="2:18" ht="41.4" x14ac:dyDescent="0.3">
      <c r="B1787">
        <v>0</v>
      </c>
      <c r="C1787" s="33">
        <v>7543</v>
      </c>
      <c r="D1787" s="2">
        <v>1122</v>
      </c>
      <c r="E1787" s="2" t="s">
        <v>9342</v>
      </c>
      <c r="F1787" s="3" t="s">
        <v>14207</v>
      </c>
      <c r="H1787" s="3" t="s">
        <v>2409</v>
      </c>
      <c r="K1787" s="2">
        <v>10</v>
      </c>
      <c r="L1787" s="2">
        <v>2</v>
      </c>
      <c r="M1787" s="3" t="s">
        <v>2417</v>
      </c>
      <c r="N1787" s="3" t="s">
        <v>13</v>
      </c>
      <c r="O1787" s="3" t="s">
        <v>14</v>
      </c>
      <c r="Q1787" s="30" t="str">
        <f t="shared" si="27"/>
        <v>MAX : 
TARGET : Yes(Pass)
MIN : No(Fail)</v>
      </c>
    </row>
    <row r="1788" spans="2:18" ht="41.4" x14ac:dyDescent="0.3">
      <c r="B1788">
        <v>0</v>
      </c>
      <c r="C1788" s="33">
        <v>7543</v>
      </c>
      <c r="D1788" s="2">
        <v>1122</v>
      </c>
      <c r="E1788" s="2" t="s">
        <v>9342</v>
      </c>
      <c r="F1788" s="3" t="s">
        <v>14207</v>
      </c>
      <c r="H1788" s="3" t="s">
        <v>2409</v>
      </c>
      <c r="K1788" s="2">
        <v>20</v>
      </c>
      <c r="L1788" s="2">
        <v>3</v>
      </c>
      <c r="M1788" s="3" t="s">
        <v>1835</v>
      </c>
      <c r="N1788" s="3" t="s">
        <v>13</v>
      </c>
      <c r="O1788" s="3" t="s">
        <v>14</v>
      </c>
      <c r="Q1788" s="30" t="str">
        <f t="shared" si="27"/>
        <v>MAX : 
TARGET : Yes(Pass)
MIN : No(Fail)</v>
      </c>
    </row>
    <row r="1789" spans="2:18" ht="41.4" x14ac:dyDescent="0.3">
      <c r="B1789">
        <v>1</v>
      </c>
      <c r="C1789" s="33">
        <v>7046</v>
      </c>
      <c r="D1789" s="2">
        <v>1075</v>
      </c>
      <c r="E1789" s="2" t="s">
        <v>8770</v>
      </c>
      <c r="F1789" s="3" t="s">
        <v>14206</v>
      </c>
      <c r="H1789" s="3" t="s">
        <v>727</v>
      </c>
      <c r="K1789" s="2">
        <v>10</v>
      </c>
      <c r="L1789" s="2">
        <v>2</v>
      </c>
      <c r="M1789" s="3" t="s">
        <v>198</v>
      </c>
      <c r="N1789" s="3" t="s">
        <v>27</v>
      </c>
      <c r="O1789" s="3" t="s">
        <v>28</v>
      </c>
      <c r="P1789" s="3" t="s">
        <v>29</v>
      </c>
      <c r="Q1789" s="30" t="str">
        <f t="shared" si="27"/>
        <v>MAX : 1.53
TARGET : 1.50
MIN : 1.47</v>
      </c>
    </row>
    <row r="1790" spans="2:18" ht="41.4" x14ac:dyDescent="0.3">
      <c r="B1790">
        <v>1</v>
      </c>
      <c r="C1790" s="33">
        <v>7046</v>
      </c>
      <c r="D1790" s="2">
        <v>1075</v>
      </c>
      <c r="E1790" s="2" t="s">
        <v>8770</v>
      </c>
      <c r="F1790" s="3" t="s">
        <v>14206</v>
      </c>
      <c r="H1790" s="3" t="s">
        <v>727</v>
      </c>
      <c r="K1790" s="2">
        <v>10</v>
      </c>
      <c r="L1790" s="2">
        <v>1</v>
      </c>
      <c r="M1790" s="3" t="s">
        <v>194</v>
      </c>
      <c r="N1790" s="3" t="s">
        <v>308</v>
      </c>
      <c r="O1790" s="3" t="s">
        <v>309</v>
      </c>
      <c r="P1790" s="3" t="s">
        <v>310</v>
      </c>
      <c r="Q1790" s="30" t="str">
        <f t="shared" si="27"/>
        <v>MAX : 0.53
TARGET : 0.50
MIN : 0.47</v>
      </c>
    </row>
    <row r="1791" spans="2:18" ht="41.4" x14ac:dyDescent="0.3">
      <c r="B1791">
        <v>0</v>
      </c>
      <c r="C1791" s="33">
        <v>7553</v>
      </c>
      <c r="D1791" s="2">
        <v>1900</v>
      </c>
      <c r="E1791" s="2" t="s">
        <v>9361</v>
      </c>
      <c r="F1791" s="3" t="s">
        <v>14206</v>
      </c>
      <c r="H1791" s="3" t="s">
        <v>1052</v>
      </c>
      <c r="K1791" s="2">
        <v>10</v>
      </c>
      <c r="L1791" s="2">
        <v>3</v>
      </c>
      <c r="M1791" s="3" t="s">
        <v>74</v>
      </c>
      <c r="N1791" s="3" t="s">
        <v>641</v>
      </c>
      <c r="O1791" s="3" t="s">
        <v>101</v>
      </c>
      <c r="P1791" s="3" t="s">
        <v>642</v>
      </c>
      <c r="Q1791" s="30" t="str">
        <f t="shared" si="27"/>
        <v>MAX : 0.655
TARGET : 0.625
MIN : 0.595</v>
      </c>
    </row>
    <row r="1792" spans="2:18" ht="41.4" x14ac:dyDescent="0.3">
      <c r="B1792">
        <v>0</v>
      </c>
      <c r="C1792" s="33">
        <v>7553</v>
      </c>
      <c r="D1792" s="2">
        <v>1900</v>
      </c>
      <c r="E1792" s="2" t="s">
        <v>9361</v>
      </c>
      <c r="F1792" s="3" t="s">
        <v>14206</v>
      </c>
      <c r="H1792" s="3" t="s">
        <v>1052</v>
      </c>
      <c r="K1792" s="2">
        <v>10</v>
      </c>
      <c r="L1792" s="2">
        <v>4</v>
      </c>
      <c r="M1792" s="3" t="s">
        <v>2418</v>
      </c>
      <c r="N1792" s="3" t="s">
        <v>13</v>
      </c>
      <c r="O1792" s="3" t="s">
        <v>14</v>
      </c>
      <c r="Q1792" s="30" t="str">
        <f t="shared" si="27"/>
        <v>MAX : 
TARGET : Yes(Pass)
MIN : No(Fail)</v>
      </c>
    </row>
    <row r="1793" spans="2:18" ht="41.4" x14ac:dyDescent="0.3">
      <c r="B1793">
        <v>0</v>
      </c>
      <c r="C1793" s="33">
        <v>7553</v>
      </c>
      <c r="D1793" s="2">
        <v>1900</v>
      </c>
      <c r="E1793" s="2" t="s">
        <v>9361</v>
      </c>
      <c r="F1793" s="3" t="s">
        <v>14206</v>
      </c>
      <c r="H1793" s="3" t="s">
        <v>1052</v>
      </c>
      <c r="K1793" s="2">
        <v>10</v>
      </c>
      <c r="L1793" s="2">
        <v>5</v>
      </c>
      <c r="M1793" s="3" t="s">
        <v>2419</v>
      </c>
      <c r="N1793" s="3" t="s">
        <v>13</v>
      </c>
      <c r="O1793" s="3" t="s">
        <v>14</v>
      </c>
      <c r="Q1793" s="30" t="str">
        <f t="shared" si="27"/>
        <v>MAX : 
TARGET : Yes(Pass)
MIN : No(Fail)</v>
      </c>
    </row>
    <row r="1794" spans="2:18" ht="41.4" x14ac:dyDescent="0.3">
      <c r="B1794">
        <v>1</v>
      </c>
      <c r="C1794" s="33">
        <v>7047</v>
      </c>
      <c r="D1794" s="2">
        <v>1076</v>
      </c>
      <c r="E1794" s="2" t="s">
        <v>8776</v>
      </c>
      <c r="F1794" s="3" t="s">
        <v>14206</v>
      </c>
      <c r="H1794" s="3" t="s">
        <v>504</v>
      </c>
      <c r="K1794" s="2">
        <v>20</v>
      </c>
      <c r="L1794" s="2">
        <v>2</v>
      </c>
      <c r="M1794" s="3" t="s">
        <v>198</v>
      </c>
      <c r="N1794" s="3" t="s">
        <v>601</v>
      </c>
      <c r="O1794" s="3" t="s">
        <v>96</v>
      </c>
      <c r="P1794" s="3" t="s">
        <v>602</v>
      </c>
      <c r="Q1794" s="30" t="str">
        <f t="shared" ref="Q1794:Q1857" si="28">"MAX : " &amp; P1794 &amp; CHAR(10) &amp; "TARGET : " &amp; O1794 &amp; CHAR(10) &amp; "MIN : " &amp; N1794</f>
        <v>MAX : 1.655
TARGET : 1.625
MIN : 1.595</v>
      </c>
    </row>
    <row r="1795" spans="2:18" ht="41.4" x14ac:dyDescent="0.3">
      <c r="B1795">
        <v>1</v>
      </c>
      <c r="C1795" s="33">
        <v>7047</v>
      </c>
      <c r="D1795" s="2">
        <v>1076</v>
      </c>
      <c r="E1795" s="2" t="s">
        <v>8776</v>
      </c>
      <c r="F1795" s="3" t="s">
        <v>14206</v>
      </c>
      <c r="H1795" s="3" t="s">
        <v>504</v>
      </c>
      <c r="K1795" s="2">
        <v>20</v>
      </c>
      <c r="L1795" s="2">
        <v>1</v>
      </c>
      <c r="M1795" s="3" t="s">
        <v>194</v>
      </c>
      <c r="N1795" s="3" t="s">
        <v>814</v>
      </c>
      <c r="O1795" s="3" t="s">
        <v>815</v>
      </c>
      <c r="P1795" s="3" t="s">
        <v>816</v>
      </c>
      <c r="Q1795" s="30" t="str">
        <f t="shared" si="28"/>
        <v>MAX : 3.03
TARGET : 3.00
MIN : 2.97</v>
      </c>
    </row>
    <row r="1796" spans="2:18" ht="41.4" x14ac:dyDescent="0.3">
      <c r="B1796">
        <v>0</v>
      </c>
      <c r="C1796" s="33">
        <v>6835</v>
      </c>
      <c r="D1796" s="2">
        <v>1064</v>
      </c>
      <c r="E1796" s="2" t="s">
        <v>8611</v>
      </c>
      <c r="F1796" s="3" t="s">
        <v>14206</v>
      </c>
      <c r="H1796" s="3" t="s">
        <v>600</v>
      </c>
      <c r="K1796" s="2">
        <v>10</v>
      </c>
      <c r="L1796" s="2">
        <v>3</v>
      </c>
      <c r="M1796" s="3" t="s">
        <v>821</v>
      </c>
      <c r="N1796" s="3" t="s">
        <v>4611</v>
      </c>
      <c r="O1796" s="3" t="s">
        <v>919</v>
      </c>
      <c r="P1796" s="3" t="s">
        <v>4612</v>
      </c>
      <c r="Q1796" s="30" t="str">
        <f t="shared" si="28"/>
        <v>MAX : 0.162
TARGET : 0.157
MIN : 0.152</v>
      </c>
      <c r="R1796" s="3" t="s">
        <v>1512</v>
      </c>
    </row>
    <row r="1797" spans="2:18" ht="41.4" x14ac:dyDescent="0.3">
      <c r="B1797">
        <v>1</v>
      </c>
      <c r="C1797" s="33">
        <v>7049</v>
      </c>
      <c r="D1797" s="2">
        <v>1859</v>
      </c>
      <c r="E1797" s="2" t="s">
        <v>8782</v>
      </c>
      <c r="F1797" s="3" t="s">
        <v>14206</v>
      </c>
      <c r="H1797" s="3" t="s">
        <v>922</v>
      </c>
      <c r="K1797" s="2">
        <v>30</v>
      </c>
      <c r="L1797" s="2">
        <v>2</v>
      </c>
      <c r="M1797" s="3" t="s">
        <v>2072</v>
      </c>
      <c r="N1797" s="3" t="s">
        <v>462</v>
      </c>
      <c r="O1797" s="3" t="s">
        <v>424</v>
      </c>
      <c r="P1797" s="3" t="s">
        <v>463</v>
      </c>
      <c r="Q1797" s="30" t="str">
        <f t="shared" si="28"/>
        <v>MAX : 0.28
TARGET : 0.25
MIN : 0.22</v>
      </c>
    </row>
    <row r="1798" spans="2:18" ht="41.4" x14ac:dyDescent="0.3">
      <c r="B1798">
        <v>0</v>
      </c>
      <c r="C1798" s="33">
        <v>7578</v>
      </c>
      <c r="D1798" s="2">
        <v>1125</v>
      </c>
      <c r="E1798" s="2" t="s">
        <v>9397</v>
      </c>
      <c r="F1798" s="3" t="s">
        <v>2064</v>
      </c>
      <c r="H1798" s="3" t="s">
        <v>1882</v>
      </c>
      <c r="K1798" s="2">
        <v>20</v>
      </c>
      <c r="L1798" s="2">
        <v>3</v>
      </c>
      <c r="M1798" s="3" t="s">
        <v>2424</v>
      </c>
      <c r="N1798" s="3" t="s">
        <v>13</v>
      </c>
      <c r="O1798" s="3" t="s">
        <v>14</v>
      </c>
      <c r="Q1798" s="30" t="str">
        <f t="shared" si="28"/>
        <v>MAX : 
TARGET : Yes(Pass)
MIN : No(Fail)</v>
      </c>
    </row>
    <row r="1799" spans="2:18" ht="41.4" x14ac:dyDescent="0.3">
      <c r="B1799">
        <v>1</v>
      </c>
      <c r="C1799" s="33">
        <v>7049</v>
      </c>
      <c r="D1799" s="2">
        <v>1859</v>
      </c>
      <c r="E1799" s="2" t="s">
        <v>8782</v>
      </c>
      <c r="F1799" s="3" t="s">
        <v>14206</v>
      </c>
      <c r="H1799" s="3" t="s">
        <v>922</v>
      </c>
      <c r="K1799" s="2">
        <v>30</v>
      </c>
      <c r="L1799" s="2">
        <v>1</v>
      </c>
      <c r="M1799" s="3" t="s">
        <v>2071</v>
      </c>
      <c r="N1799" s="3" t="s">
        <v>309</v>
      </c>
      <c r="O1799" s="3" t="s">
        <v>310</v>
      </c>
      <c r="P1799" s="3" t="s">
        <v>1531</v>
      </c>
      <c r="Q1799" s="30" t="str">
        <f t="shared" si="28"/>
        <v>MAX : 0.56
TARGET : 0.53
MIN : 0.50</v>
      </c>
    </row>
    <row r="1800" spans="2:18" ht="41.4" x14ac:dyDescent="0.3">
      <c r="B1800">
        <v>1</v>
      </c>
      <c r="C1800" s="33">
        <v>7049</v>
      </c>
      <c r="D1800" s="2">
        <v>1859</v>
      </c>
      <c r="E1800" s="2" t="s">
        <v>8782</v>
      </c>
      <c r="F1800" s="3" t="s">
        <v>14206</v>
      </c>
      <c r="H1800" s="3" t="s">
        <v>922</v>
      </c>
      <c r="K1800" s="2">
        <v>20</v>
      </c>
      <c r="L1800" s="2">
        <v>1</v>
      </c>
      <c r="M1800" s="3" t="s">
        <v>3582</v>
      </c>
      <c r="N1800" s="3" t="s">
        <v>462</v>
      </c>
      <c r="O1800" s="3" t="s">
        <v>424</v>
      </c>
      <c r="P1800" s="3" t="s">
        <v>463</v>
      </c>
      <c r="Q1800" s="30" t="str">
        <f t="shared" si="28"/>
        <v>MAX : 0.28
TARGET : 0.25
MIN : 0.22</v>
      </c>
    </row>
    <row r="1801" spans="2:18" ht="41.4" x14ac:dyDescent="0.3">
      <c r="B1801">
        <v>1</v>
      </c>
      <c r="C1801" s="33">
        <v>7052</v>
      </c>
      <c r="D1801" s="2">
        <v>1077</v>
      </c>
      <c r="E1801" s="2" t="s">
        <v>8788</v>
      </c>
      <c r="F1801" s="3" t="s">
        <v>14206</v>
      </c>
      <c r="H1801" s="3" t="s">
        <v>1080</v>
      </c>
      <c r="K1801" s="2">
        <v>10</v>
      </c>
      <c r="L1801" s="2">
        <v>2</v>
      </c>
      <c r="M1801" s="3" t="s">
        <v>467</v>
      </c>
      <c r="N1801" s="3" t="s">
        <v>131</v>
      </c>
      <c r="O1801" s="3" t="s">
        <v>132</v>
      </c>
      <c r="P1801" s="3" t="s">
        <v>133</v>
      </c>
      <c r="Q1801" s="30" t="str">
        <f t="shared" si="28"/>
        <v>MAX : 0.78
TARGET : 0.75
MIN : 0.72</v>
      </c>
    </row>
    <row r="1802" spans="2:18" ht="41.4" x14ac:dyDescent="0.3">
      <c r="B1802">
        <v>1</v>
      </c>
      <c r="C1802" s="33">
        <v>7052</v>
      </c>
      <c r="D1802" s="2">
        <v>1077</v>
      </c>
      <c r="E1802" s="2" t="s">
        <v>8788</v>
      </c>
      <c r="F1802" s="3" t="s">
        <v>14206</v>
      </c>
      <c r="H1802" s="3" t="s">
        <v>1080</v>
      </c>
      <c r="K1802" s="2">
        <v>10</v>
      </c>
      <c r="L1802" s="2">
        <v>1</v>
      </c>
      <c r="M1802" s="3" t="s">
        <v>109</v>
      </c>
      <c r="N1802" s="3" t="s">
        <v>27</v>
      </c>
      <c r="O1802" s="3" t="s">
        <v>28</v>
      </c>
      <c r="P1802" s="3" t="s">
        <v>29</v>
      </c>
      <c r="Q1802" s="30" t="str">
        <f t="shared" si="28"/>
        <v>MAX : 1.53
TARGET : 1.50
MIN : 1.47</v>
      </c>
    </row>
    <row r="1803" spans="2:18" ht="41.4" x14ac:dyDescent="0.3">
      <c r="B1803">
        <v>0</v>
      </c>
      <c r="C1803" s="33">
        <v>7581</v>
      </c>
      <c r="D1803" s="2">
        <v>1128</v>
      </c>
      <c r="E1803" s="2" t="s">
        <v>9417</v>
      </c>
      <c r="F1803" s="3" t="s">
        <v>2064</v>
      </c>
      <c r="H1803" s="3" t="s">
        <v>1882</v>
      </c>
      <c r="K1803" s="2">
        <v>20</v>
      </c>
      <c r="L1803" s="2">
        <v>3</v>
      </c>
      <c r="M1803" s="3" t="s">
        <v>2424</v>
      </c>
      <c r="N1803" s="3" t="s">
        <v>13</v>
      </c>
      <c r="O1803" s="3" t="s">
        <v>14</v>
      </c>
      <c r="Q1803" s="30" t="str">
        <f t="shared" si="28"/>
        <v>MAX : 
TARGET : Yes(Pass)
MIN : No(Fail)</v>
      </c>
    </row>
    <row r="1804" spans="2:18" ht="41.4" x14ac:dyDescent="0.3">
      <c r="B1804">
        <v>1</v>
      </c>
      <c r="C1804" s="33">
        <v>7055</v>
      </c>
      <c r="D1804" s="2">
        <v>1078</v>
      </c>
      <c r="E1804" s="2" t="s">
        <v>8794</v>
      </c>
      <c r="F1804" s="3" t="s">
        <v>14207</v>
      </c>
      <c r="H1804" s="3" t="s">
        <v>2067</v>
      </c>
      <c r="K1804" s="2">
        <v>20</v>
      </c>
      <c r="L1804" s="2">
        <v>2</v>
      </c>
      <c r="M1804" s="3" t="s">
        <v>198</v>
      </c>
      <c r="N1804" s="3" t="s">
        <v>2068</v>
      </c>
      <c r="O1804" s="3" t="s">
        <v>2069</v>
      </c>
      <c r="P1804" s="3" t="s">
        <v>2070</v>
      </c>
      <c r="Q1804" s="30" t="str">
        <f t="shared" si="28"/>
        <v>MAX : 177
TARGET : 175
MIN : 173</v>
      </c>
    </row>
    <row r="1805" spans="2:18" ht="41.4" x14ac:dyDescent="0.3">
      <c r="B1805">
        <v>1</v>
      </c>
      <c r="C1805" s="33">
        <v>7055</v>
      </c>
      <c r="D1805" s="2">
        <v>1078</v>
      </c>
      <c r="E1805" s="2" t="s">
        <v>8794</v>
      </c>
      <c r="F1805" s="3" t="s">
        <v>14207</v>
      </c>
      <c r="H1805" s="3" t="s">
        <v>2067</v>
      </c>
      <c r="K1805" s="2">
        <v>20</v>
      </c>
      <c r="L1805" s="2">
        <v>1</v>
      </c>
      <c r="M1805" s="3" t="s">
        <v>194</v>
      </c>
      <c r="N1805" s="3" t="s">
        <v>2041</v>
      </c>
      <c r="O1805" s="3" t="s">
        <v>2039</v>
      </c>
      <c r="P1805" s="3" t="s">
        <v>2042</v>
      </c>
      <c r="Q1805" s="30" t="str">
        <f t="shared" si="28"/>
        <v>MAX : 62
TARGET : 60
MIN : 58</v>
      </c>
    </row>
    <row r="1806" spans="2:18" ht="41.4" x14ac:dyDescent="0.3">
      <c r="B1806">
        <v>0</v>
      </c>
      <c r="C1806" s="33">
        <v>7592</v>
      </c>
      <c r="D1806" s="2">
        <v>1903</v>
      </c>
      <c r="E1806" s="2" t="s">
        <v>9429</v>
      </c>
      <c r="F1806" s="3" t="s">
        <v>14206</v>
      </c>
      <c r="H1806" s="3" t="s">
        <v>50</v>
      </c>
      <c r="K1806" s="2">
        <v>20</v>
      </c>
      <c r="L1806" s="2">
        <v>3</v>
      </c>
      <c r="M1806" s="3" t="s">
        <v>611</v>
      </c>
      <c r="N1806" s="3" t="s">
        <v>13</v>
      </c>
      <c r="O1806" s="3" t="s">
        <v>14</v>
      </c>
      <c r="Q1806" s="30" t="str">
        <f t="shared" si="28"/>
        <v>MAX : 
TARGET : Yes(Pass)
MIN : No(Fail)</v>
      </c>
    </row>
    <row r="1807" spans="2:18" ht="41.4" x14ac:dyDescent="0.3">
      <c r="B1807">
        <v>1</v>
      </c>
      <c r="C1807" s="33">
        <v>7057</v>
      </c>
      <c r="D1807" s="2">
        <v>1860</v>
      </c>
      <c r="E1807" s="2" t="s">
        <v>8800</v>
      </c>
      <c r="F1807" s="3" t="s">
        <v>14206</v>
      </c>
      <c r="H1807" s="3" t="s">
        <v>491</v>
      </c>
      <c r="K1807" s="2">
        <v>10</v>
      </c>
      <c r="L1807" s="2">
        <v>2</v>
      </c>
      <c r="M1807" s="3" t="s">
        <v>1907</v>
      </c>
      <c r="N1807" s="3" t="s">
        <v>13</v>
      </c>
      <c r="O1807" s="3" t="s">
        <v>14</v>
      </c>
      <c r="Q1807" s="30" t="str">
        <f t="shared" si="28"/>
        <v>MAX : 
TARGET : Yes(Pass)
MIN : No(Fail)</v>
      </c>
      <c r="R1807" s="3" t="s">
        <v>1512</v>
      </c>
    </row>
    <row r="1808" spans="2:18" ht="41.4" x14ac:dyDescent="0.3">
      <c r="B1808">
        <v>1</v>
      </c>
      <c r="C1808" s="33">
        <v>7057</v>
      </c>
      <c r="D1808" s="2">
        <v>1860</v>
      </c>
      <c r="E1808" s="2" t="s">
        <v>8800</v>
      </c>
      <c r="F1808" s="3" t="s">
        <v>14206</v>
      </c>
      <c r="H1808" s="3" t="s">
        <v>491</v>
      </c>
      <c r="K1808" s="2">
        <v>10</v>
      </c>
      <c r="L1808" s="2">
        <v>1</v>
      </c>
      <c r="M1808" s="3" t="s">
        <v>322</v>
      </c>
      <c r="N1808" s="3" t="s">
        <v>2056</v>
      </c>
      <c r="O1808" s="3" t="s">
        <v>8</v>
      </c>
      <c r="P1808" s="3" t="s">
        <v>2058</v>
      </c>
      <c r="Q1808" s="30" t="str">
        <f t="shared" si="28"/>
        <v>MAX : +0.02
TARGET : Target
MIN : -0.02</v>
      </c>
      <c r="R1808" s="3" t="s">
        <v>1512</v>
      </c>
    </row>
    <row r="1809" spans="2:17" ht="41.4" x14ac:dyDescent="0.3">
      <c r="B1809">
        <v>0</v>
      </c>
      <c r="C1809" s="33">
        <v>7590</v>
      </c>
      <c r="D1809" s="2">
        <v>1129</v>
      </c>
      <c r="E1809" s="2" t="s">
        <v>9423</v>
      </c>
      <c r="F1809" s="3" t="s">
        <v>14206</v>
      </c>
      <c r="H1809" s="3" t="s">
        <v>2425</v>
      </c>
      <c r="K1809" s="2">
        <v>10</v>
      </c>
      <c r="L1809" s="2">
        <v>3</v>
      </c>
      <c r="M1809" s="3" t="s">
        <v>78</v>
      </c>
      <c r="N1809" s="3" t="s">
        <v>13</v>
      </c>
      <c r="O1809" s="3" t="s">
        <v>14</v>
      </c>
      <c r="Q1809" s="30" t="str">
        <f t="shared" si="28"/>
        <v>MAX : 
TARGET : Yes(Pass)
MIN : No(Fail)</v>
      </c>
    </row>
    <row r="1810" spans="2:17" ht="41.4" x14ac:dyDescent="0.3">
      <c r="B1810">
        <v>1</v>
      </c>
      <c r="C1810" s="33">
        <v>7059</v>
      </c>
      <c r="D1810" s="2">
        <v>1861</v>
      </c>
      <c r="E1810" s="2" t="s">
        <v>8806</v>
      </c>
      <c r="F1810" s="3" t="s">
        <v>14206</v>
      </c>
      <c r="H1810" s="3" t="s">
        <v>491</v>
      </c>
      <c r="K1810" s="2">
        <v>10</v>
      </c>
      <c r="L1810" s="2">
        <v>2</v>
      </c>
      <c r="M1810" s="3" t="s">
        <v>1573</v>
      </c>
      <c r="N1810" s="3" t="s">
        <v>13</v>
      </c>
      <c r="O1810" s="3" t="s">
        <v>14</v>
      </c>
      <c r="Q1810" s="30" t="str">
        <f t="shared" si="28"/>
        <v>MAX : 
TARGET : Yes(Pass)
MIN : No(Fail)</v>
      </c>
    </row>
    <row r="1811" spans="2:17" ht="41.4" x14ac:dyDescent="0.3">
      <c r="B1811">
        <v>1</v>
      </c>
      <c r="C1811" s="33">
        <v>7059</v>
      </c>
      <c r="D1811" s="2">
        <v>1861</v>
      </c>
      <c r="E1811" s="2" t="s">
        <v>8806</v>
      </c>
      <c r="F1811" s="3" t="s">
        <v>14206</v>
      </c>
      <c r="H1811" s="3" t="s">
        <v>491</v>
      </c>
      <c r="K1811" s="2">
        <v>10</v>
      </c>
      <c r="L1811" s="2">
        <v>1</v>
      </c>
      <c r="M1811" s="3" t="s">
        <v>2055</v>
      </c>
      <c r="N1811" s="3" t="s">
        <v>1571</v>
      </c>
      <c r="O1811" s="3" t="s">
        <v>241</v>
      </c>
      <c r="P1811" s="3" t="s">
        <v>1572</v>
      </c>
      <c r="Q1811" s="30" t="str">
        <f t="shared" si="28"/>
        <v>MAX : 0.141
TARGET : 0.125
MIN : 0.109</v>
      </c>
    </row>
    <row r="1812" spans="2:17" ht="41.4" x14ac:dyDescent="0.3">
      <c r="B1812">
        <v>0</v>
      </c>
      <c r="C1812" s="33">
        <v>7596</v>
      </c>
      <c r="D1812" s="2">
        <v>1130</v>
      </c>
      <c r="E1812" s="2" t="s">
        <v>9435</v>
      </c>
      <c r="F1812" s="3" t="s">
        <v>14206</v>
      </c>
      <c r="H1812" s="3" t="s">
        <v>2427</v>
      </c>
      <c r="K1812" s="2">
        <v>10</v>
      </c>
      <c r="L1812" s="2">
        <v>3</v>
      </c>
      <c r="M1812" s="3" t="s">
        <v>2431</v>
      </c>
      <c r="N1812" s="3" t="s">
        <v>204</v>
      </c>
      <c r="O1812" s="3" t="s">
        <v>2432</v>
      </c>
      <c r="P1812" s="3" t="s">
        <v>1185</v>
      </c>
      <c r="Q1812" s="30" t="str">
        <f t="shared" si="28"/>
        <v>MAX : 2.75
TARGET : 2.69
MIN : 2.63</v>
      </c>
    </row>
    <row r="1813" spans="2:17" ht="41.4" x14ac:dyDescent="0.3">
      <c r="B1813">
        <v>0</v>
      </c>
      <c r="C1813" s="33">
        <v>7596</v>
      </c>
      <c r="D1813" s="2">
        <v>1130</v>
      </c>
      <c r="E1813" s="2" t="s">
        <v>9435</v>
      </c>
      <c r="F1813" s="3" t="s">
        <v>14206</v>
      </c>
      <c r="H1813" s="3" t="s">
        <v>2427</v>
      </c>
      <c r="K1813" s="2">
        <v>10</v>
      </c>
      <c r="L1813" s="2">
        <v>4</v>
      </c>
      <c r="M1813" s="3" t="s">
        <v>2433</v>
      </c>
      <c r="N1813" s="3" t="s">
        <v>475</v>
      </c>
      <c r="O1813" s="3" t="s">
        <v>2011</v>
      </c>
      <c r="P1813" s="3" t="s">
        <v>1814</v>
      </c>
      <c r="Q1813" s="30" t="str">
        <f t="shared" si="28"/>
        <v>MAX : 0.63
TARGET : 0.57
MIN : 0.51</v>
      </c>
    </row>
    <row r="1814" spans="2:17" ht="41.4" x14ac:dyDescent="0.3">
      <c r="B1814">
        <v>0</v>
      </c>
      <c r="C1814" s="33">
        <v>7596</v>
      </c>
      <c r="D1814" s="2">
        <v>1130</v>
      </c>
      <c r="E1814" s="2" t="s">
        <v>9435</v>
      </c>
      <c r="F1814" s="3" t="s">
        <v>14206</v>
      </c>
      <c r="H1814" s="3" t="s">
        <v>2427</v>
      </c>
      <c r="K1814" s="2">
        <v>10</v>
      </c>
      <c r="L1814" s="2">
        <v>5</v>
      </c>
      <c r="M1814" s="3" t="s">
        <v>2434</v>
      </c>
      <c r="N1814" s="3" t="s">
        <v>13</v>
      </c>
      <c r="O1814" s="3" t="s">
        <v>14</v>
      </c>
      <c r="Q1814" s="30" t="str">
        <f t="shared" si="28"/>
        <v>MAX : 
TARGET : Yes(Pass)
MIN : No(Fail)</v>
      </c>
    </row>
    <row r="1815" spans="2:17" ht="41.4" x14ac:dyDescent="0.3">
      <c r="B1815">
        <v>0</v>
      </c>
      <c r="C1815" s="33">
        <v>7596</v>
      </c>
      <c r="D1815" s="2">
        <v>1130</v>
      </c>
      <c r="E1815" s="2" t="s">
        <v>9435</v>
      </c>
      <c r="F1815" s="3" t="s">
        <v>14206</v>
      </c>
      <c r="H1815" s="3" t="s">
        <v>2427</v>
      </c>
      <c r="K1815" s="2">
        <v>10</v>
      </c>
      <c r="L1815" s="2">
        <v>6</v>
      </c>
      <c r="M1815" s="3" t="s">
        <v>2435</v>
      </c>
      <c r="N1815" s="3" t="s">
        <v>851</v>
      </c>
      <c r="O1815" s="3" t="s">
        <v>14</v>
      </c>
      <c r="Q1815" s="30" t="str">
        <f t="shared" si="28"/>
        <v>MAX : 
TARGET : Yes(Pass)
MIN : No(fail)</v>
      </c>
    </row>
    <row r="1816" spans="2:17" ht="41.4" x14ac:dyDescent="0.3">
      <c r="B1816">
        <v>1</v>
      </c>
      <c r="C1816" s="33">
        <v>7061</v>
      </c>
      <c r="D1816" s="2">
        <v>1079</v>
      </c>
      <c r="E1816" s="2" t="s">
        <v>8813</v>
      </c>
      <c r="F1816" s="3" t="s">
        <v>14207</v>
      </c>
      <c r="H1816" s="3" t="s">
        <v>426</v>
      </c>
      <c r="K1816" s="2">
        <v>10</v>
      </c>
      <c r="L1816" s="2">
        <v>3</v>
      </c>
      <c r="M1816" s="3" t="s">
        <v>2077</v>
      </c>
      <c r="N1816" s="3" t="s">
        <v>24</v>
      </c>
      <c r="O1816" s="3" t="s">
        <v>25</v>
      </c>
      <c r="Q1816" s="30" t="str">
        <f t="shared" si="28"/>
        <v>MAX : 
TARGET : Yes (Pass)
MIN : No (Fail)</v>
      </c>
    </row>
    <row r="1817" spans="2:17" ht="41.4" x14ac:dyDescent="0.3">
      <c r="B1817">
        <v>1</v>
      </c>
      <c r="C1817" s="33">
        <v>7061</v>
      </c>
      <c r="D1817" s="2">
        <v>1079</v>
      </c>
      <c r="E1817" s="2" t="s">
        <v>8813</v>
      </c>
      <c r="F1817" s="3" t="s">
        <v>14207</v>
      </c>
      <c r="H1817" s="3" t="s">
        <v>426</v>
      </c>
      <c r="K1817" s="2">
        <v>10</v>
      </c>
      <c r="L1817" s="2">
        <v>4</v>
      </c>
      <c r="M1817" s="3" t="s">
        <v>3197</v>
      </c>
      <c r="N1817" s="3" t="s">
        <v>24</v>
      </c>
      <c r="O1817" s="3" t="s">
        <v>25</v>
      </c>
      <c r="Q1817" s="30" t="str">
        <f t="shared" si="28"/>
        <v>MAX : 
TARGET : Yes (Pass)
MIN : No (Fail)</v>
      </c>
    </row>
    <row r="1818" spans="2:17" ht="41.4" x14ac:dyDescent="0.3">
      <c r="B1818">
        <v>0</v>
      </c>
      <c r="C1818" s="33">
        <v>7597</v>
      </c>
      <c r="D1818" s="2">
        <v>1131</v>
      </c>
      <c r="E1818" s="2" t="s">
        <v>9443</v>
      </c>
      <c r="F1818" s="3" t="s">
        <v>14206</v>
      </c>
      <c r="H1818" s="3" t="s">
        <v>2427</v>
      </c>
      <c r="K1818" s="2">
        <v>10</v>
      </c>
      <c r="L1818" s="2">
        <v>3</v>
      </c>
      <c r="M1818" s="3" t="s">
        <v>2431</v>
      </c>
      <c r="N1818" s="3" t="s">
        <v>204</v>
      </c>
      <c r="O1818" s="3" t="s">
        <v>2432</v>
      </c>
      <c r="P1818" s="3" t="s">
        <v>1185</v>
      </c>
      <c r="Q1818" s="30" t="str">
        <f t="shared" si="28"/>
        <v>MAX : 2.75
TARGET : 2.69
MIN : 2.63</v>
      </c>
    </row>
    <row r="1819" spans="2:17" ht="41.4" x14ac:dyDescent="0.3">
      <c r="B1819">
        <v>0</v>
      </c>
      <c r="C1819" s="33">
        <v>7597</v>
      </c>
      <c r="D1819" s="2">
        <v>1131</v>
      </c>
      <c r="E1819" s="2" t="s">
        <v>9443</v>
      </c>
      <c r="F1819" s="3" t="s">
        <v>14206</v>
      </c>
      <c r="H1819" s="3" t="s">
        <v>2427</v>
      </c>
      <c r="K1819" s="2">
        <v>10</v>
      </c>
      <c r="L1819" s="2">
        <v>4</v>
      </c>
      <c r="M1819" s="3" t="s">
        <v>2433</v>
      </c>
      <c r="N1819" s="3" t="s">
        <v>475</v>
      </c>
      <c r="O1819" s="3" t="s">
        <v>2011</v>
      </c>
      <c r="P1819" s="3" t="s">
        <v>1814</v>
      </c>
      <c r="Q1819" s="30" t="str">
        <f t="shared" si="28"/>
        <v>MAX : 0.63
TARGET : 0.57
MIN : 0.51</v>
      </c>
    </row>
    <row r="1820" spans="2:17" ht="41.4" x14ac:dyDescent="0.3">
      <c r="B1820">
        <v>0</v>
      </c>
      <c r="C1820" s="33">
        <v>7597</v>
      </c>
      <c r="D1820" s="2">
        <v>1131</v>
      </c>
      <c r="E1820" s="2" t="s">
        <v>9443</v>
      </c>
      <c r="F1820" s="3" t="s">
        <v>14206</v>
      </c>
      <c r="H1820" s="3" t="s">
        <v>2427</v>
      </c>
      <c r="K1820" s="2">
        <v>10</v>
      </c>
      <c r="L1820" s="2">
        <v>5</v>
      </c>
      <c r="M1820" s="3" t="s">
        <v>2434</v>
      </c>
      <c r="N1820" s="3" t="s">
        <v>13</v>
      </c>
      <c r="O1820" s="3" t="s">
        <v>14</v>
      </c>
      <c r="Q1820" s="30" t="str">
        <f t="shared" si="28"/>
        <v>MAX : 
TARGET : Yes(Pass)
MIN : No(Fail)</v>
      </c>
    </row>
    <row r="1821" spans="2:17" ht="41.4" x14ac:dyDescent="0.3">
      <c r="B1821">
        <v>0</v>
      </c>
      <c r="C1821" s="33">
        <v>7597</v>
      </c>
      <c r="D1821" s="2">
        <v>1131</v>
      </c>
      <c r="E1821" s="2" t="s">
        <v>9443</v>
      </c>
      <c r="F1821" s="3" t="s">
        <v>14206</v>
      </c>
      <c r="H1821" s="3" t="s">
        <v>2427</v>
      </c>
      <c r="K1821" s="2">
        <v>10</v>
      </c>
      <c r="L1821" s="2">
        <v>6</v>
      </c>
      <c r="M1821" s="3" t="s">
        <v>2435</v>
      </c>
      <c r="N1821" s="3" t="s">
        <v>851</v>
      </c>
      <c r="O1821" s="3" t="s">
        <v>14</v>
      </c>
      <c r="Q1821" s="30" t="str">
        <f t="shared" si="28"/>
        <v>MAX : 
TARGET : Yes(Pass)
MIN : No(fail)</v>
      </c>
    </row>
    <row r="1822" spans="2:17" ht="41.4" x14ac:dyDescent="0.3">
      <c r="B1822">
        <v>1</v>
      </c>
      <c r="C1822" s="33">
        <v>7061</v>
      </c>
      <c r="D1822" s="2">
        <v>1079</v>
      </c>
      <c r="E1822" s="2" t="s">
        <v>8813</v>
      </c>
      <c r="F1822" s="3" t="s">
        <v>14207</v>
      </c>
      <c r="H1822" s="3" t="s">
        <v>426</v>
      </c>
      <c r="K1822" s="2">
        <v>10</v>
      </c>
      <c r="L1822" s="2">
        <v>1</v>
      </c>
      <c r="M1822" s="3" t="s">
        <v>811</v>
      </c>
      <c r="N1822" s="3" t="s">
        <v>24</v>
      </c>
      <c r="O1822" s="3" t="s">
        <v>25</v>
      </c>
      <c r="Q1822" s="30" t="str">
        <f t="shared" si="28"/>
        <v>MAX : 
TARGET : Yes (Pass)
MIN : No (Fail)</v>
      </c>
    </row>
    <row r="1823" spans="2:17" ht="41.4" x14ac:dyDescent="0.3">
      <c r="B1823">
        <v>1</v>
      </c>
      <c r="C1823" s="33">
        <v>7081</v>
      </c>
      <c r="D1823" s="2">
        <v>1080</v>
      </c>
      <c r="E1823" s="2" t="s">
        <v>8821</v>
      </c>
      <c r="F1823" s="3" t="s">
        <v>14221</v>
      </c>
      <c r="H1823" s="3" t="s">
        <v>713</v>
      </c>
      <c r="K1823" s="2">
        <v>30</v>
      </c>
      <c r="L1823" s="2">
        <v>1</v>
      </c>
      <c r="M1823" s="3" t="s">
        <v>198</v>
      </c>
      <c r="N1823" s="3" t="s">
        <v>2079</v>
      </c>
      <c r="O1823" s="3" t="s">
        <v>1735</v>
      </c>
      <c r="P1823" s="3" t="s">
        <v>2080</v>
      </c>
      <c r="Q1823" s="30" t="str">
        <f t="shared" si="28"/>
        <v>MAX : 0.450
TARGET : 0.435
MIN : 0.420</v>
      </c>
    </row>
    <row r="1824" spans="2:17" ht="41.4" x14ac:dyDescent="0.3">
      <c r="B1824">
        <v>0</v>
      </c>
      <c r="C1824" s="33">
        <v>7603</v>
      </c>
      <c r="D1824" s="2">
        <v>1904</v>
      </c>
      <c r="E1824" s="2" t="s">
        <v>9457</v>
      </c>
      <c r="F1824" s="3" t="s">
        <v>14207</v>
      </c>
      <c r="H1824" s="3" t="s">
        <v>2436</v>
      </c>
      <c r="K1824" s="2">
        <v>10</v>
      </c>
      <c r="L1824" s="2">
        <v>3</v>
      </c>
      <c r="M1824" s="3" t="s">
        <v>2442</v>
      </c>
      <c r="N1824" s="3" t="s">
        <v>864</v>
      </c>
      <c r="O1824" s="3" t="s">
        <v>2441</v>
      </c>
      <c r="P1824" s="3" t="s">
        <v>2406</v>
      </c>
      <c r="Q1824" s="30" t="str">
        <f t="shared" si="28"/>
        <v>MAX : 2
TARGET : 1
MIN : 0</v>
      </c>
    </row>
    <row r="1825" spans="2:18" ht="41.4" x14ac:dyDescent="0.3">
      <c r="B1825">
        <v>0</v>
      </c>
      <c r="C1825" s="33">
        <v>7603</v>
      </c>
      <c r="D1825" s="2">
        <v>1904</v>
      </c>
      <c r="E1825" s="2" t="s">
        <v>9457</v>
      </c>
      <c r="F1825" s="3" t="s">
        <v>14207</v>
      </c>
      <c r="H1825" s="3" t="s">
        <v>2436</v>
      </c>
      <c r="K1825" s="2">
        <v>10</v>
      </c>
      <c r="L1825" s="2">
        <v>6</v>
      </c>
      <c r="M1825" s="3" t="s">
        <v>2443</v>
      </c>
      <c r="N1825" s="3" t="s">
        <v>13</v>
      </c>
      <c r="O1825" s="3" t="s">
        <v>14</v>
      </c>
      <c r="Q1825" s="30" t="str">
        <f t="shared" si="28"/>
        <v>MAX : 
TARGET : Yes(Pass)
MIN : No(Fail)</v>
      </c>
    </row>
    <row r="1826" spans="2:18" ht="41.4" x14ac:dyDescent="0.3">
      <c r="B1826">
        <v>0</v>
      </c>
      <c r="C1826" s="33">
        <v>7603</v>
      </c>
      <c r="D1826" s="2">
        <v>1904</v>
      </c>
      <c r="E1826" s="2" t="s">
        <v>9457</v>
      </c>
      <c r="F1826" s="3" t="s">
        <v>14207</v>
      </c>
      <c r="H1826" s="3" t="s">
        <v>2436</v>
      </c>
      <c r="K1826" s="2">
        <v>10</v>
      </c>
      <c r="L1826" s="2">
        <v>5</v>
      </c>
      <c r="M1826" s="3" t="s">
        <v>2444</v>
      </c>
      <c r="N1826" s="3" t="s">
        <v>2445</v>
      </c>
      <c r="O1826" s="3" t="s">
        <v>2399</v>
      </c>
      <c r="P1826" s="3" t="s">
        <v>2446</v>
      </c>
      <c r="Q1826" s="30" t="str">
        <f t="shared" si="28"/>
        <v>MAX : 7.35
TARGET : 6.35
MIN : 5.35</v>
      </c>
    </row>
    <row r="1827" spans="2:18" ht="41.4" x14ac:dyDescent="0.3">
      <c r="B1827">
        <v>0</v>
      </c>
      <c r="C1827" s="33">
        <v>7603</v>
      </c>
      <c r="D1827" s="2">
        <v>1904</v>
      </c>
      <c r="E1827" s="2" t="s">
        <v>9457</v>
      </c>
      <c r="F1827" s="3" t="s">
        <v>14207</v>
      </c>
      <c r="H1827" s="3" t="s">
        <v>2436</v>
      </c>
      <c r="K1827" s="2">
        <v>10</v>
      </c>
      <c r="L1827" s="2">
        <v>4</v>
      </c>
      <c r="M1827" s="3" t="s">
        <v>2447</v>
      </c>
      <c r="N1827" s="3" t="s">
        <v>2445</v>
      </c>
      <c r="O1827" s="3" t="s">
        <v>2399</v>
      </c>
      <c r="P1827" s="3" t="s">
        <v>2446</v>
      </c>
      <c r="Q1827" s="30" t="str">
        <f t="shared" si="28"/>
        <v>MAX : 7.35
TARGET : 6.35
MIN : 5.35</v>
      </c>
    </row>
    <row r="1828" spans="2:18" ht="41.4" x14ac:dyDescent="0.3">
      <c r="B1828">
        <v>1</v>
      </c>
      <c r="C1828" s="33">
        <v>7081</v>
      </c>
      <c r="D1828" s="2">
        <v>1080</v>
      </c>
      <c r="E1828" s="2" t="s">
        <v>8821</v>
      </c>
      <c r="F1828" s="3" t="s">
        <v>14221</v>
      </c>
      <c r="H1828" s="3" t="s">
        <v>713</v>
      </c>
      <c r="K1828" s="2">
        <v>40</v>
      </c>
      <c r="L1828" s="2">
        <v>1</v>
      </c>
      <c r="M1828" s="3" t="s">
        <v>194</v>
      </c>
      <c r="N1828" s="3" t="s">
        <v>773</v>
      </c>
      <c r="O1828" s="3" t="s">
        <v>418</v>
      </c>
      <c r="P1828" s="3" t="s">
        <v>2078</v>
      </c>
      <c r="Q1828" s="30" t="str">
        <f t="shared" si="28"/>
        <v>MAX : 1.24
TARGET : 1.22
MIN : 1.20</v>
      </c>
    </row>
    <row r="1829" spans="2:18" ht="41.4" x14ac:dyDescent="0.3">
      <c r="B1829">
        <v>1</v>
      </c>
      <c r="C1829" s="33">
        <v>7081</v>
      </c>
      <c r="D1829" s="2">
        <v>1080</v>
      </c>
      <c r="E1829" s="2" t="s">
        <v>8821</v>
      </c>
      <c r="F1829" s="3" t="s">
        <v>14221</v>
      </c>
      <c r="H1829" s="3" t="s">
        <v>713</v>
      </c>
      <c r="K1829" s="2">
        <v>10</v>
      </c>
      <c r="L1829" s="2">
        <v>1</v>
      </c>
      <c r="M1829" s="3" t="s">
        <v>458</v>
      </c>
      <c r="N1829" s="3" t="s">
        <v>2391</v>
      </c>
      <c r="O1829" s="3" t="s">
        <v>773</v>
      </c>
      <c r="P1829" s="3" t="s">
        <v>344</v>
      </c>
      <c r="Q1829" s="30" t="str">
        <f t="shared" si="28"/>
        <v>MAX : 1.25
TARGET : 1.20
MIN : 1.15</v>
      </c>
    </row>
    <row r="1830" spans="2:18" ht="41.4" x14ac:dyDescent="0.3">
      <c r="B1830">
        <v>0</v>
      </c>
      <c r="C1830" s="33">
        <v>7604</v>
      </c>
      <c r="D1830" s="2">
        <v>1133</v>
      </c>
      <c r="E1830" s="2" t="s">
        <v>9465</v>
      </c>
      <c r="F1830" s="3" t="s">
        <v>14206</v>
      </c>
      <c r="H1830" s="3" t="s">
        <v>648</v>
      </c>
      <c r="K1830" s="2">
        <v>20</v>
      </c>
      <c r="L1830" s="2">
        <v>3</v>
      </c>
      <c r="M1830" s="3" t="s">
        <v>2454</v>
      </c>
      <c r="N1830" s="3" t="s">
        <v>776</v>
      </c>
      <c r="O1830" s="3" t="s">
        <v>2455</v>
      </c>
      <c r="P1830" s="3" t="s">
        <v>2456</v>
      </c>
      <c r="Q1830" s="30" t="str">
        <f t="shared" si="28"/>
        <v>MAX : 0.10
TARGET : 0.07
MIN : 0.04</v>
      </c>
    </row>
    <row r="1831" spans="2:18" ht="41.4" x14ac:dyDescent="0.3">
      <c r="B1831">
        <v>0</v>
      </c>
      <c r="C1831" s="33">
        <v>7604</v>
      </c>
      <c r="D1831" s="2">
        <v>1133</v>
      </c>
      <c r="E1831" s="2" t="s">
        <v>9465</v>
      </c>
      <c r="F1831" s="3" t="s">
        <v>14206</v>
      </c>
      <c r="H1831" s="3" t="s">
        <v>648</v>
      </c>
      <c r="K1831" s="2">
        <v>20</v>
      </c>
      <c r="L1831" s="2">
        <v>4</v>
      </c>
      <c r="M1831" s="3" t="s">
        <v>2457</v>
      </c>
      <c r="N1831" s="3" t="s">
        <v>13</v>
      </c>
      <c r="O1831" s="3" t="s">
        <v>14</v>
      </c>
      <c r="Q1831" s="30" t="str">
        <f t="shared" si="28"/>
        <v>MAX : 
TARGET : Yes(Pass)
MIN : No(Fail)</v>
      </c>
    </row>
    <row r="1832" spans="2:18" ht="41.4" x14ac:dyDescent="0.3">
      <c r="B1832">
        <v>0</v>
      </c>
      <c r="C1832" s="33">
        <v>7604</v>
      </c>
      <c r="D1832" s="2">
        <v>1133</v>
      </c>
      <c r="E1832" s="2" t="s">
        <v>9465</v>
      </c>
      <c r="F1832" s="3" t="s">
        <v>14206</v>
      </c>
      <c r="H1832" s="3" t="s">
        <v>648</v>
      </c>
      <c r="K1832" s="2">
        <v>20</v>
      </c>
      <c r="L1832" s="2">
        <v>5</v>
      </c>
      <c r="M1832" s="3" t="s">
        <v>2458</v>
      </c>
      <c r="N1832" s="3" t="s">
        <v>13</v>
      </c>
      <c r="O1832" s="3" t="s">
        <v>14</v>
      </c>
      <c r="Q1832" s="30" t="str">
        <f t="shared" si="28"/>
        <v>MAX : 
TARGET : Yes(Pass)
MIN : No(Fail)</v>
      </c>
    </row>
    <row r="1833" spans="2:18" ht="41.4" x14ac:dyDescent="0.3">
      <c r="B1833">
        <v>1</v>
      </c>
      <c r="C1833" s="33">
        <v>7081</v>
      </c>
      <c r="D1833" s="2">
        <v>1080</v>
      </c>
      <c r="E1833" s="2" t="s">
        <v>8821</v>
      </c>
      <c r="F1833" s="3" t="s">
        <v>14221</v>
      </c>
      <c r="H1833" s="3" t="s">
        <v>713</v>
      </c>
      <c r="K1833" s="2">
        <v>40</v>
      </c>
      <c r="L1833" s="2">
        <v>3</v>
      </c>
      <c r="M1833" s="3" t="s">
        <v>4557</v>
      </c>
      <c r="N1833" s="3" t="s">
        <v>38</v>
      </c>
      <c r="O1833" s="3" t="s">
        <v>39</v>
      </c>
      <c r="Q1833" s="30" t="str">
        <f t="shared" si="28"/>
        <v>MAX : 
TARGET : Yes(Fail)
MIN : No(Pass)</v>
      </c>
    </row>
    <row r="1834" spans="2:18" ht="41.4" x14ac:dyDescent="0.3">
      <c r="B1834">
        <v>1</v>
      </c>
      <c r="C1834" s="33">
        <v>7081</v>
      </c>
      <c r="D1834" s="2">
        <v>1080</v>
      </c>
      <c r="E1834" s="2" t="s">
        <v>8821</v>
      </c>
      <c r="F1834" s="3" t="s">
        <v>14221</v>
      </c>
      <c r="H1834" s="3" t="s">
        <v>713</v>
      </c>
      <c r="K1834" s="2">
        <v>10</v>
      </c>
      <c r="L1834" s="2">
        <v>2</v>
      </c>
      <c r="M1834" s="3" t="s">
        <v>325</v>
      </c>
      <c r="N1834" s="3" t="s">
        <v>13</v>
      </c>
      <c r="O1834" s="3" t="s">
        <v>14</v>
      </c>
      <c r="Q1834" s="30" t="str">
        <f t="shared" si="28"/>
        <v>MAX : 
TARGET : Yes(Pass)
MIN : No(Fail)</v>
      </c>
    </row>
    <row r="1835" spans="2:18" ht="41.4" x14ac:dyDescent="0.3">
      <c r="B1835">
        <v>0</v>
      </c>
      <c r="C1835" s="33">
        <v>7605</v>
      </c>
      <c r="D1835" s="2">
        <v>1134</v>
      </c>
      <c r="E1835" s="2" t="s">
        <v>9472</v>
      </c>
      <c r="F1835" s="3" t="s">
        <v>14206</v>
      </c>
      <c r="H1835" s="3" t="s">
        <v>648</v>
      </c>
      <c r="K1835" s="2">
        <v>20</v>
      </c>
      <c r="L1835" s="2">
        <v>3</v>
      </c>
      <c r="M1835" s="3" t="s">
        <v>2454</v>
      </c>
      <c r="N1835" s="3" t="s">
        <v>776</v>
      </c>
      <c r="O1835" s="3" t="s">
        <v>2455</v>
      </c>
      <c r="P1835" s="3" t="s">
        <v>2456</v>
      </c>
      <c r="Q1835" s="30" t="str">
        <f t="shared" si="28"/>
        <v>MAX : 0.10
TARGET : 0.07
MIN : 0.04</v>
      </c>
    </row>
    <row r="1836" spans="2:18" ht="41.4" x14ac:dyDescent="0.3">
      <c r="B1836">
        <v>0</v>
      </c>
      <c r="C1836" s="33">
        <v>7605</v>
      </c>
      <c r="D1836" s="2">
        <v>1134</v>
      </c>
      <c r="E1836" s="2" t="s">
        <v>9472</v>
      </c>
      <c r="F1836" s="3" t="s">
        <v>14206</v>
      </c>
      <c r="H1836" s="3" t="s">
        <v>648</v>
      </c>
      <c r="K1836" s="2">
        <v>20</v>
      </c>
      <c r="L1836" s="2">
        <v>4</v>
      </c>
      <c r="M1836" s="3" t="s">
        <v>2457</v>
      </c>
      <c r="N1836" s="3" t="s">
        <v>13</v>
      </c>
      <c r="O1836" s="3" t="s">
        <v>14</v>
      </c>
      <c r="Q1836" s="30" t="str">
        <f t="shared" si="28"/>
        <v>MAX : 
TARGET : Yes(Pass)
MIN : No(Fail)</v>
      </c>
    </row>
    <row r="1837" spans="2:18" ht="41.4" x14ac:dyDescent="0.3">
      <c r="B1837">
        <v>0</v>
      </c>
      <c r="C1837" s="33">
        <v>7605</v>
      </c>
      <c r="D1837" s="2">
        <v>1134</v>
      </c>
      <c r="E1837" s="2" t="s">
        <v>9472</v>
      </c>
      <c r="F1837" s="3" t="s">
        <v>14206</v>
      </c>
      <c r="H1837" s="3" t="s">
        <v>648</v>
      </c>
      <c r="K1837" s="2">
        <v>20</v>
      </c>
      <c r="L1837" s="2">
        <v>5</v>
      </c>
      <c r="M1837" s="3" t="s">
        <v>2458</v>
      </c>
      <c r="N1837" s="3" t="s">
        <v>13</v>
      </c>
      <c r="O1837" s="3" t="s">
        <v>14</v>
      </c>
      <c r="Q1837" s="30" t="str">
        <f t="shared" si="28"/>
        <v>MAX : 
TARGET : Yes(Pass)
MIN : No(Fail)</v>
      </c>
    </row>
    <row r="1838" spans="2:18" ht="41.4" x14ac:dyDescent="0.3">
      <c r="B1838">
        <v>1</v>
      </c>
      <c r="C1838" s="33">
        <v>7082</v>
      </c>
      <c r="D1838" s="2">
        <v>1081</v>
      </c>
      <c r="E1838" s="2" t="s">
        <v>8829</v>
      </c>
      <c r="F1838" s="3" t="s">
        <v>14206</v>
      </c>
      <c r="H1838" s="3" t="s">
        <v>713</v>
      </c>
      <c r="K1838" s="2">
        <v>30</v>
      </c>
      <c r="L1838" s="2">
        <v>2</v>
      </c>
      <c r="M1838" s="3" t="s">
        <v>2081</v>
      </c>
      <c r="N1838" s="3" t="s">
        <v>717</v>
      </c>
      <c r="O1838" s="3" t="s">
        <v>2082</v>
      </c>
      <c r="P1838" s="3" t="s">
        <v>983</v>
      </c>
      <c r="Q1838" s="30" t="str">
        <f t="shared" si="28"/>
        <v>MAX : 0.095
TARGET : 0.080
MIN : 0.065</v>
      </c>
    </row>
    <row r="1839" spans="2:18" ht="41.4" x14ac:dyDescent="0.3">
      <c r="B1839">
        <v>1</v>
      </c>
      <c r="C1839" s="33">
        <v>7082</v>
      </c>
      <c r="D1839" s="2">
        <v>1081</v>
      </c>
      <c r="E1839" s="2" t="s">
        <v>8829</v>
      </c>
      <c r="F1839" s="3" t="s">
        <v>14206</v>
      </c>
      <c r="H1839" s="3" t="s">
        <v>713</v>
      </c>
      <c r="K1839" s="2">
        <v>40</v>
      </c>
      <c r="L1839" s="2">
        <v>1</v>
      </c>
      <c r="M1839" s="3" t="s">
        <v>194</v>
      </c>
      <c r="N1839" s="3" t="s">
        <v>791</v>
      </c>
      <c r="O1839" s="3" t="s">
        <v>2085</v>
      </c>
      <c r="P1839" s="3" t="s">
        <v>2086</v>
      </c>
      <c r="Q1839" s="30" t="str">
        <f t="shared" si="28"/>
        <v>MAX : 2.34
TARGET : 2.32
MIN : 2.30</v>
      </c>
    </row>
    <row r="1840" spans="2:18" ht="41.4" x14ac:dyDescent="0.3">
      <c r="B1840">
        <v>0</v>
      </c>
      <c r="C1840" s="33">
        <v>7601</v>
      </c>
      <c r="D1840" s="2">
        <v>1132</v>
      </c>
      <c r="E1840" s="2" t="s">
        <v>9450</v>
      </c>
      <c r="F1840" s="3" t="s">
        <v>14206</v>
      </c>
      <c r="H1840" s="3" t="s">
        <v>747</v>
      </c>
      <c r="K1840" s="2">
        <v>10</v>
      </c>
      <c r="L1840" s="2">
        <v>3</v>
      </c>
      <c r="M1840" s="3" t="s">
        <v>944</v>
      </c>
      <c r="N1840" s="3" t="s">
        <v>769</v>
      </c>
      <c r="O1840" s="3" t="s">
        <v>309</v>
      </c>
      <c r="P1840" s="3" t="s">
        <v>264</v>
      </c>
      <c r="Q1840" s="30" t="str">
        <f t="shared" si="28"/>
        <v>MAX : 0.52
TARGET : 0.50
MIN : 0.48</v>
      </c>
      <c r="R1840" s="3" t="s">
        <v>926</v>
      </c>
    </row>
    <row r="1841" spans="2:18" ht="41.4" x14ac:dyDescent="0.3">
      <c r="B1841">
        <v>0</v>
      </c>
      <c r="C1841" s="33">
        <v>7601</v>
      </c>
      <c r="D1841" s="2">
        <v>1132</v>
      </c>
      <c r="E1841" s="2" t="s">
        <v>9450</v>
      </c>
      <c r="F1841" s="3" t="s">
        <v>14206</v>
      </c>
      <c r="H1841" s="3" t="s">
        <v>747</v>
      </c>
      <c r="K1841" s="2">
        <v>10</v>
      </c>
      <c r="L1841" s="2">
        <v>4</v>
      </c>
      <c r="M1841" s="3" t="s">
        <v>1240</v>
      </c>
      <c r="N1841" s="3" t="s">
        <v>2460</v>
      </c>
      <c r="O1841" s="3" t="s">
        <v>2461</v>
      </c>
      <c r="P1841" s="3" t="s">
        <v>76</v>
      </c>
      <c r="Q1841" s="30" t="str">
        <f t="shared" si="28"/>
        <v>MAX : 2.50
TARGET : 2.48
MIN : 2.46</v>
      </c>
      <c r="R1841" s="3" t="s">
        <v>926</v>
      </c>
    </row>
    <row r="1842" spans="2:18" ht="41.4" x14ac:dyDescent="0.3">
      <c r="B1842">
        <v>0</v>
      </c>
      <c r="C1842" s="33">
        <v>7601</v>
      </c>
      <c r="D1842" s="2">
        <v>1132</v>
      </c>
      <c r="E1842" s="2" t="s">
        <v>9450</v>
      </c>
      <c r="F1842" s="3" t="s">
        <v>14206</v>
      </c>
      <c r="H1842" s="3" t="s">
        <v>747</v>
      </c>
      <c r="K1842" s="2">
        <v>10</v>
      </c>
      <c r="L1842" s="2">
        <v>5</v>
      </c>
      <c r="M1842" s="3" t="s">
        <v>931</v>
      </c>
      <c r="N1842" s="3" t="s">
        <v>24</v>
      </c>
      <c r="O1842" s="3" t="s">
        <v>25</v>
      </c>
      <c r="Q1842" s="30" t="str">
        <f t="shared" si="28"/>
        <v>MAX : 
TARGET : Yes (Pass)
MIN : No (Fail)</v>
      </c>
      <c r="R1842" s="3" t="s">
        <v>926</v>
      </c>
    </row>
    <row r="1843" spans="2:18" ht="41.4" x14ac:dyDescent="0.3">
      <c r="B1843">
        <v>0</v>
      </c>
      <c r="C1843" s="33">
        <v>7601</v>
      </c>
      <c r="D1843" s="2">
        <v>1132</v>
      </c>
      <c r="E1843" s="2" t="s">
        <v>9450</v>
      </c>
      <c r="F1843" s="3" t="s">
        <v>14206</v>
      </c>
      <c r="H1843" s="3" t="s">
        <v>747</v>
      </c>
      <c r="K1843" s="2">
        <v>10</v>
      </c>
      <c r="L1843" s="2">
        <v>6</v>
      </c>
      <c r="M1843" s="3" t="s">
        <v>78</v>
      </c>
      <c r="N1843" s="3" t="s">
        <v>24</v>
      </c>
      <c r="O1843" s="3" t="s">
        <v>25</v>
      </c>
      <c r="Q1843" s="30" t="str">
        <f t="shared" si="28"/>
        <v>MAX : 
TARGET : Yes (Pass)
MIN : No (Fail)</v>
      </c>
      <c r="R1843" s="3" t="s">
        <v>926</v>
      </c>
    </row>
    <row r="1844" spans="2:18" ht="41.4" x14ac:dyDescent="0.3">
      <c r="B1844">
        <v>1</v>
      </c>
      <c r="C1844" s="33">
        <v>7082</v>
      </c>
      <c r="D1844" s="2">
        <v>1081</v>
      </c>
      <c r="E1844" s="2" t="s">
        <v>8829</v>
      </c>
      <c r="F1844" s="3" t="s">
        <v>14206</v>
      </c>
      <c r="H1844" s="3" t="s">
        <v>713</v>
      </c>
      <c r="K1844" s="2">
        <v>30</v>
      </c>
      <c r="L1844" s="2">
        <v>1</v>
      </c>
      <c r="M1844" s="3" t="s">
        <v>198</v>
      </c>
      <c r="N1844" s="3" t="s">
        <v>2080</v>
      </c>
      <c r="O1844" s="3" t="s">
        <v>2969</v>
      </c>
      <c r="P1844" s="3" t="s">
        <v>1035</v>
      </c>
      <c r="Q1844" s="30" t="str">
        <f t="shared" si="28"/>
        <v>MAX : 0.480
TARGET : 0.465
MIN : 0.450</v>
      </c>
    </row>
    <row r="1845" spans="2:18" ht="41.4" x14ac:dyDescent="0.3">
      <c r="B1845">
        <v>1</v>
      </c>
      <c r="C1845" s="33">
        <v>7082</v>
      </c>
      <c r="D1845" s="2">
        <v>1081</v>
      </c>
      <c r="E1845" s="2" t="s">
        <v>8829</v>
      </c>
      <c r="F1845" s="3" t="s">
        <v>14206</v>
      </c>
      <c r="H1845" s="3" t="s">
        <v>713</v>
      </c>
      <c r="K1845" s="2">
        <v>10</v>
      </c>
      <c r="L1845" s="2">
        <v>1</v>
      </c>
      <c r="M1845" s="3" t="s">
        <v>458</v>
      </c>
      <c r="N1845" s="3" t="s">
        <v>2391</v>
      </c>
      <c r="O1845" s="3" t="s">
        <v>773</v>
      </c>
      <c r="P1845" s="3" t="s">
        <v>344</v>
      </c>
      <c r="Q1845" s="30" t="str">
        <f t="shared" si="28"/>
        <v>MAX : 1.25
TARGET : 1.20
MIN : 1.15</v>
      </c>
    </row>
    <row r="1846" spans="2:18" ht="41.4" x14ac:dyDescent="0.3">
      <c r="B1846">
        <v>0</v>
      </c>
      <c r="C1846" s="33">
        <v>7675</v>
      </c>
      <c r="D1846" s="2">
        <v>1136</v>
      </c>
      <c r="E1846" s="2" t="s">
        <v>9491</v>
      </c>
      <c r="F1846" s="3" t="s">
        <v>14206</v>
      </c>
      <c r="H1846" s="3" t="s">
        <v>2462</v>
      </c>
      <c r="K1846" s="2">
        <v>10</v>
      </c>
      <c r="L1846" s="2">
        <v>3</v>
      </c>
      <c r="M1846" s="3" t="s">
        <v>2464</v>
      </c>
      <c r="N1846" s="3" t="s">
        <v>13</v>
      </c>
      <c r="O1846" s="3" t="s">
        <v>14</v>
      </c>
      <c r="Q1846" s="30" t="str">
        <f t="shared" si="28"/>
        <v>MAX : 
TARGET : Yes(Pass)
MIN : No(Fail)</v>
      </c>
    </row>
    <row r="1847" spans="2:18" ht="41.4" x14ac:dyDescent="0.3">
      <c r="B1847">
        <v>0</v>
      </c>
      <c r="C1847" s="33">
        <v>7675</v>
      </c>
      <c r="D1847" s="2">
        <v>1136</v>
      </c>
      <c r="E1847" s="2" t="s">
        <v>9491</v>
      </c>
      <c r="F1847" s="3" t="s">
        <v>14206</v>
      </c>
      <c r="H1847" s="3" t="s">
        <v>2462</v>
      </c>
      <c r="K1847" s="2">
        <v>10</v>
      </c>
      <c r="L1847" s="2">
        <v>4</v>
      </c>
      <c r="M1847" s="3" t="s">
        <v>2043</v>
      </c>
      <c r="N1847" s="3" t="s">
        <v>13</v>
      </c>
      <c r="O1847" s="3" t="s">
        <v>14</v>
      </c>
      <c r="Q1847" s="30" t="str">
        <f t="shared" si="28"/>
        <v>MAX : 
TARGET : Yes(Pass)
MIN : No(Fail)</v>
      </c>
    </row>
    <row r="1848" spans="2:18" ht="41.4" x14ac:dyDescent="0.3">
      <c r="B1848">
        <v>0</v>
      </c>
      <c r="C1848" s="33">
        <v>7675</v>
      </c>
      <c r="D1848" s="2">
        <v>1136</v>
      </c>
      <c r="E1848" s="2" t="s">
        <v>9491</v>
      </c>
      <c r="F1848" s="3" t="s">
        <v>14206</v>
      </c>
      <c r="H1848" s="3" t="s">
        <v>2462</v>
      </c>
      <c r="K1848" s="2">
        <v>10</v>
      </c>
      <c r="L1848" s="2">
        <v>5</v>
      </c>
      <c r="M1848" s="3" t="s">
        <v>2465</v>
      </c>
      <c r="N1848" s="3" t="s">
        <v>13</v>
      </c>
      <c r="O1848" s="3" t="s">
        <v>14</v>
      </c>
      <c r="Q1848" s="30" t="str">
        <f t="shared" si="28"/>
        <v>MAX : 
TARGET : Yes(Pass)
MIN : No(Fail)</v>
      </c>
    </row>
    <row r="1849" spans="2:18" ht="41.4" x14ac:dyDescent="0.3">
      <c r="B1849">
        <v>0</v>
      </c>
      <c r="C1849" s="33">
        <v>7675</v>
      </c>
      <c r="D1849" s="2">
        <v>1136</v>
      </c>
      <c r="E1849" s="2" t="s">
        <v>9491</v>
      </c>
      <c r="F1849" s="3" t="s">
        <v>14206</v>
      </c>
      <c r="H1849" s="3" t="s">
        <v>2462</v>
      </c>
      <c r="K1849" s="2">
        <v>20</v>
      </c>
      <c r="L1849" s="2">
        <v>1</v>
      </c>
      <c r="M1849" s="3" t="s">
        <v>2466</v>
      </c>
      <c r="N1849" s="3" t="s">
        <v>13</v>
      </c>
      <c r="O1849" s="3" t="s">
        <v>14</v>
      </c>
      <c r="Q1849" s="30" t="str">
        <f t="shared" si="28"/>
        <v>MAX : 
TARGET : Yes(Pass)
MIN : No(Fail)</v>
      </c>
    </row>
    <row r="1850" spans="2:18" ht="41.4" x14ac:dyDescent="0.3">
      <c r="B1850">
        <v>1</v>
      </c>
      <c r="C1850" s="33">
        <v>7082</v>
      </c>
      <c r="D1850" s="2">
        <v>1081</v>
      </c>
      <c r="E1850" s="2" t="s">
        <v>8829</v>
      </c>
      <c r="F1850" s="3" t="s">
        <v>14206</v>
      </c>
      <c r="H1850" s="3" t="s">
        <v>713</v>
      </c>
      <c r="K1850" s="2">
        <v>10</v>
      </c>
      <c r="L1850" s="2">
        <v>2</v>
      </c>
      <c r="M1850" s="3" t="s">
        <v>325</v>
      </c>
      <c r="N1850" s="3" t="s">
        <v>13</v>
      </c>
      <c r="O1850" s="3" t="s">
        <v>14</v>
      </c>
      <c r="Q1850" s="30" t="str">
        <f t="shared" si="28"/>
        <v>MAX : 
TARGET : Yes(Pass)
MIN : No(Fail)</v>
      </c>
    </row>
    <row r="1851" spans="2:18" ht="41.4" x14ac:dyDescent="0.3">
      <c r="B1851">
        <v>1</v>
      </c>
      <c r="C1851" s="33">
        <v>7086</v>
      </c>
      <c r="D1851" s="2">
        <v>1082</v>
      </c>
      <c r="E1851" s="2" t="s">
        <v>8837</v>
      </c>
      <c r="F1851" s="3" t="s">
        <v>14206</v>
      </c>
      <c r="H1851" s="3" t="s">
        <v>810</v>
      </c>
      <c r="K1851" s="2">
        <v>10</v>
      </c>
      <c r="L1851" s="2">
        <v>2</v>
      </c>
      <c r="M1851" s="3" t="s">
        <v>2088</v>
      </c>
      <c r="N1851" s="3" t="s">
        <v>2089</v>
      </c>
      <c r="O1851" s="3" t="s">
        <v>2090</v>
      </c>
      <c r="P1851" s="3" t="s">
        <v>2091</v>
      </c>
      <c r="Q1851" s="30" t="str">
        <f t="shared" si="28"/>
        <v>MAX : 6.405
TARGET : 6.375
MIN : 6.345</v>
      </c>
    </row>
    <row r="1852" spans="2:18" ht="41.4" x14ac:dyDescent="0.3">
      <c r="B1852">
        <v>1</v>
      </c>
      <c r="C1852" s="33">
        <v>7086</v>
      </c>
      <c r="D1852" s="2">
        <v>1082</v>
      </c>
      <c r="E1852" s="2" t="s">
        <v>8837</v>
      </c>
      <c r="F1852" s="3" t="s">
        <v>14206</v>
      </c>
      <c r="H1852" s="3" t="s">
        <v>810</v>
      </c>
      <c r="K1852" s="2">
        <v>10</v>
      </c>
      <c r="L1852" s="2">
        <v>1</v>
      </c>
      <c r="M1852" s="3" t="s">
        <v>74</v>
      </c>
      <c r="N1852" s="3" t="s">
        <v>2087</v>
      </c>
      <c r="O1852" s="3" t="s">
        <v>389</v>
      </c>
      <c r="P1852" s="3" t="s">
        <v>1541</v>
      </c>
      <c r="Q1852" s="30" t="str">
        <f t="shared" si="28"/>
        <v>MAX : 6.28
TARGET : 6.25
MIN : 6.22</v>
      </c>
    </row>
    <row r="1853" spans="2:18" ht="41.4" x14ac:dyDescent="0.3">
      <c r="B1853">
        <v>1</v>
      </c>
      <c r="C1853" s="33">
        <v>7087</v>
      </c>
      <c r="D1853" s="2">
        <v>1862</v>
      </c>
      <c r="E1853" s="2" t="s">
        <v>8844</v>
      </c>
      <c r="F1853" s="3" t="s">
        <v>14206</v>
      </c>
      <c r="H1853" s="3" t="s">
        <v>66</v>
      </c>
      <c r="K1853" s="2">
        <v>10</v>
      </c>
      <c r="L1853" s="2">
        <v>1</v>
      </c>
      <c r="M1853" s="3" t="s">
        <v>99</v>
      </c>
      <c r="N1853" s="3" t="s">
        <v>784</v>
      </c>
      <c r="O1853" s="3" t="s">
        <v>309</v>
      </c>
      <c r="P1853" s="3" t="s">
        <v>785</v>
      </c>
      <c r="Q1853" s="30" t="str">
        <f t="shared" si="28"/>
        <v>MAX : 0.55
TARGET : 0.50
MIN : 0.45</v>
      </c>
    </row>
    <row r="1854" spans="2:18" ht="41.4" x14ac:dyDescent="0.3">
      <c r="B1854">
        <v>1</v>
      </c>
      <c r="C1854" s="33">
        <v>7087</v>
      </c>
      <c r="D1854" s="2">
        <v>1862</v>
      </c>
      <c r="E1854" s="2" t="s">
        <v>8844</v>
      </c>
      <c r="F1854" s="3" t="s">
        <v>14206</v>
      </c>
      <c r="H1854" s="3" t="s">
        <v>66</v>
      </c>
      <c r="K1854" s="2">
        <v>10</v>
      </c>
      <c r="L1854" s="2">
        <v>2</v>
      </c>
      <c r="M1854" s="3" t="s">
        <v>1623</v>
      </c>
      <c r="N1854" s="3" t="s">
        <v>13</v>
      </c>
      <c r="O1854" s="3" t="s">
        <v>14</v>
      </c>
      <c r="Q1854" s="30" t="str">
        <f t="shared" si="28"/>
        <v>MAX : 
TARGET : Yes(Pass)
MIN : No(Fail)</v>
      </c>
    </row>
    <row r="1855" spans="2:18" ht="41.4" x14ac:dyDescent="0.3">
      <c r="B1855">
        <v>1</v>
      </c>
      <c r="C1855" s="33">
        <v>7087</v>
      </c>
      <c r="D1855" s="2">
        <v>1862</v>
      </c>
      <c r="E1855" s="2" t="s">
        <v>8844</v>
      </c>
      <c r="F1855" s="3" t="s">
        <v>14206</v>
      </c>
      <c r="H1855" s="3" t="s">
        <v>66</v>
      </c>
      <c r="K1855" s="2">
        <v>10</v>
      </c>
      <c r="L1855" s="2">
        <v>3</v>
      </c>
      <c r="M1855" s="3" t="s">
        <v>5797</v>
      </c>
      <c r="N1855" s="3" t="s">
        <v>13</v>
      </c>
      <c r="O1855" s="3" t="s">
        <v>14</v>
      </c>
      <c r="Q1855" s="30" t="str">
        <f t="shared" si="28"/>
        <v>MAX : 
TARGET : Yes(Pass)
MIN : No(Fail)</v>
      </c>
    </row>
    <row r="1856" spans="2:18" ht="41.4" x14ac:dyDescent="0.3">
      <c r="B1856">
        <v>1</v>
      </c>
      <c r="C1856" s="33">
        <v>7120</v>
      </c>
      <c r="D1856" s="2">
        <v>1863</v>
      </c>
      <c r="E1856" s="2" t="s">
        <v>8850</v>
      </c>
      <c r="F1856" s="3" t="s">
        <v>14206</v>
      </c>
      <c r="H1856" s="3" t="s">
        <v>491</v>
      </c>
      <c r="K1856" s="2">
        <v>10</v>
      </c>
      <c r="L1856" s="2">
        <v>2</v>
      </c>
      <c r="M1856" s="3" t="s">
        <v>325</v>
      </c>
      <c r="N1856" s="3" t="s">
        <v>13</v>
      </c>
      <c r="O1856" s="3" t="s">
        <v>14</v>
      </c>
      <c r="Q1856" s="30" t="str">
        <f t="shared" si="28"/>
        <v>MAX : 
TARGET : Yes(Pass)
MIN : No(Fail)</v>
      </c>
    </row>
    <row r="1857" spans="2:17" ht="41.4" x14ac:dyDescent="0.3">
      <c r="B1857">
        <v>0</v>
      </c>
      <c r="C1857" s="33">
        <v>6968</v>
      </c>
      <c r="D1857" s="2">
        <v>1850</v>
      </c>
      <c r="E1857" s="2" t="s">
        <v>8674</v>
      </c>
      <c r="F1857" s="3" t="s">
        <v>14206</v>
      </c>
      <c r="H1857" s="3" t="s">
        <v>656</v>
      </c>
      <c r="K1857" s="2">
        <v>20</v>
      </c>
      <c r="L1857" s="2">
        <v>5</v>
      </c>
      <c r="M1857" s="3" t="s">
        <v>3612</v>
      </c>
      <c r="Q1857" s="30" t="str">
        <f t="shared" si="28"/>
        <v xml:space="preserve">MAX : 
TARGET : 
MIN : </v>
      </c>
    </row>
    <row r="1858" spans="2:17" ht="41.4" x14ac:dyDescent="0.3">
      <c r="B1858">
        <v>1</v>
      </c>
      <c r="C1858" s="33">
        <v>7120</v>
      </c>
      <c r="D1858" s="2">
        <v>1863</v>
      </c>
      <c r="E1858" s="2" t="s">
        <v>8850</v>
      </c>
      <c r="F1858" s="3" t="s">
        <v>14206</v>
      </c>
      <c r="H1858" s="3" t="s">
        <v>491</v>
      </c>
      <c r="K1858" s="2">
        <v>10</v>
      </c>
      <c r="L1858" s="2">
        <v>1</v>
      </c>
      <c r="M1858" s="3" t="s">
        <v>99</v>
      </c>
      <c r="N1858" s="3" t="s">
        <v>420</v>
      </c>
      <c r="O1858" s="3" t="s">
        <v>272</v>
      </c>
      <c r="P1858" s="3" t="s">
        <v>414</v>
      </c>
      <c r="Q1858" s="30" t="str">
        <f t="shared" ref="Q1858:Q1921" si="29">"MAX : " &amp; P1858 &amp; CHAR(10) &amp; "TARGET : " &amp; O1858 &amp; CHAR(10) &amp; "MIN : " &amp; N1858</f>
        <v>MAX : 1.03
TARGET : 1.00
MIN : 0.97</v>
      </c>
    </row>
    <row r="1859" spans="2:17" ht="41.4" x14ac:dyDescent="0.3">
      <c r="B1859">
        <v>0</v>
      </c>
      <c r="C1859" s="33">
        <v>7685</v>
      </c>
      <c r="D1859" s="2">
        <v>1138</v>
      </c>
      <c r="E1859" s="2" t="s">
        <v>9517</v>
      </c>
      <c r="F1859" s="3" t="s">
        <v>14206</v>
      </c>
      <c r="H1859" s="3" t="s">
        <v>747</v>
      </c>
      <c r="K1859" s="2">
        <v>10</v>
      </c>
      <c r="L1859" s="2">
        <v>3</v>
      </c>
      <c r="M1859" s="3" t="s">
        <v>194</v>
      </c>
      <c r="N1859" s="3" t="s">
        <v>2469</v>
      </c>
      <c r="O1859" s="3" t="s">
        <v>2470</v>
      </c>
      <c r="P1859" s="3" t="s">
        <v>2471</v>
      </c>
      <c r="Q1859" s="30" t="str">
        <f t="shared" si="29"/>
        <v>MAX : 9.28
TARGET : 9.25
MIN : 9.22</v>
      </c>
    </row>
    <row r="1860" spans="2:17" ht="41.4" x14ac:dyDescent="0.3">
      <c r="B1860">
        <v>1</v>
      </c>
      <c r="C1860" s="33">
        <v>7122</v>
      </c>
      <c r="D1860" s="2">
        <v>1864</v>
      </c>
      <c r="E1860" s="2" t="s">
        <v>8856</v>
      </c>
      <c r="F1860" s="3" t="s">
        <v>14206</v>
      </c>
      <c r="H1860" s="3" t="s">
        <v>721</v>
      </c>
      <c r="K1860" s="2">
        <v>10</v>
      </c>
      <c r="L1860" s="2">
        <v>2</v>
      </c>
      <c r="M1860" s="3" t="s">
        <v>2098</v>
      </c>
      <c r="N1860" s="3" t="s">
        <v>13</v>
      </c>
      <c r="O1860" s="3" t="s">
        <v>14</v>
      </c>
      <c r="Q1860" s="30" t="str">
        <f t="shared" si="29"/>
        <v>MAX : 
TARGET : Yes(Pass)
MIN : No(Fail)</v>
      </c>
    </row>
    <row r="1861" spans="2:17" ht="41.4" x14ac:dyDescent="0.3">
      <c r="B1861">
        <v>1</v>
      </c>
      <c r="C1861" s="33">
        <v>7122</v>
      </c>
      <c r="D1861" s="2">
        <v>1864</v>
      </c>
      <c r="E1861" s="2" t="s">
        <v>8856</v>
      </c>
      <c r="F1861" s="3" t="s">
        <v>14206</v>
      </c>
      <c r="H1861" s="3" t="s">
        <v>721</v>
      </c>
      <c r="K1861" s="2">
        <v>10</v>
      </c>
      <c r="L1861" s="2">
        <v>1</v>
      </c>
      <c r="M1861" s="3" t="s">
        <v>99</v>
      </c>
      <c r="N1861" s="3" t="s">
        <v>2097</v>
      </c>
      <c r="O1861" s="3" t="s">
        <v>488</v>
      </c>
      <c r="P1861" s="3" t="s">
        <v>489</v>
      </c>
      <c r="Q1861" s="30" t="str">
        <f t="shared" si="29"/>
        <v>MAX : 2.56
TARGET : 2.44
MIN : 2.38</v>
      </c>
    </row>
    <row r="1862" spans="2:17" ht="41.4" x14ac:dyDescent="0.3">
      <c r="B1862">
        <v>0</v>
      </c>
      <c r="C1862" s="33">
        <v>7677</v>
      </c>
      <c r="D1862" s="2">
        <v>1137</v>
      </c>
      <c r="E1862" s="2" t="s">
        <v>9504</v>
      </c>
      <c r="F1862" s="3" t="s">
        <v>14207</v>
      </c>
      <c r="H1862" s="3" t="s">
        <v>504</v>
      </c>
      <c r="K1862" s="2">
        <v>20</v>
      </c>
      <c r="L1862" s="2">
        <v>3</v>
      </c>
      <c r="M1862" s="3" t="s">
        <v>198</v>
      </c>
      <c r="N1862" s="3" t="s">
        <v>2478</v>
      </c>
      <c r="O1862" s="3" t="s">
        <v>1464</v>
      </c>
      <c r="P1862" s="3" t="s">
        <v>661</v>
      </c>
      <c r="Q1862" s="30" t="str">
        <f t="shared" si="29"/>
        <v>MAX : 50.0
TARGET : 49.0
MIN : 48.0</v>
      </c>
    </row>
    <row r="1863" spans="2:17" ht="41.4" x14ac:dyDescent="0.3">
      <c r="B1863">
        <v>0</v>
      </c>
      <c r="C1863" s="33">
        <v>7677</v>
      </c>
      <c r="D1863" s="2">
        <v>1137</v>
      </c>
      <c r="E1863" s="2" t="s">
        <v>9504</v>
      </c>
      <c r="F1863" s="3" t="s">
        <v>14207</v>
      </c>
      <c r="H1863" s="3" t="s">
        <v>504</v>
      </c>
      <c r="K1863" s="2">
        <v>20</v>
      </c>
      <c r="L1863" s="2">
        <v>4</v>
      </c>
      <c r="M1863" s="3" t="s">
        <v>422</v>
      </c>
      <c r="N1863" s="3" t="s">
        <v>2479</v>
      </c>
      <c r="O1863" s="3" t="s">
        <v>2480</v>
      </c>
      <c r="P1863" s="3" t="s">
        <v>2481</v>
      </c>
      <c r="Q1863" s="30" t="str">
        <f t="shared" si="29"/>
        <v>MAX : 7.4
TARGET : 6.4
MIN : 5.4</v>
      </c>
    </row>
    <row r="1864" spans="2:17" ht="41.4" x14ac:dyDescent="0.3">
      <c r="B1864">
        <v>0</v>
      </c>
      <c r="C1864" s="33">
        <v>7677</v>
      </c>
      <c r="D1864" s="2">
        <v>1137</v>
      </c>
      <c r="E1864" s="2" t="s">
        <v>9504</v>
      </c>
      <c r="F1864" s="3" t="s">
        <v>14207</v>
      </c>
      <c r="H1864" s="3" t="s">
        <v>504</v>
      </c>
      <c r="K1864" s="2">
        <v>20</v>
      </c>
      <c r="L1864" s="2">
        <v>5</v>
      </c>
      <c r="M1864" s="3" t="s">
        <v>78</v>
      </c>
      <c r="N1864" s="3" t="s">
        <v>13</v>
      </c>
      <c r="O1864" s="3" t="s">
        <v>14</v>
      </c>
      <c r="Q1864" s="30" t="str">
        <f t="shared" si="29"/>
        <v>MAX : 
TARGET : Yes(Pass)
MIN : No(Fail)</v>
      </c>
    </row>
    <row r="1865" spans="2:17" ht="41.4" x14ac:dyDescent="0.3">
      <c r="B1865">
        <v>1</v>
      </c>
      <c r="C1865" s="33">
        <v>7126</v>
      </c>
      <c r="D1865" s="2">
        <v>1083</v>
      </c>
      <c r="E1865" s="2" t="s">
        <v>8862</v>
      </c>
      <c r="F1865" s="3" t="s">
        <v>14206</v>
      </c>
      <c r="H1865" s="3" t="s">
        <v>2116</v>
      </c>
      <c r="K1865" s="2">
        <v>10</v>
      </c>
      <c r="L1865" s="2">
        <v>2</v>
      </c>
      <c r="M1865" s="3" t="s">
        <v>2118</v>
      </c>
      <c r="N1865" s="3" t="s">
        <v>979</v>
      </c>
      <c r="O1865" s="3" t="s">
        <v>309</v>
      </c>
      <c r="P1865" s="3" t="s">
        <v>1531</v>
      </c>
      <c r="Q1865" s="30" t="str">
        <f t="shared" si="29"/>
        <v>MAX : 0.56
TARGET : 0.50
MIN : 0.44</v>
      </c>
    </row>
    <row r="1866" spans="2:17" ht="41.4" x14ac:dyDescent="0.3">
      <c r="B1866">
        <v>1</v>
      </c>
      <c r="C1866" s="33">
        <v>7126</v>
      </c>
      <c r="D1866" s="2">
        <v>1083</v>
      </c>
      <c r="E1866" s="2" t="s">
        <v>8862</v>
      </c>
      <c r="F1866" s="3" t="s">
        <v>14206</v>
      </c>
      <c r="H1866" s="3" t="s">
        <v>2116</v>
      </c>
      <c r="K1866" s="2">
        <v>10</v>
      </c>
      <c r="L1866" s="2">
        <v>1</v>
      </c>
      <c r="M1866" s="3" t="s">
        <v>2117</v>
      </c>
      <c r="N1866" s="3" t="s">
        <v>252</v>
      </c>
      <c r="O1866" s="3" t="s">
        <v>253</v>
      </c>
      <c r="P1866" s="3" t="s">
        <v>128</v>
      </c>
      <c r="Q1866" s="30" t="str">
        <f t="shared" si="29"/>
        <v>MAX : 4.03
TARGET : 4.00
MIN : 3.97</v>
      </c>
    </row>
    <row r="1867" spans="2:17" ht="41.4" x14ac:dyDescent="0.3">
      <c r="B1867">
        <v>0</v>
      </c>
      <c r="C1867" s="33">
        <v>1226</v>
      </c>
      <c r="D1867" s="2">
        <v>883</v>
      </c>
      <c r="E1867" s="2" t="s">
        <v>6432</v>
      </c>
      <c r="F1867" s="3" t="s">
        <v>14206</v>
      </c>
      <c r="H1867" s="3" t="s">
        <v>1903</v>
      </c>
      <c r="K1867" s="2">
        <v>10</v>
      </c>
      <c r="L1867" s="2">
        <v>3</v>
      </c>
      <c r="M1867" s="3" t="s">
        <v>2418</v>
      </c>
      <c r="N1867" s="3" t="s">
        <v>13</v>
      </c>
      <c r="O1867" s="3" t="s">
        <v>14</v>
      </c>
      <c r="Q1867" s="30" t="str">
        <f t="shared" si="29"/>
        <v>MAX : 
TARGET : Yes(Pass)
MIN : No(Fail)</v>
      </c>
    </row>
    <row r="1868" spans="2:17" ht="41.4" x14ac:dyDescent="0.3">
      <c r="B1868">
        <v>1</v>
      </c>
      <c r="C1868" s="33">
        <v>7130</v>
      </c>
      <c r="D1868" s="2">
        <v>1865</v>
      </c>
      <c r="E1868" s="2" t="s">
        <v>8869</v>
      </c>
      <c r="F1868" s="3" t="s">
        <v>14207</v>
      </c>
      <c r="H1868" s="3" t="s">
        <v>412</v>
      </c>
      <c r="K1868" s="2">
        <v>10</v>
      </c>
      <c r="L1868" s="2">
        <v>2</v>
      </c>
      <c r="M1868" s="3" t="s">
        <v>2098</v>
      </c>
      <c r="N1868" s="3" t="s">
        <v>13</v>
      </c>
      <c r="O1868" s="3" t="s">
        <v>14</v>
      </c>
      <c r="Q1868" s="30" t="str">
        <f t="shared" si="29"/>
        <v>MAX : 
TARGET : Yes(Pass)
MIN : No(Fail)</v>
      </c>
    </row>
    <row r="1869" spans="2:17" ht="41.4" x14ac:dyDescent="0.3">
      <c r="B1869">
        <v>1</v>
      </c>
      <c r="C1869" s="33">
        <v>7130</v>
      </c>
      <c r="D1869" s="2">
        <v>1865</v>
      </c>
      <c r="E1869" s="2" t="s">
        <v>8869</v>
      </c>
      <c r="F1869" s="3" t="s">
        <v>14207</v>
      </c>
      <c r="H1869" s="3" t="s">
        <v>412</v>
      </c>
      <c r="K1869" s="2">
        <v>10</v>
      </c>
      <c r="L1869" s="2">
        <v>1</v>
      </c>
      <c r="M1869" s="3" t="s">
        <v>99</v>
      </c>
      <c r="N1869" s="3" t="s">
        <v>2099</v>
      </c>
      <c r="O1869" s="3" t="s">
        <v>2100</v>
      </c>
      <c r="P1869" s="3" t="s">
        <v>2101</v>
      </c>
      <c r="Q1869" s="30" t="str">
        <f t="shared" si="29"/>
        <v>MAX : 33
TARGET : 32
MIN : 31</v>
      </c>
    </row>
    <row r="1870" spans="2:17" ht="41.4" x14ac:dyDescent="0.3">
      <c r="B1870">
        <v>0</v>
      </c>
      <c r="C1870" s="33">
        <v>7708</v>
      </c>
      <c r="D1870" s="2">
        <v>1908</v>
      </c>
      <c r="E1870" s="2" t="s">
        <v>9533</v>
      </c>
      <c r="F1870" s="3" t="s">
        <v>14206</v>
      </c>
      <c r="H1870" s="3" t="s">
        <v>558</v>
      </c>
      <c r="K1870" s="2">
        <v>20</v>
      </c>
      <c r="L1870" s="2">
        <v>3</v>
      </c>
      <c r="M1870" s="3" t="s">
        <v>2482</v>
      </c>
      <c r="N1870" s="3" t="s">
        <v>13</v>
      </c>
      <c r="O1870" s="3" t="s">
        <v>14</v>
      </c>
      <c r="Q1870" s="30" t="str">
        <f t="shared" si="29"/>
        <v>MAX : 
TARGET : Yes(Pass)
MIN : No(Fail)</v>
      </c>
    </row>
    <row r="1871" spans="2:17" ht="41.4" x14ac:dyDescent="0.3">
      <c r="B1871">
        <v>1</v>
      </c>
      <c r="C1871" s="33">
        <v>7135</v>
      </c>
      <c r="D1871" s="2">
        <v>1866</v>
      </c>
      <c r="E1871" s="2" t="s">
        <v>8875</v>
      </c>
      <c r="F1871" s="3" t="s">
        <v>14207</v>
      </c>
      <c r="H1871" s="3" t="s">
        <v>11</v>
      </c>
      <c r="K1871" s="2">
        <v>10</v>
      </c>
      <c r="L1871" s="2">
        <v>2</v>
      </c>
      <c r="M1871" s="3" t="s">
        <v>786</v>
      </c>
      <c r="N1871" s="3" t="s">
        <v>24</v>
      </c>
      <c r="O1871" s="3" t="s">
        <v>25</v>
      </c>
      <c r="Q1871" s="30" t="str">
        <f t="shared" si="29"/>
        <v>MAX : 
TARGET : Yes (Pass)
MIN : No (Fail)</v>
      </c>
    </row>
    <row r="1872" spans="2:17" ht="41.4" x14ac:dyDescent="0.3">
      <c r="B1872">
        <v>1</v>
      </c>
      <c r="C1872" s="33">
        <v>7135</v>
      </c>
      <c r="D1872" s="2">
        <v>1866</v>
      </c>
      <c r="E1872" s="2" t="s">
        <v>8875</v>
      </c>
      <c r="F1872" s="3" t="s">
        <v>14207</v>
      </c>
      <c r="H1872" s="3" t="s">
        <v>11</v>
      </c>
      <c r="K1872" s="2">
        <v>10</v>
      </c>
      <c r="L1872" s="2">
        <v>1</v>
      </c>
      <c r="M1872" s="3" t="s">
        <v>2102</v>
      </c>
      <c r="N1872" s="3" t="s">
        <v>2103</v>
      </c>
      <c r="O1872" s="3" t="s">
        <v>1065</v>
      </c>
      <c r="P1872" s="3" t="s">
        <v>2104</v>
      </c>
      <c r="Q1872" s="30" t="str">
        <f t="shared" si="29"/>
        <v>MAX : 5.7
TARGET : 5.0
MIN : 4.3</v>
      </c>
    </row>
    <row r="1873" spans="2:18" ht="41.4" x14ac:dyDescent="0.3">
      <c r="B1873">
        <v>0</v>
      </c>
      <c r="C1873" s="33">
        <v>7700</v>
      </c>
      <c r="D1873" s="2">
        <v>1139</v>
      </c>
      <c r="E1873" s="2" t="s">
        <v>9525</v>
      </c>
      <c r="F1873" s="3" t="s">
        <v>14207</v>
      </c>
      <c r="H1873" s="3" t="s">
        <v>417</v>
      </c>
      <c r="K1873" s="2">
        <v>20</v>
      </c>
      <c r="L1873" s="2">
        <v>3</v>
      </c>
      <c r="M1873" s="3" t="s">
        <v>198</v>
      </c>
      <c r="N1873" s="3" t="s">
        <v>2490</v>
      </c>
      <c r="O1873" s="3" t="s">
        <v>2491</v>
      </c>
      <c r="P1873" s="3" t="s">
        <v>2492</v>
      </c>
      <c r="Q1873" s="30" t="str">
        <f t="shared" si="29"/>
        <v>MAX : 57.14
TARGET : 57.04
MIN : 56.94</v>
      </c>
      <c r="R1873" s="3" t="s">
        <v>1638</v>
      </c>
    </row>
    <row r="1874" spans="2:18" ht="41.4" x14ac:dyDescent="0.3">
      <c r="B1874">
        <v>0</v>
      </c>
      <c r="C1874" s="33">
        <v>7700</v>
      </c>
      <c r="D1874" s="2">
        <v>1139</v>
      </c>
      <c r="E1874" s="2" t="s">
        <v>9525</v>
      </c>
      <c r="F1874" s="3" t="s">
        <v>14207</v>
      </c>
      <c r="H1874" s="3" t="s">
        <v>417</v>
      </c>
      <c r="K1874" s="2">
        <v>20</v>
      </c>
      <c r="L1874" s="2">
        <v>4</v>
      </c>
      <c r="M1874" s="3" t="s">
        <v>2493</v>
      </c>
      <c r="N1874" s="3" t="s">
        <v>2494</v>
      </c>
      <c r="O1874" s="3" t="s">
        <v>2495</v>
      </c>
      <c r="P1874" s="3" t="s">
        <v>2496</v>
      </c>
      <c r="Q1874" s="30" t="str">
        <f t="shared" si="29"/>
        <v>MAX : 50.12
TARGET : 49.87
MIN : 49.62</v>
      </c>
      <c r="R1874" s="3" t="s">
        <v>1638</v>
      </c>
    </row>
    <row r="1875" spans="2:18" ht="41.4" x14ac:dyDescent="0.3">
      <c r="B1875">
        <v>0</v>
      </c>
      <c r="C1875" s="33">
        <v>7700</v>
      </c>
      <c r="D1875" s="2">
        <v>1139</v>
      </c>
      <c r="E1875" s="2" t="s">
        <v>9525</v>
      </c>
      <c r="F1875" s="3" t="s">
        <v>14207</v>
      </c>
      <c r="H1875" s="3" t="s">
        <v>417</v>
      </c>
      <c r="K1875" s="2">
        <v>20</v>
      </c>
      <c r="L1875" s="2">
        <v>5</v>
      </c>
      <c r="M1875" s="3" t="s">
        <v>2497</v>
      </c>
      <c r="N1875" s="3" t="s">
        <v>248</v>
      </c>
      <c r="O1875" s="3" t="s">
        <v>475</v>
      </c>
      <c r="P1875" s="3" t="s">
        <v>2498</v>
      </c>
      <c r="Q1875" s="30" t="str">
        <f t="shared" si="29"/>
        <v>MAX : 0.61
TARGET : 0.51
MIN : 0.41</v>
      </c>
      <c r="R1875" s="3" t="s">
        <v>1638</v>
      </c>
    </row>
    <row r="1876" spans="2:18" ht="41.4" x14ac:dyDescent="0.3">
      <c r="B1876">
        <v>0</v>
      </c>
      <c r="C1876" s="33">
        <v>7700</v>
      </c>
      <c r="D1876" s="2">
        <v>1139</v>
      </c>
      <c r="E1876" s="2" t="s">
        <v>9525</v>
      </c>
      <c r="F1876" s="3" t="s">
        <v>14207</v>
      </c>
      <c r="H1876" s="3" t="s">
        <v>417</v>
      </c>
      <c r="K1876" s="2">
        <v>20</v>
      </c>
      <c r="L1876" s="2">
        <v>10</v>
      </c>
      <c r="M1876" s="3" t="s">
        <v>569</v>
      </c>
      <c r="N1876" s="3" t="s">
        <v>2499</v>
      </c>
      <c r="O1876" s="3" t="s">
        <v>2500</v>
      </c>
      <c r="P1876" s="3" t="s">
        <v>2501</v>
      </c>
      <c r="Q1876" s="30" t="str">
        <f t="shared" si="29"/>
        <v>MAX : 67.24
TARGET : 67.04
MIN : 66.84</v>
      </c>
      <c r="R1876" s="3" t="s">
        <v>1638</v>
      </c>
    </row>
    <row r="1877" spans="2:18" ht="41.4" x14ac:dyDescent="0.3">
      <c r="B1877">
        <v>0</v>
      </c>
      <c r="C1877" s="33">
        <v>7700</v>
      </c>
      <c r="D1877" s="2">
        <v>1139</v>
      </c>
      <c r="E1877" s="2" t="s">
        <v>9525</v>
      </c>
      <c r="F1877" s="3" t="s">
        <v>14207</v>
      </c>
      <c r="H1877" s="3" t="s">
        <v>417</v>
      </c>
      <c r="K1877" s="2">
        <v>20</v>
      </c>
      <c r="L1877" s="2">
        <v>11</v>
      </c>
      <c r="M1877" s="3" t="s">
        <v>1072</v>
      </c>
      <c r="N1877" s="3" t="s">
        <v>292</v>
      </c>
      <c r="O1877" s="3" t="s">
        <v>184</v>
      </c>
      <c r="P1877" s="3" t="s">
        <v>199</v>
      </c>
      <c r="Q1877" s="30" t="str">
        <f t="shared" si="29"/>
        <v>MAX : 5.25
TARGET : 5.00
MIN : 4.75</v>
      </c>
      <c r="R1877" s="3" t="s">
        <v>1638</v>
      </c>
    </row>
    <row r="1878" spans="2:18" ht="41.4" x14ac:dyDescent="0.3">
      <c r="B1878">
        <v>0</v>
      </c>
      <c r="C1878" s="33">
        <v>7700</v>
      </c>
      <c r="D1878" s="2">
        <v>1139</v>
      </c>
      <c r="E1878" s="2" t="s">
        <v>9525</v>
      </c>
      <c r="F1878" s="3" t="s">
        <v>14207</v>
      </c>
      <c r="H1878" s="3" t="s">
        <v>417</v>
      </c>
      <c r="K1878" s="2">
        <v>20</v>
      </c>
      <c r="L1878" s="2">
        <v>12</v>
      </c>
      <c r="M1878" s="3" t="s">
        <v>2502</v>
      </c>
      <c r="N1878" s="3" t="s">
        <v>2503</v>
      </c>
      <c r="O1878" s="3" t="s">
        <v>2504</v>
      </c>
      <c r="P1878" s="3" t="s">
        <v>2505</v>
      </c>
      <c r="Q1878" s="30" t="str">
        <f t="shared" si="29"/>
        <v>MAX : 28.73
TARGET : 28.58
MIN : 28.43</v>
      </c>
      <c r="R1878" s="3" t="s">
        <v>1638</v>
      </c>
    </row>
    <row r="1879" spans="2:18" ht="41.4" x14ac:dyDescent="0.3">
      <c r="B1879">
        <v>1</v>
      </c>
      <c r="C1879" s="33">
        <v>7145</v>
      </c>
      <c r="D1879" s="2">
        <v>1084</v>
      </c>
      <c r="E1879" s="2" t="s">
        <v>8881</v>
      </c>
      <c r="F1879" s="3" t="s">
        <v>14206</v>
      </c>
      <c r="H1879" s="3" t="s">
        <v>504</v>
      </c>
      <c r="K1879" s="2">
        <v>10</v>
      </c>
      <c r="L1879" s="2">
        <v>2</v>
      </c>
      <c r="M1879" s="3" t="s">
        <v>198</v>
      </c>
      <c r="N1879" s="3" t="s">
        <v>2106</v>
      </c>
      <c r="O1879" s="3" t="s">
        <v>790</v>
      </c>
      <c r="P1879" s="3" t="s">
        <v>2107</v>
      </c>
      <c r="Q1879" s="30" t="str">
        <f t="shared" si="29"/>
        <v>MAX : 2.28
TARGET : 2.25
MIN : 2.22</v>
      </c>
    </row>
    <row r="1880" spans="2:18" ht="41.4" x14ac:dyDescent="0.3">
      <c r="B1880">
        <v>0</v>
      </c>
      <c r="C1880" s="33">
        <v>6978</v>
      </c>
      <c r="D1880" s="2">
        <v>1071</v>
      </c>
      <c r="E1880" s="2" t="s">
        <v>8689</v>
      </c>
      <c r="F1880" s="3" t="s">
        <v>14206</v>
      </c>
      <c r="H1880" s="3" t="s">
        <v>846</v>
      </c>
      <c r="K1880" s="2">
        <v>10</v>
      </c>
      <c r="L1880" s="2">
        <v>4</v>
      </c>
      <c r="M1880" s="3" t="s">
        <v>3346</v>
      </c>
      <c r="N1880" s="3" t="s">
        <v>3347</v>
      </c>
      <c r="O1880" s="3" t="s">
        <v>3348</v>
      </c>
      <c r="P1880" s="3" t="s">
        <v>3349</v>
      </c>
      <c r="Q1880" s="30" t="str">
        <f t="shared" si="29"/>
        <v>MAX : 1180
TARGET : 1080
MIN : 980</v>
      </c>
    </row>
    <row r="1881" spans="2:18" ht="41.4" x14ac:dyDescent="0.3">
      <c r="B1881">
        <v>0</v>
      </c>
      <c r="C1881" s="33">
        <v>6978</v>
      </c>
      <c r="D1881" s="2">
        <v>1071</v>
      </c>
      <c r="E1881" s="2" t="s">
        <v>8689</v>
      </c>
      <c r="F1881" s="3" t="s">
        <v>14206</v>
      </c>
      <c r="H1881" s="3" t="s">
        <v>846</v>
      </c>
      <c r="K1881" s="2">
        <v>10</v>
      </c>
      <c r="L1881" s="2">
        <v>7</v>
      </c>
      <c r="M1881" s="3" t="s">
        <v>3983</v>
      </c>
      <c r="N1881" s="3" t="s">
        <v>13</v>
      </c>
      <c r="O1881" s="3" t="s">
        <v>14</v>
      </c>
      <c r="Q1881" s="30" t="str">
        <f t="shared" si="29"/>
        <v>MAX : 
TARGET : Yes(Pass)
MIN : No(Fail)</v>
      </c>
    </row>
    <row r="1882" spans="2:18" ht="41.4" x14ac:dyDescent="0.3">
      <c r="B1882">
        <v>1</v>
      </c>
      <c r="C1882" s="33">
        <v>7145</v>
      </c>
      <c r="D1882" s="2">
        <v>1084</v>
      </c>
      <c r="E1882" s="2" t="s">
        <v>8881</v>
      </c>
      <c r="F1882" s="3" t="s">
        <v>14206</v>
      </c>
      <c r="H1882" s="3" t="s">
        <v>504</v>
      </c>
      <c r="K1882" s="2">
        <v>10</v>
      </c>
      <c r="L1882" s="2">
        <v>1</v>
      </c>
      <c r="M1882" s="3" t="s">
        <v>194</v>
      </c>
      <c r="N1882" s="3" t="s">
        <v>459</v>
      </c>
      <c r="O1882" s="3" t="s">
        <v>406</v>
      </c>
      <c r="P1882" s="3" t="s">
        <v>460</v>
      </c>
      <c r="Q1882" s="30" t="str">
        <f t="shared" si="29"/>
        <v>MAX : 2.03
TARGET : 2.00
MIN : 1.97</v>
      </c>
    </row>
    <row r="1883" spans="2:18" ht="41.4" x14ac:dyDescent="0.3">
      <c r="B1883">
        <v>1</v>
      </c>
      <c r="C1883" s="33">
        <v>7158</v>
      </c>
      <c r="D1883" s="2">
        <v>1085</v>
      </c>
      <c r="E1883" s="2" t="s">
        <v>8888</v>
      </c>
      <c r="F1883" s="3" t="s">
        <v>14206</v>
      </c>
      <c r="H1883" s="3" t="s">
        <v>469</v>
      </c>
      <c r="K1883" s="2">
        <v>20</v>
      </c>
      <c r="L1883" s="2">
        <v>1</v>
      </c>
      <c r="M1883" s="3" t="s">
        <v>198</v>
      </c>
      <c r="N1883" s="3" t="s">
        <v>485</v>
      </c>
      <c r="O1883" s="3" t="s">
        <v>272</v>
      </c>
      <c r="P1883" s="3" t="s">
        <v>507</v>
      </c>
      <c r="Q1883" s="30" t="str">
        <f t="shared" si="29"/>
        <v>MAX : 1.06
TARGET : 1.00
MIN : 0.94</v>
      </c>
    </row>
    <row r="1884" spans="2:18" ht="41.4" x14ac:dyDescent="0.3">
      <c r="B1884">
        <v>1</v>
      </c>
      <c r="C1884" s="33">
        <v>7158</v>
      </c>
      <c r="D1884" s="2">
        <v>1085</v>
      </c>
      <c r="E1884" s="2" t="s">
        <v>8888</v>
      </c>
      <c r="F1884" s="3" t="s">
        <v>14206</v>
      </c>
      <c r="H1884" s="3" t="s">
        <v>469</v>
      </c>
      <c r="K1884" s="2">
        <v>30</v>
      </c>
      <c r="L1884" s="2">
        <v>1</v>
      </c>
      <c r="M1884" s="3" t="s">
        <v>194</v>
      </c>
      <c r="N1884" s="3" t="s">
        <v>979</v>
      </c>
      <c r="O1884" s="3" t="s">
        <v>309</v>
      </c>
      <c r="P1884" s="3" t="s">
        <v>1531</v>
      </c>
      <c r="Q1884" s="30" t="str">
        <f t="shared" si="29"/>
        <v>MAX : 0.56
TARGET : 0.50
MIN : 0.44</v>
      </c>
    </row>
    <row r="1885" spans="2:18" ht="41.4" x14ac:dyDescent="0.3">
      <c r="B1885">
        <v>0</v>
      </c>
      <c r="C1885" s="33">
        <v>7737</v>
      </c>
      <c r="D1885" s="2">
        <v>1909</v>
      </c>
      <c r="E1885" s="2" t="s">
        <v>9554</v>
      </c>
      <c r="F1885" s="3" t="s">
        <v>14223</v>
      </c>
      <c r="H1885" s="3" t="s">
        <v>193</v>
      </c>
      <c r="K1885" s="2">
        <v>10</v>
      </c>
      <c r="L1885" s="2">
        <v>4</v>
      </c>
      <c r="M1885" s="3" t="s">
        <v>624</v>
      </c>
      <c r="N1885" s="3" t="s">
        <v>459</v>
      </c>
      <c r="O1885" s="3" t="s">
        <v>406</v>
      </c>
      <c r="P1885" s="3" t="s">
        <v>460</v>
      </c>
      <c r="Q1885" s="30" t="str">
        <f t="shared" si="29"/>
        <v>MAX : 2.03
TARGET : 2.00
MIN : 1.97</v>
      </c>
    </row>
    <row r="1886" spans="2:18" ht="41.4" x14ac:dyDescent="0.3">
      <c r="B1886">
        <v>0</v>
      </c>
      <c r="C1886" s="33">
        <v>7737</v>
      </c>
      <c r="D1886" s="2">
        <v>1909</v>
      </c>
      <c r="E1886" s="2" t="s">
        <v>9554</v>
      </c>
      <c r="F1886" s="3" t="s">
        <v>14223</v>
      </c>
      <c r="H1886" s="3" t="s">
        <v>193</v>
      </c>
      <c r="K1886" s="2">
        <v>10</v>
      </c>
      <c r="L1886" s="2">
        <v>5</v>
      </c>
      <c r="M1886" s="3" t="s">
        <v>2511</v>
      </c>
      <c r="N1886" s="3" t="s">
        <v>2234</v>
      </c>
      <c r="O1886" s="3" t="s">
        <v>790</v>
      </c>
      <c r="P1886" s="3" t="s">
        <v>2097</v>
      </c>
      <c r="Q1886" s="30" t="str">
        <f t="shared" si="29"/>
        <v>MAX : 2.38
TARGET : 2.25
MIN : 2.12</v>
      </c>
    </row>
    <row r="1887" spans="2:18" ht="41.4" x14ac:dyDescent="0.3">
      <c r="B1887">
        <v>1</v>
      </c>
      <c r="C1887" s="33">
        <v>7170</v>
      </c>
      <c r="D1887" s="2">
        <v>1867</v>
      </c>
      <c r="E1887" s="2" t="s">
        <v>8903</v>
      </c>
      <c r="F1887" s="3" t="s">
        <v>14207</v>
      </c>
      <c r="H1887" s="3" t="s">
        <v>66</v>
      </c>
      <c r="K1887" s="2">
        <v>10</v>
      </c>
      <c r="L1887" s="2">
        <v>2</v>
      </c>
      <c r="M1887" s="3" t="s">
        <v>70</v>
      </c>
      <c r="N1887" s="3" t="s">
        <v>67</v>
      </c>
      <c r="O1887" s="3" t="s">
        <v>68</v>
      </c>
      <c r="P1887" s="3" t="s">
        <v>69</v>
      </c>
      <c r="Q1887" s="30" t="str">
        <f t="shared" si="29"/>
        <v>MAX : 20
TARGET : 19
MIN : 18</v>
      </c>
    </row>
    <row r="1888" spans="2:18" ht="41.4" x14ac:dyDescent="0.3">
      <c r="B1888">
        <v>1</v>
      </c>
      <c r="C1888" s="33">
        <v>7170</v>
      </c>
      <c r="D1888" s="2">
        <v>1867</v>
      </c>
      <c r="E1888" s="2" t="s">
        <v>8903</v>
      </c>
      <c r="F1888" s="3" t="s">
        <v>14207</v>
      </c>
      <c r="H1888" s="3" t="s">
        <v>66</v>
      </c>
      <c r="K1888" s="2">
        <v>10</v>
      </c>
      <c r="L1888" s="2">
        <v>1</v>
      </c>
      <c r="M1888" s="3" t="s">
        <v>18</v>
      </c>
      <c r="N1888" s="3" t="s">
        <v>67</v>
      </c>
      <c r="O1888" s="3" t="s">
        <v>68</v>
      </c>
      <c r="P1888" s="3" t="s">
        <v>69</v>
      </c>
      <c r="Q1888" s="30" t="str">
        <f t="shared" si="29"/>
        <v>MAX : 20
TARGET : 19
MIN : 18</v>
      </c>
    </row>
    <row r="1889" spans="2:17" ht="41.4" x14ac:dyDescent="0.3">
      <c r="B1889">
        <v>1</v>
      </c>
      <c r="C1889" s="33">
        <v>7174</v>
      </c>
      <c r="D1889" s="2">
        <v>1868</v>
      </c>
      <c r="E1889" s="2" t="s">
        <v>8911</v>
      </c>
      <c r="F1889" s="3" t="s">
        <v>14206</v>
      </c>
      <c r="H1889" s="3" t="s">
        <v>568</v>
      </c>
      <c r="K1889" s="2">
        <v>10</v>
      </c>
      <c r="L1889" s="2">
        <v>2</v>
      </c>
      <c r="M1889" s="3" t="s">
        <v>198</v>
      </c>
      <c r="N1889" s="3" t="s">
        <v>75</v>
      </c>
      <c r="O1889" s="3" t="s">
        <v>76</v>
      </c>
      <c r="P1889" s="3" t="s">
        <v>77</v>
      </c>
      <c r="Q1889" s="30" t="str">
        <f t="shared" si="29"/>
        <v>MAX : 2.53
TARGET : 2.50
MIN : 2.47</v>
      </c>
    </row>
    <row r="1890" spans="2:17" ht="41.4" x14ac:dyDescent="0.3">
      <c r="B1890">
        <v>1</v>
      </c>
      <c r="C1890" s="33">
        <v>7174</v>
      </c>
      <c r="D1890" s="2">
        <v>1868</v>
      </c>
      <c r="E1890" s="2" t="s">
        <v>8911</v>
      </c>
      <c r="F1890" s="3" t="s">
        <v>14206</v>
      </c>
      <c r="H1890" s="3" t="s">
        <v>568</v>
      </c>
      <c r="K1890" s="2">
        <v>10</v>
      </c>
      <c r="L1890" s="2">
        <v>1</v>
      </c>
      <c r="M1890" s="3" t="s">
        <v>194</v>
      </c>
      <c r="N1890" s="3" t="s">
        <v>308</v>
      </c>
      <c r="O1890" s="3" t="s">
        <v>309</v>
      </c>
      <c r="P1890" s="3" t="s">
        <v>310</v>
      </c>
      <c r="Q1890" s="30" t="str">
        <f t="shared" si="29"/>
        <v>MAX : 0.53
TARGET : 0.50
MIN : 0.47</v>
      </c>
    </row>
    <row r="1891" spans="2:17" ht="41.4" x14ac:dyDescent="0.3">
      <c r="B1891">
        <v>1</v>
      </c>
      <c r="C1891" s="33">
        <v>7180</v>
      </c>
      <c r="D1891" s="2">
        <v>1087</v>
      </c>
      <c r="E1891" s="2" t="s">
        <v>8918</v>
      </c>
      <c r="F1891" s="29" t="s">
        <v>14222</v>
      </c>
      <c r="H1891" s="3" t="s">
        <v>2113</v>
      </c>
      <c r="K1891" s="2">
        <v>30</v>
      </c>
      <c r="L1891" s="2">
        <v>2</v>
      </c>
      <c r="M1891" s="3" t="s">
        <v>198</v>
      </c>
      <c r="N1891" s="3" t="s">
        <v>641</v>
      </c>
      <c r="O1891" s="3" t="s">
        <v>101</v>
      </c>
      <c r="P1891" s="3" t="s">
        <v>642</v>
      </c>
      <c r="Q1891" s="30" t="str">
        <f t="shared" si="29"/>
        <v>MAX : 0.655
TARGET : 0.625
MIN : 0.595</v>
      </c>
    </row>
    <row r="1892" spans="2:17" ht="41.4" x14ac:dyDescent="0.3">
      <c r="B1892">
        <v>1</v>
      </c>
      <c r="C1892" s="33">
        <v>7180</v>
      </c>
      <c r="D1892" s="2">
        <v>1087</v>
      </c>
      <c r="E1892" s="2" t="s">
        <v>8918</v>
      </c>
      <c r="F1892" s="29" t="s">
        <v>14222</v>
      </c>
      <c r="H1892" s="3" t="s">
        <v>2113</v>
      </c>
      <c r="K1892" s="2">
        <v>30</v>
      </c>
      <c r="L1892" s="2">
        <v>1</v>
      </c>
      <c r="M1892" s="3" t="s">
        <v>194</v>
      </c>
      <c r="N1892" s="3" t="s">
        <v>485</v>
      </c>
      <c r="O1892" s="3" t="s">
        <v>272</v>
      </c>
      <c r="P1892" s="3" t="s">
        <v>507</v>
      </c>
      <c r="Q1892" s="30" t="str">
        <f t="shared" si="29"/>
        <v>MAX : 1.06
TARGET : 1.00
MIN : 0.94</v>
      </c>
    </row>
    <row r="1893" spans="2:17" ht="41.4" x14ac:dyDescent="0.3">
      <c r="B1893">
        <v>1</v>
      </c>
      <c r="C1893" s="33">
        <v>7180</v>
      </c>
      <c r="D1893" s="2">
        <v>1087</v>
      </c>
      <c r="E1893" s="2" t="s">
        <v>8918</v>
      </c>
      <c r="F1893" s="29" t="s">
        <v>14222</v>
      </c>
      <c r="H1893" s="3" t="s">
        <v>2113</v>
      </c>
      <c r="K1893" s="2">
        <v>30</v>
      </c>
      <c r="L1893" s="2">
        <v>5</v>
      </c>
      <c r="M1893" s="3" t="s">
        <v>2506</v>
      </c>
      <c r="N1893" s="3" t="s">
        <v>24</v>
      </c>
      <c r="O1893" s="3" t="s">
        <v>25</v>
      </c>
      <c r="P1893" s="3" t="s">
        <v>2507</v>
      </c>
      <c r="Q1893" s="30" t="str">
        <f t="shared" si="29"/>
        <v>MAX : 4 Lanes
TARGET : Yes (Pass)
MIN : No (Fail)</v>
      </c>
    </row>
    <row r="1894" spans="2:17" ht="41.4" x14ac:dyDescent="0.3">
      <c r="B1894">
        <v>1</v>
      </c>
      <c r="C1894" s="33">
        <v>7180</v>
      </c>
      <c r="D1894" s="2">
        <v>1087</v>
      </c>
      <c r="E1894" s="2" t="s">
        <v>8918</v>
      </c>
      <c r="F1894" s="29" t="s">
        <v>14222</v>
      </c>
      <c r="H1894" s="3" t="s">
        <v>2113</v>
      </c>
      <c r="K1894" s="2">
        <v>30</v>
      </c>
      <c r="L1894" s="2">
        <v>8</v>
      </c>
      <c r="M1894" s="3" t="s">
        <v>3296</v>
      </c>
      <c r="Q1894" s="30" t="str">
        <f t="shared" si="29"/>
        <v xml:space="preserve">MAX : 
TARGET : 
MIN : </v>
      </c>
    </row>
    <row r="1895" spans="2:17" ht="41.4" x14ac:dyDescent="0.3">
      <c r="B1895">
        <v>1</v>
      </c>
      <c r="C1895" s="33">
        <v>7180</v>
      </c>
      <c r="D1895" s="2">
        <v>1087</v>
      </c>
      <c r="E1895" s="2" t="s">
        <v>8918</v>
      </c>
      <c r="F1895" s="29" t="s">
        <v>14222</v>
      </c>
      <c r="H1895" s="3" t="s">
        <v>2113</v>
      </c>
      <c r="K1895" s="2">
        <v>30</v>
      </c>
      <c r="L1895" s="2">
        <v>7</v>
      </c>
      <c r="M1895" s="3" t="s">
        <v>4032</v>
      </c>
      <c r="Q1895" s="30" t="str">
        <f t="shared" si="29"/>
        <v xml:space="preserve">MAX : 
TARGET : 
MIN : </v>
      </c>
    </row>
    <row r="1896" spans="2:17" ht="41.4" x14ac:dyDescent="0.3">
      <c r="B1896">
        <v>0</v>
      </c>
      <c r="C1896" s="33">
        <v>7728</v>
      </c>
      <c r="D1896" s="2">
        <v>1142</v>
      </c>
      <c r="E1896" s="2" t="s">
        <v>9546</v>
      </c>
      <c r="F1896" s="3" t="s">
        <v>14206</v>
      </c>
      <c r="H1896" s="3" t="s">
        <v>2520</v>
      </c>
      <c r="K1896" s="2">
        <v>10</v>
      </c>
      <c r="L1896" s="2">
        <v>4</v>
      </c>
      <c r="M1896" s="3" t="s">
        <v>569</v>
      </c>
      <c r="N1896" s="3" t="s">
        <v>1781</v>
      </c>
      <c r="O1896" s="3" t="s">
        <v>272</v>
      </c>
      <c r="P1896" s="3" t="s">
        <v>1782</v>
      </c>
      <c r="Q1896" s="30" t="str">
        <f t="shared" si="29"/>
        <v>MAX : 1.02
TARGET : 1.00
MIN : 0.98</v>
      </c>
    </row>
    <row r="1897" spans="2:17" ht="41.4" x14ac:dyDescent="0.3">
      <c r="B1897">
        <v>0</v>
      </c>
      <c r="C1897" s="33">
        <v>7728</v>
      </c>
      <c r="D1897" s="2">
        <v>1142</v>
      </c>
      <c r="E1897" s="2" t="s">
        <v>9546</v>
      </c>
      <c r="F1897" s="3" t="s">
        <v>14206</v>
      </c>
      <c r="H1897" s="3" t="s">
        <v>2520</v>
      </c>
      <c r="K1897" s="2">
        <v>10</v>
      </c>
      <c r="L1897" s="2">
        <v>5</v>
      </c>
      <c r="M1897" s="3" t="s">
        <v>1072</v>
      </c>
      <c r="N1897" s="3" t="s">
        <v>2522</v>
      </c>
      <c r="O1897" s="3" t="s">
        <v>284</v>
      </c>
      <c r="P1897" s="3" t="s">
        <v>2523</v>
      </c>
      <c r="Q1897" s="30" t="str">
        <f t="shared" si="29"/>
        <v>MAX : 0.208
TARGET : 0.188
MIN : 0.168</v>
      </c>
    </row>
    <row r="1898" spans="2:17" ht="41.4" x14ac:dyDescent="0.3">
      <c r="B1898">
        <v>0</v>
      </c>
      <c r="C1898" s="33">
        <v>7728</v>
      </c>
      <c r="D1898" s="2">
        <v>1142</v>
      </c>
      <c r="E1898" s="2" t="s">
        <v>9546</v>
      </c>
      <c r="F1898" s="3" t="s">
        <v>14206</v>
      </c>
      <c r="H1898" s="3" t="s">
        <v>2520</v>
      </c>
      <c r="K1898" s="2">
        <v>10</v>
      </c>
      <c r="L1898" s="2">
        <v>8</v>
      </c>
      <c r="M1898" s="3" t="s">
        <v>78</v>
      </c>
      <c r="N1898" s="3" t="s">
        <v>13</v>
      </c>
      <c r="O1898" s="3" t="s">
        <v>14</v>
      </c>
      <c r="Q1898" s="30" t="str">
        <f t="shared" si="29"/>
        <v>MAX : 
TARGET : Yes(Pass)
MIN : No(Fail)</v>
      </c>
    </row>
    <row r="1899" spans="2:17" ht="41.4" x14ac:dyDescent="0.3">
      <c r="B1899">
        <v>1</v>
      </c>
      <c r="C1899" s="33">
        <v>7180</v>
      </c>
      <c r="D1899" s="2">
        <v>1087</v>
      </c>
      <c r="E1899" s="2" t="s">
        <v>8918</v>
      </c>
      <c r="F1899" s="29" t="s">
        <v>14222</v>
      </c>
      <c r="H1899" s="3" t="s">
        <v>2113</v>
      </c>
      <c r="K1899" s="2">
        <v>30</v>
      </c>
      <c r="L1899" s="2">
        <v>6</v>
      </c>
      <c r="M1899" s="3" t="s">
        <v>4055</v>
      </c>
      <c r="N1899" s="3" t="s">
        <v>24</v>
      </c>
      <c r="O1899" s="3" t="s">
        <v>25</v>
      </c>
      <c r="Q1899" s="30" t="str">
        <f t="shared" si="29"/>
        <v>MAX : 
TARGET : Yes (Pass)
MIN : No (Fail)</v>
      </c>
    </row>
    <row r="1900" spans="2:17" ht="41.4" x14ac:dyDescent="0.3">
      <c r="B1900">
        <v>1</v>
      </c>
      <c r="C1900" s="33">
        <v>7183</v>
      </c>
      <c r="D1900" s="2">
        <v>1869</v>
      </c>
      <c r="E1900" s="2" t="s">
        <v>8926</v>
      </c>
      <c r="F1900" s="3" t="s">
        <v>14206</v>
      </c>
      <c r="H1900" s="3" t="s">
        <v>568</v>
      </c>
      <c r="K1900" s="2">
        <v>10</v>
      </c>
      <c r="L1900" s="2">
        <v>2</v>
      </c>
      <c r="M1900" s="3" t="s">
        <v>325</v>
      </c>
      <c r="N1900" s="3" t="s">
        <v>13</v>
      </c>
      <c r="O1900" s="3" t="s">
        <v>14</v>
      </c>
      <c r="Q1900" s="30" t="str">
        <f t="shared" si="29"/>
        <v>MAX : 
TARGET : Yes(Pass)
MIN : No(Fail)</v>
      </c>
    </row>
    <row r="1901" spans="2:17" ht="41.4" x14ac:dyDescent="0.3">
      <c r="B1901">
        <v>1</v>
      </c>
      <c r="C1901" s="33">
        <v>7183</v>
      </c>
      <c r="D1901" s="2">
        <v>1869</v>
      </c>
      <c r="E1901" s="2" t="s">
        <v>8926</v>
      </c>
      <c r="F1901" s="3" t="s">
        <v>14206</v>
      </c>
      <c r="H1901" s="3" t="s">
        <v>568</v>
      </c>
      <c r="K1901" s="2">
        <v>10</v>
      </c>
      <c r="L1901" s="2">
        <v>1</v>
      </c>
      <c r="M1901" s="3" t="s">
        <v>458</v>
      </c>
      <c r="N1901" s="3" t="s">
        <v>308</v>
      </c>
      <c r="O1901" s="3" t="s">
        <v>309</v>
      </c>
      <c r="P1901" s="3" t="s">
        <v>310</v>
      </c>
      <c r="Q1901" s="30" t="str">
        <f t="shared" si="29"/>
        <v>MAX : 0.53
TARGET : 0.50
MIN : 0.47</v>
      </c>
    </row>
    <row r="1902" spans="2:17" ht="41.4" x14ac:dyDescent="0.3">
      <c r="B1902">
        <v>1</v>
      </c>
      <c r="C1902" s="33">
        <v>7194</v>
      </c>
      <c r="D1902" s="2">
        <v>1089</v>
      </c>
      <c r="E1902" s="2" t="s">
        <v>8939</v>
      </c>
      <c r="F1902" s="3" t="s">
        <v>14207</v>
      </c>
      <c r="H1902" s="3" t="s">
        <v>426</v>
      </c>
      <c r="K1902" s="2">
        <v>20</v>
      </c>
      <c r="L1902" s="2">
        <v>2</v>
      </c>
      <c r="M1902" s="3" t="s">
        <v>198</v>
      </c>
      <c r="N1902" s="3" t="s">
        <v>2123</v>
      </c>
      <c r="O1902" s="3" t="s">
        <v>2124</v>
      </c>
      <c r="P1902" s="3" t="s">
        <v>2125</v>
      </c>
      <c r="Q1902" s="30" t="str">
        <f t="shared" si="29"/>
        <v>MAX : 74.8
TARGET : 73.8
MIN : 72.8</v>
      </c>
    </row>
    <row r="1903" spans="2:17" ht="41.4" x14ac:dyDescent="0.3">
      <c r="B1903">
        <v>0</v>
      </c>
      <c r="C1903" s="33">
        <v>7746</v>
      </c>
      <c r="D1903" s="2">
        <v>1145</v>
      </c>
      <c r="E1903" s="2" t="s">
        <v>9574</v>
      </c>
      <c r="F1903" s="3" t="s">
        <v>14206</v>
      </c>
      <c r="H1903" s="3" t="s">
        <v>469</v>
      </c>
      <c r="K1903" s="2">
        <v>20</v>
      </c>
      <c r="L1903" s="2">
        <v>3</v>
      </c>
      <c r="M1903" s="3" t="s">
        <v>422</v>
      </c>
      <c r="N1903" s="3" t="s">
        <v>1521</v>
      </c>
      <c r="O1903" s="3" t="s">
        <v>2531</v>
      </c>
      <c r="P1903" s="3" t="s">
        <v>689</v>
      </c>
      <c r="Q1903" s="30" t="str">
        <f t="shared" si="29"/>
        <v>MAX : 0.30
TARGET : 0.27
MIN : 0.24</v>
      </c>
    </row>
    <row r="1904" spans="2:17" ht="41.4" x14ac:dyDescent="0.3">
      <c r="B1904">
        <v>0</v>
      </c>
      <c r="C1904" s="33">
        <v>7746</v>
      </c>
      <c r="D1904" s="2">
        <v>1145</v>
      </c>
      <c r="E1904" s="2" t="s">
        <v>9574</v>
      </c>
      <c r="F1904" s="3" t="s">
        <v>14206</v>
      </c>
      <c r="H1904" s="3" t="s">
        <v>469</v>
      </c>
      <c r="K1904" s="2">
        <v>20</v>
      </c>
      <c r="L1904" s="2">
        <v>4</v>
      </c>
      <c r="M1904" s="3" t="s">
        <v>1605</v>
      </c>
      <c r="N1904" s="3" t="s">
        <v>13</v>
      </c>
      <c r="O1904" s="3" t="s">
        <v>14</v>
      </c>
      <c r="Q1904" s="30" t="str">
        <f t="shared" si="29"/>
        <v>MAX : 
TARGET : Yes(Pass)
MIN : No(Fail)</v>
      </c>
    </row>
    <row r="1905" spans="2:18" ht="41.4" x14ac:dyDescent="0.3">
      <c r="B1905">
        <v>0</v>
      </c>
      <c r="C1905" s="33">
        <v>7746</v>
      </c>
      <c r="D1905" s="2">
        <v>1145</v>
      </c>
      <c r="E1905" s="2" t="s">
        <v>9574</v>
      </c>
      <c r="F1905" s="3" t="s">
        <v>14206</v>
      </c>
      <c r="H1905" s="3" t="s">
        <v>469</v>
      </c>
      <c r="K1905" s="2">
        <v>20</v>
      </c>
      <c r="L1905" s="2">
        <v>5</v>
      </c>
      <c r="M1905" s="3" t="s">
        <v>2532</v>
      </c>
      <c r="N1905" s="3" t="s">
        <v>13</v>
      </c>
      <c r="O1905" s="3" t="s">
        <v>14</v>
      </c>
      <c r="Q1905" s="30" t="str">
        <f t="shared" si="29"/>
        <v>MAX : 
TARGET : Yes(Pass)
MIN : No(Fail)</v>
      </c>
    </row>
    <row r="1906" spans="2:18" ht="41.4" x14ac:dyDescent="0.3">
      <c r="B1906">
        <v>1</v>
      </c>
      <c r="C1906" s="33">
        <v>7194</v>
      </c>
      <c r="D1906" s="2">
        <v>1089</v>
      </c>
      <c r="E1906" s="2" t="s">
        <v>8939</v>
      </c>
      <c r="F1906" s="3" t="s">
        <v>14207</v>
      </c>
      <c r="H1906" s="3" t="s">
        <v>426</v>
      </c>
      <c r="K1906" s="2">
        <v>20</v>
      </c>
      <c r="L1906" s="2">
        <v>1</v>
      </c>
      <c r="M1906" s="3" t="s">
        <v>194</v>
      </c>
      <c r="N1906" s="3" t="s">
        <v>1547</v>
      </c>
      <c r="O1906" s="3" t="s">
        <v>2121</v>
      </c>
      <c r="P1906" s="3" t="s">
        <v>2122</v>
      </c>
      <c r="Q1906" s="30" t="str">
        <f t="shared" si="29"/>
        <v>MAX : 68.5
TARGET : 67.5
MIN : 66.5</v>
      </c>
    </row>
    <row r="1907" spans="2:18" ht="41.4" x14ac:dyDescent="0.3">
      <c r="B1907">
        <v>1</v>
      </c>
      <c r="C1907" s="33">
        <v>7195</v>
      </c>
      <c r="D1907" s="2">
        <v>1090</v>
      </c>
      <c r="E1907" s="2" t="s">
        <v>8946</v>
      </c>
      <c r="F1907" s="3" t="s">
        <v>14207</v>
      </c>
      <c r="H1907" s="3" t="s">
        <v>426</v>
      </c>
      <c r="K1907" s="2">
        <v>20</v>
      </c>
      <c r="L1907" s="2">
        <v>1</v>
      </c>
      <c r="M1907" s="3" t="s">
        <v>194</v>
      </c>
      <c r="N1907" s="3" t="s">
        <v>2127</v>
      </c>
      <c r="O1907" s="3" t="s">
        <v>2128</v>
      </c>
      <c r="P1907" s="3" t="s">
        <v>2129</v>
      </c>
      <c r="Q1907" s="30" t="str">
        <f t="shared" si="29"/>
        <v>MAX : 65.5
TARGET : 64.5
MIN : 63.5</v>
      </c>
    </row>
    <row r="1908" spans="2:18" ht="41.4" x14ac:dyDescent="0.3">
      <c r="B1908">
        <v>0</v>
      </c>
      <c r="C1908" s="33">
        <v>7747</v>
      </c>
      <c r="D1908" s="2">
        <v>1146</v>
      </c>
      <c r="E1908" s="2" t="s">
        <v>9581</v>
      </c>
      <c r="F1908" s="3" t="s">
        <v>14206</v>
      </c>
      <c r="H1908" s="3" t="s">
        <v>469</v>
      </c>
      <c r="K1908" s="2">
        <v>20</v>
      </c>
      <c r="L1908" s="2">
        <v>4</v>
      </c>
      <c r="M1908" s="3" t="s">
        <v>1605</v>
      </c>
      <c r="N1908" s="3" t="s">
        <v>13</v>
      </c>
      <c r="O1908" s="3" t="s">
        <v>14</v>
      </c>
      <c r="Q1908" s="30" t="str">
        <f t="shared" si="29"/>
        <v>MAX : 
TARGET : Yes(Pass)
MIN : No(Fail)</v>
      </c>
    </row>
    <row r="1909" spans="2:18" ht="41.4" x14ac:dyDescent="0.3">
      <c r="B1909">
        <v>0</v>
      </c>
      <c r="C1909" s="33">
        <v>7747</v>
      </c>
      <c r="D1909" s="2">
        <v>1146</v>
      </c>
      <c r="E1909" s="2" t="s">
        <v>9581</v>
      </c>
      <c r="F1909" s="3" t="s">
        <v>14206</v>
      </c>
      <c r="H1909" s="3" t="s">
        <v>469</v>
      </c>
      <c r="K1909" s="2">
        <v>20</v>
      </c>
      <c r="L1909" s="2">
        <v>5</v>
      </c>
      <c r="M1909" s="3" t="s">
        <v>2532</v>
      </c>
      <c r="N1909" s="3" t="s">
        <v>13</v>
      </c>
      <c r="O1909" s="3" t="s">
        <v>14</v>
      </c>
      <c r="Q1909" s="30" t="str">
        <f t="shared" si="29"/>
        <v>MAX : 
TARGET : Yes(Pass)
MIN : No(Fail)</v>
      </c>
    </row>
    <row r="1910" spans="2:18" ht="41.4" x14ac:dyDescent="0.3">
      <c r="B1910">
        <v>0</v>
      </c>
      <c r="C1910" s="33">
        <v>7747</v>
      </c>
      <c r="D1910" s="2">
        <v>1146</v>
      </c>
      <c r="E1910" s="2" t="s">
        <v>9581</v>
      </c>
      <c r="F1910" s="3" t="s">
        <v>14206</v>
      </c>
      <c r="H1910" s="3" t="s">
        <v>469</v>
      </c>
      <c r="K1910" s="2">
        <v>20</v>
      </c>
      <c r="L1910" s="2">
        <v>2</v>
      </c>
      <c r="M1910" s="3" t="s">
        <v>2536</v>
      </c>
      <c r="N1910" s="3" t="s">
        <v>2537</v>
      </c>
      <c r="O1910" s="3" t="s">
        <v>2538</v>
      </c>
      <c r="P1910" s="3" t="s">
        <v>2539</v>
      </c>
      <c r="Q1910" s="30" t="str">
        <f t="shared" si="29"/>
        <v>MAX : 1.92
TARGET : 1.89
MIN : 1.86</v>
      </c>
    </row>
    <row r="1911" spans="2:18" ht="41.4" x14ac:dyDescent="0.3">
      <c r="B1911">
        <v>1</v>
      </c>
      <c r="C1911" s="33">
        <v>7195</v>
      </c>
      <c r="D1911" s="2">
        <v>1090</v>
      </c>
      <c r="E1911" s="2" t="s">
        <v>8946</v>
      </c>
      <c r="F1911" s="3" t="s">
        <v>14207</v>
      </c>
      <c r="H1911" s="3" t="s">
        <v>426</v>
      </c>
      <c r="K1911" s="2">
        <v>20</v>
      </c>
      <c r="L1911" s="2">
        <v>4</v>
      </c>
      <c r="M1911" s="3" t="s">
        <v>2126</v>
      </c>
      <c r="N1911" s="3" t="s">
        <v>13</v>
      </c>
      <c r="O1911" s="3" t="s">
        <v>14</v>
      </c>
      <c r="Q1911" s="30" t="str">
        <f t="shared" si="29"/>
        <v>MAX : 
TARGET : Yes(Pass)
MIN : No(Fail)</v>
      </c>
    </row>
    <row r="1912" spans="2:18" ht="41.4" x14ac:dyDescent="0.3">
      <c r="B1912">
        <v>1</v>
      </c>
      <c r="C1912" s="33">
        <v>7196</v>
      </c>
      <c r="D1912" s="2">
        <v>1091</v>
      </c>
      <c r="E1912" s="2" t="s">
        <v>8952</v>
      </c>
      <c r="F1912" s="3" t="s">
        <v>14206</v>
      </c>
      <c r="H1912" s="3" t="s">
        <v>108</v>
      </c>
      <c r="K1912" s="2">
        <v>20</v>
      </c>
      <c r="L1912" s="2">
        <v>1</v>
      </c>
      <c r="M1912" s="3" t="s">
        <v>194</v>
      </c>
      <c r="N1912" s="3" t="s">
        <v>1755</v>
      </c>
      <c r="O1912" s="3" t="s">
        <v>201</v>
      </c>
      <c r="P1912" s="3" t="s">
        <v>1756</v>
      </c>
      <c r="Q1912" s="30" t="str">
        <f t="shared" si="29"/>
        <v>MAX : 5.78
TARGET : 5.75
MIN : 5.72</v>
      </c>
    </row>
    <row r="1913" spans="2:18" ht="41.4" x14ac:dyDescent="0.3">
      <c r="B1913">
        <v>0</v>
      </c>
      <c r="C1913" s="33">
        <v>7763</v>
      </c>
      <c r="D1913" s="2">
        <v>1148</v>
      </c>
      <c r="E1913" s="2" t="s">
        <v>9608</v>
      </c>
      <c r="F1913" s="3" t="s">
        <v>14207</v>
      </c>
      <c r="H1913" s="3" t="s">
        <v>648</v>
      </c>
      <c r="K1913" s="2">
        <v>10</v>
      </c>
      <c r="L1913" s="2">
        <v>3</v>
      </c>
      <c r="M1913" s="3" t="s">
        <v>198</v>
      </c>
      <c r="N1913" s="3" t="s">
        <v>2546</v>
      </c>
      <c r="O1913" s="3" t="s">
        <v>1351</v>
      </c>
      <c r="P1913" s="3" t="s">
        <v>2547</v>
      </c>
      <c r="Q1913" s="30" t="str">
        <f t="shared" si="29"/>
        <v>MAX : 8.3
TARGET : 8.0
MIN : 7.7</v>
      </c>
    </row>
    <row r="1914" spans="2:18" ht="41.4" x14ac:dyDescent="0.3">
      <c r="B1914">
        <v>0</v>
      </c>
      <c r="C1914" s="33">
        <v>7763</v>
      </c>
      <c r="D1914" s="2">
        <v>1148</v>
      </c>
      <c r="E1914" s="2" t="s">
        <v>9608</v>
      </c>
      <c r="F1914" s="3" t="s">
        <v>14207</v>
      </c>
      <c r="H1914" s="3" t="s">
        <v>648</v>
      </c>
      <c r="K1914" s="2">
        <v>10</v>
      </c>
      <c r="L1914" s="2">
        <v>4</v>
      </c>
      <c r="M1914" s="3" t="s">
        <v>78</v>
      </c>
      <c r="N1914" s="3" t="s">
        <v>13</v>
      </c>
      <c r="O1914" s="3" t="s">
        <v>14</v>
      </c>
      <c r="Q1914" s="30" t="str">
        <f t="shared" si="29"/>
        <v>MAX : 
TARGET : Yes(Pass)
MIN : No(Fail)</v>
      </c>
    </row>
    <row r="1915" spans="2:18" ht="41.4" x14ac:dyDescent="0.3">
      <c r="B1915">
        <v>1</v>
      </c>
      <c r="C1915" s="33">
        <v>7196</v>
      </c>
      <c r="D1915" s="2">
        <v>1091</v>
      </c>
      <c r="E1915" s="2" t="s">
        <v>8952</v>
      </c>
      <c r="F1915" s="3" t="s">
        <v>14206</v>
      </c>
      <c r="H1915" s="3" t="s">
        <v>108</v>
      </c>
      <c r="K1915" s="2">
        <v>20</v>
      </c>
      <c r="L1915" s="2">
        <v>2</v>
      </c>
      <c r="M1915" s="3" t="s">
        <v>198</v>
      </c>
      <c r="N1915" s="3" t="s">
        <v>752</v>
      </c>
      <c r="O1915" s="3" t="s">
        <v>345</v>
      </c>
      <c r="P1915" s="3" t="s">
        <v>1769</v>
      </c>
      <c r="Q1915" s="30" t="str">
        <f t="shared" si="29"/>
        <v>MAX : 1.78
TARGET : 1.75
MIN : 1.72</v>
      </c>
    </row>
    <row r="1916" spans="2:18" ht="41.4" x14ac:dyDescent="0.3">
      <c r="B1916">
        <v>1</v>
      </c>
      <c r="C1916" s="33">
        <v>7199</v>
      </c>
      <c r="D1916" s="2">
        <v>1870</v>
      </c>
      <c r="E1916" s="2" t="s">
        <v>8959</v>
      </c>
      <c r="F1916" s="3" t="s">
        <v>14206</v>
      </c>
      <c r="H1916" s="3" t="s">
        <v>11</v>
      </c>
      <c r="K1916" s="2">
        <v>10</v>
      </c>
      <c r="L1916" s="2">
        <v>2</v>
      </c>
      <c r="M1916" s="3" t="s">
        <v>2132</v>
      </c>
      <c r="N1916" s="3" t="s">
        <v>13</v>
      </c>
      <c r="O1916" s="3" t="s">
        <v>14</v>
      </c>
      <c r="Q1916" s="30" t="str">
        <f t="shared" si="29"/>
        <v>MAX : 
TARGET : Yes(Pass)
MIN : No(Fail)</v>
      </c>
    </row>
    <row r="1917" spans="2:18" ht="41.4" x14ac:dyDescent="0.3">
      <c r="B1917">
        <v>0</v>
      </c>
      <c r="C1917" s="33">
        <v>7762</v>
      </c>
      <c r="D1917" s="2">
        <v>1911</v>
      </c>
      <c r="E1917" s="2" t="s">
        <v>9602</v>
      </c>
      <c r="F1917" s="3" t="s">
        <v>14206</v>
      </c>
      <c r="H1917" s="3" t="s">
        <v>269</v>
      </c>
      <c r="K1917" s="2">
        <v>10</v>
      </c>
      <c r="L1917" s="2">
        <v>3</v>
      </c>
      <c r="M1917" s="3" t="s">
        <v>611</v>
      </c>
      <c r="N1917" s="3" t="s">
        <v>13</v>
      </c>
      <c r="O1917" s="3" t="s">
        <v>14</v>
      </c>
      <c r="Q1917" s="30" t="str">
        <f t="shared" si="29"/>
        <v>MAX : 
TARGET : Yes(Pass)
MIN : No(Fail)</v>
      </c>
    </row>
    <row r="1918" spans="2:18" ht="41.4" x14ac:dyDescent="0.3">
      <c r="B1918">
        <v>1</v>
      </c>
      <c r="C1918" s="33">
        <v>7199</v>
      </c>
      <c r="D1918" s="2">
        <v>1870</v>
      </c>
      <c r="E1918" s="2" t="s">
        <v>8959</v>
      </c>
      <c r="F1918" s="3" t="s">
        <v>14206</v>
      </c>
      <c r="H1918" s="3" t="s">
        <v>11</v>
      </c>
      <c r="K1918" s="2">
        <v>10</v>
      </c>
      <c r="L1918" s="2">
        <v>1</v>
      </c>
      <c r="M1918" s="3" t="s">
        <v>99</v>
      </c>
      <c r="N1918" s="3" t="s">
        <v>2131</v>
      </c>
      <c r="O1918" s="3" t="s">
        <v>284</v>
      </c>
      <c r="P1918" s="3" t="s">
        <v>644</v>
      </c>
      <c r="Q1918" s="30" t="str">
        <f t="shared" si="29"/>
        <v>MAX : 0.218
TARGET : 0.188
MIN : 0.158</v>
      </c>
    </row>
    <row r="1919" spans="2:18" ht="41.4" x14ac:dyDescent="0.3">
      <c r="B1919">
        <v>1</v>
      </c>
      <c r="C1919" s="33">
        <v>7211</v>
      </c>
      <c r="D1919" s="2">
        <v>1092</v>
      </c>
      <c r="E1919" s="2" t="s">
        <v>8965</v>
      </c>
      <c r="F1919" s="3" t="s">
        <v>14206</v>
      </c>
      <c r="H1919" s="3" t="s">
        <v>2116</v>
      </c>
      <c r="K1919" s="2">
        <v>20</v>
      </c>
      <c r="L1919" s="2">
        <v>2</v>
      </c>
      <c r="M1919" s="3" t="s">
        <v>467</v>
      </c>
      <c r="N1919" s="3" t="s">
        <v>1334</v>
      </c>
      <c r="O1919" s="3" t="s">
        <v>196</v>
      </c>
      <c r="P1919" s="3" t="s">
        <v>1335</v>
      </c>
      <c r="Q1919" s="30" t="str">
        <f t="shared" si="29"/>
        <v>MAX : 13.06
TARGET : 13.00
MIN : 12.94</v>
      </c>
    </row>
    <row r="1920" spans="2:18" ht="41.4" x14ac:dyDescent="0.3">
      <c r="B1920">
        <v>0</v>
      </c>
      <c r="C1920" s="33">
        <v>7753</v>
      </c>
      <c r="D1920" s="2">
        <v>1147</v>
      </c>
      <c r="E1920" s="2" t="s">
        <v>9589</v>
      </c>
      <c r="F1920" s="3" t="s">
        <v>14224</v>
      </c>
      <c r="H1920" s="3" t="s">
        <v>469</v>
      </c>
      <c r="K1920" s="2">
        <v>10</v>
      </c>
      <c r="L1920" s="2">
        <v>4</v>
      </c>
      <c r="M1920" s="3" t="s">
        <v>2557</v>
      </c>
      <c r="N1920" s="3" t="s">
        <v>13</v>
      </c>
      <c r="O1920" s="3" t="s">
        <v>14</v>
      </c>
      <c r="Q1920" s="30" t="str">
        <f t="shared" si="29"/>
        <v>MAX : 
TARGET : Yes(Pass)
MIN : No(Fail)</v>
      </c>
      <c r="R1920" s="3" t="s">
        <v>2553</v>
      </c>
    </row>
    <row r="1921" spans="2:18" ht="41.4" x14ac:dyDescent="0.3">
      <c r="B1921">
        <v>0</v>
      </c>
      <c r="C1921" s="33">
        <v>7753</v>
      </c>
      <c r="D1921" s="2">
        <v>1147</v>
      </c>
      <c r="E1921" s="2" t="s">
        <v>9589</v>
      </c>
      <c r="F1921" s="3" t="s">
        <v>14224</v>
      </c>
      <c r="H1921" s="3" t="s">
        <v>469</v>
      </c>
      <c r="K1921" s="2">
        <v>20</v>
      </c>
      <c r="L1921" s="2">
        <v>15</v>
      </c>
      <c r="M1921" s="3" t="s">
        <v>2558</v>
      </c>
      <c r="N1921" s="3" t="s">
        <v>2559</v>
      </c>
      <c r="O1921" s="3" t="s">
        <v>188</v>
      </c>
      <c r="P1921" s="3" t="s">
        <v>2560</v>
      </c>
      <c r="Q1921" s="30" t="str">
        <f t="shared" si="29"/>
        <v>MAX : 0.805
TARGET : 0.780
MIN : 0.755</v>
      </c>
      <c r="R1921" s="3" t="s">
        <v>2553</v>
      </c>
    </row>
    <row r="1922" spans="2:18" ht="41.4" x14ac:dyDescent="0.3">
      <c r="B1922">
        <v>0</v>
      </c>
      <c r="C1922" s="33">
        <v>7753</v>
      </c>
      <c r="D1922" s="2">
        <v>1147</v>
      </c>
      <c r="E1922" s="2" t="s">
        <v>9589</v>
      </c>
      <c r="F1922" s="3" t="s">
        <v>14224</v>
      </c>
      <c r="H1922" s="3" t="s">
        <v>469</v>
      </c>
      <c r="K1922" s="2">
        <v>20</v>
      </c>
      <c r="L1922" s="2">
        <v>16</v>
      </c>
      <c r="M1922" s="3" t="s">
        <v>2561</v>
      </c>
      <c r="N1922" s="3" t="s">
        <v>2562</v>
      </c>
      <c r="O1922" s="3" t="s">
        <v>2563</v>
      </c>
      <c r="P1922" s="3" t="s">
        <v>2564</v>
      </c>
      <c r="Q1922" s="30" t="str">
        <f t="shared" ref="Q1922:Q1985" si="30">"MAX : " &amp; P1922 &amp; CHAR(10) &amp; "TARGET : " &amp; O1922 &amp; CHAR(10) &amp; "MIN : " &amp; N1922</f>
        <v>MAX : 1.588
TARGET : 1.578
MIN : 1.568</v>
      </c>
      <c r="R1922" s="3" t="s">
        <v>2553</v>
      </c>
    </row>
    <row r="1923" spans="2:18" ht="41.4" x14ac:dyDescent="0.3">
      <c r="B1923">
        <v>0</v>
      </c>
      <c r="C1923" s="33">
        <v>7753</v>
      </c>
      <c r="D1923" s="2">
        <v>1147</v>
      </c>
      <c r="E1923" s="2" t="s">
        <v>9589</v>
      </c>
      <c r="F1923" s="3" t="s">
        <v>14224</v>
      </c>
      <c r="H1923" s="3" t="s">
        <v>469</v>
      </c>
      <c r="K1923" s="2">
        <v>20</v>
      </c>
      <c r="L1923" s="2">
        <v>17</v>
      </c>
      <c r="M1923" s="3" t="s">
        <v>2565</v>
      </c>
      <c r="N1923" s="3" t="s">
        <v>2566</v>
      </c>
      <c r="O1923" s="3" t="s">
        <v>2567</v>
      </c>
      <c r="P1923" s="3" t="s">
        <v>2568</v>
      </c>
      <c r="Q1923" s="30" t="str">
        <f t="shared" si="30"/>
        <v>MAX : 2.882
TARGET : 2.872
MIN : 2.862</v>
      </c>
      <c r="R1923" s="3" t="s">
        <v>2553</v>
      </c>
    </row>
    <row r="1924" spans="2:18" ht="41.4" x14ac:dyDescent="0.3">
      <c r="B1924">
        <v>0</v>
      </c>
      <c r="C1924" s="33">
        <v>7753</v>
      </c>
      <c r="D1924" s="2">
        <v>1147</v>
      </c>
      <c r="E1924" s="2" t="s">
        <v>9589</v>
      </c>
      <c r="F1924" s="3" t="s">
        <v>14224</v>
      </c>
      <c r="H1924" s="3" t="s">
        <v>469</v>
      </c>
      <c r="K1924" s="2">
        <v>20</v>
      </c>
      <c r="L1924" s="2">
        <v>18</v>
      </c>
      <c r="M1924" s="3" t="s">
        <v>2569</v>
      </c>
      <c r="N1924" s="3" t="s">
        <v>924</v>
      </c>
      <c r="O1924" s="3" t="s">
        <v>2570</v>
      </c>
      <c r="P1924" s="3" t="s">
        <v>925</v>
      </c>
      <c r="Q1924" s="30" t="str">
        <f t="shared" si="30"/>
        <v>MAX : 4.460
TARGET : 4.450
MIN : 4.440</v>
      </c>
      <c r="R1924" s="3" t="s">
        <v>2553</v>
      </c>
    </row>
    <row r="1925" spans="2:18" ht="41.4" x14ac:dyDescent="0.3">
      <c r="B1925">
        <v>0</v>
      </c>
      <c r="C1925" s="33">
        <v>7753</v>
      </c>
      <c r="D1925" s="2">
        <v>1147</v>
      </c>
      <c r="E1925" s="2" t="s">
        <v>9589</v>
      </c>
      <c r="F1925" s="3" t="s">
        <v>14224</v>
      </c>
      <c r="H1925" s="3" t="s">
        <v>469</v>
      </c>
      <c r="K1925" s="2">
        <v>20</v>
      </c>
      <c r="L1925" s="2">
        <v>19</v>
      </c>
      <c r="M1925" s="3" t="s">
        <v>2571</v>
      </c>
      <c r="N1925" s="3" t="s">
        <v>2559</v>
      </c>
      <c r="O1925" s="3" t="s">
        <v>188</v>
      </c>
      <c r="P1925" s="3" t="s">
        <v>2560</v>
      </c>
      <c r="Q1925" s="30" t="str">
        <f t="shared" si="30"/>
        <v>MAX : 0.805
TARGET : 0.780
MIN : 0.755</v>
      </c>
      <c r="R1925" s="3" t="s">
        <v>2553</v>
      </c>
    </row>
    <row r="1926" spans="2:18" ht="41.4" x14ac:dyDescent="0.3">
      <c r="B1926">
        <v>0</v>
      </c>
      <c r="C1926" s="33">
        <v>7753</v>
      </c>
      <c r="D1926" s="2">
        <v>1147</v>
      </c>
      <c r="E1926" s="2" t="s">
        <v>9589</v>
      </c>
      <c r="F1926" s="3" t="s">
        <v>14224</v>
      </c>
      <c r="H1926" s="3" t="s">
        <v>469</v>
      </c>
      <c r="K1926" s="2">
        <v>20</v>
      </c>
      <c r="L1926" s="2">
        <v>20</v>
      </c>
      <c r="M1926" s="3" t="s">
        <v>2572</v>
      </c>
      <c r="N1926" s="3" t="s">
        <v>2573</v>
      </c>
      <c r="O1926" s="3" t="s">
        <v>2574</v>
      </c>
      <c r="P1926" s="3" t="s">
        <v>2575</v>
      </c>
      <c r="Q1926" s="30" t="str">
        <f t="shared" si="30"/>
        <v>MAX : 1.357
TARGET : 1.347
MIN : 1.337</v>
      </c>
      <c r="R1926" s="3" t="s">
        <v>2553</v>
      </c>
    </row>
    <row r="1927" spans="2:18" ht="41.4" x14ac:dyDescent="0.3">
      <c r="B1927">
        <v>0</v>
      </c>
      <c r="C1927" s="33">
        <v>7753</v>
      </c>
      <c r="D1927" s="2">
        <v>1147</v>
      </c>
      <c r="E1927" s="2" t="s">
        <v>9589</v>
      </c>
      <c r="F1927" s="3" t="s">
        <v>14224</v>
      </c>
      <c r="H1927" s="3" t="s">
        <v>469</v>
      </c>
      <c r="K1927" s="2">
        <v>20</v>
      </c>
      <c r="L1927" s="2">
        <v>21</v>
      </c>
      <c r="M1927" s="3" t="s">
        <v>2576</v>
      </c>
      <c r="N1927" s="3" t="s">
        <v>2577</v>
      </c>
      <c r="O1927" s="3" t="s">
        <v>2578</v>
      </c>
      <c r="P1927" s="3" t="s">
        <v>2579</v>
      </c>
      <c r="Q1927" s="30" t="str">
        <f t="shared" si="30"/>
        <v>MAX : 2.154
TARGET : 2.144
MIN : 2.134</v>
      </c>
      <c r="R1927" s="3" t="s">
        <v>2553</v>
      </c>
    </row>
    <row r="1928" spans="2:18" ht="41.4" x14ac:dyDescent="0.3">
      <c r="B1928">
        <v>0</v>
      </c>
      <c r="C1928" s="33">
        <v>7753</v>
      </c>
      <c r="D1928" s="2">
        <v>1147</v>
      </c>
      <c r="E1928" s="2" t="s">
        <v>9589</v>
      </c>
      <c r="F1928" s="3" t="s">
        <v>14224</v>
      </c>
      <c r="H1928" s="3" t="s">
        <v>469</v>
      </c>
      <c r="K1928" s="2">
        <v>20</v>
      </c>
      <c r="L1928" s="2">
        <v>22</v>
      </c>
      <c r="M1928" s="3" t="s">
        <v>2580</v>
      </c>
      <c r="N1928" s="3" t="s">
        <v>1430</v>
      </c>
      <c r="O1928" s="3" t="s">
        <v>2529</v>
      </c>
      <c r="P1928" s="3" t="s">
        <v>2581</v>
      </c>
      <c r="Q1928" s="30" t="str">
        <f t="shared" si="30"/>
        <v>MAX : 2.951
TARGET : 2.941
MIN : 2.931</v>
      </c>
      <c r="R1928" s="3" t="s">
        <v>2553</v>
      </c>
    </row>
    <row r="1929" spans="2:18" ht="41.4" x14ac:dyDescent="0.3">
      <c r="B1929">
        <v>0</v>
      </c>
      <c r="C1929" s="33">
        <v>7753</v>
      </c>
      <c r="D1929" s="2">
        <v>1147</v>
      </c>
      <c r="E1929" s="2" t="s">
        <v>9589</v>
      </c>
      <c r="F1929" s="3" t="s">
        <v>14224</v>
      </c>
      <c r="H1929" s="3" t="s">
        <v>469</v>
      </c>
      <c r="K1929" s="2">
        <v>20</v>
      </c>
      <c r="L1929" s="2">
        <v>23</v>
      </c>
      <c r="M1929" s="3" t="s">
        <v>2582</v>
      </c>
      <c r="N1929" s="3" t="s">
        <v>2583</v>
      </c>
      <c r="O1929" s="3" t="s">
        <v>2584</v>
      </c>
      <c r="P1929" s="3" t="s">
        <v>2585</v>
      </c>
      <c r="Q1929" s="30" t="str">
        <f t="shared" si="30"/>
        <v>MAX : 3.748
TARGET : 3.738
MIN : 3.728</v>
      </c>
      <c r="R1929" s="3" t="s">
        <v>2553</v>
      </c>
    </row>
    <row r="1930" spans="2:18" ht="41.4" x14ac:dyDescent="0.3">
      <c r="B1930">
        <v>0</v>
      </c>
      <c r="C1930" s="33">
        <v>7753</v>
      </c>
      <c r="D1930" s="2">
        <v>1147</v>
      </c>
      <c r="E1930" s="2" t="s">
        <v>9589</v>
      </c>
      <c r="F1930" s="3" t="s">
        <v>14224</v>
      </c>
      <c r="H1930" s="3" t="s">
        <v>469</v>
      </c>
      <c r="K1930" s="2">
        <v>20</v>
      </c>
      <c r="L1930" s="2">
        <v>24</v>
      </c>
      <c r="M1930" s="3" t="s">
        <v>2586</v>
      </c>
      <c r="N1930" s="3" t="s">
        <v>2587</v>
      </c>
      <c r="O1930" s="3" t="s">
        <v>2588</v>
      </c>
      <c r="P1930" s="3" t="s">
        <v>2589</v>
      </c>
      <c r="Q1930" s="30" t="str">
        <f t="shared" si="30"/>
        <v>MAX : 4.545
TARGET : 4.535
MIN : 4.525</v>
      </c>
      <c r="R1930" s="3" t="s">
        <v>2553</v>
      </c>
    </row>
    <row r="1931" spans="2:18" ht="41.4" x14ac:dyDescent="0.3">
      <c r="B1931">
        <v>0</v>
      </c>
      <c r="C1931" s="33">
        <v>7753</v>
      </c>
      <c r="D1931" s="2">
        <v>1147</v>
      </c>
      <c r="E1931" s="2" t="s">
        <v>9589</v>
      </c>
      <c r="F1931" s="3" t="s">
        <v>14224</v>
      </c>
      <c r="H1931" s="3" t="s">
        <v>469</v>
      </c>
      <c r="K1931" s="2">
        <v>20</v>
      </c>
      <c r="L1931" s="2">
        <v>25</v>
      </c>
      <c r="M1931" s="3" t="s">
        <v>2590</v>
      </c>
      <c r="N1931" s="3" t="s">
        <v>2591</v>
      </c>
      <c r="O1931" s="3" t="s">
        <v>2592</v>
      </c>
      <c r="P1931" s="3" t="s">
        <v>2593</v>
      </c>
      <c r="Q1931" s="30" t="str">
        <f t="shared" si="30"/>
        <v>MAX : 5.460
TARGET : 5.450
MIN : 5.440</v>
      </c>
      <c r="R1931" s="3" t="s">
        <v>2553</v>
      </c>
    </row>
    <row r="1932" spans="2:18" ht="41.4" x14ac:dyDescent="0.3">
      <c r="B1932">
        <v>0</v>
      </c>
      <c r="C1932" s="33">
        <v>7753</v>
      </c>
      <c r="D1932" s="2">
        <v>1147</v>
      </c>
      <c r="E1932" s="2" t="s">
        <v>9589</v>
      </c>
      <c r="F1932" s="3" t="s">
        <v>14224</v>
      </c>
      <c r="H1932" s="3" t="s">
        <v>469</v>
      </c>
      <c r="K1932" s="2">
        <v>20</v>
      </c>
      <c r="L1932" s="2">
        <v>2</v>
      </c>
      <c r="M1932" s="3" t="s">
        <v>2594</v>
      </c>
      <c r="N1932" s="3" t="s">
        <v>1990</v>
      </c>
      <c r="O1932" s="3" t="s">
        <v>276</v>
      </c>
      <c r="P1932" s="3" t="s">
        <v>2595</v>
      </c>
      <c r="Q1932" s="30" t="str">
        <f t="shared" si="30"/>
        <v>MAX : 0.383
TARGET : 0.375
MIN : 0.367</v>
      </c>
      <c r="R1932" s="3" t="s">
        <v>2553</v>
      </c>
    </row>
    <row r="1933" spans="2:18" ht="41.4" x14ac:dyDescent="0.3">
      <c r="B1933">
        <v>0</v>
      </c>
      <c r="C1933" s="33">
        <v>7753</v>
      </c>
      <c r="D1933" s="2">
        <v>1147</v>
      </c>
      <c r="E1933" s="2" t="s">
        <v>9589</v>
      </c>
      <c r="F1933" s="3" t="s">
        <v>14224</v>
      </c>
      <c r="H1933" s="3" t="s">
        <v>469</v>
      </c>
      <c r="K1933" s="2">
        <v>20</v>
      </c>
      <c r="L1933" s="2">
        <v>4</v>
      </c>
      <c r="M1933" s="3" t="s">
        <v>2596</v>
      </c>
      <c r="N1933" s="3" t="s">
        <v>1990</v>
      </c>
      <c r="O1933" s="3" t="s">
        <v>276</v>
      </c>
      <c r="P1933" s="3" t="s">
        <v>2595</v>
      </c>
      <c r="Q1933" s="30" t="str">
        <f t="shared" si="30"/>
        <v>MAX : 0.383
TARGET : 0.375
MIN : 0.367</v>
      </c>
      <c r="R1933" s="3" t="s">
        <v>2553</v>
      </c>
    </row>
    <row r="1934" spans="2:18" ht="41.4" x14ac:dyDescent="0.3">
      <c r="B1934">
        <v>0</v>
      </c>
      <c r="C1934" s="33">
        <v>7753</v>
      </c>
      <c r="D1934" s="2">
        <v>1147</v>
      </c>
      <c r="E1934" s="2" t="s">
        <v>9589</v>
      </c>
      <c r="F1934" s="3" t="s">
        <v>14224</v>
      </c>
      <c r="H1934" s="3" t="s">
        <v>469</v>
      </c>
      <c r="K1934" s="2">
        <v>20</v>
      </c>
      <c r="L1934" s="2">
        <v>9</v>
      </c>
      <c r="M1934" s="3" t="s">
        <v>2597</v>
      </c>
      <c r="N1934" s="3" t="s">
        <v>2598</v>
      </c>
      <c r="O1934" s="3" t="s">
        <v>2599</v>
      </c>
      <c r="P1934" s="3" t="s">
        <v>2304</v>
      </c>
      <c r="Q1934" s="30" t="str">
        <f t="shared" si="30"/>
        <v>MAX : 0.050
TARGET : 0.045
MIN : 0.040</v>
      </c>
      <c r="R1934" s="3" t="s">
        <v>2553</v>
      </c>
    </row>
    <row r="1935" spans="2:18" ht="41.4" x14ac:dyDescent="0.3">
      <c r="B1935">
        <v>0</v>
      </c>
      <c r="C1935" s="33">
        <v>7753</v>
      </c>
      <c r="D1935" s="2">
        <v>1147</v>
      </c>
      <c r="E1935" s="2" t="s">
        <v>9589</v>
      </c>
      <c r="F1935" s="3" t="s">
        <v>14224</v>
      </c>
      <c r="H1935" s="3" t="s">
        <v>469</v>
      </c>
      <c r="K1935" s="2">
        <v>20</v>
      </c>
      <c r="L1935" s="2">
        <v>10</v>
      </c>
      <c r="M1935" s="3" t="s">
        <v>2600</v>
      </c>
      <c r="N1935" s="3" t="s">
        <v>2598</v>
      </c>
      <c r="O1935" s="3" t="s">
        <v>2599</v>
      </c>
      <c r="P1935" s="3" t="s">
        <v>2304</v>
      </c>
      <c r="Q1935" s="30" t="str">
        <f t="shared" si="30"/>
        <v>MAX : 0.050
TARGET : 0.045
MIN : 0.040</v>
      </c>
      <c r="R1935" s="3" t="s">
        <v>2553</v>
      </c>
    </row>
    <row r="1936" spans="2:18" ht="41.4" x14ac:dyDescent="0.3">
      <c r="B1936">
        <v>0</v>
      </c>
      <c r="C1936" s="33">
        <v>7753</v>
      </c>
      <c r="D1936" s="2">
        <v>1147</v>
      </c>
      <c r="E1936" s="2" t="s">
        <v>9589</v>
      </c>
      <c r="F1936" s="3" t="s">
        <v>14224</v>
      </c>
      <c r="H1936" s="3" t="s">
        <v>469</v>
      </c>
      <c r="K1936" s="2">
        <v>20</v>
      </c>
      <c r="L1936" s="2">
        <v>8</v>
      </c>
      <c r="M1936" s="3" t="s">
        <v>2601</v>
      </c>
      <c r="N1936" s="3" t="s">
        <v>2598</v>
      </c>
      <c r="O1936" s="3" t="s">
        <v>2599</v>
      </c>
      <c r="P1936" s="3" t="s">
        <v>2304</v>
      </c>
      <c r="Q1936" s="30" t="str">
        <f t="shared" si="30"/>
        <v>MAX : 0.050
TARGET : 0.045
MIN : 0.040</v>
      </c>
      <c r="R1936" s="3" t="s">
        <v>2553</v>
      </c>
    </row>
    <row r="1937" spans="2:18" ht="41.4" x14ac:dyDescent="0.3">
      <c r="B1937">
        <v>0</v>
      </c>
      <c r="C1937" s="33">
        <v>7753</v>
      </c>
      <c r="D1937" s="2">
        <v>1147</v>
      </c>
      <c r="E1937" s="2" t="s">
        <v>9589</v>
      </c>
      <c r="F1937" s="3" t="s">
        <v>14224</v>
      </c>
      <c r="H1937" s="3" t="s">
        <v>469</v>
      </c>
      <c r="K1937" s="2">
        <v>20</v>
      </c>
      <c r="L1937" s="2">
        <v>11</v>
      </c>
      <c r="M1937" s="3" t="s">
        <v>2602</v>
      </c>
      <c r="N1937" s="3" t="s">
        <v>2598</v>
      </c>
      <c r="O1937" s="3" t="s">
        <v>2599</v>
      </c>
      <c r="P1937" s="3" t="s">
        <v>2304</v>
      </c>
      <c r="Q1937" s="30" t="str">
        <f t="shared" si="30"/>
        <v>MAX : 0.050
TARGET : 0.045
MIN : 0.040</v>
      </c>
      <c r="R1937" s="3" t="s">
        <v>2553</v>
      </c>
    </row>
    <row r="1938" spans="2:18" ht="41.4" x14ac:dyDescent="0.3">
      <c r="B1938">
        <v>0</v>
      </c>
      <c r="C1938" s="33">
        <v>7753</v>
      </c>
      <c r="D1938" s="2">
        <v>1147</v>
      </c>
      <c r="E1938" s="2" t="s">
        <v>9589</v>
      </c>
      <c r="F1938" s="3" t="s">
        <v>14224</v>
      </c>
      <c r="H1938" s="3" t="s">
        <v>469</v>
      </c>
      <c r="K1938" s="2">
        <v>20</v>
      </c>
      <c r="L1938" s="2">
        <v>7</v>
      </c>
      <c r="M1938" s="3" t="s">
        <v>2603</v>
      </c>
      <c r="N1938" s="3" t="s">
        <v>2598</v>
      </c>
      <c r="O1938" s="3" t="s">
        <v>2599</v>
      </c>
      <c r="P1938" s="3" t="s">
        <v>2304</v>
      </c>
      <c r="Q1938" s="30" t="str">
        <f t="shared" si="30"/>
        <v>MAX : 0.050
TARGET : 0.045
MIN : 0.040</v>
      </c>
      <c r="R1938" s="3" t="s">
        <v>2553</v>
      </c>
    </row>
    <row r="1939" spans="2:18" ht="41.4" x14ac:dyDescent="0.3">
      <c r="B1939">
        <v>0</v>
      </c>
      <c r="C1939" s="33">
        <v>7753</v>
      </c>
      <c r="D1939" s="2">
        <v>1147</v>
      </c>
      <c r="E1939" s="2" t="s">
        <v>9589</v>
      </c>
      <c r="F1939" s="3" t="s">
        <v>14224</v>
      </c>
      <c r="H1939" s="3" t="s">
        <v>469</v>
      </c>
      <c r="K1939" s="2">
        <v>20</v>
      </c>
      <c r="L1939" s="2">
        <v>12</v>
      </c>
      <c r="M1939" s="3" t="s">
        <v>2604</v>
      </c>
      <c r="N1939" s="3" t="s">
        <v>2598</v>
      </c>
      <c r="O1939" s="3" t="s">
        <v>2599</v>
      </c>
      <c r="P1939" s="3" t="s">
        <v>2304</v>
      </c>
      <c r="Q1939" s="30" t="str">
        <f t="shared" si="30"/>
        <v>MAX : 0.050
TARGET : 0.045
MIN : 0.040</v>
      </c>
      <c r="R1939" s="3" t="s">
        <v>2553</v>
      </c>
    </row>
    <row r="1940" spans="2:18" ht="41.4" x14ac:dyDescent="0.3">
      <c r="B1940">
        <v>0</v>
      </c>
      <c r="C1940" s="33">
        <v>7753</v>
      </c>
      <c r="D1940" s="2">
        <v>1147</v>
      </c>
      <c r="E1940" s="2" t="s">
        <v>9589</v>
      </c>
      <c r="F1940" s="3" t="s">
        <v>14224</v>
      </c>
      <c r="H1940" s="3" t="s">
        <v>469</v>
      </c>
      <c r="K1940" s="2">
        <v>20</v>
      </c>
      <c r="L1940" s="2">
        <v>6</v>
      </c>
      <c r="M1940" s="3" t="s">
        <v>2605</v>
      </c>
      <c r="N1940" s="3" t="s">
        <v>2598</v>
      </c>
      <c r="O1940" s="3" t="s">
        <v>2599</v>
      </c>
      <c r="P1940" s="3" t="s">
        <v>2304</v>
      </c>
      <c r="Q1940" s="30" t="str">
        <f t="shared" si="30"/>
        <v>MAX : 0.050
TARGET : 0.045
MIN : 0.040</v>
      </c>
      <c r="R1940" s="3" t="s">
        <v>2553</v>
      </c>
    </row>
    <row r="1941" spans="2:18" ht="41.4" x14ac:dyDescent="0.3">
      <c r="B1941">
        <v>0</v>
      </c>
      <c r="C1941" s="33">
        <v>7753</v>
      </c>
      <c r="D1941" s="2">
        <v>1147</v>
      </c>
      <c r="E1941" s="2" t="s">
        <v>9589</v>
      </c>
      <c r="F1941" s="3" t="s">
        <v>14224</v>
      </c>
      <c r="H1941" s="3" t="s">
        <v>469</v>
      </c>
      <c r="K1941" s="2">
        <v>20</v>
      </c>
      <c r="L1941" s="2">
        <v>13</v>
      </c>
      <c r="M1941" s="3" t="s">
        <v>2606</v>
      </c>
      <c r="N1941" s="3" t="s">
        <v>2598</v>
      </c>
      <c r="O1941" s="3" t="s">
        <v>2599</v>
      </c>
      <c r="P1941" s="3" t="s">
        <v>2304</v>
      </c>
      <c r="Q1941" s="30" t="str">
        <f t="shared" si="30"/>
        <v>MAX : 0.050
TARGET : 0.045
MIN : 0.040</v>
      </c>
      <c r="R1941" s="3" t="s">
        <v>2553</v>
      </c>
    </row>
    <row r="1942" spans="2:18" ht="41.4" x14ac:dyDescent="0.3">
      <c r="B1942">
        <v>0</v>
      </c>
      <c r="C1942" s="33">
        <v>7753</v>
      </c>
      <c r="D1942" s="2">
        <v>1147</v>
      </c>
      <c r="E1942" s="2" t="s">
        <v>9589</v>
      </c>
      <c r="F1942" s="3" t="s">
        <v>14224</v>
      </c>
      <c r="H1942" s="3" t="s">
        <v>469</v>
      </c>
      <c r="K1942" s="2">
        <v>20</v>
      </c>
      <c r="L1942" s="2">
        <v>5</v>
      </c>
      <c r="M1942" s="3" t="s">
        <v>2607</v>
      </c>
      <c r="N1942" s="3" t="s">
        <v>2598</v>
      </c>
      <c r="O1942" s="3" t="s">
        <v>2599</v>
      </c>
      <c r="P1942" s="3" t="s">
        <v>2304</v>
      </c>
      <c r="Q1942" s="30" t="str">
        <f t="shared" si="30"/>
        <v>MAX : 0.050
TARGET : 0.045
MIN : 0.040</v>
      </c>
      <c r="R1942" s="3" t="s">
        <v>2553</v>
      </c>
    </row>
    <row r="1943" spans="2:18" ht="41.4" x14ac:dyDescent="0.3">
      <c r="B1943">
        <v>0</v>
      </c>
      <c r="C1943" s="33">
        <v>7753</v>
      </c>
      <c r="D1943" s="2">
        <v>1147</v>
      </c>
      <c r="E1943" s="2" t="s">
        <v>9589</v>
      </c>
      <c r="F1943" s="3" t="s">
        <v>14224</v>
      </c>
      <c r="H1943" s="3" t="s">
        <v>469</v>
      </c>
      <c r="K1943" s="2">
        <v>20</v>
      </c>
      <c r="L1943" s="2">
        <v>14</v>
      </c>
      <c r="M1943" s="3" t="s">
        <v>2608</v>
      </c>
      <c r="N1943" s="3" t="s">
        <v>2598</v>
      </c>
      <c r="O1943" s="3" t="s">
        <v>2599</v>
      </c>
      <c r="P1943" s="3" t="s">
        <v>2304</v>
      </c>
      <c r="Q1943" s="30" t="str">
        <f t="shared" si="30"/>
        <v>MAX : 0.050
TARGET : 0.045
MIN : 0.040</v>
      </c>
      <c r="R1943" s="3" t="s">
        <v>2553</v>
      </c>
    </row>
    <row r="1944" spans="2:18" ht="41.4" x14ac:dyDescent="0.3">
      <c r="B1944">
        <v>0</v>
      </c>
      <c r="C1944" s="33">
        <v>7753</v>
      </c>
      <c r="D1944" s="2">
        <v>1147</v>
      </c>
      <c r="E1944" s="2" t="s">
        <v>9589</v>
      </c>
      <c r="F1944" s="3" t="s">
        <v>14224</v>
      </c>
      <c r="H1944" s="3" t="s">
        <v>469</v>
      </c>
      <c r="K1944" s="2">
        <v>20</v>
      </c>
      <c r="L1944" s="2">
        <v>1</v>
      </c>
      <c r="M1944" s="3" t="s">
        <v>2609</v>
      </c>
      <c r="N1944" s="3" t="s">
        <v>1990</v>
      </c>
      <c r="O1944" s="3" t="s">
        <v>276</v>
      </c>
      <c r="P1944" s="3" t="s">
        <v>2595</v>
      </c>
      <c r="Q1944" s="30" t="str">
        <f t="shared" si="30"/>
        <v>MAX : 0.383
TARGET : 0.375
MIN : 0.367</v>
      </c>
      <c r="R1944" s="3" t="s">
        <v>2553</v>
      </c>
    </row>
    <row r="1945" spans="2:18" ht="41.4" x14ac:dyDescent="0.3">
      <c r="B1945">
        <v>0</v>
      </c>
      <c r="C1945" s="33">
        <v>7753</v>
      </c>
      <c r="D1945" s="2">
        <v>1147</v>
      </c>
      <c r="E1945" s="2" t="s">
        <v>9589</v>
      </c>
      <c r="F1945" s="3" t="s">
        <v>14224</v>
      </c>
      <c r="H1945" s="3" t="s">
        <v>469</v>
      </c>
      <c r="K1945" s="2">
        <v>20</v>
      </c>
      <c r="L1945" s="2">
        <v>3</v>
      </c>
      <c r="M1945" s="3" t="s">
        <v>2610</v>
      </c>
      <c r="N1945" s="3" t="s">
        <v>1990</v>
      </c>
      <c r="O1945" s="3" t="s">
        <v>276</v>
      </c>
      <c r="P1945" s="3" t="s">
        <v>2595</v>
      </c>
      <c r="Q1945" s="30" t="str">
        <f t="shared" si="30"/>
        <v>MAX : 0.383
TARGET : 0.375
MIN : 0.367</v>
      </c>
      <c r="R1945" s="3" t="s">
        <v>2553</v>
      </c>
    </row>
    <row r="1946" spans="2:18" ht="41.4" x14ac:dyDescent="0.3">
      <c r="B1946">
        <v>0</v>
      </c>
      <c r="C1946" s="33">
        <v>7753</v>
      </c>
      <c r="D1946" s="2">
        <v>1147</v>
      </c>
      <c r="E1946" s="2" t="s">
        <v>9589</v>
      </c>
      <c r="F1946" s="3" t="s">
        <v>14224</v>
      </c>
      <c r="H1946" s="3" t="s">
        <v>469</v>
      </c>
      <c r="K1946" s="2">
        <v>20</v>
      </c>
      <c r="L1946" s="2">
        <v>26</v>
      </c>
      <c r="M1946" s="3" t="s">
        <v>2611</v>
      </c>
      <c r="N1946" s="3" t="s">
        <v>13</v>
      </c>
      <c r="O1946" s="3" t="s">
        <v>14</v>
      </c>
      <c r="Q1946" s="30" t="str">
        <f t="shared" si="30"/>
        <v>MAX : 
TARGET : Yes(Pass)
MIN : No(Fail)</v>
      </c>
      <c r="R1946" s="3" t="s">
        <v>2553</v>
      </c>
    </row>
    <row r="1947" spans="2:18" ht="41.4" x14ac:dyDescent="0.3">
      <c r="B1947">
        <v>0</v>
      </c>
      <c r="C1947" s="33">
        <v>7753</v>
      </c>
      <c r="D1947" s="2">
        <v>1147</v>
      </c>
      <c r="E1947" s="2" t="s">
        <v>9589</v>
      </c>
      <c r="F1947" s="3" t="s">
        <v>14224</v>
      </c>
      <c r="H1947" s="3" t="s">
        <v>469</v>
      </c>
      <c r="K1947" s="2">
        <v>20</v>
      </c>
      <c r="L1947" s="2">
        <v>27</v>
      </c>
      <c r="M1947" s="3" t="s">
        <v>2612</v>
      </c>
      <c r="N1947" s="3" t="s">
        <v>13</v>
      </c>
      <c r="O1947" s="3" t="s">
        <v>14</v>
      </c>
      <c r="Q1947" s="30" t="str">
        <f t="shared" si="30"/>
        <v>MAX : 
TARGET : Yes(Pass)
MIN : No(Fail)</v>
      </c>
      <c r="R1947" s="3" t="s">
        <v>2553</v>
      </c>
    </row>
    <row r="1948" spans="2:18" ht="41.4" x14ac:dyDescent="0.3">
      <c r="B1948">
        <v>1</v>
      </c>
      <c r="C1948" s="33">
        <v>7211</v>
      </c>
      <c r="D1948" s="2">
        <v>1092</v>
      </c>
      <c r="E1948" s="2" t="s">
        <v>8965</v>
      </c>
      <c r="F1948" s="3" t="s">
        <v>14206</v>
      </c>
      <c r="H1948" s="3" t="s">
        <v>2116</v>
      </c>
      <c r="K1948" s="2">
        <v>20</v>
      </c>
      <c r="L1948" s="2">
        <v>4</v>
      </c>
      <c r="M1948" s="3" t="s">
        <v>2146</v>
      </c>
      <c r="N1948" s="3" t="s">
        <v>979</v>
      </c>
      <c r="O1948" s="3" t="s">
        <v>309</v>
      </c>
      <c r="P1948" s="3" t="s">
        <v>1531</v>
      </c>
      <c r="Q1948" s="30" t="str">
        <f t="shared" si="30"/>
        <v>MAX : 0.56
TARGET : 0.50
MIN : 0.44</v>
      </c>
    </row>
    <row r="1949" spans="2:18" ht="41.4" x14ac:dyDescent="0.3">
      <c r="B1949">
        <v>1</v>
      </c>
      <c r="C1949" s="33">
        <v>7211</v>
      </c>
      <c r="D1949" s="2">
        <v>1092</v>
      </c>
      <c r="E1949" s="2" t="s">
        <v>8965</v>
      </c>
      <c r="F1949" s="3" t="s">
        <v>14206</v>
      </c>
      <c r="H1949" s="3" t="s">
        <v>2116</v>
      </c>
      <c r="K1949" s="2">
        <v>20</v>
      </c>
      <c r="L1949" s="2">
        <v>1</v>
      </c>
      <c r="M1949" s="3" t="s">
        <v>109</v>
      </c>
      <c r="N1949" s="3" t="s">
        <v>2133</v>
      </c>
      <c r="O1949" s="3" t="s">
        <v>61</v>
      </c>
      <c r="P1949" s="3" t="s">
        <v>2134</v>
      </c>
      <c r="Q1949" s="30" t="str">
        <f t="shared" si="30"/>
        <v>MAX : 20.06
TARGET : 20.00
MIN : 19.94</v>
      </c>
    </row>
    <row r="1950" spans="2:18" ht="41.4" x14ac:dyDescent="0.3">
      <c r="B1950">
        <v>0</v>
      </c>
      <c r="C1950" s="33">
        <v>7726</v>
      </c>
      <c r="D1950" s="2">
        <v>1140</v>
      </c>
      <c r="E1950" s="2" t="s">
        <v>9538</v>
      </c>
      <c r="F1950" s="3" t="s">
        <v>14206</v>
      </c>
      <c r="G1950" s="3" t="s">
        <v>1665</v>
      </c>
      <c r="H1950" s="3" t="s">
        <v>2526</v>
      </c>
      <c r="I1950" s="3" t="s">
        <v>575</v>
      </c>
      <c r="K1950" s="2">
        <v>10</v>
      </c>
      <c r="L1950" s="2">
        <v>5</v>
      </c>
      <c r="M1950" s="3" t="s">
        <v>2617</v>
      </c>
      <c r="N1950" s="3" t="s">
        <v>1523</v>
      </c>
      <c r="O1950" s="3" t="s">
        <v>1524</v>
      </c>
      <c r="P1950" s="3" t="s">
        <v>1525</v>
      </c>
      <c r="Q1950" s="30" t="str">
        <f t="shared" si="30"/>
        <v>MAX : 1.660
TARGET : 1.640
MIN : 1.620</v>
      </c>
    </row>
    <row r="1951" spans="2:18" ht="41.4" x14ac:dyDescent="0.3">
      <c r="B1951">
        <v>1</v>
      </c>
      <c r="C1951" s="33">
        <v>7211</v>
      </c>
      <c r="D1951" s="2">
        <v>1092</v>
      </c>
      <c r="E1951" s="2" t="s">
        <v>8965</v>
      </c>
      <c r="F1951" s="3" t="s">
        <v>14206</v>
      </c>
      <c r="H1951" s="3" t="s">
        <v>2116</v>
      </c>
      <c r="K1951" s="2">
        <v>20</v>
      </c>
      <c r="L1951" s="2">
        <v>3</v>
      </c>
      <c r="M1951" s="3" t="s">
        <v>2144</v>
      </c>
      <c r="N1951" s="3" t="s">
        <v>2145</v>
      </c>
      <c r="O1951" s="3" t="s">
        <v>247</v>
      </c>
      <c r="P1951" s="3" t="s">
        <v>979</v>
      </c>
      <c r="Q1951" s="30" t="str">
        <f t="shared" si="30"/>
        <v>MAX : 0.44
TARGET : 0.38
MIN : 0.32</v>
      </c>
    </row>
    <row r="1952" spans="2:18" ht="41.4" x14ac:dyDescent="0.3">
      <c r="B1952">
        <v>1</v>
      </c>
      <c r="C1952" s="33">
        <v>7233</v>
      </c>
      <c r="D1952" s="2">
        <v>1093</v>
      </c>
      <c r="E1952" s="2" t="s">
        <v>8980</v>
      </c>
      <c r="F1952" s="3" t="s">
        <v>14207</v>
      </c>
      <c r="H1952" s="3" t="s">
        <v>2138</v>
      </c>
      <c r="K1952" s="2">
        <v>10</v>
      </c>
      <c r="L1952" s="2">
        <v>2</v>
      </c>
      <c r="M1952" s="3" t="s">
        <v>198</v>
      </c>
      <c r="N1952" s="3" t="s">
        <v>2139</v>
      </c>
      <c r="O1952" s="3" t="s">
        <v>2140</v>
      </c>
      <c r="P1952" s="3" t="s">
        <v>2141</v>
      </c>
      <c r="Q1952" s="30" t="str">
        <f t="shared" si="30"/>
        <v>MAX : 460
TARGET : 450
MIN : 440</v>
      </c>
    </row>
    <row r="1953" spans="2:17" ht="41.4" x14ac:dyDescent="0.3">
      <c r="B1953">
        <v>0</v>
      </c>
      <c r="C1953" s="33">
        <v>7769</v>
      </c>
      <c r="D1953" s="2">
        <v>1913</v>
      </c>
      <c r="E1953" s="2" t="s">
        <v>9619</v>
      </c>
      <c r="F1953" s="3" t="s">
        <v>14206</v>
      </c>
      <c r="H1953" s="3" t="s">
        <v>11</v>
      </c>
      <c r="K1953" s="2">
        <v>10</v>
      </c>
      <c r="L1953" s="2">
        <v>4</v>
      </c>
      <c r="M1953" s="3" t="s">
        <v>2619</v>
      </c>
      <c r="N1953" s="3" t="s">
        <v>13</v>
      </c>
      <c r="O1953" s="3" t="s">
        <v>14</v>
      </c>
      <c r="Q1953" s="30" t="str">
        <f t="shared" si="30"/>
        <v>MAX : 
TARGET : Yes(Pass)
MIN : No(Fail)</v>
      </c>
    </row>
    <row r="1954" spans="2:17" ht="41.4" x14ac:dyDescent="0.3">
      <c r="B1954">
        <v>0</v>
      </c>
      <c r="C1954" s="33">
        <v>7769</v>
      </c>
      <c r="D1954" s="2">
        <v>1913</v>
      </c>
      <c r="E1954" s="2" t="s">
        <v>9619</v>
      </c>
      <c r="F1954" s="3" t="s">
        <v>14206</v>
      </c>
      <c r="H1954" s="3" t="s">
        <v>11</v>
      </c>
      <c r="K1954" s="2">
        <v>10</v>
      </c>
      <c r="L1954" s="2">
        <v>5</v>
      </c>
      <c r="M1954" s="3" t="s">
        <v>611</v>
      </c>
      <c r="N1954" s="3" t="s">
        <v>13</v>
      </c>
      <c r="O1954" s="3" t="s">
        <v>14</v>
      </c>
      <c r="Q1954" s="30" t="str">
        <f t="shared" si="30"/>
        <v>MAX : 
TARGET : Yes(Pass)
MIN : No(Fail)</v>
      </c>
    </row>
    <row r="1955" spans="2:17" ht="41.4" x14ac:dyDescent="0.3">
      <c r="B1955">
        <v>1</v>
      </c>
      <c r="C1955" s="33">
        <v>7233</v>
      </c>
      <c r="D1955" s="2">
        <v>1093</v>
      </c>
      <c r="E1955" s="2" t="s">
        <v>8980</v>
      </c>
      <c r="F1955" s="3" t="s">
        <v>14207</v>
      </c>
      <c r="H1955" s="3" t="s">
        <v>2138</v>
      </c>
      <c r="K1955" s="2">
        <v>10</v>
      </c>
      <c r="L1955" s="2">
        <v>1</v>
      </c>
      <c r="M1955" s="3" t="s">
        <v>194</v>
      </c>
      <c r="N1955" s="3" t="s">
        <v>2139</v>
      </c>
      <c r="O1955" s="3" t="s">
        <v>2140</v>
      </c>
      <c r="P1955" s="3" t="s">
        <v>2141</v>
      </c>
      <c r="Q1955" s="30" t="str">
        <f t="shared" si="30"/>
        <v>MAX : 460
TARGET : 450
MIN : 440</v>
      </c>
    </row>
    <row r="1956" spans="2:17" ht="41.4" x14ac:dyDescent="0.3">
      <c r="B1956">
        <v>1</v>
      </c>
      <c r="C1956" s="33">
        <v>7262</v>
      </c>
      <c r="D1956" s="2">
        <v>1094</v>
      </c>
      <c r="E1956" s="2" t="s">
        <v>8988</v>
      </c>
      <c r="F1956" s="3" t="s">
        <v>14206</v>
      </c>
      <c r="H1956" s="3" t="s">
        <v>1328</v>
      </c>
      <c r="K1956" s="2">
        <v>20</v>
      </c>
      <c r="L1956" s="2">
        <v>1</v>
      </c>
      <c r="M1956" s="3" t="s">
        <v>2148</v>
      </c>
      <c r="N1956" s="3" t="s">
        <v>13</v>
      </c>
      <c r="O1956" s="3" t="s">
        <v>14</v>
      </c>
      <c r="Q1956" s="30" t="str">
        <f t="shared" si="30"/>
        <v>MAX : 
TARGET : Yes(Pass)
MIN : No(Fail)</v>
      </c>
    </row>
    <row r="1957" spans="2:17" ht="41.4" x14ac:dyDescent="0.3">
      <c r="B1957">
        <v>0</v>
      </c>
      <c r="C1957" s="33">
        <v>7726</v>
      </c>
      <c r="D1957" s="2">
        <v>1140</v>
      </c>
      <c r="E1957" s="2" t="s">
        <v>9538</v>
      </c>
      <c r="F1957" s="3" t="s">
        <v>14206</v>
      </c>
      <c r="G1957" s="3" t="s">
        <v>1665</v>
      </c>
      <c r="H1957" s="3" t="s">
        <v>2526</v>
      </c>
      <c r="I1957" s="3" t="s">
        <v>575</v>
      </c>
      <c r="K1957" s="2">
        <v>20</v>
      </c>
      <c r="L1957" s="2">
        <v>3</v>
      </c>
      <c r="M1957" s="3" t="s">
        <v>2622</v>
      </c>
      <c r="N1957" s="3" t="s">
        <v>24</v>
      </c>
      <c r="O1957" s="3" t="s">
        <v>25</v>
      </c>
      <c r="Q1957" s="30" t="str">
        <f t="shared" si="30"/>
        <v>MAX : 
TARGET : Yes (Pass)
MIN : No (Fail)</v>
      </c>
    </row>
    <row r="1958" spans="2:17" ht="41.4" x14ac:dyDescent="0.3">
      <c r="B1958">
        <v>0</v>
      </c>
      <c r="C1958" s="33">
        <v>7726</v>
      </c>
      <c r="D1958" s="2">
        <v>1140</v>
      </c>
      <c r="E1958" s="2" t="s">
        <v>9538</v>
      </c>
      <c r="F1958" s="3" t="s">
        <v>14206</v>
      </c>
      <c r="G1958" s="3" t="s">
        <v>1665</v>
      </c>
      <c r="H1958" s="3" t="s">
        <v>2526</v>
      </c>
      <c r="I1958" s="3" t="s">
        <v>575</v>
      </c>
      <c r="K1958" s="2">
        <v>20</v>
      </c>
      <c r="L1958" s="2">
        <v>4</v>
      </c>
      <c r="M1958" s="3" t="s">
        <v>2623</v>
      </c>
      <c r="N1958" s="3" t="s">
        <v>24</v>
      </c>
      <c r="O1958" s="3" t="s">
        <v>25</v>
      </c>
      <c r="Q1958" s="30" t="str">
        <f t="shared" si="30"/>
        <v>MAX : 
TARGET : Yes (Pass)
MIN : No (Fail)</v>
      </c>
    </row>
    <row r="1959" spans="2:17" ht="41.4" x14ac:dyDescent="0.3">
      <c r="B1959">
        <v>0</v>
      </c>
      <c r="C1959" s="33">
        <v>7726</v>
      </c>
      <c r="D1959" s="2">
        <v>1140</v>
      </c>
      <c r="E1959" s="2" t="s">
        <v>9538</v>
      </c>
      <c r="F1959" s="3" t="s">
        <v>14206</v>
      </c>
      <c r="G1959" s="3" t="s">
        <v>1665</v>
      </c>
      <c r="H1959" s="3" t="s">
        <v>2526</v>
      </c>
      <c r="I1959" s="3" t="s">
        <v>575</v>
      </c>
      <c r="K1959" s="2">
        <v>20</v>
      </c>
      <c r="L1959" s="2">
        <v>5</v>
      </c>
      <c r="M1959" s="3" t="s">
        <v>2624</v>
      </c>
      <c r="N1959" s="3" t="s">
        <v>24</v>
      </c>
      <c r="O1959" s="3" t="s">
        <v>25</v>
      </c>
      <c r="Q1959" s="30" t="str">
        <f t="shared" si="30"/>
        <v>MAX : 
TARGET : Yes (Pass)
MIN : No (Fail)</v>
      </c>
    </row>
    <row r="1960" spans="2:17" ht="41.4" x14ac:dyDescent="0.3">
      <c r="B1960">
        <v>0</v>
      </c>
      <c r="C1960" s="33">
        <v>7726</v>
      </c>
      <c r="D1960" s="2">
        <v>1140</v>
      </c>
      <c r="E1960" s="2" t="s">
        <v>9538</v>
      </c>
      <c r="F1960" s="3" t="s">
        <v>14206</v>
      </c>
      <c r="G1960" s="3" t="s">
        <v>1665</v>
      </c>
      <c r="H1960" s="3" t="s">
        <v>2526</v>
      </c>
      <c r="I1960" s="3" t="s">
        <v>575</v>
      </c>
      <c r="K1960" s="2">
        <v>20</v>
      </c>
      <c r="L1960" s="2">
        <v>6</v>
      </c>
      <c r="M1960" s="3" t="s">
        <v>2625</v>
      </c>
      <c r="N1960" s="3" t="s">
        <v>24</v>
      </c>
      <c r="O1960" s="3" t="s">
        <v>25</v>
      </c>
      <c r="Q1960" s="30" t="str">
        <f t="shared" si="30"/>
        <v>MAX : 
TARGET : Yes (Pass)
MIN : No (Fail)</v>
      </c>
    </row>
    <row r="1961" spans="2:17" ht="41.4" x14ac:dyDescent="0.3">
      <c r="B1961">
        <v>1</v>
      </c>
      <c r="C1961" s="33">
        <v>7262</v>
      </c>
      <c r="D1961" s="2">
        <v>1094</v>
      </c>
      <c r="E1961" s="2" t="s">
        <v>8988</v>
      </c>
      <c r="F1961" s="3" t="s">
        <v>14206</v>
      </c>
      <c r="H1961" s="3" t="s">
        <v>1328</v>
      </c>
      <c r="K1961" s="2">
        <v>10</v>
      </c>
      <c r="L1961" s="2">
        <v>1</v>
      </c>
      <c r="M1961" s="3" t="s">
        <v>2147</v>
      </c>
      <c r="N1961" s="3" t="s">
        <v>13</v>
      </c>
      <c r="O1961" s="3" t="s">
        <v>14</v>
      </c>
      <c r="Q1961" s="30" t="str">
        <f t="shared" si="30"/>
        <v>MAX : 
TARGET : Yes(Pass)
MIN : No(Fail)</v>
      </c>
    </row>
    <row r="1962" spans="2:17" ht="41.4" x14ac:dyDescent="0.3">
      <c r="B1962">
        <v>1</v>
      </c>
      <c r="C1962" s="33">
        <v>7263</v>
      </c>
      <c r="D1962" s="2">
        <v>1095</v>
      </c>
      <c r="E1962" s="2" t="s">
        <v>8995</v>
      </c>
      <c r="F1962" s="3" t="s">
        <v>14206</v>
      </c>
      <c r="H1962" s="3" t="s">
        <v>1328</v>
      </c>
      <c r="K1962" s="2">
        <v>20</v>
      </c>
      <c r="L1962" s="2">
        <v>1</v>
      </c>
      <c r="M1962" s="3" t="s">
        <v>2148</v>
      </c>
      <c r="N1962" s="3" t="s">
        <v>13</v>
      </c>
      <c r="O1962" s="3" t="s">
        <v>14</v>
      </c>
      <c r="Q1962" s="30" t="str">
        <f t="shared" si="30"/>
        <v>MAX : 
TARGET : Yes(Pass)
MIN : No(Fail)</v>
      </c>
    </row>
    <row r="1963" spans="2:17" ht="41.4" x14ac:dyDescent="0.3">
      <c r="B1963">
        <v>0</v>
      </c>
      <c r="C1963" s="33">
        <v>7776</v>
      </c>
      <c r="D1963" s="2">
        <v>1149</v>
      </c>
      <c r="E1963" s="2" t="s">
        <v>9627</v>
      </c>
      <c r="F1963" s="3" t="s">
        <v>14206</v>
      </c>
      <c r="H1963" s="3" t="s">
        <v>1130</v>
      </c>
      <c r="K1963" s="2">
        <v>10</v>
      </c>
      <c r="L1963" s="2">
        <v>3</v>
      </c>
      <c r="M1963" s="3" t="s">
        <v>2628</v>
      </c>
      <c r="N1963" s="3" t="s">
        <v>13</v>
      </c>
      <c r="O1963" s="3" t="s">
        <v>14</v>
      </c>
      <c r="Q1963" s="30" t="str">
        <f t="shared" si="30"/>
        <v>MAX : 
TARGET : Yes(Pass)
MIN : No(Fail)</v>
      </c>
    </row>
    <row r="1964" spans="2:17" ht="41.4" x14ac:dyDescent="0.3">
      <c r="B1964">
        <v>0</v>
      </c>
      <c r="C1964" s="33">
        <v>7776</v>
      </c>
      <c r="D1964" s="2">
        <v>1149</v>
      </c>
      <c r="E1964" s="2" t="s">
        <v>9627</v>
      </c>
      <c r="F1964" s="3" t="s">
        <v>14206</v>
      </c>
      <c r="H1964" s="3" t="s">
        <v>1130</v>
      </c>
      <c r="K1964" s="2">
        <v>10</v>
      </c>
      <c r="L1964" s="2">
        <v>4</v>
      </c>
      <c r="M1964" s="3" t="s">
        <v>2629</v>
      </c>
      <c r="N1964" s="3" t="s">
        <v>13</v>
      </c>
      <c r="O1964" s="3" t="s">
        <v>14</v>
      </c>
      <c r="Q1964" s="30" t="str">
        <f t="shared" si="30"/>
        <v>MAX : 
TARGET : Yes(Pass)
MIN : No(Fail)</v>
      </c>
    </row>
    <row r="1965" spans="2:17" ht="41.4" x14ac:dyDescent="0.3">
      <c r="B1965">
        <v>0</v>
      </c>
      <c r="C1965" s="33">
        <v>7776</v>
      </c>
      <c r="D1965" s="2">
        <v>1149</v>
      </c>
      <c r="E1965" s="2" t="s">
        <v>9627</v>
      </c>
      <c r="F1965" s="3" t="s">
        <v>14206</v>
      </c>
      <c r="H1965" s="3" t="s">
        <v>1130</v>
      </c>
      <c r="K1965" s="2">
        <v>10</v>
      </c>
      <c r="L1965" s="2">
        <v>5</v>
      </c>
      <c r="M1965" s="3" t="s">
        <v>1403</v>
      </c>
      <c r="N1965" s="3" t="s">
        <v>13</v>
      </c>
      <c r="O1965" s="3" t="s">
        <v>14</v>
      </c>
      <c r="Q1965" s="30" t="str">
        <f t="shared" si="30"/>
        <v>MAX : 
TARGET : Yes(Pass)
MIN : No(Fail)</v>
      </c>
    </row>
    <row r="1966" spans="2:17" ht="41.4" x14ac:dyDescent="0.3">
      <c r="B1966">
        <v>1</v>
      </c>
      <c r="C1966" s="33">
        <v>7263</v>
      </c>
      <c r="D1966" s="2">
        <v>1095</v>
      </c>
      <c r="E1966" s="2" t="s">
        <v>8995</v>
      </c>
      <c r="F1966" s="3" t="s">
        <v>14206</v>
      </c>
      <c r="H1966" s="3" t="s">
        <v>1328</v>
      </c>
      <c r="K1966" s="2">
        <v>10</v>
      </c>
      <c r="L1966" s="2">
        <v>1</v>
      </c>
      <c r="M1966" s="3" t="s">
        <v>2147</v>
      </c>
      <c r="N1966" s="3" t="s">
        <v>13</v>
      </c>
      <c r="O1966" s="3" t="s">
        <v>14</v>
      </c>
      <c r="Q1966" s="30" t="str">
        <f t="shared" si="30"/>
        <v>MAX : 
TARGET : Yes(Pass)
MIN : No(Fail)</v>
      </c>
    </row>
    <row r="1967" spans="2:17" ht="41.4" x14ac:dyDescent="0.3">
      <c r="B1967">
        <v>1</v>
      </c>
      <c r="C1967" s="33">
        <v>7264</v>
      </c>
      <c r="D1967" s="2">
        <v>1096</v>
      </c>
      <c r="E1967" s="2" t="s">
        <v>9001</v>
      </c>
      <c r="F1967" s="3" t="s">
        <v>14206</v>
      </c>
      <c r="H1967" s="3" t="s">
        <v>2150</v>
      </c>
      <c r="K1967" s="2">
        <v>20</v>
      </c>
      <c r="L1967" s="2">
        <v>1</v>
      </c>
      <c r="M1967" s="3" t="s">
        <v>2148</v>
      </c>
      <c r="N1967" s="3" t="s">
        <v>13</v>
      </c>
      <c r="O1967" s="3" t="s">
        <v>14</v>
      </c>
      <c r="Q1967" s="30" t="str">
        <f t="shared" si="30"/>
        <v>MAX : 
TARGET : Yes(Pass)
MIN : No(Fail)</v>
      </c>
    </row>
    <row r="1968" spans="2:17" ht="41.4" x14ac:dyDescent="0.3">
      <c r="B1968">
        <v>0</v>
      </c>
      <c r="C1968" s="33">
        <v>7777</v>
      </c>
      <c r="D1968" s="2">
        <v>1914</v>
      </c>
      <c r="E1968" s="2" t="s">
        <v>9634</v>
      </c>
      <c r="F1968" s="3" t="s">
        <v>14206</v>
      </c>
      <c r="H1968" s="3" t="s">
        <v>568</v>
      </c>
      <c r="I1968" s="3" t="s">
        <v>487</v>
      </c>
      <c r="K1968" s="2">
        <v>20</v>
      </c>
      <c r="L1968" s="2">
        <v>2</v>
      </c>
      <c r="M1968" s="3" t="s">
        <v>1569</v>
      </c>
      <c r="N1968" s="3" t="s">
        <v>864</v>
      </c>
      <c r="O1968" s="3" t="s">
        <v>241</v>
      </c>
      <c r="P1968" s="3" t="s">
        <v>424</v>
      </c>
      <c r="Q1968" s="30" t="str">
        <f t="shared" si="30"/>
        <v>MAX : 0.25
TARGET : 0.125
MIN : 0</v>
      </c>
    </row>
    <row r="1969" spans="2:17" ht="41.4" x14ac:dyDescent="0.3">
      <c r="B1969">
        <v>0</v>
      </c>
      <c r="C1969" s="33">
        <v>7777</v>
      </c>
      <c r="D1969" s="2">
        <v>1914</v>
      </c>
      <c r="E1969" s="2" t="s">
        <v>9634</v>
      </c>
      <c r="F1969" s="3" t="s">
        <v>14206</v>
      </c>
      <c r="H1969" s="3" t="s">
        <v>568</v>
      </c>
      <c r="I1969" s="3" t="s">
        <v>487</v>
      </c>
      <c r="K1969" s="2">
        <v>20</v>
      </c>
      <c r="L1969" s="2">
        <v>3</v>
      </c>
      <c r="M1969" s="3" t="s">
        <v>1503</v>
      </c>
      <c r="N1969" s="3" t="s">
        <v>13</v>
      </c>
      <c r="O1969" s="3" t="s">
        <v>14</v>
      </c>
      <c r="Q1969" s="30" t="str">
        <f t="shared" si="30"/>
        <v>MAX : 
TARGET : Yes(Pass)
MIN : No(Fail)</v>
      </c>
    </row>
    <row r="1970" spans="2:17" ht="41.4" x14ac:dyDescent="0.3">
      <c r="B1970">
        <v>0</v>
      </c>
      <c r="C1970" s="33">
        <v>7777</v>
      </c>
      <c r="D1970" s="2">
        <v>1914</v>
      </c>
      <c r="E1970" s="2" t="s">
        <v>9634</v>
      </c>
      <c r="F1970" s="3" t="s">
        <v>14206</v>
      </c>
      <c r="H1970" s="3" t="s">
        <v>568</v>
      </c>
      <c r="I1970" s="3" t="s">
        <v>487</v>
      </c>
      <c r="K1970" s="2">
        <v>20</v>
      </c>
      <c r="L1970" s="2">
        <v>4</v>
      </c>
      <c r="M1970" s="3" t="s">
        <v>611</v>
      </c>
      <c r="N1970" s="3" t="s">
        <v>851</v>
      </c>
      <c r="O1970" s="3" t="s">
        <v>14</v>
      </c>
      <c r="Q1970" s="30" t="str">
        <f t="shared" si="30"/>
        <v>MAX : 
TARGET : Yes(Pass)
MIN : No(fail)</v>
      </c>
    </row>
    <row r="1971" spans="2:17" ht="41.4" x14ac:dyDescent="0.3">
      <c r="B1971">
        <v>1</v>
      </c>
      <c r="C1971" s="33">
        <v>7264</v>
      </c>
      <c r="D1971" s="2">
        <v>1096</v>
      </c>
      <c r="E1971" s="2" t="s">
        <v>9001</v>
      </c>
      <c r="F1971" s="3" t="s">
        <v>14206</v>
      </c>
      <c r="H1971" s="3" t="s">
        <v>2150</v>
      </c>
      <c r="K1971" s="2">
        <v>10</v>
      </c>
      <c r="L1971" s="2">
        <v>1</v>
      </c>
      <c r="M1971" s="3" t="s">
        <v>2147</v>
      </c>
      <c r="N1971" s="3" t="s">
        <v>13</v>
      </c>
      <c r="O1971" s="3" t="s">
        <v>14</v>
      </c>
      <c r="Q1971" s="30" t="str">
        <f t="shared" si="30"/>
        <v>MAX : 
TARGET : Yes(Pass)
MIN : No(Fail)</v>
      </c>
    </row>
    <row r="1972" spans="2:17" ht="41.4" x14ac:dyDescent="0.3">
      <c r="B1972">
        <v>1</v>
      </c>
      <c r="C1972" s="33">
        <v>7272</v>
      </c>
      <c r="D1972" s="2">
        <v>1097</v>
      </c>
      <c r="E1972" s="2" t="s">
        <v>9007</v>
      </c>
      <c r="F1972" s="3" t="s">
        <v>14206</v>
      </c>
      <c r="H1972" s="3" t="s">
        <v>426</v>
      </c>
      <c r="K1972" s="2">
        <v>10</v>
      </c>
      <c r="L1972" s="2">
        <v>2</v>
      </c>
      <c r="M1972" s="3" t="s">
        <v>570</v>
      </c>
      <c r="N1972" s="3" t="s">
        <v>2186</v>
      </c>
      <c r="O1972" s="3" t="s">
        <v>1820</v>
      </c>
      <c r="P1972" s="3" t="s">
        <v>2187</v>
      </c>
      <c r="Q1972" s="30" t="str">
        <f t="shared" si="30"/>
        <v>MAX : 3.015
TARGET : 3.000
MIN : 2.985</v>
      </c>
    </row>
    <row r="1973" spans="2:17" ht="41.4" x14ac:dyDescent="0.3">
      <c r="B1973">
        <v>0</v>
      </c>
      <c r="C1973" s="33">
        <v>7780</v>
      </c>
      <c r="D1973" s="2">
        <v>1915</v>
      </c>
      <c r="E1973" s="2" t="s">
        <v>9641</v>
      </c>
      <c r="F1973" s="3" t="s">
        <v>14206</v>
      </c>
      <c r="H1973" s="3" t="s">
        <v>870</v>
      </c>
      <c r="K1973" s="2">
        <v>10</v>
      </c>
      <c r="L1973" s="2">
        <v>3</v>
      </c>
      <c r="M1973" s="3" t="s">
        <v>2098</v>
      </c>
      <c r="N1973" s="3" t="s">
        <v>13</v>
      </c>
      <c r="O1973" s="3" t="s">
        <v>14</v>
      </c>
      <c r="Q1973" s="30" t="str">
        <f t="shared" si="30"/>
        <v>MAX : 
TARGET : Yes(Pass)
MIN : No(Fail)</v>
      </c>
    </row>
    <row r="1974" spans="2:17" ht="41.4" x14ac:dyDescent="0.3">
      <c r="B1974">
        <v>0</v>
      </c>
      <c r="C1974" s="33">
        <v>7780</v>
      </c>
      <c r="D1974" s="2">
        <v>1915</v>
      </c>
      <c r="E1974" s="2" t="s">
        <v>9641</v>
      </c>
      <c r="F1974" s="3" t="s">
        <v>14206</v>
      </c>
      <c r="H1974" s="3" t="s">
        <v>870</v>
      </c>
      <c r="K1974" s="2">
        <v>20</v>
      </c>
      <c r="L1974" s="2">
        <v>1</v>
      </c>
      <c r="M1974" s="3" t="s">
        <v>2631</v>
      </c>
      <c r="N1974" s="3" t="s">
        <v>13</v>
      </c>
      <c r="O1974" s="3" t="s">
        <v>14</v>
      </c>
      <c r="Q1974" s="30" t="str">
        <f t="shared" si="30"/>
        <v>MAX : 
TARGET : Yes(Pass)
MIN : No(Fail)</v>
      </c>
    </row>
    <row r="1975" spans="2:17" ht="41.4" x14ac:dyDescent="0.3">
      <c r="B1975">
        <v>0</v>
      </c>
      <c r="C1975" s="33">
        <v>7780</v>
      </c>
      <c r="D1975" s="2">
        <v>1915</v>
      </c>
      <c r="E1975" s="2" t="s">
        <v>9641</v>
      </c>
      <c r="F1975" s="3" t="s">
        <v>14206</v>
      </c>
      <c r="H1975" s="3" t="s">
        <v>870</v>
      </c>
      <c r="K1975" s="2">
        <v>20</v>
      </c>
      <c r="L1975" s="2">
        <v>2</v>
      </c>
      <c r="M1975" s="3" t="s">
        <v>2632</v>
      </c>
      <c r="N1975" s="3" t="s">
        <v>13</v>
      </c>
      <c r="O1975" s="3" t="s">
        <v>14</v>
      </c>
      <c r="Q1975" s="30" t="str">
        <f t="shared" si="30"/>
        <v>MAX : 
TARGET : Yes(Pass)
MIN : No(Fail)</v>
      </c>
    </row>
    <row r="1976" spans="2:17" ht="41.4" x14ac:dyDescent="0.3">
      <c r="B1976">
        <v>1</v>
      </c>
      <c r="C1976" s="33">
        <v>7272</v>
      </c>
      <c r="D1976" s="2">
        <v>1097</v>
      </c>
      <c r="E1976" s="2" t="s">
        <v>9007</v>
      </c>
      <c r="F1976" s="3" t="s">
        <v>14206</v>
      </c>
      <c r="H1976" s="3" t="s">
        <v>426</v>
      </c>
      <c r="K1976" s="2">
        <v>10</v>
      </c>
      <c r="L1976" s="2">
        <v>5</v>
      </c>
      <c r="M1976" s="3" t="s">
        <v>569</v>
      </c>
      <c r="N1976" s="3" t="s">
        <v>2267</v>
      </c>
      <c r="O1976" s="3" t="s">
        <v>521</v>
      </c>
      <c r="P1976" s="3" t="s">
        <v>2268</v>
      </c>
      <c r="Q1976" s="30" t="str">
        <f t="shared" si="30"/>
        <v>MAX : 3.781
TARGET : 3.750
MIN : 3.718</v>
      </c>
    </row>
    <row r="1977" spans="2:17" ht="41.4" x14ac:dyDescent="0.3">
      <c r="B1977">
        <v>1</v>
      </c>
      <c r="C1977" s="33">
        <v>7272</v>
      </c>
      <c r="D1977" s="2">
        <v>1097</v>
      </c>
      <c r="E1977" s="2" t="s">
        <v>9007</v>
      </c>
      <c r="F1977" s="3" t="s">
        <v>14206</v>
      </c>
      <c r="H1977" s="3" t="s">
        <v>426</v>
      </c>
      <c r="K1977" s="2">
        <v>10</v>
      </c>
      <c r="L1977" s="2">
        <v>1</v>
      </c>
      <c r="M1977" s="3" t="s">
        <v>194</v>
      </c>
      <c r="N1977" s="3" t="s">
        <v>700</v>
      </c>
      <c r="O1977" s="3" t="s">
        <v>276</v>
      </c>
      <c r="P1977" s="3" t="s">
        <v>2185</v>
      </c>
      <c r="Q1977" s="30" t="str">
        <f t="shared" si="30"/>
        <v>MAX : 0.390
TARGET : 0.375
MIN : 0.360</v>
      </c>
    </row>
    <row r="1978" spans="2:17" ht="41.4" x14ac:dyDescent="0.3">
      <c r="B1978">
        <v>0</v>
      </c>
      <c r="C1978" s="33">
        <v>7784</v>
      </c>
      <c r="D1978" s="2">
        <v>1916</v>
      </c>
      <c r="E1978" s="2" t="s">
        <v>9648</v>
      </c>
      <c r="F1978" s="3" t="s">
        <v>14206</v>
      </c>
      <c r="G1978" s="3" t="s">
        <v>2633</v>
      </c>
      <c r="H1978" s="3" t="s">
        <v>98</v>
      </c>
      <c r="K1978" s="2">
        <v>10</v>
      </c>
      <c r="L1978" s="2">
        <v>4</v>
      </c>
      <c r="M1978" s="3" t="s">
        <v>2635</v>
      </c>
      <c r="N1978" s="3" t="s">
        <v>13</v>
      </c>
      <c r="O1978" s="3" t="s">
        <v>14</v>
      </c>
      <c r="Q1978" s="30" t="str">
        <f t="shared" si="30"/>
        <v>MAX : 
TARGET : Yes(Pass)
MIN : No(Fail)</v>
      </c>
    </row>
    <row r="1979" spans="2:17" ht="41.4" x14ac:dyDescent="0.3">
      <c r="B1979">
        <v>1</v>
      </c>
      <c r="C1979" s="33">
        <v>7272</v>
      </c>
      <c r="D1979" s="2">
        <v>1097</v>
      </c>
      <c r="E1979" s="2" t="s">
        <v>9007</v>
      </c>
      <c r="F1979" s="3" t="s">
        <v>14206</v>
      </c>
      <c r="H1979" s="3" t="s">
        <v>426</v>
      </c>
      <c r="K1979" s="2">
        <v>10</v>
      </c>
      <c r="L1979" s="2">
        <v>4</v>
      </c>
      <c r="M1979" s="3" t="s">
        <v>422</v>
      </c>
      <c r="N1979" s="3" t="s">
        <v>1602</v>
      </c>
      <c r="O1979" s="3" t="s">
        <v>281</v>
      </c>
      <c r="P1979" s="3" t="s">
        <v>1603</v>
      </c>
      <c r="Q1979" s="30" t="str">
        <f t="shared" si="30"/>
        <v>MAX : 0.265
TARGET : 0.250
MIN : 0.235</v>
      </c>
    </row>
    <row r="1980" spans="2:17" ht="41.4" x14ac:dyDescent="0.3">
      <c r="B1980">
        <v>1</v>
      </c>
      <c r="C1980" s="33">
        <v>7273</v>
      </c>
      <c r="D1980" s="2">
        <v>1098</v>
      </c>
      <c r="E1980" s="2" t="s">
        <v>9014</v>
      </c>
      <c r="F1980" s="3" t="s">
        <v>14207</v>
      </c>
      <c r="H1980" s="3" t="s">
        <v>2151</v>
      </c>
      <c r="K1980" s="2">
        <v>10</v>
      </c>
      <c r="L1980" s="2">
        <v>4</v>
      </c>
      <c r="M1980" s="3" t="s">
        <v>346</v>
      </c>
      <c r="N1980" s="3" t="s">
        <v>2174</v>
      </c>
      <c r="O1980" s="3" t="s">
        <v>2175</v>
      </c>
      <c r="P1980" s="3" t="s">
        <v>2176</v>
      </c>
      <c r="Q1980" s="30" t="str">
        <f t="shared" si="30"/>
        <v>MAX : 18.73
TARGET : 18.60
MIN : 18.47</v>
      </c>
    </row>
    <row r="1981" spans="2:17" ht="41.4" x14ac:dyDescent="0.3">
      <c r="B1981">
        <v>0</v>
      </c>
      <c r="C1981" s="33">
        <v>7786</v>
      </c>
      <c r="D1981" s="2">
        <v>1150</v>
      </c>
      <c r="E1981" s="2" t="s">
        <v>9655</v>
      </c>
      <c r="F1981" s="3" t="s">
        <v>14207</v>
      </c>
      <c r="H1981" s="3" t="s">
        <v>2636</v>
      </c>
      <c r="K1981" s="2">
        <v>20</v>
      </c>
      <c r="L1981" s="2">
        <v>6</v>
      </c>
      <c r="M1981" s="3" t="s">
        <v>134</v>
      </c>
      <c r="N1981" s="3" t="s">
        <v>13</v>
      </c>
      <c r="O1981" s="3" t="s">
        <v>14</v>
      </c>
      <c r="Q1981" s="30" t="str">
        <f t="shared" si="30"/>
        <v>MAX : 
TARGET : Yes(Pass)
MIN : No(Fail)</v>
      </c>
    </row>
    <row r="1982" spans="2:17" ht="41.4" x14ac:dyDescent="0.3">
      <c r="B1982">
        <v>0</v>
      </c>
      <c r="C1982" s="33">
        <v>7786</v>
      </c>
      <c r="D1982" s="2">
        <v>1150</v>
      </c>
      <c r="E1982" s="2" t="s">
        <v>9655</v>
      </c>
      <c r="F1982" s="3" t="s">
        <v>14207</v>
      </c>
      <c r="H1982" s="3" t="s">
        <v>2636</v>
      </c>
      <c r="K1982" s="2">
        <v>20</v>
      </c>
      <c r="L1982" s="2">
        <v>7</v>
      </c>
      <c r="M1982" s="3" t="s">
        <v>2642</v>
      </c>
      <c r="N1982" s="3" t="s">
        <v>13</v>
      </c>
      <c r="O1982" s="3" t="s">
        <v>14</v>
      </c>
      <c r="Q1982" s="30" t="str">
        <f t="shared" si="30"/>
        <v>MAX : 
TARGET : Yes(Pass)
MIN : No(Fail)</v>
      </c>
    </row>
    <row r="1983" spans="2:17" ht="41.4" x14ac:dyDescent="0.3">
      <c r="B1983">
        <v>1</v>
      </c>
      <c r="C1983" s="33">
        <v>7273</v>
      </c>
      <c r="D1983" s="2">
        <v>1098</v>
      </c>
      <c r="E1983" s="2" t="s">
        <v>9014</v>
      </c>
      <c r="F1983" s="3" t="s">
        <v>14207</v>
      </c>
      <c r="H1983" s="3" t="s">
        <v>2151</v>
      </c>
      <c r="K1983" s="2">
        <v>10</v>
      </c>
      <c r="L1983" s="2">
        <v>3</v>
      </c>
      <c r="M1983" s="3" t="s">
        <v>335</v>
      </c>
      <c r="N1983" s="3" t="s">
        <v>2171</v>
      </c>
      <c r="O1983" s="3" t="s">
        <v>2172</v>
      </c>
      <c r="P1983" s="3" t="s">
        <v>2173</v>
      </c>
      <c r="Q1983" s="30" t="str">
        <f t="shared" si="30"/>
        <v>MAX : 23.43
TARGET : 23.30
MIN : 23.17</v>
      </c>
    </row>
    <row r="1984" spans="2:17" ht="41.4" x14ac:dyDescent="0.3">
      <c r="B1984">
        <v>1</v>
      </c>
      <c r="C1984" s="33">
        <v>7273</v>
      </c>
      <c r="D1984" s="2">
        <v>1098</v>
      </c>
      <c r="E1984" s="2" t="s">
        <v>9014</v>
      </c>
      <c r="F1984" s="3" t="s">
        <v>14207</v>
      </c>
      <c r="H1984" s="3" t="s">
        <v>2151</v>
      </c>
      <c r="K1984" s="2">
        <v>10</v>
      </c>
      <c r="L1984" s="2">
        <v>1</v>
      </c>
      <c r="M1984" s="3" t="s">
        <v>2165</v>
      </c>
      <c r="N1984" s="3" t="s">
        <v>4731</v>
      </c>
      <c r="O1984" s="3" t="s">
        <v>2385</v>
      </c>
      <c r="P1984" s="3" t="s">
        <v>4732</v>
      </c>
      <c r="Q1984" s="30" t="str">
        <f t="shared" si="30"/>
        <v>MAX : 38.23
TARGET : 38.10
MIN : 37.97</v>
      </c>
    </row>
    <row r="1985" spans="2:18" ht="41.4" x14ac:dyDescent="0.3">
      <c r="B1985">
        <v>0</v>
      </c>
      <c r="C1985" s="33">
        <v>7789</v>
      </c>
      <c r="D1985" s="2">
        <v>1151</v>
      </c>
      <c r="E1985" s="2" t="s">
        <v>9663</v>
      </c>
      <c r="F1985" s="29" t="s">
        <v>14225</v>
      </c>
      <c r="H1985" s="3" t="s">
        <v>2138</v>
      </c>
      <c r="K1985" s="2">
        <v>10</v>
      </c>
      <c r="L1985" s="2">
        <v>3</v>
      </c>
      <c r="M1985" s="3" t="s">
        <v>2645</v>
      </c>
      <c r="N1985" s="3" t="s">
        <v>24</v>
      </c>
      <c r="O1985" s="3" t="s">
        <v>25</v>
      </c>
      <c r="Q1985" s="30" t="str">
        <f t="shared" si="30"/>
        <v>MAX : 
TARGET : Yes (Pass)
MIN : No (Fail)</v>
      </c>
      <c r="R1985" s="3" t="s">
        <v>1638</v>
      </c>
    </row>
    <row r="1986" spans="2:18" ht="41.4" x14ac:dyDescent="0.3">
      <c r="B1986">
        <v>0</v>
      </c>
      <c r="C1986" s="33">
        <v>7789</v>
      </c>
      <c r="D1986" s="2">
        <v>1151</v>
      </c>
      <c r="E1986" s="2" t="s">
        <v>9663</v>
      </c>
      <c r="F1986" s="29" t="s">
        <v>14225</v>
      </c>
      <c r="H1986" s="3" t="s">
        <v>2138</v>
      </c>
      <c r="K1986" s="2">
        <v>10</v>
      </c>
      <c r="L1986" s="2">
        <v>4</v>
      </c>
      <c r="M1986" s="3" t="s">
        <v>2646</v>
      </c>
      <c r="N1986" s="3" t="s">
        <v>241</v>
      </c>
      <c r="O1986" s="3" t="s">
        <v>424</v>
      </c>
      <c r="P1986" s="3" t="s">
        <v>276</v>
      </c>
      <c r="Q1986" s="30" t="str">
        <f t="shared" ref="Q1986:Q2049" si="31">"MAX : " &amp; P1986 &amp; CHAR(10) &amp; "TARGET : " &amp; O1986 &amp; CHAR(10) &amp; "MIN : " &amp; N1986</f>
        <v>MAX : 0.375
TARGET : 0.25
MIN : 0.125</v>
      </c>
      <c r="R1986" s="3" t="s">
        <v>1638</v>
      </c>
    </row>
    <row r="1987" spans="2:18" ht="41.4" x14ac:dyDescent="0.3">
      <c r="B1987">
        <v>0</v>
      </c>
      <c r="C1987" s="33">
        <v>7789</v>
      </c>
      <c r="D1987" s="2">
        <v>1151</v>
      </c>
      <c r="E1987" s="2" t="s">
        <v>9663</v>
      </c>
      <c r="F1987" s="29" t="s">
        <v>14225</v>
      </c>
      <c r="H1987" s="3" t="s">
        <v>2138</v>
      </c>
      <c r="K1987" s="2">
        <v>10</v>
      </c>
      <c r="L1987" s="2">
        <v>5</v>
      </c>
      <c r="M1987" s="3" t="s">
        <v>2647</v>
      </c>
      <c r="N1987" s="3" t="s">
        <v>13</v>
      </c>
      <c r="O1987" s="3" t="s">
        <v>14</v>
      </c>
      <c r="Q1987" s="30" t="str">
        <f t="shared" si="31"/>
        <v>MAX : 
TARGET : Yes(Pass)
MIN : No(Fail)</v>
      </c>
      <c r="R1987" s="3" t="s">
        <v>1638</v>
      </c>
    </row>
    <row r="1988" spans="2:18" ht="41.4" x14ac:dyDescent="0.3">
      <c r="B1988">
        <v>0</v>
      </c>
      <c r="C1988" s="33">
        <v>7789</v>
      </c>
      <c r="D1988" s="2">
        <v>1151</v>
      </c>
      <c r="E1988" s="2" t="s">
        <v>9663</v>
      </c>
      <c r="F1988" s="29" t="s">
        <v>14225</v>
      </c>
      <c r="H1988" s="3" t="s">
        <v>2138</v>
      </c>
      <c r="K1988" s="2">
        <v>10</v>
      </c>
      <c r="L1988" s="2">
        <v>6</v>
      </c>
      <c r="M1988" s="3" t="s">
        <v>2648</v>
      </c>
      <c r="N1988" s="3" t="s">
        <v>13</v>
      </c>
      <c r="O1988" s="3" t="s">
        <v>14</v>
      </c>
      <c r="Q1988" s="30" t="str">
        <f t="shared" si="31"/>
        <v>MAX : 
TARGET : Yes(Pass)
MIN : No(Fail)</v>
      </c>
      <c r="R1988" s="3" t="s">
        <v>1638</v>
      </c>
    </row>
    <row r="1989" spans="2:18" ht="41.4" x14ac:dyDescent="0.3">
      <c r="B1989">
        <v>1</v>
      </c>
      <c r="C1989" s="33">
        <v>7273</v>
      </c>
      <c r="D1989" s="2">
        <v>1098</v>
      </c>
      <c r="E1989" s="2" t="s">
        <v>9014</v>
      </c>
      <c r="F1989" s="3" t="s">
        <v>14207</v>
      </c>
      <c r="H1989" s="3" t="s">
        <v>2151</v>
      </c>
      <c r="K1989" s="2">
        <v>10</v>
      </c>
      <c r="L1989" s="2">
        <v>11</v>
      </c>
      <c r="M1989" s="3" t="s">
        <v>4887</v>
      </c>
      <c r="N1989" s="3" t="s">
        <v>360</v>
      </c>
      <c r="O1989" s="3" t="s">
        <v>359</v>
      </c>
      <c r="Q1989" s="30" t="str">
        <f t="shared" si="31"/>
        <v>MAX : 
TARGET : Pass
MIN : Fail</v>
      </c>
    </row>
    <row r="1990" spans="2:18" ht="41.4" x14ac:dyDescent="0.3">
      <c r="B1990">
        <v>1</v>
      </c>
      <c r="C1990" s="33">
        <v>7274</v>
      </c>
      <c r="D1990" s="2">
        <v>1099</v>
      </c>
      <c r="E1990" s="2" t="s">
        <v>9022</v>
      </c>
      <c r="F1990" s="3" t="s">
        <v>14207</v>
      </c>
      <c r="H1990" s="3" t="s">
        <v>2151</v>
      </c>
      <c r="K1990" s="2">
        <v>10</v>
      </c>
      <c r="L1990" s="2">
        <v>4</v>
      </c>
      <c r="M1990" s="3" t="s">
        <v>2153</v>
      </c>
      <c r="N1990" s="3" t="s">
        <v>332</v>
      </c>
      <c r="O1990" s="3" t="s">
        <v>333</v>
      </c>
      <c r="P1990" s="3" t="s">
        <v>334</v>
      </c>
      <c r="Q1990" s="30" t="str">
        <f t="shared" si="31"/>
        <v>MAX : 19.17
TARGET : 19.04
MIN : 18.91</v>
      </c>
      <c r="R1990" s="3" t="s">
        <v>443</v>
      </c>
    </row>
    <row r="1991" spans="2:18" ht="41.4" x14ac:dyDescent="0.3">
      <c r="B1991">
        <v>1</v>
      </c>
      <c r="C1991" s="33">
        <v>7274</v>
      </c>
      <c r="D1991" s="2">
        <v>1099</v>
      </c>
      <c r="E1991" s="2" t="s">
        <v>9022</v>
      </c>
      <c r="F1991" s="3" t="s">
        <v>14207</v>
      </c>
      <c r="H1991" s="3" t="s">
        <v>2151</v>
      </c>
      <c r="K1991" s="2">
        <v>10</v>
      </c>
      <c r="L1991" s="2">
        <v>13</v>
      </c>
      <c r="M1991" s="3" t="s">
        <v>2205</v>
      </c>
      <c r="N1991" s="3" t="s">
        <v>339</v>
      </c>
      <c r="O1991" s="3" t="s">
        <v>340</v>
      </c>
      <c r="P1991" s="3" t="s">
        <v>163</v>
      </c>
      <c r="Q1991" s="30" t="str">
        <f t="shared" si="31"/>
        <v>MAX : 3.75
TARGET : 3.50
MIN : 3.25</v>
      </c>
      <c r="R1991" s="3" t="s">
        <v>443</v>
      </c>
    </row>
    <row r="1992" spans="2:18" ht="41.4" x14ac:dyDescent="0.3">
      <c r="B1992">
        <v>1</v>
      </c>
      <c r="C1992" s="33">
        <v>7274</v>
      </c>
      <c r="D1992" s="2">
        <v>1099</v>
      </c>
      <c r="E1992" s="2" t="s">
        <v>9022</v>
      </c>
      <c r="F1992" s="3" t="s">
        <v>14207</v>
      </c>
      <c r="H1992" s="3" t="s">
        <v>2151</v>
      </c>
      <c r="K1992" s="2">
        <v>10</v>
      </c>
      <c r="L1992" s="2">
        <v>3</v>
      </c>
      <c r="M1992" s="3" t="s">
        <v>2152</v>
      </c>
      <c r="N1992" s="3" t="s">
        <v>341</v>
      </c>
      <c r="O1992" s="3" t="s">
        <v>342</v>
      </c>
      <c r="P1992" s="3" t="s">
        <v>343</v>
      </c>
      <c r="Q1992" s="30" t="str">
        <f t="shared" si="31"/>
        <v>MAX : 2.04
TARGET : 1.79
MIN : 1.54</v>
      </c>
      <c r="R1992" s="3" t="s">
        <v>443</v>
      </c>
    </row>
    <row r="1993" spans="2:18" ht="41.4" x14ac:dyDescent="0.3">
      <c r="B1993">
        <v>0</v>
      </c>
      <c r="C1993" s="33">
        <v>7795</v>
      </c>
      <c r="D1993" s="2">
        <v>1918</v>
      </c>
      <c r="E1993" s="2" t="s">
        <v>9677</v>
      </c>
      <c r="F1993" s="3" t="s">
        <v>14206</v>
      </c>
      <c r="H1993" s="3" t="s">
        <v>721</v>
      </c>
      <c r="K1993" s="2">
        <v>20</v>
      </c>
      <c r="L1993" s="2">
        <v>3</v>
      </c>
      <c r="M1993" s="3" t="s">
        <v>2098</v>
      </c>
      <c r="N1993" s="3" t="s">
        <v>13</v>
      </c>
      <c r="O1993" s="3" t="s">
        <v>14</v>
      </c>
      <c r="Q1993" s="30" t="str">
        <f t="shared" si="31"/>
        <v>MAX : 
TARGET : Yes(Pass)
MIN : No(Fail)</v>
      </c>
    </row>
    <row r="1994" spans="2:18" ht="41.4" x14ac:dyDescent="0.3">
      <c r="B1994">
        <v>1</v>
      </c>
      <c r="C1994" s="33">
        <v>7274</v>
      </c>
      <c r="D1994" s="2">
        <v>1099</v>
      </c>
      <c r="E1994" s="2" t="s">
        <v>9022</v>
      </c>
      <c r="F1994" s="3" t="s">
        <v>14207</v>
      </c>
      <c r="H1994" s="3" t="s">
        <v>2151</v>
      </c>
      <c r="K1994" s="2">
        <v>10</v>
      </c>
      <c r="L1994" s="2">
        <v>19</v>
      </c>
      <c r="M1994" s="3" t="s">
        <v>4887</v>
      </c>
      <c r="N1994" s="3" t="s">
        <v>360</v>
      </c>
      <c r="O1994" s="3" t="s">
        <v>359</v>
      </c>
      <c r="Q1994" s="30" t="str">
        <f t="shared" si="31"/>
        <v>MAX : 
TARGET : Pass
MIN : Fail</v>
      </c>
      <c r="R1994" s="3" t="s">
        <v>443</v>
      </c>
    </row>
    <row r="1995" spans="2:18" ht="41.4" x14ac:dyDescent="0.3">
      <c r="B1995">
        <v>1</v>
      </c>
      <c r="C1995" s="33">
        <v>7275</v>
      </c>
      <c r="D1995" s="2">
        <v>1872</v>
      </c>
      <c r="E1995" s="2" t="s">
        <v>9030</v>
      </c>
      <c r="F1995" s="3" t="s">
        <v>14207</v>
      </c>
      <c r="H1995" s="3" t="s">
        <v>412</v>
      </c>
      <c r="K1995" s="2">
        <v>10</v>
      </c>
      <c r="L1995" s="2">
        <v>2</v>
      </c>
      <c r="M1995" s="3" t="s">
        <v>2191</v>
      </c>
      <c r="N1995" s="3" t="s">
        <v>13</v>
      </c>
      <c r="O1995" s="3" t="s">
        <v>14</v>
      </c>
      <c r="Q1995" s="30" t="str">
        <f t="shared" si="31"/>
        <v>MAX : 
TARGET : Yes(Pass)
MIN : No(Fail)</v>
      </c>
    </row>
    <row r="1996" spans="2:18" ht="41.4" x14ac:dyDescent="0.3">
      <c r="B1996">
        <v>0</v>
      </c>
      <c r="C1996" s="33">
        <v>7806</v>
      </c>
      <c r="D1996" s="2">
        <v>1153</v>
      </c>
      <c r="E1996" s="2" t="s">
        <v>9690</v>
      </c>
      <c r="F1996" s="3" t="s">
        <v>14207</v>
      </c>
      <c r="H1996" s="3" t="s">
        <v>504</v>
      </c>
      <c r="K1996" s="2">
        <v>20</v>
      </c>
      <c r="L1996" s="2">
        <v>3</v>
      </c>
      <c r="M1996" s="3" t="s">
        <v>78</v>
      </c>
      <c r="N1996" s="3" t="s">
        <v>13</v>
      </c>
      <c r="O1996" s="3" t="s">
        <v>14</v>
      </c>
      <c r="Q1996" s="30" t="str">
        <f t="shared" si="31"/>
        <v>MAX : 
TARGET : Yes(Pass)
MIN : No(Fail)</v>
      </c>
    </row>
    <row r="1997" spans="2:18" ht="41.4" x14ac:dyDescent="0.3">
      <c r="B1997">
        <v>1</v>
      </c>
      <c r="C1997" s="33">
        <v>7275</v>
      </c>
      <c r="D1997" s="2">
        <v>1872</v>
      </c>
      <c r="E1997" s="2" t="s">
        <v>9030</v>
      </c>
      <c r="F1997" s="3" t="s">
        <v>14207</v>
      </c>
      <c r="H1997" s="3" t="s">
        <v>412</v>
      </c>
      <c r="K1997" s="2">
        <v>10</v>
      </c>
      <c r="L1997" s="2">
        <v>1</v>
      </c>
      <c r="M1997" s="3" t="s">
        <v>299</v>
      </c>
      <c r="N1997" s="3" t="s">
        <v>1176</v>
      </c>
      <c r="O1997" s="3" t="s">
        <v>853</v>
      </c>
      <c r="P1997" s="3" t="s">
        <v>854</v>
      </c>
      <c r="Q1997" s="30" t="str">
        <f t="shared" si="31"/>
        <v>MAX : 14.50
TARGET : 13.50
MIN : 12.50</v>
      </c>
    </row>
    <row r="1998" spans="2:18" ht="41.4" x14ac:dyDescent="0.3">
      <c r="B1998">
        <v>1</v>
      </c>
      <c r="C1998" s="33">
        <v>7296</v>
      </c>
      <c r="D1998" s="2">
        <v>1100</v>
      </c>
      <c r="E1998" s="2" t="s">
        <v>9038</v>
      </c>
      <c r="F1998" s="3" t="s">
        <v>14207</v>
      </c>
      <c r="H1998" s="3" t="s">
        <v>2151</v>
      </c>
      <c r="K1998" s="2">
        <v>10</v>
      </c>
      <c r="L1998" s="2">
        <v>4</v>
      </c>
      <c r="M1998" s="3" t="s">
        <v>331</v>
      </c>
      <c r="N1998" s="3" t="s">
        <v>2196</v>
      </c>
      <c r="O1998" s="3" t="s">
        <v>2197</v>
      </c>
      <c r="P1998" s="3" t="s">
        <v>2198</v>
      </c>
      <c r="Q1998" s="30" t="str">
        <f t="shared" si="31"/>
        <v>MAX : 12.18
TARGET : 12.05
MIN : 11.92</v>
      </c>
      <c r="R1998" s="3" t="s">
        <v>443</v>
      </c>
    </row>
    <row r="1999" spans="2:18" ht="41.4" x14ac:dyDescent="0.3">
      <c r="B1999">
        <v>1</v>
      </c>
      <c r="C1999" s="33">
        <v>7296</v>
      </c>
      <c r="D1999" s="2">
        <v>1100</v>
      </c>
      <c r="E1999" s="2" t="s">
        <v>9038</v>
      </c>
      <c r="F1999" s="3" t="s">
        <v>14207</v>
      </c>
      <c r="H1999" s="3" t="s">
        <v>2151</v>
      </c>
      <c r="K1999" s="2">
        <v>10</v>
      </c>
      <c r="L1999" s="2">
        <v>3</v>
      </c>
      <c r="M1999" s="3" t="s">
        <v>2193</v>
      </c>
      <c r="N1999" s="3" t="s">
        <v>794</v>
      </c>
      <c r="O1999" s="3" t="s">
        <v>2194</v>
      </c>
      <c r="P1999" s="3" t="s">
        <v>2195</v>
      </c>
      <c r="Q1999" s="30" t="str">
        <f t="shared" si="31"/>
        <v>MAX : 4.10
TARGET : 3.85
MIN : 3.60</v>
      </c>
      <c r="R1999" s="3" t="s">
        <v>443</v>
      </c>
    </row>
    <row r="2000" spans="2:18" ht="41.4" x14ac:dyDescent="0.3">
      <c r="B2000">
        <v>1</v>
      </c>
      <c r="C2000" s="33">
        <v>7296</v>
      </c>
      <c r="D2000" s="2">
        <v>1100</v>
      </c>
      <c r="E2000" s="2" t="s">
        <v>9038</v>
      </c>
      <c r="F2000" s="3" t="s">
        <v>14207</v>
      </c>
      <c r="H2000" s="3" t="s">
        <v>2151</v>
      </c>
      <c r="K2000" s="2">
        <v>10</v>
      </c>
      <c r="L2000" s="2">
        <v>19</v>
      </c>
      <c r="M2000" s="3" t="s">
        <v>4887</v>
      </c>
      <c r="N2000" s="3" t="s">
        <v>360</v>
      </c>
      <c r="O2000" s="3" t="s">
        <v>359</v>
      </c>
      <c r="Q2000" s="30" t="str">
        <f t="shared" si="31"/>
        <v>MAX : 
TARGET : Pass
MIN : Fail</v>
      </c>
      <c r="R2000" s="3" t="s">
        <v>443</v>
      </c>
    </row>
    <row r="2001" spans="2:18" ht="41.4" x14ac:dyDescent="0.3">
      <c r="B2001">
        <v>0</v>
      </c>
      <c r="C2001" s="33">
        <v>7821</v>
      </c>
      <c r="D2001" s="2">
        <v>1154</v>
      </c>
      <c r="E2001" s="2" t="s">
        <v>9718</v>
      </c>
      <c r="F2001" s="3" t="s">
        <v>14206</v>
      </c>
      <c r="H2001" s="3" t="s">
        <v>2655</v>
      </c>
      <c r="K2001" s="2">
        <v>10</v>
      </c>
      <c r="L2001" s="2">
        <v>3</v>
      </c>
      <c r="M2001" s="3" t="s">
        <v>78</v>
      </c>
      <c r="N2001" s="3" t="s">
        <v>13</v>
      </c>
      <c r="O2001" s="3" t="s">
        <v>14</v>
      </c>
      <c r="Q2001" s="30" t="str">
        <f t="shared" si="31"/>
        <v>MAX : 
TARGET : Yes(Pass)
MIN : No(Fail)</v>
      </c>
    </row>
    <row r="2002" spans="2:18" ht="41.4" x14ac:dyDescent="0.3">
      <c r="B2002">
        <v>0</v>
      </c>
      <c r="C2002" s="33">
        <v>7821</v>
      </c>
      <c r="D2002" s="2">
        <v>1154</v>
      </c>
      <c r="E2002" s="2" t="s">
        <v>9718</v>
      </c>
      <c r="F2002" s="3" t="s">
        <v>14206</v>
      </c>
      <c r="H2002" s="3" t="s">
        <v>2655</v>
      </c>
      <c r="K2002" s="2">
        <v>10</v>
      </c>
      <c r="L2002" s="2">
        <v>4</v>
      </c>
      <c r="M2002" s="3" t="s">
        <v>2659</v>
      </c>
      <c r="N2002" s="3" t="s">
        <v>13</v>
      </c>
      <c r="O2002" s="3" t="s">
        <v>14</v>
      </c>
      <c r="Q2002" s="30" t="str">
        <f t="shared" si="31"/>
        <v>MAX : 
TARGET : Yes(Pass)
MIN : No(Fail)</v>
      </c>
    </row>
    <row r="2003" spans="2:18" ht="41.4" x14ac:dyDescent="0.3">
      <c r="B2003">
        <v>1</v>
      </c>
      <c r="C2003" s="33">
        <v>7306</v>
      </c>
      <c r="D2003" s="2">
        <v>1873</v>
      </c>
      <c r="E2003" s="2" t="s">
        <v>9046</v>
      </c>
      <c r="F2003" s="3" t="s">
        <v>14206</v>
      </c>
      <c r="H2003" s="3" t="s">
        <v>1903</v>
      </c>
      <c r="K2003" s="2">
        <v>10</v>
      </c>
      <c r="L2003" s="2">
        <v>3</v>
      </c>
      <c r="M2003" s="3" t="s">
        <v>2226</v>
      </c>
      <c r="N2003" s="3" t="s">
        <v>13</v>
      </c>
      <c r="O2003" s="3" t="s">
        <v>14</v>
      </c>
      <c r="Q2003" s="30" t="str">
        <f t="shared" si="31"/>
        <v>MAX : 
TARGET : Yes(Pass)
MIN : No(Fail)</v>
      </c>
      <c r="R2003" s="3" t="s">
        <v>2225</v>
      </c>
    </row>
    <row r="2004" spans="2:18" ht="41.4" x14ac:dyDescent="0.3">
      <c r="B2004">
        <v>1</v>
      </c>
      <c r="C2004" s="33">
        <v>7306</v>
      </c>
      <c r="D2004" s="2">
        <v>1873</v>
      </c>
      <c r="E2004" s="2" t="s">
        <v>9046</v>
      </c>
      <c r="F2004" s="3" t="s">
        <v>14206</v>
      </c>
      <c r="H2004" s="3" t="s">
        <v>1903</v>
      </c>
      <c r="K2004" s="2">
        <v>10</v>
      </c>
      <c r="L2004" s="2">
        <v>1</v>
      </c>
      <c r="M2004" s="3" t="s">
        <v>174</v>
      </c>
      <c r="N2004" s="3" t="s">
        <v>2223</v>
      </c>
      <c r="O2004" s="3" t="s">
        <v>857</v>
      </c>
      <c r="P2004" s="3" t="s">
        <v>2224</v>
      </c>
      <c r="Q2004" s="30" t="str">
        <f t="shared" si="31"/>
        <v>MAX : 16.0625
TARGET : 16.00
MIN : 15.9375</v>
      </c>
      <c r="R2004" s="3" t="s">
        <v>2225</v>
      </c>
    </row>
    <row r="2005" spans="2:18" ht="41.4" x14ac:dyDescent="0.3">
      <c r="B2005">
        <v>0</v>
      </c>
      <c r="C2005" s="33">
        <v>7828</v>
      </c>
      <c r="D2005" s="2">
        <v>1922</v>
      </c>
      <c r="E2005" s="2" t="s">
        <v>9733</v>
      </c>
      <c r="F2005" s="3" t="s">
        <v>14226</v>
      </c>
      <c r="H2005" s="3" t="s">
        <v>30</v>
      </c>
      <c r="K2005" s="2">
        <v>10</v>
      </c>
      <c r="L2005" s="2">
        <v>3</v>
      </c>
      <c r="M2005" s="3" t="s">
        <v>611</v>
      </c>
      <c r="N2005" s="3" t="s">
        <v>13</v>
      </c>
      <c r="O2005" s="3" t="s">
        <v>14</v>
      </c>
      <c r="Q2005" s="30" t="str">
        <f t="shared" si="31"/>
        <v>MAX : 
TARGET : Yes(Pass)
MIN : No(Fail)</v>
      </c>
    </row>
    <row r="2006" spans="2:18" ht="41.4" x14ac:dyDescent="0.3">
      <c r="B2006">
        <v>1</v>
      </c>
      <c r="C2006" s="33">
        <v>7306</v>
      </c>
      <c r="D2006" s="2">
        <v>1873</v>
      </c>
      <c r="E2006" s="2" t="s">
        <v>9046</v>
      </c>
      <c r="F2006" s="3" t="s">
        <v>14206</v>
      </c>
      <c r="H2006" s="3" t="s">
        <v>1903</v>
      </c>
      <c r="K2006" s="2">
        <v>10</v>
      </c>
      <c r="L2006" s="2">
        <v>2</v>
      </c>
      <c r="M2006" s="3" t="s">
        <v>625</v>
      </c>
      <c r="N2006" s="3" t="s">
        <v>2467</v>
      </c>
      <c r="O2006" s="3" t="s">
        <v>1830</v>
      </c>
      <c r="P2006" s="3" t="s">
        <v>1830</v>
      </c>
      <c r="Q2006" s="30" t="str">
        <f t="shared" si="31"/>
        <v>MAX : 16.25
TARGET : 16.25
MIN : 16.18</v>
      </c>
      <c r="R2006" s="3" t="s">
        <v>2225</v>
      </c>
    </row>
    <row r="2007" spans="2:18" ht="41.4" x14ac:dyDescent="0.3">
      <c r="B2007">
        <v>1</v>
      </c>
      <c r="C2007" s="33">
        <v>7307</v>
      </c>
      <c r="D2007" s="2">
        <v>1101</v>
      </c>
      <c r="E2007" s="2" t="s">
        <v>9054</v>
      </c>
      <c r="F2007" s="3" t="s">
        <v>14207</v>
      </c>
      <c r="H2007" s="3" t="s">
        <v>810</v>
      </c>
      <c r="K2007" s="2">
        <v>20</v>
      </c>
      <c r="L2007" s="2">
        <v>2</v>
      </c>
      <c r="M2007" s="3" t="s">
        <v>198</v>
      </c>
      <c r="N2007" s="3" t="s">
        <v>2255</v>
      </c>
      <c r="O2007" s="3" t="s">
        <v>2256</v>
      </c>
      <c r="P2007" s="3" t="s">
        <v>2257</v>
      </c>
      <c r="Q2007" s="30" t="str">
        <f t="shared" si="31"/>
        <v>MAX : 39.5
TARGET : 39.0
MIN : 38.5</v>
      </c>
    </row>
    <row r="2008" spans="2:18" ht="41.4" x14ac:dyDescent="0.3">
      <c r="B2008">
        <v>0</v>
      </c>
      <c r="C2008" s="33">
        <v>7827</v>
      </c>
      <c r="D2008" s="2">
        <v>1155</v>
      </c>
      <c r="E2008" s="2" t="s">
        <v>9726</v>
      </c>
      <c r="F2008" s="3" t="s">
        <v>14207</v>
      </c>
      <c r="H2008" s="3" t="s">
        <v>648</v>
      </c>
      <c r="K2008" s="2">
        <v>20</v>
      </c>
      <c r="L2008" s="2">
        <v>3</v>
      </c>
      <c r="M2008" s="3" t="s">
        <v>2667</v>
      </c>
      <c r="N2008" s="3" t="s">
        <v>2668</v>
      </c>
      <c r="O2008" s="3" t="s">
        <v>2669</v>
      </c>
      <c r="P2008" s="3" t="s">
        <v>2670</v>
      </c>
      <c r="Q2008" s="30" t="str">
        <f t="shared" si="31"/>
        <v>MAX : 35.6
TARGET : 35.0
MIN : 34.4</v>
      </c>
    </row>
    <row r="2009" spans="2:18" ht="41.4" x14ac:dyDescent="0.3">
      <c r="B2009">
        <v>0</v>
      </c>
      <c r="C2009" s="33">
        <v>7827</v>
      </c>
      <c r="D2009" s="2">
        <v>1155</v>
      </c>
      <c r="E2009" s="2" t="s">
        <v>9726</v>
      </c>
      <c r="F2009" s="3" t="s">
        <v>14207</v>
      </c>
      <c r="H2009" s="3" t="s">
        <v>648</v>
      </c>
      <c r="K2009" s="2">
        <v>20</v>
      </c>
      <c r="L2009" s="2">
        <v>4</v>
      </c>
      <c r="M2009" s="3" t="s">
        <v>2117</v>
      </c>
      <c r="N2009" s="3" t="s">
        <v>2671</v>
      </c>
      <c r="O2009" s="3" t="s">
        <v>2672</v>
      </c>
      <c r="P2009" s="3" t="s">
        <v>2673</v>
      </c>
      <c r="Q2009" s="30" t="str">
        <f t="shared" si="31"/>
        <v>MAX : 57.75
TARGET : 57.15
MIN : 56.55</v>
      </c>
    </row>
    <row r="2010" spans="2:18" ht="41.4" x14ac:dyDescent="0.3">
      <c r="B2010">
        <v>0</v>
      </c>
      <c r="C2010" s="33">
        <v>7827</v>
      </c>
      <c r="D2010" s="2">
        <v>1155</v>
      </c>
      <c r="E2010" s="2" t="s">
        <v>9726</v>
      </c>
      <c r="F2010" s="3" t="s">
        <v>14207</v>
      </c>
      <c r="H2010" s="3" t="s">
        <v>648</v>
      </c>
      <c r="K2010" s="2">
        <v>20</v>
      </c>
      <c r="L2010" s="2">
        <v>5</v>
      </c>
      <c r="M2010" s="3" t="s">
        <v>2674</v>
      </c>
      <c r="N2010" s="3" t="s">
        <v>2675</v>
      </c>
      <c r="O2010" s="3" t="s">
        <v>2255</v>
      </c>
      <c r="P2010" s="3" t="s">
        <v>2676</v>
      </c>
      <c r="Q2010" s="30" t="str">
        <f t="shared" si="31"/>
        <v>MAX : 39.1
TARGET : 38.5
MIN : 37.9</v>
      </c>
    </row>
    <row r="2011" spans="2:18" ht="41.4" x14ac:dyDescent="0.3">
      <c r="B2011">
        <v>0</v>
      </c>
      <c r="C2011" s="33">
        <v>7827</v>
      </c>
      <c r="D2011" s="2">
        <v>1155</v>
      </c>
      <c r="E2011" s="2" t="s">
        <v>9726</v>
      </c>
      <c r="F2011" s="3" t="s">
        <v>14207</v>
      </c>
      <c r="H2011" s="3" t="s">
        <v>648</v>
      </c>
      <c r="K2011" s="2">
        <v>20</v>
      </c>
      <c r="L2011" s="2">
        <v>6</v>
      </c>
      <c r="M2011" s="3" t="s">
        <v>2677</v>
      </c>
      <c r="N2011" s="3" t="s">
        <v>2678</v>
      </c>
      <c r="O2011" s="3" t="s">
        <v>2401</v>
      </c>
      <c r="P2011" s="3" t="s">
        <v>2679</v>
      </c>
      <c r="Q2011" s="30" t="str">
        <f t="shared" si="31"/>
        <v>MAX : 40.6
TARGET : 40.0
MIN : 39.4</v>
      </c>
    </row>
    <row r="2012" spans="2:18" ht="41.4" x14ac:dyDescent="0.3">
      <c r="B2012">
        <v>0</v>
      </c>
      <c r="C2012" s="33">
        <v>7827</v>
      </c>
      <c r="D2012" s="2">
        <v>1155</v>
      </c>
      <c r="E2012" s="2" t="s">
        <v>9726</v>
      </c>
      <c r="F2012" s="3" t="s">
        <v>14207</v>
      </c>
      <c r="H2012" s="3" t="s">
        <v>648</v>
      </c>
      <c r="K2012" s="2">
        <v>20</v>
      </c>
      <c r="L2012" s="2">
        <v>7</v>
      </c>
      <c r="M2012" s="3" t="s">
        <v>2680</v>
      </c>
      <c r="N2012" s="3" t="s">
        <v>13</v>
      </c>
      <c r="O2012" s="3" t="s">
        <v>14</v>
      </c>
      <c r="Q2012" s="30" t="str">
        <f t="shared" si="31"/>
        <v>MAX : 
TARGET : Yes(Pass)
MIN : No(Fail)</v>
      </c>
    </row>
    <row r="2013" spans="2:18" ht="41.4" x14ac:dyDescent="0.3">
      <c r="B2013">
        <v>0</v>
      </c>
      <c r="C2013" s="33">
        <v>7827</v>
      </c>
      <c r="D2013" s="2">
        <v>1155</v>
      </c>
      <c r="E2013" s="2" t="s">
        <v>9726</v>
      </c>
      <c r="F2013" s="3" t="s">
        <v>14207</v>
      </c>
      <c r="H2013" s="3" t="s">
        <v>648</v>
      </c>
      <c r="K2013" s="2">
        <v>20</v>
      </c>
      <c r="L2013" s="2">
        <v>8</v>
      </c>
      <c r="M2013" s="3" t="s">
        <v>2681</v>
      </c>
      <c r="N2013" s="3" t="s">
        <v>13</v>
      </c>
      <c r="O2013" s="3" t="s">
        <v>14</v>
      </c>
      <c r="Q2013" s="30" t="str">
        <f t="shared" si="31"/>
        <v>MAX : 
TARGET : Yes(Pass)
MIN : No(Fail)</v>
      </c>
    </row>
    <row r="2014" spans="2:18" ht="41.4" x14ac:dyDescent="0.3">
      <c r="B2014">
        <v>0</v>
      </c>
      <c r="C2014" s="33">
        <v>7827</v>
      </c>
      <c r="D2014" s="2">
        <v>1155</v>
      </c>
      <c r="E2014" s="2" t="s">
        <v>9726</v>
      </c>
      <c r="F2014" s="3" t="s">
        <v>14207</v>
      </c>
      <c r="H2014" s="3" t="s">
        <v>648</v>
      </c>
      <c r="K2014" s="2">
        <v>20</v>
      </c>
      <c r="L2014" s="2">
        <v>9</v>
      </c>
      <c r="M2014" s="3" t="s">
        <v>78</v>
      </c>
      <c r="N2014" s="3" t="s">
        <v>13</v>
      </c>
      <c r="O2014" s="3" t="s">
        <v>14</v>
      </c>
      <c r="Q2014" s="30" t="str">
        <f t="shared" si="31"/>
        <v>MAX : 
TARGET : Yes(Pass)
MIN : No(Fail)</v>
      </c>
    </row>
    <row r="2015" spans="2:18" ht="41.4" x14ac:dyDescent="0.3">
      <c r="B2015">
        <v>0</v>
      </c>
      <c r="C2015" s="33">
        <v>7827</v>
      </c>
      <c r="D2015" s="2">
        <v>1155</v>
      </c>
      <c r="E2015" s="2" t="s">
        <v>9726</v>
      </c>
      <c r="F2015" s="3" t="s">
        <v>14207</v>
      </c>
      <c r="H2015" s="3" t="s">
        <v>648</v>
      </c>
      <c r="K2015" s="2">
        <v>20</v>
      </c>
      <c r="L2015" s="2">
        <v>10</v>
      </c>
      <c r="M2015" s="3" t="s">
        <v>2682</v>
      </c>
      <c r="N2015" s="3" t="s">
        <v>13</v>
      </c>
      <c r="O2015" s="3" t="s">
        <v>14</v>
      </c>
      <c r="Q2015" s="30" t="str">
        <f t="shared" si="31"/>
        <v>MAX : 
TARGET : Yes(Pass)
MIN : No(Fail)</v>
      </c>
    </row>
    <row r="2016" spans="2:18" ht="41.4" x14ac:dyDescent="0.3">
      <c r="B2016">
        <v>1</v>
      </c>
      <c r="C2016" s="33">
        <v>7307</v>
      </c>
      <c r="D2016" s="2">
        <v>1101</v>
      </c>
      <c r="E2016" s="2" t="s">
        <v>9054</v>
      </c>
      <c r="F2016" s="3" t="s">
        <v>14207</v>
      </c>
      <c r="H2016" s="3" t="s">
        <v>810</v>
      </c>
      <c r="K2016" s="2">
        <v>20</v>
      </c>
      <c r="L2016" s="2">
        <v>1</v>
      </c>
      <c r="M2016" s="3" t="s">
        <v>194</v>
      </c>
      <c r="N2016" s="3" t="s">
        <v>2252</v>
      </c>
      <c r="O2016" s="3" t="s">
        <v>2253</v>
      </c>
      <c r="P2016" s="3" t="s">
        <v>2254</v>
      </c>
      <c r="Q2016" s="30" t="str">
        <f t="shared" si="31"/>
        <v>MAX : 13.2
TARGET : 12.7
MIN : 12.2</v>
      </c>
    </row>
    <row r="2017" spans="2:18" ht="41.4" x14ac:dyDescent="0.3">
      <c r="B2017">
        <v>1</v>
      </c>
      <c r="C2017" s="33">
        <v>7311</v>
      </c>
      <c r="D2017" s="2">
        <v>1874</v>
      </c>
      <c r="E2017" s="2" t="s">
        <v>9060</v>
      </c>
      <c r="F2017" s="3" t="s">
        <v>14207</v>
      </c>
      <c r="H2017" s="3" t="s">
        <v>1144</v>
      </c>
      <c r="K2017" s="2">
        <v>10</v>
      </c>
      <c r="L2017" s="2">
        <v>2</v>
      </c>
      <c r="M2017" s="3" t="s">
        <v>1147</v>
      </c>
      <c r="N2017" s="3" t="s">
        <v>13</v>
      </c>
      <c r="O2017" s="3" t="s">
        <v>14</v>
      </c>
      <c r="Q2017" s="30" t="str">
        <f t="shared" si="31"/>
        <v>MAX : 
TARGET : Yes(Pass)
MIN : No(Fail)</v>
      </c>
    </row>
    <row r="2018" spans="2:18" ht="41.4" x14ac:dyDescent="0.3">
      <c r="B2018">
        <v>0</v>
      </c>
      <c r="C2018" s="33">
        <v>7843</v>
      </c>
      <c r="D2018" s="2">
        <v>1924</v>
      </c>
      <c r="E2018" s="2" t="s">
        <v>9748</v>
      </c>
      <c r="F2018" s="3" t="s">
        <v>14206</v>
      </c>
      <c r="H2018" s="3" t="s">
        <v>172</v>
      </c>
      <c r="K2018" s="2">
        <v>10</v>
      </c>
      <c r="L2018" s="2">
        <v>4</v>
      </c>
      <c r="M2018" s="3" t="s">
        <v>178</v>
      </c>
      <c r="N2018" s="3" t="s">
        <v>24</v>
      </c>
      <c r="O2018" s="3" t="s">
        <v>25</v>
      </c>
      <c r="Q2018" s="30" t="str">
        <f t="shared" si="31"/>
        <v>MAX : 
TARGET : Yes (Pass)
MIN : No (Fail)</v>
      </c>
    </row>
    <row r="2019" spans="2:18" ht="41.4" x14ac:dyDescent="0.3">
      <c r="B2019">
        <v>0</v>
      </c>
      <c r="C2019" s="33">
        <v>7843</v>
      </c>
      <c r="D2019" s="2">
        <v>1924</v>
      </c>
      <c r="E2019" s="2" t="s">
        <v>9748</v>
      </c>
      <c r="F2019" s="3" t="s">
        <v>14206</v>
      </c>
      <c r="H2019" s="3" t="s">
        <v>172</v>
      </c>
      <c r="K2019" s="2">
        <v>10</v>
      </c>
      <c r="L2019" s="2">
        <v>2</v>
      </c>
      <c r="M2019" s="3" t="s">
        <v>2684</v>
      </c>
      <c r="N2019" s="3" t="s">
        <v>24</v>
      </c>
      <c r="O2019" s="3" t="s">
        <v>25</v>
      </c>
      <c r="Q2019" s="30" t="str">
        <f t="shared" si="31"/>
        <v>MAX : 
TARGET : Yes (Pass)
MIN : No (Fail)</v>
      </c>
    </row>
    <row r="2020" spans="2:18" ht="41.4" x14ac:dyDescent="0.3">
      <c r="B2020">
        <v>0</v>
      </c>
      <c r="C2020" s="33">
        <v>7843</v>
      </c>
      <c r="D2020" s="2">
        <v>1924</v>
      </c>
      <c r="E2020" s="2" t="s">
        <v>9748</v>
      </c>
      <c r="F2020" s="3" t="s">
        <v>14206</v>
      </c>
      <c r="H2020" s="3" t="s">
        <v>172</v>
      </c>
      <c r="K2020" s="2">
        <v>10</v>
      </c>
      <c r="L2020" s="2">
        <v>5</v>
      </c>
      <c r="M2020" s="3" t="s">
        <v>179</v>
      </c>
      <c r="N2020" s="3" t="s">
        <v>24</v>
      </c>
      <c r="O2020" s="3" t="s">
        <v>25</v>
      </c>
      <c r="Q2020" s="30" t="str">
        <f t="shared" si="31"/>
        <v>MAX : 
TARGET : Yes (Pass)
MIN : No (Fail)</v>
      </c>
    </row>
    <row r="2021" spans="2:18" ht="41.4" x14ac:dyDescent="0.3">
      <c r="B2021">
        <v>1</v>
      </c>
      <c r="C2021" s="33">
        <v>7311</v>
      </c>
      <c r="D2021" s="2">
        <v>1874</v>
      </c>
      <c r="E2021" s="2" t="s">
        <v>9060</v>
      </c>
      <c r="F2021" s="3" t="s">
        <v>14207</v>
      </c>
      <c r="H2021" s="3" t="s">
        <v>1144</v>
      </c>
      <c r="K2021" s="2">
        <v>10</v>
      </c>
      <c r="L2021" s="2">
        <v>1</v>
      </c>
      <c r="M2021" s="3" t="s">
        <v>99</v>
      </c>
      <c r="N2021" s="3" t="s">
        <v>2227</v>
      </c>
      <c r="O2021" s="3" t="s">
        <v>1145</v>
      </c>
      <c r="P2021" s="3" t="s">
        <v>35</v>
      </c>
      <c r="Q2021" s="30" t="str">
        <f t="shared" si="31"/>
        <v>MAX : 19.0
TARGET : 18.0
MIN : 17.0</v>
      </c>
    </row>
    <row r="2022" spans="2:18" ht="41.4" x14ac:dyDescent="0.3">
      <c r="B2022">
        <v>1</v>
      </c>
      <c r="C2022" s="33">
        <v>7321</v>
      </c>
      <c r="D2022" s="2">
        <v>1102</v>
      </c>
      <c r="E2022" s="2" t="s">
        <v>9066</v>
      </c>
      <c r="F2022" s="3" t="s">
        <v>14206</v>
      </c>
      <c r="H2022" s="3" t="s">
        <v>2228</v>
      </c>
      <c r="K2022" s="2">
        <v>10</v>
      </c>
      <c r="L2022" s="2">
        <v>2</v>
      </c>
      <c r="M2022" s="3" t="s">
        <v>198</v>
      </c>
      <c r="N2022" s="3" t="s">
        <v>2229</v>
      </c>
      <c r="O2022" s="3" t="s">
        <v>2230</v>
      </c>
      <c r="P2022" s="3" t="s">
        <v>2231</v>
      </c>
      <c r="Q2022" s="30" t="str">
        <f t="shared" si="31"/>
        <v>MAX : 2.68
TARGET : 2.65
MIN : 2.62</v>
      </c>
    </row>
    <row r="2023" spans="2:18" ht="41.4" x14ac:dyDescent="0.3">
      <c r="B2023">
        <v>1</v>
      </c>
      <c r="C2023" s="33">
        <v>7321</v>
      </c>
      <c r="D2023" s="2">
        <v>1102</v>
      </c>
      <c r="E2023" s="2" t="s">
        <v>9066</v>
      </c>
      <c r="F2023" s="3" t="s">
        <v>14206</v>
      </c>
      <c r="H2023" s="3" t="s">
        <v>2228</v>
      </c>
      <c r="K2023" s="2">
        <v>10</v>
      </c>
      <c r="L2023" s="2">
        <v>1</v>
      </c>
      <c r="M2023" s="3" t="s">
        <v>194</v>
      </c>
      <c r="N2023" s="3" t="s">
        <v>2229</v>
      </c>
      <c r="O2023" s="3" t="s">
        <v>2230</v>
      </c>
      <c r="P2023" s="3" t="s">
        <v>2231</v>
      </c>
      <c r="Q2023" s="30" t="str">
        <f t="shared" si="31"/>
        <v>MAX : 2.68
TARGET : 2.65
MIN : 2.62</v>
      </c>
    </row>
    <row r="2024" spans="2:18" ht="41.4" x14ac:dyDescent="0.3">
      <c r="B2024">
        <v>0</v>
      </c>
      <c r="C2024" s="33">
        <v>7856</v>
      </c>
      <c r="D2024" s="2">
        <v>1157</v>
      </c>
      <c r="E2024" s="2" t="s">
        <v>9761</v>
      </c>
      <c r="F2024" s="3" t="s">
        <v>14206</v>
      </c>
      <c r="H2024" s="3" t="s">
        <v>2138</v>
      </c>
      <c r="K2024" s="2">
        <v>10</v>
      </c>
      <c r="L2024" s="2">
        <v>3</v>
      </c>
      <c r="M2024" s="3" t="s">
        <v>2688</v>
      </c>
      <c r="N2024" s="3" t="s">
        <v>13</v>
      </c>
      <c r="O2024" s="3" t="s">
        <v>14</v>
      </c>
      <c r="Q2024" s="30" t="str">
        <f t="shared" si="31"/>
        <v>MAX : 
TARGET : Yes(Pass)
MIN : No(Fail)</v>
      </c>
    </row>
    <row r="2025" spans="2:18" ht="41.4" x14ac:dyDescent="0.3">
      <c r="B2025">
        <v>1</v>
      </c>
      <c r="C2025" s="33">
        <v>7324</v>
      </c>
      <c r="D2025" s="2">
        <v>1103</v>
      </c>
      <c r="E2025" s="2" t="s">
        <v>9073</v>
      </c>
      <c r="F2025" s="3" t="s">
        <v>14206</v>
      </c>
      <c r="H2025" s="3" t="s">
        <v>1328</v>
      </c>
      <c r="K2025" s="2">
        <v>10</v>
      </c>
      <c r="L2025" s="2">
        <v>2</v>
      </c>
      <c r="M2025" s="3" t="s">
        <v>198</v>
      </c>
      <c r="N2025" s="3" t="s">
        <v>2238</v>
      </c>
      <c r="O2025" s="3" t="s">
        <v>2239</v>
      </c>
      <c r="P2025" s="3" t="s">
        <v>2240</v>
      </c>
      <c r="Q2025" s="30" t="str">
        <f t="shared" si="31"/>
        <v>MAX : 5.17
TARGET : 5.15
MIN : 5.13</v>
      </c>
    </row>
    <row r="2026" spans="2:18" ht="41.4" x14ac:dyDescent="0.3">
      <c r="B2026">
        <v>1</v>
      </c>
      <c r="C2026" s="33">
        <v>7324</v>
      </c>
      <c r="D2026" s="2">
        <v>1103</v>
      </c>
      <c r="E2026" s="2" t="s">
        <v>9073</v>
      </c>
      <c r="F2026" s="3" t="s">
        <v>14206</v>
      </c>
      <c r="H2026" s="3" t="s">
        <v>1328</v>
      </c>
      <c r="K2026" s="2">
        <v>10</v>
      </c>
      <c r="L2026" s="2">
        <v>1</v>
      </c>
      <c r="M2026" s="3" t="s">
        <v>194</v>
      </c>
      <c r="N2026" s="3" t="s">
        <v>2238</v>
      </c>
      <c r="O2026" s="3" t="s">
        <v>2239</v>
      </c>
      <c r="P2026" s="3" t="s">
        <v>2240</v>
      </c>
      <c r="Q2026" s="30" t="str">
        <f t="shared" si="31"/>
        <v>MAX : 5.17
TARGET : 5.15
MIN : 5.13</v>
      </c>
    </row>
    <row r="2027" spans="2:18" ht="41.4" x14ac:dyDescent="0.3">
      <c r="B2027">
        <v>0</v>
      </c>
      <c r="C2027" s="33">
        <v>7853</v>
      </c>
      <c r="D2027" s="2">
        <v>1156</v>
      </c>
      <c r="E2027" s="2" t="s">
        <v>9753</v>
      </c>
      <c r="F2027" s="3" t="s">
        <v>14207</v>
      </c>
      <c r="H2027" s="3" t="s">
        <v>2689</v>
      </c>
      <c r="K2027" s="2">
        <v>20</v>
      </c>
      <c r="L2027" s="2">
        <v>3</v>
      </c>
      <c r="M2027" s="3" t="s">
        <v>2695</v>
      </c>
      <c r="N2027" s="3" t="s">
        <v>2696</v>
      </c>
      <c r="O2027" s="3" t="s">
        <v>2697</v>
      </c>
      <c r="P2027" s="3" t="s">
        <v>2698</v>
      </c>
      <c r="Q2027" s="30" t="str">
        <f t="shared" si="31"/>
        <v>MAX : 12.2752
TARGET : 12.0252
MIN : 11.7752</v>
      </c>
      <c r="R2027" s="3" t="s">
        <v>1473</v>
      </c>
    </row>
    <row r="2028" spans="2:18" ht="41.4" x14ac:dyDescent="0.3">
      <c r="B2028">
        <v>0</v>
      </c>
      <c r="C2028" s="33">
        <v>7853</v>
      </c>
      <c r="D2028" s="2">
        <v>1156</v>
      </c>
      <c r="E2028" s="2" t="s">
        <v>9753</v>
      </c>
      <c r="F2028" s="3" t="s">
        <v>14207</v>
      </c>
      <c r="H2028" s="3" t="s">
        <v>2689</v>
      </c>
      <c r="K2028" s="2">
        <v>20</v>
      </c>
      <c r="L2028" s="2">
        <v>4</v>
      </c>
      <c r="M2028" s="3" t="s">
        <v>2699</v>
      </c>
      <c r="N2028" s="3" t="s">
        <v>2700</v>
      </c>
      <c r="O2028" s="3" t="s">
        <v>2701</v>
      </c>
      <c r="P2028" s="3" t="s">
        <v>2702</v>
      </c>
      <c r="Q2028" s="30" t="str">
        <f t="shared" si="31"/>
        <v>MAX : 5.2223
TARGET : 4.9723
MIN : 4.7223</v>
      </c>
      <c r="R2028" s="3" t="s">
        <v>1473</v>
      </c>
    </row>
    <row r="2029" spans="2:18" ht="41.4" x14ac:dyDescent="0.3">
      <c r="B2029">
        <v>0</v>
      </c>
      <c r="C2029" s="33">
        <v>7853</v>
      </c>
      <c r="D2029" s="2">
        <v>1156</v>
      </c>
      <c r="E2029" s="2" t="s">
        <v>9753</v>
      </c>
      <c r="F2029" s="3" t="s">
        <v>14207</v>
      </c>
      <c r="H2029" s="3" t="s">
        <v>2689</v>
      </c>
      <c r="K2029" s="2">
        <v>20</v>
      </c>
      <c r="L2029" s="2">
        <v>5</v>
      </c>
      <c r="M2029" s="3" t="s">
        <v>2703</v>
      </c>
      <c r="N2029" s="3" t="s">
        <v>2704</v>
      </c>
      <c r="O2029" s="3" t="s">
        <v>2705</v>
      </c>
      <c r="P2029" s="3" t="s">
        <v>2706</v>
      </c>
      <c r="Q2029" s="30" t="str">
        <f t="shared" si="31"/>
        <v>MAX : 14.7990
TARGET : 14.5490
MIN : 14.2990</v>
      </c>
      <c r="R2029" s="3" t="s">
        <v>1473</v>
      </c>
    </row>
    <row r="2030" spans="2:18" ht="41.4" x14ac:dyDescent="0.3">
      <c r="B2030">
        <v>0</v>
      </c>
      <c r="C2030" s="33">
        <v>7853</v>
      </c>
      <c r="D2030" s="2">
        <v>1156</v>
      </c>
      <c r="E2030" s="2" t="s">
        <v>9753</v>
      </c>
      <c r="F2030" s="3" t="s">
        <v>14207</v>
      </c>
      <c r="H2030" s="3" t="s">
        <v>2689</v>
      </c>
      <c r="K2030" s="2">
        <v>20</v>
      </c>
      <c r="L2030" s="2">
        <v>6</v>
      </c>
      <c r="M2030" s="3" t="s">
        <v>2707</v>
      </c>
      <c r="N2030" s="3" t="s">
        <v>2708</v>
      </c>
      <c r="O2030" s="3" t="s">
        <v>2709</v>
      </c>
      <c r="P2030" s="3" t="s">
        <v>2710</v>
      </c>
      <c r="Q2030" s="30" t="str">
        <f t="shared" si="31"/>
        <v>MAX : 12.2664
TARGET : 12.0164
MIN : 11.7664</v>
      </c>
      <c r="R2030" s="3" t="s">
        <v>1473</v>
      </c>
    </row>
    <row r="2031" spans="2:18" ht="41.4" x14ac:dyDescent="0.3">
      <c r="B2031">
        <v>0</v>
      </c>
      <c r="C2031" s="33">
        <v>7853</v>
      </c>
      <c r="D2031" s="2">
        <v>1156</v>
      </c>
      <c r="E2031" s="2" t="s">
        <v>9753</v>
      </c>
      <c r="F2031" s="3" t="s">
        <v>14207</v>
      </c>
      <c r="H2031" s="3" t="s">
        <v>2689</v>
      </c>
      <c r="K2031" s="2">
        <v>20</v>
      </c>
      <c r="L2031" s="2">
        <v>7</v>
      </c>
      <c r="M2031" s="3" t="s">
        <v>2711</v>
      </c>
      <c r="N2031" s="3" t="s">
        <v>1075</v>
      </c>
      <c r="O2031" s="3" t="s">
        <v>2712</v>
      </c>
      <c r="P2031" s="3" t="s">
        <v>2713</v>
      </c>
      <c r="Q2031" s="30" t="str">
        <f t="shared" si="31"/>
        <v>MAX : 0.7500
TARGET : 0.5000
MIN : 0.2500</v>
      </c>
      <c r="R2031" s="3" t="s">
        <v>1473</v>
      </c>
    </row>
    <row r="2032" spans="2:18" ht="41.4" x14ac:dyDescent="0.3">
      <c r="B2032">
        <v>0</v>
      </c>
      <c r="C2032" s="33">
        <v>7853</v>
      </c>
      <c r="D2032" s="2">
        <v>1156</v>
      </c>
      <c r="E2032" s="2" t="s">
        <v>9753</v>
      </c>
      <c r="F2032" s="3" t="s">
        <v>14207</v>
      </c>
      <c r="H2032" s="3" t="s">
        <v>2689</v>
      </c>
      <c r="K2032" s="2">
        <v>20</v>
      </c>
      <c r="L2032" s="2">
        <v>8</v>
      </c>
      <c r="M2032" s="3" t="s">
        <v>2714</v>
      </c>
      <c r="N2032" s="3" t="s">
        <v>2715</v>
      </c>
      <c r="O2032" s="3" t="s">
        <v>2716</v>
      </c>
      <c r="P2032" s="3" t="s">
        <v>2717</v>
      </c>
      <c r="Q2032" s="30" t="str">
        <f t="shared" si="31"/>
        <v>MAX : 162.1609
TARGET : 161.9109
MIN : 161.6609</v>
      </c>
      <c r="R2032" s="3" t="s">
        <v>1473</v>
      </c>
    </row>
    <row r="2033" spans="2:18" ht="41.4" x14ac:dyDescent="0.3">
      <c r="B2033">
        <v>0</v>
      </c>
      <c r="C2033" s="33">
        <v>7853</v>
      </c>
      <c r="D2033" s="2">
        <v>1156</v>
      </c>
      <c r="E2033" s="2" t="s">
        <v>9753</v>
      </c>
      <c r="F2033" s="3" t="s">
        <v>14207</v>
      </c>
      <c r="H2033" s="3" t="s">
        <v>2689</v>
      </c>
      <c r="K2033" s="2">
        <v>20</v>
      </c>
      <c r="L2033" s="2">
        <v>9</v>
      </c>
      <c r="M2033" s="3" t="s">
        <v>2718</v>
      </c>
      <c r="N2033" s="3" t="s">
        <v>2719</v>
      </c>
      <c r="O2033" s="3" t="s">
        <v>2720</v>
      </c>
      <c r="P2033" s="3" t="s">
        <v>2721</v>
      </c>
      <c r="Q2033" s="30" t="str">
        <f t="shared" si="31"/>
        <v>MAX : 4.7195
TARGET : 4.5545
MIN : 4.3895</v>
      </c>
      <c r="R2033" s="3" t="s">
        <v>1473</v>
      </c>
    </row>
    <row r="2034" spans="2:18" ht="41.4" x14ac:dyDescent="0.3">
      <c r="B2034">
        <v>0</v>
      </c>
      <c r="C2034" s="33">
        <v>7853</v>
      </c>
      <c r="D2034" s="2">
        <v>1156</v>
      </c>
      <c r="E2034" s="2" t="s">
        <v>9753</v>
      </c>
      <c r="F2034" s="3" t="s">
        <v>14207</v>
      </c>
      <c r="H2034" s="3" t="s">
        <v>2689</v>
      </c>
      <c r="K2034" s="2">
        <v>20</v>
      </c>
      <c r="L2034" s="2">
        <v>10</v>
      </c>
      <c r="M2034" s="3" t="s">
        <v>2722</v>
      </c>
      <c r="N2034" s="3" t="s">
        <v>2723</v>
      </c>
      <c r="O2034" s="3" t="s">
        <v>2724</v>
      </c>
      <c r="P2034" s="3" t="s">
        <v>2725</v>
      </c>
      <c r="Q2034" s="30" t="str">
        <f t="shared" si="31"/>
        <v>MAX : 3.2282
TARGET : 3.1032
MIN : 2.9782</v>
      </c>
      <c r="R2034" s="3" t="s">
        <v>1473</v>
      </c>
    </row>
    <row r="2035" spans="2:18" ht="41.4" x14ac:dyDescent="0.3">
      <c r="B2035">
        <v>0</v>
      </c>
      <c r="C2035" s="33">
        <v>7853</v>
      </c>
      <c r="D2035" s="2">
        <v>1156</v>
      </c>
      <c r="E2035" s="2" t="s">
        <v>9753</v>
      </c>
      <c r="F2035" s="3" t="s">
        <v>14207</v>
      </c>
      <c r="H2035" s="3" t="s">
        <v>2689</v>
      </c>
      <c r="K2035" s="2">
        <v>20</v>
      </c>
      <c r="L2035" s="2">
        <v>11</v>
      </c>
      <c r="M2035" s="3" t="s">
        <v>2726</v>
      </c>
      <c r="N2035" s="3" t="s">
        <v>2727</v>
      </c>
      <c r="O2035" s="3" t="s">
        <v>2728</v>
      </c>
      <c r="P2035" s="3" t="s">
        <v>2729</v>
      </c>
      <c r="Q2035" s="30" t="str">
        <f t="shared" si="31"/>
        <v>MAX : 8.7447
TARGET : 8.6197
MIN : 8.4947</v>
      </c>
      <c r="R2035" s="3" t="s">
        <v>1473</v>
      </c>
    </row>
    <row r="2036" spans="2:18" ht="41.4" x14ac:dyDescent="0.3">
      <c r="B2036">
        <v>0</v>
      </c>
      <c r="C2036" s="33">
        <v>7853</v>
      </c>
      <c r="D2036" s="2">
        <v>1156</v>
      </c>
      <c r="E2036" s="2" t="s">
        <v>9753</v>
      </c>
      <c r="F2036" s="3" t="s">
        <v>14207</v>
      </c>
      <c r="H2036" s="3" t="s">
        <v>2689</v>
      </c>
      <c r="K2036" s="2">
        <v>20</v>
      </c>
      <c r="L2036" s="2">
        <v>12</v>
      </c>
      <c r="M2036" s="3" t="s">
        <v>2730</v>
      </c>
      <c r="N2036" s="3" t="s">
        <v>2731</v>
      </c>
      <c r="O2036" s="3" t="s">
        <v>2732</v>
      </c>
      <c r="P2036" s="3" t="s">
        <v>2733</v>
      </c>
      <c r="Q2036" s="30" t="str">
        <f t="shared" si="31"/>
        <v>MAX : 0.9963
TARGET : 0.8713
MIN : 0.7463</v>
      </c>
      <c r="R2036" s="3" t="s">
        <v>1473</v>
      </c>
    </row>
    <row r="2037" spans="2:18" ht="41.4" x14ac:dyDescent="0.3">
      <c r="B2037">
        <v>0</v>
      </c>
      <c r="C2037" s="33">
        <v>7853</v>
      </c>
      <c r="D2037" s="2">
        <v>1156</v>
      </c>
      <c r="E2037" s="2" t="s">
        <v>9753</v>
      </c>
      <c r="F2037" s="3" t="s">
        <v>14207</v>
      </c>
      <c r="H2037" s="3" t="s">
        <v>2689</v>
      </c>
      <c r="K2037" s="2">
        <v>20</v>
      </c>
      <c r="L2037" s="2">
        <v>13</v>
      </c>
      <c r="M2037" s="3" t="s">
        <v>2734</v>
      </c>
      <c r="N2037" s="3" t="s">
        <v>2735</v>
      </c>
      <c r="O2037" s="3" t="s">
        <v>2736</v>
      </c>
      <c r="P2037" s="3" t="s">
        <v>2737</v>
      </c>
      <c r="Q2037" s="30" t="str">
        <f t="shared" si="31"/>
        <v>MAX : 4.5252
TARGET : 4.3602
MIN : 4.1952</v>
      </c>
      <c r="R2037" s="3" t="s">
        <v>1473</v>
      </c>
    </row>
    <row r="2038" spans="2:18" ht="41.4" x14ac:dyDescent="0.3">
      <c r="B2038">
        <v>0</v>
      </c>
      <c r="C2038" s="33">
        <v>7853</v>
      </c>
      <c r="D2038" s="2">
        <v>1156</v>
      </c>
      <c r="E2038" s="2" t="s">
        <v>9753</v>
      </c>
      <c r="F2038" s="3" t="s">
        <v>14207</v>
      </c>
      <c r="H2038" s="3" t="s">
        <v>2689</v>
      </c>
      <c r="K2038" s="2">
        <v>20</v>
      </c>
      <c r="L2038" s="2">
        <v>14</v>
      </c>
      <c r="M2038" s="3" t="s">
        <v>2738</v>
      </c>
      <c r="N2038" s="3" t="s">
        <v>2735</v>
      </c>
      <c r="O2038" s="3" t="s">
        <v>2736</v>
      </c>
      <c r="P2038" s="3" t="s">
        <v>2737</v>
      </c>
      <c r="Q2038" s="30" t="str">
        <f t="shared" si="31"/>
        <v>MAX : 4.5252
TARGET : 4.3602
MIN : 4.1952</v>
      </c>
      <c r="R2038" s="3" t="s">
        <v>1473</v>
      </c>
    </row>
    <row r="2039" spans="2:18" ht="41.4" x14ac:dyDescent="0.3">
      <c r="B2039">
        <v>0</v>
      </c>
      <c r="C2039" s="33">
        <v>7853</v>
      </c>
      <c r="D2039" s="2">
        <v>1156</v>
      </c>
      <c r="E2039" s="2" t="s">
        <v>9753</v>
      </c>
      <c r="F2039" s="3" t="s">
        <v>14207</v>
      </c>
      <c r="H2039" s="3" t="s">
        <v>2689</v>
      </c>
      <c r="K2039" s="2">
        <v>20</v>
      </c>
      <c r="L2039" s="2">
        <v>18</v>
      </c>
      <c r="M2039" s="3" t="s">
        <v>2739</v>
      </c>
      <c r="N2039" s="3" t="s">
        <v>2740</v>
      </c>
      <c r="O2039" s="3" t="s">
        <v>2741</v>
      </c>
      <c r="P2039" s="3" t="s">
        <v>2742</v>
      </c>
      <c r="Q2039" s="30" t="str">
        <f t="shared" si="31"/>
        <v>MAX : 1.5374
TARGET : 1.4124
MIN : 1.2874</v>
      </c>
      <c r="R2039" s="3" t="s">
        <v>1473</v>
      </c>
    </row>
    <row r="2040" spans="2:18" ht="41.4" x14ac:dyDescent="0.3">
      <c r="B2040">
        <v>0</v>
      </c>
      <c r="C2040" s="33">
        <v>7853</v>
      </c>
      <c r="D2040" s="2">
        <v>1156</v>
      </c>
      <c r="E2040" s="2" t="s">
        <v>9753</v>
      </c>
      <c r="F2040" s="3" t="s">
        <v>14207</v>
      </c>
      <c r="H2040" s="3" t="s">
        <v>2689</v>
      </c>
      <c r="K2040" s="2">
        <v>20</v>
      </c>
      <c r="L2040" s="2">
        <v>19</v>
      </c>
      <c r="M2040" s="3" t="s">
        <v>2743</v>
      </c>
      <c r="N2040" s="3" t="s">
        <v>2744</v>
      </c>
      <c r="O2040" s="3" t="s">
        <v>2745</v>
      </c>
      <c r="P2040" s="3" t="s">
        <v>2746</v>
      </c>
      <c r="Q2040" s="30" t="str">
        <f t="shared" si="31"/>
        <v>MAX : 8.4605
TARGET : 8.3355
MIN : 8.2105</v>
      </c>
      <c r="R2040" s="3" t="s">
        <v>1473</v>
      </c>
    </row>
    <row r="2041" spans="2:18" ht="41.4" x14ac:dyDescent="0.3">
      <c r="B2041">
        <v>0</v>
      </c>
      <c r="C2041" s="33">
        <v>7853</v>
      </c>
      <c r="D2041" s="2">
        <v>1156</v>
      </c>
      <c r="E2041" s="2" t="s">
        <v>9753</v>
      </c>
      <c r="F2041" s="3" t="s">
        <v>14207</v>
      </c>
      <c r="H2041" s="3" t="s">
        <v>2689</v>
      </c>
      <c r="K2041" s="2">
        <v>20</v>
      </c>
      <c r="L2041" s="2">
        <v>20</v>
      </c>
      <c r="M2041" s="3" t="s">
        <v>2747</v>
      </c>
      <c r="N2041" s="3" t="s">
        <v>2748</v>
      </c>
      <c r="O2041" s="3" t="s">
        <v>2749</v>
      </c>
      <c r="P2041" s="3" t="s">
        <v>2750</v>
      </c>
      <c r="Q2041" s="30" t="str">
        <f t="shared" si="31"/>
        <v>MAX : 3.4429
TARGET : 3.2779
MIN : 3.1129</v>
      </c>
      <c r="R2041" s="3" t="s">
        <v>1473</v>
      </c>
    </row>
    <row r="2042" spans="2:18" ht="41.4" x14ac:dyDescent="0.3">
      <c r="B2042">
        <v>0</v>
      </c>
      <c r="C2042" s="33">
        <v>7853</v>
      </c>
      <c r="D2042" s="2">
        <v>1156</v>
      </c>
      <c r="E2042" s="2" t="s">
        <v>9753</v>
      </c>
      <c r="F2042" s="3" t="s">
        <v>14207</v>
      </c>
      <c r="H2042" s="3" t="s">
        <v>2689</v>
      </c>
      <c r="K2042" s="2">
        <v>20</v>
      </c>
      <c r="L2042" s="2">
        <v>21</v>
      </c>
      <c r="M2042" s="3" t="s">
        <v>2751</v>
      </c>
      <c r="N2042" s="3" t="s">
        <v>2748</v>
      </c>
      <c r="O2042" s="3" t="s">
        <v>2749</v>
      </c>
      <c r="P2042" s="3" t="s">
        <v>2750</v>
      </c>
      <c r="Q2042" s="30" t="str">
        <f t="shared" si="31"/>
        <v>MAX : 3.4429
TARGET : 3.2779
MIN : 3.1129</v>
      </c>
      <c r="R2042" s="3" t="s">
        <v>1473</v>
      </c>
    </row>
    <row r="2043" spans="2:18" ht="41.4" x14ac:dyDescent="0.3">
      <c r="B2043">
        <v>0</v>
      </c>
      <c r="C2043" s="33">
        <v>7853</v>
      </c>
      <c r="D2043" s="2">
        <v>1156</v>
      </c>
      <c r="E2043" s="2" t="s">
        <v>9753</v>
      </c>
      <c r="F2043" s="3" t="s">
        <v>14207</v>
      </c>
      <c r="H2043" s="3" t="s">
        <v>2689</v>
      </c>
      <c r="K2043" s="2">
        <v>20</v>
      </c>
      <c r="L2043" s="2">
        <v>22</v>
      </c>
      <c r="M2043" s="3" t="s">
        <v>2752</v>
      </c>
      <c r="N2043" s="3" t="s">
        <v>2753</v>
      </c>
      <c r="O2043" s="3" t="s">
        <v>2754</v>
      </c>
      <c r="P2043" s="3" t="s">
        <v>2755</v>
      </c>
      <c r="Q2043" s="30" t="str">
        <f t="shared" si="31"/>
        <v>MAX : 163.1170
TARGET : 162.8670
MIN : 162.6170</v>
      </c>
      <c r="R2043" s="3" t="s">
        <v>1473</v>
      </c>
    </row>
    <row r="2044" spans="2:18" ht="41.4" x14ac:dyDescent="0.3">
      <c r="B2044">
        <v>0</v>
      </c>
      <c r="C2044" s="33">
        <v>7853</v>
      </c>
      <c r="D2044" s="2">
        <v>1156</v>
      </c>
      <c r="E2044" s="2" t="s">
        <v>9753</v>
      </c>
      <c r="F2044" s="3" t="s">
        <v>14207</v>
      </c>
      <c r="H2044" s="3" t="s">
        <v>2689</v>
      </c>
      <c r="K2044" s="2">
        <v>20</v>
      </c>
      <c r="L2044" s="2">
        <v>23</v>
      </c>
      <c r="M2044" s="3" t="s">
        <v>2756</v>
      </c>
      <c r="N2044" s="3" t="s">
        <v>2757</v>
      </c>
      <c r="O2044" s="3" t="s">
        <v>2758</v>
      </c>
      <c r="P2044" s="3" t="s">
        <v>2759</v>
      </c>
      <c r="Q2044" s="30" t="str">
        <f t="shared" si="31"/>
        <v>MAX : 9.2914
TARGET : 9.1664
MIN : 9.0414</v>
      </c>
      <c r="R2044" s="3" t="s">
        <v>1473</v>
      </c>
    </row>
    <row r="2045" spans="2:18" ht="41.4" x14ac:dyDescent="0.3">
      <c r="B2045">
        <v>0</v>
      </c>
      <c r="C2045" s="33">
        <v>7853</v>
      </c>
      <c r="D2045" s="2">
        <v>1156</v>
      </c>
      <c r="E2045" s="2" t="s">
        <v>9753</v>
      </c>
      <c r="F2045" s="3" t="s">
        <v>14207</v>
      </c>
      <c r="H2045" s="3" t="s">
        <v>2689</v>
      </c>
      <c r="K2045" s="2">
        <v>20</v>
      </c>
      <c r="L2045" s="2">
        <v>24</v>
      </c>
      <c r="M2045" s="3" t="s">
        <v>2760</v>
      </c>
      <c r="N2045" s="3" t="s">
        <v>2761</v>
      </c>
      <c r="O2045" s="3" t="s">
        <v>2762</v>
      </c>
      <c r="P2045" s="3" t="s">
        <v>2763</v>
      </c>
      <c r="Q2045" s="30" t="str">
        <f t="shared" si="31"/>
        <v>MAX : 4.9595
TARGET : 4.7945
MIN : 4.6295</v>
      </c>
      <c r="R2045" s="3" t="s">
        <v>1473</v>
      </c>
    </row>
    <row r="2046" spans="2:18" ht="41.4" x14ac:dyDescent="0.3">
      <c r="B2046">
        <v>0</v>
      </c>
      <c r="C2046" s="33">
        <v>7853</v>
      </c>
      <c r="D2046" s="2">
        <v>1156</v>
      </c>
      <c r="E2046" s="2" t="s">
        <v>9753</v>
      </c>
      <c r="F2046" s="3" t="s">
        <v>14207</v>
      </c>
      <c r="H2046" s="3" t="s">
        <v>2689</v>
      </c>
      <c r="K2046" s="2">
        <v>20</v>
      </c>
      <c r="L2046" s="2">
        <v>25</v>
      </c>
      <c r="M2046" s="3" t="s">
        <v>2764</v>
      </c>
      <c r="N2046" s="3" t="s">
        <v>2765</v>
      </c>
      <c r="O2046" s="3" t="s">
        <v>2766</v>
      </c>
      <c r="P2046" s="3" t="s">
        <v>2767</v>
      </c>
      <c r="Q2046" s="30" t="str">
        <f t="shared" si="31"/>
        <v>MAX : 3.4317
TARGET : 3.2667
MIN : 3.1017</v>
      </c>
      <c r="R2046" s="3" t="s">
        <v>1473</v>
      </c>
    </row>
    <row r="2047" spans="2:18" ht="41.4" x14ac:dyDescent="0.3">
      <c r="B2047">
        <v>0</v>
      </c>
      <c r="C2047" s="33">
        <v>7853</v>
      </c>
      <c r="D2047" s="2">
        <v>1156</v>
      </c>
      <c r="E2047" s="2" t="s">
        <v>9753</v>
      </c>
      <c r="F2047" s="3" t="s">
        <v>14207</v>
      </c>
      <c r="H2047" s="3" t="s">
        <v>2689</v>
      </c>
      <c r="K2047" s="2">
        <v>20</v>
      </c>
      <c r="L2047" s="2">
        <v>26</v>
      </c>
      <c r="M2047" s="3" t="s">
        <v>2768</v>
      </c>
      <c r="N2047" s="3" t="s">
        <v>2769</v>
      </c>
      <c r="O2047" s="3" t="s">
        <v>2770</v>
      </c>
      <c r="P2047" s="3" t="s">
        <v>2771</v>
      </c>
      <c r="Q2047" s="30" t="str">
        <f t="shared" si="31"/>
        <v>MAX : 163.3234
TARGET : 163.0734
MIN : 162.8234</v>
      </c>
      <c r="R2047" s="3" t="s">
        <v>1473</v>
      </c>
    </row>
    <row r="2048" spans="2:18" ht="41.4" x14ac:dyDescent="0.3">
      <c r="B2048">
        <v>0</v>
      </c>
      <c r="C2048" s="33">
        <v>7853</v>
      </c>
      <c r="D2048" s="2">
        <v>1156</v>
      </c>
      <c r="E2048" s="2" t="s">
        <v>9753</v>
      </c>
      <c r="F2048" s="3" t="s">
        <v>14207</v>
      </c>
      <c r="H2048" s="3" t="s">
        <v>2689</v>
      </c>
      <c r="K2048" s="2">
        <v>20</v>
      </c>
      <c r="L2048" s="2">
        <v>27</v>
      </c>
      <c r="M2048" s="3" t="s">
        <v>2772</v>
      </c>
      <c r="N2048" s="3" t="s">
        <v>2773</v>
      </c>
      <c r="O2048" s="3" t="s">
        <v>2774</v>
      </c>
      <c r="P2048" s="3" t="s">
        <v>2775</v>
      </c>
      <c r="Q2048" s="30" t="str">
        <f t="shared" si="31"/>
        <v>MAX : 8.2846
TARGET : 8.1596
MIN : 8.0346</v>
      </c>
      <c r="R2048" s="3" t="s">
        <v>1473</v>
      </c>
    </row>
    <row r="2049" spans="2:18" ht="41.4" x14ac:dyDescent="0.3">
      <c r="B2049">
        <v>0</v>
      </c>
      <c r="C2049" s="33">
        <v>7853</v>
      </c>
      <c r="D2049" s="2">
        <v>1156</v>
      </c>
      <c r="E2049" s="2" t="s">
        <v>9753</v>
      </c>
      <c r="F2049" s="3" t="s">
        <v>14207</v>
      </c>
      <c r="H2049" s="3" t="s">
        <v>2689</v>
      </c>
      <c r="K2049" s="2">
        <v>20</v>
      </c>
      <c r="L2049" s="2">
        <v>28</v>
      </c>
      <c r="M2049" s="3" t="s">
        <v>2776</v>
      </c>
      <c r="N2049" s="3" t="s">
        <v>2777</v>
      </c>
      <c r="O2049" s="3" t="s">
        <v>2778</v>
      </c>
      <c r="P2049" s="3" t="s">
        <v>2779</v>
      </c>
      <c r="Q2049" s="30" t="str">
        <f t="shared" si="31"/>
        <v>MAX : 4.4596
TARGET : 4.2946
MIN : 4.1296</v>
      </c>
      <c r="R2049" s="3" t="s">
        <v>1473</v>
      </c>
    </row>
    <row r="2050" spans="2:18" ht="41.4" x14ac:dyDescent="0.3">
      <c r="B2050">
        <v>0</v>
      </c>
      <c r="C2050" s="33">
        <v>7853</v>
      </c>
      <c r="D2050" s="2">
        <v>1156</v>
      </c>
      <c r="E2050" s="2" t="s">
        <v>9753</v>
      </c>
      <c r="F2050" s="3" t="s">
        <v>14207</v>
      </c>
      <c r="H2050" s="3" t="s">
        <v>2689</v>
      </c>
      <c r="K2050" s="2">
        <v>20</v>
      </c>
      <c r="L2050" s="2">
        <v>29</v>
      </c>
      <c r="M2050" s="3" t="s">
        <v>2780</v>
      </c>
      <c r="N2050" s="3" t="s">
        <v>2781</v>
      </c>
      <c r="O2050" s="3" t="s">
        <v>2782</v>
      </c>
      <c r="P2050" s="3" t="s">
        <v>2783</v>
      </c>
      <c r="Q2050" s="30" t="str">
        <f t="shared" ref="Q2050:Q2113" si="32">"MAX : " &amp; P2050 &amp; CHAR(10) &amp; "TARGET : " &amp; O2050 &amp; CHAR(10) &amp; "MIN : " &amp; N2050</f>
        <v>MAX : 3.0911
TARGET : 2.9261
MIN : 2.7611</v>
      </c>
      <c r="R2050" s="3" t="s">
        <v>1473</v>
      </c>
    </row>
    <row r="2051" spans="2:18" ht="41.4" x14ac:dyDescent="0.3">
      <c r="B2051">
        <v>0</v>
      </c>
      <c r="C2051" s="33">
        <v>7853</v>
      </c>
      <c r="D2051" s="2">
        <v>1156</v>
      </c>
      <c r="E2051" s="2" t="s">
        <v>9753</v>
      </c>
      <c r="F2051" s="3" t="s">
        <v>14207</v>
      </c>
      <c r="H2051" s="3" t="s">
        <v>2689</v>
      </c>
      <c r="K2051" s="2">
        <v>20</v>
      </c>
      <c r="L2051" s="2">
        <v>30</v>
      </c>
      <c r="M2051" s="3" t="s">
        <v>2784</v>
      </c>
      <c r="N2051" s="3" t="s">
        <v>2785</v>
      </c>
      <c r="O2051" s="3" t="s">
        <v>2786</v>
      </c>
      <c r="P2051" s="3" t="s">
        <v>2787</v>
      </c>
      <c r="Q2051" s="30" t="str">
        <f t="shared" si="32"/>
        <v>MAX : 25.1250
TARGET : 25.0000
MIN : 24.8750</v>
      </c>
      <c r="R2051" s="3" t="s">
        <v>1473</v>
      </c>
    </row>
    <row r="2052" spans="2:18" ht="41.4" x14ac:dyDescent="0.3">
      <c r="B2052">
        <v>0</v>
      </c>
      <c r="C2052" s="33">
        <v>7853</v>
      </c>
      <c r="D2052" s="2">
        <v>1156</v>
      </c>
      <c r="E2052" s="2" t="s">
        <v>9753</v>
      </c>
      <c r="F2052" s="3" t="s">
        <v>14207</v>
      </c>
      <c r="H2052" s="3" t="s">
        <v>2689</v>
      </c>
      <c r="K2052" s="2">
        <v>20</v>
      </c>
      <c r="L2052" s="2">
        <v>31</v>
      </c>
      <c r="M2052" s="3" t="s">
        <v>2788</v>
      </c>
      <c r="N2052" s="3" t="s">
        <v>2789</v>
      </c>
      <c r="O2052" s="3" t="s">
        <v>2790</v>
      </c>
      <c r="P2052" s="3" t="s">
        <v>2791</v>
      </c>
      <c r="Q2052" s="30" t="str">
        <f t="shared" si="32"/>
        <v>MAX : 20.0545
TARGET : 19.9295
MIN : 19.8045</v>
      </c>
      <c r="R2052" s="3" t="s">
        <v>1473</v>
      </c>
    </row>
    <row r="2053" spans="2:18" ht="41.4" x14ac:dyDescent="0.3">
      <c r="B2053">
        <v>0</v>
      </c>
      <c r="C2053" s="33">
        <v>7853</v>
      </c>
      <c r="D2053" s="2">
        <v>1156</v>
      </c>
      <c r="E2053" s="2" t="s">
        <v>9753</v>
      </c>
      <c r="F2053" s="3" t="s">
        <v>14207</v>
      </c>
      <c r="H2053" s="3" t="s">
        <v>2689</v>
      </c>
      <c r="K2053" s="2">
        <v>20</v>
      </c>
      <c r="L2053" s="2">
        <v>32</v>
      </c>
      <c r="M2053" s="3" t="s">
        <v>2792</v>
      </c>
      <c r="N2053" s="3" t="s">
        <v>2793</v>
      </c>
      <c r="O2053" s="3" t="s">
        <v>2794</v>
      </c>
      <c r="P2053" s="3" t="s">
        <v>2795</v>
      </c>
      <c r="Q2053" s="30" t="str">
        <f t="shared" si="32"/>
        <v>MAX : 152.2163
TARGET : 151.9663
MIN : 151.7163</v>
      </c>
      <c r="R2053" s="3" t="s">
        <v>1473</v>
      </c>
    </row>
    <row r="2054" spans="2:18" ht="41.4" x14ac:dyDescent="0.3">
      <c r="B2054">
        <v>0</v>
      </c>
      <c r="C2054" s="33">
        <v>7853</v>
      </c>
      <c r="D2054" s="2">
        <v>1156</v>
      </c>
      <c r="E2054" s="2" t="s">
        <v>9753</v>
      </c>
      <c r="F2054" s="3" t="s">
        <v>14207</v>
      </c>
      <c r="H2054" s="3" t="s">
        <v>2689</v>
      </c>
      <c r="K2054" s="2">
        <v>20</v>
      </c>
      <c r="L2054" s="2">
        <v>33</v>
      </c>
      <c r="M2054" s="3" t="s">
        <v>2796</v>
      </c>
      <c r="N2054" s="3" t="s">
        <v>2797</v>
      </c>
      <c r="O2054" s="3" t="s">
        <v>2798</v>
      </c>
      <c r="P2054" s="3" t="s">
        <v>2799</v>
      </c>
      <c r="Q2054" s="30" t="str">
        <f t="shared" si="32"/>
        <v>MAX : 186.2113
TARGET : 185.9613
MIN : 185.7113</v>
      </c>
      <c r="R2054" s="3" t="s">
        <v>1473</v>
      </c>
    </row>
    <row r="2055" spans="2:18" ht="41.4" x14ac:dyDescent="0.3">
      <c r="B2055">
        <v>1</v>
      </c>
      <c r="C2055" s="33">
        <v>7325</v>
      </c>
      <c r="D2055" s="2">
        <v>1104</v>
      </c>
      <c r="E2055" s="2" t="s">
        <v>9079</v>
      </c>
      <c r="F2055" s="3" t="s">
        <v>14206</v>
      </c>
      <c r="H2055" s="3" t="s">
        <v>2150</v>
      </c>
      <c r="K2055" s="2">
        <v>10</v>
      </c>
      <c r="L2055" s="2">
        <v>2</v>
      </c>
      <c r="M2055" s="3" t="s">
        <v>198</v>
      </c>
      <c r="N2055" s="3" t="s">
        <v>2244</v>
      </c>
      <c r="O2055" s="3" t="s">
        <v>200</v>
      </c>
      <c r="P2055" s="3" t="s">
        <v>1539</v>
      </c>
      <c r="Q2055" s="30" t="str">
        <f t="shared" si="32"/>
        <v>MAX : 5.52
TARGET : 5.50
MIN : 5.48</v>
      </c>
    </row>
    <row r="2056" spans="2:18" ht="41.4" x14ac:dyDescent="0.3">
      <c r="B2056">
        <v>1</v>
      </c>
      <c r="C2056" s="33">
        <v>7325</v>
      </c>
      <c r="D2056" s="2">
        <v>1104</v>
      </c>
      <c r="E2056" s="2" t="s">
        <v>9079</v>
      </c>
      <c r="F2056" s="3" t="s">
        <v>14206</v>
      </c>
      <c r="H2056" s="3" t="s">
        <v>2150</v>
      </c>
      <c r="K2056" s="2">
        <v>10</v>
      </c>
      <c r="L2056" s="2">
        <v>1</v>
      </c>
      <c r="M2056" s="3" t="s">
        <v>194</v>
      </c>
      <c r="N2056" s="3" t="s">
        <v>2242</v>
      </c>
      <c r="O2056" s="3" t="s">
        <v>794</v>
      </c>
      <c r="P2056" s="3" t="s">
        <v>2243</v>
      </c>
      <c r="Q2056" s="30" t="str">
        <f t="shared" si="32"/>
        <v>MAX : 3.62
TARGET : 3.60
MIN : 3.58</v>
      </c>
    </row>
    <row r="2057" spans="2:18" ht="41.4" x14ac:dyDescent="0.3">
      <c r="B2057">
        <v>0</v>
      </c>
      <c r="C2057" s="33">
        <v>7700</v>
      </c>
      <c r="D2057" s="2">
        <v>1139</v>
      </c>
      <c r="E2057" s="2" t="s">
        <v>9525</v>
      </c>
      <c r="F2057" s="3" t="s">
        <v>14207</v>
      </c>
      <c r="H2057" s="3" t="s">
        <v>417</v>
      </c>
      <c r="K2057" s="2">
        <v>20</v>
      </c>
      <c r="L2057" s="2">
        <v>8</v>
      </c>
      <c r="M2057" s="3" t="s">
        <v>2808</v>
      </c>
      <c r="N2057" s="3" t="s">
        <v>1616</v>
      </c>
      <c r="O2057" s="3" t="s">
        <v>272</v>
      </c>
      <c r="P2057" s="3" t="s">
        <v>1969</v>
      </c>
      <c r="Q2057" s="30" t="str">
        <f t="shared" si="32"/>
        <v>MAX : 1.10
TARGET : 1.00
MIN : 0.90</v>
      </c>
      <c r="R2057" s="3" t="s">
        <v>1638</v>
      </c>
    </row>
    <row r="2058" spans="2:18" ht="41.4" x14ac:dyDescent="0.3">
      <c r="B2058">
        <v>0</v>
      </c>
      <c r="C2058" s="33">
        <v>7700</v>
      </c>
      <c r="D2058" s="2">
        <v>1139</v>
      </c>
      <c r="E2058" s="2" t="s">
        <v>9525</v>
      </c>
      <c r="F2058" s="3" t="s">
        <v>14207</v>
      </c>
      <c r="H2058" s="3" t="s">
        <v>417</v>
      </c>
      <c r="K2058" s="2">
        <v>20</v>
      </c>
      <c r="L2058" s="2">
        <v>9</v>
      </c>
      <c r="M2058" s="3" t="s">
        <v>2809</v>
      </c>
      <c r="N2058" s="3" t="s">
        <v>2004</v>
      </c>
      <c r="O2058" s="3" t="s">
        <v>2810</v>
      </c>
      <c r="P2058" s="3" t="s">
        <v>2811</v>
      </c>
      <c r="Q2058" s="30" t="str">
        <f t="shared" si="32"/>
        <v>MAX : 6.86
TARGET : 6.61
MIN : 6.36</v>
      </c>
      <c r="R2058" s="3" t="s">
        <v>1638</v>
      </c>
    </row>
    <row r="2059" spans="2:18" ht="41.4" x14ac:dyDescent="0.3">
      <c r="B2059">
        <v>1</v>
      </c>
      <c r="C2059" s="33">
        <v>7383</v>
      </c>
      <c r="D2059" s="2">
        <v>1878</v>
      </c>
      <c r="E2059" s="2" t="s">
        <v>9110</v>
      </c>
      <c r="F2059" s="3" t="s">
        <v>14206</v>
      </c>
      <c r="H2059" s="3" t="s">
        <v>261</v>
      </c>
      <c r="K2059" s="2">
        <v>20</v>
      </c>
      <c r="L2059" s="2">
        <v>2</v>
      </c>
      <c r="M2059" s="3" t="s">
        <v>1060</v>
      </c>
      <c r="N2059" s="3" t="s">
        <v>13</v>
      </c>
      <c r="O2059" s="3" t="s">
        <v>14</v>
      </c>
      <c r="Q2059" s="30" t="str">
        <f t="shared" si="32"/>
        <v>MAX : 
TARGET : Yes(Pass)
MIN : No(Fail)</v>
      </c>
    </row>
    <row r="2060" spans="2:18" ht="41.4" x14ac:dyDescent="0.3">
      <c r="B2060">
        <v>1</v>
      </c>
      <c r="C2060" s="33">
        <v>7383</v>
      </c>
      <c r="D2060" s="2">
        <v>1878</v>
      </c>
      <c r="E2060" s="2" t="s">
        <v>9110</v>
      </c>
      <c r="F2060" s="3" t="s">
        <v>14206</v>
      </c>
      <c r="H2060" s="3" t="s">
        <v>261</v>
      </c>
      <c r="K2060" s="2">
        <v>20</v>
      </c>
      <c r="L2060" s="2">
        <v>1</v>
      </c>
      <c r="M2060" s="3" t="s">
        <v>788</v>
      </c>
      <c r="N2060" s="3" t="s">
        <v>784</v>
      </c>
      <c r="O2060" s="3" t="s">
        <v>309</v>
      </c>
      <c r="P2060" s="3" t="s">
        <v>785</v>
      </c>
      <c r="Q2060" s="30" t="str">
        <f t="shared" si="32"/>
        <v>MAX : 0.55
TARGET : 0.50
MIN : 0.45</v>
      </c>
    </row>
    <row r="2061" spans="2:18" ht="41.4" x14ac:dyDescent="0.3">
      <c r="B2061">
        <v>1</v>
      </c>
      <c r="C2061" s="33">
        <v>7393</v>
      </c>
      <c r="D2061" s="2">
        <v>1106</v>
      </c>
      <c r="E2061" s="2" t="s">
        <v>9128</v>
      </c>
      <c r="F2061" s="3" t="s">
        <v>14207</v>
      </c>
      <c r="H2061" s="3" t="s">
        <v>469</v>
      </c>
      <c r="K2061" s="2">
        <v>10</v>
      </c>
      <c r="L2061" s="2">
        <v>2</v>
      </c>
      <c r="M2061" s="3" t="s">
        <v>198</v>
      </c>
      <c r="N2061" s="3" t="s">
        <v>2248</v>
      </c>
      <c r="O2061" s="3" t="s">
        <v>2249</v>
      </c>
      <c r="P2061" s="3" t="s">
        <v>2250</v>
      </c>
      <c r="Q2061" s="30" t="str">
        <f t="shared" si="32"/>
        <v>MAX : 60.5
TARGET : 60.0
MIN : 59.5</v>
      </c>
    </row>
    <row r="2062" spans="2:18" ht="41.4" x14ac:dyDescent="0.3">
      <c r="B2062">
        <v>1</v>
      </c>
      <c r="C2062" s="33">
        <v>7393</v>
      </c>
      <c r="D2062" s="2">
        <v>1106</v>
      </c>
      <c r="E2062" s="2" t="s">
        <v>9128</v>
      </c>
      <c r="F2062" s="3" t="s">
        <v>14207</v>
      </c>
      <c r="H2062" s="3" t="s">
        <v>469</v>
      </c>
      <c r="K2062" s="2">
        <v>10</v>
      </c>
      <c r="L2062" s="2">
        <v>1</v>
      </c>
      <c r="M2062" s="3" t="s">
        <v>194</v>
      </c>
      <c r="N2062" s="3" t="s">
        <v>2245</v>
      </c>
      <c r="O2062" s="3" t="s">
        <v>2246</v>
      </c>
      <c r="P2062" s="3" t="s">
        <v>2247</v>
      </c>
      <c r="Q2062" s="30" t="str">
        <f t="shared" si="32"/>
        <v>MAX : 84.0
TARGET : 83.5
MIN : 83.0</v>
      </c>
    </row>
    <row r="2063" spans="2:18" ht="41.4" x14ac:dyDescent="0.3">
      <c r="B2063">
        <v>0</v>
      </c>
      <c r="C2063" s="33">
        <v>7881</v>
      </c>
      <c r="D2063" s="2">
        <v>1160</v>
      </c>
      <c r="E2063" s="2" t="s">
        <v>9781</v>
      </c>
      <c r="F2063" s="3" t="s">
        <v>14206</v>
      </c>
      <c r="H2063" s="3" t="s">
        <v>1915</v>
      </c>
      <c r="J2063" s="3" t="s">
        <v>2814</v>
      </c>
      <c r="K2063" s="2">
        <v>20</v>
      </c>
      <c r="L2063" s="2">
        <v>3</v>
      </c>
      <c r="M2063" s="3" t="s">
        <v>569</v>
      </c>
      <c r="N2063" s="3" t="s">
        <v>1508</v>
      </c>
      <c r="O2063" s="3" t="s">
        <v>617</v>
      </c>
      <c r="P2063" s="3" t="s">
        <v>2816</v>
      </c>
      <c r="Q2063" s="30" t="str">
        <f t="shared" si="32"/>
        <v>MAX : 18.625
TARGET : 18.50
MIN : 18.375</v>
      </c>
    </row>
    <row r="2064" spans="2:18" ht="41.4" x14ac:dyDescent="0.3">
      <c r="B2064">
        <v>0</v>
      </c>
      <c r="C2064" s="33">
        <v>7881</v>
      </c>
      <c r="D2064" s="2">
        <v>1160</v>
      </c>
      <c r="E2064" s="2" t="s">
        <v>9781</v>
      </c>
      <c r="F2064" s="3" t="s">
        <v>14206</v>
      </c>
      <c r="H2064" s="3" t="s">
        <v>1915</v>
      </c>
      <c r="J2064" s="3" t="s">
        <v>2814</v>
      </c>
      <c r="K2064" s="2">
        <v>20</v>
      </c>
      <c r="L2064" s="2">
        <v>4</v>
      </c>
      <c r="M2064" s="3" t="s">
        <v>2646</v>
      </c>
      <c r="N2064" s="3" t="s">
        <v>241</v>
      </c>
      <c r="O2064" s="3" t="s">
        <v>424</v>
      </c>
      <c r="P2064" s="3" t="s">
        <v>276</v>
      </c>
      <c r="Q2064" s="30" t="str">
        <f t="shared" si="32"/>
        <v>MAX : 0.375
TARGET : 0.25
MIN : 0.125</v>
      </c>
    </row>
    <row r="2065" spans="2:18" ht="41.4" x14ac:dyDescent="0.3">
      <c r="B2065">
        <v>0</v>
      </c>
      <c r="C2065" s="33">
        <v>7881</v>
      </c>
      <c r="D2065" s="2">
        <v>1160</v>
      </c>
      <c r="E2065" s="2" t="s">
        <v>9781</v>
      </c>
      <c r="F2065" s="3" t="s">
        <v>14206</v>
      </c>
      <c r="H2065" s="3" t="s">
        <v>1915</v>
      </c>
      <c r="J2065" s="3" t="s">
        <v>2814</v>
      </c>
      <c r="K2065" s="2">
        <v>20</v>
      </c>
      <c r="L2065" s="2">
        <v>5</v>
      </c>
      <c r="M2065" s="3" t="s">
        <v>2647</v>
      </c>
      <c r="N2065" s="3" t="s">
        <v>13</v>
      </c>
      <c r="O2065" s="3" t="s">
        <v>14</v>
      </c>
      <c r="Q2065" s="30" t="str">
        <f t="shared" si="32"/>
        <v>MAX : 
TARGET : Yes(Pass)
MIN : No(Fail)</v>
      </c>
    </row>
    <row r="2066" spans="2:18" ht="41.4" x14ac:dyDescent="0.3">
      <c r="B2066">
        <v>0</v>
      </c>
      <c r="C2066" s="33">
        <v>7881</v>
      </c>
      <c r="D2066" s="2">
        <v>1160</v>
      </c>
      <c r="E2066" s="2" t="s">
        <v>9781</v>
      </c>
      <c r="F2066" s="3" t="s">
        <v>14206</v>
      </c>
      <c r="H2066" s="3" t="s">
        <v>1915</v>
      </c>
      <c r="J2066" s="3" t="s">
        <v>2814</v>
      </c>
      <c r="K2066" s="2">
        <v>20</v>
      </c>
      <c r="L2066" s="2">
        <v>6</v>
      </c>
      <c r="M2066" s="3" t="s">
        <v>2817</v>
      </c>
      <c r="N2066" s="3" t="s">
        <v>13</v>
      </c>
      <c r="O2066" s="3" t="s">
        <v>14</v>
      </c>
      <c r="Q2066" s="30" t="str">
        <f t="shared" si="32"/>
        <v>MAX : 
TARGET : Yes(Pass)
MIN : No(Fail)</v>
      </c>
    </row>
    <row r="2067" spans="2:18" ht="41.4" x14ac:dyDescent="0.3">
      <c r="B2067">
        <v>1</v>
      </c>
      <c r="C2067" s="33">
        <v>7407</v>
      </c>
      <c r="D2067" s="2">
        <v>1881</v>
      </c>
      <c r="E2067" s="2" t="s">
        <v>9134</v>
      </c>
      <c r="F2067" s="3" t="s">
        <v>14207</v>
      </c>
      <c r="H2067" s="3" t="s">
        <v>721</v>
      </c>
      <c r="K2067" s="2">
        <v>10</v>
      </c>
      <c r="L2067" s="2">
        <v>2</v>
      </c>
      <c r="M2067" s="3" t="s">
        <v>2191</v>
      </c>
      <c r="N2067" s="3" t="s">
        <v>13</v>
      </c>
      <c r="O2067" s="3" t="s">
        <v>14</v>
      </c>
      <c r="Q2067" s="30" t="str">
        <f t="shared" si="32"/>
        <v>MAX : 
TARGET : Yes(Pass)
MIN : No(Fail)</v>
      </c>
    </row>
    <row r="2068" spans="2:18" ht="41.4" x14ac:dyDescent="0.3">
      <c r="B2068">
        <v>1</v>
      </c>
      <c r="C2068" s="33">
        <v>7407</v>
      </c>
      <c r="D2068" s="2">
        <v>1881</v>
      </c>
      <c r="E2068" s="2" t="s">
        <v>9134</v>
      </c>
      <c r="F2068" s="3" t="s">
        <v>14207</v>
      </c>
      <c r="H2068" s="3" t="s">
        <v>721</v>
      </c>
      <c r="K2068" s="2">
        <v>10</v>
      </c>
      <c r="L2068" s="2">
        <v>1</v>
      </c>
      <c r="M2068" s="3" t="s">
        <v>299</v>
      </c>
      <c r="N2068" s="3" t="s">
        <v>1647</v>
      </c>
      <c r="O2068" s="3" t="s">
        <v>257</v>
      </c>
      <c r="P2068" s="3" t="s">
        <v>32</v>
      </c>
      <c r="Q2068" s="30" t="str">
        <f t="shared" si="32"/>
        <v>MAX : 16.0
TARGET : 15.0
MIN : 14.0</v>
      </c>
    </row>
    <row r="2069" spans="2:18" ht="41.4" x14ac:dyDescent="0.3">
      <c r="B2069">
        <v>0</v>
      </c>
      <c r="C2069" s="33">
        <v>7883</v>
      </c>
      <c r="D2069" s="2">
        <v>1925</v>
      </c>
      <c r="E2069" s="2" t="s">
        <v>9789</v>
      </c>
      <c r="F2069" s="3" t="s">
        <v>14206</v>
      </c>
      <c r="H2069" s="3" t="s">
        <v>289</v>
      </c>
      <c r="K2069" s="2">
        <v>20</v>
      </c>
      <c r="L2069" s="2">
        <v>3</v>
      </c>
      <c r="M2069" s="3" t="s">
        <v>2295</v>
      </c>
      <c r="N2069" s="3" t="s">
        <v>13</v>
      </c>
      <c r="O2069" s="3" t="s">
        <v>14</v>
      </c>
      <c r="Q2069" s="30" t="str">
        <f t="shared" si="32"/>
        <v>MAX : 
TARGET : Yes(Pass)
MIN : No(Fail)</v>
      </c>
    </row>
    <row r="2070" spans="2:18" ht="41.4" x14ac:dyDescent="0.3">
      <c r="B2070">
        <v>1</v>
      </c>
      <c r="C2070" s="33">
        <v>7413</v>
      </c>
      <c r="D2070" s="2">
        <v>1107</v>
      </c>
      <c r="E2070" s="2" t="s">
        <v>9148</v>
      </c>
      <c r="F2070" s="3" t="s">
        <v>14206</v>
      </c>
      <c r="H2070" s="3" t="s">
        <v>648</v>
      </c>
      <c r="K2070" s="2">
        <v>10</v>
      </c>
      <c r="L2070" s="2">
        <v>2</v>
      </c>
      <c r="M2070" s="3" t="s">
        <v>2272</v>
      </c>
      <c r="N2070" s="3" t="s">
        <v>24</v>
      </c>
      <c r="O2070" s="3" t="s">
        <v>25</v>
      </c>
      <c r="Q2070" s="30" t="str">
        <f t="shared" si="32"/>
        <v>MAX : 
TARGET : Yes (Pass)
MIN : No (Fail)</v>
      </c>
      <c r="R2070" s="3" t="s">
        <v>2271</v>
      </c>
    </row>
    <row r="2071" spans="2:18" ht="41.4" x14ac:dyDescent="0.3">
      <c r="B2071">
        <v>1</v>
      </c>
      <c r="C2071" s="33">
        <v>7413</v>
      </c>
      <c r="D2071" s="2">
        <v>1107</v>
      </c>
      <c r="E2071" s="2" t="s">
        <v>9148</v>
      </c>
      <c r="F2071" s="3" t="s">
        <v>14206</v>
      </c>
      <c r="H2071" s="3" t="s">
        <v>648</v>
      </c>
      <c r="K2071" s="2">
        <v>10</v>
      </c>
      <c r="L2071" s="2">
        <v>1</v>
      </c>
      <c r="M2071" s="3" t="s">
        <v>2270</v>
      </c>
      <c r="N2071" s="3" t="s">
        <v>24</v>
      </c>
      <c r="O2071" s="3" t="s">
        <v>25</v>
      </c>
      <c r="Q2071" s="30" t="str">
        <f t="shared" si="32"/>
        <v>MAX : 
TARGET : Yes (Pass)
MIN : No (Fail)</v>
      </c>
      <c r="R2071" s="3" t="s">
        <v>2271</v>
      </c>
    </row>
    <row r="2072" spans="2:18" ht="41.4" x14ac:dyDescent="0.3">
      <c r="B2072">
        <v>1</v>
      </c>
      <c r="C2072" s="33">
        <v>7413</v>
      </c>
      <c r="D2072" s="2">
        <v>1107</v>
      </c>
      <c r="E2072" s="2" t="s">
        <v>9148</v>
      </c>
      <c r="F2072" s="3" t="s">
        <v>14206</v>
      </c>
      <c r="H2072" s="3" t="s">
        <v>648</v>
      </c>
      <c r="K2072" s="2">
        <v>10</v>
      </c>
      <c r="L2072" s="2">
        <v>8</v>
      </c>
      <c r="M2072" s="3" t="s">
        <v>3840</v>
      </c>
      <c r="N2072" s="3" t="s">
        <v>13</v>
      </c>
      <c r="O2072" s="3" t="s">
        <v>14</v>
      </c>
      <c r="Q2072" s="30" t="str">
        <f t="shared" si="32"/>
        <v>MAX : 
TARGET : Yes(Pass)
MIN : No(Fail)</v>
      </c>
      <c r="R2072" s="3" t="s">
        <v>2271</v>
      </c>
    </row>
    <row r="2073" spans="2:18" ht="41.4" x14ac:dyDescent="0.3">
      <c r="B2073">
        <v>1</v>
      </c>
      <c r="C2073" s="33">
        <v>7432</v>
      </c>
      <c r="D2073" s="2">
        <v>1884</v>
      </c>
      <c r="E2073" s="2" t="s">
        <v>9161</v>
      </c>
      <c r="F2073" s="3" t="s">
        <v>14206</v>
      </c>
      <c r="H2073" s="3" t="s">
        <v>1903</v>
      </c>
      <c r="K2073" s="2">
        <v>10</v>
      </c>
      <c r="L2073" s="2">
        <v>2</v>
      </c>
      <c r="M2073" s="3" t="s">
        <v>325</v>
      </c>
      <c r="N2073" s="3" t="s">
        <v>13</v>
      </c>
      <c r="O2073" s="3" t="s">
        <v>14</v>
      </c>
      <c r="Q2073" s="30" t="str">
        <f t="shared" si="32"/>
        <v>MAX : 
TARGET : Yes(Pass)
MIN : No(Fail)</v>
      </c>
    </row>
    <row r="2074" spans="2:18" ht="41.4" x14ac:dyDescent="0.3">
      <c r="B2074">
        <v>0</v>
      </c>
      <c r="C2074" s="33">
        <v>7890</v>
      </c>
      <c r="D2074" s="2">
        <v>1927</v>
      </c>
      <c r="E2074" s="2" t="s">
        <v>9801</v>
      </c>
      <c r="F2074" s="3" t="s">
        <v>14206</v>
      </c>
      <c r="H2074" s="3" t="s">
        <v>289</v>
      </c>
      <c r="K2074" s="2">
        <v>10</v>
      </c>
      <c r="L2074" s="2">
        <v>3</v>
      </c>
      <c r="M2074" s="3" t="s">
        <v>611</v>
      </c>
      <c r="N2074" s="3" t="s">
        <v>13</v>
      </c>
      <c r="O2074" s="3" t="s">
        <v>14</v>
      </c>
      <c r="Q2074" s="30" t="str">
        <f t="shared" si="32"/>
        <v>MAX : 
TARGET : Yes(Pass)
MIN : No(Fail)</v>
      </c>
    </row>
    <row r="2075" spans="2:18" ht="41.4" x14ac:dyDescent="0.3">
      <c r="B2075">
        <v>1</v>
      </c>
      <c r="C2075" s="33">
        <v>7432</v>
      </c>
      <c r="D2075" s="2">
        <v>1884</v>
      </c>
      <c r="E2075" s="2" t="s">
        <v>9161</v>
      </c>
      <c r="F2075" s="3" t="s">
        <v>14206</v>
      </c>
      <c r="H2075" s="3" t="s">
        <v>1903</v>
      </c>
      <c r="K2075" s="2">
        <v>10</v>
      </c>
      <c r="L2075" s="2">
        <v>1</v>
      </c>
      <c r="M2075" s="3" t="s">
        <v>99</v>
      </c>
      <c r="N2075" s="3" t="s">
        <v>2011</v>
      </c>
      <c r="O2075" s="3" t="s">
        <v>1703</v>
      </c>
      <c r="P2075" s="3" t="s">
        <v>1814</v>
      </c>
      <c r="Q2075" s="30" t="str">
        <f t="shared" si="32"/>
        <v>MAX : 0.63
TARGET : 0.60
MIN : 0.57</v>
      </c>
    </row>
    <row r="2076" spans="2:18" ht="41.4" x14ac:dyDescent="0.3">
      <c r="B2076">
        <v>1</v>
      </c>
      <c r="C2076" s="33">
        <v>7455</v>
      </c>
      <c r="D2076" s="2">
        <v>1888</v>
      </c>
      <c r="E2076" s="2" t="s">
        <v>9193</v>
      </c>
      <c r="F2076" s="3" t="s">
        <v>14207</v>
      </c>
      <c r="H2076" s="3" t="s">
        <v>50</v>
      </c>
      <c r="K2076" s="2">
        <v>10</v>
      </c>
      <c r="L2076" s="2">
        <v>2</v>
      </c>
      <c r="M2076" s="3" t="s">
        <v>2132</v>
      </c>
      <c r="N2076" s="3" t="s">
        <v>13</v>
      </c>
      <c r="O2076" s="3" t="s">
        <v>14</v>
      </c>
      <c r="Q2076" s="30" t="str">
        <f t="shared" si="32"/>
        <v>MAX : 
TARGET : Yes(Pass)
MIN : No(Fail)</v>
      </c>
    </row>
    <row r="2077" spans="2:18" ht="41.4" x14ac:dyDescent="0.3">
      <c r="B2077">
        <v>1</v>
      </c>
      <c r="C2077" s="33">
        <v>7455</v>
      </c>
      <c r="D2077" s="2">
        <v>1888</v>
      </c>
      <c r="E2077" s="2" t="s">
        <v>9193</v>
      </c>
      <c r="F2077" s="3" t="s">
        <v>14207</v>
      </c>
      <c r="H2077" s="3" t="s">
        <v>50</v>
      </c>
      <c r="K2077" s="2">
        <v>10</v>
      </c>
      <c r="L2077" s="2">
        <v>1</v>
      </c>
      <c r="M2077" s="3" t="s">
        <v>99</v>
      </c>
      <c r="N2077" s="3" t="s">
        <v>1352</v>
      </c>
      <c r="O2077" s="3" t="s">
        <v>1355</v>
      </c>
      <c r="P2077" s="3" t="s">
        <v>778</v>
      </c>
      <c r="Q2077" s="30" t="str">
        <f t="shared" si="32"/>
        <v>MAX : 10.5
TARGET : 9.5
MIN : 8.5</v>
      </c>
    </row>
    <row r="2078" spans="2:18" ht="41.4" x14ac:dyDescent="0.3">
      <c r="B2078">
        <v>1</v>
      </c>
      <c r="C2078" s="33">
        <v>7458</v>
      </c>
      <c r="D2078" s="2">
        <v>1109</v>
      </c>
      <c r="E2078" s="2" t="s">
        <v>9199</v>
      </c>
      <c r="F2078" s="3" t="s">
        <v>14206</v>
      </c>
      <c r="H2078" s="3" t="s">
        <v>30</v>
      </c>
      <c r="K2078" s="2">
        <v>10</v>
      </c>
      <c r="L2078" s="2">
        <v>2</v>
      </c>
      <c r="M2078" s="3" t="s">
        <v>611</v>
      </c>
      <c r="N2078" s="3" t="s">
        <v>13</v>
      </c>
      <c r="O2078" s="3" t="s">
        <v>14</v>
      </c>
      <c r="Q2078" s="30" t="str">
        <f t="shared" si="32"/>
        <v>MAX : 
TARGET : Yes(Pass)
MIN : No(Fail)</v>
      </c>
    </row>
    <row r="2079" spans="2:18" ht="41.4" x14ac:dyDescent="0.3">
      <c r="B2079">
        <v>1</v>
      </c>
      <c r="C2079" s="33">
        <v>7458</v>
      </c>
      <c r="D2079" s="2">
        <v>1109</v>
      </c>
      <c r="E2079" s="2" t="s">
        <v>9199</v>
      </c>
      <c r="F2079" s="3" t="s">
        <v>14206</v>
      </c>
      <c r="H2079" s="3" t="s">
        <v>30</v>
      </c>
      <c r="K2079" s="2">
        <v>10</v>
      </c>
      <c r="L2079" s="2">
        <v>1</v>
      </c>
      <c r="M2079" s="3" t="s">
        <v>174</v>
      </c>
      <c r="N2079" s="3" t="s">
        <v>249</v>
      </c>
      <c r="O2079" s="3" t="s">
        <v>250</v>
      </c>
      <c r="P2079" s="3" t="s">
        <v>251</v>
      </c>
      <c r="Q2079" s="30" t="str">
        <f t="shared" si="32"/>
        <v>MAX : 6.03
TARGET : 6.00
MIN : 5.97</v>
      </c>
    </row>
    <row r="2080" spans="2:18" ht="41.4" x14ac:dyDescent="0.3">
      <c r="B2080">
        <v>1</v>
      </c>
      <c r="C2080" s="33">
        <v>7466</v>
      </c>
      <c r="D2080" s="2">
        <v>1889</v>
      </c>
      <c r="E2080" s="2" t="s">
        <v>9206</v>
      </c>
      <c r="F2080" s="3" t="s">
        <v>14206</v>
      </c>
      <c r="H2080" s="3" t="s">
        <v>289</v>
      </c>
      <c r="K2080" s="2">
        <v>10</v>
      </c>
      <c r="L2080" s="2">
        <v>2</v>
      </c>
      <c r="M2080" s="3" t="s">
        <v>2269</v>
      </c>
      <c r="N2080" s="3" t="s">
        <v>13</v>
      </c>
      <c r="O2080" s="3" t="s">
        <v>14</v>
      </c>
      <c r="Q2080" s="30" t="str">
        <f t="shared" si="32"/>
        <v>MAX : 
TARGET : Yes(Pass)
MIN : No(Fail)</v>
      </c>
    </row>
    <row r="2081" spans="2:18" ht="41.4" x14ac:dyDescent="0.3">
      <c r="B2081">
        <v>0</v>
      </c>
      <c r="C2081" s="33">
        <v>7900</v>
      </c>
      <c r="D2081" s="2">
        <v>1162</v>
      </c>
      <c r="E2081" s="2" t="s">
        <v>9814</v>
      </c>
      <c r="F2081" s="3" t="s">
        <v>14206</v>
      </c>
      <c r="H2081" s="3" t="s">
        <v>2826</v>
      </c>
      <c r="K2081" s="2">
        <v>10</v>
      </c>
      <c r="L2081" s="2">
        <v>4</v>
      </c>
      <c r="M2081" s="3" t="s">
        <v>2831</v>
      </c>
      <c r="N2081" s="3" t="s">
        <v>13</v>
      </c>
      <c r="O2081" s="3" t="s">
        <v>14</v>
      </c>
      <c r="Q2081" s="30" t="str">
        <f t="shared" si="32"/>
        <v>MAX : 
TARGET : Yes(Pass)
MIN : No(Fail)</v>
      </c>
      <c r="R2081" s="3" t="s">
        <v>1473</v>
      </c>
    </row>
    <row r="2082" spans="2:18" ht="41.4" x14ac:dyDescent="0.3">
      <c r="B2082">
        <v>0</v>
      </c>
      <c r="C2082" s="33">
        <v>7900</v>
      </c>
      <c r="D2082" s="2">
        <v>1162</v>
      </c>
      <c r="E2082" s="2" t="s">
        <v>9814</v>
      </c>
      <c r="F2082" s="3" t="s">
        <v>14206</v>
      </c>
      <c r="H2082" s="3" t="s">
        <v>2826</v>
      </c>
      <c r="K2082" s="2">
        <v>10</v>
      </c>
      <c r="L2082" s="2">
        <v>2</v>
      </c>
      <c r="M2082" s="3" t="s">
        <v>194</v>
      </c>
      <c r="N2082" s="3" t="s">
        <v>367</v>
      </c>
      <c r="O2082" s="3" t="s">
        <v>365</v>
      </c>
      <c r="P2082" s="3" t="s">
        <v>45</v>
      </c>
      <c r="Q2082" s="30" t="str">
        <f t="shared" si="32"/>
        <v>MAX : 4.125
TARGET : 4.000
MIN : 3.875</v>
      </c>
      <c r="R2082" s="3" t="s">
        <v>1473</v>
      </c>
    </row>
    <row r="2083" spans="2:18" ht="41.4" x14ac:dyDescent="0.3">
      <c r="B2083">
        <v>1</v>
      </c>
      <c r="C2083" s="33">
        <v>7466</v>
      </c>
      <c r="D2083" s="2">
        <v>1889</v>
      </c>
      <c r="E2083" s="2" t="s">
        <v>9206</v>
      </c>
      <c r="F2083" s="3" t="s">
        <v>14206</v>
      </c>
      <c r="H2083" s="3" t="s">
        <v>289</v>
      </c>
      <c r="K2083" s="2">
        <v>10</v>
      </c>
      <c r="L2083" s="2">
        <v>1</v>
      </c>
      <c r="M2083" s="3" t="s">
        <v>99</v>
      </c>
      <c r="N2083" s="3" t="s">
        <v>459</v>
      </c>
      <c r="O2083" s="3" t="s">
        <v>406</v>
      </c>
      <c r="P2083" s="3" t="s">
        <v>460</v>
      </c>
      <c r="Q2083" s="30" t="str">
        <f t="shared" si="32"/>
        <v>MAX : 2.03
TARGET : 2.00
MIN : 1.97</v>
      </c>
    </row>
    <row r="2084" spans="2:18" ht="41.4" x14ac:dyDescent="0.3">
      <c r="B2084">
        <v>1</v>
      </c>
      <c r="C2084" s="33">
        <v>7468</v>
      </c>
      <c r="D2084" s="2">
        <v>1110</v>
      </c>
      <c r="E2084" s="2" t="s">
        <v>9212</v>
      </c>
      <c r="F2084" s="3" t="s">
        <v>14206</v>
      </c>
      <c r="H2084" s="3" t="s">
        <v>412</v>
      </c>
      <c r="K2084" s="2">
        <v>10</v>
      </c>
      <c r="L2084" s="2">
        <v>2</v>
      </c>
      <c r="M2084" s="3" t="s">
        <v>2269</v>
      </c>
      <c r="N2084" s="3" t="s">
        <v>13</v>
      </c>
      <c r="O2084" s="3" t="s">
        <v>14</v>
      </c>
      <c r="Q2084" s="30" t="str">
        <f t="shared" si="32"/>
        <v>MAX : 
TARGET : Yes(Pass)
MIN : No(Fail)</v>
      </c>
    </row>
    <row r="2085" spans="2:18" ht="41.4" x14ac:dyDescent="0.3">
      <c r="B2085">
        <v>0</v>
      </c>
      <c r="C2085" s="33">
        <v>7897</v>
      </c>
      <c r="D2085" s="2">
        <v>1161</v>
      </c>
      <c r="E2085" s="2" t="s">
        <v>9808</v>
      </c>
      <c r="F2085" s="3" t="s">
        <v>14207</v>
      </c>
      <c r="H2085" s="3" t="s">
        <v>600</v>
      </c>
      <c r="K2085" s="2">
        <v>20</v>
      </c>
      <c r="L2085" s="2">
        <v>3</v>
      </c>
      <c r="M2085" s="3" t="s">
        <v>1666</v>
      </c>
      <c r="N2085" s="3" t="s">
        <v>2836</v>
      </c>
      <c r="O2085" s="3" t="s">
        <v>2541</v>
      </c>
      <c r="P2085" s="3" t="s">
        <v>1350</v>
      </c>
      <c r="Q2085" s="30" t="str">
        <f t="shared" si="32"/>
        <v>MAX : 7.5
TARGET : 7.0
MIN : 6.5</v>
      </c>
    </row>
    <row r="2086" spans="2:18" ht="41.4" x14ac:dyDescent="0.3">
      <c r="B2086">
        <v>0</v>
      </c>
      <c r="C2086" s="33">
        <v>7897</v>
      </c>
      <c r="D2086" s="2">
        <v>1161</v>
      </c>
      <c r="E2086" s="2" t="s">
        <v>9808</v>
      </c>
      <c r="F2086" s="3" t="s">
        <v>14207</v>
      </c>
      <c r="H2086" s="3" t="s">
        <v>600</v>
      </c>
      <c r="K2086" s="2">
        <v>20</v>
      </c>
      <c r="L2086" s="2">
        <v>4</v>
      </c>
      <c r="M2086" s="3" t="s">
        <v>1428</v>
      </c>
      <c r="N2086" s="3" t="s">
        <v>1355</v>
      </c>
      <c r="O2086" s="3" t="s">
        <v>1356</v>
      </c>
      <c r="P2086" s="3" t="s">
        <v>778</v>
      </c>
      <c r="Q2086" s="30" t="str">
        <f t="shared" si="32"/>
        <v>MAX : 10.5
TARGET : 10.0
MIN : 9.5</v>
      </c>
    </row>
    <row r="2087" spans="2:18" ht="41.4" x14ac:dyDescent="0.3">
      <c r="B2087">
        <v>0</v>
      </c>
      <c r="C2087" s="33">
        <v>7897</v>
      </c>
      <c r="D2087" s="2">
        <v>1161</v>
      </c>
      <c r="E2087" s="2" t="s">
        <v>9808</v>
      </c>
      <c r="F2087" s="3" t="s">
        <v>14207</v>
      </c>
      <c r="H2087" s="3" t="s">
        <v>600</v>
      </c>
      <c r="K2087" s="2">
        <v>20</v>
      </c>
      <c r="L2087" s="2">
        <v>5</v>
      </c>
      <c r="M2087" s="3" t="s">
        <v>1434</v>
      </c>
      <c r="N2087" s="3" t="s">
        <v>2836</v>
      </c>
      <c r="O2087" s="3" t="s">
        <v>2541</v>
      </c>
      <c r="P2087" s="3" t="s">
        <v>1350</v>
      </c>
      <c r="Q2087" s="30" t="str">
        <f t="shared" si="32"/>
        <v>MAX : 7.5
TARGET : 7.0
MIN : 6.5</v>
      </c>
    </row>
    <row r="2088" spans="2:18" ht="41.4" x14ac:dyDescent="0.3">
      <c r="B2088">
        <v>0</v>
      </c>
      <c r="C2088" s="33">
        <v>7897</v>
      </c>
      <c r="D2088" s="2">
        <v>1161</v>
      </c>
      <c r="E2088" s="2" t="s">
        <v>9808</v>
      </c>
      <c r="F2088" s="3" t="s">
        <v>14207</v>
      </c>
      <c r="H2088" s="3" t="s">
        <v>600</v>
      </c>
      <c r="K2088" s="2">
        <v>20</v>
      </c>
      <c r="L2088" s="2">
        <v>6</v>
      </c>
      <c r="M2088" s="3" t="s">
        <v>2837</v>
      </c>
      <c r="N2088" s="3" t="s">
        <v>2838</v>
      </c>
      <c r="O2088" s="3" t="s">
        <v>2839</v>
      </c>
      <c r="P2088" s="3" t="s">
        <v>2840</v>
      </c>
      <c r="Q2088" s="30" t="str">
        <f t="shared" si="32"/>
        <v>MAX : 116.0
TARGET : 115.5
MIN : 115.0</v>
      </c>
    </row>
    <row r="2089" spans="2:18" ht="41.4" x14ac:dyDescent="0.3">
      <c r="B2089">
        <v>0</v>
      </c>
      <c r="C2089" s="33">
        <v>7897</v>
      </c>
      <c r="D2089" s="2">
        <v>1161</v>
      </c>
      <c r="E2089" s="2" t="s">
        <v>9808</v>
      </c>
      <c r="F2089" s="3" t="s">
        <v>14207</v>
      </c>
      <c r="H2089" s="3" t="s">
        <v>600</v>
      </c>
      <c r="K2089" s="2">
        <v>20</v>
      </c>
      <c r="L2089" s="2">
        <v>7</v>
      </c>
      <c r="M2089" s="3" t="s">
        <v>1403</v>
      </c>
      <c r="N2089" s="3" t="s">
        <v>13</v>
      </c>
      <c r="O2089" s="3" t="s">
        <v>14</v>
      </c>
      <c r="Q2089" s="30" t="str">
        <f t="shared" si="32"/>
        <v>MAX : 
TARGET : Yes(Pass)
MIN : No(Fail)</v>
      </c>
    </row>
    <row r="2090" spans="2:18" ht="41.4" x14ac:dyDescent="0.3">
      <c r="B2090">
        <v>1</v>
      </c>
      <c r="C2090" s="33">
        <v>7468</v>
      </c>
      <c r="D2090" s="2">
        <v>1110</v>
      </c>
      <c r="E2090" s="2" t="s">
        <v>9212</v>
      </c>
      <c r="F2090" s="3" t="s">
        <v>14206</v>
      </c>
      <c r="H2090" s="3" t="s">
        <v>412</v>
      </c>
      <c r="K2090" s="2">
        <v>10</v>
      </c>
      <c r="L2090" s="2">
        <v>1</v>
      </c>
      <c r="M2090" s="3" t="s">
        <v>458</v>
      </c>
      <c r="N2090" s="3" t="s">
        <v>983</v>
      </c>
      <c r="O2090" s="3" t="s">
        <v>241</v>
      </c>
      <c r="P2090" s="3" t="s">
        <v>984</v>
      </c>
      <c r="Q2090" s="30" t="str">
        <f t="shared" si="32"/>
        <v>MAX : 0.155
TARGET : 0.125
MIN : 0.095</v>
      </c>
    </row>
    <row r="2091" spans="2:18" ht="41.4" x14ac:dyDescent="0.3">
      <c r="B2091">
        <v>1</v>
      </c>
      <c r="C2091" s="33">
        <v>7468</v>
      </c>
      <c r="D2091" s="2">
        <v>1110</v>
      </c>
      <c r="E2091" s="2" t="s">
        <v>9212</v>
      </c>
      <c r="F2091" s="3" t="s">
        <v>14206</v>
      </c>
      <c r="H2091" s="3" t="s">
        <v>412</v>
      </c>
      <c r="K2091" s="2">
        <v>10</v>
      </c>
      <c r="L2091" s="2">
        <v>3</v>
      </c>
      <c r="M2091" s="3" t="s">
        <v>3352</v>
      </c>
      <c r="N2091" s="3" t="s">
        <v>3353</v>
      </c>
      <c r="O2091" s="3" t="s">
        <v>3354</v>
      </c>
      <c r="P2091" s="3" t="s">
        <v>2140</v>
      </c>
      <c r="Q2091" s="30" t="str">
        <f t="shared" si="32"/>
        <v>MAX : 450
TARGET : 400
MIN : 350</v>
      </c>
    </row>
    <row r="2092" spans="2:18" ht="41.4" x14ac:dyDescent="0.3">
      <c r="B2092">
        <v>1</v>
      </c>
      <c r="C2092" s="33">
        <v>7468</v>
      </c>
      <c r="D2092" s="2">
        <v>1110</v>
      </c>
      <c r="E2092" s="2" t="s">
        <v>9212</v>
      </c>
      <c r="F2092" s="3" t="s">
        <v>14206</v>
      </c>
      <c r="H2092" s="3" t="s">
        <v>412</v>
      </c>
      <c r="K2092" s="2">
        <v>10</v>
      </c>
      <c r="L2092" s="2">
        <v>4</v>
      </c>
      <c r="M2092" s="3" t="s">
        <v>3355</v>
      </c>
      <c r="N2092" s="3" t="s">
        <v>2140</v>
      </c>
      <c r="O2092" s="3" t="s">
        <v>510</v>
      </c>
      <c r="P2092" s="3" t="s">
        <v>3356</v>
      </c>
      <c r="Q2092" s="30" t="str">
        <f t="shared" si="32"/>
        <v>MAX : 550
TARGET : 500
MIN : 450</v>
      </c>
    </row>
    <row r="2093" spans="2:18" ht="41.4" x14ac:dyDescent="0.3">
      <c r="B2093">
        <v>1</v>
      </c>
      <c r="C2093" s="33">
        <v>7482</v>
      </c>
      <c r="D2093" s="2">
        <v>1112</v>
      </c>
      <c r="E2093" s="2" t="s">
        <v>9237</v>
      </c>
      <c r="F2093" s="3" t="s">
        <v>14206</v>
      </c>
      <c r="H2093" s="3" t="s">
        <v>2315</v>
      </c>
      <c r="K2093" s="2">
        <v>10</v>
      </c>
      <c r="L2093" s="2">
        <v>14</v>
      </c>
      <c r="M2093" s="3" t="s">
        <v>2320</v>
      </c>
      <c r="N2093" s="3" t="s">
        <v>1756</v>
      </c>
      <c r="O2093" s="3" t="s">
        <v>2321</v>
      </c>
      <c r="P2093" s="3" t="s">
        <v>2322</v>
      </c>
      <c r="Q2093" s="30" t="str">
        <f t="shared" si="32"/>
        <v>MAX : 5.84
TARGET : 5.81
MIN : 5.78</v>
      </c>
    </row>
    <row r="2094" spans="2:18" ht="41.4" x14ac:dyDescent="0.3">
      <c r="B2094">
        <v>0</v>
      </c>
      <c r="C2094" s="33">
        <v>7903</v>
      </c>
      <c r="D2094" s="2">
        <v>1163</v>
      </c>
      <c r="E2094" s="2" t="s">
        <v>9828</v>
      </c>
      <c r="F2094" s="29" t="s">
        <v>14227</v>
      </c>
      <c r="G2094" s="3" t="s">
        <v>2843</v>
      </c>
      <c r="H2094" s="3" t="s">
        <v>2844</v>
      </c>
      <c r="K2094" s="2">
        <v>30</v>
      </c>
      <c r="L2094" s="2">
        <v>6</v>
      </c>
      <c r="M2094" s="3" t="s">
        <v>2851</v>
      </c>
      <c r="N2094" s="3" t="s">
        <v>2852</v>
      </c>
      <c r="O2094" s="3" t="s">
        <v>1947</v>
      </c>
      <c r="P2094" s="3" t="s">
        <v>2853</v>
      </c>
      <c r="Q2094" s="30" t="str">
        <f t="shared" si="32"/>
        <v>MAX : 0.225
TARGET : 0.220
MIN : 0.215</v>
      </c>
    </row>
    <row r="2095" spans="2:18" ht="41.4" x14ac:dyDescent="0.3">
      <c r="B2095">
        <v>0</v>
      </c>
      <c r="C2095" s="33">
        <v>7903</v>
      </c>
      <c r="D2095" s="2">
        <v>1163</v>
      </c>
      <c r="E2095" s="2" t="s">
        <v>9828</v>
      </c>
      <c r="F2095" s="29" t="s">
        <v>14227</v>
      </c>
      <c r="G2095" s="3" t="s">
        <v>2843</v>
      </c>
      <c r="H2095" s="3" t="s">
        <v>2844</v>
      </c>
      <c r="K2095" s="2">
        <v>30</v>
      </c>
      <c r="L2095" s="2">
        <v>7</v>
      </c>
      <c r="M2095" s="3" t="s">
        <v>2854</v>
      </c>
      <c r="N2095" s="3" t="s">
        <v>2852</v>
      </c>
      <c r="O2095" s="3" t="s">
        <v>1947</v>
      </c>
      <c r="P2095" s="3" t="s">
        <v>2853</v>
      </c>
      <c r="Q2095" s="30" t="str">
        <f t="shared" si="32"/>
        <v>MAX : 0.225
TARGET : 0.220
MIN : 0.215</v>
      </c>
    </row>
    <row r="2096" spans="2:18" ht="41.4" x14ac:dyDescent="0.3">
      <c r="B2096">
        <v>0</v>
      </c>
      <c r="C2096" s="33">
        <v>7903</v>
      </c>
      <c r="D2096" s="2">
        <v>1163</v>
      </c>
      <c r="E2096" s="2" t="s">
        <v>9828</v>
      </c>
      <c r="F2096" s="29" t="s">
        <v>14227</v>
      </c>
      <c r="G2096" s="3" t="s">
        <v>2843</v>
      </c>
      <c r="H2096" s="3" t="s">
        <v>2844</v>
      </c>
      <c r="K2096" s="2">
        <v>30</v>
      </c>
      <c r="L2096" s="2">
        <v>8</v>
      </c>
      <c r="M2096" s="3" t="s">
        <v>2855</v>
      </c>
      <c r="N2096" s="3" t="s">
        <v>2852</v>
      </c>
      <c r="O2096" s="3" t="s">
        <v>1947</v>
      </c>
      <c r="P2096" s="3" t="s">
        <v>2853</v>
      </c>
      <c r="Q2096" s="30" t="str">
        <f t="shared" si="32"/>
        <v>MAX : 0.225
TARGET : 0.220
MIN : 0.215</v>
      </c>
    </row>
    <row r="2097" spans="2:18" ht="41.4" x14ac:dyDescent="0.3">
      <c r="B2097">
        <v>0</v>
      </c>
      <c r="C2097" s="33">
        <v>7903</v>
      </c>
      <c r="D2097" s="2">
        <v>1163</v>
      </c>
      <c r="E2097" s="2" t="s">
        <v>9828</v>
      </c>
      <c r="F2097" s="29" t="s">
        <v>14227</v>
      </c>
      <c r="G2097" s="3" t="s">
        <v>2843</v>
      </c>
      <c r="H2097" s="3" t="s">
        <v>2844</v>
      </c>
      <c r="K2097" s="2">
        <v>30</v>
      </c>
      <c r="L2097" s="2">
        <v>9</v>
      </c>
      <c r="M2097" s="3" t="s">
        <v>2856</v>
      </c>
      <c r="N2097" s="3" t="s">
        <v>2852</v>
      </c>
      <c r="O2097" s="3" t="s">
        <v>1947</v>
      </c>
      <c r="P2097" s="3" t="s">
        <v>2853</v>
      </c>
      <c r="Q2097" s="30" t="str">
        <f t="shared" si="32"/>
        <v>MAX : 0.225
TARGET : 0.220
MIN : 0.215</v>
      </c>
    </row>
    <row r="2098" spans="2:18" ht="41.4" x14ac:dyDescent="0.3">
      <c r="B2098">
        <v>1</v>
      </c>
      <c r="C2098" s="33">
        <v>7482</v>
      </c>
      <c r="D2098" s="2">
        <v>1112</v>
      </c>
      <c r="E2098" s="2" t="s">
        <v>9237</v>
      </c>
      <c r="F2098" s="3" t="s">
        <v>14206</v>
      </c>
      <c r="H2098" s="3" t="s">
        <v>2315</v>
      </c>
      <c r="K2098" s="2">
        <v>10</v>
      </c>
      <c r="L2098" s="2">
        <v>13</v>
      </c>
      <c r="M2098" s="3" t="s">
        <v>2316</v>
      </c>
      <c r="N2098" s="3" t="s">
        <v>2317</v>
      </c>
      <c r="O2098" s="3" t="s">
        <v>2318</v>
      </c>
      <c r="P2098" s="3" t="s">
        <v>2319</v>
      </c>
      <c r="Q2098" s="30" t="str">
        <f t="shared" si="32"/>
        <v>MAX : 7.34
TARGET : 7.31
MIN : 7.28</v>
      </c>
    </row>
    <row r="2099" spans="2:18" ht="41.4" x14ac:dyDescent="0.3">
      <c r="B2099">
        <v>1</v>
      </c>
      <c r="C2099" s="33">
        <v>7482</v>
      </c>
      <c r="D2099" s="2">
        <v>1112</v>
      </c>
      <c r="E2099" s="2" t="s">
        <v>9237</v>
      </c>
      <c r="F2099" s="3" t="s">
        <v>14206</v>
      </c>
      <c r="H2099" s="3" t="s">
        <v>2315</v>
      </c>
      <c r="K2099" s="2">
        <v>10</v>
      </c>
      <c r="L2099" s="2">
        <v>26</v>
      </c>
      <c r="M2099" s="3" t="s">
        <v>2508</v>
      </c>
      <c r="N2099" s="3" t="s">
        <v>13</v>
      </c>
      <c r="O2099" s="3" t="s">
        <v>14</v>
      </c>
      <c r="Q2099" s="30" t="str">
        <f t="shared" si="32"/>
        <v>MAX : 
TARGET : Yes(Pass)
MIN : No(Fail)</v>
      </c>
    </row>
    <row r="2100" spans="2:18" ht="41.4" x14ac:dyDescent="0.3">
      <c r="B2100">
        <v>1</v>
      </c>
      <c r="C2100" s="33">
        <v>7482</v>
      </c>
      <c r="D2100" s="2">
        <v>1112</v>
      </c>
      <c r="E2100" s="2" t="s">
        <v>9237</v>
      </c>
      <c r="F2100" s="3" t="s">
        <v>14206</v>
      </c>
      <c r="H2100" s="3" t="s">
        <v>2315</v>
      </c>
      <c r="K2100" s="2">
        <v>10</v>
      </c>
      <c r="L2100" s="2">
        <v>23</v>
      </c>
      <c r="M2100" s="3" t="s">
        <v>3247</v>
      </c>
      <c r="N2100" s="3" t="s">
        <v>2338</v>
      </c>
      <c r="O2100" s="3" t="s">
        <v>339</v>
      </c>
      <c r="P2100" s="3" t="s">
        <v>2339</v>
      </c>
      <c r="Q2100" s="30" t="str">
        <f t="shared" si="32"/>
        <v>MAX : 3.26
TARGET : 3.25
MIN : 3.24</v>
      </c>
    </row>
    <row r="2101" spans="2:18" ht="41.4" x14ac:dyDescent="0.3">
      <c r="B2101">
        <v>0</v>
      </c>
      <c r="C2101" s="33">
        <v>7880</v>
      </c>
      <c r="D2101" s="2">
        <v>1159</v>
      </c>
      <c r="E2101" s="2" t="s">
        <v>9774</v>
      </c>
      <c r="F2101" s="3" t="s">
        <v>14206</v>
      </c>
      <c r="H2101" s="3" t="s">
        <v>2857</v>
      </c>
      <c r="K2101" s="2">
        <v>10</v>
      </c>
      <c r="L2101" s="2">
        <v>3</v>
      </c>
      <c r="M2101" s="3" t="s">
        <v>2858</v>
      </c>
      <c r="N2101" s="3" t="s">
        <v>13</v>
      </c>
      <c r="O2101" s="3" t="s">
        <v>14</v>
      </c>
      <c r="Q2101" s="30" t="str">
        <f t="shared" si="32"/>
        <v>MAX : 
TARGET : Yes(Pass)
MIN : No(Fail)</v>
      </c>
    </row>
    <row r="2102" spans="2:18" ht="41.4" x14ac:dyDescent="0.3">
      <c r="B2102">
        <v>1</v>
      </c>
      <c r="C2102" s="33">
        <v>7482</v>
      </c>
      <c r="D2102" s="2">
        <v>1112</v>
      </c>
      <c r="E2102" s="2" t="s">
        <v>9237</v>
      </c>
      <c r="F2102" s="3" t="s">
        <v>14206</v>
      </c>
      <c r="H2102" s="3" t="s">
        <v>2315</v>
      </c>
      <c r="K2102" s="2">
        <v>10</v>
      </c>
      <c r="L2102" s="2">
        <v>1</v>
      </c>
      <c r="M2102" s="3" t="s">
        <v>3494</v>
      </c>
      <c r="N2102" s="3" t="s">
        <v>3495</v>
      </c>
      <c r="O2102" s="3" t="s">
        <v>683</v>
      </c>
      <c r="P2102" s="3" t="s">
        <v>3496</v>
      </c>
      <c r="Q2102" s="30" t="str">
        <f t="shared" si="32"/>
        <v>MAX : .145
TARGET : .125
MIN : .105</v>
      </c>
    </row>
    <row r="2103" spans="2:18" ht="41.4" x14ac:dyDescent="0.3">
      <c r="B2103">
        <v>1</v>
      </c>
      <c r="C2103" s="33">
        <v>7482</v>
      </c>
      <c r="D2103" s="2">
        <v>1112</v>
      </c>
      <c r="E2103" s="2" t="s">
        <v>9237</v>
      </c>
      <c r="F2103" s="3" t="s">
        <v>14206</v>
      </c>
      <c r="H2103" s="3" t="s">
        <v>2315</v>
      </c>
      <c r="K2103" s="2">
        <v>10</v>
      </c>
      <c r="L2103" s="2">
        <v>33</v>
      </c>
      <c r="M2103" s="3" t="s">
        <v>3984</v>
      </c>
      <c r="N2103" s="3" t="s">
        <v>13</v>
      </c>
      <c r="O2103" s="3" t="s">
        <v>14</v>
      </c>
      <c r="Q2103" s="30" t="str">
        <f t="shared" si="32"/>
        <v>MAX : 
TARGET : Yes(Pass)
MIN : No(Fail)</v>
      </c>
    </row>
    <row r="2104" spans="2:18" ht="41.4" x14ac:dyDescent="0.3">
      <c r="B2104">
        <v>0</v>
      </c>
      <c r="C2104" s="33">
        <v>7930</v>
      </c>
      <c r="D2104" s="2">
        <v>1932</v>
      </c>
      <c r="E2104" s="2" t="s">
        <v>9853</v>
      </c>
      <c r="F2104" s="3" t="s">
        <v>14206</v>
      </c>
      <c r="H2104" s="3" t="s">
        <v>289</v>
      </c>
      <c r="K2104" s="2">
        <v>10</v>
      </c>
      <c r="L2104" s="2">
        <v>3</v>
      </c>
      <c r="M2104" s="3" t="s">
        <v>611</v>
      </c>
      <c r="N2104" s="3" t="s">
        <v>13</v>
      </c>
      <c r="O2104" s="3" t="s">
        <v>14</v>
      </c>
      <c r="Q2104" s="30" t="str">
        <f t="shared" si="32"/>
        <v>MAX : 
TARGET : Yes(Pass)
MIN : No(Fail)</v>
      </c>
    </row>
    <row r="2105" spans="2:18" ht="41.4" x14ac:dyDescent="0.3">
      <c r="B2105">
        <v>1</v>
      </c>
      <c r="C2105" s="33">
        <v>7482</v>
      </c>
      <c r="D2105" s="2">
        <v>1112</v>
      </c>
      <c r="E2105" s="2" t="s">
        <v>9237</v>
      </c>
      <c r="F2105" s="3" t="s">
        <v>14206</v>
      </c>
      <c r="H2105" s="3" t="s">
        <v>2315</v>
      </c>
      <c r="K2105" s="2">
        <v>10</v>
      </c>
      <c r="L2105" s="2">
        <v>24</v>
      </c>
      <c r="M2105" s="3" t="s">
        <v>3248</v>
      </c>
      <c r="N2105" s="3" t="s">
        <v>3249</v>
      </c>
      <c r="O2105" s="3" t="s">
        <v>340</v>
      </c>
      <c r="P2105" s="3" t="s">
        <v>3250</v>
      </c>
      <c r="Q2105" s="30" t="str">
        <f t="shared" si="32"/>
        <v>MAX : 3.51
TARGET : 3.50
MIN : 3.49</v>
      </c>
    </row>
    <row r="2106" spans="2:18" ht="41.4" x14ac:dyDescent="0.3">
      <c r="B2106">
        <v>1</v>
      </c>
      <c r="C2106" s="33">
        <v>7482</v>
      </c>
      <c r="D2106" s="2">
        <v>1112</v>
      </c>
      <c r="E2106" s="2" t="s">
        <v>9237</v>
      </c>
      <c r="F2106" s="3" t="s">
        <v>14206</v>
      </c>
      <c r="H2106" s="3" t="s">
        <v>2315</v>
      </c>
      <c r="K2106" s="2">
        <v>10</v>
      </c>
      <c r="L2106" s="2">
        <v>2</v>
      </c>
      <c r="M2106" s="3" t="s">
        <v>3497</v>
      </c>
      <c r="N2106" s="3" t="s">
        <v>3498</v>
      </c>
      <c r="O2106" s="3" t="s">
        <v>3499</v>
      </c>
      <c r="P2106" s="3" t="s">
        <v>3500</v>
      </c>
      <c r="Q2106" s="30" t="str">
        <f t="shared" si="32"/>
        <v>MAX : .012
TARGET : .008
MIN : .004</v>
      </c>
    </row>
    <row r="2107" spans="2:18" ht="41.4" x14ac:dyDescent="0.3">
      <c r="B2107">
        <v>0</v>
      </c>
      <c r="C2107" s="33">
        <v>7933</v>
      </c>
      <c r="D2107" s="2">
        <v>1933</v>
      </c>
      <c r="E2107" s="2" t="s">
        <v>9859</v>
      </c>
      <c r="F2107" s="3" t="s">
        <v>14206</v>
      </c>
      <c r="H2107" s="3" t="s">
        <v>2859</v>
      </c>
      <c r="K2107" s="2">
        <v>30</v>
      </c>
      <c r="L2107" s="2">
        <v>1</v>
      </c>
      <c r="M2107" s="3" t="s">
        <v>1469</v>
      </c>
      <c r="N2107" s="3" t="s">
        <v>420</v>
      </c>
      <c r="O2107" s="3" t="s">
        <v>272</v>
      </c>
      <c r="P2107" s="3" t="s">
        <v>414</v>
      </c>
      <c r="Q2107" s="30" t="str">
        <f t="shared" si="32"/>
        <v>MAX : 1.03
TARGET : 1.00
MIN : 0.97</v>
      </c>
    </row>
    <row r="2108" spans="2:18" ht="41.4" x14ac:dyDescent="0.3">
      <c r="B2108">
        <v>0</v>
      </c>
      <c r="C2108" s="33">
        <v>7933</v>
      </c>
      <c r="D2108" s="2">
        <v>1933</v>
      </c>
      <c r="E2108" s="2" t="s">
        <v>9859</v>
      </c>
      <c r="F2108" s="3" t="s">
        <v>14206</v>
      </c>
      <c r="H2108" s="3" t="s">
        <v>2859</v>
      </c>
      <c r="K2108" s="2">
        <v>30</v>
      </c>
      <c r="L2108" s="2">
        <v>2</v>
      </c>
      <c r="M2108" s="3" t="s">
        <v>2059</v>
      </c>
      <c r="N2108" s="3" t="s">
        <v>13</v>
      </c>
      <c r="O2108" s="3" t="s">
        <v>14</v>
      </c>
      <c r="Q2108" s="30" t="str">
        <f t="shared" si="32"/>
        <v>MAX : 
TARGET : Yes(Pass)
MIN : No(Fail)</v>
      </c>
    </row>
    <row r="2109" spans="2:18" ht="41.4" x14ac:dyDescent="0.3">
      <c r="B2109">
        <v>0</v>
      </c>
      <c r="C2109" s="33">
        <v>7933</v>
      </c>
      <c r="D2109" s="2">
        <v>1933</v>
      </c>
      <c r="E2109" s="2" t="s">
        <v>9859</v>
      </c>
      <c r="F2109" s="3" t="s">
        <v>14206</v>
      </c>
      <c r="H2109" s="3" t="s">
        <v>2859</v>
      </c>
      <c r="K2109" s="2">
        <v>30</v>
      </c>
      <c r="L2109" s="2">
        <v>3</v>
      </c>
      <c r="M2109" s="3" t="s">
        <v>611</v>
      </c>
      <c r="N2109" s="3" t="s">
        <v>13</v>
      </c>
      <c r="O2109" s="3" t="s">
        <v>14</v>
      </c>
      <c r="Q2109" s="30" t="str">
        <f t="shared" si="32"/>
        <v>MAX : 
TARGET : Yes(Pass)
MIN : No(Fail)</v>
      </c>
    </row>
    <row r="2110" spans="2:18" ht="41.4" x14ac:dyDescent="0.3">
      <c r="B2110">
        <v>0</v>
      </c>
      <c r="C2110" s="33">
        <v>7933</v>
      </c>
      <c r="D2110" s="2">
        <v>1933</v>
      </c>
      <c r="E2110" s="2" t="s">
        <v>9859</v>
      </c>
      <c r="F2110" s="3" t="s">
        <v>14206</v>
      </c>
      <c r="H2110" s="3" t="s">
        <v>2859</v>
      </c>
      <c r="K2110" s="2">
        <v>20</v>
      </c>
      <c r="L2110" s="2">
        <v>3</v>
      </c>
      <c r="M2110" s="3" t="s">
        <v>2862</v>
      </c>
      <c r="N2110" s="3" t="s">
        <v>13</v>
      </c>
      <c r="O2110" s="3" t="s">
        <v>14</v>
      </c>
      <c r="Q2110" s="30" t="str">
        <f t="shared" si="32"/>
        <v>MAX : 
TARGET : Yes(Pass)
MIN : No(Fail)</v>
      </c>
    </row>
    <row r="2111" spans="2:18" ht="41.4" x14ac:dyDescent="0.3">
      <c r="B2111">
        <v>1</v>
      </c>
      <c r="C2111" s="33">
        <v>7485</v>
      </c>
      <c r="D2111" s="2">
        <v>1113</v>
      </c>
      <c r="E2111" s="2" t="s">
        <v>9244</v>
      </c>
      <c r="F2111" s="3" t="s">
        <v>14206</v>
      </c>
      <c r="H2111" s="3" t="s">
        <v>648</v>
      </c>
      <c r="K2111" s="2">
        <v>30</v>
      </c>
      <c r="L2111" s="2">
        <v>2</v>
      </c>
      <c r="M2111" s="3" t="s">
        <v>198</v>
      </c>
      <c r="N2111" s="3" t="s">
        <v>2281</v>
      </c>
      <c r="O2111" s="3" t="s">
        <v>2282</v>
      </c>
      <c r="P2111" s="3" t="s">
        <v>2283</v>
      </c>
      <c r="Q2111" s="30" t="str">
        <f t="shared" si="32"/>
        <v>MAX : 11.70
TARGET : 11.55
MIN : 11.49</v>
      </c>
      <c r="R2111" s="3" t="s">
        <v>2280</v>
      </c>
    </row>
    <row r="2112" spans="2:18" ht="41.4" x14ac:dyDescent="0.3">
      <c r="B2112">
        <v>1</v>
      </c>
      <c r="C2112" s="33">
        <v>7485</v>
      </c>
      <c r="D2112" s="2">
        <v>1113</v>
      </c>
      <c r="E2112" s="2" t="s">
        <v>9244</v>
      </c>
      <c r="F2112" s="3" t="s">
        <v>14206</v>
      </c>
      <c r="H2112" s="3" t="s">
        <v>648</v>
      </c>
      <c r="K2112" s="2">
        <v>30</v>
      </c>
      <c r="L2112" s="2">
        <v>5</v>
      </c>
      <c r="M2112" s="3" t="s">
        <v>2515</v>
      </c>
      <c r="N2112" s="3" t="s">
        <v>2455</v>
      </c>
      <c r="O2112" s="3" t="s">
        <v>1570</v>
      </c>
      <c r="P2112" s="3" t="s">
        <v>423</v>
      </c>
      <c r="Q2112" s="30" t="str">
        <f t="shared" si="32"/>
        <v>MAX : 0.19
TARGET : 0.13
MIN : 0.07</v>
      </c>
      <c r="R2112" s="3" t="s">
        <v>2280</v>
      </c>
    </row>
    <row r="2113" spans="2:18" ht="41.4" x14ac:dyDescent="0.3">
      <c r="B2113">
        <v>0</v>
      </c>
      <c r="C2113" s="33">
        <v>7938</v>
      </c>
      <c r="D2113" s="2">
        <v>1164</v>
      </c>
      <c r="E2113" s="2" t="s">
        <v>9867</v>
      </c>
      <c r="F2113" s="3" t="s">
        <v>14207</v>
      </c>
      <c r="H2113" s="3" t="s">
        <v>2151</v>
      </c>
      <c r="K2113" s="2">
        <v>10</v>
      </c>
      <c r="L2113" s="2">
        <v>1</v>
      </c>
      <c r="M2113" s="3" t="s">
        <v>328</v>
      </c>
      <c r="N2113" s="3" t="s">
        <v>2867</v>
      </c>
      <c r="O2113" s="3" t="s">
        <v>858</v>
      </c>
      <c r="P2113" s="3" t="s">
        <v>2868</v>
      </c>
      <c r="Q2113" s="30" t="str">
        <f t="shared" si="32"/>
        <v>MAX : 17.13
TARGET : 17.00
MIN : 16.87</v>
      </c>
    </row>
    <row r="2114" spans="2:18" ht="41.4" x14ac:dyDescent="0.3">
      <c r="B2114">
        <v>0</v>
      </c>
      <c r="C2114" s="33">
        <v>7938</v>
      </c>
      <c r="D2114" s="2">
        <v>1164</v>
      </c>
      <c r="E2114" s="2" t="s">
        <v>9867</v>
      </c>
      <c r="F2114" s="3" t="s">
        <v>14207</v>
      </c>
      <c r="H2114" s="3" t="s">
        <v>2151</v>
      </c>
      <c r="K2114" s="2">
        <v>10</v>
      </c>
      <c r="L2114" s="2">
        <v>2</v>
      </c>
      <c r="M2114" s="3" t="s">
        <v>2161</v>
      </c>
      <c r="N2114" s="3" t="s">
        <v>2869</v>
      </c>
      <c r="O2114" s="3" t="s">
        <v>2870</v>
      </c>
      <c r="P2114" s="3" t="s">
        <v>2219</v>
      </c>
      <c r="Q2114" s="30" t="str">
        <f t="shared" ref="Q2114:Q2177" si="33">"MAX : " &amp; P2114 &amp; CHAR(10) &amp; "TARGET : " &amp; O2114 &amp; CHAR(10) &amp; "MIN : " &amp; N2114</f>
        <v>MAX : 21.25
TARGET : 21.00
MIN : 20.75</v>
      </c>
    </row>
    <row r="2115" spans="2:18" ht="41.4" x14ac:dyDescent="0.3">
      <c r="B2115">
        <v>0</v>
      </c>
      <c r="C2115" s="33">
        <v>7938</v>
      </c>
      <c r="D2115" s="2">
        <v>1164</v>
      </c>
      <c r="E2115" s="2" t="s">
        <v>9867</v>
      </c>
      <c r="F2115" s="3" t="s">
        <v>14207</v>
      </c>
      <c r="H2115" s="3" t="s">
        <v>2151</v>
      </c>
      <c r="K2115" s="2">
        <v>10</v>
      </c>
      <c r="L2115" s="2">
        <v>5</v>
      </c>
      <c r="M2115" s="3" t="s">
        <v>2871</v>
      </c>
      <c r="N2115" s="3" t="s">
        <v>2872</v>
      </c>
      <c r="O2115" s="3" t="s">
        <v>2005</v>
      </c>
      <c r="P2115" s="3" t="s">
        <v>2873</v>
      </c>
      <c r="Q2115" s="30" t="str">
        <f t="shared" si="33"/>
        <v>MAX : 6.64
TARGET : 6.39
MIN : 6.14</v>
      </c>
    </row>
    <row r="2116" spans="2:18" ht="41.4" x14ac:dyDescent="0.3">
      <c r="B2116">
        <v>0</v>
      </c>
      <c r="C2116" s="33">
        <v>7938</v>
      </c>
      <c r="D2116" s="2">
        <v>1164</v>
      </c>
      <c r="E2116" s="2" t="s">
        <v>9867</v>
      </c>
      <c r="F2116" s="3" t="s">
        <v>14207</v>
      </c>
      <c r="H2116" s="3" t="s">
        <v>2151</v>
      </c>
      <c r="K2116" s="2">
        <v>10</v>
      </c>
      <c r="L2116" s="2">
        <v>9</v>
      </c>
      <c r="M2116" s="3" t="s">
        <v>2874</v>
      </c>
      <c r="O2116" s="3" t="s">
        <v>123</v>
      </c>
      <c r="P2116" s="3" t="s">
        <v>124</v>
      </c>
      <c r="Q2116" s="30" t="str">
        <f t="shared" si="33"/>
        <v xml:space="preserve">MAX : Yes (Fail)
TARGET : No (Pass)
MIN : </v>
      </c>
    </row>
    <row r="2117" spans="2:18" ht="41.4" x14ac:dyDescent="0.3">
      <c r="B2117">
        <v>0</v>
      </c>
      <c r="C2117" s="33">
        <v>7938</v>
      </c>
      <c r="D2117" s="2">
        <v>1164</v>
      </c>
      <c r="E2117" s="2" t="s">
        <v>9867</v>
      </c>
      <c r="F2117" s="3" t="s">
        <v>14207</v>
      </c>
      <c r="H2117" s="3" t="s">
        <v>2151</v>
      </c>
      <c r="K2117" s="2">
        <v>10</v>
      </c>
      <c r="L2117" s="2">
        <v>7</v>
      </c>
      <c r="M2117" s="3" t="s">
        <v>2875</v>
      </c>
      <c r="O2117" s="3" t="s">
        <v>123</v>
      </c>
      <c r="P2117" s="3" t="s">
        <v>124</v>
      </c>
      <c r="Q2117" s="30" t="str">
        <f t="shared" si="33"/>
        <v xml:space="preserve">MAX : Yes (Fail)
TARGET : No (Pass)
MIN : </v>
      </c>
    </row>
    <row r="2118" spans="2:18" ht="41.4" x14ac:dyDescent="0.3">
      <c r="B2118">
        <v>0</v>
      </c>
      <c r="C2118" s="33">
        <v>7938</v>
      </c>
      <c r="D2118" s="2">
        <v>1164</v>
      </c>
      <c r="E2118" s="2" t="s">
        <v>9867</v>
      </c>
      <c r="F2118" s="3" t="s">
        <v>14207</v>
      </c>
      <c r="H2118" s="3" t="s">
        <v>2151</v>
      </c>
      <c r="K2118" s="2">
        <v>10</v>
      </c>
      <c r="L2118" s="2">
        <v>10</v>
      </c>
      <c r="M2118" s="3" t="s">
        <v>2389</v>
      </c>
      <c r="N2118" s="3" t="s">
        <v>24</v>
      </c>
      <c r="O2118" s="3" t="s">
        <v>25</v>
      </c>
      <c r="Q2118" s="30" t="str">
        <f t="shared" si="33"/>
        <v>MAX : 
TARGET : Yes (Pass)
MIN : No (Fail)</v>
      </c>
    </row>
    <row r="2119" spans="2:18" ht="41.4" x14ac:dyDescent="0.3">
      <c r="B2119">
        <v>0</v>
      </c>
      <c r="C2119" s="33">
        <v>7938</v>
      </c>
      <c r="D2119" s="2">
        <v>1164</v>
      </c>
      <c r="E2119" s="2" t="s">
        <v>9867</v>
      </c>
      <c r="F2119" s="3" t="s">
        <v>14207</v>
      </c>
      <c r="H2119" s="3" t="s">
        <v>2151</v>
      </c>
      <c r="K2119" s="2">
        <v>10</v>
      </c>
      <c r="L2119" s="2">
        <v>8</v>
      </c>
      <c r="M2119" s="3" t="s">
        <v>2387</v>
      </c>
      <c r="O2119" s="3" t="s">
        <v>123</v>
      </c>
      <c r="P2119" s="3" t="s">
        <v>124</v>
      </c>
      <c r="Q2119" s="30" t="str">
        <f t="shared" si="33"/>
        <v xml:space="preserve">MAX : Yes (Fail)
TARGET : No (Pass)
MIN : </v>
      </c>
    </row>
    <row r="2120" spans="2:18" ht="41.4" x14ac:dyDescent="0.3">
      <c r="B2120">
        <v>1</v>
      </c>
      <c r="C2120" s="33">
        <v>7485</v>
      </c>
      <c r="D2120" s="2">
        <v>1113</v>
      </c>
      <c r="E2120" s="2" t="s">
        <v>9244</v>
      </c>
      <c r="F2120" s="3" t="s">
        <v>14206</v>
      </c>
      <c r="H2120" s="3" t="s">
        <v>648</v>
      </c>
      <c r="K2120" s="2">
        <v>30</v>
      </c>
      <c r="L2120" s="2">
        <v>1</v>
      </c>
      <c r="M2120" s="3" t="s">
        <v>194</v>
      </c>
      <c r="N2120" s="3" t="s">
        <v>2277</v>
      </c>
      <c r="O2120" s="3" t="s">
        <v>2278</v>
      </c>
      <c r="P2120" s="3" t="s">
        <v>2279</v>
      </c>
      <c r="Q2120" s="30" t="str">
        <f t="shared" si="33"/>
        <v>MAX : 22.50
TARGET : 22.44
MIN : 22.38</v>
      </c>
      <c r="R2120" s="3" t="s">
        <v>2280</v>
      </c>
    </row>
    <row r="2121" spans="2:18" ht="41.4" x14ac:dyDescent="0.3">
      <c r="B2121">
        <v>1</v>
      </c>
      <c r="C2121" s="33">
        <v>7485</v>
      </c>
      <c r="D2121" s="2">
        <v>1113</v>
      </c>
      <c r="E2121" s="2" t="s">
        <v>9244</v>
      </c>
      <c r="F2121" s="3" t="s">
        <v>14206</v>
      </c>
      <c r="H2121" s="3" t="s">
        <v>648</v>
      </c>
      <c r="K2121" s="2">
        <v>20</v>
      </c>
      <c r="L2121" s="2">
        <v>1</v>
      </c>
      <c r="M2121" s="3" t="s">
        <v>2512</v>
      </c>
      <c r="N2121" s="3" t="s">
        <v>2513</v>
      </c>
      <c r="O2121" s="3" t="s">
        <v>967</v>
      </c>
      <c r="P2121" s="3" t="s">
        <v>2514</v>
      </c>
      <c r="Q2121" s="30" t="str">
        <f t="shared" si="33"/>
        <v>MAX : 7.14
TARGET : 7.08
MIN : 7.02</v>
      </c>
      <c r="R2121" s="3" t="s">
        <v>2280</v>
      </c>
    </row>
    <row r="2122" spans="2:18" ht="41.4" x14ac:dyDescent="0.3">
      <c r="B2122">
        <v>0</v>
      </c>
      <c r="C2122" s="33">
        <v>7939</v>
      </c>
      <c r="D2122" s="2">
        <v>1165</v>
      </c>
      <c r="E2122" s="2" t="s">
        <v>9875</v>
      </c>
      <c r="F2122" s="3" t="s">
        <v>14207</v>
      </c>
      <c r="H2122" s="3" t="s">
        <v>2876</v>
      </c>
      <c r="K2122" s="2">
        <v>10</v>
      </c>
      <c r="L2122" s="2">
        <v>11</v>
      </c>
      <c r="M2122" s="3" t="s">
        <v>2211</v>
      </c>
      <c r="N2122" s="3" t="s">
        <v>2882</v>
      </c>
      <c r="O2122" s="3" t="s">
        <v>2883</v>
      </c>
      <c r="P2122" s="3" t="s">
        <v>2884</v>
      </c>
      <c r="Q2122" s="30" t="str">
        <f t="shared" si="33"/>
        <v>MAX : 8.48
TARGET : 8.23
MIN : 7.98</v>
      </c>
    </row>
    <row r="2123" spans="2:18" ht="41.4" x14ac:dyDescent="0.3">
      <c r="B2123">
        <v>0</v>
      </c>
      <c r="C2123" s="33">
        <v>7939</v>
      </c>
      <c r="D2123" s="2">
        <v>1165</v>
      </c>
      <c r="E2123" s="2" t="s">
        <v>9875</v>
      </c>
      <c r="F2123" s="3" t="s">
        <v>14207</v>
      </c>
      <c r="H2123" s="3" t="s">
        <v>2876</v>
      </c>
      <c r="K2123" s="2">
        <v>10</v>
      </c>
      <c r="L2123" s="2">
        <v>4</v>
      </c>
      <c r="M2123" s="3" t="s">
        <v>331</v>
      </c>
      <c r="N2123" s="3" t="s">
        <v>2171</v>
      </c>
      <c r="O2123" s="3" t="s">
        <v>2885</v>
      </c>
      <c r="P2123" s="3" t="s">
        <v>2886</v>
      </c>
      <c r="Q2123" s="30" t="str">
        <f t="shared" si="33"/>
        <v>MAX : 23.67
TARGET : 23.42
MIN : 23.17</v>
      </c>
    </row>
    <row r="2124" spans="2:18" ht="41.4" x14ac:dyDescent="0.3">
      <c r="B2124">
        <v>0</v>
      </c>
      <c r="C2124" s="33">
        <v>7939</v>
      </c>
      <c r="D2124" s="2">
        <v>1165</v>
      </c>
      <c r="E2124" s="2" t="s">
        <v>9875</v>
      </c>
      <c r="F2124" s="3" t="s">
        <v>14207</v>
      </c>
      <c r="H2124" s="3" t="s">
        <v>2876</v>
      </c>
      <c r="K2124" s="2">
        <v>10</v>
      </c>
      <c r="L2124" s="2">
        <v>1</v>
      </c>
      <c r="M2124" s="3" t="s">
        <v>2362</v>
      </c>
      <c r="N2124" s="3" t="s">
        <v>2887</v>
      </c>
      <c r="O2124" s="3" t="s">
        <v>2097</v>
      </c>
      <c r="P2124" s="3" t="s">
        <v>204</v>
      </c>
      <c r="Q2124" s="30" t="str">
        <f t="shared" si="33"/>
        <v>MAX : 2.63
TARGET : 2.38
MIN : 2.13</v>
      </c>
    </row>
    <row r="2125" spans="2:18" ht="41.4" x14ac:dyDescent="0.3">
      <c r="B2125">
        <v>0</v>
      </c>
      <c r="C2125" s="33">
        <v>7939</v>
      </c>
      <c r="D2125" s="2">
        <v>1165</v>
      </c>
      <c r="E2125" s="2" t="s">
        <v>9875</v>
      </c>
      <c r="F2125" s="3" t="s">
        <v>14207</v>
      </c>
      <c r="H2125" s="3" t="s">
        <v>2876</v>
      </c>
      <c r="K2125" s="2">
        <v>10</v>
      </c>
      <c r="L2125" s="2">
        <v>3</v>
      </c>
      <c r="M2125" s="3" t="s">
        <v>2390</v>
      </c>
      <c r="N2125" s="3" t="s">
        <v>2887</v>
      </c>
      <c r="O2125" s="3" t="s">
        <v>2097</v>
      </c>
      <c r="P2125" s="3" t="s">
        <v>204</v>
      </c>
      <c r="Q2125" s="30" t="str">
        <f t="shared" si="33"/>
        <v>MAX : 2.63
TARGET : 2.38
MIN : 2.13</v>
      </c>
    </row>
    <row r="2126" spans="2:18" ht="41.4" x14ac:dyDescent="0.3">
      <c r="B2126">
        <v>0</v>
      </c>
      <c r="C2126" s="33">
        <v>7939</v>
      </c>
      <c r="D2126" s="2">
        <v>1165</v>
      </c>
      <c r="E2126" s="2" t="s">
        <v>9875</v>
      </c>
      <c r="F2126" s="3" t="s">
        <v>14207</v>
      </c>
      <c r="H2126" s="3" t="s">
        <v>2876</v>
      </c>
      <c r="K2126" s="2">
        <v>10</v>
      </c>
      <c r="L2126" s="2">
        <v>7</v>
      </c>
      <c r="M2126" s="3" t="s">
        <v>2888</v>
      </c>
      <c r="N2126" s="3" t="s">
        <v>389</v>
      </c>
      <c r="O2126" s="3" t="s">
        <v>1211</v>
      </c>
      <c r="P2126" s="3" t="s">
        <v>1092</v>
      </c>
      <c r="Q2126" s="30" t="str">
        <f t="shared" si="33"/>
        <v>MAX : 6.75
TARGET : 6.50
MIN : 6.25</v>
      </c>
    </row>
    <row r="2127" spans="2:18" ht="41.4" x14ac:dyDescent="0.3">
      <c r="B2127">
        <v>0</v>
      </c>
      <c r="C2127" s="33">
        <v>7939</v>
      </c>
      <c r="D2127" s="2">
        <v>1165</v>
      </c>
      <c r="E2127" s="2" t="s">
        <v>9875</v>
      </c>
      <c r="F2127" s="3" t="s">
        <v>14207</v>
      </c>
      <c r="H2127" s="3" t="s">
        <v>2876</v>
      </c>
      <c r="K2127" s="2">
        <v>10</v>
      </c>
      <c r="L2127" s="2">
        <v>9</v>
      </c>
      <c r="M2127" s="3" t="s">
        <v>2393</v>
      </c>
      <c r="N2127" s="3" t="s">
        <v>2889</v>
      </c>
      <c r="O2127" s="3" t="s">
        <v>2866</v>
      </c>
      <c r="P2127" s="3" t="s">
        <v>2890</v>
      </c>
      <c r="Q2127" s="30" t="str">
        <f t="shared" si="33"/>
        <v>MAX : 18.07
TARGET : 17.82
MIN : 17.57</v>
      </c>
    </row>
    <row r="2128" spans="2:18" ht="41.4" x14ac:dyDescent="0.3">
      <c r="B2128">
        <v>0</v>
      </c>
      <c r="C2128" s="33">
        <v>7939</v>
      </c>
      <c r="D2128" s="2">
        <v>1165</v>
      </c>
      <c r="E2128" s="2" t="s">
        <v>9875</v>
      </c>
      <c r="F2128" s="3" t="s">
        <v>14207</v>
      </c>
      <c r="H2128" s="3" t="s">
        <v>2876</v>
      </c>
      <c r="K2128" s="2">
        <v>10</v>
      </c>
      <c r="L2128" s="2">
        <v>13</v>
      </c>
      <c r="M2128" s="3" t="s">
        <v>354</v>
      </c>
      <c r="N2128" s="3" t="s">
        <v>2872</v>
      </c>
      <c r="O2128" s="3" t="s">
        <v>2005</v>
      </c>
      <c r="P2128" s="3" t="s">
        <v>2873</v>
      </c>
      <c r="Q2128" s="30" t="str">
        <f t="shared" si="33"/>
        <v>MAX : 6.64
TARGET : 6.39
MIN : 6.14</v>
      </c>
    </row>
    <row r="2129" spans="2:18" ht="41.4" x14ac:dyDescent="0.3">
      <c r="B2129">
        <v>0</v>
      </c>
      <c r="C2129" s="33">
        <v>7939</v>
      </c>
      <c r="D2129" s="2">
        <v>1165</v>
      </c>
      <c r="E2129" s="2" t="s">
        <v>9875</v>
      </c>
      <c r="F2129" s="3" t="s">
        <v>14207</v>
      </c>
      <c r="H2129" s="3" t="s">
        <v>2876</v>
      </c>
      <c r="K2129" s="2">
        <v>10</v>
      </c>
      <c r="L2129" s="2">
        <v>6</v>
      </c>
      <c r="M2129" s="3" t="s">
        <v>2380</v>
      </c>
      <c r="N2129" s="3" t="s">
        <v>2872</v>
      </c>
      <c r="O2129" s="3" t="s">
        <v>2005</v>
      </c>
      <c r="P2129" s="3" t="s">
        <v>2873</v>
      </c>
      <c r="Q2129" s="30" t="str">
        <f t="shared" si="33"/>
        <v>MAX : 6.64
TARGET : 6.39
MIN : 6.14</v>
      </c>
    </row>
    <row r="2130" spans="2:18" ht="41.4" x14ac:dyDescent="0.3">
      <c r="B2130">
        <v>0</v>
      </c>
      <c r="C2130" s="33">
        <v>7939</v>
      </c>
      <c r="D2130" s="2">
        <v>1165</v>
      </c>
      <c r="E2130" s="2" t="s">
        <v>9875</v>
      </c>
      <c r="F2130" s="3" t="s">
        <v>14207</v>
      </c>
      <c r="H2130" s="3" t="s">
        <v>2876</v>
      </c>
      <c r="K2130" s="2">
        <v>10</v>
      </c>
      <c r="L2130" s="2">
        <v>14</v>
      </c>
      <c r="M2130" s="3" t="s">
        <v>2383</v>
      </c>
      <c r="N2130" s="3" t="s">
        <v>2891</v>
      </c>
      <c r="O2130" s="3" t="s">
        <v>2892</v>
      </c>
      <c r="P2130" s="3" t="s">
        <v>2893</v>
      </c>
      <c r="Q2130" s="30" t="str">
        <f t="shared" si="33"/>
        <v>MAX : 37.25
TARGET : 37.10
MIN : 36.95</v>
      </c>
    </row>
    <row r="2131" spans="2:18" ht="41.4" x14ac:dyDescent="0.3">
      <c r="B2131">
        <v>0</v>
      </c>
      <c r="C2131" s="33">
        <v>7939</v>
      </c>
      <c r="D2131" s="2">
        <v>1165</v>
      </c>
      <c r="E2131" s="2" t="s">
        <v>9875</v>
      </c>
      <c r="F2131" s="3" t="s">
        <v>14207</v>
      </c>
      <c r="H2131" s="3" t="s">
        <v>2876</v>
      </c>
      <c r="K2131" s="2">
        <v>10</v>
      </c>
      <c r="L2131" s="2">
        <v>5</v>
      </c>
      <c r="M2131" s="3" t="s">
        <v>2161</v>
      </c>
      <c r="N2131" s="3" t="s">
        <v>2894</v>
      </c>
      <c r="O2131" s="3" t="s">
        <v>2895</v>
      </c>
      <c r="P2131" s="3" t="s">
        <v>2896</v>
      </c>
      <c r="Q2131" s="30" t="str">
        <f t="shared" si="33"/>
        <v>MAX : 32.43
TARGET : 32.18
MIN : 31.93</v>
      </c>
    </row>
    <row r="2132" spans="2:18" ht="41.4" x14ac:dyDescent="0.3">
      <c r="B2132">
        <v>0</v>
      </c>
      <c r="C2132" s="33">
        <v>7939</v>
      </c>
      <c r="D2132" s="2">
        <v>1165</v>
      </c>
      <c r="E2132" s="2" t="s">
        <v>9875</v>
      </c>
      <c r="F2132" s="3" t="s">
        <v>14207</v>
      </c>
      <c r="H2132" s="3" t="s">
        <v>2876</v>
      </c>
      <c r="K2132" s="2">
        <v>10</v>
      </c>
      <c r="L2132" s="2">
        <v>16</v>
      </c>
      <c r="M2132" s="3" t="s">
        <v>2387</v>
      </c>
      <c r="O2132" s="3" t="s">
        <v>123</v>
      </c>
      <c r="P2132" s="3" t="s">
        <v>124</v>
      </c>
      <c r="Q2132" s="30" t="str">
        <f t="shared" si="33"/>
        <v xml:space="preserve">MAX : Yes (Fail)
TARGET : No (Pass)
MIN : </v>
      </c>
    </row>
    <row r="2133" spans="2:18" ht="41.4" x14ac:dyDescent="0.3">
      <c r="B2133">
        <v>0</v>
      </c>
      <c r="C2133" s="33">
        <v>7939</v>
      </c>
      <c r="D2133" s="2">
        <v>1165</v>
      </c>
      <c r="E2133" s="2" t="s">
        <v>9875</v>
      </c>
      <c r="F2133" s="3" t="s">
        <v>14207</v>
      </c>
      <c r="H2133" s="3" t="s">
        <v>2876</v>
      </c>
      <c r="K2133" s="2">
        <v>10</v>
      </c>
      <c r="L2133" s="2">
        <v>17</v>
      </c>
      <c r="M2133" s="3" t="s">
        <v>2897</v>
      </c>
      <c r="N2133" s="3" t="s">
        <v>24</v>
      </c>
      <c r="O2133" s="3" t="s">
        <v>25</v>
      </c>
      <c r="Q2133" s="30" t="str">
        <f t="shared" si="33"/>
        <v>MAX : 
TARGET : Yes (Pass)
MIN : No (Fail)</v>
      </c>
    </row>
    <row r="2134" spans="2:18" ht="41.4" x14ac:dyDescent="0.3">
      <c r="B2134">
        <v>0</v>
      </c>
      <c r="C2134" s="33">
        <v>7939</v>
      </c>
      <c r="D2134" s="2">
        <v>1165</v>
      </c>
      <c r="E2134" s="2" t="s">
        <v>9875</v>
      </c>
      <c r="F2134" s="3" t="s">
        <v>14207</v>
      </c>
      <c r="H2134" s="3" t="s">
        <v>2876</v>
      </c>
      <c r="K2134" s="2">
        <v>10</v>
      </c>
      <c r="L2134" s="2">
        <v>18</v>
      </c>
      <c r="M2134" s="3" t="s">
        <v>2389</v>
      </c>
      <c r="N2134" s="3" t="s">
        <v>24</v>
      </c>
      <c r="O2134" s="3" t="s">
        <v>25</v>
      </c>
      <c r="Q2134" s="30" t="str">
        <f t="shared" si="33"/>
        <v>MAX : 
TARGET : Yes (Pass)
MIN : No (Fail)</v>
      </c>
    </row>
    <row r="2135" spans="2:18" ht="41.4" x14ac:dyDescent="0.3">
      <c r="B2135">
        <v>0</v>
      </c>
      <c r="C2135" s="33">
        <v>7939</v>
      </c>
      <c r="D2135" s="2">
        <v>1165</v>
      </c>
      <c r="E2135" s="2" t="s">
        <v>9875</v>
      </c>
      <c r="F2135" s="3" t="s">
        <v>14207</v>
      </c>
      <c r="H2135" s="3" t="s">
        <v>2876</v>
      </c>
      <c r="K2135" s="2">
        <v>10</v>
      </c>
      <c r="L2135" s="2">
        <v>15</v>
      </c>
      <c r="M2135" s="3" t="s">
        <v>362</v>
      </c>
      <c r="O2135" s="3" t="s">
        <v>123</v>
      </c>
      <c r="P2135" s="3" t="s">
        <v>124</v>
      </c>
      <c r="Q2135" s="30" t="str">
        <f t="shared" si="33"/>
        <v xml:space="preserve">MAX : Yes (Fail)
TARGET : No (Pass)
MIN : </v>
      </c>
    </row>
    <row r="2136" spans="2:18" ht="41.4" x14ac:dyDescent="0.3">
      <c r="B2136">
        <v>1</v>
      </c>
      <c r="C2136" s="33">
        <v>7487</v>
      </c>
      <c r="D2136" s="2">
        <v>1892</v>
      </c>
      <c r="E2136" s="2" t="s">
        <v>9250</v>
      </c>
      <c r="F2136" s="3" t="s">
        <v>14206</v>
      </c>
      <c r="H2136" s="3" t="s">
        <v>469</v>
      </c>
      <c r="K2136" s="2">
        <v>10</v>
      </c>
      <c r="L2136" s="2">
        <v>2</v>
      </c>
      <c r="M2136" s="3" t="s">
        <v>198</v>
      </c>
      <c r="N2136" s="3" t="s">
        <v>2292</v>
      </c>
      <c r="O2136" s="3" t="s">
        <v>2293</v>
      </c>
      <c r="P2136" s="3" t="s">
        <v>2294</v>
      </c>
      <c r="Q2136" s="30" t="str">
        <f t="shared" si="33"/>
        <v>MAX : 4.46
TARGET : 4.40
MIN : 4.34</v>
      </c>
    </row>
    <row r="2137" spans="2:18" ht="41.4" x14ac:dyDescent="0.3">
      <c r="B2137">
        <v>1</v>
      </c>
      <c r="C2137" s="33">
        <v>7487</v>
      </c>
      <c r="D2137" s="2">
        <v>1892</v>
      </c>
      <c r="E2137" s="2" t="s">
        <v>9250</v>
      </c>
      <c r="F2137" s="3" t="s">
        <v>14206</v>
      </c>
      <c r="H2137" s="3" t="s">
        <v>469</v>
      </c>
      <c r="K2137" s="2">
        <v>10</v>
      </c>
      <c r="L2137" s="2">
        <v>1</v>
      </c>
      <c r="M2137" s="3" t="s">
        <v>194</v>
      </c>
      <c r="N2137" s="3" t="s">
        <v>900</v>
      </c>
      <c r="O2137" s="3" t="s">
        <v>28</v>
      </c>
      <c r="P2137" s="3" t="s">
        <v>901</v>
      </c>
      <c r="Q2137" s="30" t="str">
        <f t="shared" si="33"/>
        <v>MAX : 1.56
TARGET : 1.50
MIN : 1.44</v>
      </c>
    </row>
    <row r="2138" spans="2:18" ht="41.4" x14ac:dyDescent="0.3">
      <c r="B2138">
        <v>0</v>
      </c>
      <c r="C2138" s="33">
        <v>7954</v>
      </c>
      <c r="D2138" s="2">
        <v>1166</v>
      </c>
      <c r="E2138" s="2" t="s">
        <v>9887</v>
      </c>
      <c r="F2138" s="3" t="s">
        <v>14206</v>
      </c>
      <c r="H2138" s="3" t="s">
        <v>713</v>
      </c>
      <c r="K2138" s="2">
        <v>20</v>
      </c>
      <c r="L2138" s="2">
        <v>3</v>
      </c>
      <c r="M2138" s="3" t="s">
        <v>2900</v>
      </c>
      <c r="N2138" s="3" t="s">
        <v>13</v>
      </c>
      <c r="O2138" s="3" t="s">
        <v>14</v>
      </c>
      <c r="Q2138" s="30" t="str">
        <f t="shared" si="33"/>
        <v>MAX : 
TARGET : Yes(Pass)
MIN : No(Fail)</v>
      </c>
    </row>
    <row r="2139" spans="2:18" ht="41.4" x14ac:dyDescent="0.3">
      <c r="B2139">
        <v>0</v>
      </c>
      <c r="C2139" s="33">
        <v>7954</v>
      </c>
      <c r="D2139" s="2">
        <v>1166</v>
      </c>
      <c r="E2139" s="2" t="s">
        <v>9887</v>
      </c>
      <c r="F2139" s="3" t="s">
        <v>14206</v>
      </c>
      <c r="H2139" s="3" t="s">
        <v>713</v>
      </c>
      <c r="K2139" s="2">
        <v>20</v>
      </c>
      <c r="L2139" s="2">
        <v>4</v>
      </c>
      <c r="M2139" s="3" t="s">
        <v>78</v>
      </c>
      <c r="N2139" s="3" t="s">
        <v>13</v>
      </c>
      <c r="O2139" s="3" t="s">
        <v>14</v>
      </c>
      <c r="Q2139" s="30" t="str">
        <f t="shared" si="33"/>
        <v>MAX : 
TARGET : Yes(Pass)
MIN : No(Fail)</v>
      </c>
    </row>
    <row r="2140" spans="2:18" ht="41.4" x14ac:dyDescent="0.3">
      <c r="B2140">
        <v>1</v>
      </c>
      <c r="C2140" s="33">
        <v>7493</v>
      </c>
      <c r="D2140" s="2">
        <v>1114</v>
      </c>
      <c r="E2140" s="2" t="s">
        <v>9256</v>
      </c>
      <c r="F2140" s="3" t="s">
        <v>14206</v>
      </c>
      <c r="H2140" s="3" t="s">
        <v>2296</v>
      </c>
      <c r="K2140" s="2">
        <v>10</v>
      </c>
      <c r="L2140" s="2">
        <v>2</v>
      </c>
      <c r="M2140" s="3" t="s">
        <v>2299</v>
      </c>
      <c r="N2140" s="3" t="s">
        <v>2300</v>
      </c>
      <c r="O2140" s="3" t="s">
        <v>857</v>
      </c>
      <c r="P2140" s="3" t="s">
        <v>2301</v>
      </c>
      <c r="Q2140" s="30" t="str">
        <f t="shared" si="33"/>
        <v>MAX : 16.06
TARGET : 16.00
MIN : 15.94</v>
      </c>
    </row>
    <row r="2141" spans="2:18" ht="41.4" x14ac:dyDescent="0.3">
      <c r="B2141">
        <v>1</v>
      </c>
      <c r="C2141" s="33">
        <v>7493</v>
      </c>
      <c r="D2141" s="2">
        <v>1114</v>
      </c>
      <c r="E2141" s="2" t="s">
        <v>9256</v>
      </c>
      <c r="F2141" s="3" t="s">
        <v>14206</v>
      </c>
      <c r="H2141" s="3" t="s">
        <v>2296</v>
      </c>
      <c r="K2141" s="2">
        <v>10</v>
      </c>
      <c r="L2141" s="2">
        <v>1</v>
      </c>
      <c r="M2141" s="3" t="s">
        <v>194</v>
      </c>
      <c r="N2141" s="3" t="s">
        <v>2297</v>
      </c>
      <c r="O2141" s="3" t="s">
        <v>1054</v>
      </c>
      <c r="P2141" s="3" t="s">
        <v>2298</v>
      </c>
      <c r="Q2141" s="30" t="str">
        <f t="shared" si="33"/>
        <v>MAX : 19.500
TARGET : 19.375
MIN : 19.250</v>
      </c>
    </row>
    <row r="2142" spans="2:18" ht="41.4" x14ac:dyDescent="0.3">
      <c r="B2142">
        <v>1</v>
      </c>
      <c r="C2142" s="33">
        <v>7495</v>
      </c>
      <c r="D2142" s="2">
        <v>1115</v>
      </c>
      <c r="E2142" s="2" t="s">
        <v>9262</v>
      </c>
      <c r="F2142" s="3" t="s">
        <v>14206</v>
      </c>
      <c r="H2142" s="3" t="s">
        <v>2306</v>
      </c>
      <c r="K2142" s="2">
        <v>10</v>
      </c>
      <c r="L2142" s="2">
        <v>2</v>
      </c>
      <c r="M2142" s="3" t="s">
        <v>2308</v>
      </c>
      <c r="N2142" s="3" t="s">
        <v>2201</v>
      </c>
      <c r="O2142" s="3" t="s">
        <v>2309</v>
      </c>
      <c r="P2142" s="3" t="s">
        <v>750</v>
      </c>
      <c r="Q2142" s="30" t="str">
        <f t="shared" si="33"/>
        <v>MAX : 1.66
TARGET : 1.63
MIN : 1.60</v>
      </c>
      <c r="R2142" s="3" t="s">
        <v>1638</v>
      </c>
    </row>
    <row r="2143" spans="2:18" ht="41.4" x14ac:dyDescent="0.3">
      <c r="B2143">
        <v>1</v>
      </c>
      <c r="C2143" s="33">
        <v>7495</v>
      </c>
      <c r="D2143" s="2">
        <v>1115</v>
      </c>
      <c r="E2143" s="2" t="s">
        <v>9262</v>
      </c>
      <c r="F2143" s="3" t="s">
        <v>14206</v>
      </c>
      <c r="H2143" s="3" t="s">
        <v>2306</v>
      </c>
      <c r="K2143" s="2">
        <v>10</v>
      </c>
      <c r="L2143" s="2">
        <v>1</v>
      </c>
      <c r="M2143" s="3" t="s">
        <v>2307</v>
      </c>
      <c r="N2143" s="3" t="s">
        <v>1767</v>
      </c>
      <c r="O2143" s="3" t="s">
        <v>1230</v>
      </c>
      <c r="P2143" s="3" t="s">
        <v>1768</v>
      </c>
      <c r="Q2143" s="30" t="str">
        <f t="shared" si="33"/>
        <v>MAX : 8.03
TARGET : 8.00
MIN : 7.97</v>
      </c>
      <c r="R2143" s="3" t="s">
        <v>1638</v>
      </c>
    </row>
    <row r="2144" spans="2:18" ht="41.4" x14ac:dyDescent="0.3">
      <c r="B2144">
        <v>1</v>
      </c>
      <c r="C2144" s="33">
        <v>7500</v>
      </c>
      <c r="D2144" s="2">
        <v>1116</v>
      </c>
      <c r="E2144" s="2" t="s">
        <v>9274</v>
      </c>
      <c r="F2144" s="3" t="s">
        <v>14206</v>
      </c>
      <c r="H2144" s="3" t="s">
        <v>568</v>
      </c>
      <c r="K2144" s="2">
        <v>10</v>
      </c>
      <c r="L2144" s="2">
        <v>2</v>
      </c>
      <c r="M2144" s="3" t="s">
        <v>2313</v>
      </c>
      <c r="N2144" s="3" t="s">
        <v>13</v>
      </c>
      <c r="O2144" s="3" t="s">
        <v>14</v>
      </c>
      <c r="Q2144" s="30" t="str">
        <f t="shared" si="33"/>
        <v>MAX : 
TARGET : Yes(Pass)
MIN : No(Fail)</v>
      </c>
      <c r="R2144" s="3" t="s">
        <v>1638</v>
      </c>
    </row>
    <row r="2145" spans="2:18" ht="41.4" x14ac:dyDescent="0.3">
      <c r="B2145">
        <v>1</v>
      </c>
      <c r="C2145" s="33">
        <v>7500</v>
      </c>
      <c r="D2145" s="2">
        <v>1116</v>
      </c>
      <c r="E2145" s="2" t="s">
        <v>9274</v>
      </c>
      <c r="F2145" s="3" t="s">
        <v>14206</v>
      </c>
      <c r="H2145" s="3" t="s">
        <v>568</v>
      </c>
      <c r="K2145" s="2">
        <v>10</v>
      </c>
      <c r="L2145" s="2">
        <v>1</v>
      </c>
      <c r="M2145" s="3" t="s">
        <v>99</v>
      </c>
      <c r="N2145" s="3" t="s">
        <v>2311</v>
      </c>
      <c r="O2145" s="3" t="s">
        <v>101</v>
      </c>
      <c r="P2145" s="3" t="s">
        <v>2312</v>
      </c>
      <c r="Q2145" s="30" t="str">
        <f t="shared" si="33"/>
        <v>MAX : 0.640
TARGET : 0.625
MIN : 0.610</v>
      </c>
      <c r="R2145" s="3" t="s">
        <v>1638</v>
      </c>
    </row>
    <row r="2146" spans="2:18" ht="41.4" x14ac:dyDescent="0.3">
      <c r="B2146">
        <v>0</v>
      </c>
      <c r="C2146" s="33">
        <v>7963</v>
      </c>
      <c r="D2146" s="2">
        <v>1167</v>
      </c>
      <c r="E2146" s="2" t="s">
        <v>9893</v>
      </c>
      <c r="F2146" s="29" t="s">
        <v>14228</v>
      </c>
      <c r="G2146" s="3" t="s">
        <v>2843</v>
      </c>
      <c r="H2146" s="3" t="s">
        <v>2844</v>
      </c>
      <c r="K2146" s="2">
        <v>10</v>
      </c>
      <c r="L2146" s="2">
        <v>4</v>
      </c>
      <c r="M2146" s="3" t="s">
        <v>2851</v>
      </c>
      <c r="N2146" s="3" t="s">
        <v>2852</v>
      </c>
      <c r="O2146" s="3" t="s">
        <v>1947</v>
      </c>
      <c r="P2146" s="3" t="s">
        <v>2853</v>
      </c>
      <c r="Q2146" s="30" t="str">
        <f t="shared" si="33"/>
        <v>MAX : 0.225
TARGET : 0.220
MIN : 0.215</v>
      </c>
    </row>
    <row r="2147" spans="2:18" ht="41.4" x14ac:dyDescent="0.3">
      <c r="B2147">
        <v>0</v>
      </c>
      <c r="C2147" s="33">
        <v>7963</v>
      </c>
      <c r="D2147" s="2">
        <v>1167</v>
      </c>
      <c r="E2147" s="2" t="s">
        <v>9893</v>
      </c>
      <c r="F2147" s="29" t="s">
        <v>14228</v>
      </c>
      <c r="G2147" s="3" t="s">
        <v>2843</v>
      </c>
      <c r="H2147" s="3" t="s">
        <v>2844</v>
      </c>
      <c r="K2147" s="2">
        <v>10</v>
      </c>
      <c r="L2147" s="2">
        <v>5</v>
      </c>
      <c r="M2147" s="3" t="s">
        <v>2854</v>
      </c>
      <c r="N2147" s="3" t="s">
        <v>2852</v>
      </c>
      <c r="O2147" s="3" t="s">
        <v>1947</v>
      </c>
      <c r="P2147" s="3" t="s">
        <v>2853</v>
      </c>
      <c r="Q2147" s="30" t="str">
        <f t="shared" si="33"/>
        <v>MAX : 0.225
TARGET : 0.220
MIN : 0.215</v>
      </c>
    </row>
    <row r="2148" spans="2:18" ht="41.4" x14ac:dyDescent="0.3">
      <c r="B2148">
        <v>0</v>
      </c>
      <c r="C2148" s="33">
        <v>7963</v>
      </c>
      <c r="D2148" s="2">
        <v>1167</v>
      </c>
      <c r="E2148" s="2" t="s">
        <v>9893</v>
      </c>
      <c r="F2148" s="29" t="s">
        <v>14228</v>
      </c>
      <c r="G2148" s="3" t="s">
        <v>2843</v>
      </c>
      <c r="H2148" s="3" t="s">
        <v>2844</v>
      </c>
      <c r="K2148" s="2">
        <v>10</v>
      </c>
      <c r="L2148" s="2">
        <v>6</v>
      </c>
      <c r="M2148" s="3" t="s">
        <v>2855</v>
      </c>
      <c r="N2148" s="3" t="s">
        <v>2852</v>
      </c>
      <c r="O2148" s="3" t="s">
        <v>1947</v>
      </c>
      <c r="P2148" s="3" t="s">
        <v>2853</v>
      </c>
      <c r="Q2148" s="30" t="str">
        <f t="shared" si="33"/>
        <v>MAX : 0.225
TARGET : 0.220
MIN : 0.215</v>
      </c>
    </row>
    <row r="2149" spans="2:18" ht="41.4" x14ac:dyDescent="0.3">
      <c r="B2149">
        <v>0</v>
      </c>
      <c r="C2149" s="33">
        <v>7963</v>
      </c>
      <c r="D2149" s="2">
        <v>1167</v>
      </c>
      <c r="E2149" s="2" t="s">
        <v>9893</v>
      </c>
      <c r="F2149" s="29" t="s">
        <v>14228</v>
      </c>
      <c r="G2149" s="3" t="s">
        <v>2843</v>
      </c>
      <c r="H2149" s="3" t="s">
        <v>2844</v>
      </c>
      <c r="K2149" s="2">
        <v>10</v>
      </c>
      <c r="L2149" s="2">
        <v>7</v>
      </c>
      <c r="M2149" s="3" t="s">
        <v>2856</v>
      </c>
      <c r="N2149" s="3" t="s">
        <v>2852</v>
      </c>
      <c r="O2149" s="3" t="s">
        <v>1947</v>
      </c>
      <c r="P2149" s="3" t="s">
        <v>2853</v>
      </c>
      <c r="Q2149" s="30" t="str">
        <f t="shared" si="33"/>
        <v>MAX : 0.225
TARGET : 0.220
MIN : 0.215</v>
      </c>
    </row>
    <row r="2150" spans="2:18" ht="41.4" x14ac:dyDescent="0.3">
      <c r="B2150">
        <v>1</v>
      </c>
      <c r="C2150" s="33">
        <v>7500</v>
      </c>
      <c r="D2150" s="2">
        <v>1116</v>
      </c>
      <c r="E2150" s="2" t="s">
        <v>9274</v>
      </c>
      <c r="F2150" s="3" t="s">
        <v>14206</v>
      </c>
      <c r="H2150" s="3" t="s">
        <v>568</v>
      </c>
      <c r="K2150" s="2">
        <v>10</v>
      </c>
      <c r="L2150" s="2">
        <v>4</v>
      </c>
      <c r="M2150" s="3" t="s">
        <v>3346</v>
      </c>
      <c r="N2150" s="3" t="s">
        <v>3347</v>
      </c>
      <c r="O2150" s="3" t="s">
        <v>3348</v>
      </c>
      <c r="P2150" s="3" t="s">
        <v>3349</v>
      </c>
      <c r="Q2150" s="30" t="str">
        <f t="shared" si="33"/>
        <v>MAX : 1180
TARGET : 1080
MIN : 980</v>
      </c>
      <c r="R2150" s="3" t="s">
        <v>1638</v>
      </c>
    </row>
    <row r="2151" spans="2:18" ht="41.4" x14ac:dyDescent="0.3">
      <c r="B2151">
        <v>1</v>
      </c>
      <c r="C2151" s="33">
        <v>7500</v>
      </c>
      <c r="D2151" s="2">
        <v>1116</v>
      </c>
      <c r="E2151" s="2" t="s">
        <v>9274</v>
      </c>
      <c r="F2151" s="3" t="s">
        <v>14206</v>
      </c>
      <c r="H2151" s="3" t="s">
        <v>568</v>
      </c>
      <c r="K2151" s="2">
        <v>10</v>
      </c>
      <c r="L2151" s="2">
        <v>5</v>
      </c>
      <c r="M2151" s="3" t="s">
        <v>3350</v>
      </c>
      <c r="N2151" s="3" t="s">
        <v>13</v>
      </c>
      <c r="O2151" s="3" t="s">
        <v>14</v>
      </c>
      <c r="Q2151" s="30" t="str">
        <f t="shared" si="33"/>
        <v>MAX : 
TARGET : Yes(Pass)
MIN : No(Fail)</v>
      </c>
      <c r="R2151" s="3" t="s">
        <v>1638</v>
      </c>
    </row>
    <row r="2152" spans="2:18" ht="41.4" x14ac:dyDescent="0.3">
      <c r="B2152">
        <v>0</v>
      </c>
      <c r="C2152" s="33">
        <v>7994</v>
      </c>
      <c r="D2152" s="2">
        <v>1169</v>
      </c>
      <c r="E2152" s="2" t="s">
        <v>9914</v>
      </c>
      <c r="F2152" s="3" t="s">
        <v>14206</v>
      </c>
      <c r="H2152" s="3" t="s">
        <v>1069</v>
      </c>
      <c r="K2152" s="2">
        <v>10</v>
      </c>
      <c r="L2152" s="2">
        <v>3</v>
      </c>
      <c r="M2152" s="3" t="s">
        <v>2628</v>
      </c>
      <c r="N2152" s="3" t="s">
        <v>13</v>
      </c>
      <c r="O2152" s="3" t="s">
        <v>14</v>
      </c>
      <c r="Q2152" s="30" t="str">
        <f t="shared" si="33"/>
        <v>MAX : 
TARGET : Yes(Pass)
MIN : No(Fail)</v>
      </c>
    </row>
    <row r="2153" spans="2:18" ht="41.4" x14ac:dyDescent="0.3">
      <c r="B2153">
        <v>0</v>
      </c>
      <c r="C2153" s="33">
        <v>7994</v>
      </c>
      <c r="D2153" s="2">
        <v>1169</v>
      </c>
      <c r="E2153" s="2" t="s">
        <v>9914</v>
      </c>
      <c r="F2153" s="3" t="s">
        <v>14206</v>
      </c>
      <c r="H2153" s="3" t="s">
        <v>1069</v>
      </c>
      <c r="K2153" s="2">
        <v>10</v>
      </c>
      <c r="L2153" s="2">
        <v>4</v>
      </c>
      <c r="M2153" s="3" t="s">
        <v>2629</v>
      </c>
      <c r="N2153" s="3" t="s">
        <v>13</v>
      </c>
      <c r="O2153" s="3" t="s">
        <v>14</v>
      </c>
      <c r="Q2153" s="30" t="str">
        <f t="shared" si="33"/>
        <v>MAX : 
TARGET : Yes(Pass)
MIN : No(Fail)</v>
      </c>
    </row>
    <row r="2154" spans="2:18" ht="41.4" x14ac:dyDescent="0.3">
      <c r="B2154">
        <v>0</v>
      </c>
      <c r="C2154" s="33">
        <v>7994</v>
      </c>
      <c r="D2154" s="2">
        <v>1169</v>
      </c>
      <c r="E2154" s="2" t="s">
        <v>9914</v>
      </c>
      <c r="F2154" s="3" t="s">
        <v>14206</v>
      </c>
      <c r="H2154" s="3" t="s">
        <v>1069</v>
      </c>
      <c r="K2154" s="2">
        <v>10</v>
      </c>
      <c r="L2154" s="2">
        <v>5</v>
      </c>
      <c r="M2154" s="3" t="s">
        <v>1403</v>
      </c>
      <c r="N2154" s="3" t="s">
        <v>13</v>
      </c>
      <c r="O2154" s="3" t="s">
        <v>14</v>
      </c>
      <c r="Q2154" s="30" t="str">
        <f t="shared" si="33"/>
        <v>MAX : 
TARGET : Yes(Pass)
MIN : No(Fail)</v>
      </c>
    </row>
    <row r="2155" spans="2:18" ht="41.4" x14ac:dyDescent="0.3">
      <c r="B2155">
        <v>1</v>
      </c>
      <c r="C2155" s="33">
        <v>7501</v>
      </c>
      <c r="D2155" s="2">
        <v>1117</v>
      </c>
      <c r="E2155" s="2" t="s">
        <v>9282</v>
      </c>
      <c r="F2155" s="3" t="s">
        <v>14206</v>
      </c>
      <c r="H2155" s="3" t="s">
        <v>491</v>
      </c>
      <c r="K2155" s="2">
        <v>10</v>
      </c>
      <c r="L2155" s="2">
        <v>2</v>
      </c>
      <c r="M2155" s="3" t="s">
        <v>2313</v>
      </c>
      <c r="N2155" s="3" t="s">
        <v>13</v>
      </c>
      <c r="O2155" s="3" t="s">
        <v>14</v>
      </c>
      <c r="Q2155" s="30" t="str">
        <f t="shared" si="33"/>
        <v>MAX : 
TARGET : Yes(Pass)
MIN : No(Fail)</v>
      </c>
      <c r="R2155" s="3" t="s">
        <v>1638</v>
      </c>
    </row>
    <row r="2156" spans="2:18" ht="41.4" x14ac:dyDescent="0.3">
      <c r="B2156">
        <v>1</v>
      </c>
      <c r="C2156" s="33">
        <v>7501</v>
      </c>
      <c r="D2156" s="2">
        <v>1117</v>
      </c>
      <c r="E2156" s="2" t="s">
        <v>9282</v>
      </c>
      <c r="F2156" s="3" t="s">
        <v>14206</v>
      </c>
      <c r="H2156" s="3" t="s">
        <v>491</v>
      </c>
      <c r="K2156" s="2">
        <v>10</v>
      </c>
      <c r="L2156" s="2">
        <v>1</v>
      </c>
      <c r="M2156" s="3" t="s">
        <v>99</v>
      </c>
      <c r="N2156" s="3" t="s">
        <v>700</v>
      </c>
      <c r="O2156" s="3" t="s">
        <v>276</v>
      </c>
      <c r="P2156" s="3" t="s">
        <v>2185</v>
      </c>
      <c r="Q2156" s="30" t="str">
        <f t="shared" si="33"/>
        <v>MAX : 0.390
TARGET : 0.375
MIN : 0.360</v>
      </c>
      <c r="R2156" s="3" t="s">
        <v>1638</v>
      </c>
    </row>
    <row r="2157" spans="2:18" ht="41.4" x14ac:dyDescent="0.3">
      <c r="B2157">
        <v>0</v>
      </c>
      <c r="C2157" s="33">
        <v>7991</v>
      </c>
      <c r="D2157" s="2">
        <v>1168</v>
      </c>
      <c r="E2157" s="2" t="s">
        <v>9907</v>
      </c>
      <c r="F2157" s="3" t="s">
        <v>14207</v>
      </c>
      <c r="H2157" s="3" t="s">
        <v>426</v>
      </c>
      <c r="K2157" s="2">
        <v>10</v>
      </c>
      <c r="L2157" s="2">
        <v>4</v>
      </c>
      <c r="M2157" s="3" t="s">
        <v>2916</v>
      </c>
      <c r="N2157" s="3" t="s">
        <v>2917</v>
      </c>
      <c r="O2157" s="3" t="s">
        <v>2918</v>
      </c>
      <c r="P2157" s="3" t="s">
        <v>2919</v>
      </c>
      <c r="Q2157" s="30" t="str">
        <f t="shared" si="33"/>
        <v>MAX : 20.25
TARGET : 19.75
MIN : 19.25</v>
      </c>
    </row>
    <row r="2158" spans="2:18" ht="41.4" x14ac:dyDescent="0.3">
      <c r="B2158">
        <v>0</v>
      </c>
      <c r="C2158" s="33">
        <v>7991</v>
      </c>
      <c r="D2158" s="2">
        <v>1168</v>
      </c>
      <c r="E2158" s="2" t="s">
        <v>9907</v>
      </c>
      <c r="F2158" s="3" t="s">
        <v>14207</v>
      </c>
      <c r="H2158" s="3" t="s">
        <v>426</v>
      </c>
      <c r="K2158" s="2">
        <v>10</v>
      </c>
      <c r="L2158" s="2">
        <v>5</v>
      </c>
      <c r="M2158" s="3" t="s">
        <v>2920</v>
      </c>
      <c r="N2158" s="3" t="s">
        <v>13</v>
      </c>
      <c r="O2158" s="3" t="s">
        <v>14</v>
      </c>
      <c r="Q2158" s="30" t="str">
        <f t="shared" si="33"/>
        <v>MAX : 
TARGET : Yes(Pass)
MIN : No(Fail)</v>
      </c>
    </row>
    <row r="2159" spans="2:18" ht="41.4" x14ac:dyDescent="0.3">
      <c r="B2159">
        <v>1</v>
      </c>
      <c r="C2159" s="33">
        <v>7501</v>
      </c>
      <c r="D2159" s="2">
        <v>1117</v>
      </c>
      <c r="E2159" s="2" t="s">
        <v>9282</v>
      </c>
      <c r="F2159" s="3" t="s">
        <v>14206</v>
      </c>
      <c r="H2159" s="3" t="s">
        <v>491</v>
      </c>
      <c r="K2159" s="2">
        <v>10</v>
      </c>
      <c r="L2159" s="2">
        <v>4</v>
      </c>
      <c r="M2159" s="3" t="s">
        <v>3346</v>
      </c>
      <c r="N2159" s="3" t="s">
        <v>3347</v>
      </c>
      <c r="O2159" s="3" t="s">
        <v>3348</v>
      </c>
      <c r="P2159" s="3" t="s">
        <v>3349</v>
      </c>
      <c r="Q2159" s="30" t="str">
        <f t="shared" si="33"/>
        <v>MAX : 1180
TARGET : 1080
MIN : 980</v>
      </c>
      <c r="R2159" s="3" t="s">
        <v>1638</v>
      </c>
    </row>
    <row r="2160" spans="2:18" ht="41.4" x14ac:dyDescent="0.3">
      <c r="B2160">
        <v>1</v>
      </c>
      <c r="C2160" s="33">
        <v>7501</v>
      </c>
      <c r="D2160" s="2">
        <v>1117</v>
      </c>
      <c r="E2160" s="2" t="s">
        <v>9282</v>
      </c>
      <c r="F2160" s="3" t="s">
        <v>14206</v>
      </c>
      <c r="H2160" s="3" t="s">
        <v>491</v>
      </c>
      <c r="K2160" s="2">
        <v>10</v>
      </c>
      <c r="L2160" s="2">
        <v>5</v>
      </c>
      <c r="M2160" s="3" t="s">
        <v>3350</v>
      </c>
      <c r="N2160" s="3" t="s">
        <v>13</v>
      </c>
      <c r="O2160" s="3" t="s">
        <v>14</v>
      </c>
      <c r="Q2160" s="30" t="str">
        <f t="shared" si="33"/>
        <v>MAX : 
TARGET : Yes(Pass)
MIN : No(Fail)</v>
      </c>
      <c r="R2160" s="3" t="s">
        <v>1638</v>
      </c>
    </row>
    <row r="2161" spans="2:18" ht="41.4" x14ac:dyDescent="0.3">
      <c r="B2161">
        <v>0</v>
      </c>
      <c r="C2161" s="33">
        <v>8022</v>
      </c>
      <c r="D2161" s="2">
        <v>1170</v>
      </c>
      <c r="E2161" s="2" t="s">
        <v>9940</v>
      </c>
      <c r="F2161" s="3" t="s">
        <v>14206</v>
      </c>
      <c r="G2161" s="3" t="s">
        <v>1665</v>
      </c>
      <c r="H2161" s="3" t="s">
        <v>2921</v>
      </c>
      <c r="I2161" s="3" t="s">
        <v>575</v>
      </c>
      <c r="K2161" s="2">
        <v>10</v>
      </c>
      <c r="L2161" s="2">
        <v>11</v>
      </c>
      <c r="M2161" s="3" t="s">
        <v>2927</v>
      </c>
      <c r="N2161" s="3" t="s">
        <v>13</v>
      </c>
      <c r="O2161" s="3" t="s">
        <v>14</v>
      </c>
      <c r="Q2161" s="30" t="str">
        <f t="shared" si="33"/>
        <v>MAX : 
TARGET : Yes(Pass)
MIN : No(Fail)</v>
      </c>
    </row>
    <row r="2162" spans="2:18" ht="41.4" x14ac:dyDescent="0.3">
      <c r="B2162">
        <v>0</v>
      </c>
      <c r="C2162" s="33">
        <v>8022</v>
      </c>
      <c r="D2162" s="2">
        <v>1170</v>
      </c>
      <c r="E2162" s="2" t="s">
        <v>9940</v>
      </c>
      <c r="F2162" s="3" t="s">
        <v>14206</v>
      </c>
      <c r="G2162" s="3" t="s">
        <v>1665</v>
      </c>
      <c r="H2162" s="3" t="s">
        <v>2921</v>
      </c>
      <c r="I2162" s="3" t="s">
        <v>575</v>
      </c>
      <c r="K2162" s="2">
        <v>10</v>
      </c>
      <c r="L2162" s="2">
        <v>8</v>
      </c>
      <c r="M2162" s="3" t="s">
        <v>78</v>
      </c>
      <c r="N2162" s="3" t="s">
        <v>13</v>
      </c>
      <c r="O2162" s="3" t="s">
        <v>14</v>
      </c>
      <c r="Q2162" s="30" t="str">
        <f t="shared" si="33"/>
        <v>MAX : 
TARGET : Yes(Pass)
MIN : No(Fail)</v>
      </c>
    </row>
    <row r="2163" spans="2:18" ht="41.4" x14ac:dyDescent="0.3">
      <c r="B2163">
        <v>0</v>
      </c>
      <c r="C2163" s="33">
        <v>8022</v>
      </c>
      <c r="D2163" s="2">
        <v>1170</v>
      </c>
      <c r="E2163" s="2" t="s">
        <v>9940</v>
      </c>
      <c r="F2163" s="3" t="s">
        <v>14206</v>
      </c>
      <c r="G2163" s="3" t="s">
        <v>1665</v>
      </c>
      <c r="H2163" s="3" t="s">
        <v>2921</v>
      </c>
      <c r="I2163" s="3" t="s">
        <v>575</v>
      </c>
      <c r="K2163" s="2">
        <v>10</v>
      </c>
      <c r="L2163" s="2">
        <v>3</v>
      </c>
      <c r="M2163" s="3" t="s">
        <v>2081</v>
      </c>
      <c r="N2163" s="3" t="s">
        <v>2928</v>
      </c>
      <c r="O2163" s="3" t="s">
        <v>1714</v>
      </c>
      <c r="P2163" s="3" t="s">
        <v>571</v>
      </c>
      <c r="Q2163" s="30" t="str">
        <f t="shared" si="33"/>
        <v>MAX : 0.345
TARGET : 0.315
MIN : 0.253</v>
      </c>
    </row>
    <row r="2164" spans="2:18" ht="41.4" x14ac:dyDescent="0.3">
      <c r="B2164">
        <v>0</v>
      </c>
      <c r="C2164" s="33">
        <v>8022</v>
      </c>
      <c r="D2164" s="2">
        <v>1170</v>
      </c>
      <c r="E2164" s="2" t="s">
        <v>9940</v>
      </c>
      <c r="F2164" s="3" t="s">
        <v>14206</v>
      </c>
      <c r="G2164" s="3" t="s">
        <v>1665</v>
      </c>
      <c r="H2164" s="3" t="s">
        <v>2921</v>
      </c>
      <c r="I2164" s="3" t="s">
        <v>575</v>
      </c>
      <c r="K2164" s="2">
        <v>10</v>
      </c>
      <c r="L2164" s="2">
        <v>4</v>
      </c>
      <c r="M2164" s="3" t="s">
        <v>2929</v>
      </c>
      <c r="N2164" s="3" t="s">
        <v>2928</v>
      </c>
      <c r="O2164" s="3" t="s">
        <v>1714</v>
      </c>
      <c r="P2164" s="3" t="s">
        <v>571</v>
      </c>
      <c r="Q2164" s="30" t="str">
        <f t="shared" si="33"/>
        <v>MAX : 0.345
TARGET : 0.315
MIN : 0.253</v>
      </c>
    </row>
    <row r="2165" spans="2:18" ht="41.4" x14ac:dyDescent="0.3">
      <c r="B2165">
        <v>0</v>
      </c>
      <c r="C2165" s="33">
        <v>8022</v>
      </c>
      <c r="D2165" s="2">
        <v>1170</v>
      </c>
      <c r="E2165" s="2" t="s">
        <v>9940</v>
      </c>
      <c r="F2165" s="3" t="s">
        <v>14206</v>
      </c>
      <c r="G2165" s="3" t="s">
        <v>1665</v>
      </c>
      <c r="H2165" s="3" t="s">
        <v>2921</v>
      </c>
      <c r="I2165" s="3" t="s">
        <v>575</v>
      </c>
      <c r="K2165" s="2">
        <v>10</v>
      </c>
      <c r="L2165" s="2">
        <v>5</v>
      </c>
      <c r="M2165" s="3" t="s">
        <v>2930</v>
      </c>
      <c r="N2165" s="3" t="s">
        <v>2928</v>
      </c>
      <c r="O2165" s="3" t="s">
        <v>1714</v>
      </c>
      <c r="P2165" s="3" t="s">
        <v>571</v>
      </c>
      <c r="Q2165" s="30" t="str">
        <f t="shared" si="33"/>
        <v>MAX : 0.345
TARGET : 0.315
MIN : 0.253</v>
      </c>
    </row>
    <row r="2166" spans="2:18" ht="41.4" x14ac:dyDescent="0.3">
      <c r="B2166">
        <v>0</v>
      </c>
      <c r="C2166" s="33">
        <v>8022</v>
      </c>
      <c r="D2166" s="2">
        <v>1170</v>
      </c>
      <c r="E2166" s="2" t="s">
        <v>9940</v>
      </c>
      <c r="F2166" s="3" t="s">
        <v>14206</v>
      </c>
      <c r="G2166" s="3" t="s">
        <v>1665</v>
      </c>
      <c r="H2166" s="3" t="s">
        <v>2921</v>
      </c>
      <c r="I2166" s="3" t="s">
        <v>575</v>
      </c>
      <c r="K2166" s="2">
        <v>10</v>
      </c>
      <c r="L2166" s="2">
        <v>6</v>
      </c>
      <c r="M2166" s="3" t="s">
        <v>2083</v>
      </c>
      <c r="N2166" s="3" t="s">
        <v>2928</v>
      </c>
      <c r="O2166" s="3" t="s">
        <v>1714</v>
      </c>
      <c r="P2166" s="3" t="s">
        <v>571</v>
      </c>
      <c r="Q2166" s="30" t="str">
        <f t="shared" si="33"/>
        <v>MAX : 0.345
TARGET : 0.315
MIN : 0.253</v>
      </c>
    </row>
    <row r="2167" spans="2:18" ht="41.4" x14ac:dyDescent="0.3">
      <c r="B2167">
        <v>0</v>
      </c>
      <c r="C2167" s="33">
        <v>8022</v>
      </c>
      <c r="D2167" s="2">
        <v>1170</v>
      </c>
      <c r="E2167" s="2" t="s">
        <v>9940</v>
      </c>
      <c r="F2167" s="3" t="s">
        <v>14206</v>
      </c>
      <c r="G2167" s="3" t="s">
        <v>1665</v>
      </c>
      <c r="H2167" s="3" t="s">
        <v>2921</v>
      </c>
      <c r="I2167" s="3" t="s">
        <v>575</v>
      </c>
      <c r="K2167" s="2">
        <v>10</v>
      </c>
      <c r="L2167" s="2">
        <v>9</v>
      </c>
      <c r="M2167" s="3" t="s">
        <v>2931</v>
      </c>
      <c r="N2167" s="3" t="s">
        <v>13</v>
      </c>
      <c r="O2167" s="3" t="s">
        <v>14</v>
      </c>
      <c r="Q2167" s="30" t="str">
        <f t="shared" si="33"/>
        <v>MAX : 
TARGET : Yes(Pass)
MIN : No(Fail)</v>
      </c>
    </row>
    <row r="2168" spans="2:18" ht="41.4" x14ac:dyDescent="0.3">
      <c r="B2168">
        <v>0</v>
      </c>
      <c r="C2168" s="33">
        <v>8022</v>
      </c>
      <c r="D2168" s="2">
        <v>1170</v>
      </c>
      <c r="E2168" s="2" t="s">
        <v>9940</v>
      </c>
      <c r="F2168" s="3" t="s">
        <v>14206</v>
      </c>
      <c r="G2168" s="3" t="s">
        <v>1665</v>
      </c>
      <c r="H2168" s="3" t="s">
        <v>2921</v>
      </c>
      <c r="I2168" s="3" t="s">
        <v>575</v>
      </c>
      <c r="K2168" s="2">
        <v>10</v>
      </c>
      <c r="L2168" s="2">
        <v>7</v>
      </c>
      <c r="M2168" s="3" t="s">
        <v>2932</v>
      </c>
      <c r="N2168" s="3" t="s">
        <v>555</v>
      </c>
      <c r="O2168" s="3" t="s">
        <v>2933</v>
      </c>
      <c r="P2168" s="3" t="s">
        <v>2934</v>
      </c>
      <c r="Q2168" s="30" t="str">
        <f t="shared" si="33"/>
        <v>MAX : .19
TARGET : .16
MIN : .13</v>
      </c>
    </row>
    <row r="2169" spans="2:18" ht="41.4" x14ac:dyDescent="0.3">
      <c r="B2169">
        <v>1</v>
      </c>
      <c r="C2169" s="33">
        <v>7506</v>
      </c>
      <c r="D2169" s="2">
        <v>1118</v>
      </c>
      <c r="E2169" s="2" t="s">
        <v>9289</v>
      </c>
      <c r="F2169" s="3" t="s">
        <v>2064</v>
      </c>
      <c r="H2169" s="3" t="s">
        <v>1882</v>
      </c>
      <c r="K2169" s="2">
        <v>20</v>
      </c>
      <c r="L2169" s="2">
        <v>2</v>
      </c>
      <c r="M2169" s="3" t="s">
        <v>2421</v>
      </c>
      <c r="N2169" s="3" t="s">
        <v>13</v>
      </c>
      <c r="O2169" s="3" t="s">
        <v>14</v>
      </c>
      <c r="Q2169" s="30" t="str">
        <f t="shared" si="33"/>
        <v>MAX : 
TARGET : Yes(Pass)
MIN : No(Fail)</v>
      </c>
    </row>
    <row r="2170" spans="2:18" ht="41.4" x14ac:dyDescent="0.3">
      <c r="B2170">
        <v>1</v>
      </c>
      <c r="C2170" s="33">
        <v>7506</v>
      </c>
      <c r="D2170" s="2">
        <v>1118</v>
      </c>
      <c r="E2170" s="2" t="s">
        <v>9289</v>
      </c>
      <c r="F2170" s="3" t="s">
        <v>2064</v>
      </c>
      <c r="H2170" s="3" t="s">
        <v>1882</v>
      </c>
      <c r="K2170" s="2">
        <v>20</v>
      </c>
      <c r="L2170" s="2">
        <v>1</v>
      </c>
      <c r="M2170" s="3" t="s">
        <v>2422</v>
      </c>
      <c r="N2170" s="3" t="s">
        <v>13</v>
      </c>
      <c r="O2170" s="3" t="s">
        <v>14</v>
      </c>
      <c r="Q2170" s="30" t="str">
        <f t="shared" si="33"/>
        <v>MAX : 
TARGET : Yes(Pass)
MIN : No(Fail)</v>
      </c>
    </row>
    <row r="2171" spans="2:18" ht="41.4" x14ac:dyDescent="0.3">
      <c r="B2171">
        <v>0</v>
      </c>
      <c r="C2171" s="33">
        <v>8021</v>
      </c>
      <c r="D2171" s="2">
        <v>1938</v>
      </c>
      <c r="E2171" s="2" t="s">
        <v>9934</v>
      </c>
      <c r="F2171" s="3" t="s">
        <v>14206</v>
      </c>
      <c r="H2171" s="3" t="s">
        <v>2935</v>
      </c>
      <c r="K2171" s="2">
        <v>20</v>
      </c>
      <c r="L2171" s="2">
        <v>3</v>
      </c>
      <c r="M2171" s="3" t="s">
        <v>2936</v>
      </c>
      <c r="N2171" s="3" t="s">
        <v>13</v>
      </c>
      <c r="O2171" s="3" t="s">
        <v>14</v>
      </c>
      <c r="Q2171" s="30" t="str">
        <f t="shared" si="33"/>
        <v>MAX : 
TARGET : Yes(Pass)
MIN : No(Fail)</v>
      </c>
    </row>
    <row r="2172" spans="2:18" ht="41.4" x14ac:dyDescent="0.3">
      <c r="B2172">
        <v>0</v>
      </c>
      <c r="C2172" s="33">
        <v>8021</v>
      </c>
      <c r="D2172" s="2">
        <v>1938</v>
      </c>
      <c r="E2172" s="2" t="s">
        <v>9934</v>
      </c>
      <c r="F2172" s="3" t="s">
        <v>14206</v>
      </c>
      <c r="H2172" s="3" t="s">
        <v>2935</v>
      </c>
      <c r="K2172" s="2">
        <v>20</v>
      </c>
      <c r="L2172" s="2">
        <v>4</v>
      </c>
      <c r="M2172" s="3" t="s">
        <v>611</v>
      </c>
      <c r="N2172" s="3" t="s">
        <v>13</v>
      </c>
      <c r="O2172" s="3" t="s">
        <v>14</v>
      </c>
      <c r="Q2172" s="30" t="str">
        <f t="shared" si="33"/>
        <v>MAX : 
TARGET : Yes(Pass)
MIN : No(Fail)</v>
      </c>
    </row>
    <row r="2173" spans="2:18" ht="41.4" x14ac:dyDescent="0.3">
      <c r="B2173">
        <v>1</v>
      </c>
      <c r="C2173" s="33">
        <v>7509</v>
      </c>
      <c r="D2173" s="2">
        <v>1894</v>
      </c>
      <c r="E2173" s="2" t="s">
        <v>9296</v>
      </c>
      <c r="F2173" s="3" t="s">
        <v>14207</v>
      </c>
      <c r="G2173" s="3" t="s">
        <v>2341</v>
      </c>
      <c r="H2173" s="3" t="s">
        <v>568</v>
      </c>
      <c r="K2173" s="2">
        <v>10</v>
      </c>
      <c r="L2173" s="2">
        <v>2</v>
      </c>
      <c r="M2173" s="3" t="s">
        <v>2344</v>
      </c>
      <c r="N2173" s="3" t="s">
        <v>2345</v>
      </c>
      <c r="O2173" s="3" t="s">
        <v>2346</v>
      </c>
      <c r="P2173" s="3" t="s">
        <v>2347</v>
      </c>
      <c r="Q2173" s="30" t="str">
        <f t="shared" si="33"/>
        <v>MAX : 123.0
TARGET : 122.0
MIN : 121.0</v>
      </c>
      <c r="R2173" s="3" t="s">
        <v>2343</v>
      </c>
    </row>
    <row r="2174" spans="2:18" ht="41.4" x14ac:dyDescent="0.3">
      <c r="B2174">
        <v>0</v>
      </c>
      <c r="C2174" s="33">
        <v>7274</v>
      </c>
      <c r="D2174" s="2">
        <v>1099</v>
      </c>
      <c r="E2174" s="2" t="s">
        <v>9022</v>
      </c>
      <c r="F2174" s="3" t="s">
        <v>14207</v>
      </c>
      <c r="H2174" s="3" t="s">
        <v>2151</v>
      </c>
      <c r="K2174" s="2">
        <v>10</v>
      </c>
      <c r="L2174" s="2">
        <v>1</v>
      </c>
      <c r="M2174" s="3" t="s">
        <v>2199</v>
      </c>
      <c r="N2174" s="3" t="s">
        <v>344</v>
      </c>
      <c r="O2174" s="3" t="s">
        <v>28</v>
      </c>
      <c r="P2174" s="3" t="s">
        <v>345</v>
      </c>
      <c r="Q2174" s="30" t="str">
        <f t="shared" si="33"/>
        <v>MAX : 1.75
TARGET : 1.50
MIN : 1.25</v>
      </c>
      <c r="R2174" s="3" t="s">
        <v>443</v>
      </c>
    </row>
    <row r="2175" spans="2:18" ht="41.4" x14ac:dyDescent="0.3">
      <c r="B2175">
        <v>1</v>
      </c>
      <c r="C2175" s="33">
        <v>7509</v>
      </c>
      <c r="D2175" s="2">
        <v>1894</v>
      </c>
      <c r="E2175" s="2" t="s">
        <v>9296</v>
      </c>
      <c r="F2175" s="3" t="s">
        <v>14207</v>
      </c>
      <c r="G2175" s="3" t="s">
        <v>2341</v>
      </c>
      <c r="H2175" s="3" t="s">
        <v>568</v>
      </c>
      <c r="K2175" s="2">
        <v>10</v>
      </c>
      <c r="L2175" s="2">
        <v>1</v>
      </c>
      <c r="M2175" s="3" t="s">
        <v>2342</v>
      </c>
      <c r="N2175" s="3" t="s">
        <v>1145</v>
      </c>
      <c r="O2175" s="3" t="s">
        <v>35</v>
      </c>
      <c r="P2175" s="3" t="s">
        <v>1146</v>
      </c>
      <c r="Q2175" s="30" t="str">
        <f t="shared" si="33"/>
        <v>MAX : 20.0
TARGET : 19.0
MIN : 18.0</v>
      </c>
      <c r="R2175" s="3" t="s">
        <v>2343</v>
      </c>
    </row>
    <row r="2176" spans="2:18" ht="41.4" x14ac:dyDescent="0.3">
      <c r="B2176">
        <v>0</v>
      </c>
      <c r="C2176" s="33">
        <v>8037</v>
      </c>
      <c r="D2176" s="2">
        <v>1172</v>
      </c>
      <c r="E2176" s="2" t="s">
        <v>9961</v>
      </c>
      <c r="F2176" s="3" t="s">
        <v>14206</v>
      </c>
      <c r="G2176" s="3" t="s">
        <v>1665</v>
      </c>
      <c r="H2176" s="3" t="s">
        <v>2938</v>
      </c>
      <c r="I2176" s="3" t="s">
        <v>575</v>
      </c>
      <c r="K2176" s="2">
        <v>10</v>
      </c>
      <c r="L2176" s="2">
        <v>11</v>
      </c>
      <c r="M2176" s="3" t="s">
        <v>2927</v>
      </c>
      <c r="N2176" s="3" t="s">
        <v>13</v>
      </c>
      <c r="O2176" s="3" t="s">
        <v>14</v>
      </c>
      <c r="Q2176" s="30" t="str">
        <f t="shared" si="33"/>
        <v>MAX : 
TARGET : Yes(Pass)
MIN : No(Fail)</v>
      </c>
      <c r="R2176" s="3" t="s">
        <v>443</v>
      </c>
    </row>
    <row r="2177" spans="2:18" ht="41.4" x14ac:dyDescent="0.3">
      <c r="B2177">
        <v>0</v>
      </c>
      <c r="C2177" s="33">
        <v>8037</v>
      </c>
      <c r="D2177" s="2">
        <v>1172</v>
      </c>
      <c r="E2177" s="2" t="s">
        <v>9961</v>
      </c>
      <c r="F2177" s="3" t="s">
        <v>14206</v>
      </c>
      <c r="G2177" s="3" t="s">
        <v>1665</v>
      </c>
      <c r="H2177" s="3" t="s">
        <v>2938</v>
      </c>
      <c r="I2177" s="3" t="s">
        <v>575</v>
      </c>
      <c r="K2177" s="2">
        <v>10</v>
      </c>
      <c r="L2177" s="2">
        <v>3</v>
      </c>
      <c r="M2177" s="3" t="s">
        <v>2942</v>
      </c>
      <c r="N2177" s="3" t="s">
        <v>571</v>
      </c>
      <c r="O2177" s="3" t="s">
        <v>2943</v>
      </c>
      <c r="P2177" s="3" t="s">
        <v>1788</v>
      </c>
      <c r="Q2177" s="30" t="str">
        <f t="shared" si="33"/>
        <v>MAX : 0.445
TARGET : 0.391
MIN : 0.345</v>
      </c>
      <c r="R2177" s="3" t="s">
        <v>443</v>
      </c>
    </row>
    <row r="2178" spans="2:18" ht="41.4" x14ac:dyDescent="0.3">
      <c r="B2178">
        <v>0</v>
      </c>
      <c r="C2178" s="33">
        <v>8037</v>
      </c>
      <c r="D2178" s="2">
        <v>1172</v>
      </c>
      <c r="E2178" s="2" t="s">
        <v>9961</v>
      </c>
      <c r="F2178" s="3" t="s">
        <v>14206</v>
      </c>
      <c r="G2178" s="3" t="s">
        <v>1665</v>
      </c>
      <c r="H2178" s="3" t="s">
        <v>2938</v>
      </c>
      <c r="I2178" s="3" t="s">
        <v>575</v>
      </c>
      <c r="K2178" s="2">
        <v>10</v>
      </c>
      <c r="L2178" s="2">
        <v>4</v>
      </c>
      <c r="M2178" s="3" t="s">
        <v>2944</v>
      </c>
      <c r="N2178" s="3" t="s">
        <v>571</v>
      </c>
      <c r="O2178" s="3" t="s">
        <v>2943</v>
      </c>
      <c r="P2178" s="3" t="s">
        <v>1788</v>
      </c>
      <c r="Q2178" s="30" t="str">
        <f t="shared" ref="Q2178:Q2241" si="34">"MAX : " &amp; P2178 &amp; CHAR(10) &amp; "TARGET : " &amp; O2178 &amp; CHAR(10) &amp; "MIN : " &amp; N2178</f>
        <v>MAX : 0.445
TARGET : 0.391
MIN : 0.345</v>
      </c>
      <c r="R2178" s="3" t="s">
        <v>443</v>
      </c>
    </row>
    <row r="2179" spans="2:18" ht="41.4" x14ac:dyDescent="0.3">
      <c r="B2179">
        <v>0</v>
      </c>
      <c r="C2179" s="33">
        <v>8037</v>
      </c>
      <c r="D2179" s="2">
        <v>1172</v>
      </c>
      <c r="E2179" s="2" t="s">
        <v>9961</v>
      </c>
      <c r="F2179" s="3" t="s">
        <v>14206</v>
      </c>
      <c r="G2179" s="3" t="s">
        <v>1665</v>
      </c>
      <c r="H2179" s="3" t="s">
        <v>2938</v>
      </c>
      <c r="I2179" s="3" t="s">
        <v>575</v>
      </c>
      <c r="K2179" s="2">
        <v>10</v>
      </c>
      <c r="L2179" s="2">
        <v>5</v>
      </c>
      <c r="M2179" s="3" t="s">
        <v>2945</v>
      </c>
      <c r="N2179" s="3" t="s">
        <v>571</v>
      </c>
      <c r="O2179" s="3" t="s">
        <v>2943</v>
      </c>
      <c r="P2179" s="3" t="s">
        <v>1788</v>
      </c>
      <c r="Q2179" s="30" t="str">
        <f t="shared" si="34"/>
        <v>MAX : 0.445
TARGET : 0.391
MIN : 0.345</v>
      </c>
      <c r="R2179" s="3" t="s">
        <v>443</v>
      </c>
    </row>
    <row r="2180" spans="2:18" ht="41.4" x14ac:dyDescent="0.3">
      <c r="B2180">
        <v>0</v>
      </c>
      <c r="C2180" s="33">
        <v>8037</v>
      </c>
      <c r="D2180" s="2">
        <v>1172</v>
      </c>
      <c r="E2180" s="2" t="s">
        <v>9961</v>
      </c>
      <c r="F2180" s="3" t="s">
        <v>14206</v>
      </c>
      <c r="G2180" s="3" t="s">
        <v>1665</v>
      </c>
      <c r="H2180" s="3" t="s">
        <v>2938</v>
      </c>
      <c r="I2180" s="3" t="s">
        <v>575</v>
      </c>
      <c r="K2180" s="2">
        <v>10</v>
      </c>
      <c r="L2180" s="2">
        <v>6</v>
      </c>
      <c r="M2180" s="3" t="s">
        <v>2946</v>
      </c>
      <c r="N2180" s="3" t="s">
        <v>571</v>
      </c>
      <c r="O2180" s="3" t="s">
        <v>2943</v>
      </c>
      <c r="P2180" s="3" t="s">
        <v>1788</v>
      </c>
      <c r="Q2180" s="30" t="str">
        <f t="shared" si="34"/>
        <v>MAX : 0.445
TARGET : 0.391
MIN : 0.345</v>
      </c>
      <c r="R2180" s="3" t="s">
        <v>443</v>
      </c>
    </row>
    <row r="2181" spans="2:18" ht="41.4" x14ac:dyDescent="0.3">
      <c r="B2181">
        <v>0</v>
      </c>
      <c r="C2181" s="33">
        <v>8037</v>
      </c>
      <c r="D2181" s="2">
        <v>1172</v>
      </c>
      <c r="E2181" s="2" t="s">
        <v>9961</v>
      </c>
      <c r="F2181" s="3" t="s">
        <v>14206</v>
      </c>
      <c r="G2181" s="3" t="s">
        <v>1665</v>
      </c>
      <c r="H2181" s="3" t="s">
        <v>2938</v>
      </c>
      <c r="I2181" s="3" t="s">
        <v>575</v>
      </c>
      <c r="K2181" s="2">
        <v>10</v>
      </c>
      <c r="L2181" s="2">
        <v>8</v>
      </c>
      <c r="M2181" s="3" t="s">
        <v>2947</v>
      </c>
      <c r="N2181" s="3" t="s">
        <v>13</v>
      </c>
      <c r="O2181" s="3" t="s">
        <v>14</v>
      </c>
      <c r="Q2181" s="30" t="str">
        <f t="shared" si="34"/>
        <v>MAX : 
TARGET : Yes(Pass)
MIN : No(Fail)</v>
      </c>
      <c r="R2181" s="3" t="s">
        <v>443</v>
      </c>
    </row>
    <row r="2182" spans="2:18" ht="41.4" x14ac:dyDescent="0.3">
      <c r="B2182">
        <v>0</v>
      </c>
      <c r="C2182" s="33">
        <v>8037</v>
      </c>
      <c r="D2182" s="2">
        <v>1172</v>
      </c>
      <c r="E2182" s="2" t="s">
        <v>9961</v>
      </c>
      <c r="F2182" s="3" t="s">
        <v>14206</v>
      </c>
      <c r="G2182" s="3" t="s">
        <v>1665</v>
      </c>
      <c r="H2182" s="3" t="s">
        <v>2938</v>
      </c>
      <c r="I2182" s="3" t="s">
        <v>575</v>
      </c>
      <c r="K2182" s="2">
        <v>10</v>
      </c>
      <c r="L2182" s="2">
        <v>7</v>
      </c>
      <c r="M2182" s="3" t="s">
        <v>2948</v>
      </c>
      <c r="N2182" s="3" t="s">
        <v>2949</v>
      </c>
      <c r="O2182" s="3" t="s">
        <v>1810</v>
      </c>
      <c r="P2182" s="3" t="s">
        <v>1513</v>
      </c>
      <c r="Q2182" s="30" t="str">
        <f t="shared" si="34"/>
        <v>MAX : 2.280
TARGET : 2.250
MIN : 2.220</v>
      </c>
      <c r="R2182" s="3" t="s">
        <v>443</v>
      </c>
    </row>
    <row r="2183" spans="2:18" ht="41.4" x14ac:dyDescent="0.3">
      <c r="B2183">
        <v>0</v>
      </c>
      <c r="C2183" s="33">
        <v>8037</v>
      </c>
      <c r="D2183" s="2">
        <v>1172</v>
      </c>
      <c r="E2183" s="2" t="s">
        <v>9961</v>
      </c>
      <c r="F2183" s="3" t="s">
        <v>14206</v>
      </c>
      <c r="G2183" s="3" t="s">
        <v>1665</v>
      </c>
      <c r="H2183" s="3" t="s">
        <v>2938</v>
      </c>
      <c r="I2183" s="3" t="s">
        <v>575</v>
      </c>
      <c r="K2183" s="2">
        <v>10</v>
      </c>
      <c r="L2183" s="2">
        <v>9</v>
      </c>
      <c r="M2183" s="3" t="s">
        <v>2931</v>
      </c>
      <c r="N2183" s="3" t="s">
        <v>13</v>
      </c>
      <c r="O2183" s="3" t="s">
        <v>14</v>
      </c>
      <c r="Q2183" s="30" t="str">
        <f t="shared" si="34"/>
        <v>MAX : 
TARGET : Yes(Pass)
MIN : No(Fail)</v>
      </c>
      <c r="R2183" s="3" t="s">
        <v>443</v>
      </c>
    </row>
    <row r="2184" spans="2:18" ht="41.4" x14ac:dyDescent="0.3">
      <c r="B2184">
        <v>1</v>
      </c>
      <c r="C2184" s="33">
        <v>7510</v>
      </c>
      <c r="D2184" s="2">
        <v>1119</v>
      </c>
      <c r="E2184" s="2" t="s">
        <v>9304</v>
      </c>
      <c r="F2184" s="3" t="s">
        <v>14207</v>
      </c>
      <c r="H2184" s="3" t="s">
        <v>2361</v>
      </c>
      <c r="K2184" s="2">
        <v>10</v>
      </c>
      <c r="L2184" s="2">
        <v>4</v>
      </c>
      <c r="M2184" s="3" t="s">
        <v>331</v>
      </c>
      <c r="N2184" s="3" t="s">
        <v>2366</v>
      </c>
      <c r="O2184" s="3" t="s">
        <v>1766</v>
      </c>
      <c r="P2184" s="3" t="s">
        <v>2367</v>
      </c>
      <c r="Q2184" s="30" t="str">
        <f t="shared" si="34"/>
        <v>MAX : 3.56
TARGET : 3.43
MIN : 3.30</v>
      </c>
    </row>
    <row r="2185" spans="2:18" ht="41.4" x14ac:dyDescent="0.3">
      <c r="B2185">
        <v>1</v>
      </c>
      <c r="C2185" s="33">
        <v>7510</v>
      </c>
      <c r="D2185" s="2">
        <v>1119</v>
      </c>
      <c r="E2185" s="2" t="s">
        <v>9304</v>
      </c>
      <c r="F2185" s="3" t="s">
        <v>14207</v>
      </c>
      <c r="H2185" s="3" t="s">
        <v>2361</v>
      </c>
      <c r="K2185" s="2">
        <v>10</v>
      </c>
      <c r="L2185" s="2">
        <v>1</v>
      </c>
      <c r="M2185" s="3" t="s">
        <v>2362</v>
      </c>
      <c r="N2185" s="3" t="s">
        <v>2363</v>
      </c>
      <c r="O2185" s="3" t="s">
        <v>2364</v>
      </c>
      <c r="P2185" s="3" t="s">
        <v>2365</v>
      </c>
      <c r="Q2185" s="30" t="str">
        <f t="shared" si="34"/>
        <v>MAX : 4.87
TARGET : 4.62
MIN : 4.37</v>
      </c>
    </row>
    <row r="2186" spans="2:18" ht="41.4" x14ac:dyDescent="0.3">
      <c r="B2186">
        <v>1</v>
      </c>
      <c r="C2186" s="33">
        <v>7510</v>
      </c>
      <c r="D2186" s="2">
        <v>1119</v>
      </c>
      <c r="E2186" s="2" t="s">
        <v>9304</v>
      </c>
      <c r="F2186" s="3" t="s">
        <v>14207</v>
      </c>
      <c r="H2186" s="3" t="s">
        <v>2361</v>
      </c>
      <c r="K2186" s="2">
        <v>10</v>
      </c>
      <c r="L2186" s="2">
        <v>19</v>
      </c>
      <c r="M2186" s="3" t="s">
        <v>4887</v>
      </c>
      <c r="N2186" s="3" t="s">
        <v>360</v>
      </c>
      <c r="O2186" s="3" t="s">
        <v>359</v>
      </c>
      <c r="Q2186" s="30" t="str">
        <f t="shared" si="34"/>
        <v>MAX : 
TARGET : Pass
MIN : Fail</v>
      </c>
    </row>
    <row r="2187" spans="2:18" ht="41.4" x14ac:dyDescent="0.3">
      <c r="B2187">
        <v>0</v>
      </c>
      <c r="C2187" s="33">
        <v>8036</v>
      </c>
      <c r="D2187" s="2">
        <v>1939</v>
      </c>
      <c r="E2187" s="2" t="s">
        <v>9955</v>
      </c>
      <c r="F2187" s="3" t="s">
        <v>14206</v>
      </c>
      <c r="H2187" s="3" t="s">
        <v>2951</v>
      </c>
      <c r="K2187" s="2">
        <v>10</v>
      </c>
      <c r="L2187" s="2">
        <v>3</v>
      </c>
      <c r="M2187" s="3" t="s">
        <v>325</v>
      </c>
      <c r="N2187" s="3" t="s">
        <v>13</v>
      </c>
      <c r="O2187" s="3" t="s">
        <v>14</v>
      </c>
      <c r="Q2187" s="30" t="str">
        <f t="shared" si="34"/>
        <v>MAX : 
TARGET : Yes(Pass)
MIN : No(Fail)</v>
      </c>
    </row>
    <row r="2188" spans="2:18" ht="41.4" x14ac:dyDescent="0.3">
      <c r="B2188">
        <v>0</v>
      </c>
      <c r="C2188" s="33">
        <v>8036</v>
      </c>
      <c r="D2188" s="2">
        <v>1939</v>
      </c>
      <c r="E2188" s="2" t="s">
        <v>9955</v>
      </c>
      <c r="F2188" s="3" t="s">
        <v>14206</v>
      </c>
      <c r="H2188" s="3" t="s">
        <v>2951</v>
      </c>
      <c r="K2188" s="2">
        <v>10</v>
      </c>
      <c r="L2188" s="2">
        <v>4</v>
      </c>
      <c r="M2188" s="3" t="s">
        <v>2954</v>
      </c>
      <c r="N2188" s="3" t="s">
        <v>13</v>
      </c>
      <c r="O2188" s="3" t="s">
        <v>14</v>
      </c>
      <c r="Q2188" s="30" t="str">
        <f t="shared" si="34"/>
        <v>MAX : 
TARGET : Yes(Pass)
MIN : No(Fail)</v>
      </c>
    </row>
    <row r="2189" spans="2:18" ht="41.4" x14ac:dyDescent="0.3">
      <c r="B2189">
        <v>1</v>
      </c>
      <c r="C2189" s="33">
        <v>7529</v>
      </c>
      <c r="D2189" s="2">
        <v>1120</v>
      </c>
      <c r="E2189" s="2" t="s">
        <v>9329</v>
      </c>
      <c r="F2189" s="3" t="s">
        <v>14207</v>
      </c>
      <c r="H2189" s="3" t="s">
        <v>426</v>
      </c>
      <c r="K2189" s="2">
        <v>20</v>
      </c>
      <c r="L2189" s="2">
        <v>4</v>
      </c>
      <c r="M2189" s="3" t="s">
        <v>2400</v>
      </c>
      <c r="N2189" s="3" t="s">
        <v>24</v>
      </c>
      <c r="O2189" s="3" t="s">
        <v>25</v>
      </c>
      <c r="Q2189" s="30" t="str">
        <f t="shared" si="34"/>
        <v>MAX : 
TARGET : Yes (Pass)
MIN : No (Fail)</v>
      </c>
    </row>
    <row r="2190" spans="2:18" ht="41.4" x14ac:dyDescent="0.3">
      <c r="B2190">
        <v>1</v>
      </c>
      <c r="C2190" s="33">
        <v>7529</v>
      </c>
      <c r="D2190" s="2">
        <v>1120</v>
      </c>
      <c r="E2190" s="2" t="s">
        <v>9329</v>
      </c>
      <c r="F2190" s="3" t="s">
        <v>14207</v>
      </c>
      <c r="H2190" s="3" t="s">
        <v>426</v>
      </c>
      <c r="K2190" s="2">
        <v>20</v>
      </c>
      <c r="L2190" s="2">
        <v>3</v>
      </c>
      <c r="M2190" s="3" t="s">
        <v>78</v>
      </c>
      <c r="N2190" s="3" t="s">
        <v>24</v>
      </c>
      <c r="O2190" s="3" t="s">
        <v>25</v>
      </c>
      <c r="Q2190" s="30" t="str">
        <f t="shared" si="34"/>
        <v>MAX : 
TARGET : Yes (Pass)
MIN : No (Fail)</v>
      </c>
    </row>
    <row r="2191" spans="2:18" ht="41.4" x14ac:dyDescent="0.3">
      <c r="B2191">
        <v>1</v>
      </c>
      <c r="C2191" s="33">
        <v>7529</v>
      </c>
      <c r="D2191" s="2">
        <v>1120</v>
      </c>
      <c r="E2191" s="2" t="s">
        <v>9329</v>
      </c>
      <c r="F2191" s="3" t="s">
        <v>14207</v>
      </c>
      <c r="H2191" s="3" t="s">
        <v>426</v>
      </c>
      <c r="K2191" s="2">
        <v>20</v>
      </c>
      <c r="L2191" s="2">
        <v>1</v>
      </c>
      <c r="M2191" s="3" t="s">
        <v>5618</v>
      </c>
      <c r="N2191" s="3" t="s">
        <v>24</v>
      </c>
      <c r="O2191" s="3" t="s">
        <v>25</v>
      </c>
      <c r="Q2191" s="30" t="str">
        <f t="shared" si="34"/>
        <v>MAX : 
TARGET : Yes (Pass)
MIN : No (Fail)</v>
      </c>
    </row>
    <row r="2192" spans="2:18" ht="41.4" x14ac:dyDescent="0.3">
      <c r="B2192">
        <v>1</v>
      </c>
      <c r="C2192" s="33">
        <v>7529</v>
      </c>
      <c r="D2192" s="2">
        <v>1120</v>
      </c>
      <c r="E2192" s="2" t="s">
        <v>9329</v>
      </c>
      <c r="F2192" s="3" t="s">
        <v>14207</v>
      </c>
      <c r="H2192" s="3" t="s">
        <v>426</v>
      </c>
      <c r="K2192" s="2">
        <v>20</v>
      </c>
      <c r="L2192" s="2">
        <v>2</v>
      </c>
      <c r="M2192" s="3" t="s">
        <v>5619</v>
      </c>
      <c r="N2192" s="3" t="s">
        <v>24</v>
      </c>
      <c r="O2192" s="3" t="s">
        <v>25</v>
      </c>
      <c r="Q2192" s="30" t="str">
        <f t="shared" si="34"/>
        <v>MAX : 
TARGET : Yes (Pass)
MIN : No (Fail)</v>
      </c>
    </row>
    <row r="2193" spans="2:18" ht="41.4" x14ac:dyDescent="0.3">
      <c r="B2193">
        <v>1</v>
      </c>
      <c r="C2193" s="33">
        <v>7530</v>
      </c>
      <c r="D2193" s="2">
        <v>1121</v>
      </c>
      <c r="E2193" s="2" t="s">
        <v>9335</v>
      </c>
      <c r="F2193" s="3" t="s">
        <v>14207</v>
      </c>
      <c r="H2193" s="3" t="s">
        <v>108</v>
      </c>
      <c r="K2193" s="2">
        <v>20</v>
      </c>
      <c r="L2193" s="2">
        <v>2</v>
      </c>
      <c r="M2193" s="3" t="s">
        <v>198</v>
      </c>
      <c r="N2193" s="3" t="s">
        <v>1459</v>
      </c>
      <c r="O2193" s="3" t="s">
        <v>2130</v>
      </c>
      <c r="P2193" s="3" t="s">
        <v>1553</v>
      </c>
      <c r="Q2193" s="30" t="str">
        <f t="shared" si="34"/>
        <v>MAX : 73.0
TARGET : 72.0
MIN : 71.0</v>
      </c>
    </row>
    <row r="2194" spans="2:18" ht="41.4" x14ac:dyDescent="0.3">
      <c r="B2194">
        <v>1</v>
      </c>
      <c r="C2194" s="33">
        <v>7530</v>
      </c>
      <c r="D2194" s="2">
        <v>1121</v>
      </c>
      <c r="E2194" s="2" t="s">
        <v>9335</v>
      </c>
      <c r="F2194" s="3" t="s">
        <v>14207</v>
      </c>
      <c r="H2194" s="3" t="s">
        <v>108</v>
      </c>
      <c r="K2194" s="2">
        <v>20</v>
      </c>
      <c r="L2194" s="2">
        <v>1</v>
      </c>
      <c r="M2194" s="3" t="s">
        <v>194</v>
      </c>
      <c r="N2194" s="3" t="s">
        <v>2256</v>
      </c>
      <c r="O2194" s="3" t="s">
        <v>2401</v>
      </c>
      <c r="P2194" s="3" t="s">
        <v>2402</v>
      </c>
      <c r="Q2194" s="30" t="str">
        <f t="shared" si="34"/>
        <v>MAX : 41.0
TARGET : 40.0
MIN : 39.0</v>
      </c>
    </row>
    <row r="2195" spans="2:18" ht="41.4" x14ac:dyDescent="0.3">
      <c r="B2195">
        <v>1</v>
      </c>
      <c r="C2195" s="33">
        <v>7543</v>
      </c>
      <c r="D2195" s="2">
        <v>1122</v>
      </c>
      <c r="E2195" s="2" t="s">
        <v>9342</v>
      </c>
      <c r="F2195" s="3" t="s">
        <v>14207</v>
      </c>
      <c r="H2195" s="3" t="s">
        <v>2409</v>
      </c>
      <c r="K2195" s="2">
        <v>20</v>
      </c>
      <c r="L2195" s="2">
        <v>2</v>
      </c>
      <c r="M2195" s="3" t="s">
        <v>198</v>
      </c>
      <c r="N2195" s="3" t="s">
        <v>2413</v>
      </c>
      <c r="O2195" s="3" t="s">
        <v>2414</v>
      </c>
      <c r="P2195" s="3" t="s">
        <v>2415</v>
      </c>
      <c r="Q2195" s="30" t="str">
        <f t="shared" si="34"/>
        <v>MAX : 221.6
TARGET : 219.1
MIN : 216.6</v>
      </c>
    </row>
    <row r="2196" spans="2:18" ht="41.4" x14ac:dyDescent="0.3">
      <c r="B2196">
        <v>1</v>
      </c>
      <c r="C2196" s="33">
        <v>7543</v>
      </c>
      <c r="D2196" s="2">
        <v>1122</v>
      </c>
      <c r="E2196" s="2" t="s">
        <v>9342</v>
      </c>
      <c r="F2196" s="3" t="s">
        <v>14207</v>
      </c>
      <c r="H2196" s="3" t="s">
        <v>2409</v>
      </c>
      <c r="K2196" s="2">
        <v>20</v>
      </c>
      <c r="L2196" s="2">
        <v>1</v>
      </c>
      <c r="M2196" s="3" t="s">
        <v>194</v>
      </c>
      <c r="N2196" s="3" t="s">
        <v>2410</v>
      </c>
      <c r="O2196" s="3" t="s">
        <v>2411</v>
      </c>
      <c r="P2196" s="3" t="s">
        <v>2412</v>
      </c>
      <c r="Q2196" s="30" t="str">
        <f t="shared" si="34"/>
        <v>MAX : 307.3
TARGET : 304.8
MIN : 302.3</v>
      </c>
    </row>
    <row r="2197" spans="2:18" ht="41.4" x14ac:dyDescent="0.3">
      <c r="B2197">
        <v>0</v>
      </c>
      <c r="C2197" s="33">
        <v>8075</v>
      </c>
      <c r="D2197" s="2">
        <v>1173</v>
      </c>
      <c r="E2197" s="2" t="s">
        <v>9976</v>
      </c>
      <c r="F2197" s="3" t="s">
        <v>14206</v>
      </c>
      <c r="H2197" s="3" t="s">
        <v>2965</v>
      </c>
      <c r="K2197" s="2">
        <v>20</v>
      </c>
      <c r="L2197" s="2">
        <v>2</v>
      </c>
      <c r="M2197" s="3" t="s">
        <v>194</v>
      </c>
      <c r="N2197" s="3" t="s">
        <v>2530</v>
      </c>
      <c r="O2197" s="3" t="s">
        <v>1627</v>
      </c>
      <c r="P2197" s="3" t="s">
        <v>2967</v>
      </c>
      <c r="Q2197" s="30" t="str">
        <f t="shared" si="34"/>
        <v>MAX : 2.98
TARGET : 2.95
MIN : 2.92</v>
      </c>
    </row>
    <row r="2198" spans="2:18" ht="41.4" x14ac:dyDescent="0.3">
      <c r="B2198">
        <v>0</v>
      </c>
      <c r="C2198" s="33">
        <v>8075</v>
      </c>
      <c r="D2198" s="2">
        <v>1173</v>
      </c>
      <c r="E2198" s="2" t="s">
        <v>9976</v>
      </c>
      <c r="F2198" s="3" t="s">
        <v>14206</v>
      </c>
      <c r="H2198" s="3" t="s">
        <v>2965</v>
      </c>
      <c r="K2198" s="2">
        <v>20</v>
      </c>
      <c r="L2198" s="2">
        <v>3</v>
      </c>
      <c r="M2198" s="3" t="s">
        <v>2968</v>
      </c>
      <c r="N2198" s="3" t="s">
        <v>13</v>
      </c>
      <c r="O2198" s="3" t="s">
        <v>14</v>
      </c>
      <c r="Q2198" s="30" t="str">
        <f t="shared" si="34"/>
        <v>MAX : 
TARGET : Yes(Pass)
MIN : No(Fail)</v>
      </c>
    </row>
    <row r="2199" spans="2:18" ht="41.4" x14ac:dyDescent="0.3">
      <c r="B2199">
        <v>1</v>
      </c>
      <c r="C2199" s="33">
        <v>7549</v>
      </c>
      <c r="D2199" s="2">
        <v>1899</v>
      </c>
      <c r="E2199" s="2" t="s">
        <v>9355</v>
      </c>
      <c r="F2199" s="3" t="s">
        <v>14206</v>
      </c>
      <c r="H2199" s="3" t="s">
        <v>491</v>
      </c>
      <c r="K2199" s="2">
        <v>10</v>
      </c>
      <c r="L2199" s="2">
        <v>1</v>
      </c>
      <c r="M2199" s="3" t="s">
        <v>2408</v>
      </c>
      <c r="N2199" s="3" t="s">
        <v>13</v>
      </c>
      <c r="O2199" s="3" t="s">
        <v>14</v>
      </c>
      <c r="Q2199" s="30" t="str">
        <f t="shared" si="34"/>
        <v>MAX : 
TARGET : Yes(Pass)
MIN : No(Fail)</v>
      </c>
    </row>
    <row r="2200" spans="2:18" ht="41.4" x14ac:dyDescent="0.3">
      <c r="B2200">
        <v>0</v>
      </c>
      <c r="C2200" s="33">
        <v>7311</v>
      </c>
      <c r="D2200" s="2">
        <v>1874</v>
      </c>
      <c r="E2200" s="2" t="s">
        <v>9060</v>
      </c>
      <c r="F2200" s="3" t="s">
        <v>14207</v>
      </c>
      <c r="H2200" s="3" t="s">
        <v>1144</v>
      </c>
      <c r="K2200" s="2">
        <v>10</v>
      </c>
      <c r="L2200" s="2">
        <v>4</v>
      </c>
      <c r="M2200" s="3" t="s">
        <v>3447</v>
      </c>
      <c r="O2200" s="3" t="s">
        <v>38</v>
      </c>
      <c r="P2200" s="3" t="s">
        <v>39</v>
      </c>
      <c r="Q2200" s="30" t="str">
        <f t="shared" si="34"/>
        <v xml:space="preserve">MAX : Yes(Fail)
TARGET : No(Pass)
MIN : </v>
      </c>
    </row>
    <row r="2201" spans="2:18" ht="41.4" x14ac:dyDescent="0.3">
      <c r="B2201">
        <v>1</v>
      </c>
      <c r="C2201" s="33">
        <v>7549</v>
      </c>
      <c r="D2201" s="2">
        <v>1899</v>
      </c>
      <c r="E2201" s="2" t="s">
        <v>9355</v>
      </c>
      <c r="F2201" s="3" t="s">
        <v>14206</v>
      </c>
      <c r="H2201" s="3" t="s">
        <v>491</v>
      </c>
      <c r="K2201" s="2">
        <v>20</v>
      </c>
      <c r="L2201" s="2">
        <v>2</v>
      </c>
      <c r="M2201" s="3" t="s">
        <v>611</v>
      </c>
      <c r="N2201" s="3" t="s">
        <v>13</v>
      </c>
      <c r="O2201" s="3" t="s">
        <v>14</v>
      </c>
      <c r="Q2201" s="30" t="str">
        <f t="shared" si="34"/>
        <v>MAX : 
TARGET : Yes(Pass)
MIN : No(Fail)</v>
      </c>
    </row>
    <row r="2202" spans="2:18" ht="41.4" x14ac:dyDescent="0.3">
      <c r="B2202">
        <v>0</v>
      </c>
      <c r="C2202" s="33">
        <v>8094</v>
      </c>
      <c r="D2202" s="2">
        <v>1176</v>
      </c>
      <c r="E2202" s="2" t="s">
        <v>9996</v>
      </c>
      <c r="F2202" s="3" t="s">
        <v>14206</v>
      </c>
      <c r="H2202" s="3" t="s">
        <v>1130</v>
      </c>
      <c r="K2202" s="2">
        <v>20</v>
      </c>
      <c r="L2202" s="2">
        <v>5</v>
      </c>
      <c r="M2202" s="3" t="s">
        <v>2970</v>
      </c>
      <c r="N2202" s="3" t="s">
        <v>13</v>
      </c>
      <c r="O2202" s="3" t="s">
        <v>14</v>
      </c>
      <c r="Q2202" s="30" t="str">
        <f t="shared" si="34"/>
        <v>MAX : 
TARGET : Yes(Pass)
MIN : No(Fail)</v>
      </c>
      <c r="R2202" s="3" t="s">
        <v>443</v>
      </c>
    </row>
    <row r="2203" spans="2:18" ht="41.4" x14ac:dyDescent="0.3">
      <c r="B2203">
        <v>0</v>
      </c>
      <c r="C2203" s="33">
        <v>8094</v>
      </c>
      <c r="D2203" s="2">
        <v>1176</v>
      </c>
      <c r="E2203" s="2" t="s">
        <v>9996</v>
      </c>
      <c r="F2203" s="3" t="s">
        <v>14206</v>
      </c>
      <c r="H2203" s="3" t="s">
        <v>1130</v>
      </c>
      <c r="K2203" s="2">
        <v>20</v>
      </c>
      <c r="L2203" s="2">
        <v>6</v>
      </c>
      <c r="M2203" s="3" t="s">
        <v>2629</v>
      </c>
      <c r="N2203" s="3" t="s">
        <v>13</v>
      </c>
      <c r="O2203" s="3" t="s">
        <v>14</v>
      </c>
      <c r="Q2203" s="30" t="str">
        <f t="shared" si="34"/>
        <v>MAX : 
TARGET : Yes(Pass)
MIN : No(Fail)</v>
      </c>
      <c r="R2203" s="3" t="s">
        <v>443</v>
      </c>
    </row>
    <row r="2204" spans="2:18" ht="41.4" x14ac:dyDescent="0.3">
      <c r="B2204">
        <v>0</v>
      </c>
      <c r="C2204" s="33">
        <v>8094</v>
      </c>
      <c r="D2204" s="2">
        <v>1176</v>
      </c>
      <c r="E2204" s="2" t="s">
        <v>9996</v>
      </c>
      <c r="F2204" s="3" t="s">
        <v>14206</v>
      </c>
      <c r="H2204" s="3" t="s">
        <v>1130</v>
      </c>
      <c r="K2204" s="2">
        <v>20</v>
      </c>
      <c r="L2204" s="2">
        <v>7</v>
      </c>
      <c r="M2204" s="3" t="s">
        <v>1403</v>
      </c>
      <c r="N2204" s="3" t="s">
        <v>13</v>
      </c>
      <c r="O2204" s="3" t="s">
        <v>14</v>
      </c>
      <c r="Q2204" s="30" t="str">
        <f t="shared" si="34"/>
        <v>MAX : 
TARGET : Yes(Pass)
MIN : No(Fail)</v>
      </c>
      <c r="R2204" s="3" t="s">
        <v>443</v>
      </c>
    </row>
    <row r="2205" spans="2:18" ht="41.4" x14ac:dyDescent="0.3">
      <c r="B2205">
        <v>0</v>
      </c>
      <c r="C2205" s="33">
        <v>8094</v>
      </c>
      <c r="D2205" s="2">
        <v>1176</v>
      </c>
      <c r="E2205" s="2" t="s">
        <v>9996</v>
      </c>
      <c r="F2205" s="3" t="s">
        <v>14206</v>
      </c>
      <c r="H2205" s="3" t="s">
        <v>1130</v>
      </c>
      <c r="K2205" s="2">
        <v>20</v>
      </c>
      <c r="L2205" s="2">
        <v>3</v>
      </c>
      <c r="M2205" s="3" t="s">
        <v>2971</v>
      </c>
      <c r="N2205" s="3" t="s">
        <v>2972</v>
      </c>
      <c r="O2205" s="3" t="s">
        <v>871</v>
      </c>
      <c r="P2205" s="3" t="s">
        <v>2973</v>
      </c>
      <c r="Q2205" s="30" t="str">
        <f t="shared" si="34"/>
        <v>MAX : 0.364
TARGET : 0.344
MIN : 0.324</v>
      </c>
      <c r="R2205" s="3" t="s">
        <v>443</v>
      </c>
    </row>
    <row r="2206" spans="2:18" ht="41.4" x14ac:dyDescent="0.3">
      <c r="B2206">
        <v>0</v>
      </c>
      <c r="C2206" s="33">
        <v>8094</v>
      </c>
      <c r="D2206" s="2">
        <v>1176</v>
      </c>
      <c r="E2206" s="2" t="s">
        <v>9996</v>
      </c>
      <c r="F2206" s="3" t="s">
        <v>14206</v>
      </c>
      <c r="H2206" s="3" t="s">
        <v>1130</v>
      </c>
      <c r="K2206" s="2">
        <v>20</v>
      </c>
      <c r="L2206" s="2">
        <v>4</v>
      </c>
      <c r="M2206" s="3" t="s">
        <v>2974</v>
      </c>
      <c r="N2206" s="3" t="s">
        <v>900</v>
      </c>
      <c r="O2206" s="3" t="s">
        <v>28</v>
      </c>
      <c r="P2206" s="3" t="s">
        <v>901</v>
      </c>
      <c r="Q2206" s="30" t="str">
        <f t="shared" si="34"/>
        <v>MAX : 1.56
TARGET : 1.50
MIN : 1.44</v>
      </c>
      <c r="R2206" s="3" t="s">
        <v>443</v>
      </c>
    </row>
    <row r="2207" spans="2:18" ht="41.4" x14ac:dyDescent="0.3">
      <c r="B2207">
        <v>1</v>
      </c>
      <c r="C2207" s="33">
        <v>7553</v>
      </c>
      <c r="D2207" s="2">
        <v>1900</v>
      </c>
      <c r="E2207" s="2" t="s">
        <v>9361</v>
      </c>
      <c r="F2207" s="3" t="s">
        <v>14206</v>
      </c>
      <c r="H2207" s="3" t="s">
        <v>1052</v>
      </c>
      <c r="K2207" s="2">
        <v>10</v>
      </c>
      <c r="L2207" s="2">
        <v>2</v>
      </c>
      <c r="M2207" s="3" t="s">
        <v>2117</v>
      </c>
      <c r="N2207" s="3" t="s">
        <v>2202</v>
      </c>
      <c r="O2207" s="3" t="s">
        <v>1798</v>
      </c>
      <c r="P2207" s="3" t="s">
        <v>1342</v>
      </c>
      <c r="Q2207" s="30" t="str">
        <f t="shared" si="34"/>
        <v>MAX : 1.91
TARGET : 1.88
MIN : 1.85</v>
      </c>
    </row>
    <row r="2208" spans="2:18" ht="41.4" x14ac:dyDescent="0.3">
      <c r="B2208">
        <v>1</v>
      </c>
      <c r="C2208" s="33">
        <v>7553</v>
      </c>
      <c r="D2208" s="2">
        <v>1900</v>
      </c>
      <c r="E2208" s="2" t="s">
        <v>9361</v>
      </c>
      <c r="F2208" s="3" t="s">
        <v>14206</v>
      </c>
      <c r="H2208" s="3" t="s">
        <v>1052</v>
      </c>
      <c r="K2208" s="2">
        <v>10</v>
      </c>
      <c r="L2208" s="2">
        <v>1</v>
      </c>
      <c r="M2208" s="3" t="s">
        <v>2088</v>
      </c>
      <c r="N2208" s="3" t="s">
        <v>27</v>
      </c>
      <c r="O2208" s="3" t="s">
        <v>28</v>
      </c>
      <c r="P2208" s="3" t="s">
        <v>29</v>
      </c>
      <c r="Q2208" s="30" t="str">
        <f t="shared" si="34"/>
        <v>MAX : 1.53
TARGET : 1.50
MIN : 1.47</v>
      </c>
    </row>
    <row r="2209" spans="2:17" ht="41.4" x14ac:dyDescent="0.3">
      <c r="B2209">
        <v>1</v>
      </c>
      <c r="C2209" s="33">
        <v>7566</v>
      </c>
      <c r="D2209" s="2">
        <v>1123</v>
      </c>
      <c r="E2209" s="2" t="s">
        <v>9376</v>
      </c>
      <c r="F2209" s="3" t="s">
        <v>2064</v>
      </c>
      <c r="H2209" s="3" t="s">
        <v>2420</v>
      </c>
      <c r="K2209" s="2">
        <v>20</v>
      </c>
      <c r="L2209" s="2">
        <v>2</v>
      </c>
      <c r="M2209" s="3" t="s">
        <v>2421</v>
      </c>
      <c r="N2209" s="3" t="s">
        <v>13</v>
      </c>
      <c r="O2209" s="3" t="s">
        <v>14</v>
      </c>
      <c r="Q2209" s="30" t="str">
        <f t="shared" si="34"/>
        <v>MAX : 
TARGET : Yes(Pass)
MIN : No(Fail)</v>
      </c>
    </row>
    <row r="2210" spans="2:17" ht="41.4" x14ac:dyDescent="0.3">
      <c r="B2210">
        <v>1</v>
      </c>
      <c r="C2210" s="33">
        <v>7566</v>
      </c>
      <c r="D2210" s="2">
        <v>1123</v>
      </c>
      <c r="E2210" s="2" t="s">
        <v>9376</v>
      </c>
      <c r="F2210" s="3" t="s">
        <v>2064</v>
      </c>
      <c r="H2210" s="3" t="s">
        <v>2420</v>
      </c>
      <c r="K2210" s="2">
        <v>20</v>
      </c>
      <c r="L2210" s="2">
        <v>1</v>
      </c>
      <c r="M2210" s="3" t="s">
        <v>2468</v>
      </c>
      <c r="N2210" s="3" t="s">
        <v>13</v>
      </c>
      <c r="O2210" s="3" t="s">
        <v>14</v>
      </c>
      <c r="Q2210" s="30" t="str">
        <f t="shared" si="34"/>
        <v>MAX : 
TARGET : Yes(Pass)
MIN : No(Fail)</v>
      </c>
    </row>
    <row r="2211" spans="2:17" ht="41.4" x14ac:dyDescent="0.3">
      <c r="B2211">
        <v>0</v>
      </c>
      <c r="C2211" s="33">
        <v>8130</v>
      </c>
      <c r="D2211" s="2">
        <v>1179</v>
      </c>
      <c r="E2211" s="2" t="s">
        <v>10015</v>
      </c>
      <c r="F2211" s="3" t="s">
        <v>14229</v>
      </c>
      <c r="H2211" s="3" t="s">
        <v>2980</v>
      </c>
      <c r="K2211" s="2">
        <v>20</v>
      </c>
      <c r="L2211" s="2">
        <v>4</v>
      </c>
      <c r="M2211" s="3" t="s">
        <v>1605</v>
      </c>
      <c r="N2211" s="3" t="s">
        <v>13</v>
      </c>
      <c r="O2211" s="3" t="s">
        <v>14</v>
      </c>
      <c r="Q2211" s="30" t="str">
        <f t="shared" si="34"/>
        <v>MAX : 
TARGET : Yes(Pass)
MIN : No(Fail)</v>
      </c>
    </row>
    <row r="2212" spans="2:17" ht="41.4" x14ac:dyDescent="0.3">
      <c r="B2212">
        <v>0</v>
      </c>
      <c r="C2212" s="33">
        <v>8130</v>
      </c>
      <c r="D2212" s="2">
        <v>1179</v>
      </c>
      <c r="E2212" s="2" t="s">
        <v>10015</v>
      </c>
      <c r="F2212" s="3" t="s">
        <v>14229</v>
      </c>
      <c r="H2212" s="3" t="s">
        <v>2980</v>
      </c>
      <c r="K2212" s="2">
        <v>20</v>
      </c>
      <c r="L2212" s="2">
        <v>5</v>
      </c>
      <c r="M2212" s="3" t="s">
        <v>78</v>
      </c>
      <c r="N2212" s="3" t="s">
        <v>13</v>
      </c>
      <c r="O2212" s="3" t="s">
        <v>14</v>
      </c>
      <c r="Q2212" s="30" t="str">
        <f t="shared" si="34"/>
        <v>MAX : 
TARGET : Yes(Pass)
MIN : No(Fail)</v>
      </c>
    </row>
    <row r="2213" spans="2:17" ht="41.4" x14ac:dyDescent="0.3">
      <c r="B2213">
        <v>1</v>
      </c>
      <c r="C2213" s="33">
        <v>7567</v>
      </c>
      <c r="D2213" s="2">
        <v>1124</v>
      </c>
      <c r="E2213" s="2" t="s">
        <v>9383</v>
      </c>
      <c r="F2213" s="3" t="s">
        <v>2064</v>
      </c>
      <c r="H2213" s="3" t="s">
        <v>1882</v>
      </c>
      <c r="K2213" s="2">
        <v>20</v>
      </c>
      <c r="L2213" s="2">
        <v>2</v>
      </c>
      <c r="M2213" s="3" t="s">
        <v>2421</v>
      </c>
      <c r="N2213" s="3" t="s">
        <v>13</v>
      </c>
      <c r="O2213" s="3" t="s">
        <v>14</v>
      </c>
      <c r="Q2213" s="30" t="str">
        <f t="shared" si="34"/>
        <v>MAX : 
TARGET : Yes(Pass)
MIN : No(Fail)</v>
      </c>
    </row>
    <row r="2214" spans="2:17" ht="41.4" x14ac:dyDescent="0.3">
      <c r="B2214">
        <v>1</v>
      </c>
      <c r="C2214" s="33">
        <v>7567</v>
      </c>
      <c r="D2214" s="2">
        <v>1124</v>
      </c>
      <c r="E2214" s="2" t="s">
        <v>9383</v>
      </c>
      <c r="F2214" s="3" t="s">
        <v>2064</v>
      </c>
      <c r="H2214" s="3" t="s">
        <v>1882</v>
      </c>
      <c r="K2214" s="2">
        <v>20</v>
      </c>
      <c r="L2214" s="2">
        <v>1</v>
      </c>
      <c r="M2214" s="3" t="s">
        <v>2422</v>
      </c>
      <c r="N2214" s="3" t="s">
        <v>13</v>
      </c>
      <c r="O2214" s="3" t="s">
        <v>14</v>
      </c>
      <c r="Q2214" s="30" t="str">
        <f t="shared" si="34"/>
        <v>MAX : 
TARGET : Yes(Pass)
MIN : No(Fail)</v>
      </c>
    </row>
    <row r="2215" spans="2:17" ht="41.4" x14ac:dyDescent="0.3">
      <c r="B2215">
        <v>0</v>
      </c>
      <c r="C2215" s="33">
        <v>8128</v>
      </c>
      <c r="D2215" s="2">
        <v>1177</v>
      </c>
      <c r="E2215" s="2" t="s">
        <v>10002</v>
      </c>
      <c r="F2215" s="3" t="s">
        <v>14229</v>
      </c>
      <c r="H2215" s="3" t="s">
        <v>2980</v>
      </c>
      <c r="K2215" s="2">
        <v>10</v>
      </c>
      <c r="L2215" s="2">
        <v>3</v>
      </c>
      <c r="M2215" s="3" t="s">
        <v>1605</v>
      </c>
      <c r="N2215" s="3" t="s">
        <v>13</v>
      </c>
      <c r="O2215" s="3" t="s">
        <v>14</v>
      </c>
      <c r="Q2215" s="30" t="str">
        <f t="shared" si="34"/>
        <v>MAX : 
TARGET : Yes(Pass)
MIN : No(Fail)</v>
      </c>
    </row>
    <row r="2216" spans="2:17" ht="41.4" x14ac:dyDescent="0.3">
      <c r="B2216">
        <v>0</v>
      </c>
      <c r="C2216" s="33">
        <v>8128</v>
      </c>
      <c r="D2216" s="2">
        <v>1177</v>
      </c>
      <c r="E2216" s="2" t="s">
        <v>10002</v>
      </c>
      <c r="F2216" s="3" t="s">
        <v>14229</v>
      </c>
      <c r="H2216" s="3" t="s">
        <v>2980</v>
      </c>
      <c r="K2216" s="2">
        <v>10</v>
      </c>
      <c r="L2216" s="2">
        <v>4</v>
      </c>
      <c r="M2216" s="3" t="s">
        <v>78</v>
      </c>
      <c r="N2216" s="3" t="s">
        <v>13</v>
      </c>
      <c r="O2216" s="3" t="s">
        <v>14</v>
      </c>
      <c r="Q2216" s="30" t="str">
        <f t="shared" si="34"/>
        <v>MAX : 
TARGET : Yes(Pass)
MIN : No(Fail)</v>
      </c>
    </row>
    <row r="2217" spans="2:17" ht="41.4" x14ac:dyDescent="0.3">
      <c r="B2217">
        <v>1</v>
      </c>
      <c r="C2217" s="33">
        <v>7578</v>
      </c>
      <c r="D2217" s="2">
        <v>1125</v>
      </c>
      <c r="E2217" s="2" t="s">
        <v>9397</v>
      </c>
      <c r="F2217" s="3" t="s">
        <v>2064</v>
      </c>
      <c r="H2217" s="3" t="s">
        <v>1882</v>
      </c>
      <c r="K2217" s="2">
        <v>20</v>
      </c>
      <c r="L2217" s="2">
        <v>2</v>
      </c>
      <c r="M2217" s="3" t="s">
        <v>2423</v>
      </c>
      <c r="N2217" s="3" t="s">
        <v>13</v>
      </c>
      <c r="O2217" s="3" t="s">
        <v>14</v>
      </c>
      <c r="Q2217" s="30" t="str">
        <f t="shared" si="34"/>
        <v>MAX : 
TARGET : Yes(Pass)
MIN : No(Fail)</v>
      </c>
    </row>
    <row r="2218" spans="2:17" ht="41.4" x14ac:dyDescent="0.3">
      <c r="B2218">
        <v>1</v>
      </c>
      <c r="C2218" s="33">
        <v>7578</v>
      </c>
      <c r="D2218" s="2">
        <v>1125</v>
      </c>
      <c r="E2218" s="2" t="s">
        <v>9397</v>
      </c>
      <c r="F2218" s="3" t="s">
        <v>2064</v>
      </c>
      <c r="H2218" s="3" t="s">
        <v>1882</v>
      </c>
      <c r="K2218" s="2">
        <v>20</v>
      </c>
      <c r="L2218" s="2">
        <v>1</v>
      </c>
      <c r="M2218" s="3" t="s">
        <v>2422</v>
      </c>
      <c r="N2218" s="3" t="s">
        <v>13</v>
      </c>
      <c r="O2218" s="3" t="s">
        <v>14</v>
      </c>
      <c r="Q2218" s="30" t="str">
        <f t="shared" si="34"/>
        <v>MAX : 
TARGET : Yes(Pass)
MIN : No(Fail)</v>
      </c>
    </row>
    <row r="2219" spans="2:17" ht="41.4" x14ac:dyDescent="0.3">
      <c r="B2219">
        <v>0</v>
      </c>
      <c r="C2219" s="33">
        <v>8129</v>
      </c>
      <c r="D2219" s="2">
        <v>1178</v>
      </c>
      <c r="E2219" s="2" t="s">
        <v>10009</v>
      </c>
      <c r="F2219" s="3" t="s">
        <v>14229</v>
      </c>
      <c r="H2219" s="3" t="s">
        <v>2980</v>
      </c>
      <c r="K2219" s="2">
        <v>10</v>
      </c>
      <c r="L2219" s="2">
        <v>3</v>
      </c>
      <c r="M2219" s="3" t="s">
        <v>1605</v>
      </c>
      <c r="N2219" s="3" t="s">
        <v>13</v>
      </c>
      <c r="O2219" s="3" t="s">
        <v>14</v>
      </c>
      <c r="Q2219" s="30" t="str">
        <f t="shared" si="34"/>
        <v>MAX : 
TARGET : Yes(Pass)
MIN : No(Fail)</v>
      </c>
    </row>
    <row r="2220" spans="2:17" ht="41.4" x14ac:dyDescent="0.3">
      <c r="B2220">
        <v>0</v>
      </c>
      <c r="C2220" s="33">
        <v>8129</v>
      </c>
      <c r="D2220" s="2">
        <v>1178</v>
      </c>
      <c r="E2220" s="2" t="s">
        <v>10009</v>
      </c>
      <c r="F2220" s="3" t="s">
        <v>14229</v>
      </c>
      <c r="H2220" s="3" t="s">
        <v>2980</v>
      </c>
      <c r="K2220" s="2">
        <v>10</v>
      </c>
      <c r="L2220" s="2">
        <v>4</v>
      </c>
      <c r="M2220" s="3" t="s">
        <v>78</v>
      </c>
      <c r="N2220" s="3" t="s">
        <v>13</v>
      </c>
      <c r="O2220" s="3" t="s">
        <v>14</v>
      </c>
      <c r="Q2220" s="30" t="str">
        <f t="shared" si="34"/>
        <v>MAX : 
TARGET : Yes(Pass)
MIN : No(Fail)</v>
      </c>
    </row>
    <row r="2221" spans="2:17" ht="41.4" x14ac:dyDescent="0.3">
      <c r="B2221">
        <v>1</v>
      </c>
      <c r="C2221" s="33">
        <v>7579</v>
      </c>
      <c r="D2221" s="2">
        <v>1126</v>
      </c>
      <c r="E2221" s="2" t="s">
        <v>9403</v>
      </c>
      <c r="F2221" s="3" t="s">
        <v>2064</v>
      </c>
      <c r="H2221" s="3" t="s">
        <v>713</v>
      </c>
      <c r="K2221" s="2">
        <v>20</v>
      </c>
      <c r="L2221" s="2">
        <v>2</v>
      </c>
      <c r="M2221" s="3" t="s">
        <v>78</v>
      </c>
      <c r="N2221" s="3" t="s">
        <v>13</v>
      </c>
      <c r="O2221" s="3" t="s">
        <v>14</v>
      </c>
      <c r="Q2221" s="30" t="str">
        <f t="shared" si="34"/>
        <v>MAX : 
TARGET : Yes(Pass)
MIN : No(Fail)</v>
      </c>
    </row>
    <row r="2222" spans="2:17" ht="41.4" x14ac:dyDescent="0.3">
      <c r="B2222">
        <v>1</v>
      </c>
      <c r="C2222" s="33">
        <v>7579</v>
      </c>
      <c r="D2222" s="2">
        <v>1126</v>
      </c>
      <c r="E2222" s="2" t="s">
        <v>9403</v>
      </c>
      <c r="F2222" s="3" t="s">
        <v>2064</v>
      </c>
      <c r="H2222" s="3" t="s">
        <v>713</v>
      </c>
      <c r="K2222" s="2">
        <v>20</v>
      </c>
      <c r="L2222" s="2">
        <v>1</v>
      </c>
      <c r="M2222" s="3" t="s">
        <v>2422</v>
      </c>
      <c r="N2222" s="3" t="s">
        <v>13</v>
      </c>
      <c r="O2222" s="3" t="s">
        <v>14</v>
      </c>
      <c r="Q2222" s="30" t="str">
        <f t="shared" si="34"/>
        <v>MAX : 
TARGET : Yes(Pass)
MIN : No(Fail)</v>
      </c>
    </row>
    <row r="2223" spans="2:17" ht="41.4" x14ac:dyDescent="0.3">
      <c r="B2223">
        <v>0</v>
      </c>
      <c r="C2223" s="33">
        <v>8133</v>
      </c>
      <c r="D2223" s="2">
        <v>1180</v>
      </c>
      <c r="E2223" s="2" t="s">
        <v>10022</v>
      </c>
      <c r="F2223" s="3" t="s">
        <v>14206</v>
      </c>
      <c r="H2223" s="3" t="s">
        <v>2655</v>
      </c>
      <c r="K2223" s="2">
        <v>10</v>
      </c>
      <c r="L2223" s="2">
        <v>3</v>
      </c>
      <c r="M2223" s="3" t="s">
        <v>2987</v>
      </c>
      <c r="N2223" s="3" t="s">
        <v>13</v>
      </c>
      <c r="O2223" s="3" t="s">
        <v>14</v>
      </c>
      <c r="Q2223" s="30" t="str">
        <f t="shared" si="34"/>
        <v>MAX : 
TARGET : Yes(Pass)
MIN : No(Fail)</v>
      </c>
    </row>
    <row r="2224" spans="2:17" ht="41.4" x14ac:dyDescent="0.3">
      <c r="B2224">
        <v>1</v>
      </c>
      <c r="C2224" s="33">
        <v>7580</v>
      </c>
      <c r="D2224" s="2">
        <v>1127</v>
      </c>
      <c r="E2224" s="2" t="s">
        <v>9410</v>
      </c>
      <c r="F2224" s="3" t="s">
        <v>2064</v>
      </c>
      <c r="H2224" s="3" t="s">
        <v>504</v>
      </c>
      <c r="K2224" s="2">
        <v>20</v>
      </c>
      <c r="L2224" s="2">
        <v>1</v>
      </c>
      <c r="M2224" s="3" t="s">
        <v>2422</v>
      </c>
      <c r="N2224" s="3" t="s">
        <v>13</v>
      </c>
      <c r="O2224" s="3" t="s">
        <v>14</v>
      </c>
      <c r="Q2224" s="30" t="str">
        <f t="shared" si="34"/>
        <v>MAX : 
TARGET : Yes(Pass)
MIN : No(Fail)</v>
      </c>
    </row>
    <row r="2225" spans="2:17" ht="41.4" x14ac:dyDescent="0.3">
      <c r="B2225">
        <v>1</v>
      </c>
      <c r="C2225" s="33">
        <v>7580</v>
      </c>
      <c r="D2225" s="2">
        <v>1127</v>
      </c>
      <c r="E2225" s="2" t="s">
        <v>9410</v>
      </c>
      <c r="F2225" s="3" t="s">
        <v>2064</v>
      </c>
      <c r="H2225" s="3" t="s">
        <v>504</v>
      </c>
      <c r="K2225" s="2">
        <v>20</v>
      </c>
      <c r="L2225" s="2">
        <v>2</v>
      </c>
      <c r="M2225" s="3" t="s">
        <v>78</v>
      </c>
      <c r="N2225" s="3" t="s">
        <v>13</v>
      </c>
      <c r="O2225" s="3" t="s">
        <v>14</v>
      </c>
      <c r="Q2225" s="30" t="str">
        <f t="shared" si="34"/>
        <v>MAX : 
TARGET : Yes(Pass)
MIN : No(Fail)</v>
      </c>
    </row>
    <row r="2226" spans="2:17" ht="41.4" x14ac:dyDescent="0.3">
      <c r="B2226">
        <v>0</v>
      </c>
      <c r="C2226" s="33">
        <v>8141</v>
      </c>
      <c r="D2226" s="2">
        <v>1941</v>
      </c>
      <c r="E2226" s="2" t="s">
        <v>10028</v>
      </c>
      <c r="F2226" s="3" t="s">
        <v>14207</v>
      </c>
      <c r="H2226" s="3" t="s">
        <v>11</v>
      </c>
      <c r="K2226" s="2">
        <v>10</v>
      </c>
      <c r="L2226" s="2">
        <v>3</v>
      </c>
      <c r="M2226" s="3" t="s">
        <v>2269</v>
      </c>
      <c r="N2226" s="3" t="s">
        <v>13</v>
      </c>
      <c r="O2226" s="3" t="s">
        <v>14</v>
      </c>
      <c r="Q2226" s="30" t="str">
        <f t="shared" si="34"/>
        <v>MAX : 
TARGET : Yes(Pass)
MIN : No(Fail)</v>
      </c>
    </row>
    <row r="2227" spans="2:17" ht="41.4" x14ac:dyDescent="0.3">
      <c r="B2227">
        <v>0</v>
      </c>
      <c r="C2227" s="33">
        <v>8141</v>
      </c>
      <c r="D2227" s="2">
        <v>1941</v>
      </c>
      <c r="E2227" s="2" t="s">
        <v>10028</v>
      </c>
      <c r="F2227" s="3" t="s">
        <v>14207</v>
      </c>
      <c r="H2227" s="3" t="s">
        <v>11</v>
      </c>
      <c r="K2227" s="2">
        <v>10</v>
      </c>
      <c r="L2227" s="2">
        <v>4</v>
      </c>
      <c r="M2227" s="3" t="s">
        <v>2989</v>
      </c>
      <c r="N2227" s="3" t="s">
        <v>13</v>
      </c>
      <c r="O2227" s="3" t="s">
        <v>14</v>
      </c>
      <c r="Q2227" s="30" t="str">
        <f t="shared" si="34"/>
        <v>MAX : 
TARGET : Yes(Pass)
MIN : No(Fail)</v>
      </c>
    </row>
    <row r="2228" spans="2:17" ht="41.4" x14ac:dyDescent="0.3">
      <c r="B2228">
        <v>1</v>
      </c>
      <c r="C2228" s="33">
        <v>7581</v>
      </c>
      <c r="D2228" s="2">
        <v>1128</v>
      </c>
      <c r="E2228" s="2" t="s">
        <v>9417</v>
      </c>
      <c r="F2228" s="3" t="s">
        <v>2064</v>
      </c>
      <c r="H2228" s="3" t="s">
        <v>1882</v>
      </c>
      <c r="K2228" s="2">
        <v>20</v>
      </c>
      <c r="L2228" s="2">
        <v>2</v>
      </c>
      <c r="M2228" s="3" t="s">
        <v>2423</v>
      </c>
      <c r="N2228" s="3" t="s">
        <v>13</v>
      </c>
      <c r="O2228" s="3" t="s">
        <v>14</v>
      </c>
      <c r="Q2228" s="30" t="str">
        <f t="shared" si="34"/>
        <v>MAX : 
TARGET : Yes(Pass)
MIN : No(Fail)</v>
      </c>
    </row>
    <row r="2229" spans="2:17" ht="41.4" x14ac:dyDescent="0.3">
      <c r="B2229">
        <v>1</v>
      </c>
      <c r="C2229" s="33">
        <v>7581</v>
      </c>
      <c r="D2229" s="2">
        <v>1128</v>
      </c>
      <c r="E2229" s="2" t="s">
        <v>9417</v>
      </c>
      <c r="F2229" s="3" t="s">
        <v>2064</v>
      </c>
      <c r="H2229" s="3" t="s">
        <v>1882</v>
      </c>
      <c r="K2229" s="2">
        <v>20</v>
      </c>
      <c r="L2229" s="2">
        <v>1</v>
      </c>
      <c r="M2229" s="3" t="s">
        <v>2422</v>
      </c>
      <c r="N2229" s="3" t="s">
        <v>13</v>
      </c>
      <c r="O2229" s="3" t="s">
        <v>14</v>
      </c>
      <c r="Q2229" s="30" t="str">
        <f t="shared" si="34"/>
        <v>MAX : 
TARGET : Yes(Pass)
MIN : No(Fail)</v>
      </c>
    </row>
    <row r="2230" spans="2:17" ht="41.4" x14ac:dyDescent="0.3">
      <c r="B2230">
        <v>0</v>
      </c>
      <c r="C2230" s="33">
        <v>8142</v>
      </c>
      <c r="D2230" s="2">
        <v>1181</v>
      </c>
      <c r="E2230" s="2" t="s">
        <v>10036</v>
      </c>
      <c r="F2230" s="3" t="s">
        <v>14207</v>
      </c>
      <c r="H2230" s="3" t="s">
        <v>504</v>
      </c>
      <c r="K2230" s="2">
        <v>10</v>
      </c>
      <c r="L2230" s="2">
        <v>4</v>
      </c>
      <c r="M2230" s="3" t="s">
        <v>1605</v>
      </c>
      <c r="N2230" s="3" t="s">
        <v>13</v>
      </c>
      <c r="O2230" s="3" t="s">
        <v>14</v>
      </c>
      <c r="Q2230" s="30" t="str">
        <f t="shared" si="34"/>
        <v>MAX : 
TARGET : Yes(Pass)
MIN : No(Fail)</v>
      </c>
    </row>
    <row r="2231" spans="2:17" ht="41.4" x14ac:dyDescent="0.3">
      <c r="B2231">
        <v>0</v>
      </c>
      <c r="C2231" s="33">
        <v>8142</v>
      </c>
      <c r="D2231" s="2">
        <v>1181</v>
      </c>
      <c r="E2231" s="2" t="s">
        <v>10036</v>
      </c>
      <c r="F2231" s="3" t="s">
        <v>14207</v>
      </c>
      <c r="H2231" s="3" t="s">
        <v>504</v>
      </c>
      <c r="K2231" s="2">
        <v>10</v>
      </c>
      <c r="L2231" s="2">
        <v>5</v>
      </c>
      <c r="M2231" s="3" t="s">
        <v>78</v>
      </c>
      <c r="N2231" s="3" t="s">
        <v>13</v>
      </c>
      <c r="O2231" s="3" t="s">
        <v>14</v>
      </c>
      <c r="Q2231" s="30" t="str">
        <f t="shared" si="34"/>
        <v>MAX : 
TARGET : Yes(Pass)
MIN : No(Fail)</v>
      </c>
    </row>
    <row r="2232" spans="2:17" ht="41.4" x14ac:dyDescent="0.3">
      <c r="B2232">
        <v>1</v>
      </c>
      <c r="C2232" s="33">
        <v>7590</v>
      </c>
      <c r="D2232" s="2">
        <v>1129</v>
      </c>
      <c r="E2232" s="2" t="s">
        <v>9423</v>
      </c>
      <c r="F2232" s="3" t="s">
        <v>14206</v>
      </c>
      <c r="H2232" s="3" t="s">
        <v>2425</v>
      </c>
      <c r="K2232" s="2">
        <v>10</v>
      </c>
      <c r="L2232" s="2">
        <v>2</v>
      </c>
      <c r="M2232" s="3" t="s">
        <v>194</v>
      </c>
      <c r="N2232" s="3" t="s">
        <v>979</v>
      </c>
      <c r="O2232" s="3" t="s">
        <v>308</v>
      </c>
      <c r="P2232" s="3" t="s">
        <v>309</v>
      </c>
      <c r="Q2232" s="30" t="str">
        <f t="shared" si="34"/>
        <v>MAX : 0.50
TARGET : 0.47
MIN : 0.44</v>
      </c>
    </row>
    <row r="2233" spans="2:17" ht="41.4" x14ac:dyDescent="0.3">
      <c r="B2233">
        <v>1</v>
      </c>
      <c r="C2233" s="33">
        <v>7590</v>
      </c>
      <c r="D2233" s="2">
        <v>1129</v>
      </c>
      <c r="E2233" s="2" t="s">
        <v>9423</v>
      </c>
      <c r="F2233" s="3" t="s">
        <v>14206</v>
      </c>
      <c r="H2233" s="3" t="s">
        <v>2425</v>
      </c>
      <c r="K2233" s="2">
        <v>10</v>
      </c>
      <c r="L2233" s="2">
        <v>1</v>
      </c>
      <c r="M2233" s="3" t="s">
        <v>198</v>
      </c>
      <c r="N2233" s="3" t="s">
        <v>2085</v>
      </c>
      <c r="O2233" s="3" t="s">
        <v>2426</v>
      </c>
      <c r="P2233" s="3" t="s">
        <v>2097</v>
      </c>
      <c r="Q2233" s="30" t="str">
        <f t="shared" si="34"/>
        <v>MAX : 2.38
TARGET : 2.35
MIN : 2.32</v>
      </c>
    </row>
    <row r="2234" spans="2:17" ht="41.4" x14ac:dyDescent="0.3">
      <c r="B2234">
        <v>0</v>
      </c>
      <c r="C2234" s="33">
        <v>7903</v>
      </c>
      <c r="D2234" s="2">
        <v>1163</v>
      </c>
      <c r="E2234" s="2" t="s">
        <v>9828</v>
      </c>
      <c r="F2234" s="29" t="s">
        <v>14227</v>
      </c>
      <c r="G2234" s="3" t="s">
        <v>2843</v>
      </c>
      <c r="H2234" s="3" t="s">
        <v>2844</v>
      </c>
      <c r="K2234" s="2">
        <v>40</v>
      </c>
      <c r="L2234" s="2">
        <v>4</v>
      </c>
      <c r="M2234" s="3" t="s">
        <v>2994</v>
      </c>
      <c r="N2234" s="3" t="s">
        <v>1619</v>
      </c>
      <c r="O2234" s="3" t="s">
        <v>1620</v>
      </c>
      <c r="Q2234" s="30" t="str">
        <f t="shared" si="34"/>
        <v>MAX : 
TARGET : Yes (pass)
MIN : No (fail)</v>
      </c>
    </row>
    <row r="2235" spans="2:17" ht="41.4" x14ac:dyDescent="0.3">
      <c r="B2235">
        <v>1</v>
      </c>
      <c r="C2235" s="33">
        <v>7592</v>
      </c>
      <c r="D2235" s="2">
        <v>1903</v>
      </c>
      <c r="E2235" s="2" t="s">
        <v>9429</v>
      </c>
      <c r="F2235" s="3" t="s">
        <v>14206</v>
      </c>
      <c r="H2235" s="3" t="s">
        <v>50</v>
      </c>
      <c r="K2235" s="2">
        <v>20</v>
      </c>
      <c r="L2235" s="2">
        <v>2</v>
      </c>
      <c r="M2235" s="3" t="s">
        <v>2132</v>
      </c>
      <c r="N2235" s="3" t="s">
        <v>13</v>
      </c>
      <c r="O2235" s="3" t="s">
        <v>14</v>
      </c>
      <c r="Q2235" s="30" t="str">
        <f t="shared" si="34"/>
        <v>MAX : 
TARGET : Yes(Pass)
MIN : No(Fail)</v>
      </c>
    </row>
    <row r="2236" spans="2:17" ht="41.4" x14ac:dyDescent="0.3">
      <c r="B2236">
        <v>1</v>
      </c>
      <c r="C2236" s="33">
        <v>7592</v>
      </c>
      <c r="D2236" s="2">
        <v>1903</v>
      </c>
      <c r="E2236" s="2" t="s">
        <v>9429</v>
      </c>
      <c r="F2236" s="3" t="s">
        <v>14206</v>
      </c>
      <c r="H2236" s="3" t="s">
        <v>50</v>
      </c>
      <c r="K2236" s="2">
        <v>20</v>
      </c>
      <c r="L2236" s="2">
        <v>1</v>
      </c>
      <c r="M2236" s="3" t="s">
        <v>99</v>
      </c>
      <c r="N2236" s="3" t="s">
        <v>485</v>
      </c>
      <c r="O2236" s="3" t="s">
        <v>272</v>
      </c>
      <c r="P2236" s="3" t="s">
        <v>507</v>
      </c>
      <c r="Q2236" s="30" t="str">
        <f t="shared" si="34"/>
        <v>MAX : 1.06
TARGET : 1.00
MIN : 0.94</v>
      </c>
    </row>
    <row r="2237" spans="2:17" ht="41.4" x14ac:dyDescent="0.3">
      <c r="B2237">
        <v>0</v>
      </c>
      <c r="C2237" s="33">
        <v>8090</v>
      </c>
      <c r="D2237" s="2">
        <v>1174</v>
      </c>
      <c r="E2237" s="2" t="s">
        <v>9982</v>
      </c>
      <c r="F2237" s="3" t="s">
        <v>14206</v>
      </c>
      <c r="H2237" s="3" t="s">
        <v>648</v>
      </c>
      <c r="K2237" s="2">
        <v>20</v>
      </c>
      <c r="L2237" s="2">
        <v>8</v>
      </c>
      <c r="M2237" s="3" t="s">
        <v>2998</v>
      </c>
      <c r="N2237" s="3" t="s">
        <v>24</v>
      </c>
      <c r="O2237" s="3" t="s">
        <v>25</v>
      </c>
      <c r="Q2237" s="30" t="str">
        <f t="shared" si="34"/>
        <v>MAX : 
TARGET : Yes (Pass)
MIN : No (Fail)</v>
      </c>
    </row>
    <row r="2238" spans="2:17" ht="41.4" x14ac:dyDescent="0.3">
      <c r="B2238">
        <v>1</v>
      </c>
      <c r="C2238" s="33">
        <v>7596</v>
      </c>
      <c r="D2238" s="2">
        <v>1130</v>
      </c>
      <c r="E2238" s="2" t="s">
        <v>9435</v>
      </c>
      <c r="F2238" s="3" t="s">
        <v>14206</v>
      </c>
      <c r="H2238" s="3" t="s">
        <v>2427</v>
      </c>
      <c r="K2238" s="2">
        <v>10</v>
      </c>
      <c r="L2238" s="2">
        <v>2</v>
      </c>
      <c r="M2238" s="3" t="s">
        <v>198</v>
      </c>
      <c r="N2238" s="3" t="s">
        <v>2428</v>
      </c>
      <c r="O2238" s="3" t="s">
        <v>2429</v>
      </c>
      <c r="P2238" s="3" t="s">
        <v>2430</v>
      </c>
      <c r="Q2238" s="30" t="str">
        <f t="shared" si="34"/>
        <v>MAX : 5.82
TARGET : 5.79
MIN : 5.76</v>
      </c>
    </row>
    <row r="2239" spans="2:17" ht="41.4" x14ac:dyDescent="0.3">
      <c r="B2239">
        <v>1</v>
      </c>
      <c r="C2239" s="33">
        <v>7596</v>
      </c>
      <c r="D2239" s="2">
        <v>1130</v>
      </c>
      <c r="E2239" s="2" t="s">
        <v>9435</v>
      </c>
      <c r="F2239" s="3" t="s">
        <v>14206</v>
      </c>
      <c r="H2239" s="3" t="s">
        <v>2427</v>
      </c>
      <c r="K2239" s="2">
        <v>10</v>
      </c>
      <c r="L2239" s="2">
        <v>1</v>
      </c>
      <c r="M2239" s="3" t="s">
        <v>194</v>
      </c>
      <c r="N2239" s="3" t="s">
        <v>249</v>
      </c>
      <c r="O2239" s="3" t="s">
        <v>250</v>
      </c>
      <c r="P2239" s="3" t="s">
        <v>251</v>
      </c>
      <c r="Q2239" s="30" t="str">
        <f t="shared" si="34"/>
        <v>MAX : 6.03
TARGET : 6.00
MIN : 5.97</v>
      </c>
    </row>
    <row r="2240" spans="2:17" ht="41.4" x14ac:dyDescent="0.3">
      <c r="B2240">
        <v>0</v>
      </c>
      <c r="C2240" s="33">
        <v>8150</v>
      </c>
      <c r="D2240" s="2">
        <v>1182</v>
      </c>
      <c r="E2240" s="2" t="s">
        <v>10044</v>
      </c>
      <c r="F2240" s="3" t="s">
        <v>14207</v>
      </c>
      <c r="H2240" s="3" t="s">
        <v>108</v>
      </c>
      <c r="K2240" s="2">
        <v>10</v>
      </c>
      <c r="L2240" s="2">
        <v>3</v>
      </c>
      <c r="M2240" s="3" t="s">
        <v>3003</v>
      </c>
      <c r="N2240" s="3" t="s">
        <v>2545</v>
      </c>
      <c r="O2240" s="3" t="s">
        <v>778</v>
      </c>
      <c r="P2240" s="3" t="s">
        <v>3004</v>
      </c>
      <c r="Q2240" s="30" t="str">
        <f t="shared" si="34"/>
        <v>MAX : 10.7
TARGET : 10.5
MIN : 10.3</v>
      </c>
    </row>
    <row r="2241" spans="2:18" ht="41.4" x14ac:dyDescent="0.3">
      <c r="B2241">
        <v>0</v>
      </c>
      <c r="C2241" s="33">
        <v>8150</v>
      </c>
      <c r="D2241" s="2">
        <v>1182</v>
      </c>
      <c r="E2241" s="2" t="s">
        <v>10044</v>
      </c>
      <c r="F2241" s="3" t="s">
        <v>14207</v>
      </c>
      <c r="H2241" s="3" t="s">
        <v>108</v>
      </c>
      <c r="K2241" s="2">
        <v>10</v>
      </c>
      <c r="L2241" s="2">
        <v>5</v>
      </c>
      <c r="M2241" s="3" t="s">
        <v>3005</v>
      </c>
      <c r="N2241" s="3" t="s">
        <v>13</v>
      </c>
      <c r="O2241" s="3" t="s">
        <v>14</v>
      </c>
      <c r="Q2241" s="30" t="str">
        <f t="shared" si="34"/>
        <v>MAX : 
TARGET : Yes(Pass)
MIN : No(Fail)</v>
      </c>
    </row>
    <row r="2242" spans="2:18" ht="41.4" x14ac:dyDescent="0.3">
      <c r="B2242">
        <v>0</v>
      </c>
      <c r="C2242" s="33">
        <v>8150</v>
      </c>
      <c r="D2242" s="2">
        <v>1182</v>
      </c>
      <c r="E2242" s="2" t="s">
        <v>10044</v>
      </c>
      <c r="F2242" s="3" t="s">
        <v>14207</v>
      </c>
      <c r="H2242" s="3" t="s">
        <v>108</v>
      </c>
      <c r="K2242" s="2">
        <v>10</v>
      </c>
      <c r="L2242" s="2">
        <v>6</v>
      </c>
      <c r="M2242" s="3" t="s">
        <v>3006</v>
      </c>
      <c r="N2242" s="3" t="s">
        <v>13</v>
      </c>
      <c r="O2242" s="3" t="s">
        <v>14</v>
      </c>
      <c r="Q2242" s="30" t="str">
        <f t="shared" ref="Q2242:Q2305" si="35">"MAX : " &amp; P2242 &amp; CHAR(10) &amp; "TARGET : " &amp; O2242 &amp; CHAR(10) &amp; "MIN : " &amp; N2242</f>
        <v>MAX : 
TARGET : Yes(Pass)
MIN : No(Fail)</v>
      </c>
    </row>
    <row r="2243" spans="2:18" ht="41.4" x14ac:dyDescent="0.3">
      <c r="B2243">
        <v>1</v>
      </c>
      <c r="C2243" s="33">
        <v>7597</v>
      </c>
      <c r="D2243" s="2">
        <v>1131</v>
      </c>
      <c r="E2243" s="2" t="s">
        <v>9443</v>
      </c>
      <c r="F2243" s="3" t="s">
        <v>14206</v>
      </c>
      <c r="H2243" s="3" t="s">
        <v>2427</v>
      </c>
      <c r="K2243" s="2">
        <v>10</v>
      </c>
      <c r="L2243" s="2">
        <v>2</v>
      </c>
      <c r="M2243" s="3" t="s">
        <v>198</v>
      </c>
      <c r="N2243" s="3" t="s">
        <v>2428</v>
      </c>
      <c r="O2243" s="3" t="s">
        <v>2429</v>
      </c>
      <c r="P2243" s="3" t="s">
        <v>2430</v>
      </c>
      <c r="Q2243" s="30" t="str">
        <f t="shared" si="35"/>
        <v>MAX : 5.82
TARGET : 5.79
MIN : 5.76</v>
      </c>
    </row>
    <row r="2244" spans="2:18" ht="41.4" x14ac:dyDescent="0.3">
      <c r="B2244">
        <v>1</v>
      </c>
      <c r="C2244" s="33">
        <v>7597</v>
      </c>
      <c r="D2244" s="2">
        <v>1131</v>
      </c>
      <c r="E2244" s="2" t="s">
        <v>9443</v>
      </c>
      <c r="F2244" s="3" t="s">
        <v>14206</v>
      </c>
      <c r="H2244" s="3" t="s">
        <v>2427</v>
      </c>
      <c r="K2244" s="2">
        <v>10</v>
      </c>
      <c r="L2244" s="2">
        <v>1</v>
      </c>
      <c r="M2244" s="3" t="s">
        <v>194</v>
      </c>
      <c r="N2244" s="3" t="s">
        <v>249</v>
      </c>
      <c r="O2244" s="3" t="s">
        <v>250</v>
      </c>
      <c r="P2244" s="3" t="s">
        <v>251</v>
      </c>
      <c r="Q2244" s="30" t="str">
        <f t="shared" si="35"/>
        <v>MAX : 6.03
TARGET : 6.00
MIN : 5.97</v>
      </c>
    </row>
    <row r="2245" spans="2:18" ht="41.4" x14ac:dyDescent="0.3">
      <c r="B2245">
        <v>1</v>
      </c>
      <c r="C2245" s="33">
        <v>7601</v>
      </c>
      <c r="D2245" s="2">
        <v>1132</v>
      </c>
      <c r="E2245" s="2" t="s">
        <v>9450</v>
      </c>
      <c r="F2245" s="3" t="s">
        <v>14206</v>
      </c>
      <c r="H2245" s="3" t="s">
        <v>747</v>
      </c>
      <c r="K2245" s="2">
        <v>10</v>
      </c>
      <c r="L2245" s="2">
        <v>2</v>
      </c>
      <c r="M2245" s="3" t="s">
        <v>18</v>
      </c>
      <c r="N2245" s="3" t="s">
        <v>1490</v>
      </c>
      <c r="O2245" s="3" t="s">
        <v>132</v>
      </c>
      <c r="P2245" s="3" t="s">
        <v>1491</v>
      </c>
      <c r="Q2245" s="30" t="str">
        <f t="shared" si="35"/>
        <v>MAX : 0.77
TARGET : 0.75
MIN : 0.73</v>
      </c>
      <c r="R2245" s="3" t="s">
        <v>926</v>
      </c>
    </row>
    <row r="2246" spans="2:18" ht="41.4" x14ac:dyDescent="0.3">
      <c r="B2246">
        <v>1</v>
      </c>
      <c r="C2246" s="33">
        <v>7601</v>
      </c>
      <c r="D2246" s="2">
        <v>1132</v>
      </c>
      <c r="E2246" s="2" t="s">
        <v>9450</v>
      </c>
      <c r="F2246" s="3" t="s">
        <v>14206</v>
      </c>
      <c r="H2246" s="3" t="s">
        <v>747</v>
      </c>
      <c r="K2246" s="2">
        <v>10</v>
      </c>
      <c r="L2246" s="2">
        <v>1</v>
      </c>
      <c r="M2246" s="3" t="s">
        <v>22</v>
      </c>
      <c r="N2246" s="3" t="s">
        <v>735</v>
      </c>
      <c r="O2246" s="3" t="s">
        <v>294</v>
      </c>
      <c r="P2246" s="3" t="s">
        <v>2459</v>
      </c>
      <c r="Q2246" s="30" t="str">
        <f t="shared" si="35"/>
        <v>MAX : 5.24
TARGET : 5.22
MIN : 5.20</v>
      </c>
      <c r="R2246" s="3" t="s">
        <v>926</v>
      </c>
    </row>
    <row r="2247" spans="2:18" ht="41.4" x14ac:dyDescent="0.3">
      <c r="B2247">
        <v>1</v>
      </c>
      <c r="C2247" s="33">
        <v>7601</v>
      </c>
      <c r="D2247" s="2">
        <v>1132</v>
      </c>
      <c r="E2247" s="2" t="s">
        <v>9450</v>
      </c>
      <c r="F2247" s="3" t="s">
        <v>14206</v>
      </c>
      <c r="H2247" s="3" t="s">
        <v>747</v>
      </c>
      <c r="K2247" s="2">
        <v>10</v>
      </c>
      <c r="L2247" s="2">
        <v>7</v>
      </c>
      <c r="M2247" s="3" t="s">
        <v>1006</v>
      </c>
      <c r="N2247" s="3" t="s">
        <v>24</v>
      </c>
      <c r="O2247" s="3" t="s">
        <v>25</v>
      </c>
      <c r="Q2247" s="30" t="str">
        <f t="shared" si="35"/>
        <v>MAX : 
TARGET : Yes (Pass)
MIN : No (Fail)</v>
      </c>
      <c r="R2247" s="3" t="s">
        <v>926</v>
      </c>
    </row>
    <row r="2248" spans="2:18" ht="41.4" x14ac:dyDescent="0.3">
      <c r="B2248">
        <v>0</v>
      </c>
      <c r="C2248" s="33">
        <v>8093</v>
      </c>
      <c r="D2248" s="2">
        <v>1175</v>
      </c>
      <c r="E2248" s="2" t="s">
        <v>9988</v>
      </c>
      <c r="F2248" s="29" t="s">
        <v>14230</v>
      </c>
      <c r="H2248" s="3" t="s">
        <v>426</v>
      </c>
      <c r="K2248" s="2">
        <v>30</v>
      </c>
      <c r="L2248" s="2">
        <v>3</v>
      </c>
      <c r="M2248" s="3" t="s">
        <v>3015</v>
      </c>
      <c r="N2248" s="3" t="s">
        <v>13</v>
      </c>
      <c r="O2248" s="3" t="s">
        <v>14</v>
      </c>
      <c r="Q2248" s="30" t="str">
        <f t="shared" si="35"/>
        <v>MAX : 
TARGET : Yes(Pass)
MIN : No(Fail)</v>
      </c>
    </row>
    <row r="2249" spans="2:18" ht="41.4" x14ac:dyDescent="0.3">
      <c r="B2249">
        <v>0</v>
      </c>
      <c r="C2249" s="33">
        <v>8093</v>
      </c>
      <c r="D2249" s="2">
        <v>1175</v>
      </c>
      <c r="E2249" s="2" t="s">
        <v>9988</v>
      </c>
      <c r="F2249" s="29" t="s">
        <v>14230</v>
      </c>
      <c r="H2249" s="3" t="s">
        <v>426</v>
      </c>
      <c r="K2249" s="2">
        <v>30</v>
      </c>
      <c r="L2249" s="2">
        <v>4</v>
      </c>
      <c r="M2249" s="3" t="s">
        <v>3016</v>
      </c>
      <c r="N2249" s="3" t="s">
        <v>13</v>
      </c>
      <c r="O2249" s="3" t="s">
        <v>14</v>
      </c>
      <c r="Q2249" s="30" t="str">
        <f t="shared" si="35"/>
        <v>MAX : 
TARGET : Yes(Pass)
MIN : No(Fail)</v>
      </c>
    </row>
    <row r="2250" spans="2:18" ht="41.4" x14ac:dyDescent="0.3">
      <c r="B2250">
        <v>1</v>
      </c>
      <c r="C2250" s="33">
        <v>7603</v>
      </c>
      <c r="D2250" s="2">
        <v>1904</v>
      </c>
      <c r="E2250" s="2" t="s">
        <v>9457</v>
      </c>
      <c r="F2250" s="3" t="s">
        <v>14207</v>
      </c>
      <c r="H2250" s="3" t="s">
        <v>2436</v>
      </c>
      <c r="K2250" s="2">
        <v>10</v>
      </c>
      <c r="L2250" s="2">
        <v>2</v>
      </c>
      <c r="M2250" s="3" t="s">
        <v>2440</v>
      </c>
      <c r="N2250" s="3" t="s">
        <v>864</v>
      </c>
      <c r="O2250" s="3" t="s">
        <v>2441</v>
      </c>
      <c r="P2250" s="3" t="s">
        <v>2406</v>
      </c>
      <c r="Q2250" s="30" t="str">
        <f t="shared" si="35"/>
        <v>MAX : 2
TARGET : 1
MIN : 0</v>
      </c>
    </row>
    <row r="2251" spans="2:18" ht="41.4" x14ac:dyDescent="0.3">
      <c r="B2251">
        <v>1</v>
      </c>
      <c r="C2251" s="33">
        <v>7603</v>
      </c>
      <c r="D2251" s="2">
        <v>1904</v>
      </c>
      <c r="E2251" s="2" t="s">
        <v>9457</v>
      </c>
      <c r="F2251" s="3" t="s">
        <v>14207</v>
      </c>
      <c r="H2251" s="3" t="s">
        <v>2436</v>
      </c>
      <c r="K2251" s="2">
        <v>10</v>
      </c>
      <c r="L2251" s="2">
        <v>1</v>
      </c>
      <c r="M2251" s="3" t="s">
        <v>1469</v>
      </c>
      <c r="N2251" s="3" t="s">
        <v>2437</v>
      </c>
      <c r="O2251" s="3" t="s">
        <v>2438</v>
      </c>
      <c r="P2251" s="3" t="s">
        <v>2439</v>
      </c>
      <c r="Q2251" s="30" t="str">
        <f t="shared" si="35"/>
        <v>MAX : 96
TARGET : 95
MIN : 94</v>
      </c>
    </row>
    <row r="2252" spans="2:18" ht="41.4" x14ac:dyDescent="0.3">
      <c r="B2252">
        <v>0</v>
      </c>
      <c r="C2252" s="33">
        <v>8178</v>
      </c>
      <c r="D2252" s="2">
        <v>1184</v>
      </c>
      <c r="E2252" s="2" t="s">
        <v>10057</v>
      </c>
      <c r="F2252" s="29" t="s">
        <v>14227</v>
      </c>
      <c r="G2252" s="3" t="s">
        <v>2843</v>
      </c>
      <c r="H2252" s="3" t="s">
        <v>2844</v>
      </c>
      <c r="K2252" s="2">
        <v>30</v>
      </c>
      <c r="L2252" s="2">
        <v>9</v>
      </c>
      <c r="M2252" s="3" t="s">
        <v>2959</v>
      </c>
      <c r="N2252" s="3" t="s">
        <v>2975</v>
      </c>
      <c r="O2252" s="3" t="s">
        <v>392</v>
      </c>
      <c r="P2252" s="3" t="s">
        <v>2976</v>
      </c>
      <c r="Q2252" s="30" t="str">
        <f t="shared" si="35"/>
        <v>MAX : 1.916
TARGET : 1.906
MIN : 1.896</v>
      </c>
    </row>
    <row r="2253" spans="2:18" ht="41.4" x14ac:dyDescent="0.3">
      <c r="B2253">
        <v>0</v>
      </c>
      <c r="C2253" s="33">
        <v>8178</v>
      </c>
      <c r="D2253" s="2">
        <v>1184</v>
      </c>
      <c r="E2253" s="2" t="s">
        <v>10057</v>
      </c>
      <c r="F2253" s="29" t="s">
        <v>14227</v>
      </c>
      <c r="G2253" s="3" t="s">
        <v>2843</v>
      </c>
      <c r="H2253" s="3" t="s">
        <v>2844</v>
      </c>
      <c r="K2253" s="2">
        <v>30</v>
      </c>
      <c r="L2253" s="2">
        <v>10</v>
      </c>
      <c r="M2253" s="3" t="s">
        <v>2955</v>
      </c>
      <c r="N2253" s="3" t="s">
        <v>3019</v>
      </c>
      <c r="O2253" s="3" t="s">
        <v>3020</v>
      </c>
      <c r="P2253" s="3" t="s">
        <v>3021</v>
      </c>
      <c r="Q2253" s="30" t="str">
        <f t="shared" si="35"/>
        <v>MAX : 4.673
TARGET : 4.663
MIN : 4.653</v>
      </c>
    </row>
    <row r="2254" spans="2:18" ht="41.4" x14ac:dyDescent="0.3">
      <c r="B2254">
        <v>0</v>
      </c>
      <c r="C2254" s="33">
        <v>8178</v>
      </c>
      <c r="D2254" s="2">
        <v>1184</v>
      </c>
      <c r="E2254" s="2" t="s">
        <v>10057</v>
      </c>
      <c r="F2254" s="29" t="s">
        <v>14227</v>
      </c>
      <c r="G2254" s="3" t="s">
        <v>2843</v>
      </c>
      <c r="H2254" s="3" t="s">
        <v>2844</v>
      </c>
      <c r="K2254" s="2">
        <v>40</v>
      </c>
      <c r="L2254" s="2">
        <v>3</v>
      </c>
      <c r="M2254" s="3" t="s">
        <v>2994</v>
      </c>
      <c r="N2254" s="3" t="s">
        <v>1619</v>
      </c>
      <c r="O2254" s="3" t="s">
        <v>1620</v>
      </c>
      <c r="Q2254" s="30" t="str">
        <f t="shared" si="35"/>
        <v>MAX : 
TARGET : Yes (pass)
MIN : No (fail)</v>
      </c>
    </row>
    <row r="2255" spans="2:18" ht="41.4" x14ac:dyDescent="0.3">
      <c r="B2255">
        <v>0</v>
      </c>
      <c r="C2255" s="33">
        <v>8178</v>
      </c>
      <c r="D2255" s="2">
        <v>1184</v>
      </c>
      <c r="E2255" s="2" t="s">
        <v>10057</v>
      </c>
      <c r="F2255" s="29" t="s">
        <v>14227</v>
      </c>
      <c r="G2255" s="3" t="s">
        <v>2843</v>
      </c>
      <c r="H2255" s="3" t="s">
        <v>2844</v>
      </c>
      <c r="K2255" s="2">
        <v>40</v>
      </c>
      <c r="L2255" s="2">
        <v>4</v>
      </c>
      <c r="M2255" s="3" t="s">
        <v>3022</v>
      </c>
      <c r="N2255" s="3" t="s">
        <v>1619</v>
      </c>
      <c r="O2255" s="3" t="s">
        <v>1620</v>
      </c>
      <c r="Q2255" s="30" t="str">
        <f t="shared" si="35"/>
        <v>MAX : 
TARGET : Yes (pass)
MIN : No (fail)</v>
      </c>
    </row>
    <row r="2256" spans="2:18" ht="41.4" x14ac:dyDescent="0.3">
      <c r="B2256">
        <v>0</v>
      </c>
      <c r="C2256" s="33">
        <v>8178</v>
      </c>
      <c r="D2256" s="2">
        <v>1184</v>
      </c>
      <c r="E2256" s="2" t="s">
        <v>10057</v>
      </c>
      <c r="F2256" s="29" t="s">
        <v>14227</v>
      </c>
      <c r="G2256" s="3" t="s">
        <v>2843</v>
      </c>
      <c r="H2256" s="3" t="s">
        <v>2844</v>
      </c>
      <c r="K2256" s="2">
        <v>40</v>
      </c>
      <c r="L2256" s="2">
        <v>5</v>
      </c>
      <c r="M2256" s="3" t="s">
        <v>3023</v>
      </c>
      <c r="N2256" s="3" t="s">
        <v>1619</v>
      </c>
      <c r="O2256" s="3" t="s">
        <v>1620</v>
      </c>
      <c r="Q2256" s="30" t="str">
        <f t="shared" si="35"/>
        <v>MAX : 
TARGET : Yes (pass)
MIN : No (fail)</v>
      </c>
    </row>
    <row r="2257" spans="2:18" ht="41.4" x14ac:dyDescent="0.3">
      <c r="B2257">
        <v>1</v>
      </c>
      <c r="C2257" s="33">
        <v>7604</v>
      </c>
      <c r="D2257" s="2">
        <v>1133</v>
      </c>
      <c r="E2257" s="2" t="s">
        <v>9465</v>
      </c>
      <c r="F2257" s="3" t="s">
        <v>14206</v>
      </c>
      <c r="H2257" s="3" t="s">
        <v>648</v>
      </c>
      <c r="K2257" s="2">
        <v>20</v>
      </c>
      <c r="L2257" s="2">
        <v>2</v>
      </c>
      <c r="M2257" s="3" t="s">
        <v>2450</v>
      </c>
      <c r="N2257" s="3" t="s">
        <v>2451</v>
      </c>
      <c r="O2257" s="3" t="s">
        <v>2452</v>
      </c>
      <c r="P2257" s="3" t="s">
        <v>2453</v>
      </c>
      <c r="Q2257" s="30" t="str">
        <f t="shared" si="35"/>
        <v>MAX : 3.87
TARGET : 3.84
MIN : 3.81</v>
      </c>
    </row>
    <row r="2258" spans="2:18" ht="41.4" x14ac:dyDescent="0.3">
      <c r="B2258">
        <v>1</v>
      </c>
      <c r="C2258" s="33">
        <v>7604</v>
      </c>
      <c r="D2258" s="2">
        <v>1133</v>
      </c>
      <c r="E2258" s="2" t="s">
        <v>9465</v>
      </c>
      <c r="F2258" s="3" t="s">
        <v>14206</v>
      </c>
      <c r="H2258" s="3" t="s">
        <v>648</v>
      </c>
      <c r="K2258" s="2">
        <v>20</v>
      </c>
      <c r="L2258" s="2">
        <v>1</v>
      </c>
      <c r="M2258" s="3" t="s">
        <v>2448</v>
      </c>
      <c r="N2258" s="3" t="s">
        <v>2009</v>
      </c>
      <c r="O2258" s="3" t="s">
        <v>2449</v>
      </c>
      <c r="P2258" s="3" t="s">
        <v>2339</v>
      </c>
      <c r="Q2258" s="30" t="str">
        <f t="shared" si="35"/>
        <v>MAX : 3.26
TARGET : 3.23
MIN : 3.20</v>
      </c>
    </row>
    <row r="2259" spans="2:18" ht="41.4" x14ac:dyDescent="0.3">
      <c r="B2259">
        <v>0</v>
      </c>
      <c r="C2259" s="33">
        <v>8184</v>
      </c>
      <c r="D2259" s="2">
        <v>1186</v>
      </c>
      <c r="E2259" s="2" t="s">
        <v>10071</v>
      </c>
      <c r="F2259" s="3" t="s">
        <v>14207</v>
      </c>
      <c r="H2259" s="3" t="s">
        <v>469</v>
      </c>
      <c r="K2259" s="2">
        <v>10</v>
      </c>
      <c r="L2259" s="2">
        <v>3</v>
      </c>
      <c r="M2259" s="3" t="s">
        <v>2358</v>
      </c>
      <c r="N2259" s="3" t="s">
        <v>13</v>
      </c>
      <c r="O2259" s="3" t="s">
        <v>14</v>
      </c>
      <c r="Q2259" s="30" t="str">
        <f t="shared" si="35"/>
        <v>MAX : 
TARGET : Yes(Pass)
MIN : No(Fail)</v>
      </c>
    </row>
    <row r="2260" spans="2:18" ht="41.4" x14ac:dyDescent="0.3">
      <c r="B2260">
        <v>1</v>
      </c>
      <c r="C2260" s="33">
        <v>7605</v>
      </c>
      <c r="D2260" s="2">
        <v>1134</v>
      </c>
      <c r="E2260" s="2" t="s">
        <v>9472</v>
      </c>
      <c r="F2260" s="3" t="s">
        <v>14206</v>
      </c>
      <c r="H2260" s="3" t="s">
        <v>648</v>
      </c>
      <c r="K2260" s="2">
        <v>20</v>
      </c>
      <c r="L2260" s="2">
        <v>2</v>
      </c>
      <c r="M2260" s="3" t="s">
        <v>2450</v>
      </c>
      <c r="N2260" s="3" t="s">
        <v>2451</v>
      </c>
      <c r="O2260" s="3" t="s">
        <v>2452</v>
      </c>
      <c r="P2260" s="3" t="s">
        <v>2453</v>
      </c>
      <c r="Q2260" s="30" t="str">
        <f t="shared" si="35"/>
        <v>MAX : 3.87
TARGET : 3.84
MIN : 3.81</v>
      </c>
    </row>
    <row r="2261" spans="2:18" ht="41.4" x14ac:dyDescent="0.3">
      <c r="B2261">
        <v>1</v>
      </c>
      <c r="C2261" s="33">
        <v>7605</v>
      </c>
      <c r="D2261" s="2">
        <v>1134</v>
      </c>
      <c r="E2261" s="2" t="s">
        <v>9472</v>
      </c>
      <c r="F2261" s="3" t="s">
        <v>14206</v>
      </c>
      <c r="H2261" s="3" t="s">
        <v>648</v>
      </c>
      <c r="K2261" s="2">
        <v>20</v>
      </c>
      <c r="L2261" s="2">
        <v>1</v>
      </c>
      <c r="M2261" s="3" t="s">
        <v>2448</v>
      </c>
      <c r="N2261" s="3" t="s">
        <v>2009</v>
      </c>
      <c r="O2261" s="3" t="s">
        <v>2449</v>
      </c>
      <c r="P2261" s="3" t="s">
        <v>2339</v>
      </c>
      <c r="Q2261" s="30" t="str">
        <f t="shared" si="35"/>
        <v>MAX : 3.26
TARGET : 3.23
MIN : 3.20</v>
      </c>
    </row>
    <row r="2262" spans="2:18" ht="41.4" x14ac:dyDescent="0.3">
      <c r="B2262">
        <v>0</v>
      </c>
      <c r="C2262" s="33">
        <v>8183</v>
      </c>
      <c r="D2262" s="2">
        <v>1185</v>
      </c>
      <c r="E2262" s="2" t="s">
        <v>10064</v>
      </c>
      <c r="F2262" s="3" t="s">
        <v>14207</v>
      </c>
      <c r="H2262" s="3" t="s">
        <v>648</v>
      </c>
      <c r="K2262" s="2">
        <v>10</v>
      </c>
      <c r="L2262" s="2">
        <v>3</v>
      </c>
      <c r="M2262" s="3" t="s">
        <v>2358</v>
      </c>
      <c r="N2262" s="3" t="s">
        <v>13</v>
      </c>
      <c r="O2262" s="3" t="s">
        <v>14</v>
      </c>
      <c r="Q2262" s="30" t="str">
        <f t="shared" si="35"/>
        <v>MAX : 
TARGET : Yes(Pass)
MIN : No(Fail)</v>
      </c>
    </row>
    <row r="2263" spans="2:18" ht="41.4" x14ac:dyDescent="0.3">
      <c r="B2263">
        <v>1</v>
      </c>
      <c r="C2263" s="33">
        <v>7639</v>
      </c>
      <c r="D2263" s="2">
        <v>1905</v>
      </c>
      <c r="E2263" s="2" t="s">
        <v>9479</v>
      </c>
      <c r="F2263" s="3" t="s">
        <v>14236</v>
      </c>
      <c r="H2263" s="3" t="s">
        <v>269</v>
      </c>
      <c r="K2263" s="2">
        <v>10</v>
      </c>
      <c r="L2263" s="2">
        <v>1</v>
      </c>
      <c r="M2263" s="3" t="s">
        <v>456</v>
      </c>
      <c r="N2263" s="3" t="s">
        <v>1672</v>
      </c>
      <c r="O2263" s="3" t="s">
        <v>856</v>
      </c>
      <c r="P2263" s="3" t="s">
        <v>3490</v>
      </c>
      <c r="Q2263" s="30" t="str">
        <f t="shared" si="35"/>
        <v>MAX : 15.75
TARGET : 15.50
MIN : 15.25</v>
      </c>
      <c r="R2263" s="3" t="s">
        <v>762</v>
      </c>
    </row>
    <row r="2264" spans="2:18" ht="55.2" x14ac:dyDescent="0.3">
      <c r="B2264">
        <v>1</v>
      </c>
      <c r="C2264" s="33">
        <v>7639</v>
      </c>
      <c r="D2264" s="2">
        <v>1905</v>
      </c>
      <c r="E2264" s="2" t="s">
        <v>9479</v>
      </c>
      <c r="F2264" s="3" t="s">
        <v>14236</v>
      </c>
      <c r="H2264" s="3" t="s">
        <v>269</v>
      </c>
      <c r="K2264" s="2">
        <v>10</v>
      </c>
      <c r="L2264" s="2">
        <v>2</v>
      </c>
      <c r="M2264" s="3" t="s">
        <v>198</v>
      </c>
      <c r="N2264" s="3" t="s">
        <v>3491</v>
      </c>
      <c r="O2264" s="3" t="s">
        <v>3492</v>
      </c>
      <c r="P2264" s="3" t="s">
        <v>3493</v>
      </c>
      <c r="Q2264" s="30" t="str">
        <f t="shared" si="35"/>
        <v>MAX : 2.6225
TARGET : 2.5625
MIN : 2.5025</v>
      </c>
      <c r="R2264" s="3" t="s">
        <v>762</v>
      </c>
    </row>
    <row r="2265" spans="2:18" ht="41.4" x14ac:dyDescent="0.3">
      <c r="B2265">
        <v>0</v>
      </c>
      <c r="C2265" s="33">
        <v>8195</v>
      </c>
      <c r="D2265" s="2">
        <v>1942</v>
      </c>
      <c r="E2265" s="2" t="s">
        <v>10084</v>
      </c>
      <c r="F2265" s="3" t="s">
        <v>14206</v>
      </c>
      <c r="H2265" s="3" t="s">
        <v>922</v>
      </c>
      <c r="K2265" s="2">
        <v>20</v>
      </c>
      <c r="L2265" s="2">
        <v>1</v>
      </c>
      <c r="M2265" s="3" t="s">
        <v>611</v>
      </c>
      <c r="N2265" s="3" t="s">
        <v>13</v>
      </c>
      <c r="O2265" s="3" t="s">
        <v>14</v>
      </c>
      <c r="Q2265" s="30" t="str">
        <f t="shared" si="35"/>
        <v>MAX : 
TARGET : Yes(Pass)
MIN : No(Fail)</v>
      </c>
    </row>
    <row r="2266" spans="2:18" ht="41.4" x14ac:dyDescent="0.3">
      <c r="B2266">
        <v>1</v>
      </c>
      <c r="C2266" s="33">
        <v>7674</v>
      </c>
      <c r="D2266" s="2">
        <v>1135</v>
      </c>
      <c r="E2266" s="2" t="s">
        <v>9486</v>
      </c>
      <c r="F2266" s="3" t="s">
        <v>2064</v>
      </c>
      <c r="H2266" s="3" t="s">
        <v>1882</v>
      </c>
      <c r="K2266" s="2">
        <v>20</v>
      </c>
      <c r="L2266" s="2">
        <v>2</v>
      </c>
      <c r="M2266" s="3" t="s">
        <v>2421</v>
      </c>
      <c r="N2266" s="3" t="s">
        <v>13</v>
      </c>
      <c r="O2266" s="3" t="s">
        <v>14</v>
      </c>
      <c r="Q2266" s="30" t="str">
        <f t="shared" si="35"/>
        <v>MAX : 
TARGET : Yes(Pass)
MIN : No(Fail)</v>
      </c>
    </row>
    <row r="2267" spans="2:18" ht="41.4" x14ac:dyDescent="0.3">
      <c r="B2267">
        <v>0</v>
      </c>
      <c r="C2267" s="33">
        <v>7482</v>
      </c>
      <c r="D2267" s="2">
        <v>1112</v>
      </c>
      <c r="E2267" s="2" t="s">
        <v>9237</v>
      </c>
      <c r="F2267" s="3" t="s">
        <v>14206</v>
      </c>
      <c r="H2267" s="3" t="s">
        <v>2315</v>
      </c>
      <c r="K2267" s="2">
        <v>10</v>
      </c>
      <c r="L2267" s="2">
        <v>32</v>
      </c>
      <c r="M2267" s="3" t="s">
        <v>3476</v>
      </c>
      <c r="N2267" s="3" t="s">
        <v>13</v>
      </c>
      <c r="O2267" s="3" t="s">
        <v>14</v>
      </c>
      <c r="Q2267" s="30" t="str">
        <f t="shared" si="35"/>
        <v>MAX : 
TARGET : Yes(Pass)
MIN : No(Fail)</v>
      </c>
    </row>
    <row r="2268" spans="2:18" ht="41.4" x14ac:dyDescent="0.3">
      <c r="B2268">
        <v>1</v>
      </c>
      <c r="C2268" s="33">
        <v>7674</v>
      </c>
      <c r="D2268" s="2">
        <v>1135</v>
      </c>
      <c r="E2268" s="2" t="s">
        <v>9486</v>
      </c>
      <c r="F2268" s="3" t="s">
        <v>2064</v>
      </c>
      <c r="H2268" s="3" t="s">
        <v>1882</v>
      </c>
      <c r="K2268" s="2">
        <v>20</v>
      </c>
      <c r="L2268" s="2">
        <v>1</v>
      </c>
      <c r="M2268" s="3" t="s">
        <v>2422</v>
      </c>
      <c r="N2268" s="3" t="s">
        <v>13</v>
      </c>
      <c r="O2268" s="3" t="s">
        <v>14</v>
      </c>
      <c r="Q2268" s="30" t="str">
        <f t="shared" si="35"/>
        <v>MAX : 
TARGET : Yes(Pass)
MIN : No(Fail)</v>
      </c>
    </row>
    <row r="2269" spans="2:18" ht="41.4" x14ac:dyDescent="0.3">
      <c r="B2269">
        <v>0</v>
      </c>
      <c r="C2269" s="33">
        <v>8197</v>
      </c>
      <c r="D2269" s="2">
        <v>1943</v>
      </c>
      <c r="E2269" s="2" t="s">
        <v>10090</v>
      </c>
      <c r="F2269" s="3" t="s">
        <v>14231</v>
      </c>
      <c r="H2269" s="3" t="s">
        <v>168</v>
      </c>
      <c r="K2269" s="2">
        <v>10</v>
      </c>
      <c r="L2269" s="2">
        <v>9</v>
      </c>
      <c r="M2269" s="3" t="s">
        <v>3037</v>
      </c>
      <c r="N2269" s="3" t="s">
        <v>13</v>
      </c>
      <c r="O2269" s="3" t="s">
        <v>14</v>
      </c>
      <c r="Q2269" s="30" t="str">
        <f t="shared" si="35"/>
        <v>MAX : 
TARGET : Yes(Pass)
MIN : No(Fail)</v>
      </c>
    </row>
    <row r="2270" spans="2:18" ht="41.4" x14ac:dyDescent="0.3">
      <c r="B2270">
        <v>1</v>
      </c>
      <c r="C2270" s="33">
        <v>7675</v>
      </c>
      <c r="D2270" s="2">
        <v>1136</v>
      </c>
      <c r="E2270" s="2" t="s">
        <v>9491</v>
      </c>
      <c r="F2270" s="3" t="s">
        <v>14206</v>
      </c>
      <c r="H2270" s="3" t="s">
        <v>2462</v>
      </c>
      <c r="K2270" s="2">
        <v>10</v>
      </c>
      <c r="L2270" s="2">
        <v>2</v>
      </c>
      <c r="M2270" s="3" t="s">
        <v>467</v>
      </c>
      <c r="N2270" s="3" t="s">
        <v>2463</v>
      </c>
      <c r="O2270" s="3" t="s">
        <v>767</v>
      </c>
      <c r="P2270" s="3" t="s">
        <v>252</v>
      </c>
      <c r="Q2270" s="30" t="str">
        <f t="shared" si="35"/>
        <v>MAX : 3.97
TARGET : 3.94
MIN : 3.91</v>
      </c>
    </row>
    <row r="2271" spans="2:18" ht="41.4" x14ac:dyDescent="0.3">
      <c r="B2271">
        <v>1</v>
      </c>
      <c r="C2271" s="33">
        <v>7675</v>
      </c>
      <c r="D2271" s="2">
        <v>1136</v>
      </c>
      <c r="E2271" s="2" t="s">
        <v>9491</v>
      </c>
      <c r="F2271" s="3" t="s">
        <v>14206</v>
      </c>
      <c r="H2271" s="3" t="s">
        <v>2462</v>
      </c>
      <c r="K2271" s="2">
        <v>10</v>
      </c>
      <c r="L2271" s="2">
        <v>1</v>
      </c>
      <c r="M2271" s="3" t="s">
        <v>109</v>
      </c>
      <c r="N2271" s="3" t="s">
        <v>249</v>
      </c>
      <c r="O2271" s="3" t="s">
        <v>250</v>
      </c>
      <c r="P2271" s="3" t="s">
        <v>251</v>
      </c>
      <c r="Q2271" s="30" t="str">
        <f t="shared" si="35"/>
        <v>MAX : 6.03
TARGET : 6.00
MIN : 5.97</v>
      </c>
    </row>
    <row r="2272" spans="2:18" ht="41.4" x14ac:dyDescent="0.3">
      <c r="B2272">
        <v>1</v>
      </c>
      <c r="C2272" s="33">
        <v>7675</v>
      </c>
      <c r="D2272" s="2">
        <v>1136</v>
      </c>
      <c r="E2272" s="2" t="s">
        <v>9491</v>
      </c>
      <c r="F2272" s="3" t="s">
        <v>14206</v>
      </c>
      <c r="H2272" s="3" t="s">
        <v>2462</v>
      </c>
      <c r="K2272" s="2">
        <v>10</v>
      </c>
      <c r="L2272" s="2">
        <v>6</v>
      </c>
      <c r="M2272" s="3" t="s">
        <v>3438</v>
      </c>
      <c r="N2272" s="3" t="s">
        <v>13</v>
      </c>
      <c r="O2272" s="3" t="s">
        <v>14</v>
      </c>
      <c r="Q2272" s="30" t="str">
        <f t="shared" si="35"/>
        <v>MAX : 
TARGET : Yes(Pass)
MIN : No(Fail)</v>
      </c>
    </row>
    <row r="2273" spans="2:18" ht="41.4" x14ac:dyDescent="0.3">
      <c r="B2273">
        <v>1</v>
      </c>
      <c r="C2273" s="33">
        <v>7677</v>
      </c>
      <c r="D2273" s="2">
        <v>1137</v>
      </c>
      <c r="E2273" s="2" t="s">
        <v>9504</v>
      </c>
      <c r="F2273" s="3" t="s">
        <v>14207</v>
      </c>
      <c r="H2273" s="3" t="s">
        <v>504</v>
      </c>
      <c r="K2273" s="2">
        <v>20</v>
      </c>
      <c r="L2273" s="2">
        <v>2</v>
      </c>
      <c r="M2273" s="3" t="s">
        <v>2475</v>
      </c>
      <c r="N2273" s="3" t="s">
        <v>2476</v>
      </c>
      <c r="O2273" s="3" t="s">
        <v>1649</v>
      </c>
      <c r="P2273" s="3" t="s">
        <v>2477</v>
      </c>
      <c r="Q2273" s="30" t="str">
        <f t="shared" si="35"/>
        <v>MAX : 26.4
TARGET : 25.4
MIN : 24.4</v>
      </c>
    </row>
    <row r="2274" spans="2:18" ht="41.4" x14ac:dyDescent="0.3">
      <c r="B2274">
        <v>0</v>
      </c>
      <c r="C2274" s="33">
        <v>8191</v>
      </c>
      <c r="D2274" s="2">
        <v>1187</v>
      </c>
      <c r="E2274" s="2" t="s">
        <v>10078</v>
      </c>
      <c r="F2274" s="3" t="s">
        <v>14206</v>
      </c>
      <c r="H2274" s="3" t="s">
        <v>713</v>
      </c>
      <c r="K2274" s="2">
        <v>20</v>
      </c>
      <c r="L2274" s="2">
        <v>3</v>
      </c>
      <c r="M2274" s="3" t="s">
        <v>78</v>
      </c>
      <c r="N2274" s="3" t="s">
        <v>13</v>
      </c>
      <c r="O2274" s="3" t="s">
        <v>14</v>
      </c>
      <c r="Q2274" s="30" t="str">
        <f t="shared" si="35"/>
        <v>MAX : 
TARGET : Yes(Pass)
MIN : No(Fail)</v>
      </c>
    </row>
    <row r="2275" spans="2:18" ht="41.4" x14ac:dyDescent="0.3">
      <c r="B2275">
        <v>1</v>
      </c>
      <c r="C2275" s="33">
        <v>7677</v>
      </c>
      <c r="D2275" s="2">
        <v>1137</v>
      </c>
      <c r="E2275" s="2" t="s">
        <v>9504</v>
      </c>
      <c r="F2275" s="3" t="s">
        <v>14207</v>
      </c>
      <c r="H2275" s="3" t="s">
        <v>504</v>
      </c>
      <c r="K2275" s="2">
        <v>20</v>
      </c>
      <c r="L2275" s="2">
        <v>1</v>
      </c>
      <c r="M2275" s="3" t="s">
        <v>194</v>
      </c>
      <c r="N2275" s="3" t="s">
        <v>2472</v>
      </c>
      <c r="O2275" s="3" t="s">
        <v>2473</v>
      </c>
      <c r="P2275" s="3" t="s">
        <v>2474</v>
      </c>
      <c r="Q2275" s="30" t="str">
        <f t="shared" si="35"/>
        <v>MAX : 122.3
TARGET : 121.3
MIN : 120.3</v>
      </c>
    </row>
    <row r="2276" spans="2:18" ht="41.4" x14ac:dyDescent="0.3">
      <c r="B2276">
        <v>1</v>
      </c>
      <c r="C2276" s="33">
        <v>7685</v>
      </c>
      <c r="D2276" s="2">
        <v>1138</v>
      </c>
      <c r="E2276" s="2" t="s">
        <v>9517</v>
      </c>
      <c r="F2276" s="3" t="s">
        <v>14206</v>
      </c>
      <c r="H2276" s="3" t="s">
        <v>747</v>
      </c>
      <c r="K2276" s="2">
        <v>10</v>
      </c>
      <c r="L2276" s="2">
        <v>2</v>
      </c>
      <c r="M2276" s="3" t="s">
        <v>569</v>
      </c>
      <c r="N2276" s="3" t="s">
        <v>2202</v>
      </c>
      <c r="O2276" s="3" t="s">
        <v>1798</v>
      </c>
      <c r="P2276" s="3" t="s">
        <v>1342</v>
      </c>
      <c r="Q2276" s="30" t="str">
        <f t="shared" si="35"/>
        <v>MAX : 1.91
TARGET : 1.88
MIN : 1.85</v>
      </c>
    </row>
    <row r="2277" spans="2:18" ht="41.4" x14ac:dyDescent="0.3">
      <c r="B2277">
        <v>1</v>
      </c>
      <c r="C2277" s="33">
        <v>7685</v>
      </c>
      <c r="D2277" s="2">
        <v>1138</v>
      </c>
      <c r="E2277" s="2" t="s">
        <v>9517</v>
      </c>
      <c r="F2277" s="3" t="s">
        <v>14206</v>
      </c>
      <c r="H2277" s="3" t="s">
        <v>747</v>
      </c>
      <c r="K2277" s="2">
        <v>10</v>
      </c>
      <c r="L2277" s="2">
        <v>1</v>
      </c>
      <c r="M2277" s="3" t="s">
        <v>198</v>
      </c>
      <c r="N2277" s="3" t="s">
        <v>752</v>
      </c>
      <c r="O2277" s="3" t="s">
        <v>345</v>
      </c>
      <c r="P2277" s="3" t="s">
        <v>1769</v>
      </c>
      <c r="Q2277" s="30" t="str">
        <f t="shared" si="35"/>
        <v>MAX : 1.78
TARGET : 1.75
MIN : 1.72</v>
      </c>
    </row>
    <row r="2278" spans="2:18" ht="41.4" x14ac:dyDescent="0.3">
      <c r="B2278">
        <v>1</v>
      </c>
      <c r="C2278" s="33">
        <v>7685</v>
      </c>
      <c r="D2278" s="2">
        <v>1138</v>
      </c>
      <c r="E2278" s="2" t="s">
        <v>9517</v>
      </c>
      <c r="F2278" s="3" t="s">
        <v>14206</v>
      </c>
      <c r="H2278" s="3" t="s">
        <v>747</v>
      </c>
      <c r="K2278" s="2">
        <v>10</v>
      </c>
      <c r="L2278" s="2">
        <v>4</v>
      </c>
      <c r="M2278" s="3" t="s">
        <v>3342</v>
      </c>
      <c r="N2278" s="3" t="s">
        <v>2212</v>
      </c>
      <c r="O2278" s="3" t="s">
        <v>3343</v>
      </c>
      <c r="P2278" s="3" t="s">
        <v>3344</v>
      </c>
      <c r="Q2278" s="30" t="str">
        <f t="shared" si="35"/>
        <v>MAX : 9.53
TARGET : 9.50
MIN : 9.47</v>
      </c>
    </row>
    <row r="2279" spans="2:18" ht="41.4" x14ac:dyDescent="0.3">
      <c r="B2279">
        <v>0</v>
      </c>
      <c r="C2279" s="33">
        <v>8197</v>
      </c>
      <c r="D2279" s="2">
        <v>1943</v>
      </c>
      <c r="E2279" s="2" t="s">
        <v>10090</v>
      </c>
      <c r="F2279" s="3" t="s">
        <v>14231</v>
      </c>
      <c r="H2279" s="3" t="s">
        <v>168</v>
      </c>
      <c r="K2279" s="2">
        <v>10</v>
      </c>
      <c r="L2279" s="2">
        <v>4</v>
      </c>
      <c r="M2279" s="3" t="s">
        <v>3050</v>
      </c>
      <c r="N2279" s="3" t="s">
        <v>3051</v>
      </c>
      <c r="O2279" s="3" t="s">
        <v>3052</v>
      </c>
      <c r="P2279" s="3" t="s">
        <v>3053</v>
      </c>
      <c r="Q2279" s="30" t="str">
        <f t="shared" si="35"/>
        <v>MAX : 9mm
TARGET : 8mm
MIN : 7mm</v>
      </c>
    </row>
    <row r="2280" spans="2:18" ht="41.4" x14ac:dyDescent="0.3">
      <c r="B2280">
        <v>0</v>
      </c>
      <c r="C2280" s="33">
        <v>8197</v>
      </c>
      <c r="D2280" s="2">
        <v>1943</v>
      </c>
      <c r="E2280" s="2" t="s">
        <v>10090</v>
      </c>
      <c r="F2280" s="3" t="s">
        <v>14231</v>
      </c>
      <c r="H2280" s="3" t="s">
        <v>168</v>
      </c>
      <c r="K2280" s="2">
        <v>10</v>
      </c>
      <c r="L2280" s="2">
        <v>5</v>
      </c>
      <c r="M2280" s="3" t="s">
        <v>3054</v>
      </c>
      <c r="N2280" s="3" t="s">
        <v>1158</v>
      </c>
      <c r="O2280" s="3" t="s">
        <v>3055</v>
      </c>
      <c r="P2280" s="3" t="s">
        <v>779</v>
      </c>
      <c r="Q2280" s="30" t="str">
        <f t="shared" si="35"/>
        <v>MAX : 12.5
TARGET : 12.0
MIN : 11.5</v>
      </c>
    </row>
    <row r="2281" spans="2:18" ht="41.4" x14ac:dyDescent="0.3">
      <c r="B2281">
        <v>0</v>
      </c>
      <c r="C2281" s="33">
        <v>8197</v>
      </c>
      <c r="D2281" s="2">
        <v>1943</v>
      </c>
      <c r="E2281" s="2" t="s">
        <v>10090</v>
      </c>
      <c r="F2281" s="3" t="s">
        <v>14231</v>
      </c>
      <c r="H2281" s="3" t="s">
        <v>168</v>
      </c>
      <c r="K2281" s="2">
        <v>10</v>
      </c>
      <c r="L2281" s="2">
        <v>6</v>
      </c>
      <c r="M2281" s="3" t="s">
        <v>3056</v>
      </c>
      <c r="N2281" s="3" t="s">
        <v>3057</v>
      </c>
      <c r="O2281" s="3" t="s">
        <v>864</v>
      </c>
      <c r="P2281" s="3" t="s">
        <v>3058</v>
      </c>
      <c r="Q2281" s="30" t="str">
        <f t="shared" si="35"/>
        <v>MAX : +0.375
TARGET : 0
MIN : -0.375</v>
      </c>
    </row>
    <row r="2282" spans="2:18" ht="41.4" x14ac:dyDescent="0.3">
      <c r="B2282">
        <v>0</v>
      </c>
      <c r="C2282" s="33">
        <v>8197</v>
      </c>
      <c r="D2282" s="2">
        <v>1943</v>
      </c>
      <c r="E2282" s="2" t="s">
        <v>10090</v>
      </c>
      <c r="F2282" s="3" t="s">
        <v>14231</v>
      </c>
      <c r="H2282" s="3" t="s">
        <v>168</v>
      </c>
      <c r="K2282" s="2">
        <v>10</v>
      </c>
      <c r="L2282" s="2">
        <v>7</v>
      </c>
      <c r="M2282" s="3" t="s">
        <v>3059</v>
      </c>
      <c r="N2282" s="3" t="s">
        <v>13</v>
      </c>
      <c r="O2282" s="3" t="s">
        <v>14</v>
      </c>
      <c r="Q2282" s="30" t="str">
        <f t="shared" si="35"/>
        <v>MAX : 
TARGET : Yes(Pass)
MIN : No(Fail)</v>
      </c>
    </row>
    <row r="2283" spans="2:18" ht="41.4" x14ac:dyDescent="0.3">
      <c r="B2283">
        <v>1</v>
      </c>
      <c r="C2283" s="33">
        <v>7685</v>
      </c>
      <c r="D2283" s="2">
        <v>1138</v>
      </c>
      <c r="E2283" s="2" t="s">
        <v>9517</v>
      </c>
      <c r="F2283" s="3" t="s">
        <v>14206</v>
      </c>
      <c r="H2283" s="3" t="s">
        <v>747</v>
      </c>
      <c r="K2283" s="2">
        <v>10</v>
      </c>
      <c r="L2283" s="2">
        <v>6</v>
      </c>
      <c r="M2283" s="3" t="s">
        <v>78</v>
      </c>
      <c r="N2283" s="3" t="s">
        <v>13</v>
      </c>
      <c r="O2283" s="3" t="s">
        <v>14</v>
      </c>
      <c r="Q2283" s="30" t="str">
        <f t="shared" si="35"/>
        <v>MAX : 
TARGET : Yes(Pass)
MIN : No(Fail)</v>
      </c>
    </row>
    <row r="2284" spans="2:18" ht="41.4" x14ac:dyDescent="0.3">
      <c r="B2284">
        <v>1</v>
      </c>
      <c r="C2284" s="33">
        <v>7700</v>
      </c>
      <c r="D2284" s="2">
        <v>1139</v>
      </c>
      <c r="E2284" s="2" t="s">
        <v>9525</v>
      </c>
      <c r="F2284" s="3" t="s">
        <v>14207</v>
      </c>
      <c r="H2284" s="3" t="s">
        <v>417</v>
      </c>
      <c r="K2284" s="2">
        <v>20</v>
      </c>
      <c r="L2284" s="2">
        <v>2</v>
      </c>
      <c r="M2284" s="3" t="s">
        <v>2486</v>
      </c>
      <c r="N2284" s="3" t="s">
        <v>2487</v>
      </c>
      <c r="O2284" s="3" t="s">
        <v>2488</v>
      </c>
      <c r="P2284" s="3" t="s">
        <v>2489</v>
      </c>
      <c r="Q2284" s="30" t="str">
        <f t="shared" si="35"/>
        <v>MAX : 12.15
TARGET : 11.90
MIN : 11.65</v>
      </c>
      <c r="R2284" s="3" t="s">
        <v>1638</v>
      </c>
    </row>
    <row r="2285" spans="2:18" ht="41.4" x14ac:dyDescent="0.3">
      <c r="B2285">
        <v>0</v>
      </c>
      <c r="C2285" s="33">
        <v>8221</v>
      </c>
      <c r="D2285" s="2">
        <v>1189</v>
      </c>
      <c r="E2285" s="2" t="s">
        <v>10103</v>
      </c>
      <c r="F2285" s="3" t="s">
        <v>14206</v>
      </c>
      <c r="H2285" s="3" t="s">
        <v>2116</v>
      </c>
      <c r="K2285" s="2">
        <v>10</v>
      </c>
      <c r="L2285" s="2">
        <v>3</v>
      </c>
      <c r="M2285" s="3" t="s">
        <v>3064</v>
      </c>
      <c r="N2285" s="3" t="s">
        <v>308</v>
      </c>
      <c r="O2285" s="3" t="s">
        <v>309</v>
      </c>
      <c r="P2285" s="3" t="s">
        <v>310</v>
      </c>
      <c r="Q2285" s="30" t="str">
        <f t="shared" si="35"/>
        <v>MAX : 0.53
TARGET : 0.50
MIN : 0.47</v>
      </c>
    </row>
    <row r="2286" spans="2:18" ht="41.4" x14ac:dyDescent="0.3">
      <c r="B2286">
        <v>0</v>
      </c>
      <c r="C2286" s="33">
        <v>8221</v>
      </c>
      <c r="D2286" s="2">
        <v>1189</v>
      </c>
      <c r="E2286" s="2" t="s">
        <v>10103</v>
      </c>
      <c r="F2286" s="3" t="s">
        <v>14206</v>
      </c>
      <c r="H2286" s="3" t="s">
        <v>2116</v>
      </c>
      <c r="K2286" s="2">
        <v>10</v>
      </c>
      <c r="L2286" s="2">
        <v>4</v>
      </c>
      <c r="M2286" s="3" t="s">
        <v>2117</v>
      </c>
      <c r="N2286" s="3" t="s">
        <v>1656</v>
      </c>
      <c r="O2286" s="3" t="s">
        <v>966</v>
      </c>
      <c r="P2286" s="3" t="s">
        <v>1657</v>
      </c>
      <c r="Q2286" s="30" t="str">
        <f t="shared" si="35"/>
        <v>MAX : 7.06
TARGET : 7.00
MIN : 6.94</v>
      </c>
    </row>
    <row r="2287" spans="2:18" ht="41.4" x14ac:dyDescent="0.3">
      <c r="B2287">
        <v>0</v>
      </c>
      <c r="C2287" s="33">
        <v>8221</v>
      </c>
      <c r="D2287" s="2">
        <v>1189</v>
      </c>
      <c r="E2287" s="2" t="s">
        <v>10103</v>
      </c>
      <c r="F2287" s="3" t="s">
        <v>14206</v>
      </c>
      <c r="H2287" s="3" t="s">
        <v>2116</v>
      </c>
      <c r="K2287" s="2">
        <v>10</v>
      </c>
      <c r="L2287" s="2">
        <v>5</v>
      </c>
      <c r="M2287" s="3" t="s">
        <v>3065</v>
      </c>
      <c r="N2287" s="3" t="s">
        <v>1496</v>
      </c>
      <c r="O2287" s="3" t="s">
        <v>1185</v>
      </c>
      <c r="P2287" s="3" t="s">
        <v>1497</v>
      </c>
      <c r="Q2287" s="30" t="str">
        <f t="shared" si="35"/>
        <v>MAX : 2.78
TARGET : 2.75
MIN : 2.72</v>
      </c>
    </row>
    <row r="2288" spans="2:18" ht="41.4" x14ac:dyDescent="0.3">
      <c r="B2288">
        <v>0</v>
      </c>
      <c r="C2288" s="33">
        <v>8221</v>
      </c>
      <c r="D2288" s="2">
        <v>1189</v>
      </c>
      <c r="E2288" s="2" t="s">
        <v>10103</v>
      </c>
      <c r="F2288" s="3" t="s">
        <v>14206</v>
      </c>
      <c r="H2288" s="3" t="s">
        <v>2116</v>
      </c>
      <c r="K2288" s="2">
        <v>10</v>
      </c>
      <c r="L2288" s="2">
        <v>6</v>
      </c>
      <c r="M2288" s="3" t="s">
        <v>3066</v>
      </c>
      <c r="N2288" s="3" t="s">
        <v>131</v>
      </c>
      <c r="O2288" s="3" t="s">
        <v>132</v>
      </c>
      <c r="P2288" s="3" t="s">
        <v>133</v>
      </c>
      <c r="Q2288" s="30" t="str">
        <f t="shared" si="35"/>
        <v>MAX : 0.78
TARGET : 0.75
MIN : 0.72</v>
      </c>
    </row>
    <row r="2289" spans="2:18" ht="41.4" x14ac:dyDescent="0.3">
      <c r="B2289">
        <v>0</v>
      </c>
      <c r="C2289" s="33">
        <v>8221</v>
      </c>
      <c r="D2289" s="2">
        <v>1189</v>
      </c>
      <c r="E2289" s="2" t="s">
        <v>10103</v>
      </c>
      <c r="F2289" s="3" t="s">
        <v>14206</v>
      </c>
      <c r="H2289" s="3" t="s">
        <v>2116</v>
      </c>
      <c r="K2289" s="2">
        <v>10</v>
      </c>
      <c r="L2289" s="2">
        <v>7</v>
      </c>
      <c r="M2289" s="3" t="s">
        <v>78</v>
      </c>
      <c r="N2289" s="3" t="s">
        <v>13</v>
      </c>
      <c r="O2289" s="3" t="s">
        <v>14</v>
      </c>
      <c r="Q2289" s="30" t="str">
        <f t="shared" si="35"/>
        <v>MAX : 
TARGET : Yes(Pass)
MIN : No(Fail)</v>
      </c>
    </row>
    <row r="2290" spans="2:18" ht="41.4" x14ac:dyDescent="0.3">
      <c r="B2290">
        <v>1</v>
      </c>
      <c r="C2290" s="33">
        <v>7700</v>
      </c>
      <c r="D2290" s="2">
        <v>1139</v>
      </c>
      <c r="E2290" s="2" t="s">
        <v>9525</v>
      </c>
      <c r="F2290" s="3" t="s">
        <v>14207</v>
      </c>
      <c r="H2290" s="3" t="s">
        <v>417</v>
      </c>
      <c r="K2290" s="2">
        <v>20</v>
      </c>
      <c r="L2290" s="2">
        <v>7</v>
      </c>
      <c r="M2290" s="3" t="s">
        <v>2804</v>
      </c>
      <c r="N2290" s="3" t="s">
        <v>2805</v>
      </c>
      <c r="O2290" s="3" t="s">
        <v>2806</v>
      </c>
      <c r="P2290" s="3" t="s">
        <v>2807</v>
      </c>
      <c r="Q2290" s="30" t="str">
        <f t="shared" si="35"/>
        <v>MAX : 5.925
TARGET : 5.800
MIN : 5.675</v>
      </c>
      <c r="R2290" s="3" t="s">
        <v>1638</v>
      </c>
    </row>
    <row r="2291" spans="2:18" ht="41.4" x14ac:dyDescent="0.3">
      <c r="B2291">
        <v>1</v>
      </c>
      <c r="C2291" s="33">
        <v>7700</v>
      </c>
      <c r="D2291" s="2">
        <v>1139</v>
      </c>
      <c r="E2291" s="2" t="s">
        <v>9525</v>
      </c>
      <c r="F2291" s="3" t="s">
        <v>14207</v>
      </c>
      <c r="H2291" s="3" t="s">
        <v>417</v>
      </c>
      <c r="K2291" s="2">
        <v>20</v>
      </c>
      <c r="L2291" s="2">
        <v>1</v>
      </c>
      <c r="M2291" s="3" t="s">
        <v>194</v>
      </c>
      <c r="N2291" s="3" t="s">
        <v>2483</v>
      </c>
      <c r="O2291" s="3" t="s">
        <v>2484</v>
      </c>
      <c r="P2291" s="3" t="s">
        <v>2485</v>
      </c>
      <c r="Q2291" s="30" t="str">
        <f t="shared" si="35"/>
        <v>MAX : 23.94
TARGET : 23.84
MIN : 23.74</v>
      </c>
      <c r="R2291" s="3" t="s">
        <v>1638</v>
      </c>
    </row>
    <row r="2292" spans="2:18" ht="41.4" x14ac:dyDescent="0.3">
      <c r="B2292">
        <v>0</v>
      </c>
      <c r="C2292" s="33">
        <v>8223</v>
      </c>
      <c r="D2292" s="2">
        <v>1944</v>
      </c>
      <c r="E2292" s="2" t="s">
        <v>10109</v>
      </c>
      <c r="F2292" s="3" t="s">
        <v>14206</v>
      </c>
      <c r="H2292" s="3" t="s">
        <v>289</v>
      </c>
      <c r="K2292" s="2">
        <v>20</v>
      </c>
      <c r="L2292" s="2">
        <v>3</v>
      </c>
      <c r="M2292" s="3" t="s">
        <v>1779</v>
      </c>
      <c r="N2292" s="3" t="s">
        <v>1780</v>
      </c>
      <c r="O2292" s="3" t="s">
        <v>241</v>
      </c>
      <c r="P2292" s="3" t="s">
        <v>1746</v>
      </c>
      <c r="Q2292" s="30" t="str">
        <f t="shared" si="35"/>
        <v>MAX : 0.145
TARGET : 0.125
MIN : 0.105</v>
      </c>
    </row>
    <row r="2293" spans="2:18" ht="41.4" x14ac:dyDescent="0.3">
      <c r="B2293">
        <v>0</v>
      </c>
      <c r="C2293" s="33">
        <v>8223</v>
      </c>
      <c r="D2293" s="2">
        <v>1944</v>
      </c>
      <c r="E2293" s="2" t="s">
        <v>10109</v>
      </c>
      <c r="F2293" s="3" t="s">
        <v>14206</v>
      </c>
      <c r="H2293" s="3" t="s">
        <v>289</v>
      </c>
      <c r="K2293" s="2">
        <v>20</v>
      </c>
      <c r="L2293" s="2">
        <v>4</v>
      </c>
      <c r="M2293" s="3" t="s">
        <v>174</v>
      </c>
      <c r="N2293" s="3" t="s">
        <v>308</v>
      </c>
      <c r="O2293" s="3" t="s">
        <v>309</v>
      </c>
      <c r="P2293" s="3" t="s">
        <v>310</v>
      </c>
      <c r="Q2293" s="30" t="str">
        <f t="shared" si="35"/>
        <v>MAX : 0.53
TARGET : 0.50
MIN : 0.47</v>
      </c>
    </row>
    <row r="2294" spans="2:18" ht="41.4" x14ac:dyDescent="0.3">
      <c r="B2294">
        <v>1</v>
      </c>
      <c r="C2294" s="33">
        <v>7700</v>
      </c>
      <c r="D2294" s="2">
        <v>1139</v>
      </c>
      <c r="E2294" s="2" t="s">
        <v>9525</v>
      </c>
      <c r="F2294" s="3" t="s">
        <v>14207</v>
      </c>
      <c r="H2294" s="3" t="s">
        <v>417</v>
      </c>
      <c r="K2294" s="2">
        <v>20</v>
      </c>
      <c r="L2294" s="2">
        <v>6</v>
      </c>
      <c r="M2294" s="3" t="s">
        <v>2800</v>
      </c>
      <c r="N2294" s="3" t="s">
        <v>2801</v>
      </c>
      <c r="O2294" s="3" t="s">
        <v>2802</v>
      </c>
      <c r="P2294" s="3" t="s">
        <v>2803</v>
      </c>
      <c r="Q2294" s="30" t="str">
        <f t="shared" si="35"/>
        <v>MAX : 36.15
TARGET : 36.00
MIN : 35.85</v>
      </c>
      <c r="R2294" s="3" t="s">
        <v>1638</v>
      </c>
    </row>
    <row r="2295" spans="2:18" ht="41.4" x14ac:dyDescent="0.3">
      <c r="B2295">
        <v>1</v>
      </c>
      <c r="C2295" s="33">
        <v>7708</v>
      </c>
      <c r="D2295" s="2">
        <v>1908</v>
      </c>
      <c r="E2295" s="2" t="s">
        <v>9533</v>
      </c>
      <c r="F2295" s="3" t="s">
        <v>14206</v>
      </c>
      <c r="H2295" s="3" t="s">
        <v>558</v>
      </c>
      <c r="K2295" s="2">
        <v>20</v>
      </c>
      <c r="L2295" s="2">
        <v>2</v>
      </c>
      <c r="M2295" s="3" t="s">
        <v>1867</v>
      </c>
      <c r="N2295" s="3" t="s">
        <v>13</v>
      </c>
      <c r="O2295" s="3" t="s">
        <v>14</v>
      </c>
      <c r="Q2295" s="30" t="str">
        <f t="shared" si="35"/>
        <v>MAX : 
TARGET : Yes(Pass)
MIN : No(Fail)</v>
      </c>
    </row>
    <row r="2296" spans="2:18" ht="41.4" x14ac:dyDescent="0.3">
      <c r="B2296">
        <v>1</v>
      </c>
      <c r="C2296" s="33">
        <v>7708</v>
      </c>
      <c r="D2296" s="2">
        <v>1908</v>
      </c>
      <c r="E2296" s="2" t="s">
        <v>9533</v>
      </c>
      <c r="F2296" s="3" t="s">
        <v>14206</v>
      </c>
      <c r="H2296" s="3" t="s">
        <v>558</v>
      </c>
      <c r="K2296" s="2">
        <v>20</v>
      </c>
      <c r="L2296" s="2">
        <v>1</v>
      </c>
      <c r="M2296" s="3" t="s">
        <v>99</v>
      </c>
      <c r="N2296" s="3" t="s">
        <v>27</v>
      </c>
      <c r="O2296" s="3" t="s">
        <v>28</v>
      </c>
      <c r="P2296" s="3" t="s">
        <v>29</v>
      </c>
      <c r="Q2296" s="30" t="str">
        <f t="shared" si="35"/>
        <v>MAX : 1.53
TARGET : 1.50
MIN : 1.47</v>
      </c>
    </row>
    <row r="2297" spans="2:18" ht="41.4" x14ac:dyDescent="0.3">
      <c r="B2297">
        <v>0</v>
      </c>
      <c r="C2297" s="33">
        <v>8227</v>
      </c>
      <c r="D2297" s="2">
        <v>1191</v>
      </c>
      <c r="E2297" s="2" t="s">
        <v>10123</v>
      </c>
      <c r="F2297" s="3" t="s">
        <v>14206</v>
      </c>
      <c r="H2297" s="3" t="s">
        <v>3067</v>
      </c>
      <c r="K2297" s="2">
        <v>10</v>
      </c>
      <c r="L2297" s="2">
        <v>3</v>
      </c>
      <c r="M2297" s="3" t="s">
        <v>3072</v>
      </c>
      <c r="N2297" s="3" t="s">
        <v>13</v>
      </c>
      <c r="O2297" s="3" t="s">
        <v>14</v>
      </c>
      <c r="Q2297" s="30" t="str">
        <f t="shared" si="35"/>
        <v>MAX : 
TARGET : Yes(Pass)
MIN : No(Fail)</v>
      </c>
    </row>
    <row r="2298" spans="2:18" ht="41.4" x14ac:dyDescent="0.3">
      <c r="B2298">
        <v>0</v>
      </c>
      <c r="C2298" s="33">
        <v>8227</v>
      </c>
      <c r="D2298" s="2">
        <v>1191</v>
      </c>
      <c r="E2298" s="2" t="s">
        <v>10123</v>
      </c>
      <c r="F2298" s="3" t="s">
        <v>14206</v>
      </c>
      <c r="H2298" s="3" t="s">
        <v>3067</v>
      </c>
      <c r="K2298" s="2">
        <v>10</v>
      </c>
      <c r="L2298" s="2">
        <v>4</v>
      </c>
      <c r="M2298" s="3" t="s">
        <v>3073</v>
      </c>
      <c r="N2298" s="3" t="s">
        <v>13</v>
      </c>
      <c r="O2298" s="3" t="s">
        <v>14</v>
      </c>
      <c r="Q2298" s="30" t="str">
        <f t="shared" si="35"/>
        <v>MAX : 
TARGET : Yes(Pass)
MIN : No(Fail)</v>
      </c>
    </row>
    <row r="2299" spans="2:18" ht="41.4" x14ac:dyDescent="0.3">
      <c r="B2299">
        <v>0</v>
      </c>
      <c r="C2299" s="33">
        <v>8227</v>
      </c>
      <c r="D2299" s="2">
        <v>1191</v>
      </c>
      <c r="E2299" s="2" t="s">
        <v>10123</v>
      </c>
      <c r="F2299" s="3" t="s">
        <v>14206</v>
      </c>
      <c r="H2299" s="3" t="s">
        <v>3067</v>
      </c>
      <c r="K2299" s="2">
        <v>10</v>
      </c>
      <c r="L2299" s="2">
        <v>5</v>
      </c>
      <c r="M2299" s="3" t="s">
        <v>78</v>
      </c>
      <c r="N2299" s="3" t="s">
        <v>13</v>
      </c>
      <c r="O2299" s="3" t="s">
        <v>14</v>
      </c>
      <c r="Q2299" s="30" t="str">
        <f t="shared" si="35"/>
        <v>MAX : 
TARGET : Yes(Pass)
MIN : No(Fail)</v>
      </c>
    </row>
    <row r="2300" spans="2:18" ht="41.4" x14ac:dyDescent="0.3">
      <c r="B2300">
        <v>0</v>
      </c>
      <c r="C2300" s="33">
        <v>8227</v>
      </c>
      <c r="D2300" s="2">
        <v>1191</v>
      </c>
      <c r="E2300" s="2" t="s">
        <v>10123</v>
      </c>
      <c r="F2300" s="3" t="s">
        <v>14206</v>
      </c>
      <c r="H2300" s="3" t="s">
        <v>3067</v>
      </c>
      <c r="K2300" s="2">
        <v>10</v>
      </c>
      <c r="L2300" s="2">
        <v>6</v>
      </c>
      <c r="M2300" s="3" t="s">
        <v>3074</v>
      </c>
      <c r="N2300" s="3" t="s">
        <v>13</v>
      </c>
      <c r="O2300" s="3" t="s">
        <v>14</v>
      </c>
      <c r="Q2300" s="30" t="str">
        <f t="shared" si="35"/>
        <v>MAX : 
TARGET : Yes(Pass)
MIN : No(Fail)</v>
      </c>
    </row>
    <row r="2301" spans="2:18" ht="41.4" x14ac:dyDescent="0.3">
      <c r="B2301">
        <v>1</v>
      </c>
      <c r="C2301" s="33">
        <v>7726</v>
      </c>
      <c r="D2301" s="2">
        <v>1140</v>
      </c>
      <c r="E2301" s="2" t="s">
        <v>9538</v>
      </c>
      <c r="F2301" s="3" t="s">
        <v>14206</v>
      </c>
      <c r="G2301" s="3" t="s">
        <v>1665</v>
      </c>
      <c r="H2301" s="3" t="s">
        <v>2526</v>
      </c>
      <c r="I2301" s="3" t="s">
        <v>575</v>
      </c>
      <c r="K2301" s="2">
        <v>10</v>
      </c>
      <c r="L2301" s="2">
        <v>2</v>
      </c>
      <c r="M2301" s="3" t="s">
        <v>198</v>
      </c>
      <c r="N2301" s="3" t="s">
        <v>2527</v>
      </c>
      <c r="O2301" s="3" t="s">
        <v>2528</v>
      </c>
      <c r="P2301" s="3" t="s">
        <v>2529</v>
      </c>
      <c r="Q2301" s="30" t="str">
        <f t="shared" si="35"/>
        <v>MAX : 2.941
TARGET : 2.910
MIN : 2.879</v>
      </c>
    </row>
    <row r="2302" spans="2:18" ht="41.4" x14ac:dyDescent="0.3">
      <c r="B2302">
        <v>1</v>
      </c>
      <c r="C2302" s="33">
        <v>7726</v>
      </c>
      <c r="D2302" s="2">
        <v>1140</v>
      </c>
      <c r="E2302" s="2" t="s">
        <v>9538</v>
      </c>
      <c r="F2302" s="3" t="s">
        <v>14206</v>
      </c>
      <c r="G2302" s="3" t="s">
        <v>1665</v>
      </c>
      <c r="H2302" s="3" t="s">
        <v>2526</v>
      </c>
      <c r="I2302" s="3" t="s">
        <v>575</v>
      </c>
      <c r="K2302" s="2">
        <v>10</v>
      </c>
      <c r="L2302" s="2">
        <v>4</v>
      </c>
      <c r="M2302" s="3" t="s">
        <v>2615</v>
      </c>
      <c r="N2302" s="3" t="s">
        <v>2616</v>
      </c>
      <c r="O2302" s="3" t="s">
        <v>241</v>
      </c>
      <c r="P2302" s="3" t="s">
        <v>242</v>
      </c>
      <c r="Q2302" s="30" t="str">
        <f t="shared" si="35"/>
        <v>MAX : 0.156
TARGET : 0.125
MIN : 0.094</v>
      </c>
    </row>
    <row r="2303" spans="2:18" ht="41.4" x14ac:dyDescent="0.3">
      <c r="B2303">
        <v>0</v>
      </c>
      <c r="C2303" s="33">
        <v>6931</v>
      </c>
      <c r="D2303" s="2">
        <v>1067</v>
      </c>
      <c r="E2303" s="2" t="s">
        <v>8646</v>
      </c>
      <c r="F2303" s="3" t="s">
        <v>14206</v>
      </c>
      <c r="H2303" s="3" t="s">
        <v>648</v>
      </c>
      <c r="K2303" s="2">
        <v>20</v>
      </c>
      <c r="L2303" s="2">
        <v>7</v>
      </c>
      <c r="M2303" s="3" t="s">
        <v>3077</v>
      </c>
      <c r="N2303" s="3" t="s">
        <v>1619</v>
      </c>
      <c r="O2303" s="3" t="s">
        <v>1620</v>
      </c>
      <c r="Q2303" s="30" t="str">
        <f t="shared" si="35"/>
        <v>MAX : 
TARGET : Yes (pass)
MIN : No (fail)</v>
      </c>
    </row>
    <row r="2304" spans="2:18" ht="41.4" x14ac:dyDescent="0.3">
      <c r="B2304">
        <v>0</v>
      </c>
      <c r="C2304" s="33">
        <v>6931</v>
      </c>
      <c r="D2304" s="2">
        <v>1067</v>
      </c>
      <c r="E2304" s="2" t="s">
        <v>8646</v>
      </c>
      <c r="F2304" s="3" t="s">
        <v>14206</v>
      </c>
      <c r="H2304" s="3" t="s">
        <v>648</v>
      </c>
      <c r="K2304" s="2">
        <v>20</v>
      </c>
      <c r="L2304" s="2">
        <v>8</v>
      </c>
      <c r="M2304" s="3" t="s">
        <v>3078</v>
      </c>
      <c r="N2304" s="3" t="s">
        <v>1619</v>
      </c>
      <c r="O2304" s="3" t="s">
        <v>1620</v>
      </c>
      <c r="Q2304" s="30" t="str">
        <f t="shared" si="35"/>
        <v>MAX : 
TARGET : Yes (pass)
MIN : No (fail)</v>
      </c>
    </row>
    <row r="2305" spans="2:17" ht="41.4" x14ac:dyDescent="0.3">
      <c r="B2305">
        <v>1</v>
      </c>
      <c r="C2305" s="33">
        <v>7726</v>
      </c>
      <c r="D2305" s="2">
        <v>1140</v>
      </c>
      <c r="E2305" s="2" t="s">
        <v>9538</v>
      </c>
      <c r="F2305" s="3" t="s">
        <v>14206</v>
      </c>
      <c r="G2305" s="3" t="s">
        <v>1665</v>
      </c>
      <c r="H2305" s="3" t="s">
        <v>2526</v>
      </c>
      <c r="I2305" s="3" t="s">
        <v>575</v>
      </c>
      <c r="K2305" s="2">
        <v>20</v>
      </c>
      <c r="L2305" s="2">
        <v>2</v>
      </c>
      <c r="M2305" s="3" t="s">
        <v>2621</v>
      </c>
      <c r="N2305" s="3" t="s">
        <v>24</v>
      </c>
      <c r="O2305" s="3" t="s">
        <v>25</v>
      </c>
      <c r="Q2305" s="30" t="str">
        <f t="shared" si="35"/>
        <v>MAX : 
TARGET : Yes (Pass)
MIN : No (Fail)</v>
      </c>
    </row>
    <row r="2306" spans="2:17" ht="41.4" x14ac:dyDescent="0.3">
      <c r="B2306">
        <v>1</v>
      </c>
      <c r="C2306" s="33">
        <v>7726</v>
      </c>
      <c r="D2306" s="2">
        <v>1140</v>
      </c>
      <c r="E2306" s="2" t="s">
        <v>9538</v>
      </c>
      <c r="F2306" s="3" t="s">
        <v>14206</v>
      </c>
      <c r="G2306" s="3" t="s">
        <v>1665</v>
      </c>
      <c r="H2306" s="3" t="s">
        <v>2526</v>
      </c>
      <c r="I2306" s="3" t="s">
        <v>575</v>
      </c>
      <c r="K2306" s="2">
        <v>10</v>
      </c>
      <c r="L2306" s="2">
        <v>1</v>
      </c>
      <c r="M2306" s="3" t="s">
        <v>194</v>
      </c>
      <c r="N2306" s="3" t="s">
        <v>2527</v>
      </c>
      <c r="O2306" s="3" t="s">
        <v>2528</v>
      </c>
      <c r="P2306" s="3" t="s">
        <v>2529</v>
      </c>
      <c r="Q2306" s="30" t="str">
        <f t="shared" ref="Q2306:Q2369" si="36">"MAX : " &amp; P2306 &amp; CHAR(10) &amp; "TARGET : " &amp; O2306 &amp; CHAR(10) &amp; "MIN : " &amp; N2306</f>
        <v>MAX : 2.941
TARGET : 2.910
MIN : 2.879</v>
      </c>
    </row>
    <row r="2307" spans="2:17" ht="41.4" x14ac:dyDescent="0.3">
      <c r="B2307">
        <v>0</v>
      </c>
      <c r="C2307" s="33">
        <v>7963</v>
      </c>
      <c r="D2307" s="2">
        <v>1167</v>
      </c>
      <c r="E2307" s="2" t="s">
        <v>9893</v>
      </c>
      <c r="F2307" s="29" t="s">
        <v>14228</v>
      </c>
      <c r="G2307" s="3" t="s">
        <v>2843</v>
      </c>
      <c r="H2307" s="3" t="s">
        <v>2844</v>
      </c>
      <c r="K2307" s="2">
        <v>20</v>
      </c>
      <c r="L2307" s="2">
        <v>4</v>
      </c>
      <c r="M2307" s="3" t="s">
        <v>2994</v>
      </c>
      <c r="N2307" s="3" t="s">
        <v>1619</v>
      </c>
      <c r="O2307" s="3" t="s">
        <v>1620</v>
      </c>
      <c r="Q2307" s="30" t="str">
        <f t="shared" si="36"/>
        <v>MAX : 
TARGET : Yes (pass)
MIN : No (fail)</v>
      </c>
    </row>
    <row r="2308" spans="2:17" ht="41.4" x14ac:dyDescent="0.3">
      <c r="B2308">
        <v>1</v>
      </c>
      <c r="C2308" s="33">
        <v>7726</v>
      </c>
      <c r="D2308" s="2">
        <v>1140</v>
      </c>
      <c r="E2308" s="2" t="s">
        <v>9538</v>
      </c>
      <c r="F2308" s="3" t="s">
        <v>14206</v>
      </c>
      <c r="G2308" s="3" t="s">
        <v>1665</v>
      </c>
      <c r="H2308" s="3" t="s">
        <v>2526</v>
      </c>
      <c r="I2308" s="3" t="s">
        <v>575</v>
      </c>
      <c r="K2308" s="2">
        <v>10</v>
      </c>
      <c r="L2308" s="2">
        <v>3</v>
      </c>
      <c r="M2308" s="3" t="s">
        <v>883</v>
      </c>
      <c r="N2308" s="3" t="s">
        <v>2613</v>
      </c>
      <c r="O2308" s="3" t="s">
        <v>742</v>
      </c>
      <c r="P2308" s="3" t="s">
        <v>2614</v>
      </c>
      <c r="Q2308" s="30" t="str">
        <f t="shared" si="36"/>
        <v>MAX : 3.156
TARGET : 3.125
MIN : 3.094</v>
      </c>
    </row>
    <row r="2309" spans="2:17" ht="41.4" x14ac:dyDescent="0.3">
      <c r="B2309">
        <v>1</v>
      </c>
      <c r="C2309" s="33">
        <v>7726</v>
      </c>
      <c r="D2309" s="2">
        <v>1140</v>
      </c>
      <c r="E2309" s="2" t="s">
        <v>9538</v>
      </c>
      <c r="F2309" s="3" t="s">
        <v>14206</v>
      </c>
      <c r="G2309" s="3" t="s">
        <v>1665</v>
      </c>
      <c r="H2309" s="3" t="s">
        <v>2526</v>
      </c>
      <c r="I2309" s="3" t="s">
        <v>575</v>
      </c>
      <c r="K2309" s="2">
        <v>20</v>
      </c>
      <c r="L2309" s="2">
        <v>1</v>
      </c>
      <c r="M2309" s="3" t="s">
        <v>2620</v>
      </c>
      <c r="N2309" s="3" t="s">
        <v>24</v>
      </c>
      <c r="O2309" s="3" t="s">
        <v>25</v>
      </c>
      <c r="Q2309" s="30" t="str">
        <f t="shared" si="36"/>
        <v>MAX : 
TARGET : Yes (Pass)
MIN : No (Fail)</v>
      </c>
    </row>
    <row r="2310" spans="2:17" ht="41.4" x14ac:dyDescent="0.3">
      <c r="B2310">
        <v>0</v>
      </c>
      <c r="C2310" s="33">
        <v>8233</v>
      </c>
      <c r="D2310" s="2">
        <v>1192</v>
      </c>
      <c r="E2310" s="2" t="s">
        <v>10129</v>
      </c>
      <c r="F2310" s="3" t="s">
        <v>14206</v>
      </c>
      <c r="H2310" s="3" t="s">
        <v>3080</v>
      </c>
      <c r="K2310" s="2">
        <v>20</v>
      </c>
      <c r="L2310" s="2">
        <v>3</v>
      </c>
      <c r="M2310" s="3" t="s">
        <v>3081</v>
      </c>
      <c r="N2310" s="3" t="s">
        <v>2455</v>
      </c>
      <c r="O2310" s="3" t="s">
        <v>777</v>
      </c>
      <c r="P2310" s="3" t="s">
        <v>2061</v>
      </c>
      <c r="Q2310" s="30" t="str">
        <f t="shared" si="36"/>
        <v>MAX : 0.09
TARGET : 0.08
MIN : 0.07</v>
      </c>
    </row>
    <row r="2311" spans="2:17" ht="41.4" x14ac:dyDescent="0.3">
      <c r="B2311">
        <v>0</v>
      </c>
      <c r="C2311" s="33">
        <v>8233</v>
      </c>
      <c r="D2311" s="2">
        <v>1192</v>
      </c>
      <c r="E2311" s="2" t="s">
        <v>10129</v>
      </c>
      <c r="F2311" s="3" t="s">
        <v>14206</v>
      </c>
      <c r="H2311" s="3" t="s">
        <v>3080</v>
      </c>
      <c r="K2311" s="2">
        <v>20</v>
      </c>
      <c r="L2311" s="2">
        <v>8</v>
      </c>
      <c r="M2311" s="3" t="s">
        <v>1450</v>
      </c>
      <c r="N2311" s="3" t="s">
        <v>13</v>
      </c>
      <c r="O2311" s="3" t="s">
        <v>14</v>
      </c>
      <c r="Q2311" s="30" t="str">
        <f t="shared" si="36"/>
        <v>MAX : 
TARGET : Yes(Pass)
MIN : No(Fail)</v>
      </c>
    </row>
    <row r="2312" spans="2:17" ht="41.4" x14ac:dyDescent="0.3">
      <c r="B2312">
        <v>1</v>
      </c>
      <c r="C2312" s="33">
        <v>7726</v>
      </c>
      <c r="D2312" s="2">
        <v>1140</v>
      </c>
      <c r="E2312" s="2" t="s">
        <v>9538</v>
      </c>
      <c r="F2312" s="3" t="s">
        <v>14206</v>
      </c>
      <c r="G2312" s="3" t="s">
        <v>1665</v>
      </c>
      <c r="H2312" s="3" t="s">
        <v>2526</v>
      </c>
      <c r="I2312" s="3" t="s">
        <v>575</v>
      </c>
      <c r="K2312" s="2">
        <v>20</v>
      </c>
      <c r="L2312" s="2">
        <v>0.1</v>
      </c>
      <c r="Q2312" s="30" t="str">
        <f t="shared" si="36"/>
        <v xml:space="preserve">MAX : 
TARGET : 
MIN : </v>
      </c>
    </row>
    <row r="2313" spans="2:17" ht="41.4" x14ac:dyDescent="0.3">
      <c r="B2313">
        <v>1</v>
      </c>
      <c r="C2313" s="33">
        <v>7726</v>
      </c>
      <c r="D2313" s="2">
        <v>1140</v>
      </c>
      <c r="E2313" s="2" t="s">
        <v>9538</v>
      </c>
      <c r="F2313" s="3" t="s">
        <v>14206</v>
      </c>
      <c r="G2313" s="3" t="s">
        <v>1665</v>
      </c>
      <c r="H2313" s="3" t="s">
        <v>2526</v>
      </c>
      <c r="I2313" s="3" t="s">
        <v>575</v>
      </c>
      <c r="K2313" s="2">
        <v>20</v>
      </c>
      <c r="L2313" s="2">
        <v>0.2</v>
      </c>
      <c r="Q2313" s="30" t="str">
        <f t="shared" si="36"/>
        <v xml:space="preserve">MAX : 
TARGET : 
MIN : </v>
      </c>
    </row>
    <row r="2314" spans="2:17" ht="41.4" x14ac:dyDescent="0.3">
      <c r="B2314">
        <v>1</v>
      </c>
      <c r="C2314" s="33">
        <v>7728</v>
      </c>
      <c r="D2314" s="2">
        <v>1142</v>
      </c>
      <c r="E2314" s="2" t="s">
        <v>9546</v>
      </c>
      <c r="F2314" s="3" t="s">
        <v>14206</v>
      </c>
      <c r="H2314" s="3" t="s">
        <v>2520</v>
      </c>
      <c r="K2314" s="2">
        <v>10</v>
      </c>
      <c r="L2314" s="2">
        <v>2</v>
      </c>
      <c r="M2314" s="3" t="s">
        <v>2521</v>
      </c>
      <c r="N2314" s="3" t="s">
        <v>769</v>
      </c>
      <c r="O2314" s="3" t="s">
        <v>309</v>
      </c>
      <c r="P2314" s="3" t="s">
        <v>264</v>
      </c>
      <c r="Q2314" s="30" t="str">
        <f t="shared" si="36"/>
        <v>MAX : 0.52
TARGET : 0.50
MIN : 0.48</v>
      </c>
    </row>
    <row r="2315" spans="2:17" ht="41.4" x14ac:dyDescent="0.3">
      <c r="B2315">
        <v>1</v>
      </c>
      <c r="C2315" s="33">
        <v>7728</v>
      </c>
      <c r="D2315" s="2">
        <v>1142</v>
      </c>
      <c r="E2315" s="2" t="s">
        <v>9546</v>
      </c>
      <c r="F2315" s="3" t="s">
        <v>14206</v>
      </c>
      <c r="H2315" s="3" t="s">
        <v>2520</v>
      </c>
      <c r="K2315" s="2">
        <v>10</v>
      </c>
      <c r="L2315" s="2">
        <v>1</v>
      </c>
      <c r="M2315" s="3" t="s">
        <v>194</v>
      </c>
      <c r="N2315" s="3" t="s">
        <v>748</v>
      </c>
      <c r="O2315" s="3" t="s">
        <v>406</v>
      </c>
      <c r="P2315" s="3" t="s">
        <v>1784</v>
      </c>
      <c r="Q2315" s="30" t="str">
        <f t="shared" si="36"/>
        <v>MAX : 2.02
TARGET : 2.00
MIN : 1.98</v>
      </c>
    </row>
    <row r="2316" spans="2:17" ht="41.4" x14ac:dyDescent="0.3">
      <c r="B2316">
        <v>1</v>
      </c>
      <c r="C2316" s="33">
        <v>7728</v>
      </c>
      <c r="D2316" s="2">
        <v>1142</v>
      </c>
      <c r="E2316" s="2" t="s">
        <v>9546</v>
      </c>
      <c r="F2316" s="3" t="s">
        <v>14206</v>
      </c>
      <c r="H2316" s="3" t="s">
        <v>2520</v>
      </c>
      <c r="K2316" s="2">
        <v>10</v>
      </c>
      <c r="L2316" s="2">
        <v>7</v>
      </c>
      <c r="M2316" s="3" t="s">
        <v>1605</v>
      </c>
      <c r="N2316" s="3" t="s">
        <v>13</v>
      </c>
      <c r="O2316" s="3" t="s">
        <v>14</v>
      </c>
      <c r="Q2316" s="30" t="str">
        <f t="shared" si="36"/>
        <v>MAX : 
TARGET : Yes(Pass)
MIN : No(Fail)</v>
      </c>
    </row>
    <row r="2317" spans="2:17" ht="41.4" x14ac:dyDescent="0.3">
      <c r="B2317">
        <v>1</v>
      </c>
      <c r="C2317" s="33">
        <v>7728</v>
      </c>
      <c r="D2317" s="2">
        <v>1142</v>
      </c>
      <c r="E2317" s="2" t="s">
        <v>9546</v>
      </c>
      <c r="F2317" s="3" t="s">
        <v>14206</v>
      </c>
      <c r="H2317" s="3" t="s">
        <v>2520</v>
      </c>
      <c r="K2317" s="2">
        <v>10</v>
      </c>
      <c r="L2317" s="2">
        <v>9</v>
      </c>
      <c r="M2317" s="3" t="s">
        <v>3093</v>
      </c>
      <c r="N2317" s="3" t="s">
        <v>13</v>
      </c>
      <c r="O2317" s="3" t="s">
        <v>14</v>
      </c>
      <c r="Q2317" s="30" t="str">
        <f t="shared" si="36"/>
        <v>MAX : 
TARGET : Yes(Pass)
MIN : No(Fail)</v>
      </c>
    </row>
    <row r="2318" spans="2:17" ht="41.4" x14ac:dyDescent="0.3">
      <c r="B2318">
        <v>0</v>
      </c>
      <c r="C2318" s="33">
        <v>8264</v>
      </c>
      <c r="D2318" s="2">
        <v>1193</v>
      </c>
      <c r="E2318" s="2" t="s">
        <v>10148</v>
      </c>
      <c r="F2318" s="3" t="s">
        <v>14206</v>
      </c>
      <c r="H2318" s="3" t="s">
        <v>648</v>
      </c>
      <c r="K2318" s="2">
        <v>20</v>
      </c>
      <c r="L2318" s="2">
        <v>3</v>
      </c>
      <c r="M2318" s="3" t="s">
        <v>198</v>
      </c>
      <c r="N2318" s="3" t="s">
        <v>1496</v>
      </c>
      <c r="O2318" s="3" t="s">
        <v>1185</v>
      </c>
      <c r="P2318" s="3" t="s">
        <v>1497</v>
      </c>
      <c r="Q2318" s="30" t="str">
        <f t="shared" si="36"/>
        <v>MAX : 2.78
TARGET : 2.75
MIN : 2.72</v>
      </c>
    </row>
    <row r="2319" spans="2:17" ht="41.4" x14ac:dyDescent="0.3">
      <c r="B2319">
        <v>0</v>
      </c>
      <c r="C2319" s="33">
        <v>8264</v>
      </c>
      <c r="D2319" s="2">
        <v>1193</v>
      </c>
      <c r="E2319" s="2" t="s">
        <v>10148</v>
      </c>
      <c r="F2319" s="3" t="s">
        <v>14206</v>
      </c>
      <c r="H2319" s="3" t="s">
        <v>648</v>
      </c>
      <c r="K2319" s="2">
        <v>20</v>
      </c>
      <c r="L2319" s="2">
        <v>4</v>
      </c>
      <c r="M2319" s="3" t="s">
        <v>194</v>
      </c>
      <c r="N2319" s="3" t="s">
        <v>1498</v>
      </c>
      <c r="O2319" s="3" t="s">
        <v>855</v>
      </c>
      <c r="P2319" s="3" t="s">
        <v>1499</v>
      </c>
      <c r="Q2319" s="30" t="str">
        <f t="shared" si="36"/>
        <v>MAX : 15.09
TARGET : 15.00
MIN : 14.91</v>
      </c>
    </row>
    <row r="2320" spans="2:17" ht="41.4" x14ac:dyDescent="0.3">
      <c r="B2320">
        <v>0</v>
      </c>
      <c r="C2320" s="33">
        <v>8264</v>
      </c>
      <c r="D2320" s="2">
        <v>1193</v>
      </c>
      <c r="E2320" s="2" t="s">
        <v>10148</v>
      </c>
      <c r="F2320" s="3" t="s">
        <v>14206</v>
      </c>
      <c r="H2320" s="3" t="s">
        <v>648</v>
      </c>
      <c r="K2320" s="2">
        <v>20</v>
      </c>
      <c r="L2320" s="2">
        <v>5</v>
      </c>
      <c r="M2320" s="3" t="s">
        <v>1510</v>
      </c>
      <c r="N2320" s="3" t="s">
        <v>13</v>
      </c>
      <c r="O2320" s="3" t="s">
        <v>14</v>
      </c>
      <c r="Q2320" s="30" t="str">
        <f t="shared" si="36"/>
        <v>MAX : 
TARGET : Yes(Pass)
MIN : No(Fail)</v>
      </c>
    </row>
    <row r="2321" spans="2:18" ht="41.4" x14ac:dyDescent="0.3">
      <c r="B2321">
        <v>1</v>
      </c>
      <c r="C2321" s="33">
        <v>7728</v>
      </c>
      <c r="D2321" s="2">
        <v>1142</v>
      </c>
      <c r="E2321" s="2" t="s">
        <v>9546</v>
      </c>
      <c r="F2321" s="3" t="s">
        <v>14206</v>
      </c>
      <c r="H2321" s="3" t="s">
        <v>2520</v>
      </c>
      <c r="K2321" s="2">
        <v>10</v>
      </c>
      <c r="L2321" s="2">
        <v>3</v>
      </c>
      <c r="M2321" s="3" t="s">
        <v>3407</v>
      </c>
      <c r="N2321" s="3" t="s">
        <v>1038</v>
      </c>
      <c r="O2321" s="3" t="s">
        <v>3408</v>
      </c>
      <c r="P2321" s="3" t="s">
        <v>3409</v>
      </c>
      <c r="Q2321" s="30" t="str">
        <f t="shared" si="36"/>
        <v>MAX : 0.060
TARGET : 0.030
MIN : 0.000</v>
      </c>
    </row>
    <row r="2322" spans="2:18" ht="41.4" x14ac:dyDescent="0.3">
      <c r="B2322">
        <v>1</v>
      </c>
      <c r="C2322" s="33">
        <v>7728</v>
      </c>
      <c r="D2322" s="2">
        <v>1142</v>
      </c>
      <c r="E2322" s="2" t="s">
        <v>9546</v>
      </c>
      <c r="F2322" s="3" t="s">
        <v>14206</v>
      </c>
      <c r="H2322" s="3" t="s">
        <v>2520</v>
      </c>
      <c r="K2322" s="2">
        <v>10</v>
      </c>
      <c r="L2322" s="2">
        <v>6</v>
      </c>
      <c r="M2322" s="3" t="s">
        <v>5354</v>
      </c>
      <c r="N2322" s="3" t="s">
        <v>1780</v>
      </c>
      <c r="O2322" s="3" t="s">
        <v>241</v>
      </c>
      <c r="P2322" s="3" t="s">
        <v>1746</v>
      </c>
      <c r="Q2322" s="30" t="str">
        <f t="shared" si="36"/>
        <v>MAX : 0.145
TARGET : 0.125
MIN : 0.105</v>
      </c>
    </row>
    <row r="2323" spans="2:18" ht="41.4" x14ac:dyDescent="0.3">
      <c r="B2323">
        <v>0</v>
      </c>
      <c r="C2323" s="33">
        <v>8270</v>
      </c>
      <c r="D2323" s="2">
        <v>1194</v>
      </c>
      <c r="E2323" s="2" t="s">
        <v>10159</v>
      </c>
      <c r="F2323" s="3" t="s">
        <v>14206</v>
      </c>
      <c r="H2323" s="3" t="s">
        <v>3086</v>
      </c>
      <c r="K2323" s="2">
        <v>10</v>
      </c>
      <c r="L2323" s="2">
        <v>3</v>
      </c>
      <c r="M2323" s="3" t="s">
        <v>3090</v>
      </c>
      <c r="N2323" s="3" t="s">
        <v>24</v>
      </c>
      <c r="O2323" s="3" t="s">
        <v>14</v>
      </c>
      <c r="Q2323" s="30" t="str">
        <f t="shared" si="36"/>
        <v>MAX : 
TARGET : Yes(Pass)
MIN : No (Fail)</v>
      </c>
      <c r="R2323" s="3" t="s">
        <v>3089</v>
      </c>
    </row>
    <row r="2324" spans="2:18" ht="41.4" x14ac:dyDescent="0.3">
      <c r="B2324">
        <v>0</v>
      </c>
      <c r="C2324" s="33">
        <v>8270</v>
      </c>
      <c r="D2324" s="2">
        <v>1194</v>
      </c>
      <c r="E2324" s="2" t="s">
        <v>10159</v>
      </c>
      <c r="F2324" s="3" t="s">
        <v>14206</v>
      </c>
      <c r="H2324" s="3" t="s">
        <v>3086</v>
      </c>
      <c r="K2324" s="2">
        <v>10</v>
      </c>
      <c r="L2324" s="2">
        <v>4</v>
      </c>
      <c r="M2324" s="3" t="s">
        <v>3059</v>
      </c>
      <c r="N2324" s="3" t="s">
        <v>13</v>
      </c>
      <c r="O2324" s="3" t="s">
        <v>14</v>
      </c>
      <c r="Q2324" s="30" t="str">
        <f t="shared" si="36"/>
        <v>MAX : 
TARGET : Yes(Pass)
MIN : No(Fail)</v>
      </c>
      <c r="R2324" s="3" t="s">
        <v>3089</v>
      </c>
    </row>
    <row r="2325" spans="2:18" ht="41.4" x14ac:dyDescent="0.3">
      <c r="B2325">
        <v>1</v>
      </c>
      <c r="C2325" s="33">
        <v>7728</v>
      </c>
      <c r="D2325" s="2">
        <v>1142</v>
      </c>
      <c r="E2325" s="2" t="s">
        <v>9546</v>
      </c>
      <c r="F2325" s="3" t="s">
        <v>14206</v>
      </c>
      <c r="H2325" s="3" t="s">
        <v>2520</v>
      </c>
      <c r="K2325" s="2">
        <v>10</v>
      </c>
      <c r="L2325" s="2">
        <v>10</v>
      </c>
      <c r="M2325" s="3" t="s">
        <v>6204</v>
      </c>
      <c r="N2325" s="3" t="s">
        <v>13</v>
      </c>
      <c r="O2325" s="3" t="s">
        <v>14</v>
      </c>
      <c r="Q2325" s="30" t="str">
        <f t="shared" si="36"/>
        <v>MAX : 
TARGET : Yes(Pass)
MIN : No(Fail)</v>
      </c>
    </row>
    <row r="2326" spans="2:18" ht="41.4" x14ac:dyDescent="0.3">
      <c r="B2326">
        <v>1</v>
      </c>
      <c r="C2326" s="33">
        <v>7737</v>
      </c>
      <c r="D2326" s="2">
        <v>1909</v>
      </c>
      <c r="E2326" s="2" t="s">
        <v>9554</v>
      </c>
      <c r="F2326" s="3" t="s">
        <v>14223</v>
      </c>
      <c r="H2326" s="3" t="s">
        <v>193</v>
      </c>
      <c r="K2326" s="2">
        <v>10</v>
      </c>
      <c r="L2326" s="2">
        <v>2</v>
      </c>
      <c r="M2326" s="3" t="s">
        <v>2510</v>
      </c>
      <c r="N2326" s="3" t="s">
        <v>24</v>
      </c>
      <c r="O2326" s="3" t="s">
        <v>25</v>
      </c>
      <c r="Q2326" s="30" t="str">
        <f t="shared" si="36"/>
        <v>MAX : 
TARGET : Yes (Pass)
MIN : No (Fail)</v>
      </c>
    </row>
    <row r="2327" spans="2:18" ht="41.4" x14ac:dyDescent="0.3">
      <c r="B2327">
        <v>0</v>
      </c>
      <c r="C2327" s="33">
        <v>8271</v>
      </c>
      <c r="D2327" s="2">
        <v>1195</v>
      </c>
      <c r="E2327" s="2" t="s">
        <v>10167</v>
      </c>
      <c r="F2327" s="3" t="s">
        <v>14232</v>
      </c>
      <c r="H2327" s="3" t="s">
        <v>3086</v>
      </c>
      <c r="K2327" s="2">
        <v>10</v>
      </c>
      <c r="L2327" s="2">
        <v>3</v>
      </c>
      <c r="M2327" s="3" t="s">
        <v>3090</v>
      </c>
      <c r="N2327" s="3" t="s">
        <v>24</v>
      </c>
      <c r="O2327" s="3" t="s">
        <v>14</v>
      </c>
      <c r="Q2327" s="30" t="str">
        <f t="shared" si="36"/>
        <v>MAX : 
TARGET : Yes(Pass)
MIN : No (Fail)</v>
      </c>
    </row>
    <row r="2328" spans="2:18" ht="41.4" x14ac:dyDescent="0.3">
      <c r="B2328">
        <v>0</v>
      </c>
      <c r="C2328" s="33">
        <v>8271</v>
      </c>
      <c r="D2328" s="2">
        <v>1195</v>
      </c>
      <c r="E2328" s="2" t="s">
        <v>10167</v>
      </c>
      <c r="F2328" s="3" t="s">
        <v>14232</v>
      </c>
      <c r="H2328" s="3" t="s">
        <v>3086</v>
      </c>
      <c r="K2328" s="2">
        <v>10</v>
      </c>
      <c r="L2328" s="2">
        <v>4</v>
      </c>
      <c r="M2328" s="3" t="s">
        <v>3059</v>
      </c>
      <c r="N2328" s="3" t="s">
        <v>13</v>
      </c>
      <c r="O2328" s="3" t="s">
        <v>14</v>
      </c>
      <c r="Q2328" s="30" t="str">
        <f t="shared" si="36"/>
        <v>MAX : 
TARGET : Yes(Pass)
MIN : No(Fail)</v>
      </c>
    </row>
    <row r="2329" spans="2:18" ht="41.4" x14ac:dyDescent="0.3">
      <c r="B2329">
        <v>1</v>
      </c>
      <c r="C2329" s="33">
        <v>7737</v>
      </c>
      <c r="D2329" s="2">
        <v>1909</v>
      </c>
      <c r="E2329" s="2" t="s">
        <v>9554</v>
      </c>
      <c r="F2329" s="3" t="s">
        <v>14223</v>
      </c>
      <c r="H2329" s="3" t="s">
        <v>193</v>
      </c>
      <c r="K2329" s="2">
        <v>10</v>
      </c>
      <c r="L2329" s="2">
        <v>1</v>
      </c>
      <c r="M2329" s="3" t="s">
        <v>2509</v>
      </c>
      <c r="N2329" s="3" t="s">
        <v>24</v>
      </c>
      <c r="O2329" s="3" t="s">
        <v>25</v>
      </c>
      <c r="Q2329" s="30" t="str">
        <f t="shared" si="36"/>
        <v>MAX : 
TARGET : Yes (Pass)
MIN : No (Fail)</v>
      </c>
    </row>
    <row r="2330" spans="2:18" ht="41.4" x14ac:dyDescent="0.3">
      <c r="B2330">
        <v>1</v>
      </c>
      <c r="C2330" s="33">
        <v>7737</v>
      </c>
      <c r="D2330" s="2">
        <v>1909</v>
      </c>
      <c r="E2330" s="2" t="s">
        <v>9554</v>
      </c>
      <c r="F2330" s="3" t="s">
        <v>14223</v>
      </c>
      <c r="H2330" s="3" t="s">
        <v>193</v>
      </c>
      <c r="K2330" s="2">
        <v>10</v>
      </c>
      <c r="L2330" s="2">
        <v>3</v>
      </c>
      <c r="M2330" s="3" t="s">
        <v>3007</v>
      </c>
      <c r="N2330" s="3" t="s">
        <v>1985</v>
      </c>
      <c r="O2330" s="3" t="s">
        <v>149</v>
      </c>
      <c r="P2330" s="3" t="s">
        <v>1986</v>
      </c>
      <c r="Q2330" s="30" t="str">
        <f t="shared" si="36"/>
        <v>MAX : 12.03
TARGET : 12.00
MIN : 11.97</v>
      </c>
    </row>
    <row r="2331" spans="2:18" ht="41.4" x14ac:dyDescent="0.3">
      <c r="B2331">
        <v>0</v>
      </c>
      <c r="C2331" s="33">
        <v>8272</v>
      </c>
      <c r="D2331" s="2">
        <v>1196</v>
      </c>
      <c r="E2331" s="2" t="s">
        <v>10172</v>
      </c>
      <c r="F2331" s="3" t="s">
        <v>14232</v>
      </c>
      <c r="H2331" s="3" t="s">
        <v>3086</v>
      </c>
      <c r="K2331" s="2">
        <v>10</v>
      </c>
      <c r="L2331" s="2">
        <v>3</v>
      </c>
      <c r="M2331" s="3" t="s">
        <v>3090</v>
      </c>
      <c r="N2331" s="3" t="s">
        <v>24</v>
      </c>
      <c r="O2331" s="3" t="s">
        <v>14</v>
      </c>
      <c r="Q2331" s="30" t="str">
        <f t="shared" si="36"/>
        <v>MAX : 
TARGET : Yes(Pass)
MIN : No (Fail)</v>
      </c>
      <c r="R2331" s="3" t="s">
        <v>3089</v>
      </c>
    </row>
    <row r="2332" spans="2:18" ht="41.4" x14ac:dyDescent="0.3">
      <c r="B2332">
        <v>0</v>
      </c>
      <c r="C2332" s="33">
        <v>8272</v>
      </c>
      <c r="D2332" s="2">
        <v>1196</v>
      </c>
      <c r="E2332" s="2" t="s">
        <v>10172</v>
      </c>
      <c r="F2332" s="3" t="s">
        <v>14232</v>
      </c>
      <c r="H2332" s="3" t="s">
        <v>3086</v>
      </c>
      <c r="K2332" s="2">
        <v>10</v>
      </c>
      <c r="L2332" s="2">
        <v>4</v>
      </c>
      <c r="M2332" s="3" t="s">
        <v>3059</v>
      </c>
      <c r="N2332" s="3" t="s">
        <v>13</v>
      </c>
      <c r="O2332" s="3" t="s">
        <v>14</v>
      </c>
      <c r="Q2332" s="30" t="str">
        <f t="shared" si="36"/>
        <v>MAX : 
TARGET : Yes(Pass)
MIN : No(Fail)</v>
      </c>
      <c r="R2332" s="3" t="s">
        <v>3089</v>
      </c>
    </row>
    <row r="2333" spans="2:18" ht="41.4" x14ac:dyDescent="0.3">
      <c r="B2333">
        <v>1</v>
      </c>
      <c r="C2333" s="33">
        <v>7740</v>
      </c>
      <c r="D2333" s="2">
        <v>1143</v>
      </c>
      <c r="E2333" s="2" t="s">
        <v>9561</v>
      </c>
      <c r="F2333" s="3" t="s">
        <v>14206</v>
      </c>
      <c r="H2333" s="3" t="s">
        <v>2516</v>
      </c>
      <c r="K2333" s="2">
        <v>20</v>
      </c>
      <c r="L2333" s="2">
        <v>2</v>
      </c>
      <c r="M2333" s="3" t="s">
        <v>2423</v>
      </c>
      <c r="N2333" s="3" t="s">
        <v>13</v>
      </c>
      <c r="O2333" s="3" t="s">
        <v>14</v>
      </c>
      <c r="Q2333" s="30" t="str">
        <f t="shared" si="36"/>
        <v>MAX : 
TARGET : Yes(Pass)
MIN : No(Fail)</v>
      </c>
    </row>
    <row r="2334" spans="2:18" ht="41.4" x14ac:dyDescent="0.3">
      <c r="B2334">
        <v>1</v>
      </c>
      <c r="C2334" s="33">
        <v>7740</v>
      </c>
      <c r="D2334" s="2">
        <v>1143</v>
      </c>
      <c r="E2334" s="2" t="s">
        <v>9561</v>
      </c>
      <c r="F2334" s="3" t="s">
        <v>14206</v>
      </c>
      <c r="H2334" s="3" t="s">
        <v>2516</v>
      </c>
      <c r="K2334" s="2">
        <v>20</v>
      </c>
      <c r="L2334" s="2">
        <v>1</v>
      </c>
      <c r="M2334" s="3" t="s">
        <v>2517</v>
      </c>
      <c r="N2334" s="3" t="s">
        <v>13</v>
      </c>
      <c r="O2334" s="3" t="s">
        <v>14</v>
      </c>
      <c r="Q2334" s="30" t="str">
        <f t="shared" si="36"/>
        <v>MAX : 
TARGET : Yes(Pass)
MIN : No(Fail)</v>
      </c>
    </row>
    <row r="2335" spans="2:18" ht="41.4" x14ac:dyDescent="0.3">
      <c r="B2335">
        <v>0</v>
      </c>
      <c r="C2335" s="33">
        <v>8273</v>
      </c>
      <c r="D2335" s="2">
        <v>1197</v>
      </c>
      <c r="E2335" s="2" t="s">
        <v>10178</v>
      </c>
      <c r="F2335" s="3" t="s">
        <v>14206</v>
      </c>
      <c r="H2335" s="3" t="s">
        <v>3086</v>
      </c>
      <c r="K2335" s="2">
        <v>10</v>
      </c>
      <c r="L2335" s="2">
        <v>3</v>
      </c>
      <c r="M2335" s="3" t="s">
        <v>3090</v>
      </c>
      <c r="N2335" s="3" t="s">
        <v>24</v>
      </c>
      <c r="O2335" s="3" t="s">
        <v>14</v>
      </c>
      <c r="Q2335" s="30" t="str">
        <f t="shared" si="36"/>
        <v>MAX : 
TARGET : Yes(Pass)
MIN : No (Fail)</v>
      </c>
      <c r="R2335" s="3" t="s">
        <v>3089</v>
      </c>
    </row>
    <row r="2336" spans="2:18" ht="41.4" x14ac:dyDescent="0.3">
      <c r="B2336">
        <v>0</v>
      </c>
      <c r="C2336" s="33">
        <v>8273</v>
      </c>
      <c r="D2336" s="2">
        <v>1197</v>
      </c>
      <c r="E2336" s="2" t="s">
        <v>10178</v>
      </c>
      <c r="F2336" s="3" t="s">
        <v>14206</v>
      </c>
      <c r="H2336" s="3" t="s">
        <v>3086</v>
      </c>
      <c r="K2336" s="2">
        <v>10</v>
      </c>
      <c r="L2336" s="2">
        <v>4</v>
      </c>
      <c r="M2336" s="3" t="s">
        <v>3059</v>
      </c>
      <c r="N2336" s="3" t="s">
        <v>13</v>
      </c>
      <c r="O2336" s="3" t="s">
        <v>14</v>
      </c>
      <c r="Q2336" s="30" t="str">
        <f t="shared" si="36"/>
        <v>MAX : 
TARGET : Yes(Pass)
MIN : No(Fail)</v>
      </c>
      <c r="R2336" s="3" t="s">
        <v>3089</v>
      </c>
    </row>
    <row r="2337" spans="2:18" ht="41.4" x14ac:dyDescent="0.3">
      <c r="B2337">
        <v>1</v>
      </c>
      <c r="C2337" s="33">
        <v>7741</v>
      </c>
      <c r="D2337" s="2">
        <v>1144</v>
      </c>
      <c r="E2337" s="2" t="s">
        <v>9568</v>
      </c>
      <c r="F2337" s="3" t="s">
        <v>14206</v>
      </c>
      <c r="H2337" s="3" t="s">
        <v>2516</v>
      </c>
      <c r="K2337" s="2">
        <v>10</v>
      </c>
      <c r="L2337" s="2">
        <v>2</v>
      </c>
      <c r="M2337" s="3" t="s">
        <v>2423</v>
      </c>
      <c r="N2337" s="3" t="s">
        <v>13</v>
      </c>
      <c r="O2337" s="3" t="s">
        <v>14</v>
      </c>
      <c r="Q2337" s="30" t="str">
        <f t="shared" si="36"/>
        <v>MAX : 
TARGET : Yes(Pass)
MIN : No(Fail)</v>
      </c>
    </row>
    <row r="2338" spans="2:18" ht="41.4" x14ac:dyDescent="0.3">
      <c r="B2338">
        <v>1</v>
      </c>
      <c r="C2338" s="33">
        <v>7741</v>
      </c>
      <c r="D2338" s="2">
        <v>1144</v>
      </c>
      <c r="E2338" s="2" t="s">
        <v>9568</v>
      </c>
      <c r="F2338" s="3" t="s">
        <v>14206</v>
      </c>
      <c r="H2338" s="3" t="s">
        <v>2516</v>
      </c>
      <c r="K2338" s="2">
        <v>10</v>
      </c>
      <c r="L2338" s="2">
        <v>1</v>
      </c>
      <c r="M2338" s="3" t="s">
        <v>2517</v>
      </c>
      <c r="N2338" s="3" t="s">
        <v>13</v>
      </c>
      <c r="O2338" s="3" t="s">
        <v>14</v>
      </c>
      <c r="Q2338" s="30" t="str">
        <f t="shared" si="36"/>
        <v>MAX : 
TARGET : Yes(Pass)
MIN : No(Fail)</v>
      </c>
    </row>
    <row r="2339" spans="2:18" ht="41.4" x14ac:dyDescent="0.3">
      <c r="B2339">
        <v>0</v>
      </c>
      <c r="C2339" s="33">
        <v>7549</v>
      </c>
      <c r="D2339" s="2">
        <v>1899</v>
      </c>
      <c r="E2339" s="2" t="s">
        <v>9355</v>
      </c>
      <c r="F2339" s="3" t="s">
        <v>14206</v>
      </c>
      <c r="H2339" s="3" t="s">
        <v>491</v>
      </c>
      <c r="K2339" s="2">
        <v>20</v>
      </c>
      <c r="L2339" s="2">
        <v>1</v>
      </c>
      <c r="M2339" s="3" t="s">
        <v>174</v>
      </c>
      <c r="N2339" s="3" t="s">
        <v>405</v>
      </c>
      <c r="O2339" s="3" t="s">
        <v>406</v>
      </c>
      <c r="P2339" s="3" t="s">
        <v>407</v>
      </c>
      <c r="Q2339" s="30" t="str">
        <f t="shared" si="36"/>
        <v>MAX : 2.06
TARGET : 2.00
MIN : 1.94</v>
      </c>
    </row>
    <row r="2340" spans="2:18" ht="41.4" x14ac:dyDescent="0.3">
      <c r="B2340">
        <v>1</v>
      </c>
      <c r="C2340" s="33">
        <v>7746</v>
      </c>
      <c r="D2340" s="2">
        <v>1145</v>
      </c>
      <c r="E2340" s="2" t="s">
        <v>9574</v>
      </c>
      <c r="F2340" s="3" t="s">
        <v>14206</v>
      </c>
      <c r="H2340" s="3" t="s">
        <v>469</v>
      </c>
      <c r="K2340" s="2">
        <v>20</v>
      </c>
      <c r="L2340" s="2">
        <v>2</v>
      </c>
      <c r="M2340" s="3" t="s">
        <v>198</v>
      </c>
      <c r="N2340" s="3" t="s">
        <v>976</v>
      </c>
      <c r="O2340" s="3" t="s">
        <v>2530</v>
      </c>
      <c r="P2340" s="3" t="s">
        <v>1627</v>
      </c>
      <c r="Q2340" s="30" t="str">
        <f t="shared" si="36"/>
        <v>MAX : 2.95
TARGET : 2.92
MIN : 2.89</v>
      </c>
    </row>
    <row r="2341" spans="2:18" ht="41.4" x14ac:dyDescent="0.3">
      <c r="B2341">
        <v>1</v>
      </c>
      <c r="C2341" s="33">
        <v>7746</v>
      </c>
      <c r="D2341" s="2">
        <v>1145</v>
      </c>
      <c r="E2341" s="2" t="s">
        <v>9574</v>
      </c>
      <c r="F2341" s="3" t="s">
        <v>14206</v>
      </c>
      <c r="H2341" s="3" t="s">
        <v>469</v>
      </c>
      <c r="K2341" s="2">
        <v>20</v>
      </c>
      <c r="L2341" s="2">
        <v>1</v>
      </c>
      <c r="M2341" s="3" t="s">
        <v>194</v>
      </c>
      <c r="N2341" s="3" t="s">
        <v>1340</v>
      </c>
      <c r="O2341" s="3" t="s">
        <v>488</v>
      </c>
      <c r="P2341" s="3" t="s">
        <v>75</v>
      </c>
      <c r="Q2341" s="30" t="str">
        <f t="shared" si="36"/>
        <v>MAX : 2.47
TARGET : 2.44
MIN : 2.41</v>
      </c>
    </row>
    <row r="2342" spans="2:18" ht="41.4" x14ac:dyDescent="0.3">
      <c r="B2342">
        <v>1</v>
      </c>
      <c r="C2342" s="33">
        <v>7747</v>
      </c>
      <c r="D2342" s="2">
        <v>1146</v>
      </c>
      <c r="E2342" s="2" t="s">
        <v>9581</v>
      </c>
      <c r="F2342" s="3" t="s">
        <v>14206</v>
      </c>
      <c r="H2342" s="3" t="s">
        <v>469</v>
      </c>
      <c r="K2342" s="2">
        <v>20</v>
      </c>
      <c r="L2342" s="2">
        <v>3</v>
      </c>
      <c r="M2342" s="3" t="s">
        <v>422</v>
      </c>
      <c r="N2342" s="3" t="s">
        <v>1521</v>
      </c>
      <c r="O2342" s="3" t="s">
        <v>2531</v>
      </c>
      <c r="P2342" s="3" t="s">
        <v>689</v>
      </c>
      <c r="Q2342" s="30" t="str">
        <f t="shared" si="36"/>
        <v>MAX : 0.30
TARGET : 0.27
MIN : 0.24</v>
      </c>
    </row>
    <row r="2343" spans="2:18" ht="41.4" x14ac:dyDescent="0.3">
      <c r="B2343">
        <v>1</v>
      </c>
      <c r="C2343" s="33">
        <v>7747</v>
      </c>
      <c r="D2343" s="2">
        <v>1146</v>
      </c>
      <c r="E2343" s="2" t="s">
        <v>9581</v>
      </c>
      <c r="F2343" s="3" t="s">
        <v>14206</v>
      </c>
      <c r="H2343" s="3" t="s">
        <v>469</v>
      </c>
      <c r="K2343" s="2">
        <v>20</v>
      </c>
      <c r="L2343" s="2">
        <v>1</v>
      </c>
      <c r="M2343" s="3" t="s">
        <v>502</v>
      </c>
      <c r="N2343" s="3" t="s">
        <v>2533</v>
      </c>
      <c r="O2343" s="3" t="s">
        <v>2534</v>
      </c>
      <c r="P2343" s="3" t="s">
        <v>2535</v>
      </c>
      <c r="Q2343" s="30" t="str">
        <f t="shared" si="36"/>
        <v>MAX : 3.38
TARGET : 3.35
MIN : 3.32</v>
      </c>
    </row>
    <row r="2344" spans="2:18" ht="41.4" x14ac:dyDescent="0.3">
      <c r="B2344">
        <v>0</v>
      </c>
      <c r="C2344" s="33">
        <v>8286</v>
      </c>
      <c r="D2344" s="2">
        <v>1198</v>
      </c>
      <c r="E2344" s="2" t="s">
        <v>10187</v>
      </c>
      <c r="F2344" s="3" t="s">
        <v>14206</v>
      </c>
      <c r="H2344" s="3" t="s">
        <v>810</v>
      </c>
      <c r="K2344" s="2">
        <v>20</v>
      </c>
      <c r="L2344" s="2">
        <v>3</v>
      </c>
      <c r="M2344" s="3" t="s">
        <v>3101</v>
      </c>
      <c r="N2344" s="3" t="s">
        <v>13</v>
      </c>
      <c r="O2344" s="3" t="s">
        <v>14</v>
      </c>
      <c r="Q2344" s="30" t="str">
        <f t="shared" si="36"/>
        <v>MAX : 
TARGET : Yes(Pass)
MIN : No(Fail)</v>
      </c>
    </row>
    <row r="2345" spans="2:18" ht="41.4" x14ac:dyDescent="0.3">
      <c r="B2345">
        <v>1</v>
      </c>
      <c r="C2345" s="33">
        <v>7753</v>
      </c>
      <c r="D2345" s="2">
        <v>1147</v>
      </c>
      <c r="E2345" s="2" t="s">
        <v>9589</v>
      </c>
      <c r="F2345" s="3" t="s">
        <v>14224</v>
      </c>
      <c r="H2345" s="3" t="s">
        <v>469</v>
      </c>
      <c r="K2345" s="2">
        <v>10</v>
      </c>
      <c r="L2345" s="2">
        <v>2</v>
      </c>
      <c r="M2345" s="3" t="s">
        <v>2554</v>
      </c>
      <c r="N2345" s="3" t="s">
        <v>2555</v>
      </c>
      <c r="O2345" s="3" t="s">
        <v>213</v>
      </c>
      <c r="P2345" s="3" t="s">
        <v>2556</v>
      </c>
      <c r="Q2345" s="30" t="str">
        <f t="shared" si="36"/>
        <v>MAX : 6.012
TARGET : 6.000
MIN : 5.988</v>
      </c>
      <c r="R2345" s="3" t="s">
        <v>2553</v>
      </c>
    </row>
    <row r="2346" spans="2:18" ht="41.4" x14ac:dyDescent="0.3">
      <c r="B2346">
        <v>1</v>
      </c>
      <c r="C2346" s="33">
        <v>7753</v>
      </c>
      <c r="D2346" s="2">
        <v>1147</v>
      </c>
      <c r="E2346" s="2" t="s">
        <v>9589</v>
      </c>
      <c r="F2346" s="3" t="s">
        <v>14224</v>
      </c>
      <c r="H2346" s="3" t="s">
        <v>469</v>
      </c>
      <c r="K2346" s="2">
        <v>10</v>
      </c>
      <c r="L2346" s="2">
        <v>1</v>
      </c>
      <c r="M2346" s="3" t="s">
        <v>2549</v>
      </c>
      <c r="N2346" s="3" t="s">
        <v>2550</v>
      </c>
      <c r="O2346" s="3" t="s">
        <v>2551</v>
      </c>
      <c r="P2346" s="3" t="s">
        <v>2552</v>
      </c>
      <c r="Q2346" s="30" t="str">
        <f t="shared" si="36"/>
        <v>MAX : 7.025
TARGET : 7.000
MIN : 6.975</v>
      </c>
      <c r="R2346" s="3" t="s">
        <v>2553</v>
      </c>
    </row>
    <row r="2347" spans="2:18" ht="41.4" x14ac:dyDescent="0.3">
      <c r="B2347">
        <v>0</v>
      </c>
      <c r="C2347" s="33">
        <v>7853</v>
      </c>
      <c r="D2347" s="2">
        <v>1156</v>
      </c>
      <c r="E2347" s="2" t="s">
        <v>9753</v>
      </c>
      <c r="F2347" s="3" t="s">
        <v>14207</v>
      </c>
      <c r="H2347" s="3" t="s">
        <v>2689</v>
      </c>
      <c r="K2347" s="2">
        <v>20</v>
      </c>
      <c r="L2347" s="2">
        <v>17</v>
      </c>
      <c r="M2347" s="3" t="s">
        <v>3110</v>
      </c>
      <c r="N2347" s="3" t="s">
        <v>3111</v>
      </c>
      <c r="O2347" s="3" t="s">
        <v>3112</v>
      </c>
      <c r="P2347" s="3" t="s">
        <v>3113</v>
      </c>
      <c r="Q2347" s="30" t="str">
        <f t="shared" si="36"/>
        <v>MAX : 3.3400
TARGET : 3.1750
MIN : 3.010</v>
      </c>
      <c r="R2347" s="3" t="s">
        <v>1473</v>
      </c>
    </row>
    <row r="2348" spans="2:18" ht="41.4" x14ac:dyDescent="0.3">
      <c r="B2348">
        <v>1</v>
      </c>
      <c r="C2348" s="33">
        <v>7753</v>
      </c>
      <c r="D2348" s="2">
        <v>1147</v>
      </c>
      <c r="E2348" s="2" t="s">
        <v>9589</v>
      </c>
      <c r="F2348" s="3" t="s">
        <v>14224</v>
      </c>
      <c r="H2348" s="3" t="s">
        <v>469</v>
      </c>
      <c r="K2348" s="2">
        <v>20</v>
      </c>
      <c r="L2348" s="2">
        <v>28</v>
      </c>
      <c r="M2348" s="3" t="s">
        <v>3335</v>
      </c>
      <c r="N2348" s="3" t="s">
        <v>13</v>
      </c>
      <c r="O2348" s="3" t="s">
        <v>14</v>
      </c>
      <c r="Q2348" s="30" t="str">
        <f t="shared" si="36"/>
        <v>MAX : 
TARGET : Yes(Pass)
MIN : No(Fail)</v>
      </c>
      <c r="R2348" s="3" t="s">
        <v>2553</v>
      </c>
    </row>
    <row r="2349" spans="2:18" ht="41.4" x14ac:dyDescent="0.3">
      <c r="B2349">
        <v>1</v>
      </c>
      <c r="C2349" s="33">
        <v>7753</v>
      </c>
      <c r="D2349" s="2">
        <v>1147</v>
      </c>
      <c r="E2349" s="2" t="s">
        <v>9589</v>
      </c>
      <c r="F2349" s="3" t="s">
        <v>14224</v>
      </c>
      <c r="H2349" s="3" t="s">
        <v>469</v>
      </c>
      <c r="K2349" s="2">
        <v>10</v>
      </c>
      <c r="L2349" s="2">
        <v>3</v>
      </c>
      <c r="M2349" s="3" t="s">
        <v>1361</v>
      </c>
      <c r="N2349" s="3" t="s">
        <v>3837</v>
      </c>
      <c r="O2349" s="3" t="s">
        <v>3838</v>
      </c>
      <c r="P2349" s="3" t="s">
        <v>3839</v>
      </c>
      <c r="Q2349" s="30" t="str">
        <f t="shared" si="36"/>
        <v>MAX : 8.000
TARGET : 6.500
MIN : 6.125</v>
      </c>
      <c r="R2349" s="3" t="s">
        <v>2553</v>
      </c>
    </row>
    <row r="2350" spans="2:18" ht="41.4" x14ac:dyDescent="0.3">
      <c r="B2350">
        <v>1</v>
      </c>
      <c r="C2350" s="33">
        <v>7753</v>
      </c>
      <c r="D2350" s="2">
        <v>1147</v>
      </c>
      <c r="E2350" s="2" t="s">
        <v>9589</v>
      </c>
      <c r="F2350" s="3" t="s">
        <v>14224</v>
      </c>
      <c r="H2350" s="3" t="s">
        <v>469</v>
      </c>
      <c r="K2350" s="2">
        <v>10</v>
      </c>
      <c r="L2350" s="2">
        <v>5</v>
      </c>
      <c r="M2350" s="3" t="s">
        <v>3335</v>
      </c>
      <c r="N2350" s="3" t="s">
        <v>13</v>
      </c>
      <c r="O2350" s="3" t="s">
        <v>14</v>
      </c>
      <c r="Q2350" s="30" t="str">
        <f t="shared" si="36"/>
        <v>MAX : 
TARGET : Yes(Pass)
MIN : No(Fail)</v>
      </c>
      <c r="R2350" s="3" t="s">
        <v>2553</v>
      </c>
    </row>
    <row r="2351" spans="2:18" ht="41.4" x14ac:dyDescent="0.3">
      <c r="B2351">
        <v>1</v>
      </c>
      <c r="C2351" s="33">
        <v>7753</v>
      </c>
      <c r="D2351" s="2">
        <v>1147</v>
      </c>
      <c r="E2351" s="2" t="s">
        <v>9589</v>
      </c>
      <c r="F2351" s="3" t="s">
        <v>14224</v>
      </c>
      <c r="H2351" s="3" t="s">
        <v>469</v>
      </c>
      <c r="K2351" s="2">
        <v>20</v>
      </c>
      <c r="L2351" s="2">
        <v>29</v>
      </c>
      <c r="M2351" s="3" t="s">
        <v>4571</v>
      </c>
      <c r="N2351" s="3" t="s">
        <v>360</v>
      </c>
      <c r="O2351" s="3" t="s">
        <v>359</v>
      </c>
      <c r="Q2351" s="30" t="str">
        <f t="shared" si="36"/>
        <v>MAX : 
TARGET : Pass
MIN : Fail</v>
      </c>
      <c r="R2351" s="3" t="s">
        <v>2553</v>
      </c>
    </row>
    <row r="2352" spans="2:18" ht="41.4" x14ac:dyDescent="0.3">
      <c r="B2352">
        <v>1</v>
      </c>
      <c r="C2352" s="33">
        <v>7762</v>
      </c>
      <c r="D2352" s="2">
        <v>1911</v>
      </c>
      <c r="E2352" s="2" t="s">
        <v>9602</v>
      </c>
      <c r="F2352" s="3" t="s">
        <v>14206</v>
      </c>
      <c r="H2352" s="3" t="s">
        <v>269</v>
      </c>
      <c r="K2352" s="2">
        <v>10</v>
      </c>
      <c r="L2352" s="2">
        <v>2</v>
      </c>
      <c r="M2352" s="3" t="s">
        <v>325</v>
      </c>
      <c r="N2352" s="3" t="s">
        <v>13</v>
      </c>
      <c r="O2352" s="3" t="s">
        <v>14</v>
      </c>
      <c r="Q2352" s="30" t="str">
        <f t="shared" si="36"/>
        <v>MAX : 
TARGET : Yes(Pass)
MIN : No(Fail)</v>
      </c>
    </row>
    <row r="2353" spans="2:18" ht="41.4" x14ac:dyDescent="0.3">
      <c r="B2353">
        <v>1</v>
      </c>
      <c r="C2353" s="33">
        <v>7762</v>
      </c>
      <c r="D2353" s="2">
        <v>1911</v>
      </c>
      <c r="E2353" s="2" t="s">
        <v>9602</v>
      </c>
      <c r="F2353" s="3" t="s">
        <v>14206</v>
      </c>
      <c r="H2353" s="3" t="s">
        <v>269</v>
      </c>
      <c r="K2353" s="2">
        <v>10</v>
      </c>
      <c r="L2353" s="2">
        <v>1</v>
      </c>
      <c r="M2353" s="3" t="s">
        <v>99</v>
      </c>
      <c r="N2353" s="3" t="s">
        <v>2548</v>
      </c>
      <c r="O2353" s="3" t="s">
        <v>1969</v>
      </c>
      <c r="P2353" s="3" t="s">
        <v>273</v>
      </c>
      <c r="Q2353" s="30" t="str">
        <f t="shared" si="36"/>
        <v>MAX : 1.13
TARGET : 1.10
MIN : 1.07</v>
      </c>
    </row>
    <row r="2354" spans="2:18" ht="41.4" x14ac:dyDescent="0.3">
      <c r="B2354">
        <v>0</v>
      </c>
      <c r="C2354" s="33">
        <v>2700</v>
      </c>
      <c r="D2354" s="2">
        <v>1714</v>
      </c>
      <c r="E2354" s="2" t="s">
        <v>6632</v>
      </c>
      <c r="F2354" s="3" t="s">
        <v>14206</v>
      </c>
      <c r="H2354" s="3" t="s">
        <v>412</v>
      </c>
      <c r="K2354" s="2">
        <v>20</v>
      </c>
      <c r="L2354" s="2">
        <v>2</v>
      </c>
      <c r="M2354" s="3" t="s">
        <v>3116</v>
      </c>
      <c r="N2354" s="3" t="s">
        <v>13</v>
      </c>
      <c r="O2354" s="3" t="s">
        <v>14</v>
      </c>
      <c r="Q2354" s="30" t="str">
        <f t="shared" si="36"/>
        <v>MAX : 
TARGET : Yes(Pass)
MIN : No(Fail)</v>
      </c>
    </row>
    <row r="2355" spans="2:18" ht="41.4" x14ac:dyDescent="0.3">
      <c r="B2355">
        <v>0</v>
      </c>
      <c r="C2355" s="33">
        <v>2700</v>
      </c>
      <c r="D2355" s="2">
        <v>1714</v>
      </c>
      <c r="E2355" s="2" t="s">
        <v>6632</v>
      </c>
      <c r="F2355" s="3" t="s">
        <v>14206</v>
      </c>
      <c r="H2355" s="3" t="s">
        <v>412</v>
      </c>
      <c r="K2355" s="2">
        <v>30</v>
      </c>
      <c r="L2355" s="2">
        <v>1</v>
      </c>
      <c r="M2355" s="3" t="s">
        <v>3117</v>
      </c>
      <c r="N2355" s="3" t="s">
        <v>13</v>
      </c>
      <c r="O2355" s="3" t="s">
        <v>14</v>
      </c>
      <c r="Q2355" s="30" t="str">
        <f t="shared" si="36"/>
        <v>MAX : 
TARGET : Yes(Pass)
MIN : No(Fail)</v>
      </c>
    </row>
    <row r="2356" spans="2:18" ht="41.4" x14ac:dyDescent="0.3">
      <c r="B2356">
        <v>0</v>
      </c>
      <c r="C2356" s="33">
        <v>2700</v>
      </c>
      <c r="D2356" s="2">
        <v>1714</v>
      </c>
      <c r="E2356" s="2" t="s">
        <v>6632</v>
      </c>
      <c r="F2356" s="3" t="s">
        <v>14206</v>
      </c>
      <c r="H2356" s="3" t="s">
        <v>412</v>
      </c>
      <c r="K2356" s="2">
        <v>50</v>
      </c>
      <c r="L2356" s="2">
        <v>1</v>
      </c>
      <c r="M2356" s="3" t="s">
        <v>3118</v>
      </c>
      <c r="N2356" s="3" t="s">
        <v>13</v>
      </c>
      <c r="O2356" s="3" t="s">
        <v>14</v>
      </c>
      <c r="Q2356" s="30" t="str">
        <f t="shared" si="36"/>
        <v>MAX : 
TARGET : Yes(Pass)
MIN : No(Fail)</v>
      </c>
    </row>
    <row r="2357" spans="2:18" ht="41.4" x14ac:dyDescent="0.3">
      <c r="B2357">
        <v>0</v>
      </c>
      <c r="C2357" s="33">
        <v>2700</v>
      </c>
      <c r="D2357" s="2">
        <v>1714</v>
      </c>
      <c r="E2357" s="2" t="s">
        <v>6632</v>
      </c>
      <c r="F2357" s="3" t="s">
        <v>14206</v>
      </c>
      <c r="H2357" s="3" t="s">
        <v>412</v>
      </c>
      <c r="K2357" s="2">
        <v>50</v>
      </c>
      <c r="L2357" s="2">
        <v>2</v>
      </c>
      <c r="M2357" s="3" t="s">
        <v>3119</v>
      </c>
      <c r="N2357" s="3" t="s">
        <v>13</v>
      </c>
      <c r="O2357" s="3" t="s">
        <v>14</v>
      </c>
      <c r="Q2357" s="30" t="str">
        <f t="shared" si="36"/>
        <v>MAX : 
TARGET : Yes(Pass)
MIN : No(Fail)</v>
      </c>
    </row>
    <row r="2358" spans="2:18" ht="41.4" x14ac:dyDescent="0.3">
      <c r="B2358">
        <v>1</v>
      </c>
      <c r="C2358" s="33">
        <v>7763</v>
      </c>
      <c r="D2358" s="2">
        <v>1148</v>
      </c>
      <c r="E2358" s="2" t="s">
        <v>9608</v>
      </c>
      <c r="F2358" s="3" t="s">
        <v>14207</v>
      </c>
      <c r="H2358" s="3" t="s">
        <v>648</v>
      </c>
      <c r="K2358" s="2">
        <v>10</v>
      </c>
      <c r="L2358" s="2">
        <v>2</v>
      </c>
      <c r="M2358" s="3" t="s">
        <v>2543</v>
      </c>
      <c r="N2358" s="3" t="s">
        <v>2544</v>
      </c>
      <c r="O2358" s="3" t="s">
        <v>1356</v>
      </c>
      <c r="P2358" s="3" t="s">
        <v>2545</v>
      </c>
      <c r="Q2358" s="30" t="str">
        <f t="shared" si="36"/>
        <v>MAX : 10.3
TARGET : 10.0
MIN : 9.7</v>
      </c>
    </row>
    <row r="2359" spans="2:18" ht="41.4" x14ac:dyDescent="0.3">
      <c r="B2359">
        <v>1</v>
      </c>
      <c r="C2359" s="33">
        <v>7763</v>
      </c>
      <c r="D2359" s="2">
        <v>1148</v>
      </c>
      <c r="E2359" s="2" t="s">
        <v>9608</v>
      </c>
      <c r="F2359" s="3" t="s">
        <v>14207</v>
      </c>
      <c r="H2359" s="3" t="s">
        <v>648</v>
      </c>
      <c r="K2359" s="2">
        <v>10</v>
      </c>
      <c r="L2359" s="2">
        <v>1</v>
      </c>
      <c r="M2359" s="3" t="s">
        <v>194</v>
      </c>
      <c r="N2359" s="3" t="s">
        <v>2540</v>
      </c>
      <c r="O2359" s="3" t="s">
        <v>2541</v>
      </c>
      <c r="P2359" s="3" t="s">
        <v>2542</v>
      </c>
      <c r="Q2359" s="30" t="str">
        <f t="shared" si="36"/>
        <v>MAX : 7.3
TARGET : 7.0
MIN : 6.7</v>
      </c>
    </row>
    <row r="2360" spans="2:18" ht="41.4" x14ac:dyDescent="0.3">
      <c r="B2360">
        <v>0</v>
      </c>
      <c r="C2360" s="33">
        <v>8296</v>
      </c>
      <c r="D2360" s="2">
        <v>1200</v>
      </c>
      <c r="E2360" s="2" t="s">
        <v>10207</v>
      </c>
      <c r="F2360" s="3" t="s">
        <v>14206</v>
      </c>
      <c r="H2360" s="3" t="s">
        <v>3120</v>
      </c>
      <c r="K2360" s="2">
        <v>20</v>
      </c>
      <c r="L2360" s="2">
        <v>3</v>
      </c>
      <c r="M2360" s="3" t="s">
        <v>3101</v>
      </c>
      <c r="N2360" s="3" t="s">
        <v>13</v>
      </c>
      <c r="O2360" s="3" t="s">
        <v>14</v>
      </c>
      <c r="Q2360" s="30" t="str">
        <f t="shared" si="36"/>
        <v>MAX : 
TARGET : Yes(Pass)
MIN : No(Fail)</v>
      </c>
    </row>
    <row r="2361" spans="2:18" ht="41.4" x14ac:dyDescent="0.3">
      <c r="B2361">
        <v>1</v>
      </c>
      <c r="C2361" s="33">
        <v>7769</v>
      </c>
      <c r="D2361" s="2">
        <v>1913</v>
      </c>
      <c r="E2361" s="2" t="s">
        <v>9619</v>
      </c>
      <c r="F2361" s="3" t="s">
        <v>14206</v>
      </c>
      <c r="H2361" s="3" t="s">
        <v>11</v>
      </c>
      <c r="K2361" s="2">
        <v>10</v>
      </c>
      <c r="L2361" s="2">
        <v>2</v>
      </c>
      <c r="M2361" s="3" t="s">
        <v>2618</v>
      </c>
      <c r="N2361" s="3" t="s">
        <v>462</v>
      </c>
      <c r="O2361" s="3" t="s">
        <v>424</v>
      </c>
      <c r="P2361" s="3" t="s">
        <v>463</v>
      </c>
      <c r="Q2361" s="30" t="str">
        <f t="shared" si="36"/>
        <v>MAX : 0.28
TARGET : 0.25
MIN : 0.22</v>
      </c>
    </row>
    <row r="2362" spans="2:18" ht="41.4" x14ac:dyDescent="0.3">
      <c r="B2362">
        <v>1</v>
      </c>
      <c r="C2362" s="33">
        <v>7769</v>
      </c>
      <c r="D2362" s="2">
        <v>1913</v>
      </c>
      <c r="E2362" s="2" t="s">
        <v>9619</v>
      </c>
      <c r="F2362" s="3" t="s">
        <v>14206</v>
      </c>
      <c r="H2362" s="3" t="s">
        <v>11</v>
      </c>
      <c r="K2362" s="2">
        <v>10</v>
      </c>
      <c r="L2362" s="2">
        <v>1</v>
      </c>
      <c r="M2362" s="3" t="s">
        <v>99</v>
      </c>
      <c r="N2362" s="3" t="s">
        <v>420</v>
      </c>
      <c r="O2362" s="3" t="s">
        <v>272</v>
      </c>
      <c r="P2362" s="3" t="s">
        <v>414</v>
      </c>
      <c r="Q2362" s="30" t="str">
        <f t="shared" si="36"/>
        <v>MAX : 1.03
TARGET : 1.00
MIN : 0.97</v>
      </c>
    </row>
    <row r="2363" spans="2:18" ht="41.4" x14ac:dyDescent="0.3">
      <c r="B2363">
        <v>1</v>
      </c>
      <c r="C2363" s="33">
        <v>7769</v>
      </c>
      <c r="D2363" s="2">
        <v>1913</v>
      </c>
      <c r="E2363" s="2" t="s">
        <v>9619</v>
      </c>
      <c r="F2363" s="3" t="s">
        <v>14206</v>
      </c>
      <c r="H2363" s="3" t="s">
        <v>11</v>
      </c>
      <c r="K2363" s="2">
        <v>10</v>
      </c>
      <c r="L2363" s="2">
        <v>3</v>
      </c>
      <c r="M2363" s="3" t="s">
        <v>2963</v>
      </c>
      <c r="N2363" s="3" t="s">
        <v>308</v>
      </c>
      <c r="O2363" s="3" t="s">
        <v>309</v>
      </c>
      <c r="P2363" s="3" t="s">
        <v>310</v>
      </c>
      <c r="Q2363" s="30" t="str">
        <f t="shared" si="36"/>
        <v>MAX : 0.53
TARGET : 0.50
MIN : 0.47</v>
      </c>
    </row>
    <row r="2364" spans="2:18" ht="41.4" x14ac:dyDescent="0.3">
      <c r="B2364">
        <v>1</v>
      </c>
      <c r="C2364" s="33">
        <v>7769</v>
      </c>
      <c r="D2364" s="2">
        <v>1913</v>
      </c>
      <c r="E2364" s="2" t="s">
        <v>9619</v>
      </c>
      <c r="F2364" s="3" t="s">
        <v>14206</v>
      </c>
      <c r="H2364" s="3" t="s">
        <v>11</v>
      </c>
      <c r="K2364" s="2">
        <v>10</v>
      </c>
      <c r="L2364" s="2">
        <v>7</v>
      </c>
      <c r="M2364" s="3" t="s">
        <v>4304</v>
      </c>
      <c r="N2364" s="3" t="s">
        <v>13</v>
      </c>
      <c r="O2364" s="3" t="s">
        <v>14</v>
      </c>
      <c r="Q2364" s="30" t="str">
        <f t="shared" si="36"/>
        <v>MAX : 
TARGET : Yes(Pass)
MIN : No(Fail)</v>
      </c>
    </row>
    <row r="2365" spans="2:18" ht="41.4" x14ac:dyDescent="0.3">
      <c r="B2365">
        <v>0</v>
      </c>
      <c r="C2365" s="33">
        <v>8304</v>
      </c>
      <c r="D2365" s="2">
        <v>1201</v>
      </c>
      <c r="E2365" s="2" t="s">
        <v>10213</v>
      </c>
      <c r="F2365" s="3" t="s">
        <v>14206</v>
      </c>
      <c r="H2365" s="3" t="s">
        <v>3123</v>
      </c>
      <c r="K2365" s="2">
        <v>20</v>
      </c>
      <c r="L2365" s="2">
        <v>1</v>
      </c>
      <c r="M2365" s="3" t="s">
        <v>194</v>
      </c>
      <c r="N2365" s="3" t="s">
        <v>3127</v>
      </c>
      <c r="O2365" s="3" t="s">
        <v>1906</v>
      </c>
      <c r="P2365" s="3" t="s">
        <v>1151</v>
      </c>
      <c r="Q2365" s="30" t="str">
        <f t="shared" si="36"/>
        <v>MAX : 1.45
TARGET : 1.43
MIN : 1.41</v>
      </c>
      <c r="R2365" s="3" t="s">
        <v>1638</v>
      </c>
    </row>
    <row r="2366" spans="2:18" ht="41.4" x14ac:dyDescent="0.3">
      <c r="B2366">
        <v>0</v>
      </c>
      <c r="C2366" s="33">
        <v>8304</v>
      </c>
      <c r="D2366" s="2">
        <v>1201</v>
      </c>
      <c r="E2366" s="2" t="s">
        <v>10213</v>
      </c>
      <c r="F2366" s="3" t="s">
        <v>14206</v>
      </c>
      <c r="H2366" s="3" t="s">
        <v>3123</v>
      </c>
      <c r="K2366" s="2">
        <v>20</v>
      </c>
      <c r="L2366" s="2">
        <v>2</v>
      </c>
      <c r="M2366" s="3" t="s">
        <v>198</v>
      </c>
      <c r="N2366" s="3" t="s">
        <v>419</v>
      </c>
      <c r="O2366" s="3" t="s">
        <v>630</v>
      </c>
      <c r="P2366" s="3" t="s">
        <v>3128</v>
      </c>
      <c r="Q2366" s="30" t="str">
        <f t="shared" si="36"/>
        <v>MAX : 1.32
TARGET : 1.30
MIN : 1.28</v>
      </c>
      <c r="R2366" s="3" t="s">
        <v>1638</v>
      </c>
    </row>
    <row r="2367" spans="2:18" ht="41.4" x14ac:dyDescent="0.3">
      <c r="B2367">
        <v>0</v>
      </c>
      <c r="C2367" s="33">
        <v>8304</v>
      </c>
      <c r="D2367" s="2">
        <v>1201</v>
      </c>
      <c r="E2367" s="2" t="s">
        <v>10213</v>
      </c>
      <c r="F2367" s="3" t="s">
        <v>14206</v>
      </c>
      <c r="H2367" s="3" t="s">
        <v>3123</v>
      </c>
      <c r="K2367" s="2">
        <v>20</v>
      </c>
      <c r="L2367" s="2">
        <v>3</v>
      </c>
      <c r="M2367" s="3" t="s">
        <v>3129</v>
      </c>
      <c r="N2367" s="3" t="s">
        <v>13</v>
      </c>
      <c r="O2367" s="3" t="s">
        <v>14</v>
      </c>
      <c r="Q2367" s="30" t="str">
        <f t="shared" si="36"/>
        <v>MAX : 
TARGET : Yes(Pass)
MIN : No(Fail)</v>
      </c>
      <c r="R2367" s="3" t="s">
        <v>1638</v>
      </c>
    </row>
    <row r="2368" spans="2:18" ht="41.4" x14ac:dyDescent="0.3">
      <c r="B2368">
        <v>0</v>
      </c>
      <c r="C2368" s="33">
        <v>8304</v>
      </c>
      <c r="D2368" s="2">
        <v>1201</v>
      </c>
      <c r="E2368" s="2" t="s">
        <v>10213</v>
      </c>
      <c r="F2368" s="3" t="s">
        <v>14206</v>
      </c>
      <c r="H2368" s="3" t="s">
        <v>3123</v>
      </c>
      <c r="K2368" s="2">
        <v>30</v>
      </c>
      <c r="L2368" s="2">
        <v>1</v>
      </c>
      <c r="M2368" s="3" t="s">
        <v>3130</v>
      </c>
      <c r="N2368" s="3" t="s">
        <v>13</v>
      </c>
      <c r="O2368" s="3" t="s">
        <v>14</v>
      </c>
      <c r="Q2368" s="30" t="str">
        <f t="shared" si="36"/>
        <v>MAX : 
TARGET : Yes(Pass)
MIN : No(Fail)</v>
      </c>
      <c r="R2368" s="3" t="s">
        <v>1638</v>
      </c>
    </row>
    <row r="2369" spans="2:17" ht="41.4" x14ac:dyDescent="0.3">
      <c r="B2369">
        <v>1</v>
      </c>
      <c r="C2369" s="33">
        <v>7776</v>
      </c>
      <c r="D2369" s="2">
        <v>1149</v>
      </c>
      <c r="E2369" s="2" t="s">
        <v>9627</v>
      </c>
      <c r="F2369" s="3" t="s">
        <v>14206</v>
      </c>
      <c r="H2369" s="3" t="s">
        <v>1130</v>
      </c>
      <c r="K2369" s="2">
        <v>10</v>
      </c>
      <c r="L2369" s="2">
        <v>2</v>
      </c>
      <c r="M2369" s="3" t="s">
        <v>18</v>
      </c>
      <c r="N2369" s="3" t="s">
        <v>2626</v>
      </c>
      <c r="O2369" s="3" t="s">
        <v>2627</v>
      </c>
      <c r="P2369" s="3" t="s">
        <v>1812</v>
      </c>
      <c r="Q2369" s="30" t="str">
        <f t="shared" si="36"/>
        <v>MAX : 3.45
TARGET : 3.39
MIN : 3.33</v>
      </c>
    </row>
    <row r="2370" spans="2:17" ht="41.4" x14ac:dyDescent="0.3">
      <c r="B2370">
        <v>1</v>
      </c>
      <c r="C2370" s="33">
        <v>7776</v>
      </c>
      <c r="D2370" s="2">
        <v>1149</v>
      </c>
      <c r="E2370" s="2" t="s">
        <v>9627</v>
      </c>
      <c r="F2370" s="3" t="s">
        <v>14206</v>
      </c>
      <c r="H2370" s="3" t="s">
        <v>1130</v>
      </c>
      <c r="K2370" s="2">
        <v>10</v>
      </c>
      <c r="L2370" s="2">
        <v>1</v>
      </c>
      <c r="M2370" s="3" t="s">
        <v>22</v>
      </c>
      <c r="N2370" s="3" t="s">
        <v>163</v>
      </c>
      <c r="O2370" s="3" t="s">
        <v>2451</v>
      </c>
      <c r="P2370" s="3" t="s">
        <v>2453</v>
      </c>
      <c r="Q2370" s="30" t="str">
        <f t="shared" ref="Q2370:Q2433" si="37">"MAX : " &amp; P2370 &amp; CHAR(10) &amp; "TARGET : " &amp; O2370 &amp; CHAR(10) &amp; "MIN : " &amp; N2370</f>
        <v>MAX : 3.87
TARGET : 3.81
MIN : 3.75</v>
      </c>
    </row>
    <row r="2371" spans="2:17" ht="41.4" x14ac:dyDescent="0.3">
      <c r="B2371">
        <v>0</v>
      </c>
      <c r="C2371" s="33">
        <v>8319</v>
      </c>
      <c r="D2371" s="2">
        <v>1204</v>
      </c>
      <c r="E2371" s="2" t="s">
        <v>10231</v>
      </c>
      <c r="F2371" s="3" t="s">
        <v>14206</v>
      </c>
      <c r="H2371" s="3" t="s">
        <v>469</v>
      </c>
      <c r="K2371" s="2">
        <v>10</v>
      </c>
      <c r="L2371" s="2">
        <v>3</v>
      </c>
      <c r="M2371" s="3" t="s">
        <v>78</v>
      </c>
      <c r="N2371" s="3" t="s">
        <v>13</v>
      </c>
      <c r="O2371" s="3" t="s">
        <v>14</v>
      </c>
      <c r="Q2371" s="30" t="str">
        <f t="shared" si="37"/>
        <v>MAX : 
TARGET : Yes(Pass)
MIN : No(Fail)</v>
      </c>
    </row>
    <row r="2372" spans="2:17" ht="41.4" x14ac:dyDescent="0.3">
      <c r="B2372">
        <v>1</v>
      </c>
      <c r="C2372" s="33">
        <v>7777</v>
      </c>
      <c r="D2372" s="2">
        <v>1914</v>
      </c>
      <c r="E2372" s="2" t="s">
        <v>9634</v>
      </c>
      <c r="F2372" s="3" t="s">
        <v>14206</v>
      </c>
      <c r="H2372" s="3" t="s">
        <v>568</v>
      </c>
      <c r="I2372" s="3" t="s">
        <v>487</v>
      </c>
      <c r="K2372" s="2">
        <v>20</v>
      </c>
      <c r="L2372" s="2">
        <v>1</v>
      </c>
      <c r="M2372" s="3" t="s">
        <v>174</v>
      </c>
      <c r="N2372" s="3" t="s">
        <v>1910</v>
      </c>
      <c r="O2372" s="3" t="s">
        <v>1911</v>
      </c>
      <c r="P2372" s="3" t="s">
        <v>1912</v>
      </c>
      <c r="Q2372" s="30" t="str">
        <f t="shared" si="37"/>
        <v>MAX : 15.125
TARGET : 15.000
MIN : 14.875</v>
      </c>
    </row>
    <row r="2373" spans="2:17" ht="41.4" x14ac:dyDescent="0.3">
      <c r="B2373">
        <v>1</v>
      </c>
      <c r="C2373" s="33">
        <v>7777</v>
      </c>
      <c r="D2373" s="2">
        <v>1914</v>
      </c>
      <c r="E2373" s="2" t="s">
        <v>9634</v>
      </c>
      <c r="F2373" s="3" t="s">
        <v>14206</v>
      </c>
      <c r="H2373" s="3" t="s">
        <v>568</v>
      </c>
      <c r="I2373" s="3" t="s">
        <v>487</v>
      </c>
      <c r="K2373" s="2">
        <v>10</v>
      </c>
      <c r="L2373" s="2">
        <v>1</v>
      </c>
      <c r="M2373" s="3" t="s">
        <v>2630</v>
      </c>
      <c r="N2373" s="3" t="s">
        <v>1910</v>
      </c>
      <c r="O2373" s="3" t="s">
        <v>1911</v>
      </c>
      <c r="P2373" s="3" t="s">
        <v>1912</v>
      </c>
      <c r="Q2373" s="30" t="str">
        <f t="shared" si="37"/>
        <v>MAX : 15.125
TARGET : 15.000
MIN : 14.875</v>
      </c>
    </row>
    <row r="2374" spans="2:17" ht="41.4" x14ac:dyDescent="0.3">
      <c r="B2374">
        <v>0</v>
      </c>
      <c r="C2374" s="33">
        <v>8314</v>
      </c>
      <c r="D2374" s="2">
        <v>1202</v>
      </c>
      <c r="E2374" s="2" t="s">
        <v>10219</v>
      </c>
      <c r="F2374" s="3" t="s">
        <v>14233</v>
      </c>
      <c r="H2374" s="3" t="s">
        <v>648</v>
      </c>
      <c r="K2374" s="2">
        <v>10</v>
      </c>
      <c r="L2374" s="2">
        <v>3</v>
      </c>
      <c r="M2374" s="3" t="s">
        <v>78</v>
      </c>
      <c r="N2374" s="3" t="s">
        <v>13</v>
      </c>
      <c r="O2374" s="3" t="s">
        <v>14</v>
      </c>
      <c r="Q2374" s="30" t="str">
        <f t="shared" si="37"/>
        <v>MAX : 
TARGET : Yes(Pass)
MIN : No(Fail)</v>
      </c>
    </row>
    <row r="2375" spans="2:17" ht="41.4" x14ac:dyDescent="0.3">
      <c r="B2375">
        <v>1</v>
      </c>
      <c r="C2375" s="33">
        <v>7777</v>
      </c>
      <c r="D2375" s="2">
        <v>1914</v>
      </c>
      <c r="E2375" s="2" t="s">
        <v>9634</v>
      </c>
      <c r="F2375" s="3" t="s">
        <v>14206</v>
      </c>
      <c r="H2375" s="3" t="s">
        <v>568</v>
      </c>
      <c r="I2375" s="3" t="s">
        <v>487</v>
      </c>
      <c r="K2375" s="2">
        <v>20</v>
      </c>
      <c r="L2375" s="2">
        <v>5</v>
      </c>
      <c r="M2375" s="3" t="s">
        <v>6205</v>
      </c>
      <c r="N2375" s="3" t="s">
        <v>13</v>
      </c>
      <c r="O2375" s="3" t="s">
        <v>14</v>
      </c>
      <c r="Q2375" s="30" t="str">
        <f t="shared" si="37"/>
        <v>MAX : 
TARGET : Yes(Pass)
MIN : No(Fail)</v>
      </c>
    </row>
    <row r="2376" spans="2:17" ht="41.4" x14ac:dyDescent="0.3">
      <c r="B2376">
        <v>1</v>
      </c>
      <c r="C2376" s="33">
        <v>7780</v>
      </c>
      <c r="D2376" s="2">
        <v>1915</v>
      </c>
      <c r="E2376" s="2" t="s">
        <v>9641</v>
      </c>
      <c r="F2376" s="3" t="s">
        <v>14206</v>
      </c>
      <c r="H2376" s="3" t="s">
        <v>870</v>
      </c>
      <c r="K2376" s="2">
        <v>10</v>
      </c>
      <c r="L2376" s="2">
        <v>2</v>
      </c>
      <c r="M2376" s="3" t="s">
        <v>2269</v>
      </c>
      <c r="N2376" s="3" t="s">
        <v>13</v>
      </c>
      <c r="O2376" s="3" t="s">
        <v>14</v>
      </c>
      <c r="Q2376" s="30" t="str">
        <f t="shared" si="37"/>
        <v>MAX : 
TARGET : Yes(Pass)
MIN : No(Fail)</v>
      </c>
    </row>
    <row r="2377" spans="2:17" ht="41.4" x14ac:dyDescent="0.3">
      <c r="B2377">
        <v>0</v>
      </c>
      <c r="C2377" s="33">
        <v>8315</v>
      </c>
      <c r="D2377" s="2">
        <v>1203</v>
      </c>
      <c r="E2377" s="2" t="s">
        <v>10225</v>
      </c>
      <c r="F2377" s="3" t="s">
        <v>14207</v>
      </c>
      <c r="H2377" s="3" t="s">
        <v>648</v>
      </c>
      <c r="K2377" s="2">
        <v>10</v>
      </c>
      <c r="L2377" s="2">
        <v>3</v>
      </c>
      <c r="M2377" s="3" t="s">
        <v>78</v>
      </c>
      <c r="N2377" s="3" t="s">
        <v>13</v>
      </c>
      <c r="O2377" s="3" t="s">
        <v>14</v>
      </c>
      <c r="Q2377" s="30" t="str">
        <f t="shared" si="37"/>
        <v>MAX : 
TARGET : Yes(Pass)
MIN : No(Fail)</v>
      </c>
    </row>
    <row r="2378" spans="2:17" ht="41.4" x14ac:dyDescent="0.3">
      <c r="B2378">
        <v>1</v>
      </c>
      <c r="C2378" s="33">
        <v>7780</v>
      </c>
      <c r="D2378" s="2">
        <v>1915</v>
      </c>
      <c r="E2378" s="2" t="s">
        <v>9641</v>
      </c>
      <c r="F2378" s="3" t="s">
        <v>14206</v>
      </c>
      <c r="H2378" s="3" t="s">
        <v>870</v>
      </c>
      <c r="K2378" s="2">
        <v>10</v>
      </c>
      <c r="L2378" s="2">
        <v>1</v>
      </c>
      <c r="M2378" s="3" t="s">
        <v>99</v>
      </c>
      <c r="N2378" s="3" t="s">
        <v>131</v>
      </c>
      <c r="O2378" s="3" t="s">
        <v>132</v>
      </c>
      <c r="P2378" s="3" t="s">
        <v>133</v>
      </c>
      <c r="Q2378" s="30" t="str">
        <f t="shared" si="37"/>
        <v>MAX : 0.78
TARGET : 0.75
MIN : 0.72</v>
      </c>
    </row>
    <row r="2379" spans="2:17" ht="41.4" x14ac:dyDescent="0.3">
      <c r="B2379">
        <v>1</v>
      </c>
      <c r="C2379" s="33">
        <v>7784</v>
      </c>
      <c r="D2379" s="2">
        <v>1916</v>
      </c>
      <c r="E2379" s="2" t="s">
        <v>9648</v>
      </c>
      <c r="F2379" s="3" t="s">
        <v>14206</v>
      </c>
      <c r="G2379" s="3" t="s">
        <v>2633</v>
      </c>
      <c r="H2379" s="3" t="s">
        <v>98</v>
      </c>
      <c r="K2379" s="2">
        <v>10</v>
      </c>
      <c r="L2379" s="2">
        <v>3</v>
      </c>
      <c r="M2379" s="3" t="s">
        <v>2634</v>
      </c>
      <c r="N2379" s="3" t="s">
        <v>13</v>
      </c>
      <c r="O2379" s="3" t="s">
        <v>14</v>
      </c>
      <c r="Q2379" s="30" t="str">
        <f t="shared" si="37"/>
        <v>MAX : 
TARGET : Yes(Pass)
MIN : No(Fail)</v>
      </c>
    </row>
    <row r="2380" spans="2:17" ht="41.4" x14ac:dyDescent="0.3">
      <c r="B2380">
        <v>1</v>
      </c>
      <c r="C2380" s="33">
        <v>7784</v>
      </c>
      <c r="D2380" s="2">
        <v>1916</v>
      </c>
      <c r="E2380" s="2" t="s">
        <v>9648</v>
      </c>
      <c r="F2380" s="3" t="s">
        <v>14206</v>
      </c>
      <c r="G2380" s="3" t="s">
        <v>2633</v>
      </c>
      <c r="H2380" s="3" t="s">
        <v>98</v>
      </c>
      <c r="K2380" s="2">
        <v>10</v>
      </c>
      <c r="L2380" s="2">
        <v>2</v>
      </c>
      <c r="M2380" s="3" t="s">
        <v>1970</v>
      </c>
      <c r="N2380" s="3" t="s">
        <v>13</v>
      </c>
      <c r="O2380" s="3" t="s">
        <v>14</v>
      </c>
      <c r="Q2380" s="30" t="str">
        <f t="shared" si="37"/>
        <v>MAX : 
TARGET : Yes(Pass)
MIN : No(Fail)</v>
      </c>
    </row>
    <row r="2381" spans="2:17" ht="41.4" x14ac:dyDescent="0.3">
      <c r="B2381">
        <v>0</v>
      </c>
      <c r="C2381" s="33">
        <v>8329</v>
      </c>
      <c r="D2381" s="2">
        <v>1205</v>
      </c>
      <c r="E2381" s="2" t="s">
        <v>10238</v>
      </c>
      <c r="F2381" s="3" t="s">
        <v>14206</v>
      </c>
      <c r="H2381" s="3" t="s">
        <v>3142</v>
      </c>
      <c r="K2381" s="2">
        <v>10</v>
      </c>
      <c r="L2381" s="2">
        <v>3</v>
      </c>
      <c r="M2381" s="3" t="s">
        <v>1666</v>
      </c>
      <c r="N2381" s="3" t="s">
        <v>690</v>
      </c>
      <c r="O2381" s="3" t="s">
        <v>691</v>
      </c>
      <c r="P2381" s="3" t="s">
        <v>1732</v>
      </c>
      <c r="Q2381" s="30" t="str">
        <f t="shared" si="37"/>
        <v>MAX : 0.39
TARGET : 0.36
MIN : 0.33</v>
      </c>
    </row>
    <row r="2382" spans="2:17" ht="41.4" x14ac:dyDescent="0.3">
      <c r="B2382">
        <v>0</v>
      </c>
      <c r="C2382" s="33">
        <v>8329</v>
      </c>
      <c r="D2382" s="2">
        <v>1205</v>
      </c>
      <c r="E2382" s="2" t="s">
        <v>10238</v>
      </c>
      <c r="F2382" s="3" t="s">
        <v>14206</v>
      </c>
      <c r="H2382" s="3" t="s">
        <v>3142</v>
      </c>
      <c r="K2382" s="2">
        <v>10</v>
      </c>
      <c r="L2382" s="2">
        <v>4</v>
      </c>
      <c r="M2382" s="3" t="s">
        <v>1749</v>
      </c>
      <c r="N2382" s="3" t="s">
        <v>13</v>
      </c>
      <c r="O2382" s="3" t="s">
        <v>14</v>
      </c>
      <c r="Q2382" s="30" t="str">
        <f t="shared" si="37"/>
        <v>MAX : 
TARGET : Yes(Pass)
MIN : No(Fail)</v>
      </c>
    </row>
    <row r="2383" spans="2:17" ht="41.4" x14ac:dyDescent="0.3">
      <c r="B2383">
        <v>1</v>
      </c>
      <c r="C2383" s="33">
        <v>7786</v>
      </c>
      <c r="D2383" s="2">
        <v>1150</v>
      </c>
      <c r="E2383" s="2" t="s">
        <v>9655</v>
      </c>
      <c r="F2383" s="3" t="s">
        <v>14207</v>
      </c>
      <c r="H2383" s="3" t="s">
        <v>2636</v>
      </c>
      <c r="K2383" s="2">
        <v>20</v>
      </c>
      <c r="L2383" s="2">
        <v>5</v>
      </c>
      <c r="M2383" s="3" t="s">
        <v>2641</v>
      </c>
      <c r="N2383" s="3" t="s">
        <v>13</v>
      </c>
      <c r="O2383" s="3" t="s">
        <v>14</v>
      </c>
      <c r="Q2383" s="30" t="str">
        <f t="shared" si="37"/>
        <v>MAX : 
TARGET : Yes(Pass)
MIN : No(Fail)</v>
      </c>
    </row>
    <row r="2384" spans="2:17" ht="41.4" x14ac:dyDescent="0.3">
      <c r="B2384">
        <v>1</v>
      </c>
      <c r="C2384" s="33">
        <v>7786</v>
      </c>
      <c r="D2384" s="2">
        <v>1150</v>
      </c>
      <c r="E2384" s="2" t="s">
        <v>9655</v>
      </c>
      <c r="F2384" s="3" t="s">
        <v>14207</v>
      </c>
      <c r="H2384" s="3" t="s">
        <v>2636</v>
      </c>
      <c r="K2384" s="2">
        <v>20</v>
      </c>
      <c r="L2384" s="2">
        <v>1</v>
      </c>
      <c r="M2384" s="3" t="s">
        <v>2637</v>
      </c>
      <c r="N2384" s="3" t="s">
        <v>2638</v>
      </c>
      <c r="O2384" s="3" t="s">
        <v>2639</v>
      </c>
      <c r="P2384" s="3" t="s">
        <v>2640</v>
      </c>
      <c r="Q2384" s="30" t="str">
        <f t="shared" si="37"/>
        <v>MAX : 106.7
TARGET : 106.0
MIN : 105.3</v>
      </c>
    </row>
    <row r="2385" spans="2:18" ht="41.4" x14ac:dyDescent="0.3">
      <c r="B2385">
        <v>1</v>
      </c>
      <c r="C2385" s="33">
        <v>7786</v>
      </c>
      <c r="D2385" s="2">
        <v>1150</v>
      </c>
      <c r="E2385" s="2" t="s">
        <v>9655</v>
      </c>
      <c r="F2385" s="3" t="s">
        <v>14207</v>
      </c>
      <c r="H2385" s="3" t="s">
        <v>2636</v>
      </c>
      <c r="K2385" s="2">
        <v>20</v>
      </c>
      <c r="L2385" s="2">
        <v>2</v>
      </c>
      <c r="M2385" s="3" t="s">
        <v>3925</v>
      </c>
      <c r="N2385" s="3" t="s">
        <v>2638</v>
      </c>
      <c r="O2385" s="3" t="s">
        <v>2639</v>
      </c>
      <c r="P2385" s="3" t="s">
        <v>2640</v>
      </c>
      <c r="Q2385" s="30" t="str">
        <f t="shared" si="37"/>
        <v>MAX : 106.7
TARGET : 106.0
MIN : 105.3</v>
      </c>
    </row>
    <row r="2386" spans="2:18" ht="41.4" x14ac:dyDescent="0.3">
      <c r="B2386">
        <v>0</v>
      </c>
      <c r="C2386" s="33">
        <v>8334</v>
      </c>
      <c r="D2386" s="2">
        <v>1207</v>
      </c>
      <c r="E2386" s="2" t="s">
        <v>10253</v>
      </c>
      <c r="F2386" s="3" t="s">
        <v>14206</v>
      </c>
      <c r="H2386" s="3" t="s">
        <v>3147</v>
      </c>
      <c r="K2386" s="2">
        <v>30</v>
      </c>
      <c r="L2386" s="2">
        <v>1</v>
      </c>
      <c r="M2386" s="3" t="s">
        <v>3152</v>
      </c>
      <c r="N2386" s="3" t="s">
        <v>3153</v>
      </c>
      <c r="O2386" s="3" t="s">
        <v>855</v>
      </c>
      <c r="P2386" s="3" t="s">
        <v>3154</v>
      </c>
      <c r="Q2386" s="30" t="str">
        <f t="shared" si="37"/>
        <v>MAX : 15.03
TARGET : 15.00
MIN : 14.97</v>
      </c>
    </row>
    <row r="2387" spans="2:18" ht="41.4" x14ac:dyDescent="0.3">
      <c r="B2387">
        <v>0</v>
      </c>
      <c r="C2387" s="33">
        <v>8334</v>
      </c>
      <c r="D2387" s="2">
        <v>1207</v>
      </c>
      <c r="E2387" s="2" t="s">
        <v>10253</v>
      </c>
      <c r="F2387" s="3" t="s">
        <v>14206</v>
      </c>
      <c r="H2387" s="3" t="s">
        <v>3147</v>
      </c>
      <c r="K2387" s="2">
        <v>30</v>
      </c>
      <c r="L2387" s="2">
        <v>2</v>
      </c>
      <c r="M2387" s="3" t="s">
        <v>3155</v>
      </c>
      <c r="N2387" s="3" t="s">
        <v>1760</v>
      </c>
      <c r="O2387" s="3" t="s">
        <v>966</v>
      </c>
      <c r="P2387" s="3" t="s">
        <v>1484</v>
      </c>
      <c r="Q2387" s="30" t="str">
        <f t="shared" si="37"/>
        <v>MAX : 7.03
TARGET : 7.00
MIN : 6.97</v>
      </c>
    </row>
    <row r="2388" spans="2:18" ht="41.4" x14ac:dyDescent="0.3">
      <c r="B2388">
        <v>0</v>
      </c>
      <c r="C2388" s="33">
        <v>8334</v>
      </c>
      <c r="D2388" s="2">
        <v>1207</v>
      </c>
      <c r="E2388" s="2" t="s">
        <v>10253</v>
      </c>
      <c r="F2388" s="3" t="s">
        <v>14206</v>
      </c>
      <c r="H2388" s="3" t="s">
        <v>3147</v>
      </c>
      <c r="K2388" s="2">
        <v>30</v>
      </c>
      <c r="L2388" s="2">
        <v>3</v>
      </c>
      <c r="M2388" s="3" t="s">
        <v>3156</v>
      </c>
      <c r="N2388" s="3" t="s">
        <v>814</v>
      </c>
      <c r="O2388" s="3" t="s">
        <v>815</v>
      </c>
      <c r="P2388" s="3" t="s">
        <v>816</v>
      </c>
      <c r="Q2388" s="30" t="str">
        <f t="shared" si="37"/>
        <v>MAX : 3.03
TARGET : 3.00
MIN : 2.97</v>
      </c>
    </row>
    <row r="2389" spans="2:18" ht="41.4" x14ac:dyDescent="0.3">
      <c r="B2389">
        <v>0</v>
      </c>
      <c r="C2389" s="33">
        <v>8334</v>
      </c>
      <c r="D2389" s="2">
        <v>1207</v>
      </c>
      <c r="E2389" s="2" t="s">
        <v>10253</v>
      </c>
      <c r="F2389" s="3" t="s">
        <v>14206</v>
      </c>
      <c r="H2389" s="3" t="s">
        <v>3147</v>
      </c>
      <c r="K2389" s="2">
        <v>30</v>
      </c>
      <c r="L2389" s="2">
        <v>4</v>
      </c>
      <c r="M2389" s="3" t="s">
        <v>3157</v>
      </c>
      <c r="N2389" s="3" t="s">
        <v>27</v>
      </c>
      <c r="O2389" s="3" t="s">
        <v>28</v>
      </c>
      <c r="P2389" s="3" t="s">
        <v>29</v>
      </c>
      <c r="Q2389" s="30" t="str">
        <f t="shared" si="37"/>
        <v>MAX : 1.53
TARGET : 1.50
MIN : 1.47</v>
      </c>
    </row>
    <row r="2390" spans="2:18" ht="41.4" x14ac:dyDescent="0.3">
      <c r="B2390">
        <v>0</v>
      </c>
      <c r="C2390" s="33">
        <v>8334</v>
      </c>
      <c r="D2390" s="2">
        <v>1207</v>
      </c>
      <c r="E2390" s="2" t="s">
        <v>10253</v>
      </c>
      <c r="F2390" s="3" t="s">
        <v>14206</v>
      </c>
      <c r="H2390" s="3" t="s">
        <v>3147</v>
      </c>
      <c r="K2390" s="2">
        <v>30</v>
      </c>
      <c r="L2390" s="2">
        <v>5</v>
      </c>
      <c r="M2390" s="3" t="s">
        <v>3158</v>
      </c>
      <c r="N2390" s="3" t="s">
        <v>27</v>
      </c>
      <c r="O2390" s="3" t="s">
        <v>28</v>
      </c>
      <c r="P2390" s="3" t="s">
        <v>29</v>
      </c>
      <c r="Q2390" s="30" t="str">
        <f t="shared" si="37"/>
        <v>MAX : 1.53
TARGET : 1.50
MIN : 1.47</v>
      </c>
    </row>
    <row r="2391" spans="2:18" ht="41.4" x14ac:dyDescent="0.3">
      <c r="B2391">
        <v>0</v>
      </c>
      <c r="C2391" s="33">
        <v>8334</v>
      </c>
      <c r="D2391" s="2">
        <v>1207</v>
      </c>
      <c r="E2391" s="2" t="s">
        <v>10253</v>
      </c>
      <c r="F2391" s="3" t="s">
        <v>14206</v>
      </c>
      <c r="H2391" s="3" t="s">
        <v>3147</v>
      </c>
      <c r="K2391" s="2">
        <v>30</v>
      </c>
      <c r="L2391" s="2">
        <v>6</v>
      </c>
      <c r="M2391" s="3" t="s">
        <v>3159</v>
      </c>
      <c r="N2391" s="3" t="s">
        <v>13</v>
      </c>
      <c r="O2391" s="3" t="s">
        <v>14</v>
      </c>
      <c r="Q2391" s="30" t="str">
        <f t="shared" si="37"/>
        <v>MAX : 
TARGET : Yes(Pass)
MIN : No(Fail)</v>
      </c>
    </row>
    <row r="2392" spans="2:18" ht="41.4" x14ac:dyDescent="0.3">
      <c r="B2392">
        <v>1</v>
      </c>
      <c r="C2392" s="33">
        <v>7786</v>
      </c>
      <c r="D2392" s="2">
        <v>1150</v>
      </c>
      <c r="E2392" s="2" t="s">
        <v>9655</v>
      </c>
      <c r="F2392" s="3" t="s">
        <v>14207</v>
      </c>
      <c r="H2392" s="3" t="s">
        <v>2636</v>
      </c>
      <c r="K2392" s="2">
        <v>20</v>
      </c>
      <c r="L2392" s="2">
        <v>3</v>
      </c>
      <c r="M2392" s="3" t="s">
        <v>3926</v>
      </c>
      <c r="N2392" s="3" t="s">
        <v>2638</v>
      </c>
      <c r="O2392" s="3" t="s">
        <v>2639</v>
      </c>
      <c r="P2392" s="3" t="s">
        <v>2640</v>
      </c>
      <c r="Q2392" s="30" t="str">
        <f t="shared" si="37"/>
        <v>MAX : 106.7
TARGET : 106.0
MIN : 105.3</v>
      </c>
    </row>
    <row r="2393" spans="2:18" ht="41.4" x14ac:dyDescent="0.3">
      <c r="B2393">
        <v>1</v>
      </c>
      <c r="C2393" s="33">
        <v>7789</v>
      </c>
      <c r="D2393" s="2">
        <v>1151</v>
      </c>
      <c r="E2393" s="2" t="s">
        <v>9663</v>
      </c>
      <c r="F2393" s="29" t="s">
        <v>14225</v>
      </c>
      <c r="H2393" s="3" t="s">
        <v>2138</v>
      </c>
      <c r="K2393" s="2">
        <v>10</v>
      </c>
      <c r="L2393" s="2">
        <v>2</v>
      </c>
      <c r="M2393" s="3" t="s">
        <v>2644</v>
      </c>
      <c r="N2393" s="3" t="s">
        <v>24</v>
      </c>
      <c r="O2393" s="3" t="s">
        <v>25</v>
      </c>
      <c r="Q2393" s="30" t="str">
        <f t="shared" si="37"/>
        <v>MAX : 
TARGET : Yes (Pass)
MIN : No (Fail)</v>
      </c>
      <c r="R2393" s="3" t="s">
        <v>1638</v>
      </c>
    </row>
    <row r="2394" spans="2:18" ht="41.4" x14ac:dyDescent="0.3">
      <c r="B2394">
        <v>1</v>
      </c>
      <c r="C2394" s="33">
        <v>7789</v>
      </c>
      <c r="D2394" s="2">
        <v>1151</v>
      </c>
      <c r="E2394" s="2" t="s">
        <v>9663</v>
      </c>
      <c r="F2394" s="29" t="s">
        <v>14225</v>
      </c>
      <c r="H2394" s="3" t="s">
        <v>2138</v>
      </c>
      <c r="K2394" s="2">
        <v>10</v>
      </c>
      <c r="L2394" s="2">
        <v>1</v>
      </c>
      <c r="M2394" s="3" t="s">
        <v>2643</v>
      </c>
      <c r="N2394" s="3" t="s">
        <v>24</v>
      </c>
      <c r="O2394" s="3" t="s">
        <v>25</v>
      </c>
      <c r="Q2394" s="30" t="str">
        <f t="shared" si="37"/>
        <v>MAX : 
TARGET : Yes (Pass)
MIN : No (Fail)</v>
      </c>
      <c r="R2394" s="3" t="s">
        <v>1638</v>
      </c>
    </row>
    <row r="2395" spans="2:18" ht="41.4" x14ac:dyDescent="0.3">
      <c r="B2395">
        <v>1</v>
      </c>
      <c r="C2395" s="33">
        <v>7789</v>
      </c>
      <c r="D2395" s="2">
        <v>1151</v>
      </c>
      <c r="E2395" s="2" t="s">
        <v>9663</v>
      </c>
      <c r="F2395" s="29" t="s">
        <v>14225</v>
      </c>
      <c r="H2395" s="3" t="s">
        <v>2138</v>
      </c>
      <c r="K2395" s="2">
        <v>10</v>
      </c>
      <c r="L2395" s="2">
        <v>7</v>
      </c>
      <c r="M2395" s="3" t="s">
        <v>4973</v>
      </c>
      <c r="N2395" s="3" t="s">
        <v>13</v>
      </c>
      <c r="O2395" s="3" t="s">
        <v>14</v>
      </c>
      <c r="Q2395" s="30" t="str">
        <f t="shared" si="37"/>
        <v>MAX : 
TARGET : Yes(Pass)
MIN : No(Fail)</v>
      </c>
      <c r="R2395" s="3" t="s">
        <v>1638</v>
      </c>
    </row>
    <row r="2396" spans="2:18" ht="41.4" x14ac:dyDescent="0.3">
      <c r="B2396">
        <v>0</v>
      </c>
      <c r="C2396" s="33">
        <v>8337</v>
      </c>
      <c r="D2396" s="2">
        <v>1208</v>
      </c>
      <c r="E2396" s="2" t="s">
        <v>10259</v>
      </c>
      <c r="F2396" s="3" t="s">
        <v>14206</v>
      </c>
      <c r="H2396" s="3" t="s">
        <v>417</v>
      </c>
      <c r="K2396" s="2">
        <v>20</v>
      </c>
      <c r="L2396" s="2">
        <v>3</v>
      </c>
      <c r="M2396" s="3" t="s">
        <v>78</v>
      </c>
      <c r="N2396" s="3" t="s">
        <v>13</v>
      </c>
      <c r="O2396" s="3" t="s">
        <v>14</v>
      </c>
      <c r="Q2396" s="30" t="str">
        <f t="shared" si="37"/>
        <v>MAX : 
TARGET : Yes(Pass)
MIN : No(Fail)</v>
      </c>
    </row>
    <row r="2397" spans="2:18" ht="41.4" x14ac:dyDescent="0.3">
      <c r="B2397">
        <v>1</v>
      </c>
      <c r="C2397" s="33">
        <v>7792</v>
      </c>
      <c r="D2397" s="2">
        <v>1917</v>
      </c>
      <c r="E2397" s="2" t="s">
        <v>9671</v>
      </c>
      <c r="F2397" s="3" t="s">
        <v>14206</v>
      </c>
      <c r="H2397" s="3" t="s">
        <v>66</v>
      </c>
      <c r="K2397" s="2">
        <v>10</v>
      </c>
      <c r="L2397" s="2">
        <v>2</v>
      </c>
      <c r="M2397" s="3" t="s">
        <v>2649</v>
      </c>
      <c r="N2397" s="3" t="s">
        <v>24</v>
      </c>
      <c r="O2397" s="3" t="s">
        <v>25</v>
      </c>
      <c r="Q2397" s="30" t="str">
        <f t="shared" si="37"/>
        <v>MAX : 
TARGET : Yes (Pass)
MIN : No (Fail)</v>
      </c>
    </row>
    <row r="2398" spans="2:18" ht="41.4" x14ac:dyDescent="0.3">
      <c r="B2398">
        <v>1</v>
      </c>
      <c r="C2398" s="33">
        <v>7792</v>
      </c>
      <c r="D2398" s="2">
        <v>1917</v>
      </c>
      <c r="E2398" s="2" t="s">
        <v>9671</v>
      </c>
      <c r="F2398" s="3" t="s">
        <v>14206</v>
      </c>
      <c r="H2398" s="3" t="s">
        <v>66</v>
      </c>
      <c r="K2398" s="2">
        <v>10</v>
      </c>
      <c r="L2398" s="2">
        <v>1</v>
      </c>
      <c r="M2398" s="3" t="s">
        <v>788</v>
      </c>
      <c r="N2398" s="3" t="s">
        <v>405</v>
      </c>
      <c r="O2398" s="3" t="s">
        <v>406</v>
      </c>
      <c r="P2398" s="3" t="s">
        <v>407</v>
      </c>
      <c r="Q2398" s="30" t="str">
        <f t="shared" si="37"/>
        <v>MAX : 2.06
TARGET : 2.00
MIN : 1.94</v>
      </c>
    </row>
    <row r="2399" spans="2:18" ht="41.4" x14ac:dyDescent="0.3">
      <c r="B2399">
        <v>0</v>
      </c>
      <c r="C2399" s="33">
        <v>8338</v>
      </c>
      <c r="D2399" s="2">
        <v>1209</v>
      </c>
      <c r="E2399" s="2" t="s">
        <v>10266</v>
      </c>
      <c r="F2399" s="3" t="s">
        <v>14206</v>
      </c>
      <c r="H2399" s="3" t="s">
        <v>417</v>
      </c>
      <c r="K2399" s="2">
        <v>20</v>
      </c>
      <c r="L2399" s="2">
        <v>3</v>
      </c>
      <c r="M2399" s="3" t="s">
        <v>78</v>
      </c>
      <c r="N2399" s="3" t="s">
        <v>13</v>
      </c>
      <c r="O2399" s="3" t="s">
        <v>14</v>
      </c>
      <c r="Q2399" s="30" t="str">
        <f t="shared" si="37"/>
        <v>MAX : 
TARGET : Yes(Pass)
MIN : No(Fail)</v>
      </c>
    </row>
    <row r="2400" spans="2:18" ht="41.4" x14ac:dyDescent="0.3">
      <c r="B2400">
        <v>1</v>
      </c>
      <c r="C2400" s="33">
        <v>7795</v>
      </c>
      <c r="D2400" s="2">
        <v>1918</v>
      </c>
      <c r="E2400" s="2" t="s">
        <v>9677</v>
      </c>
      <c r="F2400" s="3" t="s">
        <v>14206</v>
      </c>
      <c r="H2400" s="3" t="s">
        <v>721</v>
      </c>
      <c r="K2400" s="2">
        <v>20</v>
      </c>
      <c r="L2400" s="2">
        <v>2</v>
      </c>
      <c r="M2400" s="3" t="s">
        <v>872</v>
      </c>
      <c r="N2400" s="3" t="s">
        <v>13</v>
      </c>
      <c r="O2400" s="3" t="s">
        <v>14</v>
      </c>
      <c r="Q2400" s="30" t="str">
        <f t="shared" si="37"/>
        <v>MAX : 
TARGET : Yes(Pass)
MIN : No(Fail)</v>
      </c>
    </row>
    <row r="2401" spans="2:18" ht="41.4" x14ac:dyDescent="0.3">
      <c r="B2401">
        <v>1</v>
      </c>
      <c r="C2401" s="33">
        <v>7795</v>
      </c>
      <c r="D2401" s="2">
        <v>1918</v>
      </c>
      <c r="E2401" s="2" t="s">
        <v>9677</v>
      </c>
      <c r="F2401" s="3" t="s">
        <v>14206</v>
      </c>
      <c r="H2401" s="3" t="s">
        <v>721</v>
      </c>
      <c r="K2401" s="2">
        <v>20</v>
      </c>
      <c r="L2401" s="2">
        <v>1</v>
      </c>
      <c r="M2401" s="3" t="s">
        <v>99</v>
      </c>
      <c r="N2401" s="3" t="s">
        <v>241</v>
      </c>
      <c r="O2401" s="3" t="s">
        <v>424</v>
      </c>
      <c r="P2401" s="3" t="s">
        <v>276</v>
      </c>
      <c r="Q2401" s="30" t="str">
        <f t="shared" si="37"/>
        <v>MAX : 0.375
TARGET : 0.25
MIN : 0.125</v>
      </c>
    </row>
    <row r="2402" spans="2:18" ht="41.4" x14ac:dyDescent="0.3">
      <c r="B2402">
        <v>0</v>
      </c>
      <c r="C2402" s="33">
        <v>8339</v>
      </c>
      <c r="D2402" s="2">
        <v>1210</v>
      </c>
      <c r="E2402" s="2" t="s">
        <v>10272</v>
      </c>
      <c r="F2402" s="3" t="s">
        <v>14206</v>
      </c>
      <c r="H2402" s="3" t="s">
        <v>727</v>
      </c>
      <c r="K2402" s="2">
        <v>20</v>
      </c>
      <c r="L2402" s="2">
        <v>3</v>
      </c>
      <c r="M2402" s="3" t="s">
        <v>78</v>
      </c>
      <c r="N2402" s="3" t="s">
        <v>13</v>
      </c>
      <c r="O2402" s="3" t="s">
        <v>14</v>
      </c>
      <c r="Q2402" s="30" t="str">
        <f t="shared" si="37"/>
        <v>MAX : 
TARGET : Yes(Pass)
MIN : No(Fail)</v>
      </c>
    </row>
    <row r="2403" spans="2:18" ht="41.4" x14ac:dyDescent="0.3">
      <c r="B2403">
        <v>1</v>
      </c>
      <c r="C2403" s="33">
        <v>7806</v>
      </c>
      <c r="D2403" s="2">
        <v>1153</v>
      </c>
      <c r="E2403" s="2" t="s">
        <v>9690</v>
      </c>
      <c r="F2403" s="3" t="s">
        <v>14207</v>
      </c>
      <c r="H2403" s="3" t="s">
        <v>504</v>
      </c>
      <c r="K2403" s="2">
        <v>20</v>
      </c>
      <c r="L2403" s="2">
        <v>2</v>
      </c>
      <c r="M2403" s="3" t="s">
        <v>2652</v>
      </c>
      <c r="N2403" s="3" t="s">
        <v>2262</v>
      </c>
      <c r="O2403" s="3" t="s">
        <v>306</v>
      </c>
      <c r="P2403" s="3" t="s">
        <v>2651</v>
      </c>
      <c r="Q2403" s="30" t="str">
        <f t="shared" si="37"/>
        <v>MAX : 52
TARGET : 50
MIN : 48</v>
      </c>
    </row>
    <row r="2404" spans="2:18" ht="41.4" x14ac:dyDescent="0.3">
      <c r="B2404">
        <v>1</v>
      </c>
      <c r="C2404" s="33">
        <v>7806</v>
      </c>
      <c r="D2404" s="2">
        <v>1153</v>
      </c>
      <c r="E2404" s="2" t="s">
        <v>9690</v>
      </c>
      <c r="F2404" s="3" t="s">
        <v>14207</v>
      </c>
      <c r="H2404" s="3" t="s">
        <v>504</v>
      </c>
      <c r="K2404" s="2">
        <v>20</v>
      </c>
      <c r="L2404" s="2">
        <v>1</v>
      </c>
      <c r="M2404" s="3" t="s">
        <v>2650</v>
      </c>
      <c r="N2404" s="3" t="s">
        <v>2262</v>
      </c>
      <c r="O2404" s="3" t="s">
        <v>306</v>
      </c>
      <c r="P2404" s="3" t="s">
        <v>2651</v>
      </c>
      <c r="Q2404" s="30" t="str">
        <f t="shared" si="37"/>
        <v>MAX : 52
TARGET : 50
MIN : 48</v>
      </c>
    </row>
    <row r="2405" spans="2:18" ht="41.4" x14ac:dyDescent="0.3">
      <c r="B2405">
        <v>1</v>
      </c>
      <c r="C2405" s="33">
        <v>7806</v>
      </c>
      <c r="D2405" s="2">
        <v>1153</v>
      </c>
      <c r="E2405" s="2" t="s">
        <v>9690</v>
      </c>
      <c r="F2405" s="3" t="s">
        <v>14207</v>
      </c>
      <c r="H2405" s="3" t="s">
        <v>504</v>
      </c>
      <c r="K2405" s="2">
        <v>20</v>
      </c>
      <c r="L2405" s="2">
        <v>4</v>
      </c>
      <c r="M2405" s="3" t="s">
        <v>2937</v>
      </c>
      <c r="N2405" s="3" t="s">
        <v>1350</v>
      </c>
      <c r="O2405" s="3" t="s">
        <v>892</v>
      </c>
      <c r="P2405" s="3" t="s">
        <v>892</v>
      </c>
      <c r="Q2405" s="30" t="str">
        <f t="shared" si="37"/>
        <v>MAX : 10
TARGET : 10
MIN : 7.5</v>
      </c>
    </row>
    <row r="2406" spans="2:18" ht="41.4" x14ac:dyDescent="0.3">
      <c r="B2406">
        <v>0</v>
      </c>
      <c r="C2406" s="33">
        <v>8035</v>
      </c>
      <c r="D2406" s="2">
        <v>1171</v>
      </c>
      <c r="E2406" s="2" t="s">
        <v>9948</v>
      </c>
      <c r="F2406" s="3" t="s">
        <v>14207</v>
      </c>
      <c r="H2406" s="3" t="s">
        <v>648</v>
      </c>
      <c r="K2406" s="2">
        <v>20</v>
      </c>
      <c r="L2406" s="2">
        <v>4</v>
      </c>
      <c r="M2406" s="3" t="s">
        <v>3173</v>
      </c>
      <c r="N2406" s="3" t="s">
        <v>3170</v>
      </c>
      <c r="O2406" s="3" t="s">
        <v>1065</v>
      </c>
      <c r="P2406" s="3" t="s">
        <v>3171</v>
      </c>
      <c r="Q2406" s="30" t="str">
        <f t="shared" si="37"/>
        <v>MAX : 5.1
TARGET : 5.0
MIN : 4.9</v>
      </c>
      <c r="R2406" s="3" t="s">
        <v>1638</v>
      </c>
    </row>
    <row r="2407" spans="2:18" ht="41.4" x14ac:dyDescent="0.3">
      <c r="B2407">
        <v>0</v>
      </c>
      <c r="C2407" s="33">
        <v>8035</v>
      </c>
      <c r="D2407" s="2">
        <v>1171</v>
      </c>
      <c r="E2407" s="2" t="s">
        <v>9948</v>
      </c>
      <c r="F2407" s="3" t="s">
        <v>14207</v>
      </c>
      <c r="H2407" s="3" t="s">
        <v>648</v>
      </c>
      <c r="K2407" s="2">
        <v>20</v>
      </c>
      <c r="L2407" s="2">
        <v>5</v>
      </c>
      <c r="M2407" s="3" t="s">
        <v>3174</v>
      </c>
      <c r="N2407" s="3" t="s">
        <v>3170</v>
      </c>
      <c r="O2407" s="3" t="s">
        <v>1065</v>
      </c>
      <c r="P2407" s="3" t="s">
        <v>3171</v>
      </c>
      <c r="Q2407" s="30" t="str">
        <f t="shared" si="37"/>
        <v>MAX : 5.1
TARGET : 5.0
MIN : 4.9</v>
      </c>
      <c r="R2407" s="3" t="s">
        <v>1638</v>
      </c>
    </row>
    <row r="2408" spans="2:18" ht="41.4" x14ac:dyDescent="0.3">
      <c r="B2408">
        <v>0</v>
      </c>
      <c r="C2408" s="33">
        <v>8035</v>
      </c>
      <c r="D2408" s="2">
        <v>1171</v>
      </c>
      <c r="E2408" s="2" t="s">
        <v>9948</v>
      </c>
      <c r="F2408" s="3" t="s">
        <v>14207</v>
      </c>
      <c r="H2408" s="3" t="s">
        <v>648</v>
      </c>
      <c r="K2408" s="2">
        <v>20</v>
      </c>
      <c r="L2408" s="2">
        <v>6</v>
      </c>
      <c r="M2408" s="3" t="s">
        <v>3175</v>
      </c>
      <c r="N2408" s="3" t="s">
        <v>3176</v>
      </c>
      <c r="O2408" s="3" t="s">
        <v>2678</v>
      </c>
      <c r="P2408" s="3" t="s">
        <v>2257</v>
      </c>
      <c r="Q2408" s="30" t="str">
        <f t="shared" si="37"/>
        <v>MAX : 39.5
TARGET : 39.4
MIN : 39.3</v>
      </c>
      <c r="R2408" s="3" t="s">
        <v>1638</v>
      </c>
    </row>
    <row r="2409" spans="2:18" ht="41.4" x14ac:dyDescent="0.3">
      <c r="B2409">
        <v>0</v>
      </c>
      <c r="C2409" s="33">
        <v>8035</v>
      </c>
      <c r="D2409" s="2">
        <v>1171</v>
      </c>
      <c r="E2409" s="2" t="s">
        <v>9948</v>
      </c>
      <c r="F2409" s="3" t="s">
        <v>14207</v>
      </c>
      <c r="H2409" s="3" t="s">
        <v>648</v>
      </c>
      <c r="K2409" s="2">
        <v>20</v>
      </c>
      <c r="L2409" s="2">
        <v>7</v>
      </c>
      <c r="M2409" s="3" t="s">
        <v>3177</v>
      </c>
      <c r="N2409" s="3" t="s">
        <v>3176</v>
      </c>
      <c r="O2409" s="3" t="s">
        <v>2678</v>
      </c>
      <c r="P2409" s="3" t="s">
        <v>2257</v>
      </c>
      <c r="Q2409" s="30" t="str">
        <f t="shared" si="37"/>
        <v>MAX : 39.5
TARGET : 39.4
MIN : 39.3</v>
      </c>
      <c r="R2409" s="3" t="s">
        <v>1638</v>
      </c>
    </row>
    <row r="2410" spans="2:18" ht="41.4" x14ac:dyDescent="0.3">
      <c r="B2410">
        <v>0</v>
      </c>
      <c r="C2410" s="33">
        <v>8035</v>
      </c>
      <c r="D2410" s="2">
        <v>1171</v>
      </c>
      <c r="E2410" s="2" t="s">
        <v>9948</v>
      </c>
      <c r="F2410" s="3" t="s">
        <v>14207</v>
      </c>
      <c r="H2410" s="3" t="s">
        <v>648</v>
      </c>
      <c r="K2410" s="2">
        <v>20</v>
      </c>
      <c r="L2410" s="2">
        <v>8</v>
      </c>
      <c r="M2410" s="3" t="s">
        <v>3178</v>
      </c>
      <c r="N2410" s="3" t="s">
        <v>3176</v>
      </c>
      <c r="O2410" s="3" t="s">
        <v>2678</v>
      </c>
      <c r="P2410" s="3" t="s">
        <v>2257</v>
      </c>
      <c r="Q2410" s="30" t="str">
        <f t="shared" si="37"/>
        <v>MAX : 39.5
TARGET : 39.4
MIN : 39.3</v>
      </c>
      <c r="R2410" s="3" t="s">
        <v>1638</v>
      </c>
    </row>
    <row r="2411" spans="2:18" ht="41.4" x14ac:dyDescent="0.3">
      <c r="B2411">
        <v>0</v>
      </c>
      <c r="C2411" s="33">
        <v>8035</v>
      </c>
      <c r="D2411" s="2">
        <v>1171</v>
      </c>
      <c r="E2411" s="2" t="s">
        <v>9948</v>
      </c>
      <c r="F2411" s="3" t="s">
        <v>14207</v>
      </c>
      <c r="H2411" s="3" t="s">
        <v>648</v>
      </c>
      <c r="K2411" s="2">
        <v>20</v>
      </c>
      <c r="L2411" s="2">
        <v>9</v>
      </c>
      <c r="M2411" s="3" t="s">
        <v>3179</v>
      </c>
      <c r="N2411" s="3" t="s">
        <v>3176</v>
      </c>
      <c r="O2411" s="3" t="s">
        <v>2678</v>
      </c>
      <c r="P2411" s="3" t="s">
        <v>2257</v>
      </c>
      <c r="Q2411" s="30" t="str">
        <f t="shared" si="37"/>
        <v>MAX : 39.5
TARGET : 39.4
MIN : 39.3</v>
      </c>
      <c r="R2411" s="3" t="s">
        <v>1638</v>
      </c>
    </row>
    <row r="2412" spans="2:18" ht="41.4" x14ac:dyDescent="0.3">
      <c r="B2412">
        <v>0</v>
      </c>
      <c r="C2412" s="33">
        <v>8035</v>
      </c>
      <c r="D2412" s="2">
        <v>1171</v>
      </c>
      <c r="E2412" s="2" t="s">
        <v>9948</v>
      </c>
      <c r="F2412" s="3" t="s">
        <v>14207</v>
      </c>
      <c r="H2412" s="3" t="s">
        <v>648</v>
      </c>
      <c r="K2412" s="2">
        <v>20</v>
      </c>
      <c r="L2412" s="2">
        <v>10</v>
      </c>
      <c r="M2412" s="3" t="s">
        <v>3180</v>
      </c>
      <c r="N2412" s="3" t="s">
        <v>3181</v>
      </c>
      <c r="O2412" s="3" t="s">
        <v>3182</v>
      </c>
      <c r="P2412" s="3" t="s">
        <v>3183</v>
      </c>
      <c r="Q2412" s="30" t="str">
        <f t="shared" si="37"/>
        <v>MAX : 102.1
TARGET : 102.0
MIN : 101.9</v>
      </c>
      <c r="R2412" s="3" t="s">
        <v>1638</v>
      </c>
    </row>
    <row r="2413" spans="2:18" ht="41.4" x14ac:dyDescent="0.3">
      <c r="B2413">
        <v>0</v>
      </c>
      <c r="C2413" s="33">
        <v>8035</v>
      </c>
      <c r="D2413" s="2">
        <v>1171</v>
      </c>
      <c r="E2413" s="2" t="s">
        <v>9948</v>
      </c>
      <c r="F2413" s="3" t="s">
        <v>14207</v>
      </c>
      <c r="H2413" s="3" t="s">
        <v>648</v>
      </c>
      <c r="K2413" s="2">
        <v>20</v>
      </c>
      <c r="L2413" s="2">
        <v>11</v>
      </c>
      <c r="M2413" s="3" t="s">
        <v>3184</v>
      </c>
      <c r="N2413" s="3" t="s">
        <v>3181</v>
      </c>
      <c r="O2413" s="3" t="s">
        <v>3182</v>
      </c>
      <c r="P2413" s="3" t="s">
        <v>3183</v>
      </c>
      <c r="Q2413" s="30" t="str">
        <f t="shared" si="37"/>
        <v>MAX : 102.1
TARGET : 102.0
MIN : 101.9</v>
      </c>
      <c r="R2413" s="3" t="s">
        <v>1638</v>
      </c>
    </row>
    <row r="2414" spans="2:18" ht="41.4" x14ac:dyDescent="0.3">
      <c r="B2414">
        <v>0</v>
      </c>
      <c r="C2414" s="33">
        <v>8035</v>
      </c>
      <c r="D2414" s="2">
        <v>1171</v>
      </c>
      <c r="E2414" s="2" t="s">
        <v>9948</v>
      </c>
      <c r="F2414" s="3" t="s">
        <v>14207</v>
      </c>
      <c r="H2414" s="3" t="s">
        <v>648</v>
      </c>
      <c r="K2414" s="2">
        <v>20</v>
      </c>
      <c r="L2414" s="2">
        <v>12</v>
      </c>
      <c r="M2414" s="3" t="s">
        <v>3185</v>
      </c>
      <c r="N2414" s="3" t="s">
        <v>3181</v>
      </c>
      <c r="O2414" s="3" t="s">
        <v>3182</v>
      </c>
      <c r="P2414" s="3" t="s">
        <v>3183</v>
      </c>
      <c r="Q2414" s="30" t="str">
        <f t="shared" si="37"/>
        <v>MAX : 102.1
TARGET : 102.0
MIN : 101.9</v>
      </c>
      <c r="R2414" s="3" t="s">
        <v>1638</v>
      </c>
    </row>
    <row r="2415" spans="2:18" ht="41.4" x14ac:dyDescent="0.3">
      <c r="B2415">
        <v>0</v>
      </c>
      <c r="C2415" s="33">
        <v>8035</v>
      </c>
      <c r="D2415" s="2">
        <v>1171</v>
      </c>
      <c r="E2415" s="2" t="s">
        <v>9948</v>
      </c>
      <c r="F2415" s="3" t="s">
        <v>14207</v>
      </c>
      <c r="H2415" s="3" t="s">
        <v>648</v>
      </c>
      <c r="K2415" s="2">
        <v>20</v>
      </c>
      <c r="L2415" s="2">
        <v>13</v>
      </c>
      <c r="M2415" s="3" t="s">
        <v>3186</v>
      </c>
      <c r="N2415" s="3" t="s">
        <v>3181</v>
      </c>
      <c r="O2415" s="3" t="s">
        <v>3182</v>
      </c>
      <c r="P2415" s="3" t="s">
        <v>3183</v>
      </c>
      <c r="Q2415" s="30" t="str">
        <f t="shared" si="37"/>
        <v>MAX : 102.1
TARGET : 102.0
MIN : 101.9</v>
      </c>
      <c r="R2415" s="3" t="s">
        <v>1638</v>
      </c>
    </row>
    <row r="2416" spans="2:18" ht="41.4" x14ac:dyDescent="0.3">
      <c r="B2416">
        <v>0</v>
      </c>
      <c r="C2416" s="33">
        <v>8035</v>
      </c>
      <c r="D2416" s="2">
        <v>1171</v>
      </c>
      <c r="E2416" s="2" t="s">
        <v>9948</v>
      </c>
      <c r="F2416" s="3" t="s">
        <v>14207</v>
      </c>
      <c r="H2416" s="3" t="s">
        <v>648</v>
      </c>
      <c r="K2416" s="2">
        <v>20</v>
      </c>
      <c r="L2416" s="2">
        <v>14</v>
      </c>
      <c r="M2416" s="3" t="s">
        <v>3187</v>
      </c>
      <c r="N2416" s="3" t="s">
        <v>3188</v>
      </c>
      <c r="O2416" s="3" t="s">
        <v>3189</v>
      </c>
      <c r="P2416" s="3" t="s">
        <v>3190</v>
      </c>
      <c r="Q2416" s="30" t="str">
        <f t="shared" si="37"/>
        <v>MAX : 50.9
TARGET : 50.8
MIN : 50.7</v>
      </c>
      <c r="R2416" s="3" t="s">
        <v>1638</v>
      </c>
    </row>
    <row r="2417" spans="2:18" ht="41.4" x14ac:dyDescent="0.3">
      <c r="B2417">
        <v>0</v>
      </c>
      <c r="C2417" s="33">
        <v>8035</v>
      </c>
      <c r="D2417" s="2">
        <v>1171</v>
      </c>
      <c r="E2417" s="2" t="s">
        <v>9948</v>
      </c>
      <c r="F2417" s="3" t="s">
        <v>14207</v>
      </c>
      <c r="H2417" s="3" t="s">
        <v>648</v>
      </c>
      <c r="K2417" s="2">
        <v>20</v>
      </c>
      <c r="L2417" s="2">
        <v>15</v>
      </c>
      <c r="M2417" s="3" t="s">
        <v>3191</v>
      </c>
      <c r="N2417" s="3" t="s">
        <v>3188</v>
      </c>
      <c r="O2417" s="3" t="s">
        <v>3189</v>
      </c>
      <c r="P2417" s="3" t="s">
        <v>3190</v>
      </c>
      <c r="Q2417" s="30" t="str">
        <f t="shared" si="37"/>
        <v>MAX : 50.9
TARGET : 50.8
MIN : 50.7</v>
      </c>
      <c r="R2417" s="3" t="s">
        <v>1638</v>
      </c>
    </row>
    <row r="2418" spans="2:18" ht="41.4" x14ac:dyDescent="0.3">
      <c r="B2418">
        <v>0</v>
      </c>
      <c r="C2418" s="33">
        <v>8035</v>
      </c>
      <c r="D2418" s="2">
        <v>1171</v>
      </c>
      <c r="E2418" s="2" t="s">
        <v>9948</v>
      </c>
      <c r="F2418" s="3" t="s">
        <v>14207</v>
      </c>
      <c r="H2418" s="3" t="s">
        <v>648</v>
      </c>
      <c r="K2418" s="2">
        <v>20</v>
      </c>
      <c r="L2418" s="2">
        <v>16</v>
      </c>
      <c r="M2418" s="3" t="s">
        <v>3192</v>
      </c>
      <c r="N2418" s="3" t="s">
        <v>3188</v>
      </c>
      <c r="O2418" s="3" t="s">
        <v>3189</v>
      </c>
      <c r="P2418" s="3" t="s">
        <v>3190</v>
      </c>
      <c r="Q2418" s="30" t="str">
        <f t="shared" si="37"/>
        <v>MAX : 50.9
TARGET : 50.8
MIN : 50.7</v>
      </c>
      <c r="R2418" s="3" t="s">
        <v>1638</v>
      </c>
    </row>
    <row r="2419" spans="2:18" ht="41.4" x14ac:dyDescent="0.3">
      <c r="B2419">
        <v>0</v>
      </c>
      <c r="C2419" s="33">
        <v>8035</v>
      </c>
      <c r="D2419" s="2">
        <v>1171</v>
      </c>
      <c r="E2419" s="2" t="s">
        <v>9948</v>
      </c>
      <c r="F2419" s="3" t="s">
        <v>14207</v>
      </c>
      <c r="H2419" s="3" t="s">
        <v>648</v>
      </c>
      <c r="K2419" s="2">
        <v>20</v>
      </c>
      <c r="L2419" s="2">
        <v>17</v>
      </c>
      <c r="M2419" s="3" t="s">
        <v>3193</v>
      </c>
      <c r="N2419" s="3" t="s">
        <v>3188</v>
      </c>
      <c r="O2419" s="3" t="s">
        <v>3189</v>
      </c>
      <c r="P2419" s="3" t="s">
        <v>3190</v>
      </c>
      <c r="Q2419" s="30" t="str">
        <f t="shared" si="37"/>
        <v>MAX : 50.9
TARGET : 50.8
MIN : 50.7</v>
      </c>
      <c r="R2419" s="3" t="s">
        <v>1638</v>
      </c>
    </row>
    <row r="2420" spans="2:18" ht="41.4" x14ac:dyDescent="0.3">
      <c r="B2420">
        <v>0</v>
      </c>
      <c r="C2420" s="33">
        <v>8035</v>
      </c>
      <c r="D2420" s="2">
        <v>1171</v>
      </c>
      <c r="E2420" s="2" t="s">
        <v>9948</v>
      </c>
      <c r="F2420" s="3" t="s">
        <v>14207</v>
      </c>
      <c r="H2420" s="3" t="s">
        <v>648</v>
      </c>
      <c r="K2420" s="2">
        <v>20</v>
      </c>
      <c r="L2420" s="2">
        <v>18</v>
      </c>
      <c r="M2420" s="3" t="s">
        <v>3194</v>
      </c>
      <c r="N2420" s="3" t="s">
        <v>24</v>
      </c>
      <c r="O2420" s="3" t="s">
        <v>25</v>
      </c>
      <c r="Q2420" s="30" t="str">
        <f t="shared" si="37"/>
        <v>MAX : 
TARGET : Yes (Pass)
MIN : No (Fail)</v>
      </c>
      <c r="R2420" s="3" t="s">
        <v>1638</v>
      </c>
    </row>
    <row r="2421" spans="2:18" ht="41.4" x14ac:dyDescent="0.3">
      <c r="B2421">
        <v>1</v>
      </c>
      <c r="C2421" s="33">
        <v>7814</v>
      </c>
      <c r="D2421" s="2">
        <v>1920</v>
      </c>
      <c r="E2421" s="2" t="s">
        <v>9703</v>
      </c>
      <c r="F2421" s="3" t="s">
        <v>14206</v>
      </c>
      <c r="H2421" s="3" t="s">
        <v>2653</v>
      </c>
      <c r="K2421" s="2">
        <v>10</v>
      </c>
      <c r="L2421" s="2">
        <v>2</v>
      </c>
      <c r="M2421" s="3" t="s">
        <v>872</v>
      </c>
      <c r="N2421" s="3" t="s">
        <v>13</v>
      </c>
      <c r="O2421" s="3" t="s">
        <v>14</v>
      </c>
      <c r="Q2421" s="30" t="str">
        <f t="shared" si="37"/>
        <v>MAX : 
TARGET : Yes(Pass)
MIN : No(Fail)</v>
      </c>
    </row>
    <row r="2422" spans="2:18" ht="41.4" x14ac:dyDescent="0.3">
      <c r="B2422">
        <v>1</v>
      </c>
      <c r="C2422" s="33">
        <v>7814</v>
      </c>
      <c r="D2422" s="2">
        <v>1920</v>
      </c>
      <c r="E2422" s="2" t="s">
        <v>9703</v>
      </c>
      <c r="F2422" s="3" t="s">
        <v>14206</v>
      </c>
      <c r="H2422" s="3" t="s">
        <v>2653</v>
      </c>
      <c r="K2422" s="2">
        <v>10</v>
      </c>
      <c r="L2422" s="2">
        <v>1</v>
      </c>
      <c r="M2422" s="3" t="s">
        <v>99</v>
      </c>
      <c r="N2422" s="3" t="s">
        <v>96</v>
      </c>
      <c r="O2422" s="3" t="s">
        <v>2654</v>
      </c>
      <c r="P2422" s="3" t="s">
        <v>1931</v>
      </c>
      <c r="Q2422" s="30" t="str">
        <f t="shared" si="37"/>
        <v>MAX : 1.875
TARGET : 1.750
MIN : 1.625</v>
      </c>
    </row>
    <row r="2423" spans="2:18" ht="41.4" x14ac:dyDescent="0.3">
      <c r="B2423">
        <v>1</v>
      </c>
      <c r="C2423" s="33">
        <v>7821</v>
      </c>
      <c r="D2423" s="2">
        <v>1154</v>
      </c>
      <c r="E2423" s="2" t="s">
        <v>9718</v>
      </c>
      <c r="F2423" s="3" t="s">
        <v>14206</v>
      </c>
      <c r="H2423" s="3" t="s">
        <v>2655</v>
      </c>
      <c r="K2423" s="2">
        <v>10</v>
      </c>
      <c r="L2423" s="2">
        <v>2</v>
      </c>
      <c r="M2423" s="3" t="s">
        <v>198</v>
      </c>
      <c r="N2423" s="3" t="s">
        <v>2656</v>
      </c>
      <c r="O2423" s="3" t="s">
        <v>2657</v>
      </c>
      <c r="P2423" s="3" t="s">
        <v>2658</v>
      </c>
      <c r="Q2423" s="30" t="str">
        <f t="shared" si="37"/>
        <v>MAX : 8.82
TARGET : 8.81
MIN : 8.80</v>
      </c>
    </row>
    <row r="2424" spans="2:18" ht="41.4" x14ac:dyDescent="0.3">
      <c r="B2424">
        <v>0</v>
      </c>
      <c r="C2424" s="33">
        <v>7685</v>
      </c>
      <c r="D2424" s="2">
        <v>1138</v>
      </c>
      <c r="E2424" s="2" t="s">
        <v>9517</v>
      </c>
      <c r="F2424" s="3" t="s">
        <v>14206</v>
      </c>
      <c r="H2424" s="3" t="s">
        <v>747</v>
      </c>
      <c r="K2424" s="2">
        <v>10</v>
      </c>
      <c r="L2424" s="2">
        <v>5</v>
      </c>
      <c r="M2424" s="3" t="s">
        <v>3381</v>
      </c>
      <c r="N2424" s="3" t="s">
        <v>13</v>
      </c>
      <c r="O2424" s="3" t="s">
        <v>14</v>
      </c>
      <c r="Q2424" s="30" t="str">
        <f t="shared" si="37"/>
        <v>MAX : 
TARGET : Yes(Pass)
MIN : No(Fail)</v>
      </c>
    </row>
    <row r="2425" spans="2:18" ht="41.4" x14ac:dyDescent="0.3">
      <c r="B2425">
        <v>1</v>
      </c>
      <c r="C2425" s="33">
        <v>7821</v>
      </c>
      <c r="D2425" s="2">
        <v>1154</v>
      </c>
      <c r="E2425" s="2" t="s">
        <v>9718</v>
      </c>
      <c r="F2425" s="3" t="s">
        <v>14206</v>
      </c>
      <c r="H2425" s="3" t="s">
        <v>2655</v>
      </c>
      <c r="K2425" s="2">
        <v>10</v>
      </c>
      <c r="L2425" s="2">
        <v>6</v>
      </c>
      <c r="M2425" s="3" t="s">
        <v>2824</v>
      </c>
      <c r="N2425" s="3" t="s">
        <v>13</v>
      </c>
      <c r="O2425" s="3" t="s">
        <v>14</v>
      </c>
      <c r="Q2425" s="30" t="str">
        <f t="shared" si="37"/>
        <v>MAX : 
TARGET : Yes(Pass)
MIN : No(Fail)</v>
      </c>
    </row>
    <row r="2426" spans="2:18" ht="41.4" x14ac:dyDescent="0.3">
      <c r="B2426">
        <v>0</v>
      </c>
      <c r="C2426" s="33">
        <v>8356</v>
      </c>
      <c r="D2426" s="2">
        <v>1953</v>
      </c>
      <c r="E2426" s="2" t="s">
        <v>10300</v>
      </c>
      <c r="F2426" s="3" t="s">
        <v>14206</v>
      </c>
      <c r="H2426" s="3" t="s">
        <v>895</v>
      </c>
      <c r="I2426" s="3" t="s">
        <v>487</v>
      </c>
      <c r="K2426" s="2">
        <v>10</v>
      </c>
      <c r="L2426" s="2">
        <v>3</v>
      </c>
      <c r="M2426" s="3" t="s">
        <v>611</v>
      </c>
      <c r="N2426" s="3" t="s">
        <v>13</v>
      </c>
      <c r="O2426" s="3" t="s">
        <v>14</v>
      </c>
      <c r="Q2426" s="30" t="str">
        <f t="shared" si="37"/>
        <v>MAX : 
TARGET : Yes(Pass)
MIN : No(Fail)</v>
      </c>
    </row>
    <row r="2427" spans="2:18" ht="41.4" x14ac:dyDescent="0.3">
      <c r="B2427">
        <v>1</v>
      </c>
      <c r="C2427" s="33">
        <v>7821</v>
      </c>
      <c r="D2427" s="2">
        <v>1154</v>
      </c>
      <c r="E2427" s="2" t="s">
        <v>9718</v>
      </c>
      <c r="F2427" s="3" t="s">
        <v>14206</v>
      </c>
      <c r="H2427" s="3" t="s">
        <v>2655</v>
      </c>
      <c r="K2427" s="2">
        <v>10</v>
      </c>
      <c r="L2427" s="2">
        <v>1</v>
      </c>
      <c r="M2427" s="3" t="s">
        <v>194</v>
      </c>
      <c r="N2427" s="3" t="s">
        <v>2656</v>
      </c>
      <c r="O2427" s="3" t="s">
        <v>2657</v>
      </c>
      <c r="P2427" s="3" t="s">
        <v>2658</v>
      </c>
      <c r="Q2427" s="30" t="str">
        <f t="shared" si="37"/>
        <v>MAX : 8.82
TARGET : 8.81
MIN : 8.80</v>
      </c>
    </row>
    <row r="2428" spans="2:18" ht="41.4" x14ac:dyDescent="0.3">
      <c r="B2428">
        <v>1</v>
      </c>
      <c r="C2428" s="33">
        <v>7821</v>
      </c>
      <c r="D2428" s="2">
        <v>1154</v>
      </c>
      <c r="E2428" s="2" t="s">
        <v>9718</v>
      </c>
      <c r="F2428" s="3" t="s">
        <v>14206</v>
      </c>
      <c r="H2428" s="3" t="s">
        <v>2655</v>
      </c>
      <c r="K2428" s="2">
        <v>10</v>
      </c>
      <c r="L2428" s="2">
        <v>5</v>
      </c>
      <c r="M2428" s="3" t="s">
        <v>2823</v>
      </c>
      <c r="N2428" s="3" t="s">
        <v>13</v>
      </c>
      <c r="O2428" s="3" t="s">
        <v>14</v>
      </c>
      <c r="Q2428" s="30" t="str">
        <f t="shared" si="37"/>
        <v>MAX : 
TARGET : Yes(Pass)
MIN : No(Fail)</v>
      </c>
    </row>
    <row r="2429" spans="2:18" ht="41.4" x14ac:dyDescent="0.3">
      <c r="B2429">
        <v>0</v>
      </c>
      <c r="C2429" s="33">
        <v>8364</v>
      </c>
      <c r="D2429" s="2">
        <v>1211</v>
      </c>
      <c r="E2429" s="2" t="s">
        <v>10324</v>
      </c>
      <c r="F2429" s="3" t="s">
        <v>14206</v>
      </c>
      <c r="H2429" s="3" t="s">
        <v>2427</v>
      </c>
      <c r="K2429" s="2">
        <v>20</v>
      </c>
      <c r="L2429" s="2">
        <v>1</v>
      </c>
      <c r="M2429" s="3" t="s">
        <v>3198</v>
      </c>
      <c r="N2429" s="3" t="s">
        <v>13</v>
      </c>
      <c r="O2429" s="3" t="s">
        <v>14</v>
      </c>
      <c r="Q2429" s="30" t="str">
        <f t="shared" si="37"/>
        <v>MAX : 
TARGET : Yes(Pass)
MIN : No(Fail)</v>
      </c>
    </row>
    <row r="2430" spans="2:18" ht="41.4" x14ac:dyDescent="0.3">
      <c r="B2430">
        <v>1</v>
      </c>
      <c r="C2430" s="33">
        <v>7827</v>
      </c>
      <c r="D2430" s="2">
        <v>1155</v>
      </c>
      <c r="E2430" s="2" t="s">
        <v>9726</v>
      </c>
      <c r="F2430" s="3" t="s">
        <v>14207</v>
      </c>
      <c r="H2430" s="3" t="s">
        <v>648</v>
      </c>
      <c r="K2430" s="2">
        <v>20</v>
      </c>
      <c r="L2430" s="2">
        <v>2</v>
      </c>
      <c r="M2430" s="3" t="s">
        <v>2663</v>
      </c>
      <c r="N2430" s="3" t="s">
        <v>2664</v>
      </c>
      <c r="O2430" s="3" t="s">
        <v>2665</v>
      </c>
      <c r="P2430" s="3" t="s">
        <v>2666</v>
      </c>
      <c r="Q2430" s="30" t="str">
        <f t="shared" si="37"/>
        <v>MAX : 30.6
TARGET : 30.0
MIN : 29.4</v>
      </c>
    </row>
    <row r="2431" spans="2:18" ht="41.4" x14ac:dyDescent="0.3">
      <c r="B2431">
        <v>1</v>
      </c>
      <c r="C2431" s="33">
        <v>7827</v>
      </c>
      <c r="D2431" s="2">
        <v>1155</v>
      </c>
      <c r="E2431" s="2" t="s">
        <v>9726</v>
      </c>
      <c r="F2431" s="3" t="s">
        <v>14207</v>
      </c>
      <c r="H2431" s="3" t="s">
        <v>648</v>
      </c>
      <c r="K2431" s="2">
        <v>20</v>
      </c>
      <c r="L2431" s="2">
        <v>1</v>
      </c>
      <c r="M2431" s="3" t="s">
        <v>2088</v>
      </c>
      <c r="N2431" s="3" t="s">
        <v>2660</v>
      </c>
      <c r="O2431" s="3" t="s">
        <v>2661</v>
      </c>
      <c r="P2431" s="3" t="s">
        <v>2662</v>
      </c>
      <c r="Q2431" s="30" t="str">
        <f t="shared" si="37"/>
        <v>MAX : 87.33
TARGET : 85.73
MIN : 84.13</v>
      </c>
    </row>
    <row r="2432" spans="2:18" ht="41.4" x14ac:dyDescent="0.3">
      <c r="B2432">
        <v>1</v>
      </c>
      <c r="C2432" s="33">
        <v>7828</v>
      </c>
      <c r="D2432" s="2">
        <v>1922</v>
      </c>
      <c r="E2432" s="2" t="s">
        <v>9733</v>
      </c>
      <c r="F2432" s="3" t="s">
        <v>14226</v>
      </c>
      <c r="H2432" s="3" t="s">
        <v>30</v>
      </c>
      <c r="K2432" s="2">
        <v>10</v>
      </c>
      <c r="L2432" s="2">
        <v>2</v>
      </c>
      <c r="M2432" s="3" t="s">
        <v>2269</v>
      </c>
      <c r="N2432" s="3" t="s">
        <v>13</v>
      </c>
      <c r="O2432" s="3" t="s">
        <v>14</v>
      </c>
      <c r="Q2432" s="30" t="str">
        <f t="shared" si="37"/>
        <v>MAX : 
TARGET : Yes(Pass)
MIN : No(Fail)</v>
      </c>
    </row>
    <row r="2433" spans="2:18" ht="41.4" x14ac:dyDescent="0.3">
      <c r="B2433">
        <v>0</v>
      </c>
      <c r="C2433" s="33">
        <v>8372</v>
      </c>
      <c r="D2433" s="2">
        <v>1212</v>
      </c>
      <c r="E2433" s="2" t="s">
        <v>10331</v>
      </c>
      <c r="F2433" s="3" t="s">
        <v>14207</v>
      </c>
      <c r="H2433" s="3" t="s">
        <v>810</v>
      </c>
      <c r="K2433" s="2">
        <v>10</v>
      </c>
      <c r="L2433" s="2">
        <v>3</v>
      </c>
      <c r="M2433" s="3" t="s">
        <v>1640</v>
      </c>
      <c r="N2433" s="3" t="s">
        <v>13</v>
      </c>
      <c r="O2433" s="3" t="s">
        <v>14</v>
      </c>
      <c r="Q2433" s="30" t="str">
        <f t="shared" si="37"/>
        <v>MAX : 
TARGET : Yes(Pass)
MIN : No(Fail)</v>
      </c>
    </row>
    <row r="2434" spans="2:18" ht="41.4" x14ac:dyDescent="0.3">
      <c r="B2434">
        <v>1</v>
      </c>
      <c r="C2434" s="33">
        <v>7828</v>
      </c>
      <c r="D2434" s="2">
        <v>1922</v>
      </c>
      <c r="E2434" s="2" t="s">
        <v>9733</v>
      </c>
      <c r="F2434" s="3" t="s">
        <v>14226</v>
      </c>
      <c r="H2434" s="3" t="s">
        <v>30</v>
      </c>
      <c r="K2434" s="2">
        <v>10</v>
      </c>
      <c r="L2434" s="2">
        <v>1</v>
      </c>
      <c r="M2434" s="3" t="s">
        <v>174</v>
      </c>
      <c r="N2434" s="3" t="s">
        <v>1893</v>
      </c>
      <c r="O2434" s="3" t="s">
        <v>1230</v>
      </c>
      <c r="P2434" s="3" t="s">
        <v>1230</v>
      </c>
      <c r="Q2434" s="30" t="str">
        <f t="shared" ref="Q2434:Q2497" si="38">"MAX : " &amp; P2434 &amp; CHAR(10) &amp; "TARGET : " &amp; O2434 &amp; CHAR(10) &amp; "MIN : " &amp; N2434</f>
        <v>MAX : 8.00
TARGET : 8.00
MIN : 7.50</v>
      </c>
    </row>
    <row r="2435" spans="2:18" ht="41.4" x14ac:dyDescent="0.3">
      <c r="B2435">
        <v>1</v>
      </c>
      <c r="C2435" s="33">
        <v>7843</v>
      </c>
      <c r="D2435" s="2">
        <v>1924</v>
      </c>
      <c r="E2435" s="2" t="s">
        <v>9748</v>
      </c>
      <c r="F2435" s="3" t="s">
        <v>14206</v>
      </c>
      <c r="H2435" s="3" t="s">
        <v>172</v>
      </c>
      <c r="K2435" s="2">
        <v>10</v>
      </c>
      <c r="L2435" s="2">
        <v>1</v>
      </c>
      <c r="M2435" s="3" t="s">
        <v>174</v>
      </c>
      <c r="N2435" s="3" t="s">
        <v>175</v>
      </c>
      <c r="O2435" s="3" t="s">
        <v>176</v>
      </c>
      <c r="P2435" s="3" t="s">
        <v>177</v>
      </c>
      <c r="Q2435" s="30" t="str">
        <f t="shared" si="38"/>
        <v>MAX : 0.774
TARGET : 0.743
MIN : 0.711</v>
      </c>
    </row>
    <row r="2436" spans="2:18" ht="41.4" x14ac:dyDescent="0.3">
      <c r="B2436">
        <v>0</v>
      </c>
      <c r="C2436" s="33">
        <v>8373</v>
      </c>
      <c r="D2436" s="2">
        <v>1213</v>
      </c>
      <c r="E2436" s="2" t="s">
        <v>10337</v>
      </c>
      <c r="F2436" s="3" t="s">
        <v>14207</v>
      </c>
      <c r="H2436" s="3" t="s">
        <v>469</v>
      </c>
      <c r="K2436" s="2">
        <v>10</v>
      </c>
      <c r="L2436" s="2">
        <v>3</v>
      </c>
      <c r="M2436" s="3" t="s">
        <v>2048</v>
      </c>
      <c r="N2436" s="3" t="s">
        <v>13</v>
      </c>
      <c r="O2436" s="3" t="s">
        <v>14</v>
      </c>
      <c r="Q2436" s="30" t="str">
        <f t="shared" si="38"/>
        <v>MAX : 
TARGET : Yes(Pass)
MIN : No(Fail)</v>
      </c>
      <c r="R2436" s="3" t="s">
        <v>443</v>
      </c>
    </row>
    <row r="2437" spans="2:18" ht="41.4" x14ac:dyDescent="0.3">
      <c r="B2437">
        <v>1</v>
      </c>
      <c r="C2437" s="33">
        <v>7843</v>
      </c>
      <c r="D2437" s="2">
        <v>1924</v>
      </c>
      <c r="E2437" s="2" t="s">
        <v>9748</v>
      </c>
      <c r="F2437" s="3" t="s">
        <v>14206</v>
      </c>
      <c r="H2437" s="3" t="s">
        <v>172</v>
      </c>
      <c r="K2437" s="2">
        <v>10</v>
      </c>
      <c r="L2437" s="2">
        <v>3</v>
      </c>
      <c r="M2437" s="3" t="s">
        <v>2683</v>
      </c>
      <c r="N2437" s="3" t="s">
        <v>24</v>
      </c>
      <c r="O2437" s="3" t="s">
        <v>25</v>
      </c>
      <c r="Q2437" s="30" t="str">
        <f t="shared" si="38"/>
        <v>MAX : 
TARGET : Yes (Pass)
MIN : No (Fail)</v>
      </c>
    </row>
    <row r="2438" spans="2:18" ht="41.4" x14ac:dyDescent="0.3">
      <c r="B2438">
        <v>1</v>
      </c>
      <c r="C2438" s="33">
        <v>7853</v>
      </c>
      <c r="D2438" s="2">
        <v>1156</v>
      </c>
      <c r="E2438" s="2" t="s">
        <v>9753</v>
      </c>
      <c r="F2438" s="3" t="s">
        <v>14207</v>
      </c>
      <c r="H2438" s="3" t="s">
        <v>2689</v>
      </c>
      <c r="K2438" s="2">
        <v>20</v>
      </c>
      <c r="L2438" s="2">
        <v>2</v>
      </c>
      <c r="M2438" s="3" t="s">
        <v>2694</v>
      </c>
      <c r="N2438" s="3" t="s">
        <v>2691</v>
      </c>
      <c r="O2438" s="3" t="s">
        <v>2692</v>
      </c>
      <c r="P2438" s="3" t="s">
        <v>2693</v>
      </c>
      <c r="Q2438" s="30" t="str">
        <f t="shared" si="38"/>
        <v>MAX : 4.2282
TARGET : 4.1032
MIN : 3.9782</v>
      </c>
      <c r="R2438" s="3" t="s">
        <v>1473</v>
      </c>
    </row>
    <row r="2439" spans="2:18" ht="41.4" x14ac:dyDescent="0.3">
      <c r="B2439">
        <v>0</v>
      </c>
      <c r="C2439" s="33">
        <v>8375</v>
      </c>
      <c r="D2439" s="2">
        <v>1214</v>
      </c>
      <c r="E2439" s="2" t="s">
        <v>10343</v>
      </c>
      <c r="F2439" s="3" t="s">
        <v>14207</v>
      </c>
      <c r="H2439" s="3" t="s">
        <v>810</v>
      </c>
      <c r="K2439" s="2">
        <v>10</v>
      </c>
      <c r="L2439" s="2">
        <v>3</v>
      </c>
      <c r="M2439" s="3" t="s">
        <v>3206</v>
      </c>
      <c r="N2439" s="3" t="s">
        <v>13</v>
      </c>
      <c r="O2439" s="3" t="s">
        <v>14</v>
      </c>
      <c r="Q2439" s="30" t="str">
        <f t="shared" si="38"/>
        <v>MAX : 
TARGET : Yes(Pass)
MIN : No(Fail)</v>
      </c>
    </row>
    <row r="2440" spans="2:18" ht="41.4" x14ac:dyDescent="0.3">
      <c r="B2440">
        <v>1</v>
      </c>
      <c r="C2440" s="33">
        <v>7853</v>
      </c>
      <c r="D2440" s="2">
        <v>1156</v>
      </c>
      <c r="E2440" s="2" t="s">
        <v>9753</v>
      </c>
      <c r="F2440" s="3" t="s">
        <v>14207</v>
      </c>
      <c r="H2440" s="3" t="s">
        <v>2689</v>
      </c>
      <c r="K2440" s="2">
        <v>20</v>
      </c>
      <c r="L2440" s="2">
        <v>16</v>
      </c>
      <c r="M2440" s="3" t="s">
        <v>3106</v>
      </c>
      <c r="N2440" s="3" t="s">
        <v>3107</v>
      </c>
      <c r="O2440" s="3" t="s">
        <v>3108</v>
      </c>
      <c r="P2440" s="3" t="s">
        <v>3109</v>
      </c>
      <c r="Q2440" s="30" t="str">
        <f t="shared" si="38"/>
        <v>MAX : 11.0516
TARGET : 10.8016
MIN : 10.5516</v>
      </c>
      <c r="R2440" s="3" t="s">
        <v>1473</v>
      </c>
    </row>
    <row r="2441" spans="2:18" ht="41.4" x14ac:dyDescent="0.3">
      <c r="B2441">
        <v>1</v>
      </c>
      <c r="C2441" s="33">
        <v>7853</v>
      </c>
      <c r="D2441" s="2">
        <v>1156</v>
      </c>
      <c r="E2441" s="2" t="s">
        <v>9753</v>
      </c>
      <c r="F2441" s="3" t="s">
        <v>14207</v>
      </c>
      <c r="H2441" s="3" t="s">
        <v>2689</v>
      </c>
      <c r="K2441" s="2">
        <v>20</v>
      </c>
      <c r="L2441" s="2">
        <v>1</v>
      </c>
      <c r="M2441" s="3" t="s">
        <v>2690</v>
      </c>
      <c r="N2441" s="3" t="s">
        <v>2691</v>
      </c>
      <c r="O2441" s="3" t="s">
        <v>2692</v>
      </c>
      <c r="P2441" s="3" t="s">
        <v>2693</v>
      </c>
      <c r="Q2441" s="30" t="str">
        <f t="shared" si="38"/>
        <v>MAX : 4.2282
TARGET : 4.1032
MIN : 3.9782</v>
      </c>
      <c r="R2441" s="3" t="s">
        <v>1473</v>
      </c>
    </row>
    <row r="2442" spans="2:18" ht="41.4" x14ac:dyDescent="0.3">
      <c r="B2442">
        <v>0</v>
      </c>
      <c r="C2442" s="33">
        <v>8376</v>
      </c>
      <c r="D2442" s="2">
        <v>1215</v>
      </c>
      <c r="E2442" s="2" t="s">
        <v>10349</v>
      </c>
      <c r="F2442" s="3" t="s">
        <v>14207</v>
      </c>
      <c r="H2442" s="3" t="s">
        <v>810</v>
      </c>
      <c r="K2442" s="2">
        <v>10</v>
      </c>
      <c r="L2442" s="2">
        <v>3</v>
      </c>
      <c r="M2442" s="3" t="s">
        <v>2295</v>
      </c>
      <c r="N2442" s="3" t="s">
        <v>13</v>
      </c>
      <c r="O2442" s="3" t="s">
        <v>14</v>
      </c>
      <c r="Q2442" s="30" t="str">
        <f t="shared" si="38"/>
        <v>MAX : 
TARGET : Yes(Pass)
MIN : No(Fail)</v>
      </c>
    </row>
    <row r="2443" spans="2:18" ht="41.4" x14ac:dyDescent="0.3">
      <c r="B2443">
        <v>1</v>
      </c>
      <c r="C2443" s="33">
        <v>7853</v>
      </c>
      <c r="D2443" s="2">
        <v>1156</v>
      </c>
      <c r="E2443" s="2" t="s">
        <v>9753</v>
      </c>
      <c r="F2443" s="3" t="s">
        <v>14207</v>
      </c>
      <c r="H2443" s="3" t="s">
        <v>2689</v>
      </c>
      <c r="K2443" s="2">
        <v>20</v>
      </c>
      <c r="L2443" s="2">
        <v>15</v>
      </c>
      <c r="M2443" s="3" t="s">
        <v>3102</v>
      </c>
      <c r="N2443" s="3" t="s">
        <v>3103</v>
      </c>
      <c r="O2443" s="3" t="s">
        <v>3104</v>
      </c>
      <c r="P2443" s="3" t="s">
        <v>3105</v>
      </c>
      <c r="Q2443" s="30" t="str">
        <f t="shared" si="38"/>
        <v>MAX : 9.1198
TARGET : 8.8698
MIN : 8.6198</v>
      </c>
      <c r="R2443" s="3" t="s">
        <v>1473</v>
      </c>
    </row>
    <row r="2444" spans="2:18" ht="41.4" x14ac:dyDescent="0.3">
      <c r="B2444">
        <v>1</v>
      </c>
      <c r="C2444" s="33">
        <v>7856</v>
      </c>
      <c r="D2444" s="2">
        <v>1157</v>
      </c>
      <c r="E2444" s="2" t="s">
        <v>9761</v>
      </c>
      <c r="F2444" s="3" t="s">
        <v>14206</v>
      </c>
      <c r="H2444" s="3" t="s">
        <v>2138</v>
      </c>
      <c r="K2444" s="2">
        <v>10</v>
      </c>
      <c r="L2444" s="2">
        <v>2</v>
      </c>
      <c r="M2444" s="3" t="s">
        <v>570</v>
      </c>
      <c r="N2444" s="3" t="s">
        <v>1767</v>
      </c>
      <c r="O2444" s="3" t="s">
        <v>1230</v>
      </c>
      <c r="P2444" s="3" t="s">
        <v>1768</v>
      </c>
      <c r="Q2444" s="30" t="str">
        <f t="shared" si="38"/>
        <v>MAX : 8.03
TARGET : 8.00
MIN : 7.97</v>
      </c>
    </row>
    <row r="2445" spans="2:18" ht="41.4" x14ac:dyDescent="0.3">
      <c r="B2445">
        <v>0</v>
      </c>
      <c r="C2445" s="33">
        <v>8382</v>
      </c>
      <c r="D2445" s="2">
        <v>1216</v>
      </c>
      <c r="E2445" s="2" t="s">
        <v>10362</v>
      </c>
      <c r="F2445" s="3" t="s">
        <v>14206</v>
      </c>
      <c r="H2445" s="3" t="s">
        <v>1952</v>
      </c>
      <c r="K2445" s="2">
        <v>20</v>
      </c>
      <c r="L2445" s="2">
        <v>3</v>
      </c>
      <c r="M2445" s="3" t="s">
        <v>198</v>
      </c>
      <c r="N2445" s="3" t="s">
        <v>3213</v>
      </c>
      <c r="O2445" s="3" t="s">
        <v>3214</v>
      </c>
      <c r="P2445" s="3" t="s">
        <v>3215</v>
      </c>
      <c r="Q2445" s="30" t="str">
        <f t="shared" si="38"/>
        <v>MAX : 3.435
TARGET : 3.375
MIN : 3.315</v>
      </c>
    </row>
    <row r="2446" spans="2:18" ht="41.4" x14ac:dyDescent="0.3">
      <c r="B2446">
        <v>0</v>
      </c>
      <c r="C2446" s="33">
        <v>8382</v>
      </c>
      <c r="D2446" s="2">
        <v>1216</v>
      </c>
      <c r="E2446" s="2" t="s">
        <v>10362</v>
      </c>
      <c r="F2446" s="3" t="s">
        <v>14206</v>
      </c>
      <c r="H2446" s="3" t="s">
        <v>1952</v>
      </c>
      <c r="K2446" s="2">
        <v>20</v>
      </c>
      <c r="L2446" s="2">
        <v>4</v>
      </c>
      <c r="M2446" s="3" t="s">
        <v>3216</v>
      </c>
      <c r="N2446" s="3" t="s">
        <v>13</v>
      </c>
      <c r="O2446" s="3" t="s">
        <v>14</v>
      </c>
      <c r="Q2446" s="30" t="str">
        <f t="shared" si="38"/>
        <v>MAX : 
TARGET : Yes(Pass)
MIN : No(Fail)</v>
      </c>
    </row>
    <row r="2447" spans="2:18" ht="41.4" x14ac:dyDescent="0.3">
      <c r="B2447">
        <v>1</v>
      </c>
      <c r="C2447" s="33">
        <v>7856</v>
      </c>
      <c r="D2447" s="2">
        <v>1157</v>
      </c>
      <c r="E2447" s="2" t="s">
        <v>9761</v>
      </c>
      <c r="F2447" s="3" t="s">
        <v>14206</v>
      </c>
      <c r="H2447" s="3" t="s">
        <v>2138</v>
      </c>
      <c r="K2447" s="2">
        <v>10</v>
      </c>
      <c r="L2447" s="2">
        <v>1</v>
      </c>
      <c r="M2447" s="3" t="s">
        <v>1576</v>
      </c>
      <c r="N2447" s="3" t="s">
        <v>2686</v>
      </c>
      <c r="O2447" s="3" t="s">
        <v>703</v>
      </c>
      <c r="P2447" s="3" t="s">
        <v>2687</v>
      </c>
      <c r="Q2447" s="30" t="str">
        <f t="shared" si="38"/>
        <v>MAX : 4.56
TARGET : 4.50
MIN : 4.44</v>
      </c>
    </row>
    <row r="2448" spans="2:18" ht="41.4" x14ac:dyDescent="0.3">
      <c r="B2448">
        <v>1</v>
      </c>
      <c r="C2448" s="33">
        <v>7867</v>
      </c>
      <c r="D2448" s="2">
        <v>1158</v>
      </c>
      <c r="E2448" s="2" t="s">
        <v>9767</v>
      </c>
      <c r="F2448" s="3" t="s">
        <v>14206</v>
      </c>
      <c r="H2448" s="3" t="s">
        <v>2812</v>
      </c>
      <c r="K2448" s="2">
        <v>10</v>
      </c>
      <c r="L2448" s="2">
        <v>2</v>
      </c>
      <c r="M2448" s="3" t="s">
        <v>2813</v>
      </c>
      <c r="N2448" s="3" t="s">
        <v>13</v>
      </c>
      <c r="O2448" s="3" t="s">
        <v>14</v>
      </c>
      <c r="Q2448" s="30" t="str">
        <f t="shared" si="38"/>
        <v>MAX : 
TARGET : Yes(Pass)
MIN : No(Fail)</v>
      </c>
    </row>
    <row r="2449" spans="2:17" ht="41.4" x14ac:dyDescent="0.3">
      <c r="B2449">
        <v>0</v>
      </c>
      <c r="C2449" s="33">
        <v>8385</v>
      </c>
      <c r="D2449" s="2">
        <v>1959</v>
      </c>
      <c r="E2449" s="2" t="s">
        <v>10375</v>
      </c>
      <c r="F2449" s="3" t="s">
        <v>14206</v>
      </c>
      <c r="H2449" s="3" t="s">
        <v>50</v>
      </c>
      <c r="K2449" s="2">
        <v>10</v>
      </c>
      <c r="L2449" s="2">
        <v>3</v>
      </c>
      <c r="M2449" s="3" t="s">
        <v>3218</v>
      </c>
      <c r="N2449" s="3" t="s">
        <v>13</v>
      </c>
      <c r="O2449" s="3" t="s">
        <v>14</v>
      </c>
      <c r="Q2449" s="30" t="str">
        <f t="shared" si="38"/>
        <v>MAX : 
TARGET : Yes(Pass)
MIN : No(Fail)</v>
      </c>
    </row>
    <row r="2450" spans="2:17" ht="41.4" x14ac:dyDescent="0.3">
      <c r="B2450">
        <v>1</v>
      </c>
      <c r="C2450" s="33">
        <v>7867</v>
      </c>
      <c r="D2450" s="2">
        <v>1158</v>
      </c>
      <c r="E2450" s="2" t="s">
        <v>9767</v>
      </c>
      <c r="F2450" s="3" t="s">
        <v>14206</v>
      </c>
      <c r="H2450" s="3" t="s">
        <v>2812</v>
      </c>
      <c r="K2450" s="2">
        <v>10</v>
      </c>
      <c r="L2450" s="2">
        <v>1</v>
      </c>
      <c r="M2450" s="3" t="s">
        <v>502</v>
      </c>
      <c r="N2450" s="3" t="s">
        <v>485</v>
      </c>
      <c r="O2450" s="3" t="s">
        <v>272</v>
      </c>
      <c r="P2450" s="3" t="s">
        <v>507</v>
      </c>
      <c r="Q2450" s="30" t="str">
        <f t="shared" si="38"/>
        <v>MAX : 1.06
TARGET : 1.00
MIN : 0.94</v>
      </c>
    </row>
    <row r="2451" spans="2:17" ht="41.4" x14ac:dyDescent="0.3">
      <c r="B2451">
        <v>1</v>
      </c>
      <c r="C2451" s="33">
        <v>7880</v>
      </c>
      <c r="D2451" s="2">
        <v>1159</v>
      </c>
      <c r="E2451" s="2" t="s">
        <v>9774</v>
      </c>
      <c r="F2451" s="3" t="s">
        <v>14206</v>
      </c>
      <c r="H2451" s="3" t="s">
        <v>2857</v>
      </c>
      <c r="K2451" s="2">
        <v>10</v>
      </c>
      <c r="L2451" s="2">
        <v>2</v>
      </c>
      <c r="M2451" s="3" t="s">
        <v>198</v>
      </c>
      <c r="N2451" s="3" t="s">
        <v>367</v>
      </c>
      <c r="O2451" s="3" t="s">
        <v>365</v>
      </c>
      <c r="P2451" s="3" t="s">
        <v>45</v>
      </c>
      <c r="Q2451" s="30" t="str">
        <f t="shared" si="38"/>
        <v>MAX : 4.125
TARGET : 4.000
MIN : 3.875</v>
      </c>
    </row>
    <row r="2452" spans="2:17" ht="41.4" x14ac:dyDescent="0.3">
      <c r="B2452">
        <v>0</v>
      </c>
      <c r="C2452" s="33">
        <v>1311</v>
      </c>
      <c r="D2452" s="2">
        <v>1697</v>
      </c>
      <c r="E2452" s="2" t="s">
        <v>6453</v>
      </c>
      <c r="F2452" s="3" t="s">
        <v>14206</v>
      </c>
      <c r="H2452" s="3" t="s">
        <v>98</v>
      </c>
      <c r="K2452" s="2">
        <v>10</v>
      </c>
      <c r="L2452" s="2">
        <v>3</v>
      </c>
      <c r="M2452" s="3" t="s">
        <v>106</v>
      </c>
      <c r="N2452" s="3" t="s">
        <v>24</v>
      </c>
      <c r="O2452" s="3" t="s">
        <v>25</v>
      </c>
      <c r="Q2452" s="30" t="str">
        <f t="shared" si="38"/>
        <v>MAX : 
TARGET : Yes (Pass)
MIN : No (Fail)</v>
      </c>
    </row>
    <row r="2453" spans="2:17" ht="41.4" x14ac:dyDescent="0.3">
      <c r="B2453">
        <v>0</v>
      </c>
      <c r="C2453" s="33">
        <v>1311</v>
      </c>
      <c r="D2453" s="2">
        <v>1697</v>
      </c>
      <c r="E2453" s="2" t="s">
        <v>6453</v>
      </c>
      <c r="F2453" s="3" t="s">
        <v>14206</v>
      </c>
      <c r="H2453" s="3" t="s">
        <v>98</v>
      </c>
      <c r="K2453" s="2">
        <v>10</v>
      </c>
      <c r="L2453" s="2">
        <v>4</v>
      </c>
      <c r="M2453" s="3" t="s">
        <v>107</v>
      </c>
      <c r="N2453" s="3" t="s">
        <v>24</v>
      </c>
      <c r="O2453" s="3" t="s">
        <v>25</v>
      </c>
      <c r="Q2453" s="30" t="str">
        <f t="shared" si="38"/>
        <v>MAX : 
TARGET : Yes (Pass)
MIN : No (Fail)</v>
      </c>
    </row>
    <row r="2454" spans="2:17" ht="41.4" x14ac:dyDescent="0.3">
      <c r="B2454">
        <v>1</v>
      </c>
      <c r="C2454" s="33">
        <v>7880</v>
      </c>
      <c r="D2454" s="2">
        <v>1159</v>
      </c>
      <c r="E2454" s="2" t="s">
        <v>9774</v>
      </c>
      <c r="F2454" s="3" t="s">
        <v>14206</v>
      </c>
      <c r="H2454" s="3" t="s">
        <v>2857</v>
      </c>
      <c r="K2454" s="2">
        <v>10</v>
      </c>
      <c r="L2454" s="2">
        <v>1</v>
      </c>
      <c r="M2454" s="3" t="s">
        <v>194</v>
      </c>
      <c r="N2454" s="3" t="s">
        <v>96</v>
      </c>
      <c r="O2454" s="3" t="s">
        <v>2654</v>
      </c>
      <c r="P2454" s="3" t="s">
        <v>1931</v>
      </c>
      <c r="Q2454" s="30" t="str">
        <f t="shared" si="38"/>
        <v>MAX : 1.875
TARGET : 1.750
MIN : 1.625</v>
      </c>
    </row>
    <row r="2455" spans="2:17" ht="41.4" x14ac:dyDescent="0.3">
      <c r="B2455">
        <v>1</v>
      </c>
      <c r="C2455" s="33">
        <v>7881</v>
      </c>
      <c r="D2455" s="2">
        <v>1160</v>
      </c>
      <c r="E2455" s="2" t="s">
        <v>9781</v>
      </c>
      <c r="F2455" s="3" t="s">
        <v>14206</v>
      </c>
      <c r="H2455" s="3" t="s">
        <v>1915</v>
      </c>
      <c r="J2455" s="3" t="s">
        <v>2814</v>
      </c>
      <c r="K2455" s="2">
        <v>20</v>
      </c>
      <c r="L2455" s="2">
        <v>2</v>
      </c>
      <c r="M2455" s="3" t="s">
        <v>570</v>
      </c>
      <c r="N2455" s="3" t="s">
        <v>1252</v>
      </c>
      <c r="O2455" s="3" t="s">
        <v>860</v>
      </c>
      <c r="P2455" s="3" t="s">
        <v>1254</v>
      </c>
      <c r="Q2455" s="30" t="str">
        <f t="shared" si="38"/>
        <v>MAX : 18.125
TARGET : 18.00
MIN : 17.875</v>
      </c>
    </row>
    <row r="2456" spans="2:17" ht="41.4" x14ac:dyDescent="0.3">
      <c r="B2456">
        <v>0</v>
      </c>
      <c r="C2456" s="33">
        <v>8395</v>
      </c>
      <c r="D2456" s="2">
        <v>1217</v>
      </c>
      <c r="E2456" s="2" t="s">
        <v>10390</v>
      </c>
      <c r="F2456" s="3" t="s">
        <v>14206</v>
      </c>
      <c r="G2456" s="3" t="s">
        <v>496</v>
      </c>
      <c r="H2456" s="3" t="s">
        <v>600</v>
      </c>
      <c r="K2456" s="2">
        <v>10</v>
      </c>
      <c r="L2456" s="2">
        <v>3</v>
      </c>
      <c r="M2456" s="3" t="s">
        <v>3229</v>
      </c>
      <c r="N2456" s="3" t="s">
        <v>689</v>
      </c>
      <c r="O2456" s="3" t="s">
        <v>690</v>
      </c>
      <c r="P2456" s="3" t="s">
        <v>691</v>
      </c>
      <c r="Q2456" s="30" t="str">
        <f t="shared" si="38"/>
        <v>MAX : 0.36
TARGET : 0.33
MIN : 0.30</v>
      </c>
    </row>
    <row r="2457" spans="2:17" ht="41.4" x14ac:dyDescent="0.3">
      <c r="B2457">
        <v>0</v>
      </c>
      <c r="C2457" s="33">
        <v>8395</v>
      </c>
      <c r="D2457" s="2">
        <v>1217</v>
      </c>
      <c r="E2457" s="2" t="s">
        <v>10390</v>
      </c>
      <c r="F2457" s="3" t="s">
        <v>14206</v>
      </c>
      <c r="G2457" s="3" t="s">
        <v>496</v>
      </c>
      <c r="H2457" s="3" t="s">
        <v>600</v>
      </c>
      <c r="K2457" s="2">
        <v>10</v>
      </c>
      <c r="L2457" s="2">
        <v>4</v>
      </c>
      <c r="M2457" s="3" t="s">
        <v>198</v>
      </c>
      <c r="N2457" s="3" t="s">
        <v>3230</v>
      </c>
      <c r="O2457" s="3" t="s">
        <v>200</v>
      </c>
      <c r="P2457" s="3" t="s">
        <v>3231</v>
      </c>
      <c r="Q2457" s="30" t="str">
        <f t="shared" si="38"/>
        <v>MAX : 5.53
TARGET : 5.50
MIN : 5.47</v>
      </c>
    </row>
    <row r="2458" spans="2:17" ht="41.4" x14ac:dyDescent="0.3">
      <c r="B2458">
        <v>0</v>
      </c>
      <c r="C2458" s="33">
        <v>8395</v>
      </c>
      <c r="D2458" s="2">
        <v>1217</v>
      </c>
      <c r="E2458" s="2" t="s">
        <v>10390</v>
      </c>
      <c r="F2458" s="3" t="s">
        <v>14206</v>
      </c>
      <c r="G2458" s="3" t="s">
        <v>496</v>
      </c>
      <c r="H2458" s="3" t="s">
        <v>600</v>
      </c>
      <c r="K2458" s="2">
        <v>10</v>
      </c>
      <c r="L2458" s="2">
        <v>5</v>
      </c>
      <c r="M2458" s="3" t="s">
        <v>3232</v>
      </c>
      <c r="N2458" s="3" t="s">
        <v>3233</v>
      </c>
      <c r="O2458" s="3" t="s">
        <v>2432</v>
      </c>
      <c r="P2458" s="3" t="s">
        <v>1496</v>
      </c>
      <c r="Q2458" s="30" t="str">
        <f t="shared" si="38"/>
        <v>MAX : 2.72
TARGET : 2.69
MIN : 2.66</v>
      </c>
    </row>
    <row r="2459" spans="2:17" ht="41.4" x14ac:dyDescent="0.3">
      <c r="B2459">
        <v>0</v>
      </c>
      <c r="C2459" s="33">
        <v>8395</v>
      </c>
      <c r="D2459" s="2">
        <v>1217</v>
      </c>
      <c r="E2459" s="2" t="s">
        <v>10390</v>
      </c>
      <c r="F2459" s="3" t="s">
        <v>14206</v>
      </c>
      <c r="G2459" s="3" t="s">
        <v>496</v>
      </c>
      <c r="H2459" s="3" t="s">
        <v>600</v>
      </c>
      <c r="K2459" s="2">
        <v>10</v>
      </c>
      <c r="L2459" s="2">
        <v>6</v>
      </c>
      <c r="M2459" s="3" t="s">
        <v>3234</v>
      </c>
      <c r="N2459" s="3" t="s">
        <v>1616</v>
      </c>
      <c r="O2459" s="3" t="s">
        <v>887</v>
      </c>
      <c r="P2459" s="3" t="s">
        <v>3235</v>
      </c>
      <c r="Q2459" s="30" t="str">
        <f t="shared" si="38"/>
        <v>MAX : 0.96
TARGET : 0.93
MIN : 0.90</v>
      </c>
    </row>
    <row r="2460" spans="2:17" ht="41.4" x14ac:dyDescent="0.3">
      <c r="B2460">
        <v>0</v>
      </c>
      <c r="C2460" s="33">
        <v>8395</v>
      </c>
      <c r="D2460" s="2">
        <v>1217</v>
      </c>
      <c r="E2460" s="2" t="s">
        <v>10390</v>
      </c>
      <c r="F2460" s="3" t="s">
        <v>14206</v>
      </c>
      <c r="G2460" s="3" t="s">
        <v>496</v>
      </c>
      <c r="H2460" s="3" t="s">
        <v>600</v>
      </c>
      <c r="K2460" s="2">
        <v>10</v>
      </c>
      <c r="L2460" s="2">
        <v>7</v>
      </c>
      <c r="M2460" s="3" t="s">
        <v>3236</v>
      </c>
      <c r="N2460" s="3" t="s">
        <v>13</v>
      </c>
      <c r="O2460" s="3" t="s">
        <v>14</v>
      </c>
      <c r="Q2460" s="30" t="str">
        <f t="shared" si="38"/>
        <v>MAX : 
TARGET : Yes(Pass)
MIN : No(Fail)</v>
      </c>
    </row>
    <row r="2461" spans="2:17" ht="41.4" x14ac:dyDescent="0.3">
      <c r="B2461">
        <v>1</v>
      </c>
      <c r="C2461" s="33">
        <v>7881</v>
      </c>
      <c r="D2461" s="2">
        <v>1160</v>
      </c>
      <c r="E2461" s="2" t="s">
        <v>9781</v>
      </c>
      <c r="F2461" s="3" t="s">
        <v>14206</v>
      </c>
      <c r="H2461" s="3" t="s">
        <v>1915</v>
      </c>
      <c r="J2461" s="3" t="s">
        <v>2814</v>
      </c>
      <c r="K2461" s="2">
        <v>20</v>
      </c>
      <c r="L2461" s="2">
        <v>1</v>
      </c>
      <c r="M2461" s="3" t="s">
        <v>2088</v>
      </c>
      <c r="N2461" s="3" t="s">
        <v>801</v>
      </c>
      <c r="O2461" s="3" t="s">
        <v>2815</v>
      </c>
      <c r="P2461" s="3" t="s">
        <v>803</v>
      </c>
      <c r="Q2461" s="30" t="str">
        <f t="shared" si="38"/>
        <v>MAX : 24.125
TARGET : 24.00
MIN : 23.875</v>
      </c>
    </row>
    <row r="2462" spans="2:17" ht="41.4" x14ac:dyDescent="0.3">
      <c r="B2462">
        <v>1</v>
      </c>
      <c r="C2462" s="33">
        <v>7883</v>
      </c>
      <c r="D2462" s="2">
        <v>1925</v>
      </c>
      <c r="E2462" s="2" t="s">
        <v>9789</v>
      </c>
      <c r="F2462" s="3" t="s">
        <v>14206</v>
      </c>
      <c r="H2462" s="3" t="s">
        <v>289</v>
      </c>
      <c r="K2462" s="2">
        <v>20</v>
      </c>
      <c r="L2462" s="2">
        <v>2</v>
      </c>
      <c r="M2462" s="3" t="s">
        <v>2819</v>
      </c>
      <c r="N2462" s="3" t="s">
        <v>13</v>
      </c>
      <c r="O2462" s="3" t="s">
        <v>14</v>
      </c>
      <c r="Q2462" s="30" t="str">
        <f t="shared" si="38"/>
        <v>MAX : 
TARGET : Yes(Pass)
MIN : No(Fail)</v>
      </c>
    </row>
    <row r="2463" spans="2:17" ht="41.4" x14ac:dyDescent="0.3">
      <c r="B2463">
        <v>0</v>
      </c>
      <c r="C2463" s="33">
        <v>8346</v>
      </c>
      <c r="D2463" s="2">
        <v>1950</v>
      </c>
      <c r="E2463" s="2" t="s">
        <v>10278</v>
      </c>
      <c r="F2463" s="3" t="s">
        <v>14206</v>
      </c>
      <c r="H2463" s="3" t="s">
        <v>568</v>
      </c>
      <c r="K2463" s="2">
        <v>10</v>
      </c>
      <c r="L2463" s="2">
        <v>3</v>
      </c>
      <c r="M2463" s="3" t="s">
        <v>3241</v>
      </c>
      <c r="N2463" s="3" t="s">
        <v>13</v>
      </c>
      <c r="O2463" s="3" t="s">
        <v>14</v>
      </c>
      <c r="Q2463" s="30" t="str">
        <f t="shared" si="38"/>
        <v>MAX : 
TARGET : Yes(Pass)
MIN : No(Fail)</v>
      </c>
    </row>
    <row r="2464" spans="2:17" ht="41.4" x14ac:dyDescent="0.3">
      <c r="B2464">
        <v>0</v>
      </c>
      <c r="C2464" s="33">
        <v>8346</v>
      </c>
      <c r="D2464" s="2">
        <v>1950</v>
      </c>
      <c r="E2464" s="2" t="s">
        <v>10278</v>
      </c>
      <c r="F2464" s="3" t="s">
        <v>14206</v>
      </c>
      <c r="H2464" s="3" t="s">
        <v>568</v>
      </c>
      <c r="K2464" s="2">
        <v>10</v>
      </c>
      <c r="L2464" s="2">
        <v>4</v>
      </c>
      <c r="M2464" s="3" t="s">
        <v>78</v>
      </c>
      <c r="N2464" s="3" t="s">
        <v>13</v>
      </c>
      <c r="O2464" s="3" t="s">
        <v>14</v>
      </c>
      <c r="Q2464" s="30" t="str">
        <f t="shared" si="38"/>
        <v>MAX : 
TARGET : Yes(Pass)
MIN : No(Fail)</v>
      </c>
    </row>
    <row r="2465" spans="2:17" ht="41.4" x14ac:dyDescent="0.3">
      <c r="B2465">
        <v>0</v>
      </c>
      <c r="C2465" s="33">
        <v>8346</v>
      </c>
      <c r="D2465" s="2">
        <v>1950</v>
      </c>
      <c r="E2465" s="2" t="s">
        <v>10278</v>
      </c>
      <c r="F2465" s="3" t="s">
        <v>14206</v>
      </c>
      <c r="H2465" s="3" t="s">
        <v>568</v>
      </c>
      <c r="K2465" s="2">
        <v>10</v>
      </c>
      <c r="L2465" s="2">
        <v>5</v>
      </c>
      <c r="M2465" s="3" t="s">
        <v>1503</v>
      </c>
      <c r="N2465" s="3" t="s">
        <v>13</v>
      </c>
      <c r="O2465" s="3" t="s">
        <v>14</v>
      </c>
      <c r="Q2465" s="30" t="str">
        <f t="shared" si="38"/>
        <v>MAX : 
TARGET : Yes(Pass)
MIN : No(Fail)</v>
      </c>
    </row>
    <row r="2466" spans="2:17" ht="41.4" x14ac:dyDescent="0.3">
      <c r="B2466">
        <v>1</v>
      </c>
      <c r="C2466" s="33">
        <v>7883</v>
      </c>
      <c r="D2466" s="2">
        <v>1925</v>
      </c>
      <c r="E2466" s="2" t="s">
        <v>9789</v>
      </c>
      <c r="F2466" s="3" t="s">
        <v>14206</v>
      </c>
      <c r="H2466" s="3" t="s">
        <v>289</v>
      </c>
      <c r="K2466" s="2">
        <v>20</v>
      </c>
      <c r="L2466" s="2">
        <v>1</v>
      </c>
      <c r="M2466" s="3" t="s">
        <v>2818</v>
      </c>
      <c r="N2466" s="3" t="s">
        <v>1641</v>
      </c>
      <c r="O2466" s="3" t="s">
        <v>149</v>
      </c>
      <c r="P2466" s="3" t="s">
        <v>1642</v>
      </c>
      <c r="Q2466" s="30" t="str">
        <f t="shared" si="38"/>
        <v>MAX : 12.06
TARGET : 12.00
MIN : 11.94</v>
      </c>
    </row>
    <row r="2467" spans="2:17" ht="41.4" x14ac:dyDescent="0.3">
      <c r="B2467">
        <v>1</v>
      </c>
      <c r="C2467" s="33">
        <v>7889</v>
      </c>
      <c r="D2467" s="2">
        <v>1926</v>
      </c>
      <c r="E2467" s="2" t="s">
        <v>9795</v>
      </c>
      <c r="F2467" s="3" t="s">
        <v>14206</v>
      </c>
      <c r="H2467" s="3" t="s">
        <v>568</v>
      </c>
      <c r="K2467" s="2">
        <v>10</v>
      </c>
      <c r="L2467" s="2">
        <v>2</v>
      </c>
      <c r="M2467" s="3" t="s">
        <v>2098</v>
      </c>
      <c r="N2467" s="3" t="s">
        <v>13</v>
      </c>
      <c r="O2467" s="3" t="s">
        <v>14</v>
      </c>
      <c r="Q2467" s="30" t="str">
        <f t="shared" si="38"/>
        <v>MAX : 
TARGET : Yes(Pass)
MIN : No(Fail)</v>
      </c>
    </row>
    <row r="2468" spans="2:17" ht="41.4" x14ac:dyDescent="0.3">
      <c r="B2468">
        <v>0</v>
      </c>
      <c r="C2468" s="33">
        <v>8348</v>
      </c>
      <c r="D2468" s="2">
        <v>1951</v>
      </c>
      <c r="E2468" s="2" t="s">
        <v>10286</v>
      </c>
      <c r="F2468" s="3" t="s">
        <v>14206</v>
      </c>
      <c r="H2468" s="3" t="s">
        <v>568</v>
      </c>
      <c r="K2468" s="2">
        <v>20</v>
      </c>
      <c r="L2468" s="2">
        <v>3</v>
      </c>
      <c r="M2468" s="3" t="s">
        <v>2043</v>
      </c>
      <c r="N2468" s="3" t="s">
        <v>24</v>
      </c>
      <c r="O2468" s="3" t="s">
        <v>25</v>
      </c>
      <c r="Q2468" s="30" t="str">
        <f t="shared" si="38"/>
        <v>MAX : 
TARGET : Yes (Pass)
MIN : No (Fail)</v>
      </c>
    </row>
    <row r="2469" spans="2:17" ht="41.4" x14ac:dyDescent="0.3">
      <c r="B2469">
        <v>0</v>
      </c>
      <c r="C2469" s="33">
        <v>8348</v>
      </c>
      <c r="D2469" s="2">
        <v>1951</v>
      </c>
      <c r="E2469" s="2" t="s">
        <v>10286</v>
      </c>
      <c r="F2469" s="3" t="s">
        <v>14206</v>
      </c>
      <c r="H2469" s="3" t="s">
        <v>568</v>
      </c>
      <c r="K2469" s="2">
        <v>20</v>
      </c>
      <c r="L2469" s="2">
        <v>4</v>
      </c>
      <c r="M2469" s="3" t="s">
        <v>1503</v>
      </c>
      <c r="N2469" s="3" t="s">
        <v>24</v>
      </c>
      <c r="O2469" s="3" t="s">
        <v>25</v>
      </c>
      <c r="Q2469" s="30" t="str">
        <f t="shared" si="38"/>
        <v>MAX : 
TARGET : Yes (Pass)
MIN : No (Fail)</v>
      </c>
    </row>
    <row r="2470" spans="2:17" ht="41.4" x14ac:dyDescent="0.3">
      <c r="B2470">
        <v>1</v>
      </c>
      <c r="C2470" s="33">
        <v>7889</v>
      </c>
      <c r="D2470" s="2">
        <v>1926</v>
      </c>
      <c r="E2470" s="2" t="s">
        <v>9795</v>
      </c>
      <c r="F2470" s="3" t="s">
        <v>14206</v>
      </c>
      <c r="H2470" s="3" t="s">
        <v>568</v>
      </c>
      <c r="K2470" s="2">
        <v>10</v>
      </c>
      <c r="L2470" s="2">
        <v>1</v>
      </c>
      <c r="M2470" s="3" t="s">
        <v>99</v>
      </c>
      <c r="N2470" s="3" t="s">
        <v>1985</v>
      </c>
      <c r="O2470" s="3" t="s">
        <v>149</v>
      </c>
      <c r="P2470" s="3" t="s">
        <v>1986</v>
      </c>
      <c r="Q2470" s="30" t="str">
        <f t="shared" si="38"/>
        <v>MAX : 12.03
TARGET : 12.00
MIN : 11.97</v>
      </c>
    </row>
    <row r="2471" spans="2:17" ht="41.4" x14ac:dyDescent="0.3">
      <c r="B2471">
        <v>1</v>
      </c>
      <c r="C2471" s="33">
        <v>7890</v>
      </c>
      <c r="D2471" s="2">
        <v>1927</v>
      </c>
      <c r="E2471" s="2" t="s">
        <v>9801</v>
      </c>
      <c r="F2471" s="3" t="s">
        <v>14206</v>
      </c>
      <c r="H2471" s="3" t="s">
        <v>289</v>
      </c>
      <c r="K2471" s="2">
        <v>10</v>
      </c>
      <c r="L2471" s="2">
        <v>2</v>
      </c>
      <c r="M2471" s="3" t="s">
        <v>325</v>
      </c>
      <c r="N2471" s="3" t="s">
        <v>13</v>
      </c>
      <c r="O2471" s="3" t="s">
        <v>14</v>
      </c>
      <c r="Q2471" s="30" t="str">
        <f t="shared" si="38"/>
        <v>MAX : 
TARGET : Yes(Pass)
MIN : No(Fail)</v>
      </c>
    </row>
    <row r="2472" spans="2:17" ht="41.4" x14ac:dyDescent="0.3">
      <c r="B2472">
        <v>0</v>
      </c>
      <c r="C2472" s="33">
        <v>8349</v>
      </c>
      <c r="D2472" s="2">
        <v>1952</v>
      </c>
      <c r="E2472" s="2" t="s">
        <v>10293</v>
      </c>
      <c r="F2472" s="3" t="s">
        <v>14206</v>
      </c>
      <c r="G2472" s="3" t="s">
        <v>2633</v>
      </c>
      <c r="H2472" s="3" t="s">
        <v>289</v>
      </c>
      <c r="K2472" s="2">
        <v>10</v>
      </c>
      <c r="L2472" s="2">
        <v>3</v>
      </c>
      <c r="M2472" s="3" t="s">
        <v>78</v>
      </c>
      <c r="N2472" s="3" t="s">
        <v>13</v>
      </c>
      <c r="O2472" s="3" t="s">
        <v>14</v>
      </c>
      <c r="Q2472" s="30" t="str">
        <f t="shared" si="38"/>
        <v>MAX : 
TARGET : Yes(Pass)
MIN : No(Fail)</v>
      </c>
    </row>
    <row r="2473" spans="2:17" ht="41.4" x14ac:dyDescent="0.3">
      <c r="B2473">
        <v>0</v>
      </c>
      <c r="C2473" s="33">
        <v>8349</v>
      </c>
      <c r="D2473" s="2">
        <v>1952</v>
      </c>
      <c r="E2473" s="2" t="s">
        <v>10293</v>
      </c>
      <c r="F2473" s="3" t="s">
        <v>14206</v>
      </c>
      <c r="G2473" s="3" t="s">
        <v>2633</v>
      </c>
      <c r="H2473" s="3" t="s">
        <v>289</v>
      </c>
      <c r="K2473" s="2">
        <v>10</v>
      </c>
      <c r="L2473" s="2">
        <v>4</v>
      </c>
      <c r="M2473" s="3" t="s">
        <v>1503</v>
      </c>
      <c r="N2473" s="3" t="s">
        <v>13</v>
      </c>
      <c r="O2473" s="3" t="s">
        <v>14</v>
      </c>
      <c r="Q2473" s="30" t="str">
        <f t="shared" si="38"/>
        <v>MAX : 
TARGET : Yes(Pass)
MIN : No(Fail)</v>
      </c>
    </row>
    <row r="2474" spans="2:17" ht="41.4" x14ac:dyDescent="0.3">
      <c r="B2474">
        <v>1</v>
      </c>
      <c r="C2474" s="33">
        <v>7890</v>
      </c>
      <c r="D2474" s="2">
        <v>1927</v>
      </c>
      <c r="E2474" s="2" t="s">
        <v>9801</v>
      </c>
      <c r="F2474" s="3" t="s">
        <v>14206</v>
      </c>
      <c r="H2474" s="3" t="s">
        <v>289</v>
      </c>
      <c r="K2474" s="2">
        <v>10</v>
      </c>
      <c r="L2474" s="2">
        <v>1</v>
      </c>
      <c r="M2474" s="3" t="s">
        <v>99</v>
      </c>
      <c r="N2474" s="3" t="s">
        <v>2820</v>
      </c>
      <c r="O2474" s="3" t="s">
        <v>2821</v>
      </c>
      <c r="P2474" s="3" t="s">
        <v>2822</v>
      </c>
      <c r="Q2474" s="30" t="str">
        <f t="shared" si="38"/>
        <v>MAX : + 0.03
TARGET : See WO
MIN : - 0.03</v>
      </c>
    </row>
    <row r="2475" spans="2:17" ht="41.4" x14ac:dyDescent="0.3">
      <c r="B2475">
        <v>1</v>
      </c>
      <c r="C2475" s="33">
        <v>7897</v>
      </c>
      <c r="D2475" s="2">
        <v>1161</v>
      </c>
      <c r="E2475" s="2" t="s">
        <v>9808</v>
      </c>
      <c r="F2475" s="3" t="s">
        <v>14207</v>
      </c>
      <c r="H2475" s="3" t="s">
        <v>600</v>
      </c>
      <c r="K2475" s="2">
        <v>20</v>
      </c>
      <c r="L2475" s="2">
        <v>2</v>
      </c>
      <c r="M2475" s="3" t="s">
        <v>198</v>
      </c>
      <c r="N2475" s="3" t="s">
        <v>2835</v>
      </c>
      <c r="O2475" s="3" t="s">
        <v>1559</v>
      </c>
      <c r="P2475" s="3" t="s">
        <v>586</v>
      </c>
      <c r="Q2475" s="30" t="str">
        <f t="shared" si="38"/>
        <v>MAX : 45.5
TARGET : 45.0
MIN : 44.5</v>
      </c>
    </row>
    <row r="2476" spans="2:17" ht="41.4" x14ac:dyDescent="0.3">
      <c r="B2476">
        <v>0</v>
      </c>
      <c r="C2476" s="33">
        <v>8359</v>
      </c>
      <c r="D2476" s="2">
        <v>1954</v>
      </c>
      <c r="E2476" s="2" t="s">
        <v>10306</v>
      </c>
      <c r="F2476" s="3" t="s">
        <v>14206</v>
      </c>
      <c r="H2476" s="3" t="s">
        <v>289</v>
      </c>
      <c r="K2476" s="2">
        <v>10</v>
      </c>
      <c r="L2476" s="2">
        <v>3</v>
      </c>
      <c r="M2476" s="3" t="s">
        <v>3241</v>
      </c>
      <c r="N2476" s="3" t="s">
        <v>13</v>
      </c>
      <c r="O2476" s="3" t="s">
        <v>14</v>
      </c>
      <c r="Q2476" s="30" t="str">
        <f t="shared" si="38"/>
        <v>MAX : 
TARGET : Yes(Pass)
MIN : No(Fail)</v>
      </c>
    </row>
    <row r="2477" spans="2:17" ht="41.4" x14ac:dyDescent="0.3">
      <c r="B2477">
        <v>0</v>
      </c>
      <c r="C2477" s="33">
        <v>8359</v>
      </c>
      <c r="D2477" s="2">
        <v>1954</v>
      </c>
      <c r="E2477" s="2" t="s">
        <v>10306</v>
      </c>
      <c r="F2477" s="3" t="s">
        <v>14206</v>
      </c>
      <c r="H2477" s="3" t="s">
        <v>289</v>
      </c>
      <c r="K2477" s="2">
        <v>10</v>
      </c>
      <c r="L2477" s="2">
        <v>4</v>
      </c>
      <c r="M2477" s="3" t="s">
        <v>78</v>
      </c>
      <c r="N2477" s="3" t="s">
        <v>13</v>
      </c>
      <c r="O2477" s="3" t="s">
        <v>14</v>
      </c>
      <c r="Q2477" s="30" t="str">
        <f t="shared" si="38"/>
        <v>MAX : 
TARGET : Yes(Pass)
MIN : No(Fail)</v>
      </c>
    </row>
    <row r="2478" spans="2:17" ht="41.4" x14ac:dyDescent="0.3">
      <c r="B2478">
        <v>0</v>
      </c>
      <c r="C2478" s="33">
        <v>8359</v>
      </c>
      <c r="D2478" s="2">
        <v>1954</v>
      </c>
      <c r="E2478" s="2" t="s">
        <v>10306</v>
      </c>
      <c r="F2478" s="3" t="s">
        <v>14206</v>
      </c>
      <c r="H2478" s="3" t="s">
        <v>289</v>
      </c>
      <c r="K2478" s="2">
        <v>10</v>
      </c>
      <c r="L2478" s="2">
        <v>5</v>
      </c>
      <c r="M2478" s="3" t="s">
        <v>1503</v>
      </c>
      <c r="N2478" s="3" t="s">
        <v>13</v>
      </c>
      <c r="O2478" s="3" t="s">
        <v>14</v>
      </c>
      <c r="Q2478" s="30" t="str">
        <f t="shared" si="38"/>
        <v>MAX : 
TARGET : Yes(Pass)
MIN : No(Fail)</v>
      </c>
    </row>
    <row r="2479" spans="2:17" ht="41.4" x14ac:dyDescent="0.3">
      <c r="B2479">
        <v>1</v>
      </c>
      <c r="C2479" s="33">
        <v>7897</v>
      </c>
      <c r="D2479" s="2">
        <v>1161</v>
      </c>
      <c r="E2479" s="2" t="s">
        <v>9808</v>
      </c>
      <c r="F2479" s="3" t="s">
        <v>14207</v>
      </c>
      <c r="H2479" s="3" t="s">
        <v>600</v>
      </c>
      <c r="K2479" s="2">
        <v>20</v>
      </c>
      <c r="L2479" s="2">
        <v>1</v>
      </c>
      <c r="M2479" s="3" t="s">
        <v>194</v>
      </c>
      <c r="N2479" s="3" t="s">
        <v>2832</v>
      </c>
      <c r="O2479" s="3" t="s">
        <v>2833</v>
      </c>
      <c r="P2479" s="3" t="s">
        <v>2834</v>
      </c>
      <c r="Q2479" s="30" t="str">
        <f t="shared" si="38"/>
        <v>MAX : 368.5
TARGET : 368.0
MIN : 367.5</v>
      </c>
    </row>
    <row r="2480" spans="2:17" ht="41.4" x14ac:dyDescent="0.3">
      <c r="B2480">
        <v>1</v>
      </c>
      <c r="C2480" s="33">
        <v>7897</v>
      </c>
      <c r="D2480" s="2">
        <v>1161</v>
      </c>
      <c r="E2480" s="2" t="s">
        <v>9808</v>
      </c>
      <c r="F2480" s="3" t="s">
        <v>14207</v>
      </c>
      <c r="H2480" s="3" t="s">
        <v>600</v>
      </c>
      <c r="K2480" s="2">
        <v>10</v>
      </c>
      <c r="L2480" s="2">
        <v>2</v>
      </c>
      <c r="M2480" s="3" t="s">
        <v>3795</v>
      </c>
      <c r="N2480" s="3" t="s">
        <v>13</v>
      </c>
      <c r="O2480" s="3" t="s">
        <v>14</v>
      </c>
      <c r="Q2480" s="30" t="str">
        <f t="shared" si="38"/>
        <v>MAX : 
TARGET : Yes(Pass)
MIN : No(Fail)</v>
      </c>
    </row>
    <row r="2481" spans="2:18" ht="41.4" x14ac:dyDescent="0.3">
      <c r="B2481">
        <v>0</v>
      </c>
      <c r="C2481" s="33">
        <v>8360</v>
      </c>
      <c r="D2481" s="2">
        <v>1955</v>
      </c>
      <c r="E2481" s="2" t="s">
        <v>10312</v>
      </c>
      <c r="F2481" s="3" t="s">
        <v>14206</v>
      </c>
      <c r="H2481" s="3" t="s">
        <v>289</v>
      </c>
      <c r="K2481" s="2">
        <v>10</v>
      </c>
      <c r="L2481" s="2">
        <v>3</v>
      </c>
      <c r="M2481" s="3" t="s">
        <v>3241</v>
      </c>
      <c r="N2481" s="3" t="s">
        <v>13</v>
      </c>
      <c r="O2481" s="3" t="s">
        <v>14</v>
      </c>
      <c r="Q2481" s="30" t="str">
        <f t="shared" si="38"/>
        <v>MAX : 
TARGET : Yes(Pass)
MIN : No(Fail)</v>
      </c>
    </row>
    <row r="2482" spans="2:18" ht="41.4" x14ac:dyDescent="0.3">
      <c r="B2482">
        <v>0</v>
      </c>
      <c r="C2482" s="33">
        <v>8360</v>
      </c>
      <c r="D2482" s="2">
        <v>1955</v>
      </c>
      <c r="E2482" s="2" t="s">
        <v>10312</v>
      </c>
      <c r="F2482" s="3" t="s">
        <v>14206</v>
      </c>
      <c r="H2482" s="3" t="s">
        <v>289</v>
      </c>
      <c r="K2482" s="2">
        <v>10</v>
      </c>
      <c r="L2482" s="2">
        <v>4</v>
      </c>
      <c r="M2482" s="3" t="s">
        <v>78</v>
      </c>
      <c r="N2482" s="3" t="s">
        <v>13</v>
      </c>
      <c r="O2482" s="3" t="s">
        <v>14</v>
      </c>
      <c r="Q2482" s="30" t="str">
        <f t="shared" si="38"/>
        <v>MAX : 
TARGET : Yes(Pass)
MIN : No(Fail)</v>
      </c>
    </row>
    <row r="2483" spans="2:18" ht="41.4" x14ac:dyDescent="0.3">
      <c r="B2483">
        <v>0</v>
      </c>
      <c r="C2483" s="33">
        <v>8360</v>
      </c>
      <c r="D2483" s="2">
        <v>1955</v>
      </c>
      <c r="E2483" s="2" t="s">
        <v>10312</v>
      </c>
      <c r="F2483" s="3" t="s">
        <v>14206</v>
      </c>
      <c r="H2483" s="3" t="s">
        <v>289</v>
      </c>
      <c r="K2483" s="2">
        <v>10</v>
      </c>
      <c r="L2483" s="2">
        <v>5</v>
      </c>
      <c r="M2483" s="3" t="s">
        <v>1503</v>
      </c>
      <c r="N2483" s="3" t="s">
        <v>13</v>
      </c>
      <c r="O2483" s="3" t="s">
        <v>14</v>
      </c>
      <c r="Q2483" s="30" t="str">
        <f t="shared" si="38"/>
        <v>MAX : 
TARGET : Yes(Pass)
MIN : No(Fail)</v>
      </c>
    </row>
    <row r="2484" spans="2:18" ht="41.4" x14ac:dyDescent="0.3">
      <c r="B2484">
        <v>1</v>
      </c>
      <c r="C2484" s="33">
        <v>7900</v>
      </c>
      <c r="D2484" s="2">
        <v>1162</v>
      </c>
      <c r="E2484" s="2" t="s">
        <v>9814</v>
      </c>
      <c r="F2484" s="3" t="s">
        <v>14206</v>
      </c>
      <c r="H2484" s="3" t="s">
        <v>2826</v>
      </c>
      <c r="K2484" s="2">
        <v>10</v>
      </c>
      <c r="L2484" s="2">
        <v>3</v>
      </c>
      <c r="M2484" s="3" t="s">
        <v>2830</v>
      </c>
      <c r="N2484" s="3" t="s">
        <v>13</v>
      </c>
      <c r="O2484" s="3" t="s">
        <v>14</v>
      </c>
      <c r="Q2484" s="30" t="str">
        <f t="shared" si="38"/>
        <v>MAX : 
TARGET : Yes(Pass)
MIN : No(Fail)</v>
      </c>
      <c r="R2484" s="3" t="s">
        <v>1473</v>
      </c>
    </row>
    <row r="2485" spans="2:18" ht="41.4" x14ac:dyDescent="0.3">
      <c r="B2485">
        <v>1</v>
      </c>
      <c r="C2485" s="33">
        <v>7900</v>
      </c>
      <c r="D2485" s="2">
        <v>1162</v>
      </c>
      <c r="E2485" s="2" t="s">
        <v>9814</v>
      </c>
      <c r="F2485" s="3" t="s">
        <v>14206</v>
      </c>
      <c r="H2485" s="3" t="s">
        <v>2826</v>
      </c>
      <c r="K2485" s="2">
        <v>10</v>
      </c>
      <c r="L2485" s="2">
        <v>1</v>
      </c>
      <c r="M2485" s="3" t="s">
        <v>2827</v>
      </c>
      <c r="N2485" s="3" t="s">
        <v>2828</v>
      </c>
      <c r="O2485" s="3" t="s">
        <v>1817</v>
      </c>
      <c r="P2485" s="3" t="s">
        <v>2829</v>
      </c>
      <c r="Q2485" s="30" t="str">
        <f t="shared" si="38"/>
        <v>MAX : 4.625
TARGET : 4.500
MIN : 4.375</v>
      </c>
      <c r="R2485" s="3" t="s">
        <v>1473</v>
      </c>
    </row>
    <row r="2486" spans="2:18" ht="41.4" x14ac:dyDescent="0.3">
      <c r="B2486">
        <v>0</v>
      </c>
      <c r="C2486" s="33">
        <v>8362</v>
      </c>
      <c r="D2486" s="2">
        <v>1956</v>
      </c>
      <c r="E2486" s="2" t="s">
        <v>10318</v>
      </c>
      <c r="F2486" s="3" t="s">
        <v>14206</v>
      </c>
      <c r="H2486" s="3" t="s">
        <v>289</v>
      </c>
      <c r="K2486" s="2">
        <v>10</v>
      </c>
      <c r="L2486" s="2">
        <v>3</v>
      </c>
      <c r="M2486" s="3" t="s">
        <v>3241</v>
      </c>
      <c r="N2486" s="3" t="s">
        <v>13</v>
      </c>
      <c r="O2486" s="3" t="s">
        <v>14</v>
      </c>
      <c r="Q2486" s="30" t="str">
        <f t="shared" si="38"/>
        <v>MAX : 
TARGET : Yes(Pass)
MIN : No(Fail)</v>
      </c>
    </row>
    <row r="2487" spans="2:18" ht="41.4" x14ac:dyDescent="0.3">
      <c r="B2487">
        <v>0</v>
      </c>
      <c r="C2487" s="33">
        <v>8362</v>
      </c>
      <c r="D2487" s="2">
        <v>1956</v>
      </c>
      <c r="E2487" s="2" t="s">
        <v>10318</v>
      </c>
      <c r="F2487" s="3" t="s">
        <v>14206</v>
      </c>
      <c r="H2487" s="3" t="s">
        <v>289</v>
      </c>
      <c r="K2487" s="2">
        <v>10</v>
      </c>
      <c r="L2487" s="2">
        <v>4</v>
      </c>
      <c r="M2487" s="3" t="s">
        <v>78</v>
      </c>
      <c r="N2487" s="3" t="s">
        <v>13</v>
      </c>
      <c r="O2487" s="3" t="s">
        <v>14</v>
      </c>
      <c r="Q2487" s="30" t="str">
        <f t="shared" si="38"/>
        <v>MAX : 
TARGET : Yes(Pass)
MIN : No(Fail)</v>
      </c>
    </row>
    <row r="2488" spans="2:18" ht="41.4" x14ac:dyDescent="0.3">
      <c r="B2488">
        <v>0</v>
      </c>
      <c r="C2488" s="33">
        <v>8362</v>
      </c>
      <c r="D2488" s="2">
        <v>1956</v>
      </c>
      <c r="E2488" s="2" t="s">
        <v>10318</v>
      </c>
      <c r="F2488" s="3" t="s">
        <v>14206</v>
      </c>
      <c r="H2488" s="3" t="s">
        <v>289</v>
      </c>
      <c r="K2488" s="2">
        <v>10</v>
      </c>
      <c r="L2488" s="2">
        <v>5</v>
      </c>
      <c r="M2488" s="3" t="s">
        <v>1503</v>
      </c>
      <c r="N2488" s="3" t="s">
        <v>13</v>
      </c>
      <c r="O2488" s="3" t="s">
        <v>14</v>
      </c>
      <c r="Q2488" s="30" t="str">
        <f t="shared" si="38"/>
        <v>MAX : 
TARGET : Yes(Pass)
MIN : No(Fail)</v>
      </c>
    </row>
    <row r="2489" spans="2:18" ht="41.4" x14ac:dyDescent="0.3">
      <c r="B2489">
        <v>1</v>
      </c>
      <c r="C2489" s="33">
        <v>7902</v>
      </c>
      <c r="D2489" s="2">
        <v>1928</v>
      </c>
      <c r="E2489" s="2" t="s">
        <v>9821</v>
      </c>
      <c r="F2489" s="3" t="s">
        <v>14206</v>
      </c>
      <c r="H2489" s="3" t="s">
        <v>2841</v>
      </c>
      <c r="K2489" s="2">
        <v>10</v>
      </c>
      <c r="L2489" s="2">
        <v>2</v>
      </c>
      <c r="M2489" s="3" t="s">
        <v>325</v>
      </c>
      <c r="N2489" s="3" t="s">
        <v>13</v>
      </c>
      <c r="O2489" s="3" t="s">
        <v>14</v>
      </c>
      <c r="Q2489" s="30" t="str">
        <f t="shared" si="38"/>
        <v>MAX : 
TARGET : Yes(Pass)
MIN : No(Fail)</v>
      </c>
    </row>
    <row r="2490" spans="2:18" ht="41.4" x14ac:dyDescent="0.3">
      <c r="B2490">
        <v>1</v>
      </c>
      <c r="C2490" s="33">
        <v>7902</v>
      </c>
      <c r="D2490" s="2">
        <v>1928</v>
      </c>
      <c r="E2490" s="2" t="s">
        <v>9821</v>
      </c>
      <c r="F2490" s="3" t="s">
        <v>14206</v>
      </c>
      <c r="H2490" s="3" t="s">
        <v>2841</v>
      </c>
      <c r="K2490" s="2">
        <v>10</v>
      </c>
      <c r="L2490" s="2">
        <v>1</v>
      </c>
      <c r="M2490" s="3" t="s">
        <v>2842</v>
      </c>
      <c r="N2490" s="3" t="s">
        <v>863</v>
      </c>
      <c r="O2490" s="3" t="s">
        <v>8</v>
      </c>
      <c r="P2490" s="3" t="s">
        <v>865</v>
      </c>
      <c r="Q2490" s="30" t="str">
        <f t="shared" si="38"/>
        <v>MAX : +0.03
TARGET : Target
MIN : -0.03</v>
      </c>
    </row>
    <row r="2491" spans="2:18" ht="41.4" x14ac:dyDescent="0.3">
      <c r="B2491">
        <v>0</v>
      </c>
      <c r="C2491" s="33">
        <v>7482</v>
      </c>
      <c r="D2491" s="2">
        <v>1112</v>
      </c>
      <c r="E2491" s="2" t="s">
        <v>9237</v>
      </c>
      <c r="F2491" s="3" t="s">
        <v>14206</v>
      </c>
      <c r="H2491" s="3" t="s">
        <v>2315</v>
      </c>
      <c r="K2491" s="2">
        <v>10</v>
      </c>
      <c r="L2491" s="2">
        <v>25</v>
      </c>
      <c r="M2491" s="3" t="s">
        <v>3251</v>
      </c>
      <c r="N2491" s="3" t="s">
        <v>3252</v>
      </c>
      <c r="O2491" s="3" t="s">
        <v>129</v>
      </c>
      <c r="P2491" s="3" t="s">
        <v>3253</v>
      </c>
      <c r="Q2491" s="30" t="str">
        <f t="shared" si="38"/>
        <v>MAX : 4.07
TARGET : 4.06
MIN : 4.05</v>
      </c>
    </row>
    <row r="2492" spans="2:18" ht="41.4" x14ac:dyDescent="0.3">
      <c r="B2492">
        <v>1</v>
      </c>
      <c r="C2492" s="33">
        <v>7903</v>
      </c>
      <c r="D2492" s="2">
        <v>1163</v>
      </c>
      <c r="E2492" s="2" t="s">
        <v>9828</v>
      </c>
      <c r="F2492" s="29" t="s">
        <v>14227</v>
      </c>
      <c r="G2492" s="3" t="s">
        <v>2843</v>
      </c>
      <c r="H2492" s="3" t="s">
        <v>2844</v>
      </c>
      <c r="K2492" s="2">
        <v>30</v>
      </c>
      <c r="L2492" s="2">
        <v>12</v>
      </c>
      <c r="M2492" s="3" t="s">
        <v>198</v>
      </c>
      <c r="N2492" s="3" t="s">
        <v>2848</v>
      </c>
      <c r="O2492" s="3" t="s">
        <v>2849</v>
      </c>
      <c r="P2492" s="3" t="s">
        <v>2850</v>
      </c>
      <c r="Q2492" s="30" t="str">
        <f t="shared" si="38"/>
        <v>MAX : 6.680
TARGET : 6.674
MIN : 6.668</v>
      </c>
    </row>
    <row r="2493" spans="2:18" ht="41.4" x14ac:dyDescent="0.3">
      <c r="B2493">
        <v>1</v>
      </c>
      <c r="C2493" s="33">
        <v>7903</v>
      </c>
      <c r="D2493" s="2">
        <v>1163</v>
      </c>
      <c r="E2493" s="2" t="s">
        <v>9828</v>
      </c>
      <c r="F2493" s="29" t="s">
        <v>14227</v>
      </c>
      <c r="G2493" s="3" t="s">
        <v>2843</v>
      </c>
      <c r="H2493" s="3" t="s">
        <v>2844</v>
      </c>
      <c r="K2493" s="2">
        <v>30</v>
      </c>
      <c r="L2493" s="2">
        <v>14</v>
      </c>
      <c r="M2493" s="3" t="s">
        <v>2955</v>
      </c>
      <c r="N2493" s="3" t="s">
        <v>2977</v>
      </c>
      <c r="O2493" s="3" t="s">
        <v>2978</v>
      </c>
      <c r="P2493" s="3" t="s">
        <v>2979</v>
      </c>
      <c r="Q2493" s="30" t="str">
        <f t="shared" si="38"/>
        <v>MAX : 6.244
TARGET : 6.234
MIN : 6.224</v>
      </c>
    </row>
    <row r="2494" spans="2:18" ht="41.4" x14ac:dyDescent="0.3">
      <c r="B2494">
        <v>1</v>
      </c>
      <c r="C2494" s="33">
        <v>7903</v>
      </c>
      <c r="D2494" s="2">
        <v>1163</v>
      </c>
      <c r="E2494" s="2" t="s">
        <v>9828</v>
      </c>
      <c r="F2494" s="29" t="s">
        <v>14227</v>
      </c>
      <c r="G2494" s="3" t="s">
        <v>2843</v>
      </c>
      <c r="H2494" s="3" t="s">
        <v>2844</v>
      </c>
      <c r="K2494" s="2">
        <v>40</v>
      </c>
      <c r="L2494" s="2">
        <v>7</v>
      </c>
      <c r="M2494" s="3" t="s">
        <v>2993</v>
      </c>
      <c r="N2494" s="3" t="s">
        <v>1619</v>
      </c>
      <c r="O2494" s="3" t="s">
        <v>1620</v>
      </c>
      <c r="Q2494" s="30" t="str">
        <f t="shared" si="38"/>
        <v>MAX : 
TARGET : Yes (pass)
MIN : No (fail)</v>
      </c>
    </row>
    <row r="2495" spans="2:18" ht="41.4" x14ac:dyDescent="0.3">
      <c r="B2495">
        <v>0</v>
      </c>
      <c r="C2495" s="33">
        <v>8411</v>
      </c>
      <c r="D2495" s="2">
        <v>1962</v>
      </c>
      <c r="E2495" s="2" t="s">
        <v>10396</v>
      </c>
      <c r="F2495" s="3" t="s">
        <v>14206</v>
      </c>
      <c r="H2495" s="3" t="s">
        <v>11</v>
      </c>
      <c r="K2495" s="2">
        <v>30</v>
      </c>
      <c r="L2495" s="2">
        <v>3</v>
      </c>
      <c r="M2495" s="3" t="s">
        <v>3259</v>
      </c>
      <c r="N2495" s="3" t="s">
        <v>252</v>
      </c>
      <c r="O2495" s="3" t="s">
        <v>253</v>
      </c>
      <c r="P2495" s="3" t="s">
        <v>128</v>
      </c>
      <c r="Q2495" s="30" t="str">
        <f t="shared" si="38"/>
        <v>MAX : 4.03
TARGET : 4.00
MIN : 3.97</v>
      </c>
    </row>
    <row r="2496" spans="2:18" ht="41.4" x14ac:dyDescent="0.3">
      <c r="B2496">
        <v>0</v>
      </c>
      <c r="C2496" s="33">
        <v>8411</v>
      </c>
      <c r="D2496" s="2">
        <v>1962</v>
      </c>
      <c r="E2496" s="2" t="s">
        <v>10396</v>
      </c>
      <c r="F2496" s="3" t="s">
        <v>14206</v>
      </c>
      <c r="H2496" s="3" t="s">
        <v>11</v>
      </c>
      <c r="K2496" s="2">
        <v>30</v>
      </c>
      <c r="L2496" s="2">
        <v>4</v>
      </c>
      <c r="M2496" s="3" t="s">
        <v>3260</v>
      </c>
      <c r="N2496" s="3" t="s">
        <v>13</v>
      </c>
      <c r="O2496" s="3" t="s">
        <v>14</v>
      </c>
      <c r="Q2496" s="30" t="str">
        <f t="shared" si="38"/>
        <v>MAX : 
TARGET : Yes(Pass)
MIN : No(Fail)</v>
      </c>
    </row>
    <row r="2497" spans="2:18" ht="41.4" x14ac:dyDescent="0.3">
      <c r="B2497">
        <v>0</v>
      </c>
      <c r="C2497" s="33">
        <v>8411</v>
      </c>
      <c r="D2497" s="2">
        <v>1962</v>
      </c>
      <c r="E2497" s="2" t="s">
        <v>10396</v>
      </c>
      <c r="F2497" s="3" t="s">
        <v>14206</v>
      </c>
      <c r="H2497" s="3" t="s">
        <v>11</v>
      </c>
      <c r="K2497" s="2">
        <v>30</v>
      </c>
      <c r="L2497" s="2">
        <v>5</v>
      </c>
      <c r="M2497" s="3" t="s">
        <v>3261</v>
      </c>
      <c r="N2497" s="3" t="s">
        <v>13</v>
      </c>
      <c r="O2497" s="3" t="s">
        <v>14</v>
      </c>
      <c r="Q2497" s="30" t="str">
        <f t="shared" si="38"/>
        <v>MAX : 
TARGET : Yes(Pass)
MIN : No(Fail)</v>
      </c>
    </row>
    <row r="2498" spans="2:18" ht="41.4" x14ac:dyDescent="0.3">
      <c r="B2498">
        <v>0</v>
      </c>
      <c r="C2498" s="33">
        <v>8411</v>
      </c>
      <c r="D2498" s="2">
        <v>1962</v>
      </c>
      <c r="E2498" s="2" t="s">
        <v>10396</v>
      </c>
      <c r="F2498" s="3" t="s">
        <v>14206</v>
      </c>
      <c r="H2498" s="3" t="s">
        <v>11</v>
      </c>
      <c r="K2498" s="2">
        <v>30</v>
      </c>
      <c r="L2498" s="2">
        <v>6</v>
      </c>
      <c r="M2498" s="3" t="s">
        <v>3262</v>
      </c>
      <c r="N2498" s="3" t="s">
        <v>13</v>
      </c>
      <c r="O2498" s="3" t="s">
        <v>14</v>
      </c>
      <c r="Q2498" s="30" t="str">
        <f t="shared" ref="Q2498:Q2561" si="39">"MAX : " &amp; P2498 &amp; CHAR(10) &amp; "TARGET : " &amp; O2498 &amp; CHAR(10) &amp; "MIN : " &amp; N2498</f>
        <v>MAX : 
TARGET : Yes(Pass)
MIN : No(Fail)</v>
      </c>
    </row>
    <row r="2499" spans="2:18" ht="41.4" x14ac:dyDescent="0.3">
      <c r="B2499">
        <v>0</v>
      </c>
      <c r="C2499" s="33">
        <v>8411</v>
      </c>
      <c r="D2499" s="2">
        <v>1962</v>
      </c>
      <c r="E2499" s="2" t="s">
        <v>10396</v>
      </c>
      <c r="F2499" s="3" t="s">
        <v>14206</v>
      </c>
      <c r="H2499" s="3" t="s">
        <v>11</v>
      </c>
      <c r="K2499" s="2">
        <v>10</v>
      </c>
      <c r="L2499" s="2">
        <v>1</v>
      </c>
      <c r="M2499" s="3" t="s">
        <v>174</v>
      </c>
      <c r="N2499" s="3" t="s">
        <v>252</v>
      </c>
      <c r="O2499" s="3" t="s">
        <v>253</v>
      </c>
      <c r="P2499" s="3" t="s">
        <v>128</v>
      </c>
      <c r="Q2499" s="30" t="str">
        <f t="shared" si="39"/>
        <v>MAX : 4.03
TARGET : 4.00
MIN : 3.97</v>
      </c>
    </row>
    <row r="2500" spans="2:18" ht="41.4" x14ac:dyDescent="0.3">
      <c r="B2500">
        <v>0</v>
      </c>
      <c r="C2500" s="33">
        <v>8411</v>
      </c>
      <c r="D2500" s="2">
        <v>1962</v>
      </c>
      <c r="E2500" s="2" t="s">
        <v>10396</v>
      </c>
      <c r="F2500" s="3" t="s">
        <v>14206</v>
      </c>
      <c r="H2500" s="3" t="s">
        <v>11</v>
      </c>
      <c r="K2500" s="2">
        <v>20</v>
      </c>
      <c r="L2500" s="2">
        <v>1</v>
      </c>
      <c r="M2500" s="3" t="s">
        <v>3263</v>
      </c>
      <c r="N2500" s="3" t="s">
        <v>308</v>
      </c>
      <c r="O2500" s="3" t="s">
        <v>309</v>
      </c>
      <c r="P2500" s="3" t="s">
        <v>310</v>
      </c>
      <c r="Q2500" s="30" t="str">
        <f t="shared" si="39"/>
        <v>MAX : 0.53
TARGET : 0.50
MIN : 0.47</v>
      </c>
    </row>
    <row r="2501" spans="2:18" ht="41.4" x14ac:dyDescent="0.3">
      <c r="B2501">
        <v>1</v>
      </c>
      <c r="C2501" s="33">
        <v>7903</v>
      </c>
      <c r="D2501" s="2">
        <v>1163</v>
      </c>
      <c r="E2501" s="2" t="s">
        <v>9828</v>
      </c>
      <c r="F2501" s="29" t="s">
        <v>14227</v>
      </c>
      <c r="G2501" s="3" t="s">
        <v>2843</v>
      </c>
      <c r="H2501" s="3" t="s">
        <v>2844</v>
      </c>
      <c r="K2501" s="2">
        <v>30</v>
      </c>
      <c r="L2501" s="2">
        <v>11</v>
      </c>
      <c r="M2501" s="3" t="s">
        <v>194</v>
      </c>
      <c r="N2501" s="3" t="s">
        <v>2845</v>
      </c>
      <c r="O2501" s="3" t="s">
        <v>2846</v>
      </c>
      <c r="P2501" s="3" t="s">
        <v>2847</v>
      </c>
      <c r="Q2501" s="30" t="str">
        <f t="shared" si="39"/>
        <v>MAX : 2.352
TARGET : 2.346
MIN : 2.340</v>
      </c>
    </row>
    <row r="2502" spans="2:18" ht="41.4" x14ac:dyDescent="0.3">
      <c r="B2502">
        <v>1</v>
      </c>
      <c r="C2502" s="33">
        <v>7903</v>
      </c>
      <c r="D2502" s="2">
        <v>1163</v>
      </c>
      <c r="E2502" s="2" t="s">
        <v>9828</v>
      </c>
      <c r="F2502" s="29" t="s">
        <v>14227</v>
      </c>
      <c r="G2502" s="3" t="s">
        <v>2843</v>
      </c>
      <c r="H2502" s="3" t="s">
        <v>2844</v>
      </c>
      <c r="K2502" s="2">
        <v>40</v>
      </c>
      <c r="L2502" s="2">
        <v>1</v>
      </c>
      <c r="M2502" s="3" t="s">
        <v>2992</v>
      </c>
      <c r="N2502" s="3" t="s">
        <v>1619</v>
      </c>
      <c r="O2502" s="3" t="s">
        <v>1620</v>
      </c>
      <c r="Q2502" s="30" t="str">
        <f t="shared" si="39"/>
        <v>MAX : 
TARGET : Yes (pass)
MIN : No (fail)</v>
      </c>
    </row>
    <row r="2503" spans="2:18" ht="41.4" x14ac:dyDescent="0.3">
      <c r="B2503">
        <v>0</v>
      </c>
      <c r="C2503" s="33">
        <v>8416</v>
      </c>
      <c r="D2503" s="2">
        <v>1218</v>
      </c>
      <c r="E2503" s="2" t="s">
        <v>10403</v>
      </c>
      <c r="F2503" s="3" t="s">
        <v>14207</v>
      </c>
      <c r="H2503" s="3" t="s">
        <v>1915</v>
      </c>
      <c r="K2503" s="2">
        <v>10</v>
      </c>
      <c r="L2503" s="2">
        <v>3</v>
      </c>
      <c r="M2503" s="3" t="s">
        <v>3270</v>
      </c>
      <c r="N2503" s="3" t="s">
        <v>13</v>
      </c>
      <c r="O2503" s="3" t="s">
        <v>14</v>
      </c>
      <c r="Q2503" s="30" t="str">
        <f t="shared" si="39"/>
        <v>MAX : 
TARGET : Yes(Pass)
MIN : No(Fail)</v>
      </c>
      <c r="R2503" s="3" t="s">
        <v>1473</v>
      </c>
    </row>
    <row r="2504" spans="2:18" ht="41.4" x14ac:dyDescent="0.3">
      <c r="B2504">
        <v>0</v>
      </c>
      <c r="C2504" s="33">
        <v>8416</v>
      </c>
      <c r="D2504" s="2">
        <v>1218</v>
      </c>
      <c r="E2504" s="2" t="s">
        <v>10403</v>
      </c>
      <c r="F2504" s="3" t="s">
        <v>14207</v>
      </c>
      <c r="H2504" s="3" t="s">
        <v>1915</v>
      </c>
      <c r="K2504" s="2">
        <v>10</v>
      </c>
      <c r="L2504" s="2">
        <v>4</v>
      </c>
      <c r="M2504" s="3" t="s">
        <v>3271</v>
      </c>
      <c r="N2504" s="3" t="s">
        <v>13</v>
      </c>
      <c r="O2504" s="3" t="s">
        <v>14</v>
      </c>
      <c r="Q2504" s="30" t="str">
        <f t="shared" si="39"/>
        <v>MAX : 
TARGET : Yes(Pass)
MIN : No(Fail)</v>
      </c>
      <c r="R2504" s="3" t="s">
        <v>1473</v>
      </c>
    </row>
    <row r="2505" spans="2:18" ht="41.4" x14ac:dyDescent="0.3">
      <c r="B2505">
        <v>0</v>
      </c>
      <c r="C2505" s="33">
        <v>8416</v>
      </c>
      <c r="D2505" s="2">
        <v>1218</v>
      </c>
      <c r="E2505" s="2" t="s">
        <v>10403</v>
      </c>
      <c r="F2505" s="3" t="s">
        <v>14207</v>
      </c>
      <c r="H2505" s="3" t="s">
        <v>1915</v>
      </c>
      <c r="K2505" s="2">
        <v>10</v>
      </c>
      <c r="L2505" s="2">
        <v>5</v>
      </c>
      <c r="M2505" s="3" t="s">
        <v>3272</v>
      </c>
      <c r="N2505" s="3" t="s">
        <v>13</v>
      </c>
      <c r="O2505" s="3" t="s">
        <v>14</v>
      </c>
      <c r="Q2505" s="30" t="str">
        <f t="shared" si="39"/>
        <v>MAX : 
TARGET : Yes(Pass)
MIN : No(Fail)</v>
      </c>
      <c r="R2505" s="3" t="s">
        <v>1473</v>
      </c>
    </row>
    <row r="2506" spans="2:18" ht="41.4" x14ac:dyDescent="0.3">
      <c r="B2506">
        <v>1</v>
      </c>
      <c r="C2506" s="33">
        <v>7903</v>
      </c>
      <c r="D2506" s="2">
        <v>1163</v>
      </c>
      <c r="E2506" s="2" t="s">
        <v>9828</v>
      </c>
      <c r="F2506" s="29" t="s">
        <v>14227</v>
      </c>
      <c r="G2506" s="3" t="s">
        <v>2843</v>
      </c>
      <c r="H2506" s="3" t="s">
        <v>2844</v>
      </c>
      <c r="K2506" s="2">
        <v>40</v>
      </c>
      <c r="L2506" s="2">
        <v>5</v>
      </c>
      <c r="M2506" s="3" t="s">
        <v>3022</v>
      </c>
      <c r="N2506" s="3" t="s">
        <v>1619</v>
      </c>
      <c r="O2506" s="3" t="s">
        <v>1620</v>
      </c>
      <c r="Q2506" s="30" t="str">
        <f t="shared" si="39"/>
        <v>MAX : 
TARGET : Yes (pass)
MIN : No (fail)</v>
      </c>
    </row>
    <row r="2507" spans="2:18" ht="41.4" x14ac:dyDescent="0.3">
      <c r="B2507">
        <v>1</v>
      </c>
      <c r="C2507" s="33">
        <v>7903</v>
      </c>
      <c r="D2507" s="2">
        <v>1163</v>
      </c>
      <c r="E2507" s="2" t="s">
        <v>9828</v>
      </c>
      <c r="F2507" s="29" t="s">
        <v>14227</v>
      </c>
      <c r="G2507" s="3" t="s">
        <v>2843</v>
      </c>
      <c r="H2507" s="3" t="s">
        <v>2844</v>
      </c>
      <c r="K2507" s="2">
        <v>40</v>
      </c>
      <c r="L2507" s="2">
        <v>8</v>
      </c>
      <c r="M2507" s="3" t="s">
        <v>3379</v>
      </c>
      <c r="N2507" s="3" t="s">
        <v>1619</v>
      </c>
      <c r="O2507" s="3" t="s">
        <v>1620</v>
      </c>
      <c r="Q2507" s="30" t="str">
        <f t="shared" si="39"/>
        <v>MAX : 
TARGET : Yes (pass)
MIN : No (fail)</v>
      </c>
    </row>
    <row r="2508" spans="2:18" ht="41.4" x14ac:dyDescent="0.3">
      <c r="B2508">
        <v>0</v>
      </c>
      <c r="C2508" s="33">
        <v>8423</v>
      </c>
      <c r="D2508" s="2">
        <v>1963</v>
      </c>
      <c r="E2508" s="2" t="s">
        <v>10411</v>
      </c>
      <c r="F2508" s="3" t="s">
        <v>14207</v>
      </c>
      <c r="H2508" s="3" t="s">
        <v>193</v>
      </c>
      <c r="K2508" s="2">
        <v>10</v>
      </c>
      <c r="L2508" s="2">
        <v>3</v>
      </c>
      <c r="M2508" s="3" t="s">
        <v>3274</v>
      </c>
      <c r="N2508" s="3" t="s">
        <v>13</v>
      </c>
      <c r="O2508" s="3" t="s">
        <v>14</v>
      </c>
      <c r="Q2508" s="30" t="str">
        <f t="shared" si="39"/>
        <v>MAX : 
TARGET : Yes(Pass)
MIN : No(Fail)</v>
      </c>
    </row>
    <row r="2509" spans="2:18" ht="41.4" x14ac:dyDescent="0.3">
      <c r="B2509">
        <v>1</v>
      </c>
      <c r="C2509" s="33">
        <v>7903</v>
      </c>
      <c r="D2509" s="2">
        <v>1163</v>
      </c>
      <c r="E2509" s="2" t="s">
        <v>9828</v>
      </c>
      <c r="F2509" s="29" t="s">
        <v>14227</v>
      </c>
      <c r="G2509" s="3" t="s">
        <v>2843</v>
      </c>
      <c r="H2509" s="3" t="s">
        <v>2844</v>
      </c>
      <c r="K2509" s="2">
        <v>30</v>
      </c>
      <c r="L2509" s="2">
        <v>2</v>
      </c>
      <c r="M2509" s="3" t="s">
        <v>3357</v>
      </c>
      <c r="N2509" s="3" t="s">
        <v>218</v>
      </c>
      <c r="O2509" s="3" t="s">
        <v>281</v>
      </c>
      <c r="P2509" s="3" t="s">
        <v>1527</v>
      </c>
      <c r="Q2509" s="30" t="str">
        <f t="shared" si="39"/>
        <v>MAX : 0.320
TARGET : 0.250
MIN : 0.180</v>
      </c>
    </row>
    <row r="2510" spans="2:18" ht="41.4" x14ac:dyDescent="0.3">
      <c r="B2510">
        <v>1</v>
      </c>
      <c r="C2510" s="33">
        <v>7903</v>
      </c>
      <c r="D2510" s="2">
        <v>1163</v>
      </c>
      <c r="E2510" s="2" t="s">
        <v>9828</v>
      </c>
      <c r="F2510" s="29" t="s">
        <v>14227</v>
      </c>
      <c r="G2510" s="3" t="s">
        <v>2843</v>
      </c>
      <c r="H2510" s="3" t="s">
        <v>2844</v>
      </c>
      <c r="K2510" s="2">
        <v>40</v>
      </c>
      <c r="L2510" s="2">
        <v>2</v>
      </c>
      <c r="M2510" s="3" t="s">
        <v>3444</v>
      </c>
      <c r="N2510" s="3" t="s">
        <v>1619</v>
      </c>
      <c r="O2510" s="3" t="s">
        <v>1620</v>
      </c>
      <c r="Q2510" s="30" t="str">
        <f t="shared" si="39"/>
        <v>MAX : 
TARGET : Yes (pass)
MIN : No (fail)</v>
      </c>
    </row>
    <row r="2511" spans="2:18" ht="41.4" x14ac:dyDescent="0.3">
      <c r="B2511">
        <v>0</v>
      </c>
      <c r="C2511" s="33">
        <v>8431</v>
      </c>
      <c r="D2511" s="2">
        <v>1964</v>
      </c>
      <c r="E2511" s="2" t="s">
        <v>10418</v>
      </c>
      <c r="F2511" s="3" t="s">
        <v>14206</v>
      </c>
      <c r="H2511" s="3" t="s">
        <v>1677</v>
      </c>
      <c r="K2511" s="2">
        <v>10</v>
      </c>
      <c r="L2511" s="2">
        <v>3</v>
      </c>
      <c r="M2511" s="3" t="s">
        <v>611</v>
      </c>
      <c r="N2511" s="3" t="s">
        <v>13</v>
      </c>
      <c r="O2511" s="3" t="s">
        <v>14</v>
      </c>
      <c r="Q2511" s="30" t="str">
        <f t="shared" si="39"/>
        <v>MAX : 
TARGET : Yes(Pass)
MIN : No(Fail)</v>
      </c>
    </row>
    <row r="2512" spans="2:18" ht="41.4" x14ac:dyDescent="0.3">
      <c r="B2512">
        <v>1</v>
      </c>
      <c r="C2512" s="33">
        <v>7903</v>
      </c>
      <c r="D2512" s="2">
        <v>1163</v>
      </c>
      <c r="E2512" s="2" t="s">
        <v>9828</v>
      </c>
      <c r="F2512" s="29" t="s">
        <v>14227</v>
      </c>
      <c r="G2512" s="3" t="s">
        <v>2843</v>
      </c>
      <c r="H2512" s="3" t="s">
        <v>2844</v>
      </c>
      <c r="K2512" s="2">
        <v>30</v>
      </c>
      <c r="L2512" s="2">
        <v>1</v>
      </c>
      <c r="M2512" s="3" t="s">
        <v>3451</v>
      </c>
      <c r="N2512" s="3" t="s">
        <v>1619</v>
      </c>
      <c r="O2512" s="3" t="s">
        <v>1620</v>
      </c>
      <c r="Q2512" s="30" t="str">
        <f t="shared" si="39"/>
        <v>MAX : 
TARGET : Yes (pass)
MIN : No (fail)</v>
      </c>
    </row>
    <row r="2513" spans="2:17" ht="41.4" x14ac:dyDescent="0.3">
      <c r="B2513">
        <v>1</v>
      </c>
      <c r="C2513" s="33">
        <v>7903</v>
      </c>
      <c r="D2513" s="2">
        <v>1163</v>
      </c>
      <c r="E2513" s="2" t="s">
        <v>9828</v>
      </c>
      <c r="F2513" s="29" t="s">
        <v>14227</v>
      </c>
      <c r="G2513" s="3" t="s">
        <v>2843</v>
      </c>
      <c r="H2513" s="3" t="s">
        <v>2844</v>
      </c>
      <c r="K2513" s="2">
        <v>30</v>
      </c>
      <c r="L2513" s="2">
        <v>5</v>
      </c>
      <c r="M2513" s="3" t="s">
        <v>5254</v>
      </c>
      <c r="N2513" s="3" t="s">
        <v>1619</v>
      </c>
      <c r="O2513" s="3" t="s">
        <v>1620</v>
      </c>
      <c r="Q2513" s="30" t="str">
        <f t="shared" si="39"/>
        <v>MAX : 
TARGET : Yes (pass)
MIN : No (fail)</v>
      </c>
    </row>
    <row r="2514" spans="2:17" ht="41.4" x14ac:dyDescent="0.3">
      <c r="B2514">
        <v>1</v>
      </c>
      <c r="C2514" s="33">
        <v>7903</v>
      </c>
      <c r="D2514" s="2">
        <v>1163</v>
      </c>
      <c r="E2514" s="2" t="s">
        <v>9828</v>
      </c>
      <c r="F2514" s="29" t="s">
        <v>14227</v>
      </c>
      <c r="G2514" s="3" t="s">
        <v>2843</v>
      </c>
      <c r="H2514" s="3" t="s">
        <v>2844</v>
      </c>
      <c r="K2514" s="2">
        <v>30</v>
      </c>
      <c r="L2514" s="2">
        <v>4</v>
      </c>
      <c r="M2514" s="3" t="s">
        <v>3437</v>
      </c>
      <c r="Q2514" s="30" t="str">
        <f t="shared" si="39"/>
        <v xml:space="preserve">MAX : 
TARGET : 
MIN : </v>
      </c>
    </row>
    <row r="2515" spans="2:17" ht="41.4" x14ac:dyDescent="0.3">
      <c r="B2515">
        <v>1</v>
      </c>
      <c r="C2515" s="33">
        <v>7903</v>
      </c>
      <c r="D2515" s="2">
        <v>1163</v>
      </c>
      <c r="E2515" s="2" t="s">
        <v>9828</v>
      </c>
      <c r="F2515" s="29" t="s">
        <v>14227</v>
      </c>
      <c r="G2515" s="3" t="s">
        <v>2843</v>
      </c>
      <c r="H2515" s="3" t="s">
        <v>2844</v>
      </c>
      <c r="K2515" s="2">
        <v>40</v>
      </c>
      <c r="L2515" s="2">
        <v>3</v>
      </c>
      <c r="M2515" s="3" t="s">
        <v>3294</v>
      </c>
      <c r="N2515" s="3" t="s">
        <v>1619</v>
      </c>
      <c r="O2515" s="3" t="s">
        <v>1620</v>
      </c>
      <c r="Q2515" s="30" t="str">
        <f t="shared" si="39"/>
        <v>MAX : 
TARGET : Yes (pass)
MIN : No (fail)</v>
      </c>
    </row>
    <row r="2516" spans="2:17" ht="41.4" x14ac:dyDescent="0.3">
      <c r="B2516">
        <v>1</v>
      </c>
      <c r="C2516" s="33">
        <v>7903</v>
      </c>
      <c r="D2516" s="2">
        <v>1163</v>
      </c>
      <c r="E2516" s="2" t="s">
        <v>9828</v>
      </c>
      <c r="F2516" s="29" t="s">
        <v>14227</v>
      </c>
      <c r="G2516" s="3" t="s">
        <v>2843</v>
      </c>
      <c r="H2516" s="3" t="s">
        <v>2844</v>
      </c>
      <c r="K2516" s="2">
        <v>30</v>
      </c>
      <c r="L2516" s="2">
        <v>16</v>
      </c>
      <c r="M2516" s="3" t="s">
        <v>5577</v>
      </c>
      <c r="N2516" s="3" t="s">
        <v>1619</v>
      </c>
      <c r="O2516" s="3" t="s">
        <v>1620</v>
      </c>
      <c r="Q2516" s="30" t="str">
        <f t="shared" si="39"/>
        <v>MAX : 
TARGET : Yes (pass)
MIN : No (fail)</v>
      </c>
    </row>
    <row r="2517" spans="2:17" ht="41.4" x14ac:dyDescent="0.3">
      <c r="B2517">
        <v>0</v>
      </c>
      <c r="C2517" s="33">
        <v>8435</v>
      </c>
      <c r="D2517" s="2">
        <v>1219</v>
      </c>
      <c r="E2517" s="2" t="s">
        <v>10433</v>
      </c>
      <c r="F2517" s="3" t="s">
        <v>14207</v>
      </c>
      <c r="H2517" s="3" t="s">
        <v>747</v>
      </c>
      <c r="K2517" s="2">
        <v>20</v>
      </c>
      <c r="L2517" s="2">
        <v>3</v>
      </c>
      <c r="M2517" s="3" t="s">
        <v>3282</v>
      </c>
      <c r="N2517" s="3" t="s">
        <v>13</v>
      </c>
      <c r="O2517" s="3" t="s">
        <v>14</v>
      </c>
      <c r="Q2517" s="30" t="str">
        <f t="shared" si="39"/>
        <v>MAX : 
TARGET : Yes(Pass)
MIN : No(Fail)</v>
      </c>
    </row>
    <row r="2518" spans="2:17" ht="41.4" x14ac:dyDescent="0.3">
      <c r="B2518">
        <v>0</v>
      </c>
      <c r="C2518" s="33">
        <v>8435</v>
      </c>
      <c r="D2518" s="2">
        <v>1219</v>
      </c>
      <c r="E2518" s="2" t="s">
        <v>10433</v>
      </c>
      <c r="F2518" s="3" t="s">
        <v>14207</v>
      </c>
      <c r="H2518" s="3" t="s">
        <v>747</v>
      </c>
      <c r="K2518" s="2">
        <v>20</v>
      </c>
      <c r="L2518" s="2">
        <v>4</v>
      </c>
      <c r="M2518" s="3" t="s">
        <v>611</v>
      </c>
      <c r="N2518" s="3" t="s">
        <v>13</v>
      </c>
      <c r="O2518" s="3" t="s">
        <v>14</v>
      </c>
      <c r="Q2518" s="30" t="str">
        <f t="shared" si="39"/>
        <v>MAX : 
TARGET : Yes(Pass)
MIN : No(Fail)</v>
      </c>
    </row>
    <row r="2519" spans="2:17" ht="41.4" x14ac:dyDescent="0.3">
      <c r="B2519">
        <v>1</v>
      </c>
      <c r="C2519" s="33">
        <v>7903</v>
      </c>
      <c r="D2519" s="2">
        <v>1163</v>
      </c>
      <c r="E2519" s="2" t="s">
        <v>9828</v>
      </c>
      <c r="F2519" s="29" t="s">
        <v>14227</v>
      </c>
      <c r="G2519" s="3" t="s">
        <v>2843</v>
      </c>
      <c r="H2519" s="3" t="s">
        <v>2844</v>
      </c>
      <c r="K2519" s="2">
        <v>30</v>
      </c>
      <c r="L2519" s="2">
        <v>16.2</v>
      </c>
      <c r="Q2519" s="30" t="str">
        <f t="shared" si="39"/>
        <v xml:space="preserve">MAX : 
TARGET : 
MIN : </v>
      </c>
    </row>
    <row r="2520" spans="2:17" ht="41.4" x14ac:dyDescent="0.3">
      <c r="B2520">
        <v>1</v>
      </c>
      <c r="C2520" s="33">
        <v>7930</v>
      </c>
      <c r="D2520" s="2">
        <v>1932</v>
      </c>
      <c r="E2520" s="2" t="s">
        <v>9853</v>
      </c>
      <c r="F2520" s="3" t="s">
        <v>14206</v>
      </c>
      <c r="H2520" s="3" t="s">
        <v>289</v>
      </c>
      <c r="K2520" s="2">
        <v>10</v>
      </c>
      <c r="L2520" s="2">
        <v>2</v>
      </c>
      <c r="M2520" s="3" t="s">
        <v>2059</v>
      </c>
      <c r="N2520" s="3" t="s">
        <v>13</v>
      </c>
      <c r="O2520" s="3" t="s">
        <v>14</v>
      </c>
      <c r="Q2520" s="30" t="str">
        <f t="shared" si="39"/>
        <v>MAX : 
TARGET : Yes(Pass)
MIN : No(Fail)</v>
      </c>
    </row>
    <row r="2521" spans="2:17" ht="41.4" x14ac:dyDescent="0.3">
      <c r="B2521">
        <v>1</v>
      </c>
      <c r="C2521" s="33">
        <v>7930</v>
      </c>
      <c r="D2521" s="2">
        <v>1932</v>
      </c>
      <c r="E2521" s="2" t="s">
        <v>9853</v>
      </c>
      <c r="F2521" s="3" t="s">
        <v>14206</v>
      </c>
      <c r="H2521" s="3" t="s">
        <v>289</v>
      </c>
      <c r="K2521" s="2">
        <v>10</v>
      </c>
      <c r="L2521" s="2">
        <v>1</v>
      </c>
      <c r="M2521" s="3" t="s">
        <v>99</v>
      </c>
      <c r="N2521" s="3" t="s">
        <v>459</v>
      </c>
      <c r="O2521" s="3" t="s">
        <v>406</v>
      </c>
      <c r="P2521" s="3" t="s">
        <v>460</v>
      </c>
      <c r="Q2521" s="30" t="str">
        <f t="shared" si="39"/>
        <v>MAX : 2.03
TARGET : 2.00
MIN : 1.97</v>
      </c>
    </row>
    <row r="2522" spans="2:17" ht="41.4" x14ac:dyDescent="0.3">
      <c r="B2522">
        <v>1</v>
      </c>
      <c r="C2522" s="33">
        <v>7933</v>
      </c>
      <c r="D2522" s="2">
        <v>1933</v>
      </c>
      <c r="E2522" s="2" t="s">
        <v>9859</v>
      </c>
      <c r="F2522" s="3" t="s">
        <v>14206</v>
      </c>
      <c r="H2522" s="3" t="s">
        <v>2859</v>
      </c>
      <c r="K2522" s="2">
        <v>20</v>
      </c>
      <c r="L2522" s="2">
        <v>2</v>
      </c>
      <c r="M2522" s="3" t="s">
        <v>2861</v>
      </c>
      <c r="N2522" s="3" t="s">
        <v>13</v>
      </c>
      <c r="O2522" s="3" t="s">
        <v>14</v>
      </c>
      <c r="Q2522" s="30" t="str">
        <f t="shared" si="39"/>
        <v>MAX : 
TARGET : Yes(Pass)
MIN : No(Fail)</v>
      </c>
    </row>
    <row r="2523" spans="2:17" ht="41.4" x14ac:dyDescent="0.3">
      <c r="B2523">
        <v>0</v>
      </c>
      <c r="C2523" s="33">
        <v>8440</v>
      </c>
      <c r="D2523" s="2">
        <v>1221</v>
      </c>
      <c r="E2523" s="2" t="s">
        <v>10444</v>
      </c>
      <c r="F2523" s="3" t="s">
        <v>14207</v>
      </c>
      <c r="H2523" s="3" t="s">
        <v>1183</v>
      </c>
      <c r="K2523" s="2">
        <v>10</v>
      </c>
      <c r="L2523" s="2">
        <v>3</v>
      </c>
      <c r="M2523" s="3" t="s">
        <v>240</v>
      </c>
      <c r="N2523" s="3" t="s">
        <v>1354</v>
      </c>
      <c r="O2523" s="3" t="s">
        <v>1355</v>
      </c>
      <c r="P2523" s="3" t="s">
        <v>1356</v>
      </c>
      <c r="Q2523" s="30" t="str">
        <f t="shared" si="39"/>
        <v>MAX : 10.0
TARGET : 9.5
MIN : 9.0</v>
      </c>
    </row>
    <row r="2524" spans="2:17" ht="41.4" x14ac:dyDescent="0.3">
      <c r="B2524">
        <v>0</v>
      </c>
      <c r="C2524" s="33">
        <v>8440</v>
      </c>
      <c r="D2524" s="2">
        <v>1221</v>
      </c>
      <c r="E2524" s="2" t="s">
        <v>10444</v>
      </c>
      <c r="F2524" s="3" t="s">
        <v>14207</v>
      </c>
      <c r="H2524" s="3" t="s">
        <v>1183</v>
      </c>
      <c r="K2524" s="2">
        <v>10</v>
      </c>
      <c r="L2524" s="2">
        <v>4</v>
      </c>
      <c r="M2524" s="3" t="s">
        <v>3292</v>
      </c>
      <c r="N2524" s="3" t="s">
        <v>13</v>
      </c>
      <c r="O2524" s="3" t="s">
        <v>14</v>
      </c>
      <c r="Q2524" s="30" t="str">
        <f t="shared" si="39"/>
        <v>MAX : 
TARGET : Yes(Pass)
MIN : No(Fail)</v>
      </c>
    </row>
    <row r="2525" spans="2:17" ht="41.4" x14ac:dyDescent="0.3">
      <c r="B2525">
        <v>0</v>
      </c>
      <c r="C2525" s="33">
        <v>8440</v>
      </c>
      <c r="D2525" s="2">
        <v>1221</v>
      </c>
      <c r="E2525" s="2" t="s">
        <v>10444</v>
      </c>
      <c r="F2525" s="3" t="s">
        <v>14207</v>
      </c>
      <c r="H2525" s="3" t="s">
        <v>1183</v>
      </c>
      <c r="K2525" s="2">
        <v>10</v>
      </c>
      <c r="L2525" s="2">
        <v>5</v>
      </c>
      <c r="M2525" s="3" t="s">
        <v>78</v>
      </c>
      <c r="N2525" s="3" t="s">
        <v>13</v>
      </c>
      <c r="O2525" s="3" t="s">
        <v>14</v>
      </c>
      <c r="Q2525" s="30" t="str">
        <f t="shared" si="39"/>
        <v>MAX : 
TARGET : Yes(Pass)
MIN : No(Fail)</v>
      </c>
    </row>
    <row r="2526" spans="2:17" ht="41.4" x14ac:dyDescent="0.3">
      <c r="B2526">
        <v>1</v>
      </c>
      <c r="C2526" s="33">
        <v>7933</v>
      </c>
      <c r="D2526" s="2">
        <v>1933</v>
      </c>
      <c r="E2526" s="2" t="s">
        <v>9859</v>
      </c>
      <c r="F2526" s="3" t="s">
        <v>14206</v>
      </c>
      <c r="H2526" s="3" t="s">
        <v>2859</v>
      </c>
      <c r="K2526" s="2">
        <v>20</v>
      </c>
      <c r="L2526" s="2">
        <v>1</v>
      </c>
      <c r="M2526" s="3" t="s">
        <v>2860</v>
      </c>
      <c r="N2526" s="3" t="s">
        <v>13</v>
      </c>
      <c r="O2526" s="3" t="s">
        <v>14</v>
      </c>
      <c r="Q2526" s="30" t="str">
        <f t="shared" si="39"/>
        <v>MAX : 
TARGET : Yes(Pass)
MIN : No(Fail)</v>
      </c>
    </row>
    <row r="2527" spans="2:17" ht="41.4" x14ac:dyDescent="0.3">
      <c r="B2527">
        <v>0</v>
      </c>
      <c r="C2527" s="33">
        <v>7769</v>
      </c>
      <c r="D2527" s="2">
        <v>1913</v>
      </c>
      <c r="E2527" s="2" t="s">
        <v>9619</v>
      </c>
      <c r="F2527" s="3" t="s">
        <v>14206</v>
      </c>
      <c r="H2527" s="3" t="s">
        <v>11</v>
      </c>
      <c r="K2527" s="2">
        <v>10</v>
      </c>
      <c r="L2527" s="2">
        <v>6</v>
      </c>
      <c r="M2527" s="3" t="s">
        <v>4303</v>
      </c>
      <c r="N2527" s="3" t="s">
        <v>13</v>
      </c>
      <c r="O2527" s="3" t="s">
        <v>14</v>
      </c>
      <c r="Q2527" s="30" t="str">
        <f t="shared" si="39"/>
        <v>MAX : 
TARGET : Yes(Pass)
MIN : No(Fail)</v>
      </c>
    </row>
    <row r="2528" spans="2:17" ht="41.4" x14ac:dyDescent="0.3">
      <c r="B2528">
        <v>1</v>
      </c>
      <c r="C2528" s="33">
        <v>7938</v>
      </c>
      <c r="D2528" s="2">
        <v>1164</v>
      </c>
      <c r="E2528" s="2" t="s">
        <v>9867</v>
      </c>
      <c r="F2528" s="3" t="s">
        <v>14207</v>
      </c>
      <c r="H2528" s="3" t="s">
        <v>2151</v>
      </c>
      <c r="K2528" s="2">
        <v>10</v>
      </c>
      <c r="L2528" s="2">
        <v>3</v>
      </c>
      <c r="M2528" s="3" t="s">
        <v>346</v>
      </c>
      <c r="N2528" s="3" t="s">
        <v>1389</v>
      </c>
      <c r="O2528" s="3" t="s">
        <v>2866</v>
      </c>
      <c r="P2528" s="3" t="s">
        <v>2394</v>
      </c>
      <c r="Q2528" s="30" t="str">
        <f t="shared" si="39"/>
        <v>MAX : 17.95
TARGET : 17.82
MIN : 17.69</v>
      </c>
    </row>
    <row r="2529" spans="2:17" ht="41.4" x14ac:dyDescent="0.3">
      <c r="B2529">
        <v>1</v>
      </c>
      <c r="C2529" s="33">
        <v>7938</v>
      </c>
      <c r="D2529" s="2">
        <v>1164</v>
      </c>
      <c r="E2529" s="2" t="s">
        <v>9867</v>
      </c>
      <c r="F2529" s="3" t="s">
        <v>14207</v>
      </c>
      <c r="H2529" s="3" t="s">
        <v>2151</v>
      </c>
      <c r="K2529" s="2">
        <v>10</v>
      </c>
      <c r="L2529" s="2">
        <v>4</v>
      </c>
      <c r="M2529" s="3" t="s">
        <v>335</v>
      </c>
      <c r="N2529" s="3" t="s">
        <v>2863</v>
      </c>
      <c r="O2529" s="3" t="s">
        <v>2864</v>
      </c>
      <c r="P2529" s="3" t="s">
        <v>2865</v>
      </c>
      <c r="Q2529" s="30" t="str">
        <f t="shared" si="39"/>
        <v>MAX : 24.95
TARGET : 24.82
MIN : 24.69</v>
      </c>
    </row>
    <row r="2530" spans="2:17" ht="41.4" x14ac:dyDescent="0.3">
      <c r="B2530">
        <v>1</v>
      </c>
      <c r="C2530" s="33">
        <v>7938</v>
      </c>
      <c r="D2530" s="2">
        <v>1164</v>
      </c>
      <c r="E2530" s="2" t="s">
        <v>9867</v>
      </c>
      <c r="F2530" s="3" t="s">
        <v>14207</v>
      </c>
      <c r="H2530" s="3" t="s">
        <v>2151</v>
      </c>
      <c r="K2530" s="2">
        <v>10</v>
      </c>
      <c r="L2530" s="2">
        <v>6</v>
      </c>
      <c r="M2530" s="3" t="s">
        <v>4774</v>
      </c>
      <c r="N2530" s="3" t="s">
        <v>2891</v>
      </c>
      <c r="O2530" s="3" t="s">
        <v>2892</v>
      </c>
      <c r="P2530" s="3" t="s">
        <v>2893</v>
      </c>
      <c r="Q2530" s="30" t="str">
        <f t="shared" si="39"/>
        <v>MAX : 37.25
TARGET : 37.10
MIN : 36.95</v>
      </c>
    </row>
    <row r="2531" spans="2:17" ht="41.4" x14ac:dyDescent="0.3">
      <c r="B2531">
        <v>1</v>
      </c>
      <c r="C2531" s="33">
        <v>7938</v>
      </c>
      <c r="D2531" s="2">
        <v>1164</v>
      </c>
      <c r="E2531" s="2" t="s">
        <v>9867</v>
      </c>
      <c r="F2531" s="3" t="s">
        <v>14207</v>
      </c>
      <c r="H2531" s="3" t="s">
        <v>2151</v>
      </c>
      <c r="K2531" s="2">
        <v>10</v>
      </c>
      <c r="L2531" s="2">
        <v>11</v>
      </c>
      <c r="M2531" s="3" t="s">
        <v>4887</v>
      </c>
      <c r="N2531" s="3" t="s">
        <v>360</v>
      </c>
      <c r="O2531" s="3" t="s">
        <v>359</v>
      </c>
      <c r="Q2531" s="30" t="str">
        <f t="shared" si="39"/>
        <v>MAX : 
TARGET : Pass
MIN : Fail</v>
      </c>
    </row>
    <row r="2532" spans="2:17" ht="41.4" x14ac:dyDescent="0.3">
      <c r="B2532">
        <v>1</v>
      </c>
      <c r="C2532" s="33">
        <v>7939</v>
      </c>
      <c r="D2532" s="2">
        <v>1165</v>
      </c>
      <c r="E2532" s="2" t="s">
        <v>9875</v>
      </c>
      <c r="F2532" s="3" t="s">
        <v>14207</v>
      </c>
      <c r="H2532" s="3" t="s">
        <v>2876</v>
      </c>
      <c r="K2532" s="2">
        <v>10</v>
      </c>
      <c r="L2532" s="2">
        <v>2</v>
      </c>
      <c r="M2532" s="3" t="s">
        <v>328</v>
      </c>
      <c r="N2532" s="3" t="s">
        <v>2880</v>
      </c>
      <c r="O2532" s="3" t="s">
        <v>2881</v>
      </c>
      <c r="P2532" s="3" t="s">
        <v>2503</v>
      </c>
      <c r="Q2532" s="30" t="str">
        <f t="shared" si="39"/>
        <v>MAX : 28.43
TARGET : 28.18
MIN : 27.93</v>
      </c>
    </row>
    <row r="2533" spans="2:17" ht="41.4" x14ac:dyDescent="0.3">
      <c r="B2533">
        <v>1</v>
      </c>
      <c r="C2533" s="33">
        <v>7939</v>
      </c>
      <c r="D2533" s="2">
        <v>1165</v>
      </c>
      <c r="E2533" s="2" t="s">
        <v>9875</v>
      </c>
      <c r="F2533" s="3" t="s">
        <v>14207</v>
      </c>
      <c r="H2533" s="3" t="s">
        <v>2876</v>
      </c>
      <c r="K2533" s="2">
        <v>10</v>
      </c>
      <c r="L2533" s="2">
        <v>10</v>
      </c>
      <c r="M2533" s="3" t="s">
        <v>3042</v>
      </c>
      <c r="N2533" s="3" t="s">
        <v>3043</v>
      </c>
      <c r="O2533" s="3" t="s">
        <v>733</v>
      </c>
      <c r="P2533" s="3" t="s">
        <v>3044</v>
      </c>
      <c r="Q2533" s="30" t="str">
        <f t="shared" si="39"/>
        <v>MAX : 5.05
TARGET : 4.80
MIN : 4.55</v>
      </c>
    </row>
    <row r="2534" spans="2:17" ht="41.4" x14ac:dyDescent="0.3">
      <c r="B2534">
        <v>0</v>
      </c>
      <c r="C2534" s="33">
        <v>8442</v>
      </c>
      <c r="D2534" s="2">
        <v>1222</v>
      </c>
      <c r="E2534" s="2" t="s">
        <v>10450</v>
      </c>
      <c r="F2534" s="3" t="s">
        <v>14206</v>
      </c>
      <c r="G2534" s="3" t="s">
        <v>3297</v>
      </c>
      <c r="H2534" s="3" t="s">
        <v>2116</v>
      </c>
      <c r="K2534" s="2">
        <v>10</v>
      </c>
      <c r="L2534" s="2">
        <v>4</v>
      </c>
      <c r="M2534" s="3" t="s">
        <v>3298</v>
      </c>
      <c r="N2534" s="3" t="s">
        <v>13</v>
      </c>
      <c r="O2534" s="3" t="s">
        <v>14</v>
      </c>
      <c r="Q2534" s="30" t="str">
        <f t="shared" si="39"/>
        <v>MAX : 
TARGET : Yes(Pass)
MIN : No(Fail)</v>
      </c>
    </row>
    <row r="2535" spans="2:17" ht="41.4" x14ac:dyDescent="0.3">
      <c r="B2535">
        <v>1</v>
      </c>
      <c r="C2535" s="33">
        <v>7939</v>
      </c>
      <c r="D2535" s="2">
        <v>1165</v>
      </c>
      <c r="E2535" s="2" t="s">
        <v>9875</v>
      </c>
      <c r="F2535" s="3" t="s">
        <v>14207</v>
      </c>
      <c r="H2535" s="3" t="s">
        <v>2876</v>
      </c>
      <c r="K2535" s="2">
        <v>10</v>
      </c>
      <c r="L2535" s="2">
        <v>12</v>
      </c>
      <c r="M2535" s="3" t="s">
        <v>335</v>
      </c>
      <c r="N2535" s="3" t="s">
        <v>2877</v>
      </c>
      <c r="O2535" s="3" t="s">
        <v>2878</v>
      </c>
      <c r="P2535" s="3" t="s">
        <v>2879</v>
      </c>
      <c r="Q2535" s="30" t="str">
        <f t="shared" si="39"/>
        <v>MAX : 24.57
TARGET : 24.32
MIN : 24.07</v>
      </c>
    </row>
    <row r="2536" spans="2:17" ht="41.4" x14ac:dyDescent="0.3">
      <c r="B2536">
        <v>0</v>
      </c>
      <c r="C2536" s="33">
        <v>7784</v>
      </c>
      <c r="D2536" s="2">
        <v>1916</v>
      </c>
      <c r="E2536" s="2" t="s">
        <v>9648</v>
      </c>
      <c r="F2536" s="3" t="s">
        <v>14206</v>
      </c>
      <c r="G2536" s="3" t="s">
        <v>2633</v>
      </c>
      <c r="H2536" s="3" t="s">
        <v>98</v>
      </c>
      <c r="K2536" s="2">
        <v>10</v>
      </c>
      <c r="L2536" s="2">
        <v>5</v>
      </c>
      <c r="M2536" s="3" t="s">
        <v>4323</v>
      </c>
      <c r="N2536" s="3" t="s">
        <v>13</v>
      </c>
      <c r="O2536" s="3" t="s">
        <v>14</v>
      </c>
      <c r="Q2536" s="30" t="str">
        <f t="shared" si="39"/>
        <v>MAX : 
TARGET : Yes(Pass)
MIN : No(Fail)</v>
      </c>
    </row>
    <row r="2537" spans="2:17" ht="41.4" x14ac:dyDescent="0.3">
      <c r="B2537">
        <v>0</v>
      </c>
      <c r="C2537" s="33">
        <v>7784</v>
      </c>
      <c r="D2537" s="2">
        <v>1916</v>
      </c>
      <c r="E2537" s="2" t="s">
        <v>9648</v>
      </c>
      <c r="F2537" s="3" t="s">
        <v>14206</v>
      </c>
      <c r="G2537" s="3" t="s">
        <v>2633</v>
      </c>
      <c r="H2537" s="3" t="s">
        <v>98</v>
      </c>
      <c r="K2537" s="2">
        <v>10</v>
      </c>
      <c r="L2537" s="2">
        <v>1</v>
      </c>
      <c r="M2537" s="3" t="s">
        <v>5639</v>
      </c>
      <c r="N2537" s="3" t="s">
        <v>24</v>
      </c>
      <c r="O2537" s="3" t="s">
        <v>25</v>
      </c>
      <c r="Q2537" s="30" t="str">
        <f t="shared" si="39"/>
        <v>MAX : 
TARGET : Yes (Pass)
MIN : No (Fail)</v>
      </c>
    </row>
    <row r="2538" spans="2:17" ht="41.4" x14ac:dyDescent="0.3">
      <c r="B2538">
        <v>1</v>
      </c>
      <c r="C2538" s="33">
        <v>7939</v>
      </c>
      <c r="D2538" s="2">
        <v>1165</v>
      </c>
      <c r="E2538" s="2" t="s">
        <v>9875</v>
      </c>
      <c r="F2538" s="3" t="s">
        <v>14207</v>
      </c>
      <c r="H2538" s="3" t="s">
        <v>2876</v>
      </c>
      <c r="K2538" s="2">
        <v>10</v>
      </c>
      <c r="L2538" s="2">
        <v>8</v>
      </c>
      <c r="M2538" s="3" t="s">
        <v>3038</v>
      </c>
      <c r="N2538" s="3" t="s">
        <v>3039</v>
      </c>
      <c r="O2538" s="3" t="s">
        <v>3040</v>
      </c>
      <c r="P2538" s="3" t="s">
        <v>3041</v>
      </c>
      <c r="Q2538" s="30" t="str">
        <f t="shared" si="39"/>
        <v>MAX : 5.04
TARGET : 4.79
MIN : 4.54</v>
      </c>
    </row>
    <row r="2539" spans="2:17" ht="41.4" x14ac:dyDescent="0.3">
      <c r="B2539">
        <v>0</v>
      </c>
      <c r="C2539" s="33">
        <v>8445</v>
      </c>
      <c r="D2539" s="2">
        <v>1224</v>
      </c>
      <c r="E2539" s="2" t="s">
        <v>9893</v>
      </c>
      <c r="F2539" s="29" t="s">
        <v>14227</v>
      </c>
      <c r="G2539" s="3" t="s">
        <v>2843</v>
      </c>
      <c r="H2539" s="3" t="s">
        <v>2844</v>
      </c>
      <c r="K2539" s="2">
        <v>20</v>
      </c>
      <c r="L2539" s="2">
        <v>2</v>
      </c>
      <c r="M2539" s="3" t="s">
        <v>2851</v>
      </c>
      <c r="N2539" s="3" t="s">
        <v>2852</v>
      </c>
      <c r="O2539" s="3" t="s">
        <v>1947</v>
      </c>
      <c r="P2539" s="3" t="s">
        <v>2853</v>
      </c>
      <c r="Q2539" s="30" t="str">
        <f t="shared" si="39"/>
        <v>MAX : 0.225
TARGET : 0.220
MIN : 0.215</v>
      </c>
    </row>
    <row r="2540" spans="2:17" ht="41.4" x14ac:dyDescent="0.3">
      <c r="B2540">
        <v>0</v>
      </c>
      <c r="C2540" s="33">
        <v>8445</v>
      </c>
      <c r="D2540" s="2">
        <v>1224</v>
      </c>
      <c r="E2540" s="2" t="s">
        <v>9893</v>
      </c>
      <c r="F2540" s="29" t="s">
        <v>14227</v>
      </c>
      <c r="G2540" s="3" t="s">
        <v>2843</v>
      </c>
      <c r="H2540" s="3" t="s">
        <v>2844</v>
      </c>
      <c r="K2540" s="2">
        <v>20</v>
      </c>
      <c r="L2540" s="2">
        <v>3</v>
      </c>
      <c r="M2540" s="3" t="s">
        <v>2854</v>
      </c>
      <c r="N2540" s="3" t="s">
        <v>2852</v>
      </c>
      <c r="O2540" s="3" t="s">
        <v>1947</v>
      </c>
      <c r="P2540" s="3" t="s">
        <v>2853</v>
      </c>
      <c r="Q2540" s="30" t="str">
        <f t="shared" si="39"/>
        <v>MAX : 0.225
TARGET : 0.220
MIN : 0.215</v>
      </c>
    </row>
    <row r="2541" spans="2:17" ht="41.4" x14ac:dyDescent="0.3">
      <c r="B2541">
        <v>0</v>
      </c>
      <c r="C2541" s="33">
        <v>8445</v>
      </c>
      <c r="D2541" s="2">
        <v>1224</v>
      </c>
      <c r="E2541" s="2" t="s">
        <v>9893</v>
      </c>
      <c r="F2541" s="29" t="s">
        <v>14227</v>
      </c>
      <c r="G2541" s="3" t="s">
        <v>2843</v>
      </c>
      <c r="H2541" s="3" t="s">
        <v>2844</v>
      </c>
      <c r="K2541" s="2">
        <v>20</v>
      </c>
      <c r="L2541" s="2">
        <v>4</v>
      </c>
      <c r="M2541" s="3" t="s">
        <v>2855</v>
      </c>
      <c r="N2541" s="3" t="s">
        <v>2852</v>
      </c>
      <c r="O2541" s="3" t="s">
        <v>1947</v>
      </c>
      <c r="P2541" s="3" t="s">
        <v>2853</v>
      </c>
      <c r="Q2541" s="30" t="str">
        <f t="shared" si="39"/>
        <v>MAX : 0.225
TARGET : 0.220
MIN : 0.215</v>
      </c>
    </row>
    <row r="2542" spans="2:17" ht="41.4" x14ac:dyDescent="0.3">
      <c r="B2542">
        <v>0</v>
      </c>
      <c r="C2542" s="33">
        <v>8445</v>
      </c>
      <c r="D2542" s="2">
        <v>1224</v>
      </c>
      <c r="E2542" s="2" t="s">
        <v>9893</v>
      </c>
      <c r="F2542" s="29" t="s">
        <v>14227</v>
      </c>
      <c r="G2542" s="3" t="s">
        <v>2843</v>
      </c>
      <c r="H2542" s="3" t="s">
        <v>2844</v>
      </c>
      <c r="K2542" s="2">
        <v>20</v>
      </c>
      <c r="L2542" s="2">
        <v>5</v>
      </c>
      <c r="M2542" s="3" t="s">
        <v>2856</v>
      </c>
      <c r="N2542" s="3" t="s">
        <v>2852</v>
      </c>
      <c r="O2542" s="3" t="s">
        <v>1947</v>
      </c>
      <c r="P2542" s="3" t="s">
        <v>2853</v>
      </c>
      <c r="Q2542" s="30" t="str">
        <f t="shared" si="39"/>
        <v>MAX : 0.225
TARGET : 0.220
MIN : 0.215</v>
      </c>
    </row>
    <row r="2543" spans="2:17" ht="41.4" x14ac:dyDescent="0.3">
      <c r="B2543">
        <v>0</v>
      </c>
      <c r="C2543" s="33">
        <v>8445</v>
      </c>
      <c r="D2543" s="2">
        <v>1224</v>
      </c>
      <c r="E2543" s="2" t="s">
        <v>9893</v>
      </c>
      <c r="F2543" s="29" t="s">
        <v>14227</v>
      </c>
      <c r="G2543" s="3" t="s">
        <v>2843</v>
      </c>
      <c r="H2543" s="3" t="s">
        <v>2844</v>
      </c>
      <c r="K2543" s="2">
        <v>20</v>
      </c>
      <c r="L2543" s="2">
        <v>9</v>
      </c>
      <c r="M2543" s="3" t="s">
        <v>2955</v>
      </c>
      <c r="N2543" s="3" t="s">
        <v>2956</v>
      </c>
      <c r="O2543" s="3" t="s">
        <v>2957</v>
      </c>
      <c r="P2543" s="3" t="s">
        <v>2958</v>
      </c>
      <c r="Q2543" s="30" t="str">
        <f t="shared" si="39"/>
        <v>MAX : 9.372
TARGET : 9.362
MIN : 9.352</v>
      </c>
    </row>
    <row r="2544" spans="2:17" ht="41.4" x14ac:dyDescent="0.3">
      <c r="B2544">
        <v>0</v>
      </c>
      <c r="C2544" s="33">
        <v>8445</v>
      </c>
      <c r="D2544" s="2">
        <v>1224</v>
      </c>
      <c r="E2544" s="2" t="s">
        <v>9893</v>
      </c>
      <c r="F2544" s="29" t="s">
        <v>14227</v>
      </c>
      <c r="G2544" s="3" t="s">
        <v>2843</v>
      </c>
      <c r="H2544" s="3" t="s">
        <v>2844</v>
      </c>
      <c r="K2544" s="2">
        <v>20</v>
      </c>
      <c r="L2544" s="2">
        <v>10</v>
      </c>
      <c r="M2544" s="3" t="s">
        <v>2959</v>
      </c>
      <c r="N2544" s="3" t="s">
        <v>2960</v>
      </c>
      <c r="O2544" s="3" t="s">
        <v>2961</v>
      </c>
      <c r="P2544" s="3" t="s">
        <v>2962</v>
      </c>
      <c r="Q2544" s="30" t="str">
        <f t="shared" si="39"/>
        <v>MAX : 2.126
TARGET : 2.116
MIN : 2.106</v>
      </c>
    </row>
    <row r="2545" spans="2:17" ht="41.4" x14ac:dyDescent="0.3">
      <c r="B2545">
        <v>0</v>
      </c>
      <c r="C2545" s="33">
        <v>8445</v>
      </c>
      <c r="D2545" s="2">
        <v>1224</v>
      </c>
      <c r="E2545" s="2" t="s">
        <v>9893</v>
      </c>
      <c r="F2545" s="29" t="s">
        <v>14227</v>
      </c>
      <c r="G2545" s="3" t="s">
        <v>2843</v>
      </c>
      <c r="H2545" s="3" t="s">
        <v>2844</v>
      </c>
      <c r="K2545" s="2">
        <v>30</v>
      </c>
      <c r="L2545" s="2">
        <v>5</v>
      </c>
      <c r="M2545" s="3" t="s">
        <v>3301</v>
      </c>
      <c r="N2545" s="3" t="s">
        <v>1619</v>
      </c>
      <c r="O2545" s="3" t="s">
        <v>1620</v>
      </c>
      <c r="Q2545" s="30" t="str">
        <f t="shared" si="39"/>
        <v>MAX : 
TARGET : Yes (pass)
MIN : No (fail)</v>
      </c>
    </row>
    <row r="2546" spans="2:17" ht="41.4" x14ac:dyDescent="0.3">
      <c r="B2546">
        <v>0</v>
      </c>
      <c r="C2546" s="33">
        <v>8445</v>
      </c>
      <c r="D2546" s="2">
        <v>1224</v>
      </c>
      <c r="E2546" s="2" t="s">
        <v>9893</v>
      </c>
      <c r="F2546" s="29" t="s">
        <v>14227</v>
      </c>
      <c r="G2546" s="3" t="s">
        <v>2843</v>
      </c>
      <c r="H2546" s="3" t="s">
        <v>2844</v>
      </c>
      <c r="K2546" s="2">
        <v>30</v>
      </c>
      <c r="L2546" s="2">
        <v>6</v>
      </c>
      <c r="M2546" s="3" t="s">
        <v>3302</v>
      </c>
      <c r="N2546" s="3" t="s">
        <v>1619</v>
      </c>
      <c r="O2546" s="3" t="s">
        <v>1620</v>
      </c>
      <c r="Q2546" s="30" t="str">
        <f t="shared" si="39"/>
        <v>MAX : 
TARGET : Yes (pass)
MIN : No (fail)</v>
      </c>
    </row>
    <row r="2547" spans="2:17" ht="41.4" x14ac:dyDescent="0.3">
      <c r="B2547">
        <v>0</v>
      </c>
      <c r="C2547" s="33">
        <v>8445</v>
      </c>
      <c r="D2547" s="2">
        <v>1224</v>
      </c>
      <c r="E2547" s="2" t="s">
        <v>9893</v>
      </c>
      <c r="F2547" s="29" t="s">
        <v>14227</v>
      </c>
      <c r="G2547" s="3" t="s">
        <v>2843</v>
      </c>
      <c r="H2547" s="3" t="s">
        <v>2844</v>
      </c>
      <c r="K2547" s="2">
        <v>30</v>
      </c>
      <c r="L2547" s="2">
        <v>7</v>
      </c>
      <c r="M2547" s="3" t="s">
        <v>3303</v>
      </c>
      <c r="N2547" s="3" t="s">
        <v>1619</v>
      </c>
      <c r="O2547" s="3" t="s">
        <v>1620</v>
      </c>
      <c r="Q2547" s="30" t="str">
        <f t="shared" si="39"/>
        <v>MAX : 
TARGET : Yes (pass)
MIN : No (fail)</v>
      </c>
    </row>
    <row r="2548" spans="2:17" ht="41.4" x14ac:dyDescent="0.3">
      <c r="B2548">
        <v>0</v>
      </c>
      <c r="C2548" s="33">
        <v>8445</v>
      </c>
      <c r="D2548" s="2">
        <v>1224</v>
      </c>
      <c r="E2548" s="2" t="s">
        <v>9893</v>
      </c>
      <c r="F2548" s="29" t="s">
        <v>14227</v>
      </c>
      <c r="G2548" s="3" t="s">
        <v>2843</v>
      </c>
      <c r="H2548" s="3" t="s">
        <v>2844</v>
      </c>
      <c r="K2548" s="2">
        <v>30</v>
      </c>
      <c r="L2548" s="2">
        <v>1</v>
      </c>
      <c r="M2548" s="3" t="s">
        <v>2992</v>
      </c>
      <c r="N2548" s="3" t="s">
        <v>1619</v>
      </c>
      <c r="O2548" s="3" t="s">
        <v>1620</v>
      </c>
      <c r="Q2548" s="30" t="str">
        <f t="shared" si="39"/>
        <v>MAX : 
TARGET : Yes (pass)
MIN : No (fail)</v>
      </c>
    </row>
    <row r="2549" spans="2:17" ht="41.4" x14ac:dyDescent="0.3">
      <c r="B2549">
        <v>1</v>
      </c>
      <c r="C2549" s="33">
        <v>7947</v>
      </c>
      <c r="D2549" s="2">
        <v>1934</v>
      </c>
      <c r="E2549" s="2" t="s">
        <v>6891</v>
      </c>
      <c r="F2549" s="3" t="s">
        <v>14206</v>
      </c>
      <c r="H2549" s="3" t="s">
        <v>721</v>
      </c>
      <c r="K2549" s="2">
        <v>20</v>
      </c>
      <c r="L2549" s="2">
        <v>2</v>
      </c>
      <c r="M2549" s="3" t="s">
        <v>722</v>
      </c>
      <c r="N2549" s="3" t="s">
        <v>13</v>
      </c>
      <c r="O2549" s="3" t="s">
        <v>14</v>
      </c>
      <c r="Q2549" s="30" t="str">
        <f t="shared" si="39"/>
        <v>MAX : 
TARGET : Yes(Pass)
MIN : No(Fail)</v>
      </c>
    </row>
    <row r="2550" spans="2:17" ht="41.4" x14ac:dyDescent="0.3">
      <c r="B2550">
        <v>1</v>
      </c>
      <c r="C2550" s="33">
        <v>7947</v>
      </c>
      <c r="D2550" s="2">
        <v>1934</v>
      </c>
      <c r="E2550" s="2" t="s">
        <v>6891</v>
      </c>
      <c r="F2550" s="3" t="s">
        <v>14206</v>
      </c>
      <c r="H2550" s="3" t="s">
        <v>721</v>
      </c>
      <c r="K2550" s="2">
        <v>20</v>
      </c>
      <c r="L2550" s="2">
        <v>1</v>
      </c>
      <c r="M2550" s="3" t="s">
        <v>307</v>
      </c>
      <c r="N2550" s="3" t="s">
        <v>420</v>
      </c>
      <c r="O2550" s="3" t="s">
        <v>272</v>
      </c>
      <c r="P2550" s="3" t="s">
        <v>414</v>
      </c>
      <c r="Q2550" s="30" t="str">
        <f t="shared" si="39"/>
        <v>MAX : 1.03
TARGET : 1.00
MIN : 0.97</v>
      </c>
    </row>
    <row r="2551" spans="2:17" ht="41.4" x14ac:dyDescent="0.3">
      <c r="B2551">
        <v>0</v>
      </c>
      <c r="C2551" s="33">
        <v>8444</v>
      </c>
      <c r="D2551" s="2">
        <v>1223</v>
      </c>
      <c r="E2551" s="2" t="s">
        <v>9828</v>
      </c>
      <c r="F2551" s="29" t="s">
        <v>14227</v>
      </c>
      <c r="G2551" s="3" t="s">
        <v>2843</v>
      </c>
      <c r="H2551" s="3" t="s">
        <v>2844</v>
      </c>
      <c r="K2551" s="2">
        <v>20</v>
      </c>
      <c r="L2551" s="2">
        <v>6</v>
      </c>
      <c r="M2551" s="3" t="s">
        <v>2851</v>
      </c>
      <c r="N2551" s="3" t="s">
        <v>2852</v>
      </c>
      <c r="O2551" s="3" t="s">
        <v>1947</v>
      </c>
      <c r="P2551" s="3" t="s">
        <v>2853</v>
      </c>
      <c r="Q2551" s="30" t="str">
        <f t="shared" si="39"/>
        <v>MAX : 0.225
TARGET : 0.220
MIN : 0.215</v>
      </c>
    </row>
    <row r="2552" spans="2:17" ht="41.4" x14ac:dyDescent="0.3">
      <c r="B2552">
        <v>0</v>
      </c>
      <c r="C2552" s="33">
        <v>8444</v>
      </c>
      <c r="D2552" s="2">
        <v>1223</v>
      </c>
      <c r="E2552" s="2" t="s">
        <v>9828</v>
      </c>
      <c r="F2552" s="29" t="s">
        <v>14227</v>
      </c>
      <c r="G2552" s="3" t="s">
        <v>2843</v>
      </c>
      <c r="H2552" s="3" t="s">
        <v>2844</v>
      </c>
      <c r="K2552" s="2">
        <v>20</v>
      </c>
      <c r="L2552" s="2">
        <v>7</v>
      </c>
      <c r="M2552" s="3" t="s">
        <v>2854</v>
      </c>
      <c r="N2552" s="3" t="s">
        <v>2852</v>
      </c>
      <c r="O2552" s="3" t="s">
        <v>1947</v>
      </c>
      <c r="P2552" s="3" t="s">
        <v>2853</v>
      </c>
      <c r="Q2552" s="30" t="str">
        <f t="shared" si="39"/>
        <v>MAX : 0.225
TARGET : 0.220
MIN : 0.215</v>
      </c>
    </row>
    <row r="2553" spans="2:17" ht="41.4" x14ac:dyDescent="0.3">
      <c r="B2553">
        <v>0</v>
      </c>
      <c r="C2553" s="33">
        <v>8444</v>
      </c>
      <c r="D2553" s="2">
        <v>1223</v>
      </c>
      <c r="E2553" s="2" t="s">
        <v>9828</v>
      </c>
      <c r="F2553" s="29" t="s">
        <v>14227</v>
      </c>
      <c r="G2553" s="3" t="s">
        <v>2843</v>
      </c>
      <c r="H2553" s="3" t="s">
        <v>2844</v>
      </c>
      <c r="K2553" s="2">
        <v>20</v>
      </c>
      <c r="L2553" s="2">
        <v>8</v>
      </c>
      <c r="M2553" s="3" t="s">
        <v>2855</v>
      </c>
      <c r="N2553" s="3" t="s">
        <v>2852</v>
      </c>
      <c r="O2553" s="3" t="s">
        <v>1947</v>
      </c>
      <c r="P2553" s="3" t="s">
        <v>2853</v>
      </c>
      <c r="Q2553" s="30" t="str">
        <f t="shared" si="39"/>
        <v>MAX : 0.225
TARGET : 0.220
MIN : 0.215</v>
      </c>
    </row>
    <row r="2554" spans="2:17" ht="41.4" x14ac:dyDescent="0.3">
      <c r="B2554">
        <v>0</v>
      </c>
      <c r="C2554" s="33">
        <v>8444</v>
      </c>
      <c r="D2554" s="2">
        <v>1223</v>
      </c>
      <c r="E2554" s="2" t="s">
        <v>9828</v>
      </c>
      <c r="F2554" s="29" t="s">
        <v>14227</v>
      </c>
      <c r="G2554" s="3" t="s">
        <v>2843</v>
      </c>
      <c r="H2554" s="3" t="s">
        <v>2844</v>
      </c>
      <c r="K2554" s="2">
        <v>20</v>
      </c>
      <c r="L2554" s="2">
        <v>9</v>
      </c>
      <c r="M2554" s="3" t="s">
        <v>2856</v>
      </c>
      <c r="N2554" s="3" t="s">
        <v>2852</v>
      </c>
      <c r="O2554" s="3" t="s">
        <v>1947</v>
      </c>
      <c r="P2554" s="3" t="s">
        <v>2853</v>
      </c>
      <c r="Q2554" s="30" t="str">
        <f t="shared" si="39"/>
        <v>MAX : 0.225
TARGET : 0.220
MIN : 0.215</v>
      </c>
    </row>
    <row r="2555" spans="2:17" ht="41.4" x14ac:dyDescent="0.3">
      <c r="B2555">
        <v>0</v>
      </c>
      <c r="C2555" s="33">
        <v>8444</v>
      </c>
      <c r="D2555" s="2">
        <v>1223</v>
      </c>
      <c r="E2555" s="2" t="s">
        <v>9828</v>
      </c>
      <c r="F2555" s="29" t="s">
        <v>14227</v>
      </c>
      <c r="G2555" s="3" t="s">
        <v>2843</v>
      </c>
      <c r="H2555" s="3" t="s">
        <v>2844</v>
      </c>
      <c r="K2555" s="2">
        <v>20</v>
      </c>
      <c r="L2555" s="2">
        <v>13</v>
      </c>
      <c r="M2555" s="3" t="s">
        <v>2959</v>
      </c>
      <c r="N2555" s="3" t="s">
        <v>2975</v>
      </c>
      <c r="O2555" s="3" t="s">
        <v>392</v>
      </c>
      <c r="P2555" s="3" t="s">
        <v>2976</v>
      </c>
      <c r="Q2555" s="30" t="str">
        <f t="shared" si="39"/>
        <v>MAX : 1.916
TARGET : 1.906
MIN : 1.896</v>
      </c>
    </row>
    <row r="2556" spans="2:17" ht="41.4" x14ac:dyDescent="0.3">
      <c r="B2556">
        <v>0</v>
      </c>
      <c r="C2556" s="33">
        <v>8444</v>
      </c>
      <c r="D2556" s="2">
        <v>1223</v>
      </c>
      <c r="E2556" s="2" t="s">
        <v>9828</v>
      </c>
      <c r="F2556" s="29" t="s">
        <v>14227</v>
      </c>
      <c r="G2556" s="3" t="s">
        <v>2843</v>
      </c>
      <c r="H2556" s="3" t="s">
        <v>2844</v>
      </c>
      <c r="K2556" s="2">
        <v>20</v>
      </c>
      <c r="L2556" s="2">
        <v>14</v>
      </c>
      <c r="M2556" s="3" t="s">
        <v>2955</v>
      </c>
      <c r="N2556" s="3" t="s">
        <v>2977</v>
      </c>
      <c r="O2556" s="3" t="s">
        <v>2978</v>
      </c>
      <c r="P2556" s="3" t="s">
        <v>2979</v>
      </c>
      <c r="Q2556" s="30" t="str">
        <f t="shared" si="39"/>
        <v>MAX : 6.244
TARGET : 6.234
MIN : 6.224</v>
      </c>
    </row>
    <row r="2557" spans="2:17" ht="41.4" x14ac:dyDescent="0.3">
      <c r="B2557">
        <v>0</v>
      </c>
      <c r="C2557" s="33">
        <v>8444</v>
      </c>
      <c r="D2557" s="2">
        <v>1223</v>
      </c>
      <c r="E2557" s="2" t="s">
        <v>9828</v>
      </c>
      <c r="F2557" s="29" t="s">
        <v>14227</v>
      </c>
      <c r="G2557" s="3" t="s">
        <v>2843</v>
      </c>
      <c r="H2557" s="3" t="s">
        <v>2844</v>
      </c>
      <c r="K2557" s="2">
        <v>30</v>
      </c>
      <c r="L2557" s="2">
        <v>4</v>
      </c>
      <c r="M2557" s="3" t="s">
        <v>3304</v>
      </c>
      <c r="Q2557" s="30" t="str">
        <f t="shared" si="39"/>
        <v xml:space="preserve">MAX : 
TARGET : 
MIN : </v>
      </c>
    </row>
    <row r="2558" spans="2:17" ht="41.4" x14ac:dyDescent="0.3">
      <c r="B2558">
        <v>0</v>
      </c>
      <c r="C2558" s="33">
        <v>8444</v>
      </c>
      <c r="D2558" s="2">
        <v>1223</v>
      </c>
      <c r="E2558" s="2" t="s">
        <v>9828</v>
      </c>
      <c r="F2558" s="29" t="s">
        <v>14227</v>
      </c>
      <c r="G2558" s="3" t="s">
        <v>2843</v>
      </c>
      <c r="H2558" s="3" t="s">
        <v>2844</v>
      </c>
      <c r="K2558" s="2">
        <v>30</v>
      </c>
      <c r="L2558" s="2">
        <v>5</v>
      </c>
      <c r="M2558" s="3" t="s">
        <v>3301</v>
      </c>
      <c r="N2558" s="3" t="s">
        <v>1619</v>
      </c>
      <c r="O2558" s="3" t="s">
        <v>1620</v>
      </c>
      <c r="Q2558" s="30" t="str">
        <f t="shared" si="39"/>
        <v>MAX : 
TARGET : Yes (pass)
MIN : No (fail)</v>
      </c>
    </row>
    <row r="2559" spans="2:17" ht="41.4" x14ac:dyDescent="0.3">
      <c r="B2559">
        <v>0</v>
      </c>
      <c r="C2559" s="33">
        <v>8444</v>
      </c>
      <c r="D2559" s="2">
        <v>1223</v>
      </c>
      <c r="E2559" s="2" t="s">
        <v>9828</v>
      </c>
      <c r="F2559" s="29" t="s">
        <v>14227</v>
      </c>
      <c r="G2559" s="3" t="s">
        <v>2843</v>
      </c>
      <c r="H2559" s="3" t="s">
        <v>2844</v>
      </c>
      <c r="K2559" s="2">
        <v>30</v>
      </c>
      <c r="L2559" s="2">
        <v>6</v>
      </c>
      <c r="M2559" s="3" t="s">
        <v>3302</v>
      </c>
      <c r="N2559" s="3" t="s">
        <v>1619</v>
      </c>
      <c r="O2559" s="3" t="s">
        <v>1620</v>
      </c>
      <c r="Q2559" s="30" t="str">
        <f t="shared" si="39"/>
        <v>MAX : 
TARGET : Yes (pass)
MIN : No (fail)</v>
      </c>
    </row>
    <row r="2560" spans="2:17" ht="41.4" x14ac:dyDescent="0.3">
      <c r="B2560">
        <v>0</v>
      </c>
      <c r="C2560" s="33">
        <v>8444</v>
      </c>
      <c r="D2560" s="2">
        <v>1223</v>
      </c>
      <c r="E2560" s="2" t="s">
        <v>9828</v>
      </c>
      <c r="F2560" s="29" t="s">
        <v>14227</v>
      </c>
      <c r="G2560" s="3" t="s">
        <v>2843</v>
      </c>
      <c r="H2560" s="3" t="s">
        <v>2844</v>
      </c>
      <c r="K2560" s="2">
        <v>30</v>
      </c>
      <c r="L2560" s="2">
        <v>7</v>
      </c>
      <c r="M2560" s="3" t="s">
        <v>3305</v>
      </c>
      <c r="N2560" s="3" t="s">
        <v>1619</v>
      </c>
      <c r="O2560" s="3" t="s">
        <v>1620</v>
      </c>
      <c r="Q2560" s="30" t="str">
        <f t="shared" si="39"/>
        <v>MAX : 
TARGET : Yes (pass)
MIN : No (fail)</v>
      </c>
    </row>
    <row r="2561" spans="2:17" ht="41.4" x14ac:dyDescent="0.3">
      <c r="B2561">
        <v>0</v>
      </c>
      <c r="C2561" s="33">
        <v>8444</v>
      </c>
      <c r="D2561" s="2">
        <v>1223</v>
      </c>
      <c r="E2561" s="2" t="s">
        <v>9828</v>
      </c>
      <c r="F2561" s="29" t="s">
        <v>14227</v>
      </c>
      <c r="G2561" s="3" t="s">
        <v>2843</v>
      </c>
      <c r="H2561" s="3" t="s">
        <v>2844</v>
      </c>
      <c r="K2561" s="2">
        <v>30</v>
      </c>
      <c r="L2561" s="2">
        <v>1</v>
      </c>
      <c r="M2561" s="3" t="s">
        <v>2992</v>
      </c>
      <c r="N2561" s="3" t="s">
        <v>1619</v>
      </c>
      <c r="O2561" s="3" t="s">
        <v>1620</v>
      </c>
      <c r="Q2561" s="30" t="str">
        <f t="shared" si="39"/>
        <v>MAX : 
TARGET : Yes (pass)
MIN : No (fail)</v>
      </c>
    </row>
    <row r="2562" spans="2:17" ht="41.4" x14ac:dyDescent="0.3">
      <c r="B2562">
        <v>1</v>
      </c>
      <c r="C2562" s="33">
        <v>7954</v>
      </c>
      <c r="D2562" s="2">
        <v>1166</v>
      </c>
      <c r="E2562" s="2" t="s">
        <v>9887</v>
      </c>
      <c r="F2562" s="3" t="s">
        <v>14206</v>
      </c>
      <c r="H2562" s="3" t="s">
        <v>713</v>
      </c>
      <c r="K2562" s="2">
        <v>20</v>
      </c>
      <c r="L2562" s="2">
        <v>2</v>
      </c>
      <c r="M2562" s="3" t="s">
        <v>194</v>
      </c>
      <c r="N2562" s="3" t="s">
        <v>2898</v>
      </c>
      <c r="O2562" s="3" t="s">
        <v>253</v>
      </c>
      <c r="P2562" s="3" t="s">
        <v>2899</v>
      </c>
      <c r="Q2562" s="30" t="str">
        <f t="shared" ref="Q2562:Q2625" si="40">"MAX : " &amp; P2562 &amp; CHAR(10) &amp; "TARGET : " &amp; O2562 &amp; CHAR(10) &amp; "MIN : " &amp; N2562</f>
        <v>MAX : 4.02
TARGET : 4.00
MIN : 3.98</v>
      </c>
    </row>
    <row r="2563" spans="2:17" ht="41.4" x14ac:dyDescent="0.3">
      <c r="B2563">
        <v>1</v>
      </c>
      <c r="C2563" s="33">
        <v>7954</v>
      </c>
      <c r="D2563" s="2">
        <v>1166</v>
      </c>
      <c r="E2563" s="2" t="s">
        <v>9887</v>
      </c>
      <c r="F2563" s="3" t="s">
        <v>14206</v>
      </c>
      <c r="H2563" s="3" t="s">
        <v>713</v>
      </c>
      <c r="K2563" s="2">
        <v>20</v>
      </c>
      <c r="L2563" s="2">
        <v>1</v>
      </c>
      <c r="M2563" s="3" t="s">
        <v>198</v>
      </c>
      <c r="N2563" s="3" t="s">
        <v>748</v>
      </c>
      <c r="O2563" s="3" t="s">
        <v>406</v>
      </c>
      <c r="P2563" s="3" t="s">
        <v>1784</v>
      </c>
      <c r="Q2563" s="30" t="str">
        <f t="shared" si="40"/>
        <v>MAX : 2.02
TARGET : 2.00
MIN : 1.98</v>
      </c>
    </row>
    <row r="2564" spans="2:17" ht="41.4" x14ac:dyDescent="0.3">
      <c r="B2564">
        <v>0</v>
      </c>
      <c r="C2564" s="33">
        <v>8458</v>
      </c>
      <c r="D2564" s="2">
        <v>1226</v>
      </c>
      <c r="E2564" s="2" t="s">
        <v>10473</v>
      </c>
      <c r="F2564" s="3" t="s">
        <v>14206</v>
      </c>
      <c r="H2564" s="3" t="s">
        <v>2462</v>
      </c>
      <c r="K2564" s="2">
        <v>10</v>
      </c>
      <c r="L2564" s="2">
        <v>3</v>
      </c>
      <c r="M2564" s="3" t="s">
        <v>2464</v>
      </c>
      <c r="N2564" s="3" t="s">
        <v>13</v>
      </c>
      <c r="O2564" s="3" t="s">
        <v>14</v>
      </c>
      <c r="Q2564" s="30" t="str">
        <f t="shared" si="40"/>
        <v>MAX : 
TARGET : Yes(Pass)
MIN : No(Fail)</v>
      </c>
    </row>
    <row r="2565" spans="2:17" ht="41.4" x14ac:dyDescent="0.3">
      <c r="B2565">
        <v>0</v>
      </c>
      <c r="C2565" s="33">
        <v>8458</v>
      </c>
      <c r="D2565" s="2">
        <v>1226</v>
      </c>
      <c r="E2565" s="2" t="s">
        <v>10473</v>
      </c>
      <c r="F2565" s="3" t="s">
        <v>14206</v>
      </c>
      <c r="H2565" s="3" t="s">
        <v>2462</v>
      </c>
      <c r="K2565" s="2">
        <v>10</v>
      </c>
      <c r="L2565" s="2">
        <v>4</v>
      </c>
      <c r="M2565" s="3" t="s">
        <v>2043</v>
      </c>
      <c r="N2565" s="3" t="s">
        <v>13</v>
      </c>
      <c r="O2565" s="3" t="s">
        <v>14</v>
      </c>
      <c r="Q2565" s="30" t="str">
        <f t="shared" si="40"/>
        <v>MAX : 
TARGET : Yes(Pass)
MIN : No(Fail)</v>
      </c>
    </row>
    <row r="2566" spans="2:17" ht="41.4" x14ac:dyDescent="0.3">
      <c r="B2566">
        <v>0</v>
      </c>
      <c r="C2566" s="33">
        <v>8458</v>
      </c>
      <c r="D2566" s="2">
        <v>1226</v>
      </c>
      <c r="E2566" s="2" t="s">
        <v>10473</v>
      </c>
      <c r="F2566" s="3" t="s">
        <v>14206</v>
      </c>
      <c r="H2566" s="3" t="s">
        <v>2462</v>
      </c>
      <c r="K2566" s="2">
        <v>10</v>
      </c>
      <c r="L2566" s="2">
        <v>5</v>
      </c>
      <c r="M2566" s="3" t="s">
        <v>2465</v>
      </c>
      <c r="N2566" s="3" t="s">
        <v>13</v>
      </c>
      <c r="O2566" s="3" t="s">
        <v>14</v>
      </c>
      <c r="Q2566" s="30" t="str">
        <f t="shared" si="40"/>
        <v>MAX : 
TARGET : Yes(Pass)
MIN : No(Fail)</v>
      </c>
    </row>
    <row r="2567" spans="2:17" ht="41.4" x14ac:dyDescent="0.3">
      <c r="B2567">
        <v>0</v>
      </c>
      <c r="C2567" s="33">
        <v>8458</v>
      </c>
      <c r="D2567" s="2">
        <v>1226</v>
      </c>
      <c r="E2567" s="2" t="s">
        <v>10473</v>
      </c>
      <c r="F2567" s="3" t="s">
        <v>14206</v>
      </c>
      <c r="H2567" s="3" t="s">
        <v>2462</v>
      </c>
      <c r="K2567" s="2">
        <v>20</v>
      </c>
      <c r="L2567" s="2">
        <v>1</v>
      </c>
      <c r="M2567" s="3" t="s">
        <v>2466</v>
      </c>
      <c r="N2567" s="3" t="s">
        <v>13</v>
      </c>
      <c r="O2567" s="3" t="s">
        <v>14</v>
      </c>
      <c r="Q2567" s="30" t="str">
        <f t="shared" si="40"/>
        <v>MAX : 
TARGET : Yes(Pass)
MIN : No(Fail)</v>
      </c>
    </row>
    <row r="2568" spans="2:17" ht="41.4" x14ac:dyDescent="0.3">
      <c r="B2568">
        <v>1</v>
      </c>
      <c r="C2568" s="33">
        <v>7963</v>
      </c>
      <c r="D2568" s="2">
        <v>1167</v>
      </c>
      <c r="E2568" s="2" t="s">
        <v>9893</v>
      </c>
      <c r="F2568" s="29" t="s">
        <v>14228</v>
      </c>
      <c r="G2568" s="3" t="s">
        <v>2843</v>
      </c>
      <c r="H2568" s="3" t="s">
        <v>2844</v>
      </c>
      <c r="K2568" s="2">
        <v>10</v>
      </c>
      <c r="L2568" s="2">
        <v>10</v>
      </c>
      <c r="M2568" s="3" t="s">
        <v>194</v>
      </c>
      <c r="N2568" s="3" t="s">
        <v>2905</v>
      </c>
      <c r="O2568" s="3" t="s">
        <v>1127</v>
      </c>
      <c r="P2568" s="3" t="s">
        <v>2906</v>
      </c>
      <c r="Q2568" s="30" t="str">
        <f t="shared" si="40"/>
        <v>MAX : 2.562
TARGET : 2.556
MIN : 2.550</v>
      </c>
    </row>
    <row r="2569" spans="2:17" ht="41.4" x14ac:dyDescent="0.3">
      <c r="B2569">
        <v>1</v>
      </c>
      <c r="C2569" s="33">
        <v>7963</v>
      </c>
      <c r="D2569" s="2">
        <v>1167</v>
      </c>
      <c r="E2569" s="2" t="s">
        <v>9893</v>
      </c>
      <c r="F2569" s="29" t="s">
        <v>14228</v>
      </c>
      <c r="G2569" s="3" t="s">
        <v>2843</v>
      </c>
      <c r="H2569" s="3" t="s">
        <v>2844</v>
      </c>
      <c r="K2569" s="2">
        <v>10</v>
      </c>
      <c r="L2569" s="2">
        <v>12</v>
      </c>
      <c r="M2569" s="3" t="s">
        <v>2959</v>
      </c>
      <c r="N2569" s="3" t="s">
        <v>2960</v>
      </c>
      <c r="O2569" s="3" t="s">
        <v>2961</v>
      </c>
      <c r="P2569" s="3" t="s">
        <v>2962</v>
      </c>
      <c r="Q2569" s="30" t="str">
        <f t="shared" si="40"/>
        <v>MAX : 2.126
TARGET : 2.116
MIN : 2.106</v>
      </c>
    </row>
    <row r="2570" spans="2:17" ht="41.4" x14ac:dyDescent="0.3">
      <c r="B2570">
        <v>0</v>
      </c>
      <c r="C2570" s="33">
        <v>8446</v>
      </c>
      <c r="D2570" s="2">
        <v>1225</v>
      </c>
      <c r="E2570" s="2" t="s">
        <v>10057</v>
      </c>
      <c r="F2570" s="29" t="s">
        <v>14227</v>
      </c>
      <c r="G2570" s="3" t="s">
        <v>2843</v>
      </c>
      <c r="H2570" s="3" t="s">
        <v>2844</v>
      </c>
      <c r="K2570" s="2">
        <v>20</v>
      </c>
      <c r="L2570" s="2">
        <v>9</v>
      </c>
      <c r="M2570" s="3" t="s">
        <v>2959</v>
      </c>
      <c r="N2570" s="3" t="s">
        <v>2975</v>
      </c>
      <c r="O2570" s="3" t="s">
        <v>392</v>
      </c>
      <c r="P2570" s="3" t="s">
        <v>2976</v>
      </c>
      <c r="Q2570" s="30" t="str">
        <f t="shared" si="40"/>
        <v>MAX : 1.916
TARGET : 1.906
MIN : 1.896</v>
      </c>
    </row>
    <row r="2571" spans="2:17" ht="41.4" x14ac:dyDescent="0.3">
      <c r="B2571">
        <v>0</v>
      </c>
      <c r="C2571" s="33">
        <v>8446</v>
      </c>
      <c r="D2571" s="2">
        <v>1225</v>
      </c>
      <c r="E2571" s="2" t="s">
        <v>10057</v>
      </c>
      <c r="F2571" s="29" t="s">
        <v>14227</v>
      </c>
      <c r="G2571" s="3" t="s">
        <v>2843</v>
      </c>
      <c r="H2571" s="3" t="s">
        <v>2844</v>
      </c>
      <c r="K2571" s="2">
        <v>20</v>
      </c>
      <c r="L2571" s="2">
        <v>10</v>
      </c>
      <c r="M2571" s="3" t="s">
        <v>2955</v>
      </c>
      <c r="N2571" s="3" t="s">
        <v>3019</v>
      </c>
      <c r="O2571" s="3" t="s">
        <v>3020</v>
      </c>
      <c r="P2571" s="3" t="s">
        <v>3021</v>
      </c>
      <c r="Q2571" s="30" t="str">
        <f t="shared" si="40"/>
        <v>MAX : 4.673
TARGET : 4.663
MIN : 4.653</v>
      </c>
    </row>
    <row r="2572" spans="2:17" ht="41.4" x14ac:dyDescent="0.3">
      <c r="B2572">
        <v>0</v>
      </c>
      <c r="C2572" s="33">
        <v>8446</v>
      </c>
      <c r="D2572" s="2">
        <v>1225</v>
      </c>
      <c r="E2572" s="2" t="s">
        <v>10057</v>
      </c>
      <c r="F2572" s="29" t="s">
        <v>14227</v>
      </c>
      <c r="G2572" s="3" t="s">
        <v>2843</v>
      </c>
      <c r="H2572" s="3" t="s">
        <v>2844</v>
      </c>
      <c r="K2572" s="2">
        <v>30</v>
      </c>
      <c r="L2572" s="2">
        <v>5</v>
      </c>
      <c r="M2572" s="3" t="s">
        <v>3301</v>
      </c>
      <c r="N2572" s="3" t="s">
        <v>1619</v>
      </c>
      <c r="O2572" s="3" t="s">
        <v>1620</v>
      </c>
      <c r="Q2572" s="30" t="str">
        <f t="shared" si="40"/>
        <v>MAX : 
TARGET : Yes (pass)
MIN : No (fail)</v>
      </c>
    </row>
    <row r="2573" spans="2:17" ht="41.4" x14ac:dyDescent="0.3">
      <c r="B2573">
        <v>0</v>
      </c>
      <c r="C2573" s="33">
        <v>8446</v>
      </c>
      <c r="D2573" s="2">
        <v>1225</v>
      </c>
      <c r="E2573" s="2" t="s">
        <v>10057</v>
      </c>
      <c r="F2573" s="29" t="s">
        <v>14227</v>
      </c>
      <c r="G2573" s="3" t="s">
        <v>2843</v>
      </c>
      <c r="H2573" s="3" t="s">
        <v>2844</v>
      </c>
      <c r="K2573" s="2">
        <v>30</v>
      </c>
      <c r="L2573" s="2">
        <v>6</v>
      </c>
      <c r="M2573" s="3" t="s">
        <v>3302</v>
      </c>
      <c r="N2573" s="3" t="s">
        <v>1619</v>
      </c>
      <c r="O2573" s="3" t="s">
        <v>1620</v>
      </c>
      <c r="Q2573" s="30" t="str">
        <f t="shared" si="40"/>
        <v>MAX : 
TARGET : Yes (pass)
MIN : No (fail)</v>
      </c>
    </row>
    <row r="2574" spans="2:17" ht="41.4" x14ac:dyDescent="0.3">
      <c r="B2574">
        <v>0</v>
      </c>
      <c r="C2574" s="33">
        <v>8446</v>
      </c>
      <c r="D2574" s="2">
        <v>1225</v>
      </c>
      <c r="E2574" s="2" t="s">
        <v>10057</v>
      </c>
      <c r="F2574" s="29" t="s">
        <v>14227</v>
      </c>
      <c r="G2574" s="3" t="s">
        <v>2843</v>
      </c>
      <c r="H2574" s="3" t="s">
        <v>2844</v>
      </c>
      <c r="K2574" s="2">
        <v>30</v>
      </c>
      <c r="L2574" s="2">
        <v>7</v>
      </c>
      <c r="M2574" s="3" t="s">
        <v>3305</v>
      </c>
      <c r="N2574" s="3" t="s">
        <v>1619</v>
      </c>
      <c r="O2574" s="3" t="s">
        <v>1620</v>
      </c>
      <c r="Q2574" s="30" t="str">
        <f t="shared" si="40"/>
        <v>MAX : 
TARGET : Yes (pass)
MIN : No (fail)</v>
      </c>
    </row>
    <row r="2575" spans="2:17" ht="41.4" x14ac:dyDescent="0.3">
      <c r="B2575">
        <v>1</v>
      </c>
      <c r="C2575" s="33">
        <v>7963</v>
      </c>
      <c r="D2575" s="2">
        <v>1167</v>
      </c>
      <c r="E2575" s="2" t="s">
        <v>9893</v>
      </c>
      <c r="F2575" s="29" t="s">
        <v>14228</v>
      </c>
      <c r="G2575" s="3" t="s">
        <v>2843</v>
      </c>
      <c r="H2575" s="3" t="s">
        <v>2844</v>
      </c>
      <c r="K2575" s="2">
        <v>20</v>
      </c>
      <c r="L2575" s="2">
        <v>7</v>
      </c>
      <c r="M2575" s="3" t="s">
        <v>3079</v>
      </c>
      <c r="N2575" s="3" t="s">
        <v>1619</v>
      </c>
      <c r="O2575" s="3" t="s">
        <v>1620</v>
      </c>
      <c r="Q2575" s="30" t="str">
        <f t="shared" si="40"/>
        <v>MAX : 
TARGET : Yes (pass)
MIN : No (fail)</v>
      </c>
    </row>
    <row r="2576" spans="2:17" ht="41.4" x14ac:dyDescent="0.3">
      <c r="B2576">
        <v>1</v>
      </c>
      <c r="C2576" s="33">
        <v>7963</v>
      </c>
      <c r="D2576" s="2">
        <v>1167</v>
      </c>
      <c r="E2576" s="2" t="s">
        <v>9893</v>
      </c>
      <c r="F2576" s="29" t="s">
        <v>14228</v>
      </c>
      <c r="G2576" s="3" t="s">
        <v>2843</v>
      </c>
      <c r="H2576" s="3" t="s">
        <v>2844</v>
      </c>
      <c r="K2576" s="2">
        <v>10</v>
      </c>
      <c r="L2576" s="2">
        <v>9</v>
      </c>
      <c r="M2576" s="3" t="s">
        <v>198</v>
      </c>
      <c r="N2576" s="3" t="s">
        <v>2902</v>
      </c>
      <c r="O2576" s="3" t="s">
        <v>2903</v>
      </c>
      <c r="P2576" s="3" t="s">
        <v>2904</v>
      </c>
      <c r="Q2576" s="30" t="str">
        <f t="shared" si="40"/>
        <v>MAX : 9.808
TARGET : 9.802
MIN : 9.796</v>
      </c>
    </row>
    <row r="2577" spans="2:17" ht="41.4" x14ac:dyDescent="0.3">
      <c r="B2577">
        <v>0</v>
      </c>
      <c r="C2577" s="33">
        <v>7081</v>
      </c>
      <c r="D2577" s="2">
        <v>1080</v>
      </c>
      <c r="E2577" s="2" t="s">
        <v>8821</v>
      </c>
      <c r="F2577" s="3" t="s">
        <v>14221</v>
      </c>
      <c r="H2577" s="3" t="s">
        <v>713</v>
      </c>
      <c r="K2577" s="2">
        <v>20</v>
      </c>
      <c r="L2577" s="2">
        <v>1</v>
      </c>
      <c r="M2577" s="3" t="s">
        <v>458</v>
      </c>
      <c r="N2577" s="3" t="s">
        <v>1746</v>
      </c>
      <c r="O2577" s="3" t="s">
        <v>3306</v>
      </c>
      <c r="P2577" s="3" t="s">
        <v>1936</v>
      </c>
      <c r="Q2577" s="30" t="str">
        <f t="shared" si="40"/>
        <v>MAX : 0.175
TARGET : 0.160
MIN : 0.145</v>
      </c>
    </row>
    <row r="2578" spans="2:17" ht="41.4" x14ac:dyDescent="0.3">
      <c r="B2578">
        <v>0</v>
      </c>
      <c r="C2578" s="33">
        <v>7081</v>
      </c>
      <c r="D2578" s="2">
        <v>1080</v>
      </c>
      <c r="E2578" s="2" t="s">
        <v>8821</v>
      </c>
      <c r="F2578" s="3" t="s">
        <v>14221</v>
      </c>
      <c r="H2578" s="3" t="s">
        <v>713</v>
      </c>
      <c r="K2578" s="2">
        <v>20</v>
      </c>
      <c r="L2578" s="2">
        <v>2</v>
      </c>
      <c r="M2578" s="3" t="s">
        <v>1623</v>
      </c>
      <c r="N2578" s="3" t="s">
        <v>13</v>
      </c>
      <c r="O2578" s="3" t="s">
        <v>14</v>
      </c>
      <c r="Q2578" s="30" t="str">
        <f t="shared" si="40"/>
        <v>MAX : 
TARGET : Yes(Pass)
MIN : No(Fail)</v>
      </c>
    </row>
    <row r="2579" spans="2:17" ht="41.4" x14ac:dyDescent="0.3">
      <c r="B2579">
        <v>1</v>
      </c>
      <c r="C2579" s="33">
        <v>7963</v>
      </c>
      <c r="D2579" s="2">
        <v>1167</v>
      </c>
      <c r="E2579" s="2" t="s">
        <v>9893</v>
      </c>
      <c r="F2579" s="29" t="s">
        <v>14228</v>
      </c>
      <c r="G2579" s="3" t="s">
        <v>2843</v>
      </c>
      <c r="H2579" s="3" t="s">
        <v>2844</v>
      </c>
      <c r="K2579" s="2">
        <v>10</v>
      </c>
      <c r="L2579" s="2">
        <v>3</v>
      </c>
      <c r="M2579" s="3" t="s">
        <v>5254</v>
      </c>
      <c r="N2579" s="3" t="s">
        <v>1619</v>
      </c>
      <c r="O2579" s="3" t="s">
        <v>1620</v>
      </c>
      <c r="Q2579" s="30" t="str">
        <f t="shared" si="40"/>
        <v>MAX : 
TARGET : Yes (pass)
MIN : No (fail)</v>
      </c>
    </row>
    <row r="2580" spans="2:17" ht="41.4" x14ac:dyDescent="0.3">
      <c r="B2580">
        <v>1</v>
      </c>
      <c r="C2580" s="33">
        <v>7963</v>
      </c>
      <c r="D2580" s="2">
        <v>1167</v>
      </c>
      <c r="E2580" s="2" t="s">
        <v>9893</v>
      </c>
      <c r="F2580" s="29" t="s">
        <v>14228</v>
      </c>
      <c r="G2580" s="3" t="s">
        <v>2843</v>
      </c>
      <c r="H2580" s="3" t="s">
        <v>2844</v>
      </c>
      <c r="K2580" s="2">
        <v>10</v>
      </c>
      <c r="L2580" s="2">
        <v>0</v>
      </c>
      <c r="M2580" s="3" t="s">
        <v>3451</v>
      </c>
      <c r="N2580" s="3" t="s">
        <v>1619</v>
      </c>
      <c r="O2580" s="3" t="s">
        <v>1620</v>
      </c>
      <c r="Q2580" s="30" t="str">
        <f t="shared" si="40"/>
        <v>MAX : 
TARGET : Yes (pass)
MIN : No (fail)</v>
      </c>
    </row>
    <row r="2581" spans="2:17" ht="41.4" x14ac:dyDescent="0.3">
      <c r="B2581">
        <v>0</v>
      </c>
      <c r="C2581" s="33">
        <v>7082</v>
      </c>
      <c r="D2581" s="2">
        <v>1081</v>
      </c>
      <c r="E2581" s="2" t="s">
        <v>8829</v>
      </c>
      <c r="F2581" s="3" t="s">
        <v>14206</v>
      </c>
      <c r="H2581" s="3" t="s">
        <v>713</v>
      </c>
      <c r="K2581" s="2">
        <v>20</v>
      </c>
      <c r="L2581" s="2">
        <v>1</v>
      </c>
      <c r="M2581" s="3" t="s">
        <v>458</v>
      </c>
      <c r="N2581" s="3" t="s">
        <v>1746</v>
      </c>
      <c r="O2581" s="3" t="s">
        <v>3306</v>
      </c>
      <c r="P2581" s="3" t="s">
        <v>1936</v>
      </c>
      <c r="Q2581" s="30" t="str">
        <f t="shared" si="40"/>
        <v>MAX : 0.175
TARGET : 0.160
MIN : 0.145</v>
      </c>
    </row>
    <row r="2582" spans="2:17" ht="41.4" x14ac:dyDescent="0.3">
      <c r="B2582">
        <v>0</v>
      </c>
      <c r="C2582" s="33">
        <v>7082</v>
      </c>
      <c r="D2582" s="2">
        <v>1081</v>
      </c>
      <c r="E2582" s="2" t="s">
        <v>8829</v>
      </c>
      <c r="F2582" s="3" t="s">
        <v>14206</v>
      </c>
      <c r="H2582" s="3" t="s">
        <v>713</v>
      </c>
      <c r="K2582" s="2">
        <v>20</v>
      </c>
      <c r="L2582" s="2">
        <v>2</v>
      </c>
      <c r="M2582" s="3" t="s">
        <v>1623</v>
      </c>
      <c r="N2582" s="3" t="s">
        <v>13</v>
      </c>
      <c r="O2582" s="3" t="s">
        <v>14</v>
      </c>
      <c r="Q2582" s="30" t="str">
        <f t="shared" si="40"/>
        <v>MAX : 
TARGET : Yes(Pass)
MIN : No(Fail)</v>
      </c>
    </row>
    <row r="2583" spans="2:17" ht="41.4" x14ac:dyDescent="0.3">
      <c r="B2583">
        <v>1</v>
      </c>
      <c r="C2583" s="33">
        <v>7963</v>
      </c>
      <c r="D2583" s="2">
        <v>1167</v>
      </c>
      <c r="E2583" s="2" t="s">
        <v>9893</v>
      </c>
      <c r="F2583" s="29" t="s">
        <v>14228</v>
      </c>
      <c r="G2583" s="3" t="s">
        <v>2843</v>
      </c>
      <c r="H2583" s="3" t="s">
        <v>2844</v>
      </c>
      <c r="K2583" s="2">
        <v>10</v>
      </c>
      <c r="L2583" s="2">
        <v>12.1</v>
      </c>
      <c r="M2583" s="3" t="s">
        <v>5576</v>
      </c>
      <c r="Q2583" s="30" t="str">
        <f t="shared" si="40"/>
        <v xml:space="preserve">MAX : 
TARGET : 
MIN : </v>
      </c>
    </row>
    <row r="2584" spans="2:17" ht="41.4" x14ac:dyDescent="0.3">
      <c r="B2584">
        <v>1</v>
      </c>
      <c r="C2584" s="33">
        <v>7963</v>
      </c>
      <c r="D2584" s="2">
        <v>1167</v>
      </c>
      <c r="E2584" s="2" t="s">
        <v>9893</v>
      </c>
      <c r="F2584" s="29" t="s">
        <v>14228</v>
      </c>
      <c r="G2584" s="3" t="s">
        <v>2843</v>
      </c>
      <c r="H2584" s="3" t="s">
        <v>2844</v>
      </c>
      <c r="K2584" s="2">
        <v>10</v>
      </c>
      <c r="L2584" s="2">
        <v>8</v>
      </c>
      <c r="M2584" s="3" t="s">
        <v>3439</v>
      </c>
      <c r="Q2584" s="30" t="str">
        <f t="shared" si="40"/>
        <v xml:space="preserve">MAX : 
TARGET : 
MIN : </v>
      </c>
    </row>
    <row r="2585" spans="2:17" ht="41.4" x14ac:dyDescent="0.3">
      <c r="B2585">
        <v>0</v>
      </c>
      <c r="C2585" s="33">
        <v>8469</v>
      </c>
      <c r="D2585" s="2">
        <v>1227</v>
      </c>
      <c r="E2585" s="2" t="s">
        <v>10478</v>
      </c>
      <c r="F2585" s="3" t="s">
        <v>14206</v>
      </c>
      <c r="H2585" s="3" t="s">
        <v>3307</v>
      </c>
      <c r="I2585" s="3" t="s">
        <v>487</v>
      </c>
      <c r="K2585" s="2">
        <v>10</v>
      </c>
      <c r="L2585" s="2">
        <v>2</v>
      </c>
      <c r="M2585" s="3" t="s">
        <v>3314</v>
      </c>
      <c r="N2585" s="3" t="s">
        <v>525</v>
      </c>
      <c r="O2585" s="3" t="s">
        <v>3315</v>
      </c>
      <c r="P2585" s="3" t="s">
        <v>3316</v>
      </c>
      <c r="Q2585" s="30" t="str">
        <f t="shared" si="40"/>
        <v>MAX : 6.310
TARGET : 6.280
MIN : 6.250</v>
      </c>
    </row>
    <row r="2586" spans="2:17" ht="41.4" x14ac:dyDescent="0.3">
      <c r="B2586">
        <v>0</v>
      </c>
      <c r="C2586" s="33">
        <v>8469</v>
      </c>
      <c r="D2586" s="2">
        <v>1227</v>
      </c>
      <c r="E2586" s="2" t="s">
        <v>10478</v>
      </c>
      <c r="F2586" s="3" t="s">
        <v>14206</v>
      </c>
      <c r="H2586" s="3" t="s">
        <v>3307</v>
      </c>
      <c r="I2586" s="3" t="s">
        <v>487</v>
      </c>
      <c r="K2586" s="2">
        <v>10</v>
      </c>
      <c r="L2586" s="2">
        <v>4</v>
      </c>
      <c r="M2586" s="3" t="s">
        <v>3317</v>
      </c>
      <c r="N2586" s="3" t="s">
        <v>3318</v>
      </c>
      <c r="O2586" s="3" t="s">
        <v>3319</v>
      </c>
      <c r="P2586" s="3" t="s">
        <v>1031</v>
      </c>
      <c r="Q2586" s="30" t="str">
        <f t="shared" si="40"/>
        <v>MAX : 5.196
TARGET : 5.166
MIN : 5.136</v>
      </c>
    </row>
    <row r="2587" spans="2:17" ht="41.4" x14ac:dyDescent="0.3">
      <c r="B2587">
        <v>0</v>
      </c>
      <c r="C2587" s="33">
        <v>8469</v>
      </c>
      <c r="D2587" s="2">
        <v>1227</v>
      </c>
      <c r="E2587" s="2" t="s">
        <v>10478</v>
      </c>
      <c r="F2587" s="3" t="s">
        <v>14206</v>
      </c>
      <c r="H2587" s="3" t="s">
        <v>3307</v>
      </c>
      <c r="I2587" s="3" t="s">
        <v>487</v>
      </c>
      <c r="K2587" s="2">
        <v>10</v>
      </c>
      <c r="L2587" s="2">
        <v>6</v>
      </c>
      <c r="M2587" s="3" t="s">
        <v>3320</v>
      </c>
      <c r="N2587" s="3" t="s">
        <v>13</v>
      </c>
      <c r="O2587" s="3" t="s">
        <v>14</v>
      </c>
      <c r="Q2587" s="30" t="str">
        <f t="shared" si="40"/>
        <v>MAX : 
TARGET : Yes(Pass)
MIN : No(Fail)</v>
      </c>
    </row>
    <row r="2588" spans="2:17" ht="41.4" x14ac:dyDescent="0.3">
      <c r="B2588">
        <v>1</v>
      </c>
      <c r="C2588" s="33">
        <v>7963</v>
      </c>
      <c r="D2588" s="2">
        <v>1167</v>
      </c>
      <c r="E2588" s="2" t="s">
        <v>9893</v>
      </c>
      <c r="F2588" s="29" t="s">
        <v>14228</v>
      </c>
      <c r="G2588" s="3" t="s">
        <v>2843</v>
      </c>
      <c r="H2588" s="3" t="s">
        <v>2844</v>
      </c>
      <c r="K2588" s="2">
        <v>20</v>
      </c>
      <c r="L2588" s="2">
        <v>5</v>
      </c>
      <c r="M2588" s="3" t="s">
        <v>3022</v>
      </c>
      <c r="N2588" s="3" t="s">
        <v>1619</v>
      </c>
      <c r="O2588" s="3" t="s">
        <v>1620</v>
      </c>
      <c r="Q2588" s="30" t="str">
        <f t="shared" si="40"/>
        <v>MAX : 
TARGET : Yes (pass)
MIN : No (fail)</v>
      </c>
    </row>
    <row r="2589" spans="2:17" ht="41.4" x14ac:dyDescent="0.3">
      <c r="B2589">
        <v>1</v>
      </c>
      <c r="C2589" s="33">
        <v>7963</v>
      </c>
      <c r="D2589" s="2">
        <v>1167</v>
      </c>
      <c r="E2589" s="2" t="s">
        <v>9893</v>
      </c>
      <c r="F2589" s="29" t="s">
        <v>14228</v>
      </c>
      <c r="G2589" s="3" t="s">
        <v>2843</v>
      </c>
      <c r="H2589" s="3" t="s">
        <v>2844</v>
      </c>
      <c r="K2589" s="2">
        <v>10</v>
      </c>
      <c r="L2589" s="2">
        <v>1</v>
      </c>
      <c r="M2589" s="3" t="s">
        <v>3357</v>
      </c>
      <c r="N2589" s="3" t="s">
        <v>218</v>
      </c>
      <c r="O2589" s="3" t="s">
        <v>281</v>
      </c>
      <c r="P2589" s="3" t="s">
        <v>1527</v>
      </c>
      <c r="Q2589" s="30" t="str">
        <f t="shared" si="40"/>
        <v>MAX : 0.320
TARGET : 0.250
MIN : 0.180</v>
      </c>
    </row>
    <row r="2590" spans="2:17" ht="41.4" x14ac:dyDescent="0.3">
      <c r="B2590">
        <v>0</v>
      </c>
      <c r="C2590" s="33">
        <v>8386</v>
      </c>
      <c r="D2590" s="2">
        <v>1960</v>
      </c>
      <c r="E2590" s="2" t="s">
        <v>10381</v>
      </c>
      <c r="F2590" s="3" t="s">
        <v>14206</v>
      </c>
      <c r="H2590" s="3" t="s">
        <v>50</v>
      </c>
      <c r="K2590" s="2">
        <v>10</v>
      </c>
      <c r="L2590" s="2">
        <v>3</v>
      </c>
      <c r="M2590" s="3" t="s">
        <v>3218</v>
      </c>
      <c r="N2590" s="3" t="s">
        <v>13</v>
      </c>
      <c r="O2590" s="3" t="s">
        <v>14</v>
      </c>
      <c r="Q2590" s="30" t="str">
        <f t="shared" si="40"/>
        <v>MAX : 
TARGET : Yes(Pass)
MIN : No(Fail)</v>
      </c>
    </row>
    <row r="2591" spans="2:17" ht="41.4" x14ac:dyDescent="0.3">
      <c r="B2591">
        <v>1</v>
      </c>
      <c r="C2591" s="33">
        <v>7963</v>
      </c>
      <c r="D2591" s="2">
        <v>1167</v>
      </c>
      <c r="E2591" s="2" t="s">
        <v>9893</v>
      </c>
      <c r="F2591" s="29" t="s">
        <v>14228</v>
      </c>
      <c r="G2591" s="3" t="s">
        <v>2843</v>
      </c>
      <c r="H2591" s="3" t="s">
        <v>2844</v>
      </c>
      <c r="K2591" s="2">
        <v>10</v>
      </c>
      <c r="L2591" s="2">
        <v>12.2</v>
      </c>
      <c r="M2591" s="3" t="s">
        <v>5577</v>
      </c>
      <c r="N2591" s="3" t="s">
        <v>1619</v>
      </c>
      <c r="O2591" s="3" t="s">
        <v>1620</v>
      </c>
      <c r="Q2591" s="30" t="str">
        <f t="shared" si="40"/>
        <v>MAX : 
TARGET : Yes (pass)
MIN : No (fail)</v>
      </c>
    </row>
    <row r="2592" spans="2:17" ht="41.4" x14ac:dyDescent="0.3">
      <c r="B2592">
        <v>1</v>
      </c>
      <c r="C2592" s="33">
        <v>7963</v>
      </c>
      <c r="D2592" s="2">
        <v>1167</v>
      </c>
      <c r="E2592" s="2" t="s">
        <v>9893</v>
      </c>
      <c r="F2592" s="29" t="s">
        <v>14228</v>
      </c>
      <c r="G2592" s="3" t="s">
        <v>2843</v>
      </c>
      <c r="H2592" s="3" t="s">
        <v>2844</v>
      </c>
      <c r="K2592" s="2">
        <v>10</v>
      </c>
      <c r="L2592" s="2">
        <v>12.4</v>
      </c>
      <c r="Q2592" s="30" t="str">
        <f t="shared" si="40"/>
        <v xml:space="preserve">MAX : 
TARGET : 
MIN : </v>
      </c>
    </row>
    <row r="2593" spans="2:17" ht="41.4" x14ac:dyDescent="0.3">
      <c r="B2593">
        <v>0</v>
      </c>
      <c r="C2593" s="33">
        <v>8476</v>
      </c>
      <c r="D2593" s="2">
        <v>1967</v>
      </c>
      <c r="E2593" s="2" t="s">
        <v>10492</v>
      </c>
      <c r="F2593" s="3" t="s">
        <v>14206</v>
      </c>
      <c r="H2593" s="3" t="s">
        <v>3321</v>
      </c>
      <c r="K2593" s="2">
        <v>10</v>
      </c>
      <c r="L2593" s="2">
        <v>3</v>
      </c>
      <c r="M2593" s="3" t="s">
        <v>3322</v>
      </c>
      <c r="N2593" s="3" t="s">
        <v>13</v>
      </c>
      <c r="O2593" s="3" t="s">
        <v>14</v>
      </c>
      <c r="Q2593" s="30" t="str">
        <f t="shared" si="40"/>
        <v>MAX : 
TARGET : Yes(Pass)
MIN : No(Fail)</v>
      </c>
    </row>
    <row r="2594" spans="2:17" ht="41.4" x14ac:dyDescent="0.3">
      <c r="B2594">
        <v>1</v>
      </c>
      <c r="C2594" s="33">
        <v>7991</v>
      </c>
      <c r="D2594" s="2">
        <v>1168</v>
      </c>
      <c r="E2594" s="2" t="s">
        <v>9907</v>
      </c>
      <c r="F2594" s="3" t="s">
        <v>14207</v>
      </c>
      <c r="H2594" s="3" t="s">
        <v>426</v>
      </c>
      <c r="K2594" s="2">
        <v>10</v>
      </c>
      <c r="L2594" s="2">
        <v>3</v>
      </c>
      <c r="M2594" s="3" t="s">
        <v>2912</v>
      </c>
      <c r="N2594" s="3" t="s">
        <v>2913</v>
      </c>
      <c r="O2594" s="3" t="s">
        <v>2914</v>
      </c>
      <c r="P2594" s="3" t="s">
        <v>2915</v>
      </c>
      <c r="Q2594" s="30" t="str">
        <f t="shared" si="40"/>
        <v>MAX : 95.50
TARGET : 95.00
MIN : 94.50</v>
      </c>
    </row>
    <row r="2595" spans="2:17" ht="41.4" x14ac:dyDescent="0.3">
      <c r="B2595">
        <v>1</v>
      </c>
      <c r="C2595" s="33">
        <v>7991</v>
      </c>
      <c r="D2595" s="2">
        <v>1168</v>
      </c>
      <c r="E2595" s="2" t="s">
        <v>9907</v>
      </c>
      <c r="F2595" s="3" t="s">
        <v>14207</v>
      </c>
      <c r="H2595" s="3" t="s">
        <v>426</v>
      </c>
      <c r="K2595" s="2">
        <v>10</v>
      </c>
      <c r="L2595" s="2">
        <v>1</v>
      </c>
      <c r="M2595" s="3" t="s">
        <v>2908</v>
      </c>
      <c r="N2595" s="3" t="s">
        <v>2909</v>
      </c>
      <c r="O2595" s="3" t="s">
        <v>2910</v>
      </c>
      <c r="P2595" s="3" t="s">
        <v>2911</v>
      </c>
      <c r="Q2595" s="30" t="str">
        <f t="shared" si="40"/>
        <v>MAX : 75.50
TARGET : 75.00
MIN : 74.50</v>
      </c>
    </row>
    <row r="2596" spans="2:17" ht="41.4" x14ac:dyDescent="0.3">
      <c r="B2596">
        <v>0</v>
      </c>
      <c r="C2596" s="33">
        <v>8477</v>
      </c>
      <c r="D2596" s="2">
        <v>1228</v>
      </c>
      <c r="E2596" s="2" t="s">
        <v>10498</v>
      </c>
      <c r="F2596" s="3" t="s">
        <v>14206</v>
      </c>
      <c r="H2596" s="3" t="s">
        <v>3323</v>
      </c>
      <c r="K2596" s="2">
        <v>10</v>
      </c>
      <c r="L2596" s="2">
        <v>3</v>
      </c>
      <c r="M2596" s="3" t="s">
        <v>3326</v>
      </c>
      <c r="N2596" s="3" t="s">
        <v>24</v>
      </c>
      <c r="O2596" s="3" t="s">
        <v>25</v>
      </c>
      <c r="Q2596" s="30" t="str">
        <f t="shared" si="40"/>
        <v>MAX : 
TARGET : Yes (Pass)
MIN : No (Fail)</v>
      </c>
    </row>
    <row r="2597" spans="2:17" ht="41.4" x14ac:dyDescent="0.3">
      <c r="B2597">
        <v>0</v>
      </c>
      <c r="C2597" s="33">
        <v>8477</v>
      </c>
      <c r="D2597" s="2">
        <v>1228</v>
      </c>
      <c r="E2597" s="2" t="s">
        <v>10498</v>
      </c>
      <c r="F2597" s="3" t="s">
        <v>14206</v>
      </c>
      <c r="H2597" s="3" t="s">
        <v>3323</v>
      </c>
      <c r="K2597" s="2">
        <v>10</v>
      </c>
      <c r="L2597" s="2">
        <v>4</v>
      </c>
      <c r="M2597" s="3" t="s">
        <v>3327</v>
      </c>
      <c r="N2597" s="3" t="s">
        <v>24</v>
      </c>
      <c r="O2597" s="3" t="s">
        <v>25</v>
      </c>
      <c r="Q2597" s="30" t="str">
        <f t="shared" si="40"/>
        <v>MAX : 
TARGET : Yes (Pass)
MIN : No (Fail)</v>
      </c>
    </row>
    <row r="2598" spans="2:17" ht="41.4" x14ac:dyDescent="0.3">
      <c r="B2598">
        <v>0</v>
      </c>
      <c r="C2598" s="33">
        <v>8477</v>
      </c>
      <c r="D2598" s="2">
        <v>1228</v>
      </c>
      <c r="E2598" s="2" t="s">
        <v>10498</v>
      </c>
      <c r="F2598" s="3" t="s">
        <v>14206</v>
      </c>
      <c r="H2598" s="3" t="s">
        <v>3323</v>
      </c>
      <c r="K2598" s="2">
        <v>10</v>
      </c>
      <c r="L2598" s="2">
        <v>5</v>
      </c>
      <c r="M2598" s="3" t="s">
        <v>3328</v>
      </c>
      <c r="N2598" s="3" t="s">
        <v>24</v>
      </c>
      <c r="O2598" s="3" t="s">
        <v>25</v>
      </c>
      <c r="Q2598" s="30" t="str">
        <f t="shared" si="40"/>
        <v>MAX : 
TARGET : Yes (Pass)
MIN : No (Fail)</v>
      </c>
    </row>
    <row r="2599" spans="2:17" ht="41.4" x14ac:dyDescent="0.3">
      <c r="B2599">
        <v>0</v>
      </c>
      <c r="C2599" s="33">
        <v>8477</v>
      </c>
      <c r="D2599" s="2">
        <v>1228</v>
      </c>
      <c r="E2599" s="2" t="s">
        <v>10498</v>
      </c>
      <c r="F2599" s="3" t="s">
        <v>14206</v>
      </c>
      <c r="H2599" s="3" t="s">
        <v>3323</v>
      </c>
      <c r="K2599" s="2">
        <v>10</v>
      </c>
      <c r="L2599" s="2">
        <v>6</v>
      </c>
      <c r="M2599" s="3" t="s">
        <v>3329</v>
      </c>
      <c r="N2599" s="3" t="s">
        <v>24</v>
      </c>
      <c r="O2599" s="3" t="s">
        <v>25</v>
      </c>
      <c r="Q2599" s="30" t="str">
        <f t="shared" si="40"/>
        <v>MAX : 
TARGET : Yes (Pass)
MIN : No (Fail)</v>
      </c>
    </row>
    <row r="2600" spans="2:17" ht="41.4" x14ac:dyDescent="0.3">
      <c r="B2600">
        <v>1</v>
      </c>
      <c r="C2600" s="33">
        <v>7991</v>
      </c>
      <c r="D2600" s="2">
        <v>1168</v>
      </c>
      <c r="E2600" s="2" t="s">
        <v>9907</v>
      </c>
      <c r="F2600" s="3" t="s">
        <v>14207</v>
      </c>
      <c r="H2600" s="3" t="s">
        <v>426</v>
      </c>
      <c r="K2600" s="2">
        <v>10</v>
      </c>
      <c r="L2600" s="2">
        <v>2</v>
      </c>
      <c r="M2600" s="3" t="s">
        <v>5122</v>
      </c>
      <c r="N2600" s="3" t="s">
        <v>3343</v>
      </c>
      <c r="O2600" s="3" t="s">
        <v>1098</v>
      </c>
      <c r="P2600" s="3" t="s">
        <v>1826</v>
      </c>
      <c r="Q2600" s="30" t="str">
        <f t="shared" si="40"/>
        <v>MAX : 10.50
TARGET : 10.00
MIN : 9.50</v>
      </c>
    </row>
    <row r="2601" spans="2:17" ht="41.4" x14ac:dyDescent="0.3">
      <c r="B2601">
        <v>1</v>
      </c>
      <c r="C2601" s="33">
        <v>7994</v>
      </c>
      <c r="D2601" s="2">
        <v>1169</v>
      </c>
      <c r="E2601" s="2" t="s">
        <v>9914</v>
      </c>
      <c r="F2601" s="3" t="s">
        <v>14206</v>
      </c>
      <c r="H2601" s="3" t="s">
        <v>1069</v>
      </c>
      <c r="K2601" s="2">
        <v>10</v>
      </c>
      <c r="L2601" s="2">
        <v>2</v>
      </c>
      <c r="M2601" s="3" t="s">
        <v>18</v>
      </c>
      <c r="N2601" s="3" t="s">
        <v>405</v>
      </c>
      <c r="O2601" s="3" t="s">
        <v>406</v>
      </c>
      <c r="P2601" s="3" t="s">
        <v>407</v>
      </c>
      <c r="Q2601" s="30" t="str">
        <f t="shared" si="40"/>
        <v>MAX : 2.06
TARGET : 2.00
MIN : 1.94</v>
      </c>
    </row>
    <row r="2602" spans="2:17" ht="41.4" x14ac:dyDescent="0.3">
      <c r="B2602">
        <v>0</v>
      </c>
      <c r="C2602" s="33">
        <v>8478</v>
      </c>
      <c r="D2602" s="2">
        <v>1229</v>
      </c>
      <c r="E2602" s="2" t="s">
        <v>10506</v>
      </c>
      <c r="F2602" s="3" t="s">
        <v>14206</v>
      </c>
      <c r="H2602" s="3" t="s">
        <v>3323</v>
      </c>
      <c r="K2602" s="2">
        <v>10</v>
      </c>
      <c r="L2602" s="2">
        <v>3</v>
      </c>
      <c r="M2602" s="3" t="s">
        <v>3326</v>
      </c>
      <c r="N2602" s="3" t="s">
        <v>24</v>
      </c>
      <c r="O2602" s="3" t="s">
        <v>25</v>
      </c>
      <c r="Q2602" s="30" t="str">
        <f t="shared" si="40"/>
        <v>MAX : 
TARGET : Yes (Pass)
MIN : No (Fail)</v>
      </c>
    </row>
    <row r="2603" spans="2:17" ht="41.4" x14ac:dyDescent="0.3">
      <c r="B2603">
        <v>0</v>
      </c>
      <c r="C2603" s="33">
        <v>8478</v>
      </c>
      <c r="D2603" s="2">
        <v>1229</v>
      </c>
      <c r="E2603" s="2" t="s">
        <v>10506</v>
      </c>
      <c r="F2603" s="3" t="s">
        <v>14206</v>
      </c>
      <c r="H2603" s="3" t="s">
        <v>3323</v>
      </c>
      <c r="K2603" s="2">
        <v>10</v>
      </c>
      <c r="L2603" s="2">
        <v>4</v>
      </c>
      <c r="M2603" s="3" t="s">
        <v>3327</v>
      </c>
      <c r="N2603" s="3" t="s">
        <v>24</v>
      </c>
      <c r="O2603" s="3" t="s">
        <v>25</v>
      </c>
      <c r="Q2603" s="30" t="str">
        <f t="shared" si="40"/>
        <v>MAX : 
TARGET : Yes (Pass)
MIN : No (Fail)</v>
      </c>
    </row>
    <row r="2604" spans="2:17" ht="41.4" x14ac:dyDescent="0.3">
      <c r="B2604">
        <v>0</v>
      </c>
      <c r="C2604" s="33">
        <v>8478</v>
      </c>
      <c r="D2604" s="2">
        <v>1229</v>
      </c>
      <c r="E2604" s="2" t="s">
        <v>10506</v>
      </c>
      <c r="F2604" s="3" t="s">
        <v>14206</v>
      </c>
      <c r="H2604" s="3" t="s">
        <v>3323</v>
      </c>
      <c r="K2604" s="2">
        <v>10</v>
      </c>
      <c r="L2604" s="2">
        <v>5</v>
      </c>
      <c r="M2604" s="3" t="s">
        <v>3328</v>
      </c>
      <c r="N2604" s="3" t="s">
        <v>24</v>
      </c>
      <c r="O2604" s="3" t="s">
        <v>25</v>
      </c>
      <c r="Q2604" s="30" t="str">
        <f t="shared" si="40"/>
        <v>MAX : 
TARGET : Yes (Pass)
MIN : No (Fail)</v>
      </c>
    </row>
    <row r="2605" spans="2:17" ht="41.4" x14ac:dyDescent="0.3">
      <c r="B2605">
        <v>0</v>
      </c>
      <c r="C2605" s="33">
        <v>8478</v>
      </c>
      <c r="D2605" s="2">
        <v>1229</v>
      </c>
      <c r="E2605" s="2" t="s">
        <v>10506</v>
      </c>
      <c r="F2605" s="3" t="s">
        <v>14206</v>
      </c>
      <c r="H2605" s="3" t="s">
        <v>3323</v>
      </c>
      <c r="K2605" s="2">
        <v>10</v>
      </c>
      <c r="L2605" s="2">
        <v>6</v>
      </c>
      <c r="M2605" s="3" t="s">
        <v>3329</v>
      </c>
      <c r="N2605" s="3" t="s">
        <v>24</v>
      </c>
      <c r="O2605" s="3" t="s">
        <v>25</v>
      </c>
      <c r="Q2605" s="30" t="str">
        <f t="shared" si="40"/>
        <v>MAX : 
TARGET : Yes (Pass)
MIN : No (Fail)</v>
      </c>
    </row>
    <row r="2606" spans="2:17" ht="41.4" x14ac:dyDescent="0.3">
      <c r="B2606">
        <v>1</v>
      </c>
      <c r="C2606" s="33">
        <v>7994</v>
      </c>
      <c r="D2606" s="2">
        <v>1169</v>
      </c>
      <c r="E2606" s="2" t="s">
        <v>9914</v>
      </c>
      <c r="F2606" s="3" t="s">
        <v>14206</v>
      </c>
      <c r="H2606" s="3" t="s">
        <v>1069</v>
      </c>
      <c r="K2606" s="2">
        <v>10</v>
      </c>
      <c r="L2606" s="2">
        <v>1</v>
      </c>
      <c r="M2606" s="3" t="s">
        <v>22</v>
      </c>
      <c r="N2606" s="3" t="s">
        <v>2907</v>
      </c>
      <c r="O2606" s="3" t="s">
        <v>340</v>
      </c>
      <c r="P2606" s="3" t="s">
        <v>2367</v>
      </c>
      <c r="Q2606" s="30" t="str">
        <f t="shared" si="40"/>
        <v>MAX : 3.56
TARGET : 3.50
MIN : 3.44</v>
      </c>
    </row>
    <row r="2607" spans="2:17" ht="41.4" x14ac:dyDescent="0.3">
      <c r="B2607">
        <v>1</v>
      </c>
      <c r="C2607" s="33">
        <v>8021</v>
      </c>
      <c r="D2607" s="2">
        <v>1938</v>
      </c>
      <c r="E2607" s="2" t="s">
        <v>9934</v>
      </c>
      <c r="F2607" s="3" t="s">
        <v>14206</v>
      </c>
      <c r="H2607" s="3" t="s">
        <v>2935</v>
      </c>
      <c r="K2607" s="2">
        <v>20</v>
      </c>
      <c r="L2607" s="2">
        <v>2</v>
      </c>
      <c r="M2607" s="3" t="s">
        <v>325</v>
      </c>
      <c r="N2607" s="3" t="s">
        <v>13</v>
      </c>
      <c r="O2607" s="3" t="s">
        <v>14</v>
      </c>
      <c r="Q2607" s="30" t="str">
        <f t="shared" si="40"/>
        <v>MAX : 
TARGET : Yes(Pass)
MIN : No(Fail)</v>
      </c>
    </row>
    <row r="2608" spans="2:17" ht="41.4" x14ac:dyDescent="0.3">
      <c r="B2608">
        <v>0</v>
      </c>
      <c r="C2608" s="33">
        <v>8479</v>
      </c>
      <c r="D2608" s="2">
        <v>1230</v>
      </c>
      <c r="E2608" s="2" t="s">
        <v>10512</v>
      </c>
      <c r="F2608" s="3" t="s">
        <v>14206</v>
      </c>
      <c r="H2608" s="3" t="s">
        <v>3323</v>
      </c>
      <c r="K2608" s="2">
        <v>10</v>
      </c>
      <c r="L2608" s="2">
        <v>3</v>
      </c>
      <c r="M2608" s="3" t="s">
        <v>3326</v>
      </c>
      <c r="N2608" s="3" t="s">
        <v>24</v>
      </c>
      <c r="O2608" s="3" t="s">
        <v>25</v>
      </c>
      <c r="Q2608" s="30" t="str">
        <f t="shared" si="40"/>
        <v>MAX : 
TARGET : Yes (Pass)
MIN : No (Fail)</v>
      </c>
    </row>
    <row r="2609" spans="2:17" ht="41.4" x14ac:dyDescent="0.3">
      <c r="B2609">
        <v>0</v>
      </c>
      <c r="C2609" s="33">
        <v>8479</v>
      </c>
      <c r="D2609" s="2">
        <v>1230</v>
      </c>
      <c r="E2609" s="2" t="s">
        <v>10512</v>
      </c>
      <c r="F2609" s="3" t="s">
        <v>14206</v>
      </c>
      <c r="H2609" s="3" t="s">
        <v>3323</v>
      </c>
      <c r="K2609" s="2">
        <v>10</v>
      </c>
      <c r="L2609" s="2">
        <v>4</v>
      </c>
      <c r="M2609" s="3" t="s">
        <v>3330</v>
      </c>
      <c r="N2609" s="3" t="s">
        <v>24</v>
      </c>
      <c r="O2609" s="3" t="s">
        <v>25</v>
      </c>
      <c r="Q2609" s="30" t="str">
        <f t="shared" si="40"/>
        <v>MAX : 
TARGET : Yes (Pass)
MIN : No (Fail)</v>
      </c>
    </row>
    <row r="2610" spans="2:17" ht="41.4" x14ac:dyDescent="0.3">
      <c r="B2610">
        <v>0</v>
      </c>
      <c r="C2610" s="33">
        <v>8479</v>
      </c>
      <c r="D2610" s="2">
        <v>1230</v>
      </c>
      <c r="E2610" s="2" t="s">
        <v>10512</v>
      </c>
      <c r="F2610" s="3" t="s">
        <v>14206</v>
      </c>
      <c r="H2610" s="3" t="s">
        <v>3323</v>
      </c>
      <c r="K2610" s="2">
        <v>10</v>
      </c>
      <c r="L2610" s="2">
        <v>5</v>
      </c>
      <c r="M2610" s="3" t="s">
        <v>3328</v>
      </c>
      <c r="N2610" s="3" t="s">
        <v>24</v>
      </c>
      <c r="O2610" s="3" t="s">
        <v>25</v>
      </c>
      <c r="Q2610" s="30" t="str">
        <f t="shared" si="40"/>
        <v>MAX : 
TARGET : Yes (Pass)
MIN : No (Fail)</v>
      </c>
    </row>
    <row r="2611" spans="2:17" ht="41.4" x14ac:dyDescent="0.3">
      <c r="B2611">
        <v>0</v>
      </c>
      <c r="C2611" s="33">
        <v>8479</v>
      </c>
      <c r="D2611" s="2">
        <v>1230</v>
      </c>
      <c r="E2611" s="2" t="s">
        <v>10512</v>
      </c>
      <c r="F2611" s="3" t="s">
        <v>14206</v>
      </c>
      <c r="H2611" s="3" t="s">
        <v>3323</v>
      </c>
      <c r="K2611" s="2">
        <v>10</v>
      </c>
      <c r="L2611" s="2">
        <v>6</v>
      </c>
      <c r="M2611" s="3" t="s">
        <v>3329</v>
      </c>
      <c r="N2611" s="3" t="s">
        <v>24</v>
      </c>
      <c r="O2611" s="3" t="s">
        <v>25</v>
      </c>
      <c r="Q2611" s="30" t="str">
        <f t="shared" si="40"/>
        <v>MAX : 
TARGET : Yes (Pass)
MIN : No (Fail)</v>
      </c>
    </row>
    <row r="2612" spans="2:17" ht="41.4" x14ac:dyDescent="0.3">
      <c r="B2612">
        <v>1</v>
      </c>
      <c r="C2612" s="33">
        <v>8021</v>
      </c>
      <c r="D2612" s="2">
        <v>1938</v>
      </c>
      <c r="E2612" s="2" t="s">
        <v>9934</v>
      </c>
      <c r="F2612" s="3" t="s">
        <v>14206</v>
      </c>
      <c r="H2612" s="3" t="s">
        <v>2935</v>
      </c>
      <c r="K2612" s="2">
        <v>20</v>
      </c>
      <c r="L2612" s="2">
        <v>1</v>
      </c>
      <c r="M2612" s="3" t="s">
        <v>99</v>
      </c>
      <c r="N2612" s="3" t="s">
        <v>983</v>
      </c>
      <c r="O2612" s="3" t="s">
        <v>241</v>
      </c>
      <c r="P2612" s="3" t="s">
        <v>984</v>
      </c>
      <c r="Q2612" s="30" t="str">
        <f t="shared" si="40"/>
        <v>MAX : 0.155
TARGET : 0.125
MIN : 0.095</v>
      </c>
    </row>
    <row r="2613" spans="2:17" ht="41.4" x14ac:dyDescent="0.3">
      <c r="B2613">
        <v>1</v>
      </c>
      <c r="C2613" s="33">
        <v>8022</v>
      </c>
      <c r="D2613" s="2">
        <v>1170</v>
      </c>
      <c r="E2613" s="2" t="s">
        <v>9940</v>
      </c>
      <c r="F2613" s="3" t="s">
        <v>14206</v>
      </c>
      <c r="G2613" s="3" t="s">
        <v>1665</v>
      </c>
      <c r="H2613" s="3" t="s">
        <v>2921</v>
      </c>
      <c r="I2613" s="3" t="s">
        <v>575</v>
      </c>
      <c r="K2613" s="2">
        <v>10</v>
      </c>
      <c r="L2613" s="2">
        <v>2</v>
      </c>
      <c r="M2613" s="3" t="s">
        <v>198</v>
      </c>
      <c r="N2613" s="3" t="s">
        <v>2924</v>
      </c>
      <c r="O2613" s="3" t="s">
        <v>2925</v>
      </c>
      <c r="P2613" s="3" t="s">
        <v>2926</v>
      </c>
      <c r="Q2613" s="30" t="str">
        <f t="shared" si="40"/>
        <v>MAX : 3.471
TARGET : 3.440
MIN : 3.409</v>
      </c>
    </row>
    <row r="2614" spans="2:17" ht="41.4" x14ac:dyDescent="0.3">
      <c r="B2614">
        <v>0</v>
      </c>
      <c r="C2614" s="33">
        <v>8480</v>
      </c>
      <c r="D2614" s="2">
        <v>1231</v>
      </c>
      <c r="E2614" s="2" t="s">
        <v>10517</v>
      </c>
      <c r="F2614" s="3" t="s">
        <v>14206</v>
      </c>
      <c r="H2614" s="3" t="s">
        <v>3323</v>
      </c>
      <c r="K2614" s="2">
        <v>10</v>
      </c>
      <c r="L2614" s="2">
        <v>3</v>
      </c>
      <c r="M2614" s="3" t="s">
        <v>3326</v>
      </c>
      <c r="N2614" s="3" t="s">
        <v>24</v>
      </c>
      <c r="O2614" s="3" t="s">
        <v>25</v>
      </c>
      <c r="Q2614" s="30" t="str">
        <f t="shared" si="40"/>
        <v>MAX : 
TARGET : Yes (Pass)
MIN : No (Fail)</v>
      </c>
    </row>
    <row r="2615" spans="2:17" ht="41.4" x14ac:dyDescent="0.3">
      <c r="B2615">
        <v>0</v>
      </c>
      <c r="C2615" s="33">
        <v>8480</v>
      </c>
      <c r="D2615" s="2">
        <v>1231</v>
      </c>
      <c r="E2615" s="2" t="s">
        <v>10517</v>
      </c>
      <c r="F2615" s="3" t="s">
        <v>14206</v>
      </c>
      <c r="H2615" s="3" t="s">
        <v>3323</v>
      </c>
      <c r="K2615" s="2">
        <v>10</v>
      </c>
      <c r="L2615" s="2">
        <v>4</v>
      </c>
      <c r="M2615" s="3" t="s">
        <v>3327</v>
      </c>
      <c r="N2615" s="3" t="s">
        <v>24</v>
      </c>
      <c r="O2615" s="3" t="s">
        <v>25</v>
      </c>
      <c r="Q2615" s="30" t="str">
        <f t="shared" si="40"/>
        <v>MAX : 
TARGET : Yes (Pass)
MIN : No (Fail)</v>
      </c>
    </row>
    <row r="2616" spans="2:17" ht="41.4" x14ac:dyDescent="0.3">
      <c r="B2616">
        <v>0</v>
      </c>
      <c r="C2616" s="33">
        <v>8480</v>
      </c>
      <c r="D2616" s="2">
        <v>1231</v>
      </c>
      <c r="E2616" s="2" t="s">
        <v>10517</v>
      </c>
      <c r="F2616" s="3" t="s">
        <v>14206</v>
      </c>
      <c r="H2616" s="3" t="s">
        <v>3323</v>
      </c>
      <c r="K2616" s="2">
        <v>10</v>
      </c>
      <c r="L2616" s="2">
        <v>5</v>
      </c>
      <c r="M2616" s="3" t="s">
        <v>3328</v>
      </c>
      <c r="N2616" s="3" t="s">
        <v>24</v>
      </c>
      <c r="O2616" s="3" t="s">
        <v>25</v>
      </c>
      <c r="Q2616" s="30" t="str">
        <f t="shared" si="40"/>
        <v>MAX : 
TARGET : Yes (Pass)
MIN : No (Fail)</v>
      </c>
    </row>
    <row r="2617" spans="2:17" ht="41.4" x14ac:dyDescent="0.3">
      <c r="B2617">
        <v>0</v>
      </c>
      <c r="C2617" s="33">
        <v>8480</v>
      </c>
      <c r="D2617" s="2">
        <v>1231</v>
      </c>
      <c r="E2617" s="2" t="s">
        <v>10517</v>
      </c>
      <c r="F2617" s="3" t="s">
        <v>14206</v>
      </c>
      <c r="H2617" s="3" t="s">
        <v>3323</v>
      </c>
      <c r="K2617" s="2">
        <v>10</v>
      </c>
      <c r="L2617" s="2">
        <v>6</v>
      </c>
      <c r="M2617" s="3" t="s">
        <v>3329</v>
      </c>
      <c r="N2617" s="3" t="s">
        <v>24</v>
      </c>
      <c r="O2617" s="3" t="s">
        <v>25</v>
      </c>
      <c r="Q2617" s="30" t="str">
        <f t="shared" si="40"/>
        <v>MAX : 
TARGET : Yes (Pass)
MIN : No (Fail)</v>
      </c>
    </row>
    <row r="2618" spans="2:17" ht="41.4" x14ac:dyDescent="0.3">
      <c r="B2618">
        <v>1</v>
      </c>
      <c r="C2618" s="33">
        <v>8022</v>
      </c>
      <c r="D2618" s="2">
        <v>1170</v>
      </c>
      <c r="E2618" s="2" t="s">
        <v>9940</v>
      </c>
      <c r="F2618" s="3" t="s">
        <v>14206</v>
      </c>
      <c r="G2618" s="3" t="s">
        <v>1665</v>
      </c>
      <c r="H2618" s="3" t="s">
        <v>2921</v>
      </c>
      <c r="I2618" s="3" t="s">
        <v>575</v>
      </c>
      <c r="K2618" s="2">
        <v>10</v>
      </c>
      <c r="L2618" s="2">
        <v>1</v>
      </c>
      <c r="M2618" s="3" t="s">
        <v>194</v>
      </c>
      <c r="N2618" s="3" t="s">
        <v>2922</v>
      </c>
      <c r="O2618" s="3" t="s">
        <v>833</v>
      </c>
      <c r="P2618" s="3" t="s">
        <v>2923</v>
      </c>
      <c r="Q2618" s="30" t="str">
        <f t="shared" si="40"/>
        <v>MAX : 2.780
TARGET : 2.750
MIN : 2.720</v>
      </c>
    </row>
    <row r="2619" spans="2:17" ht="41.4" x14ac:dyDescent="0.3">
      <c r="B2619">
        <v>1</v>
      </c>
      <c r="C2619" s="33">
        <v>8022</v>
      </c>
      <c r="D2619" s="2">
        <v>1170</v>
      </c>
      <c r="E2619" s="2" t="s">
        <v>9940</v>
      </c>
      <c r="F2619" s="3" t="s">
        <v>14206</v>
      </c>
      <c r="G2619" s="3" t="s">
        <v>1665</v>
      </c>
      <c r="H2619" s="3" t="s">
        <v>2921</v>
      </c>
      <c r="I2619" s="3" t="s">
        <v>575</v>
      </c>
      <c r="K2619" s="2">
        <v>10</v>
      </c>
      <c r="L2619" s="2">
        <v>10</v>
      </c>
      <c r="M2619" s="3" t="s">
        <v>4723</v>
      </c>
      <c r="Q2619" s="30" t="str">
        <f t="shared" si="40"/>
        <v xml:space="preserve">MAX : 
TARGET : 
MIN : </v>
      </c>
    </row>
    <row r="2620" spans="2:17" ht="41.4" x14ac:dyDescent="0.3">
      <c r="B2620">
        <v>0</v>
      </c>
      <c r="C2620" s="33">
        <v>8481</v>
      </c>
      <c r="D2620" s="2">
        <v>1232</v>
      </c>
      <c r="E2620" s="2" t="s">
        <v>10523</v>
      </c>
      <c r="F2620" s="3" t="s">
        <v>14206</v>
      </c>
      <c r="H2620" s="3" t="s">
        <v>3323</v>
      </c>
      <c r="K2620" s="2">
        <v>10</v>
      </c>
      <c r="L2620" s="2">
        <v>3</v>
      </c>
      <c r="M2620" s="3" t="s">
        <v>3326</v>
      </c>
      <c r="N2620" s="3" t="s">
        <v>24</v>
      </c>
      <c r="O2620" s="3" t="s">
        <v>25</v>
      </c>
      <c r="Q2620" s="30" t="str">
        <f t="shared" si="40"/>
        <v>MAX : 
TARGET : Yes (Pass)
MIN : No (Fail)</v>
      </c>
    </row>
    <row r="2621" spans="2:17" ht="41.4" x14ac:dyDescent="0.3">
      <c r="B2621">
        <v>0</v>
      </c>
      <c r="C2621" s="33">
        <v>8481</v>
      </c>
      <c r="D2621" s="2">
        <v>1232</v>
      </c>
      <c r="E2621" s="2" t="s">
        <v>10523</v>
      </c>
      <c r="F2621" s="3" t="s">
        <v>14206</v>
      </c>
      <c r="H2621" s="3" t="s">
        <v>3323</v>
      </c>
      <c r="K2621" s="2">
        <v>10</v>
      </c>
      <c r="L2621" s="2">
        <v>4</v>
      </c>
      <c r="M2621" s="3" t="s">
        <v>3327</v>
      </c>
      <c r="N2621" s="3" t="s">
        <v>24</v>
      </c>
      <c r="O2621" s="3" t="s">
        <v>25</v>
      </c>
      <c r="Q2621" s="30" t="str">
        <f t="shared" si="40"/>
        <v>MAX : 
TARGET : Yes (Pass)
MIN : No (Fail)</v>
      </c>
    </row>
    <row r="2622" spans="2:17" ht="41.4" x14ac:dyDescent="0.3">
      <c r="B2622">
        <v>0</v>
      </c>
      <c r="C2622" s="33">
        <v>8481</v>
      </c>
      <c r="D2622" s="2">
        <v>1232</v>
      </c>
      <c r="E2622" s="2" t="s">
        <v>10523</v>
      </c>
      <c r="F2622" s="3" t="s">
        <v>14206</v>
      </c>
      <c r="H2622" s="3" t="s">
        <v>3323</v>
      </c>
      <c r="K2622" s="2">
        <v>10</v>
      </c>
      <c r="L2622" s="2">
        <v>5</v>
      </c>
      <c r="M2622" s="3" t="s">
        <v>3328</v>
      </c>
      <c r="N2622" s="3" t="s">
        <v>24</v>
      </c>
      <c r="O2622" s="3" t="s">
        <v>25</v>
      </c>
      <c r="Q2622" s="30" t="str">
        <f t="shared" si="40"/>
        <v>MAX : 
TARGET : Yes (Pass)
MIN : No (Fail)</v>
      </c>
    </row>
    <row r="2623" spans="2:17" ht="41.4" x14ac:dyDescent="0.3">
      <c r="B2623">
        <v>0</v>
      </c>
      <c r="C2623" s="33">
        <v>8481</v>
      </c>
      <c r="D2623" s="2">
        <v>1232</v>
      </c>
      <c r="E2623" s="2" t="s">
        <v>10523</v>
      </c>
      <c r="F2623" s="3" t="s">
        <v>14206</v>
      </c>
      <c r="H2623" s="3" t="s">
        <v>3323</v>
      </c>
      <c r="K2623" s="2">
        <v>10</v>
      </c>
      <c r="L2623" s="2">
        <v>6</v>
      </c>
      <c r="M2623" s="3" t="s">
        <v>3329</v>
      </c>
      <c r="N2623" s="3" t="s">
        <v>24</v>
      </c>
      <c r="O2623" s="3" t="s">
        <v>25</v>
      </c>
      <c r="Q2623" s="30" t="str">
        <f t="shared" si="40"/>
        <v>MAX : 
TARGET : Yes (Pass)
MIN : No (Fail)</v>
      </c>
    </row>
    <row r="2624" spans="2:17" ht="41.4" x14ac:dyDescent="0.3">
      <c r="B2624">
        <v>1</v>
      </c>
      <c r="C2624" s="33">
        <v>8022</v>
      </c>
      <c r="D2624" s="2">
        <v>1170</v>
      </c>
      <c r="E2624" s="2" t="s">
        <v>9940</v>
      </c>
      <c r="F2624" s="3" t="s">
        <v>14206</v>
      </c>
      <c r="G2624" s="3" t="s">
        <v>1665</v>
      </c>
      <c r="H2624" s="3" t="s">
        <v>2921</v>
      </c>
      <c r="I2624" s="3" t="s">
        <v>575</v>
      </c>
      <c r="K2624" s="2">
        <v>20</v>
      </c>
      <c r="L2624" s="2">
        <v>0.1</v>
      </c>
      <c r="Q2624" s="30" t="str">
        <f t="shared" si="40"/>
        <v xml:space="preserve">MAX : 
TARGET : 
MIN : </v>
      </c>
    </row>
    <row r="2625" spans="2:18" ht="41.4" x14ac:dyDescent="0.3">
      <c r="B2625">
        <v>1</v>
      </c>
      <c r="C2625" s="33">
        <v>8022</v>
      </c>
      <c r="D2625" s="2">
        <v>1170</v>
      </c>
      <c r="E2625" s="2" t="s">
        <v>9940</v>
      </c>
      <c r="F2625" s="3" t="s">
        <v>14206</v>
      </c>
      <c r="G2625" s="3" t="s">
        <v>1665</v>
      </c>
      <c r="H2625" s="3" t="s">
        <v>2921</v>
      </c>
      <c r="I2625" s="3" t="s">
        <v>575</v>
      </c>
      <c r="K2625" s="2">
        <v>20</v>
      </c>
      <c r="L2625" s="2">
        <v>2</v>
      </c>
      <c r="M2625" s="3" t="s">
        <v>4537</v>
      </c>
      <c r="N2625" s="3" t="s">
        <v>13</v>
      </c>
      <c r="O2625" s="3" t="s">
        <v>14</v>
      </c>
      <c r="Q2625" s="30" t="str">
        <f t="shared" si="40"/>
        <v>MAX : 
TARGET : Yes(Pass)
MIN : No(Fail)</v>
      </c>
    </row>
    <row r="2626" spans="2:18" ht="41.4" x14ac:dyDescent="0.3">
      <c r="B2626">
        <v>0</v>
      </c>
      <c r="C2626" s="33">
        <v>8482</v>
      </c>
      <c r="D2626" s="2">
        <v>1233</v>
      </c>
      <c r="E2626" s="2" t="s">
        <v>10528</v>
      </c>
      <c r="F2626" s="3" t="s">
        <v>14206</v>
      </c>
      <c r="H2626" s="3" t="s">
        <v>3323</v>
      </c>
      <c r="K2626" s="2">
        <v>10</v>
      </c>
      <c r="L2626" s="2">
        <v>3</v>
      </c>
      <c r="M2626" s="3" t="s">
        <v>3326</v>
      </c>
      <c r="N2626" s="3" t="s">
        <v>24</v>
      </c>
      <c r="O2626" s="3" t="s">
        <v>25</v>
      </c>
      <c r="Q2626" s="30" t="str">
        <f t="shared" ref="Q2626:Q2689" si="41">"MAX : " &amp; P2626 &amp; CHAR(10) &amp; "TARGET : " &amp; O2626 &amp; CHAR(10) &amp; "MIN : " &amp; N2626</f>
        <v>MAX : 
TARGET : Yes (Pass)
MIN : No (Fail)</v>
      </c>
    </row>
    <row r="2627" spans="2:18" ht="41.4" x14ac:dyDescent="0.3">
      <c r="B2627">
        <v>0</v>
      </c>
      <c r="C2627" s="33">
        <v>8482</v>
      </c>
      <c r="D2627" s="2">
        <v>1233</v>
      </c>
      <c r="E2627" s="2" t="s">
        <v>10528</v>
      </c>
      <c r="F2627" s="3" t="s">
        <v>14206</v>
      </c>
      <c r="H2627" s="3" t="s">
        <v>3323</v>
      </c>
      <c r="K2627" s="2">
        <v>10</v>
      </c>
      <c r="L2627" s="2">
        <v>4</v>
      </c>
      <c r="M2627" s="3" t="s">
        <v>3327</v>
      </c>
      <c r="N2627" s="3" t="s">
        <v>24</v>
      </c>
      <c r="O2627" s="3" t="s">
        <v>25</v>
      </c>
      <c r="Q2627" s="30" t="str">
        <f t="shared" si="41"/>
        <v>MAX : 
TARGET : Yes (Pass)
MIN : No (Fail)</v>
      </c>
    </row>
    <row r="2628" spans="2:18" ht="41.4" x14ac:dyDescent="0.3">
      <c r="B2628">
        <v>0</v>
      </c>
      <c r="C2628" s="33">
        <v>8482</v>
      </c>
      <c r="D2628" s="2">
        <v>1233</v>
      </c>
      <c r="E2628" s="2" t="s">
        <v>10528</v>
      </c>
      <c r="F2628" s="3" t="s">
        <v>14206</v>
      </c>
      <c r="H2628" s="3" t="s">
        <v>3323</v>
      </c>
      <c r="K2628" s="2">
        <v>10</v>
      </c>
      <c r="L2628" s="2">
        <v>5</v>
      </c>
      <c r="M2628" s="3" t="s">
        <v>3328</v>
      </c>
      <c r="N2628" s="3" t="s">
        <v>24</v>
      </c>
      <c r="O2628" s="3" t="s">
        <v>25</v>
      </c>
      <c r="Q2628" s="30" t="str">
        <f t="shared" si="41"/>
        <v>MAX : 
TARGET : Yes (Pass)
MIN : No (Fail)</v>
      </c>
    </row>
    <row r="2629" spans="2:18" ht="41.4" x14ac:dyDescent="0.3">
      <c r="B2629">
        <v>0</v>
      </c>
      <c r="C2629" s="33">
        <v>8482</v>
      </c>
      <c r="D2629" s="2">
        <v>1233</v>
      </c>
      <c r="E2629" s="2" t="s">
        <v>10528</v>
      </c>
      <c r="F2629" s="3" t="s">
        <v>14206</v>
      </c>
      <c r="H2629" s="3" t="s">
        <v>3323</v>
      </c>
      <c r="K2629" s="2">
        <v>10</v>
      </c>
      <c r="L2629" s="2">
        <v>6</v>
      </c>
      <c r="M2629" s="3" t="s">
        <v>3329</v>
      </c>
      <c r="N2629" s="3" t="s">
        <v>24</v>
      </c>
      <c r="O2629" s="3" t="s">
        <v>25</v>
      </c>
      <c r="Q2629" s="30" t="str">
        <f t="shared" si="41"/>
        <v>MAX : 
TARGET : Yes (Pass)
MIN : No (Fail)</v>
      </c>
    </row>
    <row r="2630" spans="2:18" ht="41.4" x14ac:dyDescent="0.3">
      <c r="B2630">
        <v>1</v>
      </c>
      <c r="C2630" s="33">
        <v>8022</v>
      </c>
      <c r="D2630" s="2">
        <v>1170</v>
      </c>
      <c r="E2630" s="2" t="s">
        <v>9940</v>
      </c>
      <c r="F2630" s="3" t="s">
        <v>14206</v>
      </c>
      <c r="G2630" s="3" t="s">
        <v>1665</v>
      </c>
      <c r="H2630" s="3" t="s">
        <v>2921</v>
      </c>
      <c r="I2630" s="3" t="s">
        <v>575</v>
      </c>
      <c r="K2630" s="2">
        <v>20</v>
      </c>
      <c r="L2630" s="2">
        <v>0.2</v>
      </c>
      <c r="Q2630" s="30" t="str">
        <f t="shared" si="41"/>
        <v xml:space="preserve">MAX : 
TARGET : 
MIN : </v>
      </c>
    </row>
    <row r="2631" spans="2:18" ht="41.4" x14ac:dyDescent="0.3">
      <c r="B2631">
        <v>1</v>
      </c>
      <c r="C2631" s="33">
        <v>8035</v>
      </c>
      <c r="D2631" s="2">
        <v>1171</v>
      </c>
      <c r="E2631" s="2" t="s">
        <v>9948</v>
      </c>
      <c r="F2631" s="3" t="s">
        <v>14207</v>
      </c>
      <c r="H2631" s="3" t="s">
        <v>648</v>
      </c>
      <c r="K2631" s="2">
        <v>20</v>
      </c>
      <c r="L2631" s="2">
        <v>3</v>
      </c>
      <c r="M2631" s="3" t="s">
        <v>3172</v>
      </c>
      <c r="N2631" s="3" t="s">
        <v>3170</v>
      </c>
      <c r="O2631" s="3" t="s">
        <v>1065</v>
      </c>
      <c r="P2631" s="3" t="s">
        <v>3171</v>
      </c>
      <c r="Q2631" s="30" t="str">
        <f t="shared" si="41"/>
        <v>MAX : 5.1
TARGET : 5.0
MIN : 4.9</v>
      </c>
      <c r="R2631" s="3" t="s">
        <v>1638</v>
      </c>
    </row>
    <row r="2632" spans="2:18" ht="41.4" x14ac:dyDescent="0.3">
      <c r="B2632">
        <v>0</v>
      </c>
      <c r="C2632" s="33">
        <v>8483</v>
      </c>
      <c r="D2632" s="2">
        <v>1234</v>
      </c>
      <c r="E2632" s="2" t="s">
        <v>10532</v>
      </c>
      <c r="F2632" s="3" t="s">
        <v>14206</v>
      </c>
      <c r="H2632" s="3" t="s">
        <v>3323</v>
      </c>
      <c r="K2632" s="2">
        <v>10</v>
      </c>
      <c r="L2632" s="2">
        <v>5</v>
      </c>
      <c r="M2632" s="3" t="s">
        <v>3328</v>
      </c>
      <c r="N2632" s="3" t="s">
        <v>24</v>
      </c>
      <c r="O2632" s="3" t="s">
        <v>25</v>
      </c>
      <c r="Q2632" s="30" t="str">
        <f t="shared" si="41"/>
        <v>MAX : 
TARGET : Yes (Pass)
MIN : No (Fail)</v>
      </c>
    </row>
    <row r="2633" spans="2:18" ht="41.4" x14ac:dyDescent="0.3">
      <c r="B2633">
        <v>0</v>
      </c>
      <c r="C2633" s="33">
        <v>8483</v>
      </c>
      <c r="D2633" s="2">
        <v>1234</v>
      </c>
      <c r="E2633" s="2" t="s">
        <v>10532</v>
      </c>
      <c r="F2633" s="3" t="s">
        <v>14206</v>
      </c>
      <c r="H2633" s="3" t="s">
        <v>3323</v>
      </c>
      <c r="K2633" s="2">
        <v>10</v>
      </c>
      <c r="L2633" s="2">
        <v>6</v>
      </c>
      <c r="M2633" s="3" t="s">
        <v>3329</v>
      </c>
      <c r="N2633" s="3" t="s">
        <v>24</v>
      </c>
      <c r="O2633" s="3" t="s">
        <v>25</v>
      </c>
      <c r="Q2633" s="30" t="str">
        <f t="shared" si="41"/>
        <v>MAX : 
TARGET : Yes (Pass)
MIN : No (Fail)</v>
      </c>
    </row>
    <row r="2634" spans="2:18" ht="41.4" x14ac:dyDescent="0.3">
      <c r="B2634">
        <v>1</v>
      </c>
      <c r="C2634" s="33">
        <v>8035</v>
      </c>
      <c r="D2634" s="2">
        <v>1171</v>
      </c>
      <c r="E2634" s="2" t="s">
        <v>9948</v>
      </c>
      <c r="F2634" s="3" t="s">
        <v>14207</v>
      </c>
      <c r="H2634" s="3" t="s">
        <v>648</v>
      </c>
      <c r="K2634" s="2">
        <v>20</v>
      </c>
      <c r="L2634" s="2">
        <v>1</v>
      </c>
      <c r="M2634" s="3" t="s">
        <v>2950</v>
      </c>
      <c r="Q2634" s="30" t="str">
        <f t="shared" si="41"/>
        <v xml:space="preserve">MAX : 
TARGET : 
MIN : </v>
      </c>
      <c r="R2634" s="3" t="s">
        <v>1638</v>
      </c>
    </row>
    <row r="2635" spans="2:18" ht="41.4" x14ac:dyDescent="0.3">
      <c r="B2635">
        <v>1</v>
      </c>
      <c r="C2635" s="33">
        <v>8036</v>
      </c>
      <c r="D2635" s="2">
        <v>1939</v>
      </c>
      <c r="E2635" s="2" t="s">
        <v>9955</v>
      </c>
      <c r="F2635" s="3" t="s">
        <v>14206</v>
      </c>
      <c r="H2635" s="3" t="s">
        <v>2951</v>
      </c>
      <c r="K2635" s="2">
        <v>10</v>
      </c>
      <c r="L2635" s="2">
        <v>2</v>
      </c>
      <c r="M2635" s="3" t="s">
        <v>2953</v>
      </c>
      <c r="N2635" s="3" t="s">
        <v>863</v>
      </c>
      <c r="O2635" s="3" t="s">
        <v>8</v>
      </c>
      <c r="P2635" s="3" t="s">
        <v>865</v>
      </c>
      <c r="Q2635" s="30" t="str">
        <f t="shared" si="41"/>
        <v>MAX : +0.03
TARGET : Target
MIN : -0.03</v>
      </c>
    </row>
    <row r="2636" spans="2:18" ht="41.4" x14ac:dyDescent="0.3">
      <c r="B2636">
        <v>0</v>
      </c>
      <c r="C2636" s="33">
        <v>8484</v>
      </c>
      <c r="D2636" s="2">
        <v>1235</v>
      </c>
      <c r="E2636" s="2" t="s">
        <v>10536</v>
      </c>
      <c r="F2636" s="3" t="s">
        <v>14206</v>
      </c>
      <c r="H2636" s="3" t="s">
        <v>3323</v>
      </c>
      <c r="K2636" s="2">
        <v>10</v>
      </c>
      <c r="L2636" s="2">
        <v>5</v>
      </c>
      <c r="M2636" s="3" t="s">
        <v>3328</v>
      </c>
      <c r="N2636" s="3" t="s">
        <v>24</v>
      </c>
      <c r="O2636" s="3" t="s">
        <v>25</v>
      </c>
      <c r="Q2636" s="30" t="str">
        <f t="shared" si="41"/>
        <v>MAX : 
TARGET : Yes (Pass)
MIN : No (Fail)</v>
      </c>
    </row>
    <row r="2637" spans="2:18" ht="41.4" x14ac:dyDescent="0.3">
      <c r="B2637">
        <v>0</v>
      </c>
      <c r="C2637" s="33">
        <v>8484</v>
      </c>
      <c r="D2637" s="2">
        <v>1235</v>
      </c>
      <c r="E2637" s="2" t="s">
        <v>10536</v>
      </c>
      <c r="F2637" s="3" t="s">
        <v>14206</v>
      </c>
      <c r="H2637" s="3" t="s">
        <v>3323</v>
      </c>
      <c r="K2637" s="2">
        <v>10</v>
      </c>
      <c r="L2637" s="2">
        <v>6</v>
      </c>
      <c r="M2637" s="3" t="s">
        <v>3329</v>
      </c>
      <c r="N2637" s="3" t="s">
        <v>24</v>
      </c>
      <c r="O2637" s="3" t="s">
        <v>25</v>
      </c>
      <c r="Q2637" s="30" t="str">
        <f t="shared" si="41"/>
        <v>MAX : 
TARGET : Yes (Pass)
MIN : No (Fail)</v>
      </c>
    </row>
    <row r="2638" spans="2:18" ht="41.4" x14ac:dyDescent="0.3">
      <c r="B2638">
        <v>1</v>
      </c>
      <c r="C2638" s="33">
        <v>8036</v>
      </c>
      <c r="D2638" s="2">
        <v>1939</v>
      </c>
      <c r="E2638" s="2" t="s">
        <v>9955</v>
      </c>
      <c r="F2638" s="3" t="s">
        <v>14206</v>
      </c>
      <c r="H2638" s="3" t="s">
        <v>2951</v>
      </c>
      <c r="K2638" s="2">
        <v>10</v>
      </c>
      <c r="L2638" s="2">
        <v>1</v>
      </c>
      <c r="M2638" s="3" t="s">
        <v>2952</v>
      </c>
      <c r="N2638" s="3" t="s">
        <v>863</v>
      </c>
      <c r="O2638" s="3" t="s">
        <v>8</v>
      </c>
      <c r="P2638" s="3" t="s">
        <v>865</v>
      </c>
      <c r="Q2638" s="30" t="str">
        <f t="shared" si="41"/>
        <v>MAX : +0.03
TARGET : Target
MIN : -0.03</v>
      </c>
    </row>
    <row r="2639" spans="2:18" ht="41.4" x14ac:dyDescent="0.3">
      <c r="B2639">
        <v>1</v>
      </c>
      <c r="C2639" s="33">
        <v>8037</v>
      </c>
      <c r="D2639" s="2">
        <v>1172</v>
      </c>
      <c r="E2639" s="2" t="s">
        <v>9961</v>
      </c>
      <c r="F2639" s="3" t="s">
        <v>14206</v>
      </c>
      <c r="G2639" s="3" t="s">
        <v>1665</v>
      </c>
      <c r="H2639" s="3" t="s">
        <v>2938</v>
      </c>
      <c r="I2639" s="3" t="s">
        <v>575</v>
      </c>
      <c r="K2639" s="2">
        <v>10</v>
      </c>
      <c r="L2639" s="2">
        <v>2</v>
      </c>
      <c r="M2639" s="3" t="s">
        <v>198</v>
      </c>
      <c r="N2639" s="3" t="s">
        <v>2940</v>
      </c>
      <c r="O2639" s="3" t="s">
        <v>972</v>
      </c>
      <c r="P2639" s="3" t="s">
        <v>2941</v>
      </c>
      <c r="Q2639" s="30" t="str">
        <f t="shared" si="41"/>
        <v>MAX : 3.281
TARGET : 3.250
MIN : 3.219</v>
      </c>
      <c r="R2639" s="3" t="s">
        <v>443</v>
      </c>
    </row>
    <row r="2640" spans="2:18" ht="41.4" x14ac:dyDescent="0.3">
      <c r="B2640">
        <v>0</v>
      </c>
      <c r="C2640" s="33">
        <v>8486</v>
      </c>
      <c r="D2640" s="2">
        <v>1237</v>
      </c>
      <c r="E2640" s="2" t="s">
        <v>10546</v>
      </c>
      <c r="F2640" s="3" t="s">
        <v>14206</v>
      </c>
      <c r="H2640" s="3" t="s">
        <v>3323</v>
      </c>
      <c r="K2640" s="2">
        <v>10</v>
      </c>
      <c r="L2640" s="2">
        <v>6</v>
      </c>
      <c r="M2640" s="3" t="s">
        <v>3327</v>
      </c>
      <c r="N2640" s="3" t="s">
        <v>24</v>
      </c>
      <c r="O2640" s="3" t="s">
        <v>25</v>
      </c>
      <c r="Q2640" s="30" t="str">
        <f t="shared" si="41"/>
        <v>MAX : 
TARGET : Yes (Pass)
MIN : No (Fail)</v>
      </c>
    </row>
    <row r="2641" spans="2:18" ht="41.4" x14ac:dyDescent="0.3">
      <c r="B2641">
        <v>0</v>
      </c>
      <c r="C2641" s="33">
        <v>8486</v>
      </c>
      <c r="D2641" s="2">
        <v>1237</v>
      </c>
      <c r="E2641" s="2" t="s">
        <v>10546</v>
      </c>
      <c r="F2641" s="3" t="s">
        <v>14206</v>
      </c>
      <c r="H2641" s="3" t="s">
        <v>3323</v>
      </c>
      <c r="K2641" s="2">
        <v>10</v>
      </c>
      <c r="L2641" s="2">
        <v>7</v>
      </c>
      <c r="M2641" s="3" t="s">
        <v>3328</v>
      </c>
      <c r="N2641" s="3" t="s">
        <v>24</v>
      </c>
      <c r="O2641" s="3" t="s">
        <v>25</v>
      </c>
      <c r="Q2641" s="30" t="str">
        <f t="shared" si="41"/>
        <v>MAX : 
TARGET : Yes (Pass)
MIN : No (Fail)</v>
      </c>
    </row>
    <row r="2642" spans="2:18" ht="41.4" x14ac:dyDescent="0.3">
      <c r="B2642">
        <v>0</v>
      </c>
      <c r="C2642" s="33">
        <v>8486</v>
      </c>
      <c r="D2642" s="2">
        <v>1237</v>
      </c>
      <c r="E2642" s="2" t="s">
        <v>10546</v>
      </c>
      <c r="F2642" s="3" t="s">
        <v>14206</v>
      </c>
      <c r="H2642" s="3" t="s">
        <v>3323</v>
      </c>
      <c r="K2642" s="2">
        <v>10</v>
      </c>
      <c r="L2642" s="2">
        <v>8</v>
      </c>
      <c r="M2642" s="3" t="s">
        <v>3329</v>
      </c>
      <c r="N2642" s="3" t="s">
        <v>24</v>
      </c>
      <c r="O2642" s="3" t="s">
        <v>25</v>
      </c>
      <c r="Q2642" s="30" t="str">
        <f t="shared" si="41"/>
        <v>MAX : 
TARGET : Yes (Pass)
MIN : No (Fail)</v>
      </c>
    </row>
    <row r="2643" spans="2:18" ht="41.4" x14ac:dyDescent="0.3">
      <c r="B2643">
        <v>1</v>
      </c>
      <c r="C2643" s="33">
        <v>8037</v>
      </c>
      <c r="D2643" s="2">
        <v>1172</v>
      </c>
      <c r="E2643" s="2" t="s">
        <v>9961</v>
      </c>
      <c r="F2643" s="3" t="s">
        <v>14206</v>
      </c>
      <c r="G2643" s="3" t="s">
        <v>1665</v>
      </c>
      <c r="H2643" s="3" t="s">
        <v>2938</v>
      </c>
      <c r="I2643" s="3" t="s">
        <v>575</v>
      </c>
      <c r="K2643" s="2">
        <v>10</v>
      </c>
      <c r="L2643" s="2">
        <v>1</v>
      </c>
      <c r="M2643" s="3" t="s">
        <v>194</v>
      </c>
      <c r="N2643" s="3" t="s">
        <v>1142</v>
      </c>
      <c r="O2643" s="3" t="s">
        <v>365</v>
      </c>
      <c r="P2643" s="3" t="s">
        <v>2939</v>
      </c>
      <c r="Q2643" s="30" t="str">
        <f t="shared" si="41"/>
        <v>MAX : 4.031
TARGET : 4.000
MIN : 3.969</v>
      </c>
      <c r="R2643" s="3" t="s">
        <v>443</v>
      </c>
    </row>
    <row r="2644" spans="2:18" ht="41.4" x14ac:dyDescent="0.3">
      <c r="B2644">
        <v>1</v>
      </c>
      <c r="C2644" s="33">
        <v>8049</v>
      </c>
      <c r="D2644" s="2">
        <v>1940</v>
      </c>
      <c r="E2644" s="2" t="s">
        <v>9969</v>
      </c>
      <c r="F2644" s="3" t="s">
        <v>14206</v>
      </c>
      <c r="H2644" s="3" t="s">
        <v>289</v>
      </c>
      <c r="K2644" s="2">
        <v>10</v>
      </c>
      <c r="L2644" s="2">
        <v>2</v>
      </c>
      <c r="M2644" s="3" t="s">
        <v>325</v>
      </c>
      <c r="N2644" s="3" t="s">
        <v>13</v>
      </c>
      <c r="O2644" s="3" t="s">
        <v>14</v>
      </c>
      <c r="Q2644" s="30" t="str">
        <f t="shared" si="41"/>
        <v>MAX : 
TARGET : Yes(Pass)
MIN : No(Fail)</v>
      </c>
    </row>
    <row r="2645" spans="2:18" ht="41.4" x14ac:dyDescent="0.3">
      <c r="B2645">
        <v>1</v>
      </c>
      <c r="C2645" s="33">
        <v>8049</v>
      </c>
      <c r="D2645" s="2">
        <v>1940</v>
      </c>
      <c r="E2645" s="2" t="s">
        <v>9969</v>
      </c>
      <c r="F2645" s="3" t="s">
        <v>14206</v>
      </c>
      <c r="H2645" s="3" t="s">
        <v>289</v>
      </c>
      <c r="K2645" s="2">
        <v>10</v>
      </c>
      <c r="L2645" s="2">
        <v>1</v>
      </c>
      <c r="M2645" s="3" t="s">
        <v>99</v>
      </c>
      <c r="N2645" s="3" t="s">
        <v>249</v>
      </c>
      <c r="O2645" s="3" t="s">
        <v>250</v>
      </c>
      <c r="P2645" s="3" t="s">
        <v>251</v>
      </c>
      <c r="Q2645" s="30" t="str">
        <f t="shared" si="41"/>
        <v>MAX : 6.03
TARGET : 6.00
MIN : 5.97</v>
      </c>
    </row>
    <row r="2646" spans="2:18" ht="41.4" x14ac:dyDescent="0.3">
      <c r="B2646">
        <v>1</v>
      </c>
      <c r="C2646" s="33">
        <v>8075</v>
      </c>
      <c r="D2646" s="2">
        <v>1173</v>
      </c>
      <c r="E2646" s="2" t="s">
        <v>9976</v>
      </c>
      <c r="F2646" s="3" t="s">
        <v>14206</v>
      </c>
      <c r="H2646" s="3" t="s">
        <v>2965</v>
      </c>
      <c r="K2646" s="2">
        <v>20</v>
      </c>
      <c r="L2646" s="2">
        <v>1</v>
      </c>
      <c r="M2646" s="3" t="s">
        <v>198</v>
      </c>
      <c r="N2646" s="3" t="s">
        <v>2530</v>
      </c>
      <c r="O2646" s="3" t="s">
        <v>1627</v>
      </c>
      <c r="P2646" s="3" t="s">
        <v>2967</v>
      </c>
      <c r="Q2646" s="30" t="str">
        <f t="shared" si="41"/>
        <v>MAX : 2.98
TARGET : 2.95
MIN : 2.92</v>
      </c>
    </row>
    <row r="2647" spans="2:18" ht="41.4" x14ac:dyDescent="0.3">
      <c r="B2647">
        <v>1</v>
      </c>
      <c r="C2647" s="33">
        <v>8075</v>
      </c>
      <c r="D2647" s="2">
        <v>1173</v>
      </c>
      <c r="E2647" s="2" t="s">
        <v>9976</v>
      </c>
      <c r="F2647" s="3" t="s">
        <v>14206</v>
      </c>
      <c r="H2647" s="3" t="s">
        <v>2965</v>
      </c>
      <c r="K2647" s="2">
        <v>10</v>
      </c>
      <c r="L2647" s="2">
        <v>1</v>
      </c>
      <c r="M2647" s="3" t="s">
        <v>2966</v>
      </c>
      <c r="N2647" s="3" t="s">
        <v>13</v>
      </c>
      <c r="O2647" s="3" t="s">
        <v>14</v>
      </c>
      <c r="Q2647" s="30" t="str">
        <f t="shared" si="41"/>
        <v>MAX : 
TARGET : Yes(Pass)
MIN : No(Fail)</v>
      </c>
    </row>
    <row r="2648" spans="2:18" ht="41.4" x14ac:dyDescent="0.3">
      <c r="B2648">
        <v>1</v>
      </c>
      <c r="C2648" s="33">
        <v>8090</v>
      </c>
      <c r="D2648" s="2">
        <v>1174</v>
      </c>
      <c r="E2648" s="2" t="s">
        <v>9982</v>
      </c>
      <c r="F2648" s="3" t="s">
        <v>14206</v>
      </c>
      <c r="H2648" s="3" t="s">
        <v>648</v>
      </c>
      <c r="K2648" s="2">
        <v>20</v>
      </c>
      <c r="L2648" s="2">
        <v>4</v>
      </c>
      <c r="M2648" s="3" t="s">
        <v>198</v>
      </c>
      <c r="N2648" s="3" t="s">
        <v>1937</v>
      </c>
      <c r="O2648" s="3" t="s">
        <v>91</v>
      </c>
      <c r="P2648" s="3" t="s">
        <v>2997</v>
      </c>
      <c r="Q2648" s="30" t="str">
        <f t="shared" si="41"/>
        <v>MAX : 0.210
TARGET : 0.200
MIN : 0.190</v>
      </c>
    </row>
    <row r="2649" spans="2:18" ht="41.4" x14ac:dyDescent="0.3">
      <c r="B2649">
        <v>1</v>
      </c>
      <c r="C2649" s="33">
        <v>8090</v>
      </c>
      <c r="D2649" s="2">
        <v>1174</v>
      </c>
      <c r="E2649" s="2" t="s">
        <v>9982</v>
      </c>
      <c r="F2649" s="3" t="s">
        <v>14206</v>
      </c>
      <c r="H2649" s="3" t="s">
        <v>648</v>
      </c>
      <c r="K2649" s="2">
        <v>20</v>
      </c>
      <c r="L2649" s="2">
        <v>1</v>
      </c>
      <c r="M2649" s="3" t="s">
        <v>194</v>
      </c>
      <c r="N2649" s="3" t="s">
        <v>2995</v>
      </c>
      <c r="O2649" s="3" t="s">
        <v>2996</v>
      </c>
      <c r="P2649" s="3" t="s">
        <v>2234</v>
      </c>
      <c r="Q2649" s="30" t="str">
        <f t="shared" si="41"/>
        <v>MAX : 2.12
TARGET : 2.11
MIN : 2.10</v>
      </c>
    </row>
    <row r="2650" spans="2:18" ht="41.4" x14ac:dyDescent="0.3">
      <c r="B2650">
        <v>0</v>
      </c>
      <c r="C2650" s="33">
        <v>7897</v>
      </c>
      <c r="D2650" s="2">
        <v>1161</v>
      </c>
      <c r="E2650" s="2" t="s">
        <v>9808</v>
      </c>
      <c r="F2650" s="3" t="s">
        <v>14207</v>
      </c>
      <c r="H2650" s="3" t="s">
        <v>600</v>
      </c>
      <c r="K2650" s="2">
        <v>10</v>
      </c>
      <c r="L2650" s="2">
        <v>1</v>
      </c>
      <c r="M2650" s="3" t="s">
        <v>3794</v>
      </c>
      <c r="N2650" s="3" t="s">
        <v>13</v>
      </c>
      <c r="O2650" s="3" t="s">
        <v>14</v>
      </c>
      <c r="Q2650" s="30" t="str">
        <f t="shared" si="41"/>
        <v>MAX : 
TARGET : Yes(Pass)
MIN : No(Fail)</v>
      </c>
    </row>
    <row r="2651" spans="2:18" ht="41.4" x14ac:dyDescent="0.3">
      <c r="B2651">
        <v>1</v>
      </c>
      <c r="C2651" s="33">
        <v>8090</v>
      </c>
      <c r="D2651" s="2">
        <v>1174</v>
      </c>
      <c r="E2651" s="2" t="s">
        <v>9982</v>
      </c>
      <c r="F2651" s="3" t="s">
        <v>14206</v>
      </c>
      <c r="H2651" s="3" t="s">
        <v>648</v>
      </c>
      <c r="K2651" s="2">
        <v>20</v>
      </c>
      <c r="L2651" s="2">
        <v>9</v>
      </c>
      <c r="M2651" s="3" t="s">
        <v>2418</v>
      </c>
      <c r="N2651" s="3" t="s">
        <v>24</v>
      </c>
      <c r="O2651" s="3" t="s">
        <v>25</v>
      </c>
      <c r="Q2651" s="30" t="str">
        <f t="shared" si="41"/>
        <v>MAX : 
TARGET : Yes (Pass)
MIN : No (Fail)</v>
      </c>
    </row>
    <row r="2652" spans="2:18" ht="41.4" x14ac:dyDescent="0.3">
      <c r="B2652">
        <v>1</v>
      </c>
      <c r="C2652" s="33">
        <v>8090</v>
      </c>
      <c r="D2652" s="2">
        <v>1174</v>
      </c>
      <c r="E2652" s="2" t="s">
        <v>9982</v>
      </c>
      <c r="F2652" s="3" t="s">
        <v>14206</v>
      </c>
      <c r="H2652" s="3" t="s">
        <v>648</v>
      </c>
      <c r="K2652" s="2">
        <v>20</v>
      </c>
      <c r="L2652" s="2">
        <v>7</v>
      </c>
      <c r="M2652" s="3" t="s">
        <v>4297</v>
      </c>
      <c r="N2652" s="3" t="s">
        <v>24</v>
      </c>
      <c r="O2652" s="3" t="s">
        <v>25</v>
      </c>
      <c r="Q2652" s="30" t="str">
        <f t="shared" si="41"/>
        <v>MAX : 
TARGET : Yes (Pass)
MIN : No (Fail)</v>
      </c>
    </row>
    <row r="2653" spans="2:18" ht="41.4" x14ac:dyDescent="0.3">
      <c r="B2653">
        <v>1</v>
      </c>
      <c r="C2653" s="33">
        <v>8090</v>
      </c>
      <c r="D2653" s="2">
        <v>1174</v>
      </c>
      <c r="E2653" s="2" t="s">
        <v>9982</v>
      </c>
      <c r="F2653" s="3" t="s">
        <v>14206</v>
      </c>
      <c r="H2653" s="3" t="s">
        <v>648</v>
      </c>
      <c r="K2653" s="2">
        <v>20</v>
      </c>
      <c r="L2653" s="2">
        <v>2</v>
      </c>
      <c r="M2653" s="3" t="s">
        <v>3314</v>
      </c>
      <c r="N2653" s="3" t="s">
        <v>3607</v>
      </c>
      <c r="O2653" s="3" t="s">
        <v>406</v>
      </c>
      <c r="P2653" s="3" t="s">
        <v>749</v>
      </c>
      <c r="Q2653" s="30" t="str">
        <f t="shared" si="41"/>
        <v>MAX : 2.01
TARGET : 2.00
MIN : 1.99</v>
      </c>
    </row>
    <row r="2654" spans="2:18" ht="41.4" x14ac:dyDescent="0.3">
      <c r="B2654">
        <v>0</v>
      </c>
      <c r="C2654" s="33">
        <v>7903</v>
      </c>
      <c r="D2654" s="2">
        <v>1163</v>
      </c>
      <c r="E2654" s="2" t="s">
        <v>9828</v>
      </c>
      <c r="F2654" s="29" t="s">
        <v>14227</v>
      </c>
      <c r="G2654" s="3" t="s">
        <v>2843</v>
      </c>
      <c r="H2654" s="3" t="s">
        <v>2844</v>
      </c>
      <c r="K2654" s="2">
        <v>30</v>
      </c>
      <c r="L2654" s="2">
        <v>13</v>
      </c>
      <c r="M2654" s="3" t="s">
        <v>2959</v>
      </c>
      <c r="N2654" s="3" t="s">
        <v>2975</v>
      </c>
      <c r="O2654" s="3" t="s">
        <v>392</v>
      </c>
      <c r="P2654" s="3" t="s">
        <v>2976</v>
      </c>
      <c r="Q2654" s="30" t="str">
        <f t="shared" si="41"/>
        <v>MAX : 1.916
TARGET : 1.906
MIN : 1.896</v>
      </c>
    </row>
    <row r="2655" spans="2:18" ht="41.4" x14ac:dyDescent="0.3">
      <c r="B2655">
        <v>1</v>
      </c>
      <c r="C2655" s="33">
        <v>8093</v>
      </c>
      <c r="D2655" s="2">
        <v>1175</v>
      </c>
      <c r="E2655" s="2" t="s">
        <v>9988</v>
      </c>
      <c r="F2655" s="29" t="s">
        <v>14230</v>
      </c>
      <c r="H2655" s="3" t="s">
        <v>426</v>
      </c>
      <c r="K2655" s="2">
        <v>30</v>
      </c>
      <c r="L2655" s="2">
        <v>2</v>
      </c>
      <c r="M2655" s="3" t="s">
        <v>198</v>
      </c>
      <c r="N2655" s="3" t="s">
        <v>3012</v>
      </c>
      <c r="O2655" s="3" t="s">
        <v>3013</v>
      </c>
      <c r="P2655" s="3" t="s">
        <v>3014</v>
      </c>
      <c r="Q2655" s="30" t="str">
        <f t="shared" si="41"/>
        <v>MAX : 171
TARGET : 168
MIN : 165</v>
      </c>
    </row>
    <row r="2656" spans="2:18" ht="41.4" x14ac:dyDescent="0.3">
      <c r="B2656">
        <v>0</v>
      </c>
      <c r="C2656" s="33">
        <v>8498</v>
      </c>
      <c r="D2656" s="2">
        <v>1238</v>
      </c>
      <c r="E2656" s="2" t="s">
        <v>10551</v>
      </c>
      <c r="F2656" s="3" t="s">
        <v>14206</v>
      </c>
      <c r="H2656" s="3" t="s">
        <v>108</v>
      </c>
      <c r="K2656" s="2">
        <v>10</v>
      </c>
      <c r="L2656" s="2">
        <v>5</v>
      </c>
      <c r="M2656" s="3" t="s">
        <v>3339</v>
      </c>
      <c r="N2656" s="3" t="s">
        <v>13</v>
      </c>
      <c r="O2656" s="3" t="s">
        <v>14</v>
      </c>
      <c r="Q2656" s="30" t="str">
        <f t="shared" si="41"/>
        <v>MAX : 
TARGET : Yes(Pass)
MIN : No(Fail)</v>
      </c>
    </row>
    <row r="2657" spans="2:18" ht="41.4" x14ac:dyDescent="0.3">
      <c r="B2657">
        <v>0</v>
      </c>
      <c r="C2657" s="33">
        <v>8498</v>
      </c>
      <c r="D2657" s="2">
        <v>1238</v>
      </c>
      <c r="E2657" s="2" t="s">
        <v>10551</v>
      </c>
      <c r="F2657" s="3" t="s">
        <v>14206</v>
      </c>
      <c r="H2657" s="3" t="s">
        <v>108</v>
      </c>
      <c r="K2657" s="2">
        <v>10</v>
      </c>
      <c r="L2657" s="2">
        <v>6</v>
      </c>
      <c r="M2657" s="3" t="s">
        <v>1309</v>
      </c>
      <c r="N2657" s="3" t="s">
        <v>13</v>
      </c>
      <c r="O2657" s="3" t="s">
        <v>14</v>
      </c>
      <c r="Q2657" s="30" t="str">
        <f t="shared" si="41"/>
        <v>MAX : 
TARGET : Yes(Pass)
MIN : No(Fail)</v>
      </c>
    </row>
    <row r="2658" spans="2:18" ht="41.4" x14ac:dyDescent="0.3">
      <c r="B2658">
        <v>1</v>
      </c>
      <c r="C2658" s="33">
        <v>8093</v>
      </c>
      <c r="D2658" s="2">
        <v>1175</v>
      </c>
      <c r="E2658" s="2" t="s">
        <v>9988</v>
      </c>
      <c r="F2658" s="29" t="s">
        <v>14230</v>
      </c>
      <c r="H2658" s="3" t="s">
        <v>426</v>
      </c>
      <c r="K2658" s="2">
        <v>30</v>
      </c>
      <c r="L2658" s="2">
        <v>1</v>
      </c>
      <c r="M2658" s="3" t="s">
        <v>194</v>
      </c>
      <c r="N2658" s="3" t="s">
        <v>3009</v>
      </c>
      <c r="O2658" s="3" t="s">
        <v>3010</v>
      </c>
      <c r="P2658" s="3" t="s">
        <v>3011</v>
      </c>
      <c r="Q2658" s="30" t="str">
        <f t="shared" si="41"/>
        <v>MAX : 363
TARGET : 360
MIN : 357</v>
      </c>
    </row>
    <row r="2659" spans="2:18" ht="41.4" x14ac:dyDescent="0.3">
      <c r="B2659">
        <v>1</v>
      </c>
      <c r="C2659" s="33">
        <v>8094</v>
      </c>
      <c r="D2659" s="2">
        <v>1176</v>
      </c>
      <c r="E2659" s="2" t="s">
        <v>9996</v>
      </c>
      <c r="F2659" s="3" t="s">
        <v>14206</v>
      </c>
      <c r="H2659" s="3" t="s">
        <v>1130</v>
      </c>
      <c r="K2659" s="2">
        <v>20</v>
      </c>
      <c r="L2659" s="2">
        <v>2</v>
      </c>
      <c r="M2659" s="3" t="s">
        <v>18</v>
      </c>
      <c r="N2659" s="3" t="s">
        <v>488</v>
      </c>
      <c r="O2659" s="3" t="s">
        <v>76</v>
      </c>
      <c r="P2659" s="3" t="s">
        <v>489</v>
      </c>
      <c r="Q2659" s="30" t="str">
        <f t="shared" si="41"/>
        <v>MAX : 2.56
TARGET : 2.50
MIN : 2.44</v>
      </c>
      <c r="R2659" s="3" t="s">
        <v>443</v>
      </c>
    </row>
    <row r="2660" spans="2:18" ht="41.4" x14ac:dyDescent="0.3">
      <c r="B2660">
        <v>0</v>
      </c>
      <c r="C2660" s="33">
        <v>8508</v>
      </c>
      <c r="D2660" s="2">
        <v>1968</v>
      </c>
      <c r="E2660" s="2" t="s">
        <v>10559</v>
      </c>
      <c r="F2660" s="3" t="s">
        <v>14206</v>
      </c>
      <c r="H2660" s="3" t="s">
        <v>491</v>
      </c>
      <c r="K2660" s="2">
        <v>10</v>
      </c>
      <c r="L2660" s="2">
        <v>3</v>
      </c>
      <c r="M2660" s="3" t="s">
        <v>3341</v>
      </c>
      <c r="N2660" s="3" t="s">
        <v>13</v>
      </c>
      <c r="O2660" s="3" t="s">
        <v>14</v>
      </c>
      <c r="Q2660" s="30" t="str">
        <f t="shared" si="41"/>
        <v>MAX : 
TARGET : Yes(Pass)
MIN : No(Fail)</v>
      </c>
    </row>
    <row r="2661" spans="2:18" ht="41.4" x14ac:dyDescent="0.3">
      <c r="B2661">
        <v>1</v>
      </c>
      <c r="C2661" s="33">
        <v>8094</v>
      </c>
      <c r="D2661" s="2">
        <v>1176</v>
      </c>
      <c r="E2661" s="2" t="s">
        <v>9996</v>
      </c>
      <c r="F2661" s="3" t="s">
        <v>14206</v>
      </c>
      <c r="H2661" s="3" t="s">
        <v>1130</v>
      </c>
      <c r="K2661" s="2">
        <v>20</v>
      </c>
      <c r="L2661" s="2">
        <v>1</v>
      </c>
      <c r="M2661" s="3" t="s">
        <v>22</v>
      </c>
      <c r="N2661" s="3" t="s">
        <v>485</v>
      </c>
      <c r="O2661" s="3" t="s">
        <v>272</v>
      </c>
      <c r="P2661" s="3" t="s">
        <v>507</v>
      </c>
      <c r="Q2661" s="30" t="str">
        <f t="shared" si="41"/>
        <v>MAX : 1.06
TARGET : 1.00
MIN : 0.94</v>
      </c>
      <c r="R2661" s="3" t="s">
        <v>443</v>
      </c>
    </row>
    <row r="2662" spans="2:18" ht="41.4" x14ac:dyDescent="0.3">
      <c r="B2662">
        <v>0</v>
      </c>
      <c r="C2662" s="33">
        <v>7903</v>
      </c>
      <c r="D2662" s="2">
        <v>1163</v>
      </c>
      <c r="E2662" s="2" t="s">
        <v>9828</v>
      </c>
      <c r="F2662" s="29" t="s">
        <v>14227</v>
      </c>
      <c r="G2662" s="3" t="s">
        <v>2843</v>
      </c>
      <c r="H2662" s="3" t="s">
        <v>2844</v>
      </c>
      <c r="K2662" s="2">
        <v>40</v>
      </c>
      <c r="L2662" s="2">
        <v>6</v>
      </c>
      <c r="M2662" s="3" t="s">
        <v>3023</v>
      </c>
      <c r="N2662" s="3" t="s">
        <v>1619</v>
      </c>
      <c r="O2662" s="3" t="s">
        <v>1620</v>
      </c>
      <c r="Q2662" s="30" t="str">
        <f t="shared" si="41"/>
        <v>MAX : 
TARGET : Yes (pass)
MIN : No (fail)</v>
      </c>
    </row>
    <row r="2663" spans="2:18" ht="41.4" x14ac:dyDescent="0.3">
      <c r="B2663">
        <v>1</v>
      </c>
      <c r="C2663" s="33">
        <v>8128</v>
      </c>
      <c r="D2663" s="2">
        <v>1177</v>
      </c>
      <c r="E2663" s="2" t="s">
        <v>10002</v>
      </c>
      <c r="F2663" s="3" t="s">
        <v>14229</v>
      </c>
      <c r="H2663" s="3" t="s">
        <v>2980</v>
      </c>
      <c r="K2663" s="2">
        <v>10</v>
      </c>
      <c r="L2663" s="2">
        <v>2</v>
      </c>
      <c r="M2663" s="3" t="s">
        <v>570</v>
      </c>
      <c r="N2663" s="3" t="s">
        <v>2984</v>
      </c>
      <c r="O2663" s="3" t="s">
        <v>2985</v>
      </c>
      <c r="P2663" s="3" t="s">
        <v>2985</v>
      </c>
      <c r="Q2663" s="30" t="str">
        <f t="shared" si="41"/>
        <v>MAX : 28.00
TARGET : 28.00
MIN : 27.00</v>
      </c>
    </row>
    <row r="2664" spans="2:18" ht="41.4" x14ac:dyDescent="0.3">
      <c r="B2664">
        <v>1</v>
      </c>
      <c r="C2664" s="33">
        <v>8128</v>
      </c>
      <c r="D2664" s="2">
        <v>1177</v>
      </c>
      <c r="E2664" s="2" t="s">
        <v>10002</v>
      </c>
      <c r="F2664" s="3" t="s">
        <v>14229</v>
      </c>
      <c r="H2664" s="3" t="s">
        <v>2980</v>
      </c>
      <c r="K2664" s="2">
        <v>10</v>
      </c>
      <c r="L2664" s="2">
        <v>1</v>
      </c>
      <c r="M2664" s="3" t="s">
        <v>194</v>
      </c>
      <c r="N2664" s="3" t="s">
        <v>2981</v>
      </c>
      <c r="O2664" s="3" t="s">
        <v>1565</v>
      </c>
      <c r="P2664" s="3" t="s">
        <v>1565</v>
      </c>
      <c r="Q2664" s="30" t="str">
        <f t="shared" si="41"/>
        <v>MAX : 12.13
TARGET : 12.13
MIN : 11.13</v>
      </c>
    </row>
    <row r="2665" spans="2:18" ht="41.4" x14ac:dyDescent="0.3">
      <c r="B2665">
        <v>1</v>
      </c>
      <c r="C2665" s="33">
        <v>8129</v>
      </c>
      <c r="D2665" s="2">
        <v>1178</v>
      </c>
      <c r="E2665" s="2" t="s">
        <v>10009</v>
      </c>
      <c r="F2665" s="3" t="s">
        <v>14229</v>
      </c>
      <c r="H2665" s="3" t="s">
        <v>2980</v>
      </c>
      <c r="K2665" s="2">
        <v>10</v>
      </c>
      <c r="L2665" s="2">
        <v>2</v>
      </c>
      <c r="M2665" s="3" t="s">
        <v>570</v>
      </c>
      <c r="N2665" s="3" t="s">
        <v>2986</v>
      </c>
      <c r="O2665" s="3" t="s">
        <v>61</v>
      </c>
      <c r="P2665" s="3" t="s">
        <v>61</v>
      </c>
      <c r="Q2665" s="30" t="str">
        <f t="shared" si="41"/>
        <v>MAX : 20.00
TARGET : 20.00
MIN : 19.00</v>
      </c>
    </row>
    <row r="2666" spans="2:18" ht="41.4" x14ac:dyDescent="0.3">
      <c r="B2666">
        <v>0</v>
      </c>
      <c r="C2666" s="33">
        <v>7500</v>
      </c>
      <c r="D2666" s="2">
        <v>1116</v>
      </c>
      <c r="E2666" s="2" t="s">
        <v>9274</v>
      </c>
      <c r="F2666" s="3" t="s">
        <v>14206</v>
      </c>
      <c r="H2666" s="3" t="s">
        <v>568</v>
      </c>
      <c r="K2666" s="2">
        <v>10</v>
      </c>
      <c r="L2666" s="2">
        <v>6</v>
      </c>
      <c r="M2666" s="3" t="s">
        <v>3351</v>
      </c>
      <c r="N2666" s="3" t="s">
        <v>13</v>
      </c>
      <c r="O2666" s="3" t="s">
        <v>14</v>
      </c>
      <c r="Q2666" s="30" t="str">
        <f t="shared" si="41"/>
        <v>MAX : 
TARGET : Yes(Pass)
MIN : No(Fail)</v>
      </c>
      <c r="R2666" s="3" t="s">
        <v>1638</v>
      </c>
    </row>
    <row r="2667" spans="2:18" ht="41.4" x14ac:dyDescent="0.3">
      <c r="B2667">
        <v>1</v>
      </c>
      <c r="C2667" s="33">
        <v>8129</v>
      </c>
      <c r="D2667" s="2">
        <v>1178</v>
      </c>
      <c r="E2667" s="2" t="s">
        <v>10009</v>
      </c>
      <c r="F2667" s="3" t="s">
        <v>14229</v>
      </c>
      <c r="H2667" s="3" t="s">
        <v>2980</v>
      </c>
      <c r="K2667" s="2">
        <v>10</v>
      </c>
      <c r="L2667" s="2">
        <v>1</v>
      </c>
      <c r="M2667" s="3" t="s">
        <v>194</v>
      </c>
      <c r="N2667" s="3" t="s">
        <v>2981</v>
      </c>
      <c r="O2667" s="3" t="s">
        <v>1565</v>
      </c>
      <c r="P2667" s="3" t="s">
        <v>1565</v>
      </c>
      <c r="Q2667" s="30" t="str">
        <f t="shared" si="41"/>
        <v>MAX : 12.13
TARGET : 12.13
MIN : 11.13</v>
      </c>
    </row>
    <row r="2668" spans="2:18" ht="41.4" x14ac:dyDescent="0.3">
      <c r="B2668">
        <v>1</v>
      </c>
      <c r="C2668" s="33">
        <v>8130</v>
      </c>
      <c r="D2668" s="2">
        <v>1179</v>
      </c>
      <c r="E2668" s="2" t="s">
        <v>10015</v>
      </c>
      <c r="F2668" s="3" t="s">
        <v>14229</v>
      </c>
      <c r="H2668" s="3" t="s">
        <v>2980</v>
      </c>
      <c r="K2668" s="2">
        <v>20</v>
      </c>
      <c r="L2668" s="2">
        <v>2</v>
      </c>
      <c r="M2668" s="3" t="s">
        <v>570</v>
      </c>
      <c r="N2668" s="3" t="s">
        <v>2982</v>
      </c>
      <c r="O2668" s="3" t="s">
        <v>2983</v>
      </c>
      <c r="P2668" s="3" t="s">
        <v>2983</v>
      </c>
      <c r="Q2668" s="30" t="str">
        <f t="shared" si="41"/>
        <v>MAX : 48.00
TARGET : 48.00
MIN : 47.00</v>
      </c>
    </row>
    <row r="2669" spans="2:18" ht="41.4" x14ac:dyDescent="0.3">
      <c r="B2669">
        <v>0</v>
      </c>
      <c r="C2669" s="33">
        <v>7501</v>
      </c>
      <c r="D2669" s="2">
        <v>1117</v>
      </c>
      <c r="E2669" s="2" t="s">
        <v>9282</v>
      </c>
      <c r="F2669" s="3" t="s">
        <v>14206</v>
      </c>
      <c r="H2669" s="3" t="s">
        <v>491</v>
      </c>
      <c r="K2669" s="2">
        <v>10</v>
      </c>
      <c r="L2669" s="2">
        <v>6</v>
      </c>
      <c r="M2669" s="3" t="s">
        <v>3351</v>
      </c>
      <c r="N2669" s="3" t="s">
        <v>13</v>
      </c>
      <c r="O2669" s="3" t="s">
        <v>14</v>
      </c>
      <c r="Q2669" s="30" t="str">
        <f t="shared" si="41"/>
        <v>MAX : 
TARGET : Yes(Pass)
MIN : No(Fail)</v>
      </c>
      <c r="R2669" s="3" t="s">
        <v>1638</v>
      </c>
    </row>
    <row r="2670" spans="2:18" ht="41.4" x14ac:dyDescent="0.3">
      <c r="B2670">
        <v>1</v>
      </c>
      <c r="C2670" s="33">
        <v>8130</v>
      </c>
      <c r="D2670" s="2">
        <v>1179</v>
      </c>
      <c r="E2670" s="2" t="s">
        <v>10015</v>
      </c>
      <c r="F2670" s="3" t="s">
        <v>14229</v>
      </c>
      <c r="H2670" s="3" t="s">
        <v>2980</v>
      </c>
      <c r="K2670" s="2">
        <v>20</v>
      </c>
      <c r="L2670" s="2">
        <v>1</v>
      </c>
      <c r="M2670" s="3" t="s">
        <v>194</v>
      </c>
      <c r="N2670" s="3" t="s">
        <v>2981</v>
      </c>
      <c r="O2670" s="3" t="s">
        <v>1565</v>
      </c>
      <c r="P2670" s="3" t="s">
        <v>1565</v>
      </c>
      <c r="Q2670" s="30" t="str">
        <f t="shared" si="41"/>
        <v>MAX : 12.13
TARGET : 12.13
MIN : 11.13</v>
      </c>
    </row>
    <row r="2671" spans="2:18" ht="41.4" x14ac:dyDescent="0.3">
      <c r="B2671">
        <v>1</v>
      </c>
      <c r="C2671" s="33">
        <v>8130</v>
      </c>
      <c r="D2671" s="2">
        <v>1179</v>
      </c>
      <c r="E2671" s="2" t="s">
        <v>10015</v>
      </c>
      <c r="F2671" s="3" t="s">
        <v>14229</v>
      </c>
      <c r="H2671" s="3" t="s">
        <v>2980</v>
      </c>
      <c r="K2671" s="2">
        <v>20</v>
      </c>
      <c r="L2671" s="2">
        <v>3</v>
      </c>
      <c r="M2671" s="3" t="s">
        <v>422</v>
      </c>
      <c r="N2671" s="3" t="s">
        <v>3775</v>
      </c>
      <c r="O2671" s="3" t="s">
        <v>3775</v>
      </c>
      <c r="P2671" s="3" t="s">
        <v>3776</v>
      </c>
      <c r="Q2671" s="30" t="str">
        <f t="shared" si="41"/>
        <v>MAX : 23.00
TARGET : 22.00
MIN : 22.00</v>
      </c>
    </row>
    <row r="2672" spans="2:18" ht="41.4" x14ac:dyDescent="0.3">
      <c r="B2672">
        <v>0</v>
      </c>
      <c r="C2672" s="33">
        <v>6978</v>
      </c>
      <c r="D2672" s="2">
        <v>1071</v>
      </c>
      <c r="E2672" s="2" t="s">
        <v>8689</v>
      </c>
      <c r="F2672" s="3" t="s">
        <v>14206</v>
      </c>
      <c r="H2672" s="3" t="s">
        <v>846</v>
      </c>
      <c r="K2672" s="2">
        <v>10</v>
      </c>
      <c r="L2672" s="2">
        <v>6</v>
      </c>
      <c r="M2672" s="3" t="s">
        <v>3351</v>
      </c>
      <c r="N2672" s="3" t="s">
        <v>13</v>
      </c>
      <c r="O2672" s="3" t="s">
        <v>14</v>
      </c>
      <c r="Q2672" s="30" t="str">
        <f t="shared" si="41"/>
        <v>MAX : 
TARGET : Yes(Pass)
MIN : No(Fail)</v>
      </c>
    </row>
    <row r="2673" spans="2:17" ht="41.4" x14ac:dyDescent="0.3">
      <c r="B2673">
        <v>1</v>
      </c>
      <c r="C2673" s="33">
        <v>8133</v>
      </c>
      <c r="D2673" s="2">
        <v>1180</v>
      </c>
      <c r="E2673" s="2" t="s">
        <v>10022</v>
      </c>
      <c r="F2673" s="3" t="s">
        <v>14206</v>
      </c>
      <c r="H2673" s="3" t="s">
        <v>2655</v>
      </c>
      <c r="K2673" s="2">
        <v>10</v>
      </c>
      <c r="L2673" s="2">
        <v>2</v>
      </c>
      <c r="M2673" s="3" t="s">
        <v>198</v>
      </c>
      <c r="N2673" s="3" t="s">
        <v>405</v>
      </c>
      <c r="O2673" s="3" t="s">
        <v>406</v>
      </c>
      <c r="P2673" s="3" t="s">
        <v>407</v>
      </c>
      <c r="Q2673" s="30" t="str">
        <f t="shared" si="41"/>
        <v>MAX : 2.06
TARGET : 2.00
MIN : 1.94</v>
      </c>
    </row>
    <row r="2674" spans="2:17" ht="41.4" x14ac:dyDescent="0.3">
      <c r="B2674">
        <v>1</v>
      </c>
      <c r="C2674" s="33">
        <v>8133</v>
      </c>
      <c r="D2674" s="2">
        <v>1180</v>
      </c>
      <c r="E2674" s="2" t="s">
        <v>10022</v>
      </c>
      <c r="F2674" s="3" t="s">
        <v>14206</v>
      </c>
      <c r="H2674" s="3" t="s">
        <v>2655</v>
      </c>
      <c r="K2674" s="2">
        <v>10</v>
      </c>
      <c r="L2674" s="2">
        <v>1</v>
      </c>
      <c r="M2674" s="3" t="s">
        <v>194</v>
      </c>
      <c r="N2674" s="3" t="s">
        <v>405</v>
      </c>
      <c r="O2674" s="3" t="s">
        <v>406</v>
      </c>
      <c r="P2674" s="3" t="s">
        <v>407</v>
      </c>
      <c r="Q2674" s="30" t="str">
        <f t="shared" si="41"/>
        <v>MAX : 2.06
TARGET : 2.00
MIN : 1.94</v>
      </c>
    </row>
    <row r="2675" spans="2:17" ht="41.4" x14ac:dyDescent="0.3">
      <c r="B2675">
        <v>0</v>
      </c>
      <c r="C2675" s="33">
        <v>7468</v>
      </c>
      <c r="D2675" s="2">
        <v>1110</v>
      </c>
      <c r="E2675" s="2" t="s">
        <v>9212</v>
      </c>
      <c r="F2675" s="3" t="s">
        <v>14206</v>
      </c>
      <c r="H2675" s="3" t="s">
        <v>412</v>
      </c>
      <c r="K2675" s="2">
        <v>10</v>
      </c>
      <c r="L2675" s="2">
        <v>5</v>
      </c>
      <c r="M2675" s="3" t="s">
        <v>3350</v>
      </c>
      <c r="N2675" s="3" t="s">
        <v>13</v>
      </c>
      <c r="O2675" s="3" t="s">
        <v>14</v>
      </c>
      <c r="Q2675" s="30" t="str">
        <f t="shared" si="41"/>
        <v>MAX : 
TARGET : Yes(Pass)
MIN : No(Fail)</v>
      </c>
    </row>
    <row r="2676" spans="2:17" ht="41.4" x14ac:dyDescent="0.3">
      <c r="B2676">
        <v>0</v>
      </c>
      <c r="C2676" s="33">
        <v>7468</v>
      </c>
      <c r="D2676" s="2">
        <v>1110</v>
      </c>
      <c r="E2676" s="2" t="s">
        <v>9212</v>
      </c>
      <c r="F2676" s="3" t="s">
        <v>14206</v>
      </c>
      <c r="H2676" s="3" t="s">
        <v>412</v>
      </c>
      <c r="K2676" s="2">
        <v>10</v>
      </c>
      <c r="L2676" s="2">
        <v>6</v>
      </c>
      <c r="M2676" s="3" t="s">
        <v>3351</v>
      </c>
      <c r="N2676" s="3" t="s">
        <v>13</v>
      </c>
      <c r="O2676" s="3" t="s">
        <v>14</v>
      </c>
      <c r="Q2676" s="30" t="str">
        <f t="shared" si="41"/>
        <v>MAX : 
TARGET : Yes(Pass)
MIN : No(Fail)</v>
      </c>
    </row>
    <row r="2677" spans="2:17" ht="41.4" x14ac:dyDescent="0.3">
      <c r="B2677">
        <v>1</v>
      </c>
      <c r="C2677" s="33">
        <v>8141</v>
      </c>
      <c r="D2677" s="2">
        <v>1941</v>
      </c>
      <c r="E2677" s="2" t="s">
        <v>10028</v>
      </c>
      <c r="F2677" s="3" t="s">
        <v>14207</v>
      </c>
      <c r="H2677" s="3" t="s">
        <v>11</v>
      </c>
      <c r="K2677" s="2">
        <v>10</v>
      </c>
      <c r="L2677" s="2">
        <v>2</v>
      </c>
      <c r="M2677" s="3" t="s">
        <v>611</v>
      </c>
      <c r="N2677" s="3" t="s">
        <v>13</v>
      </c>
      <c r="O2677" s="3" t="s">
        <v>14</v>
      </c>
      <c r="Q2677" s="30" t="str">
        <f t="shared" si="41"/>
        <v>MAX : 
TARGET : Yes(Pass)
MIN : No(Fail)</v>
      </c>
    </row>
    <row r="2678" spans="2:17" ht="41.4" x14ac:dyDescent="0.3">
      <c r="B2678">
        <v>0</v>
      </c>
      <c r="C2678" s="33">
        <v>7903</v>
      </c>
      <c r="D2678" s="2">
        <v>1163</v>
      </c>
      <c r="E2678" s="2" t="s">
        <v>9828</v>
      </c>
      <c r="F2678" s="29" t="s">
        <v>14227</v>
      </c>
      <c r="G2678" s="3" t="s">
        <v>2843</v>
      </c>
      <c r="H2678" s="3" t="s">
        <v>2844</v>
      </c>
      <c r="K2678" s="2">
        <v>30</v>
      </c>
      <c r="L2678" s="2">
        <v>15</v>
      </c>
      <c r="M2678" s="3" t="s">
        <v>5576</v>
      </c>
      <c r="Q2678" s="30" t="str">
        <f t="shared" si="41"/>
        <v xml:space="preserve">MAX : 
TARGET : 
MIN : </v>
      </c>
    </row>
    <row r="2679" spans="2:17" ht="41.4" x14ac:dyDescent="0.3">
      <c r="B2679">
        <v>0</v>
      </c>
      <c r="C2679" s="33">
        <v>7903</v>
      </c>
      <c r="D2679" s="2">
        <v>1163</v>
      </c>
      <c r="E2679" s="2" t="s">
        <v>9828</v>
      </c>
      <c r="F2679" s="29" t="s">
        <v>14227</v>
      </c>
      <c r="G2679" s="3" t="s">
        <v>2843</v>
      </c>
      <c r="H2679" s="3" t="s">
        <v>2844</v>
      </c>
      <c r="K2679" s="2">
        <v>30</v>
      </c>
      <c r="L2679" s="2">
        <v>16.100000000000001</v>
      </c>
      <c r="Q2679" s="30" t="str">
        <f t="shared" si="41"/>
        <v xml:space="preserve">MAX : 
TARGET : 
MIN : </v>
      </c>
    </row>
    <row r="2680" spans="2:17" ht="41.4" x14ac:dyDescent="0.3">
      <c r="B2680">
        <v>0</v>
      </c>
      <c r="C2680" s="33">
        <v>7903</v>
      </c>
      <c r="D2680" s="2">
        <v>1163</v>
      </c>
      <c r="E2680" s="2" t="s">
        <v>9828</v>
      </c>
      <c r="F2680" s="29" t="s">
        <v>14227</v>
      </c>
      <c r="G2680" s="3" t="s">
        <v>2843</v>
      </c>
      <c r="H2680" s="3" t="s">
        <v>2844</v>
      </c>
      <c r="K2680" s="2">
        <v>30</v>
      </c>
      <c r="L2680" s="2">
        <v>3</v>
      </c>
      <c r="M2680" s="3" t="s">
        <v>3442</v>
      </c>
      <c r="N2680" s="3" t="s">
        <v>1619</v>
      </c>
      <c r="O2680" s="3" t="s">
        <v>1620</v>
      </c>
      <c r="Q2680" s="30" t="str">
        <f t="shared" si="41"/>
        <v>MAX : 
TARGET : Yes (pass)
MIN : No (fail)</v>
      </c>
    </row>
    <row r="2681" spans="2:17" ht="41.4" x14ac:dyDescent="0.3">
      <c r="B2681">
        <v>1</v>
      </c>
      <c r="C2681" s="33">
        <v>8141</v>
      </c>
      <c r="D2681" s="2">
        <v>1941</v>
      </c>
      <c r="E2681" s="2" t="s">
        <v>10028</v>
      </c>
      <c r="F2681" s="3" t="s">
        <v>14207</v>
      </c>
      <c r="H2681" s="3" t="s">
        <v>11</v>
      </c>
      <c r="K2681" s="2">
        <v>10</v>
      </c>
      <c r="L2681" s="2">
        <v>1</v>
      </c>
      <c r="M2681" s="3" t="s">
        <v>2988</v>
      </c>
      <c r="N2681" s="3" t="s">
        <v>1810</v>
      </c>
      <c r="O2681" s="3" t="s">
        <v>465</v>
      </c>
      <c r="P2681" s="3" t="s">
        <v>833</v>
      </c>
      <c r="Q2681" s="30" t="str">
        <f t="shared" si="41"/>
        <v>MAX : 2.750
TARGET : 2.500
MIN : 2.250</v>
      </c>
    </row>
    <row r="2682" spans="2:17" ht="41.4" x14ac:dyDescent="0.3">
      <c r="B2682">
        <v>0</v>
      </c>
      <c r="C2682" s="33">
        <v>8523</v>
      </c>
      <c r="D2682" s="2">
        <v>1969</v>
      </c>
      <c r="E2682" s="2" t="s">
        <v>10589</v>
      </c>
      <c r="F2682" s="3" t="s">
        <v>14206</v>
      </c>
      <c r="H2682" s="3" t="s">
        <v>98</v>
      </c>
      <c r="K2682" s="2">
        <v>10</v>
      </c>
      <c r="L2682" s="2">
        <v>3</v>
      </c>
      <c r="M2682" s="3" t="s">
        <v>1102</v>
      </c>
      <c r="N2682" s="3" t="s">
        <v>13</v>
      </c>
      <c r="O2682" s="3" t="s">
        <v>14</v>
      </c>
      <c r="Q2682" s="30" t="str">
        <f t="shared" si="41"/>
        <v>MAX : 
TARGET : Yes(Pass)
MIN : No(Fail)</v>
      </c>
    </row>
    <row r="2683" spans="2:17" ht="41.4" x14ac:dyDescent="0.3">
      <c r="B2683">
        <v>1</v>
      </c>
      <c r="C2683" s="33">
        <v>8142</v>
      </c>
      <c r="D2683" s="2">
        <v>1181</v>
      </c>
      <c r="E2683" s="2" t="s">
        <v>10036</v>
      </c>
      <c r="F2683" s="3" t="s">
        <v>14207</v>
      </c>
      <c r="H2683" s="3" t="s">
        <v>504</v>
      </c>
      <c r="K2683" s="2">
        <v>10</v>
      </c>
      <c r="L2683" s="2">
        <v>2</v>
      </c>
      <c r="M2683" s="3" t="s">
        <v>570</v>
      </c>
      <c r="N2683" s="3" t="s">
        <v>1880</v>
      </c>
      <c r="O2683" s="3" t="s">
        <v>2990</v>
      </c>
      <c r="P2683" s="3" t="s">
        <v>2991</v>
      </c>
      <c r="Q2683" s="30" t="str">
        <f t="shared" si="41"/>
        <v>MAX : 142
TARGET : 141
MIN : 140</v>
      </c>
    </row>
    <row r="2684" spans="2:17" ht="41.4" x14ac:dyDescent="0.3">
      <c r="B2684">
        <v>1</v>
      </c>
      <c r="C2684" s="33">
        <v>8142</v>
      </c>
      <c r="D2684" s="2">
        <v>1181</v>
      </c>
      <c r="E2684" s="2" t="s">
        <v>10036</v>
      </c>
      <c r="F2684" s="3" t="s">
        <v>14207</v>
      </c>
      <c r="H2684" s="3" t="s">
        <v>504</v>
      </c>
      <c r="K2684" s="2">
        <v>10</v>
      </c>
      <c r="L2684" s="2">
        <v>1</v>
      </c>
      <c r="M2684" s="3" t="s">
        <v>1576</v>
      </c>
      <c r="N2684" s="3" t="s">
        <v>1919</v>
      </c>
      <c r="O2684" s="3" t="s">
        <v>1920</v>
      </c>
      <c r="P2684" s="3" t="s">
        <v>1921</v>
      </c>
      <c r="Q2684" s="30" t="str">
        <f t="shared" si="41"/>
        <v>MAX : 39
TARGET : 38
MIN : 37</v>
      </c>
    </row>
    <row r="2685" spans="2:17" ht="41.4" x14ac:dyDescent="0.3">
      <c r="B2685">
        <v>1</v>
      </c>
      <c r="C2685" s="33">
        <v>8150</v>
      </c>
      <c r="D2685" s="2">
        <v>1182</v>
      </c>
      <c r="E2685" s="2" t="s">
        <v>10044</v>
      </c>
      <c r="F2685" s="3" t="s">
        <v>14207</v>
      </c>
      <c r="H2685" s="3" t="s">
        <v>108</v>
      </c>
      <c r="K2685" s="2">
        <v>10</v>
      </c>
      <c r="L2685" s="2">
        <v>2</v>
      </c>
      <c r="M2685" s="3" t="s">
        <v>3001</v>
      </c>
      <c r="N2685" s="3" t="s">
        <v>3002</v>
      </c>
      <c r="O2685" s="3" t="s">
        <v>1157</v>
      </c>
      <c r="P2685" s="3" t="s">
        <v>1652</v>
      </c>
      <c r="Q2685" s="30" t="str">
        <f t="shared" si="41"/>
        <v>MAX : 11.2
TARGET : 11.0
MIN : 10.98</v>
      </c>
    </row>
    <row r="2686" spans="2:17" ht="41.4" x14ac:dyDescent="0.3">
      <c r="B2686">
        <v>1</v>
      </c>
      <c r="C2686" s="33">
        <v>8150</v>
      </c>
      <c r="D2686" s="2">
        <v>1182</v>
      </c>
      <c r="E2686" s="2" t="s">
        <v>10044</v>
      </c>
      <c r="F2686" s="3" t="s">
        <v>14207</v>
      </c>
      <c r="H2686" s="3" t="s">
        <v>108</v>
      </c>
      <c r="K2686" s="2">
        <v>10</v>
      </c>
      <c r="L2686" s="2">
        <v>1</v>
      </c>
      <c r="M2686" s="3" t="s">
        <v>1576</v>
      </c>
      <c r="N2686" s="3" t="s">
        <v>2999</v>
      </c>
      <c r="O2686" s="3" t="s">
        <v>388</v>
      </c>
      <c r="P2686" s="3" t="s">
        <v>3000</v>
      </c>
      <c r="Q2686" s="30" t="str">
        <f t="shared" si="41"/>
        <v>MAX : 6.2
TARGET : 6.0
MIN : 5.8</v>
      </c>
    </row>
    <row r="2687" spans="2:17" ht="41.4" x14ac:dyDescent="0.3">
      <c r="B2687">
        <v>1</v>
      </c>
      <c r="C2687" s="33">
        <v>8150</v>
      </c>
      <c r="D2687" s="2">
        <v>1182</v>
      </c>
      <c r="E2687" s="2" t="s">
        <v>10044</v>
      </c>
      <c r="F2687" s="3" t="s">
        <v>14207</v>
      </c>
      <c r="H2687" s="3" t="s">
        <v>108</v>
      </c>
      <c r="K2687" s="2">
        <v>10</v>
      </c>
      <c r="L2687" s="2">
        <v>4</v>
      </c>
      <c r="M2687" s="3" t="s">
        <v>3254</v>
      </c>
      <c r="N2687" s="3" t="s">
        <v>3255</v>
      </c>
      <c r="O2687" s="3" t="s">
        <v>3256</v>
      </c>
      <c r="P2687" s="3" t="s">
        <v>3257</v>
      </c>
      <c r="Q2687" s="30" t="str">
        <f t="shared" si="41"/>
        <v>MAX : 4.88
TARGET : 4.68
MIN : 4.48</v>
      </c>
    </row>
    <row r="2688" spans="2:17" ht="41.4" x14ac:dyDescent="0.3">
      <c r="B2688">
        <v>0</v>
      </c>
      <c r="C2688" s="33">
        <v>8533</v>
      </c>
      <c r="D2688" s="2">
        <v>1971</v>
      </c>
      <c r="E2688" s="2" t="s">
        <v>10607</v>
      </c>
      <c r="F2688" s="3" t="s">
        <v>14206</v>
      </c>
      <c r="H2688" s="3" t="s">
        <v>568</v>
      </c>
      <c r="K2688" s="2">
        <v>40</v>
      </c>
      <c r="L2688" s="2">
        <v>1</v>
      </c>
      <c r="M2688" s="3" t="s">
        <v>1469</v>
      </c>
      <c r="N2688" s="3" t="s">
        <v>3359</v>
      </c>
      <c r="O2688" s="3" t="s">
        <v>860</v>
      </c>
      <c r="P2688" s="3" t="s">
        <v>3360</v>
      </c>
      <c r="Q2688" s="30" t="str">
        <f t="shared" si="41"/>
        <v>MAX : 18.03
TARGET : 18.00
MIN : 17.97</v>
      </c>
    </row>
    <row r="2689" spans="2:18" ht="41.4" x14ac:dyDescent="0.3">
      <c r="B2689">
        <v>1</v>
      </c>
      <c r="C2689" s="33">
        <v>8173</v>
      </c>
      <c r="D2689" s="2">
        <v>1183</v>
      </c>
      <c r="E2689" s="2" t="s">
        <v>10051</v>
      </c>
      <c r="F2689" s="3" t="s">
        <v>2064</v>
      </c>
      <c r="H2689" s="3" t="s">
        <v>504</v>
      </c>
      <c r="K2689" s="2">
        <v>20</v>
      </c>
      <c r="L2689" s="2">
        <v>2</v>
      </c>
      <c r="M2689" s="3" t="s">
        <v>3008</v>
      </c>
      <c r="N2689" s="3" t="s">
        <v>13</v>
      </c>
      <c r="O2689" s="3" t="s">
        <v>14</v>
      </c>
      <c r="Q2689" s="30" t="str">
        <f t="shared" si="41"/>
        <v>MAX : 
TARGET : Yes(Pass)
MIN : No(Fail)</v>
      </c>
    </row>
    <row r="2690" spans="2:18" ht="41.4" x14ac:dyDescent="0.3">
      <c r="B2690">
        <v>1</v>
      </c>
      <c r="C2690" s="33">
        <v>8173</v>
      </c>
      <c r="D2690" s="2">
        <v>1183</v>
      </c>
      <c r="E2690" s="2" t="s">
        <v>10051</v>
      </c>
      <c r="F2690" s="3" t="s">
        <v>2064</v>
      </c>
      <c r="H2690" s="3" t="s">
        <v>504</v>
      </c>
      <c r="K2690" s="2">
        <v>20</v>
      </c>
      <c r="L2690" s="2">
        <v>1</v>
      </c>
      <c r="M2690" s="3" t="s">
        <v>1886</v>
      </c>
      <c r="N2690" s="3" t="s">
        <v>13</v>
      </c>
      <c r="O2690" s="3" t="s">
        <v>14</v>
      </c>
      <c r="Q2690" s="30" t="str">
        <f t="shared" ref="Q2690:Q2753" si="42">"MAX : " &amp; P2690 &amp; CHAR(10) &amp; "TARGET : " &amp; O2690 &amp; CHAR(10) &amp; "MIN : " &amp; N2690</f>
        <v>MAX : 
TARGET : Yes(Pass)
MIN : No(Fail)</v>
      </c>
    </row>
    <row r="2691" spans="2:18" ht="41.4" x14ac:dyDescent="0.3">
      <c r="B2691">
        <v>0</v>
      </c>
      <c r="C2691" s="33">
        <v>8529</v>
      </c>
      <c r="D2691" s="2">
        <v>1242</v>
      </c>
      <c r="E2691" s="2" t="s">
        <v>10595</v>
      </c>
      <c r="F2691" s="3" t="s">
        <v>14207</v>
      </c>
      <c r="H2691" s="3" t="s">
        <v>108</v>
      </c>
      <c r="K2691" s="2">
        <v>10</v>
      </c>
      <c r="L2691" s="2">
        <v>2</v>
      </c>
      <c r="M2691" s="3" t="s">
        <v>3015</v>
      </c>
      <c r="N2691" s="3" t="s">
        <v>13</v>
      </c>
      <c r="O2691" s="3" t="s">
        <v>14</v>
      </c>
      <c r="Q2691" s="30" t="str">
        <f t="shared" si="42"/>
        <v>MAX : 
TARGET : Yes(Pass)
MIN : No(Fail)</v>
      </c>
    </row>
    <row r="2692" spans="2:18" ht="41.4" x14ac:dyDescent="0.3">
      <c r="B2692">
        <v>0</v>
      </c>
      <c r="C2692" s="33">
        <v>8529</v>
      </c>
      <c r="D2692" s="2">
        <v>1242</v>
      </c>
      <c r="E2692" s="2" t="s">
        <v>10595</v>
      </c>
      <c r="F2692" s="3" t="s">
        <v>14207</v>
      </c>
      <c r="H2692" s="3" t="s">
        <v>108</v>
      </c>
      <c r="K2692" s="2">
        <v>10</v>
      </c>
      <c r="L2692" s="2">
        <v>3</v>
      </c>
      <c r="M2692" s="3" t="s">
        <v>611</v>
      </c>
      <c r="N2692" s="3" t="s">
        <v>13</v>
      </c>
      <c r="O2692" s="3" t="s">
        <v>14</v>
      </c>
      <c r="Q2692" s="30" t="str">
        <f t="shared" si="42"/>
        <v>MAX : 
TARGET : Yes(Pass)
MIN : No(Fail)</v>
      </c>
    </row>
    <row r="2693" spans="2:18" ht="41.4" x14ac:dyDescent="0.3">
      <c r="B2693">
        <v>1</v>
      </c>
      <c r="C2693" s="33">
        <v>8178</v>
      </c>
      <c r="D2693" s="2">
        <v>1184</v>
      </c>
      <c r="E2693" s="2" t="s">
        <v>10057</v>
      </c>
      <c r="F2693" s="29" t="s">
        <v>14227</v>
      </c>
      <c r="G2693" s="3" t="s">
        <v>2843</v>
      </c>
      <c r="H2693" s="3" t="s">
        <v>2844</v>
      </c>
      <c r="K2693" s="2">
        <v>30</v>
      </c>
      <c r="L2693" s="2">
        <v>8</v>
      </c>
      <c r="M2693" s="3" t="s">
        <v>198</v>
      </c>
      <c r="N2693" s="3" t="s">
        <v>3017</v>
      </c>
      <c r="O2693" s="3" t="s">
        <v>3018</v>
      </c>
      <c r="P2693" s="3" t="s">
        <v>1032</v>
      </c>
      <c r="Q2693" s="30" t="str">
        <f t="shared" si="42"/>
        <v>MAX : 5.109
TARGET : 5.103
MIN : 5.097</v>
      </c>
    </row>
    <row r="2694" spans="2:18" ht="41.4" x14ac:dyDescent="0.3">
      <c r="B2694">
        <v>1</v>
      </c>
      <c r="C2694" s="33">
        <v>8178</v>
      </c>
      <c r="D2694" s="2">
        <v>1184</v>
      </c>
      <c r="E2694" s="2" t="s">
        <v>10057</v>
      </c>
      <c r="F2694" s="29" t="s">
        <v>14227</v>
      </c>
      <c r="G2694" s="3" t="s">
        <v>2843</v>
      </c>
      <c r="H2694" s="3" t="s">
        <v>2844</v>
      </c>
      <c r="K2694" s="2">
        <v>30</v>
      </c>
      <c r="L2694" s="2">
        <v>6</v>
      </c>
      <c r="M2694" s="3" t="s">
        <v>3434</v>
      </c>
      <c r="Q2694" s="30" t="str">
        <f t="shared" si="42"/>
        <v xml:space="preserve">MAX : 
TARGET : 
MIN : </v>
      </c>
    </row>
    <row r="2695" spans="2:18" ht="41.4" x14ac:dyDescent="0.3">
      <c r="B2695">
        <v>0</v>
      </c>
      <c r="C2695" s="33">
        <v>8535</v>
      </c>
      <c r="D2695" s="2">
        <v>1243</v>
      </c>
      <c r="E2695" s="2" t="s">
        <v>10614</v>
      </c>
      <c r="F2695" s="3" t="s">
        <v>14207</v>
      </c>
      <c r="H2695" s="3" t="s">
        <v>108</v>
      </c>
      <c r="K2695" s="2">
        <v>10</v>
      </c>
      <c r="L2695" s="2">
        <v>2</v>
      </c>
      <c r="M2695" s="3" t="s">
        <v>3015</v>
      </c>
      <c r="N2695" s="3" t="s">
        <v>13</v>
      </c>
      <c r="O2695" s="3" t="s">
        <v>14</v>
      </c>
      <c r="Q2695" s="30" t="str">
        <f t="shared" si="42"/>
        <v>MAX : 
TARGET : Yes(Pass)
MIN : No(Fail)</v>
      </c>
    </row>
    <row r="2696" spans="2:18" ht="41.4" x14ac:dyDescent="0.3">
      <c r="B2696">
        <v>0</v>
      </c>
      <c r="C2696" s="33">
        <v>8535</v>
      </c>
      <c r="D2696" s="2">
        <v>1243</v>
      </c>
      <c r="E2696" s="2" t="s">
        <v>10614</v>
      </c>
      <c r="F2696" s="3" t="s">
        <v>14207</v>
      </c>
      <c r="H2696" s="3" t="s">
        <v>108</v>
      </c>
      <c r="K2696" s="2">
        <v>20</v>
      </c>
      <c r="L2696" s="2">
        <v>2</v>
      </c>
      <c r="M2696" s="3" t="s">
        <v>611</v>
      </c>
      <c r="N2696" s="3" t="s">
        <v>13</v>
      </c>
      <c r="O2696" s="3" t="s">
        <v>14</v>
      </c>
      <c r="Q2696" s="30" t="str">
        <f t="shared" si="42"/>
        <v>MAX : 
TARGET : Yes(Pass)
MIN : No(Fail)</v>
      </c>
    </row>
    <row r="2697" spans="2:18" ht="41.4" x14ac:dyDescent="0.3">
      <c r="B2697">
        <v>1</v>
      </c>
      <c r="C2697" s="33">
        <v>8178</v>
      </c>
      <c r="D2697" s="2">
        <v>1184</v>
      </c>
      <c r="E2697" s="2" t="s">
        <v>10057</v>
      </c>
      <c r="F2697" s="29" t="s">
        <v>14227</v>
      </c>
      <c r="G2697" s="3" t="s">
        <v>2843</v>
      </c>
      <c r="H2697" s="3" t="s">
        <v>2844</v>
      </c>
      <c r="K2697" s="2">
        <v>40</v>
      </c>
      <c r="L2697" s="2">
        <v>2</v>
      </c>
      <c r="M2697" s="3" t="s">
        <v>2992</v>
      </c>
      <c r="N2697" s="3" t="s">
        <v>1619</v>
      </c>
      <c r="O2697" s="3" t="s">
        <v>1620</v>
      </c>
      <c r="Q2697" s="30" t="str">
        <f t="shared" si="42"/>
        <v>MAX : 
TARGET : Yes (pass)
MIN : No (fail)</v>
      </c>
    </row>
    <row r="2698" spans="2:18" ht="41.4" x14ac:dyDescent="0.3">
      <c r="B2698">
        <v>1</v>
      </c>
      <c r="C2698" s="33">
        <v>8178</v>
      </c>
      <c r="D2698" s="2">
        <v>1184</v>
      </c>
      <c r="E2698" s="2" t="s">
        <v>10057</v>
      </c>
      <c r="F2698" s="29" t="s">
        <v>14227</v>
      </c>
      <c r="G2698" s="3" t="s">
        <v>2843</v>
      </c>
      <c r="H2698" s="3" t="s">
        <v>2844</v>
      </c>
      <c r="K2698" s="2">
        <v>30</v>
      </c>
      <c r="L2698" s="2">
        <v>7</v>
      </c>
      <c r="M2698" s="3" t="s">
        <v>194</v>
      </c>
      <c r="N2698" s="3" t="s">
        <v>2845</v>
      </c>
      <c r="O2698" s="3" t="s">
        <v>2846</v>
      </c>
      <c r="P2698" s="3" t="s">
        <v>2847</v>
      </c>
      <c r="Q2698" s="30" t="str">
        <f t="shared" si="42"/>
        <v>MAX : 2.352
TARGET : 2.346
MIN : 2.340</v>
      </c>
    </row>
    <row r="2699" spans="2:18" ht="41.4" x14ac:dyDescent="0.3">
      <c r="B2699">
        <v>0</v>
      </c>
      <c r="C2699" s="33">
        <v>8515</v>
      </c>
      <c r="D2699" s="2">
        <v>1241</v>
      </c>
      <c r="E2699" s="2" t="s">
        <v>10582</v>
      </c>
      <c r="F2699" s="3" t="s">
        <v>14207</v>
      </c>
      <c r="H2699" s="3" t="s">
        <v>2636</v>
      </c>
      <c r="K2699" s="2">
        <v>20</v>
      </c>
      <c r="L2699" s="2">
        <v>3</v>
      </c>
      <c r="M2699" s="3" t="s">
        <v>3377</v>
      </c>
      <c r="N2699" s="3" t="s">
        <v>13</v>
      </c>
      <c r="O2699" s="3" t="s">
        <v>14</v>
      </c>
      <c r="Q2699" s="30" t="str">
        <f t="shared" si="42"/>
        <v>MAX : 
TARGET : Yes(Pass)
MIN : No(Fail)</v>
      </c>
      <c r="R2699" s="3" t="s">
        <v>3372</v>
      </c>
    </row>
    <row r="2700" spans="2:18" ht="41.4" x14ac:dyDescent="0.3">
      <c r="B2700">
        <v>1</v>
      </c>
      <c r="C2700" s="33">
        <v>8178</v>
      </c>
      <c r="D2700" s="2">
        <v>1184</v>
      </c>
      <c r="E2700" s="2" t="s">
        <v>10057</v>
      </c>
      <c r="F2700" s="29" t="s">
        <v>14227</v>
      </c>
      <c r="G2700" s="3" t="s">
        <v>2843</v>
      </c>
      <c r="H2700" s="3" t="s">
        <v>2844</v>
      </c>
      <c r="K2700" s="2">
        <v>40</v>
      </c>
      <c r="L2700" s="2">
        <v>6</v>
      </c>
      <c r="M2700" s="3" t="s">
        <v>2993</v>
      </c>
      <c r="N2700" s="3" t="s">
        <v>1619</v>
      </c>
      <c r="O2700" s="3" t="s">
        <v>1620</v>
      </c>
      <c r="Q2700" s="30" t="str">
        <f t="shared" si="42"/>
        <v>MAX : 
TARGET : Yes (pass)
MIN : No (fail)</v>
      </c>
    </row>
    <row r="2701" spans="2:18" ht="41.4" x14ac:dyDescent="0.3">
      <c r="B2701">
        <v>1</v>
      </c>
      <c r="C2701" s="33">
        <v>8178</v>
      </c>
      <c r="D2701" s="2">
        <v>1184</v>
      </c>
      <c r="E2701" s="2" t="s">
        <v>10057</v>
      </c>
      <c r="F2701" s="29" t="s">
        <v>14227</v>
      </c>
      <c r="G2701" s="3" t="s">
        <v>2843</v>
      </c>
      <c r="H2701" s="3" t="s">
        <v>2844</v>
      </c>
      <c r="K2701" s="2">
        <v>40</v>
      </c>
      <c r="L2701" s="2">
        <v>1</v>
      </c>
      <c r="M2701" s="3" t="s">
        <v>3433</v>
      </c>
      <c r="N2701" s="3" t="s">
        <v>1619</v>
      </c>
      <c r="O2701" s="3" t="s">
        <v>1620</v>
      </c>
      <c r="Q2701" s="30" t="str">
        <f t="shared" si="42"/>
        <v>MAX : 
TARGET : Yes (pass)
MIN : No (fail)</v>
      </c>
    </row>
    <row r="2702" spans="2:18" ht="41.4" x14ac:dyDescent="0.3">
      <c r="B2702">
        <v>1</v>
      </c>
      <c r="C2702" s="33">
        <v>8178</v>
      </c>
      <c r="D2702" s="2">
        <v>1184</v>
      </c>
      <c r="E2702" s="2" t="s">
        <v>10057</v>
      </c>
      <c r="F2702" s="29" t="s">
        <v>14227</v>
      </c>
      <c r="G2702" s="3" t="s">
        <v>2843</v>
      </c>
      <c r="H2702" s="3" t="s">
        <v>2844</v>
      </c>
      <c r="K2702" s="2">
        <v>40</v>
      </c>
      <c r="L2702" s="2">
        <v>7</v>
      </c>
      <c r="M2702" s="3" t="s">
        <v>3436</v>
      </c>
      <c r="N2702" s="3" t="s">
        <v>1619</v>
      </c>
      <c r="O2702" s="3" t="s">
        <v>1620</v>
      </c>
      <c r="Q2702" s="30" t="str">
        <f t="shared" si="42"/>
        <v>MAX : 
TARGET : Yes (pass)
MIN : No (fail)</v>
      </c>
    </row>
    <row r="2703" spans="2:18" ht="41.4" x14ac:dyDescent="0.3">
      <c r="B2703">
        <v>1</v>
      </c>
      <c r="C2703" s="33">
        <v>8178</v>
      </c>
      <c r="D2703" s="2">
        <v>1184</v>
      </c>
      <c r="E2703" s="2" t="s">
        <v>10057</v>
      </c>
      <c r="F2703" s="29" t="s">
        <v>14227</v>
      </c>
      <c r="G2703" s="3" t="s">
        <v>2843</v>
      </c>
      <c r="H2703" s="3" t="s">
        <v>2844</v>
      </c>
      <c r="K2703" s="2">
        <v>30</v>
      </c>
      <c r="L2703" s="2">
        <v>1</v>
      </c>
      <c r="M2703" s="3" t="s">
        <v>3451</v>
      </c>
      <c r="N2703" s="3" t="s">
        <v>1619</v>
      </c>
      <c r="O2703" s="3" t="s">
        <v>1620</v>
      </c>
      <c r="Q2703" s="30" t="str">
        <f t="shared" si="42"/>
        <v>MAX : 
TARGET : Yes (pass)
MIN : No (fail)</v>
      </c>
    </row>
    <row r="2704" spans="2:18" ht="41.4" x14ac:dyDescent="0.3">
      <c r="B2704">
        <v>0</v>
      </c>
      <c r="C2704" s="33">
        <v>7963</v>
      </c>
      <c r="D2704" s="2">
        <v>1167</v>
      </c>
      <c r="E2704" s="2" t="s">
        <v>9893</v>
      </c>
      <c r="F2704" s="29" t="s">
        <v>14228</v>
      </c>
      <c r="G2704" s="3" t="s">
        <v>2843</v>
      </c>
      <c r="H2704" s="3" t="s">
        <v>2844</v>
      </c>
      <c r="K2704" s="2">
        <v>10</v>
      </c>
      <c r="L2704" s="2">
        <v>11</v>
      </c>
      <c r="M2704" s="3" t="s">
        <v>2955</v>
      </c>
      <c r="N2704" s="3" t="s">
        <v>2956</v>
      </c>
      <c r="O2704" s="3" t="s">
        <v>2957</v>
      </c>
      <c r="P2704" s="3" t="s">
        <v>2958</v>
      </c>
      <c r="Q2704" s="30" t="str">
        <f t="shared" si="42"/>
        <v>MAX : 9.372
TARGET : 9.362
MIN : 9.352</v>
      </c>
    </row>
    <row r="2705" spans="2:17" ht="41.4" x14ac:dyDescent="0.3">
      <c r="B2705">
        <v>0</v>
      </c>
      <c r="C2705" s="33">
        <v>7963</v>
      </c>
      <c r="D2705" s="2">
        <v>1167</v>
      </c>
      <c r="E2705" s="2" t="s">
        <v>9893</v>
      </c>
      <c r="F2705" s="29" t="s">
        <v>14228</v>
      </c>
      <c r="G2705" s="3" t="s">
        <v>2843</v>
      </c>
      <c r="H2705" s="3" t="s">
        <v>2844</v>
      </c>
      <c r="K2705" s="2">
        <v>20</v>
      </c>
      <c r="L2705" s="2">
        <v>1</v>
      </c>
      <c r="M2705" s="3" t="s">
        <v>2992</v>
      </c>
      <c r="N2705" s="3" t="s">
        <v>1619</v>
      </c>
      <c r="O2705" s="3" t="s">
        <v>1620</v>
      </c>
      <c r="Q2705" s="30" t="str">
        <f t="shared" si="42"/>
        <v>MAX : 
TARGET : Yes (pass)
MIN : No (fail)</v>
      </c>
    </row>
    <row r="2706" spans="2:17" ht="41.4" x14ac:dyDescent="0.3">
      <c r="B2706">
        <v>0</v>
      </c>
      <c r="C2706" s="33">
        <v>7963</v>
      </c>
      <c r="D2706" s="2">
        <v>1167</v>
      </c>
      <c r="E2706" s="2" t="s">
        <v>9893</v>
      </c>
      <c r="F2706" s="29" t="s">
        <v>14228</v>
      </c>
      <c r="G2706" s="3" t="s">
        <v>2843</v>
      </c>
      <c r="H2706" s="3" t="s">
        <v>2844</v>
      </c>
      <c r="K2706" s="2">
        <v>20</v>
      </c>
      <c r="L2706" s="2">
        <v>3</v>
      </c>
      <c r="M2706" s="3" t="s">
        <v>3294</v>
      </c>
      <c r="N2706" s="3" t="s">
        <v>1619</v>
      </c>
      <c r="O2706" s="3" t="s">
        <v>1620</v>
      </c>
      <c r="Q2706" s="30" t="str">
        <f t="shared" si="42"/>
        <v>MAX : 
TARGET : Yes (pass)
MIN : No (fail)</v>
      </c>
    </row>
    <row r="2707" spans="2:17" ht="41.4" x14ac:dyDescent="0.3">
      <c r="B2707">
        <v>0</v>
      </c>
      <c r="C2707" s="33">
        <v>7963</v>
      </c>
      <c r="D2707" s="2">
        <v>1167</v>
      </c>
      <c r="E2707" s="2" t="s">
        <v>9893</v>
      </c>
      <c r="F2707" s="29" t="s">
        <v>14228</v>
      </c>
      <c r="G2707" s="3" t="s">
        <v>2843</v>
      </c>
      <c r="H2707" s="3" t="s">
        <v>2844</v>
      </c>
      <c r="K2707" s="2">
        <v>20</v>
      </c>
      <c r="L2707" s="2">
        <v>6</v>
      </c>
      <c r="M2707" s="3" t="s">
        <v>3380</v>
      </c>
      <c r="N2707" s="3" t="s">
        <v>1619</v>
      </c>
      <c r="O2707" s="3" t="s">
        <v>1620</v>
      </c>
      <c r="Q2707" s="30" t="str">
        <f t="shared" si="42"/>
        <v>MAX : 
TARGET : Yes (pass)
MIN : No (fail)</v>
      </c>
    </row>
    <row r="2708" spans="2:17" ht="41.4" x14ac:dyDescent="0.3">
      <c r="B2708">
        <v>0</v>
      </c>
      <c r="C2708" s="33">
        <v>7963</v>
      </c>
      <c r="D2708" s="2">
        <v>1167</v>
      </c>
      <c r="E2708" s="2" t="s">
        <v>9893</v>
      </c>
      <c r="F2708" s="29" t="s">
        <v>14228</v>
      </c>
      <c r="G2708" s="3" t="s">
        <v>2843</v>
      </c>
      <c r="H2708" s="3" t="s">
        <v>2844</v>
      </c>
      <c r="K2708" s="2">
        <v>10</v>
      </c>
      <c r="L2708" s="2">
        <v>2</v>
      </c>
      <c r="M2708" s="3" t="s">
        <v>3437</v>
      </c>
      <c r="Q2708" s="30" t="str">
        <f t="shared" si="42"/>
        <v xml:space="preserve">MAX : 
TARGET : 
MIN : </v>
      </c>
    </row>
    <row r="2709" spans="2:17" ht="41.4" x14ac:dyDescent="0.3">
      <c r="B2709">
        <v>0</v>
      </c>
      <c r="C2709" s="33">
        <v>7963</v>
      </c>
      <c r="D2709" s="2">
        <v>1167</v>
      </c>
      <c r="E2709" s="2" t="s">
        <v>9893</v>
      </c>
      <c r="F2709" s="29" t="s">
        <v>14228</v>
      </c>
      <c r="G2709" s="3" t="s">
        <v>2843</v>
      </c>
      <c r="H2709" s="3" t="s">
        <v>2844</v>
      </c>
      <c r="K2709" s="2">
        <v>20</v>
      </c>
      <c r="L2709" s="2">
        <v>2</v>
      </c>
      <c r="M2709" s="3" t="s">
        <v>3444</v>
      </c>
      <c r="N2709" s="3" t="s">
        <v>1619</v>
      </c>
      <c r="O2709" s="3" t="s">
        <v>1620</v>
      </c>
      <c r="Q2709" s="30" t="str">
        <f t="shared" si="42"/>
        <v>MAX : 
TARGET : Yes (pass)
MIN : No (fail)</v>
      </c>
    </row>
    <row r="2710" spans="2:17" ht="41.4" x14ac:dyDescent="0.3">
      <c r="B2710">
        <v>1</v>
      </c>
      <c r="C2710" s="33">
        <v>8178</v>
      </c>
      <c r="D2710" s="2">
        <v>1184</v>
      </c>
      <c r="E2710" s="2" t="s">
        <v>10057</v>
      </c>
      <c r="F2710" s="29" t="s">
        <v>14227</v>
      </c>
      <c r="G2710" s="3" t="s">
        <v>2843</v>
      </c>
      <c r="H2710" s="3" t="s">
        <v>2844</v>
      </c>
      <c r="K2710" s="2">
        <v>30</v>
      </c>
      <c r="L2710" s="2">
        <v>4</v>
      </c>
      <c r="M2710" s="3" t="s">
        <v>3437</v>
      </c>
      <c r="Q2710" s="30" t="str">
        <f t="shared" si="42"/>
        <v xml:space="preserve">MAX : 
TARGET : 
MIN : </v>
      </c>
    </row>
    <row r="2711" spans="2:17" ht="41.4" x14ac:dyDescent="0.3">
      <c r="B2711">
        <v>0</v>
      </c>
      <c r="C2711" s="33">
        <v>8543</v>
      </c>
      <c r="D2711" s="2">
        <v>1972</v>
      </c>
      <c r="E2711" s="2" t="s">
        <v>10626</v>
      </c>
      <c r="F2711" s="3" t="s">
        <v>14206</v>
      </c>
      <c r="H2711" s="3" t="s">
        <v>269</v>
      </c>
      <c r="K2711" s="2">
        <v>10</v>
      </c>
      <c r="L2711" s="2">
        <v>3</v>
      </c>
      <c r="M2711" s="3" t="s">
        <v>3015</v>
      </c>
      <c r="N2711" s="3" t="s">
        <v>13</v>
      </c>
      <c r="O2711" s="3" t="s">
        <v>14</v>
      </c>
      <c r="Q2711" s="30" t="str">
        <f t="shared" si="42"/>
        <v>MAX : 
TARGET : Yes(Pass)
MIN : No(Fail)</v>
      </c>
    </row>
    <row r="2712" spans="2:17" ht="41.4" x14ac:dyDescent="0.3">
      <c r="B2712">
        <v>1</v>
      </c>
      <c r="C2712" s="33">
        <v>8178</v>
      </c>
      <c r="D2712" s="2">
        <v>1184</v>
      </c>
      <c r="E2712" s="2" t="s">
        <v>10057</v>
      </c>
      <c r="F2712" s="29" t="s">
        <v>14227</v>
      </c>
      <c r="G2712" s="3" t="s">
        <v>2843</v>
      </c>
      <c r="H2712" s="3" t="s">
        <v>2844</v>
      </c>
      <c r="K2712" s="2">
        <v>30</v>
      </c>
      <c r="L2712" s="2">
        <v>12.2</v>
      </c>
      <c r="Q2712" s="30" t="str">
        <f t="shared" si="42"/>
        <v xml:space="preserve">MAX : 
TARGET : 
MIN : </v>
      </c>
    </row>
    <row r="2713" spans="2:17" ht="41.4" x14ac:dyDescent="0.3">
      <c r="B2713">
        <v>1</v>
      </c>
      <c r="C2713" s="33">
        <v>8178</v>
      </c>
      <c r="D2713" s="2">
        <v>1184</v>
      </c>
      <c r="E2713" s="2" t="s">
        <v>10057</v>
      </c>
      <c r="F2713" s="29" t="s">
        <v>14227</v>
      </c>
      <c r="G2713" s="3" t="s">
        <v>2843</v>
      </c>
      <c r="H2713" s="3" t="s">
        <v>2844</v>
      </c>
      <c r="K2713" s="2">
        <v>30</v>
      </c>
      <c r="L2713" s="2">
        <v>3</v>
      </c>
      <c r="M2713" s="3" t="s">
        <v>3442</v>
      </c>
      <c r="N2713" s="3" t="s">
        <v>1619</v>
      </c>
      <c r="O2713" s="3" t="s">
        <v>1620</v>
      </c>
      <c r="Q2713" s="30" t="str">
        <f t="shared" si="42"/>
        <v>MAX : 
TARGET : Yes (pass)
MIN : No (fail)</v>
      </c>
    </row>
    <row r="2714" spans="2:17" ht="41.4" x14ac:dyDescent="0.3">
      <c r="B2714">
        <v>0</v>
      </c>
      <c r="C2714" s="33">
        <v>8540</v>
      </c>
      <c r="D2714" s="2">
        <v>1244</v>
      </c>
      <c r="E2714" s="2" t="s">
        <v>10620</v>
      </c>
      <c r="F2714" s="3" t="s">
        <v>14206</v>
      </c>
      <c r="H2714" s="3" t="s">
        <v>648</v>
      </c>
      <c r="K2714" s="2">
        <v>20</v>
      </c>
      <c r="L2714" s="2">
        <v>3</v>
      </c>
      <c r="M2714" s="3" t="s">
        <v>1545</v>
      </c>
      <c r="N2714" s="3" t="s">
        <v>13</v>
      </c>
      <c r="O2714" s="3" t="s">
        <v>14</v>
      </c>
      <c r="Q2714" s="30" t="str">
        <f t="shared" si="42"/>
        <v>MAX : 
TARGET : Yes(Pass)
MIN : No(Fail)</v>
      </c>
    </row>
    <row r="2715" spans="2:17" ht="41.4" x14ac:dyDescent="0.3">
      <c r="B2715">
        <v>0</v>
      </c>
      <c r="C2715" s="33">
        <v>8540</v>
      </c>
      <c r="D2715" s="2">
        <v>1244</v>
      </c>
      <c r="E2715" s="2" t="s">
        <v>10620</v>
      </c>
      <c r="F2715" s="3" t="s">
        <v>14206</v>
      </c>
      <c r="H2715" s="3" t="s">
        <v>648</v>
      </c>
      <c r="K2715" s="2">
        <v>20</v>
      </c>
      <c r="L2715" s="2">
        <v>4</v>
      </c>
      <c r="M2715" s="3" t="s">
        <v>78</v>
      </c>
      <c r="N2715" s="3" t="s">
        <v>13</v>
      </c>
      <c r="O2715" s="3" t="s">
        <v>14</v>
      </c>
      <c r="Q2715" s="30" t="str">
        <f t="shared" si="42"/>
        <v>MAX : 
TARGET : Yes(Pass)
MIN : No(Fail)</v>
      </c>
    </row>
    <row r="2716" spans="2:17" ht="41.4" x14ac:dyDescent="0.3">
      <c r="B2716">
        <v>1</v>
      </c>
      <c r="C2716" s="33">
        <v>8178</v>
      </c>
      <c r="D2716" s="2">
        <v>1184</v>
      </c>
      <c r="E2716" s="2" t="s">
        <v>10057</v>
      </c>
      <c r="F2716" s="29" t="s">
        <v>14227</v>
      </c>
      <c r="G2716" s="3" t="s">
        <v>2843</v>
      </c>
      <c r="H2716" s="3" t="s">
        <v>2844</v>
      </c>
      <c r="K2716" s="2">
        <v>30</v>
      </c>
      <c r="L2716" s="2">
        <v>11</v>
      </c>
      <c r="M2716" s="3" t="s">
        <v>5576</v>
      </c>
      <c r="Q2716" s="30" t="str">
        <f t="shared" si="42"/>
        <v xml:space="preserve">MAX : 
TARGET : 
MIN : </v>
      </c>
    </row>
    <row r="2717" spans="2:17" ht="41.4" x14ac:dyDescent="0.3">
      <c r="B2717">
        <v>1</v>
      </c>
      <c r="C2717" s="33">
        <v>8178</v>
      </c>
      <c r="D2717" s="2">
        <v>1184</v>
      </c>
      <c r="E2717" s="2" t="s">
        <v>10057</v>
      </c>
      <c r="F2717" s="29" t="s">
        <v>14227</v>
      </c>
      <c r="G2717" s="3" t="s">
        <v>2843</v>
      </c>
      <c r="H2717" s="3" t="s">
        <v>2844</v>
      </c>
      <c r="K2717" s="2">
        <v>30</v>
      </c>
      <c r="L2717" s="2">
        <v>12.3</v>
      </c>
      <c r="Q2717" s="30" t="str">
        <f t="shared" si="42"/>
        <v xml:space="preserve">MAX : 
TARGET : 
MIN : </v>
      </c>
    </row>
    <row r="2718" spans="2:17" ht="41.4" x14ac:dyDescent="0.3">
      <c r="B2718">
        <v>1</v>
      </c>
      <c r="C2718" s="33">
        <v>8183</v>
      </c>
      <c r="D2718" s="2">
        <v>1185</v>
      </c>
      <c r="E2718" s="2" t="s">
        <v>10064</v>
      </c>
      <c r="F2718" s="3" t="s">
        <v>14207</v>
      </c>
      <c r="H2718" s="3" t="s">
        <v>648</v>
      </c>
      <c r="K2718" s="2">
        <v>10</v>
      </c>
      <c r="L2718" s="2">
        <v>2</v>
      </c>
      <c r="M2718" s="3" t="s">
        <v>198</v>
      </c>
      <c r="N2718" s="3" t="s">
        <v>3030</v>
      </c>
      <c r="O2718" s="3" t="s">
        <v>3031</v>
      </c>
      <c r="P2718" s="3" t="s">
        <v>3032</v>
      </c>
      <c r="Q2718" s="30" t="str">
        <f t="shared" si="42"/>
        <v>MAX : 163.0
TARGET : 162.5
MIN : 162.0</v>
      </c>
    </row>
    <row r="2719" spans="2:17" ht="41.4" x14ac:dyDescent="0.3">
      <c r="B2719">
        <v>0</v>
      </c>
      <c r="C2719" s="33">
        <v>7963</v>
      </c>
      <c r="D2719" s="2">
        <v>1167</v>
      </c>
      <c r="E2719" s="2" t="s">
        <v>9893</v>
      </c>
      <c r="F2719" s="29" t="s">
        <v>14228</v>
      </c>
      <c r="G2719" s="3" t="s">
        <v>2843</v>
      </c>
      <c r="H2719" s="3" t="s">
        <v>2844</v>
      </c>
      <c r="K2719" s="2">
        <v>10</v>
      </c>
      <c r="L2719" s="2">
        <v>12.3</v>
      </c>
      <c r="Q2719" s="30" t="str">
        <f t="shared" si="42"/>
        <v xml:space="preserve">MAX : 
TARGET : 
MIN : </v>
      </c>
    </row>
    <row r="2720" spans="2:17" ht="41.4" x14ac:dyDescent="0.3">
      <c r="B2720">
        <v>0</v>
      </c>
      <c r="C2720" s="33">
        <v>7963</v>
      </c>
      <c r="D2720" s="2">
        <v>1167</v>
      </c>
      <c r="E2720" s="2" t="s">
        <v>9893</v>
      </c>
      <c r="F2720" s="29" t="s">
        <v>14228</v>
      </c>
      <c r="G2720" s="3" t="s">
        <v>2843</v>
      </c>
      <c r="H2720" s="3" t="s">
        <v>2844</v>
      </c>
      <c r="K2720" s="2">
        <v>10</v>
      </c>
      <c r="L2720" s="2">
        <v>1.1000000000000001</v>
      </c>
      <c r="M2720" s="3" t="s">
        <v>6025</v>
      </c>
      <c r="N2720" s="3" t="s">
        <v>1619</v>
      </c>
      <c r="O2720" s="3" t="s">
        <v>1620</v>
      </c>
      <c r="Q2720" s="30" t="str">
        <f t="shared" si="42"/>
        <v>MAX : 
TARGET : Yes (pass)
MIN : No (fail)</v>
      </c>
    </row>
    <row r="2721" spans="2:17" ht="41.4" x14ac:dyDescent="0.3">
      <c r="B2721">
        <v>1</v>
      </c>
      <c r="C2721" s="33">
        <v>8183</v>
      </c>
      <c r="D2721" s="2">
        <v>1185</v>
      </c>
      <c r="E2721" s="2" t="s">
        <v>10064</v>
      </c>
      <c r="F2721" s="3" t="s">
        <v>14207</v>
      </c>
      <c r="H2721" s="3" t="s">
        <v>648</v>
      </c>
      <c r="K2721" s="2">
        <v>10</v>
      </c>
      <c r="L2721" s="2">
        <v>1</v>
      </c>
      <c r="M2721" s="3" t="s">
        <v>194</v>
      </c>
      <c r="N2721" s="3" t="s">
        <v>3029</v>
      </c>
      <c r="O2721" s="3" t="s">
        <v>658</v>
      </c>
      <c r="P2721" s="3" t="s">
        <v>1167</v>
      </c>
      <c r="Q2721" s="30" t="str">
        <f t="shared" si="42"/>
        <v>MAX : 25.5
TARGET : 25.0
MIN : 24.5</v>
      </c>
    </row>
    <row r="2722" spans="2:17" ht="41.4" x14ac:dyDescent="0.3">
      <c r="B2722">
        <v>1</v>
      </c>
      <c r="C2722" s="33">
        <v>8184</v>
      </c>
      <c r="D2722" s="2">
        <v>1186</v>
      </c>
      <c r="E2722" s="2" t="s">
        <v>10071</v>
      </c>
      <c r="F2722" s="3" t="s">
        <v>14207</v>
      </c>
      <c r="H2722" s="3" t="s">
        <v>469</v>
      </c>
      <c r="K2722" s="2">
        <v>10</v>
      </c>
      <c r="L2722" s="2">
        <v>2</v>
      </c>
      <c r="M2722" s="3" t="s">
        <v>198</v>
      </c>
      <c r="N2722" s="3" t="s">
        <v>3026</v>
      </c>
      <c r="O2722" s="3" t="s">
        <v>3027</v>
      </c>
      <c r="P2722" s="3" t="s">
        <v>3028</v>
      </c>
      <c r="Q2722" s="30" t="str">
        <f t="shared" si="42"/>
        <v>MAX : 181.0
TARGET : 180.5
MIN : 180.0</v>
      </c>
    </row>
    <row r="2723" spans="2:17" ht="41.4" x14ac:dyDescent="0.3">
      <c r="B2723">
        <v>1</v>
      </c>
      <c r="C2723" s="33">
        <v>8184</v>
      </c>
      <c r="D2723" s="2">
        <v>1186</v>
      </c>
      <c r="E2723" s="2" t="s">
        <v>10071</v>
      </c>
      <c r="F2723" s="3" t="s">
        <v>14207</v>
      </c>
      <c r="H2723" s="3" t="s">
        <v>469</v>
      </c>
      <c r="K2723" s="2">
        <v>10</v>
      </c>
      <c r="L2723" s="2">
        <v>1</v>
      </c>
      <c r="M2723" s="3" t="s">
        <v>194</v>
      </c>
      <c r="N2723" s="3" t="s">
        <v>1163</v>
      </c>
      <c r="O2723" s="3" t="s">
        <v>3024</v>
      </c>
      <c r="P2723" s="3" t="s">
        <v>3025</v>
      </c>
      <c r="Q2723" s="30" t="str">
        <f t="shared" si="42"/>
        <v>MAX : 28.5
TARGET : 28.0
MIN : 27.5</v>
      </c>
    </row>
    <row r="2724" spans="2:17" ht="41.4" x14ac:dyDescent="0.3">
      <c r="B2724">
        <v>0</v>
      </c>
      <c r="C2724" s="33">
        <v>8578</v>
      </c>
      <c r="D2724" s="2">
        <v>1245</v>
      </c>
      <c r="E2724" s="2" t="s">
        <v>10633</v>
      </c>
      <c r="F2724" s="3" t="s">
        <v>14206</v>
      </c>
      <c r="H2724" s="3" t="s">
        <v>648</v>
      </c>
      <c r="K2724" s="2">
        <v>20</v>
      </c>
      <c r="L2724" s="2">
        <v>3</v>
      </c>
      <c r="M2724" s="3" t="s">
        <v>134</v>
      </c>
      <c r="N2724" s="3" t="s">
        <v>13</v>
      </c>
      <c r="O2724" s="3" t="s">
        <v>14</v>
      </c>
      <c r="Q2724" s="30" t="str">
        <f t="shared" si="42"/>
        <v>MAX : 
TARGET : Yes(Pass)
MIN : No(Fail)</v>
      </c>
    </row>
    <row r="2725" spans="2:17" ht="41.4" x14ac:dyDescent="0.3">
      <c r="B2725">
        <v>1</v>
      </c>
      <c r="C2725" s="33">
        <v>8191</v>
      </c>
      <c r="D2725" s="2">
        <v>1187</v>
      </c>
      <c r="E2725" s="2" t="s">
        <v>10078</v>
      </c>
      <c r="F2725" s="3" t="s">
        <v>14206</v>
      </c>
      <c r="H2725" s="3" t="s">
        <v>713</v>
      </c>
      <c r="K2725" s="2">
        <v>20</v>
      </c>
      <c r="L2725" s="2">
        <v>2</v>
      </c>
      <c r="M2725" s="3" t="s">
        <v>198</v>
      </c>
      <c r="N2725" s="3" t="s">
        <v>2292</v>
      </c>
      <c r="O2725" s="3" t="s">
        <v>2293</v>
      </c>
      <c r="P2725" s="3" t="s">
        <v>2294</v>
      </c>
      <c r="Q2725" s="30" t="str">
        <f t="shared" si="42"/>
        <v>MAX : 4.46
TARGET : 4.40
MIN : 4.34</v>
      </c>
    </row>
    <row r="2726" spans="2:17" ht="41.4" x14ac:dyDescent="0.3">
      <c r="B2726">
        <v>1</v>
      </c>
      <c r="C2726" s="33">
        <v>8191</v>
      </c>
      <c r="D2726" s="2">
        <v>1187</v>
      </c>
      <c r="E2726" s="2" t="s">
        <v>10078</v>
      </c>
      <c r="F2726" s="3" t="s">
        <v>14206</v>
      </c>
      <c r="H2726" s="3" t="s">
        <v>713</v>
      </c>
      <c r="K2726" s="2">
        <v>20</v>
      </c>
      <c r="L2726" s="2">
        <v>1</v>
      </c>
      <c r="M2726" s="3" t="s">
        <v>194</v>
      </c>
      <c r="N2726" s="3" t="s">
        <v>3045</v>
      </c>
      <c r="O2726" s="3" t="s">
        <v>2096</v>
      </c>
      <c r="P2726" s="3" t="s">
        <v>339</v>
      </c>
      <c r="Q2726" s="30" t="str">
        <f t="shared" si="42"/>
        <v>MAX : 3.25
TARGET : 3.19
MIN : 3.13</v>
      </c>
    </row>
    <row r="2727" spans="2:17" ht="41.4" x14ac:dyDescent="0.3">
      <c r="B2727">
        <v>1</v>
      </c>
      <c r="C2727" s="33">
        <v>8195</v>
      </c>
      <c r="D2727" s="2">
        <v>1942</v>
      </c>
      <c r="E2727" s="2" t="s">
        <v>10084</v>
      </c>
      <c r="F2727" s="3" t="s">
        <v>14206</v>
      </c>
      <c r="H2727" s="3" t="s">
        <v>922</v>
      </c>
      <c r="K2727" s="2">
        <v>10</v>
      </c>
      <c r="L2727" s="2">
        <v>2</v>
      </c>
      <c r="M2727" s="3" t="s">
        <v>325</v>
      </c>
      <c r="N2727" s="3" t="s">
        <v>13</v>
      </c>
      <c r="O2727" s="3" t="s">
        <v>14</v>
      </c>
      <c r="Q2727" s="30" t="str">
        <f t="shared" si="42"/>
        <v>MAX : 
TARGET : Yes(Pass)
MIN : No(Fail)</v>
      </c>
    </row>
    <row r="2728" spans="2:17" ht="41.4" x14ac:dyDescent="0.3">
      <c r="B2728">
        <v>1</v>
      </c>
      <c r="C2728" s="33">
        <v>8195</v>
      </c>
      <c r="D2728" s="2">
        <v>1942</v>
      </c>
      <c r="E2728" s="2" t="s">
        <v>10084</v>
      </c>
      <c r="F2728" s="3" t="s">
        <v>14206</v>
      </c>
      <c r="H2728" s="3" t="s">
        <v>922</v>
      </c>
      <c r="K2728" s="2">
        <v>10</v>
      </c>
      <c r="L2728" s="2">
        <v>1</v>
      </c>
      <c r="M2728" s="3" t="s">
        <v>99</v>
      </c>
      <c r="N2728" s="3" t="s">
        <v>252</v>
      </c>
      <c r="O2728" s="3" t="s">
        <v>253</v>
      </c>
      <c r="P2728" s="3" t="s">
        <v>128</v>
      </c>
      <c r="Q2728" s="30" t="str">
        <f t="shared" si="42"/>
        <v>MAX : 4.03
TARGET : 4.00
MIN : 3.97</v>
      </c>
    </row>
    <row r="2729" spans="2:17" ht="41.4" x14ac:dyDescent="0.3">
      <c r="B2729">
        <v>1</v>
      </c>
      <c r="C2729" s="33">
        <v>8197</v>
      </c>
      <c r="D2729" s="2">
        <v>1943</v>
      </c>
      <c r="E2729" s="2" t="s">
        <v>10090</v>
      </c>
      <c r="F2729" s="3" t="s">
        <v>14231</v>
      </c>
      <c r="H2729" s="3" t="s">
        <v>168</v>
      </c>
      <c r="K2729" s="2">
        <v>10</v>
      </c>
      <c r="L2729" s="2">
        <v>8</v>
      </c>
      <c r="M2729" s="3" t="s">
        <v>3036</v>
      </c>
      <c r="N2729" s="3" t="s">
        <v>13</v>
      </c>
      <c r="O2729" s="3" t="s">
        <v>14</v>
      </c>
      <c r="Q2729" s="30" t="str">
        <f t="shared" si="42"/>
        <v>MAX : 
TARGET : Yes(Pass)
MIN : No(Fail)</v>
      </c>
    </row>
    <row r="2730" spans="2:17" ht="41.4" x14ac:dyDescent="0.3">
      <c r="B2730">
        <v>1</v>
      </c>
      <c r="C2730" s="33">
        <v>8197</v>
      </c>
      <c r="D2730" s="2">
        <v>1943</v>
      </c>
      <c r="E2730" s="2" t="s">
        <v>10090</v>
      </c>
      <c r="F2730" s="3" t="s">
        <v>14231</v>
      </c>
      <c r="H2730" s="3" t="s">
        <v>168</v>
      </c>
      <c r="K2730" s="2">
        <v>10</v>
      </c>
      <c r="L2730" s="2">
        <v>3</v>
      </c>
      <c r="M2730" s="3" t="s">
        <v>3048</v>
      </c>
      <c r="N2730" s="3" t="s">
        <v>3049</v>
      </c>
      <c r="O2730" s="3" t="s">
        <v>388</v>
      </c>
      <c r="P2730" s="3" t="s">
        <v>2836</v>
      </c>
      <c r="Q2730" s="30" t="str">
        <f t="shared" si="42"/>
        <v>MAX : 6.5
TARGET : 6.0
MIN : 5.5</v>
      </c>
    </row>
    <row r="2731" spans="2:17" ht="41.4" x14ac:dyDescent="0.3">
      <c r="B2731">
        <v>1</v>
      </c>
      <c r="C2731" s="33">
        <v>8197</v>
      </c>
      <c r="D2731" s="2">
        <v>1943</v>
      </c>
      <c r="E2731" s="2" t="s">
        <v>10090</v>
      </c>
      <c r="F2731" s="3" t="s">
        <v>14231</v>
      </c>
      <c r="H2731" s="3" t="s">
        <v>168</v>
      </c>
      <c r="K2731" s="2">
        <v>10</v>
      </c>
      <c r="L2731" s="2">
        <v>1</v>
      </c>
      <c r="M2731" s="3" t="s">
        <v>456</v>
      </c>
      <c r="N2731" s="3" t="s">
        <v>2910</v>
      </c>
      <c r="O2731" s="3" t="s">
        <v>3034</v>
      </c>
      <c r="P2731" s="3" t="s">
        <v>3035</v>
      </c>
      <c r="Q2731" s="30" t="str">
        <f t="shared" si="42"/>
        <v>MAX : 75.75
TARGET : 75.25
MIN : 75.00</v>
      </c>
    </row>
    <row r="2732" spans="2:17" ht="41.4" x14ac:dyDescent="0.3">
      <c r="B2732">
        <v>0</v>
      </c>
      <c r="C2732" s="33">
        <v>8022</v>
      </c>
      <c r="D2732" s="2">
        <v>1170</v>
      </c>
      <c r="E2732" s="2" t="s">
        <v>9940</v>
      </c>
      <c r="F2732" s="3" t="s">
        <v>14206</v>
      </c>
      <c r="G2732" s="3" t="s">
        <v>1665</v>
      </c>
      <c r="H2732" s="3" t="s">
        <v>2921</v>
      </c>
      <c r="I2732" s="3" t="s">
        <v>575</v>
      </c>
      <c r="K2732" s="2">
        <v>20</v>
      </c>
      <c r="L2732" s="2">
        <v>1</v>
      </c>
      <c r="M2732" s="3" t="s">
        <v>2620</v>
      </c>
      <c r="N2732" s="3" t="s">
        <v>13</v>
      </c>
      <c r="O2732" s="3" t="s">
        <v>14</v>
      </c>
      <c r="Q2732" s="30" t="str">
        <f t="shared" si="42"/>
        <v>MAX : 
TARGET : Yes(Pass)
MIN : No(Fail)</v>
      </c>
    </row>
    <row r="2733" spans="2:17" ht="41.4" x14ac:dyDescent="0.3">
      <c r="B2733">
        <v>1</v>
      </c>
      <c r="C2733" s="33">
        <v>8207</v>
      </c>
      <c r="D2733" s="2">
        <v>1188</v>
      </c>
      <c r="E2733" s="2" t="s">
        <v>10098</v>
      </c>
      <c r="F2733" s="3" t="s">
        <v>14206</v>
      </c>
      <c r="H2733" s="3" t="s">
        <v>713</v>
      </c>
      <c r="K2733" s="2">
        <v>20</v>
      </c>
      <c r="L2733" s="2">
        <v>3</v>
      </c>
      <c r="M2733" s="3" t="s">
        <v>78</v>
      </c>
      <c r="N2733" s="3" t="s">
        <v>13</v>
      </c>
      <c r="O2733" s="3" t="s">
        <v>14</v>
      </c>
      <c r="Q2733" s="30" t="str">
        <f t="shared" si="42"/>
        <v>MAX : 
TARGET : Yes(Pass)
MIN : No(Fail)</v>
      </c>
    </row>
    <row r="2734" spans="2:17" ht="41.4" x14ac:dyDescent="0.3">
      <c r="B2734">
        <v>0</v>
      </c>
      <c r="C2734" s="33">
        <v>8586</v>
      </c>
      <c r="D2734" s="2">
        <v>1973</v>
      </c>
      <c r="E2734" s="2" t="s">
        <v>10647</v>
      </c>
      <c r="F2734" s="3" t="s">
        <v>14206</v>
      </c>
      <c r="H2734" s="3" t="s">
        <v>98</v>
      </c>
      <c r="K2734" s="2">
        <v>20</v>
      </c>
      <c r="L2734" s="2">
        <v>2</v>
      </c>
      <c r="M2734" s="3" t="s">
        <v>569</v>
      </c>
      <c r="N2734" s="3" t="s">
        <v>485</v>
      </c>
      <c r="O2734" s="3" t="s">
        <v>272</v>
      </c>
      <c r="P2734" s="3" t="s">
        <v>507</v>
      </c>
      <c r="Q2734" s="30" t="str">
        <f t="shared" si="42"/>
        <v>MAX : 1.06
TARGET : 1.00
MIN : 0.94</v>
      </c>
    </row>
    <row r="2735" spans="2:17" ht="41.4" x14ac:dyDescent="0.3">
      <c r="B2735">
        <v>0</v>
      </c>
      <c r="C2735" s="33">
        <v>8586</v>
      </c>
      <c r="D2735" s="2">
        <v>1973</v>
      </c>
      <c r="E2735" s="2" t="s">
        <v>10647</v>
      </c>
      <c r="F2735" s="3" t="s">
        <v>14206</v>
      </c>
      <c r="H2735" s="3" t="s">
        <v>98</v>
      </c>
      <c r="K2735" s="2">
        <v>20</v>
      </c>
      <c r="L2735" s="2">
        <v>3</v>
      </c>
      <c r="M2735" s="3" t="s">
        <v>1605</v>
      </c>
      <c r="N2735" s="3" t="s">
        <v>13</v>
      </c>
      <c r="O2735" s="3" t="s">
        <v>14</v>
      </c>
      <c r="Q2735" s="30" t="str">
        <f t="shared" si="42"/>
        <v>MAX : 
TARGET : Yes(Pass)
MIN : No(Fail)</v>
      </c>
    </row>
    <row r="2736" spans="2:17" ht="41.4" x14ac:dyDescent="0.3">
      <c r="B2736">
        <v>0</v>
      </c>
      <c r="C2736" s="33">
        <v>8586</v>
      </c>
      <c r="D2736" s="2">
        <v>1973</v>
      </c>
      <c r="E2736" s="2" t="s">
        <v>10647</v>
      </c>
      <c r="F2736" s="3" t="s">
        <v>14206</v>
      </c>
      <c r="H2736" s="3" t="s">
        <v>98</v>
      </c>
      <c r="K2736" s="2">
        <v>20</v>
      </c>
      <c r="L2736" s="2">
        <v>4</v>
      </c>
      <c r="M2736" s="3" t="s">
        <v>3391</v>
      </c>
      <c r="N2736" s="3" t="s">
        <v>13</v>
      </c>
      <c r="O2736" s="3" t="s">
        <v>14</v>
      </c>
      <c r="Q2736" s="30" t="str">
        <f t="shared" si="42"/>
        <v>MAX : 
TARGET : Yes(Pass)
MIN : No(Fail)</v>
      </c>
    </row>
    <row r="2737" spans="2:18" ht="41.4" x14ac:dyDescent="0.3">
      <c r="B2737">
        <v>1</v>
      </c>
      <c r="C2737" s="33">
        <v>8207</v>
      </c>
      <c r="D2737" s="2">
        <v>1188</v>
      </c>
      <c r="E2737" s="2" t="s">
        <v>10098</v>
      </c>
      <c r="F2737" s="3" t="s">
        <v>14206</v>
      </c>
      <c r="H2737" s="3" t="s">
        <v>713</v>
      </c>
      <c r="K2737" s="2">
        <v>20</v>
      </c>
      <c r="L2737" s="2">
        <v>2</v>
      </c>
      <c r="M2737" s="3" t="s">
        <v>198</v>
      </c>
      <c r="N2737" s="3" t="s">
        <v>2292</v>
      </c>
      <c r="O2737" s="3" t="s">
        <v>2293</v>
      </c>
      <c r="P2737" s="3" t="s">
        <v>2294</v>
      </c>
      <c r="Q2737" s="30" t="str">
        <f t="shared" si="42"/>
        <v>MAX : 4.46
TARGET : 4.40
MIN : 4.34</v>
      </c>
    </row>
    <row r="2738" spans="2:18" ht="41.4" x14ac:dyDescent="0.3">
      <c r="B2738">
        <v>1</v>
      </c>
      <c r="C2738" s="33">
        <v>8221</v>
      </c>
      <c r="D2738" s="2">
        <v>1189</v>
      </c>
      <c r="E2738" s="2" t="s">
        <v>10103</v>
      </c>
      <c r="F2738" s="3" t="s">
        <v>14206</v>
      </c>
      <c r="H2738" s="3" t="s">
        <v>2116</v>
      </c>
      <c r="K2738" s="2">
        <v>10</v>
      </c>
      <c r="L2738" s="2">
        <v>2</v>
      </c>
      <c r="M2738" s="3" t="s">
        <v>3063</v>
      </c>
      <c r="N2738" s="3" t="s">
        <v>459</v>
      </c>
      <c r="O2738" s="3" t="s">
        <v>406</v>
      </c>
      <c r="P2738" s="3" t="s">
        <v>460</v>
      </c>
      <c r="Q2738" s="30" t="str">
        <f t="shared" si="42"/>
        <v>MAX : 2.03
TARGET : 2.00
MIN : 1.97</v>
      </c>
    </row>
    <row r="2739" spans="2:18" ht="41.4" x14ac:dyDescent="0.3">
      <c r="B2739">
        <v>1</v>
      </c>
      <c r="C2739" s="33">
        <v>8221</v>
      </c>
      <c r="D2739" s="2">
        <v>1189</v>
      </c>
      <c r="E2739" s="2" t="s">
        <v>10103</v>
      </c>
      <c r="F2739" s="3" t="s">
        <v>14206</v>
      </c>
      <c r="H2739" s="3" t="s">
        <v>2116</v>
      </c>
      <c r="K2739" s="2">
        <v>10</v>
      </c>
      <c r="L2739" s="2">
        <v>1</v>
      </c>
      <c r="M2739" s="3" t="s">
        <v>2088</v>
      </c>
      <c r="N2739" s="3" t="s">
        <v>3060</v>
      </c>
      <c r="O2739" s="3" t="s">
        <v>3061</v>
      </c>
      <c r="P2739" s="3" t="s">
        <v>3062</v>
      </c>
      <c r="Q2739" s="30" t="str">
        <f t="shared" si="42"/>
        <v>MAX : 11.06
TARGET : 11.00
MIN : 10.94</v>
      </c>
    </row>
    <row r="2740" spans="2:18" ht="41.4" x14ac:dyDescent="0.3">
      <c r="B2740">
        <v>1</v>
      </c>
      <c r="C2740" s="33">
        <v>8223</v>
      </c>
      <c r="D2740" s="2">
        <v>1944</v>
      </c>
      <c r="E2740" s="2" t="s">
        <v>10109</v>
      </c>
      <c r="F2740" s="3" t="s">
        <v>14206</v>
      </c>
      <c r="H2740" s="3" t="s">
        <v>289</v>
      </c>
      <c r="K2740" s="2">
        <v>20</v>
      </c>
      <c r="L2740" s="2">
        <v>2</v>
      </c>
      <c r="M2740" s="3" t="s">
        <v>1778</v>
      </c>
      <c r="N2740" s="3" t="s">
        <v>748</v>
      </c>
      <c r="O2740" s="3" t="s">
        <v>406</v>
      </c>
      <c r="P2740" s="3" t="s">
        <v>1784</v>
      </c>
      <c r="Q2740" s="30" t="str">
        <f t="shared" si="42"/>
        <v>MAX : 2.02
TARGET : 2.00
MIN : 1.98</v>
      </c>
    </row>
    <row r="2741" spans="2:18" ht="41.4" x14ac:dyDescent="0.3">
      <c r="B2741">
        <v>0</v>
      </c>
      <c r="C2741" s="33">
        <v>8035</v>
      </c>
      <c r="D2741" s="2">
        <v>1171</v>
      </c>
      <c r="E2741" s="2" t="s">
        <v>9948</v>
      </c>
      <c r="F2741" s="3" t="s">
        <v>14207</v>
      </c>
      <c r="H2741" s="3" t="s">
        <v>648</v>
      </c>
      <c r="K2741" s="2">
        <v>20</v>
      </c>
      <c r="L2741" s="2">
        <v>2</v>
      </c>
      <c r="M2741" s="3" t="s">
        <v>3169</v>
      </c>
      <c r="N2741" s="3" t="s">
        <v>3170</v>
      </c>
      <c r="O2741" s="3" t="s">
        <v>1065</v>
      </c>
      <c r="P2741" s="3" t="s">
        <v>3171</v>
      </c>
      <c r="Q2741" s="30" t="str">
        <f t="shared" si="42"/>
        <v>MAX : 5.1
TARGET : 5.0
MIN : 4.9</v>
      </c>
      <c r="R2741" s="3" t="s">
        <v>1638</v>
      </c>
    </row>
    <row r="2742" spans="2:18" ht="41.4" x14ac:dyDescent="0.3">
      <c r="B2742">
        <v>1</v>
      </c>
      <c r="C2742" s="33">
        <v>8223</v>
      </c>
      <c r="D2742" s="2">
        <v>1944</v>
      </c>
      <c r="E2742" s="2" t="s">
        <v>10109</v>
      </c>
      <c r="F2742" s="3" t="s">
        <v>14206</v>
      </c>
      <c r="H2742" s="3" t="s">
        <v>289</v>
      </c>
      <c r="K2742" s="2">
        <v>20</v>
      </c>
      <c r="L2742" s="2">
        <v>1</v>
      </c>
      <c r="M2742" s="3" t="s">
        <v>1777</v>
      </c>
      <c r="N2742" s="3" t="s">
        <v>462</v>
      </c>
      <c r="O2742" s="3" t="s">
        <v>424</v>
      </c>
      <c r="P2742" s="3" t="s">
        <v>463</v>
      </c>
      <c r="Q2742" s="30" t="str">
        <f t="shared" si="42"/>
        <v>MAX : 0.28
TARGET : 0.25
MIN : 0.22</v>
      </c>
    </row>
    <row r="2743" spans="2:18" ht="41.4" x14ac:dyDescent="0.3">
      <c r="B2743">
        <v>1</v>
      </c>
      <c r="C2743" s="33">
        <v>8223</v>
      </c>
      <c r="D2743" s="2">
        <v>1944</v>
      </c>
      <c r="E2743" s="2" t="s">
        <v>10109</v>
      </c>
      <c r="F2743" s="3" t="s">
        <v>14206</v>
      </c>
      <c r="H2743" s="3" t="s">
        <v>289</v>
      </c>
      <c r="K2743" s="2">
        <v>20</v>
      </c>
      <c r="L2743" s="2">
        <v>5</v>
      </c>
      <c r="M2743" s="3" t="s">
        <v>3613</v>
      </c>
      <c r="Q2743" s="30" t="str">
        <f t="shared" si="42"/>
        <v xml:space="preserve">MAX : 
TARGET : 
MIN : </v>
      </c>
    </row>
    <row r="2744" spans="2:18" ht="41.4" x14ac:dyDescent="0.3">
      <c r="B2744">
        <v>1</v>
      </c>
      <c r="C2744" s="33">
        <v>8226</v>
      </c>
      <c r="D2744" s="2">
        <v>1190</v>
      </c>
      <c r="E2744" s="2" t="s">
        <v>10115</v>
      </c>
      <c r="F2744" s="3" t="s">
        <v>14207</v>
      </c>
      <c r="H2744" s="3" t="s">
        <v>656</v>
      </c>
      <c r="J2744" s="3" t="s">
        <v>3083</v>
      </c>
      <c r="K2744" s="2">
        <v>20</v>
      </c>
      <c r="L2744" s="2">
        <v>2</v>
      </c>
      <c r="M2744" s="3" t="s">
        <v>78</v>
      </c>
      <c r="N2744" s="3" t="s">
        <v>13</v>
      </c>
      <c r="O2744" s="3" t="s">
        <v>14</v>
      </c>
      <c r="Q2744" s="30" t="str">
        <f t="shared" si="42"/>
        <v>MAX : 
TARGET : Yes(Pass)
MIN : No(Fail)</v>
      </c>
    </row>
    <row r="2745" spans="2:18" ht="41.4" x14ac:dyDescent="0.3">
      <c r="B2745">
        <v>0</v>
      </c>
      <c r="C2745" s="33">
        <v>8037</v>
      </c>
      <c r="D2745" s="2">
        <v>1172</v>
      </c>
      <c r="E2745" s="2" t="s">
        <v>9961</v>
      </c>
      <c r="F2745" s="3" t="s">
        <v>14206</v>
      </c>
      <c r="G2745" s="3" t="s">
        <v>1665</v>
      </c>
      <c r="H2745" s="3" t="s">
        <v>2938</v>
      </c>
      <c r="I2745" s="3" t="s">
        <v>575</v>
      </c>
      <c r="K2745" s="2">
        <v>10</v>
      </c>
      <c r="L2745" s="2">
        <v>10</v>
      </c>
      <c r="M2745" s="3" t="s">
        <v>4728</v>
      </c>
      <c r="Q2745" s="30" t="str">
        <f t="shared" si="42"/>
        <v xml:space="preserve">MAX : 
TARGET : 
MIN : </v>
      </c>
      <c r="R2745" s="3" t="s">
        <v>443</v>
      </c>
    </row>
    <row r="2746" spans="2:18" ht="41.4" x14ac:dyDescent="0.3">
      <c r="B2746">
        <v>1</v>
      </c>
      <c r="C2746" s="33">
        <v>8226</v>
      </c>
      <c r="D2746" s="2">
        <v>1190</v>
      </c>
      <c r="E2746" s="2" t="s">
        <v>10115</v>
      </c>
      <c r="F2746" s="3" t="s">
        <v>14207</v>
      </c>
      <c r="H2746" s="3" t="s">
        <v>656</v>
      </c>
      <c r="J2746" s="3" t="s">
        <v>3083</v>
      </c>
      <c r="K2746" s="2">
        <v>20</v>
      </c>
      <c r="L2746" s="2">
        <v>1</v>
      </c>
      <c r="M2746" s="3" t="s">
        <v>502</v>
      </c>
      <c r="N2746" s="3" t="s">
        <v>2999</v>
      </c>
      <c r="O2746" s="3" t="s">
        <v>388</v>
      </c>
      <c r="P2746" s="3" t="s">
        <v>3000</v>
      </c>
      <c r="Q2746" s="30" t="str">
        <f t="shared" si="42"/>
        <v>MAX : 6.2
TARGET : 6.0
MIN : 5.8</v>
      </c>
    </row>
    <row r="2747" spans="2:18" ht="41.4" x14ac:dyDescent="0.3">
      <c r="B2747">
        <v>1</v>
      </c>
      <c r="C2747" s="33">
        <v>8227</v>
      </c>
      <c r="D2747" s="2">
        <v>1191</v>
      </c>
      <c r="E2747" s="2" t="s">
        <v>10123</v>
      </c>
      <c r="F2747" s="3" t="s">
        <v>14206</v>
      </c>
      <c r="H2747" s="3" t="s">
        <v>3067</v>
      </c>
      <c r="K2747" s="2">
        <v>10</v>
      </c>
      <c r="L2747" s="2">
        <v>2</v>
      </c>
      <c r="M2747" s="3" t="s">
        <v>3069</v>
      </c>
      <c r="N2747" s="3" t="s">
        <v>3070</v>
      </c>
      <c r="O2747" s="3" t="s">
        <v>3071</v>
      </c>
      <c r="P2747" s="3" t="s">
        <v>1815</v>
      </c>
      <c r="Q2747" s="30" t="str">
        <f t="shared" si="42"/>
        <v>MAX : 0.68
TARGET : 0.65
MIN : 0.62</v>
      </c>
    </row>
    <row r="2748" spans="2:18" ht="41.4" x14ac:dyDescent="0.3">
      <c r="B2748">
        <v>1</v>
      </c>
      <c r="C2748" s="33">
        <v>8227</v>
      </c>
      <c r="D2748" s="2">
        <v>1191</v>
      </c>
      <c r="E2748" s="2" t="s">
        <v>10123</v>
      </c>
      <c r="F2748" s="3" t="s">
        <v>14206</v>
      </c>
      <c r="H2748" s="3" t="s">
        <v>3067</v>
      </c>
      <c r="K2748" s="2">
        <v>10</v>
      </c>
      <c r="L2748" s="2">
        <v>1</v>
      </c>
      <c r="M2748" s="3" t="s">
        <v>3068</v>
      </c>
      <c r="N2748" s="3" t="s">
        <v>1717</v>
      </c>
      <c r="O2748" s="3" t="s">
        <v>1616</v>
      </c>
      <c r="P2748" s="3" t="s">
        <v>887</v>
      </c>
      <c r="Q2748" s="30" t="str">
        <f t="shared" si="42"/>
        <v>MAX : 0.93
TARGET : 0.90
MIN : 0.87</v>
      </c>
    </row>
    <row r="2749" spans="2:18" ht="41.4" x14ac:dyDescent="0.3">
      <c r="B2749">
        <v>0</v>
      </c>
      <c r="C2749" s="33">
        <v>8588</v>
      </c>
      <c r="D2749" s="2">
        <v>1974</v>
      </c>
      <c r="E2749" s="2" t="s">
        <v>10654</v>
      </c>
      <c r="F2749" s="3" t="s">
        <v>14206</v>
      </c>
      <c r="H2749" s="3" t="s">
        <v>922</v>
      </c>
      <c r="K2749" s="2">
        <v>20</v>
      </c>
      <c r="L2749" s="2">
        <v>2</v>
      </c>
      <c r="M2749" s="3" t="s">
        <v>2819</v>
      </c>
      <c r="N2749" s="3" t="s">
        <v>13</v>
      </c>
      <c r="O2749" s="3" t="s">
        <v>14</v>
      </c>
      <c r="Q2749" s="30" t="str">
        <f t="shared" si="42"/>
        <v>MAX : 
TARGET : Yes(Pass)
MIN : No(Fail)</v>
      </c>
    </row>
    <row r="2750" spans="2:18" ht="41.4" x14ac:dyDescent="0.3">
      <c r="B2750">
        <v>1</v>
      </c>
      <c r="C2750" s="33">
        <v>8233</v>
      </c>
      <c r="D2750" s="2">
        <v>1192</v>
      </c>
      <c r="E2750" s="2" t="s">
        <v>10129</v>
      </c>
      <c r="F2750" s="3" t="s">
        <v>14206</v>
      </c>
      <c r="H2750" s="3" t="s">
        <v>3080</v>
      </c>
      <c r="K2750" s="2">
        <v>20</v>
      </c>
      <c r="L2750" s="2">
        <v>2</v>
      </c>
      <c r="M2750" s="3" t="s">
        <v>194</v>
      </c>
      <c r="N2750" s="3" t="s">
        <v>979</v>
      </c>
      <c r="O2750" s="3" t="s">
        <v>308</v>
      </c>
      <c r="P2750" s="3" t="s">
        <v>309</v>
      </c>
      <c r="Q2750" s="30" t="str">
        <f t="shared" si="42"/>
        <v>MAX : 0.50
TARGET : 0.47
MIN : 0.44</v>
      </c>
    </row>
    <row r="2751" spans="2:18" ht="41.4" x14ac:dyDescent="0.3">
      <c r="B2751">
        <v>1</v>
      </c>
      <c r="C2751" s="33">
        <v>8233</v>
      </c>
      <c r="D2751" s="2">
        <v>1192</v>
      </c>
      <c r="E2751" s="2" t="s">
        <v>10129</v>
      </c>
      <c r="F2751" s="3" t="s">
        <v>14206</v>
      </c>
      <c r="H2751" s="3" t="s">
        <v>3080</v>
      </c>
      <c r="K2751" s="2">
        <v>20</v>
      </c>
      <c r="L2751" s="2">
        <v>1</v>
      </c>
      <c r="M2751" s="3" t="s">
        <v>198</v>
      </c>
      <c r="N2751" s="3" t="s">
        <v>341</v>
      </c>
      <c r="O2751" s="3" t="s">
        <v>383</v>
      </c>
      <c r="P2751" s="3" t="s">
        <v>2201</v>
      </c>
      <c r="Q2751" s="30" t="str">
        <f t="shared" si="42"/>
        <v>MAX : 1.60
TARGET : 1.57
MIN : 1.54</v>
      </c>
    </row>
    <row r="2752" spans="2:18" ht="41.4" x14ac:dyDescent="0.3">
      <c r="B2752">
        <v>0</v>
      </c>
      <c r="C2752" s="33">
        <v>8592</v>
      </c>
      <c r="D2752" s="2">
        <v>1247</v>
      </c>
      <c r="E2752" s="2" t="s">
        <v>10661</v>
      </c>
      <c r="F2752" s="3" t="s">
        <v>14207</v>
      </c>
      <c r="H2752" s="3" t="s">
        <v>3395</v>
      </c>
      <c r="K2752" s="2">
        <v>10</v>
      </c>
      <c r="L2752" s="2">
        <v>3</v>
      </c>
      <c r="M2752" s="3" t="s">
        <v>2418</v>
      </c>
      <c r="N2752" s="3" t="s">
        <v>13</v>
      </c>
      <c r="O2752" s="3" t="s">
        <v>14</v>
      </c>
      <c r="Q2752" s="30" t="str">
        <f t="shared" si="42"/>
        <v>MAX : 
TARGET : Yes(Pass)
MIN : No(Fail)</v>
      </c>
    </row>
    <row r="2753" spans="2:18" ht="41.4" x14ac:dyDescent="0.3">
      <c r="B2753">
        <v>1</v>
      </c>
      <c r="C2753" s="33">
        <v>8233</v>
      </c>
      <c r="D2753" s="2">
        <v>1192</v>
      </c>
      <c r="E2753" s="2" t="s">
        <v>10129</v>
      </c>
      <c r="F2753" s="3" t="s">
        <v>14206</v>
      </c>
      <c r="H2753" s="3" t="s">
        <v>3080</v>
      </c>
      <c r="K2753" s="2">
        <v>20</v>
      </c>
      <c r="L2753" s="2">
        <v>4</v>
      </c>
      <c r="M2753" s="3" t="s">
        <v>5870</v>
      </c>
      <c r="N2753" s="3" t="s">
        <v>1741</v>
      </c>
      <c r="O2753" s="3" t="s">
        <v>1742</v>
      </c>
      <c r="P2753" s="3" t="s">
        <v>435</v>
      </c>
      <c r="Q2753" s="30" t="str">
        <f t="shared" si="42"/>
        <v>MAX : 0.17
TARGET : 0.16
MIN : 0.15</v>
      </c>
    </row>
    <row r="2754" spans="2:18" ht="41.4" x14ac:dyDescent="0.3">
      <c r="B2754">
        <v>1</v>
      </c>
      <c r="C2754" s="33">
        <v>8233</v>
      </c>
      <c r="D2754" s="2">
        <v>1192</v>
      </c>
      <c r="E2754" s="2" t="s">
        <v>10129</v>
      </c>
      <c r="F2754" s="3" t="s">
        <v>14206</v>
      </c>
      <c r="H2754" s="3" t="s">
        <v>3080</v>
      </c>
      <c r="K2754" s="2">
        <v>20</v>
      </c>
      <c r="L2754" s="2">
        <v>5</v>
      </c>
      <c r="M2754" s="3" t="s">
        <v>5871</v>
      </c>
      <c r="N2754" s="3" t="s">
        <v>1692</v>
      </c>
      <c r="O2754" s="3" t="s">
        <v>3997</v>
      </c>
      <c r="P2754" s="3" t="s">
        <v>1570</v>
      </c>
      <c r="Q2754" s="30" t="str">
        <f t="shared" ref="Q2754:Q2817" si="43">"MAX : " &amp; P2754 &amp; CHAR(10) &amp; "TARGET : " &amp; O2754 &amp; CHAR(10) &amp; "MIN : " &amp; N2754</f>
        <v>MAX : 0.13
TARGET : 0.12
MIN : 0.11</v>
      </c>
    </row>
    <row r="2755" spans="2:18" ht="41.4" x14ac:dyDescent="0.3">
      <c r="B2755">
        <v>0</v>
      </c>
      <c r="C2755" s="33">
        <v>8594</v>
      </c>
      <c r="D2755" s="2">
        <v>1248</v>
      </c>
      <c r="E2755" s="2" t="s">
        <v>10669</v>
      </c>
      <c r="F2755" s="3" t="s">
        <v>14206</v>
      </c>
      <c r="H2755" s="3" t="s">
        <v>3067</v>
      </c>
      <c r="K2755" s="2">
        <v>20</v>
      </c>
      <c r="L2755" s="2">
        <v>3</v>
      </c>
      <c r="M2755" s="3" t="s">
        <v>78</v>
      </c>
      <c r="N2755" s="3" t="s">
        <v>13</v>
      </c>
      <c r="O2755" s="3" t="s">
        <v>14</v>
      </c>
      <c r="Q2755" s="30" t="str">
        <f t="shared" si="43"/>
        <v>MAX : 
TARGET : Yes(Pass)
MIN : No(Fail)</v>
      </c>
    </row>
    <row r="2756" spans="2:18" ht="41.4" x14ac:dyDescent="0.3">
      <c r="B2756">
        <v>1</v>
      </c>
      <c r="C2756" s="33">
        <v>8264</v>
      </c>
      <c r="D2756" s="2">
        <v>1193</v>
      </c>
      <c r="E2756" s="2" t="s">
        <v>10148</v>
      </c>
      <c r="F2756" s="3" t="s">
        <v>14206</v>
      </c>
      <c r="H2756" s="3" t="s">
        <v>648</v>
      </c>
      <c r="K2756" s="2">
        <v>20</v>
      </c>
      <c r="L2756" s="2">
        <v>2</v>
      </c>
      <c r="M2756" s="3" t="s">
        <v>1492</v>
      </c>
      <c r="N2756" s="3" t="s">
        <v>3084</v>
      </c>
      <c r="O2756" s="3" t="s">
        <v>3085</v>
      </c>
      <c r="P2756" s="3" t="s">
        <v>983</v>
      </c>
      <c r="Q2756" s="30" t="str">
        <f t="shared" si="43"/>
        <v>MAX : 0.095
TARGET : 0.075
MIN : 0.055</v>
      </c>
    </row>
    <row r="2757" spans="2:18" ht="41.4" x14ac:dyDescent="0.3">
      <c r="B2757">
        <v>1</v>
      </c>
      <c r="C2757" s="33">
        <v>8264</v>
      </c>
      <c r="D2757" s="2">
        <v>1193</v>
      </c>
      <c r="E2757" s="2" t="s">
        <v>10148</v>
      </c>
      <c r="F2757" s="3" t="s">
        <v>14206</v>
      </c>
      <c r="H2757" s="3" t="s">
        <v>648</v>
      </c>
      <c r="K2757" s="2">
        <v>20</v>
      </c>
      <c r="L2757" s="2">
        <v>1</v>
      </c>
      <c r="M2757" s="3" t="s">
        <v>1489</v>
      </c>
      <c r="N2757" s="3" t="s">
        <v>1570</v>
      </c>
      <c r="O2757" s="3" t="s">
        <v>1741</v>
      </c>
      <c r="P2757" s="3" t="s">
        <v>435</v>
      </c>
      <c r="Q2757" s="30" t="str">
        <f t="shared" si="43"/>
        <v>MAX : 0.17
TARGET : 0.15
MIN : 0.13</v>
      </c>
    </row>
    <row r="2758" spans="2:18" ht="41.4" x14ac:dyDescent="0.3">
      <c r="B2758">
        <v>0</v>
      </c>
      <c r="C2758" s="33">
        <v>7549</v>
      </c>
      <c r="D2758" s="2">
        <v>1899</v>
      </c>
      <c r="E2758" s="2" t="s">
        <v>9355</v>
      </c>
      <c r="F2758" s="3" t="s">
        <v>14206</v>
      </c>
      <c r="H2758" s="3" t="s">
        <v>491</v>
      </c>
      <c r="K2758" s="2">
        <v>20</v>
      </c>
      <c r="L2758" s="2">
        <v>3</v>
      </c>
      <c r="M2758" s="3" t="s">
        <v>325</v>
      </c>
      <c r="N2758" s="3" t="s">
        <v>13</v>
      </c>
      <c r="O2758" s="3" t="s">
        <v>14</v>
      </c>
      <c r="Q2758" s="30" t="str">
        <f t="shared" si="43"/>
        <v>MAX : 
TARGET : Yes(Pass)
MIN : No(Fail)</v>
      </c>
    </row>
    <row r="2759" spans="2:18" ht="41.4" x14ac:dyDescent="0.3">
      <c r="B2759">
        <v>1</v>
      </c>
      <c r="C2759" s="33">
        <v>8270</v>
      </c>
      <c r="D2759" s="2">
        <v>1194</v>
      </c>
      <c r="E2759" s="2" t="s">
        <v>10159</v>
      </c>
      <c r="F2759" s="3" t="s">
        <v>14206</v>
      </c>
      <c r="H2759" s="3" t="s">
        <v>3086</v>
      </c>
      <c r="K2759" s="2">
        <v>10</v>
      </c>
      <c r="L2759" s="2">
        <v>2</v>
      </c>
      <c r="M2759" s="3" t="s">
        <v>198</v>
      </c>
      <c r="N2759" s="3" t="s">
        <v>2907</v>
      </c>
      <c r="O2759" s="3" t="s">
        <v>340</v>
      </c>
      <c r="P2759" s="3" t="s">
        <v>2367</v>
      </c>
      <c r="Q2759" s="30" t="str">
        <f t="shared" si="43"/>
        <v>MAX : 3.56
TARGET : 3.50
MIN : 3.44</v>
      </c>
      <c r="R2759" s="3" t="s">
        <v>3089</v>
      </c>
    </row>
    <row r="2760" spans="2:18" ht="41.4" x14ac:dyDescent="0.3">
      <c r="B2760">
        <v>1</v>
      </c>
      <c r="C2760" s="33">
        <v>8270</v>
      </c>
      <c r="D2760" s="2">
        <v>1194</v>
      </c>
      <c r="E2760" s="2" t="s">
        <v>10159</v>
      </c>
      <c r="F2760" s="3" t="s">
        <v>14206</v>
      </c>
      <c r="H2760" s="3" t="s">
        <v>3086</v>
      </c>
      <c r="K2760" s="2">
        <v>10</v>
      </c>
      <c r="L2760" s="2">
        <v>1</v>
      </c>
      <c r="M2760" s="3" t="s">
        <v>194</v>
      </c>
      <c r="N2760" s="3" t="s">
        <v>3087</v>
      </c>
      <c r="O2760" s="3" t="s">
        <v>2986</v>
      </c>
      <c r="P2760" s="3" t="s">
        <v>3088</v>
      </c>
      <c r="Q2760" s="30" t="str">
        <f t="shared" si="43"/>
        <v>MAX : 19.13
TARGET : 19.00
MIN : 18.87</v>
      </c>
      <c r="R2760" s="3" t="s">
        <v>3089</v>
      </c>
    </row>
    <row r="2761" spans="2:18" ht="41.4" x14ac:dyDescent="0.3">
      <c r="B2761">
        <v>1</v>
      </c>
      <c r="C2761" s="33">
        <v>8271</v>
      </c>
      <c r="D2761" s="2">
        <v>1195</v>
      </c>
      <c r="E2761" s="2" t="s">
        <v>10167</v>
      </c>
      <c r="F2761" s="3" t="s">
        <v>14232</v>
      </c>
      <c r="H2761" s="3" t="s">
        <v>3086</v>
      </c>
      <c r="K2761" s="2">
        <v>10</v>
      </c>
      <c r="L2761" s="2">
        <v>2</v>
      </c>
      <c r="M2761" s="3" t="s">
        <v>198</v>
      </c>
      <c r="N2761" s="3" t="s">
        <v>2907</v>
      </c>
      <c r="O2761" s="3" t="s">
        <v>340</v>
      </c>
      <c r="P2761" s="3" t="s">
        <v>2367</v>
      </c>
      <c r="Q2761" s="30" t="str">
        <f t="shared" si="43"/>
        <v>MAX : 3.56
TARGET : 3.50
MIN : 3.44</v>
      </c>
    </row>
    <row r="2762" spans="2:18" ht="41.4" x14ac:dyDescent="0.3">
      <c r="B2762">
        <v>1</v>
      </c>
      <c r="C2762" s="33">
        <v>8271</v>
      </c>
      <c r="D2762" s="2">
        <v>1195</v>
      </c>
      <c r="E2762" s="2" t="s">
        <v>10167</v>
      </c>
      <c r="F2762" s="3" t="s">
        <v>14232</v>
      </c>
      <c r="H2762" s="3" t="s">
        <v>3086</v>
      </c>
      <c r="K2762" s="2">
        <v>10</v>
      </c>
      <c r="L2762" s="2">
        <v>1</v>
      </c>
      <c r="M2762" s="3" t="s">
        <v>194</v>
      </c>
      <c r="N2762" s="3" t="s">
        <v>3087</v>
      </c>
      <c r="O2762" s="3" t="s">
        <v>2986</v>
      </c>
      <c r="P2762" s="3" t="s">
        <v>3088</v>
      </c>
      <c r="Q2762" s="30" t="str">
        <f t="shared" si="43"/>
        <v>MAX : 19.13
TARGET : 19.00
MIN : 18.87</v>
      </c>
    </row>
    <row r="2763" spans="2:18" ht="41.4" x14ac:dyDescent="0.3">
      <c r="B2763">
        <v>0</v>
      </c>
      <c r="C2763" s="33">
        <v>8604</v>
      </c>
      <c r="D2763" s="2">
        <v>1249</v>
      </c>
      <c r="E2763" s="2" t="s">
        <v>10682</v>
      </c>
      <c r="F2763" s="3" t="s">
        <v>14206</v>
      </c>
      <c r="H2763" s="3" t="s">
        <v>3404</v>
      </c>
      <c r="K2763" s="2">
        <v>20</v>
      </c>
      <c r="L2763" s="2">
        <v>1</v>
      </c>
      <c r="M2763" s="3" t="s">
        <v>194</v>
      </c>
      <c r="N2763" s="3" t="s">
        <v>718</v>
      </c>
      <c r="O2763" s="3" t="s">
        <v>91</v>
      </c>
      <c r="P2763" s="3" t="s">
        <v>2852</v>
      </c>
      <c r="Q2763" s="30" t="str">
        <f t="shared" si="43"/>
        <v>MAX : 0.215
TARGET : 0.200
MIN : 0.185</v>
      </c>
    </row>
    <row r="2764" spans="2:18" ht="41.4" x14ac:dyDescent="0.3">
      <c r="B2764">
        <v>0</v>
      </c>
      <c r="C2764" s="33">
        <v>8604</v>
      </c>
      <c r="D2764" s="2">
        <v>1249</v>
      </c>
      <c r="E2764" s="2" t="s">
        <v>10682</v>
      </c>
      <c r="F2764" s="3" t="s">
        <v>14206</v>
      </c>
      <c r="H2764" s="3" t="s">
        <v>3404</v>
      </c>
      <c r="K2764" s="2">
        <v>20</v>
      </c>
      <c r="L2764" s="2">
        <v>2</v>
      </c>
      <c r="M2764" s="3" t="s">
        <v>198</v>
      </c>
      <c r="N2764" s="3" t="s">
        <v>718</v>
      </c>
      <c r="O2764" s="3" t="s">
        <v>91</v>
      </c>
      <c r="P2764" s="3" t="s">
        <v>2852</v>
      </c>
      <c r="Q2764" s="30" t="str">
        <f t="shared" si="43"/>
        <v>MAX : 0.215
TARGET : 0.200
MIN : 0.185</v>
      </c>
    </row>
    <row r="2765" spans="2:18" ht="41.4" x14ac:dyDescent="0.3">
      <c r="B2765">
        <v>0</v>
      </c>
      <c r="C2765" s="33">
        <v>8604</v>
      </c>
      <c r="D2765" s="2">
        <v>1249</v>
      </c>
      <c r="E2765" s="2" t="s">
        <v>10682</v>
      </c>
      <c r="F2765" s="3" t="s">
        <v>14206</v>
      </c>
      <c r="H2765" s="3" t="s">
        <v>3404</v>
      </c>
      <c r="K2765" s="2">
        <v>20</v>
      </c>
      <c r="L2765" s="2">
        <v>3</v>
      </c>
      <c r="M2765" s="3" t="s">
        <v>78</v>
      </c>
      <c r="N2765" s="3" t="s">
        <v>13</v>
      </c>
      <c r="O2765" s="3" t="s">
        <v>3406</v>
      </c>
      <c r="Q2765" s="30" t="str">
        <f t="shared" si="43"/>
        <v>MAX : 
TARGET : Yes(Pass)`
MIN : No(Fail)</v>
      </c>
    </row>
    <row r="2766" spans="2:18" ht="41.4" x14ac:dyDescent="0.3">
      <c r="B2766">
        <v>1</v>
      </c>
      <c r="C2766" s="33">
        <v>8272</v>
      </c>
      <c r="D2766" s="2">
        <v>1196</v>
      </c>
      <c r="E2766" s="2" t="s">
        <v>10172</v>
      </c>
      <c r="F2766" s="3" t="s">
        <v>14232</v>
      </c>
      <c r="H2766" s="3" t="s">
        <v>3086</v>
      </c>
      <c r="K2766" s="2">
        <v>10</v>
      </c>
      <c r="L2766" s="2">
        <v>2</v>
      </c>
      <c r="M2766" s="3" t="s">
        <v>198</v>
      </c>
      <c r="N2766" s="3" t="s">
        <v>3091</v>
      </c>
      <c r="O2766" s="3" t="s">
        <v>184</v>
      </c>
      <c r="P2766" s="3" t="s">
        <v>3092</v>
      </c>
      <c r="Q2766" s="30" t="str">
        <f t="shared" si="43"/>
        <v>MAX : 5.06
TARGET : 5.00
MIN : 4.94</v>
      </c>
      <c r="R2766" s="3" t="s">
        <v>3089</v>
      </c>
    </row>
    <row r="2767" spans="2:18" ht="41.4" x14ac:dyDescent="0.3">
      <c r="B2767">
        <v>1</v>
      </c>
      <c r="C2767" s="33">
        <v>8272</v>
      </c>
      <c r="D2767" s="2">
        <v>1196</v>
      </c>
      <c r="E2767" s="2" t="s">
        <v>10172</v>
      </c>
      <c r="F2767" s="3" t="s">
        <v>14232</v>
      </c>
      <c r="H2767" s="3" t="s">
        <v>3086</v>
      </c>
      <c r="K2767" s="2">
        <v>10</v>
      </c>
      <c r="L2767" s="2">
        <v>1</v>
      </c>
      <c r="M2767" s="3" t="s">
        <v>194</v>
      </c>
      <c r="N2767" s="3" t="s">
        <v>3087</v>
      </c>
      <c r="O2767" s="3" t="s">
        <v>2986</v>
      </c>
      <c r="P2767" s="3" t="s">
        <v>3088</v>
      </c>
      <c r="Q2767" s="30" t="str">
        <f t="shared" si="43"/>
        <v>MAX : 19.13
TARGET : 19.00
MIN : 18.87</v>
      </c>
      <c r="R2767" s="3" t="s">
        <v>3089</v>
      </c>
    </row>
    <row r="2768" spans="2:18" ht="41.4" x14ac:dyDescent="0.3">
      <c r="B2768">
        <v>1</v>
      </c>
      <c r="C2768" s="33">
        <v>8273</v>
      </c>
      <c r="D2768" s="2">
        <v>1197</v>
      </c>
      <c r="E2768" s="2" t="s">
        <v>10178</v>
      </c>
      <c r="F2768" s="3" t="s">
        <v>14206</v>
      </c>
      <c r="H2768" s="3" t="s">
        <v>3086</v>
      </c>
      <c r="K2768" s="2">
        <v>10</v>
      </c>
      <c r="L2768" s="2">
        <v>2</v>
      </c>
      <c r="M2768" s="3" t="s">
        <v>198</v>
      </c>
      <c r="N2768" s="3" t="s">
        <v>2907</v>
      </c>
      <c r="O2768" s="3" t="s">
        <v>340</v>
      </c>
      <c r="P2768" s="3" t="s">
        <v>2367</v>
      </c>
      <c r="Q2768" s="30" t="str">
        <f t="shared" si="43"/>
        <v>MAX : 3.56
TARGET : 3.50
MIN : 3.44</v>
      </c>
      <c r="R2768" s="3" t="s">
        <v>3089</v>
      </c>
    </row>
    <row r="2769" spans="2:18" ht="41.4" x14ac:dyDescent="0.3">
      <c r="B2769">
        <v>0</v>
      </c>
      <c r="C2769" s="33">
        <v>8611</v>
      </c>
      <c r="D2769" s="2">
        <v>1250</v>
      </c>
      <c r="E2769" s="2" t="s">
        <v>10690</v>
      </c>
      <c r="F2769" s="3" t="s">
        <v>14207</v>
      </c>
      <c r="H2769" s="3" t="s">
        <v>810</v>
      </c>
      <c r="K2769" s="2">
        <v>10</v>
      </c>
      <c r="L2769" s="2">
        <v>3</v>
      </c>
      <c r="M2769" s="3" t="s">
        <v>3415</v>
      </c>
      <c r="N2769" s="3" t="s">
        <v>13</v>
      </c>
      <c r="O2769" s="3" t="s">
        <v>14</v>
      </c>
      <c r="Q2769" s="30" t="str">
        <f t="shared" si="43"/>
        <v>MAX : 
TARGET : Yes(Pass)
MIN : No(Fail)</v>
      </c>
    </row>
    <row r="2770" spans="2:18" ht="41.4" x14ac:dyDescent="0.3">
      <c r="B2770">
        <v>1</v>
      </c>
      <c r="C2770" s="33">
        <v>8273</v>
      </c>
      <c r="D2770" s="2">
        <v>1197</v>
      </c>
      <c r="E2770" s="2" t="s">
        <v>10178</v>
      </c>
      <c r="F2770" s="3" t="s">
        <v>14206</v>
      </c>
      <c r="H2770" s="3" t="s">
        <v>3086</v>
      </c>
      <c r="K2770" s="2">
        <v>10</v>
      </c>
      <c r="L2770" s="2">
        <v>1</v>
      </c>
      <c r="M2770" s="3" t="s">
        <v>194</v>
      </c>
      <c r="N2770" s="3" t="s">
        <v>3087</v>
      </c>
      <c r="O2770" s="3" t="s">
        <v>2986</v>
      </c>
      <c r="P2770" s="3" t="s">
        <v>3088</v>
      </c>
      <c r="Q2770" s="30" t="str">
        <f t="shared" si="43"/>
        <v>MAX : 19.13
TARGET : 19.00
MIN : 18.87</v>
      </c>
      <c r="R2770" s="3" t="s">
        <v>3089</v>
      </c>
    </row>
    <row r="2771" spans="2:18" ht="41.4" x14ac:dyDescent="0.3">
      <c r="B2771">
        <v>1</v>
      </c>
      <c r="C2771" s="33">
        <v>8274</v>
      </c>
      <c r="D2771" s="2">
        <v>1948</v>
      </c>
      <c r="E2771" s="2" t="s">
        <v>10181</v>
      </c>
      <c r="F2771" s="3" t="s">
        <v>14206</v>
      </c>
      <c r="H2771" s="3" t="s">
        <v>289</v>
      </c>
      <c r="K2771" s="2">
        <v>10</v>
      </c>
      <c r="L2771" s="2">
        <v>2</v>
      </c>
      <c r="M2771" s="3" t="s">
        <v>611</v>
      </c>
      <c r="N2771" s="3" t="s">
        <v>13</v>
      </c>
      <c r="O2771" s="3" t="s">
        <v>14</v>
      </c>
      <c r="Q2771" s="30" t="str">
        <f t="shared" si="43"/>
        <v>MAX : 
TARGET : Yes(Pass)
MIN : No(Fail)</v>
      </c>
    </row>
    <row r="2772" spans="2:18" ht="41.4" x14ac:dyDescent="0.3">
      <c r="B2772">
        <v>0</v>
      </c>
      <c r="C2772" s="33">
        <v>8612</v>
      </c>
      <c r="D2772" s="2">
        <v>1251</v>
      </c>
      <c r="E2772" s="2" t="s">
        <v>10697</v>
      </c>
      <c r="F2772" s="3" t="s">
        <v>14207</v>
      </c>
      <c r="H2772" s="3" t="s">
        <v>810</v>
      </c>
      <c r="K2772" s="2">
        <v>10</v>
      </c>
      <c r="L2772" s="2">
        <v>3</v>
      </c>
      <c r="M2772" s="3" t="s">
        <v>3415</v>
      </c>
      <c r="N2772" s="3" t="s">
        <v>13</v>
      </c>
      <c r="O2772" s="3" t="s">
        <v>14</v>
      </c>
      <c r="Q2772" s="30" t="str">
        <f t="shared" si="43"/>
        <v>MAX : 
TARGET : Yes(Pass)
MIN : No(Fail)</v>
      </c>
    </row>
    <row r="2773" spans="2:18" ht="41.4" x14ac:dyDescent="0.3">
      <c r="B2773">
        <v>1</v>
      </c>
      <c r="C2773" s="33">
        <v>8274</v>
      </c>
      <c r="D2773" s="2">
        <v>1948</v>
      </c>
      <c r="E2773" s="2" t="s">
        <v>10181</v>
      </c>
      <c r="F2773" s="3" t="s">
        <v>14206</v>
      </c>
      <c r="H2773" s="3" t="s">
        <v>289</v>
      </c>
      <c r="K2773" s="2">
        <v>10</v>
      </c>
      <c r="L2773" s="2">
        <v>1</v>
      </c>
      <c r="M2773" s="3" t="s">
        <v>99</v>
      </c>
      <c r="N2773" s="3" t="s">
        <v>1173</v>
      </c>
      <c r="O2773" s="3" t="s">
        <v>250</v>
      </c>
      <c r="P2773" s="3" t="s">
        <v>1174</v>
      </c>
      <c r="Q2773" s="30" t="str">
        <f t="shared" si="43"/>
        <v>MAX : 6.06
TARGET : 6.00
MIN : 5.94</v>
      </c>
    </row>
    <row r="2774" spans="2:18" ht="41.4" x14ac:dyDescent="0.3">
      <c r="B2774">
        <v>1</v>
      </c>
      <c r="C2774" s="33">
        <v>8286</v>
      </c>
      <c r="D2774" s="2">
        <v>1198</v>
      </c>
      <c r="E2774" s="2" t="s">
        <v>10187</v>
      </c>
      <c r="F2774" s="3" t="s">
        <v>14206</v>
      </c>
      <c r="H2774" s="3" t="s">
        <v>810</v>
      </c>
      <c r="K2774" s="2">
        <v>20</v>
      </c>
      <c r="L2774" s="2">
        <v>2</v>
      </c>
      <c r="M2774" s="3" t="s">
        <v>198</v>
      </c>
      <c r="N2774" s="3" t="s">
        <v>3099</v>
      </c>
      <c r="O2774" s="3" t="s">
        <v>1634</v>
      </c>
      <c r="P2774" s="3" t="s">
        <v>3100</v>
      </c>
      <c r="Q2774" s="30" t="str">
        <f t="shared" si="43"/>
        <v>MAX : 4.935
TARGET : 4.875
MIN : 4.815</v>
      </c>
    </row>
    <row r="2775" spans="2:18" ht="41.4" x14ac:dyDescent="0.3">
      <c r="B2775">
        <v>0</v>
      </c>
      <c r="C2775" s="33">
        <v>8613</v>
      </c>
      <c r="D2775" s="2">
        <v>1252</v>
      </c>
      <c r="E2775" s="2" t="s">
        <v>10704</v>
      </c>
      <c r="F2775" s="3" t="s">
        <v>14207</v>
      </c>
      <c r="H2775" s="3" t="s">
        <v>810</v>
      </c>
      <c r="K2775" s="2">
        <v>10</v>
      </c>
      <c r="L2775" s="2">
        <v>3</v>
      </c>
      <c r="M2775" s="3" t="s">
        <v>3415</v>
      </c>
      <c r="N2775" s="3" t="s">
        <v>13</v>
      </c>
      <c r="O2775" s="3" t="s">
        <v>14</v>
      </c>
      <c r="Q2775" s="30" t="str">
        <f t="shared" si="43"/>
        <v>MAX : 
TARGET : Yes(Pass)
MIN : No(Fail)</v>
      </c>
    </row>
    <row r="2776" spans="2:18" ht="41.4" x14ac:dyDescent="0.3">
      <c r="B2776">
        <v>1</v>
      </c>
      <c r="C2776" s="33">
        <v>8286</v>
      </c>
      <c r="D2776" s="2">
        <v>1198</v>
      </c>
      <c r="E2776" s="2" t="s">
        <v>10187</v>
      </c>
      <c r="F2776" s="3" t="s">
        <v>14206</v>
      </c>
      <c r="H2776" s="3" t="s">
        <v>810</v>
      </c>
      <c r="K2776" s="2">
        <v>20</v>
      </c>
      <c r="L2776" s="2">
        <v>1</v>
      </c>
      <c r="M2776" s="3" t="s">
        <v>194</v>
      </c>
      <c r="N2776" s="3" t="s">
        <v>3096</v>
      </c>
      <c r="O2776" s="3" t="s">
        <v>3097</v>
      </c>
      <c r="P2776" s="3" t="s">
        <v>3098</v>
      </c>
      <c r="Q2776" s="30" t="str">
        <f t="shared" si="43"/>
        <v>MAX : 6.003
TARGET : 5.943
MIN : 5.883</v>
      </c>
    </row>
    <row r="2777" spans="2:18" ht="41.4" x14ac:dyDescent="0.3">
      <c r="B2777">
        <v>1</v>
      </c>
      <c r="C2777" s="33">
        <v>8288</v>
      </c>
      <c r="D2777" s="2">
        <v>1949</v>
      </c>
      <c r="E2777" s="2" t="s">
        <v>10193</v>
      </c>
      <c r="F2777" s="3" t="s">
        <v>14206</v>
      </c>
      <c r="H2777" s="3" t="s">
        <v>261</v>
      </c>
      <c r="K2777" s="2">
        <v>10</v>
      </c>
      <c r="L2777" s="2">
        <v>2</v>
      </c>
      <c r="M2777" s="3" t="s">
        <v>3114</v>
      </c>
      <c r="N2777" s="3" t="s">
        <v>13</v>
      </c>
      <c r="O2777" s="3" t="s">
        <v>14</v>
      </c>
      <c r="Q2777" s="30" t="str">
        <f t="shared" si="43"/>
        <v>MAX : 
TARGET : Yes(Pass)
MIN : No(Fail)</v>
      </c>
      <c r="R2777" s="3" t="s">
        <v>762</v>
      </c>
    </row>
    <row r="2778" spans="2:18" ht="41.4" x14ac:dyDescent="0.3">
      <c r="B2778">
        <v>0</v>
      </c>
      <c r="C2778" s="33">
        <v>8614</v>
      </c>
      <c r="D2778" s="2">
        <v>1253</v>
      </c>
      <c r="E2778" s="2" t="s">
        <v>10709</v>
      </c>
      <c r="F2778" s="3" t="s">
        <v>14206</v>
      </c>
      <c r="H2778" s="3" t="s">
        <v>469</v>
      </c>
      <c r="K2778" s="2">
        <v>20</v>
      </c>
      <c r="L2778" s="2">
        <v>1</v>
      </c>
      <c r="M2778" s="3" t="s">
        <v>194</v>
      </c>
      <c r="N2778" s="3" t="s">
        <v>3430</v>
      </c>
      <c r="O2778" s="3" t="s">
        <v>3431</v>
      </c>
      <c r="P2778" s="3" t="s">
        <v>3432</v>
      </c>
      <c r="Q2778" s="30" t="str">
        <f t="shared" si="43"/>
        <v>MAX : 3.208
TARGET : 3.178
MIN : 3.148</v>
      </c>
    </row>
    <row r="2779" spans="2:18" ht="41.4" x14ac:dyDescent="0.3">
      <c r="B2779">
        <v>1</v>
      </c>
      <c r="C2779" s="33">
        <v>8288</v>
      </c>
      <c r="D2779" s="2">
        <v>1949</v>
      </c>
      <c r="E2779" s="2" t="s">
        <v>10193</v>
      </c>
      <c r="F2779" s="3" t="s">
        <v>14206</v>
      </c>
      <c r="H2779" s="3" t="s">
        <v>261</v>
      </c>
      <c r="K2779" s="2">
        <v>10</v>
      </c>
      <c r="L2779" s="2">
        <v>1</v>
      </c>
      <c r="M2779" s="3" t="s">
        <v>99</v>
      </c>
      <c r="N2779" s="3" t="s">
        <v>308</v>
      </c>
      <c r="O2779" s="3" t="s">
        <v>309</v>
      </c>
      <c r="P2779" s="3" t="s">
        <v>310</v>
      </c>
      <c r="Q2779" s="30" t="str">
        <f t="shared" si="43"/>
        <v>MAX : 0.53
TARGET : 0.50
MIN : 0.47</v>
      </c>
      <c r="R2779" s="3" t="s">
        <v>762</v>
      </c>
    </row>
    <row r="2780" spans="2:18" ht="41.4" x14ac:dyDescent="0.3">
      <c r="B2780">
        <v>1</v>
      </c>
      <c r="C2780" s="33">
        <v>8288</v>
      </c>
      <c r="D2780" s="2">
        <v>1949</v>
      </c>
      <c r="E2780" s="2" t="s">
        <v>10193</v>
      </c>
      <c r="F2780" s="3" t="s">
        <v>14206</v>
      </c>
      <c r="H2780" s="3" t="s">
        <v>261</v>
      </c>
      <c r="K2780" s="2">
        <v>10</v>
      </c>
      <c r="L2780" s="2">
        <v>3</v>
      </c>
      <c r="M2780" s="3" t="s">
        <v>5820</v>
      </c>
      <c r="Q2780" s="30" t="str">
        <f t="shared" si="43"/>
        <v xml:space="preserve">MAX : 
TARGET : 
MIN : </v>
      </c>
      <c r="R2780" s="3" t="s">
        <v>762</v>
      </c>
    </row>
    <row r="2781" spans="2:18" ht="41.4" x14ac:dyDescent="0.3">
      <c r="B2781">
        <v>1</v>
      </c>
      <c r="C2781" s="33">
        <v>8293</v>
      </c>
      <c r="D2781" s="2">
        <v>1199</v>
      </c>
      <c r="E2781" s="2" t="s">
        <v>10200</v>
      </c>
      <c r="F2781" s="3" t="s">
        <v>14206</v>
      </c>
      <c r="H2781" s="3" t="s">
        <v>3122</v>
      </c>
      <c r="K2781" s="2">
        <v>10</v>
      </c>
      <c r="L2781" s="2">
        <v>2</v>
      </c>
      <c r="M2781" s="3" t="s">
        <v>78</v>
      </c>
      <c r="N2781" s="3" t="s">
        <v>13</v>
      </c>
      <c r="O2781" s="3" t="s">
        <v>14</v>
      </c>
      <c r="Q2781" s="30" t="str">
        <f t="shared" si="43"/>
        <v>MAX : 
TARGET : Yes(Pass)
MIN : No(Fail)</v>
      </c>
      <c r="R2781" s="3" t="s">
        <v>1638</v>
      </c>
    </row>
    <row r="2782" spans="2:18" ht="41.4" x14ac:dyDescent="0.3">
      <c r="B2782">
        <v>1</v>
      </c>
      <c r="C2782" s="33">
        <v>8293</v>
      </c>
      <c r="D2782" s="2">
        <v>1199</v>
      </c>
      <c r="E2782" s="2" t="s">
        <v>10200</v>
      </c>
      <c r="F2782" s="3" t="s">
        <v>14206</v>
      </c>
      <c r="H2782" s="3" t="s">
        <v>3122</v>
      </c>
      <c r="K2782" s="2">
        <v>10</v>
      </c>
      <c r="L2782" s="2">
        <v>1</v>
      </c>
      <c r="M2782" s="3" t="s">
        <v>502</v>
      </c>
      <c r="N2782" s="3" t="s">
        <v>485</v>
      </c>
      <c r="O2782" s="3" t="s">
        <v>272</v>
      </c>
      <c r="P2782" s="3" t="s">
        <v>507</v>
      </c>
      <c r="Q2782" s="30" t="str">
        <f t="shared" si="43"/>
        <v>MAX : 1.06
TARGET : 1.00
MIN : 0.94</v>
      </c>
      <c r="R2782" s="3" t="s">
        <v>1638</v>
      </c>
    </row>
    <row r="2783" spans="2:18" ht="41.4" x14ac:dyDescent="0.3">
      <c r="B2783">
        <v>0</v>
      </c>
      <c r="C2783" s="33">
        <v>8142</v>
      </c>
      <c r="D2783" s="2">
        <v>1181</v>
      </c>
      <c r="E2783" s="2" t="s">
        <v>10036</v>
      </c>
      <c r="F2783" s="3" t="s">
        <v>14207</v>
      </c>
      <c r="H2783" s="3" t="s">
        <v>504</v>
      </c>
      <c r="K2783" s="2">
        <v>10</v>
      </c>
      <c r="L2783" s="2">
        <v>3</v>
      </c>
      <c r="M2783" s="3" t="s">
        <v>3033</v>
      </c>
      <c r="N2783" s="3" t="s">
        <v>778</v>
      </c>
      <c r="O2783" s="3" t="s">
        <v>1158</v>
      </c>
      <c r="P2783" s="3" t="s">
        <v>779</v>
      </c>
      <c r="Q2783" s="30" t="str">
        <f t="shared" si="43"/>
        <v>MAX : 12.5
TARGET : 11.5
MIN : 10.5</v>
      </c>
    </row>
    <row r="2784" spans="2:18" ht="41.4" x14ac:dyDescent="0.3">
      <c r="B2784">
        <v>1</v>
      </c>
      <c r="C2784" s="33">
        <v>8293</v>
      </c>
      <c r="D2784" s="2">
        <v>1199</v>
      </c>
      <c r="E2784" s="2" t="s">
        <v>10200</v>
      </c>
      <c r="F2784" s="3" t="s">
        <v>14206</v>
      </c>
      <c r="H2784" s="3" t="s">
        <v>3122</v>
      </c>
      <c r="K2784" s="2">
        <v>10</v>
      </c>
      <c r="L2784" s="2">
        <v>3</v>
      </c>
      <c r="M2784" s="3" t="s">
        <v>3015</v>
      </c>
      <c r="N2784" s="3" t="s">
        <v>13</v>
      </c>
      <c r="O2784" s="3" t="s">
        <v>14</v>
      </c>
      <c r="Q2784" s="30" t="str">
        <f t="shared" si="43"/>
        <v>MAX : 
TARGET : Yes(Pass)
MIN : No(Fail)</v>
      </c>
      <c r="R2784" s="3" t="s">
        <v>1638</v>
      </c>
    </row>
    <row r="2785" spans="2:18" ht="41.4" x14ac:dyDescent="0.3">
      <c r="B2785">
        <v>0</v>
      </c>
      <c r="C2785" s="33">
        <v>8178</v>
      </c>
      <c r="D2785" s="2">
        <v>1184</v>
      </c>
      <c r="E2785" s="2" t="s">
        <v>10057</v>
      </c>
      <c r="F2785" s="29" t="s">
        <v>14227</v>
      </c>
      <c r="G2785" s="3" t="s">
        <v>2843</v>
      </c>
      <c r="H2785" s="3" t="s">
        <v>2844</v>
      </c>
      <c r="K2785" s="2">
        <v>30</v>
      </c>
      <c r="L2785" s="2">
        <v>2</v>
      </c>
      <c r="M2785" s="3" t="s">
        <v>3357</v>
      </c>
      <c r="N2785" s="3" t="s">
        <v>218</v>
      </c>
      <c r="O2785" s="3" t="s">
        <v>281</v>
      </c>
      <c r="P2785" s="3" t="s">
        <v>1527</v>
      </c>
      <c r="Q2785" s="30" t="str">
        <f t="shared" si="43"/>
        <v>MAX : 0.320
TARGET : 0.250
MIN : 0.180</v>
      </c>
    </row>
    <row r="2786" spans="2:18" ht="41.4" x14ac:dyDescent="0.3">
      <c r="B2786">
        <v>1</v>
      </c>
      <c r="C2786" s="33">
        <v>8296</v>
      </c>
      <c r="D2786" s="2">
        <v>1200</v>
      </c>
      <c r="E2786" s="2" t="s">
        <v>10207</v>
      </c>
      <c r="F2786" s="3" t="s">
        <v>14206</v>
      </c>
      <c r="H2786" s="3" t="s">
        <v>3120</v>
      </c>
      <c r="K2786" s="2">
        <v>20</v>
      </c>
      <c r="L2786" s="2">
        <v>2</v>
      </c>
      <c r="M2786" s="3" t="s">
        <v>198</v>
      </c>
      <c r="N2786" s="3" t="s">
        <v>2873</v>
      </c>
      <c r="O2786" s="3" t="s">
        <v>1841</v>
      </c>
      <c r="P2786" s="3" t="s">
        <v>3121</v>
      </c>
      <c r="Q2786" s="30" t="str">
        <f t="shared" si="43"/>
        <v>MAX : 6.70
TARGET : 6.67
MIN : 6.64</v>
      </c>
    </row>
    <row r="2787" spans="2:18" ht="41.4" x14ac:dyDescent="0.3">
      <c r="B2787">
        <v>1</v>
      </c>
      <c r="C2787" s="33">
        <v>8296</v>
      </c>
      <c r="D2787" s="2">
        <v>1200</v>
      </c>
      <c r="E2787" s="2" t="s">
        <v>10207</v>
      </c>
      <c r="F2787" s="3" t="s">
        <v>14206</v>
      </c>
      <c r="H2787" s="3" t="s">
        <v>3120</v>
      </c>
      <c r="K2787" s="2">
        <v>20</v>
      </c>
      <c r="L2787" s="2">
        <v>1</v>
      </c>
      <c r="M2787" s="3" t="s">
        <v>194</v>
      </c>
      <c r="N2787" s="3" t="s">
        <v>3091</v>
      </c>
      <c r="O2787" s="3" t="s">
        <v>184</v>
      </c>
      <c r="P2787" s="3" t="s">
        <v>3092</v>
      </c>
      <c r="Q2787" s="30" t="str">
        <f t="shared" si="43"/>
        <v>MAX : 5.06
TARGET : 5.00
MIN : 4.94</v>
      </c>
    </row>
    <row r="2788" spans="2:18" ht="41.4" x14ac:dyDescent="0.3">
      <c r="B2788">
        <v>0</v>
      </c>
      <c r="C2788" s="33">
        <v>7903</v>
      </c>
      <c r="D2788" s="2">
        <v>1163</v>
      </c>
      <c r="E2788" s="2" t="s">
        <v>9828</v>
      </c>
      <c r="F2788" s="29" t="s">
        <v>14227</v>
      </c>
      <c r="G2788" s="3" t="s">
        <v>2843</v>
      </c>
      <c r="H2788" s="3" t="s">
        <v>2844</v>
      </c>
      <c r="K2788" s="2">
        <v>30</v>
      </c>
      <c r="L2788" s="2">
        <v>10</v>
      </c>
      <c r="M2788" s="3" t="s">
        <v>3434</v>
      </c>
      <c r="Q2788" s="30" t="str">
        <f t="shared" si="43"/>
        <v xml:space="preserve">MAX : 
TARGET : 
MIN : </v>
      </c>
    </row>
    <row r="2789" spans="2:18" ht="41.4" x14ac:dyDescent="0.3">
      <c r="B2789">
        <v>1</v>
      </c>
      <c r="C2789" s="33">
        <v>8304</v>
      </c>
      <c r="D2789" s="2">
        <v>1201</v>
      </c>
      <c r="E2789" s="2" t="s">
        <v>10213</v>
      </c>
      <c r="F2789" s="3" t="s">
        <v>14206</v>
      </c>
      <c r="H2789" s="3" t="s">
        <v>3123</v>
      </c>
      <c r="K2789" s="2">
        <v>10</v>
      </c>
      <c r="L2789" s="2">
        <v>2</v>
      </c>
      <c r="M2789" s="3" t="s">
        <v>3126</v>
      </c>
      <c r="N2789" s="3" t="s">
        <v>13</v>
      </c>
      <c r="O2789" s="3" t="s">
        <v>14</v>
      </c>
      <c r="Q2789" s="30" t="str">
        <f t="shared" si="43"/>
        <v>MAX : 
TARGET : Yes(Pass)
MIN : No(Fail)</v>
      </c>
      <c r="R2789" s="3" t="s">
        <v>1638</v>
      </c>
    </row>
    <row r="2790" spans="2:18" ht="41.4" x14ac:dyDescent="0.3">
      <c r="B2790">
        <v>1</v>
      </c>
      <c r="C2790" s="33">
        <v>8304</v>
      </c>
      <c r="D2790" s="2">
        <v>1201</v>
      </c>
      <c r="E2790" s="2" t="s">
        <v>10213</v>
      </c>
      <c r="F2790" s="3" t="s">
        <v>14206</v>
      </c>
      <c r="H2790" s="3" t="s">
        <v>3123</v>
      </c>
      <c r="K2790" s="2">
        <v>10</v>
      </c>
      <c r="L2790" s="2">
        <v>1</v>
      </c>
      <c r="M2790" s="3" t="s">
        <v>99</v>
      </c>
      <c r="N2790" s="3" t="s">
        <v>3124</v>
      </c>
      <c r="O2790" s="3" t="s">
        <v>241</v>
      </c>
      <c r="P2790" s="3" t="s">
        <v>3125</v>
      </c>
      <c r="Q2790" s="30" t="str">
        <f t="shared" si="43"/>
        <v>MAX : 0.135
TARGET : 0.125
MIN : 0.115</v>
      </c>
      <c r="R2790" s="3" t="s">
        <v>1638</v>
      </c>
    </row>
    <row r="2791" spans="2:18" ht="41.4" x14ac:dyDescent="0.3">
      <c r="B2791">
        <v>1</v>
      </c>
      <c r="C2791" s="33">
        <v>8314</v>
      </c>
      <c r="D2791" s="2">
        <v>1202</v>
      </c>
      <c r="E2791" s="2" t="s">
        <v>10219</v>
      </c>
      <c r="F2791" s="3" t="s">
        <v>14233</v>
      </c>
      <c r="H2791" s="3" t="s">
        <v>648</v>
      </c>
      <c r="K2791" s="2">
        <v>10</v>
      </c>
      <c r="L2791" s="2">
        <v>2</v>
      </c>
      <c r="M2791" s="3" t="s">
        <v>198</v>
      </c>
      <c r="N2791" s="3" t="s">
        <v>3136</v>
      </c>
      <c r="O2791" s="3" t="s">
        <v>1360</v>
      </c>
      <c r="P2791" s="3" t="s">
        <v>2261</v>
      </c>
      <c r="Q2791" s="30" t="str">
        <f t="shared" si="43"/>
        <v>MAX : 46
TARGET : 45
MIN : 44</v>
      </c>
    </row>
    <row r="2792" spans="2:18" ht="41.4" x14ac:dyDescent="0.3">
      <c r="B2792">
        <v>0</v>
      </c>
      <c r="C2792" s="33">
        <v>7963</v>
      </c>
      <c r="D2792" s="2">
        <v>1167</v>
      </c>
      <c r="E2792" s="2" t="s">
        <v>9893</v>
      </c>
      <c r="F2792" s="29" t="s">
        <v>14228</v>
      </c>
      <c r="G2792" s="3" t="s">
        <v>2843</v>
      </c>
      <c r="H2792" s="3" t="s">
        <v>2844</v>
      </c>
      <c r="K2792" s="2">
        <v>20</v>
      </c>
      <c r="L2792" s="2">
        <v>8</v>
      </c>
      <c r="M2792" s="3" t="s">
        <v>3440</v>
      </c>
      <c r="N2792" s="3" t="s">
        <v>1619</v>
      </c>
      <c r="O2792" s="3" t="s">
        <v>1620</v>
      </c>
      <c r="Q2792" s="30" t="str">
        <f t="shared" si="43"/>
        <v>MAX : 
TARGET : Yes (pass)
MIN : No (fail)</v>
      </c>
    </row>
    <row r="2793" spans="2:18" ht="41.4" x14ac:dyDescent="0.3">
      <c r="B2793">
        <v>1</v>
      </c>
      <c r="C2793" s="33">
        <v>8314</v>
      </c>
      <c r="D2793" s="2">
        <v>1202</v>
      </c>
      <c r="E2793" s="2" t="s">
        <v>10219</v>
      </c>
      <c r="F2793" s="3" t="s">
        <v>14233</v>
      </c>
      <c r="H2793" s="3" t="s">
        <v>648</v>
      </c>
      <c r="K2793" s="2">
        <v>10</v>
      </c>
      <c r="L2793" s="2">
        <v>1</v>
      </c>
      <c r="M2793" s="3" t="s">
        <v>194</v>
      </c>
      <c r="N2793" s="3" t="s">
        <v>3133</v>
      </c>
      <c r="O2793" s="3" t="s">
        <v>3134</v>
      </c>
      <c r="P2793" s="3" t="s">
        <v>3135</v>
      </c>
      <c r="Q2793" s="30" t="str">
        <f t="shared" si="43"/>
        <v>MAX : 592
TARGET : 590
MIN : 588</v>
      </c>
    </row>
    <row r="2794" spans="2:18" ht="41.4" x14ac:dyDescent="0.3">
      <c r="B2794">
        <v>1</v>
      </c>
      <c r="C2794" s="33">
        <v>8315</v>
      </c>
      <c r="D2794" s="2">
        <v>1203</v>
      </c>
      <c r="E2794" s="2" t="s">
        <v>10225</v>
      </c>
      <c r="F2794" s="3" t="s">
        <v>14207</v>
      </c>
      <c r="H2794" s="3" t="s">
        <v>648</v>
      </c>
      <c r="K2794" s="2">
        <v>10</v>
      </c>
      <c r="L2794" s="2">
        <v>2</v>
      </c>
      <c r="M2794" s="3" t="s">
        <v>198</v>
      </c>
      <c r="N2794" s="3" t="s">
        <v>3140</v>
      </c>
      <c r="O2794" s="3" t="s">
        <v>3141</v>
      </c>
      <c r="P2794" s="3" t="s">
        <v>3136</v>
      </c>
      <c r="Q2794" s="30" t="str">
        <f t="shared" si="43"/>
        <v>MAX : 44
TARGET : 43
MIN : 42</v>
      </c>
    </row>
    <row r="2795" spans="2:18" ht="41.4" x14ac:dyDescent="0.3">
      <c r="B2795">
        <v>1</v>
      </c>
      <c r="C2795" s="33">
        <v>8315</v>
      </c>
      <c r="D2795" s="2">
        <v>1203</v>
      </c>
      <c r="E2795" s="2" t="s">
        <v>10225</v>
      </c>
      <c r="F2795" s="3" t="s">
        <v>14207</v>
      </c>
      <c r="H2795" s="3" t="s">
        <v>648</v>
      </c>
      <c r="K2795" s="2">
        <v>10</v>
      </c>
      <c r="L2795" s="2">
        <v>1</v>
      </c>
      <c r="M2795" s="3" t="s">
        <v>194</v>
      </c>
      <c r="N2795" s="3" t="s">
        <v>3137</v>
      </c>
      <c r="O2795" s="3" t="s">
        <v>3138</v>
      </c>
      <c r="P2795" s="3" t="s">
        <v>3139</v>
      </c>
      <c r="Q2795" s="30" t="str">
        <f t="shared" si="43"/>
        <v>MAX : 343
TARGET : 341
MIN : 339</v>
      </c>
    </row>
    <row r="2796" spans="2:18" ht="41.4" x14ac:dyDescent="0.3">
      <c r="B2796">
        <v>1</v>
      </c>
      <c r="C2796" s="33">
        <v>8319</v>
      </c>
      <c r="D2796" s="2">
        <v>1204</v>
      </c>
      <c r="E2796" s="2" t="s">
        <v>10231</v>
      </c>
      <c r="F2796" s="3" t="s">
        <v>14206</v>
      </c>
      <c r="H2796" s="3" t="s">
        <v>469</v>
      </c>
      <c r="K2796" s="2">
        <v>10</v>
      </c>
      <c r="L2796" s="2">
        <v>2</v>
      </c>
      <c r="M2796" s="3" t="s">
        <v>198</v>
      </c>
      <c r="N2796" s="3" t="s">
        <v>263</v>
      </c>
      <c r="O2796" s="3" t="s">
        <v>309</v>
      </c>
      <c r="P2796" s="3" t="s">
        <v>475</v>
      </c>
      <c r="Q2796" s="30" t="str">
        <f t="shared" si="43"/>
        <v>MAX : 0.51
TARGET : 0.50
MIN : 0.49</v>
      </c>
    </row>
    <row r="2797" spans="2:18" ht="41.4" x14ac:dyDescent="0.3">
      <c r="B2797">
        <v>1</v>
      </c>
      <c r="C2797" s="33">
        <v>8319</v>
      </c>
      <c r="D2797" s="2">
        <v>1204</v>
      </c>
      <c r="E2797" s="2" t="s">
        <v>10231</v>
      </c>
      <c r="F2797" s="3" t="s">
        <v>14206</v>
      </c>
      <c r="H2797" s="3" t="s">
        <v>469</v>
      </c>
      <c r="K2797" s="2">
        <v>10</v>
      </c>
      <c r="L2797" s="2">
        <v>1</v>
      </c>
      <c r="M2797" s="3" t="s">
        <v>194</v>
      </c>
      <c r="N2797" s="3" t="s">
        <v>3131</v>
      </c>
      <c r="O2797" s="3" t="s">
        <v>3132</v>
      </c>
      <c r="P2797" s="3" t="s">
        <v>796</v>
      </c>
      <c r="Q2797" s="30" t="str">
        <f t="shared" si="43"/>
        <v>MAX : 3.70
TARGET : 3.69
MIN : 3.68</v>
      </c>
    </row>
    <row r="2798" spans="2:18" ht="41.4" x14ac:dyDescent="0.3">
      <c r="B2798">
        <v>1</v>
      </c>
      <c r="C2798" s="33">
        <v>8329</v>
      </c>
      <c r="D2798" s="2">
        <v>1205</v>
      </c>
      <c r="E2798" s="2" t="s">
        <v>10238</v>
      </c>
      <c r="F2798" s="3" t="s">
        <v>14206</v>
      </c>
      <c r="H2798" s="3" t="s">
        <v>3142</v>
      </c>
      <c r="K2798" s="2">
        <v>10</v>
      </c>
      <c r="L2798" s="2">
        <v>2</v>
      </c>
      <c r="M2798" s="3" t="s">
        <v>198</v>
      </c>
      <c r="N2798" s="3" t="s">
        <v>979</v>
      </c>
      <c r="O2798" s="3" t="s">
        <v>309</v>
      </c>
      <c r="P2798" s="3" t="s">
        <v>1531</v>
      </c>
      <c r="Q2798" s="30" t="str">
        <f t="shared" si="43"/>
        <v>MAX : 0.56
TARGET : 0.50
MIN : 0.44</v>
      </c>
    </row>
    <row r="2799" spans="2:18" ht="41.4" x14ac:dyDescent="0.3">
      <c r="B2799">
        <v>0</v>
      </c>
      <c r="C2799" s="33">
        <v>8624</v>
      </c>
      <c r="D2799" s="2">
        <v>1976</v>
      </c>
      <c r="E2799" s="2" t="s">
        <v>10716</v>
      </c>
      <c r="F2799" s="3" t="s">
        <v>14206</v>
      </c>
      <c r="H2799" s="3" t="s">
        <v>168</v>
      </c>
      <c r="K2799" s="2">
        <v>10</v>
      </c>
      <c r="L2799" s="2">
        <v>2</v>
      </c>
      <c r="M2799" s="3" t="s">
        <v>325</v>
      </c>
      <c r="N2799" s="3" t="s">
        <v>13</v>
      </c>
      <c r="O2799" s="3" t="s">
        <v>14</v>
      </c>
      <c r="Q2799" s="30" t="str">
        <f t="shared" si="43"/>
        <v>MAX : 
TARGET : Yes(Pass)
MIN : No(Fail)</v>
      </c>
    </row>
    <row r="2800" spans="2:18" ht="41.4" x14ac:dyDescent="0.3">
      <c r="B2800">
        <v>1</v>
      </c>
      <c r="C2800" s="33">
        <v>8329</v>
      </c>
      <c r="D2800" s="2">
        <v>1205</v>
      </c>
      <c r="E2800" s="2" t="s">
        <v>10238</v>
      </c>
      <c r="F2800" s="3" t="s">
        <v>14206</v>
      </c>
      <c r="H2800" s="3" t="s">
        <v>3142</v>
      </c>
      <c r="K2800" s="2">
        <v>10</v>
      </c>
      <c r="L2800" s="2">
        <v>1</v>
      </c>
      <c r="M2800" s="3" t="s">
        <v>194</v>
      </c>
      <c r="N2800" s="3" t="s">
        <v>3143</v>
      </c>
      <c r="O2800" s="3" t="s">
        <v>3144</v>
      </c>
      <c r="P2800" s="3" t="s">
        <v>3145</v>
      </c>
      <c r="Q2800" s="30" t="str">
        <f t="shared" si="43"/>
        <v>MAX : 11.56
TARGET : 11.50
MIN : 11.44</v>
      </c>
    </row>
    <row r="2801" spans="2:17" ht="41.4" x14ac:dyDescent="0.3">
      <c r="B2801">
        <v>1</v>
      </c>
      <c r="C2801" s="33">
        <v>8331</v>
      </c>
      <c r="D2801" s="2">
        <v>1206</v>
      </c>
      <c r="E2801" s="2" t="s">
        <v>10245</v>
      </c>
      <c r="F2801" s="3" t="s">
        <v>14206</v>
      </c>
      <c r="H2801" s="3" t="s">
        <v>108</v>
      </c>
      <c r="K2801" s="2">
        <v>10</v>
      </c>
      <c r="L2801" s="2">
        <v>2</v>
      </c>
      <c r="M2801" s="3" t="s">
        <v>3160</v>
      </c>
      <c r="N2801" s="3" t="s">
        <v>13</v>
      </c>
      <c r="O2801" s="3" t="s">
        <v>14</v>
      </c>
      <c r="Q2801" s="30" t="str">
        <f t="shared" si="43"/>
        <v>MAX : 
TARGET : Yes(Pass)
MIN : No(Fail)</v>
      </c>
    </row>
    <row r="2802" spans="2:17" ht="41.4" x14ac:dyDescent="0.3">
      <c r="B2802">
        <v>0</v>
      </c>
      <c r="C2802" s="33">
        <v>8597</v>
      </c>
      <c r="D2802" s="2">
        <v>1975</v>
      </c>
      <c r="E2802" s="2" t="s">
        <v>10675</v>
      </c>
      <c r="F2802" s="3" t="s">
        <v>14206</v>
      </c>
      <c r="H2802" s="3" t="s">
        <v>168</v>
      </c>
      <c r="K2802" s="2">
        <v>10</v>
      </c>
      <c r="L2802" s="2">
        <v>2</v>
      </c>
      <c r="M2802" s="3" t="s">
        <v>325</v>
      </c>
      <c r="N2802" s="3" t="s">
        <v>13</v>
      </c>
      <c r="O2802" s="3" t="s">
        <v>14</v>
      </c>
      <c r="Q2802" s="30" t="str">
        <f t="shared" si="43"/>
        <v>MAX : 
TARGET : Yes(Pass)
MIN : No(Fail)</v>
      </c>
    </row>
    <row r="2803" spans="2:17" ht="41.4" x14ac:dyDescent="0.3">
      <c r="B2803">
        <v>1</v>
      </c>
      <c r="C2803" s="33">
        <v>8331</v>
      </c>
      <c r="D2803" s="2">
        <v>1206</v>
      </c>
      <c r="E2803" s="2" t="s">
        <v>10245</v>
      </c>
      <c r="F2803" s="3" t="s">
        <v>14206</v>
      </c>
      <c r="H2803" s="3" t="s">
        <v>108</v>
      </c>
      <c r="K2803" s="2">
        <v>10</v>
      </c>
      <c r="L2803" s="2">
        <v>3</v>
      </c>
      <c r="M2803" s="3" t="s">
        <v>3168</v>
      </c>
      <c r="N2803" s="3" t="s">
        <v>13</v>
      </c>
      <c r="O2803" s="3" t="s">
        <v>14</v>
      </c>
      <c r="Q2803" s="30" t="str">
        <f t="shared" si="43"/>
        <v>MAX : 
TARGET : Yes(Pass)
MIN : No(Fail)</v>
      </c>
    </row>
    <row r="2804" spans="2:17" ht="41.4" x14ac:dyDescent="0.3">
      <c r="B2804">
        <v>0</v>
      </c>
      <c r="C2804" s="33">
        <v>8178</v>
      </c>
      <c r="D2804" s="2">
        <v>1184</v>
      </c>
      <c r="E2804" s="2" t="s">
        <v>10057</v>
      </c>
      <c r="F2804" s="29" t="s">
        <v>14227</v>
      </c>
      <c r="G2804" s="3" t="s">
        <v>2843</v>
      </c>
      <c r="H2804" s="3" t="s">
        <v>2844</v>
      </c>
      <c r="K2804" s="2">
        <v>30</v>
      </c>
      <c r="L2804" s="2">
        <v>5</v>
      </c>
      <c r="M2804" s="3" t="s">
        <v>5254</v>
      </c>
      <c r="N2804" s="3" t="s">
        <v>1619</v>
      </c>
      <c r="O2804" s="3" t="s">
        <v>1620</v>
      </c>
      <c r="Q2804" s="30" t="str">
        <f t="shared" si="43"/>
        <v>MAX : 
TARGET : Yes (pass)
MIN : No (fail)</v>
      </c>
    </row>
    <row r="2805" spans="2:17" ht="41.4" x14ac:dyDescent="0.3">
      <c r="B2805">
        <v>1</v>
      </c>
      <c r="C2805" s="33">
        <v>8334</v>
      </c>
      <c r="D2805" s="2">
        <v>1207</v>
      </c>
      <c r="E2805" s="2" t="s">
        <v>10253</v>
      </c>
      <c r="F2805" s="3" t="s">
        <v>14206</v>
      </c>
      <c r="H2805" s="3" t="s">
        <v>3147</v>
      </c>
      <c r="K2805" s="2">
        <v>10</v>
      </c>
      <c r="L2805" s="2">
        <v>2</v>
      </c>
      <c r="M2805" s="3" t="s">
        <v>3151</v>
      </c>
      <c r="N2805" s="3" t="s">
        <v>13</v>
      </c>
      <c r="O2805" s="3" t="s">
        <v>14</v>
      </c>
      <c r="Q2805" s="30" t="str">
        <f t="shared" si="43"/>
        <v>MAX : 
TARGET : Yes(Pass)
MIN : No(Fail)</v>
      </c>
    </row>
    <row r="2806" spans="2:17" ht="41.4" x14ac:dyDescent="0.3">
      <c r="B2806">
        <v>1</v>
      </c>
      <c r="C2806" s="33">
        <v>8334</v>
      </c>
      <c r="D2806" s="2">
        <v>1207</v>
      </c>
      <c r="E2806" s="2" t="s">
        <v>10253</v>
      </c>
      <c r="F2806" s="3" t="s">
        <v>14206</v>
      </c>
      <c r="H2806" s="3" t="s">
        <v>3147</v>
      </c>
      <c r="K2806" s="2">
        <v>10</v>
      </c>
      <c r="L2806" s="2">
        <v>1</v>
      </c>
      <c r="M2806" s="3" t="s">
        <v>2088</v>
      </c>
      <c r="N2806" s="3" t="s">
        <v>3148</v>
      </c>
      <c r="O2806" s="3" t="s">
        <v>3149</v>
      </c>
      <c r="P2806" s="3" t="s">
        <v>3150</v>
      </c>
      <c r="Q2806" s="30" t="str">
        <f t="shared" si="43"/>
        <v>MAX : 16.125
TARGET : 16.000
MIN : 15.875</v>
      </c>
    </row>
    <row r="2807" spans="2:17" ht="41.4" x14ac:dyDescent="0.3">
      <c r="B2807">
        <v>1</v>
      </c>
      <c r="C2807" s="33">
        <v>8337</v>
      </c>
      <c r="D2807" s="2">
        <v>1208</v>
      </c>
      <c r="E2807" s="2" t="s">
        <v>10259</v>
      </c>
      <c r="F2807" s="3" t="s">
        <v>14206</v>
      </c>
      <c r="H2807" s="3" t="s">
        <v>417</v>
      </c>
      <c r="K2807" s="2">
        <v>20</v>
      </c>
      <c r="L2807" s="2">
        <v>2</v>
      </c>
      <c r="M2807" s="3" t="s">
        <v>198</v>
      </c>
      <c r="N2807" s="3" t="s">
        <v>92</v>
      </c>
      <c r="O2807" s="3" t="s">
        <v>3165</v>
      </c>
      <c r="P2807" s="3" t="s">
        <v>281</v>
      </c>
      <c r="Q2807" s="30" t="str">
        <f t="shared" si="43"/>
        <v>MAX : 0.250
TARGET : 0.240
MIN : 0.230</v>
      </c>
    </row>
    <row r="2808" spans="2:17" ht="41.4" x14ac:dyDescent="0.3">
      <c r="B2808">
        <v>1</v>
      </c>
      <c r="C2808" s="33">
        <v>8337</v>
      </c>
      <c r="D2808" s="2">
        <v>1208</v>
      </c>
      <c r="E2808" s="2" t="s">
        <v>10259</v>
      </c>
      <c r="F2808" s="3" t="s">
        <v>14206</v>
      </c>
      <c r="H2808" s="3" t="s">
        <v>417</v>
      </c>
      <c r="K2808" s="2">
        <v>20</v>
      </c>
      <c r="L2808" s="2">
        <v>1</v>
      </c>
      <c r="M2808" s="3" t="s">
        <v>194</v>
      </c>
      <c r="N2808" s="3" t="s">
        <v>3162</v>
      </c>
      <c r="O2808" s="3" t="s">
        <v>3163</v>
      </c>
      <c r="P2808" s="3" t="s">
        <v>3164</v>
      </c>
      <c r="Q2808" s="30" t="str">
        <f t="shared" si="43"/>
        <v>MAX : 1.090
TARGET : 1.080
MIN : 1.070</v>
      </c>
    </row>
    <row r="2809" spans="2:17" ht="41.4" x14ac:dyDescent="0.3">
      <c r="B2809">
        <v>1</v>
      </c>
      <c r="C2809" s="33">
        <v>8338</v>
      </c>
      <c r="D2809" s="2">
        <v>1209</v>
      </c>
      <c r="E2809" s="2" t="s">
        <v>10266</v>
      </c>
      <c r="F2809" s="3" t="s">
        <v>14206</v>
      </c>
      <c r="H2809" s="3" t="s">
        <v>417</v>
      </c>
      <c r="K2809" s="2">
        <v>20</v>
      </c>
      <c r="L2809" s="2">
        <v>2</v>
      </c>
      <c r="M2809" s="3" t="s">
        <v>198</v>
      </c>
      <c r="N2809" s="3" t="s">
        <v>92</v>
      </c>
      <c r="O2809" s="3" t="s">
        <v>3165</v>
      </c>
      <c r="P2809" s="3" t="s">
        <v>281</v>
      </c>
      <c r="Q2809" s="30" t="str">
        <f t="shared" si="43"/>
        <v>MAX : 0.250
TARGET : 0.240
MIN : 0.230</v>
      </c>
    </row>
    <row r="2810" spans="2:17" ht="41.4" x14ac:dyDescent="0.3">
      <c r="B2810">
        <v>0</v>
      </c>
      <c r="C2810" s="33">
        <v>5577</v>
      </c>
      <c r="D2810" s="2">
        <v>1765</v>
      </c>
      <c r="E2810" s="2" t="s">
        <v>7468</v>
      </c>
      <c r="F2810" s="3" t="s">
        <v>14206</v>
      </c>
      <c r="H2810" s="3" t="s">
        <v>168</v>
      </c>
      <c r="K2810" s="2">
        <v>10</v>
      </c>
      <c r="L2810" s="2">
        <v>5</v>
      </c>
      <c r="M2810" s="3" t="s">
        <v>1136</v>
      </c>
      <c r="O2810" s="3" t="s">
        <v>123</v>
      </c>
      <c r="P2810" s="3" t="s">
        <v>124</v>
      </c>
      <c r="Q2810" s="30" t="str">
        <f t="shared" si="43"/>
        <v xml:space="preserve">MAX : Yes (Fail)
TARGET : No (Pass)
MIN : </v>
      </c>
    </row>
    <row r="2811" spans="2:17" ht="41.4" x14ac:dyDescent="0.3">
      <c r="B2811">
        <v>0</v>
      </c>
      <c r="C2811" s="33">
        <v>5577</v>
      </c>
      <c r="D2811" s="2">
        <v>1765</v>
      </c>
      <c r="E2811" s="2" t="s">
        <v>7468</v>
      </c>
      <c r="F2811" s="3" t="s">
        <v>14206</v>
      </c>
      <c r="H2811" s="3" t="s">
        <v>168</v>
      </c>
      <c r="K2811" s="2">
        <v>10</v>
      </c>
      <c r="L2811" s="2">
        <v>4</v>
      </c>
      <c r="M2811" s="3" t="s">
        <v>1846</v>
      </c>
      <c r="O2811" s="3" t="s">
        <v>123</v>
      </c>
      <c r="P2811" s="3" t="s">
        <v>124</v>
      </c>
      <c r="Q2811" s="30" t="str">
        <f t="shared" si="43"/>
        <v xml:space="preserve">MAX : Yes (Fail)
TARGET : No (Pass)
MIN : </v>
      </c>
    </row>
    <row r="2812" spans="2:17" ht="41.4" x14ac:dyDescent="0.3">
      <c r="B2812">
        <v>0</v>
      </c>
      <c r="C2812" s="33">
        <v>5577</v>
      </c>
      <c r="D2812" s="2">
        <v>1765</v>
      </c>
      <c r="E2812" s="2" t="s">
        <v>7468</v>
      </c>
      <c r="F2812" s="3" t="s">
        <v>14206</v>
      </c>
      <c r="H2812" s="3" t="s">
        <v>168</v>
      </c>
      <c r="K2812" s="2">
        <v>10</v>
      </c>
      <c r="L2812" s="2">
        <v>3</v>
      </c>
      <c r="M2812" s="3" t="s">
        <v>1847</v>
      </c>
      <c r="N2812" s="3" t="s">
        <v>24</v>
      </c>
      <c r="O2812" s="3" t="s">
        <v>25</v>
      </c>
      <c r="Q2812" s="30" t="str">
        <f t="shared" si="43"/>
        <v>MAX : 
TARGET : Yes (Pass)
MIN : No (Fail)</v>
      </c>
    </row>
    <row r="2813" spans="2:17" ht="41.4" x14ac:dyDescent="0.3">
      <c r="B2813">
        <v>0</v>
      </c>
      <c r="C2813" s="33">
        <v>5577</v>
      </c>
      <c r="D2813" s="2">
        <v>1765</v>
      </c>
      <c r="E2813" s="2" t="s">
        <v>7468</v>
      </c>
      <c r="F2813" s="3" t="s">
        <v>14206</v>
      </c>
      <c r="H2813" s="3" t="s">
        <v>168</v>
      </c>
      <c r="K2813" s="2">
        <v>10</v>
      </c>
      <c r="L2813" s="2">
        <v>6</v>
      </c>
      <c r="M2813" s="3" t="s">
        <v>2518</v>
      </c>
      <c r="N2813" s="3" t="s">
        <v>2519</v>
      </c>
      <c r="Q2813" s="30" t="str">
        <f t="shared" si="43"/>
        <v>MAX : 
TARGET : 
MIN : 15.00 oz</v>
      </c>
    </row>
    <row r="2814" spans="2:17" ht="41.4" x14ac:dyDescent="0.3">
      <c r="B2814">
        <v>1</v>
      </c>
      <c r="C2814" s="33">
        <v>8338</v>
      </c>
      <c r="D2814" s="2">
        <v>1209</v>
      </c>
      <c r="E2814" s="2" t="s">
        <v>10266</v>
      </c>
      <c r="F2814" s="3" t="s">
        <v>14206</v>
      </c>
      <c r="H2814" s="3" t="s">
        <v>417</v>
      </c>
      <c r="K2814" s="2">
        <v>20</v>
      </c>
      <c r="L2814" s="2">
        <v>1</v>
      </c>
      <c r="M2814" s="3" t="s">
        <v>194</v>
      </c>
      <c r="N2814" s="3" t="s">
        <v>3166</v>
      </c>
      <c r="O2814" s="3" t="s">
        <v>3167</v>
      </c>
      <c r="P2814" s="3" t="s">
        <v>2079</v>
      </c>
      <c r="Q2814" s="30" t="str">
        <f t="shared" si="43"/>
        <v>MAX : 0.420
TARGET : 0.410
MIN : 0.400</v>
      </c>
    </row>
    <row r="2815" spans="2:17" ht="41.4" x14ac:dyDescent="0.3">
      <c r="B2815">
        <v>1</v>
      </c>
      <c r="C2815" s="33">
        <v>8339</v>
      </c>
      <c r="D2815" s="2">
        <v>1210</v>
      </c>
      <c r="E2815" s="2" t="s">
        <v>10272</v>
      </c>
      <c r="F2815" s="3" t="s">
        <v>14206</v>
      </c>
      <c r="H2815" s="3" t="s">
        <v>727</v>
      </c>
      <c r="K2815" s="2">
        <v>20</v>
      </c>
      <c r="L2815" s="2">
        <v>2</v>
      </c>
      <c r="M2815" s="3" t="s">
        <v>198</v>
      </c>
      <c r="N2815" s="3" t="s">
        <v>92</v>
      </c>
      <c r="O2815" s="3" t="s">
        <v>3165</v>
      </c>
      <c r="P2815" s="3" t="s">
        <v>281</v>
      </c>
      <c r="Q2815" s="30" t="str">
        <f t="shared" si="43"/>
        <v>MAX : 0.250
TARGET : 0.240
MIN : 0.230</v>
      </c>
    </row>
    <row r="2816" spans="2:17" ht="41.4" x14ac:dyDescent="0.3">
      <c r="B2816">
        <v>0</v>
      </c>
      <c r="C2816" s="33">
        <v>8637</v>
      </c>
      <c r="D2816" s="2">
        <v>1255</v>
      </c>
      <c r="E2816" s="2" t="s">
        <v>10728</v>
      </c>
      <c r="F2816" s="3" t="s">
        <v>14206</v>
      </c>
      <c r="H2816" s="3" t="s">
        <v>713</v>
      </c>
      <c r="K2816" s="2">
        <v>30</v>
      </c>
      <c r="L2816" s="2">
        <v>3</v>
      </c>
      <c r="M2816" s="3" t="s">
        <v>78</v>
      </c>
      <c r="N2816" s="3" t="s">
        <v>13</v>
      </c>
      <c r="O2816" s="3" t="s">
        <v>14</v>
      </c>
      <c r="Q2816" s="30" t="str">
        <f t="shared" si="43"/>
        <v>MAX : 
TARGET : Yes(Pass)
MIN : No(Fail)</v>
      </c>
    </row>
    <row r="2817" spans="2:17" ht="41.4" x14ac:dyDescent="0.3">
      <c r="B2817">
        <v>0</v>
      </c>
      <c r="C2817" s="33">
        <v>8637</v>
      </c>
      <c r="D2817" s="2">
        <v>1255</v>
      </c>
      <c r="E2817" s="2" t="s">
        <v>10728</v>
      </c>
      <c r="F2817" s="3" t="s">
        <v>14206</v>
      </c>
      <c r="H2817" s="3" t="s">
        <v>713</v>
      </c>
      <c r="K2817" s="2">
        <v>20</v>
      </c>
      <c r="L2817" s="2">
        <v>1</v>
      </c>
      <c r="M2817" s="3" t="s">
        <v>3059</v>
      </c>
      <c r="N2817" s="3" t="s">
        <v>13</v>
      </c>
      <c r="O2817" s="3" t="s">
        <v>14</v>
      </c>
      <c r="Q2817" s="30" t="str">
        <f t="shared" si="43"/>
        <v>MAX : 
TARGET : Yes(Pass)
MIN : No(Fail)</v>
      </c>
    </row>
    <row r="2818" spans="2:17" ht="41.4" x14ac:dyDescent="0.3">
      <c r="B2818">
        <v>0</v>
      </c>
      <c r="C2818" s="33">
        <v>8637</v>
      </c>
      <c r="D2818" s="2">
        <v>1255</v>
      </c>
      <c r="E2818" s="2" t="s">
        <v>10728</v>
      </c>
      <c r="F2818" s="3" t="s">
        <v>14206</v>
      </c>
      <c r="H2818" s="3" t="s">
        <v>713</v>
      </c>
      <c r="K2818" s="2">
        <v>20</v>
      </c>
      <c r="L2818" s="2">
        <v>2</v>
      </c>
      <c r="M2818" s="3" t="s">
        <v>3445</v>
      </c>
      <c r="N2818" s="3" t="s">
        <v>13</v>
      </c>
      <c r="O2818" s="3" t="s">
        <v>14</v>
      </c>
      <c r="Q2818" s="30" t="str">
        <f t="shared" ref="Q2818:Q2881" si="44">"MAX : " &amp; P2818 &amp; CHAR(10) &amp; "TARGET : " &amp; O2818 &amp; CHAR(10) &amp; "MIN : " &amp; N2818</f>
        <v>MAX : 
TARGET : Yes(Pass)
MIN : No(Fail)</v>
      </c>
    </row>
    <row r="2819" spans="2:17" ht="41.4" x14ac:dyDescent="0.3">
      <c r="B2819">
        <v>1</v>
      </c>
      <c r="C2819" s="33">
        <v>8339</v>
      </c>
      <c r="D2819" s="2">
        <v>1210</v>
      </c>
      <c r="E2819" s="2" t="s">
        <v>10272</v>
      </c>
      <c r="F2819" s="3" t="s">
        <v>14206</v>
      </c>
      <c r="H2819" s="3" t="s">
        <v>727</v>
      </c>
      <c r="K2819" s="2">
        <v>20</v>
      </c>
      <c r="L2819" s="2">
        <v>1</v>
      </c>
      <c r="M2819" s="3" t="s">
        <v>194</v>
      </c>
      <c r="N2819" s="3" t="s">
        <v>1713</v>
      </c>
      <c r="O2819" s="3" t="s">
        <v>1527</v>
      </c>
      <c r="P2819" s="3" t="s">
        <v>699</v>
      </c>
      <c r="Q2819" s="30" t="str">
        <f t="shared" si="44"/>
        <v>MAX : 0.330
TARGET : 0.320
MIN : 0.310</v>
      </c>
    </row>
    <row r="2820" spans="2:17" ht="41.4" x14ac:dyDescent="0.3">
      <c r="B2820">
        <v>1</v>
      </c>
      <c r="C2820" s="33">
        <v>8346</v>
      </c>
      <c r="D2820" s="2">
        <v>1950</v>
      </c>
      <c r="E2820" s="2" t="s">
        <v>10278</v>
      </c>
      <c r="F2820" s="3" t="s">
        <v>14206</v>
      </c>
      <c r="H2820" s="3" t="s">
        <v>568</v>
      </c>
      <c r="K2820" s="2">
        <v>10</v>
      </c>
      <c r="L2820" s="2">
        <v>2</v>
      </c>
      <c r="M2820" s="3" t="s">
        <v>198</v>
      </c>
      <c r="N2820" s="3" t="s">
        <v>3239</v>
      </c>
      <c r="O2820" s="3" t="s">
        <v>282</v>
      </c>
      <c r="P2820" s="3" t="s">
        <v>3240</v>
      </c>
      <c r="Q2820" s="30" t="str">
        <f t="shared" si="44"/>
        <v>MAX : 0.311
TARGET : 0.281
MIN : 0.251</v>
      </c>
    </row>
    <row r="2821" spans="2:17" ht="41.4" x14ac:dyDescent="0.3">
      <c r="B2821">
        <v>1</v>
      </c>
      <c r="C2821" s="33">
        <v>8346</v>
      </c>
      <c r="D2821" s="2">
        <v>1950</v>
      </c>
      <c r="E2821" s="2" t="s">
        <v>10278</v>
      </c>
      <c r="F2821" s="3" t="s">
        <v>14206</v>
      </c>
      <c r="H2821" s="3" t="s">
        <v>568</v>
      </c>
      <c r="K2821" s="2">
        <v>10</v>
      </c>
      <c r="L2821" s="2">
        <v>1</v>
      </c>
      <c r="M2821" s="3" t="s">
        <v>194</v>
      </c>
      <c r="N2821" s="3" t="s">
        <v>3237</v>
      </c>
      <c r="O2821" s="3" t="s">
        <v>3238</v>
      </c>
      <c r="P2821" s="3" t="s">
        <v>479</v>
      </c>
      <c r="Q2821" s="30" t="str">
        <f t="shared" si="44"/>
        <v>MAX : 1.468
TARGET : 1.438
MIN : 1.408</v>
      </c>
    </row>
    <row r="2822" spans="2:17" ht="41.4" x14ac:dyDescent="0.3">
      <c r="B2822">
        <v>1</v>
      </c>
      <c r="C2822" s="33">
        <v>8348</v>
      </c>
      <c r="D2822" s="2">
        <v>1951</v>
      </c>
      <c r="E2822" s="2" t="s">
        <v>10286</v>
      </c>
      <c r="F2822" s="3" t="s">
        <v>14206</v>
      </c>
      <c r="H2822" s="3" t="s">
        <v>568</v>
      </c>
      <c r="K2822" s="2">
        <v>20</v>
      </c>
      <c r="L2822" s="2">
        <v>2</v>
      </c>
      <c r="M2822" s="3" t="s">
        <v>3241</v>
      </c>
      <c r="N2822" s="3" t="s">
        <v>24</v>
      </c>
      <c r="O2822" s="3" t="s">
        <v>25</v>
      </c>
      <c r="Q2822" s="30" t="str">
        <f t="shared" si="44"/>
        <v>MAX : 
TARGET : Yes (Pass)
MIN : No (Fail)</v>
      </c>
    </row>
    <row r="2823" spans="2:17" ht="41.4" x14ac:dyDescent="0.3">
      <c r="B2823">
        <v>0</v>
      </c>
      <c r="C2823" s="33">
        <v>8642</v>
      </c>
      <c r="D2823" s="2">
        <v>1977</v>
      </c>
      <c r="E2823" s="2" t="s">
        <v>10741</v>
      </c>
      <c r="F2823" s="3" t="s">
        <v>14206</v>
      </c>
      <c r="H2823" s="3" t="s">
        <v>11</v>
      </c>
      <c r="K2823" s="2">
        <v>20</v>
      </c>
      <c r="L2823" s="2">
        <v>4</v>
      </c>
      <c r="M2823" s="3" t="s">
        <v>2619</v>
      </c>
      <c r="N2823" s="3" t="s">
        <v>13</v>
      </c>
      <c r="O2823" s="3" t="s">
        <v>14</v>
      </c>
      <c r="Q2823" s="30" t="str">
        <f t="shared" si="44"/>
        <v>MAX : 
TARGET : Yes(Pass)
MIN : No(Fail)</v>
      </c>
    </row>
    <row r="2824" spans="2:17" ht="41.4" x14ac:dyDescent="0.3">
      <c r="B2824">
        <v>0</v>
      </c>
      <c r="C2824" s="33">
        <v>8642</v>
      </c>
      <c r="D2824" s="2">
        <v>1977</v>
      </c>
      <c r="E2824" s="2" t="s">
        <v>10741</v>
      </c>
      <c r="F2824" s="3" t="s">
        <v>14206</v>
      </c>
      <c r="H2824" s="3" t="s">
        <v>11</v>
      </c>
      <c r="K2824" s="2">
        <v>20</v>
      </c>
      <c r="L2824" s="2">
        <v>5</v>
      </c>
      <c r="M2824" s="3" t="s">
        <v>611</v>
      </c>
      <c r="N2824" s="3" t="s">
        <v>13</v>
      </c>
      <c r="O2824" s="3" t="s">
        <v>14</v>
      </c>
      <c r="Q2824" s="30" t="str">
        <f t="shared" si="44"/>
        <v>MAX : 
TARGET : Yes(Pass)
MIN : No(Fail)</v>
      </c>
    </row>
    <row r="2825" spans="2:17" ht="41.4" x14ac:dyDescent="0.3">
      <c r="B2825">
        <v>0</v>
      </c>
      <c r="C2825" s="33">
        <v>8642</v>
      </c>
      <c r="D2825" s="2">
        <v>1977</v>
      </c>
      <c r="E2825" s="2" t="s">
        <v>10741</v>
      </c>
      <c r="F2825" s="3" t="s">
        <v>14206</v>
      </c>
      <c r="H2825" s="3" t="s">
        <v>11</v>
      </c>
      <c r="K2825" s="2">
        <v>20</v>
      </c>
      <c r="L2825" s="2">
        <v>3</v>
      </c>
      <c r="M2825" s="3" t="s">
        <v>2963</v>
      </c>
      <c r="N2825" s="3" t="s">
        <v>459</v>
      </c>
      <c r="O2825" s="3" t="s">
        <v>406</v>
      </c>
      <c r="P2825" s="3" t="s">
        <v>460</v>
      </c>
      <c r="Q2825" s="30" t="str">
        <f t="shared" si="44"/>
        <v>MAX : 2.03
TARGET : 2.00
MIN : 1.97</v>
      </c>
    </row>
    <row r="2826" spans="2:17" ht="41.4" x14ac:dyDescent="0.3">
      <c r="B2826">
        <v>1</v>
      </c>
      <c r="C2826" s="33">
        <v>8348</v>
      </c>
      <c r="D2826" s="2">
        <v>1951</v>
      </c>
      <c r="E2826" s="2" t="s">
        <v>10286</v>
      </c>
      <c r="F2826" s="3" t="s">
        <v>14206</v>
      </c>
      <c r="H2826" s="3" t="s">
        <v>568</v>
      </c>
      <c r="K2826" s="2">
        <v>20</v>
      </c>
      <c r="L2826" s="2">
        <v>1</v>
      </c>
      <c r="M2826" s="3" t="s">
        <v>811</v>
      </c>
      <c r="N2826" s="3" t="s">
        <v>24</v>
      </c>
      <c r="O2826" s="3" t="s">
        <v>25</v>
      </c>
      <c r="Q2826" s="30" t="str">
        <f t="shared" si="44"/>
        <v>MAX : 
TARGET : Yes (Pass)
MIN : No (Fail)</v>
      </c>
    </row>
    <row r="2827" spans="2:17" ht="41.4" x14ac:dyDescent="0.3">
      <c r="B2827">
        <v>1</v>
      </c>
      <c r="C2827" s="33">
        <v>8349</v>
      </c>
      <c r="D2827" s="2">
        <v>1952</v>
      </c>
      <c r="E2827" s="2" t="s">
        <v>10293</v>
      </c>
      <c r="F2827" s="3" t="s">
        <v>14206</v>
      </c>
      <c r="G2827" s="3" t="s">
        <v>2633</v>
      </c>
      <c r="H2827" s="3" t="s">
        <v>289</v>
      </c>
      <c r="K2827" s="2">
        <v>10</v>
      </c>
      <c r="L2827" s="2">
        <v>2</v>
      </c>
      <c r="M2827" s="3" t="s">
        <v>3241</v>
      </c>
      <c r="N2827" s="3" t="s">
        <v>13</v>
      </c>
      <c r="O2827" s="3" t="s">
        <v>14</v>
      </c>
      <c r="Q2827" s="30" t="str">
        <f t="shared" si="44"/>
        <v>MAX : 
TARGET : Yes(Pass)
MIN : No(Fail)</v>
      </c>
    </row>
    <row r="2828" spans="2:17" ht="41.4" x14ac:dyDescent="0.3">
      <c r="B2828">
        <v>1</v>
      </c>
      <c r="C2828" s="33">
        <v>8349</v>
      </c>
      <c r="D2828" s="2">
        <v>1952</v>
      </c>
      <c r="E2828" s="2" t="s">
        <v>10293</v>
      </c>
      <c r="F2828" s="3" t="s">
        <v>14206</v>
      </c>
      <c r="G2828" s="3" t="s">
        <v>2633</v>
      </c>
      <c r="H2828" s="3" t="s">
        <v>289</v>
      </c>
      <c r="K2828" s="2">
        <v>10</v>
      </c>
      <c r="L2828" s="2">
        <v>1</v>
      </c>
      <c r="M2828" s="3" t="s">
        <v>2147</v>
      </c>
      <c r="N2828" s="3" t="s">
        <v>24</v>
      </c>
      <c r="O2828" s="3" t="s">
        <v>25</v>
      </c>
      <c r="Q2828" s="30" t="str">
        <f t="shared" si="44"/>
        <v>MAX : 
TARGET : Yes (Pass)
MIN : No (Fail)</v>
      </c>
    </row>
    <row r="2829" spans="2:17" ht="41.4" x14ac:dyDescent="0.3">
      <c r="B2829">
        <v>0</v>
      </c>
      <c r="C2829" s="33">
        <v>8197</v>
      </c>
      <c r="D2829" s="2">
        <v>1943</v>
      </c>
      <c r="E2829" s="2" t="s">
        <v>10090</v>
      </c>
      <c r="F2829" s="3" t="s">
        <v>14231</v>
      </c>
      <c r="H2829" s="3" t="s">
        <v>168</v>
      </c>
      <c r="K2829" s="2">
        <v>10</v>
      </c>
      <c r="L2829" s="2">
        <v>2</v>
      </c>
      <c r="M2829" s="3" t="s">
        <v>99</v>
      </c>
      <c r="N2829" s="3" t="s">
        <v>3046</v>
      </c>
      <c r="O2829" s="3" t="s">
        <v>1132</v>
      </c>
      <c r="P2829" s="3" t="s">
        <v>3047</v>
      </c>
      <c r="Q2829" s="30" t="str">
        <f t="shared" si="44"/>
        <v>MAX : 42.13
TARGET : 42.00
MIN : 41.87</v>
      </c>
    </row>
    <row r="2830" spans="2:17" ht="41.4" x14ac:dyDescent="0.3">
      <c r="B2830">
        <v>1</v>
      </c>
      <c r="C2830" s="33">
        <v>8356</v>
      </c>
      <c r="D2830" s="2">
        <v>1953</v>
      </c>
      <c r="E2830" s="2" t="s">
        <v>10300</v>
      </c>
      <c r="F2830" s="3" t="s">
        <v>14206</v>
      </c>
      <c r="H2830" s="3" t="s">
        <v>895</v>
      </c>
      <c r="I2830" s="3" t="s">
        <v>487</v>
      </c>
      <c r="K2830" s="2">
        <v>10</v>
      </c>
      <c r="L2830" s="2">
        <v>2</v>
      </c>
      <c r="M2830" s="3" t="s">
        <v>325</v>
      </c>
      <c r="N2830" s="3" t="s">
        <v>13</v>
      </c>
      <c r="O2830" s="3" t="s">
        <v>14</v>
      </c>
      <c r="Q2830" s="30" t="str">
        <f t="shared" si="44"/>
        <v>MAX : 
TARGET : Yes(Pass)
MIN : No(Fail)</v>
      </c>
    </row>
    <row r="2831" spans="2:17" ht="41.4" x14ac:dyDescent="0.3">
      <c r="B2831">
        <v>0</v>
      </c>
      <c r="C2831" s="33">
        <v>8638</v>
      </c>
      <c r="D2831" s="2">
        <v>1256</v>
      </c>
      <c r="E2831" s="2" t="s">
        <v>10734</v>
      </c>
      <c r="F2831" s="3" t="s">
        <v>14206</v>
      </c>
      <c r="H2831" s="3" t="s">
        <v>504</v>
      </c>
      <c r="K2831" s="2">
        <v>20</v>
      </c>
      <c r="L2831" s="2">
        <v>3</v>
      </c>
      <c r="M2831" s="3" t="s">
        <v>194</v>
      </c>
      <c r="N2831" s="3" t="s">
        <v>131</v>
      </c>
      <c r="O2831" s="3" t="s">
        <v>132</v>
      </c>
      <c r="P2831" s="3" t="s">
        <v>133</v>
      </c>
      <c r="Q2831" s="30" t="str">
        <f t="shared" si="44"/>
        <v>MAX : 0.78
TARGET : 0.75
MIN : 0.72</v>
      </c>
    </row>
    <row r="2832" spans="2:17" ht="41.4" x14ac:dyDescent="0.3">
      <c r="B2832">
        <v>0</v>
      </c>
      <c r="C2832" s="33">
        <v>8638</v>
      </c>
      <c r="D2832" s="2">
        <v>1256</v>
      </c>
      <c r="E2832" s="2" t="s">
        <v>10734</v>
      </c>
      <c r="F2832" s="3" t="s">
        <v>14206</v>
      </c>
      <c r="H2832" s="3" t="s">
        <v>504</v>
      </c>
      <c r="K2832" s="2">
        <v>20</v>
      </c>
      <c r="L2832" s="2">
        <v>5</v>
      </c>
      <c r="M2832" s="3" t="s">
        <v>1605</v>
      </c>
      <c r="N2832" s="3" t="s">
        <v>13</v>
      </c>
      <c r="O2832" s="3" t="s">
        <v>14</v>
      </c>
      <c r="Q2832" s="30" t="str">
        <f t="shared" si="44"/>
        <v>MAX : 
TARGET : Yes(Pass)
MIN : No(Fail)</v>
      </c>
    </row>
    <row r="2833" spans="2:17" ht="41.4" x14ac:dyDescent="0.3">
      <c r="B2833">
        <v>0</v>
      </c>
      <c r="C2833" s="33">
        <v>8638</v>
      </c>
      <c r="D2833" s="2">
        <v>1256</v>
      </c>
      <c r="E2833" s="2" t="s">
        <v>10734</v>
      </c>
      <c r="F2833" s="3" t="s">
        <v>14206</v>
      </c>
      <c r="H2833" s="3" t="s">
        <v>504</v>
      </c>
      <c r="K2833" s="2">
        <v>20</v>
      </c>
      <c r="L2833" s="2">
        <v>6</v>
      </c>
      <c r="M2833" s="3" t="s">
        <v>78</v>
      </c>
      <c r="N2833" s="3" t="s">
        <v>13</v>
      </c>
      <c r="O2833" s="3" t="s">
        <v>14</v>
      </c>
      <c r="Q2833" s="30" t="str">
        <f t="shared" si="44"/>
        <v>MAX : 
TARGET : Yes(Pass)
MIN : No(Fail)</v>
      </c>
    </row>
    <row r="2834" spans="2:17" ht="41.4" x14ac:dyDescent="0.3">
      <c r="B2834">
        <v>0</v>
      </c>
      <c r="C2834" s="33">
        <v>8638</v>
      </c>
      <c r="D2834" s="2">
        <v>1256</v>
      </c>
      <c r="E2834" s="2" t="s">
        <v>10734</v>
      </c>
      <c r="F2834" s="3" t="s">
        <v>14206</v>
      </c>
      <c r="H2834" s="3" t="s">
        <v>504</v>
      </c>
      <c r="K2834" s="2">
        <v>20</v>
      </c>
      <c r="L2834" s="2">
        <v>4</v>
      </c>
      <c r="M2834" s="3" t="s">
        <v>3446</v>
      </c>
      <c r="N2834" s="3" t="s">
        <v>13</v>
      </c>
      <c r="O2834" s="3" t="s">
        <v>14</v>
      </c>
      <c r="Q2834" s="30" t="str">
        <f t="shared" si="44"/>
        <v>MAX : 
TARGET : Yes(Pass)
MIN : No(Fail)</v>
      </c>
    </row>
    <row r="2835" spans="2:17" ht="41.4" x14ac:dyDescent="0.3">
      <c r="B2835">
        <v>0</v>
      </c>
      <c r="C2835" s="33">
        <v>8638</v>
      </c>
      <c r="D2835" s="2">
        <v>1256</v>
      </c>
      <c r="E2835" s="2" t="s">
        <v>10734</v>
      </c>
      <c r="F2835" s="3" t="s">
        <v>14206</v>
      </c>
      <c r="H2835" s="3" t="s">
        <v>504</v>
      </c>
      <c r="K2835" s="2">
        <v>20</v>
      </c>
      <c r="L2835" s="2">
        <v>7</v>
      </c>
      <c r="M2835" s="3" t="s">
        <v>3015</v>
      </c>
      <c r="N2835" s="3" t="s">
        <v>13</v>
      </c>
      <c r="O2835" s="3" t="s">
        <v>14</v>
      </c>
      <c r="Q2835" s="30" t="str">
        <f t="shared" si="44"/>
        <v>MAX : 
TARGET : Yes(Pass)
MIN : No(Fail)</v>
      </c>
    </row>
    <row r="2836" spans="2:17" ht="41.4" x14ac:dyDescent="0.3">
      <c r="B2836">
        <v>1</v>
      </c>
      <c r="C2836" s="33">
        <v>8356</v>
      </c>
      <c r="D2836" s="2">
        <v>1953</v>
      </c>
      <c r="E2836" s="2" t="s">
        <v>10300</v>
      </c>
      <c r="F2836" s="3" t="s">
        <v>14206</v>
      </c>
      <c r="H2836" s="3" t="s">
        <v>895</v>
      </c>
      <c r="I2836" s="3" t="s">
        <v>487</v>
      </c>
      <c r="K2836" s="2">
        <v>10</v>
      </c>
      <c r="L2836" s="2">
        <v>1</v>
      </c>
      <c r="M2836" s="3" t="s">
        <v>99</v>
      </c>
      <c r="N2836" s="3" t="s">
        <v>308</v>
      </c>
      <c r="O2836" s="3" t="s">
        <v>309</v>
      </c>
      <c r="P2836" s="3" t="s">
        <v>310</v>
      </c>
      <c r="Q2836" s="30" t="str">
        <f t="shared" si="44"/>
        <v>MAX : 0.53
TARGET : 0.50
MIN : 0.47</v>
      </c>
    </row>
    <row r="2837" spans="2:17" ht="41.4" x14ac:dyDescent="0.3">
      <c r="B2837">
        <v>0</v>
      </c>
      <c r="C2837" s="33">
        <v>8207</v>
      </c>
      <c r="D2837" s="2">
        <v>1188</v>
      </c>
      <c r="E2837" s="2" t="s">
        <v>10098</v>
      </c>
      <c r="F2837" s="3" t="s">
        <v>14206</v>
      </c>
      <c r="H2837" s="3" t="s">
        <v>713</v>
      </c>
      <c r="K2837" s="2">
        <v>20</v>
      </c>
      <c r="L2837" s="2">
        <v>1</v>
      </c>
      <c r="M2837" s="3" t="s">
        <v>194</v>
      </c>
      <c r="N2837" s="3" t="s">
        <v>3045</v>
      </c>
      <c r="O2837" s="3" t="s">
        <v>2096</v>
      </c>
      <c r="P2837" s="3" t="s">
        <v>339</v>
      </c>
      <c r="Q2837" s="30" t="str">
        <f t="shared" si="44"/>
        <v>MAX : 3.25
TARGET : 3.19
MIN : 3.13</v>
      </c>
    </row>
    <row r="2838" spans="2:17" ht="41.4" x14ac:dyDescent="0.3">
      <c r="B2838">
        <v>1</v>
      </c>
      <c r="C2838" s="33">
        <v>8359</v>
      </c>
      <c r="D2838" s="2">
        <v>1954</v>
      </c>
      <c r="E2838" s="2" t="s">
        <v>10306</v>
      </c>
      <c r="F2838" s="3" t="s">
        <v>14206</v>
      </c>
      <c r="H2838" s="3" t="s">
        <v>289</v>
      </c>
      <c r="K2838" s="2">
        <v>10</v>
      </c>
      <c r="L2838" s="2">
        <v>2</v>
      </c>
      <c r="M2838" s="3" t="s">
        <v>198</v>
      </c>
      <c r="N2838" s="3" t="s">
        <v>983</v>
      </c>
      <c r="O2838" s="3" t="s">
        <v>241</v>
      </c>
      <c r="P2838" s="3" t="s">
        <v>984</v>
      </c>
      <c r="Q2838" s="30" t="str">
        <f t="shared" si="44"/>
        <v>MAX : 0.155
TARGET : 0.125
MIN : 0.095</v>
      </c>
    </row>
    <row r="2839" spans="2:17" ht="41.4" x14ac:dyDescent="0.3">
      <c r="B2839">
        <v>1</v>
      </c>
      <c r="C2839" s="33">
        <v>8359</v>
      </c>
      <c r="D2839" s="2">
        <v>1954</v>
      </c>
      <c r="E2839" s="2" t="s">
        <v>10306</v>
      </c>
      <c r="F2839" s="3" t="s">
        <v>14206</v>
      </c>
      <c r="H2839" s="3" t="s">
        <v>289</v>
      </c>
      <c r="K2839" s="2">
        <v>10</v>
      </c>
      <c r="L2839" s="2">
        <v>1</v>
      </c>
      <c r="M2839" s="3" t="s">
        <v>194</v>
      </c>
      <c r="N2839" s="3" t="s">
        <v>54</v>
      </c>
      <c r="O2839" s="3" t="s">
        <v>86</v>
      </c>
      <c r="P2839" s="3" t="s">
        <v>87</v>
      </c>
      <c r="Q2839" s="30" t="str">
        <f t="shared" si="44"/>
        <v>MAX : 0.530
TARGET : 0.500
MIN : 0.470</v>
      </c>
    </row>
    <row r="2840" spans="2:17" ht="41.4" x14ac:dyDescent="0.3">
      <c r="B2840">
        <v>1</v>
      </c>
      <c r="C2840" s="33">
        <v>8360</v>
      </c>
      <c r="D2840" s="2">
        <v>1955</v>
      </c>
      <c r="E2840" s="2" t="s">
        <v>10312</v>
      </c>
      <c r="F2840" s="3" t="s">
        <v>14206</v>
      </c>
      <c r="H2840" s="3" t="s">
        <v>289</v>
      </c>
      <c r="K2840" s="2">
        <v>10</v>
      </c>
      <c r="L2840" s="2">
        <v>2</v>
      </c>
      <c r="M2840" s="3" t="s">
        <v>198</v>
      </c>
      <c r="N2840" s="3" t="s">
        <v>3239</v>
      </c>
      <c r="O2840" s="3" t="s">
        <v>282</v>
      </c>
      <c r="P2840" s="3" t="s">
        <v>3240</v>
      </c>
      <c r="Q2840" s="30" t="str">
        <f t="shared" si="44"/>
        <v>MAX : 0.311
TARGET : 0.281
MIN : 0.251</v>
      </c>
    </row>
    <row r="2841" spans="2:17" ht="41.4" x14ac:dyDescent="0.3">
      <c r="B2841">
        <v>1</v>
      </c>
      <c r="C2841" s="33">
        <v>8360</v>
      </c>
      <c r="D2841" s="2">
        <v>1955</v>
      </c>
      <c r="E2841" s="2" t="s">
        <v>10312</v>
      </c>
      <c r="F2841" s="3" t="s">
        <v>14206</v>
      </c>
      <c r="H2841" s="3" t="s">
        <v>289</v>
      </c>
      <c r="K2841" s="2">
        <v>10</v>
      </c>
      <c r="L2841" s="2">
        <v>1</v>
      </c>
      <c r="M2841" s="3" t="s">
        <v>194</v>
      </c>
      <c r="N2841" s="3" t="s">
        <v>3242</v>
      </c>
      <c r="O2841" s="3" t="s">
        <v>3243</v>
      </c>
      <c r="P2841" s="3" t="s">
        <v>3244</v>
      </c>
      <c r="Q2841" s="30" t="str">
        <f t="shared" si="44"/>
        <v>MAX : 1.218
TARGET : 1.188
MIN : 1.158</v>
      </c>
    </row>
    <row r="2842" spans="2:17" ht="41.4" x14ac:dyDescent="0.3">
      <c r="B2842">
        <v>1</v>
      </c>
      <c r="C2842" s="33">
        <v>8362</v>
      </c>
      <c r="D2842" s="2">
        <v>1956</v>
      </c>
      <c r="E2842" s="2" t="s">
        <v>10318</v>
      </c>
      <c r="F2842" s="3" t="s">
        <v>14206</v>
      </c>
      <c r="H2842" s="3" t="s">
        <v>289</v>
      </c>
      <c r="K2842" s="2">
        <v>10</v>
      </c>
      <c r="L2842" s="2">
        <v>2</v>
      </c>
      <c r="M2842" s="3" t="s">
        <v>198</v>
      </c>
      <c r="N2842" s="3" t="s">
        <v>3239</v>
      </c>
      <c r="O2842" s="3" t="s">
        <v>282</v>
      </c>
      <c r="P2842" s="3" t="s">
        <v>3240</v>
      </c>
      <c r="Q2842" s="30" t="str">
        <f t="shared" si="44"/>
        <v>MAX : 0.311
TARGET : 0.281
MIN : 0.251</v>
      </c>
    </row>
    <row r="2843" spans="2:17" ht="41.4" x14ac:dyDescent="0.3">
      <c r="B2843">
        <v>1</v>
      </c>
      <c r="C2843" s="33">
        <v>8362</v>
      </c>
      <c r="D2843" s="2">
        <v>1956</v>
      </c>
      <c r="E2843" s="2" t="s">
        <v>10318</v>
      </c>
      <c r="F2843" s="3" t="s">
        <v>14206</v>
      </c>
      <c r="H2843" s="3" t="s">
        <v>289</v>
      </c>
      <c r="K2843" s="2">
        <v>10</v>
      </c>
      <c r="L2843" s="2">
        <v>1</v>
      </c>
      <c r="M2843" s="3" t="s">
        <v>194</v>
      </c>
      <c r="N2843" s="3" t="s">
        <v>3245</v>
      </c>
      <c r="O2843" s="3" t="s">
        <v>848</v>
      </c>
      <c r="P2843" s="3" t="s">
        <v>3246</v>
      </c>
      <c r="Q2843" s="30" t="str">
        <f t="shared" si="44"/>
        <v>MAX : 2.030
TARGET : 2.000
MIN : 1.970</v>
      </c>
    </row>
    <row r="2844" spans="2:17" ht="41.4" x14ac:dyDescent="0.3">
      <c r="B2844">
        <v>0</v>
      </c>
      <c r="C2844" s="33">
        <v>8223</v>
      </c>
      <c r="D2844" s="2">
        <v>1944</v>
      </c>
      <c r="E2844" s="2" t="s">
        <v>10109</v>
      </c>
      <c r="F2844" s="3" t="s">
        <v>14206</v>
      </c>
      <c r="H2844" s="3" t="s">
        <v>289</v>
      </c>
      <c r="K2844" s="2">
        <v>20</v>
      </c>
      <c r="L2844" s="2">
        <v>6</v>
      </c>
      <c r="M2844" s="3" t="s">
        <v>3622</v>
      </c>
      <c r="N2844" s="3" t="s">
        <v>24</v>
      </c>
      <c r="O2844" s="3" t="s">
        <v>25</v>
      </c>
      <c r="Q2844" s="30" t="str">
        <f t="shared" si="44"/>
        <v>MAX : 
TARGET : Yes (Pass)
MIN : No (Fail)</v>
      </c>
    </row>
    <row r="2845" spans="2:17" ht="41.4" x14ac:dyDescent="0.3">
      <c r="B2845">
        <v>1</v>
      </c>
      <c r="C2845" s="33">
        <v>8364</v>
      </c>
      <c r="D2845" s="2">
        <v>1211</v>
      </c>
      <c r="E2845" s="2" t="s">
        <v>10324</v>
      </c>
      <c r="F2845" s="3" t="s">
        <v>14206</v>
      </c>
      <c r="H2845" s="3" t="s">
        <v>2427</v>
      </c>
      <c r="K2845" s="2">
        <v>10</v>
      </c>
      <c r="L2845" s="2">
        <v>2</v>
      </c>
      <c r="M2845" s="3" t="s">
        <v>198</v>
      </c>
      <c r="N2845" s="3" t="s">
        <v>485</v>
      </c>
      <c r="O2845" s="3" t="s">
        <v>272</v>
      </c>
      <c r="P2845" s="3" t="s">
        <v>507</v>
      </c>
      <c r="Q2845" s="30" t="str">
        <f t="shared" si="44"/>
        <v>MAX : 1.06
TARGET : 1.00
MIN : 0.94</v>
      </c>
    </row>
    <row r="2846" spans="2:17" ht="41.4" x14ac:dyDescent="0.3">
      <c r="B2846">
        <v>1</v>
      </c>
      <c r="C2846" s="33">
        <v>8364</v>
      </c>
      <c r="D2846" s="2">
        <v>1211</v>
      </c>
      <c r="E2846" s="2" t="s">
        <v>10324</v>
      </c>
      <c r="F2846" s="3" t="s">
        <v>14206</v>
      </c>
      <c r="H2846" s="3" t="s">
        <v>2427</v>
      </c>
      <c r="K2846" s="2">
        <v>10</v>
      </c>
      <c r="L2846" s="2">
        <v>1</v>
      </c>
      <c r="M2846" s="3" t="s">
        <v>194</v>
      </c>
      <c r="N2846" s="3" t="s">
        <v>900</v>
      </c>
      <c r="O2846" s="3" t="s">
        <v>28</v>
      </c>
      <c r="P2846" s="3" t="s">
        <v>901</v>
      </c>
      <c r="Q2846" s="30" t="str">
        <f t="shared" si="44"/>
        <v>MAX : 1.56
TARGET : 1.50
MIN : 1.44</v>
      </c>
    </row>
    <row r="2847" spans="2:17" ht="41.4" x14ac:dyDescent="0.3">
      <c r="B2847">
        <v>1</v>
      </c>
      <c r="C2847" s="33">
        <v>8372</v>
      </c>
      <c r="D2847" s="2">
        <v>1212</v>
      </c>
      <c r="E2847" s="2" t="s">
        <v>10331</v>
      </c>
      <c r="F2847" s="3" t="s">
        <v>14207</v>
      </c>
      <c r="H2847" s="3" t="s">
        <v>810</v>
      </c>
      <c r="K2847" s="2">
        <v>10</v>
      </c>
      <c r="L2847" s="2">
        <v>2</v>
      </c>
      <c r="M2847" s="3" t="s">
        <v>198</v>
      </c>
      <c r="N2847" s="3" t="s">
        <v>2836</v>
      </c>
      <c r="O2847" s="3" t="s">
        <v>2541</v>
      </c>
      <c r="P2847" s="3" t="s">
        <v>1350</v>
      </c>
      <c r="Q2847" s="30" t="str">
        <f t="shared" si="44"/>
        <v>MAX : 7.5
TARGET : 7.0
MIN : 6.5</v>
      </c>
    </row>
    <row r="2848" spans="2:17" ht="41.4" x14ac:dyDescent="0.3">
      <c r="B2848">
        <v>0</v>
      </c>
      <c r="C2848" s="33">
        <v>8233</v>
      </c>
      <c r="D2848" s="2">
        <v>1192</v>
      </c>
      <c r="E2848" s="2" t="s">
        <v>10129</v>
      </c>
      <c r="F2848" s="3" t="s">
        <v>14206</v>
      </c>
      <c r="H2848" s="3" t="s">
        <v>3080</v>
      </c>
      <c r="K2848" s="2">
        <v>20</v>
      </c>
      <c r="L2848" s="2">
        <v>9</v>
      </c>
      <c r="M2848" s="3" t="s">
        <v>5180</v>
      </c>
      <c r="N2848" s="3" t="s">
        <v>24</v>
      </c>
      <c r="O2848" s="3" t="s">
        <v>25</v>
      </c>
      <c r="Q2848" s="30" t="str">
        <f t="shared" si="44"/>
        <v>MAX : 
TARGET : Yes (Pass)
MIN : No (Fail)</v>
      </c>
    </row>
    <row r="2849" spans="2:18" ht="41.4" x14ac:dyDescent="0.3">
      <c r="B2849">
        <v>1</v>
      </c>
      <c r="C2849" s="33">
        <v>8372</v>
      </c>
      <c r="D2849" s="2">
        <v>1212</v>
      </c>
      <c r="E2849" s="2" t="s">
        <v>10331</v>
      </c>
      <c r="F2849" s="3" t="s">
        <v>14207</v>
      </c>
      <c r="H2849" s="3" t="s">
        <v>810</v>
      </c>
      <c r="K2849" s="2">
        <v>10</v>
      </c>
      <c r="L2849" s="2">
        <v>1</v>
      </c>
      <c r="M2849" s="3" t="s">
        <v>194</v>
      </c>
      <c r="N2849" s="3" t="s">
        <v>3201</v>
      </c>
      <c r="O2849" s="3" t="s">
        <v>3202</v>
      </c>
      <c r="P2849" s="3" t="s">
        <v>3203</v>
      </c>
      <c r="Q2849" s="30" t="str">
        <f t="shared" si="44"/>
        <v>MAX : 84
TARGET : 82
MIN : 80</v>
      </c>
    </row>
    <row r="2850" spans="2:18" ht="41.4" x14ac:dyDescent="0.3">
      <c r="B2850">
        <v>0</v>
      </c>
      <c r="C2850" s="33">
        <v>8650</v>
      </c>
      <c r="D2850" s="2">
        <v>1257</v>
      </c>
      <c r="E2850" s="2" t="s">
        <v>10762</v>
      </c>
      <c r="F2850" s="3" t="s">
        <v>14206</v>
      </c>
      <c r="H2850" s="3" t="s">
        <v>2296</v>
      </c>
      <c r="I2850" s="3" t="s">
        <v>487</v>
      </c>
      <c r="K2850" s="2">
        <v>20</v>
      </c>
      <c r="L2850" s="2">
        <v>1</v>
      </c>
      <c r="M2850" s="3" t="s">
        <v>2088</v>
      </c>
      <c r="N2850" s="3" t="s">
        <v>3455</v>
      </c>
      <c r="O2850" s="3" t="s">
        <v>860</v>
      </c>
      <c r="P2850" s="3" t="s">
        <v>3456</v>
      </c>
      <c r="Q2850" s="30" t="str">
        <f t="shared" si="44"/>
        <v>MAX : 18.06
TARGET : 18.00
MIN : 17.94</v>
      </c>
    </row>
    <row r="2851" spans="2:18" ht="41.4" x14ac:dyDescent="0.3">
      <c r="B2851">
        <v>0</v>
      </c>
      <c r="C2851" s="33">
        <v>8650</v>
      </c>
      <c r="D2851" s="2">
        <v>1257</v>
      </c>
      <c r="E2851" s="2" t="s">
        <v>10762</v>
      </c>
      <c r="F2851" s="3" t="s">
        <v>14206</v>
      </c>
      <c r="H2851" s="3" t="s">
        <v>2296</v>
      </c>
      <c r="I2851" s="3" t="s">
        <v>487</v>
      </c>
      <c r="K2851" s="2">
        <v>20</v>
      </c>
      <c r="L2851" s="2">
        <v>2</v>
      </c>
      <c r="M2851" s="3" t="s">
        <v>3457</v>
      </c>
      <c r="N2851" s="3" t="s">
        <v>13</v>
      </c>
      <c r="O2851" s="3" t="s">
        <v>14</v>
      </c>
      <c r="Q2851" s="30" t="str">
        <f t="shared" si="44"/>
        <v>MAX : 
TARGET : Yes(Pass)
MIN : No(Fail)</v>
      </c>
    </row>
    <row r="2852" spans="2:18" ht="41.4" x14ac:dyDescent="0.3">
      <c r="B2852">
        <v>1</v>
      </c>
      <c r="C2852" s="33">
        <v>8373</v>
      </c>
      <c r="D2852" s="2">
        <v>1213</v>
      </c>
      <c r="E2852" s="2" t="s">
        <v>10337</v>
      </c>
      <c r="F2852" s="3" t="s">
        <v>14207</v>
      </c>
      <c r="H2852" s="3" t="s">
        <v>469</v>
      </c>
      <c r="K2852" s="2">
        <v>10</v>
      </c>
      <c r="L2852" s="2">
        <v>2</v>
      </c>
      <c r="M2852" s="3" t="s">
        <v>198</v>
      </c>
      <c r="N2852" s="3" t="s">
        <v>1919</v>
      </c>
      <c r="O2852" s="3" t="s">
        <v>1920</v>
      </c>
      <c r="P2852" s="3" t="s">
        <v>1921</v>
      </c>
      <c r="Q2852" s="30" t="str">
        <f t="shared" si="44"/>
        <v>MAX : 39
TARGET : 38
MIN : 37</v>
      </c>
      <c r="R2852" s="3" t="s">
        <v>443</v>
      </c>
    </row>
    <row r="2853" spans="2:18" ht="41.4" x14ac:dyDescent="0.3">
      <c r="B2853">
        <v>1</v>
      </c>
      <c r="C2853" s="33">
        <v>8373</v>
      </c>
      <c r="D2853" s="2">
        <v>1213</v>
      </c>
      <c r="E2853" s="2" t="s">
        <v>10337</v>
      </c>
      <c r="F2853" s="3" t="s">
        <v>14207</v>
      </c>
      <c r="H2853" s="3" t="s">
        <v>469</v>
      </c>
      <c r="K2853" s="2">
        <v>10</v>
      </c>
      <c r="L2853" s="2">
        <v>1</v>
      </c>
      <c r="M2853" s="3" t="s">
        <v>194</v>
      </c>
      <c r="N2853" s="3" t="s">
        <v>1359</v>
      </c>
      <c r="O2853" s="3" t="s">
        <v>3204</v>
      </c>
      <c r="P2853" s="3" t="s">
        <v>3140</v>
      </c>
      <c r="Q2853" s="30" t="str">
        <f t="shared" si="44"/>
        <v>MAX : 42
TARGET : 41
MIN : 40</v>
      </c>
      <c r="R2853" s="3" t="s">
        <v>443</v>
      </c>
    </row>
    <row r="2854" spans="2:18" ht="41.4" x14ac:dyDescent="0.3">
      <c r="B2854">
        <v>0</v>
      </c>
      <c r="C2854" s="33">
        <v>8665</v>
      </c>
      <c r="D2854" s="2">
        <v>1262</v>
      </c>
      <c r="E2854" s="2" t="s">
        <v>10807</v>
      </c>
      <c r="F2854" s="3" t="s">
        <v>14206</v>
      </c>
      <c r="H2854" s="3" t="s">
        <v>824</v>
      </c>
      <c r="I2854" s="3" t="s">
        <v>487</v>
      </c>
      <c r="K2854" s="2">
        <v>10</v>
      </c>
      <c r="L2854" s="2">
        <v>3</v>
      </c>
      <c r="M2854" s="3" t="s">
        <v>2226</v>
      </c>
      <c r="N2854" s="3" t="s">
        <v>13</v>
      </c>
      <c r="O2854" s="3" t="s">
        <v>14</v>
      </c>
      <c r="Q2854" s="30" t="str">
        <f t="shared" si="44"/>
        <v>MAX : 
TARGET : Yes(Pass)
MIN : No(Fail)</v>
      </c>
    </row>
    <row r="2855" spans="2:18" ht="41.4" x14ac:dyDescent="0.3">
      <c r="B2855">
        <v>1</v>
      </c>
      <c r="C2855" s="33">
        <v>8375</v>
      </c>
      <c r="D2855" s="2">
        <v>1214</v>
      </c>
      <c r="E2855" s="2" t="s">
        <v>10343</v>
      </c>
      <c r="F2855" s="3" t="s">
        <v>14207</v>
      </c>
      <c r="H2855" s="3" t="s">
        <v>810</v>
      </c>
      <c r="K2855" s="2">
        <v>10</v>
      </c>
      <c r="L2855" s="2">
        <v>2</v>
      </c>
      <c r="M2855" s="3" t="s">
        <v>198</v>
      </c>
      <c r="N2855" s="3" t="s">
        <v>3205</v>
      </c>
      <c r="O2855" s="3" t="s">
        <v>891</v>
      </c>
      <c r="P2855" s="3" t="s">
        <v>892</v>
      </c>
      <c r="Q2855" s="30" t="str">
        <f t="shared" si="44"/>
        <v>MAX : 10
TARGET : 9
MIN : 8</v>
      </c>
    </row>
    <row r="2856" spans="2:18" ht="41.4" x14ac:dyDescent="0.3">
      <c r="B2856">
        <v>1</v>
      </c>
      <c r="C2856" s="33">
        <v>8375</v>
      </c>
      <c r="D2856" s="2">
        <v>1214</v>
      </c>
      <c r="E2856" s="2" t="s">
        <v>10343</v>
      </c>
      <c r="F2856" s="3" t="s">
        <v>14207</v>
      </c>
      <c r="H2856" s="3" t="s">
        <v>810</v>
      </c>
      <c r="K2856" s="2">
        <v>10</v>
      </c>
      <c r="L2856" s="2">
        <v>1</v>
      </c>
      <c r="M2856" s="3" t="s">
        <v>194</v>
      </c>
      <c r="N2856" s="3" t="s">
        <v>3205</v>
      </c>
      <c r="O2856" s="3" t="s">
        <v>891</v>
      </c>
      <c r="P2856" s="3" t="s">
        <v>892</v>
      </c>
      <c r="Q2856" s="30" t="str">
        <f t="shared" si="44"/>
        <v>MAX : 10
TARGET : 9
MIN : 8</v>
      </c>
    </row>
    <row r="2857" spans="2:18" ht="41.4" x14ac:dyDescent="0.3">
      <c r="B2857">
        <v>1</v>
      </c>
      <c r="C2857" s="33">
        <v>8376</v>
      </c>
      <c r="D2857" s="2">
        <v>1215</v>
      </c>
      <c r="E2857" s="2" t="s">
        <v>10349</v>
      </c>
      <c r="F2857" s="3" t="s">
        <v>14207</v>
      </c>
      <c r="H2857" s="3" t="s">
        <v>810</v>
      </c>
      <c r="K2857" s="2">
        <v>10</v>
      </c>
      <c r="L2857" s="2">
        <v>2</v>
      </c>
      <c r="M2857" s="3" t="s">
        <v>198</v>
      </c>
      <c r="N2857" s="3" t="s">
        <v>3210</v>
      </c>
      <c r="O2857" s="3" t="s">
        <v>3211</v>
      </c>
      <c r="P2857" s="3" t="s">
        <v>3212</v>
      </c>
      <c r="Q2857" s="30" t="str">
        <f t="shared" si="44"/>
        <v>MAX : 106
TARGET : 105
MIN : 104</v>
      </c>
    </row>
    <row r="2858" spans="2:18" ht="41.4" x14ac:dyDescent="0.3">
      <c r="B2858">
        <v>1</v>
      </c>
      <c r="C2858" s="33">
        <v>8376</v>
      </c>
      <c r="D2858" s="2">
        <v>1215</v>
      </c>
      <c r="E2858" s="2" t="s">
        <v>10349</v>
      </c>
      <c r="F2858" s="3" t="s">
        <v>14207</v>
      </c>
      <c r="H2858" s="3" t="s">
        <v>810</v>
      </c>
      <c r="K2858" s="2">
        <v>10</v>
      </c>
      <c r="L2858" s="2">
        <v>1</v>
      </c>
      <c r="M2858" s="3" t="s">
        <v>194</v>
      </c>
      <c r="N2858" s="3" t="s">
        <v>3207</v>
      </c>
      <c r="O2858" s="3" t="s">
        <v>3208</v>
      </c>
      <c r="P2858" s="3" t="s">
        <v>3209</v>
      </c>
      <c r="Q2858" s="30" t="str">
        <f t="shared" si="44"/>
        <v>MAX : 115
TARGET : 114
MIN : 113</v>
      </c>
    </row>
    <row r="2859" spans="2:18" ht="41.4" x14ac:dyDescent="0.3">
      <c r="B2859">
        <v>1</v>
      </c>
      <c r="C2859" s="33">
        <v>8382</v>
      </c>
      <c r="D2859" s="2">
        <v>1216</v>
      </c>
      <c r="E2859" s="2" t="s">
        <v>10362</v>
      </c>
      <c r="F2859" s="3" t="s">
        <v>14206</v>
      </c>
      <c r="H2859" s="3" t="s">
        <v>1952</v>
      </c>
      <c r="K2859" s="2">
        <v>20</v>
      </c>
      <c r="L2859" s="2">
        <v>2</v>
      </c>
      <c r="M2859" s="3" t="s">
        <v>570</v>
      </c>
      <c r="N2859" s="3" t="s">
        <v>1504</v>
      </c>
      <c r="O2859" s="3" t="s">
        <v>815</v>
      </c>
      <c r="P2859" s="3" t="s">
        <v>1505</v>
      </c>
      <c r="Q2859" s="30" t="str">
        <f t="shared" si="44"/>
        <v>MAX : 3.06
TARGET : 3.00
MIN : 2.94</v>
      </c>
    </row>
    <row r="2860" spans="2:18" ht="41.4" x14ac:dyDescent="0.3">
      <c r="B2860">
        <v>1</v>
      </c>
      <c r="C2860" s="33">
        <v>8382</v>
      </c>
      <c r="D2860" s="2">
        <v>1216</v>
      </c>
      <c r="E2860" s="2" t="s">
        <v>10362</v>
      </c>
      <c r="F2860" s="3" t="s">
        <v>14206</v>
      </c>
      <c r="H2860" s="3" t="s">
        <v>1952</v>
      </c>
      <c r="K2860" s="2">
        <v>20</v>
      </c>
      <c r="L2860" s="2">
        <v>1</v>
      </c>
      <c r="M2860" s="3" t="s">
        <v>194</v>
      </c>
      <c r="N2860" s="3" t="s">
        <v>979</v>
      </c>
      <c r="O2860" s="3" t="s">
        <v>309</v>
      </c>
      <c r="P2860" s="3" t="s">
        <v>1531</v>
      </c>
      <c r="Q2860" s="30" t="str">
        <f t="shared" si="44"/>
        <v>MAX : 0.56
TARGET : 0.50
MIN : 0.44</v>
      </c>
    </row>
    <row r="2861" spans="2:18" ht="41.4" x14ac:dyDescent="0.3">
      <c r="B2861">
        <v>1</v>
      </c>
      <c r="C2861" s="33">
        <v>8384</v>
      </c>
      <c r="D2861" s="2">
        <v>1958</v>
      </c>
      <c r="E2861" s="2" t="s">
        <v>10369</v>
      </c>
      <c r="F2861" s="3" t="s">
        <v>14206</v>
      </c>
      <c r="H2861" s="3" t="s">
        <v>50</v>
      </c>
      <c r="K2861" s="2">
        <v>10</v>
      </c>
      <c r="L2861" s="2">
        <v>2</v>
      </c>
      <c r="M2861" s="3" t="s">
        <v>3217</v>
      </c>
      <c r="N2861" s="3" t="s">
        <v>13</v>
      </c>
      <c r="O2861" s="3" t="s">
        <v>14</v>
      </c>
      <c r="Q2861" s="30" t="str">
        <f t="shared" si="44"/>
        <v>MAX : 
TARGET : Yes(Pass)
MIN : No(Fail)</v>
      </c>
    </row>
    <row r="2862" spans="2:18" ht="41.4" x14ac:dyDescent="0.3">
      <c r="B2862">
        <v>1</v>
      </c>
      <c r="C2862" s="33">
        <v>8384</v>
      </c>
      <c r="D2862" s="2">
        <v>1958</v>
      </c>
      <c r="E2862" s="2" t="s">
        <v>10369</v>
      </c>
      <c r="F2862" s="3" t="s">
        <v>14206</v>
      </c>
      <c r="H2862" s="3" t="s">
        <v>50</v>
      </c>
      <c r="K2862" s="2">
        <v>10</v>
      </c>
      <c r="L2862" s="2">
        <v>1</v>
      </c>
      <c r="M2862" s="3" t="s">
        <v>99</v>
      </c>
      <c r="N2862" s="3" t="s">
        <v>420</v>
      </c>
      <c r="O2862" s="3" t="s">
        <v>272</v>
      </c>
      <c r="P2862" s="3" t="s">
        <v>414</v>
      </c>
      <c r="Q2862" s="30" t="str">
        <f t="shared" si="44"/>
        <v>MAX : 1.03
TARGET : 1.00
MIN : 0.97</v>
      </c>
    </row>
    <row r="2863" spans="2:18" ht="41.4" x14ac:dyDescent="0.3">
      <c r="B2863">
        <v>0</v>
      </c>
      <c r="C2863" s="33">
        <v>8668</v>
      </c>
      <c r="D2863" s="2">
        <v>1263</v>
      </c>
      <c r="E2863" s="2" t="s">
        <v>10814</v>
      </c>
      <c r="F2863" s="3" t="s">
        <v>14207</v>
      </c>
      <c r="H2863" s="3" t="s">
        <v>713</v>
      </c>
      <c r="K2863" s="2">
        <v>20</v>
      </c>
      <c r="L2863" s="2">
        <v>3</v>
      </c>
      <c r="M2863" s="3" t="s">
        <v>3473</v>
      </c>
      <c r="N2863" s="3" t="s">
        <v>13</v>
      </c>
      <c r="O2863" s="3" t="s">
        <v>14</v>
      </c>
      <c r="Q2863" s="30" t="str">
        <f t="shared" si="44"/>
        <v>MAX : 
TARGET : Yes(Pass)
MIN : No(Fail)</v>
      </c>
    </row>
    <row r="2864" spans="2:18" ht="41.4" x14ac:dyDescent="0.3">
      <c r="B2864">
        <v>0</v>
      </c>
      <c r="C2864" s="33">
        <v>8668</v>
      </c>
      <c r="D2864" s="2">
        <v>1263</v>
      </c>
      <c r="E2864" s="2" t="s">
        <v>10814</v>
      </c>
      <c r="F2864" s="3" t="s">
        <v>14207</v>
      </c>
      <c r="H2864" s="3" t="s">
        <v>713</v>
      </c>
      <c r="K2864" s="2">
        <v>20</v>
      </c>
      <c r="L2864" s="2">
        <v>4</v>
      </c>
      <c r="M2864" s="3" t="s">
        <v>1759</v>
      </c>
      <c r="N2864" s="3" t="s">
        <v>13</v>
      </c>
      <c r="O2864" s="3" t="s">
        <v>14</v>
      </c>
      <c r="Q2864" s="30" t="str">
        <f t="shared" si="44"/>
        <v>MAX : 
TARGET : Yes(Pass)
MIN : No(Fail)</v>
      </c>
    </row>
    <row r="2865" spans="2:17" ht="41.4" x14ac:dyDescent="0.3">
      <c r="B2865">
        <v>1</v>
      </c>
      <c r="C2865" s="33">
        <v>8385</v>
      </c>
      <c r="D2865" s="2">
        <v>1959</v>
      </c>
      <c r="E2865" s="2" t="s">
        <v>10375</v>
      </c>
      <c r="F2865" s="3" t="s">
        <v>14206</v>
      </c>
      <c r="H2865" s="3" t="s">
        <v>50</v>
      </c>
      <c r="K2865" s="2">
        <v>10</v>
      </c>
      <c r="L2865" s="2">
        <v>2</v>
      </c>
      <c r="M2865" s="3" t="s">
        <v>3217</v>
      </c>
      <c r="N2865" s="3" t="s">
        <v>13</v>
      </c>
      <c r="O2865" s="3" t="s">
        <v>14</v>
      </c>
      <c r="Q2865" s="30" t="str">
        <f t="shared" si="44"/>
        <v>MAX : 
TARGET : Yes(Pass)
MIN : No(Fail)</v>
      </c>
    </row>
    <row r="2866" spans="2:17" ht="41.4" x14ac:dyDescent="0.3">
      <c r="B2866">
        <v>1</v>
      </c>
      <c r="C2866" s="33">
        <v>8385</v>
      </c>
      <c r="D2866" s="2">
        <v>1959</v>
      </c>
      <c r="E2866" s="2" t="s">
        <v>10375</v>
      </c>
      <c r="F2866" s="3" t="s">
        <v>14206</v>
      </c>
      <c r="H2866" s="3" t="s">
        <v>50</v>
      </c>
      <c r="K2866" s="2">
        <v>10</v>
      </c>
      <c r="L2866" s="2">
        <v>1</v>
      </c>
      <c r="M2866" s="3" t="s">
        <v>99</v>
      </c>
      <c r="N2866" s="3" t="s">
        <v>420</v>
      </c>
      <c r="O2866" s="3" t="s">
        <v>272</v>
      </c>
      <c r="P2866" s="3" t="s">
        <v>414</v>
      </c>
      <c r="Q2866" s="30" t="str">
        <f t="shared" si="44"/>
        <v>MAX : 1.03
TARGET : 1.00
MIN : 0.97</v>
      </c>
    </row>
    <row r="2867" spans="2:17" ht="41.4" x14ac:dyDescent="0.3">
      <c r="B2867">
        <v>0</v>
      </c>
      <c r="C2867" s="33">
        <v>8669</v>
      </c>
      <c r="D2867" s="2">
        <v>1264</v>
      </c>
      <c r="E2867" s="2" t="s">
        <v>10821</v>
      </c>
      <c r="F2867" s="3" t="s">
        <v>14207</v>
      </c>
      <c r="H2867" s="3" t="s">
        <v>713</v>
      </c>
      <c r="K2867" s="2">
        <v>20</v>
      </c>
      <c r="L2867" s="2">
        <v>3</v>
      </c>
      <c r="M2867" s="3" t="s">
        <v>3473</v>
      </c>
      <c r="N2867" s="3" t="s">
        <v>13</v>
      </c>
      <c r="O2867" s="3" t="s">
        <v>14</v>
      </c>
      <c r="Q2867" s="30" t="str">
        <f t="shared" si="44"/>
        <v>MAX : 
TARGET : Yes(Pass)
MIN : No(Fail)</v>
      </c>
    </row>
    <row r="2868" spans="2:17" ht="41.4" x14ac:dyDescent="0.3">
      <c r="B2868">
        <v>0</v>
      </c>
      <c r="C2868" s="33">
        <v>8669</v>
      </c>
      <c r="D2868" s="2">
        <v>1264</v>
      </c>
      <c r="E2868" s="2" t="s">
        <v>10821</v>
      </c>
      <c r="F2868" s="3" t="s">
        <v>14207</v>
      </c>
      <c r="H2868" s="3" t="s">
        <v>713</v>
      </c>
      <c r="K2868" s="2">
        <v>20</v>
      </c>
      <c r="L2868" s="2">
        <v>4</v>
      </c>
      <c r="M2868" s="3" t="s">
        <v>1759</v>
      </c>
      <c r="N2868" s="3" t="s">
        <v>13</v>
      </c>
      <c r="O2868" s="3" t="s">
        <v>14</v>
      </c>
      <c r="Q2868" s="30" t="str">
        <f t="shared" si="44"/>
        <v>MAX : 
TARGET : Yes(Pass)
MIN : No(Fail)</v>
      </c>
    </row>
    <row r="2869" spans="2:17" ht="41.4" x14ac:dyDescent="0.3">
      <c r="B2869">
        <v>1</v>
      </c>
      <c r="C2869" s="33">
        <v>8386</v>
      </c>
      <c r="D2869" s="2">
        <v>1960</v>
      </c>
      <c r="E2869" s="2" t="s">
        <v>10381</v>
      </c>
      <c r="F2869" s="3" t="s">
        <v>14206</v>
      </c>
      <c r="H2869" s="3" t="s">
        <v>50</v>
      </c>
      <c r="K2869" s="2">
        <v>10</v>
      </c>
      <c r="L2869" s="2">
        <v>2</v>
      </c>
      <c r="M2869" s="3" t="s">
        <v>3217</v>
      </c>
      <c r="N2869" s="3" t="s">
        <v>13</v>
      </c>
      <c r="O2869" s="3" t="s">
        <v>14</v>
      </c>
      <c r="Q2869" s="30" t="str">
        <f t="shared" si="44"/>
        <v>MAX : 
TARGET : Yes(Pass)
MIN : No(Fail)</v>
      </c>
    </row>
    <row r="2870" spans="2:17" ht="41.4" x14ac:dyDescent="0.3">
      <c r="B2870">
        <v>1</v>
      </c>
      <c r="C2870" s="33">
        <v>8386</v>
      </c>
      <c r="D2870" s="2">
        <v>1960</v>
      </c>
      <c r="E2870" s="2" t="s">
        <v>10381</v>
      </c>
      <c r="F2870" s="3" t="s">
        <v>14206</v>
      </c>
      <c r="H2870" s="3" t="s">
        <v>50</v>
      </c>
      <c r="K2870" s="2">
        <v>10</v>
      </c>
      <c r="L2870" s="2">
        <v>1</v>
      </c>
      <c r="M2870" s="3" t="s">
        <v>99</v>
      </c>
      <c r="N2870" s="3" t="s">
        <v>420</v>
      </c>
      <c r="O2870" s="3" t="s">
        <v>272</v>
      </c>
      <c r="P2870" s="3" t="s">
        <v>414</v>
      </c>
      <c r="Q2870" s="30" t="str">
        <f t="shared" si="44"/>
        <v>MAX : 1.03
TARGET : 1.00
MIN : 0.97</v>
      </c>
    </row>
    <row r="2871" spans="2:17" ht="41.4" x14ac:dyDescent="0.3">
      <c r="B2871">
        <v>1</v>
      </c>
      <c r="C2871" s="33">
        <v>8387</v>
      </c>
      <c r="D2871" s="2">
        <v>1961</v>
      </c>
      <c r="E2871" s="2" t="s">
        <v>10385</v>
      </c>
      <c r="F2871" s="3" t="s">
        <v>14206</v>
      </c>
      <c r="H2871" s="3" t="s">
        <v>50</v>
      </c>
      <c r="K2871" s="2">
        <v>10</v>
      </c>
      <c r="L2871" s="2">
        <v>2</v>
      </c>
      <c r="M2871" s="3" t="s">
        <v>3217</v>
      </c>
      <c r="N2871" s="3" t="s">
        <v>13</v>
      </c>
      <c r="O2871" s="3" t="s">
        <v>14</v>
      </c>
      <c r="Q2871" s="30" t="str">
        <f t="shared" si="44"/>
        <v>MAX : 
TARGET : Yes(Pass)
MIN : No(Fail)</v>
      </c>
    </row>
    <row r="2872" spans="2:17" ht="41.4" x14ac:dyDescent="0.3">
      <c r="B2872">
        <v>1</v>
      </c>
      <c r="C2872" s="33">
        <v>8387</v>
      </c>
      <c r="D2872" s="2">
        <v>1961</v>
      </c>
      <c r="E2872" s="2" t="s">
        <v>10385</v>
      </c>
      <c r="F2872" s="3" t="s">
        <v>14206</v>
      </c>
      <c r="H2872" s="3" t="s">
        <v>50</v>
      </c>
      <c r="K2872" s="2">
        <v>10</v>
      </c>
      <c r="L2872" s="2">
        <v>1</v>
      </c>
      <c r="M2872" s="3" t="s">
        <v>99</v>
      </c>
      <c r="N2872" s="3" t="s">
        <v>420</v>
      </c>
      <c r="O2872" s="3" t="s">
        <v>272</v>
      </c>
      <c r="P2872" s="3" t="s">
        <v>414</v>
      </c>
      <c r="Q2872" s="30" t="str">
        <f t="shared" si="44"/>
        <v>MAX : 1.03
TARGET : 1.00
MIN : 0.97</v>
      </c>
    </row>
    <row r="2873" spans="2:17" ht="41.4" x14ac:dyDescent="0.3">
      <c r="B2873">
        <v>0</v>
      </c>
      <c r="C2873" s="33">
        <v>8673</v>
      </c>
      <c r="D2873" s="2">
        <v>1981</v>
      </c>
      <c r="E2873" s="2" t="s">
        <v>10827</v>
      </c>
      <c r="F2873" s="3" t="s">
        <v>14206</v>
      </c>
      <c r="H2873" s="3" t="s">
        <v>721</v>
      </c>
      <c r="J2873" s="3" t="s">
        <v>3083</v>
      </c>
      <c r="K2873" s="2">
        <v>10</v>
      </c>
      <c r="L2873" s="2">
        <v>3</v>
      </c>
      <c r="M2873" s="3" t="s">
        <v>3478</v>
      </c>
      <c r="N2873" s="3" t="s">
        <v>1619</v>
      </c>
      <c r="O2873" s="3" t="s">
        <v>1620</v>
      </c>
      <c r="Q2873" s="30" t="str">
        <f t="shared" si="44"/>
        <v>MAX : 
TARGET : Yes (pass)
MIN : No (fail)</v>
      </c>
    </row>
    <row r="2874" spans="2:17" ht="41.4" x14ac:dyDescent="0.3">
      <c r="B2874">
        <v>1</v>
      </c>
      <c r="C2874" s="33">
        <v>8395</v>
      </c>
      <c r="D2874" s="2">
        <v>1217</v>
      </c>
      <c r="E2874" s="2" t="s">
        <v>10390</v>
      </c>
      <c r="F2874" s="3" t="s">
        <v>14206</v>
      </c>
      <c r="G2874" s="3" t="s">
        <v>496</v>
      </c>
      <c r="H2874" s="3" t="s">
        <v>600</v>
      </c>
      <c r="K2874" s="2">
        <v>10</v>
      </c>
      <c r="L2874" s="2">
        <v>2</v>
      </c>
      <c r="M2874" s="3" t="s">
        <v>3225</v>
      </c>
      <c r="N2874" s="3" t="s">
        <v>3226</v>
      </c>
      <c r="O2874" s="3" t="s">
        <v>3227</v>
      </c>
      <c r="P2874" s="3" t="s">
        <v>3228</v>
      </c>
      <c r="Q2874" s="30" t="str">
        <f t="shared" si="44"/>
        <v>MAX : 3.77
TARGET : 3.74
MIN : 3.71</v>
      </c>
    </row>
    <row r="2875" spans="2:17" ht="41.4" x14ac:dyDescent="0.3">
      <c r="B2875">
        <v>1</v>
      </c>
      <c r="C2875" s="33">
        <v>8395</v>
      </c>
      <c r="D2875" s="2">
        <v>1217</v>
      </c>
      <c r="E2875" s="2" t="s">
        <v>10390</v>
      </c>
      <c r="F2875" s="3" t="s">
        <v>14206</v>
      </c>
      <c r="G2875" s="3" t="s">
        <v>496</v>
      </c>
      <c r="H2875" s="3" t="s">
        <v>600</v>
      </c>
      <c r="K2875" s="2">
        <v>10</v>
      </c>
      <c r="L2875" s="2">
        <v>1</v>
      </c>
      <c r="M2875" s="3" t="s">
        <v>194</v>
      </c>
      <c r="N2875" s="3" t="s">
        <v>2363</v>
      </c>
      <c r="O2875" s="3" t="s">
        <v>2293</v>
      </c>
      <c r="P2875" s="3" t="s">
        <v>3224</v>
      </c>
      <c r="Q2875" s="30" t="str">
        <f t="shared" si="44"/>
        <v>MAX : 4.43
TARGET : 4.40
MIN : 4.37</v>
      </c>
    </row>
    <row r="2876" spans="2:17" ht="41.4" x14ac:dyDescent="0.3">
      <c r="B2876">
        <v>0</v>
      </c>
      <c r="C2876" s="33">
        <v>8651</v>
      </c>
      <c r="D2876" s="2">
        <v>1258</v>
      </c>
      <c r="E2876" s="2" t="s">
        <v>10770</v>
      </c>
      <c r="F2876" s="3" t="s">
        <v>14206</v>
      </c>
      <c r="H2876" s="3" t="s">
        <v>469</v>
      </c>
      <c r="K2876" s="2">
        <v>20</v>
      </c>
      <c r="L2876" s="2">
        <v>3</v>
      </c>
      <c r="M2876" s="3" t="s">
        <v>3482</v>
      </c>
      <c r="N2876" s="3" t="s">
        <v>3483</v>
      </c>
      <c r="O2876" s="3" t="s">
        <v>1038</v>
      </c>
      <c r="P2876" s="3" t="s">
        <v>1039</v>
      </c>
      <c r="Q2876" s="30" t="str">
        <f t="shared" si="44"/>
        <v>MAX : 0.020
TARGET : 0.000
MIN : -0.020</v>
      </c>
    </row>
    <row r="2877" spans="2:17" ht="41.4" x14ac:dyDescent="0.3">
      <c r="B2877">
        <v>0</v>
      </c>
      <c r="C2877" s="33">
        <v>8651</v>
      </c>
      <c r="D2877" s="2">
        <v>1258</v>
      </c>
      <c r="E2877" s="2" t="s">
        <v>10770</v>
      </c>
      <c r="F2877" s="3" t="s">
        <v>14206</v>
      </c>
      <c r="H2877" s="3" t="s">
        <v>469</v>
      </c>
      <c r="K2877" s="2">
        <v>20</v>
      </c>
      <c r="L2877" s="2">
        <v>4</v>
      </c>
      <c r="M2877" s="3" t="s">
        <v>715</v>
      </c>
      <c r="N2877" s="3" t="s">
        <v>3484</v>
      </c>
      <c r="O2877" s="3" t="s">
        <v>925</v>
      </c>
      <c r="P2877" s="3" t="s">
        <v>3485</v>
      </c>
      <c r="Q2877" s="30" t="str">
        <f t="shared" si="44"/>
        <v>MAX : 4.475
TARGET : 4.460
MIN : 4.445</v>
      </c>
    </row>
    <row r="2878" spans="2:17" ht="41.4" x14ac:dyDescent="0.3">
      <c r="B2878">
        <v>0</v>
      </c>
      <c r="C2878" s="33">
        <v>8651</v>
      </c>
      <c r="D2878" s="2">
        <v>1258</v>
      </c>
      <c r="E2878" s="2" t="s">
        <v>10770</v>
      </c>
      <c r="F2878" s="3" t="s">
        <v>14206</v>
      </c>
      <c r="H2878" s="3" t="s">
        <v>469</v>
      </c>
      <c r="K2878" s="2">
        <v>20</v>
      </c>
      <c r="L2878" s="2">
        <v>5</v>
      </c>
      <c r="M2878" s="3" t="s">
        <v>2211</v>
      </c>
      <c r="N2878" s="3" t="s">
        <v>3486</v>
      </c>
      <c r="O2878" s="3" t="s">
        <v>3487</v>
      </c>
      <c r="P2878" s="3" t="s">
        <v>3488</v>
      </c>
      <c r="Q2878" s="30" t="str">
        <f t="shared" si="44"/>
        <v>MAX : 3.835
TARGET : 3.820
MIN : 3.805</v>
      </c>
    </row>
    <row r="2879" spans="2:17" ht="41.4" x14ac:dyDescent="0.3">
      <c r="B2879">
        <v>0</v>
      </c>
      <c r="C2879" s="33">
        <v>8651</v>
      </c>
      <c r="D2879" s="2">
        <v>1258</v>
      </c>
      <c r="E2879" s="2" t="s">
        <v>10770</v>
      </c>
      <c r="F2879" s="3" t="s">
        <v>14206</v>
      </c>
      <c r="H2879" s="3" t="s">
        <v>469</v>
      </c>
      <c r="K2879" s="2">
        <v>20</v>
      </c>
      <c r="L2879" s="2">
        <v>6</v>
      </c>
      <c r="M2879" s="3" t="s">
        <v>3489</v>
      </c>
      <c r="N2879" s="3" t="s">
        <v>3483</v>
      </c>
      <c r="O2879" s="3" t="s">
        <v>1038</v>
      </c>
      <c r="P2879" s="3" t="s">
        <v>1039</v>
      </c>
      <c r="Q2879" s="30" t="str">
        <f t="shared" si="44"/>
        <v>MAX : 0.020
TARGET : 0.000
MIN : -0.020</v>
      </c>
    </row>
    <row r="2880" spans="2:17" ht="41.4" x14ac:dyDescent="0.3">
      <c r="B2880">
        <v>0</v>
      </c>
      <c r="C2880" s="33">
        <v>8651</v>
      </c>
      <c r="D2880" s="2">
        <v>1258</v>
      </c>
      <c r="E2880" s="2" t="s">
        <v>10770</v>
      </c>
      <c r="F2880" s="3" t="s">
        <v>14206</v>
      </c>
      <c r="H2880" s="3" t="s">
        <v>469</v>
      </c>
      <c r="K2880" s="2">
        <v>20</v>
      </c>
      <c r="L2880" s="2">
        <v>10</v>
      </c>
      <c r="M2880" s="3" t="s">
        <v>1605</v>
      </c>
      <c r="N2880" s="3" t="s">
        <v>13</v>
      </c>
      <c r="O2880" s="3" t="s">
        <v>14</v>
      </c>
      <c r="Q2880" s="30" t="str">
        <f t="shared" si="44"/>
        <v>MAX : 
TARGET : Yes(Pass)
MIN : No(Fail)</v>
      </c>
    </row>
    <row r="2881" spans="2:18" ht="41.4" x14ac:dyDescent="0.3">
      <c r="B2881">
        <v>0</v>
      </c>
      <c r="C2881" s="33">
        <v>8651</v>
      </c>
      <c r="D2881" s="2">
        <v>1258</v>
      </c>
      <c r="E2881" s="2" t="s">
        <v>10770</v>
      </c>
      <c r="F2881" s="3" t="s">
        <v>14206</v>
      </c>
      <c r="H2881" s="3" t="s">
        <v>469</v>
      </c>
      <c r="K2881" s="2">
        <v>20</v>
      </c>
      <c r="L2881" s="2">
        <v>11</v>
      </c>
      <c r="M2881" s="3" t="s">
        <v>78</v>
      </c>
      <c r="N2881" s="3" t="s">
        <v>13</v>
      </c>
      <c r="O2881" s="3" t="s">
        <v>14</v>
      </c>
      <c r="Q2881" s="30" t="str">
        <f t="shared" si="44"/>
        <v>MAX : 
TARGET : Yes(Pass)
MIN : No(Fail)</v>
      </c>
    </row>
    <row r="2882" spans="2:18" ht="41.4" x14ac:dyDescent="0.3">
      <c r="B2882">
        <v>1</v>
      </c>
      <c r="C2882" s="33">
        <v>8411</v>
      </c>
      <c r="D2882" s="2">
        <v>1962</v>
      </c>
      <c r="E2882" s="2" t="s">
        <v>10396</v>
      </c>
      <c r="F2882" s="3" t="s">
        <v>14206</v>
      </c>
      <c r="H2882" s="3" t="s">
        <v>11</v>
      </c>
      <c r="K2882" s="2">
        <v>30</v>
      </c>
      <c r="L2882" s="2">
        <v>2</v>
      </c>
      <c r="M2882" s="3" t="s">
        <v>422</v>
      </c>
      <c r="N2882" s="3" t="s">
        <v>308</v>
      </c>
      <c r="O2882" s="3" t="s">
        <v>309</v>
      </c>
      <c r="P2882" s="3" t="s">
        <v>310</v>
      </c>
      <c r="Q2882" s="30" t="str">
        <f t="shared" ref="Q2882:Q2945" si="45">"MAX : " &amp; P2882 &amp; CHAR(10) &amp; "TARGET : " &amp; O2882 &amp; CHAR(10) &amp; "MIN : " &amp; N2882</f>
        <v>MAX : 0.53
TARGET : 0.50
MIN : 0.47</v>
      </c>
    </row>
    <row r="2883" spans="2:18" ht="41.4" x14ac:dyDescent="0.3">
      <c r="B2883">
        <v>1</v>
      </c>
      <c r="C2883" s="33">
        <v>8411</v>
      </c>
      <c r="D2883" s="2">
        <v>1962</v>
      </c>
      <c r="E2883" s="2" t="s">
        <v>10396</v>
      </c>
      <c r="F2883" s="3" t="s">
        <v>14206</v>
      </c>
      <c r="H2883" s="3" t="s">
        <v>11</v>
      </c>
      <c r="K2883" s="2">
        <v>30</v>
      </c>
      <c r="L2883" s="2">
        <v>1</v>
      </c>
      <c r="M2883" s="3" t="s">
        <v>3258</v>
      </c>
      <c r="N2883" s="3" t="s">
        <v>767</v>
      </c>
      <c r="O2883" s="3" t="s">
        <v>253</v>
      </c>
      <c r="P2883" s="3" t="s">
        <v>129</v>
      </c>
      <c r="Q2883" s="30" t="str">
        <f t="shared" si="45"/>
        <v>MAX : 4.06
TARGET : 4.00
MIN : 3.94</v>
      </c>
    </row>
    <row r="2884" spans="2:18" ht="41.4" x14ac:dyDescent="0.3">
      <c r="B2884">
        <v>0</v>
      </c>
      <c r="C2884" s="33">
        <v>7639</v>
      </c>
      <c r="D2884" s="2">
        <v>1905</v>
      </c>
      <c r="E2884" s="2" t="s">
        <v>9479</v>
      </c>
      <c r="F2884" s="3" t="s">
        <v>14236</v>
      </c>
      <c r="H2884" s="3" t="s">
        <v>269</v>
      </c>
      <c r="K2884" s="2">
        <v>10</v>
      </c>
      <c r="L2884" s="2">
        <v>3</v>
      </c>
      <c r="M2884" s="3" t="s">
        <v>3282</v>
      </c>
      <c r="N2884" s="3" t="s">
        <v>13</v>
      </c>
      <c r="O2884" s="3" t="s">
        <v>14</v>
      </c>
      <c r="Q2884" s="30" t="str">
        <f t="shared" si="45"/>
        <v>MAX : 
TARGET : Yes(Pass)
MIN : No(Fail)</v>
      </c>
      <c r="R2884" s="3" t="s">
        <v>762</v>
      </c>
    </row>
    <row r="2885" spans="2:18" ht="41.4" x14ac:dyDescent="0.3">
      <c r="B2885">
        <v>1</v>
      </c>
      <c r="C2885" s="33">
        <v>8416</v>
      </c>
      <c r="D2885" s="2">
        <v>1218</v>
      </c>
      <c r="E2885" s="2" t="s">
        <v>10403</v>
      </c>
      <c r="F2885" s="3" t="s">
        <v>14207</v>
      </c>
      <c r="H2885" s="3" t="s">
        <v>1915</v>
      </c>
      <c r="K2885" s="2">
        <v>10</v>
      </c>
      <c r="L2885" s="2">
        <v>2</v>
      </c>
      <c r="M2885" s="3" t="s">
        <v>198</v>
      </c>
      <c r="N2885" s="3" t="s">
        <v>3267</v>
      </c>
      <c r="O2885" s="3" t="s">
        <v>3268</v>
      </c>
      <c r="P2885" s="3" t="s">
        <v>3269</v>
      </c>
      <c r="Q2885" s="30" t="str">
        <f t="shared" si="45"/>
        <v>MAX : 25.7
TARGET : 25.2
MIN : 24.7</v>
      </c>
      <c r="R2885" s="3" t="s">
        <v>1473</v>
      </c>
    </row>
    <row r="2886" spans="2:18" ht="41.4" x14ac:dyDescent="0.3">
      <c r="B2886">
        <v>1</v>
      </c>
      <c r="C2886" s="33">
        <v>8416</v>
      </c>
      <c r="D2886" s="2">
        <v>1218</v>
      </c>
      <c r="E2886" s="2" t="s">
        <v>10403</v>
      </c>
      <c r="F2886" s="3" t="s">
        <v>14207</v>
      </c>
      <c r="H2886" s="3" t="s">
        <v>1915</v>
      </c>
      <c r="K2886" s="2">
        <v>10</v>
      </c>
      <c r="L2886" s="2">
        <v>1</v>
      </c>
      <c r="M2886" s="3" t="s">
        <v>194</v>
      </c>
      <c r="N2886" s="3" t="s">
        <v>3264</v>
      </c>
      <c r="O2886" s="3" t="s">
        <v>3265</v>
      </c>
      <c r="P2886" s="3" t="s">
        <v>3266</v>
      </c>
      <c r="Q2886" s="30" t="str">
        <f t="shared" si="45"/>
        <v>MAX : 86.4
TARGET : 85.9
MIN : 85.4</v>
      </c>
      <c r="R2886" s="3" t="s">
        <v>1473</v>
      </c>
    </row>
    <row r="2887" spans="2:18" ht="41.4" x14ac:dyDescent="0.3">
      <c r="B2887">
        <v>0</v>
      </c>
      <c r="C2887" s="33">
        <v>7482</v>
      </c>
      <c r="D2887" s="2">
        <v>1112</v>
      </c>
      <c r="E2887" s="2" t="s">
        <v>9237</v>
      </c>
      <c r="F2887" s="3" t="s">
        <v>14206</v>
      </c>
      <c r="H2887" s="3" t="s">
        <v>2315</v>
      </c>
      <c r="K2887" s="2">
        <v>10</v>
      </c>
      <c r="L2887" s="2">
        <v>3</v>
      </c>
      <c r="M2887" s="3" t="s">
        <v>3501</v>
      </c>
      <c r="N2887" s="3" t="s">
        <v>3502</v>
      </c>
      <c r="O2887" s="3" t="s">
        <v>3503</v>
      </c>
      <c r="P2887" s="3" t="s">
        <v>3504</v>
      </c>
      <c r="Q2887" s="30" t="str">
        <f t="shared" si="45"/>
        <v>MAX : .064
TARGET : .059
MIN : .054</v>
      </c>
    </row>
    <row r="2888" spans="2:18" ht="41.4" x14ac:dyDescent="0.3">
      <c r="B2888">
        <v>0</v>
      </c>
      <c r="C2888" s="33">
        <v>7482</v>
      </c>
      <c r="D2888" s="2">
        <v>1112</v>
      </c>
      <c r="E2888" s="2" t="s">
        <v>9237</v>
      </c>
      <c r="F2888" s="3" t="s">
        <v>14206</v>
      </c>
      <c r="H2888" s="3" t="s">
        <v>2315</v>
      </c>
      <c r="K2888" s="2">
        <v>10</v>
      </c>
      <c r="L2888" s="2">
        <v>4</v>
      </c>
      <c r="M2888" s="3" t="s">
        <v>3505</v>
      </c>
      <c r="N2888" s="3" t="s">
        <v>3506</v>
      </c>
      <c r="O2888" s="3" t="s">
        <v>3507</v>
      </c>
      <c r="P2888" s="3" t="s">
        <v>3508</v>
      </c>
      <c r="Q2888" s="30" t="str">
        <f t="shared" si="45"/>
        <v>MAX : .040
TARGET : .035
MIN : .030</v>
      </c>
    </row>
    <row r="2889" spans="2:18" ht="41.4" x14ac:dyDescent="0.3">
      <c r="B2889">
        <v>0</v>
      </c>
      <c r="C2889" s="33">
        <v>7482</v>
      </c>
      <c r="D2889" s="2">
        <v>1112</v>
      </c>
      <c r="E2889" s="2" t="s">
        <v>9237</v>
      </c>
      <c r="F2889" s="3" t="s">
        <v>14206</v>
      </c>
      <c r="H2889" s="3" t="s">
        <v>2315</v>
      </c>
      <c r="K2889" s="2">
        <v>10</v>
      </c>
      <c r="L2889" s="2">
        <v>5</v>
      </c>
      <c r="M2889" s="3" t="s">
        <v>3509</v>
      </c>
      <c r="N2889" s="3" t="s">
        <v>3510</v>
      </c>
      <c r="O2889" s="3" t="s">
        <v>3499</v>
      </c>
      <c r="P2889" s="3" t="s">
        <v>3511</v>
      </c>
      <c r="Q2889" s="30" t="str">
        <f t="shared" si="45"/>
        <v>MAX : .010
TARGET : .008
MIN : .006</v>
      </c>
    </row>
    <row r="2890" spans="2:18" ht="41.4" x14ac:dyDescent="0.3">
      <c r="B2890">
        <v>0</v>
      </c>
      <c r="C2890" s="33">
        <v>7482</v>
      </c>
      <c r="D2890" s="2">
        <v>1112</v>
      </c>
      <c r="E2890" s="2" t="s">
        <v>9237</v>
      </c>
      <c r="F2890" s="3" t="s">
        <v>14206</v>
      </c>
      <c r="H2890" s="3" t="s">
        <v>2315</v>
      </c>
      <c r="K2890" s="2">
        <v>10</v>
      </c>
      <c r="L2890" s="2">
        <v>6</v>
      </c>
      <c r="M2890" s="3" t="s">
        <v>3512</v>
      </c>
      <c r="N2890" s="3" t="s">
        <v>3513</v>
      </c>
      <c r="O2890" s="3" t="s">
        <v>3514</v>
      </c>
      <c r="P2890" s="3" t="s">
        <v>3515</v>
      </c>
      <c r="Q2890" s="30" t="str">
        <f t="shared" si="45"/>
        <v>MAX : .07
TARGET : .04
MIN : .03</v>
      </c>
    </row>
    <row r="2891" spans="2:18" ht="41.4" x14ac:dyDescent="0.3">
      <c r="B2891">
        <v>0</v>
      </c>
      <c r="C2891" s="33">
        <v>7482</v>
      </c>
      <c r="D2891" s="2">
        <v>1112</v>
      </c>
      <c r="E2891" s="2" t="s">
        <v>9237</v>
      </c>
      <c r="F2891" s="3" t="s">
        <v>14206</v>
      </c>
      <c r="H2891" s="3" t="s">
        <v>2315</v>
      </c>
      <c r="K2891" s="2">
        <v>10</v>
      </c>
      <c r="L2891" s="2">
        <v>7</v>
      </c>
      <c r="M2891" s="3" t="s">
        <v>3516</v>
      </c>
      <c r="N2891" s="3" t="s">
        <v>3517</v>
      </c>
      <c r="O2891" s="3" t="s">
        <v>3518</v>
      </c>
      <c r="P2891" s="3" t="s">
        <v>3519</v>
      </c>
      <c r="Q2891" s="30" t="str">
        <f t="shared" si="45"/>
        <v>MAX : .225
TARGET : .205
MIN : .185</v>
      </c>
    </row>
    <row r="2892" spans="2:18" ht="41.4" x14ac:dyDescent="0.3">
      <c r="B2892">
        <v>0</v>
      </c>
      <c r="C2892" s="33">
        <v>7482</v>
      </c>
      <c r="D2892" s="2">
        <v>1112</v>
      </c>
      <c r="E2892" s="2" t="s">
        <v>9237</v>
      </c>
      <c r="F2892" s="3" t="s">
        <v>14206</v>
      </c>
      <c r="H2892" s="3" t="s">
        <v>2315</v>
      </c>
      <c r="K2892" s="2">
        <v>10</v>
      </c>
      <c r="L2892" s="2">
        <v>8</v>
      </c>
      <c r="M2892" s="3" t="s">
        <v>3520</v>
      </c>
      <c r="N2892" s="3" t="s">
        <v>3521</v>
      </c>
      <c r="O2892" s="3" t="s">
        <v>3522</v>
      </c>
      <c r="P2892" s="3" t="s">
        <v>3523</v>
      </c>
      <c r="Q2892" s="30" t="str">
        <f t="shared" si="45"/>
        <v>MAX : .430
TARGET : .410
MIN : .390</v>
      </c>
    </row>
    <row r="2893" spans="2:18" ht="41.4" x14ac:dyDescent="0.3">
      <c r="B2893">
        <v>0</v>
      </c>
      <c r="C2893" s="33">
        <v>7482</v>
      </c>
      <c r="D2893" s="2">
        <v>1112</v>
      </c>
      <c r="E2893" s="2" t="s">
        <v>9237</v>
      </c>
      <c r="F2893" s="3" t="s">
        <v>14206</v>
      </c>
      <c r="H2893" s="3" t="s">
        <v>2315</v>
      </c>
      <c r="K2893" s="2">
        <v>10</v>
      </c>
      <c r="L2893" s="2">
        <v>9</v>
      </c>
      <c r="M2893" s="3" t="s">
        <v>3524</v>
      </c>
      <c r="N2893" s="3" t="s">
        <v>3525</v>
      </c>
      <c r="O2893" s="3" t="s">
        <v>1185</v>
      </c>
      <c r="P2893" s="3" t="s">
        <v>3526</v>
      </c>
      <c r="Q2893" s="30" t="str">
        <f t="shared" si="45"/>
        <v>MAX : 2.76
TARGET : 2.75
MIN : 2.74</v>
      </c>
    </row>
    <row r="2894" spans="2:18" ht="41.4" x14ac:dyDescent="0.3">
      <c r="B2894">
        <v>0</v>
      </c>
      <c r="C2894" s="33">
        <v>7482</v>
      </c>
      <c r="D2894" s="2">
        <v>1112</v>
      </c>
      <c r="E2894" s="2" t="s">
        <v>9237</v>
      </c>
      <c r="F2894" s="3" t="s">
        <v>14206</v>
      </c>
      <c r="H2894" s="3" t="s">
        <v>2315</v>
      </c>
      <c r="K2894" s="2">
        <v>10</v>
      </c>
      <c r="L2894" s="2">
        <v>10</v>
      </c>
      <c r="M2894" s="3" t="s">
        <v>3527</v>
      </c>
      <c r="N2894" s="3" t="s">
        <v>3525</v>
      </c>
      <c r="O2894" s="3" t="s">
        <v>1185</v>
      </c>
      <c r="P2894" s="3" t="s">
        <v>3526</v>
      </c>
      <c r="Q2894" s="30" t="str">
        <f t="shared" si="45"/>
        <v>MAX : 2.76
TARGET : 2.75
MIN : 2.74</v>
      </c>
    </row>
    <row r="2895" spans="2:18" ht="41.4" x14ac:dyDescent="0.3">
      <c r="B2895">
        <v>0</v>
      </c>
      <c r="C2895" s="33">
        <v>7482</v>
      </c>
      <c r="D2895" s="2">
        <v>1112</v>
      </c>
      <c r="E2895" s="2" t="s">
        <v>9237</v>
      </c>
      <c r="F2895" s="3" t="s">
        <v>14206</v>
      </c>
      <c r="H2895" s="3" t="s">
        <v>2315</v>
      </c>
      <c r="K2895" s="2">
        <v>10</v>
      </c>
      <c r="L2895" s="2">
        <v>11</v>
      </c>
      <c r="M2895" s="3" t="s">
        <v>3528</v>
      </c>
      <c r="N2895" s="3" t="s">
        <v>3529</v>
      </c>
      <c r="O2895" s="3" t="s">
        <v>1689</v>
      </c>
      <c r="P2895" s="3" t="s">
        <v>3530</v>
      </c>
      <c r="Q2895" s="30" t="str">
        <f t="shared" si="45"/>
        <v>MAX : 2.81
TARGET : 2.80
MIN : 2.79</v>
      </c>
    </row>
    <row r="2896" spans="2:18" ht="41.4" x14ac:dyDescent="0.3">
      <c r="B2896">
        <v>0</v>
      </c>
      <c r="C2896" s="33">
        <v>7482</v>
      </c>
      <c r="D2896" s="2">
        <v>1112</v>
      </c>
      <c r="E2896" s="2" t="s">
        <v>9237</v>
      </c>
      <c r="F2896" s="3" t="s">
        <v>14206</v>
      </c>
      <c r="H2896" s="3" t="s">
        <v>2315</v>
      </c>
      <c r="K2896" s="2">
        <v>10</v>
      </c>
      <c r="L2896" s="2">
        <v>0</v>
      </c>
      <c r="M2896" s="3" t="s">
        <v>3531</v>
      </c>
      <c r="Q2896" s="30" t="str">
        <f t="shared" si="45"/>
        <v xml:space="preserve">MAX : 
TARGET : 
MIN : </v>
      </c>
    </row>
    <row r="2897" spans="2:17" ht="41.4" x14ac:dyDescent="0.3">
      <c r="B2897">
        <v>0</v>
      </c>
      <c r="C2897" s="33">
        <v>7482</v>
      </c>
      <c r="D2897" s="2">
        <v>1112</v>
      </c>
      <c r="E2897" s="2" t="s">
        <v>9237</v>
      </c>
      <c r="F2897" s="3" t="s">
        <v>14206</v>
      </c>
      <c r="H2897" s="3" t="s">
        <v>2315</v>
      </c>
      <c r="K2897" s="2">
        <v>10</v>
      </c>
      <c r="L2897" s="2">
        <v>12</v>
      </c>
      <c r="M2897" s="3" t="s">
        <v>3532</v>
      </c>
      <c r="Q2897" s="30" t="str">
        <f t="shared" si="45"/>
        <v xml:space="preserve">MAX : 
TARGET : 
MIN : </v>
      </c>
    </row>
    <row r="2898" spans="2:17" ht="41.4" x14ac:dyDescent="0.3">
      <c r="B2898">
        <v>1</v>
      </c>
      <c r="C2898" s="33">
        <v>8423</v>
      </c>
      <c r="D2898" s="2">
        <v>1963</v>
      </c>
      <c r="E2898" s="2" t="s">
        <v>10411</v>
      </c>
      <c r="F2898" s="3" t="s">
        <v>14207</v>
      </c>
      <c r="H2898" s="3" t="s">
        <v>193</v>
      </c>
      <c r="K2898" s="2">
        <v>10</v>
      </c>
      <c r="L2898" s="2">
        <v>2</v>
      </c>
      <c r="M2898" s="3" t="s">
        <v>3273</v>
      </c>
      <c r="N2898" s="3" t="s">
        <v>13</v>
      </c>
      <c r="O2898" s="3" t="s">
        <v>14</v>
      </c>
      <c r="Q2898" s="30" t="str">
        <f t="shared" si="45"/>
        <v>MAX : 
TARGET : Yes(Pass)
MIN : No(Fail)</v>
      </c>
    </row>
    <row r="2899" spans="2:17" ht="41.4" x14ac:dyDescent="0.3">
      <c r="B2899">
        <v>1</v>
      </c>
      <c r="C2899" s="33">
        <v>8423</v>
      </c>
      <c r="D2899" s="2">
        <v>1963</v>
      </c>
      <c r="E2899" s="2" t="s">
        <v>10411</v>
      </c>
      <c r="F2899" s="3" t="s">
        <v>14207</v>
      </c>
      <c r="H2899" s="3" t="s">
        <v>193</v>
      </c>
      <c r="K2899" s="2">
        <v>10</v>
      </c>
      <c r="L2899" s="2">
        <v>1</v>
      </c>
      <c r="M2899" s="3" t="s">
        <v>611</v>
      </c>
      <c r="N2899" s="3" t="s">
        <v>13</v>
      </c>
      <c r="O2899" s="3" t="s">
        <v>14</v>
      </c>
      <c r="Q2899" s="30" t="str">
        <f t="shared" si="45"/>
        <v>MAX : 
TARGET : Yes(Pass)
MIN : No(Fail)</v>
      </c>
    </row>
    <row r="2900" spans="2:17" ht="41.4" x14ac:dyDescent="0.3">
      <c r="B2900">
        <v>0</v>
      </c>
      <c r="C2900" s="33">
        <v>8679</v>
      </c>
      <c r="D2900" s="2">
        <v>1982</v>
      </c>
      <c r="E2900" s="2" t="s">
        <v>10842</v>
      </c>
      <c r="F2900" s="3" t="s">
        <v>14206</v>
      </c>
      <c r="H2900" s="3" t="s">
        <v>3533</v>
      </c>
      <c r="K2900" s="2">
        <v>10</v>
      </c>
      <c r="L2900" s="2">
        <v>3</v>
      </c>
      <c r="M2900" s="3" t="s">
        <v>611</v>
      </c>
      <c r="N2900" s="3" t="s">
        <v>13</v>
      </c>
      <c r="O2900" s="3" t="s">
        <v>14</v>
      </c>
      <c r="Q2900" s="30" t="str">
        <f t="shared" si="45"/>
        <v>MAX : 
TARGET : Yes(Pass)
MIN : No(Fail)</v>
      </c>
    </row>
    <row r="2901" spans="2:17" ht="41.4" x14ac:dyDescent="0.3">
      <c r="B2901">
        <v>1</v>
      </c>
      <c r="C2901" s="33">
        <v>8431</v>
      </c>
      <c r="D2901" s="2">
        <v>1964</v>
      </c>
      <c r="E2901" s="2" t="s">
        <v>10418</v>
      </c>
      <c r="F2901" s="3" t="s">
        <v>14206</v>
      </c>
      <c r="H2901" s="3" t="s">
        <v>1677</v>
      </c>
      <c r="K2901" s="2">
        <v>10</v>
      </c>
      <c r="L2901" s="2">
        <v>2</v>
      </c>
      <c r="M2901" s="3" t="s">
        <v>3275</v>
      </c>
      <c r="N2901" s="3" t="s">
        <v>13</v>
      </c>
      <c r="O2901" s="3" t="s">
        <v>14</v>
      </c>
      <c r="Q2901" s="30" t="str">
        <f t="shared" si="45"/>
        <v>MAX : 
TARGET : Yes(Pass)
MIN : No(Fail)</v>
      </c>
    </row>
    <row r="2902" spans="2:17" ht="41.4" x14ac:dyDescent="0.3">
      <c r="B2902">
        <v>1</v>
      </c>
      <c r="C2902" s="33">
        <v>8431</v>
      </c>
      <c r="D2902" s="2">
        <v>1964</v>
      </c>
      <c r="E2902" s="2" t="s">
        <v>10418</v>
      </c>
      <c r="F2902" s="3" t="s">
        <v>14206</v>
      </c>
      <c r="H2902" s="3" t="s">
        <v>1677</v>
      </c>
      <c r="K2902" s="2">
        <v>10</v>
      </c>
      <c r="L2902" s="2">
        <v>1</v>
      </c>
      <c r="M2902" s="3" t="s">
        <v>99</v>
      </c>
      <c r="N2902" s="3" t="s">
        <v>2131</v>
      </c>
      <c r="O2902" s="3" t="s">
        <v>284</v>
      </c>
      <c r="P2902" s="3" t="s">
        <v>644</v>
      </c>
      <c r="Q2902" s="30" t="str">
        <f t="shared" si="45"/>
        <v>MAX : 0.218
TARGET : 0.188
MIN : 0.158</v>
      </c>
    </row>
    <row r="2903" spans="2:17" ht="41.4" x14ac:dyDescent="0.3">
      <c r="B2903">
        <v>0</v>
      </c>
      <c r="C2903" s="33">
        <v>8680</v>
      </c>
      <c r="D2903" s="2">
        <v>1983</v>
      </c>
      <c r="E2903" s="2" t="s">
        <v>10847</v>
      </c>
      <c r="F2903" s="3" t="s">
        <v>14206</v>
      </c>
      <c r="H2903" s="3" t="s">
        <v>824</v>
      </c>
      <c r="K2903" s="2">
        <v>20</v>
      </c>
      <c r="L2903" s="2">
        <v>1</v>
      </c>
      <c r="M2903" s="3" t="s">
        <v>570</v>
      </c>
      <c r="N2903" s="3" t="s">
        <v>420</v>
      </c>
      <c r="O2903" s="3" t="s">
        <v>272</v>
      </c>
      <c r="P2903" s="3" t="s">
        <v>414</v>
      </c>
      <c r="Q2903" s="30" t="str">
        <f t="shared" si="45"/>
        <v>MAX : 1.03
TARGET : 1.00
MIN : 0.97</v>
      </c>
    </row>
    <row r="2904" spans="2:17" ht="41.4" x14ac:dyDescent="0.3">
      <c r="B2904">
        <v>0</v>
      </c>
      <c r="C2904" s="33">
        <v>8680</v>
      </c>
      <c r="D2904" s="2">
        <v>1983</v>
      </c>
      <c r="E2904" s="2" t="s">
        <v>10847</v>
      </c>
      <c r="F2904" s="3" t="s">
        <v>14206</v>
      </c>
      <c r="H2904" s="3" t="s">
        <v>824</v>
      </c>
      <c r="K2904" s="2">
        <v>20</v>
      </c>
      <c r="L2904" s="2">
        <v>2</v>
      </c>
      <c r="M2904" s="3" t="s">
        <v>1605</v>
      </c>
      <c r="N2904" s="3" t="s">
        <v>13</v>
      </c>
      <c r="O2904" s="3" t="s">
        <v>14</v>
      </c>
      <c r="Q2904" s="30" t="str">
        <f t="shared" si="45"/>
        <v>MAX : 
TARGET : Yes(Pass)
MIN : No(Fail)</v>
      </c>
    </row>
    <row r="2905" spans="2:17" ht="41.4" x14ac:dyDescent="0.3">
      <c r="B2905">
        <v>1</v>
      </c>
      <c r="C2905" s="33">
        <v>8432</v>
      </c>
      <c r="D2905" s="2">
        <v>1965</v>
      </c>
      <c r="E2905" s="2" t="s">
        <v>10426</v>
      </c>
      <c r="F2905" s="3" t="s">
        <v>14206</v>
      </c>
      <c r="H2905" s="3" t="s">
        <v>491</v>
      </c>
      <c r="K2905" s="2">
        <v>10</v>
      </c>
      <c r="L2905" s="2">
        <v>2</v>
      </c>
      <c r="M2905" s="3" t="s">
        <v>3276</v>
      </c>
      <c r="N2905" s="3" t="s">
        <v>13</v>
      </c>
      <c r="O2905" s="3" t="s">
        <v>14</v>
      </c>
      <c r="Q2905" s="30" t="str">
        <f t="shared" si="45"/>
        <v>MAX : 
TARGET : Yes(Pass)
MIN : No(Fail)</v>
      </c>
    </row>
    <row r="2906" spans="2:17" ht="41.4" x14ac:dyDescent="0.3">
      <c r="B2906">
        <v>1</v>
      </c>
      <c r="C2906" s="33">
        <v>8432</v>
      </c>
      <c r="D2906" s="2">
        <v>1965</v>
      </c>
      <c r="E2906" s="2" t="s">
        <v>10426</v>
      </c>
      <c r="F2906" s="3" t="s">
        <v>14206</v>
      </c>
      <c r="H2906" s="3" t="s">
        <v>491</v>
      </c>
      <c r="K2906" s="2">
        <v>10</v>
      </c>
      <c r="L2906" s="2">
        <v>1</v>
      </c>
      <c r="M2906" s="3" t="s">
        <v>99</v>
      </c>
      <c r="N2906" s="3" t="s">
        <v>75</v>
      </c>
      <c r="O2906" s="3" t="s">
        <v>76</v>
      </c>
      <c r="P2906" s="3" t="s">
        <v>77</v>
      </c>
      <c r="Q2906" s="30" t="str">
        <f t="shared" si="45"/>
        <v>MAX : 2.53
TARGET : 2.50
MIN : 2.47</v>
      </c>
    </row>
    <row r="2907" spans="2:17" ht="41.4" x14ac:dyDescent="0.3">
      <c r="B2907">
        <v>0</v>
      </c>
      <c r="C2907" s="33">
        <v>8689</v>
      </c>
      <c r="D2907" s="2">
        <v>1266</v>
      </c>
      <c r="E2907" s="2" t="s">
        <v>10853</v>
      </c>
      <c r="F2907" s="3" t="s">
        <v>14206</v>
      </c>
      <c r="H2907" s="3" t="s">
        <v>3534</v>
      </c>
      <c r="K2907" s="2">
        <v>20</v>
      </c>
      <c r="L2907" s="2">
        <v>3</v>
      </c>
      <c r="M2907" s="3" t="s">
        <v>194</v>
      </c>
      <c r="N2907" s="3" t="s">
        <v>131</v>
      </c>
      <c r="O2907" s="3" t="s">
        <v>132</v>
      </c>
      <c r="P2907" s="3" t="s">
        <v>133</v>
      </c>
      <c r="Q2907" s="30" t="str">
        <f t="shared" si="45"/>
        <v>MAX : 0.78
TARGET : 0.75
MIN : 0.72</v>
      </c>
    </row>
    <row r="2908" spans="2:17" ht="41.4" x14ac:dyDescent="0.3">
      <c r="B2908">
        <v>0</v>
      </c>
      <c r="C2908" s="33">
        <v>8689</v>
      </c>
      <c r="D2908" s="2">
        <v>1266</v>
      </c>
      <c r="E2908" s="2" t="s">
        <v>10853</v>
      </c>
      <c r="F2908" s="3" t="s">
        <v>14206</v>
      </c>
      <c r="H2908" s="3" t="s">
        <v>3534</v>
      </c>
      <c r="K2908" s="2">
        <v>20</v>
      </c>
      <c r="L2908" s="2">
        <v>5</v>
      </c>
      <c r="M2908" s="3" t="s">
        <v>1605</v>
      </c>
      <c r="N2908" s="3" t="s">
        <v>13</v>
      </c>
      <c r="O2908" s="3" t="s">
        <v>14</v>
      </c>
      <c r="Q2908" s="30" t="str">
        <f t="shared" si="45"/>
        <v>MAX : 
TARGET : Yes(Pass)
MIN : No(Fail)</v>
      </c>
    </row>
    <row r="2909" spans="2:17" ht="41.4" x14ac:dyDescent="0.3">
      <c r="B2909">
        <v>0</v>
      </c>
      <c r="C2909" s="33">
        <v>8689</v>
      </c>
      <c r="D2909" s="2">
        <v>1266</v>
      </c>
      <c r="E2909" s="2" t="s">
        <v>10853</v>
      </c>
      <c r="F2909" s="3" t="s">
        <v>14206</v>
      </c>
      <c r="H2909" s="3" t="s">
        <v>3534</v>
      </c>
      <c r="K2909" s="2">
        <v>20</v>
      </c>
      <c r="L2909" s="2">
        <v>6</v>
      </c>
      <c r="M2909" s="3" t="s">
        <v>78</v>
      </c>
      <c r="N2909" s="3" t="s">
        <v>13</v>
      </c>
      <c r="O2909" s="3" t="s">
        <v>14</v>
      </c>
      <c r="Q2909" s="30" t="str">
        <f t="shared" si="45"/>
        <v>MAX : 
TARGET : Yes(Pass)
MIN : No(Fail)</v>
      </c>
    </row>
    <row r="2910" spans="2:17" ht="41.4" x14ac:dyDescent="0.3">
      <c r="B2910">
        <v>0</v>
      </c>
      <c r="C2910" s="33">
        <v>8689</v>
      </c>
      <c r="D2910" s="2">
        <v>1266</v>
      </c>
      <c r="E2910" s="2" t="s">
        <v>10853</v>
      </c>
      <c r="F2910" s="3" t="s">
        <v>14206</v>
      </c>
      <c r="H2910" s="3" t="s">
        <v>3534</v>
      </c>
      <c r="K2910" s="2">
        <v>20</v>
      </c>
      <c r="L2910" s="2">
        <v>4</v>
      </c>
      <c r="M2910" s="3" t="s">
        <v>3446</v>
      </c>
      <c r="N2910" s="3" t="s">
        <v>13</v>
      </c>
      <c r="O2910" s="3" t="s">
        <v>14</v>
      </c>
      <c r="Q2910" s="30" t="str">
        <f t="shared" si="45"/>
        <v>MAX : 
TARGET : Yes(Pass)
MIN : No(Fail)</v>
      </c>
    </row>
    <row r="2911" spans="2:17" ht="41.4" x14ac:dyDescent="0.3">
      <c r="B2911">
        <v>0</v>
      </c>
      <c r="C2911" s="33">
        <v>8689</v>
      </c>
      <c r="D2911" s="2">
        <v>1266</v>
      </c>
      <c r="E2911" s="2" t="s">
        <v>10853</v>
      </c>
      <c r="F2911" s="3" t="s">
        <v>14206</v>
      </c>
      <c r="H2911" s="3" t="s">
        <v>3534</v>
      </c>
      <c r="K2911" s="2">
        <v>20</v>
      </c>
      <c r="L2911" s="2">
        <v>7</v>
      </c>
      <c r="M2911" s="3" t="s">
        <v>3015</v>
      </c>
      <c r="N2911" s="3" t="s">
        <v>13</v>
      </c>
      <c r="O2911" s="3" t="s">
        <v>14</v>
      </c>
      <c r="Q2911" s="30" t="str">
        <f t="shared" si="45"/>
        <v>MAX : 
TARGET : Yes(Pass)
MIN : No(Fail)</v>
      </c>
    </row>
    <row r="2912" spans="2:17" ht="41.4" x14ac:dyDescent="0.3">
      <c r="B2912">
        <v>1</v>
      </c>
      <c r="C2912" s="33">
        <v>8435</v>
      </c>
      <c r="D2912" s="2">
        <v>1219</v>
      </c>
      <c r="E2912" s="2" t="s">
        <v>10433</v>
      </c>
      <c r="F2912" s="3" t="s">
        <v>14207</v>
      </c>
      <c r="H2912" s="3" t="s">
        <v>747</v>
      </c>
      <c r="K2912" s="2">
        <v>20</v>
      </c>
      <c r="L2912" s="2">
        <v>1</v>
      </c>
      <c r="M2912" s="3" t="s">
        <v>194</v>
      </c>
      <c r="N2912" s="3" t="s">
        <v>3279</v>
      </c>
      <c r="O2912" s="3" t="s">
        <v>3280</v>
      </c>
      <c r="P2912" s="3" t="s">
        <v>3281</v>
      </c>
      <c r="Q2912" s="30" t="str">
        <f t="shared" si="45"/>
        <v>MAX : 273
TARGET : 271
MIN : 269</v>
      </c>
    </row>
    <row r="2913" spans="2:17" ht="41.4" x14ac:dyDescent="0.3">
      <c r="B2913">
        <v>1</v>
      </c>
      <c r="C2913" s="33">
        <v>8435</v>
      </c>
      <c r="D2913" s="2">
        <v>1219</v>
      </c>
      <c r="E2913" s="2" t="s">
        <v>10433</v>
      </c>
      <c r="F2913" s="3" t="s">
        <v>14207</v>
      </c>
      <c r="H2913" s="3" t="s">
        <v>747</v>
      </c>
      <c r="K2913" s="2">
        <v>20</v>
      </c>
      <c r="L2913" s="2">
        <v>2</v>
      </c>
      <c r="M2913" s="3" t="s">
        <v>198</v>
      </c>
      <c r="N2913" s="3" t="s">
        <v>2255</v>
      </c>
      <c r="O2913" s="3" t="s">
        <v>2257</v>
      </c>
      <c r="P2913" s="3" t="s">
        <v>3278</v>
      </c>
      <c r="Q2913" s="30" t="str">
        <f t="shared" si="45"/>
        <v>MAX : 40.5
TARGET : 39.5
MIN : 38.5</v>
      </c>
    </row>
    <row r="2914" spans="2:17" ht="41.4" x14ac:dyDescent="0.3">
      <c r="B2914">
        <v>0</v>
      </c>
      <c r="C2914" s="33">
        <v>8384</v>
      </c>
      <c r="D2914" s="2">
        <v>1958</v>
      </c>
      <c r="E2914" s="2" t="s">
        <v>10369</v>
      </c>
      <c r="F2914" s="3" t="s">
        <v>14206</v>
      </c>
      <c r="H2914" s="3" t="s">
        <v>50</v>
      </c>
      <c r="K2914" s="2">
        <v>10</v>
      </c>
      <c r="L2914" s="2">
        <v>3</v>
      </c>
      <c r="M2914" s="3" t="s">
        <v>3218</v>
      </c>
      <c r="N2914" s="3" t="s">
        <v>13</v>
      </c>
      <c r="O2914" s="3" t="s">
        <v>14</v>
      </c>
      <c r="Q2914" s="30" t="str">
        <f t="shared" si="45"/>
        <v>MAX : 
TARGET : Yes(Pass)
MIN : No(Fail)</v>
      </c>
    </row>
    <row r="2915" spans="2:17" ht="41.4" x14ac:dyDescent="0.3">
      <c r="B2915">
        <v>1</v>
      </c>
      <c r="C2915" s="33">
        <v>8437</v>
      </c>
      <c r="D2915" s="2">
        <v>1220</v>
      </c>
      <c r="E2915" s="2" t="s">
        <v>10438</v>
      </c>
      <c r="F2915" s="3" t="s">
        <v>14207</v>
      </c>
      <c r="H2915" s="3" t="s">
        <v>3283</v>
      </c>
      <c r="K2915" s="2">
        <v>10</v>
      </c>
      <c r="L2915" s="2">
        <v>2</v>
      </c>
      <c r="M2915" s="3" t="s">
        <v>78</v>
      </c>
      <c r="N2915" s="3" t="s">
        <v>24</v>
      </c>
      <c r="O2915" s="3" t="s">
        <v>25</v>
      </c>
      <c r="Q2915" s="30" t="str">
        <f t="shared" si="45"/>
        <v>MAX : 
TARGET : Yes (Pass)
MIN : No (Fail)</v>
      </c>
    </row>
    <row r="2916" spans="2:17" ht="41.4" x14ac:dyDescent="0.3">
      <c r="B2916">
        <v>1</v>
      </c>
      <c r="C2916" s="33">
        <v>8437</v>
      </c>
      <c r="D2916" s="2">
        <v>1220</v>
      </c>
      <c r="E2916" s="2" t="s">
        <v>10438</v>
      </c>
      <c r="F2916" s="3" t="s">
        <v>14207</v>
      </c>
      <c r="H2916" s="3" t="s">
        <v>3283</v>
      </c>
      <c r="K2916" s="2">
        <v>10</v>
      </c>
      <c r="L2916" s="2">
        <v>1</v>
      </c>
      <c r="M2916" s="3" t="s">
        <v>3284</v>
      </c>
      <c r="N2916" s="3" t="s">
        <v>24</v>
      </c>
      <c r="O2916" s="3" t="s">
        <v>25</v>
      </c>
      <c r="Q2916" s="30" t="str">
        <f t="shared" si="45"/>
        <v>MAX : 
TARGET : Yes (Pass)
MIN : No (Fail)</v>
      </c>
    </row>
    <row r="2917" spans="2:17" ht="41.4" x14ac:dyDescent="0.3">
      <c r="B2917">
        <v>0</v>
      </c>
      <c r="C2917" s="33">
        <v>8387</v>
      </c>
      <c r="D2917" s="2">
        <v>1961</v>
      </c>
      <c r="E2917" s="2" t="s">
        <v>10385</v>
      </c>
      <c r="F2917" s="3" t="s">
        <v>14206</v>
      </c>
      <c r="H2917" s="3" t="s">
        <v>50</v>
      </c>
      <c r="K2917" s="2">
        <v>10</v>
      </c>
      <c r="L2917" s="2">
        <v>3</v>
      </c>
      <c r="M2917" s="3" t="s">
        <v>3218</v>
      </c>
      <c r="N2917" s="3" t="s">
        <v>13</v>
      </c>
      <c r="O2917" s="3" t="s">
        <v>14</v>
      </c>
      <c r="Q2917" s="30" t="str">
        <f t="shared" si="45"/>
        <v>MAX : 
TARGET : Yes(Pass)
MIN : No(Fail)</v>
      </c>
    </row>
    <row r="2918" spans="2:17" ht="41.4" x14ac:dyDescent="0.3">
      <c r="B2918">
        <v>1</v>
      </c>
      <c r="C2918" s="33">
        <v>8440</v>
      </c>
      <c r="D2918" s="2">
        <v>1221</v>
      </c>
      <c r="E2918" s="2" t="s">
        <v>10444</v>
      </c>
      <c r="F2918" s="3" t="s">
        <v>14207</v>
      </c>
      <c r="H2918" s="3" t="s">
        <v>1183</v>
      </c>
      <c r="K2918" s="2">
        <v>10</v>
      </c>
      <c r="L2918" s="2">
        <v>2</v>
      </c>
      <c r="M2918" s="3" t="s">
        <v>3288</v>
      </c>
      <c r="N2918" s="3" t="s">
        <v>3289</v>
      </c>
      <c r="O2918" s="3" t="s">
        <v>3290</v>
      </c>
      <c r="P2918" s="3" t="s">
        <v>3291</v>
      </c>
      <c r="Q2918" s="30" t="str">
        <f t="shared" si="45"/>
        <v>MAX : 105.1
TARGET : 104.1
MIN : 103.1</v>
      </c>
    </row>
    <row r="2919" spans="2:17" ht="41.4" x14ac:dyDescent="0.3">
      <c r="B2919">
        <v>1</v>
      </c>
      <c r="C2919" s="33">
        <v>8440</v>
      </c>
      <c r="D2919" s="2">
        <v>1221</v>
      </c>
      <c r="E2919" s="2" t="s">
        <v>10444</v>
      </c>
      <c r="F2919" s="3" t="s">
        <v>14207</v>
      </c>
      <c r="H2919" s="3" t="s">
        <v>1183</v>
      </c>
      <c r="K2919" s="2">
        <v>10</v>
      </c>
      <c r="L2919" s="2">
        <v>1</v>
      </c>
      <c r="M2919" s="3" t="s">
        <v>194</v>
      </c>
      <c r="N2919" s="3" t="s">
        <v>3285</v>
      </c>
      <c r="O2919" s="3" t="s">
        <v>3286</v>
      </c>
      <c r="P2919" s="3" t="s">
        <v>3287</v>
      </c>
      <c r="Q2919" s="30" t="str">
        <f t="shared" si="45"/>
        <v>MAX : 54.4
TARGET : 53.4
MIN : 52.4</v>
      </c>
    </row>
    <row r="2920" spans="2:17" ht="41.4" x14ac:dyDescent="0.3">
      <c r="B2920">
        <v>0</v>
      </c>
      <c r="C2920" s="33">
        <v>8691</v>
      </c>
      <c r="D2920" s="2">
        <v>1267</v>
      </c>
      <c r="E2920" s="2" t="s">
        <v>10859</v>
      </c>
      <c r="F2920" s="3" t="s">
        <v>14207</v>
      </c>
      <c r="H2920" s="3" t="s">
        <v>3535</v>
      </c>
      <c r="K2920" s="2">
        <v>20</v>
      </c>
      <c r="L2920" s="2">
        <v>1</v>
      </c>
      <c r="M2920" s="3" t="s">
        <v>194</v>
      </c>
      <c r="N2920" s="3" t="s">
        <v>3541</v>
      </c>
      <c r="O2920" s="3" t="s">
        <v>3542</v>
      </c>
      <c r="P2920" s="3" t="s">
        <v>3543</v>
      </c>
      <c r="Q2920" s="30" t="str">
        <f t="shared" si="45"/>
        <v>MAX : 72.00
TARGET : 71.50
MIN : 71.00</v>
      </c>
    </row>
    <row r="2921" spans="2:17" ht="41.4" x14ac:dyDescent="0.3">
      <c r="B2921">
        <v>0</v>
      </c>
      <c r="C2921" s="33">
        <v>8691</v>
      </c>
      <c r="D2921" s="2">
        <v>1267</v>
      </c>
      <c r="E2921" s="2" t="s">
        <v>10859</v>
      </c>
      <c r="F2921" s="3" t="s">
        <v>14207</v>
      </c>
      <c r="H2921" s="3" t="s">
        <v>3535</v>
      </c>
      <c r="K2921" s="2">
        <v>20</v>
      </c>
      <c r="L2921" s="2">
        <v>2</v>
      </c>
      <c r="M2921" s="3" t="s">
        <v>3314</v>
      </c>
      <c r="N2921" s="3" t="s">
        <v>3544</v>
      </c>
      <c r="O2921" s="3" t="s">
        <v>3545</v>
      </c>
      <c r="P2921" s="3" t="s">
        <v>3546</v>
      </c>
      <c r="Q2921" s="30" t="str">
        <f t="shared" si="45"/>
        <v>MAX : 67.25
TARGET : 67.00
MIN : 66.75</v>
      </c>
    </row>
    <row r="2922" spans="2:17" ht="41.4" x14ac:dyDescent="0.3">
      <c r="B2922">
        <v>0</v>
      </c>
      <c r="C2922" s="33">
        <v>8691</v>
      </c>
      <c r="D2922" s="2">
        <v>1267</v>
      </c>
      <c r="E2922" s="2" t="s">
        <v>10859</v>
      </c>
      <c r="F2922" s="3" t="s">
        <v>14207</v>
      </c>
      <c r="H2922" s="3" t="s">
        <v>3535</v>
      </c>
      <c r="K2922" s="2">
        <v>20</v>
      </c>
      <c r="L2922" s="2">
        <v>5</v>
      </c>
      <c r="M2922" s="3" t="s">
        <v>3320</v>
      </c>
      <c r="N2922" s="3" t="s">
        <v>13</v>
      </c>
      <c r="O2922" s="3" t="s">
        <v>14</v>
      </c>
      <c r="Q2922" s="30" t="str">
        <f t="shared" si="45"/>
        <v>MAX : 
TARGET : Yes(Pass)
MIN : No(Fail)</v>
      </c>
    </row>
    <row r="2923" spans="2:17" ht="41.4" x14ac:dyDescent="0.3">
      <c r="B2923">
        <v>1</v>
      </c>
      <c r="C2923" s="33">
        <v>8442</v>
      </c>
      <c r="D2923" s="2">
        <v>1222</v>
      </c>
      <c r="E2923" s="2" t="s">
        <v>10450</v>
      </c>
      <c r="F2923" s="3" t="s">
        <v>14206</v>
      </c>
      <c r="G2923" s="3" t="s">
        <v>3297</v>
      </c>
      <c r="H2923" s="3" t="s">
        <v>2116</v>
      </c>
      <c r="K2923" s="2">
        <v>10</v>
      </c>
      <c r="L2923" s="2">
        <v>3</v>
      </c>
      <c r="M2923" s="3" t="s">
        <v>692</v>
      </c>
      <c r="N2923" s="3" t="s">
        <v>748</v>
      </c>
      <c r="O2923" s="3" t="s">
        <v>406</v>
      </c>
      <c r="P2923" s="3" t="s">
        <v>1784</v>
      </c>
      <c r="Q2923" s="30" t="str">
        <f t="shared" si="45"/>
        <v>MAX : 2.02
TARGET : 2.00
MIN : 1.98</v>
      </c>
    </row>
    <row r="2924" spans="2:17" ht="41.4" x14ac:dyDescent="0.3">
      <c r="B2924">
        <v>1</v>
      </c>
      <c r="C2924" s="33">
        <v>8442</v>
      </c>
      <c r="D2924" s="2">
        <v>1222</v>
      </c>
      <c r="E2924" s="2" t="s">
        <v>10450</v>
      </c>
      <c r="F2924" s="3" t="s">
        <v>14206</v>
      </c>
      <c r="G2924" s="3" t="s">
        <v>3297</v>
      </c>
      <c r="H2924" s="3" t="s">
        <v>2116</v>
      </c>
      <c r="K2924" s="2">
        <v>10</v>
      </c>
      <c r="L2924" s="2">
        <v>2</v>
      </c>
      <c r="M2924" s="3" t="s">
        <v>2088</v>
      </c>
      <c r="N2924" s="3" t="s">
        <v>2898</v>
      </c>
      <c r="O2924" s="3" t="s">
        <v>253</v>
      </c>
      <c r="P2924" s="3" t="s">
        <v>2899</v>
      </c>
      <c r="Q2924" s="30" t="str">
        <f t="shared" si="45"/>
        <v>MAX : 4.02
TARGET : 4.00
MIN : 3.98</v>
      </c>
    </row>
    <row r="2925" spans="2:17" ht="41.4" x14ac:dyDescent="0.3">
      <c r="B2925">
        <v>0</v>
      </c>
      <c r="C2925" s="33">
        <v>8692</v>
      </c>
      <c r="D2925" s="2">
        <v>1268</v>
      </c>
      <c r="E2925" s="2" t="s">
        <v>10865</v>
      </c>
      <c r="F2925" s="3" t="s">
        <v>14207</v>
      </c>
      <c r="H2925" s="3" t="s">
        <v>713</v>
      </c>
      <c r="K2925" s="2">
        <v>20</v>
      </c>
      <c r="L2925" s="2">
        <v>3</v>
      </c>
      <c r="M2925" s="3" t="s">
        <v>78</v>
      </c>
      <c r="N2925" s="3" t="s">
        <v>13</v>
      </c>
      <c r="O2925" s="3" t="s">
        <v>14</v>
      </c>
      <c r="Q2925" s="30" t="str">
        <f t="shared" si="45"/>
        <v>MAX : 
TARGET : Yes(Pass)
MIN : No(Fail)</v>
      </c>
    </row>
    <row r="2926" spans="2:17" ht="41.4" x14ac:dyDescent="0.3">
      <c r="B2926">
        <v>1</v>
      </c>
      <c r="C2926" s="33">
        <v>8442</v>
      </c>
      <c r="D2926" s="2">
        <v>1222</v>
      </c>
      <c r="E2926" s="2" t="s">
        <v>10450</v>
      </c>
      <c r="F2926" s="3" t="s">
        <v>14206</v>
      </c>
      <c r="G2926" s="3" t="s">
        <v>3297</v>
      </c>
      <c r="H2926" s="3" t="s">
        <v>2116</v>
      </c>
      <c r="K2926" s="2">
        <v>10</v>
      </c>
      <c r="L2926" s="2">
        <v>1</v>
      </c>
      <c r="M2926" s="3" t="s">
        <v>6209</v>
      </c>
      <c r="N2926" s="3" t="s">
        <v>748</v>
      </c>
      <c r="O2926" s="3" t="s">
        <v>406</v>
      </c>
      <c r="P2926" s="3" t="s">
        <v>1784</v>
      </c>
      <c r="Q2926" s="30" t="str">
        <f t="shared" si="45"/>
        <v>MAX : 2.02
TARGET : 2.00
MIN : 1.98</v>
      </c>
    </row>
    <row r="2927" spans="2:17" ht="41.4" x14ac:dyDescent="0.3">
      <c r="B2927">
        <v>0</v>
      </c>
      <c r="C2927" s="33">
        <v>8331</v>
      </c>
      <c r="D2927" s="2">
        <v>1206</v>
      </c>
      <c r="E2927" s="2" t="s">
        <v>10245</v>
      </c>
      <c r="F2927" s="3" t="s">
        <v>14206</v>
      </c>
      <c r="H2927" s="3" t="s">
        <v>108</v>
      </c>
      <c r="K2927" s="2">
        <v>10</v>
      </c>
      <c r="L2927" s="2">
        <v>1</v>
      </c>
      <c r="M2927" s="3" t="s">
        <v>2517</v>
      </c>
      <c r="N2927" s="3" t="s">
        <v>24</v>
      </c>
      <c r="O2927" s="3" t="s">
        <v>25</v>
      </c>
      <c r="Q2927" s="30" t="str">
        <f t="shared" si="45"/>
        <v>MAX : 
TARGET : Yes (Pass)
MIN : No (Fail)</v>
      </c>
    </row>
    <row r="2928" spans="2:17" ht="41.4" x14ac:dyDescent="0.3">
      <c r="B2928">
        <v>1</v>
      </c>
      <c r="C2928" s="33">
        <v>8444</v>
      </c>
      <c r="D2928" s="2">
        <v>1223</v>
      </c>
      <c r="E2928" s="2" t="s">
        <v>9828</v>
      </c>
      <c r="F2928" s="29" t="s">
        <v>14227</v>
      </c>
      <c r="G2928" s="3" t="s">
        <v>2843</v>
      </c>
      <c r="H2928" s="3" t="s">
        <v>2844</v>
      </c>
      <c r="K2928" s="2">
        <v>20</v>
      </c>
      <c r="L2928" s="2">
        <v>12</v>
      </c>
      <c r="M2928" s="3" t="s">
        <v>198</v>
      </c>
      <c r="N2928" s="3" t="s">
        <v>2848</v>
      </c>
      <c r="O2928" s="3" t="s">
        <v>2849</v>
      </c>
      <c r="P2928" s="3" t="s">
        <v>2850</v>
      </c>
      <c r="Q2928" s="30" t="str">
        <f t="shared" si="45"/>
        <v>MAX : 6.680
TARGET : 6.674
MIN : 6.668</v>
      </c>
    </row>
    <row r="2929" spans="2:18" ht="41.4" x14ac:dyDescent="0.3">
      <c r="B2929">
        <v>0</v>
      </c>
      <c r="C2929" s="33">
        <v>8626</v>
      </c>
      <c r="D2929" s="2">
        <v>1254</v>
      </c>
      <c r="E2929" s="2" t="s">
        <v>10722</v>
      </c>
      <c r="F2929" s="3" t="s">
        <v>14207</v>
      </c>
      <c r="H2929" s="3" t="s">
        <v>727</v>
      </c>
      <c r="K2929" s="2">
        <v>10</v>
      </c>
      <c r="L2929" s="2">
        <v>3</v>
      </c>
      <c r="M2929" s="3" t="s">
        <v>3551</v>
      </c>
      <c r="N2929" s="3" t="s">
        <v>13</v>
      </c>
      <c r="O2929" s="3" t="s">
        <v>14</v>
      </c>
      <c r="Q2929" s="30" t="str">
        <f t="shared" si="45"/>
        <v>MAX : 
TARGET : Yes(Pass)
MIN : No(Fail)</v>
      </c>
      <c r="R2929" s="3" t="s">
        <v>3549</v>
      </c>
    </row>
    <row r="2930" spans="2:18" ht="41.4" x14ac:dyDescent="0.3">
      <c r="B2930">
        <v>1</v>
      </c>
      <c r="C2930" s="33">
        <v>8444</v>
      </c>
      <c r="D2930" s="2">
        <v>1223</v>
      </c>
      <c r="E2930" s="2" t="s">
        <v>9828</v>
      </c>
      <c r="F2930" s="29" t="s">
        <v>14227</v>
      </c>
      <c r="G2930" s="3" t="s">
        <v>2843</v>
      </c>
      <c r="H2930" s="3" t="s">
        <v>2844</v>
      </c>
      <c r="K2930" s="2">
        <v>30</v>
      </c>
      <c r="L2930" s="2">
        <v>3</v>
      </c>
      <c r="M2930" s="3" t="s">
        <v>3385</v>
      </c>
      <c r="N2930" s="3" t="s">
        <v>1619</v>
      </c>
      <c r="O2930" s="3" t="s">
        <v>1620</v>
      </c>
      <c r="Q2930" s="30" t="str">
        <f t="shared" si="45"/>
        <v>MAX : 
TARGET : Yes (pass)
MIN : No (fail)</v>
      </c>
    </row>
    <row r="2931" spans="2:18" ht="41.4" x14ac:dyDescent="0.3">
      <c r="B2931">
        <v>1</v>
      </c>
      <c r="C2931" s="33">
        <v>8444</v>
      </c>
      <c r="D2931" s="2">
        <v>1223</v>
      </c>
      <c r="E2931" s="2" t="s">
        <v>9828</v>
      </c>
      <c r="F2931" s="29" t="s">
        <v>14227</v>
      </c>
      <c r="G2931" s="3" t="s">
        <v>2843</v>
      </c>
      <c r="H2931" s="3" t="s">
        <v>2844</v>
      </c>
      <c r="K2931" s="2">
        <v>20</v>
      </c>
      <c r="L2931" s="2">
        <v>10</v>
      </c>
      <c r="M2931" s="3" t="s">
        <v>3434</v>
      </c>
      <c r="Q2931" s="30" t="str">
        <f t="shared" si="45"/>
        <v xml:space="preserve">MAX : 
TARGET : 
MIN : </v>
      </c>
    </row>
    <row r="2932" spans="2:18" ht="41.4" x14ac:dyDescent="0.3">
      <c r="B2932">
        <v>0</v>
      </c>
      <c r="C2932" s="33">
        <v>8675</v>
      </c>
      <c r="D2932" s="2">
        <v>1265</v>
      </c>
      <c r="E2932" s="2" t="s">
        <v>10834</v>
      </c>
      <c r="F2932" s="3" t="s">
        <v>14237</v>
      </c>
      <c r="H2932" s="3" t="s">
        <v>3552</v>
      </c>
      <c r="K2932" s="2">
        <v>10</v>
      </c>
      <c r="L2932" s="2">
        <v>20</v>
      </c>
      <c r="M2932" s="3" t="s">
        <v>3558</v>
      </c>
      <c r="O2932" s="3" t="s">
        <v>38</v>
      </c>
      <c r="P2932" s="3" t="s">
        <v>3559</v>
      </c>
      <c r="Q2932" s="30" t="str">
        <f t="shared" si="45"/>
        <v xml:space="preserve">MAX : Yes(fail)
TARGET : No(Pass)
MIN : </v>
      </c>
    </row>
    <row r="2933" spans="2:18" ht="41.4" x14ac:dyDescent="0.3">
      <c r="B2933">
        <v>0</v>
      </c>
      <c r="C2933" s="33">
        <v>8675</v>
      </c>
      <c r="D2933" s="2">
        <v>1265</v>
      </c>
      <c r="E2933" s="2" t="s">
        <v>10834</v>
      </c>
      <c r="F2933" s="3" t="s">
        <v>14237</v>
      </c>
      <c r="H2933" s="3" t="s">
        <v>3552</v>
      </c>
      <c r="K2933" s="2">
        <v>10</v>
      </c>
      <c r="L2933" s="2">
        <v>18</v>
      </c>
      <c r="M2933" s="3" t="s">
        <v>3560</v>
      </c>
      <c r="N2933" s="3" t="s">
        <v>13</v>
      </c>
      <c r="O2933" s="3" t="s">
        <v>14</v>
      </c>
      <c r="Q2933" s="30" t="str">
        <f t="shared" si="45"/>
        <v>MAX : 
TARGET : Yes(Pass)
MIN : No(Fail)</v>
      </c>
    </row>
    <row r="2934" spans="2:18" ht="41.4" x14ac:dyDescent="0.3">
      <c r="B2934">
        <v>1</v>
      </c>
      <c r="C2934" s="33">
        <v>8444</v>
      </c>
      <c r="D2934" s="2">
        <v>1223</v>
      </c>
      <c r="E2934" s="2" t="s">
        <v>9828</v>
      </c>
      <c r="F2934" s="29" t="s">
        <v>14227</v>
      </c>
      <c r="G2934" s="3" t="s">
        <v>2843</v>
      </c>
      <c r="H2934" s="3" t="s">
        <v>2844</v>
      </c>
      <c r="K2934" s="2">
        <v>20</v>
      </c>
      <c r="L2934" s="2">
        <v>11</v>
      </c>
      <c r="M2934" s="3" t="s">
        <v>194</v>
      </c>
      <c r="N2934" s="3" t="s">
        <v>2845</v>
      </c>
      <c r="O2934" s="3" t="s">
        <v>2846</v>
      </c>
      <c r="P2934" s="3" t="s">
        <v>2847</v>
      </c>
      <c r="Q2934" s="30" t="str">
        <f t="shared" si="45"/>
        <v>MAX : 2.352
TARGET : 2.346
MIN : 2.340</v>
      </c>
    </row>
    <row r="2935" spans="2:18" ht="41.4" x14ac:dyDescent="0.3">
      <c r="B2935">
        <v>1</v>
      </c>
      <c r="C2935" s="33">
        <v>8444</v>
      </c>
      <c r="D2935" s="2">
        <v>1223</v>
      </c>
      <c r="E2935" s="2" t="s">
        <v>9828</v>
      </c>
      <c r="F2935" s="29" t="s">
        <v>14227</v>
      </c>
      <c r="G2935" s="3" t="s">
        <v>2843</v>
      </c>
      <c r="H2935" s="3" t="s">
        <v>2844</v>
      </c>
      <c r="K2935" s="2">
        <v>20</v>
      </c>
      <c r="L2935" s="2">
        <v>2</v>
      </c>
      <c r="M2935" s="3" t="s">
        <v>3357</v>
      </c>
      <c r="N2935" s="3" t="s">
        <v>218</v>
      </c>
      <c r="O2935" s="3" t="s">
        <v>281</v>
      </c>
      <c r="P2935" s="3" t="s">
        <v>1527</v>
      </c>
      <c r="Q2935" s="30" t="str">
        <f t="shared" si="45"/>
        <v>MAX : 0.320
TARGET : 0.250
MIN : 0.180</v>
      </c>
    </row>
    <row r="2936" spans="2:18" ht="41.4" x14ac:dyDescent="0.3">
      <c r="B2936">
        <v>0</v>
      </c>
      <c r="C2936" s="33">
        <v>8693</v>
      </c>
      <c r="D2936" s="2">
        <v>1269</v>
      </c>
      <c r="E2936" s="2" t="s">
        <v>10871</v>
      </c>
      <c r="F2936" s="3" t="s">
        <v>14237</v>
      </c>
      <c r="H2936" s="3" t="s">
        <v>3561</v>
      </c>
      <c r="K2936" s="2">
        <v>10</v>
      </c>
      <c r="L2936" s="2">
        <v>16</v>
      </c>
      <c r="M2936" s="3" t="s">
        <v>3565</v>
      </c>
      <c r="N2936" s="3" t="s">
        <v>3566</v>
      </c>
      <c r="O2936" s="3" t="s">
        <v>3567</v>
      </c>
      <c r="P2936" s="3" t="s">
        <v>3568</v>
      </c>
      <c r="Q2936" s="30" t="str">
        <f t="shared" si="45"/>
        <v>MAX : 10.260
TARGET : 10.250
MIN : 10.240</v>
      </c>
    </row>
    <row r="2937" spans="2:18" ht="41.4" x14ac:dyDescent="0.3">
      <c r="B2937">
        <v>0</v>
      </c>
      <c r="C2937" s="33">
        <v>8693</v>
      </c>
      <c r="D2937" s="2">
        <v>1269</v>
      </c>
      <c r="E2937" s="2" t="s">
        <v>10871</v>
      </c>
      <c r="F2937" s="3" t="s">
        <v>14237</v>
      </c>
      <c r="H2937" s="3" t="s">
        <v>3561</v>
      </c>
      <c r="K2937" s="2">
        <v>10</v>
      </c>
      <c r="L2937" s="2">
        <v>1</v>
      </c>
      <c r="M2937" s="3" t="s">
        <v>198</v>
      </c>
      <c r="N2937" s="3" t="s">
        <v>3569</v>
      </c>
      <c r="O2937" s="3" t="s">
        <v>3570</v>
      </c>
      <c r="P2937" s="3" t="s">
        <v>3571</v>
      </c>
      <c r="Q2937" s="30" t="str">
        <f t="shared" si="45"/>
        <v>MAX : 10.770
TARGET : 10.750
MIN : 10.730</v>
      </c>
    </row>
    <row r="2938" spans="2:18" ht="41.4" x14ac:dyDescent="0.3">
      <c r="B2938">
        <v>0</v>
      </c>
      <c r="C2938" s="33">
        <v>8693</v>
      </c>
      <c r="D2938" s="2">
        <v>1269</v>
      </c>
      <c r="E2938" s="2" t="s">
        <v>10871</v>
      </c>
      <c r="F2938" s="3" t="s">
        <v>14237</v>
      </c>
      <c r="H2938" s="3" t="s">
        <v>3561</v>
      </c>
      <c r="K2938" s="2">
        <v>10</v>
      </c>
      <c r="L2938" s="2">
        <v>14</v>
      </c>
      <c r="M2938" s="3" t="s">
        <v>3572</v>
      </c>
      <c r="N2938" s="3" t="s">
        <v>3573</v>
      </c>
      <c r="O2938" s="3" t="s">
        <v>3574</v>
      </c>
      <c r="P2938" s="3" t="s">
        <v>3575</v>
      </c>
      <c r="Q2938" s="30" t="str">
        <f t="shared" si="45"/>
        <v>MAX : 8.252
TARGET : 8.247
MIN : 8.242</v>
      </c>
    </row>
    <row r="2939" spans="2:18" ht="41.4" x14ac:dyDescent="0.3">
      <c r="B2939">
        <v>0</v>
      </c>
      <c r="C2939" s="33">
        <v>8693</v>
      </c>
      <c r="D2939" s="2">
        <v>1269</v>
      </c>
      <c r="E2939" s="2" t="s">
        <v>10871</v>
      </c>
      <c r="F2939" s="3" t="s">
        <v>14237</v>
      </c>
      <c r="H2939" s="3" t="s">
        <v>3561</v>
      </c>
      <c r="K2939" s="2">
        <v>10</v>
      </c>
      <c r="L2939" s="2">
        <v>2</v>
      </c>
      <c r="M2939" s="3" t="s">
        <v>3576</v>
      </c>
      <c r="N2939" s="3" t="s">
        <v>3164</v>
      </c>
      <c r="O2939" s="3" t="s">
        <v>3577</v>
      </c>
      <c r="P2939" s="3" t="s">
        <v>3578</v>
      </c>
      <c r="Q2939" s="30" t="str">
        <f t="shared" si="45"/>
        <v>MAX : 1.130
TARGET : 1.110
MIN : 1.090</v>
      </c>
    </row>
    <row r="2940" spans="2:18" ht="41.4" x14ac:dyDescent="0.3">
      <c r="B2940">
        <v>0</v>
      </c>
      <c r="C2940" s="33">
        <v>8693</v>
      </c>
      <c r="D2940" s="2">
        <v>1269</v>
      </c>
      <c r="E2940" s="2" t="s">
        <v>10871</v>
      </c>
      <c r="F2940" s="3" t="s">
        <v>14237</v>
      </c>
      <c r="H2940" s="3" t="s">
        <v>3561</v>
      </c>
      <c r="K2940" s="2">
        <v>10</v>
      </c>
      <c r="L2940" s="2">
        <v>19</v>
      </c>
      <c r="M2940" s="3" t="s">
        <v>3554</v>
      </c>
      <c r="N2940" s="3" t="s">
        <v>3579</v>
      </c>
      <c r="O2940" s="3" t="s">
        <v>3580</v>
      </c>
      <c r="P2940" s="3" t="s">
        <v>3581</v>
      </c>
      <c r="Q2940" s="30" t="str">
        <f t="shared" si="45"/>
        <v>MAX : 0.0115
TARGET : 0.0100
MIN : 0.0085</v>
      </c>
    </row>
    <row r="2941" spans="2:18" ht="41.4" x14ac:dyDescent="0.3">
      <c r="B2941">
        <v>0</v>
      </c>
      <c r="C2941" s="33">
        <v>8693</v>
      </c>
      <c r="D2941" s="2">
        <v>1269</v>
      </c>
      <c r="E2941" s="2" t="s">
        <v>10871</v>
      </c>
      <c r="F2941" s="3" t="s">
        <v>14237</v>
      </c>
      <c r="H2941" s="3" t="s">
        <v>3561</v>
      </c>
      <c r="K2941" s="2">
        <v>10</v>
      </c>
      <c r="L2941" s="2">
        <v>21</v>
      </c>
      <c r="M2941" s="3" t="s">
        <v>3560</v>
      </c>
      <c r="N2941" s="3" t="s">
        <v>13</v>
      </c>
      <c r="O2941" s="3" t="s">
        <v>14</v>
      </c>
      <c r="Q2941" s="30" t="str">
        <f t="shared" si="45"/>
        <v>MAX : 
TARGET : Yes(Pass)
MIN : No(Fail)</v>
      </c>
    </row>
    <row r="2942" spans="2:18" ht="41.4" x14ac:dyDescent="0.3">
      <c r="B2942">
        <v>1</v>
      </c>
      <c r="C2942" s="33">
        <v>8444</v>
      </c>
      <c r="D2942" s="2">
        <v>1223</v>
      </c>
      <c r="E2942" s="2" t="s">
        <v>9828</v>
      </c>
      <c r="F2942" s="29" t="s">
        <v>14227</v>
      </c>
      <c r="G2942" s="3" t="s">
        <v>2843</v>
      </c>
      <c r="H2942" s="3" t="s">
        <v>2844</v>
      </c>
      <c r="K2942" s="2">
        <v>30</v>
      </c>
      <c r="L2942" s="2">
        <v>8</v>
      </c>
      <c r="M2942" s="3" t="s">
        <v>3079</v>
      </c>
      <c r="N2942" s="3" t="s">
        <v>1619</v>
      </c>
      <c r="O2942" s="3" t="s">
        <v>1620</v>
      </c>
      <c r="Q2942" s="30" t="str">
        <f t="shared" si="45"/>
        <v>MAX : 
TARGET : Yes (pass)
MIN : No (fail)</v>
      </c>
    </row>
    <row r="2943" spans="2:18" ht="41.4" x14ac:dyDescent="0.3">
      <c r="B2943">
        <v>1</v>
      </c>
      <c r="C2943" s="33">
        <v>8444</v>
      </c>
      <c r="D2943" s="2">
        <v>1223</v>
      </c>
      <c r="E2943" s="2" t="s">
        <v>9828</v>
      </c>
      <c r="F2943" s="29" t="s">
        <v>14227</v>
      </c>
      <c r="G2943" s="3" t="s">
        <v>2843</v>
      </c>
      <c r="H2943" s="3" t="s">
        <v>2844</v>
      </c>
      <c r="K2943" s="2">
        <v>30</v>
      </c>
      <c r="L2943" s="2">
        <v>9</v>
      </c>
      <c r="M2943" s="3" t="s">
        <v>3393</v>
      </c>
      <c r="N2943" s="3" t="s">
        <v>1619</v>
      </c>
      <c r="O2943" s="3" t="s">
        <v>1620</v>
      </c>
      <c r="Q2943" s="30" t="str">
        <f t="shared" si="45"/>
        <v>MAX : 
TARGET : Yes (pass)
MIN : No (fail)</v>
      </c>
    </row>
    <row r="2944" spans="2:18" ht="41.4" x14ac:dyDescent="0.3">
      <c r="B2944">
        <v>1</v>
      </c>
      <c r="C2944" s="33">
        <v>8444</v>
      </c>
      <c r="D2944" s="2">
        <v>1223</v>
      </c>
      <c r="E2944" s="2" t="s">
        <v>9828</v>
      </c>
      <c r="F2944" s="29" t="s">
        <v>14227</v>
      </c>
      <c r="G2944" s="3" t="s">
        <v>2843</v>
      </c>
      <c r="H2944" s="3" t="s">
        <v>2844</v>
      </c>
      <c r="K2944" s="2">
        <v>30</v>
      </c>
      <c r="L2944" s="2">
        <v>2</v>
      </c>
      <c r="M2944" s="3" t="s">
        <v>3384</v>
      </c>
      <c r="N2944" s="3" t="s">
        <v>1619</v>
      </c>
      <c r="O2944" s="3" t="s">
        <v>1620</v>
      </c>
      <c r="Q2944" s="30" t="str">
        <f t="shared" si="45"/>
        <v>MAX : 
TARGET : Yes (pass)
MIN : No (fail)</v>
      </c>
    </row>
    <row r="2945" spans="2:18" ht="41.4" x14ac:dyDescent="0.3">
      <c r="B2945">
        <v>0</v>
      </c>
      <c r="C2945" s="33">
        <v>8614</v>
      </c>
      <c r="D2945" s="2">
        <v>1253</v>
      </c>
      <c r="E2945" s="2" t="s">
        <v>10709</v>
      </c>
      <c r="F2945" s="3" t="s">
        <v>14206</v>
      </c>
      <c r="H2945" s="3" t="s">
        <v>469</v>
      </c>
      <c r="K2945" s="2">
        <v>20</v>
      </c>
      <c r="L2945" s="2">
        <v>10</v>
      </c>
      <c r="M2945" s="3" t="s">
        <v>78</v>
      </c>
      <c r="N2945" s="3" t="s">
        <v>13</v>
      </c>
      <c r="O2945" s="3" t="s">
        <v>14</v>
      </c>
      <c r="Q2945" s="30" t="str">
        <f t="shared" si="45"/>
        <v>MAX : 
TARGET : Yes(Pass)
MIN : No(Fail)</v>
      </c>
    </row>
    <row r="2946" spans="2:18" ht="41.4" x14ac:dyDescent="0.3">
      <c r="B2946">
        <v>1</v>
      </c>
      <c r="C2946" s="33">
        <v>8444</v>
      </c>
      <c r="D2946" s="2">
        <v>1223</v>
      </c>
      <c r="E2946" s="2" t="s">
        <v>9828</v>
      </c>
      <c r="F2946" s="29" t="s">
        <v>14227</v>
      </c>
      <c r="G2946" s="3" t="s">
        <v>2843</v>
      </c>
      <c r="H2946" s="3" t="s">
        <v>2844</v>
      </c>
      <c r="K2946" s="2">
        <v>20</v>
      </c>
      <c r="L2946" s="2">
        <v>3</v>
      </c>
      <c r="M2946" s="3" t="s">
        <v>3442</v>
      </c>
      <c r="N2946" s="3" t="s">
        <v>1619</v>
      </c>
      <c r="O2946" s="3" t="s">
        <v>1620</v>
      </c>
      <c r="Q2946" s="30" t="str">
        <f t="shared" ref="Q2946:Q3009" si="46">"MAX : " &amp; P2946 &amp; CHAR(10) &amp; "TARGET : " &amp; O2946 &amp; CHAR(10) &amp; "MIN : " &amp; N2946</f>
        <v>MAX : 
TARGET : Yes (pass)
MIN : No (fail)</v>
      </c>
    </row>
    <row r="2947" spans="2:18" ht="41.4" x14ac:dyDescent="0.3">
      <c r="B2947">
        <v>1</v>
      </c>
      <c r="C2947" s="33">
        <v>8444</v>
      </c>
      <c r="D2947" s="2">
        <v>1223</v>
      </c>
      <c r="E2947" s="2" t="s">
        <v>9828</v>
      </c>
      <c r="F2947" s="29" t="s">
        <v>14227</v>
      </c>
      <c r="G2947" s="3" t="s">
        <v>2843</v>
      </c>
      <c r="H2947" s="3" t="s">
        <v>2844</v>
      </c>
      <c r="K2947" s="2">
        <v>20</v>
      </c>
      <c r="L2947" s="2">
        <v>1</v>
      </c>
      <c r="M2947" s="3" t="s">
        <v>3451</v>
      </c>
      <c r="N2947" s="3" t="s">
        <v>1619</v>
      </c>
      <c r="O2947" s="3" t="s">
        <v>1620</v>
      </c>
      <c r="Q2947" s="30" t="str">
        <f t="shared" si="46"/>
        <v>MAX : 
TARGET : Yes (pass)
MIN : No (fail)</v>
      </c>
    </row>
    <row r="2948" spans="2:18" ht="41.4" x14ac:dyDescent="0.3">
      <c r="B2948">
        <v>0</v>
      </c>
      <c r="C2948" s="33">
        <v>8707</v>
      </c>
      <c r="D2948" s="2">
        <v>1270</v>
      </c>
      <c r="E2948" s="2" t="s">
        <v>10878</v>
      </c>
      <c r="F2948" s="3" t="s">
        <v>14206</v>
      </c>
      <c r="H2948" s="3" t="s">
        <v>3587</v>
      </c>
      <c r="K2948" s="2">
        <v>20</v>
      </c>
      <c r="L2948" s="2">
        <v>5</v>
      </c>
      <c r="M2948" s="3" t="s">
        <v>3592</v>
      </c>
      <c r="N2948" s="3" t="s">
        <v>13</v>
      </c>
      <c r="O2948" s="3" t="s">
        <v>14</v>
      </c>
      <c r="Q2948" s="30" t="str">
        <f t="shared" si="46"/>
        <v>MAX : 
TARGET : Yes(Pass)
MIN : No(Fail)</v>
      </c>
    </row>
    <row r="2949" spans="2:18" ht="41.4" x14ac:dyDescent="0.3">
      <c r="B2949">
        <v>0</v>
      </c>
      <c r="C2949" s="33">
        <v>8707</v>
      </c>
      <c r="D2949" s="2">
        <v>1270</v>
      </c>
      <c r="E2949" s="2" t="s">
        <v>10878</v>
      </c>
      <c r="F2949" s="3" t="s">
        <v>14206</v>
      </c>
      <c r="H2949" s="3" t="s">
        <v>3587</v>
      </c>
      <c r="K2949" s="2">
        <v>20</v>
      </c>
      <c r="L2949" s="2">
        <v>6</v>
      </c>
      <c r="M2949" s="3" t="s">
        <v>78</v>
      </c>
      <c r="N2949" s="3" t="s">
        <v>13</v>
      </c>
      <c r="O2949" s="3" t="s">
        <v>14</v>
      </c>
      <c r="Q2949" s="30" t="str">
        <f t="shared" si="46"/>
        <v>MAX : 
TARGET : Yes(Pass)
MIN : No(Fail)</v>
      </c>
    </row>
    <row r="2950" spans="2:18" ht="41.4" x14ac:dyDescent="0.3">
      <c r="B2950">
        <v>0</v>
      </c>
      <c r="C2950" s="33">
        <v>8707</v>
      </c>
      <c r="D2950" s="2">
        <v>1270</v>
      </c>
      <c r="E2950" s="2" t="s">
        <v>10878</v>
      </c>
      <c r="F2950" s="3" t="s">
        <v>14206</v>
      </c>
      <c r="H2950" s="3" t="s">
        <v>3587</v>
      </c>
      <c r="K2950" s="2">
        <v>20</v>
      </c>
      <c r="L2950" s="2">
        <v>7</v>
      </c>
      <c r="M2950" s="3" t="s">
        <v>3593</v>
      </c>
      <c r="N2950" s="3" t="s">
        <v>13</v>
      </c>
      <c r="O2950" s="3" t="s">
        <v>14</v>
      </c>
      <c r="Q2950" s="30" t="str">
        <f t="shared" si="46"/>
        <v>MAX : 
TARGET : Yes(Pass)
MIN : No(Fail)</v>
      </c>
    </row>
    <row r="2951" spans="2:18" ht="41.4" x14ac:dyDescent="0.3">
      <c r="B2951">
        <v>1</v>
      </c>
      <c r="C2951" s="33">
        <v>8444</v>
      </c>
      <c r="D2951" s="2">
        <v>1223</v>
      </c>
      <c r="E2951" s="2" t="s">
        <v>9828</v>
      </c>
      <c r="F2951" s="29" t="s">
        <v>14227</v>
      </c>
      <c r="G2951" s="3" t="s">
        <v>2843</v>
      </c>
      <c r="H2951" s="3" t="s">
        <v>2844</v>
      </c>
      <c r="K2951" s="2">
        <v>20</v>
      </c>
      <c r="L2951" s="2">
        <v>5</v>
      </c>
      <c r="M2951" s="3" t="s">
        <v>5254</v>
      </c>
      <c r="N2951" s="3" t="s">
        <v>1619</v>
      </c>
      <c r="O2951" s="3" t="s">
        <v>1620</v>
      </c>
      <c r="Q2951" s="30" t="str">
        <f t="shared" si="46"/>
        <v>MAX : 
TARGET : Yes (pass)
MIN : No (fail)</v>
      </c>
    </row>
    <row r="2952" spans="2:18" ht="41.4" x14ac:dyDescent="0.3">
      <c r="B2952">
        <v>1</v>
      </c>
      <c r="C2952" s="33">
        <v>8444</v>
      </c>
      <c r="D2952" s="2">
        <v>1223</v>
      </c>
      <c r="E2952" s="2" t="s">
        <v>9828</v>
      </c>
      <c r="F2952" s="29" t="s">
        <v>14227</v>
      </c>
      <c r="G2952" s="3" t="s">
        <v>2843</v>
      </c>
      <c r="H2952" s="3" t="s">
        <v>2844</v>
      </c>
      <c r="K2952" s="2">
        <v>20</v>
      </c>
      <c r="L2952" s="2">
        <v>15</v>
      </c>
      <c r="M2952" s="3" t="s">
        <v>5576</v>
      </c>
      <c r="Q2952" s="30" t="str">
        <f t="shared" si="46"/>
        <v xml:space="preserve">MAX : 
TARGET : 
MIN : </v>
      </c>
    </row>
    <row r="2953" spans="2:18" ht="41.4" x14ac:dyDescent="0.3">
      <c r="B2953">
        <v>1</v>
      </c>
      <c r="C2953" s="33">
        <v>8444</v>
      </c>
      <c r="D2953" s="2">
        <v>1223</v>
      </c>
      <c r="E2953" s="2" t="s">
        <v>9828</v>
      </c>
      <c r="F2953" s="29" t="s">
        <v>14227</v>
      </c>
      <c r="G2953" s="3" t="s">
        <v>2843</v>
      </c>
      <c r="H2953" s="3" t="s">
        <v>2844</v>
      </c>
      <c r="K2953" s="2">
        <v>20</v>
      </c>
      <c r="L2953" s="2">
        <v>16.100000000000001</v>
      </c>
      <c r="Q2953" s="30" t="str">
        <f t="shared" si="46"/>
        <v xml:space="preserve">MAX : 
TARGET : 
MIN : </v>
      </c>
    </row>
    <row r="2954" spans="2:18" ht="41.4" x14ac:dyDescent="0.3">
      <c r="B2954">
        <v>1</v>
      </c>
      <c r="C2954" s="33">
        <v>8444</v>
      </c>
      <c r="D2954" s="2">
        <v>1223</v>
      </c>
      <c r="E2954" s="2" t="s">
        <v>9828</v>
      </c>
      <c r="F2954" s="29" t="s">
        <v>14227</v>
      </c>
      <c r="G2954" s="3" t="s">
        <v>2843</v>
      </c>
      <c r="H2954" s="3" t="s">
        <v>2844</v>
      </c>
      <c r="K2954" s="2">
        <v>20</v>
      </c>
      <c r="L2954" s="2">
        <v>4</v>
      </c>
      <c r="M2954" s="3" t="s">
        <v>3437</v>
      </c>
      <c r="Q2954" s="30" t="str">
        <f t="shared" si="46"/>
        <v xml:space="preserve">MAX : 
TARGET : 
MIN : </v>
      </c>
    </row>
    <row r="2955" spans="2:18" ht="41.4" x14ac:dyDescent="0.3">
      <c r="B2955">
        <v>1</v>
      </c>
      <c r="C2955" s="33">
        <v>8444</v>
      </c>
      <c r="D2955" s="2">
        <v>1223</v>
      </c>
      <c r="E2955" s="2" t="s">
        <v>9828</v>
      </c>
      <c r="F2955" s="29" t="s">
        <v>14227</v>
      </c>
      <c r="G2955" s="3" t="s">
        <v>2843</v>
      </c>
      <c r="H2955" s="3" t="s">
        <v>2844</v>
      </c>
      <c r="K2955" s="2">
        <v>20</v>
      </c>
      <c r="L2955" s="2">
        <v>16</v>
      </c>
      <c r="M2955" s="3" t="s">
        <v>5577</v>
      </c>
      <c r="N2955" s="3" t="s">
        <v>1619</v>
      </c>
      <c r="O2955" s="3" t="s">
        <v>1620</v>
      </c>
      <c r="Q2955" s="30" t="str">
        <f t="shared" si="46"/>
        <v>MAX : 
TARGET : Yes (pass)
MIN : No (fail)</v>
      </c>
    </row>
    <row r="2956" spans="2:18" ht="41.4" x14ac:dyDescent="0.3">
      <c r="B2956">
        <v>1</v>
      </c>
      <c r="C2956" s="33">
        <v>8444</v>
      </c>
      <c r="D2956" s="2">
        <v>1223</v>
      </c>
      <c r="E2956" s="2" t="s">
        <v>9828</v>
      </c>
      <c r="F2956" s="29" t="s">
        <v>14227</v>
      </c>
      <c r="G2956" s="3" t="s">
        <v>2843</v>
      </c>
      <c r="H2956" s="3" t="s">
        <v>2844</v>
      </c>
      <c r="K2956" s="2">
        <v>20</v>
      </c>
      <c r="L2956" s="2">
        <v>16.2</v>
      </c>
      <c r="Q2956" s="30" t="str">
        <f t="shared" si="46"/>
        <v xml:space="preserve">MAX : 
TARGET : 
MIN : </v>
      </c>
    </row>
    <row r="2957" spans="2:18" ht="41.4" x14ac:dyDescent="0.3">
      <c r="B2957">
        <v>0</v>
      </c>
      <c r="C2957" s="33">
        <v>8717</v>
      </c>
      <c r="D2957" s="2">
        <v>1271</v>
      </c>
      <c r="E2957" s="2" t="s">
        <v>10892</v>
      </c>
      <c r="F2957" s="3" t="s">
        <v>14206</v>
      </c>
      <c r="H2957" s="3" t="s">
        <v>3535</v>
      </c>
      <c r="K2957" s="2">
        <v>40</v>
      </c>
      <c r="L2957" s="2">
        <v>1</v>
      </c>
      <c r="M2957" s="3" t="s">
        <v>3599</v>
      </c>
      <c r="N2957" s="3" t="s">
        <v>29</v>
      </c>
      <c r="O2957" s="3" t="s">
        <v>3600</v>
      </c>
      <c r="P2957" s="3" t="s">
        <v>427</v>
      </c>
      <c r="Q2957" s="30" t="str">
        <f t="shared" si="46"/>
        <v>MAX : 1.65
TARGET : 1.59
MIN : 1.53</v>
      </c>
      <c r="R2957" s="3" t="s">
        <v>1638</v>
      </c>
    </row>
    <row r="2958" spans="2:18" ht="41.4" x14ac:dyDescent="0.3">
      <c r="B2958">
        <v>0</v>
      </c>
      <c r="C2958" s="33">
        <v>8717</v>
      </c>
      <c r="D2958" s="2">
        <v>1271</v>
      </c>
      <c r="E2958" s="2" t="s">
        <v>10892</v>
      </c>
      <c r="F2958" s="3" t="s">
        <v>14206</v>
      </c>
      <c r="H2958" s="3" t="s">
        <v>3535</v>
      </c>
      <c r="K2958" s="2">
        <v>40</v>
      </c>
      <c r="L2958" s="2">
        <v>2</v>
      </c>
      <c r="M2958" s="3" t="s">
        <v>3601</v>
      </c>
      <c r="N2958" s="3" t="s">
        <v>484</v>
      </c>
      <c r="O2958" s="3" t="s">
        <v>420</v>
      </c>
      <c r="P2958" s="3" t="s">
        <v>414</v>
      </c>
      <c r="Q2958" s="30" t="str">
        <f t="shared" si="46"/>
        <v>MAX : 1.03
TARGET : 0.97
MIN : 0.91</v>
      </c>
      <c r="R2958" s="3" t="s">
        <v>1638</v>
      </c>
    </row>
    <row r="2959" spans="2:18" ht="41.4" x14ac:dyDescent="0.3">
      <c r="B2959">
        <v>0</v>
      </c>
      <c r="C2959" s="33">
        <v>8717</v>
      </c>
      <c r="D2959" s="2">
        <v>1271</v>
      </c>
      <c r="E2959" s="2" t="s">
        <v>10892</v>
      </c>
      <c r="F2959" s="3" t="s">
        <v>14206</v>
      </c>
      <c r="H2959" s="3" t="s">
        <v>3535</v>
      </c>
      <c r="K2959" s="2">
        <v>40</v>
      </c>
      <c r="L2959" s="2">
        <v>4</v>
      </c>
      <c r="M2959" s="3" t="s">
        <v>198</v>
      </c>
      <c r="N2959" s="3" t="s">
        <v>3525</v>
      </c>
      <c r="O2959" s="3" t="s">
        <v>1689</v>
      </c>
      <c r="P2959" s="3" t="s">
        <v>3602</v>
      </c>
      <c r="Q2959" s="30" t="str">
        <f t="shared" si="46"/>
        <v>MAX : 2.86
TARGET : 2.80
MIN : 2.74</v>
      </c>
      <c r="R2959" s="3" t="s">
        <v>1638</v>
      </c>
    </row>
    <row r="2960" spans="2:18" ht="41.4" x14ac:dyDescent="0.3">
      <c r="B2960">
        <v>0</v>
      </c>
      <c r="C2960" s="33">
        <v>8717</v>
      </c>
      <c r="D2960" s="2">
        <v>1271</v>
      </c>
      <c r="E2960" s="2" t="s">
        <v>10892</v>
      </c>
      <c r="F2960" s="3" t="s">
        <v>14206</v>
      </c>
      <c r="H2960" s="3" t="s">
        <v>3535</v>
      </c>
      <c r="K2960" s="2">
        <v>40</v>
      </c>
      <c r="L2960" s="2">
        <v>5</v>
      </c>
      <c r="M2960" s="3" t="s">
        <v>3603</v>
      </c>
      <c r="N2960" s="3" t="s">
        <v>3604</v>
      </c>
      <c r="O2960" s="3" t="s">
        <v>791</v>
      </c>
      <c r="P2960" s="3" t="s">
        <v>2086</v>
      </c>
      <c r="Q2960" s="30" t="str">
        <f t="shared" si="46"/>
        <v>MAX : 2.34
TARGET : 2.30
MIN : 2.26</v>
      </c>
      <c r="R2960" s="3" t="s">
        <v>1638</v>
      </c>
    </row>
    <row r="2961" spans="2:18" ht="41.4" x14ac:dyDescent="0.3">
      <c r="B2961">
        <v>0</v>
      </c>
      <c r="C2961" s="33">
        <v>8717</v>
      </c>
      <c r="D2961" s="2">
        <v>1271</v>
      </c>
      <c r="E2961" s="2" t="s">
        <v>10892</v>
      </c>
      <c r="F2961" s="3" t="s">
        <v>14206</v>
      </c>
      <c r="H2961" s="3" t="s">
        <v>3535</v>
      </c>
      <c r="K2961" s="2">
        <v>40</v>
      </c>
      <c r="L2961" s="2">
        <v>7</v>
      </c>
      <c r="M2961" s="3" t="s">
        <v>3605</v>
      </c>
      <c r="N2961" s="3" t="s">
        <v>13</v>
      </c>
      <c r="O2961" s="3" t="s">
        <v>14</v>
      </c>
      <c r="Q2961" s="30" t="str">
        <f t="shared" si="46"/>
        <v>MAX : 
TARGET : Yes(Pass)
MIN : No(Fail)</v>
      </c>
      <c r="R2961" s="3" t="s">
        <v>1638</v>
      </c>
    </row>
    <row r="2962" spans="2:18" ht="41.4" x14ac:dyDescent="0.3">
      <c r="B2962">
        <v>0</v>
      </c>
      <c r="C2962" s="33">
        <v>8717</v>
      </c>
      <c r="D2962" s="2">
        <v>1271</v>
      </c>
      <c r="E2962" s="2" t="s">
        <v>10892</v>
      </c>
      <c r="F2962" s="3" t="s">
        <v>14206</v>
      </c>
      <c r="H2962" s="3" t="s">
        <v>3535</v>
      </c>
      <c r="K2962" s="2">
        <v>40</v>
      </c>
      <c r="L2962" s="2">
        <v>8</v>
      </c>
      <c r="M2962" s="3" t="s">
        <v>3606</v>
      </c>
      <c r="N2962" s="3" t="s">
        <v>13</v>
      </c>
      <c r="O2962" s="3" t="s">
        <v>14</v>
      </c>
      <c r="Q2962" s="30" t="str">
        <f t="shared" si="46"/>
        <v>MAX : 
TARGET : Yes(Pass)
MIN : No(Fail)</v>
      </c>
      <c r="R2962" s="3" t="s">
        <v>1638</v>
      </c>
    </row>
    <row r="2963" spans="2:18" ht="41.4" x14ac:dyDescent="0.3">
      <c r="B2963">
        <v>1</v>
      </c>
      <c r="C2963" s="33">
        <v>8445</v>
      </c>
      <c r="D2963" s="2">
        <v>1224</v>
      </c>
      <c r="E2963" s="2" t="s">
        <v>9893</v>
      </c>
      <c r="F2963" s="29" t="s">
        <v>14227</v>
      </c>
      <c r="G2963" s="3" t="s">
        <v>2843</v>
      </c>
      <c r="H2963" s="3" t="s">
        <v>2844</v>
      </c>
      <c r="K2963" s="2">
        <v>20</v>
      </c>
      <c r="L2963" s="2">
        <v>8</v>
      </c>
      <c r="M2963" s="3" t="s">
        <v>194</v>
      </c>
      <c r="N2963" s="3" t="s">
        <v>2905</v>
      </c>
      <c r="O2963" s="3" t="s">
        <v>1127</v>
      </c>
      <c r="P2963" s="3" t="s">
        <v>2906</v>
      </c>
      <c r="Q2963" s="30" t="str">
        <f t="shared" si="46"/>
        <v>MAX : 2.562
TARGET : 2.556
MIN : 2.550</v>
      </c>
    </row>
    <row r="2964" spans="2:18" ht="41.4" x14ac:dyDescent="0.3">
      <c r="B2964">
        <v>1</v>
      </c>
      <c r="C2964" s="33">
        <v>8445</v>
      </c>
      <c r="D2964" s="2">
        <v>1224</v>
      </c>
      <c r="E2964" s="2" t="s">
        <v>9893</v>
      </c>
      <c r="F2964" s="29" t="s">
        <v>14227</v>
      </c>
      <c r="G2964" s="3" t="s">
        <v>2843</v>
      </c>
      <c r="H2964" s="3" t="s">
        <v>2844</v>
      </c>
      <c r="K2964" s="2">
        <v>30</v>
      </c>
      <c r="L2964" s="2">
        <v>3</v>
      </c>
      <c r="M2964" s="3" t="s">
        <v>3385</v>
      </c>
      <c r="N2964" s="3" t="s">
        <v>1619</v>
      </c>
      <c r="O2964" s="3" t="s">
        <v>1620</v>
      </c>
      <c r="Q2964" s="30" t="str">
        <f t="shared" si="46"/>
        <v>MAX : 
TARGET : Yes (pass)
MIN : No (fail)</v>
      </c>
    </row>
    <row r="2965" spans="2:18" ht="41.4" x14ac:dyDescent="0.3">
      <c r="B2965">
        <v>0</v>
      </c>
      <c r="C2965" s="33">
        <v>8090</v>
      </c>
      <c r="D2965" s="2">
        <v>1174</v>
      </c>
      <c r="E2965" s="2" t="s">
        <v>9982</v>
      </c>
      <c r="F2965" s="3" t="s">
        <v>14206</v>
      </c>
      <c r="H2965" s="3" t="s">
        <v>648</v>
      </c>
      <c r="K2965" s="2">
        <v>20</v>
      </c>
      <c r="L2965" s="2">
        <v>3</v>
      </c>
      <c r="M2965" s="3" t="s">
        <v>3608</v>
      </c>
      <c r="N2965" s="3" t="s">
        <v>2455</v>
      </c>
      <c r="O2965" s="3" t="s">
        <v>777</v>
      </c>
      <c r="P2965" s="3" t="s">
        <v>2061</v>
      </c>
      <c r="Q2965" s="30" t="str">
        <f t="shared" si="46"/>
        <v>MAX : 0.09
TARGET : 0.08
MIN : 0.07</v>
      </c>
    </row>
    <row r="2966" spans="2:18" ht="41.4" x14ac:dyDescent="0.3">
      <c r="B2966">
        <v>0</v>
      </c>
      <c r="C2966" s="33">
        <v>8090</v>
      </c>
      <c r="D2966" s="2">
        <v>1174</v>
      </c>
      <c r="E2966" s="2" t="s">
        <v>9982</v>
      </c>
      <c r="F2966" s="3" t="s">
        <v>14206</v>
      </c>
      <c r="H2966" s="3" t="s">
        <v>648</v>
      </c>
      <c r="K2966" s="2">
        <v>20</v>
      </c>
      <c r="L2966" s="2">
        <v>5</v>
      </c>
      <c r="M2966" s="3" t="s">
        <v>3426</v>
      </c>
      <c r="N2966" s="3" t="s">
        <v>2061</v>
      </c>
      <c r="O2966" s="3" t="s">
        <v>2456</v>
      </c>
      <c r="P2966" s="3" t="s">
        <v>1692</v>
      </c>
      <c r="Q2966" s="30" t="str">
        <f t="shared" si="46"/>
        <v>MAX : 0.11
TARGET : 0.10
MIN : 0.09</v>
      </c>
    </row>
    <row r="2967" spans="2:18" ht="41.4" x14ac:dyDescent="0.3">
      <c r="B2967">
        <v>0</v>
      </c>
      <c r="C2967" s="33">
        <v>8090</v>
      </c>
      <c r="D2967" s="2">
        <v>1174</v>
      </c>
      <c r="E2967" s="2" t="s">
        <v>9982</v>
      </c>
      <c r="F2967" s="3" t="s">
        <v>14206</v>
      </c>
      <c r="H2967" s="3" t="s">
        <v>648</v>
      </c>
      <c r="K2967" s="2">
        <v>20</v>
      </c>
      <c r="L2967" s="2">
        <v>6</v>
      </c>
      <c r="M2967" s="3" t="s">
        <v>3609</v>
      </c>
      <c r="N2967" s="3" t="s">
        <v>776</v>
      </c>
      <c r="O2967" s="3" t="s">
        <v>3610</v>
      </c>
      <c r="P2967" s="3" t="s">
        <v>1536</v>
      </c>
      <c r="Q2967" s="30" t="str">
        <f t="shared" si="46"/>
        <v>MAX : 0.06
TARGET : 0.05
MIN : 0.04</v>
      </c>
    </row>
    <row r="2968" spans="2:18" ht="41.4" x14ac:dyDescent="0.3">
      <c r="B2968">
        <v>1</v>
      </c>
      <c r="C2968" s="33">
        <v>8445</v>
      </c>
      <c r="D2968" s="2">
        <v>1224</v>
      </c>
      <c r="E2968" s="2" t="s">
        <v>9893</v>
      </c>
      <c r="F2968" s="29" t="s">
        <v>14227</v>
      </c>
      <c r="G2968" s="3" t="s">
        <v>2843</v>
      </c>
      <c r="H2968" s="3" t="s">
        <v>2844</v>
      </c>
      <c r="K2968" s="2">
        <v>20</v>
      </c>
      <c r="L2968" s="2">
        <v>6</v>
      </c>
      <c r="M2968" s="3" t="s">
        <v>3434</v>
      </c>
      <c r="Q2968" s="30" t="str">
        <f t="shared" si="46"/>
        <v xml:space="preserve">MAX : 
TARGET : 
MIN : </v>
      </c>
    </row>
    <row r="2969" spans="2:18" ht="41.4" x14ac:dyDescent="0.3">
      <c r="B2969">
        <v>1</v>
      </c>
      <c r="C2969" s="33">
        <v>8445</v>
      </c>
      <c r="D2969" s="2">
        <v>1224</v>
      </c>
      <c r="E2969" s="2" t="s">
        <v>9893</v>
      </c>
      <c r="F2969" s="29" t="s">
        <v>14227</v>
      </c>
      <c r="G2969" s="3" t="s">
        <v>2843</v>
      </c>
      <c r="H2969" s="3" t="s">
        <v>2844</v>
      </c>
      <c r="K2969" s="2">
        <v>20</v>
      </c>
      <c r="L2969" s="2">
        <v>7</v>
      </c>
      <c r="M2969" s="3" t="s">
        <v>198</v>
      </c>
      <c r="N2969" s="3" t="s">
        <v>2902</v>
      </c>
      <c r="O2969" s="3" t="s">
        <v>2903</v>
      </c>
      <c r="P2969" s="3" t="s">
        <v>2904</v>
      </c>
      <c r="Q2969" s="30" t="str">
        <f t="shared" si="46"/>
        <v>MAX : 9.808
TARGET : 9.802
MIN : 9.796</v>
      </c>
    </row>
    <row r="2970" spans="2:18" ht="41.4" x14ac:dyDescent="0.3">
      <c r="B2970">
        <v>1</v>
      </c>
      <c r="C2970" s="33">
        <v>8445</v>
      </c>
      <c r="D2970" s="2">
        <v>1224</v>
      </c>
      <c r="E2970" s="2" t="s">
        <v>9893</v>
      </c>
      <c r="F2970" s="29" t="s">
        <v>14227</v>
      </c>
      <c r="G2970" s="3" t="s">
        <v>2843</v>
      </c>
      <c r="H2970" s="3" t="s">
        <v>2844</v>
      </c>
      <c r="K2970" s="2">
        <v>10</v>
      </c>
      <c r="L2970" s="2">
        <v>1</v>
      </c>
      <c r="M2970" s="3" t="s">
        <v>3357</v>
      </c>
      <c r="N2970" s="3" t="s">
        <v>218</v>
      </c>
      <c r="O2970" s="3" t="s">
        <v>281</v>
      </c>
      <c r="P2970" s="3" t="s">
        <v>1527</v>
      </c>
      <c r="Q2970" s="30" t="str">
        <f t="shared" si="46"/>
        <v>MAX : 0.320
TARGET : 0.250
MIN : 0.180</v>
      </c>
    </row>
    <row r="2971" spans="2:18" ht="41.4" x14ac:dyDescent="0.3">
      <c r="B2971">
        <v>1</v>
      </c>
      <c r="C2971" s="33">
        <v>8445</v>
      </c>
      <c r="D2971" s="2">
        <v>1224</v>
      </c>
      <c r="E2971" s="2" t="s">
        <v>9893</v>
      </c>
      <c r="F2971" s="29" t="s">
        <v>14227</v>
      </c>
      <c r="G2971" s="3" t="s">
        <v>2843</v>
      </c>
      <c r="H2971" s="3" t="s">
        <v>2844</v>
      </c>
      <c r="K2971" s="2">
        <v>30</v>
      </c>
      <c r="L2971" s="2">
        <v>8</v>
      </c>
      <c r="M2971" s="3" t="s">
        <v>3079</v>
      </c>
      <c r="N2971" s="3" t="s">
        <v>1619</v>
      </c>
      <c r="O2971" s="3" t="s">
        <v>1620</v>
      </c>
      <c r="Q2971" s="30" t="str">
        <f t="shared" si="46"/>
        <v>MAX : 
TARGET : Yes (pass)
MIN : No (fail)</v>
      </c>
    </row>
    <row r="2972" spans="2:18" ht="41.4" x14ac:dyDescent="0.3">
      <c r="B2972">
        <v>1</v>
      </c>
      <c r="C2972" s="33">
        <v>8445</v>
      </c>
      <c r="D2972" s="2">
        <v>1224</v>
      </c>
      <c r="E2972" s="2" t="s">
        <v>9893</v>
      </c>
      <c r="F2972" s="29" t="s">
        <v>14227</v>
      </c>
      <c r="G2972" s="3" t="s">
        <v>2843</v>
      </c>
      <c r="H2972" s="3" t="s">
        <v>2844</v>
      </c>
      <c r="K2972" s="2">
        <v>30</v>
      </c>
      <c r="L2972" s="2">
        <v>2</v>
      </c>
      <c r="M2972" s="3" t="s">
        <v>3384</v>
      </c>
      <c r="N2972" s="3" t="s">
        <v>1619</v>
      </c>
      <c r="O2972" s="3" t="s">
        <v>1620</v>
      </c>
      <c r="Q2972" s="30" t="str">
        <f t="shared" si="46"/>
        <v>MAX : 
TARGET : Yes (pass)
MIN : No (fail)</v>
      </c>
    </row>
    <row r="2973" spans="2:18" ht="41.4" x14ac:dyDescent="0.3">
      <c r="B2973">
        <v>1</v>
      </c>
      <c r="C2973" s="33">
        <v>8445</v>
      </c>
      <c r="D2973" s="2">
        <v>1224</v>
      </c>
      <c r="E2973" s="2" t="s">
        <v>9893</v>
      </c>
      <c r="F2973" s="29" t="s">
        <v>14227</v>
      </c>
      <c r="G2973" s="3" t="s">
        <v>2843</v>
      </c>
      <c r="H2973" s="3" t="s">
        <v>2844</v>
      </c>
      <c r="K2973" s="2">
        <v>30</v>
      </c>
      <c r="L2973" s="2">
        <v>9</v>
      </c>
      <c r="M2973" s="3" t="s">
        <v>3394</v>
      </c>
      <c r="N2973" s="3" t="s">
        <v>1619</v>
      </c>
      <c r="O2973" s="3" t="s">
        <v>1620</v>
      </c>
      <c r="Q2973" s="30" t="str">
        <f t="shared" si="46"/>
        <v>MAX : 
TARGET : Yes (pass)
MIN : No (fail)</v>
      </c>
    </row>
    <row r="2974" spans="2:18" ht="41.4" x14ac:dyDescent="0.3">
      <c r="B2974">
        <v>1</v>
      </c>
      <c r="C2974" s="33">
        <v>8445</v>
      </c>
      <c r="D2974" s="2">
        <v>1224</v>
      </c>
      <c r="E2974" s="2" t="s">
        <v>9893</v>
      </c>
      <c r="F2974" s="29" t="s">
        <v>14227</v>
      </c>
      <c r="G2974" s="3" t="s">
        <v>2843</v>
      </c>
      <c r="H2974" s="3" t="s">
        <v>2844</v>
      </c>
      <c r="K2974" s="2">
        <v>10</v>
      </c>
      <c r="L2974" s="2">
        <v>0</v>
      </c>
      <c r="M2974" s="3" t="s">
        <v>3451</v>
      </c>
      <c r="N2974" s="3" t="s">
        <v>1619</v>
      </c>
      <c r="O2974" s="3" t="s">
        <v>1620</v>
      </c>
      <c r="Q2974" s="30" t="str">
        <f t="shared" si="46"/>
        <v>MAX : 
TARGET : Yes (pass)
MIN : No (fail)</v>
      </c>
    </row>
    <row r="2975" spans="2:18" ht="41.4" x14ac:dyDescent="0.3">
      <c r="B2975">
        <v>1</v>
      </c>
      <c r="C2975" s="33">
        <v>8445</v>
      </c>
      <c r="D2975" s="2">
        <v>1224</v>
      </c>
      <c r="E2975" s="2" t="s">
        <v>9893</v>
      </c>
      <c r="F2975" s="29" t="s">
        <v>14227</v>
      </c>
      <c r="G2975" s="3" t="s">
        <v>2843</v>
      </c>
      <c r="H2975" s="3" t="s">
        <v>2844</v>
      </c>
      <c r="K2975" s="2">
        <v>20</v>
      </c>
      <c r="L2975" s="2">
        <v>1</v>
      </c>
      <c r="M2975" s="3" t="s">
        <v>5254</v>
      </c>
      <c r="N2975" s="3" t="s">
        <v>1619</v>
      </c>
      <c r="O2975" s="3" t="s">
        <v>1620</v>
      </c>
      <c r="Q2975" s="30" t="str">
        <f t="shared" si="46"/>
        <v>MAX : 
TARGET : Yes (pass)
MIN : No (fail)</v>
      </c>
    </row>
    <row r="2976" spans="2:18" ht="41.4" x14ac:dyDescent="0.3">
      <c r="B2976">
        <v>1</v>
      </c>
      <c r="C2976" s="33">
        <v>8445</v>
      </c>
      <c r="D2976" s="2">
        <v>1224</v>
      </c>
      <c r="E2976" s="2" t="s">
        <v>9893</v>
      </c>
      <c r="F2976" s="29" t="s">
        <v>14227</v>
      </c>
      <c r="G2976" s="3" t="s">
        <v>2843</v>
      </c>
      <c r="H2976" s="3" t="s">
        <v>2844</v>
      </c>
      <c r="K2976" s="2">
        <v>20</v>
      </c>
      <c r="L2976" s="2">
        <v>10.1</v>
      </c>
      <c r="M2976" s="3" t="s">
        <v>5576</v>
      </c>
      <c r="Q2976" s="30" t="str">
        <f t="shared" si="46"/>
        <v xml:space="preserve">MAX : 
TARGET : 
MIN : </v>
      </c>
    </row>
    <row r="2977" spans="2:17" ht="41.4" x14ac:dyDescent="0.3">
      <c r="B2977">
        <v>1</v>
      </c>
      <c r="C2977" s="33">
        <v>8445</v>
      </c>
      <c r="D2977" s="2">
        <v>1224</v>
      </c>
      <c r="E2977" s="2" t="s">
        <v>9893</v>
      </c>
      <c r="F2977" s="29" t="s">
        <v>14227</v>
      </c>
      <c r="G2977" s="3" t="s">
        <v>2843</v>
      </c>
      <c r="H2977" s="3" t="s">
        <v>2844</v>
      </c>
      <c r="K2977" s="2">
        <v>20</v>
      </c>
      <c r="L2977" s="2">
        <v>10.3</v>
      </c>
      <c r="Q2977" s="30" t="str">
        <f t="shared" si="46"/>
        <v xml:space="preserve">MAX : 
TARGET : 
MIN : </v>
      </c>
    </row>
    <row r="2978" spans="2:17" ht="41.4" x14ac:dyDescent="0.3">
      <c r="B2978">
        <v>1</v>
      </c>
      <c r="C2978" s="33">
        <v>8445</v>
      </c>
      <c r="D2978" s="2">
        <v>1224</v>
      </c>
      <c r="E2978" s="2" t="s">
        <v>9893</v>
      </c>
      <c r="F2978" s="29" t="s">
        <v>14227</v>
      </c>
      <c r="G2978" s="3" t="s">
        <v>2843</v>
      </c>
      <c r="H2978" s="3" t="s">
        <v>2844</v>
      </c>
      <c r="K2978" s="2">
        <v>20</v>
      </c>
      <c r="L2978" s="2">
        <v>10.199999999999999</v>
      </c>
      <c r="M2978" s="3" t="s">
        <v>5577</v>
      </c>
      <c r="N2978" s="3" t="s">
        <v>1619</v>
      </c>
      <c r="O2978" s="3" t="s">
        <v>1620</v>
      </c>
      <c r="Q2978" s="30" t="str">
        <f t="shared" si="46"/>
        <v>MAX : 
TARGET : Yes (pass)
MIN : No (fail)</v>
      </c>
    </row>
    <row r="2979" spans="2:17" ht="41.4" x14ac:dyDescent="0.3">
      <c r="B2979">
        <v>1</v>
      </c>
      <c r="C2979" s="33">
        <v>8445</v>
      </c>
      <c r="D2979" s="2">
        <v>1224</v>
      </c>
      <c r="E2979" s="2" t="s">
        <v>9893</v>
      </c>
      <c r="F2979" s="29" t="s">
        <v>14227</v>
      </c>
      <c r="G2979" s="3" t="s">
        <v>2843</v>
      </c>
      <c r="H2979" s="3" t="s">
        <v>2844</v>
      </c>
      <c r="K2979" s="2">
        <v>20</v>
      </c>
      <c r="L2979" s="2">
        <v>10.4</v>
      </c>
      <c r="Q2979" s="30" t="str">
        <f t="shared" si="46"/>
        <v xml:space="preserve">MAX : 
TARGET : 
MIN : </v>
      </c>
    </row>
    <row r="2980" spans="2:17" ht="41.4" x14ac:dyDescent="0.3">
      <c r="B2980">
        <v>1</v>
      </c>
      <c r="C2980" s="33">
        <v>8446</v>
      </c>
      <c r="D2980" s="2">
        <v>1225</v>
      </c>
      <c r="E2980" s="2" t="s">
        <v>10057</v>
      </c>
      <c r="F2980" s="29" t="s">
        <v>14227</v>
      </c>
      <c r="G2980" s="3" t="s">
        <v>2843</v>
      </c>
      <c r="H2980" s="3" t="s">
        <v>2844</v>
      </c>
      <c r="K2980" s="2">
        <v>20</v>
      </c>
      <c r="L2980" s="2">
        <v>8</v>
      </c>
      <c r="M2980" s="3" t="s">
        <v>198</v>
      </c>
      <c r="N2980" s="3" t="s">
        <v>3017</v>
      </c>
      <c r="O2980" s="3" t="s">
        <v>3018</v>
      </c>
      <c r="P2980" s="3" t="s">
        <v>1032</v>
      </c>
      <c r="Q2980" s="30" t="str">
        <f t="shared" si="46"/>
        <v>MAX : 5.109
TARGET : 5.103
MIN : 5.097</v>
      </c>
    </row>
    <row r="2981" spans="2:17" ht="41.4" x14ac:dyDescent="0.3">
      <c r="B2981">
        <v>1</v>
      </c>
      <c r="C2981" s="33">
        <v>8446</v>
      </c>
      <c r="D2981" s="2">
        <v>1225</v>
      </c>
      <c r="E2981" s="2" t="s">
        <v>10057</v>
      </c>
      <c r="F2981" s="29" t="s">
        <v>14227</v>
      </c>
      <c r="G2981" s="3" t="s">
        <v>2843</v>
      </c>
      <c r="H2981" s="3" t="s">
        <v>2844</v>
      </c>
      <c r="K2981" s="2">
        <v>30</v>
      </c>
      <c r="L2981" s="2">
        <v>1</v>
      </c>
      <c r="M2981" s="3" t="s">
        <v>2992</v>
      </c>
      <c r="N2981" s="3" t="s">
        <v>1619</v>
      </c>
      <c r="O2981" s="3" t="s">
        <v>1620</v>
      </c>
      <c r="Q2981" s="30" t="str">
        <f t="shared" si="46"/>
        <v>MAX : 
TARGET : Yes (pass)
MIN : No (fail)</v>
      </c>
    </row>
    <row r="2982" spans="2:17" ht="41.4" x14ac:dyDescent="0.3">
      <c r="B2982">
        <v>0</v>
      </c>
      <c r="C2982" s="33">
        <v>8719</v>
      </c>
      <c r="D2982" s="2">
        <v>1985</v>
      </c>
      <c r="E2982" s="2" t="s">
        <v>10899</v>
      </c>
      <c r="F2982" s="3" t="s">
        <v>14206</v>
      </c>
      <c r="H2982" s="3" t="s">
        <v>824</v>
      </c>
      <c r="K2982" s="2">
        <v>10</v>
      </c>
      <c r="L2982" s="2">
        <v>3</v>
      </c>
      <c r="M2982" s="3" t="s">
        <v>611</v>
      </c>
      <c r="N2982" s="3" t="s">
        <v>13</v>
      </c>
      <c r="O2982" s="3" t="s">
        <v>14</v>
      </c>
      <c r="Q2982" s="30" t="str">
        <f t="shared" si="46"/>
        <v>MAX : 
TARGET : Yes(Pass)
MIN : No(Fail)</v>
      </c>
    </row>
    <row r="2983" spans="2:17" ht="41.4" x14ac:dyDescent="0.3">
      <c r="B2983">
        <v>1</v>
      </c>
      <c r="C2983" s="33">
        <v>8446</v>
      </c>
      <c r="D2983" s="2">
        <v>1225</v>
      </c>
      <c r="E2983" s="2" t="s">
        <v>10057</v>
      </c>
      <c r="F2983" s="29" t="s">
        <v>14227</v>
      </c>
      <c r="G2983" s="3" t="s">
        <v>2843</v>
      </c>
      <c r="H2983" s="3" t="s">
        <v>2844</v>
      </c>
      <c r="K2983" s="2">
        <v>30</v>
      </c>
      <c r="L2983" s="2">
        <v>3</v>
      </c>
      <c r="M2983" s="3" t="s">
        <v>3385</v>
      </c>
      <c r="N2983" s="3" t="s">
        <v>1619</v>
      </c>
      <c r="O2983" s="3" t="s">
        <v>1620</v>
      </c>
      <c r="Q2983" s="30" t="str">
        <f t="shared" si="46"/>
        <v>MAX : 
TARGET : Yes (pass)
MIN : No (fail)</v>
      </c>
    </row>
    <row r="2984" spans="2:17" ht="41.4" x14ac:dyDescent="0.3">
      <c r="B2984">
        <v>1</v>
      </c>
      <c r="C2984" s="33">
        <v>8446</v>
      </c>
      <c r="D2984" s="2">
        <v>1225</v>
      </c>
      <c r="E2984" s="2" t="s">
        <v>10057</v>
      </c>
      <c r="F2984" s="29" t="s">
        <v>14227</v>
      </c>
      <c r="G2984" s="3" t="s">
        <v>2843</v>
      </c>
      <c r="H2984" s="3" t="s">
        <v>2844</v>
      </c>
      <c r="K2984" s="2">
        <v>20</v>
      </c>
      <c r="L2984" s="2">
        <v>7</v>
      </c>
      <c r="M2984" s="3" t="s">
        <v>194</v>
      </c>
      <c r="N2984" s="3" t="s">
        <v>2845</v>
      </c>
      <c r="O2984" s="3" t="s">
        <v>2846</v>
      </c>
      <c r="P2984" s="3" t="s">
        <v>2847</v>
      </c>
      <c r="Q2984" s="30" t="str">
        <f t="shared" si="46"/>
        <v>MAX : 2.352
TARGET : 2.346
MIN : 2.340</v>
      </c>
    </row>
    <row r="2985" spans="2:17" ht="41.4" x14ac:dyDescent="0.3">
      <c r="B2985">
        <v>0</v>
      </c>
      <c r="C2985" s="33">
        <v>8664</v>
      </c>
      <c r="D2985" s="2">
        <v>1980</v>
      </c>
      <c r="E2985" s="2" t="s">
        <v>10799</v>
      </c>
      <c r="F2985" s="29" t="s">
        <v>14235</v>
      </c>
      <c r="H2985" s="3" t="s">
        <v>3460</v>
      </c>
      <c r="K2985" s="2">
        <v>10</v>
      </c>
      <c r="L2985" s="2">
        <v>4</v>
      </c>
      <c r="M2985" s="3" t="s">
        <v>569</v>
      </c>
      <c r="N2985" s="3" t="s">
        <v>1261</v>
      </c>
      <c r="O2985" s="3" t="s">
        <v>139</v>
      </c>
      <c r="P2985" s="3" t="s">
        <v>682</v>
      </c>
      <c r="Q2985" s="30" t="str">
        <f t="shared" si="46"/>
        <v>MAX : 1.015
TARGET : 1.000
MIN : 0.985</v>
      </c>
    </row>
    <row r="2986" spans="2:17" ht="41.4" x14ac:dyDescent="0.3">
      <c r="B2986">
        <v>1</v>
      </c>
      <c r="C2986" s="33">
        <v>8446</v>
      </c>
      <c r="D2986" s="2">
        <v>1225</v>
      </c>
      <c r="E2986" s="2" t="s">
        <v>10057</v>
      </c>
      <c r="F2986" s="29" t="s">
        <v>14227</v>
      </c>
      <c r="G2986" s="3" t="s">
        <v>2843</v>
      </c>
      <c r="H2986" s="3" t="s">
        <v>2844</v>
      </c>
      <c r="K2986" s="2">
        <v>30</v>
      </c>
      <c r="L2986" s="2">
        <v>8</v>
      </c>
      <c r="M2986" s="3" t="s">
        <v>3079</v>
      </c>
      <c r="N2986" s="3" t="s">
        <v>1619</v>
      </c>
      <c r="O2986" s="3" t="s">
        <v>1620</v>
      </c>
      <c r="Q2986" s="30" t="str">
        <f t="shared" si="46"/>
        <v>MAX : 
TARGET : Yes (pass)
MIN : No (fail)</v>
      </c>
    </row>
    <row r="2987" spans="2:17" ht="41.4" x14ac:dyDescent="0.3">
      <c r="B2987">
        <v>1</v>
      </c>
      <c r="C2987" s="33">
        <v>8446</v>
      </c>
      <c r="D2987" s="2">
        <v>1225</v>
      </c>
      <c r="E2987" s="2" t="s">
        <v>10057</v>
      </c>
      <c r="F2987" s="29" t="s">
        <v>14227</v>
      </c>
      <c r="G2987" s="3" t="s">
        <v>2843</v>
      </c>
      <c r="H2987" s="3" t="s">
        <v>2844</v>
      </c>
      <c r="K2987" s="2">
        <v>30</v>
      </c>
      <c r="L2987" s="2">
        <v>9</v>
      </c>
      <c r="M2987" s="3" t="s">
        <v>3392</v>
      </c>
      <c r="N2987" s="3" t="s">
        <v>1619</v>
      </c>
      <c r="O2987" s="3" t="s">
        <v>1620</v>
      </c>
      <c r="Q2987" s="30" t="str">
        <f t="shared" si="46"/>
        <v>MAX : 
TARGET : Yes (pass)
MIN : No (fail)</v>
      </c>
    </row>
    <row r="2988" spans="2:17" ht="41.4" x14ac:dyDescent="0.3">
      <c r="B2988">
        <v>1</v>
      </c>
      <c r="C2988" s="33">
        <v>8446</v>
      </c>
      <c r="D2988" s="2">
        <v>1225</v>
      </c>
      <c r="E2988" s="2" t="s">
        <v>10057</v>
      </c>
      <c r="F2988" s="29" t="s">
        <v>14227</v>
      </c>
      <c r="G2988" s="3" t="s">
        <v>2843</v>
      </c>
      <c r="H2988" s="3" t="s">
        <v>2844</v>
      </c>
      <c r="K2988" s="2">
        <v>30</v>
      </c>
      <c r="L2988" s="2">
        <v>4</v>
      </c>
      <c r="M2988" s="3" t="s">
        <v>3304</v>
      </c>
      <c r="Q2988" s="30" t="str">
        <f t="shared" si="46"/>
        <v xml:space="preserve">MAX : 
TARGET : 
MIN : </v>
      </c>
    </row>
    <row r="2989" spans="2:17" ht="41.4" x14ac:dyDescent="0.3">
      <c r="B2989">
        <v>0</v>
      </c>
      <c r="C2989" s="33">
        <v>8432</v>
      </c>
      <c r="D2989" s="2">
        <v>1965</v>
      </c>
      <c r="E2989" s="2" t="s">
        <v>10426</v>
      </c>
      <c r="F2989" s="3" t="s">
        <v>14206</v>
      </c>
      <c r="H2989" s="3" t="s">
        <v>491</v>
      </c>
      <c r="K2989" s="2">
        <v>10</v>
      </c>
      <c r="L2989" s="2">
        <v>3</v>
      </c>
      <c r="M2989" s="3" t="s">
        <v>3299</v>
      </c>
      <c r="N2989" s="3" t="s">
        <v>13</v>
      </c>
      <c r="O2989" s="3" t="s">
        <v>14</v>
      </c>
      <c r="Q2989" s="30" t="str">
        <f t="shared" si="46"/>
        <v>MAX : 
TARGET : Yes(Pass)
MIN : No(Fail)</v>
      </c>
    </row>
    <row r="2990" spans="2:17" ht="41.4" x14ac:dyDescent="0.3">
      <c r="B2990">
        <v>0</v>
      </c>
      <c r="C2990" s="33">
        <v>8432</v>
      </c>
      <c r="D2990" s="2">
        <v>1965</v>
      </c>
      <c r="E2990" s="2" t="s">
        <v>10426</v>
      </c>
      <c r="F2990" s="3" t="s">
        <v>14206</v>
      </c>
      <c r="H2990" s="3" t="s">
        <v>491</v>
      </c>
      <c r="K2990" s="2">
        <v>10</v>
      </c>
      <c r="L2990" s="2">
        <v>4</v>
      </c>
      <c r="M2990" s="3" t="s">
        <v>3872</v>
      </c>
      <c r="N2990" s="3" t="s">
        <v>13</v>
      </c>
      <c r="O2990" s="3" t="s">
        <v>14</v>
      </c>
      <c r="Q2990" s="30" t="str">
        <f t="shared" si="46"/>
        <v>MAX : 
TARGET : Yes(Pass)
MIN : No(Fail)</v>
      </c>
    </row>
    <row r="2991" spans="2:17" ht="41.4" x14ac:dyDescent="0.3">
      <c r="B2991">
        <v>1</v>
      </c>
      <c r="C2991" s="33">
        <v>8446</v>
      </c>
      <c r="D2991" s="2">
        <v>1225</v>
      </c>
      <c r="E2991" s="2" t="s">
        <v>10057</v>
      </c>
      <c r="F2991" s="29" t="s">
        <v>14227</v>
      </c>
      <c r="G2991" s="3" t="s">
        <v>2843</v>
      </c>
      <c r="H2991" s="3" t="s">
        <v>2844</v>
      </c>
      <c r="K2991" s="2">
        <v>30</v>
      </c>
      <c r="L2991" s="2">
        <v>2</v>
      </c>
      <c r="M2991" s="3" t="s">
        <v>3384</v>
      </c>
      <c r="N2991" s="3" t="s">
        <v>1619</v>
      </c>
      <c r="O2991" s="3" t="s">
        <v>1620</v>
      </c>
      <c r="Q2991" s="30" t="str">
        <f t="shared" si="46"/>
        <v>MAX : 
TARGET : Yes (pass)
MIN : No (fail)</v>
      </c>
    </row>
    <row r="2992" spans="2:17" ht="41.4" x14ac:dyDescent="0.3">
      <c r="B2992">
        <v>1</v>
      </c>
      <c r="C2992" s="33">
        <v>8446</v>
      </c>
      <c r="D2992" s="2">
        <v>1225</v>
      </c>
      <c r="E2992" s="2" t="s">
        <v>10057</v>
      </c>
      <c r="F2992" s="29" t="s">
        <v>14227</v>
      </c>
      <c r="G2992" s="3" t="s">
        <v>2843</v>
      </c>
      <c r="H2992" s="3" t="s">
        <v>2844</v>
      </c>
      <c r="K2992" s="2">
        <v>20</v>
      </c>
      <c r="L2992" s="2">
        <v>6</v>
      </c>
      <c r="M2992" s="3" t="s">
        <v>3434</v>
      </c>
      <c r="Q2992" s="30" t="str">
        <f t="shared" si="46"/>
        <v xml:space="preserve">MAX : 
TARGET : 
MIN : </v>
      </c>
    </row>
    <row r="2993" spans="2:17" ht="41.4" x14ac:dyDescent="0.3">
      <c r="B2993">
        <v>0</v>
      </c>
      <c r="C2993" s="33">
        <v>8725</v>
      </c>
      <c r="D2993" s="2">
        <v>1272</v>
      </c>
      <c r="E2993" s="2" t="s">
        <v>10906</v>
      </c>
      <c r="F2993" s="3" t="s">
        <v>14206</v>
      </c>
      <c r="H2993" s="3" t="s">
        <v>600</v>
      </c>
      <c r="K2993" s="2">
        <v>20</v>
      </c>
      <c r="L2993" s="2">
        <v>2</v>
      </c>
      <c r="M2993" s="3" t="s">
        <v>198</v>
      </c>
      <c r="N2993" s="3" t="s">
        <v>3625</v>
      </c>
      <c r="O2993" s="3" t="s">
        <v>3626</v>
      </c>
      <c r="P2993" s="3" t="s">
        <v>2428</v>
      </c>
      <c r="Q2993" s="30" t="str">
        <f t="shared" si="46"/>
        <v>MAX : 5.76
TARGET : 5.73
MIN : 5.70</v>
      </c>
    </row>
    <row r="2994" spans="2:17" ht="41.4" x14ac:dyDescent="0.3">
      <c r="B2994">
        <v>0</v>
      </c>
      <c r="C2994" s="33">
        <v>8725</v>
      </c>
      <c r="D2994" s="2">
        <v>1272</v>
      </c>
      <c r="E2994" s="2" t="s">
        <v>10906</v>
      </c>
      <c r="F2994" s="3" t="s">
        <v>14206</v>
      </c>
      <c r="H2994" s="3" t="s">
        <v>600</v>
      </c>
      <c r="K2994" s="2">
        <v>20</v>
      </c>
      <c r="L2994" s="2">
        <v>4</v>
      </c>
      <c r="M2994" s="3" t="s">
        <v>3627</v>
      </c>
      <c r="N2994" s="3" t="s">
        <v>13</v>
      </c>
      <c r="O2994" s="3" t="s">
        <v>14</v>
      </c>
      <c r="Q2994" s="30" t="str">
        <f t="shared" si="46"/>
        <v>MAX : 
TARGET : Yes(Pass)
MIN : No(Fail)</v>
      </c>
    </row>
    <row r="2995" spans="2:17" ht="41.4" x14ac:dyDescent="0.3">
      <c r="B2995">
        <v>0</v>
      </c>
      <c r="C2995" s="33">
        <v>8725</v>
      </c>
      <c r="D2995" s="2">
        <v>1272</v>
      </c>
      <c r="E2995" s="2" t="s">
        <v>10906</v>
      </c>
      <c r="F2995" s="3" t="s">
        <v>14206</v>
      </c>
      <c r="H2995" s="3" t="s">
        <v>600</v>
      </c>
      <c r="K2995" s="2">
        <v>20</v>
      </c>
      <c r="L2995" s="2">
        <v>5</v>
      </c>
      <c r="M2995" s="3" t="s">
        <v>3628</v>
      </c>
      <c r="N2995" s="3" t="s">
        <v>13</v>
      </c>
      <c r="O2995" s="3" t="s">
        <v>14</v>
      </c>
      <c r="Q2995" s="30" t="str">
        <f t="shared" si="46"/>
        <v>MAX : 
TARGET : Yes(Pass)
MIN : No(Fail)</v>
      </c>
    </row>
    <row r="2996" spans="2:17" ht="41.4" x14ac:dyDescent="0.3">
      <c r="B2996">
        <v>1</v>
      </c>
      <c r="C2996" s="33">
        <v>8446</v>
      </c>
      <c r="D2996" s="2">
        <v>1225</v>
      </c>
      <c r="E2996" s="2" t="s">
        <v>10057</v>
      </c>
      <c r="F2996" s="29" t="s">
        <v>14227</v>
      </c>
      <c r="G2996" s="3" t="s">
        <v>2843</v>
      </c>
      <c r="H2996" s="3" t="s">
        <v>2844</v>
      </c>
      <c r="K2996" s="2">
        <v>20</v>
      </c>
      <c r="L2996" s="2">
        <v>5</v>
      </c>
      <c r="M2996" s="3" t="s">
        <v>5254</v>
      </c>
      <c r="N2996" s="3" t="s">
        <v>1619</v>
      </c>
      <c r="O2996" s="3" t="s">
        <v>1620</v>
      </c>
      <c r="Q2996" s="30" t="str">
        <f t="shared" si="46"/>
        <v>MAX : 
TARGET : Yes (pass)
MIN : No (fail)</v>
      </c>
    </row>
    <row r="2997" spans="2:17" ht="41.4" x14ac:dyDescent="0.3">
      <c r="B2997">
        <v>1</v>
      </c>
      <c r="C2997" s="33">
        <v>8446</v>
      </c>
      <c r="D2997" s="2">
        <v>1225</v>
      </c>
      <c r="E2997" s="2" t="s">
        <v>10057</v>
      </c>
      <c r="F2997" s="29" t="s">
        <v>14227</v>
      </c>
      <c r="G2997" s="3" t="s">
        <v>2843</v>
      </c>
      <c r="H2997" s="3" t="s">
        <v>2844</v>
      </c>
      <c r="K2997" s="2">
        <v>20</v>
      </c>
      <c r="L2997" s="2">
        <v>4</v>
      </c>
      <c r="M2997" s="3" t="s">
        <v>3437</v>
      </c>
      <c r="Q2997" s="30" t="str">
        <f t="shared" si="46"/>
        <v xml:space="preserve">MAX : 
TARGET : 
MIN : </v>
      </c>
    </row>
    <row r="2998" spans="2:17" ht="41.4" x14ac:dyDescent="0.3">
      <c r="B2998">
        <v>0</v>
      </c>
      <c r="C2998" s="33">
        <v>8726</v>
      </c>
      <c r="D2998" s="2">
        <v>1273</v>
      </c>
      <c r="E2998" s="2" t="s">
        <v>10912</v>
      </c>
      <c r="F2998" s="3" t="s">
        <v>14206</v>
      </c>
      <c r="H2998" s="3" t="s">
        <v>648</v>
      </c>
      <c r="K2998" s="2">
        <v>10</v>
      </c>
      <c r="L2998" s="2">
        <v>3</v>
      </c>
      <c r="M2998" s="3" t="s">
        <v>3630</v>
      </c>
      <c r="N2998" s="3" t="s">
        <v>13</v>
      </c>
      <c r="O2998" s="3" t="s">
        <v>14</v>
      </c>
      <c r="Q2998" s="30" t="str">
        <f t="shared" si="46"/>
        <v>MAX : 
TARGET : Yes(Pass)
MIN : No(Fail)</v>
      </c>
    </row>
    <row r="2999" spans="2:17" ht="41.4" x14ac:dyDescent="0.3">
      <c r="B2999">
        <v>1</v>
      </c>
      <c r="C2999" s="33">
        <v>8446</v>
      </c>
      <c r="D2999" s="2">
        <v>1225</v>
      </c>
      <c r="E2999" s="2" t="s">
        <v>10057</v>
      </c>
      <c r="F2999" s="29" t="s">
        <v>14227</v>
      </c>
      <c r="G2999" s="3" t="s">
        <v>2843</v>
      </c>
      <c r="H2999" s="3" t="s">
        <v>2844</v>
      </c>
      <c r="K2999" s="2">
        <v>20</v>
      </c>
      <c r="L2999" s="2">
        <v>12.1</v>
      </c>
      <c r="Q2999" s="30" t="str">
        <f t="shared" si="46"/>
        <v xml:space="preserve">MAX : 
TARGET : 
MIN : </v>
      </c>
    </row>
    <row r="3000" spans="2:17" ht="41.4" x14ac:dyDescent="0.3">
      <c r="B3000">
        <v>1</v>
      </c>
      <c r="C3000" s="33">
        <v>8446</v>
      </c>
      <c r="D3000" s="2">
        <v>1225</v>
      </c>
      <c r="E3000" s="2" t="s">
        <v>10057</v>
      </c>
      <c r="F3000" s="29" t="s">
        <v>14227</v>
      </c>
      <c r="G3000" s="3" t="s">
        <v>2843</v>
      </c>
      <c r="H3000" s="3" t="s">
        <v>2844</v>
      </c>
      <c r="K3000" s="2">
        <v>20</v>
      </c>
      <c r="L3000" s="2">
        <v>11</v>
      </c>
      <c r="M3000" s="3" t="s">
        <v>5576</v>
      </c>
      <c r="Q3000" s="30" t="str">
        <f t="shared" si="46"/>
        <v xml:space="preserve">MAX : 
TARGET : 
MIN : </v>
      </c>
    </row>
    <row r="3001" spans="2:17" ht="41.4" x14ac:dyDescent="0.3">
      <c r="B3001">
        <v>0</v>
      </c>
      <c r="C3001" s="33">
        <v>8728</v>
      </c>
      <c r="D3001" s="2">
        <v>1275</v>
      </c>
      <c r="E3001" s="2" t="s">
        <v>10926</v>
      </c>
      <c r="F3001" s="3" t="s">
        <v>14206</v>
      </c>
      <c r="H3001" s="3" t="s">
        <v>3631</v>
      </c>
      <c r="K3001" s="2">
        <v>20</v>
      </c>
      <c r="L3001" s="2">
        <v>3</v>
      </c>
      <c r="M3001" s="3" t="s">
        <v>3632</v>
      </c>
      <c r="N3001" s="3" t="s">
        <v>24</v>
      </c>
      <c r="O3001" s="3" t="s">
        <v>25</v>
      </c>
      <c r="Q3001" s="30" t="str">
        <f t="shared" si="46"/>
        <v>MAX : 
TARGET : Yes (Pass)
MIN : No (Fail)</v>
      </c>
    </row>
    <row r="3002" spans="2:17" ht="41.4" x14ac:dyDescent="0.3">
      <c r="B3002">
        <v>1</v>
      </c>
      <c r="C3002" s="33">
        <v>8446</v>
      </c>
      <c r="D3002" s="2">
        <v>1225</v>
      </c>
      <c r="E3002" s="2" t="s">
        <v>10057</v>
      </c>
      <c r="F3002" s="29" t="s">
        <v>14227</v>
      </c>
      <c r="G3002" s="3" t="s">
        <v>2843</v>
      </c>
      <c r="H3002" s="3" t="s">
        <v>2844</v>
      </c>
      <c r="K3002" s="2">
        <v>20</v>
      </c>
      <c r="L3002" s="2">
        <v>12.2</v>
      </c>
      <c r="Q3002" s="30" t="str">
        <f t="shared" si="46"/>
        <v xml:space="preserve">MAX : 
TARGET : 
MIN : </v>
      </c>
    </row>
    <row r="3003" spans="2:17" ht="41.4" x14ac:dyDescent="0.3">
      <c r="B3003">
        <v>1</v>
      </c>
      <c r="C3003" s="33">
        <v>8458</v>
      </c>
      <c r="D3003" s="2">
        <v>1226</v>
      </c>
      <c r="E3003" s="2" t="s">
        <v>10473</v>
      </c>
      <c r="F3003" s="3" t="s">
        <v>14206</v>
      </c>
      <c r="H3003" s="3" t="s">
        <v>2462</v>
      </c>
      <c r="K3003" s="2">
        <v>10</v>
      </c>
      <c r="L3003" s="2">
        <v>2</v>
      </c>
      <c r="M3003" s="3" t="s">
        <v>467</v>
      </c>
      <c r="N3003" s="3" t="s">
        <v>252</v>
      </c>
      <c r="O3003" s="3" t="s">
        <v>253</v>
      </c>
      <c r="P3003" s="3" t="s">
        <v>128</v>
      </c>
      <c r="Q3003" s="30" t="str">
        <f t="shared" si="46"/>
        <v>MAX : 4.03
TARGET : 4.00
MIN : 3.97</v>
      </c>
    </row>
    <row r="3004" spans="2:17" ht="41.4" x14ac:dyDescent="0.3">
      <c r="B3004">
        <v>1</v>
      </c>
      <c r="C3004" s="33">
        <v>8458</v>
      </c>
      <c r="D3004" s="2">
        <v>1226</v>
      </c>
      <c r="E3004" s="2" t="s">
        <v>10473</v>
      </c>
      <c r="F3004" s="3" t="s">
        <v>14206</v>
      </c>
      <c r="H3004" s="3" t="s">
        <v>2462</v>
      </c>
      <c r="K3004" s="2">
        <v>10</v>
      </c>
      <c r="L3004" s="2">
        <v>1</v>
      </c>
      <c r="M3004" s="3" t="s">
        <v>109</v>
      </c>
      <c r="N3004" s="3" t="s">
        <v>249</v>
      </c>
      <c r="O3004" s="3" t="s">
        <v>250</v>
      </c>
      <c r="P3004" s="3" t="s">
        <v>251</v>
      </c>
      <c r="Q3004" s="30" t="str">
        <f t="shared" si="46"/>
        <v>MAX : 6.03
TARGET : 6.00
MIN : 5.97</v>
      </c>
    </row>
    <row r="3005" spans="2:17" ht="41.4" x14ac:dyDescent="0.3">
      <c r="B3005">
        <v>1</v>
      </c>
      <c r="C3005" s="33">
        <v>8469</v>
      </c>
      <c r="D3005" s="2">
        <v>1227</v>
      </c>
      <c r="E3005" s="2" t="s">
        <v>10478</v>
      </c>
      <c r="F3005" s="3" t="s">
        <v>14206</v>
      </c>
      <c r="H3005" s="3" t="s">
        <v>3307</v>
      </c>
      <c r="I3005" s="3" t="s">
        <v>487</v>
      </c>
      <c r="K3005" s="2">
        <v>10</v>
      </c>
      <c r="L3005" s="2">
        <v>3</v>
      </c>
      <c r="M3005" s="3" t="s">
        <v>198</v>
      </c>
      <c r="N3005" s="3" t="s">
        <v>3311</v>
      </c>
      <c r="O3005" s="3" t="s">
        <v>3312</v>
      </c>
      <c r="P3005" s="3" t="s">
        <v>3313</v>
      </c>
      <c r="Q3005" s="30" t="str">
        <f t="shared" si="46"/>
        <v>MAX : 5.400
TARGET : 5.370
MIN : 5.340</v>
      </c>
    </row>
    <row r="3006" spans="2:17" ht="41.4" x14ac:dyDescent="0.3">
      <c r="B3006">
        <v>0</v>
      </c>
      <c r="C3006" s="33">
        <v>8733</v>
      </c>
      <c r="D3006" s="2">
        <v>1276</v>
      </c>
      <c r="E3006" s="2" t="s">
        <v>10938</v>
      </c>
      <c r="F3006" s="3" t="s">
        <v>14206</v>
      </c>
      <c r="G3006" s="3" t="s">
        <v>1665</v>
      </c>
      <c r="H3006" s="3" t="s">
        <v>3634</v>
      </c>
      <c r="K3006" s="2">
        <v>20</v>
      </c>
      <c r="L3006" s="2">
        <v>5</v>
      </c>
      <c r="M3006" s="3" t="s">
        <v>3637</v>
      </c>
      <c r="N3006" s="3" t="s">
        <v>13</v>
      </c>
      <c r="O3006" s="3" t="s">
        <v>14</v>
      </c>
      <c r="Q3006" s="30" t="str">
        <f t="shared" si="46"/>
        <v>MAX : 
TARGET : Yes(Pass)
MIN : No(Fail)</v>
      </c>
    </row>
    <row r="3007" spans="2:17" ht="41.4" x14ac:dyDescent="0.3">
      <c r="B3007">
        <v>0</v>
      </c>
      <c r="C3007" s="33">
        <v>8733</v>
      </c>
      <c r="D3007" s="2">
        <v>1276</v>
      </c>
      <c r="E3007" s="2" t="s">
        <v>10938</v>
      </c>
      <c r="F3007" s="3" t="s">
        <v>14206</v>
      </c>
      <c r="G3007" s="3" t="s">
        <v>1665</v>
      </c>
      <c r="H3007" s="3" t="s">
        <v>3634</v>
      </c>
      <c r="K3007" s="2">
        <v>20</v>
      </c>
      <c r="L3007" s="2">
        <v>6</v>
      </c>
      <c r="M3007" s="3" t="s">
        <v>3638</v>
      </c>
      <c r="N3007" s="3" t="s">
        <v>13</v>
      </c>
      <c r="O3007" s="3" t="s">
        <v>14</v>
      </c>
      <c r="Q3007" s="30" t="str">
        <f t="shared" si="46"/>
        <v>MAX : 
TARGET : Yes(Pass)
MIN : No(Fail)</v>
      </c>
    </row>
    <row r="3008" spans="2:17" ht="41.4" x14ac:dyDescent="0.3">
      <c r="B3008">
        <v>1</v>
      </c>
      <c r="C3008" s="33">
        <v>8469</v>
      </c>
      <c r="D3008" s="2">
        <v>1227</v>
      </c>
      <c r="E3008" s="2" t="s">
        <v>10478</v>
      </c>
      <c r="F3008" s="3" t="s">
        <v>14206</v>
      </c>
      <c r="H3008" s="3" t="s">
        <v>3307</v>
      </c>
      <c r="I3008" s="3" t="s">
        <v>487</v>
      </c>
      <c r="K3008" s="2">
        <v>10</v>
      </c>
      <c r="L3008" s="2">
        <v>1</v>
      </c>
      <c r="M3008" s="3" t="s">
        <v>194</v>
      </c>
      <c r="N3008" s="3" t="s">
        <v>3308</v>
      </c>
      <c r="O3008" s="3" t="s">
        <v>3309</v>
      </c>
      <c r="P3008" s="3" t="s">
        <v>3310</v>
      </c>
      <c r="Q3008" s="30" t="str">
        <f t="shared" si="46"/>
        <v>MAX : 6.760
TARGET : 6.730
MIN : 6.700</v>
      </c>
    </row>
    <row r="3009" spans="2:17" ht="41.4" x14ac:dyDescent="0.3">
      <c r="B3009">
        <v>1</v>
      </c>
      <c r="C3009" s="33">
        <v>8476</v>
      </c>
      <c r="D3009" s="2">
        <v>1967</v>
      </c>
      <c r="E3009" s="2" t="s">
        <v>10492</v>
      </c>
      <c r="F3009" s="3" t="s">
        <v>14206</v>
      </c>
      <c r="H3009" s="3" t="s">
        <v>3321</v>
      </c>
      <c r="K3009" s="2">
        <v>10</v>
      </c>
      <c r="L3009" s="2">
        <v>2</v>
      </c>
      <c r="M3009" s="3" t="s">
        <v>2132</v>
      </c>
      <c r="N3009" s="3" t="s">
        <v>13</v>
      </c>
      <c r="O3009" s="3" t="s">
        <v>14</v>
      </c>
      <c r="Q3009" s="30" t="str">
        <f t="shared" si="46"/>
        <v>MAX : 
TARGET : Yes(Pass)
MIN : No(Fail)</v>
      </c>
    </row>
    <row r="3010" spans="2:17" ht="41.4" x14ac:dyDescent="0.3">
      <c r="B3010">
        <v>0</v>
      </c>
      <c r="C3010" s="33">
        <v>8727</v>
      </c>
      <c r="D3010" s="2">
        <v>1274</v>
      </c>
      <c r="E3010" s="2" t="s">
        <v>10920</v>
      </c>
      <c r="F3010" s="3" t="s">
        <v>14207</v>
      </c>
      <c r="H3010" s="3" t="s">
        <v>648</v>
      </c>
      <c r="K3010" s="2">
        <v>20</v>
      </c>
      <c r="L3010" s="2">
        <v>3</v>
      </c>
      <c r="M3010" s="3" t="s">
        <v>3641</v>
      </c>
      <c r="N3010" s="3" t="s">
        <v>1624</v>
      </c>
      <c r="O3010" s="3" t="s">
        <v>789</v>
      </c>
      <c r="P3010" s="3" t="s">
        <v>2426</v>
      </c>
      <c r="Q3010" s="30" t="str">
        <f t="shared" ref="Q3010:Q3073" si="47">"MAX : " &amp; P3010 &amp; CHAR(10) &amp; "TARGET : " &amp; O3010 &amp; CHAR(10) &amp; "MIN : " &amp; N3010</f>
        <v>MAX : 2.35
TARGET : 2.20
MIN : 2.05</v>
      </c>
    </row>
    <row r="3011" spans="2:17" ht="41.4" x14ac:dyDescent="0.3">
      <c r="B3011">
        <v>0</v>
      </c>
      <c r="C3011" s="33">
        <v>8727</v>
      </c>
      <c r="D3011" s="2">
        <v>1274</v>
      </c>
      <c r="E3011" s="2" t="s">
        <v>10920</v>
      </c>
      <c r="F3011" s="3" t="s">
        <v>14207</v>
      </c>
      <c r="H3011" s="3" t="s">
        <v>648</v>
      </c>
      <c r="K3011" s="2">
        <v>20</v>
      </c>
      <c r="L3011" s="2">
        <v>4</v>
      </c>
      <c r="M3011" s="3" t="s">
        <v>570</v>
      </c>
      <c r="N3011" s="3" t="s">
        <v>3642</v>
      </c>
      <c r="O3011" s="3" t="s">
        <v>3643</v>
      </c>
      <c r="P3011" s="3" t="s">
        <v>3644</v>
      </c>
      <c r="Q3011" s="30" t="str">
        <f t="shared" si="47"/>
        <v>MAX : 27.75
TARGET : 27.60
MIN : 27.45</v>
      </c>
    </row>
    <row r="3012" spans="2:17" ht="41.4" x14ac:dyDescent="0.3">
      <c r="B3012">
        <v>0</v>
      </c>
      <c r="C3012" s="33">
        <v>8727</v>
      </c>
      <c r="D3012" s="2">
        <v>1274</v>
      </c>
      <c r="E3012" s="2" t="s">
        <v>10920</v>
      </c>
      <c r="F3012" s="3" t="s">
        <v>14207</v>
      </c>
      <c r="H3012" s="3" t="s">
        <v>648</v>
      </c>
      <c r="K3012" s="2">
        <v>20</v>
      </c>
      <c r="L3012" s="2">
        <v>5</v>
      </c>
      <c r="M3012" s="3" t="s">
        <v>3645</v>
      </c>
      <c r="N3012" s="3" t="s">
        <v>427</v>
      </c>
      <c r="O3012" s="3" t="s">
        <v>3646</v>
      </c>
      <c r="P3012" s="3" t="s">
        <v>874</v>
      </c>
      <c r="Q3012" s="30" t="str">
        <f t="shared" si="47"/>
        <v>MAX : 1.95
TARGET : 1.80
MIN : 1.65</v>
      </c>
    </row>
    <row r="3013" spans="2:17" ht="41.4" x14ac:dyDescent="0.3">
      <c r="B3013">
        <v>0</v>
      </c>
      <c r="C3013" s="33">
        <v>8727</v>
      </c>
      <c r="D3013" s="2">
        <v>1274</v>
      </c>
      <c r="E3013" s="2" t="s">
        <v>10920</v>
      </c>
      <c r="F3013" s="3" t="s">
        <v>14207</v>
      </c>
      <c r="H3013" s="3" t="s">
        <v>648</v>
      </c>
      <c r="K3013" s="2">
        <v>20</v>
      </c>
      <c r="L3013" s="2">
        <v>6</v>
      </c>
      <c r="M3013" s="3" t="s">
        <v>3647</v>
      </c>
      <c r="N3013" s="3" t="s">
        <v>427</v>
      </c>
      <c r="O3013" s="3" t="s">
        <v>3646</v>
      </c>
      <c r="P3013" s="3" t="s">
        <v>874</v>
      </c>
      <c r="Q3013" s="30" t="str">
        <f t="shared" si="47"/>
        <v>MAX : 1.95
TARGET : 1.80
MIN : 1.65</v>
      </c>
    </row>
    <row r="3014" spans="2:17" ht="41.4" x14ac:dyDescent="0.3">
      <c r="B3014">
        <v>0</v>
      </c>
      <c r="C3014" s="33">
        <v>8727</v>
      </c>
      <c r="D3014" s="2">
        <v>1274</v>
      </c>
      <c r="E3014" s="2" t="s">
        <v>10920</v>
      </c>
      <c r="F3014" s="3" t="s">
        <v>14207</v>
      </c>
      <c r="H3014" s="3" t="s">
        <v>648</v>
      </c>
      <c r="K3014" s="2">
        <v>20</v>
      </c>
      <c r="L3014" s="2">
        <v>7</v>
      </c>
      <c r="M3014" s="3" t="s">
        <v>1605</v>
      </c>
      <c r="N3014" s="3" t="s">
        <v>13</v>
      </c>
      <c r="O3014" s="3" t="s">
        <v>14</v>
      </c>
      <c r="Q3014" s="30" t="str">
        <f t="shared" si="47"/>
        <v>MAX : 
TARGET : Yes(Pass)
MIN : No(Fail)</v>
      </c>
    </row>
    <row r="3015" spans="2:17" ht="41.4" x14ac:dyDescent="0.3">
      <c r="B3015">
        <v>0</v>
      </c>
      <c r="C3015" s="33">
        <v>8727</v>
      </c>
      <c r="D3015" s="2">
        <v>1274</v>
      </c>
      <c r="E3015" s="2" t="s">
        <v>10920</v>
      </c>
      <c r="F3015" s="3" t="s">
        <v>14207</v>
      </c>
      <c r="H3015" s="3" t="s">
        <v>648</v>
      </c>
      <c r="K3015" s="2">
        <v>20</v>
      </c>
      <c r="L3015" s="2">
        <v>8</v>
      </c>
      <c r="M3015" s="3" t="s">
        <v>3074</v>
      </c>
      <c r="N3015" s="3" t="s">
        <v>13</v>
      </c>
      <c r="O3015" s="3" t="s">
        <v>14</v>
      </c>
      <c r="Q3015" s="30" t="str">
        <f t="shared" si="47"/>
        <v>MAX : 
TARGET : Yes(Pass)
MIN : No(Fail)</v>
      </c>
    </row>
    <row r="3016" spans="2:17" ht="41.4" x14ac:dyDescent="0.3">
      <c r="B3016">
        <v>1</v>
      </c>
      <c r="C3016" s="33">
        <v>8476</v>
      </c>
      <c r="D3016" s="2">
        <v>1967</v>
      </c>
      <c r="E3016" s="2" t="s">
        <v>10492</v>
      </c>
      <c r="F3016" s="3" t="s">
        <v>14206</v>
      </c>
      <c r="H3016" s="3" t="s">
        <v>3321</v>
      </c>
      <c r="K3016" s="2">
        <v>10</v>
      </c>
      <c r="L3016" s="2">
        <v>1</v>
      </c>
      <c r="M3016" s="3" t="s">
        <v>99</v>
      </c>
      <c r="N3016" s="3" t="s">
        <v>420</v>
      </c>
      <c r="O3016" s="3" t="s">
        <v>272</v>
      </c>
      <c r="P3016" s="3" t="s">
        <v>414</v>
      </c>
      <c r="Q3016" s="30" t="str">
        <f t="shared" si="47"/>
        <v>MAX : 1.03
TARGET : 1.00
MIN : 0.97</v>
      </c>
    </row>
    <row r="3017" spans="2:17" ht="41.4" x14ac:dyDescent="0.3">
      <c r="B3017">
        <v>1</v>
      </c>
      <c r="C3017" s="33">
        <v>8477</v>
      </c>
      <c r="D3017" s="2">
        <v>1228</v>
      </c>
      <c r="E3017" s="2" t="s">
        <v>10498</v>
      </c>
      <c r="F3017" s="3" t="s">
        <v>14206</v>
      </c>
      <c r="H3017" s="3" t="s">
        <v>3323</v>
      </c>
      <c r="K3017" s="2">
        <v>10</v>
      </c>
      <c r="L3017" s="2">
        <v>2</v>
      </c>
      <c r="M3017" s="3" t="s">
        <v>3325</v>
      </c>
      <c r="N3017" s="3" t="s">
        <v>24</v>
      </c>
      <c r="O3017" s="3" t="s">
        <v>25</v>
      </c>
      <c r="Q3017" s="30" t="str">
        <f t="shared" si="47"/>
        <v>MAX : 
TARGET : Yes (Pass)
MIN : No (Fail)</v>
      </c>
    </row>
    <row r="3018" spans="2:17" ht="41.4" x14ac:dyDescent="0.3">
      <c r="B3018">
        <v>0</v>
      </c>
      <c r="C3018" s="33">
        <v>8740</v>
      </c>
      <c r="D3018" s="2">
        <v>1987</v>
      </c>
      <c r="E3018" s="2" t="s">
        <v>10954</v>
      </c>
      <c r="F3018" s="3" t="s">
        <v>14206</v>
      </c>
      <c r="H3018" s="3" t="s">
        <v>289</v>
      </c>
      <c r="K3018" s="2">
        <v>10</v>
      </c>
      <c r="L3018" s="2">
        <v>3</v>
      </c>
      <c r="M3018" s="3" t="s">
        <v>3650</v>
      </c>
      <c r="N3018" s="3" t="s">
        <v>276</v>
      </c>
      <c r="O3018" s="3" t="s">
        <v>86</v>
      </c>
      <c r="P3018" s="3" t="s">
        <v>101</v>
      </c>
      <c r="Q3018" s="30" t="str">
        <f t="shared" si="47"/>
        <v>MAX : 0.625
TARGET : 0.500
MIN : 0.375</v>
      </c>
    </row>
    <row r="3019" spans="2:17" ht="41.4" x14ac:dyDescent="0.3">
      <c r="B3019">
        <v>0</v>
      </c>
      <c r="C3019" s="33">
        <v>8740</v>
      </c>
      <c r="D3019" s="2">
        <v>1987</v>
      </c>
      <c r="E3019" s="2" t="s">
        <v>10954</v>
      </c>
      <c r="F3019" s="3" t="s">
        <v>14206</v>
      </c>
      <c r="H3019" s="3" t="s">
        <v>289</v>
      </c>
      <c r="K3019" s="2">
        <v>10</v>
      </c>
      <c r="L3019" s="2">
        <v>4</v>
      </c>
      <c r="M3019" s="3" t="s">
        <v>3651</v>
      </c>
      <c r="N3019" s="3" t="s">
        <v>379</v>
      </c>
      <c r="O3019" s="3" t="s">
        <v>139</v>
      </c>
      <c r="P3019" s="3" t="s">
        <v>596</v>
      </c>
      <c r="Q3019" s="30" t="str">
        <f t="shared" si="47"/>
        <v>MAX : 1.125
TARGET : 1.000
MIN : 0.875</v>
      </c>
    </row>
    <row r="3020" spans="2:17" ht="41.4" x14ac:dyDescent="0.3">
      <c r="B3020">
        <v>0</v>
      </c>
      <c r="C3020" s="33">
        <v>8740</v>
      </c>
      <c r="D3020" s="2">
        <v>1987</v>
      </c>
      <c r="E3020" s="2" t="s">
        <v>10954</v>
      </c>
      <c r="F3020" s="3" t="s">
        <v>14206</v>
      </c>
      <c r="H3020" s="3" t="s">
        <v>289</v>
      </c>
      <c r="K3020" s="2">
        <v>10</v>
      </c>
      <c r="L3020" s="2">
        <v>5</v>
      </c>
      <c r="M3020" s="3" t="s">
        <v>3652</v>
      </c>
      <c r="N3020" s="3" t="s">
        <v>13</v>
      </c>
      <c r="O3020" s="3" t="s">
        <v>14</v>
      </c>
      <c r="Q3020" s="30" t="str">
        <f t="shared" si="47"/>
        <v>MAX : 
TARGET : Yes(Pass)
MIN : No(Fail)</v>
      </c>
    </row>
    <row r="3021" spans="2:17" ht="41.4" x14ac:dyDescent="0.3">
      <c r="B3021">
        <v>1</v>
      </c>
      <c r="C3021" s="33">
        <v>8477</v>
      </c>
      <c r="D3021" s="2">
        <v>1228</v>
      </c>
      <c r="E3021" s="2" t="s">
        <v>10498</v>
      </c>
      <c r="F3021" s="3" t="s">
        <v>14206</v>
      </c>
      <c r="H3021" s="3" t="s">
        <v>3323</v>
      </c>
      <c r="K3021" s="2">
        <v>10</v>
      </c>
      <c r="L3021" s="2">
        <v>1</v>
      </c>
      <c r="M3021" s="3" t="s">
        <v>3324</v>
      </c>
      <c r="N3021" s="3" t="s">
        <v>24</v>
      </c>
      <c r="O3021" s="3" t="s">
        <v>25</v>
      </c>
      <c r="Q3021" s="30" t="str">
        <f t="shared" si="47"/>
        <v>MAX : 
TARGET : Yes (Pass)
MIN : No (Fail)</v>
      </c>
    </row>
    <row r="3022" spans="2:17" ht="41.4" x14ac:dyDescent="0.3">
      <c r="B3022">
        <v>1</v>
      </c>
      <c r="C3022" s="33">
        <v>8477</v>
      </c>
      <c r="D3022" s="2">
        <v>1228</v>
      </c>
      <c r="E3022" s="2" t="s">
        <v>10498</v>
      </c>
      <c r="F3022" s="3" t="s">
        <v>14206</v>
      </c>
      <c r="H3022" s="3" t="s">
        <v>3323</v>
      </c>
      <c r="K3022" s="2">
        <v>10</v>
      </c>
      <c r="L3022" s="2">
        <v>7</v>
      </c>
      <c r="M3022" s="3" t="s">
        <v>3331</v>
      </c>
      <c r="N3022" s="3" t="s">
        <v>24</v>
      </c>
      <c r="O3022" s="3" t="s">
        <v>25</v>
      </c>
      <c r="Q3022" s="30" t="str">
        <f t="shared" si="47"/>
        <v>MAX : 
TARGET : Yes (Pass)
MIN : No (Fail)</v>
      </c>
    </row>
    <row r="3023" spans="2:17" ht="41.4" x14ac:dyDescent="0.3">
      <c r="B3023">
        <v>0</v>
      </c>
      <c r="C3023" s="33">
        <v>8738</v>
      </c>
      <c r="D3023" s="2">
        <v>1277</v>
      </c>
      <c r="E3023" s="2" t="s">
        <v>10946</v>
      </c>
      <c r="F3023" s="3" t="s">
        <v>14206</v>
      </c>
      <c r="H3023" s="3" t="s">
        <v>648</v>
      </c>
      <c r="K3023" s="2">
        <v>20</v>
      </c>
      <c r="L3023" s="2">
        <v>3</v>
      </c>
      <c r="M3023" s="3" t="s">
        <v>3656</v>
      </c>
      <c r="N3023" s="3" t="s">
        <v>273</v>
      </c>
      <c r="O3023" s="3" t="s">
        <v>2326</v>
      </c>
      <c r="P3023" s="3" t="s">
        <v>2391</v>
      </c>
      <c r="Q3023" s="30" t="str">
        <f t="shared" si="47"/>
        <v>MAX : 1.15
TARGET : 1.14
MIN : 1.13</v>
      </c>
    </row>
    <row r="3024" spans="2:17" ht="41.4" x14ac:dyDescent="0.3">
      <c r="B3024">
        <v>0</v>
      </c>
      <c r="C3024" s="33">
        <v>8738</v>
      </c>
      <c r="D3024" s="2">
        <v>1277</v>
      </c>
      <c r="E3024" s="2" t="s">
        <v>10946</v>
      </c>
      <c r="F3024" s="3" t="s">
        <v>14206</v>
      </c>
      <c r="H3024" s="3" t="s">
        <v>648</v>
      </c>
      <c r="K3024" s="2">
        <v>20</v>
      </c>
      <c r="L3024" s="2">
        <v>4</v>
      </c>
      <c r="M3024" s="3" t="s">
        <v>3657</v>
      </c>
      <c r="N3024" s="3" t="s">
        <v>343</v>
      </c>
      <c r="O3024" s="3" t="s">
        <v>1624</v>
      </c>
      <c r="P3024" s="3" t="s">
        <v>407</v>
      </c>
      <c r="Q3024" s="30" t="str">
        <f t="shared" si="47"/>
        <v>MAX : 2.06
TARGET : 2.05
MIN : 2.04</v>
      </c>
    </row>
    <row r="3025" spans="2:17" ht="41.4" x14ac:dyDescent="0.3">
      <c r="B3025">
        <v>0</v>
      </c>
      <c r="C3025" s="33">
        <v>8738</v>
      </c>
      <c r="D3025" s="2">
        <v>1277</v>
      </c>
      <c r="E3025" s="2" t="s">
        <v>10946</v>
      </c>
      <c r="F3025" s="3" t="s">
        <v>14206</v>
      </c>
      <c r="H3025" s="3" t="s">
        <v>648</v>
      </c>
      <c r="K3025" s="2">
        <v>20</v>
      </c>
      <c r="L3025" s="2">
        <v>5</v>
      </c>
      <c r="M3025" s="3" t="s">
        <v>3658</v>
      </c>
      <c r="N3025" s="3" t="s">
        <v>2455</v>
      </c>
      <c r="O3025" s="3" t="s">
        <v>777</v>
      </c>
      <c r="P3025" s="3" t="s">
        <v>2061</v>
      </c>
      <c r="Q3025" s="30" t="str">
        <f t="shared" si="47"/>
        <v>MAX : 0.09
TARGET : 0.08
MIN : 0.07</v>
      </c>
    </row>
    <row r="3026" spans="2:17" ht="41.4" x14ac:dyDescent="0.3">
      <c r="B3026">
        <v>0</v>
      </c>
      <c r="C3026" s="33">
        <v>8738</v>
      </c>
      <c r="D3026" s="2">
        <v>1277</v>
      </c>
      <c r="E3026" s="2" t="s">
        <v>10946</v>
      </c>
      <c r="F3026" s="3" t="s">
        <v>14206</v>
      </c>
      <c r="H3026" s="3" t="s">
        <v>648</v>
      </c>
      <c r="K3026" s="2">
        <v>20</v>
      </c>
      <c r="L3026" s="2">
        <v>6</v>
      </c>
      <c r="M3026" s="3" t="s">
        <v>3659</v>
      </c>
      <c r="N3026" s="3" t="s">
        <v>1741</v>
      </c>
      <c r="O3026" s="3" t="s">
        <v>1742</v>
      </c>
      <c r="P3026" s="3" t="s">
        <v>435</v>
      </c>
      <c r="Q3026" s="30" t="str">
        <f t="shared" si="47"/>
        <v>MAX : 0.17
TARGET : 0.16
MIN : 0.15</v>
      </c>
    </row>
    <row r="3027" spans="2:17" ht="41.4" x14ac:dyDescent="0.3">
      <c r="B3027">
        <v>0</v>
      </c>
      <c r="C3027" s="33">
        <v>8738</v>
      </c>
      <c r="D3027" s="2">
        <v>1277</v>
      </c>
      <c r="E3027" s="2" t="s">
        <v>10946</v>
      </c>
      <c r="F3027" s="3" t="s">
        <v>14206</v>
      </c>
      <c r="H3027" s="3" t="s">
        <v>648</v>
      </c>
      <c r="K3027" s="2">
        <v>20</v>
      </c>
      <c r="L3027" s="2">
        <v>7</v>
      </c>
      <c r="M3027" s="3" t="s">
        <v>3660</v>
      </c>
      <c r="N3027" s="3" t="s">
        <v>13</v>
      </c>
      <c r="O3027" s="3" t="s">
        <v>14</v>
      </c>
      <c r="Q3027" s="30" t="str">
        <f t="shared" si="47"/>
        <v>MAX : 
TARGET : Yes(Pass)
MIN : No(Fail)</v>
      </c>
    </row>
    <row r="3028" spans="2:17" ht="41.4" x14ac:dyDescent="0.3">
      <c r="B3028">
        <v>1</v>
      </c>
      <c r="C3028" s="33">
        <v>8478</v>
      </c>
      <c r="D3028" s="2">
        <v>1229</v>
      </c>
      <c r="E3028" s="2" t="s">
        <v>10506</v>
      </c>
      <c r="F3028" s="3" t="s">
        <v>14206</v>
      </c>
      <c r="H3028" s="3" t="s">
        <v>3323</v>
      </c>
      <c r="K3028" s="2">
        <v>10</v>
      </c>
      <c r="L3028" s="2">
        <v>2</v>
      </c>
      <c r="M3028" s="3" t="s">
        <v>3325</v>
      </c>
      <c r="N3028" s="3" t="s">
        <v>24</v>
      </c>
      <c r="O3028" s="3" t="s">
        <v>25</v>
      </c>
      <c r="Q3028" s="30" t="str">
        <f t="shared" si="47"/>
        <v>MAX : 
TARGET : Yes (Pass)
MIN : No (Fail)</v>
      </c>
    </row>
    <row r="3029" spans="2:17" ht="41.4" x14ac:dyDescent="0.3">
      <c r="B3029">
        <v>1</v>
      </c>
      <c r="C3029" s="33">
        <v>8478</v>
      </c>
      <c r="D3029" s="2">
        <v>1229</v>
      </c>
      <c r="E3029" s="2" t="s">
        <v>10506</v>
      </c>
      <c r="F3029" s="3" t="s">
        <v>14206</v>
      </c>
      <c r="H3029" s="3" t="s">
        <v>3323</v>
      </c>
      <c r="K3029" s="2">
        <v>10</v>
      </c>
      <c r="L3029" s="2">
        <v>1</v>
      </c>
      <c r="M3029" s="3" t="s">
        <v>3324</v>
      </c>
      <c r="N3029" s="3" t="s">
        <v>24</v>
      </c>
      <c r="O3029" s="3" t="s">
        <v>25</v>
      </c>
      <c r="Q3029" s="30" t="str">
        <f t="shared" si="47"/>
        <v>MAX : 
TARGET : Yes (Pass)
MIN : No (Fail)</v>
      </c>
    </row>
    <row r="3030" spans="2:17" ht="41.4" x14ac:dyDescent="0.3">
      <c r="B3030">
        <v>1</v>
      </c>
      <c r="C3030" s="33">
        <v>8478</v>
      </c>
      <c r="D3030" s="2">
        <v>1229</v>
      </c>
      <c r="E3030" s="2" t="s">
        <v>10506</v>
      </c>
      <c r="F3030" s="3" t="s">
        <v>14206</v>
      </c>
      <c r="H3030" s="3" t="s">
        <v>3323</v>
      </c>
      <c r="K3030" s="2">
        <v>10</v>
      </c>
      <c r="L3030" s="2">
        <v>7</v>
      </c>
      <c r="M3030" s="3" t="s">
        <v>3331</v>
      </c>
      <c r="N3030" s="3" t="s">
        <v>24</v>
      </c>
      <c r="O3030" s="3" t="s">
        <v>25</v>
      </c>
      <c r="Q3030" s="30" t="str">
        <f t="shared" si="47"/>
        <v>MAX : 
TARGET : Yes (Pass)
MIN : No (Fail)</v>
      </c>
    </row>
    <row r="3031" spans="2:17" ht="41.4" x14ac:dyDescent="0.3">
      <c r="B3031">
        <v>1</v>
      </c>
      <c r="C3031" s="33">
        <v>8479</v>
      </c>
      <c r="D3031" s="2">
        <v>1230</v>
      </c>
      <c r="E3031" s="2" t="s">
        <v>10512</v>
      </c>
      <c r="F3031" s="3" t="s">
        <v>14206</v>
      </c>
      <c r="H3031" s="3" t="s">
        <v>3323</v>
      </c>
      <c r="K3031" s="2">
        <v>10</v>
      </c>
      <c r="L3031" s="2">
        <v>2</v>
      </c>
      <c r="M3031" s="3" t="s">
        <v>3325</v>
      </c>
      <c r="N3031" s="3" t="s">
        <v>24</v>
      </c>
      <c r="O3031" s="3" t="s">
        <v>25</v>
      </c>
      <c r="Q3031" s="30" t="str">
        <f t="shared" si="47"/>
        <v>MAX : 
TARGET : Yes (Pass)
MIN : No (Fail)</v>
      </c>
    </row>
    <row r="3032" spans="2:17" ht="41.4" x14ac:dyDescent="0.3">
      <c r="B3032">
        <v>0</v>
      </c>
      <c r="C3032" s="33">
        <v>8751</v>
      </c>
      <c r="D3032" s="2">
        <v>1279</v>
      </c>
      <c r="E3032" s="2" t="s">
        <v>10977</v>
      </c>
      <c r="F3032" s="29" t="s">
        <v>14222</v>
      </c>
      <c r="H3032" s="3" t="s">
        <v>2113</v>
      </c>
      <c r="K3032" s="2">
        <v>20</v>
      </c>
      <c r="L3032" s="2">
        <v>3</v>
      </c>
      <c r="M3032" s="3" t="s">
        <v>1412</v>
      </c>
      <c r="N3032" s="3" t="s">
        <v>983</v>
      </c>
      <c r="O3032" s="3" t="s">
        <v>241</v>
      </c>
      <c r="P3032" s="3" t="s">
        <v>984</v>
      </c>
      <c r="Q3032" s="30" t="str">
        <f t="shared" si="47"/>
        <v>MAX : 0.155
TARGET : 0.125
MIN : 0.095</v>
      </c>
    </row>
    <row r="3033" spans="2:17" ht="41.4" x14ac:dyDescent="0.3">
      <c r="B3033">
        <v>0</v>
      </c>
      <c r="C3033" s="33">
        <v>8751</v>
      </c>
      <c r="D3033" s="2">
        <v>1279</v>
      </c>
      <c r="E3033" s="2" t="s">
        <v>10977</v>
      </c>
      <c r="F3033" s="29" t="s">
        <v>14222</v>
      </c>
      <c r="H3033" s="3" t="s">
        <v>2113</v>
      </c>
      <c r="K3033" s="2">
        <v>20</v>
      </c>
      <c r="L3033" s="2">
        <v>4</v>
      </c>
      <c r="M3033" s="3" t="s">
        <v>3663</v>
      </c>
      <c r="N3033" s="3" t="s">
        <v>24</v>
      </c>
      <c r="O3033" s="3" t="s">
        <v>25</v>
      </c>
      <c r="Q3033" s="30" t="str">
        <f t="shared" si="47"/>
        <v>MAX : 
TARGET : Yes (Pass)
MIN : No (Fail)</v>
      </c>
    </row>
    <row r="3034" spans="2:17" ht="41.4" x14ac:dyDescent="0.3">
      <c r="B3034">
        <v>0</v>
      </c>
      <c r="C3034" s="33">
        <v>8751</v>
      </c>
      <c r="D3034" s="2">
        <v>1279</v>
      </c>
      <c r="E3034" s="2" t="s">
        <v>10977</v>
      </c>
      <c r="F3034" s="29" t="s">
        <v>14222</v>
      </c>
      <c r="H3034" s="3" t="s">
        <v>2113</v>
      </c>
      <c r="K3034" s="2">
        <v>20</v>
      </c>
      <c r="L3034" s="2">
        <v>5</v>
      </c>
      <c r="M3034" s="3" t="s">
        <v>3664</v>
      </c>
      <c r="N3034" s="3" t="s">
        <v>24</v>
      </c>
      <c r="O3034" s="3" t="s">
        <v>25</v>
      </c>
      <c r="Q3034" s="30" t="str">
        <f t="shared" si="47"/>
        <v>MAX : 
TARGET : Yes (Pass)
MIN : No (Fail)</v>
      </c>
    </row>
    <row r="3035" spans="2:17" ht="41.4" x14ac:dyDescent="0.3">
      <c r="B3035">
        <v>0</v>
      </c>
      <c r="C3035" s="33">
        <v>8751</v>
      </c>
      <c r="D3035" s="2">
        <v>1279</v>
      </c>
      <c r="E3035" s="2" t="s">
        <v>10977</v>
      </c>
      <c r="F3035" s="29" t="s">
        <v>14222</v>
      </c>
      <c r="H3035" s="3" t="s">
        <v>2113</v>
      </c>
      <c r="K3035" s="2">
        <v>20</v>
      </c>
      <c r="L3035" s="2">
        <v>8</v>
      </c>
      <c r="M3035" s="3" t="s">
        <v>3296</v>
      </c>
      <c r="Q3035" s="30" t="str">
        <f t="shared" si="47"/>
        <v xml:space="preserve">MAX : 
TARGET : 
MIN : </v>
      </c>
    </row>
    <row r="3036" spans="2:17" ht="41.4" x14ac:dyDescent="0.3">
      <c r="B3036">
        <v>1</v>
      </c>
      <c r="C3036" s="33">
        <v>8479</v>
      </c>
      <c r="D3036" s="2">
        <v>1230</v>
      </c>
      <c r="E3036" s="2" t="s">
        <v>10512</v>
      </c>
      <c r="F3036" s="3" t="s">
        <v>14206</v>
      </c>
      <c r="H3036" s="3" t="s">
        <v>3323</v>
      </c>
      <c r="K3036" s="2">
        <v>10</v>
      </c>
      <c r="L3036" s="2">
        <v>1</v>
      </c>
      <c r="M3036" s="3" t="s">
        <v>3324</v>
      </c>
      <c r="N3036" s="3" t="s">
        <v>24</v>
      </c>
      <c r="O3036" s="3" t="s">
        <v>25</v>
      </c>
      <c r="Q3036" s="30" t="str">
        <f t="shared" si="47"/>
        <v>MAX : 
TARGET : Yes (Pass)
MIN : No (Fail)</v>
      </c>
    </row>
    <row r="3037" spans="2:17" ht="41.4" x14ac:dyDescent="0.3">
      <c r="B3037">
        <v>1</v>
      </c>
      <c r="C3037" s="33">
        <v>8479</v>
      </c>
      <c r="D3037" s="2">
        <v>1230</v>
      </c>
      <c r="E3037" s="2" t="s">
        <v>10512</v>
      </c>
      <c r="F3037" s="3" t="s">
        <v>14206</v>
      </c>
      <c r="H3037" s="3" t="s">
        <v>3323</v>
      </c>
      <c r="K3037" s="2">
        <v>10</v>
      </c>
      <c r="L3037" s="2">
        <v>7</v>
      </c>
      <c r="M3037" s="3" t="s">
        <v>3331</v>
      </c>
      <c r="N3037" s="3" t="s">
        <v>24</v>
      </c>
      <c r="O3037" s="3" t="s">
        <v>25</v>
      </c>
      <c r="Q3037" s="30" t="str">
        <f t="shared" si="47"/>
        <v>MAX : 
TARGET : Yes (Pass)
MIN : No (Fail)</v>
      </c>
    </row>
    <row r="3038" spans="2:17" ht="41.4" x14ac:dyDescent="0.3">
      <c r="B3038">
        <v>1</v>
      </c>
      <c r="C3038" s="33">
        <v>8480</v>
      </c>
      <c r="D3038" s="2">
        <v>1231</v>
      </c>
      <c r="E3038" s="2" t="s">
        <v>10517</v>
      </c>
      <c r="F3038" s="3" t="s">
        <v>14206</v>
      </c>
      <c r="H3038" s="3" t="s">
        <v>3323</v>
      </c>
      <c r="K3038" s="2">
        <v>10</v>
      </c>
      <c r="L3038" s="2">
        <v>2</v>
      </c>
      <c r="M3038" s="3" t="s">
        <v>3325</v>
      </c>
      <c r="N3038" s="3" t="s">
        <v>24</v>
      </c>
      <c r="O3038" s="3" t="s">
        <v>25</v>
      </c>
      <c r="Q3038" s="30" t="str">
        <f t="shared" si="47"/>
        <v>MAX : 
TARGET : Yes (Pass)
MIN : No (Fail)</v>
      </c>
    </row>
    <row r="3039" spans="2:17" ht="41.4" x14ac:dyDescent="0.3">
      <c r="B3039">
        <v>1</v>
      </c>
      <c r="C3039" s="33">
        <v>8480</v>
      </c>
      <c r="D3039" s="2">
        <v>1231</v>
      </c>
      <c r="E3039" s="2" t="s">
        <v>10517</v>
      </c>
      <c r="F3039" s="3" t="s">
        <v>14206</v>
      </c>
      <c r="H3039" s="3" t="s">
        <v>3323</v>
      </c>
      <c r="K3039" s="2">
        <v>10</v>
      </c>
      <c r="L3039" s="2">
        <v>1</v>
      </c>
      <c r="M3039" s="3" t="s">
        <v>3324</v>
      </c>
      <c r="N3039" s="3" t="s">
        <v>24</v>
      </c>
      <c r="O3039" s="3" t="s">
        <v>25</v>
      </c>
      <c r="Q3039" s="30" t="str">
        <f t="shared" si="47"/>
        <v>MAX : 
TARGET : Yes (Pass)
MIN : No (Fail)</v>
      </c>
    </row>
    <row r="3040" spans="2:17" ht="41.4" x14ac:dyDescent="0.3">
      <c r="B3040">
        <v>0</v>
      </c>
      <c r="C3040" s="33">
        <v>8693</v>
      </c>
      <c r="D3040" s="2">
        <v>1269</v>
      </c>
      <c r="E3040" s="2" t="s">
        <v>10871</v>
      </c>
      <c r="F3040" s="3" t="s">
        <v>14237</v>
      </c>
      <c r="H3040" s="3" t="s">
        <v>3561</v>
      </c>
      <c r="K3040" s="2">
        <v>10</v>
      </c>
      <c r="L3040" s="2">
        <v>12</v>
      </c>
      <c r="M3040" s="3" t="s">
        <v>3676</v>
      </c>
      <c r="N3040" s="3" t="s">
        <v>3677</v>
      </c>
      <c r="O3040" s="3" t="s">
        <v>3678</v>
      </c>
      <c r="P3040" s="3" t="s">
        <v>3679</v>
      </c>
      <c r="Q3040" s="30" t="str">
        <f t="shared" si="47"/>
        <v>MAX : 6.752
TARGET : 6.747
MIN : 6.742</v>
      </c>
    </row>
    <row r="3041" spans="2:17" ht="41.4" x14ac:dyDescent="0.3">
      <c r="B3041">
        <v>0</v>
      </c>
      <c r="C3041" s="33">
        <v>8693</v>
      </c>
      <c r="D3041" s="2">
        <v>1269</v>
      </c>
      <c r="E3041" s="2" t="s">
        <v>10871</v>
      </c>
      <c r="F3041" s="3" t="s">
        <v>14237</v>
      </c>
      <c r="H3041" s="3" t="s">
        <v>3561</v>
      </c>
      <c r="K3041" s="2">
        <v>10</v>
      </c>
      <c r="L3041" s="2">
        <v>11</v>
      </c>
      <c r="M3041" s="3" t="s">
        <v>3680</v>
      </c>
      <c r="N3041" s="3" t="s">
        <v>3681</v>
      </c>
      <c r="O3041" s="3" t="s">
        <v>3682</v>
      </c>
      <c r="P3041" s="3" t="s">
        <v>3683</v>
      </c>
      <c r="Q3041" s="30" t="str">
        <f t="shared" si="47"/>
        <v>MAX : 6.002
TARGET : 5.997
MIN : 5.992</v>
      </c>
    </row>
    <row r="3042" spans="2:17" ht="41.4" x14ac:dyDescent="0.3">
      <c r="B3042">
        <v>0</v>
      </c>
      <c r="C3042" s="33">
        <v>8693</v>
      </c>
      <c r="D3042" s="2">
        <v>1269</v>
      </c>
      <c r="E3042" s="2" t="s">
        <v>10871</v>
      </c>
      <c r="F3042" s="3" t="s">
        <v>14237</v>
      </c>
      <c r="H3042" s="3" t="s">
        <v>3561</v>
      </c>
      <c r="K3042" s="2">
        <v>10</v>
      </c>
      <c r="L3042" s="2">
        <v>10</v>
      </c>
      <c r="M3042" s="3" t="s">
        <v>3684</v>
      </c>
      <c r="N3042" s="3" t="s">
        <v>3685</v>
      </c>
      <c r="O3042" s="3" t="s">
        <v>3686</v>
      </c>
      <c r="P3042" s="3" t="s">
        <v>3687</v>
      </c>
      <c r="Q3042" s="30" t="str">
        <f t="shared" si="47"/>
        <v>MAX : 5.252
TARGET : 5.247
MIN : 5.242</v>
      </c>
    </row>
    <row r="3043" spans="2:17" ht="41.4" x14ac:dyDescent="0.3">
      <c r="B3043">
        <v>0</v>
      </c>
      <c r="C3043" s="33">
        <v>8693</v>
      </c>
      <c r="D3043" s="2">
        <v>1269</v>
      </c>
      <c r="E3043" s="2" t="s">
        <v>10871</v>
      </c>
      <c r="F3043" s="3" t="s">
        <v>14237</v>
      </c>
      <c r="H3043" s="3" t="s">
        <v>3561</v>
      </c>
      <c r="K3043" s="2">
        <v>10</v>
      </c>
      <c r="L3043" s="2">
        <v>9</v>
      </c>
      <c r="M3043" s="3" t="s">
        <v>3688</v>
      </c>
      <c r="N3043" s="3" t="s">
        <v>1087</v>
      </c>
      <c r="O3043" s="3" t="s">
        <v>3689</v>
      </c>
      <c r="P3043" s="3" t="s">
        <v>1088</v>
      </c>
      <c r="Q3043" s="30" t="str">
        <f t="shared" si="47"/>
        <v>MAX : 4.502
TARGET : 4.497
MIN : 4.492</v>
      </c>
    </row>
    <row r="3044" spans="2:17" ht="41.4" x14ac:dyDescent="0.3">
      <c r="B3044">
        <v>0</v>
      </c>
      <c r="C3044" s="33">
        <v>8693</v>
      </c>
      <c r="D3044" s="2">
        <v>1269</v>
      </c>
      <c r="E3044" s="2" t="s">
        <v>10871</v>
      </c>
      <c r="F3044" s="3" t="s">
        <v>14237</v>
      </c>
      <c r="H3044" s="3" t="s">
        <v>3561</v>
      </c>
      <c r="K3044" s="2">
        <v>10</v>
      </c>
      <c r="L3044" s="2">
        <v>8</v>
      </c>
      <c r="M3044" s="3" t="s">
        <v>3690</v>
      </c>
      <c r="N3044" s="3" t="s">
        <v>3691</v>
      </c>
      <c r="O3044" s="3" t="s">
        <v>3692</v>
      </c>
      <c r="P3044" s="3" t="s">
        <v>3693</v>
      </c>
      <c r="Q3044" s="30" t="str">
        <f t="shared" si="47"/>
        <v>MAX : 3.752
TARGET : 3.747
MIN : 3.742</v>
      </c>
    </row>
    <row r="3045" spans="2:17" ht="41.4" x14ac:dyDescent="0.3">
      <c r="B3045">
        <v>0</v>
      </c>
      <c r="C3045" s="33">
        <v>8693</v>
      </c>
      <c r="D3045" s="2">
        <v>1269</v>
      </c>
      <c r="E3045" s="2" t="s">
        <v>10871</v>
      </c>
      <c r="F3045" s="3" t="s">
        <v>14237</v>
      </c>
      <c r="H3045" s="3" t="s">
        <v>3561</v>
      </c>
      <c r="K3045" s="2">
        <v>10</v>
      </c>
      <c r="L3045" s="2">
        <v>7</v>
      </c>
      <c r="M3045" s="3" t="s">
        <v>3694</v>
      </c>
      <c r="N3045" s="3" t="s">
        <v>3695</v>
      </c>
      <c r="O3045" s="3" t="s">
        <v>3696</v>
      </c>
      <c r="P3045" s="3" t="s">
        <v>3697</v>
      </c>
      <c r="Q3045" s="30" t="str">
        <f t="shared" si="47"/>
        <v>MAX : 3.002
TARGET : 2.997
MIN : 2.992</v>
      </c>
    </row>
    <row r="3046" spans="2:17" ht="41.4" x14ac:dyDescent="0.3">
      <c r="B3046">
        <v>0</v>
      </c>
      <c r="C3046" s="33">
        <v>8693</v>
      </c>
      <c r="D3046" s="2">
        <v>1269</v>
      </c>
      <c r="E3046" s="2" t="s">
        <v>10871</v>
      </c>
      <c r="F3046" s="3" t="s">
        <v>14237</v>
      </c>
      <c r="H3046" s="3" t="s">
        <v>3561</v>
      </c>
      <c r="K3046" s="2">
        <v>10</v>
      </c>
      <c r="L3046" s="2">
        <v>6</v>
      </c>
      <c r="M3046" s="3" t="s">
        <v>3698</v>
      </c>
      <c r="N3046" s="3" t="s">
        <v>3699</v>
      </c>
      <c r="O3046" s="3" t="s">
        <v>3700</v>
      </c>
      <c r="P3046" s="3" t="s">
        <v>3701</v>
      </c>
      <c r="Q3046" s="30" t="str">
        <f t="shared" si="47"/>
        <v>MAX : 2.252
TARGET : 2.247
MIN : 2.242</v>
      </c>
    </row>
    <row r="3047" spans="2:17" ht="41.4" x14ac:dyDescent="0.3">
      <c r="B3047">
        <v>0</v>
      </c>
      <c r="C3047" s="33">
        <v>8693</v>
      </c>
      <c r="D3047" s="2">
        <v>1269</v>
      </c>
      <c r="E3047" s="2" t="s">
        <v>10871</v>
      </c>
      <c r="F3047" s="3" t="s">
        <v>14237</v>
      </c>
      <c r="H3047" s="3" t="s">
        <v>3561</v>
      </c>
      <c r="K3047" s="2">
        <v>10</v>
      </c>
      <c r="L3047" s="2">
        <v>5</v>
      </c>
      <c r="M3047" s="3" t="s">
        <v>3702</v>
      </c>
      <c r="N3047" s="3" t="s">
        <v>933</v>
      </c>
      <c r="O3047" s="3" t="s">
        <v>3703</v>
      </c>
      <c r="P3047" s="3" t="s">
        <v>3704</v>
      </c>
      <c r="Q3047" s="30" t="str">
        <f t="shared" si="47"/>
        <v>MAX : 1.502
TARGET : 1.497
MIN : 1.492</v>
      </c>
    </row>
    <row r="3048" spans="2:17" ht="41.4" x14ac:dyDescent="0.3">
      <c r="B3048">
        <v>0</v>
      </c>
      <c r="C3048" s="33">
        <v>8693</v>
      </c>
      <c r="D3048" s="2">
        <v>1269</v>
      </c>
      <c r="E3048" s="2" t="s">
        <v>10871</v>
      </c>
      <c r="F3048" s="3" t="s">
        <v>14237</v>
      </c>
      <c r="H3048" s="3" t="s">
        <v>3561</v>
      </c>
      <c r="K3048" s="2">
        <v>10</v>
      </c>
      <c r="L3048" s="2">
        <v>4</v>
      </c>
      <c r="M3048" s="3" t="s">
        <v>3705</v>
      </c>
      <c r="N3048" s="3" t="s">
        <v>3706</v>
      </c>
      <c r="O3048" s="3" t="s">
        <v>3707</v>
      </c>
      <c r="P3048" s="3" t="s">
        <v>3708</v>
      </c>
      <c r="Q3048" s="30" t="str">
        <f t="shared" si="47"/>
        <v>MAX : 0.575
TARGET : 0.555
MIN : 0.535</v>
      </c>
    </row>
    <row r="3049" spans="2:17" ht="41.4" x14ac:dyDescent="0.3">
      <c r="B3049">
        <v>0</v>
      </c>
      <c r="C3049" s="33">
        <v>8693</v>
      </c>
      <c r="D3049" s="2">
        <v>1269</v>
      </c>
      <c r="E3049" s="2" t="s">
        <v>10871</v>
      </c>
      <c r="F3049" s="3" t="s">
        <v>14237</v>
      </c>
      <c r="H3049" s="3" t="s">
        <v>3561</v>
      </c>
      <c r="K3049" s="2">
        <v>10</v>
      </c>
      <c r="L3049" s="2">
        <v>3</v>
      </c>
      <c r="M3049" s="3" t="s">
        <v>3709</v>
      </c>
      <c r="N3049" s="3" t="s">
        <v>1410</v>
      </c>
      <c r="O3049" s="3" t="s">
        <v>2559</v>
      </c>
      <c r="P3049" s="3" t="s">
        <v>3710</v>
      </c>
      <c r="Q3049" s="30" t="str">
        <f t="shared" si="47"/>
        <v>MAX : 0.785
TARGET : 0.755
MIN : 0.725</v>
      </c>
    </row>
    <row r="3050" spans="2:17" ht="41.4" x14ac:dyDescent="0.3">
      <c r="B3050">
        <v>0</v>
      </c>
      <c r="C3050" s="33">
        <v>8693</v>
      </c>
      <c r="D3050" s="2">
        <v>1269</v>
      </c>
      <c r="E3050" s="2" t="s">
        <v>10871</v>
      </c>
      <c r="F3050" s="3" t="s">
        <v>14237</v>
      </c>
      <c r="H3050" s="3" t="s">
        <v>3561</v>
      </c>
      <c r="K3050" s="2">
        <v>10</v>
      </c>
      <c r="L3050" s="2">
        <v>20</v>
      </c>
      <c r="M3050" s="3" t="s">
        <v>3711</v>
      </c>
      <c r="N3050" s="3" t="s">
        <v>3712</v>
      </c>
      <c r="O3050" s="3" t="s">
        <v>1256</v>
      </c>
      <c r="P3050" s="3" t="s">
        <v>3713</v>
      </c>
      <c r="Q3050" s="30" t="str">
        <f t="shared" si="47"/>
        <v>MAX : 11.020
TARGET : 11.000
MIN : 10.980</v>
      </c>
    </row>
    <row r="3051" spans="2:17" ht="41.4" x14ac:dyDescent="0.3">
      <c r="B3051">
        <v>1</v>
      </c>
      <c r="C3051" s="33">
        <v>8481</v>
      </c>
      <c r="D3051" s="2">
        <v>1232</v>
      </c>
      <c r="E3051" s="2" t="s">
        <v>10523</v>
      </c>
      <c r="F3051" s="3" t="s">
        <v>14206</v>
      </c>
      <c r="H3051" s="3" t="s">
        <v>3323</v>
      </c>
      <c r="K3051" s="2">
        <v>10</v>
      </c>
      <c r="L3051" s="2">
        <v>2</v>
      </c>
      <c r="M3051" s="3" t="s">
        <v>3325</v>
      </c>
      <c r="N3051" s="3" t="s">
        <v>24</v>
      </c>
      <c r="O3051" s="3" t="s">
        <v>25</v>
      </c>
      <c r="Q3051" s="30" t="str">
        <f t="shared" si="47"/>
        <v>MAX : 
TARGET : Yes (Pass)
MIN : No (Fail)</v>
      </c>
    </row>
    <row r="3052" spans="2:17" ht="41.4" x14ac:dyDescent="0.3">
      <c r="B3052">
        <v>1</v>
      </c>
      <c r="C3052" s="33">
        <v>8481</v>
      </c>
      <c r="D3052" s="2">
        <v>1232</v>
      </c>
      <c r="E3052" s="2" t="s">
        <v>10523</v>
      </c>
      <c r="F3052" s="3" t="s">
        <v>14206</v>
      </c>
      <c r="H3052" s="3" t="s">
        <v>3323</v>
      </c>
      <c r="K3052" s="2">
        <v>10</v>
      </c>
      <c r="L3052" s="2">
        <v>1</v>
      </c>
      <c r="M3052" s="3" t="s">
        <v>3324</v>
      </c>
      <c r="N3052" s="3" t="s">
        <v>24</v>
      </c>
      <c r="O3052" s="3" t="s">
        <v>25</v>
      </c>
      <c r="Q3052" s="30" t="str">
        <f t="shared" si="47"/>
        <v>MAX : 
TARGET : Yes (Pass)
MIN : No (Fail)</v>
      </c>
    </row>
    <row r="3053" spans="2:17" ht="41.4" x14ac:dyDescent="0.3">
      <c r="B3053">
        <v>0</v>
      </c>
      <c r="C3053" s="33">
        <v>8675</v>
      </c>
      <c r="D3053" s="2">
        <v>1265</v>
      </c>
      <c r="E3053" s="2" t="s">
        <v>10834</v>
      </c>
      <c r="F3053" s="3" t="s">
        <v>14237</v>
      </c>
      <c r="H3053" s="3" t="s">
        <v>3552</v>
      </c>
      <c r="K3053" s="2">
        <v>10</v>
      </c>
      <c r="L3053" s="2">
        <v>3</v>
      </c>
      <c r="M3053" s="3" t="s">
        <v>198</v>
      </c>
      <c r="N3053" s="3" t="s">
        <v>3716</v>
      </c>
      <c r="O3053" s="3" t="s">
        <v>2551</v>
      </c>
      <c r="P3053" s="3" t="s">
        <v>3717</v>
      </c>
      <c r="Q3053" s="30" t="str">
        <f t="shared" si="47"/>
        <v>MAX : 7.020
TARGET : 7.000
MIN : 6.980</v>
      </c>
    </row>
    <row r="3054" spans="2:17" ht="41.4" x14ac:dyDescent="0.3">
      <c r="B3054">
        <v>0</v>
      </c>
      <c r="C3054" s="33">
        <v>8675</v>
      </c>
      <c r="D3054" s="2">
        <v>1265</v>
      </c>
      <c r="E3054" s="2" t="s">
        <v>10834</v>
      </c>
      <c r="F3054" s="3" t="s">
        <v>14237</v>
      </c>
      <c r="H3054" s="3" t="s">
        <v>3552</v>
      </c>
      <c r="K3054" s="2">
        <v>10</v>
      </c>
      <c r="L3054" s="2">
        <v>10</v>
      </c>
      <c r="M3054" s="3" t="s">
        <v>3576</v>
      </c>
      <c r="N3054" s="3" t="s">
        <v>3164</v>
      </c>
      <c r="O3054" s="3" t="s">
        <v>3577</v>
      </c>
      <c r="P3054" s="3" t="s">
        <v>3578</v>
      </c>
      <c r="Q3054" s="30" t="str">
        <f t="shared" si="47"/>
        <v>MAX : 1.130
TARGET : 1.110
MIN : 1.090</v>
      </c>
    </row>
    <row r="3055" spans="2:17" ht="41.4" x14ac:dyDescent="0.3">
      <c r="B3055">
        <v>0</v>
      </c>
      <c r="C3055" s="33">
        <v>8675</v>
      </c>
      <c r="D3055" s="2">
        <v>1265</v>
      </c>
      <c r="E3055" s="2" t="s">
        <v>10834</v>
      </c>
      <c r="F3055" s="3" t="s">
        <v>14237</v>
      </c>
      <c r="H3055" s="3" t="s">
        <v>3552</v>
      </c>
      <c r="K3055" s="2">
        <v>10</v>
      </c>
      <c r="L3055" s="2">
        <v>4</v>
      </c>
      <c r="M3055" s="3" t="s">
        <v>3718</v>
      </c>
      <c r="N3055" s="3" t="s">
        <v>212</v>
      </c>
      <c r="O3055" s="3" t="s">
        <v>213</v>
      </c>
      <c r="P3055" s="3" t="s">
        <v>214</v>
      </c>
      <c r="Q3055" s="30" t="str">
        <f t="shared" si="47"/>
        <v>MAX : 6.005
TARGET : 6.000
MIN : 5.995</v>
      </c>
    </row>
    <row r="3056" spans="2:17" ht="41.4" x14ac:dyDescent="0.3">
      <c r="B3056">
        <v>0</v>
      </c>
      <c r="C3056" s="33">
        <v>8675</v>
      </c>
      <c r="D3056" s="2">
        <v>1265</v>
      </c>
      <c r="E3056" s="2" t="s">
        <v>10834</v>
      </c>
      <c r="F3056" s="3" t="s">
        <v>14237</v>
      </c>
      <c r="H3056" s="3" t="s">
        <v>3552</v>
      </c>
      <c r="K3056" s="2">
        <v>10</v>
      </c>
      <c r="L3056" s="2">
        <v>9</v>
      </c>
      <c r="M3056" s="3" t="s">
        <v>3688</v>
      </c>
      <c r="N3056" s="3" t="s">
        <v>3719</v>
      </c>
      <c r="O3056" s="3" t="s">
        <v>1817</v>
      </c>
      <c r="P3056" s="3" t="s">
        <v>3720</v>
      </c>
      <c r="Q3056" s="30" t="str">
        <f t="shared" si="47"/>
        <v>MAX : 4.505
TARGET : 4.500
MIN : 4.495</v>
      </c>
    </row>
    <row r="3057" spans="2:17" ht="41.4" x14ac:dyDescent="0.3">
      <c r="B3057">
        <v>0</v>
      </c>
      <c r="C3057" s="33">
        <v>8675</v>
      </c>
      <c r="D3057" s="2">
        <v>1265</v>
      </c>
      <c r="E3057" s="2" t="s">
        <v>10834</v>
      </c>
      <c r="F3057" s="3" t="s">
        <v>14237</v>
      </c>
      <c r="H3057" s="3" t="s">
        <v>3552</v>
      </c>
      <c r="K3057" s="2">
        <v>10</v>
      </c>
      <c r="L3057" s="2">
        <v>8</v>
      </c>
      <c r="M3057" s="3" t="s">
        <v>3690</v>
      </c>
      <c r="N3057" s="3" t="s">
        <v>3721</v>
      </c>
      <c r="O3057" s="3" t="s">
        <v>521</v>
      </c>
      <c r="P3057" s="3" t="s">
        <v>3722</v>
      </c>
      <c r="Q3057" s="30" t="str">
        <f t="shared" si="47"/>
        <v>MAX : 3.755
TARGET : 3.750
MIN : 3.745</v>
      </c>
    </row>
    <row r="3058" spans="2:17" ht="41.4" x14ac:dyDescent="0.3">
      <c r="B3058">
        <v>0</v>
      </c>
      <c r="C3058" s="33">
        <v>8675</v>
      </c>
      <c r="D3058" s="2">
        <v>1265</v>
      </c>
      <c r="E3058" s="2" t="s">
        <v>10834</v>
      </c>
      <c r="F3058" s="3" t="s">
        <v>14237</v>
      </c>
      <c r="H3058" s="3" t="s">
        <v>3552</v>
      </c>
      <c r="K3058" s="2">
        <v>10</v>
      </c>
      <c r="L3058" s="2">
        <v>7</v>
      </c>
      <c r="M3058" s="3" t="s">
        <v>3694</v>
      </c>
      <c r="N3058" s="3" t="s">
        <v>3723</v>
      </c>
      <c r="O3058" s="3" t="s">
        <v>1820</v>
      </c>
      <c r="P3058" s="3" t="s">
        <v>3724</v>
      </c>
      <c r="Q3058" s="30" t="str">
        <f t="shared" si="47"/>
        <v>MAX : 3.005
TARGET : 3.000
MIN : 2.995</v>
      </c>
    </row>
    <row r="3059" spans="2:17" ht="41.4" x14ac:dyDescent="0.3">
      <c r="B3059">
        <v>0</v>
      </c>
      <c r="C3059" s="33">
        <v>8675</v>
      </c>
      <c r="D3059" s="2">
        <v>1265</v>
      </c>
      <c r="E3059" s="2" t="s">
        <v>10834</v>
      </c>
      <c r="F3059" s="3" t="s">
        <v>14237</v>
      </c>
      <c r="H3059" s="3" t="s">
        <v>3552</v>
      </c>
      <c r="K3059" s="2">
        <v>10</v>
      </c>
      <c r="L3059" s="2">
        <v>6</v>
      </c>
      <c r="M3059" s="3" t="s">
        <v>3698</v>
      </c>
      <c r="N3059" s="3" t="s">
        <v>3725</v>
      </c>
      <c r="O3059" s="3" t="s">
        <v>1810</v>
      </c>
      <c r="P3059" s="3" t="s">
        <v>3726</v>
      </c>
      <c r="Q3059" s="30" t="str">
        <f t="shared" si="47"/>
        <v>MAX : 2.255
TARGET : 2.250
MIN : 2.245</v>
      </c>
    </row>
    <row r="3060" spans="2:17" ht="41.4" x14ac:dyDescent="0.3">
      <c r="B3060">
        <v>0</v>
      </c>
      <c r="C3060" s="33">
        <v>8675</v>
      </c>
      <c r="D3060" s="2">
        <v>1265</v>
      </c>
      <c r="E3060" s="2" t="s">
        <v>10834</v>
      </c>
      <c r="F3060" s="3" t="s">
        <v>14237</v>
      </c>
      <c r="H3060" s="3" t="s">
        <v>3552</v>
      </c>
      <c r="K3060" s="2">
        <v>10</v>
      </c>
      <c r="L3060" s="2">
        <v>5</v>
      </c>
      <c r="M3060" s="3" t="s">
        <v>3702</v>
      </c>
      <c r="N3060" s="3" t="s">
        <v>3727</v>
      </c>
      <c r="O3060" s="3" t="s">
        <v>836</v>
      </c>
      <c r="P3060" s="3" t="s">
        <v>3728</v>
      </c>
      <c r="Q3060" s="30" t="str">
        <f t="shared" si="47"/>
        <v>MAX : 1.505
TARGET : 1.500
MIN : 1.495</v>
      </c>
    </row>
    <row r="3061" spans="2:17" ht="41.4" x14ac:dyDescent="0.3">
      <c r="B3061">
        <v>0</v>
      </c>
      <c r="C3061" s="33">
        <v>8675</v>
      </c>
      <c r="D3061" s="2">
        <v>1265</v>
      </c>
      <c r="E3061" s="2" t="s">
        <v>10834</v>
      </c>
      <c r="F3061" s="3" t="s">
        <v>14237</v>
      </c>
      <c r="H3061" s="3" t="s">
        <v>3552</v>
      </c>
      <c r="K3061" s="2">
        <v>10</v>
      </c>
      <c r="L3061" s="2">
        <v>1</v>
      </c>
      <c r="M3061" s="3" t="s">
        <v>3729</v>
      </c>
      <c r="N3061" s="3" t="s">
        <v>3730</v>
      </c>
      <c r="O3061" s="3" t="s">
        <v>1407</v>
      </c>
      <c r="P3061" s="3" t="s">
        <v>3731</v>
      </c>
      <c r="Q3061" s="30" t="str">
        <f t="shared" si="47"/>
        <v>MAX : 0.620
TARGET : 0.600
MIN : 0.580</v>
      </c>
    </row>
    <row r="3062" spans="2:17" ht="41.4" x14ac:dyDescent="0.3">
      <c r="B3062">
        <v>0</v>
      </c>
      <c r="C3062" s="33">
        <v>8675</v>
      </c>
      <c r="D3062" s="2">
        <v>1265</v>
      </c>
      <c r="E3062" s="2" t="s">
        <v>10834</v>
      </c>
      <c r="F3062" s="3" t="s">
        <v>14237</v>
      </c>
      <c r="H3062" s="3" t="s">
        <v>3552</v>
      </c>
      <c r="K3062" s="2">
        <v>10</v>
      </c>
      <c r="L3062" s="2">
        <v>2</v>
      </c>
      <c r="M3062" s="3" t="s">
        <v>3732</v>
      </c>
      <c r="N3062" s="3" t="s">
        <v>1410</v>
      </c>
      <c r="O3062" s="3" t="s">
        <v>2559</v>
      </c>
      <c r="P3062" s="3" t="s">
        <v>3710</v>
      </c>
      <c r="Q3062" s="30" t="str">
        <f t="shared" si="47"/>
        <v>MAX : 0.785
TARGET : 0.755
MIN : 0.725</v>
      </c>
    </row>
    <row r="3063" spans="2:17" ht="41.4" x14ac:dyDescent="0.3">
      <c r="B3063">
        <v>0</v>
      </c>
      <c r="C3063" s="33">
        <v>8675</v>
      </c>
      <c r="D3063" s="2">
        <v>1265</v>
      </c>
      <c r="E3063" s="2" t="s">
        <v>10834</v>
      </c>
      <c r="F3063" s="3" t="s">
        <v>14237</v>
      </c>
      <c r="H3063" s="3" t="s">
        <v>3552</v>
      </c>
      <c r="K3063" s="2">
        <v>10</v>
      </c>
      <c r="L3063" s="2">
        <v>16</v>
      </c>
      <c r="M3063" s="3" t="s">
        <v>3711</v>
      </c>
      <c r="N3063" s="3" t="s">
        <v>3733</v>
      </c>
      <c r="O3063" s="3" t="s">
        <v>3734</v>
      </c>
      <c r="P3063" s="3" t="s">
        <v>3735</v>
      </c>
      <c r="Q3063" s="30" t="str">
        <f t="shared" si="47"/>
        <v>MAX : 7.270
TARGET : 7.250
MIN : 7.230</v>
      </c>
    </row>
    <row r="3064" spans="2:17" ht="41.4" x14ac:dyDescent="0.3">
      <c r="B3064">
        <v>0</v>
      </c>
      <c r="C3064" s="33">
        <v>8675</v>
      </c>
      <c r="D3064" s="2">
        <v>1265</v>
      </c>
      <c r="E3064" s="2" t="s">
        <v>10834</v>
      </c>
      <c r="F3064" s="3" t="s">
        <v>14237</v>
      </c>
      <c r="H3064" s="3" t="s">
        <v>3552</v>
      </c>
      <c r="K3064" s="2">
        <v>10</v>
      </c>
      <c r="L3064" s="2">
        <v>14</v>
      </c>
      <c r="M3064" s="3" t="s">
        <v>3736</v>
      </c>
      <c r="N3064" s="3" t="s">
        <v>3737</v>
      </c>
      <c r="O3064" s="3" t="s">
        <v>3166</v>
      </c>
      <c r="P3064" s="3" t="s">
        <v>1734</v>
      </c>
      <c r="Q3064" s="30" t="str">
        <f t="shared" si="47"/>
        <v>MAX : 0.415
TARGET : 0.400
MIN : 0.385</v>
      </c>
    </row>
    <row r="3065" spans="2:17" ht="41.4" x14ac:dyDescent="0.3">
      <c r="B3065">
        <v>0</v>
      </c>
      <c r="C3065" s="33">
        <v>8675</v>
      </c>
      <c r="D3065" s="2">
        <v>1265</v>
      </c>
      <c r="E3065" s="2" t="s">
        <v>10834</v>
      </c>
      <c r="F3065" s="3" t="s">
        <v>14237</v>
      </c>
      <c r="H3065" s="3" t="s">
        <v>3552</v>
      </c>
      <c r="K3065" s="2">
        <v>10</v>
      </c>
      <c r="L3065" s="2">
        <v>15</v>
      </c>
      <c r="M3065" s="3" t="s">
        <v>3738</v>
      </c>
      <c r="N3065" s="3" t="s">
        <v>3739</v>
      </c>
      <c r="O3065" s="3" t="s">
        <v>3740</v>
      </c>
      <c r="P3065" s="3" t="s">
        <v>3124</v>
      </c>
      <c r="Q3065" s="30" t="str">
        <f t="shared" si="47"/>
        <v>MAX : 0.115
TARGET : 0.100
MIN : 0.085</v>
      </c>
    </row>
    <row r="3066" spans="2:17" ht="41.4" x14ac:dyDescent="0.3">
      <c r="B3066">
        <v>1</v>
      </c>
      <c r="C3066" s="33">
        <v>8481</v>
      </c>
      <c r="D3066" s="2">
        <v>1232</v>
      </c>
      <c r="E3066" s="2" t="s">
        <v>10523</v>
      </c>
      <c r="F3066" s="3" t="s">
        <v>14206</v>
      </c>
      <c r="H3066" s="3" t="s">
        <v>3323</v>
      </c>
      <c r="K3066" s="2">
        <v>10</v>
      </c>
      <c r="L3066" s="2">
        <v>7</v>
      </c>
      <c r="M3066" s="3" t="s">
        <v>3332</v>
      </c>
      <c r="N3066" s="3" t="s">
        <v>24</v>
      </c>
      <c r="O3066" s="3" t="s">
        <v>25</v>
      </c>
      <c r="Q3066" s="30" t="str">
        <f t="shared" si="47"/>
        <v>MAX : 
TARGET : Yes (Pass)
MIN : No (Fail)</v>
      </c>
    </row>
    <row r="3067" spans="2:17" ht="41.4" x14ac:dyDescent="0.3">
      <c r="B3067">
        <v>1</v>
      </c>
      <c r="C3067" s="33">
        <v>8482</v>
      </c>
      <c r="D3067" s="2">
        <v>1233</v>
      </c>
      <c r="E3067" s="2" t="s">
        <v>10528</v>
      </c>
      <c r="F3067" s="3" t="s">
        <v>14206</v>
      </c>
      <c r="H3067" s="3" t="s">
        <v>3323</v>
      </c>
      <c r="K3067" s="2">
        <v>10</v>
      </c>
      <c r="L3067" s="2">
        <v>2</v>
      </c>
      <c r="M3067" s="3" t="s">
        <v>3325</v>
      </c>
      <c r="N3067" s="3" t="s">
        <v>24</v>
      </c>
      <c r="O3067" s="3" t="s">
        <v>25</v>
      </c>
      <c r="Q3067" s="30" t="str">
        <f t="shared" si="47"/>
        <v>MAX : 
TARGET : Yes (Pass)
MIN : No (Fail)</v>
      </c>
    </row>
    <row r="3068" spans="2:17" ht="41.4" x14ac:dyDescent="0.3">
      <c r="B3068">
        <v>0</v>
      </c>
      <c r="C3068" s="33">
        <v>8755</v>
      </c>
      <c r="D3068" s="2">
        <v>1280</v>
      </c>
      <c r="E3068" s="2" t="s">
        <v>10985</v>
      </c>
      <c r="F3068" s="3" t="s">
        <v>14206</v>
      </c>
      <c r="H3068" s="3" t="s">
        <v>3741</v>
      </c>
      <c r="K3068" s="2">
        <v>10</v>
      </c>
      <c r="L3068" s="2">
        <v>3</v>
      </c>
      <c r="M3068" s="3" t="s">
        <v>1902</v>
      </c>
      <c r="N3068" s="3" t="s">
        <v>13</v>
      </c>
      <c r="O3068" s="3" t="s">
        <v>14</v>
      </c>
      <c r="Q3068" s="30" t="str">
        <f t="shared" si="47"/>
        <v>MAX : 
TARGET : Yes(Pass)
MIN : No(Fail)</v>
      </c>
    </row>
    <row r="3069" spans="2:17" ht="41.4" x14ac:dyDescent="0.3">
      <c r="B3069">
        <v>1</v>
      </c>
      <c r="C3069" s="33">
        <v>8482</v>
      </c>
      <c r="D3069" s="2">
        <v>1233</v>
      </c>
      <c r="E3069" s="2" t="s">
        <v>10528</v>
      </c>
      <c r="F3069" s="3" t="s">
        <v>14206</v>
      </c>
      <c r="H3069" s="3" t="s">
        <v>3323</v>
      </c>
      <c r="K3069" s="2">
        <v>10</v>
      </c>
      <c r="L3069" s="2">
        <v>1</v>
      </c>
      <c r="M3069" s="3" t="s">
        <v>3324</v>
      </c>
      <c r="N3069" s="3" t="s">
        <v>24</v>
      </c>
      <c r="O3069" s="3" t="s">
        <v>25</v>
      </c>
      <c r="Q3069" s="30" t="str">
        <f t="shared" si="47"/>
        <v>MAX : 
TARGET : Yes (Pass)
MIN : No (Fail)</v>
      </c>
    </row>
    <row r="3070" spans="2:17" ht="41.4" x14ac:dyDescent="0.3">
      <c r="B3070">
        <v>1</v>
      </c>
      <c r="C3070" s="33">
        <v>8482</v>
      </c>
      <c r="D3070" s="2">
        <v>1233</v>
      </c>
      <c r="E3070" s="2" t="s">
        <v>10528</v>
      </c>
      <c r="F3070" s="3" t="s">
        <v>14206</v>
      </c>
      <c r="H3070" s="3" t="s">
        <v>3323</v>
      </c>
      <c r="K3070" s="2">
        <v>10</v>
      </c>
      <c r="L3070" s="2">
        <v>7</v>
      </c>
      <c r="M3070" s="3" t="s">
        <v>3332</v>
      </c>
      <c r="N3070" s="3" t="s">
        <v>24</v>
      </c>
      <c r="O3070" s="3" t="s">
        <v>25</v>
      </c>
      <c r="Q3070" s="30" t="str">
        <f t="shared" si="47"/>
        <v>MAX : 
TARGET : Yes (Pass)
MIN : No (Fail)</v>
      </c>
    </row>
    <row r="3071" spans="2:17" ht="41.4" x14ac:dyDescent="0.3">
      <c r="B3071">
        <v>0</v>
      </c>
      <c r="C3071" s="33">
        <v>8756</v>
      </c>
      <c r="D3071" s="2">
        <v>1281</v>
      </c>
      <c r="E3071" s="2" t="s">
        <v>10985</v>
      </c>
      <c r="F3071" s="3" t="s">
        <v>14206</v>
      </c>
      <c r="H3071" s="3" t="s">
        <v>3741</v>
      </c>
      <c r="K3071" s="2">
        <v>10</v>
      </c>
      <c r="L3071" s="2">
        <v>3</v>
      </c>
      <c r="M3071" s="3" t="s">
        <v>1902</v>
      </c>
      <c r="N3071" s="3" t="s">
        <v>13</v>
      </c>
      <c r="O3071" s="3" t="s">
        <v>14</v>
      </c>
      <c r="Q3071" s="30" t="str">
        <f t="shared" si="47"/>
        <v>MAX : 
TARGET : Yes(Pass)
MIN : No(Fail)</v>
      </c>
    </row>
    <row r="3072" spans="2:17" ht="41.4" x14ac:dyDescent="0.3">
      <c r="B3072">
        <v>1</v>
      </c>
      <c r="C3072" s="33">
        <v>8483</v>
      </c>
      <c r="D3072" s="2">
        <v>1234</v>
      </c>
      <c r="E3072" s="2" t="s">
        <v>10532</v>
      </c>
      <c r="F3072" s="3" t="s">
        <v>14206</v>
      </c>
      <c r="H3072" s="3" t="s">
        <v>3323</v>
      </c>
      <c r="K3072" s="2">
        <v>10</v>
      </c>
      <c r="L3072" s="2">
        <v>4</v>
      </c>
      <c r="M3072" s="3" t="s">
        <v>3327</v>
      </c>
      <c r="N3072" s="3" t="s">
        <v>24</v>
      </c>
      <c r="O3072" s="3" t="s">
        <v>25</v>
      </c>
      <c r="Q3072" s="30" t="str">
        <f t="shared" si="47"/>
        <v>MAX : 
TARGET : Yes (Pass)
MIN : No (Fail)</v>
      </c>
    </row>
    <row r="3073" spans="2:18" ht="41.4" x14ac:dyDescent="0.3">
      <c r="B3073">
        <v>1</v>
      </c>
      <c r="C3073" s="33">
        <v>8483</v>
      </c>
      <c r="D3073" s="2">
        <v>1234</v>
      </c>
      <c r="E3073" s="2" t="s">
        <v>10532</v>
      </c>
      <c r="F3073" s="3" t="s">
        <v>14206</v>
      </c>
      <c r="H3073" s="3" t="s">
        <v>3323</v>
      </c>
      <c r="K3073" s="2">
        <v>10</v>
      </c>
      <c r="L3073" s="2">
        <v>3</v>
      </c>
      <c r="M3073" s="3" t="s">
        <v>3326</v>
      </c>
      <c r="N3073" s="3" t="s">
        <v>24</v>
      </c>
      <c r="O3073" s="3" t="s">
        <v>25</v>
      </c>
      <c r="Q3073" s="30" t="str">
        <f t="shared" si="47"/>
        <v>MAX : 
TARGET : Yes (Pass)
MIN : No (Fail)</v>
      </c>
    </row>
    <row r="3074" spans="2:18" ht="41.4" x14ac:dyDescent="0.3">
      <c r="B3074">
        <v>0</v>
      </c>
      <c r="C3074" s="33">
        <v>8758</v>
      </c>
      <c r="D3074" s="2">
        <v>1282</v>
      </c>
      <c r="E3074" s="2" t="s">
        <v>9546</v>
      </c>
      <c r="F3074" s="3" t="s">
        <v>14206</v>
      </c>
      <c r="H3074" s="3" t="s">
        <v>2520</v>
      </c>
      <c r="K3074" s="2">
        <v>10</v>
      </c>
      <c r="L3074" s="2">
        <v>4</v>
      </c>
      <c r="M3074" s="3" t="s">
        <v>569</v>
      </c>
      <c r="N3074" s="3" t="s">
        <v>1781</v>
      </c>
      <c r="O3074" s="3" t="s">
        <v>272</v>
      </c>
      <c r="P3074" s="3" t="s">
        <v>1782</v>
      </c>
      <c r="Q3074" s="30" t="str">
        <f t="shared" ref="Q3074:Q3137" si="48">"MAX : " &amp; P3074 &amp; CHAR(10) &amp; "TARGET : " &amp; O3074 &amp; CHAR(10) &amp; "MIN : " &amp; N3074</f>
        <v>MAX : 1.02
TARGET : 1.00
MIN : 0.98</v>
      </c>
      <c r="R3074" s="3" t="s">
        <v>1638</v>
      </c>
    </row>
    <row r="3075" spans="2:18" ht="41.4" x14ac:dyDescent="0.3">
      <c r="B3075">
        <v>0</v>
      </c>
      <c r="C3075" s="33">
        <v>8758</v>
      </c>
      <c r="D3075" s="2">
        <v>1282</v>
      </c>
      <c r="E3075" s="2" t="s">
        <v>9546</v>
      </c>
      <c r="F3075" s="3" t="s">
        <v>14206</v>
      </c>
      <c r="H3075" s="3" t="s">
        <v>2520</v>
      </c>
      <c r="K3075" s="2">
        <v>10</v>
      </c>
      <c r="L3075" s="2">
        <v>5</v>
      </c>
      <c r="M3075" s="3" t="s">
        <v>1072</v>
      </c>
      <c r="N3075" s="3" t="s">
        <v>2522</v>
      </c>
      <c r="O3075" s="3" t="s">
        <v>284</v>
      </c>
      <c r="P3075" s="3" t="s">
        <v>2523</v>
      </c>
      <c r="Q3075" s="30" t="str">
        <f t="shared" si="48"/>
        <v>MAX : 0.208
TARGET : 0.188
MIN : 0.168</v>
      </c>
      <c r="R3075" s="3" t="s">
        <v>1638</v>
      </c>
    </row>
    <row r="3076" spans="2:18" ht="41.4" x14ac:dyDescent="0.3">
      <c r="B3076">
        <v>0</v>
      </c>
      <c r="C3076" s="33">
        <v>8758</v>
      </c>
      <c r="D3076" s="2">
        <v>1282</v>
      </c>
      <c r="E3076" s="2" t="s">
        <v>9546</v>
      </c>
      <c r="F3076" s="3" t="s">
        <v>14206</v>
      </c>
      <c r="H3076" s="3" t="s">
        <v>2520</v>
      </c>
      <c r="K3076" s="2">
        <v>10</v>
      </c>
      <c r="L3076" s="2">
        <v>8</v>
      </c>
      <c r="M3076" s="3" t="s">
        <v>78</v>
      </c>
      <c r="N3076" s="3" t="s">
        <v>13</v>
      </c>
      <c r="O3076" s="3" t="s">
        <v>14</v>
      </c>
      <c r="Q3076" s="30" t="str">
        <f t="shared" si="48"/>
        <v>MAX : 
TARGET : Yes(Pass)
MIN : No(Fail)</v>
      </c>
      <c r="R3076" s="3" t="s">
        <v>1638</v>
      </c>
    </row>
    <row r="3077" spans="2:18" ht="41.4" x14ac:dyDescent="0.3">
      <c r="B3077">
        <v>0</v>
      </c>
      <c r="C3077" s="33">
        <v>8758</v>
      </c>
      <c r="D3077" s="2">
        <v>1282</v>
      </c>
      <c r="E3077" s="2" t="s">
        <v>9546</v>
      </c>
      <c r="F3077" s="3" t="s">
        <v>14206</v>
      </c>
      <c r="H3077" s="3" t="s">
        <v>2520</v>
      </c>
      <c r="K3077" s="2">
        <v>10</v>
      </c>
      <c r="L3077" s="2">
        <v>7</v>
      </c>
      <c r="M3077" s="3" t="s">
        <v>1605</v>
      </c>
      <c r="N3077" s="3" t="s">
        <v>13</v>
      </c>
      <c r="O3077" s="3" t="s">
        <v>14</v>
      </c>
      <c r="Q3077" s="30" t="str">
        <f t="shared" si="48"/>
        <v>MAX : 
TARGET : Yes(Pass)
MIN : No(Fail)</v>
      </c>
      <c r="R3077" s="3" t="s">
        <v>1638</v>
      </c>
    </row>
    <row r="3078" spans="2:18" ht="41.4" x14ac:dyDescent="0.3">
      <c r="B3078">
        <v>0</v>
      </c>
      <c r="C3078" s="33">
        <v>8758</v>
      </c>
      <c r="D3078" s="2">
        <v>1282</v>
      </c>
      <c r="E3078" s="2" t="s">
        <v>9546</v>
      </c>
      <c r="F3078" s="3" t="s">
        <v>14206</v>
      </c>
      <c r="H3078" s="3" t="s">
        <v>2520</v>
      </c>
      <c r="K3078" s="2">
        <v>10</v>
      </c>
      <c r="L3078" s="2">
        <v>9</v>
      </c>
      <c r="M3078" s="3" t="s">
        <v>3093</v>
      </c>
      <c r="N3078" s="3" t="s">
        <v>13</v>
      </c>
      <c r="O3078" s="3" t="s">
        <v>14</v>
      </c>
      <c r="Q3078" s="30" t="str">
        <f t="shared" si="48"/>
        <v>MAX : 
TARGET : Yes(Pass)
MIN : No(Fail)</v>
      </c>
      <c r="R3078" s="3" t="s">
        <v>1638</v>
      </c>
    </row>
    <row r="3079" spans="2:18" ht="41.4" x14ac:dyDescent="0.3">
      <c r="B3079">
        <v>0</v>
      </c>
      <c r="C3079" s="33">
        <v>8758</v>
      </c>
      <c r="D3079" s="2">
        <v>1282</v>
      </c>
      <c r="E3079" s="2" t="s">
        <v>9546</v>
      </c>
      <c r="F3079" s="3" t="s">
        <v>14206</v>
      </c>
      <c r="H3079" s="3" t="s">
        <v>2520</v>
      </c>
      <c r="K3079" s="2">
        <v>10</v>
      </c>
      <c r="L3079" s="2">
        <v>3</v>
      </c>
      <c r="M3079" s="3" t="s">
        <v>3407</v>
      </c>
      <c r="N3079" s="3" t="s">
        <v>1038</v>
      </c>
      <c r="O3079" s="3" t="s">
        <v>3408</v>
      </c>
      <c r="P3079" s="3" t="s">
        <v>3409</v>
      </c>
      <c r="Q3079" s="30" t="str">
        <f t="shared" si="48"/>
        <v>MAX : 0.060
TARGET : 0.030
MIN : 0.000</v>
      </c>
      <c r="R3079" s="3" t="s">
        <v>1638</v>
      </c>
    </row>
    <row r="3080" spans="2:18" ht="41.4" x14ac:dyDescent="0.3">
      <c r="B3080">
        <v>1</v>
      </c>
      <c r="C3080" s="33">
        <v>8483</v>
      </c>
      <c r="D3080" s="2">
        <v>1234</v>
      </c>
      <c r="E3080" s="2" t="s">
        <v>10532</v>
      </c>
      <c r="F3080" s="3" t="s">
        <v>14206</v>
      </c>
      <c r="H3080" s="3" t="s">
        <v>3323</v>
      </c>
      <c r="K3080" s="2">
        <v>10</v>
      </c>
      <c r="L3080" s="2">
        <v>7</v>
      </c>
      <c r="M3080" s="3" t="s">
        <v>3333</v>
      </c>
      <c r="N3080" s="3" t="s">
        <v>24</v>
      </c>
      <c r="O3080" s="3" t="s">
        <v>25</v>
      </c>
      <c r="Q3080" s="30" t="str">
        <f t="shared" si="48"/>
        <v>MAX : 
TARGET : Yes (Pass)
MIN : No (Fail)</v>
      </c>
    </row>
    <row r="3081" spans="2:18" ht="41.4" x14ac:dyDescent="0.3">
      <c r="B3081">
        <v>1</v>
      </c>
      <c r="C3081" s="33">
        <v>8483</v>
      </c>
      <c r="D3081" s="2">
        <v>1234</v>
      </c>
      <c r="E3081" s="2" t="s">
        <v>10532</v>
      </c>
      <c r="F3081" s="3" t="s">
        <v>14206</v>
      </c>
      <c r="H3081" s="3" t="s">
        <v>3323</v>
      </c>
      <c r="K3081" s="2">
        <v>10</v>
      </c>
      <c r="L3081" s="2">
        <v>2</v>
      </c>
      <c r="M3081" s="3" t="s">
        <v>3325</v>
      </c>
      <c r="N3081" s="3" t="s">
        <v>24</v>
      </c>
      <c r="O3081" s="3" t="s">
        <v>25</v>
      </c>
      <c r="Q3081" s="30" t="str">
        <f t="shared" si="48"/>
        <v>MAX : 
TARGET : Yes (Pass)
MIN : No (Fail)</v>
      </c>
    </row>
    <row r="3082" spans="2:18" ht="41.4" x14ac:dyDescent="0.3">
      <c r="B3082">
        <v>0</v>
      </c>
      <c r="C3082" s="33">
        <v>8765</v>
      </c>
      <c r="D3082" s="2">
        <v>1284</v>
      </c>
      <c r="E3082" s="2" t="s">
        <v>11012</v>
      </c>
      <c r="F3082" s="3" t="s">
        <v>14206</v>
      </c>
      <c r="H3082" s="3" t="s">
        <v>2524</v>
      </c>
      <c r="K3082" s="2">
        <v>10</v>
      </c>
      <c r="L3082" s="2">
        <v>4</v>
      </c>
      <c r="M3082" s="3" t="s">
        <v>569</v>
      </c>
      <c r="N3082" s="3" t="s">
        <v>2525</v>
      </c>
      <c r="O3082" s="3" t="s">
        <v>596</v>
      </c>
      <c r="P3082" s="3" t="s">
        <v>687</v>
      </c>
      <c r="Q3082" s="30" t="str">
        <f t="shared" si="48"/>
        <v>MAX : 1.145
TARGET : 1.125
MIN : 1.105</v>
      </c>
      <c r="R3082" s="3" t="s">
        <v>1638</v>
      </c>
    </row>
    <row r="3083" spans="2:18" ht="41.4" x14ac:dyDescent="0.3">
      <c r="B3083">
        <v>0</v>
      </c>
      <c r="C3083" s="33">
        <v>8765</v>
      </c>
      <c r="D3083" s="2">
        <v>1284</v>
      </c>
      <c r="E3083" s="2" t="s">
        <v>11012</v>
      </c>
      <c r="F3083" s="3" t="s">
        <v>14206</v>
      </c>
      <c r="H3083" s="3" t="s">
        <v>2524</v>
      </c>
      <c r="K3083" s="2">
        <v>10</v>
      </c>
      <c r="L3083" s="2">
        <v>5</v>
      </c>
      <c r="M3083" s="3" t="s">
        <v>1072</v>
      </c>
      <c r="N3083" s="3" t="s">
        <v>1780</v>
      </c>
      <c r="O3083" s="3" t="s">
        <v>241</v>
      </c>
      <c r="P3083" s="3" t="s">
        <v>1746</v>
      </c>
      <c r="Q3083" s="30" t="str">
        <f t="shared" si="48"/>
        <v>MAX : 0.145
TARGET : 0.125
MIN : 0.105</v>
      </c>
      <c r="R3083" s="3" t="s">
        <v>1638</v>
      </c>
    </row>
    <row r="3084" spans="2:18" ht="41.4" x14ac:dyDescent="0.3">
      <c r="B3084">
        <v>0</v>
      </c>
      <c r="C3084" s="33">
        <v>8765</v>
      </c>
      <c r="D3084" s="2">
        <v>1284</v>
      </c>
      <c r="E3084" s="2" t="s">
        <v>11012</v>
      </c>
      <c r="F3084" s="3" t="s">
        <v>14206</v>
      </c>
      <c r="H3084" s="3" t="s">
        <v>2524</v>
      </c>
      <c r="K3084" s="2">
        <v>10</v>
      </c>
      <c r="L3084" s="2">
        <v>8</v>
      </c>
      <c r="M3084" s="3" t="s">
        <v>78</v>
      </c>
      <c r="N3084" s="3" t="s">
        <v>13</v>
      </c>
      <c r="O3084" s="3" t="s">
        <v>14</v>
      </c>
      <c r="Q3084" s="30" t="str">
        <f t="shared" si="48"/>
        <v>MAX : 
TARGET : Yes(Pass)
MIN : No(Fail)</v>
      </c>
      <c r="R3084" s="3" t="s">
        <v>1638</v>
      </c>
    </row>
    <row r="3085" spans="2:18" ht="41.4" x14ac:dyDescent="0.3">
      <c r="B3085">
        <v>0</v>
      </c>
      <c r="C3085" s="33">
        <v>8765</v>
      </c>
      <c r="D3085" s="2">
        <v>1284</v>
      </c>
      <c r="E3085" s="2" t="s">
        <v>11012</v>
      </c>
      <c r="F3085" s="3" t="s">
        <v>14206</v>
      </c>
      <c r="H3085" s="3" t="s">
        <v>2524</v>
      </c>
      <c r="K3085" s="2">
        <v>10</v>
      </c>
      <c r="L3085" s="2">
        <v>7</v>
      </c>
      <c r="M3085" s="3" t="s">
        <v>1605</v>
      </c>
      <c r="N3085" s="3" t="s">
        <v>13</v>
      </c>
      <c r="O3085" s="3" t="s">
        <v>14</v>
      </c>
      <c r="Q3085" s="30" t="str">
        <f t="shared" si="48"/>
        <v>MAX : 
TARGET : Yes(Pass)
MIN : No(Fail)</v>
      </c>
      <c r="R3085" s="3" t="s">
        <v>1638</v>
      </c>
    </row>
    <row r="3086" spans="2:18" ht="41.4" x14ac:dyDescent="0.3">
      <c r="B3086">
        <v>0</v>
      </c>
      <c r="C3086" s="33">
        <v>8765</v>
      </c>
      <c r="D3086" s="2">
        <v>1284</v>
      </c>
      <c r="E3086" s="2" t="s">
        <v>11012</v>
      </c>
      <c r="F3086" s="3" t="s">
        <v>14206</v>
      </c>
      <c r="H3086" s="3" t="s">
        <v>2524</v>
      </c>
      <c r="K3086" s="2">
        <v>10</v>
      </c>
      <c r="L3086" s="2">
        <v>9</v>
      </c>
      <c r="M3086" s="3" t="s">
        <v>3093</v>
      </c>
      <c r="N3086" s="3" t="s">
        <v>13</v>
      </c>
      <c r="O3086" s="3" t="s">
        <v>14</v>
      </c>
      <c r="Q3086" s="30" t="str">
        <f t="shared" si="48"/>
        <v>MAX : 
TARGET : Yes(Pass)
MIN : No(Fail)</v>
      </c>
      <c r="R3086" s="3" t="s">
        <v>1638</v>
      </c>
    </row>
    <row r="3087" spans="2:18" ht="41.4" x14ac:dyDescent="0.3">
      <c r="B3087">
        <v>0</v>
      </c>
      <c r="C3087" s="33">
        <v>8765</v>
      </c>
      <c r="D3087" s="2">
        <v>1284</v>
      </c>
      <c r="E3087" s="2" t="s">
        <v>11012</v>
      </c>
      <c r="F3087" s="3" t="s">
        <v>14206</v>
      </c>
      <c r="H3087" s="3" t="s">
        <v>2524</v>
      </c>
      <c r="K3087" s="2">
        <v>10</v>
      </c>
      <c r="L3087" s="2">
        <v>3</v>
      </c>
      <c r="M3087" s="3" t="s">
        <v>3407</v>
      </c>
      <c r="N3087" s="3" t="s">
        <v>1038</v>
      </c>
      <c r="O3087" s="3" t="s">
        <v>3408</v>
      </c>
      <c r="P3087" s="3" t="s">
        <v>3409</v>
      </c>
      <c r="Q3087" s="30" t="str">
        <f t="shared" si="48"/>
        <v>MAX : 0.060
TARGET : 0.030
MIN : 0.000</v>
      </c>
      <c r="R3087" s="3" t="s">
        <v>1638</v>
      </c>
    </row>
    <row r="3088" spans="2:18" ht="41.4" x14ac:dyDescent="0.3">
      <c r="B3088">
        <v>1</v>
      </c>
      <c r="C3088" s="33">
        <v>8484</v>
      </c>
      <c r="D3088" s="2">
        <v>1235</v>
      </c>
      <c r="E3088" s="2" t="s">
        <v>10536</v>
      </c>
      <c r="F3088" s="3" t="s">
        <v>14206</v>
      </c>
      <c r="H3088" s="3" t="s">
        <v>3323</v>
      </c>
      <c r="K3088" s="2">
        <v>10</v>
      </c>
      <c r="L3088" s="2">
        <v>4</v>
      </c>
      <c r="M3088" s="3" t="s">
        <v>3327</v>
      </c>
      <c r="N3088" s="3" t="s">
        <v>24</v>
      </c>
      <c r="O3088" s="3" t="s">
        <v>25</v>
      </c>
      <c r="Q3088" s="30" t="str">
        <f t="shared" si="48"/>
        <v>MAX : 
TARGET : Yes (Pass)
MIN : No (Fail)</v>
      </c>
    </row>
    <row r="3089" spans="2:18" ht="41.4" x14ac:dyDescent="0.3">
      <c r="B3089">
        <v>1</v>
      </c>
      <c r="C3089" s="33">
        <v>8484</v>
      </c>
      <c r="D3089" s="2">
        <v>1235</v>
      </c>
      <c r="E3089" s="2" t="s">
        <v>10536</v>
      </c>
      <c r="F3089" s="3" t="s">
        <v>14206</v>
      </c>
      <c r="H3089" s="3" t="s">
        <v>3323</v>
      </c>
      <c r="K3089" s="2">
        <v>10</v>
      </c>
      <c r="L3089" s="2">
        <v>3</v>
      </c>
      <c r="M3089" s="3" t="s">
        <v>3326</v>
      </c>
      <c r="N3089" s="3" t="s">
        <v>24</v>
      </c>
      <c r="O3089" s="3" t="s">
        <v>25</v>
      </c>
      <c r="Q3089" s="30" t="str">
        <f t="shared" si="48"/>
        <v>MAX : 
TARGET : Yes (Pass)
MIN : No (Fail)</v>
      </c>
    </row>
    <row r="3090" spans="2:18" ht="41.4" x14ac:dyDescent="0.3">
      <c r="B3090">
        <v>0</v>
      </c>
      <c r="C3090" s="33">
        <v>8747</v>
      </c>
      <c r="D3090" s="2">
        <v>1278</v>
      </c>
      <c r="E3090" s="2" t="s">
        <v>10962</v>
      </c>
      <c r="F3090" s="3" t="s">
        <v>14206</v>
      </c>
      <c r="H3090" s="3" t="s">
        <v>713</v>
      </c>
      <c r="K3090" s="2">
        <v>10</v>
      </c>
      <c r="L3090" s="2">
        <v>3</v>
      </c>
      <c r="M3090" s="3" t="s">
        <v>78</v>
      </c>
      <c r="N3090" s="3" t="s">
        <v>13</v>
      </c>
      <c r="O3090" s="3" t="s">
        <v>14</v>
      </c>
      <c r="Q3090" s="30" t="str">
        <f t="shared" si="48"/>
        <v>MAX : 
TARGET : Yes(Pass)
MIN : No(Fail)</v>
      </c>
    </row>
    <row r="3091" spans="2:18" ht="41.4" x14ac:dyDescent="0.3">
      <c r="B3091">
        <v>1</v>
      </c>
      <c r="C3091" s="33">
        <v>8484</v>
      </c>
      <c r="D3091" s="2">
        <v>1235</v>
      </c>
      <c r="E3091" s="2" t="s">
        <v>10536</v>
      </c>
      <c r="F3091" s="3" t="s">
        <v>14206</v>
      </c>
      <c r="H3091" s="3" t="s">
        <v>3323</v>
      </c>
      <c r="K3091" s="2">
        <v>10</v>
      </c>
      <c r="L3091" s="2">
        <v>7</v>
      </c>
      <c r="M3091" s="3" t="s">
        <v>3333</v>
      </c>
      <c r="N3091" s="3" t="s">
        <v>24</v>
      </c>
      <c r="O3091" s="3" t="s">
        <v>25</v>
      </c>
      <c r="Q3091" s="30" t="str">
        <f t="shared" si="48"/>
        <v>MAX : 
TARGET : Yes (Pass)
MIN : No (Fail)</v>
      </c>
    </row>
    <row r="3092" spans="2:18" ht="41.4" x14ac:dyDescent="0.3">
      <c r="B3092">
        <v>1</v>
      </c>
      <c r="C3092" s="33">
        <v>8484</v>
      </c>
      <c r="D3092" s="2">
        <v>1235</v>
      </c>
      <c r="E3092" s="2" t="s">
        <v>10536</v>
      </c>
      <c r="F3092" s="3" t="s">
        <v>14206</v>
      </c>
      <c r="H3092" s="3" t="s">
        <v>3323</v>
      </c>
      <c r="K3092" s="2">
        <v>10</v>
      </c>
      <c r="L3092" s="2">
        <v>2</v>
      </c>
      <c r="M3092" s="3" t="s">
        <v>3325</v>
      </c>
      <c r="N3092" s="3" t="s">
        <v>24</v>
      </c>
      <c r="O3092" s="3" t="s">
        <v>25</v>
      </c>
      <c r="Q3092" s="30" t="str">
        <f t="shared" si="48"/>
        <v>MAX : 
TARGET : Yes (Pass)
MIN : No (Fail)</v>
      </c>
    </row>
    <row r="3093" spans="2:18" ht="41.4" x14ac:dyDescent="0.3">
      <c r="B3093">
        <v>0</v>
      </c>
      <c r="C3093" s="33">
        <v>8762</v>
      </c>
      <c r="D3093" s="2">
        <v>1283</v>
      </c>
      <c r="E3093" s="2" t="s">
        <v>11006</v>
      </c>
      <c r="F3093" s="3" t="s">
        <v>14207</v>
      </c>
      <c r="H3093" s="3" t="s">
        <v>504</v>
      </c>
      <c r="K3093" s="2">
        <v>20</v>
      </c>
      <c r="L3093" s="2">
        <v>3</v>
      </c>
      <c r="M3093" s="3" t="s">
        <v>3747</v>
      </c>
      <c r="N3093" s="3" t="s">
        <v>3748</v>
      </c>
      <c r="O3093" s="3" t="s">
        <v>3749</v>
      </c>
      <c r="P3093" s="3" t="s">
        <v>3750</v>
      </c>
      <c r="Q3093" s="30" t="str">
        <f t="shared" si="48"/>
        <v>MAX : 9.8
TARGET : 8.8
MIN : 7.8</v>
      </c>
      <c r="R3093" s="3" t="s">
        <v>1638</v>
      </c>
    </row>
    <row r="3094" spans="2:18" ht="41.4" x14ac:dyDescent="0.3">
      <c r="B3094">
        <v>0</v>
      </c>
      <c r="C3094" s="33">
        <v>8762</v>
      </c>
      <c r="D3094" s="2">
        <v>1283</v>
      </c>
      <c r="E3094" s="2" t="s">
        <v>11006</v>
      </c>
      <c r="F3094" s="3" t="s">
        <v>14207</v>
      </c>
      <c r="H3094" s="3" t="s">
        <v>504</v>
      </c>
      <c r="K3094" s="2">
        <v>20</v>
      </c>
      <c r="L3094" s="2">
        <v>4</v>
      </c>
      <c r="M3094" s="3" t="s">
        <v>3751</v>
      </c>
      <c r="N3094" s="3" t="s">
        <v>3752</v>
      </c>
      <c r="O3094" s="3" t="s">
        <v>3753</v>
      </c>
      <c r="P3094" s="3" t="s">
        <v>3754</v>
      </c>
      <c r="Q3094" s="30" t="str">
        <f t="shared" si="48"/>
        <v>MAX : 5.6
TARGET : 4.6
MIN : 3.6</v>
      </c>
      <c r="R3094" s="3" t="s">
        <v>1638</v>
      </c>
    </row>
    <row r="3095" spans="2:18" ht="41.4" x14ac:dyDescent="0.3">
      <c r="B3095">
        <v>0</v>
      </c>
      <c r="C3095" s="33">
        <v>8762</v>
      </c>
      <c r="D3095" s="2">
        <v>1283</v>
      </c>
      <c r="E3095" s="2" t="s">
        <v>11006</v>
      </c>
      <c r="F3095" s="3" t="s">
        <v>14207</v>
      </c>
      <c r="H3095" s="3" t="s">
        <v>504</v>
      </c>
      <c r="K3095" s="2">
        <v>20</v>
      </c>
      <c r="L3095" s="2">
        <v>5</v>
      </c>
      <c r="M3095" s="3" t="s">
        <v>821</v>
      </c>
      <c r="N3095" s="3" t="s">
        <v>3755</v>
      </c>
      <c r="O3095" s="3" t="s">
        <v>796</v>
      </c>
      <c r="P3095" s="3" t="s">
        <v>3756</v>
      </c>
      <c r="Q3095" s="30" t="str">
        <f t="shared" si="48"/>
        <v>MAX : 3.95
TARGET : 3.70
MIN : 3..45</v>
      </c>
      <c r="R3095" s="3" t="s">
        <v>1638</v>
      </c>
    </row>
    <row r="3096" spans="2:18" ht="41.4" x14ac:dyDescent="0.3">
      <c r="B3096">
        <v>0</v>
      </c>
      <c r="C3096" s="33">
        <v>8762</v>
      </c>
      <c r="D3096" s="2">
        <v>1283</v>
      </c>
      <c r="E3096" s="2" t="s">
        <v>11006</v>
      </c>
      <c r="F3096" s="3" t="s">
        <v>14207</v>
      </c>
      <c r="H3096" s="3" t="s">
        <v>504</v>
      </c>
      <c r="K3096" s="2">
        <v>20</v>
      </c>
      <c r="L3096" s="2">
        <v>6</v>
      </c>
      <c r="M3096" s="3" t="s">
        <v>3757</v>
      </c>
      <c r="N3096" s="3" t="s">
        <v>13</v>
      </c>
      <c r="O3096" s="3" t="s">
        <v>14</v>
      </c>
      <c r="Q3096" s="30" t="str">
        <f t="shared" si="48"/>
        <v>MAX : 
TARGET : Yes(Pass)
MIN : No(Fail)</v>
      </c>
      <c r="R3096" s="3" t="s">
        <v>1638</v>
      </c>
    </row>
    <row r="3097" spans="2:18" ht="41.4" x14ac:dyDescent="0.3">
      <c r="B3097">
        <v>0</v>
      </c>
      <c r="C3097" s="33">
        <v>8762</v>
      </c>
      <c r="D3097" s="2">
        <v>1283</v>
      </c>
      <c r="E3097" s="2" t="s">
        <v>11006</v>
      </c>
      <c r="F3097" s="3" t="s">
        <v>14207</v>
      </c>
      <c r="H3097" s="3" t="s">
        <v>504</v>
      </c>
      <c r="K3097" s="2">
        <v>20</v>
      </c>
      <c r="L3097" s="2">
        <v>7</v>
      </c>
      <c r="M3097" s="3" t="s">
        <v>78</v>
      </c>
      <c r="N3097" s="3" t="s">
        <v>13</v>
      </c>
      <c r="O3097" s="3" t="s">
        <v>14</v>
      </c>
      <c r="Q3097" s="30" t="str">
        <f t="shared" si="48"/>
        <v>MAX : 
TARGET : Yes(Pass)
MIN : No(Fail)</v>
      </c>
      <c r="R3097" s="3" t="s">
        <v>1638</v>
      </c>
    </row>
    <row r="3098" spans="2:18" ht="41.4" x14ac:dyDescent="0.3">
      <c r="B3098">
        <v>1</v>
      </c>
      <c r="C3098" s="33">
        <v>8485</v>
      </c>
      <c r="D3098" s="2">
        <v>1236</v>
      </c>
      <c r="E3098" s="2" t="s">
        <v>10541</v>
      </c>
      <c r="F3098" s="3" t="s">
        <v>14206</v>
      </c>
      <c r="H3098" s="3" t="s">
        <v>3323</v>
      </c>
      <c r="K3098" s="2">
        <v>10</v>
      </c>
      <c r="L3098" s="2">
        <v>3</v>
      </c>
      <c r="M3098" s="3" t="s">
        <v>3326</v>
      </c>
      <c r="N3098" s="3" t="s">
        <v>24</v>
      </c>
      <c r="O3098" s="3" t="s">
        <v>25</v>
      </c>
      <c r="Q3098" s="30" t="str">
        <f t="shared" si="48"/>
        <v>MAX : 
TARGET : Yes (Pass)
MIN : No (Fail)</v>
      </c>
    </row>
    <row r="3099" spans="2:18" ht="41.4" x14ac:dyDescent="0.3">
      <c r="B3099">
        <v>0</v>
      </c>
      <c r="C3099" s="33">
        <v>8445</v>
      </c>
      <c r="D3099" s="2">
        <v>1224</v>
      </c>
      <c r="E3099" s="2" t="s">
        <v>9893</v>
      </c>
      <c r="F3099" s="29" t="s">
        <v>14227</v>
      </c>
      <c r="G3099" s="3" t="s">
        <v>2843</v>
      </c>
      <c r="H3099" s="3" t="s">
        <v>2844</v>
      </c>
      <c r="K3099" s="2">
        <v>30</v>
      </c>
      <c r="L3099" s="2">
        <v>4</v>
      </c>
      <c r="M3099" s="3" t="s">
        <v>3304</v>
      </c>
      <c r="Q3099" s="30" t="str">
        <f t="shared" si="48"/>
        <v xml:space="preserve">MAX : 
TARGET : 
MIN : </v>
      </c>
    </row>
    <row r="3100" spans="2:18" ht="41.4" x14ac:dyDescent="0.3">
      <c r="B3100">
        <v>1</v>
      </c>
      <c r="C3100" s="33">
        <v>8485</v>
      </c>
      <c r="D3100" s="2">
        <v>1236</v>
      </c>
      <c r="E3100" s="2" t="s">
        <v>10541</v>
      </c>
      <c r="F3100" s="3" t="s">
        <v>14206</v>
      </c>
      <c r="H3100" s="3" t="s">
        <v>3323</v>
      </c>
      <c r="K3100" s="2">
        <v>10</v>
      </c>
      <c r="L3100" s="2">
        <v>4</v>
      </c>
      <c r="M3100" s="3" t="s">
        <v>3327</v>
      </c>
      <c r="N3100" s="3" t="s">
        <v>24</v>
      </c>
      <c r="O3100" s="3" t="s">
        <v>25</v>
      </c>
      <c r="Q3100" s="30" t="str">
        <f t="shared" si="48"/>
        <v>MAX : 
TARGET : Yes (Pass)
MIN : No (Fail)</v>
      </c>
    </row>
    <row r="3101" spans="2:18" ht="41.4" x14ac:dyDescent="0.3">
      <c r="B3101">
        <v>0</v>
      </c>
      <c r="C3101" s="33">
        <v>8757</v>
      </c>
      <c r="D3101" s="2">
        <v>1989</v>
      </c>
      <c r="E3101" s="2" t="s">
        <v>10996</v>
      </c>
      <c r="F3101" s="3" t="s">
        <v>14206</v>
      </c>
      <c r="H3101" s="3" t="s">
        <v>824</v>
      </c>
      <c r="K3101" s="2">
        <v>20</v>
      </c>
      <c r="L3101" s="2">
        <v>3</v>
      </c>
      <c r="M3101" s="3" t="s">
        <v>422</v>
      </c>
      <c r="N3101" s="3" t="s">
        <v>1022</v>
      </c>
      <c r="O3101" s="3" t="s">
        <v>379</v>
      </c>
      <c r="P3101" s="3" t="s">
        <v>694</v>
      </c>
      <c r="Q3101" s="30" t="str">
        <f t="shared" si="48"/>
        <v>MAX : 0.895
TARGET : 0.875
MIN : 0.855</v>
      </c>
    </row>
    <row r="3102" spans="2:18" ht="41.4" x14ac:dyDescent="0.3">
      <c r="B3102">
        <v>0</v>
      </c>
      <c r="C3102" s="33">
        <v>8757</v>
      </c>
      <c r="D3102" s="2">
        <v>1989</v>
      </c>
      <c r="E3102" s="2" t="s">
        <v>10996</v>
      </c>
      <c r="F3102" s="3" t="s">
        <v>14206</v>
      </c>
      <c r="H3102" s="3" t="s">
        <v>824</v>
      </c>
      <c r="K3102" s="2">
        <v>20</v>
      </c>
      <c r="L3102" s="2">
        <v>4</v>
      </c>
      <c r="M3102" s="3" t="s">
        <v>3762</v>
      </c>
      <c r="N3102" s="3" t="s">
        <v>3763</v>
      </c>
      <c r="O3102" s="3" t="s">
        <v>101</v>
      </c>
      <c r="P3102" s="3" t="s">
        <v>3764</v>
      </c>
      <c r="Q3102" s="30" t="str">
        <f t="shared" si="48"/>
        <v>MAX : 0.645
TARGET : 0.625
MIN : 0.605</v>
      </c>
    </row>
    <row r="3103" spans="2:18" ht="41.4" x14ac:dyDescent="0.3">
      <c r="B3103">
        <v>0</v>
      </c>
      <c r="C3103" s="33">
        <v>8757</v>
      </c>
      <c r="D3103" s="2">
        <v>1989</v>
      </c>
      <c r="E3103" s="2" t="s">
        <v>10996</v>
      </c>
      <c r="F3103" s="3" t="s">
        <v>14206</v>
      </c>
      <c r="H3103" s="3" t="s">
        <v>824</v>
      </c>
      <c r="K3103" s="2">
        <v>20</v>
      </c>
      <c r="L3103" s="2">
        <v>5</v>
      </c>
      <c r="M3103" s="3" t="s">
        <v>3765</v>
      </c>
      <c r="N3103" s="3" t="s">
        <v>13</v>
      </c>
      <c r="O3103" s="3" t="s">
        <v>14</v>
      </c>
      <c r="Q3103" s="30" t="str">
        <f t="shared" si="48"/>
        <v>MAX : 
TARGET : Yes(Pass)
MIN : No(Fail)</v>
      </c>
    </row>
    <row r="3104" spans="2:18" ht="41.4" x14ac:dyDescent="0.3">
      <c r="B3104">
        <v>0</v>
      </c>
      <c r="C3104" s="33">
        <v>8757</v>
      </c>
      <c r="D3104" s="2">
        <v>1989</v>
      </c>
      <c r="E3104" s="2" t="s">
        <v>10996</v>
      </c>
      <c r="F3104" s="3" t="s">
        <v>14206</v>
      </c>
      <c r="H3104" s="3" t="s">
        <v>824</v>
      </c>
      <c r="K3104" s="2">
        <v>10</v>
      </c>
      <c r="L3104" s="2">
        <v>1</v>
      </c>
      <c r="M3104" s="3" t="s">
        <v>3761</v>
      </c>
      <c r="N3104" s="3" t="s">
        <v>1685</v>
      </c>
      <c r="O3104" s="3" t="s">
        <v>96</v>
      </c>
      <c r="P3104" s="3" t="s">
        <v>1686</v>
      </c>
      <c r="Q3104" s="30" t="str">
        <f t="shared" si="48"/>
        <v>MAX : 1.645
TARGET : 1.625
MIN : 1.605</v>
      </c>
    </row>
    <row r="3105" spans="2:17" ht="41.4" x14ac:dyDescent="0.3">
      <c r="B3105">
        <v>0</v>
      </c>
      <c r="C3105" s="33">
        <v>8757</v>
      </c>
      <c r="D3105" s="2">
        <v>1989</v>
      </c>
      <c r="E3105" s="2" t="s">
        <v>10996</v>
      </c>
      <c r="F3105" s="3" t="s">
        <v>14206</v>
      </c>
      <c r="H3105" s="3" t="s">
        <v>824</v>
      </c>
      <c r="K3105" s="2">
        <v>10</v>
      </c>
      <c r="L3105" s="2">
        <v>2</v>
      </c>
      <c r="M3105" s="3" t="s">
        <v>3766</v>
      </c>
      <c r="N3105" s="3" t="s">
        <v>13</v>
      </c>
      <c r="O3105" s="3" t="s">
        <v>14</v>
      </c>
      <c r="Q3105" s="30" t="str">
        <f t="shared" si="48"/>
        <v>MAX : 
TARGET : Yes(Pass)
MIN : No(Fail)</v>
      </c>
    </row>
    <row r="3106" spans="2:17" ht="41.4" x14ac:dyDescent="0.3">
      <c r="B3106">
        <v>0</v>
      </c>
      <c r="C3106" s="33">
        <v>8757</v>
      </c>
      <c r="D3106" s="2">
        <v>1989</v>
      </c>
      <c r="E3106" s="2" t="s">
        <v>10996</v>
      </c>
      <c r="F3106" s="3" t="s">
        <v>14206</v>
      </c>
      <c r="H3106" s="3" t="s">
        <v>824</v>
      </c>
      <c r="K3106" s="2">
        <v>10</v>
      </c>
      <c r="L3106" s="2">
        <v>3</v>
      </c>
      <c r="M3106" s="3" t="s">
        <v>3767</v>
      </c>
      <c r="N3106" s="3" t="s">
        <v>13</v>
      </c>
      <c r="O3106" s="3" t="s">
        <v>14</v>
      </c>
      <c r="Q3106" s="30" t="str">
        <f t="shared" si="48"/>
        <v>MAX : 
TARGET : Yes(Pass)
MIN : No(Fail)</v>
      </c>
    </row>
    <row r="3107" spans="2:17" ht="41.4" x14ac:dyDescent="0.3">
      <c r="B3107">
        <v>1</v>
      </c>
      <c r="C3107" s="33">
        <v>8486</v>
      </c>
      <c r="D3107" s="2">
        <v>1237</v>
      </c>
      <c r="E3107" s="2" t="s">
        <v>10546</v>
      </c>
      <c r="F3107" s="3" t="s">
        <v>14206</v>
      </c>
      <c r="H3107" s="3" t="s">
        <v>3323</v>
      </c>
      <c r="K3107" s="2">
        <v>10</v>
      </c>
      <c r="L3107" s="2">
        <v>5</v>
      </c>
      <c r="M3107" s="3" t="s">
        <v>3326</v>
      </c>
      <c r="N3107" s="3" t="s">
        <v>24</v>
      </c>
      <c r="O3107" s="3" t="s">
        <v>25</v>
      </c>
      <c r="Q3107" s="30" t="str">
        <f t="shared" si="48"/>
        <v>MAX : 
TARGET : Yes (Pass)
MIN : No (Fail)</v>
      </c>
    </row>
    <row r="3108" spans="2:17" ht="41.4" x14ac:dyDescent="0.3">
      <c r="B3108">
        <v>0</v>
      </c>
      <c r="C3108" s="33">
        <v>8445</v>
      </c>
      <c r="D3108" s="2">
        <v>1224</v>
      </c>
      <c r="E3108" s="2" t="s">
        <v>9893</v>
      </c>
      <c r="F3108" s="29" t="s">
        <v>14227</v>
      </c>
      <c r="G3108" s="3" t="s">
        <v>2843</v>
      </c>
      <c r="H3108" s="3" t="s">
        <v>2844</v>
      </c>
      <c r="K3108" s="2">
        <v>20</v>
      </c>
      <c r="L3108" s="2">
        <v>0.5</v>
      </c>
      <c r="M3108" s="3" t="s">
        <v>3441</v>
      </c>
      <c r="Q3108" s="30" t="str">
        <f t="shared" si="48"/>
        <v xml:space="preserve">MAX : 
TARGET : 
MIN : </v>
      </c>
    </row>
    <row r="3109" spans="2:17" ht="41.4" x14ac:dyDescent="0.3">
      <c r="B3109">
        <v>1</v>
      </c>
      <c r="C3109" s="33">
        <v>8486</v>
      </c>
      <c r="D3109" s="2">
        <v>1237</v>
      </c>
      <c r="E3109" s="2" t="s">
        <v>10546</v>
      </c>
      <c r="F3109" s="3" t="s">
        <v>14206</v>
      </c>
      <c r="H3109" s="3" t="s">
        <v>3323</v>
      </c>
      <c r="K3109" s="2">
        <v>10</v>
      </c>
      <c r="L3109" s="2">
        <v>1</v>
      </c>
      <c r="M3109" s="3" t="s">
        <v>3324</v>
      </c>
      <c r="N3109" s="3" t="s">
        <v>24</v>
      </c>
      <c r="O3109" s="3" t="s">
        <v>25</v>
      </c>
      <c r="Q3109" s="30" t="str">
        <f t="shared" si="48"/>
        <v>MAX : 
TARGET : Yes (Pass)
MIN : No (Fail)</v>
      </c>
    </row>
    <row r="3110" spans="2:17" ht="41.4" x14ac:dyDescent="0.3">
      <c r="B3110">
        <v>0</v>
      </c>
      <c r="C3110" s="33">
        <v>4220</v>
      </c>
      <c r="D3110" s="2">
        <v>919</v>
      </c>
      <c r="E3110" s="2" t="s">
        <v>6910</v>
      </c>
      <c r="F3110" s="3" t="s">
        <v>14206</v>
      </c>
      <c r="H3110" s="3" t="s">
        <v>810</v>
      </c>
      <c r="K3110" s="2">
        <v>10</v>
      </c>
      <c r="L3110" s="2">
        <v>3</v>
      </c>
      <c r="M3110" s="3" t="s">
        <v>3769</v>
      </c>
      <c r="N3110" s="3" t="s">
        <v>13</v>
      </c>
      <c r="O3110" s="3" t="s">
        <v>14</v>
      </c>
      <c r="Q3110" s="30" t="str">
        <f t="shared" si="48"/>
        <v>MAX : 
TARGET : Yes(Pass)
MIN : No(Fail)</v>
      </c>
    </row>
    <row r="3111" spans="2:17" ht="41.4" x14ac:dyDescent="0.3">
      <c r="B3111">
        <v>1</v>
      </c>
      <c r="C3111" s="33">
        <v>8486</v>
      </c>
      <c r="D3111" s="2">
        <v>1237</v>
      </c>
      <c r="E3111" s="2" t="s">
        <v>10546</v>
      </c>
      <c r="F3111" s="3" t="s">
        <v>14206</v>
      </c>
      <c r="H3111" s="3" t="s">
        <v>3323</v>
      </c>
      <c r="K3111" s="2">
        <v>10</v>
      </c>
      <c r="L3111" s="2">
        <v>9</v>
      </c>
      <c r="M3111" s="3" t="s">
        <v>3333</v>
      </c>
      <c r="N3111" s="3" t="s">
        <v>24</v>
      </c>
      <c r="O3111" s="3" t="s">
        <v>25</v>
      </c>
      <c r="Q3111" s="30" t="str">
        <f t="shared" si="48"/>
        <v>MAX : 
TARGET : Yes (Pass)
MIN : No (Fail)</v>
      </c>
    </row>
    <row r="3112" spans="2:17" ht="41.4" x14ac:dyDescent="0.3">
      <c r="B3112">
        <v>1</v>
      </c>
      <c r="C3112" s="33">
        <v>8486</v>
      </c>
      <c r="D3112" s="2">
        <v>1237</v>
      </c>
      <c r="E3112" s="2" t="s">
        <v>10546</v>
      </c>
      <c r="F3112" s="3" t="s">
        <v>14206</v>
      </c>
      <c r="H3112" s="3" t="s">
        <v>3323</v>
      </c>
      <c r="K3112" s="2">
        <v>10</v>
      </c>
      <c r="L3112" s="2">
        <v>2</v>
      </c>
      <c r="M3112" s="3" t="s">
        <v>5721</v>
      </c>
      <c r="N3112" s="3" t="s">
        <v>24</v>
      </c>
      <c r="O3112" s="3" t="s">
        <v>25</v>
      </c>
      <c r="Q3112" s="30" t="str">
        <f t="shared" si="48"/>
        <v>MAX : 
TARGET : Yes (Pass)
MIN : No (Fail)</v>
      </c>
    </row>
    <row r="3113" spans="2:17" ht="41.4" x14ac:dyDescent="0.3">
      <c r="B3113">
        <v>0</v>
      </c>
      <c r="C3113" s="33">
        <v>8772</v>
      </c>
      <c r="D3113" s="2">
        <v>1990</v>
      </c>
      <c r="E3113" s="2" t="s">
        <v>11026</v>
      </c>
      <c r="F3113" s="3" t="s">
        <v>14206</v>
      </c>
      <c r="H3113" s="3" t="s">
        <v>1144</v>
      </c>
      <c r="K3113" s="2">
        <v>10</v>
      </c>
      <c r="L3113" s="2">
        <v>5</v>
      </c>
      <c r="M3113" s="3" t="s">
        <v>1136</v>
      </c>
      <c r="O3113" s="3" t="s">
        <v>123</v>
      </c>
      <c r="P3113" s="3" t="s">
        <v>124</v>
      </c>
      <c r="Q3113" s="30" t="str">
        <f t="shared" si="48"/>
        <v xml:space="preserve">MAX : Yes (Fail)
TARGET : No (Pass)
MIN : </v>
      </c>
    </row>
    <row r="3114" spans="2:17" ht="41.4" x14ac:dyDescent="0.3">
      <c r="B3114">
        <v>0</v>
      </c>
      <c r="C3114" s="33">
        <v>8772</v>
      </c>
      <c r="D3114" s="2">
        <v>1990</v>
      </c>
      <c r="E3114" s="2" t="s">
        <v>11026</v>
      </c>
      <c r="F3114" s="3" t="s">
        <v>14206</v>
      </c>
      <c r="H3114" s="3" t="s">
        <v>1144</v>
      </c>
      <c r="K3114" s="2">
        <v>10</v>
      </c>
      <c r="L3114" s="2">
        <v>4</v>
      </c>
      <c r="M3114" s="3" t="s">
        <v>1846</v>
      </c>
      <c r="O3114" s="3" t="s">
        <v>123</v>
      </c>
      <c r="P3114" s="3" t="s">
        <v>124</v>
      </c>
      <c r="Q3114" s="30" t="str">
        <f t="shared" si="48"/>
        <v xml:space="preserve">MAX : Yes (Fail)
TARGET : No (Pass)
MIN : </v>
      </c>
    </row>
    <row r="3115" spans="2:17" ht="41.4" x14ac:dyDescent="0.3">
      <c r="B3115">
        <v>0</v>
      </c>
      <c r="C3115" s="33">
        <v>8772</v>
      </c>
      <c r="D3115" s="2">
        <v>1990</v>
      </c>
      <c r="E3115" s="2" t="s">
        <v>11026</v>
      </c>
      <c r="F3115" s="3" t="s">
        <v>14206</v>
      </c>
      <c r="H3115" s="3" t="s">
        <v>1144</v>
      </c>
      <c r="K3115" s="2">
        <v>10</v>
      </c>
      <c r="L3115" s="2">
        <v>3</v>
      </c>
      <c r="M3115" s="3" t="s">
        <v>1847</v>
      </c>
      <c r="N3115" s="3" t="s">
        <v>24</v>
      </c>
      <c r="O3115" s="3" t="s">
        <v>25</v>
      </c>
      <c r="Q3115" s="30" t="str">
        <f t="shared" si="48"/>
        <v>MAX : 
TARGET : Yes (Pass)
MIN : No (Fail)</v>
      </c>
    </row>
    <row r="3116" spans="2:17" ht="41.4" x14ac:dyDescent="0.3">
      <c r="B3116">
        <v>0</v>
      </c>
      <c r="C3116" s="33">
        <v>8772</v>
      </c>
      <c r="D3116" s="2">
        <v>1990</v>
      </c>
      <c r="E3116" s="2" t="s">
        <v>11026</v>
      </c>
      <c r="F3116" s="3" t="s">
        <v>14206</v>
      </c>
      <c r="H3116" s="3" t="s">
        <v>1144</v>
      </c>
      <c r="K3116" s="2">
        <v>10</v>
      </c>
      <c r="L3116" s="2">
        <v>6</v>
      </c>
      <c r="M3116" s="3" t="s">
        <v>3770</v>
      </c>
      <c r="N3116" s="3" t="s">
        <v>3771</v>
      </c>
      <c r="Q3116" s="30" t="str">
        <f t="shared" si="48"/>
        <v>MAX : 
TARGET : 
MIN : 15.00 oz/in</v>
      </c>
    </row>
    <row r="3117" spans="2:17" ht="41.4" x14ac:dyDescent="0.3">
      <c r="B3117">
        <v>1</v>
      </c>
      <c r="C3117" s="33">
        <v>8498</v>
      </c>
      <c r="D3117" s="2">
        <v>1238</v>
      </c>
      <c r="E3117" s="2" t="s">
        <v>10551</v>
      </c>
      <c r="F3117" s="3" t="s">
        <v>14206</v>
      </c>
      <c r="H3117" s="3" t="s">
        <v>108</v>
      </c>
      <c r="K3117" s="2">
        <v>10</v>
      </c>
      <c r="L3117" s="2">
        <v>4</v>
      </c>
      <c r="M3117" s="3" t="s">
        <v>78</v>
      </c>
      <c r="N3117" s="3" t="s">
        <v>13</v>
      </c>
      <c r="O3117" s="3" t="s">
        <v>14</v>
      </c>
      <c r="Q3117" s="30" t="str">
        <f t="shared" si="48"/>
        <v>MAX : 
TARGET : Yes(Pass)
MIN : No(Fail)</v>
      </c>
    </row>
    <row r="3118" spans="2:17" ht="41.4" x14ac:dyDescent="0.3">
      <c r="B3118">
        <v>1</v>
      </c>
      <c r="C3118" s="33">
        <v>8498</v>
      </c>
      <c r="D3118" s="2">
        <v>1238</v>
      </c>
      <c r="E3118" s="2" t="s">
        <v>10551</v>
      </c>
      <c r="F3118" s="3" t="s">
        <v>14206</v>
      </c>
      <c r="H3118" s="3" t="s">
        <v>108</v>
      </c>
      <c r="K3118" s="2">
        <v>10</v>
      </c>
      <c r="L3118" s="2">
        <v>3</v>
      </c>
      <c r="M3118" s="3" t="s">
        <v>3390</v>
      </c>
      <c r="N3118" s="3" t="s">
        <v>626</v>
      </c>
      <c r="O3118" s="3" t="s">
        <v>406</v>
      </c>
      <c r="P3118" s="3" t="s">
        <v>2887</v>
      </c>
      <c r="Q3118" s="30" t="str">
        <f t="shared" si="48"/>
        <v>MAX : 2.13
TARGET : 2.00
MIN : 1.87</v>
      </c>
    </row>
    <row r="3119" spans="2:17" ht="41.4" x14ac:dyDescent="0.3">
      <c r="B3119">
        <v>0</v>
      </c>
      <c r="C3119" s="33">
        <v>8777</v>
      </c>
      <c r="D3119" s="2">
        <v>1991</v>
      </c>
      <c r="E3119" s="2" t="s">
        <v>11032</v>
      </c>
      <c r="F3119" s="3" t="s">
        <v>14206</v>
      </c>
      <c r="H3119" s="3" t="s">
        <v>269</v>
      </c>
      <c r="K3119" s="2">
        <v>10</v>
      </c>
      <c r="L3119" s="2">
        <v>3</v>
      </c>
      <c r="M3119" s="3" t="s">
        <v>3773</v>
      </c>
      <c r="N3119" s="3" t="s">
        <v>13</v>
      </c>
      <c r="O3119" s="3" t="s">
        <v>14</v>
      </c>
      <c r="Q3119" s="30" t="str">
        <f t="shared" si="48"/>
        <v>MAX : 
TARGET : Yes(Pass)
MIN : No(Fail)</v>
      </c>
    </row>
    <row r="3120" spans="2:17" ht="41.4" x14ac:dyDescent="0.3">
      <c r="B3120">
        <v>1</v>
      </c>
      <c r="C3120" s="33">
        <v>8498</v>
      </c>
      <c r="D3120" s="2">
        <v>1238</v>
      </c>
      <c r="E3120" s="2" t="s">
        <v>10551</v>
      </c>
      <c r="F3120" s="3" t="s">
        <v>14206</v>
      </c>
      <c r="H3120" s="3" t="s">
        <v>108</v>
      </c>
      <c r="K3120" s="2">
        <v>10</v>
      </c>
      <c r="L3120" s="2">
        <v>1</v>
      </c>
      <c r="M3120" s="3" t="s">
        <v>502</v>
      </c>
      <c r="N3120" s="3" t="s">
        <v>3336</v>
      </c>
      <c r="O3120" s="3" t="s">
        <v>3337</v>
      </c>
      <c r="P3120" s="3" t="s">
        <v>3338</v>
      </c>
      <c r="Q3120" s="30" t="str">
        <f t="shared" si="48"/>
        <v>MAX : 16.725
TARGET : 16.600
MIN : 16.475</v>
      </c>
    </row>
    <row r="3121" spans="2:18" ht="41.4" x14ac:dyDescent="0.3">
      <c r="B3121">
        <v>1</v>
      </c>
      <c r="C3121" s="33">
        <v>8498</v>
      </c>
      <c r="D3121" s="2">
        <v>1238</v>
      </c>
      <c r="E3121" s="2" t="s">
        <v>10551</v>
      </c>
      <c r="F3121" s="3" t="s">
        <v>14206</v>
      </c>
      <c r="H3121" s="3" t="s">
        <v>108</v>
      </c>
      <c r="K3121" s="2">
        <v>10</v>
      </c>
      <c r="L3121" s="2">
        <v>2</v>
      </c>
      <c r="M3121" s="3" t="s">
        <v>3389</v>
      </c>
      <c r="N3121" s="3" t="s">
        <v>1717</v>
      </c>
      <c r="O3121" s="3" t="s">
        <v>272</v>
      </c>
      <c r="P3121" s="3" t="s">
        <v>273</v>
      </c>
      <c r="Q3121" s="30" t="str">
        <f t="shared" si="48"/>
        <v>MAX : 1.13
TARGET : 1.00
MIN : 0.87</v>
      </c>
    </row>
    <row r="3122" spans="2:18" ht="41.4" x14ac:dyDescent="0.3">
      <c r="B3122">
        <v>1</v>
      </c>
      <c r="C3122" s="33">
        <v>8508</v>
      </c>
      <c r="D3122" s="2">
        <v>1968</v>
      </c>
      <c r="E3122" s="2" t="s">
        <v>10559</v>
      </c>
      <c r="F3122" s="3" t="s">
        <v>14206</v>
      </c>
      <c r="H3122" s="3" t="s">
        <v>491</v>
      </c>
      <c r="K3122" s="2">
        <v>10</v>
      </c>
      <c r="L3122" s="2">
        <v>2</v>
      </c>
      <c r="M3122" s="3" t="s">
        <v>3340</v>
      </c>
      <c r="N3122" s="3" t="s">
        <v>485</v>
      </c>
      <c r="O3122" s="3" t="s">
        <v>272</v>
      </c>
      <c r="P3122" s="3" t="s">
        <v>507</v>
      </c>
      <c r="Q3122" s="30" t="str">
        <f t="shared" si="48"/>
        <v>MAX : 1.06
TARGET : 1.00
MIN : 0.94</v>
      </c>
    </row>
    <row r="3123" spans="2:18" ht="41.4" x14ac:dyDescent="0.3">
      <c r="B3123">
        <v>0</v>
      </c>
      <c r="C3123" s="33">
        <v>8445</v>
      </c>
      <c r="D3123" s="2">
        <v>1224</v>
      </c>
      <c r="E3123" s="2" t="s">
        <v>9893</v>
      </c>
      <c r="F3123" s="29" t="s">
        <v>14227</v>
      </c>
      <c r="G3123" s="3" t="s">
        <v>2843</v>
      </c>
      <c r="H3123" s="3" t="s">
        <v>2844</v>
      </c>
      <c r="K3123" s="2">
        <v>20</v>
      </c>
      <c r="L3123" s="2">
        <v>0.1</v>
      </c>
      <c r="M3123" s="3" t="s">
        <v>6025</v>
      </c>
      <c r="N3123" s="3" t="s">
        <v>1619</v>
      </c>
      <c r="O3123" s="3" t="s">
        <v>1620</v>
      </c>
      <c r="Q3123" s="30" t="str">
        <f t="shared" si="48"/>
        <v>MAX : 
TARGET : Yes (pass)
MIN : No (fail)</v>
      </c>
    </row>
    <row r="3124" spans="2:18" ht="41.4" x14ac:dyDescent="0.3">
      <c r="B3124">
        <v>1</v>
      </c>
      <c r="C3124" s="33">
        <v>8508</v>
      </c>
      <c r="D3124" s="2">
        <v>1968</v>
      </c>
      <c r="E3124" s="2" t="s">
        <v>10559</v>
      </c>
      <c r="F3124" s="3" t="s">
        <v>14206</v>
      </c>
      <c r="H3124" s="3" t="s">
        <v>491</v>
      </c>
      <c r="K3124" s="2">
        <v>10</v>
      </c>
      <c r="L3124" s="2">
        <v>1</v>
      </c>
      <c r="M3124" s="3" t="s">
        <v>458</v>
      </c>
      <c r="N3124" s="3" t="s">
        <v>405</v>
      </c>
      <c r="O3124" s="3" t="s">
        <v>406</v>
      </c>
      <c r="P3124" s="3" t="s">
        <v>407</v>
      </c>
      <c r="Q3124" s="30" t="str">
        <f t="shared" si="48"/>
        <v>MAX : 2.06
TARGET : 2.00
MIN : 1.94</v>
      </c>
    </row>
    <row r="3125" spans="2:18" ht="41.4" x14ac:dyDescent="0.3">
      <c r="B3125">
        <v>0</v>
      </c>
      <c r="C3125" s="33">
        <v>8779</v>
      </c>
      <c r="D3125" s="2">
        <v>1992</v>
      </c>
      <c r="E3125" s="2" t="s">
        <v>11044</v>
      </c>
      <c r="F3125" s="3" t="s">
        <v>14206</v>
      </c>
      <c r="H3125" s="3" t="s">
        <v>168</v>
      </c>
      <c r="K3125" s="2">
        <v>10</v>
      </c>
      <c r="L3125" s="2">
        <v>3</v>
      </c>
      <c r="M3125" s="3" t="s">
        <v>611</v>
      </c>
      <c r="N3125" s="3" t="s">
        <v>13</v>
      </c>
      <c r="O3125" s="3" t="s">
        <v>14</v>
      </c>
      <c r="Q3125" s="30" t="str">
        <f t="shared" si="48"/>
        <v>MAX : 
TARGET : Yes(Pass)
MIN : No(Fail)</v>
      </c>
    </row>
    <row r="3126" spans="2:18" ht="41.4" x14ac:dyDescent="0.3">
      <c r="B3126">
        <v>1</v>
      </c>
      <c r="C3126" s="33">
        <v>8510</v>
      </c>
      <c r="D3126" s="2">
        <v>1239</v>
      </c>
      <c r="E3126" s="2" t="s">
        <v>10567</v>
      </c>
      <c r="F3126" s="3" t="s">
        <v>14207</v>
      </c>
      <c r="H3126" s="3" t="s">
        <v>3345</v>
      </c>
      <c r="K3126" s="2">
        <v>10</v>
      </c>
      <c r="L3126" s="2">
        <v>2</v>
      </c>
      <c r="M3126" s="3" t="s">
        <v>198</v>
      </c>
      <c r="N3126" s="3" t="s">
        <v>2476</v>
      </c>
      <c r="O3126" s="3" t="s">
        <v>1649</v>
      </c>
      <c r="P3126" s="3" t="s">
        <v>2477</v>
      </c>
      <c r="Q3126" s="30" t="str">
        <f t="shared" si="48"/>
        <v>MAX : 26.4
TARGET : 25.4
MIN : 24.4</v>
      </c>
    </row>
    <row r="3127" spans="2:18" ht="41.4" x14ac:dyDescent="0.3">
      <c r="B3127">
        <v>0</v>
      </c>
      <c r="C3127" s="33">
        <v>8446</v>
      </c>
      <c r="D3127" s="2">
        <v>1225</v>
      </c>
      <c r="E3127" s="2" t="s">
        <v>10057</v>
      </c>
      <c r="F3127" s="29" t="s">
        <v>14227</v>
      </c>
      <c r="G3127" s="3" t="s">
        <v>2843</v>
      </c>
      <c r="H3127" s="3" t="s">
        <v>2844</v>
      </c>
      <c r="K3127" s="2">
        <v>20</v>
      </c>
      <c r="L3127" s="2">
        <v>2</v>
      </c>
      <c r="M3127" s="3" t="s">
        <v>3357</v>
      </c>
      <c r="N3127" s="3" t="s">
        <v>1436</v>
      </c>
      <c r="O3127" s="3" t="s">
        <v>86</v>
      </c>
      <c r="P3127" s="3" t="s">
        <v>3358</v>
      </c>
      <c r="Q3127" s="30" t="str">
        <f t="shared" si="48"/>
        <v>MAX : 0.570
TARGET : 0.500
MIN : 0.430</v>
      </c>
    </row>
    <row r="3128" spans="2:18" ht="41.4" x14ac:dyDescent="0.3">
      <c r="B3128">
        <v>1</v>
      </c>
      <c r="C3128" s="33">
        <v>8510</v>
      </c>
      <c r="D3128" s="2">
        <v>1239</v>
      </c>
      <c r="E3128" s="2" t="s">
        <v>10567</v>
      </c>
      <c r="F3128" s="3" t="s">
        <v>14207</v>
      </c>
      <c r="H3128" s="3" t="s">
        <v>3345</v>
      </c>
      <c r="K3128" s="2">
        <v>10</v>
      </c>
      <c r="L3128" s="2">
        <v>1</v>
      </c>
      <c r="M3128" s="3" t="s">
        <v>194</v>
      </c>
      <c r="N3128" s="3" t="s">
        <v>1561</v>
      </c>
      <c r="O3128" s="3" t="s">
        <v>1562</v>
      </c>
      <c r="P3128" s="3" t="s">
        <v>1563</v>
      </c>
      <c r="Q3128" s="30" t="str">
        <f t="shared" si="48"/>
        <v>MAX : 16
TARGET : 15
MIN : 14</v>
      </c>
    </row>
    <row r="3129" spans="2:18" ht="41.4" x14ac:dyDescent="0.3">
      <c r="B3129">
        <v>0</v>
      </c>
      <c r="C3129" s="33">
        <v>8789</v>
      </c>
      <c r="D3129" s="2">
        <v>1287</v>
      </c>
      <c r="E3129" s="2" t="s">
        <v>11051</v>
      </c>
      <c r="F3129" s="3" t="s">
        <v>14206</v>
      </c>
      <c r="H3129" s="3" t="s">
        <v>3777</v>
      </c>
      <c r="K3129" s="2">
        <v>20</v>
      </c>
      <c r="L3129" s="2">
        <v>3</v>
      </c>
      <c r="M3129" s="3" t="s">
        <v>3778</v>
      </c>
      <c r="N3129" s="3" t="s">
        <v>13</v>
      </c>
      <c r="O3129" s="3" t="s">
        <v>14</v>
      </c>
      <c r="Q3129" s="30" t="str">
        <f t="shared" si="48"/>
        <v>MAX : 
TARGET : Yes(Pass)
MIN : No(Fail)</v>
      </c>
    </row>
    <row r="3130" spans="2:18" ht="41.4" x14ac:dyDescent="0.3">
      <c r="B3130">
        <v>0</v>
      </c>
      <c r="C3130" s="33">
        <v>8789</v>
      </c>
      <c r="D3130" s="2">
        <v>1287</v>
      </c>
      <c r="E3130" s="2" t="s">
        <v>11051</v>
      </c>
      <c r="F3130" s="3" t="s">
        <v>14206</v>
      </c>
      <c r="H3130" s="3" t="s">
        <v>3777</v>
      </c>
      <c r="K3130" s="2">
        <v>20</v>
      </c>
      <c r="L3130" s="2">
        <v>4</v>
      </c>
      <c r="M3130" s="3" t="s">
        <v>78</v>
      </c>
      <c r="N3130" s="3" t="s">
        <v>13</v>
      </c>
      <c r="O3130" s="3" t="s">
        <v>14</v>
      </c>
      <c r="Q3130" s="30" t="str">
        <f t="shared" si="48"/>
        <v>MAX : 
TARGET : Yes(Pass)
MIN : No(Fail)</v>
      </c>
    </row>
    <row r="3131" spans="2:18" ht="55.2" x14ac:dyDescent="0.3">
      <c r="B3131">
        <v>1</v>
      </c>
      <c r="C3131" s="33">
        <v>8514</v>
      </c>
      <c r="D3131" s="2">
        <v>1240</v>
      </c>
      <c r="E3131" s="2" t="s">
        <v>10574</v>
      </c>
      <c r="F3131" s="29" t="s">
        <v>14234</v>
      </c>
      <c r="H3131" s="3" t="s">
        <v>3378</v>
      </c>
      <c r="I3131" s="3" t="s">
        <v>575</v>
      </c>
      <c r="K3131" s="2">
        <v>20</v>
      </c>
      <c r="L3131" s="2">
        <v>2</v>
      </c>
      <c r="M3131" s="3" t="s">
        <v>3377</v>
      </c>
      <c r="N3131" s="3" t="s">
        <v>24</v>
      </c>
      <c r="O3131" s="3" t="s">
        <v>25</v>
      </c>
      <c r="Q3131" s="30" t="str">
        <f t="shared" si="48"/>
        <v>MAX : 
TARGET : Yes (Pass)
MIN : No (Fail)</v>
      </c>
    </row>
    <row r="3132" spans="2:18" ht="55.2" x14ac:dyDescent="0.3">
      <c r="B3132">
        <v>1</v>
      </c>
      <c r="C3132" s="33">
        <v>8514</v>
      </c>
      <c r="D3132" s="2">
        <v>1240</v>
      </c>
      <c r="E3132" s="2" t="s">
        <v>10574</v>
      </c>
      <c r="F3132" s="29" t="s">
        <v>14234</v>
      </c>
      <c r="H3132" s="3" t="s">
        <v>3378</v>
      </c>
      <c r="I3132" s="3" t="s">
        <v>575</v>
      </c>
      <c r="K3132" s="2">
        <v>20</v>
      </c>
      <c r="L3132" s="2">
        <v>3</v>
      </c>
      <c r="M3132" s="3" t="s">
        <v>4781</v>
      </c>
      <c r="N3132" s="3" t="s">
        <v>1619</v>
      </c>
      <c r="O3132" s="3" t="s">
        <v>1620</v>
      </c>
      <c r="Q3132" s="30" t="str">
        <f t="shared" si="48"/>
        <v>MAX : 
TARGET : Yes (pass)
MIN : No (fail)</v>
      </c>
    </row>
    <row r="3133" spans="2:18" ht="41.4" x14ac:dyDescent="0.3">
      <c r="B3133">
        <v>0</v>
      </c>
      <c r="C3133" s="33">
        <v>8791</v>
      </c>
      <c r="D3133" s="2">
        <v>1288</v>
      </c>
      <c r="E3133" s="2" t="s">
        <v>11059</v>
      </c>
      <c r="F3133" s="3" t="s">
        <v>14206</v>
      </c>
      <c r="H3133" s="3" t="s">
        <v>3779</v>
      </c>
      <c r="K3133" s="2">
        <v>10</v>
      </c>
      <c r="L3133" s="2">
        <v>3</v>
      </c>
      <c r="M3133" s="3" t="s">
        <v>3783</v>
      </c>
      <c r="N3133" s="3" t="s">
        <v>13</v>
      </c>
      <c r="O3133" s="3" t="s">
        <v>14</v>
      </c>
      <c r="Q3133" s="30" t="str">
        <f t="shared" si="48"/>
        <v>MAX : 
TARGET : Yes(Pass)
MIN : No(Fail)</v>
      </c>
    </row>
    <row r="3134" spans="2:18" ht="55.2" x14ac:dyDescent="0.3">
      <c r="B3134">
        <v>1</v>
      </c>
      <c r="C3134" s="33">
        <v>8514</v>
      </c>
      <c r="D3134" s="2">
        <v>1240</v>
      </c>
      <c r="E3134" s="2" t="s">
        <v>10574</v>
      </c>
      <c r="F3134" s="29" t="s">
        <v>14234</v>
      </c>
      <c r="H3134" s="3" t="s">
        <v>3378</v>
      </c>
      <c r="I3134" s="3" t="s">
        <v>575</v>
      </c>
      <c r="K3134" s="2">
        <v>20</v>
      </c>
      <c r="L3134" s="2">
        <v>1</v>
      </c>
      <c r="M3134" s="3" t="s">
        <v>811</v>
      </c>
      <c r="N3134" s="3" t="s">
        <v>24</v>
      </c>
      <c r="O3134" s="3" t="s">
        <v>25</v>
      </c>
      <c r="Q3134" s="30" t="str">
        <f t="shared" si="48"/>
        <v>MAX : 
TARGET : Yes (Pass)
MIN : No (Fail)</v>
      </c>
    </row>
    <row r="3135" spans="2:18" ht="55.2" x14ac:dyDescent="0.3">
      <c r="B3135">
        <v>1</v>
      </c>
      <c r="C3135" s="33">
        <v>8514</v>
      </c>
      <c r="D3135" s="2">
        <v>1240</v>
      </c>
      <c r="E3135" s="2" t="s">
        <v>10574</v>
      </c>
      <c r="F3135" s="29" t="s">
        <v>14234</v>
      </c>
      <c r="H3135" s="3" t="s">
        <v>3378</v>
      </c>
      <c r="I3135" s="3" t="s">
        <v>575</v>
      </c>
      <c r="K3135" s="2">
        <v>20</v>
      </c>
      <c r="L3135" s="2">
        <v>4</v>
      </c>
      <c r="M3135" s="3" t="s">
        <v>4782</v>
      </c>
      <c r="N3135" s="3" t="s">
        <v>1619</v>
      </c>
      <c r="O3135" s="3" t="s">
        <v>1620</v>
      </c>
      <c r="Q3135" s="30" t="str">
        <f t="shared" si="48"/>
        <v>MAX : 
TARGET : Yes (pass)
MIN : No (fail)</v>
      </c>
    </row>
    <row r="3136" spans="2:18" ht="41.4" x14ac:dyDescent="0.3">
      <c r="B3136">
        <v>1</v>
      </c>
      <c r="C3136" s="33">
        <v>8515</v>
      </c>
      <c r="D3136" s="2">
        <v>1241</v>
      </c>
      <c r="E3136" s="2" t="s">
        <v>10582</v>
      </c>
      <c r="F3136" s="3" t="s">
        <v>14207</v>
      </c>
      <c r="H3136" s="3" t="s">
        <v>2636</v>
      </c>
      <c r="K3136" s="2">
        <v>20</v>
      </c>
      <c r="L3136" s="2">
        <v>2</v>
      </c>
      <c r="M3136" s="3" t="s">
        <v>3373</v>
      </c>
      <c r="N3136" s="3" t="s">
        <v>3374</v>
      </c>
      <c r="O3136" s="3" t="s">
        <v>3375</v>
      </c>
      <c r="P3136" s="3" t="s">
        <v>3376</v>
      </c>
      <c r="Q3136" s="30" t="str">
        <f t="shared" si="48"/>
        <v>MAX : 53.39
TARGET : 52.39
MIN : 51.39</v>
      </c>
      <c r="R3136" s="3" t="s">
        <v>3372</v>
      </c>
    </row>
    <row r="3137" spans="2:18" ht="41.4" x14ac:dyDescent="0.3">
      <c r="B3137">
        <v>1</v>
      </c>
      <c r="C3137" s="33">
        <v>8515</v>
      </c>
      <c r="D3137" s="2">
        <v>1241</v>
      </c>
      <c r="E3137" s="2" t="s">
        <v>10582</v>
      </c>
      <c r="F3137" s="3" t="s">
        <v>14207</v>
      </c>
      <c r="H3137" s="3" t="s">
        <v>2636</v>
      </c>
      <c r="K3137" s="2">
        <v>20</v>
      </c>
      <c r="L3137" s="2">
        <v>1</v>
      </c>
      <c r="M3137" s="3" t="s">
        <v>194</v>
      </c>
      <c r="N3137" s="3" t="s">
        <v>3369</v>
      </c>
      <c r="O3137" s="3" t="s">
        <v>3370</v>
      </c>
      <c r="P3137" s="3" t="s">
        <v>3371</v>
      </c>
      <c r="Q3137" s="30" t="str">
        <f t="shared" si="48"/>
        <v>MAX : 43.86
TARGET : 42.86
MIN : 41.86</v>
      </c>
      <c r="R3137" s="3" t="s">
        <v>3372</v>
      </c>
    </row>
    <row r="3138" spans="2:18" ht="41.4" x14ac:dyDescent="0.3">
      <c r="B3138">
        <v>0</v>
      </c>
      <c r="C3138" s="33">
        <v>8801</v>
      </c>
      <c r="D3138" s="2">
        <v>1291</v>
      </c>
      <c r="E3138" s="2" t="s">
        <v>11080</v>
      </c>
      <c r="F3138" s="3" t="s">
        <v>14206</v>
      </c>
      <c r="H3138" s="3" t="s">
        <v>1915</v>
      </c>
      <c r="K3138" s="2">
        <v>10</v>
      </c>
      <c r="L3138" s="2">
        <v>3</v>
      </c>
      <c r="M3138" s="3" t="s">
        <v>3787</v>
      </c>
      <c r="N3138" s="3" t="s">
        <v>13</v>
      </c>
      <c r="O3138" s="3" t="s">
        <v>14</v>
      </c>
      <c r="Q3138" s="30" t="str">
        <f t="shared" ref="Q3138:Q3201" si="49">"MAX : " &amp; P3138 &amp; CHAR(10) &amp; "TARGET : " &amp; O3138 &amp; CHAR(10) &amp; "MIN : " &amp; N3138</f>
        <v>MAX : 
TARGET : Yes(Pass)
MIN : No(Fail)</v>
      </c>
    </row>
    <row r="3139" spans="2:18" ht="41.4" x14ac:dyDescent="0.3">
      <c r="B3139">
        <v>1</v>
      </c>
      <c r="C3139" s="33">
        <v>8523</v>
      </c>
      <c r="D3139" s="2">
        <v>1969</v>
      </c>
      <c r="E3139" s="2" t="s">
        <v>10589</v>
      </c>
      <c r="F3139" s="3" t="s">
        <v>14206</v>
      </c>
      <c r="H3139" s="3" t="s">
        <v>98</v>
      </c>
      <c r="K3139" s="2">
        <v>10</v>
      </c>
      <c r="L3139" s="2">
        <v>2</v>
      </c>
      <c r="M3139" s="3" t="s">
        <v>325</v>
      </c>
      <c r="N3139" s="3" t="s">
        <v>13</v>
      </c>
      <c r="O3139" s="3" t="s">
        <v>14</v>
      </c>
      <c r="Q3139" s="30" t="str">
        <f t="shared" si="49"/>
        <v>MAX : 
TARGET : Yes(Pass)
MIN : No(Fail)</v>
      </c>
    </row>
    <row r="3140" spans="2:18" ht="41.4" x14ac:dyDescent="0.3">
      <c r="B3140">
        <v>1</v>
      </c>
      <c r="C3140" s="33">
        <v>8523</v>
      </c>
      <c r="D3140" s="2">
        <v>1969</v>
      </c>
      <c r="E3140" s="2" t="s">
        <v>10589</v>
      </c>
      <c r="F3140" s="3" t="s">
        <v>14206</v>
      </c>
      <c r="H3140" s="3" t="s">
        <v>98</v>
      </c>
      <c r="K3140" s="2">
        <v>10</v>
      </c>
      <c r="L3140" s="2">
        <v>1</v>
      </c>
      <c r="M3140" s="3" t="s">
        <v>99</v>
      </c>
      <c r="N3140" s="3" t="s">
        <v>2131</v>
      </c>
      <c r="O3140" s="3" t="s">
        <v>284</v>
      </c>
      <c r="P3140" s="3" t="s">
        <v>644</v>
      </c>
      <c r="Q3140" s="30" t="str">
        <f t="shared" si="49"/>
        <v>MAX : 0.218
TARGET : 0.188
MIN : 0.158</v>
      </c>
    </row>
    <row r="3141" spans="2:18" ht="41.4" x14ac:dyDescent="0.3">
      <c r="B3141">
        <v>0</v>
      </c>
      <c r="C3141" s="33">
        <v>8804</v>
      </c>
      <c r="D3141" s="2">
        <v>1292</v>
      </c>
      <c r="E3141" s="2" t="s">
        <v>11093</v>
      </c>
      <c r="F3141" s="3" t="s">
        <v>14206</v>
      </c>
      <c r="H3141" s="3" t="s">
        <v>3788</v>
      </c>
      <c r="K3141" s="2">
        <v>10</v>
      </c>
      <c r="L3141" s="2">
        <v>3</v>
      </c>
      <c r="M3141" s="3" t="s">
        <v>3789</v>
      </c>
      <c r="N3141" s="3" t="s">
        <v>13</v>
      </c>
      <c r="O3141" s="3" t="s">
        <v>14</v>
      </c>
      <c r="Q3141" s="30" t="str">
        <f t="shared" si="49"/>
        <v>MAX : 
TARGET : Yes(Pass)
MIN : No(Fail)</v>
      </c>
    </row>
    <row r="3142" spans="2:18" ht="41.4" x14ac:dyDescent="0.3">
      <c r="B3142">
        <v>0</v>
      </c>
      <c r="C3142" s="33">
        <v>8804</v>
      </c>
      <c r="D3142" s="2">
        <v>1292</v>
      </c>
      <c r="E3142" s="2" t="s">
        <v>11093</v>
      </c>
      <c r="F3142" s="3" t="s">
        <v>14206</v>
      </c>
      <c r="H3142" s="3" t="s">
        <v>3788</v>
      </c>
      <c r="K3142" s="2">
        <v>10</v>
      </c>
      <c r="L3142" s="2">
        <v>4</v>
      </c>
      <c r="M3142" s="3" t="s">
        <v>3790</v>
      </c>
      <c r="N3142" s="3" t="s">
        <v>13</v>
      </c>
      <c r="O3142" s="3" t="s">
        <v>14</v>
      </c>
      <c r="Q3142" s="30" t="str">
        <f t="shared" si="49"/>
        <v>MAX : 
TARGET : Yes(Pass)
MIN : No(Fail)</v>
      </c>
    </row>
    <row r="3143" spans="2:18" ht="41.4" x14ac:dyDescent="0.3">
      <c r="B3143">
        <v>1</v>
      </c>
      <c r="C3143" s="33">
        <v>8529</v>
      </c>
      <c r="D3143" s="2">
        <v>1242</v>
      </c>
      <c r="E3143" s="2" t="s">
        <v>10595</v>
      </c>
      <c r="F3143" s="3" t="s">
        <v>14207</v>
      </c>
      <c r="H3143" s="3" t="s">
        <v>108</v>
      </c>
      <c r="K3143" s="2">
        <v>20</v>
      </c>
      <c r="L3143" s="2">
        <v>1</v>
      </c>
      <c r="M3143" s="3" t="s">
        <v>198</v>
      </c>
      <c r="N3143" s="3" t="s">
        <v>3364</v>
      </c>
      <c r="O3143" s="3" t="s">
        <v>2262</v>
      </c>
      <c r="P3143" s="3" t="s">
        <v>3365</v>
      </c>
      <c r="Q3143" s="30" t="str">
        <f t="shared" si="49"/>
        <v>MAX : 49
TARGET : 48
MIN : 47</v>
      </c>
    </row>
    <row r="3144" spans="2:18" ht="41.4" x14ac:dyDescent="0.3">
      <c r="B3144">
        <v>0</v>
      </c>
      <c r="C3144" s="33">
        <v>8446</v>
      </c>
      <c r="D3144" s="2">
        <v>1225</v>
      </c>
      <c r="E3144" s="2" t="s">
        <v>10057</v>
      </c>
      <c r="F3144" s="29" t="s">
        <v>14227</v>
      </c>
      <c r="G3144" s="3" t="s">
        <v>2843</v>
      </c>
      <c r="H3144" s="3" t="s">
        <v>2844</v>
      </c>
      <c r="K3144" s="2">
        <v>20</v>
      </c>
      <c r="L3144" s="2">
        <v>1</v>
      </c>
      <c r="M3144" s="3" t="s">
        <v>3451</v>
      </c>
      <c r="N3144" s="3" t="s">
        <v>1619</v>
      </c>
      <c r="O3144" s="3" t="s">
        <v>1620</v>
      </c>
      <c r="Q3144" s="30" t="str">
        <f t="shared" si="49"/>
        <v>MAX : 
TARGET : Yes (pass)
MIN : No (fail)</v>
      </c>
    </row>
    <row r="3145" spans="2:18" ht="41.4" x14ac:dyDescent="0.3">
      <c r="B3145">
        <v>1</v>
      </c>
      <c r="C3145" s="33">
        <v>8529</v>
      </c>
      <c r="D3145" s="2">
        <v>1242</v>
      </c>
      <c r="E3145" s="2" t="s">
        <v>10595</v>
      </c>
      <c r="F3145" s="3" t="s">
        <v>14207</v>
      </c>
      <c r="H3145" s="3" t="s">
        <v>108</v>
      </c>
      <c r="K3145" s="2">
        <v>10</v>
      </c>
      <c r="L3145" s="2">
        <v>1</v>
      </c>
      <c r="M3145" s="3" t="s">
        <v>456</v>
      </c>
      <c r="N3145" s="3" t="s">
        <v>3361</v>
      </c>
      <c r="O3145" s="3" t="s">
        <v>3362</v>
      </c>
      <c r="P3145" s="3" t="s">
        <v>3363</v>
      </c>
      <c r="Q3145" s="30" t="str">
        <f t="shared" si="49"/>
        <v>MAX : 335
TARGET : 332
MIN : 329</v>
      </c>
    </row>
    <row r="3146" spans="2:18" ht="41.4" x14ac:dyDescent="0.3">
      <c r="B3146">
        <v>1</v>
      </c>
      <c r="C3146" s="33">
        <v>8529</v>
      </c>
      <c r="D3146" s="2">
        <v>1242</v>
      </c>
      <c r="E3146" s="2" t="s">
        <v>10595</v>
      </c>
      <c r="F3146" s="3" t="s">
        <v>14207</v>
      </c>
      <c r="H3146" s="3" t="s">
        <v>108</v>
      </c>
      <c r="K3146" s="2">
        <v>20</v>
      </c>
      <c r="L3146" s="2">
        <v>2</v>
      </c>
      <c r="M3146" s="3" t="s">
        <v>325</v>
      </c>
      <c r="N3146" s="3" t="s">
        <v>13</v>
      </c>
      <c r="O3146" s="3" t="s">
        <v>14</v>
      </c>
      <c r="Q3146" s="30" t="str">
        <f t="shared" si="49"/>
        <v>MAX : 
TARGET : Yes(Pass)
MIN : No(Fail)</v>
      </c>
    </row>
    <row r="3147" spans="2:18" ht="41.4" x14ac:dyDescent="0.3">
      <c r="B3147">
        <v>1</v>
      </c>
      <c r="C3147" s="33">
        <v>8531</v>
      </c>
      <c r="D3147" s="2">
        <v>1970</v>
      </c>
      <c r="E3147" s="2" t="s">
        <v>10601</v>
      </c>
      <c r="F3147" s="3" t="s">
        <v>14206</v>
      </c>
      <c r="H3147" s="3" t="s">
        <v>1677</v>
      </c>
      <c r="K3147" s="2">
        <v>10</v>
      </c>
      <c r="L3147" s="2">
        <v>2</v>
      </c>
      <c r="M3147" s="3" t="s">
        <v>3114</v>
      </c>
      <c r="N3147" s="3" t="s">
        <v>13</v>
      </c>
      <c r="O3147" s="3" t="s">
        <v>14</v>
      </c>
      <c r="Q3147" s="30" t="str">
        <f t="shared" si="49"/>
        <v>MAX : 
TARGET : Yes(Pass)
MIN : No(Fail)</v>
      </c>
      <c r="R3147" s="3" t="s">
        <v>762</v>
      </c>
    </row>
    <row r="3148" spans="2:18" ht="41.4" x14ac:dyDescent="0.3">
      <c r="B3148">
        <v>0</v>
      </c>
      <c r="C3148" s="33">
        <v>8796</v>
      </c>
      <c r="D3148" s="2">
        <v>1289</v>
      </c>
      <c r="E3148" s="2" t="s">
        <v>11065</v>
      </c>
      <c r="F3148" s="3" t="s">
        <v>14238</v>
      </c>
      <c r="H3148" s="3" t="s">
        <v>648</v>
      </c>
      <c r="K3148" s="2">
        <v>20</v>
      </c>
      <c r="L3148" s="2">
        <v>4</v>
      </c>
      <c r="M3148" s="3" t="s">
        <v>3802</v>
      </c>
      <c r="N3148" s="3" t="s">
        <v>3803</v>
      </c>
      <c r="O3148" s="3" t="s">
        <v>3804</v>
      </c>
      <c r="P3148" s="3" t="s">
        <v>3805</v>
      </c>
      <c r="Q3148" s="30" t="str">
        <f t="shared" si="49"/>
        <v>MAX : 17.7
TARGET : 17.5
MIN : 17.3</v>
      </c>
      <c r="R3148" s="3" t="s">
        <v>443</v>
      </c>
    </row>
    <row r="3149" spans="2:18" ht="41.4" x14ac:dyDescent="0.3">
      <c r="B3149">
        <v>0</v>
      </c>
      <c r="C3149" s="33">
        <v>8796</v>
      </c>
      <c r="D3149" s="2">
        <v>1289</v>
      </c>
      <c r="E3149" s="2" t="s">
        <v>11065</v>
      </c>
      <c r="F3149" s="3" t="s">
        <v>14238</v>
      </c>
      <c r="H3149" s="3" t="s">
        <v>648</v>
      </c>
      <c r="K3149" s="2">
        <v>20</v>
      </c>
      <c r="L3149" s="2">
        <v>5</v>
      </c>
      <c r="M3149" s="3" t="s">
        <v>3806</v>
      </c>
      <c r="N3149" s="3" t="s">
        <v>3807</v>
      </c>
      <c r="O3149" s="3" t="s">
        <v>35</v>
      </c>
      <c r="P3149" s="3" t="s">
        <v>3808</v>
      </c>
      <c r="Q3149" s="30" t="str">
        <f t="shared" si="49"/>
        <v>MAX : 19.3
TARGET : 19.0
MIN : 18.7</v>
      </c>
      <c r="R3149" s="3" t="s">
        <v>443</v>
      </c>
    </row>
    <row r="3150" spans="2:18" ht="41.4" x14ac:dyDescent="0.3">
      <c r="B3150">
        <v>0</v>
      </c>
      <c r="C3150" s="33">
        <v>8796</v>
      </c>
      <c r="D3150" s="2">
        <v>1289</v>
      </c>
      <c r="E3150" s="2" t="s">
        <v>11065</v>
      </c>
      <c r="F3150" s="3" t="s">
        <v>14238</v>
      </c>
      <c r="H3150" s="3" t="s">
        <v>648</v>
      </c>
      <c r="K3150" s="2">
        <v>20</v>
      </c>
      <c r="L3150" s="2">
        <v>6</v>
      </c>
      <c r="M3150" s="3" t="s">
        <v>3809</v>
      </c>
      <c r="N3150" s="3" t="s">
        <v>3810</v>
      </c>
      <c r="O3150" s="3" t="s">
        <v>3811</v>
      </c>
      <c r="P3150" s="3" t="s">
        <v>3812</v>
      </c>
      <c r="Q3150" s="30" t="str">
        <f t="shared" si="49"/>
        <v>MAX : 35.90
TARGET : 35.50
MIN : 35.10</v>
      </c>
      <c r="R3150" s="3" t="s">
        <v>443</v>
      </c>
    </row>
    <row r="3151" spans="2:18" ht="41.4" x14ac:dyDescent="0.3">
      <c r="B3151">
        <v>0</v>
      </c>
      <c r="C3151" s="33">
        <v>8796</v>
      </c>
      <c r="D3151" s="2">
        <v>1289</v>
      </c>
      <c r="E3151" s="2" t="s">
        <v>11065</v>
      </c>
      <c r="F3151" s="3" t="s">
        <v>14238</v>
      </c>
      <c r="H3151" s="3" t="s">
        <v>648</v>
      </c>
      <c r="K3151" s="2">
        <v>20</v>
      </c>
      <c r="L3151" s="2">
        <v>7</v>
      </c>
      <c r="M3151" s="3" t="s">
        <v>3813</v>
      </c>
      <c r="N3151" s="3" t="s">
        <v>2407</v>
      </c>
      <c r="O3151" s="3" t="s">
        <v>3814</v>
      </c>
      <c r="P3151" s="3" t="s">
        <v>3799</v>
      </c>
      <c r="Q3151" s="30" t="str">
        <f t="shared" si="49"/>
        <v>MAX : 2.1
TARGET : 1.8
MIN : 1.5</v>
      </c>
      <c r="R3151" s="3" t="s">
        <v>443</v>
      </c>
    </row>
    <row r="3152" spans="2:18" ht="41.4" x14ac:dyDescent="0.3">
      <c r="B3152">
        <v>0</v>
      </c>
      <c r="C3152" s="33">
        <v>8796</v>
      </c>
      <c r="D3152" s="2">
        <v>1289</v>
      </c>
      <c r="E3152" s="2" t="s">
        <v>11065</v>
      </c>
      <c r="F3152" s="3" t="s">
        <v>14238</v>
      </c>
      <c r="H3152" s="3" t="s">
        <v>648</v>
      </c>
      <c r="K3152" s="2">
        <v>20</v>
      </c>
      <c r="L3152" s="2">
        <v>8</v>
      </c>
      <c r="M3152" s="3" t="s">
        <v>3815</v>
      </c>
      <c r="N3152" s="3" t="s">
        <v>3816</v>
      </c>
      <c r="O3152" s="3" t="s">
        <v>3800</v>
      </c>
      <c r="P3152" s="3" t="s">
        <v>3817</v>
      </c>
      <c r="Q3152" s="30" t="str">
        <f t="shared" si="49"/>
        <v>MAX : 2.8
TARGET : 2.6
MIN : 2.4</v>
      </c>
      <c r="R3152" s="3" t="s">
        <v>443</v>
      </c>
    </row>
    <row r="3153" spans="2:18" ht="41.4" x14ac:dyDescent="0.3">
      <c r="B3153">
        <v>0</v>
      </c>
      <c r="C3153" s="33">
        <v>8796</v>
      </c>
      <c r="D3153" s="2">
        <v>1289</v>
      </c>
      <c r="E3153" s="2" t="s">
        <v>11065</v>
      </c>
      <c r="F3153" s="3" t="s">
        <v>14238</v>
      </c>
      <c r="H3153" s="3" t="s">
        <v>648</v>
      </c>
      <c r="K3153" s="2">
        <v>20</v>
      </c>
      <c r="L3153" s="2">
        <v>9</v>
      </c>
      <c r="M3153" s="3" t="s">
        <v>3818</v>
      </c>
      <c r="N3153" s="3" t="s">
        <v>3819</v>
      </c>
      <c r="O3153" s="3" t="s">
        <v>254</v>
      </c>
      <c r="P3153" s="3" t="s">
        <v>1679</v>
      </c>
      <c r="Q3153" s="30" t="str">
        <f t="shared" si="49"/>
        <v>MAX : 18.8
TARGET : 18.6
MIN : 18.4</v>
      </c>
      <c r="R3153" s="3" t="s">
        <v>443</v>
      </c>
    </row>
    <row r="3154" spans="2:18" ht="41.4" x14ac:dyDescent="0.3">
      <c r="B3154">
        <v>0</v>
      </c>
      <c r="C3154" s="33">
        <v>8796</v>
      </c>
      <c r="D3154" s="2">
        <v>1289</v>
      </c>
      <c r="E3154" s="2" t="s">
        <v>11065</v>
      </c>
      <c r="F3154" s="3" t="s">
        <v>14238</v>
      </c>
      <c r="H3154" s="3" t="s">
        <v>648</v>
      </c>
      <c r="K3154" s="2">
        <v>20</v>
      </c>
      <c r="L3154" s="2">
        <v>10</v>
      </c>
      <c r="M3154" s="3" t="s">
        <v>3820</v>
      </c>
      <c r="N3154" s="3" t="s">
        <v>3821</v>
      </c>
      <c r="O3154" s="3" t="s">
        <v>1146</v>
      </c>
      <c r="P3154" s="3" t="s">
        <v>3822</v>
      </c>
      <c r="Q3154" s="30" t="str">
        <f t="shared" si="49"/>
        <v>MAX : 20.3
TARGET : 20.0
MIN : 19.7</v>
      </c>
      <c r="R3154" s="3" t="s">
        <v>443</v>
      </c>
    </row>
    <row r="3155" spans="2:18" ht="41.4" x14ac:dyDescent="0.3">
      <c r="B3155">
        <v>0</v>
      </c>
      <c r="C3155" s="33">
        <v>8796</v>
      </c>
      <c r="D3155" s="2">
        <v>1289</v>
      </c>
      <c r="E3155" s="2" t="s">
        <v>11065</v>
      </c>
      <c r="F3155" s="3" t="s">
        <v>14238</v>
      </c>
      <c r="H3155" s="3" t="s">
        <v>648</v>
      </c>
      <c r="K3155" s="2">
        <v>20</v>
      </c>
      <c r="L3155" s="2">
        <v>11</v>
      </c>
      <c r="M3155" s="3" t="s">
        <v>3823</v>
      </c>
      <c r="N3155" s="3" t="s">
        <v>3824</v>
      </c>
      <c r="O3155" s="3" t="s">
        <v>3775</v>
      </c>
      <c r="P3155" s="3" t="s">
        <v>3825</v>
      </c>
      <c r="Q3155" s="30" t="str">
        <f t="shared" si="49"/>
        <v>MAX : 22.40
TARGET : 22.00
MIN : 21.60</v>
      </c>
      <c r="R3155" s="3" t="s">
        <v>443</v>
      </c>
    </row>
    <row r="3156" spans="2:18" ht="41.4" x14ac:dyDescent="0.3">
      <c r="B3156">
        <v>0</v>
      </c>
      <c r="C3156" s="33">
        <v>8796</v>
      </c>
      <c r="D3156" s="2">
        <v>1289</v>
      </c>
      <c r="E3156" s="2" t="s">
        <v>11065</v>
      </c>
      <c r="F3156" s="3" t="s">
        <v>14238</v>
      </c>
      <c r="H3156" s="3" t="s">
        <v>648</v>
      </c>
      <c r="K3156" s="2">
        <v>20</v>
      </c>
      <c r="L3156" s="2">
        <v>12</v>
      </c>
      <c r="M3156" s="3" t="s">
        <v>2615</v>
      </c>
      <c r="N3156" s="3" t="s">
        <v>1065</v>
      </c>
      <c r="O3156" s="3" t="s">
        <v>3049</v>
      </c>
      <c r="P3156" s="3" t="s">
        <v>388</v>
      </c>
      <c r="Q3156" s="30" t="str">
        <f t="shared" si="49"/>
        <v>MAX : 6.0
TARGET : 5.5
MIN : 5.0</v>
      </c>
      <c r="R3156" s="3" t="s">
        <v>443</v>
      </c>
    </row>
    <row r="3157" spans="2:18" ht="41.4" x14ac:dyDescent="0.3">
      <c r="B3157">
        <v>0</v>
      </c>
      <c r="C3157" s="33">
        <v>8796</v>
      </c>
      <c r="D3157" s="2">
        <v>1289</v>
      </c>
      <c r="E3157" s="2" t="s">
        <v>11065</v>
      </c>
      <c r="F3157" s="3" t="s">
        <v>14238</v>
      </c>
      <c r="H3157" s="3" t="s">
        <v>648</v>
      </c>
      <c r="K3157" s="2">
        <v>20</v>
      </c>
      <c r="L3157" s="2">
        <v>13</v>
      </c>
      <c r="M3157" s="3" t="s">
        <v>3826</v>
      </c>
      <c r="N3157" s="3" t="s">
        <v>1065</v>
      </c>
      <c r="O3157" s="3" t="s">
        <v>3049</v>
      </c>
      <c r="P3157" s="3" t="s">
        <v>388</v>
      </c>
      <c r="Q3157" s="30" t="str">
        <f t="shared" si="49"/>
        <v>MAX : 6.0
TARGET : 5.5
MIN : 5.0</v>
      </c>
      <c r="R3157" s="3" t="s">
        <v>443</v>
      </c>
    </row>
    <row r="3158" spans="2:18" ht="41.4" x14ac:dyDescent="0.3">
      <c r="B3158">
        <v>0</v>
      </c>
      <c r="C3158" s="33">
        <v>8796</v>
      </c>
      <c r="D3158" s="2">
        <v>1289</v>
      </c>
      <c r="E3158" s="2" t="s">
        <v>11065</v>
      </c>
      <c r="F3158" s="3" t="s">
        <v>14238</v>
      </c>
      <c r="H3158" s="3" t="s">
        <v>648</v>
      </c>
      <c r="K3158" s="2">
        <v>20</v>
      </c>
      <c r="L3158" s="2">
        <v>14</v>
      </c>
      <c r="M3158" s="3" t="s">
        <v>3827</v>
      </c>
      <c r="N3158" s="3" t="s">
        <v>3828</v>
      </c>
      <c r="O3158" s="3" t="s">
        <v>3829</v>
      </c>
      <c r="P3158" s="3" t="s">
        <v>3830</v>
      </c>
      <c r="Q3158" s="30" t="str">
        <f t="shared" si="49"/>
        <v>MAX : 38.6
TARGET : 38.1
MIN : 37.6</v>
      </c>
      <c r="R3158" s="3" t="s">
        <v>443</v>
      </c>
    </row>
    <row r="3159" spans="2:18" ht="41.4" x14ac:dyDescent="0.3">
      <c r="B3159">
        <v>0</v>
      </c>
      <c r="C3159" s="33">
        <v>8796</v>
      </c>
      <c r="D3159" s="2">
        <v>1289</v>
      </c>
      <c r="E3159" s="2" t="s">
        <v>11065</v>
      </c>
      <c r="F3159" s="3" t="s">
        <v>14238</v>
      </c>
      <c r="H3159" s="3" t="s">
        <v>648</v>
      </c>
      <c r="K3159" s="2">
        <v>20</v>
      </c>
      <c r="L3159" s="2">
        <v>17</v>
      </c>
      <c r="M3159" s="3" t="s">
        <v>78</v>
      </c>
      <c r="N3159" s="3" t="s">
        <v>13</v>
      </c>
      <c r="O3159" s="3" t="s">
        <v>14</v>
      </c>
      <c r="Q3159" s="30" t="str">
        <f t="shared" si="49"/>
        <v>MAX : 
TARGET : Yes(Pass)
MIN : No(Fail)</v>
      </c>
      <c r="R3159" s="3" t="s">
        <v>443</v>
      </c>
    </row>
    <row r="3160" spans="2:18" ht="41.4" x14ac:dyDescent="0.3">
      <c r="B3160">
        <v>0</v>
      </c>
      <c r="C3160" s="33">
        <v>8796</v>
      </c>
      <c r="D3160" s="2">
        <v>1289</v>
      </c>
      <c r="E3160" s="2" t="s">
        <v>11065</v>
      </c>
      <c r="F3160" s="3" t="s">
        <v>14238</v>
      </c>
      <c r="H3160" s="3" t="s">
        <v>648</v>
      </c>
      <c r="K3160" s="2">
        <v>20</v>
      </c>
      <c r="L3160" s="2">
        <v>16</v>
      </c>
      <c r="M3160" s="3" t="s">
        <v>3831</v>
      </c>
      <c r="N3160" s="3" t="s">
        <v>13</v>
      </c>
      <c r="O3160" s="3" t="s">
        <v>14</v>
      </c>
      <c r="Q3160" s="30" t="str">
        <f t="shared" si="49"/>
        <v>MAX : 
TARGET : Yes(Pass)
MIN : No(Fail)</v>
      </c>
      <c r="R3160" s="3" t="s">
        <v>443</v>
      </c>
    </row>
    <row r="3161" spans="2:18" ht="41.4" x14ac:dyDescent="0.3">
      <c r="B3161">
        <v>1</v>
      </c>
      <c r="C3161" s="33">
        <v>8531</v>
      </c>
      <c r="D3161" s="2">
        <v>1970</v>
      </c>
      <c r="E3161" s="2" t="s">
        <v>10601</v>
      </c>
      <c r="F3161" s="3" t="s">
        <v>14206</v>
      </c>
      <c r="H3161" s="3" t="s">
        <v>1677</v>
      </c>
      <c r="K3161" s="2">
        <v>10</v>
      </c>
      <c r="L3161" s="2">
        <v>1</v>
      </c>
      <c r="M3161" s="3" t="s">
        <v>99</v>
      </c>
      <c r="N3161" s="3" t="s">
        <v>2023</v>
      </c>
      <c r="O3161" s="3" t="s">
        <v>2286</v>
      </c>
      <c r="P3161" s="3" t="s">
        <v>131</v>
      </c>
      <c r="Q3161" s="30" t="str">
        <f t="shared" si="49"/>
        <v>MAX : 0.72
TARGET : 0.69
MIN : 0.66</v>
      </c>
      <c r="R3161" s="3" t="s">
        <v>762</v>
      </c>
    </row>
    <row r="3162" spans="2:18" ht="41.4" x14ac:dyDescent="0.3">
      <c r="B3162">
        <v>1</v>
      </c>
      <c r="C3162" s="33">
        <v>8531</v>
      </c>
      <c r="D3162" s="2">
        <v>1970</v>
      </c>
      <c r="E3162" s="2" t="s">
        <v>10601</v>
      </c>
      <c r="F3162" s="3" t="s">
        <v>14206</v>
      </c>
      <c r="H3162" s="3" t="s">
        <v>1677</v>
      </c>
      <c r="K3162" s="2">
        <v>10</v>
      </c>
      <c r="L3162" s="2">
        <v>3</v>
      </c>
      <c r="M3162" s="3" t="s">
        <v>5820</v>
      </c>
      <c r="N3162" s="3" t="s">
        <v>5821</v>
      </c>
      <c r="O3162" s="3" t="s">
        <v>2437</v>
      </c>
      <c r="P3162" s="3" t="s">
        <v>2438</v>
      </c>
      <c r="Q3162" s="30" t="str">
        <f t="shared" si="49"/>
        <v>MAX : 95
TARGET : 94
MIN : 90</v>
      </c>
      <c r="R3162" s="3" t="s">
        <v>762</v>
      </c>
    </row>
    <row r="3163" spans="2:18" ht="41.4" x14ac:dyDescent="0.3">
      <c r="B3163">
        <v>0</v>
      </c>
      <c r="C3163" s="33">
        <v>8797</v>
      </c>
      <c r="D3163" s="2">
        <v>1290</v>
      </c>
      <c r="E3163" s="2" t="s">
        <v>11073</v>
      </c>
      <c r="F3163" s="3" t="s">
        <v>14238</v>
      </c>
      <c r="H3163" s="3" t="s">
        <v>648</v>
      </c>
      <c r="K3163" s="2">
        <v>20</v>
      </c>
      <c r="L3163" s="2">
        <v>3</v>
      </c>
      <c r="M3163" s="3" t="s">
        <v>3798</v>
      </c>
      <c r="N3163" s="3" t="s">
        <v>3799</v>
      </c>
      <c r="O3163" s="3" t="s">
        <v>3800</v>
      </c>
      <c r="P3163" s="3" t="s">
        <v>3801</v>
      </c>
      <c r="Q3163" s="30" t="str">
        <f t="shared" si="49"/>
        <v>MAX : 3.1
TARGET : 2.6
MIN : 2.1</v>
      </c>
      <c r="R3163" s="3" t="s">
        <v>443</v>
      </c>
    </row>
    <row r="3164" spans="2:18" ht="41.4" x14ac:dyDescent="0.3">
      <c r="B3164">
        <v>0</v>
      </c>
      <c r="C3164" s="33">
        <v>8797</v>
      </c>
      <c r="D3164" s="2">
        <v>1290</v>
      </c>
      <c r="E3164" s="2" t="s">
        <v>11073</v>
      </c>
      <c r="F3164" s="3" t="s">
        <v>14238</v>
      </c>
      <c r="H3164" s="3" t="s">
        <v>648</v>
      </c>
      <c r="K3164" s="2">
        <v>20</v>
      </c>
      <c r="L3164" s="2">
        <v>4</v>
      </c>
      <c r="M3164" s="3" t="s">
        <v>3802</v>
      </c>
      <c r="N3164" s="3" t="s">
        <v>3803</v>
      </c>
      <c r="O3164" s="3" t="s">
        <v>3804</v>
      </c>
      <c r="P3164" s="3" t="s">
        <v>3805</v>
      </c>
      <c r="Q3164" s="30" t="str">
        <f t="shared" si="49"/>
        <v>MAX : 17.7
TARGET : 17.5
MIN : 17.3</v>
      </c>
      <c r="R3164" s="3" t="s">
        <v>443</v>
      </c>
    </row>
    <row r="3165" spans="2:18" ht="41.4" x14ac:dyDescent="0.3">
      <c r="B3165">
        <v>0</v>
      </c>
      <c r="C3165" s="33">
        <v>8797</v>
      </c>
      <c r="D3165" s="2">
        <v>1290</v>
      </c>
      <c r="E3165" s="2" t="s">
        <v>11073</v>
      </c>
      <c r="F3165" s="3" t="s">
        <v>14238</v>
      </c>
      <c r="H3165" s="3" t="s">
        <v>648</v>
      </c>
      <c r="K3165" s="2">
        <v>20</v>
      </c>
      <c r="L3165" s="2">
        <v>5</v>
      </c>
      <c r="M3165" s="3" t="s">
        <v>3806</v>
      </c>
      <c r="N3165" s="3" t="s">
        <v>3807</v>
      </c>
      <c r="O3165" s="3" t="s">
        <v>35</v>
      </c>
      <c r="P3165" s="3" t="s">
        <v>3808</v>
      </c>
      <c r="Q3165" s="30" t="str">
        <f t="shared" si="49"/>
        <v>MAX : 19.3
TARGET : 19.0
MIN : 18.7</v>
      </c>
      <c r="R3165" s="3" t="s">
        <v>443</v>
      </c>
    </row>
    <row r="3166" spans="2:18" ht="41.4" x14ac:dyDescent="0.3">
      <c r="B3166">
        <v>0</v>
      </c>
      <c r="C3166" s="33">
        <v>8797</v>
      </c>
      <c r="D3166" s="2">
        <v>1290</v>
      </c>
      <c r="E3166" s="2" t="s">
        <v>11073</v>
      </c>
      <c r="F3166" s="3" t="s">
        <v>14238</v>
      </c>
      <c r="H3166" s="3" t="s">
        <v>648</v>
      </c>
      <c r="K3166" s="2">
        <v>20</v>
      </c>
      <c r="L3166" s="2">
        <v>6</v>
      </c>
      <c r="M3166" s="3" t="s">
        <v>3809</v>
      </c>
      <c r="N3166" s="3" t="s">
        <v>3810</v>
      </c>
      <c r="O3166" s="3" t="s">
        <v>3811</v>
      </c>
      <c r="P3166" s="3" t="s">
        <v>3812</v>
      </c>
      <c r="Q3166" s="30" t="str">
        <f t="shared" si="49"/>
        <v>MAX : 35.90
TARGET : 35.50
MIN : 35.10</v>
      </c>
      <c r="R3166" s="3" t="s">
        <v>443</v>
      </c>
    </row>
    <row r="3167" spans="2:18" ht="41.4" x14ac:dyDescent="0.3">
      <c r="B3167">
        <v>0</v>
      </c>
      <c r="C3167" s="33">
        <v>8797</v>
      </c>
      <c r="D3167" s="2">
        <v>1290</v>
      </c>
      <c r="E3167" s="2" t="s">
        <v>11073</v>
      </c>
      <c r="F3167" s="3" t="s">
        <v>14238</v>
      </c>
      <c r="H3167" s="3" t="s">
        <v>648</v>
      </c>
      <c r="K3167" s="2">
        <v>20</v>
      </c>
      <c r="L3167" s="2">
        <v>7</v>
      </c>
      <c r="M3167" s="3" t="s">
        <v>3813</v>
      </c>
      <c r="N3167" s="3" t="s">
        <v>2407</v>
      </c>
      <c r="O3167" s="3" t="s">
        <v>3814</v>
      </c>
      <c r="P3167" s="3" t="s">
        <v>3799</v>
      </c>
      <c r="Q3167" s="30" t="str">
        <f t="shared" si="49"/>
        <v>MAX : 2.1
TARGET : 1.8
MIN : 1.5</v>
      </c>
      <c r="R3167" s="3" t="s">
        <v>443</v>
      </c>
    </row>
    <row r="3168" spans="2:18" ht="41.4" x14ac:dyDescent="0.3">
      <c r="B3168">
        <v>0</v>
      </c>
      <c r="C3168" s="33">
        <v>8797</v>
      </c>
      <c r="D3168" s="2">
        <v>1290</v>
      </c>
      <c r="E3168" s="2" t="s">
        <v>11073</v>
      </c>
      <c r="F3168" s="3" t="s">
        <v>14238</v>
      </c>
      <c r="H3168" s="3" t="s">
        <v>648</v>
      </c>
      <c r="K3168" s="2">
        <v>20</v>
      </c>
      <c r="L3168" s="2">
        <v>8</v>
      </c>
      <c r="M3168" s="3" t="s">
        <v>3815</v>
      </c>
      <c r="N3168" s="3" t="s">
        <v>3816</v>
      </c>
      <c r="O3168" s="3" t="s">
        <v>3800</v>
      </c>
      <c r="P3168" s="3" t="s">
        <v>3817</v>
      </c>
      <c r="Q3168" s="30" t="str">
        <f t="shared" si="49"/>
        <v>MAX : 2.8
TARGET : 2.6
MIN : 2.4</v>
      </c>
      <c r="R3168" s="3" t="s">
        <v>443</v>
      </c>
    </row>
    <row r="3169" spans="2:18" ht="41.4" x14ac:dyDescent="0.3">
      <c r="B3169">
        <v>0</v>
      </c>
      <c r="C3169" s="33">
        <v>8797</v>
      </c>
      <c r="D3169" s="2">
        <v>1290</v>
      </c>
      <c r="E3169" s="2" t="s">
        <v>11073</v>
      </c>
      <c r="F3169" s="3" t="s">
        <v>14238</v>
      </c>
      <c r="H3169" s="3" t="s">
        <v>648</v>
      </c>
      <c r="K3169" s="2">
        <v>20</v>
      </c>
      <c r="L3169" s="2">
        <v>9</v>
      </c>
      <c r="M3169" s="3" t="s">
        <v>3818</v>
      </c>
      <c r="N3169" s="3" t="s">
        <v>3819</v>
      </c>
      <c r="O3169" s="3" t="s">
        <v>254</v>
      </c>
      <c r="P3169" s="3" t="s">
        <v>1679</v>
      </c>
      <c r="Q3169" s="30" t="str">
        <f t="shared" si="49"/>
        <v>MAX : 18.8
TARGET : 18.6
MIN : 18.4</v>
      </c>
      <c r="R3169" s="3" t="s">
        <v>443</v>
      </c>
    </row>
    <row r="3170" spans="2:18" ht="41.4" x14ac:dyDescent="0.3">
      <c r="B3170">
        <v>0</v>
      </c>
      <c r="C3170" s="33">
        <v>8797</v>
      </c>
      <c r="D3170" s="2">
        <v>1290</v>
      </c>
      <c r="E3170" s="2" t="s">
        <v>11073</v>
      </c>
      <c r="F3170" s="3" t="s">
        <v>14238</v>
      </c>
      <c r="H3170" s="3" t="s">
        <v>648</v>
      </c>
      <c r="K3170" s="2">
        <v>20</v>
      </c>
      <c r="L3170" s="2">
        <v>10</v>
      </c>
      <c r="M3170" s="3" t="s">
        <v>3820</v>
      </c>
      <c r="N3170" s="3" t="s">
        <v>3821</v>
      </c>
      <c r="O3170" s="3" t="s">
        <v>1146</v>
      </c>
      <c r="P3170" s="3" t="s">
        <v>3822</v>
      </c>
      <c r="Q3170" s="30" t="str">
        <f t="shared" si="49"/>
        <v>MAX : 20.3
TARGET : 20.0
MIN : 19.7</v>
      </c>
      <c r="R3170" s="3" t="s">
        <v>443</v>
      </c>
    </row>
    <row r="3171" spans="2:18" ht="41.4" x14ac:dyDescent="0.3">
      <c r="B3171">
        <v>0</v>
      </c>
      <c r="C3171" s="33">
        <v>8797</v>
      </c>
      <c r="D3171" s="2">
        <v>1290</v>
      </c>
      <c r="E3171" s="2" t="s">
        <v>11073</v>
      </c>
      <c r="F3171" s="3" t="s">
        <v>14238</v>
      </c>
      <c r="H3171" s="3" t="s">
        <v>648</v>
      </c>
      <c r="K3171" s="2">
        <v>20</v>
      </c>
      <c r="L3171" s="2">
        <v>11</v>
      </c>
      <c r="M3171" s="3" t="s">
        <v>3823</v>
      </c>
      <c r="N3171" s="3" t="s">
        <v>3824</v>
      </c>
      <c r="O3171" s="3" t="s">
        <v>3775</v>
      </c>
      <c r="P3171" s="3" t="s">
        <v>3825</v>
      </c>
      <c r="Q3171" s="30" t="str">
        <f t="shared" si="49"/>
        <v>MAX : 22.40
TARGET : 22.00
MIN : 21.60</v>
      </c>
      <c r="R3171" s="3" t="s">
        <v>443</v>
      </c>
    </row>
    <row r="3172" spans="2:18" ht="41.4" x14ac:dyDescent="0.3">
      <c r="B3172">
        <v>0</v>
      </c>
      <c r="C3172" s="33">
        <v>8797</v>
      </c>
      <c r="D3172" s="2">
        <v>1290</v>
      </c>
      <c r="E3172" s="2" t="s">
        <v>11073</v>
      </c>
      <c r="F3172" s="3" t="s">
        <v>14238</v>
      </c>
      <c r="H3172" s="3" t="s">
        <v>648</v>
      </c>
      <c r="K3172" s="2">
        <v>20</v>
      </c>
      <c r="L3172" s="2">
        <v>12</v>
      </c>
      <c r="M3172" s="3" t="s">
        <v>2615</v>
      </c>
      <c r="N3172" s="3" t="s">
        <v>1065</v>
      </c>
      <c r="O3172" s="3" t="s">
        <v>3049</v>
      </c>
      <c r="P3172" s="3" t="s">
        <v>388</v>
      </c>
      <c r="Q3172" s="30" t="str">
        <f t="shared" si="49"/>
        <v>MAX : 6.0
TARGET : 5.5
MIN : 5.0</v>
      </c>
      <c r="R3172" s="3" t="s">
        <v>443</v>
      </c>
    </row>
    <row r="3173" spans="2:18" ht="41.4" x14ac:dyDescent="0.3">
      <c r="B3173">
        <v>0</v>
      </c>
      <c r="C3173" s="33">
        <v>8797</v>
      </c>
      <c r="D3173" s="2">
        <v>1290</v>
      </c>
      <c r="E3173" s="2" t="s">
        <v>11073</v>
      </c>
      <c r="F3173" s="3" t="s">
        <v>14238</v>
      </c>
      <c r="H3173" s="3" t="s">
        <v>648</v>
      </c>
      <c r="K3173" s="2">
        <v>20</v>
      </c>
      <c r="L3173" s="2">
        <v>13</v>
      </c>
      <c r="M3173" s="3" t="s">
        <v>3826</v>
      </c>
      <c r="N3173" s="3" t="s">
        <v>1065</v>
      </c>
      <c r="O3173" s="3" t="s">
        <v>3049</v>
      </c>
      <c r="P3173" s="3" t="s">
        <v>388</v>
      </c>
      <c r="Q3173" s="30" t="str">
        <f t="shared" si="49"/>
        <v>MAX : 6.0
TARGET : 5.5
MIN : 5.0</v>
      </c>
      <c r="R3173" s="3" t="s">
        <v>443</v>
      </c>
    </row>
    <row r="3174" spans="2:18" ht="41.4" x14ac:dyDescent="0.3">
      <c r="B3174">
        <v>0</v>
      </c>
      <c r="C3174" s="33">
        <v>8797</v>
      </c>
      <c r="D3174" s="2">
        <v>1290</v>
      </c>
      <c r="E3174" s="2" t="s">
        <v>11073</v>
      </c>
      <c r="F3174" s="3" t="s">
        <v>14238</v>
      </c>
      <c r="H3174" s="3" t="s">
        <v>648</v>
      </c>
      <c r="K3174" s="2">
        <v>20</v>
      </c>
      <c r="L3174" s="2">
        <v>14</v>
      </c>
      <c r="M3174" s="3" t="s">
        <v>3827</v>
      </c>
      <c r="N3174" s="3" t="s">
        <v>3828</v>
      </c>
      <c r="O3174" s="3" t="s">
        <v>3829</v>
      </c>
      <c r="P3174" s="3" t="s">
        <v>3830</v>
      </c>
      <c r="Q3174" s="30" t="str">
        <f t="shared" si="49"/>
        <v>MAX : 38.6
TARGET : 38.1
MIN : 37.6</v>
      </c>
      <c r="R3174" s="3" t="s">
        <v>443</v>
      </c>
    </row>
    <row r="3175" spans="2:18" ht="41.4" x14ac:dyDescent="0.3">
      <c r="B3175">
        <v>0</v>
      </c>
      <c r="C3175" s="33">
        <v>8797</v>
      </c>
      <c r="D3175" s="2">
        <v>1290</v>
      </c>
      <c r="E3175" s="2" t="s">
        <v>11073</v>
      </c>
      <c r="F3175" s="3" t="s">
        <v>14238</v>
      </c>
      <c r="H3175" s="3" t="s">
        <v>648</v>
      </c>
      <c r="K3175" s="2">
        <v>20</v>
      </c>
      <c r="L3175" s="2">
        <v>17</v>
      </c>
      <c r="M3175" s="3" t="s">
        <v>78</v>
      </c>
      <c r="N3175" s="3" t="s">
        <v>13</v>
      </c>
      <c r="O3175" s="3" t="s">
        <v>14</v>
      </c>
      <c r="Q3175" s="30" t="str">
        <f t="shared" si="49"/>
        <v>MAX : 
TARGET : Yes(Pass)
MIN : No(Fail)</v>
      </c>
      <c r="R3175" s="3" t="s">
        <v>443</v>
      </c>
    </row>
    <row r="3176" spans="2:18" ht="41.4" x14ac:dyDescent="0.3">
      <c r="B3176">
        <v>0</v>
      </c>
      <c r="C3176" s="33">
        <v>8797</v>
      </c>
      <c r="D3176" s="2">
        <v>1290</v>
      </c>
      <c r="E3176" s="2" t="s">
        <v>11073</v>
      </c>
      <c r="F3176" s="3" t="s">
        <v>14238</v>
      </c>
      <c r="H3176" s="3" t="s">
        <v>648</v>
      </c>
      <c r="K3176" s="2">
        <v>20</v>
      </c>
      <c r="L3176" s="2">
        <v>16</v>
      </c>
      <c r="M3176" s="3" t="s">
        <v>3831</v>
      </c>
      <c r="N3176" s="3" t="s">
        <v>13</v>
      </c>
      <c r="O3176" s="3" t="s">
        <v>14</v>
      </c>
      <c r="Q3176" s="30" t="str">
        <f t="shared" si="49"/>
        <v>MAX : 
TARGET : Yes(Pass)
MIN : No(Fail)</v>
      </c>
      <c r="R3176" s="3" t="s">
        <v>443</v>
      </c>
    </row>
    <row r="3177" spans="2:18" ht="41.4" x14ac:dyDescent="0.3">
      <c r="B3177">
        <v>1</v>
      </c>
      <c r="C3177" s="33">
        <v>8533</v>
      </c>
      <c r="D3177" s="2">
        <v>1971</v>
      </c>
      <c r="E3177" s="2" t="s">
        <v>10607</v>
      </c>
      <c r="F3177" s="3" t="s">
        <v>14206</v>
      </c>
      <c r="H3177" s="3" t="s">
        <v>568</v>
      </c>
      <c r="K3177" s="2">
        <v>30</v>
      </c>
      <c r="L3177" s="2">
        <v>1</v>
      </c>
      <c r="M3177" s="3" t="s">
        <v>1469</v>
      </c>
      <c r="N3177" s="3" t="s">
        <v>3153</v>
      </c>
      <c r="O3177" s="3" t="s">
        <v>855</v>
      </c>
      <c r="P3177" s="3" t="s">
        <v>3154</v>
      </c>
      <c r="Q3177" s="30" t="str">
        <f t="shared" si="49"/>
        <v>MAX : 15.03
TARGET : 15.00
MIN : 14.97</v>
      </c>
    </row>
    <row r="3178" spans="2:18" ht="41.4" x14ac:dyDescent="0.3">
      <c r="B3178">
        <v>0</v>
      </c>
      <c r="C3178" s="33">
        <v>8446</v>
      </c>
      <c r="D3178" s="2">
        <v>1225</v>
      </c>
      <c r="E3178" s="2" t="s">
        <v>10057</v>
      </c>
      <c r="F3178" s="29" t="s">
        <v>14227</v>
      </c>
      <c r="G3178" s="3" t="s">
        <v>2843</v>
      </c>
      <c r="H3178" s="3" t="s">
        <v>2844</v>
      </c>
      <c r="K3178" s="2">
        <v>20</v>
      </c>
      <c r="L3178" s="2">
        <v>3</v>
      </c>
      <c r="M3178" s="3" t="s">
        <v>3442</v>
      </c>
      <c r="N3178" s="3" t="s">
        <v>1619</v>
      </c>
      <c r="O3178" s="3" t="s">
        <v>1620</v>
      </c>
      <c r="Q3178" s="30" t="str">
        <f t="shared" si="49"/>
        <v>MAX : 
TARGET : Yes (pass)
MIN : No (fail)</v>
      </c>
    </row>
    <row r="3179" spans="2:18" ht="41.4" x14ac:dyDescent="0.3">
      <c r="B3179">
        <v>1</v>
      </c>
      <c r="C3179" s="33">
        <v>8533</v>
      </c>
      <c r="D3179" s="2">
        <v>1971</v>
      </c>
      <c r="E3179" s="2" t="s">
        <v>10607</v>
      </c>
      <c r="F3179" s="3" t="s">
        <v>14206</v>
      </c>
      <c r="H3179" s="3" t="s">
        <v>568</v>
      </c>
      <c r="K3179" s="2">
        <v>20</v>
      </c>
      <c r="L3179" s="2">
        <v>1</v>
      </c>
      <c r="M3179" s="3" t="s">
        <v>1469</v>
      </c>
      <c r="N3179" s="3" t="s">
        <v>1985</v>
      </c>
      <c r="O3179" s="3" t="s">
        <v>149</v>
      </c>
      <c r="P3179" s="3" t="s">
        <v>1986</v>
      </c>
      <c r="Q3179" s="30" t="str">
        <f t="shared" si="49"/>
        <v>MAX : 12.03
TARGET : 12.00
MIN : 11.97</v>
      </c>
    </row>
    <row r="3180" spans="2:18" ht="41.4" x14ac:dyDescent="0.3">
      <c r="B3180">
        <v>0</v>
      </c>
      <c r="C3180" s="33">
        <v>8815</v>
      </c>
      <c r="D3180" s="2">
        <v>1293</v>
      </c>
      <c r="E3180" s="2" t="s">
        <v>11099</v>
      </c>
      <c r="F3180" s="3" t="s">
        <v>14206</v>
      </c>
      <c r="H3180" s="3" t="s">
        <v>426</v>
      </c>
      <c r="K3180" s="2">
        <v>20</v>
      </c>
      <c r="L3180" s="2">
        <v>1</v>
      </c>
      <c r="M3180" s="3" t="s">
        <v>160</v>
      </c>
      <c r="N3180" s="3" t="s">
        <v>308</v>
      </c>
      <c r="O3180" s="3" t="s">
        <v>309</v>
      </c>
      <c r="P3180" s="3" t="s">
        <v>310</v>
      </c>
      <c r="Q3180" s="30" t="str">
        <f t="shared" si="49"/>
        <v>MAX : 0.53
TARGET : 0.50
MIN : 0.47</v>
      </c>
    </row>
    <row r="3181" spans="2:18" ht="41.4" x14ac:dyDescent="0.3">
      <c r="B3181">
        <v>0</v>
      </c>
      <c r="C3181" s="33">
        <v>8815</v>
      </c>
      <c r="D3181" s="2">
        <v>1293</v>
      </c>
      <c r="E3181" s="2" t="s">
        <v>11099</v>
      </c>
      <c r="F3181" s="3" t="s">
        <v>14206</v>
      </c>
      <c r="H3181" s="3" t="s">
        <v>426</v>
      </c>
      <c r="K3181" s="2">
        <v>20</v>
      </c>
      <c r="L3181" s="2">
        <v>2</v>
      </c>
      <c r="M3181" s="3" t="s">
        <v>3836</v>
      </c>
      <c r="N3181" s="3" t="s">
        <v>13</v>
      </c>
      <c r="O3181" s="3" t="s">
        <v>14</v>
      </c>
      <c r="Q3181" s="30" t="str">
        <f t="shared" si="49"/>
        <v>MAX : 
TARGET : Yes(Pass)
MIN : No(Fail)</v>
      </c>
    </row>
    <row r="3182" spans="2:18" ht="41.4" x14ac:dyDescent="0.3">
      <c r="B3182">
        <v>1</v>
      </c>
      <c r="C3182" s="33">
        <v>8535</v>
      </c>
      <c r="D3182" s="2">
        <v>1243</v>
      </c>
      <c r="E3182" s="2" t="s">
        <v>10614</v>
      </c>
      <c r="F3182" s="3" t="s">
        <v>14207</v>
      </c>
      <c r="H3182" s="3" t="s">
        <v>108</v>
      </c>
      <c r="K3182" s="2">
        <v>20</v>
      </c>
      <c r="L3182" s="2">
        <v>1</v>
      </c>
      <c r="M3182" s="3" t="s">
        <v>198</v>
      </c>
      <c r="N3182" s="3" t="s">
        <v>1919</v>
      </c>
      <c r="O3182" s="3" t="s">
        <v>1920</v>
      </c>
      <c r="P3182" s="3" t="s">
        <v>1921</v>
      </c>
      <c r="Q3182" s="30" t="str">
        <f t="shared" si="49"/>
        <v>MAX : 39
TARGET : 38
MIN : 37</v>
      </c>
    </row>
    <row r="3183" spans="2:18" ht="41.4" x14ac:dyDescent="0.3">
      <c r="B3183">
        <v>0</v>
      </c>
      <c r="C3183" s="33">
        <v>8458</v>
      </c>
      <c r="D3183" s="2">
        <v>1226</v>
      </c>
      <c r="E3183" s="2" t="s">
        <v>10473</v>
      </c>
      <c r="F3183" s="3" t="s">
        <v>14206</v>
      </c>
      <c r="H3183" s="3" t="s">
        <v>2462</v>
      </c>
      <c r="K3183" s="2">
        <v>10</v>
      </c>
      <c r="L3183" s="2">
        <v>6</v>
      </c>
      <c r="M3183" s="3" t="s">
        <v>3438</v>
      </c>
      <c r="N3183" s="3" t="s">
        <v>13</v>
      </c>
      <c r="O3183" s="3" t="s">
        <v>14</v>
      </c>
      <c r="Q3183" s="30" t="str">
        <f t="shared" si="49"/>
        <v>MAX : 
TARGET : Yes(Pass)
MIN : No(Fail)</v>
      </c>
    </row>
    <row r="3184" spans="2:18" ht="41.4" x14ac:dyDescent="0.3">
      <c r="B3184">
        <v>0</v>
      </c>
      <c r="C3184" s="33">
        <v>8458</v>
      </c>
      <c r="D3184" s="2">
        <v>1226</v>
      </c>
      <c r="E3184" s="2" t="s">
        <v>10473</v>
      </c>
      <c r="F3184" s="3" t="s">
        <v>14206</v>
      </c>
      <c r="H3184" s="3" t="s">
        <v>2462</v>
      </c>
      <c r="K3184" s="2">
        <v>10</v>
      </c>
      <c r="L3184" s="2">
        <v>7</v>
      </c>
      <c r="M3184" s="3" t="s">
        <v>3594</v>
      </c>
      <c r="N3184" s="3" t="s">
        <v>13</v>
      </c>
      <c r="O3184" s="3" t="s">
        <v>14</v>
      </c>
      <c r="Q3184" s="30" t="str">
        <f t="shared" si="49"/>
        <v>MAX : 
TARGET : Yes(Pass)
MIN : No(Fail)</v>
      </c>
    </row>
    <row r="3185" spans="2:17" ht="41.4" x14ac:dyDescent="0.3">
      <c r="B3185">
        <v>1</v>
      </c>
      <c r="C3185" s="33">
        <v>8535</v>
      </c>
      <c r="D3185" s="2">
        <v>1243</v>
      </c>
      <c r="E3185" s="2" t="s">
        <v>10614</v>
      </c>
      <c r="F3185" s="3" t="s">
        <v>14207</v>
      </c>
      <c r="H3185" s="3" t="s">
        <v>108</v>
      </c>
      <c r="K3185" s="2">
        <v>10</v>
      </c>
      <c r="L3185" s="2">
        <v>1</v>
      </c>
      <c r="M3185" s="3" t="s">
        <v>456</v>
      </c>
      <c r="N3185" s="3" t="s">
        <v>3366</v>
      </c>
      <c r="O3185" s="3" t="s">
        <v>3367</v>
      </c>
      <c r="P3185" s="3" t="s">
        <v>3368</v>
      </c>
      <c r="Q3185" s="30" t="str">
        <f t="shared" si="49"/>
        <v>MAX : 393
TARGET : 390
MIN : 387</v>
      </c>
    </row>
    <row r="3186" spans="2:17" ht="41.4" x14ac:dyDescent="0.3">
      <c r="B3186">
        <v>0</v>
      </c>
      <c r="C3186" s="33">
        <v>8816</v>
      </c>
      <c r="D3186" s="2">
        <v>1294</v>
      </c>
      <c r="E3186" s="2" t="s">
        <v>11105</v>
      </c>
      <c r="F3186" s="3" t="s">
        <v>14207</v>
      </c>
      <c r="H3186" s="3" t="s">
        <v>3841</v>
      </c>
      <c r="K3186" s="2">
        <v>10</v>
      </c>
      <c r="L3186" s="2">
        <v>1</v>
      </c>
      <c r="M3186" s="3" t="s">
        <v>328</v>
      </c>
      <c r="N3186" s="3" t="s">
        <v>3846</v>
      </c>
      <c r="O3186" s="3" t="s">
        <v>855</v>
      </c>
      <c r="P3186" s="3" t="s">
        <v>3847</v>
      </c>
      <c r="Q3186" s="30" t="str">
        <f t="shared" si="49"/>
        <v>MAX : 15.15
TARGET : 15.00
MIN : 14.85</v>
      </c>
    </row>
    <row r="3187" spans="2:17" ht="41.4" x14ac:dyDescent="0.3">
      <c r="B3187">
        <v>0</v>
      </c>
      <c r="C3187" s="33">
        <v>8816</v>
      </c>
      <c r="D3187" s="2">
        <v>1294</v>
      </c>
      <c r="E3187" s="2" t="s">
        <v>11105</v>
      </c>
      <c r="F3187" s="3" t="s">
        <v>14207</v>
      </c>
      <c r="H3187" s="3" t="s">
        <v>3841</v>
      </c>
      <c r="K3187" s="2">
        <v>10</v>
      </c>
      <c r="L3187" s="2">
        <v>2</v>
      </c>
      <c r="M3187" s="3" t="s">
        <v>2161</v>
      </c>
      <c r="N3187" s="3" t="s">
        <v>2175</v>
      </c>
      <c r="O3187" s="3" t="s">
        <v>3845</v>
      </c>
      <c r="P3187" s="3" t="s">
        <v>3848</v>
      </c>
      <c r="Q3187" s="30" t="str">
        <f t="shared" si="49"/>
        <v>MAX : 19.10
TARGET : 18.85
MIN : 18.60</v>
      </c>
    </row>
    <row r="3188" spans="2:17" ht="41.4" x14ac:dyDescent="0.3">
      <c r="B3188">
        <v>0</v>
      </c>
      <c r="C3188" s="33">
        <v>8816</v>
      </c>
      <c r="D3188" s="2">
        <v>1294</v>
      </c>
      <c r="E3188" s="2" t="s">
        <v>11105</v>
      </c>
      <c r="F3188" s="3" t="s">
        <v>14207</v>
      </c>
      <c r="H3188" s="3" t="s">
        <v>3841</v>
      </c>
      <c r="K3188" s="2">
        <v>10</v>
      </c>
      <c r="L3188" s="2">
        <v>5</v>
      </c>
      <c r="M3188" s="3" t="s">
        <v>2871</v>
      </c>
      <c r="N3188" s="3" t="s">
        <v>2183</v>
      </c>
      <c r="O3188" s="3" t="s">
        <v>1962</v>
      </c>
      <c r="P3188" s="3" t="s">
        <v>2184</v>
      </c>
      <c r="Q3188" s="30" t="str">
        <f t="shared" si="49"/>
        <v>MAX : 7.72
TARGET : 7.47
MIN : 7.22</v>
      </c>
    </row>
    <row r="3189" spans="2:17" ht="41.4" x14ac:dyDescent="0.3">
      <c r="B3189">
        <v>0</v>
      </c>
      <c r="C3189" s="33">
        <v>8816</v>
      </c>
      <c r="D3189" s="2">
        <v>1294</v>
      </c>
      <c r="E3189" s="2" t="s">
        <v>11105</v>
      </c>
      <c r="F3189" s="3" t="s">
        <v>14207</v>
      </c>
      <c r="H3189" s="3" t="s">
        <v>3841</v>
      </c>
      <c r="K3189" s="2">
        <v>10</v>
      </c>
      <c r="L3189" s="2">
        <v>9</v>
      </c>
      <c r="M3189" s="3" t="s">
        <v>2874</v>
      </c>
      <c r="O3189" s="3" t="s">
        <v>123</v>
      </c>
      <c r="P3189" s="3" t="s">
        <v>124</v>
      </c>
      <c r="Q3189" s="30" t="str">
        <f t="shared" si="49"/>
        <v xml:space="preserve">MAX : Yes (Fail)
TARGET : No (Pass)
MIN : </v>
      </c>
    </row>
    <row r="3190" spans="2:17" ht="41.4" x14ac:dyDescent="0.3">
      <c r="B3190">
        <v>0</v>
      </c>
      <c r="C3190" s="33">
        <v>8816</v>
      </c>
      <c r="D3190" s="2">
        <v>1294</v>
      </c>
      <c r="E3190" s="2" t="s">
        <v>11105</v>
      </c>
      <c r="F3190" s="3" t="s">
        <v>14207</v>
      </c>
      <c r="H3190" s="3" t="s">
        <v>3841</v>
      </c>
      <c r="K3190" s="2">
        <v>10</v>
      </c>
      <c r="L3190" s="2">
        <v>7</v>
      </c>
      <c r="M3190" s="3" t="s">
        <v>2875</v>
      </c>
      <c r="O3190" s="3" t="s">
        <v>123</v>
      </c>
      <c r="P3190" s="3" t="s">
        <v>124</v>
      </c>
      <c r="Q3190" s="30" t="str">
        <f t="shared" si="49"/>
        <v xml:space="preserve">MAX : Yes (Fail)
TARGET : No (Pass)
MIN : </v>
      </c>
    </row>
    <row r="3191" spans="2:17" ht="41.4" x14ac:dyDescent="0.3">
      <c r="B3191">
        <v>0</v>
      </c>
      <c r="C3191" s="33">
        <v>8816</v>
      </c>
      <c r="D3191" s="2">
        <v>1294</v>
      </c>
      <c r="E3191" s="2" t="s">
        <v>11105</v>
      </c>
      <c r="F3191" s="3" t="s">
        <v>14207</v>
      </c>
      <c r="H3191" s="3" t="s">
        <v>3841</v>
      </c>
      <c r="K3191" s="2">
        <v>10</v>
      </c>
      <c r="L3191" s="2">
        <v>10</v>
      </c>
      <c r="M3191" s="3" t="s">
        <v>2389</v>
      </c>
      <c r="N3191" s="3" t="s">
        <v>24</v>
      </c>
      <c r="O3191" s="3" t="s">
        <v>25</v>
      </c>
      <c r="Q3191" s="30" t="str">
        <f t="shared" si="49"/>
        <v>MAX : 
TARGET : Yes (Pass)
MIN : No (Fail)</v>
      </c>
    </row>
    <row r="3192" spans="2:17" ht="41.4" x14ac:dyDescent="0.3">
      <c r="B3192">
        <v>0</v>
      </c>
      <c r="C3192" s="33">
        <v>8816</v>
      </c>
      <c r="D3192" s="2">
        <v>1294</v>
      </c>
      <c r="E3192" s="2" t="s">
        <v>11105</v>
      </c>
      <c r="F3192" s="3" t="s">
        <v>14207</v>
      </c>
      <c r="H3192" s="3" t="s">
        <v>3841</v>
      </c>
      <c r="K3192" s="2">
        <v>10</v>
      </c>
      <c r="L3192" s="2">
        <v>8</v>
      </c>
      <c r="M3192" s="3" t="s">
        <v>2387</v>
      </c>
      <c r="O3192" s="3" t="s">
        <v>123</v>
      </c>
      <c r="P3192" s="3" t="s">
        <v>124</v>
      </c>
      <c r="Q3192" s="30" t="str">
        <f t="shared" si="49"/>
        <v xml:space="preserve">MAX : Yes (Fail)
TARGET : No (Pass)
MIN : </v>
      </c>
    </row>
    <row r="3193" spans="2:17" ht="41.4" x14ac:dyDescent="0.3">
      <c r="B3193">
        <v>1</v>
      </c>
      <c r="C3193" s="33">
        <v>8540</v>
      </c>
      <c r="D3193" s="2">
        <v>1244</v>
      </c>
      <c r="E3193" s="2" t="s">
        <v>10620</v>
      </c>
      <c r="F3193" s="3" t="s">
        <v>14206</v>
      </c>
      <c r="H3193" s="3" t="s">
        <v>648</v>
      </c>
      <c r="K3193" s="2">
        <v>20</v>
      </c>
      <c r="L3193" s="2">
        <v>2</v>
      </c>
      <c r="M3193" s="3" t="s">
        <v>198</v>
      </c>
      <c r="N3193" s="3" t="s">
        <v>420</v>
      </c>
      <c r="O3193" s="3" t="s">
        <v>272</v>
      </c>
      <c r="P3193" s="3" t="s">
        <v>414</v>
      </c>
      <c r="Q3193" s="30" t="str">
        <f t="shared" si="49"/>
        <v>MAX : 1.03
TARGET : 1.00
MIN : 0.97</v>
      </c>
    </row>
    <row r="3194" spans="2:17" ht="41.4" x14ac:dyDescent="0.3">
      <c r="B3194">
        <v>0</v>
      </c>
      <c r="C3194" s="33">
        <v>8469</v>
      </c>
      <c r="D3194" s="2">
        <v>1227</v>
      </c>
      <c r="E3194" s="2" t="s">
        <v>10478</v>
      </c>
      <c r="F3194" s="3" t="s">
        <v>14206</v>
      </c>
      <c r="H3194" s="3" t="s">
        <v>3307</v>
      </c>
      <c r="I3194" s="3" t="s">
        <v>487</v>
      </c>
      <c r="K3194" s="2">
        <v>10</v>
      </c>
      <c r="L3194" s="2">
        <v>5</v>
      </c>
      <c r="M3194" s="3" t="s">
        <v>4678</v>
      </c>
      <c r="N3194" s="3" t="s">
        <v>645</v>
      </c>
      <c r="O3194" s="3" t="s">
        <v>1415</v>
      </c>
      <c r="P3194" s="3" t="s">
        <v>4679</v>
      </c>
      <c r="Q3194" s="30" t="str">
        <f t="shared" si="49"/>
        <v>MAX : 0.308
TARGET : 0.278
MIN : 0.248</v>
      </c>
    </row>
    <row r="3195" spans="2:17" ht="41.4" x14ac:dyDescent="0.3">
      <c r="B3195">
        <v>1</v>
      </c>
      <c r="C3195" s="33">
        <v>8540</v>
      </c>
      <c r="D3195" s="2">
        <v>1244</v>
      </c>
      <c r="E3195" s="2" t="s">
        <v>10620</v>
      </c>
      <c r="F3195" s="3" t="s">
        <v>14206</v>
      </c>
      <c r="H3195" s="3" t="s">
        <v>648</v>
      </c>
      <c r="K3195" s="2">
        <v>20</v>
      </c>
      <c r="L3195" s="2">
        <v>1</v>
      </c>
      <c r="M3195" s="3" t="s">
        <v>194</v>
      </c>
      <c r="N3195" s="3" t="s">
        <v>420</v>
      </c>
      <c r="O3195" s="3" t="s">
        <v>272</v>
      </c>
      <c r="P3195" s="3" t="s">
        <v>414</v>
      </c>
      <c r="Q3195" s="30" t="str">
        <f t="shared" si="49"/>
        <v>MAX : 1.03
TARGET : 1.00
MIN : 0.97</v>
      </c>
    </row>
    <row r="3196" spans="2:17" ht="41.4" x14ac:dyDescent="0.3">
      <c r="B3196">
        <v>1</v>
      </c>
      <c r="C3196" s="33">
        <v>8543</v>
      </c>
      <c r="D3196" s="2">
        <v>1972</v>
      </c>
      <c r="E3196" s="2" t="s">
        <v>10626</v>
      </c>
      <c r="F3196" s="3" t="s">
        <v>14206</v>
      </c>
      <c r="H3196" s="3" t="s">
        <v>269</v>
      </c>
      <c r="K3196" s="2">
        <v>10</v>
      </c>
      <c r="L3196" s="2">
        <v>2</v>
      </c>
      <c r="M3196" s="3" t="s">
        <v>456</v>
      </c>
      <c r="N3196" s="3" t="s">
        <v>1504</v>
      </c>
      <c r="O3196" s="3" t="s">
        <v>815</v>
      </c>
      <c r="P3196" s="3" t="s">
        <v>1505</v>
      </c>
      <c r="Q3196" s="30" t="str">
        <f t="shared" si="49"/>
        <v>MAX : 3.06
TARGET : 3.00
MIN : 2.94</v>
      </c>
    </row>
    <row r="3197" spans="2:17" ht="41.4" x14ac:dyDescent="0.3">
      <c r="B3197">
        <v>0</v>
      </c>
      <c r="C3197" s="33">
        <v>8824</v>
      </c>
      <c r="D3197" s="2">
        <v>1994</v>
      </c>
      <c r="E3197" s="2" t="s">
        <v>11120</v>
      </c>
      <c r="F3197" s="3" t="s">
        <v>14206</v>
      </c>
      <c r="G3197" s="3" t="s">
        <v>496</v>
      </c>
      <c r="H3197" s="3" t="s">
        <v>1144</v>
      </c>
      <c r="K3197" s="2">
        <v>10</v>
      </c>
      <c r="L3197" s="2">
        <v>5</v>
      </c>
      <c r="M3197" s="3" t="s">
        <v>3854</v>
      </c>
      <c r="N3197" s="3" t="s">
        <v>13</v>
      </c>
      <c r="O3197" s="3" t="s">
        <v>14</v>
      </c>
      <c r="Q3197" s="30" t="str">
        <f t="shared" si="49"/>
        <v>MAX : 
TARGET : Yes(Pass)
MIN : No(Fail)</v>
      </c>
    </row>
    <row r="3198" spans="2:17" ht="41.4" x14ac:dyDescent="0.3">
      <c r="B3198">
        <v>0</v>
      </c>
      <c r="C3198" s="33">
        <v>8824</v>
      </c>
      <c r="D3198" s="2">
        <v>1994</v>
      </c>
      <c r="E3198" s="2" t="s">
        <v>11120</v>
      </c>
      <c r="F3198" s="3" t="s">
        <v>14206</v>
      </c>
      <c r="G3198" s="3" t="s">
        <v>496</v>
      </c>
      <c r="H3198" s="3" t="s">
        <v>1144</v>
      </c>
      <c r="K3198" s="2">
        <v>10</v>
      </c>
      <c r="L3198" s="2">
        <v>8</v>
      </c>
      <c r="M3198" s="3" t="s">
        <v>3447</v>
      </c>
      <c r="O3198" s="3" t="s">
        <v>38</v>
      </c>
      <c r="P3198" s="3" t="s">
        <v>39</v>
      </c>
      <c r="Q3198" s="30" t="str">
        <f t="shared" si="49"/>
        <v xml:space="preserve">MAX : Yes(Fail)
TARGET : No(Pass)
MIN : </v>
      </c>
    </row>
    <row r="3199" spans="2:17" ht="41.4" x14ac:dyDescent="0.3">
      <c r="B3199">
        <v>0</v>
      </c>
      <c r="C3199" s="33">
        <v>8824</v>
      </c>
      <c r="D3199" s="2">
        <v>1994</v>
      </c>
      <c r="E3199" s="2" t="s">
        <v>11120</v>
      </c>
      <c r="F3199" s="3" t="s">
        <v>14206</v>
      </c>
      <c r="G3199" s="3" t="s">
        <v>496</v>
      </c>
      <c r="H3199" s="3" t="s">
        <v>1144</v>
      </c>
      <c r="K3199" s="2">
        <v>10</v>
      </c>
      <c r="L3199" s="2">
        <v>3</v>
      </c>
      <c r="M3199" s="3" t="s">
        <v>821</v>
      </c>
      <c r="N3199" s="3" t="s">
        <v>2131</v>
      </c>
      <c r="O3199" s="3" t="s">
        <v>284</v>
      </c>
      <c r="P3199" s="3" t="s">
        <v>644</v>
      </c>
      <c r="Q3199" s="30" t="str">
        <f t="shared" si="49"/>
        <v>MAX : 0.218
TARGET : 0.188
MIN : 0.158</v>
      </c>
    </row>
    <row r="3200" spans="2:17" ht="41.4" x14ac:dyDescent="0.3">
      <c r="B3200">
        <v>0</v>
      </c>
      <c r="C3200" s="33">
        <v>8824</v>
      </c>
      <c r="D3200" s="2">
        <v>1994</v>
      </c>
      <c r="E3200" s="2" t="s">
        <v>11120</v>
      </c>
      <c r="F3200" s="3" t="s">
        <v>14206</v>
      </c>
      <c r="G3200" s="3" t="s">
        <v>496</v>
      </c>
      <c r="H3200" s="3" t="s">
        <v>1144</v>
      </c>
      <c r="K3200" s="2">
        <v>10</v>
      </c>
      <c r="L3200" s="2">
        <v>2</v>
      </c>
      <c r="M3200" s="3" t="s">
        <v>3855</v>
      </c>
      <c r="N3200" s="3" t="s">
        <v>983</v>
      </c>
      <c r="O3200" s="3" t="s">
        <v>241</v>
      </c>
      <c r="P3200" s="3" t="s">
        <v>984</v>
      </c>
      <c r="Q3200" s="30" t="str">
        <f t="shared" si="49"/>
        <v>MAX : 0.155
TARGET : 0.125
MIN : 0.095</v>
      </c>
    </row>
    <row r="3201" spans="2:17" ht="41.4" x14ac:dyDescent="0.3">
      <c r="B3201">
        <v>1</v>
      </c>
      <c r="C3201" s="33">
        <v>8543</v>
      </c>
      <c r="D3201" s="2">
        <v>1972</v>
      </c>
      <c r="E3201" s="2" t="s">
        <v>10626</v>
      </c>
      <c r="F3201" s="3" t="s">
        <v>14206</v>
      </c>
      <c r="H3201" s="3" t="s">
        <v>269</v>
      </c>
      <c r="K3201" s="2">
        <v>10</v>
      </c>
      <c r="L3201" s="2">
        <v>1</v>
      </c>
      <c r="M3201" s="3" t="s">
        <v>99</v>
      </c>
      <c r="N3201" s="3" t="s">
        <v>405</v>
      </c>
      <c r="O3201" s="3" t="s">
        <v>406</v>
      </c>
      <c r="P3201" s="3" t="s">
        <v>407</v>
      </c>
      <c r="Q3201" s="30" t="str">
        <f t="shared" si="49"/>
        <v>MAX : 2.06
TARGET : 2.00
MIN : 1.94</v>
      </c>
    </row>
    <row r="3202" spans="2:17" ht="41.4" x14ac:dyDescent="0.3">
      <c r="B3202">
        <v>1</v>
      </c>
      <c r="C3202" s="33">
        <v>8578</v>
      </c>
      <c r="D3202" s="2">
        <v>1245</v>
      </c>
      <c r="E3202" s="2" t="s">
        <v>10633</v>
      </c>
      <c r="F3202" s="3" t="s">
        <v>14206</v>
      </c>
      <c r="H3202" s="3" t="s">
        <v>648</v>
      </c>
      <c r="K3202" s="2">
        <v>20</v>
      </c>
      <c r="L3202" s="2">
        <v>2</v>
      </c>
      <c r="M3202" s="3" t="s">
        <v>3387</v>
      </c>
      <c r="N3202" s="3" t="s">
        <v>13</v>
      </c>
      <c r="O3202" s="3" t="s">
        <v>14</v>
      </c>
      <c r="Q3202" s="30" t="str">
        <f t="shared" ref="Q3202:Q3265" si="50">"MAX : " &amp; P3202 &amp; CHAR(10) &amp; "TARGET : " &amp; O3202 &amp; CHAR(10) &amp; "MIN : " &amp; N3202</f>
        <v>MAX : 
TARGET : Yes(Pass)
MIN : No(Fail)</v>
      </c>
    </row>
    <row r="3203" spans="2:17" ht="41.4" x14ac:dyDescent="0.3">
      <c r="B3203">
        <v>0</v>
      </c>
      <c r="C3203" s="33">
        <v>8825</v>
      </c>
      <c r="D3203" s="2">
        <v>1995</v>
      </c>
      <c r="E3203" s="2" t="s">
        <v>11128</v>
      </c>
      <c r="F3203" s="3" t="s">
        <v>14206</v>
      </c>
      <c r="H3203" s="3" t="s">
        <v>824</v>
      </c>
      <c r="K3203" s="2">
        <v>20</v>
      </c>
      <c r="L3203" s="2">
        <v>2</v>
      </c>
      <c r="M3203" s="3" t="s">
        <v>3858</v>
      </c>
      <c r="N3203" s="3" t="s">
        <v>13</v>
      </c>
      <c r="O3203" s="3" t="s">
        <v>14</v>
      </c>
      <c r="Q3203" s="30" t="str">
        <f t="shared" si="50"/>
        <v>MAX : 
TARGET : Yes(Pass)
MIN : No(Fail)</v>
      </c>
    </row>
    <row r="3204" spans="2:17" ht="41.4" x14ac:dyDescent="0.3">
      <c r="B3204">
        <v>0</v>
      </c>
      <c r="C3204" s="33">
        <v>8825</v>
      </c>
      <c r="D3204" s="2">
        <v>1995</v>
      </c>
      <c r="E3204" s="2" t="s">
        <v>11128</v>
      </c>
      <c r="F3204" s="3" t="s">
        <v>14206</v>
      </c>
      <c r="H3204" s="3" t="s">
        <v>824</v>
      </c>
      <c r="K3204" s="2">
        <v>20</v>
      </c>
      <c r="L3204" s="2">
        <v>3</v>
      </c>
      <c r="M3204" s="3" t="s">
        <v>3859</v>
      </c>
      <c r="N3204" s="3" t="s">
        <v>13</v>
      </c>
      <c r="O3204" s="3" t="s">
        <v>14</v>
      </c>
      <c r="Q3204" s="30" t="str">
        <f t="shared" si="50"/>
        <v>MAX : 
TARGET : Yes(Pass)
MIN : No(Fail)</v>
      </c>
    </row>
    <row r="3205" spans="2:17" ht="41.4" x14ac:dyDescent="0.3">
      <c r="B3205">
        <v>0</v>
      </c>
      <c r="C3205" s="33">
        <v>8825</v>
      </c>
      <c r="D3205" s="2">
        <v>1995</v>
      </c>
      <c r="E3205" s="2" t="s">
        <v>11128</v>
      </c>
      <c r="F3205" s="3" t="s">
        <v>14206</v>
      </c>
      <c r="H3205" s="3" t="s">
        <v>824</v>
      </c>
      <c r="K3205" s="2">
        <v>20</v>
      </c>
      <c r="L3205" s="2">
        <v>4</v>
      </c>
      <c r="M3205" s="3" t="s">
        <v>611</v>
      </c>
      <c r="N3205" s="3" t="s">
        <v>13</v>
      </c>
      <c r="O3205" s="3" t="s">
        <v>14</v>
      </c>
      <c r="Q3205" s="30" t="str">
        <f t="shared" si="50"/>
        <v>MAX : 
TARGET : Yes(Pass)
MIN : No(Fail)</v>
      </c>
    </row>
    <row r="3206" spans="2:17" ht="41.4" x14ac:dyDescent="0.3">
      <c r="B3206">
        <v>1</v>
      </c>
      <c r="C3206" s="33">
        <v>8578</v>
      </c>
      <c r="D3206" s="2">
        <v>1245</v>
      </c>
      <c r="E3206" s="2" t="s">
        <v>10633</v>
      </c>
      <c r="F3206" s="3" t="s">
        <v>14206</v>
      </c>
      <c r="H3206" s="3" t="s">
        <v>648</v>
      </c>
      <c r="K3206" s="2">
        <v>20</v>
      </c>
      <c r="L3206" s="2">
        <v>1</v>
      </c>
      <c r="M3206" s="3" t="s">
        <v>3386</v>
      </c>
      <c r="N3206" s="3" t="s">
        <v>13</v>
      </c>
      <c r="O3206" s="3" t="s">
        <v>14</v>
      </c>
      <c r="Q3206" s="30" t="str">
        <f t="shared" si="50"/>
        <v>MAX : 
TARGET : Yes(Pass)
MIN : No(Fail)</v>
      </c>
    </row>
    <row r="3207" spans="2:17" ht="41.4" x14ac:dyDescent="0.3">
      <c r="B3207">
        <v>1</v>
      </c>
      <c r="C3207" s="33">
        <v>8579</v>
      </c>
      <c r="D3207" s="2">
        <v>1246</v>
      </c>
      <c r="E3207" s="2" t="s">
        <v>10640</v>
      </c>
      <c r="F3207" s="3" t="s">
        <v>14206</v>
      </c>
      <c r="H3207" s="3" t="s">
        <v>648</v>
      </c>
      <c r="K3207" s="2">
        <v>20</v>
      </c>
      <c r="L3207" s="2">
        <v>2</v>
      </c>
      <c r="M3207" s="3" t="s">
        <v>134</v>
      </c>
      <c r="N3207" s="3" t="s">
        <v>13</v>
      </c>
      <c r="O3207" s="3" t="s">
        <v>14</v>
      </c>
      <c r="Q3207" s="30" t="str">
        <f t="shared" si="50"/>
        <v>MAX : 
TARGET : Yes(Pass)
MIN : No(Fail)</v>
      </c>
    </row>
    <row r="3208" spans="2:17" ht="41.4" x14ac:dyDescent="0.3">
      <c r="B3208">
        <v>0</v>
      </c>
      <c r="C3208" s="33">
        <v>8821</v>
      </c>
      <c r="D3208" s="2">
        <v>1295</v>
      </c>
      <c r="E3208" s="2" t="s">
        <v>11113</v>
      </c>
      <c r="F3208" s="3" t="s">
        <v>14206</v>
      </c>
      <c r="H3208" s="3" t="s">
        <v>426</v>
      </c>
      <c r="K3208" s="2">
        <v>30</v>
      </c>
      <c r="L3208" s="2">
        <v>3</v>
      </c>
      <c r="M3208" s="3" t="s">
        <v>3860</v>
      </c>
      <c r="N3208" s="3" t="s">
        <v>2548</v>
      </c>
      <c r="O3208" s="3" t="s">
        <v>273</v>
      </c>
      <c r="P3208" s="3" t="s">
        <v>3861</v>
      </c>
      <c r="Q3208" s="30" t="str">
        <f t="shared" si="50"/>
        <v>MAX : 1.19
TARGET : 1.13
MIN : 1.07</v>
      </c>
    </row>
    <row r="3209" spans="2:17" ht="41.4" x14ac:dyDescent="0.3">
      <c r="B3209">
        <v>0</v>
      </c>
      <c r="C3209" s="33">
        <v>8821</v>
      </c>
      <c r="D3209" s="2">
        <v>1295</v>
      </c>
      <c r="E3209" s="2" t="s">
        <v>11113</v>
      </c>
      <c r="F3209" s="3" t="s">
        <v>14206</v>
      </c>
      <c r="H3209" s="3" t="s">
        <v>426</v>
      </c>
      <c r="K3209" s="2">
        <v>30</v>
      </c>
      <c r="L3209" s="2">
        <v>4</v>
      </c>
      <c r="M3209" s="3" t="s">
        <v>3862</v>
      </c>
      <c r="N3209" s="3" t="s">
        <v>13</v>
      </c>
      <c r="O3209" s="3" t="s">
        <v>14</v>
      </c>
      <c r="Q3209" s="30" t="str">
        <f t="shared" si="50"/>
        <v>MAX : 
TARGET : Yes(Pass)
MIN : No(Fail)</v>
      </c>
    </row>
    <row r="3210" spans="2:17" ht="41.4" x14ac:dyDescent="0.3">
      <c r="B3210">
        <v>1</v>
      </c>
      <c r="C3210" s="33">
        <v>8579</v>
      </c>
      <c r="D3210" s="2">
        <v>1246</v>
      </c>
      <c r="E3210" s="2" t="s">
        <v>10640</v>
      </c>
      <c r="F3210" s="3" t="s">
        <v>14206</v>
      </c>
      <c r="H3210" s="3" t="s">
        <v>648</v>
      </c>
      <c r="K3210" s="2">
        <v>20</v>
      </c>
      <c r="L3210" s="2">
        <v>1</v>
      </c>
      <c r="M3210" s="3" t="s">
        <v>3388</v>
      </c>
      <c r="N3210" s="3" t="s">
        <v>13</v>
      </c>
      <c r="O3210" s="3" t="s">
        <v>14</v>
      </c>
      <c r="Q3210" s="30" t="str">
        <f t="shared" si="50"/>
        <v>MAX : 
TARGET : Yes(Pass)
MIN : No(Fail)</v>
      </c>
    </row>
    <row r="3211" spans="2:17" ht="41.4" x14ac:dyDescent="0.3">
      <c r="B3211">
        <v>1</v>
      </c>
      <c r="C3211" s="33">
        <v>8586</v>
      </c>
      <c r="D3211" s="2">
        <v>1973</v>
      </c>
      <c r="E3211" s="2" t="s">
        <v>10647</v>
      </c>
      <c r="F3211" s="3" t="s">
        <v>14206</v>
      </c>
      <c r="H3211" s="3" t="s">
        <v>98</v>
      </c>
      <c r="K3211" s="2">
        <v>20</v>
      </c>
      <c r="L3211" s="2">
        <v>1</v>
      </c>
      <c r="M3211" s="3" t="s">
        <v>570</v>
      </c>
      <c r="N3211" s="3" t="s">
        <v>2286</v>
      </c>
      <c r="O3211" s="3" t="s">
        <v>132</v>
      </c>
      <c r="P3211" s="3" t="s">
        <v>2287</v>
      </c>
      <c r="Q3211" s="30" t="str">
        <f t="shared" si="50"/>
        <v>MAX : 0.81
TARGET : 0.75
MIN : 0.69</v>
      </c>
    </row>
    <row r="3212" spans="2:17" ht="41.4" x14ac:dyDescent="0.3">
      <c r="B3212">
        <v>1</v>
      </c>
      <c r="C3212" s="33">
        <v>8586</v>
      </c>
      <c r="D3212" s="2">
        <v>1973</v>
      </c>
      <c r="E3212" s="2" t="s">
        <v>10647</v>
      </c>
      <c r="F3212" s="3" t="s">
        <v>14206</v>
      </c>
      <c r="H3212" s="3" t="s">
        <v>98</v>
      </c>
      <c r="K3212" s="2">
        <v>10</v>
      </c>
      <c r="L3212" s="2">
        <v>1</v>
      </c>
      <c r="M3212" s="3" t="s">
        <v>872</v>
      </c>
      <c r="N3212" s="3" t="s">
        <v>13</v>
      </c>
      <c r="O3212" s="3" t="s">
        <v>14</v>
      </c>
      <c r="Q3212" s="30" t="str">
        <f t="shared" si="50"/>
        <v>MAX : 
TARGET : Yes(Pass)
MIN : No(Fail)</v>
      </c>
    </row>
    <row r="3213" spans="2:17" ht="41.4" x14ac:dyDescent="0.3">
      <c r="B3213">
        <v>1</v>
      </c>
      <c r="C3213" s="33">
        <v>8588</v>
      </c>
      <c r="D3213" s="2">
        <v>1974</v>
      </c>
      <c r="E3213" s="2" t="s">
        <v>10654</v>
      </c>
      <c r="F3213" s="3" t="s">
        <v>14206</v>
      </c>
      <c r="H3213" s="3" t="s">
        <v>922</v>
      </c>
      <c r="K3213" s="2">
        <v>20</v>
      </c>
      <c r="L3213" s="2">
        <v>1</v>
      </c>
      <c r="M3213" s="3" t="s">
        <v>2647</v>
      </c>
      <c r="N3213" s="3" t="s">
        <v>13</v>
      </c>
      <c r="O3213" s="3" t="s">
        <v>14</v>
      </c>
      <c r="Q3213" s="30" t="str">
        <f t="shared" si="50"/>
        <v>MAX : 
TARGET : Yes(Pass)
MIN : No(Fail)</v>
      </c>
    </row>
    <row r="3214" spans="2:17" ht="41.4" x14ac:dyDescent="0.3">
      <c r="B3214">
        <v>0</v>
      </c>
      <c r="C3214" s="33">
        <v>8826</v>
      </c>
      <c r="D3214" s="2">
        <v>1296</v>
      </c>
      <c r="E3214" s="2" t="s">
        <v>11136</v>
      </c>
      <c r="F3214" s="3" t="s">
        <v>14206</v>
      </c>
      <c r="H3214" s="3" t="s">
        <v>727</v>
      </c>
      <c r="K3214" s="2">
        <v>20</v>
      </c>
      <c r="L3214" s="2">
        <v>3</v>
      </c>
      <c r="M3214" s="3" t="s">
        <v>3869</v>
      </c>
      <c r="N3214" s="3" t="s">
        <v>13</v>
      </c>
      <c r="O3214" s="3" t="s">
        <v>14</v>
      </c>
      <c r="Q3214" s="30" t="str">
        <f t="shared" si="50"/>
        <v>MAX : 
TARGET : Yes(Pass)
MIN : No(Fail)</v>
      </c>
    </row>
    <row r="3215" spans="2:17" ht="41.4" x14ac:dyDescent="0.3">
      <c r="B3215">
        <v>0</v>
      </c>
      <c r="C3215" s="33">
        <v>8826</v>
      </c>
      <c r="D3215" s="2">
        <v>1296</v>
      </c>
      <c r="E3215" s="2" t="s">
        <v>11136</v>
      </c>
      <c r="F3215" s="3" t="s">
        <v>14206</v>
      </c>
      <c r="H3215" s="3" t="s">
        <v>727</v>
      </c>
      <c r="K3215" s="2">
        <v>20</v>
      </c>
      <c r="L3215" s="2">
        <v>4</v>
      </c>
      <c r="M3215" s="3" t="s">
        <v>3870</v>
      </c>
      <c r="N3215" s="3" t="s">
        <v>13</v>
      </c>
      <c r="O3215" s="3" t="s">
        <v>14</v>
      </c>
      <c r="Q3215" s="30" t="str">
        <f t="shared" si="50"/>
        <v>MAX : 
TARGET : Yes(Pass)
MIN : No(Fail)</v>
      </c>
    </row>
    <row r="3216" spans="2:17" ht="41.4" x14ac:dyDescent="0.3">
      <c r="B3216">
        <v>1</v>
      </c>
      <c r="C3216" s="33">
        <v>8588</v>
      </c>
      <c r="D3216" s="2">
        <v>1974</v>
      </c>
      <c r="E3216" s="2" t="s">
        <v>10654</v>
      </c>
      <c r="F3216" s="3" t="s">
        <v>14206</v>
      </c>
      <c r="H3216" s="3" t="s">
        <v>922</v>
      </c>
      <c r="K3216" s="2">
        <v>10</v>
      </c>
      <c r="L3216" s="2">
        <v>1</v>
      </c>
      <c r="M3216" s="3" t="s">
        <v>570</v>
      </c>
      <c r="N3216" s="3" t="s">
        <v>1985</v>
      </c>
      <c r="O3216" s="3" t="s">
        <v>149</v>
      </c>
      <c r="P3216" s="3" t="s">
        <v>1986</v>
      </c>
      <c r="Q3216" s="30" t="str">
        <f t="shared" si="50"/>
        <v>MAX : 12.03
TARGET : 12.00
MIN : 11.97</v>
      </c>
    </row>
    <row r="3217" spans="2:17" ht="41.4" x14ac:dyDescent="0.3">
      <c r="B3217">
        <v>1</v>
      </c>
      <c r="C3217" s="33">
        <v>8592</v>
      </c>
      <c r="D3217" s="2">
        <v>1247</v>
      </c>
      <c r="E3217" s="2" t="s">
        <v>10661</v>
      </c>
      <c r="F3217" s="3" t="s">
        <v>14207</v>
      </c>
      <c r="H3217" s="3" t="s">
        <v>3395</v>
      </c>
      <c r="K3217" s="2">
        <v>10</v>
      </c>
      <c r="L3217" s="2">
        <v>2</v>
      </c>
      <c r="M3217" s="3" t="s">
        <v>198</v>
      </c>
      <c r="N3217" s="3" t="s">
        <v>2407</v>
      </c>
      <c r="O3217" s="3" t="s">
        <v>2353</v>
      </c>
      <c r="P3217" s="3" t="s">
        <v>3399</v>
      </c>
      <c r="Q3217" s="30" t="str">
        <f t="shared" si="50"/>
        <v>MAX : 2.5
TARGET : 2.0
MIN : 1.5</v>
      </c>
    </row>
    <row r="3218" spans="2:17" ht="41.4" x14ac:dyDescent="0.3">
      <c r="B3218">
        <v>0</v>
      </c>
      <c r="C3218" s="33">
        <v>8833</v>
      </c>
      <c r="D3218" s="2">
        <v>1298</v>
      </c>
      <c r="E3218" s="2" t="s">
        <v>11150</v>
      </c>
      <c r="F3218" s="3" t="s">
        <v>14206</v>
      </c>
      <c r="H3218" s="3" t="s">
        <v>504</v>
      </c>
      <c r="K3218" s="2">
        <v>20</v>
      </c>
      <c r="L3218" s="2">
        <v>3</v>
      </c>
      <c r="M3218" s="3" t="s">
        <v>2226</v>
      </c>
      <c r="N3218" s="3" t="s">
        <v>13</v>
      </c>
      <c r="O3218" s="3" t="s">
        <v>14</v>
      </c>
      <c r="Q3218" s="30" t="str">
        <f t="shared" si="50"/>
        <v>MAX : 
TARGET : Yes(Pass)
MIN : No(Fail)</v>
      </c>
    </row>
    <row r="3219" spans="2:17" ht="41.4" x14ac:dyDescent="0.3">
      <c r="B3219">
        <v>1</v>
      </c>
      <c r="C3219" s="33">
        <v>8592</v>
      </c>
      <c r="D3219" s="2">
        <v>1247</v>
      </c>
      <c r="E3219" s="2" t="s">
        <v>10661</v>
      </c>
      <c r="F3219" s="3" t="s">
        <v>14207</v>
      </c>
      <c r="H3219" s="3" t="s">
        <v>3395</v>
      </c>
      <c r="K3219" s="2">
        <v>10</v>
      </c>
      <c r="L3219" s="2">
        <v>1</v>
      </c>
      <c r="M3219" s="3" t="s">
        <v>194</v>
      </c>
      <c r="N3219" s="3" t="s">
        <v>3396</v>
      </c>
      <c r="O3219" s="3" t="s">
        <v>3397</v>
      </c>
      <c r="P3219" s="3" t="s">
        <v>3398</v>
      </c>
      <c r="Q3219" s="30" t="str">
        <f t="shared" si="50"/>
        <v>MAX : 51.6
TARGET : 50.6
MIN : 49.6</v>
      </c>
    </row>
    <row r="3220" spans="2:17" ht="41.4" x14ac:dyDescent="0.3">
      <c r="B3220">
        <v>1</v>
      </c>
      <c r="C3220" s="33">
        <v>8594</v>
      </c>
      <c r="D3220" s="2">
        <v>1248</v>
      </c>
      <c r="E3220" s="2" t="s">
        <v>10669</v>
      </c>
      <c r="F3220" s="3" t="s">
        <v>14206</v>
      </c>
      <c r="H3220" s="3" t="s">
        <v>3067</v>
      </c>
      <c r="K3220" s="2">
        <v>20</v>
      </c>
      <c r="L3220" s="2">
        <v>2</v>
      </c>
      <c r="M3220" s="3" t="s">
        <v>198</v>
      </c>
      <c r="N3220" s="3" t="s">
        <v>1504</v>
      </c>
      <c r="O3220" s="3" t="s">
        <v>815</v>
      </c>
      <c r="P3220" s="3" t="s">
        <v>1505</v>
      </c>
      <c r="Q3220" s="30" t="str">
        <f t="shared" si="50"/>
        <v>MAX : 3.06
TARGET : 3.00
MIN : 2.94</v>
      </c>
    </row>
    <row r="3221" spans="2:17" ht="41.4" x14ac:dyDescent="0.3">
      <c r="B3221">
        <v>0</v>
      </c>
      <c r="C3221" s="33">
        <v>8480</v>
      </c>
      <c r="D3221" s="2">
        <v>1231</v>
      </c>
      <c r="E3221" s="2" t="s">
        <v>10517</v>
      </c>
      <c r="F3221" s="3" t="s">
        <v>14206</v>
      </c>
      <c r="H3221" s="3" t="s">
        <v>3323</v>
      </c>
      <c r="K3221" s="2">
        <v>10</v>
      </c>
      <c r="L3221" s="2">
        <v>7</v>
      </c>
      <c r="M3221" s="3" t="s">
        <v>3331</v>
      </c>
      <c r="N3221" s="3" t="s">
        <v>24</v>
      </c>
      <c r="O3221" s="3" t="s">
        <v>25</v>
      </c>
      <c r="Q3221" s="30" t="str">
        <f t="shared" si="50"/>
        <v>MAX : 
TARGET : Yes (Pass)
MIN : No (Fail)</v>
      </c>
    </row>
    <row r="3222" spans="2:17" ht="41.4" x14ac:dyDescent="0.3">
      <c r="B3222">
        <v>1</v>
      </c>
      <c r="C3222" s="33">
        <v>8594</v>
      </c>
      <c r="D3222" s="2">
        <v>1248</v>
      </c>
      <c r="E3222" s="2" t="s">
        <v>10669</v>
      </c>
      <c r="F3222" s="3" t="s">
        <v>14206</v>
      </c>
      <c r="H3222" s="3" t="s">
        <v>3067</v>
      </c>
      <c r="K3222" s="2">
        <v>20</v>
      </c>
      <c r="L3222" s="2">
        <v>1</v>
      </c>
      <c r="M3222" s="3" t="s">
        <v>194</v>
      </c>
      <c r="N3222" s="3" t="s">
        <v>1504</v>
      </c>
      <c r="O3222" s="3" t="s">
        <v>815</v>
      </c>
      <c r="P3222" s="3" t="s">
        <v>1505</v>
      </c>
      <c r="Q3222" s="30" t="str">
        <f t="shared" si="50"/>
        <v>MAX : 3.06
TARGET : 3.00
MIN : 2.94</v>
      </c>
    </row>
    <row r="3223" spans="2:17" ht="41.4" x14ac:dyDescent="0.3">
      <c r="B3223">
        <v>1</v>
      </c>
      <c r="C3223" s="33">
        <v>8597</v>
      </c>
      <c r="D3223" s="2">
        <v>1975</v>
      </c>
      <c r="E3223" s="2" t="s">
        <v>10675</v>
      </c>
      <c r="F3223" s="3" t="s">
        <v>14206</v>
      </c>
      <c r="H3223" s="3" t="s">
        <v>168</v>
      </c>
      <c r="K3223" s="2">
        <v>10</v>
      </c>
      <c r="L3223" s="2">
        <v>3</v>
      </c>
      <c r="M3223" s="3" t="s">
        <v>611</v>
      </c>
      <c r="N3223" s="3" t="s">
        <v>13</v>
      </c>
      <c r="O3223" s="3" t="s">
        <v>14</v>
      </c>
      <c r="Q3223" s="30" t="str">
        <f t="shared" si="50"/>
        <v>MAX : 
TARGET : Yes(Pass)
MIN : No(Fail)</v>
      </c>
    </row>
    <row r="3224" spans="2:17" ht="41.4" x14ac:dyDescent="0.3">
      <c r="B3224">
        <v>0</v>
      </c>
      <c r="C3224" s="33">
        <v>8835</v>
      </c>
      <c r="D3224" s="2">
        <v>1300</v>
      </c>
      <c r="E3224" s="2" t="s">
        <v>11163</v>
      </c>
      <c r="F3224" s="3" t="s">
        <v>14206</v>
      </c>
      <c r="H3224" s="3" t="s">
        <v>600</v>
      </c>
      <c r="K3224" s="2">
        <v>10</v>
      </c>
      <c r="L3224" s="2">
        <v>3</v>
      </c>
      <c r="M3224" s="3" t="s">
        <v>3873</v>
      </c>
      <c r="N3224" s="3" t="s">
        <v>13</v>
      </c>
      <c r="O3224" s="3" t="s">
        <v>14</v>
      </c>
      <c r="Q3224" s="30" t="str">
        <f t="shared" si="50"/>
        <v>MAX : 
TARGET : Yes(Pass)
MIN : No(Fail)</v>
      </c>
    </row>
    <row r="3225" spans="2:17" ht="41.4" x14ac:dyDescent="0.3">
      <c r="B3225">
        <v>1</v>
      </c>
      <c r="C3225" s="33">
        <v>8597</v>
      </c>
      <c r="D3225" s="2">
        <v>1975</v>
      </c>
      <c r="E3225" s="2" t="s">
        <v>10675</v>
      </c>
      <c r="F3225" s="3" t="s">
        <v>14206</v>
      </c>
      <c r="H3225" s="3" t="s">
        <v>168</v>
      </c>
      <c r="K3225" s="2">
        <v>10</v>
      </c>
      <c r="L3225" s="2">
        <v>1</v>
      </c>
      <c r="M3225" s="3" t="s">
        <v>99</v>
      </c>
      <c r="N3225" s="3" t="s">
        <v>459</v>
      </c>
      <c r="O3225" s="3" t="s">
        <v>406</v>
      </c>
      <c r="P3225" s="3" t="s">
        <v>460</v>
      </c>
      <c r="Q3225" s="30" t="str">
        <f t="shared" si="50"/>
        <v>MAX : 2.03
TARGET : 2.00
MIN : 1.97</v>
      </c>
    </row>
    <row r="3226" spans="2:17" ht="41.4" x14ac:dyDescent="0.3">
      <c r="B3226">
        <v>1</v>
      </c>
      <c r="C3226" s="33">
        <v>8604</v>
      </c>
      <c r="D3226" s="2">
        <v>1249</v>
      </c>
      <c r="E3226" s="2" t="s">
        <v>10682</v>
      </c>
      <c r="F3226" s="3" t="s">
        <v>14206</v>
      </c>
      <c r="H3226" s="3" t="s">
        <v>3404</v>
      </c>
      <c r="K3226" s="2">
        <v>10</v>
      </c>
      <c r="L3226" s="2">
        <v>2</v>
      </c>
      <c r="M3226" s="3" t="s">
        <v>325</v>
      </c>
      <c r="N3226" s="3" t="s">
        <v>13</v>
      </c>
      <c r="O3226" s="3" t="s">
        <v>14</v>
      </c>
      <c r="Q3226" s="30" t="str">
        <f t="shared" si="50"/>
        <v>MAX : 
TARGET : Yes(Pass)
MIN : No(Fail)</v>
      </c>
    </row>
    <row r="3227" spans="2:17" ht="41.4" x14ac:dyDescent="0.3">
      <c r="B3227">
        <v>1</v>
      </c>
      <c r="C3227" s="33">
        <v>8604</v>
      </c>
      <c r="D3227" s="2">
        <v>1249</v>
      </c>
      <c r="E3227" s="2" t="s">
        <v>10682</v>
      </c>
      <c r="F3227" s="3" t="s">
        <v>14206</v>
      </c>
      <c r="H3227" s="3" t="s">
        <v>3404</v>
      </c>
      <c r="K3227" s="2">
        <v>10</v>
      </c>
      <c r="L3227" s="2">
        <v>1</v>
      </c>
      <c r="M3227" s="3" t="s">
        <v>3405</v>
      </c>
      <c r="N3227" s="3" t="s">
        <v>485</v>
      </c>
      <c r="O3227" s="3" t="s">
        <v>272</v>
      </c>
      <c r="P3227" s="3" t="s">
        <v>507</v>
      </c>
      <c r="Q3227" s="30" t="str">
        <f t="shared" si="50"/>
        <v>MAX : 1.06
TARGET : 1.00
MIN : 0.94</v>
      </c>
    </row>
    <row r="3228" spans="2:17" ht="41.4" x14ac:dyDescent="0.3">
      <c r="B3228">
        <v>1</v>
      </c>
      <c r="C3228" s="33">
        <v>8611</v>
      </c>
      <c r="D3228" s="2">
        <v>1250</v>
      </c>
      <c r="E3228" s="2" t="s">
        <v>10690</v>
      </c>
      <c r="F3228" s="3" t="s">
        <v>14207</v>
      </c>
      <c r="H3228" s="3" t="s">
        <v>810</v>
      </c>
      <c r="K3228" s="2">
        <v>10</v>
      </c>
      <c r="L3228" s="2">
        <v>2</v>
      </c>
      <c r="M3228" s="3" t="s">
        <v>198</v>
      </c>
      <c r="N3228" s="3" t="s">
        <v>3412</v>
      </c>
      <c r="O3228" s="3" t="s">
        <v>3413</v>
      </c>
      <c r="P3228" s="3" t="s">
        <v>3414</v>
      </c>
      <c r="Q3228" s="30" t="str">
        <f t="shared" si="50"/>
        <v>MAX : 5.66
TARGET : 4.90
MIN : 4.14</v>
      </c>
    </row>
    <row r="3229" spans="2:17" ht="41.4" x14ac:dyDescent="0.3">
      <c r="B3229">
        <v>1</v>
      </c>
      <c r="C3229" s="33">
        <v>8611</v>
      </c>
      <c r="D3229" s="2">
        <v>1250</v>
      </c>
      <c r="E3229" s="2" t="s">
        <v>10690</v>
      </c>
      <c r="F3229" s="3" t="s">
        <v>14207</v>
      </c>
      <c r="H3229" s="3" t="s">
        <v>810</v>
      </c>
      <c r="K3229" s="2">
        <v>10</v>
      </c>
      <c r="L3229" s="2">
        <v>1</v>
      </c>
      <c r="M3229" s="3" t="s">
        <v>194</v>
      </c>
      <c r="N3229" s="3" t="s">
        <v>3410</v>
      </c>
      <c r="O3229" s="3" t="s">
        <v>3411</v>
      </c>
      <c r="P3229" s="3" t="s">
        <v>1642</v>
      </c>
      <c r="Q3229" s="30" t="str">
        <f t="shared" si="50"/>
        <v>MAX : 12.06
TARGET : 11.30
MIN : 10.54</v>
      </c>
    </row>
    <row r="3230" spans="2:17" ht="41.4" x14ac:dyDescent="0.3">
      <c r="B3230">
        <v>1</v>
      </c>
      <c r="C3230" s="33">
        <v>8612</v>
      </c>
      <c r="D3230" s="2">
        <v>1251</v>
      </c>
      <c r="E3230" s="2" t="s">
        <v>10697</v>
      </c>
      <c r="F3230" s="3" t="s">
        <v>14207</v>
      </c>
      <c r="H3230" s="3" t="s">
        <v>810</v>
      </c>
      <c r="K3230" s="2">
        <v>10</v>
      </c>
      <c r="L3230" s="2">
        <v>2</v>
      </c>
      <c r="M3230" s="3" t="s">
        <v>198</v>
      </c>
      <c r="N3230" s="3" t="s">
        <v>3416</v>
      </c>
      <c r="O3230" s="3" t="s">
        <v>3417</v>
      </c>
      <c r="P3230" s="3" t="s">
        <v>3418</v>
      </c>
      <c r="Q3230" s="30" t="str">
        <f t="shared" si="50"/>
        <v>MAX : 7.16
TARGET : 6.40
MIN : 5.64</v>
      </c>
    </row>
    <row r="3231" spans="2:17" ht="41.4" x14ac:dyDescent="0.3">
      <c r="B3231">
        <v>0</v>
      </c>
      <c r="C3231" s="33">
        <v>8839</v>
      </c>
      <c r="D3231" s="2">
        <v>1302</v>
      </c>
      <c r="E3231" s="2" t="s">
        <v>11183</v>
      </c>
      <c r="F3231" s="3" t="s">
        <v>14206</v>
      </c>
      <c r="H3231" s="3" t="s">
        <v>504</v>
      </c>
      <c r="K3231" s="2">
        <v>20</v>
      </c>
      <c r="L3231" s="2">
        <v>3</v>
      </c>
      <c r="M3231" s="3" t="s">
        <v>18</v>
      </c>
      <c r="N3231" s="3" t="s">
        <v>485</v>
      </c>
      <c r="O3231" s="3" t="s">
        <v>272</v>
      </c>
      <c r="P3231" s="3" t="s">
        <v>507</v>
      </c>
      <c r="Q3231" s="30" t="str">
        <f t="shared" si="50"/>
        <v>MAX : 1.06
TARGET : 1.00
MIN : 0.94</v>
      </c>
    </row>
    <row r="3232" spans="2:17" ht="41.4" x14ac:dyDescent="0.3">
      <c r="B3232">
        <v>0</v>
      </c>
      <c r="C3232" s="33">
        <v>8839</v>
      </c>
      <c r="D3232" s="2">
        <v>1302</v>
      </c>
      <c r="E3232" s="2" t="s">
        <v>11183</v>
      </c>
      <c r="F3232" s="3" t="s">
        <v>14206</v>
      </c>
      <c r="H3232" s="3" t="s">
        <v>504</v>
      </c>
      <c r="K3232" s="2">
        <v>20</v>
      </c>
      <c r="L3232" s="2">
        <v>4</v>
      </c>
      <c r="M3232" s="3" t="s">
        <v>508</v>
      </c>
      <c r="N3232" s="3" t="s">
        <v>13</v>
      </c>
      <c r="O3232" s="3" t="s">
        <v>14</v>
      </c>
      <c r="Q3232" s="30" t="str">
        <f t="shared" si="50"/>
        <v>MAX : 
TARGET : Yes(Pass)
MIN : No(Fail)</v>
      </c>
    </row>
    <row r="3233" spans="2:17" ht="41.4" x14ac:dyDescent="0.3">
      <c r="B3233">
        <v>0</v>
      </c>
      <c r="C3233" s="33">
        <v>8839</v>
      </c>
      <c r="D3233" s="2">
        <v>1302</v>
      </c>
      <c r="E3233" s="2" t="s">
        <v>11183</v>
      </c>
      <c r="F3233" s="3" t="s">
        <v>14206</v>
      </c>
      <c r="H3233" s="3" t="s">
        <v>504</v>
      </c>
      <c r="K3233" s="2">
        <v>20</v>
      </c>
      <c r="L3233" s="2">
        <v>5</v>
      </c>
      <c r="M3233" s="3" t="s">
        <v>509</v>
      </c>
      <c r="N3233" s="3" t="s">
        <v>13</v>
      </c>
      <c r="O3233" s="3" t="s">
        <v>14</v>
      </c>
      <c r="Q3233" s="30" t="str">
        <f t="shared" si="50"/>
        <v>MAX : 
TARGET : Yes(Pass)
MIN : No(Fail)</v>
      </c>
    </row>
    <row r="3234" spans="2:17" ht="41.4" x14ac:dyDescent="0.3">
      <c r="B3234">
        <v>1</v>
      </c>
      <c r="C3234" s="33">
        <v>8612</v>
      </c>
      <c r="D3234" s="2">
        <v>1251</v>
      </c>
      <c r="E3234" s="2" t="s">
        <v>10697</v>
      </c>
      <c r="F3234" s="3" t="s">
        <v>14207</v>
      </c>
      <c r="H3234" s="3" t="s">
        <v>810</v>
      </c>
      <c r="K3234" s="2">
        <v>10</v>
      </c>
      <c r="L3234" s="2">
        <v>1</v>
      </c>
      <c r="M3234" s="3" t="s">
        <v>194</v>
      </c>
      <c r="N3234" s="3" t="s">
        <v>3410</v>
      </c>
      <c r="O3234" s="3" t="s">
        <v>3411</v>
      </c>
      <c r="P3234" s="3" t="s">
        <v>1642</v>
      </c>
      <c r="Q3234" s="30" t="str">
        <f t="shared" si="50"/>
        <v>MAX : 12.06
TARGET : 11.30
MIN : 10.54</v>
      </c>
    </row>
    <row r="3235" spans="2:17" ht="41.4" x14ac:dyDescent="0.3">
      <c r="B3235">
        <v>1</v>
      </c>
      <c r="C3235" s="33">
        <v>8613</v>
      </c>
      <c r="D3235" s="2">
        <v>1252</v>
      </c>
      <c r="E3235" s="2" t="s">
        <v>10704</v>
      </c>
      <c r="F3235" s="3" t="s">
        <v>14207</v>
      </c>
      <c r="H3235" s="3" t="s">
        <v>810</v>
      </c>
      <c r="K3235" s="2">
        <v>10</v>
      </c>
      <c r="L3235" s="2">
        <v>2</v>
      </c>
      <c r="M3235" s="3" t="s">
        <v>198</v>
      </c>
      <c r="N3235" s="3" t="s">
        <v>2872</v>
      </c>
      <c r="O3235" s="3" t="s">
        <v>1966</v>
      </c>
      <c r="P3235" s="3" t="s">
        <v>3422</v>
      </c>
      <c r="Q3235" s="30" t="str">
        <f t="shared" si="50"/>
        <v>MAX : 7.66
TARGET : 6.90
MIN : 6.14</v>
      </c>
    </row>
    <row r="3236" spans="2:17" ht="41.4" x14ac:dyDescent="0.3">
      <c r="B3236">
        <v>0</v>
      </c>
      <c r="C3236" s="33">
        <v>8834</v>
      </c>
      <c r="D3236" s="2">
        <v>1299</v>
      </c>
      <c r="E3236" s="2" t="s">
        <v>11157</v>
      </c>
      <c r="F3236" s="3" t="s">
        <v>14206</v>
      </c>
      <c r="H3236" s="3" t="s">
        <v>3788</v>
      </c>
      <c r="K3236" s="2">
        <v>20</v>
      </c>
      <c r="L3236" s="2">
        <v>4</v>
      </c>
      <c r="M3236" s="3" t="s">
        <v>3883</v>
      </c>
      <c r="N3236" s="3" t="s">
        <v>3884</v>
      </c>
      <c r="O3236" s="3" t="s">
        <v>3885</v>
      </c>
      <c r="P3236" s="3" t="s">
        <v>3886</v>
      </c>
      <c r="Q3236" s="30" t="str">
        <f t="shared" si="50"/>
        <v>MAX : 2.465
TARGET : 2.450
MIN : 2.435</v>
      </c>
    </row>
    <row r="3237" spans="2:17" ht="41.4" x14ac:dyDescent="0.3">
      <c r="B3237">
        <v>0</v>
      </c>
      <c r="C3237" s="33">
        <v>8834</v>
      </c>
      <c r="D3237" s="2">
        <v>1299</v>
      </c>
      <c r="E3237" s="2" t="s">
        <v>11157</v>
      </c>
      <c r="F3237" s="3" t="s">
        <v>14206</v>
      </c>
      <c r="H3237" s="3" t="s">
        <v>3788</v>
      </c>
      <c r="K3237" s="2">
        <v>20</v>
      </c>
      <c r="L3237" s="2">
        <v>5</v>
      </c>
      <c r="M3237" s="3" t="s">
        <v>3887</v>
      </c>
      <c r="N3237" s="3" t="s">
        <v>1599</v>
      </c>
      <c r="O3237" s="3" t="s">
        <v>1600</v>
      </c>
      <c r="P3237" s="3" t="s">
        <v>3888</v>
      </c>
      <c r="Q3237" s="30" t="str">
        <f t="shared" si="50"/>
        <v>MAX : 2.215
TARGET : 2.200
MIN : 2.185</v>
      </c>
    </row>
    <row r="3238" spans="2:17" ht="41.4" x14ac:dyDescent="0.3">
      <c r="B3238">
        <v>0</v>
      </c>
      <c r="C3238" s="33">
        <v>8834</v>
      </c>
      <c r="D3238" s="2">
        <v>1299</v>
      </c>
      <c r="E3238" s="2" t="s">
        <v>11157</v>
      </c>
      <c r="F3238" s="3" t="s">
        <v>14206</v>
      </c>
      <c r="H3238" s="3" t="s">
        <v>3788</v>
      </c>
      <c r="K3238" s="2">
        <v>20</v>
      </c>
      <c r="L3238" s="2">
        <v>7</v>
      </c>
      <c r="M3238" s="3" t="s">
        <v>240</v>
      </c>
      <c r="N3238" s="3" t="s">
        <v>1602</v>
      </c>
      <c r="O3238" s="3" t="s">
        <v>281</v>
      </c>
      <c r="P3238" s="3" t="s">
        <v>1603</v>
      </c>
      <c r="Q3238" s="30" t="str">
        <f t="shared" si="50"/>
        <v>MAX : 0.265
TARGET : 0.250
MIN : 0.235</v>
      </c>
    </row>
    <row r="3239" spans="2:17" ht="41.4" x14ac:dyDescent="0.3">
      <c r="B3239">
        <v>0</v>
      </c>
      <c r="C3239" s="33">
        <v>8834</v>
      </c>
      <c r="D3239" s="2">
        <v>1299</v>
      </c>
      <c r="E3239" s="2" t="s">
        <v>11157</v>
      </c>
      <c r="F3239" s="3" t="s">
        <v>14206</v>
      </c>
      <c r="H3239" s="3" t="s">
        <v>3788</v>
      </c>
      <c r="K3239" s="2">
        <v>20</v>
      </c>
      <c r="L3239" s="2">
        <v>9</v>
      </c>
      <c r="M3239" s="3" t="s">
        <v>3889</v>
      </c>
      <c r="N3239" s="3" t="s">
        <v>13</v>
      </c>
      <c r="O3239" s="3" t="s">
        <v>14</v>
      </c>
      <c r="Q3239" s="30" t="str">
        <f t="shared" si="50"/>
        <v>MAX : 
TARGET : Yes(Pass)
MIN : No(Fail)</v>
      </c>
    </row>
    <row r="3240" spans="2:17" ht="41.4" x14ac:dyDescent="0.3">
      <c r="B3240">
        <v>1</v>
      </c>
      <c r="C3240" s="33">
        <v>8613</v>
      </c>
      <c r="D3240" s="2">
        <v>1252</v>
      </c>
      <c r="E3240" s="2" t="s">
        <v>10704</v>
      </c>
      <c r="F3240" s="3" t="s">
        <v>14207</v>
      </c>
      <c r="H3240" s="3" t="s">
        <v>810</v>
      </c>
      <c r="K3240" s="2">
        <v>10</v>
      </c>
      <c r="L3240" s="2">
        <v>1</v>
      </c>
      <c r="M3240" s="3" t="s">
        <v>194</v>
      </c>
      <c r="N3240" s="3" t="s">
        <v>3419</v>
      </c>
      <c r="O3240" s="3" t="s">
        <v>3420</v>
      </c>
      <c r="P3240" s="3" t="s">
        <v>3421</v>
      </c>
      <c r="Q3240" s="30" t="str">
        <f t="shared" si="50"/>
        <v>MAX : 14.06
TARGET : 13.30
MIN : 12.54</v>
      </c>
    </row>
    <row r="3241" spans="2:17" ht="41.4" x14ac:dyDescent="0.3">
      <c r="B3241">
        <v>0</v>
      </c>
      <c r="C3241" s="33">
        <v>8483</v>
      </c>
      <c r="D3241" s="2">
        <v>1234</v>
      </c>
      <c r="E3241" s="2" t="s">
        <v>10532</v>
      </c>
      <c r="F3241" s="3" t="s">
        <v>14206</v>
      </c>
      <c r="H3241" s="3" t="s">
        <v>3323</v>
      </c>
      <c r="K3241" s="2">
        <v>10</v>
      </c>
      <c r="L3241" s="2">
        <v>1</v>
      </c>
      <c r="M3241" s="3" t="s">
        <v>3324</v>
      </c>
      <c r="N3241" s="3" t="s">
        <v>24</v>
      </c>
      <c r="O3241" s="3" t="s">
        <v>25</v>
      </c>
      <c r="Q3241" s="30" t="str">
        <f t="shared" si="50"/>
        <v>MAX : 
TARGET : Yes (Pass)
MIN : No (Fail)</v>
      </c>
    </row>
    <row r="3242" spans="2:17" ht="41.4" x14ac:dyDescent="0.3">
      <c r="B3242">
        <v>1</v>
      </c>
      <c r="C3242" s="33">
        <v>8614</v>
      </c>
      <c r="D3242" s="2">
        <v>1253</v>
      </c>
      <c r="E3242" s="2" t="s">
        <v>10709</v>
      </c>
      <c r="F3242" s="3" t="s">
        <v>14206</v>
      </c>
      <c r="H3242" s="3" t="s">
        <v>469</v>
      </c>
      <c r="K3242" s="2">
        <v>20</v>
      </c>
      <c r="L3242" s="2">
        <v>3</v>
      </c>
      <c r="M3242" s="3" t="s">
        <v>3426</v>
      </c>
      <c r="N3242" s="3" t="s">
        <v>3427</v>
      </c>
      <c r="O3242" s="3" t="s">
        <v>3428</v>
      </c>
      <c r="P3242" s="3" t="s">
        <v>3429</v>
      </c>
      <c r="Q3242" s="30" t="str">
        <f t="shared" si="50"/>
        <v>MAX : 3.330
TARGET : 3.300
MIN : 3.270</v>
      </c>
    </row>
    <row r="3243" spans="2:17" ht="41.4" x14ac:dyDescent="0.3">
      <c r="B3243">
        <v>0</v>
      </c>
      <c r="C3243" s="33">
        <v>8846</v>
      </c>
      <c r="D3243" s="2">
        <v>1308</v>
      </c>
      <c r="E3243" s="2" t="s">
        <v>11206</v>
      </c>
      <c r="F3243" s="3" t="s">
        <v>14206</v>
      </c>
      <c r="H3243" s="3" t="s">
        <v>3788</v>
      </c>
      <c r="K3243" s="2">
        <v>10</v>
      </c>
      <c r="L3243" s="2">
        <v>3</v>
      </c>
      <c r="M3243" s="3" t="s">
        <v>3896</v>
      </c>
      <c r="N3243" s="3" t="s">
        <v>13</v>
      </c>
      <c r="O3243" s="3" t="s">
        <v>14</v>
      </c>
      <c r="Q3243" s="30" t="str">
        <f t="shared" si="50"/>
        <v>MAX : 
TARGET : Yes(Pass)
MIN : No(Fail)</v>
      </c>
    </row>
    <row r="3244" spans="2:17" ht="41.4" x14ac:dyDescent="0.3">
      <c r="B3244">
        <v>1</v>
      </c>
      <c r="C3244" s="33">
        <v>8614</v>
      </c>
      <c r="D3244" s="2">
        <v>1253</v>
      </c>
      <c r="E3244" s="2" t="s">
        <v>10709</v>
      </c>
      <c r="F3244" s="3" t="s">
        <v>14206</v>
      </c>
      <c r="H3244" s="3" t="s">
        <v>469</v>
      </c>
      <c r="K3244" s="2">
        <v>20</v>
      </c>
      <c r="L3244" s="2">
        <v>9</v>
      </c>
      <c r="M3244" s="3" t="s">
        <v>3586</v>
      </c>
      <c r="N3244" s="3" t="s">
        <v>13</v>
      </c>
      <c r="O3244" s="3" t="s">
        <v>14</v>
      </c>
      <c r="Q3244" s="30" t="str">
        <f t="shared" si="50"/>
        <v>MAX : 
TARGET : Yes(Pass)
MIN : No(Fail)</v>
      </c>
    </row>
    <row r="3245" spans="2:17" ht="41.4" x14ac:dyDescent="0.3">
      <c r="B3245">
        <v>1</v>
      </c>
      <c r="C3245" s="33">
        <v>8614</v>
      </c>
      <c r="D3245" s="2">
        <v>1253</v>
      </c>
      <c r="E3245" s="2" t="s">
        <v>10709</v>
      </c>
      <c r="F3245" s="3" t="s">
        <v>14206</v>
      </c>
      <c r="H3245" s="3" t="s">
        <v>469</v>
      </c>
      <c r="K3245" s="2">
        <v>20</v>
      </c>
      <c r="L3245" s="2">
        <v>4</v>
      </c>
      <c r="M3245" s="3" t="s">
        <v>570</v>
      </c>
      <c r="N3245" s="3" t="s">
        <v>3423</v>
      </c>
      <c r="O3245" s="3" t="s">
        <v>3424</v>
      </c>
      <c r="P3245" s="3" t="s">
        <v>3425</v>
      </c>
      <c r="Q3245" s="30" t="str">
        <f t="shared" si="50"/>
        <v>MAX : 4.330
TARGET : 4.300
MIN : 4.270</v>
      </c>
    </row>
    <row r="3246" spans="2:17" ht="41.4" x14ac:dyDescent="0.3">
      <c r="B3246">
        <v>0</v>
      </c>
      <c r="C3246" s="33">
        <v>8847</v>
      </c>
      <c r="D3246" s="2">
        <v>1309</v>
      </c>
      <c r="E3246" s="2" t="s">
        <v>11212</v>
      </c>
      <c r="F3246" s="3" t="s">
        <v>14206</v>
      </c>
      <c r="H3246" s="3" t="s">
        <v>600</v>
      </c>
      <c r="K3246" s="2">
        <v>10</v>
      </c>
      <c r="L3246" s="2">
        <v>5</v>
      </c>
      <c r="M3246" s="3" t="s">
        <v>669</v>
      </c>
      <c r="N3246" s="3" t="s">
        <v>13</v>
      </c>
      <c r="O3246" s="3" t="s">
        <v>14</v>
      </c>
      <c r="Q3246" s="30" t="str">
        <f t="shared" si="50"/>
        <v>MAX : 
TARGET : Yes(Pass)
MIN : No(Fail)</v>
      </c>
    </row>
    <row r="3247" spans="2:17" ht="41.4" x14ac:dyDescent="0.3">
      <c r="B3247">
        <v>0</v>
      </c>
      <c r="C3247" s="33">
        <v>8847</v>
      </c>
      <c r="D3247" s="2">
        <v>1309</v>
      </c>
      <c r="E3247" s="2" t="s">
        <v>11212</v>
      </c>
      <c r="F3247" s="3" t="s">
        <v>14206</v>
      </c>
      <c r="H3247" s="3" t="s">
        <v>600</v>
      </c>
      <c r="K3247" s="2">
        <v>10</v>
      </c>
      <c r="L3247" s="2">
        <v>6</v>
      </c>
      <c r="M3247" s="3" t="s">
        <v>670</v>
      </c>
      <c r="N3247" s="3" t="s">
        <v>13</v>
      </c>
      <c r="O3247" s="3" t="s">
        <v>14</v>
      </c>
      <c r="Q3247" s="30" t="str">
        <f t="shared" si="50"/>
        <v>MAX : 
TARGET : Yes(Pass)
MIN : No(Fail)</v>
      </c>
    </row>
    <row r="3248" spans="2:17" ht="41.4" x14ac:dyDescent="0.3">
      <c r="B3248">
        <v>1</v>
      </c>
      <c r="C3248" s="33">
        <v>8614</v>
      </c>
      <c r="D3248" s="2">
        <v>1253</v>
      </c>
      <c r="E3248" s="2" t="s">
        <v>10709</v>
      </c>
      <c r="F3248" s="3" t="s">
        <v>14206</v>
      </c>
      <c r="H3248" s="3" t="s">
        <v>469</v>
      </c>
      <c r="K3248" s="2">
        <v>20</v>
      </c>
      <c r="L3248" s="2">
        <v>2</v>
      </c>
      <c r="M3248" s="3" t="s">
        <v>3314</v>
      </c>
      <c r="N3248" s="3" t="s">
        <v>3583</v>
      </c>
      <c r="O3248" s="3" t="s">
        <v>3584</v>
      </c>
      <c r="P3248" s="3" t="s">
        <v>3585</v>
      </c>
      <c r="Q3248" s="30" t="str">
        <f t="shared" si="50"/>
        <v>MAX : 2.568
TARGET : 2.538
MIN : 2.508</v>
      </c>
    </row>
    <row r="3249" spans="2:18" ht="41.4" x14ac:dyDescent="0.3">
      <c r="B3249">
        <v>0</v>
      </c>
      <c r="C3249" s="33">
        <v>8484</v>
      </c>
      <c r="D3249" s="2">
        <v>1235</v>
      </c>
      <c r="E3249" s="2" t="s">
        <v>10536</v>
      </c>
      <c r="F3249" s="3" t="s">
        <v>14206</v>
      </c>
      <c r="H3249" s="3" t="s">
        <v>3323</v>
      </c>
      <c r="K3249" s="2">
        <v>10</v>
      </c>
      <c r="L3249" s="2">
        <v>1</v>
      </c>
      <c r="M3249" s="3" t="s">
        <v>3324</v>
      </c>
      <c r="N3249" s="3" t="s">
        <v>24</v>
      </c>
      <c r="O3249" s="3" t="s">
        <v>25</v>
      </c>
      <c r="Q3249" s="30" t="str">
        <f t="shared" si="50"/>
        <v>MAX : 
TARGET : Yes (Pass)
MIN : No (Fail)</v>
      </c>
    </row>
    <row r="3250" spans="2:18" ht="41.4" x14ac:dyDescent="0.3">
      <c r="B3250">
        <v>1</v>
      </c>
      <c r="C3250" s="33">
        <v>8614</v>
      </c>
      <c r="D3250" s="2">
        <v>1253</v>
      </c>
      <c r="E3250" s="2" t="s">
        <v>10709</v>
      </c>
      <c r="F3250" s="3" t="s">
        <v>14206</v>
      </c>
      <c r="H3250" s="3" t="s">
        <v>469</v>
      </c>
      <c r="K3250" s="2">
        <v>20</v>
      </c>
      <c r="L3250" s="2">
        <v>5</v>
      </c>
      <c r="M3250" s="3" t="s">
        <v>5641</v>
      </c>
      <c r="N3250" s="3" t="s">
        <v>1348</v>
      </c>
      <c r="O3250" s="3" t="s">
        <v>1527</v>
      </c>
      <c r="P3250" s="3" t="s">
        <v>4613</v>
      </c>
      <c r="Q3250" s="30" t="str">
        <f t="shared" si="50"/>
        <v>MAX : 0.350
TARGET : 0.320
MIN : 0.290</v>
      </c>
    </row>
    <row r="3251" spans="2:18" ht="41.4" x14ac:dyDescent="0.3">
      <c r="B3251">
        <v>0</v>
      </c>
      <c r="C3251" s="33">
        <v>8849</v>
      </c>
      <c r="D3251" s="2">
        <v>1311</v>
      </c>
      <c r="E3251" s="2" t="s">
        <v>11225</v>
      </c>
      <c r="F3251" s="3" t="s">
        <v>14206</v>
      </c>
      <c r="H3251" s="3" t="s">
        <v>1903</v>
      </c>
      <c r="K3251" s="2">
        <v>20</v>
      </c>
      <c r="L3251" s="2">
        <v>2</v>
      </c>
      <c r="M3251" s="3" t="s">
        <v>3900</v>
      </c>
      <c r="N3251" s="3" t="s">
        <v>1703</v>
      </c>
      <c r="O3251" s="3" t="s">
        <v>1814</v>
      </c>
      <c r="P3251" s="3" t="s">
        <v>2023</v>
      </c>
      <c r="Q3251" s="30" t="str">
        <f t="shared" si="50"/>
        <v>MAX : 0.66
TARGET : 0.63
MIN : 0.60</v>
      </c>
    </row>
    <row r="3252" spans="2:18" ht="41.4" x14ac:dyDescent="0.3">
      <c r="B3252">
        <v>0</v>
      </c>
      <c r="C3252" s="33">
        <v>8849</v>
      </c>
      <c r="D3252" s="2">
        <v>1311</v>
      </c>
      <c r="E3252" s="2" t="s">
        <v>11225</v>
      </c>
      <c r="F3252" s="3" t="s">
        <v>14206</v>
      </c>
      <c r="H3252" s="3" t="s">
        <v>1903</v>
      </c>
      <c r="K3252" s="2">
        <v>20</v>
      </c>
      <c r="L3252" s="2">
        <v>3</v>
      </c>
      <c r="M3252" s="3" t="s">
        <v>3901</v>
      </c>
      <c r="N3252" s="3" t="s">
        <v>2426</v>
      </c>
      <c r="O3252" s="3" t="s">
        <v>2097</v>
      </c>
      <c r="P3252" s="3" t="s">
        <v>1340</v>
      </c>
      <c r="Q3252" s="30" t="str">
        <f t="shared" si="50"/>
        <v>MAX : 2.41
TARGET : 2.38
MIN : 2.35</v>
      </c>
    </row>
    <row r="3253" spans="2:18" ht="41.4" x14ac:dyDescent="0.3">
      <c r="B3253">
        <v>0</v>
      </c>
      <c r="C3253" s="33">
        <v>8849</v>
      </c>
      <c r="D3253" s="2">
        <v>1311</v>
      </c>
      <c r="E3253" s="2" t="s">
        <v>11225</v>
      </c>
      <c r="F3253" s="3" t="s">
        <v>14206</v>
      </c>
      <c r="H3253" s="3" t="s">
        <v>1903</v>
      </c>
      <c r="K3253" s="2">
        <v>20</v>
      </c>
      <c r="L3253" s="2">
        <v>4</v>
      </c>
      <c r="M3253" s="3" t="s">
        <v>3902</v>
      </c>
      <c r="N3253" s="3" t="s">
        <v>13</v>
      </c>
      <c r="O3253" s="3" t="s">
        <v>14</v>
      </c>
      <c r="Q3253" s="30" t="str">
        <f t="shared" si="50"/>
        <v>MAX : 
TARGET : Yes(Pass)
MIN : No(Fail)</v>
      </c>
    </row>
    <row r="3254" spans="2:18" ht="41.4" x14ac:dyDescent="0.3">
      <c r="B3254">
        <v>0</v>
      </c>
      <c r="C3254" s="33">
        <v>8849</v>
      </c>
      <c r="D3254" s="2">
        <v>1311</v>
      </c>
      <c r="E3254" s="2" t="s">
        <v>11225</v>
      </c>
      <c r="F3254" s="3" t="s">
        <v>14206</v>
      </c>
      <c r="H3254" s="3" t="s">
        <v>1903</v>
      </c>
      <c r="K3254" s="2">
        <v>30</v>
      </c>
      <c r="L3254" s="2">
        <v>1</v>
      </c>
      <c r="M3254" s="3" t="s">
        <v>3899</v>
      </c>
      <c r="N3254" s="3" t="s">
        <v>252</v>
      </c>
      <c r="O3254" s="3" t="s">
        <v>253</v>
      </c>
      <c r="P3254" s="3" t="s">
        <v>128</v>
      </c>
      <c r="Q3254" s="30" t="str">
        <f t="shared" si="50"/>
        <v>MAX : 4.03
TARGET : 4.00
MIN : 3.97</v>
      </c>
    </row>
    <row r="3255" spans="2:18" ht="41.4" x14ac:dyDescent="0.3">
      <c r="B3255">
        <v>0</v>
      </c>
      <c r="C3255" s="33">
        <v>8849</v>
      </c>
      <c r="D3255" s="2">
        <v>1311</v>
      </c>
      <c r="E3255" s="2" t="s">
        <v>11225</v>
      </c>
      <c r="F3255" s="3" t="s">
        <v>14206</v>
      </c>
      <c r="H3255" s="3" t="s">
        <v>1903</v>
      </c>
      <c r="K3255" s="2">
        <v>30</v>
      </c>
      <c r="L3255" s="2">
        <v>2</v>
      </c>
      <c r="M3255" s="3" t="s">
        <v>3903</v>
      </c>
      <c r="N3255" s="3" t="s">
        <v>979</v>
      </c>
      <c r="O3255" s="3" t="s">
        <v>308</v>
      </c>
      <c r="P3255" s="3" t="s">
        <v>309</v>
      </c>
      <c r="Q3255" s="30" t="str">
        <f t="shared" si="50"/>
        <v>MAX : 0.50
TARGET : 0.47
MIN : 0.44</v>
      </c>
    </row>
    <row r="3256" spans="2:18" ht="41.4" x14ac:dyDescent="0.3">
      <c r="B3256">
        <v>0</v>
      </c>
      <c r="C3256" s="33">
        <v>8849</v>
      </c>
      <c r="D3256" s="2">
        <v>1311</v>
      </c>
      <c r="E3256" s="2" t="s">
        <v>11225</v>
      </c>
      <c r="F3256" s="3" t="s">
        <v>14206</v>
      </c>
      <c r="H3256" s="3" t="s">
        <v>1903</v>
      </c>
      <c r="K3256" s="2">
        <v>30</v>
      </c>
      <c r="L3256" s="2">
        <v>3</v>
      </c>
      <c r="M3256" s="3" t="s">
        <v>3904</v>
      </c>
      <c r="N3256" s="3" t="s">
        <v>77</v>
      </c>
      <c r="O3256" s="3" t="s">
        <v>489</v>
      </c>
      <c r="P3256" s="3" t="s">
        <v>3905</v>
      </c>
      <c r="Q3256" s="30" t="str">
        <f t="shared" si="50"/>
        <v>MAX : 2.59
TARGET : 2.56
MIN : 2.53</v>
      </c>
    </row>
    <row r="3257" spans="2:18" ht="41.4" x14ac:dyDescent="0.3">
      <c r="B3257">
        <v>0</v>
      </c>
      <c r="C3257" s="33">
        <v>8849</v>
      </c>
      <c r="D3257" s="2">
        <v>1311</v>
      </c>
      <c r="E3257" s="2" t="s">
        <v>11225</v>
      </c>
      <c r="F3257" s="3" t="s">
        <v>14206</v>
      </c>
      <c r="H3257" s="3" t="s">
        <v>1903</v>
      </c>
      <c r="K3257" s="2">
        <v>30</v>
      </c>
      <c r="L3257" s="2">
        <v>4</v>
      </c>
      <c r="M3257" s="3" t="s">
        <v>3906</v>
      </c>
      <c r="N3257" s="3" t="s">
        <v>13</v>
      </c>
      <c r="O3257" s="3" t="s">
        <v>14</v>
      </c>
      <c r="Q3257" s="30" t="str">
        <f t="shared" si="50"/>
        <v>MAX : 
TARGET : Yes(Pass)
MIN : No(Fail)</v>
      </c>
    </row>
    <row r="3258" spans="2:18" ht="41.4" x14ac:dyDescent="0.3">
      <c r="B3258">
        <v>1</v>
      </c>
      <c r="C3258" s="33">
        <v>8614</v>
      </c>
      <c r="D3258" s="2">
        <v>1253</v>
      </c>
      <c r="E3258" s="2" t="s">
        <v>10709</v>
      </c>
      <c r="F3258" s="3" t="s">
        <v>14206</v>
      </c>
      <c r="H3258" s="3" t="s">
        <v>469</v>
      </c>
      <c r="K3258" s="2">
        <v>20</v>
      </c>
      <c r="L3258" s="2">
        <v>6</v>
      </c>
      <c r="M3258" s="3" t="s">
        <v>5642</v>
      </c>
      <c r="N3258" s="3" t="s">
        <v>1348</v>
      </c>
      <c r="O3258" s="3" t="s">
        <v>1527</v>
      </c>
      <c r="P3258" s="3" t="s">
        <v>4613</v>
      </c>
      <c r="Q3258" s="30" t="str">
        <f t="shared" si="50"/>
        <v>MAX : 0.350
TARGET : 0.320
MIN : 0.290</v>
      </c>
    </row>
    <row r="3259" spans="2:18" ht="41.4" x14ac:dyDescent="0.3">
      <c r="B3259">
        <v>1</v>
      </c>
      <c r="C3259" s="33">
        <v>8624</v>
      </c>
      <c r="D3259" s="2">
        <v>1976</v>
      </c>
      <c r="E3259" s="2" t="s">
        <v>10716</v>
      </c>
      <c r="F3259" s="3" t="s">
        <v>14206</v>
      </c>
      <c r="H3259" s="3" t="s">
        <v>168</v>
      </c>
      <c r="K3259" s="2">
        <v>10</v>
      </c>
      <c r="L3259" s="2">
        <v>1</v>
      </c>
      <c r="M3259" s="3" t="s">
        <v>99</v>
      </c>
      <c r="N3259" s="3" t="s">
        <v>814</v>
      </c>
      <c r="O3259" s="3" t="s">
        <v>815</v>
      </c>
      <c r="P3259" s="3" t="s">
        <v>816</v>
      </c>
      <c r="Q3259" s="30" t="str">
        <f t="shared" si="50"/>
        <v>MAX : 3.03
TARGET : 3.00
MIN : 2.97</v>
      </c>
    </row>
    <row r="3260" spans="2:18" ht="41.4" x14ac:dyDescent="0.3">
      <c r="B3260">
        <v>1</v>
      </c>
      <c r="C3260" s="33">
        <v>8624</v>
      </c>
      <c r="D3260" s="2">
        <v>1976</v>
      </c>
      <c r="E3260" s="2" t="s">
        <v>10716</v>
      </c>
      <c r="F3260" s="3" t="s">
        <v>14206</v>
      </c>
      <c r="H3260" s="3" t="s">
        <v>168</v>
      </c>
      <c r="K3260" s="2">
        <v>10</v>
      </c>
      <c r="L3260" s="2">
        <v>3</v>
      </c>
      <c r="M3260" s="3" t="s">
        <v>611</v>
      </c>
      <c r="N3260" s="3" t="s">
        <v>13</v>
      </c>
      <c r="O3260" s="3" t="s">
        <v>14</v>
      </c>
      <c r="Q3260" s="30" t="str">
        <f t="shared" si="50"/>
        <v>MAX : 
TARGET : Yes(Pass)
MIN : No(Fail)</v>
      </c>
    </row>
    <row r="3261" spans="2:18" ht="41.4" x14ac:dyDescent="0.3">
      <c r="B3261">
        <v>1</v>
      </c>
      <c r="C3261" s="33">
        <v>8626</v>
      </c>
      <c r="D3261" s="2">
        <v>1254</v>
      </c>
      <c r="E3261" s="2" t="s">
        <v>10722</v>
      </c>
      <c r="F3261" s="3" t="s">
        <v>14207</v>
      </c>
      <c r="H3261" s="3" t="s">
        <v>727</v>
      </c>
      <c r="K3261" s="2">
        <v>10</v>
      </c>
      <c r="L3261" s="2">
        <v>2</v>
      </c>
      <c r="M3261" s="3" t="s">
        <v>3550</v>
      </c>
      <c r="O3261" s="3" t="s">
        <v>3200</v>
      </c>
      <c r="Q3261" s="30" t="str">
        <f t="shared" si="50"/>
        <v xml:space="preserve">MAX : 
TARGET : 9.00
MIN : </v>
      </c>
      <c r="R3261" s="3" t="s">
        <v>3549</v>
      </c>
    </row>
    <row r="3262" spans="2:18" ht="41.4" x14ac:dyDescent="0.3">
      <c r="B3262">
        <v>0</v>
      </c>
      <c r="C3262" s="33">
        <v>8842</v>
      </c>
      <c r="D3262" s="2">
        <v>1304</v>
      </c>
      <c r="E3262" s="2" t="s">
        <v>11065</v>
      </c>
      <c r="F3262" s="3" t="s">
        <v>14238</v>
      </c>
      <c r="H3262" s="3" t="s">
        <v>648</v>
      </c>
      <c r="K3262" s="2">
        <v>20</v>
      </c>
      <c r="L3262" s="2">
        <v>3</v>
      </c>
      <c r="M3262" s="3" t="s">
        <v>3798</v>
      </c>
      <c r="N3262" s="3" t="s">
        <v>3799</v>
      </c>
      <c r="O3262" s="3" t="s">
        <v>3800</v>
      </c>
      <c r="P3262" s="3" t="s">
        <v>3801</v>
      </c>
      <c r="Q3262" s="30" t="str">
        <f t="shared" si="50"/>
        <v>MAX : 3.1
TARGET : 2.6
MIN : 2.1</v>
      </c>
    </row>
    <row r="3263" spans="2:18" ht="41.4" x14ac:dyDescent="0.3">
      <c r="B3263">
        <v>0</v>
      </c>
      <c r="C3263" s="33">
        <v>8842</v>
      </c>
      <c r="D3263" s="2">
        <v>1304</v>
      </c>
      <c r="E3263" s="2" t="s">
        <v>11065</v>
      </c>
      <c r="F3263" s="3" t="s">
        <v>14238</v>
      </c>
      <c r="H3263" s="3" t="s">
        <v>648</v>
      </c>
      <c r="K3263" s="2">
        <v>20</v>
      </c>
      <c r="L3263" s="2">
        <v>4</v>
      </c>
      <c r="M3263" s="3" t="s">
        <v>3802</v>
      </c>
      <c r="N3263" s="3" t="s">
        <v>3803</v>
      </c>
      <c r="O3263" s="3" t="s">
        <v>3804</v>
      </c>
      <c r="P3263" s="3" t="s">
        <v>3805</v>
      </c>
      <c r="Q3263" s="30" t="str">
        <f t="shared" si="50"/>
        <v>MAX : 17.7
TARGET : 17.5
MIN : 17.3</v>
      </c>
    </row>
    <row r="3264" spans="2:18" ht="41.4" x14ac:dyDescent="0.3">
      <c r="B3264">
        <v>0</v>
      </c>
      <c r="C3264" s="33">
        <v>8842</v>
      </c>
      <c r="D3264" s="2">
        <v>1304</v>
      </c>
      <c r="E3264" s="2" t="s">
        <v>11065</v>
      </c>
      <c r="F3264" s="3" t="s">
        <v>14238</v>
      </c>
      <c r="H3264" s="3" t="s">
        <v>648</v>
      </c>
      <c r="K3264" s="2">
        <v>20</v>
      </c>
      <c r="L3264" s="2">
        <v>5</v>
      </c>
      <c r="M3264" s="3" t="s">
        <v>3806</v>
      </c>
      <c r="N3264" s="3" t="s">
        <v>3807</v>
      </c>
      <c r="O3264" s="3" t="s">
        <v>35</v>
      </c>
      <c r="P3264" s="3" t="s">
        <v>3808</v>
      </c>
      <c r="Q3264" s="30" t="str">
        <f t="shared" si="50"/>
        <v>MAX : 19.3
TARGET : 19.0
MIN : 18.7</v>
      </c>
    </row>
    <row r="3265" spans="2:18" ht="41.4" x14ac:dyDescent="0.3">
      <c r="B3265">
        <v>0</v>
      </c>
      <c r="C3265" s="33">
        <v>8842</v>
      </c>
      <c r="D3265" s="2">
        <v>1304</v>
      </c>
      <c r="E3265" s="2" t="s">
        <v>11065</v>
      </c>
      <c r="F3265" s="3" t="s">
        <v>14238</v>
      </c>
      <c r="H3265" s="3" t="s">
        <v>648</v>
      </c>
      <c r="K3265" s="2">
        <v>20</v>
      </c>
      <c r="L3265" s="2">
        <v>6</v>
      </c>
      <c r="M3265" s="3" t="s">
        <v>3809</v>
      </c>
      <c r="N3265" s="3" t="s">
        <v>3810</v>
      </c>
      <c r="O3265" s="3" t="s">
        <v>3811</v>
      </c>
      <c r="P3265" s="3" t="s">
        <v>3812</v>
      </c>
      <c r="Q3265" s="30" t="str">
        <f t="shared" si="50"/>
        <v>MAX : 35.90
TARGET : 35.50
MIN : 35.10</v>
      </c>
    </row>
    <row r="3266" spans="2:18" ht="41.4" x14ac:dyDescent="0.3">
      <c r="B3266">
        <v>0</v>
      </c>
      <c r="C3266" s="33">
        <v>8842</v>
      </c>
      <c r="D3266" s="2">
        <v>1304</v>
      </c>
      <c r="E3266" s="2" t="s">
        <v>11065</v>
      </c>
      <c r="F3266" s="3" t="s">
        <v>14238</v>
      </c>
      <c r="H3266" s="3" t="s">
        <v>648</v>
      </c>
      <c r="K3266" s="2">
        <v>20</v>
      </c>
      <c r="L3266" s="2">
        <v>7</v>
      </c>
      <c r="M3266" s="3" t="s">
        <v>3813</v>
      </c>
      <c r="N3266" s="3" t="s">
        <v>2407</v>
      </c>
      <c r="O3266" s="3" t="s">
        <v>3814</v>
      </c>
      <c r="P3266" s="3" t="s">
        <v>3799</v>
      </c>
      <c r="Q3266" s="30" t="str">
        <f t="shared" ref="Q3266:Q3329" si="51">"MAX : " &amp; P3266 &amp; CHAR(10) &amp; "TARGET : " &amp; O3266 &amp; CHAR(10) &amp; "MIN : " &amp; N3266</f>
        <v>MAX : 2.1
TARGET : 1.8
MIN : 1.5</v>
      </c>
    </row>
    <row r="3267" spans="2:18" ht="41.4" x14ac:dyDescent="0.3">
      <c r="B3267">
        <v>0</v>
      </c>
      <c r="C3267" s="33">
        <v>8842</v>
      </c>
      <c r="D3267" s="2">
        <v>1304</v>
      </c>
      <c r="E3267" s="2" t="s">
        <v>11065</v>
      </c>
      <c r="F3267" s="3" t="s">
        <v>14238</v>
      </c>
      <c r="H3267" s="3" t="s">
        <v>648</v>
      </c>
      <c r="K3267" s="2">
        <v>20</v>
      </c>
      <c r="L3267" s="2">
        <v>8</v>
      </c>
      <c r="M3267" s="3" t="s">
        <v>3815</v>
      </c>
      <c r="N3267" s="3" t="s">
        <v>2355</v>
      </c>
      <c r="O3267" s="3" t="s">
        <v>3816</v>
      </c>
      <c r="P3267" s="3" t="s">
        <v>3800</v>
      </c>
      <c r="Q3267" s="30" t="str">
        <f t="shared" si="51"/>
        <v>MAX : 2.6
TARGET : 2.4
MIN : 2.2</v>
      </c>
    </row>
    <row r="3268" spans="2:18" ht="41.4" x14ac:dyDescent="0.3">
      <c r="B3268">
        <v>0</v>
      </c>
      <c r="C3268" s="33">
        <v>8842</v>
      </c>
      <c r="D3268" s="2">
        <v>1304</v>
      </c>
      <c r="E3268" s="2" t="s">
        <v>11065</v>
      </c>
      <c r="F3268" s="3" t="s">
        <v>14238</v>
      </c>
      <c r="H3268" s="3" t="s">
        <v>648</v>
      </c>
      <c r="K3268" s="2">
        <v>20</v>
      </c>
      <c r="L3268" s="2">
        <v>9</v>
      </c>
      <c r="M3268" s="3" t="s">
        <v>3818</v>
      </c>
      <c r="N3268" s="3" t="s">
        <v>3819</v>
      </c>
      <c r="O3268" s="3" t="s">
        <v>254</v>
      </c>
      <c r="P3268" s="3" t="s">
        <v>1679</v>
      </c>
      <c r="Q3268" s="30" t="str">
        <f t="shared" si="51"/>
        <v>MAX : 18.8
TARGET : 18.6
MIN : 18.4</v>
      </c>
    </row>
    <row r="3269" spans="2:18" ht="41.4" x14ac:dyDescent="0.3">
      <c r="B3269">
        <v>0</v>
      </c>
      <c r="C3269" s="33">
        <v>8842</v>
      </c>
      <c r="D3269" s="2">
        <v>1304</v>
      </c>
      <c r="E3269" s="2" t="s">
        <v>11065</v>
      </c>
      <c r="F3269" s="3" t="s">
        <v>14238</v>
      </c>
      <c r="H3269" s="3" t="s">
        <v>648</v>
      </c>
      <c r="K3269" s="2">
        <v>20</v>
      </c>
      <c r="L3269" s="2">
        <v>10</v>
      </c>
      <c r="M3269" s="3" t="s">
        <v>3820</v>
      </c>
      <c r="N3269" s="3" t="s">
        <v>3821</v>
      </c>
      <c r="O3269" s="3" t="s">
        <v>1146</v>
      </c>
      <c r="P3269" s="3" t="s">
        <v>3822</v>
      </c>
      <c r="Q3269" s="30" t="str">
        <f t="shared" si="51"/>
        <v>MAX : 20.3
TARGET : 20.0
MIN : 19.7</v>
      </c>
    </row>
    <row r="3270" spans="2:18" ht="41.4" x14ac:dyDescent="0.3">
      <c r="B3270">
        <v>0</v>
      </c>
      <c r="C3270" s="33">
        <v>8842</v>
      </c>
      <c r="D3270" s="2">
        <v>1304</v>
      </c>
      <c r="E3270" s="2" t="s">
        <v>11065</v>
      </c>
      <c r="F3270" s="3" t="s">
        <v>14238</v>
      </c>
      <c r="H3270" s="3" t="s">
        <v>648</v>
      </c>
      <c r="K3270" s="2">
        <v>20</v>
      </c>
      <c r="L3270" s="2">
        <v>11</v>
      </c>
      <c r="M3270" s="3" t="s">
        <v>3823</v>
      </c>
      <c r="N3270" s="3" t="s">
        <v>3824</v>
      </c>
      <c r="O3270" s="3" t="s">
        <v>3775</v>
      </c>
      <c r="P3270" s="3" t="s">
        <v>3825</v>
      </c>
      <c r="Q3270" s="30" t="str">
        <f t="shared" si="51"/>
        <v>MAX : 22.40
TARGET : 22.00
MIN : 21.60</v>
      </c>
    </row>
    <row r="3271" spans="2:18" ht="41.4" x14ac:dyDescent="0.3">
      <c r="B3271">
        <v>0</v>
      </c>
      <c r="C3271" s="33">
        <v>8842</v>
      </c>
      <c r="D3271" s="2">
        <v>1304</v>
      </c>
      <c r="E3271" s="2" t="s">
        <v>11065</v>
      </c>
      <c r="F3271" s="3" t="s">
        <v>14238</v>
      </c>
      <c r="H3271" s="3" t="s">
        <v>648</v>
      </c>
      <c r="K3271" s="2">
        <v>20</v>
      </c>
      <c r="L3271" s="2">
        <v>12</v>
      </c>
      <c r="M3271" s="3" t="s">
        <v>2615</v>
      </c>
      <c r="N3271" s="3" t="s">
        <v>1065</v>
      </c>
      <c r="O3271" s="3" t="s">
        <v>3049</v>
      </c>
      <c r="P3271" s="3" t="s">
        <v>388</v>
      </c>
      <c r="Q3271" s="30" t="str">
        <f t="shared" si="51"/>
        <v>MAX : 6.0
TARGET : 5.5
MIN : 5.0</v>
      </c>
    </row>
    <row r="3272" spans="2:18" ht="41.4" x14ac:dyDescent="0.3">
      <c r="B3272">
        <v>0</v>
      </c>
      <c r="C3272" s="33">
        <v>8842</v>
      </c>
      <c r="D3272" s="2">
        <v>1304</v>
      </c>
      <c r="E3272" s="2" t="s">
        <v>11065</v>
      </c>
      <c r="F3272" s="3" t="s">
        <v>14238</v>
      </c>
      <c r="H3272" s="3" t="s">
        <v>648</v>
      </c>
      <c r="K3272" s="2">
        <v>20</v>
      </c>
      <c r="L3272" s="2">
        <v>13</v>
      </c>
      <c r="M3272" s="3" t="s">
        <v>3826</v>
      </c>
      <c r="N3272" s="3" t="s">
        <v>1065</v>
      </c>
      <c r="O3272" s="3" t="s">
        <v>3049</v>
      </c>
      <c r="P3272" s="3" t="s">
        <v>388</v>
      </c>
      <c r="Q3272" s="30" t="str">
        <f t="shared" si="51"/>
        <v>MAX : 6.0
TARGET : 5.5
MIN : 5.0</v>
      </c>
    </row>
    <row r="3273" spans="2:18" ht="41.4" x14ac:dyDescent="0.3">
      <c r="B3273">
        <v>0</v>
      </c>
      <c r="C3273" s="33">
        <v>8842</v>
      </c>
      <c r="D3273" s="2">
        <v>1304</v>
      </c>
      <c r="E3273" s="2" t="s">
        <v>11065</v>
      </c>
      <c r="F3273" s="3" t="s">
        <v>14238</v>
      </c>
      <c r="H3273" s="3" t="s">
        <v>648</v>
      </c>
      <c r="K3273" s="2">
        <v>20</v>
      </c>
      <c r="L3273" s="2">
        <v>14</v>
      </c>
      <c r="M3273" s="3" t="s">
        <v>3827</v>
      </c>
      <c r="N3273" s="3" t="s">
        <v>3828</v>
      </c>
      <c r="O3273" s="3" t="s">
        <v>3829</v>
      </c>
      <c r="P3273" s="3" t="s">
        <v>3830</v>
      </c>
      <c r="Q3273" s="30" t="str">
        <f t="shared" si="51"/>
        <v>MAX : 38.6
TARGET : 38.1
MIN : 37.6</v>
      </c>
    </row>
    <row r="3274" spans="2:18" ht="41.4" x14ac:dyDescent="0.3">
      <c r="B3274">
        <v>0</v>
      </c>
      <c r="C3274" s="33">
        <v>8842</v>
      </c>
      <c r="D3274" s="2">
        <v>1304</v>
      </c>
      <c r="E3274" s="2" t="s">
        <v>11065</v>
      </c>
      <c r="F3274" s="3" t="s">
        <v>14238</v>
      </c>
      <c r="H3274" s="3" t="s">
        <v>648</v>
      </c>
      <c r="K3274" s="2">
        <v>20</v>
      </c>
      <c r="L3274" s="2">
        <v>17</v>
      </c>
      <c r="M3274" s="3" t="s">
        <v>78</v>
      </c>
      <c r="N3274" s="3" t="s">
        <v>13</v>
      </c>
      <c r="O3274" s="3" t="s">
        <v>14</v>
      </c>
      <c r="Q3274" s="30" t="str">
        <f t="shared" si="51"/>
        <v>MAX : 
TARGET : Yes(Pass)
MIN : No(Fail)</v>
      </c>
    </row>
    <row r="3275" spans="2:18" ht="41.4" x14ac:dyDescent="0.3">
      <c r="B3275">
        <v>0</v>
      </c>
      <c r="C3275" s="33">
        <v>8842</v>
      </c>
      <c r="D3275" s="2">
        <v>1304</v>
      </c>
      <c r="E3275" s="2" t="s">
        <v>11065</v>
      </c>
      <c r="F3275" s="3" t="s">
        <v>14238</v>
      </c>
      <c r="H3275" s="3" t="s">
        <v>648</v>
      </c>
      <c r="K3275" s="2">
        <v>20</v>
      </c>
      <c r="L3275" s="2">
        <v>16</v>
      </c>
      <c r="M3275" s="3" t="s">
        <v>3831</v>
      </c>
      <c r="N3275" s="3" t="s">
        <v>13</v>
      </c>
      <c r="O3275" s="3" t="s">
        <v>14</v>
      </c>
      <c r="Q3275" s="30" t="str">
        <f t="shared" si="51"/>
        <v>MAX : 
TARGET : Yes(Pass)
MIN : No(Fail)</v>
      </c>
    </row>
    <row r="3276" spans="2:18" ht="41.4" x14ac:dyDescent="0.3">
      <c r="B3276">
        <v>0</v>
      </c>
      <c r="C3276" s="33">
        <v>8842</v>
      </c>
      <c r="D3276" s="2">
        <v>1304</v>
      </c>
      <c r="E3276" s="2" t="s">
        <v>11065</v>
      </c>
      <c r="F3276" s="3" t="s">
        <v>14238</v>
      </c>
      <c r="H3276" s="3" t="s">
        <v>648</v>
      </c>
      <c r="K3276" s="2">
        <v>20</v>
      </c>
      <c r="L3276" s="2">
        <v>15</v>
      </c>
      <c r="M3276" s="3" t="s">
        <v>3849</v>
      </c>
      <c r="N3276" s="3" t="s">
        <v>420</v>
      </c>
      <c r="O3276" s="3" t="s">
        <v>2548</v>
      </c>
      <c r="P3276" s="3" t="s">
        <v>3850</v>
      </c>
      <c r="Q3276" s="30" t="str">
        <f t="shared" si="51"/>
        <v>MAX : 1.17
TARGET : 1.07
MIN : 0.97</v>
      </c>
    </row>
    <row r="3277" spans="2:18" ht="41.4" x14ac:dyDescent="0.3">
      <c r="B3277">
        <v>0</v>
      </c>
      <c r="C3277" s="33">
        <v>8842</v>
      </c>
      <c r="D3277" s="2">
        <v>1304</v>
      </c>
      <c r="E3277" s="2" t="s">
        <v>11065</v>
      </c>
      <c r="F3277" s="3" t="s">
        <v>14238</v>
      </c>
      <c r="H3277" s="3" t="s">
        <v>648</v>
      </c>
      <c r="K3277" s="2">
        <v>20</v>
      </c>
      <c r="L3277" s="2">
        <v>18</v>
      </c>
      <c r="M3277" s="3" t="s">
        <v>3871</v>
      </c>
      <c r="N3277" s="3" t="s">
        <v>13</v>
      </c>
      <c r="O3277" s="3" t="s">
        <v>14</v>
      </c>
      <c r="Q3277" s="30" t="str">
        <f t="shared" si="51"/>
        <v>MAX : 
TARGET : Yes(Pass)
MIN : No(Fail)</v>
      </c>
    </row>
    <row r="3278" spans="2:18" ht="41.4" x14ac:dyDescent="0.3">
      <c r="B3278">
        <v>1</v>
      </c>
      <c r="C3278" s="33">
        <v>8626</v>
      </c>
      <c r="D3278" s="2">
        <v>1254</v>
      </c>
      <c r="E3278" s="2" t="s">
        <v>10722</v>
      </c>
      <c r="F3278" s="3" t="s">
        <v>14207</v>
      </c>
      <c r="H3278" s="3" t="s">
        <v>727</v>
      </c>
      <c r="K3278" s="2">
        <v>10</v>
      </c>
      <c r="L3278" s="2">
        <v>1</v>
      </c>
      <c r="M3278" s="3" t="s">
        <v>3548</v>
      </c>
      <c r="O3278" s="3" t="s">
        <v>3200</v>
      </c>
      <c r="Q3278" s="30" t="str">
        <f t="shared" si="51"/>
        <v xml:space="preserve">MAX : 
TARGET : 9.00
MIN : </v>
      </c>
      <c r="R3278" s="3" t="s">
        <v>3549</v>
      </c>
    </row>
    <row r="3279" spans="2:18" ht="41.4" x14ac:dyDescent="0.3">
      <c r="B3279">
        <v>1</v>
      </c>
      <c r="C3279" s="33">
        <v>8637</v>
      </c>
      <c r="D3279" s="2">
        <v>1255</v>
      </c>
      <c r="E3279" s="2" t="s">
        <v>10728</v>
      </c>
      <c r="F3279" s="3" t="s">
        <v>14206</v>
      </c>
      <c r="H3279" s="3" t="s">
        <v>713</v>
      </c>
      <c r="K3279" s="2">
        <v>30</v>
      </c>
      <c r="L3279" s="2">
        <v>2</v>
      </c>
      <c r="M3279" s="3" t="s">
        <v>198</v>
      </c>
      <c r="N3279" s="3" t="s">
        <v>814</v>
      </c>
      <c r="O3279" s="3" t="s">
        <v>815</v>
      </c>
      <c r="P3279" s="3" t="s">
        <v>816</v>
      </c>
      <c r="Q3279" s="30" t="str">
        <f t="shared" si="51"/>
        <v>MAX : 3.03
TARGET : 3.00
MIN : 2.97</v>
      </c>
    </row>
    <row r="3280" spans="2:18" ht="41.4" x14ac:dyDescent="0.3">
      <c r="B3280">
        <v>0</v>
      </c>
      <c r="C3280" s="33">
        <v>8843</v>
      </c>
      <c r="D3280" s="2">
        <v>1305</v>
      </c>
      <c r="E3280" s="2" t="s">
        <v>11073</v>
      </c>
      <c r="F3280" s="3" t="s">
        <v>14238</v>
      </c>
      <c r="H3280" s="3" t="s">
        <v>648</v>
      </c>
      <c r="K3280" s="2">
        <v>20</v>
      </c>
      <c r="L3280" s="2">
        <v>3</v>
      </c>
      <c r="M3280" s="3" t="s">
        <v>3798</v>
      </c>
      <c r="N3280" s="3" t="s">
        <v>3799</v>
      </c>
      <c r="O3280" s="3" t="s">
        <v>3800</v>
      </c>
      <c r="P3280" s="3" t="s">
        <v>3801</v>
      </c>
      <c r="Q3280" s="30" t="str">
        <f t="shared" si="51"/>
        <v>MAX : 3.1
TARGET : 2.6
MIN : 2.1</v>
      </c>
    </row>
    <row r="3281" spans="2:17" ht="41.4" x14ac:dyDescent="0.3">
      <c r="B3281">
        <v>0</v>
      </c>
      <c r="C3281" s="33">
        <v>8843</v>
      </c>
      <c r="D3281" s="2">
        <v>1305</v>
      </c>
      <c r="E3281" s="2" t="s">
        <v>11073</v>
      </c>
      <c r="F3281" s="3" t="s">
        <v>14238</v>
      </c>
      <c r="H3281" s="3" t="s">
        <v>648</v>
      </c>
      <c r="K3281" s="2">
        <v>20</v>
      </c>
      <c r="L3281" s="2">
        <v>4</v>
      </c>
      <c r="M3281" s="3" t="s">
        <v>3802</v>
      </c>
      <c r="N3281" s="3" t="s">
        <v>3803</v>
      </c>
      <c r="O3281" s="3" t="s">
        <v>3804</v>
      </c>
      <c r="P3281" s="3" t="s">
        <v>3805</v>
      </c>
      <c r="Q3281" s="30" t="str">
        <f t="shared" si="51"/>
        <v>MAX : 17.7
TARGET : 17.5
MIN : 17.3</v>
      </c>
    </row>
    <row r="3282" spans="2:17" ht="41.4" x14ac:dyDescent="0.3">
      <c r="B3282">
        <v>0</v>
      </c>
      <c r="C3282" s="33">
        <v>8843</v>
      </c>
      <c r="D3282" s="2">
        <v>1305</v>
      </c>
      <c r="E3282" s="2" t="s">
        <v>11073</v>
      </c>
      <c r="F3282" s="3" t="s">
        <v>14238</v>
      </c>
      <c r="H3282" s="3" t="s">
        <v>648</v>
      </c>
      <c r="K3282" s="2">
        <v>20</v>
      </c>
      <c r="L3282" s="2">
        <v>5</v>
      </c>
      <c r="M3282" s="3" t="s">
        <v>3806</v>
      </c>
      <c r="N3282" s="3" t="s">
        <v>3807</v>
      </c>
      <c r="O3282" s="3" t="s">
        <v>35</v>
      </c>
      <c r="P3282" s="3" t="s">
        <v>3808</v>
      </c>
      <c r="Q3282" s="30" t="str">
        <f t="shared" si="51"/>
        <v>MAX : 19.3
TARGET : 19.0
MIN : 18.7</v>
      </c>
    </row>
    <row r="3283" spans="2:17" ht="41.4" x14ac:dyDescent="0.3">
      <c r="B3283">
        <v>0</v>
      </c>
      <c r="C3283" s="33">
        <v>8843</v>
      </c>
      <c r="D3283" s="2">
        <v>1305</v>
      </c>
      <c r="E3283" s="2" t="s">
        <v>11073</v>
      </c>
      <c r="F3283" s="3" t="s">
        <v>14238</v>
      </c>
      <c r="H3283" s="3" t="s">
        <v>648</v>
      </c>
      <c r="K3283" s="2">
        <v>20</v>
      </c>
      <c r="L3283" s="2">
        <v>6</v>
      </c>
      <c r="M3283" s="3" t="s">
        <v>3809</v>
      </c>
      <c r="N3283" s="3" t="s">
        <v>3810</v>
      </c>
      <c r="O3283" s="3" t="s">
        <v>3811</v>
      </c>
      <c r="P3283" s="3" t="s">
        <v>3812</v>
      </c>
      <c r="Q3283" s="30" t="str">
        <f t="shared" si="51"/>
        <v>MAX : 35.90
TARGET : 35.50
MIN : 35.10</v>
      </c>
    </row>
    <row r="3284" spans="2:17" ht="41.4" x14ac:dyDescent="0.3">
      <c r="B3284">
        <v>0</v>
      </c>
      <c r="C3284" s="33">
        <v>8843</v>
      </c>
      <c r="D3284" s="2">
        <v>1305</v>
      </c>
      <c r="E3284" s="2" t="s">
        <v>11073</v>
      </c>
      <c r="F3284" s="3" t="s">
        <v>14238</v>
      </c>
      <c r="H3284" s="3" t="s">
        <v>648</v>
      </c>
      <c r="K3284" s="2">
        <v>20</v>
      </c>
      <c r="L3284" s="2">
        <v>7</v>
      </c>
      <c r="M3284" s="3" t="s">
        <v>3813</v>
      </c>
      <c r="N3284" s="3" t="s">
        <v>2407</v>
      </c>
      <c r="O3284" s="3" t="s">
        <v>3814</v>
      </c>
      <c r="P3284" s="3" t="s">
        <v>3799</v>
      </c>
      <c r="Q3284" s="30" t="str">
        <f t="shared" si="51"/>
        <v>MAX : 2.1
TARGET : 1.8
MIN : 1.5</v>
      </c>
    </row>
    <row r="3285" spans="2:17" ht="41.4" x14ac:dyDescent="0.3">
      <c r="B3285">
        <v>0</v>
      </c>
      <c r="C3285" s="33">
        <v>8843</v>
      </c>
      <c r="D3285" s="2">
        <v>1305</v>
      </c>
      <c r="E3285" s="2" t="s">
        <v>11073</v>
      </c>
      <c r="F3285" s="3" t="s">
        <v>14238</v>
      </c>
      <c r="H3285" s="3" t="s">
        <v>648</v>
      </c>
      <c r="K3285" s="2">
        <v>20</v>
      </c>
      <c r="L3285" s="2">
        <v>8</v>
      </c>
      <c r="M3285" s="3" t="s">
        <v>3815</v>
      </c>
      <c r="N3285" s="3" t="s">
        <v>2355</v>
      </c>
      <c r="O3285" s="3" t="s">
        <v>3816</v>
      </c>
      <c r="P3285" s="3" t="s">
        <v>3800</v>
      </c>
      <c r="Q3285" s="30" t="str">
        <f t="shared" si="51"/>
        <v>MAX : 2.6
TARGET : 2.4
MIN : 2.2</v>
      </c>
    </row>
    <row r="3286" spans="2:17" ht="41.4" x14ac:dyDescent="0.3">
      <c r="B3286">
        <v>0</v>
      </c>
      <c r="C3286" s="33">
        <v>8843</v>
      </c>
      <c r="D3286" s="2">
        <v>1305</v>
      </c>
      <c r="E3286" s="2" t="s">
        <v>11073</v>
      </c>
      <c r="F3286" s="3" t="s">
        <v>14238</v>
      </c>
      <c r="H3286" s="3" t="s">
        <v>648</v>
      </c>
      <c r="K3286" s="2">
        <v>20</v>
      </c>
      <c r="L3286" s="2">
        <v>9</v>
      </c>
      <c r="M3286" s="3" t="s">
        <v>3818</v>
      </c>
      <c r="N3286" s="3" t="s">
        <v>3819</v>
      </c>
      <c r="O3286" s="3" t="s">
        <v>254</v>
      </c>
      <c r="P3286" s="3" t="s">
        <v>1679</v>
      </c>
      <c r="Q3286" s="30" t="str">
        <f t="shared" si="51"/>
        <v>MAX : 18.8
TARGET : 18.6
MIN : 18.4</v>
      </c>
    </row>
    <row r="3287" spans="2:17" ht="41.4" x14ac:dyDescent="0.3">
      <c r="B3287">
        <v>0</v>
      </c>
      <c r="C3287" s="33">
        <v>8843</v>
      </c>
      <c r="D3287" s="2">
        <v>1305</v>
      </c>
      <c r="E3287" s="2" t="s">
        <v>11073</v>
      </c>
      <c r="F3287" s="3" t="s">
        <v>14238</v>
      </c>
      <c r="H3287" s="3" t="s">
        <v>648</v>
      </c>
      <c r="K3287" s="2">
        <v>20</v>
      </c>
      <c r="L3287" s="2">
        <v>10</v>
      </c>
      <c r="M3287" s="3" t="s">
        <v>3820</v>
      </c>
      <c r="N3287" s="3" t="s">
        <v>3821</v>
      </c>
      <c r="O3287" s="3" t="s">
        <v>1146</v>
      </c>
      <c r="P3287" s="3" t="s">
        <v>3822</v>
      </c>
      <c r="Q3287" s="30" t="str">
        <f t="shared" si="51"/>
        <v>MAX : 20.3
TARGET : 20.0
MIN : 19.7</v>
      </c>
    </row>
    <row r="3288" spans="2:17" ht="41.4" x14ac:dyDescent="0.3">
      <c r="B3288">
        <v>0</v>
      </c>
      <c r="C3288" s="33">
        <v>8843</v>
      </c>
      <c r="D3288" s="2">
        <v>1305</v>
      </c>
      <c r="E3288" s="2" t="s">
        <v>11073</v>
      </c>
      <c r="F3288" s="3" t="s">
        <v>14238</v>
      </c>
      <c r="H3288" s="3" t="s">
        <v>648</v>
      </c>
      <c r="K3288" s="2">
        <v>20</v>
      </c>
      <c r="L3288" s="2">
        <v>11</v>
      </c>
      <c r="M3288" s="3" t="s">
        <v>3823</v>
      </c>
      <c r="N3288" s="3" t="s">
        <v>3824</v>
      </c>
      <c r="O3288" s="3" t="s">
        <v>3775</v>
      </c>
      <c r="P3288" s="3" t="s">
        <v>3825</v>
      </c>
      <c r="Q3288" s="30" t="str">
        <f t="shared" si="51"/>
        <v>MAX : 22.40
TARGET : 22.00
MIN : 21.60</v>
      </c>
    </row>
    <row r="3289" spans="2:17" ht="41.4" x14ac:dyDescent="0.3">
      <c r="B3289">
        <v>0</v>
      </c>
      <c r="C3289" s="33">
        <v>8843</v>
      </c>
      <c r="D3289" s="2">
        <v>1305</v>
      </c>
      <c r="E3289" s="2" t="s">
        <v>11073</v>
      </c>
      <c r="F3289" s="3" t="s">
        <v>14238</v>
      </c>
      <c r="H3289" s="3" t="s">
        <v>648</v>
      </c>
      <c r="K3289" s="2">
        <v>20</v>
      </c>
      <c r="L3289" s="2">
        <v>12</v>
      </c>
      <c r="M3289" s="3" t="s">
        <v>2615</v>
      </c>
      <c r="N3289" s="3" t="s">
        <v>1065</v>
      </c>
      <c r="O3289" s="3" t="s">
        <v>3049</v>
      </c>
      <c r="P3289" s="3" t="s">
        <v>388</v>
      </c>
      <c r="Q3289" s="30" t="str">
        <f t="shared" si="51"/>
        <v>MAX : 6.0
TARGET : 5.5
MIN : 5.0</v>
      </c>
    </row>
    <row r="3290" spans="2:17" ht="41.4" x14ac:dyDescent="0.3">
      <c r="B3290">
        <v>0</v>
      </c>
      <c r="C3290" s="33">
        <v>8843</v>
      </c>
      <c r="D3290" s="2">
        <v>1305</v>
      </c>
      <c r="E3290" s="2" t="s">
        <v>11073</v>
      </c>
      <c r="F3290" s="3" t="s">
        <v>14238</v>
      </c>
      <c r="H3290" s="3" t="s">
        <v>648</v>
      </c>
      <c r="K3290" s="2">
        <v>20</v>
      </c>
      <c r="L3290" s="2">
        <v>13</v>
      </c>
      <c r="M3290" s="3" t="s">
        <v>3826</v>
      </c>
      <c r="N3290" s="3" t="s">
        <v>1065</v>
      </c>
      <c r="O3290" s="3" t="s">
        <v>3049</v>
      </c>
      <c r="P3290" s="3" t="s">
        <v>388</v>
      </c>
      <c r="Q3290" s="30" t="str">
        <f t="shared" si="51"/>
        <v>MAX : 6.0
TARGET : 5.5
MIN : 5.0</v>
      </c>
    </row>
    <row r="3291" spans="2:17" ht="41.4" x14ac:dyDescent="0.3">
      <c r="B3291">
        <v>0</v>
      </c>
      <c r="C3291" s="33">
        <v>8843</v>
      </c>
      <c r="D3291" s="2">
        <v>1305</v>
      </c>
      <c r="E3291" s="2" t="s">
        <v>11073</v>
      </c>
      <c r="F3291" s="3" t="s">
        <v>14238</v>
      </c>
      <c r="H3291" s="3" t="s">
        <v>648</v>
      </c>
      <c r="K3291" s="2">
        <v>20</v>
      </c>
      <c r="L3291" s="2">
        <v>14</v>
      </c>
      <c r="M3291" s="3" t="s">
        <v>3827</v>
      </c>
      <c r="N3291" s="3" t="s">
        <v>3828</v>
      </c>
      <c r="O3291" s="3" t="s">
        <v>3829</v>
      </c>
      <c r="P3291" s="3" t="s">
        <v>3830</v>
      </c>
      <c r="Q3291" s="30" t="str">
        <f t="shared" si="51"/>
        <v>MAX : 38.6
TARGET : 38.1
MIN : 37.6</v>
      </c>
    </row>
    <row r="3292" spans="2:17" ht="41.4" x14ac:dyDescent="0.3">
      <c r="B3292">
        <v>0</v>
      </c>
      <c r="C3292" s="33">
        <v>8843</v>
      </c>
      <c r="D3292" s="2">
        <v>1305</v>
      </c>
      <c r="E3292" s="2" t="s">
        <v>11073</v>
      </c>
      <c r="F3292" s="3" t="s">
        <v>14238</v>
      </c>
      <c r="H3292" s="3" t="s">
        <v>648</v>
      </c>
      <c r="K3292" s="2">
        <v>20</v>
      </c>
      <c r="L3292" s="2">
        <v>17</v>
      </c>
      <c r="M3292" s="3" t="s">
        <v>78</v>
      </c>
      <c r="N3292" s="3" t="s">
        <v>13</v>
      </c>
      <c r="O3292" s="3" t="s">
        <v>14</v>
      </c>
      <c r="Q3292" s="30" t="str">
        <f t="shared" si="51"/>
        <v>MAX : 
TARGET : Yes(Pass)
MIN : No(Fail)</v>
      </c>
    </row>
    <row r="3293" spans="2:17" ht="41.4" x14ac:dyDescent="0.3">
      <c r="B3293">
        <v>0</v>
      </c>
      <c r="C3293" s="33">
        <v>8843</v>
      </c>
      <c r="D3293" s="2">
        <v>1305</v>
      </c>
      <c r="E3293" s="2" t="s">
        <v>11073</v>
      </c>
      <c r="F3293" s="3" t="s">
        <v>14238</v>
      </c>
      <c r="H3293" s="3" t="s">
        <v>648</v>
      </c>
      <c r="K3293" s="2">
        <v>20</v>
      </c>
      <c r="L3293" s="2">
        <v>16</v>
      </c>
      <c r="M3293" s="3" t="s">
        <v>3831</v>
      </c>
      <c r="N3293" s="3" t="s">
        <v>13</v>
      </c>
      <c r="O3293" s="3" t="s">
        <v>14</v>
      </c>
      <c r="Q3293" s="30" t="str">
        <f t="shared" si="51"/>
        <v>MAX : 
TARGET : Yes(Pass)
MIN : No(Fail)</v>
      </c>
    </row>
    <row r="3294" spans="2:17" ht="41.4" x14ac:dyDescent="0.3">
      <c r="B3294">
        <v>0</v>
      </c>
      <c r="C3294" s="33">
        <v>8843</v>
      </c>
      <c r="D3294" s="2">
        <v>1305</v>
      </c>
      <c r="E3294" s="2" t="s">
        <v>11073</v>
      </c>
      <c r="F3294" s="3" t="s">
        <v>14238</v>
      </c>
      <c r="H3294" s="3" t="s">
        <v>648</v>
      </c>
      <c r="K3294" s="2">
        <v>20</v>
      </c>
      <c r="L3294" s="2">
        <v>15</v>
      </c>
      <c r="M3294" s="3" t="s">
        <v>3849</v>
      </c>
      <c r="N3294" s="3" t="s">
        <v>420</v>
      </c>
      <c r="O3294" s="3" t="s">
        <v>2548</v>
      </c>
      <c r="P3294" s="3" t="s">
        <v>3850</v>
      </c>
      <c r="Q3294" s="30" t="str">
        <f t="shared" si="51"/>
        <v>MAX : 1.17
TARGET : 1.07
MIN : 0.97</v>
      </c>
    </row>
    <row r="3295" spans="2:17" ht="41.4" x14ac:dyDescent="0.3">
      <c r="B3295">
        <v>0</v>
      </c>
      <c r="C3295" s="33">
        <v>8843</v>
      </c>
      <c r="D3295" s="2">
        <v>1305</v>
      </c>
      <c r="E3295" s="2" t="s">
        <v>11073</v>
      </c>
      <c r="F3295" s="3" t="s">
        <v>14238</v>
      </c>
      <c r="H3295" s="3" t="s">
        <v>648</v>
      </c>
      <c r="K3295" s="2">
        <v>20</v>
      </c>
      <c r="L3295" s="2">
        <v>18</v>
      </c>
      <c r="M3295" s="3" t="s">
        <v>3871</v>
      </c>
      <c r="N3295" s="3" t="s">
        <v>13</v>
      </c>
      <c r="O3295" s="3" t="s">
        <v>14</v>
      </c>
      <c r="Q3295" s="30" t="str">
        <f t="shared" si="51"/>
        <v>MAX : 
TARGET : Yes(Pass)
MIN : No(Fail)</v>
      </c>
    </row>
    <row r="3296" spans="2:17" ht="41.4" x14ac:dyDescent="0.3">
      <c r="B3296">
        <v>1</v>
      </c>
      <c r="C3296" s="33">
        <v>8637</v>
      </c>
      <c r="D3296" s="2">
        <v>1255</v>
      </c>
      <c r="E3296" s="2" t="s">
        <v>10728</v>
      </c>
      <c r="F3296" s="3" t="s">
        <v>14206</v>
      </c>
      <c r="H3296" s="3" t="s">
        <v>713</v>
      </c>
      <c r="K3296" s="2">
        <v>30</v>
      </c>
      <c r="L3296" s="2">
        <v>1</v>
      </c>
      <c r="M3296" s="3" t="s">
        <v>194</v>
      </c>
      <c r="N3296" s="3" t="s">
        <v>27</v>
      </c>
      <c r="O3296" s="3" t="s">
        <v>28</v>
      </c>
      <c r="P3296" s="3" t="s">
        <v>29</v>
      </c>
      <c r="Q3296" s="30" t="str">
        <f t="shared" si="51"/>
        <v>MAX : 1.53
TARGET : 1.50
MIN : 1.47</v>
      </c>
    </row>
    <row r="3297" spans="2:18" ht="41.4" x14ac:dyDescent="0.3">
      <c r="B3297">
        <v>1</v>
      </c>
      <c r="C3297" s="33">
        <v>8638</v>
      </c>
      <c r="D3297" s="2">
        <v>1256</v>
      </c>
      <c r="E3297" s="2" t="s">
        <v>10734</v>
      </c>
      <c r="F3297" s="3" t="s">
        <v>14206</v>
      </c>
      <c r="H3297" s="3" t="s">
        <v>504</v>
      </c>
      <c r="K3297" s="2">
        <v>20</v>
      </c>
      <c r="L3297" s="2">
        <v>2</v>
      </c>
      <c r="M3297" s="3" t="s">
        <v>422</v>
      </c>
      <c r="N3297" s="3" t="s">
        <v>462</v>
      </c>
      <c r="O3297" s="3" t="s">
        <v>424</v>
      </c>
      <c r="P3297" s="3" t="s">
        <v>463</v>
      </c>
      <c r="Q3297" s="30" t="str">
        <f t="shared" si="51"/>
        <v>MAX : 0.28
TARGET : 0.25
MIN : 0.22</v>
      </c>
    </row>
    <row r="3298" spans="2:18" ht="41.4" x14ac:dyDescent="0.3">
      <c r="B3298">
        <v>0</v>
      </c>
      <c r="C3298" s="33">
        <v>8844</v>
      </c>
      <c r="D3298" s="2">
        <v>1306</v>
      </c>
      <c r="E3298" s="2" t="s">
        <v>11065</v>
      </c>
      <c r="F3298" s="3" t="s">
        <v>14238</v>
      </c>
      <c r="H3298" s="3" t="s">
        <v>648</v>
      </c>
      <c r="K3298" s="2">
        <v>20</v>
      </c>
      <c r="L3298" s="2">
        <v>4</v>
      </c>
      <c r="M3298" s="3" t="s">
        <v>3802</v>
      </c>
      <c r="N3298" s="3" t="s">
        <v>3910</v>
      </c>
      <c r="O3298" s="3" t="s">
        <v>956</v>
      </c>
      <c r="P3298" s="3" t="s">
        <v>3807</v>
      </c>
      <c r="Q3298" s="30" t="str">
        <f t="shared" si="51"/>
        <v>MAX : 18.7
TARGET : 18.5
MIN : 18.3</v>
      </c>
      <c r="R3298" s="3" t="s">
        <v>443</v>
      </c>
    </row>
    <row r="3299" spans="2:18" ht="41.4" x14ac:dyDescent="0.3">
      <c r="B3299">
        <v>0</v>
      </c>
      <c r="C3299" s="33">
        <v>8844</v>
      </c>
      <c r="D3299" s="2">
        <v>1306</v>
      </c>
      <c r="E3299" s="2" t="s">
        <v>11065</v>
      </c>
      <c r="F3299" s="3" t="s">
        <v>14238</v>
      </c>
      <c r="H3299" s="3" t="s">
        <v>648</v>
      </c>
      <c r="K3299" s="2">
        <v>20</v>
      </c>
      <c r="L3299" s="2">
        <v>5</v>
      </c>
      <c r="M3299" s="3" t="s">
        <v>3806</v>
      </c>
      <c r="N3299" s="3" t="s">
        <v>3807</v>
      </c>
      <c r="O3299" s="3" t="s">
        <v>35</v>
      </c>
      <c r="P3299" s="3" t="s">
        <v>3808</v>
      </c>
      <c r="Q3299" s="30" t="str">
        <f t="shared" si="51"/>
        <v>MAX : 19.3
TARGET : 19.0
MIN : 18.7</v>
      </c>
      <c r="R3299" s="3" t="s">
        <v>443</v>
      </c>
    </row>
    <row r="3300" spans="2:18" ht="41.4" x14ac:dyDescent="0.3">
      <c r="B3300">
        <v>0</v>
      </c>
      <c r="C3300" s="33">
        <v>8844</v>
      </c>
      <c r="D3300" s="2">
        <v>1306</v>
      </c>
      <c r="E3300" s="2" t="s">
        <v>11065</v>
      </c>
      <c r="F3300" s="3" t="s">
        <v>14238</v>
      </c>
      <c r="H3300" s="3" t="s">
        <v>648</v>
      </c>
      <c r="K3300" s="2">
        <v>20</v>
      </c>
      <c r="L3300" s="2">
        <v>6</v>
      </c>
      <c r="M3300" s="3" t="s">
        <v>3809</v>
      </c>
      <c r="N3300" s="3" t="s">
        <v>3810</v>
      </c>
      <c r="O3300" s="3" t="s">
        <v>3811</v>
      </c>
      <c r="P3300" s="3" t="s">
        <v>3812</v>
      </c>
      <c r="Q3300" s="30" t="str">
        <f t="shared" si="51"/>
        <v>MAX : 35.90
TARGET : 35.50
MIN : 35.10</v>
      </c>
      <c r="R3300" s="3" t="s">
        <v>443</v>
      </c>
    </row>
    <row r="3301" spans="2:18" ht="41.4" x14ac:dyDescent="0.3">
      <c r="B3301">
        <v>0</v>
      </c>
      <c r="C3301" s="33">
        <v>8844</v>
      </c>
      <c r="D3301" s="2">
        <v>1306</v>
      </c>
      <c r="E3301" s="2" t="s">
        <v>11065</v>
      </c>
      <c r="F3301" s="3" t="s">
        <v>14238</v>
      </c>
      <c r="H3301" s="3" t="s">
        <v>648</v>
      </c>
      <c r="K3301" s="2">
        <v>20</v>
      </c>
      <c r="L3301" s="2">
        <v>8</v>
      </c>
      <c r="M3301" s="3" t="s">
        <v>3815</v>
      </c>
      <c r="N3301" s="3" t="s">
        <v>3911</v>
      </c>
      <c r="O3301" s="3" t="s">
        <v>3814</v>
      </c>
      <c r="P3301" s="3" t="s">
        <v>2353</v>
      </c>
      <c r="Q3301" s="30" t="str">
        <f t="shared" si="51"/>
        <v>MAX : 2.0
TARGET : 1.8
MIN : 1.6</v>
      </c>
      <c r="R3301" s="3" t="s">
        <v>443</v>
      </c>
    </row>
    <row r="3302" spans="2:18" ht="41.4" x14ac:dyDescent="0.3">
      <c r="B3302">
        <v>0</v>
      </c>
      <c r="C3302" s="33">
        <v>8844</v>
      </c>
      <c r="D3302" s="2">
        <v>1306</v>
      </c>
      <c r="E3302" s="2" t="s">
        <v>11065</v>
      </c>
      <c r="F3302" s="3" t="s">
        <v>14238</v>
      </c>
      <c r="H3302" s="3" t="s">
        <v>648</v>
      </c>
      <c r="K3302" s="2">
        <v>20</v>
      </c>
      <c r="L3302" s="2">
        <v>9</v>
      </c>
      <c r="M3302" s="3" t="s">
        <v>3818</v>
      </c>
      <c r="N3302" s="3" t="s">
        <v>3808</v>
      </c>
      <c r="O3302" s="3" t="s">
        <v>957</v>
      </c>
      <c r="P3302" s="3" t="s">
        <v>3821</v>
      </c>
      <c r="Q3302" s="30" t="str">
        <f t="shared" si="51"/>
        <v>MAX : 19.7
TARGET : 19.5
MIN : 19.3</v>
      </c>
      <c r="R3302" s="3" t="s">
        <v>443</v>
      </c>
    </row>
    <row r="3303" spans="2:18" ht="41.4" x14ac:dyDescent="0.3">
      <c r="B3303">
        <v>0</v>
      </c>
      <c r="C3303" s="33">
        <v>8844</v>
      </c>
      <c r="D3303" s="2">
        <v>1306</v>
      </c>
      <c r="E3303" s="2" t="s">
        <v>11065</v>
      </c>
      <c r="F3303" s="3" t="s">
        <v>14238</v>
      </c>
      <c r="H3303" s="3" t="s">
        <v>648</v>
      </c>
      <c r="K3303" s="2">
        <v>20</v>
      </c>
      <c r="L3303" s="2">
        <v>10</v>
      </c>
      <c r="M3303" s="3" t="s">
        <v>3820</v>
      </c>
      <c r="N3303" s="3" t="s">
        <v>3821</v>
      </c>
      <c r="O3303" s="3" t="s">
        <v>1146</v>
      </c>
      <c r="P3303" s="3" t="s">
        <v>3822</v>
      </c>
      <c r="Q3303" s="30" t="str">
        <f t="shared" si="51"/>
        <v>MAX : 20.3
TARGET : 20.0
MIN : 19.7</v>
      </c>
      <c r="R3303" s="3" t="s">
        <v>443</v>
      </c>
    </row>
    <row r="3304" spans="2:18" ht="41.4" x14ac:dyDescent="0.3">
      <c r="B3304">
        <v>0</v>
      </c>
      <c r="C3304" s="33">
        <v>8844</v>
      </c>
      <c r="D3304" s="2">
        <v>1306</v>
      </c>
      <c r="E3304" s="2" t="s">
        <v>11065</v>
      </c>
      <c r="F3304" s="3" t="s">
        <v>14238</v>
      </c>
      <c r="H3304" s="3" t="s">
        <v>648</v>
      </c>
      <c r="K3304" s="2">
        <v>20</v>
      </c>
      <c r="L3304" s="2">
        <v>11</v>
      </c>
      <c r="M3304" s="3" t="s">
        <v>3823</v>
      </c>
      <c r="N3304" s="3" t="s">
        <v>3824</v>
      </c>
      <c r="O3304" s="3" t="s">
        <v>3775</v>
      </c>
      <c r="P3304" s="3" t="s">
        <v>3825</v>
      </c>
      <c r="Q3304" s="30" t="str">
        <f t="shared" si="51"/>
        <v>MAX : 22.40
TARGET : 22.00
MIN : 21.60</v>
      </c>
      <c r="R3304" s="3" t="s">
        <v>443</v>
      </c>
    </row>
    <row r="3305" spans="2:18" ht="41.4" x14ac:dyDescent="0.3">
      <c r="B3305">
        <v>0</v>
      </c>
      <c r="C3305" s="33">
        <v>8844</v>
      </c>
      <c r="D3305" s="2">
        <v>1306</v>
      </c>
      <c r="E3305" s="2" t="s">
        <v>11065</v>
      </c>
      <c r="F3305" s="3" t="s">
        <v>14238</v>
      </c>
      <c r="H3305" s="3" t="s">
        <v>648</v>
      </c>
      <c r="K3305" s="2">
        <v>20</v>
      </c>
      <c r="L3305" s="2">
        <v>12</v>
      </c>
      <c r="M3305" s="3" t="s">
        <v>2615</v>
      </c>
      <c r="N3305" s="3" t="s">
        <v>1065</v>
      </c>
      <c r="O3305" s="3" t="s">
        <v>3049</v>
      </c>
      <c r="P3305" s="3" t="s">
        <v>388</v>
      </c>
      <c r="Q3305" s="30" t="str">
        <f t="shared" si="51"/>
        <v>MAX : 6.0
TARGET : 5.5
MIN : 5.0</v>
      </c>
      <c r="R3305" s="3" t="s">
        <v>443</v>
      </c>
    </row>
    <row r="3306" spans="2:18" ht="41.4" x14ac:dyDescent="0.3">
      <c r="B3306">
        <v>0</v>
      </c>
      <c r="C3306" s="33">
        <v>8844</v>
      </c>
      <c r="D3306" s="2">
        <v>1306</v>
      </c>
      <c r="E3306" s="2" t="s">
        <v>11065</v>
      </c>
      <c r="F3306" s="3" t="s">
        <v>14238</v>
      </c>
      <c r="H3306" s="3" t="s">
        <v>648</v>
      </c>
      <c r="K3306" s="2">
        <v>20</v>
      </c>
      <c r="L3306" s="2">
        <v>13</v>
      </c>
      <c r="M3306" s="3" t="s">
        <v>3826</v>
      </c>
      <c r="N3306" s="3" t="s">
        <v>1065</v>
      </c>
      <c r="O3306" s="3" t="s">
        <v>3049</v>
      </c>
      <c r="P3306" s="3" t="s">
        <v>388</v>
      </c>
      <c r="Q3306" s="30" t="str">
        <f t="shared" si="51"/>
        <v>MAX : 6.0
TARGET : 5.5
MIN : 5.0</v>
      </c>
      <c r="R3306" s="3" t="s">
        <v>443</v>
      </c>
    </row>
    <row r="3307" spans="2:18" ht="41.4" x14ac:dyDescent="0.3">
      <c r="B3307">
        <v>0</v>
      </c>
      <c r="C3307" s="33">
        <v>8844</v>
      </c>
      <c r="D3307" s="2">
        <v>1306</v>
      </c>
      <c r="E3307" s="2" t="s">
        <v>11065</v>
      </c>
      <c r="F3307" s="3" t="s">
        <v>14238</v>
      </c>
      <c r="H3307" s="3" t="s">
        <v>648</v>
      </c>
      <c r="K3307" s="2">
        <v>20</v>
      </c>
      <c r="L3307" s="2">
        <v>14</v>
      </c>
      <c r="M3307" s="3" t="s">
        <v>3827</v>
      </c>
      <c r="N3307" s="3" t="s">
        <v>3828</v>
      </c>
      <c r="O3307" s="3" t="s">
        <v>3829</v>
      </c>
      <c r="P3307" s="3" t="s">
        <v>3830</v>
      </c>
      <c r="Q3307" s="30" t="str">
        <f t="shared" si="51"/>
        <v>MAX : 38.6
TARGET : 38.1
MIN : 37.6</v>
      </c>
      <c r="R3307" s="3" t="s">
        <v>443</v>
      </c>
    </row>
    <row r="3308" spans="2:18" ht="41.4" x14ac:dyDescent="0.3">
      <c r="B3308">
        <v>0</v>
      </c>
      <c r="C3308" s="33">
        <v>8844</v>
      </c>
      <c r="D3308" s="2">
        <v>1306</v>
      </c>
      <c r="E3308" s="2" t="s">
        <v>11065</v>
      </c>
      <c r="F3308" s="3" t="s">
        <v>14238</v>
      </c>
      <c r="H3308" s="3" t="s">
        <v>648</v>
      </c>
      <c r="K3308" s="2">
        <v>20</v>
      </c>
      <c r="L3308" s="2">
        <v>17</v>
      </c>
      <c r="M3308" s="3" t="s">
        <v>78</v>
      </c>
      <c r="N3308" s="3" t="s">
        <v>13</v>
      </c>
      <c r="O3308" s="3" t="s">
        <v>14</v>
      </c>
      <c r="Q3308" s="30" t="str">
        <f t="shared" si="51"/>
        <v>MAX : 
TARGET : Yes(Pass)
MIN : No(Fail)</v>
      </c>
      <c r="R3308" s="3" t="s">
        <v>443</v>
      </c>
    </row>
    <row r="3309" spans="2:18" ht="41.4" x14ac:dyDescent="0.3">
      <c r="B3309">
        <v>0</v>
      </c>
      <c r="C3309" s="33">
        <v>8844</v>
      </c>
      <c r="D3309" s="2">
        <v>1306</v>
      </c>
      <c r="E3309" s="2" t="s">
        <v>11065</v>
      </c>
      <c r="F3309" s="3" t="s">
        <v>14238</v>
      </c>
      <c r="H3309" s="3" t="s">
        <v>648</v>
      </c>
      <c r="K3309" s="2">
        <v>20</v>
      </c>
      <c r="L3309" s="2">
        <v>16</v>
      </c>
      <c r="M3309" s="3" t="s">
        <v>3831</v>
      </c>
      <c r="N3309" s="3" t="s">
        <v>13</v>
      </c>
      <c r="O3309" s="3" t="s">
        <v>14</v>
      </c>
      <c r="Q3309" s="30" t="str">
        <f t="shared" si="51"/>
        <v>MAX : 
TARGET : Yes(Pass)
MIN : No(Fail)</v>
      </c>
      <c r="R3309" s="3" t="s">
        <v>443</v>
      </c>
    </row>
    <row r="3310" spans="2:18" ht="41.4" x14ac:dyDescent="0.3">
      <c r="B3310">
        <v>0</v>
      </c>
      <c r="C3310" s="33">
        <v>8844</v>
      </c>
      <c r="D3310" s="2">
        <v>1306</v>
      </c>
      <c r="E3310" s="2" t="s">
        <v>11065</v>
      </c>
      <c r="F3310" s="3" t="s">
        <v>14238</v>
      </c>
      <c r="H3310" s="3" t="s">
        <v>648</v>
      </c>
      <c r="K3310" s="2">
        <v>20</v>
      </c>
      <c r="L3310" s="2">
        <v>15</v>
      </c>
      <c r="M3310" s="3" t="s">
        <v>3849</v>
      </c>
      <c r="N3310" s="3" t="s">
        <v>420</v>
      </c>
      <c r="O3310" s="3" t="s">
        <v>2548</v>
      </c>
      <c r="P3310" s="3" t="s">
        <v>3850</v>
      </c>
      <c r="Q3310" s="30" t="str">
        <f t="shared" si="51"/>
        <v>MAX : 1.17
TARGET : 1.07
MIN : 0.97</v>
      </c>
      <c r="R3310" s="3" t="s">
        <v>443</v>
      </c>
    </row>
    <row r="3311" spans="2:18" ht="41.4" x14ac:dyDescent="0.3">
      <c r="B3311">
        <v>0</v>
      </c>
      <c r="C3311" s="33">
        <v>8844</v>
      </c>
      <c r="D3311" s="2">
        <v>1306</v>
      </c>
      <c r="E3311" s="2" t="s">
        <v>11065</v>
      </c>
      <c r="F3311" s="3" t="s">
        <v>14238</v>
      </c>
      <c r="H3311" s="3" t="s">
        <v>648</v>
      </c>
      <c r="K3311" s="2">
        <v>20</v>
      </c>
      <c r="L3311" s="2">
        <v>18</v>
      </c>
      <c r="M3311" s="3" t="s">
        <v>3871</v>
      </c>
      <c r="N3311" s="3" t="s">
        <v>13</v>
      </c>
      <c r="O3311" s="3" t="s">
        <v>14</v>
      </c>
      <c r="Q3311" s="30" t="str">
        <f t="shared" si="51"/>
        <v>MAX : 
TARGET : Yes(Pass)
MIN : No(Fail)</v>
      </c>
      <c r="R3311" s="3" t="s">
        <v>443</v>
      </c>
    </row>
    <row r="3312" spans="2:18" ht="41.4" x14ac:dyDescent="0.3">
      <c r="B3312">
        <v>1</v>
      </c>
      <c r="C3312" s="33">
        <v>8638</v>
      </c>
      <c r="D3312" s="2">
        <v>1256</v>
      </c>
      <c r="E3312" s="2" t="s">
        <v>10734</v>
      </c>
      <c r="F3312" s="3" t="s">
        <v>14206</v>
      </c>
      <c r="H3312" s="3" t="s">
        <v>504</v>
      </c>
      <c r="K3312" s="2">
        <v>20</v>
      </c>
      <c r="L3312" s="2">
        <v>1</v>
      </c>
      <c r="M3312" s="3" t="s">
        <v>570</v>
      </c>
      <c r="N3312" s="3" t="s">
        <v>459</v>
      </c>
      <c r="O3312" s="3" t="s">
        <v>406</v>
      </c>
      <c r="P3312" s="3" t="s">
        <v>460</v>
      </c>
      <c r="Q3312" s="30" t="str">
        <f t="shared" si="51"/>
        <v>MAX : 2.03
TARGET : 2.00
MIN : 1.97</v>
      </c>
    </row>
    <row r="3313" spans="2:17" ht="41.4" x14ac:dyDescent="0.3">
      <c r="B3313">
        <v>1</v>
      </c>
      <c r="C3313" s="33">
        <v>8638</v>
      </c>
      <c r="D3313" s="2">
        <v>1256</v>
      </c>
      <c r="E3313" s="2" t="s">
        <v>10734</v>
      </c>
      <c r="F3313" s="3" t="s">
        <v>14206</v>
      </c>
      <c r="H3313" s="3" t="s">
        <v>504</v>
      </c>
      <c r="K3313" s="2">
        <v>10</v>
      </c>
      <c r="L3313" s="2">
        <v>1</v>
      </c>
      <c r="M3313" s="3" t="s">
        <v>5536</v>
      </c>
      <c r="N3313" s="3" t="s">
        <v>742</v>
      </c>
      <c r="O3313" s="3" t="s">
        <v>339</v>
      </c>
      <c r="P3313" s="3" t="s">
        <v>5537</v>
      </c>
      <c r="Q3313" s="30" t="str">
        <f t="shared" si="51"/>
        <v>MAX : 4
TARGET : 3.25
MIN : 3.125</v>
      </c>
    </row>
    <row r="3314" spans="2:17" ht="41.4" x14ac:dyDescent="0.3">
      <c r="B3314">
        <v>0</v>
      </c>
      <c r="C3314" s="33">
        <v>8845</v>
      </c>
      <c r="D3314" s="2">
        <v>1307</v>
      </c>
      <c r="E3314" s="2" t="s">
        <v>11073</v>
      </c>
      <c r="F3314" s="3" t="s">
        <v>14238</v>
      </c>
      <c r="H3314" s="3" t="s">
        <v>648</v>
      </c>
      <c r="K3314" s="2">
        <v>20</v>
      </c>
      <c r="L3314" s="2">
        <v>4</v>
      </c>
      <c r="M3314" s="3" t="s">
        <v>3802</v>
      </c>
      <c r="N3314" s="3" t="s">
        <v>3910</v>
      </c>
      <c r="O3314" s="3" t="s">
        <v>956</v>
      </c>
      <c r="P3314" s="3" t="s">
        <v>3807</v>
      </c>
      <c r="Q3314" s="30" t="str">
        <f t="shared" si="51"/>
        <v>MAX : 18.7
TARGET : 18.5
MIN : 18.3</v>
      </c>
    </row>
    <row r="3315" spans="2:17" ht="41.4" x14ac:dyDescent="0.3">
      <c r="B3315">
        <v>0</v>
      </c>
      <c r="C3315" s="33">
        <v>8845</v>
      </c>
      <c r="D3315" s="2">
        <v>1307</v>
      </c>
      <c r="E3315" s="2" t="s">
        <v>11073</v>
      </c>
      <c r="F3315" s="3" t="s">
        <v>14238</v>
      </c>
      <c r="H3315" s="3" t="s">
        <v>648</v>
      </c>
      <c r="K3315" s="2">
        <v>20</v>
      </c>
      <c r="L3315" s="2">
        <v>5</v>
      </c>
      <c r="M3315" s="3" t="s">
        <v>3806</v>
      </c>
      <c r="N3315" s="3" t="s">
        <v>3807</v>
      </c>
      <c r="O3315" s="3" t="s">
        <v>35</v>
      </c>
      <c r="P3315" s="3" t="s">
        <v>3808</v>
      </c>
      <c r="Q3315" s="30" t="str">
        <f t="shared" si="51"/>
        <v>MAX : 19.3
TARGET : 19.0
MIN : 18.7</v>
      </c>
    </row>
    <row r="3316" spans="2:17" ht="41.4" x14ac:dyDescent="0.3">
      <c r="B3316">
        <v>0</v>
      </c>
      <c r="C3316" s="33">
        <v>8845</v>
      </c>
      <c r="D3316" s="2">
        <v>1307</v>
      </c>
      <c r="E3316" s="2" t="s">
        <v>11073</v>
      </c>
      <c r="F3316" s="3" t="s">
        <v>14238</v>
      </c>
      <c r="H3316" s="3" t="s">
        <v>648</v>
      </c>
      <c r="K3316" s="2">
        <v>20</v>
      </c>
      <c r="L3316" s="2">
        <v>6</v>
      </c>
      <c r="M3316" s="3" t="s">
        <v>3809</v>
      </c>
      <c r="N3316" s="3" t="s">
        <v>3810</v>
      </c>
      <c r="O3316" s="3" t="s">
        <v>3811</v>
      </c>
      <c r="P3316" s="3" t="s">
        <v>3812</v>
      </c>
      <c r="Q3316" s="30" t="str">
        <f t="shared" si="51"/>
        <v>MAX : 35.90
TARGET : 35.50
MIN : 35.10</v>
      </c>
    </row>
    <row r="3317" spans="2:17" ht="41.4" x14ac:dyDescent="0.3">
      <c r="B3317">
        <v>0</v>
      </c>
      <c r="C3317" s="33">
        <v>8845</v>
      </c>
      <c r="D3317" s="2">
        <v>1307</v>
      </c>
      <c r="E3317" s="2" t="s">
        <v>11073</v>
      </c>
      <c r="F3317" s="3" t="s">
        <v>14238</v>
      </c>
      <c r="H3317" s="3" t="s">
        <v>648</v>
      </c>
      <c r="K3317" s="2">
        <v>20</v>
      </c>
      <c r="L3317" s="2">
        <v>8</v>
      </c>
      <c r="M3317" s="3" t="s">
        <v>3815</v>
      </c>
      <c r="N3317" s="3" t="s">
        <v>3911</v>
      </c>
      <c r="O3317" s="3" t="s">
        <v>3814</v>
      </c>
      <c r="P3317" s="3" t="s">
        <v>2353</v>
      </c>
      <c r="Q3317" s="30" t="str">
        <f t="shared" si="51"/>
        <v>MAX : 2.0
TARGET : 1.8
MIN : 1.6</v>
      </c>
    </row>
    <row r="3318" spans="2:17" ht="41.4" x14ac:dyDescent="0.3">
      <c r="B3318">
        <v>0</v>
      </c>
      <c r="C3318" s="33">
        <v>8845</v>
      </c>
      <c r="D3318" s="2">
        <v>1307</v>
      </c>
      <c r="E3318" s="2" t="s">
        <v>11073</v>
      </c>
      <c r="F3318" s="3" t="s">
        <v>14238</v>
      </c>
      <c r="H3318" s="3" t="s">
        <v>648</v>
      </c>
      <c r="K3318" s="2">
        <v>20</v>
      </c>
      <c r="L3318" s="2">
        <v>9</v>
      </c>
      <c r="M3318" s="3" t="s">
        <v>3818</v>
      </c>
      <c r="N3318" s="3" t="s">
        <v>3808</v>
      </c>
      <c r="O3318" s="3" t="s">
        <v>957</v>
      </c>
      <c r="P3318" s="3" t="s">
        <v>3821</v>
      </c>
      <c r="Q3318" s="30" t="str">
        <f t="shared" si="51"/>
        <v>MAX : 19.7
TARGET : 19.5
MIN : 19.3</v>
      </c>
    </row>
    <row r="3319" spans="2:17" ht="41.4" x14ac:dyDescent="0.3">
      <c r="B3319">
        <v>0</v>
      </c>
      <c r="C3319" s="33">
        <v>8845</v>
      </c>
      <c r="D3319" s="2">
        <v>1307</v>
      </c>
      <c r="E3319" s="2" t="s">
        <v>11073</v>
      </c>
      <c r="F3319" s="3" t="s">
        <v>14238</v>
      </c>
      <c r="H3319" s="3" t="s">
        <v>648</v>
      </c>
      <c r="K3319" s="2">
        <v>20</v>
      </c>
      <c r="L3319" s="2">
        <v>10</v>
      </c>
      <c r="M3319" s="3" t="s">
        <v>3820</v>
      </c>
      <c r="N3319" s="3" t="s">
        <v>3821</v>
      </c>
      <c r="O3319" s="3" t="s">
        <v>1146</v>
      </c>
      <c r="P3319" s="3" t="s">
        <v>3822</v>
      </c>
      <c r="Q3319" s="30" t="str">
        <f t="shared" si="51"/>
        <v>MAX : 20.3
TARGET : 20.0
MIN : 19.7</v>
      </c>
    </row>
    <row r="3320" spans="2:17" ht="41.4" x14ac:dyDescent="0.3">
      <c r="B3320">
        <v>0</v>
      </c>
      <c r="C3320" s="33">
        <v>8845</v>
      </c>
      <c r="D3320" s="2">
        <v>1307</v>
      </c>
      <c r="E3320" s="2" t="s">
        <v>11073</v>
      </c>
      <c r="F3320" s="3" t="s">
        <v>14238</v>
      </c>
      <c r="H3320" s="3" t="s">
        <v>648</v>
      </c>
      <c r="K3320" s="2">
        <v>20</v>
      </c>
      <c r="L3320" s="2">
        <v>11</v>
      </c>
      <c r="M3320" s="3" t="s">
        <v>3823</v>
      </c>
      <c r="N3320" s="3" t="s">
        <v>3824</v>
      </c>
      <c r="O3320" s="3" t="s">
        <v>3775</v>
      </c>
      <c r="P3320" s="3" t="s">
        <v>3825</v>
      </c>
      <c r="Q3320" s="30" t="str">
        <f t="shared" si="51"/>
        <v>MAX : 22.40
TARGET : 22.00
MIN : 21.60</v>
      </c>
    </row>
    <row r="3321" spans="2:17" ht="41.4" x14ac:dyDescent="0.3">
      <c r="B3321">
        <v>0</v>
      </c>
      <c r="C3321" s="33">
        <v>8845</v>
      </c>
      <c r="D3321" s="2">
        <v>1307</v>
      </c>
      <c r="E3321" s="2" t="s">
        <v>11073</v>
      </c>
      <c r="F3321" s="3" t="s">
        <v>14238</v>
      </c>
      <c r="H3321" s="3" t="s">
        <v>648</v>
      </c>
      <c r="K3321" s="2">
        <v>20</v>
      </c>
      <c r="L3321" s="2">
        <v>12</v>
      </c>
      <c r="M3321" s="3" t="s">
        <v>2615</v>
      </c>
      <c r="N3321" s="3" t="s">
        <v>1065</v>
      </c>
      <c r="O3321" s="3" t="s">
        <v>3049</v>
      </c>
      <c r="P3321" s="3" t="s">
        <v>388</v>
      </c>
      <c r="Q3321" s="30" t="str">
        <f t="shared" si="51"/>
        <v>MAX : 6.0
TARGET : 5.5
MIN : 5.0</v>
      </c>
    </row>
    <row r="3322" spans="2:17" ht="41.4" x14ac:dyDescent="0.3">
      <c r="B3322">
        <v>0</v>
      </c>
      <c r="C3322" s="33">
        <v>8845</v>
      </c>
      <c r="D3322" s="2">
        <v>1307</v>
      </c>
      <c r="E3322" s="2" t="s">
        <v>11073</v>
      </c>
      <c r="F3322" s="3" t="s">
        <v>14238</v>
      </c>
      <c r="H3322" s="3" t="s">
        <v>648</v>
      </c>
      <c r="K3322" s="2">
        <v>20</v>
      </c>
      <c r="L3322" s="2">
        <v>13</v>
      </c>
      <c r="M3322" s="3" t="s">
        <v>3826</v>
      </c>
      <c r="N3322" s="3" t="s">
        <v>1065</v>
      </c>
      <c r="O3322" s="3" t="s">
        <v>3049</v>
      </c>
      <c r="P3322" s="3" t="s">
        <v>388</v>
      </c>
      <c r="Q3322" s="30" t="str">
        <f t="shared" si="51"/>
        <v>MAX : 6.0
TARGET : 5.5
MIN : 5.0</v>
      </c>
    </row>
    <row r="3323" spans="2:17" ht="41.4" x14ac:dyDescent="0.3">
      <c r="B3323">
        <v>0</v>
      </c>
      <c r="C3323" s="33">
        <v>8845</v>
      </c>
      <c r="D3323" s="2">
        <v>1307</v>
      </c>
      <c r="E3323" s="2" t="s">
        <v>11073</v>
      </c>
      <c r="F3323" s="3" t="s">
        <v>14238</v>
      </c>
      <c r="H3323" s="3" t="s">
        <v>648</v>
      </c>
      <c r="K3323" s="2">
        <v>20</v>
      </c>
      <c r="L3323" s="2">
        <v>14</v>
      </c>
      <c r="M3323" s="3" t="s">
        <v>3827</v>
      </c>
      <c r="N3323" s="3" t="s">
        <v>3828</v>
      </c>
      <c r="O3323" s="3" t="s">
        <v>3829</v>
      </c>
      <c r="P3323" s="3" t="s">
        <v>3830</v>
      </c>
      <c r="Q3323" s="30" t="str">
        <f t="shared" si="51"/>
        <v>MAX : 38.6
TARGET : 38.1
MIN : 37.6</v>
      </c>
    </row>
    <row r="3324" spans="2:17" ht="41.4" x14ac:dyDescent="0.3">
      <c r="B3324">
        <v>0</v>
      </c>
      <c r="C3324" s="33">
        <v>8845</v>
      </c>
      <c r="D3324" s="2">
        <v>1307</v>
      </c>
      <c r="E3324" s="2" t="s">
        <v>11073</v>
      </c>
      <c r="F3324" s="3" t="s">
        <v>14238</v>
      </c>
      <c r="H3324" s="3" t="s">
        <v>648</v>
      </c>
      <c r="K3324" s="2">
        <v>20</v>
      </c>
      <c r="L3324" s="2">
        <v>17</v>
      </c>
      <c r="M3324" s="3" t="s">
        <v>78</v>
      </c>
      <c r="N3324" s="3" t="s">
        <v>13</v>
      </c>
      <c r="O3324" s="3" t="s">
        <v>14</v>
      </c>
      <c r="Q3324" s="30" t="str">
        <f t="shared" si="51"/>
        <v>MAX : 
TARGET : Yes(Pass)
MIN : No(Fail)</v>
      </c>
    </row>
    <row r="3325" spans="2:17" ht="41.4" x14ac:dyDescent="0.3">
      <c r="B3325">
        <v>0</v>
      </c>
      <c r="C3325" s="33">
        <v>8845</v>
      </c>
      <c r="D3325" s="2">
        <v>1307</v>
      </c>
      <c r="E3325" s="2" t="s">
        <v>11073</v>
      </c>
      <c r="F3325" s="3" t="s">
        <v>14238</v>
      </c>
      <c r="H3325" s="3" t="s">
        <v>648</v>
      </c>
      <c r="K3325" s="2">
        <v>20</v>
      </c>
      <c r="L3325" s="2">
        <v>16</v>
      </c>
      <c r="M3325" s="3" t="s">
        <v>3831</v>
      </c>
      <c r="N3325" s="3" t="s">
        <v>13</v>
      </c>
      <c r="O3325" s="3" t="s">
        <v>14</v>
      </c>
      <c r="Q3325" s="30" t="str">
        <f t="shared" si="51"/>
        <v>MAX : 
TARGET : Yes(Pass)
MIN : No(Fail)</v>
      </c>
    </row>
    <row r="3326" spans="2:17" ht="41.4" x14ac:dyDescent="0.3">
      <c r="B3326">
        <v>0</v>
      </c>
      <c r="C3326" s="33">
        <v>8845</v>
      </c>
      <c r="D3326" s="2">
        <v>1307</v>
      </c>
      <c r="E3326" s="2" t="s">
        <v>11073</v>
      </c>
      <c r="F3326" s="3" t="s">
        <v>14238</v>
      </c>
      <c r="H3326" s="3" t="s">
        <v>648</v>
      </c>
      <c r="K3326" s="2">
        <v>20</v>
      </c>
      <c r="L3326" s="2">
        <v>15</v>
      </c>
      <c r="M3326" s="3" t="s">
        <v>3849</v>
      </c>
      <c r="N3326" s="3" t="s">
        <v>420</v>
      </c>
      <c r="O3326" s="3" t="s">
        <v>2548</v>
      </c>
      <c r="P3326" s="3" t="s">
        <v>3850</v>
      </c>
      <c r="Q3326" s="30" t="str">
        <f t="shared" si="51"/>
        <v>MAX : 1.17
TARGET : 1.07
MIN : 0.97</v>
      </c>
    </row>
    <row r="3327" spans="2:17" ht="41.4" x14ac:dyDescent="0.3">
      <c r="B3327">
        <v>0</v>
      </c>
      <c r="C3327" s="33">
        <v>8845</v>
      </c>
      <c r="D3327" s="2">
        <v>1307</v>
      </c>
      <c r="E3327" s="2" t="s">
        <v>11073</v>
      </c>
      <c r="F3327" s="3" t="s">
        <v>14238</v>
      </c>
      <c r="H3327" s="3" t="s">
        <v>648</v>
      </c>
      <c r="K3327" s="2">
        <v>20</v>
      </c>
      <c r="L3327" s="2">
        <v>18</v>
      </c>
      <c r="M3327" s="3" t="s">
        <v>3871</v>
      </c>
      <c r="N3327" s="3" t="s">
        <v>13</v>
      </c>
      <c r="O3327" s="3" t="s">
        <v>14</v>
      </c>
      <c r="Q3327" s="30" t="str">
        <f t="shared" si="51"/>
        <v>MAX : 
TARGET : Yes(Pass)
MIN : No(Fail)</v>
      </c>
    </row>
    <row r="3328" spans="2:17" ht="41.4" x14ac:dyDescent="0.3">
      <c r="B3328">
        <v>1</v>
      </c>
      <c r="C3328" s="33">
        <v>8642</v>
      </c>
      <c r="D3328" s="2">
        <v>1977</v>
      </c>
      <c r="E3328" s="2" t="s">
        <v>10741</v>
      </c>
      <c r="F3328" s="3" t="s">
        <v>14206</v>
      </c>
      <c r="H3328" s="3" t="s">
        <v>11</v>
      </c>
      <c r="K3328" s="2">
        <v>20</v>
      </c>
      <c r="L3328" s="2">
        <v>2</v>
      </c>
      <c r="M3328" s="3" t="s">
        <v>2618</v>
      </c>
      <c r="N3328" s="3" t="s">
        <v>462</v>
      </c>
      <c r="O3328" s="3" t="s">
        <v>424</v>
      </c>
      <c r="P3328" s="3" t="s">
        <v>463</v>
      </c>
      <c r="Q3328" s="30" t="str">
        <f t="shared" si="51"/>
        <v>MAX : 0.28
TARGET : 0.25
MIN : 0.22</v>
      </c>
    </row>
    <row r="3329" spans="2:18" ht="41.4" x14ac:dyDescent="0.3">
      <c r="B3329">
        <v>1</v>
      </c>
      <c r="C3329" s="33">
        <v>8642</v>
      </c>
      <c r="D3329" s="2">
        <v>1977</v>
      </c>
      <c r="E3329" s="2" t="s">
        <v>10741</v>
      </c>
      <c r="F3329" s="3" t="s">
        <v>14206</v>
      </c>
      <c r="H3329" s="3" t="s">
        <v>11</v>
      </c>
      <c r="K3329" s="2">
        <v>20</v>
      </c>
      <c r="L3329" s="2">
        <v>1</v>
      </c>
      <c r="M3329" s="3" t="s">
        <v>99</v>
      </c>
      <c r="N3329" s="3" t="s">
        <v>75</v>
      </c>
      <c r="O3329" s="3" t="s">
        <v>76</v>
      </c>
      <c r="P3329" s="3" t="s">
        <v>77</v>
      </c>
      <c r="Q3329" s="30" t="str">
        <f t="shared" si="51"/>
        <v>MAX : 2.53
TARGET : 2.50
MIN : 2.47</v>
      </c>
    </row>
    <row r="3330" spans="2:18" ht="41.4" x14ac:dyDescent="0.3">
      <c r="B3330">
        <v>0</v>
      </c>
      <c r="C3330" s="33">
        <v>8853</v>
      </c>
      <c r="D3330" s="2">
        <v>1312</v>
      </c>
      <c r="E3330" s="2" t="s">
        <v>11238</v>
      </c>
      <c r="F3330" s="3" t="s">
        <v>14206</v>
      </c>
      <c r="H3330" s="3" t="s">
        <v>1915</v>
      </c>
      <c r="K3330" s="2">
        <v>10</v>
      </c>
      <c r="L3330" s="2">
        <v>3</v>
      </c>
      <c r="M3330" s="3" t="s">
        <v>3914</v>
      </c>
      <c r="N3330" s="3" t="s">
        <v>13</v>
      </c>
      <c r="O3330" s="3" t="s">
        <v>14</v>
      </c>
      <c r="Q3330" s="30" t="str">
        <f t="shared" ref="Q3330:Q3393" si="52">"MAX : " &amp; P3330 &amp; CHAR(10) &amp; "TARGET : " &amp; O3330 &amp; CHAR(10) &amp; "MIN : " &amp; N3330</f>
        <v>MAX : 
TARGET : Yes(Pass)
MIN : No(Fail)</v>
      </c>
    </row>
    <row r="3331" spans="2:18" ht="41.4" x14ac:dyDescent="0.3">
      <c r="B3331">
        <v>1</v>
      </c>
      <c r="C3331" s="33">
        <v>8643</v>
      </c>
      <c r="D3331" s="2">
        <v>1978</v>
      </c>
      <c r="E3331" s="2" t="s">
        <v>10749</v>
      </c>
      <c r="F3331" s="3" t="s">
        <v>14206</v>
      </c>
      <c r="H3331" s="3" t="s">
        <v>568</v>
      </c>
      <c r="K3331" s="2">
        <v>10</v>
      </c>
      <c r="L3331" s="2">
        <v>2</v>
      </c>
      <c r="M3331" s="3" t="s">
        <v>325</v>
      </c>
      <c r="N3331" s="3" t="s">
        <v>13</v>
      </c>
      <c r="O3331" s="3" t="s">
        <v>14</v>
      </c>
      <c r="Q3331" s="30" t="str">
        <f t="shared" si="52"/>
        <v>MAX : 
TARGET : Yes(Pass)
MIN : No(Fail)</v>
      </c>
    </row>
    <row r="3332" spans="2:18" ht="41.4" x14ac:dyDescent="0.3">
      <c r="B3332">
        <v>1</v>
      </c>
      <c r="C3332" s="33">
        <v>8643</v>
      </c>
      <c r="D3332" s="2">
        <v>1978</v>
      </c>
      <c r="E3332" s="2" t="s">
        <v>10749</v>
      </c>
      <c r="F3332" s="3" t="s">
        <v>14206</v>
      </c>
      <c r="H3332" s="3" t="s">
        <v>568</v>
      </c>
      <c r="K3332" s="2">
        <v>10</v>
      </c>
      <c r="L3332" s="2">
        <v>1</v>
      </c>
      <c r="M3332" s="3" t="s">
        <v>1610</v>
      </c>
      <c r="N3332" s="3" t="s">
        <v>863</v>
      </c>
      <c r="O3332" s="3" t="s">
        <v>8</v>
      </c>
      <c r="P3332" s="3" t="s">
        <v>865</v>
      </c>
      <c r="Q3332" s="30" t="str">
        <f t="shared" si="52"/>
        <v>MAX : +0.03
TARGET : Target
MIN : -0.03</v>
      </c>
    </row>
    <row r="3333" spans="2:18" ht="41.4" x14ac:dyDescent="0.3">
      <c r="B3333">
        <v>0</v>
      </c>
      <c r="C3333" s="33">
        <v>8854</v>
      </c>
      <c r="D3333" s="2">
        <v>1313</v>
      </c>
      <c r="E3333" s="2" t="s">
        <v>11245</v>
      </c>
      <c r="F3333" s="3" t="s">
        <v>14206</v>
      </c>
      <c r="H3333" s="3" t="s">
        <v>1915</v>
      </c>
      <c r="K3333" s="2">
        <v>10</v>
      </c>
      <c r="L3333" s="2">
        <v>3</v>
      </c>
      <c r="M3333" s="3" t="s">
        <v>3914</v>
      </c>
      <c r="N3333" s="3" t="s">
        <v>13</v>
      </c>
      <c r="O3333" s="3" t="s">
        <v>14</v>
      </c>
      <c r="Q3333" s="30" t="str">
        <f t="shared" si="52"/>
        <v>MAX : 
TARGET : Yes(Pass)
MIN : No(Fail)</v>
      </c>
    </row>
    <row r="3334" spans="2:18" ht="41.4" x14ac:dyDescent="0.3">
      <c r="B3334">
        <v>1</v>
      </c>
      <c r="C3334" s="33">
        <v>8644</v>
      </c>
      <c r="D3334" s="2">
        <v>1979</v>
      </c>
      <c r="E3334" s="2" t="s">
        <v>10756</v>
      </c>
      <c r="F3334" s="3" t="s">
        <v>14207</v>
      </c>
      <c r="H3334" s="3" t="s">
        <v>568</v>
      </c>
      <c r="K3334" s="2">
        <v>10</v>
      </c>
      <c r="L3334" s="2">
        <v>2</v>
      </c>
      <c r="M3334" s="3" t="s">
        <v>325</v>
      </c>
      <c r="N3334" s="3" t="s">
        <v>13</v>
      </c>
      <c r="O3334" s="3" t="s">
        <v>14</v>
      </c>
      <c r="Q3334" s="30" t="str">
        <f t="shared" si="52"/>
        <v>MAX : 
TARGET : Yes(Pass)
MIN : No(Fail)</v>
      </c>
    </row>
    <row r="3335" spans="2:18" ht="41.4" x14ac:dyDescent="0.3">
      <c r="B3335">
        <v>1</v>
      </c>
      <c r="C3335" s="33">
        <v>8644</v>
      </c>
      <c r="D3335" s="2">
        <v>1979</v>
      </c>
      <c r="E3335" s="2" t="s">
        <v>10756</v>
      </c>
      <c r="F3335" s="3" t="s">
        <v>14207</v>
      </c>
      <c r="H3335" s="3" t="s">
        <v>568</v>
      </c>
      <c r="K3335" s="2">
        <v>10</v>
      </c>
      <c r="L3335" s="2">
        <v>1</v>
      </c>
      <c r="M3335" s="3" t="s">
        <v>1610</v>
      </c>
      <c r="N3335" s="3" t="s">
        <v>3448</v>
      </c>
      <c r="O3335" s="3" t="s">
        <v>8</v>
      </c>
      <c r="P3335" s="3" t="s">
        <v>3449</v>
      </c>
      <c r="Q3335" s="30" t="str">
        <f t="shared" si="52"/>
        <v>MAX : +0.8
TARGET : Target
MIN : -0.8</v>
      </c>
    </row>
    <row r="3336" spans="2:18" ht="41.4" x14ac:dyDescent="0.3">
      <c r="B3336">
        <v>1</v>
      </c>
      <c r="C3336" s="33">
        <v>8650</v>
      </c>
      <c r="D3336" s="2">
        <v>1257</v>
      </c>
      <c r="E3336" s="2" t="s">
        <v>10762</v>
      </c>
      <c r="F3336" s="3" t="s">
        <v>14206</v>
      </c>
      <c r="H3336" s="3" t="s">
        <v>2296</v>
      </c>
      <c r="I3336" s="3" t="s">
        <v>487</v>
      </c>
      <c r="K3336" s="2">
        <v>10</v>
      </c>
      <c r="L3336" s="2">
        <v>2</v>
      </c>
      <c r="M3336" s="3" t="s">
        <v>3454</v>
      </c>
      <c r="N3336" s="3" t="s">
        <v>13</v>
      </c>
      <c r="O3336" s="3" t="s">
        <v>14</v>
      </c>
      <c r="Q3336" s="30" t="str">
        <f t="shared" si="52"/>
        <v>MAX : 
TARGET : Yes(Pass)
MIN : No(Fail)</v>
      </c>
    </row>
    <row r="3337" spans="2:18" ht="41.4" x14ac:dyDescent="0.3">
      <c r="B3337">
        <v>1</v>
      </c>
      <c r="C3337" s="33">
        <v>8650</v>
      </c>
      <c r="D3337" s="2">
        <v>1257</v>
      </c>
      <c r="E3337" s="2" t="s">
        <v>10762</v>
      </c>
      <c r="F3337" s="3" t="s">
        <v>14206</v>
      </c>
      <c r="H3337" s="3" t="s">
        <v>2296</v>
      </c>
      <c r="I3337" s="3" t="s">
        <v>487</v>
      </c>
      <c r="K3337" s="2">
        <v>10</v>
      </c>
      <c r="L3337" s="2">
        <v>1</v>
      </c>
      <c r="M3337" s="3" t="s">
        <v>458</v>
      </c>
      <c r="N3337" s="3" t="s">
        <v>3452</v>
      </c>
      <c r="O3337" s="3" t="s">
        <v>2815</v>
      </c>
      <c r="P3337" s="3" t="s">
        <v>3453</v>
      </c>
      <c r="Q3337" s="30" t="str">
        <f t="shared" si="52"/>
        <v>MAX : 24.13
TARGET : 24.00
MIN : 23.87</v>
      </c>
    </row>
    <row r="3338" spans="2:18" ht="41.4" x14ac:dyDescent="0.3">
      <c r="B3338">
        <v>0</v>
      </c>
      <c r="C3338" s="33">
        <v>8848</v>
      </c>
      <c r="D3338" s="2">
        <v>1310</v>
      </c>
      <c r="E3338" s="2" t="s">
        <v>11218</v>
      </c>
      <c r="F3338" s="3" t="s">
        <v>14206</v>
      </c>
      <c r="G3338" s="3" t="s">
        <v>3915</v>
      </c>
      <c r="H3338" s="3" t="s">
        <v>3916</v>
      </c>
      <c r="K3338" s="2">
        <v>10</v>
      </c>
      <c r="L3338" s="2">
        <v>4</v>
      </c>
      <c r="M3338" s="3" t="s">
        <v>3918</v>
      </c>
      <c r="N3338" s="3" t="s">
        <v>13</v>
      </c>
      <c r="O3338" s="3" t="s">
        <v>14</v>
      </c>
      <c r="Q3338" s="30" t="str">
        <f t="shared" si="52"/>
        <v>MAX : 
TARGET : Yes(Pass)
MIN : No(Fail)</v>
      </c>
      <c r="R3338" s="3" t="s">
        <v>1638</v>
      </c>
    </row>
    <row r="3339" spans="2:18" ht="41.4" x14ac:dyDescent="0.3">
      <c r="B3339">
        <v>0</v>
      </c>
      <c r="C3339" s="33">
        <v>8848</v>
      </c>
      <c r="D3339" s="2">
        <v>1310</v>
      </c>
      <c r="E3339" s="2" t="s">
        <v>11218</v>
      </c>
      <c r="F3339" s="3" t="s">
        <v>14206</v>
      </c>
      <c r="G3339" s="3" t="s">
        <v>3915</v>
      </c>
      <c r="H3339" s="3" t="s">
        <v>3916</v>
      </c>
      <c r="K3339" s="2">
        <v>10</v>
      </c>
      <c r="L3339" s="2">
        <v>5</v>
      </c>
      <c r="M3339" s="3" t="s">
        <v>3919</v>
      </c>
      <c r="N3339" s="3" t="s">
        <v>13</v>
      </c>
      <c r="O3339" s="3" t="s">
        <v>14</v>
      </c>
      <c r="Q3339" s="30" t="str">
        <f t="shared" si="52"/>
        <v>MAX : 
TARGET : Yes(Pass)
MIN : No(Fail)</v>
      </c>
      <c r="R3339" s="3" t="s">
        <v>1638</v>
      </c>
    </row>
    <row r="3340" spans="2:18" ht="41.4" x14ac:dyDescent="0.3">
      <c r="B3340">
        <v>0</v>
      </c>
      <c r="C3340" s="33">
        <v>8848</v>
      </c>
      <c r="D3340" s="2">
        <v>1310</v>
      </c>
      <c r="E3340" s="2" t="s">
        <v>11218</v>
      </c>
      <c r="F3340" s="3" t="s">
        <v>14206</v>
      </c>
      <c r="G3340" s="3" t="s">
        <v>3915</v>
      </c>
      <c r="H3340" s="3" t="s">
        <v>3916</v>
      </c>
      <c r="K3340" s="2">
        <v>10</v>
      </c>
      <c r="L3340" s="2">
        <v>6</v>
      </c>
      <c r="M3340" s="3" t="s">
        <v>78</v>
      </c>
      <c r="N3340" s="3" t="s">
        <v>13</v>
      </c>
      <c r="O3340" s="3" t="s">
        <v>14</v>
      </c>
      <c r="Q3340" s="30" t="str">
        <f t="shared" si="52"/>
        <v>MAX : 
TARGET : Yes(Pass)
MIN : No(Fail)</v>
      </c>
      <c r="R3340" s="3" t="s">
        <v>1638</v>
      </c>
    </row>
    <row r="3341" spans="2:18" ht="41.4" x14ac:dyDescent="0.3">
      <c r="B3341">
        <v>1</v>
      </c>
      <c r="C3341" s="33">
        <v>8651</v>
      </c>
      <c r="D3341" s="2">
        <v>1258</v>
      </c>
      <c r="E3341" s="2" t="s">
        <v>10770</v>
      </c>
      <c r="F3341" s="3" t="s">
        <v>14206</v>
      </c>
      <c r="H3341" s="3" t="s">
        <v>469</v>
      </c>
      <c r="K3341" s="2">
        <v>20</v>
      </c>
      <c r="L3341" s="2">
        <v>2</v>
      </c>
      <c r="M3341" s="3" t="s">
        <v>331</v>
      </c>
      <c r="N3341" s="3" t="s">
        <v>3481</v>
      </c>
      <c r="O3341" s="3" t="s">
        <v>2949</v>
      </c>
      <c r="P3341" s="3" t="s">
        <v>1933</v>
      </c>
      <c r="Q3341" s="30" t="str">
        <f t="shared" si="52"/>
        <v>MAX : 2.235
TARGET : 2.220
MIN : 2.205</v>
      </c>
    </row>
    <row r="3342" spans="2:18" ht="41.4" x14ac:dyDescent="0.3">
      <c r="B3342">
        <v>1</v>
      </c>
      <c r="C3342" s="33">
        <v>8651</v>
      </c>
      <c r="D3342" s="2">
        <v>1258</v>
      </c>
      <c r="E3342" s="2" t="s">
        <v>10770</v>
      </c>
      <c r="F3342" s="3" t="s">
        <v>14206</v>
      </c>
      <c r="H3342" s="3" t="s">
        <v>469</v>
      </c>
      <c r="K3342" s="2">
        <v>20</v>
      </c>
      <c r="L3342" s="2">
        <v>1</v>
      </c>
      <c r="M3342" s="3" t="s">
        <v>714</v>
      </c>
      <c r="N3342" s="3" t="s">
        <v>3479</v>
      </c>
      <c r="O3342" s="3" t="s">
        <v>909</v>
      </c>
      <c r="P3342" s="3" t="s">
        <v>3480</v>
      </c>
      <c r="Q3342" s="30" t="str">
        <f t="shared" si="52"/>
        <v>MAX : 3.215
TARGET : 3.200
MIN : 3.185</v>
      </c>
    </row>
    <row r="3343" spans="2:18" ht="41.4" x14ac:dyDescent="0.3">
      <c r="B3343">
        <v>0</v>
      </c>
      <c r="C3343" s="33">
        <v>8856</v>
      </c>
      <c r="D3343" s="2">
        <v>1314</v>
      </c>
      <c r="E3343" s="2" t="s">
        <v>11252</v>
      </c>
      <c r="F3343" s="3" t="s">
        <v>14206</v>
      </c>
      <c r="H3343" s="3" t="s">
        <v>3920</v>
      </c>
      <c r="K3343" s="2">
        <v>10</v>
      </c>
      <c r="L3343" s="2">
        <v>3</v>
      </c>
      <c r="M3343" s="3" t="s">
        <v>3921</v>
      </c>
      <c r="N3343" s="3" t="s">
        <v>13</v>
      </c>
      <c r="O3343" s="3" t="s">
        <v>14</v>
      </c>
      <c r="Q3343" s="30" t="str">
        <f t="shared" si="52"/>
        <v>MAX : 
TARGET : Yes(Pass)
MIN : No(Fail)</v>
      </c>
    </row>
    <row r="3344" spans="2:18" ht="41.4" x14ac:dyDescent="0.3">
      <c r="B3344">
        <v>1</v>
      </c>
      <c r="C3344" s="33">
        <v>8658</v>
      </c>
      <c r="D3344" s="2">
        <v>1259</v>
      </c>
      <c r="E3344" s="2" t="s">
        <v>10778</v>
      </c>
      <c r="F3344" s="3" t="s">
        <v>14206</v>
      </c>
      <c r="H3344" s="3" t="s">
        <v>3464</v>
      </c>
      <c r="K3344" s="2">
        <v>10</v>
      </c>
      <c r="L3344" s="2">
        <v>3</v>
      </c>
      <c r="M3344" s="3" t="s">
        <v>3466</v>
      </c>
      <c r="N3344" s="3" t="s">
        <v>24</v>
      </c>
      <c r="O3344" s="3" t="s">
        <v>25</v>
      </c>
      <c r="Q3344" s="30" t="str">
        <f t="shared" si="52"/>
        <v>MAX : 
TARGET : Yes (Pass)
MIN : No (Fail)</v>
      </c>
    </row>
    <row r="3345" spans="2:18" ht="41.4" x14ac:dyDescent="0.3">
      <c r="B3345">
        <v>1</v>
      </c>
      <c r="C3345" s="33">
        <v>8658</v>
      </c>
      <c r="D3345" s="2">
        <v>1259</v>
      </c>
      <c r="E3345" s="2" t="s">
        <v>10778</v>
      </c>
      <c r="F3345" s="3" t="s">
        <v>14206</v>
      </c>
      <c r="H3345" s="3" t="s">
        <v>3464</v>
      </c>
      <c r="K3345" s="2">
        <v>10</v>
      </c>
      <c r="L3345" s="2">
        <v>2</v>
      </c>
      <c r="M3345" s="3" t="s">
        <v>3465</v>
      </c>
      <c r="N3345" s="3" t="s">
        <v>24</v>
      </c>
      <c r="O3345" s="3" t="s">
        <v>25</v>
      </c>
      <c r="Q3345" s="30" t="str">
        <f t="shared" si="52"/>
        <v>MAX : 
TARGET : Yes (Pass)
MIN : No (Fail)</v>
      </c>
    </row>
    <row r="3346" spans="2:18" ht="41.4" x14ac:dyDescent="0.3">
      <c r="B3346">
        <v>1</v>
      </c>
      <c r="C3346" s="33">
        <v>8658</v>
      </c>
      <c r="D3346" s="2">
        <v>1259</v>
      </c>
      <c r="E3346" s="2" t="s">
        <v>10778</v>
      </c>
      <c r="F3346" s="3" t="s">
        <v>14206</v>
      </c>
      <c r="H3346" s="3" t="s">
        <v>3464</v>
      </c>
      <c r="K3346" s="2">
        <v>10</v>
      </c>
      <c r="L3346" s="2">
        <v>1</v>
      </c>
      <c r="M3346" s="3" t="s">
        <v>5654</v>
      </c>
      <c r="N3346" s="3" t="s">
        <v>24</v>
      </c>
      <c r="O3346" s="3" t="s">
        <v>25</v>
      </c>
      <c r="Q3346" s="30" t="str">
        <f t="shared" si="52"/>
        <v>MAX : 
TARGET : Yes (Pass)
MIN : No (Fail)</v>
      </c>
    </row>
    <row r="3347" spans="2:18" ht="41.4" x14ac:dyDescent="0.3">
      <c r="B3347">
        <v>0</v>
      </c>
      <c r="C3347" s="33">
        <v>8857</v>
      </c>
      <c r="D3347" s="2">
        <v>1998</v>
      </c>
      <c r="E3347" s="2" t="s">
        <v>11258</v>
      </c>
      <c r="F3347" s="3" t="s">
        <v>14206</v>
      </c>
      <c r="H3347" s="3" t="s">
        <v>261</v>
      </c>
      <c r="K3347" s="2">
        <v>20</v>
      </c>
      <c r="L3347" s="2">
        <v>3</v>
      </c>
      <c r="M3347" s="3" t="s">
        <v>1897</v>
      </c>
      <c r="N3347" s="3" t="s">
        <v>13</v>
      </c>
      <c r="O3347" s="3" t="s">
        <v>14</v>
      </c>
      <c r="Q3347" s="30" t="str">
        <f t="shared" si="52"/>
        <v>MAX : 
TARGET : Yes(Pass)
MIN : No(Fail)</v>
      </c>
    </row>
    <row r="3348" spans="2:18" ht="41.4" x14ac:dyDescent="0.3">
      <c r="B3348">
        <v>0</v>
      </c>
      <c r="C3348" s="33">
        <v>8857</v>
      </c>
      <c r="D3348" s="2">
        <v>1998</v>
      </c>
      <c r="E3348" s="2" t="s">
        <v>11258</v>
      </c>
      <c r="F3348" s="3" t="s">
        <v>14206</v>
      </c>
      <c r="H3348" s="3" t="s">
        <v>261</v>
      </c>
      <c r="K3348" s="2">
        <v>20</v>
      </c>
      <c r="L3348" s="2">
        <v>4</v>
      </c>
      <c r="M3348" s="3" t="s">
        <v>1898</v>
      </c>
      <c r="N3348" s="3" t="s">
        <v>13</v>
      </c>
      <c r="O3348" s="3" t="s">
        <v>14</v>
      </c>
      <c r="Q3348" s="30" t="str">
        <f t="shared" si="52"/>
        <v>MAX : 
TARGET : Yes(Pass)
MIN : No(Fail)</v>
      </c>
    </row>
    <row r="3349" spans="2:18" ht="41.4" x14ac:dyDescent="0.3">
      <c r="B3349">
        <v>0</v>
      </c>
      <c r="C3349" s="33">
        <v>8857</v>
      </c>
      <c r="D3349" s="2">
        <v>1998</v>
      </c>
      <c r="E3349" s="2" t="s">
        <v>11258</v>
      </c>
      <c r="F3349" s="3" t="s">
        <v>14206</v>
      </c>
      <c r="H3349" s="3" t="s">
        <v>261</v>
      </c>
      <c r="K3349" s="2">
        <v>20</v>
      </c>
      <c r="L3349" s="2">
        <v>5</v>
      </c>
      <c r="M3349" s="3" t="s">
        <v>1899</v>
      </c>
      <c r="N3349" s="3" t="s">
        <v>13</v>
      </c>
      <c r="O3349" s="3" t="s">
        <v>14</v>
      </c>
      <c r="Q3349" s="30" t="str">
        <f t="shared" si="52"/>
        <v>MAX : 
TARGET : Yes(Pass)
MIN : No(Fail)</v>
      </c>
    </row>
    <row r="3350" spans="2:18" ht="41.4" x14ac:dyDescent="0.3">
      <c r="B3350">
        <v>1</v>
      </c>
      <c r="C3350" s="33">
        <v>8658</v>
      </c>
      <c r="D3350" s="2">
        <v>1259</v>
      </c>
      <c r="E3350" s="2" t="s">
        <v>10778</v>
      </c>
      <c r="F3350" s="3" t="s">
        <v>14206</v>
      </c>
      <c r="H3350" s="3" t="s">
        <v>3464</v>
      </c>
      <c r="K3350" s="2">
        <v>10</v>
      </c>
      <c r="L3350" s="2">
        <v>4</v>
      </c>
      <c r="M3350" s="3" t="s">
        <v>6182</v>
      </c>
      <c r="N3350" s="3" t="s">
        <v>24</v>
      </c>
      <c r="O3350" s="3" t="s">
        <v>25</v>
      </c>
      <c r="Q3350" s="30" t="str">
        <f t="shared" si="52"/>
        <v>MAX : 
TARGET : Yes (Pass)
MIN : No (Fail)</v>
      </c>
    </row>
    <row r="3351" spans="2:18" ht="41.4" x14ac:dyDescent="0.3">
      <c r="B3351">
        <v>1</v>
      </c>
      <c r="C3351" s="33">
        <v>8663</v>
      </c>
      <c r="D3351" s="2">
        <v>1261</v>
      </c>
      <c r="E3351" s="2" t="s">
        <v>10793</v>
      </c>
      <c r="F3351" s="3" t="s">
        <v>14206</v>
      </c>
      <c r="H3351" s="3" t="s">
        <v>3464</v>
      </c>
      <c r="K3351" s="2">
        <v>10</v>
      </c>
      <c r="L3351" s="2">
        <v>1</v>
      </c>
      <c r="M3351" s="3" t="s">
        <v>3467</v>
      </c>
      <c r="N3351" s="3" t="s">
        <v>24</v>
      </c>
      <c r="O3351" s="3" t="s">
        <v>25</v>
      </c>
      <c r="Q3351" s="30" t="str">
        <f t="shared" si="52"/>
        <v>MAX : 
TARGET : Yes (Pass)
MIN : No (Fail)</v>
      </c>
    </row>
    <row r="3352" spans="2:18" ht="41.4" x14ac:dyDescent="0.3">
      <c r="B3352">
        <v>0</v>
      </c>
      <c r="C3352" s="33">
        <v>8861</v>
      </c>
      <c r="D3352" s="2">
        <v>1315</v>
      </c>
      <c r="E3352" s="2" t="s">
        <v>11263</v>
      </c>
      <c r="F3352" s="3" t="s">
        <v>14206</v>
      </c>
      <c r="H3352" s="3" t="s">
        <v>1637</v>
      </c>
      <c r="K3352" s="2">
        <v>20</v>
      </c>
      <c r="L3352" s="2">
        <v>2</v>
      </c>
      <c r="M3352" s="3" t="s">
        <v>78</v>
      </c>
      <c r="N3352" s="3" t="s">
        <v>13</v>
      </c>
      <c r="O3352" s="3" t="s">
        <v>14</v>
      </c>
      <c r="Q3352" s="30" t="str">
        <f t="shared" si="52"/>
        <v>MAX : 
TARGET : Yes(Pass)
MIN : No(Fail)</v>
      </c>
    </row>
    <row r="3353" spans="2:18" ht="41.4" x14ac:dyDescent="0.3">
      <c r="B3353">
        <v>1</v>
      </c>
      <c r="C3353" s="33">
        <v>8663</v>
      </c>
      <c r="D3353" s="2">
        <v>1261</v>
      </c>
      <c r="E3353" s="2" t="s">
        <v>10793</v>
      </c>
      <c r="F3353" s="3" t="s">
        <v>14206</v>
      </c>
      <c r="H3353" s="3" t="s">
        <v>3464</v>
      </c>
      <c r="K3353" s="2">
        <v>10</v>
      </c>
      <c r="L3353" s="2">
        <v>3</v>
      </c>
      <c r="M3353" s="3" t="s">
        <v>3465</v>
      </c>
      <c r="N3353" s="3" t="s">
        <v>24</v>
      </c>
      <c r="O3353" s="3" t="s">
        <v>25</v>
      </c>
      <c r="Q3353" s="30" t="str">
        <f t="shared" si="52"/>
        <v>MAX : 
TARGET : Yes (Pass)
MIN : No (Fail)</v>
      </c>
    </row>
    <row r="3354" spans="2:18" ht="41.4" x14ac:dyDescent="0.3">
      <c r="B3354">
        <v>1</v>
      </c>
      <c r="C3354" s="33">
        <v>8663</v>
      </c>
      <c r="D3354" s="2">
        <v>1261</v>
      </c>
      <c r="E3354" s="2" t="s">
        <v>10793</v>
      </c>
      <c r="F3354" s="3" t="s">
        <v>14206</v>
      </c>
      <c r="H3354" s="3" t="s">
        <v>3464</v>
      </c>
      <c r="K3354" s="2">
        <v>10</v>
      </c>
      <c r="L3354" s="2">
        <v>2</v>
      </c>
      <c r="M3354" s="3" t="s">
        <v>5655</v>
      </c>
      <c r="N3354" s="3" t="s">
        <v>24</v>
      </c>
      <c r="O3354" s="3" t="s">
        <v>25</v>
      </c>
      <c r="Q3354" s="30" t="str">
        <f t="shared" si="52"/>
        <v>MAX : 
TARGET : Yes (Pass)
MIN : No (Fail)</v>
      </c>
    </row>
    <row r="3355" spans="2:18" ht="41.4" x14ac:dyDescent="0.3">
      <c r="B3355">
        <v>0</v>
      </c>
      <c r="C3355" s="33">
        <v>7786</v>
      </c>
      <c r="D3355" s="2">
        <v>1150</v>
      </c>
      <c r="E3355" s="2" t="s">
        <v>9655</v>
      </c>
      <c r="F3355" s="3" t="s">
        <v>14207</v>
      </c>
      <c r="H3355" s="3" t="s">
        <v>2636</v>
      </c>
      <c r="K3355" s="2">
        <v>20</v>
      </c>
      <c r="L3355" s="2">
        <v>4</v>
      </c>
      <c r="M3355" s="3" t="s">
        <v>3927</v>
      </c>
      <c r="N3355" s="3" t="s">
        <v>2638</v>
      </c>
      <c r="O3355" s="3" t="s">
        <v>2639</v>
      </c>
      <c r="P3355" s="3" t="s">
        <v>2640</v>
      </c>
      <c r="Q3355" s="30" t="str">
        <f t="shared" si="52"/>
        <v>MAX : 106.7
TARGET : 106.0
MIN : 105.3</v>
      </c>
    </row>
    <row r="3356" spans="2:18" ht="41.4" x14ac:dyDescent="0.3">
      <c r="B3356">
        <v>1</v>
      </c>
      <c r="C3356" s="33">
        <v>8664</v>
      </c>
      <c r="D3356" s="2">
        <v>1980</v>
      </c>
      <c r="E3356" s="2" t="s">
        <v>10799</v>
      </c>
      <c r="F3356" s="29" t="s">
        <v>14235</v>
      </c>
      <c r="H3356" s="3" t="s">
        <v>3460</v>
      </c>
      <c r="K3356" s="2">
        <v>10</v>
      </c>
      <c r="L3356" s="2">
        <v>5</v>
      </c>
      <c r="M3356" s="3" t="s">
        <v>78</v>
      </c>
      <c r="N3356" s="3" t="s">
        <v>13</v>
      </c>
      <c r="O3356" s="3" t="s">
        <v>14</v>
      </c>
      <c r="Q3356" s="30" t="str">
        <f t="shared" si="52"/>
        <v>MAX : 
TARGET : Yes(Pass)
MIN : No(Fail)</v>
      </c>
    </row>
    <row r="3357" spans="2:18" ht="41.4" x14ac:dyDescent="0.3">
      <c r="B3357">
        <v>1</v>
      </c>
      <c r="C3357" s="33">
        <v>8664</v>
      </c>
      <c r="D3357" s="2">
        <v>1980</v>
      </c>
      <c r="E3357" s="2" t="s">
        <v>10799</v>
      </c>
      <c r="F3357" s="29" t="s">
        <v>14235</v>
      </c>
      <c r="H3357" s="3" t="s">
        <v>3460</v>
      </c>
      <c r="K3357" s="2">
        <v>10</v>
      </c>
      <c r="L3357" s="2">
        <v>3</v>
      </c>
      <c r="M3357" s="3" t="s">
        <v>3620</v>
      </c>
      <c r="N3357" s="3" t="s">
        <v>983</v>
      </c>
      <c r="O3357" s="3" t="s">
        <v>3621</v>
      </c>
      <c r="P3357" s="3" t="s">
        <v>241</v>
      </c>
      <c r="Q3357" s="30" t="str">
        <f t="shared" si="52"/>
        <v>MAX : 0.125
TARGET : 0.110
MIN : 0.095</v>
      </c>
    </row>
    <row r="3358" spans="2:18" ht="41.4" x14ac:dyDescent="0.3">
      <c r="B3358">
        <v>1</v>
      </c>
      <c r="C3358" s="33">
        <v>8664</v>
      </c>
      <c r="D3358" s="2">
        <v>1980</v>
      </c>
      <c r="E3358" s="2" t="s">
        <v>10799</v>
      </c>
      <c r="F3358" s="29" t="s">
        <v>14235</v>
      </c>
      <c r="H3358" s="3" t="s">
        <v>3460</v>
      </c>
      <c r="K3358" s="2">
        <v>10</v>
      </c>
      <c r="L3358" s="2">
        <v>1</v>
      </c>
      <c r="M3358" s="3" t="s">
        <v>74</v>
      </c>
      <c r="N3358" s="3" t="s">
        <v>3461</v>
      </c>
      <c r="O3358" s="3" t="s">
        <v>3462</v>
      </c>
      <c r="P3358" s="3" t="s">
        <v>3463</v>
      </c>
      <c r="Q3358" s="30" t="str">
        <f t="shared" si="52"/>
        <v>MAX : 0.807
TARGET : 0.787
MIN : 0.767</v>
      </c>
    </row>
    <row r="3359" spans="2:18" ht="41.4" x14ac:dyDescent="0.3">
      <c r="B3359">
        <v>0</v>
      </c>
      <c r="C3359" s="33">
        <v>8869</v>
      </c>
      <c r="D3359" s="2">
        <v>1319</v>
      </c>
      <c r="E3359" s="2" t="s">
        <v>11290</v>
      </c>
      <c r="F3359" s="3" t="s">
        <v>14207</v>
      </c>
      <c r="H3359" s="3" t="s">
        <v>3929</v>
      </c>
      <c r="K3359" s="2">
        <v>10</v>
      </c>
      <c r="L3359" s="2">
        <v>3</v>
      </c>
      <c r="M3359" s="3" t="s">
        <v>2154</v>
      </c>
      <c r="N3359" s="3" t="s">
        <v>3936</v>
      </c>
      <c r="O3359" s="3" t="s">
        <v>2656</v>
      </c>
      <c r="P3359" s="3" t="s">
        <v>3937</v>
      </c>
      <c r="Q3359" s="30" t="str">
        <f t="shared" si="52"/>
        <v>MAX : 8.95
TARGET : 8.80
MIN : 8.65</v>
      </c>
      <c r="R3359" s="3" t="s">
        <v>3549</v>
      </c>
    </row>
    <row r="3360" spans="2:18" ht="41.4" x14ac:dyDescent="0.3">
      <c r="B3360">
        <v>0</v>
      </c>
      <c r="C3360" s="33">
        <v>8869</v>
      </c>
      <c r="D3360" s="2">
        <v>1319</v>
      </c>
      <c r="E3360" s="2" t="s">
        <v>11290</v>
      </c>
      <c r="F3360" s="3" t="s">
        <v>14207</v>
      </c>
      <c r="H3360" s="3" t="s">
        <v>3929</v>
      </c>
      <c r="K3360" s="2">
        <v>10</v>
      </c>
      <c r="L3360" s="2">
        <v>4</v>
      </c>
      <c r="M3360" s="3" t="s">
        <v>2161</v>
      </c>
      <c r="N3360" s="3" t="s">
        <v>3938</v>
      </c>
      <c r="O3360" s="3" t="s">
        <v>3939</v>
      </c>
      <c r="P3360" s="3" t="s">
        <v>3940</v>
      </c>
      <c r="Q3360" s="30" t="str">
        <f t="shared" si="52"/>
        <v>MAX : 13.05
TARGET : 12.80
MIN : 12.55</v>
      </c>
      <c r="R3360" s="3" t="s">
        <v>3549</v>
      </c>
    </row>
    <row r="3361" spans="2:18" ht="41.4" x14ac:dyDescent="0.3">
      <c r="B3361">
        <v>0</v>
      </c>
      <c r="C3361" s="33">
        <v>8869</v>
      </c>
      <c r="D3361" s="2">
        <v>1319</v>
      </c>
      <c r="E3361" s="2" t="s">
        <v>11290</v>
      </c>
      <c r="F3361" s="3" t="s">
        <v>14207</v>
      </c>
      <c r="H3361" s="3" t="s">
        <v>3929</v>
      </c>
      <c r="K3361" s="2">
        <v>10</v>
      </c>
      <c r="L3361" s="2">
        <v>5</v>
      </c>
      <c r="M3361" s="3" t="s">
        <v>3941</v>
      </c>
      <c r="N3361" s="3" t="s">
        <v>3942</v>
      </c>
      <c r="O3361" s="3" t="s">
        <v>1299</v>
      </c>
      <c r="P3361" s="3" t="s">
        <v>3943</v>
      </c>
      <c r="Q3361" s="30" t="str">
        <f t="shared" si="52"/>
        <v>MAX : 11.34
TARGET : 11.09
MIN : 10.84</v>
      </c>
      <c r="R3361" s="3" t="s">
        <v>3549</v>
      </c>
    </row>
    <row r="3362" spans="2:18" ht="41.4" x14ac:dyDescent="0.3">
      <c r="B3362">
        <v>0</v>
      </c>
      <c r="C3362" s="33">
        <v>8869</v>
      </c>
      <c r="D3362" s="2">
        <v>1319</v>
      </c>
      <c r="E3362" s="2" t="s">
        <v>11290</v>
      </c>
      <c r="F3362" s="3" t="s">
        <v>14207</v>
      </c>
      <c r="H3362" s="3" t="s">
        <v>3929</v>
      </c>
      <c r="K3362" s="2">
        <v>10</v>
      </c>
      <c r="L3362" s="2">
        <v>6</v>
      </c>
      <c r="M3362" s="3" t="s">
        <v>3944</v>
      </c>
      <c r="O3362" s="3" t="s">
        <v>123</v>
      </c>
      <c r="P3362" s="3" t="s">
        <v>124</v>
      </c>
      <c r="Q3362" s="30" t="str">
        <f t="shared" si="52"/>
        <v xml:space="preserve">MAX : Yes (Fail)
TARGET : No (Pass)
MIN : </v>
      </c>
      <c r="R3362" s="3" t="s">
        <v>3549</v>
      </c>
    </row>
    <row r="3363" spans="2:18" ht="41.4" x14ac:dyDescent="0.3">
      <c r="B3363">
        <v>0</v>
      </c>
      <c r="C3363" s="33">
        <v>8869</v>
      </c>
      <c r="D3363" s="2">
        <v>1319</v>
      </c>
      <c r="E3363" s="2" t="s">
        <v>11290</v>
      </c>
      <c r="F3363" s="3" t="s">
        <v>14207</v>
      </c>
      <c r="H3363" s="3" t="s">
        <v>3929</v>
      </c>
      <c r="K3363" s="2">
        <v>10</v>
      </c>
      <c r="L3363" s="2">
        <v>7</v>
      </c>
      <c r="M3363" s="3" t="s">
        <v>2875</v>
      </c>
      <c r="O3363" s="3" t="s">
        <v>123</v>
      </c>
      <c r="P3363" s="3" t="s">
        <v>124</v>
      </c>
      <c r="Q3363" s="30" t="str">
        <f t="shared" si="52"/>
        <v xml:space="preserve">MAX : Yes (Fail)
TARGET : No (Pass)
MIN : </v>
      </c>
      <c r="R3363" s="3" t="s">
        <v>3549</v>
      </c>
    </row>
    <row r="3364" spans="2:18" ht="41.4" x14ac:dyDescent="0.3">
      <c r="B3364">
        <v>0</v>
      </c>
      <c r="C3364" s="33">
        <v>8869</v>
      </c>
      <c r="D3364" s="2">
        <v>1319</v>
      </c>
      <c r="E3364" s="2" t="s">
        <v>11290</v>
      </c>
      <c r="F3364" s="3" t="s">
        <v>14207</v>
      </c>
      <c r="H3364" s="3" t="s">
        <v>3929</v>
      </c>
      <c r="K3364" s="2">
        <v>10</v>
      </c>
      <c r="L3364" s="2">
        <v>8</v>
      </c>
      <c r="M3364" s="3" t="s">
        <v>2389</v>
      </c>
      <c r="N3364" s="3" t="s">
        <v>24</v>
      </c>
      <c r="O3364" s="3" t="s">
        <v>124</v>
      </c>
      <c r="Q3364" s="30" t="str">
        <f t="shared" si="52"/>
        <v>MAX : 
TARGET : Yes (Fail)
MIN : No (Fail)</v>
      </c>
      <c r="R3364" s="3" t="s">
        <v>3549</v>
      </c>
    </row>
    <row r="3365" spans="2:18" ht="41.4" x14ac:dyDescent="0.3">
      <c r="B3365">
        <v>0</v>
      </c>
      <c r="C3365" s="33">
        <v>8869</v>
      </c>
      <c r="D3365" s="2">
        <v>1319</v>
      </c>
      <c r="E3365" s="2" t="s">
        <v>11290</v>
      </c>
      <c r="F3365" s="3" t="s">
        <v>14207</v>
      </c>
      <c r="H3365" s="3" t="s">
        <v>3929</v>
      </c>
      <c r="K3365" s="2">
        <v>10</v>
      </c>
      <c r="L3365" s="2">
        <v>9</v>
      </c>
      <c r="M3365" s="3" t="s">
        <v>3945</v>
      </c>
      <c r="O3365" s="3" t="s">
        <v>123</v>
      </c>
      <c r="P3365" s="3" t="s">
        <v>124</v>
      </c>
      <c r="Q3365" s="30" t="str">
        <f t="shared" si="52"/>
        <v xml:space="preserve">MAX : Yes (Fail)
TARGET : No (Pass)
MIN : </v>
      </c>
      <c r="R3365" s="3" t="s">
        <v>3549</v>
      </c>
    </row>
    <row r="3366" spans="2:18" ht="41.4" x14ac:dyDescent="0.3">
      <c r="B3366">
        <v>1</v>
      </c>
      <c r="C3366" s="33">
        <v>8664</v>
      </c>
      <c r="D3366" s="2">
        <v>1980</v>
      </c>
      <c r="E3366" s="2" t="s">
        <v>10799</v>
      </c>
      <c r="F3366" s="29" t="s">
        <v>14235</v>
      </c>
      <c r="H3366" s="3" t="s">
        <v>3460</v>
      </c>
      <c r="K3366" s="2">
        <v>10</v>
      </c>
      <c r="L3366" s="2">
        <v>6</v>
      </c>
      <c r="M3366" s="3" t="s">
        <v>4873</v>
      </c>
      <c r="N3366" s="3" t="s">
        <v>13</v>
      </c>
      <c r="O3366" s="3" t="s">
        <v>14</v>
      </c>
      <c r="Q3366" s="30" t="str">
        <f t="shared" si="52"/>
        <v>MAX : 
TARGET : Yes(Pass)
MIN : No(Fail)</v>
      </c>
    </row>
    <row r="3367" spans="2:18" ht="41.4" x14ac:dyDescent="0.3">
      <c r="B3367">
        <v>1</v>
      </c>
      <c r="C3367" s="33">
        <v>8664</v>
      </c>
      <c r="D3367" s="2">
        <v>1980</v>
      </c>
      <c r="E3367" s="2" t="s">
        <v>10799</v>
      </c>
      <c r="F3367" s="29" t="s">
        <v>14235</v>
      </c>
      <c r="H3367" s="3" t="s">
        <v>3460</v>
      </c>
      <c r="K3367" s="2">
        <v>10</v>
      </c>
      <c r="L3367" s="2">
        <v>8</v>
      </c>
      <c r="M3367" s="3" t="s">
        <v>4885</v>
      </c>
      <c r="N3367" s="3" t="s">
        <v>1067</v>
      </c>
      <c r="O3367" s="3" t="s">
        <v>1068</v>
      </c>
      <c r="Q3367" s="30" t="str">
        <f t="shared" si="52"/>
        <v>MAX : 
TARGET : Yes
MIN : No</v>
      </c>
    </row>
    <row r="3368" spans="2:18" ht="41.4" x14ac:dyDescent="0.3">
      <c r="B3368">
        <v>0</v>
      </c>
      <c r="C3368" s="33">
        <v>8870</v>
      </c>
      <c r="D3368" s="2">
        <v>1320</v>
      </c>
      <c r="E3368" s="2" t="s">
        <v>11298</v>
      </c>
      <c r="F3368" s="3" t="s">
        <v>14207</v>
      </c>
      <c r="H3368" s="3" t="s">
        <v>3929</v>
      </c>
      <c r="K3368" s="2">
        <v>10</v>
      </c>
      <c r="L3368" s="2">
        <v>1</v>
      </c>
      <c r="M3368" s="3" t="s">
        <v>3948</v>
      </c>
      <c r="N3368" s="3" t="s">
        <v>3949</v>
      </c>
      <c r="O3368" s="3" t="s">
        <v>3950</v>
      </c>
      <c r="P3368" s="3" t="s">
        <v>3951</v>
      </c>
      <c r="Q3368" s="30" t="str">
        <f t="shared" si="52"/>
        <v>MAX : 9.65
TARGET : 9.40
MIN : 9.15</v>
      </c>
      <c r="R3368" s="3" t="s">
        <v>3549</v>
      </c>
    </row>
    <row r="3369" spans="2:18" ht="41.4" x14ac:dyDescent="0.3">
      <c r="B3369">
        <v>0</v>
      </c>
      <c r="C3369" s="33">
        <v>8870</v>
      </c>
      <c r="D3369" s="2">
        <v>1320</v>
      </c>
      <c r="E3369" s="2" t="s">
        <v>11298</v>
      </c>
      <c r="F3369" s="3" t="s">
        <v>14207</v>
      </c>
      <c r="H3369" s="3" t="s">
        <v>3929</v>
      </c>
      <c r="K3369" s="2">
        <v>10</v>
      </c>
      <c r="L3369" s="2">
        <v>5</v>
      </c>
      <c r="M3369" s="3" t="s">
        <v>2888</v>
      </c>
      <c r="N3369" s="3" t="s">
        <v>250</v>
      </c>
      <c r="O3369" s="3" t="s">
        <v>1211</v>
      </c>
      <c r="P3369" s="3" t="s">
        <v>966</v>
      </c>
      <c r="Q3369" s="30" t="str">
        <f t="shared" si="52"/>
        <v>MAX : 7.00
TARGET : 6.50
MIN : 6.00</v>
      </c>
      <c r="R3369" s="3" t="s">
        <v>3549</v>
      </c>
    </row>
    <row r="3370" spans="2:18" ht="41.4" x14ac:dyDescent="0.3">
      <c r="B3370">
        <v>0</v>
      </c>
      <c r="C3370" s="33">
        <v>8870</v>
      </c>
      <c r="D3370" s="2">
        <v>1320</v>
      </c>
      <c r="E3370" s="2" t="s">
        <v>11298</v>
      </c>
      <c r="F3370" s="3" t="s">
        <v>14207</v>
      </c>
      <c r="H3370" s="3" t="s">
        <v>3929</v>
      </c>
      <c r="K3370" s="2">
        <v>10</v>
      </c>
      <c r="L3370" s="2">
        <v>4</v>
      </c>
      <c r="M3370" s="3" t="s">
        <v>3952</v>
      </c>
      <c r="N3370" s="3" t="s">
        <v>3953</v>
      </c>
      <c r="O3370" s="3" t="s">
        <v>3954</v>
      </c>
      <c r="P3370" s="3" t="s">
        <v>3955</v>
      </c>
      <c r="Q3370" s="30" t="str">
        <f t="shared" si="52"/>
        <v>MAX : 6.30
TARGET : 6.05
MIN : 5.80</v>
      </c>
      <c r="R3370" s="3" t="s">
        <v>3549</v>
      </c>
    </row>
    <row r="3371" spans="2:18" ht="41.4" x14ac:dyDescent="0.3">
      <c r="B3371">
        <v>0</v>
      </c>
      <c r="C3371" s="33">
        <v>8870</v>
      </c>
      <c r="D3371" s="2">
        <v>1320</v>
      </c>
      <c r="E3371" s="2" t="s">
        <v>11298</v>
      </c>
      <c r="F3371" s="3" t="s">
        <v>14207</v>
      </c>
      <c r="H3371" s="3" t="s">
        <v>3929</v>
      </c>
      <c r="K3371" s="2">
        <v>10</v>
      </c>
      <c r="L3371" s="2">
        <v>9</v>
      </c>
      <c r="M3371" s="3" t="s">
        <v>3956</v>
      </c>
      <c r="N3371" s="3" t="s">
        <v>3957</v>
      </c>
      <c r="O3371" s="3" t="s">
        <v>3417</v>
      </c>
      <c r="P3371" s="3" t="s">
        <v>2378</v>
      </c>
      <c r="Q3371" s="30" t="str">
        <f t="shared" si="52"/>
        <v>MAX : 6.65
TARGET : 6.40
MIN : 6.15</v>
      </c>
      <c r="R3371" s="3" t="s">
        <v>3549</v>
      </c>
    </row>
    <row r="3372" spans="2:18" ht="41.4" x14ac:dyDescent="0.3">
      <c r="B3372">
        <v>0</v>
      </c>
      <c r="C3372" s="33">
        <v>8870</v>
      </c>
      <c r="D3372" s="2">
        <v>1320</v>
      </c>
      <c r="E3372" s="2" t="s">
        <v>11298</v>
      </c>
      <c r="F3372" s="3" t="s">
        <v>14207</v>
      </c>
      <c r="H3372" s="3" t="s">
        <v>3929</v>
      </c>
      <c r="K3372" s="2">
        <v>10</v>
      </c>
      <c r="L3372" s="2">
        <v>10</v>
      </c>
      <c r="M3372" s="3" t="s">
        <v>2380</v>
      </c>
      <c r="N3372" s="3" t="s">
        <v>3957</v>
      </c>
      <c r="O3372" s="3" t="s">
        <v>3417</v>
      </c>
      <c r="P3372" s="3" t="s">
        <v>2378</v>
      </c>
      <c r="Q3372" s="30" t="str">
        <f t="shared" si="52"/>
        <v>MAX : 6.65
TARGET : 6.40
MIN : 6.15</v>
      </c>
      <c r="R3372" s="3" t="s">
        <v>3549</v>
      </c>
    </row>
    <row r="3373" spans="2:18" ht="41.4" x14ac:dyDescent="0.3">
      <c r="B3373">
        <v>0</v>
      </c>
      <c r="C3373" s="33">
        <v>8870</v>
      </c>
      <c r="D3373" s="2">
        <v>1320</v>
      </c>
      <c r="E3373" s="2" t="s">
        <v>11298</v>
      </c>
      <c r="F3373" s="3" t="s">
        <v>14207</v>
      </c>
      <c r="H3373" s="3" t="s">
        <v>3929</v>
      </c>
      <c r="K3373" s="2">
        <v>10</v>
      </c>
      <c r="L3373" s="2">
        <v>8</v>
      </c>
      <c r="M3373" s="3" t="s">
        <v>2165</v>
      </c>
      <c r="N3373" s="3" t="s">
        <v>3958</v>
      </c>
      <c r="O3373" s="3" t="s">
        <v>3959</v>
      </c>
      <c r="P3373" s="3" t="s">
        <v>3960</v>
      </c>
      <c r="Q3373" s="30" t="str">
        <f t="shared" si="52"/>
        <v>MAX : 25.50
TARGET : 25.35
MIN : 25.20</v>
      </c>
      <c r="R3373" s="3" t="s">
        <v>3549</v>
      </c>
    </row>
    <row r="3374" spans="2:18" ht="41.4" x14ac:dyDescent="0.3">
      <c r="B3374">
        <v>0</v>
      </c>
      <c r="C3374" s="33">
        <v>8870</v>
      </c>
      <c r="D3374" s="2">
        <v>1320</v>
      </c>
      <c r="E3374" s="2" t="s">
        <v>11298</v>
      </c>
      <c r="F3374" s="3" t="s">
        <v>14207</v>
      </c>
      <c r="H3374" s="3" t="s">
        <v>3929</v>
      </c>
      <c r="K3374" s="2">
        <v>10</v>
      </c>
      <c r="L3374" s="2">
        <v>7</v>
      </c>
      <c r="M3374" s="3" t="s">
        <v>3961</v>
      </c>
      <c r="N3374" s="3" t="s">
        <v>3962</v>
      </c>
      <c r="O3374" s="3" t="s">
        <v>3963</v>
      </c>
      <c r="P3374" s="3" t="s">
        <v>3964</v>
      </c>
      <c r="Q3374" s="30" t="str">
        <f t="shared" si="52"/>
        <v>MAX : 17.35
TARGET : 17.10
MIN : 16.85</v>
      </c>
      <c r="R3374" s="3" t="s">
        <v>3549</v>
      </c>
    </row>
    <row r="3375" spans="2:18" ht="41.4" x14ac:dyDescent="0.3">
      <c r="B3375">
        <v>0</v>
      </c>
      <c r="C3375" s="33">
        <v>8870</v>
      </c>
      <c r="D3375" s="2">
        <v>1320</v>
      </c>
      <c r="E3375" s="2" t="s">
        <v>11298</v>
      </c>
      <c r="F3375" s="3" t="s">
        <v>14207</v>
      </c>
      <c r="H3375" s="3" t="s">
        <v>3929</v>
      </c>
      <c r="K3375" s="2">
        <v>10</v>
      </c>
      <c r="L3375" s="2">
        <v>11</v>
      </c>
      <c r="M3375" s="3" t="s">
        <v>3945</v>
      </c>
      <c r="N3375" s="3" t="s">
        <v>39</v>
      </c>
      <c r="O3375" s="3" t="s">
        <v>38</v>
      </c>
      <c r="Q3375" s="30" t="str">
        <f t="shared" si="52"/>
        <v>MAX : 
TARGET : No(Pass)
MIN : Yes(Fail)</v>
      </c>
      <c r="R3375" s="3" t="s">
        <v>3549</v>
      </c>
    </row>
    <row r="3376" spans="2:18" ht="41.4" x14ac:dyDescent="0.3">
      <c r="B3376">
        <v>0</v>
      </c>
      <c r="C3376" s="33">
        <v>8870</v>
      </c>
      <c r="D3376" s="2">
        <v>1320</v>
      </c>
      <c r="E3376" s="2" t="s">
        <v>11298</v>
      </c>
      <c r="F3376" s="3" t="s">
        <v>14207</v>
      </c>
      <c r="H3376" s="3" t="s">
        <v>3929</v>
      </c>
      <c r="K3376" s="2">
        <v>10</v>
      </c>
      <c r="L3376" s="2">
        <v>12</v>
      </c>
      <c r="M3376" s="3" t="s">
        <v>3965</v>
      </c>
      <c r="N3376" s="3" t="s">
        <v>39</v>
      </c>
      <c r="O3376" s="3" t="s">
        <v>38</v>
      </c>
      <c r="Q3376" s="30" t="str">
        <f t="shared" si="52"/>
        <v>MAX : 
TARGET : No(Pass)
MIN : Yes(Fail)</v>
      </c>
      <c r="R3376" s="3" t="s">
        <v>3549</v>
      </c>
    </row>
    <row r="3377" spans="2:18" ht="41.4" x14ac:dyDescent="0.3">
      <c r="B3377">
        <v>0</v>
      </c>
      <c r="C3377" s="33">
        <v>8870</v>
      </c>
      <c r="D3377" s="2">
        <v>1320</v>
      </c>
      <c r="E3377" s="2" t="s">
        <v>11298</v>
      </c>
      <c r="F3377" s="3" t="s">
        <v>14207</v>
      </c>
      <c r="H3377" s="3" t="s">
        <v>3929</v>
      </c>
      <c r="K3377" s="2">
        <v>10</v>
      </c>
      <c r="L3377" s="2">
        <v>13</v>
      </c>
      <c r="M3377" s="3" t="s">
        <v>358</v>
      </c>
      <c r="O3377" s="3" t="s">
        <v>359</v>
      </c>
      <c r="P3377" s="3" t="s">
        <v>360</v>
      </c>
      <c r="Q3377" s="30" t="str">
        <f t="shared" si="52"/>
        <v xml:space="preserve">MAX : Fail
TARGET : Pass
MIN : </v>
      </c>
      <c r="R3377" s="3" t="s">
        <v>3549</v>
      </c>
    </row>
    <row r="3378" spans="2:18" ht="41.4" x14ac:dyDescent="0.3">
      <c r="B3378">
        <v>0</v>
      </c>
      <c r="C3378" s="33">
        <v>8870</v>
      </c>
      <c r="D3378" s="2">
        <v>1320</v>
      </c>
      <c r="E3378" s="2" t="s">
        <v>11298</v>
      </c>
      <c r="F3378" s="3" t="s">
        <v>14207</v>
      </c>
      <c r="H3378" s="3" t="s">
        <v>3929</v>
      </c>
      <c r="K3378" s="2">
        <v>10</v>
      </c>
      <c r="L3378" s="2">
        <v>14</v>
      </c>
      <c r="M3378" s="3" t="s">
        <v>362</v>
      </c>
      <c r="N3378" s="3" t="s">
        <v>39</v>
      </c>
      <c r="O3378" s="3" t="s">
        <v>38</v>
      </c>
      <c r="Q3378" s="30" t="str">
        <f t="shared" si="52"/>
        <v>MAX : 
TARGET : No(Pass)
MIN : Yes(Fail)</v>
      </c>
      <c r="R3378" s="3" t="s">
        <v>3549</v>
      </c>
    </row>
    <row r="3379" spans="2:18" ht="41.4" x14ac:dyDescent="0.3">
      <c r="B3379">
        <v>0</v>
      </c>
      <c r="C3379" s="33">
        <v>8870</v>
      </c>
      <c r="D3379" s="2">
        <v>1320</v>
      </c>
      <c r="E3379" s="2" t="s">
        <v>11298</v>
      </c>
      <c r="F3379" s="3" t="s">
        <v>14207</v>
      </c>
      <c r="H3379" s="3" t="s">
        <v>3929</v>
      </c>
      <c r="K3379" s="2">
        <v>10</v>
      </c>
      <c r="L3379" s="2">
        <v>3</v>
      </c>
      <c r="M3379" s="3" t="s">
        <v>194</v>
      </c>
      <c r="N3379" s="3" t="s">
        <v>2382</v>
      </c>
      <c r="O3379" s="3" t="s">
        <v>3472</v>
      </c>
      <c r="P3379" s="3" t="s">
        <v>197</v>
      </c>
      <c r="Q3379" s="30" t="str">
        <f t="shared" si="52"/>
        <v>MAX : 13.25
TARGET : 13.10
MIN : 12.95</v>
      </c>
      <c r="R3379" s="3" t="s">
        <v>3549</v>
      </c>
    </row>
    <row r="3380" spans="2:18" ht="41.4" x14ac:dyDescent="0.3">
      <c r="B3380">
        <v>1</v>
      </c>
      <c r="C3380" s="33">
        <v>8664</v>
      </c>
      <c r="D3380" s="2">
        <v>1980</v>
      </c>
      <c r="E3380" s="2" t="s">
        <v>10799</v>
      </c>
      <c r="F3380" s="29" t="s">
        <v>14235</v>
      </c>
      <c r="H3380" s="3" t="s">
        <v>3460</v>
      </c>
      <c r="K3380" s="2">
        <v>10</v>
      </c>
      <c r="L3380" s="2">
        <v>7</v>
      </c>
      <c r="M3380" s="3" t="s">
        <v>6203</v>
      </c>
      <c r="N3380" s="3" t="s">
        <v>1619</v>
      </c>
      <c r="O3380" s="3" t="s">
        <v>1620</v>
      </c>
      <c r="Q3380" s="30" t="str">
        <f t="shared" si="52"/>
        <v>MAX : 
TARGET : Yes (pass)
MIN : No (fail)</v>
      </c>
    </row>
    <row r="3381" spans="2:18" ht="41.4" x14ac:dyDescent="0.3">
      <c r="B3381">
        <v>1</v>
      </c>
      <c r="C3381" s="33">
        <v>8664</v>
      </c>
      <c r="D3381" s="2">
        <v>1980</v>
      </c>
      <c r="E3381" s="2" t="s">
        <v>10799</v>
      </c>
      <c r="F3381" s="29" t="s">
        <v>14235</v>
      </c>
      <c r="H3381" s="3" t="s">
        <v>3460</v>
      </c>
      <c r="K3381" s="2">
        <v>10</v>
      </c>
      <c r="L3381" s="2">
        <v>9</v>
      </c>
      <c r="M3381" s="3" t="s">
        <v>4886</v>
      </c>
      <c r="N3381" s="3" t="s">
        <v>1619</v>
      </c>
      <c r="O3381" s="3" t="s">
        <v>1620</v>
      </c>
      <c r="Q3381" s="30" t="str">
        <f t="shared" si="52"/>
        <v>MAX : 
TARGET : Yes (pass)
MIN : No (fail)</v>
      </c>
    </row>
    <row r="3382" spans="2:18" ht="41.4" x14ac:dyDescent="0.3">
      <c r="B3382">
        <v>0</v>
      </c>
      <c r="C3382" s="33">
        <v>8862</v>
      </c>
      <c r="D3382" s="2">
        <v>1316</v>
      </c>
      <c r="E3382" s="2" t="s">
        <v>11270</v>
      </c>
      <c r="F3382" s="3" t="s">
        <v>14206</v>
      </c>
      <c r="H3382" s="3" t="s">
        <v>3966</v>
      </c>
      <c r="K3382" s="2">
        <v>20</v>
      </c>
      <c r="L3382" s="2">
        <v>3</v>
      </c>
      <c r="M3382" s="3" t="s">
        <v>198</v>
      </c>
      <c r="N3382" s="3" t="s">
        <v>1019</v>
      </c>
      <c r="O3382" s="3" t="s">
        <v>3972</v>
      </c>
      <c r="P3382" s="3" t="s">
        <v>3973</v>
      </c>
      <c r="Q3382" s="30" t="str">
        <f t="shared" si="52"/>
        <v>MAX : 1.980
TARGET : 1.950
MIN : 1.920</v>
      </c>
    </row>
    <row r="3383" spans="2:18" ht="41.4" x14ac:dyDescent="0.3">
      <c r="B3383">
        <v>0</v>
      </c>
      <c r="C3383" s="33">
        <v>8862</v>
      </c>
      <c r="D3383" s="2">
        <v>1316</v>
      </c>
      <c r="E3383" s="2" t="s">
        <v>11270</v>
      </c>
      <c r="F3383" s="3" t="s">
        <v>14206</v>
      </c>
      <c r="H3383" s="3" t="s">
        <v>3966</v>
      </c>
      <c r="K3383" s="2">
        <v>20</v>
      </c>
      <c r="L3383" s="2">
        <v>4</v>
      </c>
      <c r="M3383" s="3" t="s">
        <v>3757</v>
      </c>
      <c r="N3383" s="3" t="s">
        <v>13</v>
      </c>
      <c r="O3383" s="3" t="s">
        <v>14</v>
      </c>
      <c r="Q3383" s="30" t="str">
        <f t="shared" si="52"/>
        <v>MAX : 
TARGET : Yes(Pass)
MIN : No(Fail)</v>
      </c>
    </row>
    <row r="3384" spans="2:18" ht="41.4" x14ac:dyDescent="0.3">
      <c r="B3384">
        <v>0</v>
      </c>
      <c r="C3384" s="33">
        <v>8862</v>
      </c>
      <c r="D3384" s="2">
        <v>1316</v>
      </c>
      <c r="E3384" s="2" t="s">
        <v>11270</v>
      </c>
      <c r="F3384" s="3" t="s">
        <v>14206</v>
      </c>
      <c r="H3384" s="3" t="s">
        <v>3966</v>
      </c>
      <c r="K3384" s="2">
        <v>20</v>
      </c>
      <c r="L3384" s="2">
        <v>5</v>
      </c>
      <c r="M3384" s="3" t="s">
        <v>1605</v>
      </c>
      <c r="N3384" s="3" t="s">
        <v>13</v>
      </c>
      <c r="O3384" s="3" t="s">
        <v>14</v>
      </c>
      <c r="Q3384" s="30" t="str">
        <f t="shared" si="52"/>
        <v>MAX : 
TARGET : Yes(Pass)
MIN : No(Fail)</v>
      </c>
    </row>
    <row r="3385" spans="2:18" ht="41.4" x14ac:dyDescent="0.3">
      <c r="B3385">
        <v>0</v>
      </c>
      <c r="C3385" s="33">
        <v>8862</v>
      </c>
      <c r="D3385" s="2">
        <v>1316</v>
      </c>
      <c r="E3385" s="2" t="s">
        <v>11270</v>
      </c>
      <c r="F3385" s="3" t="s">
        <v>14206</v>
      </c>
      <c r="H3385" s="3" t="s">
        <v>3966</v>
      </c>
      <c r="K3385" s="2">
        <v>20</v>
      </c>
      <c r="L3385" s="2">
        <v>6</v>
      </c>
      <c r="M3385" s="3" t="s">
        <v>78</v>
      </c>
      <c r="N3385" s="3" t="s">
        <v>13</v>
      </c>
      <c r="O3385" s="3" t="s">
        <v>14</v>
      </c>
      <c r="Q3385" s="30" t="str">
        <f t="shared" si="52"/>
        <v>MAX : 
TARGET : Yes(Pass)
MIN : No(Fail)</v>
      </c>
    </row>
    <row r="3386" spans="2:18" ht="41.4" x14ac:dyDescent="0.3">
      <c r="B3386">
        <v>1</v>
      </c>
      <c r="C3386" s="33">
        <v>8665</v>
      </c>
      <c r="D3386" s="2">
        <v>1262</v>
      </c>
      <c r="E3386" s="2" t="s">
        <v>10807</v>
      </c>
      <c r="F3386" s="3" t="s">
        <v>14206</v>
      </c>
      <c r="H3386" s="3" t="s">
        <v>824</v>
      </c>
      <c r="I3386" s="3" t="s">
        <v>487</v>
      </c>
      <c r="K3386" s="2">
        <v>10</v>
      </c>
      <c r="L3386" s="2">
        <v>2</v>
      </c>
      <c r="M3386" s="3" t="s">
        <v>3459</v>
      </c>
      <c r="N3386" s="3" t="s">
        <v>13</v>
      </c>
      <c r="O3386" s="3" t="s">
        <v>14</v>
      </c>
      <c r="Q3386" s="30" t="str">
        <f t="shared" si="52"/>
        <v>MAX : 
TARGET : Yes(Pass)
MIN : No(Fail)</v>
      </c>
    </row>
    <row r="3387" spans="2:18" ht="41.4" x14ac:dyDescent="0.3">
      <c r="B3387">
        <v>1</v>
      </c>
      <c r="C3387" s="33">
        <v>8665</v>
      </c>
      <c r="D3387" s="2">
        <v>1262</v>
      </c>
      <c r="E3387" s="2" t="s">
        <v>10807</v>
      </c>
      <c r="F3387" s="3" t="s">
        <v>14206</v>
      </c>
      <c r="H3387" s="3" t="s">
        <v>824</v>
      </c>
      <c r="I3387" s="3" t="s">
        <v>487</v>
      </c>
      <c r="K3387" s="2">
        <v>10</v>
      </c>
      <c r="L3387" s="2">
        <v>1</v>
      </c>
      <c r="M3387" s="3" t="s">
        <v>174</v>
      </c>
      <c r="N3387" s="3" t="s">
        <v>3458</v>
      </c>
      <c r="O3387" s="3" t="s">
        <v>2815</v>
      </c>
      <c r="P3387" s="3" t="s">
        <v>1195</v>
      </c>
      <c r="Q3387" s="30" t="str">
        <f t="shared" si="52"/>
        <v>MAX : 24.25
TARGET : 24.00
MIN : 23.75</v>
      </c>
    </row>
    <row r="3388" spans="2:18" ht="41.4" x14ac:dyDescent="0.3">
      <c r="B3388">
        <v>0</v>
      </c>
      <c r="C3388" s="33">
        <v>8871</v>
      </c>
      <c r="D3388" s="2">
        <v>1321</v>
      </c>
      <c r="E3388" s="2" t="s">
        <v>11306</v>
      </c>
      <c r="F3388" s="3" t="s">
        <v>14207</v>
      </c>
      <c r="H3388" s="3" t="s">
        <v>108</v>
      </c>
      <c r="K3388" s="2">
        <v>20</v>
      </c>
      <c r="L3388" s="2">
        <v>3</v>
      </c>
      <c r="M3388" s="3" t="s">
        <v>1478</v>
      </c>
      <c r="N3388" s="3" t="s">
        <v>2013</v>
      </c>
      <c r="O3388" s="3" t="s">
        <v>461</v>
      </c>
      <c r="P3388" s="3" t="s">
        <v>2014</v>
      </c>
      <c r="Q3388" s="30" t="str">
        <f t="shared" si="52"/>
        <v>MAX : 7
TARGET : 6
MIN : 5</v>
      </c>
    </row>
    <row r="3389" spans="2:18" ht="41.4" x14ac:dyDescent="0.3">
      <c r="B3389">
        <v>0</v>
      </c>
      <c r="C3389" s="33">
        <v>8871</v>
      </c>
      <c r="D3389" s="2">
        <v>1321</v>
      </c>
      <c r="E3389" s="2" t="s">
        <v>11306</v>
      </c>
      <c r="F3389" s="3" t="s">
        <v>14207</v>
      </c>
      <c r="H3389" s="3" t="s">
        <v>108</v>
      </c>
      <c r="K3389" s="2">
        <v>20</v>
      </c>
      <c r="L3389" s="2">
        <v>4</v>
      </c>
      <c r="M3389" s="3" t="s">
        <v>78</v>
      </c>
      <c r="N3389" s="3" t="s">
        <v>13</v>
      </c>
      <c r="O3389" s="3" t="s">
        <v>14</v>
      </c>
      <c r="Q3389" s="30" t="str">
        <f t="shared" si="52"/>
        <v>MAX : 
TARGET : Yes(Pass)
MIN : No(Fail)</v>
      </c>
    </row>
    <row r="3390" spans="2:18" ht="41.4" x14ac:dyDescent="0.3">
      <c r="B3390">
        <v>1</v>
      </c>
      <c r="C3390" s="33">
        <v>8668</v>
      </c>
      <c r="D3390" s="2">
        <v>1263</v>
      </c>
      <c r="E3390" s="2" t="s">
        <v>10814</v>
      </c>
      <c r="F3390" s="3" t="s">
        <v>14207</v>
      </c>
      <c r="H3390" s="3" t="s">
        <v>713</v>
      </c>
      <c r="K3390" s="2">
        <v>20</v>
      </c>
      <c r="L3390" s="2">
        <v>2</v>
      </c>
      <c r="M3390" s="3" t="s">
        <v>198</v>
      </c>
      <c r="N3390" s="3" t="s">
        <v>3470</v>
      </c>
      <c r="O3390" s="3" t="s">
        <v>3471</v>
      </c>
      <c r="P3390" s="3" t="s">
        <v>3472</v>
      </c>
      <c r="Q3390" s="30" t="str">
        <f t="shared" si="52"/>
        <v>MAX : 13.10
TARGET : 12.60
MIN : 12.10</v>
      </c>
    </row>
    <row r="3391" spans="2:18" ht="41.4" x14ac:dyDescent="0.3">
      <c r="B3391">
        <v>1</v>
      </c>
      <c r="C3391" s="33">
        <v>8668</v>
      </c>
      <c r="D3391" s="2">
        <v>1263</v>
      </c>
      <c r="E3391" s="2" t="s">
        <v>10814</v>
      </c>
      <c r="F3391" s="3" t="s">
        <v>14207</v>
      </c>
      <c r="H3391" s="3" t="s">
        <v>713</v>
      </c>
      <c r="K3391" s="2">
        <v>20</v>
      </c>
      <c r="L3391" s="2">
        <v>1</v>
      </c>
      <c r="M3391" s="3" t="s">
        <v>194</v>
      </c>
      <c r="N3391" s="3" t="s">
        <v>2398</v>
      </c>
      <c r="O3391" s="3" t="s">
        <v>3468</v>
      </c>
      <c r="P3391" s="3" t="s">
        <v>3469</v>
      </c>
      <c r="Q3391" s="30" t="str">
        <f t="shared" si="52"/>
        <v>MAX : 7.10
TARGET : 6.60
MIN : 6.10</v>
      </c>
    </row>
    <row r="3392" spans="2:18" ht="41.4" x14ac:dyDescent="0.3">
      <c r="B3392">
        <v>0</v>
      </c>
      <c r="C3392" s="33">
        <v>8872</v>
      </c>
      <c r="D3392" s="2">
        <v>1322</v>
      </c>
      <c r="E3392" s="2" t="s">
        <v>11312</v>
      </c>
      <c r="F3392" s="3" t="s">
        <v>14207</v>
      </c>
      <c r="H3392" s="3" t="s">
        <v>108</v>
      </c>
      <c r="K3392" s="2">
        <v>20</v>
      </c>
      <c r="L3392" s="2">
        <v>3</v>
      </c>
      <c r="M3392" s="3" t="s">
        <v>1478</v>
      </c>
      <c r="N3392" s="3" t="s">
        <v>1556</v>
      </c>
      <c r="O3392" s="3" t="s">
        <v>300</v>
      </c>
      <c r="P3392" s="3" t="s">
        <v>1557</v>
      </c>
      <c r="Q3392" s="30" t="str">
        <f t="shared" si="52"/>
        <v>MAX : 36
TARGET : 35
MIN : 34</v>
      </c>
    </row>
    <row r="3393" spans="2:17" ht="41.4" x14ac:dyDescent="0.3">
      <c r="B3393">
        <v>0</v>
      </c>
      <c r="C3393" s="33">
        <v>8872</v>
      </c>
      <c r="D3393" s="2">
        <v>1322</v>
      </c>
      <c r="E3393" s="2" t="s">
        <v>11312</v>
      </c>
      <c r="F3393" s="3" t="s">
        <v>14207</v>
      </c>
      <c r="H3393" s="3" t="s">
        <v>108</v>
      </c>
      <c r="K3393" s="2">
        <v>20</v>
      </c>
      <c r="L3393" s="2">
        <v>5</v>
      </c>
      <c r="M3393" s="3" t="s">
        <v>78</v>
      </c>
      <c r="N3393" s="3" t="s">
        <v>13</v>
      </c>
      <c r="O3393" s="3" t="s">
        <v>14</v>
      </c>
      <c r="Q3393" s="30" t="str">
        <f t="shared" si="52"/>
        <v>MAX : 
TARGET : Yes(Pass)
MIN : No(Fail)</v>
      </c>
    </row>
    <row r="3394" spans="2:17" ht="41.4" x14ac:dyDescent="0.3">
      <c r="B3394">
        <v>1</v>
      </c>
      <c r="C3394" s="33">
        <v>8669</v>
      </c>
      <c r="D3394" s="2">
        <v>1264</v>
      </c>
      <c r="E3394" s="2" t="s">
        <v>10821</v>
      </c>
      <c r="F3394" s="3" t="s">
        <v>14207</v>
      </c>
      <c r="H3394" s="3" t="s">
        <v>713</v>
      </c>
      <c r="K3394" s="2">
        <v>20</v>
      </c>
      <c r="L3394" s="2">
        <v>2</v>
      </c>
      <c r="M3394" s="3" t="s">
        <v>198</v>
      </c>
      <c r="N3394" s="3" t="s">
        <v>3468</v>
      </c>
      <c r="O3394" s="3" t="s">
        <v>3469</v>
      </c>
      <c r="P3394" s="3" t="s">
        <v>3474</v>
      </c>
      <c r="Q3394" s="30" t="str">
        <f t="shared" ref="Q3394:Q3457" si="53">"MAX : " &amp; P3394 &amp; CHAR(10) &amp; "TARGET : " &amp; O3394 &amp; CHAR(10) &amp; "MIN : " &amp; N3394</f>
        <v>MAX : 7.60
TARGET : 7.10
MIN : 6.60</v>
      </c>
    </row>
    <row r="3395" spans="2:17" ht="41.4" x14ac:dyDescent="0.3">
      <c r="B3395">
        <v>1</v>
      </c>
      <c r="C3395" s="33">
        <v>8669</v>
      </c>
      <c r="D3395" s="2">
        <v>1264</v>
      </c>
      <c r="E3395" s="2" t="s">
        <v>10821</v>
      </c>
      <c r="F3395" s="3" t="s">
        <v>14207</v>
      </c>
      <c r="H3395" s="3" t="s">
        <v>713</v>
      </c>
      <c r="K3395" s="2">
        <v>20</v>
      </c>
      <c r="L3395" s="2">
        <v>1</v>
      </c>
      <c r="M3395" s="3" t="s">
        <v>194</v>
      </c>
      <c r="N3395" s="3" t="s">
        <v>184</v>
      </c>
      <c r="O3395" s="3" t="s">
        <v>200</v>
      </c>
      <c r="P3395" s="3" t="s">
        <v>250</v>
      </c>
      <c r="Q3395" s="30" t="str">
        <f t="shared" si="53"/>
        <v>MAX : 6.00
TARGET : 5.50
MIN : 5.00</v>
      </c>
    </row>
    <row r="3396" spans="2:17" ht="41.4" x14ac:dyDescent="0.3">
      <c r="B3396">
        <v>0</v>
      </c>
      <c r="C3396" s="33">
        <v>8875</v>
      </c>
      <c r="D3396" s="2">
        <v>1323</v>
      </c>
      <c r="E3396" s="2" t="s">
        <v>11318</v>
      </c>
      <c r="F3396" s="3" t="s">
        <v>14206</v>
      </c>
      <c r="H3396" s="3" t="s">
        <v>3975</v>
      </c>
      <c r="K3396" s="2">
        <v>20</v>
      </c>
      <c r="L3396" s="2">
        <v>2</v>
      </c>
      <c r="M3396" s="3" t="s">
        <v>692</v>
      </c>
      <c r="N3396" s="3" t="s">
        <v>874</v>
      </c>
      <c r="O3396" s="3" t="s">
        <v>406</v>
      </c>
      <c r="P3396" s="3" t="s">
        <v>1624</v>
      </c>
      <c r="Q3396" s="30" t="str">
        <f t="shared" si="53"/>
        <v>MAX : 2.05
TARGET : 2.00
MIN : 1.95</v>
      </c>
    </row>
    <row r="3397" spans="2:17" ht="41.4" x14ac:dyDescent="0.3">
      <c r="B3397">
        <v>0</v>
      </c>
      <c r="C3397" s="33">
        <v>8875</v>
      </c>
      <c r="D3397" s="2">
        <v>1323</v>
      </c>
      <c r="E3397" s="2" t="s">
        <v>11318</v>
      </c>
      <c r="F3397" s="3" t="s">
        <v>14206</v>
      </c>
      <c r="H3397" s="3" t="s">
        <v>3975</v>
      </c>
      <c r="K3397" s="2">
        <v>20</v>
      </c>
      <c r="L3397" s="2">
        <v>3</v>
      </c>
      <c r="M3397" s="3" t="s">
        <v>3298</v>
      </c>
      <c r="N3397" s="3" t="s">
        <v>13</v>
      </c>
      <c r="O3397" s="3" t="s">
        <v>14</v>
      </c>
      <c r="Q3397" s="30" t="str">
        <f t="shared" si="53"/>
        <v>MAX : 
TARGET : Yes(Pass)
MIN : No(Fail)</v>
      </c>
    </row>
    <row r="3398" spans="2:17" ht="41.4" x14ac:dyDescent="0.3">
      <c r="B3398">
        <v>0</v>
      </c>
      <c r="C3398" s="33">
        <v>8875</v>
      </c>
      <c r="D3398" s="2">
        <v>1323</v>
      </c>
      <c r="E3398" s="2" t="s">
        <v>11318</v>
      </c>
      <c r="F3398" s="3" t="s">
        <v>14206</v>
      </c>
      <c r="H3398" s="3" t="s">
        <v>3975</v>
      </c>
      <c r="K3398" s="2">
        <v>20</v>
      </c>
      <c r="L3398" s="2">
        <v>4</v>
      </c>
      <c r="M3398" s="3" t="s">
        <v>3978</v>
      </c>
      <c r="N3398" s="3" t="s">
        <v>13</v>
      </c>
      <c r="O3398" s="3" t="s">
        <v>14</v>
      </c>
      <c r="Q3398" s="30" t="str">
        <f t="shared" si="53"/>
        <v>MAX : 
TARGET : Yes(Pass)
MIN : No(Fail)</v>
      </c>
    </row>
    <row r="3399" spans="2:17" ht="41.4" x14ac:dyDescent="0.3">
      <c r="B3399">
        <v>1</v>
      </c>
      <c r="C3399" s="33">
        <v>8673</v>
      </c>
      <c r="D3399" s="2">
        <v>1981</v>
      </c>
      <c r="E3399" s="2" t="s">
        <v>10827</v>
      </c>
      <c r="F3399" s="3" t="s">
        <v>14206</v>
      </c>
      <c r="H3399" s="3" t="s">
        <v>721</v>
      </c>
      <c r="J3399" s="3" t="s">
        <v>3083</v>
      </c>
      <c r="K3399" s="2">
        <v>10</v>
      </c>
      <c r="L3399" s="2">
        <v>2</v>
      </c>
      <c r="M3399" s="3" t="s">
        <v>611</v>
      </c>
      <c r="N3399" s="3" t="s">
        <v>1619</v>
      </c>
      <c r="O3399" s="3" t="s">
        <v>1620</v>
      </c>
      <c r="Q3399" s="30" t="str">
        <f t="shared" si="53"/>
        <v>MAX : 
TARGET : Yes (pass)
MIN : No (fail)</v>
      </c>
    </row>
    <row r="3400" spans="2:17" ht="41.4" x14ac:dyDescent="0.3">
      <c r="B3400">
        <v>1</v>
      </c>
      <c r="C3400" s="33">
        <v>8673</v>
      </c>
      <c r="D3400" s="2">
        <v>1981</v>
      </c>
      <c r="E3400" s="2" t="s">
        <v>10827</v>
      </c>
      <c r="F3400" s="3" t="s">
        <v>14206</v>
      </c>
      <c r="H3400" s="3" t="s">
        <v>721</v>
      </c>
      <c r="J3400" s="3" t="s">
        <v>3083</v>
      </c>
      <c r="K3400" s="2">
        <v>10</v>
      </c>
      <c r="L3400" s="2">
        <v>1</v>
      </c>
      <c r="M3400" s="3" t="s">
        <v>3477</v>
      </c>
      <c r="N3400" s="3" t="s">
        <v>462</v>
      </c>
      <c r="O3400" s="3" t="s">
        <v>424</v>
      </c>
      <c r="P3400" s="3" t="s">
        <v>463</v>
      </c>
      <c r="Q3400" s="30" t="str">
        <f t="shared" si="53"/>
        <v>MAX : 0.28
TARGET : 0.25
MIN : 0.22</v>
      </c>
    </row>
    <row r="3401" spans="2:17" ht="41.4" x14ac:dyDescent="0.3">
      <c r="B3401">
        <v>1</v>
      </c>
      <c r="C3401" s="33">
        <v>8675</v>
      </c>
      <c r="D3401" s="2">
        <v>1265</v>
      </c>
      <c r="E3401" s="2" t="s">
        <v>10834</v>
      </c>
      <c r="F3401" s="3" t="s">
        <v>14237</v>
      </c>
      <c r="H3401" s="3" t="s">
        <v>3552</v>
      </c>
      <c r="K3401" s="2">
        <v>10</v>
      </c>
      <c r="L3401" s="2">
        <v>17</v>
      </c>
      <c r="M3401" s="3" t="s">
        <v>3554</v>
      </c>
      <c r="N3401" s="3" t="s">
        <v>3555</v>
      </c>
      <c r="O3401" s="3" t="s">
        <v>3556</v>
      </c>
      <c r="P3401" s="3" t="s">
        <v>3557</v>
      </c>
      <c r="Q3401" s="30" t="str">
        <f t="shared" si="53"/>
        <v>MAX : 0.0135
TARGET : 0.0120
MIN : 0.0105</v>
      </c>
    </row>
    <row r="3402" spans="2:17" ht="41.4" x14ac:dyDescent="0.3">
      <c r="B3402">
        <v>1</v>
      </c>
      <c r="C3402" s="33">
        <v>8675</v>
      </c>
      <c r="D3402" s="2">
        <v>1265</v>
      </c>
      <c r="E3402" s="2" t="s">
        <v>10834</v>
      </c>
      <c r="F3402" s="3" t="s">
        <v>14237</v>
      </c>
      <c r="H3402" s="3" t="s">
        <v>3552</v>
      </c>
      <c r="K3402" s="2">
        <v>10</v>
      </c>
      <c r="L3402" s="2">
        <v>11</v>
      </c>
      <c r="M3402" s="3" t="s">
        <v>3715</v>
      </c>
      <c r="N3402" s="3" t="s">
        <v>13</v>
      </c>
      <c r="O3402" s="3" t="s">
        <v>14</v>
      </c>
      <c r="Q3402" s="30" t="str">
        <f t="shared" si="53"/>
        <v>MAX : 
TARGET : Yes(Pass)
MIN : No(Fail)</v>
      </c>
    </row>
    <row r="3403" spans="2:17" ht="41.4" x14ac:dyDescent="0.3">
      <c r="B3403">
        <v>1</v>
      </c>
      <c r="C3403" s="33">
        <v>8675</v>
      </c>
      <c r="D3403" s="2">
        <v>1265</v>
      </c>
      <c r="E3403" s="2" t="s">
        <v>10834</v>
      </c>
      <c r="F3403" s="3" t="s">
        <v>14237</v>
      </c>
      <c r="H3403" s="3" t="s">
        <v>3552</v>
      </c>
      <c r="K3403" s="2">
        <v>10</v>
      </c>
      <c r="L3403" s="2">
        <v>19</v>
      </c>
      <c r="M3403" s="3" t="s">
        <v>3553</v>
      </c>
      <c r="N3403" s="3" t="s">
        <v>851</v>
      </c>
      <c r="O3403" s="3" t="s">
        <v>14</v>
      </c>
      <c r="Q3403" s="30" t="str">
        <f t="shared" si="53"/>
        <v>MAX : 
TARGET : Yes(Pass)
MIN : No(fail)</v>
      </c>
    </row>
    <row r="3404" spans="2:17" ht="41.4" x14ac:dyDescent="0.3">
      <c r="B3404">
        <v>1</v>
      </c>
      <c r="C3404" s="33">
        <v>8675</v>
      </c>
      <c r="D3404" s="2">
        <v>1265</v>
      </c>
      <c r="E3404" s="2" t="s">
        <v>10834</v>
      </c>
      <c r="F3404" s="3" t="s">
        <v>14237</v>
      </c>
      <c r="H3404" s="3" t="s">
        <v>3552</v>
      </c>
      <c r="K3404" s="2">
        <v>10</v>
      </c>
      <c r="L3404" s="2">
        <v>12</v>
      </c>
      <c r="M3404" s="3" t="s">
        <v>3714</v>
      </c>
      <c r="N3404" s="3" t="s">
        <v>13</v>
      </c>
      <c r="O3404" s="3" t="s">
        <v>14</v>
      </c>
      <c r="Q3404" s="30" t="str">
        <f t="shared" si="53"/>
        <v>MAX : 
TARGET : Yes(Pass)
MIN : No(Fail)</v>
      </c>
    </row>
    <row r="3405" spans="2:17" ht="41.4" x14ac:dyDescent="0.3">
      <c r="B3405">
        <v>1</v>
      </c>
      <c r="C3405" s="33">
        <v>8679</v>
      </c>
      <c r="D3405" s="2">
        <v>1982</v>
      </c>
      <c r="E3405" s="2" t="s">
        <v>10842</v>
      </c>
      <c r="F3405" s="3" t="s">
        <v>14206</v>
      </c>
      <c r="H3405" s="3" t="s">
        <v>3533</v>
      </c>
      <c r="K3405" s="2">
        <v>10</v>
      </c>
      <c r="L3405" s="2">
        <v>2</v>
      </c>
      <c r="M3405" s="3" t="s">
        <v>2269</v>
      </c>
      <c r="N3405" s="3" t="s">
        <v>13</v>
      </c>
      <c r="O3405" s="3" t="s">
        <v>14</v>
      </c>
      <c r="Q3405" s="30" t="str">
        <f t="shared" si="53"/>
        <v>MAX : 
TARGET : Yes(Pass)
MIN : No(Fail)</v>
      </c>
    </row>
    <row r="3406" spans="2:17" ht="41.4" x14ac:dyDescent="0.3">
      <c r="B3406">
        <v>1</v>
      </c>
      <c r="C3406" s="33">
        <v>8679</v>
      </c>
      <c r="D3406" s="2">
        <v>1982</v>
      </c>
      <c r="E3406" s="2" t="s">
        <v>10842</v>
      </c>
      <c r="F3406" s="3" t="s">
        <v>14206</v>
      </c>
      <c r="H3406" s="3" t="s">
        <v>3533</v>
      </c>
      <c r="K3406" s="2">
        <v>10</v>
      </c>
      <c r="L3406" s="2">
        <v>1</v>
      </c>
      <c r="M3406" s="3" t="s">
        <v>174</v>
      </c>
      <c r="N3406" s="3" t="s">
        <v>405</v>
      </c>
      <c r="O3406" s="3" t="s">
        <v>406</v>
      </c>
      <c r="P3406" s="3" t="s">
        <v>407</v>
      </c>
      <c r="Q3406" s="30" t="str">
        <f t="shared" si="53"/>
        <v>MAX : 2.06
TARGET : 2.00
MIN : 1.94</v>
      </c>
    </row>
    <row r="3407" spans="2:17" ht="41.4" x14ac:dyDescent="0.3">
      <c r="B3407">
        <v>1</v>
      </c>
      <c r="C3407" s="33">
        <v>8680</v>
      </c>
      <c r="D3407" s="2">
        <v>1983</v>
      </c>
      <c r="E3407" s="2" t="s">
        <v>10847</v>
      </c>
      <c r="F3407" s="3" t="s">
        <v>14206</v>
      </c>
      <c r="H3407" s="3" t="s">
        <v>824</v>
      </c>
      <c r="K3407" s="2">
        <v>10</v>
      </c>
      <c r="L3407" s="2">
        <v>2</v>
      </c>
      <c r="M3407" s="3" t="s">
        <v>325</v>
      </c>
      <c r="N3407" s="3" t="s">
        <v>13</v>
      </c>
      <c r="O3407" s="3" t="s">
        <v>14</v>
      </c>
      <c r="Q3407" s="30" t="str">
        <f t="shared" si="53"/>
        <v>MAX : 
TARGET : Yes(Pass)
MIN : No(Fail)</v>
      </c>
    </row>
    <row r="3408" spans="2:17" ht="41.4" x14ac:dyDescent="0.3">
      <c r="B3408">
        <v>0</v>
      </c>
      <c r="C3408" s="33">
        <v>8884</v>
      </c>
      <c r="D3408" s="2">
        <v>1324</v>
      </c>
      <c r="E3408" s="2" t="s">
        <v>11341</v>
      </c>
      <c r="F3408" s="3" t="s">
        <v>14207</v>
      </c>
      <c r="H3408" s="3" t="s">
        <v>713</v>
      </c>
      <c r="K3408" s="2">
        <v>20</v>
      </c>
      <c r="L3408" s="2">
        <v>2</v>
      </c>
      <c r="M3408" s="3" t="s">
        <v>570</v>
      </c>
      <c r="N3408" s="3" t="s">
        <v>1360</v>
      </c>
      <c r="O3408" s="3" t="s">
        <v>2261</v>
      </c>
      <c r="P3408" s="3" t="s">
        <v>3364</v>
      </c>
      <c r="Q3408" s="30" t="str">
        <f t="shared" si="53"/>
        <v>MAX : 47
TARGET : 46
MIN : 45</v>
      </c>
    </row>
    <row r="3409" spans="2:17" ht="41.4" x14ac:dyDescent="0.3">
      <c r="B3409">
        <v>0</v>
      </c>
      <c r="C3409" s="33">
        <v>8884</v>
      </c>
      <c r="D3409" s="2">
        <v>1324</v>
      </c>
      <c r="E3409" s="2" t="s">
        <v>11341</v>
      </c>
      <c r="F3409" s="3" t="s">
        <v>14207</v>
      </c>
      <c r="H3409" s="3" t="s">
        <v>713</v>
      </c>
      <c r="K3409" s="2">
        <v>20</v>
      </c>
      <c r="L3409" s="2">
        <v>3</v>
      </c>
      <c r="M3409" s="3" t="s">
        <v>1576</v>
      </c>
      <c r="N3409" s="3" t="s">
        <v>1919</v>
      </c>
      <c r="O3409" s="3" t="s">
        <v>1920</v>
      </c>
      <c r="P3409" s="3" t="s">
        <v>1921</v>
      </c>
      <c r="Q3409" s="30" t="str">
        <f t="shared" si="53"/>
        <v>MAX : 39
TARGET : 38
MIN : 37</v>
      </c>
    </row>
    <row r="3410" spans="2:17" ht="41.4" x14ac:dyDescent="0.3">
      <c r="B3410">
        <v>0</v>
      </c>
      <c r="C3410" s="33">
        <v>8884</v>
      </c>
      <c r="D3410" s="2">
        <v>1324</v>
      </c>
      <c r="E3410" s="2" t="s">
        <v>11341</v>
      </c>
      <c r="F3410" s="3" t="s">
        <v>14207</v>
      </c>
      <c r="H3410" s="3" t="s">
        <v>713</v>
      </c>
      <c r="K3410" s="2">
        <v>20</v>
      </c>
      <c r="L3410" s="2">
        <v>5</v>
      </c>
      <c r="M3410" s="3" t="s">
        <v>1605</v>
      </c>
      <c r="N3410" s="3" t="s">
        <v>13</v>
      </c>
      <c r="O3410" s="3" t="s">
        <v>14</v>
      </c>
      <c r="Q3410" s="30" t="str">
        <f t="shared" si="53"/>
        <v>MAX : 
TARGET : Yes(Pass)
MIN : No(Fail)</v>
      </c>
    </row>
    <row r="3411" spans="2:17" ht="41.4" x14ac:dyDescent="0.3">
      <c r="B3411">
        <v>0</v>
      </c>
      <c r="C3411" s="33">
        <v>8884</v>
      </c>
      <c r="D3411" s="2">
        <v>1324</v>
      </c>
      <c r="E3411" s="2" t="s">
        <v>11341</v>
      </c>
      <c r="F3411" s="3" t="s">
        <v>14207</v>
      </c>
      <c r="H3411" s="3" t="s">
        <v>713</v>
      </c>
      <c r="K3411" s="2">
        <v>20</v>
      </c>
      <c r="L3411" s="2">
        <v>6</v>
      </c>
      <c r="M3411" s="3" t="s">
        <v>3986</v>
      </c>
      <c r="N3411" s="3" t="s">
        <v>13</v>
      </c>
      <c r="O3411" s="3" t="s">
        <v>14</v>
      </c>
      <c r="Q3411" s="30" t="str">
        <f t="shared" si="53"/>
        <v>MAX : 
TARGET : Yes(Pass)
MIN : No(Fail)</v>
      </c>
    </row>
    <row r="3412" spans="2:17" ht="41.4" x14ac:dyDescent="0.3">
      <c r="B3412">
        <v>0</v>
      </c>
      <c r="C3412" s="33">
        <v>8884</v>
      </c>
      <c r="D3412" s="2">
        <v>1324</v>
      </c>
      <c r="E3412" s="2" t="s">
        <v>11341</v>
      </c>
      <c r="F3412" s="3" t="s">
        <v>14207</v>
      </c>
      <c r="H3412" s="3" t="s">
        <v>713</v>
      </c>
      <c r="K3412" s="2">
        <v>20</v>
      </c>
      <c r="L3412" s="2">
        <v>7</v>
      </c>
      <c r="M3412" s="3" t="s">
        <v>3987</v>
      </c>
      <c r="N3412" s="3" t="s">
        <v>13</v>
      </c>
      <c r="O3412" s="3" t="s">
        <v>14</v>
      </c>
      <c r="Q3412" s="30" t="str">
        <f t="shared" si="53"/>
        <v>MAX : 
TARGET : Yes(Pass)
MIN : No(Fail)</v>
      </c>
    </row>
    <row r="3413" spans="2:17" ht="41.4" x14ac:dyDescent="0.3">
      <c r="B3413">
        <v>0</v>
      </c>
      <c r="C3413" s="33">
        <v>8884</v>
      </c>
      <c r="D3413" s="2">
        <v>1324</v>
      </c>
      <c r="E3413" s="2" t="s">
        <v>11341</v>
      </c>
      <c r="F3413" s="3" t="s">
        <v>14207</v>
      </c>
      <c r="H3413" s="3" t="s">
        <v>713</v>
      </c>
      <c r="K3413" s="2">
        <v>20</v>
      </c>
      <c r="L3413" s="2">
        <v>4</v>
      </c>
      <c r="M3413" s="3" t="s">
        <v>1545</v>
      </c>
      <c r="N3413" s="3" t="s">
        <v>13</v>
      </c>
      <c r="O3413" s="3" t="s">
        <v>14</v>
      </c>
      <c r="Q3413" s="30" t="str">
        <f t="shared" si="53"/>
        <v>MAX : 
TARGET : Yes(Pass)
MIN : No(Fail)</v>
      </c>
    </row>
    <row r="3414" spans="2:17" ht="41.4" x14ac:dyDescent="0.3">
      <c r="B3414">
        <v>1</v>
      </c>
      <c r="C3414" s="33">
        <v>8680</v>
      </c>
      <c r="D3414" s="2">
        <v>1983</v>
      </c>
      <c r="E3414" s="2" t="s">
        <v>10847</v>
      </c>
      <c r="F3414" s="3" t="s">
        <v>14206</v>
      </c>
      <c r="H3414" s="3" t="s">
        <v>824</v>
      </c>
      <c r="K3414" s="2">
        <v>10</v>
      </c>
      <c r="L3414" s="2">
        <v>1</v>
      </c>
      <c r="M3414" s="3" t="s">
        <v>458</v>
      </c>
      <c r="N3414" s="3" t="s">
        <v>418</v>
      </c>
      <c r="O3414" s="3" t="s">
        <v>344</v>
      </c>
      <c r="P3414" s="3" t="s">
        <v>419</v>
      </c>
      <c r="Q3414" s="30" t="str">
        <f t="shared" si="53"/>
        <v>MAX : 1.28
TARGET : 1.25
MIN : 1.22</v>
      </c>
    </row>
    <row r="3415" spans="2:17" ht="41.4" x14ac:dyDescent="0.3">
      <c r="B3415">
        <v>1</v>
      </c>
      <c r="C3415" s="33">
        <v>8689</v>
      </c>
      <c r="D3415" s="2">
        <v>1266</v>
      </c>
      <c r="E3415" s="2" t="s">
        <v>10853</v>
      </c>
      <c r="F3415" s="3" t="s">
        <v>14206</v>
      </c>
      <c r="H3415" s="3" t="s">
        <v>3534</v>
      </c>
      <c r="K3415" s="2">
        <v>20</v>
      </c>
      <c r="L3415" s="2">
        <v>2</v>
      </c>
      <c r="M3415" s="3" t="s">
        <v>422</v>
      </c>
      <c r="N3415" s="3" t="s">
        <v>462</v>
      </c>
      <c r="O3415" s="3" t="s">
        <v>424</v>
      </c>
      <c r="P3415" s="3" t="s">
        <v>463</v>
      </c>
      <c r="Q3415" s="30" t="str">
        <f t="shared" si="53"/>
        <v>MAX : 0.28
TARGET : 0.25
MIN : 0.22</v>
      </c>
    </row>
    <row r="3416" spans="2:17" ht="41.4" x14ac:dyDescent="0.3">
      <c r="B3416">
        <v>0</v>
      </c>
      <c r="C3416" s="33">
        <v>8887</v>
      </c>
      <c r="D3416" s="2">
        <v>2002</v>
      </c>
      <c r="E3416" s="2" t="s">
        <v>11348</v>
      </c>
      <c r="F3416" s="3" t="s">
        <v>14206</v>
      </c>
      <c r="H3416" s="3" t="s">
        <v>1903</v>
      </c>
      <c r="K3416" s="2">
        <v>10</v>
      </c>
      <c r="L3416" s="2">
        <v>2</v>
      </c>
      <c r="M3416" s="3" t="s">
        <v>3015</v>
      </c>
      <c r="N3416" s="3" t="s">
        <v>24</v>
      </c>
      <c r="O3416" s="3" t="s">
        <v>25</v>
      </c>
      <c r="Q3416" s="30" t="str">
        <f t="shared" si="53"/>
        <v>MAX : 
TARGET : Yes (Pass)
MIN : No (Fail)</v>
      </c>
    </row>
    <row r="3417" spans="2:17" ht="41.4" x14ac:dyDescent="0.3">
      <c r="B3417">
        <v>0</v>
      </c>
      <c r="C3417" s="33">
        <v>8887</v>
      </c>
      <c r="D3417" s="2">
        <v>2002</v>
      </c>
      <c r="E3417" s="2" t="s">
        <v>11348</v>
      </c>
      <c r="F3417" s="3" t="s">
        <v>14206</v>
      </c>
      <c r="H3417" s="3" t="s">
        <v>1903</v>
      </c>
      <c r="K3417" s="2">
        <v>20</v>
      </c>
      <c r="L3417" s="2">
        <v>2</v>
      </c>
      <c r="M3417" s="3" t="s">
        <v>611</v>
      </c>
      <c r="N3417" s="3" t="s">
        <v>24</v>
      </c>
      <c r="O3417" s="3" t="s">
        <v>25</v>
      </c>
      <c r="Q3417" s="30" t="str">
        <f t="shared" si="53"/>
        <v>MAX : 
TARGET : Yes (Pass)
MIN : No (Fail)</v>
      </c>
    </row>
    <row r="3418" spans="2:17" ht="41.4" x14ac:dyDescent="0.3">
      <c r="B3418">
        <v>1</v>
      </c>
      <c r="C3418" s="33">
        <v>8689</v>
      </c>
      <c r="D3418" s="2">
        <v>1266</v>
      </c>
      <c r="E3418" s="2" t="s">
        <v>10853</v>
      </c>
      <c r="F3418" s="3" t="s">
        <v>14206</v>
      </c>
      <c r="H3418" s="3" t="s">
        <v>3534</v>
      </c>
      <c r="K3418" s="2">
        <v>20</v>
      </c>
      <c r="L3418" s="2">
        <v>1</v>
      </c>
      <c r="M3418" s="3" t="s">
        <v>570</v>
      </c>
      <c r="N3418" s="3" t="s">
        <v>131</v>
      </c>
      <c r="O3418" s="3" t="s">
        <v>132</v>
      </c>
      <c r="P3418" s="3" t="s">
        <v>133</v>
      </c>
      <c r="Q3418" s="30" t="str">
        <f t="shared" si="53"/>
        <v>MAX : 0.78
TARGET : 0.75
MIN : 0.72</v>
      </c>
    </row>
    <row r="3419" spans="2:17" ht="41.4" x14ac:dyDescent="0.3">
      <c r="B3419">
        <v>1</v>
      </c>
      <c r="C3419" s="33">
        <v>8691</v>
      </c>
      <c r="D3419" s="2">
        <v>1267</v>
      </c>
      <c r="E3419" s="2" t="s">
        <v>10859</v>
      </c>
      <c r="F3419" s="3" t="s">
        <v>14207</v>
      </c>
      <c r="H3419" s="3" t="s">
        <v>3535</v>
      </c>
      <c r="K3419" s="2">
        <v>20</v>
      </c>
      <c r="L3419" s="2">
        <v>4</v>
      </c>
      <c r="M3419" s="3" t="s">
        <v>3426</v>
      </c>
      <c r="N3419" s="3" t="s">
        <v>1385</v>
      </c>
      <c r="O3419" s="3" t="s">
        <v>3539</v>
      </c>
      <c r="P3419" s="3" t="s">
        <v>3540</v>
      </c>
      <c r="Q3419" s="30" t="str">
        <f t="shared" si="53"/>
        <v>MAX : 40.63
TARGET : 40.38
MIN : 40.13</v>
      </c>
    </row>
    <row r="3420" spans="2:17" ht="41.4" x14ac:dyDescent="0.3">
      <c r="B3420">
        <v>0</v>
      </c>
      <c r="C3420" s="33">
        <v>8888</v>
      </c>
      <c r="D3420" s="2">
        <v>1325</v>
      </c>
      <c r="E3420" s="2" t="s">
        <v>11354</v>
      </c>
      <c r="F3420" s="3" t="s">
        <v>14206</v>
      </c>
      <c r="H3420" s="3" t="s">
        <v>504</v>
      </c>
      <c r="K3420" s="2">
        <v>20</v>
      </c>
      <c r="L3420" s="2">
        <v>3</v>
      </c>
      <c r="M3420" s="3" t="s">
        <v>2043</v>
      </c>
      <c r="N3420" s="3" t="s">
        <v>13</v>
      </c>
      <c r="O3420" s="3" t="s">
        <v>14</v>
      </c>
      <c r="Q3420" s="30" t="str">
        <f t="shared" si="53"/>
        <v>MAX : 
TARGET : Yes(Pass)
MIN : No(Fail)</v>
      </c>
    </row>
    <row r="3421" spans="2:17" ht="41.4" x14ac:dyDescent="0.3">
      <c r="B3421">
        <v>1</v>
      </c>
      <c r="C3421" s="33">
        <v>8691</v>
      </c>
      <c r="D3421" s="2">
        <v>1267</v>
      </c>
      <c r="E3421" s="2" t="s">
        <v>10859</v>
      </c>
      <c r="F3421" s="3" t="s">
        <v>14207</v>
      </c>
      <c r="H3421" s="3" t="s">
        <v>3535</v>
      </c>
      <c r="K3421" s="2">
        <v>20</v>
      </c>
      <c r="L3421" s="2">
        <v>3</v>
      </c>
      <c r="M3421" s="3" t="s">
        <v>198</v>
      </c>
      <c r="N3421" s="3" t="s">
        <v>3536</v>
      </c>
      <c r="O3421" s="3" t="s">
        <v>3537</v>
      </c>
      <c r="P3421" s="3" t="s">
        <v>3538</v>
      </c>
      <c r="Q3421" s="30" t="str">
        <f t="shared" si="53"/>
        <v>MAX : 45.38
TARGET : 44.88
MIN : 44.38</v>
      </c>
    </row>
    <row r="3422" spans="2:17" ht="41.4" x14ac:dyDescent="0.3">
      <c r="B3422">
        <v>1</v>
      </c>
      <c r="C3422" s="33">
        <v>8691</v>
      </c>
      <c r="D3422" s="2">
        <v>1267</v>
      </c>
      <c r="E3422" s="2" t="s">
        <v>10859</v>
      </c>
      <c r="F3422" s="3" t="s">
        <v>14207</v>
      </c>
      <c r="H3422" s="3" t="s">
        <v>3535</v>
      </c>
      <c r="K3422" s="2">
        <v>20</v>
      </c>
      <c r="L3422" s="2">
        <v>6</v>
      </c>
      <c r="M3422" s="3" t="s">
        <v>78</v>
      </c>
      <c r="N3422" s="3" t="s">
        <v>13</v>
      </c>
      <c r="O3422" s="3" t="s">
        <v>14</v>
      </c>
      <c r="Q3422" s="30" t="str">
        <f t="shared" si="53"/>
        <v>MAX : 
TARGET : Yes(Pass)
MIN : No(Fail)</v>
      </c>
    </row>
    <row r="3423" spans="2:17" ht="41.4" x14ac:dyDescent="0.3">
      <c r="B3423">
        <v>0</v>
      </c>
      <c r="C3423" s="33">
        <v>8876</v>
      </c>
      <c r="D3423" s="2">
        <v>1999</v>
      </c>
      <c r="E3423" s="2" t="s">
        <v>11324</v>
      </c>
      <c r="F3423" s="3" t="s">
        <v>14206</v>
      </c>
      <c r="H3423" s="3" t="s">
        <v>1903</v>
      </c>
      <c r="K3423" s="2">
        <v>10</v>
      </c>
      <c r="L3423" s="2">
        <v>3</v>
      </c>
      <c r="M3423" s="3" t="s">
        <v>3992</v>
      </c>
      <c r="N3423" s="3" t="s">
        <v>13</v>
      </c>
      <c r="O3423" s="3" t="s">
        <v>14</v>
      </c>
      <c r="Q3423" s="30" t="str">
        <f t="shared" si="53"/>
        <v>MAX : 
TARGET : Yes(Pass)
MIN : No(Fail)</v>
      </c>
    </row>
    <row r="3424" spans="2:17" ht="41.4" x14ac:dyDescent="0.3">
      <c r="B3424">
        <v>1</v>
      </c>
      <c r="C3424" s="33">
        <v>8692</v>
      </c>
      <c r="D3424" s="2">
        <v>1268</v>
      </c>
      <c r="E3424" s="2" t="s">
        <v>10865</v>
      </c>
      <c r="F3424" s="3" t="s">
        <v>14207</v>
      </c>
      <c r="H3424" s="3" t="s">
        <v>713</v>
      </c>
      <c r="K3424" s="2">
        <v>20</v>
      </c>
      <c r="L3424" s="2">
        <v>2</v>
      </c>
      <c r="M3424" s="3" t="s">
        <v>198</v>
      </c>
      <c r="N3424" s="3" t="s">
        <v>796</v>
      </c>
      <c r="O3424" s="3" t="s">
        <v>253</v>
      </c>
      <c r="P3424" s="3" t="s">
        <v>3547</v>
      </c>
      <c r="Q3424" s="30" t="str">
        <f t="shared" si="53"/>
        <v>MAX : 4.30
TARGET : 4.00
MIN : 3.70</v>
      </c>
    </row>
    <row r="3425" spans="2:17" ht="41.4" x14ac:dyDescent="0.3">
      <c r="B3425">
        <v>1</v>
      </c>
      <c r="C3425" s="33">
        <v>8692</v>
      </c>
      <c r="D3425" s="2">
        <v>1268</v>
      </c>
      <c r="E3425" s="2" t="s">
        <v>10865</v>
      </c>
      <c r="F3425" s="3" t="s">
        <v>14207</v>
      </c>
      <c r="H3425" s="3" t="s">
        <v>713</v>
      </c>
      <c r="K3425" s="2">
        <v>20</v>
      </c>
      <c r="L3425" s="2">
        <v>1</v>
      </c>
      <c r="M3425" s="3" t="s">
        <v>194</v>
      </c>
      <c r="N3425" s="3" t="s">
        <v>796</v>
      </c>
      <c r="O3425" s="3" t="s">
        <v>253</v>
      </c>
      <c r="P3425" s="3" t="s">
        <v>3547</v>
      </c>
      <c r="Q3425" s="30" t="str">
        <f t="shared" si="53"/>
        <v>MAX : 4.30
TARGET : 4.00
MIN : 3.70</v>
      </c>
    </row>
    <row r="3426" spans="2:17" ht="41.4" x14ac:dyDescent="0.3">
      <c r="B3426">
        <v>0</v>
      </c>
      <c r="C3426" s="33">
        <v>8878</v>
      </c>
      <c r="D3426" s="2">
        <v>2000</v>
      </c>
      <c r="E3426" s="2" t="s">
        <v>11332</v>
      </c>
      <c r="F3426" s="3" t="s">
        <v>14206</v>
      </c>
      <c r="H3426" s="3" t="s">
        <v>1903</v>
      </c>
      <c r="K3426" s="2">
        <v>10</v>
      </c>
      <c r="L3426" s="2">
        <v>3</v>
      </c>
      <c r="M3426" s="3" t="s">
        <v>3992</v>
      </c>
      <c r="N3426" s="3" t="s">
        <v>13</v>
      </c>
      <c r="O3426" s="3" t="s">
        <v>14</v>
      </c>
      <c r="Q3426" s="30" t="str">
        <f t="shared" si="53"/>
        <v>MAX : 
TARGET : Yes(Pass)
MIN : No(Fail)</v>
      </c>
    </row>
    <row r="3427" spans="2:17" ht="41.4" x14ac:dyDescent="0.3">
      <c r="B3427">
        <v>1</v>
      </c>
      <c r="C3427" s="33">
        <v>8693</v>
      </c>
      <c r="D3427" s="2">
        <v>1269</v>
      </c>
      <c r="E3427" s="2" t="s">
        <v>10871</v>
      </c>
      <c r="F3427" s="3" t="s">
        <v>14237</v>
      </c>
      <c r="H3427" s="3" t="s">
        <v>3561</v>
      </c>
      <c r="K3427" s="2">
        <v>10</v>
      </c>
      <c r="L3427" s="2">
        <v>18</v>
      </c>
      <c r="M3427" s="3" t="s">
        <v>3563</v>
      </c>
      <c r="N3427" s="3" t="s">
        <v>2079</v>
      </c>
      <c r="O3427" s="3" t="s">
        <v>3564</v>
      </c>
      <c r="P3427" s="3" t="s">
        <v>1436</v>
      </c>
      <c r="Q3427" s="30" t="str">
        <f t="shared" si="53"/>
        <v>MAX : 0.430
TARGET : 0.425
MIN : 0.420</v>
      </c>
    </row>
    <row r="3428" spans="2:17" ht="41.4" x14ac:dyDescent="0.3">
      <c r="B3428">
        <v>1</v>
      </c>
      <c r="C3428" s="33">
        <v>8693</v>
      </c>
      <c r="D3428" s="2">
        <v>1269</v>
      </c>
      <c r="E3428" s="2" t="s">
        <v>10871</v>
      </c>
      <c r="F3428" s="3" t="s">
        <v>14237</v>
      </c>
      <c r="H3428" s="3" t="s">
        <v>3561</v>
      </c>
      <c r="K3428" s="2">
        <v>10</v>
      </c>
      <c r="L3428" s="2">
        <v>13</v>
      </c>
      <c r="M3428" s="3" t="s">
        <v>3672</v>
      </c>
      <c r="N3428" s="3" t="s">
        <v>3673</v>
      </c>
      <c r="O3428" s="3" t="s">
        <v>3674</v>
      </c>
      <c r="P3428" s="3" t="s">
        <v>3675</v>
      </c>
      <c r="Q3428" s="30" t="str">
        <f t="shared" si="53"/>
        <v>MAX : 7.502
TARGET : 7.497
MIN : 7.492</v>
      </c>
    </row>
    <row r="3429" spans="2:17" ht="41.4" x14ac:dyDescent="0.3">
      <c r="B3429">
        <v>0</v>
      </c>
      <c r="C3429" s="33">
        <v>8879</v>
      </c>
      <c r="D3429" s="2">
        <v>2001</v>
      </c>
      <c r="E3429" s="2" t="s">
        <v>11336</v>
      </c>
      <c r="F3429" s="3" t="s">
        <v>14206</v>
      </c>
      <c r="H3429" s="3" t="s">
        <v>1903</v>
      </c>
      <c r="K3429" s="2">
        <v>10</v>
      </c>
      <c r="L3429" s="2">
        <v>3</v>
      </c>
      <c r="M3429" s="3" t="s">
        <v>3992</v>
      </c>
      <c r="N3429" s="3" t="s">
        <v>13</v>
      </c>
      <c r="O3429" s="3" t="s">
        <v>14</v>
      </c>
      <c r="Q3429" s="30" t="str">
        <f t="shared" si="53"/>
        <v>MAX : 
TARGET : Yes(Pass)
MIN : No(Fail)</v>
      </c>
    </row>
    <row r="3430" spans="2:17" ht="41.4" x14ac:dyDescent="0.3">
      <c r="B3430">
        <v>1</v>
      </c>
      <c r="C3430" s="33">
        <v>8693</v>
      </c>
      <c r="D3430" s="2">
        <v>1269</v>
      </c>
      <c r="E3430" s="2" t="s">
        <v>10871</v>
      </c>
      <c r="F3430" s="3" t="s">
        <v>14237</v>
      </c>
      <c r="H3430" s="3" t="s">
        <v>3561</v>
      </c>
      <c r="K3430" s="2">
        <v>10</v>
      </c>
      <c r="L3430" s="2">
        <v>17</v>
      </c>
      <c r="M3430" s="3" t="s">
        <v>3562</v>
      </c>
      <c r="N3430" s="3" t="s">
        <v>710</v>
      </c>
      <c r="O3430" s="3" t="s">
        <v>86</v>
      </c>
      <c r="P3430" s="3" t="s">
        <v>711</v>
      </c>
      <c r="Q3430" s="30" t="str">
        <f t="shared" si="53"/>
        <v>MAX : 0.505
TARGET : 0.500
MIN : 0.495</v>
      </c>
    </row>
    <row r="3431" spans="2:17" ht="41.4" x14ac:dyDescent="0.3">
      <c r="B3431">
        <v>1</v>
      </c>
      <c r="C3431" s="33">
        <v>8693</v>
      </c>
      <c r="D3431" s="2">
        <v>1269</v>
      </c>
      <c r="E3431" s="2" t="s">
        <v>10871</v>
      </c>
      <c r="F3431" s="3" t="s">
        <v>14237</v>
      </c>
      <c r="H3431" s="3" t="s">
        <v>3561</v>
      </c>
      <c r="K3431" s="2">
        <v>10</v>
      </c>
      <c r="L3431" s="2">
        <v>15</v>
      </c>
      <c r="M3431" s="3" t="s">
        <v>3669</v>
      </c>
      <c r="N3431" s="3" t="s">
        <v>3670</v>
      </c>
      <c r="O3431" s="3" t="s">
        <v>1674</v>
      </c>
      <c r="P3431" s="3" t="s">
        <v>3671</v>
      </c>
      <c r="Q3431" s="30" t="str">
        <f t="shared" si="53"/>
        <v>MAX : 9.76
TARGET : 9.75
MIN : 9.74</v>
      </c>
    </row>
    <row r="3432" spans="2:17" ht="41.4" x14ac:dyDescent="0.3">
      <c r="B3432">
        <v>0</v>
      </c>
      <c r="C3432" s="33">
        <v>8891</v>
      </c>
      <c r="D3432" s="2">
        <v>1326</v>
      </c>
      <c r="E3432" s="2" t="s">
        <v>11360</v>
      </c>
      <c r="F3432" s="3" t="s">
        <v>14206</v>
      </c>
      <c r="H3432" s="3" t="s">
        <v>747</v>
      </c>
      <c r="K3432" s="2">
        <v>10</v>
      </c>
      <c r="L3432" s="2">
        <v>3</v>
      </c>
      <c r="M3432" s="3" t="s">
        <v>3995</v>
      </c>
      <c r="N3432" s="3" t="s">
        <v>13</v>
      </c>
      <c r="O3432" s="3" t="s">
        <v>14</v>
      </c>
      <c r="Q3432" s="30" t="str">
        <f t="shared" si="53"/>
        <v>MAX : 
TARGET : Yes(Pass)
MIN : No(Fail)</v>
      </c>
    </row>
    <row r="3433" spans="2:17" ht="41.4" x14ac:dyDescent="0.3">
      <c r="B3433">
        <v>0</v>
      </c>
      <c r="C3433" s="33">
        <v>8891</v>
      </c>
      <c r="D3433" s="2">
        <v>1326</v>
      </c>
      <c r="E3433" s="2" t="s">
        <v>11360</v>
      </c>
      <c r="F3433" s="3" t="s">
        <v>14206</v>
      </c>
      <c r="H3433" s="3" t="s">
        <v>747</v>
      </c>
      <c r="K3433" s="2">
        <v>20</v>
      </c>
      <c r="L3433" s="2">
        <v>1</v>
      </c>
      <c r="M3433" s="3" t="s">
        <v>194</v>
      </c>
      <c r="N3433" s="3" t="s">
        <v>27</v>
      </c>
      <c r="O3433" s="3" t="s">
        <v>28</v>
      </c>
      <c r="P3433" s="3" t="s">
        <v>29</v>
      </c>
      <c r="Q3433" s="30" t="str">
        <f t="shared" si="53"/>
        <v>MAX : 1.53
TARGET : 1.50
MIN : 1.47</v>
      </c>
    </row>
    <row r="3434" spans="2:17" ht="41.4" x14ac:dyDescent="0.3">
      <c r="B3434">
        <v>0</v>
      </c>
      <c r="C3434" s="33">
        <v>8891</v>
      </c>
      <c r="D3434" s="2">
        <v>1326</v>
      </c>
      <c r="E3434" s="2" t="s">
        <v>11360</v>
      </c>
      <c r="F3434" s="3" t="s">
        <v>14206</v>
      </c>
      <c r="H3434" s="3" t="s">
        <v>747</v>
      </c>
      <c r="K3434" s="2">
        <v>20</v>
      </c>
      <c r="L3434" s="2">
        <v>2</v>
      </c>
      <c r="M3434" s="3" t="s">
        <v>198</v>
      </c>
      <c r="N3434" s="3" t="s">
        <v>252</v>
      </c>
      <c r="O3434" s="3" t="s">
        <v>253</v>
      </c>
      <c r="P3434" s="3" t="s">
        <v>128</v>
      </c>
      <c r="Q3434" s="30" t="str">
        <f t="shared" si="53"/>
        <v>MAX : 4.03
TARGET : 4.00
MIN : 3.97</v>
      </c>
    </row>
    <row r="3435" spans="2:17" ht="41.4" x14ac:dyDescent="0.3">
      <c r="B3435">
        <v>0</v>
      </c>
      <c r="C3435" s="33">
        <v>8891</v>
      </c>
      <c r="D3435" s="2">
        <v>1326</v>
      </c>
      <c r="E3435" s="2" t="s">
        <v>11360</v>
      </c>
      <c r="F3435" s="3" t="s">
        <v>14206</v>
      </c>
      <c r="H3435" s="3" t="s">
        <v>747</v>
      </c>
      <c r="K3435" s="2">
        <v>20</v>
      </c>
      <c r="L3435" s="2">
        <v>3</v>
      </c>
      <c r="M3435" s="3" t="s">
        <v>3996</v>
      </c>
      <c r="N3435" s="3" t="s">
        <v>2061</v>
      </c>
      <c r="O3435" s="3" t="s">
        <v>3997</v>
      </c>
      <c r="P3435" s="3" t="s">
        <v>1741</v>
      </c>
      <c r="Q3435" s="30" t="str">
        <f t="shared" si="53"/>
        <v>MAX : 0.15
TARGET : 0.12
MIN : 0.09</v>
      </c>
    </row>
    <row r="3436" spans="2:17" ht="41.4" x14ac:dyDescent="0.3">
      <c r="B3436">
        <v>0</v>
      </c>
      <c r="C3436" s="33">
        <v>8891</v>
      </c>
      <c r="D3436" s="2">
        <v>1326</v>
      </c>
      <c r="E3436" s="2" t="s">
        <v>11360</v>
      </c>
      <c r="F3436" s="3" t="s">
        <v>14206</v>
      </c>
      <c r="H3436" s="3" t="s">
        <v>747</v>
      </c>
      <c r="K3436" s="2">
        <v>20</v>
      </c>
      <c r="L3436" s="2">
        <v>4</v>
      </c>
      <c r="M3436" s="3" t="s">
        <v>3998</v>
      </c>
      <c r="N3436" s="3" t="s">
        <v>13</v>
      </c>
      <c r="O3436" s="3" t="s">
        <v>14</v>
      </c>
      <c r="Q3436" s="30" t="str">
        <f t="shared" si="53"/>
        <v>MAX : 
TARGET : Yes(Pass)
MIN : No(Fail)</v>
      </c>
    </row>
    <row r="3437" spans="2:17" ht="41.4" x14ac:dyDescent="0.3">
      <c r="B3437">
        <v>0</v>
      </c>
      <c r="C3437" s="33">
        <v>8891</v>
      </c>
      <c r="D3437" s="2">
        <v>1326</v>
      </c>
      <c r="E3437" s="2" t="s">
        <v>11360</v>
      </c>
      <c r="F3437" s="3" t="s">
        <v>14206</v>
      </c>
      <c r="H3437" s="3" t="s">
        <v>747</v>
      </c>
      <c r="K3437" s="2">
        <v>20</v>
      </c>
      <c r="L3437" s="2">
        <v>5</v>
      </c>
      <c r="M3437" s="3" t="s">
        <v>3999</v>
      </c>
      <c r="N3437" s="3" t="s">
        <v>13</v>
      </c>
      <c r="O3437" s="3" t="s">
        <v>14</v>
      </c>
      <c r="Q3437" s="30" t="str">
        <f t="shared" si="53"/>
        <v>MAX : 
TARGET : Yes(Pass)
MIN : No(Fail)</v>
      </c>
    </row>
    <row r="3438" spans="2:17" ht="41.4" x14ac:dyDescent="0.3">
      <c r="B3438">
        <v>0</v>
      </c>
      <c r="C3438" s="33">
        <v>8891</v>
      </c>
      <c r="D3438" s="2">
        <v>1326</v>
      </c>
      <c r="E3438" s="2" t="s">
        <v>11360</v>
      </c>
      <c r="F3438" s="3" t="s">
        <v>14206</v>
      </c>
      <c r="H3438" s="3" t="s">
        <v>747</v>
      </c>
      <c r="K3438" s="2">
        <v>20</v>
      </c>
      <c r="L3438" s="2">
        <v>6</v>
      </c>
      <c r="M3438" s="3" t="s">
        <v>78</v>
      </c>
      <c r="N3438" s="3" t="s">
        <v>13</v>
      </c>
      <c r="O3438" s="3" t="s">
        <v>14</v>
      </c>
      <c r="Q3438" s="30" t="str">
        <f t="shared" si="53"/>
        <v>MAX : 
TARGET : Yes(Pass)
MIN : No(Fail)</v>
      </c>
    </row>
    <row r="3439" spans="2:17" ht="41.4" x14ac:dyDescent="0.3">
      <c r="B3439">
        <v>0</v>
      </c>
      <c r="C3439" s="33">
        <v>8891</v>
      </c>
      <c r="D3439" s="2">
        <v>1326</v>
      </c>
      <c r="E3439" s="2" t="s">
        <v>11360</v>
      </c>
      <c r="F3439" s="3" t="s">
        <v>14206</v>
      </c>
      <c r="H3439" s="3" t="s">
        <v>747</v>
      </c>
      <c r="K3439" s="2">
        <v>20</v>
      </c>
      <c r="L3439" s="2">
        <v>7</v>
      </c>
      <c r="M3439" s="3" t="s">
        <v>4000</v>
      </c>
      <c r="N3439" s="3" t="s">
        <v>13</v>
      </c>
      <c r="O3439" s="3" t="s">
        <v>14</v>
      </c>
      <c r="Q3439" s="30" t="str">
        <f t="shared" si="53"/>
        <v>MAX : 
TARGET : Yes(Pass)
MIN : No(Fail)</v>
      </c>
    </row>
    <row r="3440" spans="2:17" ht="41.4" x14ac:dyDescent="0.3">
      <c r="B3440">
        <v>0</v>
      </c>
      <c r="C3440" s="33">
        <v>8891</v>
      </c>
      <c r="D3440" s="2">
        <v>1326</v>
      </c>
      <c r="E3440" s="2" t="s">
        <v>11360</v>
      </c>
      <c r="F3440" s="3" t="s">
        <v>14206</v>
      </c>
      <c r="H3440" s="3" t="s">
        <v>747</v>
      </c>
      <c r="K3440" s="2">
        <v>20</v>
      </c>
      <c r="L3440" s="2">
        <v>8</v>
      </c>
      <c r="M3440" s="3" t="s">
        <v>4001</v>
      </c>
      <c r="N3440" s="3" t="s">
        <v>13</v>
      </c>
      <c r="O3440" s="3" t="s">
        <v>14</v>
      </c>
      <c r="Q3440" s="30" t="str">
        <f t="shared" si="53"/>
        <v>MAX : 
TARGET : Yes(Pass)
MIN : No(Fail)</v>
      </c>
    </row>
    <row r="3441" spans="2:18" ht="41.4" x14ac:dyDescent="0.3">
      <c r="B3441">
        <v>1</v>
      </c>
      <c r="C3441" s="33">
        <v>8707</v>
      </c>
      <c r="D3441" s="2">
        <v>1270</v>
      </c>
      <c r="E3441" s="2" t="s">
        <v>10878</v>
      </c>
      <c r="F3441" s="3" t="s">
        <v>14206</v>
      </c>
      <c r="H3441" s="3" t="s">
        <v>3587</v>
      </c>
      <c r="K3441" s="2">
        <v>20</v>
      </c>
      <c r="L3441" s="2">
        <v>2</v>
      </c>
      <c r="M3441" s="3" t="s">
        <v>3591</v>
      </c>
      <c r="N3441" s="3" t="s">
        <v>418</v>
      </c>
      <c r="O3441" s="3" t="s">
        <v>344</v>
      </c>
      <c r="P3441" s="3" t="s">
        <v>419</v>
      </c>
      <c r="Q3441" s="30" t="str">
        <f t="shared" si="53"/>
        <v>MAX : 1.28
TARGET : 1.25
MIN : 1.22</v>
      </c>
    </row>
    <row r="3442" spans="2:18" ht="41.4" x14ac:dyDescent="0.3">
      <c r="B3442">
        <v>1</v>
      </c>
      <c r="C3442" s="33">
        <v>8707</v>
      </c>
      <c r="D3442" s="2">
        <v>1270</v>
      </c>
      <c r="E3442" s="2" t="s">
        <v>10878</v>
      </c>
      <c r="F3442" s="3" t="s">
        <v>14206</v>
      </c>
      <c r="H3442" s="3" t="s">
        <v>3587</v>
      </c>
      <c r="K3442" s="2">
        <v>20</v>
      </c>
      <c r="L3442" s="2">
        <v>1</v>
      </c>
      <c r="M3442" s="3" t="s">
        <v>3588</v>
      </c>
      <c r="N3442" s="3" t="s">
        <v>451</v>
      </c>
      <c r="O3442" s="3" t="s">
        <v>3589</v>
      </c>
      <c r="P3442" s="3" t="s">
        <v>3590</v>
      </c>
      <c r="Q3442" s="30" t="str">
        <f t="shared" si="53"/>
        <v>MAX : 0.950
TARGET : 0.920
MIN : 0.890</v>
      </c>
    </row>
    <row r="3443" spans="2:18" ht="41.4" x14ac:dyDescent="0.3">
      <c r="B3443">
        <v>0</v>
      </c>
      <c r="C3443" s="33">
        <v>8892</v>
      </c>
      <c r="D3443" s="2">
        <v>1327</v>
      </c>
      <c r="E3443" s="2" t="s">
        <v>11360</v>
      </c>
      <c r="F3443" s="3" t="s">
        <v>14206</v>
      </c>
      <c r="H3443" s="3" t="s">
        <v>747</v>
      </c>
      <c r="K3443" s="2">
        <v>10</v>
      </c>
      <c r="L3443" s="2">
        <v>3</v>
      </c>
      <c r="M3443" s="3" t="s">
        <v>3995</v>
      </c>
      <c r="N3443" s="3" t="s">
        <v>13</v>
      </c>
      <c r="O3443" s="3" t="s">
        <v>14</v>
      </c>
      <c r="Q3443" s="30" t="str">
        <f t="shared" si="53"/>
        <v>MAX : 
TARGET : Yes(Pass)
MIN : No(Fail)</v>
      </c>
    </row>
    <row r="3444" spans="2:18" ht="41.4" x14ac:dyDescent="0.3">
      <c r="B3444">
        <v>0</v>
      </c>
      <c r="C3444" s="33">
        <v>8892</v>
      </c>
      <c r="D3444" s="2">
        <v>1327</v>
      </c>
      <c r="E3444" s="2" t="s">
        <v>11360</v>
      </c>
      <c r="F3444" s="3" t="s">
        <v>14206</v>
      </c>
      <c r="H3444" s="3" t="s">
        <v>747</v>
      </c>
      <c r="K3444" s="2">
        <v>20</v>
      </c>
      <c r="L3444" s="2">
        <v>1</v>
      </c>
      <c r="M3444" s="3" t="s">
        <v>194</v>
      </c>
      <c r="N3444" s="3" t="s">
        <v>27</v>
      </c>
      <c r="O3444" s="3" t="s">
        <v>28</v>
      </c>
      <c r="P3444" s="3" t="s">
        <v>29</v>
      </c>
      <c r="Q3444" s="30" t="str">
        <f t="shared" si="53"/>
        <v>MAX : 1.53
TARGET : 1.50
MIN : 1.47</v>
      </c>
    </row>
    <row r="3445" spans="2:18" ht="41.4" x14ac:dyDescent="0.3">
      <c r="B3445">
        <v>0</v>
      </c>
      <c r="C3445" s="33">
        <v>8892</v>
      </c>
      <c r="D3445" s="2">
        <v>1327</v>
      </c>
      <c r="E3445" s="2" t="s">
        <v>11360</v>
      </c>
      <c r="F3445" s="3" t="s">
        <v>14206</v>
      </c>
      <c r="H3445" s="3" t="s">
        <v>747</v>
      </c>
      <c r="K3445" s="2">
        <v>20</v>
      </c>
      <c r="L3445" s="2">
        <v>2</v>
      </c>
      <c r="M3445" s="3" t="s">
        <v>198</v>
      </c>
      <c r="N3445" s="3" t="s">
        <v>252</v>
      </c>
      <c r="O3445" s="3" t="s">
        <v>253</v>
      </c>
      <c r="P3445" s="3" t="s">
        <v>128</v>
      </c>
      <c r="Q3445" s="30" t="str">
        <f t="shared" si="53"/>
        <v>MAX : 4.03
TARGET : 4.00
MIN : 3.97</v>
      </c>
    </row>
    <row r="3446" spans="2:18" ht="41.4" x14ac:dyDescent="0.3">
      <c r="B3446">
        <v>0</v>
      </c>
      <c r="C3446" s="33">
        <v>8892</v>
      </c>
      <c r="D3446" s="2">
        <v>1327</v>
      </c>
      <c r="E3446" s="2" t="s">
        <v>11360</v>
      </c>
      <c r="F3446" s="3" t="s">
        <v>14206</v>
      </c>
      <c r="H3446" s="3" t="s">
        <v>747</v>
      </c>
      <c r="K3446" s="2">
        <v>20</v>
      </c>
      <c r="L3446" s="2">
        <v>3</v>
      </c>
      <c r="M3446" s="3" t="s">
        <v>3996</v>
      </c>
      <c r="N3446" s="3" t="s">
        <v>2061</v>
      </c>
      <c r="O3446" s="3" t="s">
        <v>3997</v>
      </c>
      <c r="P3446" s="3" t="s">
        <v>1741</v>
      </c>
      <c r="Q3446" s="30" t="str">
        <f t="shared" si="53"/>
        <v>MAX : 0.15
TARGET : 0.12
MIN : 0.09</v>
      </c>
    </row>
    <row r="3447" spans="2:18" ht="41.4" x14ac:dyDescent="0.3">
      <c r="B3447">
        <v>0</v>
      </c>
      <c r="C3447" s="33">
        <v>8892</v>
      </c>
      <c r="D3447" s="2">
        <v>1327</v>
      </c>
      <c r="E3447" s="2" t="s">
        <v>11360</v>
      </c>
      <c r="F3447" s="3" t="s">
        <v>14206</v>
      </c>
      <c r="H3447" s="3" t="s">
        <v>747</v>
      </c>
      <c r="K3447" s="2">
        <v>20</v>
      </c>
      <c r="L3447" s="2">
        <v>4</v>
      </c>
      <c r="M3447" s="3" t="s">
        <v>3998</v>
      </c>
      <c r="N3447" s="3" t="s">
        <v>13</v>
      </c>
      <c r="O3447" s="3" t="s">
        <v>14</v>
      </c>
      <c r="Q3447" s="30" t="str">
        <f t="shared" si="53"/>
        <v>MAX : 
TARGET : Yes(Pass)
MIN : No(Fail)</v>
      </c>
    </row>
    <row r="3448" spans="2:18" ht="41.4" x14ac:dyDescent="0.3">
      <c r="B3448">
        <v>0</v>
      </c>
      <c r="C3448" s="33">
        <v>8892</v>
      </c>
      <c r="D3448" s="2">
        <v>1327</v>
      </c>
      <c r="E3448" s="2" t="s">
        <v>11360</v>
      </c>
      <c r="F3448" s="3" t="s">
        <v>14206</v>
      </c>
      <c r="H3448" s="3" t="s">
        <v>747</v>
      </c>
      <c r="K3448" s="2">
        <v>20</v>
      </c>
      <c r="L3448" s="2">
        <v>5</v>
      </c>
      <c r="M3448" s="3" t="s">
        <v>3999</v>
      </c>
      <c r="N3448" s="3" t="s">
        <v>13</v>
      </c>
      <c r="O3448" s="3" t="s">
        <v>14</v>
      </c>
      <c r="Q3448" s="30" t="str">
        <f t="shared" si="53"/>
        <v>MAX : 
TARGET : Yes(Pass)
MIN : No(Fail)</v>
      </c>
    </row>
    <row r="3449" spans="2:18" ht="41.4" x14ac:dyDescent="0.3">
      <c r="B3449">
        <v>0</v>
      </c>
      <c r="C3449" s="33">
        <v>8892</v>
      </c>
      <c r="D3449" s="2">
        <v>1327</v>
      </c>
      <c r="E3449" s="2" t="s">
        <v>11360</v>
      </c>
      <c r="F3449" s="3" t="s">
        <v>14206</v>
      </c>
      <c r="H3449" s="3" t="s">
        <v>747</v>
      </c>
      <c r="K3449" s="2">
        <v>20</v>
      </c>
      <c r="L3449" s="2">
        <v>6</v>
      </c>
      <c r="M3449" s="3" t="s">
        <v>78</v>
      </c>
      <c r="N3449" s="3" t="s">
        <v>13</v>
      </c>
      <c r="O3449" s="3" t="s">
        <v>14</v>
      </c>
      <c r="Q3449" s="30" t="str">
        <f t="shared" si="53"/>
        <v>MAX : 
TARGET : Yes(Pass)
MIN : No(Fail)</v>
      </c>
    </row>
    <row r="3450" spans="2:18" ht="41.4" x14ac:dyDescent="0.3">
      <c r="B3450">
        <v>0</v>
      </c>
      <c r="C3450" s="33">
        <v>8892</v>
      </c>
      <c r="D3450" s="2">
        <v>1327</v>
      </c>
      <c r="E3450" s="2" t="s">
        <v>11360</v>
      </c>
      <c r="F3450" s="3" t="s">
        <v>14206</v>
      </c>
      <c r="H3450" s="3" t="s">
        <v>747</v>
      </c>
      <c r="K3450" s="2">
        <v>20</v>
      </c>
      <c r="L3450" s="2">
        <v>7</v>
      </c>
      <c r="M3450" s="3" t="s">
        <v>4000</v>
      </c>
      <c r="N3450" s="3" t="s">
        <v>13</v>
      </c>
      <c r="O3450" s="3" t="s">
        <v>14</v>
      </c>
      <c r="Q3450" s="30" t="str">
        <f t="shared" si="53"/>
        <v>MAX : 
TARGET : Yes(Pass)
MIN : No(Fail)</v>
      </c>
    </row>
    <row r="3451" spans="2:18" ht="41.4" x14ac:dyDescent="0.3">
      <c r="B3451">
        <v>0</v>
      </c>
      <c r="C3451" s="33">
        <v>8892</v>
      </c>
      <c r="D3451" s="2">
        <v>1327</v>
      </c>
      <c r="E3451" s="2" t="s">
        <v>11360</v>
      </c>
      <c r="F3451" s="3" t="s">
        <v>14206</v>
      </c>
      <c r="H3451" s="3" t="s">
        <v>747</v>
      </c>
      <c r="K3451" s="2">
        <v>20</v>
      </c>
      <c r="L3451" s="2">
        <v>8</v>
      </c>
      <c r="M3451" s="3" t="s">
        <v>4001</v>
      </c>
      <c r="N3451" s="3" t="s">
        <v>13</v>
      </c>
      <c r="O3451" s="3" t="s">
        <v>14</v>
      </c>
      <c r="Q3451" s="30" t="str">
        <f t="shared" si="53"/>
        <v>MAX : 
TARGET : Yes(Pass)
MIN : No(Fail)</v>
      </c>
    </row>
    <row r="3452" spans="2:18" ht="41.4" x14ac:dyDescent="0.3">
      <c r="B3452">
        <v>1</v>
      </c>
      <c r="C3452" s="33">
        <v>8707</v>
      </c>
      <c r="D3452" s="2">
        <v>1270</v>
      </c>
      <c r="E3452" s="2" t="s">
        <v>10878</v>
      </c>
      <c r="F3452" s="3" t="s">
        <v>14206</v>
      </c>
      <c r="H3452" s="3" t="s">
        <v>3587</v>
      </c>
      <c r="K3452" s="2">
        <v>20</v>
      </c>
      <c r="L3452" s="2">
        <v>3</v>
      </c>
      <c r="M3452" s="3" t="s">
        <v>4609</v>
      </c>
      <c r="N3452" s="3" t="s">
        <v>96</v>
      </c>
      <c r="O3452" s="3" t="s">
        <v>2654</v>
      </c>
      <c r="P3452" s="3" t="s">
        <v>1931</v>
      </c>
      <c r="Q3452" s="30" t="str">
        <f t="shared" si="53"/>
        <v>MAX : 1.875
TARGET : 1.750
MIN : 1.625</v>
      </c>
    </row>
    <row r="3453" spans="2:18" ht="41.4" x14ac:dyDescent="0.3">
      <c r="B3453">
        <v>1</v>
      </c>
      <c r="C3453" s="33">
        <v>8707</v>
      </c>
      <c r="D3453" s="2">
        <v>1270</v>
      </c>
      <c r="E3453" s="2" t="s">
        <v>10878</v>
      </c>
      <c r="F3453" s="3" t="s">
        <v>14206</v>
      </c>
      <c r="H3453" s="3" t="s">
        <v>3587</v>
      </c>
      <c r="K3453" s="2">
        <v>20</v>
      </c>
      <c r="L3453" s="2">
        <v>4</v>
      </c>
      <c r="M3453" s="3" t="s">
        <v>625</v>
      </c>
      <c r="N3453" s="3" t="s">
        <v>96</v>
      </c>
      <c r="O3453" s="3" t="s">
        <v>2654</v>
      </c>
      <c r="P3453" s="3" t="s">
        <v>1931</v>
      </c>
      <c r="Q3453" s="30" t="str">
        <f t="shared" si="53"/>
        <v>MAX : 1.875
TARGET : 1.750
MIN : 1.625</v>
      </c>
    </row>
    <row r="3454" spans="2:18" ht="41.4" x14ac:dyDescent="0.3">
      <c r="B3454">
        <v>0</v>
      </c>
      <c r="C3454" s="33">
        <v>8893</v>
      </c>
      <c r="D3454" s="2">
        <v>1328</v>
      </c>
      <c r="E3454" s="2" t="s">
        <v>11371</v>
      </c>
      <c r="F3454" s="3" t="s">
        <v>14206</v>
      </c>
      <c r="H3454" s="3" t="s">
        <v>504</v>
      </c>
      <c r="K3454" s="2">
        <v>10</v>
      </c>
      <c r="L3454" s="2">
        <v>2</v>
      </c>
      <c r="M3454" s="3" t="s">
        <v>198</v>
      </c>
      <c r="N3454" s="3" t="s">
        <v>3383</v>
      </c>
      <c r="O3454" s="3" t="s">
        <v>3740</v>
      </c>
      <c r="P3454" s="3" t="s">
        <v>3621</v>
      </c>
      <c r="Q3454" s="30" t="str">
        <f t="shared" si="53"/>
        <v>MAX : 0.110
TARGET : 0.100
MIN : 0.090</v>
      </c>
      <c r="R3454" s="3" t="s">
        <v>1638</v>
      </c>
    </row>
    <row r="3455" spans="2:18" ht="41.4" x14ac:dyDescent="0.3">
      <c r="B3455">
        <v>1</v>
      </c>
      <c r="C3455" s="33">
        <v>8715</v>
      </c>
      <c r="D3455" s="2">
        <v>1984</v>
      </c>
      <c r="E3455" s="2" t="s">
        <v>10885</v>
      </c>
      <c r="F3455" s="3" t="s">
        <v>14206</v>
      </c>
      <c r="H3455" s="3" t="s">
        <v>30</v>
      </c>
      <c r="K3455" s="2">
        <v>10</v>
      </c>
      <c r="L3455" s="2">
        <v>1</v>
      </c>
      <c r="M3455" s="3" t="s">
        <v>3595</v>
      </c>
      <c r="N3455" s="3" t="s">
        <v>1021</v>
      </c>
      <c r="O3455" s="3" t="s">
        <v>1926</v>
      </c>
      <c r="P3455" s="3" t="s">
        <v>3596</v>
      </c>
      <c r="Q3455" s="30" t="str">
        <f t="shared" si="53"/>
        <v>MAX : 0.897
TARGET : 0.866
MIN : 0.835</v>
      </c>
    </row>
    <row r="3456" spans="2:18" ht="41.4" x14ac:dyDescent="0.3">
      <c r="B3456">
        <v>1</v>
      </c>
      <c r="C3456" s="33">
        <v>8717</v>
      </c>
      <c r="D3456" s="2">
        <v>1271</v>
      </c>
      <c r="E3456" s="2" t="s">
        <v>10892</v>
      </c>
      <c r="F3456" s="3" t="s">
        <v>14206</v>
      </c>
      <c r="H3456" s="3" t="s">
        <v>3535</v>
      </c>
      <c r="K3456" s="2">
        <v>30</v>
      </c>
      <c r="L3456" s="2">
        <v>2</v>
      </c>
      <c r="M3456" s="3" t="s">
        <v>3218</v>
      </c>
      <c r="N3456" s="3" t="s">
        <v>13</v>
      </c>
      <c r="O3456" s="3" t="s">
        <v>14</v>
      </c>
      <c r="Q3456" s="30" t="str">
        <f t="shared" si="53"/>
        <v>MAX : 
TARGET : Yes(Pass)
MIN : No(Fail)</v>
      </c>
      <c r="R3456" s="3" t="s">
        <v>1638</v>
      </c>
    </row>
    <row r="3457" spans="2:18" ht="41.4" x14ac:dyDescent="0.3">
      <c r="B3457">
        <v>0</v>
      </c>
      <c r="C3457" s="33">
        <v>8897</v>
      </c>
      <c r="D3457" s="2">
        <v>1329</v>
      </c>
      <c r="E3457" s="2" t="s">
        <v>11378</v>
      </c>
      <c r="F3457" s="3" t="s">
        <v>14206</v>
      </c>
      <c r="H3457" s="3" t="s">
        <v>713</v>
      </c>
      <c r="K3457" s="2">
        <v>10</v>
      </c>
      <c r="L3457" s="2">
        <v>3</v>
      </c>
      <c r="M3457" s="3" t="s">
        <v>872</v>
      </c>
      <c r="N3457" s="3" t="s">
        <v>13</v>
      </c>
      <c r="O3457" s="3" t="s">
        <v>14</v>
      </c>
      <c r="Q3457" s="30" t="str">
        <f t="shared" si="53"/>
        <v>MAX : 
TARGET : Yes(Pass)
MIN : No(Fail)</v>
      </c>
    </row>
    <row r="3458" spans="2:18" ht="41.4" x14ac:dyDescent="0.3">
      <c r="B3458">
        <v>0</v>
      </c>
      <c r="C3458" s="33">
        <v>8897</v>
      </c>
      <c r="D3458" s="2">
        <v>1329</v>
      </c>
      <c r="E3458" s="2" t="s">
        <v>11378</v>
      </c>
      <c r="F3458" s="3" t="s">
        <v>14206</v>
      </c>
      <c r="H3458" s="3" t="s">
        <v>713</v>
      </c>
      <c r="K3458" s="2">
        <v>10</v>
      </c>
      <c r="L3458" s="2">
        <v>4</v>
      </c>
      <c r="M3458" s="3" t="s">
        <v>4006</v>
      </c>
      <c r="N3458" s="3" t="s">
        <v>13</v>
      </c>
      <c r="O3458" s="3" t="s">
        <v>14</v>
      </c>
      <c r="Q3458" s="30" t="str">
        <f t="shared" ref="Q3458:Q3521" si="54">"MAX : " &amp; P3458 &amp; CHAR(10) &amp; "TARGET : " &amp; O3458 &amp; CHAR(10) &amp; "MIN : " &amp; N3458</f>
        <v>MAX : 
TARGET : Yes(Pass)
MIN : No(Fail)</v>
      </c>
    </row>
    <row r="3459" spans="2:18" ht="41.4" x14ac:dyDescent="0.3">
      <c r="B3459">
        <v>0</v>
      </c>
      <c r="C3459" s="33">
        <v>8897</v>
      </c>
      <c r="D3459" s="2">
        <v>1329</v>
      </c>
      <c r="E3459" s="2" t="s">
        <v>11378</v>
      </c>
      <c r="F3459" s="3" t="s">
        <v>14206</v>
      </c>
      <c r="H3459" s="3" t="s">
        <v>713</v>
      </c>
      <c r="K3459" s="2">
        <v>20</v>
      </c>
      <c r="L3459" s="2">
        <v>1</v>
      </c>
      <c r="M3459" s="3" t="s">
        <v>4007</v>
      </c>
      <c r="N3459" s="3" t="s">
        <v>964</v>
      </c>
      <c r="O3459" s="3" t="s">
        <v>3895</v>
      </c>
      <c r="P3459" s="3" t="s">
        <v>2326</v>
      </c>
      <c r="Q3459" s="30" t="str">
        <f t="shared" si="54"/>
        <v>MAX : 1.14
TARGET : 1.11
MIN : 1.08</v>
      </c>
    </row>
    <row r="3460" spans="2:18" ht="41.4" x14ac:dyDescent="0.3">
      <c r="B3460">
        <v>0</v>
      </c>
      <c r="C3460" s="33">
        <v>8897</v>
      </c>
      <c r="D3460" s="2">
        <v>1329</v>
      </c>
      <c r="E3460" s="2" t="s">
        <v>11378</v>
      </c>
      <c r="F3460" s="3" t="s">
        <v>14206</v>
      </c>
      <c r="H3460" s="3" t="s">
        <v>713</v>
      </c>
      <c r="K3460" s="2">
        <v>20</v>
      </c>
      <c r="L3460" s="2">
        <v>3</v>
      </c>
      <c r="M3460" s="3" t="s">
        <v>4008</v>
      </c>
      <c r="N3460" s="3" t="s">
        <v>1800</v>
      </c>
      <c r="O3460" s="3" t="s">
        <v>1150</v>
      </c>
      <c r="P3460" s="3" t="s">
        <v>1151</v>
      </c>
      <c r="Q3460" s="30" t="str">
        <f t="shared" si="54"/>
        <v>MAX : 1.45
TARGET : 1.42
MIN : 1.39</v>
      </c>
    </row>
    <row r="3461" spans="2:18" ht="41.4" x14ac:dyDescent="0.3">
      <c r="B3461">
        <v>0</v>
      </c>
      <c r="C3461" s="33">
        <v>8897</v>
      </c>
      <c r="D3461" s="2">
        <v>1329</v>
      </c>
      <c r="E3461" s="2" t="s">
        <v>11378</v>
      </c>
      <c r="F3461" s="3" t="s">
        <v>14206</v>
      </c>
      <c r="H3461" s="3" t="s">
        <v>713</v>
      </c>
      <c r="K3461" s="2">
        <v>20</v>
      </c>
      <c r="L3461" s="2">
        <v>5</v>
      </c>
      <c r="M3461" s="3" t="s">
        <v>1605</v>
      </c>
      <c r="N3461" s="3" t="s">
        <v>13</v>
      </c>
      <c r="O3461" s="3" t="s">
        <v>14</v>
      </c>
      <c r="Q3461" s="30" t="str">
        <f t="shared" si="54"/>
        <v>MAX : 
TARGET : Yes(Pass)
MIN : No(Fail)</v>
      </c>
    </row>
    <row r="3462" spans="2:18" ht="41.4" x14ac:dyDescent="0.3">
      <c r="B3462">
        <v>0</v>
      </c>
      <c r="C3462" s="33">
        <v>8897</v>
      </c>
      <c r="D3462" s="2">
        <v>1329</v>
      </c>
      <c r="E3462" s="2" t="s">
        <v>11378</v>
      </c>
      <c r="F3462" s="3" t="s">
        <v>14206</v>
      </c>
      <c r="H3462" s="3" t="s">
        <v>713</v>
      </c>
      <c r="K3462" s="2">
        <v>20</v>
      </c>
      <c r="L3462" s="2">
        <v>6</v>
      </c>
      <c r="M3462" s="3" t="s">
        <v>78</v>
      </c>
      <c r="N3462" s="3" t="s">
        <v>13</v>
      </c>
      <c r="O3462" s="3" t="s">
        <v>14</v>
      </c>
      <c r="Q3462" s="30" t="str">
        <f t="shared" si="54"/>
        <v>MAX : 
TARGET : Yes(Pass)
MIN : No(Fail)</v>
      </c>
    </row>
    <row r="3463" spans="2:18" ht="41.4" x14ac:dyDescent="0.3">
      <c r="B3463">
        <v>0</v>
      </c>
      <c r="C3463" s="33">
        <v>8897</v>
      </c>
      <c r="D3463" s="2">
        <v>1329</v>
      </c>
      <c r="E3463" s="2" t="s">
        <v>11378</v>
      </c>
      <c r="F3463" s="3" t="s">
        <v>14206</v>
      </c>
      <c r="H3463" s="3" t="s">
        <v>713</v>
      </c>
      <c r="K3463" s="2">
        <v>20</v>
      </c>
      <c r="L3463" s="2">
        <v>7</v>
      </c>
      <c r="M3463" s="3" t="s">
        <v>4009</v>
      </c>
      <c r="N3463" s="3" t="s">
        <v>13</v>
      </c>
      <c r="O3463" s="3" t="s">
        <v>14</v>
      </c>
      <c r="Q3463" s="30" t="str">
        <f t="shared" si="54"/>
        <v>MAX : 
TARGET : Yes(Pass)
MIN : No(Fail)</v>
      </c>
    </row>
    <row r="3464" spans="2:18" ht="41.4" x14ac:dyDescent="0.3">
      <c r="B3464">
        <v>0</v>
      </c>
      <c r="C3464" s="33">
        <v>8897</v>
      </c>
      <c r="D3464" s="2">
        <v>1329</v>
      </c>
      <c r="E3464" s="2" t="s">
        <v>11378</v>
      </c>
      <c r="F3464" s="3" t="s">
        <v>14206</v>
      </c>
      <c r="H3464" s="3" t="s">
        <v>713</v>
      </c>
      <c r="K3464" s="2">
        <v>20</v>
      </c>
      <c r="L3464" s="2">
        <v>2</v>
      </c>
      <c r="M3464" s="3" t="s">
        <v>4010</v>
      </c>
      <c r="N3464" s="3" t="s">
        <v>631</v>
      </c>
      <c r="O3464" s="3" t="s">
        <v>2015</v>
      </c>
      <c r="P3464" s="3" t="s">
        <v>1800</v>
      </c>
      <c r="Q3464" s="30" t="str">
        <f t="shared" si="54"/>
        <v>MAX : 1.39
TARGET : 1.36
MIN : 1.33</v>
      </c>
    </row>
    <row r="3465" spans="2:18" ht="41.4" x14ac:dyDescent="0.3">
      <c r="B3465">
        <v>0</v>
      </c>
      <c r="C3465" s="33">
        <v>8897</v>
      </c>
      <c r="D3465" s="2">
        <v>1329</v>
      </c>
      <c r="E3465" s="2" t="s">
        <v>11378</v>
      </c>
      <c r="F3465" s="3" t="s">
        <v>14206</v>
      </c>
      <c r="H3465" s="3" t="s">
        <v>713</v>
      </c>
      <c r="K3465" s="2">
        <v>20</v>
      </c>
      <c r="L3465" s="2">
        <v>4</v>
      </c>
      <c r="M3465" s="3" t="s">
        <v>4011</v>
      </c>
      <c r="N3465" s="3" t="s">
        <v>1151</v>
      </c>
      <c r="O3465" s="3" t="s">
        <v>1152</v>
      </c>
      <c r="P3465" s="3" t="s">
        <v>4012</v>
      </c>
      <c r="Q3465" s="30" t="str">
        <f t="shared" si="54"/>
        <v>MAX : 1.51
TARGET : 1.48
MIN : 1.45</v>
      </c>
    </row>
    <row r="3466" spans="2:18" ht="41.4" x14ac:dyDescent="0.3">
      <c r="B3466">
        <v>1</v>
      </c>
      <c r="C3466" s="33">
        <v>8717</v>
      </c>
      <c r="D3466" s="2">
        <v>1271</v>
      </c>
      <c r="E3466" s="2" t="s">
        <v>10892</v>
      </c>
      <c r="F3466" s="3" t="s">
        <v>14206</v>
      </c>
      <c r="H3466" s="3" t="s">
        <v>3535</v>
      </c>
      <c r="K3466" s="2">
        <v>30</v>
      </c>
      <c r="L3466" s="2">
        <v>1</v>
      </c>
      <c r="M3466" s="3" t="s">
        <v>3597</v>
      </c>
      <c r="N3466" s="3" t="s">
        <v>3598</v>
      </c>
      <c r="O3466" s="3" t="s">
        <v>345</v>
      </c>
      <c r="P3466" s="3" t="s">
        <v>387</v>
      </c>
      <c r="Q3466" s="30" t="str">
        <f t="shared" si="54"/>
        <v>MAX : 1.77
TARGET : 1.75
MIN : 1.73</v>
      </c>
      <c r="R3466" s="3" t="s">
        <v>1638</v>
      </c>
    </row>
    <row r="3467" spans="2:18" ht="41.4" x14ac:dyDescent="0.3">
      <c r="B3467">
        <v>1</v>
      </c>
      <c r="C3467" s="33">
        <v>8717</v>
      </c>
      <c r="D3467" s="2">
        <v>1271</v>
      </c>
      <c r="E3467" s="2" t="s">
        <v>10892</v>
      </c>
      <c r="F3467" s="3" t="s">
        <v>14206</v>
      </c>
      <c r="H3467" s="3" t="s">
        <v>3535</v>
      </c>
      <c r="K3467" s="2">
        <v>40</v>
      </c>
      <c r="L3467" s="2">
        <v>3</v>
      </c>
      <c r="M3467" s="3" t="s">
        <v>6210</v>
      </c>
      <c r="N3467" s="3" t="s">
        <v>2455</v>
      </c>
      <c r="O3467" s="3" t="s">
        <v>1570</v>
      </c>
      <c r="P3467" s="3" t="s">
        <v>423</v>
      </c>
      <c r="Q3467" s="30" t="str">
        <f t="shared" si="54"/>
        <v>MAX : 0.19
TARGET : 0.13
MIN : 0.07</v>
      </c>
      <c r="R3467" s="3" t="s">
        <v>1638</v>
      </c>
    </row>
    <row r="3468" spans="2:18" ht="41.4" x14ac:dyDescent="0.3">
      <c r="B3468">
        <v>1</v>
      </c>
      <c r="C3468" s="33">
        <v>8717</v>
      </c>
      <c r="D3468" s="2">
        <v>1271</v>
      </c>
      <c r="E3468" s="2" t="s">
        <v>10892</v>
      </c>
      <c r="F3468" s="3" t="s">
        <v>14206</v>
      </c>
      <c r="H3468" s="3" t="s">
        <v>3535</v>
      </c>
      <c r="K3468" s="2">
        <v>40</v>
      </c>
      <c r="L3468" s="2">
        <v>6</v>
      </c>
      <c r="M3468" s="3" t="s">
        <v>6211</v>
      </c>
      <c r="N3468" s="3" t="s">
        <v>2456</v>
      </c>
      <c r="O3468" s="3" t="s">
        <v>1570</v>
      </c>
      <c r="P3468" s="3" t="s">
        <v>1742</v>
      </c>
      <c r="Q3468" s="30" t="str">
        <f t="shared" si="54"/>
        <v>MAX : 0.16
TARGET : 0.13
MIN : 0.10</v>
      </c>
      <c r="R3468" s="3" t="s">
        <v>1638</v>
      </c>
    </row>
    <row r="3469" spans="2:18" ht="41.4" x14ac:dyDescent="0.3">
      <c r="B3469">
        <v>0</v>
      </c>
      <c r="C3469" s="33">
        <v>8898</v>
      </c>
      <c r="D3469" s="2">
        <v>1330</v>
      </c>
      <c r="E3469" s="2" t="s">
        <v>11384</v>
      </c>
      <c r="F3469" s="3" t="s">
        <v>14238</v>
      </c>
      <c r="H3469" s="3" t="s">
        <v>648</v>
      </c>
      <c r="K3469" s="2">
        <v>20</v>
      </c>
      <c r="L3469" s="2">
        <v>3</v>
      </c>
      <c r="M3469" s="3" t="s">
        <v>3798</v>
      </c>
      <c r="N3469" s="3" t="s">
        <v>4013</v>
      </c>
      <c r="O3469" s="3" t="s">
        <v>4014</v>
      </c>
      <c r="P3469" s="3" t="s">
        <v>4015</v>
      </c>
      <c r="Q3469" s="30" t="str">
        <f t="shared" si="54"/>
        <v>MAX : 29.1
TARGET : 28.6
MIN : 28.1</v>
      </c>
    </row>
    <row r="3470" spans="2:18" ht="41.4" x14ac:dyDescent="0.3">
      <c r="B3470">
        <v>0</v>
      </c>
      <c r="C3470" s="33">
        <v>8898</v>
      </c>
      <c r="D3470" s="2">
        <v>1330</v>
      </c>
      <c r="E3470" s="2" t="s">
        <v>11384</v>
      </c>
      <c r="F3470" s="3" t="s">
        <v>14238</v>
      </c>
      <c r="H3470" s="3" t="s">
        <v>648</v>
      </c>
      <c r="K3470" s="2">
        <v>20</v>
      </c>
      <c r="L3470" s="2">
        <v>4</v>
      </c>
      <c r="M3470" s="3" t="s">
        <v>3802</v>
      </c>
      <c r="N3470" s="3" t="s">
        <v>4016</v>
      </c>
      <c r="O3470" s="3" t="s">
        <v>4017</v>
      </c>
      <c r="P3470" s="3" t="s">
        <v>2545</v>
      </c>
      <c r="Q3470" s="30" t="str">
        <f t="shared" si="54"/>
        <v>MAX : 10.3
TARGET : 10.1
MIN : 9.9</v>
      </c>
    </row>
    <row r="3471" spans="2:18" ht="41.4" x14ac:dyDescent="0.3">
      <c r="B3471">
        <v>0</v>
      </c>
      <c r="C3471" s="33">
        <v>8898</v>
      </c>
      <c r="D3471" s="2">
        <v>1330</v>
      </c>
      <c r="E3471" s="2" t="s">
        <v>11384</v>
      </c>
      <c r="F3471" s="3" t="s">
        <v>14238</v>
      </c>
      <c r="H3471" s="3" t="s">
        <v>648</v>
      </c>
      <c r="K3471" s="2">
        <v>20</v>
      </c>
      <c r="L3471" s="2">
        <v>5</v>
      </c>
      <c r="M3471" s="3" t="s">
        <v>3806</v>
      </c>
      <c r="N3471" s="3" t="s">
        <v>3980</v>
      </c>
      <c r="O3471" s="3" t="s">
        <v>4018</v>
      </c>
      <c r="P3471" s="3" t="s">
        <v>4019</v>
      </c>
      <c r="Q3471" s="30" t="str">
        <f t="shared" si="54"/>
        <v>MAX : 11.9
TARGET : 11.6
MIN : 11.3</v>
      </c>
    </row>
    <row r="3472" spans="2:18" ht="41.4" x14ac:dyDescent="0.3">
      <c r="B3472">
        <v>0</v>
      </c>
      <c r="C3472" s="33">
        <v>8898</v>
      </c>
      <c r="D3472" s="2">
        <v>1330</v>
      </c>
      <c r="E3472" s="2" t="s">
        <v>11384</v>
      </c>
      <c r="F3472" s="3" t="s">
        <v>14238</v>
      </c>
      <c r="H3472" s="3" t="s">
        <v>648</v>
      </c>
      <c r="K3472" s="2">
        <v>20</v>
      </c>
      <c r="L3472" s="2">
        <v>6</v>
      </c>
      <c r="M3472" s="3" t="s">
        <v>3809</v>
      </c>
      <c r="N3472" s="3" t="s">
        <v>4020</v>
      </c>
      <c r="O3472" s="3" t="s">
        <v>4021</v>
      </c>
      <c r="P3472" s="3" t="s">
        <v>4022</v>
      </c>
      <c r="Q3472" s="30" t="str">
        <f t="shared" si="54"/>
        <v>MAX : 23.90
TARGET : 23.50
MIN : 23.10</v>
      </c>
    </row>
    <row r="3473" spans="2:17" ht="41.4" x14ac:dyDescent="0.3">
      <c r="B3473">
        <v>0</v>
      </c>
      <c r="C3473" s="33">
        <v>8898</v>
      </c>
      <c r="D3473" s="2">
        <v>1330</v>
      </c>
      <c r="E3473" s="2" t="s">
        <v>11384</v>
      </c>
      <c r="F3473" s="3" t="s">
        <v>14238</v>
      </c>
      <c r="H3473" s="3" t="s">
        <v>648</v>
      </c>
      <c r="K3473" s="2">
        <v>20</v>
      </c>
      <c r="L3473" s="2">
        <v>7</v>
      </c>
      <c r="M3473" s="3" t="s">
        <v>3813</v>
      </c>
      <c r="N3473" s="3" t="s">
        <v>3792</v>
      </c>
      <c r="O3473" s="3" t="s">
        <v>2353</v>
      </c>
      <c r="P3473" s="3" t="s">
        <v>3793</v>
      </c>
      <c r="Q3473" s="30" t="str">
        <f t="shared" si="54"/>
        <v>MAX : 2.3
TARGET : 2.0
MIN : 1.7</v>
      </c>
    </row>
    <row r="3474" spans="2:17" ht="41.4" x14ac:dyDescent="0.3">
      <c r="B3474">
        <v>0</v>
      </c>
      <c r="C3474" s="33">
        <v>8898</v>
      </c>
      <c r="D3474" s="2">
        <v>1330</v>
      </c>
      <c r="E3474" s="2" t="s">
        <v>11384</v>
      </c>
      <c r="F3474" s="3" t="s">
        <v>14238</v>
      </c>
      <c r="H3474" s="3" t="s">
        <v>648</v>
      </c>
      <c r="K3474" s="2">
        <v>20</v>
      </c>
      <c r="L3474" s="2">
        <v>8</v>
      </c>
      <c r="M3474" s="3" t="s">
        <v>3815</v>
      </c>
      <c r="N3474" s="3" t="s">
        <v>2353</v>
      </c>
      <c r="O3474" s="3" t="s">
        <v>2355</v>
      </c>
      <c r="P3474" s="3" t="s">
        <v>3816</v>
      </c>
      <c r="Q3474" s="30" t="str">
        <f t="shared" si="54"/>
        <v>MAX : 2.4
TARGET : 2.2
MIN : 2.0</v>
      </c>
    </row>
    <row r="3475" spans="2:17" ht="41.4" x14ac:dyDescent="0.3">
      <c r="B3475">
        <v>0</v>
      </c>
      <c r="C3475" s="33">
        <v>8898</v>
      </c>
      <c r="D3475" s="2">
        <v>1330</v>
      </c>
      <c r="E3475" s="2" t="s">
        <v>11384</v>
      </c>
      <c r="F3475" s="3" t="s">
        <v>14238</v>
      </c>
      <c r="H3475" s="3" t="s">
        <v>648</v>
      </c>
      <c r="K3475" s="2">
        <v>20</v>
      </c>
      <c r="L3475" s="2">
        <v>9</v>
      </c>
      <c r="M3475" s="3" t="s">
        <v>3818</v>
      </c>
      <c r="N3475" s="3" t="s">
        <v>1679</v>
      </c>
      <c r="O3475" s="3" t="s">
        <v>35</v>
      </c>
      <c r="P3475" s="3" t="s">
        <v>4023</v>
      </c>
      <c r="Q3475" s="30" t="str">
        <f t="shared" si="54"/>
        <v>MAX : 19.2
TARGET : 19.0
MIN : 18.8</v>
      </c>
    </row>
    <row r="3476" spans="2:17" ht="41.4" x14ac:dyDescent="0.3">
      <c r="B3476">
        <v>0</v>
      </c>
      <c r="C3476" s="33">
        <v>8898</v>
      </c>
      <c r="D3476" s="2">
        <v>1330</v>
      </c>
      <c r="E3476" s="2" t="s">
        <v>11384</v>
      </c>
      <c r="F3476" s="3" t="s">
        <v>14238</v>
      </c>
      <c r="H3476" s="3" t="s">
        <v>648</v>
      </c>
      <c r="K3476" s="2">
        <v>20</v>
      </c>
      <c r="L3476" s="2">
        <v>10</v>
      </c>
      <c r="M3476" s="3" t="s">
        <v>3820</v>
      </c>
      <c r="N3476" s="3" t="s">
        <v>560</v>
      </c>
      <c r="O3476" s="3" t="s">
        <v>1164</v>
      </c>
      <c r="P3476" s="3" t="s">
        <v>4024</v>
      </c>
      <c r="Q3476" s="30" t="str">
        <f t="shared" si="54"/>
        <v>MAX : 20.8
TARGET : 20.5
MIN : 20.2</v>
      </c>
    </row>
    <row r="3477" spans="2:17" ht="41.4" x14ac:dyDescent="0.3">
      <c r="B3477">
        <v>0</v>
      </c>
      <c r="C3477" s="33">
        <v>8898</v>
      </c>
      <c r="D3477" s="2">
        <v>1330</v>
      </c>
      <c r="E3477" s="2" t="s">
        <v>11384</v>
      </c>
      <c r="F3477" s="3" t="s">
        <v>14238</v>
      </c>
      <c r="H3477" s="3" t="s">
        <v>648</v>
      </c>
      <c r="K3477" s="2">
        <v>20</v>
      </c>
      <c r="L3477" s="2">
        <v>11</v>
      </c>
      <c r="M3477" s="3" t="s">
        <v>3823</v>
      </c>
      <c r="N3477" s="3" t="s">
        <v>4025</v>
      </c>
      <c r="O3477" s="3" t="s">
        <v>2279</v>
      </c>
      <c r="P3477" s="3" t="s">
        <v>4026</v>
      </c>
      <c r="Q3477" s="30" t="str">
        <f t="shared" si="54"/>
        <v>MAX : 22.90
TARGET : 22.50
MIN : 22.10</v>
      </c>
    </row>
    <row r="3478" spans="2:17" ht="41.4" x14ac:dyDescent="0.3">
      <c r="B3478">
        <v>0</v>
      </c>
      <c r="C3478" s="33">
        <v>8898</v>
      </c>
      <c r="D3478" s="2">
        <v>1330</v>
      </c>
      <c r="E3478" s="2" t="s">
        <v>11384</v>
      </c>
      <c r="F3478" s="3" t="s">
        <v>14238</v>
      </c>
      <c r="H3478" s="3" t="s">
        <v>648</v>
      </c>
      <c r="K3478" s="2">
        <v>20</v>
      </c>
      <c r="L3478" s="2">
        <v>12</v>
      </c>
      <c r="M3478" s="3" t="s">
        <v>2615</v>
      </c>
      <c r="N3478" s="3" t="s">
        <v>4027</v>
      </c>
      <c r="O3478" s="3" t="s">
        <v>4028</v>
      </c>
      <c r="P3478" s="3" t="s">
        <v>2999</v>
      </c>
      <c r="Q3478" s="30" t="str">
        <f t="shared" si="54"/>
        <v>MAX : 5.8
TARGET : 5.3
MIN : 4.8</v>
      </c>
    </row>
    <row r="3479" spans="2:17" ht="41.4" x14ac:dyDescent="0.3">
      <c r="B3479">
        <v>0</v>
      </c>
      <c r="C3479" s="33">
        <v>8898</v>
      </c>
      <c r="D3479" s="2">
        <v>1330</v>
      </c>
      <c r="E3479" s="2" t="s">
        <v>11384</v>
      </c>
      <c r="F3479" s="3" t="s">
        <v>14238</v>
      </c>
      <c r="H3479" s="3" t="s">
        <v>648</v>
      </c>
      <c r="K3479" s="2">
        <v>20</v>
      </c>
      <c r="L3479" s="2">
        <v>13</v>
      </c>
      <c r="M3479" s="3" t="s">
        <v>3826</v>
      </c>
      <c r="N3479" s="3" t="s">
        <v>4027</v>
      </c>
      <c r="O3479" s="3" t="s">
        <v>4028</v>
      </c>
      <c r="P3479" s="3" t="s">
        <v>2999</v>
      </c>
      <c r="Q3479" s="30" t="str">
        <f t="shared" si="54"/>
        <v>MAX : 5.8
TARGET : 5.3
MIN : 4.8</v>
      </c>
    </row>
    <row r="3480" spans="2:17" ht="41.4" x14ac:dyDescent="0.3">
      <c r="B3480">
        <v>0</v>
      </c>
      <c r="C3480" s="33">
        <v>8898</v>
      </c>
      <c r="D3480" s="2">
        <v>1330</v>
      </c>
      <c r="E3480" s="2" t="s">
        <v>11384</v>
      </c>
      <c r="F3480" s="3" t="s">
        <v>14238</v>
      </c>
      <c r="H3480" s="3" t="s">
        <v>648</v>
      </c>
      <c r="K3480" s="2">
        <v>20</v>
      </c>
      <c r="L3480" s="2">
        <v>14</v>
      </c>
      <c r="M3480" s="3" t="s">
        <v>3827</v>
      </c>
      <c r="N3480" s="3" t="s">
        <v>3828</v>
      </c>
      <c r="O3480" s="3" t="s">
        <v>3829</v>
      </c>
      <c r="P3480" s="3" t="s">
        <v>3830</v>
      </c>
      <c r="Q3480" s="30" t="str">
        <f t="shared" si="54"/>
        <v>MAX : 38.6
TARGET : 38.1
MIN : 37.6</v>
      </c>
    </row>
    <row r="3481" spans="2:17" ht="41.4" x14ac:dyDescent="0.3">
      <c r="B3481">
        <v>0</v>
      </c>
      <c r="C3481" s="33">
        <v>8898</v>
      </c>
      <c r="D3481" s="2">
        <v>1330</v>
      </c>
      <c r="E3481" s="2" t="s">
        <v>11384</v>
      </c>
      <c r="F3481" s="3" t="s">
        <v>14238</v>
      </c>
      <c r="H3481" s="3" t="s">
        <v>648</v>
      </c>
      <c r="K3481" s="2">
        <v>20</v>
      </c>
      <c r="L3481" s="2">
        <v>17</v>
      </c>
      <c r="M3481" s="3" t="s">
        <v>78</v>
      </c>
      <c r="N3481" s="3" t="s">
        <v>13</v>
      </c>
      <c r="O3481" s="3" t="s">
        <v>14</v>
      </c>
      <c r="Q3481" s="30" t="str">
        <f t="shared" si="54"/>
        <v>MAX : 
TARGET : Yes(Pass)
MIN : No(Fail)</v>
      </c>
    </row>
    <row r="3482" spans="2:17" ht="41.4" x14ac:dyDescent="0.3">
      <c r="B3482">
        <v>0</v>
      </c>
      <c r="C3482" s="33">
        <v>8898</v>
      </c>
      <c r="D3482" s="2">
        <v>1330</v>
      </c>
      <c r="E3482" s="2" t="s">
        <v>11384</v>
      </c>
      <c r="F3482" s="3" t="s">
        <v>14238</v>
      </c>
      <c r="H3482" s="3" t="s">
        <v>648</v>
      </c>
      <c r="K3482" s="2">
        <v>20</v>
      </c>
      <c r="L3482" s="2">
        <v>16</v>
      </c>
      <c r="M3482" s="3" t="s">
        <v>3831</v>
      </c>
      <c r="N3482" s="3" t="s">
        <v>13</v>
      </c>
      <c r="O3482" s="3" t="s">
        <v>14</v>
      </c>
      <c r="Q3482" s="30" t="str">
        <f t="shared" si="54"/>
        <v>MAX : 
TARGET : Yes(Pass)
MIN : No(Fail)</v>
      </c>
    </row>
    <row r="3483" spans="2:17" ht="41.4" x14ac:dyDescent="0.3">
      <c r="B3483">
        <v>0</v>
      </c>
      <c r="C3483" s="33">
        <v>8898</v>
      </c>
      <c r="D3483" s="2">
        <v>1330</v>
      </c>
      <c r="E3483" s="2" t="s">
        <v>11384</v>
      </c>
      <c r="F3483" s="3" t="s">
        <v>14238</v>
      </c>
      <c r="H3483" s="3" t="s">
        <v>648</v>
      </c>
      <c r="K3483" s="2">
        <v>20</v>
      </c>
      <c r="L3483" s="2">
        <v>15</v>
      </c>
      <c r="M3483" s="3" t="s">
        <v>3849</v>
      </c>
      <c r="N3483" s="3" t="s">
        <v>420</v>
      </c>
      <c r="O3483" s="3" t="s">
        <v>2548</v>
      </c>
      <c r="P3483" s="3" t="s">
        <v>3850</v>
      </c>
      <c r="Q3483" s="30" t="str">
        <f t="shared" si="54"/>
        <v>MAX : 1.17
TARGET : 1.07
MIN : 0.97</v>
      </c>
    </row>
    <row r="3484" spans="2:17" ht="41.4" x14ac:dyDescent="0.3">
      <c r="B3484">
        <v>0</v>
      </c>
      <c r="C3484" s="33">
        <v>8898</v>
      </c>
      <c r="D3484" s="2">
        <v>1330</v>
      </c>
      <c r="E3484" s="2" t="s">
        <v>11384</v>
      </c>
      <c r="F3484" s="3" t="s">
        <v>14238</v>
      </c>
      <c r="H3484" s="3" t="s">
        <v>648</v>
      </c>
      <c r="K3484" s="2">
        <v>20</v>
      </c>
      <c r="L3484" s="2">
        <v>18</v>
      </c>
      <c r="M3484" s="3" t="s">
        <v>3871</v>
      </c>
      <c r="N3484" s="3" t="s">
        <v>13</v>
      </c>
      <c r="O3484" s="3" t="s">
        <v>14</v>
      </c>
      <c r="Q3484" s="30" t="str">
        <f t="shared" si="54"/>
        <v>MAX : 
TARGET : Yes(Pass)
MIN : No(Fail)</v>
      </c>
    </row>
    <row r="3485" spans="2:17" ht="41.4" x14ac:dyDescent="0.3">
      <c r="B3485">
        <v>1</v>
      </c>
      <c r="C3485" s="33">
        <v>8719</v>
      </c>
      <c r="D3485" s="2">
        <v>1985</v>
      </c>
      <c r="E3485" s="2" t="s">
        <v>10899</v>
      </c>
      <c r="F3485" s="3" t="s">
        <v>14206</v>
      </c>
      <c r="H3485" s="3" t="s">
        <v>824</v>
      </c>
      <c r="K3485" s="2">
        <v>10</v>
      </c>
      <c r="L3485" s="2">
        <v>2</v>
      </c>
      <c r="M3485" s="3" t="s">
        <v>325</v>
      </c>
      <c r="N3485" s="3" t="s">
        <v>13</v>
      </c>
      <c r="O3485" s="3" t="s">
        <v>14</v>
      </c>
      <c r="Q3485" s="30" t="str">
        <f t="shared" si="54"/>
        <v>MAX : 
TARGET : Yes(Pass)
MIN : No(Fail)</v>
      </c>
    </row>
    <row r="3486" spans="2:17" ht="41.4" x14ac:dyDescent="0.3">
      <c r="B3486">
        <v>1</v>
      </c>
      <c r="C3486" s="33">
        <v>8719</v>
      </c>
      <c r="D3486" s="2">
        <v>1985</v>
      </c>
      <c r="E3486" s="2" t="s">
        <v>10899</v>
      </c>
      <c r="F3486" s="3" t="s">
        <v>14206</v>
      </c>
      <c r="H3486" s="3" t="s">
        <v>824</v>
      </c>
      <c r="K3486" s="2">
        <v>10</v>
      </c>
      <c r="L3486" s="2">
        <v>1</v>
      </c>
      <c r="M3486" s="3" t="s">
        <v>99</v>
      </c>
      <c r="N3486" s="3" t="s">
        <v>3616</v>
      </c>
      <c r="O3486" s="3" t="s">
        <v>3144</v>
      </c>
      <c r="P3486" s="3" t="s">
        <v>3617</v>
      </c>
      <c r="Q3486" s="30" t="str">
        <f t="shared" si="54"/>
        <v>MAX : 11.53
TARGET : 11.50
MIN : 11.47</v>
      </c>
    </row>
    <row r="3487" spans="2:17" ht="41.4" x14ac:dyDescent="0.3">
      <c r="B3487">
        <v>0</v>
      </c>
      <c r="C3487" s="33">
        <v>8899</v>
      </c>
      <c r="D3487" s="2">
        <v>1331</v>
      </c>
      <c r="E3487" s="2" t="s">
        <v>11390</v>
      </c>
      <c r="F3487" s="3" t="s">
        <v>14238</v>
      </c>
      <c r="H3487" s="3" t="s">
        <v>648</v>
      </c>
      <c r="K3487" s="2">
        <v>20</v>
      </c>
      <c r="L3487" s="2">
        <v>3</v>
      </c>
      <c r="M3487" s="3" t="s">
        <v>3798</v>
      </c>
      <c r="N3487" s="3" t="s">
        <v>4013</v>
      </c>
      <c r="O3487" s="3" t="s">
        <v>4014</v>
      </c>
      <c r="P3487" s="3" t="s">
        <v>4015</v>
      </c>
      <c r="Q3487" s="30" t="str">
        <f t="shared" si="54"/>
        <v>MAX : 29.1
TARGET : 28.6
MIN : 28.1</v>
      </c>
    </row>
    <row r="3488" spans="2:17" ht="41.4" x14ac:dyDescent="0.3">
      <c r="B3488">
        <v>0</v>
      </c>
      <c r="C3488" s="33">
        <v>8899</v>
      </c>
      <c r="D3488" s="2">
        <v>1331</v>
      </c>
      <c r="E3488" s="2" t="s">
        <v>11390</v>
      </c>
      <c r="F3488" s="3" t="s">
        <v>14238</v>
      </c>
      <c r="H3488" s="3" t="s">
        <v>648</v>
      </c>
      <c r="K3488" s="2">
        <v>20</v>
      </c>
      <c r="L3488" s="2">
        <v>4</v>
      </c>
      <c r="M3488" s="3" t="s">
        <v>3802</v>
      </c>
      <c r="N3488" s="3" t="s">
        <v>4016</v>
      </c>
      <c r="O3488" s="3" t="s">
        <v>4017</v>
      </c>
      <c r="P3488" s="3" t="s">
        <v>2545</v>
      </c>
      <c r="Q3488" s="30" t="str">
        <f t="shared" si="54"/>
        <v>MAX : 10.3
TARGET : 10.1
MIN : 9.9</v>
      </c>
    </row>
    <row r="3489" spans="2:17" ht="41.4" x14ac:dyDescent="0.3">
      <c r="B3489">
        <v>0</v>
      </c>
      <c r="C3489" s="33">
        <v>8899</v>
      </c>
      <c r="D3489" s="2">
        <v>1331</v>
      </c>
      <c r="E3489" s="2" t="s">
        <v>11390</v>
      </c>
      <c r="F3489" s="3" t="s">
        <v>14238</v>
      </c>
      <c r="H3489" s="3" t="s">
        <v>648</v>
      </c>
      <c r="K3489" s="2">
        <v>20</v>
      </c>
      <c r="L3489" s="2">
        <v>5</v>
      </c>
      <c r="M3489" s="3" t="s">
        <v>3806</v>
      </c>
      <c r="N3489" s="3" t="s">
        <v>3980</v>
      </c>
      <c r="O3489" s="3" t="s">
        <v>4018</v>
      </c>
      <c r="P3489" s="3" t="s">
        <v>4019</v>
      </c>
      <c r="Q3489" s="30" t="str">
        <f t="shared" si="54"/>
        <v>MAX : 11.9
TARGET : 11.6
MIN : 11.3</v>
      </c>
    </row>
    <row r="3490" spans="2:17" ht="41.4" x14ac:dyDescent="0.3">
      <c r="B3490">
        <v>0</v>
      </c>
      <c r="C3490" s="33">
        <v>8899</v>
      </c>
      <c r="D3490" s="2">
        <v>1331</v>
      </c>
      <c r="E3490" s="2" t="s">
        <v>11390</v>
      </c>
      <c r="F3490" s="3" t="s">
        <v>14238</v>
      </c>
      <c r="H3490" s="3" t="s">
        <v>648</v>
      </c>
      <c r="K3490" s="2">
        <v>20</v>
      </c>
      <c r="L3490" s="2">
        <v>6</v>
      </c>
      <c r="M3490" s="3" t="s">
        <v>3809</v>
      </c>
      <c r="N3490" s="3" t="s">
        <v>4020</v>
      </c>
      <c r="O3490" s="3" t="s">
        <v>4021</v>
      </c>
      <c r="P3490" s="3" t="s">
        <v>4022</v>
      </c>
      <c r="Q3490" s="30" t="str">
        <f t="shared" si="54"/>
        <v>MAX : 23.90
TARGET : 23.50
MIN : 23.10</v>
      </c>
    </row>
    <row r="3491" spans="2:17" ht="41.4" x14ac:dyDescent="0.3">
      <c r="B3491">
        <v>0</v>
      </c>
      <c r="C3491" s="33">
        <v>8899</v>
      </c>
      <c r="D3491" s="2">
        <v>1331</v>
      </c>
      <c r="E3491" s="2" t="s">
        <v>11390</v>
      </c>
      <c r="F3491" s="3" t="s">
        <v>14238</v>
      </c>
      <c r="H3491" s="3" t="s">
        <v>648</v>
      </c>
      <c r="K3491" s="2">
        <v>20</v>
      </c>
      <c r="L3491" s="2">
        <v>7</v>
      </c>
      <c r="M3491" s="3" t="s">
        <v>3813</v>
      </c>
      <c r="N3491" s="3" t="s">
        <v>3792</v>
      </c>
      <c r="O3491" s="3" t="s">
        <v>2353</v>
      </c>
      <c r="P3491" s="3" t="s">
        <v>3793</v>
      </c>
      <c r="Q3491" s="30" t="str">
        <f t="shared" si="54"/>
        <v>MAX : 2.3
TARGET : 2.0
MIN : 1.7</v>
      </c>
    </row>
    <row r="3492" spans="2:17" ht="41.4" x14ac:dyDescent="0.3">
      <c r="B3492">
        <v>0</v>
      </c>
      <c r="C3492" s="33">
        <v>8899</v>
      </c>
      <c r="D3492" s="2">
        <v>1331</v>
      </c>
      <c r="E3492" s="2" t="s">
        <v>11390</v>
      </c>
      <c r="F3492" s="3" t="s">
        <v>14238</v>
      </c>
      <c r="H3492" s="3" t="s">
        <v>648</v>
      </c>
      <c r="K3492" s="2">
        <v>20</v>
      </c>
      <c r="L3492" s="2">
        <v>8</v>
      </c>
      <c r="M3492" s="3" t="s">
        <v>3815</v>
      </c>
      <c r="N3492" s="3" t="s">
        <v>2353</v>
      </c>
      <c r="O3492" s="3" t="s">
        <v>2355</v>
      </c>
      <c r="P3492" s="3" t="s">
        <v>3816</v>
      </c>
      <c r="Q3492" s="30" t="str">
        <f t="shared" si="54"/>
        <v>MAX : 2.4
TARGET : 2.2
MIN : 2.0</v>
      </c>
    </row>
    <row r="3493" spans="2:17" ht="41.4" x14ac:dyDescent="0.3">
      <c r="B3493">
        <v>0</v>
      </c>
      <c r="C3493" s="33">
        <v>8899</v>
      </c>
      <c r="D3493" s="2">
        <v>1331</v>
      </c>
      <c r="E3493" s="2" t="s">
        <v>11390</v>
      </c>
      <c r="F3493" s="3" t="s">
        <v>14238</v>
      </c>
      <c r="H3493" s="3" t="s">
        <v>648</v>
      </c>
      <c r="K3493" s="2">
        <v>20</v>
      </c>
      <c r="L3493" s="2">
        <v>9</v>
      </c>
      <c r="M3493" s="3" t="s">
        <v>3818</v>
      </c>
      <c r="N3493" s="3" t="s">
        <v>1679</v>
      </c>
      <c r="O3493" s="3" t="s">
        <v>35</v>
      </c>
      <c r="P3493" s="3" t="s">
        <v>4023</v>
      </c>
      <c r="Q3493" s="30" t="str">
        <f t="shared" si="54"/>
        <v>MAX : 19.2
TARGET : 19.0
MIN : 18.8</v>
      </c>
    </row>
    <row r="3494" spans="2:17" ht="41.4" x14ac:dyDescent="0.3">
      <c r="B3494">
        <v>0</v>
      </c>
      <c r="C3494" s="33">
        <v>8899</v>
      </c>
      <c r="D3494" s="2">
        <v>1331</v>
      </c>
      <c r="E3494" s="2" t="s">
        <v>11390</v>
      </c>
      <c r="F3494" s="3" t="s">
        <v>14238</v>
      </c>
      <c r="H3494" s="3" t="s">
        <v>648</v>
      </c>
      <c r="K3494" s="2">
        <v>20</v>
      </c>
      <c r="L3494" s="2">
        <v>10</v>
      </c>
      <c r="M3494" s="3" t="s">
        <v>3820</v>
      </c>
      <c r="N3494" s="3" t="s">
        <v>560</v>
      </c>
      <c r="O3494" s="3" t="s">
        <v>1164</v>
      </c>
      <c r="P3494" s="3" t="s">
        <v>4024</v>
      </c>
      <c r="Q3494" s="30" t="str">
        <f t="shared" si="54"/>
        <v>MAX : 20.8
TARGET : 20.5
MIN : 20.2</v>
      </c>
    </row>
    <row r="3495" spans="2:17" ht="41.4" x14ac:dyDescent="0.3">
      <c r="B3495">
        <v>0</v>
      </c>
      <c r="C3495" s="33">
        <v>8899</v>
      </c>
      <c r="D3495" s="2">
        <v>1331</v>
      </c>
      <c r="E3495" s="2" t="s">
        <v>11390</v>
      </c>
      <c r="F3495" s="3" t="s">
        <v>14238</v>
      </c>
      <c r="H3495" s="3" t="s">
        <v>648</v>
      </c>
      <c r="K3495" s="2">
        <v>20</v>
      </c>
      <c r="L3495" s="2">
        <v>11</v>
      </c>
      <c r="M3495" s="3" t="s">
        <v>3823</v>
      </c>
      <c r="N3495" s="3" t="s">
        <v>4025</v>
      </c>
      <c r="O3495" s="3" t="s">
        <v>2279</v>
      </c>
      <c r="P3495" s="3" t="s">
        <v>4026</v>
      </c>
      <c r="Q3495" s="30" t="str">
        <f t="shared" si="54"/>
        <v>MAX : 22.90
TARGET : 22.50
MIN : 22.10</v>
      </c>
    </row>
    <row r="3496" spans="2:17" ht="41.4" x14ac:dyDescent="0.3">
      <c r="B3496">
        <v>0</v>
      </c>
      <c r="C3496" s="33">
        <v>8899</v>
      </c>
      <c r="D3496" s="2">
        <v>1331</v>
      </c>
      <c r="E3496" s="2" t="s">
        <v>11390</v>
      </c>
      <c r="F3496" s="3" t="s">
        <v>14238</v>
      </c>
      <c r="H3496" s="3" t="s">
        <v>648</v>
      </c>
      <c r="K3496" s="2">
        <v>20</v>
      </c>
      <c r="L3496" s="2">
        <v>12</v>
      </c>
      <c r="M3496" s="3" t="s">
        <v>2615</v>
      </c>
      <c r="N3496" s="3" t="s">
        <v>4027</v>
      </c>
      <c r="O3496" s="3" t="s">
        <v>4028</v>
      </c>
      <c r="P3496" s="3" t="s">
        <v>2999</v>
      </c>
      <c r="Q3496" s="30" t="str">
        <f t="shared" si="54"/>
        <v>MAX : 5.8
TARGET : 5.3
MIN : 4.8</v>
      </c>
    </row>
    <row r="3497" spans="2:17" ht="41.4" x14ac:dyDescent="0.3">
      <c r="B3497">
        <v>0</v>
      </c>
      <c r="C3497" s="33">
        <v>8899</v>
      </c>
      <c r="D3497" s="2">
        <v>1331</v>
      </c>
      <c r="E3497" s="2" t="s">
        <v>11390</v>
      </c>
      <c r="F3497" s="3" t="s">
        <v>14238</v>
      </c>
      <c r="H3497" s="3" t="s">
        <v>648</v>
      </c>
      <c r="K3497" s="2">
        <v>20</v>
      </c>
      <c r="L3497" s="2">
        <v>13</v>
      </c>
      <c r="M3497" s="3" t="s">
        <v>3826</v>
      </c>
      <c r="N3497" s="3" t="s">
        <v>4027</v>
      </c>
      <c r="O3497" s="3" t="s">
        <v>4028</v>
      </c>
      <c r="P3497" s="3" t="s">
        <v>2999</v>
      </c>
      <c r="Q3497" s="30" t="str">
        <f t="shared" si="54"/>
        <v>MAX : 5.8
TARGET : 5.3
MIN : 4.8</v>
      </c>
    </row>
    <row r="3498" spans="2:17" ht="41.4" x14ac:dyDescent="0.3">
      <c r="B3498">
        <v>0</v>
      </c>
      <c r="C3498" s="33">
        <v>8899</v>
      </c>
      <c r="D3498" s="2">
        <v>1331</v>
      </c>
      <c r="E3498" s="2" t="s">
        <v>11390</v>
      </c>
      <c r="F3498" s="3" t="s">
        <v>14238</v>
      </c>
      <c r="H3498" s="3" t="s">
        <v>648</v>
      </c>
      <c r="K3498" s="2">
        <v>20</v>
      </c>
      <c r="L3498" s="2">
        <v>14</v>
      </c>
      <c r="M3498" s="3" t="s">
        <v>3827</v>
      </c>
      <c r="N3498" s="3" t="s">
        <v>3828</v>
      </c>
      <c r="O3498" s="3" t="s">
        <v>3829</v>
      </c>
      <c r="P3498" s="3" t="s">
        <v>3830</v>
      </c>
      <c r="Q3498" s="30" t="str">
        <f t="shared" si="54"/>
        <v>MAX : 38.6
TARGET : 38.1
MIN : 37.6</v>
      </c>
    </row>
    <row r="3499" spans="2:17" ht="41.4" x14ac:dyDescent="0.3">
      <c r="B3499">
        <v>0</v>
      </c>
      <c r="C3499" s="33">
        <v>8899</v>
      </c>
      <c r="D3499" s="2">
        <v>1331</v>
      </c>
      <c r="E3499" s="2" t="s">
        <v>11390</v>
      </c>
      <c r="F3499" s="3" t="s">
        <v>14238</v>
      </c>
      <c r="H3499" s="3" t="s">
        <v>648</v>
      </c>
      <c r="K3499" s="2">
        <v>20</v>
      </c>
      <c r="L3499" s="2">
        <v>17</v>
      </c>
      <c r="M3499" s="3" t="s">
        <v>4029</v>
      </c>
      <c r="N3499" s="3" t="s">
        <v>13</v>
      </c>
      <c r="O3499" s="3" t="s">
        <v>14</v>
      </c>
      <c r="Q3499" s="30" t="str">
        <f t="shared" si="54"/>
        <v>MAX : 
TARGET : Yes(Pass)
MIN : No(Fail)</v>
      </c>
    </row>
    <row r="3500" spans="2:17" ht="41.4" x14ac:dyDescent="0.3">
      <c r="B3500">
        <v>0</v>
      </c>
      <c r="C3500" s="33">
        <v>8899</v>
      </c>
      <c r="D3500" s="2">
        <v>1331</v>
      </c>
      <c r="E3500" s="2" t="s">
        <v>11390</v>
      </c>
      <c r="F3500" s="3" t="s">
        <v>14238</v>
      </c>
      <c r="H3500" s="3" t="s">
        <v>648</v>
      </c>
      <c r="K3500" s="2">
        <v>20</v>
      </c>
      <c r="L3500" s="2">
        <v>16</v>
      </c>
      <c r="M3500" s="3" t="s">
        <v>3831</v>
      </c>
      <c r="N3500" s="3" t="s">
        <v>13</v>
      </c>
      <c r="O3500" s="3" t="s">
        <v>14</v>
      </c>
      <c r="Q3500" s="30" t="str">
        <f t="shared" si="54"/>
        <v>MAX : 
TARGET : Yes(Pass)
MIN : No(Fail)</v>
      </c>
    </row>
    <row r="3501" spans="2:17" ht="41.4" x14ac:dyDescent="0.3">
      <c r="B3501">
        <v>0</v>
      </c>
      <c r="C3501" s="33">
        <v>8899</v>
      </c>
      <c r="D3501" s="2">
        <v>1331</v>
      </c>
      <c r="E3501" s="2" t="s">
        <v>11390</v>
      </c>
      <c r="F3501" s="3" t="s">
        <v>14238</v>
      </c>
      <c r="H3501" s="3" t="s">
        <v>648</v>
      </c>
      <c r="K3501" s="2">
        <v>20</v>
      </c>
      <c r="L3501" s="2">
        <v>15</v>
      </c>
      <c r="M3501" s="3" t="s">
        <v>3849</v>
      </c>
      <c r="N3501" s="3" t="s">
        <v>420</v>
      </c>
      <c r="O3501" s="3" t="s">
        <v>2548</v>
      </c>
      <c r="P3501" s="3" t="s">
        <v>3850</v>
      </c>
      <c r="Q3501" s="30" t="str">
        <f t="shared" si="54"/>
        <v>MAX : 1.17
TARGET : 1.07
MIN : 0.97</v>
      </c>
    </row>
    <row r="3502" spans="2:17" ht="41.4" x14ac:dyDescent="0.3">
      <c r="B3502">
        <v>0</v>
      </c>
      <c r="C3502" s="33">
        <v>8899</v>
      </c>
      <c r="D3502" s="2">
        <v>1331</v>
      </c>
      <c r="E3502" s="2" t="s">
        <v>11390</v>
      </c>
      <c r="F3502" s="3" t="s">
        <v>14238</v>
      </c>
      <c r="H3502" s="3" t="s">
        <v>648</v>
      </c>
      <c r="K3502" s="2">
        <v>20</v>
      </c>
      <c r="L3502" s="2">
        <v>18</v>
      </c>
      <c r="M3502" s="3" t="s">
        <v>4030</v>
      </c>
      <c r="N3502" s="3" t="s">
        <v>13</v>
      </c>
      <c r="O3502" s="3" t="s">
        <v>14</v>
      </c>
      <c r="Q3502" s="30" t="str">
        <f t="shared" si="54"/>
        <v>MAX : 
TARGET : Yes(Pass)
MIN : No(Fail)</v>
      </c>
    </row>
    <row r="3503" spans="2:17" ht="41.4" x14ac:dyDescent="0.3">
      <c r="B3503">
        <v>1</v>
      </c>
      <c r="C3503" s="33">
        <v>8725</v>
      </c>
      <c r="D3503" s="2">
        <v>1272</v>
      </c>
      <c r="E3503" s="2" t="s">
        <v>10906</v>
      </c>
      <c r="F3503" s="3" t="s">
        <v>14206</v>
      </c>
      <c r="H3503" s="3" t="s">
        <v>600</v>
      </c>
      <c r="K3503" s="2">
        <v>20</v>
      </c>
      <c r="L3503" s="2">
        <v>1</v>
      </c>
      <c r="M3503" s="3" t="s">
        <v>194</v>
      </c>
      <c r="N3503" s="3" t="s">
        <v>3624</v>
      </c>
      <c r="O3503" s="3" t="s">
        <v>2907</v>
      </c>
      <c r="P3503" s="3" t="s">
        <v>1726</v>
      </c>
      <c r="Q3503" s="30" t="str">
        <f t="shared" si="54"/>
        <v>MAX : 3.47
TARGET : 3.44
MIN : 3.41</v>
      </c>
    </row>
    <row r="3504" spans="2:17" ht="41.4" x14ac:dyDescent="0.3">
      <c r="B3504">
        <v>1</v>
      </c>
      <c r="C3504" s="33">
        <v>8725</v>
      </c>
      <c r="D3504" s="2">
        <v>1272</v>
      </c>
      <c r="E3504" s="2" t="s">
        <v>10906</v>
      </c>
      <c r="F3504" s="3" t="s">
        <v>14206</v>
      </c>
      <c r="H3504" s="3" t="s">
        <v>600</v>
      </c>
      <c r="K3504" s="2">
        <v>20</v>
      </c>
      <c r="L3504" s="2">
        <v>3</v>
      </c>
      <c r="M3504" s="3" t="s">
        <v>3623</v>
      </c>
      <c r="N3504" s="3" t="s">
        <v>13</v>
      </c>
      <c r="O3504" s="3" t="s">
        <v>14</v>
      </c>
      <c r="Q3504" s="30" t="str">
        <f t="shared" si="54"/>
        <v>MAX : 
TARGET : Yes(Pass)
MIN : No(Fail)</v>
      </c>
    </row>
    <row r="3505" spans="2:18" ht="41.4" x14ac:dyDescent="0.3">
      <c r="B3505">
        <v>1</v>
      </c>
      <c r="C3505" s="33">
        <v>8726</v>
      </c>
      <c r="D3505" s="2">
        <v>1273</v>
      </c>
      <c r="E3505" s="2" t="s">
        <v>10912</v>
      </c>
      <c r="F3505" s="3" t="s">
        <v>14206</v>
      </c>
      <c r="H3505" s="3" t="s">
        <v>648</v>
      </c>
      <c r="K3505" s="2">
        <v>10</v>
      </c>
      <c r="L3505" s="2">
        <v>2</v>
      </c>
      <c r="M3505" s="3" t="s">
        <v>3629</v>
      </c>
      <c r="N3505" s="3" t="s">
        <v>13</v>
      </c>
      <c r="O3505" s="3" t="s">
        <v>14</v>
      </c>
      <c r="Q3505" s="30" t="str">
        <f t="shared" si="54"/>
        <v>MAX : 
TARGET : Yes(Pass)
MIN : No(Fail)</v>
      </c>
    </row>
    <row r="3506" spans="2:18" ht="41.4" x14ac:dyDescent="0.3">
      <c r="B3506">
        <v>1</v>
      </c>
      <c r="C3506" s="33">
        <v>8726</v>
      </c>
      <c r="D3506" s="2">
        <v>1273</v>
      </c>
      <c r="E3506" s="2" t="s">
        <v>10912</v>
      </c>
      <c r="F3506" s="3" t="s">
        <v>14206</v>
      </c>
      <c r="H3506" s="3" t="s">
        <v>648</v>
      </c>
      <c r="K3506" s="2">
        <v>10</v>
      </c>
      <c r="L3506" s="2">
        <v>1</v>
      </c>
      <c r="M3506" s="3" t="s">
        <v>502</v>
      </c>
      <c r="N3506" s="3" t="s">
        <v>418</v>
      </c>
      <c r="O3506" s="3" t="s">
        <v>344</v>
      </c>
      <c r="P3506" s="3" t="s">
        <v>419</v>
      </c>
      <c r="Q3506" s="30" t="str">
        <f t="shared" si="54"/>
        <v>MAX : 1.28
TARGET : 1.25
MIN : 1.22</v>
      </c>
    </row>
    <row r="3507" spans="2:18" ht="41.4" x14ac:dyDescent="0.3">
      <c r="B3507">
        <v>0</v>
      </c>
      <c r="C3507" s="33">
        <v>8866</v>
      </c>
      <c r="D3507" s="2">
        <v>1317</v>
      </c>
      <c r="E3507" s="2" t="s">
        <v>11276</v>
      </c>
      <c r="F3507" s="3" t="s">
        <v>14206</v>
      </c>
      <c r="H3507" s="3" t="s">
        <v>824</v>
      </c>
      <c r="K3507" s="2">
        <v>20</v>
      </c>
      <c r="L3507" s="2">
        <v>1</v>
      </c>
      <c r="M3507" s="3" t="s">
        <v>458</v>
      </c>
      <c r="N3507" s="3" t="s">
        <v>4035</v>
      </c>
      <c r="O3507" s="3" t="s">
        <v>4036</v>
      </c>
      <c r="P3507" s="3" t="s">
        <v>3851</v>
      </c>
      <c r="Q3507" s="30" t="str">
        <f t="shared" si="54"/>
        <v>MAX : 0.679
TARGET : 0.669
MIN : 0.659</v>
      </c>
      <c r="R3507" s="3" t="s">
        <v>4033</v>
      </c>
    </row>
    <row r="3508" spans="2:18" ht="41.4" x14ac:dyDescent="0.3">
      <c r="B3508">
        <v>0</v>
      </c>
      <c r="C3508" s="33">
        <v>8866</v>
      </c>
      <c r="D3508" s="2">
        <v>1317</v>
      </c>
      <c r="E3508" s="2" t="s">
        <v>11276</v>
      </c>
      <c r="F3508" s="3" t="s">
        <v>14206</v>
      </c>
      <c r="H3508" s="3" t="s">
        <v>824</v>
      </c>
      <c r="K3508" s="2">
        <v>20</v>
      </c>
      <c r="L3508" s="2">
        <v>2</v>
      </c>
      <c r="M3508" s="3" t="s">
        <v>4037</v>
      </c>
      <c r="N3508" s="3" t="s">
        <v>851</v>
      </c>
      <c r="O3508" s="3" t="s">
        <v>14</v>
      </c>
      <c r="Q3508" s="30" t="str">
        <f t="shared" si="54"/>
        <v>MAX : 
TARGET : Yes(Pass)
MIN : No(fail)</v>
      </c>
      <c r="R3508" s="3" t="s">
        <v>4033</v>
      </c>
    </row>
    <row r="3509" spans="2:18" ht="41.4" x14ac:dyDescent="0.3">
      <c r="B3509">
        <v>0</v>
      </c>
      <c r="C3509" s="33">
        <v>8866</v>
      </c>
      <c r="D3509" s="2">
        <v>1317</v>
      </c>
      <c r="E3509" s="2" t="s">
        <v>11276</v>
      </c>
      <c r="F3509" s="3" t="s">
        <v>14206</v>
      </c>
      <c r="H3509" s="3" t="s">
        <v>824</v>
      </c>
      <c r="K3509" s="2">
        <v>20</v>
      </c>
      <c r="L3509" s="2">
        <v>3</v>
      </c>
      <c r="M3509" s="3" t="s">
        <v>4038</v>
      </c>
      <c r="N3509" s="3" t="s">
        <v>13</v>
      </c>
      <c r="O3509" s="3" t="s">
        <v>14</v>
      </c>
      <c r="Q3509" s="30" t="str">
        <f t="shared" si="54"/>
        <v>MAX : 
TARGET : Yes(Pass)
MIN : No(Fail)</v>
      </c>
      <c r="R3509" s="3" t="s">
        <v>4033</v>
      </c>
    </row>
    <row r="3510" spans="2:18" ht="41.4" x14ac:dyDescent="0.3">
      <c r="B3510">
        <v>0</v>
      </c>
      <c r="C3510" s="33">
        <v>8866</v>
      </c>
      <c r="D3510" s="2">
        <v>1317</v>
      </c>
      <c r="E3510" s="2" t="s">
        <v>11276</v>
      </c>
      <c r="F3510" s="3" t="s">
        <v>14206</v>
      </c>
      <c r="H3510" s="3" t="s">
        <v>824</v>
      </c>
      <c r="K3510" s="2">
        <v>30</v>
      </c>
      <c r="L3510" s="2">
        <v>3</v>
      </c>
      <c r="M3510" s="3" t="s">
        <v>4039</v>
      </c>
      <c r="N3510" s="3" t="s">
        <v>13</v>
      </c>
      <c r="O3510" s="3" t="s">
        <v>14</v>
      </c>
      <c r="Q3510" s="30" t="str">
        <f t="shared" si="54"/>
        <v>MAX : 
TARGET : Yes(Pass)
MIN : No(Fail)</v>
      </c>
      <c r="R3510" s="3" t="s">
        <v>4033</v>
      </c>
    </row>
    <row r="3511" spans="2:18" ht="41.4" x14ac:dyDescent="0.3">
      <c r="B3511">
        <v>0</v>
      </c>
      <c r="C3511" s="33">
        <v>8866</v>
      </c>
      <c r="D3511" s="2">
        <v>1317</v>
      </c>
      <c r="E3511" s="2" t="s">
        <v>11276</v>
      </c>
      <c r="F3511" s="3" t="s">
        <v>14206</v>
      </c>
      <c r="H3511" s="3" t="s">
        <v>824</v>
      </c>
      <c r="K3511" s="2">
        <v>30</v>
      </c>
      <c r="L3511" s="2">
        <v>1</v>
      </c>
      <c r="M3511" s="3" t="s">
        <v>4040</v>
      </c>
      <c r="N3511" s="3" t="s">
        <v>4041</v>
      </c>
      <c r="O3511" s="3" t="s">
        <v>4042</v>
      </c>
      <c r="P3511" s="3" t="s">
        <v>4043</v>
      </c>
      <c r="Q3511" s="30" t="str">
        <f t="shared" si="54"/>
        <v>MAX : 13.630
TARGET : 13.600
MIN : 13.550</v>
      </c>
      <c r="R3511" s="3" t="s">
        <v>4033</v>
      </c>
    </row>
    <row r="3512" spans="2:18" ht="41.4" x14ac:dyDescent="0.3">
      <c r="B3512">
        <v>0</v>
      </c>
      <c r="C3512" s="33">
        <v>8866</v>
      </c>
      <c r="D3512" s="2">
        <v>1317</v>
      </c>
      <c r="E3512" s="2" t="s">
        <v>11276</v>
      </c>
      <c r="F3512" s="3" t="s">
        <v>14206</v>
      </c>
      <c r="H3512" s="3" t="s">
        <v>824</v>
      </c>
      <c r="K3512" s="2">
        <v>30</v>
      </c>
      <c r="L3512" s="2">
        <v>2</v>
      </c>
      <c r="M3512" s="3" t="s">
        <v>4044</v>
      </c>
      <c r="N3512" s="3" t="s">
        <v>4045</v>
      </c>
      <c r="O3512" s="3" t="s">
        <v>4046</v>
      </c>
      <c r="P3512" s="3" t="s">
        <v>187</v>
      </c>
      <c r="Q3512" s="30" t="str">
        <f t="shared" si="54"/>
        <v>MAX : 0.720
TARGET : 0.670
MIN : 0.660</v>
      </c>
      <c r="R3512" s="3" t="s">
        <v>4033</v>
      </c>
    </row>
    <row r="3513" spans="2:18" ht="41.4" x14ac:dyDescent="0.3">
      <c r="B3513">
        <v>1</v>
      </c>
      <c r="C3513" s="33">
        <v>8727</v>
      </c>
      <c r="D3513" s="2">
        <v>1274</v>
      </c>
      <c r="E3513" s="2" t="s">
        <v>10920</v>
      </c>
      <c r="F3513" s="3" t="s">
        <v>14207</v>
      </c>
      <c r="H3513" s="3" t="s">
        <v>648</v>
      </c>
      <c r="K3513" s="2">
        <v>20</v>
      </c>
      <c r="L3513" s="2">
        <v>2</v>
      </c>
      <c r="M3513" s="3" t="s">
        <v>3640</v>
      </c>
      <c r="N3513" s="3" t="s">
        <v>1624</v>
      </c>
      <c r="O3513" s="3" t="s">
        <v>789</v>
      </c>
      <c r="P3513" s="3" t="s">
        <v>2426</v>
      </c>
      <c r="Q3513" s="30" t="str">
        <f t="shared" si="54"/>
        <v>MAX : 2.35
TARGET : 2.20
MIN : 2.05</v>
      </c>
    </row>
    <row r="3514" spans="2:18" ht="41.4" x14ac:dyDescent="0.3">
      <c r="B3514">
        <v>1</v>
      </c>
      <c r="C3514" s="33">
        <v>8727</v>
      </c>
      <c r="D3514" s="2">
        <v>1274</v>
      </c>
      <c r="E3514" s="2" t="s">
        <v>10920</v>
      </c>
      <c r="F3514" s="3" t="s">
        <v>14207</v>
      </c>
      <c r="H3514" s="3" t="s">
        <v>648</v>
      </c>
      <c r="K3514" s="2">
        <v>20</v>
      </c>
      <c r="L3514" s="2">
        <v>1</v>
      </c>
      <c r="M3514" s="3" t="s">
        <v>194</v>
      </c>
      <c r="N3514" s="3" t="s">
        <v>3639</v>
      </c>
      <c r="O3514" s="3" t="s">
        <v>1824</v>
      </c>
      <c r="P3514" s="3" t="s">
        <v>1825</v>
      </c>
      <c r="Q3514" s="30" t="str">
        <f t="shared" si="54"/>
        <v>MAX : 10.45
TARGET : 10.30
MIN : 10.15</v>
      </c>
    </row>
    <row r="3515" spans="2:18" ht="41.4" x14ac:dyDescent="0.3">
      <c r="B3515">
        <v>0</v>
      </c>
      <c r="C3515" s="33">
        <v>8867</v>
      </c>
      <c r="D3515" s="2">
        <v>1318</v>
      </c>
      <c r="E3515" s="2" t="s">
        <v>11284</v>
      </c>
      <c r="F3515" s="3" t="s">
        <v>14206</v>
      </c>
      <c r="H3515" s="3" t="s">
        <v>4047</v>
      </c>
      <c r="K3515" s="2">
        <v>10</v>
      </c>
      <c r="L3515" s="2">
        <v>3</v>
      </c>
      <c r="M3515" s="3" t="s">
        <v>821</v>
      </c>
      <c r="N3515" s="3" t="s">
        <v>1602</v>
      </c>
      <c r="O3515" s="3" t="s">
        <v>1603</v>
      </c>
      <c r="P3515" s="3" t="s">
        <v>2053</v>
      </c>
      <c r="Q3515" s="30" t="str">
        <f t="shared" si="54"/>
        <v>MAX : 0.295
TARGET : 0.265
MIN : 0.235</v>
      </c>
    </row>
    <row r="3516" spans="2:18" ht="41.4" x14ac:dyDescent="0.3">
      <c r="B3516">
        <v>0</v>
      </c>
      <c r="C3516" s="33">
        <v>8867</v>
      </c>
      <c r="D3516" s="2">
        <v>1318</v>
      </c>
      <c r="E3516" s="2" t="s">
        <v>11284</v>
      </c>
      <c r="F3516" s="3" t="s">
        <v>14206</v>
      </c>
      <c r="H3516" s="3" t="s">
        <v>4047</v>
      </c>
      <c r="K3516" s="2">
        <v>10</v>
      </c>
      <c r="L3516" s="2">
        <v>4</v>
      </c>
      <c r="M3516" s="3" t="s">
        <v>4048</v>
      </c>
      <c r="N3516" s="3" t="s">
        <v>418</v>
      </c>
      <c r="O3516" s="3" t="s">
        <v>344</v>
      </c>
      <c r="P3516" s="3" t="s">
        <v>419</v>
      </c>
      <c r="Q3516" s="30" t="str">
        <f t="shared" si="54"/>
        <v>MAX : 1.28
TARGET : 1.25
MIN : 1.22</v>
      </c>
    </row>
    <row r="3517" spans="2:18" ht="41.4" x14ac:dyDescent="0.3">
      <c r="B3517">
        <v>0</v>
      </c>
      <c r="C3517" s="33">
        <v>8867</v>
      </c>
      <c r="D3517" s="2">
        <v>1318</v>
      </c>
      <c r="E3517" s="2" t="s">
        <v>11284</v>
      </c>
      <c r="F3517" s="3" t="s">
        <v>14206</v>
      </c>
      <c r="H3517" s="3" t="s">
        <v>4047</v>
      </c>
      <c r="K3517" s="2">
        <v>10</v>
      </c>
      <c r="L3517" s="2">
        <v>5</v>
      </c>
      <c r="M3517" s="3" t="s">
        <v>4049</v>
      </c>
      <c r="N3517" s="3" t="s">
        <v>420</v>
      </c>
      <c r="O3517" s="3" t="s">
        <v>272</v>
      </c>
      <c r="P3517" s="3" t="s">
        <v>414</v>
      </c>
      <c r="Q3517" s="30" t="str">
        <f t="shared" si="54"/>
        <v>MAX : 1.03
TARGET : 1.00
MIN : 0.97</v>
      </c>
    </row>
    <row r="3518" spans="2:18" ht="41.4" x14ac:dyDescent="0.3">
      <c r="B3518">
        <v>0</v>
      </c>
      <c r="C3518" s="33">
        <v>8867</v>
      </c>
      <c r="D3518" s="2">
        <v>1318</v>
      </c>
      <c r="E3518" s="2" t="s">
        <v>11284</v>
      </c>
      <c r="F3518" s="3" t="s">
        <v>14206</v>
      </c>
      <c r="H3518" s="3" t="s">
        <v>4047</v>
      </c>
      <c r="K3518" s="2">
        <v>10</v>
      </c>
      <c r="L3518" s="2">
        <v>6</v>
      </c>
      <c r="M3518" s="3" t="s">
        <v>4050</v>
      </c>
      <c r="N3518" s="3" t="s">
        <v>420</v>
      </c>
      <c r="O3518" s="3" t="s">
        <v>272</v>
      </c>
      <c r="P3518" s="3" t="s">
        <v>414</v>
      </c>
      <c r="Q3518" s="30" t="str">
        <f t="shared" si="54"/>
        <v>MAX : 1.03
TARGET : 1.00
MIN : 0.97</v>
      </c>
    </row>
    <row r="3519" spans="2:18" ht="41.4" x14ac:dyDescent="0.3">
      <c r="B3519">
        <v>0</v>
      </c>
      <c r="C3519" s="33">
        <v>8867</v>
      </c>
      <c r="D3519" s="2">
        <v>1318</v>
      </c>
      <c r="E3519" s="2" t="s">
        <v>11284</v>
      </c>
      <c r="F3519" s="3" t="s">
        <v>14206</v>
      </c>
      <c r="H3519" s="3" t="s">
        <v>4047</v>
      </c>
      <c r="K3519" s="2">
        <v>10</v>
      </c>
      <c r="L3519" s="2">
        <v>7</v>
      </c>
      <c r="M3519" s="3" t="s">
        <v>4051</v>
      </c>
      <c r="N3519" s="3" t="s">
        <v>571</v>
      </c>
      <c r="O3519" s="3" t="s">
        <v>276</v>
      </c>
      <c r="P3519" s="3" t="s">
        <v>572</v>
      </c>
      <c r="Q3519" s="30" t="str">
        <f t="shared" si="54"/>
        <v>MAX : 0.405
TARGET : 0.375
MIN : 0.345</v>
      </c>
    </row>
    <row r="3520" spans="2:18" ht="41.4" x14ac:dyDescent="0.3">
      <c r="B3520">
        <v>0</v>
      </c>
      <c r="C3520" s="33">
        <v>8867</v>
      </c>
      <c r="D3520" s="2">
        <v>1318</v>
      </c>
      <c r="E3520" s="2" t="s">
        <v>11284</v>
      </c>
      <c r="F3520" s="3" t="s">
        <v>14206</v>
      </c>
      <c r="H3520" s="3" t="s">
        <v>4047</v>
      </c>
      <c r="K3520" s="2">
        <v>10</v>
      </c>
      <c r="L3520" s="2">
        <v>8</v>
      </c>
      <c r="M3520" s="3" t="s">
        <v>4052</v>
      </c>
      <c r="N3520" s="3" t="s">
        <v>132</v>
      </c>
      <c r="O3520" s="3" t="s">
        <v>133</v>
      </c>
      <c r="P3520" s="3" t="s">
        <v>2287</v>
      </c>
      <c r="Q3520" s="30" t="str">
        <f t="shared" si="54"/>
        <v>MAX : 0.81
TARGET : 0.78
MIN : 0.75</v>
      </c>
    </row>
    <row r="3521" spans="2:17" ht="41.4" x14ac:dyDescent="0.3">
      <c r="B3521">
        <v>0</v>
      </c>
      <c r="C3521" s="33">
        <v>8867</v>
      </c>
      <c r="D3521" s="2">
        <v>1318</v>
      </c>
      <c r="E3521" s="2" t="s">
        <v>11284</v>
      </c>
      <c r="F3521" s="3" t="s">
        <v>14206</v>
      </c>
      <c r="H3521" s="3" t="s">
        <v>4047</v>
      </c>
      <c r="K3521" s="2">
        <v>10</v>
      </c>
      <c r="L3521" s="2">
        <v>9</v>
      </c>
      <c r="M3521" s="3" t="s">
        <v>1403</v>
      </c>
      <c r="N3521" s="3" t="s">
        <v>13</v>
      </c>
      <c r="O3521" s="3" t="s">
        <v>14</v>
      </c>
      <c r="Q3521" s="30" t="str">
        <f t="shared" si="54"/>
        <v>MAX : 
TARGET : Yes(Pass)
MIN : No(Fail)</v>
      </c>
    </row>
    <row r="3522" spans="2:17" ht="41.4" x14ac:dyDescent="0.3">
      <c r="B3522">
        <v>1</v>
      </c>
      <c r="C3522" s="33">
        <v>8728</v>
      </c>
      <c r="D3522" s="2">
        <v>1275</v>
      </c>
      <c r="E3522" s="2" t="s">
        <v>10926</v>
      </c>
      <c r="F3522" s="3" t="s">
        <v>14206</v>
      </c>
      <c r="H3522" s="3" t="s">
        <v>3631</v>
      </c>
      <c r="K3522" s="2">
        <v>20</v>
      </c>
      <c r="L3522" s="2">
        <v>2</v>
      </c>
      <c r="M3522" s="3" t="s">
        <v>22</v>
      </c>
      <c r="N3522" s="3" t="s">
        <v>814</v>
      </c>
      <c r="O3522" s="3" t="s">
        <v>815</v>
      </c>
      <c r="P3522" s="3" t="s">
        <v>816</v>
      </c>
      <c r="Q3522" s="30" t="str">
        <f t="shared" ref="Q3522:Q3585" si="55">"MAX : " &amp; P3522 &amp; CHAR(10) &amp; "TARGET : " &amp; O3522 &amp; CHAR(10) &amp; "MIN : " &amp; N3522</f>
        <v>MAX : 3.03
TARGET : 3.00
MIN : 2.97</v>
      </c>
    </row>
    <row r="3523" spans="2:17" ht="41.4" x14ac:dyDescent="0.3">
      <c r="B3523">
        <v>1</v>
      </c>
      <c r="C3523" s="33">
        <v>8728</v>
      </c>
      <c r="D3523" s="2">
        <v>1275</v>
      </c>
      <c r="E3523" s="2" t="s">
        <v>10926</v>
      </c>
      <c r="F3523" s="3" t="s">
        <v>14206</v>
      </c>
      <c r="H3523" s="3" t="s">
        <v>3631</v>
      </c>
      <c r="K3523" s="2">
        <v>20</v>
      </c>
      <c r="L3523" s="2">
        <v>1</v>
      </c>
      <c r="M3523" s="3" t="s">
        <v>18</v>
      </c>
      <c r="N3523" s="3" t="s">
        <v>27</v>
      </c>
      <c r="O3523" s="3" t="s">
        <v>28</v>
      </c>
      <c r="P3523" s="3" t="s">
        <v>29</v>
      </c>
      <c r="Q3523" s="30" t="str">
        <f t="shared" si="55"/>
        <v>MAX : 1.53
TARGET : 1.50
MIN : 1.47</v>
      </c>
    </row>
    <row r="3524" spans="2:17" ht="41.4" x14ac:dyDescent="0.3">
      <c r="B3524">
        <v>1</v>
      </c>
      <c r="C3524" s="33">
        <v>8730</v>
      </c>
      <c r="D3524" s="2">
        <v>1986</v>
      </c>
      <c r="E3524" s="2" t="s">
        <v>10932</v>
      </c>
      <c r="F3524" s="3" t="s">
        <v>14207</v>
      </c>
      <c r="H3524" s="3" t="s">
        <v>289</v>
      </c>
      <c r="K3524" s="2">
        <v>10</v>
      </c>
      <c r="L3524" s="2">
        <v>2</v>
      </c>
      <c r="M3524" s="3" t="s">
        <v>325</v>
      </c>
      <c r="N3524" s="3" t="s">
        <v>13</v>
      </c>
      <c r="O3524" s="3" t="s">
        <v>14</v>
      </c>
      <c r="Q3524" s="30" t="str">
        <f t="shared" si="55"/>
        <v>MAX : 
TARGET : Yes(Pass)
MIN : No(Fail)</v>
      </c>
    </row>
    <row r="3525" spans="2:17" ht="41.4" x14ac:dyDescent="0.3">
      <c r="B3525">
        <v>1</v>
      </c>
      <c r="C3525" s="33">
        <v>8730</v>
      </c>
      <c r="D3525" s="2">
        <v>1986</v>
      </c>
      <c r="E3525" s="2" t="s">
        <v>10932</v>
      </c>
      <c r="F3525" s="3" t="s">
        <v>14207</v>
      </c>
      <c r="H3525" s="3" t="s">
        <v>289</v>
      </c>
      <c r="K3525" s="2">
        <v>10</v>
      </c>
      <c r="L3525" s="2">
        <v>1</v>
      </c>
      <c r="M3525" s="3" t="s">
        <v>99</v>
      </c>
      <c r="N3525" s="3" t="s">
        <v>3633</v>
      </c>
      <c r="O3525" s="3" t="s">
        <v>897</v>
      </c>
      <c r="P3525" s="3" t="s">
        <v>632</v>
      </c>
      <c r="Q3525" s="30" t="str">
        <f t="shared" si="55"/>
        <v>MAX : 25
TARGET : 24
MIN : 23</v>
      </c>
    </row>
    <row r="3526" spans="2:17" ht="41.4" x14ac:dyDescent="0.3">
      <c r="B3526">
        <v>0</v>
      </c>
      <c r="C3526" s="33">
        <v>8902</v>
      </c>
      <c r="D3526" s="2">
        <v>2003</v>
      </c>
      <c r="E3526" s="2" t="s">
        <v>11401</v>
      </c>
      <c r="F3526" s="3" t="s">
        <v>14206</v>
      </c>
      <c r="H3526" s="3" t="s">
        <v>1903</v>
      </c>
      <c r="K3526" s="2">
        <v>10</v>
      </c>
      <c r="L3526" s="2">
        <v>3</v>
      </c>
      <c r="M3526" s="3" t="s">
        <v>3992</v>
      </c>
      <c r="N3526" s="3" t="s">
        <v>13</v>
      </c>
      <c r="O3526" s="3" t="s">
        <v>14</v>
      </c>
      <c r="Q3526" s="30" t="str">
        <f t="shared" si="55"/>
        <v>MAX : 
TARGET : Yes(Pass)
MIN : No(Fail)</v>
      </c>
    </row>
    <row r="3527" spans="2:17" ht="41.4" x14ac:dyDescent="0.3">
      <c r="B3527">
        <v>1</v>
      </c>
      <c r="C3527" s="33">
        <v>8733</v>
      </c>
      <c r="D3527" s="2">
        <v>1276</v>
      </c>
      <c r="E3527" s="2" t="s">
        <v>10938</v>
      </c>
      <c r="F3527" s="3" t="s">
        <v>14206</v>
      </c>
      <c r="G3527" s="3" t="s">
        <v>1665</v>
      </c>
      <c r="H3527" s="3" t="s">
        <v>3634</v>
      </c>
      <c r="K3527" s="2">
        <v>20</v>
      </c>
      <c r="L3527" s="2">
        <v>2</v>
      </c>
      <c r="M3527" s="3" t="s">
        <v>3069</v>
      </c>
      <c r="N3527" s="3" t="s">
        <v>3481</v>
      </c>
      <c r="O3527" s="3" t="s">
        <v>2949</v>
      </c>
      <c r="P3527" s="3" t="s">
        <v>1933</v>
      </c>
      <c r="Q3527" s="30" t="str">
        <f t="shared" si="55"/>
        <v>MAX : 2.235
TARGET : 2.220
MIN : 2.205</v>
      </c>
    </row>
    <row r="3528" spans="2:17" ht="41.4" x14ac:dyDescent="0.3">
      <c r="B3528">
        <v>1</v>
      </c>
      <c r="C3528" s="33">
        <v>8733</v>
      </c>
      <c r="D3528" s="2">
        <v>1276</v>
      </c>
      <c r="E3528" s="2" t="s">
        <v>10938</v>
      </c>
      <c r="F3528" s="3" t="s">
        <v>14206</v>
      </c>
      <c r="G3528" s="3" t="s">
        <v>1665</v>
      </c>
      <c r="H3528" s="3" t="s">
        <v>3634</v>
      </c>
      <c r="K3528" s="2">
        <v>20</v>
      </c>
      <c r="L3528" s="2">
        <v>4</v>
      </c>
      <c r="M3528" s="3" t="s">
        <v>3668</v>
      </c>
      <c r="O3528" s="3" t="s">
        <v>864</v>
      </c>
      <c r="P3528" s="3" t="s">
        <v>3408</v>
      </c>
      <c r="Q3528" s="30" t="str">
        <f t="shared" si="55"/>
        <v xml:space="preserve">MAX : 0.030
TARGET : 0
MIN : </v>
      </c>
    </row>
    <row r="3529" spans="2:17" ht="41.4" x14ac:dyDescent="0.3">
      <c r="B3529">
        <v>0</v>
      </c>
      <c r="C3529" s="33">
        <v>8904</v>
      </c>
      <c r="D3529" s="2">
        <v>2005</v>
      </c>
      <c r="E3529" s="2" t="s">
        <v>11411</v>
      </c>
      <c r="F3529" s="3" t="s">
        <v>14206</v>
      </c>
      <c r="H3529" s="3" t="s">
        <v>1903</v>
      </c>
      <c r="K3529" s="2">
        <v>10</v>
      </c>
      <c r="L3529" s="2">
        <v>3</v>
      </c>
      <c r="M3529" s="3" t="s">
        <v>3992</v>
      </c>
      <c r="N3529" s="3" t="s">
        <v>13</v>
      </c>
      <c r="O3529" s="3" t="s">
        <v>14</v>
      </c>
      <c r="Q3529" s="30" t="str">
        <f t="shared" si="55"/>
        <v>MAX : 
TARGET : Yes(Pass)
MIN : No(Fail)</v>
      </c>
    </row>
    <row r="3530" spans="2:17" ht="41.4" x14ac:dyDescent="0.3">
      <c r="B3530">
        <v>1</v>
      </c>
      <c r="C3530" s="33">
        <v>8733</v>
      </c>
      <c r="D3530" s="2">
        <v>1276</v>
      </c>
      <c r="E3530" s="2" t="s">
        <v>10938</v>
      </c>
      <c r="F3530" s="3" t="s">
        <v>14206</v>
      </c>
      <c r="G3530" s="3" t="s">
        <v>1665</v>
      </c>
      <c r="H3530" s="3" t="s">
        <v>3634</v>
      </c>
      <c r="K3530" s="2">
        <v>20</v>
      </c>
      <c r="L3530" s="2">
        <v>1</v>
      </c>
      <c r="M3530" s="3" t="s">
        <v>502</v>
      </c>
      <c r="N3530" s="3" t="s">
        <v>3635</v>
      </c>
      <c r="O3530" s="3" t="s">
        <v>520</v>
      </c>
      <c r="P3530" s="3" t="s">
        <v>3636</v>
      </c>
      <c r="Q3530" s="30" t="str">
        <f t="shared" si="55"/>
        <v>MAX : 3.650
TARGET : 3.625
MIN : 3.600</v>
      </c>
    </row>
    <row r="3531" spans="2:17" ht="41.4" x14ac:dyDescent="0.3">
      <c r="B3531">
        <v>1</v>
      </c>
      <c r="C3531" s="33">
        <v>8733</v>
      </c>
      <c r="D3531" s="2">
        <v>1276</v>
      </c>
      <c r="E3531" s="2" t="s">
        <v>10938</v>
      </c>
      <c r="F3531" s="3" t="s">
        <v>14206</v>
      </c>
      <c r="G3531" s="3" t="s">
        <v>1665</v>
      </c>
      <c r="H3531" s="3" t="s">
        <v>3634</v>
      </c>
      <c r="K3531" s="2">
        <v>20</v>
      </c>
      <c r="L3531" s="2">
        <v>3</v>
      </c>
      <c r="M3531" s="3" t="s">
        <v>3665</v>
      </c>
      <c r="N3531" s="3" t="s">
        <v>3666</v>
      </c>
      <c r="O3531" s="3" t="s">
        <v>2922</v>
      </c>
      <c r="P3531" s="3" t="s">
        <v>3667</v>
      </c>
      <c r="Q3531" s="30" t="str">
        <f t="shared" si="55"/>
        <v>MAX : 2.745
TARGET : 2.720
MIN : 2.695</v>
      </c>
    </row>
    <row r="3532" spans="2:17" ht="41.4" x14ac:dyDescent="0.3">
      <c r="B3532">
        <v>0</v>
      </c>
      <c r="C3532" s="33">
        <v>8905</v>
      </c>
      <c r="D3532" s="2">
        <v>2006</v>
      </c>
      <c r="E3532" s="2" t="s">
        <v>11416</v>
      </c>
      <c r="F3532" s="3" t="s">
        <v>14206</v>
      </c>
      <c r="H3532" s="3" t="s">
        <v>1903</v>
      </c>
      <c r="K3532" s="2">
        <v>10</v>
      </c>
      <c r="L3532" s="2">
        <v>3</v>
      </c>
      <c r="M3532" s="3" t="s">
        <v>3992</v>
      </c>
      <c r="N3532" s="3" t="s">
        <v>13</v>
      </c>
      <c r="O3532" s="3" t="s">
        <v>14</v>
      </c>
      <c r="Q3532" s="30" t="str">
        <f t="shared" si="55"/>
        <v>MAX : 
TARGET : Yes(Pass)
MIN : No(Fail)</v>
      </c>
    </row>
    <row r="3533" spans="2:17" ht="41.4" x14ac:dyDescent="0.3">
      <c r="B3533">
        <v>1</v>
      </c>
      <c r="C3533" s="33">
        <v>8733</v>
      </c>
      <c r="D3533" s="2">
        <v>1276</v>
      </c>
      <c r="E3533" s="2" t="s">
        <v>10938</v>
      </c>
      <c r="F3533" s="3" t="s">
        <v>14206</v>
      </c>
      <c r="G3533" s="3" t="s">
        <v>1665</v>
      </c>
      <c r="H3533" s="3" t="s">
        <v>3634</v>
      </c>
      <c r="K3533" s="2">
        <v>10</v>
      </c>
      <c r="L3533" s="2">
        <v>1</v>
      </c>
      <c r="M3533" s="3" t="s">
        <v>458</v>
      </c>
      <c r="N3533" s="3" t="s">
        <v>5730</v>
      </c>
      <c r="O3533" s="3" t="s">
        <v>5731</v>
      </c>
      <c r="P3533" s="3" t="s">
        <v>826</v>
      </c>
      <c r="Q3533" s="30" t="str">
        <f t="shared" si="55"/>
        <v>MAX : 8.25
TARGET : 8.10
MIN : 7.875</v>
      </c>
    </row>
    <row r="3534" spans="2:17" ht="41.4" x14ac:dyDescent="0.3">
      <c r="B3534">
        <v>1</v>
      </c>
      <c r="C3534" s="33">
        <v>8733</v>
      </c>
      <c r="D3534" s="2">
        <v>1276</v>
      </c>
      <c r="E3534" s="2" t="s">
        <v>10938</v>
      </c>
      <c r="F3534" s="3" t="s">
        <v>14206</v>
      </c>
      <c r="G3534" s="3" t="s">
        <v>1665</v>
      </c>
      <c r="H3534" s="3" t="s">
        <v>3634</v>
      </c>
      <c r="K3534" s="2">
        <v>20</v>
      </c>
      <c r="L3534" s="2">
        <v>7</v>
      </c>
      <c r="M3534" s="3" t="s">
        <v>5735</v>
      </c>
      <c r="N3534" s="3" t="s">
        <v>13</v>
      </c>
      <c r="O3534" s="3" t="s">
        <v>14</v>
      </c>
      <c r="Q3534" s="30" t="str">
        <f t="shared" si="55"/>
        <v>MAX : 
TARGET : Yes(Pass)
MIN : No(Fail)</v>
      </c>
    </row>
    <row r="3535" spans="2:17" ht="41.4" x14ac:dyDescent="0.3">
      <c r="B3535">
        <v>0</v>
      </c>
      <c r="C3535" s="33">
        <v>8906</v>
      </c>
      <c r="D3535" s="2">
        <v>2007</v>
      </c>
      <c r="E3535" s="2" t="s">
        <v>11421</v>
      </c>
      <c r="F3535" s="3" t="s">
        <v>14206</v>
      </c>
      <c r="H3535" s="3" t="s">
        <v>1903</v>
      </c>
      <c r="K3535" s="2">
        <v>10</v>
      </c>
      <c r="L3535" s="2">
        <v>3</v>
      </c>
      <c r="M3535" s="3" t="s">
        <v>4053</v>
      </c>
      <c r="N3535" s="3" t="s">
        <v>13</v>
      </c>
      <c r="O3535" s="3" t="s">
        <v>14</v>
      </c>
      <c r="Q3535" s="30" t="str">
        <f t="shared" si="55"/>
        <v>MAX : 
TARGET : Yes(Pass)
MIN : No(Fail)</v>
      </c>
    </row>
    <row r="3536" spans="2:17" ht="41.4" x14ac:dyDescent="0.3">
      <c r="B3536">
        <v>1</v>
      </c>
      <c r="C3536" s="33">
        <v>8733</v>
      </c>
      <c r="D3536" s="2">
        <v>1276</v>
      </c>
      <c r="E3536" s="2" t="s">
        <v>10938</v>
      </c>
      <c r="F3536" s="3" t="s">
        <v>14206</v>
      </c>
      <c r="G3536" s="3" t="s">
        <v>1665</v>
      </c>
      <c r="H3536" s="3" t="s">
        <v>3634</v>
      </c>
      <c r="K3536" s="2">
        <v>10</v>
      </c>
      <c r="L3536" s="2">
        <v>2</v>
      </c>
      <c r="M3536" s="3" t="s">
        <v>4037</v>
      </c>
      <c r="N3536" s="3" t="s">
        <v>13</v>
      </c>
      <c r="O3536" s="3" t="s">
        <v>14</v>
      </c>
      <c r="Q3536" s="30" t="str">
        <f t="shared" si="55"/>
        <v>MAX : 
TARGET : Yes(Pass)
MIN : No(Fail)</v>
      </c>
    </row>
    <row r="3537" spans="2:18" ht="41.4" x14ac:dyDescent="0.3">
      <c r="B3537">
        <v>1</v>
      </c>
      <c r="C3537" s="33">
        <v>8738</v>
      </c>
      <c r="D3537" s="2">
        <v>1277</v>
      </c>
      <c r="E3537" s="2" t="s">
        <v>10946</v>
      </c>
      <c r="F3537" s="3" t="s">
        <v>14206</v>
      </c>
      <c r="H3537" s="3" t="s">
        <v>648</v>
      </c>
      <c r="K3537" s="2">
        <v>20</v>
      </c>
      <c r="L3537" s="2">
        <v>2</v>
      </c>
      <c r="M3537" s="3" t="s">
        <v>3654</v>
      </c>
      <c r="N3537" s="3" t="s">
        <v>3071</v>
      </c>
      <c r="O3537" s="3" t="s">
        <v>2023</v>
      </c>
      <c r="P3537" s="3" t="s">
        <v>3655</v>
      </c>
      <c r="Q3537" s="30" t="str">
        <f t="shared" si="55"/>
        <v>MAX : 0.67
TARGET : 0.66
MIN : 0.65</v>
      </c>
    </row>
    <row r="3538" spans="2:18" ht="41.4" x14ac:dyDescent="0.3">
      <c r="B3538">
        <v>0</v>
      </c>
      <c r="C3538" s="33">
        <v>8664</v>
      </c>
      <c r="D3538" s="2">
        <v>1980</v>
      </c>
      <c r="E3538" s="2" t="s">
        <v>10799</v>
      </c>
      <c r="F3538" s="29" t="s">
        <v>14235</v>
      </c>
      <c r="H3538" s="3" t="s">
        <v>3460</v>
      </c>
      <c r="K3538" s="2">
        <v>10</v>
      </c>
      <c r="L3538" s="2">
        <v>2</v>
      </c>
      <c r="M3538" s="3" t="s">
        <v>3618</v>
      </c>
      <c r="N3538" s="3" t="s">
        <v>634</v>
      </c>
      <c r="O3538" s="3" t="s">
        <v>3590</v>
      </c>
      <c r="P3538" s="3" t="s">
        <v>3619</v>
      </c>
      <c r="Q3538" s="30" t="str">
        <f t="shared" si="55"/>
        <v>MAX : 0.965
TARGET : 0.950
MIN : 0.935</v>
      </c>
    </row>
    <row r="3539" spans="2:18" ht="41.4" x14ac:dyDescent="0.3">
      <c r="B3539">
        <v>1</v>
      </c>
      <c r="C3539" s="33">
        <v>8738</v>
      </c>
      <c r="D3539" s="2">
        <v>1277</v>
      </c>
      <c r="E3539" s="2" t="s">
        <v>10946</v>
      </c>
      <c r="F3539" s="3" t="s">
        <v>14206</v>
      </c>
      <c r="H3539" s="3" t="s">
        <v>648</v>
      </c>
      <c r="K3539" s="2">
        <v>20</v>
      </c>
      <c r="L3539" s="2">
        <v>1</v>
      </c>
      <c r="M3539" s="3" t="s">
        <v>3653</v>
      </c>
      <c r="N3539" s="3" t="s">
        <v>1702</v>
      </c>
      <c r="O3539" s="3" t="s">
        <v>1703</v>
      </c>
      <c r="P3539" s="3" t="s">
        <v>2498</v>
      </c>
      <c r="Q3539" s="30" t="str">
        <f t="shared" si="55"/>
        <v>MAX : 0.61
TARGET : 0.60
MIN : 0.59</v>
      </c>
    </row>
    <row r="3540" spans="2:18" ht="41.4" x14ac:dyDescent="0.3">
      <c r="B3540">
        <v>1</v>
      </c>
      <c r="C3540" s="33">
        <v>8738</v>
      </c>
      <c r="D3540" s="2">
        <v>1277</v>
      </c>
      <c r="E3540" s="2" t="s">
        <v>10946</v>
      </c>
      <c r="F3540" s="3" t="s">
        <v>14206</v>
      </c>
      <c r="H3540" s="3" t="s">
        <v>648</v>
      </c>
      <c r="K3540" s="2">
        <v>30</v>
      </c>
      <c r="L3540" s="2">
        <v>1</v>
      </c>
      <c r="M3540" s="3" t="s">
        <v>4934</v>
      </c>
      <c r="N3540" s="3" t="s">
        <v>13</v>
      </c>
      <c r="O3540" s="3" t="s">
        <v>14</v>
      </c>
      <c r="Q3540" s="30" t="str">
        <f t="shared" si="55"/>
        <v>MAX : 
TARGET : Yes(Pass)
MIN : No(Fail)</v>
      </c>
    </row>
    <row r="3541" spans="2:18" ht="41.4" x14ac:dyDescent="0.3">
      <c r="B3541">
        <v>1</v>
      </c>
      <c r="C3541" s="33">
        <v>8738</v>
      </c>
      <c r="D3541" s="2">
        <v>1277</v>
      </c>
      <c r="E3541" s="2" t="s">
        <v>10946</v>
      </c>
      <c r="F3541" s="3" t="s">
        <v>14206</v>
      </c>
      <c r="H3541" s="3" t="s">
        <v>648</v>
      </c>
      <c r="K3541" s="2">
        <v>30</v>
      </c>
      <c r="L3541" s="2">
        <v>2</v>
      </c>
      <c r="M3541" s="3" t="s">
        <v>4935</v>
      </c>
      <c r="N3541" s="3" t="s">
        <v>13</v>
      </c>
      <c r="O3541" s="3" t="s">
        <v>14</v>
      </c>
      <c r="Q3541" s="30" t="str">
        <f t="shared" si="55"/>
        <v>MAX : 
TARGET : Yes(Pass)
MIN : No(Fail)</v>
      </c>
    </row>
    <row r="3542" spans="2:18" ht="41.4" x14ac:dyDescent="0.3">
      <c r="B3542">
        <v>0</v>
      </c>
      <c r="C3542" s="33">
        <v>8903</v>
      </c>
      <c r="D3542" s="2">
        <v>2004</v>
      </c>
      <c r="E3542" s="2" t="s">
        <v>11405</v>
      </c>
      <c r="F3542" s="3" t="s">
        <v>14206</v>
      </c>
      <c r="H3542" s="3" t="s">
        <v>1903</v>
      </c>
      <c r="K3542" s="2">
        <v>10</v>
      </c>
      <c r="L3542" s="2">
        <v>3</v>
      </c>
      <c r="M3542" s="3" t="s">
        <v>4053</v>
      </c>
      <c r="N3542" s="3" t="s">
        <v>13</v>
      </c>
      <c r="O3542" s="3" t="s">
        <v>14</v>
      </c>
      <c r="Q3542" s="30" t="str">
        <f t="shared" si="55"/>
        <v>MAX : 
TARGET : Yes(Pass)
MIN : No(Fail)</v>
      </c>
    </row>
    <row r="3543" spans="2:18" ht="41.4" x14ac:dyDescent="0.3">
      <c r="B3543">
        <v>1</v>
      </c>
      <c r="C3543" s="33">
        <v>8740</v>
      </c>
      <c r="D3543" s="2">
        <v>1987</v>
      </c>
      <c r="E3543" s="2" t="s">
        <v>10954</v>
      </c>
      <c r="F3543" s="3" t="s">
        <v>14206</v>
      </c>
      <c r="H3543" s="3" t="s">
        <v>289</v>
      </c>
      <c r="K3543" s="2">
        <v>10</v>
      </c>
      <c r="L3543" s="2">
        <v>2</v>
      </c>
      <c r="M3543" s="3" t="s">
        <v>3649</v>
      </c>
      <c r="N3543" s="3" t="s">
        <v>276</v>
      </c>
      <c r="O3543" s="3" t="s">
        <v>86</v>
      </c>
      <c r="P3543" s="3" t="s">
        <v>101</v>
      </c>
      <c r="Q3543" s="30" t="str">
        <f t="shared" si="55"/>
        <v>MAX : 0.625
TARGET : 0.500
MIN : 0.375</v>
      </c>
    </row>
    <row r="3544" spans="2:18" ht="41.4" x14ac:dyDescent="0.3">
      <c r="B3544">
        <v>1</v>
      </c>
      <c r="C3544" s="33">
        <v>8740</v>
      </c>
      <c r="D3544" s="2">
        <v>1987</v>
      </c>
      <c r="E3544" s="2" t="s">
        <v>10954</v>
      </c>
      <c r="F3544" s="3" t="s">
        <v>14206</v>
      </c>
      <c r="H3544" s="3" t="s">
        <v>289</v>
      </c>
      <c r="K3544" s="2">
        <v>10</v>
      </c>
      <c r="L3544" s="2">
        <v>1</v>
      </c>
      <c r="M3544" s="3" t="s">
        <v>3648</v>
      </c>
      <c r="N3544" s="3" t="s">
        <v>1910</v>
      </c>
      <c r="O3544" s="3" t="s">
        <v>1911</v>
      </c>
      <c r="P3544" s="3" t="s">
        <v>1912</v>
      </c>
      <c r="Q3544" s="30" t="str">
        <f t="shared" si="55"/>
        <v>MAX : 15.125
TARGET : 15.000
MIN : 14.875</v>
      </c>
    </row>
    <row r="3545" spans="2:18" ht="41.4" x14ac:dyDescent="0.3">
      <c r="B3545">
        <v>0</v>
      </c>
      <c r="C3545" s="33">
        <v>8921</v>
      </c>
      <c r="D3545" s="2">
        <v>1338</v>
      </c>
      <c r="E3545" s="2" t="s">
        <v>11464</v>
      </c>
      <c r="F3545" s="3" t="s">
        <v>14207</v>
      </c>
      <c r="H3545" s="3" t="s">
        <v>648</v>
      </c>
      <c r="K3545" s="2">
        <v>10</v>
      </c>
      <c r="L3545" s="2">
        <v>3</v>
      </c>
      <c r="M3545" s="3" t="s">
        <v>4060</v>
      </c>
      <c r="N3545" s="3" t="s">
        <v>13</v>
      </c>
      <c r="O3545" s="3" t="s">
        <v>14</v>
      </c>
      <c r="Q3545" s="30" t="str">
        <f t="shared" si="55"/>
        <v>MAX : 
TARGET : Yes(Pass)
MIN : No(Fail)</v>
      </c>
    </row>
    <row r="3546" spans="2:18" ht="41.4" x14ac:dyDescent="0.3">
      <c r="B3546">
        <v>1</v>
      </c>
      <c r="C3546" s="33">
        <v>8747</v>
      </c>
      <c r="D3546" s="2">
        <v>1278</v>
      </c>
      <c r="E3546" s="2" t="s">
        <v>10962</v>
      </c>
      <c r="F3546" s="3" t="s">
        <v>14206</v>
      </c>
      <c r="H3546" s="3" t="s">
        <v>713</v>
      </c>
      <c r="K3546" s="2">
        <v>10</v>
      </c>
      <c r="L3546" s="2">
        <v>2</v>
      </c>
      <c r="M3546" s="3" t="s">
        <v>3742</v>
      </c>
      <c r="N3546" s="3" t="s">
        <v>13</v>
      </c>
      <c r="O3546" s="3" t="s">
        <v>14</v>
      </c>
      <c r="Q3546" s="30" t="str">
        <f t="shared" si="55"/>
        <v>MAX : 
TARGET : Yes(Pass)
MIN : No(Fail)</v>
      </c>
    </row>
    <row r="3547" spans="2:18" ht="41.4" x14ac:dyDescent="0.3">
      <c r="B3547">
        <v>1</v>
      </c>
      <c r="C3547" s="33">
        <v>8747</v>
      </c>
      <c r="D3547" s="2">
        <v>1278</v>
      </c>
      <c r="E3547" s="2" t="s">
        <v>10962</v>
      </c>
      <c r="F3547" s="3" t="s">
        <v>14206</v>
      </c>
      <c r="H3547" s="3" t="s">
        <v>713</v>
      </c>
      <c r="K3547" s="2">
        <v>10</v>
      </c>
      <c r="L3547" s="2">
        <v>1</v>
      </c>
      <c r="M3547" s="3" t="s">
        <v>502</v>
      </c>
      <c r="N3547" s="3" t="s">
        <v>1452</v>
      </c>
      <c r="O3547" s="3" t="s">
        <v>1453</v>
      </c>
      <c r="P3547" s="3" t="s">
        <v>1454</v>
      </c>
      <c r="Q3547" s="30" t="str">
        <f t="shared" si="55"/>
        <v>MAX : 1.280
TARGET : 1.250
MIN : 1.220</v>
      </c>
    </row>
    <row r="3548" spans="2:18" ht="41.4" x14ac:dyDescent="0.3">
      <c r="B3548">
        <v>0</v>
      </c>
      <c r="C3548" s="33">
        <v>8922</v>
      </c>
      <c r="D3548" s="2">
        <v>1339</v>
      </c>
      <c r="E3548" s="2" t="s">
        <v>11471</v>
      </c>
      <c r="F3548" s="3" t="s">
        <v>14207</v>
      </c>
      <c r="G3548" s="3" t="s">
        <v>4061</v>
      </c>
      <c r="H3548" s="3" t="s">
        <v>469</v>
      </c>
      <c r="I3548" s="3" t="s">
        <v>575</v>
      </c>
      <c r="K3548" s="2">
        <v>10</v>
      </c>
      <c r="L3548" s="2">
        <v>3</v>
      </c>
      <c r="M3548" s="3" t="s">
        <v>2618</v>
      </c>
      <c r="N3548" s="3" t="s">
        <v>2534</v>
      </c>
      <c r="O3548" s="3" t="s">
        <v>2399</v>
      </c>
      <c r="P3548" s="3" t="s">
        <v>4067</v>
      </c>
      <c r="Q3548" s="30" t="str">
        <f t="shared" si="55"/>
        <v>MAX : 9.35
TARGET : 6.35
MIN : 3.35</v>
      </c>
      <c r="R3548" s="3" t="s">
        <v>1638</v>
      </c>
    </row>
    <row r="3549" spans="2:18" ht="41.4" x14ac:dyDescent="0.3">
      <c r="B3549">
        <v>1</v>
      </c>
      <c r="C3549" s="33">
        <v>8750</v>
      </c>
      <c r="D3549" s="2">
        <v>1988</v>
      </c>
      <c r="E3549" s="2" t="s">
        <v>10969</v>
      </c>
      <c r="F3549" s="3" t="s">
        <v>14206</v>
      </c>
      <c r="H3549" s="3" t="s">
        <v>261</v>
      </c>
      <c r="K3549" s="2">
        <v>10</v>
      </c>
      <c r="L3549" s="2">
        <v>2</v>
      </c>
      <c r="M3549" s="3" t="s">
        <v>1899</v>
      </c>
      <c r="N3549" s="3" t="s">
        <v>13</v>
      </c>
      <c r="O3549" s="3" t="s">
        <v>14</v>
      </c>
      <c r="Q3549" s="30" t="str">
        <f t="shared" si="55"/>
        <v>MAX : 
TARGET : Yes(Pass)
MIN : No(Fail)</v>
      </c>
    </row>
    <row r="3550" spans="2:18" ht="41.4" x14ac:dyDescent="0.3">
      <c r="B3550">
        <v>1</v>
      </c>
      <c r="C3550" s="33">
        <v>8750</v>
      </c>
      <c r="D3550" s="2">
        <v>1988</v>
      </c>
      <c r="E3550" s="2" t="s">
        <v>10969</v>
      </c>
      <c r="F3550" s="3" t="s">
        <v>14206</v>
      </c>
      <c r="H3550" s="3" t="s">
        <v>261</v>
      </c>
      <c r="K3550" s="2">
        <v>10</v>
      </c>
      <c r="L3550" s="2">
        <v>1</v>
      </c>
      <c r="M3550" s="3" t="s">
        <v>788</v>
      </c>
      <c r="N3550" s="3" t="s">
        <v>784</v>
      </c>
      <c r="O3550" s="3" t="s">
        <v>309</v>
      </c>
      <c r="P3550" s="3" t="s">
        <v>785</v>
      </c>
      <c r="Q3550" s="30" t="str">
        <f t="shared" si="55"/>
        <v>MAX : 0.55
TARGET : 0.50
MIN : 0.45</v>
      </c>
    </row>
    <row r="3551" spans="2:18" ht="41.4" x14ac:dyDescent="0.3">
      <c r="B3551">
        <v>0</v>
      </c>
      <c r="C3551" s="33">
        <v>8924</v>
      </c>
      <c r="D3551" s="2">
        <v>1341</v>
      </c>
      <c r="E3551" s="2" t="s">
        <v>11486</v>
      </c>
      <c r="F3551" s="3" t="s">
        <v>14206</v>
      </c>
      <c r="H3551" s="3" t="s">
        <v>4068</v>
      </c>
      <c r="K3551" s="2">
        <v>20</v>
      </c>
      <c r="L3551" s="2">
        <v>3</v>
      </c>
      <c r="M3551" s="3" t="s">
        <v>958</v>
      </c>
      <c r="N3551" s="3" t="s">
        <v>13</v>
      </c>
      <c r="O3551" s="3" t="s">
        <v>14</v>
      </c>
      <c r="Q3551" s="30" t="str">
        <f t="shared" si="55"/>
        <v>MAX : 
TARGET : Yes(Pass)
MIN : No(Fail)</v>
      </c>
    </row>
    <row r="3552" spans="2:18" ht="41.4" x14ac:dyDescent="0.3">
      <c r="B3552">
        <v>1</v>
      </c>
      <c r="C3552" s="33">
        <v>8751</v>
      </c>
      <c r="D3552" s="2">
        <v>1279</v>
      </c>
      <c r="E3552" s="2" t="s">
        <v>10977</v>
      </c>
      <c r="F3552" s="29" t="s">
        <v>14222</v>
      </c>
      <c r="H3552" s="3" t="s">
        <v>2113</v>
      </c>
      <c r="K3552" s="2">
        <v>20</v>
      </c>
      <c r="L3552" s="2">
        <v>2</v>
      </c>
      <c r="M3552" s="3" t="s">
        <v>198</v>
      </c>
      <c r="N3552" s="3" t="s">
        <v>3661</v>
      </c>
      <c r="O3552" s="3" t="s">
        <v>465</v>
      </c>
      <c r="P3552" s="3" t="s">
        <v>3662</v>
      </c>
      <c r="Q3552" s="30" t="str">
        <f t="shared" si="55"/>
        <v>MAX : 2.530
TARGET : 2.500
MIN : 2.470</v>
      </c>
    </row>
    <row r="3553" spans="2:18" ht="41.4" x14ac:dyDescent="0.3">
      <c r="B3553">
        <v>1</v>
      </c>
      <c r="C3553" s="33">
        <v>8751</v>
      </c>
      <c r="D3553" s="2">
        <v>1279</v>
      </c>
      <c r="E3553" s="2" t="s">
        <v>10977</v>
      </c>
      <c r="F3553" s="29" t="s">
        <v>14222</v>
      </c>
      <c r="H3553" s="3" t="s">
        <v>2113</v>
      </c>
      <c r="K3553" s="2">
        <v>20</v>
      </c>
      <c r="L3553" s="2">
        <v>1</v>
      </c>
      <c r="M3553" s="3" t="s">
        <v>194</v>
      </c>
      <c r="N3553" s="3" t="s">
        <v>485</v>
      </c>
      <c r="O3553" s="3" t="s">
        <v>272</v>
      </c>
      <c r="P3553" s="3" t="s">
        <v>507</v>
      </c>
      <c r="Q3553" s="30" t="str">
        <f t="shared" si="55"/>
        <v>MAX : 1.06
TARGET : 1.00
MIN : 0.94</v>
      </c>
    </row>
    <row r="3554" spans="2:18" ht="41.4" x14ac:dyDescent="0.3">
      <c r="B3554">
        <v>0</v>
      </c>
      <c r="C3554" s="33">
        <v>8931</v>
      </c>
      <c r="D3554" s="2">
        <v>2010</v>
      </c>
      <c r="E3554" s="2" t="s">
        <v>11500</v>
      </c>
      <c r="F3554" s="3" t="s">
        <v>14206</v>
      </c>
      <c r="H3554" s="3" t="s">
        <v>289</v>
      </c>
      <c r="K3554" s="2">
        <v>20</v>
      </c>
      <c r="L3554" s="2">
        <v>2</v>
      </c>
      <c r="M3554" s="3" t="s">
        <v>2295</v>
      </c>
      <c r="N3554" s="3" t="s">
        <v>13</v>
      </c>
      <c r="O3554" s="3" t="s">
        <v>14</v>
      </c>
      <c r="Q3554" s="30" t="str">
        <f t="shared" si="55"/>
        <v>MAX : 
TARGET : Yes(Pass)
MIN : No(Fail)</v>
      </c>
    </row>
    <row r="3555" spans="2:18" ht="41.4" x14ac:dyDescent="0.3">
      <c r="B3555">
        <v>1</v>
      </c>
      <c r="C3555" s="33">
        <v>8751</v>
      </c>
      <c r="D3555" s="2">
        <v>1279</v>
      </c>
      <c r="E3555" s="2" t="s">
        <v>10977</v>
      </c>
      <c r="F3555" s="29" t="s">
        <v>14222</v>
      </c>
      <c r="H3555" s="3" t="s">
        <v>2113</v>
      </c>
      <c r="K3555" s="2">
        <v>20</v>
      </c>
      <c r="L3555" s="2">
        <v>7</v>
      </c>
      <c r="M3555" s="3" t="s">
        <v>4031</v>
      </c>
      <c r="Q3555" s="30" t="str">
        <f t="shared" si="55"/>
        <v xml:space="preserve">MAX : 
TARGET : 
MIN : </v>
      </c>
    </row>
    <row r="3556" spans="2:18" ht="41.4" x14ac:dyDescent="0.3">
      <c r="B3556">
        <v>1</v>
      </c>
      <c r="C3556" s="33">
        <v>8751</v>
      </c>
      <c r="D3556" s="2">
        <v>1279</v>
      </c>
      <c r="E3556" s="2" t="s">
        <v>10977</v>
      </c>
      <c r="F3556" s="29" t="s">
        <v>14222</v>
      </c>
      <c r="H3556" s="3" t="s">
        <v>2113</v>
      </c>
      <c r="K3556" s="2">
        <v>20</v>
      </c>
      <c r="L3556" s="2">
        <v>6</v>
      </c>
      <c r="M3556" s="3" t="s">
        <v>4054</v>
      </c>
      <c r="N3556" s="3" t="s">
        <v>24</v>
      </c>
      <c r="O3556" s="3" t="s">
        <v>25</v>
      </c>
      <c r="Q3556" s="30" t="str">
        <f t="shared" si="55"/>
        <v>MAX : 
TARGET : Yes (Pass)
MIN : No (Fail)</v>
      </c>
    </row>
    <row r="3557" spans="2:18" ht="41.4" x14ac:dyDescent="0.3">
      <c r="B3557">
        <v>0</v>
      </c>
      <c r="C3557" s="33">
        <v>8919</v>
      </c>
      <c r="D3557" s="2">
        <v>1337</v>
      </c>
      <c r="E3557" s="2" t="s">
        <v>11458</v>
      </c>
      <c r="F3557" s="3" t="s">
        <v>14206</v>
      </c>
      <c r="H3557" s="3" t="s">
        <v>108</v>
      </c>
      <c r="K3557" s="2">
        <v>20</v>
      </c>
      <c r="L3557" s="2">
        <v>3</v>
      </c>
      <c r="M3557" s="3" t="s">
        <v>4073</v>
      </c>
      <c r="N3557" s="3" t="s">
        <v>3739</v>
      </c>
      <c r="O3557" s="3" t="s">
        <v>3740</v>
      </c>
      <c r="P3557" s="3" t="s">
        <v>3124</v>
      </c>
      <c r="Q3557" s="30" t="str">
        <f t="shared" si="55"/>
        <v>MAX : 0.115
TARGET : 0.100
MIN : 0.085</v>
      </c>
      <c r="R3557" s="3" t="s">
        <v>443</v>
      </c>
    </row>
    <row r="3558" spans="2:18" ht="41.4" x14ac:dyDescent="0.3">
      <c r="B3558">
        <v>0</v>
      </c>
      <c r="C3558" s="33">
        <v>8919</v>
      </c>
      <c r="D3558" s="2">
        <v>1337</v>
      </c>
      <c r="E3558" s="2" t="s">
        <v>11458</v>
      </c>
      <c r="F3558" s="3" t="s">
        <v>14206</v>
      </c>
      <c r="H3558" s="3" t="s">
        <v>108</v>
      </c>
      <c r="K3558" s="2">
        <v>20</v>
      </c>
      <c r="L3558" s="2">
        <v>4</v>
      </c>
      <c r="M3558" s="3" t="s">
        <v>198</v>
      </c>
      <c r="N3558" s="3" t="s">
        <v>4074</v>
      </c>
      <c r="O3558" s="3" t="s">
        <v>969</v>
      </c>
      <c r="P3558" s="3" t="s">
        <v>906</v>
      </c>
      <c r="Q3558" s="30" t="str">
        <f t="shared" si="55"/>
        <v>MAX : 2.175
TARGET : 2.160
MIN : 2.145</v>
      </c>
      <c r="R3558" s="3" t="s">
        <v>443</v>
      </c>
    </row>
    <row r="3559" spans="2:18" ht="41.4" x14ac:dyDescent="0.3">
      <c r="B3559">
        <v>0</v>
      </c>
      <c r="C3559" s="33">
        <v>8919</v>
      </c>
      <c r="D3559" s="2">
        <v>1337</v>
      </c>
      <c r="E3559" s="2" t="s">
        <v>11458</v>
      </c>
      <c r="F3559" s="3" t="s">
        <v>14206</v>
      </c>
      <c r="H3559" s="3" t="s">
        <v>108</v>
      </c>
      <c r="K3559" s="2">
        <v>20</v>
      </c>
      <c r="L3559" s="2">
        <v>4</v>
      </c>
      <c r="M3559" s="3" t="s">
        <v>4075</v>
      </c>
      <c r="N3559" s="3" t="s">
        <v>1706</v>
      </c>
      <c r="O3559" s="3" t="s">
        <v>698</v>
      </c>
      <c r="P3559" s="3" t="s">
        <v>1714</v>
      </c>
      <c r="Q3559" s="30" t="str">
        <f t="shared" si="55"/>
        <v>MAX : 0.315
TARGET : 0.300
MIN : 0.285</v>
      </c>
      <c r="R3559" s="3" t="s">
        <v>443</v>
      </c>
    </row>
    <row r="3560" spans="2:18" ht="41.4" x14ac:dyDescent="0.3">
      <c r="B3560">
        <v>0</v>
      </c>
      <c r="C3560" s="33">
        <v>8919</v>
      </c>
      <c r="D3560" s="2">
        <v>1337</v>
      </c>
      <c r="E3560" s="2" t="s">
        <v>11458</v>
      </c>
      <c r="F3560" s="3" t="s">
        <v>14206</v>
      </c>
      <c r="H3560" s="3" t="s">
        <v>108</v>
      </c>
      <c r="K3560" s="2">
        <v>20</v>
      </c>
      <c r="L3560" s="2">
        <v>5</v>
      </c>
      <c r="M3560" s="3" t="s">
        <v>4076</v>
      </c>
      <c r="N3560" s="3" t="s">
        <v>1706</v>
      </c>
      <c r="O3560" s="3" t="s">
        <v>698</v>
      </c>
      <c r="P3560" s="3" t="s">
        <v>1714</v>
      </c>
      <c r="Q3560" s="30" t="str">
        <f t="shared" si="55"/>
        <v>MAX : 0.315
TARGET : 0.300
MIN : 0.285</v>
      </c>
      <c r="R3560" s="3" t="s">
        <v>443</v>
      </c>
    </row>
    <row r="3561" spans="2:18" ht="41.4" x14ac:dyDescent="0.3">
      <c r="B3561">
        <v>0</v>
      </c>
      <c r="C3561" s="33">
        <v>8919</v>
      </c>
      <c r="D3561" s="2">
        <v>1337</v>
      </c>
      <c r="E3561" s="2" t="s">
        <v>11458</v>
      </c>
      <c r="F3561" s="3" t="s">
        <v>14206</v>
      </c>
      <c r="H3561" s="3" t="s">
        <v>108</v>
      </c>
      <c r="K3561" s="2">
        <v>20</v>
      </c>
      <c r="L3561" s="2">
        <v>6</v>
      </c>
      <c r="M3561" s="3" t="s">
        <v>4077</v>
      </c>
      <c r="N3561" s="3" t="s">
        <v>13</v>
      </c>
      <c r="O3561" s="3" t="s">
        <v>14</v>
      </c>
      <c r="Q3561" s="30" t="str">
        <f t="shared" si="55"/>
        <v>MAX : 
TARGET : Yes(Pass)
MIN : No(Fail)</v>
      </c>
      <c r="R3561" s="3" t="s">
        <v>443</v>
      </c>
    </row>
    <row r="3562" spans="2:18" ht="41.4" x14ac:dyDescent="0.3">
      <c r="B3562">
        <v>0</v>
      </c>
      <c r="C3562" s="33">
        <v>8919</v>
      </c>
      <c r="D3562" s="2">
        <v>1337</v>
      </c>
      <c r="E3562" s="2" t="s">
        <v>11458</v>
      </c>
      <c r="F3562" s="3" t="s">
        <v>14206</v>
      </c>
      <c r="H3562" s="3" t="s">
        <v>108</v>
      </c>
      <c r="K3562" s="2">
        <v>20</v>
      </c>
      <c r="L3562" s="2">
        <v>7</v>
      </c>
      <c r="M3562" s="3" t="s">
        <v>3329</v>
      </c>
      <c r="N3562" s="3" t="s">
        <v>13</v>
      </c>
      <c r="O3562" s="3" t="s">
        <v>14</v>
      </c>
      <c r="Q3562" s="30" t="str">
        <f t="shared" si="55"/>
        <v>MAX : 
TARGET : Yes(Pass)
MIN : No(Fail)</v>
      </c>
      <c r="R3562" s="3" t="s">
        <v>443</v>
      </c>
    </row>
    <row r="3563" spans="2:18" ht="41.4" x14ac:dyDescent="0.3">
      <c r="B3563">
        <v>1</v>
      </c>
      <c r="C3563" s="33">
        <v>8755</v>
      </c>
      <c r="D3563" s="2">
        <v>1280</v>
      </c>
      <c r="E3563" s="2" t="s">
        <v>10985</v>
      </c>
      <c r="F3563" s="3" t="s">
        <v>14206</v>
      </c>
      <c r="H3563" s="3" t="s">
        <v>3741</v>
      </c>
      <c r="K3563" s="2">
        <v>10</v>
      </c>
      <c r="L3563" s="2">
        <v>2</v>
      </c>
      <c r="M3563" s="3" t="s">
        <v>198</v>
      </c>
      <c r="N3563" s="3" t="s">
        <v>75</v>
      </c>
      <c r="O3563" s="3" t="s">
        <v>76</v>
      </c>
      <c r="P3563" s="3" t="s">
        <v>77</v>
      </c>
      <c r="Q3563" s="30" t="str">
        <f t="shared" si="55"/>
        <v>MAX : 2.53
TARGET : 2.50
MIN : 2.47</v>
      </c>
    </row>
    <row r="3564" spans="2:18" ht="41.4" x14ac:dyDescent="0.3">
      <c r="B3564">
        <v>1</v>
      </c>
      <c r="C3564" s="33">
        <v>8755</v>
      </c>
      <c r="D3564" s="2">
        <v>1280</v>
      </c>
      <c r="E3564" s="2" t="s">
        <v>10985</v>
      </c>
      <c r="F3564" s="3" t="s">
        <v>14206</v>
      </c>
      <c r="H3564" s="3" t="s">
        <v>3741</v>
      </c>
      <c r="K3564" s="2">
        <v>10</v>
      </c>
      <c r="L3564" s="2">
        <v>1</v>
      </c>
      <c r="M3564" s="3" t="s">
        <v>194</v>
      </c>
      <c r="N3564" s="3" t="s">
        <v>1755</v>
      </c>
      <c r="O3564" s="3" t="s">
        <v>201</v>
      </c>
      <c r="P3564" s="3" t="s">
        <v>1756</v>
      </c>
      <c r="Q3564" s="30" t="str">
        <f t="shared" si="55"/>
        <v>MAX : 5.78
TARGET : 5.75
MIN : 5.72</v>
      </c>
    </row>
    <row r="3565" spans="2:18" ht="41.4" x14ac:dyDescent="0.3">
      <c r="B3565">
        <v>0</v>
      </c>
      <c r="C3565" s="33">
        <v>8939</v>
      </c>
      <c r="D3565" s="2">
        <v>1343</v>
      </c>
      <c r="E3565" s="2" t="s">
        <v>11530</v>
      </c>
      <c r="F3565" s="3" t="s">
        <v>14206</v>
      </c>
      <c r="H3565" s="3" t="s">
        <v>2857</v>
      </c>
      <c r="K3565" s="2">
        <v>10</v>
      </c>
      <c r="L3565" s="2">
        <v>3</v>
      </c>
      <c r="M3565" s="3" t="s">
        <v>78</v>
      </c>
      <c r="N3565" s="3" t="s">
        <v>13</v>
      </c>
      <c r="O3565" s="3" t="s">
        <v>14</v>
      </c>
      <c r="Q3565" s="30" t="str">
        <f t="shared" si="55"/>
        <v>MAX : 
TARGET : Yes(Pass)
MIN : No(Fail)</v>
      </c>
    </row>
    <row r="3566" spans="2:18" ht="41.4" x14ac:dyDescent="0.3">
      <c r="B3566">
        <v>0</v>
      </c>
      <c r="C3566" s="33">
        <v>8939</v>
      </c>
      <c r="D3566" s="2">
        <v>1343</v>
      </c>
      <c r="E3566" s="2" t="s">
        <v>11530</v>
      </c>
      <c r="F3566" s="3" t="s">
        <v>14206</v>
      </c>
      <c r="H3566" s="3" t="s">
        <v>2857</v>
      </c>
      <c r="K3566" s="2">
        <v>10</v>
      </c>
      <c r="L3566" s="2">
        <v>4</v>
      </c>
      <c r="M3566" s="3" t="s">
        <v>4079</v>
      </c>
      <c r="N3566" s="3" t="s">
        <v>13</v>
      </c>
      <c r="O3566" s="3" t="s">
        <v>14</v>
      </c>
      <c r="Q3566" s="30" t="str">
        <f t="shared" si="55"/>
        <v>MAX : 
TARGET : Yes(Pass)
MIN : No(Fail)</v>
      </c>
    </row>
    <row r="3567" spans="2:18" ht="41.4" x14ac:dyDescent="0.3">
      <c r="B3567">
        <v>1</v>
      </c>
      <c r="C3567" s="33">
        <v>8756</v>
      </c>
      <c r="D3567" s="2">
        <v>1281</v>
      </c>
      <c r="E3567" s="2" t="s">
        <v>10985</v>
      </c>
      <c r="F3567" s="3" t="s">
        <v>14206</v>
      </c>
      <c r="H3567" s="3" t="s">
        <v>3741</v>
      </c>
      <c r="K3567" s="2">
        <v>10</v>
      </c>
      <c r="L3567" s="2">
        <v>2</v>
      </c>
      <c r="M3567" s="3" t="s">
        <v>198</v>
      </c>
      <c r="N3567" s="3" t="s">
        <v>75</v>
      </c>
      <c r="O3567" s="3" t="s">
        <v>76</v>
      </c>
      <c r="P3567" s="3" t="s">
        <v>77</v>
      </c>
      <c r="Q3567" s="30" t="str">
        <f t="shared" si="55"/>
        <v>MAX : 2.53
TARGET : 2.50
MIN : 2.47</v>
      </c>
    </row>
    <row r="3568" spans="2:18" ht="41.4" x14ac:dyDescent="0.3">
      <c r="B3568">
        <v>1</v>
      </c>
      <c r="C3568" s="33">
        <v>8756</v>
      </c>
      <c r="D3568" s="2">
        <v>1281</v>
      </c>
      <c r="E3568" s="2" t="s">
        <v>10985</v>
      </c>
      <c r="F3568" s="3" t="s">
        <v>14206</v>
      </c>
      <c r="H3568" s="3" t="s">
        <v>3741</v>
      </c>
      <c r="K3568" s="2">
        <v>10</v>
      </c>
      <c r="L3568" s="2">
        <v>1</v>
      </c>
      <c r="M3568" s="3" t="s">
        <v>194</v>
      </c>
      <c r="N3568" s="3" t="s">
        <v>1755</v>
      </c>
      <c r="O3568" s="3" t="s">
        <v>201</v>
      </c>
      <c r="P3568" s="3" t="s">
        <v>1756</v>
      </c>
      <c r="Q3568" s="30" t="str">
        <f t="shared" si="55"/>
        <v>MAX : 5.78
TARGET : 5.75
MIN : 5.72</v>
      </c>
    </row>
    <row r="3569" spans="2:18" ht="41.4" x14ac:dyDescent="0.3">
      <c r="B3569">
        <v>1</v>
      </c>
      <c r="C3569" s="33">
        <v>8757</v>
      </c>
      <c r="D3569" s="2">
        <v>1989</v>
      </c>
      <c r="E3569" s="2" t="s">
        <v>10996</v>
      </c>
      <c r="F3569" s="3" t="s">
        <v>14206</v>
      </c>
      <c r="H3569" s="3" t="s">
        <v>824</v>
      </c>
      <c r="K3569" s="2">
        <v>20</v>
      </c>
      <c r="L3569" s="2">
        <v>2</v>
      </c>
      <c r="M3569" s="3" t="s">
        <v>3761</v>
      </c>
      <c r="N3569" s="3" t="s">
        <v>1685</v>
      </c>
      <c r="O3569" s="3" t="s">
        <v>96</v>
      </c>
      <c r="P3569" s="3" t="s">
        <v>1686</v>
      </c>
      <c r="Q3569" s="30" t="str">
        <f t="shared" si="55"/>
        <v>MAX : 1.645
TARGET : 1.625
MIN : 1.605</v>
      </c>
    </row>
    <row r="3570" spans="2:18" ht="41.4" x14ac:dyDescent="0.3">
      <c r="B3570">
        <v>0</v>
      </c>
      <c r="C3570" s="33">
        <v>8675</v>
      </c>
      <c r="D3570" s="2">
        <v>1265</v>
      </c>
      <c r="E3570" s="2" t="s">
        <v>10834</v>
      </c>
      <c r="F3570" s="3" t="s">
        <v>14237</v>
      </c>
      <c r="H3570" s="3" t="s">
        <v>3552</v>
      </c>
      <c r="K3570" s="2">
        <v>10</v>
      </c>
      <c r="L3570" s="2">
        <v>13</v>
      </c>
      <c r="M3570" s="3" t="s">
        <v>5167</v>
      </c>
      <c r="N3570" s="3" t="s">
        <v>263</v>
      </c>
      <c r="O3570" s="3" t="s">
        <v>309</v>
      </c>
      <c r="P3570" s="3" t="s">
        <v>475</v>
      </c>
      <c r="Q3570" s="30" t="str">
        <f t="shared" si="55"/>
        <v>MAX : 0.51
TARGET : 0.50
MIN : 0.49</v>
      </c>
    </row>
    <row r="3571" spans="2:18" ht="41.4" x14ac:dyDescent="0.3">
      <c r="B3571">
        <v>1</v>
      </c>
      <c r="C3571" s="33">
        <v>8757</v>
      </c>
      <c r="D3571" s="2">
        <v>1989</v>
      </c>
      <c r="E3571" s="2" t="s">
        <v>10996</v>
      </c>
      <c r="F3571" s="3" t="s">
        <v>14206</v>
      </c>
      <c r="H3571" s="3" t="s">
        <v>824</v>
      </c>
      <c r="K3571" s="2">
        <v>20</v>
      </c>
      <c r="L3571" s="2">
        <v>1</v>
      </c>
      <c r="M3571" s="3" t="s">
        <v>3760</v>
      </c>
      <c r="N3571" s="3" t="s">
        <v>1683</v>
      </c>
      <c r="O3571" s="3" t="s">
        <v>340</v>
      </c>
      <c r="P3571" s="3" t="s">
        <v>1684</v>
      </c>
      <c r="Q3571" s="30" t="str">
        <f t="shared" si="55"/>
        <v>MAX : 3.52
TARGET : 3.50
MIN : 3.48</v>
      </c>
    </row>
    <row r="3572" spans="2:18" ht="41.4" x14ac:dyDescent="0.3">
      <c r="B3572">
        <v>1</v>
      </c>
      <c r="C3572" s="33">
        <v>8758</v>
      </c>
      <c r="D3572" s="2">
        <v>1282</v>
      </c>
      <c r="E3572" s="2" t="s">
        <v>9546</v>
      </c>
      <c r="F3572" s="3" t="s">
        <v>14206</v>
      </c>
      <c r="H3572" s="3" t="s">
        <v>2520</v>
      </c>
      <c r="K3572" s="2">
        <v>10</v>
      </c>
      <c r="L3572" s="2">
        <v>2</v>
      </c>
      <c r="M3572" s="3" t="s">
        <v>2521</v>
      </c>
      <c r="N3572" s="3" t="s">
        <v>769</v>
      </c>
      <c r="O3572" s="3" t="s">
        <v>309</v>
      </c>
      <c r="P3572" s="3" t="s">
        <v>264</v>
      </c>
      <c r="Q3572" s="30" t="str">
        <f t="shared" si="55"/>
        <v>MAX : 0.52
TARGET : 0.50
MIN : 0.48</v>
      </c>
      <c r="R3572" s="3" t="s">
        <v>1638</v>
      </c>
    </row>
    <row r="3573" spans="2:18" ht="41.4" x14ac:dyDescent="0.3">
      <c r="B3573">
        <v>1</v>
      </c>
      <c r="C3573" s="33">
        <v>8758</v>
      </c>
      <c r="D3573" s="2">
        <v>1282</v>
      </c>
      <c r="E3573" s="2" t="s">
        <v>9546</v>
      </c>
      <c r="F3573" s="3" t="s">
        <v>14206</v>
      </c>
      <c r="H3573" s="3" t="s">
        <v>2520</v>
      </c>
      <c r="K3573" s="2">
        <v>10</v>
      </c>
      <c r="L3573" s="2">
        <v>1</v>
      </c>
      <c r="M3573" s="3" t="s">
        <v>194</v>
      </c>
      <c r="N3573" s="3" t="s">
        <v>748</v>
      </c>
      <c r="O3573" s="3" t="s">
        <v>406</v>
      </c>
      <c r="P3573" s="3" t="s">
        <v>1784</v>
      </c>
      <c r="Q3573" s="30" t="str">
        <f t="shared" si="55"/>
        <v>MAX : 2.02
TARGET : 2.00
MIN : 1.98</v>
      </c>
      <c r="R3573" s="3" t="s">
        <v>1638</v>
      </c>
    </row>
    <row r="3574" spans="2:18" ht="41.4" x14ac:dyDescent="0.3">
      <c r="B3574">
        <v>0</v>
      </c>
      <c r="C3574" s="33">
        <v>8689</v>
      </c>
      <c r="D3574" s="2">
        <v>1266</v>
      </c>
      <c r="E3574" s="2" t="s">
        <v>10853</v>
      </c>
      <c r="F3574" s="3" t="s">
        <v>14206</v>
      </c>
      <c r="H3574" s="3" t="s">
        <v>3534</v>
      </c>
      <c r="K3574" s="2">
        <v>10</v>
      </c>
      <c r="L3574" s="2">
        <v>1</v>
      </c>
      <c r="M3574" s="3" t="s">
        <v>5536</v>
      </c>
      <c r="N3574" s="3" t="s">
        <v>742</v>
      </c>
      <c r="O3574" s="3" t="s">
        <v>339</v>
      </c>
      <c r="P3574" s="3" t="s">
        <v>5537</v>
      </c>
      <c r="Q3574" s="30" t="str">
        <f t="shared" si="55"/>
        <v>MAX : 4
TARGET : 3.25
MIN : 3.125</v>
      </c>
    </row>
    <row r="3575" spans="2:18" ht="41.4" x14ac:dyDescent="0.3">
      <c r="B3575">
        <v>1</v>
      </c>
      <c r="C3575" s="33">
        <v>8758</v>
      </c>
      <c r="D3575" s="2">
        <v>1282</v>
      </c>
      <c r="E3575" s="2" t="s">
        <v>9546</v>
      </c>
      <c r="F3575" s="3" t="s">
        <v>14206</v>
      </c>
      <c r="H3575" s="3" t="s">
        <v>2520</v>
      </c>
      <c r="K3575" s="2">
        <v>10</v>
      </c>
      <c r="L3575" s="2">
        <v>6</v>
      </c>
      <c r="M3575" s="3" t="s">
        <v>5354</v>
      </c>
      <c r="N3575" s="3" t="s">
        <v>1780</v>
      </c>
      <c r="O3575" s="3" t="s">
        <v>241</v>
      </c>
      <c r="P3575" s="3" t="s">
        <v>1746</v>
      </c>
      <c r="Q3575" s="30" t="str">
        <f t="shared" si="55"/>
        <v>MAX : 0.145
TARGET : 0.125
MIN : 0.105</v>
      </c>
      <c r="R3575" s="3" t="s">
        <v>1638</v>
      </c>
    </row>
    <row r="3576" spans="2:18" ht="41.4" x14ac:dyDescent="0.3">
      <c r="B3576">
        <v>1</v>
      </c>
      <c r="C3576" s="33">
        <v>8762</v>
      </c>
      <c r="D3576" s="2">
        <v>1283</v>
      </c>
      <c r="E3576" s="2" t="s">
        <v>11006</v>
      </c>
      <c r="F3576" s="3" t="s">
        <v>14207</v>
      </c>
      <c r="H3576" s="3" t="s">
        <v>504</v>
      </c>
      <c r="K3576" s="2">
        <v>20</v>
      </c>
      <c r="L3576" s="2">
        <v>2</v>
      </c>
      <c r="M3576" s="3" t="s">
        <v>1991</v>
      </c>
      <c r="N3576" s="3" t="s">
        <v>892</v>
      </c>
      <c r="O3576" s="3" t="s">
        <v>893</v>
      </c>
      <c r="P3576" s="3" t="s">
        <v>3746</v>
      </c>
      <c r="Q3576" s="30" t="str">
        <f t="shared" si="55"/>
        <v>MAX : 12
TARGET : 11
MIN : 10</v>
      </c>
      <c r="R3576" s="3" t="s">
        <v>1638</v>
      </c>
    </row>
    <row r="3577" spans="2:18" ht="41.4" x14ac:dyDescent="0.3">
      <c r="B3577">
        <v>0</v>
      </c>
      <c r="C3577" s="33">
        <v>8914</v>
      </c>
      <c r="D3577" s="2">
        <v>1335</v>
      </c>
      <c r="E3577" s="2" t="s">
        <v>11446</v>
      </c>
      <c r="F3577" s="3" t="s">
        <v>14207</v>
      </c>
      <c r="H3577" s="3" t="s">
        <v>648</v>
      </c>
      <c r="K3577" s="2">
        <v>20</v>
      </c>
      <c r="L3577" s="2">
        <v>3</v>
      </c>
      <c r="M3577" s="3" t="s">
        <v>4091</v>
      </c>
      <c r="N3577" s="3" t="s">
        <v>3848</v>
      </c>
      <c r="O3577" s="3" t="s">
        <v>4092</v>
      </c>
      <c r="P3577" s="3" t="s">
        <v>4093</v>
      </c>
      <c r="Q3577" s="30" t="str">
        <f t="shared" si="55"/>
        <v>MAX : 19.30
TARGET : 19.20
MIN : 19.10</v>
      </c>
      <c r="R3577" s="3" t="s">
        <v>3549</v>
      </c>
    </row>
    <row r="3578" spans="2:18" ht="41.4" x14ac:dyDescent="0.3">
      <c r="B3578">
        <v>0</v>
      </c>
      <c r="C3578" s="33">
        <v>8914</v>
      </c>
      <c r="D3578" s="2">
        <v>1335</v>
      </c>
      <c r="E3578" s="2" t="s">
        <v>11446</v>
      </c>
      <c r="F3578" s="3" t="s">
        <v>14207</v>
      </c>
      <c r="H3578" s="3" t="s">
        <v>648</v>
      </c>
      <c r="K3578" s="2">
        <v>20</v>
      </c>
      <c r="L3578" s="2">
        <v>4</v>
      </c>
      <c r="M3578" s="3" t="s">
        <v>4094</v>
      </c>
      <c r="N3578" s="3" t="s">
        <v>4095</v>
      </c>
      <c r="O3578" s="3" t="s">
        <v>4096</v>
      </c>
      <c r="P3578" s="3" t="s">
        <v>4097</v>
      </c>
      <c r="Q3578" s="30" t="str">
        <f t="shared" si="55"/>
        <v>MAX : 29.30
TARGET : 29.20
MIN : 29.10</v>
      </c>
      <c r="R3578" s="3" t="s">
        <v>3549</v>
      </c>
    </row>
    <row r="3579" spans="2:18" ht="41.4" x14ac:dyDescent="0.3">
      <c r="B3579">
        <v>0</v>
      </c>
      <c r="C3579" s="33">
        <v>8914</v>
      </c>
      <c r="D3579" s="2">
        <v>1335</v>
      </c>
      <c r="E3579" s="2" t="s">
        <v>11446</v>
      </c>
      <c r="F3579" s="3" t="s">
        <v>14207</v>
      </c>
      <c r="H3579" s="3" t="s">
        <v>648</v>
      </c>
      <c r="K3579" s="2">
        <v>20</v>
      </c>
      <c r="L3579" s="2">
        <v>5</v>
      </c>
      <c r="M3579" s="3" t="s">
        <v>4098</v>
      </c>
      <c r="N3579" s="3" t="s">
        <v>4099</v>
      </c>
      <c r="O3579" s="3" t="s">
        <v>4100</v>
      </c>
      <c r="P3579" s="3" t="s">
        <v>4101</v>
      </c>
      <c r="Q3579" s="30" t="str">
        <f t="shared" si="55"/>
        <v>MAX : 39.30
TARGET : 39.20
MIN : 39.10</v>
      </c>
      <c r="R3579" s="3" t="s">
        <v>3549</v>
      </c>
    </row>
    <row r="3580" spans="2:18" ht="41.4" x14ac:dyDescent="0.3">
      <c r="B3580">
        <v>0</v>
      </c>
      <c r="C3580" s="33">
        <v>8914</v>
      </c>
      <c r="D3580" s="2">
        <v>1335</v>
      </c>
      <c r="E3580" s="2" t="s">
        <v>11446</v>
      </c>
      <c r="F3580" s="3" t="s">
        <v>14207</v>
      </c>
      <c r="H3580" s="3" t="s">
        <v>648</v>
      </c>
      <c r="K3580" s="2">
        <v>20</v>
      </c>
      <c r="L3580" s="2">
        <v>6</v>
      </c>
      <c r="M3580" s="3" t="s">
        <v>4102</v>
      </c>
      <c r="N3580" s="3" t="s">
        <v>4103</v>
      </c>
      <c r="O3580" s="3" t="s">
        <v>4104</v>
      </c>
      <c r="P3580" s="3" t="s">
        <v>4105</v>
      </c>
      <c r="Q3580" s="30" t="str">
        <f t="shared" si="55"/>
        <v>MAX : 49.30
TARGET : 49.20
MIN : 49.10</v>
      </c>
      <c r="R3580" s="3" t="s">
        <v>3549</v>
      </c>
    </row>
    <row r="3581" spans="2:18" ht="41.4" x14ac:dyDescent="0.3">
      <c r="B3581">
        <v>0</v>
      </c>
      <c r="C3581" s="33">
        <v>8914</v>
      </c>
      <c r="D3581" s="2">
        <v>1335</v>
      </c>
      <c r="E3581" s="2" t="s">
        <v>11446</v>
      </c>
      <c r="F3581" s="3" t="s">
        <v>14207</v>
      </c>
      <c r="H3581" s="3" t="s">
        <v>648</v>
      </c>
      <c r="K3581" s="2">
        <v>20</v>
      </c>
      <c r="L3581" s="2">
        <v>7</v>
      </c>
      <c r="M3581" s="3" t="s">
        <v>4106</v>
      </c>
      <c r="N3581" s="3" t="s">
        <v>4107</v>
      </c>
      <c r="O3581" s="3" t="s">
        <v>4108</v>
      </c>
      <c r="P3581" s="3" t="s">
        <v>4109</v>
      </c>
      <c r="Q3581" s="30" t="str">
        <f t="shared" si="55"/>
        <v>MAX : 59.30
TARGET : 59.20
MIN : 59.10</v>
      </c>
      <c r="R3581" s="3" t="s">
        <v>3549</v>
      </c>
    </row>
    <row r="3582" spans="2:18" ht="41.4" x14ac:dyDescent="0.3">
      <c r="B3582">
        <v>0</v>
      </c>
      <c r="C3582" s="33">
        <v>8914</v>
      </c>
      <c r="D3582" s="2">
        <v>1335</v>
      </c>
      <c r="E3582" s="2" t="s">
        <v>11446</v>
      </c>
      <c r="F3582" s="3" t="s">
        <v>14207</v>
      </c>
      <c r="H3582" s="3" t="s">
        <v>648</v>
      </c>
      <c r="K3582" s="2">
        <v>20</v>
      </c>
      <c r="L3582" s="2">
        <v>8</v>
      </c>
      <c r="M3582" s="3" t="s">
        <v>4110</v>
      </c>
      <c r="N3582" s="3" t="s">
        <v>4111</v>
      </c>
      <c r="O3582" s="3" t="s">
        <v>4112</v>
      </c>
      <c r="P3582" s="3" t="s">
        <v>4113</v>
      </c>
      <c r="Q3582" s="30" t="str">
        <f t="shared" si="55"/>
        <v>MAX : 69.30
TARGET : 69.20
MIN : 69.10</v>
      </c>
      <c r="R3582" s="3" t="s">
        <v>3549</v>
      </c>
    </row>
    <row r="3583" spans="2:18" ht="41.4" x14ac:dyDescent="0.3">
      <c r="B3583">
        <v>0</v>
      </c>
      <c r="C3583" s="33">
        <v>8914</v>
      </c>
      <c r="D3583" s="2">
        <v>1335</v>
      </c>
      <c r="E3583" s="2" t="s">
        <v>11446</v>
      </c>
      <c r="F3583" s="3" t="s">
        <v>14207</v>
      </c>
      <c r="H3583" s="3" t="s">
        <v>648</v>
      </c>
      <c r="K3583" s="2">
        <v>20</v>
      </c>
      <c r="L3583" s="2">
        <v>9</v>
      </c>
      <c r="M3583" s="3" t="s">
        <v>4114</v>
      </c>
      <c r="N3583" s="3" t="s">
        <v>4115</v>
      </c>
      <c r="O3583" s="3" t="s">
        <v>4116</v>
      </c>
      <c r="P3583" s="3" t="s">
        <v>4117</v>
      </c>
      <c r="Q3583" s="30" t="str">
        <f t="shared" si="55"/>
        <v>MAX : 79.30
TARGET : 79.20
MIN : 79.10</v>
      </c>
      <c r="R3583" s="3" t="s">
        <v>3549</v>
      </c>
    </row>
    <row r="3584" spans="2:18" ht="41.4" x14ac:dyDescent="0.3">
      <c r="B3584">
        <v>0</v>
      </c>
      <c r="C3584" s="33">
        <v>8914</v>
      </c>
      <c r="D3584" s="2">
        <v>1335</v>
      </c>
      <c r="E3584" s="2" t="s">
        <v>11446</v>
      </c>
      <c r="F3584" s="3" t="s">
        <v>14207</v>
      </c>
      <c r="H3584" s="3" t="s">
        <v>648</v>
      </c>
      <c r="K3584" s="2">
        <v>20</v>
      </c>
      <c r="L3584" s="2">
        <v>10</v>
      </c>
      <c r="M3584" s="3" t="s">
        <v>4118</v>
      </c>
      <c r="N3584" s="3" t="s">
        <v>4119</v>
      </c>
      <c r="O3584" s="3" t="s">
        <v>4120</v>
      </c>
      <c r="P3584" s="3" t="s">
        <v>4121</v>
      </c>
      <c r="Q3584" s="30" t="str">
        <f t="shared" si="55"/>
        <v>MAX : 90.80
TARGET : 90.70
MIN : 90.60</v>
      </c>
      <c r="R3584" s="3" t="s">
        <v>3549</v>
      </c>
    </row>
    <row r="3585" spans="2:18" ht="41.4" x14ac:dyDescent="0.3">
      <c r="B3585">
        <v>0</v>
      </c>
      <c r="C3585" s="33">
        <v>8914</v>
      </c>
      <c r="D3585" s="2">
        <v>1335</v>
      </c>
      <c r="E3585" s="2" t="s">
        <v>11446</v>
      </c>
      <c r="F3585" s="3" t="s">
        <v>14207</v>
      </c>
      <c r="H3585" s="3" t="s">
        <v>648</v>
      </c>
      <c r="K3585" s="2">
        <v>20</v>
      </c>
      <c r="L3585" s="2">
        <v>11</v>
      </c>
      <c r="M3585" s="3" t="s">
        <v>198</v>
      </c>
      <c r="N3585" s="3" t="s">
        <v>4122</v>
      </c>
      <c r="O3585" s="3" t="s">
        <v>4123</v>
      </c>
      <c r="P3585" s="3" t="s">
        <v>4124</v>
      </c>
      <c r="Q3585" s="30" t="str">
        <f t="shared" si="55"/>
        <v>MAX : 83.79
TARGET : 83.69
MIN : 83.59</v>
      </c>
      <c r="R3585" s="3" t="s">
        <v>3549</v>
      </c>
    </row>
    <row r="3586" spans="2:18" ht="41.4" x14ac:dyDescent="0.3">
      <c r="B3586">
        <v>1</v>
      </c>
      <c r="C3586" s="33">
        <v>8762</v>
      </c>
      <c r="D3586" s="2">
        <v>1283</v>
      </c>
      <c r="E3586" s="2" t="s">
        <v>11006</v>
      </c>
      <c r="F3586" s="3" t="s">
        <v>14207</v>
      </c>
      <c r="H3586" s="3" t="s">
        <v>504</v>
      </c>
      <c r="K3586" s="2">
        <v>20</v>
      </c>
      <c r="L3586" s="2">
        <v>1</v>
      </c>
      <c r="M3586" s="3" t="s">
        <v>194</v>
      </c>
      <c r="N3586" s="3" t="s">
        <v>3743</v>
      </c>
      <c r="O3586" s="3" t="s">
        <v>3744</v>
      </c>
      <c r="P3586" s="3" t="s">
        <v>3745</v>
      </c>
      <c r="Q3586" s="30" t="str">
        <f t="shared" ref="Q3586:Q3649" si="56">"MAX : " &amp; P3586 &amp; CHAR(10) &amp; "TARGET : " &amp; O3586 &amp; CHAR(10) &amp; "MIN : " &amp; N3586</f>
        <v>MAX : 23.1
TARGET : 22.1
MIN : 21.1</v>
      </c>
      <c r="R3586" s="3" t="s">
        <v>1638</v>
      </c>
    </row>
    <row r="3587" spans="2:18" ht="41.4" x14ac:dyDescent="0.3">
      <c r="B3587">
        <v>1</v>
      </c>
      <c r="C3587" s="33">
        <v>8765</v>
      </c>
      <c r="D3587" s="2">
        <v>1284</v>
      </c>
      <c r="E3587" s="2" t="s">
        <v>11012</v>
      </c>
      <c r="F3587" s="3" t="s">
        <v>14206</v>
      </c>
      <c r="H3587" s="3" t="s">
        <v>2524</v>
      </c>
      <c r="K3587" s="2">
        <v>10</v>
      </c>
      <c r="L3587" s="2">
        <v>2</v>
      </c>
      <c r="M3587" s="3" t="s">
        <v>2521</v>
      </c>
      <c r="N3587" s="3" t="s">
        <v>1490</v>
      </c>
      <c r="O3587" s="3" t="s">
        <v>132</v>
      </c>
      <c r="P3587" s="3" t="s">
        <v>133</v>
      </c>
      <c r="Q3587" s="30" t="str">
        <f t="shared" si="56"/>
        <v>MAX : 0.78
TARGET : 0.75
MIN : 0.73</v>
      </c>
      <c r="R3587" s="3" t="s">
        <v>1638</v>
      </c>
    </row>
    <row r="3588" spans="2:18" ht="41.4" x14ac:dyDescent="0.3">
      <c r="B3588">
        <v>0</v>
      </c>
      <c r="C3588" s="33">
        <v>8915</v>
      </c>
      <c r="D3588" s="2">
        <v>1336</v>
      </c>
      <c r="E3588" s="2" t="s">
        <v>11452</v>
      </c>
      <c r="F3588" s="3" t="s">
        <v>14207</v>
      </c>
      <c r="H3588" s="3" t="s">
        <v>648</v>
      </c>
      <c r="K3588" s="2">
        <v>20</v>
      </c>
      <c r="L3588" s="2">
        <v>3</v>
      </c>
      <c r="M3588" s="3" t="s">
        <v>4130</v>
      </c>
      <c r="N3588" s="3" t="s">
        <v>4131</v>
      </c>
      <c r="O3588" s="3" t="s">
        <v>4132</v>
      </c>
      <c r="P3588" s="3" t="s">
        <v>4133</v>
      </c>
      <c r="Q3588" s="30" t="str">
        <f t="shared" si="56"/>
        <v>MAX : 40.83
TARGET : 40.58
MIN : 40.33</v>
      </c>
    </row>
    <row r="3589" spans="2:18" ht="41.4" x14ac:dyDescent="0.3">
      <c r="B3589">
        <v>0</v>
      </c>
      <c r="C3589" s="33">
        <v>8915</v>
      </c>
      <c r="D3589" s="2">
        <v>1336</v>
      </c>
      <c r="E3589" s="2" t="s">
        <v>11452</v>
      </c>
      <c r="F3589" s="3" t="s">
        <v>14207</v>
      </c>
      <c r="H3589" s="3" t="s">
        <v>648</v>
      </c>
      <c r="K3589" s="2">
        <v>30</v>
      </c>
      <c r="L3589" s="2">
        <v>1</v>
      </c>
      <c r="M3589" s="3" t="s">
        <v>194</v>
      </c>
      <c r="N3589" s="3" t="s">
        <v>4134</v>
      </c>
      <c r="O3589" s="3" t="s">
        <v>4135</v>
      </c>
      <c r="P3589" s="3" t="s">
        <v>4136</v>
      </c>
      <c r="Q3589" s="30" t="str">
        <f t="shared" si="56"/>
        <v>MAX : 159.55
TARGET : 159.30
MIN : 159.05</v>
      </c>
    </row>
    <row r="3590" spans="2:18" ht="41.4" x14ac:dyDescent="0.3">
      <c r="B3590">
        <v>0</v>
      </c>
      <c r="C3590" s="33">
        <v>8915</v>
      </c>
      <c r="D3590" s="2">
        <v>1336</v>
      </c>
      <c r="E3590" s="2" t="s">
        <v>11452</v>
      </c>
      <c r="F3590" s="3" t="s">
        <v>14207</v>
      </c>
      <c r="H3590" s="3" t="s">
        <v>648</v>
      </c>
      <c r="K3590" s="2">
        <v>30</v>
      </c>
      <c r="L3590" s="2">
        <v>2</v>
      </c>
      <c r="M3590" s="3" t="s">
        <v>4137</v>
      </c>
      <c r="N3590" s="3" t="s">
        <v>4138</v>
      </c>
      <c r="O3590" s="3" t="s">
        <v>1231</v>
      </c>
      <c r="P3590" s="3" t="s">
        <v>4139</v>
      </c>
      <c r="Q3590" s="30" t="str">
        <f t="shared" si="56"/>
        <v>MAX : 8.21
TARGET : 8.06
MIN : 7.91</v>
      </c>
    </row>
    <row r="3591" spans="2:18" ht="41.4" x14ac:dyDescent="0.3">
      <c r="B3591">
        <v>0</v>
      </c>
      <c r="C3591" s="33">
        <v>8915</v>
      </c>
      <c r="D3591" s="2">
        <v>1336</v>
      </c>
      <c r="E3591" s="2" t="s">
        <v>11452</v>
      </c>
      <c r="F3591" s="3" t="s">
        <v>14207</v>
      </c>
      <c r="H3591" s="3" t="s">
        <v>648</v>
      </c>
      <c r="K3591" s="2">
        <v>30</v>
      </c>
      <c r="L3591" s="2">
        <v>3</v>
      </c>
      <c r="M3591" s="3" t="s">
        <v>4140</v>
      </c>
      <c r="N3591" s="3" t="s">
        <v>4141</v>
      </c>
      <c r="O3591" s="3" t="s">
        <v>4142</v>
      </c>
      <c r="P3591" s="3" t="s">
        <v>4143</v>
      </c>
      <c r="Q3591" s="30" t="str">
        <f t="shared" si="56"/>
        <v>MAX : 21.21
TARGET : 21.06
MIN : 20.91</v>
      </c>
    </row>
    <row r="3592" spans="2:18" ht="41.4" x14ac:dyDescent="0.3">
      <c r="B3592">
        <v>0</v>
      </c>
      <c r="C3592" s="33">
        <v>8915</v>
      </c>
      <c r="D3592" s="2">
        <v>1336</v>
      </c>
      <c r="E3592" s="2" t="s">
        <v>11452</v>
      </c>
      <c r="F3592" s="3" t="s">
        <v>14207</v>
      </c>
      <c r="H3592" s="3" t="s">
        <v>648</v>
      </c>
      <c r="K3592" s="2">
        <v>30</v>
      </c>
      <c r="L3592" s="2">
        <v>4</v>
      </c>
      <c r="M3592" s="3" t="s">
        <v>4144</v>
      </c>
      <c r="N3592" s="3" t="s">
        <v>4145</v>
      </c>
      <c r="O3592" s="3" t="s">
        <v>4146</v>
      </c>
      <c r="P3592" s="3" t="s">
        <v>4147</v>
      </c>
      <c r="Q3592" s="30" t="str">
        <f t="shared" si="56"/>
        <v>MAX : 41.21
TARGET : 41.06
MIN : 40.91</v>
      </c>
    </row>
    <row r="3593" spans="2:18" ht="41.4" x14ac:dyDescent="0.3">
      <c r="B3593">
        <v>0</v>
      </c>
      <c r="C3593" s="33">
        <v>8915</v>
      </c>
      <c r="D3593" s="2">
        <v>1336</v>
      </c>
      <c r="E3593" s="2" t="s">
        <v>11452</v>
      </c>
      <c r="F3593" s="3" t="s">
        <v>14207</v>
      </c>
      <c r="H3593" s="3" t="s">
        <v>648</v>
      </c>
      <c r="K3593" s="2">
        <v>30</v>
      </c>
      <c r="L3593" s="2">
        <v>5</v>
      </c>
      <c r="M3593" s="3" t="s">
        <v>4148</v>
      </c>
      <c r="N3593" s="3" t="s">
        <v>4149</v>
      </c>
      <c r="O3593" s="3" t="s">
        <v>4150</v>
      </c>
      <c r="P3593" s="3" t="s">
        <v>4151</v>
      </c>
      <c r="Q3593" s="30" t="str">
        <f t="shared" si="56"/>
        <v>MAX : 61.21
TARGET : 61.06
MIN : 60.91</v>
      </c>
    </row>
    <row r="3594" spans="2:18" ht="41.4" x14ac:dyDescent="0.3">
      <c r="B3594">
        <v>0</v>
      </c>
      <c r="C3594" s="33">
        <v>8915</v>
      </c>
      <c r="D3594" s="2">
        <v>1336</v>
      </c>
      <c r="E3594" s="2" t="s">
        <v>11452</v>
      </c>
      <c r="F3594" s="3" t="s">
        <v>14207</v>
      </c>
      <c r="H3594" s="3" t="s">
        <v>648</v>
      </c>
      <c r="K3594" s="2">
        <v>30</v>
      </c>
      <c r="L3594" s="2">
        <v>6</v>
      </c>
      <c r="M3594" s="3" t="s">
        <v>4152</v>
      </c>
      <c r="N3594" s="3" t="s">
        <v>4153</v>
      </c>
      <c r="O3594" s="3" t="s">
        <v>4154</v>
      </c>
      <c r="P3594" s="3" t="s">
        <v>4155</v>
      </c>
      <c r="Q3594" s="30" t="str">
        <f t="shared" si="56"/>
        <v>MAX : 81.21
TARGET : 81.06
MIN : 80.91</v>
      </c>
    </row>
    <row r="3595" spans="2:18" ht="41.4" x14ac:dyDescent="0.3">
      <c r="B3595">
        <v>0</v>
      </c>
      <c r="C3595" s="33">
        <v>8915</v>
      </c>
      <c r="D3595" s="2">
        <v>1336</v>
      </c>
      <c r="E3595" s="2" t="s">
        <v>11452</v>
      </c>
      <c r="F3595" s="3" t="s">
        <v>14207</v>
      </c>
      <c r="H3595" s="3" t="s">
        <v>648</v>
      </c>
      <c r="K3595" s="2">
        <v>30</v>
      </c>
      <c r="L3595" s="2">
        <v>7</v>
      </c>
      <c r="M3595" s="3" t="s">
        <v>198</v>
      </c>
      <c r="N3595" s="3" t="s">
        <v>4156</v>
      </c>
      <c r="O3595" s="3" t="s">
        <v>4157</v>
      </c>
      <c r="P3595" s="3" t="s">
        <v>4158</v>
      </c>
      <c r="Q3595" s="30" t="str">
        <f t="shared" si="56"/>
        <v>MAX : 92.15
TARGET : 91.90
MIN : 91.65</v>
      </c>
    </row>
    <row r="3596" spans="2:18" ht="41.4" x14ac:dyDescent="0.3">
      <c r="B3596">
        <v>0</v>
      </c>
      <c r="C3596" s="33">
        <v>8915</v>
      </c>
      <c r="D3596" s="2">
        <v>1336</v>
      </c>
      <c r="E3596" s="2" t="s">
        <v>11452</v>
      </c>
      <c r="F3596" s="3" t="s">
        <v>14207</v>
      </c>
      <c r="H3596" s="3" t="s">
        <v>648</v>
      </c>
      <c r="K3596" s="2">
        <v>30</v>
      </c>
      <c r="L3596" s="2">
        <v>8</v>
      </c>
      <c r="M3596" s="3" t="s">
        <v>4159</v>
      </c>
      <c r="N3596" s="3" t="s">
        <v>4160</v>
      </c>
      <c r="O3596" s="3" t="s">
        <v>4161</v>
      </c>
      <c r="P3596" s="3" t="s">
        <v>4162</v>
      </c>
      <c r="Q3596" s="30" t="str">
        <f t="shared" si="56"/>
        <v>MAX : 19.05
TARGET : 18.80
MIN : 18.55</v>
      </c>
    </row>
    <row r="3597" spans="2:18" ht="41.4" x14ac:dyDescent="0.3">
      <c r="B3597">
        <v>0</v>
      </c>
      <c r="C3597" s="33">
        <v>8915</v>
      </c>
      <c r="D3597" s="2">
        <v>1336</v>
      </c>
      <c r="E3597" s="2" t="s">
        <v>11452</v>
      </c>
      <c r="F3597" s="3" t="s">
        <v>14207</v>
      </c>
      <c r="H3597" s="3" t="s">
        <v>648</v>
      </c>
      <c r="K3597" s="2">
        <v>30</v>
      </c>
      <c r="L3597" s="2">
        <v>13</v>
      </c>
      <c r="M3597" s="3" t="s">
        <v>4163</v>
      </c>
      <c r="N3597" s="3" t="s">
        <v>13</v>
      </c>
      <c r="O3597" s="3" t="s">
        <v>14</v>
      </c>
      <c r="Q3597" s="30" t="str">
        <f t="shared" si="56"/>
        <v>MAX : 
TARGET : Yes(Pass)
MIN : No(Fail)</v>
      </c>
    </row>
    <row r="3598" spans="2:18" ht="41.4" x14ac:dyDescent="0.3">
      <c r="B3598">
        <v>0</v>
      </c>
      <c r="C3598" s="33">
        <v>8915</v>
      </c>
      <c r="D3598" s="2">
        <v>1336</v>
      </c>
      <c r="E3598" s="2" t="s">
        <v>11452</v>
      </c>
      <c r="F3598" s="3" t="s">
        <v>14207</v>
      </c>
      <c r="H3598" s="3" t="s">
        <v>648</v>
      </c>
      <c r="K3598" s="2">
        <v>30</v>
      </c>
      <c r="L3598" s="2">
        <v>14</v>
      </c>
      <c r="M3598" s="3" t="s">
        <v>78</v>
      </c>
      <c r="N3598" s="3" t="s">
        <v>13</v>
      </c>
      <c r="O3598" s="3" t="s">
        <v>14</v>
      </c>
      <c r="Q3598" s="30" t="str">
        <f t="shared" si="56"/>
        <v>MAX : 
TARGET : Yes(Pass)
MIN : No(Fail)</v>
      </c>
    </row>
    <row r="3599" spans="2:18" ht="41.4" x14ac:dyDescent="0.3">
      <c r="B3599">
        <v>1</v>
      </c>
      <c r="C3599" s="33">
        <v>8765</v>
      </c>
      <c r="D3599" s="2">
        <v>1284</v>
      </c>
      <c r="E3599" s="2" t="s">
        <v>11012</v>
      </c>
      <c r="F3599" s="3" t="s">
        <v>14206</v>
      </c>
      <c r="H3599" s="3" t="s">
        <v>2524</v>
      </c>
      <c r="K3599" s="2">
        <v>10</v>
      </c>
      <c r="L3599" s="2">
        <v>1</v>
      </c>
      <c r="M3599" s="3" t="s">
        <v>194</v>
      </c>
      <c r="N3599" s="3" t="s">
        <v>1895</v>
      </c>
      <c r="O3599" s="3" t="s">
        <v>344</v>
      </c>
      <c r="P3599" s="3" t="s">
        <v>629</v>
      </c>
      <c r="Q3599" s="30" t="str">
        <f t="shared" si="56"/>
        <v>MAX : 1.27
TARGET : 1.25
MIN : 1.23</v>
      </c>
      <c r="R3599" s="3" t="s">
        <v>1638</v>
      </c>
    </row>
    <row r="3600" spans="2:18" ht="41.4" x14ac:dyDescent="0.3">
      <c r="B3600">
        <v>1</v>
      </c>
      <c r="C3600" s="33">
        <v>8765</v>
      </c>
      <c r="D3600" s="2">
        <v>1284</v>
      </c>
      <c r="E3600" s="2" t="s">
        <v>11012</v>
      </c>
      <c r="F3600" s="3" t="s">
        <v>14206</v>
      </c>
      <c r="H3600" s="3" t="s">
        <v>2524</v>
      </c>
      <c r="K3600" s="2">
        <v>10</v>
      </c>
      <c r="L3600" s="2">
        <v>6</v>
      </c>
      <c r="M3600" s="3" t="s">
        <v>5354</v>
      </c>
      <c r="N3600" s="3" t="s">
        <v>1780</v>
      </c>
      <c r="O3600" s="3" t="s">
        <v>241</v>
      </c>
      <c r="P3600" s="3" t="s">
        <v>1746</v>
      </c>
      <c r="Q3600" s="30" t="str">
        <f t="shared" si="56"/>
        <v>MAX : 0.145
TARGET : 0.125
MIN : 0.105</v>
      </c>
      <c r="R3600" s="3" t="s">
        <v>1638</v>
      </c>
    </row>
    <row r="3601" spans="2:18" ht="41.4" x14ac:dyDescent="0.3">
      <c r="B3601">
        <v>0</v>
      </c>
      <c r="C3601" s="33">
        <v>8923</v>
      </c>
      <c r="D3601" s="2">
        <v>1340</v>
      </c>
      <c r="E3601" s="2" t="s">
        <v>11478</v>
      </c>
      <c r="F3601" s="3" t="s">
        <v>14206</v>
      </c>
      <c r="H3601" s="3" t="s">
        <v>648</v>
      </c>
      <c r="K3601" s="2">
        <v>30</v>
      </c>
      <c r="L3601" s="2">
        <v>3</v>
      </c>
      <c r="M3601" s="3" t="s">
        <v>346</v>
      </c>
      <c r="N3601" s="3" t="s">
        <v>4165</v>
      </c>
      <c r="O3601" s="3" t="s">
        <v>4166</v>
      </c>
      <c r="P3601" s="3" t="s">
        <v>4167</v>
      </c>
      <c r="Q3601" s="30" t="str">
        <f t="shared" si="56"/>
        <v>MAX : 1.139
TARGET : 1.134
MIN : 1.129</v>
      </c>
      <c r="R3601" s="3" t="s">
        <v>1638</v>
      </c>
    </row>
    <row r="3602" spans="2:18" ht="41.4" x14ac:dyDescent="0.3">
      <c r="B3602">
        <v>0</v>
      </c>
      <c r="C3602" s="33">
        <v>8923</v>
      </c>
      <c r="D3602" s="2">
        <v>1340</v>
      </c>
      <c r="E3602" s="2" t="s">
        <v>11478</v>
      </c>
      <c r="F3602" s="3" t="s">
        <v>14206</v>
      </c>
      <c r="H3602" s="3" t="s">
        <v>648</v>
      </c>
      <c r="K3602" s="2">
        <v>30</v>
      </c>
      <c r="L3602" s="2">
        <v>3</v>
      </c>
      <c r="M3602" s="3" t="s">
        <v>885</v>
      </c>
      <c r="N3602" s="3" t="s">
        <v>4169</v>
      </c>
      <c r="O3602" s="3" t="s">
        <v>4170</v>
      </c>
      <c r="P3602" s="3" t="s">
        <v>4171</v>
      </c>
      <c r="Q3602" s="30" t="str">
        <f t="shared" si="56"/>
        <v>MAX : 1.389
TARGET : 1.384
MIN : 1.379</v>
      </c>
      <c r="R3602" s="3" t="s">
        <v>1638</v>
      </c>
    </row>
    <row r="3603" spans="2:18" ht="41.4" x14ac:dyDescent="0.3">
      <c r="B3603">
        <v>0</v>
      </c>
      <c r="C3603" s="33">
        <v>8923</v>
      </c>
      <c r="D3603" s="2">
        <v>1340</v>
      </c>
      <c r="E3603" s="2" t="s">
        <v>11478</v>
      </c>
      <c r="F3603" s="3" t="s">
        <v>14206</v>
      </c>
      <c r="H3603" s="3" t="s">
        <v>648</v>
      </c>
      <c r="K3603" s="2">
        <v>30</v>
      </c>
      <c r="L3603" s="2">
        <v>15</v>
      </c>
      <c r="M3603" s="3" t="s">
        <v>4172</v>
      </c>
      <c r="N3603" s="3" t="s">
        <v>24</v>
      </c>
      <c r="O3603" s="3" t="s">
        <v>25</v>
      </c>
      <c r="Q3603" s="30" t="str">
        <f t="shared" si="56"/>
        <v>MAX : 
TARGET : Yes (Pass)
MIN : No (Fail)</v>
      </c>
      <c r="R3603" s="3" t="s">
        <v>1638</v>
      </c>
    </row>
    <row r="3604" spans="2:18" ht="41.4" x14ac:dyDescent="0.3">
      <c r="B3604">
        <v>1</v>
      </c>
      <c r="C3604" s="33">
        <v>8765</v>
      </c>
      <c r="D3604" s="2">
        <v>1284</v>
      </c>
      <c r="E3604" s="2" t="s">
        <v>11012</v>
      </c>
      <c r="F3604" s="3" t="s">
        <v>14206</v>
      </c>
      <c r="H3604" s="3" t="s">
        <v>2524</v>
      </c>
      <c r="K3604" s="2">
        <v>10</v>
      </c>
      <c r="L3604" s="2">
        <v>10</v>
      </c>
      <c r="M3604" s="3" t="s">
        <v>6204</v>
      </c>
      <c r="N3604" s="3" t="s">
        <v>13</v>
      </c>
      <c r="O3604" s="3" t="s">
        <v>14</v>
      </c>
      <c r="Q3604" s="30" t="str">
        <f t="shared" si="56"/>
        <v>MAX : 
TARGET : Yes(Pass)
MIN : No(Fail)</v>
      </c>
      <c r="R3604" s="3" t="s">
        <v>1638</v>
      </c>
    </row>
    <row r="3605" spans="2:18" ht="41.4" x14ac:dyDescent="0.3">
      <c r="B3605">
        <v>1</v>
      </c>
      <c r="C3605" s="33">
        <v>8767</v>
      </c>
      <c r="D3605" s="2">
        <v>1285</v>
      </c>
      <c r="E3605" s="2" t="s">
        <v>11019</v>
      </c>
      <c r="F3605" s="3" t="s">
        <v>14207</v>
      </c>
      <c r="H3605" s="3" t="s">
        <v>3758</v>
      </c>
      <c r="K3605" s="2">
        <v>20</v>
      </c>
      <c r="L3605" s="2">
        <v>2</v>
      </c>
      <c r="M3605" s="3" t="s">
        <v>3759</v>
      </c>
      <c r="N3605" s="3" t="s">
        <v>24</v>
      </c>
      <c r="O3605" s="3" t="s">
        <v>25</v>
      </c>
      <c r="Q3605" s="30" t="str">
        <f t="shared" si="56"/>
        <v>MAX : 
TARGET : Yes (Pass)
MIN : No (Fail)</v>
      </c>
    </row>
    <row r="3606" spans="2:18" ht="41.4" x14ac:dyDescent="0.3">
      <c r="B3606">
        <v>1</v>
      </c>
      <c r="C3606" s="33">
        <v>8767</v>
      </c>
      <c r="D3606" s="2">
        <v>1285</v>
      </c>
      <c r="E3606" s="2" t="s">
        <v>11019</v>
      </c>
      <c r="F3606" s="3" t="s">
        <v>14207</v>
      </c>
      <c r="H3606" s="3" t="s">
        <v>3758</v>
      </c>
      <c r="K3606" s="2">
        <v>20</v>
      </c>
      <c r="L3606" s="2">
        <v>1</v>
      </c>
      <c r="M3606" s="3" t="s">
        <v>5617</v>
      </c>
      <c r="N3606" s="3" t="s">
        <v>24</v>
      </c>
      <c r="O3606" s="3" t="s">
        <v>25</v>
      </c>
      <c r="Q3606" s="30" t="str">
        <f t="shared" si="56"/>
        <v>MAX : 
TARGET : Yes (Pass)
MIN : No (Fail)</v>
      </c>
    </row>
    <row r="3607" spans="2:18" ht="41.4" x14ac:dyDescent="0.3">
      <c r="B3607">
        <v>1</v>
      </c>
      <c r="C3607" s="33">
        <v>8772</v>
      </c>
      <c r="D3607" s="2">
        <v>1990</v>
      </c>
      <c r="E3607" s="2" t="s">
        <v>11026</v>
      </c>
      <c r="F3607" s="3" t="s">
        <v>14206</v>
      </c>
      <c r="H3607" s="3" t="s">
        <v>1144</v>
      </c>
      <c r="K3607" s="2">
        <v>10</v>
      </c>
      <c r="L3607" s="2">
        <v>2</v>
      </c>
      <c r="M3607" s="3" t="s">
        <v>1135</v>
      </c>
      <c r="N3607" s="3" t="s">
        <v>24</v>
      </c>
      <c r="O3607" s="3" t="s">
        <v>25</v>
      </c>
      <c r="Q3607" s="30" t="str">
        <f t="shared" si="56"/>
        <v>MAX : 
TARGET : Yes (Pass)
MIN : No (Fail)</v>
      </c>
    </row>
    <row r="3608" spans="2:18" ht="41.4" x14ac:dyDescent="0.3">
      <c r="B3608">
        <v>0</v>
      </c>
      <c r="C3608" s="33">
        <v>8951</v>
      </c>
      <c r="D3608" s="2">
        <v>2017</v>
      </c>
      <c r="E3608" s="2" t="s">
        <v>11580</v>
      </c>
      <c r="F3608" s="3" t="s">
        <v>14206</v>
      </c>
      <c r="H3608" s="3" t="s">
        <v>193</v>
      </c>
      <c r="K3608" s="2">
        <v>20</v>
      </c>
      <c r="L3608" s="2">
        <v>2</v>
      </c>
      <c r="M3608" s="3" t="s">
        <v>872</v>
      </c>
      <c r="N3608" s="3" t="s">
        <v>13</v>
      </c>
      <c r="O3608" s="3" t="s">
        <v>14</v>
      </c>
      <c r="Q3608" s="30" t="str">
        <f t="shared" si="56"/>
        <v>MAX : 
TARGET : Yes(Pass)
MIN : No(Fail)</v>
      </c>
    </row>
    <row r="3609" spans="2:18" ht="41.4" x14ac:dyDescent="0.3">
      <c r="B3609">
        <v>1</v>
      </c>
      <c r="C3609" s="33">
        <v>8772</v>
      </c>
      <c r="D3609" s="2">
        <v>1990</v>
      </c>
      <c r="E3609" s="2" t="s">
        <v>11026</v>
      </c>
      <c r="F3609" s="3" t="s">
        <v>14206</v>
      </c>
      <c r="H3609" s="3" t="s">
        <v>1144</v>
      </c>
      <c r="K3609" s="2">
        <v>10</v>
      </c>
      <c r="L3609" s="2">
        <v>1</v>
      </c>
      <c r="M3609" s="3" t="s">
        <v>806</v>
      </c>
      <c r="N3609" s="3" t="s">
        <v>405</v>
      </c>
      <c r="O3609" s="3" t="s">
        <v>406</v>
      </c>
      <c r="P3609" s="3" t="s">
        <v>407</v>
      </c>
      <c r="Q3609" s="30" t="str">
        <f t="shared" si="56"/>
        <v>MAX : 2.06
TARGET : 2.00
MIN : 1.94</v>
      </c>
    </row>
    <row r="3610" spans="2:18" ht="41.4" x14ac:dyDescent="0.3">
      <c r="B3610">
        <v>1</v>
      </c>
      <c r="C3610" s="33">
        <v>8777</v>
      </c>
      <c r="D3610" s="2">
        <v>1991</v>
      </c>
      <c r="E3610" s="2" t="s">
        <v>11032</v>
      </c>
      <c r="F3610" s="3" t="s">
        <v>14206</v>
      </c>
      <c r="H3610" s="3" t="s">
        <v>269</v>
      </c>
      <c r="K3610" s="2">
        <v>10</v>
      </c>
      <c r="L3610" s="2">
        <v>2</v>
      </c>
      <c r="M3610" s="3" t="s">
        <v>3772</v>
      </c>
      <c r="N3610" s="3" t="s">
        <v>13</v>
      </c>
      <c r="O3610" s="3" t="s">
        <v>14</v>
      </c>
      <c r="Q3610" s="30" t="str">
        <f t="shared" si="56"/>
        <v>MAX : 
TARGET : Yes(Pass)
MIN : No(Fail)</v>
      </c>
    </row>
    <row r="3611" spans="2:18" ht="41.4" x14ac:dyDescent="0.3">
      <c r="B3611">
        <v>0</v>
      </c>
      <c r="C3611" s="33">
        <v>8946</v>
      </c>
      <c r="D3611" s="2">
        <v>1346</v>
      </c>
      <c r="E3611" s="2" t="s">
        <v>11562</v>
      </c>
      <c r="F3611" s="3" t="s">
        <v>14206</v>
      </c>
      <c r="H3611" s="3" t="s">
        <v>2116</v>
      </c>
      <c r="K3611" s="2">
        <v>20</v>
      </c>
      <c r="L3611" s="2">
        <v>3</v>
      </c>
      <c r="M3611" s="3" t="s">
        <v>3465</v>
      </c>
      <c r="N3611" s="3" t="s">
        <v>13</v>
      </c>
      <c r="O3611" s="3" t="s">
        <v>14</v>
      </c>
      <c r="Q3611" s="30" t="str">
        <f t="shared" si="56"/>
        <v>MAX : 
TARGET : Yes(Pass)
MIN : No(Fail)</v>
      </c>
    </row>
    <row r="3612" spans="2:18" ht="41.4" x14ac:dyDescent="0.3">
      <c r="B3612">
        <v>0</v>
      </c>
      <c r="C3612" s="33">
        <v>8946</v>
      </c>
      <c r="D3612" s="2">
        <v>1346</v>
      </c>
      <c r="E3612" s="2" t="s">
        <v>11562</v>
      </c>
      <c r="F3612" s="3" t="s">
        <v>14206</v>
      </c>
      <c r="H3612" s="3" t="s">
        <v>2116</v>
      </c>
      <c r="K3612" s="2">
        <v>20</v>
      </c>
      <c r="L3612" s="2">
        <v>4</v>
      </c>
      <c r="M3612" s="3" t="s">
        <v>3466</v>
      </c>
      <c r="N3612" s="3" t="s">
        <v>13</v>
      </c>
      <c r="O3612" s="3" t="s">
        <v>14</v>
      </c>
      <c r="Q3612" s="30" t="str">
        <f t="shared" si="56"/>
        <v>MAX : 
TARGET : Yes(Pass)
MIN : No(Fail)</v>
      </c>
    </row>
    <row r="3613" spans="2:18" ht="41.4" x14ac:dyDescent="0.3">
      <c r="B3613">
        <v>1</v>
      </c>
      <c r="C3613" s="33">
        <v>8777</v>
      </c>
      <c r="D3613" s="2">
        <v>1991</v>
      </c>
      <c r="E3613" s="2" t="s">
        <v>11032</v>
      </c>
      <c r="F3613" s="3" t="s">
        <v>14206</v>
      </c>
      <c r="H3613" s="3" t="s">
        <v>269</v>
      </c>
      <c r="K3613" s="2">
        <v>10</v>
      </c>
      <c r="L3613" s="2">
        <v>1</v>
      </c>
      <c r="M3613" s="3" t="s">
        <v>99</v>
      </c>
      <c r="N3613" s="3" t="s">
        <v>3091</v>
      </c>
      <c r="O3613" s="3" t="s">
        <v>184</v>
      </c>
      <c r="P3613" s="3" t="s">
        <v>3092</v>
      </c>
      <c r="Q3613" s="30" t="str">
        <f t="shared" si="56"/>
        <v>MAX : 5.06
TARGET : 5.00
MIN : 4.94</v>
      </c>
    </row>
    <row r="3614" spans="2:18" ht="41.4" x14ac:dyDescent="0.3">
      <c r="B3614">
        <v>1</v>
      </c>
      <c r="C3614" s="33">
        <v>8778</v>
      </c>
      <c r="D3614" s="2">
        <v>1286</v>
      </c>
      <c r="E3614" s="2" t="s">
        <v>11039</v>
      </c>
      <c r="F3614" s="3" t="s">
        <v>14206</v>
      </c>
      <c r="H3614" s="3" t="s">
        <v>3464</v>
      </c>
      <c r="K3614" s="2">
        <v>10</v>
      </c>
      <c r="L3614" s="2">
        <v>3</v>
      </c>
      <c r="M3614" s="3" t="s">
        <v>3466</v>
      </c>
      <c r="N3614" s="3" t="s">
        <v>24</v>
      </c>
      <c r="O3614" s="3" t="s">
        <v>25</v>
      </c>
      <c r="Q3614" s="30" t="str">
        <f t="shared" si="56"/>
        <v>MAX : 
TARGET : Yes (Pass)
MIN : No (Fail)</v>
      </c>
    </row>
    <row r="3615" spans="2:18" ht="41.4" x14ac:dyDescent="0.3">
      <c r="B3615">
        <v>1</v>
      </c>
      <c r="C3615" s="33">
        <v>8778</v>
      </c>
      <c r="D3615" s="2">
        <v>1286</v>
      </c>
      <c r="E3615" s="2" t="s">
        <v>11039</v>
      </c>
      <c r="F3615" s="3" t="s">
        <v>14206</v>
      </c>
      <c r="H3615" s="3" t="s">
        <v>3464</v>
      </c>
      <c r="K3615" s="2">
        <v>10</v>
      </c>
      <c r="L3615" s="2">
        <v>2</v>
      </c>
      <c r="M3615" s="3" t="s">
        <v>3465</v>
      </c>
      <c r="N3615" s="3" t="s">
        <v>24</v>
      </c>
      <c r="O3615" s="3" t="s">
        <v>25</v>
      </c>
      <c r="Q3615" s="30" t="str">
        <f t="shared" si="56"/>
        <v>MAX : 
TARGET : Yes (Pass)
MIN : No (Fail)</v>
      </c>
    </row>
    <row r="3616" spans="2:18" ht="41.4" x14ac:dyDescent="0.3">
      <c r="B3616">
        <v>1</v>
      </c>
      <c r="C3616" s="33">
        <v>8778</v>
      </c>
      <c r="D3616" s="2">
        <v>1286</v>
      </c>
      <c r="E3616" s="2" t="s">
        <v>11039</v>
      </c>
      <c r="F3616" s="3" t="s">
        <v>14206</v>
      </c>
      <c r="H3616" s="3" t="s">
        <v>3464</v>
      </c>
      <c r="K3616" s="2">
        <v>10</v>
      </c>
      <c r="L3616" s="2">
        <v>1</v>
      </c>
      <c r="M3616" s="3" t="s">
        <v>5639</v>
      </c>
      <c r="N3616" s="3" t="s">
        <v>24</v>
      </c>
      <c r="O3616" s="3" t="s">
        <v>25</v>
      </c>
      <c r="Q3616" s="30" t="str">
        <f t="shared" si="56"/>
        <v>MAX : 
TARGET : Yes (Pass)
MIN : No (Fail)</v>
      </c>
    </row>
    <row r="3617" spans="2:18" ht="41.4" x14ac:dyDescent="0.3">
      <c r="B3617">
        <v>1</v>
      </c>
      <c r="C3617" s="33">
        <v>8779</v>
      </c>
      <c r="D3617" s="2">
        <v>1992</v>
      </c>
      <c r="E3617" s="2" t="s">
        <v>11044</v>
      </c>
      <c r="F3617" s="3" t="s">
        <v>14206</v>
      </c>
      <c r="H3617" s="3" t="s">
        <v>168</v>
      </c>
      <c r="K3617" s="2">
        <v>10</v>
      </c>
      <c r="L3617" s="2">
        <v>2</v>
      </c>
      <c r="M3617" s="3" t="s">
        <v>325</v>
      </c>
      <c r="N3617" s="3" t="s">
        <v>13</v>
      </c>
      <c r="O3617" s="3" t="s">
        <v>14</v>
      </c>
      <c r="Q3617" s="30" t="str">
        <f t="shared" si="56"/>
        <v>MAX : 
TARGET : Yes(Pass)
MIN : No(Fail)</v>
      </c>
    </row>
    <row r="3618" spans="2:18" ht="41.4" x14ac:dyDescent="0.3">
      <c r="B3618">
        <v>1</v>
      </c>
      <c r="C3618" s="33">
        <v>8779</v>
      </c>
      <c r="D3618" s="2">
        <v>1992</v>
      </c>
      <c r="E3618" s="2" t="s">
        <v>11044</v>
      </c>
      <c r="F3618" s="3" t="s">
        <v>14206</v>
      </c>
      <c r="H3618" s="3" t="s">
        <v>168</v>
      </c>
      <c r="K3618" s="2">
        <v>10</v>
      </c>
      <c r="L3618" s="2">
        <v>1</v>
      </c>
      <c r="M3618" s="3" t="s">
        <v>99</v>
      </c>
      <c r="N3618" s="3" t="s">
        <v>131</v>
      </c>
      <c r="O3618" s="3" t="s">
        <v>132</v>
      </c>
      <c r="P3618" s="3" t="s">
        <v>133</v>
      </c>
      <c r="Q3618" s="30" t="str">
        <f t="shared" si="56"/>
        <v>MAX : 0.78
TARGET : 0.75
MIN : 0.72</v>
      </c>
    </row>
    <row r="3619" spans="2:18" ht="41.4" x14ac:dyDescent="0.3">
      <c r="B3619">
        <v>0</v>
      </c>
      <c r="C3619" s="33">
        <v>8956</v>
      </c>
      <c r="D3619" s="2">
        <v>1352</v>
      </c>
      <c r="E3619" s="2" t="s">
        <v>11613</v>
      </c>
      <c r="F3619" s="3" t="s">
        <v>14207</v>
      </c>
      <c r="H3619" s="3" t="s">
        <v>810</v>
      </c>
      <c r="K3619" s="2">
        <v>20</v>
      </c>
      <c r="L3619" s="2">
        <v>3</v>
      </c>
      <c r="M3619" s="3" t="s">
        <v>4181</v>
      </c>
      <c r="N3619" s="3" t="s">
        <v>13</v>
      </c>
      <c r="O3619" s="3" t="s">
        <v>14</v>
      </c>
      <c r="Q3619" s="30" t="str">
        <f t="shared" si="56"/>
        <v>MAX : 
TARGET : Yes(Pass)
MIN : No(Fail)</v>
      </c>
    </row>
    <row r="3620" spans="2:18" ht="41.4" x14ac:dyDescent="0.3">
      <c r="B3620">
        <v>1</v>
      </c>
      <c r="C3620" s="33">
        <v>8789</v>
      </c>
      <c r="D3620" s="2">
        <v>1287</v>
      </c>
      <c r="E3620" s="2" t="s">
        <v>11051</v>
      </c>
      <c r="F3620" s="3" t="s">
        <v>14206</v>
      </c>
      <c r="H3620" s="3" t="s">
        <v>3777</v>
      </c>
      <c r="K3620" s="2">
        <v>20</v>
      </c>
      <c r="L3620" s="2">
        <v>2</v>
      </c>
      <c r="M3620" s="3" t="s">
        <v>182</v>
      </c>
      <c r="N3620" s="3" t="s">
        <v>75</v>
      </c>
      <c r="O3620" s="3" t="s">
        <v>76</v>
      </c>
      <c r="P3620" s="3" t="s">
        <v>77</v>
      </c>
      <c r="Q3620" s="30" t="str">
        <f t="shared" si="56"/>
        <v>MAX : 2.53
TARGET : 2.50
MIN : 2.47</v>
      </c>
    </row>
    <row r="3621" spans="2:18" ht="41.4" x14ac:dyDescent="0.3">
      <c r="B3621">
        <v>1</v>
      </c>
      <c r="C3621" s="33">
        <v>8789</v>
      </c>
      <c r="D3621" s="2">
        <v>1287</v>
      </c>
      <c r="E3621" s="2" t="s">
        <v>11051</v>
      </c>
      <c r="F3621" s="3" t="s">
        <v>14206</v>
      </c>
      <c r="H3621" s="3" t="s">
        <v>3777</v>
      </c>
      <c r="K3621" s="2">
        <v>20</v>
      </c>
      <c r="L3621" s="2">
        <v>1</v>
      </c>
      <c r="M3621" s="3" t="s">
        <v>186</v>
      </c>
      <c r="N3621" s="3" t="s">
        <v>308</v>
      </c>
      <c r="O3621" s="3" t="s">
        <v>309</v>
      </c>
      <c r="P3621" s="3" t="s">
        <v>310</v>
      </c>
      <c r="Q3621" s="30" t="str">
        <f t="shared" si="56"/>
        <v>MAX : 0.53
TARGET : 0.50
MIN : 0.47</v>
      </c>
    </row>
    <row r="3622" spans="2:18" ht="41.4" x14ac:dyDescent="0.3">
      <c r="B3622">
        <v>0</v>
      </c>
      <c r="C3622" s="33">
        <v>8957</v>
      </c>
      <c r="D3622" s="2">
        <v>2018</v>
      </c>
      <c r="E3622" s="2" t="s">
        <v>11619</v>
      </c>
      <c r="F3622" s="3" t="s">
        <v>14206</v>
      </c>
      <c r="H3622" s="3" t="s">
        <v>1903</v>
      </c>
      <c r="K3622" s="2">
        <v>10</v>
      </c>
      <c r="L3622" s="2">
        <v>3</v>
      </c>
      <c r="M3622" s="3" t="s">
        <v>3992</v>
      </c>
      <c r="N3622" s="3" t="s">
        <v>13</v>
      </c>
      <c r="O3622" s="3" t="s">
        <v>14</v>
      </c>
      <c r="Q3622" s="30" t="str">
        <f t="shared" si="56"/>
        <v>MAX : 
TARGET : Yes(Pass)
MIN : No(Fail)</v>
      </c>
    </row>
    <row r="3623" spans="2:18" ht="41.4" x14ac:dyDescent="0.3">
      <c r="B3623">
        <v>1</v>
      </c>
      <c r="C3623" s="33">
        <v>8791</v>
      </c>
      <c r="D3623" s="2">
        <v>1288</v>
      </c>
      <c r="E3623" s="2" t="s">
        <v>11059</v>
      </c>
      <c r="F3623" s="3" t="s">
        <v>14206</v>
      </c>
      <c r="H3623" s="3" t="s">
        <v>3779</v>
      </c>
      <c r="K3623" s="2">
        <v>10</v>
      </c>
      <c r="L3623" s="2">
        <v>2</v>
      </c>
      <c r="M3623" s="3" t="s">
        <v>198</v>
      </c>
      <c r="N3623" s="3" t="s">
        <v>3782</v>
      </c>
      <c r="O3623" s="3" t="s">
        <v>457</v>
      </c>
      <c r="P3623" s="3" t="s">
        <v>3421</v>
      </c>
      <c r="Q3623" s="30" t="str">
        <f t="shared" si="56"/>
        <v>MAX : 14.06
TARGET : 14.00
MIN : 13.94</v>
      </c>
    </row>
    <row r="3624" spans="2:18" ht="41.4" x14ac:dyDescent="0.3">
      <c r="B3624">
        <v>1</v>
      </c>
      <c r="C3624" s="33">
        <v>8791</v>
      </c>
      <c r="D3624" s="2">
        <v>1288</v>
      </c>
      <c r="E3624" s="2" t="s">
        <v>11059</v>
      </c>
      <c r="F3624" s="3" t="s">
        <v>14206</v>
      </c>
      <c r="H3624" s="3" t="s">
        <v>3779</v>
      </c>
      <c r="K3624" s="2">
        <v>10</v>
      </c>
      <c r="L3624" s="2">
        <v>1</v>
      </c>
      <c r="M3624" s="3" t="s">
        <v>194</v>
      </c>
      <c r="N3624" s="3" t="s">
        <v>3780</v>
      </c>
      <c r="O3624" s="3" t="s">
        <v>858</v>
      </c>
      <c r="P3624" s="3" t="s">
        <v>3781</v>
      </c>
      <c r="Q3624" s="30" t="str">
        <f t="shared" si="56"/>
        <v>MAX : 17.06
TARGET : 17.00
MIN : 16.94</v>
      </c>
    </row>
    <row r="3625" spans="2:18" ht="41.4" x14ac:dyDescent="0.3">
      <c r="B3625">
        <v>0</v>
      </c>
      <c r="C3625" s="33">
        <v>8952</v>
      </c>
      <c r="D3625" s="2">
        <v>1348</v>
      </c>
      <c r="E3625" s="2" t="s">
        <v>11586</v>
      </c>
      <c r="F3625" s="3" t="s">
        <v>14206</v>
      </c>
      <c r="H3625" s="3" t="s">
        <v>469</v>
      </c>
      <c r="K3625" s="2">
        <v>10</v>
      </c>
      <c r="L3625" s="2">
        <v>3</v>
      </c>
      <c r="M3625" s="3" t="s">
        <v>4188</v>
      </c>
      <c r="N3625" s="3" t="s">
        <v>252</v>
      </c>
      <c r="O3625" s="3" t="s">
        <v>253</v>
      </c>
      <c r="P3625" s="3" t="s">
        <v>128</v>
      </c>
      <c r="Q3625" s="30" t="str">
        <f t="shared" si="56"/>
        <v>MAX : 4.03
TARGET : 4.00
MIN : 3.97</v>
      </c>
      <c r="R3625" s="3" t="s">
        <v>4186</v>
      </c>
    </row>
    <row r="3626" spans="2:18" ht="41.4" x14ac:dyDescent="0.3">
      <c r="B3626">
        <v>0</v>
      </c>
      <c r="C3626" s="33">
        <v>8952</v>
      </c>
      <c r="D3626" s="2">
        <v>1348</v>
      </c>
      <c r="E3626" s="2" t="s">
        <v>11586</v>
      </c>
      <c r="F3626" s="3" t="s">
        <v>14206</v>
      </c>
      <c r="H3626" s="3" t="s">
        <v>469</v>
      </c>
      <c r="K3626" s="2">
        <v>10</v>
      </c>
      <c r="L3626" s="2">
        <v>4</v>
      </c>
      <c r="M3626" s="3" t="s">
        <v>4189</v>
      </c>
      <c r="N3626" s="3" t="s">
        <v>252</v>
      </c>
      <c r="O3626" s="3" t="s">
        <v>253</v>
      </c>
      <c r="P3626" s="3" t="s">
        <v>128</v>
      </c>
      <c r="Q3626" s="30" t="str">
        <f t="shared" si="56"/>
        <v>MAX : 4.03
TARGET : 4.00
MIN : 3.97</v>
      </c>
      <c r="R3626" s="3" t="s">
        <v>4186</v>
      </c>
    </row>
    <row r="3627" spans="2:18" ht="41.4" x14ac:dyDescent="0.3">
      <c r="B3627">
        <v>0</v>
      </c>
      <c r="C3627" s="33">
        <v>8952</v>
      </c>
      <c r="D3627" s="2">
        <v>1348</v>
      </c>
      <c r="E3627" s="2" t="s">
        <v>11586</v>
      </c>
      <c r="F3627" s="3" t="s">
        <v>14206</v>
      </c>
      <c r="H3627" s="3" t="s">
        <v>469</v>
      </c>
      <c r="K3627" s="2">
        <v>10</v>
      </c>
      <c r="L3627" s="2">
        <v>5</v>
      </c>
      <c r="M3627" s="3" t="s">
        <v>4190</v>
      </c>
      <c r="N3627" s="3" t="s">
        <v>249</v>
      </c>
      <c r="O3627" s="3" t="s">
        <v>250</v>
      </c>
      <c r="P3627" s="3" t="s">
        <v>251</v>
      </c>
      <c r="Q3627" s="30" t="str">
        <f t="shared" si="56"/>
        <v>MAX : 6.03
TARGET : 6.00
MIN : 5.97</v>
      </c>
      <c r="R3627" s="3" t="s">
        <v>4186</v>
      </c>
    </row>
    <row r="3628" spans="2:18" ht="41.4" x14ac:dyDescent="0.3">
      <c r="B3628">
        <v>0</v>
      </c>
      <c r="C3628" s="33">
        <v>8952</v>
      </c>
      <c r="D3628" s="2">
        <v>1348</v>
      </c>
      <c r="E3628" s="2" t="s">
        <v>11586</v>
      </c>
      <c r="F3628" s="3" t="s">
        <v>14206</v>
      </c>
      <c r="H3628" s="3" t="s">
        <v>469</v>
      </c>
      <c r="K3628" s="2">
        <v>10</v>
      </c>
      <c r="L3628" s="2">
        <v>6</v>
      </c>
      <c r="M3628" s="3" t="s">
        <v>4191</v>
      </c>
      <c r="N3628" s="3" t="s">
        <v>249</v>
      </c>
      <c r="O3628" s="3" t="s">
        <v>250</v>
      </c>
      <c r="P3628" s="3" t="s">
        <v>251</v>
      </c>
      <c r="Q3628" s="30" t="str">
        <f t="shared" si="56"/>
        <v>MAX : 6.03
TARGET : 6.00
MIN : 5.97</v>
      </c>
      <c r="R3628" s="3" t="s">
        <v>4186</v>
      </c>
    </row>
    <row r="3629" spans="2:18" ht="41.4" x14ac:dyDescent="0.3">
      <c r="B3629">
        <v>0</v>
      </c>
      <c r="C3629" s="33">
        <v>8952</v>
      </c>
      <c r="D3629" s="2">
        <v>1348</v>
      </c>
      <c r="E3629" s="2" t="s">
        <v>11586</v>
      </c>
      <c r="F3629" s="3" t="s">
        <v>14206</v>
      </c>
      <c r="H3629" s="3" t="s">
        <v>469</v>
      </c>
      <c r="K3629" s="2">
        <v>10</v>
      </c>
      <c r="L3629" s="2">
        <v>8</v>
      </c>
      <c r="M3629" s="3" t="s">
        <v>4192</v>
      </c>
      <c r="N3629" s="3" t="s">
        <v>13</v>
      </c>
      <c r="O3629" s="3" t="s">
        <v>14</v>
      </c>
      <c r="Q3629" s="30" t="str">
        <f t="shared" si="56"/>
        <v>MAX : 
TARGET : Yes(Pass)
MIN : No(Fail)</v>
      </c>
      <c r="R3629" s="3" t="s">
        <v>4186</v>
      </c>
    </row>
    <row r="3630" spans="2:18" ht="41.4" x14ac:dyDescent="0.3">
      <c r="B3630">
        <v>0</v>
      </c>
      <c r="C3630" s="33">
        <v>8952</v>
      </c>
      <c r="D3630" s="2">
        <v>1348</v>
      </c>
      <c r="E3630" s="2" t="s">
        <v>11586</v>
      </c>
      <c r="F3630" s="3" t="s">
        <v>14206</v>
      </c>
      <c r="H3630" s="3" t="s">
        <v>469</v>
      </c>
      <c r="K3630" s="2">
        <v>10</v>
      </c>
      <c r="L3630" s="2">
        <v>7</v>
      </c>
      <c r="M3630" s="3" t="s">
        <v>1983</v>
      </c>
      <c r="N3630" s="3" t="s">
        <v>418</v>
      </c>
      <c r="O3630" s="3" t="s">
        <v>344</v>
      </c>
      <c r="P3630" s="3" t="s">
        <v>419</v>
      </c>
      <c r="Q3630" s="30" t="str">
        <f t="shared" si="56"/>
        <v>MAX : 1.28
TARGET : 1.25
MIN : 1.22</v>
      </c>
      <c r="R3630" s="3" t="s">
        <v>4186</v>
      </c>
    </row>
    <row r="3631" spans="2:18" ht="41.4" x14ac:dyDescent="0.3">
      <c r="B3631">
        <v>0</v>
      </c>
      <c r="C3631" s="33">
        <v>8952</v>
      </c>
      <c r="D3631" s="2">
        <v>1348</v>
      </c>
      <c r="E3631" s="2" t="s">
        <v>11586</v>
      </c>
      <c r="F3631" s="3" t="s">
        <v>14206</v>
      </c>
      <c r="H3631" s="3" t="s">
        <v>469</v>
      </c>
      <c r="K3631" s="2">
        <v>10</v>
      </c>
      <c r="L3631" s="2">
        <v>9</v>
      </c>
      <c r="M3631" s="3" t="s">
        <v>78</v>
      </c>
      <c r="N3631" s="3" t="s">
        <v>13</v>
      </c>
      <c r="O3631" s="3" t="s">
        <v>14</v>
      </c>
      <c r="Q3631" s="30" t="str">
        <f t="shared" si="56"/>
        <v>MAX : 
TARGET : Yes(Pass)
MIN : No(Fail)</v>
      </c>
      <c r="R3631" s="3" t="s">
        <v>4186</v>
      </c>
    </row>
    <row r="3632" spans="2:18" ht="41.4" x14ac:dyDescent="0.3">
      <c r="B3632">
        <v>1</v>
      </c>
      <c r="C3632" s="33">
        <v>8796</v>
      </c>
      <c r="D3632" s="2">
        <v>1289</v>
      </c>
      <c r="E3632" s="2" t="s">
        <v>11065</v>
      </c>
      <c r="F3632" s="3" t="s">
        <v>14238</v>
      </c>
      <c r="H3632" s="3" t="s">
        <v>648</v>
      </c>
      <c r="K3632" s="2">
        <v>20</v>
      </c>
      <c r="L3632" s="2">
        <v>3</v>
      </c>
      <c r="M3632" s="3" t="s">
        <v>3798</v>
      </c>
      <c r="N3632" s="3" t="s">
        <v>3799</v>
      </c>
      <c r="O3632" s="3" t="s">
        <v>3800</v>
      </c>
      <c r="P3632" s="3" t="s">
        <v>3801</v>
      </c>
      <c r="Q3632" s="30" t="str">
        <f t="shared" si="56"/>
        <v>MAX : 3.1
TARGET : 2.6
MIN : 2.1</v>
      </c>
      <c r="R3632" s="3" t="s">
        <v>443</v>
      </c>
    </row>
    <row r="3633" spans="2:18" ht="41.4" x14ac:dyDescent="0.3">
      <c r="B3633">
        <v>1</v>
      </c>
      <c r="C3633" s="33">
        <v>8796</v>
      </c>
      <c r="D3633" s="2">
        <v>1289</v>
      </c>
      <c r="E3633" s="2" t="s">
        <v>11065</v>
      </c>
      <c r="F3633" s="3" t="s">
        <v>14238</v>
      </c>
      <c r="H3633" s="3" t="s">
        <v>648</v>
      </c>
      <c r="K3633" s="2">
        <v>20</v>
      </c>
      <c r="L3633" s="2">
        <v>1</v>
      </c>
      <c r="M3633" s="3" t="s">
        <v>3791</v>
      </c>
      <c r="N3633" s="3" t="s">
        <v>3792</v>
      </c>
      <c r="O3633" s="3" t="s">
        <v>2353</v>
      </c>
      <c r="P3633" s="3" t="s">
        <v>3793</v>
      </c>
      <c r="Q3633" s="30" t="str">
        <f t="shared" si="56"/>
        <v>MAX : 2.3
TARGET : 2.0
MIN : 1.7</v>
      </c>
      <c r="R3633" s="3" t="s">
        <v>443</v>
      </c>
    </row>
    <row r="3634" spans="2:18" ht="41.4" x14ac:dyDescent="0.3">
      <c r="B3634">
        <v>1</v>
      </c>
      <c r="C3634" s="33">
        <v>8796</v>
      </c>
      <c r="D3634" s="2">
        <v>1289</v>
      </c>
      <c r="E3634" s="2" t="s">
        <v>11065</v>
      </c>
      <c r="F3634" s="3" t="s">
        <v>14238</v>
      </c>
      <c r="H3634" s="3" t="s">
        <v>648</v>
      </c>
      <c r="K3634" s="2">
        <v>20</v>
      </c>
      <c r="L3634" s="2">
        <v>2</v>
      </c>
      <c r="M3634" s="3" t="s">
        <v>3796</v>
      </c>
      <c r="N3634" s="3" t="s">
        <v>3793</v>
      </c>
      <c r="O3634" s="3" t="s">
        <v>3399</v>
      </c>
      <c r="P3634" s="3" t="s">
        <v>3797</v>
      </c>
      <c r="Q3634" s="30" t="str">
        <f t="shared" si="56"/>
        <v>MAX : 2.7
TARGET : 2.5
MIN : 2.3</v>
      </c>
      <c r="R3634" s="3" t="s">
        <v>443</v>
      </c>
    </row>
    <row r="3635" spans="2:18" ht="41.4" x14ac:dyDescent="0.3">
      <c r="B3635">
        <v>1</v>
      </c>
      <c r="C3635" s="33">
        <v>8796</v>
      </c>
      <c r="D3635" s="2">
        <v>1289</v>
      </c>
      <c r="E3635" s="2" t="s">
        <v>11065</v>
      </c>
      <c r="F3635" s="3" t="s">
        <v>14238</v>
      </c>
      <c r="H3635" s="3" t="s">
        <v>648</v>
      </c>
      <c r="K3635" s="2">
        <v>20</v>
      </c>
      <c r="L3635" s="2">
        <v>15</v>
      </c>
      <c r="M3635" s="3" t="s">
        <v>3849</v>
      </c>
      <c r="N3635" s="3" t="s">
        <v>420</v>
      </c>
      <c r="O3635" s="3" t="s">
        <v>2548</v>
      </c>
      <c r="P3635" s="3" t="s">
        <v>3850</v>
      </c>
      <c r="Q3635" s="30" t="str">
        <f t="shared" si="56"/>
        <v>MAX : 1.17
TARGET : 1.07
MIN : 0.97</v>
      </c>
      <c r="R3635" s="3" t="s">
        <v>443</v>
      </c>
    </row>
    <row r="3636" spans="2:18" ht="41.4" x14ac:dyDescent="0.3">
      <c r="B3636">
        <v>1</v>
      </c>
      <c r="C3636" s="33">
        <v>8796</v>
      </c>
      <c r="D3636" s="2">
        <v>1289</v>
      </c>
      <c r="E3636" s="2" t="s">
        <v>11065</v>
      </c>
      <c r="F3636" s="3" t="s">
        <v>14238</v>
      </c>
      <c r="H3636" s="3" t="s">
        <v>648</v>
      </c>
      <c r="K3636" s="2">
        <v>20</v>
      </c>
      <c r="L3636" s="2">
        <v>18</v>
      </c>
      <c r="M3636" s="3" t="s">
        <v>3871</v>
      </c>
      <c r="N3636" s="3" t="s">
        <v>13</v>
      </c>
      <c r="O3636" s="3" t="s">
        <v>14</v>
      </c>
      <c r="Q3636" s="30" t="str">
        <f t="shared" si="56"/>
        <v>MAX : 
TARGET : Yes(Pass)
MIN : No(Fail)</v>
      </c>
      <c r="R3636" s="3" t="s">
        <v>443</v>
      </c>
    </row>
    <row r="3637" spans="2:18" ht="41.4" x14ac:dyDescent="0.3">
      <c r="B3637">
        <v>0</v>
      </c>
      <c r="C3637" s="33">
        <v>8910</v>
      </c>
      <c r="D3637" s="2">
        <v>1334</v>
      </c>
      <c r="E3637" s="2" t="s">
        <v>11433</v>
      </c>
      <c r="H3637" s="3" t="s">
        <v>4197</v>
      </c>
      <c r="K3637" s="2">
        <v>10</v>
      </c>
      <c r="L3637" s="2">
        <v>3</v>
      </c>
      <c r="M3637" s="3" t="s">
        <v>4200</v>
      </c>
      <c r="N3637" s="3" t="s">
        <v>24</v>
      </c>
      <c r="O3637" s="3" t="s">
        <v>25</v>
      </c>
      <c r="Q3637" s="30" t="str">
        <f t="shared" si="56"/>
        <v>MAX : 
TARGET : Yes (Pass)
MIN : No (Fail)</v>
      </c>
    </row>
    <row r="3638" spans="2:18" ht="41.4" x14ac:dyDescent="0.3">
      <c r="B3638">
        <v>0</v>
      </c>
      <c r="C3638" s="33">
        <v>8910</v>
      </c>
      <c r="D3638" s="2">
        <v>1334</v>
      </c>
      <c r="E3638" s="2" t="s">
        <v>11433</v>
      </c>
      <c r="H3638" s="3" t="s">
        <v>4197</v>
      </c>
      <c r="K3638" s="2">
        <v>10</v>
      </c>
      <c r="L3638" s="2">
        <v>4</v>
      </c>
      <c r="M3638" s="3" t="s">
        <v>4201</v>
      </c>
      <c r="N3638" s="3" t="s">
        <v>24</v>
      </c>
      <c r="O3638" s="3" t="s">
        <v>25</v>
      </c>
      <c r="Q3638" s="30" t="str">
        <f t="shared" si="56"/>
        <v>MAX : 
TARGET : Yes (Pass)
MIN : No (Fail)</v>
      </c>
    </row>
    <row r="3639" spans="2:18" ht="41.4" x14ac:dyDescent="0.3">
      <c r="B3639">
        <v>1</v>
      </c>
      <c r="C3639" s="33">
        <v>8797</v>
      </c>
      <c r="D3639" s="2">
        <v>1290</v>
      </c>
      <c r="E3639" s="2" t="s">
        <v>11073</v>
      </c>
      <c r="F3639" s="3" t="s">
        <v>14238</v>
      </c>
      <c r="H3639" s="3" t="s">
        <v>648</v>
      </c>
      <c r="K3639" s="2">
        <v>20</v>
      </c>
      <c r="L3639" s="2">
        <v>2</v>
      </c>
      <c r="M3639" s="3" t="s">
        <v>3796</v>
      </c>
      <c r="N3639" s="3" t="s">
        <v>3793</v>
      </c>
      <c r="O3639" s="3" t="s">
        <v>3399</v>
      </c>
      <c r="P3639" s="3" t="s">
        <v>3797</v>
      </c>
      <c r="Q3639" s="30" t="str">
        <f t="shared" si="56"/>
        <v>MAX : 2.7
TARGET : 2.5
MIN : 2.3</v>
      </c>
      <c r="R3639" s="3" t="s">
        <v>443</v>
      </c>
    </row>
    <row r="3640" spans="2:18" ht="41.4" x14ac:dyDescent="0.3">
      <c r="B3640">
        <v>1</v>
      </c>
      <c r="C3640" s="33">
        <v>8797</v>
      </c>
      <c r="D3640" s="2">
        <v>1290</v>
      </c>
      <c r="E3640" s="2" t="s">
        <v>11073</v>
      </c>
      <c r="F3640" s="3" t="s">
        <v>14238</v>
      </c>
      <c r="H3640" s="3" t="s">
        <v>648</v>
      </c>
      <c r="K3640" s="2">
        <v>20</v>
      </c>
      <c r="L3640" s="2">
        <v>1</v>
      </c>
      <c r="M3640" s="3" t="s">
        <v>3791</v>
      </c>
      <c r="N3640" s="3" t="s">
        <v>3792</v>
      </c>
      <c r="O3640" s="3" t="s">
        <v>2353</v>
      </c>
      <c r="P3640" s="3" t="s">
        <v>3793</v>
      </c>
      <c r="Q3640" s="30" t="str">
        <f t="shared" si="56"/>
        <v>MAX : 2.3
TARGET : 2.0
MIN : 1.7</v>
      </c>
      <c r="R3640" s="3" t="s">
        <v>443</v>
      </c>
    </row>
    <row r="3641" spans="2:18" ht="41.4" x14ac:dyDescent="0.3">
      <c r="B3641">
        <v>0</v>
      </c>
      <c r="C3641" s="33">
        <v>8965</v>
      </c>
      <c r="D3641" s="2">
        <v>2020</v>
      </c>
      <c r="E3641" s="2" t="s">
        <v>11673</v>
      </c>
      <c r="F3641" s="3" t="s">
        <v>14206</v>
      </c>
      <c r="H3641" s="3" t="s">
        <v>289</v>
      </c>
      <c r="K3641" s="2">
        <v>10</v>
      </c>
      <c r="L3641" s="2">
        <v>3</v>
      </c>
      <c r="M3641" s="3" t="s">
        <v>4205</v>
      </c>
      <c r="N3641" s="3" t="s">
        <v>13</v>
      </c>
      <c r="O3641" s="3" t="s">
        <v>14</v>
      </c>
      <c r="Q3641" s="30" t="str">
        <f t="shared" si="56"/>
        <v>MAX : 
TARGET : Yes(Pass)
MIN : No(Fail)</v>
      </c>
    </row>
    <row r="3642" spans="2:18" ht="41.4" x14ac:dyDescent="0.3">
      <c r="B3642">
        <v>1</v>
      </c>
      <c r="C3642" s="33">
        <v>8801</v>
      </c>
      <c r="D3642" s="2">
        <v>1291</v>
      </c>
      <c r="E3642" s="2" t="s">
        <v>11080</v>
      </c>
      <c r="F3642" s="3" t="s">
        <v>14206</v>
      </c>
      <c r="H3642" s="3" t="s">
        <v>1915</v>
      </c>
      <c r="K3642" s="2">
        <v>10</v>
      </c>
      <c r="L3642" s="2">
        <v>2</v>
      </c>
      <c r="M3642" s="3" t="s">
        <v>198</v>
      </c>
      <c r="N3642" s="3" t="s">
        <v>2195</v>
      </c>
      <c r="O3642" s="3" t="s">
        <v>3785</v>
      </c>
      <c r="P3642" s="3" t="s">
        <v>3786</v>
      </c>
      <c r="Q3642" s="30" t="str">
        <f t="shared" si="56"/>
        <v>MAX : 4.16
TARGET : 4.13
MIN : 4.10</v>
      </c>
    </row>
    <row r="3643" spans="2:18" ht="41.4" x14ac:dyDescent="0.3">
      <c r="B3643">
        <v>1</v>
      </c>
      <c r="C3643" s="33">
        <v>8801</v>
      </c>
      <c r="D3643" s="2">
        <v>1291</v>
      </c>
      <c r="E3643" s="2" t="s">
        <v>11080</v>
      </c>
      <c r="F3643" s="3" t="s">
        <v>14206</v>
      </c>
      <c r="H3643" s="3" t="s">
        <v>1915</v>
      </c>
      <c r="K3643" s="2">
        <v>10</v>
      </c>
      <c r="L3643" s="2">
        <v>1</v>
      </c>
      <c r="M3643" s="3" t="s">
        <v>194</v>
      </c>
      <c r="N3643" s="3" t="s">
        <v>3784</v>
      </c>
      <c r="O3643" s="3" t="s">
        <v>1173</v>
      </c>
      <c r="P3643" s="3" t="s">
        <v>249</v>
      </c>
      <c r="Q3643" s="30" t="str">
        <f t="shared" si="56"/>
        <v>MAX : 5.97
TARGET : 5.94
MIN : 5.91</v>
      </c>
    </row>
    <row r="3644" spans="2:18" ht="41.4" x14ac:dyDescent="0.3">
      <c r="B3644">
        <v>0</v>
      </c>
      <c r="C3644" s="33">
        <v>8966</v>
      </c>
      <c r="D3644" s="2">
        <v>1359</v>
      </c>
      <c r="E3644" s="2" t="s">
        <v>11680</v>
      </c>
      <c r="F3644" s="3" t="s">
        <v>14206</v>
      </c>
      <c r="H3644" s="3" t="s">
        <v>4206</v>
      </c>
      <c r="K3644" s="2">
        <v>10</v>
      </c>
      <c r="L3644" s="2">
        <v>3</v>
      </c>
      <c r="M3644" s="3" t="s">
        <v>4208</v>
      </c>
      <c r="N3644" s="3" t="s">
        <v>13</v>
      </c>
      <c r="O3644" s="3" t="s">
        <v>14</v>
      </c>
      <c r="Q3644" s="30" t="str">
        <f t="shared" si="56"/>
        <v>MAX : 
TARGET : Yes(Pass)
MIN : No(Fail)</v>
      </c>
    </row>
    <row r="3645" spans="2:18" ht="41.4" x14ac:dyDescent="0.3">
      <c r="B3645">
        <v>1</v>
      </c>
      <c r="C3645" s="33">
        <v>8802</v>
      </c>
      <c r="D3645" s="2">
        <v>1993</v>
      </c>
      <c r="E3645" s="2" t="s">
        <v>11087</v>
      </c>
      <c r="F3645" s="3" t="s">
        <v>14206</v>
      </c>
      <c r="H3645" s="3" t="s">
        <v>1903</v>
      </c>
      <c r="K3645" s="2">
        <v>10</v>
      </c>
      <c r="L3645" s="2">
        <v>2</v>
      </c>
      <c r="M3645" s="3" t="s">
        <v>325</v>
      </c>
      <c r="N3645" s="3" t="s">
        <v>13</v>
      </c>
      <c r="O3645" s="3" t="s">
        <v>14</v>
      </c>
      <c r="Q3645" s="30" t="str">
        <f t="shared" si="56"/>
        <v>MAX : 
TARGET : Yes(Pass)
MIN : No(Fail)</v>
      </c>
    </row>
    <row r="3646" spans="2:18" ht="41.4" x14ac:dyDescent="0.3">
      <c r="B3646">
        <v>1</v>
      </c>
      <c r="C3646" s="33">
        <v>8802</v>
      </c>
      <c r="D3646" s="2">
        <v>1993</v>
      </c>
      <c r="E3646" s="2" t="s">
        <v>11087</v>
      </c>
      <c r="F3646" s="3" t="s">
        <v>14206</v>
      </c>
      <c r="H3646" s="3" t="s">
        <v>1903</v>
      </c>
      <c r="K3646" s="2">
        <v>10</v>
      </c>
      <c r="L3646" s="2">
        <v>1</v>
      </c>
      <c r="M3646" s="3" t="s">
        <v>99</v>
      </c>
      <c r="N3646" s="3" t="s">
        <v>249</v>
      </c>
      <c r="O3646" s="3" t="s">
        <v>250</v>
      </c>
      <c r="P3646" s="3" t="s">
        <v>251</v>
      </c>
      <c r="Q3646" s="30" t="str">
        <f t="shared" si="56"/>
        <v>MAX : 6.03
TARGET : 6.00
MIN : 5.97</v>
      </c>
    </row>
    <row r="3647" spans="2:18" ht="41.4" x14ac:dyDescent="0.3">
      <c r="B3647">
        <v>0</v>
      </c>
      <c r="C3647" s="33">
        <v>8961</v>
      </c>
      <c r="D3647" s="2">
        <v>1355</v>
      </c>
      <c r="E3647" s="2" t="s">
        <v>11642</v>
      </c>
      <c r="F3647" s="3" t="s">
        <v>14206</v>
      </c>
      <c r="H3647" s="3" t="s">
        <v>3788</v>
      </c>
      <c r="K3647" s="2">
        <v>10</v>
      </c>
      <c r="L3647" s="2">
        <v>3</v>
      </c>
      <c r="M3647" s="3" t="s">
        <v>4209</v>
      </c>
      <c r="N3647" s="3" t="s">
        <v>13</v>
      </c>
      <c r="O3647" s="3" t="s">
        <v>14</v>
      </c>
      <c r="Q3647" s="30" t="str">
        <f t="shared" si="56"/>
        <v>MAX : 
TARGET : Yes(Pass)
MIN : No(Fail)</v>
      </c>
    </row>
    <row r="3648" spans="2:18" ht="41.4" x14ac:dyDescent="0.3">
      <c r="B3648">
        <v>1</v>
      </c>
      <c r="C3648" s="33">
        <v>8804</v>
      </c>
      <c r="D3648" s="2">
        <v>1292</v>
      </c>
      <c r="E3648" s="2" t="s">
        <v>11093</v>
      </c>
      <c r="F3648" s="3" t="s">
        <v>14206</v>
      </c>
      <c r="H3648" s="3" t="s">
        <v>3788</v>
      </c>
      <c r="K3648" s="2">
        <v>10</v>
      </c>
      <c r="L3648" s="2">
        <v>1</v>
      </c>
      <c r="M3648" s="3" t="s">
        <v>194</v>
      </c>
      <c r="N3648" s="3" t="s">
        <v>3452</v>
      </c>
      <c r="O3648" s="3" t="s">
        <v>2815</v>
      </c>
      <c r="P3648" s="3" t="s">
        <v>3453</v>
      </c>
      <c r="Q3648" s="30" t="str">
        <f t="shared" si="56"/>
        <v>MAX : 24.13
TARGET : 24.00
MIN : 23.87</v>
      </c>
    </row>
    <row r="3649" spans="2:18" ht="41.4" x14ac:dyDescent="0.3">
      <c r="B3649">
        <v>1</v>
      </c>
      <c r="C3649" s="33">
        <v>8804</v>
      </c>
      <c r="D3649" s="2">
        <v>1292</v>
      </c>
      <c r="E3649" s="2" t="s">
        <v>11093</v>
      </c>
      <c r="F3649" s="3" t="s">
        <v>14206</v>
      </c>
      <c r="H3649" s="3" t="s">
        <v>3788</v>
      </c>
      <c r="K3649" s="2">
        <v>10</v>
      </c>
      <c r="L3649" s="2">
        <v>2</v>
      </c>
      <c r="M3649" s="3" t="s">
        <v>198</v>
      </c>
      <c r="N3649" s="3" t="s">
        <v>3455</v>
      </c>
      <c r="O3649" s="3" t="s">
        <v>860</v>
      </c>
      <c r="P3649" s="3" t="s">
        <v>3456</v>
      </c>
      <c r="Q3649" s="30" t="str">
        <f t="shared" si="56"/>
        <v>MAX : 18.06
TARGET : 18.00
MIN : 17.94</v>
      </c>
    </row>
    <row r="3650" spans="2:18" ht="41.4" x14ac:dyDescent="0.3">
      <c r="B3650">
        <v>1</v>
      </c>
      <c r="C3650" s="33">
        <v>8815</v>
      </c>
      <c r="D3650" s="2">
        <v>1293</v>
      </c>
      <c r="E3650" s="2" t="s">
        <v>11099</v>
      </c>
      <c r="F3650" s="3" t="s">
        <v>14206</v>
      </c>
      <c r="H3650" s="3" t="s">
        <v>426</v>
      </c>
      <c r="K3650" s="2">
        <v>10</v>
      </c>
      <c r="L3650" s="2">
        <v>2</v>
      </c>
      <c r="M3650" s="3" t="s">
        <v>325</v>
      </c>
      <c r="N3650" s="3" t="s">
        <v>13</v>
      </c>
      <c r="O3650" s="3" t="s">
        <v>14</v>
      </c>
      <c r="Q3650" s="30" t="str">
        <f t="shared" ref="Q3650:Q3713" si="57">"MAX : " &amp; P3650 &amp; CHAR(10) &amp; "TARGET : " &amp; O3650 &amp; CHAR(10) &amp; "MIN : " &amp; N3650</f>
        <v>MAX : 
TARGET : Yes(Pass)
MIN : No(Fail)</v>
      </c>
    </row>
    <row r="3651" spans="2:18" ht="41.4" x14ac:dyDescent="0.3">
      <c r="B3651">
        <v>1</v>
      </c>
      <c r="C3651" s="33">
        <v>8815</v>
      </c>
      <c r="D3651" s="2">
        <v>1293</v>
      </c>
      <c r="E3651" s="2" t="s">
        <v>11099</v>
      </c>
      <c r="F3651" s="3" t="s">
        <v>14206</v>
      </c>
      <c r="H3651" s="3" t="s">
        <v>426</v>
      </c>
      <c r="K3651" s="2">
        <v>10</v>
      </c>
      <c r="L3651" s="2">
        <v>1</v>
      </c>
      <c r="M3651" s="3" t="s">
        <v>99</v>
      </c>
      <c r="N3651" s="3" t="s">
        <v>3833</v>
      </c>
      <c r="O3651" s="3" t="s">
        <v>3834</v>
      </c>
      <c r="P3651" s="3" t="s">
        <v>3835</v>
      </c>
      <c r="Q3651" s="30" t="str">
        <f t="shared" si="57"/>
        <v>MAX : 3.18
TARGET : 3.15
MIN : 3.12</v>
      </c>
    </row>
    <row r="3652" spans="2:18" ht="41.4" x14ac:dyDescent="0.3">
      <c r="B3652">
        <v>0</v>
      </c>
      <c r="C3652" s="33">
        <v>8970</v>
      </c>
      <c r="D3652" s="2">
        <v>2022</v>
      </c>
      <c r="E3652" s="2" t="s">
        <v>11706</v>
      </c>
      <c r="F3652" s="3" t="s">
        <v>14206</v>
      </c>
      <c r="H3652" s="3" t="s">
        <v>269</v>
      </c>
      <c r="K3652" s="2">
        <v>20</v>
      </c>
      <c r="L3652" s="2">
        <v>2</v>
      </c>
      <c r="M3652" s="3" t="s">
        <v>4213</v>
      </c>
      <c r="N3652" s="3" t="s">
        <v>13</v>
      </c>
      <c r="O3652" s="3" t="s">
        <v>14</v>
      </c>
      <c r="Q3652" s="30" t="str">
        <f t="shared" si="57"/>
        <v>MAX : 
TARGET : Yes(Pass)
MIN : No(Fail)</v>
      </c>
    </row>
    <row r="3653" spans="2:18" ht="41.4" x14ac:dyDescent="0.3">
      <c r="B3653">
        <v>0</v>
      </c>
      <c r="C3653" s="33">
        <v>8970</v>
      </c>
      <c r="D3653" s="2">
        <v>2022</v>
      </c>
      <c r="E3653" s="2" t="s">
        <v>11706</v>
      </c>
      <c r="F3653" s="3" t="s">
        <v>14206</v>
      </c>
      <c r="H3653" s="3" t="s">
        <v>269</v>
      </c>
      <c r="K3653" s="2">
        <v>20</v>
      </c>
      <c r="L3653" s="2">
        <v>3</v>
      </c>
      <c r="M3653" s="3" t="s">
        <v>4214</v>
      </c>
      <c r="N3653" s="3" t="s">
        <v>13</v>
      </c>
      <c r="O3653" s="3" t="s">
        <v>14</v>
      </c>
      <c r="Q3653" s="30" t="str">
        <f t="shared" si="57"/>
        <v>MAX : 
TARGET : Yes(Pass)
MIN : No(Fail)</v>
      </c>
    </row>
    <row r="3654" spans="2:18" ht="41.4" x14ac:dyDescent="0.3">
      <c r="B3654">
        <v>1</v>
      </c>
      <c r="C3654" s="33">
        <v>8816</v>
      </c>
      <c r="D3654" s="2">
        <v>1294</v>
      </c>
      <c r="E3654" s="2" t="s">
        <v>11105</v>
      </c>
      <c r="F3654" s="3" t="s">
        <v>14207</v>
      </c>
      <c r="H3654" s="3" t="s">
        <v>3841</v>
      </c>
      <c r="K3654" s="2">
        <v>10</v>
      </c>
      <c r="L3654" s="2">
        <v>3</v>
      </c>
      <c r="M3654" s="3" t="s">
        <v>346</v>
      </c>
      <c r="N3654" s="3" t="s">
        <v>3844</v>
      </c>
      <c r="O3654" s="3" t="s">
        <v>2175</v>
      </c>
      <c r="P3654" s="3" t="s">
        <v>3845</v>
      </c>
      <c r="Q3654" s="30" t="str">
        <f t="shared" si="57"/>
        <v>MAX : 18.85
TARGET : 18.60
MIN : 18.35</v>
      </c>
    </row>
    <row r="3655" spans="2:18" ht="41.4" x14ac:dyDescent="0.3">
      <c r="B3655">
        <v>1</v>
      </c>
      <c r="C3655" s="33">
        <v>8816</v>
      </c>
      <c r="D3655" s="2">
        <v>1294</v>
      </c>
      <c r="E3655" s="2" t="s">
        <v>11105</v>
      </c>
      <c r="F3655" s="3" t="s">
        <v>14207</v>
      </c>
      <c r="H3655" s="3" t="s">
        <v>3841</v>
      </c>
      <c r="K3655" s="2">
        <v>10</v>
      </c>
      <c r="L3655" s="2">
        <v>4</v>
      </c>
      <c r="M3655" s="3" t="s">
        <v>335</v>
      </c>
      <c r="N3655" s="3" t="s">
        <v>3842</v>
      </c>
      <c r="O3655" s="3" t="s">
        <v>2172</v>
      </c>
      <c r="P3655" s="3" t="s">
        <v>3843</v>
      </c>
      <c r="Q3655" s="30" t="str">
        <f t="shared" si="57"/>
        <v>MAX : 23.45
TARGET : 23.30
MIN : 23.15</v>
      </c>
    </row>
    <row r="3656" spans="2:18" ht="41.4" x14ac:dyDescent="0.3">
      <c r="B3656">
        <v>0</v>
      </c>
      <c r="C3656" s="33">
        <v>8963</v>
      </c>
      <c r="D3656" s="2">
        <v>1357</v>
      </c>
      <c r="E3656" s="2" t="s">
        <v>11657</v>
      </c>
      <c r="F3656" s="3" t="s">
        <v>14239</v>
      </c>
      <c r="H3656" s="3" t="s">
        <v>4215</v>
      </c>
      <c r="K3656" s="2">
        <v>20</v>
      </c>
      <c r="L3656" s="2">
        <v>3</v>
      </c>
      <c r="M3656" s="3" t="s">
        <v>4222</v>
      </c>
      <c r="N3656" s="3" t="s">
        <v>4223</v>
      </c>
      <c r="O3656" s="3" t="s">
        <v>1092</v>
      </c>
      <c r="P3656" s="3" t="s">
        <v>4224</v>
      </c>
      <c r="Q3656" s="30" t="str">
        <f t="shared" si="57"/>
        <v>MAX : 7.51
TARGET : 6.75
MIN : 5.99</v>
      </c>
      <c r="R3656" s="3" t="s">
        <v>443</v>
      </c>
    </row>
    <row r="3657" spans="2:18" ht="41.4" x14ac:dyDescent="0.3">
      <c r="B3657">
        <v>0</v>
      </c>
      <c r="C3657" s="33">
        <v>8963</v>
      </c>
      <c r="D3657" s="2">
        <v>1357</v>
      </c>
      <c r="E3657" s="2" t="s">
        <v>11657</v>
      </c>
      <c r="F3657" s="3" t="s">
        <v>14239</v>
      </c>
      <c r="H3657" s="3" t="s">
        <v>4215</v>
      </c>
      <c r="K3657" s="2">
        <v>20</v>
      </c>
      <c r="L3657" s="2">
        <v>4</v>
      </c>
      <c r="M3657" s="3" t="s">
        <v>3620</v>
      </c>
      <c r="N3657" s="3" t="s">
        <v>4225</v>
      </c>
      <c r="O3657" s="3" t="s">
        <v>4226</v>
      </c>
      <c r="P3657" s="3" t="s">
        <v>4227</v>
      </c>
      <c r="Q3657" s="30" t="str">
        <f t="shared" si="57"/>
        <v>MAX : 6.84
TARGET : 6.08
MIN : 5.32</v>
      </c>
      <c r="R3657" s="3" t="s">
        <v>443</v>
      </c>
    </row>
    <row r="3658" spans="2:18" ht="41.4" x14ac:dyDescent="0.3">
      <c r="B3658">
        <v>0</v>
      </c>
      <c r="C3658" s="33">
        <v>8963</v>
      </c>
      <c r="D3658" s="2">
        <v>1357</v>
      </c>
      <c r="E3658" s="2" t="s">
        <v>11657</v>
      </c>
      <c r="F3658" s="3" t="s">
        <v>14239</v>
      </c>
      <c r="H3658" s="3" t="s">
        <v>4215</v>
      </c>
      <c r="K3658" s="2">
        <v>20</v>
      </c>
      <c r="L3658" s="2">
        <v>6</v>
      </c>
      <c r="M3658" s="3" t="s">
        <v>2418</v>
      </c>
      <c r="N3658" s="3" t="s">
        <v>13</v>
      </c>
      <c r="O3658" s="3" t="s">
        <v>14</v>
      </c>
      <c r="Q3658" s="30" t="str">
        <f t="shared" si="57"/>
        <v>MAX : 
TARGET : Yes(Pass)
MIN : No(Fail)</v>
      </c>
      <c r="R3658" s="3" t="s">
        <v>443</v>
      </c>
    </row>
    <row r="3659" spans="2:18" ht="41.4" x14ac:dyDescent="0.3">
      <c r="B3659">
        <v>1</v>
      </c>
      <c r="C3659" s="33">
        <v>8816</v>
      </c>
      <c r="D3659" s="2">
        <v>1294</v>
      </c>
      <c r="E3659" s="2" t="s">
        <v>11105</v>
      </c>
      <c r="F3659" s="3" t="s">
        <v>14207</v>
      </c>
      <c r="H3659" s="3" t="s">
        <v>3841</v>
      </c>
      <c r="K3659" s="2">
        <v>10</v>
      </c>
      <c r="L3659" s="2">
        <v>6</v>
      </c>
      <c r="M3659" s="3" t="s">
        <v>4774</v>
      </c>
      <c r="N3659" s="3" t="s">
        <v>4775</v>
      </c>
      <c r="O3659" s="3" t="s">
        <v>2385</v>
      </c>
      <c r="P3659" s="3" t="s">
        <v>4776</v>
      </c>
      <c r="Q3659" s="30" t="str">
        <f t="shared" si="57"/>
        <v>MAX : 38.25
TARGET : 38.10
MIN : 37.95</v>
      </c>
    </row>
    <row r="3660" spans="2:18" ht="41.4" x14ac:dyDescent="0.3">
      <c r="B3660">
        <v>1</v>
      </c>
      <c r="C3660" s="33">
        <v>8816</v>
      </c>
      <c r="D3660" s="2">
        <v>1294</v>
      </c>
      <c r="E3660" s="2" t="s">
        <v>11105</v>
      </c>
      <c r="F3660" s="3" t="s">
        <v>14207</v>
      </c>
      <c r="H3660" s="3" t="s">
        <v>3841</v>
      </c>
      <c r="K3660" s="2">
        <v>10</v>
      </c>
      <c r="L3660" s="2">
        <v>11</v>
      </c>
      <c r="M3660" s="3" t="s">
        <v>4887</v>
      </c>
      <c r="N3660" s="3" t="s">
        <v>360</v>
      </c>
      <c r="O3660" s="3" t="s">
        <v>359</v>
      </c>
      <c r="Q3660" s="30" t="str">
        <f t="shared" si="57"/>
        <v>MAX : 
TARGET : Pass
MIN : Fail</v>
      </c>
    </row>
    <row r="3661" spans="2:18" ht="41.4" x14ac:dyDescent="0.3">
      <c r="B3661">
        <v>0</v>
      </c>
      <c r="C3661" s="33">
        <v>8962</v>
      </c>
      <c r="D3661" s="2">
        <v>1356</v>
      </c>
      <c r="E3661" s="2" t="s">
        <v>11649</v>
      </c>
      <c r="F3661" s="3" t="s">
        <v>14206</v>
      </c>
      <c r="H3661" s="3" t="s">
        <v>727</v>
      </c>
      <c r="K3661" s="2">
        <v>10</v>
      </c>
      <c r="L3661" s="2">
        <v>2</v>
      </c>
      <c r="M3661" s="3" t="s">
        <v>4233</v>
      </c>
      <c r="N3661" s="3" t="s">
        <v>13</v>
      </c>
      <c r="O3661" s="3" t="s">
        <v>14</v>
      </c>
      <c r="Q3661" s="30" t="str">
        <f t="shared" si="57"/>
        <v>MAX : 
TARGET : Yes(Pass)
MIN : No(Fail)</v>
      </c>
      <c r="R3661" s="3" t="s">
        <v>4231</v>
      </c>
    </row>
    <row r="3662" spans="2:18" ht="41.4" x14ac:dyDescent="0.3">
      <c r="B3662">
        <v>1</v>
      </c>
      <c r="C3662" s="33">
        <v>8821</v>
      </c>
      <c r="D3662" s="2">
        <v>1295</v>
      </c>
      <c r="E3662" s="2" t="s">
        <v>11113</v>
      </c>
      <c r="F3662" s="3" t="s">
        <v>14206</v>
      </c>
      <c r="H3662" s="3" t="s">
        <v>426</v>
      </c>
      <c r="K3662" s="2">
        <v>30</v>
      </c>
      <c r="L3662" s="2">
        <v>2</v>
      </c>
      <c r="M3662" s="3" t="s">
        <v>198</v>
      </c>
      <c r="N3662" s="3" t="s">
        <v>1680</v>
      </c>
      <c r="O3662" s="3" t="s">
        <v>790</v>
      </c>
      <c r="P3662" s="3" t="s">
        <v>1681</v>
      </c>
      <c r="Q3662" s="30" t="str">
        <f t="shared" si="57"/>
        <v>MAX : 2.31
TARGET : 2.25
MIN : 2.19</v>
      </c>
    </row>
    <row r="3663" spans="2:18" ht="41.4" x14ac:dyDescent="0.3">
      <c r="B3663">
        <v>1</v>
      </c>
      <c r="C3663" s="33">
        <v>8821</v>
      </c>
      <c r="D3663" s="2">
        <v>1295</v>
      </c>
      <c r="E3663" s="2" t="s">
        <v>11113</v>
      </c>
      <c r="F3663" s="3" t="s">
        <v>14206</v>
      </c>
      <c r="H3663" s="3" t="s">
        <v>426</v>
      </c>
      <c r="K3663" s="2">
        <v>30</v>
      </c>
      <c r="L3663" s="2">
        <v>1</v>
      </c>
      <c r="M3663" s="3" t="s">
        <v>194</v>
      </c>
      <c r="N3663" s="3" t="s">
        <v>2686</v>
      </c>
      <c r="O3663" s="3" t="s">
        <v>703</v>
      </c>
      <c r="P3663" s="3" t="s">
        <v>2687</v>
      </c>
      <c r="Q3663" s="30" t="str">
        <f t="shared" si="57"/>
        <v>MAX : 4.56
TARGET : 4.50
MIN : 4.44</v>
      </c>
    </row>
    <row r="3664" spans="2:18" ht="41.4" x14ac:dyDescent="0.3">
      <c r="B3664">
        <v>0</v>
      </c>
      <c r="C3664" s="33">
        <v>8964</v>
      </c>
      <c r="D3664" s="2">
        <v>1358</v>
      </c>
      <c r="E3664" s="2" t="s">
        <v>11665</v>
      </c>
      <c r="F3664" s="3" t="s">
        <v>14207</v>
      </c>
      <c r="G3664" s="3" t="s">
        <v>4234</v>
      </c>
      <c r="H3664" s="3" t="s">
        <v>426</v>
      </c>
      <c r="I3664" s="3" t="s">
        <v>575</v>
      </c>
      <c r="K3664" s="2">
        <v>20</v>
      </c>
      <c r="L3664" s="2">
        <v>5</v>
      </c>
      <c r="M3664" s="3" t="s">
        <v>78</v>
      </c>
      <c r="N3664" s="3" t="s">
        <v>13</v>
      </c>
      <c r="O3664" s="3" t="s">
        <v>14</v>
      </c>
      <c r="Q3664" s="30" t="str">
        <f t="shared" si="57"/>
        <v>MAX : 
TARGET : Yes(Pass)
MIN : No(Fail)</v>
      </c>
    </row>
    <row r="3665" spans="2:18" ht="41.4" x14ac:dyDescent="0.3">
      <c r="B3665">
        <v>0</v>
      </c>
      <c r="C3665" s="33">
        <v>8964</v>
      </c>
      <c r="D3665" s="2">
        <v>1358</v>
      </c>
      <c r="E3665" s="2" t="s">
        <v>11665</v>
      </c>
      <c r="F3665" s="3" t="s">
        <v>14207</v>
      </c>
      <c r="G3665" s="3" t="s">
        <v>4234</v>
      </c>
      <c r="H3665" s="3" t="s">
        <v>426</v>
      </c>
      <c r="I3665" s="3" t="s">
        <v>575</v>
      </c>
      <c r="K3665" s="2">
        <v>20</v>
      </c>
      <c r="L3665" s="2">
        <v>6</v>
      </c>
      <c r="M3665" s="3" t="s">
        <v>4238</v>
      </c>
      <c r="N3665" s="3" t="s">
        <v>13</v>
      </c>
      <c r="O3665" s="3" t="s">
        <v>14</v>
      </c>
      <c r="Q3665" s="30" t="str">
        <f t="shared" si="57"/>
        <v>MAX : 
TARGET : Yes(Pass)
MIN : No(Fail)</v>
      </c>
    </row>
    <row r="3666" spans="2:18" ht="41.4" x14ac:dyDescent="0.3">
      <c r="B3666">
        <v>1</v>
      </c>
      <c r="C3666" s="33">
        <v>8824</v>
      </c>
      <c r="D3666" s="2">
        <v>1994</v>
      </c>
      <c r="E3666" s="2" t="s">
        <v>11120</v>
      </c>
      <c r="F3666" s="3" t="s">
        <v>14206</v>
      </c>
      <c r="G3666" s="3" t="s">
        <v>496</v>
      </c>
      <c r="H3666" s="3" t="s">
        <v>1144</v>
      </c>
      <c r="K3666" s="2">
        <v>10</v>
      </c>
      <c r="L3666" s="2">
        <v>7</v>
      </c>
      <c r="M3666" s="3" t="s">
        <v>1147</v>
      </c>
      <c r="N3666" s="3" t="s">
        <v>13</v>
      </c>
      <c r="O3666" s="3" t="s">
        <v>14</v>
      </c>
      <c r="Q3666" s="30" t="str">
        <f t="shared" si="57"/>
        <v>MAX : 
TARGET : Yes(Pass)
MIN : No(Fail)</v>
      </c>
    </row>
    <row r="3667" spans="2:18" ht="41.4" x14ac:dyDescent="0.3">
      <c r="B3667">
        <v>1</v>
      </c>
      <c r="C3667" s="33">
        <v>8824</v>
      </c>
      <c r="D3667" s="2">
        <v>1994</v>
      </c>
      <c r="E3667" s="2" t="s">
        <v>11120</v>
      </c>
      <c r="F3667" s="3" t="s">
        <v>14206</v>
      </c>
      <c r="G3667" s="3" t="s">
        <v>496</v>
      </c>
      <c r="H3667" s="3" t="s">
        <v>1144</v>
      </c>
      <c r="K3667" s="2">
        <v>10</v>
      </c>
      <c r="L3667" s="2">
        <v>1</v>
      </c>
      <c r="M3667" s="3" t="s">
        <v>99</v>
      </c>
      <c r="N3667" s="3" t="s">
        <v>3851</v>
      </c>
      <c r="O3667" s="3" t="s">
        <v>3852</v>
      </c>
      <c r="P3667" s="3" t="s">
        <v>3853</v>
      </c>
      <c r="Q3667" s="30" t="str">
        <f t="shared" si="57"/>
        <v>MAX : 0.739
TARGET : 0.709
MIN : 0.679</v>
      </c>
    </row>
    <row r="3668" spans="2:18" ht="41.4" x14ac:dyDescent="0.3">
      <c r="B3668">
        <v>0</v>
      </c>
      <c r="C3668" s="33">
        <v>8944</v>
      </c>
      <c r="D3668" s="2">
        <v>1345</v>
      </c>
      <c r="E3668" s="2" t="s">
        <v>11549</v>
      </c>
      <c r="F3668" s="29" t="s">
        <v>14240</v>
      </c>
      <c r="G3668" s="3" t="s">
        <v>4239</v>
      </c>
      <c r="H3668" s="3" t="s">
        <v>4240</v>
      </c>
      <c r="K3668" s="2">
        <v>20</v>
      </c>
      <c r="L3668" s="2">
        <v>3</v>
      </c>
      <c r="M3668" s="3" t="s">
        <v>4244</v>
      </c>
      <c r="N3668" s="3" t="s">
        <v>13</v>
      </c>
      <c r="O3668" s="3" t="s">
        <v>14</v>
      </c>
      <c r="Q3668" s="30" t="str">
        <f t="shared" si="57"/>
        <v>MAX : 
TARGET : Yes(Pass)
MIN : No(Fail)</v>
      </c>
    </row>
    <row r="3669" spans="2:18" ht="41.4" x14ac:dyDescent="0.3">
      <c r="B3669">
        <v>1</v>
      </c>
      <c r="C3669" s="33">
        <v>8824</v>
      </c>
      <c r="D3669" s="2">
        <v>1994</v>
      </c>
      <c r="E3669" s="2" t="s">
        <v>11120</v>
      </c>
      <c r="F3669" s="3" t="s">
        <v>14206</v>
      </c>
      <c r="G3669" s="3" t="s">
        <v>496</v>
      </c>
      <c r="H3669" s="3" t="s">
        <v>1144</v>
      </c>
      <c r="K3669" s="2">
        <v>10</v>
      </c>
      <c r="L3669" s="2">
        <v>6</v>
      </c>
      <c r="M3669" s="3" t="s">
        <v>4265</v>
      </c>
      <c r="N3669" s="3" t="s">
        <v>13</v>
      </c>
      <c r="O3669" s="3" t="s">
        <v>14</v>
      </c>
      <c r="Q3669" s="30" t="str">
        <f t="shared" si="57"/>
        <v>MAX : 
TARGET : Yes(Pass)
MIN : No(Fail)</v>
      </c>
    </row>
    <row r="3670" spans="2:18" ht="41.4" x14ac:dyDescent="0.3">
      <c r="B3670">
        <v>1</v>
      </c>
      <c r="C3670" s="33">
        <v>8824</v>
      </c>
      <c r="D3670" s="2">
        <v>1994</v>
      </c>
      <c r="E3670" s="2" t="s">
        <v>11120</v>
      </c>
      <c r="F3670" s="3" t="s">
        <v>14206</v>
      </c>
      <c r="G3670" s="3" t="s">
        <v>496</v>
      </c>
      <c r="H3670" s="3" t="s">
        <v>1144</v>
      </c>
      <c r="K3670" s="2">
        <v>10</v>
      </c>
      <c r="L3670" s="2">
        <v>4</v>
      </c>
      <c r="M3670" s="3" t="s">
        <v>1668</v>
      </c>
      <c r="N3670" s="3" t="s">
        <v>1527</v>
      </c>
      <c r="O3670" s="3" t="s">
        <v>4613</v>
      </c>
      <c r="P3670" s="3" t="s">
        <v>1345</v>
      </c>
      <c r="Q3670" s="30" t="str">
        <f t="shared" si="57"/>
        <v>MAX : 0.380
TARGET : 0.350
MIN : 0.320</v>
      </c>
    </row>
    <row r="3671" spans="2:18" ht="41.4" x14ac:dyDescent="0.3">
      <c r="B3671">
        <v>0</v>
      </c>
      <c r="C3671" s="33">
        <v>8972</v>
      </c>
      <c r="D3671" s="2">
        <v>1362</v>
      </c>
      <c r="E3671" s="2" t="s">
        <v>11719</v>
      </c>
      <c r="F3671" s="3" t="s">
        <v>14206</v>
      </c>
      <c r="H3671" s="3" t="s">
        <v>1915</v>
      </c>
      <c r="K3671" s="2">
        <v>10</v>
      </c>
      <c r="L3671" s="2">
        <v>3</v>
      </c>
      <c r="M3671" s="3" t="s">
        <v>4245</v>
      </c>
      <c r="N3671" s="3" t="s">
        <v>13</v>
      </c>
      <c r="O3671" s="3" t="s">
        <v>14</v>
      </c>
      <c r="Q3671" s="30" t="str">
        <f t="shared" si="57"/>
        <v>MAX : 
TARGET : Yes(Pass)
MIN : No(Fail)</v>
      </c>
    </row>
    <row r="3672" spans="2:18" ht="41.4" x14ac:dyDescent="0.3">
      <c r="B3672">
        <v>1</v>
      </c>
      <c r="C3672" s="33">
        <v>8825</v>
      </c>
      <c r="D3672" s="2">
        <v>1995</v>
      </c>
      <c r="E3672" s="2" t="s">
        <v>11128</v>
      </c>
      <c r="F3672" s="3" t="s">
        <v>14206</v>
      </c>
      <c r="H3672" s="3" t="s">
        <v>824</v>
      </c>
      <c r="K3672" s="2">
        <v>20</v>
      </c>
      <c r="L3672" s="2">
        <v>1</v>
      </c>
      <c r="M3672" s="3" t="s">
        <v>3857</v>
      </c>
      <c r="N3672" s="3" t="s">
        <v>13</v>
      </c>
      <c r="O3672" s="3" t="s">
        <v>14</v>
      </c>
      <c r="Q3672" s="30" t="str">
        <f t="shared" si="57"/>
        <v>MAX : 
TARGET : Yes(Pass)
MIN : No(Fail)</v>
      </c>
    </row>
    <row r="3673" spans="2:18" ht="41.4" x14ac:dyDescent="0.3">
      <c r="B3673">
        <v>1</v>
      </c>
      <c r="C3673" s="33">
        <v>8825</v>
      </c>
      <c r="D3673" s="2">
        <v>1995</v>
      </c>
      <c r="E3673" s="2" t="s">
        <v>11128</v>
      </c>
      <c r="F3673" s="3" t="s">
        <v>14206</v>
      </c>
      <c r="H3673" s="3" t="s">
        <v>824</v>
      </c>
      <c r="K3673" s="2">
        <v>10</v>
      </c>
      <c r="L3673" s="2">
        <v>1</v>
      </c>
      <c r="M3673" s="3" t="s">
        <v>3856</v>
      </c>
      <c r="N3673" s="3" t="s">
        <v>666</v>
      </c>
      <c r="O3673" s="3" t="s">
        <v>667</v>
      </c>
      <c r="P3673" s="3" t="s">
        <v>668</v>
      </c>
      <c r="Q3673" s="30" t="str">
        <f t="shared" si="57"/>
        <v>MAX : 20.125
TARGET : 20.000
MIN : 19.875</v>
      </c>
    </row>
    <row r="3674" spans="2:18" ht="41.4" x14ac:dyDescent="0.3">
      <c r="B3674">
        <v>1</v>
      </c>
      <c r="C3674" s="33">
        <v>8826</v>
      </c>
      <c r="D3674" s="2">
        <v>1296</v>
      </c>
      <c r="E3674" s="2" t="s">
        <v>11136</v>
      </c>
      <c r="F3674" s="3" t="s">
        <v>14206</v>
      </c>
      <c r="H3674" s="3" t="s">
        <v>727</v>
      </c>
      <c r="K3674" s="2">
        <v>20</v>
      </c>
      <c r="L3674" s="2">
        <v>2</v>
      </c>
      <c r="M3674" s="3" t="s">
        <v>198</v>
      </c>
      <c r="N3674" s="3" t="s">
        <v>390</v>
      </c>
      <c r="O3674" s="3" t="s">
        <v>3525</v>
      </c>
      <c r="P3674" s="3" t="s">
        <v>1688</v>
      </c>
      <c r="Q3674" s="30" t="str">
        <f t="shared" si="57"/>
        <v>MAX : 2.77
TARGET : 2.74
MIN : 2.71</v>
      </c>
    </row>
    <row r="3675" spans="2:18" ht="41.4" x14ac:dyDescent="0.3">
      <c r="B3675">
        <v>1</v>
      </c>
      <c r="C3675" s="33">
        <v>8826</v>
      </c>
      <c r="D3675" s="2">
        <v>1296</v>
      </c>
      <c r="E3675" s="2" t="s">
        <v>11136</v>
      </c>
      <c r="F3675" s="3" t="s">
        <v>14206</v>
      </c>
      <c r="H3675" s="3" t="s">
        <v>727</v>
      </c>
      <c r="K3675" s="2">
        <v>20</v>
      </c>
      <c r="L3675" s="2">
        <v>1</v>
      </c>
      <c r="M3675" s="3" t="s">
        <v>194</v>
      </c>
      <c r="N3675" s="3" t="s">
        <v>390</v>
      </c>
      <c r="O3675" s="3" t="s">
        <v>3525</v>
      </c>
      <c r="P3675" s="3" t="s">
        <v>1688</v>
      </c>
      <c r="Q3675" s="30" t="str">
        <f t="shared" si="57"/>
        <v>MAX : 2.77
TARGET : 2.74
MIN : 2.71</v>
      </c>
    </row>
    <row r="3676" spans="2:18" ht="41.4" x14ac:dyDescent="0.3">
      <c r="B3676">
        <v>0</v>
      </c>
      <c r="C3676" s="33">
        <v>8942</v>
      </c>
      <c r="D3676" s="2">
        <v>1344</v>
      </c>
      <c r="E3676" s="2" t="s">
        <v>11543</v>
      </c>
      <c r="F3676" s="3" t="s">
        <v>14206</v>
      </c>
      <c r="H3676" s="3" t="s">
        <v>4246</v>
      </c>
      <c r="K3676" s="2">
        <v>10</v>
      </c>
      <c r="L3676" s="2">
        <v>3</v>
      </c>
      <c r="M3676" s="3" t="s">
        <v>4252</v>
      </c>
      <c r="N3676" s="3" t="s">
        <v>4253</v>
      </c>
      <c r="O3676" s="3" t="s">
        <v>4254</v>
      </c>
      <c r="P3676" s="3" t="s">
        <v>4255</v>
      </c>
      <c r="Q3676" s="30" t="str">
        <f t="shared" si="57"/>
        <v>MAX : 8.564
TARGET : 8.554
MIN : 8.544</v>
      </c>
      <c r="R3676" s="3" t="s">
        <v>443</v>
      </c>
    </row>
    <row r="3677" spans="2:18" ht="41.4" x14ac:dyDescent="0.3">
      <c r="B3677">
        <v>0</v>
      </c>
      <c r="C3677" s="33">
        <v>8942</v>
      </c>
      <c r="D3677" s="2">
        <v>1344</v>
      </c>
      <c r="E3677" s="2" t="s">
        <v>11543</v>
      </c>
      <c r="F3677" s="3" t="s">
        <v>14206</v>
      </c>
      <c r="H3677" s="3" t="s">
        <v>4246</v>
      </c>
      <c r="K3677" s="2">
        <v>10</v>
      </c>
      <c r="L3677" s="2">
        <v>4</v>
      </c>
      <c r="M3677" s="3" t="s">
        <v>2117</v>
      </c>
      <c r="N3677" s="3" t="s">
        <v>149</v>
      </c>
      <c r="O3677" s="3" t="s">
        <v>149</v>
      </c>
      <c r="P3677" s="3" t="s">
        <v>4256</v>
      </c>
      <c r="Q3677" s="30" t="str">
        <f t="shared" si="57"/>
        <v>MAX : 12.30
TARGET : 12.00
MIN : 12.00</v>
      </c>
      <c r="R3677" s="3" t="s">
        <v>443</v>
      </c>
    </row>
    <row r="3678" spans="2:18" ht="41.4" x14ac:dyDescent="0.3">
      <c r="B3678">
        <v>0</v>
      </c>
      <c r="C3678" s="33">
        <v>8942</v>
      </c>
      <c r="D3678" s="2">
        <v>1344</v>
      </c>
      <c r="E3678" s="2" t="s">
        <v>11543</v>
      </c>
      <c r="F3678" s="3" t="s">
        <v>14206</v>
      </c>
      <c r="H3678" s="3" t="s">
        <v>4246</v>
      </c>
      <c r="K3678" s="2">
        <v>10</v>
      </c>
      <c r="L3678" s="2">
        <v>5</v>
      </c>
      <c r="M3678" s="3" t="s">
        <v>4248</v>
      </c>
      <c r="N3678" s="3" t="s">
        <v>4257</v>
      </c>
      <c r="O3678" s="3" t="s">
        <v>3486</v>
      </c>
      <c r="P3678" s="3" t="s">
        <v>4258</v>
      </c>
      <c r="Q3678" s="30" t="str">
        <f t="shared" si="57"/>
        <v>MAX : 3.815
TARGET : 3.805
MIN : 3.795</v>
      </c>
      <c r="R3678" s="3" t="s">
        <v>443</v>
      </c>
    </row>
    <row r="3679" spans="2:18" ht="41.4" x14ac:dyDescent="0.3">
      <c r="B3679">
        <v>0</v>
      </c>
      <c r="C3679" s="33">
        <v>8942</v>
      </c>
      <c r="D3679" s="2">
        <v>1344</v>
      </c>
      <c r="E3679" s="2" t="s">
        <v>11543</v>
      </c>
      <c r="F3679" s="3" t="s">
        <v>14206</v>
      </c>
      <c r="H3679" s="3" t="s">
        <v>4246</v>
      </c>
      <c r="K3679" s="2">
        <v>10</v>
      </c>
      <c r="L3679" s="2">
        <v>6</v>
      </c>
      <c r="M3679" s="3" t="s">
        <v>4252</v>
      </c>
      <c r="N3679" s="3" t="s">
        <v>4259</v>
      </c>
      <c r="O3679" s="3" t="s">
        <v>4260</v>
      </c>
      <c r="P3679" s="3" t="s">
        <v>4261</v>
      </c>
      <c r="Q3679" s="30" t="str">
        <f t="shared" si="57"/>
        <v>MAX : 3.555
TARGET : 3.545
MIN : 3.535</v>
      </c>
      <c r="R3679" s="3" t="s">
        <v>443</v>
      </c>
    </row>
    <row r="3680" spans="2:18" ht="41.4" x14ac:dyDescent="0.3">
      <c r="B3680">
        <v>0</v>
      </c>
      <c r="C3680" s="33">
        <v>8942</v>
      </c>
      <c r="D3680" s="2">
        <v>1344</v>
      </c>
      <c r="E3680" s="2" t="s">
        <v>11543</v>
      </c>
      <c r="F3680" s="3" t="s">
        <v>14206</v>
      </c>
      <c r="H3680" s="3" t="s">
        <v>4246</v>
      </c>
      <c r="K3680" s="2">
        <v>10</v>
      </c>
      <c r="L3680" s="2">
        <v>7</v>
      </c>
      <c r="M3680" s="3" t="s">
        <v>4262</v>
      </c>
      <c r="N3680" s="3" t="s">
        <v>13</v>
      </c>
      <c r="O3680" s="3" t="s">
        <v>14</v>
      </c>
      <c r="Q3680" s="30" t="str">
        <f t="shared" si="57"/>
        <v>MAX : 
TARGET : Yes(Pass)
MIN : No(Fail)</v>
      </c>
      <c r="R3680" s="3" t="s">
        <v>443</v>
      </c>
    </row>
    <row r="3681" spans="2:17" ht="41.4" x14ac:dyDescent="0.3">
      <c r="B3681">
        <v>1</v>
      </c>
      <c r="C3681" s="33">
        <v>8826</v>
      </c>
      <c r="D3681" s="2">
        <v>1296</v>
      </c>
      <c r="E3681" s="2" t="s">
        <v>11136</v>
      </c>
      <c r="F3681" s="3" t="s">
        <v>14206</v>
      </c>
      <c r="H3681" s="3" t="s">
        <v>727</v>
      </c>
      <c r="K3681" s="2">
        <v>10</v>
      </c>
      <c r="L3681" s="2">
        <v>1</v>
      </c>
      <c r="M3681" s="3" t="s">
        <v>458</v>
      </c>
      <c r="N3681" s="3" t="s">
        <v>5732</v>
      </c>
      <c r="O3681" s="3" t="s">
        <v>1092</v>
      </c>
      <c r="P3681" s="3" t="s">
        <v>5733</v>
      </c>
      <c r="Q3681" s="30" t="str">
        <f t="shared" si="57"/>
        <v>MAX : 6.875
TARGET : 6.75
MIN : 6.625</v>
      </c>
    </row>
    <row r="3682" spans="2:17" ht="41.4" x14ac:dyDescent="0.3">
      <c r="B3682">
        <v>1</v>
      </c>
      <c r="C3682" s="33">
        <v>8826</v>
      </c>
      <c r="D3682" s="2">
        <v>1296</v>
      </c>
      <c r="E3682" s="2" t="s">
        <v>11136</v>
      </c>
      <c r="F3682" s="3" t="s">
        <v>14206</v>
      </c>
      <c r="H3682" s="3" t="s">
        <v>727</v>
      </c>
      <c r="K3682" s="2">
        <v>20</v>
      </c>
      <c r="L3682" s="2">
        <v>5</v>
      </c>
      <c r="M3682" s="3" t="s">
        <v>6214</v>
      </c>
      <c r="N3682" s="3" t="s">
        <v>13</v>
      </c>
      <c r="O3682" s="3" t="s">
        <v>14</v>
      </c>
      <c r="Q3682" s="30" t="str">
        <f t="shared" si="57"/>
        <v>MAX : 
TARGET : Yes(Pass)
MIN : No(Fail)</v>
      </c>
    </row>
    <row r="3683" spans="2:17" ht="41.4" x14ac:dyDescent="0.3">
      <c r="B3683">
        <v>0</v>
      </c>
      <c r="C3683" s="33">
        <v>8960</v>
      </c>
      <c r="D3683" s="2">
        <v>1354</v>
      </c>
      <c r="E3683" s="2" t="s">
        <v>11636</v>
      </c>
      <c r="F3683" s="3" t="s">
        <v>14206</v>
      </c>
      <c r="H3683" s="3" t="s">
        <v>648</v>
      </c>
      <c r="K3683" s="2">
        <v>20</v>
      </c>
      <c r="L3683" s="2">
        <v>3</v>
      </c>
      <c r="M3683" s="3" t="s">
        <v>78</v>
      </c>
      <c r="N3683" s="3" t="s">
        <v>13</v>
      </c>
      <c r="O3683" s="3" t="s">
        <v>14</v>
      </c>
      <c r="Q3683" s="30" t="str">
        <f t="shared" si="57"/>
        <v>MAX : 
TARGET : Yes(Pass)
MIN : No(Fail)</v>
      </c>
    </row>
    <row r="3684" spans="2:17" ht="41.4" x14ac:dyDescent="0.3">
      <c r="B3684">
        <v>1</v>
      </c>
      <c r="C3684" s="33">
        <v>8826</v>
      </c>
      <c r="D3684" s="2">
        <v>1296</v>
      </c>
      <c r="E3684" s="2" t="s">
        <v>11136</v>
      </c>
      <c r="F3684" s="3" t="s">
        <v>14206</v>
      </c>
      <c r="H3684" s="3" t="s">
        <v>727</v>
      </c>
      <c r="K3684" s="2">
        <v>10</v>
      </c>
      <c r="L3684" s="2">
        <v>2</v>
      </c>
      <c r="M3684" s="3" t="s">
        <v>4037</v>
      </c>
      <c r="N3684" s="3" t="s">
        <v>13</v>
      </c>
      <c r="O3684" s="3" t="s">
        <v>14</v>
      </c>
      <c r="Q3684" s="30" t="str">
        <f t="shared" si="57"/>
        <v>MAX : 
TARGET : Yes(Pass)
MIN : No(Fail)</v>
      </c>
    </row>
    <row r="3685" spans="2:17" ht="41.4" x14ac:dyDescent="0.3">
      <c r="B3685">
        <v>1</v>
      </c>
      <c r="C3685" s="33">
        <v>8831</v>
      </c>
      <c r="D3685" s="2">
        <v>1297</v>
      </c>
      <c r="E3685" s="2" t="s">
        <v>11144</v>
      </c>
      <c r="F3685" s="3" t="s">
        <v>14207</v>
      </c>
      <c r="H3685" s="3" t="s">
        <v>1183</v>
      </c>
      <c r="K3685" s="2">
        <v>10</v>
      </c>
      <c r="L3685" s="2">
        <v>2</v>
      </c>
      <c r="M3685" s="3" t="s">
        <v>198</v>
      </c>
      <c r="N3685" s="3" t="s">
        <v>3866</v>
      </c>
      <c r="O3685" s="3" t="s">
        <v>3867</v>
      </c>
      <c r="P3685" s="3" t="s">
        <v>3868</v>
      </c>
      <c r="Q3685" s="30" t="str">
        <f t="shared" si="57"/>
        <v>MAX : 30.65
TARGET : 29.85
MIN : 29.05</v>
      </c>
    </row>
    <row r="3686" spans="2:17" ht="41.4" x14ac:dyDescent="0.3">
      <c r="B3686">
        <v>0</v>
      </c>
      <c r="C3686" s="33">
        <v>8967</v>
      </c>
      <c r="D3686" s="2">
        <v>1360</v>
      </c>
      <c r="E3686" s="2" t="s">
        <v>11686</v>
      </c>
      <c r="F3686" s="3" t="s">
        <v>14206</v>
      </c>
      <c r="H3686" s="3" t="s">
        <v>648</v>
      </c>
      <c r="K3686" s="2">
        <v>20</v>
      </c>
      <c r="L3686" s="2">
        <v>3</v>
      </c>
      <c r="M3686" s="3" t="s">
        <v>134</v>
      </c>
      <c r="N3686" s="3" t="s">
        <v>13</v>
      </c>
      <c r="O3686" s="3" t="s">
        <v>14</v>
      </c>
      <c r="Q3686" s="30" t="str">
        <f t="shared" si="57"/>
        <v>MAX : 
TARGET : Yes(Pass)
MIN : No(Fail)</v>
      </c>
    </row>
    <row r="3687" spans="2:17" ht="41.4" x14ac:dyDescent="0.3">
      <c r="B3687">
        <v>0</v>
      </c>
      <c r="C3687" s="33">
        <v>8967</v>
      </c>
      <c r="D3687" s="2">
        <v>1360</v>
      </c>
      <c r="E3687" s="2" t="s">
        <v>11686</v>
      </c>
      <c r="F3687" s="3" t="s">
        <v>14206</v>
      </c>
      <c r="H3687" s="3" t="s">
        <v>648</v>
      </c>
      <c r="K3687" s="2">
        <v>20</v>
      </c>
      <c r="L3687" s="2">
        <v>4</v>
      </c>
      <c r="M3687" s="3" t="s">
        <v>4264</v>
      </c>
      <c r="N3687" s="3" t="s">
        <v>13</v>
      </c>
      <c r="O3687" s="3" t="s">
        <v>14</v>
      </c>
      <c r="Q3687" s="30" t="str">
        <f t="shared" si="57"/>
        <v>MAX : 
TARGET : Yes(Pass)
MIN : No(Fail)</v>
      </c>
    </row>
    <row r="3688" spans="2:17" ht="41.4" x14ac:dyDescent="0.3">
      <c r="B3688">
        <v>1</v>
      </c>
      <c r="C3688" s="33">
        <v>8831</v>
      </c>
      <c r="D3688" s="2">
        <v>1297</v>
      </c>
      <c r="E3688" s="2" t="s">
        <v>11144</v>
      </c>
      <c r="F3688" s="3" t="s">
        <v>14207</v>
      </c>
      <c r="H3688" s="3" t="s">
        <v>1183</v>
      </c>
      <c r="K3688" s="2">
        <v>10</v>
      </c>
      <c r="L3688" s="2">
        <v>1</v>
      </c>
      <c r="M3688" s="3" t="s">
        <v>194</v>
      </c>
      <c r="N3688" s="3" t="s">
        <v>3863</v>
      </c>
      <c r="O3688" s="3" t="s">
        <v>3864</v>
      </c>
      <c r="P3688" s="3" t="s">
        <v>3865</v>
      </c>
      <c r="Q3688" s="30" t="str">
        <f t="shared" si="57"/>
        <v>MAX : 66.86
TARGET : 66.06
MIN : 65.28</v>
      </c>
    </row>
    <row r="3689" spans="2:17" ht="41.4" x14ac:dyDescent="0.3">
      <c r="B3689">
        <v>1</v>
      </c>
      <c r="C3689" s="33">
        <v>8833</v>
      </c>
      <c r="D3689" s="2">
        <v>1298</v>
      </c>
      <c r="E3689" s="2" t="s">
        <v>11150</v>
      </c>
      <c r="F3689" s="3" t="s">
        <v>14206</v>
      </c>
      <c r="H3689" s="3" t="s">
        <v>504</v>
      </c>
      <c r="K3689" s="2">
        <v>20</v>
      </c>
      <c r="L3689" s="2">
        <v>2</v>
      </c>
      <c r="M3689" s="3" t="s">
        <v>174</v>
      </c>
      <c r="N3689" s="3" t="s">
        <v>420</v>
      </c>
      <c r="O3689" s="3" t="s">
        <v>272</v>
      </c>
      <c r="P3689" s="3" t="s">
        <v>414</v>
      </c>
      <c r="Q3689" s="30" t="str">
        <f t="shared" si="57"/>
        <v>MAX : 1.03
TARGET : 1.00
MIN : 0.97</v>
      </c>
    </row>
    <row r="3690" spans="2:17" ht="41.4" x14ac:dyDescent="0.3">
      <c r="B3690">
        <v>0</v>
      </c>
      <c r="C3690" s="33">
        <v>8959</v>
      </c>
      <c r="D3690" s="2">
        <v>1353</v>
      </c>
      <c r="E3690" s="2" t="s">
        <v>11630</v>
      </c>
      <c r="F3690" s="3" t="s">
        <v>14206</v>
      </c>
      <c r="H3690" s="3" t="s">
        <v>648</v>
      </c>
      <c r="K3690" s="2">
        <v>20</v>
      </c>
      <c r="L3690" s="2">
        <v>3</v>
      </c>
      <c r="M3690" s="3" t="s">
        <v>78</v>
      </c>
      <c r="N3690" s="3" t="s">
        <v>13</v>
      </c>
      <c r="O3690" s="3" t="s">
        <v>14</v>
      </c>
      <c r="Q3690" s="30" t="str">
        <f t="shared" si="57"/>
        <v>MAX : 
TARGET : Yes(Pass)
MIN : No(Fail)</v>
      </c>
    </row>
    <row r="3691" spans="2:17" ht="41.4" x14ac:dyDescent="0.3">
      <c r="B3691">
        <v>1</v>
      </c>
      <c r="C3691" s="33">
        <v>8833</v>
      </c>
      <c r="D3691" s="2">
        <v>1298</v>
      </c>
      <c r="E3691" s="2" t="s">
        <v>11150</v>
      </c>
      <c r="F3691" s="3" t="s">
        <v>14206</v>
      </c>
      <c r="H3691" s="3" t="s">
        <v>504</v>
      </c>
      <c r="K3691" s="2">
        <v>20</v>
      </c>
      <c r="L3691" s="2">
        <v>1</v>
      </c>
      <c r="M3691" s="3" t="s">
        <v>194</v>
      </c>
      <c r="N3691" s="3" t="s">
        <v>405</v>
      </c>
      <c r="O3691" s="3" t="s">
        <v>406</v>
      </c>
      <c r="P3691" s="3" t="s">
        <v>407</v>
      </c>
      <c r="Q3691" s="30" t="str">
        <f t="shared" si="57"/>
        <v>MAX : 2.06
TARGET : 2.00
MIN : 1.94</v>
      </c>
    </row>
    <row r="3692" spans="2:17" ht="41.4" x14ac:dyDescent="0.3">
      <c r="B3692">
        <v>1</v>
      </c>
      <c r="C3692" s="33">
        <v>8834</v>
      </c>
      <c r="D3692" s="2">
        <v>1299</v>
      </c>
      <c r="E3692" s="2" t="s">
        <v>11157</v>
      </c>
      <c r="F3692" s="3" t="s">
        <v>14206</v>
      </c>
      <c r="H3692" s="3" t="s">
        <v>3788</v>
      </c>
      <c r="K3692" s="2">
        <v>20</v>
      </c>
      <c r="L3692" s="2">
        <v>2</v>
      </c>
      <c r="M3692" s="3" t="s">
        <v>3314</v>
      </c>
      <c r="N3692" s="3" t="s">
        <v>3880</v>
      </c>
      <c r="O3692" s="3" t="s">
        <v>3881</v>
      </c>
      <c r="P3692" s="3" t="s">
        <v>3882</v>
      </c>
      <c r="Q3692" s="30" t="str">
        <f t="shared" si="57"/>
        <v>MAX : 2.900
TARGET : 2.885
MIN : 2.870</v>
      </c>
    </row>
    <row r="3693" spans="2:17" ht="41.4" x14ac:dyDescent="0.3">
      <c r="B3693">
        <v>1</v>
      </c>
      <c r="C3693" s="33">
        <v>8834</v>
      </c>
      <c r="D3693" s="2">
        <v>1299</v>
      </c>
      <c r="E3693" s="2" t="s">
        <v>11157</v>
      </c>
      <c r="F3693" s="3" t="s">
        <v>14206</v>
      </c>
      <c r="H3693" s="3" t="s">
        <v>3788</v>
      </c>
      <c r="K3693" s="2">
        <v>20</v>
      </c>
      <c r="L3693" s="2">
        <v>1</v>
      </c>
      <c r="M3693" s="3" t="s">
        <v>194</v>
      </c>
      <c r="N3693" s="3" t="s">
        <v>3111</v>
      </c>
      <c r="O3693" s="3" t="s">
        <v>3878</v>
      </c>
      <c r="P3693" s="3" t="s">
        <v>3879</v>
      </c>
      <c r="Q3693" s="30" t="str">
        <f t="shared" si="57"/>
        <v>MAX : 3.040
TARGET : 3.025
MIN : 3.010</v>
      </c>
    </row>
    <row r="3694" spans="2:17" ht="41.4" x14ac:dyDescent="0.3">
      <c r="B3694">
        <v>0</v>
      </c>
      <c r="C3694" s="33">
        <v>8977</v>
      </c>
      <c r="D3694" s="2">
        <v>1364</v>
      </c>
      <c r="E3694" s="2" t="s">
        <v>11738</v>
      </c>
      <c r="F3694" s="3" t="s">
        <v>14207</v>
      </c>
      <c r="H3694" s="3" t="s">
        <v>1328</v>
      </c>
      <c r="K3694" s="2">
        <v>10</v>
      </c>
      <c r="L3694" s="2">
        <v>3</v>
      </c>
      <c r="M3694" s="3" t="s">
        <v>198</v>
      </c>
      <c r="N3694" s="3" t="s">
        <v>4272</v>
      </c>
      <c r="O3694" s="3" t="s">
        <v>4273</v>
      </c>
      <c r="P3694" s="3" t="s">
        <v>4274</v>
      </c>
      <c r="Q3694" s="30" t="str">
        <f t="shared" si="57"/>
        <v>MAX : 20.93
TARGET : 20.80
MIN : 20.67</v>
      </c>
    </row>
    <row r="3695" spans="2:17" ht="41.4" x14ac:dyDescent="0.3">
      <c r="B3695">
        <v>0</v>
      </c>
      <c r="C3695" s="33">
        <v>8977</v>
      </c>
      <c r="D3695" s="2">
        <v>1364</v>
      </c>
      <c r="E3695" s="2" t="s">
        <v>11738</v>
      </c>
      <c r="F3695" s="3" t="s">
        <v>14207</v>
      </c>
      <c r="H3695" s="3" t="s">
        <v>1328</v>
      </c>
      <c r="K3695" s="2">
        <v>20</v>
      </c>
      <c r="L3695" s="2">
        <v>4</v>
      </c>
      <c r="M3695" s="3" t="s">
        <v>4275</v>
      </c>
      <c r="N3695" s="3" t="s">
        <v>3228</v>
      </c>
      <c r="O3695" s="3" t="s">
        <v>4276</v>
      </c>
      <c r="P3695" s="3" t="s">
        <v>128</v>
      </c>
      <c r="Q3695" s="30" t="str">
        <f t="shared" si="57"/>
        <v>MAX : 4.03
TARGET : 3.90
MIN : 3.77</v>
      </c>
    </row>
    <row r="3696" spans="2:17" ht="41.4" x14ac:dyDescent="0.3">
      <c r="B3696">
        <v>0</v>
      </c>
      <c r="C3696" s="33">
        <v>8977</v>
      </c>
      <c r="D3696" s="2">
        <v>1364</v>
      </c>
      <c r="E3696" s="2" t="s">
        <v>11738</v>
      </c>
      <c r="F3696" s="3" t="s">
        <v>14207</v>
      </c>
      <c r="H3696" s="3" t="s">
        <v>1328</v>
      </c>
      <c r="K3696" s="2">
        <v>20</v>
      </c>
      <c r="L3696" s="2">
        <v>5</v>
      </c>
      <c r="M3696" s="3" t="s">
        <v>4277</v>
      </c>
      <c r="N3696" s="3" t="s">
        <v>4278</v>
      </c>
      <c r="O3696" s="3" t="s">
        <v>1211</v>
      </c>
      <c r="P3696" s="3" t="s">
        <v>4279</v>
      </c>
      <c r="Q3696" s="30" t="str">
        <f t="shared" si="57"/>
        <v>MAX : 6.63
TARGET : 6.50
MIN : 6.37</v>
      </c>
    </row>
    <row r="3697" spans="2:18" ht="41.4" x14ac:dyDescent="0.3">
      <c r="B3697">
        <v>0</v>
      </c>
      <c r="C3697" s="33">
        <v>8977</v>
      </c>
      <c r="D3697" s="2">
        <v>1364</v>
      </c>
      <c r="E3697" s="2" t="s">
        <v>11738</v>
      </c>
      <c r="F3697" s="3" t="s">
        <v>14207</v>
      </c>
      <c r="H3697" s="3" t="s">
        <v>1328</v>
      </c>
      <c r="K3697" s="2">
        <v>20</v>
      </c>
      <c r="L3697" s="2">
        <v>6</v>
      </c>
      <c r="M3697" s="3" t="s">
        <v>4280</v>
      </c>
      <c r="N3697" s="3" t="s">
        <v>195</v>
      </c>
      <c r="O3697" s="3" t="s">
        <v>196</v>
      </c>
      <c r="P3697" s="3" t="s">
        <v>197</v>
      </c>
      <c r="Q3697" s="30" t="str">
        <f t="shared" si="57"/>
        <v>MAX : 13.25
TARGET : 13.00
MIN : 12.75</v>
      </c>
    </row>
    <row r="3698" spans="2:18" ht="41.4" x14ac:dyDescent="0.3">
      <c r="B3698">
        <v>0</v>
      </c>
      <c r="C3698" s="33">
        <v>8977</v>
      </c>
      <c r="D3698" s="2">
        <v>1364</v>
      </c>
      <c r="E3698" s="2" t="s">
        <v>11738</v>
      </c>
      <c r="F3698" s="3" t="s">
        <v>14207</v>
      </c>
      <c r="H3698" s="3" t="s">
        <v>1328</v>
      </c>
      <c r="K3698" s="2">
        <v>20</v>
      </c>
      <c r="L3698" s="2">
        <v>7</v>
      </c>
      <c r="M3698" s="3" t="s">
        <v>4281</v>
      </c>
      <c r="N3698" s="3" t="s">
        <v>13</v>
      </c>
      <c r="O3698" s="3" t="s">
        <v>14</v>
      </c>
      <c r="Q3698" s="30" t="str">
        <f t="shared" si="57"/>
        <v>MAX : 
TARGET : Yes(Pass)
MIN : No(Fail)</v>
      </c>
    </row>
    <row r="3699" spans="2:18" ht="41.4" x14ac:dyDescent="0.3">
      <c r="B3699">
        <v>1</v>
      </c>
      <c r="C3699" s="33">
        <v>8834</v>
      </c>
      <c r="D3699" s="2">
        <v>1299</v>
      </c>
      <c r="E3699" s="2" t="s">
        <v>11157</v>
      </c>
      <c r="F3699" s="3" t="s">
        <v>14206</v>
      </c>
      <c r="H3699" s="3" t="s">
        <v>3788</v>
      </c>
      <c r="K3699" s="2">
        <v>20</v>
      </c>
      <c r="L3699" s="2">
        <v>3</v>
      </c>
      <c r="M3699" s="3" t="s">
        <v>2475</v>
      </c>
      <c r="N3699" s="3" t="s">
        <v>5407</v>
      </c>
      <c r="O3699" s="3" t="s">
        <v>836</v>
      </c>
      <c r="P3699" s="3" t="s">
        <v>5408</v>
      </c>
      <c r="Q3699" s="30" t="str">
        <f t="shared" si="57"/>
        <v>MAX : 1.515
TARGET : 1.500
MIN : 1.485</v>
      </c>
    </row>
    <row r="3700" spans="2:18" ht="41.4" x14ac:dyDescent="0.3">
      <c r="B3700">
        <v>1</v>
      </c>
      <c r="C3700" s="33">
        <v>8835</v>
      </c>
      <c r="D3700" s="2">
        <v>1300</v>
      </c>
      <c r="E3700" s="2" t="s">
        <v>11163</v>
      </c>
      <c r="F3700" s="3" t="s">
        <v>14206</v>
      </c>
      <c r="H3700" s="3" t="s">
        <v>600</v>
      </c>
      <c r="K3700" s="2">
        <v>10</v>
      </c>
      <c r="L3700" s="2">
        <v>2</v>
      </c>
      <c r="M3700" s="3" t="s">
        <v>198</v>
      </c>
      <c r="N3700" s="3" t="s">
        <v>462</v>
      </c>
      <c r="O3700" s="3" t="s">
        <v>424</v>
      </c>
      <c r="P3700" s="3" t="s">
        <v>463</v>
      </c>
      <c r="Q3700" s="30" t="str">
        <f t="shared" si="57"/>
        <v>MAX : 0.28
TARGET : 0.25
MIN : 0.22</v>
      </c>
    </row>
    <row r="3701" spans="2:18" ht="41.4" x14ac:dyDescent="0.3">
      <c r="B3701">
        <v>0</v>
      </c>
      <c r="C3701" s="33">
        <v>8976</v>
      </c>
      <c r="D3701" s="2">
        <v>1363</v>
      </c>
      <c r="E3701" s="2" t="s">
        <v>11732</v>
      </c>
      <c r="F3701" s="3" t="s">
        <v>14207</v>
      </c>
      <c r="H3701" s="3" t="s">
        <v>1130</v>
      </c>
      <c r="K3701" s="2">
        <v>10</v>
      </c>
      <c r="L3701" s="2">
        <v>3</v>
      </c>
      <c r="M3701" s="3" t="s">
        <v>198</v>
      </c>
      <c r="N3701" s="3" t="s">
        <v>4289</v>
      </c>
      <c r="O3701" s="3" t="s">
        <v>4290</v>
      </c>
      <c r="P3701" s="3" t="s">
        <v>4291</v>
      </c>
      <c r="Q3701" s="30" t="str">
        <f t="shared" si="57"/>
        <v>MAX : 86.85
TARGET : 86.60
MIN : 86.35</v>
      </c>
    </row>
    <row r="3702" spans="2:18" ht="41.4" x14ac:dyDescent="0.3">
      <c r="B3702">
        <v>0</v>
      </c>
      <c r="C3702" s="33">
        <v>8976</v>
      </c>
      <c r="D3702" s="2">
        <v>1363</v>
      </c>
      <c r="E3702" s="2" t="s">
        <v>11732</v>
      </c>
      <c r="F3702" s="3" t="s">
        <v>14207</v>
      </c>
      <c r="H3702" s="3" t="s">
        <v>1130</v>
      </c>
      <c r="K3702" s="2">
        <v>10</v>
      </c>
      <c r="L3702" s="2">
        <v>4</v>
      </c>
      <c r="M3702" s="3" t="s">
        <v>4292</v>
      </c>
      <c r="N3702" s="3" t="s">
        <v>4293</v>
      </c>
      <c r="O3702" s="3" t="s">
        <v>4294</v>
      </c>
      <c r="P3702" s="3" t="s">
        <v>4295</v>
      </c>
      <c r="Q3702" s="30" t="str">
        <f t="shared" si="57"/>
        <v>MAX : 72.41
TARGET : 72.16
MIN : 71.91</v>
      </c>
    </row>
    <row r="3703" spans="2:18" ht="41.4" x14ac:dyDescent="0.3">
      <c r="B3703">
        <v>0</v>
      </c>
      <c r="C3703" s="33">
        <v>8976</v>
      </c>
      <c r="D3703" s="2">
        <v>1363</v>
      </c>
      <c r="E3703" s="2" t="s">
        <v>11732</v>
      </c>
      <c r="F3703" s="3" t="s">
        <v>14207</v>
      </c>
      <c r="H3703" s="3" t="s">
        <v>1130</v>
      </c>
      <c r="K3703" s="2">
        <v>10</v>
      </c>
      <c r="L3703" s="2">
        <v>5</v>
      </c>
      <c r="M3703" s="3" t="s">
        <v>4296</v>
      </c>
      <c r="N3703" s="3" t="s">
        <v>13</v>
      </c>
      <c r="O3703" s="3" t="s">
        <v>14</v>
      </c>
      <c r="Q3703" s="30" t="str">
        <f t="shared" si="57"/>
        <v>MAX : 
TARGET : Yes(Pass)
MIN : No(Fail)</v>
      </c>
    </row>
    <row r="3704" spans="2:18" ht="41.4" x14ac:dyDescent="0.3">
      <c r="B3704">
        <v>1</v>
      </c>
      <c r="C3704" s="33">
        <v>8835</v>
      </c>
      <c r="D3704" s="2">
        <v>1300</v>
      </c>
      <c r="E3704" s="2" t="s">
        <v>11163</v>
      </c>
      <c r="F3704" s="3" t="s">
        <v>14206</v>
      </c>
      <c r="H3704" s="3" t="s">
        <v>600</v>
      </c>
      <c r="K3704" s="2">
        <v>10</v>
      </c>
      <c r="L3704" s="2">
        <v>1</v>
      </c>
      <c r="M3704" s="3" t="s">
        <v>194</v>
      </c>
      <c r="N3704" s="3" t="s">
        <v>418</v>
      </c>
      <c r="O3704" s="3" t="s">
        <v>344</v>
      </c>
      <c r="P3704" s="3" t="s">
        <v>419</v>
      </c>
      <c r="Q3704" s="30" t="str">
        <f t="shared" si="57"/>
        <v>MAX : 1.28
TARGET : 1.25
MIN : 1.22</v>
      </c>
    </row>
    <row r="3705" spans="2:18" ht="41.4" x14ac:dyDescent="0.3">
      <c r="B3705">
        <v>0</v>
      </c>
      <c r="C3705" s="33">
        <v>8758</v>
      </c>
      <c r="D3705" s="2">
        <v>1282</v>
      </c>
      <c r="E3705" s="2" t="s">
        <v>9546</v>
      </c>
      <c r="F3705" s="3" t="s">
        <v>14206</v>
      </c>
      <c r="H3705" s="3" t="s">
        <v>2520</v>
      </c>
      <c r="K3705" s="2">
        <v>10</v>
      </c>
      <c r="L3705" s="2">
        <v>10</v>
      </c>
      <c r="M3705" s="3" t="s">
        <v>6204</v>
      </c>
      <c r="N3705" s="3" t="s">
        <v>13</v>
      </c>
      <c r="O3705" s="3" t="s">
        <v>14</v>
      </c>
      <c r="Q3705" s="30" t="str">
        <f t="shared" si="57"/>
        <v>MAX : 
TARGET : Yes(Pass)
MIN : No(Fail)</v>
      </c>
      <c r="R3705" s="3" t="s">
        <v>1638</v>
      </c>
    </row>
    <row r="3706" spans="2:18" ht="41.4" x14ac:dyDescent="0.3">
      <c r="B3706">
        <v>1</v>
      </c>
      <c r="C3706" s="33">
        <v>8837</v>
      </c>
      <c r="D3706" s="2">
        <v>1301</v>
      </c>
      <c r="E3706" s="2" t="s">
        <v>11169</v>
      </c>
      <c r="F3706" s="3" t="s">
        <v>14206</v>
      </c>
      <c r="H3706" s="3" t="s">
        <v>3876</v>
      </c>
      <c r="K3706" s="2">
        <v>30</v>
      </c>
      <c r="L3706" s="2">
        <v>3</v>
      </c>
      <c r="M3706" s="3" t="s">
        <v>78</v>
      </c>
      <c r="N3706" s="3" t="s">
        <v>13</v>
      </c>
      <c r="O3706" s="3" t="s">
        <v>14</v>
      </c>
      <c r="Q3706" s="30" t="str">
        <f t="shared" si="57"/>
        <v>MAX : 
TARGET : Yes(Pass)
MIN : No(Fail)</v>
      </c>
    </row>
    <row r="3707" spans="2:18" ht="41.4" x14ac:dyDescent="0.3">
      <c r="B3707">
        <v>0</v>
      </c>
      <c r="C3707" s="33">
        <v>8981</v>
      </c>
      <c r="D3707" s="2">
        <v>2025</v>
      </c>
      <c r="E3707" s="2" t="s">
        <v>11754</v>
      </c>
      <c r="F3707" s="3" t="s">
        <v>14206</v>
      </c>
      <c r="H3707" s="3" t="s">
        <v>168</v>
      </c>
      <c r="K3707" s="2">
        <v>10</v>
      </c>
      <c r="L3707" s="2">
        <v>7</v>
      </c>
      <c r="M3707" s="3" t="s">
        <v>1136</v>
      </c>
      <c r="O3707" s="3" t="s">
        <v>123</v>
      </c>
      <c r="P3707" s="3" t="s">
        <v>124</v>
      </c>
      <c r="Q3707" s="30" t="str">
        <f t="shared" si="57"/>
        <v xml:space="preserve">MAX : Yes (Fail)
TARGET : No (Pass)
MIN : </v>
      </c>
    </row>
    <row r="3708" spans="2:18" ht="41.4" x14ac:dyDescent="0.3">
      <c r="B3708">
        <v>0</v>
      </c>
      <c r="C3708" s="33">
        <v>8981</v>
      </c>
      <c r="D3708" s="2">
        <v>2025</v>
      </c>
      <c r="E3708" s="2" t="s">
        <v>11754</v>
      </c>
      <c r="F3708" s="3" t="s">
        <v>14206</v>
      </c>
      <c r="H3708" s="3" t="s">
        <v>168</v>
      </c>
      <c r="K3708" s="2">
        <v>10</v>
      </c>
      <c r="L3708" s="2">
        <v>4</v>
      </c>
      <c r="M3708" s="3" t="s">
        <v>1137</v>
      </c>
      <c r="N3708" s="3" t="s">
        <v>24</v>
      </c>
      <c r="O3708" s="3" t="s">
        <v>25</v>
      </c>
      <c r="Q3708" s="30" t="str">
        <f t="shared" si="57"/>
        <v>MAX : 
TARGET : Yes (Pass)
MIN : No (Fail)</v>
      </c>
    </row>
    <row r="3709" spans="2:18" ht="41.4" x14ac:dyDescent="0.3">
      <c r="B3709">
        <v>0</v>
      </c>
      <c r="C3709" s="33">
        <v>8981</v>
      </c>
      <c r="D3709" s="2">
        <v>2025</v>
      </c>
      <c r="E3709" s="2" t="s">
        <v>11754</v>
      </c>
      <c r="F3709" s="3" t="s">
        <v>14206</v>
      </c>
      <c r="H3709" s="3" t="s">
        <v>168</v>
      </c>
      <c r="K3709" s="2">
        <v>10</v>
      </c>
      <c r="L3709" s="2">
        <v>6</v>
      </c>
      <c r="M3709" s="3" t="s">
        <v>1846</v>
      </c>
      <c r="O3709" s="3" t="s">
        <v>123</v>
      </c>
      <c r="P3709" s="3" t="s">
        <v>124</v>
      </c>
      <c r="Q3709" s="30" t="str">
        <f t="shared" si="57"/>
        <v xml:space="preserve">MAX : Yes (Fail)
TARGET : No (Pass)
MIN : </v>
      </c>
    </row>
    <row r="3710" spans="2:18" ht="41.4" x14ac:dyDescent="0.3">
      <c r="B3710">
        <v>0</v>
      </c>
      <c r="C3710" s="33">
        <v>8981</v>
      </c>
      <c r="D3710" s="2">
        <v>2025</v>
      </c>
      <c r="E3710" s="2" t="s">
        <v>11754</v>
      </c>
      <c r="F3710" s="3" t="s">
        <v>14206</v>
      </c>
      <c r="H3710" s="3" t="s">
        <v>168</v>
      </c>
      <c r="K3710" s="2">
        <v>10</v>
      </c>
      <c r="L3710" s="2">
        <v>5</v>
      </c>
      <c r="M3710" s="3" t="s">
        <v>1847</v>
      </c>
      <c r="N3710" s="3" t="s">
        <v>24</v>
      </c>
      <c r="O3710" s="3" t="s">
        <v>25</v>
      </c>
      <c r="Q3710" s="30" t="str">
        <f t="shared" si="57"/>
        <v>MAX : 
TARGET : Yes (Pass)
MIN : No (Fail)</v>
      </c>
    </row>
    <row r="3711" spans="2:18" ht="41.4" x14ac:dyDescent="0.3">
      <c r="B3711">
        <v>0</v>
      </c>
      <c r="C3711" s="33">
        <v>8981</v>
      </c>
      <c r="D3711" s="2">
        <v>2025</v>
      </c>
      <c r="E3711" s="2" t="s">
        <v>11754</v>
      </c>
      <c r="F3711" s="3" t="s">
        <v>14206</v>
      </c>
      <c r="H3711" s="3" t="s">
        <v>168</v>
      </c>
      <c r="K3711" s="2">
        <v>10</v>
      </c>
      <c r="L3711" s="2">
        <v>9</v>
      </c>
      <c r="M3711" s="3" t="s">
        <v>2518</v>
      </c>
      <c r="N3711" s="3" t="s">
        <v>2519</v>
      </c>
      <c r="Q3711" s="30" t="str">
        <f t="shared" si="57"/>
        <v>MAX : 
TARGET : 
MIN : 15.00 oz</v>
      </c>
    </row>
    <row r="3712" spans="2:18" ht="41.4" x14ac:dyDescent="0.3">
      <c r="B3712">
        <v>0</v>
      </c>
      <c r="C3712" s="33">
        <v>8981</v>
      </c>
      <c r="D3712" s="2">
        <v>2025</v>
      </c>
      <c r="E3712" s="2" t="s">
        <v>11754</v>
      </c>
      <c r="F3712" s="3" t="s">
        <v>14206</v>
      </c>
      <c r="H3712" s="3" t="s">
        <v>168</v>
      </c>
      <c r="K3712" s="2">
        <v>10</v>
      </c>
      <c r="L3712" s="2">
        <v>2</v>
      </c>
      <c r="M3712" s="3" t="s">
        <v>456</v>
      </c>
      <c r="N3712" s="3" t="s">
        <v>767</v>
      </c>
      <c r="O3712" s="3" t="s">
        <v>253</v>
      </c>
      <c r="P3712" s="3" t="s">
        <v>129</v>
      </c>
      <c r="Q3712" s="30" t="str">
        <f t="shared" si="57"/>
        <v>MAX : 4.06
TARGET : 4.00
MIN : 3.94</v>
      </c>
    </row>
    <row r="3713" spans="2:18" ht="41.4" x14ac:dyDescent="0.3">
      <c r="B3713">
        <v>0</v>
      </c>
      <c r="C3713" s="33">
        <v>8981</v>
      </c>
      <c r="D3713" s="2">
        <v>2025</v>
      </c>
      <c r="E3713" s="2" t="s">
        <v>11754</v>
      </c>
      <c r="F3713" s="3" t="s">
        <v>14206</v>
      </c>
      <c r="H3713" s="3" t="s">
        <v>168</v>
      </c>
      <c r="K3713" s="2">
        <v>10</v>
      </c>
      <c r="L3713" s="2">
        <v>8</v>
      </c>
      <c r="M3713" s="3" t="s">
        <v>4298</v>
      </c>
      <c r="N3713" s="3" t="s">
        <v>13</v>
      </c>
      <c r="O3713" s="3" t="s">
        <v>14</v>
      </c>
      <c r="Q3713" s="30" t="str">
        <f t="shared" si="57"/>
        <v>MAX : 
TARGET : Yes(Pass)
MIN : No(Fail)</v>
      </c>
    </row>
    <row r="3714" spans="2:18" ht="41.4" x14ac:dyDescent="0.3">
      <c r="B3714">
        <v>1</v>
      </c>
      <c r="C3714" s="33">
        <v>8837</v>
      </c>
      <c r="D3714" s="2">
        <v>1301</v>
      </c>
      <c r="E3714" s="2" t="s">
        <v>11169</v>
      </c>
      <c r="F3714" s="3" t="s">
        <v>14206</v>
      </c>
      <c r="H3714" s="3" t="s">
        <v>3876</v>
      </c>
      <c r="K3714" s="2">
        <v>30</v>
      </c>
      <c r="L3714" s="2">
        <v>5</v>
      </c>
      <c r="M3714" s="3" t="s">
        <v>4179</v>
      </c>
      <c r="N3714" s="3" t="s">
        <v>13</v>
      </c>
      <c r="O3714" s="3" t="s">
        <v>14</v>
      </c>
      <c r="Q3714" s="30" t="str">
        <f t="shared" ref="Q3714:Q3777" si="58">"MAX : " &amp; P3714 &amp; CHAR(10) &amp; "TARGET : " &amp; O3714 &amp; CHAR(10) &amp; "MIN : " &amp; N3714</f>
        <v>MAX : 
TARGET : Yes(Pass)
MIN : No(Fail)</v>
      </c>
    </row>
    <row r="3715" spans="2:18" ht="41.4" x14ac:dyDescent="0.3">
      <c r="B3715">
        <v>1</v>
      </c>
      <c r="C3715" s="33">
        <v>8837</v>
      </c>
      <c r="D3715" s="2">
        <v>1301</v>
      </c>
      <c r="E3715" s="2" t="s">
        <v>11169</v>
      </c>
      <c r="F3715" s="3" t="s">
        <v>14206</v>
      </c>
      <c r="H3715" s="3" t="s">
        <v>3876</v>
      </c>
      <c r="K3715" s="2">
        <v>30</v>
      </c>
      <c r="L3715" s="2">
        <v>2</v>
      </c>
      <c r="M3715" s="3" t="s">
        <v>3877</v>
      </c>
      <c r="N3715" s="3" t="s">
        <v>13</v>
      </c>
      <c r="O3715" s="3" t="s">
        <v>14</v>
      </c>
      <c r="Q3715" s="30" t="str">
        <f t="shared" si="58"/>
        <v>MAX : 
TARGET : Yes(Pass)
MIN : No(Fail)</v>
      </c>
    </row>
    <row r="3716" spans="2:18" ht="41.4" x14ac:dyDescent="0.3">
      <c r="B3716">
        <v>0</v>
      </c>
      <c r="C3716" s="33">
        <v>8982</v>
      </c>
      <c r="D3716" s="2">
        <v>2026</v>
      </c>
      <c r="E3716" s="2" t="s">
        <v>11760</v>
      </c>
      <c r="F3716" s="3" t="s">
        <v>14206</v>
      </c>
      <c r="H3716" s="3" t="s">
        <v>11</v>
      </c>
      <c r="K3716" s="2">
        <v>20</v>
      </c>
      <c r="L3716" s="2">
        <v>3</v>
      </c>
      <c r="M3716" s="3" t="s">
        <v>198</v>
      </c>
      <c r="N3716" s="3" t="s">
        <v>459</v>
      </c>
      <c r="O3716" s="3" t="s">
        <v>406</v>
      </c>
      <c r="P3716" s="3" t="s">
        <v>460</v>
      </c>
      <c r="Q3716" s="30" t="str">
        <f t="shared" si="58"/>
        <v>MAX : 2.03
TARGET : 2.00
MIN : 1.97</v>
      </c>
    </row>
    <row r="3717" spans="2:18" ht="41.4" x14ac:dyDescent="0.3">
      <c r="B3717">
        <v>0</v>
      </c>
      <c r="C3717" s="33">
        <v>8982</v>
      </c>
      <c r="D3717" s="2">
        <v>2026</v>
      </c>
      <c r="E3717" s="2" t="s">
        <v>11760</v>
      </c>
      <c r="F3717" s="3" t="s">
        <v>14206</v>
      </c>
      <c r="H3717" s="3" t="s">
        <v>11</v>
      </c>
      <c r="K3717" s="2">
        <v>20</v>
      </c>
      <c r="L3717" s="2">
        <v>4</v>
      </c>
      <c r="M3717" s="3" t="s">
        <v>4301</v>
      </c>
      <c r="N3717" s="3" t="s">
        <v>13</v>
      </c>
      <c r="O3717" s="3" t="s">
        <v>14</v>
      </c>
      <c r="Q3717" s="30" t="str">
        <f t="shared" si="58"/>
        <v>MAX : 
TARGET : Yes(Pass)
MIN : No(Fail)</v>
      </c>
    </row>
    <row r="3718" spans="2:18" ht="41.4" x14ac:dyDescent="0.3">
      <c r="B3718">
        <v>0</v>
      </c>
      <c r="C3718" s="33">
        <v>8982</v>
      </c>
      <c r="D3718" s="2">
        <v>2026</v>
      </c>
      <c r="E3718" s="2" t="s">
        <v>11760</v>
      </c>
      <c r="F3718" s="3" t="s">
        <v>14206</v>
      </c>
      <c r="H3718" s="3" t="s">
        <v>11</v>
      </c>
      <c r="K3718" s="2">
        <v>20</v>
      </c>
      <c r="L3718" s="2">
        <v>5</v>
      </c>
      <c r="M3718" s="3" t="s">
        <v>4302</v>
      </c>
      <c r="N3718" s="3" t="s">
        <v>13</v>
      </c>
      <c r="O3718" s="3" t="s">
        <v>14</v>
      </c>
      <c r="Q3718" s="30" t="str">
        <f t="shared" si="58"/>
        <v>MAX : 
TARGET : Yes(Pass)
MIN : No(Fail)</v>
      </c>
    </row>
    <row r="3719" spans="2:18" ht="41.4" x14ac:dyDescent="0.3">
      <c r="B3719">
        <v>1</v>
      </c>
      <c r="C3719" s="33">
        <v>8838</v>
      </c>
      <c r="D3719" s="2">
        <v>1996</v>
      </c>
      <c r="E3719" s="2" t="s">
        <v>11177</v>
      </c>
      <c r="F3719" s="3" t="s">
        <v>14207</v>
      </c>
      <c r="H3719" s="3" t="s">
        <v>824</v>
      </c>
      <c r="K3719" s="2">
        <v>10</v>
      </c>
      <c r="L3719" s="2">
        <v>2</v>
      </c>
      <c r="M3719" s="3" t="s">
        <v>325</v>
      </c>
      <c r="N3719" s="3" t="s">
        <v>13</v>
      </c>
      <c r="O3719" s="3" t="s">
        <v>14</v>
      </c>
      <c r="Q3719" s="30" t="str">
        <f t="shared" si="58"/>
        <v>MAX : 
TARGET : Yes(Pass)
MIN : No(Fail)</v>
      </c>
    </row>
    <row r="3720" spans="2:18" ht="41.4" x14ac:dyDescent="0.3">
      <c r="B3720">
        <v>1</v>
      </c>
      <c r="C3720" s="33">
        <v>8838</v>
      </c>
      <c r="D3720" s="2">
        <v>1996</v>
      </c>
      <c r="E3720" s="2" t="s">
        <v>11177</v>
      </c>
      <c r="F3720" s="3" t="s">
        <v>14207</v>
      </c>
      <c r="H3720" s="3" t="s">
        <v>824</v>
      </c>
      <c r="K3720" s="2">
        <v>10</v>
      </c>
      <c r="L3720" s="2">
        <v>1</v>
      </c>
      <c r="M3720" s="3" t="s">
        <v>322</v>
      </c>
      <c r="N3720" s="3" t="s">
        <v>3874</v>
      </c>
      <c r="O3720" s="3" t="s">
        <v>8</v>
      </c>
      <c r="P3720" s="3" t="s">
        <v>3875</v>
      </c>
      <c r="Q3720" s="30" t="str">
        <f t="shared" si="58"/>
        <v>MAX : + 1
TARGET : Target
MIN : - 1</v>
      </c>
    </row>
    <row r="3721" spans="2:18" ht="41.4" x14ac:dyDescent="0.3">
      <c r="B3721">
        <v>1</v>
      </c>
      <c r="C3721" s="33">
        <v>8839</v>
      </c>
      <c r="D3721" s="2">
        <v>1302</v>
      </c>
      <c r="E3721" s="2" t="s">
        <v>11183</v>
      </c>
      <c r="F3721" s="3" t="s">
        <v>14206</v>
      </c>
      <c r="H3721" s="3" t="s">
        <v>504</v>
      </c>
      <c r="K3721" s="2">
        <v>20</v>
      </c>
      <c r="L3721" s="2">
        <v>2</v>
      </c>
      <c r="M3721" s="3" t="s">
        <v>506</v>
      </c>
      <c r="N3721" s="3" t="s">
        <v>308</v>
      </c>
      <c r="O3721" s="3" t="s">
        <v>309</v>
      </c>
      <c r="P3721" s="3" t="s">
        <v>310</v>
      </c>
      <c r="Q3721" s="30" t="str">
        <f t="shared" si="58"/>
        <v>MAX : 0.53
TARGET : 0.50
MIN : 0.47</v>
      </c>
    </row>
    <row r="3722" spans="2:18" ht="41.4" x14ac:dyDescent="0.3">
      <c r="B3722">
        <v>1</v>
      </c>
      <c r="C3722" s="33">
        <v>8839</v>
      </c>
      <c r="D3722" s="2">
        <v>1302</v>
      </c>
      <c r="E3722" s="2" t="s">
        <v>11183</v>
      </c>
      <c r="F3722" s="3" t="s">
        <v>14206</v>
      </c>
      <c r="H3722" s="3" t="s">
        <v>504</v>
      </c>
      <c r="K3722" s="2">
        <v>20</v>
      </c>
      <c r="L3722" s="2">
        <v>1</v>
      </c>
      <c r="M3722" s="3" t="s">
        <v>198</v>
      </c>
      <c r="N3722" s="3" t="s">
        <v>252</v>
      </c>
      <c r="O3722" s="3" t="s">
        <v>253</v>
      </c>
      <c r="P3722" s="3" t="s">
        <v>505</v>
      </c>
      <c r="Q3722" s="30" t="str">
        <f t="shared" si="58"/>
        <v>MAX : 4.12
TARGET : 4.00
MIN : 3.97</v>
      </c>
    </row>
    <row r="3723" spans="2:18" ht="41.4" x14ac:dyDescent="0.3">
      <c r="B3723">
        <v>0</v>
      </c>
      <c r="C3723" s="33">
        <v>8983</v>
      </c>
      <c r="D3723" s="2">
        <v>1368</v>
      </c>
      <c r="E3723" s="2" t="s">
        <v>11766</v>
      </c>
      <c r="F3723" s="3" t="s">
        <v>14206</v>
      </c>
      <c r="H3723" s="3" t="s">
        <v>4305</v>
      </c>
      <c r="K3723" s="2">
        <v>20</v>
      </c>
      <c r="L3723" s="2">
        <v>3</v>
      </c>
      <c r="M3723" s="3" t="s">
        <v>569</v>
      </c>
      <c r="N3723" s="3" t="s">
        <v>1508</v>
      </c>
      <c r="O3723" s="3" t="s">
        <v>617</v>
      </c>
      <c r="P3723" s="3" t="s">
        <v>2816</v>
      </c>
      <c r="Q3723" s="30" t="str">
        <f t="shared" si="58"/>
        <v>MAX : 18.625
TARGET : 18.50
MIN : 18.375</v>
      </c>
    </row>
    <row r="3724" spans="2:18" ht="41.4" x14ac:dyDescent="0.3">
      <c r="B3724">
        <v>0</v>
      </c>
      <c r="C3724" s="33">
        <v>8983</v>
      </c>
      <c r="D3724" s="2">
        <v>1368</v>
      </c>
      <c r="E3724" s="2" t="s">
        <v>11766</v>
      </c>
      <c r="F3724" s="3" t="s">
        <v>14206</v>
      </c>
      <c r="H3724" s="3" t="s">
        <v>4305</v>
      </c>
      <c r="K3724" s="2">
        <v>20</v>
      </c>
      <c r="L3724" s="2">
        <v>4</v>
      </c>
      <c r="M3724" s="3" t="s">
        <v>2646</v>
      </c>
      <c r="N3724" s="3" t="s">
        <v>241</v>
      </c>
      <c r="O3724" s="3" t="s">
        <v>424</v>
      </c>
      <c r="P3724" s="3" t="s">
        <v>276</v>
      </c>
      <c r="Q3724" s="30" t="str">
        <f t="shared" si="58"/>
        <v>MAX : 0.375
TARGET : 0.25
MIN : 0.125</v>
      </c>
    </row>
    <row r="3725" spans="2:18" ht="41.4" x14ac:dyDescent="0.3">
      <c r="B3725">
        <v>0</v>
      </c>
      <c r="C3725" s="33">
        <v>8983</v>
      </c>
      <c r="D3725" s="2">
        <v>1368</v>
      </c>
      <c r="E3725" s="2" t="s">
        <v>11766</v>
      </c>
      <c r="F3725" s="3" t="s">
        <v>14206</v>
      </c>
      <c r="H3725" s="3" t="s">
        <v>4305</v>
      </c>
      <c r="K3725" s="2">
        <v>20</v>
      </c>
      <c r="L3725" s="2">
        <v>5</v>
      </c>
      <c r="M3725" s="3" t="s">
        <v>2647</v>
      </c>
      <c r="N3725" s="3" t="s">
        <v>13</v>
      </c>
      <c r="O3725" s="3" t="s">
        <v>14</v>
      </c>
      <c r="Q3725" s="30" t="str">
        <f t="shared" si="58"/>
        <v>MAX : 
TARGET : Yes(Pass)
MIN : No(Fail)</v>
      </c>
    </row>
    <row r="3726" spans="2:18" ht="41.4" x14ac:dyDescent="0.3">
      <c r="B3726">
        <v>0</v>
      </c>
      <c r="C3726" s="33">
        <v>8983</v>
      </c>
      <c r="D3726" s="2">
        <v>1368</v>
      </c>
      <c r="E3726" s="2" t="s">
        <v>11766</v>
      </c>
      <c r="F3726" s="3" t="s">
        <v>14206</v>
      </c>
      <c r="H3726" s="3" t="s">
        <v>4305</v>
      </c>
      <c r="K3726" s="2">
        <v>20</v>
      </c>
      <c r="L3726" s="2">
        <v>6</v>
      </c>
      <c r="M3726" s="3" t="s">
        <v>2817</v>
      </c>
      <c r="N3726" s="3" t="s">
        <v>13</v>
      </c>
      <c r="O3726" s="3" t="s">
        <v>14</v>
      </c>
      <c r="Q3726" s="30" t="str">
        <f t="shared" si="58"/>
        <v>MAX : 
TARGET : Yes(Pass)
MIN : No(Fail)</v>
      </c>
    </row>
    <row r="3727" spans="2:18" ht="41.4" x14ac:dyDescent="0.3">
      <c r="B3727">
        <v>1</v>
      </c>
      <c r="C3727" s="33">
        <v>8841</v>
      </c>
      <c r="D3727" s="2">
        <v>1303</v>
      </c>
      <c r="E3727" s="2" t="s">
        <v>11189</v>
      </c>
      <c r="F3727" s="3" t="s">
        <v>14207</v>
      </c>
      <c r="H3727" s="3" t="s">
        <v>3890</v>
      </c>
      <c r="K3727" s="2">
        <v>10</v>
      </c>
      <c r="L3727" s="2">
        <v>1</v>
      </c>
      <c r="M3727" s="3" t="s">
        <v>194</v>
      </c>
      <c r="N3727" s="3" t="s">
        <v>3891</v>
      </c>
      <c r="O3727" s="3" t="s">
        <v>3892</v>
      </c>
      <c r="P3727" s="3" t="s">
        <v>3893</v>
      </c>
      <c r="Q3727" s="30" t="str">
        <f t="shared" si="58"/>
        <v>MAX : 3.992
TARGET : 3.967
MIN : 3.942</v>
      </c>
      <c r="R3727" s="3" t="s">
        <v>3894</v>
      </c>
    </row>
    <row r="3728" spans="2:18" ht="41.4" x14ac:dyDescent="0.3">
      <c r="B3728">
        <v>1</v>
      </c>
      <c r="C3728" s="33">
        <v>8841</v>
      </c>
      <c r="D3728" s="2">
        <v>1303</v>
      </c>
      <c r="E3728" s="2" t="s">
        <v>11189</v>
      </c>
      <c r="F3728" s="3" t="s">
        <v>14207</v>
      </c>
      <c r="H3728" s="3" t="s">
        <v>3890</v>
      </c>
      <c r="K3728" s="2">
        <v>10</v>
      </c>
      <c r="L3728" s="2">
        <v>3</v>
      </c>
      <c r="M3728" s="3" t="s">
        <v>5052</v>
      </c>
      <c r="N3728" s="3" t="s">
        <v>5053</v>
      </c>
      <c r="O3728" s="3" t="s">
        <v>5054</v>
      </c>
      <c r="P3728" s="3" t="s">
        <v>5055</v>
      </c>
      <c r="Q3728" s="30" t="str">
        <f t="shared" si="58"/>
        <v>MAX : 48.332
TARGET : 48.207
MIN : 48.082</v>
      </c>
      <c r="R3728" s="3" t="s">
        <v>3894</v>
      </c>
    </row>
    <row r="3729" spans="2:18" ht="41.4" x14ac:dyDescent="0.3">
      <c r="B3729">
        <v>0</v>
      </c>
      <c r="C3729" s="33">
        <v>8984</v>
      </c>
      <c r="D3729" s="2">
        <v>1369</v>
      </c>
      <c r="E3729" s="2" t="s">
        <v>11772</v>
      </c>
      <c r="F3729" s="3" t="s">
        <v>14206</v>
      </c>
      <c r="H3729" s="3" t="s">
        <v>504</v>
      </c>
      <c r="K3729" s="2">
        <v>20</v>
      </c>
      <c r="L3729" s="2">
        <v>1</v>
      </c>
      <c r="M3729" s="3" t="s">
        <v>194</v>
      </c>
      <c r="N3729" s="3" t="s">
        <v>3143</v>
      </c>
      <c r="O3729" s="3" t="s">
        <v>3144</v>
      </c>
      <c r="P3729" s="3" t="s">
        <v>3145</v>
      </c>
      <c r="Q3729" s="30" t="str">
        <f t="shared" si="58"/>
        <v>MAX : 11.56
TARGET : 11.50
MIN : 11.44</v>
      </c>
    </row>
    <row r="3730" spans="2:18" ht="41.4" x14ac:dyDescent="0.3">
      <c r="B3730">
        <v>0</v>
      </c>
      <c r="C3730" s="33">
        <v>8984</v>
      </c>
      <c r="D3730" s="2">
        <v>1369</v>
      </c>
      <c r="E3730" s="2" t="s">
        <v>11772</v>
      </c>
      <c r="F3730" s="3" t="s">
        <v>14206</v>
      </c>
      <c r="H3730" s="3" t="s">
        <v>504</v>
      </c>
      <c r="K3730" s="2">
        <v>20</v>
      </c>
      <c r="L3730" s="2">
        <v>3</v>
      </c>
      <c r="M3730" s="3" t="s">
        <v>4306</v>
      </c>
      <c r="N3730" s="3" t="s">
        <v>1680</v>
      </c>
      <c r="O3730" s="3" t="s">
        <v>790</v>
      </c>
      <c r="P3730" s="3" t="s">
        <v>1681</v>
      </c>
      <c r="Q3730" s="30" t="str">
        <f t="shared" si="58"/>
        <v>MAX : 2.31
TARGET : 2.25
MIN : 2.19</v>
      </c>
    </row>
    <row r="3731" spans="2:18" ht="41.4" x14ac:dyDescent="0.3">
      <c r="B3731">
        <v>0</v>
      </c>
      <c r="C3731" s="33">
        <v>8984</v>
      </c>
      <c r="D3731" s="2">
        <v>1369</v>
      </c>
      <c r="E3731" s="2" t="s">
        <v>11772</v>
      </c>
      <c r="F3731" s="3" t="s">
        <v>14206</v>
      </c>
      <c r="H3731" s="3" t="s">
        <v>504</v>
      </c>
      <c r="K3731" s="2">
        <v>20</v>
      </c>
      <c r="L3731" s="2">
        <v>4</v>
      </c>
      <c r="M3731" s="3" t="s">
        <v>4307</v>
      </c>
      <c r="N3731" s="3" t="s">
        <v>4308</v>
      </c>
      <c r="O3731" s="3" t="s">
        <v>4309</v>
      </c>
      <c r="P3731" s="3" t="s">
        <v>4310</v>
      </c>
      <c r="Q3731" s="30" t="str">
        <f t="shared" si="58"/>
        <v>MAX : 4.69
TARGET : 4.63
MIN : 4.57</v>
      </c>
    </row>
    <row r="3732" spans="2:18" ht="41.4" x14ac:dyDescent="0.3">
      <c r="B3732">
        <v>0</v>
      </c>
      <c r="C3732" s="33">
        <v>8984</v>
      </c>
      <c r="D3732" s="2">
        <v>1369</v>
      </c>
      <c r="E3732" s="2" t="s">
        <v>11772</v>
      </c>
      <c r="F3732" s="3" t="s">
        <v>14206</v>
      </c>
      <c r="H3732" s="3" t="s">
        <v>504</v>
      </c>
      <c r="K3732" s="2">
        <v>20</v>
      </c>
      <c r="L3732" s="2">
        <v>5</v>
      </c>
      <c r="M3732" s="3" t="s">
        <v>1545</v>
      </c>
      <c r="N3732" s="3" t="s">
        <v>13</v>
      </c>
      <c r="O3732" s="3" t="s">
        <v>14</v>
      </c>
      <c r="Q3732" s="30" t="str">
        <f t="shared" si="58"/>
        <v>MAX : 
TARGET : Yes(Pass)
MIN : No(Fail)</v>
      </c>
    </row>
    <row r="3733" spans="2:18" ht="41.4" x14ac:dyDescent="0.3">
      <c r="B3733">
        <v>0</v>
      </c>
      <c r="C3733" s="33">
        <v>8984</v>
      </c>
      <c r="D3733" s="2">
        <v>1369</v>
      </c>
      <c r="E3733" s="2" t="s">
        <v>11772</v>
      </c>
      <c r="F3733" s="3" t="s">
        <v>14206</v>
      </c>
      <c r="H3733" s="3" t="s">
        <v>504</v>
      </c>
      <c r="K3733" s="2">
        <v>20</v>
      </c>
      <c r="L3733" s="2">
        <v>6</v>
      </c>
      <c r="M3733" s="3" t="s">
        <v>2813</v>
      </c>
      <c r="N3733" s="3" t="s">
        <v>13</v>
      </c>
      <c r="O3733" s="3" t="s">
        <v>14</v>
      </c>
      <c r="Q3733" s="30" t="str">
        <f t="shared" si="58"/>
        <v>MAX : 
TARGET : Yes(Pass)
MIN : No(Fail)</v>
      </c>
    </row>
    <row r="3734" spans="2:18" ht="41.4" x14ac:dyDescent="0.3">
      <c r="B3734">
        <v>1</v>
      </c>
      <c r="C3734" s="33">
        <v>8842</v>
      </c>
      <c r="D3734" s="2">
        <v>1304</v>
      </c>
      <c r="E3734" s="2" t="s">
        <v>11065</v>
      </c>
      <c r="F3734" s="3" t="s">
        <v>14238</v>
      </c>
      <c r="H3734" s="3" t="s">
        <v>648</v>
      </c>
      <c r="K3734" s="2">
        <v>20</v>
      </c>
      <c r="L3734" s="2">
        <v>2</v>
      </c>
      <c r="M3734" s="3" t="s">
        <v>3796</v>
      </c>
      <c r="N3734" s="3" t="s">
        <v>3793</v>
      </c>
      <c r="O3734" s="3" t="s">
        <v>3399</v>
      </c>
      <c r="P3734" s="3" t="s">
        <v>3797</v>
      </c>
      <c r="Q3734" s="30" t="str">
        <f t="shared" si="58"/>
        <v>MAX : 2.7
TARGET : 2.5
MIN : 2.3</v>
      </c>
    </row>
    <row r="3735" spans="2:18" ht="41.4" x14ac:dyDescent="0.3">
      <c r="B3735">
        <v>1</v>
      </c>
      <c r="C3735" s="33">
        <v>8842</v>
      </c>
      <c r="D3735" s="2">
        <v>1304</v>
      </c>
      <c r="E3735" s="2" t="s">
        <v>11065</v>
      </c>
      <c r="F3735" s="3" t="s">
        <v>14238</v>
      </c>
      <c r="H3735" s="3" t="s">
        <v>648</v>
      </c>
      <c r="K3735" s="2">
        <v>20</v>
      </c>
      <c r="L3735" s="2">
        <v>1</v>
      </c>
      <c r="M3735" s="3" t="s">
        <v>3791</v>
      </c>
      <c r="N3735" s="3" t="s">
        <v>3792</v>
      </c>
      <c r="O3735" s="3" t="s">
        <v>2353</v>
      </c>
      <c r="P3735" s="3" t="s">
        <v>3793</v>
      </c>
      <c r="Q3735" s="30" t="str">
        <f t="shared" si="58"/>
        <v>MAX : 2.3
TARGET : 2.0
MIN : 1.7</v>
      </c>
    </row>
    <row r="3736" spans="2:18" ht="41.4" x14ac:dyDescent="0.3">
      <c r="B3736">
        <v>0</v>
      </c>
      <c r="C3736" s="33">
        <v>8986</v>
      </c>
      <c r="D3736" s="2">
        <v>2027</v>
      </c>
      <c r="E3736" s="2" t="s">
        <v>11785</v>
      </c>
      <c r="F3736" s="3" t="s">
        <v>14206</v>
      </c>
      <c r="H3736" s="3" t="s">
        <v>412</v>
      </c>
      <c r="K3736" s="2">
        <v>30</v>
      </c>
      <c r="L3736" s="2">
        <v>3</v>
      </c>
      <c r="M3736" s="3" t="s">
        <v>4311</v>
      </c>
      <c r="N3736" s="3" t="s">
        <v>13</v>
      </c>
      <c r="O3736" s="3" t="s">
        <v>14</v>
      </c>
      <c r="Q3736" s="30" t="str">
        <f t="shared" si="58"/>
        <v>MAX : 
TARGET : Yes(Pass)
MIN : No(Fail)</v>
      </c>
    </row>
    <row r="3737" spans="2:18" ht="41.4" x14ac:dyDescent="0.3">
      <c r="B3737">
        <v>0</v>
      </c>
      <c r="C3737" s="33">
        <v>8986</v>
      </c>
      <c r="D3737" s="2">
        <v>2027</v>
      </c>
      <c r="E3737" s="2" t="s">
        <v>11785</v>
      </c>
      <c r="F3737" s="3" t="s">
        <v>14206</v>
      </c>
      <c r="H3737" s="3" t="s">
        <v>412</v>
      </c>
      <c r="K3737" s="2">
        <v>20</v>
      </c>
      <c r="L3737" s="2">
        <v>1</v>
      </c>
      <c r="M3737" s="3" t="s">
        <v>961</v>
      </c>
      <c r="N3737" s="3" t="s">
        <v>13</v>
      </c>
      <c r="O3737" s="3" t="s">
        <v>14</v>
      </c>
      <c r="Q3737" s="30" t="str">
        <f t="shared" si="58"/>
        <v>MAX : 
TARGET : Yes(Pass)
MIN : No(Fail)</v>
      </c>
    </row>
    <row r="3738" spans="2:18" ht="41.4" x14ac:dyDescent="0.3">
      <c r="B3738">
        <v>0</v>
      </c>
      <c r="C3738" s="33">
        <v>8986</v>
      </c>
      <c r="D3738" s="2">
        <v>2027</v>
      </c>
      <c r="E3738" s="2" t="s">
        <v>11785</v>
      </c>
      <c r="F3738" s="3" t="s">
        <v>14206</v>
      </c>
      <c r="H3738" s="3" t="s">
        <v>412</v>
      </c>
      <c r="K3738" s="2">
        <v>10</v>
      </c>
      <c r="L3738" s="2">
        <v>1</v>
      </c>
      <c r="M3738" s="3" t="s">
        <v>3928</v>
      </c>
      <c r="N3738" s="3" t="s">
        <v>1173</v>
      </c>
      <c r="O3738" s="3" t="s">
        <v>250</v>
      </c>
      <c r="P3738" s="3" t="s">
        <v>1174</v>
      </c>
      <c r="Q3738" s="30" t="str">
        <f t="shared" si="58"/>
        <v>MAX : 6.06
TARGET : 6.00
MIN : 5.94</v>
      </c>
    </row>
    <row r="3739" spans="2:18" ht="41.4" x14ac:dyDescent="0.3">
      <c r="B3739">
        <v>1</v>
      </c>
      <c r="C3739" s="33">
        <v>8843</v>
      </c>
      <c r="D3739" s="2">
        <v>1305</v>
      </c>
      <c r="E3739" s="2" t="s">
        <v>11073</v>
      </c>
      <c r="F3739" s="3" t="s">
        <v>14238</v>
      </c>
      <c r="H3739" s="3" t="s">
        <v>648</v>
      </c>
      <c r="K3739" s="2">
        <v>20</v>
      </c>
      <c r="L3739" s="2">
        <v>2</v>
      </c>
      <c r="M3739" s="3" t="s">
        <v>3796</v>
      </c>
      <c r="N3739" s="3" t="s">
        <v>3793</v>
      </c>
      <c r="O3739" s="3" t="s">
        <v>3399</v>
      </c>
      <c r="P3739" s="3" t="s">
        <v>3797</v>
      </c>
      <c r="Q3739" s="30" t="str">
        <f t="shared" si="58"/>
        <v>MAX : 2.7
TARGET : 2.5
MIN : 2.3</v>
      </c>
    </row>
    <row r="3740" spans="2:18" ht="41.4" x14ac:dyDescent="0.3">
      <c r="B3740">
        <v>1</v>
      </c>
      <c r="C3740" s="33">
        <v>8843</v>
      </c>
      <c r="D3740" s="2">
        <v>1305</v>
      </c>
      <c r="E3740" s="2" t="s">
        <v>11073</v>
      </c>
      <c r="F3740" s="3" t="s">
        <v>14238</v>
      </c>
      <c r="H3740" s="3" t="s">
        <v>648</v>
      </c>
      <c r="K3740" s="2">
        <v>20</v>
      </c>
      <c r="L3740" s="2">
        <v>1</v>
      </c>
      <c r="M3740" s="3" t="s">
        <v>3791</v>
      </c>
      <c r="N3740" s="3" t="s">
        <v>3792</v>
      </c>
      <c r="O3740" s="3" t="s">
        <v>2353</v>
      </c>
      <c r="P3740" s="3" t="s">
        <v>3793</v>
      </c>
      <c r="Q3740" s="30" t="str">
        <f t="shared" si="58"/>
        <v>MAX : 2.3
TARGET : 2.0
MIN : 1.7</v>
      </c>
    </row>
    <row r="3741" spans="2:18" ht="41.4" x14ac:dyDescent="0.3">
      <c r="B3741">
        <v>0</v>
      </c>
      <c r="C3741" s="33">
        <v>8985</v>
      </c>
      <c r="D3741" s="2">
        <v>1370</v>
      </c>
      <c r="E3741" s="2" t="s">
        <v>11778</v>
      </c>
      <c r="F3741" s="3" t="s">
        <v>14207</v>
      </c>
      <c r="H3741" s="3" t="s">
        <v>1949</v>
      </c>
      <c r="K3741" s="2">
        <v>20</v>
      </c>
      <c r="L3741" s="2">
        <v>4</v>
      </c>
      <c r="M3741" s="3" t="s">
        <v>4317</v>
      </c>
      <c r="N3741" s="3" t="s">
        <v>13</v>
      </c>
      <c r="O3741" s="3" t="s">
        <v>14</v>
      </c>
      <c r="Q3741" s="30" t="str">
        <f t="shared" si="58"/>
        <v>MAX : 
TARGET : Yes(Pass)
MIN : No(Fail)</v>
      </c>
    </row>
    <row r="3742" spans="2:18" ht="41.4" x14ac:dyDescent="0.3">
      <c r="B3742">
        <v>1</v>
      </c>
      <c r="C3742" s="33">
        <v>8844</v>
      </c>
      <c r="D3742" s="2">
        <v>1306</v>
      </c>
      <c r="E3742" s="2" t="s">
        <v>11065</v>
      </c>
      <c r="F3742" s="3" t="s">
        <v>14238</v>
      </c>
      <c r="H3742" s="3" t="s">
        <v>648</v>
      </c>
      <c r="K3742" s="2">
        <v>20</v>
      </c>
      <c r="L3742" s="2">
        <v>3</v>
      </c>
      <c r="M3742" s="3" t="s">
        <v>3798</v>
      </c>
      <c r="N3742" s="3" t="s">
        <v>3799</v>
      </c>
      <c r="O3742" s="3" t="s">
        <v>3800</v>
      </c>
      <c r="P3742" s="3" t="s">
        <v>3801</v>
      </c>
      <c r="Q3742" s="30" t="str">
        <f t="shared" si="58"/>
        <v>MAX : 3.1
TARGET : 2.6
MIN : 2.1</v>
      </c>
      <c r="R3742" s="3" t="s">
        <v>443</v>
      </c>
    </row>
    <row r="3743" spans="2:18" ht="41.4" x14ac:dyDescent="0.3">
      <c r="B3743">
        <v>1</v>
      </c>
      <c r="C3743" s="33">
        <v>8844</v>
      </c>
      <c r="D3743" s="2">
        <v>1306</v>
      </c>
      <c r="E3743" s="2" t="s">
        <v>11065</v>
      </c>
      <c r="F3743" s="3" t="s">
        <v>14238</v>
      </c>
      <c r="H3743" s="3" t="s">
        <v>648</v>
      </c>
      <c r="K3743" s="2">
        <v>20</v>
      </c>
      <c r="L3743" s="2">
        <v>2</v>
      </c>
      <c r="M3743" s="3" t="s">
        <v>3796</v>
      </c>
      <c r="N3743" s="3" t="s">
        <v>3814</v>
      </c>
      <c r="O3743" s="3" t="s">
        <v>2353</v>
      </c>
      <c r="P3743" s="3" t="s">
        <v>2355</v>
      </c>
      <c r="Q3743" s="30" t="str">
        <f t="shared" si="58"/>
        <v>MAX : 2.2
TARGET : 2.0
MIN : 1.8</v>
      </c>
      <c r="R3743" s="3" t="s">
        <v>443</v>
      </c>
    </row>
    <row r="3744" spans="2:18" ht="41.4" x14ac:dyDescent="0.3">
      <c r="B3744">
        <v>0</v>
      </c>
      <c r="C3744" s="33">
        <v>8987</v>
      </c>
      <c r="D3744" s="2">
        <v>2028</v>
      </c>
      <c r="E3744" s="2" t="s">
        <v>11793</v>
      </c>
      <c r="F3744" s="3" t="s">
        <v>14206</v>
      </c>
      <c r="H3744" s="3" t="s">
        <v>491</v>
      </c>
      <c r="K3744" s="2">
        <v>10</v>
      </c>
      <c r="L3744" s="2">
        <v>3</v>
      </c>
      <c r="M3744" s="3" t="s">
        <v>4321</v>
      </c>
      <c r="N3744" s="3" t="s">
        <v>13</v>
      </c>
      <c r="O3744" s="3" t="s">
        <v>14</v>
      </c>
      <c r="Q3744" s="30" t="str">
        <f t="shared" si="58"/>
        <v>MAX : 
TARGET : Yes(Pass)
MIN : No(Fail)</v>
      </c>
    </row>
    <row r="3745" spans="2:18" ht="41.4" x14ac:dyDescent="0.3">
      <c r="B3745">
        <v>0</v>
      </c>
      <c r="C3745" s="33">
        <v>8987</v>
      </c>
      <c r="D3745" s="2">
        <v>2028</v>
      </c>
      <c r="E3745" s="2" t="s">
        <v>11793</v>
      </c>
      <c r="F3745" s="3" t="s">
        <v>14206</v>
      </c>
      <c r="H3745" s="3" t="s">
        <v>491</v>
      </c>
      <c r="K3745" s="2">
        <v>10</v>
      </c>
      <c r="L3745" s="2">
        <v>4</v>
      </c>
      <c r="M3745" s="3" t="s">
        <v>4322</v>
      </c>
      <c r="N3745" s="3" t="s">
        <v>13</v>
      </c>
      <c r="O3745" s="3" t="s">
        <v>14</v>
      </c>
      <c r="Q3745" s="30" t="str">
        <f t="shared" si="58"/>
        <v>MAX : 
TARGET : Yes(Pass)
MIN : No(Fail)</v>
      </c>
    </row>
    <row r="3746" spans="2:18" ht="41.4" x14ac:dyDescent="0.3">
      <c r="B3746">
        <v>1</v>
      </c>
      <c r="C3746" s="33">
        <v>8844</v>
      </c>
      <c r="D3746" s="2">
        <v>1306</v>
      </c>
      <c r="E3746" s="2" t="s">
        <v>11065</v>
      </c>
      <c r="F3746" s="3" t="s">
        <v>14238</v>
      </c>
      <c r="H3746" s="3" t="s">
        <v>648</v>
      </c>
      <c r="K3746" s="2">
        <v>20</v>
      </c>
      <c r="L3746" s="2">
        <v>7</v>
      </c>
      <c r="M3746" s="3" t="s">
        <v>3813</v>
      </c>
      <c r="N3746" s="3" t="s">
        <v>2407</v>
      </c>
      <c r="O3746" s="3" t="s">
        <v>3814</v>
      </c>
      <c r="P3746" s="3" t="s">
        <v>3799</v>
      </c>
      <c r="Q3746" s="30" t="str">
        <f t="shared" si="58"/>
        <v>MAX : 2.1
TARGET : 1.8
MIN : 1.5</v>
      </c>
      <c r="R3746" s="3" t="s">
        <v>443</v>
      </c>
    </row>
    <row r="3747" spans="2:18" ht="41.4" x14ac:dyDescent="0.3">
      <c r="B3747">
        <v>1</v>
      </c>
      <c r="C3747" s="33">
        <v>8845</v>
      </c>
      <c r="D3747" s="2">
        <v>1307</v>
      </c>
      <c r="E3747" s="2" t="s">
        <v>11073</v>
      </c>
      <c r="F3747" s="3" t="s">
        <v>14238</v>
      </c>
      <c r="H3747" s="3" t="s">
        <v>648</v>
      </c>
      <c r="K3747" s="2">
        <v>20</v>
      </c>
      <c r="L3747" s="2">
        <v>3</v>
      </c>
      <c r="M3747" s="3" t="s">
        <v>3798</v>
      </c>
      <c r="N3747" s="3" t="s">
        <v>3799</v>
      </c>
      <c r="O3747" s="3" t="s">
        <v>3800</v>
      </c>
      <c r="P3747" s="3" t="s">
        <v>3801</v>
      </c>
      <c r="Q3747" s="30" t="str">
        <f t="shared" si="58"/>
        <v>MAX : 3.1
TARGET : 2.6
MIN : 2.1</v>
      </c>
    </row>
    <row r="3748" spans="2:18" ht="41.4" x14ac:dyDescent="0.3">
      <c r="B3748">
        <v>1</v>
      </c>
      <c r="C3748" s="33">
        <v>8845</v>
      </c>
      <c r="D3748" s="2">
        <v>1307</v>
      </c>
      <c r="E3748" s="2" t="s">
        <v>11073</v>
      </c>
      <c r="F3748" s="3" t="s">
        <v>14238</v>
      </c>
      <c r="H3748" s="3" t="s">
        <v>648</v>
      </c>
      <c r="K3748" s="2">
        <v>20</v>
      </c>
      <c r="L3748" s="2">
        <v>2</v>
      </c>
      <c r="M3748" s="3" t="s">
        <v>3796</v>
      </c>
      <c r="N3748" s="3" t="s">
        <v>3814</v>
      </c>
      <c r="O3748" s="3" t="s">
        <v>2353</v>
      </c>
      <c r="P3748" s="3" t="s">
        <v>2355</v>
      </c>
      <c r="Q3748" s="30" t="str">
        <f t="shared" si="58"/>
        <v>MAX : 2.2
TARGET : 2.0
MIN : 1.8</v>
      </c>
    </row>
    <row r="3749" spans="2:18" ht="41.4" x14ac:dyDescent="0.3">
      <c r="B3749">
        <v>0</v>
      </c>
      <c r="C3749" s="33">
        <v>8971</v>
      </c>
      <c r="D3749" s="2">
        <v>2023</v>
      </c>
      <c r="E3749" s="2" t="s">
        <v>11713</v>
      </c>
      <c r="F3749" s="3" t="s">
        <v>14206</v>
      </c>
      <c r="H3749" s="3" t="s">
        <v>824</v>
      </c>
      <c r="K3749" s="2">
        <v>20</v>
      </c>
      <c r="L3749" s="2">
        <v>3</v>
      </c>
      <c r="M3749" s="3" t="s">
        <v>4326</v>
      </c>
      <c r="N3749" s="3" t="s">
        <v>13</v>
      </c>
      <c r="O3749" s="3" t="s">
        <v>14</v>
      </c>
      <c r="Q3749" s="30" t="str">
        <f t="shared" si="58"/>
        <v>MAX : 
TARGET : Yes(Pass)
MIN : No(Fail)</v>
      </c>
    </row>
    <row r="3750" spans="2:18" ht="41.4" x14ac:dyDescent="0.3">
      <c r="B3750">
        <v>0</v>
      </c>
      <c r="C3750" s="33">
        <v>8971</v>
      </c>
      <c r="D3750" s="2">
        <v>2023</v>
      </c>
      <c r="E3750" s="2" t="s">
        <v>11713</v>
      </c>
      <c r="F3750" s="3" t="s">
        <v>14206</v>
      </c>
      <c r="H3750" s="3" t="s">
        <v>824</v>
      </c>
      <c r="K3750" s="2">
        <v>20</v>
      </c>
      <c r="L3750" s="2">
        <v>2</v>
      </c>
      <c r="M3750" s="3" t="s">
        <v>4327</v>
      </c>
      <c r="N3750" s="3" t="s">
        <v>459</v>
      </c>
      <c r="O3750" s="3" t="s">
        <v>406</v>
      </c>
      <c r="P3750" s="3" t="s">
        <v>460</v>
      </c>
      <c r="Q3750" s="30" t="str">
        <f t="shared" si="58"/>
        <v>MAX : 2.03
TARGET : 2.00
MIN : 1.97</v>
      </c>
    </row>
    <row r="3751" spans="2:18" ht="41.4" x14ac:dyDescent="0.3">
      <c r="B3751">
        <v>1</v>
      </c>
      <c r="C3751" s="33">
        <v>8845</v>
      </c>
      <c r="D3751" s="2">
        <v>1307</v>
      </c>
      <c r="E3751" s="2" t="s">
        <v>11073</v>
      </c>
      <c r="F3751" s="3" t="s">
        <v>14238</v>
      </c>
      <c r="H3751" s="3" t="s">
        <v>648</v>
      </c>
      <c r="K3751" s="2">
        <v>20</v>
      </c>
      <c r="L3751" s="2">
        <v>7</v>
      </c>
      <c r="M3751" s="3" t="s">
        <v>3813</v>
      </c>
      <c r="N3751" s="3" t="s">
        <v>2407</v>
      </c>
      <c r="O3751" s="3" t="s">
        <v>3814</v>
      </c>
      <c r="P3751" s="3" t="s">
        <v>3799</v>
      </c>
      <c r="Q3751" s="30" t="str">
        <f t="shared" si="58"/>
        <v>MAX : 2.1
TARGET : 1.8
MIN : 1.5</v>
      </c>
    </row>
    <row r="3752" spans="2:18" ht="41.4" x14ac:dyDescent="0.3">
      <c r="B3752">
        <v>1</v>
      </c>
      <c r="C3752" s="33">
        <v>8846</v>
      </c>
      <c r="D3752" s="2">
        <v>1308</v>
      </c>
      <c r="E3752" s="2" t="s">
        <v>11206</v>
      </c>
      <c r="F3752" s="3" t="s">
        <v>14206</v>
      </c>
      <c r="H3752" s="3" t="s">
        <v>3788</v>
      </c>
      <c r="K3752" s="2">
        <v>10</v>
      </c>
      <c r="L3752" s="2">
        <v>2</v>
      </c>
      <c r="M3752" s="3" t="s">
        <v>198</v>
      </c>
      <c r="N3752" s="3" t="s">
        <v>689</v>
      </c>
      <c r="O3752" s="3" t="s">
        <v>690</v>
      </c>
      <c r="P3752" s="3" t="s">
        <v>691</v>
      </c>
      <c r="Q3752" s="30" t="str">
        <f t="shared" si="58"/>
        <v>MAX : 0.36
TARGET : 0.33
MIN : 0.30</v>
      </c>
    </row>
    <row r="3753" spans="2:18" ht="41.4" x14ac:dyDescent="0.3">
      <c r="B3753">
        <v>0</v>
      </c>
      <c r="C3753" s="33">
        <v>8989</v>
      </c>
      <c r="D3753" s="2">
        <v>1371</v>
      </c>
      <c r="E3753" s="2" t="s">
        <v>11801</v>
      </c>
      <c r="F3753" s="3" t="s">
        <v>14206</v>
      </c>
      <c r="H3753" s="3" t="s">
        <v>582</v>
      </c>
      <c r="K3753" s="2">
        <v>10</v>
      </c>
      <c r="L3753" s="2">
        <v>3</v>
      </c>
      <c r="M3753" s="3" t="s">
        <v>4328</v>
      </c>
      <c r="N3753" s="3" t="s">
        <v>983</v>
      </c>
      <c r="O3753" s="3" t="s">
        <v>241</v>
      </c>
      <c r="P3753" s="3" t="s">
        <v>984</v>
      </c>
      <c r="Q3753" s="30" t="str">
        <f t="shared" si="58"/>
        <v>MAX : 0.155
TARGET : 0.125
MIN : 0.095</v>
      </c>
    </row>
    <row r="3754" spans="2:18" ht="41.4" x14ac:dyDescent="0.3">
      <c r="B3754">
        <v>0</v>
      </c>
      <c r="C3754" s="33">
        <v>8989</v>
      </c>
      <c r="D3754" s="2">
        <v>1371</v>
      </c>
      <c r="E3754" s="2" t="s">
        <v>11801</v>
      </c>
      <c r="F3754" s="3" t="s">
        <v>14206</v>
      </c>
      <c r="H3754" s="3" t="s">
        <v>582</v>
      </c>
      <c r="K3754" s="2">
        <v>10</v>
      </c>
      <c r="L3754" s="2">
        <v>4</v>
      </c>
      <c r="M3754" s="3" t="s">
        <v>78</v>
      </c>
      <c r="N3754" s="3" t="s">
        <v>13</v>
      </c>
      <c r="O3754" s="3" t="s">
        <v>14</v>
      </c>
      <c r="Q3754" s="30" t="str">
        <f t="shared" si="58"/>
        <v>MAX : 
TARGET : Yes(Pass)
MIN : No(Fail)</v>
      </c>
    </row>
    <row r="3755" spans="2:18" ht="41.4" x14ac:dyDescent="0.3">
      <c r="B3755">
        <v>1</v>
      </c>
      <c r="C3755" s="33">
        <v>8846</v>
      </c>
      <c r="D3755" s="2">
        <v>1308</v>
      </c>
      <c r="E3755" s="2" t="s">
        <v>11206</v>
      </c>
      <c r="F3755" s="3" t="s">
        <v>14206</v>
      </c>
      <c r="H3755" s="3" t="s">
        <v>3788</v>
      </c>
      <c r="K3755" s="2">
        <v>10</v>
      </c>
      <c r="L3755" s="2">
        <v>1</v>
      </c>
      <c r="M3755" s="3" t="s">
        <v>194</v>
      </c>
      <c r="N3755" s="3" t="s">
        <v>1622</v>
      </c>
      <c r="O3755" s="3" t="s">
        <v>964</v>
      </c>
      <c r="P3755" s="3" t="s">
        <v>3895</v>
      </c>
      <c r="Q3755" s="30" t="str">
        <f t="shared" si="58"/>
        <v>MAX : 1.11
TARGET : 1.08
MIN : 1.05</v>
      </c>
    </row>
    <row r="3756" spans="2:18" ht="41.4" x14ac:dyDescent="0.3">
      <c r="B3756">
        <v>1</v>
      </c>
      <c r="C3756" s="33">
        <v>8847</v>
      </c>
      <c r="D3756" s="2">
        <v>1309</v>
      </c>
      <c r="E3756" s="2" t="s">
        <v>11212</v>
      </c>
      <c r="F3756" s="3" t="s">
        <v>14206</v>
      </c>
      <c r="H3756" s="3" t="s">
        <v>600</v>
      </c>
      <c r="K3756" s="2">
        <v>10</v>
      </c>
      <c r="L3756" s="2">
        <v>3</v>
      </c>
      <c r="M3756" s="3" t="s">
        <v>198</v>
      </c>
      <c r="N3756" s="3" t="s">
        <v>1496</v>
      </c>
      <c r="O3756" s="3" t="s">
        <v>1185</v>
      </c>
      <c r="P3756" s="3" t="s">
        <v>1497</v>
      </c>
      <c r="Q3756" s="30" t="str">
        <f t="shared" si="58"/>
        <v>MAX : 2.78
TARGET : 2.75
MIN : 2.72</v>
      </c>
    </row>
    <row r="3757" spans="2:18" ht="41.4" x14ac:dyDescent="0.3">
      <c r="B3757">
        <v>1</v>
      </c>
      <c r="C3757" s="33">
        <v>8847</v>
      </c>
      <c r="D3757" s="2">
        <v>1309</v>
      </c>
      <c r="E3757" s="2" t="s">
        <v>11212</v>
      </c>
      <c r="F3757" s="3" t="s">
        <v>14206</v>
      </c>
      <c r="H3757" s="3" t="s">
        <v>600</v>
      </c>
      <c r="K3757" s="2">
        <v>10</v>
      </c>
      <c r="L3757" s="2">
        <v>4</v>
      </c>
      <c r="M3757" s="3" t="s">
        <v>3426</v>
      </c>
      <c r="N3757" s="3" t="s">
        <v>3909</v>
      </c>
      <c r="O3757" s="3" t="s">
        <v>342</v>
      </c>
      <c r="P3757" s="3" t="s">
        <v>384</v>
      </c>
      <c r="Q3757" s="30" t="str">
        <f t="shared" si="58"/>
        <v>MAX : 1.82
TARGET : 1.79
MIN : 1.76</v>
      </c>
    </row>
    <row r="3758" spans="2:18" ht="41.4" x14ac:dyDescent="0.3">
      <c r="B3758">
        <v>1</v>
      </c>
      <c r="C3758" s="33">
        <v>8847</v>
      </c>
      <c r="D3758" s="2">
        <v>1309</v>
      </c>
      <c r="E3758" s="2" t="s">
        <v>11212</v>
      </c>
      <c r="F3758" s="3" t="s">
        <v>14206</v>
      </c>
      <c r="H3758" s="3" t="s">
        <v>600</v>
      </c>
      <c r="K3758" s="2">
        <v>10</v>
      </c>
      <c r="L3758" s="2">
        <v>1</v>
      </c>
      <c r="M3758" s="3" t="s">
        <v>18</v>
      </c>
      <c r="N3758" s="3" t="s">
        <v>1755</v>
      </c>
      <c r="O3758" s="3" t="s">
        <v>201</v>
      </c>
      <c r="P3758" s="3" t="s">
        <v>1756</v>
      </c>
      <c r="Q3758" s="30" t="str">
        <f t="shared" si="58"/>
        <v>MAX : 5.78
TARGET : 5.75
MIN : 5.72</v>
      </c>
    </row>
    <row r="3759" spans="2:18" ht="41.4" x14ac:dyDescent="0.3">
      <c r="B3759">
        <v>1</v>
      </c>
      <c r="C3759" s="33">
        <v>8848</v>
      </c>
      <c r="D3759" s="2">
        <v>1310</v>
      </c>
      <c r="E3759" s="2" t="s">
        <v>11218</v>
      </c>
      <c r="F3759" s="3" t="s">
        <v>14206</v>
      </c>
      <c r="G3759" s="3" t="s">
        <v>3915</v>
      </c>
      <c r="H3759" s="3" t="s">
        <v>3916</v>
      </c>
      <c r="K3759" s="2">
        <v>10</v>
      </c>
      <c r="L3759" s="2">
        <v>2</v>
      </c>
      <c r="M3759" s="3" t="s">
        <v>3069</v>
      </c>
      <c r="N3759" s="3" t="s">
        <v>1937</v>
      </c>
      <c r="O3759" s="3" t="s">
        <v>3917</v>
      </c>
      <c r="P3759" s="3" t="s">
        <v>91</v>
      </c>
      <c r="Q3759" s="30" t="str">
        <f t="shared" si="58"/>
        <v>MAX : 0.200
TARGET : 0.195
MIN : 0.190</v>
      </c>
      <c r="R3759" s="3" t="s">
        <v>1638</v>
      </c>
    </row>
    <row r="3760" spans="2:18" ht="41.4" x14ac:dyDescent="0.3">
      <c r="B3760">
        <v>1</v>
      </c>
      <c r="C3760" s="33">
        <v>8848</v>
      </c>
      <c r="D3760" s="2">
        <v>1310</v>
      </c>
      <c r="E3760" s="2" t="s">
        <v>11218</v>
      </c>
      <c r="F3760" s="3" t="s">
        <v>14206</v>
      </c>
      <c r="G3760" s="3" t="s">
        <v>3915</v>
      </c>
      <c r="H3760" s="3" t="s">
        <v>3916</v>
      </c>
      <c r="K3760" s="2">
        <v>10</v>
      </c>
      <c r="L3760" s="2">
        <v>1</v>
      </c>
      <c r="M3760" s="3" t="s">
        <v>502</v>
      </c>
      <c r="N3760" s="3" t="s">
        <v>710</v>
      </c>
      <c r="O3760" s="3" t="s">
        <v>86</v>
      </c>
      <c r="P3760" s="3" t="s">
        <v>711</v>
      </c>
      <c r="Q3760" s="30" t="str">
        <f t="shared" si="58"/>
        <v>MAX : 0.505
TARGET : 0.500
MIN : 0.495</v>
      </c>
      <c r="R3760" s="3" t="s">
        <v>1638</v>
      </c>
    </row>
    <row r="3761" spans="2:18" ht="41.4" x14ac:dyDescent="0.3">
      <c r="B3761">
        <v>1</v>
      </c>
      <c r="C3761" s="33">
        <v>8848</v>
      </c>
      <c r="D3761" s="2">
        <v>1310</v>
      </c>
      <c r="E3761" s="2" t="s">
        <v>11218</v>
      </c>
      <c r="F3761" s="3" t="s">
        <v>14206</v>
      </c>
      <c r="G3761" s="3" t="s">
        <v>3915</v>
      </c>
      <c r="H3761" s="3" t="s">
        <v>3916</v>
      </c>
      <c r="K3761" s="2">
        <v>10</v>
      </c>
      <c r="L3761" s="2">
        <v>3</v>
      </c>
      <c r="M3761" s="3" t="s">
        <v>5979</v>
      </c>
      <c r="N3761" s="3" t="s">
        <v>323</v>
      </c>
      <c r="O3761" s="3" t="s">
        <v>1038</v>
      </c>
      <c r="P3761" s="3" t="s">
        <v>3408</v>
      </c>
      <c r="Q3761" s="30" t="str">
        <f t="shared" si="58"/>
        <v>MAX : 0.030
TARGET : 0.000
MIN : -0.030</v>
      </c>
      <c r="R3761" s="3" t="s">
        <v>1638</v>
      </c>
    </row>
    <row r="3762" spans="2:18" ht="41.4" x14ac:dyDescent="0.3">
      <c r="B3762">
        <v>1</v>
      </c>
      <c r="C3762" s="33">
        <v>8849</v>
      </c>
      <c r="D3762" s="2">
        <v>1311</v>
      </c>
      <c r="E3762" s="2" t="s">
        <v>11225</v>
      </c>
      <c r="F3762" s="3" t="s">
        <v>14206</v>
      </c>
      <c r="H3762" s="3" t="s">
        <v>1903</v>
      </c>
      <c r="K3762" s="2">
        <v>20</v>
      </c>
      <c r="L3762" s="2">
        <v>1</v>
      </c>
      <c r="M3762" s="3" t="s">
        <v>3899</v>
      </c>
      <c r="N3762" s="3" t="s">
        <v>252</v>
      </c>
      <c r="O3762" s="3" t="s">
        <v>253</v>
      </c>
      <c r="P3762" s="3" t="s">
        <v>128</v>
      </c>
      <c r="Q3762" s="30" t="str">
        <f t="shared" si="58"/>
        <v>MAX : 4.03
TARGET : 4.00
MIN : 3.97</v>
      </c>
    </row>
    <row r="3763" spans="2:18" ht="41.4" x14ac:dyDescent="0.3">
      <c r="B3763">
        <v>0</v>
      </c>
      <c r="C3763" s="33">
        <v>8997</v>
      </c>
      <c r="D3763" s="2">
        <v>1374</v>
      </c>
      <c r="E3763" s="2" t="s">
        <v>11857</v>
      </c>
      <c r="F3763" s="3" t="s">
        <v>14207</v>
      </c>
      <c r="H3763" s="3" t="s">
        <v>648</v>
      </c>
      <c r="K3763" s="2">
        <v>20</v>
      </c>
      <c r="L3763" s="2">
        <v>3</v>
      </c>
      <c r="M3763" s="3" t="s">
        <v>4339</v>
      </c>
      <c r="N3763" s="3" t="s">
        <v>13</v>
      </c>
      <c r="O3763" s="3" t="s">
        <v>14</v>
      </c>
      <c r="Q3763" s="30" t="str">
        <f t="shared" si="58"/>
        <v>MAX : 
TARGET : Yes(Pass)
MIN : No(Fail)</v>
      </c>
    </row>
    <row r="3764" spans="2:18" ht="41.4" x14ac:dyDescent="0.3">
      <c r="B3764">
        <v>0</v>
      </c>
      <c r="C3764" s="33">
        <v>8997</v>
      </c>
      <c r="D3764" s="2">
        <v>1374</v>
      </c>
      <c r="E3764" s="2" t="s">
        <v>11857</v>
      </c>
      <c r="F3764" s="3" t="s">
        <v>14207</v>
      </c>
      <c r="H3764" s="3" t="s">
        <v>648</v>
      </c>
      <c r="K3764" s="2">
        <v>20</v>
      </c>
      <c r="L3764" s="2">
        <v>4</v>
      </c>
      <c r="M3764" s="3" t="s">
        <v>78</v>
      </c>
      <c r="N3764" s="3" t="s">
        <v>13</v>
      </c>
      <c r="O3764" s="3" t="s">
        <v>14</v>
      </c>
      <c r="Q3764" s="30" t="str">
        <f t="shared" si="58"/>
        <v>MAX : 
TARGET : Yes(Pass)
MIN : No(Fail)</v>
      </c>
    </row>
    <row r="3765" spans="2:18" ht="41.4" x14ac:dyDescent="0.3">
      <c r="B3765">
        <v>1</v>
      </c>
      <c r="C3765" s="33">
        <v>8849</v>
      </c>
      <c r="D3765" s="2">
        <v>1311</v>
      </c>
      <c r="E3765" s="2" t="s">
        <v>11225</v>
      </c>
      <c r="F3765" s="3" t="s">
        <v>14206</v>
      </c>
      <c r="H3765" s="3" t="s">
        <v>1903</v>
      </c>
      <c r="K3765" s="2">
        <v>10</v>
      </c>
      <c r="L3765" s="2">
        <v>1</v>
      </c>
      <c r="M3765" s="3" t="s">
        <v>3897</v>
      </c>
      <c r="N3765" s="3" t="s">
        <v>3165</v>
      </c>
      <c r="O3765" s="3" t="s">
        <v>281</v>
      </c>
      <c r="P3765" s="3" t="s">
        <v>3898</v>
      </c>
      <c r="Q3765" s="30" t="str">
        <f t="shared" si="58"/>
        <v>MAX : 0.260
TARGET : 0.250
MIN : 0.240</v>
      </c>
    </row>
    <row r="3766" spans="2:18" ht="41.4" x14ac:dyDescent="0.3">
      <c r="B3766">
        <v>1</v>
      </c>
      <c r="C3766" s="33">
        <v>8852</v>
      </c>
      <c r="D3766" s="2">
        <v>1997</v>
      </c>
      <c r="E3766" s="2" t="s">
        <v>11232</v>
      </c>
      <c r="F3766" s="3" t="s">
        <v>14206</v>
      </c>
      <c r="H3766" s="3" t="s">
        <v>193</v>
      </c>
      <c r="K3766" s="2">
        <v>10</v>
      </c>
      <c r="L3766" s="2">
        <v>2</v>
      </c>
      <c r="M3766" s="3" t="s">
        <v>611</v>
      </c>
      <c r="N3766" s="3" t="s">
        <v>13</v>
      </c>
      <c r="O3766" s="3" t="s">
        <v>14</v>
      </c>
      <c r="Q3766" s="30" t="str">
        <f t="shared" si="58"/>
        <v>MAX : 
TARGET : Yes(Pass)
MIN : No(Fail)</v>
      </c>
    </row>
    <row r="3767" spans="2:18" ht="41.4" x14ac:dyDescent="0.3">
      <c r="B3767">
        <v>0</v>
      </c>
      <c r="C3767" s="33">
        <v>8990</v>
      </c>
      <c r="D3767" s="2">
        <v>2029</v>
      </c>
      <c r="E3767" s="2" t="s">
        <v>11807</v>
      </c>
      <c r="F3767" s="29" t="s">
        <v>14241</v>
      </c>
      <c r="H3767" s="3" t="s">
        <v>4340</v>
      </c>
      <c r="K3767" s="2">
        <v>10</v>
      </c>
      <c r="L3767" s="2">
        <v>6</v>
      </c>
      <c r="M3767" s="3" t="s">
        <v>611</v>
      </c>
      <c r="N3767" s="3" t="s">
        <v>13</v>
      </c>
      <c r="O3767" s="3" t="s">
        <v>14</v>
      </c>
      <c r="Q3767" s="30" t="str">
        <f t="shared" si="58"/>
        <v>MAX : 
TARGET : Yes(Pass)
MIN : No(Fail)</v>
      </c>
    </row>
    <row r="3768" spans="2:18" ht="41.4" x14ac:dyDescent="0.3">
      <c r="B3768">
        <v>1</v>
      </c>
      <c r="C3768" s="33">
        <v>8852</v>
      </c>
      <c r="D3768" s="2">
        <v>1997</v>
      </c>
      <c r="E3768" s="2" t="s">
        <v>11232</v>
      </c>
      <c r="F3768" s="3" t="s">
        <v>14206</v>
      </c>
      <c r="H3768" s="3" t="s">
        <v>193</v>
      </c>
      <c r="K3768" s="2">
        <v>10</v>
      </c>
      <c r="L3768" s="2">
        <v>1</v>
      </c>
      <c r="M3768" s="3" t="s">
        <v>99</v>
      </c>
      <c r="N3768" s="3" t="s">
        <v>462</v>
      </c>
      <c r="O3768" s="3" t="s">
        <v>424</v>
      </c>
      <c r="P3768" s="3" t="s">
        <v>463</v>
      </c>
      <c r="Q3768" s="30" t="str">
        <f t="shared" si="58"/>
        <v>MAX : 0.28
TARGET : 0.25
MIN : 0.22</v>
      </c>
    </row>
    <row r="3769" spans="2:18" ht="41.4" x14ac:dyDescent="0.3">
      <c r="B3769">
        <v>1</v>
      </c>
      <c r="C3769" s="33">
        <v>8852</v>
      </c>
      <c r="D3769" s="2">
        <v>1997</v>
      </c>
      <c r="E3769" s="2" t="s">
        <v>11232</v>
      </c>
      <c r="F3769" s="3" t="s">
        <v>14206</v>
      </c>
      <c r="H3769" s="3" t="s">
        <v>193</v>
      </c>
      <c r="K3769" s="2">
        <v>10</v>
      </c>
      <c r="L3769" s="2">
        <v>3</v>
      </c>
      <c r="M3769" s="3" t="s">
        <v>325</v>
      </c>
      <c r="N3769" s="3" t="s">
        <v>13</v>
      </c>
      <c r="O3769" s="3" t="s">
        <v>14</v>
      </c>
      <c r="Q3769" s="30" t="str">
        <f t="shared" si="58"/>
        <v>MAX : 
TARGET : Yes(Pass)
MIN : No(Fail)</v>
      </c>
    </row>
    <row r="3770" spans="2:18" ht="41.4" x14ac:dyDescent="0.3">
      <c r="B3770">
        <v>0</v>
      </c>
      <c r="C3770" s="33">
        <v>8797</v>
      </c>
      <c r="D3770" s="2">
        <v>1290</v>
      </c>
      <c r="E3770" s="2" t="s">
        <v>11073</v>
      </c>
      <c r="F3770" s="3" t="s">
        <v>14238</v>
      </c>
      <c r="H3770" s="3" t="s">
        <v>648</v>
      </c>
      <c r="K3770" s="2">
        <v>20</v>
      </c>
      <c r="L3770" s="2">
        <v>15</v>
      </c>
      <c r="M3770" s="3" t="s">
        <v>3849</v>
      </c>
      <c r="N3770" s="3" t="s">
        <v>420</v>
      </c>
      <c r="O3770" s="3" t="s">
        <v>2548</v>
      </c>
      <c r="P3770" s="3" t="s">
        <v>3850</v>
      </c>
      <c r="Q3770" s="30" t="str">
        <f t="shared" si="58"/>
        <v>MAX : 1.17
TARGET : 1.07
MIN : 0.97</v>
      </c>
      <c r="R3770" s="3" t="s">
        <v>443</v>
      </c>
    </row>
    <row r="3771" spans="2:18" ht="41.4" x14ac:dyDescent="0.3">
      <c r="B3771">
        <v>0</v>
      </c>
      <c r="C3771" s="33">
        <v>8797</v>
      </c>
      <c r="D3771" s="2">
        <v>1290</v>
      </c>
      <c r="E3771" s="2" t="s">
        <v>11073</v>
      </c>
      <c r="F3771" s="3" t="s">
        <v>14238</v>
      </c>
      <c r="H3771" s="3" t="s">
        <v>648</v>
      </c>
      <c r="K3771" s="2">
        <v>20</v>
      </c>
      <c r="L3771" s="2">
        <v>18</v>
      </c>
      <c r="M3771" s="3" t="s">
        <v>3871</v>
      </c>
      <c r="N3771" s="3" t="s">
        <v>13</v>
      </c>
      <c r="O3771" s="3" t="s">
        <v>14</v>
      </c>
      <c r="Q3771" s="30" t="str">
        <f t="shared" si="58"/>
        <v>MAX : 
TARGET : Yes(Pass)
MIN : No(Fail)</v>
      </c>
      <c r="R3771" s="3" t="s">
        <v>443</v>
      </c>
    </row>
    <row r="3772" spans="2:18" ht="41.4" x14ac:dyDescent="0.3">
      <c r="B3772">
        <v>1</v>
      </c>
      <c r="C3772" s="33">
        <v>8853</v>
      </c>
      <c r="D3772" s="2">
        <v>1312</v>
      </c>
      <c r="E3772" s="2" t="s">
        <v>11238</v>
      </c>
      <c r="F3772" s="3" t="s">
        <v>14206</v>
      </c>
      <c r="H3772" s="3" t="s">
        <v>1915</v>
      </c>
      <c r="K3772" s="2">
        <v>10</v>
      </c>
      <c r="L3772" s="2">
        <v>2</v>
      </c>
      <c r="M3772" s="3" t="s">
        <v>198</v>
      </c>
      <c r="N3772" s="3" t="s">
        <v>974</v>
      </c>
      <c r="O3772" s="3" t="s">
        <v>815</v>
      </c>
      <c r="P3772" s="3" t="s">
        <v>3045</v>
      </c>
      <c r="Q3772" s="30" t="str">
        <f t="shared" si="58"/>
        <v>MAX : 3.13
TARGET : 3.00
MIN : 2.87</v>
      </c>
    </row>
    <row r="3773" spans="2:18" ht="41.4" x14ac:dyDescent="0.3">
      <c r="B3773">
        <v>1</v>
      </c>
      <c r="C3773" s="33">
        <v>8853</v>
      </c>
      <c r="D3773" s="2">
        <v>1312</v>
      </c>
      <c r="E3773" s="2" t="s">
        <v>11238</v>
      </c>
      <c r="F3773" s="3" t="s">
        <v>14206</v>
      </c>
      <c r="H3773" s="3" t="s">
        <v>1915</v>
      </c>
      <c r="K3773" s="2">
        <v>10</v>
      </c>
      <c r="L3773" s="2">
        <v>1</v>
      </c>
      <c r="M3773" s="3" t="s">
        <v>194</v>
      </c>
      <c r="N3773" s="3" t="s">
        <v>3912</v>
      </c>
      <c r="O3773" s="3" t="s">
        <v>2983</v>
      </c>
      <c r="P3773" s="3" t="s">
        <v>3913</v>
      </c>
      <c r="Q3773" s="30" t="str">
        <f t="shared" si="58"/>
        <v>MAX : 48.13
TARGET : 48.00
MIN : 47.87</v>
      </c>
    </row>
    <row r="3774" spans="2:18" ht="41.4" x14ac:dyDescent="0.3">
      <c r="B3774">
        <v>0</v>
      </c>
      <c r="C3774" s="33">
        <v>8995</v>
      </c>
      <c r="D3774" s="2">
        <v>1372</v>
      </c>
      <c r="E3774" s="2" t="s">
        <v>11843</v>
      </c>
      <c r="F3774" s="3" t="s">
        <v>14206</v>
      </c>
      <c r="H3774" s="3" t="s">
        <v>3123</v>
      </c>
      <c r="K3774" s="2">
        <v>20</v>
      </c>
      <c r="L3774" s="2">
        <v>3</v>
      </c>
      <c r="M3774" s="3" t="s">
        <v>4362</v>
      </c>
      <c r="N3774" s="3" t="s">
        <v>13</v>
      </c>
      <c r="O3774" s="3" t="s">
        <v>14</v>
      </c>
      <c r="Q3774" s="30" t="str">
        <f t="shared" si="58"/>
        <v>MAX : 
TARGET : Yes(Pass)
MIN : No(Fail)</v>
      </c>
    </row>
    <row r="3775" spans="2:18" ht="41.4" x14ac:dyDescent="0.3">
      <c r="B3775">
        <v>1</v>
      </c>
      <c r="C3775" s="33">
        <v>8854</v>
      </c>
      <c r="D3775" s="2">
        <v>1313</v>
      </c>
      <c r="E3775" s="2" t="s">
        <v>11245</v>
      </c>
      <c r="F3775" s="3" t="s">
        <v>14206</v>
      </c>
      <c r="H3775" s="3" t="s">
        <v>1915</v>
      </c>
      <c r="K3775" s="2">
        <v>10</v>
      </c>
      <c r="L3775" s="2">
        <v>2</v>
      </c>
      <c r="M3775" s="3" t="s">
        <v>198</v>
      </c>
      <c r="N3775" s="3" t="s">
        <v>2365</v>
      </c>
      <c r="O3775" s="3" t="s">
        <v>184</v>
      </c>
      <c r="P3775" s="3" t="s">
        <v>2238</v>
      </c>
      <c r="Q3775" s="30" t="str">
        <f t="shared" si="58"/>
        <v>MAX : 5.13
TARGET : 5.00
MIN : 4.87</v>
      </c>
    </row>
    <row r="3776" spans="2:18" ht="41.4" x14ac:dyDescent="0.3">
      <c r="B3776">
        <v>1</v>
      </c>
      <c r="C3776" s="33">
        <v>8854</v>
      </c>
      <c r="D3776" s="2">
        <v>1313</v>
      </c>
      <c r="E3776" s="2" t="s">
        <v>11245</v>
      </c>
      <c r="F3776" s="3" t="s">
        <v>14206</v>
      </c>
      <c r="H3776" s="3" t="s">
        <v>1915</v>
      </c>
      <c r="K3776" s="2">
        <v>10</v>
      </c>
      <c r="L3776" s="2">
        <v>1</v>
      </c>
      <c r="M3776" s="3" t="s">
        <v>194</v>
      </c>
      <c r="N3776" s="3" t="s">
        <v>3912</v>
      </c>
      <c r="O3776" s="3" t="s">
        <v>2983</v>
      </c>
      <c r="P3776" s="3" t="s">
        <v>3913</v>
      </c>
      <c r="Q3776" s="30" t="str">
        <f t="shared" si="58"/>
        <v>MAX : 48.13
TARGET : 48.00
MIN : 47.87</v>
      </c>
    </row>
    <row r="3777" spans="2:17" ht="41.4" x14ac:dyDescent="0.3">
      <c r="B3777">
        <v>1</v>
      </c>
      <c r="C3777" s="33">
        <v>8856</v>
      </c>
      <c r="D3777" s="2">
        <v>1314</v>
      </c>
      <c r="E3777" s="2" t="s">
        <v>11252</v>
      </c>
      <c r="F3777" s="3" t="s">
        <v>14206</v>
      </c>
      <c r="H3777" s="3" t="s">
        <v>3920</v>
      </c>
      <c r="K3777" s="2">
        <v>10</v>
      </c>
      <c r="L3777" s="2">
        <v>2</v>
      </c>
      <c r="M3777" s="3" t="s">
        <v>198</v>
      </c>
      <c r="N3777" s="3" t="s">
        <v>1097</v>
      </c>
      <c r="O3777" s="3" t="s">
        <v>1098</v>
      </c>
      <c r="P3777" s="3" t="s">
        <v>1099</v>
      </c>
      <c r="Q3777" s="30" t="str">
        <f t="shared" si="58"/>
        <v>MAX : 10.06
TARGET : 10.00
MIN : 9.94</v>
      </c>
    </row>
    <row r="3778" spans="2:17" ht="41.4" x14ac:dyDescent="0.3">
      <c r="B3778">
        <v>0</v>
      </c>
      <c r="C3778" s="33">
        <v>8998</v>
      </c>
      <c r="D3778" s="2">
        <v>2034</v>
      </c>
      <c r="E3778" s="2" t="s">
        <v>11863</v>
      </c>
      <c r="F3778" s="3" t="s">
        <v>14206</v>
      </c>
      <c r="H3778" s="3" t="s">
        <v>1270</v>
      </c>
      <c r="K3778" s="2">
        <v>10</v>
      </c>
      <c r="L3778" s="2">
        <v>3</v>
      </c>
      <c r="M3778" s="3" t="s">
        <v>265</v>
      </c>
      <c r="N3778" s="3" t="s">
        <v>13</v>
      </c>
      <c r="O3778" s="3" t="s">
        <v>14</v>
      </c>
      <c r="Q3778" s="30" t="str">
        <f t="shared" ref="Q3778:Q3841" si="59">"MAX : " &amp; P3778 &amp; CHAR(10) &amp; "TARGET : " &amp; O3778 &amp; CHAR(10) &amp; "MIN : " &amp; N3778</f>
        <v>MAX : 
TARGET : Yes(Pass)
MIN : No(Fail)</v>
      </c>
    </row>
    <row r="3779" spans="2:17" ht="41.4" x14ac:dyDescent="0.3">
      <c r="B3779">
        <v>0</v>
      </c>
      <c r="C3779" s="33">
        <v>8998</v>
      </c>
      <c r="D3779" s="2">
        <v>2034</v>
      </c>
      <c r="E3779" s="2" t="s">
        <v>11863</v>
      </c>
      <c r="F3779" s="3" t="s">
        <v>14206</v>
      </c>
      <c r="H3779" s="3" t="s">
        <v>1270</v>
      </c>
      <c r="K3779" s="2">
        <v>10</v>
      </c>
      <c r="L3779" s="2">
        <v>4</v>
      </c>
      <c r="M3779" s="3" t="s">
        <v>1273</v>
      </c>
      <c r="N3779" s="3" t="s">
        <v>13</v>
      </c>
      <c r="O3779" s="3" t="s">
        <v>14</v>
      </c>
      <c r="Q3779" s="30" t="str">
        <f t="shared" si="59"/>
        <v>MAX : 
TARGET : Yes(Pass)
MIN : No(Fail)</v>
      </c>
    </row>
    <row r="3780" spans="2:17" ht="41.4" x14ac:dyDescent="0.3">
      <c r="B3780">
        <v>0</v>
      </c>
      <c r="C3780" s="33">
        <v>8998</v>
      </c>
      <c r="D3780" s="2">
        <v>2034</v>
      </c>
      <c r="E3780" s="2" t="s">
        <v>11863</v>
      </c>
      <c r="F3780" s="3" t="s">
        <v>14206</v>
      </c>
      <c r="H3780" s="3" t="s">
        <v>1270</v>
      </c>
      <c r="K3780" s="2">
        <v>10</v>
      </c>
      <c r="L3780" s="2">
        <v>5</v>
      </c>
      <c r="M3780" s="3" t="s">
        <v>318</v>
      </c>
      <c r="N3780" s="3" t="s">
        <v>13</v>
      </c>
      <c r="O3780" s="3" t="s">
        <v>14</v>
      </c>
      <c r="Q3780" s="30" t="str">
        <f t="shared" si="59"/>
        <v>MAX : 
TARGET : Yes(Pass)
MIN : No(Fail)</v>
      </c>
    </row>
    <row r="3781" spans="2:17" ht="41.4" x14ac:dyDescent="0.3">
      <c r="B3781">
        <v>1</v>
      </c>
      <c r="C3781" s="33">
        <v>8856</v>
      </c>
      <c r="D3781" s="2">
        <v>1314</v>
      </c>
      <c r="E3781" s="2" t="s">
        <v>11252</v>
      </c>
      <c r="F3781" s="3" t="s">
        <v>14206</v>
      </c>
      <c r="H3781" s="3" t="s">
        <v>3920</v>
      </c>
      <c r="K3781" s="2">
        <v>10</v>
      </c>
      <c r="L3781" s="2">
        <v>1</v>
      </c>
      <c r="M3781" s="3" t="s">
        <v>194</v>
      </c>
      <c r="N3781" s="3" t="s">
        <v>2300</v>
      </c>
      <c r="O3781" s="3" t="s">
        <v>857</v>
      </c>
      <c r="P3781" s="3" t="s">
        <v>2301</v>
      </c>
      <c r="Q3781" s="30" t="str">
        <f t="shared" si="59"/>
        <v>MAX : 16.06
TARGET : 16.00
MIN : 15.94</v>
      </c>
    </row>
    <row r="3782" spans="2:17" ht="41.4" x14ac:dyDescent="0.3">
      <c r="B3782">
        <v>1</v>
      </c>
      <c r="C3782" s="33">
        <v>8857</v>
      </c>
      <c r="D3782" s="2">
        <v>1998</v>
      </c>
      <c r="E3782" s="2" t="s">
        <v>11258</v>
      </c>
      <c r="F3782" s="3" t="s">
        <v>14206</v>
      </c>
      <c r="H3782" s="3" t="s">
        <v>261</v>
      </c>
      <c r="K3782" s="2">
        <v>20</v>
      </c>
      <c r="L3782" s="2">
        <v>2</v>
      </c>
      <c r="M3782" s="3" t="s">
        <v>1060</v>
      </c>
      <c r="N3782" s="3" t="s">
        <v>13</v>
      </c>
      <c r="O3782" s="3" t="s">
        <v>14</v>
      </c>
      <c r="Q3782" s="30" t="str">
        <f t="shared" si="59"/>
        <v>MAX : 
TARGET : Yes(Pass)
MIN : No(Fail)</v>
      </c>
    </row>
    <row r="3783" spans="2:17" ht="41.4" x14ac:dyDescent="0.3">
      <c r="B3783">
        <v>0</v>
      </c>
      <c r="C3783" s="33">
        <v>8999</v>
      </c>
      <c r="D3783" s="2">
        <v>2035</v>
      </c>
      <c r="E3783" s="2" t="s">
        <v>11867</v>
      </c>
      <c r="F3783" s="3" t="s">
        <v>14206</v>
      </c>
      <c r="H3783" s="3" t="s">
        <v>1270</v>
      </c>
      <c r="K3783" s="2">
        <v>10</v>
      </c>
      <c r="L3783" s="2">
        <v>3</v>
      </c>
      <c r="M3783" s="3" t="s">
        <v>265</v>
      </c>
      <c r="N3783" s="3" t="s">
        <v>13</v>
      </c>
      <c r="O3783" s="3" t="s">
        <v>14</v>
      </c>
      <c r="Q3783" s="30" t="str">
        <f t="shared" si="59"/>
        <v>MAX : 
TARGET : Yes(Pass)
MIN : No(Fail)</v>
      </c>
    </row>
    <row r="3784" spans="2:17" ht="41.4" x14ac:dyDescent="0.3">
      <c r="B3784">
        <v>0</v>
      </c>
      <c r="C3784" s="33">
        <v>8999</v>
      </c>
      <c r="D3784" s="2">
        <v>2035</v>
      </c>
      <c r="E3784" s="2" t="s">
        <v>11867</v>
      </c>
      <c r="F3784" s="3" t="s">
        <v>14206</v>
      </c>
      <c r="H3784" s="3" t="s">
        <v>1270</v>
      </c>
      <c r="K3784" s="2">
        <v>10</v>
      </c>
      <c r="L3784" s="2">
        <v>4</v>
      </c>
      <c r="M3784" s="3" t="s">
        <v>1273</v>
      </c>
      <c r="N3784" s="3" t="s">
        <v>13</v>
      </c>
      <c r="O3784" s="3" t="s">
        <v>14</v>
      </c>
      <c r="Q3784" s="30" t="str">
        <f t="shared" si="59"/>
        <v>MAX : 
TARGET : Yes(Pass)
MIN : No(Fail)</v>
      </c>
    </row>
    <row r="3785" spans="2:17" ht="41.4" x14ac:dyDescent="0.3">
      <c r="B3785">
        <v>0</v>
      </c>
      <c r="C3785" s="33">
        <v>8999</v>
      </c>
      <c r="D3785" s="2">
        <v>2035</v>
      </c>
      <c r="E3785" s="2" t="s">
        <v>11867</v>
      </c>
      <c r="F3785" s="3" t="s">
        <v>14206</v>
      </c>
      <c r="H3785" s="3" t="s">
        <v>1270</v>
      </c>
      <c r="K3785" s="2">
        <v>10</v>
      </c>
      <c r="L3785" s="2">
        <v>5</v>
      </c>
      <c r="M3785" s="3" t="s">
        <v>318</v>
      </c>
      <c r="N3785" s="3" t="s">
        <v>13</v>
      </c>
      <c r="O3785" s="3" t="s">
        <v>14</v>
      </c>
      <c r="Q3785" s="30" t="str">
        <f t="shared" si="59"/>
        <v>MAX : 
TARGET : Yes(Pass)
MIN : No(Fail)</v>
      </c>
    </row>
    <row r="3786" spans="2:17" ht="41.4" x14ac:dyDescent="0.3">
      <c r="B3786">
        <v>1</v>
      </c>
      <c r="C3786" s="33">
        <v>8857</v>
      </c>
      <c r="D3786" s="2">
        <v>1998</v>
      </c>
      <c r="E3786" s="2" t="s">
        <v>11258</v>
      </c>
      <c r="F3786" s="3" t="s">
        <v>14206</v>
      </c>
      <c r="H3786" s="3" t="s">
        <v>261</v>
      </c>
      <c r="K3786" s="2">
        <v>20</v>
      </c>
      <c r="L3786" s="2">
        <v>1</v>
      </c>
      <c r="M3786" s="3" t="s">
        <v>788</v>
      </c>
      <c r="N3786" s="3" t="s">
        <v>784</v>
      </c>
      <c r="O3786" s="3" t="s">
        <v>309</v>
      </c>
      <c r="P3786" s="3" t="s">
        <v>785</v>
      </c>
      <c r="Q3786" s="30" t="str">
        <f t="shared" si="59"/>
        <v>MAX : 0.55
TARGET : 0.50
MIN : 0.45</v>
      </c>
    </row>
    <row r="3787" spans="2:17" ht="41.4" x14ac:dyDescent="0.3">
      <c r="B3787">
        <v>1</v>
      </c>
      <c r="C3787" s="33">
        <v>8861</v>
      </c>
      <c r="D3787" s="2">
        <v>1315</v>
      </c>
      <c r="E3787" s="2" t="s">
        <v>11263</v>
      </c>
      <c r="F3787" s="3" t="s">
        <v>14206</v>
      </c>
      <c r="H3787" s="3" t="s">
        <v>1637</v>
      </c>
      <c r="K3787" s="2">
        <v>20</v>
      </c>
      <c r="L3787" s="2">
        <v>1</v>
      </c>
      <c r="M3787" s="3" t="s">
        <v>502</v>
      </c>
      <c r="N3787" s="3" t="s">
        <v>3922</v>
      </c>
      <c r="O3787" s="3" t="s">
        <v>3923</v>
      </c>
      <c r="P3787" s="3" t="s">
        <v>3924</v>
      </c>
      <c r="Q3787" s="30" t="str">
        <f t="shared" si="59"/>
        <v>MAX : 0.333
TARGET : 0.313
MIN : 0.293</v>
      </c>
    </row>
    <row r="3788" spans="2:17" ht="41.4" x14ac:dyDescent="0.3">
      <c r="B3788">
        <v>0</v>
      </c>
      <c r="C3788" s="33">
        <v>8954</v>
      </c>
      <c r="D3788" s="2">
        <v>1350</v>
      </c>
      <c r="E3788" s="2" t="s">
        <v>11599</v>
      </c>
      <c r="F3788" s="3" t="s">
        <v>14244</v>
      </c>
      <c r="H3788" s="3" t="s">
        <v>1952</v>
      </c>
      <c r="K3788" s="2">
        <v>10</v>
      </c>
      <c r="L3788" s="2">
        <v>3</v>
      </c>
      <c r="M3788" s="3" t="s">
        <v>198</v>
      </c>
      <c r="N3788" s="3" t="s">
        <v>1197</v>
      </c>
      <c r="O3788" s="3" t="s">
        <v>4217</v>
      </c>
      <c r="P3788" s="3" t="s">
        <v>4367</v>
      </c>
      <c r="Q3788" s="30" t="str">
        <f t="shared" si="59"/>
        <v>MAX : 25.25
TARGET : 25.00
MIN : 24.75</v>
      </c>
    </row>
    <row r="3789" spans="2:17" ht="41.4" x14ac:dyDescent="0.3">
      <c r="B3789">
        <v>0</v>
      </c>
      <c r="C3789" s="33">
        <v>8954</v>
      </c>
      <c r="D3789" s="2">
        <v>1350</v>
      </c>
      <c r="E3789" s="2" t="s">
        <v>11599</v>
      </c>
      <c r="F3789" s="3" t="s">
        <v>14244</v>
      </c>
      <c r="H3789" s="3" t="s">
        <v>1952</v>
      </c>
      <c r="K3789" s="2">
        <v>10</v>
      </c>
      <c r="L3789" s="2">
        <v>4</v>
      </c>
      <c r="M3789" s="3" t="s">
        <v>4368</v>
      </c>
      <c r="N3789" s="3" t="s">
        <v>292</v>
      </c>
      <c r="O3789" s="3" t="s">
        <v>184</v>
      </c>
      <c r="P3789" s="3" t="s">
        <v>199</v>
      </c>
      <c r="Q3789" s="30" t="str">
        <f t="shared" si="59"/>
        <v>MAX : 5.25
TARGET : 5.00
MIN : 4.75</v>
      </c>
    </row>
    <row r="3790" spans="2:17" ht="41.4" x14ac:dyDescent="0.3">
      <c r="B3790">
        <v>0</v>
      </c>
      <c r="C3790" s="33">
        <v>8954</v>
      </c>
      <c r="D3790" s="2">
        <v>1350</v>
      </c>
      <c r="E3790" s="2" t="s">
        <v>11599</v>
      </c>
      <c r="F3790" s="3" t="s">
        <v>14244</v>
      </c>
      <c r="H3790" s="3" t="s">
        <v>1952</v>
      </c>
      <c r="K3790" s="2">
        <v>10</v>
      </c>
      <c r="L3790" s="2">
        <v>5</v>
      </c>
      <c r="M3790" s="3" t="s">
        <v>569</v>
      </c>
      <c r="N3790" s="3" t="s">
        <v>4369</v>
      </c>
      <c r="O3790" s="3" t="s">
        <v>4370</v>
      </c>
      <c r="P3790" s="3" t="s">
        <v>4371</v>
      </c>
      <c r="Q3790" s="30" t="str">
        <f t="shared" si="59"/>
        <v>MAX : 35.51
TARGET : 35.26
MIN : 35.01</v>
      </c>
    </row>
    <row r="3791" spans="2:17" ht="41.4" x14ac:dyDescent="0.3">
      <c r="B3791">
        <v>0</v>
      </c>
      <c r="C3791" s="33">
        <v>8954</v>
      </c>
      <c r="D3791" s="2">
        <v>1350</v>
      </c>
      <c r="E3791" s="2" t="s">
        <v>11599</v>
      </c>
      <c r="F3791" s="3" t="s">
        <v>14244</v>
      </c>
      <c r="H3791" s="3" t="s">
        <v>1952</v>
      </c>
      <c r="K3791" s="2">
        <v>10</v>
      </c>
      <c r="L3791" s="2">
        <v>6</v>
      </c>
      <c r="M3791" s="3" t="s">
        <v>78</v>
      </c>
      <c r="N3791" s="3" t="s">
        <v>13</v>
      </c>
      <c r="O3791" s="3" t="s">
        <v>14</v>
      </c>
      <c r="Q3791" s="30" t="str">
        <f t="shared" si="59"/>
        <v>MAX : 
TARGET : Yes(Pass)
MIN : No(Fail)</v>
      </c>
    </row>
    <row r="3792" spans="2:17" ht="41.4" x14ac:dyDescent="0.3">
      <c r="B3792">
        <v>1</v>
      </c>
      <c r="C3792" s="33">
        <v>8861</v>
      </c>
      <c r="D3792" s="2">
        <v>1315</v>
      </c>
      <c r="E3792" s="2" t="s">
        <v>11263</v>
      </c>
      <c r="F3792" s="3" t="s">
        <v>14206</v>
      </c>
      <c r="H3792" s="3" t="s">
        <v>1637</v>
      </c>
      <c r="K3792" s="2">
        <v>10</v>
      </c>
      <c r="L3792" s="2">
        <v>1</v>
      </c>
      <c r="M3792" s="3" t="s">
        <v>325</v>
      </c>
      <c r="N3792" s="3" t="s">
        <v>13</v>
      </c>
      <c r="O3792" s="3" t="s">
        <v>14</v>
      </c>
      <c r="Q3792" s="30" t="str">
        <f t="shared" si="59"/>
        <v>MAX : 
TARGET : Yes(Pass)
MIN : No(Fail)</v>
      </c>
    </row>
    <row r="3793" spans="2:18" ht="41.4" x14ac:dyDescent="0.3">
      <c r="B3793">
        <v>1</v>
      </c>
      <c r="C3793" s="33">
        <v>8862</v>
      </c>
      <c r="D3793" s="2">
        <v>1316</v>
      </c>
      <c r="E3793" s="2" t="s">
        <v>11270</v>
      </c>
      <c r="F3793" s="3" t="s">
        <v>14206</v>
      </c>
      <c r="H3793" s="3" t="s">
        <v>3966</v>
      </c>
      <c r="K3793" s="2">
        <v>20</v>
      </c>
      <c r="L3793" s="2">
        <v>2</v>
      </c>
      <c r="M3793" s="3" t="s">
        <v>570</v>
      </c>
      <c r="N3793" s="3" t="s">
        <v>3969</v>
      </c>
      <c r="O3793" s="3" t="s">
        <v>3970</v>
      </c>
      <c r="P3793" s="3" t="s">
        <v>3971</v>
      </c>
      <c r="Q3793" s="30" t="str">
        <f t="shared" si="59"/>
        <v>MAX : 1.465
TARGET : 1.445
MIN : 1.425</v>
      </c>
    </row>
    <row r="3794" spans="2:18" ht="41.4" x14ac:dyDescent="0.3">
      <c r="B3794">
        <v>0</v>
      </c>
      <c r="C3794" s="33">
        <v>8955</v>
      </c>
      <c r="D3794" s="2">
        <v>1351</v>
      </c>
      <c r="E3794" s="2" t="s">
        <v>11607</v>
      </c>
      <c r="F3794" s="3" t="s">
        <v>14244</v>
      </c>
      <c r="H3794" s="3" t="s">
        <v>727</v>
      </c>
      <c r="K3794" s="2">
        <v>10</v>
      </c>
      <c r="L3794" s="2">
        <v>3</v>
      </c>
      <c r="M3794" s="3" t="s">
        <v>198</v>
      </c>
      <c r="N3794" s="3" t="s">
        <v>4377</v>
      </c>
      <c r="O3794" s="3" t="s">
        <v>4378</v>
      </c>
      <c r="P3794" s="3" t="s">
        <v>4379</v>
      </c>
      <c r="Q3794" s="30" t="str">
        <f t="shared" si="59"/>
        <v>MAX : 47.10
TARGET : 46.97
MIN : 46.84</v>
      </c>
    </row>
    <row r="3795" spans="2:18" ht="41.4" x14ac:dyDescent="0.3">
      <c r="B3795">
        <v>0</v>
      </c>
      <c r="C3795" s="33">
        <v>8955</v>
      </c>
      <c r="D3795" s="2">
        <v>1351</v>
      </c>
      <c r="E3795" s="2" t="s">
        <v>11607</v>
      </c>
      <c r="F3795" s="3" t="s">
        <v>14244</v>
      </c>
      <c r="H3795" s="3" t="s">
        <v>727</v>
      </c>
      <c r="K3795" s="2">
        <v>10</v>
      </c>
      <c r="L3795" s="2">
        <v>4</v>
      </c>
      <c r="M3795" s="3" t="s">
        <v>4380</v>
      </c>
      <c r="N3795" s="3" t="s">
        <v>292</v>
      </c>
      <c r="O3795" s="3" t="s">
        <v>184</v>
      </c>
      <c r="P3795" s="3" t="s">
        <v>199</v>
      </c>
      <c r="Q3795" s="30" t="str">
        <f t="shared" si="59"/>
        <v>MAX : 5.25
TARGET : 5.00
MIN : 4.75</v>
      </c>
    </row>
    <row r="3796" spans="2:18" ht="41.4" x14ac:dyDescent="0.3">
      <c r="B3796">
        <v>0</v>
      </c>
      <c r="C3796" s="33">
        <v>8955</v>
      </c>
      <c r="D3796" s="2">
        <v>1351</v>
      </c>
      <c r="E3796" s="2" t="s">
        <v>11607</v>
      </c>
      <c r="F3796" s="3" t="s">
        <v>14244</v>
      </c>
      <c r="H3796" s="3" t="s">
        <v>727</v>
      </c>
      <c r="K3796" s="2">
        <v>10</v>
      </c>
      <c r="L3796" s="2">
        <v>5</v>
      </c>
      <c r="M3796" s="3" t="s">
        <v>569</v>
      </c>
      <c r="N3796" s="3" t="s">
        <v>4381</v>
      </c>
      <c r="O3796" s="3" t="s">
        <v>4382</v>
      </c>
      <c r="P3796" s="3" t="s">
        <v>4383</v>
      </c>
      <c r="Q3796" s="30" t="str">
        <f t="shared" si="59"/>
        <v>MAX : 60.57
TARGET : 60.32
MIN : 60.07</v>
      </c>
    </row>
    <row r="3797" spans="2:18" ht="41.4" x14ac:dyDescent="0.3">
      <c r="B3797">
        <v>0</v>
      </c>
      <c r="C3797" s="33">
        <v>8955</v>
      </c>
      <c r="D3797" s="2">
        <v>1351</v>
      </c>
      <c r="E3797" s="2" t="s">
        <v>11607</v>
      </c>
      <c r="F3797" s="3" t="s">
        <v>14244</v>
      </c>
      <c r="H3797" s="3" t="s">
        <v>727</v>
      </c>
      <c r="K3797" s="2">
        <v>10</v>
      </c>
      <c r="L3797" s="2">
        <v>6</v>
      </c>
      <c r="M3797" s="3" t="s">
        <v>78</v>
      </c>
      <c r="N3797" s="3" t="s">
        <v>13</v>
      </c>
      <c r="O3797" s="3" t="s">
        <v>14</v>
      </c>
      <c r="Q3797" s="30" t="str">
        <f t="shared" si="59"/>
        <v>MAX : 
TARGET : Yes(Pass)
MIN : No(Fail)</v>
      </c>
    </row>
    <row r="3798" spans="2:18" ht="41.4" x14ac:dyDescent="0.3">
      <c r="B3798">
        <v>1</v>
      </c>
      <c r="C3798" s="33">
        <v>8862</v>
      </c>
      <c r="D3798" s="2">
        <v>1316</v>
      </c>
      <c r="E3798" s="2" t="s">
        <v>11270</v>
      </c>
      <c r="F3798" s="3" t="s">
        <v>14206</v>
      </c>
      <c r="H3798" s="3" t="s">
        <v>3966</v>
      </c>
      <c r="K3798" s="2">
        <v>20</v>
      </c>
      <c r="L3798" s="2">
        <v>1</v>
      </c>
      <c r="M3798" s="3" t="s">
        <v>194</v>
      </c>
      <c r="N3798" s="3" t="s">
        <v>3967</v>
      </c>
      <c r="O3798" s="3" t="s">
        <v>2828</v>
      </c>
      <c r="P3798" s="3" t="s">
        <v>3968</v>
      </c>
      <c r="Q3798" s="30" t="str">
        <f t="shared" si="59"/>
        <v>MAX : 4.395
TARGET : 4.375
MIN : 4.355</v>
      </c>
    </row>
    <row r="3799" spans="2:18" ht="41.4" x14ac:dyDescent="0.3">
      <c r="B3799">
        <v>1</v>
      </c>
      <c r="C3799" s="33">
        <v>8866</v>
      </c>
      <c r="D3799" s="2">
        <v>1317</v>
      </c>
      <c r="E3799" s="2" t="s">
        <v>11276</v>
      </c>
      <c r="F3799" s="3" t="s">
        <v>14206</v>
      </c>
      <c r="H3799" s="3" t="s">
        <v>824</v>
      </c>
      <c r="K3799" s="2">
        <v>10</v>
      </c>
      <c r="L3799" s="2">
        <v>2</v>
      </c>
      <c r="M3799" s="3" t="s">
        <v>4034</v>
      </c>
      <c r="N3799" s="3" t="s">
        <v>13</v>
      </c>
      <c r="O3799" s="3" t="s">
        <v>14</v>
      </c>
      <c r="Q3799" s="30" t="str">
        <f t="shared" si="59"/>
        <v>MAX : 
TARGET : Yes(Pass)
MIN : No(Fail)</v>
      </c>
      <c r="R3799" s="3" t="s">
        <v>4033</v>
      </c>
    </row>
    <row r="3800" spans="2:18" ht="41.4" x14ac:dyDescent="0.3">
      <c r="B3800">
        <v>1</v>
      </c>
      <c r="C3800" s="33">
        <v>8866</v>
      </c>
      <c r="D3800" s="2">
        <v>1317</v>
      </c>
      <c r="E3800" s="2" t="s">
        <v>11276</v>
      </c>
      <c r="F3800" s="3" t="s">
        <v>14206</v>
      </c>
      <c r="H3800" s="3" t="s">
        <v>824</v>
      </c>
      <c r="K3800" s="2">
        <v>10</v>
      </c>
      <c r="L3800" s="2">
        <v>1</v>
      </c>
      <c r="M3800" s="3" t="s">
        <v>2269</v>
      </c>
      <c r="N3800" s="3" t="s">
        <v>13</v>
      </c>
      <c r="O3800" s="3" t="s">
        <v>14</v>
      </c>
      <c r="Q3800" s="30" t="str">
        <f t="shared" si="59"/>
        <v>MAX : 
TARGET : Yes(Pass)
MIN : No(Fail)</v>
      </c>
      <c r="R3800" s="3" t="s">
        <v>4033</v>
      </c>
    </row>
    <row r="3801" spans="2:18" ht="41.4" x14ac:dyDescent="0.3">
      <c r="B3801">
        <v>0</v>
      </c>
      <c r="C3801" s="33">
        <v>8968</v>
      </c>
      <c r="D3801" s="2">
        <v>1361</v>
      </c>
      <c r="E3801" s="2" t="s">
        <v>11692</v>
      </c>
      <c r="F3801" s="3" t="s">
        <v>14245</v>
      </c>
      <c r="H3801" s="3" t="s">
        <v>417</v>
      </c>
      <c r="K3801" s="2">
        <v>10</v>
      </c>
      <c r="L3801" s="2">
        <v>3</v>
      </c>
      <c r="M3801" s="3" t="s">
        <v>198</v>
      </c>
      <c r="N3801" s="3" t="s">
        <v>4387</v>
      </c>
      <c r="O3801" s="3" t="s">
        <v>4388</v>
      </c>
      <c r="P3801" s="3" t="s">
        <v>4389</v>
      </c>
      <c r="Q3801" s="30" t="str">
        <f t="shared" si="59"/>
        <v>MAX : 22.8
TARGET : 22.7
MIN : 22.6</v>
      </c>
      <c r="R3801" s="3" t="s">
        <v>3549</v>
      </c>
    </row>
    <row r="3802" spans="2:18" ht="41.4" x14ac:dyDescent="0.3">
      <c r="B3802">
        <v>0</v>
      </c>
      <c r="C3802" s="33">
        <v>8968</v>
      </c>
      <c r="D3802" s="2">
        <v>1361</v>
      </c>
      <c r="E3802" s="2" t="s">
        <v>11692</v>
      </c>
      <c r="F3802" s="3" t="s">
        <v>14245</v>
      </c>
      <c r="H3802" s="3" t="s">
        <v>417</v>
      </c>
      <c r="K3802" s="2">
        <v>10</v>
      </c>
      <c r="L3802" s="2">
        <v>4</v>
      </c>
      <c r="M3802" s="3" t="s">
        <v>4390</v>
      </c>
      <c r="N3802" s="3" t="s">
        <v>1540</v>
      </c>
      <c r="O3802" s="3" t="s">
        <v>3957</v>
      </c>
      <c r="P3802" s="3" t="s">
        <v>3417</v>
      </c>
      <c r="Q3802" s="30" t="str">
        <f t="shared" si="59"/>
        <v>MAX : 6.40
TARGET : 6.15
MIN : 5.90</v>
      </c>
      <c r="R3802" s="3" t="s">
        <v>3549</v>
      </c>
    </row>
    <row r="3803" spans="2:18" ht="41.4" x14ac:dyDescent="0.3">
      <c r="B3803">
        <v>0</v>
      </c>
      <c r="C3803" s="33">
        <v>8968</v>
      </c>
      <c r="D3803" s="2">
        <v>1361</v>
      </c>
      <c r="E3803" s="2" t="s">
        <v>11692</v>
      </c>
      <c r="F3803" s="3" t="s">
        <v>14245</v>
      </c>
      <c r="H3803" s="3" t="s">
        <v>417</v>
      </c>
      <c r="K3803" s="2">
        <v>10</v>
      </c>
      <c r="L3803" s="2">
        <v>5</v>
      </c>
      <c r="M3803" s="3" t="s">
        <v>4391</v>
      </c>
      <c r="N3803" s="3" t="s">
        <v>1095</v>
      </c>
      <c r="O3803" s="3" t="s">
        <v>3957</v>
      </c>
      <c r="P3803" s="3" t="s">
        <v>1966</v>
      </c>
      <c r="Q3803" s="30" t="str">
        <f t="shared" si="59"/>
        <v>MAX : 6.90
TARGET : 6.15
MIN : 5.40</v>
      </c>
      <c r="R3803" s="3" t="s">
        <v>3549</v>
      </c>
    </row>
    <row r="3804" spans="2:18" ht="41.4" x14ac:dyDescent="0.3">
      <c r="B3804">
        <v>0</v>
      </c>
      <c r="C3804" s="33">
        <v>8968</v>
      </c>
      <c r="D3804" s="2">
        <v>1361</v>
      </c>
      <c r="E3804" s="2" t="s">
        <v>11692</v>
      </c>
      <c r="F3804" s="3" t="s">
        <v>14245</v>
      </c>
      <c r="H3804" s="3" t="s">
        <v>417</v>
      </c>
      <c r="K3804" s="2">
        <v>10</v>
      </c>
      <c r="L3804" s="2">
        <v>6</v>
      </c>
      <c r="M3804" s="3" t="s">
        <v>569</v>
      </c>
      <c r="N3804" s="3" t="s">
        <v>1556</v>
      </c>
      <c r="O3804" s="3" t="s">
        <v>300</v>
      </c>
      <c r="P3804" s="3" t="s">
        <v>1557</v>
      </c>
      <c r="Q3804" s="30" t="str">
        <f t="shared" si="59"/>
        <v>MAX : 36
TARGET : 35
MIN : 34</v>
      </c>
      <c r="R3804" s="3" t="s">
        <v>3549</v>
      </c>
    </row>
    <row r="3805" spans="2:18" ht="41.4" x14ac:dyDescent="0.3">
      <c r="B3805">
        <v>0</v>
      </c>
      <c r="C3805" s="33">
        <v>8968</v>
      </c>
      <c r="D3805" s="2">
        <v>1361</v>
      </c>
      <c r="E3805" s="2" t="s">
        <v>11692</v>
      </c>
      <c r="F3805" s="3" t="s">
        <v>14245</v>
      </c>
      <c r="H3805" s="3" t="s">
        <v>417</v>
      </c>
      <c r="K3805" s="2">
        <v>10</v>
      </c>
      <c r="L3805" s="2">
        <v>7</v>
      </c>
      <c r="M3805" s="3" t="s">
        <v>78</v>
      </c>
      <c r="N3805" s="3" t="s">
        <v>13</v>
      </c>
      <c r="O3805" s="3" t="s">
        <v>14</v>
      </c>
      <c r="Q3805" s="30" t="str">
        <f t="shared" si="59"/>
        <v>MAX : 
TARGET : Yes(Pass)
MIN : No(Fail)</v>
      </c>
      <c r="R3805" s="3" t="s">
        <v>3549</v>
      </c>
    </row>
    <row r="3806" spans="2:18" ht="41.4" x14ac:dyDescent="0.3">
      <c r="B3806">
        <v>0</v>
      </c>
      <c r="C3806" s="33">
        <v>8968</v>
      </c>
      <c r="D3806" s="2">
        <v>1361</v>
      </c>
      <c r="E3806" s="2" t="s">
        <v>11692</v>
      </c>
      <c r="F3806" s="3" t="s">
        <v>14245</v>
      </c>
      <c r="H3806" s="3" t="s">
        <v>417</v>
      </c>
      <c r="K3806" s="2">
        <v>10</v>
      </c>
      <c r="L3806" s="2">
        <v>8</v>
      </c>
      <c r="M3806" s="3" t="s">
        <v>4392</v>
      </c>
      <c r="N3806" s="3" t="s">
        <v>13</v>
      </c>
      <c r="O3806" s="3" t="s">
        <v>14</v>
      </c>
      <c r="Q3806" s="30" t="str">
        <f t="shared" si="59"/>
        <v>MAX : 
TARGET : Yes(Pass)
MIN : No(Fail)</v>
      </c>
      <c r="R3806" s="3" t="s">
        <v>3549</v>
      </c>
    </row>
    <row r="3807" spans="2:18" ht="41.4" x14ac:dyDescent="0.3">
      <c r="B3807">
        <v>0</v>
      </c>
      <c r="C3807" s="33">
        <v>8968</v>
      </c>
      <c r="D3807" s="2">
        <v>1361</v>
      </c>
      <c r="E3807" s="2" t="s">
        <v>11692</v>
      </c>
      <c r="F3807" s="3" t="s">
        <v>14245</v>
      </c>
      <c r="H3807" s="3" t="s">
        <v>417</v>
      </c>
      <c r="K3807" s="2">
        <v>10</v>
      </c>
      <c r="L3807" s="2">
        <v>9</v>
      </c>
      <c r="M3807" s="3" t="s">
        <v>4393</v>
      </c>
      <c r="N3807" s="3" t="s">
        <v>13</v>
      </c>
      <c r="O3807" s="3" t="s">
        <v>14</v>
      </c>
      <c r="Q3807" s="30" t="str">
        <f t="shared" si="59"/>
        <v>MAX : 
TARGET : Yes(Pass)
MIN : No(Fail)</v>
      </c>
      <c r="R3807" s="3" t="s">
        <v>3549</v>
      </c>
    </row>
    <row r="3808" spans="2:18" ht="41.4" x14ac:dyDescent="0.3">
      <c r="B3808">
        <v>0</v>
      </c>
      <c r="C3808" s="33">
        <v>8968</v>
      </c>
      <c r="D3808" s="2">
        <v>1361</v>
      </c>
      <c r="E3808" s="2" t="s">
        <v>11692</v>
      </c>
      <c r="F3808" s="3" t="s">
        <v>14245</v>
      </c>
      <c r="H3808" s="3" t="s">
        <v>417</v>
      </c>
      <c r="K3808" s="2">
        <v>10</v>
      </c>
      <c r="L3808" s="2">
        <v>10</v>
      </c>
      <c r="M3808" s="3" t="s">
        <v>4394</v>
      </c>
      <c r="N3808" s="3" t="s">
        <v>13</v>
      </c>
      <c r="O3808" s="3" t="s">
        <v>14</v>
      </c>
      <c r="Q3808" s="30" t="str">
        <f t="shared" si="59"/>
        <v>MAX : 
TARGET : Yes(Pass)
MIN : No(Fail)</v>
      </c>
      <c r="R3808" s="3" t="s">
        <v>3549</v>
      </c>
    </row>
    <row r="3809" spans="2:18" ht="41.4" x14ac:dyDescent="0.3">
      <c r="B3809">
        <v>0</v>
      </c>
      <c r="C3809" s="33">
        <v>8968</v>
      </c>
      <c r="D3809" s="2">
        <v>1361</v>
      </c>
      <c r="E3809" s="2" t="s">
        <v>11692</v>
      </c>
      <c r="F3809" s="3" t="s">
        <v>14245</v>
      </c>
      <c r="H3809" s="3" t="s">
        <v>417</v>
      </c>
      <c r="K3809" s="2">
        <v>20</v>
      </c>
      <c r="L3809" s="2">
        <v>1</v>
      </c>
      <c r="M3809" s="3" t="s">
        <v>4395</v>
      </c>
      <c r="N3809" s="3" t="s">
        <v>13</v>
      </c>
      <c r="O3809" s="3" t="s">
        <v>14</v>
      </c>
      <c r="Q3809" s="30" t="str">
        <f t="shared" si="59"/>
        <v>MAX : 
TARGET : Yes(Pass)
MIN : No(Fail)</v>
      </c>
      <c r="R3809" s="3" t="s">
        <v>3549</v>
      </c>
    </row>
    <row r="3810" spans="2:18" ht="41.4" x14ac:dyDescent="0.3">
      <c r="B3810">
        <v>1</v>
      </c>
      <c r="C3810" s="33">
        <v>8867</v>
      </c>
      <c r="D3810" s="2">
        <v>1318</v>
      </c>
      <c r="E3810" s="2" t="s">
        <v>11284</v>
      </c>
      <c r="F3810" s="3" t="s">
        <v>14206</v>
      </c>
      <c r="H3810" s="3" t="s">
        <v>4047</v>
      </c>
      <c r="K3810" s="2">
        <v>10</v>
      </c>
      <c r="L3810" s="2">
        <v>2</v>
      </c>
      <c r="M3810" s="3" t="s">
        <v>198</v>
      </c>
      <c r="N3810" s="3" t="s">
        <v>27</v>
      </c>
      <c r="O3810" s="3" t="s">
        <v>28</v>
      </c>
      <c r="P3810" s="3" t="s">
        <v>29</v>
      </c>
      <c r="Q3810" s="30" t="str">
        <f t="shared" si="59"/>
        <v>MAX : 1.53
TARGET : 1.50
MIN : 1.47</v>
      </c>
    </row>
    <row r="3811" spans="2:18" ht="41.4" x14ac:dyDescent="0.3">
      <c r="B3811">
        <v>1</v>
      </c>
      <c r="C3811" s="33">
        <v>8867</v>
      </c>
      <c r="D3811" s="2">
        <v>1318</v>
      </c>
      <c r="E3811" s="2" t="s">
        <v>11284</v>
      </c>
      <c r="F3811" s="3" t="s">
        <v>14206</v>
      </c>
      <c r="H3811" s="3" t="s">
        <v>4047</v>
      </c>
      <c r="K3811" s="2">
        <v>10</v>
      </c>
      <c r="L3811" s="2">
        <v>1</v>
      </c>
      <c r="M3811" s="3" t="s">
        <v>194</v>
      </c>
      <c r="N3811" s="3" t="s">
        <v>75</v>
      </c>
      <c r="O3811" s="3" t="s">
        <v>76</v>
      </c>
      <c r="P3811" s="3" t="s">
        <v>77</v>
      </c>
      <c r="Q3811" s="30" t="str">
        <f t="shared" si="59"/>
        <v>MAX : 2.53
TARGET : 2.50
MIN : 2.47</v>
      </c>
    </row>
    <row r="3812" spans="2:18" ht="41.4" x14ac:dyDescent="0.3">
      <c r="B3812">
        <v>0</v>
      </c>
      <c r="C3812" s="33">
        <v>9004</v>
      </c>
      <c r="D3812" s="2">
        <v>1376</v>
      </c>
      <c r="E3812" s="2" t="s">
        <v>11889</v>
      </c>
      <c r="F3812" s="3" t="s">
        <v>14206</v>
      </c>
      <c r="H3812" s="3" t="s">
        <v>469</v>
      </c>
      <c r="K3812" s="2">
        <v>10</v>
      </c>
      <c r="L3812" s="2">
        <v>3</v>
      </c>
      <c r="M3812" s="3" t="s">
        <v>4400</v>
      </c>
      <c r="N3812" s="3" t="s">
        <v>13</v>
      </c>
      <c r="O3812" s="3" t="s">
        <v>14</v>
      </c>
      <c r="Q3812" s="30" t="str">
        <f t="shared" si="59"/>
        <v>MAX : 
TARGET : Yes(Pass)
MIN : No(Fail)</v>
      </c>
    </row>
    <row r="3813" spans="2:18" ht="41.4" x14ac:dyDescent="0.3">
      <c r="B3813">
        <v>0</v>
      </c>
      <c r="C3813" s="33">
        <v>9004</v>
      </c>
      <c r="D3813" s="2">
        <v>1376</v>
      </c>
      <c r="E3813" s="2" t="s">
        <v>11889</v>
      </c>
      <c r="F3813" s="3" t="s">
        <v>14206</v>
      </c>
      <c r="H3813" s="3" t="s">
        <v>469</v>
      </c>
      <c r="K3813" s="2">
        <v>10</v>
      </c>
      <c r="L3813" s="2">
        <v>4</v>
      </c>
      <c r="M3813" s="3" t="s">
        <v>2819</v>
      </c>
      <c r="N3813" s="3" t="s">
        <v>13</v>
      </c>
      <c r="O3813" s="3" t="s">
        <v>14</v>
      </c>
      <c r="Q3813" s="30" t="str">
        <f t="shared" si="59"/>
        <v>MAX : 
TARGET : Yes(Pass)
MIN : No(Fail)</v>
      </c>
    </row>
    <row r="3814" spans="2:18" ht="41.4" x14ac:dyDescent="0.3">
      <c r="B3814">
        <v>1</v>
      </c>
      <c r="C3814" s="33">
        <v>8869</v>
      </c>
      <c r="D3814" s="2">
        <v>1319</v>
      </c>
      <c r="E3814" s="2" t="s">
        <v>11290</v>
      </c>
      <c r="F3814" s="3" t="s">
        <v>14207</v>
      </c>
      <c r="H3814" s="3" t="s">
        <v>3929</v>
      </c>
      <c r="K3814" s="2">
        <v>10</v>
      </c>
      <c r="L3814" s="2">
        <v>2</v>
      </c>
      <c r="M3814" s="3" t="s">
        <v>346</v>
      </c>
      <c r="N3814" s="3" t="s">
        <v>3933</v>
      </c>
      <c r="O3814" s="3" t="s">
        <v>3934</v>
      </c>
      <c r="P3814" s="3" t="s">
        <v>3935</v>
      </c>
      <c r="Q3814" s="30" t="str">
        <f t="shared" si="59"/>
        <v>MAX : 10.07
TARGET : 9.82
MIN : 9.57</v>
      </c>
      <c r="R3814" s="3" t="s">
        <v>3549</v>
      </c>
    </row>
    <row r="3815" spans="2:18" ht="41.4" x14ac:dyDescent="0.3">
      <c r="B3815">
        <v>1</v>
      </c>
      <c r="C3815" s="33">
        <v>8869</v>
      </c>
      <c r="D3815" s="2">
        <v>1319</v>
      </c>
      <c r="E3815" s="2" t="s">
        <v>11290</v>
      </c>
      <c r="F3815" s="3" t="s">
        <v>14207</v>
      </c>
      <c r="H3815" s="3" t="s">
        <v>3929</v>
      </c>
      <c r="K3815" s="2">
        <v>10</v>
      </c>
      <c r="L3815" s="2">
        <v>1</v>
      </c>
      <c r="M3815" s="3" t="s">
        <v>335</v>
      </c>
      <c r="N3815" s="3" t="s">
        <v>3930</v>
      </c>
      <c r="O3815" s="3" t="s">
        <v>3931</v>
      </c>
      <c r="P3815" s="3" t="s">
        <v>3932</v>
      </c>
      <c r="Q3815" s="30" t="str">
        <f t="shared" si="59"/>
        <v>MAX : 15.97
TARGET : 15.82
MIN : 15.67</v>
      </c>
      <c r="R3815" s="3" t="s">
        <v>3549</v>
      </c>
    </row>
    <row r="3816" spans="2:18" ht="41.4" x14ac:dyDescent="0.3">
      <c r="B3816">
        <v>0</v>
      </c>
      <c r="C3816" s="33">
        <v>9008</v>
      </c>
      <c r="D3816" s="2">
        <v>2041</v>
      </c>
      <c r="E3816" s="2" t="s">
        <v>11916</v>
      </c>
      <c r="F3816" s="3" t="s">
        <v>14206</v>
      </c>
      <c r="H3816" s="3" t="s">
        <v>1903</v>
      </c>
      <c r="K3816" s="2">
        <v>20</v>
      </c>
      <c r="L3816" s="2">
        <v>2</v>
      </c>
      <c r="M3816" s="3" t="s">
        <v>611</v>
      </c>
      <c r="N3816" s="3" t="s">
        <v>13</v>
      </c>
      <c r="O3816" s="3" t="s">
        <v>14</v>
      </c>
      <c r="Q3816" s="30" t="str">
        <f t="shared" si="59"/>
        <v>MAX : 
TARGET : Yes(Pass)
MIN : No(Fail)</v>
      </c>
    </row>
    <row r="3817" spans="2:18" ht="41.4" x14ac:dyDescent="0.3">
      <c r="B3817">
        <v>0</v>
      </c>
      <c r="C3817" s="33">
        <v>9008</v>
      </c>
      <c r="D3817" s="2">
        <v>2041</v>
      </c>
      <c r="E3817" s="2" t="s">
        <v>11916</v>
      </c>
      <c r="F3817" s="3" t="s">
        <v>14206</v>
      </c>
      <c r="H3817" s="3" t="s">
        <v>1903</v>
      </c>
      <c r="K3817" s="2">
        <v>20</v>
      </c>
      <c r="L3817" s="2">
        <v>3</v>
      </c>
      <c r="M3817" s="3" t="s">
        <v>4403</v>
      </c>
      <c r="N3817" s="3" t="s">
        <v>13</v>
      </c>
      <c r="O3817" s="3" t="s">
        <v>14</v>
      </c>
      <c r="Q3817" s="30" t="str">
        <f t="shared" si="59"/>
        <v>MAX : 
TARGET : Yes(Pass)
MIN : No(Fail)</v>
      </c>
    </row>
    <row r="3818" spans="2:18" ht="41.4" x14ac:dyDescent="0.3">
      <c r="B3818">
        <v>1</v>
      </c>
      <c r="C3818" s="33">
        <v>8870</v>
      </c>
      <c r="D3818" s="2">
        <v>1320</v>
      </c>
      <c r="E3818" s="2" t="s">
        <v>11298</v>
      </c>
      <c r="F3818" s="3" t="s">
        <v>14207</v>
      </c>
      <c r="H3818" s="3" t="s">
        <v>3929</v>
      </c>
      <c r="K3818" s="2">
        <v>10</v>
      </c>
      <c r="L3818" s="2">
        <v>2</v>
      </c>
      <c r="M3818" s="3" t="s">
        <v>3947</v>
      </c>
      <c r="N3818" s="3" t="s">
        <v>1812</v>
      </c>
      <c r="O3818" s="3" t="s">
        <v>796</v>
      </c>
      <c r="P3818" s="3" t="s">
        <v>3756</v>
      </c>
      <c r="Q3818" s="30" t="str">
        <f t="shared" si="59"/>
        <v>MAX : 3.95
TARGET : 3.70
MIN : 3.45</v>
      </c>
      <c r="R3818" s="3" t="s">
        <v>3549</v>
      </c>
    </row>
    <row r="3819" spans="2:18" ht="41.4" x14ac:dyDescent="0.3">
      <c r="B3819">
        <v>1</v>
      </c>
      <c r="C3819" s="33">
        <v>8870</v>
      </c>
      <c r="D3819" s="2">
        <v>1320</v>
      </c>
      <c r="E3819" s="2" t="s">
        <v>11298</v>
      </c>
      <c r="F3819" s="3" t="s">
        <v>14207</v>
      </c>
      <c r="H3819" s="3" t="s">
        <v>3929</v>
      </c>
      <c r="K3819" s="2">
        <v>10</v>
      </c>
      <c r="L3819" s="2">
        <v>6</v>
      </c>
      <c r="M3819" s="3" t="s">
        <v>335</v>
      </c>
      <c r="N3819" s="3" t="s">
        <v>3946</v>
      </c>
      <c r="O3819" s="3" t="s">
        <v>3938</v>
      </c>
      <c r="P3819" s="3" t="s">
        <v>1670</v>
      </c>
      <c r="Q3819" s="30" t="str">
        <f t="shared" si="59"/>
        <v>MAX : 12.70
TARGET : 12.55
MIN : 12.40</v>
      </c>
      <c r="R3819" s="3" t="s">
        <v>3549</v>
      </c>
    </row>
    <row r="3820" spans="2:18" ht="41.4" x14ac:dyDescent="0.3">
      <c r="B3820">
        <v>0</v>
      </c>
      <c r="C3820" s="33">
        <v>9009</v>
      </c>
      <c r="D3820" s="2">
        <v>1377</v>
      </c>
      <c r="E3820" s="2" t="s">
        <v>11922</v>
      </c>
      <c r="F3820" s="3" t="s">
        <v>14206</v>
      </c>
      <c r="H3820" s="3" t="s">
        <v>4305</v>
      </c>
      <c r="K3820" s="2">
        <v>10</v>
      </c>
      <c r="L3820" s="2">
        <v>3</v>
      </c>
      <c r="M3820" s="3" t="s">
        <v>2819</v>
      </c>
      <c r="N3820" s="3" t="s">
        <v>13</v>
      </c>
      <c r="O3820" s="3" t="s">
        <v>14</v>
      </c>
      <c r="Q3820" s="30" t="str">
        <f t="shared" si="59"/>
        <v>MAX : 
TARGET : Yes(Pass)
MIN : No(Fail)</v>
      </c>
    </row>
    <row r="3821" spans="2:18" ht="41.4" x14ac:dyDescent="0.3">
      <c r="B3821">
        <v>0</v>
      </c>
      <c r="C3821" s="33">
        <v>9009</v>
      </c>
      <c r="D3821" s="2">
        <v>1377</v>
      </c>
      <c r="E3821" s="2" t="s">
        <v>11922</v>
      </c>
      <c r="F3821" s="3" t="s">
        <v>14206</v>
      </c>
      <c r="H3821" s="3" t="s">
        <v>4305</v>
      </c>
      <c r="K3821" s="2">
        <v>10</v>
      </c>
      <c r="L3821" s="2">
        <v>4</v>
      </c>
      <c r="M3821" s="3" t="s">
        <v>2295</v>
      </c>
      <c r="N3821" s="3" t="s">
        <v>13</v>
      </c>
      <c r="O3821" s="3" t="s">
        <v>14</v>
      </c>
      <c r="Q3821" s="30" t="str">
        <f t="shared" si="59"/>
        <v>MAX : 
TARGET : Yes(Pass)
MIN : No(Fail)</v>
      </c>
    </row>
    <row r="3822" spans="2:18" ht="41.4" x14ac:dyDescent="0.3">
      <c r="B3822">
        <v>1</v>
      </c>
      <c r="C3822" s="33">
        <v>8871</v>
      </c>
      <c r="D3822" s="2">
        <v>1321</v>
      </c>
      <c r="E3822" s="2" t="s">
        <v>11306</v>
      </c>
      <c r="F3822" s="3" t="s">
        <v>14207</v>
      </c>
      <c r="H3822" s="3" t="s">
        <v>108</v>
      </c>
      <c r="K3822" s="2">
        <v>20</v>
      </c>
      <c r="L3822" s="2">
        <v>2</v>
      </c>
      <c r="M3822" s="3" t="s">
        <v>3974</v>
      </c>
      <c r="N3822" s="3" t="s">
        <v>3364</v>
      </c>
      <c r="O3822" s="3" t="s">
        <v>2262</v>
      </c>
      <c r="P3822" s="3" t="s">
        <v>3365</v>
      </c>
      <c r="Q3822" s="30" t="str">
        <f t="shared" si="59"/>
        <v>MAX : 49
TARGET : 48
MIN : 47</v>
      </c>
    </row>
    <row r="3823" spans="2:18" ht="41.4" x14ac:dyDescent="0.3">
      <c r="B3823">
        <v>1</v>
      </c>
      <c r="C3823" s="33">
        <v>8871</v>
      </c>
      <c r="D3823" s="2">
        <v>1321</v>
      </c>
      <c r="E3823" s="2" t="s">
        <v>11306</v>
      </c>
      <c r="F3823" s="3" t="s">
        <v>14207</v>
      </c>
      <c r="H3823" s="3" t="s">
        <v>108</v>
      </c>
      <c r="K3823" s="2">
        <v>20</v>
      </c>
      <c r="L3823" s="2">
        <v>1</v>
      </c>
      <c r="M3823" s="3" t="s">
        <v>194</v>
      </c>
      <c r="N3823" s="3" t="s">
        <v>1921</v>
      </c>
      <c r="O3823" s="3" t="s">
        <v>1359</v>
      </c>
      <c r="P3823" s="3" t="s">
        <v>3204</v>
      </c>
      <c r="Q3823" s="30" t="str">
        <f t="shared" si="59"/>
        <v>MAX : 41
TARGET : 40
MIN : 39</v>
      </c>
    </row>
    <row r="3824" spans="2:18" ht="41.4" x14ac:dyDescent="0.3">
      <c r="B3824">
        <v>0</v>
      </c>
      <c r="C3824" s="33">
        <v>9001</v>
      </c>
      <c r="D3824" s="2">
        <v>1375</v>
      </c>
      <c r="E3824" s="2" t="s">
        <v>11692</v>
      </c>
      <c r="F3824" s="3" t="s">
        <v>14245</v>
      </c>
      <c r="H3824" s="3" t="s">
        <v>417</v>
      </c>
      <c r="K3824" s="2">
        <v>10</v>
      </c>
      <c r="L3824" s="2">
        <v>3</v>
      </c>
      <c r="M3824" s="3" t="s">
        <v>198</v>
      </c>
      <c r="N3824" s="3" t="s">
        <v>4387</v>
      </c>
      <c r="O3824" s="3" t="s">
        <v>4388</v>
      </c>
      <c r="P3824" s="3" t="s">
        <v>4389</v>
      </c>
      <c r="Q3824" s="30" t="str">
        <f t="shared" si="59"/>
        <v>MAX : 22.8
TARGET : 22.7
MIN : 22.6</v>
      </c>
    </row>
    <row r="3825" spans="2:17" ht="41.4" x14ac:dyDescent="0.3">
      <c r="B3825">
        <v>0</v>
      </c>
      <c r="C3825" s="33">
        <v>9001</v>
      </c>
      <c r="D3825" s="2">
        <v>1375</v>
      </c>
      <c r="E3825" s="2" t="s">
        <v>11692</v>
      </c>
      <c r="F3825" s="3" t="s">
        <v>14245</v>
      </c>
      <c r="H3825" s="3" t="s">
        <v>417</v>
      </c>
      <c r="K3825" s="2">
        <v>10</v>
      </c>
      <c r="L3825" s="2">
        <v>4</v>
      </c>
      <c r="M3825" s="3" t="s">
        <v>4390</v>
      </c>
      <c r="N3825" s="3" t="s">
        <v>1540</v>
      </c>
      <c r="O3825" s="3" t="s">
        <v>3957</v>
      </c>
      <c r="P3825" s="3" t="s">
        <v>3417</v>
      </c>
      <c r="Q3825" s="30" t="str">
        <f t="shared" si="59"/>
        <v>MAX : 6.40
TARGET : 6.15
MIN : 5.90</v>
      </c>
    </row>
    <row r="3826" spans="2:17" ht="41.4" x14ac:dyDescent="0.3">
      <c r="B3826">
        <v>0</v>
      </c>
      <c r="C3826" s="33">
        <v>9001</v>
      </c>
      <c r="D3826" s="2">
        <v>1375</v>
      </c>
      <c r="E3826" s="2" t="s">
        <v>11692</v>
      </c>
      <c r="F3826" s="3" t="s">
        <v>14245</v>
      </c>
      <c r="H3826" s="3" t="s">
        <v>417</v>
      </c>
      <c r="K3826" s="2">
        <v>10</v>
      </c>
      <c r="L3826" s="2">
        <v>5</v>
      </c>
      <c r="M3826" s="3" t="s">
        <v>4391</v>
      </c>
      <c r="N3826" s="3" t="s">
        <v>1095</v>
      </c>
      <c r="O3826" s="3" t="s">
        <v>3957</v>
      </c>
      <c r="P3826" s="3" t="s">
        <v>1966</v>
      </c>
      <c r="Q3826" s="30" t="str">
        <f t="shared" si="59"/>
        <v>MAX : 6.90
TARGET : 6.15
MIN : 5.40</v>
      </c>
    </row>
    <row r="3827" spans="2:17" ht="41.4" x14ac:dyDescent="0.3">
      <c r="B3827">
        <v>0</v>
      </c>
      <c r="C3827" s="33">
        <v>9001</v>
      </c>
      <c r="D3827" s="2">
        <v>1375</v>
      </c>
      <c r="E3827" s="2" t="s">
        <v>11692</v>
      </c>
      <c r="F3827" s="3" t="s">
        <v>14245</v>
      </c>
      <c r="H3827" s="3" t="s">
        <v>417</v>
      </c>
      <c r="K3827" s="2">
        <v>10</v>
      </c>
      <c r="L3827" s="2">
        <v>6</v>
      </c>
      <c r="M3827" s="3" t="s">
        <v>569</v>
      </c>
      <c r="N3827" s="3" t="s">
        <v>1556</v>
      </c>
      <c r="O3827" s="3" t="s">
        <v>300</v>
      </c>
      <c r="P3827" s="3" t="s">
        <v>1557</v>
      </c>
      <c r="Q3827" s="30" t="str">
        <f t="shared" si="59"/>
        <v>MAX : 36
TARGET : 35
MIN : 34</v>
      </c>
    </row>
    <row r="3828" spans="2:17" ht="41.4" x14ac:dyDescent="0.3">
      <c r="B3828">
        <v>0</v>
      </c>
      <c r="C3828" s="33">
        <v>9001</v>
      </c>
      <c r="D3828" s="2">
        <v>1375</v>
      </c>
      <c r="E3828" s="2" t="s">
        <v>11692</v>
      </c>
      <c r="F3828" s="3" t="s">
        <v>14245</v>
      </c>
      <c r="H3828" s="3" t="s">
        <v>417</v>
      </c>
      <c r="K3828" s="2">
        <v>10</v>
      </c>
      <c r="L3828" s="2">
        <v>7</v>
      </c>
      <c r="M3828" s="3" t="s">
        <v>78</v>
      </c>
      <c r="N3828" s="3" t="s">
        <v>13</v>
      </c>
      <c r="O3828" s="3" t="s">
        <v>14</v>
      </c>
      <c r="Q3828" s="30" t="str">
        <f t="shared" si="59"/>
        <v>MAX : 
TARGET : Yes(Pass)
MIN : No(Fail)</v>
      </c>
    </row>
    <row r="3829" spans="2:17" ht="41.4" x14ac:dyDescent="0.3">
      <c r="B3829">
        <v>0</v>
      </c>
      <c r="C3829" s="33">
        <v>9001</v>
      </c>
      <c r="D3829" s="2">
        <v>1375</v>
      </c>
      <c r="E3829" s="2" t="s">
        <v>11692</v>
      </c>
      <c r="F3829" s="3" t="s">
        <v>14245</v>
      </c>
      <c r="H3829" s="3" t="s">
        <v>417</v>
      </c>
      <c r="K3829" s="2">
        <v>10</v>
      </c>
      <c r="L3829" s="2">
        <v>8</v>
      </c>
      <c r="M3829" s="3" t="s">
        <v>4392</v>
      </c>
      <c r="N3829" s="3" t="s">
        <v>13</v>
      </c>
      <c r="O3829" s="3" t="s">
        <v>14</v>
      </c>
      <c r="Q3829" s="30" t="str">
        <f t="shared" si="59"/>
        <v>MAX : 
TARGET : Yes(Pass)
MIN : No(Fail)</v>
      </c>
    </row>
    <row r="3830" spans="2:17" ht="41.4" x14ac:dyDescent="0.3">
      <c r="B3830">
        <v>0</v>
      </c>
      <c r="C3830" s="33">
        <v>9001</v>
      </c>
      <c r="D3830" s="2">
        <v>1375</v>
      </c>
      <c r="E3830" s="2" t="s">
        <v>11692</v>
      </c>
      <c r="F3830" s="3" t="s">
        <v>14245</v>
      </c>
      <c r="H3830" s="3" t="s">
        <v>417</v>
      </c>
      <c r="K3830" s="2">
        <v>10</v>
      </c>
      <c r="L3830" s="2">
        <v>9</v>
      </c>
      <c r="M3830" s="3" t="s">
        <v>4393</v>
      </c>
      <c r="N3830" s="3" t="s">
        <v>13</v>
      </c>
      <c r="O3830" s="3" t="s">
        <v>14</v>
      </c>
      <c r="Q3830" s="30" t="str">
        <f t="shared" si="59"/>
        <v>MAX : 
TARGET : Yes(Pass)
MIN : No(Fail)</v>
      </c>
    </row>
    <row r="3831" spans="2:17" ht="41.4" x14ac:dyDescent="0.3">
      <c r="B3831">
        <v>0</v>
      </c>
      <c r="C3831" s="33">
        <v>9001</v>
      </c>
      <c r="D3831" s="2">
        <v>1375</v>
      </c>
      <c r="E3831" s="2" t="s">
        <v>11692</v>
      </c>
      <c r="F3831" s="3" t="s">
        <v>14245</v>
      </c>
      <c r="H3831" s="3" t="s">
        <v>417</v>
      </c>
      <c r="K3831" s="2">
        <v>10</v>
      </c>
      <c r="L3831" s="2">
        <v>10</v>
      </c>
      <c r="M3831" s="3" t="s">
        <v>4394</v>
      </c>
      <c r="N3831" s="3" t="s">
        <v>13</v>
      </c>
      <c r="O3831" s="3" t="s">
        <v>14</v>
      </c>
      <c r="Q3831" s="30" t="str">
        <f t="shared" si="59"/>
        <v>MAX : 
TARGET : Yes(Pass)
MIN : No(Fail)</v>
      </c>
    </row>
    <row r="3832" spans="2:17" ht="41.4" x14ac:dyDescent="0.3">
      <c r="B3832">
        <v>0</v>
      </c>
      <c r="C3832" s="33">
        <v>9001</v>
      </c>
      <c r="D3832" s="2">
        <v>1375</v>
      </c>
      <c r="E3832" s="2" t="s">
        <v>11692</v>
      </c>
      <c r="F3832" s="3" t="s">
        <v>14245</v>
      </c>
      <c r="H3832" s="3" t="s">
        <v>417</v>
      </c>
      <c r="K3832" s="2">
        <v>20</v>
      </c>
      <c r="L3832" s="2">
        <v>1</v>
      </c>
      <c r="M3832" s="3" t="s">
        <v>4395</v>
      </c>
      <c r="N3832" s="3" t="s">
        <v>13</v>
      </c>
      <c r="O3832" s="3" t="s">
        <v>14</v>
      </c>
      <c r="Q3832" s="30" t="str">
        <f t="shared" si="59"/>
        <v>MAX : 
TARGET : Yes(Pass)
MIN : No(Fail)</v>
      </c>
    </row>
    <row r="3833" spans="2:17" ht="41.4" x14ac:dyDescent="0.3">
      <c r="B3833">
        <v>1</v>
      </c>
      <c r="C3833" s="33">
        <v>8872</v>
      </c>
      <c r="D3833" s="2">
        <v>1322</v>
      </c>
      <c r="E3833" s="2" t="s">
        <v>11312</v>
      </c>
      <c r="F3833" s="3" t="s">
        <v>14207</v>
      </c>
      <c r="H3833" s="3" t="s">
        <v>108</v>
      </c>
      <c r="K3833" s="2">
        <v>20</v>
      </c>
      <c r="L3833" s="2">
        <v>2</v>
      </c>
      <c r="M3833" s="3" t="s">
        <v>3974</v>
      </c>
      <c r="N3833" s="3" t="s">
        <v>3364</v>
      </c>
      <c r="O3833" s="3" t="s">
        <v>2262</v>
      </c>
      <c r="P3833" s="3" t="s">
        <v>3365</v>
      </c>
      <c r="Q3833" s="30" t="str">
        <f t="shared" si="59"/>
        <v>MAX : 49
TARGET : 48
MIN : 47</v>
      </c>
    </row>
    <row r="3834" spans="2:17" ht="41.4" x14ac:dyDescent="0.3">
      <c r="B3834">
        <v>1</v>
      </c>
      <c r="C3834" s="33">
        <v>8872</v>
      </c>
      <c r="D3834" s="2">
        <v>1322</v>
      </c>
      <c r="E3834" s="2" t="s">
        <v>11312</v>
      </c>
      <c r="F3834" s="3" t="s">
        <v>14207</v>
      </c>
      <c r="H3834" s="3" t="s">
        <v>108</v>
      </c>
      <c r="K3834" s="2">
        <v>10</v>
      </c>
      <c r="L3834" s="2">
        <v>1</v>
      </c>
      <c r="M3834" s="3" t="s">
        <v>3982</v>
      </c>
      <c r="N3834" s="3" t="s">
        <v>2476</v>
      </c>
      <c r="O3834" s="3" t="s">
        <v>1649</v>
      </c>
      <c r="P3834" s="3" t="s">
        <v>2477</v>
      </c>
      <c r="Q3834" s="30" t="str">
        <f t="shared" si="59"/>
        <v>MAX : 26.4
TARGET : 25.4
MIN : 24.4</v>
      </c>
    </row>
    <row r="3835" spans="2:17" ht="41.4" x14ac:dyDescent="0.3">
      <c r="B3835">
        <v>0</v>
      </c>
      <c r="C3835" s="33">
        <v>9005</v>
      </c>
      <c r="D3835" s="2">
        <v>2038</v>
      </c>
      <c r="E3835" s="2" t="s">
        <v>11896</v>
      </c>
      <c r="F3835" s="3" t="s">
        <v>14206</v>
      </c>
      <c r="H3835" s="3" t="s">
        <v>269</v>
      </c>
      <c r="K3835" s="2">
        <v>10</v>
      </c>
      <c r="L3835" s="2">
        <v>3</v>
      </c>
      <c r="M3835" s="3" t="s">
        <v>4406</v>
      </c>
      <c r="N3835" s="3" t="s">
        <v>13</v>
      </c>
      <c r="O3835" s="3" t="s">
        <v>14</v>
      </c>
      <c r="Q3835" s="30" t="str">
        <f t="shared" si="59"/>
        <v>MAX : 
TARGET : Yes(Pass)
MIN : No(Fail)</v>
      </c>
    </row>
    <row r="3836" spans="2:17" ht="41.4" x14ac:dyDescent="0.3">
      <c r="B3836">
        <v>1</v>
      </c>
      <c r="C3836" s="33">
        <v>8872</v>
      </c>
      <c r="D3836" s="2">
        <v>1322</v>
      </c>
      <c r="E3836" s="2" t="s">
        <v>11312</v>
      </c>
      <c r="F3836" s="3" t="s">
        <v>14207</v>
      </c>
      <c r="H3836" s="3" t="s">
        <v>108</v>
      </c>
      <c r="K3836" s="2">
        <v>20</v>
      </c>
      <c r="L3836" s="2">
        <v>1</v>
      </c>
      <c r="M3836" s="3" t="s">
        <v>194</v>
      </c>
      <c r="N3836" s="3" t="s">
        <v>1921</v>
      </c>
      <c r="O3836" s="3" t="s">
        <v>1359</v>
      </c>
      <c r="P3836" s="3" t="s">
        <v>3204</v>
      </c>
      <c r="Q3836" s="30" t="str">
        <f t="shared" si="59"/>
        <v>MAX : 41
TARGET : 40
MIN : 39</v>
      </c>
    </row>
    <row r="3837" spans="2:17" ht="41.4" x14ac:dyDescent="0.3">
      <c r="B3837">
        <v>1</v>
      </c>
      <c r="C3837" s="33">
        <v>8875</v>
      </c>
      <c r="D3837" s="2">
        <v>1323</v>
      </c>
      <c r="E3837" s="2" t="s">
        <v>11318</v>
      </c>
      <c r="F3837" s="3" t="s">
        <v>14206</v>
      </c>
      <c r="H3837" s="3" t="s">
        <v>3975</v>
      </c>
      <c r="K3837" s="2">
        <v>20</v>
      </c>
      <c r="L3837" s="2">
        <v>1</v>
      </c>
      <c r="M3837" s="3" t="s">
        <v>3977</v>
      </c>
      <c r="N3837" s="3" t="s">
        <v>874</v>
      </c>
      <c r="O3837" s="3" t="s">
        <v>406</v>
      </c>
      <c r="P3837" s="3" t="s">
        <v>1624</v>
      </c>
      <c r="Q3837" s="30" t="str">
        <f t="shared" si="59"/>
        <v>MAX : 2.05
TARGET : 2.00
MIN : 1.95</v>
      </c>
    </row>
    <row r="3838" spans="2:17" ht="41.4" x14ac:dyDescent="0.3">
      <c r="B3838">
        <v>0</v>
      </c>
      <c r="C3838" s="33">
        <v>9002</v>
      </c>
      <c r="D3838" s="2">
        <v>2036</v>
      </c>
      <c r="E3838" s="2" t="s">
        <v>11877</v>
      </c>
      <c r="F3838" s="3" t="s">
        <v>14206</v>
      </c>
      <c r="H3838" s="3" t="s">
        <v>98</v>
      </c>
      <c r="K3838" s="2">
        <v>10</v>
      </c>
      <c r="L3838" s="2">
        <v>3</v>
      </c>
      <c r="M3838" s="3" t="s">
        <v>1102</v>
      </c>
      <c r="N3838" s="3" t="s">
        <v>13</v>
      </c>
      <c r="O3838" s="3" t="s">
        <v>14</v>
      </c>
      <c r="Q3838" s="30" t="str">
        <f t="shared" si="59"/>
        <v>MAX : 
TARGET : Yes(Pass)
MIN : No(Fail)</v>
      </c>
    </row>
    <row r="3839" spans="2:17" ht="41.4" x14ac:dyDescent="0.3">
      <c r="B3839">
        <v>1</v>
      </c>
      <c r="C3839" s="33">
        <v>8875</v>
      </c>
      <c r="D3839" s="2">
        <v>1323</v>
      </c>
      <c r="E3839" s="2" t="s">
        <v>11318</v>
      </c>
      <c r="F3839" s="3" t="s">
        <v>14206</v>
      </c>
      <c r="H3839" s="3" t="s">
        <v>3975</v>
      </c>
      <c r="K3839" s="2">
        <v>10</v>
      </c>
      <c r="L3839" s="2">
        <v>1</v>
      </c>
      <c r="M3839" s="3" t="s">
        <v>3976</v>
      </c>
      <c r="N3839" s="3" t="s">
        <v>874</v>
      </c>
      <c r="O3839" s="3" t="s">
        <v>406</v>
      </c>
      <c r="P3839" s="3" t="s">
        <v>1624</v>
      </c>
      <c r="Q3839" s="30" t="str">
        <f t="shared" si="59"/>
        <v>MAX : 2.05
TARGET : 2.00
MIN : 1.95</v>
      </c>
    </row>
    <row r="3840" spans="2:17" ht="41.4" x14ac:dyDescent="0.3">
      <c r="B3840">
        <v>1</v>
      </c>
      <c r="C3840" s="33">
        <v>8876</v>
      </c>
      <c r="D3840" s="2">
        <v>1999</v>
      </c>
      <c r="E3840" s="2" t="s">
        <v>11324</v>
      </c>
      <c r="F3840" s="3" t="s">
        <v>14206</v>
      </c>
      <c r="H3840" s="3" t="s">
        <v>1903</v>
      </c>
      <c r="K3840" s="2">
        <v>10</v>
      </c>
      <c r="L3840" s="2">
        <v>1</v>
      </c>
      <c r="M3840" s="3" t="s">
        <v>3991</v>
      </c>
      <c r="N3840" s="3" t="s">
        <v>13</v>
      </c>
      <c r="O3840" s="3" t="s">
        <v>14</v>
      </c>
      <c r="Q3840" s="30" t="str">
        <f t="shared" si="59"/>
        <v>MAX : 
TARGET : Yes(Pass)
MIN : No(Fail)</v>
      </c>
    </row>
    <row r="3841" spans="2:17" ht="41.4" x14ac:dyDescent="0.3">
      <c r="B3841">
        <v>0</v>
      </c>
      <c r="C3841" s="33">
        <v>9006</v>
      </c>
      <c r="D3841" s="2">
        <v>2039</v>
      </c>
      <c r="E3841" s="2" t="s">
        <v>11903</v>
      </c>
      <c r="F3841" s="3" t="s">
        <v>14206</v>
      </c>
      <c r="H3841" s="3" t="s">
        <v>269</v>
      </c>
      <c r="K3841" s="2">
        <v>10</v>
      </c>
      <c r="L3841" s="2">
        <v>3</v>
      </c>
      <c r="M3841" s="3" t="s">
        <v>3870</v>
      </c>
      <c r="N3841" s="3" t="s">
        <v>13</v>
      </c>
      <c r="O3841" s="3" t="s">
        <v>14</v>
      </c>
      <c r="Q3841" s="30" t="str">
        <f t="shared" si="59"/>
        <v>MAX : 
TARGET : Yes(Pass)
MIN : No(Fail)</v>
      </c>
    </row>
    <row r="3842" spans="2:17" ht="41.4" x14ac:dyDescent="0.3">
      <c r="B3842">
        <v>0</v>
      </c>
      <c r="C3842" s="33">
        <v>9006</v>
      </c>
      <c r="D3842" s="2">
        <v>2039</v>
      </c>
      <c r="E3842" s="2" t="s">
        <v>11903</v>
      </c>
      <c r="F3842" s="3" t="s">
        <v>14206</v>
      </c>
      <c r="H3842" s="3" t="s">
        <v>269</v>
      </c>
      <c r="K3842" s="2">
        <v>10</v>
      </c>
      <c r="L3842" s="2">
        <v>4</v>
      </c>
      <c r="M3842" s="3" t="s">
        <v>4407</v>
      </c>
      <c r="N3842" s="3" t="s">
        <v>13</v>
      </c>
      <c r="O3842" s="3" t="s">
        <v>14</v>
      </c>
      <c r="Q3842" s="30" t="str">
        <f t="shared" ref="Q3842:Q3905" si="60">"MAX : " &amp; P3842 &amp; CHAR(10) &amp; "TARGET : " &amp; O3842 &amp; CHAR(10) &amp; "MIN : " &amp; N3842</f>
        <v>MAX : 
TARGET : Yes(Pass)
MIN : No(Fail)</v>
      </c>
    </row>
    <row r="3843" spans="2:17" ht="41.4" x14ac:dyDescent="0.3">
      <c r="B3843">
        <v>0</v>
      </c>
      <c r="C3843" s="33">
        <v>9006</v>
      </c>
      <c r="D3843" s="2">
        <v>2039</v>
      </c>
      <c r="E3843" s="2" t="s">
        <v>11903</v>
      </c>
      <c r="F3843" s="3" t="s">
        <v>14206</v>
      </c>
      <c r="H3843" s="3" t="s">
        <v>269</v>
      </c>
      <c r="K3843" s="2">
        <v>10</v>
      </c>
      <c r="L3843" s="2">
        <v>5</v>
      </c>
      <c r="M3843" s="3" t="s">
        <v>4408</v>
      </c>
      <c r="N3843" s="3" t="s">
        <v>13</v>
      </c>
      <c r="O3843" s="3" t="s">
        <v>14</v>
      </c>
      <c r="Q3843" s="30" t="str">
        <f t="shared" si="60"/>
        <v>MAX : 
TARGET : Yes(Pass)
MIN : No(Fail)</v>
      </c>
    </row>
    <row r="3844" spans="2:17" ht="41.4" x14ac:dyDescent="0.3">
      <c r="B3844">
        <v>1</v>
      </c>
      <c r="C3844" s="33">
        <v>8876</v>
      </c>
      <c r="D3844" s="2">
        <v>1999</v>
      </c>
      <c r="E3844" s="2" t="s">
        <v>11324</v>
      </c>
      <c r="F3844" s="3" t="s">
        <v>14206</v>
      </c>
      <c r="H3844" s="3" t="s">
        <v>1903</v>
      </c>
      <c r="K3844" s="2">
        <v>10</v>
      </c>
      <c r="L3844" s="2">
        <v>2</v>
      </c>
      <c r="M3844" s="3" t="s">
        <v>3990</v>
      </c>
      <c r="N3844" s="3" t="s">
        <v>13</v>
      </c>
      <c r="O3844" s="3" t="s">
        <v>14</v>
      </c>
      <c r="Q3844" s="30" t="str">
        <f t="shared" si="60"/>
        <v>MAX : 
TARGET : Yes(Pass)
MIN : No(Fail)</v>
      </c>
    </row>
    <row r="3845" spans="2:17" ht="41.4" x14ac:dyDescent="0.3">
      <c r="B3845">
        <v>1</v>
      </c>
      <c r="C3845" s="33">
        <v>8876</v>
      </c>
      <c r="D3845" s="2">
        <v>1999</v>
      </c>
      <c r="E3845" s="2" t="s">
        <v>11324</v>
      </c>
      <c r="F3845" s="3" t="s">
        <v>14206</v>
      </c>
      <c r="H3845" s="3" t="s">
        <v>1903</v>
      </c>
      <c r="K3845" s="2">
        <v>10</v>
      </c>
      <c r="L3845" s="2">
        <v>4</v>
      </c>
      <c r="M3845" s="3" t="s">
        <v>4414</v>
      </c>
      <c r="N3845" s="3" t="s">
        <v>13</v>
      </c>
      <c r="O3845" s="3" t="s">
        <v>14</v>
      </c>
      <c r="Q3845" s="30" t="str">
        <f t="shared" si="60"/>
        <v>MAX : 
TARGET : Yes(Pass)
MIN : No(Fail)</v>
      </c>
    </row>
    <row r="3846" spans="2:17" ht="41.4" x14ac:dyDescent="0.3">
      <c r="B3846">
        <v>0</v>
      </c>
      <c r="C3846" s="33">
        <v>9007</v>
      </c>
      <c r="D3846" s="2">
        <v>2040</v>
      </c>
      <c r="E3846" s="2" t="s">
        <v>11909</v>
      </c>
      <c r="F3846" s="3" t="s">
        <v>14207</v>
      </c>
      <c r="H3846" s="3" t="s">
        <v>98</v>
      </c>
      <c r="K3846" s="2">
        <v>10</v>
      </c>
      <c r="L3846" s="2">
        <v>3</v>
      </c>
      <c r="M3846" s="3" t="s">
        <v>4412</v>
      </c>
      <c r="N3846" s="3" t="s">
        <v>13</v>
      </c>
      <c r="O3846" s="3" t="s">
        <v>14</v>
      </c>
      <c r="Q3846" s="30" t="str">
        <f t="shared" si="60"/>
        <v>MAX : 
TARGET : Yes(Pass)
MIN : No(Fail)</v>
      </c>
    </row>
    <row r="3847" spans="2:17" ht="41.4" x14ac:dyDescent="0.3">
      <c r="B3847">
        <v>0</v>
      </c>
      <c r="C3847" s="33">
        <v>9007</v>
      </c>
      <c r="D3847" s="2">
        <v>2040</v>
      </c>
      <c r="E3847" s="2" t="s">
        <v>11909</v>
      </c>
      <c r="F3847" s="3" t="s">
        <v>14207</v>
      </c>
      <c r="H3847" s="3" t="s">
        <v>98</v>
      </c>
      <c r="K3847" s="2">
        <v>10</v>
      </c>
      <c r="L3847" s="2">
        <v>4</v>
      </c>
      <c r="M3847" s="3" t="s">
        <v>4413</v>
      </c>
      <c r="N3847" s="3" t="s">
        <v>13</v>
      </c>
      <c r="O3847" s="3" t="s">
        <v>14</v>
      </c>
      <c r="Q3847" s="30" t="str">
        <f t="shared" si="60"/>
        <v>MAX : 
TARGET : Yes(Pass)
MIN : No(Fail)</v>
      </c>
    </row>
    <row r="3848" spans="2:17" ht="41.4" x14ac:dyDescent="0.3">
      <c r="B3848">
        <v>1</v>
      </c>
      <c r="C3848" s="33">
        <v>8878</v>
      </c>
      <c r="D3848" s="2">
        <v>2000</v>
      </c>
      <c r="E3848" s="2" t="s">
        <v>11332</v>
      </c>
      <c r="F3848" s="3" t="s">
        <v>14206</v>
      </c>
      <c r="H3848" s="3" t="s">
        <v>1903</v>
      </c>
      <c r="K3848" s="2">
        <v>10</v>
      </c>
      <c r="L3848" s="2">
        <v>1</v>
      </c>
      <c r="M3848" s="3" t="s">
        <v>3991</v>
      </c>
      <c r="N3848" s="3" t="s">
        <v>13</v>
      </c>
      <c r="O3848" s="3" t="s">
        <v>14</v>
      </c>
      <c r="Q3848" s="30" t="str">
        <f t="shared" si="60"/>
        <v>MAX : 
TARGET : Yes(Pass)
MIN : No(Fail)</v>
      </c>
    </row>
    <row r="3849" spans="2:17" ht="41.4" x14ac:dyDescent="0.3">
      <c r="B3849">
        <v>1</v>
      </c>
      <c r="C3849" s="33">
        <v>8878</v>
      </c>
      <c r="D3849" s="2">
        <v>2000</v>
      </c>
      <c r="E3849" s="2" t="s">
        <v>11332</v>
      </c>
      <c r="F3849" s="3" t="s">
        <v>14206</v>
      </c>
      <c r="H3849" s="3" t="s">
        <v>1903</v>
      </c>
      <c r="K3849" s="2">
        <v>10</v>
      </c>
      <c r="L3849" s="2">
        <v>2</v>
      </c>
      <c r="M3849" s="3" t="s">
        <v>3990</v>
      </c>
      <c r="N3849" s="3" t="s">
        <v>13</v>
      </c>
      <c r="O3849" s="3" t="s">
        <v>14</v>
      </c>
      <c r="Q3849" s="30" t="str">
        <f t="shared" si="60"/>
        <v>MAX : 
TARGET : Yes(Pass)
MIN : No(Fail)</v>
      </c>
    </row>
    <row r="3850" spans="2:17" ht="41.4" x14ac:dyDescent="0.3">
      <c r="B3850">
        <v>0</v>
      </c>
      <c r="C3850" s="33">
        <v>8834</v>
      </c>
      <c r="D3850" s="2">
        <v>1299</v>
      </c>
      <c r="E3850" s="2" t="s">
        <v>11157</v>
      </c>
      <c r="F3850" s="3" t="s">
        <v>14206</v>
      </c>
      <c r="H3850" s="3" t="s">
        <v>3788</v>
      </c>
      <c r="K3850" s="2">
        <v>20</v>
      </c>
      <c r="L3850" s="2">
        <v>6</v>
      </c>
      <c r="M3850" s="3" t="s">
        <v>5405</v>
      </c>
      <c r="N3850" s="3" t="s">
        <v>3084</v>
      </c>
      <c r="O3850" s="3" t="s">
        <v>5406</v>
      </c>
      <c r="P3850" s="3" t="s">
        <v>3739</v>
      </c>
      <c r="Q3850" s="30" t="str">
        <f t="shared" si="60"/>
        <v>MAX : 0.085
TARGET : 0.070
MIN : 0.055</v>
      </c>
    </row>
    <row r="3851" spans="2:17" ht="41.4" x14ac:dyDescent="0.3">
      <c r="B3851">
        <v>1</v>
      </c>
      <c r="C3851" s="33">
        <v>8878</v>
      </c>
      <c r="D3851" s="2">
        <v>2000</v>
      </c>
      <c r="E3851" s="2" t="s">
        <v>11332</v>
      </c>
      <c r="F3851" s="3" t="s">
        <v>14206</v>
      </c>
      <c r="H3851" s="3" t="s">
        <v>1903</v>
      </c>
      <c r="K3851" s="2">
        <v>10</v>
      </c>
      <c r="L3851" s="2">
        <v>4</v>
      </c>
      <c r="M3851" s="3" t="s">
        <v>4414</v>
      </c>
      <c r="N3851" s="3" t="s">
        <v>13</v>
      </c>
      <c r="O3851" s="3" t="s">
        <v>14</v>
      </c>
      <c r="Q3851" s="30" t="str">
        <f t="shared" si="60"/>
        <v>MAX : 
TARGET : Yes(Pass)
MIN : No(Fail)</v>
      </c>
    </row>
    <row r="3852" spans="2:17" ht="41.4" x14ac:dyDescent="0.3">
      <c r="B3852">
        <v>1</v>
      </c>
      <c r="C3852" s="33">
        <v>8879</v>
      </c>
      <c r="D3852" s="2">
        <v>2001</v>
      </c>
      <c r="E3852" s="2" t="s">
        <v>11336</v>
      </c>
      <c r="F3852" s="3" t="s">
        <v>14206</v>
      </c>
      <c r="H3852" s="3" t="s">
        <v>1903</v>
      </c>
      <c r="K3852" s="2">
        <v>10</v>
      </c>
      <c r="L3852" s="2">
        <v>1</v>
      </c>
      <c r="M3852" s="3" t="s">
        <v>3991</v>
      </c>
      <c r="N3852" s="3" t="s">
        <v>13</v>
      </c>
      <c r="O3852" s="3" t="s">
        <v>14</v>
      </c>
      <c r="Q3852" s="30" t="str">
        <f t="shared" si="60"/>
        <v>MAX : 
TARGET : Yes(Pass)
MIN : No(Fail)</v>
      </c>
    </row>
    <row r="3853" spans="2:17" ht="41.4" x14ac:dyDescent="0.3">
      <c r="B3853">
        <v>0</v>
      </c>
      <c r="C3853" s="33">
        <v>8837</v>
      </c>
      <c r="D3853" s="2">
        <v>1301</v>
      </c>
      <c r="E3853" s="2" t="s">
        <v>11169</v>
      </c>
      <c r="F3853" s="3" t="s">
        <v>14206</v>
      </c>
      <c r="H3853" s="3" t="s">
        <v>3876</v>
      </c>
      <c r="K3853" s="2">
        <v>30</v>
      </c>
      <c r="L3853" s="2">
        <v>4</v>
      </c>
      <c r="M3853" s="3" t="s">
        <v>4178</v>
      </c>
      <c r="N3853" s="3" t="s">
        <v>13</v>
      </c>
      <c r="O3853" s="3" t="s">
        <v>14</v>
      </c>
      <c r="Q3853" s="30" t="str">
        <f t="shared" si="60"/>
        <v>MAX : 
TARGET : Yes(Pass)
MIN : No(Fail)</v>
      </c>
    </row>
    <row r="3854" spans="2:17" ht="41.4" x14ac:dyDescent="0.3">
      <c r="B3854">
        <v>0</v>
      </c>
      <c r="C3854" s="33">
        <v>8837</v>
      </c>
      <c r="D3854" s="2">
        <v>1301</v>
      </c>
      <c r="E3854" s="2" t="s">
        <v>11169</v>
      </c>
      <c r="F3854" s="3" t="s">
        <v>14206</v>
      </c>
      <c r="H3854" s="3" t="s">
        <v>3876</v>
      </c>
      <c r="K3854" s="2">
        <v>30</v>
      </c>
      <c r="L3854" s="2">
        <v>1</v>
      </c>
      <c r="M3854" s="3" t="s">
        <v>811</v>
      </c>
      <c r="N3854" s="3" t="s">
        <v>24</v>
      </c>
      <c r="O3854" s="3" t="s">
        <v>25</v>
      </c>
      <c r="Q3854" s="30" t="str">
        <f t="shared" si="60"/>
        <v>MAX : 
TARGET : Yes (Pass)
MIN : No (Fail)</v>
      </c>
    </row>
    <row r="3855" spans="2:17" ht="41.4" x14ac:dyDescent="0.3">
      <c r="B3855">
        <v>0</v>
      </c>
      <c r="C3855" s="33">
        <v>8837</v>
      </c>
      <c r="D3855" s="2">
        <v>1301</v>
      </c>
      <c r="E3855" s="2" t="s">
        <v>11169</v>
      </c>
      <c r="F3855" s="3" t="s">
        <v>14206</v>
      </c>
      <c r="H3855" s="3" t="s">
        <v>3876</v>
      </c>
      <c r="K3855" s="2">
        <v>20</v>
      </c>
      <c r="L3855" s="2">
        <v>1</v>
      </c>
      <c r="M3855" s="3" t="s">
        <v>6008</v>
      </c>
      <c r="N3855" s="3" t="s">
        <v>24</v>
      </c>
      <c r="O3855" s="3" t="s">
        <v>25</v>
      </c>
      <c r="Q3855" s="30" t="str">
        <f t="shared" si="60"/>
        <v>MAX : 
TARGET : Yes (Pass)
MIN : No (Fail)</v>
      </c>
    </row>
    <row r="3856" spans="2:17" ht="41.4" x14ac:dyDescent="0.3">
      <c r="B3856">
        <v>1</v>
      </c>
      <c r="C3856" s="33">
        <v>8879</v>
      </c>
      <c r="D3856" s="2">
        <v>2001</v>
      </c>
      <c r="E3856" s="2" t="s">
        <v>11336</v>
      </c>
      <c r="F3856" s="3" t="s">
        <v>14206</v>
      </c>
      <c r="H3856" s="3" t="s">
        <v>1903</v>
      </c>
      <c r="K3856" s="2">
        <v>10</v>
      </c>
      <c r="L3856" s="2">
        <v>2</v>
      </c>
      <c r="M3856" s="3" t="s">
        <v>3990</v>
      </c>
      <c r="N3856" s="3" t="s">
        <v>13</v>
      </c>
      <c r="O3856" s="3" t="s">
        <v>14</v>
      </c>
      <c r="Q3856" s="30" t="str">
        <f t="shared" si="60"/>
        <v>MAX : 
TARGET : Yes(Pass)
MIN : No(Fail)</v>
      </c>
    </row>
    <row r="3857" spans="2:18" ht="41.4" x14ac:dyDescent="0.3">
      <c r="B3857">
        <v>1</v>
      </c>
      <c r="C3857" s="33">
        <v>8879</v>
      </c>
      <c r="D3857" s="2">
        <v>2001</v>
      </c>
      <c r="E3857" s="2" t="s">
        <v>11336</v>
      </c>
      <c r="F3857" s="3" t="s">
        <v>14206</v>
      </c>
      <c r="H3857" s="3" t="s">
        <v>1903</v>
      </c>
      <c r="K3857" s="2">
        <v>10</v>
      </c>
      <c r="L3857" s="2">
        <v>4</v>
      </c>
      <c r="M3857" s="3" t="s">
        <v>4414</v>
      </c>
      <c r="N3857" s="3" t="s">
        <v>13</v>
      </c>
      <c r="O3857" s="3" t="s">
        <v>14</v>
      </c>
      <c r="Q3857" s="30" t="str">
        <f t="shared" si="60"/>
        <v>MAX : 
TARGET : Yes(Pass)
MIN : No(Fail)</v>
      </c>
    </row>
    <row r="3858" spans="2:18" ht="41.4" x14ac:dyDescent="0.3">
      <c r="B3858">
        <v>1</v>
      </c>
      <c r="C3858" s="33">
        <v>8884</v>
      </c>
      <c r="D3858" s="2">
        <v>1324</v>
      </c>
      <c r="E3858" s="2" t="s">
        <v>11341</v>
      </c>
      <c r="F3858" s="3" t="s">
        <v>14207</v>
      </c>
      <c r="H3858" s="3" t="s">
        <v>713</v>
      </c>
      <c r="K3858" s="2">
        <v>20</v>
      </c>
      <c r="L3858" s="2">
        <v>1</v>
      </c>
      <c r="M3858" s="3" t="s">
        <v>198</v>
      </c>
      <c r="N3858" s="3" t="s">
        <v>2262</v>
      </c>
      <c r="O3858" s="3" t="s">
        <v>3365</v>
      </c>
      <c r="P3858" s="3" t="s">
        <v>306</v>
      </c>
      <c r="Q3858" s="30" t="str">
        <f t="shared" si="60"/>
        <v>MAX : 50
TARGET : 49
MIN : 48</v>
      </c>
    </row>
    <row r="3859" spans="2:18" ht="41.4" x14ac:dyDescent="0.3">
      <c r="B3859">
        <v>0</v>
      </c>
      <c r="C3859" s="33">
        <v>8841</v>
      </c>
      <c r="D3859" s="2">
        <v>1303</v>
      </c>
      <c r="E3859" s="2" t="s">
        <v>11189</v>
      </c>
      <c r="F3859" s="3" t="s">
        <v>14207</v>
      </c>
      <c r="H3859" s="3" t="s">
        <v>3890</v>
      </c>
      <c r="K3859" s="2">
        <v>10</v>
      </c>
      <c r="L3859" s="2">
        <v>2</v>
      </c>
      <c r="M3859" s="3" t="s">
        <v>5050</v>
      </c>
      <c r="N3859" s="3" t="s">
        <v>771</v>
      </c>
      <c r="O3859" s="3" t="s">
        <v>901</v>
      </c>
      <c r="P3859" s="3" t="s">
        <v>5051</v>
      </c>
      <c r="Q3859" s="30" t="str">
        <f t="shared" si="60"/>
        <v>MAX : 1.96
TARGET : 1.56
MIN : 1.16</v>
      </c>
      <c r="R3859" s="3" t="s">
        <v>3894</v>
      </c>
    </row>
    <row r="3860" spans="2:18" ht="41.4" x14ac:dyDescent="0.3">
      <c r="B3860">
        <v>1</v>
      </c>
      <c r="C3860" s="33">
        <v>8884</v>
      </c>
      <c r="D3860" s="2">
        <v>1324</v>
      </c>
      <c r="E3860" s="2" t="s">
        <v>11341</v>
      </c>
      <c r="F3860" s="3" t="s">
        <v>14207</v>
      </c>
      <c r="H3860" s="3" t="s">
        <v>713</v>
      </c>
      <c r="K3860" s="2">
        <v>10</v>
      </c>
      <c r="L3860" s="2">
        <v>1</v>
      </c>
      <c r="M3860" s="3" t="s">
        <v>3985</v>
      </c>
      <c r="N3860" s="3" t="s">
        <v>13</v>
      </c>
      <c r="O3860" s="3" t="s">
        <v>14</v>
      </c>
      <c r="Q3860" s="30" t="str">
        <f t="shared" si="60"/>
        <v>MAX : 
TARGET : Yes(Pass)
MIN : No(Fail)</v>
      </c>
    </row>
    <row r="3861" spans="2:18" ht="41.4" x14ac:dyDescent="0.3">
      <c r="B3861">
        <v>1</v>
      </c>
      <c r="C3861" s="33">
        <v>8887</v>
      </c>
      <c r="D3861" s="2">
        <v>2002</v>
      </c>
      <c r="E3861" s="2" t="s">
        <v>11348</v>
      </c>
      <c r="F3861" s="3" t="s">
        <v>14206</v>
      </c>
      <c r="H3861" s="3" t="s">
        <v>1903</v>
      </c>
      <c r="K3861" s="2">
        <v>20</v>
      </c>
      <c r="L3861" s="2">
        <v>1</v>
      </c>
      <c r="M3861" s="3" t="s">
        <v>99</v>
      </c>
      <c r="N3861" s="3" t="s">
        <v>900</v>
      </c>
      <c r="O3861" s="3" t="s">
        <v>28</v>
      </c>
      <c r="P3861" s="3" t="s">
        <v>901</v>
      </c>
      <c r="Q3861" s="30" t="str">
        <f t="shared" si="60"/>
        <v>MAX : 1.56
TARGET : 1.50
MIN : 1.44</v>
      </c>
    </row>
    <row r="3862" spans="2:18" ht="41.4" x14ac:dyDescent="0.3">
      <c r="B3862">
        <v>1</v>
      </c>
      <c r="C3862" s="33">
        <v>8887</v>
      </c>
      <c r="D3862" s="2">
        <v>2002</v>
      </c>
      <c r="E3862" s="2" t="s">
        <v>11348</v>
      </c>
      <c r="F3862" s="3" t="s">
        <v>14206</v>
      </c>
      <c r="H3862" s="3" t="s">
        <v>1903</v>
      </c>
      <c r="K3862" s="2">
        <v>10</v>
      </c>
      <c r="L3862" s="2">
        <v>1</v>
      </c>
      <c r="M3862" s="3" t="s">
        <v>456</v>
      </c>
      <c r="N3862" s="3" t="s">
        <v>1830</v>
      </c>
      <c r="O3862" s="3" t="s">
        <v>3988</v>
      </c>
      <c r="P3862" s="3" t="s">
        <v>3989</v>
      </c>
      <c r="Q3862" s="30" t="str">
        <f t="shared" si="60"/>
        <v>MAX : 16.75
TARGET : 16.50
MIN : 16.25</v>
      </c>
    </row>
    <row r="3863" spans="2:18" ht="41.4" x14ac:dyDescent="0.3">
      <c r="B3863">
        <v>0</v>
      </c>
      <c r="C3863" s="33">
        <v>8844</v>
      </c>
      <c r="D3863" s="2">
        <v>1306</v>
      </c>
      <c r="E3863" s="2" t="s">
        <v>11065</v>
      </c>
      <c r="F3863" s="3" t="s">
        <v>14238</v>
      </c>
      <c r="H3863" s="3" t="s">
        <v>648</v>
      </c>
      <c r="K3863" s="2">
        <v>20</v>
      </c>
      <c r="L3863" s="2">
        <v>1</v>
      </c>
      <c r="M3863" s="3" t="s">
        <v>3791</v>
      </c>
      <c r="N3863" s="3" t="s">
        <v>3792</v>
      </c>
      <c r="O3863" s="3" t="s">
        <v>2353</v>
      </c>
      <c r="P3863" s="3" t="s">
        <v>3793</v>
      </c>
      <c r="Q3863" s="30" t="str">
        <f t="shared" si="60"/>
        <v>MAX : 2.3
TARGET : 2.0
MIN : 1.7</v>
      </c>
      <c r="R3863" s="3" t="s">
        <v>443</v>
      </c>
    </row>
    <row r="3864" spans="2:18" ht="41.4" x14ac:dyDescent="0.3">
      <c r="B3864">
        <v>1</v>
      </c>
      <c r="C3864" s="33">
        <v>8888</v>
      </c>
      <c r="D3864" s="2">
        <v>1325</v>
      </c>
      <c r="E3864" s="2" t="s">
        <v>11354</v>
      </c>
      <c r="F3864" s="3" t="s">
        <v>14206</v>
      </c>
      <c r="H3864" s="3" t="s">
        <v>504</v>
      </c>
      <c r="K3864" s="2">
        <v>20</v>
      </c>
      <c r="L3864" s="2">
        <v>2</v>
      </c>
      <c r="M3864" s="3" t="s">
        <v>198</v>
      </c>
      <c r="N3864" s="3" t="s">
        <v>344</v>
      </c>
      <c r="O3864" s="3" t="s">
        <v>419</v>
      </c>
      <c r="P3864" s="3" t="s">
        <v>1770</v>
      </c>
      <c r="Q3864" s="30" t="str">
        <f t="shared" si="60"/>
        <v>MAX : 1.31
TARGET : 1.28
MIN : 1.25</v>
      </c>
    </row>
    <row r="3865" spans="2:18" ht="41.4" x14ac:dyDescent="0.3">
      <c r="B3865">
        <v>0</v>
      </c>
      <c r="C3865" s="33">
        <v>8845</v>
      </c>
      <c r="D3865" s="2">
        <v>1307</v>
      </c>
      <c r="E3865" s="2" t="s">
        <v>11073</v>
      </c>
      <c r="F3865" s="3" t="s">
        <v>14238</v>
      </c>
      <c r="H3865" s="3" t="s">
        <v>648</v>
      </c>
      <c r="K3865" s="2">
        <v>20</v>
      </c>
      <c r="L3865" s="2">
        <v>1</v>
      </c>
      <c r="M3865" s="3" t="s">
        <v>3791</v>
      </c>
      <c r="N3865" s="3" t="s">
        <v>3792</v>
      </c>
      <c r="O3865" s="3" t="s">
        <v>2353</v>
      </c>
      <c r="P3865" s="3" t="s">
        <v>3793</v>
      </c>
      <c r="Q3865" s="30" t="str">
        <f t="shared" si="60"/>
        <v>MAX : 2.3
TARGET : 2.0
MIN : 1.7</v>
      </c>
    </row>
    <row r="3866" spans="2:18" ht="41.4" x14ac:dyDescent="0.3">
      <c r="B3866">
        <v>1</v>
      </c>
      <c r="C3866" s="33">
        <v>8888</v>
      </c>
      <c r="D3866" s="2">
        <v>1325</v>
      </c>
      <c r="E3866" s="2" t="s">
        <v>11354</v>
      </c>
      <c r="F3866" s="3" t="s">
        <v>14206</v>
      </c>
      <c r="H3866" s="3" t="s">
        <v>504</v>
      </c>
      <c r="K3866" s="2">
        <v>20</v>
      </c>
      <c r="L3866" s="2">
        <v>1</v>
      </c>
      <c r="M3866" s="3" t="s">
        <v>194</v>
      </c>
      <c r="N3866" s="3" t="s">
        <v>3600</v>
      </c>
      <c r="O3866" s="3" t="s">
        <v>386</v>
      </c>
      <c r="P3866" s="3" t="s">
        <v>427</v>
      </c>
      <c r="Q3866" s="30" t="str">
        <f t="shared" si="60"/>
        <v>MAX : 1.65
TARGET : 1.62
MIN : 1.59</v>
      </c>
    </row>
    <row r="3867" spans="2:18" ht="41.4" x14ac:dyDescent="0.3">
      <c r="B3867">
        <v>1</v>
      </c>
      <c r="C3867" s="33">
        <v>8891</v>
      </c>
      <c r="D3867" s="2">
        <v>1326</v>
      </c>
      <c r="E3867" s="2" t="s">
        <v>11360</v>
      </c>
      <c r="F3867" s="3" t="s">
        <v>14206</v>
      </c>
      <c r="H3867" s="3" t="s">
        <v>747</v>
      </c>
      <c r="K3867" s="2">
        <v>10</v>
      </c>
      <c r="L3867" s="2">
        <v>2</v>
      </c>
      <c r="M3867" s="3" t="s">
        <v>3994</v>
      </c>
      <c r="N3867" s="3" t="s">
        <v>13</v>
      </c>
      <c r="O3867" s="3" t="s">
        <v>14</v>
      </c>
      <c r="Q3867" s="30" t="str">
        <f t="shared" si="60"/>
        <v>MAX : 
TARGET : Yes(Pass)
MIN : No(Fail)</v>
      </c>
    </row>
    <row r="3868" spans="2:18" ht="41.4" x14ac:dyDescent="0.3">
      <c r="B3868">
        <v>0</v>
      </c>
      <c r="C3868" s="33">
        <v>8847</v>
      </c>
      <c r="D3868" s="2">
        <v>1309</v>
      </c>
      <c r="E3868" s="2" t="s">
        <v>11212</v>
      </c>
      <c r="F3868" s="3" t="s">
        <v>14206</v>
      </c>
      <c r="H3868" s="3" t="s">
        <v>600</v>
      </c>
      <c r="K3868" s="2">
        <v>10</v>
      </c>
      <c r="L3868" s="2">
        <v>2</v>
      </c>
      <c r="M3868" s="3" t="s">
        <v>3314</v>
      </c>
      <c r="N3868" s="3" t="s">
        <v>3907</v>
      </c>
      <c r="O3868" s="3" t="s">
        <v>3040</v>
      </c>
      <c r="P3868" s="3" t="s">
        <v>3908</v>
      </c>
      <c r="Q3868" s="30" t="str">
        <f t="shared" si="60"/>
        <v>MAX : 4.82
TARGET : 4.79
MIN : 4.76</v>
      </c>
    </row>
    <row r="3869" spans="2:18" ht="41.4" x14ac:dyDescent="0.3">
      <c r="B3869">
        <v>1</v>
      </c>
      <c r="C3869" s="33">
        <v>8891</v>
      </c>
      <c r="D3869" s="2">
        <v>1326</v>
      </c>
      <c r="E3869" s="2" t="s">
        <v>11360</v>
      </c>
      <c r="F3869" s="3" t="s">
        <v>14206</v>
      </c>
      <c r="H3869" s="3" t="s">
        <v>747</v>
      </c>
      <c r="K3869" s="2">
        <v>10</v>
      </c>
      <c r="L3869" s="2">
        <v>1</v>
      </c>
      <c r="M3869" s="3" t="s">
        <v>3993</v>
      </c>
      <c r="N3869" s="3" t="s">
        <v>13</v>
      </c>
      <c r="O3869" s="3" t="s">
        <v>14</v>
      </c>
      <c r="Q3869" s="30" t="str">
        <f t="shared" si="60"/>
        <v>MAX : 
TARGET : Yes(Pass)
MIN : No(Fail)</v>
      </c>
    </row>
    <row r="3870" spans="2:18" ht="41.4" x14ac:dyDescent="0.3">
      <c r="B3870">
        <v>1</v>
      </c>
      <c r="C3870" s="33">
        <v>8892</v>
      </c>
      <c r="D3870" s="2">
        <v>1327</v>
      </c>
      <c r="E3870" s="2" t="s">
        <v>11360</v>
      </c>
      <c r="F3870" s="3" t="s">
        <v>14206</v>
      </c>
      <c r="H3870" s="3" t="s">
        <v>747</v>
      </c>
      <c r="K3870" s="2">
        <v>10</v>
      </c>
      <c r="L3870" s="2">
        <v>2</v>
      </c>
      <c r="M3870" s="3" t="s">
        <v>3994</v>
      </c>
      <c r="N3870" s="3" t="s">
        <v>13</v>
      </c>
      <c r="O3870" s="3" t="s">
        <v>14</v>
      </c>
      <c r="Q3870" s="30" t="str">
        <f t="shared" si="60"/>
        <v>MAX : 
TARGET : Yes(Pass)
MIN : No(Fail)</v>
      </c>
    </row>
    <row r="3871" spans="2:18" ht="41.4" x14ac:dyDescent="0.3">
      <c r="B3871">
        <v>0</v>
      </c>
      <c r="C3871" s="33">
        <v>9013</v>
      </c>
      <c r="D3871" s="2">
        <v>1381</v>
      </c>
      <c r="E3871" s="2" t="s">
        <v>11946</v>
      </c>
      <c r="F3871" s="3" t="s">
        <v>14206</v>
      </c>
      <c r="H3871" s="3" t="s">
        <v>1332</v>
      </c>
      <c r="K3871" s="2">
        <v>10</v>
      </c>
      <c r="L3871" s="2">
        <v>4</v>
      </c>
      <c r="M3871" s="3" t="s">
        <v>1175</v>
      </c>
      <c r="N3871" s="3" t="s">
        <v>150</v>
      </c>
      <c r="O3871" s="3" t="s">
        <v>1176</v>
      </c>
      <c r="P3871" s="3" t="s">
        <v>195</v>
      </c>
      <c r="Q3871" s="30" t="str">
        <f t="shared" si="60"/>
        <v>MAX : 12.75
TARGET : 12.50
MIN : 12.25</v>
      </c>
    </row>
    <row r="3872" spans="2:18" ht="41.4" x14ac:dyDescent="0.3">
      <c r="B3872">
        <v>0</v>
      </c>
      <c r="C3872" s="33">
        <v>9013</v>
      </c>
      <c r="D3872" s="2">
        <v>1381</v>
      </c>
      <c r="E3872" s="2" t="s">
        <v>11946</v>
      </c>
      <c r="F3872" s="3" t="s">
        <v>14206</v>
      </c>
      <c r="H3872" s="3" t="s">
        <v>1332</v>
      </c>
      <c r="K3872" s="2">
        <v>20</v>
      </c>
      <c r="L3872" s="2">
        <v>1</v>
      </c>
      <c r="M3872" s="3" t="s">
        <v>1177</v>
      </c>
      <c r="N3872" s="3" t="s">
        <v>13</v>
      </c>
      <c r="O3872" s="3" t="s">
        <v>14</v>
      </c>
      <c r="Q3872" s="30" t="str">
        <f t="shared" si="60"/>
        <v>MAX : 
TARGET : Yes(Pass)
MIN : No(Fail)</v>
      </c>
    </row>
    <row r="3873" spans="2:18" ht="41.4" x14ac:dyDescent="0.3">
      <c r="B3873">
        <v>0</v>
      </c>
      <c r="C3873" s="33">
        <v>9013</v>
      </c>
      <c r="D3873" s="2">
        <v>1381</v>
      </c>
      <c r="E3873" s="2" t="s">
        <v>11946</v>
      </c>
      <c r="F3873" s="3" t="s">
        <v>14206</v>
      </c>
      <c r="H3873" s="3" t="s">
        <v>1332</v>
      </c>
      <c r="K3873" s="2">
        <v>20</v>
      </c>
      <c r="L3873" s="2">
        <v>4</v>
      </c>
      <c r="M3873" s="3" t="s">
        <v>1178</v>
      </c>
      <c r="N3873" s="3" t="s">
        <v>13</v>
      </c>
      <c r="O3873" s="3" t="s">
        <v>14</v>
      </c>
      <c r="Q3873" s="30" t="str">
        <f t="shared" si="60"/>
        <v>MAX : 
TARGET : Yes(Pass)
MIN : No(Fail)</v>
      </c>
    </row>
    <row r="3874" spans="2:18" ht="41.4" x14ac:dyDescent="0.3">
      <c r="B3874">
        <v>0</v>
      </c>
      <c r="C3874" s="33">
        <v>9013</v>
      </c>
      <c r="D3874" s="2">
        <v>1381</v>
      </c>
      <c r="E3874" s="2" t="s">
        <v>11946</v>
      </c>
      <c r="F3874" s="3" t="s">
        <v>14206</v>
      </c>
      <c r="H3874" s="3" t="s">
        <v>1332</v>
      </c>
      <c r="K3874" s="2">
        <v>20</v>
      </c>
      <c r="L3874" s="2">
        <v>2</v>
      </c>
      <c r="M3874" s="3" t="s">
        <v>1179</v>
      </c>
      <c r="N3874" s="3" t="s">
        <v>13</v>
      </c>
      <c r="O3874" s="3" t="s">
        <v>14</v>
      </c>
      <c r="Q3874" s="30" t="str">
        <f t="shared" si="60"/>
        <v>MAX : 
TARGET : Yes(Pass)
MIN : No(Fail)</v>
      </c>
    </row>
    <row r="3875" spans="2:18" ht="41.4" x14ac:dyDescent="0.3">
      <c r="B3875">
        <v>0</v>
      </c>
      <c r="C3875" s="33">
        <v>9013</v>
      </c>
      <c r="D3875" s="2">
        <v>1381</v>
      </c>
      <c r="E3875" s="2" t="s">
        <v>11946</v>
      </c>
      <c r="F3875" s="3" t="s">
        <v>14206</v>
      </c>
      <c r="H3875" s="3" t="s">
        <v>1332</v>
      </c>
      <c r="K3875" s="2">
        <v>20</v>
      </c>
      <c r="L3875" s="2">
        <v>3</v>
      </c>
      <c r="M3875" s="3" t="s">
        <v>1180</v>
      </c>
      <c r="N3875" s="3" t="s">
        <v>13</v>
      </c>
      <c r="O3875" s="3" t="s">
        <v>14</v>
      </c>
      <c r="Q3875" s="30" t="str">
        <f t="shared" si="60"/>
        <v>MAX : 
TARGET : Yes(Pass)
MIN : No(Fail)</v>
      </c>
    </row>
    <row r="3876" spans="2:18" ht="41.4" x14ac:dyDescent="0.3">
      <c r="B3876">
        <v>0</v>
      </c>
      <c r="C3876" s="33">
        <v>9013</v>
      </c>
      <c r="D3876" s="2">
        <v>1381</v>
      </c>
      <c r="E3876" s="2" t="s">
        <v>11946</v>
      </c>
      <c r="F3876" s="3" t="s">
        <v>14206</v>
      </c>
      <c r="H3876" s="3" t="s">
        <v>1332</v>
      </c>
      <c r="K3876" s="2">
        <v>20</v>
      </c>
      <c r="L3876" s="2">
        <v>5</v>
      </c>
      <c r="M3876" s="3" t="s">
        <v>1181</v>
      </c>
      <c r="N3876" s="3" t="s">
        <v>13</v>
      </c>
      <c r="O3876" s="3" t="s">
        <v>14</v>
      </c>
      <c r="Q3876" s="30" t="str">
        <f t="shared" si="60"/>
        <v>MAX : 
TARGET : Yes(Pass)
MIN : No(Fail)</v>
      </c>
    </row>
    <row r="3877" spans="2:18" ht="41.4" x14ac:dyDescent="0.3">
      <c r="B3877">
        <v>0</v>
      </c>
      <c r="C3877" s="33">
        <v>9013</v>
      </c>
      <c r="D3877" s="2">
        <v>1381</v>
      </c>
      <c r="E3877" s="2" t="s">
        <v>11946</v>
      </c>
      <c r="F3877" s="3" t="s">
        <v>14206</v>
      </c>
      <c r="H3877" s="3" t="s">
        <v>1332</v>
      </c>
      <c r="K3877" s="2">
        <v>10</v>
      </c>
      <c r="L3877" s="2">
        <v>1</v>
      </c>
      <c r="M3877" s="3" t="s">
        <v>1182</v>
      </c>
      <c r="N3877" s="3" t="s">
        <v>13</v>
      </c>
      <c r="O3877" s="3" t="s">
        <v>14</v>
      </c>
      <c r="Q3877" s="30" t="str">
        <f t="shared" si="60"/>
        <v>MAX : 
TARGET : Yes(Pass)
MIN : No(Fail)</v>
      </c>
    </row>
    <row r="3878" spans="2:18" ht="41.4" x14ac:dyDescent="0.3">
      <c r="B3878">
        <v>1</v>
      </c>
      <c r="C3878" s="33">
        <v>8892</v>
      </c>
      <c r="D3878" s="2">
        <v>1327</v>
      </c>
      <c r="E3878" s="2" t="s">
        <v>11360</v>
      </c>
      <c r="F3878" s="3" t="s">
        <v>14206</v>
      </c>
      <c r="H3878" s="3" t="s">
        <v>747</v>
      </c>
      <c r="K3878" s="2">
        <v>10</v>
      </c>
      <c r="L3878" s="2">
        <v>1</v>
      </c>
      <c r="M3878" s="3" t="s">
        <v>3993</v>
      </c>
      <c r="N3878" s="3" t="s">
        <v>13</v>
      </c>
      <c r="O3878" s="3" t="s">
        <v>14</v>
      </c>
      <c r="Q3878" s="30" t="str">
        <f t="shared" si="60"/>
        <v>MAX : 
TARGET : Yes(Pass)
MIN : No(Fail)</v>
      </c>
    </row>
    <row r="3879" spans="2:18" ht="41.4" x14ac:dyDescent="0.3">
      <c r="B3879">
        <v>1</v>
      </c>
      <c r="C3879" s="33">
        <v>8893</v>
      </c>
      <c r="D3879" s="2">
        <v>1328</v>
      </c>
      <c r="E3879" s="2" t="s">
        <v>11371</v>
      </c>
      <c r="F3879" s="3" t="s">
        <v>14206</v>
      </c>
      <c r="H3879" s="3" t="s">
        <v>504</v>
      </c>
      <c r="K3879" s="2">
        <v>10</v>
      </c>
      <c r="L3879" s="2">
        <v>1</v>
      </c>
      <c r="M3879" s="3" t="s">
        <v>194</v>
      </c>
      <c r="N3879" s="3" t="s">
        <v>4003</v>
      </c>
      <c r="O3879" s="3" t="s">
        <v>86</v>
      </c>
      <c r="P3879" s="3" t="s">
        <v>1659</v>
      </c>
      <c r="Q3879" s="30" t="str">
        <f t="shared" si="60"/>
        <v>MAX : 0.510
TARGET : 0.500
MIN : 0.490</v>
      </c>
      <c r="R3879" s="3" t="s">
        <v>1638</v>
      </c>
    </row>
    <row r="3880" spans="2:18" ht="41.4" x14ac:dyDescent="0.3">
      <c r="B3880">
        <v>1</v>
      </c>
      <c r="C3880" s="33">
        <v>8893</v>
      </c>
      <c r="D3880" s="2">
        <v>1328</v>
      </c>
      <c r="E3880" s="2" t="s">
        <v>11371</v>
      </c>
      <c r="F3880" s="3" t="s">
        <v>14206</v>
      </c>
      <c r="H3880" s="3" t="s">
        <v>504</v>
      </c>
      <c r="K3880" s="2">
        <v>10</v>
      </c>
      <c r="L3880" s="2">
        <v>3</v>
      </c>
      <c r="M3880" s="3" t="s">
        <v>4002</v>
      </c>
      <c r="N3880" s="3" t="s">
        <v>1494</v>
      </c>
      <c r="O3880" s="3" t="s">
        <v>3610</v>
      </c>
      <c r="P3880" s="3" t="s">
        <v>777</v>
      </c>
      <c r="Q3880" s="30" t="str">
        <f t="shared" si="60"/>
        <v>MAX : 0.08
TARGET : 0.05
MIN : 0.02</v>
      </c>
      <c r="R3880" s="3" t="s">
        <v>1638</v>
      </c>
    </row>
    <row r="3881" spans="2:18" ht="41.4" x14ac:dyDescent="0.3">
      <c r="B3881">
        <v>1</v>
      </c>
      <c r="C3881" s="33">
        <v>8893</v>
      </c>
      <c r="D3881" s="2">
        <v>1328</v>
      </c>
      <c r="E3881" s="2" t="s">
        <v>11371</v>
      </c>
      <c r="F3881" s="3" t="s">
        <v>14206</v>
      </c>
      <c r="H3881" s="3" t="s">
        <v>504</v>
      </c>
      <c r="K3881" s="2">
        <v>10</v>
      </c>
      <c r="L3881" s="2">
        <v>4</v>
      </c>
      <c r="M3881" s="3" t="s">
        <v>78</v>
      </c>
      <c r="N3881" s="3" t="s">
        <v>13</v>
      </c>
      <c r="O3881" s="3" t="s">
        <v>14</v>
      </c>
      <c r="Q3881" s="30" t="str">
        <f t="shared" si="60"/>
        <v>MAX : 
TARGET : Yes(Pass)
MIN : No(Fail)</v>
      </c>
      <c r="R3881" s="3" t="s">
        <v>1638</v>
      </c>
    </row>
    <row r="3882" spans="2:18" ht="41.4" x14ac:dyDescent="0.3">
      <c r="B3882">
        <v>0</v>
      </c>
      <c r="C3882" s="33">
        <v>9015</v>
      </c>
      <c r="D3882" s="2">
        <v>2043</v>
      </c>
      <c r="E3882" s="2" t="s">
        <v>11960</v>
      </c>
      <c r="F3882" s="3" t="s">
        <v>14206</v>
      </c>
      <c r="H3882" s="3" t="s">
        <v>289</v>
      </c>
      <c r="K3882" s="2">
        <v>10</v>
      </c>
      <c r="L3882" s="2">
        <v>3</v>
      </c>
      <c r="M3882" s="3" t="s">
        <v>611</v>
      </c>
      <c r="N3882" s="3" t="s">
        <v>13</v>
      </c>
      <c r="O3882" s="3" t="s">
        <v>14</v>
      </c>
      <c r="Q3882" s="30" t="str">
        <f t="shared" si="60"/>
        <v>MAX : 
TARGET : Yes(Pass)
MIN : No(Fail)</v>
      </c>
    </row>
    <row r="3883" spans="2:18" ht="41.4" x14ac:dyDescent="0.3">
      <c r="B3883">
        <v>1</v>
      </c>
      <c r="C3883" s="33">
        <v>8897</v>
      </c>
      <c r="D3883" s="2">
        <v>1329</v>
      </c>
      <c r="E3883" s="2" t="s">
        <v>11378</v>
      </c>
      <c r="F3883" s="3" t="s">
        <v>14206</v>
      </c>
      <c r="H3883" s="3" t="s">
        <v>713</v>
      </c>
      <c r="K3883" s="2">
        <v>10</v>
      </c>
      <c r="L3883" s="2">
        <v>2</v>
      </c>
      <c r="M3883" s="3" t="s">
        <v>4005</v>
      </c>
      <c r="N3883" s="3" t="s">
        <v>1173</v>
      </c>
      <c r="O3883" s="3" t="s">
        <v>250</v>
      </c>
      <c r="P3883" s="3" t="s">
        <v>1174</v>
      </c>
      <c r="Q3883" s="30" t="str">
        <f t="shared" si="60"/>
        <v>MAX : 6.06
TARGET : 6.00
MIN : 5.94</v>
      </c>
    </row>
    <row r="3884" spans="2:18" ht="41.4" x14ac:dyDescent="0.3">
      <c r="B3884">
        <v>1</v>
      </c>
      <c r="C3884" s="33">
        <v>8897</v>
      </c>
      <c r="D3884" s="2">
        <v>1329</v>
      </c>
      <c r="E3884" s="2" t="s">
        <v>11378</v>
      </c>
      <c r="F3884" s="3" t="s">
        <v>14206</v>
      </c>
      <c r="H3884" s="3" t="s">
        <v>713</v>
      </c>
      <c r="K3884" s="2">
        <v>10</v>
      </c>
      <c r="L3884" s="2">
        <v>1</v>
      </c>
      <c r="M3884" s="3" t="s">
        <v>4004</v>
      </c>
      <c r="N3884" s="3" t="s">
        <v>1173</v>
      </c>
      <c r="O3884" s="3" t="s">
        <v>250</v>
      </c>
      <c r="P3884" s="3" t="s">
        <v>1174</v>
      </c>
      <c r="Q3884" s="30" t="str">
        <f t="shared" si="60"/>
        <v>MAX : 6.06
TARGET : 6.00
MIN : 5.94</v>
      </c>
    </row>
    <row r="3885" spans="2:18" ht="41.4" x14ac:dyDescent="0.3">
      <c r="B3885">
        <v>0</v>
      </c>
      <c r="C3885" s="33">
        <v>9019</v>
      </c>
      <c r="D3885" s="2">
        <v>2045</v>
      </c>
      <c r="E3885" s="2" t="s">
        <v>11987</v>
      </c>
      <c r="F3885" s="3" t="s">
        <v>14206</v>
      </c>
      <c r="H3885" s="3" t="s">
        <v>4415</v>
      </c>
      <c r="K3885" s="2">
        <v>20</v>
      </c>
      <c r="L3885" s="2">
        <v>3</v>
      </c>
      <c r="M3885" s="3" t="s">
        <v>1897</v>
      </c>
      <c r="N3885" s="3" t="s">
        <v>13</v>
      </c>
      <c r="O3885" s="3" t="s">
        <v>14</v>
      </c>
      <c r="Q3885" s="30" t="str">
        <f t="shared" si="60"/>
        <v>MAX : 
TARGET : Yes(Pass)
MIN : No(Fail)</v>
      </c>
    </row>
    <row r="3886" spans="2:18" ht="41.4" x14ac:dyDescent="0.3">
      <c r="B3886">
        <v>0</v>
      </c>
      <c r="C3886" s="33">
        <v>9019</v>
      </c>
      <c r="D3886" s="2">
        <v>2045</v>
      </c>
      <c r="E3886" s="2" t="s">
        <v>11987</v>
      </c>
      <c r="F3886" s="3" t="s">
        <v>14206</v>
      </c>
      <c r="H3886" s="3" t="s">
        <v>4415</v>
      </c>
      <c r="K3886" s="2">
        <v>20</v>
      </c>
      <c r="L3886" s="2">
        <v>4</v>
      </c>
      <c r="M3886" s="3" t="s">
        <v>1898</v>
      </c>
      <c r="N3886" s="3" t="s">
        <v>13</v>
      </c>
      <c r="O3886" s="3" t="s">
        <v>14</v>
      </c>
      <c r="Q3886" s="30" t="str">
        <f t="shared" si="60"/>
        <v>MAX : 
TARGET : Yes(Pass)
MIN : No(Fail)</v>
      </c>
    </row>
    <row r="3887" spans="2:18" ht="41.4" x14ac:dyDescent="0.3">
      <c r="B3887">
        <v>0</v>
      </c>
      <c r="C3887" s="33">
        <v>9019</v>
      </c>
      <c r="D3887" s="2">
        <v>2045</v>
      </c>
      <c r="E3887" s="2" t="s">
        <v>11987</v>
      </c>
      <c r="F3887" s="3" t="s">
        <v>14206</v>
      </c>
      <c r="H3887" s="3" t="s">
        <v>4415</v>
      </c>
      <c r="K3887" s="2">
        <v>20</v>
      </c>
      <c r="L3887" s="2">
        <v>5</v>
      </c>
      <c r="M3887" s="3" t="s">
        <v>1899</v>
      </c>
      <c r="N3887" s="3" t="s">
        <v>13</v>
      </c>
      <c r="O3887" s="3" t="s">
        <v>14</v>
      </c>
      <c r="Q3887" s="30" t="str">
        <f t="shared" si="60"/>
        <v>MAX : 
TARGET : Yes(Pass)
MIN : No(Fail)</v>
      </c>
    </row>
    <row r="3888" spans="2:18" ht="41.4" x14ac:dyDescent="0.3">
      <c r="B3888">
        <v>1</v>
      </c>
      <c r="C3888" s="33">
        <v>8898</v>
      </c>
      <c r="D3888" s="2">
        <v>1330</v>
      </c>
      <c r="E3888" s="2" t="s">
        <v>11384</v>
      </c>
      <c r="F3888" s="3" t="s">
        <v>14238</v>
      </c>
      <c r="H3888" s="3" t="s">
        <v>648</v>
      </c>
      <c r="K3888" s="2">
        <v>20</v>
      </c>
      <c r="L3888" s="2">
        <v>2</v>
      </c>
      <c r="M3888" s="3" t="s">
        <v>3796</v>
      </c>
      <c r="N3888" s="3" t="s">
        <v>3793</v>
      </c>
      <c r="O3888" s="3" t="s">
        <v>3399</v>
      </c>
      <c r="P3888" s="3" t="s">
        <v>3797</v>
      </c>
      <c r="Q3888" s="30" t="str">
        <f t="shared" si="60"/>
        <v>MAX : 2.7
TARGET : 2.5
MIN : 2.3</v>
      </c>
    </row>
    <row r="3889" spans="2:17" ht="41.4" x14ac:dyDescent="0.3">
      <c r="B3889">
        <v>1</v>
      </c>
      <c r="C3889" s="33">
        <v>8898</v>
      </c>
      <c r="D3889" s="2">
        <v>1330</v>
      </c>
      <c r="E3889" s="2" t="s">
        <v>11384</v>
      </c>
      <c r="F3889" s="3" t="s">
        <v>14238</v>
      </c>
      <c r="H3889" s="3" t="s">
        <v>648</v>
      </c>
      <c r="K3889" s="2">
        <v>20</v>
      </c>
      <c r="L3889" s="2">
        <v>1</v>
      </c>
      <c r="M3889" s="3" t="s">
        <v>3791</v>
      </c>
      <c r="N3889" s="3" t="s">
        <v>3792</v>
      </c>
      <c r="O3889" s="3" t="s">
        <v>2353</v>
      </c>
      <c r="P3889" s="3" t="s">
        <v>3793</v>
      </c>
      <c r="Q3889" s="30" t="str">
        <f t="shared" si="60"/>
        <v>MAX : 2.3
TARGET : 2.0
MIN : 1.7</v>
      </c>
    </row>
    <row r="3890" spans="2:17" ht="41.4" x14ac:dyDescent="0.3">
      <c r="B3890">
        <v>0</v>
      </c>
      <c r="C3890" s="33">
        <v>9017</v>
      </c>
      <c r="D3890" s="2">
        <v>1383</v>
      </c>
      <c r="E3890" s="2" t="s">
        <v>11974</v>
      </c>
      <c r="F3890" s="3" t="s">
        <v>14207</v>
      </c>
      <c r="H3890" s="3" t="s">
        <v>2655</v>
      </c>
      <c r="I3890" s="3" t="s">
        <v>487</v>
      </c>
      <c r="K3890" s="2">
        <v>20</v>
      </c>
      <c r="L3890" s="2">
        <v>1</v>
      </c>
      <c r="M3890" s="3" t="s">
        <v>194</v>
      </c>
      <c r="N3890" s="3" t="s">
        <v>1350</v>
      </c>
      <c r="O3890" s="3" t="s">
        <v>1351</v>
      </c>
      <c r="P3890" s="3" t="s">
        <v>1352</v>
      </c>
      <c r="Q3890" s="30" t="str">
        <f t="shared" si="60"/>
        <v>MAX : 8.5
TARGET : 8.0
MIN : 7.5</v>
      </c>
    </row>
    <row r="3891" spans="2:17" ht="41.4" x14ac:dyDescent="0.3">
      <c r="B3891">
        <v>0</v>
      </c>
      <c r="C3891" s="33">
        <v>9017</v>
      </c>
      <c r="D3891" s="2">
        <v>1383</v>
      </c>
      <c r="E3891" s="2" t="s">
        <v>11974</v>
      </c>
      <c r="F3891" s="3" t="s">
        <v>14207</v>
      </c>
      <c r="H3891" s="3" t="s">
        <v>2655</v>
      </c>
      <c r="I3891" s="3" t="s">
        <v>487</v>
      </c>
      <c r="K3891" s="2">
        <v>20</v>
      </c>
      <c r="L3891" s="2">
        <v>2</v>
      </c>
      <c r="M3891" s="3" t="s">
        <v>198</v>
      </c>
      <c r="N3891" s="3" t="s">
        <v>1350</v>
      </c>
      <c r="O3891" s="3" t="s">
        <v>1351</v>
      </c>
      <c r="P3891" s="3" t="s">
        <v>1352</v>
      </c>
      <c r="Q3891" s="30" t="str">
        <f t="shared" si="60"/>
        <v>MAX : 8.5
TARGET : 8.0
MIN : 7.5</v>
      </c>
    </row>
    <row r="3892" spans="2:17" ht="41.4" x14ac:dyDescent="0.3">
      <c r="B3892">
        <v>0</v>
      </c>
      <c r="C3892" s="33">
        <v>9017</v>
      </c>
      <c r="D3892" s="2">
        <v>1383</v>
      </c>
      <c r="E3892" s="2" t="s">
        <v>11974</v>
      </c>
      <c r="F3892" s="3" t="s">
        <v>14207</v>
      </c>
      <c r="H3892" s="3" t="s">
        <v>2655</v>
      </c>
      <c r="I3892" s="3" t="s">
        <v>487</v>
      </c>
      <c r="K3892" s="2">
        <v>20</v>
      </c>
      <c r="L3892" s="2">
        <v>3</v>
      </c>
      <c r="M3892" s="3" t="s">
        <v>134</v>
      </c>
      <c r="N3892" s="3" t="s">
        <v>13</v>
      </c>
      <c r="O3892" s="3" t="s">
        <v>14</v>
      </c>
      <c r="Q3892" s="30" t="str">
        <f t="shared" si="60"/>
        <v>MAX : 
TARGET : Yes(Pass)
MIN : No(Fail)</v>
      </c>
    </row>
    <row r="3893" spans="2:17" ht="41.4" x14ac:dyDescent="0.3">
      <c r="B3893">
        <v>0</v>
      </c>
      <c r="C3893" s="33">
        <v>9017</v>
      </c>
      <c r="D3893" s="2">
        <v>1383</v>
      </c>
      <c r="E3893" s="2" t="s">
        <v>11974</v>
      </c>
      <c r="F3893" s="3" t="s">
        <v>14207</v>
      </c>
      <c r="H3893" s="3" t="s">
        <v>2655</v>
      </c>
      <c r="I3893" s="3" t="s">
        <v>487</v>
      </c>
      <c r="K3893" s="2">
        <v>20</v>
      </c>
      <c r="L3893" s="2">
        <v>4</v>
      </c>
      <c r="M3893" s="3" t="s">
        <v>4421</v>
      </c>
      <c r="N3893" s="3" t="s">
        <v>13</v>
      </c>
      <c r="O3893" s="3" t="s">
        <v>14</v>
      </c>
      <c r="Q3893" s="30" t="str">
        <f t="shared" si="60"/>
        <v>MAX : 
TARGET : Yes(Pass)
MIN : No(Fail)</v>
      </c>
    </row>
    <row r="3894" spans="2:17" ht="41.4" x14ac:dyDescent="0.3">
      <c r="B3894">
        <v>1</v>
      </c>
      <c r="C3894" s="33">
        <v>8899</v>
      </c>
      <c r="D3894" s="2">
        <v>1331</v>
      </c>
      <c r="E3894" s="2" t="s">
        <v>11390</v>
      </c>
      <c r="F3894" s="3" t="s">
        <v>14238</v>
      </c>
      <c r="H3894" s="3" t="s">
        <v>648</v>
      </c>
      <c r="K3894" s="2">
        <v>20</v>
      </c>
      <c r="L3894" s="2">
        <v>2</v>
      </c>
      <c r="M3894" s="3" t="s">
        <v>3796</v>
      </c>
      <c r="N3894" s="3" t="s">
        <v>3793</v>
      </c>
      <c r="O3894" s="3" t="s">
        <v>3399</v>
      </c>
      <c r="P3894" s="3" t="s">
        <v>3797</v>
      </c>
      <c r="Q3894" s="30" t="str">
        <f t="shared" si="60"/>
        <v>MAX : 2.7
TARGET : 2.5
MIN : 2.3</v>
      </c>
    </row>
    <row r="3895" spans="2:17" ht="41.4" x14ac:dyDescent="0.3">
      <c r="B3895">
        <v>1</v>
      </c>
      <c r="C3895" s="33">
        <v>8899</v>
      </c>
      <c r="D3895" s="2">
        <v>1331</v>
      </c>
      <c r="E3895" s="2" t="s">
        <v>11390</v>
      </c>
      <c r="F3895" s="3" t="s">
        <v>14238</v>
      </c>
      <c r="H3895" s="3" t="s">
        <v>648</v>
      </c>
      <c r="K3895" s="2">
        <v>20</v>
      </c>
      <c r="L3895" s="2">
        <v>20</v>
      </c>
      <c r="M3895" s="3" t="s">
        <v>4331</v>
      </c>
      <c r="N3895" s="3" t="s">
        <v>13</v>
      </c>
      <c r="O3895" s="3" t="s">
        <v>14</v>
      </c>
      <c r="Q3895" s="30" t="str">
        <f t="shared" si="60"/>
        <v>MAX : 
TARGET : Yes(Pass)
MIN : No(Fail)</v>
      </c>
    </row>
    <row r="3896" spans="2:17" ht="41.4" x14ac:dyDescent="0.3">
      <c r="B3896">
        <v>0</v>
      </c>
      <c r="C3896" s="33">
        <v>9016</v>
      </c>
      <c r="D3896" s="2">
        <v>1382</v>
      </c>
      <c r="E3896" s="2" t="s">
        <v>11966</v>
      </c>
      <c r="F3896" s="3" t="s">
        <v>14246</v>
      </c>
      <c r="H3896" s="3" t="s">
        <v>2980</v>
      </c>
      <c r="K3896" s="2">
        <v>20</v>
      </c>
      <c r="L3896" s="2">
        <v>3</v>
      </c>
      <c r="M3896" s="3" t="s">
        <v>78</v>
      </c>
      <c r="N3896" s="3" t="s">
        <v>13</v>
      </c>
      <c r="O3896" s="3" t="s">
        <v>14</v>
      </c>
      <c r="Q3896" s="30" t="str">
        <f t="shared" si="60"/>
        <v>MAX : 
TARGET : Yes(Pass)
MIN : No(Fail)</v>
      </c>
    </row>
    <row r="3897" spans="2:17" ht="41.4" x14ac:dyDescent="0.3">
      <c r="B3897">
        <v>1</v>
      </c>
      <c r="C3897" s="33">
        <v>8899</v>
      </c>
      <c r="D3897" s="2">
        <v>1331</v>
      </c>
      <c r="E3897" s="2" t="s">
        <v>11390</v>
      </c>
      <c r="F3897" s="3" t="s">
        <v>14238</v>
      </c>
      <c r="H3897" s="3" t="s">
        <v>648</v>
      </c>
      <c r="K3897" s="2">
        <v>20</v>
      </c>
      <c r="L3897" s="2">
        <v>1</v>
      </c>
      <c r="M3897" s="3" t="s">
        <v>3791</v>
      </c>
      <c r="N3897" s="3" t="s">
        <v>3792</v>
      </c>
      <c r="O3897" s="3" t="s">
        <v>2353</v>
      </c>
      <c r="P3897" s="3" t="s">
        <v>3793</v>
      </c>
      <c r="Q3897" s="30" t="str">
        <f t="shared" si="60"/>
        <v>MAX : 2.3
TARGET : 2.0
MIN : 1.7</v>
      </c>
    </row>
    <row r="3898" spans="2:17" ht="41.4" x14ac:dyDescent="0.3">
      <c r="B3898">
        <v>1</v>
      </c>
      <c r="C3898" s="33">
        <v>8899</v>
      </c>
      <c r="D3898" s="2">
        <v>1331</v>
      </c>
      <c r="E3898" s="2" t="s">
        <v>11390</v>
      </c>
      <c r="F3898" s="3" t="s">
        <v>14238</v>
      </c>
      <c r="H3898" s="3" t="s">
        <v>648</v>
      </c>
      <c r="K3898" s="2">
        <v>20</v>
      </c>
      <c r="L3898" s="2">
        <v>19</v>
      </c>
      <c r="M3898" s="3" t="s">
        <v>4330</v>
      </c>
      <c r="N3898" s="3" t="s">
        <v>13</v>
      </c>
      <c r="O3898" s="3" t="s">
        <v>14</v>
      </c>
      <c r="Q3898" s="30" t="str">
        <f t="shared" si="60"/>
        <v>MAX : 
TARGET : Yes(Pass)
MIN : No(Fail)</v>
      </c>
    </row>
    <row r="3899" spans="2:17" ht="41.4" x14ac:dyDescent="0.3">
      <c r="B3899">
        <v>0</v>
      </c>
      <c r="C3899" s="33">
        <v>9020</v>
      </c>
      <c r="D3899" s="2">
        <v>1384</v>
      </c>
      <c r="E3899" s="2" t="s">
        <v>11992</v>
      </c>
      <c r="F3899" s="3" t="s">
        <v>14206</v>
      </c>
      <c r="H3899" s="3" t="s">
        <v>1416</v>
      </c>
      <c r="K3899" s="2">
        <v>20</v>
      </c>
      <c r="L3899" s="2">
        <v>2</v>
      </c>
      <c r="M3899" s="3" t="s">
        <v>78</v>
      </c>
      <c r="N3899" s="3" t="s">
        <v>13</v>
      </c>
      <c r="O3899" s="3" t="s">
        <v>14</v>
      </c>
      <c r="Q3899" s="30" t="str">
        <f t="shared" si="60"/>
        <v>MAX : 
TARGET : Yes(Pass)
MIN : No(Fail)</v>
      </c>
    </row>
    <row r="3900" spans="2:17" ht="41.4" x14ac:dyDescent="0.3">
      <c r="B3900">
        <v>0</v>
      </c>
      <c r="C3900" s="33">
        <v>9020</v>
      </c>
      <c r="D3900" s="2">
        <v>1384</v>
      </c>
      <c r="E3900" s="2" t="s">
        <v>11992</v>
      </c>
      <c r="F3900" s="3" t="s">
        <v>14206</v>
      </c>
      <c r="H3900" s="3" t="s">
        <v>1416</v>
      </c>
      <c r="K3900" s="2">
        <v>10</v>
      </c>
      <c r="L3900" s="2">
        <v>1</v>
      </c>
      <c r="M3900" s="3" t="s">
        <v>458</v>
      </c>
      <c r="N3900" s="3" t="s">
        <v>3091</v>
      </c>
      <c r="O3900" s="3" t="s">
        <v>184</v>
      </c>
      <c r="P3900" s="3" t="s">
        <v>3092</v>
      </c>
      <c r="Q3900" s="30" t="str">
        <f t="shared" si="60"/>
        <v>MAX : 5.06
TARGET : 5.00
MIN : 4.94</v>
      </c>
    </row>
    <row r="3901" spans="2:17" ht="41.4" x14ac:dyDescent="0.3">
      <c r="B3901">
        <v>1</v>
      </c>
      <c r="C3901" s="33">
        <v>8901</v>
      </c>
      <c r="D3901" s="2">
        <v>1332</v>
      </c>
      <c r="E3901" s="2" t="s">
        <v>11395</v>
      </c>
      <c r="F3901" s="3" t="s">
        <v>14206</v>
      </c>
      <c r="H3901" s="3" t="s">
        <v>469</v>
      </c>
      <c r="K3901" s="2">
        <v>10</v>
      </c>
      <c r="L3901" s="2">
        <v>2</v>
      </c>
      <c r="M3901" s="3" t="s">
        <v>78</v>
      </c>
      <c r="N3901" s="3" t="s">
        <v>13</v>
      </c>
      <c r="O3901" s="3" t="s">
        <v>14</v>
      </c>
      <c r="Q3901" s="30" t="str">
        <f t="shared" si="60"/>
        <v>MAX : 
TARGET : Yes(Pass)
MIN : No(Fail)</v>
      </c>
    </row>
    <row r="3902" spans="2:17" ht="41.4" x14ac:dyDescent="0.3">
      <c r="B3902">
        <v>1</v>
      </c>
      <c r="C3902" s="33">
        <v>8901</v>
      </c>
      <c r="D3902" s="2">
        <v>1332</v>
      </c>
      <c r="E3902" s="2" t="s">
        <v>11395</v>
      </c>
      <c r="F3902" s="3" t="s">
        <v>14206</v>
      </c>
      <c r="H3902" s="3" t="s">
        <v>469</v>
      </c>
      <c r="K3902" s="2">
        <v>10</v>
      </c>
      <c r="L3902" s="2">
        <v>1</v>
      </c>
      <c r="M3902" s="3" t="s">
        <v>502</v>
      </c>
      <c r="N3902" s="3" t="s">
        <v>485</v>
      </c>
      <c r="O3902" s="3" t="s">
        <v>272</v>
      </c>
      <c r="P3902" s="3" t="s">
        <v>507</v>
      </c>
      <c r="Q3902" s="30" t="str">
        <f t="shared" si="60"/>
        <v>MAX : 1.06
TARGET : 1.00
MIN : 0.94</v>
      </c>
    </row>
    <row r="3903" spans="2:17" ht="41.4" x14ac:dyDescent="0.3">
      <c r="B3903">
        <v>0</v>
      </c>
      <c r="C3903" s="33">
        <v>9023</v>
      </c>
      <c r="D3903" s="2">
        <v>2046</v>
      </c>
      <c r="E3903" s="2" t="s">
        <v>12013</v>
      </c>
      <c r="F3903" s="3" t="s">
        <v>14206</v>
      </c>
      <c r="H3903" s="3" t="s">
        <v>568</v>
      </c>
      <c r="I3903" s="3" t="s">
        <v>487</v>
      </c>
      <c r="K3903" s="2">
        <v>20</v>
      </c>
      <c r="L3903" s="2">
        <v>3</v>
      </c>
      <c r="M3903" s="3" t="s">
        <v>2358</v>
      </c>
      <c r="N3903" s="3" t="s">
        <v>13</v>
      </c>
      <c r="O3903" s="3" t="s">
        <v>14</v>
      </c>
      <c r="Q3903" s="30" t="str">
        <f t="shared" si="60"/>
        <v>MAX : 
TARGET : Yes(Pass)
MIN : No(Fail)</v>
      </c>
    </row>
    <row r="3904" spans="2:17" ht="41.4" x14ac:dyDescent="0.3">
      <c r="B3904">
        <v>1</v>
      </c>
      <c r="C3904" s="33">
        <v>8902</v>
      </c>
      <c r="D3904" s="2">
        <v>2003</v>
      </c>
      <c r="E3904" s="2" t="s">
        <v>11401</v>
      </c>
      <c r="F3904" s="3" t="s">
        <v>14206</v>
      </c>
      <c r="H3904" s="3" t="s">
        <v>1903</v>
      </c>
      <c r="K3904" s="2">
        <v>10</v>
      </c>
      <c r="L3904" s="2">
        <v>1</v>
      </c>
      <c r="M3904" s="3" t="s">
        <v>3991</v>
      </c>
      <c r="N3904" s="3" t="s">
        <v>13</v>
      </c>
      <c r="O3904" s="3" t="s">
        <v>14</v>
      </c>
      <c r="Q3904" s="30" t="str">
        <f t="shared" si="60"/>
        <v>MAX : 
TARGET : Yes(Pass)
MIN : No(Fail)</v>
      </c>
    </row>
    <row r="3905" spans="2:18" ht="41.4" x14ac:dyDescent="0.3">
      <c r="B3905">
        <v>1</v>
      </c>
      <c r="C3905" s="33">
        <v>8902</v>
      </c>
      <c r="D3905" s="2">
        <v>2003</v>
      </c>
      <c r="E3905" s="2" t="s">
        <v>11401</v>
      </c>
      <c r="F3905" s="3" t="s">
        <v>14206</v>
      </c>
      <c r="H3905" s="3" t="s">
        <v>1903</v>
      </c>
      <c r="K3905" s="2">
        <v>10</v>
      </c>
      <c r="L3905" s="2">
        <v>2</v>
      </c>
      <c r="M3905" s="3" t="s">
        <v>3990</v>
      </c>
      <c r="N3905" s="3" t="s">
        <v>13</v>
      </c>
      <c r="O3905" s="3" t="s">
        <v>14</v>
      </c>
      <c r="Q3905" s="30" t="str">
        <f t="shared" si="60"/>
        <v>MAX : 
TARGET : Yes(Pass)
MIN : No(Fail)</v>
      </c>
    </row>
    <row r="3906" spans="2:18" ht="41.4" x14ac:dyDescent="0.3">
      <c r="B3906">
        <v>0</v>
      </c>
      <c r="C3906" s="33">
        <v>9018</v>
      </c>
      <c r="D3906" s="2">
        <v>2044</v>
      </c>
      <c r="E3906" s="2" t="s">
        <v>11980</v>
      </c>
      <c r="F3906" s="3" t="s">
        <v>14206</v>
      </c>
      <c r="H3906" s="3" t="s">
        <v>4430</v>
      </c>
      <c r="I3906" s="3" t="s">
        <v>487</v>
      </c>
      <c r="K3906" s="2">
        <v>20</v>
      </c>
      <c r="L3906" s="2">
        <v>7</v>
      </c>
      <c r="M3906" s="3" t="s">
        <v>78</v>
      </c>
      <c r="N3906" s="3" t="s">
        <v>24</v>
      </c>
      <c r="O3906" s="3" t="s">
        <v>25</v>
      </c>
      <c r="Q3906" s="30" t="str">
        <f t="shared" ref="Q3906:Q3969" si="61">"MAX : " &amp; P3906 &amp; CHAR(10) &amp; "TARGET : " &amp; O3906 &amp; CHAR(10) &amp; "MIN : " &amp; N3906</f>
        <v>MAX : 
TARGET : Yes (Pass)
MIN : No (Fail)</v>
      </c>
    </row>
    <row r="3907" spans="2:18" ht="41.4" x14ac:dyDescent="0.3">
      <c r="B3907">
        <v>0</v>
      </c>
      <c r="C3907" s="33">
        <v>9018</v>
      </c>
      <c r="D3907" s="2">
        <v>2044</v>
      </c>
      <c r="E3907" s="2" t="s">
        <v>11980</v>
      </c>
      <c r="F3907" s="3" t="s">
        <v>14206</v>
      </c>
      <c r="H3907" s="3" t="s">
        <v>4430</v>
      </c>
      <c r="I3907" s="3" t="s">
        <v>487</v>
      </c>
      <c r="K3907" s="2">
        <v>20</v>
      </c>
      <c r="L3907" s="2">
        <v>8</v>
      </c>
      <c r="M3907" s="3" t="s">
        <v>4431</v>
      </c>
      <c r="N3907" s="3" t="s">
        <v>24</v>
      </c>
      <c r="O3907" s="3" t="s">
        <v>25</v>
      </c>
      <c r="Q3907" s="30" t="str">
        <f t="shared" si="61"/>
        <v>MAX : 
TARGET : Yes (Pass)
MIN : No (Fail)</v>
      </c>
    </row>
    <row r="3908" spans="2:18" ht="41.4" x14ac:dyDescent="0.3">
      <c r="B3908">
        <v>1</v>
      </c>
      <c r="C3908" s="33">
        <v>8902</v>
      </c>
      <c r="D3908" s="2">
        <v>2003</v>
      </c>
      <c r="E3908" s="2" t="s">
        <v>11401</v>
      </c>
      <c r="F3908" s="3" t="s">
        <v>14206</v>
      </c>
      <c r="H3908" s="3" t="s">
        <v>1903</v>
      </c>
      <c r="K3908" s="2">
        <v>10</v>
      </c>
      <c r="L3908" s="2">
        <v>4</v>
      </c>
      <c r="M3908" s="3" t="s">
        <v>4414</v>
      </c>
      <c r="N3908" s="3" t="s">
        <v>13</v>
      </c>
      <c r="O3908" s="3" t="s">
        <v>14</v>
      </c>
      <c r="Q3908" s="30" t="str">
        <f t="shared" si="61"/>
        <v>MAX : 
TARGET : Yes(Pass)
MIN : No(Fail)</v>
      </c>
    </row>
    <row r="3909" spans="2:18" ht="41.4" x14ac:dyDescent="0.3">
      <c r="B3909">
        <v>1</v>
      </c>
      <c r="C3909" s="33">
        <v>8903</v>
      </c>
      <c r="D3909" s="2">
        <v>2004</v>
      </c>
      <c r="E3909" s="2" t="s">
        <v>11405</v>
      </c>
      <c r="F3909" s="3" t="s">
        <v>14206</v>
      </c>
      <c r="H3909" s="3" t="s">
        <v>1903</v>
      </c>
      <c r="K3909" s="2">
        <v>10</v>
      </c>
      <c r="L3909" s="2">
        <v>1</v>
      </c>
      <c r="M3909" s="3" t="s">
        <v>3991</v>
      </c>
      <c r="N3909" s="3" t="s">
        <v>13</v>
      </c>
      <c r="O3909" s="3" t="s">
        <v>14</v>
      </c>
      <c r="Q3909" s="30" t="str">
        <f t="shared" si="61"/>
        <v>MAX : 
TARGET : Yes(Pass)
MIN : No(Fail)</v>
      </c>
    </row>
    <row r="3910" spans="2:18" ht="41.4" x14ac:dyDescent="0.3">
      <c r="B3910">
        <v>1</v>
      </c>
      <c r="C3910" s="33">
        <v>8903</v>
      </c>
      <c r="D3910" s="2">
        <v>2004</v>
      </c>
      <c r="E3910" s="2" t="s">
        <v>11405</v>
      </c>
      <c r="F3910" s="3" t="s">
        <v>14206</v>
      </c>
      <c r="H3910" s="3" t="s">
        <v>1903</v>
      </c>
      <c r="K3910" s="2">
        <v>10</v>
      </c>
      <c r="L3910" s="2">
        <v>2</v>
      </c>
      <c r="M3910" s="3" t="s">
        <v>3990</v>
      </c>
      <c r="N3910" s="3" t="s">
        <v>13</v>
      </c>
      <c r="O3910" s="3" t="s">
        <v>14</v>
      </c>
      <c r="Q3910" s="30" t="str">
        <f t="shared" si="61"/>
        <v>MAX : 
TARGET : Yes(Pass)
MIN : No(Fail)</v>
      </c>
    </row>
    <row r="3911" spans="2:18" ht="41.4" x14ac:dyDescent="0.3">
      <c r="B3911">
        <v>0</v>
      </c>
      <c r="C3911" s="33">
        <v>9012</v>
      </c>
      <c r="D3911" s="2">
        <v>1380</v>
      </c>
      <c r="E3911" s="2" t="s">
        <v>11939</v>
      </c>
      <c r="F3911" s="3" t="s">
        <v>14247</v>
      </c>
      <c r="H3911" s="3" t="s">
        <v>962</v>
      </c>
      <c r="K3911" s="2">
        <v>10</v>
      </c>
      <c r="L3911" s="2">
        <v>3</v>
      </c>
      <c r="M3911" s="3" t="s">
        <v>4437</v>
      </c>
      <c r="N3911" s="3" t="s">
        <v>4438</v>
      </c>
      <c r="O3911" s="3" t="s">
        <v>4439</v>
      </c>
      <c r="P3911" s="3" t="s">
        <v>4440</v>
      </c>
      <c r="Q3911" s="30" t="str">
        <f t="shared" si="61"/>
        <v>MAX : 112.87
TARGET : 112.37
MIN : 111.87</v>
      </c>
    </row>
    <row r="3912" spans="2:18" ht="41.4" x14ac:dyDescent="0.3">
      <c r="B3912">
        <v>0</v>
      </c>
      <c r="C3912" s="33">
        <v>9012</v>
      </c>
      <c r="D3912" s="2">
        <v>1380</v>
      </c>
      <c r="E3912" s="2" t="s">
        <v>11939</v>
      </c>
      <c r="F3912" s="3" t="s">
        <v>14247</v>
      </c>
      <c r="H3912" s="3" t="s">
        <v>962</v>
      </c>
      <c r="K3912" s="2">
        <v>10</v>
      </c>
      <c r="L3912" s="2">
        <v>4</v>
      </c>
      <c r="M3912" s="3" t="s">
        <v>4441</v>
      </c>
      <c r="N3912" s="3" t="s">
        <v>4442</v>
      </c>
      <c r="O3912" s="3" t="s">
        <v>4443</v>
      </c>
      <c r="P3912" s="3" t="s">
        <v>4444</v>
      </c>
      <c r="Q3912" s="30" t="str">
        <f t="shared" si="61"/>
        <v>MAX : 143.17
TARGET : 142.67
MIN : 142.17</v>
      </c>
    </row>
    <row r="3913" spans="2:18" ht="41.4" x14ac:dyDescent="0.3">
      <c r="B3913">
        <v>0</v>
      </c>
      <c r="C3913" s="33">
        <v>9012</v>
      </c>
      <c r="D3913" s="2">
        <v>1380</v>
      </c>
      <c r="E3913" s="2" t="s">
        <v>11939</v>
      </c>
      <c r="F3913" s="3" t="s">
        <v>14247</v>
      </c>
      <c r="H3913" s="3" t="s">
        <v>962</v>
      </c>
      <c r="K3913" s="2">
        <v>10</v>
      </c>
      <c r="L3913" s="2">
        <v>5</v>
      </c>
      <c r="M3913" s="3" t="s">
        <v>2804</v>
      </c>
      <c r="N3913" s="3" t="s">
        <v>4445</v>
      </c>
      <c r="O3913" s="3" t="s">
        <v>4446</v>
      </c>
      <c r="P3913" s="3" t="s">
        <v>4447</v>
      </c>
      <c r="Q3913" s="30" t="str">
        <f t="shared" si="61"/>
        <v>MAX : 39.25
TARGET : 39.00
MIN : 38.75</v>
      </c>
    </row>
    <row r="3914" spans="2:18" ht="41.4" x14ac:dyDescent="0.3">
      <c r="B3914">
        <v>0</v>
      </c>
      <c r="C3914" s="33">
        <v>9012</v>
      </c>
      <c r="D3914" s="2">
        <v>1380</v>
      </c>
      <c r="E3914" s="2" t="s">
        <v>11939</v>
      </c>
      <c r="F3914" s="3" t="s">
        <v>14247</v>
      </c>
      <c r="H3914" s="3" t="s">
        <v>962</v>
      </c>
      <c r="K3914" s="2">
        <v>10</v>
      </c>
      <c r="L3914" s="2">
        <v>6</v>
      </c>
      <c r="M3914" s="3" t="s">
        <v>3563</v>
      </c>
      <c r="N3914" s="3" t="s">
        <v>3953</v>
      </c>
      <c r="O3914" s="3" t="s">
        <v>250</v>
      </c>
      <c r="P3914" s="3" t="s">
        <v>4448</v>
      </c>
      <c r="Q3914" s="30" t="str">
        <f t="shared" si="61"/>
        <v>MAX : 6.20
TARGET : 6.00
MIN : 5.80</v>
      </c>
    </row>
    <row r="3915" spans="2:18" ht="41.4" x14ac:dyDescent="0.3">
      <c r="B3915">
        <v>1</v>
      </c>
      <c r="C3915" s="33">
        <v>8903</v>
      </c>
      <c r="D3915" s="2">
        <v>2004</v>
      </c>
      <c r="E3915" s="2" t="s">
        <v>11405</v>
      </c>
      <c r="F3915" s="3" t="s">
        <v>14206</v>
      </c>
      <c r="H3915" s="3" t="s">
        <v>1903</v>
      </c>
      <c r="K3915" s="2">
        <v>10</v>
      </c>
      <c r="L3915" s="2">
        <v>4</v>
      </c>
      <c r="M3915" s="3" t="s">
        <v>4414</v>
      </c>
      <c r="N3915" s="3" t="s">
        <v>13</v>
      </c>
      <c r="O3915" s="3" t="s">
        <v>14</v>
      </c>
      <c r="Q3915" s="30" t="str">
        <f t="shared" si="61"/>
        <v>MAX : 
TARGET : Yes(Pass)
MIN : No(Fail)</v>
      </c>
    </row>
    <row r="3916" spans="2:18" ht="41.4" x14ac:dyDescent="0.3">
      <c r="B3916">
        <v>1</v>
      </c>
      <c r="C3916" s="33">
        <v>8904</v>
      </c>
      <c r="D3916" s="2">
        <v>2005</v>
      </c>
      <c r="E3916" s="2" t="s">
        <v>11411</v>
      </c>
      <c r="F3916" s="3" t="s">
        <v>14206</v>
      </c>
      <c r="H3916" s="3" t="s">
        <v>1903</v>
      </c>
      <c r="K3916" s="2">
        <v>10</v>
      </c>
      <c r="L3916" s="2">
        <v>1</v>
      </c>
      <c r="M3916" s="3" t="s">
        <v>3991</v>
      </c>
      <c r="N3916" s="3" t="s">
        <v>13</v>
      </c>
      <c r="O3916" s="3" t="s">
        <v>14</v>
      </c>
      <c r="Q3916" s="30" t="str">
        <f t="shared" si="61"/>
        <v>MAX : 
TARGET : Yes(Pass)
MIN : No(Fail)</v>
      </c>
    </row>
    <row r="3917" spans="2:18" ht="41.4" x14ac:dyDescent="0.3">
      <c r="B3917">
        <v>0</v>
      </c>
      <c r="C3917" s="33">
        <v>9021</v>
      </c>
      <c r="D3917" s="2">
        <v>1385</v>
      </c>
      <c r="E3917" s="2" t="s">
        <v>11999</v>
      </c>
      <c r="F3917" s="3" t="s">
        <v>14248</v>
      </c>
      <c r="H3917" s="3" t="s">
        <v>810</v>
      </c>
      <c r="K3917" s="2">
        <v>30</v>
      </c>
      <c r="L3917" s="2">
        <v>3</v>
      </c>
      <c r="M3917" s="3" t="s">
        <v>4453</v>
      </c>
      <c r="N3917" s="3" t="s">
        <v>4428</v>
      </c>
      <c r="O3917" s="3" t="s">
        <v>309</v>
      </c>
      <c r="P3917" s="3" t="s">
        <v>4454</v>
      </c>
      <c r="Q3917" s="30" t="str">
        <f t="shared" si="61"/>
        <v>MAX : 0.563
TARGET : 0.50
MIN : 0.437</v>
      </c>
      <c r="R3917" s="3" t="s">
        <v>3549</v>
      </c>
    </row>
    <row r="3918" spans="2:18" ht="41.4" x14ac:dyDescent="0.3">
      <c r="B3918">
        <v>0</v>
      </c>
      <c r="C3918" s="33">
        <v>9021</v>
      </c>
      <c r="D3918" s="2">
        <v>1385</v>
      </c>
      <c r="E3918" s="2" t="s">
        <v>11999</v>
      </c>
      <c r="F3918" s="3" t="s">
        <v>14248</v>
      </c>
      <c r="H3918" s="3" t="s">
        <v>810</v>
      </c>
      <c r="K3918" s="2">
        <v>30</v>
      </c>
      <c r="L3918" s="2">
        <v>4</v>
      </c>
      <c r="M3918" s="3" t="s">
        <v>22</v>
      </c>
      <c r="N3918" s="3" t="s">
        <v>4455</v>
      </c>
      <c r="O3918" s="3" t="s">
        <v>201</v>
      </c>
      <c r="P3918" s="3" t="s">
        <v>4456</v>
      </c>
      <c r="Q3918" s="30" t="str">
        <f t="shared" si="61"/>
        <v>MAX : 5.813
TARGET : 5.75
MIN : 5.687</v>
      </c>
      <c r="R3918" s="3" t="s">
        <v>3549</v>
      </c>
    </row>
    <row r="3919" spans="2:18" ht="41.4" x14ac:dyDescent="0.3">
      <c r="B3919">
        <v>0</v>
      </c>
      <c r="C3919" s="33">
        <v>9021</v>
      </c>
      <c r="D3919" s="2">
        <v>1385</v>
      </c>
      <c r="E3919" s="2" t="s">
        <v>11999</v>
      </c>
      <c r="F3919" s="3" t="s">
        <v>14248</v>
      </c>
      <c r="H3919" s="3" t="s">
        <v>810</v>
      </c>
      <c r="K3919" s="2">
        <v>30</v>
      </c>
      <c r="L3919" s="2">
        <v>5</v>
      </c>
      <c r="M3919" s="3" t="s">
        <v>4457</v>
      </c>
      <c r="N3919" s="3" t="s">
        <v>4428</v>
      </c>
      <c r="O3919" s="3" t="s">
        <v>309</v>
      </c>
      <c r="P3919" s="3" t="s">
        <v>4454</v>
      </c>
      <c r="Q3919" s="30" t="str">
        <f t="shared" si="61"/>
        <v>MAX : 0.563
TARGET : 0.50
MIN : 0.437</v>
      </c>
      <c r="R3919" s="3" t="s">
        <v>3549</v>
      </c>
    </row>
    <row r="3920" spans="2:18" ht="41.4" x14ac:dyDescent="0.3">
      <c r="B3920">
        <v>0</v>
      </c>
      <c r="C3920" s="33">
        <v>9021</v>
      </c>
      <c r="D3920" s="2">
        <v>1385</v>
      </c>
      <c r="E3920" s="2" t="s">
        <v>11999</v>
      </c>
      <c r="F3920" s="3" t="s">
        <v>14248</v>
      </c>
      <c r="H3920" s="3" t="s">
        <v>810</v>
      </c>
      <c r="K3920" s="2">
        <v>30</v>
      </c>
      <c r="L3920" s="2">
        <v>6</v>
      </c>
      <c r="M3920" s="3" t="s">
        <v>4458</v>
      </c>
      <c r="N3920" s="3" t="s">
        <v>4459</v>
      </c>
      <c r="O3920" s="3" t="s">
        <v>4460</v>
      </c>
      <c r="P3920" s="3" t="s">
        <v>4461</v>
      </c>
      <c r="Q3920" s="30" t="str">
        <f t="shared" si="61"/>
        <v>MAX : 5.443
TARGET : 5.38
MIN : 5.317</v>
      </c>
      <c r="R3920" s="3" t="s">
        <v>3549</v>
      </c>
    </row>
    <row r="3921" spans="2:18" ht="41.4" x14ac:dyDescent="0.3">
      <c r="B3921">
        <v>0</v>
      </c>
      <c r="C3921" s="33">
        <v>9021</v>
      </c>
      <c r="D3921" s="2">
        <v>1385</v>
      </c>
      <c r="E3921" s="2" t="s">
        <v>11999</v>
      </c>
      <c r="F3921" s="3" t="s">
        <v>14248</v>
      </c>
      <c r="H3921" s="3" t="s">
        <v>810</v>
      </c>
      <c r="K3921" s="2">
        <v>30</v>
      </c>
      <c r="L3921" s="2">
        <v>7</v>
      </c>
      <c r="M3921" s="3" t="s">
        <v>4462</v>
      </c>
      <c r="N3921" s="3" t="s">
        <v>4463</v>
      </c>
      <c r="O3921" s="3" t="s">
        <v>1570</v>
      </c>
      <c r="P3921" s="3" t="s">
        <v>4464</v>
      </c>
      <c r="Q3921" s="30" t="str">
        <f t="shared" si="61"/>
        <v>MAX : 0.193
TARGET : 0.13
MIN : 0.067</v>
      </c>
      <c r="R3921" s="3" t="s">
        <v>3549</v>
      </c>
    </row>
    <row r="3922" spans="2:18" ht="41.4" x14ac:dyDescent="0.3">
      <c r="B3922">
        <v>0</v>
      </c>
      <c r="C3922" s="33">
        <v>9021</v>
      </c>
      <c r="D3922" s="2">
        <v>1385</v>
      </c>
      <c r="E3922" s="2" t="s">
        <v>11999</v>
      </c>
      <c r="F3922" s="3" t="s">
        <v>14248</v>
      </c>
      <c r="H3922" s="3" t="s">
        <v>810</v>
      </c>
      <c r="K3922" s="2">
        <v>30</v>
      </c>
      <c r="L3922" s="2">
        <v>8</v>
      </c>
      <c r="M3922" s="3" t="s">
        <v>4465</v>
      </c>
      <c r="N3922" s="3" t="s">
        <v>4428</v>
      </c>
      <c r="O3922" s="3" t="s">
        <v>309</v>
      </c>
      <c r="P3922" s="3" t="s">
        <v>4454</v>
      </c>
      <c r="Q3922" s="30" t="str">
        <f t="shared" si="61"/>
        <v>MAX : 0.563
TARGET : 0.50
MIN : 0.437</v>
      </c>
      <c r="R3922" s="3" t="s">
        <v>3549</v>
      </c>
    </row>
    <row r="3923" spans="2:18" ht="41.4" x14ac:dyDescent="0.3">
      <c r="B3923">
        <v>0</v>
      </c>
      <c r="C3923" s="33">
        <v>9021</v>
      </c>
      <c r="D3923" s="2">
        <v>1385</v>
      </c>
      <c r="E3923" s="2" t="s">
        <v>11999</v>
      </c>
      <c r="F3923" s="3" t="s">
        <v>14248</v>
      </c>
      <c r="H3923" s="3" t="s">
        <v>810</v>
      </c>
      <c r="K3923" s="2">
        <v>30</v>
      </c>
      <c r="L3923" s="2">
        <v>9</v>
      </c>
      <c r="M3923" s="3" t="s">
        <v>4466</v>
      </c>
      <c r="N3923" s="3" t="s">
        <v>13</v>
      </c>
      <c r="O3923" s="3" t="s">
        <v>14</v>
      </c>
      <c r="Q3923" s="30" t="str">
        <f t="shared" si="61"/>
        <v>MAX : 
TARGET : Yes(Pass)
MIN : No(Fail)</v>
      </c>
      <c r="R3923" s="3" t="s">
        <v>3549</v>
      </c>
    </row>
    <row r="3924" spans="2:18" ht="41.4" x14ac:dyDescent="0.3">
      <c r="B3924">
        <v>0</v>
      </c>
      <c r="C3924" s="33">
        <v>9021</v>
      </c>
      <c r="D3924" s="2">
        <v>1385</v>
      </c>
      <c r="E3924" s="2" t="s">
        <v>11999</v>
      </c>
      <c r="F3924" s="3" t="s">
        <v>14248</v>
      </c>
      <c r="H3924" s="3" t="s">
        <v>810</v>
      </c>
      <c r="K3924" s="2">
        <v>30</v>
      </c>
      <c r="L3924" s="2">
        <v>10</v>
      </c>
      <c r="M3924" s="3" t="s">
        <v>4467</v>
      </c>
      <c r="N3924" s="3" t="s">
        <v>13</v>
      </c>
      <c r="O3924" s="3" t="s">
        <v>14</v>
      </c>
      <c r="Q3924" s="30" t="str">
        <f t="shared" si="61"/>
        <v>MAX : 
TARGET : Yes(Pass)
MIN : No(Fail)</v>
      </c>
      <c r="R3924" s="3" t="s">
        <v>3549</v>
      </c>
    </row>
    <row r="3925" spans="2:18" ht="41.4" x14ac:dyDescent="0.3">
      <c r="B3925">
        <v>0</v>
      </c>
      <c r="C3925" s="33">
        <v>9021</v>
      </c>
      <c r="D3925" s="2">
        <v>1385</v>
      </c>
      <c r="E3925" s="2" t="s">
        <v>11999</v>
      </c>
      <c r="F3925" s="3" t="s">
        <v>14248</v>
      </c>
      <c r="H3925" s="3" t="s">
        <v>810</v>
      </c>
      <c r="K3925" s="2">
        <v>10</v>
      </c>
      <c r="L3925" s="2">
        <v>1</v>
      </c>
      <c r="M3925" s="3" t="s">
        <v>4468</v>
      </c>
      <c r="N3925" s="3" t="s">
        <v>13</v>
      </c>
      <c r="O3925" s="3" t="s">
        <v>14</v>
      </c>
      <c r="Q3925" s="30" t="str">
        <f t="shared" si="61"/>
        <v>MAX : 
TARGET : Yes(Pass)
MIN : No(Fail)</v>
      </c>
      <c r="R3925" s="3" t="s">
        <v>3549</v>
      </c>
    </row>
    <row r="3926" spans="2:18" ht="41.4" x14ac:dyDescent="0.3">
      <c r="B3926">
        <v>0</v>
      </c>
      <c r="C3926" s="33">
        <v>9021</v>
      </c>
      <c r="D3926" s="2">
        <v>1385</v>
      </c>
      <c r="E3926" s="2" t="s">
        <v>11999</v>
      </c>
      <c r="F3926" s="3" t="s">
        <v>14248</v>
      </c>
      <c r="H3926" s="3" t="s">
        <v>810</v>
      </c>
      <c r="K3926" s="2">
        <v>20</v>
      </c>
      <c r="L3926" s="2">
        <v>1</v>
      </c>
      <c r="M3926" s="3" t="s">
        <v>4469</v>
      </c>
      <c r="N3926" s="3" t="s">
        <v>4470</v>
      </c>
      <c r="O3926" s="3" t="s">
        <v>132</v>
      </c>
      <c r="P3926" s="3" t="s">
        <v>4471</v>
      </c>
      <c r="Q3926" s="30" t="str">
        <f t="shared" si="61"/>
        <v>MAX : 0.813
TARGET : 0.75
MIN : 0.687</v>
      </c>
      <c r="R3926" s="3" t="s">
        <v>3549</v>
      </c>
    </row>
    <row r="3927" spans="2:18" ht="41.4" x14ac:dyDescent="0.3">
      <c r="B3927">
        <v>0</v>
      </c>
      <c r="C3927" s="33">
        <v>9021</v>
      </c>
      <c r="D3927" s="2">
        <v>1385</v>
      </c>
      <c r="E3927" s="2" t="s">
        <v>11999</v>
      </c>
      <c r="F3927" s="3" t="s">
        <v>14248</v>
      </c>
      <c r="H3927" s="3" t="s">
        <v>810</v>
      </c>
      <c r="K3927" s="2">
        <v>20</v>
      </c>
      <c r="L3927" s="2">
        <v>2</v>
      </c>
      <c r="M3927" s="3" t="s">
        <v>4472</v>
      </c>
      <c r="N3927" s="3" t="s">
        <v>13</v>
      </c>
      <c r="O3927" s="3" t="s">
        <v>14</v>
      </c>
      <c r="Q3927" s="30" t="str">
        <f t="shared" si="61"/>
        <v>MAX : 
TARGET : Yes(Pass)
MIN : No(Fail)</v>
      </c>
      <c r="R3927" s="3" t="s">
        <v>3549</v>
      </c>
    </row>
    <row r="3928" spans="2:18" ht="41.4" x14ac:dyDescent="0.3">
      <c r="B3928">
        <v>1</v>
      </c>
      <c r="C3928" s="33">
        <v>8904</v>
      </c>
      <c r="D3928" s="2">
        <v>2005</v>
      </c>
      <c r="E3928" s="2" t="s">
        <v>11411</v>
      </c>
      <c r="F3928" s="3" t="s">
        <v>14206</v>
      </c>
      <c r="H3928" s="3" t="s">
        <v>1903</v>
      </c>
      <c r="K3928" s="2">
        <v>10</v>
      </c>
      <c r="L3928" s="2">
        <v>2</v>
      </c>
      <c r="M3928" s="3" t="s">
        <v>3990</v>
      </c>
      <c r="N3928" s="3" t="s">
        <v>13</v>
      </c>
      <c r="O3928" s="3" t="s">
        <v>14</v>
      </c>
      <c r="Q3928" s="30" t="str">
        <f t="shared" si="61"/>
        <v>MAX : 
TARGET : Yes(Pass)
MIN : No(Fail)</v>
      </c>
    </row>
    <row r="3929" spans="2:18" ht="41.4" x14ac:dyDescent="0.3">
      <c r="B3929">
        <v>1</v>
      </c>
      <c r="C3929" s="33">
        <v>8904</v>
      </c>
      <c r="D3929" s="2">
        <v>2005</v>
      </c>
      <c r="E3929" s="2" t="s">
        <v>11411</v>
      </c>
      <c r="F3929" s="3" t="s">
        <v>14206</v>
      </c>
      <c r="H3929" s="3" t="s">
        <v>1903</v>
      </c>
      <c r="K3929" s="2">
        <v>10</v>
      </c>
      <c r="L3929" s="2">
        <v>4</v>
      </c>
      <c r="M3929" s="3" t="s">
        <v>4414</v>
      </c>
      <c r="N3929" s="3" t="s">
        <v>13</v>
      </c>
      <c r="O3929" s="3" t="s">
        <v>14</v>
      </c>
      <c r="Q3929" s="30" t="str">
        <f t="shared" si="61"/>
        <v>MAX : 
TARGET : Yes(Pass)
MIN : No(Fail)</v>
      </c>
    </row>
    <row r="3930" spans="2:18" ht="41.4" x14ac:dyDescent="0.3">
      <c r="B3930">
        <v>0</v>
      </c>
      <c r="C3930" s="33">
        <v>9022</v>
      </c>
      <c r="D3930" s="2">
        <v>1386</v>
      </c>
      <c r="E3930" s="2" t="s">
        <v>12006</v>
      </c>
      <c r="F3930" s="3" t="s">
        <v>14248</v>
      </c>
      <c r="H3930" s="3" t="s">
        <v>810</v>
      </c>
      <c r="K3930" s="2">
        <v>30</v>
      </c>
      <c r="L3930" s="2">
        <v>3</v>
      </c>
      <c r="M3930" s="3" t="s">
        <v>4453</v>
      </c>
      <c r="N3930" s="3" t="s">
        <v>4477</v>
      </c>
      <c r="O3930" s="3" t="s">
        <v>132</v>
      </c>
      <c r="P3930" s="3" t="s">
        <v>4478</v>
      </c>
      <c r="Q3930" s="30" t="str">
        <f t="shared" si="61"/>
        <v>MAX : 0.813  Lead
TARGET : 0.75
MIN : 0.687   Trail</v>
      </c>
      <c r="R3930" s="3" t="s">
        <v>3549</v>
      </c>
    </row>
    <row r="3931" spans="2:18" ht="41.4" x14ac:dyDescent="0.3">
      <c r="B3931">
        <v>0</v>
      </c>
      <c r="C3931" s="33">
        <v>9022</v>
      </c>
      <c r="D3931" s="2">
        <v>1386</v>
      </c>
      <c r="E3931" s="2" t="s">
        <v>12006</v>
      </c>
      <c r="F3931" s="3" t="s">
        <v>14248</v>
      </c>
      <c r="H3931" s="3" t="s">
        <v>810</v>
      </c>
      <c r="K3931" s="2">
        <v>30</v>
      </c>
      <c r="L3931" s="2">
        <v>4</v>
      </c>
      <c r="M3931" s="3" t="s">
        <v>22</v>
      </c>
      <c r="N3931" s="3" t="s">
        <v>4479</v>
      </c>
      <c r="O3931" s="3" t="s">
        <v>389</v>
      </c>
      <c r="P3931" s="3" t="s">
        <v>4480</v>
      </c>
      <c r="Q3931" s="30" t="str">
        <f t="shared" si="61"/>
        <v>MAX : 6.313
TARGET : 6.25
MIN : 6.187</v>
      </c>
      <c r="R3931" s="3" t="s">
        <v>3549</v>
      </c>
    </row>
    <row r="3932" spans="2:18" ht="41.4" x14ac:dyDescent="0.3">
      <c r="B3932">
        <v>0</v>
      </c>
      <c r="C3932" s="33">
        <v>9022</v>
      </c>
      <c r="D3932" s="2">
        <v>1386</v>
      </c>
      <c r="E3932" s="2" t="s">
        <v>12006</v>
      </c>
      <c r="F3932" s="3" t="s">
        <v>14248</v>
      </c>
      <c r="H3932" s="3" t="s">
        <v>810</v>
      </c>
      <c r="K3932" s="2">
        <v>30</v>
      </c>
      <c r="L3932" s="2">
        <v>5</v>
      </c>
      <c r="M3932" s="3" t="s">
        <v>4457</v>
      </c>
      <c r="N3932" s="3" t="s">
        <v>4470</v>
      </c>
      <c r="O3932" s="3" t="s">
        <v>132</v>
      </c>
      <c r="P3932" s="3" t="s">
        <v>4471</v>
      </c>
      <c r="Q3932" s="30" t="str">
        <f t="shared" si="61"/>
        <v>MAX : 0.813
TARGET : 0.75
MIN : 0.687</v>
      </c>
      <c r="R3932" s="3" t="s">
        <v>3549</v>
      </c>
    </row>
    <row r="3933" spans="2:18" ht="41.4" x14ac:dyDescent="0.3">
      <c r="B3933">
        <v>0</v>
      </c>
      <c r="C3933" s="33">
        <v>9022</v>
      </c>
      <c r="D3933" s="2">
        <v>1386</v>
      </c>
      <c r="E3933" s="2" t="s">
        <v>12006</v>
      </c>
      <c r="F3933" s="3" t="s">
        <v>14248</v>
      </c>
      <c r="H3933" s="3" t="s">
        <v>810</v>
      </c>
      <c r="K3933" s="2">
        <v>30</v>
      </c>
      <c r="L3933" s="2">
        <v>6</v>
      </c>
      <c r="M3933" s="3" t="s">
        <v>4458</v>
      </c>
      <c r="N3933" s="3" t="s">
        <v>4481</v>
      </c>
      <c r="O3933" s="3" t="s">
        <v>4482</v>
      </c>
      <c r="P3933" s="3" t="s">
        <v>3097</v>
      </c>
      <c r="Q3933" s="30" t="str">
        <f t="shared" si="61"/>
        <v>MAX : 5.943
TARGET : 5.88
MIN : 5.817</v>
      </c>
      <c r="R3933" s="3" t="s">
        <v>3549</v>
      </c>
    </row>
    <row r="3934" spans="2:18" ht="41.4" x14ac:dyDescent="0.3">
      <c r="B3934">
        <v>0</v>
      </c>
      <c r="C3934" s="33">
        <v>9022</v>
      </c>
      <c r="D3934" s="2">
        <v>1386</v>
      </c>
      <c r="E3934" s="2" t="s">
        <v>12006</v>
      </c>
      <c r="F3934" s="3" t="s">
        <v>14248</v>
      </c>
      <c r="H3934" s="3" t="s">
        <v>810</v>
      </c>
      <c r="K3934" s="2">
        <v>30</v>
      </c>
      <c r="L3934" s="2">
        <v>7</v>
      </c>
      <c r="M3934" s="3" t="s">
        <v>4462</v>
      </c>
      <c r="N3934" s="3" t="s">
        <v>4463</v>
      </c>
      <c r="O3934" s="3" t="s">
        <v>1570</v>
      </c>
      <c r="P3934" s="3" t="s">
        <v>4464</v>
      </c>
      <c r="Q3934" s="30" t="str">
        <f t="shared" si="61"/>
        <v>MAX : 0.193
TARGET : 0.13
MIN : 0.067</v>
      </c>
      <c r="R3934" s="3" t="s">
        <v>3549</v>
      </c>
    </row>
    <row r="3935" spans="2:18" ht="41.4" x14ac:dyDescent="0.3">
      <c r="B3935">
        <v>0</v>
      </c>
      <c r="C3935" s="33">
        <v>9022</v>
      </c>
      <c r="D3935" s="2">
        <v>1386</v>
      </c>
      <c r="E3935" s="2" t="s">
        <v>12006</v>
      </c>
      <c r="F3935" s="3" t="s">
        <v>14248</v>
      </c>
      <c r="H3935" s="3" t="s">
        <v>810</v>
      </c>
      <c r="K3935" s="2">
        <v>30</v>
      </c>
      <c r="L3935" s="2">
        <v>8</v>
      </c>
      <c r="M3935" s="3" t="s">
        <v>4465</v>
      </c>
      <c r="N3935" s="3" t="s">
        <v>4428</v>
      </c>
      <c r="O3935" s="3" t="s">
        <v>309</v>
      </c>
      <c r="P3935" s="3" t="s">
        <v>4454</v>
      </c>
      <c r="Q3935" s="30" t="str">
        <f t="shared" si="61"/>
        <v>MAX : 0.563
TARGET : 0.50
MIN : 0.437</v>
      </c>
      <c r="R3935" s="3" t="s">
        <v>3549</v>
      </c>
    </row>
    <row r="3936" spans="2:18" ht="41.4" x14ac:dyDescent="0.3">
      <c r="B3936">
        <v>0</v>
      </c>
      <c r="C3936" s="33">
        <v>9022</v>
      </c>
      <c r="D3936" s="2">
        <v>1386</v>
      </c>
      <c r="E3936" s="2" t="s">
        <v>12006</v>
      </c>
      <c r="F3936" s="3" t="s">
        <v>14248</v>
      </c>
      <c r="H3936" s="3" t="s">
        <v>810</v>
      </c>
      <c r="K3936" s="2">
        <v>30</v>
      </c>
      <c r="L3936" s="2">
        <v>9</v>
      </c>
      <c r="M3936" s="3" t="s">
        <v>4466</v>
      </c>
      <c r="N3936" s="3" t="s">
        <v>13</v>
      </c>
      <c r="O3936" s="3" t="s">
        <v>14</v>
      </c>
      <c r="Q3936" s="30" t="str">
        <f t="shared" si="61"/>
        <v>MAX : 
TARGET : Yes(Pass)
MIN : No(Fail)</v>
      </c>
      <c r="R3936" s="3" t="s">
        <v>3549</v>
      </c>
    </row>
    <row r="3937" spans="2:18" ht="41.4" x14ac:dyDescent="0.3">
      <c r="B3937">
        <v>0</v>
      </c>
      <c r="C3937" s="33">
        <v>9022</v>
      </c>
      <c r="D3937" s="2">
        <v>1386</v>
      </c>
      <c r="E3937" s="2" t="s">
        <v>12006</v>
      </c>
      <c r="F3937" s="3" t="s">
        <v>14248</v>
      </c>
      <c r="H3937" s="3" t="s">
        <v>810</v>
      </c>
      <c r="K3937" s="2">
        <v>30</v>
      </c>
      <c r="L3937" s="2">
        <v>10</v>
      </c>
      <c r="M3937" s="3" t="s">
        <v>4467</v>
      </c>
      <c r="N3937" s="3" t="s">
        <v>13</v>
      </c>
      <c r="O3937" s="3" t="s">
        <v>14</v>
      </c>
      <c r="Q3937" s="30" t="str">
        <f t="shared" si="61"/>
        <v>MAX : 
TARGET : Yes(Pass)
MIN : No(Fail)</v>
      </c>
      <c r="R3937" s="3" t="s">
        <v>3549</v>
      </c>
    </row>
    <row r="3938" spans="2:18" ht="41.4" x14ac:dyDescent="0.3">
      <c r="B3938">
        <v>0</v>
      </c>
      <c r="C3938" s="33">
        <v>9022</v>
      </c>
      <c r="D3938" s="2">
        <v>1386</v>
      </c>
      <c r="E3938" s="2" t="s">
        <v>12006</v>
      </c>
      <c r="F3938" s="3" t="s">
        <v>14248</v>
      </c>
      <c r="H3938" s="3" t="s">
        <v>810</v>
      </c>
      <c r="K3938" s="2">
        <v>10</v>
      </c>
      <c r="L3938" s="2">
        <v>1</v>
      </c>
      <c r="M3938" s="3" t="s">
        <v>4468</v>
      </c>
      <c r="N3938" s="3" t="s">
        <v>13</v>
      </c>
      <c r="O3938" s="3" t="s">
        <v>14</v>
      </c>
      <c r="Q3938" s="30" t="str">
        <f t="shared" si="61"/>
        <v>MAX : 
TARGET : Yes(Pass)
MIN : No(Fail)</v>
      </c>
      <c r="R3938" s="3" t="s">
        <v>3549</v>
      </c>
    </row>
    <row r="3939" spans="2:18" ht="41.4" x14ac:dyDescent="0.3">
      <c r="B3939">
        <v>0</v>
      </c>
      <c r="C3939" s="33">
        <v>9022</v>
      </c>
      <c r="D3939" s="2">
        <v>1386</v>
      </c>
      <c r="E3939" s="2" t="s">
        <v>12006</v>
      </c>
      <c r="F3939" s="3" t="s">
        <v>14248</v>
      </c>
      <c r="H3939" s="3" t="s">
        <v>810</v>
      </c>
      <c r="K3939" s="2">
        <v>20</v>
      </c>
      <c r="L3939" s="2">
        <v>1</v>
      </c>
      <c r="M3939" s="3" t="s">
        <v>4469</v>
      </c>
      <c r="N3939" s="3" t="s">
        <v>4470</v>
      </c>
      <c r="O3939" s="3" t="s">
        <v>132</v>
      </c>
      <c r="P3939" s="3" t="s">
        <v>4471</v>
      </c>
      <c r="Q3939" s="30" t="str">
        <f t="shared" si="61"/>
        <v>MAX : 0.813
TARGET : 0.75
MIN : 0.687</v>
      </c>
      <c r="R3939" s="3" t="s">
        <v>3549</v>
      </c>
    </row>
    <row r="3940" spans="2:18" ht="41.4" x14ac:dyDescent="0.3">
      <c r="B3940">
        <v>0</v>
      </c>
      <c r="C3940" s="33">
        <v>9022</v>
      </c>
      <c r="D3940" s="2">
        <v>1386</v>
      </c>
      <c r="E3940" s="2" t="s">
        <v>12006</v>
      </c>
      <c r="F3940" s="3" t="s">
        <v>14248</v>
      </c>
      <c r="H3940" s="3" t="s">
        <v>810</v>
      </c>
      <c r="K3940" s="2">
        <v>20</v>
      </c>
      <c r="L3940" s="2">
        <v>2</v>
      </c>
      <c r="M3940" s="3" t="s">
        <v>4472</v>
      </c>
      <c r="N3940" s="3" t="s">
        <v>13</v>
      </c>
      <c r="O3940" s="3" t="s">
        <v>14</v>
      </c>
      <c r="Q3940" s="30" t="str">
        <f t="shared" si="61"/>
        <v>MAX : 
TARGET : Yes(Pass)
MIN : No(Fail)</v>
      </c>
      <c r="R3940" s="3" t="s">
        <v>3549</v>
      </c>
    </row>
    <row r="3941" spans="2:18" ht="41.4" x14ac:dyDescent="0.3">
      <c r="B3941">
        <v>1</v>
      </c>
      <c r="C3941" s="33">
        <v>8905</v>
      </c>
      <c r="D3941" s="2">
        <v>2006</v>
      </c>
      <c r="E3941" s="2" t="s">
        <v>11416</v>
      </c>
      <c r="F3941" s="3" t="s">
        <v>14206</v>
      </c>
      <c r="H3941" s="3" t="s">
        <v>1903</v>
      </c>
      <c r="K3941" s="2">
        <v>10</v>
      </c>
      <c r="L3941" s="2">
        <v>1</v>
      </c>
      <c r="M3941" s="3" t="s">
        <v>3991</v>
      </c>
      <c r="N3941" s="3" t="s">
        <v>13</v>
      </c>
      <c r="O3941" s="3" t="s">
        <v>14</v>
      </c>
      <c r="Q3941" s="30" t="str">
        <f t="shared" si="61"/>
        <v>MAX : 
TARGET : Yes(Pass)
MIN : No(Fail)</v>
      </c>
    </row>
    <row r="3942" spans="2:18" ht="41.4" x14ac:dyDescent="0.3">
      <c r="B3942">
        <v>1</v>
      </c>
      <c r="C3942" s="33">
        <v>8905</v>
      </c>
      <c r="D3942" s="2">
        <v>2006</v>
      </c>
      <c r="E3942" s="2" t="s">
        <v>11416</v>
      </c>
      <c r="F3942" s="3" t="s">
        <v>14206</v>
      </c>
      <c r="H3942" s="3" t="s">
        <v>1903</v>
      </c>
      <c r="K3942" s="2">
        <v>10</v>
      </c>
      <c r="L3942" s="2">
        <v>2</v>
      </c>
      <c r="M3942" s="3" t="s">
        <v>3990</v>
      </c>
      <c r="N3942" s="3" t="s">
        <v>13</v>
      </c>
      <c r="O3942" s="3" t="s">
        <v>14</v>
      </c>
      <c r="Q3942" s="30" t="str">
        <f t="shared" si="61"/>
        <v>MAX : 
TARGET : Yes(Pass)
MIN : No(Fail)</v>
      </c>
    </row>
    <row r="3943" spans="2:18" ht="41.4" x14ac:dyDescent="0.3">
      <c r="B3943">
        <v>1</v>
      </c>
      <c r="C3943" s="33">
        <v>8905</v>
      </c>
      <c r="D3943" s="2">
        <v>2006</v>
      </c>
      <c r="E3943" s="2" t="s">
        <v>11416</v>
      </c>
      <c r="F3943" s="3" t="s">
        <v>14206</v>
      </c>
      <c r="H3943" s="3" t="s">
        <v>1903</v>
      </c>
      <c r="K3943" s="2">
        <v>10</v>
      </c>
      <c r="L3943" s="2">
        <v>4</v>
      </c>
      <c r="M3943" s="3" t="s">
        <v>4414</v>
      </c>
      <c r="N3943" s="3" t="s">
        <v>13</v>
      </c>
      <c r="O3943" s="3" t="s">
        <v>14</v>
      </c>
      <c r="Q3943" s="30" t="str">
        <f t="shared" si="61"/>
        <v>MAX : 
TARGET : Yes(Pass)
MIN : No(Fail)</v>
      </c>
    </row>
    <row r="3944" spans="2:18" ht="41.4" x14ac:dyDescent="0.3">
      <c r="B3944">
        <v>1</v>
      </c>
      <c r="C3944" s="33">
        <v>8906</v>
      </c>
      <c r="D3944" s="2">
        <v>2007</v>
      </c>
      <c r="E3944" s="2" t="s">
        <v>11421</v>
      </c>
      <c r="F3944" s="3" t="s">
        <v>14206</v>
      </c>
      <c r="H3944" s="3" t="s">
        <v>1903</v>
      </c>
      <c r="K3944" s="2">
        <v>10</v>
      </c>
      <c r="L3944" s="2">
        <v>1</v>
      </c>
      <c r="M3944" s="3" t="s">
        <v>3991</v>
      </c>
      <c r="N3944" s="3" t="s">
        <v>13</v>
      </c>
      <c r="O3944" s="3" t="s">
        <v>14</v>
      </c>
      <c r="Q3944" s="30" t="str">
        <f t="shared" si="61"/>
        <v>MAX : 
TARGET : Yes(Pass)
MIN : No(Fail)</v>
      </c>
    </row>
    <row r="3945" spans="2:18" ht="41.4" x14ac:dyDescent="0.3">
      <c r="B3945">
        <v>1</v>
      </c>
      <c r="C3945" s="33">
        <v>8906</v>
      </c>
      <c r="D3945" s="2">
        <v>2007</v>
      </c>
      <c r="E3945" s="2" t="s">
        <v>11421</v>
      </c>
      <c r="F3945" s="3" t="s">
        <v>14206</v>
      </c>
      <c r="H3945" s="3" t="s">
        <v>1903</v>
      </c>
      <c r="K3945" s="2">
        <v>10</v>
      </c>
      <c r="L3945" s="2">
        <v>2</v>
      </c>
      <c r="M3945" s="3" t="s">
        <v>3990</v>
      </c>
      <c r="N3945" s="3" t="s">
        <v>13</v>
      </c>
      <c r="O3945" s="3" t="s">
        <v>14</v>
      </c>
      <c r="Q3945" s="30" t="str">
        <f t="shared" si="61"/>
        <v>MAX : 
TARGET : Yes(Pass)
MIN : No(Fail)</v>
      </c>
    </row>
    <row r="3946" spans="2:18" ht="41.4" x14ac:dyDescent="0.3">
      <c r="B3946">
        <v>1</v>
      </c>
      <c r="C3946" s="33">
        <v>8906</v>
      </c>
      <c r="D3946" s="2">
        <v>2007</v>
      </c>
      <c r="E3946" s="2" t="s">
        <v>11421</v>
      </c>
      <c r="F3946" s="3" t="s">
        <v>14206</v>
      </c>
      <c r="H3946" s="3" t="s">
        <v>1903</v>
      </c>
      <c r="K3946" s="2">
        <v>10</v>
      </c>
      <c r="L3946" s="2">
        <v>4</v>
      </c>
      <c r="M3946" s="3" t="s">
        <v>4414</v>
      </c>
      <c r="N3946" s="3" t="s">
        <v>13</v>
      </c>
      <c r="O3946" s="3" t="s">
        <v>14</v>
      </c>
      <c r="Q3946" s="30" t="str">
        <f t="shared" si="61"/>
        <v>MAX : 
TARGET : Yes(Pass)
MIN : No(Fail)</v>
      </c>
    </row>
    <row r="3947" spans="2:18" ht="41.4" x14ac:dyDescent="0.3">
      <c r="B3947">
        <v>0</v>
      </c>
      <c r="C3947" s="33">
        <v>9025</v>
      </c>
      <c r="D3947" s="2">
        <v>1387</v>
      </c>
      <c r="E3947" s="2" t="s">
        <v>12024</v>
      </c>
      <c r="F3947" s="3" t="s">
        <v>14206</v>
      </c>
      <c r="H3947" s="3" t="s">
        <v>747</v>
      </c>
      <c r="I3947" s="3" t="s">
        <v>487</v>
      </c>
      <c r="K3947" s="2">
        <v>20</v>
      </c>
      <c r="L3947" s="2">
        <v>3</v>
      </c>
      <c r="M3947" s="3" t="s">
        <v>570</v>
      </c>
      <c r="N3947" s="3" t="s">
        <v>3091</v>
      </c>
      <c r="O3947" s="3" t="s">
        <v>184</v>
      </c>
      <c r="P3947" s="3" t="s">
        <v>3092</v>
      </c>
      <c r="Q3947" s="30" t="str">
        <f t="shared" si="61"/>
        <v>MAX : 5.06
TARGET : 5.00
MIN : 4.94</v>
      </c>
    </row>
    <row r="3948" spans="2:18" ht="41.4" x14ac:dyDescent="0.3">
      <c r="B3948">
        <v>0</v>
      </c>
      <c r="C3948" s="33">
        <v>9025</v>
      </c>
      <c r="D3948" s="2">
        <v>1387</v>
      </c>
      <c r="E3948" s="2" t="s">
        <v>12024</v>
      </c>
      <c r="F3948" s="3" t="s">
        <v>14206</v>
      </c>
      <c r="H3948" s="3" t="s">
        <v>747</v>
      </c>
      <c r="I3948" s="3" t="s">
        <v>487</v>
      </c>
      <c r="K3948" s="2">
        <v>20</v>
      </c>
      <c r="L3948" s="2">
        <v>4</v>
      </c>
      <c r="M3948" s="3" t="s">
        <v>1605</v>
      </c>
      <c r="N3948" s="3" t="s">
        <v>13</v>
      </c>
      <c r="O3948" s="3" t="s">
        <v>14</v>
      </c>
      <c r="Q3948" s="30" t="str">
        <f t="shared" si="61"/>
        <v>MAX : 
TARGET : Yes(Pass)
MIN : No(Fail)</v>
      </c>
    </row>
    <row r="3949" spans="2:18" ht="41.4" x14ac:dyDescent="0.3">
      <c r="B3949">
        <v>0</v>
      </c>
      <c r="C3949" s="33">
        <v>9025</v>
      </c>
      <c r="D3949" s="2">
        <v>1387</v>
      </c>
      <c r="E3949" s="2" t="s">
        <v>12024</v>
      </c>
      <c r="F3949" s="3" t="s">
        <v>14206</v>
      </c>
      <c r="H3949" s="3" t="s">
        <v>747</v>
      </c>
      <c r="I3949" s="3" t="s">
        <v>487</v>
      </c>
      <c r="K3949" s="2">
        <v>20</v>
      </c>
      <c r="L3949" s="2">
        <v>5</v>
      </c>
      <c r="M3949" s="3" t="s">
        <v>78</v>
      </c>
      <c r="N3949" s="3" t="s">
        <v>13</v>
      </c>
      <c r="O3949" s="3" t="s">
        <v>14</v>
      </c>
      <c r="Q3949" s="30" t="str">
        <f t="shared" si="61"/>
        <v>MAX : 
TARGET : Yes(Pass)
MIN : No(Fail)</v>
      </c>
    </row>
    <row r="3950" spans="2:18" ht="41.4" x14ac:dyDescent="0.3">
      <c r="B3950">
        <v>1</v>
      </c>
      <c r="C3950" s="33">
        <v>8909</v>
      </c>
      <c r="D3950" s="2">
        <v>1333</v>
      </c>
      <c r="E3950" s="2" t="s">
        <v>11426</v>
      </c>
      <c r="H3950" s="3" t="s">
        <v>4195</v>
      </c>
      <c r="K3950" s="2">
        <v>10</v>
      </c>
      <c r="L3950" s="2">
        <v>1</v>
      </c>
      <c r="M3950" s="3" t="s">
        <v>4196</v>
      </c>
      <c r="N3950" s="3" t="s">
        <v>24</v>
      </c>
      <c r="O3950" s="3" t="s">
        <v>25</v>
      </c>
      <c r="Q3950" s="30" t="str">
        <f t="shared" si="61"/>
        <v>MAX : 
TARGET : Yes (Pass)
MIN : No (Fail)</v>
      </c>
    </row>
    <row r="3951" spans="2:18" ht="41.4" x14ac:dyDescent="0.3">
      <c r="B3951">
        <v>0</v>
      </c>
      <c r="C3951" s="33">
        <v>8872</v>
      </c>
      <c r="D3951" s="2">
        <v>1322</v>
      </c>
      <c r="E3951" s="2" t="s">
        <v>11312</v>
      </c>
      <c r="F3951" s="3" t="s">
        <v>14207</v>
      </c>
      <c r="H3951" s="3" t="s">
        <v>108</v>
      </c>
      <c r="K3951" s="2">
        <v>20</v>
      </c>
      <c r="L3951" s="2">
        <v>4</v>
      </c>
      <c r="M3951" s="3" t="s">
        <v>3979</v>
      </c>
      <c r="N3951" s="3" t="s">
        <v>2545</v>
      </c>
      <c r="O3951" s="3" t="s">
        <v>3980</v>
      </c>
      <c r="P3951" s="3" t="s">
        <v>3981</v>
      </c>
      <c r="Q3951" s="30" t="str">
        <f t="shared" si="61"/>
        <v>MAX : 12.3
TARGET : 11.3
MIN : 10.3</v>
      </c>
    </row>
    <row r="3952" spans="2:18" ht="41.4" x14ac:dyDescent="0.3">
      <c r="B3952">
        <v>1</v>
      </c>
      <c r="C3952" s="33">
        <v>8910</v>
      </c>
      <c r="D3952" s="2">
        <v>1334</v>
      </c>
      <c r="E3952" s="2" t="s">
        <v>11433</v>
      </c>
      <c r="H3952" s="3" t="s">
        <v>4197</v>
      </c>
      <c r="K3952" s="2">
        <v>10</v>
      </c>
      <c r="L3952" s="2">
        <v>2</v>
      </c>
      <c r="M3952" s="3" t="s">
        <v>4199</v>
      </c>
      <c r="N3952" s="3" t="s">
        <v>24</v>
      </c>
      <c r="O3952" s="3" t="s">
        <v>25</v>
      </c>
      <c r="Q3952" s="30" t="str">
        <f t="shared" si="61"/>
        <v>MAX : 
TARGET : Yes (Pass)
MIN : No (Fail)</v>
      </c>
    </row>
    <row r="3953" spans="2:18" ht="41.4" x14ac:dyDescent="0.3">
      <c r="B3953">
        <v>0</v>
      </c>
      <c r="C3953" s="33">
        <v>9026</v>
      </c>
      <c r="D3953" s="2">
        <v>1388</v>
      </c>
      <c r="E3953" s="2" t="s">
        <v>12031</v>
      </c>
      <c r="F3953" s="3" t="s">
        <v>14207</v>
      </c>
      <c r="H3953" s="3" t="s">
        <v>648</v>
      </c>
      <c r="K3953" s="2">
        <v>20</v>
      </c>
      <c r="L3953" s="2">
        <v>4</v>
      </c>
      <c r="M3953" s="3" t="s">
        <v>3648</v>
      </c>
      <c r="N3953" s="3" t="s">
        <v>4498</v>
      </c>
      <c r="O3953" s="3" t="s">
        <v>4499</v>
      </c>
      <c r="P3953" s="3" t="s">
        <v>4369</v>
      </c>
      <c r="Q3953" s="30" t="str">
        <f t="shared" si="61"/>
        <v>MAX : 35.01
TARGET : 34.71
MIN : 34.41</v>
      </c>
    </row>
    <row r="3954" spans="2:18" ht="41.4" x14ac:dyDescent="0.3">
      <c r="B3954">
        <v>0</v>
      </c>
      <c r="C3954" s="33">
        <v>9026</v>
      </c>
      <c r="D3954" s="2">
        <v>1388</v>
      </c>
      <c r="E3954" s="2" t="s">
        <v>12031</v>
      </c>
      <c r="F3954" s="3" t="s">
        <v>14207</v>
      </c>
      <c r="H3954" s="3" t="s">
        <v>648</v>
      </c>
      <c r="K3954" s="2">
        <v>20</v>
      </c>
      <c r="L3954" s="2">
        <v>5</v>
      </c>
      <c r="M3954" s="3" t="s">
        <v>1666</v>
      </c>
      <c r="N3954" s="3" t="s">
        <v>4500</v>
      </c>
      <c r="O3954" s="3" t="s">
        <v>4501</v>
      </c>
      <c r="P3954" s="3" t="s">
        <v>4502</v>
      </c>
      <c r="Q3954" s="30" t="str">
        <f t="shared" si="61"/>
        <v>MAX : 5.89
TARGET : 5.09
MIN : 4.29</v>
      </c>
    </row>
    <row r="3955" spans="2:18" ht="41.4" x14ac:dyDescent="0.3">
      <c r="B3955">
        <v>0</v>
      </c>
      <c r="C3955" s="33">
        <v>9026</v>
      </c>
      <c r="D3955" s="2">
        <v>1388</v>
      </c>
      <c r="E3955" s="2" t="s">
        <v>12031</v>
      </c>
      <c r="F3955" s="3" t="s">
        <v>14207</v>
      </c>
      <c r="H3955" s="3" t="s">
        <v>648</v>
      </c>
      <c r="K3955" s="2">
        <v>20</v>
      </c>
      <c r="L3955" s="2">
        <v>6</v>
      </c>
      <c r="M3955" s="3" t="s">
        <v>4503</v>
      </c>
      <c r="N3955" s="3" t="s">
        <v>4092</v>
      </c>
      <c r="O3955" s="3" t="s">
        <v>61</v>
      </c>
      <c r="P3955" s="3" t="s">
        <v>4273</v>
      </c>
      <c r="Q3955" s="30" t="str">
        <f t="shared" si="61"/>
        <v>MAX : 20.80
TARGET : 20.00
MIN : 19.20</v>
      </c>
    </row>
    <row r="3956" spans="2:18" ht="41.4" x14ac:dyDescent="0.3">
      <c r="B3956">
        <v>0</v>
      </c>
      <c r="C3956" s="33">
        <v>9026</v>
      </c>
      <c r="D3956" s="2">
        <v>1388</v>
      </c>
      <c r="E3956" s="2" t="s">
        <v>12031</v>
      </c>
      <c r="F3956" s="3" t="s">
        <v>14207</v>
      </c>
      <c r="H3956" s="3" t="s">
        <v>648</v>
      </c>
      <c r="K3956" s="2">
        <v>20</v>
      </c>
      <c r="L3956" s="2">
        <v>7</v>
      </c>
      <c r="M3956" s="3" t="s">
        <v>4504</v>
      </c>
      <c r="N3956" s="3" t="s">
        <v>4310</v>
      </c>
      <c r="O3956" s="3" t="s">
        <v>4505</v>
      </c>
      <c r="P3956" s="3" t="s">
        <v>4506</v>
      </c>
      <c r="Q3956" s="30" t="str">
        <f t="shared" si="61"/>
        <v>MAX : 6.29
TARGET : 5.49
MIN : 4.69</v>
      </c>
    </row>
    <row r="3957" spans="2:18" ht="41.4" x14ac:dyDescent="0.3">
      <c r="B3957">
        <v>0</v>
      </c>
      <c r="C3957" s="33">
        <v>9026</v>
      </c>
      <c r="D3957" s="2">
        <v>1388</v>
      </c>
      <c r="E3957" s="2" t="s">
        <v>12031</v>
      </c>
      <c r="F3957" s="3" t="s">
        <v>14207</v>
      </c>
      <c r="H3957" s="3" t="s">
        <v>648</v>
      </c>
      <c r="K3957" s="2">
        <v>20</v>
      </c>
      <c r="L3957" s="2">
        <v>10</v>
      </c>
      <c r="M3957" s="3" t="s">
        <v>1605</v>
      </c>
      <c r="N3957" s="3" t="s">
        <v>13</v>
      </c>
      <c r="O3957" s="3" t="s">
        <v>14</v>
      </c>
      <c r="Q3957" s="30" t="str">
        <f t="shared" si="61"/>
        <v>MAX : 
TARGET : Yes(Pass)
MIN : No(Fail)</v>
      </c>
    </row>
    <row r="3958" spans="2:18" ht="41.4" x14ac:dyDescent="0.3">
      <c r="B3958">
        <v>0</v>
      </c>
      <c r="C3958" s="33">
        <v>9026</v>
      </c>
      <c r="D3958" s="2">
        <v>1388</v>
      </c>
      <c r="E3958" s="2" t="s">
        <v>12031</v>
      </c>
      <c r="F3958" s="3" t="s">
        <v>14207</v>
      </c>
      <c r="H3958" s="3" t="s">
        <v>648</v>
      </c>
      <c r="K3958" s="2">
        <v>20</v>
      </c>
      <c r="L3958" s="2">
        <v>11</v>
      </c>
      <c r="M3958" s="3" t="s">
        <v>3757</v>
      </c>
      <c r="N3958" s="3" t="s">
        <v>13</v>
      </c>
      <c r="O3958" s="3" t="s">
        <v>14</v>
      </c>
      <c r="Q3958" s="30" t="str">
        <f t="shared" si="61"/>
        <v>MAX : 
TARGET : Yes(Pass)
MIN : No(Fail)</v>
      </c>
    </row>
    <row r="3959" spans="2:18" ht="41.4" x14ac:dyDescent="0.3">
      <c r="B3959">
        <v>0</v>
      </c>
      <c r="C3959" s="33">
        <v>9026</v>
      </c>
      <c r="D3959" s="2">
        <v>1388</v>
      </c>
      <c r="E3959" s="2" t="s">
        <v>12031</v>
      </c>
      <c r="F3959" s="3" t="s">
        <v>14207</v>
      </c>
      <c r="H3959" s="3" t="s">
        <v>648</v>
      </c>
      <c r="K3959" s="2">
        <v>20</v>
      </c>
      <c r="L3959" s="2">
        <v>12</v>
      </c>
      <c r="M3959" s="3" t="s">
        <v>78</v>
      </c>
      <c r="N3959" s="3" t="s">
        <v>13</v>
      </c>
      <c r="O3959" s="3" t="s">
        <v>14</v>
      </c>
      <c r="Q3959" s="30" t="str">
        <f t="shared" si="61"/>
        <v>MAX : 
TARGET : Yes(Pass)
MIN : No(Fail)</v>
      </c>
    </row>
    <row r="3960" spans="2:18" ht="41.4" x14ac:dyDescent="0.3">
      <c r="B3960">
        <v>1</v>
      </c>
      <c r="C3960" s="33">
        <v>8910</v>
      </c>
      <c r="D3960" s="2">
        <v>1334</v>
      </c>
      <c r="E3960" s="2" t="s">
        <v>11433</v>
      </c>
      <c r="H3960" s="3" t="s">
        <v>4197</v>
      </c>
      <c r="K3960" s="2">
        <v>10</v>
      </c>
      <c r="L3960" s="2">
        <v>1</v>
      </c>
      <c r="M3960" s="3" t="s">
        <v>4198</v>
      </c>
      <c r="N3960" s="3" t="s">
        <v>24</v>
      </c>
      <c r="O3960" s="3" t="s">
        <v>25</v>
      </c>
      <c r="Q3960" s="30" t="str">
        <f t="shared" si="61"/>
        <v>MAX : 
TARGET : Yes (Pass)
MIN : No (Fail)</v>
      </c>
    </row>
    <row r="3961" spans="2:18" ht="41.4" x14ac:dyDescent="0.3">
      <c r="B3961">
        <v>1</v>
      </c>
      <c r="C3961" s="33">
        <v>8912</v>
      </c>
      <c r="D3961" s="2">
        <v>2008</v>
      </c>
      <c r="E3961" s="2" t="s">
        <v>11440</v>
      </c>
      <c r="F3961" s="3" t="s">
        <v>14207</v>
      </c>
      <c r="H3961" s="3" t="s">
        <v>558</v>
      </c>
      <c r="K3961" s="2">
        <v>10</v>
      </c>
      <c r="L3961" s="2">
        <v>2</v>
      </c>
      <c r="M3961" s="3" t="s">
        <v>4057</v>
      </c>
      <c r="N3961" s="3" t="s">
        <v>13</v>
      </c>
      <c r="O3961" s="3" t="s">
        <v>14</v>
      </c>
      <c r="Q3961" s="30" t="str">
        <f t="shared" si="61"/>
        <v>MAX : 
TARGET : Yes(Pass)
MIN : No(Fail)</v>
      </c>
    </row>
    <row r="3962" spans="2:18" ht="41.4" x14ac:dyDescent="0.3">
      <c r="B3962">
        <v>1</v>
      </c>
      <c r="C3962" s="33">
        <v>8912</v>
      </c>
      <c r="D3962" s="2">
        <v>2008</v>
      </c>
      <c r="E3962" s="2" t="s">
        <v>11440</v>
      </c>
      <c r="F3962" s="3" t="s">
        <v>14207</v>
      </c>
      <c r="H3962" s="3" t="s">
        <v>558</v>
      </c>
      <c r="K3962" s="2">
        <v>10</v>
      </c>
      <c r="L3962" s="2">
        <v>1</v>
      </c>
      <c r="M3962" s="3" t="s">
        <v>99</v>
      </c>
      <c r="N3962" s="3" t="s">
        <v>1652</v>
      </c>
      <c r="O3962" s="3" t="s">
        <v>3055</v>
      </c>
      <c r="P3962" s="3" t="s">
        <v>4056</v>
      </c>
      <c r="Q3962" s="30" t="str">
        <f t="shared" si="61"/>
        <v>MAX : 12.8
TARGET : 12.0
MIN : 11.2</v>
      </c>
    </row>
    <row r="3963" spans="2:18" ht="41.4" x14ac:dyDescent="0.3">
      <c r="B3963">
        <v>1</v>
      </c>
      <c r="C3963" s="33">
        <v>8914</v>
      </c>
      <c r="D3963" s="2">
        <v>1335</v>
      </c>
      <c r="E3963" s="2" t="s">
        <v>11446</v>
      </c>
      <c r="F3963" s="3" t="s">
        <v>14207</v>
      </c>
      <c r="H3963" s="3" t="s">
        <v>648</v>
      </c>
      <c r="K3963" s="2">
        <v>20</v>
      </c>
      <c r="L3963" s="2">
        <v>2</v>
      </c>
      <c r="M3963" s="3" t="s">
        <v>4088</v>
      </c>
      <c r="N3963" s="3" t="s">
        <v>3474</v>
      </c>
      <c r="O3963" s="3" t="s">
        <v>4089</v>
      </c>
      <c r="P3963" s="3" t="s">
        <v>4090</v>
      </c>
      <c r="Q3963" s="30" t="str">
        <f t="shared" si="61"/>
        <v>MAX : 7.80
TARGET : 7.70
MIN : 7.60</v>
      </c>
      <c r="R3963" s="3" t="s">
        <v>3549</v>
      </c>
    </row>
    <row r="3964" spans="2:18" ht="41.4" x14ac:dyDescent="0.3">
      <c r="B3964">
        <v>0</v>
      </c>
      <c r="C3964" s="33">
        <v>9027</v>
      </c>
      <c r="D3964" s="2">
        <v>1389</v>
      </c>
      <c r="E3964" s="2" t="s">
        <v>12037</v>
      </c>
      <c r="F3964" s="3" t="s">
        <v>14206</v>
      </c>
      <c r="H3964" s="3" t="s">
        <v>3788</v>
      </c>
      <c r="K3964" s="2">
        <v>20</v>
      </c>
      <c r="L3964" s="2">
        <v>3</v>
      </c>
      <c r="M3964" s="3" t="s">
        <v>4510</v>
      </c>
      <c r="N3964" s="3" t="s">
        <v>2461</v>
      </c>
      <c r="O3964" s="3" t="s">
        <v>76</v>
      </c>
      <c r="P3964" s="3" t="s">
        <v>4511</v>
      </c>
      <c r="Q3964" s="30" t="str">
        <f t="shared" si="61"/>
        <v>MAX : 2.52
TARGET : 2.50
MIN : 2.48</v>
      </c>
    </row>
    <row r="3965" spans="2:18" ht="41.4" x14ac:dyDescent="0.3">
      <c r="B3965">
        <v>0</v>
      </c>
      <c r="C3965" s="33">
        <v>9027</v>
      </c>
      <c r="D3965" s="2">
        <v>1389</v>
      </c>
      <c r="E3965" s="2" t="s">
        <v>12037</v>
      </c>
      <c r="F3965" s="3" t="s">
        <v>14206</v>
      </c>
      <c r="H3965" s="3" t="s">
        <v>3788</v>
      </c>
      <c r="K3965" s="2">
        <v>20</v>
      </c>
      <c r="L3965" s="2">
        <v>4</v>
      </c>
      <c r="M3965" s="3" t="s">
        <v>198</v>
      </c>
      <c r="N3965" s="3" t="s">
        <v>2882</v>
      </c>
      <c r="O3965" s="3" t="s">
        <v>1230</v>
      </c>
      <c r="P3965" s="3" t="s">
        <v>4512</v>
      </c>
      <c r="Q3965" s="30" t="str">
        <f t="shared" si="61"/>
        <v>MAX : 8.02
TARGET : 8.00
MIN : 7.98</v>
      </c>
    </row>
    <row r="3966" spans="2:18" ht="41.4" x14ac:dyDescent="0.3">
      <c r="B3966">
        <v>0</v>
      </c>
      <c r="C3966" s="33">
        <v>9027</v>
      </c>
      <c r="D3966" s="2">
        <v>1389</v>
      </c>
      <c r="E3966" s="2" t="s">
        <v>12037</v>
      </c>
      <c r="F3966" s="3" t="s">
        <v>14206</v>
      </c>
      <c r="H3966" s="3" t="s">
        <v>3788</v>
      </c>
      <c r="K3966" s="2">
        <v>20</v>
      </c>
      <c r="L3966" s="2">
        <v>5</v>
      </c>
      <c r="M3966" s="3" t="s">
        <v>4513</v>
      </c>
      <c r="N3966" s="3" t="s">
        <v>2898</v>
      </c>
      <c r="O3966" s="3" t="s">
        <v>253</v>
      </c>
      <c r="P3966" s="3" t="s">
        <v>2899</v>
      </c>
      <c r="Q3966" s="30" t="str">
        <f t="shared" si="61"/>
        <v>MAX : 4.02
TARGET : 4.00
MIN : 3.98</v>
      </c>
    </row>
    <row r="3967" spans="2:18" ht="41.4" x14ac:dyDescent="0.3">
      <c r="B3967">
        <v>0</v>
      </c>
      <c r="C3967" s="33">
        <v>9027</v>
      </c>
      <c r="D3967" s="2">
        <v>1389</v>
      </c>
      <c r="E3967" s="2" t="s">
        <v>12037</v>
      </c>
      <c r="F3967" s="3" t="s">
        <v>14206</v>
      </c>
      <c r="H3967" s="3" t="s">
        <v>3788</v>
      </c>
      <c r="K3967" s="2">
        <v>20</v>
      </c>
      <c r="L3967" s="2">
        <v>6</v>
      </c>
      <c r="M3967" s="3" t="s">
        <v>4514</v>
      </c>
      <c r="N3967" s="3" t="s">
        <v>748</v>
      </c>
      <c r="O3967" s="3" t="s">
        <v>406</v>
      </c>
      <c r="P3967" s="3" t="s">
        <v>1784</v>
      </c>
      <c r="Q3967" s="30" t="str">
        <f t="shared" si="61"/>
        <v>MAX : 2.02
TARGET : 2.00
MIN : 1.98</v>
      </c>
    </row>
    <row r="3968" spans="2:18" ht="41.4" x14ac:dyDescent="0.3">
      <c r="B3968">
        <v>0</v>
      </c>
      <c r="C3968" s="33">
        <v>9027</v>
      </c>
      <c r="D3968" s="2">
        <v>1389</v>
      </c>
      <c r="E3968" s="2" t="s">
        <v>12037</v>
      </c>
      <c r="F3968" s="3" t="s">
        <v>14206</v>
      </c>
      <c r="H3968" s="3" t="s">
        <v>3788</v>
      </c>
      <c r="K3968" s="2">
        <v>20</v>
      </c>
      <c r="L3968" s="2">
        <v>7</v>
      </c>
      <c r="M3968" s="3" t="s">
        <v>4515</v>
      </c>
      <c r="N3968" s="3" t="s">
        <v>13</v>
      </c>
      <c r="O3968" s="3" t="s">
        <v>14</v>
      </c>
      <c r="Q3968" s="30" t="str">
        <f t="shared" si="61"/>
        <v>MAX : 
TARGET : Yes(Pass)
MIN : No(Fail)</v>
      </c>
    </row>
    <row r="3969" spans="2:18" ht="41.4" x14ac:dyDescent="0.3">
      <c r="B3969">
        <v>1</v>
      </c>
      <c r="C3969" s="33">
        <v>8914</v>
      </c>
      <c r="D3969" s="2">
        <v>1335</v>
      </c>
      <c r="E3969" s="2" t="s">
        <v>11446</v>
      </c>
      <c r="F3969" s="3" t="s">
        <v>14207</v>
      </c>
      <c r="H3969" s="3" t="s">
        <v>648</v>
      </c>
      <c r="K3969" s="2">
        <v>20</v>
      </c>
      <c r="L3969" s="2">
        <v>1</v>
      </c>
      <c r="M3969" s="3" t="s">
        <v>194</v>
      </c>
      <c r="N3969" s="3" t="s">
        <v>4085</v>
      </c>
      <c r="O3969" s="3" t="s">
        <v>4086</v>
      </c>
      <c r="P3969" s="3" t="s">
        <v>4087</v>
      </c>
      <c r="Q3969" s="30" t="str">
        <f t="shared" si="61"/>
        <v>MAX : 99.43
TARGET : 99.33
MIN : 99.23</v>
      </c>
      <c r="R3969" s="3" t="s">
        <v>3549</v>
      </c>
    </row>
    <row r="3970" spans="2:18" ht="41.4" x14ac:dyDescent="0.3">
      <c r="B3970">
        <v>1</v>
      </c>
      <c r="C3970" s="33">
        <v>8915</v>
      </c>
      <c r="D3970" s="2">
        <v>1336</v>
      </c>
      <c r="E3970" s="2" t="s">
        <v>11452</v>
      </c>
      <c r="F3970" s="3" t="s">
        <v>14207</v>
      </c>
      <c r="H3970" s="3" t="s">
        <v>648</v>
      </c>
      <c r="K3970" s="2">
        <v>20</v>
      </c>
      <c r="L3970" s="2">
        <v>2</v>
      </c>
      <c r="M3970" s="3" t="s">
        <v>4126</v>
      </c>
      <c r="N3970" s="3" t="s">
        <v>4127</v>
      </c>
      <c r="O3970" s="3" t="s">
        <v>4128</v>
      </c>
      <c r="P3970" s="3" t="s">
        <v>4129</v>
      </c>
      <c r="Q3970" s="30" t="str">
        <f t="shared" ref="Q3970:Q4033" si="62">"MAX : " &amp; P3970 &amp; CHAR(10) &amp; "TARGET : " &amp; O3970 &amp; CHAR(10) &amp; "MIN : " &amp; N3970</f>
        <v>MAX : 17.83
TARGET : 17.08
MIN : 16.33</v>
      </c>
    </row>
    <row r="3971" spans="2:18" ht="41.4" x14ac:dyDescent="0.3">
      <c r="B3971">
        <v>1</v>
      </c>
      <c r="C3971" s="33">
        <v>8915</v>
      </c>
      <c r="D3971" s="2">
        <v>1336</v>
      </c>
      <c r="E3971" s="2" t="s">
        <v>11452</v>
      </c>
      <c r="F3971" s="3" t="s">
        <v>14207</v>
      </c>
      <c r="H3971" s="3" t="s">
        <v>648</v>
      </c>
      <c r="K3971" s="2">
        <v>30</v>
      </c>
      <c r="L3971" s="2">
        <v>9</v>
      </c>
      <c r="M3971" s="3" t="s">
        <v>1361</v>
      </c>
      <c r="N3971" s="3" t="s">
        <v>4487</v>
      </c>
      <c r="O3971" s="3" t="s">
        <v>4488</v>
      </c>
      <c r="P3971" s="3" t="s">
        <v>4489</v>
      </c>
      <c r="Q3971" s="30" t="str">
        <f t="shared" si="62"/>
        <v>MAX : 98.05
TARGET : 97.80
MIN : 97.55</v>
      </c>
    </row>
    <row r="3972" spans="2:18" ht="41.4" x14ac:dyDescent="0.3">
      <c r="B3972">
        <v>1</v>
      </c>
      <c r="C3972" s="33">
        <v>8915</v>
      </c>
      <c r="D3972" s="2">
        <v>1336</v>
      </c>
      <c r="E3972" s="2" t="s">
        <v>11452</v>
      </c>
      <c r="F3972" s="3" t="s">
        <v>14207</v>
      </c>
      <c r="H3972" s="3" t="s">
        <v>648</v>
      </c>
      <c r="K3972" s="2">
        <v>20</v>
      </c>
      <c r="L3972" s="2">
        <v>1</v>
      </c>
      <c r="M3972" s="3" t="s">
        <v>4125</v>
      </c>
      <c r="N3972" s="3" t="s">
        <v>389</v>
      </c>
      <c r="O3972" s="3" t="s">
        <v>1211</v>
      </c>
      <c r="P3972" s="3" t="s">
        <v>1092</v>
      </c>
      <c r="Q3972" s="30" t="str">
        <f t="shared" si="62"/>
        <v>MAX : 6.75
TARGET : 6.50
MIN : 6.25</v>
      </c>
    </row>
    <row r="3973" spans="2:18" ht="41.4" x14ac:dyDescent="0.3">
      <c r="B3973">
        <v>0</v>
      </c>
      <c r="C3973" s="33">
        <v>9029</v>
      </c>
      <c r="D3973" s="2">
        <v>1390</v>
      </c>
      <c r="E3973" s="2" t="s">
        <v>12049</v>
      </c>
      <c r="F3973" s="3" t="s">
        <v>14207</v>
      </c>
      <c r="H3973" s="3" t="s">
        <v>648</v>
      </c>
      <c r="K3973" s="2">
        <v>10</v>
      </c>
      <c r="L3973" s="2">
        <v>3</v>
      </c>
      <c r="M3973" s="3" t="s">
        <v>4521</v>
      </c>
      <c r="N3973" s="3" t="s">
        <v>13</v>
      </c>
      <c r="O3973" s="3" t="s">
        <v>14</v>
      </c>
      <c r="Q3973" s="30" t="str">
        <f t="shared" si="62"/>
        <v>MAX : 
TARGET : Yes(Pass)
MIN : No(Fail)</v>
      </c>
      <c r="R3973" s="3" t="s">
        <v>4520</v>
      </c>
    </row>
    <row r="3974" spans="2:18" ht="41.4" x14ac:dyDescent="0.3">
      <c r="B3974">
        <v>0</v>
      </c>
      <c r="C3974" s="33">
        <v>9029</v>
      </c>
      <c r="D3974" s="2">
        <v>1390</v>
      </c>
      <c r="E3974" s="2" t="s">
        <v>12049</v>
      </c>
      <c r="F3974" s="3" t="s">
        <v>14207</v>
      </c>
      <c r="H3974" s="3" t="s">
        <v>648</v>
      </c>
      <c r="K3974" s="2">
        <v>20</v>
      </c>
      <c r="L3974" s="2">
        <v>1</v>
      </c>
      <c r="M3974" s="3" t="s">
        <v>4522</v>
      </c>
      <c r="N3974" s="3" t="s">
        <v>339</v>
      </c>
      <c r="O3974" s="3" t="s">
        <v>4523</v>
      </c>
      <c r="P3974" s="3" t="s">
        <v>4524</v>
      </c>
      <c r="Q3974" s="30" t="str">
        <f t="shared" si="62"/>
        <v>MAX : 3.5
TARGET : 3.3
MIN : 3.25</v>
      </c>
      <c r="R3974" s="3" t="s">
        <v>4520</v>
      </c>
    </row>
    <row r="3975" spans="2:18" ht="41.4" x14ac:dyDescent="0.3">
      <c r="B3975">
        <v>0</v>
      </c>
      <c r="C3975" s="33">
        <v>9029</v>
      </c>
      <c r="D3975" s="2">
        <v>1390</v>
      </c>
      <c r="E3975" s="2" t="s">
        <v>12049</v>
      </c>
      <c r="F3975" s="3" t="s">
        <v>14207</v>
      </c>
      <c r="H3975" s="3" t="s">
        <v>648</v>
      </c>
      <c r="K3975" s="2">
        <v>30</v>
      </c>
      <c r="L3975" s="2">
        <v>1</v>
      </c>
      <c r="M3975" s="3" t="s">
        <v>1666</v>
      </c>
      <c r="N3975" s="3" t="s">
        <v>4525</v>
      </c>
      <c r="O3975" s="3" t="s">
        <v>4526</v>
      </c>
      <c r="P3975" s="3" t="s">
        <v>4527</v>
      </c>
      <c r="Q3975" s="30" t="str">
        <f t="shared" si="62"/>
        <v>MAX : 51.03
TARGET : 50.80
MIN : 50.57</v>
      </c>
      <c r="R3975" s="3" t="s">
        <v>4520</v>
      </c>
    </row>
    <row r="3976" spans="2:18" ht="41.4" x14ac:dyDescent="0.3">
      <c r="B3976">
        <v>0</v>
      </c>
      <c r="C3976" s="33">
        <v>9029</v>
      </c>
      <c r="D3976" s="2">
        <v>1390</v>
      </c>
      <c r="E3976" s="2" t="s">
        <v>12049</v>
      </c>
      <c r="F3976" s="3" t="s">
        <v>14207</v>
      </c>
      <c r="H3976" s="3" t="s">
        <v>648</v>
      </c>
      <c r="K3976" s="2">
        <v>30</v>
      </c>
      <c r="L3976" s="2">
        <v>2</v>
      </c>
      <c r="M3976" s="3" t="s">
        <v>194</v>
      </c>
      <c r="N3976" s="3" t="s">
        <v>4528</v>
      </c>
      <c r="O3976" s="3" t="s">
        <v>1458</v>
      </c>
      <c r="P3976" s="3" t="s">
        <v>4529</v>
      </c>
      <c r="Q3976" s="30" t="str">
        <f t="shared" si="62"/>
        <v>MAX : 71.3
TARGET : 70.0
MIN : 68.7</v>
      </c>
      <c r="R3976" s="3" t="s">
        <v>4520</v>
      </c>
    </row>
    <row r="3977" spans="2:18" ht="41.4" x14ac:dyDescent="0.3">
      <c r="B3977">
        <v>0</v>
      </c>
      <c r="C3977" s="33">
        <v>9029</v>
      </c>
      <c r="D3977" s="2">
        <v>1390</v>
      </c>
      <c r="E3977" s="2" t="s">
        <v>12049</v>
      </c>
      <c r="F3977" s="3" t="s">
        <v>14207</v>
      </c>
      <c r="H3977" s="3" t="s">
        <v>648</v>
      </c>
      <c r="K3977" s="2">
        <v>30</v>
      </c>
      <c r="L3977" s="2">
        <v>3</v>
      </c>
      <c r="M3977" s="3" t="s">
        <v>198</v>
      </c>
      <c r="N3977" s="3" t="s">
        <v>4528</v>
      </c>
      <c r="O3977" s="3" t="s">
        <v>1458</v>
      </c>
      <c r="P3977" s="3" t="s">
        <v>4529</v>
      </c>
      <c r="Q3977" s="30" t="str">
        <f t="shared" si="62"/>
        <v>MAX : 71.3
TARGET : 70.0
MIN : 68.7</v>
      </c>
      <c r="R3977" s="3" t="s">
        <v>4520</v>
      </c>
    </row>
    <row r="3978" spans="2:18" ht="41.4" x14ac:dyDescent="0.3">
      <c r="B3978">
        <v>0</v>
      </c>
      <c r="C3978" s="33">
        <v>9029</v>
      </c>
      <c r="D3978" s="2">
        <v>1390</v>
      </c>
      <c r="E3978" s="2" t="s">
        <v>12049</v>
      </c>
      <c r="F3978" s="3" t="s">
        <v>14207</v>
      </c>
      <c r="H3978" s="3" t="s">
        <v>648</v>
      </c>
      <c r="K3978" s="2">
        <v>30</v>
      </c>
      <c r="L3978" s="2">
        <v>4</v>
      </c>
      <c r="M3978" s="3" t="s">
        <v>3263</v>
      </c>
      <c r="N3978" s="3" t="s">
        <v>2407</v>
      </c>
      <c r="O3978" s="3" t="s">
        <v>4530</v>
      </c>
      <c r="P3978" s="3" t="s">
        <v>4180</v>
      </c>
      <c r="Q3978" s="30" t="str">
        <f t="shared" si="62"/>
        <v>MAX : 4.5
TARGET : 3.0
MIN : 1.5</v>
      </c>
      <c r="R3978" s="3" t="s">
        <v>4520</v>
      </c>
    </row>
    <row r="3979" spans="2:18" ht="41.4" x14ac:dyDescent="0.3">
      <c r="B3979">
        <v>0</v>
      </c>
      <c r="C3979" s="33">
        <v>9029</v>
      </c>
      <c r="D3979" s="2">
        <v>1390</v>
      </c>
      <c r="E3979" s="2" t="s">
        <v>12049</v>
      </c>
      <c r="F3979" s="3" t="s">
        <v>14207</v>
      </c>
      <c r="H3979" s="3" t="s">
        <v>648</v>
      </c>
      <c r="K3979" s="2">
        <v>30</v>
      </c>
      <c r="L3979" s="2">
        <v>5</v>
      </c>
      <c r="M3979" s="3" t="s">
        <v>4531</v>
      </c>
      <c r="N3979" s="3" t="s">
        <v>13</v>
      </c>
      <c r="O3979" s="3" t="s">
        <v>14</v>
      </c>
      <c r="Q3979" s="30" t="str">
        <f t="shared" si="62"/>
        <v>MAX : 
TARGET : Yes(Pass)
MIN : No(Fail)</v>
      </c>
      <c r="R3979" s="3" t="s">
        <v>4520</v>
      </c>
    </row>
    <row r="3980" spans="2:18" ht="41.4" x14ac:dyDescent="0.3">
      <c r="B3980">
        <v>0</v>
      </c>
      <c r="C3980" s="33">
        <v>9029</v>
      </c>
      <c r="D3980" s="2">
        <v>1390</v>
      </c>
      <c r="E3980" s="2" t="s">
        <v>12049</v>
      </c>
      <c r="F3980" s="3" t="s">
        <v>14207</v>
      </c>
      <c r="H3980" s="3" t="s">
        <v>648</v>
      </c>
      <c r="K3980" s="2">
        <v>30</v>
      </c>
      <c r="L3980" s="2">
        <v>6</v>
      </c>
      <c r="M3980" s="3" t="s">
        <v>4532</v>
      </c>
      <c r="N3980" s="3" t="s">
        <v>13</v>
      </c>
      <c r="O3980" s="3" t="s">
        <v>14</v>
      </c>
      <c r="Q3980" s="30" t="str">
        <f t="shared" si="62"/>
        <v>MAX : 
TARGET : Yes(Pass)
MIN : No(Fail)</v>
      </c>
      <c r="R3980" s="3" t="s">
        <v>4520</v>
      </c>
    </row>
    <row r="3981" spans="2:18" ht="41.4" x14ac:dyDescent="0.3">
      <c r="B3981">
        <v>0</v>
      </c>
      <c r="C3981" s="33">
        <v>9029</v>
      </c>
      <c r="D3981" s="2">
        <v>1390</v>
      </c>
      <c r="E3981" s="2" t="s">
        <v>12049</v>
      </c>
      <c r="F3981" s="3" t="s">
        <v>14207</v>
      </c>
      <c r="H3981" s="3" t="s">
        <v>648</v>
      </c>
      <c r="K3981" s="2">
        <v>30</v>
      </c>
      <c r="L3981" s="2">
        <v>7</v>
      </c>
      <c r="M3981" s="3" t="s">
        <v>4533</v>
      </c>
      <c r="N3981" s="3" t="s">
        <v>13</v>
      </c>
      <c r="O3981" s="3" t="s">
        <v>14</v>
      </c>
      <c r="Q3981" s="30" t="str">
        <f t="shared" si="62"/>
        <v>MAX : 
TARGET : Yes(Pass)
MIN : No(Fail)</v>
      </c>
      <c r="R3981" s="3" t="s">
        <v>4520</v>
      </c>
    </row>
    <row r="3982" spans="2:18" ht="41.4" x14ac:dyDescent="0.3">
      <c r="B3982">
        <v>1</v>
      </c>
      <c r="C3982" s="33">
        <v>8915</v>
      </c>
      <c r="D3982" s="2">
        <v>1336</v>
      </c>
      <c r="E3982" s="2" t="s">
        <v>11452</v>
      </c>
      <c r="F3982" s="3" t="s">
        <v>14207</v>
      </c>
      <c r="H3982" s="3" t="s">
        <v>648</v>
      </c>
      <c r="K3982" s="2">
        <v>20</v>
      </c>
      <c r="L3982" s="2">
        <v>4</v>
      </c>
      <c r="M3982" s="3" t="s">
        <v>4483</v>
      </c>
      <c r="N3982" s="3" t="s">
        <v>4484</v>
      </c>
      <c r="O3982" s="3" t="s">
        <v>4485</v>
      </c>
      <c r="P3982" s="3" t="s">
        <v>4486</v>
      </c>
      <c r="Q3982" s="30" t="str">
        <f t="shared" si="62"/>
        <v>MAX : 95.63
TARGET : 94.63
MIN : 93.63</v>
      </c>
    </row>
    <row r="3983" spans="2:18" ht="41.4" x14ac:dyDescent="0.3">
      <c r="B3983">
        <v>1</v>
      </c>
      <c r="C3983" s="33">
        <v>8915</v>
      </c>
      <c r="D3983" s="2">
        <v>1336</v>
      </c>
      <c r="E3983" s="2" t="s">
        <v>11452</v>
      </c>
      <c r="F3983" s="3" t="s">
        <v>14207</v>
      </c>
      <c r="H3983" s="3" t="s">
        <v>648</v>
      </c>
      <c r="K3983" s="2">
        <v>30</v>
      </c>
      <c r="L3983" s="2">
        <v>10</v>
      </c>
      <c r="M3983" s="3" t="s">
        <v>4922</v>
      </c>
      <c r="N3983" s="3" t="s">
        <v>1471</v>
      </c>
      <c r="O3983" s="3" t="s">
        <v>4923</v>
      </c>
      <c r="P3983" s="3" t="s">
        <v>4924</v>
      </c>
      <c r="Q3983" s="30" t="str">
        <f t="shared" si="62"/>
        <v>MAX : 44.95
TARGET : 44.70
MIN : 44.45</v>
      </c>
    </row>
    <row r="3984" spans="2:18" ht="41.4" x14ac:dyDescent="0.3">
      <c r="B3984">
        <v>1</v>
      </c>
      <c r="C3984" s="33">
        <v>8915</v>
      </c>
      <c r="D3984" s="2">
        <v>1336</v>
      </c>
      <c r="E3984" s="2" t="s">
        <v>11452</v>
      </c>
      <c r="F3984" s="3" t="s">
        <v>14207</v>
      </c>
      <c r="H3984" s="3" t="s">
        <v>648</v>
      </c>
      <c r="K3984" s="2">
        <v>30</v>
      </c>
      <c r="L3984" s="2">
        <v>11</v>
      </c>
      <c r="M3984" s="3" t="s">
        <v>5326</v>
      </c>
      <c r="N3984" s="3" t="s">
        <v>5327</v>
      </c>
      <c r="O3984" s="3" t="s">
        <v>5328</v>
      </c>
      <c r="P3984" s="3" t="s">
        <v>5329</v>
      </c>
      <c r="Q3984" s="30" t="str">
        <f t="shared" si="62"/>
        <v>MAX : 8.92
TARGET : 8.17
MIN : 7.42</v>
      </c>
    </row>
    <row r="3985" spans="2:18" ht="41.4" x14ac:dyDescent="0.3">
      <c r="B3985">
        <v>1</v>
      </c>
      <c r="C3985" s="33">
        <v>8915</v>
      </c>
      <c r="D3985" s="2">
        <v>1336</v>
      </c>
      <c r="E3985" s="2" t="s">
        <v>11452</v>
      </c>
      <c r="F3985" s="3" t="s">
        <v>14207</v>
      </c>
      <c r="H3985" s="3" t="s">
        <v>648</v>
      </c>
      <c r="K3985" s="2">
        <v>30</v>
      </c>
      <c r="L3985" s="2">
        <v>12</v>
      </c>
      <c r="M3985" s="3" t="s">
        <v>5670</v>
      </c>
      <c r="N3985" s="3" t="s">
        <v>406</v>
      </c>
      <c r="O3985" s="3" t="s">
        <v>815</v>
      </c>
      <c r="P3985" s="3" t="s">
        <v>253</v>
      </c>
      <c r="Q3985" s="30" t="str">
        <f t="shared" si="62"/>
        <v>MAX : 4.00
TARGET : 3.00
MIN : 2.00</v>
      </c>
    </row>
    <row r="3986" spans="2:18" ht="41.4" x14ac:dyDescent="0.3">
      <c r="B3986">
        <v>0</v>
      </c>
      <c r="C3986" s="33">
        <v>8022</v>
      </c>
      <c r="D3986" s="2">
        <v>1170</v>
      </c>
      <c r="E3986" s="2" t="s">
        <v>9940</v>
      </c>
      <c r="F3986" s="3" t="s">
        <v>14206</v>
      </c>
      <c r="G3986" s="3" t="s">
        <v>1665</v>
      </c>
      <c r="H3986" s="3" t="s">
        <v>2921</v>
      </c>
      <c r="I3986" s="3" t="s">
        <v>575</v>
      </c>
      <c r="K3986" s="2">
        <v>20</v>
      </c>
      <c r="L3986" s="2">
        <v>3</v>
      </c>
      <c r="M3986" s="3" t="s">
        <v>4538</v>
      </c>
      <c r="N3986" s="3" t="s">
        <v>13</v>
      </c>
      <c r="O3986" s="3" t="s">
        <v>14</v>
      </c>
      <c r="Q3986" s="30" t="str">
        <f t="shared" si="62"/>
        <v>MAX : 
TARGET : Yes(Pass)
MIN : No(Fail)</v>
      </c>
    </row>
    <row r="3987" spans="2:18" ht="41.4" x14ac:dyDescent="0.3">
      <c r="B3987">
        <v>0</v>
      </c>
      <c r="C3987" s="33">
        <v>8022</v>
      </c>
      <c r="D3987" s="2">
        <v>1170</v>
      </c>
      <c r="E3987" s="2" t="s">
        <v>9940</v>
      </c>
      <c r="F3987" s="3" t="s">
        <v>14206</v>
      </c>
      <c r="G3987" s="3" t="s">
        <v>1665</v>
      </c>
      <c r="H3987" s="3" t="s">
        <v>2921</v>
      </c>
      <c r="I3987" s="3" t="s">
        <v>575</v>
      </c>
      <c r="K3987" s="2">
        <v>20</v>
      </c>
      <c r="L3987" s="2">
        <v>4</v>
      </c>
      <c r="M3987" s="3" t="s">
        <v>4539</v>
      </c>
      <c r="N3987" s="3" t="s">
        <v>13</v>
      </c>
      <c r="O3987" s="3" t="s">
        <v>14</v>
      </c>
      <c r="Q3987" s="30" t="str">
        <f t="shared" si="62"/>
        <v>MAX : 
TARGET : Yes(Pass)
MIN : No(Fail)</v>
      </c>
    </row>
    <row r="3988" spans="2:18" ht="41.4" x14ac:dyDescent="0.3">
      <c r="B3988">
        <v>0</v>
      </c>
      <c r="C3988" s="33">
        <v>8022</v>
      </c>
      <c r="D3988" s="2">
        <v>1170</v>
      </c>
      <c r="E3988" s="2" t="s">
        <v>9940</v>
      </c>
      <c r="F3988" s="3" t="s">
        <v>14206</v>
      </c>
      <c r="G3988" s="3" t="s">
        <v>1665</v>
      </c>
      <c r="H3988" s="3" t="s">
        <v>2921</v>
      </c>
      <c r="I3988" s="3" t="s">
        <v>575</v>
      </c>
      <c r="K3988" s="2">
        <v>20</v>
      </c>
      <c r="L3988" s="2">
        <v>5</v>
      </c>
      <c r="M3988" s="3" t="s">
        <v>2624</v>
      </c>
      <c r="N3988" s="3" t="s">
        <v>13</v>
      </c>
      <c r="O3988" s="3" t="s">
        <v>14</v>
      </c>
      <c r="Q3988" s="30" t="str">
        <f t="shared" si="62"/>
        <v>MAX : 
TARGET : Yes(Pass)
MIN : No(Fail)</v>
      </c>
    </row>
    <row r="3989" spans="2:18" ht="41.4" x14ac:dyDescent="0.3">
      <c r="B3989">
        <v>0</v>
      </c>
      <c r="C3989" s="33">
        <v>8022</v>
      </c>
      <c r="D3989" s="2">
        <v>1170</v>
      </c>
      <c r="E3989" s="2" t="s">
        <v>9940</v>
      </c>
      <c r="F3989" s="3" t="s">
        <v>14206</v>
      </c>
      <c r="G3989" s="3" t="s">
        <v>1665</v>
      </c>
      <c r="H3989" s="3" t="s">
        <v>2921</v>
      </c>
      <c r="I3989" s="3" t="s">
        <v>575</v>
      </c>
      <c r="K3989" s="2">
        <v>20</v>
      </c>
      <c r="L3989" s="2">
        <v>6</v>
      </c>
      <c r="M3989" s="3" t="s">
        <v>4540</v>
      </c>
      <c r="N3989" s="3" t="s">
        <v>13</v>
      </c>
      <c r="O3989" s="3" t="s">
        <v>14</v>
      </c>
      <c r="Q3989" s="30" t="str">
        <f t="shared" si="62"/>
        <v>MAX : 
TARGET : Yes(Pass)
MIN : No(Fail)</v>
      </c>
    </row>
    <row r="3990" spans="2:18" ht="41.4" x14ac:dyDescent="0.3">
      <c r="B3990">
        <v>0</v>
      </c>
      <c r="C3990" s="33">
        <v>8022</v>
      </c>
      <c r="D3990" s="2">
        <v>1170</v>
      </c>
      <c r="E3990" s="2" t="s">
        <v>9940</v>
      </c>
      <c r="F3990" s="3" t="s">
        <v>14206</v>
      </c>
      <c r="G3990" s="3" t="s">
        <v>1665</v>
      </c>
      <c r="H3990" s="3" t="s">
        <v>2921</v>
      </c>
      <c r="I3990" s="3" t="s">
        <v>575</v>
      </c>
      <c r="K3990" s="2">
        <v>20</v>
      </c>
      <c r="L3990" s="2">
        <v>7</v>
      </c>
      <c r="M3990" s="3" t="s">
        <v>4541</v>
      </c>
      <c r="N3990" s="3" t="s">
        <v>13</v>
      </c>
      <c r="O3990" s="3" t="s">
        <v>14</v>
      </c>
      <c r="Q3990" s="30" t="str">
        <f t="shared" si="62"/>
        <v>MAX : 
TARGET : Yes(Pass)
MIN : No(Fail)</v>
      </c>
    </row>
    <row r="3991" spans="2:18" ht="41.4" x14ac:dyDescent="0.3">
      <c r="B3991">
        <v>1</v>
      </c>
      <c r="C3991" s="33">
        <v>8919</v>
      </c>
      <c r="D3991" s="2">
        <v>1337</v>
      </c>
      <c r="E3991" s="2" t="s">
        <v>11458</v>
      </c>
      <c r="F3991" s="3" t="s">
        <v>14206</v>
      </c>
      <c r="H3991" s="3" t="s">
        <v>108</v>
      </c>
      <c r="K3991" s="2">
        <v>20</v>
      </c>
      <c r="L3991" s="2">
        <v>2</v>
      </c>
      <c r="M3991" s="3" t="s">
        <v>4072</v>
      </c>
      <c r="N3991" s="3" t="s">
        <v>3739</v>
      </c>
      <c r="O3991" s="3" t="s">
        <v>3740</v>
      </c>
      <c r="P3991" s="3" t="s">
        <v>3124</v>
      </c>
      <c r="Q3991" s="30" t="str">
        <f t="shared" si="62"/>
        <v>MAX : 0.115
TARGET : 0.100
MIN : 0.085</v>
      </c>
      <c r="R3991" s="3" t="s">
        <v>443</v>
      </c>
    </row>
    <row r="3992" spans="2:18" ht="41.4" x14ac:dyDescent="0.3">
      <c r="B3992">
        <v>1</v>
      </c>
      <c r="C3992" s="33">
        <v>8919</v>
      </c>
      <c r="D3992" s="2">
        <v>1337</v>
      </c>
      <c r="E3992" s="2" t="s">
        <v>11458</v>
      </c>
      <c r="F3992" s="3" t="s">
        <v>14206</v>
      </c>
      <c r="H3992" s="3" t="s">
        <v>108</v>
      </c>
      <c r="K3992" s="2">
        <v>20</v>
      </c>
      <c r="L3992" s="2">
        <v>1</v>
      </c>
      <c r="M3992" s="3" t="s">
        <v>194</v>
      </c>
      <c r="N3992" s="3" t="s">
        <v>3578</v>
      </c>
      <c r="O3992" s="3" t="s">
        <v>687</v>
      </c>
      <c r="P3992" s="3" t="s">
        <v>4071</v>
      </c>
      <c r="Q3992" s="30" t="str">
        <f t="shared" si="62"/>
        <v>MAX : 1.160
TARGET : 1.145
MIN : 1.130</v>
      </c>
      <c r="R3992" s="3" t="s">
        <v>443</v>
      </c>
    </row>
    <row r="3993" spans="2:18" ht="41.4" x14ac:dyDescent="0.3">
      <c r="B3993">
        <v>0</v>
      </c>
      <c r="C3993" s="33">
        <v>9030</v>
      </c>
      <c r="D3993" s="2">
        <v>1391</v>
      </c>
      <c r="E3993" s="2" t="s">
        <v>12056</v>
      </c>
      <c r="F3993" s="3" t="s">
        <v>14206</v>
      </c>
      <c r="H3993" s="3" t="s">
        <v>108</v>
      </c>
      <c r="I3993" s="3" t="s">
        <v>487</v>
      </c>
      <c r="K3993" s="2">
        <v>20</v>
      </c>
      <c r="L3993" s="2">
        <v>3</v>
      </c>
      <c r="M3993" s="3" t="s">
        <v>2358</v>
      </c>
      <c r="N3993" s="3" t="s">
        <v>13</v>
      </c>
      <c r="O3993" s="3" t="s">
        <v>14</v>
      </c>
      <c r="Q3993" s="30" t="str">
        <f t="shared" si="62"/>
        <v>MAX : 
TARGET : Yes(Pass)
MIN : No(Fail)</v>
      </c>
    </row>
    <row r="3994" spans="2:18" ht="41.4" x14ac:dyDescent="0.3">
      <c r="B3994">
        <v>1</v>
      </c>
      <c r="C3994" s="33">
        <v>8921</v>
      </c>
      <c r="D3994" s="2">
        <v>1338</v>
      </c>
      <c r="E3994" s="2" t="s">
        <v>11464</v>
      </c>
      <c r="F3994" s="3" t="s">
        <v>14207</v>
      </c>
      <c r="H3994" s="3" t="s">
        <v>648</v>
      </c>
      <c r="K3994" s="2">
        <v>10</v>
      </c>
      <c r="L3994" s="2">
        <v>2</v>
      </c>
      <c r="M3994" s="3" t="s">
        <v>4059</v>
      </c>
      <c r="N3994" s="3" t="s">
        <v>24</v>
      </c>
      <c r="O3994" s="3" t="s">
        <v>25</v>
      </c>
      <c r="Q3994" s="30" t="str">
        <f t="shared" si="62"/>
        <v>MAX : 
TARGET : Yes (Pass)
MIN : No (Fail)</v>
      </c>
    </row>
    <row r="3995" spans="2:18" ht="41.4" x14ac:dyDescent="0.3">
      <c r="B3995">
        <v>1</v>
      </c>
      <c r="C3995" s="33">
        <v>8921</v>
      </c>
      <c r="D3995" s="2">
        <v>1338</v>
      </c>
      <c r="E3995" s="2" t="s">
        <v>11464</v>
      </c>
      <c r="F3995" s="3" t="s">
        <v>14207</v>
      </c>
      <c r="H3995" s="3" t="s">
        <v>648</v>
      </c>
      <c r="K3995" s="2">
        <v>10</v>
      </c>
      <c r="L3995" s="2">
        <v>1</v>
      </c>
      <c r="M3995" s="3" t="s">
        <v>4058</v>
      </c>
      <c r="N3995" s="3" t="s">
        <v>24</v>
      </c>
      <c r="O3995" s="3" t="s">
        <v>25</v>
      </c>
      <c r="Q3995" s="30" t="str">
        <f t="shared" si="62"/>
        <v>MAX : 
TARGET : Yes (Pass)
MIN : No (Fail)</v>
      </c>
    </row>
    <row r="3996" spans="2:18" ht="41.4" x14ac:dyDescent="0.3">
      <c r="B3996">
        <v>1</v>
      </c>
      <c r="C3996" s="33">
        <v>8922</v>
      </c>
      <c r="D3996" s="2">
        <v>1339</v>
      </c>
      <c r="E3996" s="2" t="s">
        <v>11471</v>
      </c>
      <c r="F3996" s="3" t="s">
        <v>14207</v>
      </c>
      <c r="G3996" s="3" t="s">
        <v>4061</v>
      </c>
      <c r="H3996" s="3" t="s">
        <v>469</v>
      </c>
      <c r="I3996" s="3" t="s">
        <v>575</v>
      </c>
      <c r="K3996" s="2">
        <v>10</v>
      </c>
      <c r="L3996" s="2">
        <v>2</v>
      </c>
      <c r="M3996" s="3" t="s">
        <v>4066</v>
      </c>
      <c r="N3996" s="3" t="s">
        <v>897</v>
      </c>
      <c r="O3996" s="3" t="s">
        <v>632</v>
      </c>
      <c r="P3996" s="3" t="s">
        <v>898</v>
      </c>
      <c r="Q3996" s="30" t="str">
        <f t="shared" si="62"/>
        <v>MAX : 26
TARGET : 25
MIN : 24</v>
      </c>
      <c r="R3996" s="3" t="s">
        <v>1638</v>
      </c>
    </row>
    <row r="3997" spans="2:18" ht="41.4" x14ac:dyDescent="0.3">
      <c r="B3997">
        <v>0</v>
      </c>
      <c r="C3997" s="33">
        <v>9031</v>
      </c>
      <c r="D3997" s="2">
        <v>1392</v>
      </c>
      <c r="E3997" s="2" t="s">
        <v>12062</v>
      </c>
      <c r="F3997" s="3" t="s">
        <v>14206</v>
      </c>
      <c r="H3997" s="3" t="s">
        <v>2116</v>
      </c>
      <c r="K3997" s="2">
        <v>20</v>
      </c>
      <c r="L3997" s="2">
        <v>5</v>
      </c>
      <c r="M3997" s="3" t="s">
        <v>4545</v>
      </c>
      <c r="N3997" s="3" t="s">
        <v>13</v>
      </c>
      <c r="O3997" s="3" t="s">
        <v>14</v>
      </c>
      <c r="Q3997" s="30" t="str">
        <f t="shared" si="62"/>
        <v>MAX : 
TARGET : Yes(Pass)
MIN : No(Fail)</v>
      </c>
    </row>
    <row r="3998" spans="2:18" ht="41.4" x14ac:dyDescent="0.3">
      <c r="B3998">
        <v>0</v>
      </c>
      <c r="C3998" s="33">
        <v>9031</v>
      </c>
      <c r="D3998" s="2">
        <v>1392</v>
      </c>
      <c r="E3998" s="2" t="s">
        <v>12062</v>
      </c>
      <c r="F3998" s="3" t="s">
        <v>14206</v>
      </c>
      <c r="H3998" s="3" t="s">
        <v>2116</v>
      </c>
      <c r="K3998" s="2">
        <v>20</v>
      </c>
      <c r="L3998" s="2">
        <v>6</v>
      </c>
      <c r="M3998" s="3" t="s">
        <v>2136</v>
      </c>
      <c r="N3998" s="3" t="s">
        <v>13</v>
      </c>
      <c r="O3998" s="3" t="s">
        <v>14</v>
      </c>
      <c r="Q3998" s="30" t="str">
        <f t="shared" si="62"/>
        <v>MAX : 
TARGET : Yes(Pass)
MIN : No(Fail)</v>
      </c>
    </row>
    <row r="3999" spans="2:18" ht="41.4" x14ac:dyDescent="0.3">
      <c r="B3999">
        <v>0</v>
      </c>
      <c r="C3999" s="33">
        <v>9031</v>
      </c>
      <c r="D3999" s="2">
        <v>1392</v>
      </c>
      <c r="E3999" s="2" t="s">
        <v>12062</v>
      </c>
      <c r="F3999" s="3" t="s">
        <v>14206</v>
      </c>
      <c r="H3999" s="3" t="s">
        <v>2116</v>
      </c>
      <c r="K3999" s="2">
        <v>20</v>
      </c>
      <c r="L3999" s="2">
        <v>7</v>
      </c>
      <c r="M3999" s="3" t="s">
        <v>2137</v>
      </c>
      <c r="N3999" s="3" t="s">
        <v>13</v>
      </c>
      <c r="O3999" s="3" t="s">
        <v>14</v>
      </c>
      <c r="Q3999" s="30" t="str">
        <f t="shared" si="62"/>
        <v>MAX : 
TARGET : Yes(Pass)
MIN : No(Fail)</v>
      </c>
    </row>
    <row r="4000" spans="2:18" ht="41.4" x14ac:dyDescent="0.3">
      <c r="B4000">
        <v>0</v>
      </c>
      <c r="C4000" s="33">
        <v>9031</v>
      </c>
      <c r="D4000" s="2">
        <v>1392</v>
      </c>
      <c r="E4000" s="2" t="s">
        <v>12062</v>
      </c>
      <c r="F4000" s="3" t="s">
        <v>14206</v>
      </c>
      <c r="H4000" s="3" t="s">
        <v>2116</v>
      </c>
      <c r="K4000" s="2">
        <v>20</v>
      </c>
      <c r="L4000" s="2">
        <v>3</v>
      </c>
      <c r="M4000" s="3" t="s">
        <v>2144</v>
      </c>
      <c r="N4000" s="3" t="s">
        <v>2145</v>
      </c>
      <c r="O4000" s="3" t="s">
        <v>247</v>
      </c>
      <c r="P4000" s="3" t="s">
        <v>979</v>
      </c>
      <c r="Q4000" s="30" t="str">
        <f t="shared" si="62"/>
        <v>MAX : 0.44
TARGET : 0.38
MIN : 0.32</v>
      </c>
    </row>
    <row r="4001" spans="2:18" ht="41.4" x14ac:dyDescent="0.3">
      <c r="B4001">
        <v>0</v>
      </c>
      <c r="C4001" s="33">
        <v>9031</v>
      </c>
      <c r="D4001" s="2">
        <v>1392</v>
      </c>
      <c r="E4001" s="2" t="s">
        <v>12062</v>
      </c>
      <c r="F4001" s="3" t="s">
        <v>14206</v>
      </c>
      <c r="H4001" s="3" t="s">
        <v>2116</v>
      </c>
      <c r="K4001" s="2">
        <v>20</v>
      </c>
      <c r="L4001" s="2">
        <v>4</v>
      </c>
      <c r="M4001" s="3" t="s">
        <v>2146</v>
      </c>
      <c r="N4001" s="3" t="s">
        <v>979</v>
      </c>
      <c r="O4001" s="3" t="s">
        <v>309</v>
      </c>
      <c r="P4001" s="3" t="s">
        <v>1531</v>
      </c>
      <c r="Q4001" s="30" t="str">
        <f t="shared" si="62"/>
        <v>MAX : 0.56
TARGET : 0.50
MIN : 0.44</v>
      </c>
    </row>
    <row r="4002" spans="2:18" ht="41.4" x14ac:dyDescent="0.3">
      <c r="B4002">
        <v>1</v>
      </c>
      <c r="C4002" s="33">
        <v>8922</v>
      </c>
      <c r="D4002" s="2">
        <v>1339</v>
      </c>
      <c r="E4002" s="2" t="s">
        <v>11471</v>
      </c>
      <c r="F4002" s="3" t="s">
        <v>14207</v>
      </c>
      <c r="G4002" s="3" t="s">
        <v>4061</v>
      </c>
      <c r="H4002" s="3" t="s">
        <v>469</v>
      </c>
      <c r="I4002" s="3" t="s">
        <v>575</v>
      </c>
      <c r="K4002" s="2">
        <v>10</v>
      </c>
      <c r="L4002" s="2">
        <v>1</v>
      </c>
      <c r="M4002" s="3" t="s">
        <v>4062</v>
      </c>
      <c r="N4002" s="3" t="s">
        <v>4063</v>
      </c>
      <c r="O4002" s="3" t="s">
        <v>4064</v>
      </c>
      <c r="P4002" s="3" t="s">
        <v>4065</v>
      </c>
      <c r="Q4002" s="30" t="str">
        <f t="shared" si="62"/>
        <v>MAX : 56
TARGET : 55
MIN : 54</v>
      </c>
      <c r="R4002" s="3" t="s">
        <v>1638</v>
      </c>
    </row>
    <row r="4003" spans="2:18" ht="41.4" x14ac:dyDescent="0.3">
      <c r="B4003">
        <v>1</v>
      </c>
      <c r="C4003" s="33">
        <v>8923</v>
      </c>
      <c r="D4003" s="2">
        <v>1340</v>
      </c>
      <c r="E4003" s="2" t="s">
        <v>11478</v>
      </c>
      <c r="F4003" s="3" t="s">
        <v>14206</v>
      </c>
      <c r="H4003" s="3" t="s">
        <v>648</v>
      </c>
      <c r="K4003" s="2">
        <v>30</v>
      </c>
      <c r="L4003" s="2">
        <v>16</v>
      </c>
      <c r="M4003" s="3" t="s">
        <v>4168</v>
      </c>
      <c r="N4003" s="3" t="s">
        <v>24</v>
      </c>
      <c r="O4003" s="3" t="s">
        <v>25</v>
      </c>
      <c r="Q4003" s="30" t="str">
        <f t="shared" si="62"/>
        <v>MAX : 
TARGET : Yes (Pass)
MIN : No (Fail)</v>
      </c>
      <c r="R4003" s="3" t="s">
        <v>1638</v>
      </c>
    </row>
    <row r="4004" spans="2:18" ht="41.4" x14ac:dyDescent="0.3">
      <c r="B4004">
        <v>0</v>
      </c>
      <c r="C4004" s="33">
        <v>9032</v>
      </c>
      <c r="D4004" s="2">
        <v>1393</v>
      </c>
      <c r="E4004" s="2" t="s">
        <v>12069</v>
      </c>
      <c r="F4004" s="3" t="s">
        <v>14206</v>
      </c>
      <c r="H4004" s="3" t="s">
        <v>2116</v>
      </c>
      <c r="K4004" s="2">
        <v>20</v>
      </c>
      <c r="L4004" s="2">
        <v>5</v>
      </c>
      <c r="M4004" s="3" t="s">
        <v>4546</v>
      </c>
      <c r="N4004" s="3" t="s">
        <v>13</v>
      </c>
      <c r="O4004" s="3" t="s">
        <v>14</v>
      </c>
      <c r="Q4004" s="30" t="str">
        <f t="shared" si="62"/>
        <v>MAX : 
TARGET : Yes(Pass)
MIN : No(Fail)</v>
      </c>
    </row>
    <row r="4005" spans="2:18" ht="41.4" x14ac:dyDescent="0.3">
      <c r="B4005">
        <v>0</v>
      </c>
      <c r="C4005" s="33">
        <v>9032</v>
      </c>
      <c r="D4005" s="2">
        <v>1393</v>
      </c>
      <c r="E4005" s="2" t="s">
        <v>12069</v>
      </c>
      <c r="F4005" s="3" t="s">
        <v>14206</v>
      </c>
      <c r="H4005" s="3" t="s">
        <v>2116</v>
      </c>
      <c r="K4005" s="2">
        <v>20</v>
      </c>
      <c r="L4005" s="2">
        <v>6</v>
      </c>
      <c r="M4005" s="3" t="s">
        <v>2136</v>
      </c>
      <c r="N4005" s="3" t="s">
        <v>13</v>
      </c>
      <c r="O4005" s="3" t="s">
        <v>14</v>
      </c>
      <c r="Q4005" s="30" t="str">
        <f t="shared" si="62"/>
        <v>MAX : 
TARGET : Yes(Pass)
MIN : No(Fail)</v>
      </c>
    </row>
    <row r="4006" spans="2:18" ht="41.4" x14ac:dyDescent="0.3">
      <c r="B4006">
        <v>0</v>
      </c>
      <c r="C4006" s="33">
        <v>9032</v>
      </c>
      <c r="D4006" s="2">
        <v>1393</v>
      </c>
      <c r="E4006" s="2" t="s">
        <v>12069</v>
      </c>
      <c r="F4006" s="3" t="s">
        <v>14206</v>
      </c>
      <c r="H4006" s="3" t="s">
        <v>2116</v>
      </c>
      <c r="K4006" s="2">
        <v>20</v>
      </c>
      <c r="L4006" s="2">
        <v>7</v>
      </c>
      <c r="M4006" s="3" t="s">
        <v>2137</v>
      </c>
      <c r="N4006" s="3" t="s">
        <v>13</v>
      </c>
      <c r="O4006" s="3" t="s">
        <v>14</v>
      </c>
      <c r="Q4006" s="30" t="str">
        <f t="shared" si="62"/>
        <v>MAX : 
TARGET : Yes(Pass)
MIN : No(Fail)</v>
      </c>
    </row>
    <row r="4007" spans="2:18" ht="41.4" x14ac:dyDescent="0.3">
      <c r="B4007">
        <v>0</v>
      </c>
      <c r="C4007" s="33">
        <v>9032</v>
      </c>
      <c r="D4007" s="2">
        <v>1393</v>
      </c>
      <c r="E4007" s="2" t="s">
        <v>12069</v>
      </c>
      <c r="F4007" s="3" t="s">
        <v>14206</v>
      </c>
      <c r="H4007" s="3" t="s">
        <v>2116</v>
      </c>
      <c r="K4007" s="2">
        <v>20</v>
      </c>
      <c r="L4007" s="2">
        <v>3</v>
      </c>
      <c r="M4007" s="3" t="s">
        <v>2144</v>
      </c>
      <c r="N4007" s="3" t="s">
        <v>2145</v>
      </c>
      <c r="O4007" s="3" t="s">
        <v>247</v>
      </c>
      <c r="P4007" s="3" t="s">
        <v>979</v>
      </c>
      <c r="Q4007" s="30" t="str">
        <f t="shared" si="62"/>
        <v>MAX : 0.44
TARGET : 0.38
MIN : 0.32</v>
      </c>
    </row>
    <row r="4008" spans="2:18" ht="41.4" x14ac:dyDescent="0.3">
      <c r="B4008">
        <v>0</v>
      </c>
      <c r="C4008" s="33">
        <v>9032</v>
      </c>
      <c r="D4008" s="2">
        <v>1393</v>
      </c>
      <c r="E4008" s="2" t="s">
        <v>12069</v>
      </c>
      <c r="F4008" s="3" t="s">
        <v>14206</v>
      </c>
      <c r="H4008" s="3" t="s">
        <v>2116</v>
      </c>
      <c r="K4008" s="2">
        <v>20</v>
      </c>
      <c r="L4008" s="2">
        <v>4</v>
      </c>
      <c r="M4008" s="3" t="s">
        <v>2146</v>
      </c>
      <c r="N4008" s="3" t="s">
        <v>979</v>
      </c>
      <c r="O4008" s="3" t="s">
        <v>309</v>
      </c>
      <c r="P4008" s="3" t="s">
        <v>1531</v>
      </c>
      <c r="Q4008" s="30" t="str">
        <f t="shared" si="62"/>
        <v>MAX : 0.56
TARGET : 0.50
MIN : 0.44</v>
      </c>
    </row>
    <row r="4009" spans="2:18" ht="41.4" x14ac:dyDescent="0.3">
      <c r="B4009">
        <v>1</v>
      </c>
      <c r="C4009" s="33">
        <v>8923</v>
      </c>
      <c r="D4009" s="2">
        <v>1340</v>
      </c>
      <c r="E4009" s="2" t="s">
        <v>11478</v>
      </c>
      <c r="F4009" s="3" t="s">
        <v>14206</v>
      </c>
      <c r="H4009" s="3" t="s">
        <v>648</v>
      </c>
      <c r="K4009" s="2">
        <v>30</v>
      </c>
      <c r="L4009" s="2">
        <v>1</v>
      </c>
      <c r="M4009" s="3" t="s">
        <v>4164</v>
      </c>
      <c r="N4009" s="3" t="s">
        <v>4165</v>
      </c>
      <c r="O4009" s="3" t="s">
        <v>4166</v>
      </c>
      <c r="P4009" s="3" t="s">
        <v>4167</v>
      </c>
      <c r="Q4009" s="30" t="str">
        <f t="shared" si="62"/>
        <v>MAX : 1.139
TARGET : 1.134
MIN : 1.129</v>
      </c>
      <c r="R4009" s="3" t="s">
        <v>1638</v>
      </c>
    </row>
    <row r="4010" spans="2:18" ht="41.4" x14ac:dyDescent="0.3">
      <c r="B4010">
        <v>1</v>
      </c>
      <c r="C4010" s="33">
        <v>8923</v>
      </c>
      <c r="D4010" s="2">
        <v>1340</v>
      </c>
      <c r="E4010" s="2" t="s">
        <v>11478</v>
      </c>
      <c r="F4010" s="3" t="s">
        <v>14206</v>
      </c>
      <c r="H4010" s="3" t="s">
        <v>648</v>
      </c>
      <c r="K4010" s="2">
        <v>30</v>
      </c>
      <c r="L4010" s="2">
        <v>17</v>
      </c>
      <c r="M4010" s="3" t="s">
        <v>5386</v>
      </c>
      <c r="N4010" s="3" t="s">
        <v>24</v>
      </c>
      <c r="O4010" s="3" t="s">
        <v>25</v>
      </c>
      <c r="Q4010" s="30" t="str">
        <f t="shared" si="62"/>
        <v>MAX : 
TARGET : Yes (Pass)
MIN : No (Fail)</v>
      </c>
      <c r="R4010" s="3" t="s">
        <v>1638</v>
      </c>
    </row>
    <row r="4011" spans="2:18" ht="41.4" x14ac:dyDescent="0.3">
      <c r="B4011">
        <v>0</v>
      </c>
      <c r="C4011" s="33">
        <v>9033</v>
      </c>
      <c r="D4011" s="2">
        <v>1394</v>
      </c>
      <c r="E4011" s="2" t="s">
        <v>12073</v>
      </c>
      <c r="F4011" s="3" t="s">
        <v>14206</v>
      </c>
      <c r="H4011" s="3" t="s">
        <v>2116</v>
      </c>
      <c r="K4011" s="2">
        <v>20</v>
      </c>
      <c r="L4011" s="2">
        <v>5</v>
      </c>
      <c r="M4011" s="3" t="s">
        <v>4547</v>
      </c>
      <c r="N4011" s="3" t="s">
        <v>13</v>
      </c>
      <c r="O4011" s="3" t="s">
        <v>14</v>
      </c>
      <c r="Q4011" s="30" t="str">
        <f t="shared" si="62"/>
        <v>MAX : 
TARGET : Yes(Pass)
MIN : No(Fail)</v>
      </c>
    </row>
    <row r="4012" spans="2:18" ht="41.4" x14ac:dyDescent="0.3">
      <c r="B4012">
        <v>0</v>
      </c>
      <c r="C4012" s="33">
        <v>9033</v>
      </c>
      <c r="D4012" s="2">
        <v>1394</v>
      </c>
      <c r="E4012" s="2" t="s">
        <v>12073</v>
      </c>
      <c r="F4012" s="3" t="s">
        <v>14206</v>
      </c>
      <c r="H4012" s="3" t="s">
        <v>2116</v>
      </c>
      <c r="K4012" s="2">
        <v>20</v>
      </c>
      <c r="L4012" s="2">
        <v>6</v>
      </c>
      <c r="M4012" s="3" t="s">
        <v>2136</v>
      </c>
      <c r="N4012" s="3" t="s">
        <v>13</v>
      </c>
      <c r="O4012" s="3" t="s">
        <v>14</v>
      </c>
      <c r="Q4012" s="30" t="str">
        <f t="shared" si="62"/>
        <v>MAX : 
TARGET : Yes(Pass)
MIN : No(Fail)</v>
      </c>
    </row>
    <row r="4013" spans="2:18" ht="41.4" x14ac:dyDescent="0.3">
      <c r="B4013">
        <v>0</v>
      </c>
      <c r="C4013" s="33">
        <v>9033</v>
      </c>
      <c r="D4013" s="2">
        <v>1394</v>
      </c>
      <c r="E4013" s="2" t="s">
        <v>12073</v>
      </c>
      <c r="F4013" s="3" t="s">
        <v>14206</v>
      </c>
      <c r="H4013" s="3" t="s">
        <v>2116</v>
      </c>
      <c r="K4013" s="2">
        <v>20</v>
      </c>
      <c r="L4013" s="2">
        <v>7</v>
      </c>
      <c r="M4013" s="3" t="s">
        <v>2137</v>
      </c>
      <c r="N4013" s="3" t="s">
        <v>13</v>
      </c>
      <c r="O4013" s="3" t="s">
        <v>14</v>
      </c>
      <c r="Q4013" s="30" t="str">
        <f t="shared" si="62"/>
        <v>MAX : 
TARGET : Yes(Pass)
MIN : No(Fail)</v>
      </c>
    </row>
    <row r="4014" spans="2:18" ht="41.4" x14ac:dyDescent="0.3">
      <c r="B4014">
        <v>0</v>
      </c>
      <c r="C4014" s="33">
        <v>9033</v>
      </c>
      <c r="D4014" s="2">
        <v>1394</v>
      </c>
      <c r="E4014" s="2" t="s">
        <v>12073</v>
      </c>
      <c r="F4014" s="3" t="s">
        <v>14206</v>
      </c>
      <c r="H4014" s="3" t="s">
        <v>2116</v>
      </c>
      <c r="K4014" s="2">
        <v>20</v>
      </c>
      <c r="L4014" s="2">
        <v>3</v>
      </c>
      <c r="M4014" s="3" t="s">
        <v>2144</v>
      </c>
      <c r="N4014" s="3" t="s">
        <v>2145</v>
      </c>
      <c r="O4014" s="3" t="s">
        <v>247</v>
      </c>
      <c r="P4014" s="3" t="s">
        <v>979</v>
      </c>
      <c r="Q4014" s="30" t="str">
        <f t="shared" si="62"/>
        <v>MAX : 0.44
TARGET : 0.38
MIN : 0.32</v>
      </c>
    </row>
    <row r="4015" spans="2:18" ht="41.4" x14ac:dyDescent="0.3">
      <c r="B4015">
        <v>0</v>
      </c>
      <c r="C4015" s="33">
        <v>9033</v>
      </c>
      <c r="D4015" s="2">
        <v>1394</v>
      </c>
      <c r="E4015" s="2" t="s">
        <v>12073</v>
      </c>
      <c r="F4015" s="3" t="s">
        <v>14206</v>
      </c>
      <c r="H4015" s="3" t="s">
        <v>2116</v>
      </c>
      <c r="K4015" s="2">
        <v>20</v>
      </c>
      <c r="L4015" s="2">
        <v>4</v>
      </c>
      <c r="M4015" s="3" t="s">
        <v>2146</v>
      </c>
      <c r="N4015" s="3" t="s">
        <v>979</v>
      </c>
      <c r="O4015" s="3" t="s">
        <v>309</v>
      </c>
      <c r="P4015" s="3" t="s">
        <v>1531</v>
      </c>
      <c r="Q4015" s="30" t="str">
        <f t="shared" si="62"/>
        <v>MAX : 0.56
TARGET : 0.50
MIN : 0.44</v>
      </c>
    </row>
    <row r="4016" spans="2:18" ht="41.4" x14ac:dyDescent="0.3">
      <c r="B4016">
        <v>1</v>
      </c>
      <c r="C4016" s="33">
        <v>8923</v>
      </c>
      <c r="D4016" s="2">
        <v>1340</v>
      </c>
      <c r="E4016" s="2" t="s">
        <v>11478</v>
      </c>
      <c r="F4016" s="3" t="s">
        <v>14206</v>
      </c>
      <c r="H4016" s="3" t="s">
        <v>648</v>
      </c>
      <c r="K4016" s="2">
        <v>30</v>
      </c>
      <c r="L4016" s="2">
        <v>12</v>
      </c>
      <c r="M4016" s="3" t="s">
        <v>5690</v>
      </c>
      <c r="N4016" s="3" t="s">
        <v>284</v>
      </c>
      <c r="O4016" s="3" t="s">
        <v>4464</v>
      </c>
      <c r="P4016" s="3" t="s">
        <v>5691</v>
      </c>
      <c r="Q4016" s="30" t="str">
        <f t="shared" si="62"/>
        <v>MAX : 0.198
TARGET : 0.193
MIN : 0.188</v>
      </c>
      <c r="R4016" s="3" t="s">
        <v>1638</v>
      </c>
    </row>
    <row r="4017" spans="2:17" ht="41.4" x14ac:dyDescent="0.3">
      <c r="B4017">
        <v>1</v>
      </c>
      <c r="C4017" s="33">
        <v>8924</v>
      </c>
      <c r="D4017" s="2">
        <v>1341</v>
      </c>
      <c r="E4017" s="2" t="s">
        <v>11486</v>
      </c>
      <c r="F4017" s="3" t="s">
        <v>14206</v>
      </c>
      <c r="H4017" s="3" t="s">
        <v>4068</v>
      </c>
      <c r="K4017" s="2">
        <v>20</v>
      </c>
      <c r="L4017" s="2">
        <v>2</v>
      </c>
      <c r="M4017" s="3" t="s">
        <v>198</v>
      </c>
      <c r="N4017" s="3" t="s">
        <v>900</v>
      </c>
      <c r="O4017" s="3" t="s">
        <v>28</v>
      </c>
      <c r="P4017" s="3" t="s">
        <v>901</v>
      </c>
      <c r="Q4017" s="30" t="str">
        <f t="shared" si="62"/>
        <v>MAX : 1.56
TARGET : 1.50
MIN : 1.44</v>
      </c>
    </row>
    <row r="4018" spans="2:17" ht="41.4" x14ac:dyDescent="0.3">
      <c r="B4018">
        <v>0</v>
      </c>
      <c r="C4018" s="33">
        <v>9034</v>
      </c>
      <c r="D4018" s="2">
        <v>1395</v>
      </c>
      <c r="E4018" s="2" t="s">
        <v>12078</v>
      </c>
      <c r="F4018" s="3" t="s">
        <v>14206</v>
      </c>
      <c r="H4018" s="3" t="s">
        <v>4548</v>
      </c>
      <c r="K4018" s="2">
        <v>10</v>
      </c>
      <c r="L4018" s="2">
        <v>3</v>
      </c>
      <c r="M4018" s="3" t="s">
        <v>4550</v>
      </c>
      <c r="N4018" s="3" t="s">
        <v>13</v>
      </c>
      <c r="O4018" s="3" t="s">
        <v>14</v>
      </c>
      <c r="Q4018" s="30" t="str">
        <f t="shared" si="62"/>
        <v>MAX : 
TARGET : Yes(Pass)
MIN : No(Fail)</v>
      </c>
    </row>
    <row r="4019" spans="2:17" ht="41.4" x14ac:dyDescent="0.3">
      <c r="B4019">
        <v>1</v>
      </c>
      <c r="C4019" s="33">
        <v>8924</v>
      </c>
      <c r="D4019" s="2">
        <v>1341</v>
      </c>
      <c r="E4019" s="2" t="s">
        <v>11486</v>
      </c>
      <c r="F4019" s="3" t="s">
        <v>14206</v>
      </c>
      <c r="H4019" s="3" t="s">
        <v>4068</v>
      </c>
      <c r="K4019" s="2">
        <v>20</v>
      </c>
      <c r="L4019" s="2">
        <v>1</v>
      </c>
      <c r="M4019" s="3" t="s">
        <v>194</v>
      </c>
      <c r="N4019" s="3" t="s">
        <v>900</v>
      </c>
      <c r="O4019" s="3" t="s">
        <v>28</v>
      </c>
      <c r="P4019" s="3" t="s">
        <v>901</v>
      </c>
      <c r="Q4019" s="30" t="str">
        <f t="shared" si="62"/>
        <v>MAX : 1.56
TARGET : 1.50
MIN : 1.44</v>
      </c>
    </row>
    <row r="4020" spans="2:17" ht="41.4" x14ac:dyDescent="0.3">
      <c r="B4020">
        <v>1</v>
      </c>
      <c r="C4020" s="33">
        <v>8930</v>
      </c>
      <c r="D4020" s="2">
        <v>2009</v>
      </c>
      <c r="E4020" s="2" t="s">
        <v>11493</v>
      </c>
      <c r="F4020" s="3" t="s">
        <v>14206</v>
      </c>
      <c r="H4020" s="3" t="s">
        <v>289</v>
      </c>
      <c r="K4020" s="2">
        <v>10</v>
      </c>
      <c r="L4020" s="2">
        <v>1</v>
      </c>
      <c r="M4020" s="3" t="s">
        <v>3991</v>
      </c>
      <c r="N4020" s="3" t="s">
        <v>13</v>
      </c>
      <c r="O4020" s="3" t="s">
        <v>14</v>
      </c>
      <c r="Q4020" s="30" t="str">
        <f t="shared" si="62"/>
        <v>MAX : 
TARGET : Yes(Pass)
MIN : No(Fail)</v>
      </c>
    </row>
    <row r="4021" spans="2:17" ht="41.4" x14ac:dyDescent="0.3">
      <c r="B4021">
        <v>0</v>
      </c>
      <c r="C4021" s="33">
        <v>9035</v>
      </c>
      <c r="D4021" s="2">
        <v>1396</v>
      </c>
      <c r="E4021" s="2" t="s">
        <v>12084</v>
      </c>
      <c r="F4021" s="3" t="s">
        <v>14249</v>
      </c>
      <c r="H4021" s="3" t="s">
        <v>4551</v>
      </c>
      <c r="K4021" s="2">
        <v>30</v>
      </c>
      <c r="L4021" s="2">
        <v>3</v>
      </c>
      <c r="M4021" s="3" t="s">
        <v>4453</v>
      </c>
      <c r="N4021" s="3" t="s">
        <v>4477</v>
      </c>
      <c r="O4021" s="3" t="s">
        <v>4552</v>
      </c>
      <c r="P4021" s="3" t="s">
        <v>4478</v>
      </c>
      <c r="Q4021" s="30" t="str">
        <f t="shared" si="62"/>
        <v>MAX : 0.813  Lead
TARGET : 0.75 
MIN : 0.687   Trail</v>
      </c>
    </row>
    <row r="4022" spans="2:17" ht="41.4" x14ac:dyDescent="0.3">
      <c r="B4022">
        <v>0</v>
      </c>
      <c r="C4022" s="33">
        <v>9035</v>
      </c>
      <c r="D4022" s="2">
        <v>1396</v>
      </c>
      <c r="E4022" s="2" t="s">
        <v>12084</v>
      </c>
      <c r="F4022" s="3" t="s">
        <v>14249</v>
      </c>
      <c r="H4022" s="3" t="s">
        <v>4551</v>
      </c>
      <c r="K4022" s="2">
        <v>30</v>
      </c>
      <c r="L4022" s="2">
        <v>4</v>
      </c>
      <c r="M4022" s="3" t="s">
        <v>22</v>
      </c>
      <c r="N4022" s="3" t="s">
        <v>4479</v>
      </c>
      <c r="O4022" s="3" t="s">
        <v>389</v>
      </c>
      <c r="P4022" s="3" t="s">
        <v>4480</v>
      </c>
      <c r="Q4022" s="30" t="str">
        <f t="shared" si="62"/>
        <v>MAX : 6.313
TARGET : 6.25
MIN : 6.187</v>
      </c>
    </row>
    <row r="4023" spans="2:17" ht="41.4" x14ac:dyDescent="0.3">
      <c r="B4023">
        <v>0</v>
      </c>
      <c r="C4023" s="33">
        <v>9035</v>
      </c>
      <c r="D4023" s="2">
        <v>1396</v>
      </c>
      <c r="E4023" s="2" t="s">
        <v>12084</v>
      </c>
      <c r="F4023" s="3" t="s">
        <v>14249</v>
      </c>
      <c r="H4023" s="3" t="s">
        <v>4551</v>
      </c>
      <c r="K4023" s="2">
        <v>30</v>
      </c>
      <c r="L4023" s="2">
        <v>5</v>
      </c>
      <c r="M4023" s="3" t="s">
        <v>4457</v>
      </c>
      <c r="N4023" s="3" t="s">
        <v>4470</v>
      </c>
      <c r="O4023" s="3" t="s">
        <v>20</v>
      </c>
      <c r="P4023" s="3" t="s">
        <v>4471</v>
      </c>
      <c r="Q4023" s="30" t="str">
        <f t="shared" si="62"/>
        <v>MAX : 0.813
TARGET : 0.750
MIN : 0.687</v>
      </c>
    </row>
    <row r="4024" spans="2:17" ht="41.4" x14ac:dyDescent="0.3">
      <c r="B4024">
        <v>0</v>
      </c>
      <c r="C4024" s="33">
        <v>9035</v>
      </c>
      <c r="D4024" s="2">
        <v>1396</v>
      </c>
      <c r="E4024" s="2" t="s">
        <v>12084</v>
      </c>
      <c r="F4024" s="3" t="s">
        <v>14249</v>
      </c>
      <c r="H4024" s="3" t="s">
        <v>4551</v>
      </c>
      <c r="K4024" s="2">
        <v>30</v>
      </c>
      <c r="L4024" s="2">
        <v>6</v>
      </c>
      <c r="M4024" s="3" t="s">
        <v>4458</v>
      </c>
      <c r="N4024" s="3" t="s">
        <v>4481</v>
      </c>
      <c r="O4024" s="3" t="s">
        <v>4482</v>
      </c>
      <c r="P4024" s="3" t="s">
        <v>3097</v>
      </c>
      <c r="Q4024" s="30" t="str">
        <f t="shared" si="62"/>
        <v>MAX : 5.943
TARGET : 5.88
MIN : 5.817</v>
      </c>
    </row>
    <row r="4025" spans="2:17" ht="41.4" x14ac:dyDescent="0.3">
      <c r="B4025">
        <v>0</v>
      </c>
      <c r="C4025" s="33">
        <v>9035</v>
      </c>
      <c r="D4025" s="2">
        <v>1396</v>
      </c>
      <c r="E4025" s="2" t="s">
        <v>12084</v>
      </c>
      <c r="F4025" s="3" t="s">
        <v>14249</v>
      </c>
      <c r="H4025" s="3" t="s">
        <v>4551</v>
      </c>
      <c r="K4025" s="2">
        <v>30</v>
      </c>
      <c r="L4025" s="2">
        <v>7</v>
      </c>
      <c r="M4025" s="3" t="s">
        <v>4553</v>
      </c>
      <c r="N4025" s="3" t="s">
        <v>4463</v>
      </c>
      <c r="O4025" s="3" t="s">
        <v>1570</v>
      </c>
      <c r="P4025" s="3" t="s">
        <v>4464</v>
      </c>
      <c r="Q4025" s="30" t="str">
        <f t="shared" si="62"/>
        <v>MAX : 0.193
TARGET : 0.13
MIN : 0.067</v>
      </c>
    </row>
    <row r="4026" spans="2:17" ht="41.4" x14ac:dyDescent="0.3">
      <c r="B4026">
        <v>0</v>
      </c>
      <c r="C4026" s="33">
        <v>9035</v>
      </c>
      <c r="D4026" s="2">
        <v>1396</v>
      </c>
      <c r="E4026" s="2" t="s">
        <v>12084</v>
      </c>
      <c r="F4026" s="3" t="s">
        <v>14249</v>
      </c>
      <c r="H4026" s="3" t="s">
        <v>4551</v>
      </c>
      <c r="K4026" s="2">
        <v>30</v>
      </c>
      <c r="L4026" s="2">
        <v>8</v>
      </c>
      <c r="M4026" s="3" t="s">
        <v>4465</v>
      </c>
      <c r="N4026" s="3" t="s">
        <v>4428</v>
      </c>
      <c r="O4026" s="3" t="s">
        <v>309</v>
      </c>
      <c r="P4026" s="3" t="s">
        <v>4454</v>
      </c>
      <c r="Q4026" s="30" t="str">
        <f t="shared" si="62"/>
        <v>MAX : 0.563
TARGET : 0.50
MIN : 0.437</v>
      </c>
    </row>
    <row r="4027" spans="2:17" ht="41.4" x14ac:dyDescent="0.3">
      <c r="B4027">
        <v>0</v>
      </c>
      <c r="C4027" s="33">
        <v>9035</v>
      </c>
      <c r="D4027" s="2">
        <v>1396</v>
      </c>
      <c r="E4027" s="2" t="s">
        <v>12084</v>
      </c>
      <c r="F4027" s="3" t="s">
        <v>14249</v>
      </c>
      <c r="H4027" s="3" t="s">
        <v>4551</v>
      </c>
      <c r="K4027" s="2">
        <v>30</v>
      </c>
      <c r="L4027" s="2">
        <v>9</v>
      </c>
      <c r="M4027" s="3" t="s">
        <v>4466</v>
      </c>
      <c r="N4027" s="3" t="s">
        <v>13</v>
      </c>
      <c r="O4027" s="3" t="s">
        <v>14</v>
      </c>
      <c r="Q4027" s="30" t="str">
        <f t="shared" si="62"/>
        <v>MAX : 
TARGET : Yes(Pass)
MIN : No(Fail)</v>
      </c>
    </row>
    <row r="4028" spans="2:17" ht="41.4" x14ac:dyDescent="0.3">
      <c r="B4028">
        <v>0</v>
      </c>
      <c r="C4028" s="33">
        <v>9035</v>
      </c>
      <c r="D4028" s="2">
        <v>1396</v>
      </c>
      <c r="E4028" s="2" t="s">
        <v>12084</v>
      </c>
      <c r="F4028" s="3" t="s">
        <v>14249</v>
      </c>
      <c r="H4028" s="3" t="s">
        <v>4551</v>
      </c>
      <c r="K4028" s="2">
        <v>30</v>
      </c>
      <c r="L4028" s="2">
        <v>10</v>
      </c>
      <c r="M4028" s="3" t="s">
        <v>4467</v>
      </c>
      <c r="N4028" s="3" t="s">
        <v>13</v>
      </c>
      <c r="O4028" s="3" t="s">
        <v>14</v>
      </c>
      <c r="Q4028" s="30" t="str">
        <f t="shared" si="62"/>
        <v>MAX : 
TARGET : Yes(Pass)
MIN : No(Fail)</v>
      </c>
    </row>
    <row r="4029" spans="2:17" ht="41.4" x14ac:dyDescent="0.3">
      <c r="B4029">
        <v>0</v>
      </c>
      <c r="C4029" s="33">
        <v>9035</v>
      </c>
      <c r="D4029" s="2">
        <v>1396</v>
      </c>
      <c r="E4029" s="2" t="s">
        <v>12084</v>
      </c>
      <c r="F4029" s="3" t="s">
        <v>14249</v>
      </c>
      <c r="H4029" s="3" t="s">
        <v>4551</v>
      </c>
      <c r="K4029" s="2">
        <v>20</v>
      </c>
      <c r="L4029" s="2">
        <v>1</v>
      </c>
      <c r="M4029" s="3" t="s">
        <v>4468</v>
      </c>
      <c r="N4029" s="3" t="s">
        <v>13</v>
      </c>
      <c r="O4029" s="3" t="s">
        <v>14</v>
      </c>
      <c r="Q4029" s="30" t="str">
        <f t="shared" si="62"/>
        <v>MAX : 
TARGET : Yes(Pass)
MIN : No(Fail)</v>
      </c>
    </row>
    <row r="4030" spans="2:17" ht="41.4" x14ac:dyDescent="0.3">
      <c r="B4030">
        <v>0</v>
      </c>
      <c r="C4030" s="33">
        <v>9035</v>
      </c>
      <c r="D4030" s="2">
        <v>1396</v>
      </c>
      <c r="E4030" s="2" t="s">
        <v>12084</v>
      </c>
      <c r="F4030" s="3" t="s">
        <v>14249</v>
      </c>
      <c r="H4030" s="3" t="s">
        <v>4551</v>
      </c>
      <c r="K4030" s="2">
        <v>20</v>
      </c>
      <c r="L4030" s="2">
        <v>2</v>
      </c>
      <c r="M4030" s="3" t="s">
        <v>4469</v>
      </c>
      <c r="N4030" s="3" t="s">
        <v>4470</v>
      </c>
      <c r="O4030" s="3" t="s">
        <v>132</v>
      </c>
      <c r="P4030" s="3" t="s">
        <v>4471</v>
      </c>
      <c r="Q4030" s="30" t="str">
        <f t="shared" si="62"/>
        <v>MAX : 0.813
TARGET : 0.75
MIN : 0.687</v>
      </c>
    </row>
    <row r="4031" spans="2:17" ht="41.4" x14ac:dyDescent="0.3">
      <c r="B4031">
        <v>0</v>
      </c>
      <c r="C4031" s="33">
        <v>9035</v>
      </c>
      <c r="D4031" s="2">
        <v>1396</v>
      </c>
      <c r="E4031" s="2" t="s">
        <v>12084</v>
      </c>
      <c r="F4031" s="3" t="s">
        <v>14249</v>
      </c>
      <c r="H4031" s="3" t="s">
        <v>4551</v>
      </c>
      <c r="K4031" s="2">
        <v>20</v>
      </c>
      <c r="L4031" s="2">
        <v>3</v>
      </c>
      <c r="M4031" s="3" t="s">
        <v>4472</v>
      </c>
      <c r="N4031" s="3" t="s">
        <v>13</v>
      </c>
      <c r="O4031" s="3" t="s">
        <v>14</v>
      </c>
      <c r="Q4031" s="30" t="str">
        <f t="shared" si="62"/>
        <v>MAX : 
TARGET : Yes(Pass)
MIN : No(Fail)</v>
      </c>
    </row>
    <row r="4032" spans="2:17" ht="41.4" x14ac:dyDescent="0.3">
      <c r="B4032">
        <v>1</v>
      </c>
      <c r="C4032" s="33">
        <v>8930</v>
      </c>
      <c r="D4032" s="2">
        <v>2009</v>
      </c>
      <c r="E4032" s="2" t="s">
        <v>11493</v>
      </c>
      <c r="F4032" s="3" t="s">
        <v>14206</v>
      </c>
      <c r="H4032" s="3" t="s">
        <v>289</v>
      </c>
      <c r="K4032" s="2">
        <v>10</v>
      </c>
      <c r="L4032" s="2">
        <v>2</v>
      </c>
      <c r="M4032" s="3" t="s">
        <v>3990</v>
      </c>
      <c r="N4032" s="3" t="s">
        <v>13</v>
      </c>
      <c r="O4032" s="3" t="s">
        <v>14</v>
      </c>
      <c r="Q4032" s="30" t="str">
        <f t="shared" si="62"/>
        <v>MAX : 
TARGET : Yes(Pass)
MIN : No(Fail)</v>
      </c>
    </row>
    <row r="4033" spans="2:17" ht="41.4" x14ac:dyDescent="0.3">
      <c r="B4033">
        <v>1</v>
      </c>
      <c r="C4033" s="33">
        <v>8931</v>
      </c>
      <c r="D4033" s="2">
        <v>2010</v>
      </c>
      <c r="E4033" s="2" t="s">
        <v>11500</v>
      </c>
      <c r="F4033" s="3" t="s">
        <v>14206</v>
      </c>
      <c r="H4033" s="3" t="s">
        <v>289</v>
      </c>
      <c r="K4033" s="2">
        <v>20</v>
      </c>
      <c r="L4033" s="2">
        <v>1</v>
      </c>
      <c r="M4033" s="3" t="s">
        <v>2819</v>
      </c>
      <c r="N4033" s="3" t="s">
        <v>13</v>
      </c>
      <c r="O4033" s="3" t="s">
        <v>14</v>
      </c>
      <c r="Q4033" s="30" t="str">
        <f t="shared" si="62"/>
        <v>MAX : 
TARGET : Yes(Pass)
MIN : No(Fail)</v>
      </c>
    </row>
    <row r="4034" spans="2:17" ht="41.4" x14ac:dyDescent="0.3">
      <c r="B4034">
        <v>0</v>
      </c>
      <c r="C4034" s="33">
        <v>9036</v>
      </c>
      <c r="D4034" s="2">
        <v>1397</v>
      </c>
      <c r="E4034" s="2" t="s">
        <v>12091</v>
      </c>
      <c r="F4034" s="3" t="s">
        <v>14249</v>
      </c>
      <c r="H4034" s="3" t="s">
        <v>4551</v>
      </c>
      <c r="K4034" s="2">
        <v>30</v>
      </c>
      <c r="L4034" s="2">
        <v>3</v>
      </c>
      <c r="M4034" s="3" t="s">
        <v>4453</v>
      </c>
      <c r="N4034" s="3" t="s">
        <v>4428</v>
      </c>
      <c r="O4034" s="3" t="s">
        <v>309</v>
      </c>
      <c r="P4034" s="3" t="s">
        <v>4454</v>
      </c>
      <c r="Q4034" s="30" t="str">
        <f t="shared" ref="Q4034:Q4097" si="63">"MAX : " &amp; P4034 &amp; CHAR(10) &amp; "TARGET : " &amp; O4034 &amp; CHAR(10) &amp; "MIN : " &amp; N4034</f>
        <v>MAX : 0.563
TARGET : 0.50
MIN : 0.437</v>
      </c>
    </row>
    <row r="4035" spans="2:17" ht="41.4" x14ac:dyDescent="0.3">
      <c r="B4035">
        <v>0</v>
      </c>
      <c r="C4035" s="33">
        <v>9036</v>
      </c>
      <c r="D4035" s="2">
        <v>1397</v>
      </c>
      <c r="E4035" s="2" t="s">
        <v>12091</v>
      </c>
      <c r="F4035" s="3" t="s">
        <v>14249</v>
      </c>
      <c r="H4035" s="3" t="s">
        <v>4551</v>
      </c>
      <c r="K4035" s="2">
        <v>30</v>
      </c>
      <c r="L4035" s="2">
        <v>4</v>
      </c>
      <c r="M4035" s="3" t="s">
        <v>22</v>
      </c>
      <c r="N4035" s="3" t="s">
        <v>4455</v>
      </c>
      <c r="O4035" s="3" t="s">
        <v>201</v>
      </c>
      <c r="P4035" s="3" t="s">
        <v>4456</v>
      </c>
      <c r="Q4035" s="30" t="str">
        <f t="shared" si="63"/>
        <v>MAX : 5.813
TARGET : 5.75
MIN : 5.687</v>
      </c>
    </row>
    <row r="4036" spans="2:17" ht="41.4" x14ac:dyDescent="0.3">
      <c r="B4036">
        <v>0</v>
      </c>
      <c r="C4036" s="33">
        <v>9036</v>
      </c>
      <c r="D4036" s="2">
        <v>1397</v>
      </c>
      <c r="E4036" s="2" t="s">
        <v>12091</v>
      </c>
      <c r="F4036" s="3" t="s">
        <v>14249</v>
      </c>
      <c r="H4036" s="3" t="s">
        <v>4551</v>
      </c>
      <c r="K4036" s="2">
        <v>30</v>
      </c>
      <c r="L4036" s="2">
        <v>5</v>
      </c>
      <c r="M4036" s="3" t="s">
        <v>4457</v>
      </c>
      <c r="N4036" s="3" t="s">
        <v>4428</v>
      </c>
      <c r="O4036" s="3" t="s">
        <v>309</v>
      </c>
      <c r="P4036" s="3" t="s">
        <v>4454</v>
      </c>
      <c r="Q4036" s="30" t="str">
        <f t="shared" si="63"/>
        <v>MAX : 0.563
TARGET : 0.50
MIN : 0.437</v>
      </c>
    </row>
    <row r="4037" spans="2:17" ht="41.4" x14ac:dyDescent="0.3">
      <c r="B4037">
        <v>0</v>
      </c>
      <c r="C4037" s="33">
        <v>9036</v>
      </c>
      <c r="D4037" s="2">
        <v>1397</v>
      </c>
      <c r="E4037" s="2" t="s">
        <v>12091</v>
      </c>
      <c r="F4037" s="3" t="s">
        <v>14249</v>
      </c>
      <c r="H4037" s="3" t="s">
        <v>4551</v>
      </c>
      <c r="K4037" s="2">
        <v>30</v>
      </c>
      <c r="L4037" s="2">
        <v>6</v>
      </c>
      <c r="M4037" s="3" t="s">
        <v>4458</v>
      </c>
      <c r="N4037" s="3" t="s">
        <v>4459</v>
      </c>
      <c r="O4037" s="3" t="s">
        <v>4460</v>
      </c>
      <c r="P4037" s="3" t="s">
        <v>4461</v>
      </c>
      <c r="Q4037" s="30" t="str">
        <f t="shared" si="63"/>
        <v>MAX : 5.443
TARGET : 5.38
MIN : 5.317</v>
      </c>
    </row>
    <row r="4038" spans="2:17" ht="41.4" x14ac:dyDescent="0.3">
      <c r="B4038">
        <v>0</v>
      </c>
      <c r="C4038" s="33">
        <v>9036</v>
      </c>
      <c r="D4038" s="2">
        <v>1397</v>
      </c>
      <c r="E4038" s="2" t="s">
        <v>12091</v>
      </c>
      <c r="F4038" s="3" t="s">
        <v>14249</v>
      </c>
      <c r="H4038" s="3" t="s">
        <v>4551</v>
      </c>
      <c r="K4038" s="2">
        <v>30</v>
      </c>
      <c r="L4038" s="2">
        <v>7</v>
      </c>
      <c r="M4038" s="3" t="s">
        <v>4553</v>
      </c>
      <c r="N4038" s="3" t="s">
        <v>4463</v>
      </c>
      <c r="O4038" s="3" t="s">
        <v>1570</v>
      </c>
      <c r="P4038" s="3" t="s">
        <v>4464</v>
      </c>
      <c r="Q4038" s="30" t="str">
        <f t="shared" si="63"/>
        <v>MAX : 0.193
TARGET : 0.13
MIN : 0.067</v>
      </c>
    </row>
    <row r="4039" spans="2:17" ht="41.4" x14ac:dyDescent="0.3">
      <c r="B4039">
        <v>0</v>
      </c>
      <c r="C4039" s="33">
        <v>9036</v>
      </c>
      <c r="D4039" s="2">
        <v>1397</v>
      </c>
      <c r="E4039" s="2" t="s">
        <v>12091</v>
      </c>
      <c r="F4039" s="3" t="s">
        <v>14249</v>
      </c>
      <c r="H4039" s="3" t="s">
        <v>4551</v>
      </c>
      <c r="K4039" s="2">
        <v>30</v>
      </c>
      <c r="L4039" s="2">
        <v>8</v>
      </c>
      <c r="M4039" s="3" t="s">
        <v>4554</v>
      </c>
      <c r="N4039" s="3" t="s">
        <v>4428</v>
      </c>
      <c r="O4039" s="3" t="s">
        <v>309</v>
      </c>
      <c r="P4039" s="3" t="s">
        <v>4454</v>
      </c>
      <c r="Q4039" s="30" t="str">
        <f t="shared" si="63"/>
        <v>MAX : 0.563
TARGET : 0.50
MIN : 0.437</v>
      </c>
    </row>
    <row r="4040" spans="2:17" ht="41.4" x14ac:dyDescent="0.3">
      <c r="B4040">
        <v>0</v>
      </c>
      <c r="C4040" s="33">
        <v>9036</v>
      </c>
      <c r="D4040" s="2">
        <v>1397</v>
      </c>
      <c r="E4040" s="2" t="s">
        <v>12091</v>
      </c>
      <c r="F4040" s="3" t="s">
        <v>14249</v>
      </c>
      <c r="H4040" s="3" t="s">
        <v>4551</v>
      </c>
      <c r="K4040" s="2">
        <v>30</v>
      </c>
      <c r="L4040" s="2">
        <v>9</v>
      </c>
      <c r="M4040" s="3" t="s">
        <v>4466</v>
      </c>
      <c r="N4040" s="3" t="s">
        <v>13</v>
      </c>
      <c r="O4040" s="3" t="s">
        <v>14</v>
      </c>
      <c r="Q4040" s="30" t="str">
        <f t="shared" si="63"/>
        <v>MAX : 
TARGET : Yes(Pass)
MIN : No(Fail)</v>
      </c>
    </row>
    <row r="4041" spans="2:17" ht="41.4" x14ac:dyDescent="0.3">
      <c r="B4041">
        <v>0</v>
      </c>
      <c r="C4041" s="33">
        <v>9036</v>
      </c>
      <c r="D4041" s="2">
        <v>1397</v>
      </c>
      <c r="E4041" s="2" t="s">
        <v>12091</v>
      </c>
      <c r="F4041" s="3" t="s">
        <v>14249</v>
      </c>
      <c r="H4041" s="3" t="s">
        <v>4551</v>
      </c>
      <c r="K4041" s="2">
        <v>30</v>
      </c>
      <c r="L4041" s="2">
        <v>10</v>
      </c>
      <c r="M4041" s="3" t="s">
        <v>4467</v>
      </c>
      <c r="N4041" s="3" t="s">
        <v>13</v>
      </c>
      <c r="O4041" s="3" t="s">
        <v>14</v>
      </c>
      <c r="Q4041" s="30" t="str">
        <f t="shared" si="63"/>
        <v>MAX : 
TARGET : Yes(Pass)
MIN : No(Fail)</v>
      </c>
    </row>
    <row r="4042" spans="2:17" ht="41.4" x14ac:dyDescent="0.3">
      <c r="B4042">
        <v>0</v>
      </c>
      <c r="C4042" s="33">
        <v>9036</v>
      </c>
      <c r="D4042" s="2">
        <v>1397</v>
      </c>
      <c r="E4042" s="2" t="s">
        <v>12091</v>
      </c>
      <c r="F4042" s="3" t="s">
        <v>14249</v>
      </c>
      <c r="H4042" s="3" t="s">
        <v>4551</v>
      </c>
      <c r="K4042" s="2">
        <v>20</v>
      </c>
      <c r="L4042" s="2">
        <v>1</v>
      </c>
      <c r="M4042" s="3" t="s">
        <v>4468</v>
      </c>
      <c r="N4042" s="3" t="s">
        <v>13</v>
      </c>
      <c r="O4042" s="3" t="s">
        <v>14</v>
      </c>
      <c r="Q4042" s="30" t="str">
        <f t="shared" si="63"/>
        <v>MAX : 
TARGET : Yes(Pass)
MIN : No(Fail)</v>
      </c>
    </row>
    <row r="4043" spans="2:17" ht="41.4" x14ac:dyDescent="0.3">
      <c r="B4043">
        <v>0</v>
      </c>
      <c r="C4043" s="33">
        <v>9036</v>
      </c>
      <c r="D4043" s="2">
        <v>1397</v>
      </c>
      <c r="E4043" s="2" t="s">
        <v>12091</v>
      </c>
      <c r="F4043" s="3" t="s">
        <v>14249</v>
      </c>
      <c r="H4043" s="3" t="s">
        <v>4551</v>
      </c>
      <c r="K4043" s="2">
        <v>20</v>
      </c>
      <c r="L4043" s="2">
        <v>2</v>
      </c>
      <c r="M4043" s="3" t="s">
        <v>4469</v>
      </c>
      <c r="N4043" s="3" t="s">
        <v>4470</v>
      </c>
      <c r="O4043" s="3" t="s">
        <v>132</v>
      </c>
      <c r="P4043" s="3" t="s">
        <v>4471</v>
      </c>
      <c r="Q4043" s="30" t="str">
        <f t="shared" si="63"/>
        <v>MAX : 0.813
TARGET : 0.75
MIN : 0.687</v>
      </c>
    </row>
    <row r="4044" spans="2:17" ht="41.4" x14ac:dyDescent="0.3">
      <c r="B4044">
        <v>0</v>
      </c>
      <c r="C4044" s="33">
        <v>9036</v>
      </c>
      <c r="D4044" s="2">
        <v>1397</v>
      </c>
      <c r="E4044" s="2" t="s">
        <v>12091</v>
      </c>
      <c r="F4044" s="3" t="s">
        <v>14249</v>
      </c>
      <c r="H4044" s="3" t="s">
        <v>4551</v>
      </c>
      <c r="K4044" s="2">
        <v>20</v>
      </c>
      <c r="L4044" s="2">
        <v>3</v>
      </c>
      <c r="M4044" s="3" t="s">
        <v>4472</v>
      </c>
      <c r="N4044" s="3" t="s">
        <v>13</v>
      </c>
      <c r="O4044" s="3" t="s">
        <v>14</v>
      </c>
      <c r="Q4044" s="30" t="str">
        <f t="shared" si="63"/>
        <v>MAX : 
TARGET : Yes(Pass)
MIN : No(Fail)</v>
      </c>
    </row>
    <row r="4045" spans="2:17" ht="41.4" x14ac:dyDescent="0.3">
      <c r="B4045">
        <v>1</v>
      </c>
      <c r="C4045" s="33">
        <v>8931</v>
      </c>
      <c r="D4045" s="2">
        <v>2010</v>
      </c>
      <c r="E4045" s="2" t="s">
        <v>11500</v>
      </c>
      <c r="F4045" s="3" t="s">
        <v>14206</v>
      </c>
      <c r="H4045" s="3" t="s">
        <v>289</v>
      </c>
      <c r="K4045" s="2">
        <v>10</v>
      </c>
      <c r="L4045" s="2">
        <v>1</v>
      </c>
      <c r="M4045" s="3" t="s">
        <v>569</v>
      </c>
      <c r="N4045" s="3" t="s">
        <v>4069</v>
      </c>
      <c r="O4045" s="3" t="s">
        <v>853</v>
      </c>
      <c r="P4045" s="3" t="s">
        <v>4070</v>
      </c>
      <c r="Q4045" s="30" t="str">
        <f t="shared" si="63"/>
        <v>MAX : 13.63
TARGET : 13.50
MIN : 13.37</v>
      </c>
    </row>
    <row r="4046" spans="2:17" ht="41.4" x14ac:dyDescent="0.3">
      <c r="B4046">
        <v>1</v>
      </c>
      <c r="C4046" s="33">
        <v>8931</v>
      </c>
      <c r="D4046" s="2">
        <v>2010</v>
      </c>
      <c r="E4046" s="2" t="s">
        <v>11500</v>
      </c>
      <c r="F4046" s="3" t="s">
        <v>14206</v>
      </c>
      <c r="H4046" s="3" t="s">
        <v>289</v>
      </c>
      <c r="K4046" s="2">
        <v>20</v>
      </c>
      <c r="L4046" s="2">
        <v>4</v>
      </c>
      <c r="M4046" s="3" t="s">
        <v>5324</v>
      </c>
      <c r="N4046" s="3" t="s">
        <v>5325</v>
      </c>
      <c r="O4046" s="3" t="s">
        <v>14</v>
      </c>
      <c r="Q4046" s="30" t="str">
        <f t="shared" si="63"/>
        <v>MAX : 
TARGET : Yes(Pass)
MIN : No(Fails)</v>
      </c>
    </row>
    <row r="4047" spans="2:17" ht="41.4" x14ac:dyDescent="0.3">
      <c r="B4047">
        <v>0</v>
      </c>
      <c r="C4047" s="33">
        <v>8898</v>
      </c>
      <c r="D4047" s="2">
        <v>1330</v>
      </c>
      <c r="E4047" s="2" t="s">
        <v>11384</v>
      </c>
      <c r="F4047" s="3" t="s">
        <v>14238</v>
      </c>
      <c r="H4047" s="3" t="s">
        <v>648</v>
      </c>
      <c r="K4047" s="2">
        <v>20</v>
      </c>
      <c r="L4047" s="2">
        <v>19</v>
      </c>
      <c r="M4047" s="3" t="s">
        <v>4329</v>
      </c>
      <c r="N4047" s="3" t="s">
        <v>13</v>
      </c>
      <c r="O4047" s="3" t="s">
        <v>14</v>
      </c>
      <c r="Q4047" s="30" t="str">
        <f t="shared" si="63"/>
        <v>MAX : 
TARGET : Yes(Pass)
MIN : No(Fail)</v>
      </c>
    </row>
    <row r="4048" spans="2:17" ht="41.4" x14ac:dyDescent="0.3">
      <c r="B4048">
        <v>0</v>
      </c>
      <c r="C4048" s="33">
        <v>8898</v>
      </c>
      <c r="D4048" s="2">
        <v>1330</v>
      </c>
      <c r="E4048" s="2" t="s">
        <v>11384</v>
      </c>
      <c r="F4048" s="3" t="s">
        <v>14238</v>
      </c>
      <c r="H4048" s="3" t="s">
        <v>648</v>
      </c>
      <c r="K4048" s="2">
        <v>20</v>
      </c>
      <c r="L4048" s="2">
        <v>20</v>
      </c>
      <c r="M4048" s="3" t="s">
        <v>4331</v>
      </c>
      <c r="N4048" s="3" t="s">
        <v>13</v>
      </c>
      <c r="O4048" s="3" t="s">
        <v>14</v>
      </c>
      <c r="Q4048" s="30" t="str">
        <f t="shared" si="63"/>
        <v>MAX : 
TARGET : Yes(Pass)
MIN : No(Fail)</v>
      </c>
    </row>
    <row r="4049" spans="2:18" ht="41.4" x14ac:dyDescent="0.3">
      <c r="B4049">
        <v>1</v>
      </c>
      <c r="C4049" s="33">
        <v>8935</v>
      </c>
      <c r="D4049" s="2">
        <v>2011</v>
      </c>
      <c r="E4049" s="2" t="s">
        <v>11506</v>
      </c>
      <c r="F4049" s="3" t="s">
        <v>14206</v>
      </c>
      <c r="H4049" s="3" t="s">
        <v>289</v>
      </c>
      <c r="K4049" s="2">
        <v>10</v>
      </c>
      <c r="L4049" s="2">
        <v>1</v>
      </c>
      <c r="M4049" s="3" t="s">
        <v>3991</v>
      </c>
      <c r="N4049" s="3" t="s">
        <v>13</v>
      </c>
      <c r="O4049" s="3" t="s">
        <v>14</v>
      </c>
      <c r="Q4049" s="30" t="str">
        <f t="shared" si="63"/>
        <v>MAX : 
TARGET : Yes(Pass)
MIN : No(Fail)</v>
      </c>
    </row>
    <row r="4050" spans="2:18" ht="41.4" x14ac:dyDescent="0.3">
      <c r="B4050">
        <v>0</v>
      </c>
      <c r="C4050" s="33">
        <v>9037</v>
      </c>
      <c r="D4050" s="2">
        <v>1398</v>
      </c>
      <c r="E4050" s="2" t="s">
        <v>12098</v>
      </c>
      <c r="F4050" s="29" t="s">
        <v>14250</v>
      </c>
      <c r="H4050" s="3" t="s">
        <v>504</v>
      </c>
      <c r="K4050" s="2">
        <v>30</v>
      </c>
      <c r="L4050" s="2">
        <v>1</v>
      </c>
      <c r="M4050" s="3" t="s">
        <v>194</v>
      </c>
      <c r="N4050" s="3" t="s">
        <v>4561</v>
      </c>
      <c r="O4050" s="3" t="s">
        <v>1098</v>
      </c>
      <c r="P4050" s="3" t="s">
        <v>4562</v>
      </c>
      <c r="Q4050" s="30" t="str">
        <f t="shared" si="63"/>
        <v>MAX : 10.13
TARGET : 10.00
MIN : 9.87</v>
      </c>
    </row>
    <row r="4051" spans="2:18" ht="41.4" x14ac:dyDescent="0.3">
      <c r="B4051">
        <v>0</v>
      </c>
      <c r="C4051" s="33">
        <v>9037</v>
      </c>
      <c r="D4051" s="2">
        <v>1398</v>
      </c>
      <c r="E4051" s="2" t="s">
        <v>12098</v>
      </c>
      <c r="F4051" s="29" t="s">
        <v>14250</v>
      </c>
      <c r="H4051" s="3" t="s">
        <v>504</v>
      </c>
      <c r="K4051" s="2">
        <v>30</v>
      </c>
      <c r="L4051" s="2">
        <v>2</v>
      </c>
      <c r="M4051" s="3" t="s">
        <v>198</v>
      </c>
      <c r="N4051" s="3" t="s">
        <v>4563</v>
      </c>
      <c r="O4051" s="3" t="s">
        <v>1230</v>
      </c>
      <c r="P4051" s="3" t="s">
        <v>4564</v>
      </c>
      <c r="Q4051" s="30" t="str">
        <f t="shared" si="63"/>
        <v>MAX : 8.13
TARGET : 8.00
MIN : 7.87</v>
      </c>
    </row>
    <row r="4052" spans="2:18" ht="41.4" x14ac:dyDescent="0.3">
      <c r="B4052">
        <v>0</v>
      </c>
      <c r="C4052" s="33">
        <v>9037</v>
      </c>
      <c r="D4052" s="2">
        <v>1398</v>
      </c>
      <c r="E4052" s="2" t="s">
        <v>12098</v>
      </c>
      <c r="F4052" s="29" t="s">
        <v>14250</v>
      </c>
      <c r="H4052" s="3" t="s">
        <v>504</v>
      </c>
      <c r="K4052" s="2">
        <v>30</v>
      </c>
      <c r="L4052" s="2">
        <v>3</v>
      </c>
      <c r="M4052" s="3" t="s">
        <v>4565</v>
      </c>
      <c r="N4052" s="3" t="s">
        <v>344</v>
      </c>
      <c r="O4052" s="3" t="s">
        <v>28</v>
      </c>
      <c r="P4052" s="3" t="s">
        <v>345</v>
      </c>
      <c r="Q4052" s="30" t="str">
        <f t="shared" si="63"/>
        <v>MAX : 1.75
TARGET : 1.50
MIN : 1.25</v>
      </c>
    </row>
    <row r="4053" spans="2:18" ht="41.4" x14ac:dyDescent="0.3">
      <c r="B4053">
        <v>0</v>
      </c>
      <c r="C4053" s="33">
        <v>9037</v>
      </c>
      <c r="D4053" s="2">
        <v>1398</v>
      </c>
      <c r="E4053" s="2" t="s">
        <v>12098</v>
      </c>
      <c r="F4053" s="29" t="s">
        <v>14250</v>
      </c>
      <c r="H4053" s="3" t="s">
        <v>504</v>
      </c>
      <c r="K4053" s="2">
        <v>30</v>
      </c>
      <c r="L4053" s="2">
        <v>4</v>
      </c>
      <c r="M4053" s="3" t="s">
        <v>4566</v>
      </c>
      <c r="N4053" s="3" t="s">
        <v>3997</v>
      </c>
      <c r="O4053" s="3" t="s">
        <v>424</v>
      </c>
      <c r="P4053" s="3" t="s">
        <v>247</v>
      </c>
      <c r="Q4053" s="30" t="str">
        <f t="shared" si="63"/>
        <v>MAX : 0.38
TARGET : 0.25
MIN : 0.12</v>
      </c>
    </row>
    <row r="4054" spans="2:18" ht="41.4" x14ac:dyDescent="0.3">
      <c r="B4054">
        <v>0</v>
      </c>
      <c r="C4054" s="33">
        <v>9037</v>
      </c>
      <c r="D4054" s="2">
        <v>1398</v>
      </c>
      <c r="E4054" s="2" t="s">
        <v>12098</v>
      </c>
      <c r="F4054" s="29" t="s">
        <v>14250</v>
      </c>
      <c r="H4054" s="3" t="s">
        <v>504</v>
      </c>
      <c r="K4054" s="2">
        <v>30</v>
      </c>
      <c r="L4054" s="2">
        <v>5</v>
      </c>
      <c r="M4054" s="3" t="s">
        <v>4567</v>
      </c>
      <c r="N4054" s="3" t="s">
        <v>2453</v>
      </c>
      <c r="O4054" s="3" t="s">
        <v>253</v>
      </c>
      <c r="P4054" s="3" t="s">
        <v>3785</v>
      </c>
      <c r="Q4054" s="30" t="str">
        <f t="shared" si="63"/>
        <v>MAX : 4.13
TARGET : 4.00
MIN : 3.87</v>
      </c>
    </row>
    <row r="4055" spans="2:18" ht="41.4" x14ac:dyDescent="0.3">
      <c r="B4055">
        <v>0</v>
      </c>
      <c r="C4055" s="33">
        <v>9037</v>
      </c>
      <c r="D4055" s="2">
        <v>1398</v>
      </c>
      <c r="E4055" s="2" t="s">
        <v>12098</v>
      </c>
      <c r="F4055" s="29" t="s">
        <v>14250</v>
      </c>
      <c r="H4055" s="3" t="s">
        <v>504</v>
      </c>
      <c r="K4055" s="2">
        <v>30</v>
      </c>
      <c r="L4055" s="2">
        <v>7</v>
      </c>
      <c r="M4055" s="3" t="s">
        <v>4568</v>
      </c>
      <c r="N4055" s="3" t="s">
        <v>13</v>
      </c>
      <c r="O4055" s="3" t="s">
        <v>14</v>
      </c>
      <c r="Q4055" s="30" t="str">
        <f t="shared" si="63"/>
        <v>MAX : 
TARGET : Yes(Pass)
MIN : No(Fail)</v>
      </c>
    </row>
    <row r="4056" spans="2:18" ht="41.4" x14ac:dyDescent="0.3">
      <c r="B4056">
        <v>0</v>
      </c>
      <c r="C4056" s="33">
        <v>9037</v>
      </c>
      <c r="D4056" s="2">
        <v>1398</v>
      </c>
      <c r="E4056" s="2" t="s">
        <v>12098</v>
      </c>
      <c r="F4056" s="29" t="s">
        <v>14250</v>
      </c>
      <c r="H4056" s="3" t="s">
        <v>504</v>
      </c>
      <c r="K4056" s="2">
        <v>30</v>
      </c>
      <c r="L4056" s="2">
        <v>8</v>
      </c>
      <c r="M4056" s="3" t="s">
        <v>4569</v>
      </c>
      <c r="N4056" s="3" t="s">
        <v>13</v>
      </c>
      <c r="O4056" s="3" t="s">
        <v>14</v>
      </c>
      <c r="Q4056" s="30" t="str">
        <f t="shared" si="63"/>
        <v>MAX : 
TARGET : Yes(Pass)
MIN : No(Fail)</v>
      </c>
    </row>
    <row r="4057" spans="2:18" ht="41.4" x14ac:dyDescent="0.3">
      <c r="B4057">
        <v>0</v>
      </c>
      <c r="C4057" s="33">
        <v>9037</v>
      </c>
      <c r="D4057" s="2">
        <v>1398</v>
      </c>
      <c r="E4057" s="2" t="s">
        <v>12098</v>
      </c>
      <c r="F4057" s="29" t="s">
        <v>14250</v>
      </c>
      <c r="H4057" s="3" t="s">
        <v>504</v>
      </c>
      <c r="K4057" s="2">
        <v>30</v>
      </c>
      <c r="L4057" s="2">
        <v>6</v>
      </c>
      <c r="M4057" s="3" t="s">
        <v>4570</v>
      </c>
      <c r="N4057" s="3" t="s">
        <v>13</v>
      </c>
      <c r="O4057" s="3" t="s">
        <v>14</v>
      </c>
      <c r="Q4057" s="30" t="str">
        <f t="shared" si="63"/>
        <v>MAX : 
TARGET : Yes(Pass)
MIN : No(Fail)</v>
      </c>
    </row>
    <row r="4058" spans="2:18" ht="41.4" x14ac:dyDescent="0.3">
      <c r="B4058">
        <v>1</v>
      </c>
      <c r="C4058" s="33">
        <v>8935</v>
      </c>
      <c r="D4058" s="2">
        <v>2011</v>
      </c>
      <c r="E4058" s="2" t="s">
        <v>11506</v>
      </c>
      <c r="F4058" s="3" t="s">
        <v>14206</v>
      </c>
      <c r="H4058" s="3" t="s">
        <v>289</v>
      </c>
      <c r="K4058" s="2">
        <v>10</v>
      </c>
      <c r="L4058" s="2">
        <v>4</v>
      </c>
      <c r="M4058" s="3" t="s">
        <v>4414</v>
      </c>
      <c r="N4058" s="3" t="s">
        <v>13</v>
      </c>
      <c r="O4058" s="3" t="s">
        <v>14</v>
      </c>
      <c r="Q4058" s="30" t="str">
        <f t="shared" si="63"/>
        <v>MAX : 
TARGET : Yes(Pass)
MIN : No(Fail)</v>
      </c>
    </row>
    <row r="4059" spans="2:18" ht="41.4" x14ac:dyDescent="0.3">
      <c r="B4059">
        <v>1</v>
      </c>
      <c r="C4059" s="33">
        <v>8935</v>
      </c>
      <c r="D4059" s="2">
        <v>2011</v>
      </c>
      <c r="E4059" s="2" t="s">
        <v>11506</v>
      </c>
      <c r="F4059" s="3" t="s">
        <v>14206</v>
      </c>
      <c r="H4059" s="3" t="s">
        <v>289</v>
      </c>
      <c r="K4059" s="2">
        <v>10</v>
      </c>
      <c r="L4059" s="2">
        <v>2</v>
      </c>
      <c r="M4059" s="3" t="s">
        <v>3990</v>
      </c>
      <c r="N4059" s="3" t="s">
        <v>13</v>
      </c>
      <c r="O4059" s="3" t="s">
        <v>14</v>
      </c>
      <c r="Q4059" s="30" t="str">
        <f t="shared" si="63"/>
        <v>MAX : 
TARGET : Yes(Pass)
MIN : No(Fail)</v>
      </c>
    </row>
    <row r="4060" spans="2:18" ht="41.4" x14ac:dyDescent="0.3">
      <c r="B4060">
        <v>1</v>
      </c>
      <c r="C4060" s="33">
        <v>8936</v>
      </c>
      <c r="D4060" s="2">
        <v>2012</v>
      </c>
      <c r="E4060" s="2" t="s">
        <v>11513</v>
      </c>
      <c r="F4060" s="3" t="s">
        <v>14206</v>
      </c>
      <c r="H4060" s="3" t="s">
        <v>289</v>
      </c>
      <c r="K4060" s="2">
        <v>10</v>
      </c>
      <c r="L4060" s="2">
        <v>1</v>
      </c>
      <c r="M4060" s="3" t="s">
        <v>3991</v>
      </c>
      <c r="N4060" s="3" t="s">
        <v>13</v>
      </c>
      <c r="O4060" s="3" t="s">
        <v>14</v>
      </c>
      <c r="Q4060" s="30" t="str">
        <f t="shared" si="63"/>
        <v>MAX : 
TARGET : Yes(Pass)
MIN : No(Fail)</v>
      </c>
    </row>
    <row r="4061" spans="2:18" ht="41.4" x14ac:dyDescent="0.3">
      <c r="B4061">
        <v>1</v>
      </c>
      <c r="C4061" s="33">
        <v>8936</v>
      </c>
      <c r="D4061" s="2">
        <v>2012</v>
      </c>
      <c r="E4061" s="2" t="s">
        <v>11513</v>
      </c>
      <c r="F4061" s="3" t="s">
        <v>14206</v>
      </c>
      <c r="H4061" s="3" t="s">
        <v>289</v>
      </c>
      <c r="K4061" s="2">
        <v>10</v>
      </c>
      <c r="L4061" s="2">
        <v>4</v>
      </c>
      <c r="M4061" s="3" t="s">
        <v>4414</v>
      </c>
      <c r="N4061" s="3" t="s">
        <v>13</v>
      </c>
      <c r="O4061" s="3" t="s">
        <v>14</v>
      </c>
      <c r="Q4061" s="30" t="str">
        <f t="shared" si="63"/>
        <v>MAX : 
TARGET : Yes(Pass)
MIN : No(Fail)</v>
      </c>
    </row>
    <row r="4062" spans="2:18" ht="41.4" x14ac:dyDescent="0.3">
      <c r="B4062">
        <v>1</v>
      </c>
      <c r="C4062" s="33">
        <v>8936</v>
      </c>
      <c r="D4062" s="2">
        <v>2012</v>
      </c>
      <c r="E4062" s="2" t="s">
        <v>11513</v>
      </c>
      <c r="F4062" s="3" t="s">
        <v>14206</v>
      </c>
      <c r="H4062" s="3" t="s">
        <v>289</v>
      </c>
      <c r="K4062" s="2">
        <v>10</v>
      </c>
      <c r="L4062" s="2">
        <v>2</v>
      </c>
      <c r="M4062" s="3" t="s">
        <v>3990</v>
      </c>
      <c r="N4062" s="3" t="s">
        <v>13</v>
      </c>
      <c r="O4062" s="3" t="s">
        <v>14</v>
      </c>
      <c r="Q4062" s="30" t="str">
        <f t="shared" si="63"/>
        <v>MAX : 
TARGET : Yes(Pass)
MIN : No(Fail)</v>
      </c>
    </row>
    <row r="4063" spans="2:18" ht="41.4" x14ac:dyDescent="0.3">
      <c r="B4063">
        <v>0</v>
      </c>
      <c r="C4063" s="33">
        <v>9039</v>
      </c>
      <c r="D4063" s="2">
        <v>1399</v>
      </c>
      <c r="E4063" s="2" t="s">
        <v>12111</v>
      </c>
      <c r="F4063" s="3" t="s">
        <v>14251</v>
      </c>
      <c r="H4063" s="3" t="s">
        <v>4572</v>
      </c>
      <c r="I4063" s="3" t="s">
        <v>575</v>
      </c>
      <c r="K4063" s="2">
        <v>20</v>
      </c>
      <c r="L4063" s="2">
        <v>3</v>
      </c>
      <c r="M4063" s="3" t="s">
        <v>4582</v>
      </c>
      <c r="N4063" s="3" t="s">
        <v>4583</v>
      </c>
      <c r="O4063" s="3" t="s">
        <v>4584</v>
      </c>
      <c r="P4063" s="3" t="s">
        <v>4585</v>
      </c>
      <c r="Q4063" s="30" t="str">
        <f t="shared" si="63"/>
        <v>MAX : 109.92
TARGET : 109.62
MIN : 109.32</v>
      </c>
      <c r="R4063" s="3" t="s">
        <v>4577</v>
      </c>
    </row>
    <row r="4064" spans="2:18" ht="41.4" x14ac:dyDescent="0.3">
      <c r="B4064">
        <v>0</v>
      </c>
      <c r="C4064" s="33">
        <v>9039</v>
      </c>
      <c r="D4064" s="2">
        <v>1399</v>
      </c>
      <c r="E4064" s="2" t="s">
        <v>12111</v>
      </c>
      <c r="F4064" s="3" t="s">
        <v>14251</v>
      </c>
      <c r="H4064" s="3" t="s">
        <v>4572</v>
      </c>
      <c r="I4064" s="3" t="s">
        <v>575</v>
      </c>
      <c r="K4064" s="2">
        <v>20</v>
      </c>
      <c r="L4064" s="2">
        <v>4</v>
      </c>
      <c r="M4064" s="3" t="s">
        <v>4586</v>
      </c>
      <c r="N4064" s="3" t="s">
        <v>4587</v>
      </c>
      <c r="O4064" s="3" t="s">
        <v>4588</v>
      </c>
      <c r="P4064" s="3" t="s">
        <v>338</v>
      </c>
      <c r="Q4064" s="30" t="str">
        <f t="shared" si="63"/>
        <v>MAX : 19.89
TARGET : 19.69
MIN : 19.49</v>
      </c>
      <c r="R4064" s="3" t="s">
        <v>4577</v>
      </c>
    </row>
    <row r="4065" spans="2:18" ht="41.4" x14ac:dyDescent="0.3">
      <c r="B4065">
        <v>0</v>
      </c>
      <c r="C4065" s="33">
        <v>9039</v>
      </c>
      <c r="D4065" s="2">
        <v>1399</v>
      </c>
      <c r="E4065" s="2" t="s">
        <v>12111</v>
      </c>
      <c r="F4065" s="3" t="s">
        <v>14251</v>
      </c>
      <c r="H4065" s="3" t="s">
        <v>4572</v>
      </c>
      <c r="I4065" s="3" t="s">
        <v>575</v>
      </c>
      <c r="K4065" s="2">
        <v>20</v>
      </c>
      <c r="L4065" s="2">
        <v>5</v>
      </c>
      <c r="M4065" s="3" t="s">
        <v>4589</v>
      </c>
      <c r="N4065" s="3" t="s">
        <v>1540</v>
      </c>
      <c r="O4065" s="3" t="s">
        <v>250</v>
      </c>
      <c r="P4065" s="3" t="s">
        <v>2398</v>
      </c>
      <c r="Q4065" s="30" t="str">
        <f t="shared" si="63"/>
        <v>MAX : 6.10
TARGET : 6.00
MIN : 5.90</v>
      </c>
      <c r="R4065" s="3" t="s">
        <v>4577</v>
      </c>
    </row>
    <row r="4066" spans="2:18" ht="41.4" x14ac:dyDescent="0.3">
      <c r="B4066">
        <v>0</v>
      </c>
      <c r="C4066" s="33">
        <v>9039</v>
      </c>
      <c r="D4066" s="2">
        <v>1399</v>
      </c>
      <c r="E4066" s="2" t="s">
        <v>12111</v>
      </c>
      <c r="F4066" s="3" t="s">
        <v>14251</v>
      </c>
      <c r="H4066" s="3" t="s">
        <v>4572</v>
      </c>
      <c r="I4066" s="3" t="s">
        <v>575</v>
      </c>
      <c r="K4066" s="2">
        <v>20</v>
      </c>
      <c r="L4066" s="2">
        <v>6</v>
      </c>
      <c r="M4066" s="3" t="s">
        <v>4590</v>
      </c>
      <c r="N4066" s="3" t="s">
        <v>3417</v>
      </c>
      <c r="O4066" s="3" t="s">
        <v>1211</v>
      </c>
      <c r="P4066" s="3" t="s">
        <v>3121</v>
      </c>
      <c r="Q4066" s="30" t="str">
        <f t="shared" si="63"/>
        <v>MAX : 6.70
TARGET : 6.50
MIN : 6.40</v>
      </c>
      <c r="R4066" s="3" t="s">
        <v>4577</v>
      </c>
    </row>
    <row r="4067" spans="2:18" ht="41.4" x14ac:dyDescent="0.3">
      <c r="B4067">
        <v>0</v>
      </c>
      <c r="C4067" s="33">
        <v>9039</v>
      </c>
      <c r="D4067" s="2">
        <v>1399</v>
      </c>
      <c r="E4067" s="2" t="s">
        <v>12111</v>
      </c>
      <c r="F4067" s="3" t="s">
        <v>14251</v>
      </c>
      <c r="H4067" s="3" t="s">
        <v>4572</v>
      </c>
      <c r="I4067" s="3" t="s">
        <v>575</v>
      </c>
      <c r="K4067" s="2">
        <v>20</v>
      </c>
      <c r="L4067" s="2">
        <v>7</v>
      </c>
      <c r="M4067" s="3" t="s">
        <v>4591</v>
      </c>
      <c r="N4067" s="3" t="s">
        <v>3121</v>
      </c>
      <c r="O4067" s="3" t="s">
        <v>4592</v>
      </c>
      <c r="P4067" s="3" t="s">
        <v>966</v>
      </c>
      <c r="Q4067" s="30" t="str">
        <f t="shared" si="63"/>
        <v>MAX : 7.00
TARGET : 6.80
MIN : 6.70</v>
      </c>
      <c r="R4067" s="3" t="s">
        <v>4577</v>
      </c>
    </row>
    <row r="4068" spans="2:18" ht="41.4" x14ac:dyDescent="0.3">
      <c r="B4068">
        <v>0</v>
      </c>
      <c r="C4068" s="33">
        <v>9039</v>
      </c>
      <c r="D4068" s="2">
        <v>1399</v>
      </c>
      <c r="E4068" s="2" t="s">
        <v>12111</v>
      </c>
      <c r="F4068" s="3" t="s">
        <v>14251</v>
      </c>
      <c r="H4068" s="3" t="s">
        <v>4572</v>
      </c>
      <c r="I4068" s="3" t="s">
        <v>575</v>
      </c>
      <c r="K4068" s="2">
        <v>20</v>
      </c>
      <c r="L4068" s="2">
        <v>8</v>
      </c>
      <c r="M4068" s="3" t="s">
        <v>4593</v>
      </c>
      <c r="N4068" s="3" t="s">
        <v>4501</v>
      </c>
      <c r="O4068" s="3" t="s">
        <v>4594</v>
      </c>
      <c r="P4068" s="3" t="s">
        <v>4595</v>
      </c>
      <c r="Q4068" s="30" t="str">
        <f t="shared" si="63"/>
        <v>MAX : 5.39
TARGET : 5.19
MIN : 5.09</v>
      </c>
      <c r="R4068" s="3" t="s">
        <v>4577</v>
      </c>
    </row>
    <row r="4069" spans="2:18" ht="41.4" x14ac:dyDescent="0.3">
      <c r="B4069">
        <v>0</v>
      </c>
      <c r="C4069" s="33">
        <v>9039</v>
      </c>
      <c r="D4069" s="2">
        <v>1399</v>
      </c>
      <c r="E4069" s="2" t="s">
        <v>12111</v>
      </c>
      <c r="F4069" s="3" t="s">
        <v>14251</v>
      </c>
      <c r="H4069" s="3" t="s">
        <v>4572</v>
      </c>
      <c r="I4069" s="3" t="s">
        <v>575</v>
      </c>
      <c r="K4069" s="2">
        <v>20</v>
      </c>
      <c r="L4069" s="2">
        <v>12</v>
      </c>
      <c r="M4069" s="3" t="s">
        <v>78</v>
      </c>
      <c r="N4069" s="3" t="s">
        <v>13</v>
      </c>
      <c r="O4069" s="3" t="s">
        <v>14</v>
      </c>
      <c r="Q4069" s="30" t="str">
        <f t="shared" si="63"/>
        <v>MAX : 
TARGET : Yes(Pass)
MIN : No(Fail)</v>
      </c>
      <c r="R4069" s="3" t="s">
        <v>4577</v>
      </c>
    </row>
    <row r="4070" spans="2:18" ht="41.4" x14ac:dyDescent="0.3">
      <c r="B4070">
        <v>0</v>
      </c>
      <c r="C4070" s="33">
        <v>9039</v>
      </c>
      <c r="D4070" s="2">
        <v>1399</v>
      </c>
      <c r="E4070" s="2" t="s">
        <v>12111</v>
      </c>
      <c r="F4070" s="3" t="s">
        <v>14251</v>
      </c>
      <c r="H4070" s="3" t="s">
        <v>4572</v>
      </c>
      <c r="I4070" s="3" t="s">
        <v>575</v>
      </c>
      <c r="K4070" s="2">
        <v>20</v>
      </c>
      <c r="L4070" s="2">
        <v>11</v>
      </c>
      <c r="M4070" s="3" t="s">
        <v>4596</v>
      </c>
      <c r="N4070" s="3" t="s">
        <v>13</v>
      </c>
      <c r="O4070" s="3" t="s">
        <v>14</v>
      </c>
      <c r="Q4070" s="30" t="str">
        <f t="shared" si="63"/>
        <v>MAX : 
TARGET : Yes(Pass)
MIN : No(Fail)</v>
      </c>
      <c r="R4070" s="3" t="s">
        <v>4577</v>
      </c>
    </row>
    <row r="4071" spans="2:18" ht="41.4" x14ac:dyDescent="0.3">
      <c r="B4071">
        <v>1</v>
      </c>
      <c r="C4071" s="33">
        <v>8936</v>
      </c>
      <c r="D4071" s="2">
        <v>2012</v>
      </c>
      <c r="E4071" s="2" t="s">
        <v>11513</v>
      </c>
      <c r="F4071" s="3" t="s">
        <v>14206</v>
      </c>
      <c r="H4071" s="3" t="s">
        <v>289</v>
      </c>
      <c r="K4071" s="2">
        <v>10</v>
      </c>
      <c r="L4071" s="2">
        <v>3</v>
      </c>
      <c r="M4071" s="3" t="s">
        <v>3992</v>
      </c>
      <c r="N4071" s="3" t="s">
        <v>13</v>
      </c>
      <c r="O4071" s="3" t="s">
        <v>14</v>
      </c>
      <c r="Q4071" s="30" t="str">
        <f t="shared" si="63"/>
        <v>MAX : 
TARGET : Yes(Pass)
MIN : No(Fail)</v>
      </c>
    </row>
    <row r="4072" spans="2:18" ht="41.4" x14ac:dyDescent="0.3">
      <c r="B4072">
        <v>1</v>
      </c>
      <c r="C4072" s="33">
        <v>8937</v>
      </c>
      <c r="D4072" s="2">
        <v>2013</v>
      </c>
      <c r="E4072" s="2" t="s">
        <v>11517</v>
      </c>
      <c r="F4072" s="3" t="s">
        <v>14206</v>
      </c>
      <c r="H4072" s="3" t="s">
        <v>289</v>
      </c>
      <c r="K4072" s="2">
        <v>10</v>
      </c>
      <c r="L4072" s="2">
        <v>1</v>
      </c>
      <c r="M4072" s="3" t="s">
        <v>3991</v>
      </c>
      <c r="N4072" s="3" t="s">
        <v>13</v>
      </c>
      <c r="O4072" s="3" t="s">
        <v>14</v>
      </c>
      <c r="Q4072" s="30" t="str">
        <f t="shared" si="63"/>
        <v>MAX : 
TARGET : Yes(Pass)
MIN : No(Fail)</v>
      </c>
    </row>
    <row r="4073" spans="2:18" ht="41.4" x14ac:dyDescent="0.3">
      <c r="B4073">
        <v>1</v>
      </c>
      <c r="C4073" s="33">
        <v>8937</v>
      </c>
      <c r="D4073" s="2">
        <v>2013</v>
      </c>
      <c r="E4073" s="2" t="s">
        <v>11517</v>
      </c>
      <c r="F4073" s="3" t="s">
        <v>14206</v>
      </c>
      <c r="H4073" s="3" t="s">
        <v>289</v>
      </c>
      <c r="K4073" s="2">
        <v>10</v>
      </c>
      <c r="L4073" s="2">
        <v>4</v>
      </c>
      <c r="M4073" s="3" t="s">
        <v>4414</v>
      </c>
      <c r="N4073" s="3" t="s">
        <v>13</v>
      </c>
      <c r="O4073" s="3" t="s">
        <v>14</v>
      </c>
      <c r="Q4073" s="30" t="str">
        <f t="shared" si="63"/>
        <v>MAX : 
TARGET : Yes(Pass)
MIN : No(Fail)</v>
      </c>
    </row>
    <row r="4074" spans="2:18" ht="41.4" x14ac:dyDescent="0.3">
      <c r="B4074">
        <v>1</v>
      </c>
      <c r="C4074" s="33">
        <v>8937</v>
      </c>
      <c r="D4074" s="2">
        <v>2013</v>
      </c>
      <c r="E4074" s="2" t="s">
        <v>11517</v>
      </c>
      <c r="F4074" s="3" t="s">
        <v>14206</v>
      </c>
      <c r="H4074" s="3" t="s">
        <v>289</v>
      </c>
      <c r="K4074" s="2">
        <v>10</v>
      </c>
      <c r="L4074" s="2">
        <v>2</v>
      </c>
      <c r="M4074" s="3" t="s">
        <v>3990</v>
      </c>
      <c r="N4074" s="3" t="s">
        <v>13</v>
      </c>
      <c r="O4074" s="3" t="s">
        <v>14</v>
      </c>
      <c r="Q4074" s="30" t="str">
        <f t="shared" si="63"/>
        <v>MAX : 
TARGET : Yes(Pass)
MIN : No(Fail)</v>
      </c>
    </row>
    <row r="4075" spans="2:18" ht="41.4" x14ac:dyDescent="0.3">
      <c r="B4075">
        <v>0</v>
      </c>
      <c r="C4075" s="33">
        <v>9044</v>
      </c>
      <c r="D4075" s="2">
        <v>1403</v>
      </c>
      <c r="E4075" s="2" t="s">
        <v>12141</v>
      </c>
      <c r="F4075" s="3" t="s">
        <v>14206</v>
      </c>
      <c r="H4075" s="3" t="s">
        <v>648</v>
      </c>
      <c r="I4075" s="3" t="s">
        <v>487</v>
      </c>
      <c r="K4075" s="2">
        <v>20</v>
      </c>
      <c r="L4075" s="2">
        <v>2</v>
      </c>
      <c r="M4075" s="3" t="s">
        <v>569</v>
      </c>
      <c r="N4075" s="3" t="s">
        <v>900</v>
      </c>
      <c r="O4075" s="3" t="s">
        <v>28</v>
      </c>
      <c r="P4075" s="3" t="s">
        <v>901</v>
      </c>
      <c r="Q4075" s="30" t="str">
        <f t="shared" si="63"/>
        <v>MAX : 1.56
TARGET : 1.50
MIN : 1.44</v>
      </c>
    </row>
    <row r="4076" spans="2:18" ht="41.4" x14ac:dyDescent="0.3">
      <c r="B4076">
        <v>0</v>
      </c>
      <c r="C4076" s="33">
        <v>9044</v>
      </c>
      <c r="D4076" s="2">
        <v>1403</v>
      </c>
      <c r="E4076" s="2" t="s">
        <v>12141</v>
      </c>
      <c r="F4076" s="3" t="s">
        <v>14206</v>
      </c>
      <c r="H4076" s="3" t="s">
        <v>648</v>
      </c>
      <c r="I4076" s="3" t="s">
        <v>487</v>
      </c>
      <c r="K4076" s="2">
        <v>20</v>
      </c>
      <c r="L4076" s="2">
        <v>3</v>
      </c>
      <c r="M4076" s="3" t="s">
        <v>194</v>
      </c>
      <c r="N4076" s="3" t="s">
        <v>405</v>
      </c>
      <c r="O4076" s="3" t="s">
        <v>406</v>
      </c>
      <c r="P4076" s="3" t="s">
        <v>407</v>
      </c>
      <c r="Q4076" s="30" t="str">
        <f t="shared" si="63"/>
        <v>MAX : 2.06
TARGET : 2.00
MIN : 1.94</v>
      </c>
    </row>
    <row r="4077" spans="2:18" ht="41.4" x14ac:dyDescent="0.3">
      <c r="B4077">
        <v>0</v>
      </c>
      <c r="C4077" s="33">
        <v>9044</v>
      </c>
      <c r="D4077" s="2">
        <v>1403</v>
      </c>
      <c r="E4077" s="2" t="s">
        <v>12141</v>
      </c>
      <c r="F4077" s="3" t="s">
        <v>14206</v>
      </c>
      <c r="H4077" s="3" t="s">
        <v>648</v>
      </c>
      <c r="I4077" s="3" t="s">
        <v>487</v>
      </c>
      <c r="K4077" s="2">
        <v>20</v>
      </c>
      <c r="L4077" s="2">
        <v>4</v>
      </c>
      <c r="M4077" s="3" t="s">
        <v>4599</v>
      </c>
      <c r="N4077" s="3" t="s">
        <v>13</v>
      </c>
      <c r="O4077" s="3" t="s">
        <v>14</v>
      </c>
      <c r="Q4077" s="30" t="str">
        <f t="shared" si="63"/>
        <v>MAX : 
TARGET : Yes(Pass)
MIN : No(Fail)</v>
      </c>
    </row>
    <row r="4078" spans="2:18" ht="41.4" x14ac:dyDescent="0.3">
      <c r="B4078">
        <v>0</v>
      </c>
      <c r="C4078" s="33">
        <v>9044</v>
      </c>
      <c r="D4078" s="2">
        <v>1403</v>
      </c>
      <c r="E4078" s="2" t="s">
        <v>12141</v>
      </c>
      <c r="F4078" s="3" t="s">
        <v>14206</v>
      </c>
      <c r="H4078" s="3" t="s">
        <v>648</v>
      </c>
      <c r="I4078" s="3" t="s">
        <v>487</v>
      </c>
      <c r="K4078" s="2">
        <v>20</v>
      </c>
      <c r="L4078" s="2">
        <v>5</v>
      </c>
      <c r="M4078" s="3" t="s">
        <v>4600</v>
      </c>
      <c r="N4078" s="3" t="s">
        <v>13</v>
      </c>
      <c r="O4078" s="3" t="s">
        <v>14</v>
      </c>
      <c r="Q4078" s="30" t="str">
        <f t="shared" si="63"/>
        <v>MAX : 
TARGET : Yes(Pass)
MIN : No(Fail)</v>
      </c>
    </row>
    <row r="4079" spans="2:18" ht="41.4" x14ac:dyDescent="0.3">
      <c r="B4079">
        <v>1</v>
      </c>
      <c r="C4079" s="33">
        <v>8937</v>
      </c>
      <c r="D4079" s="2">
        <v>2013</v>
      </c>
      <c r="E4079" s="2" t="s">
        <v>11517</v>
      </c>
      <c r="F4079" s="3" t="s">
        <v>14206</v>
      </c>
      <c r="H4079" s="3" t="s">
        <v>289</v>
      </c>
      <c r="K4079" s="2">
        <v>10</v>
      </c>
      <c r="L4079" s="2">
        <v>3</v>
      </c>
      <c r="M4079" s="3" t="s">
        <v>3992</v>
      </c>
      <c r="N4079" s="3" t="s">
        <v>13</v>
      </c>
      <c r="O4079" s="3" t="s">
        <v>14</v>
      </c>
      <c r="Q4079" s="30" t="str">
        <f t="shared" si="63"/>
        <v>MAX : 
TARGET : Yes(Pass)
MIN : No(Fail)</v>
      </c>
    </row>
    <row r="4080" spans="2:18" ht="41.4" x14ac:dyDescent="0.3">
      <c r="B4080">
        <v>1</v>
      </c>
      <c r="C4080" s="33">
        <v>8938</v>
      </c>
      <c r="D4080" s="2">
        <v>1342</v>
      </c>
      <c r="E4080" s="2" t="s">
        <v>11522</v>
      </c>
      <c r="F4080" s="3" t="s">
        <v>14206</v>
      </c>
      <c r="G4080" s="3" t="s">
        <v>4081</v>
      </c>
      <c r="H4080" s="3" t="s">
        <v>4082</v>
      </c>
      <c r="K4080" s="2">
        <v>20</v>
      </c>
      <c r="L4080" s="2">
        <v>3</v>
      </c>
      <c r="M4080" s="3" t="s">
        <v>502</v>
      </c>
      <c r="N4080" s="3" t="s">
        <v>553</v>
      </c>
      <c r="O4080" s="3" t="s">
        <v>4083</v>
      </c>
      <c r="P4080" s="3" t="s">
        <v>4084</v>
      </c>
      <c r="Q4080" s="30" t="str">
        <f t="shared" si="63"/>
        <v>MAX : 1.634
TARGET : 1.614
MIN : 1.594</v>
      </c>
      <c r="R4080" s="3" t="s">
        <v>1473</v>
      </c>
    </row>
    <row r="4081" spans="2:18" ht="41.4" x14ac:dyDescent="0.3">
      <c r="B4081">
        <v>0</v>
      </c>
      <c r="C4081" s="33">
        <v>9010</v>
      </c>
      <c r="D4081" s="2">
        <v>1378</v>
      </c>
      <c r="E4081" s="2" t="s">
        <v>11928</v>
      </c>
      <c r="F4081" s="3" t="s">
        <v>14206</v>
      </c>
      <c r="H4081" s="3" t="s">
        <v>469</v>
      </c>
      <c r="K4081" s="2">
        <v>10</v>
      </c>
      <c r="L4081" s="2">
        <v>3</v>
      </c>
      <c r="M4081" s="3" t="s">
        <v>4604</v>
      </c>
      <c r="N4081" s="3" t="s">
        <v>13</v>
      </c>
      <c r="O4081" s="3" t="s">
        <v>14</v>
      </c>
      <c r="Q4081" s="30" t="str">
        <f t="shared" si="63"/>
        <v>MAX : 
TARGET : Yes(Pass)
MIN : No(Fail)</v>
      </c>
      <c r="R4081" s="3" t="s">
        <v>4186</v>
      </c>
    </row>
    <row r="4082" spans="2:18" ht="41.4" x14ac:dyDescent="0.3">
      <c r="B4082">
        <v>1</v>
      </c>
      <c r="C4082" s="33">
        <v>8938</v>
      </c>
      <c r="D4082" s="2">
        <v>1342</v>
      </c>
      <c r="E4082" s="2" t="s">
        <v>11522</v>
      </c>
      <c r="F4082" s="3" t="s">
        <v>14206</v>
      </c>
      <c r="G4082" s="3" t="s">
        <v>4081</v>
      </c>
      <c r="H4082" s="3" t="s">
        <v>4082</v>
      </c>
      <c r="K4082" s="2">
        <v>20</v>
      </c>
      <c r="L4082" s="2">
        <v>4</v>
      </c>
      <c r="M4082" s="3" t="s">
        <v>5176</v>
      </c>
      <c r="N4082" s="3" t="s">
        <v>1780</v>
      </c>
      <c r="O4082" s="3" t="s">
        <v>241</v>
      </c>
      <c r="P4082" s="3" t="s">
        <v>1746</v>
      </c>
      <c r="Q4082" s="30" t="str">
        <f t="shared" si="63"/>
        <v>MAX : 0.145
TARGET : 0.125
MIN : 0.105</v>
      </c>
      <c r="R4082" s="3" t="s">
        <v>1473</v>
      </c>
    </row>
    <row r="4083" spans="2:18" ht="41.4" x14ac:dyDescent="0.3">
      <c r="B4083">
        <v>1</v>
      </c>
      <c r="C4083" s="33">
        <v>8938</v>
      </c>
      <c r="D4083" s="2">
        <v>1342</v>
      </c>
      <c r="E4083" s="2" t="s">
        <v>11522</v>
      </c>
      <c r="F4083" s="3" t="s">
        <v>14206</v>
      </c>
      <c r="G4083" s="3" t="s">
        <v>4081</v>
      </c>
      <c r="H4083" s="3" t="s">
        <v>4082</v>
      </c>
      <c r="K4083" s="2">
        <v>20</v>
      </c>
      <c r="L4083" s="2">
        <v>6</v>
      </c>
      <c r="M4083" s="3" t="s">
        <v>78</v>
      </c>
      <c r="N4083" s="3" t="s">
        <v>13</v>
      </c>
      <c r="O4083" s="3" t="s">
        <v>14</v>
      </c>
      <c r="Q4083" s="30" t="str">
        <f t="shared" si="63"/>
        <v>MAX : 
TARGET : Yes(Pass)
MIN : No(Fail)</v>
      </c>
      <c r="R4083" s="3" t="s">
        <v>1473</v>
      </c>
    </row>
    <row r="4084" spans="2:18" ht="41.4" x14ac:dyDescent="0.3">
      <c r="B4084">
        <v>0</v>
      </c>
      <c r="C4084" s="33">
        <v>9011</v>
      </c>
      <c r="D4084" s="2">
        <v>1379</v>
      </c>
      <c r="E4084" s="2" t="s">
        <v>11934</v>
      </c>
      <c r="F4084" s="3" t="s">
        <v>14206</v>
      </c>
      <c r="H4084" s="3" t="s">
        <v>469</v>
      </c>
      <c r="K4084" s="2">
        <v>10</v>
      </c>
      <c r="L4084" s="2">
        <v>3</v>
      </c>
      <c r="M4084" s="3" t="s">
        <v>4604</v>
      </c>
      <c r="N4084" s="3" t="s">
        <v>13</v>
      </c>
      <c r="O4084" s="3" t="s">
        <v>14</v>
      </c>
      <c r="Q4084" s="30" t="str">
        <f t="shared" si="63"/>
        <v>MAX : 
TARGET : Yes(Pass)
MIN : No(Fail)</v>
      </c>
      <c r="R4084" s="3" t="s">
        <v>4186</v>
      </c>
    </row>
    <row r="4085" spans="2:18" ht="41.4" x14ac:dyDescent="0.3">
      <c r="B4085">
        <v>0</v>
      </c>
      <c r="C4085" s="33">
        <v>9011</v>
      </c>
      <c r="D4085" s="2">
        <v>1379</v>
      </c>
      <c r="E4085" s="2" t="s">
        <v>11934</v>
      </c>
      <c r="F4085" s="3" t="s">
        <v>14206</v>
      </c>
      <c r="H4085" s="3" t="s">
        <v>469</v>
      </c>
      <c r="K4085" s="2">
        <v>20</v>
      </c>
      <c r="L4085" s="2">
        <v>1</v>
      </c>
      <c r="M4085" s="3" t="s">
        <v>4182</v>
      </c>
      <c r="N4085" s="3" t="s">
        <v>4607</v>
      </c>
      <c r="O4085" s="3" t="s">
        <v>1792</v>
      </c>
      <c r="P4085" s="3" t="s">
        <v>4608</v>
      </c>
      <c r="Q4085" s="30" t="str">
        <f t="shared" si="63"/>
        <v>MAX : 2.093
TARGET : 2.063
MIN : 2.033</v>
      </c>
      <c r="R4085" s="3" t="s">
        <v>4186</v>
      </c>
    </row>
    <row r="4086" spans="2:18" ht="41.4" x14ac:dyDescent="0.3">
      <c r="B4086">
        <v>0</v>
      </c>
      <c r="C4086" s="33">
        <v>9011</v>
      </c>
      <c r="D4086" s="2">
        <v>1379</v>
      </c>
      <c r="E4086" s="2" t="s">
        <v>11934</v>
      </c>
      <c r="F4086" s="3" t="s">
        <v>14206</v>
      </c>
      <c r="H4086" s="3" t="s">
        <v>469</v>
      </c>
      <c r="K4086" s="2">
        <v>20</v>
      </c>
      <c r="L4086" s="2">
        <v>2</v>
      </c>
      <c r="M4086" s="3" t="s">
        <v>4187</v>
      </c>
      <c r="N4086" s="3" t="s">
        <v>4183</v>
      </c>
      <c r="O4086" s="3" t="s">
        <v>4184</v>
      </c>
      <c r="P4086" s="3" t="s">
        <v>4185</v>
      </c>
      <c r="Q4086" s="30" t="str">
        <f t="shared" si="63"/>
        <v>MAX : 4.093
TARGET : 4.063
MIN : 4.033</v>
      </c>
      <c r="R4086" s="3" t="s">
        <v>4186</v>
      </c>
    </row>
    <row r="4087" spans="2:18" ht="41.4" x14ac:dyDescent="0.3">
      <c r="B4087">
        <v>0</v>
      </c>
      <c r="C4087" s="33">
        <v>9011</v>
      </c>
      <c r="D4087" s="2">
        <v>1379</v>
      </c>
      <c r="E4087" s="2" t="s">
        <v>11934</v>
      </c>
      <c r="F4087" s="3" t="s">
        <v>14206</v>
      </c>
      <c r="H4087" s="3" t="s">
        <v>469</v>
      </c>
      <c r="K4087" s="2">
        <v>20</v>
      </c>
      <c r="L4087" s="2">
        <v>3</v>
      </c>
      <c r="M4087" s="3" t="s">
        <v>4188</v>
      </c>
      <c r="N4087" s="3" t="s">
        <v>459</v>
      </c>
      <c r="O4087" s="3" t="s">
        <v>406</v>
      </c>
      <c r="P4087" s="3" t="s">
        <v>460</v>
      </c>
      <c r="Q4087" s="30" t="str">
        <f t="shared" si="63"/>
        <v>MAX : 2.03
TARGET : 2.00
MIN : 1.97</v>
      </c>
      <c r="R4087" s="3" t="s">
        <v>4186</v>
      </c>
    </row>
    <row r="4088" spans="2:18" ht="41.4" x14ac:dyDescent="0.3">
      <c r="B4088">
        <v>0</v>
      </c>
      <c r="C4088" s="33">
        <v>9011</v>
      </c>
      <c r="D4088" s="2">
        <v>1379</v>
      </c>
      <c r="E4088" s="2" t="s">
        <v>11934</v>
      </c>
      <c r="F4088" s="3" t="s">
        <v>14206</v>
      </c>
      <c r="H4088" s="3" t="s">
        <v>469</v>
      </c>
      <c r="K4088" s="2">
        <v>20</v>
      </c>
      <c r="L4088" s="2">
        <v>4</v>
      </c>
      <c r="M4088" s="3" t="s">
        <v>4189</v>
      </c>
      <c r="N4088" s="3" t="s">
        <v>252</v>
      </c>
      <c r="O4088" s="3" t="s">
        <v>253</v>
      </c>
      <c r="P4088" s="3" t="s">
        <v>128</v>
      </c>
      <c r="Q4088" s="30" t="str">
        <f t="shared" si="63"/>
        <v>MAX : 4.03
TARGET : 4.00
MIN : 3.97</v>
      </c>
      <c r="R4088" s="3" t="s">
        <v>4186</v>
      </c>
    </row>
    <row r="4089" spans="2:18" ht="41.4" x14ac:dyDescent="0.3">
      <c r="B4089">
        <v>0</v>
      </c>
      <c r="C4089" s="33">
        <v>9011</v>
      </c>
      <c r="D4089" s="2">
        <v>1379</v>
      </c>
      <c r="E4089" s="2" t="s">
        <v>11934</v>
      </c>
      <c r="F4089" s="3" t="s">
        <v>14206</v>
      </c>
      <c r="H4089" s="3" t="s">
        <v>469</v>
      </c>
      <c r="K4089" s="2">
        <v>20</v>
      </c>
      <c r="L4089" s="2">
        <v>5</v>
      </c>
      <c r="M4089" s="3" t="s">
        <v>4190</v>
      </c>
      <c r="N4089" s="3" t="s">
        <v>252</v>
      </c>
      <c r="O4089" s="3" t="s">
        <v>253</v>
      </c>
      <c r="P4089" s="3" t="s">
        <v>128</v>
      </c>
      <c r="Q4089" s="30" t="str">
        <f t="shared" si="63"/>
        <v>MAX : 4.03
TARGET : 4.00
MIN : 3.97</v>
      </c>
      <c r="R4089" s="3" t="s">
        <v>4186</v>
      </c>
    </row>
    <row r="4090" spans="2:18" ht="41.4" x14ac:dyDescent="0.3">
      <c r="B4090">
        <v>0</v>
      </c>
      <c r="C4090" s="33">
        <v>9011</v>
      </c>
      <c r="D4090" s="2">
        <v>1379</v>
      </c>
      <c r="E4090" s="2" t="s">
        <v>11934</v>
      </c>
      <c r="F4090" s="3" t="s">
        <v>14206</v>
      </c>
      <c r="H4090" s="3" t="s">
        <v>469</v>
      </c>
      <c r="K4090" s="2">
        <v>20</v>
      </c>
      <c r="L4090" s="2">
        <v>6</v>
      </c>
      <c r="M4090" s="3" t="s">
        <v>4191</v>
      </c>
      <c r="N4090" s="3" t="s">
        <v>249</v>
      </c>
      <c r="O4090" s="3" t="s">
        <v>250</v>
      </c>
      <c r="P4090" s="3" t="s">
        <v>251</v>
      </c>
      <c r="Q4090" s="30" t="str">
        <f t="shared" si="63"/>
        <v>MAX : 6.03
TARGET : 6.00
MIN : 5.97</v>
      </c>
      <c r="R4090" s="3" t="s">
        <v>4186</v>
      </c>
    </row>
    <row r="4091" spans="2:18" ht="41.4" x14ac:dyDescent="0.3">
      <c r="B4091">
        <v>0</v>
      </c>
      <c r="C4091" s="33">
        <v>9011</v>
      </c>
      <c r="D4091" s="2">
        <v>1379</v>
      </c>
      <c r="E4091" s="2" t="s">
        <v>11934</v>
      </c>
      <c r="F4091" s="3" t="s">
        <v>14206</v>
      </c>
      <c r="H4091" s="3" t="s">
        <v>469</v>
      </c>
      <c r="K4091" s="2">
        <v>20</v>
      </c>
      <c r="L4091" s="2">
        <v>8</v>
      </c>
      <c r="M4091" s="3" t="s">
        <v>4192</v>
      </c>
      <c r="N4091" s="3" t="s">
        <v>13</v>
      </c>
      <c r="O4091" s="3" t="s">
        <v>14</v>
      </c>
      <c r="Q4091" s="30" t="str">
        <f t="shared" si="63"/>
        <v>MAX : 
TARGET : Yes(Pass)
MIN : No(Fail)</v>
      </c>
      <c r="R4091" s="3" t="s">
        <v>4186</v>
      </c>
    </row>
    <row r="4092" spans="2:18" ht="41.4" x14ac:dyDescent="0.3">
      <c r="B4092">
        <v>0</v>
      </c>
      <c r="C4092" s="33">
        <v>9011</v>
      </c>
      <c r="D4092" s="2">
        <v>1379</v>
      </c>
      <c r="E4092" s="2" t="s">
        <v>11934</v>
      </c>
      <c r="F4092" s="3" t="s">
        <v>14206</v>
      </c>
      <c r="H4092" s="3" t="s">
        <v>469</v>
      </c>
      <c r="K4092" s="2">
        <v>20</v>
      </c>
      <c r="L4092" s="2">
        <v>7</v>
      </c>
      <c r="M4092" s="3" t="s">
        <v>1983</v>
      </c>
      <c r="N4092" s="3" t="s">
        <v>418</v>
      </c>
      <c r="O4092" s="3" t="s">
        <v>344</v>
      </c>
      <c r="P4092" s="3" t="s">
        <v>419</v>
      </c>
      <c r="Q4092" s="30" t="str">
        <f t="shared" si="63"/>
        <v>MAX : 1.28
TARGET : 1.25
MIN : 1.22</v>
      </c>
      <c r="R4092" s="3" t="s">
        <v>4186</v>
      </c>
    </row>
    <row r="4093" spans="2:18" ht="41.4" x14ac:dyDescent="0.3">
      <c r="B4093">
        <v>0</v>
      </c>
      <c r="C4093" s="33">
        <v>9011</v>
      </c>
      <c r="D4093" s="2">
        <v>1379</v>
      </c>
      <c r="E4093" s="2" t="s">
        <v>11934</v>
      </c>
      <c r="F4093" s="3" t="s">
        <v>14206</v>
      </c>
      <c r="H4093" s="3" t="s">
        <v>469</v>
      </c>
      <c r="K4093" s="2">
        <v>20</v>
      </c>
      <c r="L4093" s="2">
        <v>9</v>
      </c>
      <c r="M4093" s="3" t="s">
        <v>78</v>
      </c>
      <c r="N4093" s="3" t="s">
        <v>13</v>
      </c>
      <c r="O4093" s="3" t="s">
        <v>14</v>
      </c>
      <c r="Q4093" s="30" t="str">
        <f t="shared" si="63"/>
        <v>MAX : 
TARGET : Yes(Pass)
MIN : No(Fail)</v>
      </c>
      <c r="R4093" s="3" t="s">
        <v>4186</v>
      </c>
    </row>
    <row r="4094" spans="2:18" ht="41.4" x14ac:dyDescent="0.3">
      <c r="B4094">
        <v>1</v>
      </c>
      <c r="C4094" s="33">
        <v>8938</v>
      </c>
      <c r="D4094" s="2">
        <v>1342</v>
      </c>
      <c r="E4094" s="2" t="s">
        <v>11522</v>
      </c>
      <c r="F4094" s="3" t="s">
        <v>14206</v>
      </c>
      <c r="G4094" s="3" t="s">
        <v>4081</v>
      </c>
      <c r="H4094" s="3" t="s">
        <v>4082</v>
      </c>
      <c r="K4094" s="2">
        <v>20</v>
      </c>
      <c r="L4094" s="2">
        <v>1</v>
      </c>
      <c r="M4094" s="3" t="s">
        <v>5177</v>
      </c>
      <c r="N4094" s="3" t="s">
        <v>1780</v>
      </c>
      <c r="O4094" s="3" t="s">
        <v>241</v>
      </c>
      <c r="P4094" s="3" t="s">
        <v>1746</v>
      </c>
      <c r="Q4094" s="30" t="str">
        <f t="shared" si="63"/>
        <v>MAX : 0.145
TARGET : 0.125
MIN : 0.105</v>
      </c>
      <c r="R4094" s="3" t="s">
        <v>1473</v>
      </c>
    </row>
    <row r="4095" spans="2:18" ht="41.4" x14ac:dyDescent="0.3">
      <c r="B4095">
        <v>1</v>
      </c>
      <c r="C4095" s="33">
        <v>8939</v>
      </c>
      <c r="D4095" s="2">
        <v>1343</v>
      </c>
      <c r="E4095" s="2" t="s">
        <v>11530</v>
      </c>
      <c r="F4095" s="3" t="s">
        <v>14206</v>
      </c>
      <c r="H4095" s="3" t="s">
        <v>2857</v>
      </c>
      <c r="K4095" s="2">
        <v>10</v>
      </c>
      <c r="L4095" s="2">
        <v>2</v>
      </c>
      <c r="M4095" s="3" t="s">
        <v>4078</v>
      </c>
      <c r="N4095" s="3" t="s">
        <v>1690</v>
      </c>
      <c r="O4095" s="3" t="s">
        <v>3602</v>
      </c>
      <c r="P4095" s="3" t="s">
        <v>976</v>
      </c>
      <c r="Q4095" s="30" t="str">
        <f t="shared" si="63"/>
        <v>MAX : 2.89
TARGET : 2.86
MIN : 2.83</v>
      </c>
    </row>
    <row r="4096" spans="2:18" ht="41.4" x14ac:dyDescent="0.3">
      <c r="B4096">
        <v>0</v>
      </c>
      <c r="C4096" s="33">
        <v>9010</v>
      </c>
      <c r="D4096" s="2">
        <v>1378</v>
      </c>
      <c r="E4096" s="2" t="s">
        <v>11928</v>
      </c>
      <c r="F4096" s="3" t="s">
        <v>14206</v>
      </c>
      <c r="H4096" s="3" t="s">
        <v>469</v>
      </c>
      <c r="K4096" s="2">
        <v>20</v>
      </c>
      <c r="L4096" s="2">
        <v>3</v>
      </c>
      <c r="M4096" s="3" t="s">
        <v>4188</v>
      </c>
      <c r="N4096" s="3" t="s">
        <v>459</v>
      </c>
      <c r="O4096" s="3" t="s">
        <v>406</v>
      </c>
      <c r="P4096" s="3" t="s">
        <v>460</v>
      </c>
      <c r="Q4096" s="30" t="str">
        <f t="shared" si="63"/>
        <v>MAX : 2.03
TARGET : 2.00
MIN : 1.97</v>
      </c>
      <c r="R4096" s="3" t="s">
        <v>4186</v>
      </c>
    </row>
    <row r="4097" spans="2:18" ht="41.4" x14ac:dyDescent="0.3">
      <c r="B4097">
        <v>0</v>
      </c>
      <c r="C4097" s="33">
        <v>9010</v>
      </c>
      <c r="D4097" s="2">
        <v>1378</v>
      </c>
      <c r="E4097" s="2" t="s">
        <v>11928</v>
      </c>
      <c r="F4097" s="3" t="s">
        <v>14206</v>
      </c>
      <c r="H4097" s="3" t="s">
        <v>469</v>
      </c>
      <c r="K4097" s="2">
        <v>20</v>
      </c>
      <c r="L4097" s="2">
        <v>4</v>
      </c>
      <c r="M4097" s="3" t="s">
        <v>4189</v>
      </c>
      <c r="N4097" s="3" t="s">
        <v>459</v>
      </c>
      <c r="O4097" s="3" t="s">
        <v>406</v>
      </c>
      <c r="P4097" s="3" t="s">
        <v>460</v>
      </c>
      <c r="Q4097" s="30" t="str">
        <f t="shared" si="63"/>
        <v>MAX : 2.03
TARGET : 2.00
MIN : 1.97</v>
      </c>
      <c r="R4097" s="3" t="s">
        <v>4186</v>
      </c>
    </row>
    <row r="4098" spans="2:18" ht="41.4" x14ac:dyDescent="0.3">
      <c r="B4098">
        <v>0</v>
      </c>
      <c r="C4098" s="33">
        <v>9010</v>
      </c>
      <c r="D4098" s="2">
        <v>1378</v>
      </c>
      <c r="E4098" s="2" t="s">
        <v>11928</v>
      </c>
      <c r="F4098" s="3" t="s">
        <v>14206</v>
      </c>
      <c r="H4098" s="3" t="s">
        <v>469</v>
      </c>
      <c r="K4098" s="2">
        <v>20</v>
      </c>
      <c r="L4098" s="2">
        <v>5</v>
      </c>
      <c r="M4098" s="3" t="s">
        <v>4190</v>
      </c>
      <c r="N4098" s="3" t="s">
        <v>183</v>
      </c>
      <c r="O4098" s="3" t="s">
        <v>253</v>
      </c>
      <c r="P4098" s="3" t="s">
        <v>128</v>
      </c>
      <c r="Q4098" s="30" t="str">
        <f t="shared" ref="Q4098:Q4161" si="64">"MAX : " &amp; P4098 &amp; CHAR(10) &amp; "TARGET : " &amp; O4098 &amp; CHAR(10) &amp; "MIN : " &amp; N4098</f>
        <v>MAX : 4.03
TARGET : 4.00
MIN : 4.97</v>
      </c>
      <c r="R4098" s="3" t="s">
        <v>4186</v>
      </c>
    </row>
    <row r="4099" spans="2:18" ht="41.4" x14ac:dyDescent="0.3">
      <c r="B4099">
        <v>0</v>
      </c>
      <c r="C4099" s="33">
        <v>9010</v>
      </c>
      <c r="D4099" s="2">
        <v>1378</v>
      </c>
      <c r="E4099" s="2" t="s">
        <v>11928</v>
      </c>
      <c r="F4099" s="3" t="s">
        <v>14206</v>
      </c>
      <c r="H4099" s="3" t="s">
        <v>469</v>
      </c>
      <c r="K4099" s="2">
        <v>20</v>
      </c>
      <c r="L4099" s="2">
        <v>6</v>
      </c>
      <c r="M4099" s="3" t="s">
        <v>4191</v>
      </c>
      <c r="N4099" s="3" t="s">
        <v>252</v>
      </c>
      <c r="O4099" s="3" t="s">
        <v>253</v>
      </c>
      <c r="P4099" s="3" t="s">
        <v>128</v>
      </c>
      <c r="Q4099" s="30" t="str">
        <f t="shared" si="64"/>
        <v>MAX : 4.03
TARGET : 4.00
MIN : 3.97</v>
      </c>
      <c r="R4099" s="3" t="s">
        <v>4186</v>
      </c>
    </row>
    <row r="4100" spans="2:18" ht="41.4" x14ac:dyDescent="0.3">
      <c r="B4100">
        <v>0</v>
      </c>
      <c r="C4100" s="33">
        <v>9010</v>
      </c>
      <c r="D4100" s="2">
        <v>1378</v>
      </c>
      <c r="E4100" s="2" t="s">
        <v>11928</v>
      </c>
      <c r="F4100" s="3" t="s">
        <v>14206</v>
      </c>
      <c r="H4100" s="3" t="s">
        <v>469</v>
      </c>
      <c r="K4100" s="2">
        <v>20</v>
      </c>
      <c r="L4100" s="2">
        <v>8</v>
      </c>
      <c r="M4100" s="3" t="s">
        <v>4192</v>
      </c>
      <c r="N4100" s="3" t="s">
        <v>13</v>
      </c>
      <c r="O4100" s="3" t="s">
        <v>14</v>
      </c>
      <c r="Q4100" s="30" t="str">
        <f t="shared" si="64"/>
        <v>MAX : 
TARGET : Yes(Pass)
MIN : No(Fail)</v>
      </c>
      <c r="R4100" s="3" t="s">
        <v>4186</v>
      </c>
    </row>
    <row r="4101" spans="2:18" ht="41.4" x14ac:dyDescent="0.3">
      <c r="B4101">
        <v>0</v>
      </c>
      <c r="C4101" s="33">
        <v>9010</v>
      </c>
      <c r="D4101" s="2">
        <v>1378</v>
      </c>
      <c r="E4101" s="2" t="s">
        <v>11928</v>
      </c>
      <c r="F4101" s="3" t="s">
        <v>14206</v>
      </c>
      <c r="H4101" s="3" t="s">
        <v>469</v>
      </c>
      <c r="K4101" s="2">
        <v>20</v>
      </c>
      <c r="L4101" s="2">
        <v>7</v>
      </c>
      <c r="M4101" s="3" t="s">
        <v>1983</v>
      </c>
      <c r="N4101" s="3" t="s">
        <v>418</v>
      </c>
      <c r="O4101" s="3" t="s">
        <v>344</v>
      </c>
      <c r="P4101" s="3" t="s">
        <v>419</v>
      </c>
      <c r="Q4101" s="30" t="str">
        <f t="shared" si="64"/>
        <v>MAX : 1.28
TARGET : 1.25
MIN : 1.22</v>
      </c>
      <c r="R4101" s="3" t="s">
        <v>4186</v>
      </c>
    </row>
    <row r="4102" spans="2:18" ht="41.4" x14ac:dyDescent="0.3">
      <c r="B4102">
        <v>0</v>
      </c>
      <c r="C4102" s="33">
        <v>9010</v>
      </c>
      <c r="D4102" s="2">
        <v>1378</v>
      </c>
      <c r="E4102" s="2" t="s">
        <v>11928</v>
      </c>
      <c r="F4102" s="3" t="s">
        <v>14206</v>
      </c>
      <c r="H4102" s="3" t="s">
        <v>469</v>
      </c>
      <c r="K4102" s="2">
        <v>20</v>
      </c>
      <c r="L4102" s="2">
        <v>9</v>
      </c>
      <c r="M4102" s="3" t="s">
        <v>78</v>
      </c>
      <c r="N4102" s="3" t="s">
        <v>13</v>
      </c>
      <c r="O4102" s="3" t="s">
        <v>14</v>
      </c>
      <c r="Q4102" s="30" t="str">
        <f t="shared" si="64"/>
        <v>MAX : 
TARGET : Yes(Pass)
MIN : No(Fail)</v>
      </c>
      <c r="R4102" s="3" t="s">
        <v>4186</v>
      </c>
    </row>
    <row r="4103" spans="2:18" ht="41.4" x14ac:dyDescent="0.3">
      <c r="B4103">
        <v>1</v>
      </c>
      <c r="C4103" s="33">
        <v>8939</v>
      </c>
      <c r="D4103" s="2">
        <v>1343</v>
      </c>
      <c r="E4103" s="2" t="s">
        <v>11530</v>
      </c>
      <c r="F4103" s="3" t="s">
        <v>14206</v>
      </c>
      <c r="H4103" s="3" t="s">
        <v>2857</v>
      </c>
      <c r="K4103" s="2">
        <v>10</v>
      </c>
      <c r="L4103" s="2">
        <v>1</v>
      </c>
      <c r="M4103" s="3" t="s">
        <v>109</v>
      </c>
      <c r="N4103" s="3" t="s">
        <v>459</v>
      </c>
      <c r="O4103" s="3" t="s">
        <v>406</v>
      </c>
      <c r="P4103" s="3" t="s">
        <v>460</v>
      </c>
      <c r="Q4103" s="30" t="str">
        <f t="shared" si="64"/>
        <v>MAX : 2.03
TARGET : 2.00
MIN : 1.97</v>
      </c>
    </row>
    <row r="4104" spans="2:18" ht="41.4" x14ac:dyDescent="0.3">
      <c r="B4104">
        <v>1</v>
      </c>
      <c r="C4104" s="33">
        <v>8941</v>
      </c>
      <c r="D4104" s="2">
        <v>2014</v>
      </c>
      <c r="E4104" s="2" t="s">
        <v>11537</v>
      </c>
      <c r="F4104" s="3" t="s">
        <v>14206</v>
      </c>
      <c r="H4104" s="3" t="s">
        <v>1903</v>
      </c>
      <c r="K4104" s="2">
        <v>10</v>
      </c>
      <c r="L4104" s="2">
        <v>2</v>
      </c>
      <c r="M4104" s="3" t="s">
        <v>325</v>
      </c>
      <c r="N4104" s="3" t="s">
        <v>13</v>
      </c>
      <c r="O4104" s="3" t="s">
        <v>14</v>
      </c>
      <c r="Q4104" s="30" t="str">
        <f t="shared" si="64"/>
        <v>MAX : 
TARGET : Yes(Pass)
MIN : No(Fail)</v>
      </c>
    </row>
    <row r="4105" spans="2:18" ht="41.4" x14ac:dyDescent="0.3">
      <c r="B4105">
        <v>1</v>
      </c>
      <c r="C4105" s="33">
        <v>8941</v>
      </c>
      <c r="D4105" s="2">
        <v>2014</v>
      </c>
      <c r="E4105" s="2" t="s">
        <v>11537</v>
      </c>
      <c r="F4105" s="3" t="s">
        <v>14206</v>
      </c>
      <c r="H4105" s="3" t="s">
        <v>1903</v>
      </c>
      <c r="K4105" s="2">
        <v>10</v>
      </c>
      <c r="L4105" s="2">
        <v>1</v>
      </c>
      <c r="M4105" s="3" t="s">
        <v>458</v>
      </c>
      <c r="N4105" s="3" t="s">
        <v>27</v>
      </c>
      <c r="O4105" s="3" t="s">
        <v>28</v>
      </c>
      <c r="P4105" s="3" t="s">
        <v>29</v>
      </c>
      <c r="Q4105" s="30" t="str">
        <f t="shared" si="64"/>
        <v>MAX : 1.53
TARGET : 1.50
MIN : 1.47</v>
      </c>
    </row>
    <row r="4106" spans="2:18" ht="41.4" x14ac:dyDescent="0.3">
      <c r="B4106">
        <v>1</v>
      </c>
      <c r="C4106" s="33">
        <v>8942</v>
      </c>
      <c r="D4106" s="2">
        <v>1344</v>
      </c>
      <c r="E4106" s="2" t="s">
        <v>11543</v>
      </c>
      <c r="F4106" s="3" t="s">
        <v>14206</v>
      </c>
      <c r="H4106" s="3" t="s">
        <v>4246</v>
      </c>
      <c r="K4106" s="2">
        <v>10</v>
      </c>
      <c r="L4106" s="2">
        <v>2</v>
      </c>
      <c r="M4106" s="3" t="s">
        <v>4248</v>
      </c>
      <c r="N4106" s="3" t="s">
        <v>4249</v>
      </c>
      <c r="O4106" s="3" t="s">
        <v>4250</v>
      </c>
      <c r="P4106" s="3" t="s">
        <v>4251</v>
      </c>
      <c r="Q4106" s="30" t="str">
        <f t="shared" si="64"/>
        <v>MAX : 8.956
TARGET : 8.946
MIN : 8.936</v>
      </c>
      <c r="R4106" s="3" t="s">
        <v>443</v>
      </c>
    </row>
    <row r="4107" spans="2:18" ht="41.4" x14ac:dyDescent="0.3">
      <c r="B4107">
        <v>1</v>
      </c>
      <c r="C4107" s="33">
        <v>8942</v>
      </c>
      <c r="D4107" s="2">
        <v>1344</v>
      </c>
      <c r="E4107" s="2" t="s">
        <v>11543</v>
      </c>
      <c r="F4107" s="3" t="s">
        <v>14206</v>
      </c>
      <c r="H4107" s="3" t="s">
        <v>4246</v>
      </c>
      <c r="K4107" s="2">
        <v>10</v>
      </c>
      <c r="L4107" s="2">
        <v>1</v>
      </c>
      <c r="M4107" s="3" t="s">
        <v>2088</v>
      </c>
      <c r="N4107" s="3" t="s">
        <v>860</v>
      </c>
      <c r="O4107" s="3" t="s">
        <v>860</v>
      </c>
      <c r="P4107" s="3" t="s">
        <v>4247</v>
      </c>
      <c r="Q4107" s="30" t="str">
        <f t="shared" si="64"/>
        <v>MAX : 18.30
TARGET : 18.00
MIN : 18.00</v>
      </c>
      <c r="R4107" s="3" t="s">
        <v>443</v>
      </c>
    </row>
    <row r="4108" spans="2:18" ht="41.4" x14ac:dyDescent="0.3">
      <c r="B4108">
        <v>1</v>
      </c>
      <c r="C4108" s="33">
        <v>8944</v>
      </c>
      <c r="D4108" s="2">
        <v>1345</v>
      </c>
      <c r="E4108" s="2" t="s">
        <v>11549</v>
      </c>
      <c r="F4108" s="29" t="s">
        <v>14240</v>
      </c>
      <c r="G4108" s="3" t="s">
        <v>4239</v>
      </c>
      <c r="H4108" s="3" t="s">
        <v>4240</v>
      </c>
      <c r="K4108" s="2">
        <v>20</v>
      </c>
      <c r="L4108" s="2">
        <v>2</v>
      </c>
      <c r="M4108" s="3" t="s">
        <v>198</v>
      </c>
      <c r="N4108" s="3" t="s">
        <v>4241</v>
      </c>
      <c r="O4108" s="3" t="s">
        <v>4242</v>
      </c>
      <c r="P4108" s="3" t="s">
        <v>4243</v>
      </c>
      <c r="Q4108" s="30" t="str">
        <f t="shared" si="64"/>
        <v>MAX : 1.586
TARGET : 1.571
MIN : 1.556</v>
      </c>
    </row>
    <row r="4109" spans="2:18" ht="41.4" x14ac:dyDescent="0.3">
      <c r="B4109">
        <v>0</v>
      </c>
      <c r="C4109" s="33">
        <v>9030</v>
      </c>
      <c r="D4109" s="2">
        <v>1391</v>
      </c>
      <c r="E4109" s="2" t="s">
        <v>12056</v>
      </c>
      <c r="F4109" s="3" t="s">
        <v>14206</v>
      </c>
      <c r="H4109" s="3" t="s">
        <v>108</v>
      </c>
      <c r="I4109" s="3" t="s">
        <v>487</v>
      </c>
      <c r="K4109" s="2">
        <v>10</v>
      </c>
      <c r="L4109" s="2">
        <v>3</v>
      </c>
      <c r="M4109" s="3" t="s">
        <v>4610</v>
      </c>
      <c r="N4109" s="3" t="s">
        <v>13</v>
      </c>
      <c r="O4109" s="3" t="s">
        <v>14</v>
      </c>
      <c r="Q4109" s="30" t="str">
        <f t="shared" si="64"/>
        <v>MAX : 
TARGET : Yes(Pass)
MIN : No(Fail)</v>
      </c>
    </row>
    <row r="4110" spans="2:18" ht="41.4" x14ac:dyDescent="0.3">
      <c r="B4110">
        <v>1</v>
      </c>
      <c r="C4110" s="33">
        <v>8944</v>
      </c>
      <c r="D4110" s="2">
        <v>1345</v>
      </c>
      <c r="E4110" s="2" t="s">
        <v>11549</v>
      </c>
      <c r="F4110" s="29" t="s">
        <v>14240</v>
      </c>
      <c r="G4110" s="3" t="s">
        <v>4239</v>
      </c>
      <c r="H4110" s="3" t="s">
        <v>4240</v>
      </c>
      <c r="K4110" s="2">
        <v>20</v>
      </c>
      <c r="L4110" s="2">
        <v>1</v>
      </c>
      <c r="M4110" s="3" t="s">
        <v>194</v>
      </c>
      <c r="N4110" s="3" t="s">
        <v>4241</v>
      </c>
      <c r="O4110" s="3" t="s">
        <v>4242</v>
      </c>
      <c r="P4110" s="3" t="s">
        <v>4243</v>
      </c>
      <c r="Q4110" s="30" t="str">
        <f t="shared" si="64"/>
        <v>MAX : 1.586
TARGET : 1.571
MIN : 1.556</v>
      </c>
    </row>
    <row r="4111" spans="2:18" ht="41.4" x14ac:dyDescent="0.3">
      <c r="B4111">
        <v>1</v>
      </c>
      <c r="C4111" s="33">
        <v>8945</v>
      </c>
      <c r="D4111" s="2">
        <v>2015</v>
      </c>
      <c r="E4111" s="2" t="s">
        <v>11556</v>
      </c>
      <c r="F4111" s="3" t="s">
        <v>14206</v>
      </c>
      <c r="H4111" s="3" t="s">
        <v>721</v>
      </c>
      <c r="K4111" s="2">
        <v>10</v>
      </c>
      <c r="L4111" s="2">
        <v>1</v>
      </c>
      <c r="M4111" s="3" t="s">
        <v>4080</v>
      </c>
      <c r="N4111" s="3" t="s">
        <v>13</v>
      </c>
      <c r="O4111" s="3" t="s">
        <v>14</v>
      </c>
      <c r="Q4111" s="30" t="str">
        <f t="shared" si="64"/>
        <v>MAX : 
TARGET : Yes(Pass)
MIN : No(Fail)</v>
      </c>
    </row>
    <row r="4112" spans="2:18" ht="41.4" x14ac:dyDescent="0.3">
      <c r="B4112">
        <v>1</v>
      </c>
      <c r="C4112" s="33">
        <v>8946</v>
      </c>
      <c r="D4112" s="2">
        <v>1346</v>
      </c>
      <c r="E4112" s="2" t="s">
        <v>11562</v>
      </c>
      <c r="F4112" s="3" t="s">
        <v>14206</v>
      </c>
      <c r="H4112" s="3" t="s">
        <v>2116</v>
      </c>
      <c r="K4112" s="2">
        <v>20</v>
      </c>
      <c r="L4112" s="2">
        <v>2</v>
      </c>
      <c r="M4112" s="3" t="s">
        <v>2117</v>
      </c>
      <c r="N4112" s="3" t="s">
        <v>3091</v>
      </c>
      <c r="O4112" s="3" t="s">
        <v>184</v>
      </c>
      <c r="P4112" s="3" t="s">
        <v>3092</v>
      </c>
      <c r="Q4112" s="30" t="str">
        <f t="shared" si="64"/>
        <v>MAX : 5.06
TARGET : 5.00
MIN : 4.94</v>
      </c>
    </row>
    <row r="4113" spans="2:18" ht="41.4" x14ac:dyDescent="0.3">
      <c r="B4113">
        <v>1</v>
      </c>
      <c r="C4113" s="33">
        <v>8946</v>
      </c>
      <c r="D4113" s="2">
        <v>1346</v>
      </c>
      <c r="E4113" s="2" t="s">
        <v>11562</v>
      </c>
      <c r="F4113" s="3" t="s">
        <v>14206</v>
      </c>
      <c r="H4113" s="3" t="s">
        <v>2116</v>
      </c>
      <c r="K4113" s="2">
        <v>20</v>
      </c>
      <c r="L4113" s="2">
        <v>1</v>
      </c>
      <c r="M4113" s="3" t="s">
        <v>2088</v>
      </c>
      <c r="N4113" s="3" t="s">
        <v>767</v>
      </c>
      <c r="O4113" s="3" t="s">
        <v>253</v>
      </c>
      <c r="P4113" s="3" t="s">
        <v>129</v>
      </c>
      <c r="Q4113" s="30" t="str">
        <f t="shared" si="64"/>
        <v>MAX : 4.06
TARGET : 4.00
MIN : 3.94</v>
      </c>
    </row>
    <row r="4114" spans="2:18" ht="41.4" x14ac:dyDescent="0.3">
      <c r="B4114">
        <v>1</v>
      </c>
      <c r="C4114" s="33">
        <v>8947</v>
      </c>
      <c r="D4114" s="2">
        <v>1347</v>
      </c>
      <c r="E4114" s="2" t="s">
        <v>11568</v>
      </c>
      <c r="F4114" s="3" t="s">
        <v>14206</v>
      </c>
      <c r="H4114" s="3" t="s">
        <v>469</v>
      </c>
      <c r="K4114" s="2">
        <v>20</v>
      </c>
      <c r="L4114" s="2">
        <v>1</v>
      </c>
      <c r="M4114" s="3" t="s">
        <v>4738</v>
      </c>
      <c r="N4114" s="3" t="s">
        <v>2407</v>
      </c>
      <c r="O4114" s="3" t="s">
        <v>2353</v>
      </c>
      <c r="P4114" s="3" t="s">
        <v>3399</v>
      </c>
      <c r="Q4114" s="30" t="str">
        <f t="shared" si="64"/>
        <v>MAX : 2.5
TARGET : 2.0
MIN : 1.5</v>
      </c>
    </row>
    <row r="4115" spans="2:18" ht="41.4" x14ac:dyDescent="0.3">
      <c r="B4115">
        <v>1</v>
      </c>
      <c r="C4115" s="33">
        <v>8947</v>
      </c>
      <c r="D4115" s="2">
        <v>1347</v>
      </c>
      <c r="E4115" s="2" t="s">
        <v>11568</v>
      </c>
      <c r="F4115" s="3" t="s">
        <v>14206</v>
      </c>
      <c r="H4115" s="3" t="s">
        <v>469</v>
      </c>
      <c r="K4115" s="2">
        <v>10</v>
      </c>
      <c r="L4115" s="2">
        <v>1</v>
      </c>
      <c r="M4115" s="3" t="s">
        <v>4737</v>
      </c>
      <c r="N4115" s="3" t="s">
        <v>702</v>
      </c>
      <c r="O4115" s="3" t="s">
        <v>703</v>
      </c>
      <c r="P4115" s="3" t="s">
        <v>704</v>
      </c>
      <c r="Q4115" s="30" t="str">
        <f t="shared" si="64"/>
        <v>MAX : 4.53
TARGET : 4.50
MIN : 4.47</v>
      </c>
    </row>
    <row r="4116" spans="2:18" ht="41.4" x14ac:dyDescent="0.3">
      <c r="B4116">
        <v>0</v>
      </c>
      <c r="C4116" s="33">
        <v>9041</v>
      </c>
      <c r="D4116" s="2">
        <v>1401</v>
      </c>
      <c r="E4116" s="2" t="s">
        <v>12123</v>
      </c>
      <c r="F4116" s="3" t="s">
        <v>14206</v>
      </c>
      <c r="H4116" s="3" t="s">
        <v>4614</v>
      </c>
      <c r="K4116" s="2">
        <v>20</v>
      </c>
      <c r="L4116" s="2">
        <v>3</v>
      </c>
      <c r="M4116" s="3" t="s">
        <v>4615</v>
      </c>
      <c r="N4116" s="3" t="s">
        <v>13</v>
      </c>
      <c r="O4116" s="3" t="s">
        <v>14</v>
      </c>
      <c r="Q4116" s="30" t="str">
        <f t="shared" si="64"/>
        <v>MAX : 
TARGET : Yes(Pass)
MIN : No(Fail)</v>
      </c>
    </row>
    <row r="4117" spans="2:18" ht="41.4" x14ac:dyDescent="0.3">
      <c r="B4117">
        <v>1</v>
      </c>
      <c r="C4117" s="33">
        <v>8947</v>
      </c>
      <c r="D4117" s="2">
        <v>1347</v>
      </c>
      <c r="E4117" s="2" t="s">
        <v>11568</v>
      </c>
      <c r="F4117" s="3" t="s">
        <v>14206</v>
      </c>
      <c r="H4117" s="3" t="s">
        <v>469</v>
      </c>
      <c r="K4117" s="2">
        <v>30</v>
      </c>
      <c r="L4117" s="2">
        <v>8</v>
      </c>
      <c r="M4117" s="3" t="s">
        <v>5387</v>
      </c>
      <c r="N4117" s="3" t="s">
        <v>13</v>
      </c>
      <c r="O4117" s="3" t="s">
        <v>14</v>
      </c>
      <c r="Q4117" s="30" t="str">
        <f t="shared" si="64"/>
        <v>MAX : 
TARGET : Yes(Pass)
MIN : No(Fail)</v>
      </c>
    </row>
    <row r="4118" spans="2:18" ht="41.4" x14ac:dyDescent="0.3">
      <c r="B4118">
        <v>1</v>
      </c>
      <c r="C4118" s="33">
        <v>8947</v>
      </c>
      <c r="D4118" s="2">
        <v>1347</v>
      </c>
      <c r="E4118" s="2" t="s">
        <v>11568</v>
      </c>
      <c r="F4118" s="3" t="s">
        <v>14206</v>
      </c>
      <c r="H4118" s="3" t="s">
        <v>469</v>
      </c>
      <c r="K4118" s="2">
        <v>30</v>
      </c>
      <c r="L4118" s="2">
        <v>1</v>
      </c>
      <c r="M4118" s="3" t="s">
        <v>5441</v>
      </c>
      <c r="N4118" s="3" t="s">
        <v>345</v>
      </c>
      <c r="O4118" s="3" t="s">
        <v>406</v>
      </c>
      <c r="P4118" s="3" t="s">
        <v>790</v>
      </c>
      <c r="Q4118" s="30" t="str">
        <f t="shared" si="64"/>
        <v>MAX : 2.25
TARGET : 2.00
MIN : 1.75</v>
      </c>
    </row>
    <row r="4119" spans="2:18" ht="41.4" x14ac:dyDescent="0.3">
      <c r="B4119">
        <v>0</v>
      </c>
      <c r="C4119" s="33">
        <v>9042</v>
      </c>
      <c r="D4119" s="2">
        <v>1402</v>
      </c>
      <c r="E4119" s="2" t="s">
        <v>12129</v>
      </c>
      <c r="F4119" s="3" t="s">
        <v>14206</v>
      </c>
      <c r="H4119" s="3" t="s">
        <v>4614</v>
      </c>
      <c r="K4119" s="2">
        <v>20</v>
      </c>
      <c r="L4119" s="2">
        <v>5</v>
      </c>
      <c r="M4119" s="3" t="s">
        <v>4615</v>
      </c>
      <c r="N4119" s="3" t="s">
        <v>13</v>
      </c>
      <c r="O4119" s="3" t="s">
        <v>14</v>
      </c>
      <c r="Q4119" s="30" t="str">
        <f t="shared" si="64"/>
        <v>MAX : 
TARGET : Yes(Pass)
MIN : No(Fail)</v>
      </c>
    </row>
    <row r="4120" spans="2:18" ht="41.4" x14ac:dyDescent="0.3">
      <c r="B4120">
        <v>0</v>
      </c>
      <c r="C4120" s="33">
        <v>9042</v>
      </c>
      <c r="D4120" s="2">
        <v>1402</v>
      </c>
      <c r="E4120" s="2" t="s">
        <v>12129</v>
      </c>
      <c r="F4120" s="3" t="s">
        <v>14206</v>
      </c>
      <c r="H4120" s="3" t="s">
        <v>4614</v>
      </c>
      <c r="K4120" s="2">
        <v>20</v>
      </c>
      <c r="L4120" s="2">
        <v>2</v>
      </c>
      <c r="M4120" s="3" t="s">
        <v>570</v>
      </c>
      <c r="N4120" s="3" t="s">
        <v>308</v>
      </c>
      <c r="O4120" s="3" t="s">
        <v>309</v>
      </c>
      <c r="P4120" s="3" t="s">
        <v>310</v>
      </c>
      <c r="Q4120" s="30" t="str">
        <f t="shared" si="64"/>
        <v>MAX : 0.53
TARGET : 0.50
MIN : 0.47</v>
      </c>
    </row>
    <row r="4121" spans="2:18" ht="41.4" x14ac:dyDescent="0.3">
      <c r="B4121">
        <v>0</v>
      </c>
      <c r="C4121" s="33">
        <v>9042</v>
      </c>
      <c r="D4121" s="2">
        <v>1402</v>
      </c>
      <c r="E4121" s="2" t="s">
        <v>12129</v>
      </c>
      <c r="F4121" s="3" t="s">
        <v>14206</v>
      </c>
      <c r="H4121" s="3" t="s">
        <v>4614</v>
      </c>
      <c r="K4121" s="2">
        <v>20</v>
      </c>
      <c r="L4121" s="2">
        <v>3</v>
      </c>
      <c r="M4121" s="3" t="s">
        <v>4617</v>
      </c>
      <c r="N4121" s="3" t="s">
        <v>13</v>
      </c>
      <c r="O4121" s="3" t="s">
        <v>14</v>
      </c>
      <c r="Q4121" s="30" t="str">
        <f t="shared" si="64"/>
        <v>MAX : 
TARGET : Yes(Pass)
MIN : No(Fail)</v>
      </c>
    </row>
    <row r="4122" spans="2:18" ht="41.4" x14ac:dyDescent="0.3">
      <c r="B4122">
        <v>1</v>
      </c>
      <c r="C4122" s="33">
        <v>8947</v>
      </c>
      <c r="D4122" s="2">
        <v>1347</v>
      </c>
      <c r="E4122" s="2" t="s">
        <v>11568</v>
      </c>
      <c r="F4122" s="3" t="s">
        <v>14206</v>
      </c>
      <c r="H4122" s="3" t="s">
        <v>469</v>
      </c>
      <c r="K4122" s="2">
        <v>30</v>
      </c>
      <c r="L4122" s="2">
        <v>4</v>
      </c>
      <c r="M4122" s="3" t="s">
        <v>422</v>
      </c>
      <c r="N4122" s="3" t="s">
        <v>2616</v>
      </c>
      <c r="O4122" s="3" t="s">
        <v>241</v>
      </c>
      <c r="P4122" s="3" t="s">
        <v>242</v>
      </c>
      <c r="Q4122" s="30" t="str">
        <f t="shared" si="64"/>
        <v>MAX : 0.156
TARGET : 0.125
MIN : 0.094</v>
      </c>
    </row>
    <row r="4123" spans="2:18" ht="41.4" x14ac:dyDescent="0.3">
      <c r="B4123">
        <v>0</v>
      </c>
      <c r="C4123" s="33">
        <v>8914</v>
      </c>
      <c r="D4123" s="2">
        <v>1335</v>
      </c>
      <c r="E4123" s="2" t="s">
        <v>11446</v>
      </c>
      <c r="F4123" s="3" t="s">
        <v>14207</v>
      </c>
      <c r="H4123" s="3" t="s">
        <v>648</v>
      </c>
      <c r="K4123" s="2">
        <v>20</v>
      </c>
      <c r="L4123" s="2">
        <v>12</v>
      </c>
      <c r="M4123" s="3" t="s">
        <v>569</v>
      </c>
      <c r="N4123" s="3" t="s">
        <v>4490</v>
      </c>
      <c r="O4123" s="3" t="s">
        <v>4491</v>
      </c>
      <c r="P4123" s="3" t="s">
        <v>4492</v>
      </c>
      <c r="Q4123" s="30" t="str">
        <f t="shared" si="64"/>
        <v>MAX : 91.15
TARGET : 90.90
MIN : 90.65</v>
      </c>
      <c r="R4123" s="3" t="s">
        <v>3549</v>
      </c>
    </row>
    <row r="4124" spans="2:18" ht="41.4" x14ac:dyDescent="0.3">
      <c r="B4124">
        <v>1</v>
      </c>
      <c r="C4124" s="33">
        <v>8950</v>
      </c>
      <c r="D4124" s="2">
        <v>2016</v>
      </c>
      <c r="E4124" s="2" t="s">
        <v>11574</v>
      </c>
      <c r="F4124" s="3" t="s">
        <v>14207</v>
      </c>
      <c r="H4124" s="3" t="s">
        <v>824</v>
      </c>
      <c r="K4124" s="2">
        <v>10</v>
      </c>
      <c r="L4124" s="2">
        <v>2</v>
      </c>
      <c r="M4124" s="3" t="s">
        <v>325</v>
      </c>
      <c r="N4124" s="3" t="s">
        <v>4176</v>
      </c>
      <c r="O4124" s="3" t="s">
        <v>14</v>
      </c>
      <c r="Q4124" s="30" t="str">
        <f t="shared" si="64"/>
        <v>MAX : 
TARGET : Yes(Pass)
MIN : N0(Fail)</v>
      </c>
    </row>
    <row r="4125" spans="2:18" ht="41.4" x14ac:dyDescent="0.3">
      <c r="B4125">
        <v>0</v>
      </c>
      <c r="C4125" s="33">
        <v>9047</v>
      </c>
      <c r="D4125" s="2">
        <v>1404</v>
      </c>
      <c r="E4125" s="2" t="s">
        <v>12159</v>
      </c>
      <c r="F4125" s="3" t="s">
        <v>14206</v>
      </c>
      <c r="H4125" s="3" t="s">
        <v>4619</v>
      </c>
      <c r="K4125" s="2">
        <v>10</v>
      </c>
      <c r="L4125" s="2">
        <v>3</v>
      </c>
      <c r="M4125" s="3" t="s">
        <v>4625</v>
      </c>
      <c r="N4125" s="3" t="s">
        <v>983</v>
      </c>
      <c r="O4125" s="3" t="s">
        <v>3740</v>
      </c>
      <c r="P4125" s="3" t="s">
        <v>1780</v>
      </c>
      <c r="Q4125" s="30" t="str">
        <f t="shared" si="64"/>
        <v>MAX : 0.105
TARGET : 0.100
MIN : 0.095</v>
      </c>
    </row>
    <row r="4126" spans="2:18" ht="41.4" x14ac:dyDescent="0.3">
      <c r="B4126">
        <v>0</v>
      </c>
      <c r="C4126" s="33">
        <v>9047</v>
      </c>
      <c r="D4126" s="2">
        <v>1404</v>
      </c>
      <c r="E4126" s="2" t="s">
        <v>12159</v>
      </c>
      <c r="F4126" s="3" t="s">
        <v>14206</v>
      </c>
      <c r="H4126" s="3" t="s">
        <v>4619</v>
      </c>
      <c r="K4126" s="2">
        <v>10</v>
      </c>
      <c r="L4126" s="2">
        <v>4</v>
      </c>
      <c r="M4126" s="3" t="s">
        <v>4626</v>
      </c>
      <c r="N4126" s="3" t="s">
        <v>4627</v>
      </c>
      <c r="O4126" s="3" t="s">
        <v>4628</v>
      </c>
      <c r="P4126" s="3" t="s">
        <v>2654</v>
      </c>
      <c r="Q4126" s="30" t="str">
        <f t="shared" si="64"/>
        <v>MAX : 1.750
TARGET : 1.745
MIN : 1.740</v>
      </c>
    </row>
    <row r="4127" spans="2:18" ht="41.4" x14ac:dyDescent="0.3">
      <c r="B4127">
        <v>0</v>
      </c>
      <c r="C4127" s="33">
        <v>9047</v>
      </c>
      <c r="D4127" s="2">
        <v>1404</v>
      </c>
      <c r="E4127" s="2" t="s">
        <v>12159</v>
      </c>
      <c r="F4127" s="3" t="s">
        <v>14206</v>
      </c>
      <c r="H4127" s="3" t="s">
        <v>4619</v>
      </c>
      <c r="K4127" s="2">
        <v>10</v>
      </c>
      <c r="L4127" s="2">
        <v>5</v>
      </c>
      <c r="M4127" s="3" t="s">
        <v>4629</v>
      </c>
      <c r="N4127" s="3" t="s">
        <v>4630</v>
      </c>
      <c r="O4127" s="3" t="s">
        <v>4631</v>
      </c>
      <c r="P4127" s="3" t="s">
        <v>4632</v>
      </c>
      <c r="Q4127" s="30" t="str">
        <f t="shared" si="64"/>
        <v>MAX : 1.569
TARGET : 1.564
MIN : 1.559</v>
      </c>
    </row>
    <row r="4128" spans="2:18" ht="41.4" x14ac:dyDescent="0.3">
      <c r="B4128">
        <v>0</v>
      </c>
      <c r="C4128" s="33">
        <v>9047</v>
      </c>
      <c r="D4128" s="2">
        <v>1404</v>
      </c>
      <c r="E4128" s="2" t="s">
        <v>12159</v>
      </c>
      <c r="F4128" s="3" t="s">
        <v>14206</v>
      </c>
      <c r="H4128" s="3" t="s">
        <v>4619</v>
      </c>
      <c r="K4128" s="2">
        <v>10</v>
      </c>
      <c r="L4128" s="2">
        <v>6</v>
      </c>
      <c r="M4128" s="3" t="s">
        <v>4633</v>
      </c>
      <c r="N4128" s="3" t="s">
        <v>1789</v>
      </c>
      <c r="O4128" s="3" t="s">
        <v>2969</v>
      </c>
      <c r="P4128" s="3" t="s">
        <v>54</v>
      </c>
      <c r="Q4128" s="30" t="str">
        <f t="shared" si="64"/>
        <v>MAX : 0.470
TARGET : 0.465
MIN : 0.460</v>
      </c>
    </row>
    <row r="4129" spans="2:17" ht="41.4" x14ac:dyDescent="0.3">
      <c r="B4129">
        <v>0</v>
      </c>
      <c r="C4129" s="33">
        <v>9047</v>
      </c>
      <c r="D4129" s="2">
        <v>1404</v>
      </c>
      <c r="E4129" s="2" t="s">
        <v>12159</v>
      </c>
      <c r="F4129" s="3" t="s">
        <v>14206</v>
      </c>
      <c r="H4129" s="3" t="s">
        <v>4619</v>
      </c>
      <c r="K4129" s="2">
        <v>10</v>
      </c>
      <c r="L4129" s="2">
        <v>7</v>
      </c>
      <c r="M4129" s="3" t="s">
        <v>4634</v>
      </c>
      <c r="N4129" s="3" t="s">
        <v>3621</v>
      </c>
      <c r="O4129" s="3" t="s">
        <v>3124</v>
      </c>
      <c r="P4129" s="3" t="s">
        <v>216</v>
      </c>
      <c r="Q4129" s="30" t="str">
        <f t="shared" si="64"/>
        <v>MAX : 0.120
TARGET : 0.115
MIN : 0.110</v>
      </c>
    </row>
    <row r="4130" spans="2:17" ht="41.4" x14ac:dyDescent="0.3">
      <c r="B4130">
        <v>0</v>
      </c>
      <c r="C4130" s="33">
        <v>9047</v>
      </c>
      <c r="D4130" s="2">
        <v>1404</v>
      </c>
      <c r="E4130" s="2" t="s">
        <v>12159</v>
      </c>
      <c r="F4130" s="3" t="s">
        <v>14206</v>
      </c>
      <c r="H4130" s="3" t="s">
        <v>4619</v>
      </c>
      <c r="K4130" s="2">
        <v>10</v>
      </c>
      <c r="L4130" s="2">
        <v>8</v>
      </c>
      <c r="M4130" s="3" t="s">
        <v>4635</v>
      </c>
      <c r="N4130" s="3" t="s">
        <v>4636</v>
      </c>
      <c r="O4130" s="3" t="s">
        <v>4637</v>
      </c>
      <c r="P4130" s="3" t="s">
        <v>3922</v>
      </c>
      <c r="Q4130" s="30" t="str">
        <f t="shared" si="64"/>
        <v>MAX : 0.293
TARGET : 0.288
MIN : 0.283</v>
      </c>
    </row>
    <row r="4131" spans="2:17" ht="41.4" x14ac:dyDescent="0.3">
      <c r="B4131">
        <v>0</v>
      </c>
      <c r="C4131" s="33">
        <v>9047</v>
      </c>
      <c r="D4131" s="2">
        <v>1404</v>
      </c>
      <c r="E4131" s="2" t="s">
        <v>12159</v>
      </c>
      <c r="F4131" s="3" t="s">
        <v>14206</v>
      </c>
      <c r="H4131" s="3" t="s">
        <v>4619</v>
      </c>
      <c r="K4131" s="2">
        <v>10</v>
      </c>
      <c r="L4131" s="2">
        <v>9</v>
      </c>
      <c r="M4131" s="3" t="s">
        <v>4638</v>
      </c>
      <c r="N4131" s="3" t="s">
        <v>4639</v>
      </c>
      <c r="O4131" s="3" t="s">
        <v>4640</v>
      </c>
      <c r="P4131" s="3" t="s">
        <v>4641</v>
      </c>
      <c r="Q4131" s="30" t="str">
        <f t="shared" si="64"/>
        <v>MAX : 0.182
TARGET : 0.177
MIN : 0.172</v>
      </c>
    </row>
    <row r="4132" spans="2:17" ht="41.4" x14ac:dyDescent="0.3">
      <c r="B4132">
        <v>0</v>
      </c>
      <c r="C4132" s="33">
        <v>9047</v>
      </c>
      <c r="D4132" s="2">
        <v>1404</v>
      </c>
      <c r="E4132" s="2" t="s">
        <v>12159</v>
      </c>
      <c r="F4132" s="3" t="s">
        <v>14206</v>
      </c>
      <c r="H4132" s="3" t="s">
        <v>4619</v>
      </c>
      <c r="K4132" s="2">
        <v>10</v>
      </c>
      <c r="L4132" s="2">
        <v>10</v>
      </c>
      <c r="M4132" s="3" t="s">
        <v>4642</v>
      </c>
      <c r="N4132" s="3" t="s">
        <v>4636</v>
      </c>
      <c r="O4132" s="3" t="s">
        <v>4637</v>
      </c>
      <c r="P4132" s="3" t="s">
        <v>3922</v>
      </c>
      <c r="Q4132" s="30" t="str">
        <f t="shared" si="64"/>
        <v>MAX : 0.293
TARGET : 0.288
MIN : 0.283</v>
      </c>
    </row>
    <row r="4133" spans="2:17" ht="41.4" x14ac:dyDescent="0.3">
      <c r="B4133">
        <v>0</v>
      </c>
      <c r="C4133" s="33">
        <v>9047</v>
      </c>
      <c r="D4133" s="2">
        <v>1404</v>
      </c>
      <c r="E4133" s="2" t="s">
        <v>12159</v>
      </c>
      <c r="F4133" s="3" t="s">
        <v>14206</v>
      </c>
      <c r="H4133" s="3" t="s">
        <v>4619</v>
      </c>
      <c r="K4133" s="2">
        <v>10</v>
      </c>
      <c r="L4133" s="2">
        <v>11</v>
      </c>
      <c r="M4133" s="3" t="s">
        <v>4643</v>
      </c>
      <c r="N4133" s="3" t="s">
        <v>242</v>
      </c>
      <c r="O4133" s="3" t="s">
        <v>4644</v>
      </c>
      <c r="P4133" s="3" t="s">
        <v>4645</v>
      </c>
      <c r="Q4133" s="30" t="str">
        <f t="shared" si="64"/>
        <v>MAX : 0.166
TARGET : 0.161
MIN : 0.156</v>
      </c>
    </row>
    <row r="4134" spans="2:17" ht="41.4" x14ac:dyDescent="0.3">
      <c r="B4134">
        <v>0</v>
      </c>
      <c r="C4134" s="33">
        <v>9047</v>
      </c>
      <c r="D4134" s="2">
        <v>1404</v>
      </c>
      <c r="E4134" s="2" t="s">
        <v>12159</v>
      </c>
      <c r="F4134" s="3" t="s">
        <v>14206</v>
      </c>
      <c r="H4134" s="3" t="s">
        <v>4619</v>
      </c>
      <c r="K4134" s="2">
        <v>10</v>
      </c>
      <c r="L4134" s="2">
        <v>12</v>
      </c>
      <c r="M4134" s="3" t="s">
        <v>4646</v>
      </c>
      <c r="N4134" s="3" t="s">
        <v>4647</v>
      </c>
      <c r="O4134" s="3" t="s">
        <v>4648</v>
      </c>
      <c r="P4134" s="3" t="s">
        <v>4649</v>
      </c>
      <c r="Q4134" s="30" t="str">
        <f t="shared" si="64"/>
        <v>MAX : 0.153
TARGET : 0.148
MIN : 0.143</v>
      </c>
    </row>
    <row r="4135" spans="2:17" ht="41.4" x14ac:dyDescent="0.3">
      <c r="B4135">
        <v>0</v>
      </c>
      <c r="C4135" s="33">
        <v>9047</v>
      </c>
      <c r="D4135" s="2">
        <v>1404</v>
      </c>
      <c r="E4135" s="2" t="s">
        <v>12159</v>
      </c>
      <c r="F4135" s="3" t="s">
        <v>14206</v>
      </c>
      <c r="H4135" s="3" t="s">
        <v>4619</v>
      </c>
      <c r="K4135" s="2">
        <v>10</v>
      </c>
      <c r="L4135" s="2">
        <v>13</v>
      </c>
      <c r="M4135" s="3" t="s">
        <v>4650</v>
      </c>
      <c r="N4135" s="3" t="s">
        <v>4647</v>
      </c>
      <c r="O4135" s="3" t="s">
        <v>4648</v>
      </c>
      <c r="P4135" s="3" t="s">
        <v>4649</v>
      </c>
      <c r="Q4135" s="30" t="str">
        <f t="shared" si="64"/>
        <v>MAX : 0.153
TARGET : 0.148
MIN : 0.143</v>
      </c>
    </row>
    <row r="4136" spans="2:17" ht="41.4" x14ac:dyDescent="0.3">
      <c r="B4136">
        <v>0</v>
      </c>
      <c r="C4136" s="33">
        <v>9047</v>
      </c>
      <c r="D4136" s="2">
        <v>1404</v>
      </c>
      <c r="E4136" s="2" t="s">
        <v>12159</v>
      </c>
      <c r="F4136" s="3" t="s">
        <v>14206</v>
      </c>
      <c r="H4136" s="3" t="s">
        <v>4619</v>
      </c>
      <c r="K4136" s="2">
        <v>10</v>
      </c>
      <c r="L4136" s="2">
        <v>14</v>
      </c>
      <c r="M4136" s="3" t="s">
        <v>4651</v>
      </c>
      <c r="N4136" s="3" t="s">
        <v>4652</v>
      </c>
      <c r="O4136" s="3" t="s">
        <v>4653</v>
      </c>
      <c r="P4136" s="3" t="s">
        <v>4654</v>
      </c>
      <c r="Q4136" s="30" t="str">
        <f t="shared" si="64"/>
        <v>MAX : 0.121
TARGET : 0.116
MIN : 0.111</v>
      </c>
    </row>
    <row r="4137" spans="2:17" ht="41.4" x14ac:dyDescent="0.3">
      <c r="B4137">
        <v>0</v>
      </c>
      <c r="C4137" s="33">
        <v>9047</v>
      </c>
      <c r="D4137" s="2">
        <v>1404</v>
      </c>
      <c r="E4137" s="2" t="s">
        <v>12159</v>
      </c>
      <c r="F4137" s="3" t="s">
        <v>14206</v>
      </c>
      <c r="H4137" s="3" t="s">
        <v>4619</v>
      </c>
      <c r="K4137" s="2">
        <v>10</v>
      </c>
      <c r="L4137" s="2">
        <v>15</v>
      </c>
      <c r="M4137" s="3" t="s">
        <v>4655</v>
      </c>
      <c r="N4137" s="3" t="s">
        <v>13</v>
      </c>
      <c r="O4137" s="3" t="s">
        <v>14</v>
      </c>
      <c r="Q4137" s="30" t="str">
        <f t="shared" si="64"/>
        <v>MAX : 
TARGET : Yes(Pass)
MIN : No(Fail)</v>
      </c>
    </row>
    <row r="4138" spans="2:17" ht="41.4" x14ac:dyDescent="0.3">
      <c r="B4138">
        <v>0</v>
      </c>
      <c r="C4138" s="33">
        <v>9047</v>
      </c>
      <c r="D4138" s="2">
        <v>1404</v>
      </c>
      <c r="E4138" s="2" t="s">
        <v>12159</v>
      </c>
      <c r="F4138" s="3" t="s">
        <v>14206</v>
      </c>
      <c r="H4138" s="3" t="s">
        <v>4619</v>
      </c>
      <c r="K4138" s="2">
        <v>10</v>
      </c>
      <c r="L4138" s="2">
        <v>16</v>
      </c>
      <c r="M4138" s="3" t="s">
        <v>4656</v>
      </c>
      <c r="N4138" s="3" t="s">
        <v>13</v>
      </c>
      <c r="O4138" s="3" t="s">
        <v>14</v>
      </c>
      <c r="Q4138" s="30" t="str">
        <f t="shared" si="64"/>
        <v>MAX : 
TARGET : Yes(Pass)
MIN : No(Fail)</v>
      </c>
    </row>
    <row r="4139" spans="2:17" ht="41.4" x14ac:dyDescent="0.3">
      <c r="B4139">
        <v>1</v>
      </c>
      <c r="C4139" s="33">
        <v>8950</v>
      </c>
      <c r="D4139" s="2">
        <v>2016</v>
      </c>
      <c r="E4139" s="2" t="s">
        <v>11574</v>
      </c>
      <c r="F4139" s="3" t="s">
        <v>14207</v>
      </c>
      <c r="H4139" s="3" t="s">
        <v>824</v>
      </c>
      <c r="K4139" s="2">
        <v>10</v>
      </c>
      <c r="L4139" s="2">
        <v>1</v>
      </c>
      <c r="M4139" s="3" t="s">
        <v>99</v>
      </c>
      <c r="N4139" s="3" t="s">
        <v>4173</v>
      </c>
      <c r="O4139" s="3" t="s">
        <v>4174</v>
      </c>
      <c r="P4139" s="3" t="s">
        <v>4175</v>
      </c>
      <c r="Q4139" s="30" t="str">
        <f t="shared" si="64"/>
        <v>MAX : 651
TARGET : 650
MIN : 649</v>
      </c>
    </row>
    <row r="4140" spans="2:17" ht="41.4" x14ac:dyDescent="0.3">
      <c r="B4140">
        <v>1</v>
      </c>
      <c r="C4140" s="33">
        <v>8951</v>
      </c>
      <c r="D4140" s="2">
        <v>2017</v>
      </c>
      <c r="E4140" s="2" t="s">
        <v>11580</v>
      </c>
      <c r="F4140" s="3" t="s">
        <v>14206</v>
      </c>
      <c r="H4140" s="3" t="s">
        <v>193</v>
      </c>
      <c r="K4140" s="2">
        <v>20</v>
      </c>
      <c r="L4140" s="2">
        <v>1</v>
      </c>
      <c r="M4140" s="3" t="s">
        <v>99</v>
      </c>
      <c r="N4140" s="3" t="s">
        <v>131</v>
      </c>
      <c r="O4140" s="3" t="s">
        <v>132</v>
      </c>
      <c r="P4140" s="3" t="s">
        <v>133</v>
      </c>
      <c r="Q4140" s="30" t="str">
        <f t="shared" si="64"/>
        <v>MAX : 0.78
TARGET : 0.75
MIN : 0.72</v>
      </c>
    </row>
    <row r="4141" spans="2:17" ht="41.4" x14ac:dyDescent="0.3">
      <c r="B4141">
        <v>0</v>
      </c>
      <c r="C4141" s="33">
        <v>9048</v>
      </c>
      <c r="D4141" s="2">
        <v>1405</v>
      </c>
      <c r="E4141" s="2" t="s">
        <v>12159</v>
      </c>
      <c r="F4141" s="3" t="s">
        <v>14206</v>
      </c>
      <c r="H4141" s="3" t="s">
        <v>4619</v>
      </c>
      <c r="K4141" s="2">
        <v>10</v>
      </c>
      <c r="L4141" s="2">
        <v>3</v>
      </c>
      <c r="M4141" s="3" t="s">
        <v>4625</v>
      </c>
      <c r="N4141" s="3" t="s">
        <v>3898</v>
      </c>
      <c r="O4141" s="3" t="s">
        <v>1603</v>
      </c>
      <c r="P4141" s="3" t="s">
        <v>1347</v>
      </c>
      <c r="Q4141" s="30" t="str">
        <f t="shared" si="64"/>
        <v>MAX : 0.270
TARGET : 0.265
MIN : 0.260</v>
      </c>
    </row>
    <row r="4142" spans="2:17" ht="41.4" x14ac:dyDescent="0.3">
      <c r="B4142">
        <v>0</v>
      </c>
      <c r="C4142" s="33">
        <v>9048</v>
      </c>
      <c r="D4142" s="2">
        <v>1405</v>
      </c>
      <c r="E4142" s="2" t="s">
        <v>12159</v>
      </c>
      <c r="F4142" s="3" t="s">
        <v>14206</v>
      </c>
      <c r="H4142" s="3" t="s">
        <v>4619</v>
      </c>
      <c r="K4142" s="2">
        <v>10</v>
      </c>
      <c r="L4142" s="2">
        <v>4</v>
      </c>
      <c r="M4142" s="3" t="s">
        <v>4626</v>
      </c>
      <c r="N4142" s="3" t="s">
        <v>4630</v>
      </c>
      <c r="O4142" s="3" t="s">
        <v>4631</v>
      </c>
      <c r="P4142" s="3" t="s">
        <v>4632</v>
      </c>
      <c r="Q4142" s="30" t="str">
        <f t="shared" si="64"/>
        <v>MAX : 1.569
TARGET : 1.564
MIN : 1.559</v>
      </c>
    </row>
    <row r="4143" spans="2:17" ht="41.4" x14ac:dyDescent="0.3">
      <c r="B4143">
        <v>0</v>
      </c>
      <c r="C4143" s="33">
        <v>9048</v>
      </c>
      <c r="D4143" s="2">
        <v>1405</v>
      </c>
      <c r="E4143" s="2" t="s">
        <v>12159</v>
      </c>
      <c r="F4143" s="3" t="s">
        <v>14206</v>
      </c>
      <c r="H4143" s="3" t="s">
        <v>4619</v>
      </c>
      <c r="K4143" s="2">
        <v>10</v>
      </c>
      <c r="L4143" s="2">
        <v>5</v>
      </c>
      <c r="M4143" s="3" t="s">
        <v>4629</v>
      </c>
      <c r="N4143" s="3" t="s">
        <v>4627</v>
      </c>
      <c r="O4143" s="3" t="s">
        <v>4628</v>
      </c>
      <c r="P4143" s="3" t="s">
        <v>2654</v>
      </c>
      <c r="Q4143" s="30" t="str">
        <f t="shared" si="64"/>
        <v>MAX : 1.750
TARGET : 1.745
MIN : 1.740</v>
      </c>
    </row>
    <row r="4144" spans="2:17" ht="41.4" x14ac:dyDescent="0.3">
      <c r="B4144">
        <v>0</v>
      </c>
      <c r="C4144" s="33">
        <v>9048</v>
      </c>
      <c r="D4144" s="2">
        <v>1405</v>
      </c>
      <c r="E4144" s="2" t="s">
        <v>12159</v>
      </c>
      <c r="F4144" s="3" t="s">
        <v>14206</v>
      </c>
      <c r="H4144" s="3" t="s">
        <v>4619</v>
      </c>
      <c r="K4144" s="2">
        <v>10</v>
      </c>
      <c r="L4144" s="2">
        <v>6</v>
      </c>
      <c r="M4144" s="3" t="s">
        <v>4658</v>
      </c>
      <c r="N4144" s="3" t="s">
        <v>1789</v>
      </c>
      <c r="O4144" s="3" t="s">
        <v>2969</v>
      </c>
      <c r="P4144" s="3" t="s">
        <v>54</v>
      </c>
      <c r="Q4144" s="30" t="str">
        <f t="shared" si="64"/>
        <v>MAX : 0.470
TARGET : 0.465
MIN : 0.460</v>
      </c>
    </row>
    <row r="4145" spans="2:18" ht="41.4" x14ac:dyDescent="0.3">
      <c r="B4145">
        <v>0</v>
      </c>
      <c r="C4145" s="33">
        <v>9048</v>
      </c>
      <c r="D4145" s="2">
        <v>1405</v>
      </c>
      <c r="E4145" s="2" t="s">
        <v>12159</v>
      </c>
      <c r="F4145" s="3" t="s">
        <v>14206</v>
      </c>
      <c r="H4145" s="3" t="s">
        <v>4619</v>
      </c>
      <c r="K4145" s="2">
        <v>10</v>
      </c>
      <c r="L4145" s="2">
        <v>7</v>
      </c>
      <c r="M4145" s="3" t="s">
        <v>4634</v>
      </c>
      <c r="N4145" s="3" t="s">
        <v>4636</v>
      </c>
      <c r="O4145" s="3" t="s">
        <v>4637</v>
      </c>
      <c r="P4145" s="3" t="s">
        <v>3922</v>
      </c>
      <c r="Q4145" s="30" t="str">
        <f t="shared" si="64"/>
        <v>MAX : 0.293
TARGET : 0.288
MIN : 0.283</v>
      </c>
    </row>
    <row r="4146" spans="2:18" ht="41.4" x14ac:dyDescent="0.3">
      <c r="B4146">
        <v>0</v>
      </c>
      <c r="C4146" s="33">
        <v>9048</v>
      </c>
      <c r="D4146" s="2">
        <v>1405</v>
      </c>
      <c r="E4146" s="2" t="s">
        <v>12159</v>
      </c>
      <c r="F4146" s="3" t="s">
        <v>14206</v>
      </c>
      <c r="H4146" s="3" t="s">
        <v>4619</v>
      </c>
      <c r="K4146" s="2">
        <v>10</v>
      </c>
      <c r="L4146" s="2">
        <v>8</v>
      </c>
      <c r="M4146" s="3" t="s">
        <v>4635</v>
      </c>
      <c r="N4146" s="3" t="s">
        <v>3621</v>
      </c>
      <c r="O4146" s="3" t="s">
        <v>3124</v>
      </c>
      <c r="P4146" s="3" t="s">
        <v>216</v>
      </c>
      <c r="Q4146" s="30" t="str">
        <f t="shared" si="64"/>
        <v>MAX : 0.120
TARGET : 0.115
MIN : 0.110</v>
      </c>
    </row>
    <row r="4147" spans="2:18" ht="41.4" x14ac:dyDescent="0.3">
      <c r="B4147">
        <v>0</v>
      </c>
      <c r="C4147" s="33">
        <v>9048</v>
      </c>
      <c r="D4147" s="2">
        <v>1405</v>
      </c>
      <c r="E4147" s="2" t="s">
        <v>12159</v>
      </c>
      <c r="F4147" s="3" t="s">
        <v>14206</v>
      </c>
      <c r="H4147" s="3" t="s">
        <v>4619</v>
      </c>
      <c r="K4147" s="2">
        <v>10</v>
      </c>
      <c r="L4147" s="2">
        <v>9</v>
      </c>
      <c r="M4147" s="3" t="s">
        <v>4638</v>
      </c>
      <c r="N4147" s="3" t="s">
        <v>4636</v>
      </c>
      <c r="O4147" s="3" t="s">
        <v>4637</v>
      </c>
      <c r="P4147" s="3" t="s">
        <v>3922</v>
      </c>
      <c r="Q4147" s="30" t="str">
        <f t="shared" si="64"/>
        <v>MAX : 0.293
TARGET : 0.288
MIN : 0.283</v>
      </c>
    </row>
    <row r="4148" spans="2:18" ht="41.4" x14ac:dyDescent="0.3">
      <c r="B4148">
        <v>0</v>
      </c>
      <c r="C4148" s="33">
        <v>9048</v>
      </c>
      <c r="D4148" s="2">
        <v>1405</v>
      </c>
      <c r="E4148" s="2" t="s">
        <v>12159</v>
      </c>
      <c r="F4148" s="3" t="s">
        <v>14206</v>
      </c>
      <c r="H4148" s="3" t="s">
        <v>4619</v>
      </c>
      <c r="K4148" s="2">
        <v>10</v>
      </c>
      <c r="L4148" s="2">
        <v>10</v>
      </c>
      <c r="M4148" s="3" t="s">
        <v>4642</v>
      </c>
      <c r="N4148" s="3" t="s">
        <v>4639</v>
      </c>
      <c r="O4148" s="3" t="s">
        <v>4640</v>
      </c>
      <c r="P4148" s="3" t="s">
        <v>4641</v>
      </c>
      <c r="Q4148" s="30" t="str">
        <f t="shared" si="64"/>
        <v>MAX : 0.182
TARGET : 0.177
MIN : 0.172</v>
      </c>
    </row>
    <row r="4149" spans="2:18" ht="41.4" x14ac:dyDescent="0.3">
      <c r="B4149">
        <v>0</v>
      </c>
      <c r="C4149" s="33">
        <v>9048</v>
      </c>
      <c r="D4149" s="2">
        <v>1405</v>
      </c>
      <c r="E4149" s="2" t="s">
        <v>12159</v>
      </c>
      <c r="F4149" s="3" t="s">
        <v>14206</v>
      </c>
      <c r="H4149" s="3" t="s">
        <v>4619</v>
      </c>
      <c r="K4149" s="2">
        <v>10</v>
      </c>
      <c r="L4149" s="2">
        <v>11</v>
      </c>
      <c r="M4149" s="3" t="s">
        <v>4643</v>
      </c>
      <c r="N4149" s="3" t="s">
        <v>4647</v>
      </c>
      <c r="O4149" s="3" t="s">
        <v>4648</v>
      </c>
      <c r="P4149" s="3" t="s">
        <v>4649</v>
      </c>
      <c r="Q4149" s="30" t="str">
        <f t="shared" si="64"/>
        <v>MAX : 0.153
TARGET : 0.148
MIN : 0.143</v>
      </c>
    </row>
    <row r="4150" spans="2:18" ht="41.4" x14ac:dyDescent="0.3">
      <c r="B4150">
        <v>0</v>
      </c>
      <c r="C4150" s="33">
        <v>9048</v>
      </c>
      <c r="D4150" s="2">
        <v>1405</v>
      </c>
      <c r="E4150" s="2" t="s">
        <v>12159</v>
      </c>
      <c r="F4150" s="3" t="s">
        <v>14206</v>
      </c>
      <c r="H4150" s="3" t="s">
        <v>4619</v>
      </c>
      <c r="K4150" s="2">
        <v>10</v>
      </c>
      <c r="L4150" s="2">
        <v>12</v>
      </c>
      <c r="M4150" s="3" t="s">
        <v>4646</v>
      </c>
      <c r="N4150" s="3" t="s">
        <v>4652</v>
      </c>
      <c r="O4150" s="3" t="s">
        <v>4653</v>
      </c>
      <c r="P4150" s="3" t="s">
        <v>4654</v>
      </c>
      <c r="Q4150" s="30" t="str">
        <f t="shared" si="64"/>
        <v>MAX : 0.121
TARGET : 0.116
MIN : 0.111</v>
      </c>
    </row>
    <row r="4151" spans="2:18" ht="41.4" x14ac:dyDescent="0.3">
      <c r="B4151">
        <v>0</v>
      </c>
      <c r="C4151" s="33">
        <v>9048</v>
      </c>
      <c r="D4151" s="2">
        <v>1405</v>
      </c>
      <c r="E4151" s="2" t="s">
        <v>12159</v>
      </c>
      <c r="F4151" s="3" t="s">
        <v>14206</v>
      </c>
      <c r="H4151" s="3" t="s">
        <v>4619</v>
      </c>
      <c r="K4151" s="2">
        <v>10</v>
      </c>
      <c r="L4151" s="2">
        <v>13</v>
      </c>
      <c r="M4151" s="3" t="s">
        <v>4650</v>
      </c>
      <c r="N4151" s="3" t="s">
        <v>242</v>
      </c>
      <c r="O4151" s="3" t="s">
        <v>4644</v>
      </c>
      <c r="P4151" s="3" t="s">
        <v>4645</v>
      </c>
      <c r="Q4151" s="30" t="str">
        <f t="shared" si="64"/>
        <v>MAX : 0.166
TARGET : 0.161
MIN : 0.156</v>
      </c>
    </row>
    <row r="4152" spans="2:18" ht="41.4" x14ac:dyDescent="0.3">
      <c r="B4152">
        <v>0</v>
      </c>
      <c r="C4152" s="33">
        <v>9048</v>
      </c>
      <c r="D4152" s="2">
        <v>1405</v>
      </c>
      <c r="E4152" s="2" t="s">
        <v>12159</v>
      </c>
      <c r="F4152" s="3" t="s">
        <v>14206</v>
      </c>
      <c r="H4152" s="3" t="s">
        <v>4619</v>
      </c>
      <c r="K4152" s="2">
        <v>10</v>
      </c>
      <c r="L4152" s="2">
        <v>14</v>
      </c>
      <c r="M4152" s="3" t="s">
        <v>4659</v>
      </c>
      <c r="N4152" s="3" t="s">
        <v>4647</v>
      </c>
      <c r="O4152" s="3" t="s">
        <v>4648</v>
      </c>
      <c r="P4152" s="3" t="s">
        <v>4649</v>
      </c>
      <c r="Q4152" s="30" t="str">
        <f t="shared" si="64"/>
        <v>MAX : 0.153
TARGET : 0.148
MIN : 0.143</v>
      </c>
    </row>
    <row r="4153" spans="2:18" ht="41.4" x14ac:dyDescent="0.3">
      <c r="B4153">
        <v>0</v>
      </c>
      <c r="C4153" s="33">
        <v>9048</v>
      </c>
      <c r="D4153" s="2">
        <v>1405</v>
      </c>
      <c r="E4153" s="2" t="s">
        <v>12159</v>
      </c>
      <c r="F4153" s="3" t="s">
        <v>14206</v>
      </c>
      <c r="H4153" s="3" t="s">
        <v>4619</v>
      </c>
      <c r="K4153" s="2">
        <v>10</v>
      </c>
      <c r="L4153" s="2">
        <v>15</v>
      </c>
      <c r="M4153" s="3" t="s">
        <v>4655</v>
      </c>
      <c r="N4153" s="3" t="s">
        <v>13</v>
      </c>
      <c r="O4153" s="3" t="s">
        <v>14</v>
      </c>
      <c r="Q4153" s="30" t="str">
        <f t="shared" si="64"/>
        <v>MAX : 
TARGET : Yes(Pass)
MIN : No(Fail)</v>
      </c>
    </row>
    <row r="4154" spans="2:18" ht="41.4" x14ac:dyDescent="0.3">
      <c r="B4154">
        <v>0</v>
      </c>
      <c r="C4154" s="33">
        <v>9048</v>
      </c>
      <c r="D4154" s="2">
        <v>1405</v>
      </c>
      <c r="E4154" s="2" t="s">
        <v>12159</v>
      </c>
      <c r="F4154" s="3" t="s">
        <v>14206</v>
      </c>
      <c r="H4154" s="3" t="s">
        <v>4619</v>
      </c>
      <c r="K4154" s="2">
        <v>10</v>
      </c>
      <c r="L4154" s="2">
        <v>16</v>
      </c>
      <c r="M4154" s="3" t="s">
        <v>4656</v>
      </c>
      <c r="N4154" s="3" t="s">
        <v>13</v>
      </c>
      <c r="O4154" s="3" t="s">
        <v>14</v>
      </c>
      <c r="Q4154" s="30" t="str">
        <f t="shared" si="64"/>
        <v>MAX : 
TARGET : Yes(Pass)
MIN : No(Fail)</v>
      </c>
    </row>
    <row r="4155" spans="2:18" ht="41.4" x14ac:dyDescent="0.3">
      <c r="B4155">
        <v>1</v>
      </c>
      <c r="C4155" s="33">
        <v>8951</v>
      </c>
      <c r="D4155" s="2">
        <v>2017</v>
      </c>
      <c r="E4155" s="2" t="s">
        <v>11580</v>
      </c>
      <c r="F4155" s="3" t="s">
        <v>14206</v>
      </c>
      <c r="H4155" s="3" t="s">
        <v>193</v>
      </c>
      <c r="K4155" s="2">
        <v>10</v>
      </c>
      <c r="L4155" s="2">
        <v>1</v>
      </c>
      <c r="M4155" s="3" t="s">
        <v>3295</v>
      </c>
      <c r="N4155" s="3" t="s">
        <v>13</v>
      </c>
      <c r="O4155" s="3" t="s">
        <v>14</v>
      </c>
      <c r="Q4155" s="30" t="str">
        <f t="shared" si="64"/>
        <v>MAX : 
TARGET : Yes(Pass)
MIN : No(Fail)</v>
      </c>
    </row>
    <row r="4156" spans="2:18" ht="41.4" x14ac:dyDescent="0.3">
      <c r="B4156">
        <v>1</v>
      </c>
      <c r="C4156" s="33">
        <v>8952</v>
      </c>
      <c r="D4156" s="2">
        <v>1348</v>
      </c>
      <c r="E4156" s="2" t="s">
        <v>11586</v>
      </c>
      <c r="F4156" s="3" t="s">
        <v>14206</v>
      </c>
      <c r="H4156" s="3" t="s">
        <v>469</v>
      </c>
      <c r="K4156" s="2">
        <v>10</v>
      </c>
      <c r="L4156" s="2">
        <v>2</v>
      </c>
      <c r="M4156" s="3" t="s">
        <v>4187</v>
      </c>
      <c r="N4156" s="3" t="s">
        <v>4183</v>
      </c>
      <c r="O4156" s="3" t="s">
        <v>4184</v>
      </c>
      <c r="P4156" s="3" t="s">
        <v>4185</v>
      </c>
      <c r="Q4156" s="30" t="str">
        <f t="shared" si="64"/>
        <v>MAX : 4.093
TARGET : 4.063
MIN : 4.033</v>
      </c>
      <c r="R4156" s="3" t="s">
        <v>4186</v>
      </c>
    </row>
    <row r="4157" spans="2:18" ht="41.4" x14ac:dyDescent="0.3">
      <c r="B4157">
        <v>0</v>
      </c>
      <c r="C4157" s="33">
        <v>9052</v>
      </c>
      <c r="D4157" s="2">
        <v>1409</v>
      </c>
      <c r="E4157" s="2" t="s">
        <v>12098</v>
      </c>
      <c r="F4157" s="29" t="s">
        <v>14250</v>
      </c>
      <c r="H4157" s="3" t="s">
        <v>504</v>
      </c>
      <c r="K4157" s="2">
        <v>30</v>
      </c>
      <c r="L4157" s="2">
        <v>1</v>
      </c>
      <c r="M4157" s="3" t="s">
        <v>194</v>
      </c>
      <c r="N4157" s="3" t="s">
        <v>4561</v>
      </c>
      <c r="O4157" s="3" t="s">
        <v>1098</v>
      </c>
      <c r="P4157" s="3" t="s">
        <v>4562</v>
      </c>
      <c r="Q4157" s="30" t="str">
        <f t="shared" si="64"/>
        <v>MAX : 10.13
TARGET : 10.00
MIN : 9.87</v>
      </c>
    </row>
    <row r="4158" spans="2:18" ht="41.4" x14ac:dyDescent="0.3">
      <c r="B4158">
        <v>0</v>
      </c>
      <c r="C4158" s="33">
        <v>9052</v>
      </c>
      <c r="D4158" s="2">
        <v>1409</v>
      </c>
      <c r="E4158" s="2" t="s">
        <v>12098</v>
      </c>
      <c r="F4158" s="29" t="s">
        <v>14250</v>
      </c>
      <c r="H4158" s="3" t="s">
        <v>504</v>
      </c>
      <c r="K4158" s="2">
        <v>30</v>
      </c>
      <c r="L4158" s="2">
        <v>2</v>
      </c>
      <c r="M4158" s="3" t="s">
        <v>198</v>
      </c>
      <c r="N4158" s="3" t="s">
        <v>4563</v>
      </c>
      <c r="O4158" s="3" t="s">
        <v>1230</v>
      </c>
      <c r="P4158" s="3" t="s">
        <v>4564</v>
      </c>
      <c r="Q4158" s="30" t="str">
        <f t="shared" si="64"/>
        <v>MAX : 8.13
TARGET : 8.00
MIN : 7.87</v>
      </c>
    </row>
    <row r="4159" spans="2:18" ht="41.4" x14ac:dyDescent="0.3">
      <c r="B4159">
        <v>0</v>
      </c>
      <c r="C4159" s="33">
        <v>9052</v>
      </c>
      <c r="D4159" s="2">
        <v>1409</v>
      </c>
      <c r="E4159" s="2" t="s">
        <v>12098</v>
      </c>
      <c r="F4159" s="29" t="s">
        <v>14250</v>
      </c>
      <c r="H4159" s="3" t="s">
        <v>504</v>
      </c>
      <c r="K4159" s="2">
        <v>30</v>
      </c>
      <c r="L4159" s="2">
        <v>3</v>
      </c>
      <c r="M4159" s="3" t="s">
        <v>4565</v>
      </c>
      <c r="N4159" s="3" t="s">
        <v>344</v>
      </c>
      <c r="O4159" s="3" t="s">
        <v>28</v>
      </c>
      <c r="P4159" s="3" t="s">
        <v>345</v>
      </c>
      <c r="Q4159" s="30" t="str">
        <f t="shared" si="64"/>
        <v>MAX : 1.75
TARGET : 1.50
MIN : 1.25</v>
      </c>
    </row>
    <row r="4160" spans="2:18" ht="41.4" x14ac:dyDescent="0.3">
      <c r="B4160">
        <v>0</v>
      </c>
      <c r="C4160" s="33">
        <v>9052</v>
      </c>
      <c r="D4160" s="2">
        <v>1409</v>
      </c>
      <c r="E4160" s="2" t="s">
        <v>12098</v>
      </c>
      <c r="F4160" s="29" t="s">
        <v>14250</v>
      </c>
      <c r="H4160" s="3" t="s">
        <v>504</v>
      </c>
      <c r="K4160" s="2">
        <v>30</v>
      </c>
      <c r="L4160" s="2">
        <v>4</v>
      </c>
      <c r="M4160" s="3" t="s">
        <v>4660</v>
      </c>
      <c r="N4160" s="3" t="s">
        <v>3997</v>
      </c>
      <c r="O4160" s="3" t="s">
        <v>424</v>
      </c>
      <c r="P4160" s="3" t="s">
        <v>247</v>
      </c>
      <c r="Q4160" s="30" t="str">
        <f t="shared" si="64"/>
        <v>MAX : 0.38
TARGET : 0.25
MIN : 0.12</v>
      </c>
    </row>
    <row r="4161" spans="2:18" ht="41.4" x14ac:dyDescent="0.3">
      <c r="B4161">
        <v>0</v>
      </c>
      <c r="C4161" s="33">
        <v>9052</v>
      </c>
      <c r="D4161" s="2">
        <v>1409</v>
      </c>
      <c r="E4161" s="2" t="s">
        <v>12098</v>
      </c>
      <c r="F4161" s="29" t="s">
        <v>14250</v>
      </c>
      <c r="H4161" s="3" t="s">
        <v>504</v>
      </c>
      <c r="K4161" s="2">
        <v>30</v>
      </c>
      <c r="L4161" s="2">
        <v>5</v>
      </c>
      <c r="M4161" s="3" t="s">
        <v>4661</v>
      </c>
      <c r="N4161" s="3" t="s">
        <v>2453</v>
      </c>
      <c r="O4161" s="3" t="s">
        <v>253</v>
      </c>
      <c r="P4161" s="3" t="s">
        <v>3785</v>
      </c>
      <c r="Q4161" s="30" t="str">
        <f t="shared" si="64"/>
        <v>MAX : 4.13
TARGET : 4.00
MIN : 3.87</v>
      </c>
    </row>
    <row r="4162" spans="2:18" ht="41.4" x14ac:dyDescent="0.3">
      <c r="B4162">
        <v>0</v>
      </c>
      <c r="C4162" s="33">
        <v>9052</v>
      </c>
      <c r="D4162" s="2">
        <v>1409</v>
      </c>
      <c r="E4162" s="2" t="s">
        <v>12098</v>
      </c>
      <c r="F4162" s="29" t="s">
        <v>14250</v>
      </c>
      <c r="H4162" s="3" t="s">
        <v>504</v>
      </c>
      <c r="K4162" s="2">
        <v>30</v>
      </c>
      <c r="L4162" s="2">
        <v>7</v>
      </c>
      <c r="M4162" s="3" t="s">
        <v>4568</v>
      </c>
      <c r="N4162" s="3" t="s">
        <v>13</v>
      </c>
      <c r="O4162" s="3" t="s">
        <v>14</v>
      </c>
      <c r="Q4162" s="30" t="str">
        <f t="shared" ref="Q4162:Q4225" si="65">"MAX : " &amp; P4162 &amp; CHAR(10) &amp; "TARGET : " &amp; O4162 &amp; CHAR(10) &amp; "MIN : " &amp; N4162</f>
        <v>MAX : 
TARGET : Yes(Pass)
MIN : No(Fail)</v>
      </c>
    </row>
    <row r="4163" spans="2:18" ht="41.4" x14ac:dyDescent="0.3">
      <c r="B4163">
        <v>0</v>
      </c>
      <c r="C4163" s="33">
        <v>9052</v>
      </c>
      <c r="D4163" s="2">
        <v>1409</v>
      </c>
      <c r="E4163" s="2" t="s">
        <v>12098</v>
      </c>
      <c r="F4163" s="29" t="s">
        <v>14250</v>
      </c>
      <c r="H4163" s="3" t="s">
        <v>504</v>
      </c>
      <c r="K4163" s="2">
        <v>30</v>
      </c>
      <c r="L4163" s="2">
        <v>8</v>
      </c>
      <c r="M4163" s="3" t="s">
        <v>4569</v>
      </c>
      <c r="N4163" s="3" t="s">
        <v>13</v>
      </c>
      <c r="O4163" s="3" t="s">
        <v>14</v>
      </c>
      <c r="Q4163" s="30" t="str">
        <f t="shared" si="65"/>
        <v>MAX : 
TARGET : Yes(Pass)
MIN : No(Fail)</v>
      </c>
    </row>
    <row r="4164" spans="2:18" ht="41.4" x14ac:dyDescent="0.3">
      <c r="B4164">
        <v>0</v>
      </c>
      <c r="C4164" s="33">
        <v>9052</v>
      </c>
      <c r="D4164" s="2">
        <v>1409</v>
      </c>
      <c r="E4164" s="2" t="s">
        <v>12098</v>
      </c>
      <c r="F4164" s="29" t="s">
        <v>14250</v>
      </c>
      <c r="H4164" s="3" t="s">
        <v>504</v>
      </c>
      <c r="K4164" s="2">
        <v>30</v>
      </c>
      <c r="L4164" s="2">
        <v>6</v>
      </c>
      <c r="M4164" s="3" t="s">
        <v>4662</v>
      </c>
      <c r="N4164" s="3" t="s">
        <v>13</v>
      </c>
      <c r="O4164" s="3" t="s">
        <v>14</v>
      </c>
      <c r="Q4164" s="30" t="str">
        <f t="shared" si="65"/>
        <v>MAX : 
TARGET : Yes(Pass)
MIN : No(Fail)</v>
      </c>
    </row>
    <row r="4165" spans="2:18" ht="41.4" x14ac:dyDescent="0.3">
      <c r="B4165">
        <v>1</v>
      </c>
      <c r="C4165" s="33">
        <v>8952</v>
      </c>
      <c r="D4165" s="2">
        <v>1348</v>
      </c>
      <c r="E4165" s="2" t="s">
        <v>11586</v>
      </c>
      <c r="F4165" s="3" t="s">
        <v>14206</v>
      </c>
      <c r="H4165" s="3" t="s">
        <v>469</v>
      </c>
      <c r="K4165" s="2">
        <v>10</v>
      </c>
      <c r="L4165" s="2">
        <v>1</v>
      </c>
      <c r="M4165" s="3" t="s">
        <v>4182</v>
      </c>
      <c r="N4165" s="3" t="s">
        <v>4183</v>
      </c>
      <c r="O4165" s="3" t="s">
        <v>4184</v>
      </c>
      <c r="P4165" s="3" t="s">
        <v>4185</v>
      </c>
      <c r="Q4165" s="30" t="str">
        <f t="shared" si="65"/>
        <v>MAX : 4.093
TARGET : 4.063
MIN : 4.033</v>
      </c>
      <c r="R4165" s="3" t="s">
        <v>4186</v>
      </c>
    </row>
    <row r="4166" spans="2:18" ht="41.4" x14ac:dyDescent="0.3">
      <c r="B4166">
        <v>1</v>
      </c>
      <c r="C4166" s="33">
        <v>8953</v>
      </c>
      <c r="D4166" s="2">
        <v>1349</v>
      </c>
      <c r="E4166" s="2" t="s">
        <v>11593</v>
      </c>
      <c r="F4166" s="3" t="s">
        <v>14206</v>
      </c>
      <c r="H4166" s="3" t="s">
        <v>1069</v>
      </c>
      <c r="K4166" s="2">
        <v>10</v>
      </c>
      <c r="L4166" s="2">
        <v>2</v>
      </c>
      <c r="M4166" s="3" t="s">
        <v>4177</v>
      </c>
      <c r="N4166" s="3" t="s">
        <v>13</v>
      </c>
      <c r="O4166" s="3" t="s">
        <v>14</v>
      </c>
      <c r="Q4166" s="30" t="str">
        <f t="shared" si="65"/>
        <v>MAX : 
TARGET : Yes(Pass)
MIN : No(Fail)</v>
      </c>
    </row>
    <row r="4167" spans="2:18" ht="41.4" x14ac:dyDescent="0.3">
      <c r="B4167">
        <v>0</v>
      </c>
      <c r="C4167" s="33">
        <v>9049</v>
      </c>
      <c r="D4167" s="2">
        <v>1406</v>
      </c>
      <c r="E4167" s="2" t="s">
        <v>12168</v>
      </c>
      <c r="F4167" s="3" t="s">
        <v>14206</v>
      </c>
      <c r="H4167" s="3" t="s">
        <v>4619</v>
      </c>
      <c r="K4167" s="2">
        <v>10</v>
      </c>
      <c r="L4167" s="2">
        <v>3</v>
      </c>
      <c r="M4167" s="3" t="s">
        <v>4666</v>
      </c>
      <c r="N4167" s="3" t="s">
        <v>3898</v>
      </c>
      <c r="O4167" s="3" t="s">
        <v>1603</v>
      </c>
      <c r="P4167" s="3" t="s">
        <v>1347</v>
      </c>
      <c r="Q4167" s="30" t="str">
        <f t="shared" si="65"/>
        <v>MAX : 0.270
TARGET : 0.265
MIN : 0.260</v>
      </c>
    </row>
    <row r="4168" spans="2:18" ht="41.4" x14ac:dyDescent="0.3">
      <c r="B4168">
        <v>0</v>
      </c>
      <c r="C4168" s="33">
        <v>9049</v>
      </c>
      <c r="D4168" s="2">
        <v>1406</v>
      </c>
      <c r="E4168" s="2" t="s">
        <v>12168</v>
      </c>
      <c r="F4168" s="3" t="s">
        <v>14206</v>
      </c>
      <c r="H4168" s="3" t="s">
        <v>4619</v>
      </c>
      <c r="K4168" s="2">
        <v>10</v>
      </c>
      <c r="L4168" s="2">
        <v>4</v>
      </c>
      <c r="M4168" s="3" t="s">
        <v>4667</v>
      </c>
      <c r="N4168" s="3" t="s">
        <v>4668</v>
      </c>
      <c r="O4168" s="3" t="s">
        <v>4669</v>
      </c>
      <c r="P4168" s="3" t="s">
        <v>4670</v>
      </c>
      <c r="Q4168" s="30" t="str">
        <f t="shared" si="65"/>
        <v>MAX : 1.069
TARGET : 1.064
MIN : 1.059</v>
      </c>
    </row>
    <row r="4169" spans="2:18" ht="41.4" x14ac:dyDescent="0.3">
      <c r="B4169">
        <v>0</v>
      </c>
      <c r="C4169" s="33">
        <v>9049</v>
      </c>
      <c r="D4169" s="2">
        <v>1406</v>
      </c>
      <c r="E4169" s="2" t="s">
        <v>12168</v>
      </c>
      <c r="F4169" s="3" t="s">
        <v>14206</v>
      </c>
      <c r="H4169" s="3" t="s">
        <v>4619</v>
      </c>
      <c r="K4169" s="2">
        <v>10</v>
      </c>
      <c r="L4169" s="2">
        <v>5</v>
      </c>
      <c r="M4169" s="3" t="s">
        <v>4671</v>
      </c>
      <c r="N4169" s="3" t="s">
        <v>4672</v>
      </c>
      <c r="O4169" s="3" t="s">
        <v>4673</v>
      </c>
      <c r="P4169" s="3" t="s">
        <v>1453</v>
      </c>
      <c r="Q4169" s="30" t="str">
        <f t="shared" si="65"/>
        <v>MAX : 1.250
TARGET : 1.245
MIN : 1.240</v>
      </c>
    </row>
    <row r="4170" spans="2:18" ht="41.4" x14ac:dyDescent="0.3">
      <c r="B4170">
        <v>0</v>
      </c>
      <c r="C4170" s="33">
        <v>9049</v>
      </c>
      <c r="D4170" s="2">
        <v>1406</v>
      </c>
      <c r="E4170" s="2" t="s">
        <v>12168</v>
      </c>
      <c r="F4170" s="3" t="s">
        <v>14206</v>
      </c>
      <c r="H4170" s="3" t="s">
        <v>4619</v>
      </c>
      <c r="K4170" s="2">
        <v>10</v>
      </c>
      <c r="L4170" s="2">
        <v>6</v>
      </c>
      <c r="M4170" s="3" t="s">
        <v>198</v>
      </c>
      <c r="N4170" s="3" t="s">
        <v>1789</v>
      </c>
      <c r="O4170" s="3" t="s">
        <v>2969</v>
      </c>
      <c r="P4170" s="3" t="s">
        <v>54</v>
      </c>
      <c r="Q4170" s="30" t="str">
        <f t="shared" si="65"/>
        <v>MAX : 0.470
TARGET : 0.465
MIN : 0.460</v>
      </c>
    </row>
    <row r="4171" spans="2:18" ht="41.4" x14ac:dyDescent="0.3">
      <c r="B4171">
        <v>0</v>
      </c>
      <c r="C4171" s="33">
        <v>9049</v>
      </c>
      <c r="D4171" s="2">
        <v>1406</v>
      </c>
      <c r="E4171" s="2" t="s">
        <v>12168</v>
      </c>
      <c r="F4171" s="3" t="s">
        <v>14206</v>
      </c>
      <c r="H4171" s="3" t="s">
        <v>4619</v>
      </c>
      <c r="K4171" s="2">
        <v>10</v>
      </c>
      <c r="L4171" s="2">
        <v>7</v>
      </c>
      <c r="M4171" s="3" t="s">
        <v>4665</v>
      </c>
      <c r="N4171" s="3" t="s">
        <v>3621</v>
      </c>
      <c r="O4171" s="3" t="s">
        <v>3124</v>
      </c>
      <c r="P4171" s="3" t="s">
        <v>216</v>
      </c>
      <c r="Q4171" s="30" t="str">
        <f t="shared" si="65"/>
        <v>MAX : 0.120
TARGET : 0.115
MIN : 0.110</v>
      </c>
    </row>
    <row r="4172" spans="2:18" ht="41.4" x14ac:dyDescent="0.3">
      <c r="B4172">
        <v>0</v>
      </c>
      <c r="C4172" s="33">
        <v>9049</v>
      </c>
      <c r="D4172" s="2">
        <v>1406</v>
      </c>
      <c r="E4172" s="2" t="s">
        <v>12168</v>
      </c>
      <c r="F4172" s="3" t="s">
        <v>14206</v>
      </c>
      <c r="H4172" s="3" t="s">
        <v>4619</v>
      </c>
      <c r="K4172" s="2">
        <v>10</v>
      </c>
      <c r="L4172" s="2">
        <v>8</v>
      </c>
      <c r="M4172" s="3" t="s">
        <v>4666</v>
      </c>
      <c r="N4172" s="3" t="s">
        <v>4639</v>
      </c>
      <c r="O4172" s="3" t="s">
        <v>4640</v>
      </c>
      <c r="P4172" s="3" t="s">
        <v>4641</v>
      </c>
      <c r="Q4172" s="30" t="str">
        <f t="shared" si="65"/>
        <v>MAX : 0.182
TARGET : 0.177
MIN : 0.172</v>
      </c>
    </row>
    <row r="4173" spans="2:18" ht="41.4" x14ac:dyDescent="0.3">
      <c r="B4173">
        <v>0</v>
      </c>
      <c r="C4173" s="33">
        <v>9049</v>
      </c>
      <c r="D4173" s="2">
        <v>1406</v>
      </c>
      <c r="E4173" s="2" t="s">
        <v>12168</v>
      </c>
      <c r="F4173" s="3" t="s">
        <v>14206</v>
      </c>
      <c r="H4173" s="3" t="s">
        <v>4619</v>
      </c>
      <c r="K4173" s="2">
        <v>10</v>
      </c>
      <c r="L4173" s="2">
        <v>9</v>
      </c>
      <c r="M4173" s="3" t="s">
        <v>4667</v>
      </c>
      <c r="N4173" s="3" t="s">
        <v>4636</v>
      </c>
      <c r="O4173" s="3" t="s">
        <v>4637</v>
      </c>
      <c r="P4173" s="3" t="s">
        <v>3922</v>
      </c>
      <c r="Q4173" s="30" t="str">
        <f t="shared" si="65"/>
        <v>MAX : 0.293
TARGET : 0.288
MIN : 0.283</v>
      </c>
    </row>
    <row r="4174" spans="2:18" ht="41.4" x14ac:dyDescent="0.3">
      <c r="B4174">
        <v>0</v>
      </c>
      <c r="C4174" s="33">
        <v>9049</v>
      </c>
      <c r="D4174" s="2">
        <v>1406</v>
      </c>
      <c r="E4174" s="2" t="s">
        <v>12168</v>
      </c>
      <c r="F4174" s="3" t="s">
        <v>14206</v>
      </c>
      <c r="H4174" s="3" t="s">
        <v>4619</v>
      </c>
      <c r="K4174" s="2">
        <v>10</v>
      </c>
      <c r="L4174" s="2">
        <v>10</v>
      </c>
      <c r="M4174" s="3" t="s">
        <v>4671</v>
      </c>
      <c r="N4174" s="3" t="s">
        <v>4636</v>
      </c>
      <c r="O4174" s="3" t="s">
        <v>4637</v>
      </c>
      <c r="P4174" s="3" t="s">
        <v>3922</v>
      </c>
      <c r="Q4174" s="30" t="str">
        <f t="shared" si="65"/>
        <v>MAX : 0.293
TARGET : 0.288
MIN : 0.283</v>
      </c>
    </row>
    <row r="4175" spans="2:18" ht="41.4" x14ac:dyDescent="0.3">
      <c r="B4175">
        <v>0</v>
      </c>
      <c r="C4175" s="33">
        <v>9049</v>
      </c>
      <c r="D4175" s="2">
        <v>1406</v>
      </c>
      <c r="E4175" s="2" t="s">
        <v>12168</v>
      </c>
      <c r="F4175" s="3" t="s">
        <v>14206</v>
      </c>
      <c r="H4175" s="3" t="s">
        <v>4619</v>
      </c>
      <c r="K4175" s="2">
        <v>10</v>
      </c>
      <c r="L4175" s="2">
        <v>11</v>
      </c>
      <c r="M4175" s="3" t="s">
        <v>4674</v>
      </c>
      <c r="N4175" s="3" t="s">
        <v>4647</v>
      </c>
      <c r="O4175" s="3" t="s">
        <v>4648</v>
      </c>
      <c r="P4175" s="3" t="s">
        <v>4649</v>
      </c>
      <c r="Q4175" s="30" t="str">
        <f t="shared" si="65"/>
        <v>MAX : 0.153
TARGET : 0.148
MIN : 0.143</v>
      </c>
    </row>
    <row r="4176" spans="2:18" ht="41.4" x14ac:dyDescent="0.3">
      <c r="B4176">
        <v>0</v>
      </c>
      <c r="C4176" s="33">
        <v>9049</v>
      </c>
      <c r="D4176" s="2">
        <v>1406</v>
      </c>
      <c r="E4176" s="2" t="s">
        <v>12168</v>
      </c>
      <c r="F4176" s="3" t="s">
        <v>14206</v>
      </c>
      <c r="H4176" s="3" t="s">
        <v>4619</v>
      </c>
      <c r="K4176" s="2">
        <v>10</v>
      </c>
      <c r="L4176" s="2">
        <v>12</v>
      </c>
      <c r="M4176" s="3" t="s">
        <v>4675</v>
      </c>
      <c r="N4176" s="3" t="s">
        <v>242</v>
      </c>
      <c r="O4176" s="3" t="s">
        <v>4644</v>
      </c>
      <c r="P4176" s="3" t="s">
        <v>4645</v>
      </c>
      <c r="Q4176" s="30" t="str">
        <f t="shared" si="65"/>
        <v>MAX : 0.166
TARGET : 0.161
MIN : 0.156</v>
      </c>
    </row>
    <row r="4177" spans="2:17" ht="41.4" x14ac:dyDescent="0.3">
      <c r="B4177">
        <v>0</v>
      </c>
      <c r="C4177" s="33">
        <v>9049</v>
      </c>
      <c r="D4177" s="2">
        <v>1406</v>
      </c>
      <c r="E4177" s="2" t="s">
        <v>12168</v>
      </c>
      <c r="F4177" s="3" t="s">
        <v>14206</v>
      </c>
      <c r="H4177" s="3" t="s">
        <v>4619</v>
      </c>
      <c r="K4177" s="2">
        <v>10</v>
      </c>
      <c r="L4177" s="2">
        <v>13</v>
      </c>
      <c r="M4177" s="3" t="s">
        <v>4676</v>
      </c>
      <c r="N4177" s="3" t="s">
        <v>4652</v>
      </c>
      <c r="O4177" s="3" t="s">
        <v>4653</v>
      </c>
      <c r="P4177" s="3" t="s">
        <v>4654</v>
      </c>
      <c r="Q4177" s="30" t="str">
        <f t="shared" si="65"/>
        <v>MAX : 0.121
TARGET : 0.116
MIN : 0.111</v>
      </c>
    </row>
    <row r="4178" spans="2:17" ht="41.4" x14ac:dyDescent="0.3">
      <c r="B4178">
        <v>0</v>
      </c>
      <c r="C4178" s="33">
        <v>9049</v>
      </c>
      <c r="D4178" s="2">
        <v>1406</v>
      </c>
      <c r="E4178" s="2" t="s">
        <v>12168</v>
      </c>
      <c r="F4178" s="3" t="s">
        <v>14206</v>
      </c>
      <c r="H4178" s="3" t="s">
        <v>4619</v>
      </c>
      <c r="K4178" s="2">
        <v>10</v>
      </c>
      <c r="L4178" s="2">
        <v>14</v>
      </c>
      <c r="M4178" s="3" t="s">
        <v>4677</v>
      </c>
      <c r="N4178" s="3" t="s">
        <v>4647</v>
      </c>
      <c r="O4178" s="3" t="s">
        <v>4648</v>
      </c>
      <c r="P4178" s="3" t="s">
        <v>4649</v>
      </c>
      <c r="Q4178" s="30" t="str">
        <f t="shared" si="65"/>
        <v>MAX : 0.153
TARGET : 0.148
MIN : 0.143</v>
      </c>
    </row>
    <row r="4179" spans="2:17" ht="41.4" x14ac:dyDescent="0.3">
      <c r="B4179">
        <v>0</v>
      </c>
      <c r="C4179" s="33">
        <v>9049</v>
      </c>
      <c r="D4179" s="2">
        <v>1406</v>
      </c>
      <c r="E4179" s="2" t="s">
        <v>12168</v>
      </c>
      <c r="F4179" s="3" t="s">
        <v>14206</v>
      </c>
      <c r="H4179" s="3" t="s">
        <v>4619</v>
      </c>
      <c r="K4179" s="2">
        <v>10</v>
      </c>
      <c r="L4179" s="2">
        <v>15</v>
      </c>
      <c r="M4179" s="3" t="s">
        <v>4655</v>
      </c>
      <c r="N4179" s="3" t="s">
        <v>13</v>
      </c>
      <c r="O4179" s="3" t="s">
        <v>14</v>
      </c>
      <c r="Q4179" s="30" t="str">
        <f t="shared" si="65"/>
        <v>MAX : 
TARGET : Yes(Pass)
MIN : No(Fail)</v>
      </c>
    </row>
    <row r="4180" spans="2:17" ht="41.4" x14ac:dyDescent="0.3">
      <c r="B4180">
        <v>0</v>
      </c>
      <c r="C4180" s="33">
        <v>9049</v>
      </c>
      <c r="D4180" s="2">
        <v>1406</v>
      </c>
      <c r="E4180" s="2" t="s">
        <v>12168</v>
      </c>
      <c r="F4180" s="3" t="s">
        <v>14206</v>
      </c>
      <c r="H4180" s="3" t="s">
        <v>4619</v>
      </c>
      <c r="K4180" s="2">
        <v>10</v>
      </c>
      <c r="L4180" s="2">
        <v>16</v>
      </c>
      <c r="M4180" s="3" t="s">
        <v>4656</v>
      </c>
      <c r="N4180" s="3" t="s">
        <v>13</v>
      </c>
      <c r="O4180" s="3" t="s">
        <v>14</v>
      </c>
      <c r="Q4180" s="30" t="str">
        <f t="shared" si="65"/>
        <v>MAX : 
TARGET : Yes(Pass)
MIN : No(Fail)</v>
      </c>
    </row>
    <row r="4181" spans="2:17" ht="41.4" x14ac:dyDescent="0.3">
      <c r="B4181">
        <v>1</v>
      </c>
      <c r="C4181" s="33">
        <v>8953</v>
      </c>
      <c r="D4181" s="2">
        <v>1349</v>
      </c>
      <c r="E4181" s="2" t="s">
        <v>11593</v>
      </c>
      <c r="F4181" s="3" t="s">
        <v>14206</v>
      </c>
      <c r="H4181" s="3" t="s">
        <v>1069</v>
      </c>
      <c r="K4181" s="2">
        <v>10</v>
      </c>
      <c r="L4181" s="2">
        <v>1</v>
      </c>
      <c r="M4181" s="3" t="s">
        <v>194</v>
      </c>
      <c r="N4181" s="3" t="s">
        <v>626</v>
      </c>
      <c r="O4181" s="3" t="s">
        <v>406</v>
      </c>
      <c r="P4181" s="3" t="s">
        <v>2887</v>
      </c>
      <c r="Q4181" s="30" t="str">
        <f t="shared" si="65"/>
        <v>MAX : 2.13
TARGET : 2.00
MIN : 1.87</v>
      </c>
    </row>
    <row r="4182" spans="2:17" ht="41.4" x14ac:dyDescent="0.3">
      <c r="B4182">
        <v>1</v>
      </c>
      <c r="C4182" s="33">
        <v>8954</v>
      </c>
      <c r="D4182" s="2">
        <v>1350</v>
      </c>
      <c r="E4182" s="2" t="s">
        <v>11599</v>
      </c>
      <c r="F4182" s="3" t="s">
        <v>14244</v>
      </c>
      <c r="H4182" s="3" t="s">
        <v>1952</v>
      </c>
      <c r="K4182" s="2">
        <v>10</v>
      </c>
      <c r="L4182" s="2">
        <v>2</v>
      </c>
      <c r="M4182" s="3" t="s">
        <v>3618</v>
      </c>
      <c r="N4182" s="3" t="s">
        <v>4364</v>
      </c>
      <c r="O4182" s="3" t="s">
        <v>4365</v>
      </c>
      <c r="P4182" s="3" t="s">
        <v>4366</v>
      </c>
      <c r="Q4182" s="30" t="str">
        <f t="shared" si="65"/>
        <v>MAX : 6.995
TARGET : 6.865
MIN : 6.735</v>
      </c>
    </row>
    <row r="4183" spans="2:17" ht="41.4" x14ac:dyDescent="0.3">
      <c r="B4183">
        <v>0</v>
      </c>
      <c r="C4183" s="33">
        <v>9050</v>
      </c>
      <c r="D4183" s="2">
        <v>1407</v>
      </c>
      <c r="E4183" s="2" t="s">
        <v>12168</v>
      </c>
      <c r="F4183" s="3" t="s">
        <v>14206</v>
      </c>
      <c r="H4183" s="3" t="s">
        <v>4619</v>
      </c>
      <c r="K4183" s="2">
        <v>10</v>
      </c>
      <c r="L4183" s="2">
        <v>3</v>
      </c>
      <c r="M4183" s="3" t="s">
        <v>4666</v>
      </c>
      <c r="N4183" s="3" t="s">
        <v>3898</v>
      </c>
      <c r="O4183" s="3" t="s">
        <v>1603</v>
      </c>
      <c r="P4183" s="3" t="s">
        <v>1347</v>
      </c>
      <c r="Q4183" s="30" t="str">
        <f t="shared" si="65"/>
        <v>MAX : 0.270
TARGET : 0.265
MIN : 0.260</v>
      </c>
    </row>
    <row r="4184" spans="2:17" ht="41.4" x14ac:dyDescent="0.3">
      <c r="B4184">
        <v>0</v>
      </c>
      <c r="C4184" s="33">
        <v>9050</v>
      </c>
      <c r="D4184" s="2">
        <v>1407</v>
      </c>
      <c r="E4184" s="2" t="s">
        <v>12168</v>
      </c>
      <c r="F4184" s="3" t="s">
        <v>14206</v>
      </c>
      <c r="H4184" s="3" t="s">
        <v>4619</v>
      </c>
      <c r="K4184" s="2">
        <v>10</v>
      </c>
      <c r="L4184" s="2">
        <v>4</v>
      </c>
      <c r="M4184" s="3" t="s">
        <v>4667</v>
      </c>
      <c r="N4184" s="3" t="s">
        <v>4668</v>
      </c>
      <c r="O4184" s="3" t="s">
        <v>4669</v>
      </c>
      <c r="P4184" s="3" t="s">
        <v>4670</v>
      </c>
      <c r="Q4184" s="30" t="str">
        <f t="shared" si="65"/>
        <v>MAX : 1.069
TARGET : 1.064
MIN : 1.059</v>
      </c>
    </row>
    <row r="4185" spans="2:17" ht="41.4" x14ac:dyDescent="0.3">
      <c r="B4185">
        <v>0</v>
      </c>
      <c r="C4185" s="33">
        <v>9050</v>
      </c>
      <c r="D4185" s="2">
        <v>1407</v>
      </c>
      <c r="E4185" s="2" t="s">
        <v>12168</v>
      </c>
      <c r="F4185" s="3" t="s">
        <v>14206</v>
      </c>
      <c r="H4185" s="3" t="s">
        <v>4619</v>
      </c>
      <c r="K4185" s="2">
        <v>10</v>
      </c>
      <c r="L4185" s="2">
        <v>5</v>
      </c>
      <c r="M4185" s="3" t="s">
        <v>4671</v>
      </c>
      <c r="N4185" s="3" t="s">
        <v>4672</v>
      </c>
      <c r="O4185" s="3" t="s">
        <v>4673</v>
      </c>
      <c r="P4185" s="3" t="s">
        <v>1453</v>
      </c>
      <c r="Q4185" s="30" t="str">
        <f t="shared" si="65"/>
        <v>MAX : 1.250
TARGET : 1.245
MIN : 1.240</v>
      </c>
    </row>
    <row r="4186" spans="2:17" ht="41.4" x14ac:dyDescent="0.3">
      <c r="B4186">
        <v>0</v>
      </c>
      <c r="C4186" s="33">
        <v>9050</v>
      </c>
      <c r="D4186" s="2">
        <v>1407</v>
      </c>
      <c r="E4186" s="2" t="s">
        <v>12168</v>
      </c>
      <c r="F4186" s="3" t="s">
        <v>14206</v>
      </c>
      <c r="H4186" s="3" t="s">
        <v>4619</v>
      </c>
      <c r="K4186" s="2">
        <v>10</v>
      </c>
      <c r="L4186" s="2">
        <v>6</v>
      </c>
      <c r="M4186" s="3" t="s">
        <v>198</v>
      </c>
      <c r="N4186" s="3" t="s">
        <v>1789</v>
      </c>
      <c r="O4186" s="3" t="s">
        <v>2969</v>
      </c>
      <c r="P4186" s="3" t="s">
        <v>54</v>
      </c>
      <c r="Q4186" s="30" t="str">
        <f t="shared" si="65"/>
        <v>MAX : 0.470
TARGET : 0.465
MIN : 0.460</v>
      </c>
    </row>
    <row r="4187" spans="2:17" ht="41.4" x14ac:dyDescent="0.3">
      <c r="B4187">
        <v>0</v>
      </c>
      <c r="C4187" s="33">
        <v>9050</v>
      </c>
      <c r="D4187" s="2">
        <v>1407</v>
      </c>
      <c r="E4187" s="2" t="s">
        <v>12168</v>
      </c>
      <c r="F4187" s="3" t="s">
        <v>14206</v>
      </c>
      <c r="H4187" s="3" t="s">
        <v>4619</v>
      </c>
      <c r="K4187" s="2">
        <v>10</v>
      </c>
      <c r="L4187" s="2">
        <v>7</v>
      </c>
      <c r="M4187" s="3" t="s">
        <v>4665</v>
      </c>
      <c r="N4187" s="3" t="s">
        <v>3621</v>
      </c>
      <c r="O4187" s="3" t="s">
        <v>3124</v>
      </c>
      <c r="P4187" s="3" t="s">
        <v>216</v>
      </c>
      <c r="Q4187" s="30" t="str">
        <f t="shared" si="65"/>
        <v>MAX : 0.120
TARGET : 0.115
MIN : 0.110</v>
      </c>
    </row>
    <row r="4188" spans="2:17" ht="41.4" x14ac:dyDescent="0.3">
      <c r="B4188">
        <v>0</v>
      </c>
      <c r="C4188" s="33">
        <v>9050</v>
      </c>
      <c r="D4188" s="2">
        <v>1407</v>
      </c>
      <c r="E4188" s="2" t="s">
        <v>12168</v>
      </c>
      <c r="F4188" s="3" t="s">
        <v>14206</v>
      </c>
      <c r="H4188" s="3" t="s">
        <v>4619</v>
      </c>
      <c r="K4188" s="2">
        <v>10</v>
      </c>
      <c r="L4188" s="2">
        <v>8</v>
      </c>
      <c r="M4188" s="3" t="s">
        <v>4666</v>
      </c>
      <c r="N4188" s="3" t="s">
        <v>4639</v>
      </c>
      <c r="O4188" s="3" t="s">
        <v>4640</v>
      </c>
      <c r="P4188" s="3" t="s">
        <v>4641</v>
      </c>
      <c r="Q4188" s="30" t="str">
        <f t="shared" si="65"/>
        <v>MAX : 0.182
TARGET : 0.177
MIN : 0.172</v>
      </c>
    </row>
    <row r="4189" spans="2:17" ht="41.4" x14ac:dyDescent="0.3">
      <c r="B4189">
        <v>0</v>
      </c>
      <c r="C4189" s="33">
        <v>9050</v>
      </c>
      <c r="D4189" s="2">
        <v>1407</v>
      </c>
      <c r="E4189" s="2" t="s">
        <v>12168</v>
      </c>
      <c r="F4189" s="3" t="s">
        <v>14206</v>
      </c>
      <c r="H4189" s="3" t="s">
        <v>4619</v>
      </c>
      <c r="K4189" s="2">
        <v>10</v>
      </c>
      <c r="L4189" s="2">
        <v>9</v>
      </c>
      <c r="M4189" s="3" t="s">
        <v>4667</v>
      </c>
      <c r="N4189" s="3" t="s">
        <v>4636</v>
      </c>
      <c r="O4189" s="3" t="s">
        <v>4637</v>
      </c>
      <c r="P4189" s="3" t="s">
        <v>3922</v>
      </c>
      <c r="Q4189" s="30" t="str">
        <f t="shared" si="65"/>
        <v>MAX : 0.293
TARGET : 0.288
MIN : 0.283</v>
      </c>
    </row>
    <row r="4190" spans="2:17" ht="41.4" x14ac:dyDescent="0.3">
      <c r="B4190">
        <v>0</v>
      </c>
      <c r="C4190" s="33">
        <v>9050</v>
      </c>
      <c r="D4190" s="2">
        <v>1407</v>
      </c>
      <c r="E4190" s="2" t="s">
        <v>12168</v>
      </c>
      <c r="F4190" s="3" t="s">
        <v>14206</v>
      </c>
      <c r="H4190" s="3" t="s">
        <v>4619</v>
      </c>
      <c r="K4190" s="2">
        <v>10</v>
      </c>
      <c r="L4190" s="2">
        <v>10</v>
      </c>
      <c r="M4190" s="3" t="s">
        <v>4671</v>
      </c>
      <c r="N4190" s="3" t="s">
        <v>4636</v>
      </c>
      <c r="O4190" s="3" t="s">
        <v>4637</v>
      </c>
      <c r="P4190" s="3" t="s">
        <v>3922</v>
      </c>
      <c r="Q4190" s="30" t="str">
        <f t="shared" si="65"/>
        <v>MAX : 0.293
TARGET : 0.288
MIN : 0.283</v>
      </c>
    </row>
    <row r="4191" spans="2:17" ht="41.4" x14ac:dyDescent="0.3">
      <c r="B4191">
        <v>0</v>
      </c>
      <c r="C4191" s="33">
        <v>9050</v>
      </c>
      <c r="D4191" s="2">
        <v>1407</v>
      </c>
      <c r="E4191" s="2" t="s">
        <v>12168</v>
      </c>
      <c r="F4191" s="3" t="s">
        <v>14206</v>
      </c>
      <c r="H4191" s="3" t="s">
        <v>4619</v>
      </c>
      <c r="K4191" s="2">
        <v>10</v>
      </c>
      <c r="L4191" s="2">
        <v>11</v>
      </c>
      <c r="M4191" s="3" t="s">
        <v>4674</v>
      </c>
      <c r="N4191" s="3" t="s">
        <v>4647</v>
      </c>
      <c r="O4191" s="3" t="s">
        <v>4648</v>
      </c>
      <c r="P4191" s="3" t="s">
        <v>4649</v>
      </c>
      <c r="Q4191" s="30" t="str">
        <f t="shared" si="65"/>
        <v>MAX : 0.153
TARGET : 0.148
MIN : 0.143</v>
      </c>
    </row>
    <row r="4192" spans="2:17" ht="41.4" x14ac:dyDescent="0.3">
      <c r="B4192">
        <v>0</v>
      </c>
      <c r="C4192" s="33">
        <v>9050</v>
      </c>
      <c r="D4192" s="2">
        <v>1407</v>
      </c>
      <c r="E4192" s="2" t="s">
        <v>12168</v>
      </c>
      <c r="F4192" s="3" t="s">
        <v>14206</v>
      </c>
      <c r="H4192" s="3" t="s">
        <v>4619</v>
      </c>
      <c r="K4192" s="2">
        <v>10</v>
      </c>
      <c r="L4192" s="2">
        <v>12</v>
      </c>
      <c r="M4192" s="3" t="s">
        <v>4675</v>
      </c>
      <c r="N4192" s="3" t="s">
        <v>4652</v>
      </c>
      <c r="O4192" s="3" t="s">
        <v>4653</v>
      </c>
      <c r="P4192" s="3" t="s">
        <v>4654</v>
      </c>
      <c r="Q4192" s="30" t="str">
        <f t="shared" si="65"/>
        <v>MAX : 0.121
TARGET : 0.116
MIN : 0.111</v>
      </c>
    </row>
    <row r="4193" spans="2:18" ht="41.4" x14ac:dyDescent="0.3">
      <c r="B4193">
        <v>0</v>
      </c>
      <c r="C4193" s="33">
        <v>9050</v>
      </c>
      <c r="D4193" s="2">
        <v>1407</v>
      </c>
      <c r="E4193" s="2" t="s">
        <v>12168</v>
      </c>
      <c r="F4193" s="3" t="s">
        <v>14206</v>
      </c>
      <c r="H4193" s="3" t="s">
        <v>4619</v>
      </c>
      <c r="K4193" s="2">
        <v>10</v>
      </c>
      <c r="L4193" s="2">
        <v>13</v>
      </c>
      <c r="M4193" s="3" t="s">
        <v>4676</v>
      </c>
      <c r="N4193" s="3" t="s">
        <v>242</v>
      </c>
      <c r="O4193" s="3" t="s">
        <v>4644</v>
      </c>
      <c r="P4193" s="3" t="s">
        <v>4645</v>
      </c>
      <c r="Q4193" s="30" t="str">
        <f t="shared" si="65"/>
        <v>MAX : 0.166
TARGET : 0.161
MIN : 0.156</v>
      </c>
    </row>
    <row r="4194" spans="2:18" ht="41.4" x14ac:dyDescent="0.3">
      <c r="B4194">
        <v>0</v>
      </c>
      <c r="C4194" s="33">
        <v>9050</v>
      </c>
      <c r="D4194" s="2">
        <v>1407</v>
      </c>
      <c r="E4194" s="2" t="s">
        <v>12168</v>
      </c>
      <c r="F4194" s="3" t="s">
        <v>14206</v>
      </c>
      <c r="H4194" s="3" t="s">
        <v>4619</v>
      </c>
      <c r="K4194" s="2">
        <v>10</v>
      </c>
      <c r="L4194" s="2">
        <v>14</v>
      </c>
      <c r="M4194" s="3" t="s">
        <v>4677</v>
      </c>
      <c r="N4194" s="3" t="s">
        <v>4647</v>
      </c>
      <c r="O4194" s="3" t="s">
        <v>4648</v>
      </c>
      <c r="P4194" s="3" t="s">
        <v>4649</v>
      </c>
      <c r="Q4194" s="30" t="str">
        <f t="shared" si="65"/>
        <v>MAX : 0.153
TARGET : 0.148
MIN : 0.143</v>
      </c>
    </row>
    <row r="4195" spans="2:18" ht="41.4" x14ac:dyDescent="0.3">
      <c r="B4195">
        <v>0</v>
      </c>
      <c r="C4195" s="33">
        <v>9050</v>
      </c>
      <c r="D4195" s="2">
        <v>1407</v>
      </c>
      <c r="E4195" s="2" t="s">
        <v>12168</v>
      </c>
      <c r="F4195" s="3" t="s">
        <v>14206</v>
      </c>
      <c r="H4195" s="3" t="s">
        <v>4619</v>
      </c>
      <c r="K4195" s="2">
        <v>10</v>
      </c>
      <c r="L4195" s="2">
        <v>15</v>
      </c>
      <c r="M4195" s="3" t="s">
        <v>4655</v>
      </c>
      <c r="N4195" s="3" t="s">
        <v>13</v>
      </c>
      <c r="O4195" s="3" t="s">
        <v>14</v>
      </c>
      <c r="Q4195" s="30" t="str">
        <f t="shared" si="65"/>
        <v>MAX : 
TARGET : Yes(Pass)
MIN : No(Fail)</v>
      </c>
    </row>
    <row r="4196" spans="2:18" ht="41.4" x14ac:dyDescent="0.3">
      <c r="B4196">
        <v>0</v>
      </c>
      <c r="C4196" s="33">
        <v>9050</v>
      </c>
      <c r="D4196" s="2">
        <v>1407</v>
      </c>
      <c r="E4196" s="2" t="s">
        <v>12168</v>
      </c>
      <c r="F4196" s="3" t="s">
        <v>14206</v>
      </c>
      <c r="H4196" s="3" t="s">
        <v>4619</v>
      </c>
      <c r="K4196" s="2">
        <v>10</v>
      </c>
      <c r="L4196" s="2">
        <v>16</v>
      </c>
      <c r="M4196" s="3" t="s">
        <v>4656</v>
      </c>
      <c r="N4196" s="3" t="s">
        <v>13</v>
      </c>
      <c r="O4196" s="3" t="s">
        <v>14</v>
      </c>
      <c r="Q4196" s="30" t="str">
        <f t="shared" si="65"/>
        <v>MAX : 
TARGET : Yes(Pass)
MIN : No(Fail)</v>
      </c>
    </row>
    <row r="4197" spans="2:18" ht="41.4" x14ac:dyDescent="0.3">
      <c r="B4197">
        <v>1</v>
      </c>
      <c r="C4197" s="33">
        <v>8954</v>
      </c>
      <c r="D4197" s="2">
        <v>1350</v>
      </c>
      <c r="E4197" s="2" t="s">
        <v>11599</v>
      </c>
      <c r="F4197" s="3" t="s">
        <v>14244</v>
      </c>
      <c r="H4197" s="3" t="s">
        <v>1952</v>
      </c>
      <c r="K4197" s="2">
        <v>10</v>
      </c>
      <c r="L4197" s="2">
        <v>1</v>
      </c>
      <c r="M4197" s="3" t="s">
        <v>194</v>
      </c>
      <c r="N4197" s="3" t="s">
        <v>2365</v>
      </c>
      <c r="O4197" s="3" t="s">
        <v>184</v>
      </c>
      <c r="P4197" s="3" t="s">
        <v>2238</v>
      </c>
      <c r="Q4197" s="30" t="str">
        <f t="shared" si="65"/>
        <v>MAX : 5.13
TARGET : 5.00
MIN : 4.87</v>
      </c>
    </row>
    <row r="4198" spans="2:18" ht="41.4" x14ac:dyDescent="0.3">
      <c r="B4198">
        <v>1</v>
      </c>
      <c r="C4198" s="33">
        <v>8954</v>
      </c>
      <c r="D4198" s="2">
        <v>1350</v>
      </c>
      <c r="E4198" s="2" t="s">
        <v>11599</v>
      </c>
      <c r="F4198" s="3" t="s">
        <v>14244</v>
      </c>
      <c r="H4198" s="3" t="s">
        <v>1952</v>
      </c>
      <c r="K4198" s="2">
        <v>20</v>
      </c>
      <c r="L4198" s="2">
        <v>1</v>
      </c>
      <c r="M4198" s="3" t="s">
        <v>5116</v>
      </c>
      <c r="N4198" s="3" t="s">
        <v>13</v>
      </c>
      <c r="O4198" s="3" t="s">
        <v>14</v>
      </c>
      <c r="Q4198" s="30" t="str">
        <f t="shared" si="65"/>
        <v>MAX : 
TARGET : Yes(Pass)
MIN : No(Fail)</v>
      </c>
    </row>
    <row r="4199" spans="2:18" ht="41.4" x14ac:dyDescent="0.3">
      <c r="B4199">
        <v>1</v>
      </c>
      <c r="C4199" s="33">
        <v>8955</v>
      </c>
      <c r="D4199" s="2">
        <v>1351</v>
      </c>
      <c r="E4199" s="2" t="s">
        <v>11607</v>
      </c>
      <c r="F4199" s="3" t="s">
        <v>14244</v>
      </c>
      <c r="H4199" s="3" t="s">
        <v>727</v>
      </c>
      <c r="K4199" s="2">
        <v>10</v>
      </c>
      <c r="L4199" s="2">
        <v>2</v>
      </c>
      <c r="M4199" s="3" t="s">
        <v>3618</v>
      </c>
      <c r="N4199" s="3" t="s">
        <v>4374</v>
      </c>
      <c r="O4199" s="3" t="s">
        <v>4375</v>
      </c>
      <c r="P4199" s="3" t="s">
        <v>4376</v>
      </c>
      <c r="Q4199" s="30" t="str">
        <f t="shared" si="65"/>
        <v>MAX : 22.57
TARGET : 22.47
MIN : 22.37</v>
      </c>
    </row>
    <row r="4200" spans="2:18" ht="41.4" x14ac:dyDescent="0.3">
      <c r="B4200">
        <v>0</v>
      </c>
      <c r="C4200" s="33">
        <v>9055</v>
      </c>
      <c r="D4200" s="2">
        <v>2054</v>
      </c>
      <c r="E4200" s="2" t="s">
        <v>12202</v>
      </c>
      <c r="F4200" s="3" t="s">
        <v>14206</v>
      </c>
      <c r="H4200" s="3" t="s">
        <v>2361</v>
      </c>
      <c r="K4200" s="2">
        <v>20</v>
      </c>
      <c r="L4200" s="2">
        <v>3</v>
      </c>
      <c r="M4200" s="3" t="s">
        <v>4683</v>
      </c>
      <c r="N4200" s="3" t="s">
        <v>3125</v>
      </c>
      <c r="O4200" s="3" t="s">
        <v>984</v>
      </c>
      <c r="P4200" s="3" t="s">
        <v>1936</v>
      </c>
      <c r="Q4200" s="30" t="str">
        <f t="shared" si="65"/>
        <v>MAX : 0.175
TARGET : 0.155
MIN : 0.135</v>
      </c>
      <c r="R4200" s="3" t="s">
        <v>1638</v>
      </c>
    </row>
    <row r="4201" spans="2:18" ht="41.4" x14ac:dyDescent="0.3">
      <c r="B4201">
        <v>0</v>
      </c>
      <c r="C4201" s="33">
        <v>9055</v>
      </c>
      <c r="D4201" s="2">
        <v>2054</v>
      </c>
      <c r="E4201" s="2" t="s">
        <v>12202</v>
      </c>
      <c r="F4201" s="3" t="s">
        <v>14206</v>
      </c>
      <c r="H4201" s="3" t="s">
        <v>2361</v>
      </c>
      <c r="K4201" s="2">
        <v>20</v>
      </c>
      <c r="L4201" s="2">
        <v>4</v>
      </c>
      <c r="M4201" s="3" t="s">
        <v>4684</v>
      </c>
      <c r="N4201" s="3" t="s">
        <v>3125</v>
      </c>
      <c r="O4201" s="3" t="s">
        <v>984</v>
      </c>
      <c r="P4201" s="3" t="s">
        <v>1936</v>
      </c>
      <c r="Q4201" s="30" t="str">
        <f t="shared" si="65"/>
        <v>MAX : 0.175
TARGET : 0.155
MIN : 0.135</v>
      </c>
      <c r="R4201" s="3" t="s">
        <v>1638</v>
      </c>
    </row>
    <row r="4202" spans="2:18" ht="41.4" x14ac:dyDescent="0.3">
      <c r="B4202">
        <v>0</v>
      </c>
      <c r="C4202" s="33">
        <v>9055</v>
      </c>
      <c r="D4202" s="2">
        <v>2054</v>
      </c>
      <c r="E4202" s="2" t="s">
        <v>12202</v>
      </c>
      <c r="F4202" s="3" t="s">
        <v>14206</v>
      </c>
      <c r="H4202" s="3" t="s">
        <v>2361</v>
      </c>
      <c r="K4202" s="2">
        <v>20</v>
      </c>
      <c r="L4202" s="2">
        <v>5</v>
      </c>
      <c r="M4202" s="3" t="s">
        <v>4685</v>
      </c>
      <c r="N4202" s="3" t="s">
        <v>13</v>
      </c>
      <c r="O4202" s="3" t="s">
        <v>14</v>
      </c>
      <c r="Q4202" s="30" t="str">
        <f t="shared" si="65"/>
        <v>MAX : 
TARGET : Yes(Pass)
MIN : No(Fail)</v>
      </c>
      <c r="R4202" s="3" t="s">
        <v>1638</v>
      </c>
    </row>
    <row r="4203" spans="2:18" ht="41.4" x14ac:dyDescent="0.3">
      <c r="B4203">
        <v>0</v>
      </c>
      <c r="C4203" s="33">
        <v>9055</v>
      </c>
      <c r="D4203" s="2">
        <v>2054</v>
      </c>
      <c r="E4203" s="2" t="s">
        <v>12202</v>
      </c>
      <c r="F4203" s="3" t="s">
        <v>14206</v>
      </c>
      <c r="H4203" s="3" t="s">
        <v>2361</v>
      </c>
      <c r="K4203" s="2">
        <v>20</v>
      </c>
      <c r="L4203" s="2">
        <v>6</v>
      </c>
      <c r="M4203" s="3" t="s">
        <v>4686</v>
      </c>
      <c r="N4203" s="3" t="s">
        <v>13</v>
      </c>
      <c r="O4203" s="3" t="s">
        <v>14</v>
      </c>
      <c r="Q4203" s="30" t="str">
        <f t="shared" si="65"/>
        <v>MAX : 
TARGET : Yes(Pass)
MIN : No(Fail)</v>
      </c>
      <c r="R4203" s="3" t="s">
        <v>1638</v>
      </c>
    </row>
    <row r="4204" spans="2:18" ht="41.4" x14ac:dyDescent="0.3">
      <c r="B4204">
        <v>0</v>
      </c>
      <c r="C4204" s="33">
        <v>9055</v>
      </c>
      <c r="D4204" s="2">
        <v>2054</v>
      </c>
      <c r="E4204" s="2" t="s">
        <v>12202</v>
      </c>
      <c r="F4204" s="3" t="s">
        <v>14206</v>
      </c>
      <c r="H4204" s="3" t="s">
        <v>2361</v>
      </c>
      <c r="K4204" s="2">
        <v>20</v>
      </c>
      <c r="L4204" s="2">
        <v>7</v>
      </c>
      <c r="M4204" s="3" t="s">
        <v>4687</v>
      </c>
      <c r="N4204" s="3" t="s">
        <v>13</v>
      </c>
      <c r="O4204" s="3" t="s">
        <v>14</v>
      </c>
      <c r="Q4204" s="30" t="str">
        <f t="shared" si="65"/>
        <v>MAX : 
TARGET : Yes(Pass)
MIN : No(Fail)</v>
      </c>
      <c r="R4204" s="3" t="s">
        <v>1638</v>
      </c>
    </row>
    <row r="4205" spans="2:18" ht="41.4" x14ac:dyDescent="0.3">
      <c r="B4205">
        <v>1</v>
      </c>
      <c r="C4205" s="33">
        <v>8955</v>
      </c>
      <c r="D4205" s="2">
        <v>1351</v>
      </c>
      <c r="E4205" s="2" t="s">
        <v>11607</v>
      </c>
      <c r="F4205" s="3" t="s">
        <v>14244</v>
      </c>
      <c r="H4205" s="3" t="s">
        <v>727</v>
      </c>
      <c r="K4205" s="2">
        <v>10</v>
      </c>
      <c r="L4205" s="2">
        <v>1</v>
      </c>
      <c r="M4205" s="3" t="s">
        <v>194</v>
      </c>
      <c r="N4205" s="3" t="s">
        <v>2182</v>
      </c>
      <c r="O4205" s="3" t="s">
        <v>4372</v>
      </c>
      <c r="P4205" s="3" t="s">
        <v>4373</v>
      </c>
      <c r="Q4205" s="30" t="str">
        <f t="shared" si="65"/>
        <v>MAX : 17.60
TARGET : 17.47
MIN : 17.34</v>
      </c>
    </row>
    <row r="4206" spans="2:18" ht="41.4" x14ac:dyDescent="0.3">
      <c r="B4206">
        <v>1</v>
      </c>
      <c r="C4206" s="33">
        <v>8956</v>
      </c>
      <c r="D4206" s="2">
        <v>1352</v>
      </c>
      <c r="E4206" s="2" t="s">
        <v>11613</v>
      </c>
      <c r="F4206" s="3" t="s">
        <v>14207</v>
      </c>
      <c r="H4206" s="3" t="s">
        <v>810</v>
      </c>
      <c r="K4206" s="2">
        <v>20</v>
      </c>
      <c r="L4206" s="2">
        <v>2</v>
      </c>
      <c r="M4206" s="3" t="s">
        <v>198</v>
      </c>
      <c r="N4206" s="3" t="s">
        <v>4180</v>
      </c>
      <c r="O4206" s="3" t="s">
        <v>1065</v>
      </c>
      <c r="P4206" s="3" t="s">
        <v>3049</v>
      </c>
      <c r="Q4206" s="30" t="str">
        <f t="shared" si="65"/>
        <v>MAX : 5.5
TARGET : 5.0
MIN : 4.5</v>
      </c>
    </row>
    <row r="4207" spans="2:18" ht="41.4" x14ac:dyDescent="0.3">
      <c r="B4207">
        <v>0</v>
      </c>
      <c r="C4207" s="33">
        <v>9054</v>
      </c>
      <c r="D4207" s="2">
        <v>1410</v>
      </c>
      <c r="E4207" s="2" t="s">
        <v>12194</v>
      </c>
      <c r="F4207" s="3" t="s">
        <v>14207</v>
      </c>
      <c r="H4207" s="3" t="s">
        <v>713</v>
      </c>
      <c r="I4207" s="3" t="s">
        <v>575</v>
      </c>
      <c r="K4207" s="2">
        <v>20</v>
      </c>
      <c r="L4207" s="2">
        <v>3</v>
      </c>
      <c r="M4207" s="3" t="s">
        <v>4693</v>
      </c>
      <c r="N4207" s="3" t="s">
        <v>4694</v>
      </c>
      <c r="O4207" s="3" t="s">
        <v>2919</v>
      </c>
      <c r="P4207" s="3" t="s">
        <v>4695</v>
      </c>
      <c r="Q4207" s="30" t="str">
        <f t="shared" si="65"/>
        <v>MAX : 20.63
TARGET : 20.25
MIN : 19.87</v>
      </c>
    </row>
    <row r="4208" spans="2:18" ht="41.4" x14ac:dyDescent="0.3">
      <c r="B4208">
        <v>0</v>
      </c>
      <c r="C4208" s="33">
        <v>9054</v>
      </c>
      <c r="D4208" s="2">
        <v>1410</v>
      </c>
      <c r="E4208" s="2" t="s">
        <v>12194</v>
      </c>
      <c r="F4208" s="3" t="s">
        <v>14207</v>
      </c>
      <c r="H4208" s="3" t="s">
        <v>713</v>
      </c>
      <c r="I4208" s="3" t="s">
        <v>575</v>
      </c>
      <c r="K4208" s="2">
        <v>20</v>
      </c>
      <c r="L4208" s="2">
        <v>4</v>
      </c>
      <c r="M4208" s="3" t="s">
        <v>198</v>
      </c>
      <c r="N4208" s="3" t="s">
        <v>636</v>
      </c>
      <c r="O4208" s="3" t="s">
        <v>4696</v>
      </c>
      <c r="P4208" s="3" t="s">
        <v>4697</v>
      </c>
      <c r="Q4208" s="30" t="str">
        <f t="shared" si="65"/>
        <v>MAX : 36.75
TARGET : 36.50
MIN : 36.25</v>
      </c>
    </row>
    <row r="4209" spans="2:17" ht="41.4" x14ac:dyDescent="0.3">
      <c r="B4209">
        <v>0</v>
      </c>
      <c r="C4209" s="33">
        <v>9054</v>
      </c>
      <c r="D4209" s="2">
        <v>1410</v>
      </c>
      <c r="E4209" s="2" t="s">
        <v>12194</v>
      </c>
      <c r="F4209" s="3" t="s">
        <v>14207</v>
      </c>
      <c r="H4209" s="3" t="s">
        <v>713</v>
      </c>
      <c r="I4209" s="3" t="s">
        <v>575</v>
      </c>
      <c r="K4209" s="2">
        <v>20</v>
      </c>
      <c r="L4209" s="2">
        <v>5</v>
      </c>
      <c r="M4209" s="3" t="s">
        <v>4698</v>
      </c>
      <c r="N4209" s="3" t="s">
        <v>4699</v>
      </c>
      <c r="O4209" s="3" t="s">
        <v>149</v>
      </c>
      <c r="P4209" s="3" t="s">
        <v>4700</v>
      </c>
      <c r="Q4209" s="30" t="str">
        <f t="shared" si="65"/>
        <v>MAX : 12.38
TARGET : 12.00
MIN : 11.62</v>
      </c>
    </row>
    <row r="4210" spans="2:17" ht="41.4" x14ac:dyDescent="0.3">
      <c r="B4210">
        <v>0</v>
      </c>
      <c r="C4210" s="33">
        <v>9054</v>
      </c>
      <c r="D4210" s="2">
        <v>1410</v>
      </c>
      <c r="E4210" s="2" t="s">
        <v>12194</v>
      </c>
      <c r="F4210" s="3" t="s">
        <v>14207</v>
      </c>
      <c r="H4210" s="3" t="s">
        <v>713</v>
      </c>
      <c r="I4210" s="3" t="s">
        <v>575</v>
      </c>
      <c r="K4210" s="2">
        <v>20</v>
      </c>
      <c r="L4210" s="2">
        <v>6</v>
      </c>
      <c r="M4210" s="3" t="s">
        <v>4701</v>
      </c>
      <c r="N4210" s="3" t="s">
        <v>4702</v>
      </c>
      <c r="O4210" s="3" t="s">
        <v>4703</v>
      </c>
      <c r="P4210" s="3" t="s">
        <v>4704</v>
      </c>
      <c r="Q4210" s="30" t="str">
        <f t="shared" si="65"/>
        <v>MAX : 18.63
TARGET : 18.25
MIN : 17.87</v>
      </c>
    </row>
    <row r="4211" spans="2:17" ht="41.4" x14ac:dyDescent="0.3">
      <c r="B4211">
        <v>0</v>
      </c>
      <c r="C4211" s="33">
        <v>9054</v>
      </c>
      <c r="D4211" s="2">
        <v>1410</v>
      </c>
      <c r="E4211" s="2" t="s">
        <v>12194</v>
      </c>
      <c r="F4211" s="3" t="s">
        <v>14207</v>
      </c>
      <c r="H4211" s="3" t="s">
        <v>713</v>
      </c>
      <c r="I4211" s="3" t="s">
        <v>575</v>
      </c>
      <c r="K4211" s="2">
        <v>20</v>
      </c>
      <c r="L4211" s="2">
        <v>7</v>
      </c>
      <c r="M4211" s="3" t="s">
        <v>4705</v>
      </c>
      <c r="N4211" s="3" t="s">
        <v>4706</v>
      </c>
      <c r="O4211" s="3" t="s">
        <v>1196</v>
      </c>
      <c r="P4211" s="3" t="s">
        <v>4707</v>
      </c>
      <c r="Q4211" s="30" t="str">
        <f t="shared" si="65"/>
        <v>MAX : 24.88
TARGET : 24.50
MIN : 24.12</v>
      </c>
    </row>
    <row r="4212" spans="2:17" ht="41.4" x14ac:dyDescent="0.3">
      <c r="B4212">
        <v>0</v>
      </c>
      <c r="C4212" s="33">
        <v>9054</v>
      </c>
      <c r="D4212" s="2">
        <v>1410</v>
      </c>
      <c r="E4212" s="2" t="s">
        <v>12194</v>
      </c>
      <c r="F4212" s="3" t="s">
        <v>14207</v>
      </c>
      <c r="H4212" s="3" t="s">
        <v>713</v>
      </c>
      <c r="I4212" s="3" t="s">
        <v>575</v>
      </c>
      <c r="K4212" s="2">
        <v>20</v>
      </c>
      <c r="L4212" s="2">
        <v>8</v>
      </c>
      <c r="M4212" s="3" t="s">
        <v>4708</v>
      </c>
      <c r="N4212" s="3" t="s">
        <v>13</v>
      </c>
      <c r="O4212" s="3" t="s">
        <v>14</v>
      </c>
      <c r="Q4212" s="30" t="str">
        <f t="shared" si="65"/>
        <v>MAX : 
TARGET : Yes(Pass)
MIN : No(Fail)</v>
      </c>
    </row>
    <row r="4213" spans="2:17" ht="41.4" x14ac:dyDescent="0.3">
      <c r="B4213">
        <v>1</v>
      </c>
      <c r="C4213" s="33">
        <v>8956</v>
      </c>
      <c r="D4213" s="2">
        <v>1352</v>
      </c>
      <c r="E4213" s="2" t="s">
        <v>11613</v>
      </c>
      <c r="F4213" s="3" t="s">
        <v>14207</v>
      </c>
      <c r="H4213" s="3" t="s">
        <v>810</v>
      </c>
      <c r="K4213" s="2">
        <v>20</v>
      </c>
      <c r="L4213" s="2">
        <v>1</v>
      </c>
      <c r="M4213" s="3" t="s">
        <v>194</v>
      </c>
      <c r="N4213" s="3" t="s">
        <v>1921</v>
      </c>
      <c r="O4213" s="3" t="s">
        <v>1359</v>
      </c>
      <c r="P4213" s="3" t="s">
        <v>3204</v>
      </c>
      <c r="Q4213" s="30" t="str">
        <f t="shared" si="65"/>
        <v>MAX : 41
TARGET : 40
MIN : 39</v>
      </c>
    </row>
    <row r="4214" spans="2:17" ht="41.4" x14ac:dyDescent="0.3">
      <c r="B4214">
        <v>1</v>
      </c>
      <c r="C4214" s="33">
        <v>8957</v>
      </c>
      <c r="D4214" s="2">
        <v>2018</v>
      </c>
      <c r="E4214" s="2" t="s">
        <v>11619</v>
      </c>
      <c r="F4214" s="3" t="s">
        <v>14206</v>
      </c>
      <c r="H4214" s="3" t="s">
        <v>1903</v>
      </c>
      <c r="K4214" s="2">
        <v>10</v>
      </c>
      <c r="L4214" s="2">
        <v>1</v>
      </c>
      <c r="M4214" s="3" t="s">
        <v>3991</v>
      </c>
      <c r="N4214" s="3" t="s">
        <v>13</v>
      </c>
      <c r="O4214" s="3" t="s">
        <v>14</v>
      </c>
      <c r="Q4214" s="30" t="str">
        <f t="shared" si="65"/>
        <v>MAX : 
TARGET : Yes(Pass)
MIN : No(Fail)</v>
      </c>
    </row>
    <row r="4215" spans="2:17" ht="41.4" x14ac:dyDescent="0.3">
      <c r="B4215">
        <v>0</v>
      </c>
      <c r="C4215" s="33">
        <v>9051</v>
      </c>
      <c r="D4215" s="2">
        <v>1408</v>
      </c>
      <c r="E4215" s="2" t="s">
        <v>12098</v>
      </c>
      <c r="F4215" s="29" t="s">
        <v>14250</v>
      </c>
      <c r="H4215" s="3" t="s">
        <v>504</v>
      </c>
      <c r="K4215" s="2">
        <v>30</v>
      </c>
      <c r="L4215" s="2">
        <v>1</v>
      </c>
      <c r="M4215" s="3" t="s">
        <v>194</v>
      </c>
      <c r="N4215" s="3" t="s">
        <v>4561</v>
      </c>
      <c r="O4215" s="3" t="s">
        <v>1098</v>
      </c>
      <c r="P4215" s="3" t="s">
        <v>4562</v>
      </c>
      <c r="Q4215" s="30" t="str">
        <f t="shared" si="65"/>
        <v>MAX : 10.13
TARGET : 10.00
MIN : 9.87</v>
      </c>
    </row>
    <row r="4216" spans="2:17" ht="41.4" x14ac:dyDescent="0.3">
      <c r="B4216">
        <v>0</v>
      </c>
      <c r="C4216" s="33">
        <v>9051</v>
      </c>
      <c r="D4216" s="2">
        <v>1408</v>
      </c>
      <c r="E4216" s="2" t="s">
        <v>12098</v>
      </c>
      <c r="F4216" s="29" t="s">
        <v>14250</v>
      </c>
      <c r="H4216" s="3" t="s">
        <v>504</v>
      </c>
      <c r="K4216" s="2">
        <v>30</v>
      </c>
      <c r="L4216" s="2">
        <v>2</v>
      </c>
      <c r="M4216" s="3" t="s">
        <v>198</v>
      </c>
      <c r="N4216" s="3" t="s">
        <v>4563</v>
      </c>
      <c r="O4216" s="3" t="s">
        <v>1230</v>
      </c>
      <c r="P4216" s="3" t="s">
        <v>4564</v>
      </c>
      <c r="Q4216" s="30" t="str">
        <f t="shared" si="65"/>
        <v>MAX : 8.13
TARGET : 8.00
MIN : 7.87</v>
      </c>
    </row>
    <row r="4217" spans="2:17" ht="41.4" x14ac:dyDescent="0.3">
      <c r="B4217">
        <v>0</v>
      </c>
      <c r="C4217" s="33">
        <v>9051</v>
      </c>
      <c r="D4217" s="2">
        <v>1408</v>
      </c>
      <c r="E4217" s="2" t="s">
        <v>12098</v>
      </c>
      <c r="F4217" s="29" t="s">
        <v>14250</v>
      </c>
      <c r="H4217" s="3" t="s">
        <v>504</v>
      </c>
      <c r="K4217" s="2">
        <v>30</v>
      </c>
      <c r="L4217" s="2">
        <v>3</v>
      </c>
      <c r="M4217" s="3" t="s">
        <v>4565</v>
      </c>
      <c r="N4217" s="3" t="s">
        <v>344</v>
      </c>
      <c r="O4217" s="3" t="s">
        <v>28</v>
      </c>
      <c r="P4217" s="3" t="s">
        <v>345</v>
      </c>
      <c r="Q4217" s="30" t="str">
        <f t="shared" si="65"/>
        <v>MAX : 1.75
TARGET : 1.50
MIN : 1.25</v>
      </c>
    </row>
    <row r="4218" spans="2:17" ht="41.4" x14ac:dyDescent="0.3">
      <c r="B4218">
        <v>0</v>
      </c>
      <c r="C4218" s="33">
        <v>9051</v>
      </c>
      <c r="D4218" s="2">
        <v>1408</v>
      </c>
      <c r="E4218" s="2" t="s">
        <v>12098</v>
      </c>
      <c r="F4218" s="29" t="s">
        <v>14250</v>
      </c>
      <c r="H4218" s="3" t="s">
        <v>504</v>
      </c>
      <c r="K4218" s="2">
        <v>30</v>
      </c>
      <c r="L4218" s="2">
        <v>4</v>
      </c>
      <c r="M4218" s="3" t="s">
        <v>4660</v>
      </c>
      <c r="N4218" s="3" t="s">
        <v>3997</v>
      </c>
      <c r="O4218" s="3" t="s">
        <v>424</v>
      </c>
      <c r="P4218" s="3" t="s">
        <v>247</v>
      </c>
      <c r="Q4218" s="30" t="str">
        <f t="shared" si="65"/>
        <v>MAX : 0.38
TARGET : 0.25
MIN : 0.12</v>
      </c>
    </row>
    <row r="4219" spans="2:17" ht="41.4" x14ac:dyDescent="0.3">
      <c r="B4219">
        <v>0</v>
      </c>
      <c r="C4219" s="33">
        <v>9051</v>
      </c>
      <c r="D4219" s="2">
        <v>1408</v>
      </c>
      <c r="E4219" s="2" t="s">
        <v>12098</v>
      </c>
      <c r="F4219" s="29" t="s">
        <v>14250</v>
      </c>
      <c r="H4219" s="3" t="s">
        <v>504</v>
      </c>
      <c r="K4219" s="2">
        <v>30</v>
      </c>
      <c r="L4219" s="2">
        <v>5</v>
      </c>
      <c r="M4219" s="3" t="s">
        <v>4661</v>
      </c>
      <c r="N4219" s="3" t="s">
        <v>2453</v>
      </c>
      <c r="O4219" s="3" t="s">
        <v>253</v>
      </c>
      <c r="P4219" s="3" t="s">
        <v>3785</v>
      </c>
      <c r="Q4219" s="30" t="str">
        <f t="shared" si="65"/>
        <v>MAX : 4.13
TARGET : 4.00
MIN : 3.87</v>
      </c>
    </row>
    <row r="4220" spans="2:17" ht="41.4" x14ac:dyDescent="0.3">
      <c r="B4220">
        <v>0</v>
      </c>
      <c r="C4220" s="33">
        <v>9051</v>
      </c>
      <c r="D4220" s="2">
        <v>1408</v>
      </c>
      <c r="E4220" s="2" t="s">
        <v>12098</v>
      </c>
      <c r="F4220" s="29" t="s">
        <v>14250</v>
      </c>
      <c r="H4220" s="3" t="s">
        <v>504</v>
      </c>
      <c r="K4220" s="2">
        <v>30</v>
      </c>
      <c r="L4220" s="2">
        <v>7</v>
      </c>
      <c r="M4220" s="3" t="s">
        <v>4568</v>
      </c>
      <c r="N4220" s="3" t="s">
        <v>13</v>
      </c>
      <c r="O4220" s="3" t="s">
        <v>14</v>
      </c>
      <c r="Q4220" s="30" t="str">
        <f t="shared" si="65"/>
        <v>MAX : 
TARGET : Yes(Pass)
MIN : No(Fail)</v>
      </c>
    </row>
    <row r="4221" spans="2:17" ht="41.4" x14ac:dyDescent="0.3">
      <c r="B4221">
        <v>0</v>
      </c>
      <c r="C4221" s="33">
        <v>9051</v>
      </c>
      <c r="D4221" s="2">
        <v>1408</v>
      </c>
      <c r="E4221" s="2" t="s">
        <v>12098</v>
      </c>
      <c r="F4221" s="29" t="s">
        <v>14250</v>
      </c>
      <c r="H4221" s="3" t="s">
        <v>504</v>
      </c>
      <c r="K4221" s="2">
        <v>30</v>
      </c>
      <c r="L4221" s="2">
        <v>8</v>
      </c>
      <c r="M4221" s="3" t="s">
        <v>4569</v>
      </c>
      <c r="N4221" s="3" t="s">
        <v>13</v>
      </c>
      <c r="O4221" s="3" t="s">
        <v>14</v>
      </c>
      <c r="Q4221" s="30" t="str">
        <f t="shared" si="65"/>
        <v>MAX : 
TARGET : Yes(Pass)
MIN : No(Fail)</v>
      </c>
    </row>
    <row r="4222" spans="2:17" ht="41.4" x14ac:dyDescent="0.3">
      <c r="B4222">
        <v>0</v>
      </c>
      <c r="C4222" s="33">
        <v>9051</v>
      </c>
      <c r="D4222" s="2">
        <v>1408</v>
      </c>
      <c r="E4222" s="2" t="s">
        <v>12098</v>
      </c>
      <c r="F4222" s="29" t="s">
        <v>14250</v>
      </c>
      <c r="H4222" s="3" t="s">
        <v>504</v>
      </c>
      <c r="K4222" s="2">
        <v>30</v>
      </c>
      <c r="L4222" s="2">
        <v>6</v>
      </c>
      <c r="M4222" s="3" t="s">
        <v>4662</v>
      </c>
      <c r="N4222" s="3" t="s">
        <v>13</v>
      </c>
      <c r="O4222" s="3" t="s">
        <v>14</v>
      </c>
      <c r="Q4222" s="30" t="str">
        <f t="shared" si="65"/>
        <v>MAX : 
TARGET : Yes(Pass)
MIN : No(Fail)</v>
      </c>
    </row>
    <row r="4223" spans="2:17" ht="41.4" x14ac:dyDescent="0.3">
      <c r="B4223">
        <v>1</v>
      </c>
      <c r="C4223" s="33">
        <v>8957</v>
      </c>
      <c r="D4223" s="2">
        <v>2018</v>
      </c>
      <c r="E4223" s="2" t="s">
        <v>11619</v>
      </c>
      <c r="F4223" s="3" t="s">
        <v>14206</v>
      </c>
      <c r="H4223" s="3" t="s">
        <v>1903</v>
      </c>
      <c r="K4223" s="2">
        <v>10</v>
      </c>
      <c r="L4223" s="2">
        <v>2</v>
      </c>
      <c r="M4223" s="3" t="s">
        <v>3990</v>
      </c>
      <c r="N4223" s="3" t="s">
        <v>13</v>
      </c>
      <c r="O4223" s="3" t="s">
        <v>14</v>
      </c>
      <c r="Q4223" s="30" t="str">
        <f t="shared" si="65"/>
        <v>MAX : 
TARGET : Yes(Pass)
MIN : No(Fail)</v>
      </c>
    </row>
    <row r="4224" spans="2:17" ht="41.4" x14ac:dyDescent="0.3">
      <c r="B4224">
        <v>1</v>
      </c>
      <c r="C4224" s="33">
        <v>8958</v>
      </c>
      <c r="D4224" s="2">
        <v>2019</v>
      </c>
      <c r="E4224" s="2" t="s">
        <v>11624</v>
      </c>
      <c r="F4224" s="3" t="s">
        <v>14206</v>
      </c>
      <c r="H4224" s="3" t="s">
        <v>1903</v>
      </c>
      <c r="K4224" s="2">
        <v>10</v>
      </c>
      <c r="L4224" s="2">
        <v>2</v>
      </c>
      <c r="M4224" s="3" t="s">
        <v>325</v>
      </c>
      <c r="N4224" s="3" t="s">
        <v>13</v>
      </c>
      <c r="O4224" s="3" t="s">
        <v>14</v>
      </c>
      <c r="Q4224" s="30" t="str">
        <f t="shared" si="65"/>
        <v>MAX : 
TARGET : Yes(Pass)
MIN : No(Fail)</v>
      </c>
    </row>
    <row r="4225" spans="2:17" ht="41.4" x14ac:dyDescent="0.3">
      <c r="B4225">
        <v>0</v>
      </c>
      <c r="C4225" s="33">
        <v>9056</v>
      </c>
      <c r="D4225" s="2">
        <v>1411</v>
      </c>
      <c r="E4225" s="2" t="s">
        <v>12210</v>
      </c>
      <c r="F4225" s="3" t="s">
        <v>14207</v>
      </c>
      <c r="H4225" s="3" t="s">
        <v>648</v>
      </c>
      <c r="K4225" s="2">
        <v>20</v>
      </c>
      <c r="L4225" s="2">
        <v>7</v>
      </c>
      <c r="M4225" s="3" t="s">
        <v>3592</v>
      </c>
      <c r="N4225" s="3" t="s">
        <v>13</v>
      </c>
      <c r="O4225" s="3" t="s">
        <v>14</v>
      </c>
      <c r="Q4225" s="30" t="str">
        <f t="shared" si="65"/>
        <v>MAX : 
TARGET : Yes(Pass)
MIN : No(Fail)</v>
      </c>
    </row>
    <row r="4226" spans="2:17" ht="41.4" x14ac:dyDescent="0.3">
      <c r="B4226">
        <v>0</v>
      </c>
      <c r="C4226" s="33">
        <v>9056</v>
      </c>
      <c r="D4226" s="2">
        <v>1411</v>
      </c>
      <c r="E4226" s="2" t="s">
        <v>12210</v>
      </c>
      <c r="F4226" s="3" t="s">
        <v>14207</v>
      </c>
      <c r="H4226" s="3" t="s">
        <v>648</v>
      </c>
      <c r="K4226" s="2">
        <v>20</v>
      </c>
      <c r="L4226" s="2">
        <v>8</v>
      </c>
      <c r="M4226" s="3" t="s">
        <v>78</v>
      </c>
      <c r="N4226" s="3" t="s">
        <v>13</v>
      </c>
      <c r="O4226" s="3" t="s">
        <v>14</v>
      </c>
      <c r="Q4226" s="30" t="str">
        <f t="shared" ref="Q4226:Q4289" si="66">"MAX : " &amp; P4226 &amp; CHAR(10) &amp; "TARGET : " &amp; O4226 &amp; CHAR(10) &amp; "MIN : " &amp; N4226</f>
        <v>MAX : 
TARGET : Yes(Pass)
MIN : No(Fail)</v>
      </c>
    </row>
    <row r="4227" spans="2:17" ht="41.4" x14ac:dyDescent="0.3">
      <c r="B4227">
        <v>0</v>
      </c>
      <c r="C4227" s="33">
        <v>9056</v>
      </c>
      <c r="D4227" s="2">
        <v>1411</v>
      </c>
      <c r="E4227" s="2" t="s">
        <v>12210</v>
      </c>
      <c r="F4227" s="3" t="s">
        <v>14207</v>
      </c>
      <c r="H4227" s="3" t="s">
        <v>648</v>
      </c>
      <c r="K4227" s="2">
        <v>20</v>
      </c>
      <c r="L4227" s="2">
        <v>9</v>
      </c>
      <c r="M4227" s="3" t="s">
        <v>3593</v>
      </c>
      <c r="N4227" s="3" t="s">
        <v>13</v>
      </c>
      <c r="O4227" s="3" t="s">
        <v>14</v>
      </c>
      <c r="Q4227" s="30" t="str">
        <f t="shared" si="66"/>
        <v>MAX : 
TARGET : Yes(Pass)
MIN : No(Fail)</v>
      </c>
    </row>
    <row r="4228" spans="2:17" ht="41.4" x14ac:dyDescent="0.3">
      <c r="B4228">
        <v>0</v>
      </c>
      <c r="C4228" s="33">
        <v>9056</v>
      </c>
      <c r="D4228" s="2">
        <v>1411</v>
      </c>
      <c r="E4228" s="2" t="s">
        <v>12210</v>
      </c>
      <c r="F4228" s="3" t="s">
        <v>14207</v>
      </c>
      <c r="H4228" s="3" t="s">
        <v>648</v>
      </c>
      <c r="K4228" s="2">
        <v>20</v>
      </c>
      <c r="L4228" s="2">
        <v>4</v>
      </c>
      <c r="M4228" s="3" t="s">
        <v>4609</v>
      </c>
      <c r="N4228" s="3" t="s">
        <v>4714</v>
      </c>
      <c r="O4228" s="3" t="s">
        <v>4715</v>
      </c>
      <c r="P4228" s="3" t="s">
        <v>4716</v>
      </c>
      <c r="Q4228" s="30" t="str">
        <f t="shared" si="66"/>
        <v>MAX : 44.8
TARGET : 44.0
MIN : 43.2</v>
      </c>
    </row>
    <row r="4229" spans="2:17" ht="41.4" x14ac:dyDescent="0.3">
      <c r="B4229">
        <v>0</v>
      </c>
      <c r="C4229" s="33">
        <v>9056</v>
      </c>
      <c r="D4229" s="2">
        <v>1411</v>
      </c>
      <c r="E4229" s="2" t="s">
        <v>12210</v>
      </c>
      <c r="F4229" s="3" t="s">
        <v>14207</v>
      </c>
      <c r="H4229" s="3" t="s">
        <v>648</v>
      </c>
      <c r="K4229" s="2">
        <v>20</v>
      </c>
      <c r="L4229" s="2">
        <v>6</v>
      </c>
      <c r="M4229" s="3" t="s">
        <v>625</v>
      </c>
      <c r="N4229" s="3" t="s">
        <v>4714</v>
      </c>
      <c r="O4229" s="3" t="s">
        <v>4715</v>
      </c>
      <c r="P4229" s="3" t="s">
        <v>4716</v>
      </c>
      <c r="Q4229" s="30" t="str">
        <f t="shared" si="66"/>
        <v>MAX : 44.8
TARGET : 44.0
MIN : 43.2</v>
      </c>
    </row>
    <row r="4230" spans="2:17" ht="41.4" x14ac:dyDescent="0.3">
      <c r="B4230">
        <v>0</v>
      </c>
      <c r="C4230" s="33">
        <v>9056</v>
      </c>
      <c r="D4230" s="2">
        <v>1411</v>
      </c>
      <c r="E4230" s="2" t="s">
        <v>12210</v>
      </c>
      <c r="F4230" s="3" t="s">
        <v>14207</v>
      </c>
      <c r="H4230" s="3" t="s">
        <v>648</v>
      </c>
      <c r="K4230" s="2">
        <v>20</v>
      </c>
      <c r="L4230" s="2">
        <v>3</v>
      </c>
      <c r="M4230" s="3" t="s">
        <v>194</v>
      </c>
      <c r="N4230" s="3" t="s">
        <v>4717</v>
      </c>
      <c r="O4230" s="3" t="s">
        <v>3829</v>
      </c>
      <c r="P4230" s="3" t="s">
        <v>4718</v>
      </c>
      <c r="Q4230" s="30" t="str">
        <f t="shared" si="66"/>
        <v>MAX : 38.9
TARGET : 38.1
MIN : 37.3</v>
      </c>
    </row>
    <row r="4231" spans="2:17" ht="41.4" x14ac:dyDescent="0.3">
      <c r="B4231">
        <v>0</v>
      </c>
      <c r="C4231" s="33">
        <v>9056</v>
      </c>
      <c r="D4231" s="2">
        <v>1411</v>
      </c>
      <c r="E4231" s="2" t="s">
        <v>12210</v>
      </c>
      <c r="F4231" s="3" t="s">
        <v>14207</v>
      </c>
      <c r="H4231" s="3" t="s">
        <v>648</v>
      </c>
      <c r="K4231" s="2">
        <v>20</v>
      </c>
      <c r="L4231" s="2">
        <v>5</v>
      </c>
      <c r="M4231" s="3" t="s">
        <v>198</v>
      </c>
      <c r="N4231" s="3" t="s">
        <v>4717</v>
      </c>
      <c r="O4231" s="3" t="s">
        <v>3829</v>
      </c>
      <c r="P4231" s="3" t="s">
        <v>4718</v>
      </c>
      <c r="Q4231" s="30" t="str">
        <f t="shared" si="66"/>
        <v>MAX : 38.9
TARGET : 38.1
MIN : 37.3</v>
      </c>
    </row>
    <row r="4232" spans="2:17" ht="41.4" x14ac:dyDescent="0.3">
      <c r="B4232">
        <v>1</v>
      </c>
      <c r="C4232" s="33">
        <v>8958</v>
      </c>
      <c r="D4232" s="2">
        <v>2019</v>
      </c>
      <c r="E4232" s="2" t="s">
        <v>11624</v>
      </c>
      <c r="F4232" s="3" t="s">
        <v>14206</v>
      </c>
      <c r="H4232" s="3" t="s">
        <v>1903</v>
      </c>
      <c r="K4232" s="2">
        <v>10</v>
      </c>
      <c r="L4232" s="2">
        <v>1</v>
      </c>
      <c r="M4232" s="3" t="s">
        <v>99</v>
      </c>
      <c r="N4232" s="3" t="s">
        <v>4193</v>
      </c>
      <c r="O4232" s="3" t="s">
        <v>1211</v>
      </c>
      <c r="P4232" s="3" t="s">
        <v>4194</v>
      </c>
      <c r="Q4232" s="30" t="str">
        <f t="shared" si="66"/>
        <v>MAX : 6.53
TARGET : 6.50
MIN : 6.47</v>
      </c>
    </row>
    <row r="4233" spans="2:17" ht="41.4" x14ac:dyDescent="0.3">
      <c r="B4233">
        <v>1</v>
      </c>
      <c r="C4233" s="33">
        <v>8959</v>
      </c>
      <c r="D4233" s="2">
        <v>1353</v>
      </c>
      <c r="E4233" s="2" t="s">
        <v>11630</v>
      </c>
      <c r="F4233" s="3" t="s">
        <v>14206</v>
      </c>
      <c r="H4233" s="3" t="s">
        <v>648</v>
      </c>
      <c r="K4233" s="2">
        <v>20</v>
      </c>
      <c r="L4233" s="2">
        <v>2</v>
      </c>
      <c r="M4233" s="3" t="s">
        <v>198</v>
      </c>
      <c r="N4233" s="3" t="s">
        <v>2202</v>
      </c>
      <c r="O4233" s="3" t="s">
        <v>2537</v>
      </c>
      <c r="P4233" s="3" t="s">
        <v>626</v>
      </c>
      <c r="Q4233" s="30" t="str">
        <f t="shared" si="66"/>
        <v>MAX : 1.87
TARGET : 1.86
MIN : 1.85</v>
      </c>
    </row>
    <row r="4234" spans="2:17" ht="41.4" x14ac:dyDescent="0.3">
      <c r="B4234">
        <v>0</v>
      </c>
      <c r="C4234" s="33">
        <v>9057</v>
      </c>
      <c r="D4234" s="2">
        <v>1412</v>
      </c>
      <c r="E4234" s="2" t="s">
        <v>12216</v>
      </c>
      <c r="F4234" s="3" t="s">
        <v>14206</v>
      </c>
      <c r="H4234" s="3" t="s">
        <v>600</v>
      </c>
      <c r="K4234" s="2">
        <v>10</v>
      </c>
      <c r="L4234" s="2">
        <v>3</v>
      </c>
      <c r="M4234" s="3" t="s">
        <v>4721</v>
      </c>
      <c r="N4234" s="3" t="s">
        <v>420</v>
      </c>
      <c r="O4234" s="3" t="s">
        <v>272</v>
      </c>
      <c r="P4234" s="3" t="s">
        <v>414</v>
      </c>
      <c r="Q4234" s="30" t="str">
        <f t="shared" si="66"/>
        <v>MAX : 1.03
TARGET : 1.00
MIN : 0.97</v>
      </c>
    </row>
    <row r="4235" spans="2:17" ht="41.4" x14ac:dyDescent="0.3">
      <c r="B4235">
        <v>0</v>
      </c>
      <c r="C4235" s="33">
        <v>9057</v>
      </c>
      <c r="D4235" s="2">
        <v>1412</v>
      </c>
      <c r="E4235" s="2" t="s">
        <v>12216</v>
      </c>
      <c r="F4235" s="3" t="s">
        <v>14206</v>
      </c>
      <c r="H4235" s="3" t="s">
        <v>600</v>
      </c>
      <c r="K4235" s="2">
        <v>10</v>
      </c>
      <c r="L4235" s="2">
        <v>4</v>
      </c>
      <c r="M4235" s="3" t="s">
        <v>4722</v>
      </c>
      <c r="N4235" s="3" t="s">
        <v>13</v>
      </c>
      <c r="O4235" s="3" t="s">
        <v>14</v>
      </c>
      <c r="Q4235" s="30" t="str">
        <f t="shared" si="66"/>
        <v>MAX : 
TARGET : Yes(Pass)
MIN : No(Fail)</v>
      </c>
    </row>
    <row r="4236" spans="2:17" ht="41.4" x14ac:dyDescent="0.3">
      <c r="B4236">
        <v>1</v>
      </c>
      <c r="C4236" s="33">
        <v>8959</v>
      </c>
      <c r="D4236" s="2">
        <v>1353</v>
      </c>
      <c r="E4236" s="2" t="s">
        <v>11630</v>
      </c>
      <c r="F4236" s="3" t="s">
        <v>14206</v>
      </c>
      <c r="H4236" s="3" t="s">
        <v>648</v>
      </c>
      <c r="K4236" s="2">
        <v>20</v>
      </c>
      <c r="L4236" s="2">
        <v>1</v>
      </c>
      <c r="M4236" s="3" t="s">
        <v>194</v>
      </c>
      <c r="N4236" s="3" t="s">
        <v>1717</v>
      </c>
      <c r="O4236" s="3" t="s">
        <v>271</v>
      </c>
      <c r="P4236" s="3" t="s">
        <v>4263</v>
      </c>
      <c r="Q4236" s="30" t="str">
        <f t="shared" si="66"/>
        <v>MAX : 0.89
TARGET : 0.88
MIN : 0.87</v>
      </c>
    </row>
    <row r="4237" spans="2:17" ht="41.4" x14ac:dyDescent="0.3">
      <c r="B4237">
        <v>1</v>
      </c>
      <c r="C4237" s="33">
        <v>8960</v>
      </c>
      <c r="D4237" s="2">
        <v>1354</v>
      </c>
      <c r="E4237" s="2" t="s">
        <v>11636</v>
      </c>
      <c r="F4237" s="3" t="s">
        <v>14206</v>
      </c>
      <c r="H4237" s="3" t="s">
        <v>648</v>
      </c>
      <c r="K4237" s="2">
        <v>20</v>
      </c>
      <c r="L4237" s="2">
        <v>2</v>
      </c>
      <c r="M4237" s="3" t="s">
        <v>198</v>
      </c>
      <c r="N4237" s="3" t="s">
        <v>418</v>
      </c>
      <c r="O4237" s="3" t="s">
        <v>1895</v>
      </c>
      <c r="P4237" s="3" t="s">
        <v>2078</v>
      </c>
      <c r="Q4237" s="30" t="str">
        <f t="shared" si="66"/>
        <v>MAX : 1.24
TARGET : 1.23
MIN : 1.22</v>
      </c>
    </row>
    <row r="4238" spans="2:17" ht="41.4" x14ac:dyDescent="0.3">
      <c r="B4238">
        <v>0</v>
      </c>
      <c r="C4238" s="33">
        <v>9058</v>
      </c>
      <c r="D4238" s="2">
        <v>1413</v>
      </c>
      <c r="E4238" s="2" t="s">
        <v>12224</v>
      </c>
      <c r="F4238" s="3" t="s">
        <v>14206</v>
      </c>
      <c r="H4238" s="3" t="s">
        <v>600</v>
      </c>
      <c r="K4238" s="2">
        <v>10</v>
      </c>
      <c r="L4238" s="2">
        <v>3</v>
      </c>
      <c r="M4238" s="3" t="s">
        <v>4721</v>
      </c>
      <c r="N4238" s="3" t="s">
        <v>420</v>
      </c>
      <c r="O4238" s="3" t="s">
        <v>272</v>
      </c>
      <c r="P4238" s="3" t="s">
        <v>414</v>
      </c>
      <c r="Q4238" s="30" t="str">
        <f t="shared" si="66"/>
        <v>MAX : 1.03
TARGET : 1.00
MIN : 0.97</v>
      </c>
    </row>
    <row r="4239" spans="2:17" ht="41.4" x14ac:dyDescent="0.3">
      <c r="B4239">
        <v>0</v>
      </c>
      <c r="C4239" s="33">
        <v>9058</v>
      </c>
      <c r="D4239" s="2">
        <v>1413</v>
      </c>
      <c r="E4239" s="2" t="s">
        <v>12224</v>
      </c>
      <c r="F4239" s="3" t="s">
        <v>14206</v>
      </c>
      <c r="H4239" s="3" t="s">
        <v>600</v>
      </c>
      <c r="K4239" s="2">
        <v>10</v>
      </c>
      <c r="L4239" s="2">
        <v>4</v>
      </c>
      <c r="M4239" s="3" t="s">
        <v>4722</v>
      </c>
      <c r="N4239" s="3" t="s">
        <v>13</v>
      </c>
      <c r="O4239" s="3" t="s">
        <v>14</v>
      </c>
      <c r="Q4239" s="30" t="str">
        <f t="shared" si="66"/>
        <v>MAX : 
TARGET : Yes(Pass)
MIN : No(Fail)</v>
      </c>
    </row>
    <row r="4240" spans="2:17" ht="41.4" x14ac:dyDescent="0.3">
      <c r="B4240">
        <v>1</v>
      </c>
      <c r="C4240" s="33">
        <v>8960</v>
      </c>
      <c r="D4240" s="2">
        <v>1354</v>
      </c>
      <c r="E4240" s="2" t="s">
        <v>11636</v>
      </c>
      <c r="F4240" s="3" t="s">
        <v>14206</v>
      </c>
      <c r="H4240" s="3" t="s">
        <v>648</v>
      </c>
      <c r="K4240" s="2">
        <v>20</v>
      </c>
      <c r="L4240" s="2">
        <v>1</v>
      </c>
      <c r="M4240" s="3" t="s">
        <v>194</v>
      </c>
      <c r="N4240" s="3" t="s">
        <v>1621</v>
      </c>
      <c r="O4240" s="3" t="s">
        <v>3235</v>
      </c>
      <c r="P4240" s="3" t="s">
        <v>420</v>
      </c>
      <c r="Q4240" s="30" t="str">
        <f t="shared" si="66"/>
        <v>MAX : 0.97
TARGET : 0.96
MIN : 0.95</v>
      </c>
    </row>
    <row r="4241" spans="2:18" ht="41.4" x14ac:dyDescent="0.3">
      <c r="B4241">
        <v>0</v>
      </c>
      <c r="C4241" s="33">
        <v>8930</v>
      </c>
      <c r="D4241" s="2">
        <v>2009</v>
      </c>
      <c r="E4241" s="2" t="s">
        <v>11493</v>
      </c>
      <c r="F4241" s="3" t="s">
        <v>14206</v>
      </c>
      <c r="H4241" s="3" t="s">
        <v>289</v>
      </c>
      <c r="K4241" s="2">
        <v>10</v>
      </c>
      <c r="L4241" s="2">
        <v>4</v>
      </c>
      <c r="M4241" s="3" t="s">
        <v>4414</v>
      </c>
      <c r="N4241" s="3" t="s">
        <v>13</v>
      </c>
      <c r="O4241" s="3" t="s">
        <v>14</v>
      </c>
      <c r="Q4241" s="30" t="str">
        <f t="shared" si="66"/>
        <v>MAX : 
TARGET : Yes(Pass)
MIN : No(Fail)</v>
      </c>
    </row>
    <row r="4242" spans="2:18" ht="41.4" x14ac:dyDescent="0.3">
      <c r="B4242">
        <v>1</v>
      </c>
      <c r="C4242" s="33">
        <v>8961</v>
      </c>
      <c r="D4242" s="2">
        <v>1355</v>
      </c>
      <c r="E4242" s="2" t="s">
        <v>11642</v>
      </c>
      <c r="F4242" s="3" t="s">
        <v>14206</v>
      </c>
      <c r="H4242" s="3" t="s">
        <v>3788</v>
      </c>
      <c r="K4242" s="2">
        <v>10</v>
      </c>
      <c r="L4242" s="2">
        <v>2</v>
      </c>
      <c r="M4242" s="3" t="s">
        <v>198</v>
      </c>
      <c r="N4242" s="3" t="s">
        <v>1815</v>
      </c>
      <c r="O4242" s="3" t="s">
        <v>2286</v>
      </c>
      <c r="P4242" s="3" t="s">
        <v>807</v>
      </c>
      <c r="Q4242" s="30" t="str">
        <f t="shared" si="66"/>
        <v>MAX : 0.70
TARGET : 0.69
MIN : 0.68</v>
      </c>
    </row>
    <row r="4243" spans="2:18" ht="41.4" x14ac:dyDescent="0.3">
      <c r="B4243">
        <v>1</v>
      </c>
      <c r="C4243" s="33">
        <v>8961</v>
      </c>
      <c r="D4243" s="2">
        <v>1355</v>
      </c>
      <c r="E4243" s="2" t="s">
        <v>11642</v>
      </c>
      <c r="F4243" s="3" t="s">
        <v>14206</v>
      </c>
      <c r="H4243" s="3" t="s">
        <v>3788</v>
      </c>
      <c r="K4243" s="2">
        <v>10</v>
      </c>
      <c r="L4243" s="2">
        <v>1</v>
      </c>
      <c r="M4243" s="3" t="s">
        <v>194</v>
      </c>
      <c r="N4243" s="3" t="s">
        <v>1621</v>
      </c>
      <c r="O4243" s="3" t="s">
        <v>3235</v>
      </c>
      <c r="P4243" s="3" t="s">
        <v>420</v>
      </c>
      <c r="Q4243" s="30" t="str">
        <f t="shared" si="66"/>
        <v>MAX : 0.97
TARGET : 0.96
MIN : 0.95</v>
      </c>
    </row>
    <row r="4244" spans="2:18" ht="41.4" x14ac:dyDescent="0.3">
      <c r="B4244">
        <v>0</v>
      </c>
      <c r="C4244" s="33">
        <v>8930</v>
      </c>
      <c r="D4244" s="2">
        <v>2009</v>
      </c>
      <c r="E4244" s="2" t="s">
        <v>11493</v>
      </c>
      <c r="F4244" s="3" t="s">
        <v>14206</v>
      </c>
      <c r="H4244" s="3" t="s">
        <v>289</v>
      </c>
      <c r="K4244" s="2">
        <v>10</v>
      </c>
      <c r="L4244" s="2">
        <v>3</v>
      </c>
      <c r="M4244" s="3" t="s">
        <v>3992</v>
      </c>
      <c r="N4244" s="3" t="s">
        <v>13</v>
      </c>
      <c r="O4244" s="3" t="s">
        <v>14</v>
      </c>
      <c r="Q4244" s="30" t="str">
        <f t="shared" si="66"/>
        <v>MAX : 
TARGET : Yes(Pass)
MIN : No(Fail)</v>
      </c>
    </row>
    <row r="4245" spans="2:18" ht="41.4" x14ac:dyDescent="0.3">
      <c r="B4245">
        <v>1</v>
      </c>
      <c r="C4245" s="33">
        <v>8962</v>
      </c>
      <c r="D4245" s="2">
        <v>1356</v>
      </c>
      <c r="E4245" s="2" t="s">
        <v>11649</v>
      </c>
      <c r="F4245" s="3" t="s">
        <v>14206</v>
      </c>
      <c r="H4245" s="3" t="s">
        <v>727</v>
      </c>
      <c r="K4245" s="2">
        <v>10</v>
      </c>
      <c r="L4245" s="2">
        <v>3</v>
      </c>
      <c r="M4245" s="3" t="s">
        <v>4232</v>
      </c>
      <c r="N4245" s="3" t="s">
        <v>13</v>
      </c>
      <c r="O4245" s="3" t="s">
        <v>14</v>
      </c>
      <c r="Q4245" s="30" t="str">
        <f t="shared" si="66"/>
        <v>MAX : 
TARGET : Yes(Pass)
MIN : No(Fail)</v>
      </c>
      <c r="R4245" s="3" t="s">
        <v>4231</v>
      </c>
    </row>
    <row r="4246" spans="2:18" ht="41.4" x14ac:dyDescent="0.3">
      <c r="B4246">
        <v>1</v>
      </c>
      <c r="C4246" s="33">
        <v>8962</v>
      </c>
      <c r="D4246" s="2">
        <v>1356</v>
      </c>
      <c r="E4246" s="2" t="s">
        <v>11649</v>
      </c>
      <c r="F4246" s="3" t="s">
        <v>14206</v>
      </c>
      <c r="H4246" s="3" t="s">
        <v>727</v>
      </c>
      <c r="K4246" s="2">
        <v>10</v>
      </c>
      <c r="L4246" s="2">
        <v>1</v>
      </c>
      <c r="M4246" s="3" t="s">
        <v>502</v>
      </c>
      <c r="N4246" s="3" t="s">
        <v>4228</v>
      </c>
      <c r="O4246" s="3" t="s">
        <v>4229</v>
      </c>
      <c r="P4246" s="3" t="s">
        <v>4230</v>
      </c>
      <c r="Q4246" s="30" t="str">
        <f t="shared" si="66"/>
        <v>MAX : 1.64
TARGET : 1.61
MIN : 1.58</v>
      </c>
      <c r="R4246" s="3" t="s">
        <v>4231</v>
      </c>
    </row>
    <row r="4247" spans="2:18" ht="41.4" x14ac:dyDescent="0.3">
      <c r="B4247">
        <v>0</v>
      </c>
      <c r="C4247" s="33">
        <v>8931</v>
      </c>
      <c r="D4247" s="2">
        <v>2010</v>
      </c>
      <c r="E4247" s="2" t="s">
        <v>11500</v>
      </c>
      <c r="F4247" s="3" t="s">
        <v>14206</v>
      </c>
      <c r="H4247" s="3" t="s">
        <v>289</v>
      </c>
      <c r="K4247" s="2">
        <v>20</v>
      </c>
      <c r="L4247" s="2">
        <v>3</v>
      </c>
      <c r="M4247" s="3" t="s">
        <v>5323</v>
      </c>
      <c r="N4247" s="3" t="s">
        <v>13</v>
      </c>
      <c r="O4247" s="3" t="s">
        <v>14</v>
      </c>
      <c r="Q4247" s="30" t="str">
        <f t="shared" si="66"/>
        <v>MAX : 
TARGET : Yes(Pass)
MIN : No(Fail)</v>
      </c>
    </row>
    <row r="4248" spans="2:18" ht="41.4" x14ac:dyDescent="0.3">
      <c r="B4248">
        <v>1</v>
      </c>
      <c r="C4248" s="33">
        <v>8962</v>
      </c>
      <c r="D4248" s="2">
        <v>1356</v>
      </c>
      <c r="E4248" s="2" t="s">
        <v>11649</v>
      </c>
      <c r="F4248" s="3" t="s">
        <v>14206</v>
      </c>
      <c r="H4248" s="3" t="s">
        <v>727</v>
      </c>
      <c r="K4248" s="2">
        <v>10</v>
      </c>
      <c r="L4248" s="2">
        <v>4</v>
      </c>
      <c r="M4248" s="3" t="s">
        <v>5689</v>
      </c>
      <c r="N4248" s="3" t="s">
        <v>13</v>
      </c>
      <c r="O4248" s="3" t="s">
        <v>14</v>
      </c>
      <c r="Q4248" s="30" t="str">
        <f t="shared" si="66"/>
        <v>MAX : 
TARGET : Yes(Pass)
MIN : No(Fail)</v>
      </c>
      <c r="R4248" s="3" t="s">
        <v>4231</v>
      </c>
    </row>
    <row r="4249" spans="2:18" ht="41.4" x14ac:dyDescent="0.3">
      <c r="B4249">
        <v>1</v>
      </c>
      <c r="C4249" s="33">
        <v>8963</v>
      </c>
      <c r="D4249" s="2">
        <v>1357</v>
      </c>
      <c r="E4249" s="2" t="s">
        <v>11657</v>
      </c>
      <c r="F4249" s="3" t="s">
        <v>14239</v>
      </c>
      <c r="H4249" s="3" t="s">
        <v>4215</v>
      </c>
      <c r="K4249" s="2">
        <v>20</v>
      </c>
      <c r="L4249" s="2">
        <v>2</v>
      </c>
      <c r="M4249" s="3" t="s">
        <v>198</v>
      </c>
      <c r="N4249" s="3" t="s">
        <v>4219</v>
      </c>
      <c r="O4249" s="3" t="s">
        <v>4220</v>
      </c>
      <c r="P4249" s="3" t="s">
        <v>4221</v>
      </c>
      <c r="Q4249" s="30" t="str">
        <f t="shared" si="66"/>
        <v>MAX : 20.36
TARGET : 19.60
MIN : 18.84</v>
      </c>
      <c r="R4249" s="3" t="s">
        <v>443</v>
      </c>
    </row>
    <row r="4250" spans="2:18" ht="41.4" x14ac:dyDescent="0.3">
      <c r="B4250">
        <v>1</v>
      </c>
      <c r="C4250" s="33">
        <v>8963</v>
      </c>
      <c r="D4250" s="2">
        <v>1357</v>
      </c>
      <c r="E4250" s="2" t="s">
        <v>11657</v>
      </c>
      <c r="F4250" s="3" t="s">
        <v>14239</v>
      </c>
      <c r="H4250" s="3" t="s">
        <v>4215</v>
      </c>
      <c r="K4250" s="2">
        <v>20</v>
      </c>
      <c r="L4250" s="2">
        <v>5</v>
      </c>
      <c r="M4250" s="3" t="s">
        <v>569</v>
      </c>
      <c r="N4250" s="3" t="s">
        <v>4333</v>
      </c>
      <c r="O4250" s="3" t="s">
        <v>4334</v>
      </c>
      <c r="P4250" s="3" t="s">
        <v>4335</v>
      </c>
      <c r="Q4250" s="30" t="str">
        <f t="shared" si="66"/>
        <v>MAX : 32.51
TARGET : 31.75
MIN : 30.99</v>
      </c>
      <c r="R4250" s="3" t="s">
        <v>443</v>
      </c>
    </row>
    <row r="4251" spans="2:18" ht="41.4" x14ac:dyDescent="0.3">
      <c r="B4251">
        <v>1</v>
      </c>
      <c r="C4251" s="33">
        <v>8963</v>
      </c>
      <c r="D4251" s="2">
        <v>1357</v>
      </c>
      <c r="E4251" s="2" t="s">
        <v>11657</v>
      </c>
      <c r="F4251" s="3" t="s">
        <v>14239</v>
      </c>
      <c r="H4251" s="3" t="s">
        <v>4215</v>
      </c>
      <c r="K4251" s="2">
        <v>20</v>
      </c>
      <c r="L4251" s="2">
        <v>1</v>
      </c>
      <c r="M4251" s="3" t="s">
        <v>194</v>
      </c>
      <c r="N4251" s="3" t="s">
        <v>4216</v>
      </c>
      <c r="O4251" s="3" t="s">
        <v>4217</v>
      </c>
      <c r="P4251" s="3" t="s">
        <v>4218</v>
      </c>
      <c r="Q4251" s="30" t="str">
        <f t="shared" si="66"/>
        <v>MAX : 25.76
TARGET : 25.00
MIN : 24.24</v>
      </c>
      <c r="R4251" s="3" t="s">
        <v>443</v>
      </c>
    </row>
    <row r="4252" spans="2:18" ht="41.4" x14ac:dyDescent="0.3">
      <c r="B4252">
        <v>1</v>
      </c>
      <c r="C4252" s="33">
        <v>8964</v>
      </c>
      <c r="D4252" s="2">
        <v>1358</v>
      </c>
      <c r="E4252" s="2" t="s">
        <v>11665</v>
      </c>
      <c r="F4252" s="3" t="s">
        <v>14207</v>
      </c>
      <c r="G4252" s="3" t="s">
        <v>4234</v>
      </c>
      <c r="H4252" s="3" t="s">
        <v>426</v>
      </c>
      <c r="I4252" s="3" t="s">
        <v>575</v>
      </c>
      <c r="K4252" s="2">
        <v>20</v>
      </c>
      <c r="L4252" s="2">
        <v>4</v>
      </c>
      <c r="M4252" s="3" t="s">
        <v>4237</v>
      </c>
      <c r="N4252" s="3" t="s">
        <v>13</v>
      </c>
      <c r="O4252" s="3" t="s">
        <v>14</v>
      </c>
      <c r="Q4252" s="30" t="str">
        <f t="shared" si="66"/>
        <v>MAX : 
TARGET : Yes(Pass)
MIN : No(Fail)</v>
      </c>
    </row>
    <row r="4253" spans="2:18" ht="41.4" x14ac:dyDescent="0.3">
      <c r="B4253">
        <v>1</v>
      </c>
      <c r="C4253" s="33">
        <v>8964</v>
      </c>
      <c r="D4253" s="2">
        <v>1358</v>
      </c>
      <c r="E4253" s="2" t="s">
        <v>11665</v>
      </c>
      <c r="F4253" s="3" t="s">
        <v>14207</v>
      </c>
      <c r="G4253" s="3" t="s">
        <v>4234</v>
      </c>
      <c r="H4253" s="3" t="s">
        <v>426</v>
      </c>
      <c r="I4253" s="3" t="s">
        <v>575</v>
      </c>
      <c r="K4253" s="2">
        <v>20</v>
      </c>
      <c r="L4253" s="2">
        <v>1</v>
      </c>
      <c r="M4253" s="3" t="s">
        <v>194</v>
      </c>
      <c r="N4253" s="3" t="s">
        <v>4235</v>
      </c>
      <c r="O4253" s="3" t="s">
        <v>594</v>
      </c>
      <c r="P4253" s="3" t="s">
        <v>4236</v>
      </c>
      <c r="Q4253" s="30" t="str">
        <f t="shared" si="66"/>
        <v>MAX : 41.76
TARGET : 41.00
MIN : 40.24</v>
      </c>
    </row>
    <row r="4254" spans="2:18" ht="41.4" x14ac:dyDescent="0.3">
      <c r="B4254">
        <v>0</v>
      </c>
      <c r="C4254" s="33">
        <v>8935</v>
      </c>
      <c r="D4254" s="2">
        <v>2011</v>
      </c>
      <c r="E4254" s="2" t="s">
        <v>11506</v>
      </c>
      <c r="F4254" s="3" t="s">
        <v>14206</v>
      </c>
      <c r="H4254" s="3" t="s">
        <v>289</v>
      </c>
      <c r="K4254" s="2">
        <v>10</v>
      </c>
      <c r="L4254" s="2">
        <v>3</v>
      </c>
      <c r="M4254" s="3" t="s">
        <v>3992</v>
      </c>
      <c r="N4254" s="3" t="s">
        <v>13</v>
      </c>
      <c r="O4254" s="3" t="s">
        <v>14</v>
      </c>
      <c r="Q4254" s="30" t="str">
        <f t="shared" si="66"/>
        <v>MAX : 
TARGET : Yes(Pass)
MIN : No(Fail)</v>
      </c>
    </row>
    <row r="4255" spans="2:18" ht="41.4" x14ac:dyDescent="0.3">
      <c r="B4255">
        <v>1</v>
      </c>
      <c r="C4255" s="33">
        <v>8965</v>
      </c>
      <c r="D4255" s="2">
        <v>2020</v>
      </c>
      <c r="E4255" s="2" t="s">
        <v>11673</v>
      </c>
      <c r="F4255" s="3" t="s">
        <v>14206</v>
      </c>
      <c r="H4255" s="3" t="s">
        <v>289</v>
      </c>
      <c r="K4255" s="2">
        <v>10</v>
      </c>
      <c r="L4255" s="2">
        <v>2</v>
      </c>
      <c r="M4255" s="3" t="s">
        <v>569</v>
      </c>
      <c r="N4255" s="3" t="s">
        <v>4203</v>
      </c>
      <c r="O4255" s="3" t="s">
        <v>1195</v>
      </c>
      <c r="P4255" s="3" t="s">
        <v>4204</v>
      </c>
      <c r="Q4255" s="30" t="str">
        <f t="shared" si="66"/>
        <v>MAX : 24.28
TARGET : 24.25
MIN : 24.22</v>
      </c>
    </row>
    <row r="4256" spans="2:18" ht="41.4" x14ac:dyDescent="0.3">
      <c r="B4256">
        <v>1</v>
      </c>
      <c r="C4256" s="33">
        <v>8965</v>
      </c>
      <c r="D4256" s="2">
        <v>2020</v>
      </c>
      <c r="E4256" s="2" t="s">
        <v>11673</v>
      </c>
      <c r="F4256" s="3" t="s">
        <v>14206</v>
      </c>
      <c r="H4256" s="3" t="s">
        <v>289</v>
      </c>
      <c r="K4256" s="2">
        <v>10</v>
      </c>
      <c r="L4256" s="2">
        <v>1</v>
      </c>
      <c r="M4256" s="3" t="s">
        <v>174</v>
      </c>
      <c r="N4256" s="3" t="s">
        <v>4022</v>
      </c>
      <c r="O4256" s="3" t="s">
        <v>2815</v>
      </c>
      <c r="P4256" s="3" t="s">
        <v>4202</v>
      </c>
      <c r="Q4256" s="30" t="str">
        <f t="shared" si="66"/>
        <v>MAX : 24.03
TARGET : 24.00
MIN : 23.90</v>
      </c>
    </row>
    <row r="4257" spans="2:18" ht="41.4" x14ac:dyDescent="0.3">
      <c r="B4257">
        <v>1</v>
      </c>
      <c r="C4257" s="33">
        <v>8966</v>
      </c>
      <c r="D4257" s="2">
        <v>1359</v>
      </c>
      <c r="E4257" s="2" t="s">
        <v>11680</v>
      </c>
      <c r="F4257" s="3" t="s">
        <v>14206</v>
      </c>
      <c r="H4257" s="3" t="s">
        <v>4206</v>
      </c>
      <c r="K4257" s="2">
        <v>10</v>
      </c>
      <c r="L4257" s="2">
        <v>2</v>
      </c>
      <c r="M4257" s="3" t="s">
        <v>2232</v>
      </c>
      <c r="N4257" s="3" t="s">
        <v>485</v>
      </c>
      <c r="O4257" s="3" t="s">
        <v>272</v>
      </c>
      <c r="P4257" s="3" t="s">
        <v>507</v>
      </c>
      <c r="Q4257" s="30" t="str">
        <f t="shared" si="66"/>
        <v>MAX : 1.06
TARGET : 1.00
MIN : 0.94</v>
      </c>
    </row>
    <row r="4258" spans="2:18" ht="41.4" x14ac:dyDescent="0.3">
      <c r="B4258">
        <v>0</v>
      </c>
      <c r="C4258" s="33">
        <v>9067</v>
      </c>
      <c r="D4258" s="2">
        <v>1420</v>
      </c>
      <c r="E4258" s="2" t="s">
        <v>12282</v>
      </c>
      <c r="F4258" s="3" t="s">
        <v>14206</v>
      </c>
      <c r="H4258" s="3" t="s">
        <v>469</v>
      </c>
      <c r="I4258" s="3" t="s">
        <v>487</v>
      </c>
      <c r="K4258" s="2">
        <v>20</v>
      </c>
      <c r="L4258" s="2">
        <v>2</v>
      </c>
      <c r="M4258" s="3" t="s">
        <v>198</v>
      </c>
      <c r="N4258" s="3" t="s">
        <v>4735</v>
      </c>
      <c r="O4258" s="3" t="s">
        <v>250</v>
      </c>
      <c r="P4258" s="3" t="s">
        <v>2158</v>
      </c>
      <c r="Q4258" s="30" t="str">
        <f t="shared" si="66"/>
        <v>MAX : 6.13
TARGET : 6.00
MIN : 5.87</v>
      </c>
    </row>
    <row r="4259" spans="2:18" ht="41.4" x14ac:dyDescent="0.3">
      <c r="B4259">
        <v>0</v>
      </c>
      <c r="C4259" s="33">
        <v>9067</v>
      </c>
      <c r="D4259" s="2">
        <v>1420</v>
      </c>
      <c r="E4259" s="2" t="s">
        <v>12282</v>
      </c>
      <c r="F4259" s="3" t="s">
        <v>14206</v>
      </c>
      <c r="H4259" s="3" t="s">
        <v>469</v>
      </c>
      <c r="I4259" s="3" t="s">
        <v>487</v>
      </c>
      <c r="K4259" s="2">
        <v>20</v>
      </c>
      <c r="L4259" s="2">
        <v>3</v>
      </c>
      <c r="M4259" s="3" t="s">
        <v>4736</v>
      </c>
      <c r="N4259" s="3" t="s">
        <v>13</v>
      </c>
      <c r="O4259" s="3" t="s">
        <v>14</v>
      </c>
      <c r="Q4259" s="30" t="str">
        <f t="shared" si="66"/>
        <v>MAX : 
TARGET : Yes(Pass)
MIN : No(Fail)</v>
      </c>
    </row>
    <row r="4260" spans="2:18" ht="41.4" x14ac:dyDescent="0.3">
      <c r="B4260">
        <v>1</v>
      </c>
      <c r="C4260" s="33">
        <v>8966</v>
      </c>
      <c r="D4260" s="2">
        <v>1359</v>
      </c>
      <c r="E4260" s="2" t="s">
        <v>11680</v>
      </c>
      <c r="F4260" s="3" t="s">
        <v>14206</v>
      </c>
      <c r="H4260" s="3" t="s">
        <v>4206</v>
      </c>
      <c r="K4260" s="2">
        <v>10</v>
      </c>
      <c r="L4260" s="2">
        <v>1</v>
      </c>
      <c r="M4260" s="3" t="s">
        <v>4207</v>
      </c>
      <c r="N4260" s="3" t="s">
        <v>1641</v>
      </c>
      <c r="O4260" s="3" t="s">
        <v>149</v>
      </c>
      <c r="P4260" s="3" t="s">
        <v>1642</v>
      </c>
      <c r="Q4260" s="30" t="str">
        <f t="shared" si="66"/>
        <v>MAX : 12.06
TARGET : 12.00
MIN : 11.94</v>
      </c>
    </row>
    <row r="4261" spans="2:18" ht="41.4" x14ac:dyDescent="0.3">
      <c r="B4261">
        <v>1</v>
      </c>
      <c r="C4261" s="33">
        <v>8967</v>
      </c>
      <c r="D4261" s="2">
        <v>1360</v>
      </c>
      <c r="E4261" s="2" t="s">
        <v>11686</v>
      </c>
      <c r="F4261" s="3" t="s">
        <v>14206</v>
      </c>
      <c r="H4261" s="3" t="s">
        <v>648</v>
      </c>
      <c r="K4261" s="2">
        <v>20</v>
      </c>
      <c r="L4261" s="2">
        <v>2</v>
      </c>
      <c r="M4261" s="3" t="s">
        <v>198</v>
      </c>
      <c r="N4261" s="3" t="s">
        <v>1717</v>
      </c>
      <c r="O4261" s="3" t="s">
        <v>271</v>
      </c>
      <c r="P4261" s="3" t="s">
        <v>4263</v>
      </c>
      <c r="Q4261" s="30" t="str">
        <f t="shared" si="66"/>
        <v>MAX : 0.89
TARGET : 0.88
MIN : 0.87</v>
      </c>
    </row>
    <row r="4262" spans="2:18" ht="41.4" x14ac:dyDescent="0.3">
      <c r="B4262">
        <v>0</v>
      </c>
      <c r="C4262" s="33">
        <v>8947</v>
      </c>
      <c r="D4262" s="2">
        <v>1347</v>
      </c>
      <c r="E4262" s="2" t="s">
        <v>11568</v>
      </c>
      <c r="F4262" s="3" t="s">
        <v>14206</v>
      </c>
      <c r="H4262" s="3" t="s">
        <v>469</v>
      </c>
      <c r="K4262" s="2">
        <v>30</v>
      </c>
      <c r="L4262" s="2">
        <v>2</v>
      </c>
      <c r="M4262" s="3" t="s">
        <v>4739</v>
      </c>
      <c r="N4262" s="3" t="s">
        <v>2686</v>
      </c>
      <c r="O4262" s="3" t="s">
        <v>703</v>
      </c>
      <c r="P4262" s="3" t="s">
        <v>2687</v>
      </c>
      <c r="Q4262" s="30" t="str">
        <f t="shared" si="66"/>
        <v>MAX : 4.56
TARGET : 4.50
MIN : 4.44</v>
      </c>
    </row>
    <row r="4263" spans="2:18" ht="41.4" x14ac:dyDescent="0.3">
      <c r="B4263">
        <v>0</v>
      </c>
      <c r="C4263" s="33">
        <v>8947</v>
      </c>
      <c r="D4263" s="2">
        <v>1347</v>
      </c>
      <c r="E4263" s="2" t="s">
        <v>11568</v>
      </c>
      <c r="F4263" s="3" t="s">
        <v>14206</v>
      </c>
      <c r="H4263" s="3" t="s">
        <v>469</v>
      </c>
      <c r="K4263" s="2">
        <v>30</v>
      </c>
      <c r="L4263" s="2">
        <v>3</v>
      </c>
      <c r="M4263" s="3" t="s">
        <v>4740</v>
      </c>
      <c r="N4263" s="3" t="s">
        <v>1532</v>
      </c>
      <c r="O4263" s="3" t="s">
        <v>200</v>
      </c>
      <c r="P4263" s="3" t="s">
        <v>1533</v>
      </c>
      <c r="Q4263" s="30" t="str">
        <f t="shared" si="66"/>
        <v>MAX : 5.56
TARGET : 5.50
MIN : 5.44</v>
      </c>
    </row>
    <row r="4264" spans="2:18" ht="41.4" x14ac:dyDescent="0.3">
      <c r="B4264">
        <v>0</v>
      </c>
      <c r="C4264" s="33">
        <v>8947</v>
      </c>
      <c r="D4264" s="2">
        <v>1347</v>
      </c>
      <c r="E4264" s="2" t="s">
        <v>11568</v>
      </c>
      <c r="F4264" s="3" t="s">
        <v>14206</v>
      </c>
      <c r="H4264" s="3" t="s">
        <v>469</v>
      </c>
      <c r="K4264" s="2">
        <v>30</v>
      </c>
      <c r="L4264" s="2">
        <v>5</v>
      </c>
      <c r="M4264" s="3" t="s">
        <v>4741</v>
      </c>
      <c r="N4264" s="3" t="s">
        <v>309</v>
      </c>
      <c r="O4264" s="3" t="s">
        <v>1531</v>
      </c>
      <c r="P4264" s="3" t="s">
        <v>3070</v>
      </c>
      <c r="Q4264" s="30" t="str">
        <f t="shared" si="66"/>
        <v>MAX : 0.62
TARGET : 0.56
MIN : 0.50</v>
      </c>
    </row>
    <row r="4265" spans="2:18" ht="41.4" x14ac:dyDescent="0.3">
      <c r="B4265">
        <v>0</v>
      </c>
      <c r="C4265" s="33">
        <v>8947</v>
      </c>
      <c r="D4265" s="2">
        <v>1347</v>
      </c>
      <c r="E4265" s="2" t="s">
        <v>11568</v>
      </c>
      <c r="F4265" s="3" t="s">
        <v>14206</v>
      </c>
      <c r="H4265" s="3" t="s">
        <v>469</v>
      </c>
      <c r="K4265" s="2">
        <v>30</v>
      </c>
      <c r="L4265" s="2">
        <v>6</v>
      </c>
      <c r="M4265" s="3" t="s">
        <v>4742</v>
      </c>
      <c r="N4265" s="3" t="s">
        <v>13</v>
      </c>
      <c r="O4265" s="3" t="s">
        <v>14</v>
      </c>
      <c r="Q4265" s="30" t="str">
        <f t="shared" si="66"/>
        <v>MAX : 
TARGET : Yes(Pass)
MIN : No(Fail)</v>
      </c>
    </row>
    <row r="4266" spans="2:18" ht="41.4" x14ac:dyDescent="0.3">
      <c r="B4266">
        <v>0</v>
      </c>
      <c r="C4266" s="33">
        <v>8947</v>
      </c>
      <c r="D4266" s="2">
        <v>1347</v>
      </c>
      <c r="E4266" s="2" t="s">
        <v>11568</v>
      </c>
      <c r="F4266" s="3" t="s">
        <v>14206</v>
      </c>
      <c r="H4266" s="3" t="s">
        <v>469</v>
      </c>
      <c r="K4266" s="2">
        <v>30</v>
      </c>
      <c r="L4266" s="2">
        <v>7</v>
      </c>
      <c r="M4266" s="3" t="s">
        <v>4743</v>
      </c>
      <c r="N4266" s="3" t="s">
        <v>13</v>
      </c>
      <c r="O4266" s="3" t="s">
        <v>14</v>
      </c>
      <c r="Q4266" s="30" t="str">
        <f t="shared" si="66"/>
        <v>MAX : 
TARGET : Yes(Pass)
MIN : No(Fail)</v>
      </c>
    </row>
    <row r="4267" spans="2:18" ht="41.4" x14ac:dyDescent="0.3">
      <c r="B4267">
        <v>1</v>
      </c>
      <c r="C4267" s="33">
        <v>8967</v>
      </c>
      <c r="D4267" s="2">
        <v>1360</v>
      </c>
      <c r="E4267" s="2" t="s">
        <v>11686</v>
      </c>
      <c r="F4267" s="3" t="s">
        <v>14206</v>
      </c>
      <c r="H4267" s="3" t="s">
        <v>648</v>
      </c>
      <c r="K4267" s="2">
        <v>20</v>
      </c>
      <c r="L4267" s="2">
        <v>1</v>
      </c>
      <c r="M4267" s="3" t="s">
        <v>194</v>
      </c>
      <c r="N4267" s="3" t="s">
        <v>386</v>
      </c>
      <c r="O4267" s="3" t="s">
        <v>2309</v>
      </c>
      <c r="P4267" s="3" t="s">
        <v>4230</v>
      </c>
      <c r="Q4267" s="30" t="str">
        <f t="shared" si="66"/>
        <v>MAX : 1.64
TARGET : 1.63
MIN : 1.62</v>
      </c>
    </row>
    <row r="4268" spans="2:18" ht="41.4" x14ac:dyDescent="0.3">
      <c r="B4268">
        <v>1</v>
      </c>
      <c r="C4268" s="33">
        <v>8968</v>
      </c>
      <c r="D4268" s="2">
        <v>1361</v>
      </c>
      <c r="E4268" s="2" t="s">
        <v>11692</v>
      </c>
      <c r="F4268" s="3" t="s">
        <v>14245</v>
      </c>
      <c r="H4268" s="3" t="s">
        <v>417</v>
      </c>
      <c r="K4268" s="2">
        <v>10</v>
      </c>
      <c r="L4268" s="2">
        <v>2</v>
      </c>
      <c r="M4268" s="3" t="s">
        <v>2543</v>
      </c>
      <c r="N4268" s="3" t="s">
        <v>4385</v>
      </c>
      <c r="O4268" s="3" t="s">
        <v>4386</v>
      </c>
      <c r="P4268" s="3" t="s">
        <v>4358</v>
      </c>
      <c r="Q4268" s="30" t="str">
        <f t="shared" si="66"/>
        <v>MAX : 12.24
TARGET : 11.99
MIN : 11.74</v>
      </c>
      <c r="R4268" s="3" t="s">
        <v>3549</v>
      </c>
    </row>
    <row r="4269" spans="2:18" ht="41.4" x14ac:dyDescent="0.3">
      <c r="B4269">
        <v>0</v>
      </c>
      <c r="C4269" s="33">
        <v>9063</v>
      </c>
      <c r="D4269" s="2">
        <v>1417</v>
      </c>
      <c r="E4269" s="2" t="s">
        <v>12257</v>
      </c>
      <c r="F4269" s="3" t="s">
        <v>14206</v>
      </c>
      <c r="H4269" s="3" t="s">
        <v>648</v>
      </c>
      <c r="K4269" s="2">
        <v>20</v>
      </c>
      <c r="L4269" s="2">
        <v>1</v>
      </c>
      <c r="M4269" s="3" t="s">
        <v>194</v>
      </c>
      <c r="N4269" s="3" t="s">
        <v>2078</v>
      </c>
      <c r="O4269" s="3" t="s">
        <v>344</v>
      </c>
      <c r="P4269" s="3" t="s">
        <v>419</v>
      </c>
      <c r="Q4269" s="30" t="str">
        <f t="shared" si="66"/>
        <v>MAX : 1.28
TARGET : 1.25
MIN : 1.24</v>
      </c>
    </row>
    <row r="4270" spans="2:18" ht="41.4" x14ac:dyDescent="0.3">
      <c r="B4270">
        <v>0</v>
      </c>
      <c r="C4270" s="33">
        <v>9063</v>
      </c>
      <c r="D4270" s="2">
        <v>1417</v>
      </c>
      <c r="E4270" s="2" t="s">
        <v>12257</v>
      </c>
      <c r="F4270" s="3" t="s">
        <v>14206</v>
      </c>
      <c r="H4270" s="3" t="s">
        <v>648</v>
      </c>
      <c r="K4270" s="2">
        <v>20</v>
      </c>
      <c r="L4270" s="2">
        <v>2</v>
      </c>
      <c r="M4270" s="3" t="s">
        <v>1428</v>
      </c>
      <c r="N4270" s="3" t="s">
        <v>1491</v>
      </c>
      <c r="O4270" s="3" t="s">
        <v>808</v>
      </c>
      <c r="P4270" s="3" t="s">
        <v>1716</v>
      </c>
      <c r="Q4270" s="30" t="str">
        <f t="shared" si="66"/>
        <v>MAX : 0.83
TARGET : 0.80
MIN : 0.77</v>
      </c>
    </row>
    <row r="4271" spans="2:18" ht="41.4" x14ac:dyDescent="0.3">
      <c r="B4271">
        <v>0</v>
      </c>
      <c r="C4271" s="33">
        <v>9063</v>
      </c>
      <c r="D4271" s="2">
        <v>1417</v>
      </c>
      <c r="E4271" s="2" t="s">
        <v>12257</v>
      </c>
      <c r="F4271" s="3" t="s">
        <v>14206</v>
      </c>
      <c r="H4271" s="3" t="s">
        <v>648</v>
      </c>
      <c r="K4271" s="2">
        <v>20</v>
      </c>
      <c r="L4271" s="2">
        <v>3</v>
      </c>
      <c r="M4271" s="3" t="s">
        <v>198</v>
      </c>
      <c r="N4271" s="3" t="s">
        <v>418</v>
      </c>
      <c r="O4271" s="3" t="s">
        <v>344</v>
      </c>
      <c r="P4271" s="3" t="s">
        <v>419</v>
      </c>
      <c r="Q4271" s="30" t="str">
        <f t="shared" si="66"/>
        <v>MAX : 1.28
TARGET : 1.25
MIN : 1.22</v>
      </c>
    </row>
    <row r="4272" spans="2:18" ht="41.4" x14ac:dyDescent="0.3">
      <c r="B4272">
        <v>0</v>
      </c>
      <c r="C4272" s="33">
        <v>9063</v>
      </c>
      <c r="D4272" s="2">
        <v>1417</v>
      </c>
      <c r="E4272" s="2" t="s">
        <v>12257</v>
      </c>
      <c r="F4272" s="3" t="s">
        <v>14206</v>
      </c>
      <c r="H4272" s="3" t="s">
        <v>648</v>
      </c>
      <c r="K4272" s="2">
        <v>20</v>
      </c>
      <c r="L4272" s="2">
        <v>3</v>
      </c>
      <c r="M4272" s="3" t="s">
        <v>4746</v>
      </c>
      <c r="N4272" s="3" t="s">
        <v>1702</v>
      </c>
      <c r="O4272" s="3" t="s">
        <v>3070</v>
      </c>
      <c r="P4272" s="3" t="s">
        <v>3071</v>
      </c>
      <c r="Q4272" s="30" t="str">
        <f t="shared" si="66"/>
        <v>MAX : 0.65
TARGET : 0.62
MIN : 0.59</v>
      </c>
    </row>
    <row r="4273" spans="2:18" ht="41.4" x14ac:dyDescent="0.3">
      <c r="B4273">
        <v>0</v>
      </c>
      <c r="C4273" s="33">
        <v>9063</v>
      </c>
      <c r="D4273" s="2">
        <v>1417</v>
      </c>
      <c r="E4273" s="2" t="s">
        <v>12257</v>
      </c>
      <c r="F4273" s="3" t="s">
        <v>14206</v>
      </c>
      <c r="H4273" s="3" t="s">
        <v>648</v>
      </c>
      <c r="K4273" s="2">
        <v>20</v>
      </c>
      <c r="L4273" s="2">
        <v>4</v>
      </c>
      <c r="M4273" s="3" t="s">
        <v>1434</v>
      </c>
      <c r="N4273" s="3" t="s">
        <v>2455</v>
      </c>
      <c r="O4273" s="3" t="s">
        <v>2456</v>
      </c>
      <c r="P4273" s="3" t="s">
        <v>1570</v>
      </c>
      <c r="Q4273" s="30" t="str">
        <f t="shared" si="66"/>
        <v>MAX : 0.13
TARGET : 0.10
MIN : 0.07</v>
      </c>
    </row>
    <row r="4274" spans="2:18" ht="41.4" x14ac:dyDescent="0.3">
      <c r="B4274">
        <v>0</v>
      </c>
      <c r="C4274" s="33">
        <v>9063</v>
      </c>
      <c r="D4274" s="2">
        <v>1417</v>
      </c>
      <c r="E4274" s="2" t="s">
        <v>12257</v>
      </c>
      <c r="F4274" s="3" t="s">
        <v>14206</v>
      </c>
      <c r="H4274" s="3" t="s">
        <v>648</v>
      </c>
      <c r="K4274" s="2">
        <v>20</v>
      </c>
      <c r="L4274" s="2">
        <v>5</v>
      </c>
      <c r="M4274" s="3" t="s">
        <v>570</v>
      </c>
      <c r="N4274" s="3" t="s">
        <v>420</v>
      </c>
      <c r="O4274" s="3" t="s">
        <v>272</v>
      </c>
      <c r="P4274" s="3" t="s">
        <v>414</v>
      </c>
      <c r="Q4274" s="30" t="str">
        <f t="shared" si="66"/>
        <v>MAX : 1.03
TARGET : 1.00
MIN : 0.97</v>
      </c>
    </row>
    <row r="4275" spans="2:18" ht="41.4" x14ac:dyDescent="0.3">
      <c r="B4275">
        <v>0</v>
      </c>
      <c r="C4275" s="33">
        <v>9063</v>
      </c>
      <c r="D4275" s="2">
        <v>1417</v>
      </c>
      <c r="E4275" s="2" t="s">
        <v>12257</v>
      </c>
      <c r="F4275" s="3" t="s">
        <v>14206</v>
      </c>
      <c r="H4275" s="3" t="s">
        <v>648</v>
      </c>
      <c r="K4275" s="2">
        <v>20</v>
      </c>
      <c r="L4275" s="2">
        <v>6</v>
      </c>
      <c r="M4275" s="3" t="s">
        <v>4747</v>
      </c>
      <c r="N4275" s="3" t="s">
        <v>13</v>
      </c>
      <c r="O4275" s="3" t="s">
        <v>14</v>
      </c>
      <c r="Q4275" s="30" t="str">
        <f t="shared" si="66"/>
        <v>MAX : 
TARGET : Yes(Pass)
MIN : No(Fail)</v>
      </c>
    </row>
    <row r="4276" spans="2:18" ht="41.4" x14ac:dyDescent="0.3">
      <c r="B4276">
        <v>0</v>
      </c>
      <c r="C4276" s="33">
        <v>9063</v>
      </c>
      <c r="D4276" s="2">
        <v>1417</v>
      </c>
      <c r="E4276" s="2" t="s">
        <v>12257</v>
      </c>
      <c r="F4276" s="3" t="s">
        <v>14206</v>
      </c>
      <c r="H4276" s="3" t="s">
        <v>648</v>
      </c>
      <c r="K4276" s="2">
        <v>20</v>
      </c>
      <c r="L4276" s="2">
        <v>7</v>
      </c>
      <c r="M4276" s="3" t="s">
        <v>3870</v>
      </c>
      <c r="N4276" s="3" t="s">
        <v>13</v>
      </c>
      <c r="O4276" s="3" t="s">
        <v>14</v>
      </c>
      <c r="Q4276" s="30" t="str">
        <f t="shared" si="66"/>
        <v>MAX : 
TARGET : Yes(Pass)
MIN : No(Fail)</v>
      </c>
    </row>
    <row r="4277" spans="2:18" ht="41.4" x14ac:dyDescent="0.3">
      <c r="B4277">
        <v>1</v>
      </c>
      <c r="C4277" s="33">
        <v>8968</v>
      </c>
      <c r="D4277" s="2">
        <v>1361</v>
      </c>
      <c r="E4277" s="2" t="s">
        <v>11692</v>
      </c>
      <c r="F4277" s="3" t="s">
        <v>14245</v>
      </c>
      <c r="H4277" s="3" t="s">
        <v>417</v>
      </c>
      <c r="K4277" s="2">
        <v>10</v>
      </c>
      <c r="L4277" s="2">
        <v>1</v>
      </c>
      <c r="M4277" s="3" t="s">
        <v>194</v>
      </c>
      <c r="N4277" s="3" t="s">
        <v>2104</v>
      </c>
      <c r="O4277" s="3" t="s">
        <v>2999</v>
      </c>
      <c r="P4277" s="3" t="s">
        <v>4384</v>
      </c>
      <c r="Q4277" s="30" t="str">
        <f t="shared" si="66"/>
        <v>MAX : 5.9
TARGET : 5.8
MIN : 5.7</v>
      </c>
      <c r="R4277" s="3" t="s">
        <v>3549</v>
      </c>
    </row>
    <row r="4278" spans="2:18" ht="41.4" x14ac:dyDescent="0.3">
      <c r="B4278">
        <v>1</v>
      </c>
      <c r="C4278" s="33">
        <v>8969</v>
      </c>
      <c r="D4278" s="2">
        <v>2021</v>
      </c>
      <c r="E4278" s="2" t="s">
        <v>11699</v>
      </c>
      <c r="F4278" s="3" t="s">
        <v>14206</v>
      </c>
      <c r="H4278" s="3" t="s">
        <v>289</v>
      </c>
      <c r="K4278" s="2">
        <v>10</v>
      </c>
      <c r="L4278" s="2">
        <v>2</v>
      </c>
      <c r="M4278" s="3" t="s">
        <v>325</v>
      </c>
      <c r="N4278" s="3" t="s">
        <v>13</v>
      </c>
      <c r="O4278" s="3" t="s">
        <v>14</v>
      </c>
      <c r="Q4278" s="30" t="str">
        <f t="shared" si="66"/>
        <v>MAX : 
TARGET : Yes(Pass)
MIN : No(Fail)</v>
      </c>
    </row>
    <row r="4279" spans="2:18" ht="41.4" x14ac:dyDescent="0.3">
      <c r="B4279">
        <v>0</v>
      </c>
      <c r="C4279" s="33">
        <v>9064</v>
      </c>
      <c r="D4279" s="2">
        <v>1418</v>
      </c>
      <c r="E4279" s="2" t="s">
        <v>12264</v>
      </c>
      <c r="F4279" s="3" t="s">
        <v>14206</v>
      </c>
      <c r="H4279" s="3" t="s">
        <v>469</v>
      </c>
      <c r="K4279" s="2">
        <v>10</v>
      </c>
      <c r="L4279" s="2">
        <v>2</v>
      </c>
      <c r="M4279" s="3" t="s">
        <v>4750</v>
      </c>
      <c r="N4279" s="3" t="s">
        <v>1496</v>
      </c>
      <c r="O4279" s="3" t="s">
        <v>1185</v>
      </c>
      <c r="P4279" s="3" t="s">
        <v>1497</v>
      </c>
      <c r="Q4279" s="30" t="str">
        <f t="shared" si="66"/>
        <v>MAX : 2.78
TARGET : 2.75
MIN : 2.72</v>
      </c>
    </row>
    <row r="4280" spans="2:18" ht="41.4" x14ac:dyDescent="0.3">
      <c r="B4280">
        <v>0</v>
      </c>
      <c r="C4280" s="33">
        <v>9064</v>
      </c>
      <c r="D4280" s="2">
        <v>1418</v>
      </c>
      <c r="E4280" s="2" t="s">
        <v>12264</v>
      </c>
      <c r="F4280" s="3" t="s">
        <v>14206</v>
      </c>
      <c r="H4280" s="3" t="s">
        <v>469</v>
      </c>
      <c r="K4280" s="2">
        <v>10</v>
      </c>
      <c r="L4280" s="2">
        <v>4</v>
      </c>
      <c r="M4280" s="3" t="s">
        <v>4751</v>
      </c>
      <c r="N4280" s="3" t="s">
        <v>13</v>
      </c>
      <c r="O4280" s="3" t="s">
        <v>14</v>
      </c>
      <c r="Q4280" s="30" t="str">
        <f t="shared" si="66"/>
        <v>MAX : 
TARGET : Yes(Pass)
MIN : No(Fail)</v>
      </c>
    </row>
    <row r="4281" spans="2:18" ht="41.4" x14ac:dyDescent="0.3">
      <c r="B4281">
        <v>0</v>
      </c>
      <c r="C4281" s="33">
        <v>9064</v>
      </c>
      <c r="D4281" s="2">
        <v>1418</v>
      </c>
      <c r="E4281" s="2" t="s">
        <v>12264</v>
      </c>
      <c r="F4281" s="3" t="s">
        <v>14206</v>
      </c>
      <c r="H4281" s="3" t="s">
        <v>469</v>
      </c>
      <c r="K4281" s="2">
        <v>20</v>
      </c>
      <c r="L4281" s="2">
        <v>1</v>
      </c>
      <c r="M4281" s="3" t="s">
        <v>194</v>
      </c>
      <c r="N4281" s="3" t="s">
        <v>131</v>
      </c>
      <c r="O4281" s="3" t="s">
        <v>132</v>
      </c>
      <c r="P4281" s="3" t="s">
        <v>133</v>
      </c>
      <c r="Q4281" s="30" t="str">
        <f t="shared" si="66"/>
        <v>MAX : 0.78
TARGET : 0.75
MIN : 0.72</v>
      </c>
    </row>
    <row r="4282" spans="2:18" ht="41.4" x14ac:dyDescent="0.3">
      <c r="B4282">
        <v>0</v>
      </c>
      <c r="C4282" s="33">
        <v>9064</v>
      </c>
      <c r="D4282" s="2">
        <v>1418</v>
      </c>
      <c r="E4282" s="2" t="s">
        <v>12264</v>
      </c>
      <c r="F4282" s="3" t="s">
        <v>14206</v>
      </c>
      <c r="H4282" s="3" t="s">
        <v>469</v>
      </c>
      <c r="K4282" s="2">
        <v>20</v>
      </c>
      <c r="L4282" s="2">
        <v>2</v>
      </c>
      <c r="M4282" s="3" t="s">
        <v>198</v>
      </c>
      <c r="N4282" s="3" t="s">
        <v>814</v>
      </c>
      <c r="O4282" s="3" t="s">
        <v>815</v>
      </c>
      <c r="P4282" s="3" t="s">
        <v>816</v>
      </c>
      <c r="Q4282" s="30" t="str">
        <f t="shared" si="66"/>
        <v>MAX : 3.03
TARGET : 3.00
MIN : 2.97</v>
      </c>
    </row>
    <row r="4283" spans="2:18" ht="41.4" x14ac:dyDescent="0.3">
      <c r="B4283">
        <v>0</v>
      </c>
      <c r="C4283" s="33">
        <v>9064</v>
      </c>
      <c r="D4283" s="2">
        <v>1418</v>
      </c>
      <c r="E4283" s="2" t="s">
        <v>12264</v>
      </c>
      <c r="F4283" s="3" t="s">
        <v>14206</v>
      </c>
      <c r="H4283" s="3" t="s">
        <v>469</v>
      </c>
      <c r="K4283" s="2">
        <v>20</v>
      </c>
      <c r="L4283" s="2">
        <v>3</v>
      </c>
      <c r="M4283" s="3" t="s">
        <v>4749</v>
      </c>
      <c r="N4283" s="3" t="s">
        <v>308</v>
      </c>
      <c r="O4283" s="3" t="s">
        <v>309</v>
      </c>
      <c r="P4283" s="3" t="s">
        <v>310</v>
      </c>
      <c r="Q4283" s="30" t="str">
        <f t="shared" si="66"/>
        <v>MAX : 0.53
TARGET : 0.50
MIN : 0.47</v>
      </c>
    </row>
    <row r="4284" spans="2:18" ht="41.4" x14ac:dyDescent="0.3">
      <c r="B4284">
        <v>0</v>
      </c>
      <c r="C4284" s="33">
        <v>9064</v>
      </c>
      <c r="D4284" s="2">
        <v>1418</v>
      </c>
      <c r="E4284" s="2" t="s">
        <v>12264</v>
      </c>
      <c r="F4284" s="3" t="s">
        <v>14206</v>
      </c>
      <c r="H4284" s="3" t="s">
        <v>469</v>
      </c>
      <c r="K4284" s="2">
        <v>20</v>
      </c>
      <c r="L4284" s="2">
        <v>4</v>
      </c>
      <c r="M4284" s="3" t="s">
        <v>4750</v>
      </c>
      <c r="N4284" s="3" t="s">
        <v>75</v>
      </c>
      <c r="O4284" s="3" t="s">
        <v>76</v>
      </c>
      <c r="P4284" s="3" t="s">
        <v>77</v>
      </c>
      <c r="Q4284" s="30" t="str">
        <f t="shared" si="66"/>
        <v>MAX : 2.53
TARGET : 2.50
MIN : 2.47</v>
      </c>
    </row>
    <row r="4285" spans="2:18" ht="41.4" x14ac:dyDescent="0.3">
      <c r="B4285">
        <v>0</v>
      </c>
      <c r="C4285" s="33">
        <v>9064</v>
      </c>
      <c r="D4285" s="2">
        <v>1418</v>
      </c>
      <c r="E4285" s="2" t="s">
        <v>12264</v>
      </c>
      <c r="F4285" s="3" t="s">
        <v>14206</v>
      </c>
      <c r="H4285" s="3" t="s">
        <v>469</v>
      </c>
      <c r="K4285" s="2">
        <v>20</v>
      </c>
      <c r="L4285" s="2">
        <v>5</v>
      </c>
      <c r="M4285" s="3" t="s">
        <v>570</v>
      </c>
      <c r="N4285" s="3" t="s">
        <v>420</v>
      </c>
      <c r="O4285" s="3" t="s">
        <v>272</v>
      </c>
      <c r="P4285" s="3" t="s">
        <v>414</v>
      </c>
      <c r="Q4285" s="30" t="str">
        <f t="shared" si="66"/>
        <v>MAX : 1.03
TARGET : 1.00
MIN : 0.97</v>
      </c>
    </row>
    <row r="4286" spans="2:18" ht="41.4" x14ac:dyDescent="0.3">
      <c r="B4286">
        <v>0</v>
      </c>
      <c r="C4286" s="33">
        <v>9064</v>
      </c>
      <c r="D4286" s="2">
        <v>1418</v>
      </c>
      <c r="E4286" s="2" t="s">
        <v>12264</v>
      </c>
      <c r="F4286" s="3" t="s">
        <v>14206</v>
      </c>
      <c r="H4286" s="3" t="s">
        <v>469</v>
      </c>
      <c r="K4286" s="2">
        <v>20</v>
      </c>
      <c r="L4286" s="2">
        <v>6</v>
      </c>
      <c r="M4286" s="3" t="s">
        <v>4752</v>
      </c>
      <c r="N4286" s="3" t="s">
        <v>900</v>
      </c>
      <c r="O4286" s="3" t="s">
        <v>28</v>
      </c>
      <c r="P4286" s="3" t="s">
        <v>901</v>
      </c>
      <c r="Q4286" s="30" t="str">
        <f t="shared" si="66"/>
        <v>MAX : 1.56
TARGET : 1.50
MIN : 1.44</v>
      </c>
    </row>
    <row r="4287" spans="2:18" ht="41.4" x14ac:dyDescent="0.3">
      <c r="B4287">
        <v>0</v>
      </c>
      <c r="C4287" s="33">
        <v>9064</v>
      </c>
      <c r="D4287" s="2">
        <v>1418</v>
      </c>
      <c r="E4287" s="2" t="s">
        <v>12264</v>
      </c>
      <c r="F4287" s="3" t="s">
        <v>14206</v>
      </c>
      <c r="H4287" s="3" t="s">
        <v>469</v>
      </c>
      <c r="K4287" s="2">
        <v>20</v>
      </c>
      <c r="L4287" s="2">
        <v>7</v>
      </c>
      <c r="M4287" s="3" t="s">
        <v>4753</v>
      </c>
      <c r="N4287" s="3" t="s">
        <v>13</v>
      </c>
      <c r="O4287" s="3" t="s">
        <v>14</v>
      </c>
      <c r="Q4287" s="30" t="str">
        <f t="shared" si="66"/>
        <v>MAX : 
TARGET : Yes(Pass)
MIN : No(Fail)</v>
      </c>
    </row>
    <row r="4288" spans="2:18" ht="41.4" x14ac:dyDescent="0.3">
      <c r="B4288">
        <v>0</v>
      </c>
      <c r="C4288" s="33">
        <v>9064</v>
      </c>
      <c r="D4288" s="2">
        <v>1418</v>
      </c>
      <c r="E4288" s="2" t="s">
        <v>12264</v>
      </c>
      <c r="F4288" s="3" t="s">
        <v>14206</v>
      </c>
      <c r="H4288" s="3" t="s">
        <v>469</v>
      </c>
      <c r="K4288" s="2">
        <v>20</v>
      </c>
      <c r="L4288" s="2">
        <v>8</v>
      </c>
      <c r="M4288" s="3" t="s">
        <v>4754</v>
      </c>
      <c r="N4288" s="3" t="s">
        <v>13</v>
      </c>
      <c r="O4288" s="3" t="s">
        <v>14</v>
      </c>
      <c r="Q4288" s="30" t="str">
        <f t="shared" si="66"/>
        <v>MAX : 
TARGET : Yes(Pass)
MIN : No(Fail)</v>
      </c>
    </row>
    <row r="4289" spans="2:17" ht="41.4" x14ac:dyDescent="0.3">
      <c r="B4289">
        <v>1</v>
      </c>
      <c r="C4289" s="33">
        <v>8969</v>
      </c>
      <c r="D4289" s="2">
        <v>2021</v>
      </c>
      <c r="E4289" s="2" t="s">
        <v>11699</v>
      </c>
      <c r="F4289" s="3" t="s">
        <v>14206</v>
      </c>
      <c r="H4289" s="3" t="s">
        <v>289</v>
      </c>
      <c r="K4289" s="2">
        <v>10</v>
      </c>
      <c r="L4289" s="2">
        <v>1</v>
      </c>
      <c r="M4289" s="3" t="s">
        <v>99</v>
      </c>
      <c r="N4289" s="3" t="s">
        <v>4210</v>
      </c>
      <c r="O4289" s="3" t="s">
        <v>4211</v>
      </c>
      <c r="P4289" s="3" t="s">
        <v>4212</v>
      </c>
      <c r="Q4289" s="30" t="str">
        <f t="shared" si="66"/>
        <v>MAX : 2.405
TARGET : 2.375
MIN : 2.345</v>
      </c>
    </row>
    <row r="4290" spans="2:17" ht="41.4" x14ac:dyDescent="0.3">
      <c r="B4290">
        <v>1</v>
      </c>
      <c r="C4290" s="33">
        <v>8970</v>
      </c>
      <c r="D4290" s="2">
        <v>2022</v>
      </c>
      <c r="E4290" s="2" t="s">
        <v>11706</v>
      </c>
      <c r="F4290" s="3" t="s">
        <v>14206</v>
      </c>
      <c r="H4290" s="3" t="s">
        <v>269</v>
      </c>
      <c r="K4290" s="2">
        <v>20</v>
      </c>
      <c r="L4290" s="2">
        <v>1</v>
      </c>
      <c r="M4290" s="3" t="s">
        <v>458</v>
      </c>
      <c r="N4290" s="3" t="s">
        <v>752</v>
      </c>
      <c r="O4290" s="3" t="s">
        <v>345</v>
      </c>
      <c r="P4290" s="3" t="s">
        <v>1769</v>
      </c>
      <c r="Q4290" s="30" t="str">
        <f t="shared" ref="Q4290:Q4353" si="67">"MAX : " &amp; P4290 &amp; CHAR(10) &amp; "TARGET : " &amp; O4290 &amp; CHAR(10) &amp; "MIN : " &amp; N4290</f>
        <v>MAX : 1.78
TARGET : 1.75
MIN : 1.72</v>
      </c>
    </row>
    <row r="4291" spans="2:17" ht="41.4" x14ac:dyDescent="0.3">
      <c r="B4291">
        <v>0</v>
      </c>
      <c r="C4291" s="33">
        <v>9065</v>
      </c>
      <c r="D4291" s="2">
        <v>1419</v>
      </c>
      <c r="E4291" s="2" t="s">
        <v>12270</v>
      </c>
      <c r="F4291" s="3" t="s">
        <v>14206</v>
      </c>
      <c r="H4291" s="3" t="s">
        <v>4755</v>
      </c>
      <c r="K4291" s="2">
        <v>10</v>
      </c>
      <c r="L4291" s="2">
        <v>3</v>
      </c>
      <c r="M4291" s="3" t="s">
        <v>4759</v>
      </c>
      <c r="N4291" s="3" t="s">
        <v>13</v>
      </c>
      <c r="O4291" s="3" t="s">
        <v>14</v>
      </c>
      <c r="Q4291" s="30" t="str">
        <f t="shared" si="67"/>
        <v>MAX : 
TARGET : Yes(Pass)
MIN : No(Fail)</v>
      </c>
    </row>
    <row r="4292" spans="2:17" ht="41.4" x14ac:dyDescent="0.3">
      <c r="B4292">
        <v>1</v>
      </c>
      <c r="C4292" s="33">
        <v>8970</v>
      </c>
      <c r="D4292" s="2">
        <v>2022</v>
      </c>
      <c r="E4292" s="2" t="s">
        <v>11706</v>
      </c>
      <c r="F4292" s="3" t="s">
        <v>14206</v>
      </c>
      <c r="H4292" s="3" t="s">
        <v>269</v>
      </c>
      <c r="K4292" s="2">
        <v>10</v>
      </c>
      <c r="L4292" s="2">
        <v>1</v>
      </c>
      <c r="M4292" s="3" t="s">
        <v>458</v>
      </c>
      <c r="N4292" s="3" t="s">
        <v>1097</v>
      </c>
      <c r="O4292" s="3" t="s">
        <v>1098</v>
      </c>
      <c r="P4292" s="3" t="s">
        <v>1099</v>
      </c>
      <c r="Q4292" s="30" t="str">
        <f t="shared" si="67"/>
        <v>MAX : 10.06
TARGET : 10.00
MIN : 9.94</v>
      </c>
    </row>
    <row r="4293" spans="2:17" ht="41.4" x14ac:dyDescent="0.3">
      <c r="B4293">
        <v>1</v>
      </c>
      <c r="C4293" s="33">
        <v>8971</v>
      </c>
      <c r="D4293" s="2">
        <v>2023</v>
      </c>
      <c r="E4293" s="2" t="s">
        <v>11713</v>
      </c>
      <c r="F4293" s="3" t="s">
        <v>14206</v>
      </c>
      <c r="H4293" s="3" t="s">
        <v>824</v>
      </c>
      <c r="K4293" s="2">
        <v>20</v>
      </c>
      <c r="L4293" s="2">
        <v>1</v>
      </c>
      <c r="M4293" s="3" t="s">
        <v>1633</v>
      </c>
      <c r="N4293" s="3" t="s">
        <v>27</v>
      </c>
      <c r="O4293" s="3" t="s">
        <v>28</v>
      </c>
      <c r="P4293" s="3" t="s">
        <v>29</v>
      </c>
      <c r="Q4293" s="30" t="str">
        <f t="shared" si="67"/>
        <v>MAX : 1.53
TARGET : 1.50
MIN : 1.47</v>
      </c>
    </row>
    <row r="4294" spans="2:17" ht="41.4" x14ac:dyDescent="0.3">
      <c r="B4294">
        <v>1</v>
      </c>
      <c r="C4294" s="33">
        <v>8971</v>
      </c>
      <c r="D4294" s="2">
        <v>2023</v>
      </c>
      <c r="E4294" s="2" t="s">
        <v>11713</v>
      </c>
      <c r="F4294" s="3" t="s">
        <v>14206</v>
      </c>
      <c r="H4294" s="3" t="s">
        <v>824</v>
      </c>
      <c r="K4294" s="2">
        <v>10</v>
      </c>
      <c r="L4294" s="2">
        <v>1</v>
      </c>
      <c r="M4294" s="3" t="s">
        <v>458</v>
      </c>
      <c r="N4294" s="3" t="s">
        <v>4324</v>
      </c>
      <c r="O4294" s="3" t="s">
        <v>1325</v>
      </c>
      <c r="P4294" s="3" t="s">
        <v>4325</v>
      </c>
      <c r="Q4294" s="30" t="str">
        <f t="shared" si="67"/>
        <v>MAX : 9.063
TARGET : 9.000
MIN : 8.937</v>
      </c>
    </row>
    <row r="4295" spans="2:17" ht="41.4" x14ac:dyDescent="0.3">
      <c r="B4295">
        <v>1</v>
      </c>
      <c r="C4295" s="33">
        <v>8972</v>
      </c>
      <c r="D4295" s="2">
        <v>1362</v>
      </c>
      <c r="E4295" s="2" t="s">
        <v>11719</v>
      </c>
      <c r="F4295" s="3" t="s">
        <v>14206</v>
      </c>
      <c r="H4295" s="3" t="s">
        <v>1915</v>
      </c>
      <c r="K4295" s="2">
        <v>10</v>
      </c>
      <c r="L4295" s="2">
        <v>2</v>
      </c>
      <c r="M4295" s="3" t="s">
        <v>198</v>
      </c>
      <c r="N4295" s="3" t="s">
        <v>3455</v>
      </c>
      <c r="O4295" s="3" t="s">
        <v>860</v>
      </c>
      <c r="P4295" s="3" t="s">
        <v>3456</v>
      </c>
      <c r="Q4295" s="30" t="str">
        <f t="shared" si="67"/>
        <v>MAX : 18.06
TARGET : 18.00
MIN : 17.94</v>
      </c>
    </row>
    <row r="4296" spans="2:17" ht="41.4" x14ac:dyDescent="0.3">
      <c r="B4296">
        <v>0</v>
      </c>
      <c r="C4296" s="33">
        <v>9053</v>
      </c>
      <c r="D4296" s="2">
        <v>2053</v>
      </c>
      <c r="E4296" s="2" t="s">
        <v>12186</v>
      </c>
      <c r="F4296" s="3" t="s">
        <v>14207</v>
      </c>
      <c r="H4296" s="3" t="s">
        <v>4760</v>
      </c>
      <c r="K4296" s="2">
        <v>20</v>
      </c>
      <c r="L4296" s="2">
        <v>3</v>
      </c>
      <c r="M4296" s="3" t="s">
        <v>4763</v>
      </c>
      <c r="N4296" s="3" t="s">
        <v>13</v>
      </c>
      <c r="O4296" s="3" t="s">
        <v>14</v>
      </c>
      <c r="Q4296" s="30" t="str">
        <f t="shared" si="67"/>
        <v>MAX : 
TARGET : Yes(Pass)
MIN : No(Fail)</v>
      </c>
    </row>
    <row r="4297" spans="2:17" ht="41.4" x14ac:dyDescent="0.3">
      <c r="B4297">
        <v>1</v>
      </c>
      <c r="C4297" s="33">
        <v>8972</v>
      </c>
      <c r="D4297" s="2">
        <v>1362</v>
      </c>
      <c r="E4297" s="2" t="s">
        <v>11719</v>
      </c>
      <c r="F4297" s="3" t="s">
        <v>14206</v>
      </c>
      <c r="H4297" s="3" t="s">
        <v>1915</v>
      </c>
      <c r="K4297" s="2">
        <v>10</v>
      </c>
      <c r="L4297" s="2">
        <v>1</v>
      </c>
      <c r="M4297" s="3" t="s">
        <v>194</v>
      </c>
      <c r="N4297" s="3" t="s">
        <v>801</v>
      </c>
      <c r="O4297" s="3" t="s">
        <v>802</v>
      </c>
      <c r="P4297" s="3" t="s">
        <v>803</v>
      </c>
      <c r="Q4297" s="30" t="str">
        <f t="shared" si="67"/>
        <v>MAX : 24.125
TARGET : 24.000
MIN : 23.875</v>
      </c>
    </row>
    <row r="4298" spans="2:17" ht="41.4" x14ac:dyDescent="0.3">
      <c r="B4298">
        <v>1</v>
      </c>
      <c r="C4298" s="33">
        <v>8974</v>
      </c>
      <c r="D4298" s="2">
        <v>2024</v>
      </c>
      <c r="E4298" s="2" t="s">
        <v>11726</v>
      </c>
      <c r="F4298" s="3" t="s">
        <v>14206</v>
      </c>
      <c r="H4298" s="3" t="s">
        <v>1144</v>
      </c>
      <c r="K4298" s="2">
        <v>10</v>
      </c>
      <c r="L4298" s="2">
        <v>2</v>
      </c>
      <c r="M4298" s="3" t="s">
        <v>611</v>
      </c>
      <c r="N4298" s="3" t="s">
        <v>13</v>
      </c>
      <c r="O4298" s="3" t="s">
        <v>14</v>
      </c>
      <c r="Q4298" s="30" t="str">
        <f t="shared" si="67"/>
        <v>MAX : 
TARGET : Yes(Pass)
MIN : No(Fail)</v>
      </c>
    </row>
    <row r="4299" spans="2:17" ht="41.4" x14ac:dyDescent="0.3">
      <c r="B4299">
        <v>1</v>
      </c>
      <c r="C4299" s="33">
        <v>8974</v>
      </c>
      <c r="D4299" s="2">
        <v>2024</v>
      </c>
      <c r="E4299" s="2" t="s">
        <v>11726</v>
      </c>
      <c r="F4299" s="3" t="s">
        <v>14206</v>
      </c>
      <c r="H4299" s="3" t="s">
        <v>1144</v>
      </c>
      <c r="K4299" s="2">
        <v>10</v>
      </c>
      <c r="L4299" s="2">
        <v>1</v>
      </c>
      <c r="M4299" s="3" t="s">
        <v>1469</v>
      </c>
      <c r="N4299" s="3" t="s">
        <v>571</v>
      </c>
      <c r="O4299" s="3" t="s">
        <v>276</v>
      </c>
      <c r="P4299" s="3" t="s">
        <v>572</v>
      </c>
      <c r="Q4299" s="30" t="str">
        <f t="shared" si="67"/>
        <v>MAX : 0.405
TARGET : 0.375
MIN : 0.345</v>
      </c>
    </row>
    <row r="4300" spans="2:17" ht="41.4" x14ac:dyDescent="0.3">
      <c r="B4300">
        <v>0</v>
      </c>
      <c r="C4300" s="33">
        <v>9069</v>
      </c>
      <c r="D4300" s="2">
        <v>1421</v>
      </c>
      <c r="E4300" s="2" t="s">
        <v>12293</v>
      </c>
      <c r="F4300" s="3" t="s">
        <v>14206</v>
      </c>
      <c r="H4300" s="3" t="s">
        <v>4765</v>
      </c>
      <c r="K4300" s="2">
        <v>20</v>
      </c>
      <c r="L4300" s="2">
        <v>3</v>
      </c>
      <c r="M4300" s="3" t="s">
        <v>4768</v>
      </c>
      <c r="N4300" s="3" t="s">
        <v>2036</v>
      </c>
      <c r="O4300" s="3" t="s">
        <v>463</v>
      </c>
      <c r="P4300" s="3" t="s">
        <v>689</v>
      </c>
      <c r="Q4300" s="30" t="str">
        <f t="shared" si="67"/>
        <v>MAX : 0.30
TARGET : 0.28
MIN : 0.26</v>
      </c>
    </row>
    <row r="4301" spans="2:17" ht="41.4" x14ac:dyDescent="0.3">
      <c r="B4301">
        <v>0</v>
      </c>
      <c r="C4301" s="33">
        <v>9069</v>
      </c>
      <c r="D4301" s="2">
        <v>1421</v>
      </c>
      <c r="E4301" s="2" t="s">
        <v>12293</v>
      </c>
      <c r="F4301" s="3" t="s">
        <v>14206</v>
      </c>
      <c r="H4301" s="3" t="s">
        <v>4765</v>
      </c>
      <c r="K4301" s="2">
        <v>20</v>
      </c>
      <c r="L4301" s="2">
        <v>4</v>
      </c>
      <c r="M4301" s="3" t="s">
        <v>198</v>
      </c>
      <c r="N4301" s="3" t="s">
        <v>2287</v>
      </c>
      <c r="O4301" s="3" t="s">
        <v>1840</v>
      </c>
      <c r="P4301" s="3" t="s">
        <v>1716</v>
      </c>
      <c r="Q4301" s="30" t="str">
        <f t="shared" si="67"/>
        <v>MAX : 0.83
TARGET : 0.82
MIN : 0.81</v>
      </c>
    </row>
    <row r="4302" spans="2:17" ht="41.4" x14ac:dyDescent="0.3">
      <c r="B4302">
        <v>0</v>
      </c>
      <c r="C4302" s="33">
        <v>9069</v>
      </c>
      <c r="D4302" s="2">
        <v>1421</v>
      </c>
      <c r="E4302" s="2" t="s">
        <v>12293</v>
      </c>
      <c r="F4302" s="3" t="s">
        <v>14206</v>
      </c>
      <c r="H4302" s="3" t="s">
        <v>4765</v>
      </c>
      <c r="K4302" s="2">
        <v>20</v>
      </c>
      <c r="L4302" s="2">
        <v>5</v>
      </c>
      <c r="M4302" s="3" t="s">
        <v>4769</v>
      </c>
      <c r="N4302" s="3" t="s">
        <v>437</v>
      </c>
      <c r="O4302" s="3" t="s">
        <v>1521</v>
      </c>
      <c r="P4302" s="3" t="s">
        <v>424</v>
      </c>
      <c r="Q4302" s="30" t="str">
        <f t="shared" si="67"/>
        <v>MAX : 0.25
TARGET : 0.24
MIN : 0.23</v>
      </c>
    </row>
    <row r="4303" spans="2:17" ht="41.4" x14ac:dyDescent="0.3">
      <c r="B4303">
        <v>0</v>
      </c>
      <c r="C4303" s="33">
        <v>9069</v>
      </c>
      <c r="D4303" s="2">
        <v>1421</v>
      </c>
      <c r="E4303" s="2" t="s">
        <v>12293</v>
      </c>
      <c r="F4303" s="3" t="s">
        <v>14206</v>
      </c>
      <c r="H4303" s="3" t="s">
        <v>4765</v>
      </c>
      <c r="K4303" s="2">
        <v>20</v>
      </c>
      <c r="L4303" s="2">
        <v>6</v>
      </c>
      <c r="M4303" s="3" t="s">
        <v>4770</v>
      </c>
      <c r="N4303" s="3" t="s">
        <v>2531</v>
      </c>
      <c r="O4303" s="3" t="s">
        <v>4771</v>
      </c>
      <c r="P4303" s="3" t="s">
        <v>425</v>
      </c>
      <c r="Q4303" s="30" t="str">
        <f t="shared" si="67"/>
        <v>MAX : 0.31
TARGET : 0.29
MIN : 0.27</v>
      </c>
    </row>
    <row r="4304" spans="2:17" ht="41.4" x14ac:dyDescent="0.3">
      <c r="B4304">
        <v>0</v>
      </c>
      <c r="C4304" s="33">
        <v>9069</v>
      </c>
      <c r="D4304" s="2">
        <v>1421</v>
      </c>
      <c r="E4304" s="2" t="s">
        <v>12293</v>
      </c>
      <c r="F4304" s="3" t="s">
        <v>14206</v>
      </c>
      <c r="H4304" s="3" t="s">
        <v>4765</v>
      </c>
      <c r="K4304" s="2">
        <v>20</v>
      </c>
      <c r="L4304" s="2">
        <v>9</v>
      </c>
      <c r="M4304" s="3" t="s">
        <v>4772</v>
      </c>
      <c r="N4304" s="3" t="s">
        <v>13</v>
      </c>
      <c r="O4304" s="3" t="s">
        <v>14</v>
      </c>
      <c r="Q4304" s="30" t="str">
        <f t="shared" si="67"/>
        <v>MAX : 
TARGET : Yes(Pass)
MIN : No(Fail)</v>
      </c>
    </row>
    <row r="4305" spans="2:18" ht="41.4" x14ac:dyDescent="0.3">
      <c r="B4305">
        <v>0</v>
      </c>
      <c r="C4305" s="33">
        <v>9069</v>
      </c>
      <c r="D4305" s="2">
        <v>1421</v>
      </c>
      <c r="E4305" s="2" t="s">
        <v>12293</v>
      </c>
      <c r="F4305" s="3" t="s">
        <v>14206</v>
      </c>
      <c r="H4305" s="3" t="s">
        <v>4765</v>
      </c>
      <c r="K4305" s="2">
        <v>20</v>
      </c>
      <c r="L4305" s="2">
        <v>7</v>
      </c>
      <c r="M4305" s="3" t="s">
        <v>569</v>
      </c>
      <c r="N4305" s="3" t="s">
        <v>4682</v>
      </c>
      <c r="O4305" s="3" t="s">
        <v>272</v>
      </c>
      <c r="P4305" s="3" t="s">
        <v>3832</v>
      </c>
      <c r="Q4305" s="30" t="str">
        <f t="shared" si="67"/>
        <v>MAX : 1.01
TARGET : 1.00
MIN : 0.99</v>
      </c>
    </row>
    <row r="4306" spans="2:18" ht="41.4" x14ac:dyDescent="0.3">
      <c r="B4306">
        <v>0</v>
      </c>
      <c r="C4306" s="33">
        <v>9069</v>
      </c>
      <c r="D4306" s="2">
        <v>1421</v>
      </c>
      <c r="E4306" s="2" t="s">
        <v>12293</v>
      </c>
      <c r="F4306" s="3" t="s">
        <v>14206</v>
      </c>
      <c r="H4306" s="3" t="s">
        <v>4765</v>
      </c>
      <c r="K4306" s="2">
        <v>20</v>
      </c>
      <c r="L4306" s="2">
        <v>8</v>
      </c>
      <c r="M4306" s="3" t="s">
        <v>1072</v>
      </c>
      <c r="N4306" s="3" t="s">
        <v>777</v>
      </c>
      <c r="O4306" s="3" t="s">
        <v>2061</v>
      </c>
      <c r="P4306" s="3" t="s">
        <v>2456</v>
      </c>
      <c r="Q4306" s="30" t="str">
        <f t="shared" si="67"/>
        <v>MAX : 0.10
TARGET : 0.09
MIN : 0.08</v>
      </c>
    </row>
    <row r="4307" spans="2:18" ht="41.4" x14ac:dyDescent="0.3">
      <c r="B4307">
        <v>0</v>
      </c>
      <c r="C4307" s="33">
        <v>9069</v>
      </c>
      <c r="D4307" s="2">
        <v>1421</v>
      </c>
      <c r="E4307" s="2" t="s">
        <v>12293</v>
      </c>
      <c r="F4307" s="3" t="s">
        <v>14206</v>
      </c>
      <c r="H4307" s="3" t="s">
        <v>4765</v>
      </c>
      <c r="K4307" s="2">
        <v>20</v>
      </c>
      <c r="L4307" s="2">
        <v>10</v>
      </c>
      <c r="M4307" s="3" t="s">
        <v>78</v>
      </c>
      <c r="N4307" s="3" t="s">
        <v>13</v>
      </c>
      <c r="O4307" s="3" t="s">
        <v>14</v>
      </c>
      <c r="Q4307" s="30" t="str">
        <f t="shared" si="67"/>
        <v>MAX : 
TARGET : Yes(Pass)
MIN : No(Fail)</v>
      </c>
    </row>
    <row r="4308" spans="2:18" ht="41.4" x14ac:dyDescent="0.3">
      <c r="B4308">
        <v>1</v>
      </c>
      <c r="C4308" s="33">
        <v>8976</v>
      </c>
      <c r="D4308" s="2">
        <v>1363</v>
      </c>
      <c r="E4308" s="2" t="s">
        <v>11732</v>
      </c>
      <c r="F4308" s="3" t="s">
        <v>14207</v>
      </c>
      <c r="H4308" s="3" t="s">
        <v>1130</v>
      </c>
      <c r="K4308" s="2">
        <v>10</v>
      </c>
      <c r="L4308" s="2">
        <v>2</v>
      </c>
      <c r="M4308" s="3" t="s">
        <v>4285</v>
      </c>
      <c r="N4308" s="3" t="s">
        <v>4286</v>
      </c>
      <c r="O4308" s="3" t="s">
        <v>4287</v>
      </c>
      <c r="P4308" s="3" t="s">
        <v>4288</v>
      </c>
      <c r="Q4308" s="30" t="str">
        <f t="shared" si="67"/>
        <v>MAX : 130.11
TARGET : 129.86
MIN : 129.61</v>
      </c>
    </row>
    <row r="4309" spans="2:18" ht="41.4" x14ac:dyDescent="0.3">
      <c r="B4309">
        <v>1</v>
      </c>
      <c r="C4309" s="33">
        <v>8976</v>
      </c>
      <c r="D4309" s="2">
        <v>1363</v>
      </c>
      <c r="E4309" s="2" t="s">
        <v>11732</v>
      </c>
      <c r="F4309" s="3" t="s">
        <v>14207</v>
      </c>
      <c r="H4309" s="3" t="s">
        <v>1130</v>
      </c>
      <c r="K4309" s="2">
        <v>10</v>
      </c>
      <c r="L4309" s="2">
        <v>1</v>
      </c>
      <c r="M4309" s="3" t="s">
        <v>194</v>
      </c>
      <c r="N4309" s="3" t="s">
        <v>4282</v>
      </c>
      <c r="O4309" s="3" t="s">
        <v>4283</v>
      </c>
      <c r="P4309" s="3" t="s">
        <v>4284</v>
      </c>
      <c r="Q4309" s="30" t="str">
        <f t="shared" si="67"/>
        <v>MAX : 149.40
TARGET : 149.15
MIN : 148.90</v>
      </c>
    </row>
    <row r="4310" spans="2:18" ht="41.4" x14ac:dyDescent="0.3">
      <c r="B4310">
        <v>1</v>
      </c>
      <c r="C4310" s="33">
        <v>8977</v>
      </c>
      <c r="D4310" s="2">
        <v>1364</v>
      </c>
      <c r="E4310" s="2" t="s">
        <v>11738</v>
      </c>
      <c r="F4310" s="3" t="s">
        <v>14207</v>
      </c>
      <c r="H4310" s="3" t="s">
        <v>1328</v>
      </c>
      <c r="K4310" s="2">
        <v>10</v>
      </c>
      <c r="L4310" s="2">
        <v>2</v>
      </c>
      <c r="M4310" s="3" t="s">
        <v>4269</v>
      </c>
      <c r="N4310" s="3" t="s">
        <v>4270</v>
      </c>
      <c r="O4310" s="3" t="s">
        <v>4100</v>
      </c>
      <c r="P4310" s="3" t="s">
        <v>4271</v>
      </c>
      <c r="Q4310" s="30" t="str">
        <f t="shared" si="67"/>
        <v>MAX : 39.45
TARGET : 39.20
MIN : 38.95</v>
      </c>
    </row>
    <row r="4311" spans="2:18" ht="41.4" x14ac:dyDescent="0.3">
      <c r="B4311">
        <v>0</v>
      </c>
      <c r="C4311" s="33">
        <v>8938</v>
      </c>
      <c r="D4311" s="2">
        <v>1342</v>
      </c>
      <c r="E4311" s="2" t="s">
        <v>11522</v>
      </c>
      <c r="F4311" s="3" t="s">
        <v>14206</v>
      </c>
      <c r="G4311" s="3" t="s">
        <v>4081</v>
      </c>
      <c r="H4311" s="3" t="s">
        <v>4082</v>
      </c>
      <c r="K4311" s="2">
        <v>20</v>
      </c>
      <c r="L4311" s="2">
        <v>7</v>
      </c>
      <c r="M4311" s="3" t="s">
        <v>5319</v>
      </c>
      <c r="Q4311" s="30" t="str">
        <f t="shared" si="67"/>
        <v xml:space="preserve">MAX : 
TARGET : 
MIN : </v>
      </c>
      <c r="R4311" s="3" t="s">
        <v>1473</v>
      </c>
    </row>
    <row r="4312" spans="2:18" ht="41.4" x14ac:dyDescent="0.3">
      <c r="B4312">
        <v>0</v>
      </c>
      <c r="C4312" s="33">
        <v>8938</v>
      </c>
      <c r="D4312" s="2">
        <v>1342</v>
      </c>
      <c r="E4312" s="2" t="s">
        <v>11522</v>
      </c>
      <c r="F4312" s="3" t="s">
        <v>14206</v>
      </c>
      <c r="G4312" s="3" t="s">
        <v>4081</v>
      </c>
      <c r="H4312" s="3" t="s">
        <v>4082</v>
      </c>
      <c r="K4312" s="2">
        <v>20</v>
      </c>
      <c r="L4312" s="2">
        <v>5</v>
      </c>
      <c r="M4312" s="3" t="s">
        <v>5389</v>
      </c>
      <c r="N4312" s="3" t="s">
        <v>13</v>
      </c>
      <c r="O4312" s="3" t="s">
        <v>14</v>
      </c>
      <c r="Q4312" s="30" t="str">
        <f t="shared" si="67"/>
        <v>MAX : 
TARGET : Yes(Pass)
MIN : No(Fail)</v>
      </c>
      <c r="R4312" s="3" t="s">
        <v>1473</v>
      </c>
    </row>
    <row r="4313" spans="2:18" ht="41.4" x14ac:dyDescent="0.3">
      <c r="B4313">
        <v>0</v>
      </c>
      <c r="C4313" s="33">
        <v>8938</v>
      </c>
      <c r="D4313" s="2">
        <v>1342</v>
      </c>
      <c r="E4313" s="2" t="s">
        <v>11522</v>
      </c>
      <c r="F4313" s="3" t="s">
        <v>14206</v>
      </c>
      <c r="G4313" s="3" t="s">
        <v>4081</v>
      </c>
      <c r="H4313" s="3" t="s">
        <v>4082</v>
      </c>
      <c r="K4313" s="2">
        <v>20</v>
      </c>
      <c r="L4313" s="2">
        <v>2</v>
      </c>
      <c r="M4313" s="3" t="s">
        <v>5412</v>
      </c>
      <c r="N4313" s="3" t="s">
        <v>13</v>
      </c>
      <c r="O4313" s="3" t="s">
        <v>14</v>
      </c>
      <c r="Q4313" s="30" t="str">
        <f t="shared" si="67"/>
        <v>MAX : 
TARGET : Yes(Pass)
MIN : No(Fail)</v>
      </c>
      <c r="R4313" s="3" t="s">
        <v>1473</v>
      </c>
    </row>
    <row r="4314" spans="2:18" ht="41.4" x14ac:dyDescent="0.3">
      <c r="B4314">
        <v>1</v>
      </c>
      <c r="C4314" s="33">
        <v>8977</v>
      </c>
      <c r="D4314" s="2">
        <v>1364</v>
      </c>
      <c r="E4314" s="2" t="s">
        <v>11738</v>
      </c>
      <c r="F4314" s="3" t="s">
        <v>14207</v>
      </c>
      <c r="H4314" s="3" t="s">
        <v>1328</v>
      </c>
      <c r="K4314" s="2">
        <v>10</v>
      </c>
      <c r="L4314" s="2">
        <v>1</v>
      </c>
      <c r="M4314" s="3" t="s">
        <v>194</v>
      </c>
      <c r="N4314" s="3" t="s">
        <v>4266</v>
      </c>
      <c r="O4314" s="3" t="s">
        <v>4267</v>
      </c>
      <c r="P4314" s="3" t="s">
        <v>4268</v>
      </c>
      <c r="Q4314" s="30" t="str">
        <f t="shared" si="67"/>
        <v>MAX : 47.33
TARGET : 47.20
MIN : 47.07</v>
      </c>
    </row>
    <row r="4315" spans="2:18" ht="41.4" x14ac:dyDescent="0.3">
      <c r="B4315">
        <v>0</v>
      </c>
      <c r="C4315" s="33">
        <v>9071</v>
      </c>
      <c r="D4315" s="2">
        <v>2059</v>
      </c>
      <c r="E4315" s="2" t="s">
        <v>12308</v>
      </c>
      <c r="F4315" s="3" t="s">
        <v>14206</v>
      </c>
      <c r="H4315" s="3" t="s">
        <v>11</v>
      </c>
      <c r="K4315" s="2">
        <v>20</v>
      </c>
      <c r="L4315" s="2">
        <v>2</v>
      </c>
      <c r="M4315" s="3" t="s">
        <v>4779</v>
      </c>
      <c r="N4315" s="3" t="s">
        <v>775</v>
      </c>
      <c r="O4315" s="3" t="s">
        <v>2001</v>
      </c>
      <c r="P4315" s="3" t="s">
        <v>1536</v>
      </c>
      <c r="Q4315" s="30" t="str">
        <f t="shared" si="67"/>
        <v>MAX : 0.06
TARGET : 0.03
MIN : 0.00</v>
      </c>
    </row>
    <row r="4316" spans="2:18" ht="41.4" x14ac:dyDescent="0.3">
      <c r="B4316">
        <v>0</v>
      </c>
      <c r="C4316" s="33">
        <v>9071</v>
      </c>
      <c r="D4316" s="2">
        <v>2059</v>
      </c>
      <c r="E4316" s="2" t="s">
        <v>12308</v>
      </c>
      <c r="F4316" s="3" t="s">
        <v>14206</v>
      </c>
      <c r="H4316" s="3" t="s">
        <v>11</v>
      </c>
      <c r="K4316" s="2">
        <v>20</v>
      </c>
      <c r="L4316" s="2">
        <v>3</v>
      </c>
      <c r="M4316" s="3" t="s">
        <v>4780</v>
      </c>
      <c r="N4316" s="3" t="s">
        <v>775</v>
      </c>
      <c r="O4316" s="3" t="s">
        <v>2001</v>
      </c>
      <c r="P4316" s="3" t="s">
        <v>1536</v>
      </c>
      <c r="Q4316" s="30" t="str">
        <f t="shared" si="67"/>
        <v>MAX : 0.06
TARGET : 0.03
MIN : 0.00</v>
      </c>
    </row>
    <row r="4317" spans="2:18" ht="41.4" x14ac:dyDescent="0.3">
      <c r="B4317">
        <v>1</v>
      </c>
      <c r="C4317" s="33">
        <v>8981</v>
      </c>
      <c r="D4317" s="2">
        <v>2025</v>
      </c>
      <c r="E4317" s="2" t="s">
        <v>11754</v>
      </c>
      <c r="F4317" s="3" t="s">
        <v>14206</v>
      </c>
      <c r="H4317" s="3" t="s">
        <v>168</v>
      </c>
      <c r="K4317" s="2">
        <v>10</v>
      </c>
      <c r="L4317" s="2">
        <v>3</v>
      </c>
      <c r="M4317" s="3" t="s">
        <v>1135</v>
      </c>
      <c r="N4317" s="3" t="s">
        <v>24</v>
      </c>
      <c r="O4317" s="3" t="s">
        <v>25</v>
      </c>
      <c r="Q4317" s="30" t="str">
        <f t="shared" si="67"/>
        <v>MAX : 
TARGET : Yes (Pass)
MIN : No (Fail)</v>
      </c>
    </row>
    <row r="4318" spans="2:18" ht="41.4" x14ac:dyDescent="0.3">
      <c r="B4318">
        <v>1</v>
      </c>
      <c r="C4318" s="33">
        <v>8981</v>
      </c>
      <c r="D4318" s="2">
        <v>2025</v>
      </c>
      <c r="E4318" s="2" t="s">
        <v>11754</v>
      </c>
      <c r="F4318" s="3" t="s">
        <v>14206</v>
      </c>
      <c r="H4318" s="3" t="s">
        <v>168</v>
      </c>
      <c r="K4318" s="2">
        <v>10</v>
      </c>
      <c r="L4318" s="2">
        <v>1</v>
      </c>
      <c r="M4318" s="3" t="s">
        <v>806</v>
      </c>
      <c r="N4318" s="3" t="s">
        <v>485</v>
      </c>
      <c r="O4318" s="3" t="s">
        <v>272</v>
      </c>
      <c r="P4318" s="3" t="s">
        <v>507</v>
      </c>
      <c r="Q4318" s="30" t="str">
        <f t="shared" si="67"/>
        <v>MAX : 1.06
TARGET : 1.00
MIN : 0.94</v>
      </c>
    </row>
    <row r="4319" spans="2:18" ht="41.4" x14ac:dyDescent="0.3">
      <c r="B4319">
        <v>1</v>
      </c>
      <c r="C4319" s="33">
        <v>8982</v>
      </c>
      <c r="D4319" s="2">
        <v>2026</v>
      </c>
      <c r="E4319" s="2" t="s">
        <v>11760</v>
      </c>
      <c r="F4319" s="3" t="s">
        <v>14206</v>
      </c>
      <c r="H4319" s="3" t="s">
        <v>11</v>
      </c>
      <c r="K4319" s="2">
        <v>20</v>
      </c>
      <c r="L4319" s="2">
        <v>2</v>
      </c>
      <c r="M4319" s="3" t="s">
        <v>4300</v>
      </c>
      <c r="N4319" s="3" t="s">
        <v>420</v>
      </c>
      <c r="O4319" s="3" t="s">
        <v>272</v>
      </c>
      <c r="P4319" s="3" t="s">
        <v>414</v>
      </c>
      <c r="Q4319" s="30" t="str">
        <f t="shared" si="67"/>
        <v>MAX : 1.03
TARGET : 1.00
MIN : 0.97</v>
      </c>
    </row>
    <row r="4320" spans="2:18" ht="41.4" x14ac:dyDescent="0.3">
      <c r="B4320">
        <v>1</v>
      </c>
      <c r="C4320" s="33">
        <v>8982</v>
      </c>
      <c r="D4320" s="2">
        <v>2026</v>
      </c>
      <c r="E4320" s="2" t="s">
        <v>11760</v>
      </c>
      <c r="F4320" s="3" t="s">
        <v>14206</v>
      </c>
      <c r="H4320" s="3" t="s">
        <v>11</v>
      </c>
      <c r="K4320" s="2">
        <v>20</v>
      </c>
      <c r="L4320" s="2">
        <v>1</v>
      </c>
      <c r="M4320" s="3" t="s">
        <v>4299</v>
      </c>
      <c r="N4320" s="3" t="s">
        <v>459</v>
      </c>
      <c r="O4320" s="3" t="s">
        <v>406</v>
      </c>
      <c r="P4320" s="3" t="s">
        <v>460</v>
      </c>
      <c r="Q4320" s="30" t="str">
        <f t="shared" si="67"/>
        <v>MAX : 2.03
TARGET : 2.00
MIN : 1.97</v>
      </c>
    </row>
    <row r="4321" spans="2:17" ht="41.4" x14ac:dyDescent="0.3">
      <c r="B4321">
        <v>0</v>
      </c>
      <c r="C4321" s="33">
        <v>5651</v>
      </c>
      <c r="D4321" s="2">
        <v>974</v>
      </c>
      <c r="E4321" s="2" t="s">
        <v>7555</v>
      </c>
      <c r="F4321" s="3" t="s">
        <v>14215</v>
      </c>
      <c r="H4321" s="3" t="s">
        <v>1183</v>
      </c>
      <c r="I4321" s="3" t="s">
        <v>575</v>
      </c>
      <c r="K4321" s="2">
        <v>10</v>
      </c>
      <c r="L4321" s="2">
        <v>12</v>
      </c>
      <c r="M4321" s="3" t="s">
        <v>4791</v>
      </c>
      <c r="N4321" s="3" t="s">
        <v>4792</v>
      </c>
      <c r="O4321" s="3" t="s">
        <v>4793</v>
      </c>
      <c r="P4321" s="3" t="s">
        <v>4794</v>
      </c>
      <c r="Q4321" s="30" t="str">
        <f t="shared" si="67"/>
        <v>MAX : 20.98
TARGET : 20.73
MIN : 20.48</v>
      </c>
    </row>
    <row r="4322" spans="2:17" ht="41.4" x14ac:dyDescent="0.3">
      <c r="B4322">
        <v>0</v>
      </c>
      <c r="C4322" s="33">
        <v>5651</v>
      </c>
      <c r="D4322" s="2">
        <v>974</v>
      </c>
      <c r="E4322" s="2" t="s">
        <v>7555</v>
      </c>
      <c r="F4322" s="3" t="s">
        <v>14215</v>
      </c>
      <c r="H4322" s="3" t="s">
        <v>1183</v>
      </c>
      <c r="I4322" s="3" t="s">
        <v>575</v>
      </c>
      <c r="K4322" s="2">
        <v>10</v>
      </c>
      <c r="L4322" s="2">
        <v>13</v>
      </c>
      <c r="M4322" s="3" t="s">
        <v>4795</v>
      </c>
      <c r="N4322" s="3" t="s">
        <v>4792</v>
      </c>
      <c r="O4322" s="3" t="s">
        <v>4793</v>
      </c>
      <c r="P4322" s="3" t="s">
        <v>4794</v>
      </c>
      <c r="Q4322" s="30" t="str">
        <f t="shared" si="67"/>
        <v>MAX : 20.98
TARGET : 20.73
MIN : 20.48</v>
      </c>
    </row>
    <row r="4323" spans="2:17" ht="41.4" x14ac:dyDescent="0.3">
      <c r="B4323">
        <v>0</v>
      </c>
      <c r="C4323" s="33">
        <v>5651</v>
      </c>
      <c r="D4323" s="2">
        <v>974</v>
      </c>
      <c r="E4323" s="2" t="s">
        <v>7555</v>
      </c>
      <c r="F4323" s="3" t="s">
        <v>14215</v>
      </c>
      <c r="H4323" s="3" t="s">
        <v>1183</v>
      </c>
      <c r="I4323" s="3" t="s">
        <v>575</v>
      </c>
      <c r="K4323" s="2">
        <v>10</v>
      </c>
      <c r="L4323" s="2">
        <v>14</v>
      </c>
      <c r="M4323" s="3" t="s">
        <v>4796</v>
      </c>
      <c r="N4323" s="3" t="s">
        <v>4797</v>
      </c>
      <c r="O4323" s="3" t="s">
        <v>4798</v>
      </c>
      <c r="P4323" s="3" t="s">
        <v>4799</v>
      </c>
      <c r="Q4323" s="30" t="str">
        <f t="shared" si="67"/>
        <v>MAX : 25.87
TARGET : 25.62
MIN : 25.37</v>
      </c>
    </row>
    <row r="4324" spans="2:17" ht="41.4" x14ac:dyDescent="0.3">
      <c r="B4324">
        <v>0</v>
      </c>
      <c r="C4324" s="33">
        <v>5651</v>
      </c>
      <c r="D4324" s="2">
        <v>974</v>
      </c>
      <c r="E4324" s="2" t="s">
        <v>7555</v>
      </c>
      <c r="F4324" s="3" t="s">
        <v>14215</v>
      </c>
      <c r="H4324" s="3" t="s">
        <v>1183</v>
      </c>
      <c r="I4324" s="3" t="s">
        <v>575</v>
      </c>
      <c r="K4324" s="2">
        <v>10</v>
      </c>
      <c r="L4324" s="2">
        <v>15</v>
      </c>
      <c r="M4324" s="3" t="s">
        <v>4800</v>
      </c>
      <c r="N4324" s="3" t="s">
        <v>1200</v>
      </c>
      <c r="O4324" s="3" t="s">
        <v>1201</v>
      </c>
      <c r="P4324" s="3" t="s">
        <v>1202</v>
      </c>
      <c r="Q4324" s="30" t="str">
        <f t="shared" si="67"/>
        <v>MAX : 44.25
TARGET : 44.00
MIN : 43.75</v>
      </c>
    </row>
    <row r="4325" spans="2:17" ht="41.4" x14ac:dyDescent="0.3">
      <c r="B4325">
        <v>0</v>
      </c>
      <c r="C4325" s="33">
        <v>5651</v>
      </c>
      <c r="D4325" s="2">
        <v>974</v>
      </c>
      <c r="E4325" s="2" t="s">
        <v>7555</v>
      </c>
      <c r="F4325" s="3" t="s">
        <v>14215</v>
      </c>
      <c r="H4325" s="3" t="s">
        <v>1183</v>
      </c>
      <c r="I4325" s="3" t="s">
        <v>575</v>
      </c>
      <c r="K4325" s="2">
        <v>10</v>
      </c>
      <c r="L4325" s="2">
        <v>16</v>
      </c>
      <c r="M4325" s="3" t="s">
        <v>4801</v>
      </c>
      <c r="N4325" s="3" t="s">
        <v>859</v>
      </c>
      <c r="O4325" s="3" t="s">
        <v>4773</v>
      </c>
      <c r="P4325" s="3" t="s">
        <v>860</v>
      </c>
      <c r="Q4325" s="30" t="str">
        <f t="shared" si="67"/>
        <v>MAX : 18.00
TARGET : 17.75
MIN : 17.50</v>
      </c>
    </row>
    <row r="4326" spans="2:17" ht="41.4" x14ac:dyDescent="0.3">
      <c r="B4326">
        <v>0</v>
      </c>
      <c r="C4326" s="33">
        <v>5651</v>
      </c>
      <c r="D4326" s="2">
        <v>974</v>
      </c>
      <c r="E4326" s="2" t="s">
        <v>7555</v>
      </c>
      <c r="F4326" s="3" t="s">
        <v>14215</v>
      </c>
      <c r="H4326" s="3" t="s">
        <v>1183</v>
      </c>
      <c r="I4326" s="3" t="s">
        <v>575</v>
      </c>
      <c r="K4326" s="2">
        <v>10</v>
      </c>
      <c r="L4326" s="2">
        <v>17</v>
      </c>
      <c r="M4326" s="3" t="s">
        <v>4802</v>
      </c>
      <c r="N4326" s="3" t="s">
        <v>4784</v>
      </c>
      <c r="O4326" s="3" t="s">
        <v>4785</v>
      </c>
      <c r="P4326" s="3" t="s">
        <v>4786</v>
      </c>
      <c r="Q4326" s="30" t="str">
        <f t="shared" si="67"/>
        <v>MAX : 15.31
TARGET : 15.06
MIN : 14.81</v>
      </c>
    </row>
    <row r="4327" spans="2:17" ht="41.4" x14ac:dyDescent="0.3">
      <c r="B4327">
        <v>0</v>
      </c>
      <c r="C4327" s="33">
        <v>5651</v>
      </c>
      <c r="D4327" s="2">
        <v>974</v>
      </c>
      <c r="E4327" s="2" t="s">
        <v>7555</v>
      </c>
      <c r="F4327" s="3" t="s">
        <v>14215</v>
      </c>
      <c r="H4327" s="3" t="s">
        <v>1183</v>
      </c>
      <c r="I4327" s="3" t="s">
        <v>575</v>
      </c>
      <c r="K4327" s="2">
        <v>10</v>
      </c>
      <c r="L4327" s="2">
        <v>18</v>
      </c>
      <c r="M4327" s="3" t="s">
        <v>4803</v>
      </c>
      <c r="N4327" s="3" t="s">
        <v>4804</v>
      </c>
      <c r="O4327" s="3" t="s">
        <v>4805</v>
      </c>
      <c r="P4327" s="3" t="s">
        <v>4806</v>
      </c>
      <c r="Q4327" s="30" t="str">
        <f t="shared" si="67"/>
        <v>MAX : 46.75
TARGET : 46.50
MIN : 46.25</v>
      </c>
    </row>
    <row r="4328" spans="2:17" ht="41.4" x14ac:dyDescent="0.3">
      <c r="B4328">
        <v>0</v>
      </c>
      <c r="C4328" s="33">
        <v>5651</v>
      </c>
      <c r="D4328" s="2">
        <v>974</v>
      </c>
      <c r="E4328" s="2" t="s">
        <v>7555</v>
      </c>
      <c r="F4328" s="3" t="s">
        <v>14215</v>
      </c>
      <c r="H4328" s="3" t="s">
        <v>1183</v>
      </c>
      <c r="I4328" s="3" t="s">
        <v>575</v>
      </c>
      <c r="K4328" s="2">
        <v>10</v>
      </c>
      <c r="L4328" s="2">
        <v>19</v>
      </c>
      <c r="M4328" s="3" t="s">
        <v>4807</v>
      </c>
      <c r="N4328" s="3" t="s">
        <v>4808</v>
      </c>
      <c r="O4328" s="3" t="s">
        <v>4526</v>
      </c>
      <c r="P4328" s="3" t="s">
        <v>4809</v>
      </c>
      <c r="Q4328" s="30" t="str">
        <f t="shared" si="67"/>
        <v>MAX : 51.05
TARGET : 50.80
MIN : 50.55</v>
      </c>
    </row>
    <row r="4329" spans="2:17" ht="41.4" x14ac:dyDescent="0.3">
      <c r="B4329">
        <v>0</v>
      </c>
      <c r="C4329" s="33">
        <v>5651</v>
      </c>
      <c r="D4329" s="2">
        <v>974</v>
      </c>
      <c r="E4329" s="2" t="s">
        <v>7555</v>
      </c>
      <c r="F4329" s="3" t="s">
        <v>14215</v>
      </c>
      <c r="H4329" s="3" t="s">
        <v>1183</v>
      </c>
      <c r="I4329" s="3" t="s">
        <v>575</v>
      </c>
      <c r="K4329" s="2">
        <v>10</v>
      </c>
      <c r="L4329" s="2">
        <v>20</v>
      </c>
      <c r="M4329" s="3" t="s">
        <v>4810</v>
      </c>
      <c r="N4329" s="3" t="s">
        <v>4811</v>
      </c>
      <c r="O4329" s="3" t="s">
        <v>4812</v>
      </c>
      <c r="P4329" s="3" t="s">
        <v>4813</v>
      </c>
      <c r="Q4329" s="30" t="str">
        <f t="shared" si="67"/>
        <v>MAX : 55.25
TARGET : 55.00
MIN : 54.75</v>
      </c>
    </row>
    <row r="4330" spans="2:17" ht="41.4" x14ac:dyDescent="0.3">
      <c r="B4330">
        <v>0</v>
      </c>
      <c r="C4330" s="33">
        <v>5651</v>
      </c>
      <c r="D4330" s="2">
        <v>974</v>
      </c>
      <c r="E4330" s="2" t="s">
        <v>7555</v>
      </c>
      <c r="F4330" s="3" t="s">
        <v>14215</v>
      </c>
      <c r="H4330" s="3" t="s">
        <v>1183</v>
      </c>
      <c r="I4330" s="3" t="s">
        <v>575</v>
      </c>
      <c r="K4330" s="2">
        <v>10</v>
      </c>
      <c r="L4330" s="2">
        <v>21</v>
      </c>
      <c r="M4330" s="3" t="s">
        <v>4814</v>
      </c>
      <c r="N4330" s="3" t="s">
        <v>4815</v>
      </c>
      <c r="O4330" s="3" t="s">
        <v>4816</v>
      </c>
      <c r="P4330" s="3" t="s">
        <v>4817</v>
      </c>
      <c r="Q4330" s="30" t="str">
        <f t="shared" si="67"/>
        <v>MAX : 56.63
TARGET : 56.38
MIN : 56.13</v>
      </c>
    </row>
    <row r="4331" spans="2:17" ht="41.4" x14ac:dyDescent="0.3">
      <c r="B4331">
        <v>0</v>
      </c>
      <c r="C4331" s="33">
        <v>5651</v>
      </c>
      <c r="D4331" s="2">
        <v>974</v>
      </c>
      <c r="E4331" s="2" t="s">
        <v>7555</v>
      </c>
      <c r="F4331" s="3" t="s">
        <v>14215</v>
      </c>
      <c r="H4331" s="3" t="s">
        <v>1183</v>
      </c>
      <c r="I4331" s="3" t="s">
        <v>575</v>
      </c>
      <c r="K4331" s="2">
        <v>10</v>
      </c>
      <c r="L4331" s="2">
        <v>25</v>
      </c>
      <c r="M4331" s="3" t="s">
        <v>4818</v>
      </c>
      <c r="N4331" s="3" t="s">
        <v>1732</v>
      </c>
      <c r="O4331" s="3" t="s">
        <v>2020</v>
      </c>
      <c r="P4331" s="3" t="s">
        <v>4263</v>
      </c>
      <c r="Q4331" s="30" t="str">
        <f t="shared" si="67"/>
        <v>MAX : 0.89
TARGET : 0.64
MIN : 0.39</v>
      </c>
    </row>
    <row r="4332" spans="2:17" ht="41.4" x14ac:dyDescent="0.3">
      <c r="B4332">
        <v>1</v>
      </c>
      <c r="C4332" s="33">
        <v>8983</v>
      </c>
      <c r="D4332" s="2">
        <v>1368</v>
      </c>
      <c r="E4332" s="2" t="s">
        <v>11766</v>
      </c>
      <c r="F4332" s="3" t="s">
        <v>14206</v>
      </c>
      <c r="H4332" s="3" t="s">
        <v>4305</v>
      </c>
      <c r="K4332" s="2">
        <v>20</v>
      </c>
      <c r="L4332" s="2">
        <v>2</v>
      </c>
      <c r="M4332" s="3" t="s">
        <v>570</v>
      </c>
      <c r="N4332" s="3" t="s">
        <v>1252</v>
      </c>
      <c r="O4332" s="3" t="s">
        <v>860</v>
      </c>
      <c r="P4332" s="3" t="s">
        <v>1254</v>
      </c>
      <c r="Q4332" s="30" t="str">
        <f t="shared" si="67"/>
        <v>MAX : 18.125
TARGET : 18.00
MIN : 17.875</v>
      </c>
    </row>
    <row r="4333" spans="2:17" ht="41.4" x14ac:dyDescent="0.3">
      <c r="B4333">
        <v>1</v>
      </c>
      <c r="C4333" s="33">
        <v>8983</v>
      </c>
      <c r="D4333" s="2">
        <v>1368</v>
      </c>
      <c r="E4333" s="2" t="s">
        <v>11766</v>
      </c>
      <c r="F4333" s="3" t="s">
        <v>14206</v>
      </c>
      <c r="H4333" s="3" t="s">
        <v>4305</v>
      </c>
      <c r="K4333" s="2">
        <v>20</v>
      </c>
      <c r="L4333" s="2">
        <v>1</v>
      </c>
      <c r="M4333" s="3" t="s">
        <v>2088</v>
      </c>
      <c r="N4333" s="3" t="s">
        <v>801</v>
      </c>
      <c r="O4333" s="3" t="s">
        <v>2815</v>
      </c>
      <c r="P4333" s="3" t="s">
        <v>803</v>
      </c>
      <c r="Q4333" s="30" t="str">
        <f t="shared" si="67"/>
        <v>MAX : 24.125
TARGET : 24.00
MIN : 23.875</v>
      </c>
    </row>
    <row r="4334" spans="2:17" ht="41.4" x14ac:dyDescent="0.3">
      <c r="B4334">
        <v>1</v>
      </c>
      <c r="C4334" s="33">
        <v>8984</v>
      </c>
      <c r="D4334" s="2">
        <v>1369</v>
      </c>
      <c r="E4334" s="2" t="s">
        <v>11772</v>
      </c>
      <c r="F4334" s="3" t="s">
        <v>14206</v>
      </c>
      <c r="H4334" s="3" t="s">
        <v>504</v>
      </c>
      <c r="K4334" s="2">
        <v>20</v>
      </c>
      <c r="L4334" s="2">
        <v>2</v>
      </c>
      <c r="M4334" s="3" t="s">
        <v>198</v>
      </c>
      <c r="N4334" s="3" t="s">
        <v>979</v>
      </c>
      <c r="O4334" s="3" t="s">
        <v>309</v>
      </c>
      <c r="P4334" s="3" t="s">
        <v>1531</v>
      </c>
      <c r="Q4334" s="30" t="str">
        <f t="shared" si="67"/>
        <v>MAX : 0.56
TARGET : 0.50
MIN : 0.44</v>
      </c>
    </row>
    <row r="4335" spans="2:17" ht="41.4" x14ac:dyDescent="0.3">
      <c r="B4335">
        <v>1</v>
      </c>
      <c r="C4335" s="33">
        <v>8984</v>
      </c>
      <c r="D4335" s="2">
        <v>1369</v>
      </c>
      <c r="E4335" s="2" t="s">
        <v>11772</v>
      </c>
      <c r="F4335" s="3" t="s">
        <v>14206</v>
      </c>
      <c r="H4335" s="3" t="s">
        <v>504</v>
      </c>
      <c r="K4335" s="2">
        <v>10</v>
      </c>
      <c r="L4335" s="2">
        <v>1</v>
      </c>
      <c r="M4335" s="3" t="s">
        <v>174</v>
      </c>
      <c r="N4335" s="3" t="s">
        <v>1173</v>
      </c>
      <c r="O4335" s="3" t="s">
        <v>250</v>
      </c>
      <c r="P4335" s="3" t="s">
        <v>1174</v>
      </c>
      <c r="Q4335" s="30" t="str">
        <f t="shared" si="67"/>
        <v>MAX : 6.06
TARGET : 6.00
MIN : 5.94</v>
      </c>
    </row>
    <row r="4336" spans="2:17" ht="41.4" x14ac:dyDescent="0.3">
      <c r="B4336">
        <v>0</v>
      </c>
      <c r="C4336" s="33">
        <v>9073</v>
      </c>
      <c r="D4336" s="2">
        <v>1422</v>
      </c>
      <c r="E4336" s="2" t="s">
        <v>12320</v>
      </c>
      <c r="F4336" s="3" t="s">
        <v>14206</v>
      </c>
      <c r="H4336" s="3" t="s">
        <v>2150</v>
      </c>
      <c r="K4336" s="2">
        <v>10</v>
      </c>
      <c r="L4336" s="2">
        <v>3</v>
      </c>
      <c r="M4336" s="3" t="s">
        <v>4281</v>
      </c>
      <c r="N4336" s="3" t="s">
        <v>13</v>
      </c>
      <c r="O4336" s="3" t="s">
        <v>14</v>
      </c>
      <c r="Q4336" s="30" t="str">
        <f t="shared" si="67"/>
        <v>MAX : 
TARGET : Yes(Pass)
MIN : No(Fail)</v>
      </c>
    </row>
    <row r="4337" spans="2:17" ht="41.4" x14ac:dyDescent="0.3">
      <c r="B4337">
        <v>1</v>
      </c>
      <c r="C4337" s="33">
        <v>8985</v>
      </c>
      <c r="D4337" s="2">
        <v>1370</v>
      </c>
      <c r="E4337" s="2" t="s">
        <v>11778</v>
      </c>
      <c r="F4337" s="3" t="s">
        <v>14207</v>
      </c>
      <c r="H4337" s="3" t="s">
        <v>1949</v>
      </c>
      <c r="K4337" s="2">
        <v>20</v>
      </c>
      <c r="L4337" s="2">
        <v>3</v>
      </c>
      <c r="M4337" s="3" t="s">
        <v>4316</v>
      </c>
      <c r="N4337" s="3" t="s">
        <v>13</v>
      </c>
      <c r="O4337" s="3" t="s">
        <v>14</v>
      </c>
      <c r="Q4337" s="30" t="str">
        <f t="shared" si="67"/>
        <v>MAX : 
TARGET : Yes(Pass)
MIN : No(Fail)</v>
      </c>
    </row>
    <row r="4338" spans="2:17" ht="41.4" x14ac:dyDescent="0.3">
      <c r="B4338">
        <v>1</v>
      </c>
      <c r="C4338" s="33">
        <v>8985</v>
      </c>
      <c r="D4338" s="2">
        <v>1370</v>
      </c>
      <c r="E4338" s="2" t="s">
        <v>11778</v>
      </c>
      <c r="F4338" s="3" t="s">
        <v>14207</v>
      </c>
      <c r="H4338" s="3" t="s">
        <v>1949</v>
      </c>
      <c r="K4338" s="2">
        <v>20</v>
      </c>
      <c r="L4338" s="2">
        <v>1</v>
      </c>
      <c r="M4338" s="3" t="s">
        <v>4312</v>
      </c>
      <c r="N4338" s="3" t="s">
        <v>4313</v>
      </c>
      <c r="O4338" s="3" t="s">
        <v>4314</v>
      </c>
      <c r="P4338" s="3" t="s">
        <v>4315</v>
      </c>
      <c r="Q4338" s="30" t="str">
        <f t="shared" si="67"/>
        <v>MAX : 114.10
TARGET : 113.30
MIN : 112.50</v>
      </c>
    </row>
    <row r="4339" spans="2:17" ht="41.4" x14ac:dyDescent="0.3">
      <c r="B4339">
        <v>0</v>
      </c>
      <c r="C4339" s="33">
        <v>9074</v>
      </c>
      <c r="D4339" s="2">
        <v>1423</v>
      </c>
      <c r="E4339" s="2" t="s">
        <v>12326</v>
      </c>
      <c r="F4339" s="3" t="s">
        <v>14206</v>
      </c>
      <c r="H4339" s="3" t="s">
        <v>2150</v>
      </c>
      <c r="K4339" s="2">
        <v>10</v>
      </c>
      <c r="L4339" s="2">
        <v>3</v>
      </c>
      <c r="M4339" s="3" t="s">
        <v>4281</v>
      </c>
      <c r="N4339" s="3" t="s">
        <v>13</v>
      </c>
      <c r="O4339" s="3" t="s">
        <v>14</v>
      </c>
      <c r="Q4339" s="30" t="str">
        <f t="shared" si="67"/>
        <v>MAX : 
TARGET : Yes(Pass)
MIN : No(Fail)</v>
      </c>
    </row>
    <row r="4340" spans="2:17" ht="41.4" x14ac:dyDescent="0.3">
      <c r="B4340">
        <v>1</v>
      </c>
      <c r="C4340" s="33">
        <v>8985</v>
      </c>
      <c r="D4340" s="2">
        <v>1370</v>
      </c>
      <c r="E4340" s="2" t="s">
        <v>11778</v>
      </c>
      <c r="F4340" s="3" t="s">
        <v>14207</v>
      </c>
      <c r="H4340" s="3" t="s">
        <v>1949</v>
      </c>
      <c r="K4340" s="2">
        <v>20</v>
      </c>
      <c r="L4340" s="2">
        <v>2</v>
      </c>
      <c r="M4340" s="3" t="s">
        <v>5099</v>
      </c>
      <c r="N4340" s="3" t="s">
        <v>4313</v>
      </c>
      <c r="O4340" s="3" t="s">
        <v>4314</v>
      </c>
      <c r="P4340" s="3" t="s">
        <v>4315</v>
      </c>
      <c r="Q4340" s="30" t="str">
        <f t="shared" si="67"/>
        <v>MAX : 114.10
TARGET : 113.30
MIN : 112.50</v>
      </c>
    </row>
    <row r="4341" spans="2:17" ht="41.4" x14ac:dyDescent="0.3">
      <c r="B4341">
        <v>1</v>
      </c>
      <c r="C4341" s="33">
        <v>8986</v>
      </c>
      <c r="D4341" s="2">
        <v>2027</v>
      </c>
      <c r="E4341" s="2" t="s">
        <v>11785</v>
      </c>
      <c r="F4341" s="3" t="s">
        <v>14206</v>
      </c>
      <c r="H4341" s="3" t="s">
        <v>412</v>
      </c>
      <c r="K4341" s="2">
        <v>30</v>
      </c>
      <c r="L4341" s="2">
        <v>2</v>
      </c>
      <c r="M4341" s="3" t="s">
        <v>959</v>
      </c>
      <c r="N4341" s="3" t="s">
        <v>13</v>
      </c>
      <c r="O4341" s="3" t="s">
        <v>14</v>
      </c>
      <c r="Q4341" s="30" t="str">
        <f t="shared" si="67"/>
        <v>MAX : 
TARGET : Yes(Pass)
MIN : No(Fail)</v>
      </c>
    </row>
    <row r="4342" spans="2:17" ht="41.4" x14ac:dyDescent="0.3">
      <c r="B4342">
        <v>1</v>
      </c>
      <c r="C4342" s="33">
        <v>8986</v>
      </c>
      <c r="D4342" s="2">
        <v>2027</v>
      </c>
      <c r="E4342" s="2" t="s">
        <v>11785</v>
      </c>
      <c r="F4342" s="3" t="s">
        <v>14206</v>
      </c>
      <c r="H4342" s="3" t="s">
        <v>412</v>
      </c>
      <c r="K4342" s="2">
        <v>30</v>
      </c>
      <c r="L4342" s="2">
        <v>1</v>
      </c>
      <c r="M4342" s="3" t="s">
        <v>174</v>
      </c>
      <c r="N4342" s="3" t="s">
        <v>955</v>
      </c>
      <c r="O4342" s="3" t="s">
        <v>139</v>
      </c>
      <c r="P4342" s="3" t="s">
        <v>140</v>
      </c>
      <c r="Q4342" s="30" t="str">
        <f t="shared" si="67"/>
        <v>MAX : 1.031
TARGET : 1.000
MIN : 0.969</v>
      </c>
    </row>
    <row r="4343" spans="2:17" ht="41.4" x14ac:dyDescent="0.3">
      <c r="B4343">
        <v>1</v>
      </c>
      <c r="C4343" s="33">
        <v>8987</v>
      </c>
      <c r="D4343" s="2">
        <v>2028</v>
      </c>
      <c r="E4343" s="2" t="s">
        <v>11793</v>
      </c>
      <c r="F4343" s="3" t="s">
        <v>14206</v>
      </c>
      <c r="H4343" s="3" t="s">
        <v>491</v>
      </c>
      <c r="K4343" s="2">
        <v>10</v>
      </c>
      <c r="L4343" s="2">
        <v>2</v>
      </c>
      <c r="M4343" s="3" t="s">
        <v>1102</v>
      </c>
      <c r="N4343" s="3" t="s">
        <v>13</v>
      </c>
      <c r="O4343" s="3" t="s">
        <v>14</v>
      </c>
      <c r="Q4343" s="30" t="str">
        <f t="shared" si="67"/>
        <v>MAX : 
TARGET : Yes(Pass)
MIN : No(Fail)</v>
      </c>
    </row>
    <row r="4344" spans="2:17" ht="41.4" x14ac:dyDescent="0.3">
      <c r="B4344">
        <v>0</v>
      </c>
      <c r="C4344" s="33">
        <v>9078</v>
      </c>
      <c r="D4344" s="2">
        <v>1426</v>
      </c>
      <c r="E4344" s="2" t="s">
        <v>12352</v>
      </c>
      <c r="F4344" s="3" t="s">
        <v>14206</v>
      </c>
      <c r="H4344" s="3" t="s">
        <v>1328</v>
      </c>
      <c r="I4344" s="3" t="s">
        <v>575</v>
      </c>
      <c r="K4344" s="2">
        <v>20</v>
      </c>
      <c r="L4344" s="2">
        <v>3</v>
      </c>
      <c r="M4344" s="3" t="s">
        <v>4836</v>
      </c>
      <c r="N4344" s="3" t="s">
        <v>13</v>
      </c>
      <c r="O4344" s="3" t="s">
        <v>14</v>
      </c>
      <c r="Q4344" s="30" t="str">
        <f t="shared" si="67"/>
        <v>MAX : 
TARGET : Yes(Pass)
MIN : No(Fail)</v>
      </c>
    </row>
    <row r="4345" spans="2:17" ht="41.4" x14ac:dyDescent="0.3">
      <c r="B4345">
        <v>1</v>
      </c>
      <c r="C4345" s="33">
        <v>8987</v>
      </c>
      <c r="D4345" s="2">
        <v>2028</v>
      </c>
      <c r="E4345" s="2" t="s">
        <v>11793</v>
      </c>
      <c r="F4345" s="3" t="s">
        <v>14206</v>
      </c>
      <c r="H4345" s="3" t="s">
        <v>491</v>
      </c>
      <c r="K4345" s="2">
        <v>10</v>
      </c>
      <c r="L4345" s="2">
        <v>1</v>
      </c>
      <c r="M4345" s="3" t="s">
        <v>458</v>
      </c>
      <c r="N4345" s="3" t="s">
        <v>4318</v>
      </c>
      <c r="O4345" s="3" t="s">
        <v>4319</v>
      </c>
      <c r="P4345" s="3" t="s">
        <v>4320</v>
      </c>
      <c r="Q4345" s="30" t="str">
        <f t="shared" si="67"/>
        <v>MAX : 4.71
TARGET : 4.65
MIN : 4.59</v>
      </c>
    </row>
    <row r="4346" spans="2:17" ht="41.4" x14ac:dyDescent="0.3">
      <c r="B4346">
        <v>1</v>
      </c>
      <c r="C4346" s="33">
        <v>8989</v>
      </c>
      <c r="D4346" s="2">
        <v>1371</v>
      </c>
      <c r="E4346" s="2" t="s">
        <v>11801</v>
      </c>
      <c r="F4346" s="3" t="s">
        <v>14206</v>
      </c>
      <c r="H4346" s="3" t="s">
        <v>582</v>
      </c>
      <c r="K4346" s="2">
        <v>10</v>
      </c>
      <c r="L4346" s="2">
        <v>2</v>
      </c>
      <c r="M4346" s="3" t="s">
        <v>467</v>
      </c>
      <c r="N4346" s="3" t="s">
        <v>1769</v>
      </c>
      <c r="O4346" s="3" t="s">
        <v>2371</v>
      </c>
      <c r="P4346" s="3" t="s">
        <v>627</v>
      </c>
      <c r="Q4346" s="30" t="str">
        <f t="shared" si="67"/>
        <v>MAX : 1.90
TARGET : 1.84
MIN : 1.78</v>
      </c>
    </row>
    <row r="4347" spans="2:17" ht="41.4" x14ac:dyDescent="0.3">
      <c r="B4347">
        <v>0</v>
      </c>
      <c r="C4347" s="33">
        <v>9075</v>
      </c>
      <c r="D4347" s="2">
        <v>1424</v>
      </c>
      <c r="E4347" s="2" t="s">
        <v>12332</v>
      </c>
      <c r="F4347" s="3" t="s">
        <v>14206</v>
      </c>
      <c r="H4347" s="3" t="s">
        <v>727</v>
      </c>
      <c r="K4347" s="2">
        <v>20</v>
      </c>
      <c r="L4347" s="2">
        <v>3</v>
      </c>
      <c r="M4347" s="3" t="s">
        <v>240</v>
      </c>
      <c r="N4347" s="3" t="s">
        <v>3610</v>
      </c>
      <c r="O4347" s="3" t="s">
        <v>777</v>
      </c>
      <c r="P4347" s="3" t="s">
        <v>1692</v>
      </c>
      <c r="Q4347" s="30" t="str">
        <f t="shared" si="67"/>
        <v>MAX : 0.11
TARGET : 0.08
MIN : 0.05</v>
      </c>
    </row>
    <row r="4348" spans="2:17" ht="41.4" x14ac:dyDescent="0.3">
      <c r="B4348">
        <v>0</v>
      </c>
      <c r="C4348" s="33">
        <v>9075</v>
      </c>
      <c r="D4348" s="2">
        <v>1424</v>
      </c>
      <c r="E4348" s="2" t="s">
        <v>12332</v>
      </c>
      <c r="F4348" s="3" t="s">
        <v>14206</v>
      </c>
      <c r="H4348" s="3" t="s">
        <v>727</v>
      </c>
      <c r="K4348" s="2">
        <v>20</v>
      </c>
      <c r="L4348" s="2">
        <v>4</v>
      </c>
      <c r="M4348" s="3" t="s">
        <v>1072</v>
      </c>
      <c r="N4348" s="3" t="s">
        <v>4841</v>
      </c>
      <c r="O4348" s="3" t="s">
        <v>4842</v>
      </c>
      <c r="P4348" s="3" t="s">
        <v>4843</v>
      </c>
      <c r="Q4348" s="30" t="str">
        <f t="shared" si="67"/>
        <v>MAX : 0.154
TARGET : 0.139
MIN : 0.124</v>
      </c>
    </row>
    <row r="4349" spans="2:17" ht="41.4" x14ac:dyDescent="0.3">
      <c r="B4349">
        <v>0</v>
      </c>
      <c r="C4349" s="33">
        <v>9075</v>
      </c>
      <c r="D4349" s="2">
        <v>1424</v>
      </c>
      <c r="E4349" s="2" t="s">
        <v>12332</v>
      </c>
      <c r="F4349" s="3" t="s">
        <v>14206</v>
      </c>
      <c r="H4349" s="3" t="s">
        <v>727</v>
      </c>
      <c r="K4349" s="2">
        <v>20</v>
      </c>
      <c r="L4349" s="2">
        <v>5</v>
      </c>
      <c r="M4349" s="3" t="s">
        <v>78</v>
      </c>
      <c r="N4349" s="3" t="s">
        <v>13</v>
      </c>
      <c r="O4349" s="3" t="s">
        <v>14</v>
      </c>
      <c r="Q4349" s="30" t="str">
        <f t="shared" si="67"/>
        <v>MAX : 
TARGET : Yes(Pass)
MIN : No(Fail)</v>
      </c>
    </row>
    <row r="4350" spans="2:17" ht="41.4" x14ac:dyDescent="0.3">
      <c r="B4350">
        <v>1</v>
      </c>
      <c r="C4350" s="33">
        <v>8989</v>
      </c>
      <c r="D4350" s="2">
        <v>1371</v>
      </c>
      <c r="E4350" s="2" t="s">
        <v>11801</v>
      </c>
      <c r="F4350" s="3" t="s">
        <v>14206</v>
      </c>
      <c r="H4350" s="3" t="s">
        <v>582</v>
      </c>
      <c r="K4350" s="2">
        <v>10</v>
      </c>
      <c r="L4350" s="2">
        <v>1</v>
      </c>
      <c r="M4350" s="3" t="s">
        <v>109</v>
      </c>
      <c r="N4350" s="3" t="s">
        <v>271</v>
      </c>
      <c r="O4350" s="3" t="s">
        <v>485</v>
      </c>
      <c r="P4350" s="3" t="s">
        <v>272</v>
      </c>
      <c r="Q4350" s="30" t="str">
        <f t="shared" si="67"/>
        <v>MAX : 1.00
TARGET : 0.94
MIN : 0.88</v>
      </c>
    </row>
    <row r="4351" spans="2:17" ht="41.4" x14ac:dyDescent="0.3">
      <c r="B4351">
        <v>1</v>
      </c>
      <c r="C4351" s="33">
        <v>8990</v>
      </c>
      <c r="D4351" s="2">
        <v>2029</v>
      </c>
      <c r="E4351" s="2" t="s">
        <v>11807</v>
      </c>
      <c r="F4351" s="29" t="s">
        <v>14241</v>
      </c>
      <c r="H4351" s="3" t="s">
        <v>4340</v>
      </c>
      <c r="K4351" s="2">
        <v>10</v>
      </c>
      <c r="L4351" s="2">
        <v>1</v>
      </c>
      <c r="M4351" s="3" t="s">
        <v>99</v>
      </c>
      <c r="N4351" s="3" t="s">
        <v>4342</v>
      </c>
      <c r="O4351" s="3" t="s">
        <v>4343</v>
      </c>
      <c r="P4351" s="3" t="s">
        <v>4344</v>
      </c>
      <c r="Q4351" s="30" t="str">
        <f t="shared" si="67"/>
        <v>MAX : 90.20
TARGET : 88.20
MIN : 87.20</v>
      </c>
    </row>
    <row r="4352" spans="2:17" ht="41.4" x14ac:dyDescent="0.3">
      <c r="B4352">
        <v>0</v>
      </c>
      <c r="C4352" s="33">
        <v>9076</v>
      </c>
      <c r="D4352" s="2">
        <v>1425</v>
      </c>
      <c r="E4352" s="2" t="s">
        <v>12338</v>
      </c>
      <c r="F4352" s="3" t="s">
        <v>14206</v>
      </c>
      <c r="H4352" s="3" t="s">
        <v>727</v>
      </c>
      <c r="K4352" s="2">
        <v>20</v>
      </c>
      <c r="L4352" s="2">
        <v>4</v>
      </c>
      <c r="M4352" s="3" t="s">
        <v>240</v>
      </c>
      <c r="N4352" s="3" t="s">
        <v>4849</v>
      </c>
      <c r="O4352" s="3" t="s">
        <v>4850</v>
      </c>
      <c r="P4352" s="3" t="s">
        <v>4851</v>
      </c>
      <c r="Q4352" s="30" t="str">
        <f t="shared" si="67"/>
        <v>MAX : 0.227
TARGET : 0.197
MIN : 0.167</v>
      </c>
    </row>
    <row r="4353" spans="2:17" ht="41.4" x14ac:dyDescent="0.3">
      <c r="B4353">
        <v>0</v>
      </c>
      <c r="C4353" s="33">
        <v>9076</v>
      </c>
      <c r="D4353" s="2">
        <v>1425</v>
      </c>
      <c r="E4353" s="2" t="s">
        <v>12338</v>
      </c>
      <c r="F4353" s="3" t="s">
        <v>14206</v>
      </c>
      <c r="H4353" s="3" t="s">
        <v>727</v>
      </c>
      <c r="K4353" s="2">
        <v>20</v>
      </c>
      <c r="L4353" s="2">
        <v>5</v>
      </c>
      <c r="M4353" s="3" t="s">
        <v>1072</v>
      </c>
      <c r="N4353" s="3" t="s">
        <v>3621</v>
      </c>
      <c r="O4353" s="3" t="s">
        <v>241</v>
      </c>
      <c r="P4353" s="3" t="s">
        <v>4852</v>
      </c>
      <c r="Q4353" s="30" t="str">
        <f t="shared" si="67"/>
        <v>MAX : 0.140
TARGET : 0.125
MIN : 0.110</v>
      </c>
    </row>
    <row r="4354" spans="2:17" ht="41.4" x14ac:dyDescent="0.3">
      <c r="B4354">
        <v>0</v>
      </c>
      <c r="C4354" s="33">
        <v>9076</v>
      </c>
      <c r="D4354" s="2">
        <v>1425</v>
      </c>
      <c r="E4354" s="2" t="s">
        <v>12338</v>
      </c>
      <c r="F4354" s="3" t="s">
        <v>14206</v>
      </c>
      <c r="H4354" s="3" t="s">
        <v>727</v>
      </c>
      <c r="K4354" s="2">
        <v>20</v>
      </c>
      <c r="L4354" s="2">
        <v>6</v>
      </c>
      <c r="M4354" s="3" t="s">
        <v>78</v>
      </c>
      <c r="N4354" s="3" t="s">
        <v>13</v>
      </c>
      <c r="O4354" s="3" t="s">
        <v>14</v>
      </c>
      <c r="Q4354" s="30" t="str">
        <f t="shared" ref="Q4354:Q4417" si="68">"MAX : " &amp; P4354 &amp; CHAR(10) &amp; "TARGET : " &amp; O4354 &amp; CHAR(10) &amp; "MIN : " &amp; N4354</f>
        <v>MAX : 
TARGET : Yes(Pass)
MIN : No(Fail)</v>
      </c>
    </row>
    <row r="4355" spans="2:17" ht="41.4" x14ac:dyDescent="0.3">
      <c r="B4355">
        <v>1</v>
      </c>
      <c r="C4355" s="33">
        <v>8990</v>
      </c>
      <c r="D4355" s="2">
        <v>2029</v>
      </c>
      <c r="E4355" s="2" t="s">
        <v>11807</v>
      </c>
      <c r="F4355" s="29" t="s">
        <v>14241</v>
      </c>
      <c r="H4355" s="3" t="s">
        <v>4340</v>
      </c>
      <c r="K4355" s="2">
        <v>10</v>
      </c>
      <c r="L4355" s="2">
        <v>5</v>
      </c>
      <c r="M4355" s="3" t="s">
        <v>4341</v>
      </c>
      <c r="N4355" s="3" t="s">
        <v>13</v>
      </c>
      <c r="O4355" s="3" t="s">
        <v>14</v>
      </c>
      <c r="Q4355" s="30" t="str">
        <f t="shared" si="68"/>
        <v>MAX : 
TARGET : Yes(Pass)
MIN : No(Fail)</v>
      </c>
    </row>
    <row r="4356" spans="2:17" ht="41.4" x14ac:dyDescent="0.3">
      <c r="B4356">
        <v>1</v>
      </c>
      <c r="C4356" s="33">
        <v>8990</v>
      </c>
      <c r="D4356" s="2">
        <v>2029</v>
      </c>
      <c r="E4356" s="2" t="s">
        <v>11807</v>
      </c>
      <c r="F4356" s="29" t="s">
        <v>14241</v>
      </c>
      <c r="H4356" s="3" t="s">
        <v>4340</v>
      </c>
      <c r="K4356" s="2">
        <v>10</v>
      </c>
      <c r="L4356" s="2">
        <v>4</v>
      </c>
      <c r="M4356" s="3" t="s">
        <v>5491</v>
      </c>
      <c r="N4356" s="3" t="s">
        <v>24</v>
      </c>
      <c r="O4356" s="3" t="s">
        <v>25</v>
      </c>
      <c r="Q4356" s="30" t="str">
        <f t="shared" si="68"/>
        <v>MAX : 
TARGET : Yes (Pass)
MIN : No (Fail)</v>
      </c>
    </row>
    <row r="4357" spans="2:17" ht="41.4" x14ac:dyDescent="0.3">
      <c r="B4357">
        <v>0</v>
      </c>
      <c r="C4357" s="33">
        <v>9079</v>
      </c>
      <c r="D4357" s="2">
        <v>2062</v>
      </c>
      <c r="E4357" s="2" t="s">
        <v>12358</v>
      </c>
      <c r="F4357" s="3" t="s">
        <v>14206</v>
      </c>
      <c r="H4357" s="3" t="s">
        <v>1270</v>
      </c>
      <c r="K4357" s="2">
        <v>10</v>
      </c>
      <c r="L4357" s="2">
        <v>3</v>
      </c>
      <c r="M4357" s="3" t="s">
        <v>265</v>
      </c>
      <c r="N4357" s="3" t="s">
        <v>13</v>
      </c>
      <c r="O4357" s="3" t="s">
        <v>14</v>
      </c>
      <c r="Q4357" s="30" t="str">
        <f t="shared" si="68"/>
        <v>MAX : 
TARGET : Yes(Pass)
MIN : No(Fail)</v>
      </c>
    </row>
    <row r="4358" spans="2:17" ht="41.4" x14ac:dyDescent="0.3">
      <c r="B4358">
        <v>0</v>
      </c>
      <c r="C4358" s="33">
        <v>9079</v>
      </c>
      <c r="D4358" s="2">
        <v>2062</v>
      </c>
      <c r="E4358" s="2" t="s">
        <v>12358</v>
      </c>
      <c r="F4358" s="3" t="s">
        <v>14206</v>
      </c>
      <c r="H4358" s="3" t="s">
        <v>1270</v>
      </c>
      <c r="K4358" s="2">
        <v>10</v>
      </c>
      <c r="L4358" s="2">
        <v>4</v>
      </c>
      <c r="M4358" s="3" t="s">
        <v>1273</v>
      </c>
      <c r="N4358" s="3" t="s">
        <v>13</v>
      </c>
      <c r="O4358" s="3" t="s">
        <v>136</v>
      </c>
      <c r="Q4358" s="30" t="str">
        <f t="shared" si="68"/>
        <v>MAX : 
TARGET : Yes(Pass) 
MIN : No(Fail)</v>
      </c>
    </row>
    <row r="4359" spans="2:17" ht="41.4" x14ac:dyDescent="0.3">
      <c r="B4359">
        <v>0</v>
      </c>
      <c r="C4359" s="33">
        <v>9079</v>
      </c>
      <c r="D4359" s="2">
        <v>2062</v>
      </c>
      <c r="E4359" s="2" t="s">
        <v>12358</v>
      </c>
      <c r="F4359" s="3" t="s">
        <v>14206</v>
      </c>
      <c r="H4359" s="3" t="s">
        <v>1270</v>
      </c>
      <c r="K4359" s="2">
        <v>10</v>
      </c>
      <c r="L4359" s="2">
        <v>5</v>
      </c>
      <c r="M4359" s="3" t="s">
        <v>318</v>
      </c>
      <c r="N4359" s="3" t="s">
        <v>13</v>
      </c>
      <c r="O4359" s="3" t="s">
        <v>14</v>
      </c>
      <c r="Q4359" s="30" t="str">
        <f t="shared" si="68"/>
        <v>MAX : 
TARGET : Yes(Pass)
MIN : No(Fail)</v>
      </c>
    </row>
    <row r="4360" spans="2:17" ht="41.4" x14ac:dyDescent="0.3">
      <c r="B4360">
        <v>1</v>
      </c>
      <c r="C4360" s="33">
        <v>8991</v>
      </c>
      <c r="D4360" s="2">
        <v>2030</v>
      </c>
      <c r="E4360" s="2" t="s">
        <v>11815</v>
      </c>
      <c r="F4360" s="29" t="s">
        <v>14241</v>
      </c>
      <c r="H4360" s="3" t="s">
        <v>568</v>
      </c>
      <c r="K4360" s="2">
        <v>10</v>
      </c>
      <c r="L4360" s="2">
        <v>1</v>
      </c>
      <c r="M4360" s="3" t="s">
        <v>99</v>
      </c>
      <c r="N4360" s="3" t="s">
        <v>4345</v>
      </c>
      <c r="O4360" s="3" t="s">
        <v>4346</v>
      </c>
      <c r="P4360" s="3" t="s">
        <v>4347</v>
      </c>
      <c r="Q4360" s="30" t="str">
        <f t="shared" si="68"/>
        <v>MAX : 98.70
TARGET : 96.70
MIN : 95.70</v>
      </c>
    </row>
    <row r="4361" spans="2:17" ht="41.4" x14ac:dyDescent="0.3">
      <c r="B4361">
        <v>1</v>
      </c>
      <c r="C4361" s="33">
        <v>8991</v>
      </c>
      <c r="D4361" s="2">
        <v>2030</v>
      </c>
      <c r="E4361" s="2" t="s">
        <v>11815</v>
      </c>
      <c r="F4361" s="29" t="s">
        <v>14241</v>
      </c>
      <c r="H4361" s="3" t="s">
        <v>568</v>
      </c>
      <c r="K4361" s="2">
        <v>10</v>
      </c>
      <c r="L4361" s="2">
        <v>6</v>
      </c>
      <c r="M4361" s="3" t="s">
        <v>611</v>
      </c>
      <c r="N4361" s="3" t="s">
        <v>13</v>
      </c>
      <c r="O4361" s="3" t="s">
        <v>14</v>
      </c>
      <c r="Q4361" s="30" t="str">
        <f t="shared" si="68"/>
        <v>MAX : 
TARGET : Yes(Pass)
MIN : No(Fail)</v>
      </c>
    </row>
    <row r="4362" spans="2:17" ht="41.4" x14ac:dyDescent="0.3">
      <c r="B4362">
        <v>0</v>
      </c>
      <c r="C4362" s="33">
        <v>9080</v>
      </c>
      <c r="D4362" s="2">
        <v>1427</v>
      </c>
      <c r="E4362" s="2" t="s">
        <v>12363</v>
      </c>
      <c r="F4362" s="3" t="s">
        <v>14206</v>
      </c>
      <c r="H4362" s="3" t="s">
        <v>504</v>
      </c>
      <c r="K4362" s="2">
        <v>20</v>
      </c>
      <c r="L4362" s="2">
        <v>3</v>
      </c>
      <c r="M4362" s="3" t="s">
        <v>198</v>
      </c>
      <c r="N4362" s="3" t="s">
        <v>1491</v>
      </c>
      <c r="O4362" s="3" t="s">
        <v>133</v>
      </c>
      <c r="P4362" s="3" t="s">
        <v>4766</v>
      </c>
      <c r="Q4362" s="30" t="str">
        <f t="shared" si="68"/>
        <v>MAX : 0.79
TARGET : 0.78
MIN : 0.77</v>
      </c>
    </row>
    <row r="4363" spans="2:17" ht="41.4" x14ac:dyDescent="0.3">
      <c r="B4363">
        <v>0</v>
      </c>
      <c r="C4363" s="33">
        <v>9080</v>
      </c>
      <c r="D4363" s="2">
        <v>1427</v>
      </c>
      <c r="E4363" s="2" t="s">
        <v>12363</v>
      </c>
      <c r="F4363" s="3" t="s">
        <v>14206</v>
      </c>
      <c r="H4363" s="3" t="s">
        <v>504</v>
      </c>
      <c r="K4363" s="2">
        <v>20</v>
      </c>
      <c r="L4363" s="2">
        <v>4</v>
      </c>
      <c r="M4363" s="3" t="s">
        <v>1605</v>
      </c>
      <c r="N4363" s="3" t="s">
        <v>13</v>
      </c>
      <c r="O4363" s="3" t="s">
        <v>14</v>
      </c>
      <c r="Q4363" s="30" t="str">
        <f t="shared" si="68"/>
        <v>MAX : 
TARGET : Yes(Pass)
MIN : No(Fail)</v>
      </c>
    </row>
    <row r="4364" spans="2:17" ht="41.4" x14ac:dyDescent="0.3">
      <c r="B4364">
        <v>0</v>
      </c>
      <c r="C4364" s="33">
        <v>9080</v>
      </c>
      <c r="D4364" s="2">
        <v>1427</v>
      </c>
      <c r="E4364" s="2" t="s">
        <v>12363</v>
      </c>
      <c r="F4364" s="3" t="s">
        <v>14206</v>
      </c>
      <c r="H4364" s="3" t="s">
        <v>504</v>
      </c>
      <c r="K4364" s="2">
        <v>20</v>
      </c>
      <c r="L4364" s="2">
        <v>5</v>
      </c>
      <c r="M4364" s="3" t="s">
        <v>78</v>
      </c>
      <c r="N4364" s="3" t="s">
        <v>13</v>
      </c>
      <c r="O4364" s="3" t="s">
        <v>14</v>
      </c>
      <c r="Q4364" s="30" t="str">
        <f t="shared" si="68"/>
        <v>MAX : 
TARGET : Yes(Pass)
MIN : No(Fail)</v>
      </c>
    </row>
    <row r="4365" spans="2:17" ht="41.4" x14ac:dyDescent="0.3">
      <c r="B4365">
        <v>1</v>
      </c>
      <c r="C4365" s="33">
        <v>8992</v>
      </c>
      <c r="D4365" s="2">
        <v>2031</v>
      </c>
      <c r="E4365" s="2" t="s">
        <v>11823</v>
      </c>
      <c r="F4365" s="3" t="s">
        <v>14242</v>
      </c>
      <c r="H4365" s="3" t="s">
        <v>824</v>
      </c>
      <c r="K4365" s="2">
        <v>10</v>
      </c>
      <c r="L4365" s="2">
        <v>1</v>
      </c>
      <c r="M4365" s="3" t="s">
        <v>99</v>
      </c>
      <c r="N4365" s="3" t="s">
        <v>4348</v>
      </c>
      <c r="O4365" s="3" t="s">
        <v>4349</v>
      </c>
      <c r="P4365" s="3" t="s">
        <v>4350</v>
      </c>
      <c r="Q4365" s="30" t="str">
        <f t="shared" si="68"/>
        <v>MAX : 309.50
TARGET : 307.00
MIN : 304.50</v>
      </c>
    </row>
    <row r="4366" spans="2:17" ht="41.4" x14ac:dyDescent="0.3">
      <c r="B4366">
        <v>1</v>
      </c>
      <c r="C4366" s="33">
        <v>8992</v>
      </c>
      <c r="D4366" s="2">
        <v>2031</v>
      </c>
      <c r="E4366" s="2" t="s">
        <v>11823</v>
      </c>
      <c r="F4366" s="3" t="s">
        <v>14242</v>
      </c>
      <c r="H4366" s="3" t="s">
        <v>824</v>
      </c>
      <c r="K4366" s="2">
        <v>10</v>
      </c>
      <c r="L4366" s="2">
        <v>5</v>
      </c>
      <c r="M4366" s="3" t="s">
        <v>4341</v>
      </c>
      <c r="N4366" s="3" t="s">
        <v>13</v>
      </c>
      <c r="O4366" s="3" t="s">
        <v>14</v>
      </c>
      <c r="Q4366" s="30" t="str">
        <f t="shared" si="68"/>
        <v>MAX : 
TARGET : Yes(Pass)
MIN : No(Fail)</v>
      </c>
    </row>
    <row r="4367" spans="2:17" ht="41.4" x14ac:dyDescent="0.3">
      <c r="B4367">
        <v>1</v>
      </c>
      <c r="C4367" s="33">
        <v>8992</v>
      </c>
      <c r="D4367" s="2">
        <v>2031</v>
      </c>
      <c r="E4367" s="2" t="s">
        <v>11823</v>
      </c>
      <c r="F4367" s="3" t="s">
        <v>14242</v>
      </c>
      <c r="H4367" s="3" t="s">
        <v>824</v>
      </c>
      <c r="K4367" s="2">
        <v>10</v>
      </c>
      <c r="L4367" s="2">
        <v>6</v>
      </c>
      <c r="M4367" s="3" t="s">
        <v>611</v>
      </c>
      <c r="N4367" s="3" t="s">
        <v>13</v>
      </c>
      <c r="O4367" s="3" t="s">
        <v>14</v>
      </c>
      <c r="Q4367" s="30" t="str">
        <f t="shared" si="68"/>
        <v>MAX : 
TARGET : Yes(Pass)
MIN : No(Fail)</v>
      </c>
    </row>
    <row r="4368" spans="2:17" ht="41.4" x14ac:dyDescent="0.3">
      <c r="B4368">
        <v>0</v>
      </c>
      <c r="C4368" s="33">
        <v>9082</v>
      </c>
      <c r="D4368" s="2">
        <v>1429</v>
      </c>
      <c r="E4368" s="2" t="s">
        <v>12377</v>
      </c>
      <c r="F4368" s="3" t="s">
        <v>14206</v>
      </c>
      <c r="H4368" s="3" t="s">
        <v>1130</v>
      </c>
      <c r="K4368" s="2">
        <v>10</v>
      </c>
      <c r="L4368" s="2">
        <v>3</v>
      </c>
      <c r="M4368" s="3" t="s">
        <v>4281</v>
      </c>
      <c r="N4368" s="3" t="s">
        <v>13</v>
      </c>
      <c r="O4368" s="3" t="s">
        <v>14</v>
      </c>
      <c r="Q4368" s="30" t="str">
        <f t="shared" si="68"/>
        <v>MAX : 
TARGET : Yes(Pass)
MIN : No(Fail)</v>
      </c>
    </row>
    <row r="4369" spans="2:17" ht="41.4" x14ac:dyDescent="0.3">
      <c r="B4369">
        <v>1</v>
      </c>
      <c r="C4369" s="33">
        <v>8993</v>
      </c>
      <c r="D4369" s="2">
        <v>2032</v>
      </c>
      <c r="E4369" s="2" t="s">
        <v>11831</v>
      </c>
      <c r="F4369" s="3" t="s">
        <v>14243</v>
      </c>
      <c r="H4369" s="3" t="s">
        <v>4351</v>
      </c>
      <c r="K4369" s="2">
        <v>10</v>
      </c>
      <c r="L4369" s="2">
        <v>1</v>
      </c>
      <c r="M4369" s="3" t="s">
        <v>99</v>
      </c>
      <c r="N4369" s="3" t="s">
        <v>4352</v>
      </c>
      <c r="O4369" s="3" t="s">
        <v>4353</v>
      </c>
      <c r="P4369" s="3" t="s">
        <v>4354</v>
      </c>
      <c r="Q4369" s="30" t="str">
        <f t="shared" si="68"/>
        <v>MAX : 275.50
TARGET : 273.00
MIN : 270.50</v>
      </c>
    </row>
    <row r="4370" spans="2:17" ht="41.4" x14ac:dyDescent="0.3">
      <c r="B4370">
        <v>1</v>
      </c>
      <c r="C4370" s="33">
        <v>8993</v>
      </c>
      <c r="D4370" s="2">
        <v>2032</v>
      </c>
      <c r="E4370" s="2" t="s">
        <v>11831</v>
      </c>
      <c r="F4370" s="3" t="s">
        <v>14243</v>
      </c>
      <c r="H4370" s="3" t="s">
        <v>4351</v>
      </c>
      <c r="K4370" s="2">
        <v>10</v>
      </c>
      <c r="L4370" s="2">
        <v>5</v>
      </c>
      <c r="M4370" s="3" t="s">
        <v>4341</v>
      </c>
      <c r="N4370" s="3" t="s">
        <v>13</v>
      </c>
      <c r="O4370" s="3" t="s">
        <v>14</v>
      </c>
      <c r="Q4370" s="30" t="str">
        <f t="shared" si="68"/>
        <v>MAX : 
TARGET : Yes(Pass)
MIN : No(Fail)</v>
      </c>
    </row>
    <row r="4371" spans="2:17" ht="41.4" x14ac:dyDescent="0.3">
      <c r="B4371">
        <v>0</v>
      </c>
      <c r="C4371" s="33">
        <v>9083</v>
      </c>
      <c r="D4371" s="2">
        <v>2063</v>
      </c>
      <c r="E4371" s="2" t="s">
        <v>12383</v>
      </c>
      <c r="F4371" s="3" t="s">
        <v>14206</v>
      </c>
      <c r="H4371" s="3" t="s">
        <v>261</v>
      </c>
      <c r="K4371" s="2">
        <v>20</v>
      </c>
      <c r="L4371" s="2">
        <v>3</v>
      </c>
      <c r="M4371" s="3" t="s">
        <v>1897</v>
      </c>
      <c r="N4371" s="3" t="s">
        <v>13</v>
      </c>
      <c r="O4371" s="3" t="s">
        <v>14</v>
      </c>
      <c r="Q4371" s="30" t="str">
        <f t="shared" si="68"/>
        <v>MAX : 
TARGET : Yes(Pass)
MIN : No(Fail)</v>
      </c>
    </row>
    <row r="4372" spans="2:17" ht="41.4" x14ac:dyDescent="0.3">
      <c r="B4372">
        <v>0</v>
      </c>
      <c r="C4372" s="33">
        <v>9083</v>
      </c>
      <c r="D4372" s="2">
        <v>2063</v>
      </c>
      <c r="E4372" s="2" t="s">
        <v>12383</v>
      </c>
      <c r="F4372" s="3" t="s">
        <v>14206</v>
      </c>
      <c r="H4372" s="3" t="s">
        <v>261</v>
      </c>
      <c r="K4372" s="2">
        <v>20</v>
      </c>
      <c r="L4372" s="2">
        <v>4</v>
      </c>
      <c r="M4372" s="3" t="s">
        <v>1898</v>
      </c>
      <c r="N4372" s="3" t="s">
        <v>13</v>
      </c>
      <c r="O4372" s="3" t="s">
        <v>14</v>
      </c>
      <c r="Q4372" s="30" t="str">
        <f t="shared" si="68"/>
        <v>MAX : 
TARGET : Yes(Pass)
MIN : No(Fail)</v>
      </c>
    </row>
    <row r="4373" spans="2:17" ht="41.4" x14ac:dyDescent="0.3">
      <c r="B4373">
        <v>0</v>
      </c>
      <c r="C4373" s="33">
        <v>9083</v>
      </c>
      <c r="D4373" s="2">
        <v>2063</v>
      </c>
      <c r="E4373" s="2" t="s">
        <v>12383</v>
      </c>
      <c r="F4373" s="3" t="s">
        <v>14206</v>
      </c>
      <c r="H4373" s="3" t="s">
        <v>261</v>
      </c>
      <c r="K4373" s="2">
        <v>20</v>
      </c>
      <c r="L4373" s="2">
        <v>5</v>
      </c>
      <c r="M4373" s="3" t="s">
        <v>1899</v>
      </c>
      <c r="N4373" s="3" t="s">
        <v>13</v>
      </c>
      <c r="O4373" s="3" t="s">
        <v>14</v>
      </c>
      <c r="Q4373" s="30" t="str">
        <f t="shared" si="68"/>
        <v>MAX : 
TARGET : Yes(Pass)
MIN : No(Fail)</v>
      </c>
    </row>
    <row r="4374" spans="2:17" ht="41.4" x14ac:dyDescent="0.3">
      <c r="B4374">
        <v>1</v>
      </c>
      <c r="C4374" s="33">
        <v>8993</v>
      </c>
      <c r="D4374" s="2">
        <v>2032</v>
      </c>
      <c r="E4374" s="2" t="s">
        <v>11831</v>
      </c>
      <c r="F4374" s="3" t="s">
        <v>14243</v>
      </c>
      <c r="H4374" s="3" t="s">
        <v>4351</v>
      </c>
      <c r="K4374" s="2">
        <v>10</v>
      </c>
      <c r="L4374" s="2">
        <v>6</v>
      </c>
      <c r="M4374" s="3" t="s">
        <v>611</v>
      </c>
      <c r="N4374" s="3" t="s">
        <v>13</v>
      </c>
      <c r="O4374" s="3" t="s">
        <v>14</v>
      </c>
      <c r="Q4374" s="30" t="str">
        <f t="shared" si="68"/>
        <v>MAX : 
TARGET : Yes(Pass)
MIN : No(Fail)</v>
      </c>
    </row>
    <row r="4375" spans="2:17" ht="41.4" x14ac:dyDescent="0.3">
      <c r="B4375">
        <v>1</v>
      </c>
      <c r="C4375" s="33">
        <v>8994</v>
      </c>
      <c r="D4375" s="2">
        <v>2033</v>
      </c>
      <c r="E4375" s="2" t="s">
        <v>11837</v>
      </c>
      <c r="F4375" s="29" t="s">
        <v>14241</v>
      </c>
      <c r="H4375" s="3" t="s">
        <v>269</v>
      </c>
      <c r="K4375" s="2">
        <v>10</v>
      </c>
      <c r="L4375" s="2">
        <v>1</v>
      </c>
      <c r="M4375" s="3" t="s">
        <v>99</v>
      </c>
      <c r="N4375" s="3" t="s">
        <v>4355</v>
      </c>
      <c r="O4375" s="3" t="s">
        <v>4356</v>
      </c>
      <c r="P4375" s="3" t="s">
        <v>4357</v>
      </c>
      <c r="Q4375" s="30" t="str">
        <f t="shared" si="68"/>
        <v>MAX : 95.53
TARGET : 93.53
MIN : 92.53</v>
      </c>
    </row>
    <row r="4376" spans="2:17" ht="41.4" x14ac:dyDescent="0.3">
      <c r="B4376">
        <v>0</v>
      </c>
      <c r="C4376" s="33">
        <v>9084</v>
      </c>
      <c r="D4376" s="2">
        <v>2064</v>
      </c>
      <c r="E4376" s="2" t="s">
        <v>12388</v>
      </c>
      <c r="F4376" s="3" t="s">
        <v>4864</v>
      </c>
      <c r="H4376" s="3" t="s">
        <v>3533</v>
      </c>
      <c r="I4376" s="3" t="s">
        <v>487</v>
      </c>
      <c r="K4376" s="2">
        <v>10</v>
      </c>
      <c r="L4376" s="2">
        <v>3</v>
      </c>
      <c r="M4376" s="3" t="s">
        <v>2358</v>
      </c>
      <c r="N4376" s="3" t="s">
        <v>13</v>
      </c>
      <c r="O4376" s="3" t="s">
        <v>14</v>
      </c>
      <c r="Q4376" s="30" t="str">
        <f t="shared" si="68"/>
        <v>MAX : 
TARGET : Yes(Pass)
MIN : No(Fail)</v>
      </c>
    </row>
    <row r="4377" spans="2:17" ht="41.4" x14ac:dyDescent="0.3">
      <c r="B4377">
        <v>1</v>
      </c>
      <c r="C4377" s="33">
        <v>8994</v>
      </c>
      <c r="D4377" s="2">
        <v>2033</v>
      </c>
      <c r="E4377" s="2" t="s">
        <v>11837</v>
      </c>
      <c r="F4377" s="29" t="s">
        <v>14241</v>
      </c>
      <c r="H4377" s="3" t="s">
        <v>269</v>
      </c>
      <c r="K4377" s="2">
        <v>10</v>
      </c>
      <c r="L4377" s="2">
        <v>5</v>
      </c>
      <c r="M4377" s="3" t="s">
        <v>4341</v>
      </c>
      <c r="N4377" s="3" t="s">
        <v>13</v>
      </c>
      <c r="O4377" s="3" t="s">
        <v>14</v>
      </c>
      <c r="Q4377" s="30" t="str">
        <f t="shared" si="68"/>
        <v>MAX : 
TARGET : Yes(Pass)
MIN : No(Fail)</v>
      </c>
    </row>
    <row r="4378" spans="2:17" ht="41.4" x14ac:dyDescent="0.3">
      <c r="B4378">
        <v>1</v>
      </c>
      <c r="C4378" s="33">
        <v>8994</v>
      </c>
      <c r="D4378" s="2">
        <v>2033</v>
      </c>
      <c r="E4378" s="2" t="s">
        <v>11837</v>
      </c>
      <c r="F4378" s="29" t="s">
        <v>14241</v>
      </c>
      <c r="H4378" s="3" t="s">
        <v>269</v>
      </c>
      <c r="K4378" s="2">
        <v>10</v>
      </c>
      <c r="L4378" s="2">
        <v>6</v>
      </c>
      <c r="M4378" s="3" t="s">
        <v>611</v>
      </c>
      <c r="N4378" s="3" t="s">
        <v>13</v>
      </c>
      <c r="O4378" s="3" t="s">
        <v>14</v>
      </c>
      <c r="Q4378" s="30" t="str">
        <f t="shared" si="68"/>
        <v>MAX : 
TARGET : Yes(Pass)
MIN : No(Fail)</v>
      </c>
    </row>
    <row r="4379" spans="2:17" ht="41.4" x14ac:dyDescent="0.3">
      <c r="B4379">
        <v>0</v>
      </c>
      <c r="C4379" s="33">
        <v>9081</v>
      </c>
      <c r="D4379" s="2">
        <v>1428</v>
      </c>
      <c r="E4379" s="2" t="s">
        <v>12369</v>
      </c>
      <c r="F4379" s="29" t="s">
        <v>14252</v>
      </c>
      <c r="H4379" s="3" t="s">
        <v>4856</v>
      </c>
      <c r="I4379" s="3" t="s">
        <v>575</v>
      </c>
      <c r="K4379" s="2">
        <v>20</v>
      </c>
      <c r="L4379" s="2">
        <v>4</v>
      </c>
      <c r="M4379" s="3" t="s">
        <v>4870</v>
      </c>
      <c r="N4379" s="3" t="s">
        <v>13</v>
      </c>
      <c r="O4379" s="3" t="s">
        <v>14</v>
      </c>
      <c r="Q4379" s="30" t="str">
        <f t="shared" si="68"/>
        <v>MAX : 
TARGET : Yes(Pass)
MIN : No(Fail)</v>
      </c>
    </row>
    <row r="4380" spans="2:17" ht="41.4" x14ac:dyDescent="0.3">
      <c r="B4380">
        <v>0</v>
      </c>
      <c r="C4380" s="33">
        <v>9081</v>
      </c>
      <c r="D4380" s="2">
        <v>1428</v>
      </c>
      <c r="E4380" s="2" t="s">
        <v>12369</v>
      </c>
      <c r="F4380" s="29" t="s">
        <v>14252</v>
      </c>
      <c r="H4380" s="3" t="s">
        <v>4856</v>
      </c>
      <c r="I4380" s="3" t="s">
        <v>575</v>
      </c>
      <c r="K4380" s="2">
        <v>30</v>
      </c>
      <c r="L4380" s="2">
        <v>1</v>
      </c>
      <c r="M4380" s="3" t="s">
        <v>4871</v>
      </c>
      <c r="N4380" s="3" t="s">
        <v>13</v>
      </c>
      <c r="O4380" s="3" t="s">
        <v>14</v>
      </c>
      <c r="Q4380" s="30" t="str">
        <f t="shared" si="68"/>
        <v>MAX : 
TARGET : Yes(Pass)
MIN : No(Fail)</v>
      </c>
    </row>
    <row r="4381" spans="2:17" ht="41.4" x14ac:dyDescent="0.3">
      <c r="B4381">
        <v>0</v>
      </c>
      <c r="C4381" s="33">
        <v>9081</v>
      </c>
      <c r="D4381" s="2">
        <v>1428</v>
      </c>
      <c r="E4381" s="2" t="s">
        <v>12369</v>
      </c>
      <c r="F4381" s="29" t="s">
        <v>14252</v>
      </c>
      <c r="H4381" s="3" t="s">
        <v>4856</v>
      </c>
      <c r="I4381" s="3" t="s">
        <v>575</v>
      </c>
      <c r="K4381" s="2">
        <v>30</v>
      </c>
      <c r="L4381" s="2">
        <v>2</v>
      </c>
      <c r="M4381" s="3" t="s">
        <v>4872</v>
      </c>
      <c r="N4381" s="3" t="s">
        <v>13</v>
      </c>
      <c r="O4381" s="3" t="s">
        <v>14</v>
      </c>
      <c r="Q4381" s="30" t="str">
        <f t="shared" si="68"/>
        <v>MAX : 
TARGET : Yes(Pass)
MIN : No(Fail)</v>
      </c>
    </row>
    <row r="4382" spans="2:17" ht="41.4" x14ac:dyDescent="0.3">
      <c r="B4382">
        <v>1</v>
      </c>
      <c r="C4382" s="33">
        <v>8995</v>
      </c>
      <c r="D4382" s="2">
        <v>1372</v>
      </c>
      <c r="E4382" s="2" t="s">
        <v>11843</v>
      </c>
      <c r="F4382" s="3" t="s">
        <v>14206</v>
      </c>
      <c r="H4382" s="3" t="s">
        <v>3123</v>
      </c>
      <c r="K4382" s="2">
        <v>20</v>
      </c>
      <c r="L4382" s="2">
        <v>2</v>
      </c>
      <c r="M4382" s="3" t="s">
        <v>198</v>
      </c>
      <c r="N4382" s="3" t="s">
        <v>4360</v>
      </c>
      <c r="O4382" s="3" t="s">
        <v>2656</v>
      </c>
      <c r="P4382" s="3" t="s">
        <v>4361</v>
      </c>
      <c r="Q4382" s="30" t="str">
        <f t="shared" si="68"/>
        <v>MAX : 8.86
TARGET : 8.80
MIN : 8.74</v>
      </c>
    </row>
    <row r="4383" spans="2:17" ht="41.4" x14ac:dyDescent="0.3">
      <c r="B4383">
        <v>1</v>
      </c>
      <c r="C4383" s="33">
        <v>8995</v>
      </c>
      <c r="D4383" s="2">
        <v>1372</v>
      </c>
      <c r="E4383" s="2" t="s">
        <v>11843</v>
      </c>
      <c r="F4383" s="3" t="s">
        <v>14206</v>
      </c>
      <c r="H4383" s="3" t="s">
        <v>3123</v>
      </c>
      <c r="K4383" s="2">
        <v>20</v>
      </c>
      <c r="L4383" s="2">
        <v>1</v>
      </c>
      <c r="M4383" s="3" t="s">
        <v>194</v>
      </c>
      <c r="N4383" s="3" t="s">
        <v>4358</v>
      </c>
      <c r="O4383" s="3" t="s">
        <v>4256</v>
      </c>
      <c r="P4383" s="3" t="s">
        <v>4359</v>
      </c>
      <c r="Q4383" s="30" t="str">
        <f t="shared" si="68"/>
        <v>MAX : 12.36
TARGET : 12.30
MIN : 12.24</v>
      </c>
    </row>
    <row r="4384" spans="2:17" ht="41.4" x14ac:dyDescent="0.3">
      <c r="B4384">
        <v>0</v>
      </c>
      <c r="C4384" s="33">
        <v>8957</v>
      </c>
      <c r="D4384" s="2">
        <v>2018</v>
      </c>
      <c r="E4384" s="2" t="s">
        <v>11619</v>
      </c>
      <c r="F4384" s="3" t="s">
        <v>14206</v>
      </c>
      <c r="H4384" s="3" t="s">
        <v>1903</v>
      </c>
      <c r="K4384" s="2">
        <v>10</v>
      </c>
      <c r="L4384" s="2">
        <v>4</v>
      </c>
      <c r="M4384" s="3" t="s">
        <v>4414</v>
      </c>
      <c r="N4384" s="3" t="s">
        <v>13</v>
      </c>
      <c r="O4384" s="3" t="s">
        <v>14</v>
      </c>
      <c r="Q4384" s="30" t="str">
        <f t="shared" si="68"/>
        <v>MAX : 
TARGET : Yes(Pass)
MIN : No(Fail)</v>
      </c>
    </row>
    <row r="4385" spans="2:17" ht="41.4" x14ac:dyDescent="0.3">
      <c r="B4385">
        <v>1</v>
      </c>
      <c r="C4385" s="33">
        <v>8996</v>
      </c>
      <c r="D4385" s="2">
        <v>1373</v>
      </c>
      <c r="E4385" s="2" t="s">
        <v>11850</v>
      </c>
      <c r="F4385" s="3" t="s">
        <v>14206</v>
      </c>
      <c r="H4385" s="3" t="s">
        <v>962</v>
      </c>
      <c r="K4385" s="2">
        <v>10</v>
      </c>
      <c r="L4385" s="2">
        <v>1</v>
      </c>
      <c r="M4385" s="3" t="s">
        <v>4363</v>
      </c>
      <c r="N4385" s="3" t="s">
        <v>13</v>
      </c>
      <c r="O4385" s="3" t="s">
        <v>14</v>
      </c>
      <c r="Q4385" s="30" t="str">
        <f t="shared" si="68"/>
        <v>MAX : 
TARGET : Yes(Pass)
MIN : No(Fail)</v>
      </c>
    </row>
    <row r="4386" spans="2:17" ht="41.4" x14ac:dyDescent="0.3">
      <c r="B4386">
        <v>1</v>
      </c>
      <c r="C4386" s="33">
        <v>8997</v>
      </c>
      <c r="D4386" s="2">
        <v>1374</v>
      </c>
      <c r="E4386" s="2" t="s">
        <v>11857</v>
      </c>
      <c r="F4386" s="3" t="s">
        <v>14207</v>
      </c>
      <c r="H4386" s="3" t="s">
        <v>648</v>
      </c>
      <c r="K4386" s="2">
        <v>20</v>
      </c>
      <c r="L4386" s="2">
        <v>2</v>
      </c>
      <c r="M4386" s="3" t="s">
        <v>198</v>
      </c>
      <c r="N4386" s="3" t="s">
        <v>4336</v>
      </c>
      <c r="O4386" s="3" t="s">
        <v>4337</v>
      </c>
      <c r="P4386" s="3" t="s">
        <v>4338</v>
      </c>
      <c r="Q4386" s="30" t="str">
        <f t="shared" si="68"/>
        <v>MAX : 70.75
TARGET : 70.00
MIN : 69.25</v>
      </c>
    </row>
    <row r="4387" spans="2:17" ht="41.4" x14ac:dyDescent="0.3">
      <c r="B4387">
        <v>1</v>
      </c>
      <c r="C4387" s="33">
        <v>8997</v>
      </c>
      <c r="D4387" s="2">
        <v>1374</v>
      </c>
      <c r="E4387" s="2" t="s">
        <v>11857</v>
      </c>
      <c r="F4387" s="3" t="s">
        <v>14207</v>
      </c>
      <c r="H4387" s="3" t="s">
        <v>648</v>
      </c>
      <c r="K4387" s="2">
        <v>20</v>
      </c>
      <c r="L4387" s="2">
        <v>1</v>
      </c>
      <c r="M4387" s="3" t="s">
        <v>194</v>
      </c>
      <c r="N4387" s="3" t="s">
        <v>2917</v>
      </c>
      <c r="O4387" s="3" t="s">
        <v>61</v>
      </c>
      <c r="P4387" s="3" t="s">
        <v>2869</v>
      </c>
      <c r="Q4387" s="30" t="str">
        <f t="shared" si="68"/>
        <v>MAX : 20.75
TARGET : 20.00
MIN : 19.25</v>
      </c>
    </row>
    <row r="4388" spans="2:17" ht="41.4" x14ac:dyDescent="0.3">
      <c r="B4388">
        <v>1</v>
      </c>
      <c r="C4388" s="33">
        <v>8998</v>
      </c>
      <c r="D4388" s="2">
        <v>2034</v>
      </c>
      <c r="E4388" s="2" t="s">
        <v>11863</v>
      </c>
      <c r="F4388" s="3" t="s">
        <v>14206</v>
      </c>
      <c r="H4388" s="3" t="s">
        <v>1270</v>
      </c>
      <c r="K4388" s="2">
        <v>10</v>
      </c>
      <c r="L4388" s="2">
        <v>2</v>
      </c>
      <c r="M4388" s="3" t="s">
        <v>538</v>
      </c>
      <c r="N4388" s="3" t="s">
        <v>13</v>
      </c>
      <c r="O4388" s="3" t="s">
        <v>14</v>
      </c>
      <c r="Q4388" s="30" t="str">
        <f t="shared" si="68"/>
        <v>MAX : 
TARGET : Yes(Pass)
MIN : No(Fail)</v>
      </c>
    </row>
    <row r="4389" spans="2:17" ht="41.4" x14ac:dyDescent="0.3">
      <c r="B4389">
        <v>1</v>
      </c>
      <c r="C4389" s="33">
        <v>8998</v>
      </c>
      <c r="D4389" s="2">
        <v>2034</v>
      </c>
      <c r="E4389" s="2" t="s">
        <v>11863</v>
      </c>
      <c r="F4389" s="3" t="s">
        <v>14206</v>
      </c>
      <c r="H4389" s="3" t="s">
        <v>1270</v>
      </c>
      <c r="K4389" s="2">
        <v>10</v>
      </c>
      <c r="L4389" s="2">
        <v>1</v>
      </c>
      <c r="M4389" s="3" t="s">
        <v>99</v>
      </c>
      <c r="N4389" s="3" t="s">
        <v>433</v>
      </c>
      <c r="O4389" s="3" t="s">
        <v>86</v>
      </c>
      <c r="P4389" s="3" t="s">
        <v>317</v>
      </c>
      <c r="Q4389" s="30" t="str">
        <f t="shared" si="68"/>
        <v>MAX : 0.515
TARGET : 0.500
MIN : 0.485</v>
      </c>
    </row>
    <row r="4390" spans="2:17" ht="41.4" x14ac:dyDescent="0.3">
      <c r="B4390">
        <v>1</v>
      </c>
      <c r="C4390" s="33">
        <v>8999</v>
      </c>
      <c r="D4390" s="2">
        <v>2035</v>
      </c>
      <c r="E4390" s="2" t="s">
        <v>11867</v>
      </c>
      <c r="F4390" s="3" t="s">
        <v>14206</v>
      </c>
      <c r="H4390" s="3" t="s">
        <v>1270</v>
      </c>
      <c r="K4390" s="2">
        <v>10</v>
      </c>
      <c r="L4390" s="2">
        <v>2</v>
      </c>
      <c r="M4390" s="3" t="s">
        <v>538</v>
      </c>
      <c r="N4390" s="3" t="s">
        <v>13</v>
      </c>
      <c r="O4390" s="3" t="s">
        <v>14</v>
      </c>
      <c r="Q4390" s="30" t="str">
        <f t="shared" si="68"/>
        <v>MAX : 
TARGET : Yes(Pass)
MIN : No(Fail)</v>
      </c>
    </row>
    <row r="4391" spans="2:17" ht="41.4" x14ac:dyDescent="0.3">
      <c r="B4391">
        <v>0</v>
      </c>
      <c r="C4391" s="33">
        <v>9094</v>
      </c>
      <c r="D4391" s="2">
        <v>1438</v>
      </c>
      <c r="E4391" s="2" t="s">
        <v>12455</v>
      </c>
      <c r="F4391" s="3" t="s">
        <v>14206</v>
      </c>
      <c r="H4391" s="3" t="s">
        <v>2857</v>
      </c>
      <c r="I4391" s="3" t="s">
        <v>487</v>
      </c>
      <c r="K4391" s="2">
        <v>10</v>
      </c>
      <c r="L4391" s="2">
        <v>3</v>
      </c>
      <c r="M4391" s="3" t="s">
        <v>78</v>
      </c>
      <c r="N4391" s="3" t="s">
        <v>13</v>
      </c>
      <c r="O4391" s="3" t="s">
        <v>14</v>
      </c>
      <c r="Q4391" s="30" t="str">
        <f t="shared" si="68"/>
        <v>MAX : 
TARGET : Yes(Pass)
MIN : No(Fail)</v>
      </c>
    </row>
    <row r="4392" spans="2:17" ht="41.4" x14ac:dyDescent="0.3">
      <c r="B4392">
        <v>1</v>
      </c>
      <c r="C4392" s="33">
        <v>8999</v>
      </c>
      <c r="D4392" s="2">
        <v>2035</v>
      </c>
      <c r="E4392" s="2" t="s">
        <v>11867</v>
      </c>
      <c r="F4392" s="3" t="s">
        <v>14206</v>
      </c>
      <c r="H4392" s="3" t="s">
        <v>1270</v>
      </c>
      <c r="K4392" s="2">
        <v>10</v>
      </c>
      <c r="L4392" s="2">
        <v>1</v>
      </c>
      <c r="M4392" s="3" t="s">
        <v>99</v>
      </c>
      <c r="N4392" s="3" t="s">
        <v>433</v>
      </c>
      <c r="O4392" s="3" t="s">
        <v>86</v>
      </c>
      <c r="P4392" s="3" t="s">
        <v>317</v>
      </c>
      <c r="Q4392" s="30" t="str">
        <f t="shared" si="68"/>
        <v>MAX : 0.515
TARGET : 0.500
MIN : 0.485</v>
      </c>
    </row>
    <row r="4393" spans="2:17" ht="41.4" x14ac:dyDescent="0.3">
      <c r="B4393">
        <v>1</v>
      </c>
      <c r="C4393" s="33">
        <v>9001</v>
      </c>
      <c r="D4393" s="2">
        <v>1375</v>
      </c>
      <c r="E4393" s="2" t="s">
        <v>11692</v>
      </c>
      <c r="F4393" s="3" t="s">
        <v>14245</v>
      </c>
      <c r="H4393" s="3" t="s">
        <v>417</v>
      </c>
      <c r="K4393" s="2">
        <v>10</v>
      </c>
      <c r="L4393" s="2">
        <v>2</v>
      </c>
      <c r="M4393" s="3" t="s">
        <v>2543</v>
      </c>
      <c r="N4393" s="3" t="s">
        <v>4385</v>
      </c>
      <c r="O4393" s="3" t="s">
        <v>4386</v>
      </c>
      <c r="P4393" s="3" t="s">
        <v>4358</v>
      </c>
      <c r="Q4393" s="30" t="str">
        <f t="shared" si="68"/>
        <v>MAX : 12.24
TARGET : 11.99
MIN : 11.74</v>
      </c>
    </row>
    <row r="4394" spans="2:17" ht="41.4" x14ac:dyDescent="0.3">
      <c r="B4394">
        <v>0</v>
      </c>
      <c r="C4394" s="33">
        <v>9093</v>
      </c>
      <c r="D4394" s="2">
        <v>1437</v>
      </c>
      <c r="E4394" s="2" t="s">
        <v>12448</v>
      </c>
      <c r="F4394" s="3" t="s">
        <v>14207</v>
      </c>
      <c r="H4394" s="3" t="s">
        <v>648</v>
      </c>
      <c r="K4394" s="2">
        <v>10</v>
      </c>
      <c r="L4394" s="2">
        <v>3</v>
      </c>
      <c r="M4394" s="3" t="s">
        <v>625</v>
      </c>
      <c r="N4394" s="3" t="s">
        <v>4878</v>
      </c>
      <c r="O4394" s="3" t="s">
        <v>4879</v>
      </c>
      <c r="P4394" s="3" t="s">
        <v>4880</v>
      </c>
      <c r="Q4394" s="30" t="str">
        <f t="shared" si="68"/>
        <v>MAX : 546.10
TARGET : 533.40
MIN : 520.70</v>
      </c>
    </row>
    <row r="4395" spans="2:17" ht="41.4" x14ac:dyDescent="0.3">
      <c r="B4395">
        <v>0</v>
      </c>
      <c r="C4395" s="33">
        <v>9093</v>
      </c>
      <c r="D4395" s="2">
        <v>1437</v>
      </c>
      <c r="E4395" s="2" t="s">
        <v>12448</v>
      </c>
      <c r="F4395" s="3" t="s">
        <v>14207</v>
      </c>
      <c r="H4395" s="3" t="s">
        <v>648</v>
      </c>
      <c r="K4395" s="2">
        <v>10</v>
      </c>
      <c r="L4395" s="2">
        <v>4</v>
      </c>
      <c r="M4395" s="3" t="s">
        <v>4881</v>
      </c>
      <c r="N4395" s="3" t="s">
        <v>24</v>
      </c>
      <c r="O4395" s="3" t="s">
        <v>25</v>
      </c>
      <c r="Q4395" s="30" t="str">
        <f t="shared" si="68"/>
        <v>MAX : 
TARGET : Yes (Pass)
MIN : No (Fail)</v>
      </c>
    </row>
    <row r="4396" spans="2:17" ht="41.4" x14ac:dyDescent="0.3">
      <c r="B4396">
        <v>0</v>
      </c>
      <c r="C4396" s="33">
        <v>9093</v>
      </c>
      <c r="D4396" s="2">
        <v>1437</v>
      </c>
      <c r="E4396" s="2" t="s">
        <v>12448</v>
      </c>
      <c r="F4396" s="3" t="s">
        <v>14207</v>
      </c>
      <c r="H4396" s="3" t="s">
        <v>648</v>
      </c>
      <c r="K4396" s="2">
        <v>10</v>
      </c>
      <c r="L4396" s="2">
        <v>5</v>
      </c>
      <c r="M4396" s="3" t="s">
        <v>4882</v>
      </c>
      <c r="N4396" s="3" t="s">
        <v>24</v>
      </c>
      <c r="O4396" s="3" t="s">
        <v>25</v>
      </c>
      <c r="Q4396" s="30" t="str">
        <f t="shared" si="68"/>
        <v>MAX : 
TARGET : Yes (Pass)
MIN : No (Fail)</v>
      </c>
    </row>
    <row r="4397" spans="2:17" ht="41.4" x14ac:dyDescent="0.3">
      <c r="B4397">
        <v>1</v>
      </c>
      <c r="C4397" s="33">
        <v>9001</v>
      </c>
      <c r="D4397" s="2">
        <v>1375</v>
      </c>
      <c r="E4397" s="2" t="s">
        <v>11692</v>
      </c>
      <c r="F4397" s="3" t="s">
        <v>14245</v>
      </c>
      <c r="H4397" s="3" t="s">
        <v>417</v>
      </c>
      <c r="K4397" s="2">
        <v>10</v>
      </c>
      <c r="L4397" s="2">
        <v>1</v>
      </c>
      <c r="M4397" s="3" t="s">
        <v>194</v>
      </c>
      <c r="N4397" s="3" t="s">
        <v>2104</v>
      </c>
      <c r="O4397" s="3" t="s">
        <v>2999</v>
      </c>
      <c r="P4397" s="3" t="s">
        <v>4384</v>
      </c>
      <c r="Q4397" s="30" t="str">
        <f t="shared" si="68"/>
        <v>MAX : 5.9
TARGET : 5.8
MIN : 5.7</v>
      </c>
    </row>
    <row r="4398" spans="2:17" ht="41.4" x14ac:dyDescent="0.3">
      <c r="B4398">
        <v>1</v>
      </c>
      <c r="C4398" s="33">
        <v>9002</v>
      </c>
      <c r="D4398" s="2">
        <v>2036</v>
      </c>
      <c r="E4398" s="2" t="s">
        <v>11877</v>
      </c>
      <c r="F4398" s="3" t="s">
        <v>14206</v>
      </c>
      <c r="H4398" s="3" t="s">
        <v>98</v>
      </c>
      <c r="K4398" s="2">
        <v>10</v>
      </c>
      <c r="L4398" s="2">
        <v>2</v>
      </c>
      <c r="M4398" s="3" t="s">
        <v>325</v>
      </c>
      <c r="N4398" s="3" t="s">
        <v>13</v>
      </c>
      <c r="O4398" s="3" t="s">
        <v>14</v>
      </c>
      <c r="Q4398" s="30" t="str">
        <f t="shared" si="68"/>
        <v>MAX : 
TARGET : Yes(Pass)
MIN : No(Fail)</v>
      </c>
    </row>
    <row r="4399" spans="2:17" ht="41.4" x14ac:dyDescent="0.3">
      <c r="B4399">
        <v>0</v>
      </c>
      <c r="C4399" s="33">
        <v>9085</v>
      </c>
      <c r="D4399" s="2">
        <v>1430</v>
      </c>
      <c r="E4399" s="2" t="s">
        <v>12395</v>
      </c>
      <c r="F4399" s="3" t="s">
        <v>14206</v>
      </c>
      <c r="H4399" s="3" t="s">
        <v>2116</v>
      </c>
      <c r="I4399" s="3" t="s">
        <v>487</v>
      </c>
      <c r="K4399" s="2">
        <v>10</v>
      </c>
      <c r="L4399" s="2">
        <v>3</v>
      </c>
      <c r="M4399" s="3" t="s">
        <v>1835</v>
      </c>
      <c r="N4399" s="3" t="s">
        <v>13</v>
      </c>
      <c r="O4399" s="3" t="s">
        <v>14</v>
      </c>
      <c r="Q4399" s="30" t="str">
        <f t="shared" si="68"/>
        <v>MAX : 
TARGET : Yes(Pass)
MIN : No(Fail)</v>
      </c>
    </row>
    <row r="4400" spans="2:17" ht="41.4" x14ac:dyDescent="0.3">
      <c r="B4400">
        <v>1</v>
      </c>
      <c r="C4400" s="33">
        <v>9002</v>
      </c>
      <c r="D4400" s="2">
        <v>2036</v>
      </c>
      <c r="E4400" s="2" t="s">
        <v>11877</v>
      </c>
      <c r="F4400" s="3" t="s">
        <v>14206</v>
      </c>
      <c r="H4400" s="3" t="s">
        <v>98</v>
      </c>
      <c r="K4400" s="2">
        <v>10</v>
      </c>
      <c r="L4400" s="2">
        <v>1</v>
      </c>
      <c r="M4400" s="3" t="s">
        <v>99</v>
      </c>
      <c r="N4400" s="3" t="s">
        <v>571</v>
      </c>
      <c r="O4400" s="3" t="s">
        <v>276</v>
      </c>
      <c r="P4400" s="3" t="s">
        <v>572</v>
      </c>
      <c r="Q4400" s="30" t="str">
        <f t="shared" si="68"/>
        <v>MAX : 0.405
TARGET : 0.375
MIN : 0.345</v>
      </c>
    </row>
    <row r="4401" spans="2:18" ht="41.4" x14ac:dyDescent="0.3">
      <c r="B4401">
        <v>1</v>
      </c>
      <c r="C4401" s="33">
        <v>9003</v>
      </c>
      <c r="D4401" s="2">
        <v>2037</v>
      </c>
      <c r="E4401" s="2" t="s">
        <v>11883</v>
      </c>
      <c r="F4401" s="3" t="s">
        <v>14206</v>
      </c>
      <c r="H4401" s="3" t="s">
        <v>66</v>
      </c>
      <c r="K4401" s="2">
        <v>10</v>
      </c>
      <c r="L4401" s="2">
        <v>2</v>
      </c>
      <c r="M4401" s="3" t="s">
        <v>611</v>
      </c>
      <c r="N4401" s="3" t="s">
        <v>13</v>
      </c>
      <c r="O4401" s="3" t="s">
        <v>14</v>
      </c>
      <c r="Q4401" s="30" t="str">
        <f t="shared" si="68"/>
        <v>MAX : 
TARGET : Yes(Pass)
MIN : No(Fail)</v>
      </c>
    </row>
    <row r="4402" spans="2:18" ht="41.4" x14ac:dyDescent="0.3">
      <c r="B4402">
        <v>1</v>
      </c>
      <c r="C4402" s="33">
        <v>9003</v>
      </c>
      <c r="D4402" s="2">
        <v>2037</v>
      </c>
      <c r="E4402" s="2" t="s">
        <v>11883</v>
      </c>
      <c r="F4402" s="3" t="s">
        <v>14206</v>
      </c>
      <c r="H4402" s="3" t="s">
        <v>66</v>
      </c>
      <c r="K4402" s="2">
        <v>10</v>
      </c>
      <c r="L4402" s="2">
        <v>1</v>
      </c>
      <c r="M4402" s="3" t="s">
        <v>4829</v>
      </c>
      <c r="N4402" s="3" t="s">
        <v>863</v>
      </c>
      <c r="O4402" s="3" t="s">
        <v>8</v>
      </c>
      <c r="P4402" s="3" t="s">
        <v>865</v>
      </c>
      <c r="Q4402" s="30" t="str">
        <f t="shared" si="68"/>
        <v>MAX : +0.03
TARGET : Target
MIN : -0.03</v>
      </c>
    </row>
    <row r="4403" spans="2:18" ht="41.4" x14ac:dyDescent="0.3">
      <c r="B4403">
        <v>0</v>
      </c>
      <c r="C4403" s="33">
        <v>8963</v>
      </c>
      <c r="D4403" s="2">
        <v>1357</v>
      </c>
      <c r="E4403" s="2" t="s">
        <v>11657</v>
      </c>
      <c r="F4403" s="3" t="s">
        <v>14239</v>
      </c>
      <c r="H4403" s="3" t="s">
        <v>4215</v>
      </c>
      <c r="K4403" s="2">
        <v>20</v>
      </c>
      <c r="L4403" s="2">
        <v>7</v>
      </c>
      <c r="M4403" s="3" t="s">
        <v>4332</v>
      </c>
      <c r="N4403" s="3" t="s">
        <v>13</v>
      </c>
      <c r="O4403" s="3" t="s">
        <v>14</v>
      </c>
      <c r="Q4403" s="30" t="str">
        <f t="shared" si="68"/>
        <v>MAX : 
TARGET : Yes(Pass)
MIN : No(Fail)</v>
      </c>
      <c r="R4403" s="3" t="s">
        <v>443</v>
      </c>
    </row>
    <row r="4404" spans="2:18" ht="41.4" x14ac:dyDescent="0.3">
      <c r="B4404">
        <v>1</v>
      </c>
      <c r="C4404" s="33">
        <v>9004</v>
      </c>
      <c r="D4404" s="2">
        <v>1376</v>
      </c>
      <c r="E4404" s="2" t="s">
        <v>11889</v>
      </c>
      <c r="F4404" s="3" t="s">
        <v>14206</v>
      </c>
      <c r="H4404" s="3" t="s">
        <v>469</v>
      </c>
      <c r="K4404" s="2">
        <v>10</v>
      </c>
      <c r="L4404" s="2">
        <v>2</v>
      </c>
      <c r="M4404" s="3" t="s">
        <v>570</v>
      </c>
      <c r="N4404" s="3" t="s">
        <v>4398</v>
      </c>
      <c r="O4404" s="3" t="s">
        <v>815</v>
      </c>
      <c r="P4404" s="3" t="s">
        <v>4399</v>
      </c>
      <c r="Q4404" s="30" t="str">
        <f t="shared" si="68"/>
        <v>MAX : 3.10
TARGET : 3.00
MIN : 2.90</v>
      </c>
    </row>
    <row r="4405" spans="2:18" ht="41.4" x14ac:dyDescent="0.3">
      <c r="B4405">
        <v>1</v>
      </c>
      <c r="C4405" s="33">
        <v>9004</v>
      </c>
      <c r="D4405" s="2">
        <v>1376</v>
      </c>
      <c r="E4405" s="2" t="s">
        <v>11889</v>
      </c>
      <c r="F4405" s="3" t="s">
        <v>14206</v>
      </c>
      <c r="H4405" s="3" t="s">
        <v>469</v>
      </c>
      <c r="K4405" s="2">
        <v>10</v>
      </c>
      <c r="L4405" s="2">
        <v>1</v>
      </c>
      <c r="M4405" s="3" t="s">
        <v>194</v>
      </c>
      <c r="N4405" s="3" t="s">
        <v>4396</v>
      </c>
      <c r="O4405" s="3" t="s">
        <v>3200</v>
      </c>
      <c r="P4405" s="3" t="s">
        <v>4397</v>
      </c>
      <c r="Q4405" s="30" t="str">
        <f t="shared" si="68"/>
        <v>MAX : 9.10
TARGET : 9.00
MIN : 8.90</v>
      </c>
    </row>
    <row r="4406" spans="2:18" ht="41.4" x14ac:dyDescent="0.3">
      <c r="B4406">
        <v>0</v>
      </c>
      <c r="C4406" s="33">
        <v>8964</v>
      </c>
      <c r="D4406" s="2">
        <v>1358</v>
      </c>
      <c r="E4406" s="2" t="s">
        <v>11665</v>
      </c>
      <c r="F4406" s="3" t="s">
        <v>14207</v>
      </c>
      <c r="G4406" s="3" t="s">
        <v>4234</v>
      </c>
      <c r="H4406" s="3" t="s">
        <v>426</v>
      </c>
      <c r="I4406" s="3" t="s">
        <v>575</v>
      </c>
      <c r="K4406" s="2">
        <v>20</v>
      </c>
      <c r="L4406" s="2">
        <v>3</v>
      </c>
      <c r="M4406" s="3" t="s">
        <v>5317</v>
      </c>
      <c r="N4406" s="3" t="s">
        <v>2326</v>
      </c>
      <c r="O4406" s="3" t="s">
        <v>4230</v>
      </c>
      <c r="P4406" s="3" t="s">
        <v>5318</v>
      </c>
      <c r="Q4406" s="30" t="str">
        <f t="shared" si="68"/>
        <v>MAX : 2.14
TARGET : 1.64
MIN : 1.14</v>
      </c>
    </row>
    <row r="4407" spans="2:18" ht="41.4" x14ac:dyDescent="0.3">
      <c r="B4407">
        <v>0</v>
      </c>
      <c r="C4407" s="33">
        <v>8964</v>
      </c>
      <c r="D4407" s="2">
        <v>1358</v>
      </c>
      <c r="E4407" s="2" t="s">
        <v>11665</v>
      </c>
      <c r="F4407" s="3" t="s">
        <v>14207</v>
      </c>
      <c r="G4407" s="3" t="s">
        <v>4234</v>
      </c>
      <c r="H4407" s="3" t="s">
        <v>426</v>
      </c>
      <c r="I4407" s="3" t="s">
        <v>575</v>
      </c>
      <c r="K4407" s="2">
        <v>20</v>
      </c>
      <c r="L4407" s="2">
        <v>2</v>
      </c>
      <c r="M4407" s="3" t="s">
        <v>198</v>
      </c>
      <c r="N4407" s="3" t="s">
        <v>4235</v>
      </c>
      <c r="O4407" s="3" t="s">
        <v>594</v>
      </c>
      <c r="P4407" s="3" t="s">
        <v>4236</v>
      </c>
      <c r="Q4407" s="30" t="str">
        <f t="shared" si="68"/>
        <v>MAX : 41.76
TARGET : 41.00
MIN : 40.24</v>
      </c>
    </row>
    <row r="4408" spans="2:18" ht="41.4" x14ac:dyDescent="0.3">
      <c r="B4408">
        <v>1</v>
      </c>
      <c r="C4408" s="33">
        <v>9005</v>
      </c>
      <c r="D4408" s="2">
        <v>2038</v>
      </c>
      <c r="E4408" s="2" t="s">
        <v>11896</v>
      </c>
      <c r="F4408" s="3" t="s">
        <v>14206</v>
      </c>
      <c r="H4408" s="3" t="s">
        <v>269</v>
      </c>
      <c r="K4408" s="2">
        <v>10</v>
      </c>
      <c r="L4408" s="2">
        <v>2</v>
      </c>
      <c r="M4408" s="3" t="s">
        <v>3870</v>
      </c>
      <c r="N4408" s="3" t="s">
        <v>13</v>
      </c>
      <c r="O4408" s="3" t="s">
        <v>14</v>
      </c>
      <c r="Q4408" s="30" t="str">
        <f t="shared" si="68"/>
        <v>MAX : 
TARGET : Yes(Pass)
MIN : No(Fail)</v>
      </c>
    </row>
    <row r="4409" spans="2:18" ht="41.4" x14ac:dyDescent="0.3">
      <c r="B4409">
        <v>1</v>
      </c>
      <c r="C4409" s="33">
        <v>9005</v>
      </c>
      <c r="D4409" s="2">
        <v>2038</v>
      </c>
      <c r="E4409" s="2" t="s">
        <v>11896</v>
      </c>
      <c r="F4409" s="3" t="s">
        <v>14206</v>
      </c>
      <c r="H4409" s="3" t="s">
        <v>269</v>
      </c>
      <c r="K4409" s="2">
        <v>10</v>
      </c>
      <c r="L4409" s="2">
        <v>1</v>
      </c>
      <c r="M4409" s="3" t="s">
        <v>174</v>
      </c>
      <c r="N4409" s="3" t="s">
        <v>405</v>
      </c>
      <c r="O4409" s="3" t="s">
        <v>406</v>
      </c>
      <c r="P4409" s="3" t="s">
        <v>407</v>
      </c>
      <c r="Q4409" s="30" t="str">
        <f t="shared" si="68"/>
        <v>MAX : 2.06
TARGET : 2.00
MIN : 1.94</v>
      </c>
    </row>
    <row r="4410" spans="2:18" ht="41.4" x14ac:dyDescent="0.3">
      <c r="B4410">
        <v>1</v>
      </c>
      <c r="C4410" s="33">
        <v>9006</v>
      </c>
      <c r="D4410" s="2">
        <v>2039</v>
      </c>
      <c r="E4410" s="2" t="s">
        <v>11903</v>
      </c>
      <c r="F4410" s="3" t="s">
        <v>14206</v>
      </c>
      <c r="H4410" s="3" t="s">
        <v>269</v>
      </c>
      <c r="K4410" s="2">
        <v>10</v>
      </c>
      <c r="L4410" s="2">
        <v>2</v>
      </c>
      <c r="M4410" s="3" t="s">
        <v>467</v>
      </c>
      <c r="N4410" s="3" t="s">
        <v>3091</v>
      </c>
      <c r="O4410" s="3" t="s">
        <v>184</v>
      </c>
      <c r="P4410" s="3" t="s">
        <v>3092</v>
      </c>
      <c r="Q4410" s="30" t="str">
        <f t="shared" si="68"/>
        <v>MAX : 5.06
TARGET : 5.00
MIN : 4.94</v>
      </c>
    </row>
    <row r="4411" spans="2:18" ht="41.4" x14ac:dyDescent="0.3">
      <c r="B4411">
        <v>1</v>
      </c>
      <c r="C4411" s="33">
        <v>9006</v>
      </c>
      <c r="D4411" s="2">
        <v>2039</v>
      </c>
      <c r="E4411" s="2" t="s">
        <v>11903</v>
      </c>
      <c r="F4411" s="3" t="s">
        <v>14206</v>
      </c>
      <c r="H4411" s="3" t="s">
        <v>269</v>
      </c>
      <c r="K4411" s="2">
        <v>10</v>
      </c>
      <c r="L4411" s="2">
        <v>1</v>
      </c>
      <c r="M4411" s="3" t="s">
        <v>109</v>
      </c>
      <c r="N4411" s="3" t="s">
        <v>1504</v>
      </c>
      <c r="O4411" s="3" t="s">
        <v>815</v>
      </c>
      <c r="P4411" s="3" t="s">
        <v>1505</v>
      </c>
      <c r="Q4411" s="30" t="str">
        <f t="shared" si="68"/>
        <v>MAX : 3.06
TARGET : 3.00
MIN : 2.94</v>
      </c>
    </row>
    <row r="4412" spans="2:18" ht="41.4" x14ac:dyDescent="0.3">
      <c r="B4412">
        <v>1</v>
      </c>
      <c r="C4412" s="33">
        <v>9007</v>
      </c>
      <c r="D4412" s="2">
        <v>2040</v>
      </c>
      <c r="E4412" s="2" t="s">
        <v>11909</v>
      </c>
      <c r="F4412" s="3" t="s">
        <v>14207</v>
      </c>
      <c r="H4412" s="3" t="s">
        <v>98</v>
      </c>
      <c r="K4412" s="2">
        <v>10</v>
      </c>
      <c r="L4412" s="2">
        <v>2</v>
      </c>
      <c r="M4412" s="3" t="s">
        <v>3870</v>
      </c>
      <c r="N4412" s="3" t="s">
        <v>13</v>
      </c>
      <c r="O4412" s="3" t="s">
        <v>14</v>
      </c>
      <c r="Q4412" s="30" t="str">
        <f t="shared" si="68"/>
        <v>MAX : 
TARGET : Yes(Pass)
MIN : No(Fail)</v>
      </c>
    </row>
    <row r="4413" spans="2:18" ht="41.4" x14ac:dyDescent="0.3">
      <c r="B4413">
        <v>0</v>
      </c>
      <c r="C4413" s="33">
        <v>9092</v>
      </c>
      <c r="D4413" s="2">
        <v>1436</v>
      </c>
      <c r="E4413" s="2" t="s">
        <v>12442</v>
      </c>
      <c r="F4413" s="3" t="s">
        <v>14207</v>
      </c>
      <c r="H4413" s="3" t="s">
        <v>504</v>
      </c>
      <c r="K4413" s="2">
        <v>20</v>
      </c>
      <c r="L4413" s="2">
        <v>3</v>
      </c>
      <c r="M4413" s="3" t="s">
        <v>78</v>
      </c>
      <c r="N4413" s="3" t="s">
        <v>13</v>
      </c>
      <c r="O4413" s="3" t="s">
        <v>14</v>
      </c>
      <c r="Q4413" s="30" t="str">
        <f t="shared" si="68"/>
        <v>MAX : 
TARGET : Yes(Pass)
MIN : No(Fail)</v>
      </c>
    </row>
    <row r="4414" spans="2:18" ht="41.4" x14ac:dyDescent="0.3">
      <c r="B4414">
        <v>1</v>
      </c>
      <c r="C4414" s="33">
        <v>9007</v>
      </c>
      <c r="D4414" s="2">
        <v>2040</v>
      </c>
      <c r="E4414" s="2" t="s">
        <v>11909</v>
      </c>
      <c r="F4414" s="3" t="s">
        <v>14207</v>
      </c>
      <c r="H4414" s="3" t="s">
        <v>98</v>
      </c>
      <c r="K4414" s="2">
        <v>10</v>
      </c>
      <c r="L4414" s="2">
        <v>1</v>
      </c>
      <c r="M4414" s="3" t="s">
        <v>174</v>
      </c>
      <c r="N4414" s="3" t="s">
        <v>4409</v>
      </c>
      <c r="O4414" s="3" t="s">
        <v>4410</v>
      </c>
      <c r="P4414" s="3" t="s">
        <v>4411</v>
      </c>
      <c r="Q4414" s="30" t="str">
        <f t="shared" si="68"/>
        <v>MAX : 74
TARGET : 72
MIN : 70</v>
      </c>
    </row>
    <row r="4415" spans="2:18" ht="41.4" x14ac:dyDescent="0.3">
      <c r="B4415">
        <v>1</v>
      </c>
      <c r="C4415" s="33">
        <v>9008</v>
      </c>
      <c r="D4415" s="2">
        <v>2041</v>
      </c>
      <c r="E4415" s="2" t="s">
        <v>11916</v>
      </c>
      <c r="F4415" s="3" t="s">
        <v>14206</v>
      </c>
      <c r="H4415" s="3" t="s">
        <v>1903</v>
      </c>
      <c r="K4415" s="2">
        <v>20</v>
      </c>
      <c r="L4415" s="2">
        <v>1</v>
      </c>
      <c r="M4415" s="3" t="s">
        <v>4402</v>
      </c>
      <c r="N4415" s="3" t="s">
        <v>252</v>
      </c>
      <c r="O4415" s="3" t="s">
        <v>253</v>
      </c>
      <c r="P4415" s="3" t="s">
        <v>128</v>
      </c>
      <c r="Q4415" s="30" t="str">
        <f t="shared" si="68"/>
        <v>MAX : 4.03
TARGET : 4.00
MIN : 3.97</v>
      </c>
    </row>
    <row r="4416" spans="2:18" ht="41.4" x14ac:dyDescent="0.3">
      <c r="B4416">
        <v>0</v>
      </c>
      <c r="C4416" s="33">
        <v>9096</v>
      </c>
      <c r="D4416" s="2">
        <v>1439</v>
      </c>
      <c r="E4416" s="2" t="s">
        <v>12469</v>
      </c>
      <c r="F4416" s="3" t="s">
        <v>14253</v>
      </c>
      <c r="H4416" s="3" t="s">
        <v>4551</v>
      </c>
      <c r="K4416" s="2">
        <v>30</v>
      </c>
      <c r="L4416" s="2">
        <v>3</v>
      </c>
      <c r="M4416" s="3" t="s">
        <v>4453</v>
      </c>
      <c r="N4416" s="3" t="s">
        <v>4470</v>
      </c>
      <c r="O4416" s="3" t="s">
        <v>132</v>
      </c>
      <c r="P4416" s="3" t="s">
        <v>4471</v>
      </c>
      <c r="Q4416" s="30" t="str">
        <f t="shared" si="68"/>
        <v>MAX : 0.813
TARGET : 0.75
MIN : 0.687</v>
      </c>
    </row>
    <row r="4417" spans="2:17" ht="41.4" x14ac:dyDescent="0.3">
      <c r="B4417">
        <v>0</v>
      </c>
      <c r="C4417" s="33">
        <v>9096</v>
      </c>
      <c r="D4417" s="2">
        <v>1439</v>
      </c>
      <c r="E4417" s="2" t="s">
        <v>12469</v>
      </c>
      <c r="F4417" s="3" t="s">
        <v>14253</v>
      </c>
      <c r="H4417" s="3" t="s">
        <v>4551</v>
      </c>
      <c r="K4417" s="2">
        <v>30</v>
      </c>
      <c r="L4417" s="2">
        <v>4</v>
      </c>
      <c r="M4417" s="3" t="s">
        <v>22</v>
      </c>
      <c r="N4417" s="3" t="s">
        <v>4479</v>
      </c>
      <c r="O4417" s="3" t="s">
        <v>389</v>
      </c>
      <c r="P4417" s="3" t="s">
        <v>4480</v>
      </c>
      <c r="Q4417" s="30" t="str">
        <f t="shared" si="68"/>
        <v>MAX : 6.313
TARGET : 6.25
MIN : 6.187</v>
      </c>
    </row>
    <row r="4418" spans="2:17" ht="41.4" x14ac:dyDescent="0.3">
      <c r="B4418">
        <v>0</v>
      </c>
      <c r="C4418" s="33">
        <v>9096</v>
      </c>
      <c r="D4418" s="2">
        <v>1439</v>
      </c>
      <c r="E4418" s="2" t="s">
        <v>12469</v>
      </c>
      <c r="F4418" s="3" t="s">
        <v>14253</v>
      </c>
      <c r="H4418" s="3" t="s">
        <v>4551</v>
      </c>
      <c r="K4418" s="2">
        <v>30</v>
      </c>
      <c r="L4418" s="2">
        <v>5</v>
      </c>
      <c r="M4418" s="3" t="s">
        <v>4457</v>
      </c>
      <c r="N4418" s="3" t="s">
        <v>4470</v>
      </c>
      <c r="O4418" s="3" t="s">
        <v>132</v>
      </c>
      <c r="P4418" s="3" t="s">
        <v>4471</v>
      </c>
      <c r="Q4418" s="30" t="str">
        <f t="shared" ref="Q4418:Q4481" si="69">"MAX : " &amp; P4418 &amp; CHAR(10) &amp; "TARGET : " &amp; O4418 &amp; CHAR(10) &amp; "MIN : " &amp; N4418</f>
        <v>MAX : 0.813
TARGET : 0.75
MIN : 0.687</v>
      </c>
    </row>
    <row r="4419" spans="2:17" ht="41.4" x14ac:dyDescent="0.3">
      <c r="B4419">
        <v>0</v>
      </c>
      <c r="C4419" s="33">
        <v>9096</v>
      </c>
      <c r="D4419" s="2">
        <v>1439</v>
      </c>
      <c r="E4419" s="2" t="s">
        <v>12469</v>
      </c>
      <c r="F4419" s="3" t="s">
        <v>14253</v>
      </c>
      <c r="H4419" s="3" t="s">
        <v>4551</v>
      </c>
      <c r="K4419" s="2">
        <v>30</v>
      </c>
      <c r="L4419" s="2">
        <v>6</v>
      </c>
      <c r="M4419" s="3" t="s">
        <v>4458</v>
      </c>
      <c r="N4419" s="3" t="s">
        <v>4481</v>
      </c>
      <c r="O4419" s="3" t="s">
        <v>4482</v>
      </c>
      <c r="P4419" s="3" t="s">
        <v>3097</v>
      </c>
      <c r="Q4419" s="30" t="str">
        <f t="shared" si="69"/>
        <v>MAX : 5.943
TARGET : 5.88
MIN : 5.817</v>
      </c>
    </row>
    <row r="4420" spans="2:17" ht="41.4" x14ac:dyDescent="0.3">
      <c r="B4420">
        <v>0</v>
      </c>
      <c r="C4420" s="33">
        <v>9096</v>
      </c>
      <c r="D4420" s="2">
        <v>1439</v>
      </c>
      <c r="E4420" s="2" t="s">
        <v>12469</v>
      </c>
      <c r="F4420" s="3" t="s">
        <v>14253</v>
      </c>
      <c r="H4420" s="3" t="s">
        <v>4551</v>
      </c>
      <c r="K4420" s="2">
        <v>30</v>
      </c>
      <c r="L4420" s="2">
        <v>7</v>
      </c>
      <c r="M4420" s="3" t="s">
        <v>4553</v>
      </c>
      <c r="N4420" s="3" t="s">
        <v>4463</v>
      </c>
      <c r="O4420" s="3" t="s">
        <v>1570</v>
      </c>
      <c r="P4420" s="3" t="s">
        <v>4464</v>
      </c>
      <c r="Q4420" s="30" t="str">
        <f t="shared" si="69"/>
        <v>MAX : 0.193
TARGET : 0.13
MIN : 0.067</v>
      </c>
    </row>
    <row r="4421" spans="2:17" ht="41.4" x14ac:dyDescent="0.3">
      <c r="B4421">
        <v>0</v>
      </c>
      <c r="C4421" s="33">
        <v>9096</v>
      </c>
      <c r="D4421" s="2">
        <v>1439</v>
      </c>
      <c r="E4421" s="2" t="s">
        <v>12469</v>
      </c>
      <c r="F4421" s="3" t="s">
        <v>14253</v>
      </c>
      <c r="H4421" s="3" t="s">
        <v>4551</v>
      </c>
      <c r="K4421" s="2">
        <v>30</v>
      </c>
      <c r="L4421" s="2">
        <v>8</v>
      </c>
      <c r="M4421" s="3" t="s">
        <v>4554</v>
      </c>
      <c r="N4421" s="3" t="s">
        <v>4428</v>
      </c>
      <c r="O4421" s="3" t="s">
        <v>309</v>
      </c>
      <c r="P4421" s="3" t="s">
        <v>4454</v>
      </c>
      <c r="Q4421" s="30" t="str">
        <f t="shared" si="69"/>
        <v>MAX : 0.563
TARGET : 0.50
MIN : 0.437</v>
      </c>
    </row>
    <row r="4422" spans="2:17" ht="41.4" x14ac:dyDescent="0.3">
      <c r="B4422">
        <v>0</v>
      </c>
      <c r="C4422" s="33">
        <v>9096</v>
      </c>
      <c r="D4422" s="2">
        <v>1439</v>
      </c>
      <c r="E4422" s="2" t="s">
        <v>12469</v>
      </c>
      <c r="F4422" s="3" t="s">
        <v>14253</v>
      </c>
      <c r="H4422" s="3" t="s">
        <v>4551</v>
      </c>
      <c r="K4422" s="2">
        <v>30</v>
      </c>
      <c r="L4422" s="2">
        <v>9</v>
      </c>
      <c r="M4422" s="3" t="s">
        <v>4466</v>
      </c>
      <c r="N4422" s="3" t="s">
        <v>13</v>
      </c>
      <c r="O4422" s="3" t="s">
        <v>14</v>
      </c>
      <c r="Q4422" s="30" t="str">
        <f t="shared" si="69"/>
        <v>MAX : 
TARGET : Yes(Pass)
MIN : No(Fail)</v>
      </c>
    </row>
    <row r="4423" spans="2:17" ht="41.4" x14ac:dyDescent="0.3">
      <c r="B4423">
        <v>0</v>
      </c>
      <c r="C4423" s="33">
        <v>9096</v>
      </c>
      <c r="D4423" s="2">
        <v>1439</v>
      </c>
      <c r="E4423" s="2" t="s">
        <v>12469</v>
      </c>
      <c r="F4423" s="3" t="s">
        <v>14253</v>
      </c>
      <c r="H4423" s="3" t="s">
        <v>4551</v>
      </c>
      <c r="K4423" s="2">
        <v>30</v>
      </c>
      <c r="L4423" s="2">
        <v>11</v>
      </c>
      <c r="M4423" s="3" t="s">
        <v>4467</v>
      </c>
      <c r="N4423" s="3" t="s">
        <v>13</v>
      </c>
      <c r="O4423" s="3" t="s">
        <v>14</v>
      </c>
      <c r="Q4423" s="30" t="str">
        <f t="shared" si="69"/>
        <v>MAX : 
TARGET : Yes(Pass)
MIN : No(Fail)</v>
      </c>
    </row>
    <row r="4424" spans="2:17" ht="41.4" x14ac:dyDescent="0.3">
      <c r="B4424">
        <v>0</v>
      </c>
      <c r="C4424" s="33">
        <v>9096</v>
      </c>
      <c r="D4424" s="2">
        <v>1439</v>
      </c>
      <c r="E4424" s="2" t="s">
        <v>12469</v>
      </c>
      <c r="F4424" s="3" t="s">
        <v>14253</v>
      </c>
      <c r="H4424" s="3" t="s">
        <v>4551</v>
      </c>
      <c r="K4424" s="2">
        <v>20</v>
      </c>
      <c r="L4424" s="2">
        <v>1</v>
      </c>
      <c r="M4424" s="3" t="s">
        <v>4468</v>
      </c>
      <c r="N4424" s="3" t="s">
        <v>13</v>
      </c>
      <c r="O4424" s="3" t="s">
        <v>14</v>
      </c>
      <c r="Q4424" s="30" t="str">
        <f t="shared" si="69"/>
        <v>MAX : 
TARGET : Yes(Pass)
MIN : No(Fail)</v>
      </c>
    </row>
    <row r="4425" spans="2:17" ht="41.4" x14ac:dyDescent="0.3">
      <c r="B4425">
        <v>0</v>
      </c>
      <c r="C4425" s="33">
        <v>9096</v>
      </c>
      <c r="D4425" s="2">
        <v>1439</v>
      </c>
      <c r="E4425" s="2" t="s">
        <v>12469</v>
      </c>
      <c r="F4425" s="3" t="s">
        <v>14253</v>
      </c>
      <c r="H4425" s="3" t="s">
        <v>4551</v>
      </c>
      <c r="K4425" s="2">
        <v>20</v>
      </c>
      <c r="L4425" s="2">
        <v>2</v>
      </c>
      <c r="M4425" s="3" t="s">
        <v>4469</v>
      </c>
      <c r="N4425" s="3" t="s">
        <v>4470</v>
      </c>
      <c r="O4425" s="3" t="s">
        <v>132</v>
      </c>
      <c r="P4425" s="3" t="s">
        <v>4471</v>
      </c>
      <c r="Q4425" s="30" t="str">
        <f t="shared" si="69"/>
        <v>MAX : 0.813
TARGET : 0.75
MIN : 0.687</v>
      </c>
    </row>
    <row r="4426" spans="2:17" ht="41.4" x14ac:dyDescent="0.3">
      <c r="B4426">
        <v>0</v>
      </c>
      <c r="C4426" s="33">
        <v>9096</v>
      </c>
      <c r="D4426" s="2">
        <v>1439</v>
      </c>
      <c r="E4426" s="2" t="s">
        <v>12469</v>
      </c>
      <c r="F4426" s="3" t="s">
        <v>14253</v>
      </c>
      <c r="H4426" s="3" t="s">
        <v>4551</v>
      </c>
      <c r="K4426" s="2">
        <v>20</v>
      </c>
      <c r="L4426" s="2">
        <v>4</v>
      </c>
      <c r="M4426" s="3" t="s">
        <v>4472</v>
      </c>
      <c r="N4426" s="3" t="s">
        <v>13</v>
      </c>
      <c r="O4426" s="3" t="s">
        <v>14</v>
      </c>
      <c r="Q4426" s="30" t="str">
        <f t="shared" si="69"/>
        <v>MAX : 
TARGET : Yes(Pass)
MIN : No(Fail)</v>
      </c>
    </row>
    <row r="4427" spans="2:17" ht="41.4" x14ac:dyDescent="0.3">
      <c r="B4427">
        <v>0</v>
      </c>
      <c r="C4427" s="33">
        <v>9096</v>
      </c>
      <c r="D4427" s="2">
        <v>1439</v>
      </c>
      <c r="E4427" s="2" t="s">
        <v>12469</v>
      </c>
      <c r="F4427" s="3" t="s">
        <v>14253</v>
      </c>
      <c r="H4427" s="3" t="s">
        <v>4551</v>
      </c>
      <c r="K4427" s="2">
        <v>10</v>
      </c>
      <c r="L4427" s="2">
        <v>1</v>
      </c>
      <c r="M4427" s="3" t="s">
        <v>4555</v>
      </c>
      <c r="N4427" s="3" t="s">
        <v>4556</v>
      </c>
      <c r="O4427" s="3" t="s">
        <v>250</v>
      </c>
      <c r="P4427" s="3" t="s">
        <v>3837</v>
      </c>
      <c r="Q4427" s="30" t="str">
        <f t="shared" si="69"/>
        <v>MAX : 6.125
TARGET : 6.00
MIN : 5.875</v>
      </c>
    </row>
    <row r="4428" spans="2:17" ht="41.4" x14ac:dyDescent="0.3">
      <c r="B4428">
        <v>1</v>
      </c>
      <c r="C4428" s="33">
        <v>9008</v>
      </c>
      <c r="D4428" s="2">
        <v>2041</v>
      </c>
      <c r="E4428" s="2" t="s">
        <v>11916</v>
      </c>
      <c r="F4428" s="3" t="s">
        <v>14206</v>
      </c>
      <c r="H4428" s="3" t="s">
        <v>1903</v>
      </c>
      <c r="K4428" s="2">
        <v>10</v>
      </c>
      <c r="L4428" s="2">
        <v>1</v>
      </c>
      <c r="M4428" s="3" t="s">
        <v>4401</v>
      </c>
      <c r="N4428" s="3" t="s">
        <v>252</v>
      </c>
      <c r="O4428" s="3" t="s">
        <v>253</v>
      </c>
      <c r="P4428" s="3" t="s">
        <v>128</v>
      </c>
      <c r="Q4428" s="30" t="str">
        <f t="shared" si="69"/>
        <v>MAX : 4.03
TARGET : 4.00
MIN : 3.97</v>
      </c>
    </row>
    <row r="4429" spans="2:17" ht="41.4" x14ac:dyDescent="0.3">
      <c r="B4429">
        <v>1</v>
      </c>
      <c r="C4429" s="33">
        <v>9009</v>
      </c>
      <c r="D4429" s="2">
        <v>1377</v>
      </c>
      <c r="E4429" s="2" t="s">
        <v>11922</v>
      </c>
      <c r="F4429" s="3" t="s">
        <v>14206</v>
      </c>
      <c r="H4429" s="3" t="s">
        <v>4305</v>
      </c>
      <c r="K4429" s="2">
        <v>10</v>
      </c>
      <c r="L4429" s="2">
        <v>2</v>
      </c>
      <c r="M4429" s="3" t="s">
        <v>198</v>
      </c>
      <c r="N4429" s="3" t="s">
        <v>1985</v>
      </c>
      <c r="O4429" s="3" t="s">
        <v>149</v>
      </c>
      <c r="P4429" s="3" t="s">
        <v>1986</v>
      </c>
      <c r="Q4429" s="30" t="str">
        <f t="shared" si="69"/>
        <v>MAX : 12.03
TARGET : 12.00
MIN : 11.97</v>
      </c>
    </row>
    <row r="4430" spans="2:17" ht="41.4" x14ac:dyDescent="0.3">
      <c r="B4430">
        <v>0</v>
      </c>
      <c r="C4430" s="33">
        <v>9098</v>
      </c>
      <c r="D4430" s="2">
        <v>1440</v>
      </c>
      <c r="E4430" s="2" t="s">
        <v>12477</v>
      </c>
      <c r="F4430" s="3" t="s">
        <v>14254</v>
      </c>
      <c r="H4430" s="3" t="s">
        <v>4551</v>
      </c>
      <c r="K4430" s="2">
        <v>30</v>
      </c>
      <c r="L4430" s="2">
        <v>3</v>
      </c>
      <c r="M4430" s="3" t="s">
        <v>4453</v>
      </c>
      <c r="N4430" s="3" t="s">
        <v>4428</v>
      </c>
      <c r="O4430" s="3" t="s">
        <v>309</v>
      </c>
      <c r="P4430" s="3" t="s">
        <v>4454</v>
      </c>
      <c r="Q4430" s="30" t="str">
        <f t="shared" si="69"/>
        <v>MAX : 0.563
TARGET : 0.50
MIN : 0.437</v>
      </c>
    </row>
    <row r="4431" spans="2:17" ht="41.4" x14ac:dyDescent="0.3">
      <c r="B4431">
        <v>0</v>
      </c>
      <c r="C4431" s="33">
        <v>9098</v>
      </c>
      <c r="D4431" s="2">
        <v>1440</v>
      </c>
      <c r="E4431" s="2" t="s">
        <v>12477</v>
      </c>
      <c r="F4431" s="3" t="s">
        <v>14254</v>
      </c>
      <c r="H4431" s="3" t="s">
        <v>4551</v>
      </c>
      <c r="K4431" s="2">
        <v>30</v>
      </c>
      <c r="L4431" s="2">
        <v>4</v>
      </c>
      <c r="M4431" s="3" t="s">
        <v>22</v>
      </c>
      <c r="N4431" s="3" t="s">
        <v>4455</v>
      </c>
      <c r="O4431" s="3" t="s">
        <v>201</v>
      </c>
      <c r="P4431" s="3" t="s">
        <v>4456</v>
      </c>
      <c r="Q4431" s="30" t="str">
        <f t="shared" si="69"/>
        <v>MAX : 5.813
TARGET : 5.75
MIN : 5.687</v>
      </c>
    </row>
    <row r="4432" spans="2:17" ht="41.4" x14ac:dyDescent="0.3">
      <c r="B4432">
        <v>0</v>
      </c>
      <c r="C4432" s="33">
        <v>9098</v>
      </c>
      <c r="D4432" s="2">
        <v>1440</v>
      </c>
      <c r="E4432" s="2" t="s">
        <v>12477</v>
      </c>
      <c r="F4432" s="3" t="s">
        <v>14254</v>
      </c>
      <c r="H4432" s="3" t="s">
        <v>4551</v>
      </c>
      <c r="K4432" s="2">
        <v>30</v>
      </c>
      <c r="L4432" s="2">
        <v>5</v>
      </c>
      <c r="M4432" s="3" t="s">
        <v>4457</v>
      </c>
      <c r="N4432" s="3" t="s">
        <v>4428</v>
      </c>
      <c r="O4432" s="3" t="s">
        <v>309</v>
      </c>
      <c r="P4432" s="3" t="s">
        <v>4454</v>
      </c>
      <c r="Q4432" s="30" t="str">
        <f t="shared" si="69"/>
        <v>MAX : 0.563
TARGET : 0.50
MIN : 0.437</v>
      </c>
    </row>
    <row r="4433" spans="2:18" ht="41.4" x14ac:dyDescent="0.3">
      <c r="B4433">
        <v>0</v>
      </c>
      <c r="C4433" s="33">
        <v>9098</v>
      </c>
      <c r="D4433" s="2">
        <v>1440</v>
      </c>
      <c r="E4433" s="2" t="s">
        <v>12477</v>
      </c>
      <c r="F4433" s="3" t="s">
        <v>14254</v>
      </c>
      <c r="H4433" s="3" t="s">
        <v>4551</v>
      </c>
      <c r="K4433" s="2">
        <v>30</v>
      </c>
      <c r="L4433" s="2">
        <v>6</v>
      </c>
      <c r="M4433" s="3" t="s">
        <v>4458</v>
      </c>
      <c r="N4433" s="3" t="s">
        <v>4459</v>
      </c>
      <c r="O4433" s="3" t="s">
        <v>4460</v>
      </c>
      <c r="P4433" s="3" t="s">
        <v>4461</v>
      </c>
      <c r="Q4433" s="30" t="str">
        <f t="shared" si="69"/>
        <v>MAX : 5.443
TARGET : 5.38
MIN : 5.317</v>
      </c>
    </row>
    <row r="4434" spans="2:18" ht="41.4" x14ac:dyDescent="0.3">
      <c r="B4434">
        <v>0</v>
      </c>
      <c r="C4434" s="33">
        <v>9098</v>
      </c>
      <c r="D4434" s="2">
        <v>1440</v>
      </c>
      <c r="E4434" s="2" t="s">
        <v>12477</v>
      </c>
      <c r="F4434" s="3" t="s">
        <v>14254</v>
      </c>
      <c r="H4434" s="3" t="s">
        <v>4551</v>
      </c>
      <c r="K4434" s="2">
        <v>30</v>
      </c>
      <c r="L4434" s="2">
        <v>7</v>
      </c>
      <c r="M4434" s="3" t="s">
        <v>4553</v>
      </c>
      <c r="N4434" s="3" t="s">
        <v>4463</v>
      </c>
      <c r="O4434" s="3" t="s">
        <v>1570</v>
      </c>
      <c r="P4434" s="3" t="s">
        <v>4464</v>
      </c>
      <c r="Q4434" s="30" t="str">
        <f t="shared" si="69"/>
        <v>MAX : 0.193
TARGET : 0.13
MIN : 0.067</v>
      </c>
    </row>
    <row r="4435" spans="2:18" ht="41.4" x14ac:dyDescent="0.3">
      <c r="B4435">
        <v>0</v>
      </c>
      <c r="C4435" s="33">
        <v>9098</v>
      </c>
      <c r="D4435" s="2">
        <v>1440</v>
      </c>
      <c r="E4435" s="2" t="s">
        <v>12477</v>
      </c>
      <c r="F4435" s="3" t="s">
        <v>14254</v>
      </c>
      <c r="H4435" s="3" t="s">
        <v>4551</v>
      </c>
      <c r="K4435" s="2">
        <v>30</v>
      </c>
      <c r="L4435" s="2">
        <v>8</v>
      </c>
      <c r="M4435" s="3" t="s">
        <v>4554</v>
      </c>
      <c r="N4435" s="3" t="s">
        <v>4428</v>
      </c>
      <c r="O4435" s="3" t="s">
        <v>309</v>
      </c>
      <c r="P4435" s="3" t="s">
        <v>4454</v>
      </c>
      <c r="Q4435" s="30" t="str">
        <f t="shared" si="69"/>
        <v>MAX : 0.563
TARGET : 0.50
MIN : 0.437</v>
      </c>
    </row>
    <row r="4436" spans="2:18" ht="41.4" x14ac:dyDescent="0.3">
      <c r="B4436">
        <v>0</v>
      </c>
      <c r="C4436" s="33">
        <v>9098</v>
      </c>
      <c r="D4436" s="2">
        <v>1440</v>
      </c>
      <c r="E4436" s="2" t="s">
        <v>12477</v>
      </c>
      <c r="F4436" s="3" t="s">
        <v>14254</v>
      </c>
      <c r="H4436" s="3" t="s">
        <v>4551</v>
      </c>
      <c r="K4436" s="2">
        <v>30</v>
      </c>
      <c r="L4436" s="2">
        <v>9</v>
      </c>
      <c r="M4436" s="3" t="s">
        <v>4466</v>
      </c>
      <c r="N4436" s="3" t="s">
        <v>13</v>
      </c>
      <c r="O4436" s="3" t="s">
        <v>14</v>
      </c>
      <c r="Q4436" s="30" t="str">
        <f t="shared" si="69"/>
        <v>MAX : 
TARGET : Yes(Pass)
MIN : No(Fail)</v>
      </c>
    </row>
    <row r="4437" spans="2:18" ht="41.4" x14ac:dyDescent="0.3">
      <c r="B4437">
        <v>0</v>
      </c>
      <c r="C4437" s="33">
        <v>9098</v>
      </c>
      <c r="D4437" s="2">
        <v>1440</v>
      </c>
      <c r="E4437" s="2" t="s">
        <v>12477</v>
      </c>
      <c r="F4437" s="3" t="s">
        <v>14254</v>
      </c>
      <c r="H4437" s="3" t="s">
        <v>4551</v>
      </c>
      <c r="K4437" s="2">
        <v>30</v>
      </c>
      <c r="L4437" s="2">
        <v>11</v>
      </c>
      <c r="M4437" s="3" t="s">
        <v>4467</v>
      </c>
      <c r="N4437" s="3" t="s">
        <v>13</v>
      </c>
      <c r="O4437" s="3" t="s">
        <v>14</v>
      </c>
      <c r="Q4437" s="30" t="str">
        <f t="shared" si="69"/>
        <v>MAX : 
TARGET : Yes(Pass)
MIN : No(Fail)</v>
      </c>
    </row>
    <row r="4438" spans="2:18" ht="41.4" x14ac:dyDescent="0.3">
      <c r="B4438">
        <v>0</v>
      </c>
      <c r="C4438" s="33">
        <v>9098</v>
      </c>
      <c r="D4438" s="2">
        <v>1440</v>
      </c>
      <c r="E4438" s="2" t="s">
        <v>12477</v>
      </c>
      <c r="F4438" s="3" t="s">
        <v>14254</v>
      </c>
      <c r="H4438" s="3" t="s">
        <v>4551</v>
      </c>
      <c r="K4438" s="2">
        <v>20</v>
      </c>
      <c r="L4438" s="2">
        <v>1</v>
      </c>
      <c r="M4438" s="3" t="s">
        <v>4468</v>
      </c>
      <c r="N4438" s="3" t="s">
        <v>13</v>
      </c>
      <c r="O4438" s="3" t="s">
        <v>14</v>
      </c>
      <c r="Q4438" s="30" t="str">
        <f t="shared" si="69"/>
        <v>MAX : 
TARGET : Yes(Pass)
MIN : No(Fail)</v>
      </c>
    </row>
    <row r="4439" spans="2:18" ht="41.4" x14ac:dyDescent="0.3">
      <c r="B4439">
        <v>0</v>
      </c>
      <c r="C4439" s="33">
        <v>9098</v>
      </c>
      <c r="D4439" s="2">
        <v>1440</v>
      </c>
      <c r="E4439" s="2" t="s">
        <v>12477</v>
      </c>
      <c r="F4439" s="3" t="s">
        <v>14254</v>
      </c>
      <c r="H4439" s="3" t="s">
        <v>4551</v>
      </c>
      <c r="K4439" s="2">
        <v>20</v>
      </c>
      <c r="L4439" s="2">
        <v>2</v>
      </c>
      <c r="M4439" s="3" t="s">
        <v>4469</v>
      </c>
      <c r="N4439" s="3" t="s">
        <v>4470</v>
      </c>
      <c r="O4439" s="3" t="s">
        <v>132</v>
      </c>
      <c r="P4439" s="3" t="s">
        <v>4471</v>
      </c>
      <c r="Q4439" s="30" t="str">
        <f t="shared" si="69"/>
        <v>MAX : 0.813
TARGET : 0.75
MIN : 0.687</v>
      </c>
    </row>
    <row r="4440" spans="2:18" ht="41.4" x14ac:dyDescent="0.3">
      <c r="B4440">
        <v>0</v>
      </c>
      <c r="C4440" s="33">
        <v>9098</v>
      </c>
      <c r="D4440" s="2">
        <v>1440</v>
      </c>
      <c r="E4440" s="2" t="s">
        <v>12477</v>
      </c>
      <c r="F4440" s="3" t="s">
        <v>14254</v>
      </c>
      <c r="H4440" s="3" t="s">
        <v>4551</v>
      </c>
      <c r="K4440" s="2">
        <v>20</v>
      </c>
      <c r="L4440" s="2">
        <v>4</v>
      </c>
      <c r="M4440" s="3" t="s">
        <v>4472</v>
      </c>
      <c r="N4440" s="3" t="s">
        <v>13</v>
      </c>
      <c r="O4440" s="3" t="s">
        <v>14</v>
      </c>
      <c r="Q4440" s="30" t="str">
        <f t="shared" si="69"/>
        <v>MAX : 
TARGET : Yes(Pass)
MIN : No(Fail)</v>
      </c>
    </row>
    <row r="4441" spans="2:18" ht="41.4" x14ac:dyDescent="0.3">
      <c r="B4441">
        <v>0</v>
      </c>
      <c r="C4441" s="33">
        <v>9098</v>
      </c>
      <c r="D4441" s="2">
        <v>1440</v>
      </c>
      <c r="E4441" s="2" t="s">
        <v>12477</v>
      </c>
      <c r="F4441" s="3" t="s">
        <v>14254</v>
      </c>
      <c r="H4441" s="3" t="s">
        <v>4551</v>
      </c>
      <c r="K4441" s="2">
        <v>10</v>
      </c>
      <c r="L4441" s="2">
        <v>1</v>
      </c>
      <c r="M4441" s="3" t="s">
        <v>4555</v>
      </c>
      <c r="N4441" s="3" t="s">
        <v>4556</v>
      </c>
      <c r="O4441" s="3" t="s">
        <v>250</v>
      </c>
      <c r="P4441" s="3" t="s">
        <v>3837</v>
      </c>
      <c r="Q4441" s="30" t="str">
        <f t="shared" si="69"/>
        <v>MAX : 6.125
TARGET : 6.00
MIN : 5.875</v>
      </c>
    </row>
    <row r="4442" spans="2:18" ht="41.4" x14ac:dyDescent="0.3">
      <c r="B4442">
        <v>1</v>
      </c>
      <c r="C4442" s="33">
        <v>9009</v>
      </c>
      <c r="D4442" s="2">
        <v>1377</v>
      </c>
      <c r="E4442" s="2" t="s">
        <v>11922</v>
      </c>
      <c r="F4442" s="3" t="s">
        <v>14206</v>
      </c>
      <c r="H4442" s="3" t="s">
        <v>4305</v>
      </c>
      <c r="K4442" s="2">
        <v>10</v>
      </c>
      <c r="L4442" s="2">
        <v>1</v>
      </c>
      <c r="M4442" s="3" t="s">
        <v>194</v>
      </c>
      <c r="N4442" s="3" t="s">
        <v>4404</v>
      </c>
      <c r="O4442" s="3" t="s">
        <v>1098</v>
      </c>
      <c r="P4442" s="3" t="s">
        <v>4405</v>
      </c>
      <c r="Q4442" s="30" t="str">
        <f t="shared" si="69"/>
        <v>MAX : 10.03
TARGET : 10.00
MIN : 9.97</v>
      </c>
    </row>
    <row r="4443" spans="2:18" ht="41.4" x14ac:dyDescent="0.3">
      <c r="B4443">
        <v>1</v>
      </c>
      <c r="C4443" s="33">
        <v>9010</v>
      </c>
      <c r="D4443" s="2">
        <v>1378</v>
      </c>
      <c r="E4443" s="2" t="s">
        <v>11928</v>
      </c>
      <c r="F4443" s="3" t="s">
        <v>14206</v>
      </c>
      <c r="H4443" s="3" t="s">
        <v>469</v>
      </c>
      <c r="K4443" s="2">
        <v>10</v>
      </c>
      <c r="L4443" s="2">
        <v>2</v>
      </c>
      <c r="M4443" s="3" t="s">
        <v>4602</v>
      </c>
      <c r="N4443" s="3" t="s">
        <v>4594</v>
      </c>
      <c r="O4443" s="3" t="s">
        <v>199</v>
      </c>
      <c r="P4443" s="3" t="s">
        <v>4603</v>
      </c>
      <c r="Q4443" s="30" t="str">
        <f t="shared" si="69"/>
        <v>MAX : 5.31
TARGET : 5.25
MIN : 5.19</v>
      </c>
      <c r="R4443" s="3" t="s">
        <v>4186</v>
      </c>
    </row>
    <row r="4444" spans="2:18" ht="41.4" x14ac:dyDescent="0.3">
      <c r="B4444">
        <v>0</v>
      </c>
      <c r="C4444" s="33">
        <v>9095</v>
      </c>
      <c r="D4444" s="2">
        <v>2066</v>
      </c>
      <c r="E4444" s="2" t="s">
        <v>12462</v>
      </c>
      <c r="F4444" s="3" t="s">
        <v>14206</v>
      </c>
      <c r="H4444" s="3" t="s">
        <v>4246</v>
      </c>
      <c r="K4444" s="2">
        <v>20</v>
      </c>
      <c r="L4444" s="2">
        <v>1</v>
      </c>
      <c r="M4444" s="3" t="s">
        <v>194</v>
      </c>
      <c r="N4444" s="3" t="s">
        <v>1229</v>
      </c>
      <c r="O4444" s="3" t="s">
        <v>1230</v>
      </c>
      <c r="P4444" s="3" t="s">
        <v>1231</v>
      </c>
      <c r="Q4444" s="30" t="str">
        <f t="shared" si="69"/>
        <v>MAX : 8.06
TARGET : 8.00
MIN : 7.94</v>
      </c>
    </row>
    <row r="4445" spans="2:18" ht="41.4" x14ac:dyDescent="0.3">
      <c r="B4445">
        <v>0</v>
      </c>
      <c r="C4445" s="33">
        <v>9095</v>
      </c>
      <c r="D4445" s="2">
        <v>2066</v>
      </c>
      <c r="E4445" s="2" t="s">
        <v>12462</v>
      </c>
      <c r="F4445" s="3" t="s">
        <v>14206</v>
      </c>
      <c r="H4445" s="3" t="s">
        <v>4246</v>
      </c>
      <c r="K4445" s="2">
        <v>20</v>
      </c>
      <c r="L4445" s="2">
        <v>2</v>
      </c>
      <c r="M4445" s="3" t="s">
        <v>198</v>
      </c>
      <c r="N4445" s="3" t="s">
        <v>3143</v>
      </c>
      <c r="O4445" s="3" t="s">
        <v>3144</v>
      </c>
      <c r="P4445" s="3" t="s">
        <v>3145</v>
      </c>
      <c r="Q4445" s="30" t="str">
        <f t="shared" si="69"/>
        <v>MAX : 11.56
TARGET : 11.50
MIN : 11.44</v>
      </c>
    </row>
    <row r="4446" spans="2:18" ht="41.4" x14ac:dyDescent="0.3">
      <c r="B4446">
        <v>0</v>
      </c>
      <c r="C4446" s="33">
        <v>9095</v>
      </c>
      <c r="D4446" s="2">
        <v>2066</v>
      </c>
      <c r="E4446" s="2" t="s">
        <v>12462</v>
      </c>
      <c r="F4446" s="3" t="s">
        <v>14206</v>
      </c>
      <c r="H4446" s="3" t="s">
        <v>4246</v>
      </c>
      <c r="K4446" s="2">
        <v>20</v>
      </c>
      <c r="L4446" s="2">
        <v>3</v>
      </c>
      <c r="M4446" s="3" t="s">
        <v>4890</v>
      </c>
      <c r="N4446" s="3" t="s">
        <v>13</v>
      </c>
      <c r="O4446" s="3" t="s">
        <v>14</v>
      </c>
      <c r="Q4446" s="30" t="str">
        <f t="shared" si="69"/>
        <v>MAX : 
TARGET : Yes(Pass)
MIN : No(Fail)</v>
      </c>
    </row>
    <row r="4447" spans="2:18" ht="41.4" x14ac:dyDescent="0.3">
      <c r="B4447">
        <v>1</v>
      </c>
      <c r="C4447" s="33">
        <v>9010</v>
      </c>
      <c r="D4447" s="2">
        <v>1378</v>
      </c>
      <c r="E4447" s="2" t="s">
        <v>11928</v>
      </c>
      <c r="F4447" s="3" t="s">
        <v>14206</v>
      </c>
      <c r="H4447" s="3" t="s">
        <v>469</v>
      </c>
      <c r="K4447" s="2">
        <v>20</v>
      </c>
      <c r="L4447" s="2">
        <v>2</v>
      </c>
      <c r="M4447" s="3" t="s">
        <v>4187</v>
      </c>
      <c r="N4447" s="3" t="s">
        <v>4607</v>
      </c>
      <c r="O4447" s="3" t="s">
        <v>1792</v>
      </c>
      <c r="P4447" s="3" t="s">
        <v>4608</v>
      </c>
      <c r="Q4447" s="30" t="str">
        <f t="shared" si="69"/>
        <v>MAX : 2.093
TARGET : 2.063
MIN : 2.033</v>
      </c>
      <c r="R4447" s="3" t="s">
        <v>4186</v>
      </c>
    </row>
    <row r="4448" spans="2:18" ht="41.4" x14ac:dyDescent="0.3">
      <c r="B4448">
        <v>1</v>
      </c>
      <c r="C4448" s="33">
        <v>9010</v>
      </c>
      <c r="D4448" s="2">
        <v>1378</v>
      </c>
      <c r="E4448" s="2" t="s">
        <v>11928</v>
      </c>
      <c r="F4448" s="3" t="s">
        <v>14206</v>
      </c>
      <c r="H4448" s="3" t="s">
        <v>469</v>
      </c>
      <c r="K4448" s="2">
        <v>10</v>
      </c>
      <c r="L4448" s="2">
        <v>1</v>
      </c>
      <c r="M4448" s="3" t="s">
        <v>4601</v>
      </c>
      <c r="N4448" s="3" t="s">
        <v>459</v>
      </c>
      <c r="O4448" s="3" t="s">
        <v>406</v>
      </c>
      <c r="P4448" s="3" t="s">
        <v>460</v>
      </c>
      <c r="Q4448" s="30" t="str">
        <f t="shared" si="69"/>
        <v>MAX : 2.03
TARGET : 2.00
MIN : 1.97</v>
      </c>
      <c r="R4448" s="3" t="s">
        <v>4186</v>
      </c>
    </row>
    <row r="4449" spans="2:18" ht="41.4" x14ac:dyDescent="0.3">
      <c r="B4449">
        <v>0</v>
      </c>
      <c r="C4449" s="33">
        <v>9087</v>
      </c>
      <c r="D4449" s="2">
        <v>1432</v>
      </c>
      <c r="E4449" s="2" t="s">
        <v>12408</v>
      </c>
      <c r="F4449" s="3" t="s">
        <v>14206</v>
      </c>
      <c r="H4449" s="3" t="s">
        <v>417</v>
      </c>
      <c r="I4449" s="3" t="s">
        <v>575</v>
      </c>
      <c r="K4449" s="2">
        <v>20</v>
      </c>
      <c r="L4449" s="2">
        <v>1</v>
      </c>
      <c r="M4449" s="3" t="s">
        <v>194</v>
      </c>
      <c r="N4449" s="3" t="s">
        <v>1411</v>
      </c>
      <c r="O4449" s="3" t="s">
        <v>20</v>
      </c>
      <c r="P4449" s="3" t="s">
        <v>1662</v>
      </c>
      <c r="Q4449" s="30" t="str">
        <f t="shared" si="69"/>
        <v>MAX : 0.760
TARGET : 0.750
MIN : 0.740</v>
      </c>
      <c r="R4449" s="3" t="s">
        <v>4891</v>
      </c>
    </row>
    <row r="4450" spans="2:18" ht="41.4" x14ac:dyDescent="0.3">
      <c r="B4450">
        <v>0</v>
      </c>
      <c r="C4450" s="33">
        <v>9087</v>
      </c>
      <c r="D4450" s="2">
        <v>1432</v>
      </c>
      <c r="E4450" s="2" t="s">
        <v>12408</v>
      </c>
      <c r="F4450" s="3" t="s">
        <v>14206</v>
      </c>
      <c r="H4450" s="3" t="s">
        <v>417</v>
      </c>
      <c r="I4450" s="3" t="s">
        <v>575</v>
      </c>
      <c r="K4450" s="2">
        <v>20</v>
      </c>
      <c r="L4450" s="2">
        <v>2</v>
      </c>
      <c r="M4450" s="3" t="s">
        <v>198</v>
      </c>
      <c r="N4450" s="3" t="s">
        <v>2230</v>
      </c>
      <c r="O4450" s="3" t="s">
        <v>1185</v>
      </c>
      <c r="P4450" s="3" t="s">
        <v>4893</v>
      </c>
      <c r="Q4450" s="30" t="str">
        <f t="shared" si="69"/>
        <v>MAX : 2.85
TARGET : 2.75
MIN : 2.65</v>
      </c>
      <c r="R4450" s="3" t="s">
        <v>4891</v>
      </c>
    </row>
    <row r="4451" spans="2:18" ht="41.4" x14ac:dyDescent="0.3">
      <c r="B4451">
        <v>1</v>
      </c>
      <c r="C4451" s="33">
        <v>9011</v>
      </c>
      <c r="D4451" s="2">
        <v>1379</v>
      </c>
      <c r="E4451" s="2" t="s">
        <v>11934</v>
      </c>
      <c r="F4451" s="3" t="s">
        <v>14206</v>
      </c>
      <c r="H4451" s="3" t="s">
        <v>469</v>
      </c>
      <c r="K4451" s="2">
        <v>10</v>
      </c>
      <c r="L4451" s="2">
        <v>2</v>
      </c>
      <c r="M4451" s="3" t="s">
        <v>4602</v>
      </c>
      <c r="N4451" s="3" t="s">
        <v>4605</v>
      </c>
      <c r="O4451" s="3" t="s">
        <v>4606</v>
      </c>
      <c r="P4451" s="3" t="s">
        <v>2318</v>
      </c>
      <c r="Q4451" s="30" t="str">
        <f t="shared" si="69"/>
        <v>MAX : 7.31
TARGET : 7.25
MIN : 7.19</v>
      </c>
      <c r="R4451" s="3" t="s">
        <v>4186</v>
      </c>
    </row>
    <row r="4452" spans="2:18" ht="41.4" x14ac:dyDescent="0.3">
      <c r="B4452">
        <v>1</v>
      </c>
      <c r="C4452" s="33">
        <v>9011</v>
      </c>
      <c r="D4452" s="2">
        <v>1379</v>
      </c>
      <c r="E4452" s="2" t="s">
        <v>11934</v>
      </c>
      <c r="F4452" s="3" t="s">
        <v>14206</v>
      </c>
      <c r="H4452" s="3" t="s">
        <v>469</v>
      </c>
      <c r="K4452" s="2">
        <v>10</v>
      </c>
      <c r="L4452" s="2">
        <v>1</v>
      </c>
      <c r="M4452" s="3" t="s">
        <v>4601</v>
      </c>
      <c r="N4452" s="3" t="s">
        <v>252</v>
      </c>
      <c r="O4452" s="3" t="s">
        <v>253</v>
      </c>
      <c r="P4452" s="3" t="s">
        <v>128</v>
      </c>
      <c r="Q4452" s="30" t="str">
        <f t="shared" si="69"/>
        <v>MAX : 4.03
TARGET : 4.00
MIN : 3.97</v>
      </c>
      <c r="R4452" s="3" t="s">
        <v>4186</v>
      </c>
    </row>
    <row r="4453" spans="2:18" ht="41.4" x14ac:dyDescent="0.3">
      <c r="B4453">
        <v>0</v>
      </c>
      <c r="C4453" s="33">
        <v>9088</v>
      </c>
      <c r="D4453" s="2">
        <v>1433</v>
      </c>
      <c r="E4453" s="2" t="s">
        <v>12415</v>
      </c>
      <c r="F4453" s="3" t="s">
        <v>14206</v>
      </c>
      <c r="G4453" s="3" t="s">
        <v>4894</v>
      </c>
      <c r="H4453" s="3" t="s">
        <v>417</v>
      </c>
      <c r="I4453" s="3" t="s">
        <v>575</v>
      </c>
      <c r="K4453" s="2">
        <v>20</v>
      </c>
      <c r="L4453" s="2">
        <v>1</v>
      </c>
      <c r="M4453" s="3" t="s">
        <v>194</v>
      </c>
      <c r="N4453" s="3" t="s">
        <v>4682</v>
      </c>
      <c r="O4453" s="3" t="s">
        <v>272</v>
      </c>
      <c r="P4453" s="3" t="s">
        <v>3832</v>
      </c>
      <c r="Q4453" s="30" t="str">
        <f t="shared" si="69"/>
        <v>MAX : 1.01
TARGET : 1.00
MIN : 0.99</v>
      </c>
      <c r="R4453" s="3" t="s">
        <v>4891</v>
      </c>
    </row>
    <row r="4454" spans="2:18" ht="41.4" x14ac:dyDescent="0.3">
      <c r="B4454">
        <v>0</v>
      </c>
      <c r="C4454" s="33">
        <v>9088</v>
      </c>
      <c r="D4454" s="2">
        <v>1433</v>
      </c>
      <c r="E4454" s="2" t="s">
        <v>12415</v>
      </c>
      <c r="F4454" s="3" t="s">
        <v>14206</v>
      </c>
      <c r="G4454" s="3" t="s">
        <v>4894</v>
      </c>
      <c r="H4454" s="3" t="s">
        <v>417</v>
      </c>
      <c r="I4454" s="3" t="s">
        <v>575</v>
      </c>
      <c r="K4454" s="2">
        <v>20</v>
      </c>
      <c r="L4454" s="2">
        <v>2</v>
      </c>
      <c r="M4454" s="3" t="s">
        <v>198</v>
      </c>
      <c r="N4454" s="3" t="s">
        <v>2230</v>
      </c>
      <c r="O4454" s="3" t="s">
        <v>1185</v>
      </c>
      <c r="P4454" s="3" t="s">
        <v>4893</v>
      </c>
      <c r="Q4454" s="30" t="str">
        <f t="shared" si="69"/>
        <v>MAX : 2.85
TARGET : 2.75
MIN : 2.65</v>
      </c>
      <c r="R4454" s="3" t="s">
        <v>4891</v>
      </c>
    </row>
    <row r="4455" spans="2:18" ht="41.4" x14ac:dyDescent="0.3">
      <c r="B4455">
        <v>1</v>
      </c>
      <c r="C4455" s="33">
        <v>9012</v>
      </c>
      <c r="D4455" s="2">
        <v>1380</v>
      </c>
      <c r="E4455" s="2" t="s">
        <v>11939</v>
      </c>
      <c r="F4455" s="3" t="s">
        <v>14247</v>
      </c>
      <c r="H4455" s="3" t="s">
        <v>962</v>
      </c>
      <c r="K4455" s="2">
        <v>10</v>
      </c>
      <c r="L4455" s="2">
        <v>2</v>
      </c>
      <c r="M4455" s="3" t="s">
        <v>4436</v>
      </c>
      <c r="N4455" s="3" t="s">
        <v>4433</v>
      </c>
      <c r="O4455" s="3" t="s">
        <v>4434</v>
      </c>
      <c r="P4455" s="3" t="s">
        <v>4435</v>
      </c>
      <c r="Q4455" s="30" t="str">
        <f t="shared" si="69"/>
        <v>MAX : 112.77
TARGET : 112.27
MIN : 111.77</v>
      </c>
    </row>
    <row r="4456" spans="2:18" ht="41.4" x14ac:dyDescent="0.3">
      <c r="B4456">
        <v>1</v>
      </c>
      <c r="C4456" s="33">
        <v>9012</v>
      </c>
      <c r="D4456" s="2">
        <v>1380</v>
      </c>
      <c r="E4456" s="2" t="s">
        <v>11939</v>
      </c>
      <c r="F4456" s="3" t="s">
        <v>14247</v>
      </c>
      <c r="H4456" s="3" t="s">
        <v>962</v>
      </c>
      <c r="K4456" s="2">
        <v>10</v>
      </c>
      <c r="L4456" s="2">
        <v>1</v>
      </c>
      <c r="M4456" s="3" t="s">
        <v>4432</v>
      </c>
      <c r="N4456" s="3" t="s">
        <v>4433</v>
      </c>
      <c r="O4456" s="3" t="s">
        <v>4434</v>
      </c>
      <c r="P4456" s="3" t="s">
        <v>4435</v>
      </c>
      <c r="Q4456" s="30" t="str">
        <f t="shared" si="69"/>
        <v>MAX : 112.77
TARGET : 112.27
MIN : 111.77</v>
      </c>
    </row>
    <row r="4457" spans="2:18" ht="41.4" x14ac:dyDescent="0.3">
      <c r="B4457">
        <v>0</v>
      </c>
      <c r="C4457" s="33">
        <v>9100</v>
      </c>
      <c r="D4457" s="2">
        <v>1441</v>
      </c>
      <c r="E4457" s="2" t="s">
        <v>12483</v>
      </c>
      <c r="F4457" s="3" t="s">
        <v>14206</v>
      </c>
      <c r="H4457" s="3" t="s">
        <v>193</v>
      </c>
      <c r="I4457" s="3" t="s">
        <v>487</v>
      </c>
      <c r="K4457" s="2">
        <v>20</v>
      </c>
      <c r="L4457" s="2">
        <v>2</v>
      </c>
      <c r="M4457" s="3" t="s">
        <v>456</v>
      </c>
      <c r="N4457" s="3" t="s">
        <v>3091</v>
      </c>
      <c r="O4457" s="3" t="s">
        <v>184</v>
      </c>
      <c r="P4457" s="3" t="s">
        <v>3092</v>
      </c>
      <c r="Q4457" s="30" t="str">
        <f t="shared" si="69"/>
        <v>MAX : 5.06
TARGET : 5.00
MIN : 4.94</v>
      </c>
    </row>
    <row r="4458" spans="2:18" ht="41.4" x14ac:dyDescent="0.3">
      <c r="B4458">
        <v>0</v>
      </c>
      <c r="C4458" s="33">
        <v>9100</v>
      </c>
      <c r="D4458" s="2">
        <v>1441</v>
      </c>
      <c r="E4458" s="2" t="s">
        <v>12483</v>
      </c>
      <c r="F4458" s="3" t="s">
        <v>14206</v>
      </c>
      <c r="H4458" s="3" t="s">
        <v>193</v>
      </c>
      <c r="I4458" s="3" t="s">
        <v>487</v>
      </c>
      <c r="K4458" s="2">
        <v>20</v>
      </c>
      <c r="L4458" s="2">
        <v>3</v>
      </c>
      <c r="M4458" s="3" t="s">
        <v>4895</v>
      </c>
      <c r="N4458" s="3" t="s">
        <v>13</v>
      </c>
      <c r="O4458" s="3" t="s">
        <v>14</v>
      </c>
      <c r="Q4458" s="30" t="str">
        <f t="shared" si="69"/>
        <v>MAX : 
TARGET : Yes(Pass)
MIN : No(Fail)</v>
      </c>
    </row>
    <row r="4459" spans="2:18" ht="41.4" x14ac:dyDescent="0.3">
      <c r="B4459">
        <v>1</v>
      </c>
      <c r="C4459" s="33">
        <v>9013</v>
      </c>
      <c r="D4459" s="2">
        <v>1381</v>
      </c>
      <c r="E4459" s="2" t="s">
        <v>11946</v>
      </c>
      <c r="F4459" s="3" t="s">
        <v>14206</v>
      </c>
      <c r="H4459" s="3" t="s">
        <v>1332</v>
      </c>
      <c r="K4459" s="2">
        <v>10</v>
      </c>
      <c r="L4459" s="2">
        <v>3</v>
      </c>
      <c r="M4459" s="3" t="s">
        <v>99</v>
      </c>
      <c r="N4459" s="3" t="s">
        <v>1173</v>
      </c>
      <c r="O4459" s="3" t="s">
        <v>250</v>
      </c>
      <c r="P4459" s="3" t="s">
        <v>1174</v>
      </c>
      <c r="Q4459" s="30" t="str">
        <f t="shared" si="69"/>
        <v>MAX : 6.06
TARGET : 6.00
MIN : 5.94</v>
      </c>
    </row>
    <row r="4460" spans="2:18" ht="41.4" x14ac:dyDescent="0.3">
      <c r="B4460">
        <v>1</v>
      </c>
      <c r="C4460" s="33">
        <v>9013</v>
      </c>
      <c r="D4460" s="2">
        <v>1381</v>
      </c>
      <c r="E4460" s="2" t="s">
        <v>11946</v>
      </c>
      <c r="F4460" s="3" t="s">
        <v>14206</v>
      </c>
      <c r="H4460" s="3" t="s">
        <v>1332</v>
      </c>
      <c r="K4460" s="2">
        <v>10</v>
      </c>
      <c r="L4460" s="2">
        <v>2</v>
      </c>
      <c r="M4460" s="3" t="s">
        <v>1172</v>
      </c>
      <c r="N4460" s="3" t="s">
        <v>13</v>
      </c>
      <c r="O4460" s="3" t="s">
        <v>14</v>
      </c>
      <c r="Q4460" s="30" t="str">
        <f t="shared" si="69"/>
        <v>MAX : 
TARGET : Yes(Pass)
MIN : No(Fail)</v>
      </c>
    </row>
    <row r="4461" spans="2:18" ht="41.4" x14ac:dyDescent="0.3">
      <c r="B4461">
        <v>1</v>
      </c>
      <c r="C4461" s="33">
        <v>9014</v>
      </c>
      <c r="D4461" s="2">
        <v>2042</v>
      </c>
      <c r="E4461" s="2" t="s">
        <v>11954</v>
      </c>
      <c r="F4461" s="3" t="s">
        <v>14207</v>
      </c>
      <c r="H4461" s="3" t="s">
        <v>846</v>
      </c>
      <c r="K4461" s="2">
        <v>10</v>
      </c>
      <c r="L4461" s="2">
        <v>2</v>
      </c>
      <c r="M4461" s="3" t="s">
        <v>325</v>
      </c>
      <c r="N4461" s="3" t="s">
        <v>13</v>
      </c>
      <c r="O4461" s="3" t="s">
        <v>14</v>
      </c>
      <c r="Q4461" s="30" t="str">
        <f t="shared" si="69"/>
        <v>MAX : 
TARGET : Yes(Pass)
MIN : No(Fail)</v>
      </c>
    </row>
    <row r="4462" spans="2:18" ht="41.4" x14ac:dyDescent="0.3">
      <c r="B4462">
        <v>1</v>
      </c>
      <c r="C4462" s="33">
        <v>9014</v>
      </c>
      <c r="D4462" s="2">
        <v>2042</v>
      </c>
      <c r="E4462" s="2" t="s">
        <v>11954</v>
      </c>
      <c r="F4462" s="3" t="s">
        <v>14207</v>
      </c>
      <c r="H4462" s="3" t="s">
        <v>846</v>
      </c>
      <c r="K4462" s="2">
        <v>10</v>
      </c>
      <c r="L4462" s="2">
        <v>1</v>
      </c>
      <c r="M4462" s="3" t="s">
        <v>458</v>
      </c>
      <c r="N4462" s="3" t="s">
        <v>67</v>
      </c>
      <c r="O4462" s="3" t="s">
        <v>68</v>
      </c>
      <c r="P4462" s="3" t="s">
        <v>69</v>
      </c>
      <c r="Q4462" s="30" t="str">
        <f t="shared" si="69"/>
        <v>MAX : 20
TARGET : 19
MIN : 18</v>
      </c>
    </row>
    <row r="4463" spans="2:18" ht="41.4" x14ac:dyDescent="0.3">
      <c r="B4463">
        <v>0</v>
      </c>
      <c r="C4463" s="33">
        <v>9091</v>
      </c>
      <c r="D4463" s="2">
        <v>1435</v>
      </c>
      <c r="E4463" s="2" t="s">
        <v>12436</v>
      </c>
      <c r="F4463" s="3" t="s">
        <v>14207</v>
      </c>
      <c r="H4463" s="3" t="s">
        <v>504</v>
      </c>
      <c r="I4463" s="3" t="s">
        <v>575</v>
      </c>
      <c r="K4463" s="2">
        <v>20</v>
      </c>
      <c r="L4463" s="2">
        <v>2</v>
      </c>
      <c r="M4463" s="3" t="s">
        <v>1428</v>
      </c>
      <c r="N4463" s="3" t="s">
        <v>4900</v>
      </c>
      <c r="O4463" s="3" t="s">
        <v>1230</v>
      </c>
      <c r="P4463" s="3" t="s">
        <v>826</v>
      </c>
      <c r="Q4463" s="30" t="str">
        <f t="shared" si="69"/>
        <v>MAX : 8.25
TARGET : 8.00
MIN : 7.75</v>
      </c>
    </row>
    <row r="4464" spans="2:18" ht="41.4" x14ac:dyDescent="0.3">
      <c r="B4464">
        <v>0</v>
      </c>
      <c r="C4464" s="33">
        <v>9091</v>
      </c>
      <c r="D4464" s="2">
        <v>1435</v>
      </c>
      <c r="E4464" s="2" t="s">
        <v>12436</v>
      </c>
      <c r="F4464" s="3" t="s">
        <v>14207</v>
      </c>
      <c r="H4464" s="3" t="s">
        <v>504</v>
      </c>
      <c r="I4464" s="3" t="s">
        <v>575</v>
      </c>
      <c r="K4464" s="2">
        <v>20</v>
      </c>
      <c r="L4464" s="2">
        <v>4</v>
      </c>
      <c r="M4464" s="3" t="s">
        <v>198</v>
      </c>
      <c r="N4464" s="3" t="s">
        <v>4901</v>
      </c>
      <c r="O4464" s="3" t="s">
        <v>4902</v>
      </c>
      <c r="P4464" s="3" t="s">
        <v>4903</v>
      </c>
      <c r="Q4464" s="30" t="str">
        <f t="shared" si="69"/>
        <v>MAX : 22.15
TARGET : 21.65
MIN : 21.15</v>
      </c>
    </row>
    <row r="4465" spans="2:17" ht="41.4" x14ac:dyDescent="0.3">
      <c r="B4465">
        <v>0</v>
      </c>
      <c r="C4465" s="33">
        <v>9091</v>
      </c>
      <c r="D4465" s="2">
        <v>1435</v>
      </c>
      <c r="E4465" s="2" t="s">
        <v>12436</v>
      </c>
      <c r="F4465" s="3" t="s">
        <v>14207</v>
      </c>
      <c r="H4465" s="3" t="s">
        <v>504</v>
      </c>
      <c r="I4465" s="3" t="s">
        <v>575</v>
      </c>
      <c r="K4465" s="2">
        <v>20</v>
      </c>
      <c r="L4465" s="2">
        <v>5</v>
      </c>
      <c r="M4465" s="3" t="s">
        <v>1434</v>
      </c>
      <c r="N4465" s="3" t="s">
        <v>339</v>
      </c>
      <c r="O4465" s="3" t="s">
        <v>340</v>
      </c>
      <c r="P4465" s="3" t="s">
        <v>163</v>
      </c>
      <c r="Q4465" s="30" t="str">
        <f t="shared" si="69"/>
        <v>MAX : 3.75
TARGET : 3.50
MIN : 3.25</v>
      </c>
    </row>
    <row r="4466" spans="2:17" ht="41.4" x14ac:dyDescent="0.3">
      <c r="B4466">
        <v>0</v>
      </c>
      <c r="C4466" s="33">
        <v>9091</v>
      </c>
      <c r="D4466" s="2">
        <v>1435</v>
      </c>
      <c r="E4466" s="2" t="s">
        <v>12436</v>
      </c>
      <c r="F4466" s="3" t="s">
        <v>14207</v>
      </c>
      <c r="H4466" s="3" t="s">
        <v>504</v>
      </c>
      <c r="I4466" s="3" t="s">
        <v>575</v>
      </c>
      <c r="K4466" s="2">
        <v>20</v>
      </c>
      <c r="L4466" s="2">
        <v>6</v>
      </c>
      <c r="M4466" s="3" t="s">
        <v>4904</v>
      </c>
      <c r="N4466" s="3" t="s">
        <v>340</v>
      </c>
      <c r="O4466" s="3" t="s">
        <v>163</v>
      </c>
      <c r="P4466" s="3" t="s">
        <v>253</v>
      </c>
      <c r="Q4466" s="30" t="str">
        <f t="shared" si="69"/>
        <v>MAX : 4.00
TARGET : 3.75
MIN : 3.50</v>
      </c>
    </row>
    <row r="4467" spans="2:17" ht="41.4" x14ac:dyDescent="0.3">
      <c r="B4467">
        <v>0</v>
      </c>
      <c r="C4467" s="33">
        <v>9091</v>
      </c>
      <c r="D4467" s="2">
        <v>1435</v>
      </c>
      <c r="E4467" s="2" t="s">
        <v>12436</v>
      </c>
      <c r="F4467" s="3" t="s">
        <v>14207</v>
      </c>
      <c r="H4467" s="3" t="s">
        <v>504</v>
      </c>
      <c r="I4467" s="3" t="s">
        <v>575</v>
      </c>
      <c r="K4467" s="2">
        <v>20</v>
      </c>
      <c r="L4467" s="2">
        <v>3</v>
      </c>
      <c r="M4467" s="3" t="s">
        <v>4905</v>
      </c>
      <c r="N4467" s="3" t="s">
        <v>4906</v>
      </c>
      <c r="O4467" s="3" t="s">
        <v>4448</v>
      </c>
      <c r="P4467" s="3" t="s">
        <v>4907</v>
      </c>
      <c r="Q4467" s="30" t="str">
        <f t="shared" si="69"/>
        <v>MAX : 6.45
TARGET : 6.20
MIN : 5.95</v>
      </c>
    </row>
    <row r="4468" spans="2:17" ht="41.4" x14ac:dyDescent="0.3">
      <c r="B4468">
        <v>0</v>
      </c>
      <c r="C4468" s="33">
        <v>9091</v>
      </c>
      <c r="D4468" s="2">
        <v>1435</v>
      </c>
      <c r="E4468" s="2" t="s">
        <v>12436</v>
      </c>
      <c r="F4468" s="3" t="s">
        <v>14207</v>
      </c>
      <c r="H4468" s="3" t="s">
        <v>504</v>
      </c>
      <c r="I4468" s="3" t="s">
        <v>575</v>
      </c>
      <c r="K4468" s="2">
        <v>20</v>
      </c>
      <c r="L4468" s="2">
        <v>7</v>
      </c>
      <c r="M4468" s="3" t="s">
        <v>4908</v>
      </c>
      <c r="N4468" s="3" t="s">
        <v>13</v>
      </c>
      <c r="O4468" s="3" t="s">
        <v>14</v>
      </c>
      <c r="Q4468" s="30" t="str">
        <f t="shared" si="69"/>
        <v>MAX : 
TARGET : Yes(Pass)
MIN : No(Fail)</v>
      </c>
    </row>
    <row r="4469" spans="2:17" ht="41.4" x14ac:dyDescent="0.3">
      <c r="B4469">
        <v>0</v>
      </c>
      <c r="C4469" s="33">
        <v>9091</v>
      </c>
      <c r="D4469" s="2">
        <v>1435</v>
      </c>
      <c r="E4469" s="2" t="s">
        <v>12436</v>
      </c>
      <c r="F4469" s="3" t="s">
        <v>14207</v>
      </c>
      <c r="H4469" s="3" t="s">
        <v>504</v>
      </c>
      <c r="I4469" s="3" t="s">
        <v>575</v>
      </c>
      <c r="K4469" s="2">
        <v>20</v>
      </c>
      <c r="L4469" s="2">
        <v>8</v>
      </c>
      <c r="M4469" s="3" t="s">
        <v>78</v>
      </c>
      <c r="N4469" s="3" t="s">
        <v>13</v>
      </c>
      <c r="O4469" s="3" t="s">
        <v>14</v>
      </c>
      <c r="Q4469" s="30" t="str">
        <f t="shared" si="69"/>
        <v>MAX : 
TARGET : Yes(Pass)
MIN : No(Fail)</v>
      </c>
    </row>
    <row r="4470" spans="2:17" ht="41.4" x14ac:dyDescent="0.3">
      <c r="B4470">
        <v>1</v>
      </c>
      <c r="C4470" s="33">
        <v>9015</v>
      </c>
      <c r="D4470" s="2">
        <v>2043</v>
      </c>
      <c r="E4470" s="2" t="s">
        <v>11960</v>
      </c>
      <c r="F4470" s="3" t="s">
        <v>14206</v>
      </c>
      <c r="H4470" s="3" t="s">
        <v>289</v>
      </c>
      <c r="K4470" s="2">
        <v>10</v>
      </c>
      <c r="L4470" s="2">
        <v>2</v>
      </c>
      <c r="M4470" s="3" t="s">
        <v>325</v>
      </c>
      <c r="N4470" s="3" t="s">
        <v>13</v>
      </c>
      <c r="O4470" s="3" t="s">
        <v>14</v>
      </c>
      <c r="Q4470" s="30" t="str">
        <f t="shared" si="69"/>
        <v>MAX : 
TARGET : Yes(Pass)
MIN : No(Fail)</v>
      </c>
    </row>
    <row r="4471" spans="2:17" ht="41.4" x14ac:dyDescent="0.3">
      <c r="B4471">
        <v>1</v>
      </c>
      <c r="C4471" s="33">
        <v>9015</v>
      </c>
      <c r="D4471" s="2">
        <v>2043</v>
      </c>
      <c r="E4471" s="2" t="s">
        <v>11960</v>
      </c>
      <c r="F4471" s="3" t="s">
        <v>14206</v>
      </c>
      <c r="H4471" s="3" t="s">
        <v>289</v>
      </c>
      <c r="K4471" s="2">
        <v>10</v>
      </c>
      <c r="L4471" s="2">
        <v>1</v>
      </c>
      <c r="M4471" s="3" t="s">
        <v>99</v>
      </c>
      <c r="N4471" s="3" t="s">
        <v>249</v>
      </c>
      <c r="O4471" s="3" t="s">
        <v>250</v>
      </c>
      <c r="P4471" s="3" t="s">
        <v>251</v>
      </c>
      <c r="Q4471" s="30" t="str">
        <f t="shared" si="69"/>
        <v>MAX : 6.03
TARGET : 6.00
MIN : 5.97</v>
      </c>
    </row>
    <row r="4472" spans="2:17" ht="41.4" x14ac:dyDescent="0.3">
      <c r="B4472">
        <v>0</v>
      </c>
      <c r="C4472" s="33">
        <v>9106</v>
      </c>
      <c r="D4472" s="2">
        <v>2068</v>
      </c>
      <c r="E4472" s="2" t="s">
        <v>12511</v>
      </c>
      <c r="F4472" s="3" t="s">
        <v>14206</v>
      </c>
      <c r="H4472" s="3" t="s">
        <v>269</v>
      </c>
      <c r="K4472" s="2">
        <v>20</v>
      </c>
      <c r="L4472" s="2">
        <v>3</v>
      </c>
      <c r="M4472" s="3" t="s">
        <v>3773</v>
      </c>
      <c r="N4472" s="3" t="s">
        <v>13</v>
      </c>
      <c r="O4472" s="3" t="s">
        <v>14</v>
      </c>
      <c r="Q4472" s="30" t="str">
        <f t="shared" si="69"/>
        <v>MAX : 
TARGET : Yes(Pass)
MIN : No(Fail)</v>
      </c>
    </row>
    <row r="4473" spans="2:17" ht="41.4" x14ac:dyDescent="0.3">
      <c r="B4473">
        <v>1</v>
      </c>
      <c r="C4473" s="33">
        <v>9016</v>
      </c>
      <c r="D4473" s="2">
        <v>1382</v>
      </c>
      <c r="E4473" s="2" t="s">
        <v>11966</v>
      </c>
      <c r="F4473" s="3" t="s">
        <v>14246</v>
      </c>
      <c r="H4473" s="3" t="s">
        <v>2980</v>
      </c>
      <c r="K4473" s="2">
        <v>20</v>
      </c>
      <c r="L4473" s="2">
        <v>2</v>
      </c>
      <c r="M4473" s="3" t="s">
        <v>4423</v>
      </c>
      <c r="N4473" s="3" t="s">
        <v>4424</v>
      </c>
      <c r="O4473" s="3" t="s">
        <v>4425</v>
      </c>
      <c r="P4473" s="3" t="s">
        <v>4426</v>
      </c>
      <c r="Q4473" s="30" t="str">
        <f t="shared" si="69"/>
        <v>MAX : 43.59
TARGET : 42.79
MIN : 41.99</v>
      </c>
    </row>
    <row r="4474" spans="2:17" ht="41.4" x14ac:dyDescent="0.3">
      <c r="B4474">
        <v>1</v>
      </c>
      <c r="C4474" s="33">
        <v>9016</v>
      </c>
      <c r="D4474" s="2">
        <v>1382</v>
      </c>
      <c r="E4474" s="2" t="s">
        <v>11966</v>
      </c>
      <c r="F4474" s="3" t="s">
        <v>14246</v>
      </c>
      <c r="H4474" s="3" t="s">
        <v>2980</v>
      </c>
      <c r="K4474" s="2">
        <v>10</v>
      </c>
      <c r="L4474" s="2">
        <v>2</v>
      </c>
      <c r="M4474" s="3" t="s">
        <v>325</v>
      </c>
      <c r="N4474" s="3" t="s">
        <v>13</v>
      </c>
      <c r="O4474" s="3" t="s">
        <v>14</v>
      </c>
      <c r="Q4474" s="30" t="str">
        <f t="shared" si="69"/>
        <v>MAX : 
TARGET : Yes(Pass)
MIN : No(Fail)</v>
      </c>
    </row>
    <row r="4475" spans="2:17" ht="41.4" x14ac:dyDescent="0.3">
      <c r="B4475">
        <v>1</v>
      </c>
      <c r="C4475" s="33">
        <v>9016</v>
      </c>
      <c r="D4475" s="2">
        <v>1382</v>
      </c>
      <c r="E4475" s="2" t="s">
        <v>11966</v>
      </c>
      <c r="F4475" s="3" t="s">
        <v>14246</v>
      </c>
      <c r="H4475" s="3" t="s">
        <v>2980</v>
      </c>
      <c r="K4475" s="2">
        <v>20</v>
      </c>
      <c r="L4475" s="2">
        <v>1</v>
      </c>
      <c r="M4475" s="3" t="s">
        <v>4422</v>
      </c>
      <c r="N4475" s="3" t="s">
        <v>1470</v>
      </c>
      <c r="O4475" s="3" t="s">
        <v>1471</v>
      </c>
      <c r="P4475" s="3" t="s">
        <v>1472</v>
      </c>
      <c r="Q4475" s="30" t="str">
        <f t="shared" si="69"/>
        <v>MAX : 45.25
TARGET : 44.45
MIN : 43.65</v>
      </c>
    </row>
    <row r="4476" spans="2:17" ht="41.4" x14ac:dyDescent="0.3">
      <c r="B4476">
        <v>1</v>
      </c>
      <c r="C4476" s="33">
        <v>9017</v>
      </c>
      <c r="D4476" s="2">
        <v>1383</v>
      </c>
      <c r="E4476" s="2" t="s">
        <v>11974</v>
      </c>
      <c r="F4476" s="3" t="s">
        <v>14207</v>
      </c>
      <c r="H4476" s="3" t="s">
        <v>2655</v>
      </c>
      <c r="I4476" s="3" t="s">
        <v>487</v>
      </c>
      <c r="K4476" s="2">
        <v>10</v>
      </c>
      <c r="L4476" s="2">
        <v>2</v>
      </c>
      <c r="M4476" s="3" t="s">
        <v>4419</v>
      </c>
      <c r="N4476" s="3" t="s">
        <v>13</v>
      </c>
      <c r="O4476" s="3" t="s">
        <v>4420</v>
      </c>
      <c r="Q4476" s="30" t="str">
        <f t="shared" si="69"/>
        <v>MAX : 
TARGET : Yes(Pass)q
MIN : No(Fail)</v>
      </c>
    </row>
    <row r="4477" spans="2:17" ht="41.4" x14ac:dyDescent="0.3">
      <c r="B4477">
        <v>1</v>
      </c>
      <c r="C4477" s="33">
        <v>9017</v>
      </c>
      <c r="D4477" s="2">
        <v>1383</v>
      </c>
      <c r="E4477" s="2" t="s">
        <v>11974</v>
      </c>
      <c r="F4477" s="3" t="s">
        <v>14207</v>
      </c>
      <c r="H4477" s="3" t="s">
        <v>2655</v>
      </c>
      <c r="I4477" s="3" t="s">
        <v>487</v>
      </c>
      <c r="K4477" s="2">
        <v>10</v>
      </c>
      <c r="L4477" s="2">
        <v>1</v>
      </c>
      <c r="M4477" s="3" t="s">
        <v>4416</v>
      </c>
      <c r="N4477" s="3" t="s">
        <v>4417</v>
      </c>
      <c r="O4477" s="3" t="s">
        <v>3189</v>
      </c>
      <c r="P4477" s="3" t="s">
        <v>4418</v>
      </c>
      <c r="Q4477" s="30" t="str">
        <f t="shared" si="69"/>
        <v>MAX : 53.0
TARGET : 50.8
MIN : 49.8</v>
      </c>
    </row>
    <row r="4478" spans="2:17" ht="41.4" x14ac:dyDescent="0.3">
      <c r="B4478">
        <v>1</v>
      </c>
      <c r="C4478" s="33">
        <v>9018</v>
      </c>
      <c r="D4478" s="2">
        <v>2044</v>
      </c>
      <c r="E4478" s="2" t="s">
        <v>11980</v>
      </c>
      <c r="F4478" s="3" t="s">
        <v>14206</v>
      </c>
      <c r="H4478" s="3" t="s">
        <v>4430</v>
      </c>
      <c r="I4478" s="3" t="s">
        <v>487</v>
      </c>
      <c r="K4478" s="2">
        <v>20</v>
      </c>
      <c r="L4478" s="2">
        <v>3</v>
      </c>
      <c r="M4478" s="3" t="s">
        <v>198</v>
      </c>
      <c r="N4478" s="3" t="s">
        <v>252</v>
      </c>
      <c r="O4478" s="3" t="s">
        <v>253</v>
      </c>
      <c r="P4478" s="3" t="s">
        <v>128</v>
      </c>
      <c r="Q4478" s="30" t="str">
        <f t="shared" si="69"/>
        <v>MAX : 4.03
TARGET : 4.00
MIN : 3.97</v>
      </c>
    </row>
    <row r="4479" spans="2:17" ht="41.4" x14ac:dyDescent="0.3">
      <c r="B4479">
        <v>0</v>
      </c>
      <c r="C4479" s="33">
        <v>9109</v>
      </c>
      <c r="D4479" s="2">
        <v>2071</v>
      </c>
      <c r="E4479" s="2" t="s">
        <v>12530</v>
      </c>
      <c r="F4479" s="3" t="s">
        <v>14206</v>
      </c>
      <c r="H4479" s="3" t="s">
        <v>4910</v>
      </c>
      <c r="K4479" s="2">
        <v>10</v>
      </c>
      <c r="L4479" s="2">
        <v>3</v>
      </c>
      <c r="M4479" s="3" t="s">
        <v>2098</v>
      </c>
      <c r="N4479" s="3" t="s">
        <v>13</v>
      </c>
      <c r="O4479" s="3" t="s">
        <v>14</v>
      </c>
      <c r="Q4479" s="30" t="str">
        <f t="shared" si="69"/>
        <v>MAX : 
TARGET : Yes(Pass)
MIN : No(Fail)</v>
      </c>
    </row>
    <row r="4480" spans="2:17" ht="41.4" x14ac:dyDescent="0.3">
      <c r="B4480">
        <v>1</v>
      </c>
      <c r="C4480" s="33">
        <v>9018</v>
      </c>
      <c r="D4480" s="2">
        <v>2044</v>
      </c>
      <c r="E4480" s="2" t="s">
        <v>11980</v>
      </c>
      <c r="F4480" s="3" t="s">
        <v>14206</v>
      </c>
      <c r="H4480" s="3" t="s">
        <v>4430</v>
      </c>
      <c r="I4480" s="3" t="s">
        <v>487</v>
      </c>
      <c r="K4480" s="2">
        <v>20</v>
      </c>
      <c r="L4480" s="2">
        <v>4</v>
      </c>
      <c r="M4480" s="3" t="s">
        <v>569</v>
      </c>
      <c r="N4480" s="3" t="s">
        <v>3547</v>
      </c>
      <c r="O4480" s="3" t="s">
        <v>4535</v>
      </c>
      <c r="P4480" s="3" t="s">
        <v>4536</v>
      </c>
      <c r="Q4480" s="30" t="str">
        <f t="shared" si="69"/>
        <v>MAX : 4.36
TARGET : 4.33
MIN : 4.30</v>
      </c>
    </row>
    <row r="4481" spans="2:18" ht="41.4" x14ac:dyDescent="0.3">
      <c r="B4481">
        <v>1</v>
      </c>
      <c r="C4481" s="33">
        <v>9018</v>
      </c>
      <c r="D4481" s="2">
        <v>2044</v>
      </c>
      <c r="E4481" s="2" t="s">
        <v>11980</v>
      </c>
      <c r="F4481" s="3" t="s">
        <v>14206</v>
      </c>
      <c r="H4481" s="3" t="s">
        <v>4430</v>
      </c>
      <c r="I4481" s="3" t="s">
        <v>487</v>
      </c>
      <c r="K4481" s="2">
        <v>20</v>
      </c>
      <c r="L4481" s="2">
        <v>1</v>
      </c>
      <c r="M4481" s="3" t="s">
        <v>194</v>
      </c>
      <c r="N4481" s="3" t="s">
        <v>571</v>
      </c>
      <c r="O4481" s="3" t="s">
        <v>276</v>
      </c>
      <c r="P4481" s="3" t="s">
        <v>572</v>
      </c>
      <c r="Q4481" s="30" t="str">
        <f t="shared" si="69"/>
        <v>MAX : 0.405
TARGET : 0.375
MIN : 0.345</v>
      </c>
    </row>
    <row r="4482" spans="2:18" ht="41.4" x14ac:dyDescent="0.3">
      <c r="B4482">
        <v>0</v>
      </c>
      <c r="C4482" s="33">
        <v>9110</v>
      </c>
      <c r="D4482" s="2">
        <v>2072</v>
      </c>
      <c r="E4482" s="2" t="s">
        <v>12536</v>
      </c>
      <c r="F4482" s="3" t="s">
        <v>14206</v>
      </c>
      <c r="H4482" s="3" t="s">
        <v>4910</v>
      </c>
      <c r="K4482" s="2">
        <v>10</v>
      </c>
      <c r="L4482" s="2">
        <v>3</v>
      </c>
      <c r="M4482" s="3" t="s">
        <v>2098</v>
      </c>
      <c r="N4482" s="3" t="s">
        <v>13</v>
      </c>
      <c r="O4482" s="3" t="s">
        <v>14</v>
      </c>
      <c r="Q4482" s="30" t="str">
        <f t="shared" ref="Q4482:Q4545" si="70">"MAX : " &amp; P4482 &amp; CHAR(10) &amp; "TARGET : " &amp; O4482 &amp; CHAR(10) &amp; "MIN : " &amp; N4482</f>
        <v>MAX : 
TARGET : Yes(Pass)
MIN : No(Fail)</v>
      </c>
    </row>
    <row r="4483" spans="2:18" ht="41.4" x14ac:dyDescent="0.3">
      <c r="B4483">
        <v>0</v>
      </c>
      <c r="C4483" s="33">
        <v>9110</v>
      </c>
      <c r="D4483" s="2">
        <v>2072</v>
      </c>
      <c r="E4483" s="2" t="s">
        <v>12536</v>
      </c>
      <c r="F4483" s="3" t="s">
        <v>14206</v>
      </c>
      <c r="H4483" s="3" t="s">
        <v>4910</v>
      </c>
      <c r="K4483" s="2">
        <v>10</v>
      </c>
      <c r="L4483" s="2">
        <v>4</v>
      </c>
      <c r="M4483" s="3" t="s">
        <v>4911</v>
      </c>
      <c r="N4483" s="3" t="s">
        <v>13</v>
      </c>
      <c r="O4483" s="3" t="s">
        <v>14</v>
      </c>
      <c r="Q4483" s="30" t="str">
        <f t="shared" si="70"/>
        <v>MAX : 
TARGET : Yes(Pass)
MIN : No(Fail)</v>
      </c>
    </row>
    <row r="4484" spans="2:18" ht="41.4" x14ac:dyDescent="0.3">
      <c r="B4484">
        <v>1</v>
      </c>
      <c r="C4484" s="33">
        <v>9018</v>
      </c>
      <c r="D4484" s="2">
        <v>2044</v>
      </c>
      <c r="E4484" s="2" t="s">
        <v>11980</v>
      </c>
      <c r="F4484" s="3" t="s">
        <v>14206</v>
      </c>
      <c r="H4484" s="3" t="s">
        <v>4430</v>
      </c>
      <c r="I4484" s="3" t="s">
        <v>487</v>
      </c>
      <c r="K4484" s="2">
        <v>20</v>
      </c>
      <c r="L4484" s="2">
        <v>2</v>
      </c>
      <c r="M4484" s="3" t="s">
        <v>4534</v>
      </c>
      <c r="N4484" s="3" t="s">
        <v>462</v>
      </c>
      <c r="O4484" s="3" t="s">
        <v>424</v>
      </c>
      <c r="P4484" s="3" t="s">
        <v>463</v>
      </c>
      <c r="Q4484" s="30" t="str">
        <f t="shared" si="70"/>
        <v>MAX : 0.28
TARGET : 0.25
MIN : 0.22</v>
      </c>
    </row>
    <row r="4485" spans="2:18" ht="41.4" x14ac:dyDescent="0.3">
      <c r="B4485">
        <v>1</v>
      </c>
      <c r="C4485" s="33">
        <v>9018</v>
      </c>
      <c r="D4485" s="2">
        <v>2044</v>
      </c>
      <c r="E4485" s="2" t="s">
        <v>11980</v>
      </c>
      <c r="F4485" s="3" t="s">
        <v>14206</v>
      </c>
      <c r="H4485" s="3" t="s">
        <v>4430</v>
      </c>
      <c r="I4485" s="3" t="s">
        <v>487</v>
      </c>
      <c r="K4485" s="2">
        <v>20</v>
      </c>
      <c r="L4485" s="2">
        <v>6</v>
      </c>
      <c r="M4485" s="3" t="s">
        <v>5504</v>
      </c>
      <c r="N4485" s="3" t="s">
        <v>641</v>
      </c>
      <c r="O4485" s="3" t="s">
        <v>101</v>
      </c>
      <c r="P4485" s="3" t="s">
        <v>642</v>
      </c>
      <c r="Q4485" s="30" t="str">
        <f t="shared" si="70"/>
        <v>MAX : 0.655
TARGET : 0.625
MIN : 0.595</v>
      </c>
    </row>
    <row r="4486" spans="2:18" ht="41.4" x14ac:dyDescent="0.3">
      <c r="B4486">
        <v>1</v>
      </c>
      <c r="C4486" s="33">
        <v>9019</v>
      </c>
      <c r="D4486" s="2">
        <v>2045</v>
      </c>
      <c r="E4486" s="2" t="s">
        <v>11987</v>
      </c>
      <c r="F4486" s="3" t="s">
        <v>14206</v>
      </c>
      <c r="H4486" s="3" t="s">
        <v>4415</v>
      </c>
      <c r="K4486" s="2">
        <v>20</v>
      </c>
      <c r="L4486" s="2">
        <v>2</v>
      </c>
      <c r="M4486" s="3" t="s">
        <v>1060</v>
      </c>
      <c r="N4486" s="3" t="s">
        <v>13</v>
      </c>
      <c r="O4486" s="3" t="s">
        <v>14</v>
      </c>
      <c r="Q4486" s="30" t="str">
        <f t="shared" si="70"/>
        <v>MAX : 
TARGET : Yes(Pass)
MIN : No(Fail)</v>
      </c>
    </row>
    <row r="4487" spans="2:18" ht="41.4" x14ac:dyDescent="0.3">
      <c r="B4487">
        <v>0</v>
      </c>
      <c r="C4487" s="33">
        <v>9111</v>
      </c>
      <c r="D4487" s="2">
        <v>1444</v>
      </c>
      <c r="E4487" s="2" t="s">
        <v>12542</v>
      </c>
      <c r="F4487" s="3" t="s">
        <v>14207</v>
      </c>
      <c r="H4487" s="3" t="s">
        <v>426</v>
      </c>
      <c r="K4487" s="2">
        <v>20</v>
      </c>
      <c r="L4487" s="2">
        <v>3</v>
      </c>
      <c r="M4487" s="3" t="s">
        <v>198</v>
      </c>
      <c r="N4487" s="3" t="s">
        <v>4915</v>
      </c>
      <c r="O4487" s="3" t="s">
        <v>2668</v>
      </c>
      <c r="P4487" s="3" t="s">
        <v>4916</v>
      </c>
      <c r="Q4487" s="30" t="str">
        <f t="shared" si="70"/>
        <v>MAX : 35.2
TARGET : 34.4
MIN : 33.6</v>
      </c>
    </row>
    <row r="4488" spans="2:18" ht="41.4" x14ac:dyDescent="0.3">
      <c r="B4488">
        <v>0</v>
      </c>
      <c r="C4488" s="33">
        <v>9111</v>
      </c>
      <c r="D4488" s="2">
        <v>1444</v>
      </c>
      <c r="E4488" s="2" t="s">
        <v>12542</v>
      </c>
      <c r="F4488" s="3" t="s">
        <v>14207</v>
      </c>
      <c r="H4488" s="3" t="s">
        <v>426</v>
      </c>
      <c r="K4488" s="2">
        <v>20</v>
      </c>
      <c r="L4488" s="2">
        <v>4</v>
      </c>
      <c r="M4488" s="3" t="s">
        <v>4917</v>
      </c>
      <c r="N4488" s="3" t="s">
        <v>13</v>
      </c>
      <c r="O4488" s="3" t="s">
        <v>14</v>
      </c>
      <c r="Q4488" s="30" t="str">
        <f t="shared" si="70"/>
        <v>MAX : 
TARGET : Yes(Pass)
MIN : No(Fail)</v>
      </c>
    </row>
    <row r="4489" spans="2:18" ht="41.4" x14ac:dyDescent="0.3">
      <c r="B4489">
        <v>0</v>
      </c>
      <c r="C4489" s="33">
        <v>9111</v>
      </c>
      <c r="D4489" s="2">
        <v>1444</v>
      </c>
      <c r="E4489" s="2" t="s">
        <v>12542</v>
      </c>
      <c r="F4489" s="3" t="s">
        <v>14207</v>
      </c>
      <c r="H4489" s="3" t="s">
        <v>426</v>
      </c>
      <c r="K4489" s="2">
        <v>20</v>
      </c>
      <c r="L4489" s="2">
        <v>6</v>
      </c>
      <c r="M4489" s="3" t="s">
        <v>4918</v>
      </c>
      <c r="N4489" s="3" t="s">
        <v>13</v>
      </c>
      <c r="O4489" s="3" t="s">
        <v>14</v>
      </c>
      <c r="Q4489" s="30" t="str">
        <f t="shared" si="70"/>
        <v>MAX : 
TARGET : Yes(Pass)
MIN : No(Fail)</v>
      </c>
    </row>
    <row r="4490" spans="2:18" ht="41.4" x14ac:dyDescent="0.3">
      <c r="B4490">
        <v>0</v>
      </c>
      <c r="C4490" s="33">
        <v>9111</v>
      </c>
      <c r="D4490" s="2">
        <v>1444</v>
      </c>
      <c r="E4490" s="2" t="s">
        <v>12542</v>
      </c>
      <c r="F4490" s="3" t="s">
        <v>14207</v>
      </c>
      <c r="H4490" s="3" t="s">
        <v>426</v>
      </c>
      <c r="K4490" s="2">
        <v>20</v>
      </c>
      <c r="L4490" s="2">
        <v>5</v>
      </c>
      <c r="M4490" s="3" t="s">
        <v>4919</v>
      </c>
      <c r="N4490" s="3" t="s">
        <v>13</v>
      </c>
      <c r="O4490" s="3" t="s">
        <v>14</v>
      </c>
      <c r="Q4490" s="30" t="str">
        <f t="shared" si="70"/>
        <v>MAX : 
TARGET : Yes(Pass)
MIN : No(Fail)</v>
      </c>
    </row>
    <row r="4491" spans="2:18" ht="41.4" x14ac:dyDescent="0.3">
      <c r="B4491">
        <v>1</v>
      </c>
      <c r="C4491" s="33">
        <v>9019</v>
      </c>
      <c r="D4491" s="2">
        <v>2045</v>
      </c>
      <c r="E4491" s="2" t="s">
        <v>11987</v>
      </c>
      <c r="F4491" s="3" t="s">
        <v>14206</v>
      </c>
      <c r="H4491" s="3" t="s">
        <v>4415</v>
      </c>
      <c r="K4491" s="2">
        <v>20</v>
      </c>
      <c r="L4491" s="2">
        <v>1</v>
      </c>
      <c r="M4491" s="3" t="s">
        <v>788</v>
      </c>
      <c r="N4491" s="3" t="s">
        <v>784</v>
      </c>
      <c r="O4491" s="3" t="s">
        <v>309</v>
      </c>
      <c r="P4491" s="3" t="s">
        <v>785</v>
      </c>
      <c r="Q4491" s="30" t="str">
        <f t="shared" si="70"/>
        <v>MAX : 0.55
TARGET : 0.50
MIN : 0.45</v>
      </c>
    </row>
    <row r="4492" spans="2:18" ht="41.4" x14ac:dyDescent="0.3">
      <c r="B4492">
        <v>0</v>
      </c>
      <c r="C4492" s="33">
        <v>8990</v>
      </c>
      <c r="D4492" s="2">
        <v>2029</v>
      </c>
      <c r="E4492" s="2" t="s">
        <v>11807</v>
      </c>
      <c r="F4492" s="29" t="s">
        <v>14241</v>
      </c>
      <c r="H4492" s="3" t="s">
        <v>4340</v>
      </c>
      <c r="K4492" s="2">
        <v>10</v>
      </c>
      <c r="L4492" s="2">
        <v>2</v>
      </c>
      <c r="M4492" s="3" t="s">
        <v>5487</v>
      </c>
      <c r="N4492" s="3" t="s">
        <v>5488</v>
      </c>
      <c r="O4492" s="3" t="s">
        <v>5489</v>
      </c>
      <c r="P4492" s="3" t="s">
        <v>5490</v>
      </c>
      <c r="Q4492" s="30" t="str">
        <f t="shared" si="70"/>
        <v>MAX : 76.70
TARGET : 76.20
MIN : 75.70</v>
      </c>
    </row>
    <row r="4493" spans="2:18" ht="41.4" x14ac:dyDescent="0.3">
      <c r="B4493">
        <v>1</v>
      </c>
      <c r="C4493" s="33">
        <v>9020</v>
      </c>
      <c r="D4493" s="2">
        <v>1384</v>
      </c>
      <c r="E4493" s="2" t="s">
        <v>11992</v>
      </c>
      <c r="F4493" s="3" t="s">
        <v>14206</v>
      </c>
      <c r="H4493" s="3" t="s">
        <v>1416</v>
      </c>
      <c r="K4493" s="2">
        <v>20</v>
      </c>
      <c r="L4493" s="2">
        <v>1</v>
      </c>
      <c r="M4493" s="3" t="s">
        <v>502</v>
      </c>
      <c r="N4493" s="3" t="s">
        <v>4427</v>
      </c>
      <c r="O4493" s="3" t="s">
        <v>4428</v>
      </c>
      <c r="P4493" s="3" t="s">
        <v>4429</v>
      </c>
      <c r="Q4493" s="30" t="str">
        <f t="shared" si="70"/>
        <v>MAX : 0.457
TARGET : 0.437
MIN : 0.417</v>
      </c>
    </row>
    <row r="4494" spans="2:18" ht="41.4" x14ac:dyDescent="0.3">
      <c r="B4494">
        <v>0</v>
      </c>
      <c r="C4494" s="33">
        <v>8991</v>
      </c>
      <c r="D4494" s="2">
        <v>2030</v>
      </c>
      <c r="E4494" s="2" t="s">
        <v>11815</v>
      </c>
      <c r="F4494" s="29" t="s">
        <v>14241</v>
      </c>
      <c r="H4494" s="3" t="s">
        <v>568</v>
      </c>
      <c r="K4494" s="2">
        <v>10</v>
      </c>
      <c r="L4494" s="2">
        <v>5</v>
      </c>
      <c r="M4494" s="3" t="s">
        <v>4341</v>
      </c>
      <c r="N4494" s="3" t="s">
        <v>13</v>
      </c>
      <c r="O4494" s="3" t="s">
        <v>14</v>
      </c>
      <c r="Q4494" s="30" t="str">
        <f t="shared" si="70"/>
        <v>MAX : 
TARGET : Yes(Pass)
MIN : No(Fail)</v>
      </c>
    </row>
    <row r="4495" spans="2:18" ht="41.4" x14ac:dyDescent="0.3">
      <c r="B4495">
        <v>1</v>
      </c>
      <c r="C4495" s="33">
        <v>9020</v>
      </c>
      <c r="D4495" s="2">
        <v>1384</v>
      </c>
      <c r="E4495" s="2" t="s">
        <v>11992</v>
      </c>
      <c r="F4495" s="3" t="s">
        <v>14206</v>
      </c>
      <c r="H4495" s="3" t="s">
        <v>1416</v>
      </c>
      <c r="K4495" s="2">
        <v>10</v>
      </c>
      <c r="L4495" s="2">
        <v>2</v>
      </c>
      <c r="M4495" s="3" t="s">
        <v>325</v>
      </c>
      <c r="N4495" s="3" t="s">
        <v>13</v>
      </c>
      <c r="O4495" s="3" t="s">
        <v>14</v>
      </c>
      <c r="Q4495" s="30" t="str">
        <f t="shared" si="70"/>
        <v>MAX : 
TARGET : Yes(Pass)
MIN : No(Fail)</v>
      </c>
    </row>
    <row r="4496" spans="2:18" ht="41.4" x14ac:dyDescent="0.3">
      <c r="B4496">
        <v>1</v>
      </c>
      <c r="C4496" s="33">
        <v>9021</v>
      </c>
      <c r="D4496" s="2">
        <v>1385</v>
      </c>
      <c r="E4496" s="2" t="s">
        <v>11999</v>
      </c>
      <c r="F4496" s="3" t="s">
        <v>14248</v>
      </c>
      <c r="H4496" s="3" t="s">
        <v>810</v>
      </c>
      <c r="K4496" s="2">
        <v>30</v>
      </c>
      <c r="L4496" s="2">
        <v>2</v>
      </c>
      <c r="M4496" s="3" t="s">
        <v>382</v>
      </c>
      <c r="N4496" s="3" t="s">
        <v>4451</v>
      </c>
      <c r="O4496" s="3" t="s">
        <v>250</v>
      </c>
      <c r="P4496" s="3" t="s">
        <v>4452</v>
      </c>
      <c r="Q4496" s="30" t="str">
        <f t="shared" si="70"/>
        <v>MAX : 6.063
TARGET : 6.00
MIN : 5.937</v>
      </c>
      <c r="R4496" s="3" t="s">
        <v>3549</v>
      </c>
    </row>
    <row r="4497" spans="2:18" ht="41.4" x14ac:dyDescent="0.3">
      <c r="B4497">
        <v>0</v>
      </c>
      <c r="C4497" s="33">
        <v>9116</v>
      </c>
      <c r="D4497" s="2">
        <v>2073</v>
      </c>
      <c r="E4497" s="2" t="s">
        <v>12581</v>
      </c>
      <c r="F4497" s="3" t="s">
        <v>14206</v>
      </c>
      <c r="H4497" s="3" t="s">
        <v>824</v>
      </c>
      <c r="K4497" s="2">
        <v>20</v>
      </c>
      <c r="L4497" s="2">
        <v>1</v>
      </c>
      <c r="M4497" s="3" t="s">
        <v>2819</v>
      </c>
      <c r="N4497" s="3" t="s">
        <v>13</v>
      </c>
      <c r="O4497" s="3" t="s">
        <v>14</v>
      </c>
      <c r="Q4497" s="30" t="str">
        <f t="shared" si="70"/>
        <v>MAX : 
TARGET : Yes(Pass)
MIN : No(Fail)</v>
      </c>
    </row>
    <row r="4498" spans="2:18" ht="41.4" x14ac:dyDescent="0.3">
      <c r="B4498">
        <v>0</v>
      </c>
      <c r="C4498" s="33">
        <v>9116</v>
      </c>
      <c r="D4498" s="2">
        <v>2073</v>
      </c>
      <c r="E4498" s="2" t="s">
        <v>12581</v>
      </c>
      <c r="F4498" s="3" t="s">
        <v>14206</v>
      </c>
      <c r="H4498" s="3" t="s">
        <v>824</v>
      </c>
      <c r="K4498" s="2">
        <v>20</v>
      </c>
      <c r="L4498" s="2">
        <v>2</v>
      </c>
      <c r="M4498" s="3" t="s">
        <v>2295</v>
      </c>
      <c r="N4498" s="3" t="s">
        <v>13</v>
      </c>
      <c r="O4498" s="3" t="s">
        <v>14</v>
      </c>
      <c r="Q4498" s="30" t="str">
        <f t="shared" si="70"/>
        <v>MAX : 
TARGET : Yes(Pass)
MIN : No(Fail)</v>
      </c>
    </row>
    <row r="4499" spans="2:18" ht="41.4" x14ac:dyDescent="0.3">
      <c r="B4499">
        <v>1</v>
      </c>
      <c r="C4499" s="33">
        <v>9021</v>
      </c>
      <c r="D4499" s="2">
        <v>1385</v>
      </c>
      <c r="E4499" s="2" t="s">
        <v>11999</v>
      </c>
      <c r="F4499" s="3" t="s">
        <v>14248</v>
      </c>
      <c r="H4499" s="3" t="s">
        <v>810</v>
      </c>
      <c r="K4499" s="2">
        <v>30</v>
      </c>
      <c r="L4499" s="2">
        <v>1</v>
      </c>
      <c r="M4499" s="3" t="s">
        <v>18</v>
      </c>
      <c r="N4499" s="3" t="s">
        <v>4449</v>
      </c>
      <c r="O4499" s="3" t="s">
        <v>966</v>
      </c>
      <c r="P4499" s="3" t="s">
        <v>4450</v>
      </c>
      <c r="Q4499" s="30" t="str">
        <f t="shared" si="70"/>
        <v>MAX : 7.063
TARGET : 7.00
MIN : 6.937</v>
      </c>
      <c r="R4499" s="3" t="s">
        <v>3549</v>
      </c>
    </row>
    <row r="4500" spans="2:18" ht="41.4" x14ac:dyDescent="0.3">
      <c r="B4500">
        <v>1</v>
      </c>
      <c r="C4500" s="33">
        <v>9022</v>
      </c>
      <c r="D4500" s="2">
        <v>1386</v>
      </c>
      <c r="E4500" s="2" t="s">
        <v>12006</v>
      </c>
      <c r="F4500" s="3" t="s">
        <v>14248</v>
      </c>
      <c r="H4500" s="3" t="s">
        <v>810</v>
      </c>
      <c r="K4500" s="2">
        <v>30</v>
      </c>
      <c r="L4500" s="2">
        <v>2</v>
      </c>
      <c r="M4500" s="3" t="s">
        <v>382</v>
      </c>
      <c r="N4500" s="3" t="s">
        <v>4475</v>
      </c>
      <c r="O4500" s="3" t="s">
        <v>1211</v>
      </c>
      <c r="P4500" s="3" t="s">
        <v>4476</v>
      </c>
      <c r="Q4500" s="30" t="str">
        <f t="shared" si="70"/>
        <v>MAX : 6.563
TARGET : 6.50
MIN : 6.437</v>
      </c>
      <c r="R4500" s="3" t="s">
        <v>3549</v>
      </c>
    </row>
    <row r="4501" spans="2:18" ht="41.4" x14ac:dyDescent="0.3">
      <c r="B4501">
        <v>0</v>
      </c>
      <c r="C4501" s="33">
        <v>9112</v>
      </c>
      <c r="D4501" s="2">
        <v>1445</v>
      </c>
      <c r="E4501" s="2" t="s">
        <v>12550</v>
      </c>
      <c r="F4501" s="3" t="s">
        <v>14206</v>
      </c>
      <c r="H4501" s="3" t="s">
        <v>4933</v>
      </c>
      <c r="K4501" s="2">
        <v>30</v>
      </c>
      <c r="L4501" s="2">
        <v>1</v>
      </c>
      <c r="M4501" s="3" t="s">
        <v>194</v>
      </c>
      <c r="N4501" s="3" t="s">
        <v>4561</v>
      </c>
      <c r="O4501" s="3" t="s">
        <v>1098</v>
      </c>
      <c r="P4501" s="3" t="s">
        <v>4562</v>
      </c>
      <c r="Q4501" s="30" t="str">
        <f t="shared" si="70"/>
        <v>MAX : 10.13
TARGET : 10.00
MIN : 9.87</v>
      </c>
    </row>
    <row r="4502" spans="2:18" ht="41.4" x14ac:dyDescent="0.3">
      <c r="B4502">
        <v>0</v>
      </c>
      <c r="C4502" s="33">
        <v>9112</v>
      </c>
      <c r="D4502" s="2">
        <v>1445</v>
      </c>
      <c r="E4502" s="2" t="s">
        <v>12550</v>
      </c>
      <c r="F4502" s="3" t="s">
        <v>14206</v>
      </c>
      <c r="H4502" s="3" t="s">
        <v>4933</v>
      </c>
      <c r="K4502" s="2">
        <v>30</v>
      </c>
      <c r="L4502" s="2">
        <v>2</v>
      </c>
      <c r="M4502" s="3" t="s">
        <v>198</v>
      </c>
      <c r="N4502" s="3" t="s">
        <v>4563</v>
      </c>
      <c r="O4502" s="3" t="s">
        <v>1230</v>
      </c>
      <c r="P4502" s="3" t="s">
        <v>4564</v>
      </c>
      <c r="Q4502" s="30" t="str">
        <f t="shared" si="70"/>
        <v>MAX : 8.13
TARGET : 8.00
MIN : 7.87</v>
      </c>
    </row>
    <row r="4503" spans="2:18" ht="41.4" x14ac:dyDescent="0.3">
      <c r="B4503">
        <v>0</v>
      </c>
      <c r="C4503" s="33">
        <v>9112</v>
      </c>
      <c r="D4503" s="2">
        <v>1445</v>
      </c>
      <c r="E4503" s="2" t="s">
        <v>12550</v>
      </c>
      <c r="F4503" s="3" t="s">
        <v>14206</v>
      </c>
      <c r="H4503" s="3" t="s">
        <v>4933</v>
      </c>
      <c r="K4503" s="2">
        <v>30</v>
      </c>
      <c r="L4503" s="2">
        <v>3</v>
      </c>
      <c r="M4503" s="3" t="s">
        <v>4565</v>
      </c>
      <c r="N4503" s="3" t="s">
        <v>344</v>
      </c>
      <c r="O4503" s="3" t="s">
        <v>28</v>
      </c>
      <c r="P4503" s="3" t="s">
        <v>345</v>
      </c>
      <c r="Q4503" s="30" t="str">
        <f t="shared" si="70"/>
        <v>MAX : 1.75
TARGET : 1.50
MIN : 1.25</v>
      </c>
    </row>
    <row r="4504" spans="2:18" ht="41.4" x14ac:dyDescent="0.3">
      <c r="B4504">
        <v>0</v>
      </c>
      <c r="C4504" s="33">
        <v>9112</v>
      </c>
      <c r="D4504" s="2">
        <v>1445</v>
      </c>
      <c r="E4504" s="2" t="s">
        <v>12550</v>
      </c>
      <c r="F4504" s="3" t="s">
        <v>14206</v>
      </c>
      <c r="H4504" s="3" t="s">
        <v>4933</v>
      </c>
      <c r="K4504" s="2">
        <v>30</v>
      </c>
      <c r="L4504" s="2">
        <v>4</v>
      </c>
      <c r="M4504" s="3" t="s">
        <v>4660</v>
      </c>
      <c r="N4504" s="3" t="s">
        <v>3997</v>
      </c>
      <c r="O4504" s="3" t="s">
        <v>424</v>
      </c>
      <c r="P4504" s="3" t="s">
        <v>247</v>
      </c>
      <c r="Q4504" s="30" t="str">
        <f t="shared" si="70"/>
        <v>MAX : 0.38
TARGET : 0.25
MIN : 0.12</v>
      </c>
    </row>
    <row r="4505" spans="2:18" ht="41.4" x14ac:dyDescent="0.3">
      <c r="B4505">
        <v>0</v>
      </c>
      <c r="C4505" s="33">
        <v>9112</v>
      </c>
      <c r="D4505" s="2">
        <v>1445</v>
      </c>
      <c r="E4505" s="2" t="s">
        <v>12550</v>
      </c>
      <c r="F4505" s="3" t="s">
        <v>14206</v>
      </c>
      <c r="H4505" s="3" t="s">
        <v>4933</v>
      </c>
      <c r="K4505" s="2">
        <v>30</v>
      </c>
      <c r="L4505" s="2">
        <v>5</v>
      </c>
      <c r="M4505" s="3" t="s">
        <v>4661</v>
      </c>
      <c r="N4505" s="3" t="s">
        <v>2453</v>
      </c>
      <c r="O4505" s="3" t="s">
        <v>253</v>
      </c>
      <c r="P4505" s="3" t="s">
        <v>3785</v>
      </c>
      <c r="Q4505" s="30" t="str">
        <f t="shared" si="70"/>
        <v>MAX : 4.13
TARGET : 4.00
MIN : 3.87</v>
      </c>
    </row>
    <row r="4506" spans="2:18" ht="41.4" x14ac:dyDescent="0.3">
      <c r="B4506">
        <v>0</v>
      </c>
      <c r="C4506" s="33">
        <v>9112</v>
      </c>
      <c r="D4506" s="2">
        <v>1445</v>
      </c>
      <c r="E4506" s="2" t="s">
        <v>12550</v>
      </c>
      <c r="F4506" s="3" t="s">
        <v>14206</v>
      </c>
      <c r="H4506" s="3" t="s">
        <v>4933</v>
      </c>
      <c r="K4506" s="2">
        <v>30</v>
      </c>
      <c r="L4506" s="2">
        <v>7</v>
      </c>
      <c r="M4506" s="3" t="s">
        <v>4568</v>
      </c>
      <c r="N4506" s="3" t="s">
        <v>13</v>
      </c>
      <c r="O4506" s="3" t="s">
        <v>14</v>
      </c>
      <c r="Q4506" s="30" t="str">
        <f t="shared" si="70"/>
        <v>MAX : 
TARGET : Yes(Pass)
MIN : No(Fail)</v>
      </c>
    </row>
    <row r="4507" spans="2:18" ht="41.4" x14ac:dyDescent="0.3">
      <c r="B4507">
        <v>0</v>
      </c>
      <c r="C4507" s="33">
        <v>9112</v>
      </c>
      <c r="D4507" s="2">
        <v>1445</v>
      </c>
      <c r="E4507" s="2" t="s">
        <v>12550</v>
      </c>
      <c r="F4507" s="3" t="s">
        <v>14206</v>
      </c>
      <c r="H4507" s="3" t="s">
        <v>4933</v>
      </c>
      <c r="K4507" s="2">
        <v>30</v>
      </c>
      <c r="L4507" s="2">
        <v>8</v>
      </c>
      <c r="M4507" s="3" t="s">
        <v>4569</v>
      </c>
      <c r="N4507" s="3" t="s">
        <v>13</v>
      </c>
      <c r="O4507" s="3" t="s">
        <v>14</v>
      </c>
      <c r="Q4507" s="30" t="str">
        <f t="shared" si="70"/>
        <v>MAX : 
TARGET : Yes(Pass)
MIN : No(Fail)</v>
      </c>
    </row>
    <row r="4508" spans="2:18" ht="41.4" x14ac:dyDescent="0.3">
      <c r="B4508">
        <v>0</v>
      </c>
      <c r="C4508" s="33">
        <v>9112</v>
      </c>
      <c r="D4508" s="2">
        <v>1445</v>
      </c>
      <c r="E4508" s="2" t="s">
        <v>12550</v>
      </c>
      <c r="F4508" s="3" t="s">
        <v>14206</v>
      </c>
      <c r="H4508" s="3" t="s">
        <v>4933</v>
      </c>
      <c r="K4508" s="2">
        <v>30</v>
      </c>
      <c r="L4508" s="2">
        <v>6</v>
      </c>
      <c r="M4508" s="3" t="s">
        <v>4662</v>
      </c>
      <c r="N4508" s="3" t="s">
        <v>13</v>
      </c>
      <c r="O4508" s="3" t="s">
        <v>14</v>
      </c>
      <c r="Q4508" s="30" t="str">
        <f t="shared" si="70"/>
        <v>MAX : 
TARGET : Yes(Pass)
MIN : No(Fail)</v>
      </c>
    </row>
    <row r="4509" spans="2:18" ht="41.4" x14ac:dyDescent="0.3">
      <c r="B4509">
        <v>0</v>
      </c>
      <c r="C4509" s="33">
        <v>9112</v>
      </c>
      <c r="D4509" s="2">
        <v>1445</v>
      </c>
      <c r="E4509" s="2" t="s">
        <v>12550</v>
      </c>
      <c r="F4509" s="3" t="s">
        <v>14206</v>
      </c>
      <c r="H4509" s="3" t="s">
        <v>4933</v>
      </c>
      <c r="K4509" s="2">
        <v>30</v>
      </c>
      <c r="L4509" s="2">
        <v>9</v>
      </c>
      <c r="M4509" s="3" t="s">
        <v>4733</v>
      </c>
      <c r="N4509" s="3" t="s">
        <v>13</v>
      </c>
      <c r="O4509" s="3" t="s">
        <v>14</v>
      </c>
      <c r="Q4509" s="30" t="str">
        <f t="shared" si="70"/>
        <v>MAX : 
TARGET : Yes(Pass)
MIN : No(Fail)</v>
      </c>
    </row>
    <row r="4510" spans="2:18" ht="41.4" x14ac:dyDescent="0.3">
      <c r="B4510">
        <v>0</v>
      </c>
      <c r="C4510" s="33">
        <v>9112</v>
      </c>
      <c r="D4510" s="2">
        <v>1445</v>
      </c>
      <c r="E4510" s="2" t="s">
        <v>12550</v>
      </c>
      <c r="F4510" s="3" t="s">
        <v>14206</v>
      </c>
      <c r="H4510" s="3" t="s">
        <v>4933</v>
      </c>
      <c r="K4510" s="2">
        <v>30</v>
      </c>
      <c r="L4510" s="2">
        <v>10</v>
      </c>
      <c r="M4510" s="3" t="s">
        <v>4734</v>
      </c>
      <c r="N4510" s="3" t="s">
        <v>13</v>
      </c>
      <c r="O4510" s="3" t="s">
        <v>14</v>
      </c>
      <c r="Q4510" s="30" t="str">
        <f t="shared" si="70"/>
        <v>MAX : 
TARGET : Yes(Pass)
MIN : No(Fail)</v>
      </c>
    </row>
    <row r="4511" spans="2:18" ht="41.4" x14ac:dyDescent="0.3">
      <c r="B4511">
        <v>1</v>
      </c>
      <c r="C4511" s="33">
        <v>9022</v>
      </c>
      <c r="D4511" s="2">
        <v>1386</v>
      </c>
      <c r="E4511" s="2" t="s">
        <v>12006</v>
      </c>
      <c r="F4511" s="3" t="s">
        <v>14248</v>
      </c>
      <c r="H4511" s="3" t="s">
        <v>810</v>
      </c>
      <c r="K4511" s="2">
        <v>30</v>
      </c>
      <c r="L4511" s="2">
        <v>1</v>
      </c>
      <c r="M4511" s="3" t="s">
        <v>18</v>
      </c>
      <c r="N4511" s="3" t="s">
        <v>4473</v>
      </c>
      <c r="O4511" s="3" t="s">
        <v>1230</v>
      </c>
      <c r="P4511" s="3" t="s">
        <v>4474</v>
      </c>
      <c r="Q4511" s="30" t="str">
        <f t="shared" si="70"/>
        <v>MAX : 8.063
TARGET : 8.00
MIN : 7.937</v>
      </c>
      <c r="R4511" s="3" t="s">
        <v>3549</v>
      </c>
    </row>
    <row r="4512" spans="2:18" ht="41.4" x14ac:dyDescent="0.3">
      <c r="B4512">
        <v>1</v>
      </c>
      <c r="C4512" s="33">
        <v>9023</v>
      </c>
      <c r="D4512" s="2">
        <v>2046</v>
      </c>
      <c r="E4512" s="2" t="s">
        <v>12013</v>
      </c>
      <c r="F4512" s="3" t="s">
        <v>14206</v>
      </c>
      <c r="H4512" s="3" t="s">
        <v>568</v>
      </c>
      <c r="I4512" s="3" t="s">
        <v>487</v>
      </c>
      <c r="K4512" s="2">
        <v>20</v>
      </c>
      <c r="L4512" s="2">
        <v>2</v>
      </c>
      <c r="M4512" s="3" t="s">
        <v>198</v>
      </c>
      <c r="N4512" s="3" t="s">
        <v>420</v>
      </c>
      <c r="O4512" s="3" t="s">
        <v>272</v>
      </c>
      <c r="P4512" s="3" t="s">
        <v>414</v>
      </c>
      <c r="Q4512" s="30" t="str">
        <f t="shared" si="70"/>
        <v>MAX : 1.03
TARGET : 1.00
MIN : 0.97</v>
      </c>
    </row>
    <row r="4513" spans="2:17" ht="41.4" x14ac:dyDescent="0.3">
      <c r="B4513">
        <v>0</v>
      </c>
      <c r="C4513" s="33">
        <v>9114</v>
      </c>
      <c r="D4513" s="2">
        <v>1447</v>
      </c>
      <c r="E4513" s="2" t="s">
        <v>12565</v>
      </c>
      <c r="F4513" s="3" t="s">
        <v>14206</v>
      </c>
      <c r="H4513" s="3" t="s">
        <v>4933</v>
      </c>
      <c r="K4513" s="2">
        <v>30</v>
      </c>
      <c r="L4513" s="2">
        <v>1</v>
      </c>
      <c r="M4513" s="3" t="s">
        <v>194</v>
      </c>
      <c r="N4513" s="3" t="s">
        <v>4561</v>
      </c>
      <c r="O4513" s="3" t="s">
        <v>1098</v>
      </c>
      <c r="P4513" s="3" t="s">
        <v>4562</v>
      </c>
      <c r="Q4513" s="30" t="str">
        <f t="shared" si="70"/>
        <v>MAX : 10.13
TARGET : 10.00
MIN : 9.87</v>
      </c>
    </row>
    <row r="4514" spans="2:17" ht="41.4" x14ac:dyDescent="0.3">
      <c r="B4514">
        <v>0</v>
      </c>
      <c r="C4514" s="33">
        <v>9114</v>
      </c>
      <c r="D4514" s="2">
        <v>1447</v>
      </c>
      <c r="E4514" s="2" t="s">
        <v>12565</v>
      </c>
      <c r="F4514" s="3" t="s">
        <v>14206</v>
      </c>
      <c r="H4514" s="3" t="s">
        <v>4933</v>
      </c>
      <c r="K4514" s="2">
        <v>30</v>
      </c>
      <c r="L4514" s="2">
        <v>2</v>
      </c>
      <c r="M4514" s="3" t="s">
        <v>198</v>
      </c>
      <c r="N4514" s="3" t="s">
        <v>4563</v>
      </c>
      <c r="O4514" s="3" t="s">
        <v>1230</v>
      </c>
      <c r="P4514" s="3" t="s">
        <v>4564</v>
      </c>
      <c r="Q4514" s="30" t="str">
        <f t="shared" si="70"/>
        <v>MAX : 8.13
TARGET : 8.00
MIN : 7.87</v>
      </c>
    </row>
    <row r="4515" spans="2:17" ht="41.4" x14ac:dyDescent="0.3">
      <c r="B4515">
        <v>0</v>
      </c>
      <c r="C4515" s="33">
        <v>9114</v>
      </c>
      <c r="D4515" s="2">
        <v>1447</v>
      </c>
      <c r="E4515" s="2" t="s">
        <v>12565</v>
      </c>
      <c r="F4515" s="3" t="s">
        <v>14206</v>
      </c>
      <c r="H4515" s="3" t="s">
        <v>4933</v>
      </c>
      <c r="K4515" s="2">
        <v>30</v>
      </c>
      <c r="L4515" s="2">
        <v>3</v>
      </c>
      <c r="M4515" s="3" t="s">
        <v>4565</v>
      </c>
      <c r="N4515" s="3" t="s">
        <v>344</v>
      </c>
      <c r="O4515" s="3" t="s">
        <v>28</v>
      </c>
      <c r="P4515" s="3" t="s">
        <v>345</v>
      </c>
      <c r="Q4515" s="30" t="str">
        <f t="shared" si="70"/>
        <v>MAX : 1.75
TARGET : 1.50
MIN : 1.25</v>
      </c>
    </row>
    <row r="4516" spans="2:17" ht="41.4" x14ac:dyDescent="0.3">
      <c r="B4516">
        <v>0</v>
      </c>
      <c r="C4516" s="33">
        <v>9114</v>
      </c>
      <c r="D4516" s="2">
        <v>1447</v>
      </c>
      <c r="E4516" s="2" t="s">
        <v>12565</v>
      </c>
      <c r="F4516" s="3" t="s">
        <v>14206</v>
      </c>
      <c r="H4516" s="3" t="s">
        <v>4933</v>
      </c>
      <c r="K4516" s="2">
        <v>30</v>
      </c>
      <c r="L4516" s="2">
        <v>4</v>
      </c>
      <c r="M4516" s="3" t="s">
        <v>4660</v>
      </c>
      <c r="N4516" s="3" t="s">
        <v>3997</v>
      </c>
      <c r="O4516" s="3" t="s">
        <v>424</v>
      </c>
      <c r="P4516" s="3" t="s">
        <v>247</v>
      </c>
      <c r="Q4516" s="30" t="str">
        <f t="shared" si="70"/>
        <v>MAX : 0.38
TARGET : 0.25
MIN : 0.12</v>
      </c>
    </row>
    <row r="4517" spans="2:17" ht="41.4" x14ac:dyDescent="0.3">
      <c r="B4517">
        <v>0</v>
      </c>
      <c r="C4517" s="33">
        <v>9114</v>
      </c>
      <c r="D4517" s="2">
        <v>1447</v>
      </c>
      <c r="E4517" s="2" t="s">
        <v>12565</v>
      </c>
      <c r="F4517" s="3" t="s">
        <v>14206</v>
      </c>
      <c r="H4517" s="3" t="s">
        <v>4933</v>
      </c>
      <c r="K4517" s="2">
        <v>30</v>
      </c>
      <c r="L4517" s="2">
        <v>5</v>
      </c>
      <c r="M4517" s="3" t="s">
        <v>4661</v>
      </c>
      <c r="N4517" s="3" t="s">
        <v>2453</v>
      </c>
      <c r="O4517" s="3" t="s">
        <v>253</v>
      </c>
      <c r="P4517" s="3" t="s">
        <v>3785</v>
      </c>
      <c r="Q4517" s="30" t="str">
        <f t="shared" si="70"/>
        <v>MAX : 4.13
TARGET : 4.00
MIN : 3.87</v>
      </c>
    </row>
    <row r="4518" spans="2:17" ht="41.4" x14ac:dyDescent="0.3">
      <c r="B4518">
        <v>0</v>
      </c>
      <c r="C4518" s="33">
        <v>9114</v>
      </c>
      <c r="D4518" s="2">
        <v>1447</v>
      </c>
      <c r="E4518" s="2" t="s">
        <v>12565</v>
      </c>
      <c r="F4518" s="3" t="s">
        <v>14206</v>
      </c>
      <c r="H4518" s="3" t="s">
        <v>4933</v>
      </c>
      <c r="K4518" s="2">
        <v>30</v>
      </c>
      <c r="L4518" s="2">
        <v>7</v>
      </c>
      <c r="M4518" s="3" t="s">
        <v>4568</v>
      </c>
      <c r="N4518" s="3" t="s">
        <v>13</v>
      </c>
      <c r="O4518" s="3" t="s">
        <v>14</v>
      </c>
      <c r="Q4518" s="30" t="str">
        <f t="shared" si="70"/>
        <v>MAX : 
TARGET : Yes(Pass)
MIN : No(Fail)</v>
      </c>
    </row>
    <row r="4519" spans="2:17" ht="41.4" x14ac:dyDescent="0.3">
      <c r="B4519">
        <v>0</v>
      </c>
      <c r="C4519" s="33">
        <v>9114</v>
      </c>
      <c r="D4519" s="2">
        <v>1447</v>
      </c>
      <c r="E4519" s="2" t="s">
        <v>12565</v>
      </c>
      <c r="F4519" s="3" t="s">
        <v>14206</v>
      </c>
      <c r="H4519" s="3" t="s">
        <v>4933</v>
      </c>
      <c r="K4519" s="2">
        <v>30</v>
      </c>
      <c r="L4519" s="2">
        <v>8</v>
      </c>
      <c r="M4519" s="3" t="s">
        <v>4569</v>
      </c>
      <c r="N4519" s="3" t="s">
        <v>13</v>
      </c>
      <c r="O4519" s="3" t="s">
        <v>14</v>
      </c>
      <c r="Q4519" s="30" t="str">
        <f t="shared" si="70"/>
        <v>MAX : 
TARGET : Yes(Pass)
MIN : No(Fail)</v>
      </c>
    </row>
    <row r="4520" spans="2:17" ht="41.4" x14ac:dyDescent="0.3">
      <c r="B4520">
        <v>0</v>
      </c>
      <c r="C4520" s="33">
        <v>9114</v>
      </c>
      <c r="D4520" s="2">
        <v>1447</v>
      </c>
      <c r="E4520" s="2" t="s">
        <v>12565</v>
      </c>
      <c r="F4520" s="3" t="s">
        <v>14206</v>
      </c>
      <c r="H4520" s="3" t="s">
        <v>4933</v>
      </c>
      <c r="K4520" s="2">
        <v>30</v>
      </c>
      <c r="L4520" s="2">
        <v>6</v>
      </c>
      <c r="M4520" s="3" t="s">
        <v>4662</v>
      </c>
      <c r="N4520" s="3" t="s">
        <v>13</v>
      </c>
      <c r="O4520" s="3" t="s">
        <v>14</v>
      </c>
      <c r="Q4520" s="30" t="str">
        <f t="shared" si="70"/>
        <v>MAX : 
TARGET : Yes(Pass)
MIN : No(Fail)</v>
      </c>
    </row>
    <row r="4521" spans="2:17" ht="41.4" x14ac:dyDescent="0.3">
      <c r="B4521">
        <v>0</v>
      </c>
      <c r="C4521" s="33">
        <v>9114</v>
      </c>
      <c r="D4521" s="2">
        <v>1447</v>
      </c>
      <c r="E4521" s="2" t="s">
        <v>12565</v>
      </c>
      <c r="F4521" s="3" t="s">
        <v>14206</v>
      </c>
      <c r="H4521" s="3" t="s">
        <v>4933</v>
      </c>
      <c r="K4521" s="2">
        <v>30</v>
      </c>
      <c r="L4521" s="2">
        <v>9</v>
      </c>
      <c r="M4521" s="3" t="s">
        <v>4733</v>
      </c>
      <c r="N4521" s="3" t="s">
        <v>13</v>
      </c>
      <c r="O4521" s="3" t="s">
        <v>14</v>
      </c>
      <c r="Q4521" s="30" t="str">
        <f t="shared" si="70"/>
        <v>MAX : 
TARGET : Yes(Pass)
MIN : No(Fail)</v>
      </c>
    </row>
    <row r="4522" spans="2:17" ht="41.4" x14ac:dyDescent="0.3">
      <c r="B4522">
        <v>0</v>
      </c>
      <c r="C4522" s="33">
        <v>9114</v>
      </c>
      <c r="D4522" s="2">
        <v>1447</v>
      </c>
      <c r="E4522" s="2" t="s">
        <v>12565</v>
      </c>
      <c r="F4522" s="3" t="s">
        <v>14206</v>
      </c>
      <c r="H4522" s="3" t="s">
        <v>4933</v>
      </c>
      <c r="K4522" s="2">
        <v>30</v>
      </c>
      <c r="L4522" s="2">
        <v>10</v>
      </c>
      <c r="M4522" s="3" t="s">
        <v>4734</v>
      </c>
      <c r="N4522" s="3" t="s">
        <v>13</v>
      </c>
      <c r="O4522" s="3" t="s">
        <v>14</v>
      </c>
      <c r="Q4522" s="30" t="str">
        <f t="shared" si="70"/>
        <v>MAX : 
TARGET : Yes(Pass)
MIN : No(Fail)</v>
      </c>
    </row>
    <row r="4523" spans="2:17" ht="41.4" x14ac:dyDescent="0.3">
      <c r="B4523">
        <v>1</v>
      </c>
      <c r="C4523" s="33">
        <v>9023</v>
      </c>
      <c r="D4523" s="2">
        <v>2046</v>
      </c>
      <c r="E4523" s="2" t="s">
        <v>12013</v>
      </c>
      <c r="F4523" s="3" t="s">
        <v>14206</v>
      </c>
      <c r="H4523" s="3" t="s">
        <v>568</v>
      </c>
      <c r="I4523" s="3" t="s">
        <v>487</v>
      </c>
      <c r="K4523" s="2">
        <v>20</v>
      </c>
      <c r="L4523" s="2">
        <v>1</v>
      </c>
      <c r="M4523" s="3" t="s">
        <v>194</v>
      </c>
      <c r="N4523" s="3" t="s">
        <v>459</v>
      </c>
      <c r="O4523" s="3" t="s">
        <v>406</v>
      </c>
      <c r="P4523" s="3" t="s">
        <v>460</v>
      </c>
      <c r="Q4523" s="30" t="str">
        <f t="shared" si="70"/>
        <v>MAX : 2.03
TARGET : 2.00
MIN : 1.97</v>
      </c>
    </row>
    <row r="4524" spans="2:17" ht="41.4" x14ac:dyDescent="0.3">
      <c r="B4524">
        <v>1</v>
      </c>
      <c r="C4524" s="33">
        <v>9024</v>
      </c>
      <c r="D4524" s="2">
        <v>2047</v>
      </c>
      <c r="E4524" s="2" t="s">
        <v>12019</v>
      </c>
      <c r="F4524" s="3" t="s">
        <v>14207</v>
      </c>
      <c r="H4524" s="3" t="s">
        <v>846</v>
      </c>
      <c r="K4524" s="2">
        <v>10</v>
      </c>
      <c r="L4524" s="2">
        <v>2</v>
      </c>
      <c r="M4524" s="3" t="s">
        <v>325</v>
      </c>
      <c r="N4524" s="3" t="s">
        <v>13</v>
      </c>
      <c r="O4524" s="3" t="s">
        <v>14</v>
      </c>
      <c r="Q4524" s="30" t="str">
        <f t="shared" si="70"/>
        <v>MAX : 
TARGET : Yes(Pass)
MIN : No(Fail)</v>
      </c>
    </row>
    <row r="4525" spans="2:17" ht="41.4" x14ac:dyDescent="0.3">
      <c r="B4525">
        <v>0</v>
      </c>
      <c r="C4525" s="33">
        <v>9115</v>
      </c>
      <c r="D4525" s="2">
        <v>1448</v>
      </c>
      <c r="E4525" s="2" t="s">
        <v>12573</v>
      </c>
      <c r="F4525" s="3" t="s">
        <v>14206</v>
      </c>
      <c r="H4525" s="3" t="s">
        <v>4933</v>
      </c>
      <c r="K4525" s="2">
        <v>30</v>
      </c>
      <c r="L4525" s="2">
        <v>1</v>
      </c>
      <c r="M4525" s="3" t="s">
        <v>194</v>
      </c>
      <c r="N4525" s="3" t="s">
        <v>4561</v>
      </c>
      <c r="O4525" s="3" t="s">
        <v>1098</v>
      </c>
      <c r="P4525" s="3" t="s">
        <v>4562</v>
      </c>
      <c r="Q4525" s="30" t="str">
        <f t="shared" si="70"/>
        <v>MAX : 10.13
TARGET : 10.00
MIN : 9.87</v>
      </c>
    </row>
    <row r="4526" spans="2:17" ht="41.4" x14ac:dyDescent="0.3">
      <c r="B4526">
        <v>0</v>
      </c>
      <c r="C4526" s="33">
        <v>9115</v>
      </c>
      <c r="D4526" s="2">
        <v>1448</v>
      </c>
      <c r="E4526" s="2" t="s">
        <v>12573</v>
      </c>
      <c r="F4526" s="3" t="s">
        <v>14206</v>
      </c>
      <c r="H4526" s="3" t="s">
        <v>4933</v>
      </c>
      <c r="K4526" s="2">
        <v>30</v>
      </c>
      <c r="L4526" s="2">
        <v>2</v>
      </c>
      <c r="M4526" s="3" t="s">
        <v>198</v>
      </c>
      <c r="N4526" s="3" t="s">
        <v>4563</v>
      </c>
      <c r="O4526" s="3" t="s">
        <v>1230</v>
      </c>
      <c r="P4526" s="3" t="s">
        <v>4564</v>
      </c>
      <c r="Q4526" s="30" t="str">
        <f t="shared" si="70"/>
        <v>MAX : 8.13
TARGET : 8.00
MIN : 7.87</v>
      </c>
    </row>
    <row r="4527" spans="2:17" ht="41.4" x14ac:dyDescent="0.3">
      <c r="B4527">
        <v>0</v>
      </c>
      <c r="C4527" s="33">
        <v>9115</v>
      </c>
      <c r="D4527" s="2">
        <v>1448</v>
      </c>
      <c r="E4527" s="2" t="s">
        <v>12573</v>
      </c>
      <c r="F4527" s="3" t="s">
        <v>14206</v>
      </c>
      <c r="H4527" s="3" t="s">
        <v>4933</v>
      </c>
      <c r="K4527" s="2">
        <v>30</v>
      </c>
      <c r="L4527" s="2">
        <v>3</v>
      </c>
      <c r="M4527" s="3" t="s">
        <v>4565</v>
      </c>
      <c r="N4527" s="3" t="s">
        <v>344</v>
      </c>
      <c r="O4527" s="3" t="s">
        <v>28</v>
      </c>
      <c r="P4527" s="3" t="s">
        <v>345</v>
      </c>
      <c r="Q4527" s="30" t="str">
        <f t="shared" si="70"/>
        <v>MAX : 1.75
TARGET : 1.50
MIN : 1.25</v>
      </c>
    </row>
    <row r="4528" spans="2:17" ht="41.4" x14ac:dyDescent="0.3">
      <c r="B4528">
        <v>0</v>
      </c>
      <c r="C4528" s="33">
        <v>9115</v>
      </c>
      <c r="D4528" s="2">
        <v>1448</v>
      </c>
      <c r="E4528" s="2" t="s">
        <v>12573</v>
      </c>
      <c r="F4528" s="3" t="s">
        <v>14206</v>
      </c>
      <c r="H4528" s="3" t="s">
        <v>4933</v>
      </c>
      <c r="K4528" s="2">
        <v>30</v>
      </c>
      <c r="L4528" s="2">
        <v>4</v>
      </c>
      <c r="M4528" s="3" t="s">
        <v>4660</v>
      </c>
      <c r="N4528" s="3" t="s">
        <v>3997</v>
      </c>
      <c r="O4528" s="3" t="s">
        <v>424</v>
      </c>
      <c r="P4528" s="3" t="s">
        <v>247</v>
      </c>
      <c r="Q4528" s="30" t="str">
        <f t="shared" si="70"/>
        <v>MAX : 0.38
TARGET : 0.25
MIN : 0.12</v>
      </c>
    </row>
    <row r="4529" spans="2:17" ht="41.4" x14ac:dyDescent="0.3">
      <c r="B4529">
        <v>0</v>
      </c>
      <c r="C4529" s="33">
        <v>9115</v>
      </c>
      <c r="D4529" s="2">
        <v>1448</v>
      </c>
      <c r="E4529" s="2" t="s">
        <v>12573</v>
      </c>
      <c r="F4529" s="3" t="s">
        <v>14206</v>
      </c>
      <c r="H4529" s="3" t="s">
        <v>4933</v>
      </c>
      <c r="K4529" s="2">
        <v>30</v>
      </c>
      <c r="L4529" s="2">
        <v>5</v>
      </c>
      <c r="M4529" s="3" t="s">
        <v>4661</v>
      </c>
      <c r="N4529" s="3" t="s">
        <v>2453</v>
      </c>
      <c r="O4529" s="3" t="s">
        <v>253</v>
      </c>
      <c r="P4529" s="3" t="s">
        <v>3785</v>
      </c>
      <c r="Q4529" s="30" t="str">
        <f t="shared" si="70"/>
        <v>MAX : 4.13
TARGET : 4.00
MIN : 3.87</v>
      </c>
    </row>
    <row r="4530" spans="2:17" ht="41.4" x14ac:dyDescent="0.3">
      <c r="B4530">
        <v>0</v>
      </c>
      <c r="C4530" s="33">
        <v>9115</v>
      </c>
      <c r="D4530" s="2">
        <v>1448</v>
      </c>
      <c r="E4530" s="2" t="s">
        <v>12573</v>
      </c>
      <c r="F4530" s="3" t="s">
        <v>14206</v>
      </c>
      <c r="H4530" s="3" t="s">
        <v>4933</v>
      </c>
      <c r="K4530" s="2">
        <v>30</v>
      </c>
      <c r="L4530" s="2">
        <v>7</v>
      </c>
      <c r="M4530" s="3" t="s">
        <v>4568</v>
      </c>
      <c r="N4530" s="3" t="s">
        <v>13</v>
      </c>
      <c r="O4530" s="3" t="s">
        <v>14</v>
      </c>
      <c r="Q4530" s="30" t="str">
        <f t="shared" si="70"/>
        <v>MAX : 
TARGET : Yes(Pass)
MIN : No(Fail)</v>
      </c>
    </row>
    <row r="4531" spans="2:17" ht="41.4" x14ac:dyDescent="0.3">
      <c r="B4531">
        <v>0</v>
      </c>
      <c r="C4531" s="33">
        <v>9115</v>
      </c>
      <c r="D4531" s="2">
        <v>1448</v>
      </c>
      <c r="E4531" s="2" t="s">
        <v>12573</v>
      </c>
      <c r="F4531" s="3" t="s">
        <v>14206</v>
      </c>
      <c r="H4531" s="3" t="s">
        <v>4933</v>
      </c>
      <c r="K4531" s="2">
        <v>30</v>
      </c>
      <c r="L4531" s="2">
        <v>8</v>
      </c>
      <c r="M4531" s="3" t="s">
        <v>4569</v>
      </c>
      <c r="N4531" s="3" t="s">
        <v>13</v>
      </c>
      <c r="O4531" s="3" t="s">
        <v>14</v>
      </c>
      <c r="Q4531" s="30" t="str">
        <f t="shared" si="70"/>
        <v>MAX : 
TARGET : Yes(Pass)
MIN : No(Fail)</v>
      </c>
    </row>
    <row r="4532" spans="2:17" ht="41.4" x14ac:dyDescent="0.3">
      <c r="B4532">
        <v>0</v>
      </c>
      <c r="C4532" s="33">
        <v>9115</v>
      </c>
      <c r="D4532" s="2">
        <v>1448</v>
      </c>
      <c r="E4532" s="2" t="s">
        <v>12573</v>
      </c>
      <c r="F4532" s="3" t="s">
        <v>14206</v>
      </c>
      <c r="H4532" s="3" t="s">
        <v>4933</v>
      </c>
      <c r="K4532" s="2">
        <v>30</v>
      </c>
      <c r="L4532" s="2">
        <v>6</v>
      </c>
      <c r="M4532" s="3" t="s">
        <v>4662</v>
      </c>
      <c r="N4532" s="3" t="s">
        <v>13</v>
      </c>
      <c r="O4532" s="3" t="s">
        <v>14</v>
      </c>
      <c r="Q4532" s="30" t="str">
        <f t="shared" si="70"/>
        <v>MAX : 
TARGET : Yes(Pass)
MIN : No(Fail)</v>
      </c>
    </row>
    <row r="4533" spans="2:17" ht="41.4" x14ac:dyDescent="0.3">
      <c r="B4533">
        <v>0</v>
      </c>
      <c r="C4533" s="33">
        <v>9115</v>
      </c>
      <c r="D4533" s="2">
        <v>1448</v>
      </c>
      <c r="E4533" s="2" t="s">
        <v>12573</v>
      </c>
      <c r="F4533" s="3" t="s">
        <v>14206</v>
      </c>
      <c r="H4533" s="3" t="s">
        <v>4933</v>
      </c>
      <c r="K4533" s="2">
        <v>30</v>
      </c>
      <c r="L4533" s="2">
        <v>9</v>
      </c>
      <c r="M4533" s="3" t="s">
        <v>4733</v>
      </c>
      <c r="N4533" s="3" t="s">
        <v>13</v>
      </c>
      <c r="O4533" s="3" t="s">
        <v>14</v>
      </c>
      <c r="Q4533" s="30" t="str">
        <f t="shared" si="70"/>
        <v>MAX : 
TARGET : Yes(Pass)
MIN : No(Fail)</v>
      </c>
    </row>
    <row r="4534" spans="2:17" ht="41.4" x14ac:dyDescent="0.3">
      <c r="B4534">
        <v>0</v>
      </c>
      <c r="C4534" s="33">
        <v>9115</v>
      </c>
      <c r="D4534" s="2">
        <v>1448</v>
      </c>
      <c r="E4534" s="2" t="s">
        <v>12573</v>
      </c>
      <c r="F4534" s="3" t="s">
        <v>14206</v>
      </c>
      <c r="H4534" s="3" t="s">
        <v>4933</v>
      </c>
      <c r="K4534" s="2">
        <v>30</v>
      </c>
      <c r="L4534" s="2">
        <v>10</v>
      </c>
      <c r="M4534" s="3" t="s">
        <v>4734</v>
      </c>
      <c r="N4534" s="3" t="s">
        <v>13</v>
      </c>
      <c r="O4534" s="3" t="s">
        <v>14</v>
      </c>
      <c r="Q4534" s="30" t="str">
        <f t="shared" si="70"/>
        <v>MAX : 
TARGET : Yes(Pass)
MIN : No(Fail)</v>
      </c>
    </row>
    <row r="4535" spans="2:17" ht="41.4" x14ac:dyDescent="0.3">
      <c r="B4535">
        <v>1</v>
      </c>
      <c r="C4535" s="33">
        <v>9024</v>
      </c>
      <c r="D4535" s="2">
        <v>2047</v>
      </c>
      <c r="E4535" s="2" t="s">
        <v>12019</v>
      </c>
      <c r="F4535" s="3" t="s">
        <v>14207</v>
      </c>
      <c r="H4535" s="3" t="s">
        <v>846</v>
      </c>
      <c r="K4535" s="2">
        <v>10</v>
      </c>
      <c r="L4535" s="2">
        <v>1</v>
      </c>
      <c r="M4535" s="3" t="s">
        <v>458</v>
      </c>
      <c r="N4535" s="3" t="s">
        <v>67</v>
      </c>
      <c r="O4535" s="3" t="s">
        <v>68</v>
      </c>
      <c r="P4535" s="3" t="s">
        <v>69</v>
      </c>
      <c r="Q4535" s="30" t="str">
        <f t="shared" si="70"/>
        <v>MAX : 20
TARGET : 19
MIN : 18</v>
      </c>
    </row>
    <row r="4536" spans="2:17" ht="41.4" x14ac:dyDescent="0.3">
      <c r="B4536">
        <v>1</v>
      </c>
      <c r="C4536" s="33">
        <v>9025</v>
      </c>
      <c r="D4536" s="2">
        <v>1387</v>
      </c>
      <c r="E4536" s="2" t="s">
        <v>12024</v>
      </c>
      <c r="F4536" s="3" t="s">
        <v>14206</v>
      </c>
      <c r="H4536" s="3" t="s">
        <v>747</v>
      </c>
      <c r="I4536" s="3" t="s">
        <v>487</v>
      </c>
      <c r="K4536" s="2">
        <v>20</v>
      </c>
      <c r="L4536" s="2">
        <v>2</v>
      </c>
      <c r="M4536" s="3" t="s">
        <v>198</v>
      </c>
      <c r="N4536" s="3" t="s">
        <v>1532</v>
      </c>
      <c r="O4536" s="3" t="s">
        <v>200</v>
      </c>
      <c r="P4536" s="3" t="s">
        <v>1533</v>
      </c>
      <c r="Q4536" s="30" t="str">
        <f t="shared" si="70"/>
        <v>MAX : 5.56
TARGET : 5.50
MIN : 5.44</v>
      </c>
    </row>
    <row r="4537" spans="2:17" ht="41.4" x14ac:dyDescent="0.3">
      <c r="B4537">
        <v>1</v>
      </c>
      <c r="C4537" s="33">
        <v>9025</v>
      </c>
      <c r="D4537" s="2">
        <v>1387</v>
      </c>
      <c r="E4537" s="2" t="s">
        <v>12024</v>
      </c>
      <c r="F4537" s="3" t="s">
        <v>14206</v>
      </c>
      <c r="H4537" s="3" t="s">
        <v>747</v>
      </c>
      <c r="I4537" s="3" t="s">
        <v>487</v>
      </c>
      <c r="K4537" s="2">
        <v>20</v>
      </c>
      <c r="L4537" s="2">
        <v>1</v>
      </c>
      <c r="M4537" s="3" t="s">
        <v>194</v>
      </c>
      <c r="N4537" s="3" t="s">
        <v>485</v>
      </c>
      <c r="O4537" s="3" t="s">
        <v>272</v>
      </c>
      <c r="P4537" s="3" t="s">
        <v>507</v>
      </c>
      <c r="Q4537" s="30" t="str">
        <f t="shared" si="70"/>
        <v>MAX : 1.06
TARGET : 1.00
MIN : 0.94</v>
      </c>
    </row>
    <row r="4538" spans="2:17" ht="41.4" x14ac:dyDescent="0.3">
      <c r="B4538">
        <v>1</v>
      </c>
      <c r="C4538" s="33">
        <v>9026</v>
      </c>
      <c r="D4538" s="2">
        <v>1388</v>
      </c>
      <c r="E4538" s="2" t="s">
        <v>12031</v>
      </c>
      <c r="F4538" s="3" t="s">
        <v>14207</v>
      </c>
      <c r="H4538" s="3" t="s">
        <v>648</v>
      </c>
      <c r="K4538" s="2">
        <v>20</v>
      </c>
      <c r="L4538" s="2">
        <v>2</v>
      </c>
      <c r="M4538" s="3" t="s">
        <v>4496</v>
      </c>
      <c r="N4538" s="3" t="s">
        <v>3953</v>
      </c>
      <c r="O4538" s="3" t="s">
        <v>3468</v>
      </c>
      <c r="P4538" s="3" t="s">
        <v>4497</v>
      </c>
      <c r="Q4538" s="30" t="str">
        <f t="shared" si="70"/>
        <v>MAX : 7.40
TARGET : 6.60
MIN : 5.80</v>
      </c>
    </row>
    <row r="4539" spans="2:17" ht="41.4" x14ac:dyDescent="0.3">
      <c r="B4539">
        <v>0</v>
      </c>
      <c r="C4539" s="33">
        <v>9124</v>
      </c>
      <c r="D4539" s="2">
        <v>1456</v>
      </c>
      <c r="E4539" s="2" t="s">
        <v>12618</v>
      </c>
      <c r="F4539" s="3" t="s">
        <v>14206</v>
      </c>
      <c r="H4539" s="3" t="s">
        <v>2138</v>
      </c>
      <c r="K4539" s="2">
        <v>20</v>
      </c>
      <c r="L4539" s="2">
        <v>1</v>
      </c>
      <c r="M4539" s="3" t="s">
        <v>570</v>
      </c>
      <c r="N4539" s="3" t="s">
        <v>801</v>
      </c>
      <c r="O4539" s="3" t="s">
        <v>2815</v>
      </c>
      <c r="P4539" s="3" t="s">
        <v>803</v>
      </c>
      <c r="Q4539" s="30" t="str">
        <f t="shared" si="70"/>
        <v>MAX : 24.125
TARGET : 24.00
MIN : 23.875</v>
      </c>
    </row>
    <row r="4540" spans="2:17" ht="41.4" x14ac:dyDescent="0.3">
      <c r="B4540">
        <v>0</v>
      </c>
      <c r="C4540" s="33">
        <v>9124</v>
      </c>
      <c r="D4540" s="2">
        <v>1456</v>
      </c>
      <c r="E4540" s="2" t="s">
        <v>12618</v>
      </c>
      <c r="F4540" s="3" t="s">
        <v>14206</v>
      </c>
      <c r="H4540" s="3" t="s">
        <v>2138</v>
      </c>
      <c r="K4540" s="2">
        <v>20</v>
      </c>
      <c r="L4540" s="2">
        <v>2</v>
      </c>
      <c r="M4540" s="3" t="s">
        <v>2088</v>
      </c>
      <c r="N4540" s="3" t="s">
        <v>1252</v>
      </c>
      <c r="O4540" s="3" t="s">
        <v>860</v>
      </c>
      <c r="P4540" s="3" t="s">
        <v>1254</v>
      </c>
      <c r="Q4540" s="30" t="str">
        <f t="shared" si="70"/>
        <v>MAX : 18.125
TARGET : 18.00
MIN : 17.875</v>
      </c>
    </row>
    <row r="4541" spans="2:17" ht="41.4" x14ac:dyDescent="0.3">
      <c r="B4541">
        <v>0</v>
      </c>
      <c r="C4541" s="33">
        <v>9124</v>
      </c>
      <c r="D4541" s="2">
        <v>1456</v>
      </c>
      <c r="E4541" s="2" t="s">
        <v>12618</v>
      </c>
      <c r="F4541" s="3" t="s">
        <v>14206</v>
      </c>
      <c r="H4541" s="3" t="s">
        <v>2138</v>
      </c>
      <c r="K4541" s="2">
        <v>20</v>
      </c>
      <c r="L4541" s="2">
        <v>3</v>
      </c>
      <c r="M4541" s="3" t="s">
        <v>4936</v>
      </c>
      <c r="N4541" s="3" t="s">
        <v>4937</v>
      </c>
      <c r="O4541" s="3" t="s">
        <v>1196</v>
      </c>
      <c r="P4541" s="3" t="s">
        <v>4938</v>
      </c>
      <c r="Q4541" s="30" t="str">
        <f t="shared" si="70"/>
        <v>MAX : 24.625
TARGET : 24.50
MIN : 24.375</v>
      </c>
    </row>
    <row r="4542" spans="2:17" ht="41.4" x14ac:dyDescent="0.3">
      <c r="B4542">
        <v>0</v>
      </c>
      <c r="C4542" s="33">
        <v>9124</v>
      </c>
      <c r="D4542" s="2">
        <v>1456</v>
      </c>
      <c r="E4542" s="2" t="s">
        <v>12618</v>
      </c>
      <c r="F4542" s="3" t="s">
        <v>14206</v>
      </c>
      <c r="H4542" s="3" t="s">
        <v>2138</v>
      </c>
      <c r="K4542" s="2">
        <v>20</v>
      </c>
      <c r="L4542" s="2">
        <v>4</v>
      </c>
      <c r="M4542" s="3" t="s">
        <v>2646</v>
      </c>
      <c r="N4542" s="3" t="s">
        <v>241</v>
      </c>
      <c r="O4542" s="3" t="s">
        <v>424</v>
      </c>
      <c r="P4542" s="3" t="s">
        <v>276</v>
      </c>
      <c r="Q4542" s="30" t="str">
        <f t="shared" si="70"/>
        <v>MAX : 0.375
TARGET : 0.25
MIN : 0.125</v>
      </c>
    </row>
    <row r="4543" spans="2:17" ht="41.4" x14ac:dyDescent="0.3">
      <c r="B4543">
        <v>0</v>
      </c>
      <c r="C4543" s="33">
        <v>9124</v>
      </c>
      <c r="D4543" s="2">
        <v>1456</v>
      </c>
      <c r="E4543" s="2" t="s">
        <v>12618</v>
      </c>
      <c r="F4543" s="3" t="s">
        <v>14206</v>
      </c>
      <c r="H4543" s="3" t="s">
        <v>2138</v>
      </c>
      <c r="K4543" s="2">
        <v>20</v>
      </c>
      <c r="L4543" s="2">
        <v>5</v>
      </c>
      <c r="M4543" s="3" t="s">
        <v>4939</v>
      </c>
      <c r="N4543" s="3" t="s">
        <v>13</v>
      </c>
      <c r="O4543" s="3" t="s">
        <v>14</v>
      </c>
      <c r="Q4543" s="30" t="str">
        <f t="shared" si="70"/>
        <v>MAX : 
TARGET : Yes(Pass)
MIN : No(Fail)</v>
      </c>
    </row>
    <row r="4544" spans="2:17" ht="41.4" x14ac:dyDescent="0.3">
      <c r="B4544">
        <v>0</v>
      </c>
      <c r="C4544" s="33">
        <v>9124</v>
      </c>
      <c r="D4544" s="2">
        <v>1456</v>
      </c>
      <c r="E4544" s="2" t="s">
        <v>12618</v>
      </c>
      <c r="F4544" s="3" t="s">
        <v>14206</v>
      </c>
      <c r="H4544" s="3" t="s">
        <v>2138</v>
      </c>
      <c r="K4544" s="2">
        <v>20</v>
      </c>
      <c r="L4544" s="2">
        <v>6</v>
      </c>
      <c r="M4544" s="3" t="s">
        <v>2817</v>
      </c>
      <c r="N4544" s="3" t="s">
        <v>13</v>
      </c>
      <c r="O4544" s="3" t="s">
        <v>14</v>
      </c>
      <c r="Q4544" s="30" t="str">
        <f t="shared" si="70"/>
        <v>MAX : 
TARGET : Yes(Pass)
MIN : No(Fail)</v>
      </c>
    </row>
    <row r="4545" spans="2:17" ht="41.4" x14ac:dyDescent="0.3">
      <c r="B4545">
        <v>1</v>
      </c>
      <c r="C4545" s="33">
        <v>9026</v>
      </c>
      <c r="D4545" s="2">
        <v>1388</v>
      </c>
      <c r="E4545" s="2" t="s">
        <v>12031</v>
      </c>
      <c r="F4545" s="3" t="s">
        <v>14207</v>
      </c>
      <c r="H4545" s="3" t="s">
        <v>648</v>
      </c>
      <c r="K4545" s="2">
        <v>20</v>
      </c>
      <c r="L4545" s="2">
        <v>9</v>
      </c>
      <c r="M4545" s="3" t="s">
        <v>4518</v>
      </c>
      <c r="N4545" s="3" t="s">
        <v>2451</v>
      </c>
      <c r="O4545" s="3" t="s">
        <v>129</v>
      </c>
      <c r="P4545" s="3" t="s">
        <v>4517</v>
      </c>
      <c r="Q4545" s="30" t="str">
        <f t="shared" si="70"/>
        <v>MAX : 4.31
TARGET : 4.06
MIN : 3.81</v>
      </c>
    </row>
    <row r="4546" spans="2:17" ht="41.4" x14ac:dyDescent="0.3">
      <c r="B4546">
        <v>1</v>
      </c>
      <c r="C4546" s="33">
        <v>9026</v>
      </c>
      <c r="D4546" s="2">
        <v>1388</v>
      </c>
      <c r="E4546" s="2" t="s">
        <v>12031</v>
      </c>
      <c r="F4546" s="3" t="s">
        <v>14207</v>
      </c>
      <c r="H4546" s="3" t="s">
        <v>648</v>
      </c>
      <c r="K4546" s="2">
        <v>20</v>
      </c>
      <c r="L4546" s="2">
        <v>1</v>
      </c>
      <c r="M4546" s="3" t="s">
        <v>4493</v>
      </c>
      <c r="N4546" s="3" t="s">
        <v>4494</v>
      </c>
      <c r="O4546" s="3" t="s">
        <v>4495</v>
      </c>
      <c r="P4546" s="3" t="s">
        <v>3949</v>
      </c>
      <c r="Q4546" s="30" t="str">
        <f t="shared" ref="Q4546:Q4609" si="71">"MAX : " &amp; P4546 &amp; CHAR(10) &amp; "TARGET : " &amp; O4546 &amp; CHAR(10) &amp; "MIN : " &amp; N4546</f>
        <v>MAX : 9.15
TARGET : 8.35
MIN : 7.55</v>
      </c>
    </row>
    <row r="4547" spans="2:17" ht="41.4" x14ac:dyDescent="0.3">
      <c r="B4547">
        <v>0</v>
      </c>
      <c r="C4547" s="33">
        <v>9123</v>
      </c>
      <c r="D4547" s="2">
        <v>1455</v>
      </c>
      <c r="E4547" s="2" t="s">
        <v>12611</v>
      </c>
      <c r="F4547" s="3" t="s">
        <v>14206</v>
      </c>
      <c r="H4547" s="3" t="s">
        <v>2138</v>
      </c>
      <c r="K4547" s="2">
        <v>20</v>
      </c>
      <c r="L4547" s="2">
        <v>1</v>
      </c>
      <c r="M4547" s="3" t="s">
        <v>570</v>
      </c>
      <c r="N4547" s="3" t="s">
        <v>801</v>
      </c>
      <c r="O4547" s="3" t="s">
        <v>2815</v>
      </c>
      <c r="P4547" s="3" t="s">
        <v>803</v>
      </c>
      <c r="Q4547" s="30" t="str">
        <f t="shared" si="71"/>
        <v>MAX : 24.125
TARGET : 24.00
MIN : 23.875</v>
      </c>
    </row>
    <row r="4548" spans="2:17" ht="41.4" x14ac:dyDescent="0.3">
      <c r="B4548">
        <v>0</v>
      </c>
      <c r="C4548" s="33">
        <v>9123</v>
      </c>
      <c r="D4548" s="2">
        <v>1455</v>
      </c>
      <c r="E4548" s="2" t="s">
        <v>12611</v>
      </c>
      <c r="F4548" s="3" t="s">
        <v>14206</v>
      </c>
      <c r="H4548" s="3" t="s">
        <v>2138</v>
      </c>
      <c r="K4548" s="2">
        <v>20</v>
      </c>
      <c r="L4548" s="2">
        <v>2</v>
      </c>
      <c r="M4548" s="3" t="s">
        <v>2088</v>
      </c>
      <c r="N4548" s="3" t="s">
        <v>1252</v>
      </c>
      <c r="O4548" s="3" t="s">
        <v>860</v>
      </c>
      <c r="P4548" s="3" t="s">
        <v>1254</v>
      </c>
      <c r="Q4548" s="30" t="str">
        <f t="shared" si="71"/>
        <v>MAX : 18.125
TARGET : 18.00
MIN : 17.875</v>
      </c>
    </row>
    <row r="4549" spans="2:17" ht="41.4" x14ac:dyDescent="0.3">
      <c r="B4549">
        <v>0</v>
      </c>
      <c r="C4549" s="33">
        <v>9123</v>
      </c>
      <c r="D4549" s="2">
        <v>1455</v>
      </c>
      <c r="E4549" s="2" t="s">
        <v>12611</v>
      </c>
      <c r="F4549" s="3" t="s">
        <v>14206</v>
      </c>
      <c r="H4549" s="3" t="s">
        <v>2138</v>
      </c>
      <c r="K4549" s="2">
        <v>20</v>
      </c>
      <c r="L4549" s="2">
        <v>3</v>
      </c>
      <c r="M4549" s="3" t="s">
        <v>569</v>
      </c>
      <c r="N4549" s="3" t="s">
        <v>4937</v>
      </c>
      <c r="O4549" s="3" t="s">
        <v>1196</v>
      </c>
      <c r="P4549" s="3" t="s">
        <v>4938</v>
      </c>
      <c r="Q4549" s="30" t="str">
        <f t="shared" si="71"/>
        <v>MAX : 24.625
TARGET : 24.50
MIN : 24.375</v>
      </c>
    </row>
    <row r="4550" spans="2:17" ht="41.4" x14ac:dyDescent="0.3">
      <c r="B4550">
        <v>0</v>
      </c>
      <c r="C4550" s="33">
        <v>9123</v>
      </c>
      <c r="D4550" s="2">
        <v>1455</v>
      </c>
      <c r="E4550" s="2" t="s">
        <v>12611</v>
      </c>
      <c r="F4550" s="3" t="s">
        <v>14206</v>
      </c>
      <c r="H4550" s="3" t="s">
        <v>2138</v>
      </c>
      <c r="K4550" s="2">
        <v>20</v>
      </c>
      <c r="L4550" s="2">
        <v>4</v>
      </c>
      <c r="M4550" s="3" t="s">
        <v>2646</v>
      </c>
      <c r="N4550" s="3" t="s">
        <v>241</v>
      </c>
      <c r="O4550" s="3" t="s">
        <v>424</v>
      </c>
      <c r="P4550" s="3" t="s">
        <v>276</v>
      </c>
      <c r="Q4550" s="30" t="str">
        <f t="shared" si="71"/>
        <v>MAX : 0.375
TARGET : 0.25
MIN : 0.125</v>
      </c>
    </row>
    <row r="4551" spans="2:17" ht="41.4" x14ac:dyDescent="0.3">
      <c r="B4551">
        <v>0</v>
      </c>
      <c r="C4551" s="33">
        <v>9123</v>
      </c>
      <c r="D4551" s="2">
        <v>1455</v>
      </c>
      <c r="E4551" s="2" t="s">
        <v>12611</v>
      </c>
      <c r="F4551" s="3" t="s">
        <v>14206</v>
      </c>
      <c r="H4551" s="3" t="s">
        <v>2138</v>
      </c>
      <c r="K4551" s="2">
        <v>20</v>
      </c>
      <c r="L4551" s="2">
        <v>5</v>
      </c>
      <c r="M4551" s="3" t="s">
        <v>2647</v>
      </c>
      <c r="N4551" s="3" t="s">
        <v>13</v>
      </c>
      <c r="O4551" s="3" t="s">
        <v>14</v>
      </c>
      <c r="Q4551" s="30" t="str">
        <f t="shared" si="71"/>
        <v>MAX : 
TARGET : Yes(Pass)
MIN : No(Fail)</v>
      </c>
    </row>
    <row r="4552" spans="2:17" ht="41.4" x14ac:dyDescent="0.3">
      <c r="B4552">
        <v>0</v>
      </c>
      <c r="C4552" s="33">
        <v>9123</v>
      </c>
      <c r="D4552" s="2">
        <v>1455</v>
      </c>
      <c r="E4552" s="2" t="s">
        <v>12611</v>
      </c>
      <c r="F4552" s="3" t="s">
        <v>14206</v>
      </c>
      <c r="H4552" s="3" t="s">
        <v>2138</v>
      </c>
      <c r="K4552" s="2">
        <v>20</v>
      </c>
      <c r="L4552" s="2">
        <v>6</v>
      </c>
      <c r="M4552" s="3" t="s">
        <v>2817</v>
      </c>
      <c r="N4552" s="3" t="s">
        <v>13</v>
      </c>
      <c r="O4552" s="3" t="s">
        <v>14</v>
      </c>
      <c r="Q4552" s="30" t="str">
        <f t="shared" si="71"/>
        <v>MAX : 
TARGET : Yes(Pass)
MIN : No(Fail)</v>
      </c>
    </row>
    <row r="4553" spans="2:17" ht="41.4" x14ac:dyDescent="0.3">
      <c r="B4553">
        <v>1</v>
      </c>
      <c r="C4553" s="33">
        <v>9026</v>
      </c>
      <c r="D4553" s="2">
        <v>1388</v>
      </c>
      <c r="E4553" s="2" t="s">
        <v>12031</v>
      </c>
      <c r="F4553" s="3" t="s">
        <v>14207</v>
      </c>
      <c r="H4553" s="3" t="s">
        <v>648</v>
      </c>
      <c r="K4553" s="2">
        <v>20</v>
      </c>
      <c r="L4553" s="2">
        <v>3</v>
      </c>
      <c r="M4553" s="3" t="s">
        <v>4542</v>
      </c>
      <c r="N4553" s="3" t="s">
        <v>4543</v>
      </c>
      <c r="O4553" s="3" t="s">
        <v>234</v>
      </c>
      <c r="P4553" s="3" t="s">
        <v>4544</v>
      </c>
      <c r="Q4553" s="30" t="str">
        <f t="shared" si="71"/>
        <v>MAX : 12.01
TARGET : 11.21
MIN : 10.41</v>
      </c>
    </row>
    <row r="4554" spans="2:17" ht="41.4" x14ac:dyDescent="0.3">
      <c r="B4554">
        <v>1</v>
      </c>
      <c r="C4554" s="33">
        <v>9027</v>
      </c>
      <c r="D4554" s="2">
        <v>1389</v>
      </c>
      <c r="E4554" s="2" t="s">
        <v>12037</v>
      </c>
      <c r="F4554" s="3" t="s">
        <v>14206</v>
      </c>
      <c r="H4554" s="3" t="s">
        <v>3788</v>
      </c>
      <c r="K4554" s="2">
        <v>20</v>
      </c>
      <c r="L4554" s="2">
        <v>2</v>
      </c>
      <c r="M4554" s="3" t="s">
        <v>4507</v>
      </c>
      <c r="N4554" s="3" t="s">
        <v>4508</v>
      </c>
      <c r="O4554" s="3" t="s">
        <v>184</v>
      </c>
      <c r="P4554" s="3" t="s">
        <v>4509</v>
      </c>
      <c r="Q4554" s="30" t="str">
        <f t="shared" si="71"/>
        <v>MAX : 5.02
TARGET : 5.00
MIN : 4.98</v>
      </c>
    </row>
    <row r="4555" spans="2:17" ht="41.4" x14ac:dyDescent="0.3">
      <c r="B4555">
        <v>0</v>
      </c>
      <c r="C4555" s="33">
        <v>9016</v>
      </c>
      <c r="D4555" s="2">
        <v>1382</v>
      </c>
      <c r="E4555" s="2" t="s">
        <v>11966</v>
      </c>
      <c r="F4555" s="3" t="s">
        <v>14246</v>
      </c>
      <c r="H4555" s="3" t="s">
        <v>2980</v>
      </c>
      <c r="K4555" s="2">
        <v>10</v>
      </c>
      <c r="L4555" s="2">
        <v>3</v>
      </c>
      <c r="M4555" s="3" t="s">
        <v>4940</v>
      </c>
      <c r="N4555" s="3" t="s">
        <v>13</v>
      </c>
      <c r="O4555" s="3" t="s">
        <v>14</v>
      </c>
      <c r="Q4555" s="30" t="str">
        <f t="shared" si="71"/>
        <v>MAX : 
TARGET : Yes(Pass)
MIN : No(Fail)</v>
      </c>
    </row>
    <row r="4556" spans="2:17" ht="41.4" x14ac:dyDescent="0.3">
      <c r="B4556">
        <v>1</v>
      </c>
      <c r="C4556" s="33">
        <v>9027</v>
      </c>
      <c r="D4556" s="2">
        <v>1389</v>
      </c>
      <c r="E4556" s="2" t="s">
        <v>12037</v>
      </c>
      <c r="F4556" s="3" t="s">
        <v>14206</v>
      </c>
      <c r="H4556" s="3" t="s">
        <v>3788</v>
      </c>
      <c r="K4556" s="2">
        <v>20</v>
      </c>
      <c r="L4556" s="2">
        <v>1</v>
      </c>
      <c r="M4556" s="3" t="s">
        <v>194</v>
      </c>
      <c r="N4556" s="3" t="s">
        <v>4404</v>
      </c>
      <c r="O4556" s="3" t="s">
        <v>1098</v>
      </c>
      <c r="P4556" s="3" t="s">
        <v>4405</v>
      </c>
      <c r="Q4556" s="30" t="str">
        <f t="shared" si="71"/>
        <v>MAX : 10.03
TARGET : 10.00
MIN : 9.97</v>
      </c>
    </row>
    <row r="4557" spans="2:17" ht="41.4" x14ac:dyDescent="0.3">
      <c r="B4557">
        <v>1</v>
      </c>
      <c r="C4557" s="33">
        <v>9028</v>
      </c>
      <c r="D4557" s="2">
        <v>2048</v>
      </c>
      <c r="E4557" s="2" t="s">
        <v>12043</v>
      </c>
      <c r="F4557" s="3" t="s">
        <v>14206</v>
      </c>
      <c r="H4557" s="3" t="s">
        <v>269</v>
      </c>
      <c r="K4557" s="2">
        <v>10</v>
      </c>
      <c r="L4557" s="2">
        <v>2</v>
      </c>
      <c r="M4557" s="3" t="s">
        <v>325</v>
      </c>
      <c r="N4557" s="3" t="s">
        <v>13</v>
      </c>
      <c r="O4557" s="3" t="s">
        <v>14</v>
      </c>
      <c r="Q4557" s="30" t="str">
        <f t="shared" si="71"/>
        <v>MAX : 
TARGET : Yes(Pass)
MIN : No(Fail)</v>
      </c>
    </row>
    <row r="4558" spans="2:17" ht="41.4" x14ac:dyDescent="0.3">
      <c r="B4558">
        <v>0</v>
      </c>
      <c r="C4558" s="33">
        <v>9117</v>
      </c>
      <c r="D4558" s="2">
        <v>1449</v>
      </c>
      <c r="E4558" s="2" t="s">
        <v>12587</v>
      </c>
      <c r="F4558" s="3" t="s">
        <v>14255</v>
      </c>
      <c r="H4558" s="3" t="s">
        <v>4941</v>
      </c>
      <c r="K4558" s="2">
        <v>30</v>
      </c>
      <c r="L4558" s="2">
        <v>6</v>
      </c>
      <c r="M4558" s="3" t="s">
        <v>715</v>
      </c>
      <c r="N4558" s="3" t="s">
        <v>4946</v>
      </c>
      <c r="O4558" s="3" t="s">
        <v>4947</v>
      </c>
      <c r="P4558" s="3" t="s">
        <v>4948</v>
      </c>
      <c r="Q4558" s="30" t="str">
        <f t="shared" si="71"/>
        <v>MAX : 26.80
TARGET : 26.42
MIN : 26.04</v>
      </c>
    </row>
    <row r="4559" spans="2:17" ht="41.4" x14ac:dyDescent="0.3">
      <c r="B4559">
        <v>0</v>
      </c>
      <c r="C4559" s="33">
        <v>9117</v>
      </c>
      <c r="D4559" s="2">
        <v>1449</v>
      </c>
      <c r="E4559" s="2" t="s">
        <v>12587</v>
      </c>
      <c r="F4559" s="3" t="s">
        <v>14255</v>
      </c>
      <c r="H4559" s="3" t="s">
        <v>4941</v>
      </c>
      <c r="K4559" s="2">
        <v>30</v>
      </c>
      <c r="L4559" s="2">
        <v>4</v>
      </c>
      <c r="M4559" s="3" t="s">
        <v>4949</v>
      </c>
      <c r="N4559" s="3" t="s">
        <v>4950</v>
      </c>
      <c r="O4559" s="3" t="s">
        <v>4951</v>
      </c>
      <c r="P4559" s="3" t="s">
        <v>1334</v>
      </c>
      <c r="Q4559" s="30" t="str">
        <f t="shared" si="71"/>
        <v>MAX : 12.94
TARGET : 12.64
MIN : 12.34</v>
      </c>
    </row>
    <row r="4560" spans="2:17" ht="41.4" x14ac:dyDescent="0.3">
      <c r="B4560">
        <v>0</v>
      </c>
      <c r="C4560" s="33">
        <v>9117</v>
      </c>
      <c r="D4560" s="2">
        <v>1449</v>
      </c>
      <c r="E4560" s="2" t="s">
        <v>12587</v>
      </c>
      <c r="F4560" s="3" t="s">
        <v>14255</v>
      </c>
      <c r="H4560" s="3" t="s">
        <v>4941</v>
      </c>
      <c r="K4560" s="2">
        <v>30</v>
      </c>
      <c r="L4560" s="2">
        <v>7</v>
      </c>
      <c r="M4560" s="3" t="s">
        <v>4952</v>
      </c>
      <c r="N4560" s="3" t="s">
        <v>4028</v>
      </c>
      <c r="O4560" s="3" t="s">
        <v>2999</v>
      </c>
      <c r="P4560" s="3" t="s">
        <v>4953</v>
      </c>
      <c r="Q4560" s="30" t="str">
        <f t="shared" si="71"/>
        <v>MAX : 6.3
TARGET : 5.8
MIN : 5.3</v>
      </c>
    </row>
    <row r="4561" spans="2:18" ht="41.4" x14ac:dyDescent="0.3">
      <c r="B4561">
        <v>0</v>
      </c>
      <c r="C4561" s="33">
        <v>9117</v>
      </c>
      <c r="D4561" s="2">
        <v>1449</v>
      </c>
      <c r="E4561" s="2" t="s">
        <v>12587</v>
      </c>
      <c r="F4561" s="3" t="s">
        <v>14255</v>
      </c>
      <c r="H4561" s="3" t="s">
        <v>4941</v>
      </c>
      <c r="K4561" s="2">
        <v>30</v>
      </c>
      <c r="L4561" s="2">
        <v>9</v>
      </c>
      <c r="M4561" s="3" t="s">
        <v>4774</v>
      </c>
      <c r="N4561" s="3" t="s">
        <v>3828</v>
      </c>
      <c r="O4561" s="3" t="s">
        <v>3829</v>
      </c>
      <c r="P4561" s="3" t="s">
        <v>3830</v>
      </c>
      <c r="Q4561" s="30" t="str">
        <f t="shared" si="71"/>
        <v>MAX : 38.6
TARGET : 38.1
MIN : 37.6</v>
      </c>
    </row>
    <row r="4562" spans="2:18" ht="41.4" x14ac:dyDescent="0.3">
      <c r="B4562">
        <v>0</v>
      </c>
      <c r="C4562" s="33">
        <v>9117</v>
      </c>
      <c r="D4562" s="2">
        <v>1449</v>
      </c>
      <c r="E4562" s="2" t="s">
        <v>12587</v>
      </c>
      <c r="F4562" s="3" t="s">
        <v>14255</v>
      </c>
      <c r="H4562" s="3" t="s">
        <v>4941</v>
      </c>
      <c r="K4562" s="2">
        <v>30</v>
      </c>
      <c r="L4562" s="2">
        <v>12</v>
      </c>
      <c r="M4562" s="3" t="s">
        <v>3831</v>
      </c>
      <c r="N4562" s="3" t="s">
        <v>13</v>
      </c>
      <c r="O4562" s="3" t="s">
        <v>14</v>
      </c>
      <c r="Q4562" s="30" t="str">
        <f t="shared" si="71"/>
        <v>MAX : 
TARGET : Yes(Pass)
MIN : No(Fail)</v>
      </c>
    </row>
    <row r="4563" spans="2:18" ht="41.4" x14ac:dyDescent="0.3">
      <c r="B4563">
        <v>0</v>
      </c>
      <c r="C4563" s="33">
        <v>9117</v>
      </c>
      <c r="D4563" s="2">
        <v>1449</v>
      </c>
      <c r="E4563" s="2" t="s">
        <v>12587</v>
      </c>
      <c r="F4563" s="3" t="s">
        <v>14255</v>
      </c>
      <c r="H4563" s="3" t="s">
        <v>4941</v>
      </c>
      <c r="K4563" s="2">
        <v>30</v>
      </c>
      <c r="L4563" s="2">
        <v>13</v>
      </c>
      <c r="M4563" s="3" t="s">
        <v>78</v>
      </c>
      <c r="N4563" s="3" t="s">
        <v>13</v>
      </c>
      <c r="O4563" s="3" t="s">
        <v>14</v>
      </c>
      <c r="Q4563" s="30" t="str">
        <f t="shared" si="71"/>
        <v>MAX : 
TARGET : Yes(Pass)
MIN : No(Fail)</v>
      </c>
    </row>
    <row r="4564" spans="2:18" ht="41.4" x14ac:dyDescent="0.3">
      <c r="B4564">
        <v>0</v>
      </c>
      <c r="C4564" s="33">
        <v>9117</v>
      </c>
      <c r="D4564" s="2">
        <v>1449</v>
      </c>
      <c r="E4564" s="2" t="s">
        <v>12587</v>
      </c>
      <c r="F4564" s="3" t="s">
        <v>14255</v>
      </c>
      <c r="H4564" s="3" t="s">
        <v>4941</v>
      </c>
      <c r="K4564" s="2">
        <v>30</v>
      </c>
      <c r="L4564" s="2">
        <v>14</v>
      </c>
      <c r="M4564" s="3" t="s">
        <v>4954</v>
      </c>
      <c r="N4564" s="3" t="s">
        <v>13</v>
      </c>
      <c r="O4564" s="3" t="s">
        <v>14</v>
      </c>
      <c r="Q4564" s="30" t="str">
        <f t="shared" si="71"/>
        <v>MAX : 
TARGET : Yes(Pass)
MIN : No(Fail)</v>
      </c>
    </row>
    <row r="4565" spans="2:18" ht="41.4" x14ac:dyDescent="0.3">
      <c r="B4565">
        <v>1</v>
      </c>
      <c r="C4565" s="33">
        <v>9028</v>
      </c>
      <c r="D4565" s="2">
        <v>2048</v>
      </c>
      <c r="E4565" s="2" t="s">
        <v>12043</v>
      </c>
      <c r="F4565" s="3" t="s">
        <v>14206</v>
      </c>
      <c r="H4565" s="3" t="s">
        <v>269</v>
      </c>
      <c r="K4565" s="2">
        <v>10</v>
      </c>
      <c r="L4565" s="2">
        <v>1</v>
      </c>
      <c r="M4565" s="3" t="s">
        <v>458</v>
      </c>
      <c r="N4565" s="3" t="s">
        <v>1767</v>
      </c>
      <c r="O4565" s="3" t="s">
        <v>1230</v>
      </c>
      <c r="P4565" s="3" t="s">
        <v>1768</v>
      </c>
      <c r="Q4565" s="30" t="str">
        <f t="shared" si="71"/>
        <v>MAX : 8.03
TARGET : 8.00
MIN : 7.97</v>
      </c>
    </row>
    <row r="4566" spans="2:18" ht="41.4" x14ac:dyDescent="0.3">
      <c r="B4566">
        <v>1</v>
      </c>
      <c r="C4566" s="33">
        <v>9029</v>
      </c>
      <c r="D4566" s="2">
        <v>1390</v>
      </c>
      <c r="E4566" s="2" t="s">
        <v>12049</v>
      </c>
      <c r="F4566" s="3" t="s">
        <v>14207</v>
      </c>
      <c r="H4566" s="3" t="s">
        <v>648</v>
      </c>
      <c r="K4566" s="2">
        <v>10</v>
      </c>
      <c r="L4566" s="2">
        <v>1</v>
      </c>
      <c r="M4566" s="3" t="s">
        <v>3054</v>
      </c>
      <c r="N4566" s="3" t="s">
        <v>1985</v>
      </c>
      <c r="O4566" s="3" t="s">
        <v>149</v>
      </c>
      <c r="P4566" s="3" t="s">
        <v>1986</v>
      </c>
      <c r="Q4566" s="30" t="str">
        <f t="shared" si="71"/>
        <v>MAX : 12.03
TARGET : 12.00
MIN : 11.97</v>
      </c>
      <c r="R4566" s="3" t="s">
        <v>4520</v>
      </c>
    </row>
    <row r="4567" spans="2:18" ht="41.4" x14ac:dyDescent="0.3">
      <c r="B4567">
        <v>0</v>
      </c>
      <c r="C4567" s="33">
        <v>9118</v>
      </c>
      <c r="D4567" s="2">
        <v>1450</v>
      </c>
      <c r="E4567" s="2" t="s">
        <v>12587</v>
      </c>
      <c r="F4567" s="3" t="s">
        <v>14255</v>
      </c>
      <c r="H4567" s="3" t="s">
        <v>4941</v>
      </c>
      <c r="K4567" s="2">
        <v>30</v>
      </c>
      <c r="L4567" s="2">
        <v>4</v>
      </c>
      <c r="M4567" s="3" t="s">
        <v>885</v>
      </c>
      <c r="N4567" s="3" t="s">
        <v>4946</v>
      </c>
      <c r="O4567" s="3" t="s">
        <v>4947</v>
      </c>
      <c r="P4567" s="3" t="s">
        <v>4948</v>
      </c>
      <c r="Q4567" s="30" t="str">
        <f t="shared" si="71"/>
        <v>MAX : 26.80
TARGET : 26.42
MIN : 26.04</v>
      </c>
    </row>
    <row r="4568" spans="2:18" ht="41.4" x14ac:dyDescent="0.3">
      <c r="B4568">
        <v>0</v>
      </c>
      <c r="C4568" s="33">
        <v>9118</v>
      </c>
      <c r="D4568" s="2">
        <v>1450</v>
      </c>
      <c r="E4568" s="2" t="s">
        <v>12587</v>
      </c>
      <c r="F4568" s="3" t="s">
        <v>14255</v>
      </c>
      <c r="H4568" s="3" t="s">
        <v>4941</v>
      </c>
      <c r="K4568" s="2">
        <v>30</v>
      </c>
      <c r="L4568" s="2">
        <v>5</v>
      </c>
      <c r="M4568" s="3" t="s">
        <v>4956</v>
      </c>
      <c r="N4568" s="3" t="s">
        <v>4950</v>
      </c>
      <c r="O4568" s="3" t="s">
        <v>4951</v>
      </c>
      <c r="P4568" s="3" t="s">
        <v>1334</v>
      </c>
      <c r="Q4568" s="30" t="str">
        <f t="shared" si="71"/>
        <v>MAX : 12.94
TARGET : 12.64
MIN : 12.34</v>
      </c>
    </row>
    <row r="4569" spans="2:18" ht="41.4" x14ac:dyDescent="0.3">
      <c r="B4569">
        <v>0</v>
      </c>
      <c r="C4569" s="33">
        <v>9118</v>
      </c>
      <c r="D4569" s="2">
        <v>1450</v>
      </c>
      <c r="E4569" s="2" t="s">
        <v>12587</v>
      </c>
      <c r="F4569" s="3" t="s">
        <v>14255</v>
      </c>
      <c r="H4569" s="3" t="s">
        <v>4941</v>
      </c>
      <c r="K4569" s="2">
        <v>30</v>
      </c>
      <c r="L4569" s="2">
        <v>7</v>
      </c>
      <c r="M4569" s="3" t="s">
        <v>4957</v>
      </c>
      <c r="N4569" s="3" t="s">
        <v>4028</v>
      </c>
      <c r="O4569" s="3" t="s">
        <v>2999</v>
      </c>
      <c r="P4569" s="3" t="s">
        <v>4953</v>
      </c>
      <c r="Q4569" s="30" t="str">
        <f t="shared" si="71"/>
        <v>MAX : 6.3
TARGET : 5.8
MIN : 5.3</v>
      </c>
    </row>
    <row r="4570" spans="2:18" ht="41.4" x14ac:dyDescent="0.3">
      <c r="B4570">
        <v>0</v>
      </c>
      <c r="C4570" s="33">
        <v>9118</v>
      </c>
      <c r="D4570" s="2">
        <v>1450</v>
      </c>
      <c r="E4570" s="2" t="s">
        <v>12587</v>
      </c>
      <c r="F4570" s="3" t="s">
        <v>14255</v>
      </c>
      <c r="H4570" s="3" t="s">
        <v>4941</v>
      </c>
      <c r="K4570" s="2">
        <v>30</v>
      </c>
      <c r="L4570" s="2">
        <v>8</v>
      </c>
      <c r="M4570" s="3" t="s">
        <v>4774</v>
      </c>
      <c r="N4570" s="3" t="s">
        <v>3828</v>
      </c>
      <c r="O4570" s="3" t="s">
        <v>3829</v>
      </c>
      <c r="P4570" s="3" t="s">
        <v>3830</v>
      </c>
      <c r="Q4570" s="30" t="str">
        <f t="shared" si="71"/>
        <v>MAX : 38.6
TARGET : 38.1
MIN : 37.6</v>
      </c>
    </row>
    <row r="4571" spans="2:18" ht="41.4" x14ac:dyDescent="0.3">
      <c r="B4571">
        <v>0</v>
      </c>
      <c r="C4571" s="33">
        <v>9118</v>
      </c>
      <c r="D4571" s="2">
        <v>1450</v>
      </c>
      <c r="E4571" s="2" t="s">
        <v>12587</v>
      </c>
      <c r="F4571" s="3" t="s">
        <v>14255</v>
      </c>
      <c r="H4571" s="3" t="s">
        <v>4941</v>
      </c>
      <c r="K4571" s="2">
        <v>30</v>
      </c>
      <c r="L4571" s="2">
        <v>10</v>
      </c>
      <c r="M4571" s="3" t="s">
        <v>3831</v>
      </c>
      <c r="N4571" s="3" t="s">
        <v>13</v>
      </c>
      <c r="O4571" s="3" t="s">
        <v>14</v>
      </c>
      <c r="Q4571" s="30" t="str">
        <f t="shared" si="71"/>
        <v>MAX : 
TARGET : Yes(Pass)
MIN : No(Fail)</v>
      </c>
    </row>
    <row r="4572" spans="2:18" ht="41.4" x14ac:dyDescent="0.3">
      <c r="B4572">
        <v>0</v>
      </c>
      <c r="C4572" s="33">
        <v>9118</v>
      </c>
      <c r="D4572" s="2">
        <v>1450</v>
      </c>
      <c r="E4572" s="2" t="s">
        <v>12587</v>
      </c>
      <c r="F4572" s="3" t="s">
        <v>14255</v>
      </c>
      <c r="H4572" s="3" t="s">
        <v>4941</v>
      </c>
      <c r="K4572" s="2">
        <v>30</v>
      </c>
      <c r="L4572" s="2">
        <v>11</v>
      </c>
      <c r="M4572" s="3" t="s">
        <v>78</v>
      </c>
      <c r="N4572" s="3" t="s">
        <v>13</v>
      </c>
      <c r="O4572" s="3" t="s">
        <v>14</v>
      </c>
      <c r="Q4572" s="30" t="str">
        <f t="shared" si="71"/>
        <v>MAX : 
TARGET : Yes(Pass)
MIN : No(Fail)</v>
      </c>
    </row>
    <row r="4573" spans="2:18" ht="41.4" x14ac:dyDescent="0.3">
      <c r="B4573">
        <v>0</v>
      </c>
      <c r="C4573" s="33">
        <v>9118</v>
      </c>
      <c r="D4573" s="2">
        <v>1450</v>
      </c>
      <c r="E4573" s="2" t="s">
        <v>12587</v>
      </c>
      <c r="F4573" s="3" t="s">
        <v>14255</v>
      </c>
      <c r="H4573" s="3" t="s">
        <v>4941</v>
      </c>
      <c r="K4573" s="2">
        <v>30</v>
      </c>
      <c r="L4573" s="2">
        <v>12</v>
      </c>
      <c r="M4573" s="3" t="s">
        <v>4954</v>
      </c>
      <c r="N4573" s="3" t="s">
        <v>13</v>
      </c>
      <c r="O4573" s="3" t="s">
        <v>14</v>
      </c>
      <c r="Q4573" s="30" t="str">
        <f t="shared" si="71"/>
        <v>MAX : 
TARGET : Yes(Pass)
MIN : No(Fail)</v>
      </c>
    </row>
    <row r="4574" spans="2:18" ht="41.4" x14ac:dyDescent="0.3">
      <c r="B4574">
        <v>1</v>
      </c>
      <c r="C4574" s="33">
        <v>9029</v>
      </c>
      <c r="D4574" s="2">
        <v>1390</v>
      </c>
      <c r="E4574" s="2" t="s">
        <v>12049</v>
      </c>
      <c r="F4574" s="3" t="s">
        <v>14207</v>
      </c>
      <c r="H4574" s="3" t="s">
        <v>648</v>
      </c>
      <c r="K4574" s="2">
        <v>10</v>
      </c>
      <c r="L4574" s="2">
        <v>2</v>
      </c>
      <c r="M4574" s="3" t="s">
        <v>4519</v>
      </c>
      <c r="N4574" s="3" t="s">
        <v>13</v>
      </c>
      <c r="O4574" s="3" t="s">
        <v>14</v>
      </c>
      <c r="Q4574" s="30" t="str">
        <f t="shared" si="71"/>
        <v>MAX : 
TARGET : Yes(Pass)
MIN : No(Fail)</v>
      </c>
      <c r="R4574" s="3" t="s">
        <v>4520</v>
      </c>
    </row>
    <row r="4575" spans="2:18" ht="41.4" x14ac:dyDescent="0.3">
      <c r="B4575">
        <v>1</v>
      </c>
      <c r="C4575" s="33">
        <v>9030</v>
      </c>
      <c r="D4575" s="2">
        <v>1391</v>
      </c>
      <c r="E4575" s="2" t="s">
        <v>12056</v>
      </c>
      <c r="F4575" s="3" t="s">
        <v>14206</v>
      </c>
      <c r="H4575" s="3" t="s">
        <v>108</v>
      </c>
      <c r="I4575" s="3" t="s">
        <v>487</v>
      </c>
      <c r="K4575" s="2">
        <v>20</v>
      </c>
      <c r="L4575" s="2">
        <v>2</v>
      </c>
      <c r="M4575" s="3" t="s">
        <v>198</v>
      </c>
      <c r="N4575" s="3" t="s">
        <v>405</v>
      </c>
      <c r="O4575" s="3" t="s">
        <v>406</v>
      </c>
      <c r="P4575" s="3" t="s">
        <v>407</v>
      </c>
      <c r="Q4575" s="30" t="str">
        <f t="shared" si="71"/>
        <v>MAX : 2.06
TARGET : 2.00
MIN : 1.94</v>
      </c>
    </row>
    <row r="4576" spans="2:18" ht="41.4" x14ac:dyDescent="0.3">
      <c r="B4576">
        <v>0</v>
      </c>
      <c r="C4576" s="33">
        <v>9119</v>
      </c>
      <c r="D4576" s="2">
        <v>1451</v>
      </c>
      <c r="E4576" s="2" t="s">
        <v>12597</v>
      </c>
      <c r="F4576" s="3" t="s">
        <v>14255</v>
      </c>
      <c r="H4576" s="3" t="s">
        <v>4941</v>
      </c>
      <c r="K4576" s="2">
        <v>30</v>
      </c>
      <c r="L4576" s="2">
        <v>14</v>
      </c>
      <c r="M4576" s="3" t="s">
        <v>4954</v>
      </c>
      <c r="N4576" s="3" t="s">
        <v>13</v>
      </c>
      <c r="O4576" s="3" t="s">
        <v>14</v>
      </c>
      <c r="Q4576" s="30" t="str">
        <f t="shared" si="71"/>
        <v>MAX : 
TARGET : Yes(Pass)
MIN : No(Fail)</v>
      </c>
    </row>
    <row r="4577" spans="2:17" ht="41.4" x14ac:dyDescent="0.3">
      <c r="B4577">
        <v>1</v>
      </c>
      <c r="C4577" s="33">
        <v>9030</v>
      </c>
      <c r="D4577" s="2">
        <v>1391</v>
      </c>
      <c r="E4577" s="2" t="s">
        <v>12056</v>
      </c>
      <c r="F4577" s="3" t="s">
        <v>14206</v>
      </c>
      <c r="H4577" s="3" t="s">
        <v>108</v>
      </c>
      <c r="I4577" s="3" t="s">
        <v>487</v>
      </c>
      <c r="K4577" s="2">
        <v>10</v>
      </c>
      <c r="L4577" s="2">
        <v>2</v>
      </c>
      <c r="M4577" s="3" t="s">
        <v>2269</v>
      </c>
      <c r="N4577" s="3" t="s">
        <v>13</v>
      </c>
      <c r="O4577" s="3" t="s">
        <v>14</v>
      </c>
      <c r="Q4577" s="30" t="str">
        <f t="shared" si="71"/>
        <v>MAX : 
TARGET : Yes(Pass)
MIN : No(Fail)</v>
      </c>
    </row>
    <row r="4578" spans="2:17" ht="41.4" x14ac:dyDescent="0.3">
      <c r="B4578">
        <v>1</v>
      </c>
      <c r="C4578" s="33">
        <v>9030</v>
      </c>
      <c r="D4578" s="2">
        <v>1391</v>
      </c>
      <c r="E4578" s="2" t="s">
        <v>12056</v>
      </c>
      <c r="F4578" s="3" t="s">
        <v>14206</v>
      </c>
      <c r="H4578" s="3" t="s">
        <v>108</v>
      </c>
      <c r="I4578" s="3" t="s">
        <v>487</v>
      </c>
      <c r="K4578" s="2">
        <v>20</v>
      </c>
      <c r="L4578" s="2">
        <v>1</v>
      </c>
      <c r="M4578" s="3" t="s">
        <v>194</v>
      </c>
      <c r="N4578" s="3" t="s">
        <v>485</v>
      </c>
      <c r="O4578" s="3" t="s">
        <v>272</v>
      </c>
      <c r="P4578" s="3" t="s">
        <v>507</v>
      </c>
      <c r="Q4578" s="30" t="str">
        <f t="shared" si="71"/>
        <v>MAX : 1.06
TARGET : 1.00
MIN : 0.94</v>
      </c>
    </row>
    <row r="4579" spans="2:17" ht="41.4" x14ac:dyDescent="0.3">
      <c r="B4579">
        <v>0</v>
      </c>
      <c r="C4579" s="33">
        <v>9120</v>
      </c>
      <c r="D4579" s="2">
        <v>1452</v>
      </c>
      <c r="E4579" s="2" t="s">
        <v>12597</v>
      </c>
      <c r="F4579" s="3" t="s">
        <v>14255</v>
      </c>
      <c r="H4579" s="3" t="s">
        <v>4941</v>
      </c>
      <c r="K4579" s="2">
        <v>30</v>
      </c>
      <c r="L4579" s="2">
        <v>15</v>
      </c>
      <c r="M4579" s="3" t="s">
        <v>4954</v>
      </c>
      <c r="N4579" s="3" t="s">
        <v>13</v>
      </c>
      <c r="O4579" s="3" t="s">
        <v>14</v>
      </c>
      <c r="Q4579" s="30" t="str">
        <f t="shared" si="71"/>
        <v>MAX : 
TARGET : Yes(Pass)
MIN : No(Fail)</v>
      </c>
    </row>
    <row r="4580" spans="2:17" ht="41.4" x14ac:dyDescent="0.3">
      <c r="B4580">
        <v>1</v>
      </c>
      <c r="C4580" s="33">
        <v>9031</v>
      </c>
      <c r="D4580" s="2">
        <v>1392</v>
      </c>
      <c r="E4580" s="2" t="s">
        <v>12062</v>
      </c>
      <c r="F4580" s="3" t="s">
        <v>14206</v>
      </c>
      <c r="H4580" s="3" t="s">
        <v>2116</v>
      </c>
      <c r="K4580" s="2">
        <v>20</v>
      </c>
      <c r="L4580" s="2">
        <v>2</v>
      </c>
      <c r="M4580" s="3" t="s">
        <v>467</v>
      </c>
      <c r="N4580" s="3" t="s">
        <v>1334</v>
      </c>
      <c r="O4580" s="3" t="s">
        <v>196</v>
      </c>
      <c r="P4580" s="3" t="s">
        <v>1335</v>
      </c>
      <c r="Q4580" s="30" t="str">
        <f t="shared" si="71"/>
        <v>MAX : 13.06
TARGET : 13.00
MIN : 12.94</v>
      </c>
    </row>
    <row r="4581" spans="2:17" ht="41.4" x14ac:dyDescent="0.3">
      <c r="B4581">
        <v>1</v>
      </c>
      <c r="C4581" s="33">
        <v>9031</v>
      </c>
      <c r="D4581" s="2">
        <v>1392</v>
      </c>
      <c r="E4581" s="2" t="s">
        <v>12062</v>
      </c>
      <c r="F4581" s="3" t="s">
        <v>14206</v>
      </c>
      <c r="H4581" s="3" t="s">
        <v>2116</v>
      </c>
      <c r="K4581" s="2">
        <v>20</v>
      </c>
      <c r="L4581" s="2">
        <v>1</v>
      </c>
      <c r="M4581" s="3" t="s">
        <v>109</v>
      </c>
      <c r="N4581" s="3" t="s">
        <v>2133</v>
      </c>
      <c r="O4581" s="3" t="s">
        <v>61</v>
      </c>
      <c r="P4581" s="3" t="s">
        <v>2134</v>
      </c>
      <c r="Q4581" s="30" t="str">
        <f t="shared" si="71"/>
        <v>MAX : 20.06
TARGET : 20.00
MIN : 19.94</v>
      </c>
    </row>
    <row r="4582" spans="2:17" ht="41.4" x14ac:dyDescent="0.3">
      <c r="B4582">
        <v>0</v>
      </c>
      <c r="C4582" s="33">
        <v>9121</v>
      </c>
      <c r="D4582" s="2">
        <v>1453</v>
      </c>
      <c r="E4582" s="2" t="s">
        <v>12603</v>
      </c>
      <c r="F4582" s="3" t="s">
        <v>14255</v>
      </c>
      <c r="H4582" s="3" t="s">
        <v>4941</v>
      </c>
      <c r="K4582" s="2">
        <v>30</v>
      </c>
      <c r="L4582" s="2">
        <v>4</v>
      </c>
      <c r="M4582" s="3" t="s">
        <v>198</v>
      </c>
      <c r="N4582" s="3" t="s">
        <v>4962</v>
      </c>
      <c r="O4582" s="3" t="s">
        <v>4963</v>
      </c>
      <c r="P4582" s="3" t="s">
        <v>4964</v>
      </c>
      <c r="Q4582" s="30" t="str">
        <f t="shared" si="71"/>
        <v>MAX : 27.88
TARGET : 27.50
MIN : 27.12</v>
      </c>
    </row>
    <row r="4583" spans="2:17" ht="41.4" x14ac:dyDescent="0.3">
      <c r="B4583">
        <v>0</v>
      </c>
      <c r="C4583" s="33">
        <v>9121</v>
      </c>
      <c r="D4583" s="2">
        <v>1453</v>
      </c>
      <c r="E4583" s="2" t="s">
        <v>12603</v>
      </c>
      <c r="F4583" s="3" t="s">
        <v>14255</v>
      </c>
      <c r="H4583" s="3" t="s">
        <v>4941</v>
      </c>
      <c r="K4583" s="2">
        <v>30</v>
      </c>
      <c r="L4583" s="2">
        <v>5</v>
      </c>
      <c r="M4583" s="3" t="s">
        <v>4965</v>
      </c>
      <c r="N4583" s="3" t="s">
        <v>4966</v>
      </c>
      <c r="O4583" s="3" t="s">
        <v>4967</v>
      </c>
      <c r="P4583" s="3" t="s">
        <v>4968</v>
      </c>
      <c r="Q4583" s="30" t="str">
        <f t="shared" si="71"/>
        <v>MAX : 8.79
TARGET : 8.60
MIN : 8.41</v>
      </c>
    </row>
    <row r="4584" spans="2:17" ht="41.4" x14ac:dyDescent="0.3">
      <c r="B4584">
        <v>0</v>
      </c>
      <c r="C4584" s="33">
        <v>9121</v>
      </c>
      <c r="D4584" s="2">
        <v>1453</v>
      </c>
      <c r="E4584" s="2" t="s">
        <v>12603</v>
      </c>
      <c r="F4584" s="3" t="s">
        <v>14255</v>
      </c>
      <c r="H4584" s="3" t="s">
        <v>4941</v>
      </c>
      <c r="K4584" s="2">
        <v>30</v>
      </c>
      <c r="L4584" s="2">
        <v>7</v>
      </c>
      <c r="M4584" s="3" t="s">
        <v>4969</v>
      </c>
      <c r="N4584" s="3" t="s">
        <v>4027</v>
      </c>
      <c r="O4584" s="3" t="s">
        <v>4028</v>
      </c>
      <c r="P4584" s="3" t="s">
        <v>2999</v>
      </c>
      <c r="Q4584" s="30" t="str">
        <f t="shared" si="71"/>
        <v>MAX : 5.8
TARGET : 5.3
MIN : 4.8</v>
      </c>
    </row>
    <row r="4585" spans="2:17" ht="41.4" x14ac:dyDescent="0.3">
      <c r="B4585">
        <v>0</v>
      </c>
      <c r="C4585" s="33">
        <v>9121</v>
      </c>
      <c r="D4585" s="2">
        <v>1453</v>
      </c>
      <c r="E4585" s="2" t="s">
        <v>12603</v>
      </c>
      <c r="F4585" s="3" t="s">
        <v>14255</v>
      </c>
      <c r="H4585" s="3" t="s">
        <v>4941</v>
      </c>
      <c r="K4585" s="2">
        <v>30</v>
      </c>
      <c r="L4585" s="2">
        <v>9</v>
      </c>
      <c r="M4585" s="3" t="s">
        <v>3827</v>
      </c>
      <c r="N4585" s="3" t="s">
        <v>3828</v>
      </c>
      <c r="O4585" s="3" t="s">
        <v>3829</v>
      </c>
      <c r="P4585" s="3" t="s">
        <v>3830</v>
      </c>
      <c r="Q4585" s="30" t="str">
        <f t="shared" si="71"/>
        <v>MAX : 38.6
TARGET : 38.1
MIN : 37.6</v>
      </c>
    </row>
    <row r="4586" spans="2:17" ht="41.4" x14ac:dyDescent="0.3">
      <c r="B4586">
        <v>0</v>
      </c>
      <c r="C4586" s="33">
        <v>9121</v>
      </c>
      <c r="D4586" s="2">
        <v>1453</v>
      </c>
      <c r="E4586" s="2" t="s">
        <v>12603</v>
      </c>
      <c r="F4586" s="3" t="s">
        <v>14255</v>
      </c>
      <c r="H4586" s="3" t="s">
        <v>4941</v>
      </c>
      <c r="K4586" s="2">
        <v>30</v>
      </c>
      <c r="L4586" s="2">
        <v>12</v>
      </c>
      <c r="M4586" s="3" t="s">
        <v>3831</v>
      </c>
      <c r="N4586" s="3" t="s">
        <v>13</v>
      </c>
      <c r="O4586" s="3" t="s">
        <v>14</v>
      </c>
      <c r="Q4586" s="30" t="str">
        <f t="shared" si="71"/>
        <v>MAX : 
TARGET : Yes(Pass)
MIN : No(Fail)</v>
      </c>
    </row>
    <row r="4587" spans="2:17" ht="41.4" x14ac:dyDescent="0.3">
      <c r="B4587">
        <v>0</v>
      </c>
      <c r="C4587" s="33">
        <v>9121</v>
      </c>
      <c r="D4587" s="2">
        <v>1453</v>
      </c>
      <c r="E4587" s="2" t="s">
        <v>12603</v>
      </c>
      <c r="F4587" s="3" t="s">
        <v>14255</v>
      </c>
      <c r="H4587" s="3" t="s">
        <v>4941</v>
      </c>
      <c r="K4587" s="2">
        <v>30</v>
      </c>
      <c r="L4587" s="2">
        <v>13</v>
      </c>
      <c r="M4587" s="3" t="s">
        <v>78</v>
      </c>
      <c r="N4587" s="3" t="s">
        <v>13</v>
      </c>
      <c r="O4587" s="3" t="s">
        <v>14</v>
      </c>
      <c r="Q4587" s="30" t="str">
        <f t="shared" si="71"/>
        <v>MAX : 
TARGET : Yes(Pass)
MIN : No(Fail)</v>
      </c>
    </row>
    <row r="4588" spans="2:17" ht="41.4" x14ac:dyDescent="0.3">
      <c r="B4588">
        <v>0</v>
      </c>
      <c r="C4588" s="33">
        <v>9121</v>
      </c>
      <c r="D4588" s="2">
        <v>1453</v>
      </c>
      <c r="E4588" s="2" t="s">
        <v>12603</v>
      </c>
      <c r="F4588" s="3" t="s">
        <v>14255</v>
      </c>
      <c r="H4588" s="3" t="s">
        <v>4941</v>
      </c>
      <c r="K4588" s="2">
        <v>30</v>
      </c>
      <c r="L4588" s="2">
        <v>14</v>
      </c>
      <c r="M4588" s="3" t="s">
        <v>4954</v>
      </c>
      <c r="N4588" s="3" t="s">
        <v>13</v>
      </c>
      <c r="O4588" s="3" t="s">
        <v>14</v>
      </c>
      <c r="Q4588" s="30" t="str">
        <f t="shared" si="71"/>
        <v>MAX : 
TARGET : Yes(Pass)
MIN : No(Fail)</v>
      </c>
    </row>
    <row r="4589" spans="2:17" ht="41.4" x14ac:dyDescent="0.3">
      <c r="B4589">
        <v>0</v>
      </c>
      <c r="C4589" s="33">
        <v>9121</v>
      </c>
      <c r="D4589" s="2">
        <v>1453</v>
      </c>
      <c r="E4589" s="2" t="s">
        <v>12603</v>
      </c>
      <c r="F4589" s="3" t="s">
        <v>14255</v>
      </c>
      <c r="H4589" s="3" t="s">
        <v>4941</v>
      </c>
      <c r="K4589" s="2">
        <v>30</v>
      </c>
      <c r="L4589" s="2">
        <v>6</v>
      </c>
      <c r="M4589" s="3" t="s">
        <v>4970</v>
      </c>
      <c r="N4589" s="3" t="s">
        <v>4971</v>
      </c>
      <c r="O4589" s="3" t="s">
        <v>4217</v>
      </c>
      <c r="P4589" s="3" t="s">
        <v>4972</v>
      </c>
      <c r="Q4589" s="30" t="str">
        <f t="shared" si="71"/>
        <v>MAX : 25.19
TARGET : 25.00
MIN : 24.81</v>
      </c>
    </row>
    <row r="4590" spans="2:17" ht="41.4" x14ac:dyDescent="0.3">
      <c r="B4590">
        <v>1</v>
      </c>
      <c r="C4590" s="33">
        <v>9032</v>
      </c>
      <c r="D4590" s="2">
        <v>1393</v>
      </c>
      <c r="E4590" s="2" t="s">
        <v>12069</v>
      </c>
      <c r="F4590" s="3" t="s">
        <v>14206</v>
      </c>
      <c r="H4590" s="3" t="s">
        <v>2116</v>
      </c>
      <c r="K4590" s="2">
        <v>20</v>
      </c>
      <c r="L4590" s="2">
        <v>2</v>
      </c>
      <c r="M4590" s="3" t="s">
        <v>467</v>
      </c>
      <c r="N4590" s="3" t="s">
        <v>1334</v>
      </c>
      <c r="O4590" s="3" t="s">
        <v>196</v>
      </c>
      <c r="P4590" s="3" t="s">
        <v>1335</v>
      </c>
      <c r="Q4590" s="30" t="str">
        <f t="shared" si="71"/>
        <v>MAX : 13.06
TARGET : 13.00
MIN : 12.94</v>
      </c>
    </row>
    <row r="4591" spans="2:17" ht="41.4" x14ac:dyDescent="0.3">
      <c r="B4591">
        <v>1</v>
      </c>
      <c r="C4591" s="33">
        <v>9032</v>
      </c>
      <c r="D4591" s="2">
        <v>1393</v>
      </c>
      <c r="E4591" s="2" t="s">
        <v>12069</v>
      </c>
      <c r="F4591" s="3" t="s">
        <v>14206</v>
      </c>
      <c r="H4591" s="3" t="s">
        <v>2116</v>
      </c>
      <c r="K4591" s="2">
        <v>20</v>
      </c>
      <c r="L4591" s="2">
        <v>1</v>
      </c>
      <c r="M4591" s="3" t="s">
        <v>109</v>
      </c>
      <c r="N4591" s="3" t="s">
        <v>2133</v>
      </c>
      <c r="O4591" s="3" t="s">
        <v>61</v>
      </c>
      <c r="P4591" s="3" t="s">
        <v>2134</v>
      </c>
      <c r="Q4591" s="30" t="str">
        <f t="shared" si="71"/>
        <v>MAX : 20.06
TARGET : 20.00
MIN : 19.94</v>
      </c>
    </row>
    <row r="4592" spans="2:17" ht="41.4" x14ac:dyDescent="0.3">
      <c r="B4592">
        <v>0</v>
      </c>
      <c r="C4592" s="33">
        <v>9122</v>
      </c>
      <c r="D4592" s="2">
        <v>1454</v>
      </c>
      <c r="E4592" s="2" t="s">
        <v>12603</v>
      </c>
      <c r="F4592" s="3" t="s">
        <v>14255</v>
      </c>
      <c r="H4592" s="3" t="s">
        <v>4941</v>
      </c>
      <c r="K4592" s="2">
        <v>30</v>
      </c>
      <c r="L4592" s="2">
        <v>4</v>
      </c>
      <c r="M4592" s="3" t="s">
        <v>198</v>
      </c>
      <c r="N4592" s="3" t="s">
        <v>4962</v>
      </c>
      <c r="O4592" s="3" t="s">
        <v>4963</v>
      </c>
      <c r="P4592" s="3" t="s">
        <v>4964</v>
      </c>
      <c r="Q4592" s="30" t="str">
        <f t="shared" si="71"/>
        <v>MAX : 27.88
TARGET : 27.50
MIN : 27.12</v>
      </c>
    </row>
    <row r="4593" spans="2:17" ht="41.4" x14ac:dyDescent="0.3">
      <c r="B4593">
        <v>0</v>
      </c>
      <c r="C4593" s="33">
        <v>9122</v>
      </c>
      <c r="D4593" s="2">
        <v>1454</v>
      </c>
      <c r="E4593" s="2" t="s">
        <v>12603</v>
      </c>
      <c r="F4593" s="3" t="s">
        <v>14255</v>
      </c>
      <c r="H4593" s="3" t="s">
        <v>4941</v>
      </c>
      <c r="K4593" s="2">
        <v>30</v>
      </c>
      <c r="L4593" s="2">
        <v>5</v>
      </c>
      <c r="M4593" s="3" t="s">
        <v>4965</v>
      </c>
      <c r="N4593" s="3" t="s">
        <v>4966</v>
      </c>
      <c r="O4593" s="3" t="s">
        <v>4967</v>
      </c>
      <c r="P4593" s="3" t="s">
        <v>4968</v>
      </c>
      <c r="Q4593" s="30" t="str">
        <f t="shared" si="71"/>
        <v>MAX : 8.79
TARGET : 8.60
MIN : 8.41</v>
      </c>
    </row>
    <row r="4594" spans="2:17" ht="41.4" x14ac:dyDescent="0.3">
      <c r="B4594">
        <v>0</v>
      </c>
      <c r="C4594" s="33">
        <v>9122</v>
      </c>
      <c r="D4594" s="2">
        <v>1454</v>
      </c>
      <c r="E4594" s="2" t="s">
        <v>12603</v>
      </c>
      <c r="F4594" s="3" t="s">
        <v>14255</v>
      </c>
      <c r="H4594" s="3" t="s">
        <v>4941</v>
      </c>
      <c r="K4594" s="2">
        <v>30</v>
      </c>
      <c r="L4594" s="2">
        <v>7</v>
      </c>
      <c r="M4594" s="3" t="s">
        <v>4969</v>
      </c>
      <c r="N4594" s="3" t="s">
        <v>4027</v>
      </c>
      <c r="O4594" s="3" t="s">
        <v>4028</v>
      </c>
      <c r="P4594" s="3" t="s">
        <v>2999</v>
      </c>
      <c r="Q4594" s="30" t="str">
        <f t="shared" si="71"/>
        <v>MAX : 5.8
TARGET : 5.3
MIN : 4.8</v>
      </c>
    </row>
    <row r="4595" spans="2:17" ht="41.4" x14ac:dyDescent="0.3">
      <c r="B4595">
        <v>0</v>
      </c>
      <c r="C4595" s="33">
        <v>9122</v>
      </c>
      <c r="D4595" s="2">
        <v>1454</v>
      </c>
      <c r="E4595" s="2" t="s">
        <v>12603</v>
      </c>
      <c r="F4595" s="3" t="s">
        <v>14255</v>
      </c>
      <c r="H4595" s="3" t="s">
        <v>4941</v>
      </c>
      <c r="K4595" s="2">
        <v>30</v>
      </c>
      <c r="L4595" s="2">
        <v>9</v>
      </c>
      <c r="M4595" s="3" t="s">
        <v>3827</v>
      </c>
      <c r="N4595" s="3" t="s">
        <v>3828</v>
      </c>
      <c r="O4595" s="3" t="s">
        <v>3829</v>
      </c>
      <c r="P4595" s="3" t="s">
        <v>3830</v>
      </c>
      <c r="Q4595" s="30" t="str">
        <f t="shared" si="71"/>
        <v>MAX : 38.6
TARGET : 38.1
MIN : 37.6</v>
      </c>
    </row>
    <row r="4596" spans="2:17" ht="41.4" x14ac:dyDescent="0.3">
      <c r="B4596">
        <v>0</v>
      </c>
      <c r="C4596" s="33">
        <v>9122</v>
      </c>
      <c r="D4596" s="2">
        <v>1454</v>
      </c>
      <c r="E4596" s="2" t="s">
        <v>12603</v>
      </c>
      <c r="F4596" s="3" t="s">
        <v>14255</v>
      </c>
      <c r="H4596" s="3" t="s">
        <v>4941</v>
      </c>
      <c r="K4596" s="2">
        <v>30</v>
      </c>
      <c r="L4596" s="2">
        <v>12</v>
      </c>
      <c r="M4596" s="3" t="s">
        <v>3831</v>
      </c>
      <c r="N4596" s="3" t="s">
        <v>13</v>
      </c>
      <c r="O4596" s="3" t="s">
        <v>14</v>
      </c>
      <c r="Q4596" s="30" t="str">
        <f t="shared" si="71"/>
        <v>MAX : 
TARGET : Yes(Pass)
MIN : No(Fail)</v>
      </c>
    </row>
    <row r="4597" spans="2:17" ht="41.4" x14ac:dyDescent="0.3">
      <c r="B4597">
        <v>0</v>
      </c>
      <c r="C4597" s="33">
        <v>9122</v>
      </c>
      <c r="D4597" s="2">
        <v>1454</v>
      </c>
      <c r="E4597" s="2" t="s">
        <v>12603</v>
      </c>
      <c r="F4597" s="3" t="s">
        <v>14255</v>
      </c>
      <c r="H4597" s="3" t="s">
        <v>4941</v>
      </c>
      <c r="K4597" s="2">
        <v>30</v>
      </c>
      <c r="L4597" s="2">
        <v>13</v>
      </c>
      <c r="M4597" s="3" t="s">
        <v>78</v>
      </c>
      <c r="N4597" s="3" t="s">
        <v>13</v>
      </c>
      <c r="O4597" s="3" t="s">
        <v>14</v>
      </c>
      <c r="Q4597" s="30" t="str">
        <f t="shared" si="71"/>
        <v>MAX : 
TARGET : Yes(Pass)
MIN : No(Fail)</v>
      </c>
    </row>
    <row r="4598" spans="2:17" ht="41.4" x14ac:dyDescent="0.3">
      <c r="B4598">
        <v>0</v>
      </c>
      <c r="C4598" s="33">
        <v>9122</v>
      </c>
      <c r="D4598" s="2">
        <v>1454</v>
      </c>
      <c r="E4598" s="2" t="s">
        <v>12603</v>
      </c>
      <c r="F4598" s="3" t="s">
        <v>14255</v>
      </c>
      <c r="H4598" s="3" t="s">
        <v>4941</v>
      </c>
      <c r="K4598" s="2">
        <v>30</v>
      </c>
      <c r="L4598" s="2">
        <v>14</v>
      </c>
      <c r="M4598" s="3" t="s">
        <v>4954</v>
      </c>
      <c r="N4598" s="3" t="s">
        <v>13</v>
      </c>
      <c r="O4598" s="3" t="s">
        <v>14</v>
      </c>
      <c r="Q4598" s="30" t="str">
        <f t="shared" si="71"/>
        <v>MAX : 
TARGET : Yes(Pass)
MIN : No(Fail)</v>
      </c>
    </row>
    <row r="4599" spans="2:17" ht="41.4" x14ac:dyDescent="0.3">
      <c r="B4599">
        <v>0</v>
      </c>
      <c r="C4599" s="33">
        <v>9122</v>
      </c>
      <c r="D4599" s="2">
        <v>1454</v>
      </c>
      <c r="E4599" s="2" t="s">
        <v>12603</v>
      </c>
      <c r="F4599" s="3" t="s">
        <v>14255</v>
      </c>
      <c r="H4599" s="3" t="s">
        <v>4941</v>
      </c>
      <c r="K4599" s="2">
        <v>30</v>
      </c>
      <c r="L4599" s="2">
        <v>6</v>
      </c>
      <c r="M4599" s="3" t="s">
        <v>4970</v>
      </c>
      <c r="N4599" s="3" t="s">
        <v>4971</v>
      </c>
      <c r="O4599" s="3" t="s">
        <v>4217</v>
      </c>
      <c r="P4599" s="3" t="s">
        <v>4972</v>
      </c>
      <c r="Q4599" s="30" t="str">
        <f t="shared" si="71"/>
        <v>MAX : 25.19
TARGET : 25.00
MIN : 24.81</v>
      </c>
    </row>
    <row r="4600" spans="2:17" ht="41.4" x14ac:dyDescent="0.3">
      <c r="B4600">
        <v>1</v>
      </c>
      <c r="C4600" s="33">
        <v>9033</v>
      </c>
      <c r="D4600" s="2">
        <v>1394</v>
      </c>
      <c r="E4600" s="2" t="s">
        <v>12073</v>
      </c>
      <c r="F4600" s="3" t="s">
        <v>14206</v>
      </c>
      <c r="H4600" s="3" t="s">
        <v>2116</v>
      </c>
      <c r="K4600" s="2">
        <v>20</v>
      </c>
      <c r="L4600" s="2">
        <v>2</v>
      </c>
      <c r="M4600" s="3" t="s">
        <v>467</v>
      </c>
      <c r="N4600" s="3" t="s">
        <v>1334</v>
      </c>
      <c r="O4600" s="3" t="s">
        <v>196</v>
      </c>
      <c r="P4600" s="3" t="s">
        <v>1335</v>
      </c>
      <c r="Q4600" s="30" t="str">
        <f t="shared" si="71"/>
        <v>MAX : 13.06
TARGET : 13.00
MIN : 12.94</v>
      </c>
    </row>
    <row r="4601" spans="2:17" ht="41.4" x14ac:dyDescent="0.3">
      <c r="B4601">
        <v>1</v>
      </c>
      <c r="C4601" s="33">
        <v>9033</v>
      </c>
      <c r="D4601" s="2">
        <v>1394</v>
      </c>
      <c r="E4601" s="2" t="s">
        <v>12073</v>
      </c>
      <c r="F4601" s="3" t="s">
        <v>14206</v>
      </c>
      <c r="H4601" s="3" t="s">
        <v>2116</v>
      </c>
      <c r="K4601" s="2">
        <v>20</v>
      </c>
      <c r="L4601" s="2">
        <v>1</v>
      </c>
      <c r="M4601" s="3" t="s">
        <v>109</v>
      </c>
      <c r="N4601" s="3" t="s">
        <v>2133</v>
      </c>
      <c r="O4601" s="3" t="s">
        <v>61</v>
      </c>
      <c r="P4601" s="3" t="s">
        <v>2134</v>
      </c>
      <c r="Q4601" s="30" t="str">
        <f t="shared" si="71"/>
        <v>MAX : 20.06
TARGET : 20.00
MIN : 19.94</v>
      </c>
    </row>
    <row r="4602" spans="2:17" ht="41.4" x14ac:dyDescent="0.3">
      <c r="B4602">
        <v>1</v>
      </c>
      <c r="C4602" s="33">
        <v>9034</v>
      </c>
      <c r="D4602" s="2">
        <v>1395</v>
      </c>
      <c r="E4602" s="2" t="s">
        <v>12078</v>
      </c>
      <c r="F4602" s="3" t="s">
        <v>14206</v>
      </c>
      <c r="H4602" s="3" t="s">
        <v>4548</v>
      </c>
      <c r="K4602" s="2">
        <v>10</v>
      </c>
      <c r="L4602" s="2">
        <v>2</v>
      </c>
      <c r="M4602" s="3" t="s">
        <v>3069</v>
      </c>
      <c r="N4602" s="3" t="s">
        <v>1531</v>
      </c>
      <c r="O4602" s="3" t="s">
        <v>1701</v>
      </c>
      <c r="P4602" s="3" t="s">
        <v>1703</v>
      </c>
      <c r="Q4602" s="30" t="str">
        <f t="shared" si="71"/>
        <v>MAX : 0.60
TARGET : 0.58
MIN : 0.56</v>
      </c>
    </row>
    <row r="4603" spans="2:17" ht="41.4" x14ac:dyDescent="0.3">
      <c r="B4603">
        <v>0</v>
      </c>
      <c r="C4603" s="33">
        <v>9128</v>
      </c>
      <c r="D4603" s="2">
        <v>1460</v>
      </c>
      <c r="E4603" s="2" t="s">
        <v>12642</v>
      </c>
      <c r="F4603" s="3" t="s">
        <v>14206</v>
      </c>
      <c r="H4603" s="3" t="s">
        <v>4974</v>
      </c>
      <c r="K4603" s="2">
        <v>10</v>
      </c>
      <c r="L4603" s="2">
        <v>3</v>
      </c>
      <c r="M4603" s="3" t="s">
        <v>78</v>
      </c>
      <c r="N4603" s="3" t="s">
        <v>13</v>
      </c>
      <c r="O4603" s="3" t="s">
        <v>14</v>
      </c>
      <c r="Q4603" s="30" t="str">
        <f t="shared" si="71"/>
        <v>MAX : 
TARGET : Yes(Pass)
MIN : No(Fail)</v>
      </c>
    </row>
    <row r="4604" spans="2:17" ht="41.4" x14ac:dyDescent="0.3">
      <c r="B4604">
        <v>1</v>
      </c>
      <c r="C4604" s="33">
        <v>9034</v>
      </c>
      <c r="D4604" s="2">
        <v>1395</v>
      </c>
      <c r="E4604" s="2" t="s">
        <v>12078</v>
      </c>
      <c r="F4604" s="3" t="s">
        <v>14206</v>
      </c>
      <c r="H4604" s="3" t="s">
        <v>4548</v>
      </c>
      <c r="K4604" s="2">
        <v>10</v>
      </c>
      <c r="L4604" s="2">
        <v>1</v>
      </c>
      <c r="M4604" s="3" t="s">
        <v>3068</v>
      </c>
      <c r="N4604" s="3" t="s">
        <v>4549</v>
      </c>
      <c r="O4604" s="3" t="s">
        <v>1744</v>
      </c>
      <c r="P4604" s="3" t="s">
        <v>1409</v>
      </c>
      <c r="Q4604" s="30" t="str">
        <f t="shared" si="71"/>
        <v>MAX : 0.710
TARGET : 0.700
MIN : 0.690</v>
      </c>
    </row>
    <row r="4605" spans="2:17" ht="41.4" x14ac:dyDescent="0.3">
      <c r="B4605">
        <v>1</v>
      </c>
      <c r="C4605" s="33">
        <v>9035</v>
      </c>
      <c r="D4605" s="2">
        <v>1396</v>
      </c>
      <c r="E4605" s="2" t="s">
        <v>12084</v>
      </c>
      <c r="F4605" s="3" t="s">
        <v>14249</v>
      </c>
      <c r="H4605" s="3" t="s">
        <v>4551</v>
      </c>
      <c r="K4605" s="2">
        <v>30</v>
      </c>
      <c r="L4605" s="2">
        <v>2</v>
      </c>
      <c r="M4605" s="3" t="s">
        <v>382</v>
      </c>
      <c r="N4605" s="3" t="s">
        <v>4475</v>
      </c>
      <c r="O4605" s="3" t="s">
        <v>1211</v>
      </c>
      <c r="P4605" s="3" t="s">
        <v>4476</v>
      </c>
      <c r="Q4605" s="30" t="str">
        <f t="shared" si="71"/>
        <v>MAX : 6.563
TARGET : 6.50
MIN : 6.437</v>
      </c>
    </row>
    <row r="4606" spans="2:17" ht="41.4" x14ac:dyDescent="0.3">
      <c r="B4606">
        <v>0</v>
      </c>
      <c r="C4606" s="33">
        <v>9129</v>
      </c>
      <c r="D4606" s="2">
        <v>1461</v>
      </c>
      <c r="E4606" s="2" t="s">
        <v>12649</v>
      </c>
      <c r="F4606" s="3" t="s">
        <v>14206</v>
      </c>
      <c r="H4606" s="3" t="s">
        <v>2150</v>
      </c>
      <c r="K4606" s="2">
        <v>10</v>
      </c>
      <c r="L4606" s="2">
        <v>3</v>
      </c>
      <c r="M4606" s="3" t="s">
        <v>4981</v>
      </c>
      <c r="N4606" s="3" t="s">
        <v>430</v>
      </c>
      <c r="O4606" s="3" t="s">
        <v>4982</v>
      </c>
      <c r="P4606" s="3" t="s">
        <v>687</v>
      </c>
      <c r="Q4606" s="30" t="str">
        <f t="shared" si="71"/>
        <v>MAX : 1.145
TARGET : 1.140
MIN : 1.135</v>
      </c>
    </row>
    <row r="4607" spans="2:17" ht="41.4" x14ac:dyDescent="0.3">
      <c r="B4607">
        <v>0</v>
      </c>
      <c r="C4607" s="33">
        <v>9129</v>
      </c>
      <c r="D4607" s="2">
        <v>1461</v>
      </c>
      <c r="E4607" s="2" t="s">
        <v>12649</v>
      </c>
      <c r="F4607" s="3" t="s">
        <v>14206</v>
      </c>
      <c r="H4607" s="3" t="s">
        <v>2150</v>
      </c>
      <c r="K4607" s="2">
        <v>10</v>
      </c>
      <c r="L4607" s="2">
        <v>4</v>
      </c>
      <c r="M4607" s="3" t="s">
        <v>198</v>
      </c>
      <c r="N4607" s="3" t="s">
        <v>707</v>
      </c>
      <c r="O4607" s="3" t="s">
        <v>708</v>
      </c>
      <c r="P4607" s="3" t="s">
        <v>709</v>
      </c>
      <c r="Q4607" s="30" t="str">
        <f t="shared" si="71"/>
        <v>MAX : 1.724
TARGET : 1.719
MIN : 1.714</v>
      </c>
    </row>
    <row r="4608" spans="2:17" ht="41.4" x14ac:dyDescent="0.3">
      <c r="B4608">
        <v>0</v>
      </c>
      <c r="C4608" s="33">
        <v>9129</v>
      </c>
      <c r="D4608" s="2">
        <v>1461</v>
      </c>
      <c r="E4608" s="2" t="s">
        <v>12649</v>
      </c>
      <c r="F4608" s="3" t="s">
        <v>14206</v>
      </c>
      <c r="H4608" s="3" t="s">
        <v>2150</v>
      </c>
      <c r="K4608" s="2">
        <v>10</v>
      </c>
      <c r="L4608" s="2">
        <v>5</v>
      </c>
      <c r="M4608" s="3" t="s">
        <v>4983</v>
      </c>
      <c r="N4608" s="3" t="s">
        <v>1344</v>
      </c>
      <c r="O4608" s="3" t="s">
        <v>571</v>
      </c>
      <c r="P4608" s="3" t="s">
        <v>4613</v>
      </c>
      <c r="Q4608" s="30" t="str">
        <f t="shared" si="71"/>
        <v>MAX : 0.350
TARGET : 0.345
MIN : 0.340</v>
      </c>
    </row>
    <row r="4609" spans="2:18" ht="41.4" x14ac:dyDescent="0.3">
      <c r="B4609">
        <v>0</v>
      </c>
      <c r="C4609" s="33">
        <v>9129</v>
      </c>
      <c r="D4609" s="2">
        <v>1461</v>
      </c>
      <c r="E4609" s="2" t="s">
        <v>12649</v>
      </c>
      <c r="F4609" s="3" t="s">
        <v>14206</v>
      </c>
      <c r="H4609" s="3" t="s">
        <v>2150</v>
      </c>
      <c r="K4609" s="2">
        <v>10</v>
      </c>
      <c r="L4609" s="2">
        <v>6</v>
      </c>
      <c r="M4609" s="3" t="s">
        <v>4984</v>
      </c>
      <c r="N4609" s="3" t="s">
        <v>4985</v>
      </c>
      <c r="O4609" s="3" t="s">
        <v>1744</v>
      </c>
      <c r="P4609" s="3" t="s">
        <v>4986</v>
      </c>
      <c r="Q4609" s="30" t="str">
        <f t="shared" si="71"/>
        <v>MAX : 0.705
TARGET : 0.700
MIN : 0.695</v>
      </c>
    </row>
    <row r="4610" spans="2:18" ht="41.4" x14ac:dyDescent="0.3">
      <c r="B4610">
        <v>0</v>
      </c>
      <c r="C4610" s="33">
        <v>9129</v>
      </c>
      <c r="D4610" s="2">
        <v>1461</v>
      </c>
      <c r="E4610" s="2" t="s">
        <v>12649</v>
      </c>
      <c r="F4610" s="3" t="s">
        <v>14206</v>
      </c>
      <c r="H4610" s="3" t="s">
        <v>2150</v>
      </c>
      <c r="K4610" s="2">
        <v>10</v>
      </c>
      <c r="L4610" s="2">
        <v>7</v>
      </c>
      <c r="M4610" s="3" t="s">
        <v>4987</v>
      </c>
      <c r="N4610" s="3" t="s">
        <v>13</v>
      </c>
      <c r="O4610" s="3" t="s">
        <v>14</v>
      </c>
      <c r="Q4610" s="30" t="str">
        <f t="shared" ref="Q4610:Q4673" si="72">"MAX : " &amp; P4610 &amp; CHAR(10) &amp; "TARGET : " &amp; O4610 &amp; CHAR(10) &amp; "MIN : " &amp; N4610</f>
        <v>MAX : 
TARGET : Yes(Pass)
MIN : No(Fail)</v>
      </c>
    </row>
    <row r="4611" spans="2:18" ht="41.4" x14ac:dyDescent="0.3">
      <c r="B4611">
        <v>0</v>
      </c>
      <c r="C4611" s="33">
        <v>9129</v>
      </c>
      <c r="D4611" s="2">
        <v>1461</v>
      </c>
      <c r="E4611" s="2" t="s">
        <v>12649</v>
      </c>
      <c r="F4611" s="3" t="s">
        <v>14206</v>
      </c>
      <c r="H4611" s="3" t="s">
        <v>2150</v>
      </c>
      <c r="K4611" s="2">
        <v>10</v>
      </c>
      <c r="L4611" s="2">
        <v>8</v>
      </c>
      <c r="M4611" s="3" t="s">
        <v>4988</v>
      </c>
      <c r="N4611" s="3" t="s">
        <v>13</v>
      </c>
      <c r="O4611" s="3" t="s">
        <v>14</v>
      </c>
      <c r="Q4611" s="30" t="str">
        <f t="shared" si="72"/>
        <v>MAX : 
TARGET : Yes(Pass)
MIN : No(Fail)</v>
      </c>
    </row>
    <row r="4612" spans="2:18" ht="41.4" x14ac:dyDescent="0.3">
      <c r="B4612">
        <v>1</v>
      </c>
      <c r="C4612" s="33">
        <v>9035</v>
      </c>
      <c r="D4612" s="2">
        <v>1396</v>
      </c>
      <c r="E4612" s="2" t="s">
        <v>12084</v>
      </c>
      <c r="F4612" s="3" t="s">
        <v>14249</v>
      </c>
      <c r="H4612" s="3" t="s">
        <v>4551</v>
      </c>
      <c r="K4612" s="2">
        <v>30</v>
      </c>
      <c r="L4612" s="2">
        <v>1</v>
      </c>
      <c r="M4612" s="3" t="s">
        <v>18</v>
      </c>
      <c r="N4612" s="3" t="s">
        <v>4473</v>
      </c>
      <c r="O4612" s="3" t="s">
        <v>1230</v>
      </c>
      <c r="P4612" s="3" t="s">
        <v>4474</v>
      </c>
      <c r="Q4612" s="30" t="str">
        <f t="shared" si="72"/>
        <v>MAX : 8.063
TARGET : 8.00
MIN : 7.937</v>
      </c>
    </row>
    <row r="4613" spans="2:18" ht="41.4" x14ac:dyDescent="0.3">
      <c r="B4613">
        <v>1</v>
      </c>
      <c r="C4613" s="33">
        <v>9035</v>
      </c>
      <c r="D4613" s="2">
        <v>1396</v>
      </c>
      <c r="E4613" s="2" t="s">
        <v>12084</v>
      </c>
      <c r="F4613" s="3" t="s">
        <v>14249</v>
      </c>
      <c r="H4613" s="3" t="s">
        <v>4551</v>
      </c>
      <c r="K4613" s="2">
        <v>10</v>
      </c>
      <c r="L4613" s="2">
        <v>1</v>
      </c>
      <c r="M4613" s="3" t="s">
        <v>4555</v>
      </c>
      <c r="N4613" s="3" t="s">
        <v>250</v>
      </c>
      <c r="O4613" s="3" t="s">
        <v>3837</v>
      </c>
      <c r="P4613" s="3" t="s">
        <v>389</v>
      </c>
      <c r="Q4613" s="30" t="str">
        <f t="shared" si="72"/>
        <v>MAX : 6.25
TARGET : 6.125
MIN : 6.00</v>
      </c>
    </row>
    <row r="4614" spans="2:18" ht="41.4" x14ac:dyDescent="0.3">
      <c r="B4614">
        <v>0</v>
      </c>
      <c r="C4614" s="33">
        <v>9130</v>
      </c>
      <c r="D4614" s="2">
        <v>1462</v>
      </c>
      <c r="E4614" s="2" t="s">
        <v>12656</v>
      </c>
      <c r="F4614" s="3" t="s">
        <v>14206</v>
      </c>
      <c r="H4614" s="3" t="s">
        <v>2150</v>
      </c>
      <c r="K4614" s="2">
        <v>10</v>
      </c>
      <c r="L4614" s="2">
        <v>3</v>
      </c>
      <c r="M4614" s="3" t="s">
        <v>4995</v>
      </c>
      <c r="N4614" s="3" t="s">
        <v>13</v>
      </c>
      <c r="O4614" s="3" t="s">
        <v>14</v>
      </c>
      <c r="Q4614" s="30" t="str">
        <f t="shared" si="72"/>
        <v>MAX : 
TARGET : Yes(Pass)
MIN : No(Fail)</v>
      </c>
    </row>
    <row r="4615" spans="2:18" ht="41.4" x14ac:dyDescent="0.3">
      <c r="B4615">
        <v>1</v>
      </c>
      <c r="C4615" s="33">
        <v>9036</v>
      </c>
      <c r="D4615" s="2">
        <v>1397</v>
      </c>
      <c r="E4615" s="2" t="s">
        <v>12091</v>
      </c>
      <c r="F4615" s="3" t="s">
        <v>14249</v>
      </c>
      <c r="H4615" s="3" t="s">
        <v>4551</v>
      </c>
      <c r="K4615" s="2">
        <v>30</v>
      </c>
      <c r="L4615" s="2">
        <v>2</v>
      </c>
      <c r="M4615" s="3" t="s">
        <v>382</v>
      </c>
      <c r="N4615" s="3" t="s">
        <v>4451</v>
      </c>
      <c r="O4615" s="3" t="s">
        <v>250</v>
      </c>
      <c r="P4615" s="3" t="s">
        <v>4452</v>
      </c>
      <c r="Q4615" s="30" t="str">
        <f t="shared" si="72"/>
        <v>MAX : 6.063
TARGET : 6.00
MIN : 5.937</v>
      </c>
    </row>
    <row r="4616" spans="2:18" ht="41.4" x14ac:dyDescent="0.3">
      <c r="B4616">
        <v>1</v>
      </c>
      <c r="C4616" s="33">
        <v>9036</v>
      </c>
      <c r="D4616" s="2">
        <v>1397</v>
      </c>
      <c r="E4616" s="2" t="s">
        <v>12091</v>
      </c>
      <c r="F4616" s="3" t="s">
        <v>14249</v>
      </c>
      <c r="H4616" s="3" t="s">
        <v>4551</v>
      </c>
      <c r="K4616" s="2">
        <v>30</v>
      </c>
      <c r="L4616" s="2">
        <v>1</v>
      </c>
      <c r="M4616" s="3" t="s">
        <v>18</v>
      </c>
      <c r="N4616" s="3" t="s">
        <v>4449</v>
      </c>
      <c r="O4616" s="3" t="s">
        <v>966</v>
      </c>
      <c r="P4616" s="3" t="s">
        <v>4450</v>
      </c>
      <c r="Q4616" s="30" t="str">
        <f t="shared" si="72"/>
        <v>MAX : 7.063
TARGET : 7.00
MIN : 6.937</v>
      </c>
    </row>
    <row r="4617" spans="2:18" ht="41.4" x14ac:dyDescent="0.3">
      <c r="B4617">
        <v>0</v>
      </c>
      <c r="C4617" s="33">
        <v>9131</v>
      </c>
      <c r="D4617" s="2">
        <v>1463</v>
      </c>
      <c r="E4617" s="2" t="s">
        <v>12662</v>
      </c>
      <c r="F4617" s="3" t="s">
        <v>14206</v>
      </c>
      <c r="H4617" s="3" t="s">
        <v>2150</v>
      </c>
      <c r="K4617" s="2">
        <v>10</v>
      </c>
      <c r="L4617" s="2">
        <v>2</v>
      </c>
      <c r="M4617" s="3" t="s">
        <v>198</v>
      </c>
      <c r="N4617" s="3" t="s">
        <v>4996</v>
      </c>
      <c r="O4617" s="3" t="s">
        <v>4997</v>
      </c>
      <c r="P4617" s="3" t="s">
        <v>1805</v>
      </c>
      <c r="Q4617" s="30" t="str">
        <f t="shared" si="72"/>
        <v>MAX : 0.426
TARGET : 0.421
MIN : 0.416</v>
      </c>
    </row>
    <row r="4618" spans="2:18" ht="41.4" x14ac:dyDescent="0.3">
      <c r="B4618">
        <v>1</v>
      </c>
      <c r="C4618" s="33">
        <v>9036</v>
      </c>
      <c r="D4618" s="2">
        <v>1397</v>
      </c>
      <c r="E4618" s="2" t="s">
        <v>12091</v>
      </c>
      <c r="F4618" s="3" t="s">
        <v>14249</v>
      </c>
      <c r="H4618" s="3" t="s">
        <v>4551</v>
      </c>
      <c r="K4618" s="2">
        <v>10</v>
      </c>
      <c r="L4618" s="2">
        <v>1</v>
      </c>
      <c r="M4618" s="3" t="s">
        <v>4555</v>
      </c>
      <c r="N4618" s="3" t="s">
        <v>4556</v>
      </c>
      <c r="O4618" s="3" t="s">
        <v>250</v>
      </c>
      <c r="P4618" s="3" t="s">
        <v>3837</v>
      </c>
      <c r="Q4618" s="30" t="str">
        <f t="shared" si="72"/>
        <v>MAX : 6.125
TARGET : 6.00
MIN : 5.875</v>
      </c>
    </row>
    <row r="4619" spans="2:18" ht="41.4" x14ac:dyDescent="0.3">
      <c r="B4619">
        <v>1</v>
      </c>
      <c r="C4619" s="33">
        <v>9037</v>
      </c>
      <c r="D4619" s="2">
        <v>1398</v>
      </c>
      <c r="E4619" s="2" t="s">
        <v>12098</v>
      </c>
      <c r="F4619" s="29" t="s">
        <v>14250</v>
      </c>
      <c r="H4619" s="3" t="s">
        <v>504</v>
      </c>
      <c r="K4619" s="2">
        <v>20</v>
      </c>
      <c r="L4619" s="2">
        <v>1</v>
      </c>
      <c r="M4619" s="3" t="s">
        <v>4558</v>
      </c>
      <c r="N4619" s="3" t="s">
        <v>344</v>
      </c>
      <c r="O4619" s="3" t="s">
        <v>28</v>
      </c>
      <c r="P4619" s="3" t="s">
        <v>345</v>
      </c>
      <c r="Q4619" s="30" t="str">
        <f t="shared" si="72"/>
        <v>MAX : 1.75
TARGET : 1.50
MIN : 1.25</v>
      </c>
    </row>
    <row r="4620" spans="2:18" ht="41.4" x14ac:dyDescent="0.3">
      <c r="B4620">
        <v>0</v>
      </c>
      <c r="C4620" s="33">
        <v>9132</v>
      </c>
      <c r="D4620" s="2">
        <v>1464</v>
      </c>
      <c r="E4620" s="2" t="s">
        <v>12668</v>
      </c>
      <c r="F4620" s="3" t="s">
        <v>14206</v>
      </c>
      <c r="H4620" s="3" t="s">
        <v>2150</v>
      </c>
      <c r="K4620" s="2">
        <v>10</v>
      </c>
      <c r="L4620" s="2">
        <v>3</v>
      </c>
      <c r="M4620" s="3" t="s">
        <v>4995</v>
      </c>
      <c r="N4620" s="3" t="s">
        <v>13</v>
      </c>
      <c r="O4620" s="3" t="s">
        <v>14</v>
      </c>
      <c r="Q4620" s="30" t="str">
        <f t="shared" si="72"/>
        <v>MAX : 
TARGET : Yes(Pass)
MIN : No(Fail)</v>
      </c>
    </row>
    <row r="4621" spans="2:18" ht="41.4" x14ac:dyDescent="0.3">
      <c r="B4621">
        <v>1</v>
      </c>
      <c r="C4621" s="33">
        <v>9037</v>
      </c>
      <c r="D4621" s="2">
        <v>1398</v>
      </c>
      <c r="E4621" s="2" t="s">
        <v>12098</v>
      </c>
      <c r="F4621" s="29" t="s">
        <v>14250</v>
      </c>
      <c r="H4621" s="3" t="s">
        <v>504</v>
      </c>
      <c r="K4621" s="2">
        <v>10</v>
      </c>
      <c r="L4621" s="2">
        <v>1</v>
      </c>
      <c r="M4621" s="3" t="s">
        <v>4558</v>
      </c>
      <c r="N4621" s="3" t="s">
        <v>4559</v>
      </c>
      <c r="O4621" s="3" t="s">
        <v>3200</v>
      </c>
      <c r="P4621" s="3" t="s">
        <v>4560</v>
      </c>
      <c r="Q4621" s="30" t="str">
        <f t="shared" si="72"/>
        <v>MAX : 9.13
TARGET : 9.00
MIN : 8.87</v>
      </c>
    </row>
    <row r="4622" spans="2:18" ht="41.4" x14ac:dyDescent="0.3">
      <c r="B4622">
        <v>0</v>
      </c>
      <c r="C4622" s="33">
        <v>9010</v>
      </c>
      <c r="D4622" s="2">
        <v>1378</v>
      </c>
      <c r="E4622" s="2" t="s">
        <v>11928</v>
      </c>
      <c r="F4622" s="3" t="s">
        <v>14206</v>
      </c>
      <c r="H4622" s="3" t="s">
        <v>469</v>
      </c>
      <c r="K4622" s="2">
        <v>20</v>
      </c>
      <c r="L4622" s="2">
        <v>1</v>
      </c>
      <c r="M4622" s="3" t="s">
        <v>4182</v>
      </c>
      <c r="N4622" s="3" t="s">
        <v>4607</v>
      </c>
      <c r="O4622" s="3" t="s">
        <v>1792</v>
      </c>
      <c r="P4622" s="3" t="s">
        <v>4608</v>
      </c>
      <c r="Q4622" s="30" t="str">
        <f t="shared" si="72"/>
        <v>MAX : 2.093
TARGET : 2.063
MIN : 2.033</v>
      </c>
      <c r="R4622" s="3" t="s">
        <v>4186</v>
      </c>
    </row>
    <row r="4623" spans="2:18" ht="41.4" x14ac:dyDescent="0.3">
      <c r="B4623">
        <v>1</v>
      </c>
      <c r="C4623" s="33">
        <v>9038</v>
      </c>
      <c r="D4623" s="2">
        <v>2049</v>
      </c>
      <c r="E4623" s="2" t="s">
        <v>12105</v>
      </c>
      <c r="F4623" s="3" t="s">
        <v>14206</v>
      </c>
      <c r="H4623" s="3" t="s">
        <v>98</v>
      </c>
      <c r="K4623" s="2">
        <v>10</v>
      </c>
      <c r="L4623" s="2">
        <v>2</v>
      </c>
      <c r="M4623" s="3" t="s">
        <v>611</v>
      </c>
      <c r="N4623" s="3" t="s">
        <v>13</v>
      </c>
      <c r="O4623" s="3" t="s">
        <v>14</v>
      </c>
      <c r="Q4623" s="30" t="str">
        <f t="shared" si="72"/>
        <v>MAX : 
TARGET : Yes(Pass)
MIN : No(Fail)</v>
      </c>
    </row>
    <row r="4624" spans="2:18" ht="41.4" x14ac:dyDescent="0.3">
      <c r="B4624">
        <v>0</v>
      </c>
      <c r="C4624" s="33">
        <v>9126</v>
      </c>
      <c r="D4624" s="2">
        <v>1458</v>
      </c>
      <c r="E4624" s="2" t="s">
        <v>12630</v>
      </c>
      <c r="F4624" s="3" t="s">
        <v>14207</v>
      </c>
      <c r="H4624" s="3" t="s">
        <v>713</v>
      </c>
      <c r="K4624" s="2">
        <v>20</v>
      </c>
      <c r="L4624" s="2">
        <v>2</v>
      </c>
      <c r="M4624" s="3" t="s">
        <v>198</v>
      </c>
      <c r="N4624" s="3" t="s">
        <v>5005</v>
      </c>
      <c r="O4624" s="3" t="s">
        <v>5006</v>
      </c>
      <c r="P4624" s="3" t="s">
        <v>5007</v>
      </c>
      <c r="Q4624" s="30" t="str">
        <f t="shared" si="72"/>
        <v>MAX : 94.46
TARGET : 94.21
MIN : 93.96</v>
      </c>
    </row>
    <row r="4625" spans="2:18" ht="41.4" x14ac:dyDescent="0.3">
      <c r="B4625">
        <v>0</v>
      </c>
      <c r="C4625" s="33">
        <v>9126</v>
      </c>
      <c r="D4625" s="2">
        <v>1458</v>
      </c>
      <c r="E4625" s="2" t="s">
        <v>12630</v>
      </c>
      <c r="F4625" s="3" t="s">
        <v>14207</v>
      </c>
      <c r="H4625" s="3" t="s">
        <v>713</v>
      </c>
      <c r="K4625" s="2">
        <v>20</v>
      </c>
      <c r="L4625" s="2">
        <v>3</v>
      </c>
      <c r="M4625" s="3" t="s">
        <v>5008</v>
      </c>
      <c r="N4625" s="3" t="s">
        <v>5009</v>
      </c>
      <c r="O4625" s="3" t="s">
        <v>5010</v>
      </c>
      <c r="P4625" s="3" t="s">
        <v>5011</v>
      </c>
      <c r="Q4625" s="30" t="str">
        <f t="shared" si="72"/>
        <v>MAX : 10.299
TARGET : 10.045
MIN : 9.791</v>
      </c>
    </row>
    <row r="4626" spans="2:18" ht="41.4" x14ac:dyDescent="0.3">
      <c r="B4626">
        <v>0</v>
      </c>
      <c r="C4626" s="33">
        <v>9126</v>
      </c>
      <c r="D4626" s="2">
        <v>1458</v>
      </c>
      <c r="E4626" s="2" t="s">
        <v>12630</v>
      </c>
      <c r="F4626" s="3" t="s">
        <v>14207</v>
      </c>
      <c r="H4626" s="3" t="s">
        <v>713</v>
      </c>
      <c r="K4626" s="2">
        <v>20</v>
      </c>
      <c r="L4626" s="2">
        <v>4</v>
      </c>
      <c r="M4626" s="3" t="s">
        <v>5012</v>
      </c>
      <c r="N4626" s="3" t="s">
        <v>5009</v>
      </c>
      <c r="O4626" s="3" t="s">
        <v>5010</v>
      </c>
      <c r="P4626" s="3" t="s">
        <v>5011</v>
      </c>
      <c r="Q4626" s="30" t="str">
        <f t="shared" si="72"/>
        <v>MAX : 10.299
TARGET : 10.045
MIN : 9.791</v>
      </c>
    </row>
    <row r="4627" spans="2:18" ht="41.4" x14ac:dyDescent="0.3">
      <c r="B4627">
        <v>0</v>
      </c>
      <c r="C4627" s="33">
        <v>9126</v>
      </c>
      <c r="D4627" s="2">
        <v>1458</v>
      </c>
      <c r="E4627" s="2" t="s">
        <v>12630</v>
      </c>
      <c r="F4627" s="3" t="s">
        <v>14207</v>
      </c>
      <c r="H4627" s="3" t="s">
        <v>713</v>
      </c>
      <c r="K4627" s="2">
        <v>20</v>
      </c>
      <c r="L4627" s="2">
        <v>5</v>
      </c>
      <c r="M4627" s="3" t="s">
        <v>78</v>
      </c>
      <c r="N4627" s="3" t="s">
        <v>13</v>
      </c>
      <c r="O4627" s="3" t="s">
        <v>14</v>
      </c>
      <c r="Q4627" s="30" t="str">
        <f t="shared" si="72"/>
        <v>MAX : 
TARGET : Yes(Pass)
MIN : No(Fail)</v>
      </c>
    </row>
    <row r="4628" spans="2:18" ht="41.4" x14ac:dyDescent="0.3">
      <c r="B4628">
        <v>1</v>
      </c>
      <c r="C4628" s="33">
        <v>9038</v>
      </c>
      <c r="D4628" s="2">
        <v>2049</v>
      </c>
      <c r="E4628" s="2" t="s">
        <v>12105</v>
      </c>
      <c r="F4628" s="3" t="s">
        <v>14206</v>
      </c>
      <c r="H4628" s="3" t="s">
        <v>98</v>
      </c>
      <c r="K4628" s="2">
        <v>10</v>
      </c>
      <c r="L4628" s="2">
        <v>1</v>
      </c>
      <c r="M4628" s="3" t="s">
        <v>99</v>
      </c>
      <c r="N4628" s="3" t="s">
        <v>979</v>
      </c>
      <c r="O4628" s="3" t="s">
        <v>309</v>
      </c>
      <c r="P4628" s="3" t="s">
        <v>1531</v>
      </c>
      <c r="Q4628" s="30" t="str">
        <f t="shared" si="72"/>
        <v>MAX : 0.56
TARGET : 0.50
MIN : 0.44</v>
      </c>
    </row>
    <row r="4629" spans="2:18" ht="41.4" x14ac:dyDescent="0.3">
      <c r="B4629">
        <v>1</v>
      </c>
      <c r="C4629" s="33">
        <v>9039</v>
      </c>
      <c r="D4629" s="2">
        <v>1399</v>
      </c>
      <c r="E4629" s="2" t="s">
        <v>12111</v>
      </c>
      <c r="F4629" s="3" t="s">
        <v>14251</v>
      </c>
      <c r="H4629" s="3" t="s">
        <v>4572</v>
      </c>
      <c r="I4629" s="3" t="s">
        <v>575</v>
      </c>
      <c r="K4629" s="2">
        <v>20</v>
      </c>
      <c r="L4629" s="2">
        <v>2</v>
      </c>
      <c r="M4629" s="3" t="s">
        <v>4578</v>
      </c>
      <c r="N4629" s="3" t="s">
        <v>4579</v>
      </c>
      <c r="O4629" s="3" t="s">
        <v>4580</v>
      </c>
      <c r="P4629" s="3" t="s">
        <v>4581</v>
      </c>
      <c r="Q4629" s="30" t="str">
        <f t="shared" si="72"/>
        <v>MAX : 29.18
TARGET : 28.98
MIN : 28.78</v>
      </c>
      <c r="R4629" s="3" t="s">
        <v>4577</v>
      </c>
    </row>
    <row r="4630" spans="2:18" ht="41.4" x14ac:dyDescent="0.3">
      <c r="B4630">
        <v>0</v>
      </c>
      <c r="C4630" s="33">
        <v>9125</v>
      </c>
      <c r="D4630" s="2">
        <v>1457</v>
      </c>
      <c r="E4630" s="2" t="s">
        <v>12623</v>
      </c>
      <c r="F4630" s="3" t="s">
        <v>14207</v>
      </c>
      <c r="H4630" s="3" t="s">
        <v>713</v>
      </c>
      <c r="K4630" s="2">
        <v>20</v>
      </c>
      <c r="L4630" s="2">
        <v>2</v>
      </c>
      <c r="M4630" s="3" t="s">
        <v>198</v>
      </c>
      <c r="N4630" s="3" t="s">
        <v>5014</v>
      </c>
      <c r="O4630" s="3" t="s">
        <v>5015</v>
      </c>
      <c r="P4630" s="3" t="s">
        <v>5016</v>
      </c>
      <c r="Q4630" s="30" t="str">
        <f t="shared" si="72"/>
        <v>MAX : 86.18
TARGET : 85.93
MIN : 85.68</v>
      </c>
    </row>
    <row r="4631" spans="2:18" ht="41.4" x14ac:dyDescent="0.3">
      <c r="B4631">
        <v>0</v>
      </c>
      <c r="C4631" s="33">
        <v>9125</v>
      </c>
      <c r="D4631" s="2">
        <v>1457</v>
      </c>
      <c r="E4631" s="2" t="s">
        <v>12623</v>
      </c>
      <c r="F4631" s="3" t="s">
        <v>14207</v>
      </c>
      <c r="H4631" s="3" t="s">
        <v>713</v>
      </c>
      <c r="K4631" s="2">
        <v>20</v>
      </c>
      <c r="L4631" s="2">
        <v>3</v>
      </c>
      <c r="M4631" s="3" t="s">
        <v>5008</v>
      </c>
      <c r="N4631" s="3" t="s">
        <v>3782</v>
      </c>
      <c r="O4631" s="3" t="s">
        <v>5017</v>
      </c>
      <c r="P4631" s="3" t="s">
        <v>5018</v>
      </c>
      <c r="Q4631" s="30" t="str">
        <f t="shared" si="72"/>
        <v>MAX : 14.44
TARGET : 14.19
MIN : 13.94</v>
      </c>
    </row>
    <row r="4632" spans="2:18" ht="41.4" x14ac:dyDescent="0.3">
      <c r="B4632">
        <v>0</v>
      </c>
      <c r="C4632" s="33">
        <v>9125</v>
      </c>
      <c r="D4632" s="2">
        <v>1457</v>
      </c>
      <c r="E4632" s="2" t="s">
        <v>12623</v>
      </c>
      <c r="F4632" s="3" t="s">
        <v>14207</v>
      </c>
      <c r="H4632" s="3" t="s">
        <v>713</v>
      </c>
      <c r="K4632" s="2">
        <v>20</v>
      </c>
      <c r="L4632" s="2">
        <v>4</v>
      </c>
      <c r="M4632" s="3" t="s">
        <v>5012</v>
      </c>
      <c r="N4632" s="3" t="s">
        <v>3782</v>
      </c>
      <c r="O4632" s="3" t="s">
        <v>5017</v>
      </c>
      <c r="P4632" s="3" t="s">
        <v>5018</v>
      </c>
      <c r="Q4632" s="30" t="str">
        <f t="shared" si="72"/>
        <v>MAX : 14.44
TARGET : 14.19
MIN : 13.94</v>
      </c>
    </row>
    <row r="4633" spans="2:18" ht="41.4" x14ac:dyDescent="0.3">
      <c r="B4633">
        <v>0</v>
      </c>
      <c r="C4633" s="33">
        <v>9125</v>
      </c>
      <c r="D4633" s="2">
        <v>1457</v>
      </c>
      <c r="E4633" s="2" t="s">
        <v>12623</v>
      </c>
      <c r="F4633" s="3" t="s">
        <v>14207</v>
      </c>
      <c r="H4633" s="3" t="s">
        <v>713</v>
      </c>
      <c r="K4633" s="2">
        <v>20</v>
      </c>
      <c r="L4633" s="2">
        <v>5</v>
      </c>
      <c r="M4633" s="3" t="s">
        <v>78</v>
      </c>
      <c r="N4633" s="3" t="s">
        <v>13</v>
      </c>
      <c r="O4633" s="3" t="s">
        <v>14</v>
      </c>
      <c r="Q4633" s="30" t="str">
        <f t="shared" si="72"/>
        <v>MAX : 
TARGET : Yes(Pass)
MIN : No(Fail)</v>
      </c>
    </row>
    <row r="4634" spans="2:18" ht="41.4" x14ac:dyDescent="0.3">
      <c r="B4634">
        <v>1</v>
      </c>
      <c r="C4634" s="33">
        <v>9039</v>
      </c>
      <c r="D4634" s="2">
        <v>1399</v>
      </c>
      <c r="E4634" s="2" t="s">
        <v>12111</v>
      </c>
      <c r="F4634" s="3" t="s">
        <v>14251</v>
      </c>
      <c r="H4634" s="3" t="s">
        <v>4572</v>
      </c>
      <c r="I4634" s="3" t="s">
        <v>575</v>
      </c>
      <c r="K4634" s="2">
        <v>20</v>
      </c>
      <c r="L4634" s="2">
        <v>1</v>
      </c>
      <c r="M4634" s="3" t="s">
        <v>4573</v>
      </c>
      <c r="N4634" s="3" t="s">
        <v>4574</v>
      </c>
      <c r="O4634" s="3" t="s">
        <v>4575</v>
      </c>
      <c r="P4634" s="3" t="s">
        <v>4576</v>
      </c>
      <c r="Q4634" s="30" t="str">
        <f t="shared" si="72"/>
        <v>MAX : 51.78
TARGET : 51.48
MIN : 51.18</v>
      </c>
      <c r="R4634" s="3" t="s">
        <v>4577</v>
      </c>
    </row>
    <row r="4635" spans="2:18" ht="41.4" x14ac:dyDescent="0.3">
      <c r="B4635">
        <v>1</v>
      </c>
      <c r="C4635" s="33">
        <v>9039</v>
      </c>
      <c r="D4635" s="2">
        <v>1399</v>
      </c>
      <c r="E4635" s="2" t="s">
        <v>12111</v>
      </c>
      <c r="F4635" s="3" t="s">
        <v>14251</v>
      </c>
      <c r="H4635" s="3" t="s">
        <v>4572</v>
      </c>
      <c r="I4635" s="3" t="s">
        <v>575</v>
      </c>
      <c r="K4635" s="2">
        <v>20</v>
      </c>
      <c r="L4635" s="2">
        <v>9</v>
      </c>
      <c r="M4635" s="3" t="s">
        <v>5185</v>
      </c>
      <c r="N4635" s="3" t="s">
        <v>4276</v>
      </c>
      <c r="O4635" s="3" t="s">
        <v>253</v>
      </c>
      <c r="P4635" s="3" t="s">
        <v>5186</v>
      </c>
      <c r="Q4635" s="30" t="str">
        <f t="shared" si="72"/>
        <v>MAX : 4.20
TARGET : 4.00
MIN : 3.90</v>
      </c>
      <c r="R4635" s="3" t="s">
        <v>4577</v>
      </c>
    </row>
    <row r="4636" spans="2:18" ht="41.4" x14ac:dyDescent="0.3">
      <c r="B4636">
        <v>0</v>
      </c>
      <c r="C4636" s="33">
        <v>9127</v>
      </c>
      <c r="D4636" s="2">
        <v>1459</v>
      </c>
      <c r="E4636" s="2" t="s">
        <v>12636</v>
      </c>
      <c r="F4636" s="3" t="s">
        <v>14207</v>
      </c>
      <c r="H4636" s="3" t="s">
        <v>713</v>
      </c>
      <c r="K4636" s="2">
        <v>20</v>
      </c>
      <c r="L4636" s="2">
        <v>2</v>
      </c>
      <c r="M4636" s="3" t="s">
        <v>198</v>
      </c>
      <c r="N4636" s="3" t="s">
        <v>5022</v>
      </c>
      <c r="O4636" s="3" t="s">
        <v>5023</v>
      </c>
      <c r="P4636" s="3" t="s">
        <v>5024</v>
      </c>
      <c r="Q4636" s="30" t="str">
        <f t="shared" si="72"/>
        <v>MAX : 82.14
TARGET : 81.89
MIN : 81.64</v>
      </c>
    </row>
    <row r="4637" spans="2:18" ht="41.4" x14ac:dyDescent="0.3">
      <c r="B4637">
        <v>0</v>
      </c>
      <c r="C4637" s="33">
        <v>9127</v>
      </c>
      <c r="D4637" s="2">
        <v>1459</v>
      </c>
      <c r="E4637" s="2" t="s">
        <v>12636</v>
      </c>
      <c r="F4637" s="3" t="s">
        <v>14207</v>
      </c>
      <c r="H4637" s="3" t="s">
        <v>713</v>
      </c>
      <c r="K4637" s="2">
        <v>20</v>
      </c>
      <c r="L4637" s="2">
        <v>3</v>
      </c>
      <c r="M4637" s="3" t="s">
        <v>5008</v>
      </c>
      <c r="N4637" s="3" t="s">
        <v>5025</v>
      </c>
      <c r="O4637" s="3" t="s">
        <v>5026</v>
      </c>
      <c r="P4637" s="3" t="s">
        <v>5027</v>
      </c>
      <c r="Q4637" s="30" t="str">
        <f t="shared" si="72"/>
        <v>MAX : 16.46
TARGET : 16.21
MIN : 15.96</v>
      </c>
    </row>
    <row r="4638" spans="2:18" ht="41.4" x14ac:dyDescent="0.3">
      <c r="B4638">
        <v>0</v>
      </c>
      <c r="C4638" s="33">
        <v>9127</v>
      </c>
      <c r="D4638" s="2">
        <v>1459</v>
      </c>
      <c r="E4638" s="2" t="s">
        <v>12636</v>
      </c>
      <c r="F4638" s="3" t="s">
        <v>14207</v>
      </c>
      <c r="H4638" s="3" t="s">
        <v>713</v>
      </c>
      <c r="K4638" s="2">
        <v>20</v>
      </c>
      <c r="L4638" s="2">
        <v>4</v>
      </c>
      <c r="M4638" s="3" t="s">
        <v>5012</v>
      </c>
      <c r="N4638" s="3" t="s">
        <v>5025</v>
      </c>
      <c r="O4638" s="3" t="s">
        <v>5026</v>
      </c>
      <c r="P4638" s="3" t="s">
        <v>5027</v>
      </c>
      <c r="Q4638" s="30" t="str">
        <f t="shared" si="72"/>
        <v>MAX : 16.46
TARGET : 16.21
MIN : 15.96</v>
      </c>
    </row>
    <row r="4639" spans="2:18" ht="41.4" x14ac:dyDescent="0.3">
      <c r="B4639">
        <v>0</v>
      </c>
      <c r="C4639" s="33">
        <v>9127</v>
      </c>
      <c r="D4639" s="2">
        <v>1459</v>
      </c>
      <c r="E4639" s="2" t="s">
        <v>12636</v>
      </c>
      <c r="F4639" s="3" t="s">
        <v>14207</v>
      </c>
      <c r="H4639" s="3" t="s">
        <v>713</v>
      </c>
      <c r="K4639" s="2">
        <v>20</v>
      </c>
      <c r="L4639" s="2">
        <v>5</v>
      </c>
      <c r="M4639" s="3" t="s">
        <v>78</v>
      </c>
      <c r="N4639" s="3" t="s">
        <v>13</v>
      </c>
      <c r="O4639" s="3" t="s">
        <v>14</v>
      </c>
      <c r="Q4639" s="30" t="str">
        <f t="shared" si="72"/>
        <v>MAX : 
TARGET : Yes(Pass)
MIN : No(Fail)</v>
      </c>
    </row>
    <row r="4640" spans="2:18" ht="41.4" x14ac:dyDescent="0.3">
      <c r="B4640">
        <v>0</v>
      </c>
      <c r="C4640" s="33">
        <v>9127</v>
      </c>
      <c r="D4640" s="2">
        <v>1459</v>
      </c>
      <c r="E4640" s="2" t="s">
        <v>12636</v>
      </c>
      <c r="F4640" s="3" t="s">
        <v>14207</v>
      </c>
      <c r="H4640" s="3" t="s">
        <v>713</v>
      </c>
      <c r="K4640" s="2">
        <v>20</v>
      </c>
      <c r="L4640" s="2">
        <v>6</v>
      </c>
      <c r="M4640" s="3" t="s">
        <v>1403</v>
      </c>
      <c r="N4640" s="3" t="s">
        <v>13</v>
      </c>
      <c r="O4640" s="3" t="s">
        <v>14</v>
      </c>
      <c r="Q4640" s="30" t="str">
        <f t="shared" si="72"/>
        <v>MAX : 
TARGET : Yes(Pass)
MIN : No(Fail)</v>
      </c>
    </row>
    <row r="4641" spans="2:18" ht="41.4" x14ac:dyDescent="0.3">
      <c r="B4641">
        <v>1</v>
      </c>
      <c r="C4641" s="33">
        <v>9039</v>
      </c>
      <c r="D4641" s="2">
        <v>1399</v>
      </c>
      <c r="E4641" s="2" t="s">
        <v>12111</v>
      </c>
      <c r="F4641" s="3" t="s">
        <v>14251</v>
      </c>
      <c r="H4641" s="3" t="s">
        <v>4572</v>
      </c>
      <c r="I4641" s="3" t="s">
        <v>575</v>
      </c>
      <c r="K4641" s="2">
        <v>10</v>
      </c>
      <c r="L4641" s="2">
        <v>1</v>
      </c>
      <c r="M4641" s="3" t="s">
        <v>5190</v>
      </c>
      <c r="N4641" s="3" t="s">
        <v>250</v>
      </c>
      <c r="O4641" s="3" t="s">
        <v>1174</v>
      </c>
      <c r="P4641" s="3" t="s">
        <v>3837</v>
      </c>
      <c r="Q4641" s="30" t="str">
        <f t="shared" si="72"/>
        <v>MAX : 6.125
TARGET : 6.06
MIN : 6.00</v>
      </c>
      <c r="R4641" s="3" t="s">
        <v>4577</v>
      </c>
    </row>
    <row r="4642" spans="2:18" ht="41.4" x14ac:dyDescent="0.3">
      <c r="B4642">
        <v>1</v>
      </c>
      <c r="C4642" s="33">
        <v>9039</v>
      </c>
      <c r="D4642" s="2">
        <v>1399</v>
      </c>
      <c r="E4642" s="2" t="s">
        <v>12111</v>
      </c>
      <c r="F4642" s="3" t="s">
        <v>14251</v>
      </c>
      <c r="H4642" s="3" t="s">
        <v>4572</v>
      </c>
      <c r="I4642" s="3" t="s">
        <v>575</v>
      </c>
      <c r="K4642" s="2">
        <v>20</v>
      </c>
      <c r="L4642" s="2">
        <v>10</v>
      </c>
      <c r="M4642" s="3" t="s">
        <v>4774</v>
      </c>
      <c r="N4642" s="3" t="s">
        <v>5358</v>
      </c>
      <c r="O4642" s="3" t="s">
        <v>5359</v>
      </c>
      <c r="P4642" s="3" t="s">
        <v>5360</v>
      </c>
      <c r="Q4642" s="30" t="str">
        <f t="shared" si="72"/>
        <v>MAX : 140.7
TARGET : 139.7
MIN : 138.7</v>
      </c>
      <c r="R4642" s="3" t="s">
        <v>4577</v>
      </c>
    </row>
    <row r="4643" spans="2:18" ht="41.4" x14ac:dyDescent="0.3">
      <c r="B4643">
        <v>0</v>
      </c>
      <c r="C4643" s="33">
        <v>9133</v>
      </c>
      <c r="D4643" s="2">
        <v>1465</v>
      </c>
      <c r="E4643" s="2" t="s">
        <v>12674</v>
      </c>
      <c r="F4643" s="3" t="s">
        <v>14207</v>
      </c>
      <c r="H4643" s="3" t="s">
        <v>648</v>
      </c>
      <c r="K4643" s="2">
        <v>20</v>
      </c>
      <c r="L4643" s="2">
        <v>3</v>
      </c>
      <c r="M4643" s="3" t="s">
        <v>4130</v>
      </c>
      <c r="N4643" s="3" t="s">
        <v>5028</v>
      </c>
      <c r="O4643" s="3" t="s">
        <v>4132</v>
      </c>
      <c r="P4643" s="3" t="s">
        <v>5029</v>
      </c>
      <c r="Q4643" s="30" t="str">
        <f t="shared" si="72"/>
        <v>MAX : 41.08
TARGET : 40.58
MIN : 40.08</v>
      </c>
    </row>
    <row r="4644" spans="2:18" ht="41.4" x14ac:dyDescent="0.3">
      <c r="B4644">
        <v>0</v>
      </c>
      <c r="C4644" s="33">
        <v>9133</v>
      </c>
      <c r="D4644" s="2">
        <v>1465</v>
      </c>
      <c r="E4644" s="2" t="s">
        <v>12674</v>
      </c>
      <c r="F4644" s="3" t="s">
        <v>14207</v>
      </c>
      <c r="H4644" s="3" t="s">
        <v>648</v>
      </c>
      <c r="K4644" s="2">
        <v>30</v>
      </c>
      <c r="L4644" s="2">
        <v>1</v>
      </c>
      <c r="M4644" s="3" t="s">
        <v>194</v>
      </c>
      <c r="N4644" s="3" t="s">
        <v>5030</v>
      </c>
      <c r="O4644" s="3" t="s">
        <v>5031</v>
      </c>
      <c r="P4644" s="3" t="s">
        <v>5032</v>
      </c>
      <c r="Q4644" s="30" t="str">
        <f t="shared" si="72"/>
        <v>MAX : 159.54
TARGET : 159.29
MIN : 159.04</v>
      </c>
    </row>
    <row r="4645" spans="2:18" ht="41.4" x14ac:dyDescent="0.3">
      <c r="B4645">
        <v>0</v>
      </c>
      <c r="C4645" s="33">
        <v>9133</v>
      </c>
      <c r="D4645" s="2">
        <v>1465</v>
      </c>
      <c r="E4645" s="2" t="s">
        <v>12674</v>
      </c>
      <c r="F4645" s="3" t="s">
        <v>14207</v>
      </c>
      <c r="H4645" s="3" t="s">
        <v>648</v>
      </c>
      <c r="K4645" s="2">
        <v>30</v>
      </c>
      <c r="L4645" s="2">
        <v>2</v>
      </c>
      <c r="M4645" s="3" t="s">
        <v>4137</v>
      </c>
      <c r="N4645" s="3" t="s">
        <v>4138</v>
      </c>
      <c r="O4645" s="3" t="s">
        <v>1231</v>
      </c>
      <c r="P4645" s="3" t="s">
        <v>4139</v>
      </c>
      <c r="Q4645" s="30" t="str">
        <f t="shared" si="72"/>
        <v>MAX : 8.21
TARGET : 8.06
MIN : 7.91</v>
      </c>
    </row>
    <row r="4646" spans="2:18" ht="41.4" x14ac:dyDescent="0.3">
      <c r="B4646">
        <v>0</v>
      </c>
      <c r="C4646" s="33">
        <v>9133</v>
      </c>
      <c r="D4646" s="2">
        <v>1465</v>
      </c>
      <c r="E4646" s="2" t="s">
        <v>12674</v>
      </c>
      <c r="F4646" s="3" t="s">
        <v>14207</v>
      </c>
      <c r="H4646" s="3" t="s">
        <v>648</v>
      </c>
      <c r="K4646" s="2">
        <v>30</v>
      </c>
      <c r="L4646" s="2">
        <v>3</v>
      </c>
      <c r="M4646" s="3" t="s">
        <v>4140</v>
      </c>
      <c r="N4646" s="3" t="s">
        <v>4141</v>
      </c>
      <c r="O4646" s="3" t="s">
        <v>4142</v>
      </c>
      <c r="P4646" s="3" t="s">
        <v>4143</v>
      </c>
      <c r="Q4646" s="30" t="str">
        <f t="shared" si="72"/>
        <v>MAX : 21.21
TARGET : 21.06
MIN : 20.91</v>
      </c>
    </row>
    <row r="4647" spans="2:18" ht="41.4" x14ac:dyDescent="0.3">
      <c r="B4647">
        <v>0</v>
      </c>
      <c r="C4647" s="33">
        <v>9133</v>
      </c>
      <c r="D4647" s="2">
        <v>1465</v>
      </c>
      <c r="E4647" s="2" t="s">
        <v>12674</v>
      </c>
      <c r="F4647" s="3" t="s">
        <v>14207</v>
      </c>
      <c r="H4647" s="3" t="s">
        <v>648</v>
      </c>
      <c r="K4647" s="2">
        <v>30</v>
      </c>
      <c r="L4647" s="2">
        <v>4</v>
      </c>
      <c r="M4647" s="3" t="s">
        <v>4144</v>
      </c>
      <c r="N4647" s="3" t="s">
        <v>4145</v>
      </c>
      <c r="O4647" s="3" t="s">
        <v>4146</v>
      </c>
      <c r="P4647" s="3" t="s">
        <v>4147</v>
      </c>
      <c r="Q4647" s="30" t="str">
        <f t="shared" si="72"/>
        <v>MAX : 41.21
TARGET : 41.06
MIN : 40.91</v>
      </c>
    </row>
    <row r="4648" spans="2:18" ht="41.4" x14ac:dyDescent="0.3">
      <c r="B4648">
        <v>0</v>
      </c>
      <c r="C4648" s="33">
        <v>9133</v>
      </c>
      <c r="D4648" s="2">
        <v>1465</v>
      </c>
      <c r="E4648" s="2" t="s">
        <v>12674</v>
      </c>
      <c r="F4648" s="3" t="s">
        <v>14207</v>
      </c>
      <c r="H4648" s="3" t="s">
        <v>648</v>
      </c>
      <c r="K4648" s="2">
        <v>30</v>
      </c>
      <c r="L4648" s="2">
        <v>5</v>
      </c>
      <c r="M4648" s="3" t="s">
        <v>4148</v>
      </c>
      <c r="N4648" s="3" t="s">
        <v>4149</v>
      </c>
      <c r="O4648" s="3" t="s">
        <v>4150</v>
      </c>
      <c r="P4648" s="3" t="s">
        <v>4151</v>
      </c>
      <c r="Q4648" s="30" t="str">
        <f t="shared" si="72"/>
        <v>MAX : 61.21
TARGET : 61.06
MIN : 60.91</v>
      </c>
    </row>
    <row r="4649" spans="2:18" ht="41.4" x14ac:dyDescent="0.3">
      <c r="B4649">
        <v>0</v>
      </c>
      <c r="C4649" s="33">
        <v>9133</v>
      </c>
      <c r="D4649" s="2">
        <v>1465</v>
      </c>
      <c r="E4649" s="2" t="s">
        <v>12674</v>
      </c>
      <c r="F4649" s="3" t="s">
        <v>14207</v>
      </c>
      <c r="H4649" s="3" t="s">
        <v>648</v>
      </c>
      <c r="K4649" s="2">
        <v>30</v>
      </c>
      <c r="L4649" s="2">
        <v>6</v>
      </c>
      <c r="M4649" s="3" t="s">
        <v>4152</v>
      </c>
      <c r="N4649" s="3" t="s">
        <v>4153</v>
      </c>
      <c r="O4649" s="3" t="s">
        <v>4154</v>
      </c>
      <c r="P4649" s="3" t="s">
        <v>4155</v>
      </c>
      <c r="Q4649" s="30" t="str">
        <f t="shared" si="72"/>
        <v>MAX : 81.21
TARGET : 81.06
MIN : 80.91</v>
      </c>
    </row>
    <row r="4650" spans="2:18" ht="41.4" x14ac:dyDescent="0.3">
      <c r="B4650">
        <v>0</v>
      </c>
      <c r="C4650" s="33">
        <v>9133</v>
      </c>
      <c r="D4650" s="2">
        <v>1465</v>
      </c>
      <c r="E4650" s="2" t="s">
        <v>12674</v>
      </c>
      <c r="F4650" s="3" t="s">
        <v>14207</v>
      </c>
      <c r="H4650" s="3" t="s">
        <v>648</v>
      </c>
      <c r="K4650" s="2">
        <v>30</v>
      </c>
      <c r="L4650" s="2">
        <v>7</v>
      </c>
      <c r="M4650" s="3" t="s">
        <v>198</v>
      </c>
      <c r="N4650" s="3" t="s">
        <v>5033</v>
      </c>
      <c r="O4650" s="3" t="s">
        <v>5034</v>
      </c>
      <c r="P4650" s="3" t="s">
        <v>5035</v>
      </c>
      <c r="Q4650" s="30" t="str">
        <f t="shared" si="72"/>
        <v>MAX : 92.11
TARGET : 91.86
MIN : 91.61</v>
      </c>
    </row>
    <row r="4651" spans="2:18" ht="41.4" x14ac:dyDescent="0.3">
      <c r="B4651">
        <v>0</v>
      </c>
      <c r="C4651" s="33">
        <v>9133</v>
      </c>
      <c r="D4651" s="2">
        <v>1465</v>
      </c>
      <c r="E4651" s="2" t="s">
        <v>12674</v>
      </c>
      <c r="F4651" s="3" t="s">
        <v>14207</v>
      </c>
      <c r="H4651" s="3" t="s">
        <v>648</v>
      </c>
      <c r="K4651" s="2">
        <v>30</v>
      </c>
      <c r="L4651" s="2">
        <v>8</v>
      </c>
      <c r="M4651" s="3" t="s">
        <v>4159</v>
      </c>
      <c r="N4651" s="3" t="s">
        <v>4160</v>
      </c>
      <c r="O4651" s="3" t="s">
        <v>4161</v>
      </c>
      <c r="P4651" s="3" t="s">
        <v>4162</v>
      </c>
      <c r="Q4651" s="30" t="str">
        <f t="shared" si="72"/>
        <v>MAX : 19.05
TARGET : 18.80
MIN : 18.55</v>
      </c>
    </row>
    <row r="4652" spans="2:18" ht="41.4" x14ac:dyDescent="0.3">
      <c r="B4652">
        <v>0</v>
      </c>
      <c r="C4652" s="33">
        <v>9133</v>
      </c>
      <c r="D4652" s="2">
        <v>1465</v>
      </c>
      <c r="E4652" s="2" t="s">
        <v>12674</v>
      </c>
      <c r="F4652" s="3" t="s">
        <v>14207</v>
      </c>
      <c r="H4652" s="3" t="s">
        <v>648</v>
      </c>
      <c r="K4652" s="2">
        <v>30</v>
      </c>
      <c r="L4652" s="2">
        <v>13</v>
      </c>
      <c r="M4652" s="3" t="s">
        <v>4163</v>
      </c>
      <c r="N4652" s="3" t="s">
        <v>13</v>
      </c>
      <c r="O4652" s="3" t="s">
        <v>14</v>
      </c>
      <c r="Q4652" s="30" t="str">
        <f t="shared" si="72"/>
        <v>MAX : 
TARGET : Yes(Pass)
MIN : No(Fail)</v>
      </c>
    </row>
    <row r="4653" spans="2:18" ht="41.4" x14ac:dyDescent="0.3">
      <c r="B4653">
        <v>0</v>
      </c>
      <c r="C4653" s="33">
        <v>9133</v>
      </c>
      <c r="D4653" s="2">
        <v>1465</v>
      </c>
      <c r="E4653" s="2" t="s">
        <v>12674</v>
      </c>
      <c r="F4653" s="3" t="s">
        <v>14207</v>
      </c>
      <c r="H4653" s="3" t="s">
        <v>648</v>
      </c>
      <c r="K4653" s="2">
        <v>30</v>
      </c>
      <c r="L4653" s="2">
        <v>14</v>
      </c>
      <c r="M4653" s="3" t="s">
        <v>78</v>
      </c>
      <c r="N4653" s="3" t="s">
        <v>13</v>
      </c>
      <c r="O4653" s="3" t="s">
        <v>14</v>
      </c>
      <c r="Q4653" s="30" t="str">
        <f t="shared" si="72"/>
        <v>MAX : 
TARGET : Yes(Pass)
MIN : No(Fail)</v>
      </c>
    </row>
    <row r="4654" spans="2:18" ht="41.4" x14ac:dyDescent="0.3">
      <c r="B4654">
        <v>0</v>
      </c>
      <c r="C4654" s="33">
        <v>9133</v>
      </c>
      <c r="D4654" s="2">
        <v>1465</v>
      </c>
      <c r="E4654" s="2" t="s">
        <v>12674</v>
      </c>
      <c r="F4654" s="3" t="s">
        <v>14207</v>
      </c>
      <c r="H4654" s="3" t="s">
        <v>648</v>
      </c>
      <c r="K4654" s="2">
        <v>20</v>
      </c>
      <c r="L4654" s="2">
        <v>4</v>
      </c>
      <c r="M4654" s="3" t="s">
        <v>4483</v>
      </c>
      <c r="N4654" s="3" t="s">
        <v>4484</v>
      </c>
      <c r="O4654" s="3" t="s">
        <v>4485</v>
      </c>
      <c r="P4654" s="3" t="s">
        <v>4486</v>
      </c>
      <c r="Q4654" s="30" t="str">
        <f t="shared" si="72"/>
        <v>MAX : 95.63
TARGET : 94.63
MIN : 93.63</v>
      </c>
    </row>
    <row r="4655" spans="2:18" ht="41.4" x14ac:dyDescent="0.3">
      <c r="B4655">
        <v>0</v>
      </c>
      <c r="C4655" s="33">
        <v>9133</v>
      </c>
      <c r="D4655" s="2">
        <v>1465</v>
      </c>
      <c r="E4655" s="2" t="s">
        <v>12674</v>
      </c>
      <c r="F4655" s="3" t="s">
        <v>14207</v>
      </c>
      <c r="H4655" s="3" t="s">
        <v>648</v>
      </c>
      <c r="K4655" s="2">
        <v>30</v>
      </c>
      <c r="L4655" s="2">
        <v>9</v>
      </c>
      <c r="M4655" s="3" t="s">
        <v>1361</v>
      </c>
      <c r="N4655" s="3" t="s">
        <v>5036</v>
      </c>
      <c r="O4655" s="3" t="s">
        <v>5037</v>
      </c>
      <c r="P4655" s="3" t="s">
        <v>5038</v>
      </c>
      <c r="Q4655" s="30" t="str">
        <f t="shared" si="72"/>
        <v>MAX : 98.04
TARGET : 97.79
MIN : 97.54</v>
      </c>
    </row>
    <row r="4656" spans="2:18" ht="41.4" x14ac:dyDescent="0.3">
      <c r="B4656">
        <v>0</v>
      </c>
      <c r="C4656" s="33">
        <v>9133</v>
      </c>
      <c r="D4656" s="2">
        <v>1465</v>
      </c>
      <c r="E4656" s="2" t="s">
        <v>12674</v>
      </c>
      <c r="F4656" s="3" t="s">
        <v>14207</v>
      </c>
      <c r="H4656" s="3" t="s">
        <v>648</v>
      </c>
      <c r="K4656" s="2">
        <v>30</v>
      </c>
      <c r="L4656" s="2">
        <v>10</v>
      </c>
      <c r="M4656" s="3" t="s">
        <v>4922</v>
      </c>
      <c r="N4656" s="3" t="s">
        <v>5039</v>
      </c>
      <c r="O4656" s="3" t="s">
        <v>4923</v>
      </c>
      <c r="P4656" s="3" t="s">
        <v>5040</v>
      </c>
      <c r="Q4656" s="30" t="str">
        <f t="shared" si="72"/>
        <v>MAX : 45.20
TARGET : 44.70
MIN : 44.20</v>
      </c>
    </row>
    <row r="4657" spans="2:18" ht="41.4" x14ac:dyDescent="0.3">
      <c r="B4657">
        <v>1</v>
      </c>
      <c r="C4657" s="33">
        <v>9039</v>
      </c>
      <c r="D4657" s="2">
        <v>1399</v>
      </c>
      <c r="E4657" s="2" t="s">
        <v>12111</v>
      </c>
      <c r="F4657" s="3" t="s">
        <v>14251</v>
      </c>
      <c r="H4657" s="3" t="s">
        <v>4572</v>
      </c>
      <c r="I4657" s="3" t="s">
        <v>575</v>
      </c>
      <c r="K4657" s="2">
        <v>20</v>
      </c>
      <c r="L4657" s="2">
        <v>13</v>
      </c>
      <c r="M4657" s="3" t="s">
        <v>6181</v>
      </c>
      <c r="N4657" s="3" t="s">
        <v>13</v>
      </c>
      <c r="O4657" s="3" t="s">
        <v>14</v>
      </c>
      <c r="Q4657" s="30" t="str">
        <f t="shared" si="72"/>
        <v>MAX : 
TARGET : Yes(Pass)
MIN : No(Fail)</v>
      </c>
      <c r="R4657" s="3" t="s">
        <v>4577</v>
      </c>
    </row>
    <row r="4658" spans="2:18" ht="41.4" x14ac:dyDescent="0.3">
      <c r="B4658">
        <v>1</v>
      </c>
      <c r="C4658" s="33">
        <v>9041</v>
      </c>
      <c r="D4658" s="2">
        <v>1401</v>
      </c>
      <c r="E4658" s="2" t="s">
        <v>12123</v>
      </c>
      <c r="F4658" s="3" t="s">
        <v>14206</v>
      </c>
      <c r="H4658" s="3" t="s">
        <v>4614</v>
      </c>
      <c r="K4658" s="2">
        <v>20</v>
      </c>
      <c r="L4658" s="2">
        <v>2</v>
      </c>
      <c r="M4658" s="3" t="s">
        <v>78</v>
      </c>
      <c r="N4658" s="3" t="s">
        <v>13</v>
      </c>
      <c r="O4658" s="3" t="s">
        <v>14</v>
      </c>
      <c r="Q4658" s="30" t="str">
        <f t="shared" si="72"/>
        <v>MAX : 
TARGET : Yes(Pass)
MIN : No(Fail)</v>
      </c>
    </row>
    <row r="4659" spans="2:18" ht="41.4" x14ac:dyDescent="0.3">
      <c r="B4659">
        <v>1</v>
      </c>
      <c r="C4659" s="33">
        <v>9041</v>
      </c>
      <c r="D4659" s="2">
        <v>1401</v>
      </c>
      <c r="E4659" s="2" t="s">
        <v>12123</v>
      </c>
      <c r="F4659" s="3" t="s">
        <v>14206</v>
      </c>
      <c r="H4659" s="3" t="s">
        <v>4614</v>
      </c>
      <c r="K4659" s="2">
        <v>20</v>
      </c>
      <c r="L4659" s="2">
        <v>1</v>
      </c>
      <c r="M4659" s="3" t="s">
        <v>74</v>
      </c>
      <c r="N4659" s="3" t="s">
        <v>308</v>
      </c>
      <c r="O4659" s="3" t="s">
        <v>309</v>
      </c>
      <c r="P4659" s="3" t="s">
        <v>310</v>
      </c>
      <c r="Q4659" s="30" t="str">
        <f t="shared" si="72"/>
        <v>MAX : 0.53
TARGET : 0.50
MIN : 0.47</v>
      </c>
    </row>
    <row r="4660" spans="2:18" ht="41.4" x14ac:dyDescent="0.3">
      <c r="B4660">
        <v>0</v>
      </c>
      <c r="C4660" s="33">
        <v>9016</v>
      </c>
      <c r="D4660" s="2">
        <v>1382</v>
      </c>
      <c r="E4660" s="2" t="s">
        <v>11966</v>
      </c>
      <c r="F4660" s="3" t="s">
        <v>14246</v>
      </c>
      <c r="H4660" s="3" t="s">
        <v>2980</v>
      </c>
      <c r="K4660" s="2">
        <v>10</v>
      </c>
      <c r="L4660" s="2">
        <v>1</v>
      </c>
      <c r="M4660" s="3" t="s">
        <v>4932</v>
      </c>
      <c r="N4660" s="3" t="s">
        <v>733</v>
      </c>
      <c r="O4660" s="3" t="s">
        <v>3413</v>
      </c>
      <c r="P4660" s="3" t="s">
        <v>184</v>
      </c>
      <c r="Q4660" s="30" t="str">
        <f t="shared" si="72"/>
        <v>MAX : 5.00
TARGET : 4.90
MIN : 4.80</v>
      </c>
    </row>
    <row r="4661" spans="2:18" ht="41.4" x14ac:dyDescent="0.3">
      <c r="B4661">
        <v>1</v>
      </c>
      <c r="C4661" s="33">
        <v>9042</v>
      </c>
      <c r="D4661" s="2">
        <v>1402</v>
      </c>
      <c r="E4661" s="2" t="s">
        <v>12129</v>
      </c>
      <c r="F4661" s="3" t="s">
        <v>14206</v>
      </c>
      <c r="H4661" s="3" t="s">
        <v>4614</v>
      </c>
      <c r="K4661" s="2">
        <v>20</v>
      </c>
      <c r="L4661" s="2">
        <v>4</v>
      </c>
      <c r="M4661" s="3" t="s">
        <v>78</v>
      </c>
      <c r="N4661" s="3" t="s">
        <v>13</v>
      </c>
      <c r="O4661" s="3" t="s">
        <v>14</v>
      </c>
      <c r="Q4661" s="30" t="str">
        <f t="shared" si="72"/>
        <v>MAX : 
TARGET : Yes(Pass)
MIN : No(Fail)</v>
      </c>
    </row>
    <row r="4662" spans="2:18" ht="41.4" x14ac:dyDescent="0.3">
      <c r="B4662">
        <v>1</v>
      </c>
      <c r="C4662" s="33">
        <v>9042</v>
      </c>
      <c r="D4662" s="2">
        <v>1402</v>
      </c>
      <c r="E4662" s="2" t="s">
        <v>12129</v>
      </c>
      <c r="F4662" s="3" t="s">
        <v>14206</v>
      </c>
      <c r="H4662" s="3" t="s">
        <v>4614</v>
      </c>
      <c r="K4662" s="2">
        <v>20</v>
      </c>
      <c r="L4662" s="2">
        <v>1</v>
      </c>
      <c r="M4662" s="3" t="s">
        <v>4616</v>
      </c>
      <c r="N4662" s="3" t="s">
        <v>420</v>
      </c>
      <c r="O4662" s="3" t="s">
        <v>272</v>
      </c>
      <c r="P4662" s="3" t="s">
        <v>414</v>
      </c>
      <c r="Q4662" s="30" t="str">
        <f t="shared" si="72"/>
        <v>MAX : 1.03
TARGET : 1.00
MIN : 0.97</v>
      </c>
    </row>
    <row r="4663" spans="2:18" ht="41.4" x14ac:dyDescent="0.3">
      <c r="B4663">
        <v>0</v>
      </c>
      <c r="C4663" s="33">
        <v>9134</v>
      </c>
      <c r="D4663" s="2">
        <v>1466</v>
      </c>
      <c r="E4663" s="2" t="s">
        <v>12679</v>
      </c>
      <c r="F4663" s="3" t="s">
        <v>14206</v>
      </c>
      <c r="H4663" s="3" t="s">
        <v>648</v>
      </c>
      <c r="K4663" s="2">
        <v>10</v>
      </c>
      <c r="L4663" s="2">
        <v>3</v>
      </c>
      <c r="M4663" s="3" t="s">
        <v>422</v>
      </c>
      <c r="N4663" s="3" t="s">
        <v>979</v>
      </c>
      <c r="O4663" s="3" t="s">
        <v>309</v>
      </c>
      <c r="P4663" s="3" t="s">
        <v>1531</v>
      </c>
      <c r="Q4663" s="30" t="str">
        <f t="shared" si="72"/>
        <v>MAX : 0.56
TARGET : 0.50
MIN : 0.44</v>
      </c>
    </row>
    <row r="4664" spans="2:18" ht="41.4" x14ac:dyDescent="0.3">
      <c r="B4664">
        <v>0</v>
      </c>
      <c r="C4664" s="33">
        <v>9134</v>
      </c>
      <c r="D4664" s="2">
        <v>1466</v>
      </c>
      <c r="E4664" s="2" t="s">
        <v>12679</v>
      </c>
      <c r="F4664" s="3" t="s">
        <v>14206</v>
      </c>
      <c r="H4664" s="3" t="s">
        <v>648</v>
      </c>
      <c r="K4664" s="2">
        <v>10</v>
      </c>
      <c r="L4664" s="2">
        <v>4</v>
      </c>
      <c r="M4664" s="3" t="s">
        <v>5041</v>
      </c>
      <c r="N4664" s="3" t="s">
        <v>13</v>
      </c>
      <c r="O4664" s="3" t="s">
        <v>14</v>
      </c>
      <c r="Q4664" s="30" t="str">
        <f t="shared" si="72"/>
        <v>MAX : 
TARGET : Yes(Pass)
MIN : No(Fail)</v>
      </c>
    </row>
    <row r="4665" spans="2:18" ht="41.4" x14ac:dyDescent="0.3">
      <c r="B4665">
        <v>1</v>
      </c>
      <c r="C4665" s="33">
        <v>9043</v>
      </c>
      <c r="D4665" s="2">
        <v>2050</v>
      </c>
      <c r="E4665" s="2" t="s">
        <v>12135</v>
      </c>
      <c r="F4665" s="3" t="s">
        <v>14206</v>
      </c>
      <c r="H4665" s="3" t="s">
        <v>269</v>
      </c>
      <c r="K4665" s="2">
        <v>10</v>
      </c>
      <c r="L4665" s="2">
        <v>2</v>
      </c>
      <c r="M4665" s="3" t="s">
        <v>325</v>
      </c>
      <c r="N4665" s="3" t="s">
        <v>13</v>
      </c>
      <c r="O4665" s="3" t="s">
        <v>14</v>
      </c>
      <c r="Q4665" s="30" t="str">
        <f t="shared" si="72"/>
        <v>MAX : 
TARGET : Yes(Pass)
MIN : No(Fail)</v>
      </c>
    </row>
    <row r="4666" spans="2:18" ht="41.4" x14ac:dyDescent="0.3">
      <c r="B4666">
        <v>1</v>
      </c>
      <c r="C4666" s="33">
        <v>9043</v>
      </c>
      <c r="D4666" s="2">
        <v>2050</v>
      </c>
      <c r="E4666" s="2" t="s">
        <v>12135</v>
      </c>
      <c r="F4666" s="3" t="s">
        <v>14206</v>
      </c>
      <c r="H4666" s="3" t="s">
        <v>269</v>
      </c>
      <c r="K4666" s="2">
        <v>10</v>
      </c>
      <c r="L4666" s="2">
        <v>1</v>
      </c>
      <c r="M4666" s="3" t="s">
        <v>99</v>
      </c>
      <c r="N4666" s="3" t="s">
        <v>571</v>
      </c>
      <c r="O4666" s="3" t="s">
        <v>276</v>
      </c>
      <c r="P4666" s="3" t="s">
        <v>572</v>
      </c>
      <c r="Q4666" s="30" t="str">
        <f t="shared" si="72"/>
        <v>MAX : 0.405
TARGET : 0.375
MIN : 0.345</v>
      </c>
    </row>
    <row r="4667" spans="2:18" ht="41.4" x14ac:dyDescent="0.3">
      <c r="B4667">
        <v>0</v>
      </c>
      <c r="C4667" s="33">
        <v>9136</v>
      </c>
      <c r="D4667" s="2">
        <v>2074</v>
      </c>
      <c r="E4667" s="2" t="s">
        <v>12694</v>
      </c>
      <c r="F4667" s="3" t="s">
        <v>14207</v>
      </c>
      <c r="H4667" s="3" t="s">
        <v>3123</v>
      </c>
      <c r="K4667" s="2">
        <v>10</v>
      </c>
      <c r="L4667" s="2">
        <v>3</v>
      </c>
      <c r="M4667" s="3" t="s">
        <v>5045</v>
      </c>
      <c r="N4667" s="3" t="s">
        <v>13</v>
      </c>
      <c r="O4667" s="3" t="s">
        <v>14</v>
      </c>
      <c r="Q4667" s="30" t="str">
        <f t="shared" si="72"/>
        <v>MAX : 
TARGET : Yes(Pass)
MIN : No(Fail)</v>
      </c>
    </row>
    <row r="4668" spans="2:18" ht="41.4" x14ac:dyDescent="0.3">
      <c r="B4668">
        <v>1</v>
      </c>
      <c r="C4668" s="33">
        <v>9044</v>
      </c>
      <c r="D4668" s="2">
        <v>1403</v>
      </c>
      <c r="E4668" s="2" t="s">
        <v>12141</v>
      </c>
      <c r="F4668" s="3" t="s">
        <v>14206</v>
      </c>
      <c r="H4668" s="3" t="s">
        <v>648</v>
      </c>
      <c r="I4668" s="3" t="s">
        <v>487</v>
      </c>
      <c r="K4668" s="2">
        <v>20</v>
      </c>
      <c r="L4668" s="2">
        <v>1</v>
      </c>
      <c r="M4668" s="3" t="s">
        <v>4598</v>
      </c>
      <c r="N4668" s="3" t="s">
        <v>420</v>
      </c>
      <c r="O4668" s="3" t="s">
        <v>272</v>
      </c>
      <c r="P4668" s="3" t="s">
        <v>414</v>
      </c>
      <c r="Q4668" s="30" t="str">
        <f t="shared" si="72"/>
        <v>MAX : 1.03
TARGET : 1.00
MIN : 0.97</v>
      </c>
    </row>
    <row r="4669" spans="2:18" ht="41.4" x14ac:dyDescent="0.3">
      <c r="B4669">
        <v>0</v>
      </c>
      <c r="C4669" s="33">
        <v>9018</v>
      </c>
      <c r="D4669" s="2">
        <v>2044</v>
      </c>
      <c r="E4669" s="2" t="s">
        <v>11980</v>
      </c>
      <c r="F4669" s="3" t="s">
        <v>14206</v>
      </c>
      <c r="H4669" s="3" t="s">
        <v>4430</v>
      </c>
      <c r="I4669" s="3" t="s">
        <v>487</v>
      </c>
      <c r="K4669" s="2">
        <v>20</v>
      </c>
      <c r="L4669" s="2">
        <v>5</v>
      </c>
      <c r="M4669" s="3" t="s">
        <v>5503</v>
      </c>
      <c r="N4669" s="3" t="s">
        <v>571</v>
      </c>
      <c r="O4669" s="3" t="s">
        <v>276</v>
      </c>
      <c r="P4669" s="3" t="s">
        <v>572</v>
      </c>
      <c r="Q4669" s="30" t="str">
        <f t="shared" si="72"/>
        <v>MAX : 0.405
TARGET : 0.375
MIN : 0.345</v>
      </c>
    </row>
    <row r="4670" spans="2:18" ht="41.4" x14ac:dyDescent="0.3">
      <c r="B4670">
        <v>1</v>
      </c>
      <c r="C4670" s="33">
        <v>9044</v>
      </c>
      <c r="D4670" s="2">
        <v>1403</v>
      </c>
      <c r="E4670" s="2" t="s">
        <v>12141</v>
      </c>
      <c r="F4670" s="3" t="s">
        <v>14206</v>
      </c>
      <c r="H4670" s="3" t="s">
        <v>648</v>
      </c>
      <c r="I4670" s="3" t="s">
        <v>487</v>
      </c>
      <c r="K4670" s="2">
        <v>10</v>
      </c>
      <c r="L4670" s="2">
        <v>1</v>
      </c>
      <c r="M4670" s="3" t="s">
        <v>4597</v>
      </c>
      <c r="N4670" s="3" t="s">
        <v>900</v>
      </c>
      <c r="O4670" s="3" t="s">
        <v>28</v>
      </c>
      <c r="P4670" s="3" t="s">
        <v>901</v>
      </c>
      <c r="Q4670" s="30" t="str">
        <f t="shared" si="72"/>
        <v>MAX : 1.56
TARGET : 1.50
MIN : 1.44</v>
      </c>
    </row>
    <row r="4671" spans="2:18" ht="41.4" x14ac:dyDescent="0.3">
      <c r="B4671">
        <v>0</v>
      </c>
      <c r="C4671" s="33">
        <v>9139</v>
      </c>
      <c r="D4671" s="2">
        <v>1469</v>
      </c>
      <c r="E4671" s="2" t="s">
        <v>12708</v>
      </c>
      <c r="F4671" s="3" t="s">
        <v>14206</v>
      </c>
      <c r="H4671" s="3" t="s">
        <v>1052</v>
      </c>
      <c r="K4671" s="2">
        <v>20</v>
      </c>
      <c r="L4671" s="2">
        <v>3</v>
      </c>
      <c r="M4671" s="3" t="s">
        <v>5049</v>
      </c>
      <c r="N4671" s="3" t="s">
        <v>13</v>
      </c>
      <c r="O4671" s="3" t="s">
        <v>14</v>
      </c>
      <c r="Q4671" s="30" t="str">
        <f t="shared" si="72"/>
        <v>MAX : 
TARGET : Yes(Pass)
MIN : No(Fail)</v>
      </c>
    </row>
    <row r="4672" spans="2:18" ht="41.4" x14ac:dyDescent="0.3">
      <c r="B4672">
        <v>1</v>
      </c>
      <c r="C4672" s="33">
        <v>9045</v>
      </c>
      <c r="D4672" s="2">
        <v>2051</v>
      </c>
      <c r="E4672" s="2" t="s">
        <v>12147</v>
      </c>
      <c r="F4672" s="3" t="s">
        <v>14206</v>
      </c>
      <c r="H4672" s="3" t="s">
        <v>289</v>
      </c>
      <c r="K4672" s="2">
        <v>10</v>
      </c>
      <c r="L4672" s="2">
        <v>2</v>
      </c>
      <c r="M4672" s="3" t="s">
        <v>325</v>
      </c>
      <c r="N4672" s="3" t="s">
        <v>13</v>
      </c>
      <c r="O4672" s="3" t="s">
        <v>14</v>
      </c>
      <c r="Q4672" s="30" t="str">
        <f t="shared" si="72"/>
        <v>MAX : 
TARGET : Yes(Pass)
MIN : No(Fail)</v>
      </c>
    </row>
    <row r="4673" spans="2:18" ht="41.4" x14ac:dyDescent="0.3">
      <c r="B4673">
        <v>1</v>
      </c>
      <c r="C4673" s="33">
        <v>9045</v>
      </c>
      <c r="D4673" s="2">
        <v>2051</v>
      </c>
      <c r="E4673" s="2" t="s">
        <v>12147</v>
      </c>
      <c r="F4673" s="3" t="s">
        <v>14206</v>
      </c>
      <c r="H4673" s="3" t="s">
        <v>289</v>
      </c>
      <c r="K4673" s="2">
        <v>10</v>
      </c>
      <c r="L4673" s="2">
        <v>1</v>
      </c>
      <c r="M4673" s="3" t="s">
        <v>458</v>
      </c>
      <c r="N4673" s="3" t="s">
        <v>3143</v>
      </c>
      <c r="O4673" s="3" t="s">
        <v>3144</v>
      </c>
      <c r="P4673" s="3" t="s">
        <v>3145</v>
      </c>
      <c r="Q4673" s="30" t="str">
        <f t="shared" si="72"/>
        <v>MAX : 11.56
TARGET : 11.50
MIN : 11.44</v>
      </c>
    </row>
    <row r="4674" spans="2:18" ht="41.4" x14ac:dyDescent="0.3">
      <c r="B4674">
        <v>0</v>
      </c>
      <c r="C4674" s="33">
        <v>8841</v>
      </c>
      <c r="D4674" s="2">
        <v>1303</v>
      </c>
      <c r="E4674" s="2" t="s">
        <v>11189</v>
      </c>
      <c r="F4674" s="3" t="s">
        <v>14207</v>
      </c>
      <c r="H4674" s="3" t="s">
        <v>3890</v>
      </c>
      <c r="K4674" s="2">
        <v>10</v>
      </c>
      <c r="L4674" s="2">
        <v>4</v>
      </c>
      <c r="M4674" s="3" t="s">
        <v>198</v>
      </c>
      <c r="N4674" s="3" t="s">
        <v>5056</v>
      </c>
      <c r="O4674" s="3" t="s">
        <v>5057</v>
      </c>
      <c r="P4674" s="3" t="s">
        <v>5058</v>
      </c>
      <c r="Q4674" s="30" t="str">
        <f t="shared" ref="Q4674:Q4737" si="73">"MAX : " &amp; P4674 &amp; CHAR(10) &amp; "TARGET : " &amp; O4674 &amp; CHAR(10) &amp; "MIN : " &amp; N4674</f>
        <v>MAX : 1.417
TARGET : 1.392
MIN : 1.367</v>
      </c>
      <c r="R4674" s="3" t="s">
        <v>3894</v>
      </c>
    </row>
    <row r="4675" spans="2:18" ht="41.4" x14ac:dyDescent="0.3">
      <c r="B4675">
        <v>0</v>
      </c>
      <c r="C4675" s="33">
        <v>8841</v>
      </c>
      <c r="D4675" s="2">
        <v>1303</v>
      </c>
      <c r="E4675" s="2" t="s">
        <v>11189</v>
      </c>
      <c r="F4675" s="3" t="s">
        <v>14207</v>
      </c>
      <c r="H4675" s="3" t="s">
        <v>3890</v>
      </c>
      <c r="K4675" s="2">
        <v>10</v>
      </c>
      <c r="L4675" s="2">
        <v>5</v>
      </c>
      <c r="M4675" s="3" t="s">
        <v>1072</v>
      </c>
      <c r="N4675" s="3" t="s">
        <v>5059</v>
      </c>
      <c r="O4675" s="3" t="s">
        <v>5060</v>
      </c>
      <c r="P4675" s="3" t="s">
        <v>5061</v>
      </c>
      <c r="Q4675" s="30" t="str">
        <f t="shared" si="73"/>
        <v>MAX : 2.49
TARGET : 2.33
MIN : 2.17</v>
      </c>
      <c r="R4675" s="3" t="s">
        <v>3894</v>
      </c>
    </row>
    <row r="4676" spans="2:18" ht="41.4" x14ac:dyDescent="0.3">
      <c r="B4676">
        <v>0</v>
      </c>
      <c r="C4676" s="33">
        <v>8841</v>
      </c>
      <c r="D4676" s="2">
        <v>1303</v>
      </c>
      <c r="E4676" s="2" t="s">
        <v>11189</v>
      </c>
      <c r="F4676" s="3" t="s">
        <v>14207</v>
      </c>
      <c r="H4676" s="3" t="s">
        <v>3890</v>
      </c>
      <c r="K4676" s="2">
        <v>10</v>
      </c>
      <c r="L4676" s="2">
        <v>6</v>
      </c>
      <c r="M4676" s="3" t="s">
        <v>569</v>
      </c>
      <c r="N4676" s="3" t="s">
        <v>3954</v>
      </c>
      <c r="O4676" s="3" t="s">
        <v>2398</v>
      </c>
      <c r="P4676" s="3" t="s">
        <v>3957</v>
      </c>
      <c r="Q4676" s="30" t="str">
        <f t="shared" si="73"/>
        <v>MAX : 6.15
TARGET : 6.10
MIN : 6.05</v>
      </c>
      <c r="R4676" s="3" t="s">
        <v>3894</v>
      </c>
    </row>
    <row r="4677" spans="2:18" ht="41.4" x14ac:dyDescent="0.3">
      <c r="B4677">
        <v>1</v>
      </c>
      <c r="C4677" s="33">
        <v>9046</v>
      </c>
      <c r="D4677" s="2">
        <v>2052</v>
      </c>
      <c r="E4677" s="2" t="s">
        <v>12153</v>
      </c>
      <c r="F4677" s="3" t="s">
        <v>14206</v>
      </c>
      <c r="H4677" s="3" t="s">
        <v>1903</v>
      </c>
      <c r="K4677" s="2">
        <v>10</v>
      </c>
      <c r="L4677" s="2">
        <v>2</v>
      </c>
      <c r="M4677" s="3" t="s">
        <v>1623</v>
      </c>
      <c r="N4677" s="3" t="s">
        <v>13</v>
      </c>
      <c r="O4677" s="3" t="s">
        <v>14</v>
      </c>
      <c r="Q4677" s="30" t="str">
        <f t="shared" si="73"/>
        <v>MAX : 
TARGET : Yes(Pass)
MIN : No(Fail)</v>
      </c>
    </row>
    <row r="4678" spans="2:18" ht="41.4" x14ac:dyDescent="0.3">
      <c r="B4678">
        <v>1</v>
      </c>
      <c r="C4678" s="33">
        <v>9046</v>
      </c>
      <c r="D4678" s="2">
        <v>2052</v>
      </c>
      <c r="E4678" s="2" t="s">
        <v>12153</v>
      </c>
      <c r="F4678" s="3" t="s">
        <v>14206</v>
      </c>
      <c r="H4678" s="3" t="s">
        <v>1903</v>
      </c>
      <c r="K4678" s="2">
        <v>10</v>
      </c>
      <c r="L4678" s="2">
        <v>1</v>
      </c>
      <c r="M4678" s="3" t="s">
        <v>99</v>
      </c>
      <c r="N4678" s="3" t="s">
        <v>1641</v>
      </c>
      <c r="O4678" s="3" t="s">
        <v>149</v>
      </c>
      <c r="P4678" s="3" t="s">
        <v>1642</v>
      </c>
      <c r="Q4678" s="30" t="str">
        <f t="shared" si="73"/>
        <v>MAX : 12.06
TARGET : 12.00
MIN : 11.94</v>
      </c>
    </row>
    <row r="4679" spans="2:18" ht="41.4" x14ac:dyDescent="0.3">
      <c r="B4679">
        <v>0</v>
      </c>
      <c r="C4679" s="33">
        <v>9137</v>
      </c>
      <c r="D4679" s="2">
        <v>1468</v>
      </c>
      <c r="E4679" s="2" t="s">
        <v>12702</v>
      </c>
      <c r="F4679" s="3" t="s">
        <v>14206</v>
      </c>
      <c r="H4679" s="3" t="s">
        <v>713</v>
      </c>
      <c r="K4679" s="2">
        <v>40</v>
      </c>
      <c r="L4679" s="2">
        <v>2</v>
      </c>
      <c r="M4679" s="3" t="s">
        <v>5064</v>
      </c>
      <c r="N4679" s="3" t="s">
        <v>247</v>
      </c>
      <c r="O4679" s="3" t="s">
        <v>309</v>
      </c>
      <c r="P4679" s="3" t="s">
        <v>1814</v>
      </c>
      <c r="Q4679" s="30" t="str">
        <f t="shared" si="73"/>
        <v>MAX : 0.63
TARGET : 0.50
MIN : 0.38</v>
      </c>
      <c r="R4679" s="3" t="s">
        <v>1638</v>
      </c>
    </row>
    <row r="4680" spans="2:18" ht="41.4" x14ac:dyDescent="0.3">
      <c r="B4680">
        <v>0</v>
      </c>
      <c r="C4680" s="33">
        <v>9137</v>
      </c>
      <c r="D4680" s="2">
        <v>1468</v>
      </c>
      <c r="E4680" s="2" t="s">
        <v>12702</v>
      </c>
      <c r="F4680" s="3" t="s">
        <v>14206</v>
      </c>
      <c r="H4680" s="3" t="s">
        <v>713</v>
      </c>
      <c r="K4680" s="2">
        <v>40</v>
      </c>
      <c r="L4680" s="2">
        <v>3</v>
      </c>
      <c r="M4680" s="3" t="s">
        <v>198</v>
      </c>
      <c r="N4680" s="3" t="s">
        <v>5065</v>
      </c>
      <c r="O4680" s="3" t="s">
        <v>1211</v>
      </c>
      <c r="P4680" s="3" t="s">
        <v>4279</v>
      </c>
      <c r="Q4680" s="30" t="str">
        <f t="shared" si="73"/>
        <v>MAX : 6.63
TARGET : 6.50
MIN : 6.38</v>
      </c>
      <c r="R4680" s="3" t="s">
        <v>1638</v>
      </c>
    </row>
    <row r="4681" spans="2:18" ht="41.4" x14ac:dyDescent="0.3">
      <c r="B4681">
        <v>0</v>
      </c>
      <c r="C4681" s="33">
        <v>9137</v>
      </c>
      <c r="D4681" s="2">
        <v>1468</v>
      </c>
      <c r="E4681" s="2" t="s">
        <v>12702</v>
      </c>
      <c r="F4681" s="3" t="s">
        <v>14206</v>
      </c>
      <c r="H4681" s="3" t="s">
        <v>713</v>
      </c>
      <c r="K4681" s="2">
        <v>40</v>
      </c>
      <c r="L4681" s="2">
        <v>4</v>
      </c>
      <c r="M4681" s="3" t="s">
        <v>5066</v>
      </c>
      <c r="N4681" s="3" t="s">
        <v>13</v>
      </c>
      <c r="O4681" s="3" t="s">
        <v>14</v>
      </c>
      <c r="Q4681" s="30" t="str">
        <f t="shared" si="73"/>
        <v>MAX : 
TARGET : Yes(Pass)
MIN : No(Fail)</v>
      </c>
      <c r="R4681" s="3" t="s">
        <v>1638</v>
      </c>
    </row>
    <row r="4682" spans="2:18" ht="41.4" x14ac:dyDescent="0.3">
      <c r="B4682">
        <v>0</v>
      </c>
      <c r="C4682" s="33">
        <v>9137</v>
      </c>
      <c r="D4682" s="2">
        <v>1468</v>
      </c>
      <c r="E4682" s="2" t="s">
        <v>12702</v>
      </c>
      <c r="F4682" s="3" t="s">
        <v>14206</v>
      </c>
      <c r="H4682" s="3" t="s">
        <v>713</v>
      </c>
      <c r="K4682" s="2">
        <v>40</v>
      </c>
      <c r="L4682" s="2">
        <v>5</v>
      </c>
      <c r="M4682" s="3" t="s">
        <v>5067</v>
      </c>
      <c r="N4682" s="3" t="s">
        <v>13</v>
      </c>
      <c r="O4682" s="3" t="s">
        <v>14</v>
      </c>
      <c r="Q4682" s="30" t="str">
        <f t="shared" si="73"/>
        <v>MAX : 
TARGET : Yes(Pass)
MIN : No(Fail)</v>
      </c>
      <c r="R4682" s="3" t="s">
        <v>1638</v>
      </c>
    </row>
    <row r="4683" spans="2:18" ht="41.4" x14ac:dyDescent="0.3">
      <c r="B4683">
        <v>0</v>
      </c>
      <c r="C4683" s="33">
        <v>9137</v>
      </c>
      <c r="D4683" s="2">
        <v>1468</v>
      </c>
      <c r="E4683" s="2" t="s">
        <v>12702</v>
      </c>
      <c r="F4683" s="3" t="s">
        <v>14206</v>
      </c>
      <c r="H4683" s="3" t="s">
        <v>713</v>
      </c>
      <c r="K4683" s="2">
        <v>40</v>
      </c>
      <c r="L4683" s="2">
        <v>6</v>
      </c>
      <c r="M4683" s="3" t="s">
        <v>5068</v>
      </c>
      <c r="N4683" s="3" t="s">
        <v>13</v>
      </c>
      <c r="O4683" s="3" t="s">
        <v>14</v>
      </c>
      <c r="Q4683" s="30" t="str">
        <f t="shared" si="73"/>
        <v>MAX : 
TARGET : Yes(Pass)
MIN : No(Fail)</v>
      </c>
      <c r="R4683" s="3" t="s">
        <v>1638</v>
      </c>
    </row>
    <row r="4684" spans="2:18" ht="41.4" x14ac:dyDescent="0.3">
      <c r="B4684">
        <v>1</v>
      </c>
      <c r="C4684" s="33">
        <v>9047</v>
      </c>
      <c r="D4684" s="2">
        <v>1404</v>
      </c>
      <c r="E4684" s="2" t="s">
        <v>12159</v>
      </c>
      <c r="F4684" s="3" t="s">
        <v>14206</v>
      </c>
      <c r="H4684" s="3" t="s">
        <v>4619</v>
      </c>
      <c r="K4684" s="2">
        <v>10</v>
      </c>
      <c r="L4684" s="2">
        <v>2</v>
      </c>
      <c r="M4684" s="3" t="s">
        <v>4624</v>
      </c>
      <c r="N4684" s="3" t="s">
        <v>3898</v>
      </c>
      <c r="O4684" s="3" t="s">
        <v>1603</v>
      </c>
      <c r="P4684" s="3" t="s">
        <v>1347</v>
      </c>
      <c r="Q4684" s="30" t="str">
        <f t="shared" si="73"/>
        <v>MAX : 0.270
TARGET : 0.265
MIN : 0.260</v>
      </c>
    </row>
    <row r="4685" spans="2:18" ht="41.4" x14ac:dyDescent="0.3">
      <c r="B4685">
        <v>1</v>
      </c>
      <c r="C4685" s="33">
        <v>9047</v>
      </c>
      <c r="D4685" s="2">
        <v>1404</v>
      </c>
      <c r="E4685" s="2" t="s">
        <v>12159</v>
      </c>
      <c r="F4685" s="3" t="s">
        <v>14206</v>
      </c>
      <c r="H4685" s="3" t="s">
        <v>4619</v>
      </c>
      <c r="K4685" s="2">
        <v>10</v>
      </c>
      <c r="L4685" s="2">
        <v>1</v>
      </c>
      <c r="M4685" s="3" t="s">
        <v>4620</v>
      </c>
      <c r="N4685" s="3" t="s">
        <v>4621</v>
      </c>
      <c r="O4685" s="3" t="s">
        <v>4622</v>
      </c>
      <c r="P4685" s="3" t="s">
        <v>4623</v>
      </c>
      <c r="Q4685" s="30" t="str">
        <f t="shared" si="73"/>
        <v>MAX : 1.850
TARGET : 1.845
MIN : 1.840</v>
      </c>
    </row>
    <row r="4686" spans="2:18" ht="41.4" x14ac:dyDescent="0.3">
      <c r="B4686">
        <v>0</v>
      </c>
      <c r="C4686" s="33">
        <v>9102</v>
      </c>
      <c r="D4686" s="2">
        <v>1442</v>
      </c>
      <c r="E4686" s="2" t="s">
        <v>12497</v>
      </c>
      <c r="F4686" s="3" t="s">
        <v>14206</v>
      </c>
      <c r="H4686" s="3" t="s">
        <v>1915</v>
      </c>
      <c r="K4686" s="2">
        <v>30</v>
      </c>
      <c r="L4686" s="2">
        <v>4</v>
      </c>
      <c r="M4686" s="3" t="s">
        <v>5073</v>
      </c>
      <c r="N4686" s="3" t="s">
        <v>5074</v>
      </c>
      <c r="O4686" s="3" t="s">
        <v>5075</v>
      </c>
      <c r="P4686" s="3" t="s">
        <v>842</v>
      </c>
      <c r="Q4686" s="30" t="str">
        <f t="shared" si="73"/>
        <v>MAX : 5.375
TARGET : 5.360
MIN : 5.345</v>
      </c>
      <c r="R4686" s="3" t="s">
        <v>4520</v>
      </c>
    </row>
    <row r="4687" spans="2:18" ht="41.4" x14ac:dyDescent="0.3">
      <c r="B4687">
        <v>0</v>
      </c>
      <c r="C4687" s="33">
        <v>9102</v>
      </c>
      <c r="D4687" s="2">
        <v>1442</v>
      </c>
      <c r="E4687" s="2" t="s">
        <v>12497</v>
      </c>
      <c r="F4687" s="3" t="s">
        <v>14206</v>
      </c>
      <c r="H4687" s="3" t="s">
        <v>1915</v>
      </c>
      <c r="K4687" s="2">
        <v>30</v>
      </c>
      <c r="L4687" s="2">
        <v>3</v>
      </c>
      <c r="M4687" s="3" t="s">
        <v>198</v>
      </c>
      <c r="N4687" s="3" t="s">
        <v>5071</v>
      </c>
      <c r="O4687" s="3" t="s">
        <v>3839</v>
      </c>
      <c r="P4687" s="3" t="s">
        <v>5072</v>
      </c>
      <c r="Q4687" s="30" t="str">
        <f t="shared" si="73"/>
        <v>MAX : 8.015
TARGET : 8.000
MIN : 7.985</v>
      </c>
      <c r="R4687" s="3" t="s">
        <v>4520</v>
      </c>
    </row>
    <row r="4688" spans="2:18" ht="41.4" x14ac:dyDescent="0.3">
      <c r="B4688">
        <v>0</v>
      </c>
      <c r="C4688" s="33">
        <v>9102</v>
      </c>
      <c r="D4688" s="2">
        <v>1442</v>
      </c>
      <c r="E4688" s="2" t="s">
        <v>12497</v>
      </c>
      <c r="F4688" s="3" t="s">
        <v>14206</v>
      </c>
      <c r="H4688" s="3" t="s">
        <v>1915</v>
      </c>
      <c r="K4688" s="2">
        <v>30</v>
      </c>
      <c r="L4688" s="2">
        <v>2</v>
      </c>
      <c r="M4688" s="3" t="s">
        <v>5076</v>
      </c>
      <c r="N4688" s="3" t="s">
        <v>5077</v>
      </c>
      <c r="O4688" s="3" t="s">
        <v>5078</v>
      </c>
      <c r="P4688" s="3" t="s">
        <v>5079</v>
      </c>
      <c r="Q4688" s="30" t="str">
        <f t="shared" si="73"/>
        <v>MAX : 6.385
TARGET : 6.370
MIN : 6.355</v>
      </c>
      <c r="R4688" s="3" t="s">
        <v>4520</v>
      </c>
    </row>
    <row r="4689" spans="2:18" ht="41.4" x14ac:dyDescent="0.3">
      <c r="B4689">
        <v>0</v>
      </c>
      <c r="C4689" s="33">
        <v>9102</v>
      </c>
      <c r="D4689" s="2">
        <v>1442</v>
      </c>
      <c r="E4689" s="2" t="s">
        <v>12497</v>
      </c>
      <c r="F4689" s="3" t="s">
        <v>14206</v>
      </c>
      <c r="H4689" s="3" t="s">
        <v>1915</v>
      </c>
      <c r="K4689" s="2">
        <v>30</v>
      </c>
      <c r="L4689" s="2">
        <v>5</v>
      </c>
      <c r="M4689" s="3" t="s">
        <v>3877</v>
      </c>
      <c r="N4689" s="3" t="s">
        <v>13</v>
      </c>
      <c r="O4689" s="3" t="s">
        <v>14</v>
      </c>
      <c r="Q4689" s="30" t="str">
        <f t="shared" si="73"/>
        <v>MAX : 
TARGET : Yes(Pass)
MIN : No(Fail)</v>
      </c>
      <c r="R4689" s="3" t="s">
        <v>4520</v>
      </c>
    </row>
    <row r="4690" spans="2:18" ht="41.4" x14ac:dyDescent="0.3">
      <c r="B4690">
        <v>1</v>
      </c>
      <c r="C4690" s="33">
        <v>9048</v>
      </c>
      <c r="D4690" s="2">
        <v>1405</v>
      </c>
      <c r="E4690" s="2" t="s">
        <v>12159</v>
      </c>
      <c r="F4690" s="3" t="s">
        <v>14206</v>
      </c>
      <c r="H4690" s="3" t="s">
        <v>4619</v>
      </c>
      <c r="K4690" s="2">
        <v>10</v>
      </c>
      <c r="L4690" s="2">
        <v>2</v>
      </c>
      <c r="M4690" s="3" t="s">
        <v>4624</v>
      </c>
      <c r="N4690" s="3" t="s">
        <v>983</v>
      </c>
      <c r="O4690" s="3" t="s">
        <v>3740</v>
      </c>
      <c r="P4690" s="3" t="s">
        <v>1780</v>
      </c>
      <c r="Q4690" s="30" t="str">
        <f t="shared" si="73"/>
        <v>MAX : 0.105
TARGET : 0.100
MIN : 0.095</v>
      </c>
    </row>
    <row r="4691" spans="2:18" ht="41.4" x14ac:dyDescent="0.3">
      <c r="B4691">
        <v>1</v>
      </c>
      <c r="C4691" s="33">
        <v>9048</v>
      </c>
      <c r="D4691" s="2">
        <v>1405</v>
      </c>
      <c r="E4691" s="2" t="s">
        <v>12159</v>
      </c>
      <c r="F4691" s="3" t="s">
        <v>14206</v>
      </c>
      <c r="H4691" s="3" t="s">
        <v>4619</v>
      </c>
      <c r="K4691" s="2">
        <v>10</v>
      </c>
      <c r="L4691" s="2">
        <v>1</v>
      </c>
      <c r="M4691" s="3" t="s">
        <v>4657</v>
      </c>
      <c r="N4691" s="3" t="s">
        <v>4621</v>
      </c>
      <c r="O4691" s="3" t="s">
        <v>4622</v>
      </c>
      <c r="P4691" s="3" t="s">
        <v>4623</v>
      </c>
      <c r="Q4691" s="30" t="str">
        <f t="shared" si="73"/>
        <v>MAX : 1.850
TARGET : 1.845
MIN : 1.840</v>
      </c>
    </row>
    <row r="4692" spans="2:18" ht="41.4" x14ac:dyDescent="0.3">
      <c r="B4692">
        <v>0</v>
      </c>
      <c r="C4692" s="33">
        <v>9140</v>
      </c>
      <c r="D4692" s="2">
        <v>2075</v>
      </c>
      <c r="E4692" s="2" t="s">
        <v>12714</v>
      </c>
      <c r="F4692" s="3" t="s">
        <v>14206</v>
      </c>
      <c r="H4692" s="3" t="s">
        <v>289</v>
      </c>
      <c r="K4692" s="2">
        <v>20</v>
      </c>
      <c r="L4692" s="2">
        <v>1</v>
      </c>
      <c r="M4692" s="3" t="s">
        <v>1469</v>
      </c>
      <c r="N4692" s="3" t="s">
        <v>5080</v>
      </c>
      <c r="O4692" s="3" t="s">
        <v>855</v>
      </c>
      <c r="P4692" s="3" t="s">
        <v>4785</v>
      </c>
      <c r="Q4692" s="30" t="str">
        <f t="shared" si="73"/>
        <v>MAX : 15.06
TARGET : 15.00
MIN : 14.94</v>
      </c>
    </row>
    <row r="4693" spans="2:18" ht="41.4" x14ac:dyDescent="0.3">
      <c r="B4693">
        <v>0</v>
      </c>
      <c r="C4693" s="33">
        <v>9140</v>
      </c>
      <c r="D4693" s="2">
        <v>2075</v>
      </c>
      <c r="E4693" s="2" t="s">
        <v>12714</v>
      </c>
      <c r="F4693" s="3" t="s">
        <v>14206</v>
      </c>
      <c r="H4693" s="3" t="s">
        <v>289</v>
      </c>
      <c r="K4693" s="2">
        <v>20</v>
      </c>
      <c r="L4693" s="2">
        <v>2</v>
      </c>
      <c r="M4693" s="3" t="s">
        <v>5081</v>
      </c>
      <c r="N4693" s="3" t="s">
        <v>5082</v>
      </c>
      <c r="O4693" s="3" t="s">
        <v>5083</v>
      </c>
      <c r="P4693" s="3" t="s">
        <v>5084</v>
      </c>
      <c r="Q4693" s="30" t="str">
        <f t="shared" si="73"/>
        <v>MAX : 14.42
TARGET : 14.39
MIN : 14.36</v>
      </c>
    </row>
    <row r="4694" spans="2:18" ht="41.4" x14ac:dyDescent="0.3">
      <c r="B4694">
        <v>0</v>
      </c>
      <c r="C4694" s="33">
        <v>9140</v>
      </c>
      <c r="D4694" s="2">
        <v>2075</v>
      </c>
      <c r="E4694" s="2" t="s">
        <v>12714</v>
      </c>
      <c r="F4694" s="3" t="s">
        <v>14206</v>
      </c>
      <c r="H4694" s="3" t="s">
        <v>289</v>
      </c>
      <c r="K4694" s="2">
        <v>20</v>
      </c>
      <c r="L4694" s="2">
        <v>5</v>
      </c>
      <c r="M4694" s="3" t="s">
        <v>3757</v>
      </c>
      <c r="N4694" s="3" t="s">
        <v>13</v>
      </c>
      <c r="O4694" s="3" t="s">
        <v>14</v>
      </c>
      <c r="Q4694" s="30" t="str">
        <f t="shared" si="73"/>
        <v>MAX : 
TARGET : Yes(Pass)
MIN : No(Fail)</v>
      </c>
    </row>
    <row r="4695" spans="2:18" ht="41.4" x14ac:dyDescent="0.3">
      <c r="B4695">
        <v>0</v>
      </c>
      <c r="C4695" s="33">
        <v>9140</v>
      </c>
      <c r="D4695" s="2">
        <v>2075</v>
      </c>
      <c r="E4695" s="2" t="s">
        <v>12714</v>
      </c>
      <c r="F4695" s="3" t="s">
        <v>14206</v>
      </c>
      <c r="H4695" s="3" t="s">
        <v>289</v>
      </c>
      <c r="K4695" s="2">
        <v>20</v>
      </c>
      <c r="L4695" s="2">
        <v>3</v>
      </c>
      <c r="M4695" s="3" t="s">
        <v>5085</v>
      </c>
      <c r="N4695" s="3" t="s">
        <v>3917</v>
      </c>
      <c r="O4695" s="3" t="s">
        <v>2853</v>
      </c>
      <c r="P4695" s="3" t="s">
        <v>5086</v>
      </c>
      <c r="Q4695" s="30" t="str">
        <f t="shared" si="73"/>
        <v>MAX : 0.255
TARGET : 0.225
MIN : 0.195</v>
      </c>
    </row>
    <row r="4696" spans="2:18" ht="41.4" x14ac:dyDescent="0.3">
      <c r="B4696">
        <v>0</v>
      </c>
      <c r="C4696" s="33">
        <v>9140</v>
      </c>
      <c r="D4696" s="2">
        <v>2075</v>
      </c>
      <c r="E4696" s="2" t="s">
        <v>12714</v>
      </c>
      <c r="F4696" s="3" t="s">
        <v>14206</v>
      </c>
      <c r="H4696" s="3" t="s">
        <v>289</v>
      </c>
      <c r="K4696" s="2">
        <v>20</v>
      </c>
      <c r="L4696" s="2">
        <v>4</v>
      </c>
      <c r="M4696" s="3" t="s">
        <v>5087</v>
      </c>
      <c r="N4696" s="3" t="s">
        <v>3917</v>
      </c>
      <c r="O4696" s="3" t="s">
        <v>2853</v>
      </c>
      <c r="P4696" s="3" t="s">
        <v>5086</v>
      </c>
      <c r="Q4696" s="30" t="str">
        <f t="shared" si="73"/>
        <v>MAX : 0.255
TARGET : 0.225
MIN : 0.195</v>
      </c>
    </row>
    <row r="4697" spans="2:18" ht="41.4" x14ac:dyDescent="0.3">
      <c r="B4697">
        <v>1</v>
      </c>
      <c r="C4697" s="33">
        <v>9049</v>
      </c>
      <c r="D4697" s="2">
        <v>1406</v>
      </c>
      <c r="E4697" s="2" t="s">
        <v>12168</v>
      </c>
      <c r="F4697" s="3" t="s">
        <v>14206</v>
      </c>
      <c r="H4697" s="3" t="s">
        <v>4619</v>
      </c>
      <c r="K4697" s="2">
        <v>10</v>
      </c>
      <c r="L4697" s="2">
        <v>2</v>
      </c>
      <c r="M4697" s="3" t="s">
        <v>4665</v>
      </c>
      <c r="N4697" s="3" t="s">
        <v>983</v>
      </c>
      <c r="O4697" s="3" t="s">
        <v>3740</v>
      </c>
      <c r="P4697" s="3" t="s">
        <v>1780</v>
      </c>
      <c r="Q4697" s="30" t="str">
        <f t="shared" si="73"/>
        <v>MAX : 0.105
TARGET : 0.100
MIN : 0.095</v>
      </c>
    </row>
    <row r="4698" spans="2:18" ht="41.4" x14ac:dyDescent="0.3">
      <c r="B4698">
        <v>1</v>
      </c>
      <c r="C4698" s="33">
        <v>9049</v>
      </c>
      <c r="D4698" s="2">
        <v>1406</v>
      </c>
      <c r="E4698" s="2" t="s">
        <v>12168</v>
      </c>
      <c r="F4698" s="3" t="s">
        <v>14206</v>
      </c>
      <c r="H4698" s="3" t="s">
        <v>4619</v>
      </c>
      <c r="K4698" s="2">
        <v>10</v>
      </c>
      <c r="L4698" s="2">
        <v>1</v>
      </c>
      <c r="M4698" s="3" t="s">
        <v>194</v>
      </c>
      <c r="N4698" s="3" t="s">
        <v>4663</v>
      </c>
      <c r="O4698" s="3" t="s">
        <v>1329</v>
      </c>
      <c r="P4698" s="3" t="s">
        <v>4664</v>
      </c>
      <c r="Q4698" s="30" t="str">
        <f t="shared" si="73"/>
        <v>MAX : 1.350
TARGET : 1.345
MIN : 1.340</v>
      </c>
    </row>
    <row r="4699" spans="2:18" ht="41.4" x14ac:dyDescent="0.3">
      <c r="B4699">
        <v>1</v>
      </c>
      <c r="C4699" s="33">
        <v>9050</v>
      </c>
      <c r="D4699" s="2">
        <v>1407</v>
      </c>
      <c r="E4699" s="2" t="s">
        <v>12168</v>
      </c>
      <c r="F4699" s="3" t="s">
        <v>14206</v>
      </c>
      <c r="H4699" s="3" t="s">
        <v>4619</v>
      </c>
      <c r="K4699" s="2">
        <v>10</v>
      </c>
      <c r="L4699" s="2">
        <v>2</v>
      </c>
      <c r="M4699" s="3" t="s">
        <v>4665</v>
      </c>
      <c r="N4699" s="3" t="s">
        <v>983</v>
      </c>
      <c r="O4699" s="3" t="s">
        <v>3740</v>
      </c>
      <c r="P4699" s="3" t="s">
        <v>1780</v>
      </c>
      <c r="Q4699" s="30" t="str">
        <f t="shared" si="73"/>
        <v>MAX : 0.105
TARGET : 0.100
MIN : 0.095</v>
      </c>
    </row>
    <row r="4700" spans="2:18" ht="41.4" x14ac:dyDescent="0.3">
      <c r="B4700">
        <v>1</v>
      </c>
      <c r="C4700" s="33">
        <v>9050</v>
      </c>
      <c r="D4700" s="2">
        <v>1407</v>
      </c>
      <c r="E4700" s="2" t="s">
        <v>12168</v>
      </c>
      <c r="F4700" s="3" t="s">
        <v>14206</v>
      </c>
      <c r="H4700" s="3" t="s">
        <v>4619</v>
      </c>
      <c r="K4700" s="2">
        <v>10</v>
      </c>
      <c r="L4700" s="2">
        <v>1</v>
      </c>
      <c r="M4700" s="3" t="s">
        <v>194</v>
      </c>
      <c r="N4700" s="3" t="s">
        <v>631</v>
      </c>
      <c r="O4700" s="3" t="s">
        <v>1771</v>
      </c>
      <c r="P4700" s="3" t="s">
        <v>2200</v>
      </c>
      <c r="Q4700" s="30" t="str">
        <f t="shared" si="73"/>
        <v>MAX : 1.35
TARGET : 1.34
MIN : 1.33</v>
      </c>
    </row>
    <row r="4701" spans="2:18" ht="41.4" x14ac:dyDescent="0.3">
      <c r="B4701">
        <v>1</v>
      </c>
      <c r="C4701" s="33">
        <v>9051</v>
      </c>
      <c r="D4701" s="2">
        <v>1408</v>
      </c>
      <c r="E4701" s="2" t="s">
        <v>12098</v>
      </c>
      <c r="F4701" s="29" t="s">
        <v>14250</v>
      </c>
      <c r="H4701" s="3" t="s">
        <v>504</v>
      </c>
      <c r="K4701" s="2">
        <v>20</v>
      </c>
      <c r="L4701" s="2">
        <v>1</v>
      </c>
      <c r="M4701" s="3" t="s">
        <v>4709</v>
      </c>
      <c r="N4701" s="3" t="s">
        <v>344</v>
      </c>
      <c r="O4701" s="3" t="s">
        <v>28</v>
      </c>
      <c r="P4701" s="3" t="s">
        <v>345</v>
      </c>
      <c r="Q4701" s="30" t="str">
        <f t="shared" si="73"/>
        <v>MAX : 1.75
TARGET : 1.50
MIN : 1.25</v>
      </c>
    </row>
    <row r="4702" spans="2:18" ht="41.4" x14ac:dyDescent="0.3">
      <c r="B4702">
        <v>1</v>
      </c>
      <c r="C4702" s="33">
        <v>9051</v>
      </c>
      <c r="D4702" s="2">
        <v>1408</v>
      </c>
      <c r="E4702" s="2" t="s">
        <v>12098</v>
      </c>
      <c r="F4702" s="29" t="s">
        <v>14250</v>
      </c>
      <c r="H4702" s="3" t="s">
        <v>504</v>
      </c>
      <c r="K4702" s="2">
        <v>20</v>
      </c>
      <c r="L4702" s="2">
        <v>2</v>
      </c>
      <c r="M4702" s="3" t="s">
        <v>4734</v>
      </c>
      <c r="N4702" s="3" t="s">
        <v>13</v>
      </c>
      <c r="O4702" s="3" t="s">
        <v>14</v>
      </c>
      <c r="Q4702" s="30" t="str">
        <f t="shared" si="73"/>
        <v>MAX : 
TARGET : Yes(Pass)
MIN : No(Fail)</v>
      </c>
    </row>
    <row r="4703" spans="2:18" ht="41.4" x14ac:dyDescent="0.3">
      <c r="B4703">
        <v>0</v>
      </c>
      <c r="C4703" s="33">
        <v>9147</v>
      </c>
      <c r="D4703" s="2">
        <v>2082</v>
      </c>
      <c r="E4703" s="2" t="s">
        <v>12756</v>
      </c>
      <c r="F4703" s="3" t="s">
        <v>14207</v>
      </c>
      <c r="H4703" s="3" t="s">
        <v>289</v>
      </c>
      <c r="K4703" s="2">
        <v>20</v>
      </c>
      <c r="L4703" s="2">
        <v>3</v>
      </c>
      <c r="M4703" s="3" t="s">
        <v>5097</v>
      </c>
      <c r="N4703" s="3" t="s">
        <v>1352</v>
      </c>
      <c r="O4703" s="3" t="s">
        <v>1356</v>
      </c>
      <c r="P4703" s="3" t="s">
        <v>1158</v>
      </c>
      <c r="Q4703" s="30" t="str">
        <f t="shared" si="73"/>
        <v>MAX : 11.5
TARGET : 10.0
MIN : 8.5</v>
      </c>
    </row>
    <row r="4704" spans="2:18" ht="41.4" x14ac:dyDescent="0.3">
      <c r="B4704">
        <v>0</v>
      </c>
      <c r="C4704" s="33">
        <v>9147</v>
      </c>
      <c r="D4704" s="2">
        <v>2082</v>
      </c>
      <c r="E4704" s="2" t="s">
        <v>12756</v>
      </c>
      <c r="F4704" s="3" t="s">
        <v>14207</v>
      </c>
      <c r="H4704" s="3" t="s">
        <v>289</v>
      </c>
      <c r="K4704" s="2">
        <v>20</v>
      </c>
      <c r="L4704" s="2">
        <v>4</v>
      </c>
      <c r="M4704" s="3" t="s">
        <v>5098</v>
      </c>
      <c r="N4704" s="3" t="s">
        <v>13</v>
      </c>
      <c r="O4704" s="3" t="s">
        <v>14</v>
      </c>
      <c r="Q4704" s="30" t="str">
        <f t="shared" si="73"/>
        <v>MAX : 
TARGET : Yes(Pass)
MIN : No(Fail)</v>
      </c>
    </row>
    <row r="4705" spans="2:18" ht="41.4" x14ac:dyDescent="0.3">
      <c r="B4705">
        <v>1</v>
      </c>
      <c r="C4705" s="33">
        <v>9051</v>
      </c>
      <c r="D4705" s="2">
        <v>1408</v>
      </c>
      <c r="E4705" s="2" t="s">
        <v>12098</v>
      </c>
      <c r="F4705" s="29" t="s">
        <v>14250</v>
      </c>
      <c r="H4705" s="3" t="s">
        <v>504</v>
      </c>
      <c r="K4705" s="2">
        <v>10</v>
      </c>
      <c r="L4705" s="2">
        <v>1</v>
      </c>
      <c r="M4705" s="3" t="s">
        <v>4558</v>
      </c>
      <c r="N4705" s="3" t="s">
        <v>4559</v>
      </c>
      <c r="O4705" s="3" t="s">
        <v>3200</v>
      </c>
      <c r="P4705" s="3" t="s">
        <v>4560</v>
      </c>
      <c r="Q4705" s="30" t="str">
        <f t="shared" si="73"/>
        <v>MAX : 9.13
TARGET : 9.00
MIN : 8.87</v>
      </c>
    </row>
    <row r="4706" spans="2:18" ht="41.4" x14ac:dyDescent="0.3">
      <c r="B4706">
        <v>0</v>
      </c>
      <c r="C4706" s="33">
        <v>9026</v>
      </c>
      <c r="D4706" s="2">
        <v>1388</v>
      </c>
      <c r="E4706" s="2" t="s">
        <v>12031</v>
      </c>
      <c r="F4706" s="3" t="s">
        <v>14207</v>
      </c>
      <c r="H4706" s="3" t="s">
        <v>648</v>
      </c>
      <c r="K4706" s="2">
        <v>20</v>
      </c>
      <c r="L4706" s="2">
        <v>8</v>
      </c>
      <c r="M4706" s="3" t="s">
        <v>4516</v>
      </c>
      <c r="N4706" s="3" t="s">
        <v>2451</v>
      </c>
      <c r="O4706" s="3" t="s">
        <v>129</v>
      </c>
      <c r="P4706" s="3" t="s">
        <v>4517</v>
      </c>
      <c r="Q4706" s="30" t="str">
        <f t="shared" si="73"/>
        <v>MAX : 4.31
TARGET : 4.06
MIN : 3.81</v>
      </c>
    </row>
    <row r="4707" spans="2:18" ht="41.4" x14ac:dyDescent="0.3">
      <c r="B4707">
        <v>1</v>
      </c>
      <c r="C4707" s="33">
        <v>9051</v>
      </c>
      <c r="D4707" s="2">
        <v>1408</v>
      </c>
      <c r="E4707" s="2" t="s">
        <v>12098</v>
      </c>
      <c r="F4707" s="29" t="s">
        <v>14250</v>
      </c>
      <c r="H4707" s="3" t="s">
        <v>504</v>
      </c>
      <c r="K4707" s="2">
        <v>30</v>
      </c>
      <c r="L4707" s="2">
        <v>9</v>
      </c>
      <c r="M4707" s="3" t="s">
        <v>4733</v>
      </c>
      <c r="N4707" s="3" t="s">
        <v>13</v>
      </c>
      <c r="O4707" s="3" t="s">
        <v>14</v>
      </c>
      <c r="Q4707" s="30" t="str">
        <f t="shared" si="73"/>
        <v>MAX : 
TARGET : Yes(Pass)
MIN : No(Fail)</v>
      </c>
    </row>
    <row r="4708" spans="2:18" ht="41.4" x14ac:dyDescent="0.3">
      <c r="B4708">
        <v>1</v>
      </c>
      <c r="C4708" s="33">
        <v>9052</v>
      </c>
      <c r="D4708" s="2">
        <v>1409</v>
      </c>
      <c r="E4708" s="2" t="s">
        <v>12098</v>
      </c>
      <c r="F4708" s="29" t="s">
        <v>14250</v>
      </c>
      <c r="H4708" s="3" t="s">
        <v>504</v>
      </c>
      <c r="K4708" s="2">
        <v>20</v>
      </c>
      <c r="L4708" s="2">
        <v>1</v>
      </c>
      <c r="M4708" s="3" t="s">
        <v>4558</v>
      </c>
      <c r="N4708" s="3" t="s">
        <v>344</v>
      </c>
      <c r="O4708" s="3" t="s">
        <v>28</v>
      </c>
      <c r="P4708" s="3" t="s">
        <v>345</v>
      </c>
      <c r="Q4708" s="30" t="str">
        <f t="shared" si="73"/>
        <v>MAX : 1.75
TARGET : 1.50
MIN : 1.25</v>
      </c>
    </row>
    <row r="4709" spans="2:18" ht="41.4" x14ac:dyDescent="0.3">
      <c r="B4709">
        <v>1</v>
      </c>
      <c r="C4709" s="33">
        <v>9052</v>
      </c>
      <c r="D4709" s="2">
        <v>1409</v>
      </c>
      <c r="E4709" s="2" t="s">
        <v>12098</v>
      </c>
      <c r="F4709" s="29" t="s">
        <v>14250</v>
      </c>
      <c r="H4709" s="3" t="s">
        <v>504</v>
      </c>
      <c r="K4709" s="2">
        <v>30</v>
      </c>
      <c r="L4709" s="2">
        <v>10</v>
      </c>
      <c r="M4709" s="3" t="s">
        <v>4734</v>
      </c>
      <c r="N4709" s="3" t="s">
        <v>13</v>
      </c>
      <c r="O4709" s="3" t="s">
        <v>14</v>
      </c>
      <c r="Q4709" s="30" t="str">
        <f t="shared" si="73"/>
        <v>MAX : 
TARGET : Yes(Pass)
MIN : No(Fail)</v>
      </c>
    </row>
    <row r="4710" spans="2:18" ht="41.4" x14ac:dyDescent="0.3">
      <c r="B4710">
        <v>1</v>
      </c>
      <c r="C4710" s="33">
        <v>9052</v>
      </c>
      <c r="D4710" s="2">
        <v>1409</v>
      </c>
      <c r="E4710" s="2" t="s">
        <v>12098</v>
      </c>
      <c r="F4710" s="29" t="s">
        <v>14250</v>
      </c>
      <c r="H4710" s="3" t="s">
        <v>504</v>
      </c>
      <c r="K4710" s="2">
        <v>10</v>
      </c>
      <c r="L4710" s="2">
        <v>1</v>
      </c>
      <c r="M4710" s="3" t="s">
        <v>4558</v>
      </c>
      <c r="N4710" s="3" t="s">
        <v>4559</v>
      </c>
      <c r="O4710" s="3" t="s">
        <v>3200</v>
      </c>
      <c r="P4710" s="3" t="s">
        <v>4560</v>
      </c>
      <c r="Q4710" s="30" t="str">
        <f t="shared" si="73"/>
        <v>MAX : 9.13
TARGET : 9.00
MIN : 8.87</v>
      </c>
    </row>
    <row r="4711" spans="2:18" ht="41.4" x14ac:dyDescent="0.3">
      <c r="B4711">
        <v>1</v>
      </c>
      <c r="C4711" s="33">
        <v>9053</v>
      </c>
      <c r="D4711" s="2">
        <v>2053</v>
      </c>
      <c r="E4711" s="2" t="s">
        <v>12186</v>
      </c>
      <c r="F4711" s="3" t="s">
        <v>14207</v>
      </c>
      <c r="H4711" s="3" t="s">
        <v>4760</v>
      </c>
      <c r="K4711" s="2">
        <v>20</v>
      </c>
      <c r="L4711" s="2">
        <v>2</v>
      </c>
      <c r="M4711" s="3" t="s">
        <v>4762</v>
      </c>
      <c r="N4711" s="3" t="s">
        <v>13</v>
      </c>
      <c r="O4711" s="3" t="s">
        <v>14</v>
      </c>
      <c r="Q4711" s="30" t="str">
        <f t="shared" si="73"/>
        <v>MAX : 
TARGET : Yes(Pass)
MIN : No(Fail)</v>
      </c>
    </row>
    <row r="4712" spans="2:18" ht="41.4" x14ac:dyDescent="0.3">
      <c r="B4712">
        <v>0</v>
      </c>
      <c r="C4712" s="33">
        <v>9149</v>
      </c>
      <c r="D4712" s="2">
        <v>1471</v>
      </c>
      <c r="E4712" s="2" t="s">
        <v>12768</v>
      </c>
      <c r="F4712" s="3" t="s">
        <v>14207</v>
      </c>
      <c r="H4712" s="3" t="s">
        <v>41</v>
      </c>
      <c r="K4712" s="2">
        <v>20</v>
      </c>
      <c r="L4712" s="2">
        <v>2</v>
      </c>
      <c r="M4712" s="3" t="s">
        <v>4877</v>
      </c>
      <c r="N4712" s="3" t="s">
        <v>2399</v>
      </c>
      <c r="O4712" s="3" t="s">
        <v>1670</v>
      </c>
      <c r="P4712" s="3" t="s">
        <v>4162</v>
      </c>
      <c r="Q4712" s="30" t="str">
        <f t="shared" si="73"/>
        <v>MAX : 19.05
TARGET : 12.70
MIN : 6.35</v>
      </c>
    </row>
    <row r="4713" spans="2:18" ht="41.4" x14ac:dyDescent="0.3">
      <c r="B4713">
        <v>0</v>
      </c>
      <c r="C4713" s="33">
        <v>9149</v>
      </c>
      <c r="D4713" s="2">
        <v>1471</v>
      </c>
      <c r="E4713" s="2" t="s">
        <v>12768</v>
      </c>
      <c r="F4713" s="3" t="s">
        <v>14207</v>
      </c>
      <c r="H4713" s="3" t="s">
        <v>41</v>
      </c>
      <c r="K4713" s="2">
        <v>20</v>
      </c>
      <c r="L4713" s="2">
        <v>3</v>
      </c>
      <c r="M4713" s="3" t="s">
        <v>625</v>
      </c>
      <c r="N4713" s="3" t="s">
        <v>5106</v>
      </c>
      <c r="O4713" s="3" t="s">
        <v>1307</v>
      </c>
      <c r="P4713" s="3" t="s">
        <v>5107</v>
      </c>
      <c r="Q4713" s="30" t="str">
        <f t="shared" si="73"/>
        <v>MAX : 596.90
TARGET : 584.20
MIN : 571.50</v>
      </c>
    </row>
    <row r="4714" spans="2:18" ht="41.4" x14ac:dyDescent="0.3">
      <c r="B4714">
        <v>0</v>
      </c>
      <c r="C4714" s="33">
        <v>9149</v>
      </c>
      <c r="D4714" s="2">
        <v>1471</v>
      </c>
      <c r="E4714" s="2" t="s">
        <v>12768</v>
      </c>
      <c r="F4714" s="3" t="s">
        <v>14207</v>
      </c>
      <c r="H4714" s="3" t="s">
        <v>41</v>
      </c>
      <c r="K4714" s="2">
        <v>20</v>
      </c>
      <c r="L4714" s="2">
        <v>5</v>
      </c>
      <c r="M4714" s="3" t="s">
        <v>4882</v>
      </c>
      <c r="N4714" s="3" t="s">
        <v>24</v>
      </c>
      <c r="O4714" s="3" t="s">
        <v>25</v>
      </c>
      <c r="Q4714" s="30" t="str">
        <f t="shared" si="73"/>
        <v>MAX : 
TARGET : Yes (Pass)
MIN : No (Fail)</v>
      </c>
    </row>
    <row r="4715" spans="2:18" ht="41.4" x14ac:dyDescent="0.3">
      <c r="B4715">
        <v>0</v>
      </c>
      <c r="C4715" s="33">
        <v>9149</v>
      </c>
      <c r="D4715" s="2">
        <v>1471</v>
      </c>
      <c r="E4715" s="2" t="s">
        <v>12768</v>
      </c>
      <c r="F4715" s="3" t="s">
        <v>14207</v>
      </c>
      <c r="H4715" s="3" t="s">
        <v>41</v>
      </c>
      <c r="K4715" s="2">
        <v>20</v>
      </c>
      <c r="L4715" s="2">
        <v>7</v>
      </c>
      <c r="M4715" s="3" t="s">
        <v>5108</v>
      </c>
      <c r="N4715" s="3" t="s">
        <v>24</v>
      </c>
      <c r="O4715" s="3" t="s">
        <v>25</v>
      </c>
      <c r="Q4715" s="30" t="str">
        <f t="shared" si="73"/>
        <v>MAX : 
TARGET : Yes (Pass)
MIN : No (Fail)</v>
      </c>
    </row>
    <row r="4716" spans="2:18" ht="41.4" x14ac:dyDescent="0.3">
      <c r="B4716">
        <v>1</v>
      </c>
      <c r="C4716" s="33">
        <v>9053</v>
      </c>
      <c r="D4716" s="2">
        <v>2053</v>
      </c>
      <c r="E4716" s="2" t="s">
        <v>12186</v>
      </c>
      <c r="F4716" s="3" t="s">
        <v>14207</v>
      </c>
      <c r="H4716" s="3" t="s">
        <v>4760</v>
      </c>
      <c r="K4716" s="2">
        <v>20</v>
      </c>
      <c r="L4716" s="2">
        <v>1</v>
      </c>
      <c r="M4716" s="3" t="s">
        <v>4761</v>
      </c>
      <c r="N4716" s="3" t="s">
        <v>2365</v>
      </c>
      <c r="O4716" s="3" t="s">
        <v>184</v>
      </c>
      <c r="P4716" s="3" t="s">
        <v>2238</v>
      </c>
      <c r="Q4716" s="30" t="str">
        <f t="shared" si="73"/>
        <v>MAX : 5.13
TARGET : 5.00
MIN : 4.87</v>
      </c>
    </row>
    <row r="4717" spans="2:18" ht="41.4" x14ac:dyDescent="0.3">
      <c r="B4717">
        <v>1</v>
      </c>
      <c r="C4717" s="33">
        <v>9054</v>
      </c>
      <c r="D4717" s="2">
        <v>1410</v>
      </c>
      <c r="E4717" s="2" t="s">
        <v>12194</v>
      </c>
      <c r="F4717" s="3" t="s">
        <v>14207</v>
      </c>
      <c r="H4717" s="3" t="s">
        <v>713</v>
      </c>
      <c r="I4717" s="3" t="s">
        <v>575</v>
      </c>
      <c r="K4717" s="2">
        <v>20</v>
      </c>
      <c r="L4717" s="2">
        <v>2</v>
      </c>
      <c r="M4717" s="3" t="s">
        <v>4691</v>
      </c>
      <c r="N4717" s="3" t="s">
        <v>4278</v>
      </c>
      <c r="O4717" s="3" t="s">
        <v>1092</v>
      </c>
      <c r="P4717" s="3" t="s">
        <v>4692</v>
      </c>
      <c r="Q4717" s="30" t="str">
        <f t="shared" si="73"/>
        <v>MAX : 7.13
TARGET : 6.75
MIN : 6.37</v>
      </c>
    </row>
    <row r="4718" spans="2:18" ht="41.4" x14ac:dyDescent="0.3">
      <c r="B4718">
        <v>1</v>
      </c>
      <c r="C4718" s="33">
        <v>9054</v>
      </c>
      <c r="D4718" s="2">
        <v>1410</v>
      </c>
      <c r="E4718" s="2" t="s">
        <v>12194</v>
      </c>
      <c r="F4718" s="3" t="s">
        <v>14207</v>
      </c>
      <c r="H4718" s="3" t="s">
        <v>713</v>
      </c>
      <c r="I4718" s="3" t="s">
        <v>575</v>
      </c>
      <c r="K4718" s="2">
        <v>20</v>
      </c>
      <c r="L4718" s="2">
        <v>1</v>
      </c>
      <c r="M4718" s="3" t="s">
        <v>1576</v>
      </c>
      <c r="N4718" s="3" t="s">
        <v>4688</v>
      </c>
      <c r="O4718" s="3" t="s">
        <v>4689</v>
      </c>
      <c r="P4718" s="3" t="s">
        <v>4690</v>
      </c>
      <c r="Q4718" s="30" t="str">
        <f t="shared" si="73"/>
        <v>MAX : 26.75
TARGET : 26.50
MIN : 26.25</v>
      </c>
    </row>
    <row r="4719" spans="2:18" ht="41.4" x14ac:dyDescent="0.3">
      <c r="B4719">
        <v>0</v>
      </c>
      <c r="C4719" s="33">
        <v>9148</v>
      </c>
      <c r="D4719" s="2">
        <v>1470</v>
      </c>
      <c r="E4719" s="2" t="s">
        <v>12762</v>
      </c>
      <c r="F4719" s="3" t="s">
        <v>14207</v>
      </c>
      <c r="H4719" s="3" t="s">
        <v>824</v>
      </c>
      <c r="K4719" s="2">
        <v>10</v>
      </c>
      <c r="L4719" s="2">
        <v>3</v>
      </c>
      <c r="M4719" s="3" t="s">
        <v>5111</v>
      </c>
      <c r="N4719" s="3" t="s">
        <v>13</v>
      </c>
      <c r="O4719" s="3" t="s">
        <v>14</v>
      </c>
      <c r="Q4719" s="30" t="str">
        <f t="shared" si="73"/>
        <v>MAX : 
TARGET : Yes(Pass)
MIN : No(Fail)</v>
      </c>
      <c r="R4719" s="3" t="s">
        <v>4520</v>
      </c>
    </row>
    <row r="4720" spans="2:18" ht="41.4" x14ac:dyDescent="0.3">
      <c r="B4720">
        <v>0</v>
      </c>
      <c r="C4720" s="33">
        <v>9148</v>
      </c>
      <c r="D4720" s="2">
        <v>1470</v>
      </c>
      <c r="E4720" s="2" t="s">
        <v>12762</v>
      </c>
      <c r="F4720" s="3" t="s">
        <v>14207</v>
      </c>
      <c r="H4720" s="3" t="s">
        <v>824</v>
      </c>
      <c r="K4720" s="2">
        <v>20</v>
      </c>
      <c r="L4720" s="2">
        <v>1</v>
      </c>
      <c r="M4720" s="3" t="s">
        <v>5112</v>
      </c>
      <c r="N4720" s="3" t="s">
        <v>13</v>
      </c>
      <c r="O4720" s="3" t="s">
        <v>14</v>
      </c>
      <c r="Q4720" s="30" t="str">
        <f t="shared" si="73"/>
        <v>MAX : 
TARGET : Yes(Pass)
MIN : No(Fail)</v>
      </c>
      <c r="R4720" s="3" t="s">
        <v>4520</v>
      </c>
    </row>
    <row r="4721" spans="2:18" ht="41.4" x14ac:dyDescent="0.3">
      <c r="B4721">
        <v>0</v>
      </c>
      <c r="C4721" s="33">
        <v>9148</v>
      </c>
      <c r="D4721" s="2">
        <v>1470</v>
      </c>
      <c r="E4721" s="2" t="s">
        <v>12762</v>
      </c>
      <c r="F4721" s="3" t="s">
        <v>14207</v>
      </c>
      <c r="H4721" s="3" t="s">
        <v>824</v>
      </c>
      <c r="K4721" s="2">
        <v>20</v>
      </c>
      <c r="L4721" s="2">
        <v>2</v>
      </c>
      <c r="M4721" s="3" t="s">
        <v>5113</v>
      </c>
      <c r="N4721" s="3" t="s">
        <v>13</v>
      </c>
      <c r="O4721" s="3" t="s">
        <v>14</v>
      </c>
      <c r="Q4721" s="30" t="str">
        <f t="shared" si="73"/>
        <v>MAX : 
TARGET : Yes(Pass)
MIN : No(Fail)</v>
      </c>
      <c r="R4721" s="3" t="s">
        <v>4520</v>
      </c>
    </row>
    <row r="4722" spans="2:18" ht="41.4" x14ac:dyDescent="0.3">
      <c r="B4722">
        <v>0</v>
      </c>
      <c r="C4722" s="33">
        <v>9148</v>
      </c>
      <c r="D4722" s="2">
        <v>1470</v>
      </c>
      <c r="E4722" s="2" t="s">
        <v>12762</v>
      </c>
      <c r="F4722" s="3" t="s">
        <v>14207</v>
      </c>
      <c r="H4722" s="3" t="s">
        <v>824</v>
      </c>
      <c r="K4722" s="2">
        <v>30</v>
      </c>
      <c r="L4722" s="2">
        <v>1</v>
      </c>
      <c r="M4722" s="3" t="s">
        <v>5114</v>
      </c>
      <c r="N4722" s="3" t="s">
        <v>13</v>
      </c>
      <c r="O4722" s="3" t="s">
        <v>14</v>
      </c>
      <c r="Q4722" s="30" t="str">
        <f t="shared" si="73"/>
        <v>MAX : 
TARGET : Yes(Pass)
MIN : No(Fail)</v>
      </c>
      <c r="R4722" s="3" t="s">
        <v>4520</v>
      </c>
    </row>
    <row r="4723" spans="2:18" ht="41.4" x14ac:dyDescent="0.3">
      <c r="B4723">
        <v>0</v>
      </c>
      <c r="C4723" s="33">
        <v>9148</v>
      </c>
      <c r="D4723" s="2">
        <v>1470</v>
      </c>
      <c r="E4723" s="2" t="s">
        <v>12762</v>
      </c>
      <c r="F4723" s="3" t="s">
        <v>14207</v>
      </c>
      <c r="H4723" s="3" t="s">
        <v>824</v>
      </c>
      <c r="K4723" s="2">
        <v>30</v>
      </c>
      <c r="L4723" s="2">
        <v>2</v>
      </c>
      <c r="M4723" s="3" t="s">
        <v>5115</v>
      </c>
      <c r="N4723" s="3" t="s">
        <v>13</v>
      </c>
      <c r="O4723" s="3" t="s">
        <v>14</v>
      </c>
      <c r="Q4723" s="30" t="str">
        <f t="shared" si="73"/>
        <v>MAX : 
TARGET : Yes(Pass)
MIN : No(Fail)</v>
      </c>
      <c r="R4723" s="3" t="s">
        <v>4520</v>
      </c>
    </row>
    <row r="4724" spans="2:18" ht="41.4" x14ac:dyDescent="0.3">
      <c r="B4724">
        <v>1</v>
      </c>
      <c r="C4724" s="33">
        <v>9054</v>
      </c>
      <c r="D4724" s="2">
        <v>1410</v>
      </c>
      <c r="E4724" s="2" t="s">
        <v>12194</v>
      </c>
      <c r="F4724" s="3" t="s">
        <v>14207</v>
      </c>
      <c r="H4724" s="3" t="s">
        <v>713</v>
      </c>
      <c r="I4724" s="3" t="s">
        <v>575</v>
      </c>
      <c r="K4724" s="2">
        <v>20</v>
      </c>
      <c r="L4724" s="2">
        <v>9</v>
      </c>
      <c r="M4724" s="3" t="s">
        <v>4596</v>
      </c>
      <c r="N4724" s="3" t="s">
        <v>13</v>
      </c>
      <c r="O4724" s="3" t="s">
        <v>14</v>
      </c>
      <c r="Q4724" s="30" t="str">
        <f t="shared" si="73"/>
        <v>MAX : 
TARGET : Yes(Pass)
MIN : No(Fail)</v>
      </c>
    </row>
    <row r="4725" spans="2:18" ht="41.4" x14ac:dyDescent="0.3">
      <c r="B4725">
        <v>0</v>
      </c>
      <c r="C4725" s="33">
        <v>9030</v>
      </c>
      <c r="D4725" s="2">
        <v>1391</v>
      </c>
      <c r="E4725" s="2" t="s">
        <v>12056</v>
      </c>
      <c r="F4725" s="3" t="s">
        <v>14206</v>
      </c>
      <c r="H4725" s="3" t="s">
        <v>108</v>
      </c>
      <c r="I4725" s="3" t="s">
        <v>487</v>
      </c>
      <c r="K4725" s="2">
        <v>10</v>
      </c>
      <c r="L4725" s="2">
        <v>1</v>
      </c>
      <c r="M4725" s="3" t="s">
        <v>692</v>
      </c>
      <c r="N4725" s="3" t="s">
        <v>405</v>
      </c>
      <c r="O4725" s="3" t="s">
        <v>406</v>
      </c>
      <c r="P4725" s="3" t="s">
        <v>407</v>
      </c>
      <c r="Q4725" s="30" t="str">
        <f t="shared" si="73"/>
        <v>MAX : 2.06
TARGET : 2.00
MIN : 1.94</v>
      </c>
    </row>
    <row r="4726" spans="2:18" ht="41.4" x14ac:dyDescent="0.3">
      <c r="B4726">
        <v>1</v>
      </c>
      <c r="C4726" s="33">
        <v>9055</v>
      </c>
      <c r="D4726" s="2">
        <v>2054</v>
      </c>
      <c r="E4726" s="2" t="s">
        <v>12202</v>
      </c>
      <c r="F4726" s="3" t="s">
        <v>14206</v>
      </c>
      <c r="H4726" s="3" t="s">
        <v>2361</v>
      </c>
      <c r="K4726" s="2">
        <v>20</v>
      </c>
      <c r="L4726" s="2">
        <v>2</v>
      </c>
      <c r="M4726" s="3" t="s">
        <v>4681</v>
      </c>
      <c r="N4726" s="3" t="s">
        <v>4682</v>
      </c>
      <c r="O4726" s="3" t="s">
        <v>272</v>
      </c>
      <c r="P4726" s="3" t="s">
        <v>3832</v>
      </c>
      <c r="Q4726" s="30" t="str">
        <f t="shared" si="73"/>
        <v>MAX : 1.01
TARGET : 1.00
MIN : 0.99</v>
      </c>
      <c r="R4726" s="3" t="s">
        <v>1638</v>
      </c>
    </row>
    <row r="4727" spans="2:18" ht="41.4" x14ac:dyDescent="0.3">
      <c r="B4727">
        <v>0</v>
      </c>
      <c r="C4727" s="33">
        <v>9135</v>
      </c>
      <c r="D4727" s="2">
        <v>1467</v>
      </c>
      <c r="E4727" s="2" t="s">
        <v>12686</v>
      </c>
      <c r="F4727" s="29" t="s">
        <v>14256</v>
      </c>
      <c r="G4727" s="3" t="s">
        <v>1665</v>
      </c>
      <c r="H4727" s="3" t="s">
        <v>747</v>
      </c>
      <c r="K4727" s="2">
        <v>20</v>
      </c>
      <c r="L4727" s="2">
        <v>2</v>
      </c>
      <c r="M4727" s="3" t="s">
        <v>502</v>
      </c>
      <c r="N4727" s="3" t="s">
        <v>835</v>
      </c>
      <c r="O4727" s="3" t="s">
        <v>836</v>
      </c>
      <c r="P4727" s="3" t="s">
        <v>5117</v>
      </c>
      <c r="Q4727" s="30" t="str">
        <f t="shared" si="73"/>
        <v>MAX : 1.520
TARGET : 1.500
MIN : 1.480</v>
      </c>
    </row>
    <row r="4728" spans="2:18" ht="41.4" x14ac:dyDescent="0.3">
      <c r="B4728">
        <v>0</v>
      </c>
      <c r="C4728" s="33">
        <v>9135</v>
      </c>
      <c r="D4728" s="2">
        <v>1467</v>
      </c>
      <c r="E4728" s="2" t="s">
        <v>12686</v>
      </c>
      <c r="F4728" s="29" t="s">
        <v>14256</v>
      </c>
      <c r="G4728" s="3" t="s">
        <v>1665</v>
      </c>
      <c r="H4728" s="3" t="s">
        <v>747</v>
      </c>
      <c r="K4728" s="2">
        <v>20</v>
      </c>
      <c r="L4728" s="2">
        <v>3</v>
      </c>
      <c r="M4728" s="3" t="s">
        <v>5118</v>
      </c>
      <c r="N4728" s="3" t="s">
        <v>3763</v>
      </c>
      <c r="O4728" s="3" t="s">
        <v>101</v>
      </c>
      <c r="P4728" s="3" t="s">
        <v>3764</v>
      </c>
      <c r="Q4728" s="30" t="str">
        <f t="shared" si="73"/>
        <v>MAX : 0.645
TARGET : 0.625
MIN : 0.605</v>
      </c>
    </row>
    <row r="4729" spans="2:18" ht="41.4" x14ac:dyDescent="0.3">
      <c r="B4729">
        <v>0</v>
      </c>
      <c r="C4729" s="33">
        <v>9135</v>
      </c>
      <c r="D4729" s="2">
        <v>1467</v>
      </c>
      <c r="E4729" s="2" t="s">
        <v>12686</v>
      </c>
      <c r="F4729" s="29" t="s">
        <v>14256</v>
      </c>
      <c r="G4729" s="3" t="s">
        <v>1665</v>
      </c>
      <c r="H4729" s="3" t="s">
        <v>747</v>
      </c>
      <c r="K4729" s="2">
        <v>20</v>
      </c>
      <c r="L4729" s="2">
        <v>5</v>
      </c>
      <c r="M4729" s="3" t="s">
        <v>2043</v>
      </c>
      <c r="N4729" s="3" t="s">
        <v>13</v>
      </c>
      <c r="O4729" s="3" t="s">
        <v>14</v>
      </c>
      <c r="Q4729" s="30" t="str">
        <f t="shared" si="73"/>
        <v>MAX : 
TARGET : Yes(Pass)
MIN : No(Fail)</v>
      </c>
    </row>
    <row r="4730" spans="2:18" ht="41.4" x14ac:dyDescent="0.3">
      <c r="B4730">
        <v>1</v>
      </c>
      <c r="C4730" s="33">
        <v>9055</v>
      </c>
      <c r="D4730" s="2">
        <v>2054</v>
      </c>
      <c r="E4730" s="2" t="s">
        <v>12202</v>
      </c>
      <c r="F4730" s="3" t="s">
        <v>14206</v>
      </c>
      <c r="H4730" s="3" t="s">
        <v>2361</v>
      </c>
      <c r="K4730" s="2">
        <v>20</v>
      </c>
      <c r="L4730" s="2">
        <v>1</v>
      </c>
      <c r="M4730" s="3" t="s">
        <v>4680</v>
      </c>
      <c r="N4730" s="3" t="s">
        <v>1815</v>
      </c>
      <c r="O4730" s="3" t="s">
        <v>2286</v>
      </c>
      <c r="P4730" s="3" t="s">
        <v>807</v>
      </c>
      <c r="Q4730" s="30" t="str">
        <f t="shared" si="73"/>
        <v>MAX : 0.70
TARGET : 0.69
MIN : 0.68</v>
      </c>
      <c r="R4730" s="3" t="s">
        <v>1638</v>
      </c>
    </row>
    <row r="4731" spans="2:18" ht="41.4" x14ac:dyDescent="0.3">
      <c r="B4731">
        <v>1</v>
      </c>
      <c r="C4731" s="33">
        <v>9056</v>
      </c>
      <c r="D4731" s="2">
        <v>1411</v>
      </c>
      <c r="E4731" s="2" t="s">
        <v>12210</v>
      </c>
      <c r="F4731" s="3" t="s">
        <v>14207</v>
      </c>
      <c r="H4731" s="3" t="s">
        <v>648</v>
      </c>
      <c r="K4731" s="2">
        <v>20</v>
      </c>
      <c r="L4731" s="2">
        <v>2</v>
      </c>
      <c r="M4731" s="3" t="s">
        <v>4710</v>
      </c>
      <c r="N4731" s="3" t="s">
        <v>4711</v>
      </c>
      <c r="O4731" s="3" t="s">
        <v>4712</v>
      </c>
      <c r="P4731" s="3" t="s">
        <v>4713</v>
      </c>
      <c r="Q4731" s="30" t="str">
        <f t="shared" si="73"/>
        <v>MAX : 23.0
TARGET : 22.2
MIN : 21.4</v>
      </c>
    </row>
    <row r="4732" spans="2:18" ht="41.4" x14ac:dyDescent="0.3">
      <c r="B4732">
        <v>0</v>
      </c>
      <c r="C4732" s="33">
        <v>9151</v>
      </c>
      <c r="D4732" s="2">
        <v>1473</v>
      </c>
      <c r="E4732" s="2" t="s">
        <v>12782</v>
      </c>
      <c r="F4732" s="3" t="s">
        <v>14206</v>
      </c>
      <c r="H4732" s="3" t="s">
        <v>3123</v>
      </c>
      <c r="K4732" s="2">
        <v>20</v>
      </c>
      <c r="L4732" s="2">
        <v>1</v>
      </c>
      <c r="M4732" s="3" t="s">
        <v>2088</v>
      </c>
      <c r="N4732" s="3" t="s">
        <v>3452</v>
      </c>
      <c r="O4732" s="3" t="s">
        <v>2815</v>
      </c>
      <c r="P4732" s="3" t="s">
        <v>3453</v>
      </c>
      <c r="Q4732" s="30" t="str">
        <f t="shared" si="73"/>
        <v>MAX : 24.13
TARGET : 24.00
MIN : 23.87</v>
      </c>
    </row>
    <row r="4733" spans="2:18" ht="41.4" x14ac:dyDescent="0.3">
      <c r="B4733">
        <v>0</v>
      </c>
      <c r="C4733" s="33">
        <v>9151</v>
      </c>
      <c r="D4733" s="2">
        <v>1473</v>
      </c>
      <c r="E4733" s="2" t="s">
        <v>12782</v>
      </c>
      <c r="F4733" s="3" t="s">
        <v>14206</v>
      </c>
      <c r="H4733" s="3" t="s">
        <v>3123</v>
      </c>
      <c r="K4733" s="2">
        <v>20</v>
      </c>
      <c r="L4733" s="2">
        <v>2</v>
      </c>
      <c r="M4733" s="3" t="s">
        <v>5121</v>
      </c>
      <c r="N4733" s="3" t="s">
        <v>863</v>
      </c>
      <c r="O4733" s="3" t="s">
        <v>864</v>
      </c>
      <c r="P4733" s="3" t="s">
        <v>865</v>
      </c>
      <c r="Q4733" s="30" t="str">
        <f t="shared" si="73"/>
        <v>MAX : +0.03
TARGET : 0
MIN : -0.03</v>
      </c>
    </row>
    <row r="4734" spans="2:18" ht="41.4" x14ac:dyDescent="0.3">
      <c r="B4734">
        <v>0</v>
      </c>
      <c r="C4734" s="33">
        <v>9151</v>
      </c>
      <c r="D4734" s="2">
        <v>1473</v>
      </c>
      <c r="E4734" s="2" t="s">
        <v>12782</v>
      </c>
      <c r="F4734" s="3" t="s">
        <v>14206</v>
      </c>
      <c r="H4734" s="3" t="s">
        <v>3123</v>
      </c>
      <c r="K4734" s="2">
        <v>20</v>
      </c>
      <c r="L4734" s="2">
        <v>3</v>
      </c>
      <c r="M4734" s="3" t="s">
        <v>2819</v>
      </c>
      <c r="N4734" s="3" t="s">
        <v>13</v>
      </c>
      <c r="O4734" s="3" t="s">
        <v>14</v>
      </c>
      <c r="Q4734" s="30" t="str">
        <f t="shared" si="73"/>
        <v>MAX : 
TARGET : Yes(Pass)
MIN : No(Fail)</v>
      </c>
    </row>
    <row r="4735" spans="2:18" ht="41.4" x14ac:dyDescent="0.3">
      <c r="B4735">
        <v>0</v>
      </c>
      <c r="C4735" s="33">
        <v>9151</v>
      </c>
      <c r="D4735" s="2">
        <v>1473</v>
      </c>
      <c r="E4735" s="2" t="s">
        <v>12782</v>
      </c>
      <c r="F4735" s="3" t="s">
        <v>14206</v>
      </c>
      <c r="H4735" s="3" t="s">
        <v>3123</v>
      </c>
      <c r="K4735" s="2">
        <v>20</v>
      </c>
      <c r="L4735" s="2">
        <v>4</v>
      </c>
      <c r="M4735" s="3" t="s">
        <v>2295</v>
      </c>
      <c r="N4735" s="3" t="s">
        <v>13</v>
      </c>
      <c r="O4735" s="3" t="s">
        <v>14</v>
      </c>
      <c r="Q4735" s="30" t="str">
        <f t="shared" si="73"/>
        <v>MAX : 
TARGET : Yes(Pass)
MIN : No(Fail)</v>
      </c>
    </row>
    <row r="4736" spans="2:18" ht="41.4" x14ac:dyDescent="0.3">
      <c r="B4736">
        <v>1</v>
      </c>
      <c r="C4736" s="33">
        <v>9056</v>
      </c>
      <c r="D4736" s="2">
        <v>1411</v>
      </c>
      <c r="E4736" s="2" t="s">
        <v>12210</v>
      </c>
      <c r="F4736" s="3" t="s">
        <v>14207</v>
      </c>
      <c r="H4736" s="3" t="s">
        <v>648</v>
      </c>
      <c r="K4736" s="2">
        <v>20</v>
      </c>
      <c r="L4736" s="2">
        <v>1</v>
      </c>
      <c r="M4736" s="3" t="s">
        <v>3588</v>
      </c>
      <c r="N4736" s="3" t="s">
        <v>4021</v>
      </c>
      <c r="O4736" s="3" t="s">
        <v>2815</v>
      </c>
      <c r="P4736" s="3" t="s">
        <v>1196</v>
      </c>
      <c r="Q4736" s="30" t="str">
        <f t="shared" si="73"/>
        <v>MAX : 24.50
TARGET : 24.00
MIN : 23.50</v>
      </c>
    </row>
    <row r="4737" spans="2:18" ht="41.4" x14ac:dyDescent="0.3">
      <c r="B4737">
        <v>1</v>
      </c>
      <c r="C4737" s="33">
        <v>9057</v>
      </c>
      <c r="D4737" s="2">
        <v>1412</v>
      </c>
      <c r="E4737" s="2" t="s">
        <v>12216</v>
      </c>
      <c r="F4737" s="3" t="s">
        <v>14206</v>
      </c>
      <c r="H4737" s="3" t="s">
        <v>600</v>
      </c>
      <c r="K4737" s="2">
        <v>10</v>
      </c>
      <c r="L4737" s="2">
        <v>2</v>
      </c>
      <c r="M4737" s="3" t="s">
        <v>198</v>
      </c>
      <c r="N4737" s="3" t="s">
        <v>459</v>
      </c>
      <c r="O4737" s="3" t="s">
        <v>406</v>
      </c>
      <c r="P4737" s="3" t="s">
        <v>460</v>
      </c>
      <c r="Q4737" s="30" t="str">
        <f t="shared" si="73"/>
        <v>MAX : 2.03
TARGET : 2.00
MIN : 1.97</v>
      </c>
    </row>
    <row r="4738" spans="2:18" ht="41.4" x14ac:dyDescent="0.3">
      <c r="B4738">
        <v>1</v>
      </c>
      <c r="C4738" s="33">
        <v>9057</v>
      </c>
      <c r="D4738" s="2">
        <v>1412</v>
      </c>
      <c r="E4738" s="2" t="s">
        <v>12216</v>
      </c>
      <c r="F4738" s="3" t="s">
        <v>14206</v>
      </c>
      <c r="H4738" s="3" t="s">
        <v>600</v>
      </c>
      <c r="K4738" s="2">
        <v>10</v>
      </c>
      <c r="L4738" s="2">
        <v>1</v>
      </c>
      <c r="M4738" s="3" t="s">
        <v>194</v>
      </c>
      <c r="N4738" s="3" t="s">
        <v>4719</v>
      </c>
      <c r="O4738" s="3" t="s">
        <v>854</v>
      </c>
      <c r="P4738" s="3" t="s">
        <v>4720</v>
      </c>
      <c r="Q4738" s="30" t="str">
        <f t="shared" ref="Q4738:Q4801" si="74">"MAX : " &amp; P4738 &amp; CHAR(10) &amp; "TARGET : " &amp; O4738 &amp; CHAR(10) &amp; "MIN : " &amp; N4738</f>
        <v>MAX : 14.53
TARGET : 14.50
MIN : 14.47</v>
      </c>
    </row>
    <row r="4739" spans="2:18" ht="41.4" x14ac:dyDescent="0.3">
      <c r="B4739">
        <v>1</v>
      </c>
      <c r="C4739" s="33">
        <v>9058</v>
      </c>
      <c r="D4739" s="2">
        <v>1413</v>
      </c>
      <c r="E4739" s="2" t="s">
        <v>12224</v>
      </c>
      <c r="F4739" s="3" t="s">
        <v>14206</v>
      </c>
      <c r="H4739" s="3" t="s">
        <v>600</v>
      </c>
      <c r="K4739" s="2">
        <v>10</v>
      </c>
      <c r="L4739" s="2">
        <v>2</v>
      </c>
      <c r="M4739" s="3" t="s">
        <v>198</v>
      </c>
      <c r="N4739" s="3" t="s">
        <v>459</v>
      </c>
      <c r="O4739" s="3" t="s">
        <v>406</v>
      </c>
      <c r="P4739" s="3" t="s">
        <v>460</v>
      </c>
      <c r="Q4739" s="30" t="str">
        <f t="shared" si="74"/>
        <v>MAX : 2.03
TARGET : 2.00
MIN : 1.97</v>
      </c>
    </row>
    <row r="4740" spans="2:18" ht="41.4" x14ac:dyDescent="0.3">
      <c r="B4740">
        <v>1</v>
      </c>
      <c r="C4740" s="33">
        <v>9058</v>
      </c>
      <c r="D4740" s="2">
        <v>1413</v>
      </c>
      <c r="E4740" s="2" t="s">
        <v>12224</v>
      </c>
      <c r="F4740" s="3" t="s">
        <v>14206</v>
      </c>
      <c r="H4740" s="3" t="s">
        <v>600</v>
      </c>
      <c r="K4740" s="2">
        <v>10</v>
      </c>
      <c r="L4740" s="2">
        <v>1</v>
      </c>
      <c r="M4740" s="3" t="s">
        <v>194</v>
      </c>
      <c r="N4740" s="3" t="s">
        <v>3616</v>
      </c>
      <c r="O4740" s="3" t="s">
        <v>3144</v>
      </c>
      <c r="P4740" s="3" t="s">
        <v>3617</v>
      </c>
      <c r="Q4740" s="30" t="str">
        <f t="shared" si="74"/>
        <v>MAX : 11.53
TARGET : 11.50
MIN : 11.47</v>
      </c>
    </row>
    <row r="4741" spans="2:18" ht="41.4" x14ac:dyDescent="0.3">
      <c r="B4741">
        <v>1</v>
      </c>
      <c r="C4741" s="33">
        <v>9059</v>
      </c>
      <c r="D4741" s="2">
        <v>2055</v>
      </c>
      <c r="E4741" s="2" t="s">
        <v>12230</v>
      </c>
      <c r="F4741" s="3" t="s">
        <v>14206</v>
      </c>
      <c r="H4741" s="3" t="s">
        <v>4724</v>
      </c>
      <c r="K4741" s="2">
        <v>10</v>
      </c>
      <c r="L4741" s="2">
        <v>2</v>
      </c>
      <c r="M4741" s="3" t="s">
        <v>2117</v>
      </c>
      <c r="N4741" s="3" t="s">
        <v>4726</v>
      </c>
      <c r="O4741" s="3" t="s">
        <v>3200</v>
      </c>
      <c r="P4741" s="3" t="s">
        <v>4727</v>
      </c>
      <c r="Q4741" s="30" t="str">
        <f t="shared" si="74"/>
        <v>MAX : 9.06
TARGET : 9.00
MIN : 8.94</v>
      </c>
    </row>
    <row r="4742" spans="2:18" ht="41.4" x14ac:dyDescent="0.3">
      <c r="B4742">
        <v>0</v>
      </c>
      <c r="C4742" s="33">
        <v>9152</v>
      </c>
      <c r="D4742" s="2">
        <v>1474</v>
      </c>
      <c r="E4742" s="2" t="s">
        <v>12790</v>
      </c>
      <c r="F4742" s="3" t="s">
        <v>14207</v>
      </c>
      <c r="H4742" s="3" t="s">
        <v>600</v>
      </c>
      <c r="K4742" s="2">
        <v>20</v>
      </c>
      <c r="L4742" s="2">
        <v>3</v>
      </c>
      <c r="M4742" s="3" t="s">
        <v>1605</v>
      </c>
      <c r="N4742" s="3" t="s">
        <v>13</v>
      </c>
      <c r="O4742" s="3" t="s">
        <v>14</v>
      </c>
      <c r="Q4742" s="30" t="str">
        <f t="shared" si="74"/>
        <v>MAX : 
TARGET : Yes(Pass)
MIN : No(Fail)</v>
      </c>
    </row>
    <row r="4743" spans="2:18" ht="41.4" x14ac:dyDescent="0.3">
      <c r="B4743">
        <v>1</v>
      </c>
      <c r="C4743" s="33">
        <v>9059</v>
      </c>
      <c r="D4743" s="2">
        <v>2055</v>
      </c>
      <c r="E4743" s="2" t="s">
        <v>12230</v>
      </c>
      <c r="F4743" s="3" t="s">
        <v>14206</v>
      </c>
      <c r="H4743" s="3" t="s">
        <v>4724</v>
      </c>
      <c r="K4743" s="2">
        <v>10</v>
      </c>
      <c r="L4743" s="2">
        <v>1</v>
      </c>
      <c r="M4743" s="3" t="s">
        <v>2088</v>
      </c>
      <c r="N4743" s="3" t="s">
        <v>2485</v>
      </c>
      <c r="O4743" s="3" t="s">
        <v>2815</v>
      </c>
      <c r="P4743" s="3" t="s">
        <v>4725</v>
      </c>
      <c r="Q4743" s="30" t="str">
        <f t="shared" si="74"/>
        <v>MAX : 24.06
TARGET : 24.00
MIN : 23.94</v>
      </c>
    </row>
    <row r="4744" spans="2:18" ht="41.4" x14ac:dyDescent="0.3">
      <c r="B4744">
        <v>1</v>
      </c>
      <c r="C4744" s="33">
        <v>9060</v>
      </c>
      <c r="D4744" s="2">
        <v>1414</v>
      </c>
      <c r="E4744" s="2" t="s">
        <v>12236</v>
      </c>
      <c r="F4744" s="3" t="s">
        <v>14207</v>
      </c>
      <c r="H4744" s="3" t="s">
        <v>469</v>
      </c>
      <c r="I4744" s="3" t="s">
        <v>487</v>
      </c>
      <c r="K4744" s="2">
        <v>10</v>
      </c>
      <c r="L4744" s="2">
        <v>2</v>
      </c>
      <c r="M4744" s="3" t="s">
        <v>198</v>
      </c>
      <c r="N4744" s="3" t="s">
        <v>68</v>
      </c>
      <c r="O4744" s="3" t="s">
        <v>69</v>
      </c>
      <c r="P4744" s="3" t="s">
        <v>894</v>
      </c>
      <c r="Q4744" s="30" t="str">
        <f t="shared" si="74"/>
        <v>MAX : 21
TARGET : 20
MIN : 19</v>
      </c>
    </row>
    <row r="4745" spans="2:18" ht="41.4" x14ac:dyDescent="0.3">
      <c r="B4745">
        <v>1</v>
      </c>
      <c r="C4745" s="33">
        <v>9060</v>
      </c>
      <c r="D4745" s="2">
        <v>1414</v>
      </c>
      <c r="E4745" s="2" t="s">
        <v>12236</v>
      </c>
      <c r="F4745" s="3" t="s">
        <v>14207</v>
      </c>
      <c r="H4745" s="3" t="s">
        <v>469</v>
      </c>
      <c r="I4745" s="3" t="s">
        <v>487</v>
      </c>
      <c r="K4745" s="2">
        <v>10</v>
      </c>
      <c r="L4745" s="2">
        <v>1</v>
      </c>
      <c r="M4745" s="3" t="s">
        <v>194</v>
      </c>
      <c r="N4745" s="3" t="s">
        <v>4729</v>
      </c>
      <c r="O4745" s="3" t="s">
        <v>4409</v>
      </c>
      <c r="P4745" s="3" t="s">
        <v>4730</v>
      </c>
      <c r="Q4745" s="30" t="str">
        <f t="shared" si="74"/>
        <v>MAX : 71
TARGET : 70
MIN : 69</v>
      </c>
    </row>
    <row r="4746" spans="2:18" ht="41.4" x14ac:dyDescent="0.3">
      <c r="B4746">
        <v>1</v>
      </c>
      <c r="C4746" s="33">
        <v>9060</v>
      </c>
      <c r="D4746" s="2">
        <v>1414</v>
      </c>
      <c r="E4746" s="2" t="s">
        <v>12236</v>
      </c>
      <c r="F4746" s="3" t="s">
        <v>14207</v>
      </c>
      <c r="H4746" s="3" t="s">
        <v>469</v>
      </c>
      <c r="I4746" s="3" t="s">
        <v>487</v>
      </c>
      <c r="K4746" s="2">
        <v>10</v>
      </c>
      <c r="L4746" s="2">
        <v>3</v>
      </c>
      <c r="M4746" s="3" t="s">
        <v>4764</v>
      </c>
      <c r="N4746" s="3" t="s">
        <v>13</v>
      </c>
      <c r="O4746" s="3" t="s">
        <v>14</v>
      </c>
      <c r="Q4746" s="30" t="str">
        <f t="shared" si="74"/>
        <v>MAX : 
TARGET : Yes(Pass)
MIN : No(Fail)</v>
      </c>
    </row>
    <row r="4747" spans="2:18" ht="41.4" x14ac:dyDescent="0.3">
      <c r="B4747">
        <v>0</v>
      </c>
      <c r="C4747" s="33">
        <v>9153</v>
      </c>
      <c r="D4747" s="2">
        <v>1475</v>
      </c>
      <c r="E4747" s="2" t="s">
        <v>12796</v>
      </c>
      <c r="F4747" s="3" t="s">
        <v>14206</v>
      </c>
      <c r="H4747" s="3" t="s">
        <v>713</v>
      </c>
      <c r="K4747" s="2">
        <v>10</v>
      </c>
      <c r="L4747" s="2">
        <v>3</v>
      </c>
      <c r="M4747" s="3" t="s">
        <v>5131</v>
      </c>
      <c r="N4747" s="3" t="s">
        <v>13</v>
      </c>
      <c r="O4747" s="3" t="s">
        <v>14</v>
      </c>
      <c r="Q4747" s="30" t="str">
        <f t="shared" si="74"/>
        <v>MAX : 
TARGET : Yes(Pass)
MIN : No(Fail)</v>
      </c>
    </row>
    <row r="4748" spans="2:18" ht="41.4" x14ac:dyDescent="0.3">
      <c r="B4748">
        <v>0</v>
      </c>
      <c r="C4748" s="33">
        <v>9153</v>
      </c>
      <c r="D4748" s="2">
        <v>1475</v>
      </c>
      <c r="E4748" s="2" t="s">
        <v>12796</v>
      </c>
      <c r="F4748" s="3" t="s">
        <v>14206</v>
      </c>
      <c r="H4748" s="3" t="s">
        <v>713</v>
      </c>
      <c r="K4748" s="2">
        <v>10</v>
      </c>
      <c r="L4748" s="2">
        <v>4</v>
      </c>
      <c r="M4748" s="3" t="s">
        <v>5132</v>
      </c>
      <c r="N4748" s="3" t="s">
        <v>13</v>
      </c>
      <c r="O4748" s="3" t="s">
        <v>14</v>
      </c>
      <c r="Q4748" s="30" t="str">
        <f t="shared" si="74"/>
        <v>MAX : 
TARGET : Yes(Pass)
MIN : No(Fail)</v>
      </c>
    </row>
    <row r="4749" spans="2:18" ht="41.4" x14ac:dyDescent="0.3">
      <c r="B4749">
        <v>1</v>
      </c>
      <c r="C4749" s="33">
        <v>9061</v>
      </c>
      <c r="D4749" s="2">
        <v>1415</v>
      </c>
      <c r="E4749" s="2" t="s">
        <v>12243</v>
      </c>
      <c r="F4749" s="3" t="s">
        <v>14206</v>
      </c>
      <c r="H4749" s="3" t="s">
        <v>648</v>
      </c>
      <c r="K4749" s="2">
        <v>10</v>
      </c>
      <c r="L4749" s="2">
        <v>2</v>
      </c>
      <c r="M4749" s="3" t="s">
        <v>198</v>
      </c>
      <c r="N4749" s="3" t="s">
        <v>1904</v>
      </c>
      <c r="O4749" s="3" t="s">
        <v>28</v>
      </c>
      <c r="P4749" s="3" t="s">
        <v>2309</v>
      </c>
      <c r="Q4749" s="30" t="str">
        <f t="shared" si="74"/>
        <v>MAX : 1.63
TARGET : 1.50
MIN : 1.37</v>
      </c>
    </row>
    <row r="4750" spans="2:18" ht="41.4" x14ac:dyDescent="0.3">
      <c r="B4750">
        <v>1</v>
      </c>
      <c r="C4750" s="33">
        <v>9061</v>
      </c>
      <c r="D4750" s="2">
        <v>1415</v>
      </c>
      <c r="E4750" s="2" t="s">
        <v>12243</v>
      </c>
      <c r="F4750" s="3" t="s">
        <v>14206</v>
      </c>
      <c r="H4750" s="3" t="s">
        <v>648</v>
      </c>
      <c r="K4750" s="2">
        <v>10</v>
      </c>
      <c r="L4750" s="2">
        <v>1</v>
      </c>
      <c r="M4750" s="3" t="s">
        <v>194</v>
      </c>
      <c r="N4750" s="3" t="s">
        <v>4563</v>
      </c>
      <c r="O4750" s="3" t="s">
        <v>1230</v>
      </c>
      <c r="P4750" s="3" t="s">
        <v>4564</v>
      </c>
      <c r="Q4750" s="30" t="str">
        <f t="shared" si="74"/>
        <v>MAX : 8.13
TARGET : 8.00
MIN : 7.87</v>
      </c>
    </row>
    <row r="4751" spans="2:18" ht="41.4" x14ac:dyDescent="0.3">
      <c r="B4751">
        <v>0</v>
      </c>
      <c r="C4751" s="33">
        <v>9096</v>
      </c>
      <c r="D4751" s="2">
        <v>1439</v>
      </c>
      <c r="E4751" s="2" t="s">
        <v>12469</v>
      </c>
      <c r="F4751" s="3" t="s">
        <v>14253</v>
      </c>
      <c r="H4751" s="3" t="s">
        <v>4551</v>
      </c>
      <c r="K4751" s="2">
        <v>40</v>
      </c>
      <c r="L4751" s="2">
        <v>3</v>
      </c>
      <c r="M4751" s="3" t="s">
        <v>5135</v>
      </c>
      <c r="N4751" s="3" t="s">
        <v>13</v>
      </c>
      <c r="O4751" s="3" t="s">
        <v>14</v>
      </c>
      <c r="Q4751" s="30" t="str">
        <f t="shared" si="74"/>
        <v>MAX : 
TARGET : Yes(Pass)
MIN : No(Fail)</v>
      </c>
    </row>
    <row r="4752" spans="2:18" ht="41.4" x14ac:dyDescent="0.3">
      <c r="B4752">
        <v>1</v>
      </c>
      <c r="C4752" s="33">
        <v>9062</v>
      </c>
      <c r="D4752" s="2">
        <v>1416</v>
      </c>
      <c r="E4752" s="2" t="s">
        <v>12249</v>
      </c>
      <c r="F4752" s="29" t="s">
        <v>14258</v>
      </c>
      <c r="H4752" s="3" t="s">
        <v>648</v>
      </c>
      <c r="K4752" s="2">
        <v>0</v>
      </c>
      <c r="L4752" s="2">
        <v>1</v>
      </c>
      <c r="M4752" s="3" t="s">
        <v>5257</v>
      </c>
      <c r="N4752" s="3" t="s">
        <v>3514</v>
      </c>
      <c r="O4752" s="3" t="s">
        <v>5258</v>
      </c>
      <c r="P4752" s="3" t="s">
        <v>5259</v>
      </c>
      <c r="Q4752" s="30" t="str">
        <f t="shared" si="74"/>
        <v>MAX : .05
TARGET : .045
MIN : .04</v>
      </c>
      <c r="R4752" s="3" t="s">
        <v>5260</v>
      </c>
    </row>
    <row r="4753" spans="2:18" ht="41.4" x14ac:dyDescent="0.3">
      <c r="B4753">
        <v>1</v>
      </c>
      <c r="C4753" s="33">
        <v>9062</v>
      </c>
      <c r="D4753" s="2">
        <v>1416</v>
      </c>
      <c r="E4753" s="2" t="s">
        <v>12249</v>
      </c>
      <c r="F4753" s="29" t="s">
        <v>14258</v>
      </c>
      <c r="H4753" s="3" t="s">
        <v>648</v>
      </c>
      <c r="K4753" s="2">
        <v>70</v>
      </c>
      <c r="L4753" s="2">
        <v>9</v>
      </c>
      <c r="M4753" s="3" t="s">
        <v>5314</v>
      </c>
      <c r="N4753" s="3" t="s">
        <v>5315</v>
      </c>
      <c r="O4753" s="3" t="s">
        <v>5316</v>
      </c>
      <c r="Q4753" s="30" t="str">
        <f t="shared" si="74"/>
        <v>MAX : 
TARGET : P (Pass)
MIN : F (Fail)</v>
      </c>
      <c r="R4753" s="3" t="s">
        <v>5260</v>
      </c>
    </row>
    <row r="4754" spans="2:18" ht="41.4" x14ac:dyDescent="0.3">
      <c r="B4754">
        <v>0</v>
      </c>
      <c r="C4754" s="33">
        <v>9098</v>
      </c>
      <c r="D4754" s="2">
        <v>1440</v>
      </c>
      <c r="E4754" s="2" t="s">
        <v>12477</v>
      </c>
      <c r="F4754" s="3" t="s">
        <v>14254</v>
      </c>
      <c r="H4754" s="3" t="s">
        <v>4551</v>
      </c>
      <c r="K4754" s="2">
        <v>40</v>
      </c>
      <c r="L4754" s="2">
        <v>3</v>
      </c>
      <c r="M4754" s="3" t="s">
        <v>5135</v>
      </c>
      <c r="N4754" s="3" t="s">
        <v>13</v>
      </c>
      <c r="O4754" s="3" t="s">
        <v>14</v>
      </c>
      <c r="Q4754" s="30" t="str">
        <f t="shared" si="74"/>
        <v>MAX : 
TARGET : Yes(Pass)
MIN : No(Fail)</v>
      </c>
    </row>
    <row r="4755" spans="2:18" ht="41.4" x14ac:dyDescent="0.3">
      <c r="B4755">
        <v>1</v>
      </c>
      <c r="C4755" s="33">
        <v>9062</v>
      </c>
      <c r="D4755" s="2">
        <v>1416</v>
      </c>
      <c r="E4755" s="2" t="s">
        <v>12249</v>
      </c>
      <c r="F4755" s="29" t="s">
        <v>14258</v>
      </c>
      <c r="H4755" s="3" t="s">
        <v>648</v>
      </c>
      <c r="K4755" s="2">
        <v>100</v>
      </c>
      <c r="L4755" s="2">
        <v>3</v>
      </c>
      <c r="M4755" s="3" t="s">
        <v>5330</v>
      </c>
      <c r="N4755" s="3" t="s">
        <v>4868</v>
      </c>
      <c r="O4755" s="3" t="s">
        <v>658</v>
      </c>
      <c r="P4755" s="3" t="s">
        <v>3268</v>
      </c>
      <c r="Q4755" s="30" t="str">
        <f t="shared" si="74"/>
        <v>MAX : 25.2
TARGET : 25.0
MIN : 24.8</v>
      </c>
      <c r="R4755" s="3" t="s">
        <v>5260</v>
      </c>
    </row>
    <row r="4756" spans="2:18" ht="41.4" x14ac:dyDescent="0.3">
      <c r="B4756">
        <v>1</v>
      </c>
      <c r="C4756" s="33">
        <v>9062</v>
      </c>
      <c r="D4756" s="2">
        <v>1416</v>
      </c>
      <c r="E4756" s="2" t="s">
        <v>12249</v>
      </c>
      <c r="F4756" s="29" t="s">
        <v>14258</v>
      </c>
      <c r="H4756" s="3" t="s">
        <v>648</v>
      </c>
      <c r="K4756" s="2">
        <v>0</v>
      </c>
      <c r="L4756" s="2">
        <v>2</v>
      </c>
      <c r="M4756" s="3" t="s">
        <v>5261</v>
      </c>
      <c r="N4756" s="3" t="s">
        <v>5262</v>
      </c>
      <c r="O4756" s="3" t="s">
        <v>5263</v>
      </c>
      <c r="P4756" s="3" t="s">
        <v>5264</v>
      </c>
      <c r="Q4756" s="30" t="str">
        <f t="shared" si="74"/>
        <v>MAX : .35
TARGET : .33
MIN : .31</v>
      </c>
      <c r="R4756" s="3" t="s">
        <v>5260</v>
      </c>
    </row>
    <row r="4757" spans="2:18" ht="41.4" x14ac:dyDescent="0.3">
      <c r="B4757">
        <v>0</v>
      </c>
      <c r="C4757" s="33">
        <v>9156</v>
      </c>
      <c r="D4757" s="2">
        <v>1477</v>
      </c>
      <c r="E4757" s="2" t="s">
        <v>12816</v>
      </c>
      <c r="F4757" s="3" t="s">
        <v>14206</v>
      </c>
      <c r="H4757" s="3" t="s">
        <v>4856</v>
      </c>
      <c r="K4757" s="2">
        <v>20</v>
      </c>
      <c r="L4757" s="2">
        <v>3</v>
      </c>
      <c r="M4757" s="3" t="s">
        <v>4869</v>
      </c>
      <c r="N4757" s="3" t="s">
        <v>13</v>
      </c>
      <c r="O4757" s="3" t="s">
        <v>14</v>
      </c>
      <c r="Q4757" s="30" t="str">
        <f t="shared" si="74"/>
        <v>MAX : 
TARGET : Yes(Pass)
MIN : No(Fail)</v>
      </c>
    </row>
    <row r="4758" spans="2:18" ht="41.4" x14ac:dyDescent="0.3">
      <c r="B4758">
        <v>0</v>
      </c>
      <c r="C4758" s="33">
        <v>9156</v>
      </c>
      <c r="D4758" s="2">
        <v>1477</v>
      </c>
      <c r="E4758" s="2" t="s">
        <v>12816</v>
      </c>
      <c r="F4758" s="3" t="s">
        <v>14206</v>
      </c>
      <c r="H4758" s="3" t="s">
        <v>4856</v>
      </c>
      <c r="K4758" s="2">
        <v>20</v>
      </c>
      <c r="L4758" s="2">
        <v>4</v>
      </c>
      <c r="M4758" s="3" t="s">
        <v>4870</v>
      </c>
      <c r="N4758" s="3" t="s">
        <v>13</v>
      </c>
      <c r="O4758" s="3" t="s">
        <v>14</v>
      </c>
      <c r="Q4758" s="30" t="str">
        <f t="shared" si="74"/>
        <v>MAX : 
TARGET : Yes(Pass)
MIN : No(Fail)</v>
      </c>
    </row>
    <row r="4759" spans="2:18" ht="41.4" x14ac:dyDescent="0.3">
      <c r="B4759">
        <v>0</v>
      </c>
      <c r="C4759" s="33">
        <v>9156</v>
      </c>
      <c r="D4759" s="2">
        <v>1477</v>
      </c>
      <c r="E4759" s="2" t="s">
        <v>12816</v>
      </c>
      <c r="F4759" s="3" t="s">
        <v>14206</v>
      </c>
      <c r="H4759" s="3" t="s">
        <v>4856</v>
      </c>
      <c r="K4759" s="2">
        <v>30</v>
      </c>
      <c r="L4759" s="2">
        <v>1</v>
      </c>
      <c r="M4759" s="3" t="s">
        <v>4871</v>
      </c>
      <c r="N4759" s="3" t="s">
        <v>13</v>
      </c>
      <c r="O4759" s="3" t="s">
        <v>14</v>
      </c>
      <c r="Q4759" s="30" t="str">
        <f t="shared" si="74"/>
        <v>MAX : 
TARGET : Yes(Pass)
MIN : No(Fail)</v>
      </c>
    </row>
    <row r="4760" spans="2:18" ht="41.4" x14ac:dyDescent="0.3">
      <c r="B4760">
        <v>0</v>
      </c>
      <c r="C4760" s="33">
        <v>9156</v>
      </c>
      <c r="D4760" s="2">
        <v>1477</v>
      </c>
      <c r="E4760" s="2" t="s">
        <v>12816</v>
      </c>
      <c r="F4760" s="3" t="s">
        <v>14206</v>
      </c>
      <c r="H4760" s="3" t="s">
        <v>4856</v>
      </c>
      <c r="K4760" s="2">
        <v>30</v>
      </c>
      <c r="L4760" s="2">
        <v>2</v>
      </c>
      <c r="M4760" s="3" t="s">
        <v>4872</v>
      </c>
      <c r="N4760" s="3" t="s">
        <v>13</v>
      </c>
      <c r="O4760" s="3" t="s">
        <v>14</v>
      </c>
      <c r="Q4760" s="30" t="str">
        <f t="shared" si="74"/>
        <v>MAX : 
TARGET : Yes(Pass)
MIN : No(Fail)</v>
      </c>
    </row>
    <row r="4761" spans="2:18" ht="41.4" x14ac:dyDescent="0.3">
      <c r="B4761">
        <v>0</v>
      </c>
      <c r="C4761" s="33">
        <v>9156</v>
      </c>
      <c r="D4761" s="2">
        <v>1477</v>
      </c>
      <c r="E4761" s="2" t="s">
        <v>12816</v>
      </c>
      <c r="F4761" s="3" t="s">
        <v>14206</v>
      </c>
      <c r="H4761" s="3" t="s">
        <v>4856</v>
      </c>
      <c r="K4761" s="2">
        <v>10</v>
      </c>
      <c r="L4761" s="2">
        <v>1</v>
      </c>
      <c r="M4761" s="3" t="s">
        <v>109</v>
      </c>
      <c r="N4761" s="3" t="s">
        <v>252</v>
      </c>
      <c r="O4761" s="3" t="s">
        <v>253</v>
      </c>
      <c r="P4761" s="3" t="s">
        <v>128</v>
      </c>
      <c r="Q4761" s="30" t="str">
        <f t="shared" si="74"/>
        <v>MAX : 4.03
TARGET : 4.00
MIN : 3.97</v>
      </c>
    </row>
    <row r="4762" spans="2:18" ht="41.4" x14ac:dyDescent="0.3">
      <c r="B4762">
        <v>0</v>
      </c>
      <c r="C4762" s="33">
        <v>9156</v>
      </c>
      <c r="D4762" s="2">
        <v>1477</v>
      </c>
      <c r="E4762" s="2" t="s">
        <v>12816</v>
      </c>
      <c r="F4762" s="3" t="s">
        <v>14206</v>
      </c>
      <c r="H4762" s="3" t="s">
        <v>4856</v>
      </c>
      <c r="K4762" s="2">
        <v>10</v>
      </c>
      <c r="L4762" s="2">
        <v>2</v>
      </c>
      <c r="M4762" s="3" t="s">
        <v>467</v>
      </c>
      <c r="N4762" s="3" t="s">
        <v>75</v>
      </c>
      <c r="O4762" s="3" t="s">
        <v>76</v>
      </c>
      <c r="P4762" s="3" t="s">
        <v>77</v>
      </c>
      <c r="Q4762" s="30" t="str">
        <f t="shared" si="74"/>
        <v>MAX : 2.53
TARGET : 2.50
MIN : 2.47</v>
      </c>
    </row>
    <row r="4763" spans="2:18" ht="41.4" x14ac:dyDescent="0.3">
      <c r="B4763">
        <v>1</v>
      </c>
      <c r="C4763" s="33">
        <v>9062</v>
      </c>
      <c r="D4763" s="2">
        <v>1416</v>
      </c>
      <c r="E4763" s="2" t="s">
        <v>12249</v>
      </c>
      <c r="F4763" s="29" t="s">
        <v>14258</v>
      </c>
      <c r="H4763" s="3" t="s">
        <v>648</v>
      </c>
      <c r="K4763" s="2">
        <v>80</v>
      </c>
      <c r="L4763" s="2">
        <v>9</v>
      </c>
      <c r="M4763" s="3" t="s">
        <v>5314</v>
      </c>
      <c r="N4763" s="3" t="s">
        <v>5315</v>
      </c>
      <c r="O4763" s="3" t="s">
        <v>5316</v>
      </c>
      <c r="Q4763" s="30" t="str">
        <f t="shared" si="74"/>
        <v>MAX : 
TARGET : P (Pass)
MIN : F (Fail)</v>
      </c>
      <c r="R4763" s="3" t="s">
        <v>5260</v>
      </c>
    </row>
    <row r="4764" spans="2:18" ht="41.4" x14ac:dyDescent="0.3">
      <c r="B4764">
        <v>1</v>
      </c>
      <c r="C4764" s="33">
        <v>9062</v>
      </c>
      <c r="D4764" s="2">
        <v>1416</v>
      </c>
      <c r="E4764" s="2" t="s">
        <v>12249</v>
      </c>
      <c r="F4764" s="29" t="s">
        <v>14258</v>
      </c>
      <c r="H4764" s="3" t="s">
        <v>648</v>
      </c>
      <c r="K4764" s="2">
        <v>100</v>
      </c>
      <c r="L4764" s="2">
        <v>4</v>
      </c>
      <c r="M4764" s="3" t="s">
        <v>5331</v>
      </c>
      <c r="N4764" s="3" t="s">
        <v>4056</v>
      </c>
      <c r="O4764" s="3" t="s">
        <v>5287</v>
      </c>
      <c r="P4764" s="3" t="s">
        <v>2254</v>
      </c>
      <c r="Q4764" s="30" t="str">
        <f t="shared" si="74"/>
        <v>MAX : 13.2
TARGET : 13.0
MIN : 12.8</v>
      </c>
      <c r="R4764" s="3" t="s">
        <v>5260</v>
      </c>
    </row>
    <row r="4765" spans="2:18" ht="41.4" x14ac:dyDescent="0.3">
      <c r="B4765">
        <v>0</v>
      </c>
      <c r="C4765" s="33">
        <v>9157</v>
      </c>
      <c r="D4765" s="2">
        <v>2084</v>
      </c>
      <c r="E4765" s="2" t="s">
        <v>12824</v>
      </c>
      <c r="F4765" s="3" t="s">
        <v>14206</v>
      </c>
      <c r="H4765" s="3" t="s">
        <v>568</v>
      </c>
      <c r="K4765" s="2">
        <v>10</v>
      </c>
      <c r="L4765" s="2">
        <v>3</v>
      </c>
      <c r="M4765" s="3" t="s">
        <v>611</v>
      </c>
      <c r="N4765" s="3" t="s">
        <v>13</v>
      </c>
      <c r="O4765" s="3" t="s">
        <v>14</v>
      </c>
      <c r="Q4765" s="30" t="str">
        <f t="shared" si="74"/>
        <v>MAX : 
TARGET : Yes(Pass)
MIN : No(Fail)</v>
      </c>
      <c r="R4765" s="3" t="s">
        <v>4520</v>
      </c>
    </row>
    <row r="4766" spans="2:18" ht="41.4" x14ac:dyDescent="0.3">
      <c r="B4766">
        <v>1</v>
      </c>
      <c r="C4766" s="33">
        <v>9063</v>
      </c>
      <c r="D4766" s="2">
        <v>1417</v>
      </c>
      <c r="E4766" s="2" t="s">
        <v>12257</v>
      </c>
      <c r="F4766" s="3" t="s">
        <v>14206</v>
      </c>
      <c r="H4766" s="3" t="s">
        <v>648</v>
      </c>
      <c r="K4766" s="2">
        <v>10</v>
      </c>
      <c r="L4766" s="2">
        <v>2</v>
      </c>
      <c r="M4766" s="3" t="s">
        <v>4745</v>
      </c>
      <c r="N4766" s="3" t="s">
        <v>13</v>
      </c>
      <c r="O4766" s="3" t="s">
        <v>14</v>
      </c>
      <c r="Q4766" s="30" t="str">
        <f t="shared" si="74"/>
        <v>MAX : 
TARGET : Yes(Pass)
MIN : No(Fail)</v>
      </c>
    </row>
    <row r="4767" spans="2:18" ht="41.4" x14ac:dyDescent="0.3">
      <c r="B4767">
        <v>1</v>
      </c>
      <c r="C4767" s="33">
        <v>9063</v>
      </c>
      <c r="D4767" s="2">
        <v>1417</v>
      </c>
      <c r="E4767" s="2" t="s">
        <v>12257</v>
      </c>
      <c r="F4767" s="3" t="s">
        <v>14206</v>
      </c>
      <c r="H4767" s="3" t="s">
        <v>648</v>
      </c>
      <c r="K4767" s="2">
        <v>10</v>
      </c>
      <c r="L4767" s="2">
        <v>1</v>
      </c>
      <c r="M4767" s="3" t="s">
        <v>4744</v>
      </c>
      <c r="N4767" s="3" t="s">
        <v>1329</v>
      </c>
      <c r="O4767" s="3" t="s">
        <v>1330</v>
      </c>
      <c r="P4767" s="3" t="s">
        <v>1331</v>
      </c>
      <c r="Q4767" s="30" t="str">
        <f t="shared" si="74"/>
        <v>MAX : 1.405
TARGET : 1.375
MIN : 1.345</v>
      </c>
    </row>
    <row r="4768" spans="2:18" ht="41.4" x14ac:dyDescent="0.3">
      <c r="B4768">
        <v>0</v>
      </c>
      <c r="C4768" s="33">
        <v>9158</v>
      </c>
      <c r="D4768" s="2">
        <v>1478</v>
      </c>
      <c r="E4768" s="2" t="s">
        <v>12832</v>
      </c>
      <c r="F4768" s="3" t="s">
        <v>14206</v>
      </c>
      <c r="H4768" s="3" t="s">
        <v>5137</v>
      </c>
      <c r="I4768" s="3" t="s">
        <v>575</v>
      </c>
      <c r="K4768" s="2">
        <v>20</v>
      </c>
      <c r="L4768" s="2">
        <v>3</v>
      </c>
      <c r="M4768" s="3" t="s">
        <v>198</v>
      </c>
      <c r="N4768" s="3" t="s">
        <v>485</v>
      </c>
      <c r="O4768" s="3" t="s">
        <v>1621</v>
      </c>
      <c r="P4768" s="3" t="s">
        <v>3235</v>
      </c>
      <c r="Q4768" s="30" t="str">
        <f t="shared" si="74"/>
        <v>MAX : 0.96
TARGET : 0.95
MIN : 0.94</v>
      </c>
    </row>
    <row r="4769" spans="2:18" ht="41.4" x14ac:dyDescent="0.3">
      <c r="B4769">
        <v>0</v>
      </c>
      <c r="C4769" s="33">
        <v>9158</v>
      </c>
      <c r="D4769" s="2">
        <v>1478</v>
      </c>
      <c r="E4769" s="2" t="s">
        <v>12832</v>
      </c>
      <c r="F4769" s="3" t="s">
        <v>14206</v>
      </c>
      <c r="H4769" s="3" t="s">
        <v>5137</v>
      </c>
      <c r="I4769" s="3" t="s">
        <v>575</v>
      </c>
      <c r="K4769" s="2">
        <v>20</v>
      </c>
      <c r="L4769" s="2">
        <v>4</v>
      </c>
      <c r="M4769" s="3" t="s">
        <v>3618</v>
      </c>
      <c r="N4769" s="3" t="s">
        <v>5138</v>
      </c>
      <c r="O4769" s="3" t="s">
        <v>132</v>
      </c>
      <c r="P4769" s="3" t="s">
        <v>1085</v>
      </c>
      <c r="Q4769" s="30" t="str">
        <f t="shared" si="74"/>
        <v>MAX : 0.76
TARGET : 0.75
MIN : 0.74</v>
      </c>
    </row>
    <row r="4770" spans="2:18" ht="41.4" x14ac:dyDescent="0.3">
      <c r="B4770">
        <v>0</v>
      </c>
      <c r="C4770" s="33">
        <v>9158</v>
      </c>
      <c r="D4770" s="2">
        <v>1478</v>
      </c>
      <c r="E4770" s="2" t="s">
        <v>12832</v>
      </c>
      <c r="F4770" s="3" t="s">
        <v>14206</v>
      </c>
      <c r="H4770" s="3" t="s">
        <v>5137</v>
      </c>
      <c r="I4770" s="3" t="s">
        <v>575</v>
      </c>
      <c r="K4770" s="2">
        <v>20</v>
      </c>
      <c r="L4770" s="2">
        <v>5</v>
      </c>
      <c r="M4770" s="3" t="s">
        <v>1605</v>
      </c>
      <c r="N4770" s="3" t="s">
        <v>13</v>
      </c>
      <c r="O4770" s="3" t="s">
        <v>14</v>
      </c>
      <c r="Q4770" s="30" t="str">
        <f t="shared" si="74"/>
        <v>MAX : 
TARGET : Yes(Pass)
MIN : No(Fail)</v>
      </c>
    </row>
    <row r="4771" spans="2:18" ht="41.4" x14ac:dyDescent="0.3">
      <c r="B4771">
        <v>0</v>
      </c>
      <c r="C4771" s="33">
        <v>9158</v>
      </c>
      <c r="D4771" s="2">
        <v>1478</v>
      </c>
      <c r="E4771" s="2" t="s">
        <v>12832</v>
      </c>
      <c r="F4771" s="3" t="s">
        <v>14206</v>
      </c>
      <c r="H4771" s="3" t="s">
        <v>5137</v>
      </c>
      <c r="I4771" s="3" t="s">
        <v>575</v>
      </c>
      <c r="K4771" s="2">
        <v>20</v>
      </c>
      <c r="L4771" s="2">
        <v>6</v>
      </c>
      <c r="M4771" s="3" t="s">
        <v>78</v>
      </c>
      <c r="N4771" s="3" t="s">
        <v>13</v>
      </c>
      <c r="O4771" s="3" t="s">
        <v>14</v>
      </c>
      <c r="Q4771" s="30" t="str">
        <f t="shared" si="74"/>
        <v>MAX : 
TARGET : Yes(Pass)
MIN : No(Fail)</v>
      </c>
    </row>
    <row r="4772" spans="2:18" ht="41.4" x14ac:dyDescent="0.3">
      <c r="B4772">
        <v>1</v>
      </c>
      <c r="C4772" s="33">
        <v>9064</v>
      </c>
      <c r="D4772" s="2">
        <v>1418</v>
      </c>
      <c r="E4772" s="2" t="s">
        <v>12264</v>
      </c>
      <c r="F4772" s="3" t="s">
        <v>14206</v>
      </c>
      <c r="H4772" s="3" t="s">
        <v>469</v>
      </c>
      <c r="K4772" s="2">
        <v>10</v>
      </c>
      <c r="L4772" s="2">
        <v>1</v>
      </c>
      <c r="M4772" s="3" t="s">
        <v>4749</v>
      </c>
      <c r="N4772" s="3" t="s">
        <v>131</v>
      </c>
      <c r="O4772" s="3" t="s">
        <v>132</v>
      </c>
      <c r="P4772" s="3" t="s">
        <v>133</v>
      </c>
      <c r="Q4772" s="30" t="str">
        <f t="shared" si="74"/>
        <v>MAX : 0.78
TARGET : 0.75
MIN : 0.72</v>
      </c>
    </row>
    <row r="4773" spans="2:18" ht="41.4" x14ac:dyDescent="0.3">
      <c r="B4773">
        <v>1</v>
      </c>
      <c r="C4773" s="33">
        <v>9064</v>
      </c>
      <c r="D4773" s="2">
        <v>1418</v>
      </c>
      <c r="E4773" s="2" t="s">
        <v>12264</v>
      </c>
      <c r="F4773" s="3" t="s">
        <v>14206</v>
      </c>
      <c r="H4773" s="3" t="s">
        <v>469</v>
      </c>
      <c r="K4773" s="2">
        <v>10</v>
      </c>
      <c r="L4773" s="2">
        <v>3</v>
      </c>
      <c r="M4773" s="3" t="s">
        <v>4748</v>
      </c>
      <c r="N4773" s="3" t="s">
        <v>1329</v>
      </c>
      <c r="O4773" s="3" t="s">
        <v>1330</v>
      </c>
      <c r="P4773" s="3" t="s">
        <v>1331</v>
      </c>
      <c r="Q4773" s="30" t="str">
        <f t="shared" si="74"/>
        <v>MAX : 1.405
TARGET : 1.375
MIN : 1.345</v>
      </c>
    </row>
    <row r="4774" spans="2:18" ht="41.4" x14ac:dyDescent="0.3">
      <c r="B4774">
        <v>0</v>
      </c>
      <c r="C4774" s="33">
        <v>9103</v>
      </c>
      <c r="D4774" s="2">
        <v>1443</v>
      </c>
      <c r="E4774" s="2" t="s">
        <v>12504</v>
      </c>
      <c r="F4774" s="3" t="s">
        <v>14206</v>
      </c>
      <c r="H4774" s="3" t="s">
        <v>648</v>
      </c>
      <c r="K4774" s="2">
        <v>30</v>
      </c>
      <c r="L4774" s="2">
        <v>1</v>
      </c>
      <c r="M4774" s="3" t="s">
        <v>194</v>
      </c>
      <c r="N4774" s="3" t="s">
        <v>5142</v>
      </c>
      <c r="O4774" s="3" t="s">
        <v>5143</v>
      </c>
      <c r="P4774" s="3" t="s">
        <v>5144</v>
      </c>
      <c r="Q4774" s="30" t="str">
        <f t="shared" si="74"/>
        <v>MAX : 8.56
TARGET : 8.50
MIN : 8.44</v>
      </c>
      <c r="R4774" s="3" t="s">
        <v>4520</v>
      </c>
    </row>
    <row r="4775" spans="2:18" ht="41.4" x14ac:dyDescent="0.3">
      <c r="B4775">
        <v>0</v>
      </c>
      <c r="C4775" s="33">
        <v>9103</v>
      </c>
      <c r="D4775" s="2">
        <v>1443</v>
      </c>
      <c r="E4775" s="2" t="s">
        <v>12504</v>
      </c>
      <c r="F4775" s="3" t="s">
        <v>14206</v>
      </c>
      <c r="H4775" s="3" t="s">
        <v>648</v>
      </c>
      <c r="K4775" s="2">
        <v>30</v>
      </c>
      <c r="L4775" s="2">
        <v>2</v>
      </c>
      <c r="M4775" s="3" t="s">
        <v>5145</v>
      </c>
      <c r="N4775" s="3" t="s">
        <v>979</v>
      </c>
      <c r="O4775" s="3" t="s">
        <v>309</v>
      </c>
      <c r="P4775" s="3" t="s">
        <v>1531</v>
      </c>
      <c r="Q4775" s="30" t="str">
        <f t="shared" si="74"/>
        <v>MAX : 0.56
TARGET : 0.50
MIN : 0.44</v>
      </c>
      <c r="R4775" s="3" t="s">
        <v>4520</v>
      </c>
    </row>
    <row r="4776" spans="2:18" ht="41.4" x14ac:dyDescent="0.3">
      <c r="B4776">
        <v>0</v>
      </c>
      <c r="C4776" s="33">
        <v>9103</v>
      </c>
      <c r="D4776" s="2">
        <v>1443</v>
      </c>
      <c r="E4776" s="2" t="s">
        <v>12504</v>
      </c>
      <c r="F4776" s="3" t="s">
        <v>14206</v>
      </c>
      <c r="H4776" s="3" t="s">
        <v>648</v>
      </c>
      <c r="K4776" s="2">
        <v>30</v>
      </c>
      <c r="L4776" s="2">
        <v>3</v>
      </c>
      <c r="M4776" s="3" t="s">
        <v>5146</v>
      </c>
      <c r="N4776" s="3" t="s">
        <v>776</v>
      </c>
      <c r="O4776" s="3" t="s">
        <v>2456</v>
      </c>
      <c r="P4776" s="3" t="s">
        <v>1742</v>
      </c>
      <c r="Q4776" s="30" t="str">
        <f t="shared" si="74"/>
        <v>MAX : 0.16
TARGET : 0.10
MIN : 0.04</v>
      </c>
      <c r="R4776" s="3" t="s">
        <v>4520</v>
      </c>
    </row>
    <row r="4777" spans="2:18" ht="41.4" x14ac:dyDescent="0.3">
      <c r="B4777">
        <v>0</v>
      </c>
      <c r="C4777" s="33">
        <v>9103</v>
      </c>
      <c r="D4777" s="2">
        <v>1443</v>
      </c>
      <c r="E4777" s="2" t="s">
        <v>12504</v>
      </c>
      <c r="F4777" s="3" t="s">
        <v>14206</v>
      </c>
      <c r="H4777" s="3" t="s">
        <v>648</v>
      </c>
      <c r="K4777" s="2">
        <v>30</v>
      </c>
      <c r="L4777" s="2">
        <v>4</v>
      </c>
      <c r="M4777" s="3" t="s">
        <v>198</v>
      </c>
      <c r="N4777" s="3" t="s">
        <v>2686</v>
      </c>
      <c r="O4777" s="3" t="s">
        <v>703</v>
      </c>
      <c r="P4777" s="3" t="s">
        <v>2687</v>
      </c>
      <c r="Q4777" s="30" t="str">
        <f t="shared" si="74"/>
        <v>MAX : 4.56
TARGET : 4.50
MIN : 4.44</v>
      </c>
      <c r="R4777" s="3" t="s">
        <v>4520</v>
      </c>
    </row>
    <row r="4778" spans="2:18" ht="41.4" x14ac:dyDescent="0.3">
      <c r="B4778">
        <v>0</v>
      </c>
      <c r="C4778" s="33">
        <v>9103</v>
      </c>
      <c r="D4778" s="2">
        <v>1443</v>
      </c>
      <c r="E4778" s="2" t="s">
        <v>12504</v>
      </c>
      <c r="F4778" s="3" t="s">
        <v>14206</v>
      </c>
      <c r="H4778" s="3" t="s">
        <v>648</v>
      </c>
      <c r="K4778" s="2">
        <v>30</v>
      </c>
      <c r="L4778" s="2">
        <v>5</v>
      </c>
      <c r="M4778" s="3" t="s">
        <v>4076</v>
      </c>
      <c r="N4778" s="3" t="s">
        <v>979</v>
      </c>
      <c r="O4778" s="3" t="s">
        <v>309</v>
      </c>
      <c r="P4778" s="3" t="s">
        <v>1531</v>
      </c>
      <c r="Q4778" s="30" t="str">
        <f t="shared" si="74"/>
        <v>MAX : 0.56
TARGET : 0.50
MIN : 0.44</v>
      </c>
      <c r="R4778" s="3" t="s">
        <v>4520</v>
      </c>
    </row>
    <row r="4779" spans="2:18" ht="41.4" x14ac:dyDescent="0.3">
      <c r="B4779">
        <v>0</v>
      </c>
      <c r="C4779" s="33">
        <v>9103</v>
      </c>
      <c r="D4779" s="2">
        <v>1443</v>
      </c>
      <c r="E4779" s="2" t="s">
        <v>12504</v>
      </c>
      <c r="F4779" s="3" t="s">
        <v>14206</v>
      </c>
      <c r="H4779" s="3" t="s">
        <v>648</v>
      </c>
      <c r="K4779" s="2">
        <v>30</v>
      </c>
      <c r="L4779" s="2">
        <v>6</v>
      </c>
      <c r="M4779" s="3" t="s">
        <v>5147</v>
      </c>
      <c r="N4779" s="3" t="s">
        <v>776</v>
      </c>
      <c r="O4779" s="3" t="s">
        <v>2456</v>
      </c>
      <c r="P4779" s="3" t="s">
        <v>1742</v>
      </c>
      <c r="Q4779" s="30" t="str">
        <f t="shared" si="74"/>
        <v>MAX : 0.16
TARGET : 0.10
MIN : 0.04</v>
      </c>
      <c r="R4779" s="3" t="s">
        <v>4520</v>
      </c>
    </row>
    <row r="4780" spans="2:18" ht="41.4" x14ac:dyDescent="0.3">
      <c r="B4780">
        <v>0</v>
      </c>
      <c r="C4780" s="33">
        <v>9103</v>
      </c>
      <c r="D4780" s="2">
        <v>1443</v>
      </c>
      <c r="E4780" s="2" t="s">
        <v>12504</v>
      </c>
      <c r="F4780" s="3" t="s">
        <v>14206</v>
      </c>
      <c r="H4780" s="3" t="s">
        <v>648</v>
      </c>
      <c r="K4780" s="2">
        <v>30</v>
      </c>
      <c r="L4780" s="2">
        <v>7</v>
      </c>
      <c r="M4780" s="3" t="s">
        <v>5148</v>
      </c>
      <c r="N4780" s="3" t="s">
        <v>5149</v>
      </c>
      <c r="O4780" s="3" t="s">
        <v>309</v>
      </c>
      <c r="P4780" s="3" t="s">
        <v>1531</v>
      </c>
      <c r="Q4780" s="30" t="str">
        <f t="shared" si="74"/>
        <v>MAX : 0.56
TARGET : 0.50
MIN : 0.43</v>
      </c>
      <c r="R4780" s="3" t="s">
        <v>4520</v>
      </c>
    </row>
    <row r="4781" spans="2:18" ht="41.4" x14ac:dyDescent="0.3">
      <c r="B4781">
        <v>0</v>
      </c>
      <c r="C4781" s="33">
        <v>9103</v>
      </c>
      <c r="D4781" s="2">
        <v>1443</v>
      </c>
      <c r="E4781" s="2" t="s">
        <v>12504</v>
      </c>
      <c r="F4781" s="3" t="s">
        <v>14206</v>
      </c>
      <c r="H4781" s="3" t="s">
        <v>648</v>
      </c>
      <c r="K4781" s="2">
        <v>30</v>
      </c>
      <c r="L4781" s="2">
        <v>8</v>
      </c>
      <c r="M4781" s="3" t="s">
        <v>5150</v>
      </c>
      <c r="N4781" s="3" t="s">
        <v>1680</v>
      </c>
      <c r="O4781" s="3" t="s">
        <v>790</v>
      </c>
      <c r="P4781" s="3" t="s">
        <v>1681</v>
      </c>
      <c r="Q4781" s="30" t="str">
        <f t="shared" si="74"/>
        <v>MAX : 2.31
TARGET : 2.25
MIN : 2.19</v>
      </c>
      <c r="R4781" s="3" t="s">
        <v>4520</v>
      </c>
    </row>
    <row r="4782" spans="2:18" ht="41.4" x14ac:dyDescent="0.3">
      <c r="B4782">
        <v>0</v>
      </c>
      <c r="C4782" s="33">
        <v>9103</v>
      </c>
      <c r="D4782" s="2">
        <v>1443</v>
      </c>
      <c r="E4782" s="2" t="s">
        <v>12504</v>
      </c>
      <c r="F4782" s="3" t="s">
        <v>14206</v>
      </c>
      <c r="H4782" s="3" t="s">
        <v>648</v>
      </c>
      <c r="K4782" s="2">
        <v>40</v>
      </c>
      <c r="L4782" s="2">
        <v>1</v>
      </c>
      <c r="M4782" s="3" t="s">
        <v>4739</v>
      </c>
      <c r="N4782" s="3" t="s">
        <v>5151</v>
      </c>
      <c r="O4782" s="3" t="s">
        <v>5063</v>
      </c>
      <c r="P4782" s="3" t="s">
        <v>3143</v>
      </c>
      <c r="Q4782" s="30" t="str">
        <f t="shared" si="74"/>
        <v>MAX : 11.44
TARGET : 11.38
MIN : 11.32</v>
      </c>
      <c r="R4782" s="3" t="s">
        <v>4520</v>
      </c>
    </row>
    <row r="4783" spans="2:18" ht="41.4" x14ac:dyDescent="0.3">
      <c r="B4783">
        <v>0</v>
      </c>
      <c r="C4783" s="33">
        <v>9103</v>
      </c>
      <c r="D4783" s="2">
        <v>1443</v>
      </c>
      <c r="E4783" s="2" t="s">
        <v>12504</v>
      </c>
      <c r="F4783" s="3" t="s">
        <v>14206</v>
      </c>
      <c r="H4783" s="3" t="s">
        <v>648</v>
      </c>
      <c r="K4783" s="2">
        <v>40</v>
      </c>
      <c r="L4783" s="2">
        <v>2</v>
      </c>
      <c r="M4783" s="3" t="s">
        <v>4740</v>
      </c>
      <c r="N4783" s="3" t="s">
        <v>5152</v>
      </c>
      <c r="O4783" s="3" t="s">
        <v>389</v>
      </c>
      <c r="P4783" s="3" t="s">
        <v>5153</v>
      </c>
      <c r="Q4783" s="30" t="str">
        <f t="shared" si="74"/>
        <v>MAX : 6.31
TARGET : 6.25
MIN : 6.19</v>
      </c>
      <c r="R4783" s="3" t="s">
        <v>4520</v>
      </c>
    </row>
    <row r="4784" spans="2:18" ht="41.4" x14ac:dyDescent="0.3">
      <c r="B4784">
        <v>0</v>
      </c>
      <c r="C4784" s="33">
        <v>9103</v>
      </c>
      <c r="D4784" s="2">
        <v>1443</v>
      </c>
      <c r="E4784" s="2" t="s">
        <v>12504</v>
      </c>
      <c r="F4784" s="3" t="s">
        <v>14206</v>
      </c>
      <c r="H4784" s="3" t="s">
        <v>648</v>
      </c>
      <c r="K4784" s="2">
        <v>40</v>
      </c>
      <c r="L4784" s="2">
        <v>3</v>
      </c>
      <c r="M4784" s="3" t="s">
        <v>5154</v>
      </c>
      <c r="N4784" s="3" t="s">
        <v>13</v>
      </c>
      <c r="O4784" s="3" t="s">
        <v>14</v>
      </c>
      <c r="Q4784" s="30" t="str">
        <f t="shared" si="74"/>
        <v>MAX : 
TARGET : Yes(Pass)
MIN : No(Fail)</v>
      </c>
      <c r="R4784" s="3" t="s">
        <v>4520</v>
      </c>
    </row>
    <row r="4785" spans="2:18" ht="41.4" x14ac:dyDescent="0.3">
      <c r="B4785">
        <v>1</v>
      </c>
      <c r="C4785" s="33">
        <v>9065</v>
      </c>
      <c r="D4785" s="2">
        <v>1419</v>
      </c>
      <c r="E4785" s="2" t="s">
        <v>12270</v>
      </c>
      <c r="F4785" s="3" t="s">
        <v>14206</v>
      </c>
      <c r="H4785" s="3" t="s">
        <v>4755</v>
      </c>
      <c r="K4785" s="2">
        <v>10</v>
      </c>
      <c r="L4785" s="2">
        <v>2</v>
      </c>
      <c r="M4785" s="3" t="s">
        <v>4758</v>
      </c>
      <c r="N4785" s="3" t="s">
        <v>900</v>
      </c>
      <c r="O4785" s="3" t="s">
        <v>28</v>
      </c>
      <c r="P4785" s="3" t="s">
        <v>901</v>
      </c>
      <c r="Q4785" s="30" t="str">
        <f t="shared" si="74"/>
        <v>MAX : 1.56
TARGET : 1.50
MIN : 1.44</v>
      </c>
    </row>
    <row r="4786" spans="2:18" ht="41.4" x14ac:dyDescent="0.3">
      <c r="B4786">
        <v>1</v>
      </c>
      <c r="C4786" s="33">
        <v>9065</v>
      </c>
      <c r="D4786" s="2">
        <v>1419</v>
      </c>
      <c r="E4786" s="2" t="s">
        <v>12270</v>
      </c>
      <c r="F4786" s="3" t="s">
        <v>14206</v>
      </c>
      <c r="H4786" s="3" t="s">
        <v>4755</v>
      </c>
      <c r="K4786" s="2">
        <v>10</v>
      </c>
      <c r="L4786" s="2">
        <v>1</v>
      </c>
      <c r="M4786" s="3" t="s">
        <v>4756</v>
      </c>
      <c r="N4786" s="3" t="s">
        <v>4757</v>
      </c>
      <c r="O4786" s="3" t="s">
        <v>2353</v>
      </c>
      <c r="P4786" s="3" t="s">
        <v>3799</v>
      </c>
      <c r="Q4786" s="30" t="str">
        <f t="shared" si="74"/>
        <v>MAX : 2.1
TARGET : 2.0
MIN : 1.9</v>
      </c>
    </row>
    <row r="4787" spans="2:18" ht="41.4" x14ac:dyDescent="0.3">
      <c r="B4787">
        <v>1</v>
      </c>
      <c r="C4787" s="33">
        <v>9066</v>
      </c>
      <c r="D4787" s="2">
        <v>2056</v>
      </c>
      <c r="E4787" s="2" t="s">
        <v>12276</v>
      </c>
      <c r="F4787" s="3" t="s">
        <v>14206</v>
      </c>
      <c r="H4787" s="3" t="s">
        <v>568</v>
      </c>
      <c r="I4787" s="3" t="s">
        <v>487</v>
      </c>
      <c r="K4787" s="2">
        <v>10</v>
      </c>
      <c r="L4787" s="2">
        <v>2</v>
      </c>
      <c r="M4787" s="3" t="s">
        <v>325</v>
      </c>
      <c r="N4787" s="3" t="s">
        <v>13</v>
      </c>
      <c r="O4787" s="3" t="s">
        <v>14</v>
      </c>
      <c r="Q4787" s="30" t="str">
        <f t="shared" si="74"/>
        <v>MAX : 
TARGET : Yes(Pass)
MIN : No(Fail)</v>
      </c>
    </row>
    <row r="4788" spans="2:18" ht="41.4" x14ac:dyDescent="0.3">
      <c r="B4788">
        <v>1</v>
      </c>
      <c r="C4788" s="33">
        <v>9066</v>
      </c>
      <c r="D4788" s="2">
        <v>2056</v>
      </c>
      <c r="E4788" s="2" t="s">
        <v>12276</v>
      </c>
      <c r="F4788" s="3" t="s">
        <v>14206</v>
      </c>
      <c r="H4788" s="3" t="s">
        <v>568</v>
      </c>
      <c r="I4788" s="3" t="s">
        <v>487</v>
      </c>
      <c r="K4788" s="2">
        <v>10</v>
      </c>
      <c r="L4788" s="2">
        <v>1</v>
      </c>
      <c r="M4788" s="3" t="s">
        <v>1610</v>
      </c>
      <c r="N4788" s="3" t="s">
        <v>863</v>
      </c>
      <c r="O4788" s="3" t="s">
        <v>8</v>
      </c>
      <c r="P4788" s="3" t="s">
        <v>865</v>
      </c>
      <c r="Q4788" s="30" t="str">
        <f t="shared" si="74"/>
        <v>MAX : +0.03
TARGET : Target
MIN : -0.03</v>
      </c>
    </row>
    <row r="4789" spans="2:18" ht="41.4" x14ac:dyDescent="0.3">
      <c r="B4789">
        <v>0</v>
      </c>
      <c r="C4789" s="33">
        <v>9102</v>
      </c>
      <c r="D4789" s="2">
        <v>1442</v>
      </c>
      <c r="E4789" s="2" t="s">
        <v>12497</v>
      </c>
      <c r="F4789" s="3" t="s">
        <v>14206</v>
      </c>
      <c r="H4789" s="3" t="s">
        <v>1915</v>
      </c>
      <c r="K4789" s="2">
        <v>30</v>
      </c>
      <c r="L4789" s="2">
        <v>8</v>
      </c>
      <c r="M4789" s="3" t="s">
        <v>5150</v>
      </c>
      <c r="N4789" s="3" t="s">
        <v>5156</v>
      </c>
      <c r="O4789" s="3" t="s">
        <v>365</v>
      </c>
      <c r="P4789" s="3" t="s">
        <v>5157</v>
      </c>
      <c r="Q4789" s="30" t="str">
        <f t="shared" si="74"/>
        <v>MAX : 4.015
TARGET : 4.000
MIN : 3.985</v>
      </c>
      <c r="R4789" s="3" t="s">
        <v>4520</v>
      </c>
    </row>
    <row r="4790" spans="2:18" ht="41.4" x14ac:dyDescent="0.3">
      <c r="B4790">
        <v>0</v>
      </c>
      <c r="C4790" s="33">
        <v>9102</v>
      </c>
      <c r="D4790" s="2">
        <v>1442</v>
      </c>
      <c r="E4790" s="2" t="s">
        <v>12497</v>
      </c>
      <c r="F4790" s="3" t="s">
        <v>14206</v>
      </c>
      <c r="H4790" s="3" t="s">
        <v>1915</v>
      </c>
      <c r="K4790" s="2">
        <v>40</v>
      </c>
      <c r="L4790" s="2">
        <v>1</v>
      </c>
      <c r="M4790" s="3" t="s">
        <v>4739</v>
      </c>
      <c r="N4790" s="3" t="s">
        <v>5158</v>
      </c>
      <c r="O4790" s="3" t="s">
        <v>5159</v>
      </c>
      <c r="P4790" s="3" t="s">
        <v>5160</v>
      </c>
      <c r="Q4790" s="30" t="str">
        <f t="shared" si="74"/>
        <v>MAX : 10.515
TARGET : 10.500
MIN : 10.485</v>
      </c>
      <c r="R4790" s="3" t="s">
        <v>4520</v>
      </c>
    </row>
    <row r="4791" spans="2:18" ht="41.4" x14ac:dyDescent="0.3">
      <c r="B4791">
        <v>0</v>
      </c>
      <c r="C4791" s="33">
        <v>9102</v>
      </c>
      <c r="D4791" s="2">
        <v>1442</v>
      </c>
      <c r="E4791" s="2" t="s">
        <v>12497</v>
      </c>
      <c r="F4791" s="3" t="s">
        <v>14206</v>
      </c>
      <c r="H4791" s="3" t="s">
        <v>1915</v>
      </c>
      <c r="K4791" s="2">
        <v>40</v>
      </c>
      <c r="L4791" s="2">
        <v>2</v>
      </c>
      <c r="M4791" s="3" t="s">
        <v>4740</v>
      </c>
      <c r="N4791" s="3" t="s">
        <v>576</v>
      </c>
      <c r="O4791" s="3" t="s">
        <v>5161</v>
      </c>
      <c r="P4791" s="3" t="s">
        <v>5162</v>
      </c>
      <c r="Q4791" s="30" t="str">
        <f t="shared" si="74"/>
        <v>MAX : 9.44
TARGET : 9.38
MIN : 9.32</v>
      </c>
      <c r="R4791" s="3" t="s">
        <v>4520</v>
      </c>
    </row>
    <row r="4792" spans="2:18" ht="41.4" x14ac:dyDescent="0.3">
      <c r="B4792">
        <v>0</v>
      </c>
      <c r="C4792" s="33">
        <v>9102</v>
      </c>
      <c r="D4792" s="2">
        <v>1442</v>
      </c>
      <c r="E4792" s="2" t="s">
        <v>12497</v>
      </c>
      <c r="F4792" s="3" t="s">
        <v>14206</v>
      </c>
      <c r="H4792" s="3" t="s">
        <v>1915</v>
      </c>
      <c r="K4792" s="2">
        <v>40</v>
      </c>
      <c r="L4792" s="2">
        <v>3</v>
      </c>
      <c r="M4792" s="3" t="s">
        <v>5154</v>
      </c>
      <c r="N4792" s="3" t="s">
        <v>13</v>
      </c>
      <c r="O4792" s="3" t="s">
        <v>14</v>
      </c>
      <c r="Q4792" s="30" t="str">
        <f t="shared" si="74"/>
        <v>MAX : 
TARGET : Yes(Pass)
MIN : No(Fail)</v>
      </c>
      <c r="R4792" s="3" t="s">
        <v>4520</v>
      </c>
    </row>
    <row r="4793" spans="2:18" ht="41.4" x14ac:dyDescent="0.3">
      <c r="B4793">
        <v>1</v>
      </c>
      <c r="C4793" s="33">
        <v>9067</v>
      </c>
      <c r="D4793" s="2">
        <v>1420</v>
      </c>
      <c r="E4793" s="2" t="s">
        <v>12282</v>
      </c>
      <c r="F4793" s="3" t="s">
        <v>14206</v>
      </c>
      <c r="H4793" s="3" t="s">
        <v>469</v>
      </c>
      <c r="I4793" s="3" t="s">
        <v>487</v>
      </c>
      <c r="K4793" s="2">
        <v>20</v>
      </c>
      <c r="L4793" s="2">
        <v>1</v>
      </c>
      <c r="M4793" s="3" t="s">
        <v>194</v>
      </c>
      <c r="N4793" s="3" t="s">
        <v>2453</v>
      </c>
      <c r="O4793" s="3" t="s">
        <v>253</v>
      </c>
      <c r="P4793" s="3" t="s">
        <v>3785</v>
      </c>
      <c r="Q4793" s="30" t="str">
        <f t="shared" si="74"/>
        <v>MAX : 4.13
TARGET : 4.00
MIN : 3.87</v>
      </c>
    </row>
    <row r="4794" spans="2:18" ht="41.4" x14ac:dyDescent="0.3">
      <c r="B4794">
        <v>1</v>
      </c>
      <c r="C4794" s="33">
        <v>9067</v>
      </c>
      <c r="D4794" s="2">
        <v>1420</v>
      </c>
      <c r="E4794" s="2" t="s">
        <v>12282</v>
      </c>
      <c r="F4794" s="3" t="s">
        <v>14206</v>
      </c>
      <c r="H4794" s="3" t="s">
        <v>469</v>
      </c>
      <c r="I4794" s="3" t="s">
        <v>487</v>
      </c>
      <c r="K4794" s="2">
        <v>10</v>
      </c>
      <c r="L4794" s="2">
        <v>1</v>
      </c>
      <c r="M4794" s="3" t="s">
        <v>1655</v>
      </c>
      <c r="N4794" s="3" t="s">
        <v>4735</v>
      </c>
      <c r="O4794" s="3" t="s">
        <v>250</v>
      </c>
      <c r="P4794" s="3" t="s">
        <v>2158</v>
      </c>
      <c r="Q4794" s="30" t="str">
        <f t="shared" si="74"/>
        <v>MAX : 6.13
TARGET : 6.00
MIN : 5.87</v>
      </c>
    </row>
    <row r="4795" spans="2:18" ht="41.4" x14ac:dyDescent="0.3">
      <c r="B4795">
        <v>0</v>
      </c>
      <c r="C4795" s="33">
        <v>9159</v>
      </c>
      <c r="D4795" s="2">
        <v>2085</v>
      </c>
      <c r="E4795" s="2" t="s">
        <v>12839</v>
      </c>
      <c r="F4795" s="3" t="s">
        <v>14206</v>
      </c>
      <c r="H4795" s="3" t="s">
        <v>568</v>
      </c>
      <c r="K4795" s="2">
        <v>10</v>
      </c>
      <c r="L4795" s="2">
        <v>3</v>
      </c>
      <c r="M4795" s="3" t="s">
        <v>611</v>
      </c>
      <c r="N4795" s="3" t="s">
        <v>13</v>
      </c>
      <c r="O4795" s="3" t="s">
        <v>14</v>
      </c>
      <c r="Q4795" s="30" t="str">
        <f t="shared" si="74"/>
        <v>MAX : 
TARGET : Yes(Pass)
MIN : No(Fail)</v>
      </c>
    </row>
    <row r="4796" spans="2:18" ht="41.4" x14ac:dyDescent="0.3">
      <c r="B4796">
        <v>1</v>
      </c>
      <c r="C4796" s="33">
        <v>9068</v>
      </c>
      <c r="D4796" s="2">
        <v>2057</v>
      </c>
      <c r="E4796" s="2" t="s">
        <v>12288</v>
      </c>
      <c r="F4796" s="3" t="s">
        <v>14206</v>
      </c>
      <c r="H4796" s="3" t="s">
        <v>4724</v>
      </c>
      <c r="K4796" s="2">
        <v>10</v>
      </c>
      <c r="L4796" s="2">
        <v>2</v>
      </c>
      <c r="M4796" s="3" t="s">
        <v>2117</v>
      </c>
      <c r="N4796" s="3" t="s">
        <v>1641</v>
      </c>
      <c r="O4796" s="3" t="s">
        <v>149</v>
      </c>
      <c r="P4796" s="3" t="s">
        <v>1642</v>
      </c>
      <c r="Q4796" s="30" t="str">
        <f t="shared" si="74"/>
        <v>MAX : 12.06
TARGET : 12.00
MIN : 11.94</v>
      </c>
    </row>
    <row r="4797" spans="2:18" ht="41.4" x14ac:dyDescent="0.3">
      <c r="B4797">
        <v>1</v>
      </c>
      <c r="C4797" s="33">
        <v>9068</v>
      </c>
      <c r="D4797" s="2">
        <v>2057</v>
      </c>
      <c r="E4797" s="2" t="s">
        <v>12288</v>
      </c>
      <c r="F4797" s="3" t="s">
        <v>14206</v>
      </c>
      <c r="H4797" s="3" t="s">
        <v>4724</v>
      </c>
      <c r="K4797" s="2">
        <v>10</v>
      </c>
      <c r="L4797" s="2">
        <v>1</v>
      </c>
      <c r="M4797" s="3" t="s">
        <v>2088</v>
      </c>
      <c r="N4797" s="3" t="s">
        <v>2485</v>
      </c>
      <c r="O4797" s="3" t="s">
        <v>2815</v>
      </c>
      <c r="P4797" s="3" t="s">
        <v>4725</v>
      </c>
      <c r="Q4797" s="30" t="str">
        <f t="shared" si="74"/>
        <v>MAX : 24.06
TARGET : 24.00
MIN : 23.94</v>
      </c>
    </row>
    <row r="4798" spans="2:18" ht="41.4" x14ac:dyDescent="0.3">
      <c r="B4798">
        <v>0</v>
      </c>
      <c r="C4798" s="33">
        <v>9155</v>
      </c>
      <c r="D4798" s="2">
        <v>1476</v>
      </c>
      <c r="E4798" s="2" t="s">
        <v>12810</v>
      </c>
      <c r="F4798" s="3" t="s">
        <v>14206</v>
      </c>
      <c r="H4798" s="3" t="s">
        <v>648</v>
      </c>
      <c r="K4798" s="2">
        <v>10</v>
      </c>
      <c r="L4798" s="2">
        <v>3</v>
      </c>
      <c r="M4798" s="3" t="s">
        <v>78</v>
      </c>
      <c r="N4798" s="3" t="s">
        <v>13</v>
      </c>
      <c r="O4798" s="3" t="s">
        <v>14</v>
      </c>
      <c r="Q4798" s="30" t="str">
        <f t="shared" si="74"/>
        <v>MAX : 
TARGET : Yes(Pass)
MIN : No(Fail)</v>
      </c>
      <c r="R4798" s="3" t="s">
        <v>3549</v>
      </c>
    </row>
    <row r="4799" spans="2:18" ht="41.4" x14ac:dyDescent="0.3">
      <c r="B4799">
        <v>1</v>
      </c>
      <c r="C4799" s="33">
        <v>9069</v>
      </c>
      <c r="D4799" s="2">
        <v>1421</v>
      </c>
      <c r="E4799" s="2" t="s">
        <v>12293</v>
      </c>
      <c r="F4799" s="3" t="s">
        <v>14206</v>
      </c>
      <c r="H4799" s="3" t="s">
        <v>4765</v>
      </c>
      <c r="K4799" s="2">
        <v>20</v>
      </c>
      <c r="L4799" s="2">
        <v>2</v>
      </c>
      <c r="M4799" s="3" t="s">
        <v>4767</v>
      </c>
      <c r="N4799" s="3" t="s">
        <v>1741</v>
      </c>
      <c r="O4799" s="3" t="s">
        <v>1742</v>
      </c>
      <c r="P4799" s="3" t="s">
        <v>435</v>
      </c>
      <c r="Q4799" s="30" t="str">
        <f t="shared" si="74"/>
        <v>MAX : 0.17
TARGET : 0.16
MIN : 0.15</v>
      </c>
    </row>
    <row r="4800" spans="2:18" ht="41.4" x14ac:dyDescent="0.3">
      <c r="B4800">
        <v>1</v>
      </c>
      <c r="C4800" s="33">
        <v>9069</v>
      </c>
      <c r="D4800" s="2">
        <v>1421</v>
      </c>
      <c r="E4800" s="2" t="s">
        <v>12293</v>
      </c>
      <c r="F4800" s="3" t="s">
        <v>14206</v>
      </c>
      <c r="H4800" s="3" t="s">
        <v>4765</v>
      </c>
      <c r="K4800" s="2">
        <v>20</v>
      </c>
      <c r="L4800" s="2">
        <v>1</v>
      </c>
      <c r="M4800" s="3" t="s">
        <v>194</v>
      </c>
      <c r="N4800" s="3" t="s">
        <v>4766</v>
      </c>
      <c r="O4800" s="3" t="s">
        <v>808</v>
      </c>
      <c r="P4800" s="3" t="s">
        <v>2287</v>
      </c>
      <c r="Q4800" s="30" t="str">
        <f t="shared" si="74"/>
        <v>MAX : 0.81
TARGET : 0.80
MIN : 0.79</v>
      </c>
    </row>
    <row r="4801" spans="2:17" ht="41.4" x14ac:dyDescent="0.3">
      <c r="B4801">
        <v>1</v>
      </c>
      <c r="C4801" s="33">
        <v>9070</v>
      </c>
      <c r="D4801" s="2">
        <v>2058</v>
      </c>
      <c r="E4801" s="2" t="s">
        <v>12301</v>
      </c>
      <c r="F4801" s="3" t="s">
        <v>14206</v>
      </c>
      <c r="H4801" s="3" t="s">
        <v>3123</v>
      </c>
      <c r="I4801" s="3" t="s">
        <v>487</v>
      </c>
      <c r="K4801" s="2">
        <v>10</v>
      </c>
      <c r="L4801" s="2">
        <v>2</v>
      </c>
      <c r="M4801" s="3" t="s">
        <v>2117</v>
      </c>
      <c r="N4801" s="3" t="s">
        <v>4773</v>
      </c>
      <c r="O4801" s="3" t="s">
        <v>860</v>
      </c>
      <c r="P4801" s="3" t="s">
        <v>4703</v>
      </c>
      <c r="Q4801" s="30" t="str">
        <f t="shared" si="74"/>
        <v>MAX : 18.25
TARGET : 18.00
MIN : 17.75</v>
      </c>
    </row>
    <row r="4802" spans="2:17" ht="41.4" x14ac:dyDescent="0.3">
      <c r="B4802">
        <v>0</v>
      </c>
      <c r="C4802" s="33">
        <v>9161</v>
      </c>
      <c r="D4802" s="2">
        <v>2087</v>
      </c>
      <c r="E4802" s="2" t="s">
        <v>12852</v>
      </c>
      <c r="F4802" s="3" t="s">
        <v>14206</v>
      </c>
      <c r="H4802" s="3" t="s">
        <v>193</v>
      </c>
      <c r="K4802" s="2">
        <v>20</v>
      </c>
      <c r="L4802" s="2">
        <v>1</v>
      </c>
      <c r="M4802" s="3" t="s">
        <v>458</v>
      </c>
      <c r="N4802" s="3" t="s">
        <v>308</v>
      </c>
      <c r="O4802" s="3" t="s">
        <v>309</v>
      </c>
      <c r="P4802" s="3" t="s">
        <v>310</v>
      </c>
      <c r="Q4802" s="30" t="str">
        <f t="shared" ref="Q4802:Q4865" si="75">"MAX : " &amp; P4802 &amp; CHAR(10) &amp; "TARGET : " &amp; O4802 &amp; CHAR(10) &amp; "MIN : " &amp; N4802</f>
        <v>MAX : 0.53
TARGET : 0.50
MIN : 0.47</v>
      </c>
    </row>
    <row r="4803" spans="2:17" ht="41.4" x14ac:dyDescent="0.3">
      <c r="B4803">
        <v>0</v>
      </c>
      <c r="C4803" s="33">
        <v>9161</v>
      </c>
      <c r="D4803" s="2">
        <v>2087</v>
      </c>
      <c r="E4803" s="2" t="s">
        <v>12852</v>
      </c>
      <c r="F4803" s="3" t="s">
        <v>14206</v>
      </c>
      <c r="H4803" s="3" t="s">
        <v>193</v>
      </c>
      <c r="K4803" s="2">
        <v>20</v>
      </c>
      <c r="L4803" s="2">
        <v>2</v>
      </c>
      <c r="M4803" s="3" t="s">
        <v>611</v>
      </c>
      <c r="N4803" s="3" t="s">
        <v>13</v>
      </c>
      <c r="O4803" s="3" t="s">
        <v>14</v>
      </c>
      <c r="Q4803" s="30" t="str">
        <f t="shared" si="75"/>
        <v>MAX : 
TARGET : Yes(Pass)
MIN : No(Fail)</v>
      </c>
    </row>
    <row r="4804" spans="2:17" ht="41.4" x14ac:dyDescent="0.3">
      <c r="B4804">
        <v>1</v>
      </c>
      <c r="C4804" s="33">
        <v>9070</v>
      </c>
      <c r="D4804" s="2">
        <v>2058</v>
      </c>
      <c r="E4804" s="2" t="s">
        <v>12301</v>
      </c>
      <c r="F4804" s="3" t="s">
        <v>14206</v>
      </c>
      <c r="H4804" s="3" t="s">
        <v>3123</v>
      </c>
      <c r="I4804" s="3" t="s">
        <v>487</v>
      </c>
      <c r="K4804" s="2">
        <v>10</v>
      </c>
      <c r="L4804" s="2">
        <v>1</v>
      </c>
      <c r="M4804" s="3" t="s">
        <v>2088</v>
      </c>
      <c r="N4804" s="3" t="s">
        <v>3458</v>
      </c>
      <c r="O4804" s="3" t="s">
        <v>2815</v>
      </c>
      <c r="P4804" s="3" t="s">
        <v>1195</v>
      </c>
      <c r="Q4804" s="30" t="str">
        <f t="shared" si="75"/>
        <v>MAX : 24.25
TARGET : 24.00
MIN : 23.75</v>
      </c>
    </row>
    <row r="4805" spans="2:17" ht="41.4" x14ac:dyDescent="0.3">
      <c r="B4805">
        <v>1</v>
      </c>
      <c r="C4805" s="33">
        <v>9071</v>
      </c>
      <c r="D4805" s="2">
        <v>2059</v>
      </c>
      <c r="E4805" s="2" t="s">
        <v>12308</v>
      </c>
      <c r="F4805" s="3" t="s">
        <v>14206</v>
      </c>
      <c r="H4805" s="3" t="s">
        <v>11</v>
      </c>
      <c r="K4805" s="2">
        <v>20</v>
      </c>
      <c r="L4805" s="2">
        <v>1</v>
      </c>
      <c r="M4805" s="3" t="s">
        <v>1469</v>
      </c>
      <c r="N4805" s="3" t="s">
        <v>75</v>
      </c>
      <c r="O4805" s="3" t="s">
        <v>76</v>
      </c>
      <c r="P4805" s="3" t="s">
        <v>77</v>
      </c>
      <c r="Q4805" s="30" t="str">
        <f t="shared" si="75"/>
        <v>MAX : 2.53
TARGET : 2.50
MIN : 2.47</v>
      </c>
    </row>
    <row r="4806" spans="2:17" ht="41.4" x14ac:dyDescent="0.3">
      <c r="B4806">
        <v>0</v>
      </c>
      <c r="C4806" s="33">
        <v>9162</v>
      </c>
      <c r="D4806" s="2">
        <v>1479</v>
      </c>
      <c r="E4806" s="2" t="s">
        <v>12858</v>
      </c>
      <c r="F4806" s="3" t="s">
        <v>14206</v>
      </c>
      <c r="H4806" s="3" t="s">
        <v>648</v>
      </c>
      <c r="K4806" s="2">
        <v>20</v>
      </c>
      <c r="L4806" s="2">
        <v>3</v>
      </c>
      <c r="M4806" s="3" t="s">
        <v>4596</v>
      </c>
      <c r="N4806" s="3" t="s">
        <v>13</v>
      </c>
      <c r="O4806" s="3" t="s">
        <v>14</v>
      </c>
      <c r="Q4806" s="30" t="str">
        <f t="shared" si="75"/>
        <v>MAX : 
TARGET : Yes(Pass)
MIN : No(Fail)</v>
      </c>
    </row>
    <row r="4807" spans="2:17" ht="41.4" x14ac:dyDescent="0.3">
      <c r="B4807">
        <v>0</v>
      </c>
      <c r="C4807" s="33">
        <v>9162</v>
      </c>
      <c r="D4807" s="2">
        <v>1479</v>
      </c>
      <c r="E4807" s="2" t="s">
        <v>12858</v>
      </c>
      <c r="F4807" s="3" t="s">
        <v>14206</v>
      </c>
      <c r="H4807" s="3" t="s">
        <v>648</v>
      </c>
      <c r="K4807" s="2">
        <v>20</v>
      </c>
      <c r="L4807" s="2">
        <v>4</v>
      </c>
      <c r="M4807" s="3" t="s">
        <v>5175</v>
      </c>
      <c r="N4807" s="3" t="s">
        <v>13</v>
      </c>
      <c r="O4807" s="3" t="s">
        <v>14</v>
      </c>
      <c r="Q4807" s="30" t="str">
        <f t="shared" si="75"/>
        <v>MAX : 
TARGET : Yes(Pass)
MIN : No(Fail)</v>
      </c>
    </row>
    <row r="4808" spans="2:17" ht="41.4" x14ac:dyDescent="0.3">
      <c r="B4808">
        <v>1</v>
      </c>
      <c r="C4808" s="33">
        <v>9071</v>
      </c>
      <c r="D4808" s="2">
        <v>2059</v>
      </c>
      <c r="E4808" s="2" t="s">
        <v>12308</v>
      </c>
      <c r="F4808" s="3" t="s">
        <v>14206</v>
      </c>
      <c r="H4808" s="3" t="s">
        <v>11</v>
      </c>
      <c r="K4808" s="2">
        <v>10</v>
      </c>
      <c r="L4808" s="2">
        <v>1</v>
      </c>
      <c r="M4808" s="3" t="s">
        <v>4778</v>
      </c>
      <c r="N4808" s="3" t="s">
        <v>75</v>
      </c>
      <c r="O4808" s="3" t="s">
        <v>76</v>
      </c>
      <c r="P4808" s="3" t="s">
        <v>77</v>
      </c>
      <c r="Q4808" s="30" t="str">
        <f t="shared" si="75"/>
        <v>MAX : 2.53
TARGET : 2.50
MIN : 2.47</v>
      </c>
    </row>
    <row r="4809" spans="2:17" ht="41.4" x14ac:dyDescent="0.3">
      <c r="B4809">
        <v>1</v>
      </c>
      <c r="C4809" s="33">
        <v>9072</v>
      </c>
      <c r="D4809" s="2">
        <v>2060</v>
      </c>
      <c r="E4809" s="2" t="s">
        <v>12314</v>
      </c>
      <c r="F4809" s="3" t="s">
        <v>14207</v>
      </c>
      <c r="H4809" s="3" t="s">
        <v>491</v>
      </c>
      <c r="K4809" s="2">
        <v>10</v>
      </c>
      <c r="L4809" s="2">
        <v>2</v>
      </c>
      <c r="M4809" s="3" t="s">
        <v>325</v>
      </c>
      <c r="N4809" s="3" t="s">
        <v>13</v>
      </c>
      <c r="O4809" s="3" t="s">
        <v>14</v>
      </c>
      <c r="Q4809" s="30" t="str">
        <f t="shared" si="75"/>
        <v>MAX : 
TARGET : Yes(Pass)
MIN : No(Fail)</v>
      </c>
    </row>
    <row r="4810" spans="2:17" ht="41.4" x14ac:dyDescent="0.3">
      <c r="B4810">
        <v>1</v>
      </c>
      <c r="C4810" s="33">
        <v>9072</v>
      </c>
      <c r="D4810" s="2">
        <v>2060</v>
      </c>
      <c r="E4810" s="2" t="s">
        <v>12314</v>
      </c>
      <c r="F4810" s="3" t="s">
        <v>14207</v>
      </c>
      <c r="H4810" s="3" t="s">
        <v>491</v>
      </c>
      <c r="K4810" s="2">
        <v>10</v>
      </c>
      <c r="L4810" s="2">
        <v>1</v>
      </c>
      <c r="M4810" s="3" t="s">
        <v>99</v>
      </c>
      <c r="N4810" s="3" t="s">
        <v>3633</v>
      </c>
      <c r="O4810" s="3" t="s">
        <v>897</v>
      </c>
      <c r="P4810" s="3" t="s">
        <v>632</v>
      </c>
      <c r="Q4810" s="30" t="str">
        <f t="shared" si="75"/>
        <v>MAX : 25
TARGET : 24
MIN : 23</v>
      </c>
    </row>
    <row r="4811" spans="2:17" ht="41.4" x14ac:dyDescent="0.3">
      <c r="B4811">
        <v>1</v>
      </c>
      <c r="C4811" s="33">
        <v>9073</v>
      </c>
      <c r="D4811" s="2">
        <v>1422</v>
      </c>
      <c r="E4811" s="2" t="s">
        <v>12320</v>
      </c>
      <c r="F4811" s="3" t="s">
        <v>14206</v>
      </c>
      <c r="H4811" s="3" t="s">
        <v>2150</v>
      </c>
      <c r="K4811" s="2">
        <v>10</v>
      </c>
      <c r="L4811" s="2">
        <v>2</v>
      </c>
      <c r="M4811" s="3" t="s">
        <v>198</v>
      </c>
      <c r="N4811" s="3" t="s">
        <v>4820</v>
      </c>
      <c r="O4811" s="3" t="s">
        <v>4821</v>
      </c>
      <c r="P4811" s="3" t="s">
        <v>4822</v>
      </c>
      <c r="Q4811" s="30" t="str">
        <f t="shared" si="75"/>
        <v>MAX : 1.029
TARGET : 1.024
MIN : 1.019</v>
      </c>
    </row>
    <row r="4812" spans="2:17" ht="41.4" x14ac:dyDescent="0.3">
      <c r="B4812">
        <v>1</v>
      </c>
      <c r="C4812" s="33">
        <v>9073</v>
      </c>
      <c r="D4812" s="2">
        <v>1422</v>
      </c>
      <c r="E4812" s="2" t="s">
        <v>12320</v>
      </c>
      <c r="F4812" s="3" t="s">
        <v>14206</v>
      </c>
      <c r="H4812" s="3" t="s">
        <v>2150</v>
      </c>
      <c r="K4812" s="2">
        <v>10</v>
      </c>
      <c r="L4812" s="2">
        <v>1</v>
      </c>
      <c r="M4812" s="3" t="s">
        <v>194</v>
      </c>
      <c r="N4812" s="3" t="s">
        <v>4628</v>
      </c>
      <c r="O4812" s="3" t="s">
        <v>2654</v>
      </c>
      <c r="P4812" s="3" t="s">
        <v>4819</v>
      </c>
      <c r="Q4812" s="30" t="str">
        <f t="shared" si="75"/>
        <v>MAX : 1.755
TARGET : 1.750
MIN : 1.745</v>
      </c>
    </row>
    <row r="4813" spans="2:17" ht="41.4" x14ac:dyDescent="0.3">
      <c r="B4813">
        <v>1</v>
      </c>
      <c r="C4813" s="33">
        <v>9074</v>
      </c>
      <c r="D4813" s="2">
        <v>1423</v>
      </c>
      <c r="E4813" s="2" t="s">
        <v>12326</v>
      </c>
      <c r="F4813" s="3" t="s">
        <v>14206</v>
      </c>
      <c r="H4813" s="3" t="s">
        <v>2150</v>
      </c>
      <c r="K4813" s="2">
        <v>10</v>
      </c>
      <c r="L4813" s="2">
        <v>2</v>
      </c>
      <c r="M4813" s="3" t="s">
        <v>198</v>
      </c>
      <c r="N4813" s="3" t="s">
        <v>4826</v>
      </c>
      <c r="O4813" s="3" t="s">
        <v>4827</v>
      </c>
      <c r="P4813" s="3" t="s">
        <v>4828</v>
      </c>
      <c r="Q4813" s="30" t="str">
        <f t="shared" si="75"/>
        <v>MAX : 0.959
TARGET : 0.954
MIN : 0.949</v>
      </c>
    </row>
    <row r="4814" spans="2:17" ht="41.4" x14ac:dyDescent="0.3">
      <c r="B4814">
        <v>1</v>
      </c>
      <c r="C4814" s="33">
        <v>9074</v>
      </c>
      <c r="D4814" s="2">
        <v>1423</v>
      </c>
      <c r="E4814" s="2" t="s">
        <v>12326</v>
      </c>
      <c r="F4814" s="3" t="s">
        <v>14206</v>
      </c>
      <c r="H4814" s="3" t="s">
        <v>2150</v>
      </c>
      <c r="K4814" s="2">
        <v>10</v>
      </c>
      <c r="L4814" s="2">
        <v>1</v>
      </c>
      <c r="M4814" s="3" t="s">
        <v>194</v>
      </c>
      <c r="N4814" s="3" t="s">
        <v>4823</v>
      </c>
      <c r="O4814" s="3" t="s">
        <v>4824</v>
      </c>
      <c r="P4814" s="3" t="s">
        <v>4825</v>
      </c>
      <c r="Q4814" s="30" t="str">
        <f t="shared" si="75"/>
        <v>MAX : 3.006
TARGET : 3.001
MIN : 2.996</v>
      </c>
    </row>
    <row r="4815" spans="2:17" ht="41.4" x14ac:dyDescent="0.3">
      <c r="B4815">
        <v>0</v>
      </c>
      <c r="C4815" s="33">
        <v>9163</v>
      </c>
      <c r="D4815" s="2">
        <v>1480</v>
      </c>
      <c r="E4815" s="2" t="s">
        <v>12865</v>
      </c>
      <c r="F4815" s="3" t="s">
        <v>14206</v>
      </c>
      <c r="H4815" s="3" t="s">
        <v>504</v>
      </c>
      <c r="K4815" s="2">
        <v>20</v>
      </c>
      <c r="L4815" s="2">
        <v>3</v>
      </c>
      <c r="M4815" s="3" t="s">
        <v>5182</v>
      </c>
      <c r="N4815" s="3" t="s">
        <v>13</v>
      </c>
      <c r="O4815" s="3" t="s">
        <v>14</v>
      </c>
      <c r="Q4815" s="30" t="str">
        <f t="shared" si="75"/>
        <v>MAX : 
TARGET : Yes(Pass)
MIN : No(Fail)</v>
      </c>
    </row>
    <row r="4816" spans="2:17" ht="41.4" x14ac:dyDescent="0.3">
      <c r="B4816">
        <v>0</v>
      </c>
      <c r="C4816" s="33">
        <v>9163</v>
      </c>
      <c r="D4816" s="2">
        <v>1480</v>
      </c>
      <c r="E4816" s="2" t="s">
        <v>12865</v>
      </c>
      <c r="F4816" s="3" t="s">
        <v>14206</v>
      </c>
      <c r="H4816" s="3" t="s">
        <v>504</v>
      </c>
      <c r="K4816" s="2">
        <v>20</v>
      </c>
      <c r="L4816" s="2">
        <v>4</v>
      </c>
      <c r="M4816" s="3" t="s">
        <v>5183</v>
      </c>
      <c r="N4816" s="3" t="s">
        <v>13</v>
      </c>
      <c r="O4816" s="3" t="s">
        <v>14</v>
      </c>
      <c r="Q4816" s="30" t="str">
        <f t="shared" si="75"/>
        <v>MAX : 
TARGET : Yes(Pass)
MIN : No(Fail)</v>
      </c>
    </row>
    <row r="4817" spans="2:17" ht="41.4" x14ac:dyDescent="0.3">
      <c r="B4817">
        <v>0</v>
      </c>
      <c r="C4817" s="33">
        <v>9163</v>
      </c>
      <c r="D4817" s="2">
        <v>1480</v>
      </c>
      <c r="E4817" s="2" t="s">
        <v>12865</v>
      </c>
      <c r="F4817" s="3" t="s">
        <v>14206</v>
      </c>
      <c r="H4817" s="3" t="s">
        <v>504</v>
      </c>
      <c r="K4817" s="2">
        <v>20</v>
      </c>
      <c r="L4817" s="2">
        <v>5</v>
      </c>
      <c r="M4817" s="3" t="s">
        <v>5184</v>
      </c>
      <c r="N4817" s="3" t="s">
        <v>13</v>
      </c>
      <c r="O4817" s="3" t="s">
        <v>14</v>
      </c>
      <c r="Q4817" s="30" t="str">
        <f t="shared" si="75"/>
        <v>MAX : 
TARGET : Yes(Pass)
MIN : No(Fail)</v>
      </c>
    </row>
    <row r="4818" spans="2:17" ht="41.4" x14ac:dyDescent="0.3">
      <c r="B4818">
        <v>1</v>
      </c>
      <c r="C4818" s="33">
        <v>9075</v>
      </c>
      <c r="D4818" s="2">
        <v>1424</v>
      </c>
      <c r="E4818" s="2" t="s">
        <v>12332</v>
      </c>
      <c r="F4818" s="3" t="s">
        <v>14206</v>
      </c>
      <c r="H4818" s="3" t="s">
        <v>727</v>
      </c>
      <c r="K4818" s="2">
        <v>20</v>
      </c>
      <c r="L4818" s="2">
        <v>2</v>
      </c>
      <c r="M4818" s="3" t="s">
        <v>198</v>
      </c>
      <c r="N4818" s="3" t="s">
        <v>4838</v>
      </c>
      <c r="O4818" s="3" t="s">
        <v>4839</v>
      </c>
      <c r="P4818" s="3" t="s">
        <v>4840</v>
      </c>
      <c r="Q4818" s="30" t="str">
        <f t="shared" si="75"/>
        <v>MAX : 0.482
TARGET : 0.472
MIN : 0.462</v>
      </c>
    </row>
    <row r="4819" spans="2:17" ht="41.4" x14ac:dyDescent="0.3">
      <c r="B4819">
        <v>1</v>
      </c>
      <c r="C4819" s="33">
        <v>9075</v>
      </c>
      <c r="D4819" s="2">
        <v>1424</v>
      </c>
      <c r="E4819" s="2" t="s">
        <v>12332</v>
      </c>
      <c r="F4819" s="3" t="s">
        <v>14206</v>
      </c>
      <c r="H4819" s="3" t="s">
        <v>727</v>
      </c>
      <c r="K4819" s="2">
        <v>20</v>
      </c>
      <c r="L4819" s="2">
        <v>1</v>
      </c>
      <c r="M4819" s="3" t="s">
        <v>194</v>
      </c>
      <c r="N4819" s="3" t="s">
        <v>2054</v>
      </c>
      <c r="O4819" s="3" t="s">
        <v>1714</v>
      </c>
      <c r="P4819" s="3" t="s">
        <v>4837</v>
      </c>
      <c r="Q4819" s="30" t="str">
        <f t="shared" si="75"/>
        <v>MAX : 0.325
TARGET : 0.315
MIN : 0.305</v>
      </c>
    </row>
    <row r="4820" spans="2:17" ht="41.4" x14ac:dyDescent="0.3">
      <c r="B4820">
        <v>1</v>
      </c>
      <c r="C4820" s="33">
        <v>9076</v>
      </c>
      <c r="D4820" s="2">
        <v>1425</v>
      </c>
      <c r="E4820" s="2" t="s">
        <v>12338</v>
      </c>
      <c r="F4820" s="3" t="s">
        <v>14206</v>
      </c>
      <c r="H4820" s="3" t="s">
        <v>727</v>
      </c>
      <c r="K4820" s="2">
        <v>20</v>
      </c>
      <c r="L4820" s="2">
        <v>2</v>
      </c>
      <c r="M4820" s="3" t="s">
        <v>198</v>
      </c>
      <c r="N4820" s="3" t="s">
        <v>4846</v>
      </c>
      <c r="O4820" s="3" t="s">
        <v>4847</v>
      </c>
      <c r="P4820" s="3" t="s">
        <v>4848</v>
      </c>
      <c r="Q4820" s="30" t="str">
        <f t="shared" si="75"/>
        <v>MAX : 0.842
TARGET : 0.827
MIN : 0.812</v>
      </c>
    </row>
    <row r="4821" spans="2:17" ht="41.4" x14ac:dyDescent="0.3">
      <c r="B4821">
        <v>0</v>
      </c>
      <c r="C4821" s="33">
        <v>9150</v>
      </c>
      <c r="D4821" s="2">
        <v>1472</v>
      </c>
      <c r="E4821" s="2" t="s">
        <v>12774</v>
      </c>
      <c r="F4821" s="29" t="s">
        <v>14257</v>
      </c>
      <c r="H4821" s="3" t="s">
        <v>648</v>
      </c>
      <c r="K4821" s="2">
        <v>10</v>
      </c>
      <c r="L4821" s="2">
        <v>4</v>
      </c>
      <c r="M4821" s="3" t="s">
        <v>2019</v>
      </c>
      <c r="N4821" s="3" t="s">
        <v>1703</v>
      </c>
      <c r="O4821" s="3" t="s">
        <v>807</v>
      </c>
      <c r="P4821" s="3" t="s">
        <v>808</v>
      </c>
      <c r="Q4821" s="30" t="str">
        <f t="shared" si="75"/>
        <v>MAX : 0.80
TARGET : 0.70
MIN : 0.60</v>
      </c>
    </row>
    <row r="4822" spans="2:17" ht="41.4" x14ac:dyDescent="0.3">
      <c r="B4822">
        <v>0</v>
      </c>
      <c r="C4822" s="33">
        <v>9150</v>
      </c>
      <c r="D4822" s="2">
        <v>1472</v>
      </c>
      <c r="E4822" s="2" t="s">
        <v>12774</v>
      </c>
      <c r="F4822" s="29" t="s">
        <v>14257</v>
      </c>
      <c r="H4822" s="3" t="s">
        <v>648</v>
      </c>
      <c r="K4822" s="2">
        <v>10</v>
      </c>
      <c r="L4822" s="2">
        <v>5</v>
      </c>
      <c r="M4822" s="3" t="s">
        <v>2021</v>
      </c>
      <c r="N4822" s="3" t="s">
        <v>979</v>
      </c>
      <c r="O4822" s="3" t="s">
        <v>309</v>
      </c>
      <c r="P4822" s="3" t="s">
        <v>1531</v>
      </c>
      <c r="Q4822" s="30" t="str">
        <f t="shared" si="75"/>
        <v>MAX : 0.56
TARGET : 0.50
MIN : 0.44</v>
      </c>
    </row>
    <row r="4823" spans="2:17" ht="41.4" x14ac:dyDescent="0.3">
      <c r="B4823">
        <v>0</v>
      </c>
      <c r="C4823" s="33">
        <v>9150</v>
      </c>
      <c r="D4823" s="2">
        <v>1472</v>
      </c>
      <c r="E4823" s="2" t="s">
        <v>12774</v>
      </c>
      <c r="F4823" s="29" t="s">
        <v>14257</v>
      </c>
      <c r="H4823" s="3" t="s">
        <v>648</v>
      </c>
      <c r="K4823" s="2">
        <v>20</v>
      </c>
      <c r="L4823" s="2">
        <v>1</v>
      </c>
      <c r="M4823" s="3" t="s">
        <v>3077</v>
      </c>
      <c r="N4823" s="3" t="s">
        <v>1619</v>
      </c>
      <c r="O4823" s="3" t="s">
        <v>1620</v>
      </c>
      <c r="Q4823" s="30" t="str">
        <f t="shared" si="75"/>
        <v>MAX : 
TARGET : Yes (pass)
MIN : No (fail)</v>
      </c>
    </row>
    <row r="4824" spans="2:17" ht="41.4" x14ac:dyDescent="0.3">
      <c r="B4824">
        <v>0</v>
      </c>
      <c r="C4824" s="33">
        <v>9150</v>
      </c>
      <c r="D4824" s="2">
        <v>1472</v>
      </c>
      <c r="E4824" s="2" t="s">
        <v>12774</v>
      </c>
      <c r="F4824" s="29" t="s">
        <v>14257</v>
      </c>
      <c r="H4824" s="3" t="s">
        <v>648</v>
      </c>
      <c r="K4824" s="2">
        <v>20</v>
      </c>
      <c r="L4824" s="2">
        <v>2</v>
      </c>
      <c r="M4824" s="3" t="s">
        <v>3078</v>
      </c>
      <c r="N4824" s="3" t="s">
        <v>1619</v>
      </c>
      <c r="O4824" s="3" t="s">
        <v>1620</v>
      </c>
      <c r="Q4824" s="30" t="str">
        <f t="shared" si="75"/>
        <v>MAX : 
TARGET : Yes (pass)
MIN : No (fail)</v>
      </c>
    </row>
    <row r="4825" spans="2:17" ht="41.4" x14ac:dyDescent="0.3">
      <c r="B4825">
        <v>0</v>
      </c>
      <c r="C4825" s="33">
        <v>9150</v>
      </c>
      <c r="D4825" s="2">
        <v>1472</v>
      </c>
      <c r="E4825" s="2" t="s">
        <v>12774</v>
      </c>
      <c r="F4825" s="29" t="s">
        <v>14257</v>
      </c>
      <c r="H4825" s="3" t="s">
        <v>648</v>
      </c>
      <c r="K4825" s="2">
        <v>20</v>
      </c>
      <c r="L4825" s="2">
        <v>3</v>
      </c>
      <c r="M4825" s="3" t="s">
        <v>3293</v>
      </c>
      <c r="N4825" s="3" t="s">
        <v>1619</v>
      </c>
      <c r="O4825" s="3" t="s">
        <v>1620</v>
      </c>
      <c r="Q4825" s="30" t="str">
        <f t="shared" si="75"/>
        <v>MAX : 
TARGET : Yes (pass)
MIN : No (fail)</v>
      </c>
    </row>
    <row r="4826" spans="2:17" ht="41.4" x14ac:dyDescent="0.3">
      <c r="B4826">
        <v>0</v>
      </c>
      <c r="C4826" s="33">
        <v>9150</v>
      </c>
      <c r="D4826" s="2">
        <v>1472</v>
      </c>
      <c r="E4826" s="2" t="s">
        <v>12774</v>
      </c>
      <c r="F4826" s="29" t="s">
        <v>14257</v>
      </c>
      <c r="H4826" s="3" t="s">
        <v>648</v>
      </c>
      <c r="K4826" s="2">
        <v>20</v>
      </c>
      <c r="L4826" s="2">
        <v>4</v>
      </c>
      <c r="M4826" s="3" t="s">
        <v>2993</v>
      </c>
      <c r="N4826" s="3" t="s">
        <v>1619</v>
      </c>
      <c r="O4826" s="3" t="s">
        <v>1620</v>
      </c>
      <c r="Q4826" s="30" t="str">
        <f t="shared" si="75"/>
        <v>MAX : 
TARGET : Yes (pass)
MIN : No (fail)</v>
      </c>
    </row>
    <row r="4827" spans="2:17" ht="41.4" x14ac:dyDescent="0.3">
      <c r="B4827">
        <v>0</v>
      </c>
      <c r="C4827" s="33">
        <v>9150</v>
      </c>
      <c r="D4827" s="2">
        <v>1472</v>
      </c>
      <c r="E4827" s="2" t="s">
        <v>12774</v>
      </c>
      <c r="F4827" s="29" t="s">
        <v>14257</v>
      </c>
      <c r="H4827" s="3" t="s">
        <v>648</v>
      </c>
      <c r="K4827" s="2">
        <v>10</v>
      </c>
      <c r="L4827" s="2">
        <v>1</v>
      </c>
      <c r="M4827" s="3" t="s">
        <v>3451</v>
      </c>
      <c r="N4827" s="3" t="s">
        <v>1619</v>
      </c>
      <c r="O4827" s="3" t="s">
        <v>1620</v>
      </c>
      <c r="Q4827" s="30" t="str">
        <f t="shared" si="75"/>
        <v>MAX : 
TARGET : Yes (pass)
MIN : No (fail)</v>
      </c>
    </row>
    <row r="4828" spans="2:17" ht="41.4" x14ac:dyDescent="0.3">
      <c r="B4828">
        <v>1</v>
      </c>
      <c r="C4828" s="33">
        <v>9076</v>
      </c>
      <c r="D4828" s="2">
        <v>1425</v>
      </c>
      <c r="E4828" s="2" t="s">
        <v>12338</v>
      </c>
      <c r="F4828" s="3" t="s">
        <v>14206</v>
      </c>
      <c r="H4828" s="3" t="s">
        <v>727</v>
      </c>
      <c r="K4828" s="2">
        <v>20</v>
      </c>
      <c r="L4828" s="2">
        <v>1</v>
      </c>
      <c r="M4828" s="3" t="s">
        <v>194</v>
      </c>
      <c r="N4828" s="3" t="s">
        <v>3401</v>
      </c>
      <c r="O4828" s="3" t="s">
        <v>4844</v>
      </c>
      <c r="P4828" s="3" t="s">
        <v>4845</v>
      </c>
      <c r="Q4828" s="30" t="str">
        <f t="shared" si="75"/>
        <v>MAX : 0.404
TARGET : 0.394
MIN : 0.384</v>
      </c>
    </row>
    <row r="4829" spans="2:17" ht="41.4" x14ac:dyDescent="0.3">
      <c r="B4829">
        <v>0</v>
      </c>
      <c r="C4829" s="33">
        <v>9051</v>
      </c>
      <c r="D4829" s="2">
        <v>1408</v>
      </c>
      <c r="E4829" s="2" t="s">
        <v>12098</v>
      </c>
      <c r="F4829" s="29" t="s">
        <v>14250</v>
      </c>
      <c r="H4829" s="3" t="s">
        <v>504</v>
      </c>
      <c r="K4829" s="2">
        <v>30</v>
      </c>
      <c r="L4829" s="2">
        <v>10</v>
      </c>
      <c r="M4829" s="3" t="s">
        <v>4734</v>
      </c>
      <c r="N4829" s="3" t="s">
        <v>13</v>
      </c>
      <c r="O4829" s="3" t="s">
        <v>14</v>
      </c>
      <c r="Q4829" s="30" t="str">
        <f t="shared" si="75"/>
        <v>MAX : 
TARGET : Yes(Pass)
MIN : No(Fail)</v>
      </c>
    </row>
    <row r="4830" spans="2:17" ht="41.4" x14ac:dyDescent="0.3">
      <c r="B4830">
        <v>1</v>
      </c>
      <c r="C4830" s="33">
        <v>9078</v>
      </c>
      <c r="D4830" s="2">
        <v>1426</v>
      </c>
      <c r="E4830" s="2" t="s">
        <v>12352</v>
      </c>
      <c r="F4830" s="3" t="s">
        <v>14206</v>
      </c>
      <c r="H4830" s="3" t="s">
        <v>1328</v>
      </c>
      <c r="I4830" s="3" t="s">
        <v>575</v>
      </c>
      <c r="K4830" s="2">
        <v>20</v>
      </c>
      <c r="L4830" s="2">
        <v>2</v>
      </c>
      <c r="M4830" s="3" t="s">
        <v>198</v>
      </c>
      <c r="N4830" s="3" t="s">
        <v>4833</v>
      </c>
      <c r="O4830" s="3" t="s">
        <v>4834</v>
      </c>
      <c r="P4830" s="3" t="s">
        <v>4835</v>
      </c>
      <c r="Q4830" s="30" t="str">
        <f t="shared" si="75"/>
        <v>MAX : 0.559
TARGET : 0.549
MIN : 0.539</v>
      </c>
    </row>
    <row r="4831" spans="2:17" ht="41.4" x14ac:dyDescent="0.3">
      <c r="B4831">
        <v>0</v>
      </c>
      <c r="C4831" s="33">
        <v>9052</v>
      </c>
      <c r="D4831" s="2">
        <v>1409</v>
      </c>
      <c r="E4831" s="2" t="s">
        <v>12098</v>
      </c>
      <c r="F4831" s="29" t="s">
        <v>14250</v>
      </c>
      <c r="H4831" s="3" t="s">
        <v>504</v>
      </c>
      <c r="K4831" s="2">
        <v>30</v>
      </c>
      <c r="L4831" s="2">
        <v>9</v>
      </c>
      <c r="M4831" s="3" t="s">
        <v>4733</v>
      </c>
      <c r="N4831" s="3" t="s">
        <v>13</v>
      </c>
      <c r="O4831" s="3" t="s">
        <v>14</v>
      </c>
      <c r="Q4831" s="30" t="str">
        <f t="shared" si="75"/>
        <v>MAX : 
TARGET : Yes(Pass)
MIN : No(Fail)</v>
      </c>
    </row>
    <row r="4832" spans="2:17" ht="41.4" x14ac:dyDescent="0.3">
      <c r="B4832">
        <v>1</v>
      </c>
      <c r="C4832" s="33">
        <v>9078</v>
      </c>
      <c r="D4832" s="2">
        <v>1426</v>
      </c>
      <c r="E4832" s="2" t="s">
        <v>12352</v>
      </c>
      <c r="F4832" s="3" t="s">
        <v>14206</v>
      </c>
      <c r="H4832" s="3" t="s">
        <v>1328</v>
      </c>
      <c r="I4832" s="3" t="s">
        <v>575</v>
      </c>
      <c r="K4832" s="2">
        <v>20</v>
      </c>
      <c r="L4832" s="2">
        <v>1</v>
      </c>
      <c r="M4832" s="3" t="s">
        <v>194</v>
      </c>
      <c r="N4832" s="3" t="s">
        <v>4830</v>
      </c>
      <c r="O4832" s="3" t="s">
        <v>4831</v>
      </c>
      <c r="P4832" s="3" t="s">
        <v>4832</v>
      </c>
      <c r="Q4832" s="30" t="str">
        <f t="shared" si="75"/>
        <v>MAX : 0.560
TARGET : 0.550
MIN : 0.540</v>
      </c>
    </row>
    <row r="4833" spans="2:17" ht="41.4" x14ac:dyDescent="0.3">
      <c r="B4833">
        <v>0</v>
      </c>
      <c r="C4833" s="33">
        <v>9053</v>
      </c>
      <c r="D4833" s="2">
        <v>2053</v>
      </c>
      <c r="E4833" s="2" t="s">
        <v>12186</v>
      </c>
      <c r="F4833" s="3" t="s">
        <v>14207</v>
      </c>
      <c r="H4833" s="3" t="s">
        <v>4760</v>
      </c>
      <c r="K4833" s="2">
        <v>20</v>
      </c>
      <c r="L4833" s="2">
        <v>4</v>
      </c>
      <c r="M4833" s="3" t="s">
        <v>4777</v>
      </c>
      <c r="N4833" s="3" t="s">
        <v>13</v>
      </c>
      <c r="O4833" s="3" t="s">
        <v>14</v>
      </c>
      <c r="Q4833" s="30" t="str">
        <f t="shared" si="75"/>
        <v>MAX : 
TARGET : Yes(Pass)
MIN : No(Fail)</v>
      </c>
    </row>
    <row r="4834" spans="2:17" ht="41.4" x14ac:dyDescent="0.3">
      <c r="B4834">
        <v>1</v>
      </c>
      <c r="C4834" s="33">
        <v>9079</v>
      </c>
      <c r="D4834" s="2">
        <v>2062</v>
      </c>
      <c r="E4834" s="2" t="s">
        <v>12358</v>
      </c>
      <c r="F4834" s="3" t="s">
        <v>14206</v>
      </c>
      <c r="H4834" s="3" t="s">
        <v>1270</v>
      </c>
      <c r="K4834" s="2">
        <v>10</v>
      </c>
      <c r="L4834" s="2">
        <v>2</v>
      </c>
      <c r="M4834" s="3" t="s">
        <v>538</v>
      </c>
      <c r="N4834" s="3" t="s">
        <v>13</v>
      </c>
      <c r="O4834" s="3" t="s">
        <v>14</v>
      </c>
      <c r="Q4834" s="30" t="str">
        <f t="shared" si="75"/>
        <v>MAX : 
TARGET : Yes(Pass)
MIN : No(Fail)</v>
      </c>
    </row>
    <row r="4835" spans="2:17" ht="41.4" x14ac:dyDescent="0.3">
      <c r="B4835">
        <v>1</v>
      </c>
      <c r="C4835" s="33">
        <v>9079</v>
      </c>
      <c r="D4835" s="2">
        <v>2062</v>
      </c>
      <c r="E4835" s="2" t="s">
        <v>12358</v>
      </c>
      <c r="F4835" s="3" t="s">
        <v>14206</v>
      </c>
      <c r="H4835" s="3" t="s">
        <v>1270</v>
      </c>
      <c r="K4835" s="2">
        <v>10</v>
      </c>
      <c r="L4835" s="2">
        <v>1</v>
      </c>
      <c r="M4835" s="3" t="s">
        <v>99</v>
      </c>
      <c r="N4835" s="3" t="s">
        <v>433</v>
      </c>
      <c r="O4835" s="3" t="s">
        <v>86</v>
      </c>
      <c r="P4835" s="3" t="s">
        <v>317</v>
      </c>
      <c r="Q4835" s="30" t="str">
        <f t="shared" si="75"/>
        <v>MAX : 0.515
TARGET : 0.500
MIN : 0.485</v>
      </c>
    </row>
    <row r="4836" spans="2:17" ht="41.4" x14ac:dyDescent="0.3">
      <c r="B4836">
        <v>1</v>
      </c>
      <c r="C4836" s="33">
        <v>9080</v>
      </c>
      <c r="D4836" s="2">
        <v>1427</v>
      </c>
      <c r="E4836" s="2" t="s">
        <v>12363</v>
      </c>
      <c r="F4836" s="3" t="s">
        <v>14206</v>
      </c>
      <c r="H4836" s="3" t="s">
        <v>504</v>
      </c>
      <c r="K4836" s="2">
        <v>20</v>
      </c>
      <c r="L4836" s="2">
        <v>2</v>
      </c>
      <c r="M4836" s="3" t="s">
        <v>3883</v>
      </c>
      <c r="N4836" s="3" t="s">
        <v>264</v>
      </c>
      <c r="O4836" s="3" t="s">
        <v>310</v>
      </c>
      <c r="P4836" s="3" t="s">
        <v>1927</v>
      </c>
      <c r="Q4836" s="30" t="str">
        <f t="shared" si="75"/>
        <v>MAX : 0.54
TARGET : 0.53
MIN : 0.52</v>
      </c>
    </row>
    <row r="4837" spans="2:17" ht="41.4" x14ac:dyDescent="0.3">
      <c r="B4837">
        <v>1</v>
      </c>
      <c r="C4837" s="33">
        <v>9080</v>
      </c>
      <c r="D4837" s="2">
        <v>1427</v>
      </c>
      <c r="E4837" s="2" t="s">
        <v>12363</v>
      </c>
      <c r="F4837" s="3" t="s">
        <v>14206</v>
      </c>
      <c r="H4837" s="3" t="s">
        <v>504</v>
      </c>
      <c r="K4837" s="2">
        <v>20</v>
      </c>
      <c r="L4837" s="2">
        <v>1</v>
      </c>
      <c r="M4837" s="3" t="s">
        <v>194</v>
      </c>
      <c r="N4837" s="3" t="s">
        <v>4853</v>
      </c>
      <c r="O4837" s="3" t="s">
        <v>4854</v>
      </c>
      <c r="P4837" s="3" t="s">
        <v>4855</v>
      </c>
      <c r="Q4837" s="30" t="str">
        <f t="shared" si="75"/>
        <v>MAX : 10.76
TARGET : 10.75
MIN : 10.74</v>
      </c>
    </row>
    <row r="4838" spans="2:17" ht="41.4" x14ac:dyDescent="0.3">
      <c r="B4838">
        <v>1</v>
      </c>
      <c r="C4838" s="33">
        <v>9081</v>
      </c>
      <c r="D4838" s="2">
        <v>1428</v>
      </c>
      <c r="E4838" s="2" t="s">
        <v>12369</v>
      </c>
      <c r="F4838" s="29" t="s">
        <v>14252</v>
      </c>
      <c r="H4838" s="3" t="s">
        <v>4856</v>
      </c>
      <c r="I4838" s="3" t="s">
        <v>575</v>
      </c>
      <c r="K4838" s="2">
        <v>20</v>
      </c>
      <c r="L4838" s="2">
        <v>3</v>
      </c>
      <c r="M4838" s="3" t="s">
        <v>4869</v>
      </c>
      <c r="N4838" s="3" t="s">
        <v>13</v>
      </c>
      <c r="O4838" s="3" t="s">
        <v>14</v>
      </c>
      <c r="Q4838" s="30" t="str">
        <f t="shared" si="75"/>
        <v>MAX : 
TARGET : Yes(Pass)
MIN : No(Fail)</v>
      </c>
    </row>
    <row r="4839" spans="2:17" ht="41.4" x14ac:dyDescent="0.3">
      <c r="B4839">
        <v>1</v>
      </c>
      <c r="C4839" s="33">
        <v>9081</v>
      </c>
      <c r="D4839" s="2">
        <v>1428</v>
      </c>
      <c r="E4839" s="2" t="s">
        <v>12369</v>
      </c>
      <c r="F4839" s="29" t="s">
        <v>14252</v>
      </c>
      <c r="H4839" s="3" t="s">
        <v>4856</v>
      </c>
      <c r="I4839" s="3" t="s">
        <v>575</v>
      </c>
      <c r="K4839" s="2">
        <v>10</v>
      </c>
      <c r="L4839" s="2">
        <v>2</v>
      </c>
      <c r="M4839" s="3" t="s">
        <v>467</v>
      </c>
      <c r="N4839" s="3" t="s">
        <v>75</v>
      </c>
      <c r="O4839" s="3" t="s">
        <v>76</v>
      </c>
      <c r="P4839" s="3" t="s">
        <v>77</v>
      </c>
      <c r="Q4839" s="30" t="str">
        <f t="shared" si="75"/>
        <v>MAX : 2.53
TARGET : 2.50
MIN : 2.47</v>
      </c>
    </row>
    <row r="4840" spans="2:17" ht="41.4" x14ac:dyDescent="0.3">
      <c r="B4840">
        <v>1</v>
      </c>
      <c r="C4840" s="33">
        <v>9081</v>
      </c>
      <c r="D4840" s="2">
        <v>1428</v>
      </c>
      <c r="E4840" s="2" t="s">
        <v>12369</v>
      </c>
      <c r="F4840" s="29" t="s">
        <v>14252</v>
      </c>
      <c r="H4840" s="3" t="s">
        <v>4856</v>
      </c>
      <c r="I4840" s="3" t="s">
        <v>575</v>
      </c>
      <c r="K4840" s="2">
        <v>20</v>
      </c>
      <c r="L4840" s="2">
        <v>1</v>
      </c>
      <c r="M4840" s="3" t="s">
        <v>4857</v>
      </c>
      <c r="N4840" s="3" t="s">
        <v>13</v>
      </c>
      <c r="O4840" s="3" t="s">
        <v>14</v>
      </c>
      <c r="Q4840" s="30" t="str">
        <f t="shared" si="75"/>
        <v>MAX : 
TARGET : Yes(Pass)
MIN : No(Fail)</v>
      </c>
    </row>
    <row r="4841" spans="2:17" ht="41.4" x14ac:dyDescent="0.3">
      <c r="B4841">
        <v>0</v>
      </c>
      <c r="C4841" s="33">
        <v>9170</v>
      </c>
      <c r="D4841" s="2">
        <v>1485</v>
      </c>
      <c r="E4841" s="2" t="s">
        <v>12906</v>
      </c>
      <c r="F4841" s="3" t="s">
        <v>14206</v>
      </c>
      <c r="H4841" s="3" t="s">
        <v>5191</v>
      </c>
      <c r="K4841" s="2">
        <v>20</v>
      </c>
      <c r="L4841" s="2">
        <v>2</v>
      </c>
      <c r="M4841" s="3" t="s">
        <v>2088</v>
      </c>
      <c r="N4841" s="3" t="s">
        <v>5195</v>
      </c>
      <c r="O4841" s="3" t="s">
        <v>966</v>
      </c>
      <c r="P4841" s="3" t="s">
        <v>5196</v>
      </c>
      <c r="Q4841" s="30" t="str">
        <f t="shared" si="75"/>
        <v>MAX : 7.01
TARGET : 7.00
MIN : 6.99</v>
      </c>
    </row>
    <row r="4842" spans="2:17" ht="41.4" x14ac:dyDescent="0.3">
      <c r="B4842">
        <v>0</v>
      </c>
      <c r="C4842" s="33">
        <v>9170</v>
      </c>
      <c r="D4842" s="2">
        <v>1485</v>
      </c>
      <c r="E4842" s="2" t="s">
        <v>12906</v>
      </c>
      <c r="F4842" s="3" t="s">
        <v>14206</v>
      </c>
      <c r="H4842" s="3" t="s">
        <v>5191</v>
      </c>
      <c r="K4842" s="2">
        <v>20</v>
      </c>
      <c r="L4842" s="2">
        <v>3</v>
      </c>
      <c r="M4842" s="3" t="s">
        <v>198</v>
      </c>
      <c r="N4842" s="3" t="s">
        <v>5197</v>
      </c>
      <c r="O4842" s="3" t="s">
        <v>5198</v>
      </c>
      <c r="P4842" s="3" t="s">
        <v>790</v>
      </c>
      <c r="Q4842" s="30" t="str">
        <f t="shared" si="75"/>
        <v>MAX : 2.25
TARGET : 2.24
MIN : 2.23</v>
      </c>
    </row>
    <row r="4843" spans="2:17" ht="41.4" x14ac:dyDescent="0.3">
      <c r="B4843">
        <v>0</v>
      </c>
      <c r="C4843" s="33">
        <v>9170</v>
      </c>
      <c r="D4843" s="2">
        <v>1485</v>
      </c>
      <c r="E4843" s="2" t="s">
        <v>12906</v>
      </c>
      <c r="F4843" s="3" t="s">
        <v>14206</v>
      </c>
      <c r="H4843" s="3" t="s">
        <v>5191</v>
      </c>
      <c r="K4843" s="2">
        <v>20</v>
      </c>
      <c r="L4843" s="2">
        <v>4</v>
      </c>
      <c r="M4843" s="3" t="s">
        <v>2117</v>
      </c>
      <c r="N4843" s="3" t="s">
        <v>5061</v>
      </c>
      <c r="O4843" s="3" t="s">
        <v>76</v>
      </c>
      <c r="P4843" s="3" t="s">
        <v>5199</v>
      </c>
      <c r="Q4843" s="30" t="str">
        <f t="shared" si="75"/>
        <v>MAX : 2.51
TARGET : 2.50
MIN : 2.49</v>
      </c>
    </row>
    <row r="4844" spans="2:17" ht="41.4" x14ac:dyDescent="0.3">
      <c r="B4844">
        <v>0</v>
      </c>
      <c r="C4844" s="33">
        <v>9170</v>
      </c>
      <c r="D4844" s="2">
        <v>1485</v>
      </c>
      <c r="E4844" s="2" t="s">
        <v>12906</v>
      </c>
      <c r="F4844" s="3" t="s">
        <v>14206</v>
      </c>
      <c r="H4844" s="3" t="s">
        <v>5191</v>
      </c>
      <c r="K4844" s="2">
        <v>20</v>
      </c>
      <c r="L4844" s="2">
        <v>5</v>
      </c>
      <c r="M4844" s="3" t="s">
        <v>5200</v>
      </c>
      <c r="N4844" s="3" t="s">
        <v>13</v>
      </c>
      <c r="O4844" s="3" t="s">
        <v>14</v>
      </c>
      <c r="Q4844" s="30" t="str">
        <f t="shared" si="75"/>
        <v>MAX : 
TARGET : Yes(Pass)
MIN : No(Fail)</v>
      </c>
    </row>
    <row r="4845" spans="2:17" ht="41.4" x14ac:dyDescent="0.3">
      <c r="B4845">
        <v>0</v>
      </c>
      <c r="C4845" s="33">
        <v>9170</v>
      </c>
      <c r="D4845" s="2">
        <v>1485</v>
      </c>
      <c r="E4845" s="2" t="s">
        <v>12906</v>
      </c>
      <c r="F4845" s="3" t="s">
        <v>14206</v>
      </c>
      <c r="H4845" s="3" t="s">
        <v>5191</v>
      </c>
      <c r="K4845" s="2">
        <v>20</v>
      </c>
      <c r="L4845" s="2">
        <v>6</v>
      </c>
      <c r="M4845" s="3" t="s">
        <v>4596</v>
      </c>
      <c r="N4845" s="3" t="s">
        <v>13</v>
      </c>
      <c r="O4845" s="3" t="s">
        <v>14</v>
      </c>
      <c r="Q4845" s="30" t="str">
        <f t="shared" si="75"/>
        <v>MAX : 
TARGET : Yes(Pass)
MIN : No(Fail)</v>
      </c>
    </row>
    <row r="4846" spans="2:17" ht="41.4" x14ac:dyDescent="0.3">
      <c r="B4846">
        <v>1</v>
      </c>
      <c r="C4846" s="33">
        <v>9081</v>
      </c>
      <c r="D4846" s="2">
        <v>1428</v>
      </c>
      <c r="E4846" s="2" t="s">
        <v>12369</v>
      </c>
      <c r="F4846" s="29" t="s">
        <v>14252</v>
      </c>
      <c r="H4846" s="3" t="s">
        <v>4856</v>
      </c>
      <c r="I4846" s="3" t="s">
        <v>575</v>
      </c>
      <c r="K4846" s="2">
        <v>20</v>
      </c>
      <c r="L4846" s="2">
        <v>2</v>
      </c>
      <c r="M4846" s="3" t="s">
        <v>3160</v>
      </c>
      <c r="N4846" s="3" t="s">
        <v>13</v>
      </c>
      <c r="O4846" s="3" t="s">
        <v>14</v>
      </c>
      <c r="Q4846" s="30" t="str">
        <f t="shared" si="75"/>
        <v>MAX : 
TARGET : Yes(Pass)
MIN : No(Fail)</v>
      </c>
    </row>
    <row r="4847" spans="2:17" ht="41.4" x14ac:dyDescent="0.3">
      <c r="B4847">
        <v>1</v>
      </c>
      <c r="C4847" s="33">
        <v>9082</v>
      </c>
      <c r="D4847" s="2">
        <v>1429</v>
      </c>
      <c r="E4847" s="2" t="s">
        <v>12377</v>
      </c>
      <c r="F4847" s="3" t="s">
        <v>14206</v>
      </c>
      <c r="H4847" s="3" t="s">
        <v>1130</v>
      </c>
      <c r="K4847" s="2">
        <v>10</v>
      </c>
      <c r="L4847" s="2">
        <v>2</v>
      </c>
      <c r="M4847" s="3" t="s">
        <v>198</v>
      </c>
      <c r="N4847" s="3" t="s">
        <v>4861</v>
      </c>
      <c r="O4847" s="3" t="s">
        <v>4862</v>
      </c>
      <c r="P4847" s="3" t="s">
        <v>4863</v>
      </c>
      <c r="Q4847" s="30" t="str">
        <f t="shared" si="75"/>
        <v>MAX : 1.462
TARGET : 1.457
MIN : 1.452</v>
      </c>
    </row>
    <row r="4848" spans="2:17" ht="41.4" x14ac:dyDescent="0.3">
      <c r="B4848">
        <v>1</v>
      </c>
      <c r="C4848" s="33">
        <v>9082</v>
      </c>
      <c r="D4848" s="2">
        <v>1429</v>
      </c>
      <c r="E4848" s="2" t="s">
        <v>12377</v>
      </c>
      <c r="F4848" s="3" t="s">
        <v>14206</v>
      </c>
      <c r="H4848" s="3" t="s">
        <v>1130</v>
      </c>
      <c r="K4848" s="2">
        <v>10</v>
      </c>
      <c r="L4848" s="2">
        <v>1</v>
      </c>
      <c r="M4848" s="3" t="s">
        <v>194</v>
      </c>
      <c r="N4848" s="3" t="s">
        <v>4858</v>
      </c>
      <c r="O4848" s="3" t="s">
        <v>4859</v>
      </c>
      <c r="P4848" s="3" t="s">
        <v>4860</v>
      </c>
      <c r="Q4848" s="30" t="str">
        <f t="shared" si="75"/>
        <v>MAX : 3.036
TARGET : 3.031
MIN : 3.026</v>
      </c>
    </row>
    <row r="4849" spans="2:17" ht="41.4" x14ac:dyDescent="0.3">
      <c r="B4849">
        <v>1</v>
      </c>
      <c r="C4849" s="33">
        <v>9083</v>
      </c>
      <c r="D4849" s="2">
        <v>2063</v>
      </c>
      <c r="E4849" s="2" t="s">
        <v>12383</v>
      </c>
      <c r="F4849" s="3" t="s">
        <v>14206</v>
      </c>
      <c r="H4849" s="3" t="s">
        <v>261</v>
      </c>
      <c r="K4849" s="2">
        <v>20</v>
      </c>
      <c r="L4849" s="2">
        <v>2</v>
      </c>
      <c r="M4849" s="3" t="s">
        <v>1060</v>
      </c>
      <c r="N4849" s="3" t="s">
        <v>13</v>
      </c>
      <c r="O4849" s="3" t="s">
        <v>14</v>
      </c>
      <c r="Q4849" s="30" t="str">
        <f t="shared" si="75"/>
        <v>MAX : 
TARGET : Yes(Pass)
MIN : No(Fail)</v>
      </c>
    </row>
    <row r="4850" spans="2:17" ht="41.4" x14ac:dyDescent="0.3">
      <c r="B4850">
        <v>0</v>
      </c>
      <c r="C4850" s="33">
        <v>9171</v>
      </c>
      <c r="D4850" s="2">
        <v>1486</v>
      </c>
      <c r="E4850" s="2" t="s">
        <v>12912</v>
      </c>
      <c r="F4850" s="3" t="s">
        <v>14206</v>
      </c>
      <c r="H4850" s="3" t="s">
        <v>1183</v>
      </c>
      <c r="K4850" s="2">
        <v>20</v>
      </c>
      <c r="L4850" s="2">
        <v>2</v>
      </c>
      <c r="M4850" s="3" t="s">
        <v>2088</v>
      </c>
      <c r="N4850" s="3" t="s">
        <v>5138</v>
      </c>
      <c r="O4850" s="3" t="s">
        <v>132</v>
      </c>
      <c r="P4850" s="3" t="s">
        <v>1085</v>
      </c>
      <c r="Q4850" s="30" t="str">
        <f t="shared" si="75"/>
        <v>MAX : 0.76
TARGET : 0.75
MIN : 0.74</v>
      </c>
    </row>
    <row r="4851" spans="2:17" ht="41.4" x14ac:dyDescent="0.3">
      <c r="B4851">
        <v>0</v>
      </c>
      <c r="C4851" s="33">
        <v>9171</v>
      </c>
      <c r="D4851" s="2">
        <v>1486</v>
      </c>
      <c r="E4851" s="2" t="s">
        <v>12912</v>
      </c>
      <c r="F4851" s="3" t="s">
        <v>14206</v>
      </c>
      <c r="H4851" s="3" t="s">
        <v>1183</v>
      </c>
      <c r="K4851" s="2">
        <v>20</v>
      </c>
      <c r="L4851" s="2">
        <v>3</v>
      </c>
      <c r="M4851" s="3" t="s">
        <v>570</v>
      </c>
      <c r="N4851" s="3" t="s">
        <v>5203</v>
      </c>
      <c r="O4851" s="3" t="s">
        <v>5149</v>
      </c>
      <c r="P4851" s="3" t="s">
        <v>979</v>
      </c>
      <c r="Q4851" s="30" t="str">
        <f t="shared" si="75"/>
        <v>MAX : 0.44
TARGET : 0.43
MIN : 0.42</v>
      </c>
    </row>
    <row r="4852" spans="2:17" ht="41.4" x14ac:dyDescent="0.3">
      <c r="B4852">
        <v>0</v>
      </c>
      <c r="C4852" s="33">
        <v>9171</v>
      </c>
      <c r="D4852" s="2">
        <v>1486</v>
      </c>
      <c r="E4852" s="2" t="s">
        <v>12912</v>
      </c>
      <c r="F4852" s="3" t="s">
        <v>14206</v>
      </c>
      <c r="H4852" s="3" t="s">
        <v>1183</v>
      </c>
      <c r="K4852" s="2">
        <v>20</v>
      </c>
      <c r="L4852" s="2">
        <v>4</v>
      </c>
      <c r="M4852" s="3" t="s">
        <v>2117</v>
      </c>
      <c r="N4852" s="3" t="s">
        <v>5138</v>
      </c>
      <c r="O4852" s="3" t="s">
        <v>132</v>
      </c>
      <c r="P4852" s="3" t="s">
        <v>1085</v>
      </c>
      <c r="Q4852" s="30" t="str">
        <f t="shared" si="75"/>
        <v>MAX : 0.76
TARGET : 0.75
MIN : 0.74</v>
      </c>
    </row>
    <row r="4853" spans="2:17" ht="41.4" x14ac:dyDescent="0.3">
      <c r="B4853">
        <v>0</v>
      </c>
      <c r="C4853" s="33">
        <v>9171</v>
      </c>
      <c r="D4853" s="2">
        <v>1486</v>
      </c>
      <c r="E4853" s="2" t="s">
        <v>12912</v>
      </c>
      <c r="F4853" s="3" t="s">
        <v>14206</v>
      </c>
      <c r="H4853" s="3" t="s">
        <v>1183</v>
      </c>
      <c r="K4853" s="2">
        <v>20</v>
      </c>
      <c r="L4853" s="2">
        <v>5</v>
      </c>
      <c r="M4853" s="3" t="s">
        <v>1605</v>
      </c>
      <c r="N4853" s="3" t="s">
        <v>13</v>
      </c>
      <c r="O4853" s="3" t="s">
        <v>14</v>
      </c>
      <c r="Q4853" s="30" t="str">
        <f t="shared" si="75"/>
        <v>MAX : 
TARGET : Yes(Pass)
MIN : No(Fail)</v>
      </c>
    </row>
    <row r="4854" spans="2:17" ht="41.4" x14ac:dyDescent="0.3">
      <c r="B4854">
        <v>1</v>
      </c>
      <c r="C4854" s="33">
        <v>9083</v>
      </c>
      <c r="D4854" s="2">
        <v>2063</v>
      </c>
      <c r="E4854" s="2" t="s">
        <v>12383</v>
      </c>
      <c r="F4854" s="3" t="s">
        <v>14206</v>
      </c>
      <c r="H4854" s="3" t="s">
        <v>261</v>
      </c>
      <c r="K4854" s="2">
        <v>20</v>
      </c>
      <c r="L4854" s="2">
        <v>1</v>
      </c>
      <c r="M4854" s="3" t="s">
        <v>788</v>
      </c>
      <c r="N4854" s="3" t="s">
        <v>784</v>
      </c>
      <c r="O4854" s="3" t="s">
        <v>309</v>
      </c>
      <c r="P4854" s="3" t="s">
        <v>785</v>
      </c>
      <c r="Q4854" s="30" t="str">
        <f t="shared" si="75"/>
        <v>MAX : 0.55
TARGET : 0.50
MIN : 0.45</v>
      </c>
    </row>
    <row r="4855" spans="2:17" ht="41.4" x14ac:dyDescent="0.3">
      <c r="B4855">
        <v>1</v>
      </c>
      <c r="C4855" s="33">
        <v>9084</v>
      </c>
      <c r="D4855" s="2">
        <v>2064</v>
      </c>
      <c r="E4855" s="2" t="s">
        <v>12388</v>
      </c>
      <c r="F4855" s="3" t="s">
        <v>4864</v>
      </c>
      <c r="H4855" s="3" t="s">
        <v>3533</v>
      </c>
      <c r="I4855" s="3" t="s">
        <v>487</v>
      </c>
      <c r="K4855" s="2">
        <v>10</v>
      </c>
      <c r="L4855" s="2">
        <v>2</v>
      </c>
      <c r="M4855" s="3" t="s">
        <v>14204</v>
      </c>
      <c r="N4855" s="3" t="s">
        <v>459</v>
      </c>
      <c r="O4855" s="3" t="s">
        <v>406</v>
      </c>
      <c r="P4855" s="3" t="s">
        <v>460</v>
      </c>
      <c r="Q4855" s="30" t="str">
        <f t="shared" si="75"/>
        <v>MAX : 2.03
TARGET : 2.00
MIN : 1.97</v>
      </c>
    </row>
    <row r="4856" spans="2:17" ht="41.4" x14ac:dyDescent="0.3">
      <c r="B4856">
        <v>0</v>
      </c>
      <c r="C4856" s="33">
        <v>9172</v>
      </c>
      <c r="D4856" s="2">
        <v>1487</v>
      </c>
      <c r="E4856" s="2" t="s">
        <v>12918</v>
      </c>
      <c r="F4856" s="3" t="s">
        <v>14206</v>
      </c>
      <c r="H4856" s="3" t="s">
        <v>1183</v>
      </c>
      <c r="K4856" s="2">
        <v>20</v>
      </c>
      <c r="L4856" s="2">
        <v>2</v>
      </c>
      <c r="M4856" s="3" t="s">
        <v>2088</v>
      </c>
      <c r="N4856" s="3" t="s">
        <v>5138</v>
      </c>
      <c r="O4856" s="3" t="s">
        <v>132</v>
      </c>
      <c r="P4856" s="3" t="s">
        <v>1085</v>
      </c>
      <c r="Q4856" s="30" t="str">
        <f t="shared" si="75"/>
        <v>MAX : 0.76
TARGET : 0.75
MIN : 0.74</v>
      </c>
    </row>
    <row r="4857" spans="2:17" ht="41.4" x14ac:dyDescent="0.3">
      <c r="B4857">
        <v>0</v>
      </c>
      <c r="C4857" s="33">
        <v>9172</v>
      </c>
      <c r="D4857" s="2">
        <v>1487</v>
      </c>
      <c r="E4857" s="2" t="s">
        <v>12918</v>
      </c>
      <c r="F4857" s="3" t="s">
        <v>14206</v>
      </c>
      <c r="H4857" s="3" t="s">
        <v>1183</v>
      </c>
      <c r="K4857" s="2">
        <v>20</v>
      </c>
      <c r="L4857" s="2">
        <v>3</v>
      </c>
      <c r="M4857" s="3" t="s">
        <v>570</v>
      </c>
      <c r="N4857" s="3" t="s">
        <v>2391</v>
      </c>
      <c r="O4857" s="3" t="s">
        <v>771</v>
      </c>
      <c r="P4857" s="3" t="s">
        <v>3850</v>
      </c>
      <c r="Q4857" s="30" t="str">
        <f t="shared" si="75"/>
        <v>MAX : 1.17
TARGET : 1.16
MIN : 1.15</v>
      </c>
    </row>
    <row r="4858" spans="2:17" ht="41.4" x14ac:dyDescent="0.3">
      <c r="B4858">
        <v>0</v>
      </c>
      <c r="C4858" s="33">
        <v>9172</v>
      </c>
      <c r="D4858" s="2">
        <v>1487</v>
      </c>
      <c r="E4858" s="2" t="s">
        <v>12918</v>
      </c>
      <c r="F4858" s="3" t="s">
        <v>14206</v>
      </c>
      <c r="H4858" s="3" t="s">
        <v>1183</v>
      </c>
      <c r="K4858" s="2">
        <v>20</v>
      </c>
      <c r="L4858" s="2">
        <v>4</v>
      </c>
      <c r="M4858" s="3" t="s">
        <v>2117</v>
      </c>
      <c r="N4858" s="3" t="s">
        <v>471</v>
      </c>
      <c r="O4858" s="3" t="s">
        <v>345</v>
      </c>
      <c r="P4858" s="3" t="s">
        <v>3909</v>
      </c>
      <c r="Q4858" s="30" t="str">
        <f t="shared" si="75"/>
        <v>MAX : 1.76
TARGET : 1.75
MIN : 1.74</v>
      </c>
    </row>
    <row r="4859" spans="2:17" ht="41.4" x14ac:dyDescent="0.3">
      <c r="B4859">
        <v>0</v>
      </c>
      <c r="C4859" s="33">
        <v>9172</v>
      </c>
      <c r="D4859" s="2">
        <v>1487</v>
      </c>
      <c r="E4859" s="2" t="s">
        <v>12918</v>
      </c>
      <c r="F4859" s="3" t="s">
        <v>14206</v>
      </c>
      <c r="H4859" s="3" t="s">
        <v>1183</v>
      </c>
      <c r="K4859" s="2">
        <v>20</v>
      </c>
      <c r="L4859" s="2">
        <v>5</v>
      </c>
      <c r="M4859" s="3" t="s">
        <v>1605</v>
      </c>
      <c r="N4859" s="3" t="s">
        <v>13</v>
      </c>
      <c r="O4859" s="3" t="s">
        <v>14</v>
      </c>
      <c r="Q4859" s="30" t="str">
        <f t="shared" si="75"/>
        <v>MAX : 
TARGET : Yes(Pass)
MIN : No(Fail)</v>
      </c>
    </row>
    <row r="4860" spans="2:17" ht="41.4" x14ac:dyDescent="0.3">
      <c r="B4860">
        <v>0</v>
      </c>
      <c r="C4860" s="33">
        <v>9172</v>
      </c>
      <c r="D4860" s="2">
        <v>1487</v>
      </c>
      <c r="E4860" s="2" t="s">
        <v>12918</v>
      </c>
      <c r="F4860" s="3" t="s">
        <v>14206</v>
      </c>
      <c r="H4860" s="3" t="s">
        <v>1183</v>
      </c>
      <c r="K4860" s="2">
        <v>20</v>
      </c>
      <c r="L4860" s="2">
        <v>5</v>
      </c>
      <c r="M4860" s="3" t="s">
        <v>3919</v>
      </c>
      <c r="N4860" s="3" t="s">
        <v>13</v>
      </c>
      <c r="O4860" s="3" t="s">
        <v>14</v>
      </c>
      <c r="Q4860" s="30" t="str">
        <f t="shared" si="75"/>
        <v>MAX : 
TARGET : Yes(Pass)
MIN : No(Fail)</v>
      </c>
    </row>
    <row r="4861" spans="2:17" ht="41.4" x14ac:dyDescent="0.3">
      <c r="B4861">
        <v>1</v>
      </c>
      <c r="C4861" s="33">
        <v>9084</v>
      </c>
      <c r="D4861" s="2">
        <v>2064</v>
      </c>
      <c r="E4861" s="2" t="s">
        <v>12388</v>
      </c>
      <c r="F4861" s="3" t="s">
        <v>4864</v>
      </c>
      <c r="H4861" s="3" t="s">
        <v>3533</v>
      </c>
      <c r="I4861" s="3" t="s">
        <v>487</v>
      </c>
      <c r="K4861" s="2">
        <v>10</v>
      </c>
      <c r="L4861" s="2">
        <v>1</v>
      </c>
      <c r="M4861" s="3" t="s">
        <v>4865</v>
      </c>
      <c r="N4861" s="3" t="s">
        <v>4866</v>
      </c>
      <c r="O4861" s="3" t="s">
        <v>4867</v>
      </c>
      <c r="P4861" s="3" t="s">
        <v>4868</v>
      </c>
      <c r="Q4861" s="30" t="str">
        <f t="shared" si="75"/>
        <v>MAX : 24.8
TARGET : 24.0
MIN : 23.2</v>
      </c>
    </row>
    <row r="4862" spans="2:17" ht="41.4" x14ac:dyDescent="0.3">
      <c r="B4862">
        <v>1</v>
      </c>
      <c r="C4862" s="33">
        <v>9085</v>
      </c>
      <c r="D4862" s="2">
        <v>1430</v>
      </c>
      <c r="E4862" s="2" t="s">
        <v>12395</v>
      </c>
      <c r="F4862" s="3" t="s">
        <v>14206</v>
      </c>
      <c r="H4862" s="3" t="s">
        <v>2116</v>
      </c>
      <c r="I4862" s="3" t="s">
        <v>487</v>
      </c>
      <c r="K4862" s="2">
        <v>10</v>
      </c>
      <c r="L4862" s="2">
        <v>2</v>
      </c>
      <c r="M4862" s="3" t="s">
        <v>198</v>
      </c>
      <c r="N4862" s="3" t="s">
        <v>1229</v>
      </c>
      <c r="O4862" s="3" t="s">
        <v>1230</v>
      </c>
      <c r="P4862" s="3" t="s">
        <v>1231</v>
      </c>
      <c r="Q4862" s="30" t="str">
        <f t="shared" si="75"/>
        <v>MAX : 8.06
TARGET : 8.00
MIN : 7.94</v>
      </c>
    </row>
    <row r="4863" spans="2:17" ht="41.4" x14ac:dyDescent="0.3">
      <c r="B4863">
        <v>0</v>
      </c>
      <c r="C4863" s="33">
        <v>9173</v>
      </c>
      <c r="D4863" s="2">
        <v>1488</v>
      </c>
      <c r="E4863" s="2" t="s">
        <v>12924</v>
      </c>
      <c r="F4863" s="3" t="s">
        <v>14206</v>
      </c>
      <c r="H4863" s="3" t="s">
        <v>1183</v>
      </c>
      <c r="K4863" s="2">
        <v>20</v>
      </c>
      <c r="L4863" s="2">
        <v>2</v>
      </c>
      <c r="M4863" s="3" t="s">
        <v>2088</v>
      </c>
      <c r="N4863" s="3" t="s">
        <v>4223</v>
      </c>
      <c r="O4863" s="3" t="s">
        <v>250</v>
      </c>
      <c r="P4863" s="3" t="s">
        <v>5204</v>
      </c>
      <c r="Q4863" s="30" t="str">
        <f t="shared" si="75"/>
        <v>MAX : 6.01
TARGET : 6.00
MIN : 5.99</v>
      </c>
    </row>
    <row r="4864" spans="2:17" ht="41.4" x14ac:dyDescent="0.3">
      <c r="B4864">
        <v>0</v>
      </c>
      <c r="C4864" s="33">
        <v>9173</v>
      </c>
      <c r="D4864" s="2">
        <v>1488</v>
      </c>
      <c r="E4864" s="2" t="s">
        <v>12924</v>
      </c>
      <c r="F4864" s="3" t="s">
        <v>14206</v>
      </c>
      <c r="H4864" s="3" t="s">
        <v>1183</v>
      </c>
      <c r="K4864" s="2">
        <v>20</v>
      </c>
      <c r="L4864" s="2">
        <v>3</v>
      </c>
      <c r="M4864" s="3" t="s">
        <v>198</v>
      </c>
      <c r="N4864" s="3" t="s">
        <v>1774</v>
      </c>
      <c r="O4864" s="3" t="s">
        <v>2534</v>
      </c>
      <c r="P4864" s="3" t="s">
        <v>5205</v>
      </c>
      <c r="Q4864" s="30" t="str">
        <f t="shared" si="75"/>
        <v>MAX : 3.36
TARGET : 3.35
MIN : 3.34</v>
      </c>
    </row>
    <row r="4865" spans="2:18" ht="41.4" x14ac:dyDescent="0.3">
      <c r="B4865">
        <v>0</v>
      </c>
      <c r="C4865" s="33">
        <v>9173</v>
      </c>
      <c r="D4865" s="2">
        <v>1488</v>
      </c>
      <c r="E4865" s="2" t="s">
        <v>12924</v>
      </c>
      <c r="F4865" s="3" t="s">
        <v>14206</v>
      </c>
      <c r="H4865" s="3" t="s">
        <v>1183</v>
      </c>
      <c r="K4865" s="2">
        <v>20</v>
      </c>
      <c r="L4865" s="2">
        <v>4</v>
      </c>
      <c r="M4865" s="3" t="s">
        <v>2117</v>
      </c>
      <c r="N4865" s="3" t="s">
        <v>3249</v>
      </c>
      <c r="O4865" s="3" t="s">
        <v>340</v>
      </c>
      <c r="P4865" s="3" t="s">
        <v>3250</v>
      </c>
      <c r="Q4865" s="30" t="str">
        <f t="shared" si="75"/>
        <v>MAX : 3.51
TARGET : 3.50
MIN : 3.49</v>
      </c>
    </row>
    <row r="4866" spans="2:18" ht="41.4" x14ac:dyDescent="0.3">
      <c r="B4866">
        <v>0</v>
      </c>
      <c r="C4866" s="33">
        <v>9173</v>
      </c>
      <c r="D4866" s="2">
        <v>1488</v>
      </c>
      <c r="E4866" s="2" t="s">
        <v>12924</v>
      </c>
      <c r="F4866" s="3" t="s">
        <v>14206</v>
      </c>
      <c r="H4866" s="3" t="s">
        <v>1183</v>
      </c>
      <c r="K4866" s="2">
        <v>20</v>
      </c>
      <c r="L4866" s="2">
        <v>5</v>
      </c>
      <c r="M4866" s="3" t="s">
        <v>5200</v>
      </c>
      <c r="N4866" s="3" t="s">
        <v>13</v>
      </c>
      <c r="O4866" s="3" t="s">
        <v>14</v>
      </c>
      <c r="Q4866" s="30" t="str">
        <f t="shared" ref="Q4866:Q4929" si="76">"MAX : " &amp; P4866 &amp; CHAR(10) &amp; "TARGET : " &amp; O4866 &amp; CHAR(10) &amp; "MIN : " &amp; N4866</f>
        <v>MAX : 
TARGET : Yes(Pass)
MIN : No(Fail)</v>
      </c>
    </row>
    <row r="4867" spans="2:18" ht="41.4" x14ac:dyDescent="0.3">
      <c r="B4867">
        <v>1</v>
      </c>
      <c r="C4867" s="33">
        <v>9085</v>
      </c>
      <c r="D4867" s="2">
        <v>1430</v>
      </c>
      <c r="E4867" s="2" t="s">
        <v>12395</v>
      </c>
      <c r="F4867" s="3" t="s">
        <v>14206</v>
      </c>
      <c r="H4867" s="3" t="s">
        <v>2116</v>
      </c>
      <c r="I4867" s="3" t="s">
        <v>487</v>
      </c>
      <c r="K4867" s="2">
        <v>10</v>
      </c>
      <c r="L4867" s="2">
        <v>1</v>
      </c>
      <c r="M4867" s="3" t="s">
        <v>194</v>
      </c>
      <c r="N4867" s="3" t="s">
        <v>2686</v>
      </c>
      <c r="O4867" s="3" t="s">
        <v>703</v>
      </c>
      <c r="P4867" s="3" t="s">
        <v>2687</v>
      </c>
      <c r="Q4867" s="30" t="str">
        <f t="shared" si="76"/>
        <v>MAX : 4.56
TARGET : 4.50
MIN : 4.44</v>
      </c>
    </row>
    <row r="4868" spans="2:18" ht="41.4" x14ac:dyDescent="0.3">
      <c r="B4868">
        <v>1</v>
      </c>
      <c r="C4868" s="33">
        <v>9086</v>
      </c>
      <c r="D4868" s="2">
        <v>1431</v>
      </c>
      <c r="E4868" s="2" t="s">
        <v>12401</v>
      </c>
      <c r="F4868" s="3" t="s">
        <v>14206</v>
      </c>
      <c r="H4868" s="3" t="s">
        <v>426</v>
      </c>
      <c r="K4868" s="2">
        <v>20</v>
      </c>
      <c r="L4868" s="2">
        <v>15</v>
      </c>
      <c r="M4868" s="3" t="s">
        <v>4883</v>
      </c>
      <c r="N4868" s="3" t="s">
        <v>13</v>
      </c>
      <c r="O4868" s="3" t="s">
        <v>14</v>
      </c>
      <c r="Q4868" s="30" t="str">
        <f t="shared" si="76"/>
        <v>MAX : 
TARGET : Yes(Pass)
MIN : No(Fail)</v>
      </c>
      <c r="R4868" s="3" t="s">
        <v>1638</v>
      </c>
    </row>
    <row r="4869" spans="2:18" ht="41.4" x14ac:dyDescent="0.3">
      <c r="B4869">
        <v>0</v>
      </c>
      <c r="C4869" s="33">
        <v>9174</v>
      </c>
      <c r="D4869" s="2">
        <v>1489</v>
      </c>
      <c r="E4869" s="2" t="s">
        <v>12930</v>
      </c>
      <c r="F4869" s="3" t="s">
        <v>14206</v>
      </c>
      <c r="H4869" s="3" t="s">
        <v>5191</v>
      </c>
      <c r="K4869" s="2">
        <v>20</v>
      </c>
      <c r="L4869" s="2">
        <v>2</v>
      </c>
      <c r="M4869" s="3" t="s">
        <v>2088</v>
      </c>
      <c r="N4869" s="3" t="s">
        <v>5206</v>
      </c>
      <c r="O4869" s="3" t="s">
        <v>253</v>
      </c>
      <c r="P4869" s="3" t="s">
        <v>5207</v>
      </c>
      <c r="Q4869" s="30" t="str">
        <f t="shared" si="76"/>
        <v>MAX : 4.01
TARGET : 4.00
MIN : 3.99</v>
      </c>
    </row>
    <row r="4870" spans="2:18" ht="41.4" x14ac:dyDescent="0.3">
      <c r="B4870">
        <v>0</v>
      </c>
      <c r="C4870" s="33">
        <v>9174</v>
      </c>
      <c r="D4870" s="2">
        <v>1489</v>
      </c>
      <c r="E4870" s="2" t="s">
        <v>12930</v>
      </c>
      <c r="F4870" s="3" t="s">
        <v>14206</v>
      </c>
      <c r="H4870" s="3" t="s">
        <v>5191</v>
      </c>
      <c r="K4870" s="2">
        <v>20</v>
      </c>
      <c r="L4870" s="2">
        <v>3</v>
      </c>
      <c r="M4870" s="3" t="s">
        <v>198</v>
      </c>
      <c r="N4870" s="3" t="s">
        <v>2200</v>
      </c>
      <c r="O4870" s="3" t="s">
        <v>2015</v>
      </c>
      <c r="P4870" s="3" t="s">
        <v>1904</v>
      </c>
      <c r="Q4870" s="30" t="str">
        <f t="shared" si="76"/>
        <v>MAX : 1.37
TARGET : 1.36
MIN : 1.35</v>
      </c>
    </row>
    <row r="4871" spans="2:18" ht="41.4" x14ac:dyDescent="0.3">
      <c r="B4871">
        <v>0</v>
      </c>
      <c r="C4871" s="33">
        <v>9174</v>
      </c>
      <c r="D4871" s="2">
        <v>1489</v>
      </c>
      <c r="E4871" s="2" t="s">
        <v>12930</v>
      </c>
      <c r="F4871" s="3" t="s">
        <v>14206</v>
      </c>
      <c r="H4871" s="3" t="s">
        <v>5191</v>
      </c>
      <c r="K4871" s="2">
        <v>20</v>
      </c>
      <c r="L4871" s="2">
        <v>4</v>
      </c>
      <c r="M4871" s="3" t="s">
        <v>2117</v>
      </c>
      <c r="N4871" s="3" t="s">
        <v>386</v>
      </c>
      <c r="O4871" s="3" t="s">
        <v>2309</v>
      </c>
      <c r="P4871" s="3" t="s">
        <v>4230</v>
      </c>
      <c r="Q4871" s="30" t="str">
        <f t="shared" si="76"/>
        <v>MAX : 1.64
TARGET : 1.63
MIN : 1.62</v>
      </c>
    </row>
    <row r="4872" spans="2:18" ht="41.4" x14ac:dyDescent="0.3">
      <c r="B4872">
        <v>0</v>
      </c>
      <c r="C4872" s="33">
        <v>9174</v>
      </c>
      <c r="D4872" s="2">
        <v>1489</v>
      </c>
      <c r="E4872" s="2" t="s">
        <v>12930</v>
      </c>
      <c r="F4872" s="3" t="s">
        <v>14206</v>
      </c>
      <c r="H4872" s="3" t="s">
        <v>5191</v>
      </c>
      <c r="K4872" s="2">
        <v>20</v>
      </c>
      <c r="L4872" s="2">
        <v>5</v>
      </c>
      <c r="M4872" s="3" t="s">
        <v>5200</v>
      </c>
      <c r="N4872" s="3" t="s">
        <v>13</v>
      </c>
      <c r="O4872" s="3" t="s">
        <v>14</v>
      </c>
      <c r="Q4872" s="30" t="str">
        <f t="shared" si="76"/>
        <v>MAX : 
TARGET : Yes(Pass)
MIN : No(Fail)</v>
      </c>
    </row>
    <row r="4873" spans="2:18" ht="41.4" x14ac:dyDescent="0.3">
      <c r="B4873">
        <v>1</v>
      </c>
      <c r="C4873" s="33">
        <v>9086</v>
      </c>
      <c r="D4873" s="2">
        <v>1431</v>
      </c>
      <c r="E4873" s="2" t="s">
        <v>12401</v>
      </c>
      <c r="F4873" s="3" t="s">
        <v>14206</v>
      </c>
      <c r="H4873" s="3" t="s">
        <v>426</v>
      </c>
      <c r="K4873" s="2">
        <v>20</v>
      </c>
      <c r="L4873" s="2">
        <v>14</v>
      </c>
      <c r="M4873" s="3" t="s">
        <v>4617</v>
      </c>
      <c r="N4873" s="3" t="s">
        <v>13</v>
      </c>
      <c r="O4873" s="3" t="s">
        <v>14</v>
      </c>
      <c r="Q4873" s="30" t="str">
        <f t="shared" si="76"/>
        <v>MAX : 
TARGET : Yes(Pass)
MIN : No(Fail)</v>
      </c>
      <c r="R4873" s="3" t="s">
        <v>1638</v>
      </c>
    </row>
    <row r="4874" spans="2:18" ht="41.4" x14ac:dyDescent="0.3">
      <c r="B4874">
        <v>1</v>
      </c>
      <c r="C4874" s="33">
        <v>9086</v>
      </c>
      <c r="D4874" s="2">
        <v>1431</v>
      </c>
      <c r="E4874" s="2" t="s">
        <v>12401</v>
      </c>
      <c r="F4874" s="3" t="s">
        <v>14206</v>
      </c>
      <c r="H4874" s="3" t="s">
        <v>426</v>
      </c>
      <c r="K4874" s="2">
        <v>20</v>
      </c>
      <c r="L4874" s="2">
        <v>2</v>
      </c>
      <c r="M4874" s="3" t="s">
        <v>5419</v>
      </c>
      <c r="N4874" s="3" t="s">
        <v>3167</v>
      </c>
      <c r="O4874" s="3" t="s">
        <v>5420</v>
      </c>
      <c r="P4874" s="3" t="s">
        <v>5420</v>
      </c>
      <c r="Q4874" s="30" t="str">
        <f t="shared" si="76"/>
        <v>MAX : 0.412
TARGET : 0.412
MIN : 0.410</v>
      </c>
      <c r="R4874" s="3" t="s">
        <v>1638</v>
      </c>
    </row>
    <row r="4875" spans="2:18" ht="41.4" x14ac:dyDescent="0.3">
      <c r="B4875">
        <v>0</v>
      </c>
      <c r="C4875" s="33">
        <v>9177</v>
      </c>
      <c r="D4875" s="2">
        <v>1492</v>
      </c>
      <c r="E4875" s="2" t="s">
        <v>12948</v>
      </c>
      <c r="F4875" s="3" t="s">
        <v>14206</v>
      </c>
      <c r="H4875" s="3" t="s">
        <v>810</v>
      </c>
      <c r="K4875" s="2">
        <v>20</v>
      </c>
      <c r="L4875" s="2">
        <v>2</v>
      </c>
      <c r="M4875" s="3" t="s">
        <v>2088</v>
      </c>
      <c r="N4875" s="3" t="s">
        <v>263</v>
      </c>
      <c r="O4875" s="3" t="s">
        <v>309</v>
      </c>
      <c r="P4875" s="3" t="s">
        <v>475</v>
      </c>
      <c r="Q4875" s="30" t="str">
        <f t="shared" si="76"/>
        <v>MAX : 0.51
TARGET : 0.50
MIN : 0.49</v>
      </c>
    </row>
    <row r="4876" spans="2:18" ht="41.4" x14ac:dyDescent="0.3">
      <c r="B4876">
        <v>0</v>
      </c>
      <c r="C4876" s="33">
        <v>9177</v>
      </c>
      <c r="D4876" s="2">
        <v>1492</v>
      </c>
      <c r="E4876" s="2" t="s">
        <v>12948</v>
      </c>
      <c r="F4876" s="3" t="s">
        <v>14206</v>
      </c>
      <c r="H4876" s="3" t="s">
        <v>810</v>
      </c>
      <c r="K4876" s="2">
        <v>20</v>
      </c>
      <c r="L4876" s="2">
        <v>3</v>
      </c>
      <c r="M4876" s="3" t="s">
        <v>570</v>
      </c>
      <c r="N4876" s="3" t="s">
        <v>3922</v>
      </c>
      <c r="O4876" s="3" t="s">
        <v>5209</v>
      </c>
      <c r="P4876" s="3" t="s">
        <v>3923</v>
      </c>
      <c r="Q4876" s="30" t="str">
        <f t="shared" si="76"/>
        <v>MAX : 0.313
TARGET : 0.303
MIN : 0.293</v>
      </c>
    </row>
    <row r="4877" spans="2:18" ht="41.4" x14ac:dyDescent="0.3">
      <c r="B4877">
        <v>0</v>
      </c>
      <c r="C4877" s="33">
        <v>9177</v>
      </c>
      <c r="D4877" s="2">
        <v>1492</v>
      </c>
      <c r="E4877" s="2" t="s">
        <v>12948</v>
      </c>
      <c r="F4877" s="3" t="s">
        <v>14206</v>
      </c>
      <c r="H4877" s="3" t="s">
        <v>810</v>
      </c>
      <c r="K4877" s="2">
        <v>20</v>
      </c>
      <c r="L4877" s="2">
        <v>4</v>
      </c>
      <c r="M4877" s="3" t="s">
        <v>2117</v>
      </c>
      <c r="N4877" s="3" t="s">
        <v>1408</v>
      </c>
      <c r="O4877" s="3" t="s">
        <v>101</v>
      </c>
      <c r="P4877" s="3" t="s">
        <v>5210</v>
      </c>
      <c r="Q4877" s="30" t="str">
        <f t="shared" si="76"/>
        <v>MAX : 0.635
TARGET : 0.625
MIN : 0.615</v>
      </c>
    </row>
    <row r="4878" spans="2:18" ht="41.4" x14ac:dyDescent="0.3">
      <c r="B4878">
        <v>0</v>
      </c>
      <c r="C4878" s="33">
        <v>9177</v>
      </c>
      <c r="D4878" s="2">
        <v>1492</v>
      </c>
      <c r="E4878" s="2" t="s">
        <v>12948</v>
      </c>
      <c r="F4878" s="3" t="s">
        <v>14206</v>
      </c>
      <c r="H4878" s="3" t="s">
        <v>810</v>
      </c>
      <c r="K4878" s="2">
        <v>20</v>
      </c>
      <c r="L4878" s="2">
        <v>5</v>
      </c>
      <c r="M4878" s="3" t="s">
        <v>1605</v>
      </c>
      <c r="N4878" s="3" t="s">
        <v>13</v>
      </c>
      <c r="O4878" s="3" t="s">
        <v>14</v>
      </c>
      <c r="Q4878" s="30" t="str">
        <f t="shared" si="76"/>
        <v>MAX : 
TARGET : Yes(Pass)
MIN : No(Fail)</v>
      </c>
    </row>
    <row r="4879" spans="2:18" ht="41.4" x14ac:dyDescent="0.3">
      <c r="B4879">
        <v>1</v>
      </c>
      <c r="C4879" s="33">
        <v>9087</v>
      </c>
      <c r="D4879" s="2">
        <v>1432</v>
      </c>
      <c r="E4879" s="2" t="s">
        <v>12408</v>
      </c>
      <c r="F4879" s="3" t="s">
        <v>14206</v>
      </c>
      <c r="H4879" s="3" t="s">
        <v>417</v>
      </c>
      <c r="I4879" s="3" t="s">
        <v>575</v>
      </c>
      <c r="K4879" s="2">
        <v>10</v>
      </c>
      <c r="L4879" s="2">
        <v>1</v>
      </c>
      <c r="M4879" s="3" t="s">
        <v>4892</v>
      </c>
      <c r="N4879" s="3" t="s">
        <v>1504</v>
      </c>
      <c r="O4879" s="3" t="s">
        <v>815</v>
      </c>
      <c r="P4879" s="3" t="s">
        <v>1505</v>
      </c>
      <c r="Q4879" s="30" t="str">
        <f t="shared" si="76"/>
        <v>MAX : 3.06
TARGET : 3.00
MIN : 2.94</v>
      </c>
      <c r="R4879" s="3" t="s">
        <v>4891</v>
      </c>
    </row>
    <row r="4880" spans="2:18" ht="41.4" x14ac:dyDescent="0.3">
      <c r="B4880">
        <v>1</v>
      </c>
      <c r="C4880" s="33">
        <v>9087</v>
      </c>
      <c r="D4880" s="2">
        <v>1432</v>
      </c>
      <c r="E4880" s="2" t="s">
        <v>12408</v>
      </c>
      <c r="F4880" s="3" t="s">
        <v>14206</v>
      </c>
      <c r="H4880" s="3" t="s">
        <v>417</v>
      </c>
      <c r="I4880" s="3" t="s">
        <v>575</v>
      </c>
      <c r="K4880" s="2">
        <v>20</v>
      </c>
      <c r="L4880" s="2">
        <v>3</v>
      </c>
      <c r="M4880" s="3" t="s">
        <v>78</v>
      </c>
      <c r="N4880" s="3" t="s">
        <v>13</v>
      </c>
      <c r="O4880" s="3" t="s">
        <v>14</v>
      </c>
      <c r="Q4880" s="30" t="str">
        <f t="shared" si="76"/>
        <v>MAX : 
TARGET : Yes(Pass)
MIN : No(Fail)</v>
      </c>
      <c r="R4880" s="3" t="s">
        <v>4891</v>
      </c>
    </row>
    <row r="4881" spans="2:18" ht="41.4" x14ac:dyDescent="0.3">
      <c r="B4881">
        <v>0</v>
      </c>
      <c r="C4881" s="33">
        <v>9178</v>
      </c>
      <c r="D4881" s="2">
        <v>1493</v>
      </c>
      <c r="E4881" s="2" t="s">
        <v>12954</v>
      </c>
      <c r="F4881" s="3" t="s">
        <v>14206</v>
      </c>
      <c r="H4881" s="3" t="s">
        <v>810</v>
      </c>
      <c r="K4881" s="2">
        <v>20</v>
      </c>
      <c r="L4881" s="2">
        <v>2</v>
      </c>
      <c r="M4881" s="3" t="s">
        <v>198</v>
      </c>
      <c r="N4881" s="3" t="s">
        <v>309</v>
      </c>
      <c r="O4881" s="3" t="s">
        <v>475</v>
      </c>
      <c r="P4881" s="3" t="s">
        <v>264</v>
      </c>
      <c r="Q4881" s="30" t="str">
        <f t="shared" si="76"/>
        <v>MAX : 0.52
TARGET : 0.51
MIN : 0.50</v>
      </c>
    </row>
    <row r="4882" spans="2:18" ht="41.4" x14ac:dyDescent="0.3">
      <c r="B4882">
        <v>0</v>
      </c>
      <c r="C4882" s="33">
        <v>9178</v>
      </c>
      <c r="D4882" s="2">
        <v>1493</v>
      </c>
      <c r="E4882" s="2" t="s">
        <v>12954</v>
      </c>
      <c r="F4882" s="3" t="s">
        <v>14206</v>
      </c>
      <c r="H4882" s="3" t="s">
        <v>810</v>
      </c>
      <c r="K4882" s="2">
        <v>20</v>
      </c>
      <c r="L4882" s="2">
        <v>3</v>
      </c>
      <c r="M4882" s="3" t="s">
        <v>5213</v>
      </c>
      <c r="N4882" s="3" t="s">
        <v>13</v>
      </c>
      <c r="O4882" s="3" t="s">
        <v>14</v>
      </c>
      <c r="Q4882" s="30" t="str">
        <f t="shared" si="76"/>
        <v>MAX : 
TARGET : Yes(Pass)
MIN : No(Fail)</v>
      </c>
    </row>
    <row r="4883" spans="2:18" ht="41.4" x14ac:dyDescent="0.3">
      <c r="B4883">
        <v>1</v>
      </c>
      <c r="C4883" s="33">
        <v>9088</v>
      </c>
      <c r="D4883" s="2">
        <v>1433</v>
      </c>
      <c r="E4883" s="2" t="s">
        <v>12415</v>
      </c>
      <c r="F4883" s="3" t="s">
        <v>14206</v>
      </c>
      <c r="G4883" s="3" t="s">
        <v>4894</v>
      </c>
      <c r="H4883" s="3" t="s">
        <v>417</v>
      </c>
      <c r="I4883" s="3" t="s">
        <v>575</v>
      </c>
      <c r="K4883" s="2">
        <v>10</v>
      </c>
      <c r="L4883" s="2">
        <v>1</v>
      </c>
      <c r="M4883" s="3" t="s">
        <v>4892</v>
      </c>
      <c r="N4883" s="3" t="s">
        <v>1504</v>
      </c>
      <c r="O4883" s="3" t="s">
        <v>815</v>
      </c>
      <c r="P4883" s="3" t="s">
        <v>1505</v>
      </c>
      <c r="Q4883" s="30" t="str">
        <f t="shared" si="76"/>
        <v>MAX : 3.06
TARGET : 3.00
MIN : 2.94</v>
      </c>
      <c r="R4883" s="3" t="s">
        <v>4891</v>
      </c>
    </row>
    <row r="4884" spans="2:18" ht="41.4" x14ac:dyDescent="0.3">
      <c r="B4884">
        <v>1</v>
      </c>
      <c r="C4884" s="33">
        <v>9088</v>
      </c>
      <c r="D4884" s="2">
        <v>1433</v>
      </c>
      <c r="E4884" s="2" t="s">
        <v>12415</v>
      </c>
      <c r="F4884" s="3" t="s">
        <v>14206</v>
      </c>
      <c r="G4884" s="3" t="s">
        <v>4894</v>
      </c>
      <c r="H4884" s="3" t="s">
        <v>417</v>
      </c>
      <c r="I4884" s="3" t="s">
        <v>575</v>
      </c>
      <c r="K4884" s="2">
        <v>20</v>
      </c>
      <c r="L4884" s="2">
        <v>3</v>
      </c>
      <c r="M4884" s="3" t="s">
        <v>78</v>
      </c>
      <c r="N4884" s="3" t="s">
        <v>13</v>
      </c>
      <c r="O4884" s="3" t="s">
        <v>14</v>
      </c>
      <c r="Q4884" s="30" t="str">
        <f t="shared" si="76"/>
        <v>MAX : 
TARGET : Yes(Pass)
MIN : No(Fail)</v>
      </c>
      <c r="R4884" s="3" t="s">
        <v>4891</v>
      </c>
    </row>
    <row r="4885" spans="2:18" ht="41.4" x14ac:dyDescent="0.3">
      <c r="B4885">
        <v>0</v>
      </c>
      <c r="C4885" s="33">
        <v>9175</v>
      </c>
      <c r="D4885" s="2">
        <v>1490</v>
      </c>
      <c r="E4885" s="2" t="s">
        <v>12936</v>
      </c>
      <c r="F4885" s="3" t="s">
        <v>14206</v>
      </c>
      <c r="H4885" s="3" t="s">
        <v>810</v>
      </c>
      <c r="K4885" s="2">
        <v>20</v>
      </c>
      <c r="L4885" s="2">
        <v>2</v>
      </c>
      <c r="M4885" s="3" t="s">
        <v>198</v>
      </c>
      <c r="N4885" s="3" t="s">
        <v>5217</v>
      </c>
      <c r="O4885" s="3" t="s">
        <v>5218</v>
      </c>
      <c r="P4885" s="3" t="s">
        <v>5219</v>
      </c>
      <c r="Q4885" s="30" t="str">
        <f t="shared" si="76"/>
        <v>MAX : 1.560
TARGET : 1.550
MIN : 1.540</v>
      </c>
    </row>
    <row r="4886" spans="2:18" ht="41.4" x14ac:dyDescent="0.3">
      <c r="B4886">
        <v>0</v>
      </c>
      <c r="C4886" s="33">
        <v>9175</v>
      </c>
      <c r="D4886" s="2">
        <v>1490</v>
      </c>
      <c r="E4886" s="2" t="s">
        <v>12936</v>
      </c>
      <c r="F4886" s="3" t="s">
        <v>14206</v>
      </c>
      <c r="H4886" s="3" t="s">
        <v>810</v>
      </c>
      <c r="K4886" s="2">
        <v>20</v>
      </c>
      <c r="L4886" s="2">
        <v>14</v>
      </c>
      <c r="M4886" s="3" t="s">
        <v>5200</v>
      </c>
      <c r="N4886" s="3" t="s">
        <v>13</v>
      </c>
      <c r="O4886" s="3" t="s">
        <v>14</v>
      </c>
      <c r="Q4886" s="30" t="str">
        <f t="shared" si="76"/>
        <v>MAX : 
TARGET : Yes(Pass)
MIN : No(Fail)</v>
      </c>
    </row>
    <row r="4887" spans="2:18" ht="41.4" x14ac:dyDescent="0.3">
      <c r="B4887">
        <v>0</v>
      </c>
      <c r="C4887" s="33">
        <v>9175</v>
      </c>
      <c r="D4887" s="2">
        <v>1490</v>
      </c>
      <c r="E4887" s="2" t="s">
        <v>12936</v>
      </c>
      <c r="F4887" s="3" t="s">
        <v>14206</v>
      </c>
      <c r="H4887" s="3" t="s">
        <v>810</v>
      </c>
      <c r="K4887" s="2">
        <v>20</v>
      </c>
      <c r="L4887" s="2">
        <v>15</v>
      </c>
      <c r="M4887" s="3" t="s">
        <v>5220</v>
      </c>
      <c r="N4887" s="3" t="s">
        <v>13</v>
      </c>
      <c r="O4887" s="3" t="s">
        <v>14</v>
      </c>
      <c r="Q4887" s="30" t="str">
        <f t="shared" si="76"/>
        <v>MAX : 
TARGET : Yes(Pass)
MIN : No(Fail)</v>
      </c>
    </row>
    <row r="4888" spans="2:18" ht="41.4" x14ac:dyDescent="0.3">
      <c r="B4888">
        <v>1</v>
      </c>
      <c r="C4888" s="33">
        <v>9089</v>
      </c>
      <c r="D4888" s="2">
        <v>2065</v>
      </c>
      <c r="E4888" s="2" t="s">
        <v>12421</v>
      </c>
      <c r="F4888" s="3" t="s">
        <v>14207</v>
      </c>
      <c r="H4888" s="3" t="s">
        <v>193</v>
      </c>
      <c r="K4888" s="2">
        <v>10</v>
      </c>
      <c r="L4888" s="2">
        <v>2</v>
      </c>
      <c r="M4888" s="3" t="s">
        <v>611</v>
      </c>
      <c r="N4888" s="3" t="s">
        <v>13</v>
      </c>
      <c r="O4888" s="3" t="s">
        <v>14</v>
      </c>
      <c r="Q4888" s="30" t="str">
        <f t="shared" si="76"/>
        <v>MAX : 
TARGET : Yes(Pass)
MIN : No(Fail)</v>
      </c>
    </row>
    <row r="4889" spans="2:18" ht="41.4" x14ac:dyDescent="0.3">
      <c r="B4889">
        <v>1</v>
      </c>
      <c r="C4889" s="33">
        <v>9089</v>
      </c>
      <c r="D4889" s="2">
        <v>2065</v>
      </c>
      <c r="E4889" s="2" t="s">
        <v>12421</v>
      </c>
      <c r="F4889" s="3" t="s">
        <v>14207</v>
      </c>
      <c r="H4889" s="3" t="s">
        <v>193</v>
      </c>
      <c r="K4889" s="2">
        <v>10</v>
      </c>
      <c r="L4889" s="2">
        <v>1</v>
      </c>
      <c r="M4889" s="3" t="s">
        <v>99</v>
      </c>
      <c r="N4889" s="3" t="s">
        <v>2365</v>
      </c>
      <c r="O4889" s="3" t="s">
        <v>184</v>
      </c>
      <c r="P4889" s="3" t="s">
        <v>2238</v>
      </c>
      <c r="Q4889" s="30" t="str">
        <f t="shared" si="76"/>
        <v>MAX : 5.13
TARGET : 5.00
MIN : 4.87</v>
      </c>
    </row>
    <row r="4890" spans="2:18" ht="41.4" x14ac:dyDescent="0.3">
      <c r="B4890">
        <v>0</v>
      </c>
      <c r="C4890" s="33">
        <v>9176</v>
      </c>
      <c r="D4890" s="2">
        <v>1491</v>
      </c>
      <c r="E4890" s="2" t="s">
        <v>12942</v>
      </c>
      <c r="F4890" s="3" t="s">
        <v>14206</v>
      </c>
      <c r="H4890" s="3" t="s">
        <v>810</v>
      </c>
      <c r="K4890" s="2">
        <v>20</v>
      </c>
      <c r="L4890" s="2">
        <v>2</v>
      </c>
      <c r="M4890" s="3" t="s">
        <v>2088</v>
      </c>
      <c r="N4890" s="3" t="s">
        <v>263</v>
      </c>
      <c r="O4890" s="3" t="s">
        <v>309</v>
      </c>
      <c r="P4890" s="3" t="s">
        <v>475</v>
      </c>
      <c r="Q4890" s="30" t="str">
        <f t="shared" si="76"/>
        <v>MAX : 0.51
TARGET : 0.50
MIN : 0.49</v>
      </c>
    </row>
    <row r="4891" spans="2:18" ht="41.4" x14ac:dyDescent="0.3">
      <c r="B4891">
        <v>0</v>
      </c>
      <c r="C4891" s="33">
        <v>9176</v>
      </c>
      <c r="D4891" s="2">
        <v>1491</v>
      </c>
      <c r="E4891" s="2" t="s">
        <v>12942</v>
      </c>
      <c r="F4891" s="3" t="s">
        <v>14206</v>
      </c>
      <c r="H4891" s="3" t="s">
        <v>810</v>
      </c>
      <c r="K4891" s="2">
        <v>20</v>
      </c>
      <c r="L4891" s="2">
        <v>3</v>
      </c>
      <c r="M4891" s="3" t="s">
        <v>570</v>
      </c>
      <c r="N4891" s="3" t="s">
        <v>689</v>
      </c>
      <c r="O4891" s="3" t="s">
        <v>425</v>
      </c>
      <c r="P4891" s="3" t="s">
        <v>2145</v>
      </c>
      <c r="Q4891" s="30" t="str">
        <f t="shared" si="76"/>
        <v>MAX : 0.32
TARGET : 0.31
MIN : 0.30</v>
      </c>
    </row>
    <row r="4892" spans="2:18" ht="41.4" x14ac:dyDescent="0.3">
      <c r="B4892">
        <v>0</v>
      </c>
      <c r="C4892" s="33">
        <v>9176</v>
      </c>
      <c r="D4892" s="2">
        <v>1491</v>
      </c>
      <c r="E4892" s="2" t="s">
        <v>12942</v>
      </c>
      <c r="F4892" s="3" t="s">
        <v>14206</v>
      </c>
      <c r="H4892" s="3" t="s">
        <v>810</v>
      </c>
      <c r="K4892" s="2">
        <v>20</v>
      </c>
      <c r="L4892" s="2">
        <v>4</v>
      </c>
      <c r="M4892" s="3" t="s">
        <v>2117</v>
      </c>
      <c r="N4892" s="3" t="s">
        <v>3070</v>
      </c>
      <c r="O4892" s="3" t="s">
        <v>1814</v>
      </c>
      <c r="P4892" s="3" t="s">
        <v>2020</v>
      </c>
      <c r="Q4892" s="30" t="str">
        <f t="shared" si="76"/>
        <v>MAX : 0.64
TARGET : 0.63
MIN : 0.62</v>
      </c>
    </row>
    <row r="4893" spans="2:18" ht="41.4" x14ac:dyDescent="0.3">
      <c r="B4893">
        <v>0</v>
      </c>
      <c r="C4893" s="33">
        <v>9176</v>
      </c>
      <c r="D4893" s="2">
        <v>1491</v>
      </c>
      <c r="E4893" s="2" t="s">
        <v>12942</v>
      </c>
      <c r="F4893" s="3" t="s">
        <v>14206</v>
      </c>
      <c r="H4893" s="3" t="s">
        <v>810</v>
      </c>
      <c r="K4893" s="2">
        <v>20</v>
      </c>
      <c r="L4893" s="2">
        <v>5</v>
      </c>
      <c r="M4893" s="3" t="s">
        <v>1605</v>
      </c>
      <c r="N4893" s="3" t="s">
        <v>13</v>
      </c>
      <c r="O4893" s="3" t="s">
        <v>14</v>
      </c>
      <c r="Q4893" s="30" t="str">
        <f t="shared" si="76"/>
        <v>MAX : 
TARGET : Yes(Pass)
MIN : No(Fail)</v>
      </c>
    </row>
    <row r="4894" spans="2:18" ht="41.4" x14ac:dyDescent="0.3">
      <c r="B4894">
        <v>1</v>
      </c>
      <c r="C4894" s="33">
        <v>9090</v>
      </c>
      <c r="D4894" s="2">
        <v>1434</v>
      </c>
      <c r="E4894" s="2" t="s">
        <v>12428</v>
      </c>
      <c r="F4894" s="3" t="s">
        <v>14206</v>
      </c>
      <c r="H4894" s="3" t="s">
        <v>727</v>
      </c>
      <c r="I4894" s="3" t="s">
        <v>487</v>
      </c>
      <c r="K4894" s="2">
        <v>10</v>
      </c>
      <c r="L4894" s="2">
        <v>2</v>
      </c>
      <c r="M4894" s="3" t="s">
        <v>198</v>
      </c>
      <c r="N4894" s="3" t="s">
        <v>485</v>
      </c>
      <c r="O4894" s="3" t="s">
        <v>272</v>
      </c>
      <c r="P4894" s="3" t="s">
        <v>507</v>
      </c>
      <c r="Q4894" s="30" t="str">
        <f t="shared" si="76"/>
        <v>MAX : 1.06
TARGET : 1.00
MIN : 0.94</v>
      </c>
    </row>
    <row r="4895" spans="2:18" ht="41.4" x14ac:dyDescent="0.3">
      <c r="B4895">
        <v>1</v>
      </c>
      <c r="C4895" s="33">
        <v>9090</v>
      </c>
      <c r="D4895" s="2">
        <v>1434</v>
      </c>
      <c r="E4895" s="2" t="s">
        <v>12428</v>
      </c>
      <c r="F4895" s="3" t="s">
        <v>14206</v>
      </c>
      <c r="H4895" s="3" t="s">
        <v>727</v>
      </c>
      <c r="I4895" s="3" t="s">
        <v>487</v>
      </c>
      <c r="K4895" s="2">
        <v>10</v>
      </c>
      <c r="L4895" s="2">
        <v>1</v>
      </c>
      <c r="M4895" s="3" t="s">
        <v>194</v>
      </c>
      <c r="N4895" s="3" t="s">
        <v>979</v>
      </c>
      <c r="O4895" s="3" t="s">
        <v>309</v>
      </c>
      <c r="P4895" s="3" t="s">
        <v>1531</v>
      </c>
      <c r="Q4895" s="30" t="str">
        <f t="shared" si="76"/>
        <v>MAX : 0.56
TARGET : 0.50
MIN : 0.44</v>
      </c>
    </row>
    <row r="4896" spans="2:18" ht="41.4" x14ac:dyDescent="0.3">
      <c r="B4896">
        <v>0</v>
      </c>
      <c r="C4896" s="33">
        <v>9165</v>
      </c>
      <c r="D4896" s="2">
        <v>1481</v>
      </c>
      <c r="E4896" s="2" t="s">
        <v>12877</v>
      </c>
      <c r="F4896" s="3" t="s">
        <v>14206</v>
      </c>
      <c r="H4896" s="3" t="s">
        <v>426</v>
      </c>
      <c r="K4896" s="2">
        <v>20</v>
      </c>
      <c r="L4896" s="2">
        <v>7</v>
      </c>
      <c r="M4896" s="3" t="s">
        <v>5228</v>
      </c>
      <c r="N4896" s="3" t="s">
        <v>5229</v>
      </c>
      <c r="O4896" s="3" t="s">
        <v>5230</v>
      </c>
      <c r="P4896" s="3" t="s">
        <v>5231</v>
      </c>
      <c r="Q4896" s="30" t="str">
        <f t="shared" si="76"/>
        <v>MAX : 0.6565
TARGET : 0.6530
MIN : 0.6495</v>
      </c>
      <c r="R4896" s="3" t="s">
        <v>1638</v>
      </c>
    </row>
    <row r="4897" spans="2:18" ht="41.4" x14ac:dyDescent="0.3">
      <c r="B4897">
        <v>0</v>
      </c>
      <c r="C4897" s="33">
        <v>9165</v>
      </c>
      <c r="D4897" s="2">
        <v>1481</v>
      </c>
      <c r="E4897" s="2" t="s">
        <v>12877</v>
      </c>
      <c r="F4897" s="3" t="s">
        <v>14206</v>
      </c>
      <c r="H4897" s="3" t="s">
        <v>426</v>
      </c>
      <c r="K4897" s="2">
        <v>20</v>
      </c>
      <c r="L4897" s="2">
        <v>6</v>
      </c>
      <c r="M4897" s="3" t="s">
        <v>5232</v>
      </c>
      <c r="N4897" s="3" t="s">
        <v>5233</v>
      </c>
      <c r="O4897" s="3" t="s">
        <v>5234</v>
      </c>
      <c r="P4897" s="3" t="s">
        <v>5235</v>
      </c>
      <c r="Q4897" s="30" t="str">
        <f t="shared" si="76"/>
        <v>MAX : 0.092
TARGET : 0.089
MIN : 0.086</v>
      </c>
      <c r="R4897" s="3" t="s">
        <v>1638</v>
      </c>
    </row>
    <row r="4898" spans="2:18" ht="41.4" x14ac:dyDescent="0.3">
      <c r="B4898">
        <v>0</v>
      </c>
      <c r="C4898" s="33">
        <v>9165</v>
      </c>
      <c r="D4898" s="2">
        <v>1481</v>
      </c>
      <c r="E4898" s="2" t="s">
        <v>12877</v>
      </c>
      <c r="F4898" s="3" t="s">
        <v>14206</v>
      </c>
      <c r="H4898" s="3" t="s">
        <v>426</v>
      </c>
      <c r="K4898" s="2">
        <v>20</v>
      </c>
      <c r="L4898" s="2">
        <v>9</v>
      </c>
      <c r="M4898" s="3" t="s">
        <v>5236</v>
      </c>
      <c r="N4898" s="3" t="s">
        <v>5233</v>
      </c>
      <c r="O4898" s="3" t="s">
        <v>5234</v>
      </c>
      <c r="P4898" s="3" t="s">
        <v>5235</v>
      </c>
      <c r="Q4898" s="30" t="str">
        <f t="shared" si="76"/>
        <v>MAX : 0.092
TARGET : 0.089
MIN : 0.086</v>
      </c>
      <c r="R4898" s="3" t="s">
        <v>1638</v>
      </c>
    </row>
    <row r="4899" spans="2:18" ht="41.4" x14ac:dyDescent="0.3">
      <c r="B4899">
        <v>0</v>
      </c>
      <c r="C4899" s="33">
        <v>9165</v>
      </c>
      <c r="D4899" s="2">
        <v>1481</v>
      </c>
      <c r="E4899" s="2" t="s">
        <v>12877</v>
      </c>
      <c r="F4899" s="3" t="s">
        <v>14206</v>
      </c>
      <c r="H4899" s="3" t="s">
        <v>426</v>
      </c>
      <c r="K4899" s="2">
        <v>20</v>
      </c>
      <c r="L4899" s="2">
        <v>11</v>
      </c>
      <c r="M4899" s="3" t="s">
        <v>5237</v>
      </c>
      <c r="N4899" s="3" t="s">
        <v>5229</v>
      </c>
      <c r="O4899" s="3" t="s">
        <v>5230</v>
      </c>
      <c r="P4899" s="3" t="s">
        <v>5231</v>
      </c>
      <c r="Q4899" s="30" t="str">
        <f t="shared" si="76"/>
        <v>MAX : 0.6565
TARGET : 0.6530
MIN : 0.6495</v>
      </c>
      <c r="R4899" s="3" t="s">
        <v>1638</v>
      </c>
    </row>
    <row r="4900" spans="2:18" ht="41.4" x14ac:dyDescent="0.3">
      <c r="B4900">
        <v>0</v>
      </c>
      <c r="C4900" s="33">
        <v>9165</v>
      </c>
      <c r="D4900" s="2">
        <v>1481</v>
      </c>
      <c r="E4900" s="2" t="s">
        <v>12877</v>
      </c>
      <c r="F4900" s="3" t="s">
        <v>14206</v>
      </c>
      <c r="H4900" s="3" t="s">
        <v>426</v>
      </c>
      <c r="K4900" s="2">
        <v>20</v>
      </c>
      <c r="L4900" s="2">
        <v>12</v>
      </c>
      <c r="M4900" s="3" t="s">
        <v>5238</v>
      </c>
      <c r="N4900" s="3" t="s">
        <v>5233</v>
      </c>
      <c r="O4900" s="3" t="s">
        <v>5234</v>
      </c>
      <c r="P4900" s="3" t="s">
        <v>5235</v>
      </c>
      <c r="Q4900" s="30" t="str">
        <f t="shared" si="76"/>
        <v>MAX : 0.092
TARGET : 0.089
MIN : 0.086</v>
      </c>
      <c r="R4900" s="3" t="s">
        <v>1638</v>
      </c>
    </row>
    <row r="4901" spans="2:18" ht="41.4" x14ac:dyDescent="0.3">
      <c r="B4901">
        <v>0</v>
      </c>
      <c r="C4901" s="33">
        <v>9165</v>
      </c>
      <c r="D4901" s="2">
        <v>1481</v>
      </c>
      <c r="E4901" s="2" t="s">
        <v>12877</v>
      </c>
      <c r="F4901" s="3" t="s">
        <v>14206</v>
      </c>
      <c r="H4901" s="3" t="s">
        <v>426</v>
      </c>
      <c r="K4901" s="2">
        <v>20</v>
      </c>
      <c r="L4901" s="2">
        <v>14</v>
      </c>
      <c r="M4901" s="3" t="s">
        <v>5239</v>
      </c>
      <c r="N4901" s="3" t="s">
        <v>5229</v>
      </c>
      <c r="O4901" s="3" t="s">
        <v>5230</v>
      </c>
      <c r="P4901" s="3" t="s">
        <v>5231</v>
      </c>
      <c r="Q4901" s="30" t="str">
        <f t="shared" si="76"/>
        <v>MAX : 0.6565
TARGET : 0.6530
MIN : 0.6495</v>
      </c>
      <c r="R4901" s="3" t="s">
        <v>1638</v>
      </c>
    </row>
    <row r="4902" spans="2:18" ht="41.4" x14ac:dyDescent="0.3">
      <c r="B4902">
        <v>0</v>
      </c>
      <c r="C4902" s="33">
        <v>9165</v>
      </c>
      <c r="D4902" s="2">
        <v>1481</v>
      </c>
      <c r="E4902" s="2" t="s">
        <v>12877</v>
      </c>
      <c r="F4902" s="3" t="s">
        <v>14206</v>
      </c>
      <c r="H4902" s="3" t="s">
        <v>426</v>
      </c>
      <c r="K4902" s="2">
        <v>20</v>
      </c>
      <c r="L4902" s="2">
        <v>20</v>
      </c>
      <c r="M4902" s="3" t="s">
        <v>4617</v>
      </c>
      <c r="N4902" s="3" t="s">
        <v>13</v>
      </c>
      <c r="O4902" s="3" t="s">
        <v>14</v>
      </c>
      <c r="Q4902" s="30" t="str">
        <f t="shared" si="76"/>
        <v>MAX : 
TARGET : Yes(Pass)
MIN : No(Fail)</v>
      </c>
      <c r="R4902" s="3" t="s">
        <v>1638</v>
      </c>
    </row>
    <row r="4903" spans="2:18" ht="41.4" x14ac:dyDescent="0.3">
      <c r="B4903">
        <v>0</v>
      </c>
      <c r="C4903" s="33">
        <v>9165</v>
      </c>
      <c r="D4903" s="2">
        <v>1481</v>
      </c>
      <c r="E4903" s="2" t="s">
        <v>12877</v>
      </c>
      <c r="F4903" s="3" t="s">
        <v>14206</v>
      </c>
      <c r="H4903" s="3" t="s">
        <v>426</v>
      </c>
      <c r="K4903" s="2">
        <v>20</v>
      </c>
      <c r="L4903" s="2">
        <v>21</v>
      </c>
      <c r="M4903" s="3" t="s">
        <v>4883</v>
      </c>
      <c r="N4903" s="3" t="s">
        <v>13</v>
      </c>
      <c r="O4903" s="3" t="s">
        <v>14</v>
      </c>
      <c r="Q4903" s="30" t="str">
        <f t="shared" si="76"/>
        <v>MAX : 
TARGET : Yes(Pass)
MIN : No(Fail)</v>
      </c>
      <c r="R4903" s="3" t="s">
        <v>1638</v>
      </c>
    </row>
    <row r="4904" spans="2:18" ht="41.4" x14ac:dyDescent="0.3">
      <c r="B4904">
        <v>0</v>
      </c>
      <c r="C4904" s="33">
        <v>9165</v>
      </c>
      <c r="D4904" s="2">
        <v>1481</v>
      </c>
      <c r="E4904" s="2" t="s">
        <v>12877</v>
      </c>
      <c r="F4904" s="3" t="s">
        <v>14206</v>
      </c>
      <c r="H4904" s="3" t="s">
        <v>426</v>
      </c>
      <c r="K4904" s="2">
        <v>20</v>
      </c>
      <c r="L4904" s="2">
        <v>3</v>
      </c>
      <c r="M4904" s="3" t="s">
        <v>5240</v>
      </c>
      <c r="N4904" s="3" t="s">
        <v>5241</v>
      </c>
      <c r="O4904" s="3" t="s">
        <v>5242</v>
      </c>
      <c r="P4904" s="3" t="s">
        <v>5243</v>
      </c>
      <c r="Q4904" s="30" t="str">
        <f t="shared" si="76"/>
        <v>MAX : 1.455
TARGET : 1.448
MIN : 1.441</v>
      </c>
      <c r="R4904" s="3" t="s">
        <v>1638</v>
      </c>
    </row>
    <row r="4905" spans="2:18" ht="41.4" x14ac:dyDescent="0.3">
      <c r="B4905">
        <v>0</v>
      </c>
      <c r="C4905" s="33">
        <v>9165</v>
      </c>
      <c r="D4905" s="2">
        <v>1481</v>
      </c>
      <c r="E4905" s="2" t="s">
        <v>12877</v>
      </c>
      <c r="F4905" s="3" t="s">
        <v>14206</v>
      </c>
      <c r="H4905" s="3" t="s">
        <v>426</v>
      </c>
      <c r="K4905" s="2">
        <v>20</v>
      </c>
      <c r="L4905" s="2">
        <v>4</v>
      </c>
      <c r="M4905" s="3" t="s">
        <v>5244</v>
      </c>
      <c r="N4905" s="3" t="s">
        <v>5245</v>
      </c>
      <c r="O4905" s="3" t="s">
        <v>5246</v>
      </c>
      <c r="P4905" s="3" t="s">
        <v>5247</v>
      </c>
      <c r="Q4905" s="30" t="str">
        <f t="shared" si="76"/>
        <v>MAX : 0.5805
TARGET : 0.5770
MIN : 0.5735</v>
      </c>
      <c r="R4905" s="3" t="s">
        <v>1638</v>
      </c>
    </row>
    <row r="4906" spans="2:18" ht="41.4" x14ac:dyDescent="0.3">
      <c r="B4906">
        <v>0</v>
      </c>
      <c r="C4906" s="33">
        <v>9165</v>
      </c>
      <c r="D4906" s="2">
        <v>1481</v>
      </c>
      <c r="E4906" s="2" t="s">
        <v>12877</v>
      </c>
      <c r="F4906" s="3" t="s">
        <v>14206</v>
      </c>
      <c r="H4906" s="3" t="s">
        <v>426</v>
      </c>
      <c r="K4906" s="2">
        <v>20</v>
      </c>
      <c r="L4906" s="2">
        <v>15</v>
      </c>
      <c r="M4906" s="3" t="s">
        <v>5248</v>
      </c>
      <c r="N4906" s="3" t="s">
        <v>4639</v>
      </c>
      <c r="O4906" s="3" t="s">
        <v>4641</v>
      </c>
      <c r="P4906" s="3" t="s">
        <v>5249</v>
      </c>
      <c r="Q4906" s="30" t="str">
        <f t="shared" si="76"/>
        <v>MAX : 0.192
TARGET : 0.182
MIN : 0.172</v>
      </c>
      <c r="R4906" s="3" t="s">
        <v>1638</v>
      </c>
    </row>
    <row r="4907" spans="2:18" ht="41.4" x14ac:dyDescent="0.3">
      <c r="B4907">
        <v>0</v>
      </c>
      <c r="C4907" s="33">
        <v>9165</v>
      </c>
      <c r="D4907" s="2">
        <v>1481</v>
      </c>
      <c r="E4907" s="2" t="s">
        <v>12877</v>
      </c>
      <c r="F4907" s="3" t="s">
        <v>14206</v>
      </c>
      <c r="H4907" s="3" t="s">
        <v>426</v>
      </c>
      <c r="K4907" s="2">
        <v>20</v>
      </c>
      <c r="L4907" s="2">
        <v>16</v>
      </c>
      <c r="M4907" s="3" t="s">
        <v>5250</v>
      </c>
      <c r="N4907" s="3" t="s">
        <v>5251</v>
      </c>
      <c r="O4907" s="3" t="s">
        <v>5252</v>
      </c>
      <c r="P4907" s="3" t="s">
        <v>5253</v>
      </c>
      <c r="Q4907" s="30" t="str">
        <f t="shared" si="76"/>
        <v>MAX : 0.0035
TARGET : 0.0000
MIN : -0.0035</v>
      </c>
      <c r="R4907" s="3" t="s">
        <v>1638</v>
      </c>
    </row>
    <row r="4908" spans="2:18" ht="41.4" x14ac:dyDescent="0.3">
      <c r="B4908">
        <v>1</v>
      </c>
      <c r="C4908" s="33">
        <v>9091</v>
      </c>
      <c r="D4908" s="2">
        <v>1435</v>
      </c>
      <c r="E4908" s="2" t="s">
        <v>12436</v>
      </c>
      <c r="F4908" s="3" t="s">
        <v>14207</v>
      </c>
      <c r="H4908" s="3" t="s">
        <v>504</v>
      </c>
      <c r="I4908" s="3" t="s">
        <v>575</v>
      </c>
      <c r="K4908" s="2">
        <v>20</v>
      </c>
      <c r="L4908" s="2">
        <v>1</v>
      </c>
      <c r="M4908" s="3" t="s">
        <v>194</v>
      </c>
      <c r="N4908" s="3" t="s">
        <v>4898</v>
      </c>
      <c r="O4908" s="3" t="s">
        <v>4899</v>
      </c>
      <c r="P4908" s="3" t="s">
        <v>3810</v>
      </c>
      <c r="Q4908" s="30" t="str">
        <f t="shared" si="76"/>
        <v>MAX : 35.10
TARGET : 34.85
MIN : 34.60</v>
      </c>
    </row>
    <row r="4909" spans="2:18" ht="41.4" x14ac:dyDescent="0.3">
      <c r="B4909">
        <v>1</v>
      </c>
      <c r="C4909" s="33">
        <v>9091</v>
      </c>
      <c r="D4909" s="2">
        <v>1435</v>
      </c>
      <c r="E4909" s="2" t="s">
        <v>12436</v>
      </c>
      <c r="F4909" s="3" t="s">
        <v>14207</v>
      </c>
      <c r="H4909" s="3" t="s">
        <v>504</v>
      </c>
      <c r="I4909" s="3" t="s">
        <v>575</v>
      </c>
      <c r="K4909" s="2">
        <v>10</v>
      </c>
      <c r="L4909" s="2">
        <v>1</v>
      </c>
      <c r="M4909" s="3" t="s">
        <v>4897</v>
      </c>
      <c r="N4909" s="3" t="s">
        <v>3800</v>
      </c>
      <c r="O4909" s="3" t="s">
        <v>3797</v>
      </c>
      <c r="P4909" s="3" t="s">
        <v>3817</v>
      </c>
      <c r="Q4909" s="30" t="str">
        <f t="shared" si="76"/>
        <v>MAX : 2.8
TARGET : 2.7
MIN : 2.6</v>
      </c>
    </row>
    <row r="4910" spans="2:18" ht="41.4" x14ac:dyDescent="0.3">
      <c r="B4910">
        <v>1</v>
      </c>
      <c r="C4910" s="33">
        <v>9092</v>
      </c>
      <c r="D4910" s="2">
        <v>1436</v>
      </c>
      <c r="E4910" s="2" t="s">
        <v>12442</v>
      </c>
      <c r="F4910" s="3" t="s">
        <v>14207</v>
      </c>
      <c r="H4910" s="3" t="s">
        <v>504</v>
      </c>
      <c r="K4910" s="2">
        <v>20</v>
      </c>
      <c r="L4910" s="2">
        <v>2</v>
      </c>
      <c r="M4910" s="3" t="s">
        <v>198</v>
      </c>
      <c r="N4910" s="3" t="s">
        <v>796</v>
      </c>
      <c r="O4910" s="3" t="s">
        <v>253</v>
      </c>
      <c r="P4910" s="3" t="s">
        <v>3547</v>
      </c>
      <c r="Q4910" s="30" t="str">
        <f t="shared" si="76"/>
        <v>MAX : 4.30
TARGET : 4.00
MIN : 3.70</v>
      </c>
    </row>
    <row r="4911" spans="2:18" ht="41.4" x14ac:dyDescent="0.3">
      <c r="B4911">
        <v>1</v>
      </c>
      <c r="C4911" s="33">
        <v>9092</v>
      </c>
      <c r="D4911" s="2">
        <v>1436</v>
      </c>
      <c r="E4911" s="2" t="s">
        <v>12442</v>
      </c>
      <c r="F4911" s="3" t="s">
        <v>14207</v>
      </c>
      <c r="H4911" s="3" t="s">
        <v>504</v>
      </c>
      <c r="K4911" s="2">
        <v>20</v>
      </c>
      <c r="L4911" s="2">
        <v>1</v>
      </c>
      <c r="M4911" s="3" t="s">
        <v>194</v>
      </c>
      <c r="N4911" s="3" t="s">
        <v>4888</v>
      </c>
      <c r="O4911" s="3" t="s">
        <v>1098</v>
      </c>
      <c r="P4911" s="3" t="s">
        <v>1824</v>
      </c>
      <c r="Q4911" s="30" t="str">
        <f t="shared" si="76"/>
        <v>MAX : 10.30
TARGET : 10.00
MIN : 9.70</v>
      </c>
    </row>
    <row r="4912" spans="2:18" ht="41.4" x14ac:dyDescent="0.3">
      <c r="B4912">
        <v>1</v>
      </c>
      <c r="C4912" s="33">
        <v>9093</v>
      </c>
      <c r="D4912" s="2">
        <v>1437</v>
      </c>
      <c r="E4912" s="2" t="s">
        <v>12448</v>
      </c>
      <c r="F4912" s="3" t="s">
        <v>14207</v>
      </c>
      <c r="H4912" s="3" t="s">
        <v>648</v>
      </c>
      <c r="K4912" s="2">
        <v>10</v>
      </c>
      <c r="L4912" s="2">
        <v>2</v>
      </c>
      <c r="M4912" s="3" t="s">
        <v>4877</v>
      </c>
      <c r="N4912" s="3" t="s">
        <v>2399</v>
      </c>
      <c r="O4912" s="3" t="s">
        <v>1670</v>
      </c>
      <c r="P4912" s="3" t="s">
        <v>4162</v>
      </c>
      <c r="Q4912" s="30" t="str">
        <f t="shared" si="76"/>
        <v>MAX : 19.05
TARGET : 12.70
MIN : 6.35</v>
      </c>
    </row>
    <row r="4913" spans="2:18" ht="41.4" x14ac:dyDescent="0.3">
      <c r="B4913">
        <v>1</v>
      </c>
      <c r="C4913" s="33">
        <v>9093</v>
      </c>
      <c r="D4913" s="2">
        <v>1437</v>
      </c>
      <c r="E4913" s="2" t="s">
        <v>12448</v>
      </c>
      <c r="F4913" s="3" t="s">
        <v>14207</v>
      </c>
      <c r="H4913" s="3" t="s">
        <v>648</v>
      </c>
      <c r="K4913" s="2">
        <v>10</v>
      </c>
      <c r="L4913" s="2">
        <v>1</v>
      </c>
      <c r="M4913" s="3" t="s">
        <v>1293</v>
      </c>
      <c r="N4913" s="3" t="s">
        <v>4874</v>
      </c>
      <c r="O4913" s="3" t="s">
        <v>4875</v>
      </c>
      <c r="P4913" s="3" t="s">
        <v>4876</v>
      </c>
      <c r="Q4913" s="30" t="str">
        <f t="shared" si="76"/>
        <v>MAX : 511.18
TARGET : 508.00
MIN : 504.82</v>
      </c>
    </row>
    <row r="4914" spans="2:18" ht="41.4" x14ac:dyDescent="0.3">
      <c r="B4914">
        <v>1</v>
      </c>
      <c r="C4914" s="33">
        <v>9094</v>
      </c>
      <c r="D4914" s="2">
        <v>1438</v>
      </c>
      <c r="E4914" s="2" t="s">
        <v>12455</v>
      </c>
      <c r="F4914" s="3" t="s">
        <v>14206</v>
      </c>
      <c r="H4914" s="3" t="s">
        <v>2857</v>
      </c>
      <c r="I4914" s="3" t="s">
        <v>487</v>
      </c>
      <c r="K4914" s="2">
        <v>10</v>
      </c>
      <c r="L4914" s="2">
        <v>2</v>
      </c>
      <c r="M4914" s="3" t="s">
        <v>198</v>
      </c>
      <c r="N4914" s="3" t="s">
        <v>488</v>
      </c>
      <c r="O4914" s="3" t="s">
        <v>76</v>
      </c>
      <c r="P4914" s="3" t="s">
        <v>489</v>
      </c>
      <c r="Q4914" s="30" t="str">
        <f t="shared" si="76"/>
        <v>MAX : 2.56
TARGET : 2.50
MIN : 2.44</v>
      </c>
    </row>
    <row r="4915" spans="2:18" ht="41.4" x14ac:dyDescent="0.3">
      <c r="B4915">
        <v>1</v>
      </c>
      <c r="C4915" s="33">
        <v>9094</v>
      </c>
      <c r="D4915" s="2">
        <v>1438</v>
      </c>
      <c r="E4915" s="2" t="s">
        <v>12455</v>
      </c>
      <c r="F4915" s="3" t="s">
        <v>14206</v>
      </c>
      <c r="H4915" s="3" t="s">
        <v>2857</v>
      </c>
      <c r="I4915" s="3" t="s">
        <v>487</v>
      </c>
      <c r="K4915" s="2">
        <v>10</v>
      </c>
      <c r="L4915" s="2">
        <v>1</v>
      </c>
      <c r="M4915" s="3" t="s">
        <v>194</v>
      </c>
      <c r="N4915" s="3" t="s">
        <v>767</v>
      </c>
      <c r="O4915" s="3" t="s">
        <v>253</v>
      </c>
      <c r="P4915" s="3" t="s">
        <v>129</v>
      </c>
      <c r="Q4915" s="30" t="str">
        <f t="shared" si="76"/>
        <v>MAX : 4.06
TARGET : 4.00
MIN : 3.94</v>
      </c>
    </row>
    <row r="4916" spans="2:18" ht="41.4" x14ac:dyDescent="0.3">
      <c r="B4916">
        <v>0</v>
      </c>
      <c r="C4916" s="33">
        <v>9168</v>
      </c>
      <c r="D4916" s="2">
        <v>1484</v>
      </c>
      <c r="E4916" s="2" t="s">
        <v>12894</v>
      </c>
      <c r="F4916" s="3" t="s">
        <v>14207</v>
      </c>
      <c r="H4916" s="3" t="s">
        <v>2361</v>
      </c>
      <c r="K4916" s="2">
        <v>10</v>
      </c>
      <c r="L4916" s="2">
        <v>2</v>
      </c>
      <c r="M4916" s="3" t="s">
        <v>328</v>
      </c>
      <c r="N4916" s="3" t="s">
        <v>576</v>
      </c>
      <c r="O4916" s="3" t="s">
        <v>2368</v>
      </c>
      <c r="P4916" s="3" t="s">
        <v>2369</v>
      </c>
      <c r="Q4916" s="30" t="str">
        <f t="shared" si="76"/>
        <v>MAX : 9.58
TARGET : 9.45
MIN : 9.32</v>
      </c>
      <c r="R4916" s="3" t="s">
        <v>3549</v>
      </c>
    </row>
    <row r="4917" spans="2:18" ht="41.4" x14ac:dyDescent="0.3">
      <c r="B4917">
        <v>0</v>
      </c>
      <c r="C4917" s="33">
        <v>9168</v>
      </c>
      <c r="D4917" s="2">
        <v>1484</v>
      </c>
      <c r="E4917" s="2" t="s">
        <v>12894</v>
      </c>
      <c r="F4917" s="3" t="s">
        <v>14207</v>
      </c>
      <c r="H4917" s="3" t="s">
        <v>2361</v>
      </c>
      <c r="K4917" s="2">
        <v>10</v>
      </c>
      <c r="L4917" s="2">
        <v>8</v>
      </c>
      <c r="M4917" s="3" t="s">
        <v>2370</v>
      </c>
      <c r="N4917" s="3" t="s">
        <v>2371</v>
      </c>
      <c r="O4917" s="3" t="s">
        <v>2233</v>
      </c>
      <c r="P4917" s="3" t="s">
        <v>2086</v>
      </c>
      <c r="Q4917" s="30" t="str">
        <f t="shared" si="76"/>
        <v>MAX : 2.34
TARGET : 2.09
MIN : 1.84</v>
      </c>
      <c r="R4917" s="3" t="s">
        <v>3549</v>
      </c>
    </row>
    <row r="4918" spans="2:18" ht="41.4" x14ac:dyDescent="0.3">
      <c r="B4918">
        <v>0</v>
      </c>
      <c r="C4918" s="33">
        <v>9168</v>
      </c>
      <c r="D4918" s="2">
        <v>1484</v>
      </c>
      <c r="E4918" s="2" t="s">
        <v>12894</v>
      </c>
      <c r="F4918" s="3" t="s">
        <v>14207</v>
      </c>
      <c r="H4918" s="3" t="s">
        <v>2361</v>
      </c>
      <c r="K4918" s="2">
        <v>10</v>
      </c>
      <c r="L4918" s="2">
        <v>11</v>
      </c>
      <c r="M4918" s="3" t="s">
        <v>2211</v>
      </c>
      <c r="N4918" s="3" t="s">
        <v>2372</v>
      </c>
      <c r="O4918" s="3" t="s">
        <v>2373</v>
      </c>
      <c r="P4918" s="3" t="s">
        <v>2374</v>
      </c>
      <c r="Q4918" s="30" t="str">
        <f t="shared" si="76"/>
        <v>MAX : 14.15
TARGET : 14.02
MIN : 13.89</v>
      </c>
      <c r="R4918" s="3" t="s">
        <v>3549</v>
      </c>
    </row>
    <row r="4919" spans="2:18" ht="41.4" x14ac:dyDescent="0.3">
      <c r="B4919">
        <v>0</v>
      </c>
      <c r="C4919" s="33">
        <v>9168</v>
      </c>
      <c r="D4919" s="2">
        <v>1484</v>
      </c>
      <c r="E4919" s="2" t="s">
        <v>12894</v>
      </c>
      <c r="F4919" s="3" t="s">
        <v>14207</v>
      </c>
      <c r="H4919" s="3" t="s">
        <v>2361</v>
      </c>
      <c r="K4919" s="2">
        <v>10</v>
      </c>
      <c r="L4919" s="2">
        <v>12</v>
      </c>
      <c r="M4919" s="3" t="s">
        <v>335</v>
      </c>
      <c r="N4919" s="3" t="s">
        <v>2375</v>
      </c>
      <c r="O4919" s="3" t="s">
        <v>2376</v>
      </c>
      <c r="P4919" s="3" t="s">
        <v>2377</v>
      </c>
      <c r="Q4919" s="30" t="str">
        <f t="shared" si="76"/>
        <v>MAX : 24.55
TARGET : 24.30
MIN : 24.05</v>
      </c>
      <c r="R4919" s="3" t="s">
        <v>3549</v>
      </c>
    </row>
    <row r="4920" spans="2:18" ht="41.4" x14ac:dyDescent="0.3">
      <c r="B4920">
        <v>0</v>
      </c>
      <c r="C4920" s="33">
        <v>9168</v>
      </c>
      <c r="D4920" s="2">
        <v>1484</v>
      </c>
      <c r="E4920" s="2" t="s">
        <v>12894</v>
      </c>
      <c r="F4920" s="3" t="s">
        <v>14207</v>
      </c>
      <c r="H4920" s="3" t="s">
        <v>2361</v>
      </c>
      <c r="K4920" s="2">
        <v>10</v>
      </c>
      <c r="L4920" s="2">
        <v>13</v>
      </c>
      <c r="M4920" s="3" t="s">
        <v>5256</v>
      </c>
      <c r="N4920" s="3" t="s">
        <v>2378</v>
      </c>
      <c r="O4920" s="3" t="s">
        <v>1966</v>
      </c>
      <c r="P4920" s="3" t="s">
        <v>2379</v>
      </c>
      <c r="Q4920" s="30" t="str">
        <f t="shared" si="76"/>
        <v>MAX : 7.15
TARGET : 6.90
MIN : 6.65</v>
      </c>
      <c r="R4920" s="3" t="s">
        <v>3549</v>
      </c>
    </row>
    <row r="4921" spans="2:18" ht="41.4" x14ac:dyDescent="0.3">
      <c r="B4921">
        <v>0</v>
      </c>
      <c r="C4921" s="33">
        <v>9168</v>
      </c>
      <c r="D4921" s="2">
        <v>1484</v>
      </c>
      <c r="E4921" s="2" t="s">
        <v>12894</v>
      </c>
      <c r="F4921" s="3" t="s">
        <v>14207</v>
      </c>
      <c r="H4921" s="3" t="s">
        <v>2361</v>
      </c>
      <c r="K4921" s="2">
        <v>10</v>
      </c>
      <c r="L4921" s="2">
        <v>6</v>
      </c>
      <c r="M4921" s="3" t="s">
        <v>351</v>
      </c>
      <c r="N4921" s="3" t="s">
        <v>2378</v>
      </c>
      <c r="O4921" s="3" t="s">
        <v>1966</v>
      </c>
      <c r="P4921" s="3" t="s">
        <v>2379</v>
      </c>
      <c r="Q4921" s="30" t="str">
        <f t="shared" si="76"/>
        <v>MAX : 7.15
TARGET : 6.90
MIN : 6.65</v>
      </c>
      <c r="R4921" s="3" t="s">
        <v>3549</v>
      </c>
    </row>
    <row r="4922" spans="2:18" ht="41.4" x14ac:dyDescent="0.3">
      <c r="B4922">
        <v>0</v>
      </c>
      <c r="C4922" s="33">
        <v>9168</v>
      </c>
      <c r="D4922" s="2">
        <v>1484</v>
      </c>
      <c r="E4922" s="2" t="s">
        <v>12894</v>
      </c>
      <c r="F4922" s="3" t="s">
        <v>14207</v>
      </c>
      <c r="H4922" s="3" t="s">
        <v>2361</v>
      </c>
      <c r="K4922" s="2">
        <v>10</v>
      </c>
      <c r="L4922" s="2">
        <v>5</v>
      </c>
      <c r="M4922" s="3" t="s">
        <v>2161</v>
      </c>
      <c r="N4922" s="3" t="s">
        <v>2381</v>
      </c>
      <c r="O4922" s="3" t="s">
        <v>1670</v>
      </c>
      <c r="P4922" s="3" t="s">
        <v>2382</v>
      </c>
      <c r="Q4922" s="30" t="str">
        <f t="shared" si="76"/>
        <v>MAX : 12.95
TARGET : 12.70
MIN : 12.45</v>
      </c>
      <c r="R4922" s="3" t="s">
        <v>3549</v>
      </c>
    </row>
    <row r="4923" spans="2:18" ht="41.4" x14ac:dyDescent="0.3">
      <c r="B4923">
        <v>0</v>
      </c>
      <c r="C4923" s="33">
        <v>9168</v>
      </c>
      <c r="D4923" s="2">
        <v>1484</v>
      </c>
      <c r="E4923" s="2" t="s">
        <v>12894</v>
      </c>
      <c r="F4923" s="3" t="s">
        <v>14207</v>
      </c>
      <c r="H4923" s="3" t="s">
        <v>2361</v>
      </c>
      <c r="K4923" s="2">
        <v>10</v>
      </c>
      <c r="L4923" s="2">
        <v>14</v>
      </c>
      <c r="M4923" s="3" t="s">
        <v>2383</v>
      </c>
      <c r="N4923" s="3" t="s">
        <v>2384</v>
      </c>
      <c r="O4923" s="3" t="s">
        <v>2385</v>
      </c>
      <c r="P4923" s="3" t="s">
        <v>2386</v>
      </c>
      <c r="Q4923" s="30" t="str">
        <f t="shared" si="76"/>
        <v>MAX : 38.35
TARGET : 38.10
MIN : 37.85</v>
      </c>
      <c r="R4923" s="3" t="s">
        <v>3549</v>
      </c>
    </row>
    <row r="4924" spans="2:18" ht="41.4" x14ac:dyDescent="0.3">
      <c r="B4924">
        <v>0</v>
      </c>
      <c r="C4924" s="33">
        <v>9168</v>
      </c>
      <c r="D4924" s="2">
        <v>1484</v>
      </c>
      <c r="E4924" s="2" t="s">
        <v>12894</v>
      </c>
      <c r="F4924" s="3" t="s">
        <v>14207</v>
      </c>
      <c r="H4924" s="3" t="s">
        <v>2361</v>
      </c>
      <c r="K4924" s="2">
        <v>10</v>
      </c>
      <c r="L4924" s="2">
        <v>16</v>
      </c>
      <c r="M4924" s="3" t="s">
        <v>2387</v>
      </c>
      <c r="O4924" s="3" t="s">
        <v>123</v>
      </c>
      <c r="P4924" s="3" t="s">
        <v>124</v>
      </c>
      <c r="Q4924" s="30" t="str">
        <f t="shared" si="76"/>
        <v xml:space="preserve">MAX : Yes (Fail)
TARGET : No (Pass)
MIN : </v>
      </c>
      <c r="R4924" s="3" t="s">
        <v>3549</v>
      </c>
    </row>
    <row r="4925" spans="2:18" ht="41.4" x14ac:dyDescent="0.3">
      <c r="B4925">
        <v>0</v>
      </c>
      <c r="C4925" s="33">
        <v>9168</v>
      </c>
      <c r="D4925" s="2">
        <v>1484</v>
      </c>
      <c r="E4925" s="2" t="s">
        <v>12894</v>
      </c>
      <c r="F4925" s="3" t="s">
        <v>14207</v>
      </c>
      <c r="H4925" s="3" t="s">
        <v>2361</v>
      </c>
      <c r="K4925" s="2">
        <v>10</v>
      </c>
      <c r="L4925" s="2">
        <v>17</v>
      </c>
      <c r="M4925" s="3" t="s">
        <v>2388</v>
      </c>
      <c r="O4925" s="3" t="s">
        <v>123</v>
      </c>
      <c r="P4925" s="3" t="s">
        <v>124</v>
      </c>
      <c r="Q4925" s="30" t="str">
        <f t="shared" si="76"/>
        <v xml:space="preserve">MAX : Yes (Fail)
TARGET : No (Pass)
MIN : </v>
      </c>
      <c r="R4925" s="3" t="s">
        <v>3549</v>
      </c>
    </row>
    <row r="4926" spans="2:18" ht="41.4" x14ac:dyDescent="0.3">
      <c r="B4926">
        <v>0</v>
      </c>
      <c r="C4926" s="33">
        <v>9168</v>
      </c>
      <c r="D4926" s="2">
        <v>1484</v>
      </c>
      <c r="E4926" s="2" t="s">
        <v>12894</v>
      </c>
      <c r="F4926" s="3" t="s">
        <v>14207</v>
      </c>
      <c r="H4926" s="3" t="s">
        <v>2361</v>
      </c>
      <c r="K4926" s="2">
        <v>10</v>
      </c>
      <c r="L4926" s="2">
        <v>18</v>
      </c>
      <c r="M4926" s="3" t="s">
        <v>2389</v>
      </c>
      <c r="N4926" s="3" t="s">
        <v>24</v>
      </c>
      <c r="O4926" s="3" t="s">
        <v>25</v>
      </c>
      <c r="Q4926" s="30" t="str">
        <f t="shared" si="76"/>
        <v>MAX : 
TARGET : Yes (Pass)
MIN : No (Fail)</v>
      </c>
      <c r="R4926" s="3" t="s">
        <v>3549</v>
      </c>
    </row>
    <row r="4927" spans="2:18" ht="41.4" x14ac:dyDescent="0.3">
      <c r="B4927">
        <v>0</v>
      </c>
      <c r="C4927" s="33">
        <v>9168</v>
      </c>
      <c r="D4927" s="2">
        <v>1484</v>
      </c>
      <c r="E4927" s="2" t="s">
        <v>12894</v>
      </c>
      <c r="F4927" s="3" t="s">
        <v>14207</v>
      </c>
      <c r="H4927" s="3" t="s">
        <v>2361</v>
      </c>
      <c r="K4927" s="2">
        <v>10</v>
      </c>
      <c r="L4927" s="2">
        <v>15</v>
      </c>
      <c r="M4927" s="3" t="s">
        <v>362</v>
      </c>
      <c r="O4927" s="3" t="s">
        <v>123</v>
      </c>
      <c r="P4927" s="3" t="s">
        <v>124</v>
      </c>
      <c r="Q4927" s="30" t="str">
        <f t="shared" si="76"/>
        <v xml:space="preserve">MAX : Yes (Fail)
TARGET : No (Pass)
MIN : </v>
      </c>
      <c r="R4927" s="3" t="s">
        <v>3549</v>
      </c>
    </row>
    <row r="4928" spans="2:18" ht="41.4" x14ac:dyDescent="0.3">
      <c r="B4928">
        <v>0</v>
      </c>
      <c r="C4928" s="33">
        <v>9168</v>
      </c>
      <c r="D4928" s="2">
        <v>1484</v>
      </c>
      <c r="E4928" s="2" t="s">
        <v>12894</v>
      </c>
      <c r="F4928" s="3" t="s">
        <v>14207</v>
      </c>
      <c r="H4928" s="3" t="s">
        <v>2361</v>
      </c>
      <c r="K4928" s="2">
        <v>10</v>
      </c>
      <c r="L4928" s="2">
        <v>3</v>
      </c>
      <c r="M4928" s="3" t="s">
        <v>2390</v>
      </c>
      <c r="N4928" s="3" t="s">
        <v>2391</v>
      </c>
      <c r="O4928" s="3" t="s">
        <v>1905</v>
      </c>
      <c r="P4928" s="3" t="s">
        <v>427</v>
      </c>
      <c r="Q4928" s="30" t="str">
        <f t="shared" si="76"/>
        <v>MAX : 1.65
TARGET : 1.40
MIN : 1.15</v>
      </c>
      <c r="R4928" s="3" t="s">
        <v>3549</v>
      </c>
    </row>
    <row r="4929" spans="2:18" ht="41.4" x14ac:dyDescent="0.3">
      <c r="B4929">
        <v>0</v>
      </c>
      <c r="C4929" s="33">
        <v>9168</v>
      </c>
      <c r="D4929" s="2">
        <v>1484</v>
      </c>
      <c r="E4929" s="2" t="s">
        <v>12894</v>
      </c>
      <c r="F4929" s="3" t="s">
        <v>14207</v>
      </c>
      <c r="H4929" s="3" t="s">
        <v>2361</v>
      </c>
      <c r="K4929" s="2">
        <v>10</v>
      </c>
      <c r="L4929" s="2">
        <v>10</v>
      </c>
      <c r="M4929" s="3" t="s">
        <v>2392</v>
      </c>
      <c r="N4929" s="3" t="s">
        <v>2371</v>
      </c>
      <c r="O4929" s="3" t="s">
        <v>2233</v>
      </c>
      <c r="P4929" s="3" t="s">
        <v>2086</v>
      </c>
      <c r="Q4929" s="30" t="str">
        <f t="shared" si="76"/>
        <v>MAX : 2.34
TARGET : 2.09
MIN : 1.84</v>
      </c>
      <c r="R4929" s="3" t="s">
        <v>3549</v>
      </c>
    </row>
    <row r="4930" spans="2:18" ht="41.4" x14ac:dyDescent="0.3">
      <c r="B4930">
        <v>0</v>
      </c>
      <c r="C4930" s="33">
        <v>9168</v>
      </c>
      <c r="D4930" s="2">
        <v>1484</v>
      </c>
      <c r="E4930" s="2" t="s">
        <v>12894</v>
      </c>
      <c r="F4930" s="3" t="s">
        <v>14207</v>
      </c>
      <c r="H4930" s="3" t="s">
        <v>2361</v>
      </c>
      <c r="K4930" s="2">
        <v>10</v>
      </c>
      <c r="L4930" s="2">
        <v>9</v>
      </c>
      <c r="M4930" s="3" t="s">
        <v>2393</v>
      </c>
      <c r="N4930" s="3" t="s">
        <v>2394</v>
      </c>
      <c r="O4930" s="3" t="s">
        <v>2395</v>
      </c>
      <c r="P4930" s="3" t="s">
        <v>2396</v>
      </c>
      <c r="Q4930" s="30" t="str">
        <f t="shared" ref="Q4930:Q4993" si="77">"MAX : " &amp; P4930 &amp; CHAR(10) &amp; "TARGET : " &amp; O4930 &amp; CHAR(10) &amp; "MIN : " &amp; N4930</f>
        <v>MAX : 18.45
TARGET : 18.20
MIN : 17.95</v>
      </c>
      <c r="R4930" s="3" t="s">
        <v>3549</v>
      </c>
    </row>
    <row r="4931" spans="2:18" ht="41.4" x14ac:dyDescent="0.3">
      <c r="B4931">
        <v>0</v>
      </c>
      <c r="C4931" s="33">
        <v>9168</v>
      </c>
      <c r="D4931" s="2">
        <v>1484</v>
      </c>
      <c r="E4931" s="2" t="s">
        <v>12894</v>
      </c>
      <c r="F4931" s="3" t="s">
        <v>14207</v>
      </c>
      <c r="H4931" s="3" t="s">
        <v>2361</v>
      </c>
      <c r="K4931" s="2">
        <v>10</v>
      </c>
      <c r="L4931" s="2">
        <v>7</v>
      </c>
      <c r="M4931" s="3" t="s">
        <v>2215</v>
      </c>
      <c r="N4931" s="3" t="s">
        <v>2397</v>
      </c>
      <c r="O4931" s="3" t="s">
        <v>2398</v>
      </c>
      <c r="P4931" s="3" t="s">
        <v>2399</v>
      </c>
      <c r="Q4931" s="30" t="str">
        <f t="shared" si="77"/>
        <v>MAX : 6.35
TARGET : 6.10
MIN : 5.85</v>
      </c>
      <c r="R4931" s="3" t="s">
        <v>3549</v>
      </c>
    </row>
    <row r="4932" spans="2:18" ht="41.4" x14ac:dyDescent="0.3">
      <c r="B4932">
        <v>0</v>
      </c>
      <c r="C4932" s="33">
        <v>9168</v>
      </c>
      <c r="D4932" s="2">
        <v>1484</v>
      </c>
      <c r="E4932" s="2" t="s">
        <v>12894</v>
      </c>
      <c r="F4932" s="3" t="s">
        <v>14207</v>
      </c>
      <c r="H4932" s="3" t="s">
        <v>2361</v>
      </c>
      <c r="K4932" s="2">
        <v>10</v>
      </c>
      <c r="L4932" s="2">
        <v>19</v>
      </c>
      <c r="M4932" s="3" t="s">
        <v>4887</v>
      </c>
      <c r="N4932" s="3" t="s">
        <v>360</v>
      </c>
      <c r="O4932" s="3" t="s">
        <v>359</v>
      </c>
      <c r="Q4932" s="30" t="str">
        <f t="shared" si="77"/>
        <v>MAX : 
TARGET : Pass
MIN : Fail</v>
      </c>
      <c r="R4932" s="3" t="s">
        <v>3549</v>
      </c>
    </row>
    <row r="4933" spans="2:18" ht="41.4" x14ac:dyDescent="0.3">
      <c r="B4933">
        <v>1</v>
      </c>
      <c r="C4933" s="33">
        <v>9095</v>
      </c>
      <c r="D4933" s="2">
        <v>2066</v>
      </c>
      <c r="E4933" s="2" t="s">
        <v>12462</v>
      </c>
      <c r="F4933" s="3" t="s">
        <v>14206</v>
      </c>
      <c r="H4933" s="3" t="s">
        <v>4246</v>
      </c>
      <c r="K4933" s="2">
        <v>10</v>
      </c>
      <c r="L4933" s="2">
        <v>2</v>
      </c>
      <c r="M4933" s="3" t="s">
        <v>4889</v>
      </c>
      <c r="N4933" s="3" t="s">
        <v>13</v>
      </c>
      <c r="O4933" s="3" t="s">
        <v>14</v>
      </c>
      <c r="Q4933" s="30" t="str">
        <f t="shared" si="77"/>
        <v>MAX : 
TARGET : Yes(Pass)
MIN : No(Fail)</v>
      </c>
    </row>
    <row r="4934" spans="2:18" ht="41.4" x14ac:dyDescent="0.3">
      <c r="B4934">
        <v>1</v>
      </c>
      <c r="C4934" s="33">
        <v>9095</v>
      </c>
      <c r="D4934" s="2">
        <v>2066</v>
      </c>
      <c r="E4934" s="2" t="s">
        <v>12462</v>
      </c>
      <c r="F4934" s="3" t="s">
        <v>14206</v>
      </c>
      <c r="H4934" s="3" t="s">
        <v>4246</v>
      </c>
      <c r="K4934" s="2">
        <v>10</v>
      </c>
      <c r="L4934" s="2">
        <v>1</v>
      </c>
      <c r="M4934" s="3" t="s">
        <v>570</v>
      </c>
      <c r="N4934" s="3" t="s">
        <v>148</v>
      </c>
      <c r="O4934" s="3" t="s">
        <v>649</v>
      </c>
      <c r="P4934" s="3" t="s">
        <v>149</v>
      </c>
      <c r="Q4934" s="30" t="str">
        <f t="shared" si="77"/>
        <v>MAX : 12.00
TARGET : 11.875
MIN : 11.75</v>
      </c>
    </row>
    <row r="4935" spans="2:18" ht="41.4" x14ac:dyDescent="0.3">
      <c r="B4935">
        <v>0</v>
      </c>
      <c r="C4935" s="33">
        <v>9062</v>
      </c>
      <c r="D4935" s="2">
        <v>1416</v>
      </c>
      <c r="E4935" s="2" t="s">
        <v>12249</v>
      </c>
      <c r="F4935" s="29" t="s">
        <v>14258</v>
      </c>
      <c r="H4935" s="3" t="s">
        <v>648</v>
      </c>
      <c r="K4935" s="2">
        <v>0</v>
      </c>
      <c r="L4935" s="2">
        <v>3</v>
      </c>
      <c r="M4935" s="3" t="s">
        <v>5265</v>
      </c>
      <c r="N4935" s="3" t="s">
        <v>5266</v>
      </c>
      <c r="O4935" s="3" t="s">
        <v>5267</v>
      </c>
      <c r="P4935" s="3" t="s">
        <v>5268</v>
      </c>
      <c r="Q4935" s="30" t="str">
        <f t="shared" si="77"/>
        <v>MAX : .063
TARGET : .058
MIN : .053</v>
      </c>
      <c r="R4935" s="3" t="s">
        <v>5260</v>
      </c>
    </row>
    <row r="4936" spans="2:18" ht="41.4" x14ac:dyDescent="0.3">
      <c r="B4936">
        <v>0</v>
      </c>
      <c r="C4936" s="33">
        <v>9062</v>
      </c>
      <c r="D4936" s="2">
        <v>1416</v>
      </c>
      <c r="E4936" s="2" t="s">
        <v>12249</v>
      </c>
      <c r="F4936" s="29" t="s">
        <v>14258</v>
      </c>
      <c r="H4936" s="3" t="s">
        <v>648</v>
      </c>
      <c r="K4936" s="2">
        <v>0</v>
      </c>
      <c r="L4936" s="2">
        <v>4</v>
      </c>
      <c r="M4936" s="3" t="s">
        <v>5269</v>
      </c>
      <c r="N4936" s="3" t="s">
        <v>5270</v>
      </c>
      <c r="O4936" s="3" t="s">
        <v>5271</v>
      </c>
      <c r="P4936" s="3" t="s">
        <v>684</v>
      </c>
      <c r="Q4936" s="30" t="str">
        <f t="shared" si="77"/>
        <v>MAX : .140
TARGET : .127
MIN : .114</v>
      </c>
      <c r="R4936" s="3" t="s">
        <v>5260</v>
      </c>
    </row>
    <row r="4937" spans="2:18" ht="41.4" x14ac:dyDescent="0.3">
      <c r="B4937">
        <v>0</v>
      </c>
      <c r="C4937" s="33">
        <v>9062</v>
      </c>
      <c r="D4937" s="2">
        <v>1416</v>
      </c>
      <c r="E4937" s="2" t="s">
        <v>12249</v>
      </c>
      <c r="F4937" s="29" t="s">
        <v>14258</v>
      </c>
      <c r="H4937" s="3" t="s">
        <v>648</v>
      </c>
      <c r="K4937" s="2">
        <v>0</v>
      </c>
      <c r="L4937" s="2">
        <v>5</v>
      </c>
      <c r="M4937" s="3" t="s">
        <v>5272</v>
      </c>
      <c r="N4937" s="3" t="s">
        <v>5273</v>
      </c>
      <c r="O4937" s="3" t="s">
        <v>5274</v>
      </c>
      <c r="P4937" s="3" t="s">
        <v>3496</v>
      </c>
      <c r="Q4937" s="30" t="str">
        <f t="shared" si="77"/>
        <v>MAX : .145
TARGET : .132
MIN : .119</v>
      </c>
      <c r="R4937" s="3" t="s">
        <v>5260</v>
      </c>
    </row>
    <row r="4938" spans="2:18" ht="41.4" x14ac:dyDescent="0.3">
      <c r="B4938">
        <v>0</v>
      </c>
      <c r="C4938" s="33">
        <v>9062</v>
      </c>
      <c r="D4938" s="2">
        <v>1416</v>
      </c>
      <c r="E4938" s="2" t="s">
        <v>12249</v>
      </c>
      <c r="F4938" s="29" t="s">
        <v>14258</v>
      </c>
      <c r="H4938" s="3" t="s">
        <v>648</v>
      </c>
      <c r="K4938" s="2">
        <v>0</v>
      </c>
      <c r="L4938" s="2">
        <v>6</v>
      </c>
      <c r="M4938" s="3" t="s">
        <v>5275</v>
      </c>
      <c r="N4938" s="3" t="s">
        <v>2933</v>
      </c>
      <c r="O4938" s="3" t="s">
        <v>5276</v>
      </c>
      <c r="P4938" s="3" t="s">
        <v>5277</v>
      </c>
      <c r="Q4938" s="30" t="str">
        <f t="shared" si="77"/>
        <v>MAX : .20
TARGET : .18
MIN : .16</v>
      </c>
      <c r="R4938" s="3" t="s">
        <v>5260</v>
      </c>
    </row>
    <row r="4939" spans="2:18" ht="41.4" x14ac:dyDescent="0.3">
      <c r="B4939">
        <v>0</v>
      </c>
      <c r="C4939" s="33">
        <v>9062</v>
      </c>
      <c r="D4939" s="2">
        <v>1416</v>
      </c>
      <c r="E4939" s="2" t="s">
        <v>12249</v>
      </c>
      <c r="F4939" s="29" t="s">
        <v>14258</v>
      </c>
      <c r="H4939" s="3" t="s">
        <v>648</v>
      </c>
      <c r="K4939" s="2">
        <v>0</v>
      </c>
      <c r="L4939" s="2">
        <v>9</v>
      </c>
      <c r="M4939" s="3" t="s">
        <v>5278</v>
      </c>
      <c r="N4939" s="3" t="s">
        <v>5279</v>
      </c>
      <c r="O4939" s="3" t="s">
        <v>5280</v>
      </c>
      <c r="P4939" s="3" t="s">
        <v>5281</v>
      </c>
      <c r="Q4939" s="30" t="str">
        <f t="shared" si="77"/>
        <v>MAX : .028
TARGET : .025
MIN : .022</v>
      </c>
      <c r="R4939" s="3" t="s">
        <v>5260</v>
      </c>
    </row>
    <row r="4940" spans="2:18" ht="41.4" x14ac:dyDescent="0.3">
      <c r="B4940">
        <v>0</v>
      </c>
      <c r="C4940" s="33">
        <v>9062</v>
      </c>
      <c r="D4940" s="2">
        <v>1416</v>
      </c>
      <c r="E4940" s="2" t="s">
        <v>12249</v>
      </c>
      <c r="F4940" s="29" t="s">
        <v>14258</v>
      </c>
      <c r="H4940" s="3" t="s">
        <v>648</v>
      </c>
      <c r="K4940" s="2">
        <v>0</v>
      </c>
      <c r="L4940" s="2">
        <v>10</v>
      </c>
      <c r="M4940" s="3" t="s">
        <v>5282</v>
      </c>
      <c r="N4940" s="3" t="s">
        <v>5258</v>
      </c>
      <c r="O4940" s="3" t="s">
        <v>5283</v>
      </c>
      <c r="P4940" s="3" t="s">
        <v>5284</v>
      </c>
      <c r="Q4940" s="30" t="str">
        <f t="shared" si="77"/>
        <v>MAX : .055
TARGET : .050
MIN : .045</v>
      </c>
      <c r="R4940" s="3" t="s">
        <v>5260</v>
      </c>
    </row>
    <row r="4941" spans="2:18" ht="41.4" x14ac:dyDescent="0.3">
      <c r="B4941">
        <v>0</v>
      </c>
      <c r="C4941" s="33">
        <v>9062</v>
      </c>
      <c r="D4941" s="2">
        <v>1416</v>
      </c>
      <c r="E4941" s="2" t="s">
        <v>12249</v>
      </c>
      <c r="F4941" s="29" t="s">
        <v>14258</v>
      </c>
      <c r="H4941" s="3" t="s">
        <v>648</v>
      </c>
      <c r="K4941" s="2">
        <v>70</v>
      </c>
      <c r="L4941" s="2">
        <v>1</v>
      </c>
      <c r="M4941" s="3" t="s">
        <v>5285</v>
      </c>
      <c r="N4941" s="3" t="s">
        <v>5286</v>
      </c>
      <c r="O4941" s="3" t="s">
        <v>5287</v>
      </c>
      <c r="P4941" s="3" t="s">
        <v>5288</v>
      </c>
      <c r="Q4941" s="30" t="str">
        <f t="shared" si="77"/>
        <v>MAX : 13.15
TARGET : 13.0
MIN : 12.85</v>
      </c>
      <c r="R4941" s="3" t="s">
        <v>5260</v>
      </c>
    </row>
    <row r="4942" spans="2:18" ht="41.4" x14ac:dyDescent="0.3">
      <c r="B4942">
        <v>0</v>
      </c>
      <c r="C4942" s="33">
        <v>9062</v>
      </c>
      <c r="D4942" s="2">
        <v>1416</v>
      </c>
      <c r="E4942" s="2" t="s">
        <v>12249</v>
      </c>
      <c r="F4942" s="29" t="s">
        <v>14258</v>
      </c>
      <c r="H4942" s="3" t="s">
        <v>648</v>
      </c>
      <c r="K4942" s="2">
        <v>70</v>
      </c>
      <c r="L4942" s="2">
        <v>2</v>
      </c>
      <c r="M4942" s="3" t="s">
        <v>5289</v>
      </c>
      <c r="N4942" s="3" t="s">
        <v>292</v>
      </c>
      <c r="O4942" s="3" t="s">
        <v>3170</v>
      </c>
      <c r="P4942" s="3" t="s">
        <v>3170</v>
      </c>
      <c r="Q4942" s="30" t="str">
        <f t="shared" si="77"/>
        <v>MAX : 4.9
TARGET : 4.9
MIN : 4.75</v>
      </c>
      <c r="R4942" s="3" t="s">
        <v>5260</v>
      </c>
    </row>
    <row r="4943" spans="2:18" ht="41.4" x14ac:dyDescent="0.3">
      <c r="B4943">
        <v>0</v>
      </c>
      <c r="C4943" s="33">
        <v>9062</v>
      </c>
      <c r="D4943" s="2">
        <v>1416</v>
      </c>
      <c r="E4943" s="2" t="s">
        <v>12249</v>
      </c>
      <c r="F4943" s="29" t="s">
        <v>14258</v>
      </c>
      <c r="H4943" s="3" t="s">
        <v>648</v>
      </c>
      <c r="K4943" s="2">
        <v>70</v>
      </c>
      <c r="L4943" s="2">
        <v>3</v>
      </c>
      <c r="M4943" s="3" t="s">
        <v>5290</v>
      </c>
      <c r="N4943" s="3" t="s">
        <v>3797</v>
      </c>
      <c r="O4943" s="3" t="s">
        <v>4530</v>
      </c>
      <c r="P4943" s="3" t="s">
        <v>4523</v>
      </c>
      <c r="Q4943" s="30" t="str">
        <f t="shared" si="77"/>
        <v>MAX : 3.3
TARGET : 3.0
MIN : 2.7</v>
      </c>
      <c r="R4943" s="3" t="s">
        <v>5260</v>
      </c>
    </row>
    <row r="4944" spans="2:18" ht="41.4" x14ac:dyDescent="0.3">
      <c r="B4944">
        <v>0</v>
      </c>
      <c r="C4944" s="33">
        <v>9062</v>
      </c>
      <c r="D4944" s="2">
        <v>1416</v>
      </c>
      <c r="E4944" s="2" t="s">
        <v>12249</v>
      </c>
      <c r="F4944" s="29" t="s">
        <v>14258</v>
      </c>
      <c r="H4944" s="3" t="s">
        <v>648</v>
      </c>
      <c r="K4944" s="2">
        <v>70</v>
      </c>
      <c r="L4944" s="2">
        <v>4</v>
      </c>
      <c r="M4944" s="3" t="s">
        <v>5291</v>
      </c>
      <c r="N4944" s="3" t="s">
        <v>3797</v>
      </c>
      <c r="O4944" s="3" t="s">
        <v>4530</v>
      </c>
      <c r="P4944" s="3" t="s">
        <v>4523</v>
      </c>
      <c r="Q4944" s="30" t="str">
        <f t="shared" si="77"/>
        <v>MAX : 3.3
TARGET : 3.0
MIN : 2.7</v>
      </c>
      <c r="R4944" s="3" t="s">
        <v>5260</v>
      </c>
    </row>
    <row r="4945" spans="2:18" ht="41.4" x14ac:dyDescent="0.3">
      <c r="B4945">
        <v>0</v>
      </c>
      <c r="C4945" s="33">
        <v>9062</v>
      </c>
      <c r="D4945" s="2">
        <v>1416</v>
      </c>
      <c r="E4945" s="2" t="s">
        <v>12249</v>
      </c>
      <c r="F4945" s="29" t="s">
        <v>14258</v>
      </c>
      <c r="H4945" s="3" t="s">
        <v>648</v>
      </c>
      <c r="K4945" s="2">
        <v>70</v>
      </c>
      <c r="L4945" s="2">
        <v>5</v>
      </c>
      <c r="M4945" s="3" t="s">
        <v>5292</v>
      </c>
      <c r="N4945" s="3" t="s">
        <v>5293</v>
      </c>
      <c r="O4945" s="3" t="s">
        <v>388</v>
      </c>
      <c r="P4945" s="3" t="s">
        <v>4226</v>
      </c>
      <c r="Q4945" s="30" t="str">
        <f t="shared" si="77"/>
        <v>MAX : 6.08
TARGET : 6.0
MIN : 5.92</v>
      </c>
      <c r="R4945" s="3" t="s">
        <v>5260</v>
      </c>
    </row>
    <row r="4946" spans="2:18" ht="41.4" x14ac:dyDescent="0.3">
      <c r="B4946">
        <v>0</v>
      </c>
      <c r="C4946" s="33">
        <v>9062</v>
      </c>
      <c r="D4946" s="2">
        <v>1416</v>
      </c>
      <c r="E4946" s="2" t="s">
        <v>12249</v>
      </c>
      <c r="F4946" s="29" t="s">
        <v>14258</v>
      </c>
      <c r="H4946" s="3" t="s">
        <v>648</v>
      </c>
      <c r="K4946" s="2">
        <v>70</v>
      </c>
      <c r="L4946" s="2">
        <v>6</v>
      </c>
      <c r="M4946" s="3" t="s">
        <v>5294</v>
      </c>
      <c r="N4946" s="3" t="s">
        <v>1495</v>
      </c>
      <c r="O4946" s="3" t="s">
        <v>5295</v>
      </c>
      <c r="P4946" s="3" t="s">
        <v>5296</v>
      </c>
      <c r="Q4946" s="30" t="str">
        <f t="shared" si="77"/>
        <v>MAX : 1.0
TARGET : 0.5
MIN : 0.0</v>
      </c>
      <c r="R4946" s="3" t="s">
        <v>5260</v>
      </c>
    </row>
    <row r="4947" spans="2:18" ht="41.4" x14ac:dyDescent="0.3">
      <c r="B4947">
        <v>0</v>
      </c>
      <c r="C4947" s="33">
        <v>9062</v>
      </c>
      <c r="D4947" s="2">
        <v>1416</v>
      </c>
      <c r="E4947" s="2" t="s">
        <v>12249</v>
      </c>
      <c r="F4947" s="29" t="s">
        <v>14258</v>
      </c>
      <c r="H4947" s="3" t="s">
        <v>648</v>
      </c>
      <c r="K4947" s="2">
        <v>70</v>
      </c>
      <c r="L4947" s="2">
        <v>7</v>
      </c>
      <c r="M4947" s="3" t="s">
        <v>5297</v>
      </c>
      <c r="N4947" s="3" t="s">
        <v>5298</v>
      </c>
      <c r="O4947" s="3" t="s">
        <v>5299</v>
      </c>
      <c r="P4947" s="3" t="s">
        <v>5300</v>
      </c>
      <c r="Q4947" s="30" t="str">
        <f t="shared" si="77"/>
        <v>MAX : .67
TARGET : .62
MIN : .57</v>
      </c>
      <c r="R4947" s="3" t="s">
        <v>5260</v>
      </c>
    </row>
    <row r="4948" spans="2:18" ht="41.4" x14ac:dyDescent="0.3">
      <c r="B4948">
        <v>0</v>
      </c>
      <c r="C4948" s="33">
        <v>9062</v>
      </c>
      <c r="D4948" s="2">
        <v>1416</v>
      </c>
      <c r="E4948" s="2" t="s">
        <v>12249</v>
      </c>
      <c r="F4948" s="29" t="s">
        <v>14258</v>
      </c>
      <c r="H4948" s="3" t="s">
        <v>648</v>
      </c>
      <c r="K4948" s="2">
        <v>70</v>
      </c>
      <c r="L4948" s="2">
        <v>8</v>
      </c>
      <c r="M4948" s="3" t="s">
        <v>5301</v>
      </c>
      <c r="N4948" s="3" t="s">
        <v>5298</v>
      </c>
      <c r="O4948" s="3" t="s">
        <v>5299</v>
      </c>
      <c r="P4948" s="3" t="s">
        <v>5300</v>
      </c>
      <c r="Q4948" s="30" t="str">
        <f t="shared" si="77"/>
        <v>MAX : .67
TARGET : .62
MIN : .57</v>
      </c>
      <c r="R4948" s="3" t="s">
        <v>5260</v>
      </c>
    </row>
    <row r="4949" spans="2:18" ht="41.4" x14ac:dyDescent="0.3">
      <c r="B4949">
        <v>0</v>
      </c>
      <c r="C4949" s="33">
        <v>9062</v>
      </c>
      <c r="D4949" s="2">
        <v>1416</v>
      </c>
      <c r="E4949" s="2" t="s">
        <v>12249</v>
      </c>
      <c r="F4949" s="29" t="s">
        <v>14258</v>
      </c>
      <c r="H4949" s="3" t="s">
        <v>648</v>
      </c>
      <c r="K4949" s="2">
        <v>70</v>
      </c>
      <c r="L4949" s="2">
        <v>10</v>
      </c>
      <c r="M4949" s="3" t="s">
        <v>5302</v>
      </c>
      <c r="N4949" s="3" t="s">
        <v>5303</v>
      </c>
      <c r="O4949" s="3" t="s">
        <v>5263</v>
      </c>
      <c r="P4949" s="3" t="s">
        <v>5304</v>
      </c>
      <c r="Q4949" s="30" t="str">
        <f t="shared" si="77"/>
        <v>MAX : N/A
TARGET : .33
MIN : .29</v>
      </c>
      <c r="R4949" s="3" t="s">
        <v>5260</v>
      </c>
    </row>
    <row r="4950" spans="2:18" ht="41.4" x14ac:dyDescent="0.3">
      <c r="B4950">
        <v>0</v>
      </c>
      <c r="C4950" s="33">
        <v>9062</v>
      </c>
      <c r="D4950" s="2">
        <v>1416</v>
      </c>
      <c r="E4950" s="2" t="s">
        <v>12249</v>
      </c>
      <c r="F4950" s="29" t="s">
        <v>14258</v>
      </c>
      <c r="H4950" s="3" t="s">
        <v>648</v>
      </c>
      <c r="K4950" s="2">
        <v>70</v>
      </c>
      <c r="L4950" s="2">
        <v>11</v>
      </c>
      <c r="M4950" s="3" t="s">
        <v>5305</v>
      </c>
      <c r="N4950" s="3" t="s">
        <v>5306</v>
      </c>
      <c r="O4950" s="3" t="s">
        <v>5307</v>
      </c>
      <c r="P4950" s="3" t="s">
        <v>5304</v>
      </c>
      <c r="Q4950" s="30" t="str">
        <f t="shared" si="77"/>
        <v>MAX : N/A
TARGET : .255
MIN : .220</v>
      </c>
      <c r="R4950" s="3" t="s">
        <v>5260</v>
      </c>
    </row>
    <row r="4951" spans="2:18" ht="41.4" x14ac:dyDescent="0.3">
      <c r="B4951">
        <v>0</v>
      </c>
      <c r="C4951" s="33">
        <v>9062</v>
      </c>
      <c r="D4951" s="2">
        <v>1416</v>
      </c>
      <c r="E4951" s="2" t="s">
        <v>12249</v>
      </c>
      <c r="F4951" s="29" t="s">
        <v>14258</v>
      </c>
      <c r="H4951" s="3" t="s">
        <v>648</v>
      </c>
      <c r="K4951" s="2">
        <v>70</v>
      </c>
      <c r="L4951" s="2">
        <v>12</v>
      </c>
      <c r="M4951" s="3" t="s">
        <v>5308</v>
      </c>
      <c r="N4951" s="3" t="s">
        <v>24</v>
      </c>
      <c r="O4951" s="3" t="s">
        <v>25</v>
      </c>
      <c r="Q4951" s="30" t="str">
        <f t="shared" si="77"/>
        <v>MAX : 
TARGET : Yes (Pass)
MIN : No (Fail)</v>
      </c>
      <c r="R4951" s="3" t="s">
        <v>5260</v>
      </c>
    </row>
    <row r="4952" spans="2:18" ht="41.4" x14ac:dyDescent="0.3">
      <c r="B4952">
        <v>0</v>
      </c>
      <c r="C4952" s="33">
        <v>9062</v>
      </c>
      <c r="D4952" s="2">
        <v>1416</v>
      </c>
      <c r="E4952" s="2" t="s">
        <v>12249</v>
      </c>
      <c r="F4952" s="29" t="s">
        <v>14258</v>
      </c>
      <c r="H4952" s="3" t="s">
        <v>648</v>
      </c>
      <c r="K4952" s="2">
        <v>80</v>
      </c>
      <c r="L4952" s="2">
        <v>1</v>
      </c>
      <c r="M4952" s="3" t="s">
        <v>5285</v>
      </c>
      <c r="N4952" s="3" t="s">
        <v>5286</v>
      </c>
      <c r="O4952" s="3" t="s">
        <v>196</v>
      </c>
      <c r="P4952" s="3" t="s">
        <v>5288</v>
      </c>
      <c r="Q4952" s="30" t="str">
        <f t="shared" si="77"/>
        <v>MAX : 13.15
TARGET : 13.00
MIN : 12.85</v>
      </c>
      <c r="R4952" s="3" t="s">
        <v>5260</v>
      </c>
    </row>
    <row r="4953" spans="2:18" ht="41.4" x14ac:dyDescent="0.3">
      <c r="B4953">
        <v>0</v>
      </c>
      <c r="C4953" s="33">
        <v>9062</v>
      </c>
      <c r="D4953" s="2">
        <v>1416</v>
      </c>
      <c r="E4953" s="2" t="s">
        <v>12249</v>
      </c>
      <c r="F4953" s="29" t="s">
        <v>14258</v>
      </c>
      <c r="H4953" s="3" t="s">
        <v>648</v>
      </c>
      <c r="K4953" s="2">
        <v>80</v>
      </c>
      <c r="L4953" s="2">
        <v>2</v>
      </c>
      <c r="M4953" s="3" t="s">
        <v>5289</v>
      </c>
      <c r="N4953" s="3" t="s">
        <v>292</v>
      </c>
      <c r="O4953" s="3" t="s">
        <v>3170</v>
      </c>
      <c r="P4953" s="3" t="s">
        <v>3170</v>
      </c>
      <c r="Q4953" s="30" t="str">
        <f t="shared" si="77"/>
        <v>MAX : 4.9
TARGET : 4.9
MIN : 4.75</v>
      </c>
      <c r="R4953" s="3" t="s">
        <v>5260</v>
      </c>
    </row>
    <row r="4954" spans="2:18" ht="41.4" x14ac:dyDescent="0.3">
      <c r="B4954">
        <v>0</v>
      </c>
      <c r="C4954" s="33">
        <v>9062</v>
      </c>
      <c r="D4954" s="2">
        <v>1416</v>
      </c>
      <c r="E4954" s="2" t="s">
        <v>12249</v>
      </c>
      <c r="F4954" s="29" t="s">
        <v>14258</v>
      </c>
      <c r="H4954" s="3" t="s">
        <v>648</v>
      </c>
      <c r="K4954" s="2">
        <v>80</v>
      </c>
      <c r="L4954" s="2">
        <v>3</v>
      </c>
      <c r="M4954" s="3" t="s">
        <v>5290</v>
      </c>
      <c r="N4954" s="3" t="s">
        <v>3797</v>
      </c>
      <c r="O4954" s="3" t="s">
        <v>4530</v>
      </c>
      <c r="P4954" s="3" t="s">
        <v>4523</v>
      </c>
      <c r="Q4954" s="30" t="str">
        <f t="shared" si="77"/>
        <v>MAX : 3.3
TARGET : 3.0
MIN : 2.7</v>
      </c>
      <c r="R4954" s="3" t="s">
        <v>5260</v>
      </c>
    </row>
    <row r="4955" spans="2:18" ht="41.4" x14ac:dyDescent="0.3">
      <c r="B4955">
        <v>0</v>
      </c>
      <c r="C4955" s="33">
        <v>9062</v>
      </c>
      <c r="D4955" s="2">
        <v>1416</v>
      </c>
      <c r="E4955" s="2" t="s">
        <v>12249</v>
      </c>
      <c r="F4955" s="29" t="s">
        <v>14258</v>
      </c>
      <c r="H4955" s="3" t="s">
        <v>648</v>
      </c>
      <c r="K4955" s="2">
        <v>80</v>
      </c>
      <c r="L4955" s="2">
        <v>4</v>
      </c>
      <c r="M4955" s="3" t="s">
        <v>5291</v>
      </c>
      <c r="N4955" s="3" t="s">
        <v>3797</v>
      </c>
      <c r="O4955" s="3" t="s">
        <v>4530</v>
      </c>
      <c r="P4955" s="3" t="s">
        <v>4523</v>
      </c>
      <c r="Q4955" s="30" t="str">
        <f t="shared" si="77"/>
        <v>MAX : 3.3
TARGET : 3.0
MIN : 2.7</v>
      </c>
      <c r="R4955" s="3" t="s">
        <v>5260</v>
      </c>
    </row>
    <row r="4956" spans="2:18" ht="41.4" x14ac:dyDescent="0.3">
      <c r="B4956">
        <v>0</v>
      </c>
      <c r="C4956" s="33">
        <v>9062</v>
      </c>
      <c r="D4956" s="2">
        <v>1416</v>
      </c>
      <c r="E4956" s="2" t="s">
        <v>12249</v>
      </c>
      <c r="F4956" s="29" t="s">
        <v>14258</v>
      </c>
      <c r="H4956" s="3" t="s">
        <v>648</v>
      </c>
      <c r="K4956" s="2">
        <v>80</v>
      </c>
      <c r="L4956" s="2">
        <v>5</v>
      </c>
      <c r="M4956" s="3" t="s">
        <v>5292</v>
      </c>
      <c r="N4956" s="3" t="s">
        <v>5293</v>
      </c>
      <c r="O4956" s="3" t="s">
        <v>250</v>
      </c>
      <c r="P4956" s="3" t="s">
        <v>4226</v>
      </c>
      <c r="Q4956" s="30" t="str">
        <f t="shared" si="77"/>
        <v>MAX : 6.08
TARGET : 6.00
MIN : 5.92</v>
      </c>
      <c r="R4956" s="3" t="s">
        <v>5260</v>
      </c>
    </row>
    <row r="4957" spans="2:18" ht="41.4" x14ac:dyDescent="0.3">
      <c r="B4957">
        <v>0</v>
      </c>
      <c r="C4957" s="33">
        <v>9062</v>
      </c>
      <c r="D4957" s="2">
        <v>1416</v>
      </c>
      <c r="E4957" s="2" t="s">
        <v>12249</v>
      </c>
      <c r="F4957" s="29" t="s">
        <v>14258</v>
      </c>
      <c r="H4957" s="3" t="s">
        <v>648</v>
      </c>
      <c r="K4957" s="2">
        <v>80</v>
      </c>
      <c r="L4957" s="2">
        <v>6</v>
      </c>
      <c r="M4957" s="3" t="s">
        <v>5294</v>
      </c>
      <c r="N4957" s="3" t="s">
        <v>1495</v>
      </c>
      <c r="O4957" s="3" t="s">
        <v>5309</v>
      </c>
      <c r="P4957" s="3" t="s">
        <v>5296</v>
      </c>
      <c r="Q4957" s="30" t="str">
        <f t="shared" si="77"/>
        <v>MAX : 1.0
TARGET : .5
MIN : 0.0</v>
      </c>
      <c r="R4957" s="3" t="s">
        <v>5260</v>
      </c>
    </row>
    <row r="4958" spans="2:18" ht="41.4" x14ac:dyDescent="0.3">
      <c r="B4958">
        <v>0</v>
      </c>
      <c r="C4958" s="33">
        <v>9062</v>
      </c>
      <c r="D4958" s="2">
        <v>1416</v>
      </c>
      <c r="E4958" s="2" t="s">
        <v>12249</v>
      </c>
      <c r="F4958" s="29" t="s">
        <v>14258</v>
      </c>
      <c r="H4958" s="3" t="s">
        <v>648</v>
      </c>
      <c r="K4958" s="2">
        <v>80</v>
      </c>
      <c r="L4958" s="2">
        <v>7</v>
      </c>
      <c r="M4958" s="3" t="s">
        <v>5297</v>
      </c>
      <c r="N4958" s="3" t="s">
        <v>5298</v>
      </c>
      <c r="O4958" s="3" t="s">
        <v>5299</v>
      </c>
      <c r="P4958" s="3" t="s">
        <v>5300</v>
      </c>
      <c r="Q4958" s="30" t="str">
        <f t="shared" si="77"/>
        <v>MAX : .67
TARGET : .62
MIN : .57</v>
      </c>
      <c r="R4958" s="3" t="s">
        <v>5260</v>
      </c>
    </row>
    <row r="4959" spans="2:18" ht="41.4" x14ac:dyDescent="0.3">
      <c r="B4959">
        <v>0</v>
      </c>
      <c r="C4959" s="33">
        <v>9062</v>
      </c>
      <c r="D4959" s="2">
        <v>1416</v>
      </c>
      <c r="E4959" s="2" t="s">
        <v>12249</v>
      </c>
      <c r="F4959" s="29" t="s">
        <v>14258</v>
      </c>
      <c r="H4959" s="3" t="s">
        <v>648</v>
      </c>
      <c r="K4959" s="2">
        <v>80</v>
      </c>
      <c r="L4959" s="2">
        <v>8</v>
      </c>
      <c r="M4959" s="3" t="s">
        <v>5301</v>
      </c>
      <c r="N4959" s="3" t="s">
        <v>5298</v>
      </c>
      <c r="O4959" s="3" t="s">
        <v>5299</v>
      </c>
      <c r="P4959" s="3" t="s">
        <v>5300</v>
      </c>
      <c r="Q4959" s="30" t="str">
        <f t="shared" si="77"/>
        <v>MAX : .67
TARGET : .62
MIN : .57</v>
      </c>
      <c r="R4959" s="3" t="s">
        <v>5260</v>
      </c>
    </row>
    <row r="4960" spans="2:18" ht="41.4" x14ac:dyDescent="0.3">
      <c r="B4960">
        <v>0</v>
      </c>
      <c r="C4960" s="33">
        <v>9062</v>
      </c>
      <c r="D4960" s="2">
        <v>1416</v>
      </c>
      <c r="E4960" s="2" t="s">
        <v>12249</v>
      </c>
      <c r="F4960" s="29" t="s">
        <v>14258</v>
      </c>
      <c r="H4960" s="3" t="s">
        <v>648</v>
      </c>
      <c r="K4960" s="2">
        <v>80</v>
      </c>
      <c r="L4960" s="2">
        <v>10</v>
      </c>
      <c r="M4960" s="3" t="s">
        <v>5302</v>
      </c>
      <c r="N4960" s="3" t="s">
        <v>5303</v>
      </c>
      <c r="O4960" s="3" t="s">
        <v>5263</v>
      </c>
      <c r="P4960" s="3" t="s">
        <v>5304</v>
      </c>
      <c r="Q4960" s="30" t="str">
        <f t="shared" si="77"/>
        <v>MAX : N/A
TARGET : .33
MIN : .29</v>
      </c>
      <c r="R4960" s="3" t="s">
        <v>5260</v>
      </c>
    </row>
    <row r="4961" spans="2:18" ht="41.4" x14ac:dyDescent="0.3">
      <c r="B4961">
        <v>0</v>
      </c>
      <c r="C4961" s="33">
        <v>9062</v>
      </c>
      <c r="D4961" s="2">
        <v>1416</v>
      </c>
      <c r="E4961" s="2" t="s">
        <v>12249</v>
      </c>
      <c r="F4961" s="29" t="s">
        <v>14258</v>
      </c>
      <c r="H4961" s="3" t="s">
        <v>648</v>
      </c>
      <c r="K4961" s="2">
        <v>80</v>
      </c>
      <c r="L4961" s="2">
        <v>11</v>
      </c>
      <c r="M4961" s="3" t="s">
        <v>5305</v>
      </c>
      <c r="N4961" s="3" t="s">
        <v>5306</v>
      </c>
      <c r="O4961" s="3" t="s">
        <v>5307</v>
      </c>
      <c r="P4961" s="3" t="s">
        <v>5304</v>
      </c>
      <c r="Q4961" s="30" t="str">
        <f t="shared" si="77"/>
        <v>MAX : N/A
TARGET : .255
MIN : .220</v>
      </c>
      <c r="R4961" s="3" t="s">
        <v>5260</v>
      </c>
    </row>
    <row r="4962" spans="2:18" ht="41.4" x14ac:dyDescent="0.3">
      <c r="B4962">
        <v>0</v>
      </c>
      <c r="C4962" s="33">
        <v>9062</v>
      </c>
      <c r="D4962" s="2">
        <v>1416</v>
      </c>
      <c r="E4962" s="2" t="s">
        <v>12249</v>
      </c>
      <c r="F4962" s="29" t="s">
        <v>14258</v>
      </c>
      <c r="H4962" s="3" t="s">
        <v>648</v>
      </c>
      <c r="K4962" s="2">
        <v>80</v>
      </c>
      <c r="L4962" s="2">
        <v>12</v>
      </c>
      <c r="M4962" s="3" t="s">
        <v>5308</v>
      </c>
      <c r="N4962" s="3" t="s">
        <v>24</v>
      </c>
      <c r="O4962" s="3" t="s">
        <v>25</v>
      </c>
      <c r="Q4962" s="30" t="str">
        <f t="shared" si="77"/>
        <v>MAX : 
TARGET : Yes (Pass)
MIN : No (Fail)</v>
      </c>
      <c r="R4962" s="3" t="s">
        <v>5260</v>
      </c>
    </row>
    <row r="4963" spans="2:18" ht="41.4" x14ac:dyDescent="0.3">
      <c r="B4963">
        <v>0</v>
      </c>
      <c r="C4963" s="33">
        <v>9062</v>
      </c>
      <c r="D4963" s="2">
        <v>1416</v>
      </c>
      <c r="E4963" s="2" t="s">
        <v>12249</v>
      </c>
      <c r="F4963" s="29" t="s">
        <v>14258</v>
      </c>
      <c r="H4963" s="3" t="s">
        <v>648</v>
      </c>
      <c r="K4963" s="2">
        <v>90</v>
      </c>
      <c r="L4963" s="2">
        <v>1</v>
      </c>
      <c r="M4963" s="3" t="s">
        <v>5285</v>
      </c>
      <c r="N4963" s="3" t="s">
        <v>5286</v>
      </c>
      <c r="O4963" s="3" t="s">
        <v>196</v>
      </c>
      <c r="P4963" s="3" t="s">
        <v>5288</v>
      </c>
      <c r="Q4963" s="30" t="str">
        <f t="shared" si="77"/>
        <v>MAX : 13.15
TARGET : 13.00
MIN : 12.85</v>
      </c>
      <c r="R4963" s="3" t="s">
        <v>5260</v>
      </c>
    </row>
    <row r="4964" spans="2:18" ht="41.4" x14ac:dyDescent="0.3">
      <c r="B4964">
        <v>0</v>
      </c>
      <c r="C4964" s="33">
        <v>9062</v>
      </c>
      <c r="D4964" s="2">
        <v>1416</v>
      </c>
      <c r="E4964" s="2" t="s">
        <v>12249</v>
      </c>
      <c r="F4964" s="29" t="s">
        <v>14258</v>
      </c>
      <c r="H4964" s="3" t="s">
        <v>648</v>
      </c>
      <c r="K4964" s="2">
        <v>90</v>
      </c>
      <c r="L4964" s="2">
        <v>2</v>
      </c>
      <c r="M4964" s="3" t="s">
        <v>5289</v>
      </c>
      <c r="N4964" s="3" t="s">
        <v>292</v>
      </c>
      <c r="O4964" s="3" t="s">
        <v>3170</v>
      </c>
      <c r="P4964" s="3" t="s">
        <v>3170</v>
      </c>
      <c r="Q4964" s="30" t="str">
        <f t="shared" si="77"/>
        <v>MAX : 4.9
TARGET : 4.9
MIN : 4.75</v>
      </c>
      <c r="R4964" s="3" t="s">
        <v>5260</v>
      </c>
    </row>
    <row r="4965" spans="2:18" ht="41.4" x14ac:dyDescent="0.3">
      <c r="B4965">
        <v>0</v>
      </c>
      <c r="C4965" s="33">
        <v>9062</v>
      </c>
      <c r="D4965" s="2">
        <v>1416</v>
      </c>
      <c r="E4965" s="2" t="s">
        <v>12249</v>
      </c>
      <c r="F4965" s="29" t="s">
        <v>14258</v>
      </c>
      <c r="H4965" s="3" t="s">
        <v>648</v>
      </c>
      <c r="K4965" s="2">
        <v>90</v>
      </c>
      <c r="L4965" s="2">
        <v>3</v>
      </c>
      <c r="M4965" s="3" t="s">
        <v>5290</v>
      </c>
      <c r="N4965" s="3" t="s">
        <v>3797</v>
      </c>
      <c r="O4965" s="3" t="s">
        <v>4530</v>
      </c>
      <c r="P4965" s="3" t="s">
        <v>4523</v>
      </c>
      <c r="Q4965" s="30" t="str">
        <f t="shared" si="77"/>
        <v>MAX : 3.3
TARGET : 3.0
MIN : 2.7</v>
      </c>
      <c r="R4965" s="3" t="s">
        <v>5260</v>
      </c>
    </row>
    <row r="4966" spans="2:18" ht="41.4" x14ac:dyDescent="0.3">
      <c r="B4966">
        <v>0</v>
      </c>
      <c r="C4966" s="33">
        <v>9062</v>
      </c>
      <c r="D4966" s="2">
        <v>1416</v>
      </c>
      <c r="E4966" s="2" t="s">
        <v>12249</v>
      </c>
      <c r="F4966" s="29" t="s">
        <v>14258</v>
      </c>
      <c r="H4966" s="3" t="s">
        <v>648</v>
      </c>
      <c r="K4966" s="2">
        <v>90</v>
      </c>
      <c r="L4966" s="2">
        <v>4</v>
      </c>
      <c r="M4966" s="3" t="s">
        <v>5291</v>
      </c>
      <c r="N4966" s="3" t="s">
        <v>3797</v>
      </c>
      <c r="O4966" s="3" t="s">
        <v>4530</v>
      </c>
      <c r="P4966" s="3" t="s">
        <v>4523</v>
      </c>
      <c r="Q4966" s="30" t="str">
        <f t="shared" si="77"/>
        <v>MAX : 3.3
TARGET : 3.0
MIN : 2.7</v>
      </c>
      <c r="R4966" s="3" t="s">
        <v>5260</v>
      </c>
    </row>
    <row r="4967" spans="2:18" ht="41.4" x14ac:dyDescent="0.3">
      <c r="B4967">
        <v>0</v>
      </c>
      <c r="C4967" s="33">
        <v>9062</v>
      </c>
      <c r="D4967" s="2">
        <v>1416</v>
      </c>
      <c r="E4967" s="2" t="s">
        <v>12249</v>
      </c>
      <c r="F4967" s="29" t="s">
        <v>14258</v>
      </c>
      <c r="H4967" s="3" t="s">
        <v>648</v>
      </c>
      <c r="K4967" s="2">
        <v>90</v>
      </c>
      <c r="L4967" s="2">
        <v>5</v>
      </c>
      <c r="M4967" s="3" t="s">
        <v>5292</v>
      </c>
      <c r="N4967" s="3" t="s">
        <v>5293</v>
      </c>
      <c r="O4967" s="3" t="s">
        <v>250</v>
      </c>
      <c r="P4967" s="3" t="s">
        <v>4226</v>
      </c>
      <c r="Q4967" s="30" t="str">
        <f t="shared" si="77"/>
        <v>MAX : 6.08
TARGET : 6.00
MIN : 5.92</v>
      </c>
      <c r="R4967" s="3" t="s">
        <v>5260</v>
      </c>
    </row>
    <row r="4968" spans="2:18" ht="41.4" x14ac:dyDescent="0.3">
      <c r="B4968">
        <v>0</v>
      </c>
      <c r="C4968" s="33">
        <v>9062</v>
      </c>
      <c r="D4968" s="2">
        <v>1416</v>
      </c>
      <c r="E4968" s="2" t="s">
        <v>12249</v>
      </c>
      <c r="F4968" s="29" t="s">
        <v>14258</v>
      </c>
      <c r="H4968" s="3" t="s">
        <v>648</v>
      </c>
      <c r="K4968" s="2">
        <v>90</v>
      </c>
      <c r="L4968" s="2">
        <v>6</v>
      </c>
      <c r="M4968" s="3" t="s">
        <v>5294</v>
      </c>
      <c r="N4968" s="3" t="s">
        <v>1495</v>
      </c>
      <c r="O4968" s="3" t="s">
        <v>5309</v>
      </c>
      <c r="P4968" s="3" t="s">
        <v>5296</v>
      </c>
      <c r="Q4968" s="30" t="str">
        <f t="shared" si="77"/>
        <v>MAX : 1.0
TARGET : .5
MIN : 0.0</v>
      </c>
      <c r="R4968" s="3" t="s">
        <v>5260</v>
      </c>
    </row>
    <row r="4969" spans="2:18" ht="41.4" x14ac:dyDescent="0.3">
      <c r="B4969">
        <v>0</v>
      </c>
      <c r="C4969" s="33">
        <v>9062</v>
      </c>
      <c r="D4969" s="2">
        <v>1416</v>
      </c>
      <c r="E4969" s="2" t="s">
        <v>12249</v>
      </c>
      <c r="F4969" s="29" t="s">
        <v>14258</v>
      </c>
      <c r="H4969" s="3" t="s">
        <v>648</v>
      </c>
      <c r="K4969" s="2">
        <v>90</v>
      </c>
      <c r="L4969" s="2">
        <v>7</v>
      </c>
      <c r="M4969" s="3" t="s">
        <v>5297</v>
      </c>
      <c r="N4969" s="3" t="s">
        <v>5298</v>
      </c>
      <c r="O4969" s="3" t="s">
        <v>5299</v>
      </c>
      <c r="P4969" s="3" t="s">
        <v>5300</v>
      </c>
      <c r="Q4969" s="30" t="str">
        <f t="shared" si="77"/>
        <v>MAX : .67
TARGET : .62
MIN : .57</v>
      </c>
      <c r="R4969" s="3" t="s">
        <v>5260</v>
      </c>
    </row>
    <row r="4970" spans="2:18" ht="41.4" x14ac:dyDescent="0.3">
      <c r="B4970">
        <v>0</v>
      </c>
      <c r="C4970" s="33">
        <v>9062</v>
      </c>
      <c r="D4970" s="2">
        <v>1416</v>
      </c>
      <c r="E4970" s="2" t="s">
        <v>12249</v>
      </c>
      <c r="F4970" s="29" t="s">
        <v>14258</v>
      </c>
      <c r="H4970" s="3" t="s">
        <v>648</v>
      </c>
      <c r="K4970" s="2">
        <v>90</v>
      </c>
      <c r="L4970" s="2">
        <v>8</v>
      </c>
      <c r="M4970" s="3" t="s">
        <v>5301</v>
      </c>
      <c r="N4970" s="3" t="s">
        <v>5298</v>
      </c>
      <c r="O4970" s="3" t="s">
        <v>5299</v>
      </c>
      <c r="P4970" s="3" t="s">
        <v>5300</v>
      </c>
      <c r="Q4970" s="30" t="str">
        <f t="shared" si="77"/>
        <v>MAX : .67
TARGET : .62
MIN : .57</v>
      </c>
      <c r="R4970" s="3" t="s">
        <v>5260</v>
      </c>
    </row>
    <row r="4971" spans="2:18" ht="41.4" x14ac:dyDescent="0.3">
      <c r="B4971">
        <v>0</v>
      </c>
      <c r="C4971" s="33">
        <v>9062</v>
      </c>
      <c r="D4971" s="2">
        <v>1416</v>
      </c>
      <c r="E4971" s="2" t="s">
        <v>12249</v>
      </c>
      <c r="F4971" s="29" t="s">
        <v>14258</v>
      </c>
      <c r="H4971" s="3" t="s">
        <v>648</v>
      </c>
      <c r="K4971" s="2">
        <v>90</v>
      </c>
      <c r="L4971" s="2">
        <v>10</v>
      </c>
      <c r="M4971" s="3" t="s">
        <v>5302</v>
      </c>
      <c r="N4971" s="3" t="s">
        <v>5303</v>
      </c>
      <c r="O4971" s="3" t="s">
        <v>5263</v>
      </c>
      <c r="P4971" s="3" t="s">
        <v>5304</v>
      </c>
      <c r="Q4971" s="30" t="str">
        <f t="shared" si="77"/>
        <v>MAX : N/A
TARGET : .33
MIN : .29</v>
      </c>
      <c r="R4971" s="3" t="s">
        <v>5260</v>
      </c>
    </row>
    <row r="4972" spans="2:18" ht="41.4" x14ac:dyDescent="0.3">
      <c r="B4972">
        <v>0</v>
      </c>
      <c r="C4972" s="33">
        <v>9062</v>
      </c>
      <c r="D4972" s="2">
        <v>1416</v>
      </c>
      <c r="E4972" s="2" t="s">
        <v>12249</v>
      </c>
      <c r="F4972" s="29" t="s">
        <v>14258</v>
      </c>
      <c r="H4972" s="3" t="s">
        <v>648</v>
      </c>
      <c r="K4972" s="2">
        <v>90</v>
      </c>
      <c r="L4972" s="2">
        <v>11</v>
      </c>
      <c r="M4972" s="3" t="s">
        <v>5305</v>
      </c>
      <c r="N4972" s="3" t="s">
        <v>5306</v>
      </c>
      <c r="O4972" s="3" t="s">
        <v>5307</v>
      </c>
      <c r="P4972" s="3" t="s">
        <v>5304</v>
      </c>
      <c r="Q4972" s="30" t="str">
        <f t="shared" si="77"/>
        <v>MAX : N/A
TARGET : .255
MIN : .220</v>
      </c>
      <c r="R4972" s="3" t="s">
        <v>5260</v>
      </c>
    </row>
    <row r="4973" spans="2:18" ht="41.4" x14ac:dyDescent="0.3">
      <c r="B4973">
        <v>0</v>
      </c>
      <c r="C4973" s="33">
        <v>9062</v>
      </c>
      <c r="D4973" s="2">
        <v>1416</v>
      </c>
      <c r="E4973" s="2" t="s">
        <v>12249</v>
      </c>
      <c r="F4973" s="29" t="s">
        <v>14258</v>
      </c>
      <c r="H4973" s="3" t="s">
        <v>648</v>
      </c>
      <c r="K4973" s="2">
        <v>90</v>
      </c>
      <c r="L4973" s="2">
        <v>12</v>
      </c>
      <c r="M4973" s="3" t="s">
        <v>5308</v>
      </c>
      <c r="N4973" s="3" t="s">
        <v>24</v>
      </c>
      <c r="O4973" s="3" t="s">
        <v>25</v>
      </c>
      <c r="Q4973" s="30" t="str">
        <f t="shared" si="77"/>
        <v>MAX : 
TARGET : Yes (Pass)
MIN : No (Fail)</v>
      </c>
      <c r="R4973" s="3" t="s">
        <v>5260</v>
      </c>
    </row>
    <row r="4974" spans="2:18" ht="41.4" x14ac:dyDescent="0.3">
      <c r="B4974">
        <v>0</v>
      </c>
      <c r="C4974" s="33">
        <v>9062</v>
      </c>
      <c r="D4974" s="2">
        <v>1416</v>
      </c>
      <c r="E4974" s="2" t="s">
        <v>12249</v>
      </c>
      <c r="F4974" s="29" t="s">
        <v>14258</v>
      </c>
      <c r="H4974" s="3" t="s">
        <v>648</v>
      </c>
      <c r="K4974" s="2">
        <v>0</v>
      </c>
      <c r="L4974" s="2">
        <v>7</v>
      </c>
      <c r="M4974" s="3" t="s">
        <v>5310</v>
      </c>
      <c r="N4974" s="3" t="s">
        <v>2933</v>
      </c>
      <c r="O4974" s="3" t="s">
        <v>5276</v>
      </c>
      <c r="P4974" s="3" t="s">
        <v>5277</v>
      </c>
      <c r="Q4974" s="30" t="str">
        <f t="shared" si="77"/>
        <v>MAX : .20
TARGET : .18
MIN : .16</v>
      </c>
      <c r="R4974" s="3" t="s">
        <v>5260</v>
      </c>
    </row>
    <row r="4975" spans="2:18" ht="41.4" x14ac:dyDescent="0.3">
      <c r="B4975">
        <v>0</v>
      </c>
      <c r="C4975" s="33">
        <v>9062</v>
      </c>
      <c r="D4975" s="2">
        <v>1416</v>
      </c>
      <c r="E4975" s="2" t="s">
        <v>12249</v>
      </c>
      <c r="F4975" s="29" t="s">
        <v>14258</v>
      </c>
      <c r="H4975" s="3" t="s">
        <v>648</v>
      </c>
      <c r="K4975" s="2">
        <v>0</v>
      </c>
      <c r="L4975" s="2">
        <v>8</v>
      </c>
      <c r="M4975" s="3" t="s">
        <v>5311</v>
      </c>
      <c r="N4975" s="3" t="s">
        <v>2933</v>
      </c>
      <c r="O4975" s="3" t="s">
        <v>5276</v>
      </c>
      <c r="P4975" s="3" t="s">
        <v>5277</v>
      </c>
      <c r="Q4975" s="30" t="str">
        <f t="shared" si="77"/>
        <v>MAX : .20
TARGET : .18
MIN : .16</v>
      </c>
      <c r="R4975" s="3" t="s">
        <v>5260</v>
      </c>
    </row>
    <row r="4976" spans="2:18" ht="41.4" x14ac:dyDescent="0.3">
      <c r="B4976">
        <v>1</v>
      </c>
      <c r="C4976" s="33">
        <v>9096</v>
      </c>
      <c r="D4976" s="2">
        <v>1439</v>
      </c>
      <c r="E4976" s="2" t="s">
        <v>12469</v>
      </c>
      <c r="F4976" s="3" t="s">
        <v>14253</v>
      </c>
      <c r="H4976" s="3" t="s">
        <v>4551</v>
      </c>
      <c r="K4976" s="2">
        <v>30</v>
      </c>
      <c r="L4976" s="2">
        <v>2</v>
      </c>
      <c r="M4976" s="3" t="s">
        <v>382</v>
      </c>
      <c r="N4976" s="3" t="s">
        <v>4475</v>
      </c>
      <c r="O4976" s="3" t="s">
        <v>1211</v>
      </c>
      <c r="P4976" s="3" t="s">
        <v>4476</v>
      </c>
      <c r="Q4976" s="30" t="str">
        <f t="shared" si="77"/>
        <v>MAX : 6.563
TARGET : 6.50
MIN : 6.437</v>
      </c>
    </row>
    <row r="4977" spans="2:18" ht="41.4" x14ac:dyDescent="0.3">
      <c r="B4977">
        <v>1</v>
      </c>
      <c r="C4977" s="33">
        <v>9096</v>
      </c>
      <c r="D4977" s="2">
        <v>1439</v>
      </c>
      <c r="E4977" s="2" t="s">
        <v>12469</v>
      </c>
      <c r="F4977" s="3" t="s">
        <v>14253</v>
      </c>
      <c r="H4977" s="3" t="s">
        <v>4551</v>
      </c>
      <c r="K4977" s="2">
        <v>40</v>
      </c>
      <c r="L4977" s="2">
        <v>2</v>
      </c>
      <c r="M4977" s="3" t="s">
        <v>5134</v>
      </c>
      <c r="N4977" s="3" t="s">
        <v>13</v>
      </c>
      <c r="O4977" s="3" t="s">
        <v>14</v>
      </c>
      <c r="Q4977" s="30" t="str">
        <f t="shared" si="77"/>
        <v>MAX : 
TARGET : Yes(Pass)
MIN : No(Fail)</v>
      </c>
    </row>
    <row r="4978" spans="2:18" ht="41.4" x14ac:dyDescent="0.3">
      <c r="B4978">
        <v>0</v>
      </c>
      <c r="C4978" s="33">
        <v>9180</v>
      </c>
      <c r="D4978" s="2">
        <v>1494</v>
      </c>
      <c r="E4978" s="2" t="s">
        <v>12966</v>
      </c>
      <c r="F4978" s="3" t="s">
        <v>14206</v>
      </c>
      <c r="H4978" s="3" t="s">
        <v>5312</v>
      </c>
      <c r="K4978" s="2">
        <v>10</v>
      </c>
      <c r="L4978" s="2">
        <v>3</v>
      </c>
      <c r="M4978" s="3" t="s">
        <v>5313</v>
      </c>
      <c r="N4978" s="3" t="s">
        <v>13</v>
      </c>
      <c r="O4978" s="3" t="s">
        <v>14</v>
      </c>
      <c r="Q4978" s="30" t="str">
        <f t="shared" si="77"/>
        <v>MAX : 
TARGET : Yes(Pass)
MIN : No(Fail)</v>
      </c>
    </row>
    <row r="4979" spans="2:18" ht="41.4" x14ac:dyDescent="0.3">
      <c r="B4979">
        <v>0</v>
      </c>
      <c r="C4979" s="33">
        <v>9180</v>
      </c>
      <c r="D4979" s="2">
        <v>1494</v>
      </c>
      <c r="E4979" s="2" t="s">
        <v>12966</v>
      </c>
      <c r="F4979" s="3" t="s">
        <v>14206</v>
      </c>
      <c r="H4979" s="3" t="s">
        <v>5312</v>
      </c>
      <c r="K4979" s="2">
        <v>10</v>
      </c>
      <c r="L4979" s="2">
        <v>4</v>
      </c>
      <c r="M4979" s="3" t="s">
        <v>2819</v>
      </c>
      <c r="N4979" s="3" t="s">
        <v>13</v>
      </c>
      <c r="O4979" s="3" t="s">
        <v>14</v>
      </c>
      <c r="Q4979" s="30" t="str">
        <f t="shared" si="77"/>
        <v>MAX : 
TARGET : Yes(Pass)
MIN : No(Fail)</v>
      </c>
    </row>
    <row r="4980" spans="2:18" ht="41.4" x14ac:dyDescent="0.3">
      <c r="B4980">
        <v>1</v>
      </c>
      <c r="C4980" s="33">
        <v>9096</v>
      </c>
      <c r="D4980" s="2">
        <v>1439</v>
      </c>
      <c r="E4980" s="2" t="s">
        <v>12469</v>
      </c>
      <c r="F4980" s="3" t="s">
        <v>14253</v>
      </c>
      <c r="H4980" s="3" t="s">
        <v>4551</v>
      </c>
      <c r="K4980" s="2">
        <v>30</v>
      </c>
      <c r="L4980" s="2">
        <v>1</v>
      </c>
      <c r="M4980" s="3" t="s">
        <v>18</v>
      </c>
      <c r="N4980" s="3" t="s">
        <v>4473</v>
      </c>
      <c r="O4980" s="3" t="s">
        <v>1230</v>
      </c>
      <c r="P4980" s="3" t="s">
        <v>4474</v>
      </c>
      <c r="Q4980" s="30" t="str">
        <f t="shared" si="77"/>
        <v>MAX : 8.063
TARGET : 8.00
MIN : 7.937</v>
      </c>
    </row>
    <row r="4981" spans="2:18" ht="41.4" x14ac:dyDescent="0.3">
      <c r="B4981">
        <v>1</v>
      </c>
      <c r="C4981" s="33">
        <v>9096</v>
      </c>
      <c r="D4981" s="2">
        <v>1439</v>
      </c>
      <c r="E4981" s="2" t="s">
        <v>12469</v>
      </c>
      <c r="F4981" s="3" t="s">
        <v>14253</v>
      </c>
      <c r="H4981" s="3" t="s">
        <v>4551</v>
      </c>
      <c r="K4981" s="2">
        <v>40</v>
      </c>
      <c r="L4981" s="2">
        <v>1</v>
      </c>
      <c r="M4981" s="3" t="s">
        <v>5133</v>
      </c>
      <c r="N4981" s="3" t="s">
        <v>13</v>
      </c>
      <c r="O4981" s="3" t="s">
        <v>14</v>
      </c>
      <c r="Q4981" s="30" t="str">
        <f t="shared" si="77"/>
        <v>MAX : 
TARGET : Yes(Pass)
MIN : No(Fail)</v>
      </c>
    </row>
    <row r="4982" spans="2:18" ht="41.4" x14ac:dyDescent="0.3">
      <c r="B4982">
        <v>0</v>
      </c>
      <c r="C4982" s="33">
        <v>9062</v>
      </c>
      <c r="D4982" s="2">
        <v>1416</v>
      </c>
      <c r="E4982" s="2" t="s">
        <v>12249</v>
      </c>
      <c r="F4982" s="29" t="s">
        <v>14258</v>
      </c>
      <c r="H4982" s="3" t="s">
        <v>648</v>
      </c>
      <c r="K4982" s="2">
        <v>90</v>
      </c>
      <c r="L4982" s="2">
        <v>9</v>
      </c>
      <c r="M4982" s="3" t="s">
        <v>5314</v>
      </c>
      <c r="N4982" s="3" t="s">
        <v>5315</v>
      </c>
      <c r="O4982" s="3" t="s">
        <v>5316</v>
      </c>
      <c r="Q4982" s="30" t="str">
        <f t="shared" si="77"/>
        <v>MAX : 
TARGET : P (Pass)
MIN : F (Fail)</v>
      </c>
      <c r="R4982" s="3" t="s">
        <v>5260</v>
      </c>
    </row>
    <row r="4983" spans="2:18" ht="41.4" x14ac:dyDescent="0.3">
      <c r="B4983">
        <v>1</v>
      </c>
      <c r="C4983" s="33">
        <v>9098</v>
      </c>
      <c r="D4983" s="2">
        <v>1440</v>
      </c>
      <c r="E4983" s="2" t="s">
        <v>12477</v>
      </c>
      <c r="F4983" s="3" t="s">
        <v>14254</v>
      </c>
      <c r="H4983" s="3" t="s">
        <v>4551</v>
      </c>
      <c r="K4983" s="2">
        <v>30</v>
      </c>
      <c r="L4983" s="2">
        <v>2</v>
      </c>
      <c r="M4983" s="3" t="s">
        <v>382</v>
      </c>
      <c r="N4983" s="3" t="s">
        <v>4451</v>
      </c>
      <c r="O4983" s="3" t="s">
        <v>250</v>
      </c>
      <c r="P4983" s="3" t="s">
        <v>4452</v>
      </c>
      <c r="Q4983" s="30" t="str">
        <f t="shared" si="77"/>
        <v>MAX : 6.063
TARGET : 6.00
MIN : 5.937</v>
      </c>
    </row>
    <row r="4984" spans="2:18" ht="41.4" x14ac:dyDescent="0.3">
      <c r="B4984">
        <v>1</v>
      </c>
      <c r="C4984" s="33">
        <v>9098</v>
      </c>
      <c r="D4984" s="2">
        <v>1440</v>
      </c>
      <c r="E4984" s="2" t="s">
        <v>12477</v>
      </c>
      <c r="F4984" s="3" t="s">
        <v>14254</v>
      </c>
      <c r="H4984" s="3" t="s">
        <v>4551</v>
      </c>
      <c r="K4984" s="2">
        <v>40</v>
      </c>
      <c r="L4984" s="2">
        <v>2</v>
      </c>
      <c r="M4984" s="3" t="s">
        <v>5134</v>
      </c>
      <c r="N4984" s="3" t="s">
        <v>13</v>
      </c>
      <c r="O4984" s="3" t="s">
        <v>14</v>
      </c>
      <c r="Q4984" s="30" t="str">
        <f t="shared" si="77"/>
        <v>MAX : 
TARGET : Yes(Pass)
MIN : No(Fail)</v>
      </c>
    </row>
    <row r="4985" spans="2:18" ht="41.4" x14ac:dyDescent="0.3">
      <c r="B4985">
        <v>0</v>
      </c>
      <c r="C4985" s="33">
        <v>9076</v>
      </c>
      <c r="D4985" s="2">
        <v>1425</v>
      </c>
      <c r="E4985" s="2" t="s">
        <v>12338</v>
      </c>
      <c r="F4985" s="3" t="s">
        <v>14206</v>
      </c>
      <c r="H4985" s="3" t="s">
        <v>727</v>
      </c>
      <c r="K4985" s="2">
        <v>20</v>
      </c>
      <c r="L4985" s="2">
        <v>3</v>
      </c>
      <c r="M4985" s="3" t="s">
        <v>415</v>
      </c>
      <c r="N4985" s="3" t="s">
        <v>5046</v>
      </c>
      <c r="O4985" s="3" t="s">
        <v>5047</v>
      </c>
      <c r="P4985" s="3" t="s">
        <v>5048</v>
      </c>
      <c r="Q4985" s="30" t="str">
        <f t="shared" si="77"/>
        <v>MAX : .640
TARGET : .630
MIN : .620</v>
      </c>
    </row>
    <row r="4986" spans="2:18" ht="41.4" x14ac:dyDescent="0.3">
      <c r="B4986">
        <v>1</v>
      </c>
      <c r="C4986" s="33">
        <v>9098</v>
      </c>
      <c r="D4986" s="2">
        <v>1440</v>
      </c>
      <c r="E4986" s="2" t="s">
        <v>12477</v>
      </c>
      <c r="F4986" s="3" t="s">
        <v>14254</v>
      </c>
      <c r="H4986" s="3" t="s">
        <v>4551</v>
      </c>
      <c r="K4986" s="2">
        <v>30</v>
      </c>
      <c r="L4986" s="2">
        <v>1</v>
      </c>
      <c r="M4986" s="3" t="s">
        <v>18</v>
      </c>
      <c r="N4986" s="3" t="s">
        <v>4449</v>
      </c>
      <c r="O4986" s="3" t="s">
        <v>966</v>
      </c>
      <c r="P4986" s="3" t="s">
        <v>4450</v>
      </c>
      <c r="Q4986" s="30" t="str">
        <f t="shared" si="77"/>
        <v>MAX : 7.063
TARGET : 7.00
MIN : 6.937</v>
      </c>
    </row>
    <row r="4987" spans="2:18" ht="41.4" x14ac:dyDescent="0.3">
      <c r="B4987">
        <v>0</v>
      </c>
      <c r="C4987" s="33">
        <v>9182</v>
      </c>
      <c r="D4987" s="2">
        <v>1495</v>
      </c>
      <c r="E4987" s="2" t="s">
        <v>12979</v>
      </c>
      <c r="F4987" s="3" t="s">
        <v>14207</v>
      </c>
      <c r="H4987" s="3" t="s">
        <v>713</v>
      </c>
      <c r="K4987" s="2">
        <v>20</v>
      </c>
      <c r="L4987" s="2">
        <v>3</v>
      </c>
      <c r="M4987" s="3" t="s">
        <v>240</v>
      </c>
      <c r="N4987" s="3" t="s">
        <v>891</v>
      </c>
      <c r="O4987" s="3" t="s">
        <v>892</v>
      </c>
      <c r="P4987" s="3" t="s">
        <v>893</v>
      </c>
      <c r="Q4987" s="30" t="str">
        <f t="shared" si="77"/>
        <v>MAX : 11
TARGET : 10
MIN : 9</v>
      </c>
    </row>
    <row r="4988" spans="2:18" ht="41.4" x14ac:dyDescent="0.3">
      <c r="B4988">
        <v>0</v>
      </c>
      <c r="C4988" s="33">
        <v>9182</v>
      </c>
      <c r="D4988" s="2">
        <v>1495</v>
      </c>
      <c r="E4988" s="2" t="s">
        <v>12979</v>
      </c>
      <c r="F4988" s="3" t="s">
        <v>14207</v>
      </c>
      <c r="H4988" s="3" t="s">
        <v>713</v>
      </c>
      <c r="K4988" s="2">
        <v>20</v>
      </c>
      <c r="L4988" s="2">
        <v>4</v>
      </c>
      <c r="M4988" s="3" t="s">
        <v>78</v>
      </c>
      <c r="N4988" s="3" t="s">
        <v>13</v>
      </c>
      <c r="O4988" s="3" t="s">
        <v>14</v>
      </c>
      <c r="Q4988" s="30" t="str">
        <f t="shared" si="77"/>
        <v>MAX : 
TARGET : Yes(Pass)
MIN : No(Fail)</v>
      </c>
    </row>
    <row r="4989" spans="2:18" ht="41.4" x14ac:dyDescent="0.3">
      <c r="B4989">
        <v>1</v>
      </c>
      <c r="C4989" s="33">
        <v>9098</v>
      </c>
      <c r="D4989" s="2">
        <v>1440</v>
      </c>
      <c r="E4989" s="2" t="s">
        <v>12477</v>
      </c>
      <c r="F4989" s="3" t="s">
        <v>14254</v>
      </c>
      <c r="H4989" s="3" t="s">
        <v>4551</v>
      </c>
      <c r="K4989" s="2">
        <v>30</v>
      </c>
      <c r="L4989" s="2">
        <v>10</v>
      </c>
      <c r="M4989" s="3" t="s">
        <v>4896</v>
      </c>
      <c r="N4989" s="3" t="s">
        <v>13</v>
      </c>
      <c r="O4989" s="3" t="s">
        <v>14</v>
      </c>
      <c r="Q4989" s="30" t="str">
        <f t="shared" si="77"/>
        <v>MAX : 
TARGET : Yes(Pass)
MIN : No(Fail)</v>
      </c>
    </row>
    <row r="4990" spans="2:18" ht="41.4" x14ac:dyDescent="0.3">
      <c r="B4990">
        <v>1</v>
      </c>
      <c r="C4990" s="33">
        <v>9098</v>
      </c>
      <c r="D4990" s="2">
        <v>1440</v>
      </c>
      <c r="E4990" s="2" t="s">
        <v>12477</v>
      </c>
      <c r="F4990" s="3" t="s">
        <v>14254</v>
      </c>
      <c r="H4990" s="3" t="s">
        <v>4551</v>
      </c>
      <c r="K4990" s="2">
        <v>20</v>
      </c>
      <c r="L4990" s="2">
        <v>3</v>
      </c>
      <c r="M4990" s="3" t="s">
        <v>3054</v>
      </c>
      <c r="N4990" s="3" t="s">
        <v>4925</v>
      </c>
      <c r="O4990" s="3" t="s">
        <v>4926</v>
      </c>
      <c r="P4990" s="3" t="s">
        <v>4927</v>
      </c>
      <c r="Q4990" s="30" t="str">
        <f t="shared" si="77"/>
        <v>MAX : 7.155
TARGET : 7.125
MIN : 7.080</v>
      </c>
    </row>
    <row r="4991" spans="2:18" ht="41.4" x14ac:dyDescent="0.3">
      <c r="B4991">
        <v>1</v>
      </c>
      <c r="C4991" s="33">
        <v>9100</v>
      </c>
      <c r="D4991" s="2">
        <v>1441</v>
      </c>
      <c r="E4991" s="2" t="s">
        <v>12483</v>
      </c>
      <c r="F4991" s="3" t="s">
        <v>14206</v>
      </c>
      <c r="H4991" s="3" t="s">
        <v>193</v>
      </c>
      <c r="I4991" s="3" t="s">
        <v>487</v>
      </c>
      <c r="K4991" s="2">
        <v>20</v>
      </c>
      <c r="L4991" s="2">
        <v>1</v>
      </c>
      <c r="M4991" s="3" t="s">
        <v>198</v>
      </c>
      <c r="N4991" s="3" t="s">
        <v>420</v>
      </c>
      <c r="O4991" s="3" t="s">
        <v>272</v>
      </c>
      <c r="P4991" s="3" t="s">
        <v>414</v>
      </c>
      <c r="Q4991" s="30" t="str">
        <f t="shared" si="77"/>
        <v>MAX : 1.03
TARGET : 1.00
MIN : 0.97</v>
      </c>
    </row>
    <row r="4992" spans="2:18" ht="41.4" x14ac:dyDescent="0.3">
      <c r="B4992">
        <v>1</v>
      </c>
      <c r="C4992" s="33">
        <v>9100</v>
      </c>
      <c r="D4992" s="2">
        <v>1441</v>
      </c>
      <c r="E4992" s="2" t="s">
        <v>12483</v>
      </c>
      <c r="F4992" s="3" t="s">
        <v>14206</v>
      </c>
      <c r="H4992" s="3" t="s">
        <v>193</v>
      </c>
      <c r="I4992" s="3" t="s">
        <v>487</v>
      </c>
      <c r="K4992" s="2">
        <v>10</v>
      </c>
      <c r="L4992" s="2">
        <v>1</v>
      </c>
      <c r="M4992" s="3" t="s">
        <v>3928</v>
      </c>
      <c r="N4992" s="3" t="s">
        <v>814</v>
      </c>
      <c r="O4992" s="3" t="s">
        <v>815</v>
      </c>
      <c r="P4992" s="3" t="s">
        <v>816</v>
      </c>
      <c r="Q4992" s="30" t="str">
        <f t="shared" si="77"/>
        <v>MAX : 3.03
TARGET : 3.00
MIN : 2.97</v>
      </c>
    </row>
    <row r="4993" spans="2:18" ht="41.4" x14ac:dyDescent="0.3">
      <c r="B4993">
        <v>1</v>
      </c>
      <c r="C4993" s="33">
        <v>9101</v>
      </c>
      <c r="D4993" s="2">
        <v>2067</v>
      </c>
      <c r="E4993" s="2" t="s">
        <v>12491</v>
      </c>
      <c r="F4993" s="3" t="s">
        <v>14206</v>
      </c>
      <c r="H4993" s="3" t="s">
        <v>5677</v>
      </c>
      <c r="I4993" s="3" t="s">
        <v>487</v>
      </c>
      <c r="K4993" s="2">
        <v>10</v>
      </c>
      <c r="L4993" s="2">
        <v>1</v>
      </c>
      <c r="M4993" s="3" t="s">
        <v>458</v>
      </c>
      <c r="N4993" s="3" t="s">
        <v>462</v>
      </c>
      <c r="O4993" s="3" t="s">
        <v>424</v>
      </c>
      <c r="P4993" s="3" t="s">
        <v>463</v>
      </c>
      <c r="Q4993" s="30" t="str">
        <f t="shared" si="77"/>
        <v>MAX : 0.28
TARGET : 0.25
MIN : 0.22</v>
      </c>
    </row>
    <row r="4994" spans="2:18" ht="41.4" x14ac:dyDescent="0.3">
      <c r="B4994">
        <v>1</v>
      </c>
      <c r="C4994" s="33">
        <v>9102</v>
      </c>
      <c r="D4994" s="2">
        <v>1442</v>
      </c>
      <c r="E4994" s="2" t="s">
        <v>12497</v>
      </c>
      <c r="F4994" s="3" t="s">
        <v>14206</v>
      </c>
      <c r="H4994" s="3" t="s">
        <v>1915</v>
      </c>
      <c r="K4994" s="2">
        <v>30</v>
      </c>
      <c r="L4994" s="2">
        <v>1</v>
      </c>
      <c r="M4994" s="3" t="s">
        <v>194</v>
      </c>
      <c r="N4994" s="3" t="s">
        <v>5071</v>
      </c>
      <c r="O4994" s="3" t="s">
        <v>3839</v>
      </c>
      <c r="P4994" s="3" t="s">
        <v>5072</v>
      </c>
      <c r="Q4994" s="30" t="str">
        <f t="shared" ref="Q4994:Q5057" si="78">"MAX : " &amp; P4994 &amp; CHAR(10) &amp; "TARGET : " &amp; O4994 &amp; CHAR(10) &amp; "MIN : " &amp; N4994</f>
        <v>MAX : 8.015
TARGET : 8.000
MIN : 7.985</v>
      </c>
      <c r="R4994" s="3" t="s">
        <v>4520</v>
      </c>
    </row>
    <row r="4995" spans="2:18" ht="41.4" x14ac:dyDescent="0.3">
      <c r="B4995">
        <v>1</v>
      </c>
      <c r="C4995" s="33">
        <v>9102</v>
      </c>
      <c r="D4995" s="2">
        <v>1442</v>
      </c>
      <c r="E4995" s="2" t="s">
        <v>12497</v>
      </c>
      <c r="F4995" s="3" t="s">
        <v>14206</v>
      </c>
      <c r="H4995" s="3" t="s">
        <v>1915</v>
      </c>
      <c r="K4995" s="2">
        <v>30</v>
      </c>
      <c r="L4995" s="2">
        <v>7</v>
      </c>
      <c r="M4995" s="3" t="s">
        <v>5148</v>
      </c>
      <c r="N4995" s="3" t="s">
        <v>2286</v>
      </c>
      <c r="O4995" s="3" t="s">
        <v>132</v>
      </c>
      <c r="P4995" s="3" t="s">
        <v>2287</v>
      </c>
      <c r="Q4995" s="30" t="str">
        <f t="shared" si="78"/>
        <v>MAX : 0.81
TARGET : 0.75
MIN : 0.69</v>
      </c>
      <c r="R4995" s="3" t="s">
        <v>4520</v>
      </c>
    </row>
    <row r="4996" spans="2:18" ht="41.4" x14ac:dyDescent="0.3">
      <c r="B4996">
        <v>0</v>
      </c>
      <c r="C4996" s="33">
        <v>9062</v>
      </c>
      <c r="D4996" s="2">
        <v>1416</v>
      </c>
      <c r="E4996" s="2" t="s">
        <v>12249</v>
      </c>
      <c r="F4996" s="29" t="s">
        <v>14258</v>
      </c>
      <c r="H4996" s="3" t="s">
        <v>648</v>
      </c>
      <c r="K4996" s="2">
        <v>100</v>
      </c>
      <c r="L4996" s="2">
        <v>5</v>
      </c>
      <c r="M4996" s="3" t="s">
        <v>5332</v>
      </c>
      <c r="N4996" s="3" t="s">
        <v>4530</v>
      </c>
      <c r="O4996" s="3" t="s">
        <v>2356</v>
      </c>
      <c r="P4996" s="3" t="s">
        <v>4524</v>
      </c>
      <c r="Q4996" s="30" t="str">
        <f t="shared" si="78"/>
        <v>MAX : 3.5
TARGET : 3.2
MIN : 3.0</v>
      </c>
      <c r="R4996" s="3" t="s">
        <v>5260</v>
      </c>
    </row>
    <row r="4997" spans="2:18" ht="41.4" x14ac:dyDescent="0.3">
      <c r="B4997">
        <v>0</v>
      </c>
      <c r="C4997" s="33">
        <v>9062</v>
      </c>
      <c r="D4997" s="2">
        <v>1416</v>
      </c>
      <c r="E4997" s="2" t="s">
        <v>12249</v>
      </c>
      <c r="F4997" s="29" t="s">
        <v>14258</v>
      </c>
      <c r="H4997" s="3" t="s">
        <v>648</v>
      </c>
      <c r="K4997" s="2">
        <v>100</v>
      </c>
      <c r="L4997" s="2">
        <v>6</v>
      </c>
      <c r="M4997" s="3" t="s">
        <v>5333</v>
      </c>
      <c r="N4997" s="3" t="s">
        <v>4027</v>
      </c>
      <c r="O4997" s="3" t="s">
        <v>1065</v>
      </c>
      <c r="P4997" s="3" t="s">
        <v>5334</v>
      </c>
      <c r="Q4997" s="30" t="str">
        <f t="shared" si="78"/>
        <v>MAX : 5.2
TARGET : 5.0
MIN : 4.8</v>
      </c>
      <c r="R4997" s="3" t="s">
        <v>5260</v>
      </c>
    </row>
    <row r="4998" spans="2:18" ht="41.4" x14ac:dyDescent="0.3">
      <c r="B4998">
        <v>0</v>
      </c>
      <c r="C4998" s="33">
        <v>9062</v>
      </c>
      <c r="D4998" s="2">
        <v>1416</v>
      </c>
      <c r="E4998" s="2" t="s">
        <v>12249</v>
      </c>
      <c r="F4998" s="29" t="s">
        <v>14258</v>
      </c>
      <c r="H4998" s="3" t="s">
        <v>648</v>
      </c>
      <c r="K4998" s="2">
        <v>100</v>
      </c>
      <c r="L4998" s="2">
        <v>7</v>
      </c>
      <c r="M4998" s="3" t="s">
        <v>5335</v>
      </c>
      <c r="N4998" s="3" t="s">
        <v>3793</v>
      </c>
      <c r="O4998" s="3" t="s">
        <v>3399</v>
      </c>
      <c r="P4998" s="3" t="s">
        <v>3797</v>
      </c>
      <c r="Q4998" s="30" t="str">
        <f t="shared" si="78"/>
        <v>MAX : 2.7
TARGET : 2.5
MIN : 2.3</v>
      </c>
      <c r="R4998" s="3" t="s">
        <v>5260</v>
      </c>
    </row>
    <row r="4999" spans="2:18" ht="41.4" x14ac:dyDescent="0.3">
      <c r="B4999">
        <v>0</v>
      </c>
      <c r="C4999" s="33">
        <v>9062</v>
      </c>
      <c r="D4999" s="2">
        <v>1416</v>
      </c>
      <c r="E4999" s="2" t="s">
        <v>12249</v>
      </c>
      <c r="F4999" s="29" t="s">
        <v>14258</v>
      </c>
      <c r="H4999" s="3" t="s">
        <v>648</v>
      </c>
      <c r="K4999" s="2">
        <v>100</v>
      </c>
      <c r="L4999" s="2">
        <v>8</v>
      </c>
      <c r="M4999" s="3" t="s">
        <v>5336</v>
      </c>
      <c r="N4999" s="3" t="s">
        <v>4953</v>
      </c>
      <c r="O4999" s="3" t="s">
        <v>2836</v>
      </c>
      <c r="P4999" s="3" t="s">
        <v>2540</v>
      </c>
      <c r="Q4999" s="30" t="str">
        <f t="shared" si="78"/>
        <v>MAX : 6.7
TARGET : 6.5
MIN : 6.3</v>
      </c>
      <c r="R4999" s="3" t="s">
        <v>5260</v>
      </c>
    </row>
    <row r="5000" spans="2:18" ht="41.4" x14ac:dyDescent="0.3">
      <c r="B5000">
        <v>0</v>
      </c>
      <c r="C5000" s="33">
        <v>9062</v>
      </c>
      <c r="D5000" s="2">
        <v>1416</v>
      </c>
      <c r="E5000" s="2" t="s">
        <v>12249</v>
      </c>
      <c r="F5000" s="29" t="s">
        <v>14258</v>
      </c>
      <c r="H5000" s="3" t="s">
        <v>648</v>
      </c>
      <c r="K5000" s="2">
        <v>110</v>
      </c>
      <c r="L5000" s="2">
        <v>1</v>
      </c>
      <c r="M5000" s="3" t="s">
        <v>5337</v>
      </c>
      <c r="N5000" s="3" t="s">
        <v>4868</v>
      </c>
      <c r="O5000" s="3" t="s">
        <v>658</v>
      </c>
      <c r="P5000" s="3" t="s">
        <v>3268</v>
      </c>
      <c r="Q5000" s="30" t="str">
        <f t="shared" si="78"/>
        <v>MAX : 25.2
TARGET : 25.0
MIN : 24.8</v>
      </c>
      <c r="R5000" s="3" t="s">
        <v>5260</v>
      </c>
    </row>
    <row r="5001" spans="2:18" ht="41.4" x14ac:dyDescent="0.3">
      <c r="B5001">
        <v>0</v>
      </c>
      <c r="C5001" s="33">
        <v>9062</v>
      </c>
      <c r="D5001" s="2">
        <v>1416</v>
      </c>
      <c r="E5001" s="2" t="s">
        <v>12249</v>
      </c>
      <c r="F5001" s="29" t="s">
        <v>14258</v>
      </c>
      <c r="H5001" s="3" t="s">
        <v>648</v>
      </c>
      <c r="K5001" s="2">
        <v>110</v>
      </c>
      <c r="L5001" s="2">
        <v>2</v>
      </c>
      <c r="M5001" s="3" t="s">
        <v>5338</v>
      </c>
      <c r="N5001" s="3" t="s">
        <v>4056</v>
      </c>
      <c r="O5001" s="3" t="s">
        <v>5287</v>
      </c>
      <c r="P5001" s="3" t="s">
        <v>2254</v>
      </c>
      <c r="Q5001" s="30" t="str">
        <f t="shared" si="78"/>
        <v>MAX : 13.2
TARGET : 13.0
MIN : 12.8</v>
      </c>
      <c r="R5001" s="3" t="s">
        <v>5260</v>
      </c>
    </row>
    <row r="5002" spans="2:18" ht="41.4" x14ac:dyDescent="0.3">
      <c r="B5002">
        <v>0</v>
      </c>
      <c r="C5002" s="33">
        <v>9062</v>
      </c>
      <c r="D5002" s="2">
        <v>1416</v>
      </c>
      <c r="E5002" s="2" t="s">
        <v>12249</v>
      </c>
      <c r="F5002" s="29" t="s">
        <v>14258</v>
      </c>
      <c r="H5002" s="3" t="s">
        <v>648</v>
      </c>
      <c r="K5002" s="2">
        <v>110</v>
      </c>
      <c r="L5002" s="2">
        <v>3</v>
      </c>
      <c r="M5002" s="3" t="s">
        <v>5332</v>
      </c>
      <c r="N5002" s="3" t="s">
        <v>795</v>
      </c>
      <c r="O5002" s="3" t="s">
        <v>2194</v>
      </c>
      <c r="P5002" s="3" t="s">
        <v>3252</v>
      </c>
      <c r="Q5002" s="30" t="str">
        <f t="shared" si="78"/>
        <v>MAX : 4.05
TARGET : 3.85
MIN : 3.65</v>
      </c>
      <c r="R5002" s="3" t="s">
        <v>5260</v>
      </c>
    </row>
    <row r="5003" spans="2:18" ht="41.4" x14ac:dyDescent="0.3">
      <c r="B5003">
        <v>0</v>
      </c>
      <c r="C5003" s="33">
        <v>9062</v>
      </c>
      <c r="D5003" s="2">
        <v>1416</v>
      </c>
      <c r="E5003" s="2" t="s">
        <v>12249</v>
      </c>
      <c r="F5003" s="29" t="s">
        <v>14258</v>
      </c>
      <c r="H5003" s="3" t="s">
        <v>648</v>
      </c>
      <c r="K5003" s="2">
        <v>110</v>
      </c>
      <c r="L5003" s="2">
        <v>4</v>
      </c>
      <c r="M5003" s="3" t="s">
        <v>5339</v>
      </c>
      <c r="N5003" s="3" t="s">
        <v>4027</v>
      </c>
      <c r="O5003" s="3" t="s">
        <v>1065</v>
      </c>
      <c r="P5003" s="3" t="s">
        <v>5334</v>
      </c>
      <c r="Q5003" s="30" t="str">
        <f t="shared" si="78"/>
        <v>MAX : 5.2
TARGET : 5.0
MIN : 4.8</v>
      </c>
      <c r="R5003" s="3" t="s">
        <v>5260</v>
      </c>
    </row>
    <row r="5004" spans="2:18" ht="41.4" x14ac:dyDescent="0.3">
      <c r="B5004">
        <v>0</v>
      </c>
      <c r="C5004" s="33">
        <v>9062</v>
      </c>
      <c r="D5004" s="2">
        <v>1416</v>
      </c>
      <c r="E5004" s="2" t="s">
        <v>12249</v>
      </c>
      <c r="F5004" s="29" t="s">
        <v>14258</v>
      </c>
      <c r="H5004" s="3" t="s">
        <v>648</v>
      </c>
      <c r="K5004" s="2">
        <v>110</v>
      </c>
      <c r="L5004" s="2">
        <v>5</v>
      </c>
      <c r="M5004" s="3" t="s">
        <v>5340</v>
      </c>
      <c r="N5004" s="3" t="s">
        <v>3793</v>
      </c>
      <c r="O5004" s="3" t="s">
        <v>3399</v>
      </c>
      <c r="P5004" s="3" t="s">
        <v>3797</v>
      </c>
      <c r="Q5004" s="30" t="str">
        <f t="shared" si="78"/>
        <v>MAX : 2.7
TARGET : 2.5
MIN : 2.3</v>
      </c>
      <c r="R5004" s="3" t="s">
        <v>5260</v>
      </c>
    </row>
    <row r="5005" spans="2:18" ht="41.4" x14ac:dyDescent="0.3">
      <c r="B5005">
        <v>0</v>
      </c>
      <c r="C5005" s="33">
        <v>9062</v>
      </c>
      <c r="D5005" s="2">
        <v>1416</v>
      </c>
      <c r="E5005" s="2" t="s">
        <v>12249</v>
      </c>
      <c r="F5005" s="29" t="s">
        <v>14258</v>
      </c>
      <c r="H5005" s="3" t="s">
        <v>648</v>
      </c>
      <c r="K5005" s="2">
        <v>110</v>
      </c>
      <c r="L5005" s="2">
        <v>6</v>
      </c>
      <c r="M5005" s="3" t="s">
        <v>5341</v>
      </c>
      <c r="N5005" s="3" t="s">
        <v>4953</v>
      </c>
      <c r="O5005" s="3" t="s">
        <v>2836</v>
      </c>
      <c r="P5005" s="3" t="s">
        <v>2540</v>
      </c>
      <c r="Q5005" s="30" t="str">
        <f t="shared" si="78"/>
        <v>MAX : 6.7
TARGET : 6.5
MIN : 6.3</v>
      </c>
      <c r="R5005" s="3" t="s">
        <v>5260</v>
      </c>
    </row>
    <row r="5006" spans="2:18" ht="41.4" x14ac:dyDescent="0.3">
      <c r="B5006">
        <v>0</v>
      </c>
      <c r="C5006" s="33">
        <v>9062</v>
      </c>
      <c r="D5006" s="2">
        <v>1416</v>
      </c>
      <c r="E5006" s="2" t="s">
        <v>12249</v>
      </c>
      <c r="F5006" s="29" t="s">
        <v>14258</v>
      </c>
      <c r="H5006" s="3" t="s">
        <v>648</v>
      </c>
      <c r="K5006" s="2">
        <v>120</v>
      </c>
      <c r="L5006" s="2">
        <v>1</v>
      </c>
      <c r="M5006" s="3" t="s">
        <v>5342</v>
      </c>
      <c r="N5006" s="3" t="s">
        <v>4868</v>
      </c>
      <c r="O5006" s="3" t="s">
        <v>658</v>
      </c>
      <c r="P5006" s="3" t="s">
        <v>3268</v>
      </c>
      <c r="Q5006" s="30" t="str">
        <f t="shared" si="78"/>
        <v>MAX : 25.2
TARGET : 25.0
MIN : 24.8</v>
      </c>
      <c r="R5006" s="3" t="s">
        <v>5260</v>
      </c>
    </row>
    <row r="5007" spans="2:18" ht="41.4" x14ac:dyDescent="0.3">
      <c r="B5007">
        <v>0</v>
      </c>
      <c r="C5007" s="33">
        <v>9062</v>
      </c>
      <c r="D5007" s="2">
        <v>1416</v>
      </c>
      <c r="E5007" s="2" t="s">
        <v>12249</v>
      </c>
      <c r="F5007" s="29" t="s">
        <v>14258</v>
      </c>
      <c r="H5007" s="3" t="s">
        <v>648</v>
      </c>
      <c r="K5007" s="2">
        <v>120</v>
      </c>
      <c r="L5007" s="2">
        <v>2</v>
      </c>
      <c r="M5007" s="3" t="s">
        <v>5343</v>
      </c>
      <c r="N5007" s="3" t="s">
        <v>4056</v>
      </c>
      <c r="O5007" s="3" t="s">
        <v>5287</v>
      </c>
      <c r="P5007" s="3" t="s">
        <v>2254</v>
      </c>
      <c r="Q5007" s="30" t="str">
        <f t="shared" si="78"/>
        <v>MAX : 13.2
TARGET : 13.0
MIN : 12.8</v>
      </c>
      <c r="R5007" s="3" t="s">
        <v>5260</v>
      </c>
    </row>
    <row r="5008" spans="2:18" ht="41.4" x14ac:dyDescent="0.3">
      <c r="B5008">
        <v>0</v>
      </c>
      <c r="C5008" s="33">
        <v>9062</v>
      </c>
      <c r="D5008" s="2">
        <v>1416</v>
      </c>
      <c r="E5008" s="2" t="s">
        <v>12249</v>
      </c>
      <c r="F5008" s="29" t="s">
        <v>14258</v>
      </c>
      <c r="H5008" s="3" t="s">
        <v>648</v>
      </c>
      <c r="K5008" s="2">
        <v>120</v>
      </c>
      <c r="L5008" s="2">
        <v>3</v>
      </c>
      <c r="M5008" s="3" t="s">
        <v>5344</v>
      </c>
      <c r="N5008" s="3" t="s">
        <v>24</v>
      </c>
      <c r="O5008" s="3" t="s">
        <v>25</v>
      </c>
      <c r="Q5008" s="30" t="str">
        <f t="shared" si="78"/>
        <v>MAX : 
TARGET : Yes (Pass)
MIN : No (Fail)</v>
      </c>
      <c r="R5008" s="3" t="s">
        <v>5260</v>
      </c>
    </row>
    <row r="5009" spans="2:18" ht="41.4" x14ac:dyDescent="0.3">
      <c r="B5009">
        <v>0</v>
      </c>
      <c r="C5009" s="33">
        <v>9062</v>
      </c>
      <c r="D5009" s="2">
        <v>1416</v>
      </c>
      <c r="E5009" s="2" t="s">
        <v>12249</v>
      </c>
      <c r="F5009" s="29" t="s">
        <v>14258</v>
      </c>
      <c r="H5009" s="3" t="s">
        <v>648</v>
      </c>
      <c r="K5009" s="2">
        <v>120</v>
      </c>
      <c r="L5009" s="2">
        <v>4</v>
      </c>
      <c r="M5009" s="3" t="s">
        <v>5345</v>
      </c>
      <c r="N5009" s="3" t="s">
        <v>4868</v>
      </c>
      <c r="O5009" s="3" t="s">
        <v>658</v>
      </c>
      <c r="P5009" s="3" t="s">
        <v>3268</v>
      </c>
      <c r="Q5009" s="30" t="str">
        <f t="shared" si="78"/>
        <v>MAX : 25.2
TARGET : 25.0
MIN : 24.8</v>
      </c>
      <c r="R5009" s="3" t="s">
        <v>5260</v>
      </c>
    </row>
    <row r="5010" spans="2:18" ht="41.4" x14ac:dyDescent="0.3">
      <c r="B5010">
        <v>0</v>
      </c>
      <c r="C5010" s="33">
        <v>9062</v>
      </c>
      <c r="D5010" s="2">
        <v>1416</v>
      </c>
      <c r="E5010" s="2" t="s">
        <v>12249</v>
      </c>
      <c r="F5010" s="29" t="s">
        <v>14258</v>
      </c>
      <c r="H5010" s="3" t="s">
        <v>648</v>
      </c>
      <c r="K5010" s="2">
        <v>120</v>
      </c>
      <c r="L5010" s="2">
        <v>5</v>
      </c>
      <c r="M5010" s="3" t="s">
        <v>5346</v>
      </c>
      <c r="N5010" s="3" t="s">
        <v>4056</v>
      </c>
      <c r="O5010" s="3" t="s">
        <v>5287</v>
      </c>
      <c r="P5010" s="3" t="s">
        <v>2254</v>
      </c>
      <c r="Q5010" s="30" t="str">
        <f t="shared" si="78"/>
        <v>MAX : 13.2
TARGET : 13.0
MIN : 12.8</v>
      </c>
      <c r="R5010" s="3" t="s">
        <v>5260</v>
      </c>
    </row>
    <row r="5011" spans="2:18" ht="41.4" x14ac:dyDescent="0.3">
      <c r="B5011">
        <v>0</v>
      </c>
      <c r="C5011" s="33">
        <v>9062</v>
      </c>
      <c r="D5011" s="2">
        <v>1416</v>
      </c>
      <c r="E5011" s="2" t="s">
        <v>12249</v>
      </c>
      <c r="F5011" s="29" t="s">
        <v>14258</v>
      </c>
      <c r="H5011" s="3" t="s">
        <v>648</v>
      </c>
      <c r="K5011" s="2">
        <v>120</v>
      </c>
      <c r="L5011" s="2">
        <v>6</v>
      </c>
      <c r="M5011" s="3" t="s">
        <v>5347</v>
      </c>
      <c r="N5011" s="3" t="s">
        <v>24</v>
      </c>
      <c r="O5011" s="3" t="s">
        <v>25</v>
      </c>
      <c r="Q5011" s="30" t="str">
        <f t="shared" si="78"/>
        <v>MAX : 
TARGET : Yes (Pass)
MIN : No (Fail)</v>
      </c>
      <c r="R5011" s="3" t="s">
        <v>5260</v>
      </c>
    </row>
    <row r="5012" spans="2:18" ht="41.4" x14ac:dyDescent="0.3">
      <c r="B5012">
        <v>0</v>
      </c>
      <c r="C5012" s="33">
        <v>9062</v>
      </c>
      <c r="D5012" s="2">
        <v>1416</v>
      </c>
      <c r="E5012" s="2" t="s">
        <v>12249</v>
      </c>
      <c r="F5012" s="29" t="s">
        <v>14258</v>
      </c>
      <c r="H5012" s="3" t="s">
        <v>648</v>
      </c>
      <c r="K5012" s="2">
        <v>100</v>
      </c>
      <c r="L5012" s="2">
        <v>1</v>
      </c>
      <c r="M5012" s="3" t="s">
        <v>5348</v>
      </c>
      <c r="N5012" s="3" t="s">
        <v>5349</v>
      </c>
      <c r="O5012" s="3" t="s">
        <v>555</v>
      </c>
      <c r="P5012" s="3" t="s">
        <v>5350</v>
      </c>
      <c r="Q5012" s="30" t="str">
        <f t="shared" si="78"/>
        <v>MAX : .14
TARGET : .13
MIN : .12</v>
      </c>
      <c r="R5012" s="3" t="s">
        <v>5260</v>
      </c>
    </row>
    <row r="5013" spans="2:18" ht="41.4" x14ac:dyDescent="0.3">
      <c r="B5013">
        <v>0</v>
      </c>
      <c r="C5013" s="33">
        <v>9062</v>
      </c>
      <c r="D5013" s="2">
        <v>1416</v>
      </c>
      <c r="E5013" s="2" t="s">
        <v>12249</v>
      </c>
      <c r="F5013" s="29" t="s">
        <v>14258</v>
      </c>
      <c r="H5013" s="3" t="s">
        <v>648</v>
      </c>
      <c r="K5013" s="2">
        <v>100</v>
      </c>
      <c r="L5013" s="2">
        <v>2</v>
      </c>
      <c r="M5013" s="3" t="s">
        <v>5351</v>
      </c>
      <c r="N5013" s="3" t="s">
        <v>5352</v>
      </c>
      <c r="O5013" s="3" t="s">
        <v>5280</v>
      </c>
      <c r="P5013" s="3" t="s">
        <v>5353</v>
      </c>
      <c r="Q5013" s="30" t="str">
        <f t="shared" si="78"/>
        <v>MAX : .027
TARGET : .025
MIN : .023</v>
      </c>
      <c r="R5013" s="3" t="s">
        <v>5260</v>
      </c>
    </row>
    <row r="5014" spans="2:18" ht="41.4" x14ac:dyDescent="0.3">
      <c r="B5014">
        <v>1</v>
      </c>
      <c r="C5014" s="33">
        <v>9102</v>
      </c>
      <c r="D5014" s="2">
        <v>1442</v>
      </c>
      <c r="E5014" s="2" t="s">
        <v>12497</v>
      </c>
      <c r="F5014" s="3" t="s">
        <v>14206</v>
      </c>
      <c r="H5014" s="3" t="s">
        <v>1915</v>
      </c>
      <c r="K5014" s="2">
        <v>20</v>
      </c>
      <c r="L5014" s="2">
        <v>1</v>
      </c>
      <c r="M5014" s="3" t="s">
        <v>3054</v>
      </c>
      <c r="N5014" s="3" t="s">
        <v>5069</v>
      </c>
      <c r="O5014" s="3" t="s">
        <v>826</v>
      </c>
      <c r="P5014" s="3" t="s">
        <v>5070</v>
      </c>
      <c r="Q5014" s="30" t="str">
        <f t="shared" si="78"/>
        <v>MAX : 8.28
TARGET : 8.25
MIN : 8.22</v>
      </c>
      <c r="R5014" s="3" t="s">
        <v>4520</v>
      </c>
    </row>
    <row r="5015" spans="2:18" ht="41.4" x14ac:dyDescent="0.3">
      <c r="B5015">
        <v>0</v>
      </c>
      <c r="C5015" s="33">
        <v>9081</v>
      </c>
      <c r="D5015" s="2">
        <v>1428</v>
      </c>
      <c r="E5015" s="2" t="s">
        <v>12369</v>
      </c>
      <c r="F5015" s="29" t="s">
        <v>14252</v>
      </c>
      <c r="H5015" s="3" t="s">
        <v>4856</v>
      </c>
      <c r="I5015" s="3" t="s">
        <v>575</v>
      </c>
      <c r="K5015" s="2">
        <v>10</v>
      </c>
      <c r="L5015" s="2">
        <v>1</v>
      </c>
      <c r="M5015" s="3" t="s">
        <v>109</v>
      </c>
      <c r="N5015" s="3" t="s">
        <v>252</v>
      </c>
      <c r="O5015" s="3" t="s">
        <v>253</v>
      </c>
      <c r="P5015" s="3" t="s">
        <v>128</v>
      </c>
      <c r="Q5015" s="30" t="str">
        <f t="shared" si="78"/>
        <v>MAX : 4.03
TARGET : 4.00
MIN : 3.97</v>
      </c>
    </row>
    <row r="5016" spans="2:18" ht="41.4" x14ac:dyDescent="0.3">
      <c r="B5016">
        <v>1</v>
      </c>
      <c r="C5016" s="33">
        <v>9102</v>
      </c>
      <c r="D5016" s="2">
        <v>1442</v>
      </c>
      <c r="E5016" s="2" t="s">
        <v>12497</v>
      </c>
      <c r="F5016" s="3" t="s">
        <v>14206</v>
      </c>
      <c r="H5016" s="3" t="s">
        <v>1915</v>
      </c>
      <c r="K5016" s="2">
        <v>20</v>
      </c>
      <c r="L5016" s="2">
        <v>2</v>
      </c>
      <c r="M5016" s="3" t="s">
        <v>5141</v>
      </c>
      <c r="N5016" s="3" t="s">
        <v>13</v>
      </c>
      <c r="O5016" s="3" t="s">
        <v>14</v>
      </c>
      <c r="Q5016" s="30" t="str">
        <f t="shared" si="78"/>
        <v>MAX : 
TARGET : Yes(Pass)
MIN : No(Fail)</v>
      </c>
      <c r="R5016" s="3" t="s">
        <v>4520</v>
      </c>
    </row>
    <row r="5017" spans="2:18" ht="41.4" x14ac:dyDescent="0.3">
      <c r="B5017">
        <v>1</v>
      </c>
      <c r="C5017" s="33">
        <v>9103</v>
      </c>
      <c r="D5017" s="2">
        <v>1443</v>
      </c>
      <c r="E5017" s="2" t="s">
        <v>12504</v>
      </c>
      <c r="F5017" s="3" t="s">
        <v>14206</v>
      </c>
      <c r="H5017" s="3" t="s">
        <v>648</v>
      </c>
      <c r="K5017" s="2">
        <v>20</v>
      </c>
      <c r="L5017" s="2">
        <v>2</v>
      </c>
      <c r="M5017" s="3" t="s">
        <v>5141</v>
      </c>
      <c r="N5017" s="3" t="s">
        <v>13</v>
      </c>
      <c r="O5017" s="3" t="s">
        <v>14</v>
      </c>
      <c r="Q5017" s="30" t="str">
        <f t="shared" si="78"/>
        <v>MAX : 
TARGET : Yes(Pass)
MIN : No(Fail)</v>
      </c>
      <c r="R5017" s="3" t="s">
        <v>4520</v>
      </c>
    </row>
    <row r="5018" spans="2:18" ht="41.4" x14ac:dyDescent="0.3">
      <c r="B5018">
        <v>1</v>
      </c>
      <c r="C5018" s="33">
        <v>9103</v>
      </c>
      <c r="D5018" s="2">
        <v>1443</v>
      </c>
      <c r="E5018" s="2" t="s">
        <v>12504</v>
      </c>
      <c r="F5018" s="3" t="s">
        <v>14206</v>
      </c>
      <c r="H5018" s="3" t="s">
        <v>648</v>
      </c>
      <c r="K5018" s="2">
        <v>20</v>
      </c>
      <c r="L5018" s="2">
        <v>1</v>
      </c>
      <c r="M5018" s="3" t="s">
        <v>3054</v>
      </c>
      <c r="N5018" s="3" t="s">
        <v>5139</v>
      </c>
      <c r="O5018" s="3" t="s">
        <v>3200</v>
      </c>
      <c r="P5018" s="3" t="s">
        <v>5140</v>
      </c>
      <c r="Q5018" s="30" t="str">
        <f t="shared" si="78"/>
        <v>MAX : 9.03
TARGET : 9.00
MIN : 8.97</v>
      </c>
      <c r="R5018" s="3" t="s">
        <v>4520</v>
      </c>
    </row>
    <row r="5019" spans="2:18" ht="41.4" x14ac:dyDescent="0.3">
      <c r="B5019">
        <v>1</v>
      </c>
      <c r="C5019" s="33">
        <v>9103</v>
      </c>
      <c r="D5019" s="2">
        <v>1443</v>
      </c>
      <c r="E5019" s="2" t="s">
        <v>12504</v>
      </c>
      <c r="F5019" s="3" t="s">
        <v>14206</v>
      </c>
      <c r="H5019" s="3" t="s">
        <v>648</v>
      </c>
      <c r="K5019" s="2">
        <v>20</v>
      </c>
      <c r="L5019" s="2">
        <v>3</v>
      </c>
      <c r="M5019" s="3" t="s">
        <v>6171</v>
      </c>
      <c r="N5019" s="3" t="s">
        <v>13</v>
      </c>
      <c r="O5019" s="3" t="s">
        <v>14</v>
      </c>
      <c r="Q5019" s="30" t="str">
        <f t="shared" si="78"/>
        <v>MAX : 
TARGET : Yes(Pass)
MIN : No(Fail)</v>
      </c>
      <c r="R5019" s="3" t="s">
        <v>4520</v>
      </c>
    </row>
    <row r="5020" spans="2:18" ht="41.4" x14ac:dyDescent="0.3">
      <c r="B5020">
        <v>1</v>
      </c>
      <c r="C5020" s="33">
        <v>9106</v>
      </c>
      <c r="D5020" s="2">
        <v>2068</v>
      </c>
      <c r="E5020" s="2" t="s">
        <v>12511</v>
      </c>
      <c r="F5020" s="3" t="s">
        <v>14206</v>
      </c>
      <c r="H5020" s="3" t="s">
        <v>269</v>
      </c>
      <c r="K5020" s="2">
        <v>20</v>
      </c>
      <c r="L5020" s="2">
        <v>2</v>
      </c>
      <c r="M5020" s="3" t="s">
        <v>3772</v>
      </c>
      <c r="N5020" s="3" t="s">
        <v>13</v>
      </c>
      <c r="O5020" s="3" t="s">
        <v>14</v>
      </c>
      <c r="Q5020" s="30" t="str">
        <f t="shared" si="78"/>
        <v>MAX : 
TARGET : Yes(Pass)
MIN : No(Fail)</v>
      </c>
    </row>
    <row r="5021" spans="2:18" ht="41.4" x14ac:dyDescent="0.3">
      <c r="B5021">
        <v>1</v>
      </c>
      <c r="C5021" s="33">
        <v>9106</v>
      </c>
      <c r="D5021" s="2">
        <v>2068</v>
      </c>
      <c r="E5021" s="2" t="s">
        <v>12511</v>
      </c>
      <c r="F5021" s="3" t="s">
        <v>14206</v>
      </c>
      <c r="H5021" s="3" t="s">
        <v>269</v>
      </c>
      <c r="K5021" s="2">
        <v>20</v>
      </c>
      <c r="L5021" s="2">
        <v>1</v>
      </c>
      <c r="M5021" s="3" t="s">
        <v>99</v>
      </c>
      <c r="N5021" s="3" t="s">
        <v>767</v>
      </c>
      <c r="O5021" s="3" t="s">
        <v>253</v>
      </c>
      <c r="P5021" s="3" t="s">
        <v>129</v>
      </c>
      <c r="Q5021" s="30" t="str">
        <f t="shared" si="78"/>
        <v>MAX : 4.06
TARGET : 4.00
MIN : 3.94</v>
      </c>
    </row>
    <row r="5022" spans="2:18" ht="41.4" x14ac:dyDescent="0.3">
      <c r="B5022">
        <v>1</v>
      </c>
      <c r="C5022" s="33">
        <v>9107</v>
      </c>
      <c r="D5022" s="2">
        <v>2069</v>
      </c>
      <c r="E5022" s="2" t="s">
        <v>12517</v>
      </c>
      <c r="F5022" s="3" t="s">
        <v>14206</v>
      </c>
      <c r="H5022" s="3" t="s">
        <v>4909</v>
      </c>
      <c r="K5022" s="2">
        <v>10</v>
      </c>
      <c r="L5022" s="2">
        <v>2</v>
      </c>
      <c r="M5022" s="3" t="s">
        <v>611</v>
      </c>
      <c r="N5022" s="3" t="s">
        <v>13</v>
      </c>
      <c r="O5022" s="3" t="s">
        <v>14</v>
      </c>
      <c r="Q5022" s="30" t="str">
        <f t="shared" si="78"/>
        <v>MAX : 
TARGET : Yes(Pass)
MIN : No(Fail)</v>
      </c>
    </row>
    <row r="5023" spans="2:18" ht="41.4" x14ac:dyDescent="0.3">
      <c r="B5023">
        <v>0</v>
      </c>
      <c r="C5023" s="33">
        <v>9187</v>
      </c>
      <c r="D5023" s="2">
        <v>1497</v>
      </c>
      <c r="E5023" s="2" t="s">
        <v>13003</v>
      </c>
      <c r="F5023" s="3" t="s">
        <v>14206</v>
      </c>
      <c r="H5023" s="3" t="s">
        <v>3464</v>
      </c>
      <c r="K5023" s="2">
        <v>10</v>
      </c>
      <c r="L5023" s="2">
        <v>4</v>
      </c>
      <c r="M5023" s="3" t="s">
        <v>3465</v>
      </c>
      <c r="N5023" s="3" t="s">
        <v>13</v>
      </c>
      <c r="O5023" s="3" t="s">
        <v>14</v>
      </c>
      <c r="Q5023" s="30" t="str">
        <f t="shared" si="78"/>
        <v>MAX : 
TARGET : Yes(Pass)
MIN : No(Fail)</v>
      </c>
    </row>
    <row r="5024" spans="2:18" ht="41.4" x14ac:dyDescent="0.3">
      <c r="B5024">
        <v>0</v>
      </c>
      <c r="C5024" s="33">
        <v>9187</v>
      </c>
      <c r="D5024" s="2">
        <v>1497</v>
      </c>
      <c r="E5024" s="2" t="s">
        <v>13003</v>
      </c>
      <c r="F5024" s="3" t="s">
        <v>14206</v>
      </c>
      <c r="H5024" s="3" t="s">
        <v>3464</v>
      </c>
      <c r="K5024" s="2">
        <v>10</v>
      </c>
      <c r="L5024" s="2">
        <v>1</v>
      </c>
      <c r="M5024" s="3" t="s">
        <v>3467</v>
      </c>
      <c r="N5024" s="3" t="s">
        <v>13</v>
      </c>
      <c r="O5024" s="3" t="s">
        <v>14</v>
      </c>
      <c r="Q5024" s="30" t="str">
        <f t="shared" si="78"/>
        <v>MAX : 
TARGET : Yes(Pass)
MIN : No(Fail)</v>
      </c>
    </row>
    <row r="5025" spans="2:18" ht="41.4" x14ac:dyDescent="0.3">
      <c r="B5025">
        <v>1</v>
      </c>
      <c r="C5025" s="33">
        <v>9107</v>
      </c>
      <c r="D5025" s="2">
        <v>2069</v>
      </c>
      <c r="E5025" s="2" t="s">
        <v>12517</v>
      </c>
      <c r="F5025" s="3" t="s">
        <v>14206</v>
      </c>
      <c r="H5025" s="3" t="s">
        <v>4909</v>
      </c>
      <c r="K5025" s="2">
        <v>10</v>
      </c>
      <c r="L5025" s="2">
        <v>1</v>
      </c>
      <c r="M5025" s="3" t="s">
        <v>458</v>
      </c>
      <c r="N5025" s="3" t="s">
        <v>3091</v>
      </c>
      <c r="O5025" s="3" t="s">
        <v>184</v>
      </c>
      <c r="P5025" s="3" t="s">
        <v>3092</v>
      </c>
      <c r="Q5025" s="30" t="str">
        <f t="shared" si="78"/>
        <v>MAX : 5.06
TARGET : 5.00
MIN : 4.94</v>
      </c>
    </row>
    <row r="5026" spans="2:18" ht="41.4" x14ac:dyDescent="0.3">
      <c r="B5026">
        <v>1</v>
      </c>
      <c r="C5026" s="33">
        <v>9108</v>
      </c>
      <c r="D5026" s="2">
        <v>2070</v>
      </c>
      <c r="E5026" s="2" t="s">
        <v>12524</v>
      </c>
      <c r="F5026" s="3" t="s">
        <v>14206</v>
      </c>
      <c r="H5026" s="3" t="s">
        <v>4909</v>
      </c>
      <c r="K5026" s="2">
        <v>10</v>
      </c>
      <c r="L5026" s="2">
        <v>2</v>
      </c>
      <c r="M5026" s="3" t="s">
        <v>611</v>
      </c>
      <c r="N5026" s="3" t="s">
        <v>13</v>
      </c>
      <c r="O5026" s="3" t="s">
        <v>14</v>
      </c>
      <c r="Q5026" s="30" t="str">
        <f t="shared" si="78"/>
        <v>MAX : 
TARGET : Yes(Pass)
MIN : No(Fail)</v>
      </c>
    </row>
    <row r="5027" spans="2:18" ht="41.4" x14ac:dyDescent="0.3">
      <c r="B5027">
        <v>0</v>
      </c>
      <c r="C5027" s="33">
        <v>9086</v>
      </c>
      <c r="D5027" s="2">
        <v>1431</v>
      </c>
      <c r="E5027" s="2" t="s">
        <v>12401</v>
      </c>
      <c r="F5027" s="3" t="s">
        <v>14206</v>
      </c>
      <c r="H5027" s="3" t="s">
        <v>426</v>
      </c>
      <c r="K5027" s="2">
        <v>20</v>
      </c>
      <c r="L5027" s="2">
        <v>1</v>
      </c>
      <c r="M5027" s="3" t="s">
        <v>5418</v>
      </c>
      <c r="O5027" s="3" t="s">
        <v>1038</v>
      </c>
      <c r="P5027" s="3" t="s">
        <v>3581</v>
      </c>
      <c r="Q5027" s="30" t="str">
        <f t="shared" si="78"/>
        <v xml:space="preserve">MAX : 0.0115
TARGET : 0.000
MIN : </v>
      </c>
      <c r="R5027" s="3" t="s">
        <v>1638</v>
      </c>
    </row>
    <row r="5028" spans="2:18" ht="41.4" x14ac:dyDescent="0.3">
      <c r="B5028">
        <v>1</v>
      </c>
      <c r="C5028" s="33">
        <v>9108</v>
      </c>
      <c r="D5028" s="2">
        <v>2070</v>
      </c>
      <c r="E5028" s="2" t="s">
        <v>12524</v>
      </c>
      <c r="F5028" s="3" t="s">
        <v>14206</v>
      </c>
      <c r="H5028" s="3" t="s">
        <v>4909</v>
      </c>
      <c r="K5028" s="2">
        <v>10</v>
      </c>
      <c r="L5028" s="2">
        <v>1</v>
      </c>
      <c r="M5028" s="3" t="s">
        <v>458</v>
      </c>
      <c r="N5028" s="3" t="s">
        <v>3091</v>
      </c>
      <c r="O5028" s="3" t="s">
        <v>184</v>
      </c>
      <c r="P5028" s="3" t="s">
        <v>3092</v>
      </c>
      <c r="Q5028" s="30" t="str">
        <f t="shared" si="78"/>
        <v>MAX : 5.06
TARGET : 5.00
MIN : 4.94</v>
      </c>
    </row>
    <row r="5029" spans="2:18" ht="41.4" x14ac:dyDescent="0.3">
      <c r="B5029">
        <v>1</v>
      </c>
      <c r="C5029" s="33">
        <v>9109</v>
      </c>
      <c r="D5029" s="2">
        <v>2071</v>
      </c>
      <c r="E5029" s="2" t="s">
        <v>12530</v>
      </c>
      <c r="F5029" s="3" t="s">
        <v>14206</v>
      </c>
      <c r="H5029" s="3" t="s">
        <v>4910</v>
      </c>
      <c r="K5029" s="2">
        <v>10</v>
      </c>
      <c r="L5029" s="2">
        <v>2</v>
      </c>
      <c r="M5029" s="3" t="s">
        <v>325</v>
      </c>
      <c r="N5029" s="3" t="s">
        <v>13</v>
      </c>
      <c r="O5029" s="3" t="s">
        <v>14</v>
      </c>
      <c r="Q5029" s="30" t="str">
        <f t="shared" si="78"/>
        <v>MAX : 
TARGET : Yes(Pass)
MIN : No(Fail)</v>
      </c>
    </row>
    <row r="5030" spans="2:18" ht="41.4" x14ac:dyDescent="0.3">
      <c r="B5030">
        <v>0</v>
      </c>
      <c r="C5030" s="33">
        <v>9190</v>
      </c>
      <c r="D5030" s="2">
        <v>1499</v>
      </c>
      <c r="E5030" s="2" t="s">
        <v>13015</v>
      </c>
      <c r="F5030" s="3" t="s">
        <v>14206</v>
      </c>
      <c r="H5030" s="3" t="s">
        <v>5362</v>
      </c>
      <c r="K5030" s="2">
        <v>10</v>
      </c>
      <c r="L5030" s="2">
        <v>3</v>
      </c>
      <c r="M5030" s="3" t="s">
        <v>74</v>
      </c>
      <c r="N5030" s="3" t="s">
        <v>2256</v>
      </c>
      <c r="O5030" s="3" t="s">
        <v>2401</v>
      </c>
      <c r="P5030" s="3" t="s">
        <v>2402</v>
      </c>
      <c r="Q5030" s="30" t="str">
        <f t="shared" si="78"/>
        <v>MAX : 41.0
TARGET : 40.0
MIN : 39.0</v>
      </c>
      <c r="R5030" s="3" t="s">
        <v>1638</v>
      </c>
    </row>
    <row r="5031" spans="2:18" ht="41.4" x14ac:dyDescent="0.3">
      <c r="B5031">
        <v>1</v>
      </c>
      <c r="C5031" s="33">
        <v>9109</v>
      </c>
      <c r="D5031" s="2">
        <v>2071</v>
      </c>
      <c r="E5031" s="2" t="s">
        <v>12530</v>
      </c>
      <c r="F5031" s="3" t="s">
        <v>14206</v>
      </c>
      <c r="H5031" s="3" t="s">
        <v>4910</v>
      </c>
      <c r="K5031" s="2">
        <v>10</v>
      </c>
      <c r="L5031" s="2">
        <v>1</v>
      </c>
      <c r="M5031" s="3" t="s">
        <v>458</v>
      </c>
      <c r="N5031" s="3" t="s">
        <v>983</v>
      </c>
      <c r="O5031" s="3" t="s">
        <v>241</v>
      </c>
      <c r="P5031" s="3" t="s">
        <v>984</v>
      </c>
      <c r="Q5031" s="30" t="str">
        <f t="shared" si="78"/>
        <v>MAX : 0.155
TARGET : 0.125
MIN : 0.095</v>
      </c>
    </row>
    <row r="5032" spans="2:18" ht="41.4" x14ac:dyDescent="0.3">
      <c r="B5032">
        <v>1</v>
      </c>
      <c r="C5032" s="33">
        <v>9109</v>
      </c>
      <c r="D5032" s="2">
        <v>2071</v>
      </c>
      <c r="E5032" s="2" t="s">
        <v>12530</v>
      </c>
      <c r="F5032" s="3" t="s">
        <v>14206</v>
      </c>
      <c r="H5032" s="3" t="s">
        <v>4910</v>
      </c>
      <c r="K5032" s="2">
        <v>10</v>
      </c>
      <c r="L5032" s="2">
        <v>4</v>
      </c>
      <c r="M5032" s="3" t="s">
        <v>4912</v>
      </c>
      <c r="N5032" s="3" t="s">
        <v>13</v>
      </c>
      <c r="O5032" s="3" t="s">
        <v>14</v>
      </c>
      <c r="Q5032" s="30" t="str">
        <f t="shared" si="78"/>
        <v>MAX : 
TARGET : Yes(Pass)
MIN : No(Fail)</v>
      </c>
    </row>
    <row r="5033" spans="2:18" ht="41.4" x14ac:dyDescent="0.3">
      <c r="B5033">
        <v>0</v>
      </c>
      <c r="C5033" s="33">
        <v>9191</v>
      </c>
      <c r="D5033" s="2">
        <v>2094</v>
      </c>
      <c r="E5033" s="2" t="s">
        <v>13023</v>
      </c>
      <c r="F5033" s="3" t="s">
        <v>14207</v>
      </c>
      <c r="H5033" s="3" t="s">
        <v>4760</v>
      </c>
      <c r="K5033" s="2">
        <v>20</v>
      </c>
      <c r="L5033" s="2">
        <v>3</v>
      </c>
      <c r="M5033" s="3" t="s">
        <v>4763</v>
      </c>
      <c r="N5033" s="3" t="s">
        <v>13</v>
      </c>
      <c r="O5033" s="3" t="s">
        <v>14</v>
      </c>
      <c r="Q5033" s="30" t="str">
        <f t="shared" si="78"/>
        <v>MAX : 
TARGET : Yes(Pass)
MIN : No(Fail)</v>
      </c>
    </row>
    <row r="5034" spans="2:18" ht="41.4" x14ac:dyDescent="0.3">
      <c r="B5034">
        <v>0</v>
      </c>
      <c r="C5034" s="33">
        <v>9191</v>
      </c>
      <c r="D5034" s="2">
        <v>2094</v>
      </c>
      <c r="E5034" s="2" t="s">
        <v>13023</v>
      </c>
      <c r="F5034" s="3" t="s">
        <v>14207</v>
      </c>
      <c r="H5034" s="3" t="s">
        <v>4760</v>
      </c>
      <c r="K5034" s="2">
        <v>20</v>
      </c>
      <c r="L5034" s="2">
        <v>4</v>
      </c>
      <c r="M5034" s="3" t="s">
        <v>4777</v>
      </c>
      <c r="N5034" s="3" t="s">
        <v>13</v>
      </c>
      <c r="O5034" s="3" t="s">
        <v>14</v>
      </c>
      <c r="Q5034" s="30" t="str">
        <f t="shared" si="78"/>
        <v>MAX : 
TARGET : Yes(Pass)
MIN : No(Fail)</v>
      </c>
    </row>
    <row r="5035" spans="2:18" ht="41.4" x14ac:dyDescent="0.3">
      <c r="B5035">
        <v>1</v>
      </c>
      <c r="C5035" s="33">
        <v>9110</v>
      </c>
      <c r="D5035" s="2">
        <v>2072</v>
      </c>
      <c r="E5035" s="2" t="s">
        <v>12536</v>
      </c>
      <c r="F5035" s="3" t="s">
        <v>14206</v>
      </c>
      <c r="H5035" s="3" t="s">
        <v>4910</v>
      </c>
      <c r="K5035" s="2">
        <v>10</v>
      </c>
      <c r="L5035" s="2">
        <v>2</v>
      </c>
      <c r="M5035" s="3" t="s">
        <v>325</v>
      </c>
      <c r="N5035" s="3" t="s">
        <v>13</v>
      </c>
      <c r="O5035" s="3" t="s">
        <v>14</v>
      </c>
      <c r="Q5035" s="30" t="str">
        <f t="shared" si="78"/>
        <v>MAX : 
TARGET : Yes(Pass)
MIN : No(Fail)</v>
      </c>
    </row>
    <row r="5036" spans="2:18" ht="41.4" x14ac:dyDescent="0.3">
      <c r="B5036">
        <v>1</v>
      </c>
      <c r="C5036" s="33">
        <v>9110</v>
      </c>
      <c r="D5036" s="2">
        <v>2072</v>
      </c>
      <c r="E5036" s="2" t="s">
        <v>12536</v>
      </c>
      <c r="F5036" s="3" t="s">
        <v>14206</v>
      </c>
      <c r="H5036" s="3" t="s">
        <v>4910</v>
      </c>
      <c r="K5036" s="2">
        <v>10</v>
      </c>
      <c r="L5036" s="2">
        <v>1</v>
      </c>
      <c r="M5036" s="3" t="s">
        <v>458</v>
      </c>
      <c r="N5036" s="3" t="s">
        <v>983</v>
      </c>
      <c r="O5036" s="3" t="s">
        <v>241</v>
      </c>
      <c r="P5036" s="3" t="s">
        <v>984</v>
      </c>
      <c r="Q5036" s="30" t="str">
        <f t="shared" si="78"/>
        <v>MAX : 0.155
TARGET : 0.125
MIN : 0.095</v>
      </c>
    </row>
    <row r="5037" spans="2:18" ht="41.4" x14ac:dyDescent="0.3">
      <c r="B5037">
        <v>0</v>
      </c>
      <c r="C5037" s="33">
        <v>9193</v>
      </c>
      <c r="D5037" s="2">
        <v>2095</v>
      </c>
      <c r="E5037" s="2" t="s">
        <v>13033</v>
      </c>
      <c r="F5037" s="3" t="s">
        <v>14207</v>
      </c>
      <c r="H5037" s="3" t="s">
        <v>4760</v>
      </c>
      <c r="K5037" s="2">
        <v>20</v>
      </c>
      <c r="L5037" s="2">
        <v>3</v>
      </c>
      <c r="M5037" s="3" t="s">
        <v>4763</v>
      </c>
      <c r="N5037" s="3" t="s">
        <v>13</v>
      </c>
      <c r="O5037" s="3" t="s">
        <v>14</v>
      </c>
      <c r="Q5037" s="30" t="str">
        <f t="shared" si="78"/>
        <v>MAX : 
TARGET : Yes(Pass)
MIN : No(Fail)</v>
      </c>
    </row>
    <row r="5038" spans="2:18" ht="41.4" x14ac:dyDescent="0.3">
      <c r="B5038">
        <v>0</v>
      </c>
      <c r="C5038" s="33">
        <v>9193</v>
      </c>
      <c r="D5038" s="2">
        <v>2095</v>
      </c>
      <c r="E5038" s="2" t="s">
        <v>13033</v>
      </c>
      <c r="F5038" s="3" t="s">
        <v>14207</v>
      </c>
      <c r="H5038" s="3" t="s">
        <v>4760</v>
      </c>
      <c r="K5038" s="2">
        <v>20</v>
      </c>
      <c r="L5038" s="2">
        <v>4</v>
      </c>
      <c r="M5038" s="3" t="s">
        <v>4777</v>
      </c>
      <c r="N5038" s="3" t="s">
        <v>13</v>
      </c>
      <c r="O5038" s="3" t="s">
        <v>14</v>
      </c>
      <c r="Q5038" s="30" t="str">
        <f t="shared" si="78"/>
        <v>MAX : 
TARGET : Yes(Pass)
MIN : No(Fail)</v>
      </c>
    </row>
    <row r="5039" spans="2:18" ht="41.4" x14ac:dyDescent="0.3">
      <c r="B5039">
        <v>1</v>
      </c>
      <c r="C5039" s="33">
        <v>9111</v>
      </c>
      <c r="D5039" s="2">
        <v>1444</v>
      </c>
      <c r="E5039" s="2" t="s">
        <v>12542</v>
      </c>
      <c r="F5039" s="3" t="s">
        <v>14207</v>
      </c>
      <c r="H5039" s="3" t="s">
        <v>426</v>
      </c>
      <c r="K5039" s="2">
        <v>20</v>
      </c>
      <c r="L5039" s="2">
        <v>2</v>
      </c>
      <c r="M5039" s="3" t="s">
        <v>570</v>
      </c>
      <c r="N5039" s="3" t="s">
        <v>4913</v>
      </c>
      <c r="O5039" s="3" t="s">
        <v>3024</v>
      </c>
      <c r="P5039" s="3" t="s">
        <v>4914</v>
      </c>
      <c r="Q5039" s="30" t="str">
        <f t="shared" si="78"/>
        <v>MAX : 28.8
TARGET : 28.0
MIN : 27.2</v>
      </c>
    </row>
    <row r="5040" spans="2:18" ht="41.4" x14ac:dyDescent="0.3">
      <c r="B5040">
        <v>1</v>
      </c>
      <c r="C5040" s="33">
        <v>9111</v>
      </c>
      <c r="D5040" s="2">
        <v>1444</v>
      </c>
      <c r="E5040" s="2" t="s">
        <v>12542</v>
      </c>
      <c r="F5040" s="3" t="s">
        <v>14207</v>
      </c>
      <c r="H5040" s="3" t="s">
        <v>426</v>
      </c>
      <c r="K5040" s="2">
        <v>20</v>
      </c>
      <c r="L5040" s="2">
        <v>1</v>
      </c>
      <c r="M5040" s="3" t="s">
        <v>194</v>
      </c>
      <c r="N5040" s="3" t="s">
        <v>4913</v>
      </c>
      <c r="O5040" s="3" t="s">
        <v>3024</v>
      </c>
      <c r="P5040" s="3" t="s">
        <v>4914</v>
      </c>
      <c r="Q5040" s="30" t="str">
        <f t="shared" si="78"/>
        <v>MAX : 28.8
TARGET : 28.0
MIN : 27.2</v>
      </c>
    </row>
    <row r="5041" spans="2:18" ht="41.4" x14ac:dyDescent="0.3">
      <c r="B5041">
        <v>0</v>
      </c>
      <c r="C5041" s="33">
        <v>9194</v>
      </c>
      <c r="D5041" s="2">
        <v>2096</v>
      </c>
      <c r="E5041" s="2" t="s">
        <v>13037</v>
      </c>
      <c r="F5041" s="3" t="s">
        <v>14207</v>
      </c>
      <c r="H5041" s="3" t="s">
        <v>4760</v>
      </c>
      <c r="K5041" s="2">
        <v>20</v>
      </c>
      <c r="L5041" s="2">
        <v>3</v>
      </c>
      <c r="M5041" s="3" t="s">
        <v>4763</v>
      </c>
      <c r="N5041" s="3" t="s">
        <v>13</v>
      </c>
      <c r="O5041" s="3" t="s">
        <v>14</v>
      </c>
      <c r="Q5041" s="30" t="str">
        <f t="shared" si="78"/>
        <v>MAX : 
TARGET : Yes(Pass)
MIN : No(Fail)</v>
      </c>
    </row>
    <row r="5042" spans="2:18" ht="41.4" x14ac:dyDescent="0.3">
      <c r="B5042">
        <v>0</v>
      </c>
      <c r="C5042" s="33">
        <v>9194</v>
      </c>
      <c r="D5042" s="2">
        <v>2096</v>
      </c>
      <c r="E5042" s="2" t="s">
        <v>13037</v>
      </c>
      <c r="F5042" s="3" t="s">
        <v>14207</v>
      </c>
      <c r="H5042" s="3" t="s">
        <v>4760</v>
      </c>
      <c r="K5042" s="2">
        <v>20</v>
      </c>
      <c r="L5042" s="2">
        <v>4</v>
      </c>
      <c r="M5042" s="3" t="s">
        <v>4777</v>
      </c>
      <c r="N5042" s="3" t="s">
        <v>13</v>
      </c>
      <c r="O5042" s="3" t="s">
        <v>14</v>
      </c>
      <c r="Q5042" s="30" t="str">
        <f t="shared" si="78"/>
        <v>MAX : 
TARGET : Yes(Pass)
MIN : No(Fail)</v>
      </c>
    </row>
    <row r="5043" spans="2:18" ht="41.4" x14ac:dyDescent="0.3">
      <c r="B5043">
        <v>1</v>
      </c>
      <c r="C5043" s="33">
        <v>9112</v>
      </c>
      <c r="D5043" s="2">
        <v>1445</v>
      </c>
      <c r="E5043" s="2" t="s">
        <v>12550</v>
      </c>
      <c r="F5043" s="3" t="s">
        <v>14206</v>
      </c>
      <c r="H5043" s="3" t="s">
        <v>4933</v>
      </c>
      <c r="K5043" s="2">
        <v>20</v>
      </c>
      <c r="L5043" s="2">
        <v>1</v>
      </c>
      <c r="M5043" s="3" t="s">
        <v>4558</v>
      </c>
      <c r="N5043" s="3" t="s">
        <v>344</v>
      </c>
      <c r="O5043" s="3" t="s">
        <v>28</v>
      </c>
      <c r="P5043" s="3" t="s">
        <v>345</v>
      </c>
      <c r="Q5043" s="30" t="str">
        <f t="shared" si="78"/>
        <v>MAX : 1.75
TARGET : 1.50
MIN : 1.25</v>
      </c>
    </row>
    <row r="5044" spans="2:18" ht="41.4" x14ac:dyDescent="0.3">
      <c r="B5044">
        <v>1</v>
      </c>
      <c r="C5044" s="33">
        <v>9112</v>
      </c>
      <c r="D5044" s="2">
        <v>1445</v>
      </c>
      <c r="E5044" s="2" t="s">
        <v>12550</v>
      </c>
      <c r="F5044" s="3" t="s">
        <v>14206</v>
      </c>
      <c r="H5044" s="3" t="s">
        <v>4933</v>
      </c>
      <c r="K5044" s="2">
        <v>10</v>
      </c>
      <c r="L5044" s="2">
        <v>1</v>
      </c>
      <c r="M5044" s="3" t="s">
        <v>4558</v>
      </c>
      <c r="N5044" s="3" t="s">
        <v>4559</v>
      </c>
      <c r="O5044" s="3" t="s">
        <v>3200</v>
      </c>
      <c r="P5044" s="3" t="s">
        <v>4560</v>
      </c>
      <c r="Q5044" s="30" t="str">
        <f t="shared" si="78"/>
        <v>MAX : 9.13
TARGET : 9.00
MIN : 8.87</v>
      </c>
    </row>
    <row r="5045" spans="2:18" ht="41.4" x14ac:dyDescent="0.3">
      <c r="B5045">
        <v>0</v>
      </c>
      <c r="C5045" s="33">
        <v>9195</v>
      </c>
      <c r="D5045" s="2">
        <v>2097</v>
      </c>
      <c r="E5045" s="2" t="s">
        <v>13040</v>
      </c>
      <c r="F5045" s="3" t="s">
        <v>14207</v>
      </c>
      <c r="H5045" s="3" t="s">
        <v>4760</v>
      </c>
      <c r="K5045" s="2">
        <v>20</v>
      </c>
      <c r="L5045" s="2">
        <v>3</v>
      </c>
      <c r="M5045" s="3" t="s">
        <v>4763</v>
      </c>
      <c r="N5045" s="3" t="s">
        <v>13</v>
      </c>
      <c r="O5045" s="3" t="s">
        <v>14</v>
      </c>
      <c r="Q5045" s="30" t="str">
        <f t="shared" si="78"/>
        <v>MAX : 
TARGET : Yes(Pass)
MIN : No(Fail)</v>
      </c>
    </row>
    <row r="5046" spans="2:18" ht="41.4" x14ac:dyDescent="0.3">
      <c r="B5046">
        <v>0</v>
      </c>
      <c r="C5046" s="33">
        <v>9195</v>
      </c>
      <c r="D5046" s="2">
        <v>2097</v>
      </c>
      <c r="E5046" s="2" t="s">
        <v>13040</v>
      </c>
      <c r="F5046" s="3" t="s">
        <v>14207</v>
      </c>
      <c r="H5046" s="3" t="s">
        <v>4760</v>
      </c>
      <c r="K5046" s="2">
        <v>20</v>
      </c>
      <c r="L5046" s="2">
        <v>4</v>
      </c>
      <c r="M5046" s="3" t="s">
        <v>4777</v>
      </c>
      <c r="N5046" s="3" t="s">
        <v>13</v>
      </c>
      <c r="O5046" s="3" t="s">
        <v>14</v>
      </c>
      <c r="Q5046" s="30" t="str">
        <f t="shared" si="78"/>
        <v>MAX : 
TARGET : Yes(Pass)
MIN : No(Fail)</v>
      </c>
    </row>
    <row r="5047" spans="2:18" ht="41.4" x14ac:dyDescent="0.3">
      <c r="B5047">
        <v>1</v>
      </c>
      <c r="C5047" s="33">
        <v>9113</v>
      </c>
      <c r="D5047" s="2">
        <v>1446</v>
      </c>
      <c r="E5047" s="2" t="s">
        <v>12558</v>
      </c>
      <c r="F5047" s="3" t="s">
        <v>4520</v>
      </c>
      <c r="H5047" s="3" t="s">
        <v>4998</v>
      </c>
      <c r="K5047" s="2">
        <v>30</v>
      </c>
      <c r="L5047" s="2">
        <v>1</v>
      </c>
      <c r="M5047" s="3" t="s">
        <v>4998</v>
      </c>
      <c r="Q5047" s="30" t="str">
        <f t="shared" si="78"/>
        <v xml:space="preserve">MAX : 
TARGET : 
MIN : </v>
      </c>
      <c r="R5047" s="3" t="s">
        <v>4520</v>
      </c>
    </row>
    <row r="5048" spans="2:18" ht="41.4" x14ac:dyDescent="0.3">
      <c r="B5048">
        <v>1</v>
      </c>
      <c r="C5048" s="33">
        <v>9114</v>
      </c>
      <c r="D5048" s="2">
        <v>1447</v>
      </c>
      <c r="E5048" s="2" t="s">
        <v>12565</v>
      </c>
      <c r="F5048" s="3" t="s">
        <v>14206</v>
      </c>
      <c r="H5048" s="3" t="s">
        <v>4933</v>
      </c>
      <c r="K5048" s="2">
        <v>20</v>
      </c>
      <c r="L5048" s="2">
        <v>1</v>
      </c>
      <c r="M5048" s="3" t="s">
        <v>4558</v>
      </c>
      <c r="N5048" s="3" t="s">
        <v>344</v>
      </c>
      <c r="O5048" s="3" t="s">
        <v>28</v>
      </c>
      <c r="P5048" s="3" t="s">
        <v>345</v>
      </c>
      <c r="Q5048" s="30" t="str">
        <f t="shared" si="78"/>
        <v>MAX : 1.75
TARGET : 1.50
MIN : 1.25</v>
      </c>
    </row>
    <row r="5049" spans="2:18" ht="41.4" x14ac:dyDescent="0.3">
      <c r="B5049">
        <v>0</v>
      </c>
      <c r="C5049" s="33">
        <v>9196</v>
      </c>
      <c r="D5049" s="2">
        <v>2098</v>
      </c>
      <c r="E5049" s="2" t="s">
        <v>13043</v>
      </c>
      <c r="F5049" s="3" t="s">
        <v>14207</v>
      </c>
      <c r="H5049" s="3" t="s">
        <v>4760</v>
      </c>
      <c r="K5049" s="2">
        <v>20</v>
      </c>
      <c r="L5049" s="2">
        <v>3</v>
      </c>
      <c r="M5049" s="3" t="s">
        <v>4763</v>
      </c>
      <c r="N5049" s="3" t="s">
        <v>13</v>
      </c>
      <c r="O5049" s="3" t="s">
        <v>14</v>
      </c>
      <c r="Q5049" s="30" t="str">
        <f t="shared" si="78"/>
        <v>MAX : 
TARGET : Yes(Pass)
MIN : No(Fail)</v>
      </c>
    </row>
    <row r="5050" spans="2:18" ht="41.4" x14ac:dyDescent="0.3">
      <c r="B5050">
        <v>0</v>
      </c>
      <c r="C5050" s="33">
        <v>9196</v>
      </c>
      <c r="D5050" s="2">
        <v>2098</v>
      </c>
      <c r="E5050" s="2" t="s">
        <v>13043</v>
      </c>
      <c r="F5050" s="3" t="s">
        <v>14207</v>
      </c>
      <c r="H5050" s="3" t="s">
        <v>4760</v>
      </c>
      <c r="K5050" s="2">
        <v>20</v>
      </c>
      <c r="L5050" s="2">
        <v>4</v>
      </c>
      <c r="M5050" s="3" t="s">
        <v>4777</v>
      </c>
      <c r="N5050" s="3" t="s">
        <v>13</v>
      </c>
      <c r="O5050" s="3" t="s">
        <v>14</v>
      </c>
      <c r="Q5050" s="30" t="str">
        <f t="shared" si="78"/>
        <v>MAX : 
TARGET : Yes(Pass)
MIN : No(Fail)</v>
      </c>
    </row>
    <row r="5051" spans="2:18" ht="41.4" x14ac:dyDescent="0.3">
      <c r="B5051">
        <v>0</v>
      </c>
      <c r="C5051" s="33">
        <v>9196</v>
      </c>
      <c r="D5051" s="2">
        <v>2098</v>
      </c>
      <c r="E5051" s="2" t="s">
        <v>13043</v>
      </c>
      <c r="F5051" s="3" t="s">
        <v>14207</v>
      </c>
      <c r="H5051" s="3" t="s">
        <v>4760</v>
      </c>
      <c r="K5051" s="2">
        <v>20</v>
      </c>
      <c r="L5051" s="2">
        <v>5</v>
      </c>
      <c r="M5051" s="3" t="s">
        <v>5365</v>
      </c>
      <c r="O5051" s="3" t="s">
        <v>5366</v>
      </c>
      <c r="P5051" s="3" t="s">
        <v>5367</v>
      </c>
      <c r="Q5051" s="30" t="str">
        <f t="shared" si="78"/>
        <v xml:space="preserve">MAX : 40 
TARGET : &lt;40
MIN : </v>
      </c>
    </row>
    <row r="5052" spans="2:18" ht="41.4" x14ac:dyDescent="0.3">
      <c r="B5052">
        <v>1</v>
      </c>
      <c r="C5052" s="33">
        <v>9114</v>
      </c>
      <c r="D5052" s="2">
        <v>1447</v>
      </c>
      <c r="E5052" s="2" t="s">
        <v>12565</v>
      </c>
      <c r="F5052" s="3" t="s">
        <v>14206</v>
      </c>
      <c r="H5052" s="3" t="s">
        <v>4933</v>
      </c>
      <c r="K5052" s="2">
        <v>10</v>
      </c>
      <c r="L5052" s="2">
        <v>1</v>
      </c>
      <c r="M5052" s="3" t="s">
        <v>4558</v>
      </c>
      <c r="N5052" s="3" t="s">
        <v>4559</v>
      </c>
      <c r="O5052" s="3" t="s">
        <v>3200</v>
      </c>
      <c r="P5052" s="3" t="s">
        <v>4560</v>
      </c>
      <c r="Q5052" s="30" t="str">
        <f t="shared" si="78"/>
        <v>MAX : 9.13
TARGET : 9.00
MIN : 8.87</v>
      </c>
    </row>
    <row r="5053" spans="2:18" ht="41.4" x14ac:dyDescent="0.3">
      <c r="B5053">
        <v>1</v>
      </c>
      <c r="C5053" s="33">
        <v>9115</v>
      </c>
      <c r="D5053" s="2">
        <v>1448</v>
      </c>
      <c r="E5053" s="2" t="s">
        <v>12573</v>
      </c>
      <c r="F5053" s="3" t="s">
        <v>14206</v>
      </c>
      <c r="H5053" s="3" t="s">
        <v>4933</v>
      </c>
      <c r="K5053" s="2">
        <v>20</v>
      </c>
      <c r="L5053" s="2">
        <v>1</v>
      </c>
      <c r="M5053" s="3" t="s">
        <v>4558</v>
      </c>
      <c r="N5053" s="3" t="s">
        <v>344</v>
      </c>
      <c r="O5053" s="3" t="s">
        <v>28</v>
      </c>
      <c r="P5053" s="3" t="s">
        <v>345</v>
      </c>
      <c r="Q5053" s="30" t="str">
        <f t="shared" si="78"/>
        <v>MAX : 1.75
TARGET : 1.50
MIN : 1.25</v>
      </c>
    </row>
    <row r="5054" spans="2:18" ht="41.4" x14ac:dyDescent="0.3">
      <c r="B5054">
        <v>0</v>
      </c>
      <c r="C5054" s="33">
        <v>9197</v>
      </c>
      <c r="D5054" s="2">
        <v>2099</v>
      </c>
      <c r="E5054" s="2" t="s">
        <v>13047</v>
      </c>
      <c r="F5054" s="3" t="s">
        <v>14206</v>
      </c>
      <c r="H5054" s="3" t="s">
        <v>824</v>
      </c>
      <c r="K5054" s="2">
        <v>10</v>
      </c>
      <c r="L5054" s="2">
        <v>3</v>
      </c>
      <c r="M5054" s="3" t="s">
        <v>5369</v>
      </c>
      <c r="N5054" s="3" t="s">
        <v>13</v>
      </c>
      <c r="O5054" s="3" t="s">
        <v>14</v>
      </c>
      <c r="Q5054" s="30" t="str">
        <f t="shared" si="78"/>
        <v>MAX : 
TARGET : Yes(Pass)
MIN : No(Fail)</v>
      </c>
      <c r="R5054" s="3" t="s">
        <v>1473</v>
      </c>
    </row>
    <row r="5055" spans="2:18" ht="41.4" x14ac:dyDescent="0.3">
      <c r="B5055">
        <v>1</v>
      </c>
      <c r="C5055" s="33">
        <v>9115</v>
      </c>
      <c r="D5055" s="2">
        <v>1448</v>
      </c>
      <c r="E5055" s="2" t="s">
        <v>12573</v>
      </c>
      <c r="F5055" s="3" t="s">
        <v>14206</v>
      </c>
      <c r="H5055" s="3" t="s">
        <v>4933</v>
      </c>
      <c r="K5055" s="2">
        <v>10</v>
      </c>
      <c r="L5055" s="2">
        <v>1</v>
      </c>
      <c r="M5055" s="3" t="s">
        <v>4558</v>
      </c>
      <c r="N5055" s="3" t="s">
        <v>4559</v>
      </c>
      <c r="O5055" s="3" t="s">
        <v>3200</v>
      </c>
      <c r="P5055" s="3" t="s">
        <v>4560</v>
      </c>
      <c r="Q5055" s="30" t="str">
        <f t="shared" si="78"/>
        <v>MAX : 9.13
TARGET : 9.00
MIN : 8.87</v>
      </c>
    </row>
    <row r="5056" spans="2:18" ht="41.4" x14ac:dyDescent="0.3">
      <c r="B5056">
        <v>1</v>
      </c>
      <c r="C5056" s="33">
        <v>9116</v>
      </c>
      <c r="D5056" s="2">
        <v>2073</v>
      </c>
      <c r="E5056" s="2" t="s">
        <v>12581</v>
      </c>
      <c r="F5056" s="3" t="s">
        <v>14206</v>
      </c>
      <c r="H5056" s="3" t="s">
        <v>824</v>
      </c>
      <c r="K5056" s="2">
        <v>10</v>
      </c>
      <c r="L5056" s="2">
        <v>2</v>
      </c>
      <c r="M5056" s="3" t="s">
        <v>325</v>
      </c>
      <c r="N5056" s="3" t="s">
        <v>13</v>
      </c>
      <c r="O5056" s="3" t="s">
        <v>14</v>
      </c>
      <c r="Q5056" s="30" t="str">
        <f t="shared" si="78"/>
        <v>MAX : 
TARGET : Yes(Pass)
MIN : No(Fail)</v>
      </c>
    </row>
    <row r="5057" spans="2:17" ht="41.4" x14ac:dyDescent="0.3">
      <c r="B5057">
        <v>0</v>
      </c>
      <c r="C5057" s="33">
        <v>9198</v>
      </c>
      <c r="D5057" s="2">
        <v>1501</v>
      </c>
      <c r="E5057" s="2" t="s">
        <v>13054</v>
      </c>
      <c r="F5057" s="3" t="s">
        <v>14259</v>
      </c>
      <c r="H5057" s="3" t="s">
        <v>5370</v>
      </c>
      <c r="K5057" s="2">
        <v>20</v>
      </c>
      <c r="L5057" s="2">
        <v>3</v>
      </c>
      <c r="M5057" s="3" t="s">
        <v>198</v>
      </c>
      <c r="N5057" s="3" t="s">
        <v>5375</v>
      </c>
      <c r="O5057" s="3" t="s">
        <v>5376</v>
      </c>
      <c r="P5057" s="3" t="s">
        <v>5377</v>
      </c>
      <c r="Q5057" s="30" t="str">
        <f t="shared" si="78"/>
        <v>MAX : 3.819
TARGET : 3.811
MIN : 3.803</v>
      </c>
    </row>
    <row r="5058" spans="2:17" ht="41.4" x14ac:dyDescent="0.3">
      <c r="B5058">
        <v>1</v>
      </c>
      <c r="C5058" s="33">
        <v>9116</v>
      </c>
      <c r="D5058" s="2">
        <v>2073</v>
      </c>
      <c r="E5058" s="2" t="s">
        <v>12581</v>
      </c>
      <c r="F5058" s="3" t="s">
        <v>14206</v>
      </c>
      <c r="H5058" s="3" t="s">
        <v>824</v>
      </c>
      <c r="K5058" s="2">
        <v>10</v>
      </c>
      <c r="L5058" s="2">
        <v>1</v>
      </c>
      <c r="M5058" s="3" t="s">
        <v>4932</v>
      </c>
      <c r="N5058" s="3" t="s">
        <v>752</v>
      </c>
      <c r="O5058" s="3" t="s">
        <v>345</v>
      </c>
      <c r="P5058" s="3" t="s">
        <v>1769</v>
      </c>
      <c r="Q5058" s="30" t="str">
        <f t="shared" ref="Q5058:Q5121" si="79">"MAX : " &amp; P5058 &amp; CHAR(10) &amp; "TARGET : " &amp; O5058 &amp; CHAR(10) &amp; "MIN : " &amp; N5058</f>
        <v>MAX : 1.78
TARGET : 1.75
MIN : 1.72</v>
      </c>
    </row>
    <row r="5059" spans="2:17" ht="41.4" x14ac:dyDescent="0.3">
      <c r="B5059">
        <v>1</v>
      </c>
      <c r="C5059" s="33">
        <v>9117</v>
      </c>
      <c r="D5059" s="2">
        <v>1449</v>
      </c>
      <c r="E5059" s="2" t="s">
        <v>12587</v>
      </c>
      <c r="F5059" s="3" t="s">
        <v>14255</v>
      </c>
      <c r="H5059" s="3" t="s">
        <v>4941</v>
      </c>
      <c r="K5059" s="2">
        <v>30</v>
      </c>
      <c r="L5059" s="2">
        <v>1</v>
      </c>
      <c r="M5059" s="3" t="s">
        <v>4945</v>
      </c>
      <c r="N5059" s="3" t="s">
        <v>418</v>
      </c>
      <c r="O5059" s="3" t="s">
        <v>2206</v>
      </c>
      <c r="P5059" s="3" t="s">
        <v>384</v>
      </c>
      <c r="Q5059" s="30" t="str">
        <f t="shared" si="79"/>
        <v>MAX : 1.82
TARGET : 1.52
MIN : 1.22</v>
      </c>
    </row>
    <row r="5060" spans="2:17" ht="41.4" x14ac:dyDescent="0.3">
      <c r="B5060">
        <v>0</v>
      </c>
      <c r="C5060" s="33">
        <v>9192</v>
      </c>
      <c r="D5060" s="2">
        <v>1500</v>
      </c>
      <c r="E5060" s="2" t="s">
        <v>13027</v>
      </c>
      <c r="F5060" s="3" t="s">
        <v>14206</v>
      </c>
      <c r="H5060" s="3" t="s">
        <v>426</v>
      </c>
      <c r="K5060" s="2">
        <v>20</v>
      </c>
      <c r="L5060" s="2">
        <v>3</v>
      </c>
      <c r="M5060" s="3" t="s">
        <v>5379</v>
      </c>
      <c r="N5060" s="3" t="s">
        <v>13</v>
      </c>
      <c r="O5060" s="3" t="s">
        <v>14</v>
      </c>
      <c r="Q5060" s="30" t="str">
        <f t="shared" si="79"/>
        <v>MAX : 
TARGET : Yes(Pass)
MIN : No(Fail)</v>
      </c>
    </row>
    <row r="5061" spans="2:17" ht="41.4" x14ac:dyDescent="0.3">
      <c r="B5061">
        <v>0</v>
      </c>
      <c r="C5061" s="33">
        <v>9192</v>
      </c>
      <c r="D5061" s="2">
        <v>1500</v>
      </c>
      <c r="E5061" s="2" t="s">
        <v>13027</v>
      </c>
      <c r="F5061" s="3" t="s">
        <v>14206</v>
      </c>
      <c r="H5061" s="3" t="s">
        <v>426</v>
      </c>
      <c r="K5061" s="2">
        <v>30</v>
      </c>
      <c r="L5061" s="2">
        <v>1</v>
      </c>
      <c r="M5061" s="3" t="s">
        <v>5380</v>
      </c>
      <c r="N5061" s="3" t="s">
        <v>1997</v>
      </c>
      <c r="O5061" s="3" t="s">
        <v>5381</v>
      </c>
      <c r="P5061" s="3" t="s">
        <v>5382</v>
      </c>
      <c r="Q5061" s="30" t="str">
        <f t="shared" si="79"/>
        <v>MAX : 1.696
TARGET : 1.691
MIN : 1.686</v>
      </c>
    </row>
    <row r="5062" spans="2:17" ht="41.4" x14ac:dyDescent="0.3">
      <c r="B5062">
        <v>0</v>
      </c>
      <c r="C5062" s="33">
        <v>9192</v>
      </c>
      <c r="D5062" s="2">
        <v>1500</v>
      </c>
      <c r="E5062" s="2" t="s">
        <v>13027</v>
      </c>
      <c r="F5062" s="3" t="s">
        <v>14206</v>
      </c>
      <c r="H5062" s="3" t="s">
        <v>426</v>
      </c>
      <c r="K5062" s="2">
        <v>30</v>
      </c>
      <c r="L5062" s="2">
        <v>2</v>
      </c>
      <c r="M5062" s="3" t="s">
        <v>3883</v>
      </c>
      <c r="N5062" s="3" t="s">
        <v>1997</v>
      </c>
      <c r="O5062" s="3" t="s">
        <v>5381</v>
      </c>
      <c r="P5062" s="3" t="s">
        <v>5382</v>
      </c>
      <c r="Q5062" s="30" t="str">
        <f t="shared" si="79"/>
        <v>MAX : 1.696
TARGET : 1.691
MIN : 1.686</v>
      </c>
    </row>
    <row r="5063" spans="2:17" ht="41.4" x14ac:dyDescent="0.3">
      <c r="B5063">
        <v>0</v>
      </c>
      <c r="C5063" s="33">
        <v>9192</v>
      </c>
      <c r="D5063" s="2">
        <v>1500</v>
      </c>
      <c r="E5063" s="2" t="s">
        <v>13027</v>
      </c>
      <c r="F5063" s="3" t="s">
        <v>14206</v>
      </c>
      <c r="H5063" s="3" t="s">
        <v>426</v>
      </c>
      <c r="K5063" s="2">
        <v>30</v>
      </c>
      <c r="L5063" s="2">
        <v>3</v>
      </c>
      <c r="M5063" s="3" t="s">
        <v>198</v>
      </c>
      <c r="N5063" s="3" t="s">
        <v>5383</v>
      </c>
      <c r="O5063" s="3" t="s">
        <v>5384</v>
      </c>
      <c r="P5063" s="3" t="s">
        <v>5385</v>
      </c>
      <c r="Q5063" s="30" t="str">
        <f t="shared" si="79"/>
        <v>MAX : 1.941
TARGET : 1.895
MIN : 1.848</v>
      </c>
    </row>
    <row r="5064" spans="2:17" ht="41.4" x14ac:dyDescent="0.3">
      <c r="B5064">
        <v>0</v>
      </c>
      <c r="C5064" s="33">
        <v>9192</v>
      </c>
      <c r="D5064" s="2">
        <v>1500</v>
      </c>
      <c r="E5064" s="2" t="s">
        <v>13027</v>
      </c>
      <c r="F5064" s="3" t="s">
        <v>14206</v>
      </c>
      <c r="H5064" s="3" t="s">
        <v>426</v>
      </c>
      <c r="K5064" s="2">
        <v>30</v>
      </c>
      <c r="L5064" s="2">
        <v>7</v>
      </c>
      <c r="M5064" s="3" t="s">
        <v>5386</v>
      </c>
      <c r="N5064" s="3" t="s">
        <v>13</v>
      </c>
      <c r="O5064" s="3" t="s">
        <v>14</v>
      </c>
      <c r="Q5064" s="30" t="str">
        <f t="shared" si="79"/>
        <v>MAX : 
TARGET : Yes(Pass)
MIN : No(Fail)</v>
      </c>
    </row>
    <row r="5065" spans="2:17" ht="41.4" x14ac:dyDescent="0.3">
      <c r="B5065">
        <v>0</v>
      </c>
      <c r="C5065" s="33">
        <v>9192</v>
      </c>
      <c r="D5065" s="2">
        <v>1500</v>
      </c>
      <c r="E5065" s="2" t="s">
        <v>13027</v>
      </c>
      <c r="F5065" s="3" t="s">
        <v>14206</v>
      </c>
      <c r="H5065" s="3" t="s">
        <v>426</v>
      </c>
      <c r="K5065" s="2">
        <v>30</v>
      </c>
      <c r="L5065" s="2">
        <v>8</v>
      </c>
      <c r="M5065" s="3" t="s">
        <v>4172</v>
      </c>
      <c r="N5065" s="3" t="s">
        <v>13</v>
      </c>
      <c r="O5065" s="3" t="s">
        <v>14</v>
      </c>
      <c r="Q5065" s="30" t="str">
        <f t="shared" si="79"/>
        <v>MAX : 
TARGET : Yes(Pass)
MIN : No(Fail)</v>
      </c>
    </row>
    <row r="5066" spans="2:17" ht="41.4" x14ac:dyDescent="0.3">
      <c r="B5066">
        <v>1</v>
      </c>
      <c r="C5066" s="33">
        <v>9117</v>
      </c>
      <c r="D5066" s="2">
        <v>1449</v>
      </c>
      <c r="E5066" s="2" t="s">
        <v>12587</v>
      </c>
      <c r="F5066" s="3" t="s">
        <v>14255</v>
      </c>
      <c r="H5066" s="3" t="s">
        <v>4941</v>
      </c>
      <c r="K5066" s="2">
        <v>30</v>
      </c>
      <c r="L5066" s="2">
        <v>3</v>
      </c>
      <c r="M5066" s="3" t="s">
        <v>714</v>
      </c>
      <c r="N5066" s="3" t="s">
        <v>4942</v>
      </c>
      <c r="O5066" s="3" t="s">
        <v>4943</v>
      </c>
      <c r="P5066" s="3" t="s">
        <v>4944</v>
      </c>
      <c r="Q5066" s="30" t="str">
        <f t="shared" si="79"/>
        <v>MAX : 20.21
TARGET : 19.83
MIN : 19.45</v>
      </c>
    </row>
    <row r="5067" spans="2:17" ht="41.4" x14ac:dyDescent="0.3">
      <c r="B5067">
        <v>0</v>
      </c>
      <c r="C5067" s="33">
        <v>9096</v>
      </c>
      <c r="D5067" s="2">
        <v>1439</v>
      </c>
      <c r="E5067" s="2" t="s">
        <v>12469</v>
      </c>
      <c r="F5067" s="3" t="s">
        <v>14253</v>
      </c>
      <c r="H5067" s="3" t="s">
        <v>4551</v>
      </c>
      <c r="K5067" s="2">
        <v>30</v>
      </c>
      <c r="L5067" s="2">
        <v>10</v>
      </c>
      <c r="M5067" s="3" t="s">
        <v>4896</v>
      </c>
      <c r="N5067" s="3" t="s">
        <v>13</v>
      </c>
      <c r="O5067" s="3" t="s">
        <v>14</v>
      </c>
      <c r="Q5067" s="30" t="str">
        <f t="shared" si="79"/>
        <v>MAX : 
TARGET : Yes(Pass)
MIN : No(Fail)</v>
      </c>
    </row>
    <row r="5068" spans="2:17" ht="41.4" x14ac:dyDescent="0.3">
      <c r="B5068">
        <v>0</v>
      </c>
      <c r="C5068" s="33">
        <v>9096</v>
      </c>
      <c r="D5068" s="2">
        <v>1439</v>
      </c>
      <c r="E5068" s="2" t="s">
        <v>12469</v>
      </c>
      <c r="F5068" s="3" t="s">
        <v>14253</v>
      </c>
      <c r="H5068" s="3" t="s">
        <v>4551</v>
      </c>
      <c r="K5068" s="2">
        <v>20</v>
      </c>
      <c r="L5068" s="2">
        <v>3</v>
      </c>
      <c r="M5068" s="3" t="s">
        <v>4928</v>
      </c>
      <c r="N5068" s="3" t="s">
        <v>4929</v>
      </c>
      <c r="O5068" s="3" t="s">
        <v>4930</v>
      </c>
      <c r="P5068" s="3" t="s">
        <v>4931</v>
      </c>
      <c r="Q5068" s="30" t="str">
        <f t="shared" si="79"/>
        <v>MAX : 8.155
TARGET : 8.125
MIN : 8.080</v>
      </c>
    </row>
    <row r="5069" spans="2:17" ht="41.4" x14ac:dyDescent="0.3">
      <c r="B5069">
        <v>1</v>
      </c>
      <c r="C5069" s="33">
        <v>9117</v>
      </c>
      <c r="D5069" s="2">
        <v>1449</v>
      </c>
      <c r="E5069" s="2" t="s">
        <v>12587</v>
      </c>
      <c r="F5069" s="3" t="s">
        <v>14255</v>
      </c>
      <c r="H5069" s="3" t="s">
        <v>4941</v>
      </c>
      <c r="K5069" s="2">
        <v>30</v>
      </c>
      <c r="L5069" s="2">
        <v>10</v>
      </c>
      <c r="M5069" s="3" t="s">
        <v>1587</v>
      </c>
      <c r="N5069" s="3" t="s">
        <v>1648</v>
      </c>
      <c r="O5069" s="3" t="s">
        <v>1649</v>
      </c>
      <c r="P5069" s="3" t="s">
        <v>1650</v>
      </c>
      <c r="Q5069" s="30" t="str">
        <f t="shared" si="79"/>
        <v>MAX : 25.9
TARGET : 25.4
MIN : 24.9</v>
      </c>
    </row>
    <row r="5070" spans="2:17" ht="41.4" x14ac:dyDescent="0.3">
      <c r="B5070">
        <v>0</v>
      </c>
      <c r="C5070" s="33">
        <v>9199</v>
      </c>
      <c r="D5070" s="2">
        <v>1502</v>
      </c>
      <c r="E5070" s="2" t="s">
        <v>13061</v>
      </c>
      <c r="F5070" s="3" t="s">
        <v>14206</v>
      </c>
      <c r="H5070" s="3" t="s">
        <v>426</v>
      </c>
      <c r="K5070" s="2">
        <v>20</v>
      </c>
      <c r="L5070" s="2">
        <v>3</v>
      </c>
      <c r="M5070" s="3" t="s">
        <v>1605</v>
      </c>
      <c r="N5070" s="3" t="s">
        <v>13</v>
      </c>
      <c r="O5070" s="3" t="s">
        <v>14</v>
      </c>
      <c r="Q5070" s="30" t="str">
        <f t="shared" si="79"/>
        <v>MAX : 
TARGET : Yes(Pass)
MIN : No(Fail)</v>
      </c>
    </row>
    <row r="5071" spans="2:17" ht="41.4" x14ac:dyDescent="0.3">
      <c r="B5071">
        <v>0</v>
      </c>
      <c r="C5071" s="33">
        <v>9199</v>
      </c>
      <c r="D5071" s="2">
        <v>1502</v>
      </c>
      <c r="E5071" s="2" t="s">
        <v>13061</v>
      </c>
      <c r="F5071" s="3" t="s">
        <v>14206</v>
      </c>
      <c r="H5071" s="3" t="s">
        <v>426</v>
      </c>
      <c r="K5071" s="2">
        <v>20</v>
      </c>
      <c r="L5071" s="2">
        <v>4</v>
      </c>
      <c r="M5071" s="3" t="s">
        <v>78</v>
      </c>
      <c r="N5071" s="3" t="s">
        <v>13</v>
      </c>
      <c r="O5071" s="3" t="s">
        <v>14</v>
      </c>
      <c r="Q5071" s="30" t="str">
        <f t="shared" si="79"/>
        <v>MAX : 
TARGET : Yes(Pass)
MIN : No(Fail)</v>
      </c>
    </row>
    <row r="5072" spans="2:17" ht="41.4" x14ac:dyDescent="0.3">
      <c r="B5072">
        <v>1</v>
      </c>
      <c r="C5072" s="33">
        <v>9117</v>
      </c>
      <c r="D5072" s="2">
        <v>1449</v>
      </c>
      <c r="E5072" s="2" t="s">
        <v>12587</v>
      </c>
      <c r="F5072" s="3" t="s">
        <v>14255</v>
      </c>
      <c r="H5072" s="3" t="s">
        <v>4941</v>
      </c>
      <c r="K5072" s="2">
        <v>30</v>
      </c>
      <c r="L5072" s="2">
        <v>11</v>
      </c>
      <c r="M5072" s="3" t="s">
        <v>3849</v>
      </c>
      <c r="N5072" s="3" t="s">
        <v>1491</v>
      </c>
      <c r="O5072" s="3" t="s">
        <v>963</v>
      </c>
      <c r="P5072" s="3" t="s">
        <v>2548</v>
      </c>
      <c r="Q5072" s="30" t="str">
        <f t="shared" si="79"/>
        <v>MAX : 1.07
TARGET : 0.92
MIN : 0.77</v>
      </c>
    </row>
    <row r="5073" spans="2:18" ht="41.4" x14ac:dyDescent="0.3">
      <c r="B5073">
        <v>1</v>
      </c>
      <c r="C5073" s="33">
        <v>9117</v>
      </c>
      <c r="D5073" s="2">
        <v>1449</v>
      </c>
      <c r="E5073" s="2" t="s">
        <v>12587</v>
      </c>
      <c r="F5073" s="3" t="s">
        <v>14255</v>
      </c>
      <c r="H5073" s="3" t="s">
        <v>4941</v>
      </c>
      <c r="K5073" s="2">
        <v>30</v>
      </c>
      <c r="L5073" s="2">
        <v>2</v>
      </c>
      <c r="M5073" s="3" t="s">
        <v>5539</v>
      </c>
      <c r="N5073" s="3" t="s">
        <v>3360</v>
      </c>
      <c r="O5073" s="3" t="s">
        <v>5540</v>
      </c>
      <c r="P5073" s="3" t="s">
        <v>4704</v>
      </c>
      <c r="Q5073" s="30" t="str">
        <f t="shared" si="79"/>
        <v>MAX : 18.63
TARGET : 18.33
MIN : 18.03</v>
      </c>
    </row>
    <row r="5074" spans="2:18" ht="41.4" x14ac:dyDescent="0.3">
      <c r="B5074">
        <v>1</v>
      </c>
      <c r="C5074" s="33">
        <v>9117</v>
      </c>
      <c r="D5074" s="2">
        <v>1449</v>
      </c>
      <c r="E5074" s="2" t="s">
        <v>12587</v>
      </c>
      <c r="F5074" s="3" t="s">
        <v>14255</v>
      </c>
      <c r="H5074" s="3" t="s">
        <v>4941</v>
      </c>
      <c r="K5074" s="2">
        <v>30</v>
      </c>
      <c r="L5074" s="2">
        <v>5</v>
      </c>
      <c r="M5074" s="3" t="s">
        <v>5541</v>
      </c>
      <c r="N5074" s="3" t="s">
        <v>5542</v>
      </c>
      <c r="O5074" s="3" t="s">
        <v>4217</v>
      </c>
      <c r="P5074" s="3" t="s">
        <v>5019</v>
      </c>
      <c r="Q5074" s="30" t="str">
        <f t="shared" si="79"/>
        <v>MAX : 25.30
TARGET : 25.00
MIN : 24.70</v>
      </c>
    </row>
    <row r="5075" spans="2:18" ht="41.4" x14ac:dyDescent="0.3">
      <c r="B5075">
        <v>0</v>
      </c>
      <c r="C5075" s="33">
        <v>9165</v>
      </c>
      <c r="D5075" s="2">
        <v>1481</v>
      </c>
      <c r="E5075" s="2" t="s">
        <v>12877</v>
      </c>
      <c r="F5075" s="3" t="s">
        <v>14206</v>
      </c>
      <c r="H5075" s="3" t="s">
        <v>426</v>
      </c>
      <c r="K5075" s="2">
        <v>20</v>
      </c>
      <c r="L5075" s="2">
        <v>10</v>
      </c>
      <c r="M5075" s="3" t="s">
        <v>5392</v>
      </c>
      <c r="N5075" s="3" t="s">
        <v>5229</v>
      </c>
      <c r="O5075" s="3" t="s">
        <v>5230</v>
      </c>
      <c r="P5075" s="3" t="s">
        <v>5231</v>
      </c>
      <c r="Q5075" s="30" t="str">
        <f t="shared" si="79"/>
        <v>MAX : 0.6565
TARGET : 0.6530
MIN : 0.6495</v>
      </c>
      <c r="R5075" s="3" t="s">
        <v>1638</v>
      </c>
    </row>
    <row r="5076" spans="2:18" ht="41.4" x14ac:dyDescent="0.3">
      <c r="B5076">
        <v>0</v>
      </c>
      <c r="C5076" s="33">
        <v>9165</v>
      </c>
      <c r="D5076" s="2">
        <v>1481</v>
      </c>
      <c r="E5076" s="2" t="s">
        <v>12877</v>
      </c>
      <c r="F5076" s="3" t="s">
        <v>14206</v>
      </c>
      <c r="H5076" s="3" t="s">
        <v>426</v>
      </c>
      <c r="K5076" s="2">
        <v>20</v>
      </c>
      <c r="L5076" s="2">
        <v>13</v>
      </c>
      <c r="M5076" s="3" t="s">
        <v>5393</v>
      </c>
      <c r="N5076" s="3" t="s">
        <v>5229</v>
      </c>
      <c r="O5076" s="3" t="s">
        <v>5230</v>
      </c>
      <c r="P5076" s="3" t="s">
        <v>5231</v>
      </c>
      <c r="Q5076" s="30" t="str">
        <f t="shared" si="79"/>
        <v>MAX : 0.6565
TARGET : 0.6530
MIN : 0.6495</v>
      </c>
      <c r="R5076" s="3" t="s">
        <v>1638</v>
      </c>
    </row>
    <row r="5077" spans="2:18" ht="41.4" x14ac:dyDescent="0.3">
      <c r="B5077">
        <v>0</v>
      </c>
      <c r="C5077" s="33">
        <v>9165</v>
      </c>
      <c r="D5077" s="2">
        <v>1481</v>
      </c>
      <c r="E5077" s="2" t="s">
        <v>12877</v>
      </c>
      <c r="F5077" s="3" t="s">
        <v>14206</v>
      </c>
      <c r="H5077" s="3" t="s">
        <v>426</v>
      </c>
      <c r="K5077" s="2">
        <v>20</v>
      </c>
      <c r="L5077" s="2">
        <v>17</v>
      </c>
      <c r="M5077" s="3" t="s">
        <v>5394</v>
      </c>
      <c r="N5077" s="3" t="s">
        <v>5395</v>
      </c>
      <c r="O5077" s="3" t="s">
        <v>5396</v>
      </c>
      <c r="P5077" s="3" t="s">
        <v>5397</v>
      </c>
      <c r="Q5077" s="30" t="str">
        <f t="shared" si="79"/>
        <v>MAX : 1.0865
TARGET : 1.0830
MIN : 1.0795</v>
      </c>
      <c r="R5077" s="3" t="s">
        <v>1638</v>
      </c>
    </row>
    <row r="5078" spans="2:18" ht="41.4" x14ac:dyDescent="0.3">
      <c r="B5078">
        <v>0</v>
      </c>
      <c r="C5078" s="33">
        <v>9165</v>
      </c>
      <c r="D5078" s="2">
        <v>1481</v>
      </c>
      <c r="E5078" s="2" t="s">
        <v>12877</v>
      </c>
      <c r="F5078" s="3" t="s">
        <v>14206</v>
      </c>
      <c r="H5078" s="3" t="s">
        <v>426</v>
      </c>
      <c r="K5078" s="2">
        <v>20</v>
      </c>
      <c r="L5078" s="2">
        <v>18</v>
      </c>
      <c r="M5078" s="3" t="s">
        <v>5398</v>
      </c>
      <c r="N5078" s="3" t="s">
        <v>5399</v>
      </c>
      <c r="O5078" s="3" t="s">
        <v>5400</v>
      </c>
      <c r="P5078" s="3" t="s">
        <v>5401</v>
      </c>
      <c r="Q5078" s="30" t="str">
        <f t="shared" si="79"/>
        <v>MAX : 0.831
TARGET : 0.681
MIN : 0.531</v>
      </c>
      <c r="R5078" s="3" t="s">
        <v>1638</v>
      </c>
    </row>
    <row r="5079" spans="2:18" ht="41.4" x14ac:dyDescent="0.3">
      <c r="B5079">
        <v>0</v>
      </c>
      <c r="C5079" s="33">
        <v>9165</v>
      </c>
      <c r="D5079" s="2">
        <v>1481</v>
      </c>
      <c r="E5079" s="2" t="s">
        <v>12877</v>
      </c>
      <c r="F5079" s="3" t="s">
        <v>14206</v>
      </c>
      <c r="H5079" s="3" t="s">
        <v>426</v>
      </c>
      <c r="K5079" s="2">
        <v>20</v>
      </c>
      <c r="L5079" s="2">
        <v>19</v>
      </c>
      <c r="M5079" s="3" t="s">
        <v>2215</v>
      </c>
      <c r="N5079" s="3" t="s">
        <v>5402</v>
      </c>
      <c r="O5079" s="3" t="s">
        <v>5403</v>
      </c>
      <c r="P5079" s="3" t="s">
        <v>5404</v>
      </c>
      <c r="Q5079" s="30" t="str">
        <f t="shared" si="79"/>
        <v>MAX : 0.486
TARGET : 0.361
MIN : 0.236</v>
      </c>
      <c r="R5079" s="3" t="s">
        <v>1638</v>
      </c>
    </row>
    <row r="5080" spans="2:18" ht="41.4" x14ac:dyDescent="0.3">
      <c r="B5080">
        <v>1</v>
      </c>
      <c r="C5080" s="33">
        <v>9118</v>
      </c>
      <c r="D5080" s="2">
        <v>1450</v>
      </c>
      <c r="E5080" s="2" t="s">
        <v>12587</v>
      </c>
      <c r="F5080" s="3" t="s">
        <v>14255</v>
      </c>
      <c r="H5080" s="3" t="s">
        <v>4941</v>
      </c>
      <c r="K5080" s="2">
        <v>30</v>
      </c>
      <c r="L5080" s="2">
        <v>2</v>
      </c>
      <c r="M5080" s="3" t="s">
        <v>4955</v>
      </c>
      <c r="N5080" s="3" t="s">
        <v>418</v>
      </c>
      <c r="O5080" s="3" t="s">
        <v>2206</v>
      </c>
      <c r="P5080" s="3" t="s">
        <v>384</v>
      </c>
      <c r="Q5080" s="30" t="str">
        <f t="shared" si="79"/>
        <v>MAX : 1.82
TARGET : 1.52
MIN : 1.22</v>
      </c>
    </row>
    <row r="5081" spans="2:18" ht="41.4" x14ac:dyDescent="0.3">
      <c r="B5081">
        <v>1</v>
      </c>
      <c r="C5081" s="33">
        <v>9118</v>
      </c>
      <c r="D5081" s="2">
        <v>1450</v>
      </c>
      <c r="E5081" s="2" t="s">
        <v>12587</v>
      </c>
      <c r="F5081" s="3" t="s">
        <v>14255</v>
      </c>
      <c r="H5081" s="3" t="s">
        <v>4941</v>
      </c>
      <c r="K5081" s="2">
        <v>30</v>
      </c>
      <c r="L5081" s="2">
        <v>1</v>
      </c>
      <c r="M5081" s="3" t="s">
        <v>4164</v>
      </c>
      <c r="N5081" s="3" t="s">
        <v>4942</v>
      </c>
      <c r="O5081" s="3" t="s">
        <v>4943</v>
      </c>
      <c r="P5081" s="3" t="s">
        <v>4944</v>
      </c>
      <c r="Q5081" s="30" t="str">
        <f t="shared" si="79"/>
        <v>MAX : 20.21
TARGET : 19.83
MIN : 19.45</v>
      </c>
    </row>
    <row r="5082" spans="2:18" ht="41.4" x14ac:dyDescent="0.3">
      <c r="B5082">
        <v>0</v>
      </c>
      <c r="C5082" s="33">
        <v>8834</v>
      </c>
      <c r="D5082" s="2">
        <v>1299</v>
      </c>
      <c r="E5082" s="2" t="s">
        <v>11157</v>
      </c>
      <c r="F5082" s="3" t="s">
        <v>14206</v>
      </c>
      <c r="H5082" s="3" t="s">
        <v>3788</v>
      </c>
      <c r="K5082" s="2">
        <v>20</v>
      </c>
      <c r="L5082" s="2">
        <v>8</v>
      </c>
      <c r="M5082" s="3" t="s">
        <v>5409</v>
      </c>
      <c r="N5082" s="3" t="s">
        <v>5410</v>
      </c>
      <c r="O5082" s="3" t="s">
        <v>1039</v>
      </c>
      <c r="P5082" s="3" t="s">
        <v>5411</v>
      </c>
      <c r="Q5082" s="30" t="str">
        <f t="shared" si="79"/>
        <v>MAX : 0.022
TARGET : 0.020
MIN : 0.018</v>
      </c>
    </row>
    <row r="5083" spans="2:18" ht="41.4" x14ac:dyDescent="0.3">
      <c r="B5083">
        <v>1</v>
      </c>
      <c r="C5083" s="33">
        <v>9118</v>
      </c>
      <c r="D5083" s="2">
        <v>1450</v>
      </c>
      <c r="E5083" s="2" t="s">
        <v>12587</v>
      </c>
      <c r="F5083" s="3" t="s">
        <v>14255</v>
      </c>
      <c r="H5083" s="3" t="s">
        <v>4941</v>
      </c>
      <c r="K5083" s="2">
        <v>30</v>
      </c>
      <c r="L5083" s="2">
        <v>9</v>
      </c>
      <c r="M5083" s="3" t="s">
        <v>1587</v>
      </c>
      <c r="N5083" s="3" t="s">
        <v>1648</v>
      </c>
      <c r="O5083" s="3" t="s">
        <v>1649</v>
      </c>
      <c r="P5083" s="3" t="s">
        <v>1650</v>
      </c>
      <c r="Q5083" s="30" t="str">
        <f t="shared" si="79"/>
        <v>MAX : 25.9
TARGET : 25.4
MIN : 24.9</v>
      </c>
    </row>
    <row r="5084" spans="2:18" ht="41.4" x14ac:dyDescent="0.3">
      <c r="B5084">
        <v>0</v>
      </c>
      <c r="C5084" s="33">
        <v>9098</v>
      </c>
      <c r="D5084" s="2">
        <v>1440</v>
      </c>
      <c r="E5084" s="2" t="s">
        <v>12477</v>
      </c>
      <c r="F5084" s="3" t="s">
        <v>14254</v>
      </c>
      <c r="H5084" s="3" t="s">
        <v>4551</v>
      </c>
      <c r="K5084" s="2">
        <v>40</v>
      </c>
      <c r="L5084" s="2">
        <v>1</v>
      </c>
      <c r="M5084" s="3" t="s">
        <v>5133</v>
      </c>
      <c r="N5084" s="3" t="s">
        <v>13</v>
      </c>
      <c r="O5084" s="3" t="s">
        <v>14</v>
      </c>
      <c r="Q5084" s="30" t="str">
        <f t="shared" si="79"/>
        <v>MAX : 
TARGET : Yes(Pass)
MIN : No(Fail)</v>
      </c>
    </row>
    <row r="5085" spans="2:18" ht="41.4" x14ac:dyDescent="0.3">
      <c r="B5085">
        <v>1</v>
      </c>
      <c r="C5085" s="33">
        <v>9118</v>
      </c>
      <c r="D5085" s="2">
        <v>1450</v>
      </c>
      <c r="E5085" s="2" t="s">
        <v>12587</v>
      </c>
      <c r="F5085" s="3" t="s">
        <v>14255</v>
      </c>
      <c r="H5085" s="3" t="s">
        <v>4941</v>
      </c>
      <c r="K5085" s="2">
        <v>30</v>
      </c>
      <c r="L5085" s="2">
        <v>9</v>
      </c>
      <c r="M5085" s="3" t="s">
        <v>3849</v>
      </c>
      <c r="N5085" s="3" t="s">
        <v>1491</v>
      </c>
      <c r="O5085" s="3" t="s">
        <v>963</v>
      </c>
      <c r="P5085" s="3" t="s">
        <v>2548</v>
      </c>
      <c r="Q5085" s="30" t="str">
        <f t="shared" si="79"/>
        <v>MAX : 1.07
TARGET : 0.92
MIN : 0.77</v>
      </c>
    </row>
    <row r="5086" spans="2:18" ht="41.4" x14ac:dyDescent="0.3">
      <c r="B5086">
        <v>0</v>
      </c>
      <c r="C5086" s="33">
        <v>9201</v>
      </c>
      <c r="D5086" s="2">
        <v>1504</v>
      </c>
      <c r="E5086" s="2" t="s">
        <v>13074</v>
      </c>
      <c r="F5086" s="3" t="s">
        <v>14206</v>
      </c>
      <c r="H5086" s="3" t="s">
        <v>1903</v>
      </c>
      <c r="K5086" s="2">
        <v>30</v>
      </c>
      <c r="L5086" s="2">
        <v>1</v>
      </c>
      <c r="M5086" s="3" t="s">
        <v>570</v>
      </c>
      <c r="N5086" s="3" t="s">
        <v>436</v>
      </c>
      <c r="O5086" s="3" t="s">
        <v>462</v>
      </c>
      <c r="P5086" s="3" t="s">
        <v>1521</v>
      </c>
      <c r="Q5086" s="30" t="str">
        <f t="shared" si="79"/>
        <v>MAX : 0.24
TARGET : 0.22
MIN : 0.20</v>
      </c>
    </row>
    <row r="5087" spans="2:18" ht="41.4" x14ac:dyDescent="0.3">
      <c r="B5087">
        <v>0</v>
      </c>
      <c r="C5087" s="33">
        <v>9201</v>
      </c>
      <c r="D5087" s="2">
        <v>1504</v>
      </c>
      <c r="E5087" s="2" t="s">
        <v>13074</v>
      </c>
      <c r="F5087" s="3" t="s">
        <v>14206</v>
      </c>
      <c r="H5087" s="3" t="s">
        <v>1903</v>
      </c>
      <c r="K5087" s="2">
        <v>30</v>
      </c>
      <c r="L5087" s="2">
        <v>2</v>
      </c>
      <c r="M5087" s="3" t="s">
        <v>1469</v>
      </c>
      <c r="N5087" s="3" t="s">
        <v>1661</v>
      </c>
      <c r="O5087" s="3" t="s">
        <v>20</v>
      </c>
      <c r="P5087" s="3" t="s">
        <v>2559</v>
      </c>
      <c r="Q5087" s="30" t="str">
        <f t="shared" si="79"/>
        <v>MAX : 0.755
TARGET : 0.750
MIN : 0.745</v>
      </c>
    </row>
    <row r="5088" spans="2:18" ht="41.4" x14ac:dyDescent="0.3">
      <c r="B5088">
        <v>0</v>
      </c>
      <c r="C5088" s="33">
        <v>9201</v>
      </c>
      <c r="D5088" s="2">
        <v>1504</v>
      </c>
      <c r="E5088" s="2" t="s">
        <v>13074</v>
      </c>
      <c r="F5088" s="3" t="s">
        <v>14206</v>
      </c>
      <c r="H5088" s="3" t="s">
        <v>1903</v>
      </c>
      <c r="K5088" s="2">
        <v>30</v>
      </c>
      <c r="L5088" s="2">
        <v>4</v>
      </c>
      <c r="M5088" s="3" t="s">
        <v>5417</v>
      </c>
      <c r="N5088" s="3" t="s">
        <v>13</v>
      </c>
      <c r="O5088" s="3" t="s">
        <v>14</v>
      </c>
      <c r="Q5088" s="30" t="str">
        <f t="shared" si="79"/>
        <v>MAX : 
TARGET : Yes(Pass)
MIN : No(Fail)</v>
      </c>
    </row>
    <row r="5089" spans="2:18" ht="41.4" x14ac:dyDescent="0.3">
      <c r="B5089">
        <v>1</v>
      </c>
      <c r="C5089" s="33">
        <v>9118</v>
      </c>
      <c r="D5089" s="2">
        <v>1450</v>
      </c>
      <c r="E5089" s="2" t="s">
        <v>12587</v>
      </c>
      <c r="F5089" s="3" t="s">
        <v>14255</v>
      </c>
      <c r="H5089" s="3" t="s">
        <v>4941</v>
      </c>
      <c r="K5089" s="2">
        <v>30</v>
      </c>
      <c r="L5089" s="2">
        <v>3</v>
      </c>
      <c r="M5089" s="3" t="s">
        <v>5868</v>
      </c>
      <c r="N5089" s="3" t="s">
        <v>3360</v>
      </c>
      <c r="O5089" s="3" t="s">
        <v>5540</v>
      </c>
      <c r="P5089" s="3" t="s">
        <v>4704</v>
      </c>
      <c r="Q5089" s="30" t="str">
        <f t="shared" si="79"/>
        <v>MAX : 18.63
TARGET : 18.33
MIN : 18.03</v>
      </c>
    </row>
    <row r="5090" spans="2:18" ht="41.4" x14ac:dyDescent="0.3">
      <c r="B5090">
        <v>1</v>
      </c>
      <c r="C5090" s="33">
        <v>9118</v>
      </c>
      <c r="D5090" s="2">
        <v>1450</v>
      </c>
      <c r="E5090" s="2" t="s">
        <v>12587</v>
      </c>
      <c r="F5090" s="3" t="s">
        <v>14255</v>
      </c>
      <c r="H5090" s="3" t="s">
        <v>4941</v>
      </c>
      <c r="K5090" s="2">
        <v>30</v>
      </c>
      <c r="L5090" s="2">
        <v>6</v>
      </c>
      <c r="M5090" s="3" t="s">
        <v>5869</v>
      </c>
      <c r="N5090" s="3" t="s">
        <v>5542</v>
      </c>
      <c r="O5090" s="3" t="s">
        <v>4217</v>
      </c>
      <c r="P5090" s="3" t="s">
        <v>5019</v>
      </c>
      <c r="Q5090" s="30" t="str">
        <f t="shared" si="79"/>
        <v>MAX : 25.30
TARGET : 25.00
MIN : 24.70</v>
      </c>
    </row>
    <row r="5091" spans="2:18" ht="41.4" x14ac:dyDescent="0.3">
      <c r="B5091">
        <v>0</v>
      </c>
      <c r="C5091" s="33">
        <v>9086</v>
      </c>
      <c r="D5091" s="2">
        <v>1431</v>
      </c>
      <c r="E5091" s="2" t="s">
        <v>12401</v>
      </c>
      <c r="F5091" s="3" t="s">
        <v>14206</v>
      </c>
      <c r="H5091" s="3" t="s">
        <v>426</v>
      </c>
      <c r="K5091" s="2">
        <v>20</v>
      </c>
      <c r="L5091" s="2">
        <v>3</v>
      </c>
      <c r="M5091" s="3" t="s">
        <v>5421</v>
      </c>
      <c r="O5091" s="3" t="s">
        <v>775</v>
      </c>
      <c r="P5091" s="3" t="s">
        <v>5422</v>
      </c>
      <c r="Q5091" s="30" t="str">
        <f t="shared" si="79"/>
        <v xml:space="preserve">MAX : 0.009
TARGET : 0.00
MIN : </v>
      </c>
      <c r="R5091" s="3" t="s">
        <v>1638</v>
      </c>
    </row>
    <row r="5092" spans="2:18" ht="41.4" x14ac:dyDescent="0.3">
      <c r="B5092">
        <v>0</v>
      </c>
      <c r="C5092" s="33">
        <v>9086</v>
      </c>
      <c r="D5092" s="2">
        <v>1431</v>
      </c>
      <c r="E5092" s="2" t="s">
        <v>12401</v>
      </c>
      <c r="F5092" s="3" t="s">
        <v>14206</v>
      </c>
      <c r="H5092" s="3" t="s">
        <v>426</v>
      </c>
      <c r="K5092" s="2">
        <v>20</v>
      </c>
      <c r="L5092" s="2">
        <v>4</v>
      </c>
      <c r="M5092" s="3" t="s">
        <v>5423</v>
      </c>
      <c r="N5092" s="3" t="s">
        <v>5424</v>
      </c>
      <c r="O5092" s="3" t="s">
        <v>2522</v>
      </c>
      <c r="P5092" s="3" t="s">
        <v>2522</v>
      </c>
      <c r="Q5092" s="30" t="str">
        <f t="shared" si="79"/>
        <v>MAX : 0.168
TARGET : 0.168
MIN : 0.163</v>
      </c>
      <c r="R5092" s="3" t="s">
        <v>1638</v>
      </c>
    </row>
    <row r="5093" spans="2:18" ht="41.4" x14ac:dyDescent="0.3">
      <c r="B5093">
        <v>0</v>
      </c>
      <c r="C5093" s="33">
        <v>9086</v>
      </c>
      <c r="D5093" s="2">
        <v>1431</v>
      </c>
      <c r="E5093" s="2" t="s">
        <v>12401</v>
      </c>
      <c r="F5093" s="3" t="s">
        <v>14206</v>
      </c>
      <c r="H5093" s="3" t="s">
        <v>426</v>
      </c>
      <c r="K5093" s="2">
        <v>20</v>
      </c>
      <c r="L5093" s="2">
        <v>5</v>
      </c>
      <c r="M5093" s="3" t="s">
        <v>5425</v>
      </c>
      <c r="O5093" s="3" t="s">
        <v>1038</v>
      </c>
      <c r="P5093" s="3" t="s">
        <v>5426</v>
      </c>
      <c r="Q5093" s="30" t="str">
        <f t="shared" si="79"/>
        <v xml:space="preserve">MAX : 0.013
TARGET : 0.000
MIN : </v>
      </c>
      <c r="R5093" s="3" t="s">
        <v>1638</v>
      </c>
    </row>
    <row r="5094" spans="2:18" ht="41.4" x14ac:dyDescent="0.3">
      <c r="B5094">
        <v>0</v>
      </c>
      <c r="C5094" s="33">
        <v>9086</v>
      </c>
      <c r="D5094" s="2">
        <v>1431</v>
      </c>
      <c r="E5094" s="2" t="s">
        <v>12401</v>
      </c>
      <c r="F5094" s="3" t="s">
        <v>14206</v>
      </c>
      <c r="H5094" s="3" t="s">
        <v>426</v>
      </c>
      <c r="K5094" s="2">
        <v>20</v>
      </c>
      <c r="L5094" s="2">
        <v>6</v>
      </c>
      <c r="M5094" s="3" t="s">
        <v>5427</v>
      </c>
      <c r="N5094" s="3" t="s">
        <v>5428</v>
      </c>
      <c r="O5094" s="3" t="s">
        <v>4464</v>
      </c>
      <c r="P5094" s="3" t="s">
        <v>4464</v>
      </c>
      <c r="Q5094" s="30" t="str">
        <f t="shared" si="79"/>
        <v>MAX : 0.193
TARGET : 0.193
MIN : 0.189</v>
      </c>
      <c r="R5094" s="3" t="s">
        <v>1638</v>
      </c>
    </row>
    <row r="5095" spans="2:18" ht="41.4" x14ac:dyDescent="0.3">
      <c r="B5095">
        <v>0</v>
      </c>
      <c r="C5095" s="33">
        <v>9086</v>
      </c>
      <c r="D5095" s="2">
        <v>1431</v>
      </c>
      <c r="E5095" s="2" t="s">
        <v>12401</v>
      </c>
      <c r="F5095" s="3" t="s">
        <v>14206</v>
      </c>
      <c r="H5095" s="3" t="s">
        <v>426</v>
      </c>
      <c r="K5095" s="2">
        <v>20</v>
      </c>
      <c r="L5095" s="2">
        <v>7</v>
      </c>
      <c r="M5095" s="3" t="s">
        <v>5429</v>
      </c>
      <c r="O5095" s="3" t="s">
        <v>5252</v>
      </c>
      <c r="P5095" s="3" t="s">
        <v>3579</v>
      </c>
      <c r="Q5095" s="30" t="str">
        <f t="shared" si="79"/>
        <v xml:space="preserve">MAX : 0.0085
TARGET : 0.0000
MIN : </v>
      </c>
      <c r="R5095" s="3" t="s">
        <v>1638</v>
      </c>
    </row>
    <row r="5096" spans="2:18" ht="41.4" x14ac:dyDescent="0.3">
      <c r="B5096">
        <v>0</v>
      </c>
      <c r="C5096" s="33">
        <v>9086</v>
      </c>
      <c r="D5096" s="2">
        <v>1431</v>
      </c>
      <c r="E5096" s="2" t="s">
        <v>12401</v>
      </c>
      <c r="F5096" s="3" t="s">
        <v>14206</v>
      </c>
      <c r="H5096" s="3" t="s">
        <v>426</v>
      </c>
      <c r="K5096" s="2">
        <v>20</v>
      </c>
      <c r="L5096" s="2">
        <v>8</v>
      </c>
      <c r="M5096" s="3" t="s">
        <v>5430</v>
      </c>
      <c r="N5096" s="3" t="s">
        <v>1938</v>
      </c>
      <c r="O5096" s="3" t="s">
        <v>2997</v>
      </c>
      <c r="P5096" s="3" t="s">
        <v>2997</v>
      </c>
      <c r="Q5096" s="30" t="str">
        <f t="shared" si="79"/>
        <v>MAX : 0.210
TARGET : 0.210
MIN : 0.205</v>
      </c>
      <c r="R5096" s="3" t="s">
        <v>1638</v>
      </c>
    </row>
    <row r="5097" spans="2:18" ht="41.4" x14ac:dyDescent="0.3">
      <c r="B5097">
        <v>0</v>
      </c>
      <c r="C5097" s="33">
        <v>9086</v>
      </c>
      <c r="D5097" s="2">
        <v>1431</v>
      </c>
      <c r="E5097" s="2" t="s">
        <v>12401</v>
      </c>
      <c r="F5097" s="3" t="s">
        <v>14206</v>
      </c>
      <c r="H5097" s="3" t="s">
        <v>426</v>
      </c>
      <c r="K5097" s="2">
        <v>20</v>
      </c>
      <c r="L5097" s="2">
        <v>10</v>
      </c>
      <c r="M5097" s="3" t="s">
        <v>5431</v>
      </c>
      <c r="N5097" s="3" t="s">
        <v>5432</v>
      </c>
      <c r="O5097" s="3" t="s">
        <v>2616</v>
      </c>
      <c r="P5097" s="3" t="s">
        <v>983</v>
      </c>
      <c r="Q5097" s="30" t="str">
        <f t="shared" si="79"/>
        <v>MAX : 0.095
TARGET : 0.094
MIN : 0.091</v>
      </c>
      <c r="R5097" s="3" t="s">
        <v>1638</v>
      </c>
    </row>
    <row r="5098" spans="2:18" ht="41.4" x14ac:dyDescent="0.3">
      <c r="B5098">
        <v>0</v>
      </c>
      <c r="C5098" s="33">
        <v>9086</v>
      </c>
      <c r="D5098" s="2">
        <v>1431</v>
      </c>
      <c r="E5098" s="2" t="s">
        <v>12401</v>
      </c>
      <c r="F5098" s="3" t="s">
        <v>14206</v>
      </c>
      <c r="H5098" s="3" t="s">
        <v>426</v>
      </c>
      <c r="K5098" s="2">
        <v>20</v>
      </c>
      <c r="L5098" s="2">
        <v>9</v>
      </c>
      <c r="M5098" s="3" t="s">
        <v>5433</v>
      </c>
      <c r="O5098" s="3" t="s">
        <v>5252</v>
      </c>
      <c r="P5098" s="3" t="s">
        <v>3579</v>
      </c>
      <c r="Q5098" s="30" t="str">
        <f t="shared" si="79"/>
        <v xml:space="preserve">MAX : 0.0085
TARGET : 0.0000
MIN : </v>
      </c>
      <c r="R5098" s="3" t="s">
        <v>1638</v>
      </c>
    </row>
    <row r="5099" spans="2:18" ht="41.4" x14ac:dyDescent="0.3">
      <c r="B5099">
        <v>0</v>
      </c>
      <c r="C5099" s="33">
        <v>9086</v>
      </c>
      <c r="D5099" s="2">
        <v>1431</v>
      </c>
      <c r="E5099" s="2" t="s">
        <v>12401</v>
      </c>
      <c r="F5099" s="3" t="s">
        <v>14206</v>
      </c>
      <c r="H5099" s="3" t="s">
        <v>426</v>
      </c>
      <c r="K5099" s="2">
        <v>20</v>
      </c>
      <c r="L5099" s="2">
        <v>11</v>
      </c>
      <c r="M5099" s="3" t="s">
        <v>5434</v>
      </c>
      <c r="N5099" s="3" t="s">
        <v>4167</v>
      </c>
      <c r="O5099" s="3" t="s">
        <v>687</v>
      </c>
      <c r="P5099" s="3" t="s">
        <v>431</v>
      </c>
      <c r="Q5099" s="30" t="str">
        <f t="shared" si="79"/>
        <v>MAX : 1.150
TARGET : 1.145
MIN : 1.139</v>
      </c>
      <c r="R5099" s="3" t="s">
        <v>1638</v>
      </c>
    </row>
    <row r="5100" spans="2:18" ht="41.4" x14ac:dyDescent="0.3">
      <c r="B5100">
        <v>0</v>
      </c>
      <c r="C5100" s="33">
        <v>9086</v>
      </c>
      <c r="D5100" s="2">
        <v>1431</v>
      </c>
      <c r="E5100" s="2" t="s">
        <v>12401</v>
      </c>
      <c r="F5100" s="3" t="s">
        <v>14206</v>
      </c>
      <c r="H5100" s="3" t="s">
        <v>426</v>
      </c>
      <c r="K5100" s="2">
        <v>20</v>
      </c>
      <c r="L5100" s="2">
        <v>12</v>
      </c>
      <c r="M5100" s="3" t="s">
        <v>5435</v>
      </c>
      <c r="N5100" s="3" t="s">
        <v>5436</v>
      </c>
      <c r="O5100" s="3" t="s">
        <v>1993</v>
      </c>
      <c r="P5100" s="3" t="s">
        <v>5437</v>
      </c>
      <c r="Q5100" s="30" t="str">
        <f t="shared" si="79"/>
        <v>MAX : 2.331
TARGET : 2.326
MIN : 2.324</v>
      </c>
      <c r="R5100" s="3" t="s">
        <v>1638</v>
      </c>
    </row>
    <row r="5101" spans="2:18" ht="41.4" x14ac:dyDescent="0.3">
      <c r="B5101">
        <v>0</v>
      </c>
      <c r="C5101" s="33">
        <v>9086</v>
      </c>
      <c r="D5101" s="2">
        <v>1431</v>
      </c>
      <c r="E5101" s="2" t="s">
        <v>12401</v>
      </c>
      <c r="F5101" s="3" t="s">
        <v>14206</v>
      </c>
      <c r="H5101" s="3" t="s">
        <v>426</v>
      </c>
      <c r="K5101" s="2">
        <v>20</v>
      </c>
      <c r="L5101" s="2">
        <v>13</v>
      </c>
      <c r="M5101" s="3" t="s">
        <v>5438</v>
      </c>
      <c r="N5101" s="3" t="s">
        <v>5439</v>
      </c>
      <c r="O5101" s="3" t="s">
        <v>1738</v>
      </c>
      <c r="P5101" s="3" t="s">
        <v>5440</v>
      </c>
      <c r="Q5101" s="30" t="str">
        <f t="shared" si="79"/>
        <v>MAX : 0.586
TARGET : 0.573
MIN : 0.564</v>
      </c>
      <c r="R5101" s="3" t="s">
        <v>1638</v>
      </c>
    </row>
    <row r="5102" spans="2:18" ht="41.4" x14ac:dyDescent="0.3">
      <c r="B5102">
        <v>1</v>
      </c>
      <c r="C5102" s="33">
        <v>9119</v>
      </c>
      <c r="D5102" s="2">
        <v>1451</v>
      </c>
      <c r="E5102" s="2" t="s">
        <v>12597</v>
      </c>
      <c r="F5102" s="3" t="s">
        <v>14255</v>
      </c>
      <c r="H5102" s="3" t="s">
        <v>4941</v>
      </c>
      <c r="K5102" s="2">
        <v>30</v>
      </c>
      <c r="L5102" s="2">
        <v>13</v>
      </c>
      <c r="M5102" s="3" t="s">
        <v>78</v>
      </c>
      <c r="N5102" s="3" t="s">
        <v>13</v>
      </c>
      <c r="O5102" s="3" t="s">
        <v>14</v>
      </c>
      <c r="Q5102" s="30" t="str">
        <f t="shared" si="79"/>
        <v>MAX : 
TARGET : Yes(Pass)
MIN : No(Fail)</v>
      </c>
    </row>
    <row r="5103" spans="2:18" ht="41.4" x14ac:dyDescent="0.3">
      <c r="B5103">
        <v>1</v>
      </c>
      <c r="C5103" s="33">
        <v>9119</v>
      </c>
      <c r="D5103" s="2">
        <v>1451</v>
      </c>
      <c r="E5103" s="2" t="s">
        <v>12597</v>
      </c>
      <c r="F5103" s="3" t="s">
        <v>14255</v>
      </c>
      <c r="H5103" s="3" t="s">
        <v>4941</v>
      </c>
      <c r="K5103" s="2">
        <v>30</v>
      </c>
      <c r="L5103" s="2">
        <v>12</v>
      </c>
      <c r="M5103" s="3" t="s">
        <v>3831</v>
      </c>
      <c r="N5103" s="3" t="s">
        <v>13</v>
      </c>
      <c r="O5103" s="3" t="s">
        <v>14</v>
      </c>
      <c r="Q5103" s="30" t="str">
        <f t="shared" si="79"/>
        <v>MAX : 
TARGET : Yes(Pass)
MIN : No(Fail)</v>
      </c>
    </row>
    <row r="5104" spans="2:18" ht="41.4" x14ac:dyDescent="0.3">
      <c r="B5104">
        <v>1</v>
      </c>
      <c r="C5104" s="33">
        <v>9119</v>
      </c>
      <c r="D5104" s="2">
        <v>1451</v>
      </c>
      <c r="E5104" s="2" t="s">
        <v>12597</v>
      </c>
      <c r="F5104" s="3" t="s">
        <v>14255</v>
      </c>
      <c r="H5104" s="3" t="s">
        <v>4941</v>
      </c>
      <c r="K5104" s="2">
        <v>30</v>
      </c>
      <c r="L5104" s="2">
        <v>11</v>
      </c>
      <c r="M5104" s="3" t="s">
        <v>3849</v>
      </c>
      <c r="N5104" s="3" t="s">
        <v>1491</v>
      </c>
      <c r="O5104" s="3" t="s">
        <v>963</v>
      </c>
      <c r="P5104" s="3" t="s">
        <v>2548</v>
      </c>
      <c r="Q5104" s="30" t="str">
        <f t="shared" si="79"/>
        <v>MAX : 1.07
TARGET : 0.92
MIN : 0.77</v>
      </c>
    </row>
    <row r="5105" spans="2:17" ht="41.4" x14ac:dyDescent="0.3">
      <c r="B5105">
        <v>1</v>
      </c>
      <c r="C5105" s="33">
        <v>9119</v>
      </c>
      <c r="D5105" s="2">
        <v>1451</v>
      </c>
      <c r="E5105" s="2" t="s">
        <v>12597</v>
      </c>
      <c r="F5105" s="3" t="s">
        <v>14255</v>
      </c>
      <c r="H5105" s="3" t="s">
        <v>4941</v>
      </c>
      <c r="K5105" s="2">
        <v>30</v>
      </c>
      <c r="L5105" s="2">
        <v>8</v>
      </c>
      <c r="M5105" s="3" t="s">
        <v>5538</v>
      </c>
      <c r="N5105" s="3" t="s">
        <v>4028</v>
      </c>
      <c r="O5105" s="3" t="s">
        <v>2999</v>
      </c>
      <c r="P5105" s="3" t="s">
        <v>4953</v>
      </c>
      <c r="Q5105" s="30" t="str">
        <f t="shared" si="79"/>
        <v>MAX : 6.3
TARGET : 5.8
MIN : 5.3</v>
      </c>
    </row>
    <row r="5106" spans="2:17" ht="41.4" x14ac:dyDescent="0.3">
      <c r="B5106">
        <v>0</v>
      </c>
      <c r="C5106" s="33">
        <v>9210</v>
      </c>
      <c r="D5106" s="2">
        <v>1510</v>
      </c>
      <c r="E5106" s="2" t="s">
        <v>13125</v>
      </c>
      <c r="F5106" s="3" t="s">
        <v>14206</v>
      </c>
      <c r="H5106" s="3" t="s">
        <v>469</v>
      </c>
      <c r="K5106" s="2">
        <v>10</v>
      </c>
      <c r="L5106" s="2">
        <v>3</v>
      </c>
      <c r="M5106" s="3" t="s">
        <v>5442</v>
      </c>
      <c r="N5106" s="3" t="s">
        <v>13</v>
      </c>
      <c r="O5106" s="3" t="s">
        <v>14</v>
      </c>
      <c r="Q5106" s="30" t="str">
        <f t="shared" si="79"/>
        <v>MAX : 
TARGET : Yes(Pass)
MIN : No(Fail)</v>
      </c>
    </row>
    <row r="5107" spans="2:17" ht="41.4" x14ac:dyDescent="0.3">
      <c r="B5107">
        <v>1</v>
      </c>
      <c r="C5107" s="33">
        <v>9119</v>
      </c>
      <c r="D5107" s="2">
        <v>1451</v>
      </c>
      <c r="E5107" s="2" t="s">
        <v>12597</v>
      </c>
      <c r="F5107" s="3" t="s">
        <v>14255</v>
      </c>
      <c r="H5107" s="3" t="s">
        <v>4941</v>
      </c>
      <c r="K5107" s="2">
        <v>30</v>
      </c>
      <c r="L5107" s="2">
        <v>9</v>
      </c>
      <c r="M5107" s="3" t="s">
        <v>4774</v>
      </c>
      <c r="N5107" s="3" t="s">
        <v>3828</v>
      </c>
      <c r="O5107" s="3" t="s">
        <v>3829</v>
      </c>
      <c r="P5107" s="3" t="s">
        <v>3830</v>
      </c>
      <c r="Q5107" s="30" t="str">
        <f t="shared" si="79"/>
        <v>MAX : 38.6
TARGET : 38.1
MIN : 37.6</v>
      </c>
    </row>
    <row r="5108" spans="2:17" ht="41.4" x14ac:dyDescent="0.3">
      <c r="B5108">
        <v>1</v>
      </c>
      <c r="C5108" s="33">
        <v>9120</v>
      </c>
      <c r="D5108" s="2">
        <v>1452</v>
      </c>
      <c r="E5108" s="2" t="s">
        <v>12597</v>
      </c>
      <c r="F5108" s="3" t="s">
        <v>14255</v>
      </c>
      <c r="H5108" s="3" t="s">
        <v>4941</v>
      </c>
      <c r="K5108" s="2">
        <v>30</v>
      </c>
      <c r="L5108" s="2">
        <v>14</v>
      </c>
      <c r="M5108" s="3" t="s">
        <v>78</v>
      </c>
      <c r="N5108" s="3" t="s">
        <v>13</v>
      </c>
      <c r="O5108" s="3" t="s">
        <v>14</v>
      </c>
      <c r="Q5108" s="30" t="str">
        <f t="shared" si="79"/>
        <v>MAX : 
TARGET : Yes(Pass)
MIN : No(Fail)</v>
      </c>
    </row>
    <row r="5109" spans="2:17" ht="41.4" x14ac:dyDescent="0.3">
      <c r="B5109">
        <v>0</v>
      </c>
      <c r="C5109" s="33">
        <v>9166</v>
      </c>
      <c r="D5109" s="2">
        <v>1482</v>
      </c>
      <c r="E5109" s="2" t="s">
        <v>12883</v>
      </c>
      <c r="F5109" s="3" t="s">
        <v>14206</v>
      </c>
      <c r="H5109" s="3" t="s">
        <v>469</v>
      </c>
      <c r="K5109" s="2">
        <v>30</v>
      </c>
      <c r="L5109" s="2">
        <v>2</v>
      </c>
      <c r="M5109" s="3" t="s">
        <v>4739</v>
      </c>
      <c r="N5109" s="3" t="s">
        <v>2686</v>
      </c>
      <c r="O5109" s="3" t="s">
        <v>703</v>
      </c>
      <c r="P5109" s="3" t="s">
        <v>2687</v>
      </c>
      <c r="Q5109" s="30" t="str">
        <f t="shared" si="79"/>
        <v>MAX : 4.56
TARGET : 4.50
MIN : 4.44</v>
      </c>
    </row>
    <row r="5110" spans="2:17" ht="41.4" x14ac:dyDescent="0.3">
      <c r="B5110">
        <v>0</v>
      </c>
      <c r="C5110" s="33">
        <v>9166</v>
      </c>
      <c r="D5110" s="2">
        <v>1482</v>
      </c>
      <c r="E5110" s="2" t="s">
        <v>12883</v>
      </c>
      <c r="F5110" s="3" t="s">
        <v>14206</v>
      </c>
      <c r="H5110" s="3" t="s">
        <v>469</v>
      </c>
      <c r="K5110" s="2">
        <v>30</v>
      </c>
      <c r="L5110" s="2">
        <v>3</v>
      </c>
      <c r="M5110" s="3" t="s">
        <v>4740</v>
      </c>
      <c r="N5110" s="3" t="s">
        <v>1229</v>
      </c>
      <c r="O5110" s="3" t="s">
        <v>1230</v>
      </c>
      <c r="P5110" s="3" t="s">
        <v>1231</v>
      </c>
      <c r="Q5110" s="30" t="str">
        <f t="shared" si="79"/>
        <v>MAX : 8.06
TARGET : 8.00
MIN : 7.94</v>
      </c>
    </row>
    <row r="5111" spans="2:17" ht="41.4" x14ac:dyDescent="0.3">
      <c r="B5111">
        <v>0</v>
      </c>
      <c r="C5111" s="33">
        <v>9166</v>
      </c>
      <c r="D5111" s="2">
        <v>1482</v>
      </c>
      <c r="E5111" s="2" t="s">
        <v>12883</v>
      </c>
      <c r="F5111" s="3" t="s">
        <v>14206</v>
      </c>
      <c r="H5111" s="3" t="s">
        <v>469</v>
      </c>
      <c r="K5111" s="2">
        <v>30</v>
      </c>
      <c r="L5111" s="2">
        <v>5</v>
      </c>
      <c r="M5111" s="3" t="s">
        <v>4741</v>
      </c>
      <c r="N5111" s="3" t="s">
        <v>691</v>
      </c>
      <c r="O5111" s="3" t="s">
        <v>5203</v>
      </c>
      <c r="P5111" s="3" t="s">
        <v>769</v>
      </c>
      <c r="Q5111" s="30" t="str">
        <f t="shared" si="79"/>
        <v>MAX : 0.48
TARGET : 0.42
MIN : 0.36</v>
      </c>
    </row>
    <row r="5112" spans="2:17" ht="41.4" x14ac:dyDescent="0.3">
      <c r="B5112">
        <v>0</v>
      </c>
      <c r="C5112" s="33">
        <v>9166</v>
      </c>
      <c r="D5112" s="2">
        <v>1482</v>
      </c>
      <c r="E5112" s="2" t="s">
        <v>12883</v>
      </c>
      <c r="F5112" s="3" t="s">
        <v>14206</v>
      </c>
      <c r="H5112" s="3" t="s">
        <v>469</v>
      </c>
      <c r="K5112" s="2">
        <v>30</v>
      </c>
      <c r="L5112" s="2">
        <v>6</v>
      </c>
      <c r="M5112" s="3" t="s">
        <v>4742</v>
      </c>
      <c r="N5112" s="3" t="s">
        <v>13</v>
      </c>
      <c r="O5112" s="3" t="s">
        <v>14</v>
      </c>
      <c r="Q5112" s="30" t="str">
        <f t="shared" si="79"/>
        <v>MAX : 
TARGET : Yes(Pass)
MIN : No(Fail)</v>
      </c>
    </row>
    <row r="5113" spans="2:17" ht="41.4" x14ac:dyDescent="0.3">
      <c r="B5113">
        <v>0</v>
      </c>
      <c r="C5113" s="33">
        <v>9166</v>
      </c>
      <c r="D5113" s="2">
        <v>1482</v>
      </c>
      <c r="E5113" s="2" t="s">
        <v>12883</v>
      </c>
      <c r="F5113" s="3" t="s">
        <v>14206</v>
      </c>
      <c r="H5113" s="3" t="s">
        <v>469</v>
      </c>
      <c r="K5113" s="2">
        <v>30</v>
      </c>
      <c r="L5113" s="2">
        <v>7</v>
      </c>
      <c r="M5113" s="3" t="s">
        <v>4743</v>
      </c>
      <c r="N5113" s="3" t="s">
        <v>13</v>
      </c>
      <c r="O5113" s="3" t="s">
        <v>14</v>
      </c>
      <c r="Q5113" s="30" t="str">
        <f t="shared" si="79"/>
        <v>MAX : 
TARGET : Yes(Pass)
MIN : No(Fail)</v>
      </c>
    </row>
    <row r="5114" spans="2:17" ht="41.4" x14ac:dyDescent="0.3">
      <c r="B5114">
        <v>0</v>
      </c>
      <c r="C5114" s="33">
        <v>9166</v>
      </c>
      <c r="D5114" s="2">
        <v>1482</v>
      </c>
      <c r="E5114" s="2" t="s">
        <v>12883</v>
      </c>
      <c r="F5114" s="3" t="s">
        <v>14206</v>
      </c>
      <c r="H5114" s="3" t="s">
        <v>469</v>
      </c>
      <c r="K5114" s="2">
        <v>30</v>
      </c>
      <c r="L5114" s="2">
        <v>8</v>
      </c>
      <c r="M5114" s="3" t="s">
        <v>5387</v>
      </c>
      <c r="N5114" s="3" t="s">
        <v>13</v>
      </c>
      <c r="O5114" s="3" t="s">
        <v>14</v>
      </c>
      <c r="Q5114" s="30" t="str">
        <f t="shared" si="79"/>
        <v>MAX : 
TARGET : Yes(Pass)
MIN : No(Fail)</v>
      </c>
    </row>
    <row r="5115" spans="2:17" ht="41.4" x14ac:dyDescent="0.3">
      <c r="B5115">
        <v>0</v>
      </c>
      <c r="C5115" s="33">
        <v>9166</v>
      </c>
      <c r="D5115" s="2">
        <v>1482</v>
      </c>
      <c r="E5115" s="2" t="s">
        <v>12883</v>
      </c>
      <c r="F5115" s="3" t="s">
        <v>14206</v>
      </c>
      <c r="H5115" s="3" t="s">
        <v>469</v>
      </c>
      <c r="K5115" s="2">
        <v>30</v>
      </c>
      <c r="L5115" s="2">
        <v>1</v>
      </c>
      <c r="M5115" s="3" t="s">
        <v>5441</v>
      </c>
      <c r="N5115" s="3" t="s">
        <v>345</v>
      </c>
      <c r="O5115" s="3" t="s">
        <v>406</v>
      </c>
      <c r="P5115" s="3" t="s">
        <v>790</v>
      </c>
      <c r="Q5115" s="30" t="str">
        <f t="shared" si="79"/>
        <v>MAX : 2.25
TARGET : 2.00
MIN : 1.75</v>
      </c>
    </row>
    <row r="5116" spans="2:17" ht="41.4" x14ac:dyDescent="0.3">
      <c r="B5116">
        <v>0</v>
      </c>
      <c r="C5116" s="33">
        <v>9166</v>
      </c>
      <c r="D5116" s="2">
        <v>1482</v>
      </c>
      <c r="E5116" s="2" t="s">
        <v>12883</v>
      </c>
      <c r="F5116" s="3" t="s">
        <v>14206</v>
      </c>
      <c r="H5116" s="3" t="s">
        <v>469</v>
      </c>
      <c r="K5116" s="2">
        <v>30</v>
      </c>
      <c r="L5116" s="2">
        <v>4</v>
      </c>
      <c r="M5116" s="3" t="s">
        <v>422</v>
      </c>
      <c r="N5116" s="3" t="s">
        <v>2616</v>
      </c>
      <c r="O5116" s="3" t="s">
        <v>241</v>
      </c>
      <c r="P5116" s="3" t="s">
        <v>242</v>
      </c>
      <c r="Q5116" s="30" t="str">
        <f t="shared" si="79"/>
        <v>MAX : 0.156
TARGET : 0.125
MIN : 0.094</v>
      </c>
    </row>
    <row r="5117" spans="2:17" ht="41.4" x14ac:dyDescent="0.3">
      <c r="B5117">
        <v>1</v>
      </c>
      <c r="C5117" s="33">
        <v>9120</v>
      </c>
      <c r="D5117" s="2">
        <v>1452</v>
      </c>
      <c r="E5117" s="2" t="s">
        <v>12597</v>
      </c>
      <c r="F5117" s="3" t="s">
        <v>14255</v>
      </c>
      <c r="H5117" s="3" t="s">
        <v>4941</v>
      </c>
      <c r="K5117" s="2">
        <v>30</v>
      </c>
      <c r="L5117" s="2">
        <v>13</v>
      </c>
      <c r="M5117" s="3" t="s">
        <v>3831</v>
      </c>
      <c r="N5117" s="3" t="s">
        <v>13</v>
      </c>
      <c r="O5117" s="3" t="s">
        <v>14</v>
      </c>
      <c r="Q5117" s="30" t="str">
        <f t="shared" si="79"/>
        <v>MAX : 
TARGET : Yes(Pass)
MIN : No(Fail)</v>
      </c>
    </row>
    <row r="5118" spans="2:17" ht="41.4" x14ac:dyDescent="0.3">
      <c r="B5118">
        <v>1</v>
      </c>
      <c r="C5118" s="33">
        <v>9120</v>
      </c>
      <c r="D5118" s="2">
        <v>1452</v>
      </c>
      <c r="E5118" s="2" t="s">
        <v>12597</v>
      </c>
      <c r="F5118" s="3" t="s">
        <v>14255</v>
      </c>
      <c r="H5118" s="3" t="s">
        <v>4941</v>
      </c>
      <c r="K5118" s="2">
        <v>30</v>
      </c>
      <c r="L5118" s="2">
        <v>12</v>
      </c>
      <c r="M5118" s="3" t="s">
        <v>3849</v>
      </c>
      <c r="N5118" s="3" t="s">
        <v>1491</v>
      </c>
      <c r="O5118" s="3" t="s">
        <v>963</v>
      </c>
      <c r="P5118" s="3" t="s">
        <v>2548</v>
      </c>
      <c r="Q5118" s="30" t="str">
        <f t="shared" si="79"/>
        <v>MAX : 1.07
TARGET : 0.92
MIN : 0.77</v>
      </c>
    </row>
    <row r="5119" spans="2:17" ht="41.4" x14ac:dyDescent="0.3">
      <c r="B5119">
        <v>0</v>
      </c>
      <c r="C5119" s="33">
        <v>9167</v>
      </c>
      <c r="D5119" s="2">
        <v>1483</v>
      </c>
      <c r="E5119" s="2" t="s">
        <v>12888</v>
      </c>
      <c r="F5119" s="3" t="s">
        <v>14206</v>
      </c>
      <c r="H5119" s="3" t="s">
        <v>469</v>
      </c>
      <c r="K5119" s="2">
        <v>30</v>
      </c>
      <c r="L5119" s="2">
        <v>2</v>
      </c>
      <c r="M5119" s="3" t="s">
        <v>4739</v>
      </c>
      <c r="N5119" s="3" t="s">
        <v>1229</v>
      </c>
      <c r="O5119" s="3" t="s">
        <v>1230</v>
      </c>
      <c r="P5119" s="3" t="s">
        <v>1231</v>
      </c>
      <c r="Q5119" s="30" t="str">
        <f t="shared" si="79"/>
        <v>MAX : 8.06
TARGET : 8.00
MIN : 7.94</v>
      </c>
    </row>
    <row r="5120" spans="2:17" ht="41.4" x14ac:dyDescent="0.3">
      <c r="B5120">
        <v>0</v>
      </c>
      <c r="C5120" s="33">
        <v>9167</v>
      </c>
      <c r="D5120" s="2">
        <v>1483</v>
      </c>
      <c r="E5120" s="2" t="s">
        <v>12888</v>
      </c>
      <c r="F5120" s="3" t="s">
        <v>14206</v>
      </c>
      <c r="H5120" s="3" t="s">
        <v>469</v>
      </c>
      <c r="K5120" s="2">
        <v>30</v>
      </c>
      <c r="L5120" s="2">
        <v>3</v>
      </c>
      <c r="M5120" s="3" t="s">
        <v>4740</v>
      </c>
      <c r="N5120" s="3" t="s">
        <v>1229</v>
      </c>
      <c r="O5120" s="3" t="s">
        <v>1230</v>
      </c>
      <c r="P5120" s="3" t="s">
        <v>1231</v>
      </c>
      <c r="Q5120" s="30" t="str">
        <f t="shared" si="79"/>
        <v>MAX : 8.06
TARGET : 8.00
MIN : 7.94</v>
      </c>
    </row>
    <row r="5121" spans="2:17" ht="41.4" x14ac:dyDescent="0.3">
      <c r="B5121">
        <v>0</v>
      </c>
      <c r="C5121" s="33">
        <v>9167</v>
      </c>
      <c r="D5121" s="2">
        <v>1483</v>
      </c>
      <c r="E5121" s="2" t="s">
        <v>12888</v>
      </c>
      <c r="F5121" s="3" t="s">
        <v>14206</v>
      </c>
      <c r="H5121" s="3" t="s">
        <v>469</v>
      </c>
      <c r="K5121" s="2">
        <v>30</v>
      </c>
      <c r="L5121" s="2">
        <v>5</v>
      </c>
      <c r="M5121" s="3" t="s">
        <v>4741</v>
      </c>
      <c r="N5121" s="3" t="s">
        <v>691</v>
      </c>
      <c r="O5121" s="3" t="s">
        <v>5203</v>
      </c>
      <c r="P5121" s="3" t="s">
        <v>769</v>
      </c>
      <c r="Q5121" s="30" t="str">
        <f t="shared" si="79"/>
        <v>MAX : 0.48
TARGET : 0.42
MIN : 0.36</v>
      </c>
    </row>
    <row r="5122" spans="2:17" ht="41.4" x14ac:dyDescent="0.3">
      <c r="B5122">
        <v>0</v>
      </c>
      <c r="C5122" s="33">
        <v>9167</v>
      </c>
      <c r="D5122" s="2">
        <v>1483</v>
      </c>
      <c r="E5122" s="2" t="s">
        <v>12888</v>
      </c>
      <c r="F5122" s="3" t="s">
        <v>14206</v>
      </c>
      <c r="H5122" s="3" t="s">
        <v>469</v>
      </c>
      <c r="K5122" s="2">
        <v>30</v>
      </c>
      <c r="L5122" s="2">
        <v>6</v>
      </c>
      <c r="M5122" s="3" t="s">
        <v>4742</v>
      </c>
      <c r="N5122" s="3" t="s">
        <v>13</v>
      </c>
      <c r="O5122" s="3" t="s">
        <v>14</v>
      </c>
      <c r="Q5122" s="30" t="str">
        <f t="shared" ref="Q5122:Q5185" si="80">"MAX : " &amp; P5122 &amp; CHAR(10) &amp; "TARGET : " &amp; O5122 &amp; CHAR(10) &amp; "MIN : " &amp; N5122</f>
        <v>MAX : 
TARGET : Yes(Pass)
MIN : No(Fail)</v>
      </c>
    </row>
    <row r="5123" spans="2:17" ht="41.4" x14ac:dyDescent="0.3">
      <c r="B5123">
        <v>0</v>
      </c>
      <c r="C5123" s="33">
        <v>9167</v>
      </c>
      <c r="D5123" s="2">
        <v>1483</v>
      </c>
      <c r="E5123" s="2" t="s">
        <v>12888</v>
      </c>
      <c r="F5123" s="3" t="s">
        <v>14206</v>
      </c>
      <c r="H5123" s="3" t="s">
        <v>469</v>
      </c>
      <c r="K5123" s="2">
        <v>30</v>
      </c>
      <c r="L5123" s="2">
        <v>7</v>
      </c>
      <c r="M5123" s="3" t="s">
        <v>4743</v>
      </c>
      <c r="N5123" s="3" t="s">
        <v>13</v>
      </c>
      <c r="O5123" s="3" t="s">
        <v>14</v>
      </c>
      <c r="Q5123" s="30" t="str">
        <f t="shared" si="80"/>
        <v>MAX : 
TARGET : Yes(Pass)
MIN : No(Fail)</v>
      </c>
    </row>
    <row r="5124" spans="2:17" ht="41.4" x14ac:dyDescent="0.3">
      <c r="B5124">
        <v>0</v>
      </c>
      <c r="C5124" s="33">
        <v>9167</v>
      </c>
      <c r="D5124" s="2">
        <v>1483</v>
      </c>
      <c r="E5124" s="2" t="s">
        <v>12888</v>
      </c>
      <c r="F5124" s="3" t="s">
        <v>14206</v>
      </c>
      <c r="H5124" s="3" t="s">
        <v>469</v>
      </c>
      <c r="K5124" s="2">
        <v>30</v>
      </c>
      <c r="L5124" s="2">
        <v>8</v>
      </c>
      <c r="M5124" s="3" t="s">
        <v>5387</v>
      </c>
      <c r="N5124" s="3" t="s">
        <v>13</v>
      </c>
      <c r="O5124" s="3" t="s">
        <v>14</v>
      </c>
      <c r="Q5124" s="30" t="str">
        <f t="shared" si="80"/>
        <v>MAX : 
TARGET : Yes(Pass)
MIN : No(Fail)</v>
      </c>
    </row>
    <row r="5125" spans="2:17" ht="41.4" x14ac:dyDescent="0.3">
      <c r="B5125">
        <v>0</v>
      </c>
      <c r="C5125" s="33">
        <v>9167</v>
      </c>
      <c r="D5125" s="2">
        <v>1483</v>
      </c>
      <c r="E5125" s="2" t="s">
        <v>12888</v>
      </c>
      <c r="F5125" s="3" t="s">
        <v>14206</v>
      </c>
      <c r="H5125" s="3" t="s">
        <v>469</v>
      </c>
      <c r="K5125" s="2">
        <v>30</v>
      </c>
      <c r="L5125" s="2">
        <v>1</v>
      </c>
      <c r="M5125" s="3" t="s">
        <v>5441</v>
      </c>
      <c r="N5125" s="3" t="s">
        <v>163</v>
      </c>
      <c r="O5125" s="3" t="s">
        <v>253</v>
      </c>
      <c r="P5125" s="3" t="s">
        <v>5415</v>
      </c>
      <c r="Q5125" s="30" t="str">
        <f t="shared" si="80"/>
        <v>MAX : 4.25
TARGET : 4.00
MIN : 3.75</v>
      </c>
    </row>
    <row r="5126" spans="2:17" ht="41.4" x14ac:dyDescent="0.3">
      <c r="B5126">
        <v>0</v>
      </c>
      <c r="C5126" s="33">
        <v>9167</v>
      </c>
      <c r="D5126" s="2">
        <v>1483</v>
      </c>
      <c r="E5126" s="2" t="s">
        <v>12888</v>
      </c>
      <c r="F5126" s="3" t="s">
        <v>14206</v>
      </c>
      <c r="H5126" s="3" t="s">
        <v>469</v>
      </c>
      <c r="K5126" s="2">
        <v>30</v>
      </c>
      <c r="L5126" s="2">
        <v>4</v>
      </c>
      <c r="M5126" s="3" t="s">
        <v>422</v>
      </c>
      <c r="N5126" s="3" t="s">
        <v>2616</v>
      </c>
      <c r="O5126" s="3" t="s">
        <v>241</v>
      </c>
      <c r="P5126" s="3" t="s">
        <v>242</v>
      </c>
      <c r="Q5126" s="30" t="str">
        <f t="shared" si="80"/>
        <v>MAX : 0.156
TARGET : 0.125
MIN : 0.094</v>
      </c>
    </row>
    <row r="5127" spans="2:17" ht="41.4" x14ac:dyDescent="0.3">
      <c r="B5127">
        <v>1</v>
      </c>
      <c r="C5127" s="33">
        <v>9120</v>
      </c>
      <c r="D5127" s="2">
        <v>1452</v>
      </c>
      <c r="E5127" s="2" t="s">
        <v>12597</v>
      </c>
      <c r="F5127" s="3" t="s">
        <v>14255</v>
      </c>
      <c r="H5127" s="3" t="s">
        <v>4941</v>
      </c>
      <c r="K5127" s="2">
        <v>30</v>
      </c>
      <c r="L5127" s="2">
        <v>2</v>
      </c>
      <c r="M5127" s="3" t="s">
        <v>5539</v>
      </c>
      <c r="N5127" s="3" t="s">
        <v>3360</v>
      </c>
      <c r="O5127" s="3" t="s">
        <v>5540</v>
      </c>
      <c r="P5127" s="3" t="s">
        <v>4704</v>
      </c>
      <c r="Q5127" s="30" t="str">
        <f t="shared" si="80"/>
        <v>MAX : 18.63
TARGET : 18.33
MIN : 18.03</v>
      </c>
    </row>
    <row r="5128" spans="2:17" ht="41.4" x14ac:dyDescent="0.3">
      <c r="B5128">
        <v>1</v>
      </c>
      <c r="C5128" s="33">
        <v>9121</v>
      </c>
      <c r="D5128" s="2">
        <v>1453</v>
      </c>
      <c r="E5128" s="2" t="s">
        <v>12603</v>
      </c>
      <c r="F5128" s="3" t="s">
        <v>14255</v>
      </c>
      <c r="H5128" s="3" t="s">
        <v>4941</v>
      </c>
      <c r="K5128" s="2">
        <v>30</v>
      </c>
      <c r="L5128" s="2">
        <v>2</v>
      </c>
      <c r="M5128" s="3" t="s">
        <v>4961</v>
      </c>
      <c r="N5128" s="3" t="s">
        <v>1770</v>
      </c>
      <c r="O5128" s="3" t="s">
        <v>28</v>
      </c>
      <c r="P5128" s="3" t="s">
        <v>751</v>
      </c>
      <c r="Q5128" s="30" t="str">
        <f t="shared" si="80"/>
        <v>MAX : 1.69
TARGET : 1.50
MIN : 1.31</v>
      </c>
    </row>
    <row r="5129" spans="2:17" ht="41.4" x14ac:dyDescent="0.3">
      <c r="B5129">
        <v>0</v>
      </c>
      <c r="C5129" s="33">
        <v>9208</v>
      </c>
      <c r="D5129" s="2">
        <v>1508</v>
      </c>
      <c r="E5129" s="2" t="s">
        <v>13113</v>
      </c>
      <c r="F5129" s="3" t="s">
        <v>14206</v>
      </c>
      <c r="H5129" s="3" t="s">
        <v>713</v>
      </c>
      <c r="K5129" s="2">
        <v>20</v>
      </c>
      <c r="L5129" s="2">
        <v>3</v>
      </c>
      <c r="M5129" s="3" t="s">
        <v>5443</v>
      </c>
      <c r="N5129" s="3" t="s">
        <v>13</v>
      </c>
      <c r="O5129" s="3" t="s">
        <v>14</v>
      </c>
      <c r="Q5129" s="30" t="str">
        <f t="shared" si="80"/>
        <v>MAX : 
TARGET : Yes(Pass)
MIN : No(Fail)</v>
      </c>
    </row>
    <row r="5130" spans="2:17" ht="41.4" x14ac:dyDescent="0.3">
      <c r="B5130">
        <v>0</v>
      </c>
      <c r="C5130" s="33">
        <v>9208</v>
      </c>
      <c r="D5130" s="2">
        <v>1508</v>
      </c>
      <c r="E5130" s="2" t="s">
        <v>13113</v>
      </c>
      <c r="F5130" s="3" t="s">
        <v>14206</v>
      </c>
      <c r="H5130" s="3" t="s">
        <v>713</v>
      </c>
      <c r="K5130" s="2">
        <v>20</v>
      </c>
      <c r="L5130" s="2">
        <v>4</v>
      </c>
      <c r="M5130" s="3" t="s">
        <v>78</v>
      </c>
      <c r="N5130" s="3" t="s">
        <v>13</v>
      </c>
      <c r="O5130" s="3" t="s">
        <v>14</v>
      </c>
      <c r="Q5130" s="30" t="str">
        <f t="shared" si="80"/>
        <v>MAX : 
TARGET : Yes(Pass)
MIN : No(Fail)</v>
      </c>
    </row>
    <row r="5131" spans="2:17" ht="41.4" x14ac:dyDescent="0.3">
      <c r="B5131">
        <v>0</v>
      </c>
      <c r="C5131" s="33">
        <v>9208</v>
      </c>
      <c r="D5131" s="2">
        <v>1508</v>
      </c>
      <c r="E5131" s="2" t="s">
        <v>13113</v>
      </c>
      <c r="F5131" s="3" t="s">
        <v>14206</v>
      </c>
      <c r="H5131" s="3" t="s">
        <v>713</v>
      </c>
      <c r="K5131" s="2">
        <v>10</v>
      </c>
      <c r="L5131" s="2">
        <v>1</v>
      </c>
      <c r="M5131" s="3" t="s">
        <v>4558</v>
      </c>
      <c r="N5131" s="3" t="s">
        <v>5444</v>
      </c>
      <c r="O5131" s="3" t="s">
        <v>1185</v>
      </c>
      <c r="P5131" s="3" t="s">
        <v>975</v>
      </c>
      <c r="Q5131" s="30" t="str">
        <f t="shared" si="80"/>
        <v>MAX : 2.88
TARGET : 2.75
MIN : 2.60</v>
      </c>
    </row>
    <row r="5132" spans="2:17" ht="41.4" x14ac:dyDescent="0.3">
      <c r="B5132">
        <v>0</v>
      </c>
      <c r="C5132" s="33">
        <v>9208</v>
      </c>
      <c r="D5132" s="2">
        <v>1508</v>
      </c>
      <c r="E5132" s="2" t="s">
        <v>13113</v>
      </c>
      <c r="F5132" s="3" t="s">
        <v>14206</v>
      </c>
      <c r="H5132" s="3" t="s">
        <v>713</v>
      </c>
      <c r="K5132" s="2">
        <v>10</v>
      </c>
      <c r="L5132" s="2">
        <v>2</v>
      </c>
      <c r="M5132" s="3" t="s">
        <v>325</v>
      </c>
      <c r="N5132" s="3" t="s">
        <v>13</v>
      </c>
      <c r="O5132" s="3" t="s">
        <v>14</v>
      </c>
      <c r="Q5132" s="30" t="str">
        <f t="shared" si="80"/>
        <v>MAX : 
TARGET : Yes(Pass)
MIN : No(Fail)</v>
      </c>
    </row>
    <row r="5133" spans="2:17" ht="41.4" x14ac:dyDescent="0.3">
      <c r="B5133">
        <v>1</v>
      </c>
      <c r="C5133" s="33">
        <v>9121</v>
      </c>
      <c r="D5133" s="2">
        <v>1453</v>
      </c>
      <c r="E5133" s="2" t="s">
        <v>12603</v>
      </c>
      <c r="F5133" s="3" t="s">
        <v>14255</v>
      </c>
      <c r="H5133" s="3" t="s">
        <v>4941</v>
      </c>
      <c r="K5133" s="2">
        <v>30</v>
      </c>
      <c r="L5133" s="2">
        <v>3</v>
      </c>
      <c r="M5133" s="3" t="s">
        <v>5101</v>
      </c>
      <c r="N5133" s="3" t="s">
        <v>5102</v>
      </c>
      <c r="O5133" s="3" t="s">
        <v>4247</v>
      </c>
      <c r="P5133" s="3" t="s">
        <v>5103</v>
      </c>
      <c r="Q5133" s="30" t="str">
        <f t="shared" si="80"/>
        <v>MAX : 18.49
TARGET : 18.30
MIN : 18.11</v>
      </c>
    </row>
    <row r="5134" spans="2:17" ht="41.4" x14ac:dyDescent="0.3">
      <c r="B5134">
        <v>1</v>
      </c>
      <c r="C5134" s="33">
        <v>9121</v>
      </c>
      <c r="D5134" s="2">
        <v>1453</v>
      </c>
      <c r="E5134" s="2" t="s">
        <v>12603</v>
      </c>
      <c r="F5134" s="3" t="s">
        <v>14255</v>
      </c>
      <c r="H5134" s="3" t="s">
        <v>4941</v>
      </c>
      <c r="K5134" s="2">
        <v>30</v>
      </c>
      <c r="L5134" s="2">
        <v>1</v>
      </c>
      <c r="M5134" s="3" t="s">
        <v>194</v>
      </c>
      <c r="N5134" s="3" t="s">
        <v>4958</v>
      </c>
      <c r="O5134" s="3" t="s">
        <v>4959</v>
      </c>
      <c r="P5134" s="3" t="s">
        <v>4960</v>
      </c>
      <c r="Q5134" s="30" t="str">
        <f t="shared" si="80"/>
        <v>MAX : 20.18
TARGET : 19.80
MIN : 19.42</v>
      </c>
    </row>
    <row r="5135" spans="2:17" ht="41.4" x14ac:dyDescent="0.3">
      <c r="B5135">
        <v>1</v>
      </c>
      <c r="C5135" s="33">
        <v>9121</v>
      </c>
      <c r="D5135" s="2">
        <v>1453</v>
      </c>
      <c r="E5135" s="2" t="s">
        <v>12603</v>
      </c>
      <c r="F5135" s="3" t="s">
        <v>14255</v>
      </c>
      <c r="H5135" s="3" t="s">
        <v>4941</v>
      </c>
      <c r="K5135" s="2">
        <v>30</v>
      </c>
      <c r="L5135" s="2">
        <v>10</v>
      </c>
      <c r="M5135" s="3" t="s">
        <v>1587</v>
      </c>
      <c r="N5135" s="3" t="s">
        <v>1648</v>
      </c>
      <c r="O5135" s="3" t="s">
        <v>1649</v>
      </c>
      <c r="P5135" s="3" t="s">
        <v>1650</v>
      </c>
      <c r="Q5135" s="30" t="str">
        <f t="shared" si="80"/>
        <v>MAX : 25.9
TARGET : 25.4
MIN : 24.9</v>
      </c>
    </row>
    <row r="5136" spans="2:17" ht="41.4" x14ac:dyDescent="0.3">
      <c r="B5136">
        <v>1</v>
      </c>
      <c r="C5136" s="33">
        <v>9122</v>
      </c>
      <c r="D5136" s="2">
        <v>1454</v>
      </c>
      <c r="E5136" s="2" t="s">
        <v>12603</v>
      </c>
      <c r="F5136" s="3" t="s">
        <v>14255</v>
      </c>
      <c r="H5136" s="3" t="s">
        <v>4941</v>
      </c>
      <c r="K5136" s="2">
        <v>30</v>
      </c>
      <c r="L5136" s="2">
        <v>2</v>
      </c>
      <c r="M5136" s="3" t="s">
        <v>4961</v>
      </c>
      <c r="N5136" s="3" t="s">
        <v>1770</v>
      </c>
      <c r="O5136" s="3" t="s">
        <v>28</v>
      </c>
      <c r="P5136" s="3" t="s">
        <v>751</v>
      </c>
      <c r="Q5136" s="30" t="str">
        <f t="shared" si="80"/>
        <v>MAX : 1.69
TARGET : 1.50
MIN : 1.31</v>
      </c>
    </row>
    <row r="5137" spans="2:17" ht="41.4" x14ac:dyDescent="0.3">
      <c r="B5137">
        <v>0</v>
      </c>
      <c r="C5137" s="33">
        <v>9192</v>
      </c>
      <c r="D5137" s="2">
        <v>1500</v>
      </c>
      <c r="E5137" s="2" t="s">
        <v>13027</v>
      </c>
      <c r="F5137" s="3" t="s">
        <v>14206</v>
      </c>
      <c r="H5137" s="3" t="s">
        <v>426</v>
      </c>
      <c r="K5137" s="2">
        <v>30</v>
      </c>
      <c r="L5137" s="2">
        <v>6</v>
      </c>
      <c r="M5137" s="3" t="s">
        <v>5450</v>
      </c>
      <c r="N5137" s="3" t="s">
        <v>5446</v>
      </c>
      <c r="O5137" s="3" t="s">
        <v>5447</v>
      </c>
      <c r="P5137" s="3" t="s">
        <v>5448</v>
      </c>
      <c r="Q5137" s="30" t="str">
        <f t="shared" si="80"/>
        <v>MAX : .082
TARGET : .079
MIN : .076</v>
      </c>
    </row>
    <row r="5138" spans="2:17" ht="41.4" x14ac:dyDescent="0.3">
      <c r="B5138">
        <v>0</v>
      </c>
      <c r="C5138" s="33">
        <v>9192</v>
      </c>
      <c r="D5138" s="2">
        <v>1500</v>
      </c>
      <c r="E5138" s="2" t="s">
        <v>13027</v>
      </c>
      <c r="F5138" s="3" t="s">
        <v>14206</v>
      </c>
      <c r="H5138" s="3" t="s">
        <v>426</v>
      </c>
      <c r="K5138" s="2">
        <v>30</v>
      </c>
      <c r="L5138" s="2">
        <v>9</v>
      </c>
      <c r="M5138" s="3" t="s">
        <v>5451</v>
      </c>
      <c r="N5138" s="3" t="s">
        <v>360</v>
      </c>
      <c r="O5138" s="3" t="s">
        <v>359</v>
      </c>
      <c r="Q5138" s="30" t="str">
        <f t="shared" si="80"/>
        <v>MAX : 
TARGET : Pass
MIN : Fail</v>
      </c>
    </row>
    <row r="5139" spans="2:17" ht="41.4" x14ac:dyDescent="0.3">
      <c r="B5139">
        <v>0</v>
      </c>
      <c r="C5139" s="33">
        <v>9192</v>
      </c>
      <c r="D5139" s="2">
        <v>1500</v>
      </c>
      <c r="E5139" s="2" t="s">
        <v>13027</v>
      </c>
      <c r="F5139" s="3" t="s">
        <v>14206</v>
      </c>
      <c r="H5139" s="3" t="s">
        <v>426</v>
      </c>
      <c r="K5139" s="2">
        <v>30</v>
      </c>
      <c r="L5139" s="2">
        <v>10</v>
      </c>
      <c r="M5139" s="3" t="s">
        <v>5452</v>
      </c>
      <c r="N5139" s="3" t="s">
        <v>360</v>
      </c>
      <c r="O5139" s="3" t="s">
        <v>359</v>
      </c>
      <c r="Q5139" s="30" t="str">
        <f t="shared" si="80"/>
        <v>MAX : 
TARGET : Pass
MIN : Fail</v>
      </c>
    </row>
    <row r="5140" spans="2:17" ht="41.4" x14ac:dyDescent="0.3">
      <c r="B5140">
        <v>0</v>
      </c>
      <c r="C5140" s="33">
        <v>9192</v>
      </c>
      <c r="D5140" s="2">
        <v>1500</v>
      </c>
      <c r="E5140" s="2" t="s">
        <v>13027</v>
      </c>
      <c r="F5140" s="3" t="s">
        <v>14206</v>
      </c>
      <c r="H5140" s="3" t="s">
        <v>426</v>
      </c>
      <c r="K5140" s="2">
        <v>30</v>
      </c>
      <c r="L5140" s="2">
        <v>11</v>
      </c>
      <c r="M5140" s="3" t="s">
        <v>5453</v>
      </c>
      <c r="N5140" s="3" t="s">
        <v>360</v>
      </c>
      <c r="O5140" s="3" t="s">
        <v>359</v>
      </c>
      <c r="Q5140" s="30" t="str">
        <f t="shared" si="80"/>
        <v>MAX : 
TARGET : Pass
MIN : Fail</v>
      </c>
    </row>
    <row r="5141" spans="2:17" ht="41.4" x14ac:dyDescent="0.3">
      <c r="B5141">
        <v>1</v>
      </c>
      <c r="C5141" s="33">
        <v>9122</v>
      </c>
      <c r="D5141" s="2">
        <v>1454</v>
      </c>
      <c r="E5141" s="2" t="s">
        <v>12603</v>
      </c>
      <c r="F5141" s="3" t="s">
        <v>14255</v>
      </c>
      <c r="H5141" s="3" t="s">
        <v>4941</v>
      </c>
      <c r="K5141" s="2">
        <v>30</v>
      </c>
      <c r="L5141" s="2">
        <v>3</v>
      </c>
      <c r="M5141" s="3" t="s">
        <v>5101</v>
      </c>
      <c r="N5141" s="3" t="s">
        <v>5102</v>
      </c>
      <c r="O5141" s="3" t="s">
        <v>4247</v>
      </c>
      <c r="P5141" s="3" t="s">
        <v>5103</v>
      </c>
      <c r="Q5141" s="30" t="str">
        <f t="shared" si="80"/>
        <v>MAX : 18.49
TARGET : 18.30
MIN : 18.11</v>
      </c>
    </row>
    <row r="5142" spans="2:17" ht="41.4" x14ac:dyDescent="0.3">
      <c r="B5142">
        <v>1</v>
      </c>
      <c r="C5142" s="33">
        <v>9122</v>
      </c>
      <c r="D5142" s="2">
        <v>1454</v>
      </c>
      <c r="E5142" s="2" t="s">
        <v>12603</v>
      </c>
      <c r="F5142" s="3" t="s">
        <v>14255</v>
      </c>
      <c r="H5142" s="3" t="s">
        <v>4941</v>
      </c>
      <c r="K5142" s="2">
        <v>30</v>
      </c>
      <c r="L5142" s="2">
        <v>1</v>
      </c>
      <c r="M5142" s="3" t="s">
        <v>194</v>
      </c>
      <c r="N5142" s="3" t="s">
        <v>4958</v>
      </c>
      <c r="O5142" s="3" t="s">
        <v>4959</v>
      </c>
      <c r="P5142" s="3" t="s">
        <v>4960</v>
      </c>
      <c r="Q5142" s="30" t="str">
        <f t="shared" si="80"/>
        <v>MAX : 20.18
TARGET : 19.80
MIN : 19.42</v>
      </c>
    </row>
    <row r="5143" spans="2:17" ht="41.4" x14ac:dyDescent="0.3">
      <c r="B5143">
        <v>0</v>
      </c>
      <c r="C5143" s="33">
        <v>9209</v>
      </c>
      <c r="D5143" s="2">
        <v>1509</v>
      </c>
      <c r="E5143" s="2" t="s">
        <v>13119</v>
      </c>
      <c r="F5143" s="3" t="s">
        <v>14207</v>
      </c>
      <c r="H5143" s="3" t="s">
        <v>648</v>
      </c>
      <c r="K5143" s="2">
        <v>20</v>
      </c>
      <c r="L5143" s="2">
        <v>4</v>
      </c>
      <c r="M5143" s="3" t="s">
        <v>3648</v>
      </c>
      <c r="N5143" s="3" t="s">
        <v>4498</v>
      </c>
      <c r="O5143" s="3" t="s">
        <v>4499</v>
      </c>
      <c r="P5143" s="3" t="s">
        <v>4369</v>
      </c>
      <c r="Q5143" s="30" t="str">
        <f t="shared" si="80"/>
        <v>MAX : 35.01
TARGET : 34.71
MIN : 34.41</v>
      </c>
    </row>
    <row r="5144" spans="2:17" ht="41.4" x14ac:dyDescent="0.3">
      <c r="B5144">
        <v>0</v>
      </c>
      <c r="C5144" s="33">
        <v>9209</v>
      </c>
      <c r="D5144" s="2">
        <v>1509</v>
      </c>
      <c r="E5144" s="2" t="s">
        <v>13119</v>
      </c>
      <c r="F5144" s="3" t="s">
        <v>14207</v>
      </c>
      <c r="H5144" s="3" t="s">
        <v>648</v>
      </c>
      <c r="K5144" s="2">
        <v>20</v>
      </c>
      <c r="L5144" s="2">
        <v>5</v>
      </c>
      <c r="M5144" s="3" t="s">
        <v>1666</v>
      </c>
      <c r="N5144" s="3" t="s">
        <v>4500</v>
      </c>
      <c r="O5144" s="3" t="s">
        <v>4501</v>
      </c>
      <c r="P5144" s="3" t="s">
        <v>4502</v>
      </c>
      <c r="Q5144" s="30" t="str">
        <f t="shared" si="80"/>
        <v>MAX : 5.89
TARGET : 5.09
MIN : 4.29</v>
      </c>
    </row>
    <row r="5145" spans="2:17" ht="41.4" x14ac:dyDescent="0.3">
      <c r="B5145">
        <v>0</v>
      </c>
      <c r="C5145" s="33">
        <v>9209</v>
      </c>
      <c r="D5145" s="2">
        <v>1509</v>
      </c>
      <c r="E5145" s="2" t="s">
        <v>13119</v>
      </c>
      <c r="F5145" s="3" t="s">
        <v>14207</v>
      </c>
      <c r="H5145" s="3" t="s">
        <v>648</v>
      </c>
      <c r="K5145" s="2">
        <v>20</v>
      </c>
      <c r="L5145" s="2">
        <v>6</v>
      </c>
      <c r="M5145" s="3" t="s">
        <v>1587</v>
      </c>
      <c r="N5145" s="3" t="s">
        <v>5454</v>
      </c>
      <c r="O5145" s="3" t="s">
        <v>5455</v>
      </c>
      <c r="P5145" s="3" t="s">
        <v>5456</v>
      </c>
      <c r="Q5145" s="30" t="str">
        <f t="shared" si="80"/>
        <v>MAX : 21.12
TARGET : 20.32
MIN : 19.52</v>
      </c>
    </row>
    <row r="5146" spans="2:17" ht="41.4" x14ac:dyDescent="0.3">
      <c r="B5146">
        <v>0</v>
      </c>
      <c r="C5146" s="33">
        <v>9209</v>
      </c>
      <c r="D5146" s="2">
        <v>1509</v>
      </c>
      <c r="E5146" s="2" t="s">
        <v>13119</v>
      </c>
      <c r="F5146" s="3" t="s">
        <v>14207</v>
      </c>
      <c r="H5146" s="3" t="s">
        <v>648</v>
      </c>
      <c r="K5146" s="2">
        <v>20</v>
      </c>
      <c r="L5146" s="2">
        <v>7</v>
      </c>
      <c r="M5146" s="3" t="s">
        <v>2804</v>
      </c>
      <c r="N5146" s="3" t="s">
        <v>5457</v>
      </c>
      <c r="O5146" s="3" t="s">
        <v>4543</v>
      </c>
      <c r="P5146" s="3" t="s">
        <v>234</v>
      </c>
      <c r="Q5146" s="30" t="str">
        <f t="shared" si="80"/>
        <v>MAX : 11.21
TARGET : 10.41
MIN : 9.61</v>
      </c>
    </row>
    <row r="5147" spans="2:17" ht="41.4" x14ac:dyDescent="0.3">
      <c r="B5147">
        <v>0</v>
      </c>
      <c r="C5147" s="33">
        <v>9209</v>
      </c>
      <c r="D5147" s="2">
        <v>1509</v>
      </c>
      <c r="E5147" s="2" t="s">
        <v>13119</v>
      </c>
      <c r="F5147" s="3" t="s">
        <v>14207</v>
      </c>
      <c r="H5147" s="3" t="s">
        <v>648</v>
      </c>
      <c r="K5147" s="2">
        <v>20</v>
      </c>
      <c r="L5147" s="2">
        <v>10</v>
      </c>
      <c r="M5147" s="3" t="s">
        <v>1605</v>
      </c>
      <c r="N5147" s="3" t="s">
        <v>13</v>
      </c>
      <c r="O5147" s="3" t="s">
        <v>14</v>
      </c>
      <c r="Q5147" s="30" t="str">
        <f t="shared" si="80"/>
        <v>MAX : 
TARGET : Yes(Pass)
MIN : No(Fail)</v>
      </c>
    </row>
    <row r="5148" spans="2:17" ht="41.4" x14ac:dyDescent="0.3">
      <c r="B5148">
        <v>0</v>
      </c>
      <c r="C5148" s="33">
        <v>9209</v>
      </c>
      <c r="D5148" s="2">
        <v>1509</v>
      </c>
      <c r="E5148" s="2" t="s">
        <v>13119</v>
      </c>
      <c r="F5148" s="3" t="s">
        <v>14207</v>
      </c>
      <c r="H5148" s="3" t="s">
        <v>648</v>
      </c>
      <c r="K5148" s="2">
        <v>20</v>
      </c>
      <c r="L5148" s="2">
        <v>11</v>
      </c>
      <c r="M5148" s="3" t="s">
        <v>3757</v>
      </c>
      <c r="N5148" s="3" t="s">
        <v>13</v>
      </c>
      <c r="O5148" s="3" t="s">
        <v>14</v>
      </c>
      <c r="Q5148" s="30" t="str">
        <f t="shared" si="80"/>
        <v>MAX : 
TARGET : Yes(Pass)
MIN : No(Fail)</v>
      </c>
    </row>
    <row r="5149" spans="2:17" ht="41.4" x14ac:dyDescent="0.3">
      <c r="B5149">
        <v>0</v>
      </c>
      <c r="C5149" s="33">
        <v>9209</v>
      </c>
      <c r="D5149" s="2">
        <v>1509</v>
      </c>
      <c r="E5149" s="2" t="s">
        <v>13119</v>
      </c>
      <c r="F5149" s="3" t="s">
        <v>14207</v>
      </c>
      <c r="H5149" s="3" t="s">
        <v>648</v>
      </c>
      <c r="K5149" s="2">
        <v>20</v>
      </c>
      <c r="L5149" s="2">
        <v>12</v>
      </c>
      <c r="M5149" s="3" t="s">
        <v>78</v>
      </c>
      <c r="N5149" s="3" t="s">
        <v>13</v>
      </c>
      <c r="O5149" s="3" t="s">
        <v>14</v>
      </c>
      <c r="Q5149" s="30" t="str">
        <f t="shared" si="80"/>
        <v>MAX : 
TARGET : Yes(Pass)
MIN : No(Fail)</v>
      </c>
    </row>
    <row r="5150" spans="2:17" ht="41.4" x14ac:dyDescent="0.3">
      <c r="B5150">
        <v>0</v>
      </c>
      <c r="C5150" s="33">
        <v>9209</v>
      </c>
      <c r="D5150" s="2">
        <v>1509</v>
      </c>
      <c r="E5150" s="2" t="s">
        <v>13119</v>
      </c>
      <c r="F5150" s="3" t="s">
        <v>14207</v>
      </c>
      <c r="H5150" s="3" t="s">
        <v>648</v>
      </c>
      <c r="K5150" s="2">
        <v>20</v>
      </c>
      <c r="L5150" s="2">
        <v>8</v>
      </c>
      <c r="M5150" s="3" t="s">
        <v>4516</v>
      </c>
      <c r="N5150" s="3" t="s">
        <v>2451</v>
      </c>
      <c r="O5150" s="3" t="s">
        <v>129</v>
      </c>
      <c r="P5150" s="3" t="s">
        <v>4517</v>
      </c>
      <c r="Q5150" s="30" t="str">
        <f t="shared" si="80"/>
        <v>MAX : 4.31
TARGET : 4.06
MIN : 3.81</v>
      </c>
    </row>
    <row r="5151" spans="2:17" ht="41.4" x14ac:dyDescent="0.3">
      <c r="B5151">
        <v>0</v>
      </c>
      <c r="C5151" s="33">
        <v>9209</v>
      </c>
      <c r="D5151" s="2">
        <v>1509</v>
      </c>
      <c r="E5151" s="2" t="s">
        <v>13119</v>
      </c>
      <c r="F5151" s="3" t="s">
        <v>14207</v>
      </c>
      <c r="H5151" s="3" t="s">
        <v>648</v>
      </c>
      <c r="K5151" s="2">
        <v>20</v>
      </c>
      <c r="L5151" s="2">
        <v>9</v>
      </c>
      <c r="M5151" s="3" t="s">
        <v>4518</v>
      </c>
      <c r="N5151" s="3" t="s">
        <v>2451</v>
      </c>
      <c r="O5151" s="3" t="s">
        <v>129</v>
      </c>
      <c r="P5151" s="3" t="s">
        <v>4517</v>
      </c>
      <c r="Q5151" s="30" t="str">
        <f t="shared" si="80"/>
        <v>MAX : 4.31
TARGET : 4.06
MIN : 3.81</v>
      </c>
    </row>
    <row r="5152" spans="2:17" ht="41.4" x14ac:dyDescent="0.3">
      <c r="B5152">
        <v>0</v>
      </c>
      <c r="C5152" s="33">
        <v>9209</v>
      </c>
      <c r="D5152" s="2">
        <v>1509</v>
      </c>
      <c r="E5152" s="2" t="s">
        <v>13119</v>
      </c>
      <c r="F5152" s="3" t="s">
        <v>14207</v>
      </c>
      <c r="H5152" s="3" t="s">
        <v>648</v>
      </c>
      <c r="K5152" s="2">
        <v>20</v>
      </c>
      <c r="L5152" s="2">
        <v>3</v>
      </c>
      <c r="M5152" s="3" t="s">
        <v>4542</v>
      </c>
      <c r="N5152" s="3" t="s">
        <v>4543</v>
      </c>
      <c r="O5152" s="3" t="s">
        <v>234</v>
      </c>
      <c r="P5152" s="3" t="s">
        <v>4544</v>
      </c>
      <c r="Q5152" s="30" t="str">
        <f t="shared" si="80"/>
        <v>MAX : 12.01
TARGET : 11.21
MIN : 10.41</v>
      </c>
    </row>
    <row r="5153" spans="2:18" ht="41.4" x14ac:dyDescent="0.3">
      <c r="B5153">
        <v>1</v>
      </c>
      <c r="C5153" s="33">
        <v>9122</v>
      </c>
      <c r="D5153" s="2">
        <v>1454</v>
      </c>
      <c r="E5153" s="2" t="s">
        <v>12603</v>
      </c>
      <c r="F5153" s="3" t="s">
        <v>14255</v>
      </c>
      <c r="H5153" s="3" t="s">
        <v>4941</v>
      </c>
      <c r="K5153" s="2">
        <v>30</v>
      </c>
      <c r="L5153" s="2">
        <v>10</v>
      </c>
      <c r="M5153" s="3" t="s">
        <v>1587</v>
      </c>
      <c r="N5153" s="3" t="s">
        <v>1648</v>
      </c>
      <c r="O5153" s="3" t="s">
        <v>1649</v>
      </c>
      <c r="P5153" s="3" t="s">
        <v>1650</v>
      </c>
      <c r="Q5153" s="30" t="str">
        <f t="shared" si="80"/>
        <v>MAX : 25.9
TARGET : 25.4
MIN : 24.9</v>
      </c>
    </row>
    <row r="5154" spans="2:18" ht="41.4" x14ac:dyDescent="0.3">
      <c r="B5154">
        <v>1</v>
      </c>
      <c r="C5154" s="33">
        <v>9122</v>
      </c>
      <c r="D5154" s="2">
        <v>1454</v>
      </c>
      <c r="E5154" s="2" t="s">
        <v>12603</v>
      </c>
      <c r="F5154" s="3" t="s">
        <v>14255</v>
      </c>
      <c r="H5154" s="3" t="s">
        <v>4941</v>
      </c>
      <c r="K5154" s="2">
        <v>30</v>
      </c>
      <c r="L5154" s="2">
        <v>8</v>
      </c>
      <c r="M5154" s="3" t="s">
        <v>5100</v>
      </c>
      <c r="N5154" s="3" t="s">
        <v>4027</v>
      </c>
      <c r="O5154" s="3" t="s">
        <v>4028</v>
      </c>
      <c r="P5154" s="3" t="s">
        <v>2999</v>
      </c>
      <c r="Q5154" s="30" t="str">
        <f t="shared" si="80"/>
        <v>MAX : 5.8
TARGET : 5.3
MIN : 4.8</v>
      </c>
    </row>
    <row r="5155" spans="2:18" ht="41.4" x14ac:dyDescent="0.3">
      <c r="B5155">
        <v>0</v>
      </c>
      <c r="C5155" s="33">
        <v>9212</v>
      </c>
      <c r="D5155" s="2">
        <v>1512</v>
      </c>
      <c r="E5155" s="2" t="s">
        <v>13138</v>
      </c>
      <c r="F5155" s="3" t="s">
        <v>14206</v>
      </c>
      <c r="H5155" s="3" t="s">
        <v>5458</v>
      </c>
      <c r="K5155" s="2">
        <v>10</v>
      </c>
      <c r="L5155" s="2">
        <v>3</v>
      </c>
      <c r="M5155" s="3" t="s">
        <v>5462</v>
      </c>
      <c r="N5155" s="3" t="s">
        <v>1692</v>
      </c>
      <c r="O5155" s="3" t="s">
        <v>1693</v>
      </c>
      <c r="P5155" s="3" t="s">
        <v>435</v>
      </c>
      <c r="Q5155" s="30" t="str">
        <f t="shared" si="80"/>
        <v>MAX : 0.17
TARGET : 0.14
MIN : 0.11</v>
      </c>
      <c r="R5155" s="3" t="s">
        <v>5459</v>
      </c>
    </row>
    <row r="5156" spans="2:18" ht="41.4" x14ac:dyDescent="0.3">
      <c r="B5156">
        <v>0</v>
      </c>
      <c r="C5156" s="33">
        <v>9212</v>
      </c>
      <c r="D5156" s="2">
        <v>1512</v>
      </c>
      <c r="E5156" s="2" t="s">
        <v>13138</v>
      </c>
      <c r="F5156" s="3" t="s">
        <v>14206</v>
      </c>
      <c r="H5156" s="3" t="s">
        <v>5458</v>
      </c>
      <c r="K5156" s="2">
        <v>10</v>
      </c>
      <c r="L5156" s="2">
        <v>4</v>
      </c>
      <c r="M5156" s="3" t="s">
        <v>5463</v>
      </c>
      <c r="N5156" s="3" t="s">
        <v>2598</v>
      </c>
      <c r="O5156" s="3" t="s">
        <v>2304</v>
      </c>
      <c r="P5156" s="3" t="s">
        <v>3409</v>
      </c>
      <c r="Q5156" s="30" t="str">
        <f t="shared" si="80"/>
        <v>MAX : 0.060
TARGET : 0.050
MIN : 0.040</v>
      </c>
      <c r="R5156" s="3" t="s">
        <v>5459</v>
      </c>
    </row>
    <row r="5157" spans="2:18" ht="41.4" x14ac:dyDescent="0.3">
      <c r="B5157">
        <v>0</v>
      </c>
      <c r="C5157" s="33">
        <v>9212</v>
      </c>
      <c r="D5157" s="2">
        <v>1512</v>
      </c>
      <c r="E5157" s="2" t="s">
        <v>13138</v>
      </c>
      <c r="F5157" s="3" t="s">
        <v>14206</v>
      </c>
      <c r="H5157" s="3" t="s">
        <v>5458</v>
      </c>
      <c r="K5157" s="2">
        <v>10</v>
      </c>
      <c r="L5157" s="2">
        <v>5</v>
      </c>
      <c r="M5157" s="3" t="s">
        <v>5464</v>
      </c>
      <c r="N5157" s="3" t="s">
        <v>13</v>
      </c>
      <c r="O5157" s="3" t="s">
        <v>14</v>
      </c>
      <c r="Q5157" s="30" t="str">
        <f t="shared" si="80"/>
        <v>MAX : 
TARGET : Yes(Pass)
MIN : No(Fail)</v>
      </c>
      <c r="R5157" s="3" t="s">
        <v>5459</v>
      </c>
    </row>
    <row r="5158" spans="2:18" ht="41.4" x14ac:dyDescent="0.3">
      <c r="B5158">
        <v>0</v>
      </c>
      <c r="C5158" s="33">
        <v>9212</v>
      </c>
      <c r="D5158" s="2">
        <v>1512</v>
      </c>
      <c r="E5158" s="2" t="s">
        <v>13138</v>
      </c>
      <c r="F5158" s="3" t="s">
        <v>14206</v>
      </c>
      <c r="H5158" s="3" t="s">
        <v>5458</v>
      </c>
      <c r="K5158" s="2">
        <v>10</v>
      </c>
      <c r="L5158" s="2">
        <v>6</v>
      </c>
      <c r="M5158" s="3" t="s">
        <v>78</v>
      </c>
      <c r="N5158" s="3" t="s">
        <v>13</v>
      </c>
      <c r="O5158" s="3" t="s">
        <v>14</v>
      </c>
      <c r="Q5158" s="30" t="str">
        <f t="shared" si="80"/>
        <v>MAX : 
TARGET : Yes(Pass)
MIN : No(Fail)</v>
      </c>
      <c r="R5158" s="3" t="s">
        <v>5459</v>
      </c>
    </row>
    <row r="5159" spans="2:18" ht="41.4" x14ac:dyDescent="0.3">
      <c r="B5159">
        <v>1</v>
      </c>
      <c r="C5159" s="33">
        <v>9122</v>
      </c>
      <c r="D5159" s="2">
        <v>1454</v>
      </c>
      <c r="E5159" s="2" t="s">
        <v>12603</v>
      </c>
      <c r="F5159" s="3" t="s">
        <v>14255</v>
      </c>
      <c r="H5159" s="3" t="s">
        <v>4941</v>
      </c>
      <c r="K5159" s="2">
        <v>30</v>
      </c>
      <c r="L5159" s="2">
        <v>11</v>
      </c>
      <c r="M5159" s="3" t="s">
        <v>3849</v>
      </c>
      <c r="N5159" s="3" t="s">
        <v>1716</v>
      </c>
      <c r="O5159" s="3" t="s">
        <v>887</v>
      </c>
      <c r="P5159" s="3" t="s">
        <v>414</v>
      </c>
      <c r="Q5159" s="30" t="str">
        <f t="shared" si="80"/>
        <v>MAX : 1.03
TARGET : 0.93
MIN : 0.83</v>
      </c>
    </row>
    <row r="5160" spans="2:18" ht="41.4" x14ac:dyDescent="0.3">
      <c r="B5160">
        <v>1</v>
      </c>
      <c r="C5160" s="33">
        <v>9123</v>
      </c>
      <c r="D5160" s="2">
        <v>1455</v>
      </c>
      <c r="E5160" s="2" t="s">
        <v>12611</v>
      </c>
      <c r="F5160" s="3" t="s">
        <v>14206</v>
      </c>
      <c r="H5160" s="3" t="s">
        <v>2138</v>
      </c>
      <c r="K5160" s="2">
        <v>10</v>
      </c>
      <c r="L5160" s="2">
        <v>2</v>
      </c>
      <c r="M5160" s="3" t="s">
        <v>325</v>
      </c>
      <c r="N5160" s="3" t="s">
        <v>13</v>
      </c>
      <c r="O5160" s="3" t="s">
        <v>14</v>
      </c>
      <c r="Q5160" s="30" t="str">
        <f t="shared" si="80"/>
        <v>MAX : 
TARGET : Yes(Pass)
MIN : No(Fail)</v>
      </c>
    </row>
    <row r="5161" spans="2:18" ht="41.4" x14ac:dyDescent="0.3">
      <c r="B5161">
        <v>0</v>
      </c>
      <c r="C5161" s="33">
        <v>9211</v>
      </c>
      <c r="D5161" s="2">
        <v>1511</v>
      </c>
      <c r="E5161" s="2" t="s">
        <v>13131</v>
      </c>
      <c r="F5161" s="3" t="s">
        <v>14207</v>
      </c>
      <c r="H5161" s="3" t="s">
        <v>2296</v>
      </c>
      <c r="K5161" s="2">
        <v>20</v>
      </c>
      <c r="L5161" s="2">
        <v>3</v>
      </c>
      <c r="M5161" s="3" t="s">
        <v>2088</v>
      </c>
      <c r="N5161" s="3" t="s">
        <v>5472</v>
      </c>
      <c r="O5161" s="3" t="s">
        <v>5473</v>
      </c>
      <c r="P5161" s="3" t="s">
        <v>5474</v>
      </c>
      <c r="Q5161" s="30" t="str">
        <f t="shared" si="80"/>
        <v>MAX : 343.70
TARGET : 342.90
MIN : 342.10</v>
      </c>
    </row>
    <row r="5162" spans="2:18" ht="41.4" x14ac:dyDescent="0.3">
      <c r="B5162">
        <v>0</v>
      </c>
      <c r="C5162" s="33">
        <v>9211</v>
      </c>
      <c r="D5162" s="2">
        <v>1511</v>
      </c>
      <c r="E5162" s="2" t="s">
        <v>13131</v>
      </c>
      <c r="F5162" s="3" t="s">
        <v>14207</v>
      </c>
      <c r="H5162" s="3" t="s">
        <v>2296</v>
      </c>
      <c r="K5162" s="2">
        <v>20</v>
      </c>
      <c r="L5162" s="2">
        <v>4</v>
      </c>
      <c r="M5162" s="3" t="s">
        <v>5475</v>
      </c>
      <c r="N5162" s="3" t="s">
        <v>5476</v>
      </c>
      <c r="O5162" s="3" t="s">
        <v>2301</v>
      </c>
      <c r="P5162" s="3" t="s">
        <v>5477</v>
      </c>
      <c r="Q5162" s="30" t="str">
        <f t="shared" si="80"/>
        <v>MAX : 16.86
TARGET : 16.06
MIN : 15.26</v>
      </c>
    </row>
    <row r="5163" spans="2:18" ht="41.4" x14ac:dyDescent="0.3">
      <c r="B5163">
        <v>0</v>
      </c>
      <c r="C5163" s="33">
        <v>9211</v>
      </c>
      <c r="D5163" s="2">
        <v>1511</v>
      </c>
      <c r="E5163" s="2" t="s">
        <v>13131</v>
      </c>
      <c r="F5163" s="3" t="s">
        <v>14207</v>
      </c>
      <c r="H5163" s="3" t="s">
        <v>2296</v>
      </c>
      <c r="K5163" s="2">
        <v>20</v>
      </c>
      <c r="L5163" s="2">
        <v>5</v>
      </c>
      <c r="M5163" s="3" t="s">
        <v>5478</v>
      </c>
      <c r="N5163" s="3" t="s">
        <v>773</v>
      </c>
      <c r="O5163" s="3" t="s">
        <v>406</v>
      </c>
      <c r="P5163" s="3" t="s">
        <v>1689</v>
      </c>
      <c r="Q5163" s="30" t="str">
        <f t="shared" si="80"/>
        <v>MAX : 2.80
TARGET : 2.00
MIN : 1.20</v>
      </c>
    </row>
    <row r="5164" spans="2:18" ht="41.4" x14ac:dyDescent="0.3">
      <c r="B5164">
        <v>0</v>
      </c>
      <c r="C5164" s="33">
        <v>9211</v>
      </c>
      <c r="D5164" s="2">
        <v>1511</v>
      </c>
      <c r="E5164" s="2" t="s">
        <v>13131</v>
      </c>
      <c r="F5164" s="3" t="s">
        <v>14207</v>
      </c>
      <c r="H5164" s="3" t="s">
        <v>2296</v>
      </c>
      <c r="K5164" s="2">
        <v>20</v>
      </c>
      <c r="L5164" s="2">
        <v>6</v>
      </c>
      <c r="M5164" s="3" t="s">
        <v>5479</v>
      </c>
      <c r="N5164" s="3" t="s">
        <v>1174</v>
      </c>
      <c r="O5164" s="3" t="s">
        <v>2811</v>
      </c>
      <c r="P5164" s="3" t="s">
        <v>3422</v>
      </c>
      <c r="Q5164" s="30" t="str">
        <f t="shared" si="80"/>
        <v>MAX : 7.66
TARGET : 6.86
MIN : 6.06</v>
      </c>
    </row>
    <row r="5165" spans="2:18" ht="41.4" x14ac:dyDescent="0.3">
      <c r="B5165">
        <v>0</v>
      </c>
      <c r="C5165" s="33">
        <v>9211</v>
      </c>
      <c r="D5165" s="2">
        <v>1511</v>
      </c>
      <c r="E5165" s="2" t="s">
        <v>13131</v>
      </c>
      <c r="F5165" s="3" t="s">
        <v>14207</v>
      </c>
      <c r="H5165" s="3" t="s">
        <v>2296</v>
      </c>
      <c r="K5165" s="2">
        <v>20</v>
      </c>
      <c r="L5165" s="2">
        <v>7</v>
      </c>
      <c r="M5165" s="3" t="s">
        <v>5480</v>
      </c>
      <c r="N5165" s="3" t="s">
        <v>5481</v>
      </c>
      <c r="O5165" s="3" t="s">
        <v>5482</v>
      </c>
      <c r="P5165" s="3" t="s">
        <v>5483</v>
      </c>
      <c r="Q5165" s="30" t="str">
        <f t="shared" si="80"/>
        <v>MAX : 33.90
TARGET : 33.10
MIN : 32.30</v>
      </c>
    </row>
    <row r="5166" spans="2:18" ht="41.4" x14ac:dyDescent="0.3">
      <c r="B5166">
        <v>0</v>
      </c>
      <c r="C5166" s="33">
        <v>9211</v>
      </c>
      <c r="D5166" s="2">
        <v>1511</v>
      </c>
      <c r="E5166" s="2" t="s">
        <v>13131</v>
      </c>
      <c r="F5166" s="3" t="s">
        <v>14207</v>
      </c>
      <c r="H5166" s="3" t="s">
        <v>2296</v>
      </c>
      <c r="K5166" s="2">
        <v>20</v>
      </c>
      <c r="L5166" s="2">
        <v>8</v>
      </c>
      <c r="M5166" s="3" t="s">
        <v>4222</v>
      </c>
      <c r="N5166" s="3" t="s">
        <v>5484</v>
      </c>
      <c r="O5166" s="3" t="s">
        <v>5485</v>
      </c>
      <c r="P5166" s="3" t="s">
        <v>4128</v>
      </c>
      <c r="Q5166" s="30" t="str">
        <f t="shared" si="80"/>
        <v>MAX : 17.08
TARGET : 16.28
MIN : 15.48</v>
      </c>
    </row>
    <row r="5167" spans="2:18" ht="41.4" x14ac:dyDescent="0.3">
      <c r="B5167">
        <v>0</v>
      </c>
      <c r="C5167" s="33">
        <v>9211</v>
      </c>
      <c r="D5167" s="2">
        <v>1511</v>
      </c>
      <c r="E5167" s="2" t="s">
        <v>13131</v>
      </c>
      <c r="F5167" s="3" t="s">
        <v>14207</v>
      </c>
      <c r="H5167" s="3" t="s">
        <v>2296</v>
      </c>
      <c r="K5167" s="2">
        <v>20</v>
      </c>
      <c r="L5167" s="2">
        <v>9</v>
      </c>
      <c r="M5167" s="3" t="s">
        <v>5486</v>
      </c>
      <c r="N5167" s="3" t="s">
        <v>13</v>
      </c>
      <c r="O5167" s="3" t="s">
        <v>14</v>
      </c>
      <c r="Q5167" s="30" t="str">
        <f t="shared" si="80"/>
        <v>MAX : 
TARGET : Yes(Pass)
MIN : No(Fail)</v>
      </c>
    </row>
    <row r="5168" spans="2:18" ht="41.4" x14ac:dyDescent="0.3">
      <c r="B5168">
        <v>0</v>
      </c>
      <c r="C5168" s="33">
        <v>9211</v>
      </c>
      <c r="D5168" s="2">
        <v>1511</v>
      </c>
      <c r="E5168" s="2" t="s">
        <v>13131</v>
      </c>
      <c r="F5168" s="3" t="s">
        <v>14207</v>
      </c>
      <c r="H5168" s="3" t="s">
        <v>2296</v>
      </c>
      <c r="K5168" s="2">
        <v>20</v>
      </c>
      <c r="L5168" s="2">
        <v>10</v>
      </c>
      <c r="M5168" s="3" t="s">
        <v>78</v>
      </c>
      <c r="N5168" s="3" t="s">
        <v>13</v>
      </c>
      <c r="O5168" s="3" t="s">
        <v>14</v>
      </c>
      <c r="Q5168" s="30" t="str">
        <f t="shared" si="80"/>
        <v>MAX : 
TARGET : Yes(Pass)
MIN : No(Fail)</v>
      </c>
    </row>
    <row r="5169" spans="2:17" ht="41.4" x14ac:dyDescent="0.3">
      <c r="B5169">
        <v>0</v>
      </c>
      <c r="C5169" s="33">
        <v>9211</v>
      </c>
      <c r="D5169" s="2">
        <v>1511</v>
      </c>
      <c r="E5169" s="2" t="s">
        <v>13131</v>
      </c>
      <c r="F5169" s="3" t="s">
        <v>14207</v>
      </c>
      <c r="H5169" s="3" t="s">
        <v>2296</v>
      </c>
      <c r="K5169" s="2">
        <v>20</v>
      </c>
      <c r="L5169" s="2">
        <v>11</v>
      </c>
      <c r="M5169" s="3" t="s">
        <v>4281</v>
      </c>
      <c r="N5169" s="3" t="s">
        <v>13</v>
      </c>
      <c r="O5169" s="3" t="s">
        <v>14</v>
      </c>
      <c r="Q5169" s="30" t="str">
        <f t="shared" si="80"/>
        <v>MAX : 
TARGET : Yes(Pass)
MIN : No(Fail)</v>
      </c>
    </row>
    <row r="5170" spans="2:17" ht="41.4" x14ac:dyDescent="0.3">
      <c r="B5170">
        <v>1</v>
      </c>
      <c r="C5170" s="33">
        <v>9123</v>
      </c>
      <c r="D5170" s="2">
        <v>1455</v>
      </c>
      <c r="E5170" s="2" t="s">
        <v>12611</v>
      </c>
      <c r="F5170" s="3" t="s">
        <v>14206</v>
      </c>
      <c r="H5170" s="3" t="s">
        <v>2138</v>
      </c>
      <c r="K5170" s="2">
        <v>10</v>
      </c>
      <c r="L5170" s="2">
        <v>1</v>
      </c>
      <c r="M5170" s="3" t="s">
        <v>458</v>
      </c>
      <c r="N5170" s="3" t="s">
        <v>801</v>
      </c>
      <c r="O5170" s="3" t="s">
        <v>802</v>
      </c>
      <c r="P5170" s="3" t="s">
        <v>803</v>
      </c>
      <c r="Q5170" s="30" t="str">
        <f t="shared" si="80"/>
        <v>MAX : 24.125
TARGET : 24.000
MIN : 23.875</v>
      </c>
    </row>
    <row r="5171" spans="2:17" ht="41.4" x14ac:dyDescent="0.3">
      <c r="B5171">
        <v>1</v>
      </c>
      <c r="C5171" s="33">
        <v>9124</v>
      </c>
      <c r="D5171" s="2">
        <v>1456</v>
      </c>
      <c r="E5171" s="2" t="s">
        <v>12618</v>
      </c>
      <c r="F5171" s="3" t="s">
        <v>14206</v>
      </c>
      <c r="H5171" s="3" t="s">
        <v>2138</v>
      </c>
      <c r="K5171" s="2">
        <v>10</v>
      </c>
      <c r="L5171" s="2">
        <v>2</v>
      </c>
      <c r="M5171" s="3" t="s">
        <v>325</v>
      </c>
      <c r="N5171" s="3" t="s">
        <v>13</v>
      </c>
      <c r="O5171" s="3" t="s">
        <v>14</v>
      </c>
      <c r="Q5171" s="30" t="str">
        <f t="shared" si="80"/>
        <v>MAX : 
TARGET : Yes(Pass)
MIN : No(Fail)</v>
      </c>
    </row>
    <row r="5172" spans="2:17" ht="41.4" x14ac:dyDescent="0.3">
      <c r="B5172">
        <v>0</v>
      </c>
      <c r="C5172" s="33">
        <v>8990</v>
      </c>
      <c r="D5172" s="2">
        <v>2029</v>
      </c>
      <c r="E5172" s="2" t="s">
        <v>11807</v>
      </c>
      <c r="F5172" s="29" t="s">
        <v>14241</v>
      </c>
      <c r="H5172" s="3" t="s">
        <v>4340</v>
      </c>
      <c r="K5172" s="2">
        <v>10</v>
      </c>
      <c r="L5172" s="2">
        <v>3</v>
      </c>
      <c r="M5172" s="3" t="s">
        <v>5492</v>
      </c>
      <c r="N5172" s="3" t="s">
        <v>2531</v>
      </c>
      <c r="O5172" s="3" t="s">
        <v>689</v>
      </c>
      <c r="P5172" s="3" t="s">
        <v>690</v>
      </c>
      <c r="Q5172" s="30" t="str">
        <f t="shared" si="80"/>
        <v>MAX : 0.33
TARGET : 0.30
MIN : 0.27</v>
      </c>
    </row>
    <row r="5173" spans="2:17" ht="41.4" x14ac:dyDescent="0.3">
      <c r="B5173">
        <v>0</v>
      </c>
      <c r="C5173" s="33">
        <v>8990</v>
      </c>
      <c r="D5173" s="2">
        <v>2029</v>
      </c>
      <c r="E5173" s="2" t="s">
        <v>11807</v>
      </c>
      <c r="F5173" s="29" t="s">
        <v>14241</v>
      </c>
      <c r="H5173" s="3" t="s">
        <v>4340</v>
      </c>
      <c r="K5173" s="2">
        <v>10</v>
      </c>
      <c r="L5173" s="2">
        <v>9</v>
      </c>
      <c r="M5173" s="3" t="s">
        <v>5493</v>
      </c>
      <c r="Q5173" s="30" t="str">
        <f t="shared" si="80"/>
        <v xml:space="preserve">MAX : 
TARGET : 
MIN : </v>
      </c>
    </row>
    <row r="5174" spans="2:17" ht="41.4" x14ac:dyDescent="0.3">
      <c r="B5174">
        <v>0</v>
      </c>
      <c r="C5174" s="33">
        <v>8990</v>
      </c>
      <c r="D5174" s="2">
        <v>2029</v>
      </c>
      <c r="E5174" s="2" t="s">
        <v>11807</v>
      </c>
      <c r="F5174" s="29" t="s">
        <v>14241</v>
      </c>
      <c r="H5174" s="3" t="s">
        <v>4340</v>
      </c>
      <c r="K5174" s="2">
        <v>10</v>
      </c>
      <c r="L5174" s="2">
        <v>10</v>
      </c>
      <c r="M5174" s="3" t="s">
        <v>5494</v>
      </c>
      <c r="N5174" s="3" t="s">
        <v>24</v>
      </c>
      <c r="O5174" s="3" t="s">
        <v>25</v>
      </c>
      <c r="Q5174" s="30" t="str">
        <f t="shared" si="80"/>
        <v>MAX : 
TARGET : Yes (Pass)
MIN : No (Fail)</v>
      </c>
    </row>
    <row r="5175" spans="2:17" ht="41.4" x14ac:dyDescent="0.3">
      <c r="B5175">
        <v>0</v>
      </c>
      <c r="C5175" s="33">
        <v>8990</v>
      </c>
      <c r="D5175" s="2">
        <v>2029</v>
      </c>
      <c r="E5175" s="2" t="s">
        <v>11807</v>
      </c>
      <c r="F5175" s="29" t="s">
        <v>14241</v>
      </c>
      <c r="H5175" s="3" t="s">
        <v>4340</v>
      </c>
      <c r="K5175" s="2">
        <v>10</v>
      </c>
      <c r="L5175" s="2">
        <v>11</v>
      </c>
      <c r="M5175" s="3" t="s">
        <v>5495</v>
      </c>
      <c r="N5175" s="3" t="s">
        <v>24</v>
      </c>
      <c r="O5175" s="3" t="s">
        <v>1620</v>
      </c>
      <c r="Q5175" s="30" t="str">
        <f t="shared" si="80"/>
        <v>MAX : 
TARGET : Yes (pass)
MIN : No (Fail)</v>
      </c>
    </row>
    <row r="5176" spans="2:17" ht="41.4" x14ac:dyDescent="0.3">
      <c r="B5176">
        <v>0</v>
      </c>
      <c r="C5176" s="33">
        <v>8990</v>
      </c>
      <c r="D5176" s="2">
        <v>2029</v>
      </c>
      <c r="E5176" s="2" t="s">
        <v>11807</v>
      </c>
      <c r="F5176" s="29" t="s">
        <v>14241</v>
      </c>
      <c r="H5176" s="3" t="s">
        <v>4340</v>
      </c>
      <c r="K5176" s="2">
        <v>10</v>
      </c>
      <c r="L5176" s="2">
        <v>12</v>
      </c>
      <c r="M5176" s="3" t="s">
        <v>5496</v>
      </c>
      <c r="N5176" s="3" t="s">
        <v>24</v>
      </c>
      <c r="O5176" s="3" t="s">
        <v>25</v>
      </c>
      <c r="Q5176" s="30" t="str">
        <f t="shared" si="80"/>
        <v>MAX : 
TARGET : Yes (Pass)
MIN : No (Fail)</v>
      </c>
    </row>
    <row r="5177" spans="2:17" ht="41.4" x14ac:dyDescent="0.3">
      <c r="B5177">
        <v>0</v>
      </c>
      <c r="C5177" s="33">
        <v>8990</v>
      </c>
      <c r="D5177" s="2">
        <v>2029</v>
      </c>
      <c r="E5177" s="2" t="s">
        <v>11807</v>
      </c>
      <c r="F5177" s="29" t="s">
        <v>14241</v>
      </c>
      <c r="H5177" s="3" t="s">
        <v>4340</v>
      </c>
      <c r="K5177" s="2">
        <v>10</v>
      </c>
      <c r="L5177" s="2">
        <v>7</v>
      </c>
      <c r="M5177" s="3" t="s">
        <v>5497</v>
      </c>
      <c r="N5177" s="3" t="s">
        <v>24</v>
      </c>
      <c r="O5177" s="3" t="s">
        <v>25</v>
      </c>
      <c r="Q5177" s="30" t="str">
        <f t="shared" si="80"/>
        <v>MAX : 
TARGET : Yes (Pass)
MIN : No (Fail)</v>
      </c>
    </row>
    <row r="5178" spans="2:17" ht="41.4" x14ac:dyDescent="0.3">
      <c r="B5178">
        <v>0</v>
      </c>
      <c r="C5178" s="33">
        <v>8990</v>
      </c>
      <c r="D5178" s="2">
        <v>2029</v>
      </c>
      <c r="E5178" s="2" t="s">
        <v>11807</v>
      </c>
      <c r="F5178" s="29" t="s">
        <v>14241</v>
      </c>
      <c r="H5178" s="3" t="s">
        <v>4340</v>
      </c>
      <c r="K5178" s="2">
        <v>10</v>
      </c>
      <c r="L5178" s="2">
        <v>8</v>
      </c>
      <c r="M5178" s="3" t="s">
        <v>5498</v>
      </c>
      <c r="N5178" s="3" t="s">
        <v>24</v>
      </c>
      <c r="O5178" s="3" t="s">
        <v>25</v>
      </c>
      <c r="Q5178" s="30" t="str">
        <f t="shared" si="80"/>
        <v>MAX : 
TARGET : Yes (Pass)
MIN : No (Fail)</v>
      </c>
    </row>
    <row r="5179" spans="2:17" ht="41.4" x14ac:dyDescent="0.3">
      <c r="B5179">
        <v>1</v>
      </c>
      <c r="C5179" s="33">
        <v>9124</v>
      </c>
      <c r="D5179" s="2">
        <v>1456</v>
      </c>
      <c r="E5179" s="2" t="s">
        <v>12618</v>
      </c>
      <c r="F5179" s="3" t="s">
        <v>14206</v>
      </c>
      <c r="H5179" s="3" t="s">
        <v>2138</v>
      </c>
      <c r="K5179" s="2">
        <v>10</v>
      </c>
      <c r="L5179" s="2">
        <v>1</v>
      </c>
      <c r="M5179" s="3" t="s">
        <v>458</v>
      </c>
      <c r="N5179" s="3" t="s">
        <v>801</v>
      </c>
      <c r="O5179" s="3" t="s">
        <v>802</v>
      </c>
      <c r="P5179" s="3" t="s">
        <v>803</v>
      </c>
      <c r="Q5179" s="30" t="str">
        <f t="shared" si="80"/>
        <v>MAX : 24.125
TARGET : 24.000
MIN : 23.875</v>
      </c>
    </row>
    <row r="5180" spans="2:17" ht="41.4" x14ac:dyDescent="0.3">
      <c r="B5180">
        <v>1</v>
      </c>
      <c r="C5180" s="33">
        <v>9125</v>
      </c>
      <c r="D5180" s="2">
        <v>1457</v>
      </c>
      <c r="E5180" s="2" t="s">
        <v>12623</v>
      </c>
      <c r="F5180" s="3" t="s">
        <v>14207</v>
      </c>
      <c r="H5180" s="3" t="s">
        <v>713</v>
      </c>
      <c r="K5180" s="2">
        <v>20</v>
      </c>
      <c r="L5180" s="2">
        <v>1</v>
      </c>
      <c r="M5180" s="3" t="s">
        <v>194</v>
      </c>
      <c r="N5180" s="3" t="s">
        <v>350</v>
      </c>
      <c r="O5180" s="3" t="s">
        <v>5013</v>
      </c>
      <c r="P5180" s="3" t="s">
        <v>2163</v>
      </c>
      <c r="Q5180" s="30" t="str">
        <f t="shared" si="80"/>
        <v>MAX : 26.33
TARGET : 26.21
MIN : 26.09</v>
      </c>
    </row>
    <row r="5181" spans="2:17" ht="41.4" x14ac:dyDescent="0.3">
      <c r="B5181">
        <v>0</v>
      </c>
      <c r="C5181" s="33">
        <v>8991</v>
      </c>
      <c r="D5181" s="2">
        <v>2030</v>
      </c>
      <c r="E5181" s="2" t="s">
        <v>11815</v>
      </c>
      <c r="F5181" s="29" t="s">
        <v>14241</v>
      </c>
      <c r="H5181" s="3" t="s">
        <v>568</v>
      </c>
      <c r="K5181" s="2">
        <v>10</v>
      </c>
      <c r="L5181" s="2">
        <v>2</v>
      </c>
      <c r="M5181" s="3" t="s">
        <v>5487</v>
      </c>
      <c r="N5181" s="3" t="s">
        <v>5488</v>
      </c>
      <c r="O5181" s="3" t="s">
        <v>5489</v>
      </c>
      <c r="P5181" s="3" t="s">
        <v>5490</v>
      </c>
      <c r="Q5181" s="30" t="str">
        <f t="shared" si="80"/>
        <v>MAX : 76.70
TARGET : 76.20
MIN : 75.70</v>
      </c>
    </row>
    <row r="5182" spans="2:17" ht="41.4" x14ac:dyDescent="0.3">
      <c r="B5182">
        <v>0</v>
      </c>
      <c r="C5182" s="33">
        <v>8991</v>
      </c>
      <c r="D5182" s="2">
        <v>2030</v>
      </c>
      <c r="E5182" s="2" t="s">
        <v>11815</v>
      </c>
      <c r="F5182" s="29" t="s">
        <v>14241</v>
      </c>
      <c r="H5182" s="3" t="s">
        <v>568</v>
      </c>
      <c r="K5182" s="2">
        <v>10</v>
      </c>
      <c r="L5182" s="2">
        <v>4</v>
      </c>
      <c r="M5182" s="3" t="s">
        <v>5491</v>
      </c>
      <c r="N5182" s="3" t="s">
        <v>24</v>
      </c>
      <c r="O5182" s="3" t="s">
        <v>25</v>
      </c>
      <c r="Q5182" s="30" t="str">
        <f t="shared" si="80"/>
        <v>MAX : 
TARGET : Yes (Pass)
MIN : No (Fail)</v>
      </c>
    </row>
    <row r="5183" spans="2:17" ht="41.4" x14ac:dyDescent="0.3">
      <c r="B5183">
        <v>0</v>
      </c>
      <c r="C5183" s="33">
        <v>8991</v>
      </c>
      <c r="D5183" s="2">
        <v>2030</v>
      </c>
      <c r="E5183" s="2" t="s">
        <v>11815</v>
      </c>
      <c r="F5183" s="29" t="s">
        <v>14241</v>
      </c>
      <c r="H5183" s="3" t="s">
        <v>568</v>
      </c>
      <c r="K5183" s="2">
        <v>10</v>
      </c>
      <c r="L5183" s="2">
        <v>3</v>
      </c>
      <c r="M5183" s="3" t="s">
        <v>5492</v>
      </c>
      <c r="N5183" s="3" t="s">
        <v>2531</v>
      </c>
      <c r="O5183" s="3" t="s">
        <v>689</v>
      </c>
      <c r="P5183" s="3" t="s">
        <v>690</v>
      </c>
      <c r="Q5183" s="30" t="str">
        <f t="shared" si="80"/>
        <v>MAX : 0.33
TARGET : 0.30
MIN : 0.27</v>
      </c>
    </row>
    <row r="5184" spans="2:17" ht="41.4" x14ac:dyDescent="0.3">
      <c r="B5184">
        <v>0</v>
      </c>
      <c r="C5184" s="33">
        <v>8991</v>
      </c>
      <c r="D5184" s="2">
        <v>2030</v>
      </c>
      <c r="E5184" s="2" t="s">
        <v>11815</v>
      </c>
      <c r="F5184" s="29" t="s">
        <v>14241</v>
      </c>
      <c r="H5184" s="3" t="s">
        <v>568</v>
      </c>
      <c r="K5184" s="2">
        <v>10</v>
      </c>
      <c r="L5184" s="2">
        <v>9</v>
      </c>
      <c r="M5184" s="3" t="s">
        <v>5499</v>
      </c>
      <c r="Q5184" s="30" t="str">
        <f t="shared" si="80"/>
        <v xml:space="preserve">MAX : 
TARGET : 
MIN : </v>
      </c>
    </row>
    <row r="5185" spans="2:17" ht="41.4" x14ac:dyDescent="0.3">
      <c r="B5185">
        <v>0</v>
      </c>
      <c r="C5185" s="33">
        <v>8991</v>
      </c>
      <c r="D5185" s="2">
        <v>2030</v>
      </c>
      <c r="E5185" s="2" t="s">
        <v>11815</v>
      </c>
      <c r="F5185" s="29" t="s">
        <v>14241</v>
      </c>
      <c r="H5185" s="3" t="s">
        <v>568</v>
      </c>
      <c r="K5185" s="2">
        <v>10</v>
      </c>
      <c r="L5185" s="2">
        <v>10</v>
      </c>
      <c r="M5185" s="3" t="s">
        <v>5494</v>
      </c>
      <c r="N5185" s="3" t="s">
        <v>24</v>
      </c>
      <c r="O5185" s="3" t="s">
        <v>25</v>
      </c>
      <c r="Q5185" s="30" t="str">
        <f t="shared" si="80"/>
        <v>MAX : 
TARGET : Yes (Pass)
MIN : No (Fail)</v>
      </c>
    </row>
    <row r="5186" spans="2:17" ht="41.4" x14ac:dyDescent="0.3">
      <c r="B5186">
        <v>0</v>
      </c>
      <c r="C5186" s="33">
        <v>8991</v>
      </c>
      <c r="D5186" s="2">
        <v>2030</v>
      </c>
      <c r="E5186" s="2" t="s">
        <v>11815</v>
      </c>
      <c r="F5186" s="29" t="s">
        <v>14241</v>
      </c>
      <c r="H5186" s="3" t="s">
        <v>568</v>
      </c>
      <c r="K5186" s="2">
        <v>10</v>
      </c>
      <c r="L5186" s="2">
        <v>11</v>
      </c>
      <c r="M5186" s="3" t="s">
        <v>5495</v>
      </c>
      <c r="N5186" s="3" t="s">
        <v>24</v>
      </c>
      <c r="O5186" s="3" t="s">
        <v>1620</v>
      </c>
      <c r="Q5186" s="30" t="str">
        <f t="shared" ref="Q5186:Q5249" si="81">"MAX : " &amp; P5186 &amp; CHAR(10) &amp; "TARGET : " &amp; O5186 &amp; CHAR(10) &amp; "MIN : " &amp; N5186</f>
        <v>MAX : 
TARGET : Yes (pass)
MIN : No (Fail)</v>
      </c>
    </row>
    <row r="5187" spans="2:17" ht="41.4" x14ac:dyDescent="0.3">
      <c r="B5187">
        <v>0</v>
      </c>
      <c r="C5187" s="33">
        <v>8991</v>
      </c>
      <c r="D5187" s="2">
        <v>2030</v>
      </c>
      <c r="E5187" s="2" t="s">
        <v>11815</v>
      </c>
      <c r="F5187" s="29" t="s">
        <v>14241</v>
      </c>
      <c r="H5187" s="3" t="s">
        <v>568</v>
      </c>
      <c r="K5187" s="2">
        <v>10</v>
      </c>
      <c r="L5187" s="2">
        <v>12</v>
      </c>
      <c r="M5187" s="3" t="s">
        <v>5496</v>
      </c>
      <c r="N5187" s="3" t="s">
        <v>24</v>
      </c>
      <c r="O5187" s="3" t="s">
        <v>25</v>
      </c>
      <c r="Q5187" s="30" t="str">
        <f t="shared" si="81"/>
        <v>MAX : 
TARGET : Yes (Pass)
MIN : No (Fail)</v>
      </c>
    </row>
    <row r="5188" spans="2:17" ht="41.4" x14ac:dyDescent="0.3">
      <c r="B5188">
        <v>0</v>
      </c>
      <c r="C5188" s="33">
        <v>8991</v>
      </c>
      <c r="D5188" s="2">
        <v>2030</v>
      </c>
      <c r="E5188" s="2" t="s">
        <v>11815</v>
      </c>
      <c r="F5188" s="29" t="s">
        <v>14241</v>
      </c>
      <c r="H5188" s="3" t="s">
        <v>568</v>
      </c>
      <c r="K5188" s="2">
        <v>10</v>
      </c>
      <c r="L5188" s="2">
        <v>7</v>
      </c>
      <c r="M5188" s="3" t="s">
        <v>5497</v>
      </c>
      <c r="N5188" s="3" t="s">
        <v>24</v>
      </c>
      <c r="O5188" s="3" t="s">
        <v>25</v>
      </c>
      <c r="Q5188" s="30" t="str">
        <f t="shared" si="81"/>
        <v>MAX : 
TARGET : Yes (Pass)
MIN : No (Fail)</v>
      </c>
    </row>
    <row r="5189" spans="2:17" ht="41.4" x14ac:dyDescent="0.3">
      <c r="B5189">
        <v>0</v>
      </c>
      <c r="C5189" s="33">
        <v>8991</v>
      </c>
      <c r="D5189" s="2">
        <v>2030</v>
      </c>
      <c r="E5189" s="2" t="s">
        <v>11815</v>
      </c>
      <c r="F5189" s="29" t="s">
        <v>14241</v>
      </c>
      <c r="H5189" s="3" t="s">
        <v>568</v>
      </c>
      <c r="K5189" s="2">
        <v>10</v>
      </c>
      <c r="L5189" s="2">
        <v>8</v>
      </c>
      <c r="M5189" s="3" t="s">
        <v>5498</v>
      </c>
      <c r="N5189" s="3" t="s">
        <v>24</v>
      </c>
      <c r="O5189" s="3" t="s">
        <v>25</v>
      </c>
      <c r="Q5189" s="30" t="str">
        <f t="shared" si="81"/>
        <v>MAX : 
TARGET : Yes (Pass)
MIN : No (Fail)</v>
      </c>
    </row>
    <row r="5190" spans="2:17" ht="41.4" x14ac:dyDescent="0.3">
      <c r="B5190">
        <v>1</v>
      </c>
      <c r="C5190" s="33">
        <v>9125</v>
      </c>
      <c r="D5190" s="2">
        <v>1457</v>
      </c>
      <c r="E5190" s="2" t="s">
        <v>12623</v>
      </c>
      <c r="F5190" s="3" t="s">
        <v>14207</v>
      </c>
      <c r="H5190" s="3" t="s">
        <v>713</v>
      </c>
      <c r="K5190" s="2">
        <v>10</v>
      </c>
      <c r="L5190" s="2">
        <v>1</v>
      </c>
      <c r="M5190" s="3" t="s">
        <v>458</v>
      </c>
      <c r="N5190" s="3" t="s">
        <v>4999</v>
      </c>
      <c r="O5190" s="3" t="s">
        <v>5000</v>
      </c>
      <c r="P5190" s="3" t="s">
        <v>5001</v>
      </c>
      <c r="Q5190" s="30" t="str">
        <f t="shared" si="81"/>
        <v>MAX : 99.2
TARGET : 98.5
MIN : 97.8</v>
      </c>
    </row>
    <row r="5191" spans="2:17" ht="41.4" x14ac:dyDescent="0.3">
      <c r="B5191">
        <v>1</v>
      </c>
      <c r="C5191" s="33">
        <v>9126</v>
      </c>
      <c r="D5191" s="2">
        <v>1458</v>
      </c>
      <c r="E5191" s="2" t="s">
        <v>12630</v>
      </c>
      <c r="F5191" s="3" t="s">
        <v>14207</v>
      </c>
      <c r="H5191" s="3" t="s">
        <v>713</v>
      </c>
      <c r="K5191" s="2">
        <v>20</v>
      </c>
      <c r="L5191" s="2">
        <v>1</v>
      </c>
      <c r="M5191" s="3" t="s">
        <v>194</v>
      </c>
      <c r="N5191" s="3" t="s">
        <v>5002</v>
      </c>
      <c r="O5191" s="3" t="s">
        <v>5003</v>
      </c>
      <c r="P5191" s="3" t="s">
        <v>5004</v>
      </c>
      <c r="Q5191" s="30" t="str">
        <f t="shared" si="81"/>
        <v>MAX : 34.18
TARGET : 34.06
MIN : 33.94</v>
      </c>
    </row>
    <row r="5192" spans="2:17" ht="41.4" x14ac:dyDescent="0.3">
      <c r="B5192">
        <v>0</v>
      </c>
      <c r="C5192" s="33">
        <v>8992</v>
      </c>
      <c r="D5192" s="2">
        <v>2031</v>
      </c>
      <c r="E5192" s="2" t="s">
        <v>11823</v>
      </c>
      <c r="F5192" s="3" t="s">
        <v>14242</v>
      </c>
      <c r="H5192" s="3" t="s">
        <v>824</v>
      </c>
      <c r="K5192" s="2">
        <v>10</v>
      </c>
      <c r="L5192" s="2">
        <v>2</v>
      </c>
      <c r="M5192" s="3" t="s">
        <v>5487</v>
      </c>
      <c r="N5192" s="3" t="s">
        <v>5488</v>
      </c>
      <c r="O5192" s="3" t="s">
        <v>5489</v>
      </c>
      <c r="P5192" s="3" t="s">
        <v>5490</v>
      </c>
      <c r="Q5192" s="30" t="str">
        <f t="shared" si="81"/>
        <v>MAX : 76.70
TARGET : 76.20
MIN : 75.70</v>
      </c>
    </row>
    <row r="5193" spans="2:17" ht="41.4" x14ac:dyDescent="0.3">
      <c r="B5193">
        <v>0</v>
      </c>
      <c r="C5193" s="33">
        <v>8992</v>
      </c>
      <c r="D5193" s="2">
        <v>2031</v>
      </c>
      <c r="E5193" s="2" t="s">
        <v>11823</v>
      </c>
      <c r="F5193" s="3" t="s">
        <v>14242</v>
      </c>
      <c r="H5193" s="3" t="s">
        <v>824</v>
      </c>
      <c r="K5193" s="2">
        <v>10</v>
      </c>
      <c r="L5193" s="2">
        <v>4</v>
      </c>
      <c r="M5193" s="3" t="s">
        <v>5500</v>
      </c>
      <c r="N5193" s="3" t="s">
        <v>24</v>
      </c>
      <c r="O5193" s="3" t="s">
        <v>25</v>
      </c>
      <c r="Q5193" s="30" t="str">
        <f t="shared" si="81"/>
        <v>MAX : 
TARGET : Yes (Pass)
MIN : No (Fail)</v>
      </c>
    </row>
    <row r="5194" spans="2:17" ht="41.4" x14ac:dyDescent="0.3">
      <c r="B5194">
        <v>0</v>
      </c>
      <c r="C5194" s="33">
        <v>8992</v>
      </c>
      <c r="D5194" s="2">
        <v>2031</v>
      </c>
      <c r="E5194" s="2" t="s">
        <v>11823</v>
      </c>
      <c r="F5194" s="3" t="s">
        <v>14242</v>
      </c>
      <c r="H5194" s="3" t="s">
        <v>824</v>
      </c>
      <c r="K5194" s="2">
        <v>10</v>
      </c>
      <c r="L5194" s="2">
        <v>3</v>
      </c>
      <c r="M5194" s="3" t="s">
        <v>5492</v>
      </c>
      <c r="N5194" s="3" t="s">
        <v>308</v>
      </c>
      <c r="O5194" s="3" t="s">
        <v>309</v>
      </c>
      <c r="P5194" s="3" t="s">
        <v>310</v>
      </c>
      <c r="Q5194" s="30" t="str">
        <f t="shared" si="81"/>
        <v>MAX : 0.53
TARGET : 0.50
MIN : 0.47</v>
      </c>
    </row>
    <row r="5195" spans="2:17" ht="41.4" x14ac:dyDescent="0.3">
      <c r="B5195">
        <v>0</v>
      </c>
      <c r="C5195" s="33">
        <v>8992</v>
      </c>
      <c r="D5195" s="2">
        <v>2031</v>
      </c>
      <c r="E5195" s="2" t="s">
        <v>11823</v>
      </c>
      <c r="F5195" s="3" t="s">
        <v>14242</v>
      </c>
      <c r="H5195" s="3" t="s">
        <v>824</v>
      </c>
      <c r="K5195" s="2">
        <v>10</v>
      </c>
      <c r="L5195" s="2">
        <v>9</v>
      </c>
      <c r="M5195" s="3" t="s">
        <v>5501</v>
      </c>
      <c r="Q5195" s="30" t="str">
        <f t="shared" si="81"/>
        <v xml:space="preserve">MAX : 
TARGET : 
MIN : </v>
      </c>
    </row>
    <row r="5196" spans="2:17" ht="41.4" x14ac:dyDescent="0.3">
      <c r="B5196">
        <v>0</v>
      </c>
      <c r="C5196" s="33">
        <v>8992</v>
      </c>
      <c r="D5196" s="2">
        <v>2031</v>
      </c>
      <c r="E5196" s="2" t="s">
        <v>11823</v>
      </c>
      <c r="F5196" s="3" t="s">
        <v>14242</v>
      </c>
      <c r="H5196" s="3" t="s">
        <v>824</v>
      </c>
      <c r="K5196" s="2">
        <v>10</v>
      </c>
      <c r="L5196" s="2">
        <v>10</v>
      </c>
      <c r="M5196" s="3" t="s">
        <v>5494</v>
      </c>
      <c r="N5196" s="3" t="s">
        <v>24</v>
      </c>
      <c r="O5196" s="3" t="s">
        <v>25</v>
      </c>
      <c r="Q5196" s="30" t="str">
        <f t="shared" si="81"/>
        <v>MAX : 
TARGET : Yes (Pass)
MIN : No (Fail)</v>
      </c>
    </row>
    <row r="5197" spans="2:17" ht="41.4" x14ac:dyDescent="0.3">
      <c r="B5197">
        <v>0</v>
      </c>
      <c r="C5197" s="33">
        <v>8992</v>
      </c>
      <c r="D5197" s="2">
        <v>2031</v>
      </c>
      <c r="E5197" s="2" t="s">
        <v>11823</v>
      </c>
      <c r="F5197" s="3" t="s">
        <v>14242</v>
      </c>
      <c r="H5197" s="3" t="s">
        <v>824</v>
      </c>
      <c r="K5197" s="2">
        <v>10</v>
      </c>
      <c r="L5197" s="2">
        <v>11</v>
      </c>
      <c r="M5197" s="3" t="s">
        <v>5495</v>
      </c>
      <c r="N5197" s="3" t="s">
        <v>24</v>
      </c>
      <c r="O5197" s="3" t="s">
        <v>1620</v>
      </c>
      <c r="Q5197" s="30" t="str">
        <f t="shared" si="81"/>
        <v>MAX : 
TARGET : Yes (pass)
MIN : No (Fail)</v>
      </c>
    </row>
    <row r="5198" spans="2:17" ht="41.4" x14ac:dyDescent="0.3">
      <c r="B5198">
        <v>0</v>
      </c>
      <c r="C5198" s="33">
        <v>8992</v>
      </c>
      <c r="D5198" s="2">
        <v>2031</v>
      </c>
      <c r="E5198" s="2" t="s">
        <v>11823</v>
      </c>
      <c r="F5198" s="3" t="s">
        <v>14242</v>
      </c>
      <c r="H5198" s="3" t="s">
        <v>824</v>
      </c>
      <c r="K5198" s="2">
        <v>10</v>
      </c>
      <c r="L5198" s="2">
        <v>12</v>
      </c>
      <c r="M5198" s="3" t="s">
        <v>5496</v>
      </c>
      <c r="N5198" s="3" t="s">
        <v>24</v>
      </c>
      <c r="O5198" s="3" t="s">
        <v>25</v>
      </c>
      <c r="Q5198" s="30" t="str">
        <f t="shared" si="81"/>
        <v>MAX : 
TARGET : Yes (Pass)
MIN : No (Fail)</v>
      </c>
    </row>
    <row r="5199" spans="2:17" ht="41.4" x14ac:dyDescent="0.3">
      <c r="B5199">
        <v>0</v>
      </c>
      <c r="C5199" s="33">
        <v>8992</v>
      </c>
      <c r="D5199" s="2">
        <v>2031</v>
      </c>
      <c r="E5199" s="2" t="s">
        <v>11823</v>
      </c>
      <c r="F5199" s="3" t="s">
        <v>14242</v>
      </c>
      <c r="H5199" s="3" t="s">
        <v>824</v>
      </c>
      <c r="K5199" s="2">
        <v>10</v>
      </c>
      <c r="L5199" s="2">
        <v>7</v>
      </c>
      <c r="M5199" s="3" t="s">
        <v>5497</v>
      </c>
      <c r="N5199" s="3" t="s">
        <v>24</v>
      </c>
      <c r="O5199" s="3" t="s">
        <v>25</v>
      </c>
      <c r="Q5199" s="30" t="str">
        <f t="shared" si="81"/>
        <v>MAX : 
TARGET : Yes (Pass)
MIN : No (Fail)</v>
      </c>
    </row>
    <row r="5200" spans="2:17" ht="41.4" x14ac:dyDescent="0.3">
      <c r="B5200">
        <v>0</v>
      </c>
      <c r="C5200" s="33">
        <v>8992</v>
      </c>
      <c r="D5200" s="2">
        <v>2031</v>
      </c>
      <c r="E5200" s="2" t="s">
        <v>11823</v>
      </c>
      <c r="F5200" s="3" t="s">
        <v>14242</v>
      </c>
      <c r="H5200" s="3" t="s">
        <v>824</v>
      </c>
      <c r="K5200" s="2">
        <v>10</v>
      </c>
      <c r="L5200" s="2">
        <v>8</v>
      </c>
      <c r="M5200" s="3" t="s">
        <v>5498</v>
      </c>
      <c r="N5200" s="3" t="s">
        <v>24</v>
      </c>
      <c r="O5200" s="3" t="s">
        <v>25</v>
      </c>
      <c r="Q5200" s="30" t="str">
        <f t="shared" si="81"/>
        <v>MAX : 
TARGET : Yes (Pass)
MIN : No (Fail)</v>
      </c>
    </row>
    <row r="5201" spans="2:17" ht="41.4" x14ac:dyDescent="0.3">
      <c r="B5201">
        <v>1</v>
      </c>
      <c r="C5201" s="33">
        <v>9126</v>
      </c>
      <c r="D5201" s="2">
        <v>1458</v>
      </c>
      <c r="E5201" s="2" t="s">
        <v>12630</v>
      </c>
      <c r="F5201" s="3" t="s">
        <v>14207</v>
      </c>
      <c r="H5201" s="3" t="s">
        <v>713</v>
      </c>
      <c r="K5201" s="2">
        <v>10</v>
      </c>
      <c r="L5201" s="2">
        <v>1</v>
      </c>
      <c r="M5201" s="3" t="s">
        <v>458</v>
      </c>
      <c r="N5201" s="3" t="s">
        <v>4999</v>
      </c>
      <c r="O5201" s="3" t="s">
        <v>5000</v>
      </c>
      <c r="P5201" s="3" t="s">
        <v>5001</v>
      </c>
      <c r="Q5201" s="30" t="str">
        <f t="shared" si="81"/>
        <v>MAX : 99.2
TARGET : 98.5
MIN : 97.8</v>
      </c>
    </row>
    <row r="5202" spans="2:17" ht="41.4" x14ac:dyDescent="0.3">
      <c r="B5202">
        <v>1</v>
      </c>
      <c r="C5202" s="33">
        <v>9127</v>
      </c>
      <c r="D5202" s="2">
        <v>1459</v>
      </c>
      <c r="E5202" s="2" t="s">
        <v>12636</v>
      </c>
      <c r="F5202" s="3" t="s">
        <v>14207</v>
      </c>
      <c r="H5202" s="3" t="s">
        <v>713</v>
      </c>
      <c r="K5202" s="2">
        <v>20</v>
      </c>
      <c r="L5202" s="2">
        <v>1</v>
      </c>
      <c r="M5202" s="3" t="s">
        <v>194</v>
      </c>
      <c r="N5202" s="3" t="s">
        <v>5019</v>
      </c>
      <c r="O5202" s="3" t="s">
        <v>5020</v>
      </c>
      <c r="P5202" s="3" t="s">
        <v>5021</v>
      </c>
      <c r="Q5202" s="30" t="str">
        <f t="shared" si="81"/>
        <v>MAX : 25.54
TARGET : 25.42
MIN : 25.30</v>
      </c>
    </row>
    <row r="5203" spans="2:17" ht="41.4" x14ac:dyDescent="0.3">
      <c r="B5203">
        <v>0</v>
      </c>
      <c r="C5203" s="33">
        <v>8993</v>
      </c>
      <c r="D5203" s="2">
        <v>2032</v>
      </c>
      <c r="E5203" s="2" t="s">
        <v>11831</v>
      </c>
      <c r="F5203" s="3" t="s">
        <v>14243</v>
      </c>
      <c r="H5203" s="3" t="s">
        <v>4351</v>
      </c>
      <c r="K5203" s="2">
        <v>10</v>
      </c>
      <c r="L5203" s="2">
        <v>2</v>
      </c>
      <c r="M5203" s="3" t="s">
        <v>5487</v>
      </c>
      <c r="N5203" s="3" t="s">
        <v>5488</v>
      </c>
      <c r="O5203" s="3" t="s">
        <v>5489</v>
      </c>
      <c r="P5203" s="3" t="s">
        <v>5490</v>
      </c>
      <c r="Q5203" s="30" t="str">
        <f t="shared" si="81"/>
        <v>MAX : 76.70
TARGET : 76.20
MIN : 75.70</v>
      </c>
    </row>
    <row r="5204" spans="2:17" ht="41.4" x14ac:dyDescent="0.3">
      <c r="B5204">
        <v>0</v>
      </c>
      <c r="C5204" s="33">
        <v>8993</v>
      </c>
      <c r="D5204" s="2">
        <v>2032</v>
      </c>
      <c r="E5204" s="2" t="s">
        <v>11831</v>
      </c>
      <c r="F5204" s="3" t="s">
        <v>14243</v>
      </c>
      <c r="H5204" s="3" t="s">
        <v>4351</v>
      </c>
      <c r="K5204" s="2">
        <v>10</v>
      </c>
      <c r="L5204" s="2">
        <v>4</v>
      </c>
      <c r="M5204" s="3" t="s">
        <v>5500</v>
      </c>
      <c r="N5204" s="3" t="s">
        <v>24</v>
      </c>
      <c r="O5204" s="3" t="s">
        <v>25</v>
      </c>
      <c r="Q5204" s="30" t="str">
        <f t="shared" si="81"/>
        <v>MAX : 
TARGET : Yes (Pass)
MIN : No (Fail)</v>
      </c>
    </row>
    <row r="5205" spans="2:17" ht="41.4" x14ac:dyDescent="0.3">
      <c r="B5205">
        <v>0</v>
      </c>
      <c r="C5205" s="33">
        <v>8993</v>
      </c>
      <c r="D5205" s="2">
        <v>2032</v>
      </c>
      <c r="E5205" s="2" t="s">
        <v>11831</v>
      </c>
      <c r="F5205" s="3" t="s">
        <v>14243</v>
      </c>
      <c r="H5205" s="3" t="s">
        <v>4351</v>
      </c>
      <c r="K5205" s="2">
        <v>10</v>
      </c>
      <c r="L5205" s="2">
        <v>3</v>
      </c>
      <c r="M5205" s="3" t="s">
        <v>5492</v>
      </c>
      <c r="N5205" s="3" t="s">
        <v>308</v>
      </c>
      <c r="O5205" s="3" t="s">
        <v>309</v>
      </c>
      <c r="P5205" s="3" t="s">
        <v>310</v>
      </c>
      <c r="Q5205" s="30" t="str">
        <f t="shared" si="81"/>
        <v>MAX : 0.53
TARGET : 0.50
MIN : 0.47</v>
      </c>
    </row>
    <row r="5206" spans="2:17" ht="41.4" x14ac:dyDescent="0.3">
      <c r="B5206">
        <v>0</v>
      </c>
      <c r="C5206" s="33">
        <v>8993</v>
      </c>
      <c r="D5206" s="2">
        <v>2032</v>
      </c>
      <c r="E5206" s="2" t="s">
        <v>11831</v>
      </c>
      <c r="F5206" s="3" t="s">
        <v>14243</v>
      </c>
      <c r="H5206" s="3" t="s">
        <v>4351</v>
      </c>
      <c r="K5206" s="2">
        <v>10</v>
      </c>
      <c r="L5206" s="2">
        <v>9</v>
      </c>
      <c r="M5206" s="3" t="s">
        <v>5502</v>
      </c>
      <c r="Q5206" s="30" t="str">
        <f t="shared" si="81"/>
        <v xml:space="preserve">MAX : 
TARGET : 
MIN : </v>
      </c>
    </row>
    <row r="5207" spans="2:17" ht="41.4" x14ac:dyDescent="0.3">
      <c r="B5207">
        <v>0</v>
      </c>
      <c r="C5207" s="33">
        <v>8993</v>
      </c>
      <c r="D5207" s="2">
        <v>2032</v>
      </c>
      <c r="E5207" s="2" t="s">
        <v>11831</v>
      </c>
      <c r="F5207" s="3" t="s">
        <v>14243</v>
      </c>
      <c r="H5207" s="3" t="s">
        <v>4351</v>
      </c>
      <c r="K5207" s="2">
        <v>10</v>
      </c>
      <c r="L5207" s="2">
        <v>10</v>
      </c>
      <c r="M5207" s="3" t="s">
        <v>5494</v>
      </c>
      <c r="N5207" s="3" t="s">
        <v>24</v>
      </c>
      <c r="O5207" s="3" t="s">
        <v>25</v>
      </c>
      <c r="Q5207" s="30" t="str">
        <f t="shared" si="81"/>
        <v>MAX : 
TARGET : Yes (Pass)
MIN : No (Fail)</v>
      </c>
    </row>
    <row r="5208" spans="2:17" ht="41.4" x14ac:dyDescent="0.3">
      <c r="B5208">
        <v>0</v>
      </c>
      <c r="C5208" s="33">
        <v>8993</v>
      </c>
      <c r="D5208" s="2">
        <v>2032</v>
      </c>
      <c r="E5208" s="2" t="s">
        <v>11831</v>
      </c>
      <c r="F5208" s="3" t="s">
        <v>14243</v>
      </c>
      <c r="H5208" s="3" t="s">
        <v>4351</v>
      </c>
      <c r="K5208" s="2">
        <v>10</v>
      </c>
      <c r="L5208" s="2">
        <v>11</v>
      </c>
      <c r="M5208" s="3" t="s">
        <v>5495</v>
      </c>
      <c r="N5208" s="3" t="s">
        <v>24</v>
      </c>
      <c r="O5208" s="3" t="s">
        <v>1620</v>
      </c>
      <c r="Q5208" s="30" t="str">
        <f t="shared" si="81"/>
        <v>MAX : 
TARGET : Yes (pass)
MIN : No (Fail)</v>
      </c>
    </row>
    <row r="5209" spans="2:17" ht="41.4" x14ac:dyDescent="0.3">
      <c r="B5209">
        <v>0</v>
      </c>
      <c r="C5209" s="33">
        <v>8993</v>
      </c>
      <c r="D5209" s="2">
        <v>2032</v>
      </c>
      <c r="E5209" s="2" t="s">
        <v>11831</v>
      </c>
      <c r="F5209" s="3" t="s">
        <v>14243</v>
      </c>
      <c r="H5209" s="3" t="s">
        <v>4351</v>
      </c>
      <c r="K5209" s="2">
        <v>10</v>
      </c>
      <c r="L5209" s="2">
        <v>12</v>
      </c>
      <c r="M5209" s="3" t="s">
        <v>5496</v>
      </c>
      <c r="N5209" s="3" t="s">
        <v>24</v>
      </c>
      <c r="O5209" s="3" t="s">
        <v>25</v>
      </c>
      <c r="Q5209" s="30" t="str">
        <f t="shared" si="81"/>
        <v>MAX : 
TARGET : Yes (Pass)
MIN : No (Fail)</v>
      </c>
    </row>
    <row r="5210" spans="2:17" ht="41.4" x14ac:dyDescent="0.3">
      <c r="B5210">
        <v>0</v>
      </c>
      <c r="C5210" s="33">
        <v>8993</v>
      </c>
      <c r="D5210" s="2">
        <v>2032</v>
      </c>
      <c r="E5210" s="2" t="s">
        <v>11831</v>
      </c>
      <c r="F5210" s="3" t="s">
        <v>14243</v>
      </c>
      <c r="H5210" s="3" t="s">
        <v>4351</v>
      </c>
      <c r="K5210" s="2">
        <v>10</v>
      </c>
      <c r="L5210" s="2">
        <v>7</v>
      </c>
      <c r="M5210" s="3" t="s">
        <v>5497</v>
      </c>
      <c r="N5210" s="3" t="s">
        <v>24</v>
      </c>
      <c r="O5210" s="3" t="s">
        <v>25</v>
      </c>
      <c r="Q5210" s="30" t="str">
        <f t="shared" si="81"/>
        <v>MAX : 
TARGET : Yes (Pass)
MIN : No (Fail)</v>
      </c>
    </row>
    <row r="5211" spans="2:17" ht="41.4" x14ac:dyDescent="0.3">
      <c r="B5211">
        <v>0</v>
      </c>
      <c r="C5211" s="33">
        <v>8993</v>
      </c>
      <c r="D5211" s="2">
        <v>2032</v>
      </c>
      <c r="E5211" s="2" t="s">
        <v>11831</v>
      </c>
      <c r="F5211" s="3" t="s">
        <v>14243</v>
      </c>
      <c r="H5211" s="3" t="s">
        <v>4351</v>
      </c>
      <c r="K5211" s="2">
        <v>10</v>
      </c>
      <c r="L5211" s="2">
        <v>8</v>
      </c>
      <c r="M5211" s="3" t="s">
        <v>5498</v>
      </c>
      <c r="N5211" s="3" t="s">
        <v>24</v>
      </c>
      <c r="O5211" s="3" t="s">
        <v>25</v>
      </c>
      <c r="Q5211" s="30" t="str">
        <f t="shared" si="81"/>
        <v>MAX : 
TARGET : Yes (Pass)
MIN : No (Fail)</v>
      </c>
    </row>
    <row r="5212" spans="2:17" ht="41.4" x14ac:dyDescent="0.3">
      <c r="B5212">
        <v>1</v>
      </c>
      <c r="C5212" s="33">
        <v>9127</v>
      </c>
      <c r="D5212" s="2">
        <v>1459</v>
      </c>
      <c r="E5212" s="2" t="s">
        <v>12636</v>
      </c>
      <c r="F5212" s="3" t="s">
        <v>14207</v>
      </c>
      <c r="H5212" s="3" t="s">
        <v>713</v>
      </c>
      <c r="K5212" s="2">
        <v>10</v>
      </c>
      <c r="L5212" s="2">
        <v>1</v>
      </c>
      <c r="M5212" s="3" t="s">
        <v>458</v>
      </c>
      <c r="N5212" s="3" t="s">
        <v>4999</v>
      </c>
      <c r="O5212" s="3" t="s">
        <v>5000</v>
      </c>
      <c r="P5212" s="3" t="s">
        <v>5001</v>
      </c>
      <c r="Q5212" s="30" t="str">
        <f t="shared" si="81"/>
        <v>MAX : 99.2
TARGET : 98.5
MIN : 97.8</v>
      </c>
    </row>
    <row r="5213" spans="2:17" ht="41.4" x14ac:dyDescent="0.3">
      <c r="B5213">
        <v>1</v>
      </c>
      <c r="C5213" s="33">
        <v>9128</v>
      </c>
      <c r="D5213" s="2">
        <v>1460</v>
      </c>
      <c r="E5213" s="2" t="s">
        <v>12642</v>
      </c>
      <c r="F5213" s="3" t="s">
        <v>14206</v>
      </c>
      <c r="H5213" s="3" t="s">
        <v>4974</v>
      </c>
      <c r="K5213" s="2">
        <v>10</v>
      </c>
      <c r="L5213" s="2">
        <v>2</v>
      </c>
      <c r="M5213" s="3" t="s">
        <v>198</v>
      </c>
      <c r="N5213" s="3" t="s">
        <v>3383</v>
      </c>
      <c r="O5213" s="3" t="s">
        <v>3740</v>
      </c>
      <c r="P5213" s="3" t="s">
        <v>3621</v>
      </c>
      <c r="Q5213" s="30" t="str">
        <f t="shared" si="81"/>
        <v>MAX : 0.110
TARGET : 0.100
MIN : 0.090</v>
      </c>
    </row>
    <row r="5214" spans="2:17" ht="41.4" x14ac:dyDescent="0.3">
      <c r="B5214">
        <v>0</v>
      </c>
      <c r="C5214" s="33">
        <v>8994</v>
      </c>
      <c r="D5214" s="2">
        <v>2033</v>
      </c>
      <c r="E5214" s="2" t="s">
        <v>11837</v>
      </c>
      <c r="F5214" s="29" t="s">
        <v>14241</v>
      </c>
      <c r="H5214" s="3" t="s">
        <v>269</v>
      </c>
      <c r="K5214" s="2">
        <v>10</v>
      </c>
      <c r="L5214" s="2">
        <v>2</v>
      </c>
      <c r="M5214" s="3" t="s">
        <v>5487</v>
      </c>
      <c r="N5214" s="3" t="s">
        <v>5488</v>
      </c>
      <c r="O5214" s="3" t="s">
        <v>5489</v>
      </c>
      <c r="P5214" s="3" t="s">
        <v>5490</v>
      </c>
      <c r="Q5214" s="30" t="str">
        <f t="shared" si="81"/>
        <v>MAX : 76.70
TARGET : 76.20
MIN : 75.70</v>
      </c>
    </row>
    <row r="5215" spans="2:17" ht="41.4" x14ac:dyDescent="0.3">
      <c r="B5215">
        <v>0</v>
      </c>
      <c r="C5215" s="33">
        <v>8994</v>
      </c>
      <c r="D5215" s="2">
        <v>2033</v>
      </c>
      <c r="E5215" s="2" t="s">
        <v>11837</v>
      </c>
      <c r="F5215" s="29" t="s">
        <v>14241</v>
      </c>
      <c r="H5215" s="3" t="s">
        <v>269</v>
      </c>
      <c r="K5215" s="2">
        <v>10</v>
      </c>
      <c r="L5215" s="2">
        <v>4</v>
      </c>
      <c r="M5215" s="3" t="s">
        <v>5500</v>
      </c>
      <c r="N5215" s="3" t="s">
        <v>24</v>
      </c>
      <c r="O5215" s="3" t="s">
        <v>25</v>
      </c>
      <c r="Q5215" s="30" t="str">
        <f t="shared" si="81"/>
        <v>MAX : 
TARGET : Yes (Pass)
MIN : No (Fail)</v>
      </c>
    </row>
    <row r="5216" spans="2:17" ht="41.4" x14ac:dyDescent="0.3">
      <c r="B5216">
        <v>0</v>
      </c>
      <c r="C5216" s="33">
        <v>8994</v>
      </c>
      <c r="D5216" s="2">
        <v>2033</v>
      </c>
      <c r="E5216" s="2" t="s">
        <v>11837</v>
      </c>
      <c r="F5216" s="29" t="s">
        <v>14241</v>
      </c>
      <c r="H5216" s="3" t="s">
        <v>269</v>
      </c>
      <c r="K5216" s="2">
        <v>10</v>
      </c>
      <c r="L5216" s="2">
        <v>3</v>
      </c>
      <c r="M5216" s="3" t="s">
        <v>5492</v>
      </c>
      <c r="N5216" s="3" t="s">
        <v>308</v>
      </c>
      <c r="O5216" s="3" t="s">
        <v>309</v>
      </c>
      <c r="P5216" s="3" t="s">
        <v>310</v>
      </c>
      <c r="Q5216" s="30" t="str">
        <f t="shared" si="81"/>
        <v>MAX : 0.53
TARGET : 0.50
MIN : 0.47</v>
      </c>
    </row>
    <row r="5217" spans="2:17" ht="41.4" x14ac:dyDescent="0.3">
      <c r="B5217">
        <v>0</v>
      </c>
      <c r="C5217" s="33">
        <v>8994</v>
      </c>
      <c r="D5217" s="2">
        <v>2033</v>
      </c>
      <c r="E5217" s="2" t="s">
        <v>11837</v>
      </c>
      <c r="F5217" s="29" t="s">
        <v>14241</v>
      </c>
      <c r="H5217" s="3" t="s">
        <v>269</v>
      </c>
      <c r="K5217" s="2">
        <v>10</v>
      </c>
      <c r="L5217" s="2">
        <v>9</v>
      </c>
      <c r="M5217" s="3" t="s">
        <v>5499</v>
      </c>
      <c r="Q5217" s="30" t="str">
        <f t="shared" si="81"/>
        <v xml:space="preserve">MAX : 
TARGET : 
MIN : </v>
      </c>
    </row>
    <row r="5218" spans="2:17" ht="41.4" x14ac:dyDescent="0.3">
      <c r="B5218">
        <v>0</v>
      </c>
      <c r="C5218" s="33">
        <v>8994</v>
      </c>
      <c r="D5218" s="2">
        <v>2033</v>
      </c>
      <c r="E5218" s="2" t="s">
        <v>11837</v>
      </c>
      <c r="F5218" s="29" t="s">
        <v>14241</v>
      </c>
      <c r="H5218" s="3" t="s">
        <v>269</v>
      </c>
      <c r="K5218" s="2">
        <v>10</v>
      </c>
      <c r="L5218" s="2">
        <v>10</v>
      </c>
      <c r="M5218" s="3" t="s">
        <v>5494</v>
      </c>
      <c r="N5218" s="3" t="s">
        <v>24</v>
      </c>
      <c r="O5218" s="3" t="s">
        <v>25</v>
      </c>
      <c r="Q5218" s="30" t="str">
        <f t="shared" si="81"/>
        <v>MAX : 
TARGET : Yes (Pass)
MIN : No (Fail)</v>
      </c>
    </row>
    <row r="5219" spans="2:17" ht="41.4" x14ac:dyDescent="0.3">
      <c r="B5219">
        <v>0</v>
      </c>
      <c r="C5219" s="33">
        <v>8994</v>
      </c>
      <c r="D5219" s="2">
        <v>2033</v>
      </c>
      <c r="E5219" s="2" t="s">
        <v>11837</v>
      </c>
      <c r="F5219" s="29" t="s">
        <v>14241</v>
      </c>
      <c r="H5219" s="3" t="s">
        <v>269</v>
      </c>
      <c r="K5219" s="2">
        <v>10</v>
      </c>
      <c r="L5219" s="2">
        <v>11</v>
      </c>
      <c r="M5219" s="3" t="s">
        <v>5495</v>
      </c>
      <c r="N5219" s="3" t="s">
        <v>24</v>
      </c>
      <c r="O5219" s="3" t="s">
        <v>1620</v>
      </c>
      <c r="Q5219" s="30" t="str">
        <f t="shared" si="81"/>
        <v>MAX : 
TARGET : Yes (pass)
MIN : No (Fail)</v>
      </c>
    </row>
    <row r="5220" spans="2:17" ht="41.4" x14ac:dyDescent="0.3">
      <c r="B5220">
        <v>0</v>
      </c>
      <c r="C5220" s="33">
        <v>8994</v>
      </c>
      <c r="D5220" s="2">
        <v>2033</v>
      </c>
      <c r="E5220" s="2" t="s">
        <v>11837</v>
      </c>
      <c r="F5220" s="29" t="s">
        <v>14241</v>
      </c>
      <c r="H5220" s="3" t="s">
        <v>269</v>
      </c>
      <c r="K5220" s="2">
        <v>10</v>
      </c>
      <c r="L5220" s="2">
        <v>12</v>
      </c>
      <c r="M5220" s="3" t="s">
        <v>5496</v>
      </c>
      <c r="N5220" s="3" t="s">
        <v>24</v>
      </c>
      <c r="O5220" s="3" t="s">
        <v>25</v>
      </c>
      <c r="Q5220" s="30" t="str">
        <f t="shared" si="81"/>
        <v>MAX : 
TARGET : Yes (Pass)
MIN : No (Fail)</v>
      </c>
    </row>
    <row r="5221" spans="2:17" ht="41.4" x14ac:dyDescent="0.3">
      <c r="B5221">
        <v>0</v>
      </c>
      <c r="C5221" s="33">
        <v>8994</v>
      </c>
      <c r="D5221" s="2">
        <v>2033</v>
      </c>
      <c r="E5221" s="2" t="s">
        <v>11837</v>
      </c>
      <c r="F5221" s="29" t="s">
        <v>14241</v>
      </c>
      <c r="H5221" s="3" t="s">
        <v>269</v>
      </c>
      <c r="K5221" s="2">
        <v>10</v>
      </c>
      <c r="L5221" s="2">
        <v>7</v>
      </c>
      <c r="M5221" s="3" t="s">
        <v>5497</v>
      </c>
      <c r="N5221" s="3" t="s">
        <v>24</v>
      </c>
      <c r="O5221" s="3" t="s">
        <v>25</v>
      </c>
      <c r="Q5221" s="30" t="str">
        <f t="shared" si="81"/>
        <v>MAX : 
TARGET : Yes (Pass)
MIN : No (Fail)</v>
      </c>
    </row>
    <row r="5222" spans="2:17" ht="41.4" x14ac:dyDescent="0.3">
      <c r="B5222">
        <v>0</v>
      </c>
      <c r="C5222" s="33">
        <v>8994</v>
      </c>
      <c r="D5222" s="2">
        <v>2033</v>
      </c>
      <c r="E5222" s="2" t="s">
        <v>11837</v>
      </c>
      <c r="F5222" s="29" t="s">
        <v>14241</v>
      </c>
      <c r="H5222" s="3" t="s">
        <v>269</v>
      </c>
      <c r="K5222" s="2">
        <v>10</v>
      </c>
      <c r="L5222" s="2">
        <v>8</v>
      </c>
      <c r="M5222" s="3" t="s">
        <v>5498</v>
      </c>
      <c r="N5222" s="3" t="s">
        <v>24</v>
      </c>
      <c r="O5222" s="3" t="s">
        <v>25</v>
      </c>
      <c r="Q5222" s="30" t="str">
        <f t="shared" si="81"/>
        <v>MAX : 
TARGET : Yes (Pass)
MIN : No (Fail)</v>
      </c>
    </row>
    <row r="5223" spans="2:17" ht="41.4" x14ac:dyDescent="0.3">
      <c r="B5223">
        <v>1</v>
      </c>
      <c r="C5223" s="33">
        <v>9128</v>
      </c>
      <c r="D5223" s="2">
        <v>1460</v>
      </c>
      <c r="E5223" s="2" t="s">
        <v>12642</v>
      </c>
      <c r="F5223" s="3" t="s">
        <v>14206</v>
      </c>
      <c r="H5223" s="3" t="s">
        <v>4974</v>
      </c>
      <c r="K5223" s="2">
        <v>10</v>
      </c>
      <c r="L5223" s="2">
        <v>1</v>
      </c>
      <c r="M5223" s="3" t="s">
        <v>194</v>
      </c>
      <c r="N5223" s="3" t="s">
        <v>4003</v>
      </c>
      <c r="O5223" s="3" t="s">
        <v>86</v>
      </c>
      <c r="P5223" s="3" t="s">
        <v>1659</v>
      </c>
      <c r="Q5223" s="30" t="str">
        <f t="shared" si="81"/>
        <v>MAX : 0.510
TARGET : 0.500
MIN : 0.490</v>
      </c>
    </row>
    <row r="5224" spans="2:17" ht="41.4" x14ac:dyDescent="0.3">
      <c r="B5224">
        <v>1</v>
      </c>
      <c r="C5224" s="33">
        <v>9129</v>
      </c>
      <c r="D5224" s="2">
        <v>1461</v>
      </c>
      <c r="E5224" s="2" t="s">
        <v>12649</v>
      </c>
      <c r="F5224" s="3" t="s">
        <v>14206</v>
      </c>
      <c r="H5224" s="3" t="s">
        <v>2150</v>
      </c>
      <c r="K5224" s="2">
        <v>10</v>
      </c>
      <c r="L5224" s="2">
        <v>2</v>
      </c>
      <c r="M5224" s="3" t="s">
        <v>4978</v>
      </c>
      <c r="N5224" s="3" t="s">
        <v>4979</v>
      </c>
      <c r="O5224" s="3" t="s">
        <v>4980</v>
      </c>
      <c r="P5224" s="3" t="s">
        <v>1931</v>
      </c>
      <c r="Q5224" s="30" t="str">
        <f t="shared" si="81"/>
        <v>MAX : 1.875
TARGET : 1.870
MIN : 1.865</v>
      </c>
    </row>
    <row r="5225" spans="2:17" ht="41.4" x14ac:dyDescent="0.3">
      <c r="B5225">
        <v>1</v>
      </c>
      <c r="C5225" s="33">
        <v>9129</v>
      </c>
      <c r="D5225" s="2">
        <v>1461</v>
      </c>
      <c r="E5225" s="2" t="s">
        <v>12649</v>
      </c>
      <c r="F5225" s="3" t="s">
        <v>14206</v>
      </c>
      <c r="H5225" s="3" t="s">
        <v>2150</v>
      </c>
      <c r="K5225" s="2">
        <v>10</v>
      </c>
      <c r="L5225" s="2">
        <v>1</v>
      </c>
      <c r="M5225" s="3" t="s">
        <v>194</v>
      </c>
      <c r="N5225" s="3" t="s">
        <v>4975</v>
      </c>
      <c r="O5225" s="3" t="s">
        <v>4976</v>
      </c>
      <c r="P5225" s="3" t="s">
        <v>4977</v>
      </c>
      <c r="Q5225" s="30" t="str">
        <f t="shared" si="81"/>
        <v>MAX : 2.645
TARGET : 2.640
MIN : 2.635</v>
      </c>
    </row>
    <row r="5226" spans="2:17" ht="41.4" x14ac:dyDescent="0.3">
      <c r="B5226">
        <v>1</v>
      </c>
      <c r="C5226" s="33">
        <v>9130</v>
      </c>
      <c r="D5226" s="2">
        <v>1462</v>
      </c>
      <c r="E5226" s="2" t="s">
        <v>12656</v>
      </c>
      <c r="F5226" s="3" t="s">
        <v>14206</v>
      </c>
      <c r="H5226" s="3" t="s">
        <v>2150</v>
      </c>
      <c r="K5226" s="2">
        <v>10</v>
      </c>
      <c r="L5226" s="2">
        <v>2</v>
      </c>
      <c r="M5226" s="3" t="s">
        <v>198</v>
      </c>
      <c r="N5226" s="3" t="s">
        <v>4992</v>
      </c>
      <c r="O5226" s="3" t="s">
        <v>4993</v>
      </c>
      <c r="P5226" s="3" t="s">
        <v>4994</v>
      </c>
      <c r="Q5226" s="30" t="str">
        <f t="shared" si="81"/>
        <v>MAX : 0.127
TARGET : 0.122
MIN : 0.117</v>
      </c>
    </row>
    <row r="5227" spans="2:17" ht="41.4" x14ac:dyDescent="0.3">
      <c r="B5227">
        <v>0</v>
      </c>
      <c r="C5227" s="33">
        <v>9215</v>
      </c>
      <c r="D5227" s="2">
        <v>2104</v>
      </c>
      <c r="E5227" s="2" t="s">
        <v>13150</v>
      </c>
      <c r="F5227" s="3" t="s">
        <v>14206</v>
      </c>
      <c r="H5227" s="3" t="s">
        <v>846</v>
      </c>
      <c r="K5227" s="2">
        <v>10</v>
      </c>
      <c r="L5227" s="2">
        <v>3</v>
      </c>
      <c r="M5227" s="3" t="s">
        <v>611</v>
      </c>
      <c r="N5227" s="3" t="s">
        <v>13</v>
      </c>
      <c r="O5227" s="3" t="s">
        <v>14</v>
      </c>
      <c r="Q5227" s="30" t="str">
        <f t="shared" si="81"/>
        <v>MAX : 
TARGET : Yes(Pass)
MIN : No(Fail)</v>
      </c>
    </row>
    <row r="5228" spans="2:17" ht="41.4" x14ac:dyDescent="0.3">
      <c r="B5228">
        <v>1</v>
      </c>
      <c r="C5228" s="33">
        <v>9130</v>
      </c>
      <c r="D5228" s="2">
        <v>1462</v>
      </c>
      <c r="E5228" s="2" t="s">
        <v>12656</v>
      </c>
      <c r="F5228" s="3" t="s">
        <v>14206</v>
      </c>
      <c r="H5228" s="3" t="s">
        <v>2150</v>
      </c>
      <c r="K5228" s="2">
        <v>10</v>
      </c>
      <c r="L5228" s="2">
        <v>1</v>
      </c>
      <c r="M5228" s="3" t="s">
        <v>194</v>
      </c>
      <c r="N5228" s="3" t="s">
        <v>4989</v>
      </c>
      <c r="O5228" s="3" t="s">
        <v>4990</v>
      </c>
      <c r="P5228" s="3" t="s">
        <v>4991</v>
      </c>
      <c r="Q5228" s="30" t="str">
        <f t="shared" si="81"/>
        <v>MAX : 0.461
TARGET : 0.456
MIN : 0.451</v>
      </c>
    </row>
    <row r="5229" spans="2:17" ht="41.4" x14ac:dyDescent="0.3">
      <c r="B5229">
        <v>1</v>
      </c>
      <c r="C5229" s="33">
        <v>9131</v>
      </c>
      <c r="D5229" s="2">
        <v>1463</v>
      </c>
      <c r="E5229" s="2" t="s">
        <v>12662</v>
      </c>
      <c r="F5229" s="3" t="s">
        <v>14206</v>
      </c>
      <c r="H5229" s="3" t="s">
        <v>2150</v>
      </c>
      <c r="K5229" s="2">
        <v>10</v>
      </c>
      <c r="L5229" s="2">
        <v>1</v>
      </c>
      <c r="M5229" s="3" t="s">
        <v>194</v>
      </c>
      <c r="N5229" s="3" t="s">
        <v>4989</v>
      </c>
      <c r="O5229" s="3" t="s">
        <v>4990</v>
      </c>
      <c r="P5229" s="3" t="s">
        <v>4991</v>
      </c>
      <c r="Q5229" s="30" t="str">
        <f t="shared" si="81"/>
        <v>MAX : 0.461
TARGET : 0.456
MIN : 0.451</v>
      </c>
    </row>
    <row r="5230" spans="2:17" ht="41.4" x14ac:dyDescent="0.3">
      <c r="B5230">
        <v>0</v>
      </c>
      <c r="C5230" s="33">
        <v>9216</v>
      </c>
      <c r="D5230" s="2">
        <v>2105</v>
      </c>
      <c r="E5230" s="2" t="s">
        <v>13157</v>
      </c>
      <c r="F5230" s="3" t="s">
        <v>14206</v>
      </c>
      <c r="H5230" s="3" t="s">
        <v>824</v>
      </c>
      <c r="K5230" s="2">
        <v>10</v>
      </c>
      <c r="L5230" s="2">
        <v>3</v>
      </c>
      <c r="M5230" s="3" t="s">
        <v>611</v>
      </c>
      <c r="N5230" s="3" t="s">
        <v>13</v>
      </c>
      <c r="O5230" s="3" t="s">
        <v>14</v>
      </c>
      <c r="Q5230" s="30" t="str">
        <f t="shared" si="81"/>
        <v>MAX : 
TARGET : Yes(Pass)
MIN : No(Fail)</v>
      </c>
    </row>
    <row r="5231" spans="2:17" ht="41.4" x14ac:dyDescent="0.3">
      <c r="B5231">
        <v>1</v>
      </c>
      <c r="C5231" s="33">
        <v>9131</v>
      </c>
      <c r="D5231" s="2">
        <v>1463</v>
      </c>
      <c r="E5231" s="2" t="s">
        <v>12662</v>
      </c>
      <c r="F5231" s="3" t="s">
        <v>14206</v>
      </c>
      <c r="H5231" s="3" t="s">
        <v>2150</v>
      </c>
      <c r="K5231" s="2">
        <v>10</v>
      </c>
      <c r="L5231" s="2">
        <v>3</v>
      </c>
      <c r="M5231" s="3" t="s">
        <v>4995</v>
      </c>
      <c r="N5231" s="3" t="s">
        <v>13</v>
      </c>
      <c r="O5231" s="3" t="s">
        <v>14</v>
      </c>
      <c r="Q5231" s="30" t="str">
        <f t="shared" si="81"/>
        <v>MAX : 
TARGET : Yes(Pass)
MIN : No(Fail)</v>
      </c>
    </row>
    <row r="5232" spans="2:17" ht="41.4" x14ac:dyDescent="0.3">
      <c r="B5232">
        <v>1</v>
      </c>
      <c r="C5232" s="33">
        <v>9132</v>
      </c>
      <c r="D5232" s="2">
        <v>1464</v>
      </c>
      <c r="E5232" s="2" t="s">
        <v>12668</v>
      </c>
      <c r="F5232" s="3" t="s">
        <v>14206</v>
      </c>
      <c r="H5232" s="3" t="s">
        <v>2150</v>
      </c>
      <c r="K5232" s="2">
        <v>10</v>
      </c>
      <c r="L5232" s="2">
        <v>2</v>
      </c>
      <c r="M5232" s="3" t="s">
        <v>198</v>
      </c>
      <c r="N5232" s="3" t="s">
        <v>4996</v>
      </c>
      <c r="O5232" s="3" t="s">
        <v>4997</v>
      </c>
      <c r="P5232" s="3" t="s">
        <v>1805</v>
      </c>
      <c r="Q5232" s="30" t="str">
        <f t="shared" si="81"/>
        <v>MAX : 0.426
TARGET : 0.421
MIN : 0.416</v>
      </c>
    </row>
    <row r="5233" spans="2:18" ht="41.4" x14ac:dyDescent="0.3">
      <c r="B5233">
        <v>1</v>
      </c>
      <c r="C5233" s="33">
        <v>9132</v>
      </c>
      <c r="D5233" s="2">
        <v>1464</v>
      </c>
      <c r="E5233" s="2" t="s">
        <v>12668</v>
      </c>
      <c r="F5233" s="3" t="s">
        <v>14206</v>
      </c>
      <c r="H5233" s="3" t="s">
        <v>2150</v>
      </c>
      <c r="K5233" s="2">
        <v>10</v>
      </c>
      <c r="L5233" s="2">
        <v>1</v>
      </c>
      <c r="M5233" s="3" t="s">
        <v>194</v>
      </c>
      <c r="N5233" s="3" t="s">
        <v>4989</v>
      </c>
      <c r="O5233" s="3" t="s">
        <v>4990</v>
      </c>
      <c r="P5233" s="3" t="s">
        <v>4991</v>
      </c>
      <c r="Q5233" s="30" t="str">
        <f t="shared" si="81"/>
        <v>MAX : 0.461
TARGET : 0.456
MIN : 0.451</v>
      </c>
    </row>
    <row r="5234" spans="2:18" ht="41.4" x14ac:dyDescent="0.3">
      <c r="B5234">
        <v>1</v>
      </c>
      <c r="C5234" s="33">
        <v>9133</v>
      </c>
      <c r="D5234" s="2">
        <v>1465</v>
      </c>
      <c r="E5234" s="2" t="s">
        <v>12674</v>
      </c>
      <c r="F5234" s="3" t="s">
        <v>14207</v>
      </c>
      <c r="H5234" s="3" t="s">
        <v>648</v>
      </c>
      <c r="K5234" s="2">
        <v>20</v>
      </c>
      <c r="L5234" s="2">
        <v>2</v>
      </c>
      <c r="M5234" s="3" t="s">
        <v>4126</v>
      </c>
      <c r="N5234" s="3" t="s">
        <v>4127</v>
      </c>
      <c r="O5234" s="3" t="s">
        <v>4128</v>
      </c>
      <c r="P5234" s="3" t="s">
        <v>4129</v>
      </c>
      <c r="Q5234" s="30" t="str">
        <f t="shared" si="81"/>
        <v>MAX : 17.83
TARGET : 17.08
MIN : 16.33</v>
      </c>
    </row>
    <row r="5235" spans="2:18" ht="41.4" x14ac:dyDescent="0.3">
      <c r="B5235">
        <v>1</v>
      </c>
      <c r="C5235" s="33">
        <v>9133</v>
      </c>
      <c r="D5235" s="2">
        <v>1465</v>
      </c>
      <c r="E5235" s="2" t="s">
        <v>12674</v>
      </c>
      <c r="F5235" s="3" t="s">
        <v>14207</v>
      </c>
      <c r="H5235" s="3" t="s">
        <v>648</v>
      </c>
      <c r="K5235" s="2">
        <v>20</v>
      </c>
      <c r="L5235" s="2">
        <v>1</v>
      </c>
      <c r="M5235" s="3" t="s">
        <v>4125</v>
      </c>
      <c r="N5235" s="3" t="s">
        <v>389</v>
      </c>
      <c r="O5235" s="3" t="s">
        <v>1211</v>
      </c>
      <c r="P5235" s="3" t="s">
        <v>1092</v>
      </c>
      <c r="Q5235" s="30" t="str">
        <f t="shared" si="81"/>
        <v>MAX : 6.75
TARGET : 6.50
MIN : 6.25</v>
      </c>
    </row>
    <row r="5236" spans="2:18" ht="41.4" x14ac:dyDescent="0.3">
      <c r="B5236">
        <v>1</v>
      </c>
      <c r="C5236" s="33">
        <v>9133</v>
      </c>
      <c r="D5236" s="2">
        <v>1465</v>
      </c>
      <c r="E5236" s="2" t="s">
        <v>12674</v>
      </c>
      <c r="F5236" s="3" t="s">
        <v>14207</v>
      </c>
      <c r="H5236" s="3" t="s">
        <v>648</v>
      </c>
      <c r="K5236" s="2">
        <v>30</v>
      </c>
      <c r="L5236" s="2">
        <v>12</v>
      </c>
      <c r="M5236" s="3" t="s">
        <v>5670</v>
      </c>
      <c r="N5236" s="3" t="s">
        <v>406</v>
      </c>
      <c r="O5236" s="3" t="s">
        <v>815</v>
      </c>
      <c r="P5236" s="3" t="s">
        <v>253</v>
      </c>
      <c r="Q5236" s="30" t="str">
        <f t="shared" si="81"/>
        <v>MAX : 4.00
TARGET : 3.00
MIN : 2.00</v>
      </c>
    </row>
    <row r="5237" spans="2:18" ht="41.4" x14ac:dyDescent="0.3">
      <c r="B5237">
        <v>1</v>
      </c>
      <c r="C5237" s="33">
        <v>9133</v>
      </c>
      <c r="D5237" s="2">
        <v>1465</v>
      </c>
      <c r="E5237" s="2" t="s">
        <v>12674</v>
      </c>
      <c r="F5237" s="3" t="s">
        <v>14207</v>
      </c>
      <c r="H5237" s="3" t="s">
        <v>648</v>
      </c>
      <c r="K5237" s="2">
        <v>30</v>
      </c>
      <c r="L5237" s="2">
        <v>11</v>
      </c>
      <c r="M5237" s="3" t="s">
        <v>5326</v>
      </c>
      <c r="N5237" s="3" t="s">
        <v>5327</v>
      </c>
      <c r="O5237" s="3" t="s">
        <v>5328</v>
      </c>
      <c r="P5237" s="3" t="s">
        <v>5329</v>
      </c>
      <c r="Q5237" s="30" t="str">
        <f t="shared" si="81"/>
        <v>MAX : 8.92
TARGET : 8.17
MIN : 7.42</v>
      </c>
    </row>
    <row r="5238" spans="2:18" ht="41.4" x14ac:dyDescent="0.3">
      <c r="B5238">
        <v>1</v>
      </c>
      <c r="C5238" s="33">
        <v>9134</v>
      </c>
      <c r="D5238" s="2">
        <v>1466</v>
      </c>
      <c r="E5238" s="2" t="s">
        <v>12679</v>
      </c>
      <c r="F5238" s="3" t="s">
        <v>14206</v>
      </c>
      <c r="H5238" s="3" t="s">
        <v>648</v>
      </c>
      <c r="K5238" s="2">
        <v>10</v>
      </c>
      <c r="L5238" s="2">
        <v>2</v>
      </c>
      <c r="M5238" s="3" t="s">
        <v>198</v>
      </c>
      <c r="N5238" s="3" t="s">
        <v>767</v>
      </c>
      <c r="O5238" s="3" t="s">
        <v>253</v>
      </c>
      <c r="P5238" s="3" t="s">
        <v>129</v>
      </c>
      <c r="Q5238" s="30" t="str">
        <f t="shared" si="81"/>
        <v>MAX : 4.06
TARGET : 4.00
MIN : 3.94</v>
      </c>
    </row>
    <row r="5239" spans="2:18" ht="41.4" x14ac:dyDescent="0.3">
      <c r="B5239">
        <v>1</v>
      </c>
      <c r="C5239" s="33">
        <v>9134</v>
      </c>
      <c r="D5239" s="2">
        <v>1466</v>
      </c>
      <c r="E5239" s="2" t="s">
        <v>12679</v>
      </c>
      <c r="F5239" s="3" t="s">
        <v>14206</v>
      </c>
      <c r="H5239" s="3" t="s">
        <v>648</v>
      </c>
      <c r="K5239" s="2">
        <v>10</v>
      </c>
      <c r="L5239" s="2">
        <v>1</v>
      </c>
      <c r="M5239" s="3" t="s">
        <v>194</v>
      </c>
      <c r="N5239" s="3" t="s">
        <v>405</v>
      </c>
      <c r="O5239" s="3" t="s">
        <v>406</v>
      </c>
      <c r="P5239" s="3" t="s">
        <v>407</v>
      </c>
      <c r="Q5239" s="30" t="str">
        <f t="shared" si="81"/>
        <v>MAX : 2.06
TARGET : 2.00
MIN : 1.94</v>
      </c>
    </row>
    <row r="5240" spans="2:18" ht="41.4" x14ac:dyDescent="0.3">
      <c r="B5240">
        <v>1</v>
      </c>
      <c r="C5240" s="33">
        <v>9135</v>
      </c>
      <c r="D5240" s="2">
        <v>1467</v>
      </c>
      <c r="E5240" s="2" t="s">
        <v>12686</v>
      </c>
      <c r="F5240" s="29" t="s">
        <v>14256</v>
      </c>
      <c r="G5240" s="3" t="s">
        <v>1665</v>
      </c>
      <c r="H5240" s="3" t="s">
        <v>747</v>
      </c>
      <c r="K5240" s="2">
        <v>10</v>
      </c>
      <c r="L5240" s="2">
        <v>2</v>
      </c>
      <c r="M5240" s="3" t="s">
        <v>325</v>
      </c>
      <c r="N5240" s="3" t="s">
        <v>13</v>
      </c>
      <c r="O5240" s="3" t="s">
        <v>14</v>
      </c>
      <c r="Q5240" s="30" t="str">
        <f t="shared" si="81"/>
        <v>MAX : 
TARGET : Yes(Pass)
MIN : No(Fail)</v>
      </c>
    </row>
    <row r="5241" spans="2:18" ht="41.4" x14ac:dyDescent="0.3">
      <c r="B5241">
        <v>0</v>
      </c>
      <c r="C5241" s="33">
        <v>9218</v>
      </c>
      <c r="D5241" s="2">
        <v>1514</v>
      </c>
      <c r="E5241" s="2" t="s">
        <v>13167</v>
      </c>
      <c r="F5241" s="3" t="s">
        <v>14206</v>
      </c>
      <c r="H5241" s="3" t="s">
        <v>3123</v>
      </c>
      <c r="K5241" s="2">
        <v>20</v>
      </c>
      <c r="L5241" s="2">
        <v>1</v>
      </c>
      <c r="M5241" s="3" t="s">
        <v>194</v>
      </c>
      <c r="N5241" s="3" t="s">
        <v>3127</v>
      </c>
      <c r="O5241" s="3" t="s">
        <v>1906</v>
      </c>
      <c r="P5241" s="3" t="s">
        <v>1151</v>
      </c>
      <c r="Q5241" s="30" t="str">
        <f t="shared" si="81"/>
        <v>MAX : 1.45
TARGET : 1.43
MIN : 1.41</v>
      </c>
      <c r="R5241" s="3" t="s">
        <v>1638</v>
      </c>
    </row>
    <row r="5242" spans="2:18" ht="41.4" x14ac:dyDescent="0.3">
      <c r="B5242">
        <v>0</v>
      </c>
      <c r="C5242" s="33">
        <v>9218</v>
      </c>
      <c r="D5242" s="2">
        <v>1514</v>
      </c>
      <c r="E5242" s="2" t="s">
        <v>13167</v>
      </c>
      <c r="F5242" s="3" t="s">
        <v>14206</v>
      </c>
      <c r="H5242" s="3" t="s">
        <v>3123</v>
      </c>
      <c r="K5242" s="2">
        <v>20</v>
      </c>
      <c r="L5242" s="2">
        <v>2</v>
      </c>
      <c r="M5242" s="3" t="s">
        <v>198</v>
      </c>
      <c r="N5242" s="3" t="s">
        <v>419</v>
      </c>
      <c r="O5242" s="3" t="s">
        <v>630</v>
      </c>
      <c r="P5242" s="3" t="s">
        <v>3128</v>
      </c>
      <c r="Q5242" s="30" t="str">
        <f t="shared" si="81"/>
        <v>MAX : 1.32
TARGET : 1.30
MIN : 1.28</v>
      </c>
      <c r="R5242" s="3" t="s">
        <v>1638</v>
      </c>
    </row>
    <row r="5243" spans="2:18" ht="41.4" x14ac:dyDescent="0.3">
      <c r="B5243">
        <v>0</v>
      </c>
      <c r="C5243" s="33">
        <v>9218</v>
      </c>
      <c r="D5243" s="2">
        <v>1514</v>
      </c>
      <c r="E5243" s="2" t="s">
        <v>13167</v>
      </c>
      <c r="F5243" s="3" t="s">
        <v>14206</v>
      </c>
      <c r="H5243" s="3" t="s">
        <v>3123</v>
      </c>
      <c r="K5243" s="2">
        <v>20</v>
      </c>
      <c r="L5243" s="2">
        <v>3</v>
      </c>
      <c r="M5243" s="3" t="s">
        <v>3129</v>
      </c>
      <c r="N5243" s="3" t="s">
        <v>13</v>
      </c>
      <c r="O5243" s="3" t="s">
        <v>14</v>
      </c>
      <c r="Q5243" s="30" t="str">
        <f t="shared" si="81"/>
        <v>MAX : 
TARGET : Yes(Pass)
MIN : No(Fail)</v>
      </c>
      <c r="R5243" s="3" t="s">
        <v>1638</v>
      </c>
    </row>
    <row r="5244" spans="2:18" ht="41.4" x14ac:dyDescent="0.3">
      <c r="B5244">
        <v>0</v>
      </c>
      <c r="C5244" s="33">
        <v>9218</v>
      </c>
      <c r="D5244" s="2">
        <v>1514</v>
      </c>
      <c r="E5244" s="2" t="s">
        <v>13167</v>
      </c>
      <c r="F5244" s="3" t="s">
        <v>14206</v>
      </c>
      <c r="H5244" s="3" t="s">
        <v>3123</v>
      </c>
      <c r="K5244" s="2">
        <v>30</v>
      </c>
      <c r="L5244" s="2">
        <v>1</v>
      </c>
      <c r="M5244" s="3" t="s">
        <v>3130</v>
      </c>
      <c r="N5244" s="3" t="s">
        <v>13</v>
      </c>
      <c r="O5244" s="3" t="s">
        <v>14</v>
      </c>
      <c r="Q5244" s="30" t="str">
        <f t="shared" si="81"/>
        <v>MAX : 
TARGET : Yes(Pass)
MIN : No(Fail)</v>
      </c>
      <c r="R5244" s="3" t="s">
        <v>1638</v>
      </c>
    </row>
    <row r="5245" spans="2:18" ht="41.4" x14ac:dyDescent="0.3">
      <c r="B5245">
        <v>1</v>
      </c>
      <c r="C5245" s="33">
        <v>9135</v>
      </c>
      <c r="D5245" s="2">
        <v>1467</v>
      </c>
      <c r="E5245" s="2" t="s">
        <v>12686</v>
      </c>
      <c r="F5245" s="29" t="s">
        <v>14256</v>
      </c>
      <c r="G5245" s="3" t="s">
        <v>1665</v>
      </c>
      <c r="H5245" s="3" t="s">
        <v>747</v>
      </c>
      <c r="K5245" s="2">
        <v>10</v>
      </c>
      <c r="L5245" s="2">
        <v>1</v>
      </c>
      <c r="M5245" s="3" t="s">
        <v>4558</v>
      </c>
      <c r="N5245" s="3" t="s">
        <v>201</v>
      </c>
      <c r="O5245" s="3" t="s">
        <v>250</v>
      </c>
      <c r="P5245" s="3" t="s">
        <v>389</v>
      </c>
      <c r="Q5245" s="30" t="str">
        <f t="shared" si="81"/>
        <v>MAX : 6.25
TARGET : 6.00
MIN : 5.75</v>
      </c>
    </row>
    <row r="5246" spans="2:18" ht="41.4" x14ac:dyDescent="0.3">
      <c r="B5246">
        <v>1</v>
      </c>
      <c r="C5246" s="33">
        <v>9135</v>
      </c>
      <c r="D5246" s="2">
        <v>1467</v>
      </c>
      <c r="E5246" s="2" t="s">
        <v>12686</v>
      </c>
      <c r="F5246" s="29" t="s">
        <v>14256</v>
      </c>
      <c r="G5246" s="3" t="s">
        <v>1665</v>
      </c>
      <c r="H5246" s="3" t="s">
        <v>747</v>
      </c>
      <c r="K5246" s="2">
        <v>20</v>
      </c>
      <c r="L5246" s="2">
        <v>4</v>
      </c>
      <c r="M5246" s="3" t="s">
        <v>5188</v>
      </c>
      <c r="N5246" s="3" t="s">
        <v>5189</v>
      </c>
      <c r="O5246" s="3" t="s">
        <v>919</v>
      </c>
      <c r="P5246" s="3" t="s">
        <v>4640</v>
      </c>
      <c r="Q5246" s="30" t="str">
        <f t="shared" si="81"/>
        <v>MAX : 0.177
TARGET : 0.157
MIN : 0.137</v>
      </c>
    </row>
    <row r="5247" spans="2:18" ht="41.4" x14ac:dyDescent="0.3">
      <c r="B5247">
        <v>0</v>
      </c>
      <c r="C5247" s="33">
        <v>9222</v>
      </c>
      <c r="D5247" s="2">
        <v>2106</v>
      </c>
      <c r="E5247" s="2" t="s">
        <v>13190</v>
      </c>
      <c r="F5247" s="3" t="s">
        <v>14260</v>
      </c>
      <c r="H5247" s="3" t="s">
        <v>922</v>
      </c>
      <c r="K5247" s="2">
        <v>10</v>
      </c>
      <c r="L5247" s="2">
        <v>3</v>
      </c>
      <c r="M5247" s="3" t="s">
        <v>5507</v>
      </c>
      <c r="N5247" s="3" t="s">
        <v>13</v>
      </c>
      <c r="O5247" s="3" t="s">
        <v>14</v>
      </c>
      <c r="Q5247" s="30" t="str">
        <f t="shared" si="81"/>
        <v>MAX : 
TARGET : Yes(Pass)
MIN : No(Fail)</v>
      </c>
    </row>
    <row r="5248" spans="2:18" ht="41.4" x14ac:dyDescent="0.3">
      <c r="B5248">
        <v>1</v>
      </c>
      <c r="C5248" s="33">
        <v>9135</v>
      </c>
      <c r="D5248" s="2">
        <v>1467</v>
      </c>
      <c r="E5248" s="2" t="s">
        <v>12686</v>
      </c>
      <c r="F5248" s="29" t="s">
        <v>14256</v>
      </c>
      <c r="G5248" s="3" t="s">
        <v>1665</v>
      </c>
      <c r="H5248" s="3" t="s">
        <v>747</v>
      </c>
      <c r="K5248" s="2">
        <v>20</v>
      </c>
      <c r="L5248" s="2">
        <v>1</v>
      </c>
      <c r="M5248" s="3" t="s">
        <v>1361</v>
      </c>
      <c r="N5248" s="3" t="s">
        <v>748</v>
      </c>
      <c r="O5248" s="3" t="s">
        <v>406</v>
      </c>
      <c r="P5248" s="3" t="s">
        <v>1784</v>
      </c>
      <c r="Q5248" s="30" t="str">
        <f t="shared" si="81"/>
        <v>MAX : 2.02
TARGET : 2.00
MIN : 1.98</v>
      </c>
    </row>
    <row r="5249" spans="2:18" ht="41.4" x14ac:dyDescent="0.3">
      <c r="B5249">
        <v>1</v>
      </c>
      <c r="C5249" s="33">
        <v>9136</v>
      </c>
      <c r="D5249" s="2">
        <v>2074</v>
      </c>
      <c r="E5249" s="2" t="s">
        <v>12694</v>
      </c>
      <c r="F5249" s="3" t="s">
        <v>14207</v>
      </c>
      <c r="H5249" s="3" t="s">
        <v>3123</v>
      </c>
      <c r="K5249" s="2">
        <v>10</v>
      </c>
      <c r="L5249" s="2">
        <v>2</v>
      </c>
      <c r="M5249" s="3" t="s">
        <v>198</v>
      </c>
      <c r="N5249" s="3" t="s">
        <v>5042</v>
      </c>
      <c r="O5249" s="3" t="s">
        <v>5043</v>
      </c>
      <c r="P5249" s="3" t="s">
        <v>5044</v>
      </c>
      <c r="Q5249" s="30" t="str">
        <f t="shared" si="81"/>
        <v>MAX : 302
TARGET : 300
MIN : 298</v>
      </c>
    </row>
    <row r="5250" spans="2:18" ht="41.4" x14ac:dyDescent="0.3">
      <c r="B5250">
        <v>0</v>
      </c>
      <c r="C5250" s="33">
        <v>9223</v>
      </c>
      <c r="D5250" s="2">
        <v>2107</v>
      </c>
      <c r="E5250" s="2" t="s">
        <v>13196</v>
      </c>
      <c r="F5250" s="3" t="s">
        <v>14206</v>
      </c>
      <c r="H5250" s="3" t="s">
        <v>269</v>
      </c>
      <c r="K5250" s="2">
        <v>10</v>
      </c>
      <c r="L5250" s="2">
        <v>3</v>
      </c>
      <c r="M5250" s="3" t="s">
        <v>611</v>
      </c>
      <c r="N5250" s="3" t="s">
        <v>13</v>
      </c>
      <c r="O5250" s="3" t="s">
        <v>14</v>
      </c>
      <c r="Q5250" s="30" t="str">
        <f t="shared" ref="Q5250:Q5313" si="82">"MAX : " &amp; P5250 &amp; CHAR(10) &amp; "TARGET : " &amp; O5250 &amp; CHAR(10) &amp; "MIN : " &amp; N5250</f>
        <v>MAX : 
TARGET : Yes(Pass)
MIN : No(Fail)</v>
      </c>
    </row>
    <row r="5251" spans="2:18" ht="41.4" x14ac:dyDescent="0.3">
      <c r="B5251">
        <v>1</v>
      </c>
      <c r="C5251" s="33">
        <v>9136</v>
      </c>
      <c r="D5251" s="2">
        <v>2074</v>
      </c>
      <c r="E5251" s="2" t="s">
        <v>12694</v>
      </c>
      <c r="F5251" s="3" t="s">
        <v>14207</v>
      </c>
      <c r="H5251" s="3" t="s">
        <v>3123</v>
      </c>
      <c r="K5251" s="2">
        <v>10</v>
      </c>
      <c r="L5251" s="2">
        <v>1</v>
      </c>
      <c r="M5251" s="3" t="s">
        <v>194</v>
      </c>
      <c r="N5251" s="3" t="s">
        <v>5042</v>
      </c>
      <c r="O5251" s="3" t="s">
        <v>5043</v>
      </c>
      <c r="P5251" s="3" t="s">
        <v>5044</v>
      </c>
      <c r="Q5251" s="30" t="str">
        <f t="shared" si="82"/>
        <v>MAX : 302
TARGET : 300
MIN : 298</v>
      </c>
    </row>
    <row r="5252" spans="2:18" ht="41.4" x14ac:dyDescent="0.3">
      <c r="B5252">
        <v>1</v>
      </c>
      <c r="C5252" s="33">
        <v>9137</v>
      </c>
      <c r="D5252" s="2">
        <v>1468</v>
      </c>
      <c r="E5252" s="2" t="s">
        <v>12702</v>
      </c>
      <c r="F5252" s="3" t="s">
        <v>14206</v>
      </c>
      <c r="H5252" s="3" t="s">
        <v>713</v>
      </c>
      <c r="K5252" s="2">
        <v>40</v>
      </c>
      <c r="L5252" s="2">
        <v>1</v>
      </c>
      <c r="M5252" s="3" t="s">
        <v>194</v>
      </c>
      <c r="N5252" s="3" t="s">
        <v>5063</v>
      </c>
      <c r="O5252" s="3" t="s">
        <v>3144</v>
      </c>
      <c r="P5252" s="3" t="s">
        <v>1723</v>
      </c>
      <c r="Q5252" s="30" t="str">
        <f t="shared" si="82"/>
        <v>MAX : 11.63
TARGET : 11.50
MIN : 11.38</v>
      </c>
      <c r="R5252" s="3" t="s">
        <v>1638</v>
      </c>
    </row>
    <row r="5253" spans="2:18" ht="41.4" x14ac:dyDescent="0.3">
      <c r="B5253">
        <v>0</v>
      </c>
      <c r="C5253" s="33">
        <v>9219</v>
      </c>
      <c r="D5253" s="2">
        <v>1515</v>
      </c>
      <c r="E5253" s="2" t="s">
        <v>13172</v>
      </c>
      <c r="F5253" s="3" t="s">
        <v>14207</v>
      </c>
      <c r="H5253" s="3" t="s">
        <v>3535</v>
      </c>
      <c r="K5253" s="2">
        <v>30</v>
      </c>
      <c r="L5253" s="2">
        <v>3</v>
      </c>
      <c r="M5253" s="3" t="s">
        <v>198</v>
      </c>
      <c r="N5253" s="3" t="s">
        <v>5513</v>
      </c>
      <c r="O5253" s="3" t="s">
        <v>1459</v>
      </c>
      <c r="P5253" s="3" t="s">
        <v>5514</v>
      </c>
      <c r="Q5253" s="30" t="str">
        <f t="shared" si="82"/>
        <v>MAX : 71.8
TARGET : 71.0
MIN : 70.2</v>
      </c>
      <c r="R5253" s="3" t="s">
        <v>4520</v>
      </c>
    </row>
    <row r="5254" spans="2:18" ht="41.4" x14ac:dyDescent="0.3">
      <c r="B5254">
        <v>0</v>
      </c>
      <c r="C5254" s="33">
        <v>9219</v>
      </c>
      <c r="D5254" s="2">
        <v>1515</v>
      </c>
      <c r="E5254" s="2" t="s">
        <v>13172</v>
      </c>
      <c r="F5254" s="3" t="s">
        <v>14207</v>
      </c>
      <c r="H5254" s="3" t="s">
        <v>3535</v>
      </c>
      <c r="K5254" s="2">
        <v>30</v>
      </c>
      <c r="L5254" s="2">
        <v>4</v>
      </c>
      <c r="M5254" s="3" t="s">
        <v>3603</v>
      </c>
      <c r="N5254" s="3" t="s">
        <v>5515</v>
      </c>
      <c r="O5254" s="3" t="s">
        <v>5516</v>
      </c>
      <c r="P5254" s="3" t="s">
        <v>5517</v>
      </c>
      <c r="Q5254" s="30" t="str">
        <f t="shared" si="82"/>
        <v>MAX : 33.3
TARGET : 32.5
MIN : 31.7</v>
      </c>
      <c r="R5254" s="3" t="s">
        <v>4520</v>
      </c>
    </row>
    <row r="5255" spans="2:18" ht="41.4" x14ac:dyDescent="0.3">
      <c r="B5255">
        <v>0</v>
      </c>
      <c r="C5255" s="33">
        <v>9219</v>
      </c>
      <c r="D5255" s="2">
        <v>1515</v>
      </c>
      <c r="E5255" s="2" t="s">
        <v>13172</v>
      </c>
      <c r="F5255" s="3" t="s">
        <v>14207</v>
      </c>
      <c r="H5255" s="3" t="s">
        <v>3535</v>
      </c>
      <c r="K5255" s="2">
        <v>30</v>
      </c>
      <c r="L5255" s="2">
        <v>6</v>
      </c>
      <c r="M5255" s="3" t="s">
        <v>5518</v>
      </c>
      <c r="N5255" s="3" t="s">
        <v>13</v>
      </c>
      <c r="O5255" s="3" t="s">
        <v>14</v>
      </c>
      <c r="Q5255" s="30" t="str">
        <f t="shared" si="82"/>
        <v>MAX : 
TARGET : Yes(Pass)
MIN : No(Fail)</v>
      </c>
      <c r="R5255" s="3" t="s">
        <v>4520</v>
      </c>
    </row>
    <row r="5256" spans="2:18" ht="41.4" x14ac:dyDescent="0.3">
      <c r="B5256">
        <v>1</v>
      </c>
      <c r="C5256" s="33">
        <v>9137</v>
      </c>
      <c r="D5256" s="2">
        <v>1468</v>
      </c>
      <c r="E5256" s="2" t="s">
        <v>12702</v>
      </c>
      <c r="F5256" s="3" t="s">
        <v>14206</v>
      </c>
      <c r="H5256" s="3" t="s">
        <v>713</v>
      </c>
      <c r="K5256" s="2">
        <v>30</v>
      </c>
      <c r="L5256" s="2">
        <v>1</v>
      </c>
      <c r="M5256" s="3" t="s">
        <v>5062</v>
      </c>
      <c r="N5256" s="3" t="s">
        <v>247</v>
      </c>
      <c r="O5256" s="3" t="s">
        <v>309</v>
      </c>
      <c r="P5256" s="3" t="s">
        <v>1814</v>
      </c>
      <c r="Q5256" s="30" t="str">
        <f t="shared" si="82"/>
        <v>MAX : 0.63
TARGET : 0.50
MIN : 0.38</v>
      </c>
      <c r="R5256" s="3" t="s">
        <v>1638</v>
      </c>
    </row>
    <row r="5257" spans="2:18" ht="41.4" x14ac:dyDescent="0.3">
      <c r="B5257">
        <v>1</v>
      </c>
      <c r="C5257" s="33">
        <v>9139</v>
      </c>
      <c r="D5257" s="2">
        <v>1469</v>
      </c>
      <c r="E5257" s="2" t="s">
        <v>12708</v>
      </c>
      <c r="F5257" s="3" t="s">
        <v>14206</v>
      </c>
      <c r="H5257" s="3" t="s">
        <v>1052</v>
      </c>
      <c r="K5257" s="2">
        <v>20</v>
      </c>
      <c r="L5257" s="2">
        <v>2</v>
      </c>
      <c r="M5257" s="3" t="s">
        <v>198</v>
      </c>
      <c r="N5257" s="3" t="s">
        <v>1504</v>
      </c>
      <c r="O5257" s="3" t="s">
        <v>815</v>
      </c>
      <c r="P5257" s="3" t="s">
        <v>1505</v>
      </c>
      <c r="Q5257" s="30" t="str">
        <f t="shared" si="82"/>
        <v>MAX : 3.06
TARGET : 3.00
MIN : 2.94</v>
      </c>
    </row>
    <row r="5258" spans="2:18" ht="41.4" x14ac:dyDescent="0.3">
      <c r="B5258">
        <v>0</v>
      </c>
      <c r="C5258" s="33">
        <v>9221</v>
      </c>
      <c r="D5258" s="2">
        <v>1517</v>
      </c>
      <c r="E5258" s="2" t="s">
        <v>13184</v>
      </c>
      <c r="F5258" s="3" t="s">
        <v>14206</v>
      </c>
      <c r="H5258" s="3" t="s">
        <v>648</v>
      </c>
      <c r="K5258" s="2">
        <v>20</v>
      </c>
      <c r="L5258" s="2">
        <v>3</v>
      </c>
      <c r="M5258" s="3" t="s">
        <v>198</v>
      </c>
      <c r="N5258" s="3" t="s">
        <v>3463</v>
      </c>
      <c r="O5258" s="3" t="s">
        <v>4847</v>
      </c>
      <c r="P5258" s="3" t="s">
        <v>5519</v>
      </c>
      <c r="Q5258" s="30" t="str">
        <f t="shared" si="82"/>
        <v>MAX : 0.847
TARGET : 0.827
MIN : 0.807</v>
      </c>
    </row>
    <row r="5259" spans="2:18" ht="41.4" x14ac:dyDescent="0.3">
      <c r="B5259">
        <v>0</v>
      </c>
      <c r="C5259" s="33">
        <v>9221</v>
      </c>
      <c r="D5259" s="2">
        <v>1517</v>
      </c>
      <c r="E5259" s="2" t="s">
        <v>13184</v>
      </c>
      <c r="F5259" s="3" t="s">
        <v>14206</v>
      </c>
      <c r="H5259" s="3" t="s">
        <v>648</v>
      </c>
      <c r="K5259" s="2">
        <v>20</v>
      </c>
      <c r="L5259" s="2">
        <v>4</v>
      </c>
      <c r="M5259" s="3" t="s">
        <v>3426</v>
      </c>
      <c r="N5259" s="3" t="s">
        <v>2185</v>
      </c>
      <c r="O5259" s="3" t="s">
        <v>3167</v>
      </c>
      <c r="P5259" s="3" t="s">
        <v>1436</v>
      </c>
      <c r="Q5259" s="30" t="str">
        <f t="shared" si="82"/>
        <v>MAX : 0.430
TARGET : 0.410
MIN : 0.390</v>
      </c>
    </row>
    <row r="5260" spans="2:18" ht="41.4" x14ac:dyDescent="0.3">
      <c r="B5260">
        <v>0</v>
      </c>
      <c r="C5260" s="33">
        <v>9221</v>
      </c>
      <c r="D5260" s="2">
        <v>1517</v>
      </c>
      <c r="E5260" s="2" t="s">
        <v>13184</v>
      </c>
      <c r="F5260" s="3" t="s">
        <v>14206</v>
      </c>
      <c r="H5260" s="3" t="s">
        <v>648</v>
      </c>
      <c r="K5260" s="2">
        <v>20</v>
      </c>
      <c r="L5260" s="2">
        <v>5</v>
      </c>
      <c r="M5260" s="3" t="s">
        <v>3919</v>
      </c>
      <c r="N5260" s="3" t="s">
        <v>13</v>
      </c>
      <c r="O5260" s="3" t="s">
        <v>14</v>
      </c>
      <c r="Q5260" s="30" t="str">
        <f t="shared" si="82"/>
        <v>MAX : 
TARGET : Yes(Pass)
MIN : No(Fail)</v>
      </c>
    </row>
    <row r="5261" spans="2:18" ht="41.4" x14ac:dyDescent="0.3">
      <c r="B5261">
        <v>0</v>
      </c>
      <c r="C5261" s="33">
        <v>9221</v>
      </c>
      <c r="D5261" s="2">
        <v>1517</v>
      </c>
      <c r="E5261" s="2" t="s">
        <v>13184</v>
      </c>
      <c r="F5261" s="3" t="s">
        <v>14206</v>
      </c>
      <c r="H5261" s="3" t="s">
        <v>648</v>
      </c>
      <c r="K5261" s="2">
        <v>20</v>
      </c>
      <c r="L5261" s="2">
        <v>6</v>
      </c>
      <c r="M5261" s="3" t="s">
        <v>78</v>
      </c>
      <c r="N5261" s="3" t="s">
        <v>13</v>
      </c>
      <c r="O5261" s="3" t="s">
        <v>14</v>
      </c>
      <c r="Q5261" s="30" t="str">
        <f t="shared" si="82"/>
        <v>MAX : 
TARGET : Yes(Pass)
MIN : No(Fail)</v>
      </c>
    </row>
    <row r="5262" spans="2:18" ht="41.4" x14ac:dyDescent="0.3">
      <c r="B5262">
        <v>0</v>
      </c>
      <c r="C5262" s="33">
        <v>9221</v>
      </c>
      <c r="D5262" s="2">
        <v>1517</v>
      </c>
      <c r="E5262" s="2" t="s">
        <v>13184</v>
      </c>
      <c r="F5262" s="3" t="s">
        <v>14206</v>
      </c>
      <c r="H5262" s="3" t="s">
        <v>648</v>
      </c>
      <c r="K5262" s="2">
        <v>20</v>
      </c>
      <c r="L5262" s="2">
        <v>7</v>
      </c>
      <c r="M5262" s="3" t="s">
        <v>5522</v>
      </c>
      <c r="N5262" s="3" t="s">
        <v>13</v>
      </c>
      <c r="O5262" s="3" t="s">
        <v>14</v>
      </c>
      <c r="Q5262" s="30" t="str">
        <f t="shared" si="82"/>
        <v>MAX : 
TARGET : Yes(Pass)
MIN : No(Fail)</v>
      </c>
    </row>
    <row r="5263" spans="2:18" ht="41.4" x14ac:dyDescent="0.3">
      <c r="B5263">
        <v>1</v>
      </c>
      <c r="C5263" s="33">
        <v>9139</v>
      </c>
      <c r="D5263" s="2">
        <v>1469</v>
      </c>
      <c r="E5263" s="2" t="s">
        <v>12708</v>
      </c>
      <c r="F5263" s="3" t="s">
        <v>14206</v>
      </c>
      <c r="H5263" s="3" t="s">
        <v>1052</v>
      </c>
      <c r="K5263" s="2">
        <v>20</v>
      </c>
      <c r="L5263" s="2">
        <v>1</v>
      </c>
      <c r="M5263" s="3" t="s">
        <v>194</v>
      </c>
      <c r="N5263" s="3" t="s">
        <v>2286</v>
      </c>
      <c r="O5263" s="3" t="s">
        <v>132</v>
      </c>
      <c r="P5263" s="3" t="s">
        <v>2287</v>
      </c>
      <c r="Q5263" s="30" t="str">
        <f t="shared" si="82"/>
        <v>MAX : 0.81
TARGET : 0.75
MIN : 0.69</v>
      </c>
    </row>
    <row r="5264" spans="2:18" ht="41.4" x14ac:dyDescent="0.3">
      <c r="B5264">
        <v>1</v>
      </c>
      <c r="C5264" s="33">
        <v>9140</v>
      </c>
      <c r="D5264" s="2">
        <v>2075</v>
      </c>
      <c r="E5264" s="2" t="s">
        <v>12714</v>
      </c>
      <c r="F5264" s="3" t="s">
        <v>14206</v>
      </c>
      <c r="H5264" s="3" t="s">
        <v>289</v>
      </c>
      <c r="K5264" s="2">
        <v>10</v>
      </c>
      <c r="L5264" s="2">
        <v>2</v>
      </c>
      <c r="M5264" s="3" t="s">
        <v>325</v>
      </c>
      <c r="N5264" s="3" t="s">
        <v>13</v>
      </c>
      <c r="O5264" s="3" t="s">
        <v>14</v>
      </c>
      <c r="Q5264" s="30" t="str">
        <f t="shared" si="82"/>
        <v>MAX : 
TARGET : Yes(Pass)
MIN : No(Fail)</v>
      </c>
    </row>
    <row r="5265" spans="2:17" ht="41.4" x14ac:dyDescent="0.3">
      <c r="B5265">
        <v>0</v>
      </c>
      <c r="C5265" s="33">
        <v>9224</v>
      </c>
      <c r="D5265" s="2">
        <v>1518</v>
      </c>
      <c r="E5265" s="2" t="s">
        <v>13202</v>
      </c>
      <c r="F5265" s="3" t="s">
        <v>14206</v>
      </c>
      <c r="H5265" s="3" t="s">
        <v>108</v>
      </c>
      <c r="K5265" s="2">
        <v>20</v>
      </c>
      <c r="L5265" s="2">
        <v>3</v>
      </c>
      <c r="M5265" s="3" t="s">
        <v>5524</v>
      </c>
      <c r="N5265" s="3" t="s">
        <v>5525</v>
      </c>
      <c r="O5265" s="3" t="s">
        <v>5526</v>
      </c>
      <c r="P5265" s="3" t="s">
        <v>4463</v>
      </c>
      <c r="Q5265" s="30" t="str">
        <f t="shared" si="82"/>
        <v>MAX : 0.067
TARGET : 0.062
MIN : 0.057</v>
      </c>
    </row>
    <row r="5266" spans="2:17" ht="41.4" x14ac:dyDescent="0.3">
      <c r="B5266">
        <v>0</v>
      </c>
      <c r="C5266" s="33">
        <v>9224</v>
      </c>
      <c r="D5266" s="2">
        <v>1518</v>
      </c>
      <c r="E5266" s="2" t="s">
        <v>13202</v>
      </c>
      <c r="F5266" s="3" t="s">
        <v>14206</v>
      </c>
      <c r="H5266" s="3" t="s">
        <v>108</v>
      </c>
      <c r="K5266" s="2">
        <v>20</v>
      </c>
      <c r="L5266" s="2">
        <v>4</v>
      </c>
      <c r="M5266" s="3" t="s">
        <v>5527</v>
      </c>
      <c r="N5266" s="3" t="s">
        <v>13</v>
      </c>
      <c r="O5266" s="3" t="s">
        <v>14</v>
      </c>
      <c r="Q5266" s="30" t="str">
        <f t="shared" si="82"/>
        <v>MAX : 
TARGET : Yes(Pass)
MIN : No(Fail)</v>
      </c>
    </row>
    <row r="5267" spans="2:17" ht="41.4" x14ac:dyDescent="0.3">
      <c r="B5267">
        <v>1</v>
      </c>
      <c r="C5267" s="33">
        <v>9140</v>
      </c>
      <c r="D5267" s="2">
        <v>2075</v>
      </c>
      <c r="E5267" s="2" t="s">
        <v>12714</v>
      </c>
      <c r="F5267" s="3" t="s">
        <v>14206</v>
      </c>
      <c r="H5267" s="3" t="s">
        <v>289</v>
      </c>
      <c r="K5267" s="2">
        <v>10</v>
      </c>
      <c r="L5267" s="2">
        <v>1</v>
      </c>
      <c r="M5267" s="3" t="s">
        <v>458</v>
      </c>
      <c r="N5267" s="3" t="s">
        <v>5080</v>
      </c>
      <c r="O5267" s="3" t="s">
        <v>855</v>
      </c>
      <c r="P5267" s="3" t="s">
        <v>4785</v>
      </c>
      <c r="Q5267" s="30" t="str">
        <f t="shared" si="82"/>
        <v>MAX : 15.06
TARGET : 15.00
MIN : 14.94</v>
      </c>
    </row>
    <row r="5268" spans="2:17" ht="41.4" x14ac:dyDescent="0.3">
      <c r="B5268">
        <v>1</v>
      </c>
      <c r="C5268" s="33">
        <v>9141</v>
      </c>
      <c r="D5268" s="2">
        <v>2076</v>
      </c>
      <c r="E5268" s="2" t="s">
        <v>12720</v>
      </c>
      <c r="F5268" s="3" t="s">
        <v>14206</v>
      </c>
      <c r="H5268" s="3" t="s">
        <v>289</v>
      </c>
      <c r="K5268" s="2">
        <v>20</v>
      </c>
      <c r="L5268" s="2">
        <v>1</v>
      </c>
      <c r="M5268" s="3" t="s">
        <v>4519</v>
      </c>
      <c r="N5268" s="3" t="s">
        <v>13</v>
      </c>
      <c r="O5268" s="3" t="s">
        <v>14</v>
      </c>
      <c r="Q5268" s="30" t="str">
        <f t="shared" si="82"/>
        <v>MAX : 
TARGET : Yes(Pass)
MIN : No(Fail)</v>
      </c>
    </row>
    <row r="5269" spans="2:17" ht="41.4" x14ac:dyDescent="0.3">
      <c r="B5269">
        <v>0</v>
      </c>
      <c r="C5269" s="33">
        <v>9225</v>
      </c>
      <c r="D5269" s="2">
        <v>1519</v>
      </c>
      <c r="E5269" s="2" t="s">
        <v>13209</v>
      </c>
      <c r="F5269" s="3" t="s">
        <v>14206</v>
      </c>
      <c r="H5269" s="3" t="s">
        <v>108</v>
      </c>
      <c r="K5269" s="2">
        <v>20</v>
      </c>
      <c r="L5269" s="2">
        <v>2</v>
      </c>
      <c r="M5269" s="3" t="s">
        <v>3314</v>
      </c>
      <c r="N5269" s="3" t="s">
        <v>5528</v>
      </c>
      <c r="O5269" s="3" t="s">
        <v>1344</v>
      </c>
      <c r="P5269" s="3" t="s">
        <v>571</v>
      </c>
      <c r="Q5269" s="30" t="str">
        <f t="shared" si="82"/>
        <v>MAX : 0.345
TARGET : 0.340
MIN : 0.335</v>
      </c>
    </row>
    <row r="5270" spans="2:17" ht="41.4" x14ac:dyDescent="0.3">
      <c r="B5270">
        <v>0</v>
      </c>
      <c r="C5270" s="33">
        <v>9225</v>
      </c>
      <c r="D5270" s="2">
        <v>1519</v>
      </c>
      <c r="E5270" s="2" t="s">
        <v>13209</v>
      </c>
      <c r="F5270" s="3" t="s">
        <v>14206</v>
      </c>
      <c r="H5270" s="3" t="s">
        <v>108</v>
      </c>
      <c r="K5270" s="2">
        <v>20</v>
      </c>
      <c r="L5270" s="2">
        <v>5</v>
      </c>
      <c r="M5270" s="3" t="s">
        <v>5529</v>
      </c>
      <c r="N5270" s="3" t="s">
        <v>13</v>
      </c>
      <c r="O5270" s="3" t="s">
        <v>14</v>
      </c>
      <c r="Q5270" s="30" t="str">
        <f t="shared" si="82"/>
        <v>MAX : 
TARGET : Yes(Pass)
MIN : No(Fail)</v>
      </c>
    </row>
    <row r="5271" spans="2:17" ht="41.4" x14ac:dyDescent="0.3">
      <c r="B5271">
        <v>0</v>
      </c>
      <c r="C5271" s="33">
        <v>9225</v>
      </c>
      <c r="D5271" s="2">
        <v>1519</v>
      </c>
      <c r="E5271" s="2" t="s">
        <v>13209</v>
      </c>
      <c r="F5271" s="3" t="s">
        <v>14206</v>
      </c>
      <c r="H5271" s="3" t="s">
        <v>108</v>
      </c>
      <c r="K5271" s="2">
        <v>20</v>
      </c>
      <c r="L5271" s="2">
        <v>4</v>
      </c>
      <c r="M5271" s="3" t="s">
        <v>3426</v>
      </c>
      <c r="N5271" s="3" t="s">
        <v>710</v>
      </c>
      <c r="O5271" s="3" t="s">
        <v>86</v>
      </c>
      <c r="P5271" s="3" t="s">
        <v>711</v>
      </c>
      <c r="Q5271" s="30" t="str">
        <f t="shared" si="82"/>
        <v>MAX : 0.505
TARGET : 0.500
MIN : 0.495</v>
      </c>
    </row>
    <row r="5272" spans="2:17" ht="41.4" x14ac:dyDescent="0.3">
      <c r="B5272">
        <v>1</v>
      </c>
      <c r="C5272" s="33">
        <v>9141</v>
      </c>
      <c r="D5272" s="2">
        <v>2076</v>
      </c>
      <c r="E5272" s="2" t="s">
        <v>12720</v>
      </c>
      <c r="F5272" s="3" t="s">
        <v>14206</v>
      </c>
      <c r="H5272" s="3" t="s">
        <v>289</v>
      </c>
      <c r="K5272" s="2">
        <v>10</v>
      </c>
      <c r="L5272" s="2">
        <v>1</v>
      </c>
      <c r="M5272" s="3" t="s">
        <v>5088</v>
      </c>
      <c r="N5272" s="3" t="s">
        <v>1985</v>
      </c>
      <c r="O5272" s="3" t="s">
        <v>149</v>
      </c>
      <c r="P5272" s="3" t="s">
        <v>1986</v>
      </c>
      <c r="Q5272" s="30" t="str">
        <f t="shared" si="82"/>
        <v>MAX : 12.03
TARGET : 12.00
MIN : 11.97</v>
      </c>
    </row>
    <row r="5273" spans="2:17" ht="41.4" x14ac:dyDescent="0.3">
      <c r="B5273">
        <v>0</v>
      </c>
      <c r="C5273" s="33">
        <v>9120</v>
      </c>
      <c r="D5273" s="2">
        <v>1452</v>
      </c>
      <c r="E5273" s="2" t="s">
        <v>12597</v>
      </c>
      <c r="F5273" s="3" t="s">
        <v>14255</v>
      </c>
      <c r="H5273" s="3" t="s">
        <v>4941</v>
      </c>
      <c r="K5273" s="2">
        <v>30</v>
      </c>
      <c r="L5273" s="2">
        <v>1</v>
      </c>
      <c r="M5273" s="3" t="s">
        <v>4945</v>
      </c>
      <c r="N5273" s="3" t="s">
        <v>418</v>
      </c>
      <c r="O5273" s="3" t="s">
        <v>2206</v>
      </c>
      <c r="P5273" s="3" t="s">
        <v>384</v>
      </c>
      <c r="Q5273" s="30" t="str">
        <f t="shared" si="82"/>
        <v>MAX : 1.82
TARGET : 1.52
MIN : 1.22</v>
      </c>
    </row>
    <row r="5274" spans="2:17" ht="41.4" x14ac:dyDescent="0.3">
      <c r="B5274">
        <v>1</v>
      </c>
      <c r="C5274" s="33">
        <v>9141</v>
      </c>
      <c r="D5274" s="2">
        <v>2076</v>
      </c>
      <c r="E5274" s="2" t="s">
        <v>12720</v>
      </c>
      <c r="F5274" s="3" t="s">
        <v>14206</v>
      </c>
      <c r="H5274" s="3" t="s">
        <v>289</v>
      </c>
      <c r="K5274" s="2">
        <v>10</v>
      </c>
      <c r="L5274" s="2">
        <v>2</v>
      </c>
      <c r="M5274" s="3" t="s">
        <v>325</v>
      </c>
      <c r="N5274" s="3" t="s">
        <v>13</v>
      </c>
      <c r="O5274" s="3" t="s">
        <v>14</v>
      </c>
      <c r="Q5274" s="30" t="str">
        <f t="shared" si="82"/>
        <v>MAX : 
TARGET : Yes(Pass)
MIN : No(Fail)</v>
      </c>
    </row>
    <row r="5275" spans="2:17" ht="41.4" x14ac:dyDescent="0.3">
      <c r="B5275">
        <v>1</v>
      </c>
      <c r="C5275" s="33">
        <v>9141</v>
      </c>
      <c r="D5275" s="2">
        <v>2076</v>
      </c>
      <c r="E5275" s="2" t="s">
        <v>12720</v>
      </c>
      <c r="F5275" s="3" t="s">
        <v>14206</v>
      </c>
      <c r="H5275" s="3" t="s">
        <v>289</v>
      </c>
      <c r="K5275" s="2">
        <v>30</v>
      </c>
      <c r="L5275" s="2">
        <v>1</v>
      </c>
      <c r="M5275" s="3" t="s">
        <v>2819</v>
      </c>
      <c r="N5275" s="3" t="s">
        <v>13</v>
      </c>
      <c r="O5275" s="3" t="s">
        <v>14</v>
      </c>
      <c r="Q5275" s="30" t="str">
        <f t="shared" si="82"/>
        <v>MAX : 
TARGET : Yes(Pass)
MIN : No(Fail)</v>
      </c>
    </row>
    <row r="5276" spans="2:17" ht="41.4" x14ac:dyDescent="0.3">
      <c r="B5276">
        <v>0</v>
      </c>
      <c r="C5276" s="33">
        <v>9217</v>
      </c>
      <c r="D5276" s="2">
        <v>1513</v>
      </c>
      <c r="E5276" s="2" t="s">
        <v>13163</v>
      </c>
      <c r="F5276" s="3" t="s">
        <v>14206</v>
      </c>
      <c r="H5276" s="3" t="s">
        <v>1328</v>
      </c>
      <c r="K5276" s="2">
        <v>10</v>
      </c>
      <c r="L5276" s="2">
        <v>3</v>
      </c>
      <c r="M5276" s="3" t="s">
        <v>74</v>
      </c>
      <c r="N5276" s="3" t="s">
        <v>4641</v>
      </c>
      <c r="O5276" s="3" t="s">
        <v>284</v>
      </c>
      <c r="P5276" s="3" t="s">
        <v>5531</v>
      </c>
      <c r="Q5276" s="30" t="str">
        <f t="shared" si="82"/>
        <v>MAX : 0.194
TARGET : 0.188
MIN : 0.182</v>
      </c>
    </row>
    <row r="5277" spans="2:17" ht="41.4" x14ac:dyDescent="0.3">
      <c r="B5277">
        <v>0</v>
      </c>
      <c r="C5277" s="33">
        <v>9217</v>
      </c>
      <c r="D5277" s="2">
        <v>1513</v>
      </c>
      <c r="E5277" s="2" t="s">
        <v>13163</v>
      </c>
      <c r="F5277" s="3" t="s">
        <v>14206</v>
      </c>
      <c r="H5277" s="3" t="s">
        <v>1328</v>
      </c>
      <c r="K5277" s="2">
        <v>10</v>
      </c>
      <c r="L5277" s="2">
        <v>4</v>
      </c>
      <c r="M5277" s="3" t="s">
        <v>5532</v>
      </c>
      <c r="N5277" s="3" t="s">
        <v>272</v>
      </c>
      <c r="O5277" s="3" t="s">
        <v>507</v>
      </c>
      <c r="P5277" s="3" t="s">
        <v>2325</v>
      </c>
      <c r="Q5277" s="30" t="str">
        <f t="shared" si="82"/>
        <v>MAX : 1.12
TARGET : 1.06
MIN : 1.00</v>
      </c>
    </row>
    <row r="5278" spans="2:17" ht="41.4" x14ac:dyDescent="0.3">
      <c r="B5278">
        <v>0</v>
      </c>
      <c r="C5278" s="33">
        <v>9217</v>
      </c>
      <c r="D5278" s="2">
        <v>1513</v>
      </c>
      <c r="E5278" s="2" t="s">
        <v>13163</v>
      </c>
      <c r="F5278" s="3" t="s">
        <v>14206</v>
      </c>
      <c r="H5278" s="3" t="s">
        <v>1328</v>
      </c>
      <c r="K5278" s="2">
        <v>10</v>
      </c>
      <c r="L5278" s="2">
        <v>5</v>
      </c>
      <c r="M5278" s="3" t="s">
        <v>5533</v>
      </c>
      <c r="N5278" s="3" t="s">
        <v>435</v>
      </c>
      <c r="O5278" s="3" t="s">
        <v>437</v>
      </c>
      <c r="P5278" s="3" t="s">
        <v>4771</v>
      </c>
      <c r="Q5278" s="30" t="str">
        <f t="shared" si="82"/>
        <v>MAX : 0.29
TARGET : 0.23
MIN : 0.17</v>
      </c>
    </row>
    <row r="5279" spans="2:17" ht="41.4" x14ac:dyDescent="0.3">
      <c r="B5279">
        <v>0</v>
      </c>
      <c r="C5279" s="33">
        <v>9217</v>
      </c>
      <c r="D5279" s="2">
        <v>1513</v>
      </c>
      <c r="E5279" s="2" t="s">
        <v>13163</v>
      </c>
      <c r="F5279" s="3" t="s">
        <v>14206</v>
      </c>
      <c r="H5279" s="3" t="s">
        <v>1328</v>
      </c>
      <c r="K5279" s="2">
        <v>10</v>
      </c>
      <c r="L5279" s="2">
        <v>6</v>
      </c>
      <c r="M5279" s="3" t="s">
        <v>5534</v>
      </c>
      <c r="N5279" s="3" t="s">
        <v>13</v>
      </c>
      <c r="O5279" s="3" t="s">
        <v>14</v>
      </c>
      <c r="Q5279" s="30" t="str">
        <f t="shared" si="82"/>
        <v>MAX : 
TARGET : Yes(Pass)
MIN : No(Fail)</v>
      </c>
    </row>
    <row r="5280" spans="2:17" ht="41.4" x14ac:dyDescent="0.3">
      <c r="B5280">
        <v>0</v>
      </c>
      <c r="C5280" s="33">
        <v>9217</v>
      </c>
      <c r="D5280" s="2">
        <v>1513</v>
      </c>
      <c r="E5280" s="2" t="s">
        <v>13163</v>
      </c>
      <c r="F5280" s="3" t="s">
        <v>14206</v>
      </c>
      <c r="H5280" s="3" t="s">
        <v>1328</v>
      </c>
      <c r="K5280" s="2">
        <v>10</v>
      </c>
      <c r="L5280" s="2">
        <v>7</v>
      </c>
      <c r="M5280" s="3" t="s">
        <v>5535</v>
      </c>
      <c r="N5280" s="3" t="s">
        <v>13</v>
      </c>
      <c r="O5280" s="3" t="s">
        <v>14</v>
      </c>
      <c r="Q5280" s="30" t="str">
        <f t="shared" si="82"/>
        <v>MAX : 
TARGET : Yes(Pass)
MIN : No(Fail)</v>
      </c>
    </row>
    <row r="5281" spans="2:17" ht="41.4" x14ac:dyDescent="0.3">
      <c r="B5281">
        <v>1</v>
      </c>
      <c r="C5281" s="33">
        <v>9142</v>
      </c>
      <c r="D5281" s="2">
        <v>2077</v>
      </c>
      <c r="E5281" s="2" t="s">
        <v>12726</v>
      </c>
      <c r="F5281" s="3" t="s">
        <v>14206</v>
      </c>
      <c r="H5281" s="3" t="s">
        <v>922</v>
      </c>
      <c r="K5281" s="2">
        <v>10</v>
      </c>
      <c r="L5281" s="2">
        <v>2</v>
      </c>
      <c r="M5281" s="3" t="s">
        <v>325</v>
      </c>
      <c r="N5281" s="3" t="s">
        <v>13</v>
      </c>
      <c r="O5281" s="3" t="s">
        <v>14</v>
      </c>
      <c r="Q5281" s="30" t="str">
        <f t="shared" si="82"/>
        <v>MAX : 
TARGET : Yes(Pass)
MIN : No(Fail)</v>
      </c>
    </row>
    <row r="5282" spans="2:17" ht="41.4" x14ac:dyDescent="0.3">
      <c r="B5282">
        <v>0</v>
      </c>
      <c r="C5282" s="33">
        <v>9121</v>
      </c>
      <c r="D5282" s="2">
        <v>1453</v>
      </c>
      <c r="E5282" s="2" t="s">
        <v>12603</v>
      </c>
      <c r="F5282" s="3" t="s">
        <v>14255</v>
      </c>
      <c r="H5282" s="3" t="s">
        <v>4941</v>
      </c>
      <c r="K5282" s="2">
        <v>30</v>
      </c>
      <c r="L5282" s="2">
        <v>8</v>
      </c>
      <c r="M5282" s="3" t="s">
        <v>5100</v>
      </c>
      <c r="N5282" s="3" t="s">
        <v>4027</v>
      </c>
      <c r="O5282" s="3" t="s">
        <v>4028</v>
      </c>
      <c r="P5282" s="3" t="s">
        <v>2999</v>
      </c>
      <c r="Q5282" s="30" t="str">
        <f t="shared" si="82"/>
        <v>MAX : 5.8
TARGET : 5.3
MIN : 4.8</v>
      </c>
    </row>
    <row r="5283" spans="2:17" ht="41.4" x14ac:dyDescent="0.3">
      <c r="B5283">
        <v>0</v>
      </c>
      <c r="C5283" s="33">
        <v>9121</v>
      </c>
      <c r="D5283" s="2">
        <v>1453</v>
      </c>
      <c r="E5283" s="2" t="s">
        <v>12603</v>
      </c>
      <c r="F5283" s="3" t="s">
        <v>14255</v>
      </c>
      <c r="H5283" s="3" t="s">
        <v>4941</v>
      </c>
      <c r="K5283" s="2">
        <v>30</v>
      </c>
      <c r="L5283" s="2">
        <v>11</v>
      </c>
      <c r="M5283" s="3" t="s">
        <v>3849</v>
      </c>
      <c r="N5283" s="3" t="s">
        <v>1716</v>
      </c>
      <c r="O5283" s="3" t="s">
        <v>887</v>
      </c>
      <c r="P5283" s="3" t="s">
        <v>414</v>
      </c>
      <c r="Q5283" s="30" t="str">
        <f t="shared" si="82"/>
        <v>MAX : 1.03
TARGET : 0.93
MIN : 0.83</v>
      </c>
    </row>
    <row r="5284" spans="2:17" ht="41.4" x14ac:dyDescent="0.3">
      <c r="B5284">
        <v>1</v>
      </c>
      <c r="C5284" s="33">
        <v>9142</v>
      </c>
      <c r="D5284" s="2">
        <v>2077</v>
      </c>
      <c r="E5284" s="2" t="s">
        <v>12726</v>
      </c>
      <c r="F5284" s="3" t="s">
        <v>14206</v>
      </c>
      <c r="H5284" s="3" t="s">
        <v>922</v>
      </c>
      <c r="K5284" s="2">
        <v>10</v>
      </c>
      <c r="L5284" s="2">
        <v>1</v>
      </c>
      <c r="M5284" s="3" t="s">
        <v>458</v>
      </c>
      <c r="N5284" s="3" t="s">
        <v>249</v>
      </c>
      <c r="O5284" s="3" t="s">
        <v>250</v>
      </c>
      <c r="P5284" s="3" t="s">
        <v>251</v>
      </c>
      <c r="Q5284" s="30" t="str">
        <f t="shared" si="82"/>
        <v>MAX : 6.03
TARGET : 6.00
MIN : 5.97</v>
      </c>
    </row>
    <row r="5285" spans="2:17" ht="41.4" x14ac:dyDescent="0.3">
      <c r="B5285">
        <v>0</v>
      </c>
      <c r="C5285" s="33">
        <v>9119</v>
      </c>
      <c r="D5285" s="2">
        <v>1451</v>
      </c>
      <c r="E5285" s="2" t="s">
        <v>12597</v>
      </c>
      <c r="F5285" s="3" t="s">
        <v>14255</v>
      </c>
      <c r="H5285" s="3" t="s">
        <v>4941</v>
      </c>
      <c r="K5285" s="2">
        <v>30</v>
      </c>
      <c r="L5285" s="2">
        <v>10</v>
      </c>
      <c r="M5285" s="3" t="s">
        <v>1587</v>
      </c>
      <c r="N5285" s="3" t="s">
        <v>1648</v>
      </c>
      <c r="O5285" s="3" t="s">
        <v>1649</v>
      </c>
      <c r="P5285" s="3" t="s">
        <v>1650</v>
      </c>
      <c r="Q5285" s="30" t="str">
        <f t="shared" si="82"/>
        <v>MAX : 25.9
TARGET : 25.4
MIN : 24.9</v>
      </c>
    </row>
    <row r="5286" spans="2:17" ht="41.4" x14ac:dyDescent="0.3">
      <c r="B5286">
        <v>0</v>
      </c>
      <c r="C5286" s="33">
        <v>9119</v>
      </c>
      <c r="D5286" s="2">
        <v>1451</v>
      </c>
      <c r="E5286" s="2" t="s">
        <v>12597</v>
      </c>
      <c r="F5286" s="3" t="s">
        <v>14255</v>
      </c>
      <c r="H5286" s="3" t="s">
        <v>4941</v>
      </c>
      <c r="K5286" s="2">
        <v>30</v>
      </c>
      <c r="L5286" s="2">
        <v>1</v>
      </c>
      <c r="M5286" s="3" t="s">
        <v>4945</v>
      </c>
      <c r="N5286" s="3" t="s">
        <v>418</v>
      </c>
      <c r="O5286" s="3" t="s">
        <v>2206</v>
      </c>
      <c r="P5286" s="3" t="s">
        <v>384</v>
      </c>
      <c r="Q5286" s="30" t="str">
        <f t="shared" si="82"/>
        <v>MAX : 1.82
TARGET : 1.52
MIN : 1.22</v>
      </c>
    </row>
    <row r="5287" spans="2:17" ht="41.4" x14ac:dyDescent="0.3">
      <c r="B5287">
        <v>0</v>
      </c>
      <c r="C5287" s="33">
        <v>9119</v>
      </c>
      <c r="D5287" s="2">
        <v>1451</v>
      </c>
      <c r="E5287" s="2" t="s">
        <v>12597</v>
      </c>
      <c r="F5287" s="3" t="s">
        <v>14255</v>
      </c>
      <c r="H5287" s="3" t="s">
        <v>4941</v>
      </c>
      <c r="K5287" s="2">
        <v>30</v>
      </c>
      <c r="L5287" s="2">
        <v>2</v>
      </c>
      <c r="M5287" s="3" t="s">
        <v>5539</v>
      </c>
      <c r="N5287" s="3" t="s">
        <v>3360</v>
      </c>
      <c r="O5287" s="3" t="s">
        <v>5540</v>
      </c>
      <c r="P5287" s="3" t="s">
        <v>4704</v>
      </c>
      <c r="Q5287" s="30" t="str">
        <f t="shared" si="82"/>
        <v>MAX : 18.63
TARGET : 18.33
MIN : 18.03</v>
      </c>
    </row>
    <row r="5288" spans="2:17" ht="41.4" x14ac:dyDescent="0.3">
      <c r="B5288">
        <v>0</v>
      </c>
      <c r="C5288" s="33">
        <v>9119</v>
      </c>
      <c r="D5288" s="2">
        <v>1451</v>
      </c>
      <c r="E5288" s="2" t="s">
        <v>12597</v>
      </c>
      <c r="F5288" s="3" t="s">
        <v>14255</v>
      </c>
      <c r="H5288" s="3" t="s">
        <v>4941</v>
      </c>
      <c r="K5288" s="2">
        <v>30</v>
      </c>
      <c r="L5288" s="2">
        <v>3</v>
      </c>
      <c r="M5288" s="3" t="s">
        <v>714</v>
      </c>
      <c r="N5288" s="3" t="s">
        <v>4942</v>
      </c>
      <c r="O5288" s="3" t="s">
        <v>4943</v>
      </c>
      <c r="P5288" s="3" t="s">
        <v>4944</v>
      </c>
      <c r="Q5288" s="30" t="str">
        <f t="shared" si="82"/>
        <v>MAX : 20.21
TARGET : 19.83
MIN : 19.45</v>
      </c>
    </row>
    <row r="5289" spans="2:17" ht="41.4" x14ac:dyDescent="0.3">
      <c r="B5289">
        <v>0</v>
      </c>
      <c r="C5289" s="33">
        <v>9119</v>
      </c>
      <c r="D5289" s="2">
        <v>1451</v>
      </c>
      <c r="E5289" s="2" t="s">
        <v>12597</v>
      </c>
      <c r="F5289" s="3" t="s">
        <v>14255</v>
      </c>
      <c r="H5289" s="3" t="s">
        <v>4941</v>
      </c>
      <c r="K5289" s="2">
        <v>30</v>
      </c>
      <c r="L5289" s="2">
        <v>4</v>
      </c>
      <c r="M5289" s="3" t="s">
        <v>4949</v>
      </c>
      <c r="N5289" s="3" t="s">
        <v>4950</v>
      </c>
      <c r="O5289" s="3" t="s">
        <v>4951</v>
      </c>
      <c r="P5289" s="3" t="s">
        <v>1334</v>
      </c>
      <c r="Q5289" s="30" t="str">
        <f t="shared" si="82"/>
        <v>MAX : 12.94
TARGET : 12.64
MIN : 12.34</v>
      </c>
    </row>
    <row r="5290" spans="2:17" ht="41.4" x14ac:dyDescent="0.3">
      <c r="B5290">
        <v>0</v>
      </c>
      <c r="C5290" s="33">
        <v>9119</v>
      </c>
      <c r="D5290" s="2">
        <v>1451</v>
      </c>
      <c r="E5290" s="2" t="s">
        <v>12597</v>
      </c>
      <c r="F5290" s="3" t="s">
        <v>14255</v>
      </c>
      <c r="H5290" s="3" t="s">
        <v>4941</v>
      </c>
      <c r="K5290" s="2">
        <v>30</v>
      </c>
      <c r="L5290" s="2">
        <v>5</v>
      </c>
      <c r="M5290" s="3" t="s">
        <v>5541</v>
      </c>
      <c r="N5290" s="3" t="s">
        <v>5542</v>
      </c>
      <c r="O5290" s="3" t="s">
        <v>4217</v>
      </c>
      <c r="P5290" s="3" t="s">
        <v>5019</v>
      </c>
      <c r="Q5290" s="30" t="str">
        <f t="shared" si="82"/>
        <v>MAX : 25.30
TARGET : 25.00
MIN : 24.70</v>
      </c>
    </row>
    <row r="5291" spans="2:17" ht="41.4" x14ac:dyDescent="0.3">
      <c r="B5291">
        <v>0</v>
      </c>
      <c r="C5291" s="33">
        <v>9119</v>
      </c>
      <c r="D5291" s="2">
        <v>1451</v>
      </c>
      <c r="E5291" s="2" t="s">
        <v>12597</v>
      </c>
      <c r="F5291" s="3" t="s">
        <v>14255</v>
      </c>
      <c r="H5291" s="3" t="s">
        <v>4941</v>
      </c>
      <c r="K5291" s="2">
        <v>30</v>
      </c>
      <c r="L5291" s="2">
        <v>6</v>
      </c>
      <c r="M5291" s="3" t="s">
        <v>715</v>
      </c>
      <c r="N5291" s="3" t="s">
        <v>4946</v>
      </c>
      <c r="O5291" s="3" t="s">
        <v>4947</v>
      </c>
      <c r="P5291" s="3" t="s">
        <v>4948</v>
      </c>
      <c r="Q5291" s="30" t="str">
        <f t="shared" si="82"/>
        <v>MAX : 26.80
TARGET : 26.42
MIN : 26.04</v>
      </c>
    </row>
    <row r="5292" spans="2:17" ht="41.4" x14ac:dyDescent="0.3">
      <c r="B5292">
        <v>0</v>
      </c>
      <c r="C5292" s="33">
        <v>9119</v>
      </c>
      <c r="D5292" s="2">
        <v>1451</v>
      </c>
      <c r="E5292" s="2" t="s">
        <v>12597</v>
      </c>
      <c r="F5292" s="3" t="s">
        <v>14255</v>
      </c>
      <c r="H5292" s="3" t="s">
        <v>4941</v>
      </c>
      <c r="K5292" s="2">
        <v>30</v>
      </c>
      <c r="L5292" s="2">
        <v>7</v>
      </c>
      <c r="M5292" s="3" t="s">
        <v>4952</v>
      </c>
      <c r="N5292" s="3" t="s">
        <v>4028</v>
      </c>
      <c r="O5292" s="3" t="s">
        <v>2999</v>
      </c>
      <c r="P5292" s="3" t="s">
        <v>4953</v>
      </c>
      <c r="Q5292" s="30" t="str">
        <f t="shared" si="82"/>
        <v>MAX : 6.3
TARGET : 5.8
MIN : 5.3</v>
      </c>
    </row>
    <row r="5293" spans="2:17" ht="41.4" x14ac:dyDescent="0.3">
      <c r="B5293">
        <v>1</v>
      </c>
      <c r="C5293" s="33">
        <v>9143</v>
      </c>
      <c r="D5293" s="2">
        <v>2078</v>
      </c>
      <c r="E5293" s="2" t="s">
        <v>12732</v>
      </c>
      <c r="F5293" s="3" t="s">
        <v>14206</v>
      </c>
      <c r="H5293" s="3" t="s">
        <v>5677</v>
      </c>
      <c r="I5293" s="3" t="s">
        <v>487</v>
      </c>
      <c r="K5293" s="2">
        <v>10</v>
      </c>
      <c r="L5293" s="2">
        <v>1</v>
      </c>
      <c r="M5293" s="3" t="s">
        <v>458</v>
      </c>
      <c r="N5293" s="3" t="s">
        <v>571</v>
      </c>
      <c r="O5293" s="3" t="s">
        <v>276</v>
      </c>
      <c r="P5293" s="3" t="s">
        <v>572</v>
      </c>
      <c r="Q5293" s="30" t="str">
        <f t="shared" si="82"/>
        <v>MAX : 0.405
TARGET : 0.375
MIN : 0.345</v>
      </c>
    </row>
    <row r="5294" spans="2:17" ht="41.4" x14ac:dyDescent="0.3">
      <c r="B5294">
        <v>1</v>
      </c>
      <c r="C5294" s="33">
        <v>9144</v>
      </c>
      <c r="D5294" s="2">
        <v>2079</v>
      </c>
      <c r="E5294" s="2" t="s">
        <v>12738</v>
      </c>
      <c r="F5294" s="3" t="s">
        <v>14206</v>
      </c>
      <c r="H5294" s="3" t="s">
        <v>5677</v>
      </c>
      <c r="I5294" s="3" t="s">
        <v>487</v>
      </c>
      <c r="K5294" s="2">
        <v>10</v>
      </c>
      <c r="L5294" s="2">
        <v>1</v>
      </c>
      <c r="M5294" s="3" t="s">
        <v>458</v>
      </c>
      <c r="N5294" s="3" t="s">
        <v>5678</v>
      </c>
      <c r="O5294" s="3" t="s">
        <v>5679</v>
      </c>
      <c r="P5294" s="3" t="s">
        <v>5680</v>
      </c>
      <c r="Q5294" s="30" t="str">
        <f t="shared" si="82"/>
        <v>MAX : 0.552
TARGET : 0.492
MIN : 0.432</v>
      </c>
    </row>
    <row r="5295" spans="2:17" ht="41.4" x14ac:dyDescent="0.3">
      <c r="B5295">
        <v>0</v>
      </c>
      <c r="C5295" s="33">
        <v>9120</v>
      </c>
      <c r="D5295" s="2">
        <v>1452</v>
      </c>
      <c r="E5295" s="2" t="s">
        <v>12597</v>
      </c>
      <c r="F5295" s="3" t="s">
        <v>14255</v>
      </c>
      <c r="H5295" s="3" t="s">
        <v>4941</v>
      </c>
      <c r="K5295" s="2">
        <v>30</v>
      </c>
      <c r="L5295" s="2">
        <v>3</v>
      </c>
      <c r="M5295" s="3" t="s">
        <v>714</v>
      </c>
      <c r="N5295" s="3" t="s">
        <v>4958</v>
      </c>
      <c r="O5295" s="3" t="s">
        <v>4943</v>
      </c>
      <c r="P5295" s="3" t="s">
        <v>4944</v>
      </c>
      <c r="Q5295" s="30" t="str">
        <f t="shared" si="82"/>
        <v>MAX : 20.21
TARGET : 19.83
MIN : 19.42</v>
      </c>
    </row>
    <row r="5296" spans="2:17" ht="41.4" x14ac:dyDescent="0.3">
      <c r="B5296">
        <v>0</v>
      </c>
      <c r="C5296" s="33">
        <v>9120</v>
      </c>
      <c r="D5296" s="2">
        <v>1452</v>
      </c>
      <c r="E5296" s="2" t="s">
        <v>12597</v>
      </c>
      <c r="F5296" s="3" t="s">
        <v>14255</v>
      </c>
      <c r="H5296" s="3" t="s">
        <v>4941</v>
      </c>
      <c r="K5296" s="2">
        <v>30</v>
      </c>
      <c r="L5296" s="2">
        <v>4</v>
      </c>
      <c r="M5296" s="3" t="s">
        <v>4949</v>
      </c>
      <c r="N5296" s="3" t="s">
        <v>4950</v>
      </c>
      <c r="O5296" s="3" t="s">
        <v>4951</v>
      </c>
      <c r="P5296" s="3" t="s">
        <v>1334</v>
      </c>
      <c r="Q5296" s="30" t="str">
        <f t="shared" si="82"/>
        <v>MAX : 12.94
TARGET : 12.64
MIN : 12.34</v>
      </c>
    </row>
    <row r="5297" spans="2:17" ht="41.4" x14ac:dyDescent="0.3">
      <c r="B5297">
        <v>0</v>
      </c>
      <c r="C5297" s="33">
        <v>9120</v>
      </c>
      <c r="D5297" s="2">
        <v>1452</v>
      </c>
      <c r="E5297" s="2" t="s">
        <v>12597</v>
      </c>
      <c r="F5297" s="3" t="s">
        <v>14255</v>
      </c>
      <c r="H5297" s="3" t="s">
        <v>4941</v>
      </c>
      <c r="K5297" s="2">
        <v>30</v>
      </c>
      <c r="L5297" s="2">
        <v>5</v>
      </c>
      <c r="M5297" s="3" t="s">
        <v>5541</v>
      </c>
      <c r="N5297" s="3" t="s">
        <v>5542</v>
      </c>
      <c r="O5297" s="3" t="s">
        <v>4217</v>
      </c>
      <c r="P5297" s="3" t="s">
        <v>5019</v>
      </c>
      <c r="Q5297" s="30" t="str">
        <f t="shared" si="82"/>
        <v>MAX : 25.30
TARGET : 25.00
MIN : 24.70</v>
      </c>
    </row>
    <row r="5298" spans="2:17" ht="41.4" x14ac:dyDescent="0.3">
      <c r="B5298">
        <v>0</v>
      </c>
      <c r="C5298" s="33">
        <v>9120</v>
      </c>
      <c r="D5298" s="2">
        <v>1452</v>
      </c>
      <c r="E5298" s="2" t="s">
        <v>12597</v>
      </c>
      <c r="F5298" s="3" t="s">
        <v>14255</v>
      </c>
      <c r="H5298" s="3" t="s">
        <v>4941</v>
      </c>
      <c r="K5298" s="2">
        <v>30</v>
      </c>
      <c r="L5298" s="2">
        <v>6</v>
      </c>
      <c r="M5298" s="3" t="s">
        <v>715</v>
      </c>
      <c r="N5298" s="3" t="s">
        <v>4946</v>
      </c>
      <c r="O5298" s="3" t="s">
        <v>4947</v>
      </c>
      <c r="P5298" s="3" t="s">
        <v>4948</v>
      </c>
      <c r="Q5298" s="30" t="str">
        <f t="shared" si="82"/>
        <v>MAX : 26.80
TARGET : 26.42
MIN : 26.04</v>
      </c>
    </row>
    <row r="5299" spans="2:17" ht="41.4" x14ac:dyDescent="0.3">
      <c r="B5299">
        <v>0</v>
      </c>
      <c r="C5299" s="33">
        <v>9120</v>
      </c>
      <c r="D5299" s="2">
        <v>1452</v>
      </c>
      <c r="E5299" s="2" t="s">
        <v>12597</v>
      </c>
      <c r="F5299" s="3" t="s">
        <v>14255</v>
      </c>
      <c r="H5299" s="3" t="s">
        <v>4941</v>
      </c>
      <c r="K5299" s="2">
        <v>30</v>
      </c>
      <c r="L5299" s="2">
        <v>7</v>
      </c>
      <c r="M5299" s="3" t="s">
        <v>4952</v>
      </c>
      <c r="N5299" s="3" t="s">
        <v>4028</v>
      </c>
      <c r="O5299" s="3" t="s">
        <v>2999</v>
      </c>
      <c r="P5299" s="3" t="s">
        <v>4953</v>
      </c>
      <c r="Q5299" s="30" t="str">
        <f t="shared" si="82"/>
        <v>MAX : 6.3
TARGET : 5.8
MIN : 5.3</v>
      </c>
    </row>
    <row r="5300" spans="2:17" ht="41.4" x14ac:dyDescent="0.3">
      <c r="B5300">
        <v>0</v>
      </c>
      <c r="C5300" s="33">
        <v>9120</v>
      </c>
      <c r="D5300" s="2">
        <v>1452</v>
      </c>
      <c r="E5300" s="2" t="s">
        <v>12597</v>
      </c>
      <c r="F5300" s="3" t="s">
        <v>14255</v>
      </c>
      <c r="H5300" s="3" t="s">
        <v>4941</v>
      </c>
      <c r="K5300" s="2">
        <v>30</v>
      </c>
      <c r="L5300" s="2">
        <v>8</v>
      </c>
      <c r="M5300" s="3" t="s">
        <v>5538</v>
      </c>
      <c r="N5300" s="3" t="s">
        <v>4028</v>
      </c>
      <c r="O5300" s="3" t="s">
        <v>2999</v>
      </c>
      <c r="P5300" s="3" t="s">
        <v>4953</v>
      </c>
      <c r="Q5300" s="30" t="str">
        <f t="shared" si="82"/>
        <v>MAX : 6.3
TARGET : 5.8
MIN : 5.3</v>
      </c>
    </row>
    <row r="5301" spans="2:17" ht="41.4" x14ac:dyDescent="0.3">
      <c r="B5301">
        <v>0</v>
      </c>
      <c r="C5301" s="33">
        <v>9120</v>
      </c>
      <c r="D5301" s="2">
        <v>1452</v>
      </c>
      <c r="E5301" s="2" t="s">
        <v>12597</v>
      </c>
      <c r="F5301" s="3" t="s">
        <v>14255</v>
      </c>
      <c r="H5301" s="3" t="s">
        <v>4941</v>
      </c>
      <c r="K5301" s="2">
        <v>30</v>
      </c>
      <c r="L5301" s="2">
        <v>9</v>
      </c>
      <c r="M5301" s="3" t="s">
        <v>4774</v>
      </c>
      <c r="N5301" s="3" t="s">
        <v>3828</v>
      </c>
      <c r="O5301" s="3" t="s">
        <v>3829</v>
      </c>
      <c r="P5301" s="3" t="s">
        <v>3830</v>
      </c>
      <c r="Q5301" s="30" t="str">
        <f t="shared" si="82"/>
        <v>MAX : 38.6
TARGET : 38.1
MIN : 37.6</v>
      </c>
    </row>
    <row r="5302" spans="2:17" ht="41.4" x14ac:dyDescent="0.3">
      <c r="B5302">
        <v>0</v>
      </c>
      <c r="C5302" s="33">
        <v>9120</v>
      </c>
      <c r="D5302" s="2">
        <v>1452</v>
      </c>
      <c r="E5302" s="2" t="s">
        <v>12597</v>
      </c>
      <c r="F5302" s="3" t="s">
        <v>14255</v>
      </c>
      <c r="H5302" s="3" t="s">
        <v>4941</v>
      </c>
      <c r="K5302" s="2">
        <v>30</v>
      </c>
      <c r="L5302" s="2">
        <v>10</v>
      </c>
      <c r="M5302" s="3" t="s">
        <v>1587</v>
      </c>
      <c r="N5302" s="3" t="s">
        <v>1648</v>
      </c>
      <c r="O5302" s="3" t="s">
        <v>1649</v>
      </c>
      <c r="P5302" s="3" t="s">
        <v>1650</v>
      </c>
      <c r="Q5302" s="30" t="str">
        <f t="shared" si="82"/>
        <v>MAX : 25.9
TARGET : 25.4
MIN : 24.9</v>
      </c>
    </row>
    <row r="5303" spans="2:17" ht="41.4" x14ac:dyDescent="0.3">
      <c r="B5303">
        <v>1</v>
      </c>
      <c r="C5303" s="33">
        <v>9145</v>
      </c>
      <c r="D5303" s="2">
        <v>2080</v>
      </c>
      <c r="E5303" s="2" t="s">
        <v>12744</v>
      </c>
      <c r="F5303" s="3" t="s">
        <v>14206</v>
      </c>
      <c r="H5303" s="3" t="s">
        <v>5677</v>
      </c>
      <c r="I5303" s="3" t="s">
        <v>487</v>
      </c>
      <c r="K5303" s="2">
        <v>10</v>
      </c>
      <c r="L5303" s="2">
        <v>1</v>
      </c>
      <c r="M5303" s="3" t="s">
        <v>458</v>
      </c>
      <c r="N5303" s="3" t="s">
        <v>5681</v>
      </c>
      <c r="O5303" s="3" t="s">
        <v>5682</v>
      </c>
      <c r="P5303" s="3" t="s">
        <v>5683</v>
      </c>
      <c r="Q5303" s="30" t="str">
        <f t="shared" si="82"/>
        <v>MAX : 0.798
TARGET : 0.738
MIN : 0.678</v>
      </c>
    </row>
    <row r="5304" spans="2:17" ht="41.4" x14ac:dyDescent="0.3">
      <c r="B5304">
        <v>1</v>
      </c>
      <c r="C5304" s="33">
        <v>9146</v>
      </c>
      <c r="D5304" s="2">
        <v>2081</v>
      </c>
      <c r="E5304" s="2" t="s">
        <v>12750</v>
      </c>
      <c r="F5304" s="3" t="s">
        <v>14206</v>
      </c>
      <c r="H5304" s="3" t="s">
        <v>5677</v>
      </c>
      <c r="I5304" s="3" t="s">
        <v>487</v>
      </c>
      <c r="K5304" s="2">
        <v>10</v>
      </c>
      <c r="L5304" s="2">
        <v>1</v>
      </c>
      <c r="M5304" s="3" t="s">
        <v>458</v>
      </c>
      <c r="N5304" s="3" t="s">
        <v>5684</v>
      </c>
      <c r="O5304" s="3" t="s">
        <v>1956</v>
      </c>
      <c r="P5304" s="3" t="s">
        <v>5685</v>
      </c>
      <c r="Q5304" s="30" t="str">
        <f t="shared" si="82"/>
        <v>MAX : 1.044
TARGET : 0.984
MIN : 0.924</v>
      </c>
    </row>
    <row r="5305" spans="2:17" ht="41.4" x14ac:dyDescent="0.3">
      <c r="B5305">
        <v>0</v>
      </c>
      <c r="C5305" s="33">
        <v>9220</v>
      </c>
      <c r="D5305" s="2">
        <v>1516</v>
      </c>
      <c r="E5305" s="2" t="s">
        <v>13177</v>
      </c>
      <c r="F5305" s="3" t="s">
        <v>14206</v>
      </c>
      <c r="G5305" s="3" t="s">
        <v>496</v>
      </c>
      <c r="H5305" s="3" t="s">
        <v>426</v>
      </c>
      <c r="K5305" s="2">
        <v>20</v>
      </c>
      <c r="L5305" s="2">
        <v>3</v>
      </c>
      <c r="M5305" s="3" t="s">
        <v>198</v>
      </c>
      <c r="N5305" s="3" t="s">
        <v>1943</v>
      </c>
      <c r="O5305" s="3" t="s">
        <v>1454</v>
      </c>
      <c r="P5305" s="3" t="s">
        <v>5549</v>
      </c>
      <c r="Q5305" s="30" t="str">
        <f t="shared" si="82"/>
        <v>MAX : 1.295
TARGET : 1.280
MIN : 1.265</v>
      </c>
    </row>
    <row r="5306" spans="2:17" ht="41.4" x14ac:dyDescent="0.3">
      <c r="B5306">
        <v>0</v>
      </c>
      <c r="C5306" s="33">
        <v>9220</v>
      </c>
      <c r="D5306" s="2">
        <v>1516</v>
      </c>
      <c r="E5306" s="2" t="s">
        <v>13177</v>
      </c>
      <c r="F5306" s="3" t="s">
        <v>14206</v>
      </c>
      <c r="G5306" s="3" t="s">
        <v>496</v>
      </c>
      <c r="H5306" s="3" t="s">
        <v>426</v>
      </c>
      <c r="K5306" s="2">
        <v>20</v>
      </c>
      <c r="L5306" s="2">
        <v>4</v>
      </c>
      <c r="M5306" s="3" t="s">
        <v>3426</v>
      </c>
      <c r="N5306" s="3" t="s">
        <v>5550</v>
      </c>
      <c r="O5306" s="3" t="s">
        <v>1953</v>
      </c>
      <c r="P5306" s="3" t="s">
        <v>5551</v>
      </c>
      <c r="Q5306" s="30" t="str">
        <f t="shared" si="82"/>
        <v>MAX : 1.078
TARGET : 1.063
MIN : 1.048</v>
      </c>
    </row>
    <row r="5307" spans="2:17" ht="41.4" x14ac:dyDescent="0.3">
      <c r="B5307">
        <v>0</v>
      </c>
      <c r="C5307" s="33">
        <v>9220</v>
      </c>
      <c r="D5307" s="2">
        <v>1516</v>
      </c>
      <c r="E5307" s="2" t="s">
        <v>13177</v>
      </c>
      <c r="F5307" s="3" t="s">
        <v>14206</v>
      </c>
      <c r="G5307" s="3" t="s">
        <v>496</v>
      </c>
      <c r="H5307" s="3" t="s">
        <v>426</v>
      </c>
      <c r="K5307" s="2">
        <v>20</v>
      </c>
      <c r="L5307" s="2">
        <v>5</v>
      </c>
      <c r="M5307" s="3" t="s">
        <v>5552</v>
      </c>
      <c r="N5307" s="3" t="s">
        <v>5531</v>
      </c>
      <c r="O5307" s="3" t="s">
        <v>5553</v>
      </c>
      <c r="P5307" s="3" t="s">
        <v>5554</v>
      </c>
      <c r="Q5307" s="30" t="str">
        <f t="shared" si="82"/>
        <v>MAX : 0.224
TARGET : 0.209
MIN : 0.194</v>
      </c>
    </row>
    <row r="5308" spans="2:17" ht="41.4" x14ac:dyDescent="0.3">
      <c r="B5308">
        <v>0</v>
      </c>
      <c r="C5308" s="33">
        <v>9220</v>
      </c>
      <c r="D5308" s="2">
        <v>1516</v>
      </c>
      <c r="E5308" s="2" t="s">
        <v>13177</v>
      </c>
      <c r="F5308" s="3" t="s">
        <v>14206</v>
      </c>
      <c r="G5308" s="3" t="s">
        <v>496</v>
      </c>
      <c r="H5308" s="3" t="s">
        <v>426</v>
      </c>
      <c r="K5308" s="2">
        <v>20</v>
      </c>
      <c r="L5308" s="2">
        <v>7</v>
      </c>
      <c r="M5308" s="3" t="s">
        <v>5555</v>
      </c>
      <c r="N5308" s="3" t="s">
        <v>13</v>
      </c>
      <c r="O5308" s="3" t="s">
        <v>14</v>
      </c>
      <c r="Q5308" s="30" t="str">
        <f t="shared" si="82"/>
        <v>MAX : 
TARGET : Yes(Pass)
MIN : No(Fail)</v>
      </c>
    </row>
    <row r="5309" spans="2:17" ht="41.4" x14ac:dyDescent="0.3">
      <c r="B5309">
        <v>0</v>
      </c>
      <c r="C5309" s="33">
        <v>9220</v>
      </c>
      <c r="D5309" s="2">
        <v>1516</v>
      </c>
      <c r="E5309" s="2" t="s">
        <v>13177</v>
      </c>
      <c r="F5309" s="3" t="s">
        <v>14206</v>
      </c>
      <c r="G5309" s="3" t="s">
        <v>496</v>
      </c>
      <c r="H5309" s="3" t="s">
        <v>426</v>
      </c>
      <c r="K5309" s="2">
        <v>20</v>
      </c>
      <c r="L5309" s="2">
        <v>8</v>
      </c>
      <c r="M5309" s="3" t="s">
        <v>5556</v>
      </c>
      <c r="N5309" s="3" t="s">
        <v>13</v>
      </c>
      <c r="O5309" s="3" t="s">
        <v>14</v>
      </c>
      <c r="Q5309" s="30" t="str">
        <f t="shared" si="82"/>
        <v>MAX : 
TARGET : Yes(Pass)
MIN : No(Fail)</v>
      </c>
    </row>
    <row r="5310" spans="2:17" ht="41.4" x14ac:dyDescent="0.3">
      <c r="B5310">
        <v>0</v>
      </c>
      <c r="C5310" s="33">
        <v>9220</v>
      </c>
      <c r="D5310" s="2">
        <v>1516</v>
      </c>
      <c r="E5310" s="2" t="s">
        <v>13177</v>
      </c>
      <c r="F5310" s="3" t="s">
        <v>14206</v>
      </c>
      <c r="G5310" s="3" t="s">
        <v>496</v>
      </c>
      <c r="H5310" s="3" t="s">
        <v>426</v>
      </c>
      <c r="K5310" s="2">
        <v>20</v>
      </c>
      <c r="L5310" s="2">
        <v>9</v>
      </c>
      <c r="M5310" s="3" t="s">
        <v>5557</v>
      </c>
      <c r="N5310" s="3" t="s">
        <v>13</v>
      </c>
      <c r="O5310" s="3" t="s">
        <v>14</v>
      </c>
      <c r="Q5310" s="30" t="str">
        <f t="shared" si="82"/>
        <v>MAX : 
TARGET : Yes(Pass)
MIN : No(Fail)</v>
      </c>
    </row>
    <row r="5311" spans="2:17" ht="41.4" x14ac:dyDescent="0.3">
      <c r="B5311">
        <v>1</v>
      </c>
      <c r="C5311" s="33">
        <v>9147</v>
      </c>
      <c r="D5311" s="2">
        <v>2082</v>
      </c>
      <c r="E5311" s="2" t="s">
        <v>12756</v>
      </c>
      <c r="F5311" s="3" t="s">
        <v>14207</v>
      </c>
      <c r="H5311" s="3" t="s">
        <v>289</v>
      </c>
      <c r="K5311" s="2">
        <v>20</v>
      </c>
      <c r="L5311" s="2">
        <v>2</v>
      </c>
      <c r="M5311" s="3" t="s">
        <v>5093</v>
      </c>
      <c r="N5311" s="3" t="s">
        <v>5094</v>
      </c>
      <c r="O5311" s="3" t="s">
        <v>5095</v>
      </c>
      <c r="P5311" s="3" t="s">
        <v>5096</v>
      </c>
      <c r="Q5311" s="30" t="str">
        <f t="shared" si="82"/>
        <v>MAX : 281.5
TARGET : 280.0
MIN : 278.5</v>
      </c>
    </row>
    <row r="5312" spans="2:17" ht="41.4" x14ac:dyDescent="0.3">
      <c r="B5312">
        <v>1</v>
      </c>
      <c r="C5312" s="33">
        <v>9147</v>
      </c>
      <c r="D5312" s="2">
        <v>2082</v>
      </c>
      <c r="E5312" s="2" t="s">
        <v>12756</v>
      </c>
      <c r="F5312" s="3" t="s">
        <v>14207</v>
      </c>
      <c r="H5312" s="3" t="s">
        <v>289</v>
      </c>
      <c r="K5312" s="2">
        <v>20</v>
      </c>
      <c r="L5312" s="2">
        <v>1</v>
      </c>
      <c r="M5312" s="3" t="s">
        <v>5089</v>
      </c>
      <c r="N5312" s="3" t="s">
        <v>5090</v>
      </c>
      <c r="O5312" s="3" t="s">
        <v>5091</v>
      </c>
      <c r="P5312" s="3" t="s">
        <v>5092</v>
      </c>
      <c r="Q5312" s="30" t="str">
        <f t="shared" si="82"/>
        <v>MAX : 271.5
TARGET : 270.0
MIN : 268.5</v>
      </c>
    </row>
    <row r="5313" spans="2:18" ht="41.4" x14ac:dyDescent="0.3">
      <c r="B5313">
        <v>1</v>
      </c>
      <c r="C5313" s="33">
        <v>9148</v>
      </c>
      <c r="D5313" s="2">
        <v>1470</v>
      </c>
      <c r="E5313" s="2" t="s">
        <v>12762</v>
      </c>
      <c r="F5313" s="3" t="s">
        <v>14207</v>
      </c>
      <c r="H5313" s="3" t="s">
        <v>824</v>
      </c>
      <c r="K5313" s="2">
        <v>10</v>
      </c>
      <c r="L5313" s="2">
        <v>2</v>
      </c>
      <c r="M5313" s="3" t="s">
        <v>4597</v>
      </c>
      <c r="N5313" s="3" t="s">
        <v>897</v>
      </c>
      <c r="O5313" s="3" t="s">
        <v>632</v>
      </c>
      <c r="P5313" s="3" t="s">
        <v>898</v>
      </c>
      <c r="Q5313" s="30" t="str">
        <f t="shared" si="82"/>
        <v>MAX : 26
TARGET : 25
MIN : 24</v>
      </c>
      <c r="R5313" s="3" t="s">
        <v>4520</v>
      </c>
    </row>
    <row r="5314" spans="2:18" ht="41.4" x14ac:dyDescent="0.3">
      <c r="B5314">
        <v>1</v>
      </c>
      <c r="C5314" s="33">
        <v>9148</v>
      </c>
      <c r="D5314" s="2">
        <v>1470</v>
      </c>
      <c r="E5314" s="2" t="s">
        <v>12762</v>
      </c>
      <c r="F5314" s="3" t="s">
        <v>14207</v>
      </c>
      <c r="H5314" s="3" t="s">
        <v>824</v>
      </c>
      <c r="K5314" s="2">
        <v>10</v>
      </c>
      <c r="L5314" s="2">
        <v>1</v>
      </c>
      <c r="M5314" s="3" t="s">
        <v>5110</v>
      </c>
      <c r="N5314" s="3" t="s">
        <v>2104</v>
      </c>
      <c r="O5314" s="3" t="s">
        <v>388</v>
      </c>
      <c r="P5314" s="3" t="s">
        <v>4953</v>
      </c>
      <c r="Q5314" s="30" t="str">
        <f t="shared" ref="Q5314:Q5377" si="83">"MAX : " &amp; P5314 &amp; CHAR(10) &amp; "TARGET : " &amp; O5314 &amp; CHAR(10) &amp; "MIN : " &amp; N5314</f>
        <v>MAX : 6.3
TARGET : 6.0
MIN : 5.7</v>
      </c>
      <c r="R5314" s="3" t="s">
        <v>4520</v>
      </c>
    </row>
    <row r="5315" spans="2:18" ht="41.4" x14ac:dyDescent="0.3">
      <c r="B5315">
        <v>1</v>
      </c>
      <c r="C5315" s="33">
        <v>9149</v>
      </c>
      <c r="D5315" s="2">
        <v>1471</v>
      </c>
      <c r="E5315" s="2" t="s">
        <v>12768</v>
      </c>
      <c r="F5315" s="3" t="s">
        <v>14207</v>
      </c>
      <c r="H5315" s="3" t="s">
        <v>41</v>
      </c>
      <c r="K5315" s="2">
        <v>20</v>
      </c>
      <c r="L5315" s="2">
        <v>4</v>
      </c>
      <c r="M5315" s="3" t="s">
        <v>4881</v>
      </c>
      <c r="N5315" s="3" t="s">
        <v>24</v>
      </c>
      <c r="O5315" s="3" t="s">
        <v>25</v>
      </c>
      <c r="Q5315" s="30" t="str">
        <f t="shared" si="83"/>
        <v>MAX : 
TARGET : Yes (Pass)
MIN : No (Fail)</v>
      </c>
    </row>
    <row r="5316" spans="2:18" ht="41.4" x14ac:dyDescent="0.3">
      <c r="B5316">
        <v>1</v>
      </c>
      <c r="C5316" s="33">
        <v>9149</v>
      </c>
      <c r="D5316" s="2">
        <v>1471</v>
      </c>
      <c r="E5316" s="2" t="s">
        <v>12768</v>
      </c>
      <c r="F5316" s="3" t="s">
        <v>14207</v>
      </c>
      <c r="H5316" s="3" t="s">
        <v>41</v>
      </c>
      <c r="K5316" s="2">
        <v>20</v>
      </c>
      <c r="L5316" s="2">
        <v>1</v>
      </c>
      <c r="M5316" s="3" t="s">
        <v>1293</v>
      </c>
      <c r="N5316" s="3" t="s">
        <v>5104</v>
      </c>
      <c r="O5316" s="3" t="s">
        <v>1295</v>
      </c>
      <c r="P5316" s="3" t="s">
        <v>5105</v>
      </c>
      <c r="Q5316" s="30" t="str">
        <f t="shared" si="83"/>
        <v>MAX : 561.98
TARGET : 558.80
MIN : 555.62</v>
      </c>
    </row>
    <row r="5317" spans="2:18" ht="41.4" x14ac:dyDescent="0.3">
      <c r="B5317">
        <v>0</v>
      </c>
      <c r="C5317" s="33">
        <v>9228</v>
      </c>
      <c r="D5317" s="2">
        <v>1522</v>
      </c>
      <c r="E5317" s="2" t="s">
        <v>13227</v>
      </c>
      <c r="F5317" s="3" t="s">
        <v>14206</v>
      </c>
      <c r="G5317" s="3" t="s">
        <v>5563</v>
      </c>
      <c r="H5317" s="3" t="s">
        <v>656</v>
      </c>
      <c r="K5317" s="2">
        <v>20</v>
      </c>
      <c r="L5317" s="2">
        <v>3</v>
      </c>
      <c r="M5317" s="3" t="s">
        <v>78</v>
      </c>
      <c r="N5317" s="3" t="s">
        <v>13</v>
      </c>
      <c r="O5317" s="3" t="s">
        <v>14</v>
      </c>
      <c r="Q5317" s="30" t="str">
        <f t="shared" si="83"/>
        <v>MAX : 
TARGET : Yes(Pass)
MIN : No(Fail)</v>
      </c>
    </row>
    <row r="5318" spans="2:18" ht="41.4" x14ac:dyDescent="0.3">
      <c r="B5318">
        <v>1</v>
      </c>
      <c r="C5318" s="33">
        <v>9150</v>
      </c>
      <c r="D5318" s="2">
        <v>1472</v>
      </c>
      <c r="E5318" s="2" t="s">
        <v>12774</v>
      </c>
      <c r="F5318" s="29" t="s">
        <v>14257</v>
      </c>
      <c r="H5318" s="3" t="s">
        <v>648</v>
      </c>
      <c r="K5318" s="2">
        <v>10</v>
      </c>
      <c r="L5318" s="2">
        <v>3</v>
      </c>
      <c r="M5318" s="3" t="s">
        <v>194</v>
      </c>
      <c r="N5318" s="3" t="s">
        <v>748</v>
      </c>
      <c r="O5318" s="3" t="s">
        <v>385</v>
      </c>
      <c r="P5318" s="3" t="s">
        <v>2235</v>
      </c>
      <c r="Q5318" s="30" t="str">
        <f t="shared" si="83"/>
        <v>MAX : 2.15
TARGET : 2.07
MIN : 1.98</v>
      </c>
    </row>
    <row r="5319" spans="2:18" ht="41.4" x14ac:dyDescent="0.3">
      <c r="B5319">
        <v>1</v>
      </c>
      <c r="C5319" s="33">
        <v>9150</v>
      </c>
      <c r="D5319" s="2">
        <v>1472</v>
      </c>
      <c r="E5319" s="2" t="s">
        <v>12774</v>
      </c>
      <c r="F5319" s="29" t="s">
        <v>14257</v>
      </c>
      <c r="H5319" s="3" t="s">
        <v>648</v>
      </c>
      <c r="K5319" s="2">
        <v>10</v>
      </c>
      <c r="L5319" s="2">
        <v>2</v>
      </c>
      <c r="M5319" s="3" t="s">
        <v>198</v>
      </c>
      <c r="N5319" s="3" t="s">
        <v>5187</v>
      </c>
      <c r="O5319" s="3" t="s">
        <v>3625</v>
      </c>
      <c r="P5319" s="3" t="s">
        <v>2321</v>
      </c>
      <c r="Q5319" s="30" t="str">
        <f t="shared" si="83"/>
        <v>MAX : 5.81
TARGET : 5.70
MIN : 5.60</v>
      </c>
    </row>
    <row r="5320" spans="2:18" ht="41.4" x14ac:dyDescent="0.3">
      <c r="B5320">
        <v>0</v>
      </c>
      <c r="C5320" s="33">
        <v>9229</v>
      </c>
      <c r="D5320" s="2">
        <v>1523</v>
      </c>
      <c r="E5320" s="2" t="s">
        <v>13233</v>
      </c>
      <c r="F5320" s="3" t="s">
        <v>14206</v>
      </c>
      <c r="G5320" s="3" t="s">
        <v>5563</v>
      </c>
      <c r="H5320" s="3" t="s">
        <v>656</v>
      </c>
      <c r="K5320" s="2">
        <v>20</v>
      </c>
      <c r="L5320" s="2">
        <v>3</v>
      </c>
      <c r="M5320" s="3" t="s">
        <v>78</v>
      </c>
      <c r="N5320" s="3" t="s">
        <v>13</v>
      </c>
      <c r="O5320" s="3" t="s">
        <v>14</v>
      </c>
      <c r="Q5320" s="30" t="str">
        <f t="shared" si="83"/>
        <v>MAX : 
TARGET : Yes(Pass)
MIN : No(Fail)</v>
      </c>
      <c r="R5320" s="3" t="s">
        <v>5564</v>
      </c>
    </row>
    <row r="5321" spans="2:18" ht="41.4" x14ac:dyDescent="0.3">
      <c r="B5321">
        <v>1</v>
      </c>
      <c r="C5321" s="33">
        <v>9150</v>
      </c>
      <c r="D5321" s="2">
        <v>1472</v>
      </c>
      <c r="E5321" s="2" t="s">
        <v>12774</v>
      </c>
      <c r="F5321" s="29" t="s">
        <v>14257</v>
      </c>
      <c r="H5321" s="3" t="s">
        <v>648</v>
      </c>
      <c r="K5321" s="2">
        <v>10</v>
      </c>
      <c r="L5321" s="2">
        <v>5.0999999999999996</v>
      </c>
      <c r="Q5321" s="30" t="str">
        <f t="shared" si="83"/>
        <v xml:space="preserve">MAX : 
TARGET : 
MIN : </v>
      </c>
    </row>
    <row r="5322" spans="2:18" ht="41.4" x14ac:dyDescent="0.3">
      <c r="B5322">
        <v>1</v>
      </c>
      <c r="C5322" s="33">
        <v>9150</v>
      </c>
      <c r="D5322" s="2">
        <v>1472</v>
      </c>
      <c r="E5322" s="2" t="s">
        <v>12774</v>
      </c>
      <c r="F5322" s="29" t="s">
        <v>14257</v>
      </c>
      <c r="H5322" s="3" t="s">
        <v>648</v>
      </c>
      <c r="K5322" s="2">
        <v>20</v>
      </c>
      <c r="L5322" s="2">
        <v>6</v>
      </c>
      <c r="M5322" s="3" t="s">
        <v>5819</v>
      </c>
      <c r="N5322" s="3" t="s">
        <v>1619</v>
      </c>
      <c r="O5322" s="3" t="s">
        <v>1620</v>
      </c>
      <c r="Q5322" s="30" t="str">
        <f t="shared" si="83"/>
        <v>MAX : 
TARGET : Yes (pass)
MIN : No (fail)</v>
      </c>
    </row>
    <row r="5323" spans="2:18" ht="41.4" x14ac:dyDescent="0.3">
      <c r="B5323">
        <v>1</v>
      </c>
      <c r="C5323" s="33">
        <v>9150</v>
      </c>
      <c r="D5323" s="2">
        <v>1472</v>
      </c>
      <c r="E5323" s="2" t="s">
        <v>12774</v>
      </c>
      <c r="F5323" s="29" t="s">
        <v>14257</v>
      </c>
      <c r="H5323" s="3" t="s">
        <v>648</v>
      </c>
      <c r="K5323" s="2">
        <v>10</v>
      </c>
      <c r="L5323" s="2">
        <v>5.2</v>
      </c>
      <c r="Q5323" s="30" t="str">
        <f t="shared" si="83"/>
        <v xml:space="preserve">MAX : 
TARGET : 
MIN : </v>
      </c>
    </row>
    <row r="5324" spans="2:18" ht="41.4" x14ac:dyDescent="0.3">
      <c r="B5324">
        <v>1</v>
      </c>
      <c r="C5324" s="33">
        <v>9151</v>
      </c>
      <c r="D5324" s="2">
        <v>1473</v>
      </c>
      <c r="E5324" s="2" t="s">
        <v>12782</v>
      </c>
      <c r="F5324" s="3" t="s">
        <v>14206</v>
      </c>
      <c r="H5324" s="3" t="s">
        <v>3123</v>
      </c>
      <c r="K5324" s="2">
        <v>10</v>
      </c>
      <c r="L5324" s="2">
        <v>2</v>
      </c>
      <c r="M5324" s="3" t="s">
        <v>5120</v>
      </c>
      <c r="N5324" s="3" t="s">
        <v>3359</v>
      </c>
      <c r="O5324" s="3" t="s">
        <v>860</v>
      </c>
      <c r="P5324" s="3" t="s">
        <v>3360</v>
      </c>
      <c r="Q5324" s="30" t="str">
        <f t="shared" si="83"/>
        <v>MAX : 18.03
TARGET : 18.00
MIN : 17.97</v>
      </c>
    </row>
    <row r="5325" spans="2:18" ht="41.4" x14ac:dyDescent="0.3">
      <c r="B5325">
        <v>0</v>
      </c>
      <c r="C5325" s="33">
        <v>9230</v>
      </c>
      <c r="D5325" s="2">
        <v>1524</v>
      </c>
      <c r="E5325" s="2" t="s">
        <v>13239</v>
      </c>
      <c r="F5325" s="29" t="s">
        <v>14261</v>
      </c>
      <c r="H5325" s="3" t="s">
        <v>3587</v>
      </c>
      <c r="K5325" s="2">
        <v>20</v>
      </c>
      <c r="L5325" s="2">
        <v>3</v>
      </c>
      <c r="M5325" s="3" t="s">
        <v>2825</v>
      </c>
      <c r="N5325" s="3" t="s">
        <v>13</v>
      </c>
      <c r="O5325" s="3" t="s">
        <v>14</v>
      </c>
      <c r="Q5325" s="30" t="str">
        <f t="shared" si="83"/>
        <v>MAX : 
TARGET : Yes(Pass)
MIN : No(Fail)</v>
      </c>
    </row>
    <row r="5326" spans="2:18" ht="41.4" x14ac:dyDescent="0.3">
      <c r="B5326">
        <v>1</v>
      </c>
      <c r="C5326" s="33">
        <v>9151</v>
      </c>
      <c r="D5326" s="2">
        <v>1473</v>
      </c>
      <c r="E5326" s="2" t="s">
        <v>12782</v>
      </c>
      <c r="F5326" s="3" t="s">
        <v>14206</v>
      </c>
      <c r="H5326" s="3" t="s">
        <v>3123</v>
      </c>
      <c r="K5326" s="2">
        <v>10</v>
      </c>
      <c r="L5326" s="2">
        <v>1</v>
      </c>
      <c r="M5326" s="3" t="s">
        <v>5119</v>
      </c>
      <c r="N5326" s="3" t="s">
        <v>3359</v>
      </c>
      <c r="O5326" s="3" t="s">
        <v>860</v>
      </c>
      <c r="P5326" s="3" t="s">
        <v>3360</v>
      </c>
      <c r="Q5326" s="30" t="str">
        <f t="shared" si="83"/>
        <v>MAX : 18.03
TARGET : 18.00
MIN : 17.97</v>
      </c>
    </row>
    <row r="5327" spans="2:18" ht="41.4" x14ac:dyDescent="0.3">
      <c r="B5327">
        <v>1</v>
      </c>
      <c r="C5327" s="33">
        <v>9152</v>
      </c>
      <c r="D5327" s="2">
        <v>1474</v>
      </c>
      <c r="E5327" s="2" t="s">
        <v>12790</v>
      </c>
      <c r="F5327" s="3" t="s">
        <v>14207</v>
      </c>
      <c r="H5327" s="3" t="s">
        <v>600</v>
      </c>
      <c r="K5327" s="2">
        <v>20</v>
      </c>
      <c r="L5327" s="2">
        <v>2</v>
      </c>
      <c r="M5327" s="3" t="s">
        <v>570</v>
      </c>
      <c r="N5327" s="3" t="s">
        <v>4854</v>
      </c>
      <c r="O5327" s="3" t="s">
        <v>3061</v>
      </c>
      <c r="P5327" s="3" t="s">
        <v>1977</v>
      </c>
      <c r="Q5327" s="30" t="str">
        <f t="shared" si="83"/>
        <v>MAX : 11.25
TARGET : 11.00
MIN : 10.75</v>
      </c>
    </row>
    <row r="5328" spans="2:18" ht="41.4" x14ac:dyDescent="0.3">
      <c r="B5328">
        <v>1</v>
      </c>
      <c r="C5328" s="33">
        <v>9152</v>
      </c>
      <c r="D5328" s="2">
        <v>1474</v>
      </c>
      <c r="E5328" s="2" t="s">
        <v>12790</v>
      </c>
      <c r="F5328" s="3" t="s">
        <v>14207</v>
      </c>
      <c r="H5328" s="3" t="s">
        <v>600</v>
      </c>
      <c r="K5328" s="2">
        <v>20</v>
      </c>
      <c r="L5328" s="2">
        <v>1</v>
      </c>
      <c r="M5328" s="3" t="s">
        <v>1576</v>
      </c>
      <c r="N5328" s="3" t="s">
        <v>1671</v>
      </c>
      <c r="O5328" s="3" t="s">
        <v>855</v>
      </c>
      <c r="P5328" s="3" t="s">
        <v>1672</v>
      </c>
      <c r="Q5328" s="30" t="str">
        <f t="shared" si="83"/>
        <v>MAX : 15.25
TARGET : 15.00
MIN : 14.75</v>
      </c>
    </row>
    <row r="5329" spans="2:18" ht="41.4" x14ac:dyDescent="0.3">
      <c r="B5329">
        <v>1</v>
      </c>
      <c r="C5329" s="33">
        <v>9153</v>
      </c>
      <c r="D5329" s="2">
        <v>1475</v>
      </c>
      <c r="E5329" s="2" t="s">
        <v>12796</v>
      </c>
      <c r="F5329" s="3" t="s">
        <v>14206</v>
      </c>
      <c r="H5329" s="3" t="s">
        <v>713</v>
      </c>
      <c r="K5329" s="2">
        <v>10</v>
      </c>
      <c r="L5329" s="2">
        <v>2</v>
      </c>
      <c r="M5329" s="3" t="s">
        <v>198</v>
      </c>
      <c r="N5329" s="3" t="s">
        <v>5128</v>
      </c>
      <c r="O5329" s="3" t="s">
        <v>5129</v>
      </c>
      <c r="P5329" s="3" t="s">
        <v>5130</v>
      </c>
      <c r="Q5329" s="30" t="str">
        <f t="shared" si="83"/>
        <v>MAX : 3.89
TARGET : 3.86
MIN : 3.83</v>
      </c>
    </row>
    <row r="5330" spans="2:18" ht="41.4" x14ac:dyDescent="0.3">
      <c r="B5330">
        <v>1</v>
      </c>
      <c r="C5330" s="33">
        <v>9153</v>
      </c>
      <c r="D5330" s="2">
        <v>1475</v>
      </c>
      <c r="E5330" s="2" t="s">
        <v>12796</v>
      </c>
      <c r="F5330" s="3" t="s">
        <v>14206</v>
      </c>
      <c r="H5330" s="3" t="s">
        <v>713</v>
      </c>
      <c r="K5330" s="2">
        <v>10</v>
      </c>
      <c r="L5330" s="2">
        <v>1</v>
      </c>
      <c r="M5330" s="3" t="s">
        <v>194</v>
      </c>
      <c r="N5330" s="3" t="s">
        <v>5127</v>
      </c>
      <c r="O5330" s="3" t="s">
        <v>2371</v>
      </c>
      <c r="P5330" s="3" t="s">
        <v>626</v>
      </c>
      <c r="Q5330" s="30" t="str">
        <f t="shared" si="83"/>
        <v>MAX : 1.87
TARGET : 1.84
MIN : 1.81</v>
      </c>
    </row>
    <row r="5331" spans="2:18" ht="41.4" x14ac:dyDescent="0.3">
      <c r="B5331">
        <v>1</v>
      </c>
      <c r="C5331" s="33">
        <v>9154</v>
      </c>
      <c r="D5331" s="2">
        <v>2083</v>
      </c>
      <c r="E5331" s="2" t="s">
        <v>12802</v>
      </c>
      <c r="F5331" s="3" t="s">
        <v>14206</v>
      </c>
      <c r="H5331" s="3" t="s">
        <v>824</v>
      </c>
      <c r="K5331" s="2">
        <v>10</v>
      </c>
      <c r="L5331" s="2">
        <v>2</v>
      </c>
      <c r="M5331" s="3" t="s">
        <v>611</v>
      </c>
      <c r="N5331" s="3" t="s">
        <v>13</v>
      </c>
      <c r="O5331" s="3" t="s">
        <v>14</v>
      </c>
      <c r="Q5331" s="30" t="str">
        <f t="shared" si="83"/>
        <v>MAX : 
TARGET : Yes(Pass)
MIN : No(Fail)</v>
      </c>
      <c r="R5331" s="3" t="s">
        <v>5126</v>
      </c>
    </row>
    <row r="5332" spans="2:18" ht="41.4" x14ac:dyDescent="0.3">
      <c r="B5332">
        <v>1</v>
      </c>
      <c r="C5332" s="33">
        <v>9154</v>
      </c>
      <c r="D5332" s="2">
        <v>2083</v>
      </c>
      <c r="E5332" s="2" t="s">
        <v>12802</v>
      </c>
      <c r="F5332" s="3" t="s">
        <v>14206</v>
      </c>
      <c r="H5332" s="3" t="s">
        <v>824</v>
      </c>
      <c r="K5332" s="2">
        <v>10</v>
      </c>
      <c r="L5332" s="2">
        <v>1</v>
      </c>
      <c r="M5332" s="3" t="s">
        <v>458</v>
      </c>
      <c r="N5332" s="3" t="s">
        <v>5124</v>
      </c>
      <c r="O5332" s="3" t="s">
        <v>1196</v>
      </c>
      <c r="P5332" s="3" t="s">
        <v>5125</v>
      </c>
      <c r="Q5332" s="30" t="str">
        <f t="shared" si="83"/>
        <v>MAX : 24.53
TARGET : 24.50
MIN : 24.47</v>
      </c>
      <c r="R5332" s="3" t="s">
        <v>5126</v>
      </c>
    </row>
    <row r="5333" spans="2:18" ht="41.4" x14ac:dyDescent="0.3">
      <c r="B5333">
        <v>1</v>
      </c>
      <c r="C5333" s="33">
        <v>9155</v>
      </c>
      <c r="D5333" s="2">
        <v>1476</v>
      </c>
      <c r="E5333" s="2" t="s">
        <v>12810</v>
      </c>
      <c r="F5333" s="3" t="s">
        <v>14206</v>
      </c>
      <c r="H5333" s="3" t="s">
        <v>648</v>
      </c>
      <c r="K5333" s="2">
        <v>10</v>
      </c>
      <c r="L5333" s="2">
        <v>2</v>
      </c>
      <c r="M5333" s="3" t="s">
        <v>198</v>
      </c>
      <c r="N5333" s="3" t="s">
        <v>5165</v>
      </c>
      <c r="O5333" s="3" t="s">
        <v>3231</v>
      </c>
      <c r="P5333" s="3" t="s">
        <v>5166</v>
      </c>
      <c r="Q5333" s="30" t="str">
        <f t="shared" si="83"/>
        <v>MAX : 5.55
TARGET : 5.53
MIN : 5.51</v>
      </c>
      <c r="R5333" s="3" t="s">
        <v>3549</v>
      </c>
    </row>
    <row r="5334" spans="2:18" ht="41.4" x14ac:dyDescent="0.3">
      <c r="B5334">
        <v>0</v>
      </c>
      <c r="C5334" s="33">
        <v>9233</v>
      </c>
      <c r="D5334" s="2">
        <v>1526</v>
      </c>
      <c r="E5334" s="2" t="s">
        <v>13258</v>
      </c>
      <c r="F5334" s="3" t="s">
        <v>14206</v>
      </c>
      <c r="H5334" s="3" t="s">
        <v>1328</v>
      </c>
      <c r="K5334" s="2">
        <v>10</v>
      </c>
      <c r="L5334" s="2">
        <v>3</v>
      </c>
      <c r="M5334" s="3" t="s">
        <v>5442</v>
      </c>
      <c r="N5334" s="3" t="s">
        <v>13</v>
      </c>
      <c r="O5334" s="3" t="s">
        <v>14</v>
      </c>
      <c r="Q5334" s="30" t="str">
        <f t="shared" si="83"/>
        <v>MAX : 
TARGET : Yes(Pass)
MIN : No(Fail)</v>
      </c>
    </row>
    <row r="5335" spans="2:18" ht="41.4" x14ac:dyDescent="0.3">
      <c r="B5335">
        <v>1</v>
      </c>
      <c r="C5335" s="33">
        <v>9155</v>
      </c>
      <c r="D5335" s="2">
        <v>1476</v>
      </c>
      <c r="E5335" s="2" t="s">
        <v>12810</v>
      </c>
      <c r="F5335" s="3" t="s">
        <v>14206</v>
      </c>
      <c r="H5335" s="3" t="s">
        <v>648</v>
      </c>
      <c r="K5335" s="2">
        <v>10</v>
      </c>
      <c r="L5335" s="2">
        <v>1</v>
      </c>
      <c r="M5335" s="3" t="s">
        <v>194</v>
      </c>
      <c r="N5335" s="3" t="s">
        <v>1185</v>
      </c>
      <c r="O5335" s="3" t="s">
        <v>1688</v>
      </c>
      <c r="P5335" s="3" t="s">
        <v>3529</v>
      </c>
      <c r="Q5335" s="30" t="str">
        <f t="shared" si="83"/>
        <v>MAX : 2.79
TARGET : 2.77
MIN : 2.75</v>
      </c>
      <c r="R5335" s="3" t="s">
        <v>3549</v>
      </c>
    </row>
    <row r="5336" spans="2:18" ht="41.4" x14ac:dyDescent="0.3">
      <c r="B5336">
        <v>1</v>
      </c>
      <c r="C5336" s="33">
        <v>9156</v>
      </c>
      <c r="D5336" s="2">
        <v>1477</v>
      </c>
      <c r="E5336" s="2" t="s">
        <v>12816</v>
      </c>
      <c r="F5336" s="3" t="s">
        <v>14206</v>
      </c>
      <c r="H5336" s="3" t="s">
        <v>4856</v>
      </c>
      <c r="K5336" s="2">
        <v>20</v>
      </c>
      <c r="L5336" s="2">
        <v>2</v>
      </c>
      <c r="M5336" s="3" t="s">
        <v>3160</v>
      </c>
      <c r="N5336" s="3" t="s">
        <v>13</v>
      </c>
      <c r="O5336" s="3" t="s">
        <v>14</v>
      </c>
      <c r="Q5336" s="30" t="str">
        <f t="shared" si="83"/>
        <v>MAX : 
TARGET : Yes(Pass)
MIN : No(Fail)</v>
      </c>
    </row>
    <row r="5337" spans="2:18" ht="41.4" x14ac:dyDescent="0.3">
      <c r="B5337">
        <v>0</v>
      </c>
      <c r="C5337" s="33">
        <v>9234</v>
      </c>
      <c r="D5337" s="2">
        <v>1527</v>
      </c>
      <c r="E5337" s="2" t="s">
        <v>13264</v>
      </c>
      <c r="F5337" s="3" t="s">
        <v>14206</v>
      </c>
      <c r="H5337" s="3" t="s">
        <v>1328</v>
      </c>
      <c r="K5337" s="2">
        <v>10</v>
      </c>
      <c r="L5337" s="2">
        <v>8</v>
      </c>
      <c r="M5337" s="3" t="s">
        <v>5442</v>
      </c>
      <c r="N5337" s="3" t="s">
        <v>13</v>
      </c>
      <c r="O5337" s="3" t="s">
        <v>14</v>
      </c>
      <c r="Q5337" s="30" t="str">
        <f t="shared" si="83"/>
        <v>MAX : 
TARGET : Yes(Pass)
MIN : No(Fail)</v>
      </c>
    </row>
    <row r="5338" spans="2:18" ht="41.4" x14ac:dyDescent="0.3">
      <c r="B5338">
        <v>1</v>
      </c>
      <c r="C5338" s="33">
        <v>9156</v>
      </c>
      <c r="D5338" s="2">
        <v>1477</v>
      </c>
      <c r="E5338" s="2" t="s">
        <v>12816</v>
      </c>
      <c r="F5338" s="3" t="s">
        <v>14206</v>
      </c>
      <c r="H5338" s="3" t="s">
        <v>4856</v>
      </c>
      <c r="K5338" s="2">
        <v>20</v>
      </c>
      <c r="L5338" s="2">
        <v>1</v>
      </c>
      <c r="M5338" s="3" t="s">
        <v>811</v>
      </c>
      <c r="N5338" s="3" t="s">
        <v>24</v>
      </c>
      <c r="O5338" s="3" t="s">
        <v>25</v>
      </c>
      <c r="Q5338" s="30" t="str">
        <f t="shared" si="83"/>
        <v>MAX : 
TARGET : Yes (Pass)
MIN : No (Fail)</v>
      </c>
    </row>
    <row r="5339" spans="2:18" ht="41.4" x14ac:dyDescent="0.3">
      <c r="B5339">
        <v>1</v>
      </c>
      <c r="C5339" s="33">
        <v>9157</v>
      </c>
      <c r="D5339" s="2">
        <v>2084</v>
      </c>
      <c r="E5339" s="2" t="s">
        <v>12824</v>
      </c>
      <c r="F5339" s="3" t="s">
        <v>14206</v>
      </c>
      <c r="H5339" s="3" t="s">
        <v>568</v>
      </c>
      <c r="K5339" s="2">
        <v>10</v>
      </c>
      <c r="L5339" s="2">
        <v>2</v>
      </c>
      <c r="M5339" s="3" t="s">
        <v>5136</v>
      </c>
      <c r="N5339" s="3" t="s">
        <v>13</v>
      </c>
      <c r="O5339" s="3" t="s">
        <v>14</v>
      </c>
      <c r="Q5339" s="30" t="str">
        <f t="shared" si="83"/>
        <v>MAX : 
TARGET : Yes(Pass)
MIN : No(Fail)</v>
      </c>
      <c r="R5339" s="3" t="s">
        <v>4520</v>
      </c>
    </row>
    <row r="5340" spans="2:18" ht="41.4" x14ac:dyDescent="0.3">
      <c r="B5340">
        <v>1</v>
      </c>
      <c r="C5340" s="33">
        <v>9157</v>
      </c>
      <c r="D5340" s="2">
        <v>2084</v>
      </c>
      <c r="E5340" s="2" t="s">
        <v>12824</v>
      </c>
      <c r="F5340" s="3" t="s">
        <v>14206</v>
      </c>
      <c r="H5340" s="3" t="s">
        <v>568</v>
      </c>
      <c r="K5340" s="2">
        <v>10</v>
      </c>
      <c r="L5340" s="2">
        <v>1</v>
      </c>
      <c r="M5340" s="3" t="s">
        <v>458</v>
      </c>
      <c r="N5340" s="3" t="s">
        <v>1490</v>
      </c>
      <c r="O5340" s="3" t="s">
        <v>132</v>
      </c>
      <c r="P5340" s="3" t="s">
        <v>1491</v>
      </c>
      <c r="Q5340" s="30" t="str">
        <f t="shared" si="83"/>
        <v>MAX : 0.77
TARGET : 0.75
MIN : 0.73</v>
      </c>
      <c r="R5340" s="3" t="s">
        <v>4520</v>
      </c>
    </row>
    <row r="5341" spans="2:18" ht="41.4" x14ac:dyDescent="0.3">
      <c r="B5341">
        <v>1</v>
      </c>
      <c r="C5341" s="33">
        <v>9158</v>
      </c>
      <c r="D5341" s="2">
        <v>1478</v>
      </c>
      <c r="E5341" s="2" t="s">
        <v>12832</v>
      </c>
      <c r="F5341" s="3" t="s">
        <v>14206</v>
      </c>
      <c r="H5341" s="3" t="s">
        <v>5137</v>
      </c>
      <c r="I5341" s="3" t="s">
        <v>575</v>
      </c>
      <c r="K5341" s="2">
        <v>20</v>
      </c>
      <c r="L5341" s="2">
        <v>2</v>
      </c>
      <c r="M5341" s="3" t="s">
        <v>570</v>
      </c>
      <c r="N5341" s="3" t="s">
        <v>1741</v>
      </c>
      <c r="O5341" s="3" t="s">
        <v>1742</v>
      </c>
      <c r="P5341" s="3" t="s">
        <v>435</v>
      </c>
      <c r="Q5341" s="30" t="str">
        <f t="shared" si="83"/>
        <v>MAX : 0.17
TARGET : 0.16
MIN : 0.15</v>
      </c>
    </row>
    <row r="5342" spans="2:18" ht="41.4" x14ac:dyDescent="0.3">
      <c r="B5342">
        <v>1</v>
      </c>
      <c r="C5342" s="33">
        <v>9158</v>
      </c>
      <c r="D5342" s="2">
        <v>1478</v>
      </c>
      <c r="E5342" s="2" t="s">
        <v>12832</v>
      </c>
      <c r="F5342" s="3" t="s">
        <v>14206</v>
      </c>
      <c r="H5342" s="3" t="s">
        <v>5137</v>
      </c>
      <c r="I5342" s="3" t="s">
        <v>575</v>
      </c>
      <c r="K5342" s="2">
        <v>20</v>
      </c>
      <c r="L5342" s="2">
        <v>1</v>
      </c>
      <c r="M5342" s="3" t="s">
        <v>194</v>
      </c>
      <c r="N5342" s="3" t="s">
        <v>769</v>
      </c>
      <c r="O5342" s="3" t="s">
        <v>263</v>
      </c>
      <c r="P5342" s="3" t="s">
        <v>309</v>
      </c>
      <c r="Q5342" s="30" t="str">
        <f t="shared" si="83"/>
        <v>MAX : 0.50
TARGET : 0.49
MIN : 0.48</v>
      </c>
    </row>
    <row r="5343" spans="2:18" ht="41.4" x14ac:dyDescent="0.3">
      <c r="B5343">
        <v>1</v>
      </c>
      <c r="C5343" s="33">
        <v>9159</v>
      </c>
      <c r="D5343" s="2">
        <v>2085</v>
      </c>
      <c r="E5343" s="2" t="s">
        <v>12839</v>
      </c>
      <c r="F5343" s="3" t="s">
        <v>14206</v>
      </c>
      <c r="H5343" s="3" t="s">
        <v>568</v>
      </c>
      <c r="K5343" s="2">
        <v>10</v>
      </c>
      <c r="L5343" s="2">
        <v>2</v>
      </c>
      <c r="M5343" s="3" t="s">
        <v>5164</v>
      </c>
      <c r="N5343" s="3" t="s">
        <v>13</v>
      </c>
      <c r="O5343" s="3" t="s">
        <v>14</v>
      </c>
      <c r="Q5343" s="30" t="str">
        <f t="shared" si="83"/>
        <v>MAX : 
TARGET : Yes(Pass)
MIN : No(Fail)</v>
      </c>
    </row>
    <row r="5344" spans="2:18" ht="41.4" x14ac:dyDescent="0.3">
      <c r="B5344">
        <v>1</v>
      </c>
      <c r="C5344" s="33">
        <v>9159</v>
      </c>
      <c r="D5344" s="2">
        <v>2085</v>
      </c>
      <c r="E5344" s="2" t="s">
        <v>12839</v>
      </c>
      <c r="F5344" s="3" t="s">
        <v>14206</v>
      </c>
      <c r="H5344" s="3" t="s">
        <v>568</v>
      </c>
      <c r="K5344" s="2">
        <v>10</v>
      </c>
      <c r="L5344" s="2">
        <v>1</v>
      </c>
      <c r="M5344" s="3" t="s">
        <v>458</v>
      </c>
      <c r="N5344" s="3" t="s">
        <v>1615</v>
      </c>
      <c r="O5344" s="3" t="s">
        <v>5163</v>
      </c>
      <c r="P5344" s="3" t="s">
        <v>542</v>
      </c>
      <c r="Q5344" s="30" t="str">
        <f t="shared" si="83"/>
        <v>MAX : 1.005
TARGET : 0.945
MIN : 0.885</v>
      </c>
    </row>
    <row r="5345" spans="2:17" ht="41.4" x14ac:dyDescent="0.3">
      <c r="B5345">
        <v>0</v>
      </c>
      <c r="C5345" s="33">
        <v>9234</v>
      </c>
      <c r="D5345" s="2">
        <v>1527</v>
      </c>
      <c r="E5345" s="2" t="s">
        <v>13264</v>
      </c>
      <c r="F5345" s="3" t="s">
        <v>14206</v>
      </c>
      <c r="H5345" s="3" t="s">
        <v>1328</v>
      </c>
      <c r="K5345" s="2">
        <v>10</v>
      </c>
      <c r="L5345" s="2">
        <v>6</v>
      </c>
      <c r="M5345" s="3" t="s">
        <v>5581</v>
      </c>
      <c r="N5345" s="3" t="s">
        <v>4639</v>
      </c>
      <c r="O5345" s="3" t="s">
        <v>4640</v>
      </c>
      <c r="P5345" s="3" t="s">
        <v>4641</v>
      </c>
      <c r="Q5345" s="30" t="str">
        <f t="shared" si="83"/>
        <v>MAX : 0.182
TARGET : 0.177
MIN : 0.172</v>
      </c>
    </row>
    <row r="5346" spans="2:17" ht="41.4" x14ac:dyDescent="0.3">
      <c r="B5346">
        <v>0</v>
      </c>
      <c r="C5346" s="33">
        <v>9234</v>
      </c>
      <c r="D5346" s="2">
        <v>1527</v>
      </c>
      <c r="E5346" s="2" t="s">
        <v>13264</v>
      </c>
      <c r="F5346" s="3" t="s">
        <v>14206</v>
      </c>
      <c r="H5346" s="3" t="s">
        <v>1328</v>
      </c>
      <c r="K5346" s="2">
        <v>10</v>
      </c>
      <c r="L5346" s="2">
        <v>7</v>
      </c>
      <c r="M5346" s="3" t="s">
        <v>5582</v>
      </c>
      <c r="N5346" s="3" t="s">
        <v>13</v>
      </c>
      <c r="O5346" s="3" t="s">
        <v>14</v>
      </c>
      <c r="Q5346" s="30" t="str">
        <f t="shared" si="83"/>
        <v>MAX : 
TARGET : Yes(Pass)
MIN : No(Fail)</v>
      </c>
    </row>
    <row r="5347" spans="2:17" ht="41.4" x14ac:dyDescent="0.3">
      <c r="B5347">
        <v>1</v>
      </c>
      <c r="C5347" s="33">
        <v>9160</v>
      </c>
      <c r="D5347" s="2">
        <v>2086</v>
      </c>
      <c r="E5347" s="2" t="s">
        <v>12846</v>
      </c>
      <c r="F5347" s="3" t="s">
        <v>14206</v>
      </c>
      <c r="H5347" s="3" t="s">
        <v>289</v>
      </c>
      <c r="K5347" s="2">
        <v>10</v>
      </c>
      <c r="L5347" s="2">
        <v>2</v>
      </c>
      <c r="M5347" s="3" t="s">
        <v>325</v>
      </c>
      <c r="N5347" s="3" t="s">
        <v>5155</v>
      </c>
      <c r="O5347" s="3" t="s">
        <v>14</v>
      </c>
      <c r="Q5347" s="30" t="str">
        <f t="shared" si="83"/>
        <v>MAX : 
TARGET : Yes(Pass)
MIN : NoFail)</v>
      </c>
    </row>
    <row r="5348" spans="2:17" ht="41.4" x14ac:dyDescent="0.3">
      <c r="B5348">
        <v>1</v>
      </c>
      <c r="C5348" s="33">
        <v>9160</v>
      </c>
      <c r="D5348" s="2">
        <v>2086</v>
      </c>
      <c r="E5348" s="2" t="s">
        <v>12846</v>
      </c>
      <c r="F5348" s="3" t="s">
        <v>14206</v>
      </c>
      <c r="H5348" s="3" t="s">
        <v>289</v>
      </c>
      <c r="K5348" s="2">
        <v>10</v>
      </c>
      <c r="L5348" s="2">
        <v>1</v>
      </c>
      <c r="M5348" s="3" t="s">
        <v>458</v>
      </c>
      <c r="N5348" s="3" t="s">
        <v>1910</v>
      </c>
      <c r="O5348" s="3" t="s">
        <v>1911</v>
      </c>
      <c r="P5348" s="3" t="s">
        <v>1912</v>
      </c>
      <c r="Q5348" s="30" t="str">
        <f t="shared" si="83"/>
        <v>MAX : 15.125
TARGET : 15.000
MIN : 14.875</v>
      </c>
    </row>
    <row r="5349" spans="2:17" ht="41.4" x14ac:dyDescent="0.3">
      <c r="B5349">
        <v>0</v>
      </c>
      <c r="C5349" s="33">
        <v>9235</v>
      </c>
      <c r="D5349" s="2">
        <v>1528</v>
      </c>
      <c r="E5349" s="2" t="s">
        <v>13270</v>
      </c>
      <c r="F5349" s="3" t="s">
        <v>14206</v>
      </c>
      <c r="H5349" s="3" t="s">
        <v>1328</v>
      </c>
      <c r="K5349" s="2">
        <v>10</v>
      </c>
      <c r="L5349" s="2">
        <v>8</v>
      </c>
      <c r="M5349" s="3" t="s">
        <v>5442</v>
      </c>
      <c r="N5349" s="3" t="s">
        <v>13</v>
      </c>
      <c r="O5349" s="3" t="s">
        <v>14</v>
      </c>
      <c r="Q5349" s="30" t="str">
        <f t="shared" si="83"/>
        <v>MAX : 
TARGET : Yes(Pass)
MIN : No(Fail)</v>
      </c>
    </row>
    <row r="5350" spans="2:17" ht="41.4" x14ac:dyDescent="0.3">
      <c r="B5350">
        <v>0</v>
      </c>
      <c r="C5350" s="33">
        <v>9235</v>
      </c>
      <c r="D5350" s="2">
        <v>1528</v>
      </c>
      <c r="E5350" s="2" t="s">
        <v>13270</v>
      </c>
      <c r="F5350" s="3" t="s">
        <v>14206</v>
      </c>
      <c r="H5350" s="3" t="s">
        <v>1328</v>
      </c>
      <c r="K5350" s="2">
        <v>10</v>
      </c>
      <c r="L5350" s="2">
        <v>3</v>
      </c>
      <c r="M5350" s="3" t="s">
        <v>3314</v>
      </c>
      <c r="N5350" s="3" t="s">
        <v>5589</v>
      </c>
      <c r="O5350" s="3" t="s">
        <v>5590</v>
      </c>
      <c r="P5350" s="3" t="s">
        <v>5591</v>
      </c>
      <c r="Q5350" s="30" t="str">
        <f t="shared" si="83"/>
        <v>MAX : 2.187
TARGET : 2.182
MIN : 2.177</v>
      </c>
    </row>
    <row r="5351" spans="2:17" ht="41.4" x14ac:dyDescent="0.3">
      <c r="B5351">
        <v>0</v>
      </c>
      <c r="C5351" s="33">
        <v>9235</v>
      </c>
      <c r="D5351" s="2">
        <v>1528</v>
      </c>
      <c r="E5351" s="2" t="s">
        <v>13270</v>
      </c>
      <c r="F5351" s="3" t="s">
        <v>14206</v>
      </c>
      <c r="H5351" s="3" t="s">
        <v>1328</v>
      </c>
      <c r="K5351" s="2">
        <v>10</v>
      </c>
      <c r="L5351" s="2">
        <v>4</v>
      </c>
      <c r="M5351" s="3" t="s">
        <v>3426</v>
      </c>
      <c r="N5351" s="3" t="s">
        <v>5571</v>
      </c>
      <c r="O5351" s="3" t="s">
        <v>5592</v>
      </c>
      <c r="P5351" s="3" t="s">
        <v>5578</v>
      </c>
      <c r="Q5351" s="30" t="str">
        <f t="shared" si="83"/>
        <v>MAX : 0.802
TARGET : 0.797
MIN : 0.792</v>
      </c>
    </row>
    <row r="5352" spans="2:17" ht="41.4" x14ac:dyDescent="0.3">
      <c r="B5352">
        <v>0</v>
      </c>
      <c r="C5352" s="33">
        <v>9235</v>
      </c>
      <c r="D5352" s="2">
        <v>1528</v>
      </c>
      <c r="E5352" s="2" t="s">
        <v>13270</v>
      </c>
      <c r="F5352" s="3" t="s">
        <v>14206</v>
      </c>
      <c r="H5352" s="3" t="s">
        <v>1328</v>
      </c>
      <c r="K5352" s="2">
        <v>10</v>
      </c>
      <c r="L5352" s="2">
        <v>5</v>
      </c>
      <c r="M5352" s="3" t="s">
        <v>1666</v>
      </c>
      <c r="N5352" s="3" t="s">
        <v>5234</v>
      </c>
      <c r="O5352" s="3" t="s">
        <v>2616</v>
      </c>
      <c r="P5352" s="3" t="s">
        <v>5593</v>
      </c>
      <c r="Q5352" s="30" t="str">
        <f t="shared" si="83"/>
        <v>MAX : 0.099
TARGET : 0.094
MIN : 0.089</v>
      </c>
    </row>
    <row r="5353" spans="2:17" ht="41.4" x14ac:dyDescent="0.3">
      <c r="B5353">
        <v>0</v>
      </c>
      <c r="C5353" s="33">
        <v>9235</v>
      </c>
      <c r="D5353" s="2">
        <v>1528</v>
      </c>
      <c r="E5353" s="2" t="s">
        <v>13270</v>
      </c>
      <c r="F5353" s="3" t="s">
        <v>14206</v>
      </c>
      <c r="H5353" s="3" t="s">
        <v>1328</v>
      </c>
      <c r="K5353" s="2">
        <v>10</v>
      </c>
      <c r="L5353" s="2">
        <v>6</v>
      </c>
      <c r="M5353" s="3" t="s">
        <v>5581</v>
      </c>
      <c r="N5353" s="3" t="s">
        <v>2616</v>
      </c>
      <c r="O5353" s="3" t="s">
        <v>5593</v>
      </c>
      <c r="P5353" s="3" t="s">
        <v>5594</v>
      </c>
      <c r="Q5353" s="30" t="str">
        <f t="shared" si="83"/>
        <v>MAX : 0.104
TARGET : 0.099
MIN : 0.094</v>
      </c>
    </row>
    <row r="5354" spans="2:17" ht="41.4" x14ac:dyDescent="0.3">
      <c r="B5354">
        <v>0</v>
      </c>
      <c r="C5354" s="33">
        <v>9235</v>
      </c>
      <c r="D5354" s="2">
        <v>1528</v>
      </c>
      <c r="E5354" s="2" t="s">
        <v>13270</v>
      </c>
      <c r="F5354" s="3" t="s">
        <v>14206</v>
      </c>
      <c r="H5354" s="3" t="s">
        <v>1328</v>
      </c>
      <c r="K5354" s="2">
        <v>10</v>
      </c>
      <c r="L5354" s="2">
        <v>7</v>
      </c>
      <c r="M5354" s="3" t="s">
        <v>5582</v>
      </c>
      <c r="N5354" s="3" t="s">
        <v>13</v>
      </c>
      <c r="O5354" s="3" t="s">
        <v>14</v>
      </c>
      <c r="Q5354" s="30" t="str">
        <f t="shared" si="83"/>
        <v>MAX : 
TARGET : Yes(Pass)
MIN : No(Fail)</v>
      </c>
    </row>
    <row r="5355" spans="2:17" ht="41.4" x14ac:dyDescent="0.3">
      <c r="B5355">
        <v>1</v>
      </c>
      <c r="C5355" s="33">
        <v>9161</v>
      </c>
      <c r="D5355" s="2">
        <v>2087</v>
      </c>
      <c r="E5355" s="2" t="s">
        <v>12852</v>
      </c>
      <c r="F5355" s="3" t="s">
        <v>14206</v>
      </c>
      <c r="H5355" s="3" t="s">
        <v>193</v>
      </c>
      <c r="K5355" s="2">
        <v>10</v>
      </c>
      <c r="L5355" s="2">
        <v>2</v>
      </c>
      <c r="M5355" s="3" t="s">
        <v>325</v>
      </c>
      <c r="N5355" s="3" t="s">
        <v>13</v>
      </c>
      <c r="O5355" s="3" t="s">
        <v>14</v>
      </c>
      <c r="Q5355" s="30" t="str">
        <f t="shared" si="83"/>
        <v>MAX : 
TARGET : Yes(Pass)
MIN : No(Fail)</v>
      </c>
    </row>
    <row r="5356" spans="2:17" ht="41.4" x14ac:dyDescent="0.3">
      <c r="B5356">
        <v>1</v>
      </c>
      <c r="C5356" s="33">
        <v>9161</v>
      </c>
      <c r="D5356" s="2">
        <v>2087</v>
      </c>
      <c r="E5356" s="2" t="s">
        <v>12852</v>
      </c>
      <c r="F5356" s="3" t="s">
        <v>14206</v>
      </c>
      <c r="H5356" s="3" t="s">
        <v>193</v>
      </c>
      <c r="K5356" s="2">
        <v>10</v>
      </c>
      <c r="L5356" s="2">
        <v>1</v>
      </c>
      <c r="M5356" s="3" t="s">
        <v>458</v>
      </c>
      <c r="N5356" s="3" t="s">
        <v>5168</v>
      </c>
      <c r="O5356" s="3" t="s">
        <v>733</v>
      </c>
      <c r="P5356" s="3" t="s">
        <v>5169</v>
      </c>
      <c r="Q5356" s="30" t="str">
        <f t="shared" si="83"/>
        <v>MAX : 4.86
TARGET : 4.80
MIN : 4.74</v>
      </c>
    </row>
    <row r="5357" spans="2:17" ht="41.4" x14ac:dyDescent="0.3">
      <c r="B5357">
        <v>1</v>
      </c>
      <c r="C5357" s="33">
        <v>9162</v>
      </c>
      <c r="D5357" s="2">
        <v>1479</v>
      </c>
      <c r="E5357" s="2" t="s">
        <v>12858</v>
      </c>
      <c r="F5357" s="3" t="s">
        <v>14206</v>
      </c>
      <c r="H5357" s="3" t="s">
        <v>648</v>
      </c>
      <c r="K5357" s="2">
        <v>20</v>
      </c>
      <c r="L5357" s="2">
        <v>2</v>
      </c>
      <c r="M5357" s="3" t="s">
        <v>198</v>
      </c>
      <c r="N5357" s="3" t="s">
        <v>5172</v>
      </c>
      <c r="O5357" s="3" t="s">
        <v>5173</v>
      </c>
      <c r="P5357" s="3" t="s">
        <v>5174</v>
      </c>
      <c r="Q5357" s="30" t="str">
        <f t="shared" si="83"/>
        <v>MAX : 3.976
TARGET : 3.966
MIN : 3.956</v>
      </c>
    </row>
    <row r="5358" spans="2:17" ht="41.4" x14ac:dyDescent="0.3">
      <c r="B5358">
        <v>1</v>
      </c>
      <c r="C5358" s="33">
        <v>9162</v>
      </c>
      <c r="D5358" s="2">
        <v>1479</v>
      </c>
      <c r="E5358" s="2" t="s">
        <v>12858</v>
      </c>
      <c r="F5358" s="3" t="s">
        <v>14206</v>
      </c>
      <c r="H5358" s="3" t="s">
        <v>648</v>
      </c>
      <c r="K5358" s="2">
        <v>20</v>
      </c>
      <c r="L5358" s="2">
        <v>1</v>
      </c>
      <c r="M5358" s="3" t="s">
        <v>194</v>
      </c>
      <c r="N5358" s="3" t="s">
        <v>2845</v>
      </c>
      <c r="O5358" s="3" t="s">
        <v>5170</v>
      </c>
      <c r="P5358" s="3" t="s">
        <v>5171</v>
      </c>
      <c r="Q5358" s="30" t="str">
        <f t="shared" si="83"/>
        <v>MAX : 2.360
TARGET : 2.350
MIN : 2.340</v>
      </c>
    </row>
    <row r="5359" spans="2:17" ht="41.4" x14ac:dyDescent="0.3">
      <c r="B5359">
        <v>0</v>
      </c>
      <c r="C5359" s="33">
        <v>9236</v>
      </c>
      <c r="D5359" s="2">
        <v>1529</v>
      </c>
      <c r="E5359" s="2" t="s">
        <v>13276</v>
      </c>
      <c r="F5359" s="3" t="s">
        <v>14206</v>
      </c>
      <c r="H5359" s="3" t="s">
        <v>1328</v>
      </c>
      <c r="K5359" s="2">
        <v>10</v>
      </c>
      <c r="L5359" s="2">
        <v>8</v>
      </c>
      <c r="M5359" s="3" t="s">
        <v>5442</v>
      </c>
      <c r="N5359" s="3" t="s">
        <v>13</v>
      </c>
      <c r="O5359" s="3" t="s">
        <v>14</v>
      </c>
      <c r="Q5359" s="30" t="str">
        <f t="shared" si="83"/>
        <v>MAX : 
TARGET : Yes(Pass)
MIN : No(Fail)</v>
      </c>
    </row>
    <row r="5360" spans="2:17" ht="41.4" x14ac:dyDescent="0.3">
      <c r="B5360">
        <v>0</v>
      </c>
      <c r="C5360" s="33">
        <v>9236</v>
      </c>
      <c r="D5360" s="2">
        <v>1529</v>
      </c>
      <c r="E5360" s="2" t="s">
        <v>13276</v>
      </c>
      <c r="F5360" s="3" t="s">
        <v>14206</v>
      </c>
      <c r="H5360" s="3" t="s">
        <v>1328</v>
      </c>
      <c r="K5360" s="2">
        <v>10</v>
      </c>
      <c r="L5360" s="2">
        <v>5</v>
      </c>
      <c r="M5360" s="3" t="s">
        <v>5601</v>
      </c>
      <c r="N5360" s="3" t="s">
        <v>5602</v>
      </c>
      <c r="O5360" s="3" t="s">
        <v>5603</v>
      </c>
      <c r="P5360" s="3" t="s">
        <v>5604</v>
      </c>
      <c r="Q5360" s="30" t="str">
        <f t="shared" si="83"/>
        <v>MAX : 0.483
TARGET : 0.478
MIN : 0.473</v>
      </c>
    </row>
    <row r="5361" spans="2:18" ht="41.4" x14ac:dyDescent="0.3">
      <c r="B5361">
        <v>0</v>
      </c>
      <c r="C5361" s="33">
        <v>9236</v>
      </c>
      <c r="D5361" s="2">
        <v>1529</v>
      </c>
      <c r="E5361" s="2" t="s">
        <v>13276</v>
      </c>
      <c r="F5361" s="3" t="s">
        <v>14206</v>
      </c>
      <c r="H5361" s="3" t="s">
        <v>1328</v>
      </c>
      <c r="K5361" s="2">
        <v>10</v>
      </c>
      <c r="L5361" s="2">
        <v>4</v>
      </c>
      <c r="M5361" s="3" t="s">
        <v>5605</v>
      </c>
      <c r="N5361" s="3" t="s">
        <v>5606</v>
      </c>
      <c r="O5361" s="3" t="s">
        <v>275</v>
      </c>
      <c r="P5361" s="3" t="s">
        <v>5607</v>
      </c>
      <c r="Q5361" s="30" t="str">
        <f t="shared" si="83"/>
        <v>MAX : 0.348
TARGET : 0.343
MIN : 0.338</v>
      </c>
    </row>
    <row r="5362" spans="2:18" ht="41.4" x14ac:dyDescent="0.3">
      <c r="B5362">
        <v>0</v>
      </c>
      <c r="C5362" s="33">
        <v>9236</v>
      </c>
      <c r="D5362" s="2">
        <v>1529</v>
      </c>
      <c r="E5362" s="2" t="s">
        <v>13276</v>
      </c>
      <c r="F5362" s="3" t="s">
        <v>14206</v>
      </c>
      <c r="H5362" s="3" t="s">
        <v>1328</v>
      </c>
      <c r="K5362" s="2">
        <v>10</v>
      </c>
      <c r="L5362" s="2">
        <v>3</v>
      </c>
      <c r="M5362" s="3" t="s">
        <v>1666</v>
      </c>
      <c r="N5362" s="3" t="s">
        <v>5608</v>
      </c>
      <c r="O5362" s="3" t="s">
        <v>5609</v>
      </c>
      <c r="P5362" s="3" t="s">
        <v>5610</v>
      </c>
      <c r="Q5362" s="30" t="str">
        <f t="shared" si="83"/>
        <v>MAX : 0.084
TARGET : 0.079
MIN : 0.074</v>
      </c>
    </row>
    <row r="5363" spans="2:18" ht="41.4" x14ac:dyDescent="0.3">
      <c r="B5363">
        <v>0</v>
      </c>
      <c r="C5363" s="33">
        <v>9236</v>
      </c>
      <c r="D5363" s="2">
        <v>1529</v>
      </c>
      <c r="E5363" s="2" t="s">
        <v>13276</v>
      </c>
      <c r="F5363" s="3" t="s">
        <v>14206</v>
      </c>
      <c r="H5363" s="3" t="s">
        <v>1328</v>
      </c>
      <c r="K5363" s="2">
        <v>10</v>
      </c>
      <c r="L5363" s="2">
        <v>6</v>
      </c>
      <c r="M5363" s="3" t="s">
        <v>5611</v>
      </c>
      <c r="N5363" s="3" t="s">
        <v>1238</v>
      </c>
      <c r="O5363" s="3" t="s">
        <v>5612</v>
      </c>
      <c r="P5363" s="3" t="s">
        <v>5613</v>
      </c>
      <c r="Q5363" s="30" t="str">
        <f t="shared" si="83"/>
        <v>MAX : 1.336
TARGET : 1.331
MIN : 1.326</v>
      </c>
    </row>
    <row r="5364" spans="2:18" ht="41.4" x14ac:dyDescent="0.3">
      <c r="B5364">
        <v>0</v>
      </c>
      <c r="C5364" s="33">
        <v>9236</v>
      </c>
      <c r="D5364" s="2">
        <v>1529</v>
      </c>
      <c r="E5364" s="2" t="s">
        <v>13276</v>
      </c>
      <c r="F5364" s="3" t="s">
        <v>14206</v>
      </c>
      <c r="H5364" s="3" t="s">
        <v>1328</v>
      </c>
      <c r="K5364" s="2">
        <v>10</v>
      </c>
      <c r="L5364" s="2">
        <v>7</v>
      </c>
      <c r="M5364" s="3" t="s">
        <v>5582</v>
      </c>
      <c r="N5364" s="3" t="s">
        <v>13</v>
      </c>
      <c r="O5364" s="3" t="s">
        <v>14</v>
      </c>
      <c r="Q5364" s="30" t="str">
        <f t="shared" si="83"/>
        <v>MAX : 
TARGET : Yes(Pass)
MIN : No(Fail)</v>
      </c>
    </row>
    <row r="5365" spans="2:18" ht="41.4" x14ac:dyDescent="0.3">
      <c r="B5365">
        <v>1</v>
      </c>
      <c r="C5365" s="33">
        <v>9163</v>
      </c>
      <c r="D5365" s="2">
        <v>1480</v>
      </c>
      <c r="E5365" s="2" t="s">
        <v>12865</v>
      </c>
      <c r="F5365" s="3" t="s">
        <v>14206</v>
      </c>
      <c r="H5365" s="3" t="s">
        <v>504</v>
      </c>
      <c r="K5365" s="2">
        <v>20</v>
      </c>
      <c r="L5365" s="2">
        <v>2</v>
      </c>
      <c r="M5365" s="3" t="s">
        <v>198</v>
      </c>
      <c r="N5365" s="3" t="s">
        <v>3235</v>
      </c>
      <c r="O5365" s="3" t="s">
        <v>272</v>
      </c>
      <c r="P5365" s="3" t="s">
        <v>5181</v>
      </c>
      <c r="Q5365" s="30" t="str">
        <f t="shared" si="83"/>
        <v>MAX : 1.04
TARGET : 1.00
MIN : 0.96</v>
      </c>
    </row>
    <row r="5366" spans="2:18" ht="41.4" x14ac:dyDescent="0.3">
      <c r="B5366">
        <v>1</v>
      </c>
      <c r="C5366" s="33">
        <v>9163</v>
      </c>
      <c r="D5366" s="2">
        <v>1480</v>
      </c>
      <c r="E5366" s="2" t="s">
        <v>12865</v>
      </c>
      <c r="F5366" s="3" t="s">
        <v>14206</v>
      </c>
      <c r="H5366" s="3" t="s">
        <v>504</v>
      </c>
      <c r="K5366" s="2">
        <v>20</v>
      </c>
      <c r="L5366" s="2">
        <v>1</v>
      </c>
      <c r="M5366" s="3" t="s">
        <v>194</v>
      </c>
      <c r="N5366" s="3" t="s">
        <v>262</v>
      </c>
      <c r="O5366" s="3" t="s">
        <v>309</v>
      </c>
      <c r="P5366" s="3" t="s">
        <v>1927</v>
      </c>
      <c r="Q5366" s="30" t="str">
        <f t="shared" si="83"/>
        <v>MAX : 0.54
TARGET : 0.50
MIN : 0.46</v>
      </c>
    </row>
    <row r="5367" spans="2:18" ht="41.4" x14ac:dyDescent="0.3">
      <c r="B5367">
        <v>0</v>
      </c>
      <c r="C5367" s="33">
        <v>8178</v>
      </c>
      <c r="D5367" s="2">
        <v>1184</v>
      </c>
      <c r="E5367" s="2" t="s">
        <v>10057</v>
      </c>
      <c r="F5367" s="29" t="s">
        <v>14227</v>
      </c>
      <c r="G5367" s="3" t="s">
        <v>2843</v>
      </c>
      <c r="H5367" s="3" t="s">
        <v>2844</v>
      </c>
      <c r="K5367" s="2">
        <v>30</v>
      </c>
      <c r="L5367" s="2">
        <v>12</v>
      </c>
      <c r="M5367" s="3" t="s">
        <v>5577</v>
      </c>
      <c r="N5367" s="3" t="s">
        <v>1619</v>
      </c>
      <c r="O5367" s="3" t="s">
        <v>1620</v>
      </c>
      <c r="Q5367" s="30" t="str">
        <f t="shared" si="83"/>
        <v>MAX : 
TARGET : Yes (pass)
MIN : No (fail)</v>
      </c>
    </row>
    <row r="5368" spans="2:18" ht="41.4" x14ac:dyDescent="0.3">
      <c r="B5368">
        <v>0</v>
      </c>
      <c r="C5368" s="33">
        <v>8178</v>
      </c>
      <c r="D5368" s="2">
        <v>1184</v>
      </c>
      <c r="E5368" s="2" t="s">
        <v>10057</v>
      </c>
      <c r="F5368" s="29" t="s">
        <v>14227</v>
      </c>
      <c r="G5368" s="3" t="s">
        <v>2843</v>
      </c>
      <c r="H5368" s="3" t="s">
        <v>2844</v>
      </c>
      <c r="K5368" s="2">
        <v>30</v>
      </c>
      <c r="L5368" s="2">
        <v>12.4</v>
      </c>
      <c r="Q5368" s="30" t="str">
        <f t="shared" si="83"/>
        <v xml:space="preserve">MAX : 
TARGET : 
MIN : </v>
      </c>
    </row>
    <row r="5369" spans="2:18" ht="41.4" x14ac:dyDescent="0.3">
      <c r="B5369">
        <v>0</v>
      </c>
      <c r="C5369" s="33">
        <v>8178</v>
      </c>
      <c r="D5369" s="2">
        <v>1184</v>
      </c>
      <c r="E5369" s="2" t="s">
        <v>10057</v>
      </c>
      <c r="F5369" s="29" t="s">
        <v>14227</v>
      </c>
      <c r="G5369" s="3" t="s">
        <v>2843</v>
      </c>
      <c r="H5369" s="3" t="s">
        <v>2844</v>
      </c>
      <c r="K5369" s="2">
        <v>30</v>
      </c>
      <c r="L5369" s="2">
        <v>12.5</v>
      </c>
      <c r="Q5369" s="30" t="str">
        <f t="shared" si="83"/>
        <v xml:space="preserve">MAX : 
TARGET : 
MIN : </v>
      </c>
    </row>
    <row r="5370" spans="2:18" ht="41.4" x14ac:dyDescent="0.3">
      <c r="B5370">
        <v>0</v>
      </c>
      <c r="C5370" s="33">
        <v>8178</v>
      </c>
      <c r="D5370" s="2">
        <v>1184</v>
      </c>
      <c r="E5370" s="2" t="s">
        <v>10057</v>
      </c>
      <c r="F5370" s="29" t="s">
        <v>14227</v>
      </c>
      <c r="G5370" s="3" t="s">
        <v>2843</v>
      </c>
      <c r="H5370" s="3" t="s">
        <v>2844</v>
      </c>
      <c r="K5370" s="2">
        <v>30</v>
      </c>
      <c r="L5370" s="2">
        <v>12.6</v>
      </c>
      <c r="Q5370" s="30" t="str">
        <f t="shared" si="83"/>
        <v xml:space="preserve">MAX : 
TARGET : 
MIN : </v>
      </c>
    </row>
    <row r="5371" spans="2:18" ht="41.4" x14ac:dyDescent="0.3">
      <c r="B5371">
        <v>1</v>
      </c>
      <c r="C5371" s="33">
        <v>9164</v>
      </c>
      <c r="D5371" s="2">
        <v>2088</v>
      </c>
      <c r="E5371" s="2" t="s">
        <v>12871</v>
      </c>
      <c r="F5371" s="3" t="s">
        <v>14207</v>
      </c>
      <c r="H5371" s="3" t="s">
        <v>168</v>
      </c>
      <c r="K5371" s="2">
        <v>20</v>
      </c>
      <c r="L5371" s="2">
        <v>2</v>
      </c>
      <c r="M5371" s="3" t="s">
        <v>611</v>
      </c>
      <c r="N5371" s="3" t="s">
        <v>13</v>
      </c>
      <c r="O5371" s="3" t="s">
        <v>14</v>
      </c>
      <c r="Q5371" s="30" t="str">
        <f t="shared" si="83"/>
        <v>MAX : 
TARGET : Yes(Pass)
MIN : No(Fail)</v>
      </c>
    </row>
    <row r="5372" spans="2:18" ht="41.4" x14ac:dyDescent="0.3">
      <c r="B5372">
        <v>1</v>
      </c>
      <c r="C5372" s="33">
        <v>9164</v>
      </c>
      <c r="D5372" s="2">
        <v>2088</v>
      </c>
      <c r="E5372" s="2" t="s">
        <v>12871</v>
      </c>
      <c r="F5372" s="3" t="s">
        <v>14207</v>
      </c>
      <c r="H5372" s="3" t="s">
        <v>168</v>
      </c>
      <c r="K5372" s="2">
        <v>20</v>
      </c>
      <c r="L5372" s="2">
        <v>1</v>
      </c>
      <c r="M5372" s="3" t="s">
        <v>1469</v>
      </c>
      <c r="N5372" s="3" t="s">
        <v>3950</v>
      </c>
      <c r="O5372" s="3" t="s">
        <v>5178</v>
      </c>
      <c r="P5372" s="3" t="s">
        <v>5179</v>
      </c>
      <c r="Q5372" s="30" t="str">
        <f t="shared" si="83"/>
        <v>MAX : 10.92
TARGET : 10.16
MIN : 9.40</v>
      </c>
    </row>
    <row r="5373" spans="2:18" ht="41.4" x14ac:dyDescent="0.3">
      <c r="B5373">
        <v>1</v>
      </c>
      <c r="C5373" s="33">
        <v>9165</v>
      </c>
      <c r="D5373" s="2">
        <v>1481</v>
      </c>
      <c r="E5373" s="2" t="s">
        <v>12877</v>
      </c>
      <c r="F5373" s="3" t="s">
        <v>14206</v>
      </c>
      <c r="H5373" s="3" t="s">
        <v>426</v>
      </c>
      <c r="K5373" s="2">
        <v>20</v>
      </c>
      <c r="L5373" s="2">
        <v>2</v>
      </c>
      <c r="M5373" s="3" t="s">
        <v>681</v>
      </c>
      <c r="N5373" s="3" t="s">
        <v>5225</v>
      </c>
      <c r="O5373" s="3" t="s">
        <v>5226</v>
      </c>
      <c r="P5373" s="3" t="s">
        <v>5227</v>
      </c>
      <c r="Q5373" s="30" t="str">
        <f t="shared" si="83"/>
        <v>MAX : 2.866
TARGET : 2.856
MIN : 2.851</v>
      </c>
      <c r="R5373" s="3" t="s">
        <v>1638</v>
      </c>
    </row>
    <row r="5374" spans="2:18" ht="41.4" x14ac:dyDescent="0.3">
      <c r="B5374">
        <v>1</v>
      </c>
      <c r="C5374" s="33">
        <v>9165</v>
      </c>
      <c r="D5374" s="2">
        <v>1481</v>
      </c>
      <c r="E5374" s="2" t="s">
        <v>12877</v>
      </c>
      <c r="F5374" s="3" t="s">
        <v>14206</v>
      </c>
      <c r="H5374" s="3" t="s">
        <v>426</v>
      </c>
      <c r="K5374" s="2">
        <v>20</v>
      </c>
      <c r="L5374" s="2">
        <v>8</v>
      </c>
      <c r="M5374" s="3" t="s">
        <v>5391</v>
      </c>
      <c r="N5374" s="3" t="s">
        <v>5229</v>
      </c>
      <c r="O5374" s="3" t="s">
        <v>5230</v>
      </c>
      <c r="P5374" s="3" t="s">
        <v>5231</v>
      </c>
      <c r="Q5374" s="30" t="str">
        <f t="shared" si="83"/>
        <v>MAX : 0.6565
TARGET : 0.6530
MIN : 0.6495</v>
      </c>
      <c r="R5374" s="3" t="s">
        <v>1638</v>
      </c>
    </row>
    <row r="5375" spans="2:18" ht="41.4" x14ac:dyDescent="0.3">
      <c r="B5375">
        <v>1</v>
      </c>
      <c r="C5375" s="33">
        <v>9165</v>
      </c>
      <c r="D5375" s="2">
        <v>1481</v>
      </c>
      <c r="E5375" s="2" t="s">
        <v>12877</v>
      </c>
      <c r="F5375" s="3" t="s">
        <v>14206</v>
      </c>
      <c r="H5375" s="3" t="s">
        <v>426</v>
      </c>
      <c r="K5375" s="2">
        <v>20</v>
      </c>
      <c r="L5375" s="2">
        <v>1</v>
      </c>
      <c r="M5375" s="3" t="s">
        <v>5221</v>
      </c>
      <c r="N5375" s="3" t="s">
        <v>5222</v>
      </c>
      <c r="O5375" s="3" t="s">
        <v>5223</v>
      </c>
      <c r="P5375" s="3" t="s">
        <v>5224</v>
      </c>
      <c r="Q5375" s="30" t="str">
        <f t="shared" si="83"/>
        <v>MAX : 1.712
TARGET : 1.702
MIN : 1.697</v>
      </c>
      <c r="R5375" s="3" t="s">
        <v>1638</v>
      </c>
    </row>
    <row r="5376" spans="2:18" ht="41.4" x14ac:dyDescent="0.3">
      <c r="B5376">
        <v>1</v>
      </c>
      <c r="C5376" s="33">
        <v>9166</v>
      </c>
      <c r="D5376" s="2">
        <v>1482</v>
      </c>
      <c r="E5376" s="2" t="s">
        <v>12883</v>
      </c>
      <c r="F5376" s="3" t="s">
        <v>14206</v>
      </c>
      <c r="H5376" s="3" t="s">
        <v>469</v>
      </c>
      <c r="K5376" s="2">
        <v>20</v>
      </c>
      <c r="L5376" s="2">
        <v>1</v>
      </c>
      <c r="M5376" s="3" t="s">
        <v>4738</v>
      </c>
      <c r="N5376" s="3" t="s">
        <v>4524</v>
      </c>
      <c r="O5376" s="3" t="s">
        <v>1064</v>
      </c>
      <c r="P5376" s="3" t="s">
        <v>4180</v>
      </c>
      <c r="Q5376" s="30" t="str">
        <f t="shared" si="83"/>
        <v>MAX : 4.5
TARGET : 4.0
MIN : 3.5</v>
      </c>
    </row>
    <row r="5377" spans="2:18" ht="41.4" x14ac:dyDescent="0.3">
      <c r="B5377">
        <v>0</v>
      </c>
      <c r="C5377" s="33">
        <v>8446</v>
      </c>
      <c r="D5377" s="2">
        <v>1225</v>
      </c>
      <c r="E5377" s="2" t="s">
        <v>10057</v>
      </c>
      <c r="F5377" s="29" t="s">
        <v>14227</v>
      </c>
      <c r="G5377" s="3" t="s">
        <v>2843</v>
      </c>
      <c r="H5377" s="3" t="s">
        <v>2844</v>
      </c>
      <c r="K5377" s="2">
        <v>20</v>
      </c>
      <c r="L5377" s="2">
        <v>12</v>
      </c>
      <c r="M5377" s="3" t="s">
        <v>5577</v>
      </c>
      <c r="N5377" s="3" t="s">
        <v>1619</v>
      </c>
      <c r="O5377" s="3" t="s">
        <v>1620</v>
      </c>
      <c r="Q5377" s="30" t="str">
        <f t="shared" si="83"/>
        <v>MAX : 
TARGET : Yes (pass)
MIN : No (fail)</v>
      </c>
    </row>
    <row r="5378" spans="2:18" ht="41.4" x14ac:dyDescent="0.3">
      <c r="B5378">
        <v>0</v>
      </c>
      <c r="C5378" s="33">
        <v>8446</v>
      </c>
      <c r="D5378" s="2">
        <v>1225</v>
      </c>
      <c r="E5378" s="2" t="s">
        <v>10057</v>
      </c>
      <c r="F5378" s="29" t="s">
        <v>14227</v>
      </c>
      <c r="G5378" s="3" t="s">
        <v>2843</v>
      </c>
      <c r="H5378" s="3" t="s">
        <v>2844</v>
      </c>
      <c r="K5378" s="2">
        <v>20</v>
      </c>
      <c r="L5378" s="2">
        <v>12.3</v>
      </c>
      <c r="Q5378" s="30" t="str">
        <f t="shared" ref="Q5378:Q5441" si="84">"MAX : " &amp; P5378 &amp; CHAR(10) &amp; "TARGET : " &amp; O5378 &amp; CHAR(10) &amp; "MIN : " &amp; N5378</f>
        <v xml:space="preserve">MAX : 
TARGET : 
MIN : </v>
      </c>
    </row>
    <row r="5379" spans="2:18" ht="41.4" x14ac:dyDescent="0.3">
      <c r="B5379">
        <v>0</v>
      </c>
      <c r="C5379" s="33">
        <v>8446</v>
      </c>
      <c r="D5379" s="2">
        <v>1225</v>
      </c>
      <c r="E5379" s="2" t="s">
        <v>10057</v>
      </c>
      <c r="F5379" s="29" t="s">
        <v>14227</v>
      </c>
      <c r="G5379" s="3" t="s">
        <v>2843</v>
      </c>
      <c r="H5379" s="3" t="s">
        <v>2844</v>
      </c>
      <c r="K5379" s="2">
        <v>20</v>
      </c>
      <c r="L5379" s="2">
        <v>12.5</v>
      </c>
      <c r="Q5379" s="30" t="str">
        <f t="shared" si="84"/>
        <v xml:space="preserve">MAX : 
TARGET : 
MIN : </v>
      </c>
    </row>
    <row r="5380" spans="2:18" ht="41.4" x14ac:dyDescent="0.3">
      <c r="B5380">
        <v>0</v>
      </c>
      <c r="C5380" s="33">
        <v>8446</v>
      </c>
      <c r="D5380" s="2">
        <v>1225</v>
      </c>
      <c r="E5380" s="2" t="s">
        <v>10057</v>
      </c>
      <c r="F5380" s="29" t="s">
        <v>14227</v>
      </c>
      <c r="G5380" s="3" t="s">
        <v>2843</v>
      </c>
      <c r="H5380" s="3" t="s">
        <v>2844</v>
      </c>
      <c r="K5380" s="2">
        <v>20</v>
      </c>
      <c r="L5380" s="2">
        <v>12.6</v>
      </c>
      <c r="Q5380" s="30" t="str">
        <f t="shared" si="84"/>
        <v xml:space="preserve">MAX : 
TARGET : 
MIN : </v>
      </c>
    </row>
    <row r="5381" spans="2:18" ht="41.4" x14ac:dyDescent="0.3">
      <c r="B5381">
        <v>1</v>
      </c>
      <c r="C5381" s="33">
        <v>9166</v>
      </c>
      <c r="D5381" s="2">
        <v>1482</v>
      </c>
      <c r="E5381" s="2" t="s">
        <v>12883</v>
      </c>
      <c r="F5381" s="3" t="s">
        <v>14206</v>
      </c>
      <c r="H5381" s="3" t="s">
        <v>469</v>
      </c>
      <c r="K5381" s="2">
        <v>10</v>
      </c>
      <c r="L5381" s="2">
        <v>1</v>
      </c>
      <c r="M5381" s="3" t="s">
        <v>4737</v>
      </c>
      <c r="N5381" s="3" t="s">
        <v>702</v>
      </c>
      <c r="O5381" s="3" t="s">
        <v>703</v>
      </c>
      <c r="P5381" s="3" t="s">
        <v>704</v>
      </c>
      <c r="Q5381" s="30" t="str">
        <f t="shared" si="84"/>
        <v>MAX : 4.53
TARGET : 4.50
MIN : 4.47</v>
      </c>
    </row>
    <row r="5382" spans="2:18" ht="41.4" x14ac:dyDescent="0.3">
      <c r="B5382">
        <v>1</v>
      </c>
      <c r="C5382" s="33">
        <v>9167</v>
      </c>
      <c r="D5382" s="2">
        <v>1483</v>
      </c>
      <c r="E5382" s="2" t="s">
        <v>12888</v>
      </c>
      <c r="F5382" s="3" t="s">
        <v>14206</v>
      </c>
      <c r="H5382" s="3" t="s">
        <v>469</v>
      </c>
      <c r="K5382" s="2">
        <v>20</v>
      </c>
      <c r="L5382" s="2">
        <v>1</v>
      </c>
      <c r="M5382" s="3" t="s">
        <v>4738</v>
      </c>
      <c r="N5382" s="3" t="s">
        <v>4524</v>
      </c>
      <c r="O5382" s="3" t="s">
        <v>1064</v>
      </c>
      <c r="P5382" s="3" t="s">
        <v>4180</v>
      </c>
      <c r="Q5382" s="30" t="str">
        <f t="shared" si="84"/>
        <v>MAX : 4.5
TARGET : 4.0
MIN : 3.5</v>
      </c>
    </row>
    <row r="5383" spans="2:18" ht="41.4" x14ac:dyDescent="0.3">
      <c r="B5383">
        <v>0</v>
      </c>
      <c r="C5383" s="33">
        <v>9237</v>
      </c>
      <c r="D5383" s="2">
        <v>1530</v>
      </c>
      <c r="E5383" s="2" t="s">
        <v>13282</v>
      </c>
      <c r="F5383" s="3" t="s">
        <v>14206</v>
      </c>
      <c r="H5383" s="3" t="s">
        <v>5614</v>
      </c>
      <c r="K5383" s="2">
        <v>20</v>
      </c>
      <c r="L5383" s="2">
        <v>3</v>
      </c>
      <c r="M5383" s="3" t="s">
        <v>1412</v>
      </c>
      <c r="N5383" s="3" t="s">
        <v>1085</v>
      </c>
      <c r="O5383" s="3" t="s">
        <v>1840</v>
      </c>
      <c r="P5383" s="3" t="s">
        <v>271</v>
      </c>
      <c r="Q5383" s="30" t="str">
        <f t="shared" si="84"/>
        <v>MAX : 0.88
TARGET : 0.82
MIN : 0.76</v>
      </c>
    </row>
    <row r="5384" spans="2:18" ht="41.4" x14ac:dyDescent="0.3">
      <c r="B5384">
        <v>0</v>
      </c>
      <c r="C5384" s="33">
        <v>9237</v>
      </c>
      <c r="D5384" s="2">
        <v>1530</v>
      </c>
      <c r="E5384" s="2" t="s">
        <v>13282</v>
      </c>
      <c r="F5384" s="3" t="s">
        <v>14206</v>
      </c>
      <c r="H5384" s="3" t="s">
        <v>5614</v>
      </c>
      <c r="K5384" s="2">
        <v>20</v>
      </c>
      <c r="L5384" s="2">
        <v>4</v>
      </c>
      <c r="M5384" s="3" t="s">
        <v>78</v>
      </c>
      <c r="N5384" s="3" t="s">
        <v>13</v>
      </c>
      <c r="O5384" s="3" t="s">
        <v>14</v>
      </c>
      <c r="Q5384" s="30" t="str">
        <f t="shared" si="84"/>
        <v>MAX : 
TARGET : Yes(Pass)
MIN : No(Fail)</v>
      </c>
    </row>
    <row r="5385" spans="2:18" ht="41.4" x14ac:dyDescent="0.3">
      <c r="B5385">
        <v>1</v>
      </c>
      <c r="C5385" s="33">
        <v>9167</v>
      </c>
      <c r="D5385" s="2">
        <v>1483</v>
      </c>
      <c r="E5385" s="2" t="s">
        <v>12888</v>
      </c>
      <c r="F5385" s="3" t="s">
        <v>14206</v>
      </c>
      <c r="H5385" s="3" t="s">
        <v>469</v>
      </c>
      <c r="K5385" s="2">
        <v>10</v>
      </c>
      <c r="L5385" s="2">
        <v>1</v>
      </c>
      <c r="M5385" s="3" t="s">
        <v>4737</v>
      </c>
      <c r="N5385" s="3" t="s">
        <v>1767</v>
      </c>
      <c r="O5385" s="3" t="s">
        <v>1230</v>
      </c>
      <c r="P5385" s="3" t="s">
        <v>1768</v>
      </c>
      <c r="Q5385" s="30" t="str">
        <f t="shared" si="84"/>
        <v>MAX : 8.03
TARGET : 8.00
MIN : 7.97</v>
      </c>
    </row>
    <row r="5386" spans="2:18" ht="41.4" x14ac:dyDescent="0.3">
      <c r="B5386">
        <v>1</v>
      </c>
      <c r="C5386" s="33">
        <v>9168</v>
      </c>
      <c r="D5386" s="2">
        <v>1484</v>
      </c>
      <c r="E5386" s="2" t="s">
        <v>12894</v>
      </c>
      <c r="F5386" s="3" t="s">
        <v>14207</v>
      </c>
      <c r="H5386" s="3" t="s">
        <v>2361</v>
      </c>
      <c r="K5386" s="2">
        <v>10</v>
      </c>
      <c r="L5386" s="2">
        <v>4</v>
      </c>
      <c r="M5386" s="3" t="s">
        <v>331</v>
      </c>
      <c r="N5386" s="3" t="s">
        <v>733</v>
      </c>
      <c r="O5386" s="3" t="s">
        <v>5255</v>
      </c>
      <c r="P5386" s="3" t="s">
        <v>3092</v>
      </c>
      <c r="Q5386" s="30" t="str">
        <f t="shared" si="84"/>
        <v>MAX : 5.06
TARGET : 4.93
MIN : 4.80</v>
      </c>
      <c r="R5386" s="3" t="s">
        <v>3549</v>
      </c>
    </row>
    <row r="5387" spans="2:18" ht="41.4" x14ac:dyDescent="0.3">
      <c r="B5387">
        <v>1</v>
      </c>
      <c r="C5387" s="33">
        <v>9168</v>
      </c>
      <c r="D5387" s="2">
        <v>1484</v>
      </c>
      <c r="E5387" s="2" t="s">
        <v>12894</v>
      </c>
      <c r="F5387" s="3" t="s">
        <v>14207</v>
      </c>
      <c r="H5387" s="3" t="s">
        <v>2361</v>
      </c>
      <c r="K5387" s="2">
        <v>10</v>
      </c>
      <c r="L5387" s="2">
        <v>1</v>
      </c>
      <c r="M5387" s="3" t="s">
        <v>2362</v>
      </c>
      <c r="N5387" s="3" t="s">
        <v>974</v>
      </c>
      <c r="O5387" s="3" t="s">
        <v>3833</v>
      </c>
      <c r="P5387" s="3" t="s">
        <v>1764</v>
      </c>
      <c r="Q5387" s="30" t="str">
        <f t="shared" si="84"/>
        <v>MAX : 3.37
TARGET : 3.12
MIN : 2.87</v>
      </c>
      <c r="R5387" s="3" t="s">
        <v>3549</v>
      </c>
    </row>
    <row r="5388" spans="2:18" ht="41.4" x14ac:dyDescent="0.3">
      <c r="B5388">
        <v>1</v>
      </c>
      <c r="C5388" s="33">
        <v>9169</v>
      </c>
      <c r="D5388" s="2">
        <v>2089</v>
      </c>
      <c r="E5388" s="2" t="s">
        <v>12900</v>
      </c>
      <c r="F5388" s="3" t="s">
        <v>14206</v>
      </c>
      <c r="H5388" s="3" t="s">
        <v>568</v>
      </c>
      <c r="K5388" s="2">
        <v>10</v>
      </c>
      <c r="L5388" s="2">
        <v>2</v>
      </c>
      <c r="M5388" s="3" t="s">
        <v>325</v>
      </c>
      <c r="N5388" s="3" t="s">
        <v>13</v>
      </c>
      <c r="O5388" s="3" t="s">
        <v>14</v>
      </c>
      <c r="Q5388" s="30" t="str">
        <f t="shared" si="84"/>
        <v>MAX : 
TARGET : Yes(Pass)
MIN : No(Fail)</v>
      </c>
    </row>
    <row r="5389" spans="2:18" ht="41.4" x14ac:dyDescent="0.3">
      <c r="B5389">
        <v>0</v>
      </c>
      <c r="C5389" s="33">
        <v>9117</v>
      </c>
      <c r="D5389" s="2">
        <v>1449</v>
      </c>
      <c r="E5389" s="2" t="s">
        <v>12587</v>
      </c>
      <c r="F5389" s="3" t="s">
        <v>14255</v>
      </c>
      <c r="H5389" s="3" t="s">
        <v>4941</v>
      </c>
      <c r="K5389" s="2">
        <v>30</v>
      </c>
      <c r="L5389" s="2">
        <v>8</v>
      </c>
      <c r="M5389" s="3" t="s">
        <v>5538</v>
      </c>
      <c r="N5389" s="3" t="s">
        <v>4028</v>
      </c>
      <c r="O5389" s="3" t="s">
        <v>2999</v>
      </c>
      <c r="P5389" s="3" t="s">
        <v>4953</v>
      </c>
      <c r="Q5389" s="30" t="str">
        <f t="shared" si="84"/>
        <v>MAX : 6.3
TARGET : 5.8
MIN : 5.3</v>
      </c>
    </row>
    <row r="5390" spans="2:18" ht="41.4" x14ac:dyDescent="0.3">
      <c r="B5390">
        <v>1</v>
      </c>
      <c r="C5390" s="33">
        <v>9169</v>
      </c>
      <c r="D5390" s="2">
        <v>2089</v>
      </c>
      <c r="E5390" s="2" t="s">
        <v>12900</v>
      </c>
      <c r="F5390" s="3" t="s">
        <v>14206</v>
      </c>
      <c r="H5390" s="3" t="s">
        <v>568</v>
      </c>
      <c r="K5390" s="2">
        <v>10</v>
      </c>
      <c r="L5390" s="2">
        <v>1</v>
      </c>
      <c r="M5390" s="3" t="s">
        <v>458</v>
      </c>
      <c r="N5390" s="3" t="s">
        <v>20</v>
      </c>
      <c r="O5390" s="3" t="s">
        <v>1663</v>
      </c>
      <c r="P5390" s="3" t="s">
        <v>5201</v>
      </c>
      <c r="Q5390" s="30" t="str">
        <f t="shared" si="84"/>
        <v>MAX : 0.800
TARGET : 0.775
MIN : 0.750</v>
      </c>
    </row>
    <row r="5391" spans="2:18" ht="41.4" x14ac:dyDescent="0.3">
      <c r="B5391">
        <v>1</v>
      </c>
      <c r="C5391" s="33">
        <v>9170</v>
      </c>
      <c r="D5391" s="2">
        <v>1485</v>
      </c>
      <c r="E5391" s="2" t="s">
        <v>12906</v>
      </c>
      <c r="F5391" s="3" t="s">
        <v>14206</v>
      </c>
      <c r="H5391" s="3" t="s">
        <v>5191</v>
      </c>
      <c r="K5391" s="2">
        <v>20</v>
      </c>
      <c r="L5391" s="2">
        <v>1</v>
      </c>
      <c r="M5391" s="3" t="s">
        <v>194</v>
      </c>
      <c r="N5391" s="3" t="s">
        <v>5192</v>
      </c>
      <c r="O5391" s="3" t="s">
        <v>5193</v>
      </c>
      <c r="P5391" s="3" t="s">
        <v>5194</v>
      </c>
      <c r="Q5391" s="30" t="str">
        <f t="shared" si="84"/>
        <v>MAX : 6.78
TARGET : 6.77
MIN : 6.76</v>
      </c>
    </row>
    <row r="5392" spans="2:18" ht="41.4" x14ac:dyDescent="0.3">
      <c r="B5392">
        <v>1</v>
      </c>
      <c r="C5392" s="33">
        <v>9170</v>
      </c>
      <c r="D5392" s="2">
        <v>1485</v>
      </c>
      <c r="E5392" s="2" t="s">
        <v>12906</v>
      </c>
      <c r="F5392" s="3" t="s">
        <v>14206</v>
      </c>
      <c r="H5392" s="3" t="s">
        <v>5191</v>
      </c>
      <c r="K5392" s="2">
        <v>10</v>
      </c>
      <c r="L5392" s="2">
        <v>1</v>
      </c>
      <c r="M5392" s="3" t="s">
        <v>325</v>
      </c>
      <c r="N5392" s="3" t="s">
        <v>13</v>
      </c>
      <c r="O5392" s="3" t="s">
        <v>14</v>
      </c>
      <c r="Q5392" s="30" t="str">
        <f t="shared" si="84"/>
        <v>MAX : 
TARGET : Yes(Pass)
MIN : No(Fail)</v>
      </c>
    </row>
    <row r="5393" spans="2:17" ht="41.4" x14ac:dyDescent="0.3">
      <c r="B5393">
        <v>1</v>
      </c>
      <c r="C5393" s="33">
        <v>9171</v>
      </c>
      <c r="D5393" s="2">
        <v>1486</v>
      </c>
      <c r="E5393" s="2" t="s">
        <v>12912</v>
      </c>
      <c r="F5393" s="3" t="s">
        <v>14206</v>
      </c>
      <c r="H5393" s="3" t="s">
        <v>1183</v>
      </c>
      <c r="K5393" s="2">
        <v>20</v>
      </c>
      <c r="L5393" s="2">
        <v>1</v>
      </c>
      <c r="M5393" s="3" t="s">
        <v>194</v>
      </c>
      <c r="N5393" s="3" t="s">
        <v>1701</v>
      </c>
      <c r="O5393" s="3" t="s">
        <v>1702</v>
      </c>
      <c r="P5393" s="3" t="s">
        <v>1703</v>
      </c>
      <c r="Q5393" s="30" t="str">
        <f t="shared" si="84"/>
        <v>MAX : 0.60
TARGET : 0.59
MIN : 0.58</v>
      </c>
    </row>
    <row r="5394" spans="2:17" ht="41.4" x14ac:dyDescent="0.3">
      <c r="B5394">
        <v>1</v>
      </c>
      <c r="C5394" s="33">
        <v>9171</v>
      </c>
      <c r="D5394" s="2">
        <v>1486</v>
      </c>
      <c r="E5394" s="2" t="s">
        <v>12912</v>
      </c>
      <c r="F5394" s="3" t="s">
        <v>14206</v>
      </c>
      <c r="H5394" s="3" t="s">
        <v>1183</v>
      </c>
      <c r="K5394" s="2">
        <v>10</v>
      </c>
      <c r="L5394" s="2">
        <v>1</v>
      </c>
      <c r="M5394" s="3" t="s">
        <v>5202</v>
      </c>
      <c r="N5394" s="3" t="s">
        <v>13</v>
      </c>
      <c r="O5394" s="3" t="s">
        <v>14</v>
      </c>
      <c r="Q5394" s="30" t="str">
        <f t="shared" si="84"/>
        <v>MAX : 
TARGET : Yes(Pass)
MIN : No(Fail)</v>
      </c>
    </row>
    <row r="5395" spans="2:17" ht="41.4" x14ac:dyDescent="0.3">
      <c r="B5395">
        <v>1</v>
      </c>
      <c r="C5395" s="33">
        <v>9172</v>
      </c>
      <c r="D5395" s="2">
        <v>1487</v>
      </c>
      <c r="E5395" s="2" t="s">
        <v>12918</v>
      </c>
      <c r="F5395" s="3" t="s">
        <v>14206</v>
      </c>
      <c r="H5395" s="3" t="s">
        <v>1183</v>
      </c>
      <c r="K5395" s="2">
        <v>20</v>
      </c>
      <c r="L5395" s="2">
        <v>1</v>
      </c>
      <c r="M5395" s="3" t="s">
        <v>194</v>
      </c>
      <c r="N5395" s="3" t="s">
        <v>785</v>
      </c>
      <c r="O5395" s="3" t="s">
        <v>1531</v>
      </c>
      <c r="P5395" s="3" t="s">
        <v>2011</v>
      </c>
      <c r="Q5395" s="30" t="str">
        <f t="shared" si="84"/>
        <v>MAX : 0.57
TARGET : 0.56
MIN : 0.55</v>
      </c>
    </row>
    <row r="5396" spans="2:17" ht="41.4" x14ac:dyDescent="0.3">
      <c r="B5396">
        <v>1</v>
      </c>
      <c r="C5396" s="33">
        <v>9172</v>
      </c>
      <c r="D5396" s="2">
        <v>1487</v>
      </c>
      <c r="E5396" s="2" t="s">
        <v>12918</v>
      </c>
      <c r="F5396" s="3" t="s">
        <v>14206</v>
      </c>
      <c r="H5396" s="3" t="s">
        <v>1183</v>
      </c>
      <c r="K5396" s="2">
        <v>10</v>
      </c>
      <c r="L5396" s="2">
        <v>1</v>
      </c>
      <c r="M5396" s="3" t="s">
        <v>5202</v>
      </c>
      <c r="N5396" s="3" t="s">
        <v>13</v>
      </c>
      <c r="O5396" s="3" t="s">
        <v>14</v>
      </c>
      <c r="Q5396" s="30" t="str">
        <f t="shared" si="84"/>
        <v>MAX : 
TARGET : Yes(Pass)
MIN : No(Fail)</v>
      </c>
    </row>
    <row r="5397" spans="2:17" ht="41.4" x14ac:dyDescent="0.3">
      <c r="B5397">
        <v>0</v>
      </c>
      <c r="C5397" s="33">
        <v>9239</v>
      </c>
      <c r="D5397" s="2">
        <v>1531</v>
      </c>
      <c r="E5397" s="2" t="s">
        <v>13296</v>
      </c>
      <c r="F5397" s="3" t="s">
        <v>14206</v>
      </c>
      <c r="H5397" s="3" t="s">
        <v>1332</v>
      </c>
      <c r="K5397" s="2">
        <v>10</v>
      </c>
      <c r="L5397" s="2">
        <v>4</v>
      </c>
      <c r="M5397" s="3" t="s">
        <v>1175</v>
      </c>
      <c r="N5397" s="3" t="s">
        <v>150</v>
      </c>
      <c r="O5397" s="3" t="s">
        <v>1176</v>
      </c>
      <c r="P5397" s="3" t="s">
        <v>195</v>
      </c>
      <c r="Q5397" s="30" t="str">
        <f t="shared" si="84"/>
        <v>MAX : 12.75
TARGET : 12.50
MIN : 12.25</v>
      </c>
    </row>
    <row r="5398" spans="2:17" ht="41.4" x14ac:dyDescent="0.3">
      <c r="B5398">
        <v>0</v>
      </c>
      <c r="C5398" s="33">
        <v>9239</v>
      </c>
      <c r="D5398" s="2">
        <v>1531</v>
      </c>
      <c r="E5398" s="2" t="s">
        <v>13296</v>
      </c>
      <c r="F5398" s="3" t="s">
        <v>14206</v>
      </c>
      <c r="H5398" s="3" t="s">
        <v>1332</v>
      </c>
      <c r="K5398" s="2">
        <v>20</v>
      </c>
      <c r="L5398" s="2">
        <v>1</v>
      </c>
      <c r="M5398" s="3" t="s">
        <v>1177</v>
      </c>
      <c r="N5398" s="3" t="s">
        <v>13</v>
      </c>
      <c r="O5398" s="3" t="s">
        <v>14</v>
      </c>
      <c r="Q5398" s="30" t="str">
        <f t="shared" si="84"/>
        <v>MAX : 
TARGET : Yes(Pass)
MIN : No(Fail)</v>
      </c>
    </row>
    <row r="5399" spans="2:17" ht="41.4" x14ac:dyDescent="0.3">
      <c r="B5399">
        <v>0</v>
      </c>
      <c r="C5399" s="33">
        <v>9239</v>
      </c>
      <c r="D5399" s="2">
        <v>1531</v>
      </c>
      <c r="E5399" s="2" t="s">
        <v>13296</v>
      </c>
      <c r="F5399" s="3" t="s">
        <v>14206</v>
      </c>
      <c r="H5399" s="3" t="s">
        <v>1332</v>
      </c>
      <c r="K5399" s="2">
        <v>20</v>
      </c>
      <c r="L5399" s="2">
        <v>4</v>
      </c>
      <c r="M5399" s="3" t="s">
        <v>1178</v>
      </c>
      <c r="N5399" s="3" t="s">
        <v>13</v>
      </c>
      <c r="O5399" s="3" t="s">
        <v>14</v>
      </c>
      <c r="Q5399" s="30" t="str">
        <f t="shared" si="84"/>
        <v>MAX : 
TARGET : Yes(Pass)
MIN : No(Fail)</v>
      </c>
    </row>
    <row r="5400" spans="2:17" ht="41.4" x14ac:dyDescent="0.3">
      <c r="B5400">
        <v>0</v>
      </c>
      <c r="C5400" s="33">
        <v>9239</v>
      </c>
      <c r="D5400" s="2">
        <v>1531</v>
      </c>
      <c r="E5400" s="2" t="s">
        <v>13296</v>
      </c>
      <c r="F5400" s="3" t="s">
        <v>14206</v>
      </c>
      <c r="H5400" s="3" t="s">
        <v>1332</v>
      </c>
      <c r="K5400" s="2">
        <v>20</v>
      </c>
      <c r="L5400" s="2">
        <v>2</v>
      </c>
      <c r="M5400" s="3" t="s">
        <v>1179</v>
      </c>
      <c r="N5400" s="3" t="s">
        <v>13</v>
      </c>
      <c r="O5400" s="3" t="s">
        <v>14</v>
      </c>
      <c r="Q5400" s="30" t="str">
        <f t="shared" si="84"/>
        <v>MAX : 
TARGET : Yes(Pass)
MIN : No(Fail)</v>
      </c>
    </row>
    <row r="5401" spans="2:17" ht="41.4" x14ac:dyDescent="0.3">
      <c r="B5401">
        <v>0</v>
      </c>
      <c r="C5401" s="33">
        <v>9239</v>
      </c>
      <c r="D5401" s="2">
        <v>1531</v>
      </c>
      <c r="E5401" s="2" t="s">
        <v>13296</v>
      </c>
      <c r="F5401" s="3" t="s">
        <v>14206</v>
      </c>
      <c r="H5401" s="3" t="s">
        <v>1332</v>
      </c>
      <c r="K5401" s="2">
        <v>20</v>
      </c>
      <c r="L5401" s="2">
        <v>3</v>
      </c>
      <c r="M5401" s="3" t="s">
        <v>1180</v>
      </c>
      <c r="N5401" s="3" t="s">
        <v>13</v>
      </c>
      <c r="O5401" s="3" t="s">
        <v>14</v>
      </c>
      <c r="Q5401" s="30" t="str">
        <f t="shared" si="84"/>
        <v>MAX : 
TARGET : Yes(Pass)
MIN : No(Fail)</v>
      </c>
    </row>
    <row r="5402" spans="2:17" ht="41.4" x14ac:dyDescent="0.3">
      <c r="B5402">
        <v>0</v>
      </c>
      <c r="C5402" s="33">
        <v>9239</v>
      </c>
      <c r="D5402" s="2">
        <v>1531</v>
      </c>
      <c r="E5402" s="2" t="s">
        <v>13296</v>
      </c>
      <c r="F5402" s="3" t="s">
        <v>14206</v>
      </c>
      <c r="H5402" s="3" t="s">
        <v>1332</v>
      </c>
      <c r="K5402" s="2">
        <v>20</v>
      </c>
      <c r="L5402" s="2">
        <v>5</v>
      </c>
      <c r="M5402" s="3" t="s">
        <v>1181</v>
      </c>
      <c r="N5402" s="3" t="s">
        <v>13</v>
      </c>
      <c r="O5402" s="3" t="s">
        <v>14</v>
      </c>
      <c r="Q5402" s="30" t="str">
        <f t="shared" si="84"/>
        <v>MAX : 
TARGET : Yes(Pass)
MIN : No(Fail)</v>
      </c>
    </row>
    <row r="5403" spans="2:17" ht="41.4" x14ac:dyDescent="0.3">
      <c r="B5403">
        <v>0</v>
      </c>
      <c r="C5403" s="33">
        <v>9239</v>
      </c>
      <c r="D5403" s="2">
        <v>1531</v>
      </c>
      <c r="E5403" s="2" t="s">
        <v>13296</v>
      </c>
      <c r="F5403" s="3" t="s">
        <v>14206</v>
      </c>
      <c r="H5403" s="3" t="s">
        <v>1332</v>
      </c>
      <c r="K5403" s="2">
        <v>10</v>
      </c>
      <c r="L5403" s="2">
        <v>1</v>
      </c>
      <c r="M5403" s="3" t="s">
        <v>1182</v>
      </c>
      <c r="N5403" s="3" t="s">
        <v>13</v>
      </c>
      <c r="O5403" s="3" t="s">
        <v>14</v>
      </c>
      <c r="Q5403" s="30" t="str">
        <f t="shared" si="84"/>
        <v>MAX : 
TARGET : Yes(Pass)
MIN : No(Fail)</v>
      </c>
    </row>
    <row r="5404" spans="2:17" ht="41.4" x14ac:dyDescent="0.3">
      <c r="B5404">
        <v>1</v>
      </c>
      <c r="C5404" s="33">
        <v>9173</v>
      </c>
      <c r="D5404" s="2">
        <v>1488</v>
      </c>
      <c r="E5404" s="2" t="s">
        <v>12924</v>
      </c>
      <c r="F5404" s="3" t="s">
        <v>14206</v>
      </c>
      <c r="H5404" s="3" t="s">
        <v>1183</v>
      </c>
      <c r="K5404" s="2">
        <v>20</v>
      </c>
      <c r="L5404" s="2">
        <v>1</v>
      </c>
      <c r="M5404" s="3" t="s">
        <v>194</v>
      </c>
      <c r="N5404" s="3" t="s">
        <v>3953</v>
      </c>
      <c r="O5404" s="3" t="s">
        <v>2321</v>
      </c>
      <c r="P5404" s="3" t="s">
        <v>2430</v>
      </c>
      <c r="Q5404" s="30" t="str">
        <f t="shared" si="84"/>
        <v>MAX : 5.82
TARGET : 5.81
MIN : 5.80</v>
      </c>
    </row>
    <row r="5405" spans="2:17" ht="41.4" x14ac:dyDescent="0.3">
      <c r="B5405">
        <v>1</v>
      </c>
      <c r="C5405" s="33">
        <v>9173</v>
      </c>
      <c r="D5405" s="2">
        <v>1488</v>
      </c>
      <c r="E5405" s="2" t="s">
        <v>12924</v>
      </c>
      <c r="F5405" s="3" t="s">
        <v>14206</v>
      </c>
      <c r="H5405" s="3" t="s">
        <v>1183</v>
      </c>
      <c r="K5405" s="2">
        <v>10</v>
      </c>
      <c r="L5405" s="2">
        <v>1</v>
      </c>
      <c r="M5405" s="3" t="s">
        <v>325</v>
      </c>
      <c r="N5405" s="3" t="s">
        <v>13</v>
      </c>
      <c r="O5405" s="3" t="s">
        <v>14</v>
      </c>
      <c r="Q5405" s="30" t="str">
        <f t="shared" si="84"/>
        <v>MAX : 
TARGET : Yes(Pass)
MIN : No(Fail)</v>
      </c>
    </row>
    <row r="5406" spans="2:17" ht="41.4" x14ac:dyDescent="0.3">
      <c r="B5406">
        <v>0</v>
      </c>
      <c r="C5406" s="33">
        <v>9240</v>
      </c>
      <c r="D5406" s="2">
        <v>2110</v>
      </c>
      <c r="E5406" s="2" t="s">
        <v>13303</v>
      </c>
      <c r="F5406" s="3" t="s">
        <v>14206</v>
      </c>
      <c r="H5406" s="3" t="s">
        <v>11</v>
      </c>
      <c r="K5406" s="2">
        <v>10</v>
      </c>
      <c r="L5406" s="2">
        <v>3</v>
      </c>
      <c r="M5406" s="3" t="s">
        <v>5620</v>
      </c>
      <c r="N5406" s="3" t="s">
        <v>13</v>
      </c>
      <c r="O5406" s="3" t="s">
        <v>14</v>
      </c>
      <c r="Q5406" s="30" t="str">
        <f t="shared" si="84"/>
        <v>MAX : 
TARGET : Yes(Pass)
MIN : No(Fail)</v>
      </c>
    </row>
    <row r="5407" spans="2:17" ht="41.4" x14ac:dyDescent="0.3">
      <c r="B5407">
        <v>1</v>
      </c>
      <c r="C5407" s="33">
        <v>9174</v>
      </c>
      <c r="D5407" s="2">
        <v>1489</v>
      </c>
      <c r="E5407" s="2" t="s">
        <v>12930</v>
      </c>
      <c r="F5407" s="3" t="s">
        <v>14206</v>
      </c>
      <c r="H5407" s="3" t="s">
        <v>5191</v>
      </c>
      <c r="K5407" s="2">
        <v>20</v>
      </c>
      <c r="L5407" s="2">
        <v>1</v>
      </c>
      <c r="M5407" s="3" t="s">
        <v>194</v>
      </c>
      <c r="N5407" s="3" t="s">
        <v>796</v>
      </c>
      <c r="O5407" s="3" t="s">
        <v>3226</v>
      </c>
      <c r="P5407" s="3" t="s">
        <v>162</v>
      </c>
      <c r="Q5407" s="30" t="str">
        <f t="shared" si="84"/>
        <v>MAX : 3.72
TARGET : 3.71
MIN : 3.70</v>
      </c>
    </row>
    <row r="5408" spans="2:17" ht="41.4" x14ac:dyDescent="0.3">
      <c r="B5408">
        <v>1</v>
      </c>
      <c r="C5408" s="33">
        <v>9174</v>
      </c>
      <c r="D5408" s="2">
        <v>1489</v>
      </c>
      <c r="E5408" s="2" t="s">
        <v>12930</v>
      </c>
      <c r="F5408" s="3" t="s">
        <v>14206</v>
      </c>
      <c r="H5408" s="3" t="s">
        <v>5191</v>
      </c>
      <c r="K5408" s="2">
        <v>10</v>
      </c>
      <c r="L5408" s="2">
        <v>1</v>
      </c>
      <c r="M5408" s="3" t="s">
        <v>325</v>
      </c>
      <c r="N5408" s="3" t="s">
        <v>13</v>
      </c>
      <c r="O5408" s="3" t="s">
        <v>14</v>
      </c>
      <c r="Q5408" s="30" t="str">
        <f t="shared" si="84"/>
        <v>MAX : 
TARGET : Yes(Pass)
MIN : No(Fail)</v>
      </c>
    </row>
    <row r="5409" spans="2:17" ht="41.4" x14ac:dyDescent="0.3">
      <c r="B5409">
        <v>0</v>
      </c>
      <c r="C5409" s="33">
        <v>9241</v>
      </c>
      <c r="D5409" s="2">
        <v>1532</v>
      </c>
      <c r="E5409" s="2" t="s">
        <v>13310</v>
      </c>
      <c r="F5409" s="3" t="s">
        <v>14206</v>
      </c>
      <c r="H5409" s="3" t="s">
        <v>5621</v>
      </c>
      <c r="K5409" s="2">
        <v>10</v>
      </c>
      <c r="L5409" s="2">
        <v>3</v>
      </c>
      <c r="M5409" s="3" t="s">
        <v>198</v>
      </c>
      <c r="N5409" s="3" t="s">
        <v>5628</v>
      </c>
      <c r="O5409" s="3" t="s">
        <v>5629</v>
      </c>
      <c r="P5409" s="3" t="s">
        <v>5630</v>
      </c>
      <c r="Q5409" s="30" t="str">
        <f t="shared" si="84"/>
        <v>MAX : 12.35
TARGET : 12.32
MIN : 12.29</v>
      </c>
    </row>
    <row r="5410" spans="2:17" ht="41.4" x14ac:dyDescent="0.3">
      <c r="B5410">
        <v>0</v>
      </c>
      <c r="C5410" s="33">
        <v>9241</v>
      </c>
      <c r="D5410" s="2">
        <v>1532</v>
      </c>
      <c r="E5410" s="2" t="s">
        <v>13310</v>
      </c>
      <c r="F5410" s="3" t="s">
        <v>14206</v>
      </c>
      <c r="H5410" s="3" t="s">
        <v>5621</v>
      </c>
      <c r="K5410" s="2">
        <v>10</v>
      </c>
      <c r="L5410" s="2">
        <v>4</v>
      </c>
      <c r="M5410" s="3" t="s">
        <v>3426</v>
      </c>
      <c r="N5410" s="3" t="s">
        <v>5631</v>
      </c>
      <c r="O5410" s="3" t="s">
        <v>2196</v>
      </c>
      <c r="P5410" s="3" t="s">
        <v>5632</v>
      </c>
      <c r="Q5410" s="30" t="str">
        <f t="shared" si="84"/>
        <v>MAX : 11.95
TARGET : 11.92
MIN : 11.89</v>
      </c>
    </row>
    <row r="5411" spans="2:17" ht="41.4" x14ac:dyDescent="0.3">
      <c r="B5411">
        <v>1</v>
      </c>
      <c r="C5411" s="33">
        <v>9175</v>
      </c>
      <c r="D5411" s="2">
        <v>1490</v>
      </c>
      <c r="E5411" s="2" t="s">
        <v>12936</v>
      </c>
      <c r="F5411" s="3" t="s">
        <v>14206</v>
      </c>
      <c r="H5411" s="3" t="s">
        <v>810</v>
      </c>
      <c r="K5411" s="2">
        <v>20</v>
      </c>
      <c r="L5411" s="2">
        <v>1</v>
      </c>
      <c r="M5411" s="3" t="s">
        <v>194</v>
      </c>
      <c r="N5411" s="3" t="s">
        <v>5214</v>
      </c>
      <c r="O5411" s="3" t="s">
        <v>5215</v>
      </c>
      <c r="P5411" s="3" t="s">
        <v>5216</v>
      </c>
      <c r="Q5411" s="30" t="str">
        <f t="shared" si="84"/>
        <v>MAX : 3.810
TARGET : 3.800
MIN : 3.790</v>
      </c>
    </row>
    <row r="5412" spans="2:17" ht="41.4" x14ac:dyDescent="0.3">
      <c r="B5412">
        <v>0</v>
      </c>
      <c r="C5412" s="33">
        <v>9150</v>
      </c>
      <c r="D5412" s="2">
        <v>1472</v>
      </c>
      <c r="E5412" s="2" t="s">
        <v>12774</v>
      </c>
      <c r="F5412" s="29" t="s">
        <v>14257</v>
      </c>
      <c r="H5412" s="3" t="s">
        <v>648</v>
      </c>
      <c r="K5412" s="2">
        <v>20</v>
      </c>
      <c r="L5412" s="2">
        <v>5</v>
      </c>
      <c r="M5412" s="3" t="s">
        <v>6145</v>
      </c>
      <c r="N5412" s="3" t="s">
        <v>1619</v>
      </c>
      <c r="O5412" s="3" t="s">
        <v>1620</v>
      </c>
      <c r="Q5412" s="30" t="str">
        <f t="shared" si="84"/>
        <v>MAX : 
TARGET : Yes (pass)
MIN : No (fail)</v>
      </c>
    </row>
    <row r="5413" spans="2:17" ht="41.4" x14ac:dyDescent="0.3">
      <c r="B5413">
        <v>1</v>
      </c>
      <c r="C5413" s="33">
        <v>9175</v>
      </c>
      <c r="D5413" s="2">
        <v>1490</v>
      </c>
      <c r="E5413" s="2" t="s">
        <v>12936</v>
      </c>
      <c r="F5413" s="3" t="s">
        <v>14206</v>
      </c>
      <c r="H5413" s="3" t="s">
        <v>810</v>
      </c>
      <c r="K5413" s="2">
        <v>10</v>
      </c>
      <c r="L5413" s="2">
        <v>1</v>
      </c>
      <c r="M5413" s="3" t="s">
        <v>325</v>
      </c>
      <c r="N5413" s="3" t="s">
        <v>13</v>
      </c>
      <c r="O5413" s="3" t="s">
        <v>14</v>
      </c>
      <c r="Q5413" s="30" t="str">
        <f t="shared" si="84"/>
        <v>MAX : 
TARGET : Yes(Pass)
MIN : No(Fail)</v>
      </c>
    </row>
    <row r="5414" spans="2:17" ht="41.4" x14ac:dyDescent="0.3">
      <c r="B5414">
        <v>1</v>
      </c>
      <c r="C5414" s="33">
        <v>9175</v>
      </c>
      <c r="D5414" s="2">
        <v>1490</v>
      </c>
      <c r="E5414" s="2" t="s">
        <v>12936</v>
      </c>
      <c r="F5414" s="3" t="s">
        <v>14206</v>
      </c>
      <c r="H5414" s="3" t="s">
        <v>810</v>
      </c>
      <c r="K5414" s="2">
        <v>20</v>
      </c>
      <c r="L5414" s="2">
        <v>3</v>
      </c>
      <c r="M5414" s="3" t="s">
        <v>1666</v>
      </c>
      <c r="N5414" s="3" t="s">
        <v>5750</v>
      </c>
      <c r="O5414" s="3" t="s">
        <v>5751</v>
      </c>
      <c r="P5414" s="3" t="s">
        <v>5752</v>
      </c>
      <c r="Q5414" s="30" t="str">
        <f t="shared" si="84"/>
        <v>MAX : 0.064
TARGET : 0.049
MIN : 0.034</v>
      </c>
    </row>
    <row r="5415" spans="2:17" ht="41.4" x14ac:dyDescent="0.3">
      <c r="B5415">
        <v>1</v>
      </c>
      <c r="C5415" s="33">
        <v>9175</v>
      </c>
      <c r="D5415" s="2">
        <v>1490</v>
      </c>
      <c r="E5415" s="2" t="s">
        <v>12936</v>
      </c>
      <c r="F5415" s="3" t="s">
        <v>14206</v>
      </c>
      <c r="H5415" s="3" t="s">
        <v>810</v>
      </c>
      <c r="K5415" s="2">
        <v>20</v>
      </c>
      <c r="L5415" s="2">
        <v>4</v>
      </c>
      <c r="M5415" s="3" t="s">
        <v>5773</v>
      </c>
      <c r="N5415" s="3" t="s">
        <v>5774</v>
      </c>
      <c r="O5415" s="3" t="s">
        <v>5775</v>
      </c>
      <c r="P5415" s="3" t="s">
        <v>5776</v>
      </c>
      <c r="Q5415" s="30" t="str">
        <f t="shared" si="84"/>
        <v>MAX : 1.911
TARGET : 1.901
MIN : 1.891</v>
      </c>
    </row>
    <row r="5416" spans="2:17" ht="41.4" x14ac:dyDescent="0.3">
      <c r="B5416">
        <v>1</v>
      </c>
      <c r="C5416" s="33">
        <v>9175</v>
      </c>
      <c r="D5416" s="2">
        <v>1490</v>
      </c>
      <c r="E5416" s="2" t="s">
        <v>12936</v>
      </c>
      <c r="F5416" s="3" t="s">
        <v>14206</v>
      </c>
      <c r="H5416" s="3" t="s">
        <v>810</v>
      </c>
      <c r="K5416" s="2">
        <v>20</v>
      </c>
      <c r="L5416" s="2">
        <v>5</v>
      </c>
      <c r="M5416" s="3" t="s">
        <v>5777</v>
      </c>
      <c r="N5416" s="3" t="s">
        <v>5778</v>
      </c>
      <c r="O5416" s="3" t="s">
        <v>242</v>
      </c>
      <c r="P5416" s="3" t="s">
        <v>4645</v>
      </c>
      <c r="Q5416" s="30" t="str">
        <f t="shared" si="84"/>
        <v>MAX : 0.166
TARGET : 0.156
MIN : 0.146</v>
      </c>
    </row>
    <row r="5417" spans="2:17" ht="41.4" x14ac:dyDescent="0.3">
      <c r="B5417">
        <v>1</v>
      </c>
      <c r="C5417" s="33">
        <v>9176</v>
      </c>
      <c r="D5417" s="2">
        <v>1491</v>
      </c>
      <c r="E5417" s="2" t="s">
        <v>12942</v>
      </c>
      <c r="F5417" s="3" t="s">
        <v>14206</v>
      </c>
      <c r="H5417" s="3" t="s">
        <v>810</v>
      </c>
      <c r="K5417" s="2">
        <v>20</v>
      </c>
      <c r="L5417" s="2">
        <v>1</v>
      </c>
      <c r="M5417" s="3" t="s">
        <v>194</v>
      </c>
      <c r="N5417" s="3" t="s">
        <v>689</v>
      </c>
      <c r="O5417" s="3" t="s">
        <v>425</v>
      </c>
      <c r="P5417" s="3" t="s">
        <v>2145</v>
      </c>
      <c r="Q5417" s="30" t="str">
        <f t="shared" si="84"/>
        <v>MAX : 0.32
TARGET : 0.31
MIN : 0.30</v>
      </c>
    </row>
    <row r="5418" spans="2:17" ht="41.4" x14ac:dyDescent="0.3">
      <c r="B5418">
        <v>0</v>
      </c>
      <c r="C5418" s="33">
        <v>9242</v>
      </c>
      <c r="D5418" s="2">
        <v>1533</v>
      </c>
      <c r="E5418" s="2" t="s">
        <v>13316</v>
      </c>
      <c r="F5418" s="3" t="s">
        <v>14206</v>
      </c>
      <c r="H5418" s="3" t="s">
        <v>2965</v>
      </c>
      <c r="K5418" s="2">
        <v>10</v>
      </c>
      <c r="L5418" s="2">
        <v>3</v>
      </c>
      <c r="M5418" s="3" t="s">
        <v>1666</v>
      </c>
      <c r="N5418" s="3" t="s">
        <v>5636</v>
      </c>
      <c r="O5418" s="3" t="s">
        <v>5637</v>
      </c>
      <c r="P5418" s="3" t="s">
        <v>5638</v>
      </c>
      <c r="Q5418" s="30" t="str">
        <f t="shared" si="84"/>
        <v>MAX : 0.118
TARGET : 0.088
MIN : 0.058</v>
      </c>
    </row>
    <row r="5419" spans="2:17" ht="41.4" x14ac:dyDescent="0.3">
      <c r="B5419">
        <v>0</v>
      </c>
      <c r="C5419" s="33">
        <v>9242</v>
      </c>
      <c r="D5419" s="2">
        <v>1533</v>
      </c>
      <c r="E5419" s="2" t="s">
        <v>13316</v>
      </c>
      <c r="F5419" s="3" t="s">
        <v>14206</v>
      </c>
      <c r="H5419" s="3" t="s">
        <v>2965</v>
      </c>
      <c r="K5419" s="2">
        <v>10</v>
      </c>
      <c r="L5419" s="2">
        <v>4</v>
      </c>
      <c r="M5419" s="3" t="s">
        <v>1403</v>
      </c>
      <c r="N5419" s="3" t="s">
        <v>13</v>
      </c>
      <c r="O5419" s="3" t="s">
        <v>14</v>
      </c>
      <c r="Q5419" s="30" t="str">
        <f t="shared" si="84"/>
        <v>MAX : 
TARGET : Yes(Pass)
MIN : No(Fail)</v>
      </c>
    </row>
    <row r="5420" spans="2:17" ht="41.4" x14ac:dyDescent="0.3">
      <c r="B5420">
        <v>1</v>
      </c>
      <c r="C5420" s="33">
        <v>9176</v>
      </c>
      <c r="D5420" s="2">
        <v>1491</v>
      </c>
      <c r="E5420" s="2" t="s">
        <v>12942</v>
      </c>
      <c r="F5420" s="3" t="s">
        <v>14206</v>
      </c>
      <c r="H5420" s="3" t="s">
        <v>810</v>
      </c>
      <c r="K5420" s="2">
        <v>10</v>
      </c>
      <c r="L5420" s="2">
        <v>1</v>
      </c>
      <c r="M5420" s="3" t="s">
        <v>5202</v>
      </c>
      <c r="N5420" s="3" t="s">
        <v>13</v>
      </c>
      <c r="O5420" s="3" t="s">
        <v>14</v>
      </c>
      <c r="Q5420" s="30" t="str">
        <f t="shared" si="84"/>
        <v>MAX : 
TARGET : Yes(Pass)
MIN : No(Fail)</v>
      </c>
    </row>
    <row r="5421" spans="2:17" ht="41.4" x14ac:dyDescent="0.3">
      <c r="B5421">
        <v>1</v>
      </c>
      <c r="C5421" s="33">
        <v>9177</v>
      </c>
      <c r="D5421" s="2">
        <v>1492</v>
      </c>
      <c r="E5421" s="2" t="s">
        <v>12948</v>
      </c>
      <c r="F5421" s="3" t="s">
        <v>14206</v>
      </c>
      <c r="H5421" s="3" t="s">
        <v>810</v>
      </c>
      <c r="K5421" s="2">
        <v>20</v>
      </c>
      <c r="L5421" s="2">
        <v>1</v>
      </c>
      <c r="M5421" s="3" t="s">
        <v>194</v>
      </c>
      <c r="N5421" s="3" t="s">
        <v>1791</v>
      </c>
      <c r="O5421" s="3" t="s">
        <v>3240</v>
      </c>
      <c r="P5421" s="3" t="s">
        <v>5208</v>
      </c>
      <c r="Q5421" s="30" t="str">
        <f t="shared" si="84"/>
        <v>MAX : 0.321
TARGET : 0.311
MIN : 0.301</v>
      </c>
    </row>
    <row r="5422" spans="2:17" ht="41.4" x14ac:dyDescent="0.3">
      <c r="B5422">
        <v>1</v>
      </c>
      <c r="C5422" s="33">
        <v>9177</v>
      </c>
      <c r="D5422" s="2">
        <v>1492</v>
      </c>
      <c r="E5422" s="2" t="s">
        <v>12948</v>
      </c>
      <c r="F5422" s="3" t="s">
        <v>14206</v>
      </c>
      <c r="H5422" s="3" t="s">
        <v>810</v>
      </c>
      <c r="K5422" s="2">
        <v>10</v>
      </c>
      <c r="L5422" s="2">
        <v>1</v>
      </c>
      <c r="M5422" s="3" t="s">
        <v>5202</v>
      </c>
      <c r="N5422" s="3" t="s">
        <v>13</v>
      </c>
      <c r="O5422" s="3" t="s">
        <v>14</v>
      </c>
      <c r="Q5422" s="30" t="str">
        <f t="shared" si="84"/>
        <v>MAX : 
TARGET : Yes(Pass)
MIN : No(Fail)</v>
      </c>
    </row>
    <row r="5423" spans="2:17" ht="41.4" x14ac:dyDescent="0.3">
      <c r="B5423">
        <v>0</v>
      </c>
      <c r="C5423" s="33">
        <v>9244</v>
      </c>
      <c r="D5423" s="2">
        <v>2112</v>
      </c>
      <c r="E5423" s="2" t="s">
        <v>13329</v>
      </c>
      <c r="F5423" s="3" t="s">
        <v>14206</v>
      </c>
      <c r="H5423" s="3" t="s">
        <v>824</v>
      </c>
      <c r="K5423" s="2">
        <v>10</v>
      </c>
      <c r="L5423" s="2">
        <v>3</v>
      </c>
      <c r="M5423" s="3" t="s">
        <v>611</v>
      </c>
      <c r="N5423" s="3" t="s">
        <v>13</v>
      </c>
      <c r="O5423" s="3" t="s">
        <v>14</v>
      </c>
      <c r="Q5423" s="30" t="str">
        <f t="shared" si="84"/>
        <v>MAX : 
TARGET : Yes(Pass)
MIN : No(Fail)</v>
      </c>
    </row>
    <row r="5424" spans="2:17" ht="41.4" x14ac:dyDescent="0.3">
      <c r="B5424">
        <v>1</v>
      </c>
      <c r="C5424" s="33">
        <v>9178</v>
      </c>
      <c r="D5424" s="2">
        <v>1493</v>
      </c>
      <c r="E5424" s="2" t="s">
        <v>12954</v>
      </c>
      <c r="F5424" s="3" t="s">
        <v>14206</v>
      </c>
      <c r="H5424" s="3" t="s">
        <v>810</v>
      </c>
      <c r="K5424" s="2">
        <v>20</v>
      </c>
      <c r="L5424" s="2">
        <v>1</v>
      </c>
      <c r="M5424" s="3" t="s">
        <v>194</v>
      </c>
      <c r="N5424" s="3" t="s">
        <v>5211</v>
      </c>
      <c r="O5424" s="3" t="s">
        <v>5212</v>
      </c>
      <c r="P5424" s="3" t="s">
        <v>2238</v>
      </c>
      <c r="Q5424" s="30" t="str">
        <f t="shared" si="84"/>
        <v>MAX : 5.13
TARGET : 5.12
MIN : 5.11</v>
      </c>
    </row>
    <row r="5425" spans="2:18" ht="41.4" x14ac:dyDescent="0.3">
      <c r="B5425">
        <v>1</v>
      </c>
      <c r="C5425" s="33">
        <v>9178</v>
      </c>
      <c r="D5425" s="2">
        <v>1493</v>
      </c>
      <c r="E5425" s="2" t="s">
        <v>12954</v>
      </c>
      <c r="F5425" s="3" t="s">
        <v>14206</v>
      </c>
      <c r="H5425" s="3" t="s">
        <v>810</v>
      </c>
      <c r="K5425" s="2">
        <v>10</v>
      </c>
      <c r="L5425" s="2">
        <v>1</v>
      </c>
      <c r="M5425" s="3" t="s">
        <v>4604</v>
      </c>
      <c r="N5425" s="3" t="s">
        <v>13</v>
      </c>
      <c r="O5425" s="3" t="s">
        <v>14</v>
      </c>
      <c r="Q5425" s="30" t="str">
        <f t="shared" si="84"/>
        <v>MAX : 
TARGET : Yes(Pass)
MIN : No(Fail)</v>
      </c>
    </row>
    <row r="5426" spans="2:18" ht="41.4" x14ac:dyDescent="0.3">
      <c r="B5426">
        <v>1</v>
      </c>
      <c r="C5426" s="33">
        <v>9179</v>
      </c>
      <c r="D5426" s="2">
        <v>2090</v>
      </c>
      <c r="E5426" s="2" t="s">
        <v>12960</v>
      </c>
      <c r="F5426" s="3" t="s">
        <v>14206</v>
      </c>
      <c r="H5426" s="3" t="s">
        <v>289</v>
      </c>
      <c r="K5426" s="2">
        <v>10</v>
      </c>
      <c r="L5426" s="2">
        <v>2</v>
      </c>
      <c r="M5426" s="3" t="s">
        <v>325</v>
      </c>
      <c r="N5426" s="3" t="s">
        <v>13</v>
      </c>
      <c r="O5426" s="3" t="s">
        <v>14</v>
      </c>
      <c r="Q5426" s="30" t="str">
        <f t="shared" si="84"/>
        <v>MAX : 
TARGET : Yes(Pass)
MIN : No(Fail)</v>
      </c>
    </row>
    <row r="5427" spans="2:18" ht="41.4" x14ac:dyDescent="0.3">
      <c r="B5427">
        <v>0</v>
      </c>
      <c r="C5427" s="33">
        <v>9245</v>
      </c>
      <c r="D5427" s="2">
        <v>2113</v>
      </c>
      <c r="E5427" s="2" t="s">
        <v>13335</v>
      </c>
      <c r="F5427" s="3" t="s">
        <v>14206</v>
      </c>
      <c r="H5427" s="3" t="s">
        <v>269</v>
      </c>
      <c r="K5427" s="2">
        <v>10</v>
      </c>
      <c r="L5427" s="2">
        <v>3</v>
      </c>
      <c r="M5427" s="3" t="s">
        <v>3773</v>
      </c>
      <c r="N5427" s="3" t="s">
        <v>13</v>
      </c>
      <c r="O5427" s="3" t="s">
        <v>14</v>
      </c>
      <c r="Q5427" s="30" t="str">
        <f t="shared" si="84"/>
        <v>MAX : 
TARGET : Yes(Pass)
MIN : No(Fail)</v>
      </c>
    </row>
    <row r="5428" spans="2:18" ht="41.4" x14ac:dyDescent="0.3">
      <c r="B5428">
        <v>1</v>
      </c>
      <c r="C5428" s="33">
        <v>9179</v>
      </c>
      <c r="D5428" s="2">
        <v>2090</v>
      </c>
      <c r="E5428" s="2" t="s">
        <v>12960</v>
      </c>
      <c r="F5428" s="3" t="s">
        <v>14206</v>
      </c>
      <c r="H5428" s="3" t="s">
        <v>289</v>
      </c>
      <c r="K5428" s="2">
        <v>10</v>
      </c>
      <c r="L5428" s="2">
        <v>1</v>
      </c>
      <c r="M5428" s="3" t="s">
        <v>99</v>
      </c>
      <c r="N5428" s="3" t="s">
        <v>1641</v>
      </c>
      <c r="O5428" s="3" t="s">
        <v>149</v>
      </c>
      <c r="P5428" s="3" t="s">
        <v>1642</v>
      </c>
      <c r="Q5428" s="30" t="str">
        <f t="shared" si="84"/>
        <v>MAX : 12.06
TARGET : 12.00
MIN : 11.94</v>
      </c>
    </row>
    <row r="5429" spans="2:18" ht="41.4" x14ac:dyDescent="0.3">
      <c r="B5429">
        <v>1</v>
      </c>
      <c r="C5429" s="33">
        <v>9180</v>
      </c>
      <c r="D5429" s="2">
        <v>1494</v>
      </c>
      <c r="E5429" s="2" t="s">
        <v>12966</v>
      </c>
      <c r="F5429" s="3" t="s">
        <v>14206</v>
      </c>
      <c r="H5429" s="3" t="s">
        <v>5312</v>
      </c>
      <c r="K5429" s="2">
        <v>10</v>
      </c>
      <c r="L5429" s="2">
        <v>2</v>
      </c>
      <c r="M5429" s="3" t="s">
        <v>570</v>
      </c>
      <c r="N5429" s="3" t="s">
        <v>3455</v>
      </c>
      <c r="O5429" s="3" t="s">
        <v>860</v>
      </c>
      <c r="P5429" s="3" t="s">
        <v>3456</v>
      </c>
      <c r="Q5429" s="30" t="str">
        <f t="shared" si="84"/>
        <v>MAX : 18.06
TARGET : 18.00
MIN : 17.94</v>
      </c>
    </row>
    <row r="5430" spans="2:18" ht="41.4" x14ac:dyDescent="0.3">
      <c r="B5430">
        <v>1</v>
      </c>
      <c r="C5430" s="33">
        <v>9180</v>
      </c>
      <c r="D5430" s="2">
        <v>1494</v>
      </c>
      <c r="E5430" s="2" t="s">
        <v>12966</v>
      </c>
      <c r="F5430" s="3" t="s">
        <v>14206</v>
      </c>
      <c r="H5430" s="3" t="s">
        <v>5312</v>
      </c>
      <c r="K5430" s="2">
        <v>10</v>
      </c>
      <c r="L5430" s="2">
        <v>1</v>
      </c>
      <c r="M5430" s="3" t="s">
        <v>194</v>
      </c>
      <c r="N5430" s="3" t="s">
        <v>2485</v>
      </c>
      <c r="O5430" s="3" t="s">
        <v>2815</v>
      </c>
      <c r="P5430" s="3" t="s">
        <v>4725</v>
      </c>
      <c r="Q5430" s="30" t="str">
        <f t="shared" si="84"/>
        <v>MAX : 24.06
TARGET : 24.00
MIN : 23.94</v>
      </c>
    </row>
    <row r="5431" spans="2:18" ht="41.4" x14ac:dyDescent="0.3">
      <c r="B5431">
        <v>1</v>
      </c>
      <c r="C5431" s="33">
        <v>9181</v>
      </c>
      <c r="D5431" s="2">
        <v>2091</v>
      </c>
      <c r="E5431" s="2" t="s">
        <v>12972</v>
      </c>
      <c r="F5431" s="3" t="s">
        <v>14207</v>
      </c>
      <c r="H5431" s="3" t="s">
        <v>568</v>
      </c>
      <c r="K5431" s="2">
        <v>10</v>
      </c>
      <c r="L5431" s="2">
        <v>2</v>
      </c>
      <c r="M5431" s="3" t="s">
        <v>4214</v>
      </c>
      <c r="N5431" s="3" t="s">
        <v>13</v>
      </c>
      <c r="O5431" s="3" t="s">
        <v>14</v>
      </c>
      <c r="Q5431" s="30" t="str">
        <f t="shared" si="84"/>
        <v>MAX : 
TARGET : Yes(Pass)
MIN : No(Fail)</v>
      </c>
      <c r="R5431" s="3" t="s">
        <v>1473</v>
      </c>
    </row>
    <row r="5432" spans="2:18" ht="41.4" x14ac:dyDescent="0.3">
      <c r="B5432">
        <v>0</v>
      </c>
      <c r="C5432" s="33">
        <v>8614</v>
      </c>
      <c r="D5432" s="2">
        <v>1253</v>
      </c>
      <c r="E5432" s="2" t="s">
        <v>10709</v>
      </c>
      <c r="F5432" s="3" t="s">
        <v>14206</v>
      </c>
      <c r="H5432" s="3" t="s">
        <v>469</v>
      </c>
      <c r="K5432" s="2">
        <v>20</v>
      </c>
      <c r="L5432" s="2">
        <v>7</v>
      </c>
      <c r="M5432" s="3" t="s">
        <v>5643</v>
      </c>
      <c r="N5432" s="3" t="s">
        <v>54</v>
      </c>
      <c r="O5432" s="3" t="s">
        <v>86</v>
      </c>
      <c r="P5432" s="3" t="s">
        <v>87</v>
      </c>
      <c r="Q5432" s="30" t="str">
        <f t="shared" si="84"/>
        <v>MAX : 0.530
TARGET : 0.500
MIN : 0.470</v>
      </c>
    </row>
    <row r="5433" spans="2:18" ht="41.4" x14ac:dyDescent="0.3">
      <c r="B5433">
        <v>0</v>
      </c>
      <c r="C5433" s="33">
        <v>8614</v>
      </c>
      <c r="D5433" s="2">
        <v>1253</v>
      </c>
      <c r="E5433" s="2" t="s">
        <v>10709</v>
      </c>
      <c r="F5433" s="3" t="s">
        <v>14206</v>
      </c>
      <c r="H5433" s="3" t="s">
        <v>469</v>
      </c>
      <c r="K5433" s="2">
        <v>20</v>
      </c>
      <c r="L5433" s="2">
        <v>8</v>
      </c>
      <c r="M5433" s="3" t="s">
        <v>5644</v>
      </c>
      <c r="N5433" s="3" t="s">
        <v>54</v>
      </c>
      <c r="O5433" s="3" t="s">
        <v>86</v>
      </c>
      <c r="P5433" s="3" t="s">
        <v>87</v>
      </c>
      <c r="Q5433" s="30" t="str">
        <f t="shared" si="84"/>
        <v>MAX : 0.530
TARGET : 0.500
MIN : 0.470</v>
      </c>
    </row>
    <row r="5434" spans="2:18" ht="41.4" x14ac:dyDescent="0.3">
      <c r="B5434">
        <v>1</v>
      </c>
      <c r="C5434" s="33">
        <v>9181</v>
      </c>
      <c r="D5434" s="2">
        <v>2091</v>
      </c>
      <c r="E5434" s="2" t="s">
        <v>12972</v>
      </c>
      <c r="F5434" s="3" t="s">
        <v>14207</v>
      </c>
      <c r="H5434" s="3" t="s">
        <v>568</v>
      </c>
      <c r="K5434" s="2">
        <v>10</v>
      </c>
      <c r="L5434" s="2">
        <v>1</v>
      </c>
      <c r="M5434" s="3" t="s">
        <v>458</v>
      </c>
      <c r="N5434" s="3" t="s">
        <v>2365</v>
      </c>
      <c r="O5434" s="3" t="s">
        <v>184</v>
      </c>
      <c r="P5434" s="3" t="s">
        <v>2238</v>
      </c>
      <c r="Q5434" s="30" t="str">
        <f t="shared" si="84"/>
        <v>MAX : 5.13
TARGET : 5.00
MIN : 4.87</v>
      </c>
      <c r="R5434" s="3" t="s">
        <v>1473</v>
      </c>
    </row>
    <row r="5435" spans="2:18" ht="41.4" x14ac:dyDescent="0.3">
      <c r="B5435">
        <v>1</v>
      </c>
      <c r="C5435" s="33">
        <v>9182</v>
      </c>
      <c r="D5435" s="2">
        <v>1495</v>
      </c>
      <c r="E5435" s="2" t="s">
        <v>12979</v>
      </c>
      <c r="F5435" s="3" t="s">
        <v>14207</v>
      </c>
      <c r="H5435" s="3" t="s">
        <v>713</v>
      </c>
      <c r="K5435" s="2">
        <v>20</v>
      </c>
      <c r="L5435" s="2">
        <v>2</v>
      </c>
      <c r="M5435" s="3" t="s">
        <v>198</v>
      </c>
      <c r="N5435" s="3" t="s">
        <v>5320</v>
      </c>
      <c r="O5435" s="3" t="s">
        <v>5321</v>
      </c>
      <c r="P5435" s="3" t="s">
        <v>5322</v>
      </c>
      <c r="Q5435" s="30" t="str">
        <f t="shared" si="84"/>
        <v>MAX : 29
TARGET : 28
MIN : 27</v>
      </c>
    </row>
    <row r="5436" spans="2:18" ht="41.4" x14ac:dyDescent="0.3">
      <c r="B5436">
        <v>0</v>
      </c>
      <c r="C5436" s="33">
        <v>9246</v>
      </c>
      <c r="D5436" s="2">
        <v>1534</v>
      </c>
      <c r="E5436" s="2" t="s">
        <v>13342</v>
      </c>
      <c r="F5436" s="3" t="s">
        <v>14206</v>
      </c>
      <c r="H5436" s="3" t="s">
        <v>2138</v>
      </c>
      <c r="K5436" s="2">
        <v>20</v>
      </c>
      <c r="L5436" s="2">
        <v>3</v>
      </c>
      <c r="M5436" s="3" t="s">
        <v>2295</v>
      </c>
      <c r="N5436" s="3" t="s">
        <v>13</v>
      </c>
      <c r="O5436" s="3" t="s">
        <v>14</v>
      </c>
      <c r="Q5436" s="30" t="str">
        <f t="shared" si="84"/>
        <v>MAX : 
TARGET : Yes(Pass)
MIN : No(Fail)</v>
      </c>
    </row>
    <row r="5437" spans="2:18" ht="41.4" x14ac:dyDescent="0.3">
      <c r="B5437">
        <v>1</v>
      </c>
      <c r="C5437" s="33">
        <v>9182</v>
      </c>
      <c r="D5437" s="2">
        <v>1495</v>
      </c>
      <c r="E5437" s="2" t="s">
        <v>12979</v>
      </c>
      <c r="F5437" s="3" t="s">
        <v>14207</v>
      </c>
      <c r="H5437" s="3" t="s">
        <v>713</v>
      </c>
      <c r="K5437" s="2">
        <v>20</v>
      </c>
      <c r="L5437" s="2">
        <v>1</v>
      </c>
      <c r="M5437" s="3" t="s">
        <v>194</v>
      </c>
      <c r="N5437" s="3" t="s">
        <v>1919</v>
      </c>
      <c r="O5437" s="3" t="s">
        <v>1920</v>
      </c>
      <c r="P5437" s="3" t="s">
        <v>1921</v>
      </c>
      <c r="Q5437" s="30" t="str">
        <f t="shared" si="84"/>
        <v>MAX : 39
TARGET : 38
MIN : 37</v>
      </c>
    </row>
    <row r="5438" spans="2:18" ht="41.4" x14ac:dyDescent="0.3">
      <c r="B5438">
        <v>1</v>
      </c>
      <c r="C5438" s="33">
        <v>9184</v>
      </c>
      <c r="D5438" s="2">
        <v>2092</v>
      </c>
      <c r="E5438" s="2" t="s">
        <v>12984</v>
      </c>
      <c r="F5438" s="3" t="s">
        <v>14206</v>
      </c>
      <c r="H5438" s="3" t="s">
        <v>824</v>
      </c>
      <c r="K5438" s="2">
        <v>10</v>
      </c>
      <c r="L5438" s="2">
        <v>2</v>
      </c>
      <c r="M5438" s="3" t="s">
        <v>5357</v>
      </c>
      <c r="N5438" s="3" t="s">
        <v>13</v>
      </c>
      <c r="O5438" s="3" t="s">
        <v>14</v>
      </c>
      <c r="Q5438" s="30" t="str">
        <f t="shared" si="84"/>
        <v>MAX : 
TARGET : Yes(Pass)
MIN : No(Fail)</v>
      </c>
    </row>
    <row r="5439" spans="2:18" ht="41.4" x14ac:dyDescent="0.3">
      <c r="B5439">
        <v>0</v>
      </c>
      <c r="C5439" s="33">
        <v>9248</v>
      </c>
      <c r="D5439" s="2">
        <v>1536</v>
      </c>
      <c r="E5439" s="2" t="s">
        <v>13354</v>
      </c>
      <c r="F5439" s="3" t="s">
        <v>14206</v>
      </c>
      <c r="H5439" s="3" t="s">
        <v>426</v>
      </c>
      <c r="K5439" s="2">
        <v>20</v>
      </c>
      <c r="L5439" s="2">
        <v>3</v>
      </c>
      <c r="M5439" s="3" t="s">
        <v>78</v>
      </c>
      <c r="N5439" s="3" t="s">
        <v>13</v>
      </c>
      <c r="O5439" s="3" t="s">
        <v>14</v>
      </c>
      <c r="Q5439" s="30" t="str">
        <f t="shared" si="84"/>
        <v>MAX : 
TARGET : Yes(Pass)
MIN : No(Fail)</v>
      </c>
    </row>
    <row r="5440" spans="2:18" ht="41.4" x14ac:dyDescent="0.3">
      <c r="B5440">
        <v>1</v>
      </c>
      <c r="C5440" s="33">
        <v>9184</v>
      </c>
      <c r="D5440" s="2">
        <v>2092</v>
      </c>
      <c r="E5440" s="2" t="s">
        <v>12984</v>
      </c>
      <c r="F5440" s="3" t="s">
        <v>14206</v>
      </c>
      <c r="H5440" s="3" t="s">
        <v>824</v>
      </c>
      <c r="K5440" s="2">
        <v>10</v>
      </c>
      <c r="L5440" s="2">
        <v>1</v>
      </c>
      <c r="M5440" s="3" t="s">
        <v>1909</v>
      </c>
      <c r="N5440" s="3" t="s">
        <v>5355</v>
      </c>
      <c r="O5440" s="3" t="s">
        <v>4689</v>
      </c>
      <c r="P5440" s="3" t="s">
        <v>5356</v>
      </c>
      <c r="Q5440" s="30" t="str">
        <f t="shared" si="84"/>
        <v>MAX : 26.63
TARGET : 26.50
MIN : 26.37</v>
      </c>
    </row>
    <row r="5441" spans="2:18" ht="41.4" x14ac:dyDescent="0.3">
      <c r="B5441">
        <v>1</v>
      </c>
      <c r="C5441" s="33">
        <v>9185</v>
      </c>
      <c r="D5441" s="2">
        <v>1496</v>
      </c>
      <c r="E5441" s="2" t="s">
        <v>12990</v>
      </c>
      <c r="F5441" s="3" t="s">
        <v>14206</v>
      </c>
      <c r="H5441" s="3" t="s">
        <v>648</v>
      </c>
      <c r="K5441" s="2">
        <v>20</v>
      </c>
      <c r="L5441" s="2">
        <v>2</v>
      </c>
      <c r="M5441" s="3" t="s">
        <v>134</v>
      </c>
      <c r="N5441" s="3" t="s">
        <v>13</v>
      </c>
      <c r="O5441" s="3" t="s">
        <v>14</v>
      </c>
      <c r="Q5441" s="30" t="str">
        <f t="shared" si="84"/>
        <v>MAX : 
TARGET : Yes(Pass)
MIN : No(Fail)</v>
      </c>
    </row>
    <row r="5442" spans="2:18" ht="41.4" x14ac:dyDescent="0.3">
      <c r="B5442">
        <v>1</v>
      </c>
      <c r="C5442" s="33">
        <v>9185</v>
      </c>
      <c r="D5442" s="2">
        <v>1496</v>
      </c>
      <c r="E5442" s="2" t="s">
        <v>12990</v>
      </c>
      <c r="F5442" s="3" t="s">
        <v>14206</v>
      </c>
      <c r="H5442" s="3" t="s">
        <v>648</v>
      </c>
      <c r="K5442" s="2">
        <v>20</v>
      </c>
      <c r="L5442" s="2">
        <v>1</v>
      </c>
      <c r="M5442" s="3" t="s">
        <v>502</v>
      </c>
      <c r="N5442" s="3" t="s">
        <v>462</v>
      </c>
      <c r="O5442" s="3" t="s">
        <v>424</v>
      </c>
      <c r="P5442" s="3" t="s">
        <v>463</v>
      </c>
      <c r="Q5442" s="30" t="str">
        <f t="shared" ref="Q5442:Q5505" si="85">"MAX : " &amp; P5442 &amp; CHAR(10) &amp; "TARGET : " &amp; O5442 &amp; CHAR(10) &amp; "MIN : " &amp; N5442</f>
        <v>MAX : 0.28
TARGET : 0.25
MIN : 0.22</v>
      </c>
    </row>
    <row r="5443" spans="2:18" ht="41.4" x14ac:dyDescent="0.3">
      <c r="B5443">
        <v>1</v>
      </c>
      <c r="C5443" s="33">
        <v>9186</v>
      </c>
      <c r="D5443" s="2">
        <v>2093</v>
      </c>
      <c r="E5443" s="2" t="s">
        <v>12997</v>
      </c>
      <c r="F5443" s="3" t="s">
        <v>14207</v>
      </c>
      <c r="H5443" s="3" t="s">
        <v>895</v>
      </c>
      <c r="K5443" s="2">
        <v>10</v>
      </c>
      <c r="L5443" s="2">
        <v>2</v>
      </c>
      <c r="M5443" s="3" t="s">
        <v>325</v>
      </c>
      <c r="N5443" s="3" t="s">
        <v>13</v>
      </c>
      <c r="O5443" s="3" t="s">
        <v>14</v>
      </c>
      <c r="Q5443" s="30" t="str">
        <f t="shared" si="85"/>
        <v>MAX : 
TARGET : Yes(Pass)
MIN : No(Fail)</v>
      </c>
    </row>
    <row r="5444" spans="2:18" ht="41.4" x14ac:dyDescent="0.3">
      <c r="B5444">
        <v>0</v>
      </c>
      <c r="C5444" s="33">
        <v>9250</v>
      </c>
      <c r="D5444" s="2">
        <v>1537</v>
      </c>
      <c r="E5444" s="2" t="s">
        <v>13367</v>
      </c>
      <c r="F5444" s="3" t="s">
        <v>14206</v>
      </c>
      <c r="H5444" s="3" t="s">
        <v>469</v>
      </c>
      <c r="K5444" s="2">
        <v>20</v>
      </c>
      <c r="L5444" s="2">
        <v>2</v>
      </c>
      <c r="M5444" s="3" t="s">
        <v>198</v>
      </c>
      <c r="N5444" s="3" t="s">
        <v>387</v>
      </c>
      <c r="O5444" s="3" t="s">
        <v>3646</v>
      </c>
      <c r="P5444" s="3" t="s">
        <v>1797</v>
      </c>
      <c r="Q5444" s="30" t="str">
        <f t="shared" si="85"/>
        <v>MAX : 1.83
TARGET : 1.80
MIN : 1.77</v>
      </c>
    </row>
    <row r="5445" spans="2:18" ht="41.4" x14ac:dyDescent="0.3">
      <c r="B5445">
        <v>0</v>
      </c>
      <c r="C5445" s="33">
        <v>9250</v>
      </c>
      <c r="D5445" s="2">
        <v>1537</v>
      </c>
      <c r="E5445" s="2" t="s">
        <v>13367</v>
      </c>
      <c r="F5445" s="3" t="s">
        <v>14206</v>
      </c>
      <c r="H5445" s="3" t="s">
        <v>469</v>
      </c>
      <c r="K5445" s="2">
        <v>20</v>
      </c>
      <c r="L5445" s="2">
        <v>3</v>
      </c>
      <c r="M5445" s="3" t="s">
        <v>5651</v>
      </c>
      <c r="N5445" s="3" t="s">
        <v>2145</v>
      </c>
      <c r="O5445" s="3" t="s">
        <v>247</v>
      </c>
      <c r="P5445" s="3" t="s">
        <v>979</v>
      </c>
      <c r="Q5445" s="30" t="str">
        <f t="shared" si="85"/>
        <v>MAX : 0.44
TARGET : 0.38
MIN : 0.32</v>
      </c>
    </row>
    <row r="5446" spans="2:18" ht="41.4" x14ac:dyDescent="0.3">
      <c r="B5446">
        <v>0</v>
      </c>
      <c r="C5446" s="33">
        <v>9250</v>
      </c>
      <c r="D5446" s="2">
        <v>1537</v>
      </c>
      <c r="E5446" s="2" t="s">
        <v>13367</v>
      </c>
      <c r="F5446" s="3" t="s">
        <v>14206</v>
      </c>
      <c r="H5446" s="3" t="s">
        <v>469</v>
      </c>
      <c r="K5446" s="2">
        <v>20</v>
      </c>
      <c r="L5446" s="2">
        <v>4</v>
      </c>
      <c r="M5446" s="3" t="s">
        <v>5652</v>
      </c>
      <c r="N5446" s="3" t="s">
        <v>2145</v>
      </c>
      <c r="O5446" s="3" t="s">
        <v>247</v>
      </c>
      <c r="P5446" s="3" t="s">
        <v>979</v>
      </c>
      <c r="Q5446" s="30" t="str">
        <f t="shared" si="85"/>
        <v>MAX : 0.44
TARGET : 0.38
MIN : 0.32</v>
      </c>
    </row>
    <row r="5447" spans="2:18" ht="41.4" x14ac:dyDescent="0.3">
      <c r="B5447">
        <v>0</v>
      </c>
      <c r="C5447" s="33">
        <v>9250</v>
      </c>
      <c r="D5447" s="2">
        <v>1537</v>
      </c>
      <c r="E5447" s="2" t="s">
        <v>13367</v>
      </c>
      <c r="F5447" s="3" t="s">
        <v>14206</v>
      </c>
      <c r="H5447" s="3" t="s">
        <v>469</v>
      </c>
      <c r="K5447" s="2">
        <v>20</v>
      </c>
      <c r="L5447" s="2">
        <v>6</v>
      </c>
      <c r="M5447" s="3" t="s">
        <v>5653</v>
      </c>
      <c r="N5447" s="3" t="s">
        <v>13</v>
      </c>
      <c r="O5447" s="3" t="s">
        <v>14</v>
      </c>
      <c r="Q5447" s="30" t="str">
        <f t="shared" si="85"/>
        <v>MAX : 
TARGET : Yes(Pass)
MIN : No(Fail)</v>
      </c>
    </row>
    <row r="5448" spans="2:18" ht="41.4" x14ac:dyDescent="0.3">
      <c r="B5448">
        <v>1</v>
      </c>
      <c r="C5448" s="33">
        <v>9186</v>
      </c>
      <c r="D5448" s="2">
        <v>2093</v>
      </c>
      <c r="E5448" s="2" t="s">
        <v>12997</v>
      </c>
      <c r="F5448" s="3" t="s">
        <v>14207</v>
      </c>
      <c r="H5448" s="3" t="s">
        <v>895</v>
      </c>
      <c r="K5448" s="2">
        <v>10</v>
      </c>
      <c r="L5448" s="2">
        <v>1</v>
      </c>
      <c r="M5448" s="3" t="s">
        <v>458</v>
      </c>
      <c r="N5448" s="3" t="s">
        <v>3633</v>
      </c>
      <c r="O5448" s="3" t="s">
        <v>897</v>
      </c>
      <c r="P5448" s="3" t="s">
        <v>632</v>
      </c>
      <c r="Q5448" s="30" t="str">
        <f t="shared" si="85"/>
        <v>MAX : 25
TARGET : 24
MIN : 23</v>
      </c>
    </row>
    <row r="5449" spans="2:18" ht="41.4" x14ac:dyDescent="0.3">
      <c r="B5449">
        <v>0</v>
      </c>
      <c r="C5449" s="33">
        <v>9165</v>
      </c>
      <c r="D5449" s="2">
        <v>1481</v>
      </c>
      <c r="E5449" s="2" t="s">
        <v>12877</v>
      </c>
      <c r="F5449" s="3" t="s">
        <v>14206</v>
      </c>
      <c r="H5449" s="3" t="s">
        <v>426</v>
      </c>
      <c r="K5449" s="2">
        <v>20</v>
      </c>
      <c r="L5449" s="2">
        <v>5</v>
      </c>
      <c r="M5449" s="3" t="s">
        <v>5390</v>
      </c>
      <c r="N5449" s="3" t="s">
        <v>5251</v>
      </c>
      <c r="O5449" s="3" t="s">
        <v>864</v>
      </c>
      <c r="P5449" s="3" t="s">
        <v>5253</v>
      </c>
      <c r="Q5449" s="30" t="str">
        <f t="shared" si="85"/>
        <v>MAX : 0.0035
TARGET : 0
MIN : -0.0035</v>
      </c>
      <c r="R5449" s="3" t="s">
        <v>1638</v>
      </c>
    </row>
    <row r="5450" spans="2:18" ht="41.4" x14ac:dyDescent="0.3">
      <c r="B5450">
        <v>1</v>
      </c>
      <c r="C5450" s="33">
        <v>9187</v>
      </c>
      <c r="D5450" s="2">
        <v>1497</v>
      </c>
      <c r="E5450" s="2" t="s">
        <v>13003</v>
      </c>
      <c r="F5450" s="3" t="s">
        <v>14206</v>
      </c>
      <c r="H5450" s="3" t="s">
        <v>3464</v>
      </c>
      <c r="K5450" s="2">
        <v>10</v>
      </c>
      <c r="L5450" s="2">
        <v>3</v>
      </c>
      <c r="M5450" s="3" t="s">
        <v>2117</v>
      </c>
      <c r="N5450" s="3" t="s">
        <v>767</v>
      </c>
      <c r="O5450" s="3" t="s">
        <v>253</v>
      </c>
      <c r="P5450" s="3" t="s">
        <v>129</v>
      </c>
      <c r="Q5450" s="30" t="str">
        <f t="shared" si="85"/>
        <v>MAX : 4.06
TARGET : 4.00
MIN : 3.94</v>
      </c>
    </row>
    <row r="5451" spans="2:18" ht="41.4" x14ac:dyDescent="0.3">
      <c r="B5451">
        <v>1</v>
      </c>
      <c r="C5451" s="33">
        <v>9187</v>
      </c>
      <c r="D5451" s="2">
        <v>1497</v>
      </c>
      <c r="E5451" s="2" t="s">
        <v>13003</v>
      </c>
      <c r="F5451" s="3" t="s">
        <v>14206</v>
      </c>
      <c r="H5451" s="3" t="s">
        <v>3464</v>
      </c>
      <c r="K5451" s="2">
        <v>10</v>
      </c>
      <c r="L5451" s="2">
        <v>2</v>
      </c>
      <c r="M5451" s="3" t="s">
        <v>2088</v>
      </c>
      <c r="N5451" s="3" t="s">
        <v>3257</v>
      </c>
      <c r="O5451" s="3" t="s">
        <v>3091</v>
      </c>
      <c r="P5451" s="3" t="s">
        <v>184</v>
      </c>
      <c r="Q5451" s="30" t="str">
        <f t="shared" si="85"/>
        <v>MAX : 5.00
TARGET : 4.94
MIN : 4.88</v>
      </c>
    </row>
    <row r="5452" spans="2:18" ht="41.4" x14ac:dyDescent="0.3">
      <c r="B5452">
        <v>1</v>
      </c>
      <c r="C5452" s="33">
        <v>9188</v>
      </c>
      <c r="D5452" s="2">
        <v>1498</v>
      </c>
      <c r="E5452" s="2" t="s">
        <v>13010</v>
      </c>
      <c r="F5452" s="3" t="s">
        <v>14207</v>
      </c>
      <c r="H5452" s="3" t="s">
        <v>4614</v>
      </c>
      <c r="K5452" s="2">
        <v>20</v>
      </c>
      <c r="L5452" s="2">
        <v>2</v>
      </c>
      <c r="M5452" s="3" t="s">
        <v>3759</v>
      </c>
      <c r="N5452" s="3" t="s">
        <v>13</v>
      </c>
      <c r="O5452" s="3" t="s">
        <v>14</v>
      </c>
      <c r="Q5452" s="30" t="str">
        <f t="shared" si="85"/>
        <v>MAX : 
TARGET : Yes(Pass)
MIN : No(Fail)</v>
      </c>
    </row>
    <row r="5453" spans="2:18" ht="41.4" x14ac:dyDescent="0.3">
      <c r="B5453">
        <v>1</v>
      </c>
      <c r="C5453" s="33">
        <v>9188</v>
      </c>
      <c r="D5453" s="2">
        <v>1498</v>
      </c>
      <c r="E5453" s="2" t="s">
        <v>13010</v>
      </c>
      <c r="F5453" s="3" t="s">
        <v>14207</v>
      </c>
      <c r="H5453" s="3" t="s">
        <v>4614</v>
      </c>
      <c r="K5453" s="2">
        <v>20</v>
      </c>
      <c r="L5453" s="2">
        <v>1</v>
      </c>
      <c r="M5453" s="3" t="s">
        <v>811</v>
      </c>
      <c r="N5453" s="3" t="s">
        <v>24</v>
      </c>
      <c r="O5453" s="3" t="s">
        <v>25</v>
      </c>
      <c r="Q5453" s="30" t="str">
        <f t="shared" si="85"/>
        <v>MAX : 
TARGET : Yes (Pass)
MIN : No (Fail)</v>
      </c>
    </row>
    <row r="5454" spans="2:18" ht="41.4" x14ac:dyDescent="0.3">
      <c r="B5454">
        <v>1</v>
      </c>
      <c r="C5454" s="33">
        <v>9190</v>
      </c>
      <c r="D5454" s="2">
        <v>1499</v>
      </c>
      <c r="E5454" s="2" t="s">
        <v>13015</v>
      </c>
      <c r="F5454" s="3" t="s">
        <v>14206</v>
      </c>
      <c r="H5454" s="3" t="s">
        <v>5362</v>
      </c>
      <c r="K5454" s="2">
        <v>10</v>
      </c>
      <c r="L5454" s="2">
        <v>2</v>
      </c>
      <c r="M5454" s="3" t="s">
        <v>5364</v>
      </c>
      <c r="N5454" s="3" t="s">
        <v>4530</v>
      </c>
      <c r="O5454" s="3" t="s">
        <v>2353</v>
      </c>
      <c r="P5454" s="3" t="s">
        <v>5296</v>
      </c>
      <c r="Q5454" s="30" t="str">
        <f t="shared" si="85"/>
        <v>MAX : 1.0
TARGET : 2.0
MIN : 3.0</v>
      </c>
      <c r="R5454" s="3" t="s">
        <v>1638</v>
      </c>
    </row>
    <row r="5455" spans="2:18" ht="41.4" x14ac:dyDescent="0.3">
      <c r="B5455">
        <v>1</v>
      </c>
      <c r="C5455" s="33">
        <v>9190</v>
      </c>
      <c r="D5455" s="2">
        <v>1499</v>
      </c>
      <c r="E5455" s="2" t="s">
        <v>13015</v>
      </c>
      <c r="F5455" s="3" t="s">
        <v>14206</v>
      </c>
      <c r="H5455" s="3" t="s">
        <v>5362</v>
      </c>
      <c r="K5455" s="2">
        <v>10</v>
      </c>
      <c r="L5455" s="2">
        <v>1</v>
      </c>
      <c r="M5455" s="3" t="s">
        <v>5363</v>
      </c>
      <c r="N5455" s="3" t="s">
        <v>4530</v>
      </c>
      <c r="O5455" s="3" t="s">
        <v>2353</v>
      </c>
      <c r="P5455" s="3" t="s">
        <v>5296</v>
      </c>
      <c r="Q5455" s="30" t="str">
        <f t="shared" si="85"/>
        <v>MAX : 1.0
TARGET : 2.0
MIN : 3.0</v>
      </c>
      <c r="R5455" s="3" t="s">
        <v>1638</v>
      </c>
    </row>
    <row r="5456" spans="2:18" ht="41.4" x14ac:dyDescent="0.3">
      <c r="B5456">
        <v>0</v>
      </c>
      <c r="C5456" s="33">
        <v>9247</v>
      </c>
      <c r="D5456" s="2">
        <v>1535</v>
      </c>
      <c r="E5456" s="2" t="s">
        <v>13348</v>
      </c>
      <c r="F5456" s="3" t="s">
        <v>14206</v>
      </c>
      <c r="H5456" s="3" t="s">
        <v>4909</v>
      </c>
      <c r="K5456" s="2">
        <v>10</v>
      </c>
      <c r="L5456" s="2">
        <v>3</v>
      </c>
      <c r="M5456" s="3" t="s">
        <v>611</v>
      </c>
      <c r="N5456" s="3" t="s">
        <v>13</v>
      </c>
      <c r="O5456" s="3" t="s">
        <v>14</v>
      </c>
      <c r="Q5456" s="30" t="str">
        <f t="shared" si="85"/>
        <v>MAX : 
TARGET : Yes(Pass)
MIN : No(Fail)</v>
      </c>
    </row>
    <row r="5457" spans="2:18" ht="41.4" x14ac:dyDescent="0.3">
      <c r="B5457">
        <v>1</v>
      </c>
      <c r="C5457" s="33">
        <v>9191</v>
      </c>
      <c r="D5457" s="2">
        <v>2094</v>
      </c>
      <c r="E5457" s="2" t="s">
        <v>13023</v>
      </c>
      <c r="F5457" s="3" t="s">
        <v>14207</v>
      </c>
      <c r="H5457" s="3" t="s">
        <v>4760</v>
      </c>
      <c r="K5457" s="2">
        <v>20</v>
      </c>
      <c r="L5457" s="2">
        <v>2</v>
      </c>
      <c r="M5457" s="3" t="s">
        <v>4762</v>
      </c>
      <c r="N5457" s="3" t="s">
        <v>13</v>
      </c>
      <c r="O5457" s="3" t="s">
        <v>14</v>
      </c>
      <c r="Q5457" s="30" t="str">
        <f t="shared" si="85"/>
        <v>MAX : 
TARGET : Yes(Pass)
MIN : No(Fail)</v>
      </c>
    </row>
    <row r="5458" spans="2:18" ht="41.4" x14ac:dyDescent="0.3">
      <c r="B5458">
        <v>1</v>
      </c>
      <c r="C5458" s="33">
        <v>9191</v>
      </c>
      <c r="D5458" s="2">
        <v>2094</v>
      </c>
      <c r="E5458" s="2" t="s">
        <v>13023</v>
      </c>
      <c r="F5458" s="3" t="s">
        <v>14207</v>
      </c>
      <c r="H5458" s="3" t="s">
        <v>4760</v>
      </c>
      <c r="K5458" s="2">
        <v>20</v>
      </c>
      <c r="L5458" s="2">
        <v>1</v>
      </c>
      <c r="M5458" s="3" t="s">
        <v>4761</v>
      </c>
      <c r="N5458" s="3" t="s">
        <v>2365</v>
      </c>
      <c r="O5458" s="3" t="s">
        <v>184</v>
      </c>
      <c r="P5458" s="3" t="s">
        <v>2238</v>
      </c>
      <c r="Q5458" s="30" t="str">
        <f t="shared" si="85"/>
        <v>MAX : 5.13
TARGET : 5.00
MIN : 4.87</v>
      </c>
    </row>
    <row r="5459" spans="2:18" ht="41.4" x14ac:dyDescent="0.3">
      <c r="B5459">
        <v>1</v>
      </c>
      <c r="C5459" s="33">
        <v>9192</v>
      </c>
      <c r="D5459" s="2">
        <v>1500</v>
      </c>
      <c r="E5459" s="2" t="s">
        <v>13027</v>
      </c>
      <c r="F5459" s="3" t="s">
        <v>14206</v>
      </c>
      <c r="H5459" s="3" t="s">
        <v>426</v>
      </c>
      <c r="K5459" s="2">
        <v>20</v>
      </c>
      <c r="L5459" s="2">
        <v>2</v>
      </c>
      <c r="M5459" s="3" t="s">
        <v>4168</v>
      </c>
      <c r="N5459" s="3" t="s">
        <v>13</v>
      </c>
      <c r="O5459" s="3" t="s">
        <v>14</v>
      </c>
      <c r="Q5459" s="30" t="str">
        <f t="shared" si="85"/>
        <v>MAX : 
TARGET : Yes(Pass)
MIN : No(Fail)</v>
      </c>
    </row>
    <row r="5460" spans="2:18" ht="41.4" x14ac:dyDescent="0.3">
      <c r="B5460">
        <v>1</v>
      </c>
      <c r="C5460" s="33">
        <v>9192</v>
      </c>
      <c r="D5460" s="2">
        <v>1500</v>
      </c>
      <c r="E5460" s="2" t="s">
        <v>13027</v>
      </c>
      <c r="F5460" s="3" t="s">
        <v>14206</v>
      </c>
      <c r="H5460" s="3" t="s">
        <v>426</v>
      </c>
      <c r="K5460" s="2">
        <v>30</v>
      </c>
      <c r="L5460" s="2">
        <v>5</v>
      </c>
      <c r="M5460" s="3" t="s">
        <v>5449</v>
      </c>
      <c r="N5460" s="3" t="s">
        <v>5446</v>
      </c>
      <c r="O5460" s="3" t="s">
        <v>5447</v>
      </c>
      <c r="P5460" s="3" t="s">
        <v>5448</v>
      </c>
      <c r="Q5460" s="30" t="str">
        <f t="shared" si="85"/>
        <v>MAX : .082
TARGET : .079
MIN : .076</v>
      </c>
    </row>
    <row r="5461" spans="2:18" ht="41.4" x14ac:dyDescent="0.3">
      <c r="B5461">
        <v>1</v>
      </c>
      <c r="C5461" s="33">
        <v>9192</v>
      </c>
      <c r="D5461" s="2">
        <v>1500</v>
      </c>
      <c r="E5461" s="2" t="s">
        <v>13027</v>
      </c>
      <c r="F5461" s="3" t="s">
        <v>14206</v>
      </c>
      <c r="H5461" s="3" t="s">
        <v>426</v>
      </c>
      <c r="K5461" s="2">
        <v>20</v>
      </c>
      <c r="L5461" s="2">
        <v>1</v>
      </c>
      <c r="M5461" s="3" t="s">
        <v>1666</v>
      </c>
      <c r="N5461" s="3" t="s">
        <v>3970</v>
      </c>
      <c r="O5461" s="3" t="s">
        <v>4861</v>
      </c>
      <c r="P5461" s="3" t="s">
        <v>5378</v>
      </c>
      <c r="Q5461" s="30" t="str">
        <f t="shared" si="85"/>
        <v>MAX : 1.459
TARGET : 1.452
MIN : 1.445</v>
      </c>
    </row>
    <row r="5462" spans="2:18" ht="41.4" x14ac:dyDescent="0.3">
      <c r="B5462">
        <v>1</v>
      </c>
      <c r="C5462" s="33">
        <v>9193</v>
      </c>
      <c r="D5462" s="2">
        <v>2095</v>
      </c>
      <c r="E5462" s="2" t="s">
        <v>13033</v>
      </c>
      <c r="F5462" s="3" t="s">
        <v>14207</v>
      </c>
      <c r="H5462" s="3" t="s">
        <v>4760</v>
      </c>
      <c r="K5462" s="2">
        <v>20</v>
      </c>
      <c r="L5462" s="2">
        <v>2</v>
      </c>
      <c r="M5462" s="3" t="s">
        <v>4762</v>
      </c>
      <c r="N5462" s="3" t="s">
        <v>13</v>
      </c>
      <c r="O5462" s="3" t="s">
        <v>14</v>
      </c>
      <c r="Q5462" s="30" t="str">
        <f t="shared" si="85"/>
        <v>MAX : 
TARGET : Yes(Pass)
MIN : No(Fail)</v>
      </c>
    </row>
    <row r="5463" spans="2:18" ht="41.4" x14ac:dyDescent="0.3">
      <c r="B5463">
        <v>0</v>
      </c>
      <c r="C5463" s="33">
        <v>8178</v>
      </c>
      <c r="D5463" s="2">
        <v>1184</v>
      </c>
      <c r="E5463" s="2" t="s">
        <v>10057</v>
      </c>
      <c r="F5463" s="29" t="s">
        <v>14227</v>
      </c>
      <c r="G5463" s="3" t="s">
        <v>2843</v>
      </c>
      <c r="H5463" s="3" t="s">
        <v>2844</v>
      </c>
      <c r="K5463" s="2">
        <v>30</v>
      </c>
      <c r="L5463" s="2">
        <v>12.1</v>
      </c>
      <c r="Q5463" s="30" t="str">
        <f t="shared" si="85"/>
        <v xml:space="preserve">MAX : 
TARGET : 
MIN : </v>
      </c>
    </row>
    <row r="5464" spans="2:18" ht="41.4" x14ac:dyDescent="0.3">
      <c r="B5464">
        <v>1</v>
      </c>
      <c r="C5464" s="33">
        <v>9193</v>
      </c>
      <c r="D5464" s="2">
        <v>2095</v>
      </c>
      <c r="E5464" s="2" t="s">
        <v>13033</v>
      </c>
      <c r="F5464" s="3" t="s">
        <v>14207</v>
      </c>
      <c r="H5464" s="3" t="s">
        <v>4760</v>
      </c>
      <c r="K5464" s="2">
        <v>20</v>
      </c>
      <c r="L5464" s="2">
        <v>1</v>
      </c>
      <c r="M5464" s="3" t="s">
        <v>4761</v>
      </c>
      <c r="N5464" s="3" t="s">
        <v>2365</v>
      </c>
      <c r="O5464" s="3" t="s">
        <v>184</v>
      </c>
      <c r="P5464" s="3" t="s">
        <v>2238</v>
      </c>
      <c r="Q5464" s="30" t="str">
        <f t="shared" si="85"/>
        <v>MAX : 5.13
TARGET : 5.00
MIN : 4.87</v>
      </c>
    </row>
    <row r="5465" spans="2:18" ht="41.4" x14ac:dyDescent="0.3">
      <c r="B5465">
        <v>1</v>
      </c>
      <c r="C5465" s="33">
        <v>9194</v>
      </c>
      <c r="D5465" s="2">
        <v>2096</v>
      </c>
      <c r="E5465" s="2" t="s">
        <v>13037</v>
      </c>
      <c r="F5465" s="3" t="s">
        <v>14207</v>
      </c>
      <c r="H5465" s="3" t="s">
        <v>4760</v>
      </c>
      <c r="K5465" s="2">
        <v>20</v>
      </c>
      <c r="L5465" s="2">
        <v>2</v>
      </c>
      <c r="M5465" s="3" t="s">
        <v>4762</v>
      </c>
      <c r="N5465" s="3" t="s">
        <v>13</v>
      </c>
      <c r="O5465" s="3" t="s">
        <v>14</v>
      </c>
      <c r="Q5465" s="30" t="str">
        <f t="shared" si="85"/>
        <v>MAX : 
TARGET : Yes(Pass)
MIN : No(Fail)</v>
      </c>
    </row>
    <row r="5466" spans="2:18" ht="41.4" x14ac:dyDescent="0.3">
      <c r="B5466">
        <v>0</v>
      </c>
      <c r="C5466" s="33">
        <v>8446</v>
      </c>
      <c r="D5466" s="2">
        <v>1225</v>
      </c>
      <c r="E5466" s="2" t="s">
        <v>10057</v>
      </c>
      <c r="F5466" s="29" t="s">
        <v>14227</v>
      </c>
      <c r="G5466" s="3" t="s">
        <v>2843</v>
      </c>
      <c r="H5466" s="3" t="s">
        <v>2844</v>
      </c>
      <c r="K5466" s="2">
        <v>20</v>
      </c>
      <c r="L5466" s="2">
        <v>12.4</v>
      </c>
      <c r="Q5466" s="30" t="str">
        <f t="shared" si="85"/>
        <v xml:space="preserve">MAX : 
TARGET : 
MIN : </v>
      </c>
    </row>
    <row r="5467" spans="2:18" ht="41.4" x14ac:dyDescent="0.3">
      <c r="B5467">
        <v>1</v>
      </c>
      <c r="C5467" s="33">
        <v>9194</v>
      </c>
      <c r="D5467" s="2">
        <v>2096</v>
      </c>
      <c r="E5467" s="2" t="s">
        <v>13037</v>
      </c>
      <c r="F5467" s="3" t="s">
        <v>14207</v>
      </c>
      <c r="H5467" s="3" t="s">
        <v>4760</v>
      </c>
      <c r="K5467" s="2">
        <v>20</v>
      </c>
      <c r="L5467" s="2">
        <v>1</v>
      </c>
      <c r="M5467" s="3" t="s">
        <v>4761</v>
      </c>
      <c r="N5467" s="3" t="s">
        <v>2365</v>
      </c>
      <c r="O5467" s="3" t="s">
        <v>184</v>
      </c>
      <c r="P5467" s="3" t="s">
        <v>2238</v>
      </c>
      <c r="Q5467" s="30" t="str">
        <f t="shared" si="85"/>
        <v>MAX : 5.13
TARGET : 5.00
MIN : 4.87</v>
      </c>
    </row>
    <row r="5468" spans="2:18" ht="41.4" x14ac:dyDescent="0.3">
      <c r="B5468">
        <v>1</v>
      </c>
      <c r="C5468" s="33">
        <v>9195</v>
      </c>
      <c r="D5468" s="2">
        <v>2097</v>
      </c>
      <c r="E5468" s="2" t="s">
        <v>13040</v>
      </c>
      <c r="F5468" s="3" t="s">
        <v>14207</v>
      </c>
      <c r="H5468" s="3" t="s">
        <v>4760</v>
      </c>
      <c r="K5468" s="2">
        <v>20</v>
      </c>
      <c r="L5468" s="2">
        <v>2</v>
      </c>
      <c r="M5468" s="3" t="s">
        <v>4762</v>
      </c>
      <c r="N5468" s="3" t="s">
        <v>13</v>
      </c>
      <c r="O5468" s="3" t="s">
        <v>14</v>
      </c>
      <c r="Q5468" s="30" t="str">
        <f t="shared" si="85"/>
        <v>MAX : 
TARGET : Yes(Pass)
MIN : No(Fail)</v>
      </c>
    </row>
    <row r="5469" spans="2:18" ht="41.4" x14ac:dyDescent="0.3">
      <c r="B5469">
        <v>1</v>
      </c>
      <c r="C5469" s="33">
        <v>9195</v>
      </c>
      <c r="D5469" s="2">
        <v>2097</v>
      </c>
      <c r="E5469" s="2" t="s">
        <v>13040</v>
      </c>
      <c r="F5469" s="3" t="s">
        <v>14207</v>
      </c>
      <c r="H5469" s="3" t="s">
        <v>4760</v>
      </c>
      <c r="K5469" s="2">
        <v>20</v>
      </c>
      <c r="L5469" s="2">
        <v>1</v>
      </c>
      <c r="M5469" s="3" t="s">
        <v>4761</v>
      </c>
      <c r="N5469" s="3" t="s">
        <v>2365</v>
      </c>
      <c r="O5469" s="3" t="s">
        <v>184</v>
      </c>
      <c r="P5469" s="3" t="s">
        <v>2238</v>
      </c>
      <c r="Q5469" s="30" t="str">
        <f t="shared" si="85"/>
        <v>MAX : 5.13
TARGET : 5.00
MIN : 4.87</v>
      </c>
    </row>
    <row r="5470" spans="2:18" ht="41.4" x14ac:dyDescent="0.3">
      <c r="B5470">
        <v>1</v>
      </c>
      <c r="C5470" s="33">
        <v>9196</v>
      </c>
      <c r="D5470" s="2">
        <v>2098</v>
      </c>
      <c r="E5470" s="2" t="s">
        <v>13043</v>
      </c>
      <c r="F5470" s="3" t="s">
        <v>14207</v>
      </c>
      <c r="H5470" s="3" t="s">
        <v>4760</v>
      </c>
      <c r="K5470" s="2">
        <v>20</v>
      </c>
      <c r="L5470" s="2">
        <v>2</v>
      </c>
      <c r="M5470" s="3" t="s">
        <v>4762</v>
      </c>
      <c r="N5470" s="3" t="s">
        <v>13</v>
      </c>
      <c r="O5470" s="3" t="s">
        <v>14</v>
      </c>
      <c r="Q5470" s="30" t="str">
        <f t="shared" si="85"/>
        <v>MAX : 
TARGET : Yes(Pass)
MIN : No(Fail)</v>
      </c>
    </row>
    <row r="5471" spans="2:18" ht="41.4" x14ac:dyDescent="0.3">
      <c r="B5471">
        <v>1</v>
      </c>
      <c r="C5471" s="33">
        <v>9196</v>
      </c>
      <c r="D5471" s="2">
        <v>2098</v>
      </c>
      <c r="E5471" s="2" t="s">
        <v>13043</v>
      </c>
      <c r="F5471" s="3" t="s">
        <v>14207</v>
      </c>
      <c r="H5471" s="3" t="s">
        <v>4760</v>
      </c>
      <c r="K5471" s="2">
        <v>20</v>
      </c>
      <c r="L5471" s="2">
        <v>1</v>
      </c>
      <c r="M5471" s="3" t="s">
        <v>4761</v>
      </c>
      <c r="N5471" s="3" t="s">
        <v>2365</v>
      </c>
      <c r="O5471" s="3" t="s">
        <v>184</v>
      </c>
      <c r="P5471" s="3" t="s">
        <v>2238</v>
      </c>
      <c r="Q5471" s="30" t="str">
        <f t="shared" si="85"/>
        <v>MAX : 5.13
TARGET : 5.00
MIN : 4.87</v>
      </c>
    </row>
    <row r="5472" spans="2:18" ht="41.4" x14ac:dyDescent="0.3">
      <c r="B5472">
        <v>1</v>
      </c>
      <c r="C5472" s="33">
        <v>9197</v>
      </c>
      <c r="D5472" s="2">
        <v>2099</v>
      </c>
      <c r="E5472" s="2" t="s">
        <v>13047</v>
      </c>
      <c r="F5472" s="3" t="s">
        <v>14206</v>
      </c>
      <c r="H5472" s="3" t="s">
        <v>824</v>
      </c>
      <c r="K5472" s="2">
        <v>10</v>
      </c>
      <c r="L5472" s="2">
        <v>2</v>
      </c>
      <c r="M5472" s="3" t="s">
        <v>5368</v>
      </c>
      <c r="N5472" s="3" t="s">
        <v>13</v>
      </c>
      <c r="O5472" s="3" t="s">
        <v>14</v>
      </c>
      <c r="Q5472" s="30" t="str">
        <f t="shared" si="85"/>
        <v>MAX : 
TARGET : Yes(Pass)
MIN : No(Fail)</v>
      </c>
      <c r="R5472" s="3" t="s">
        <v>1473</v>
      </c>
    </row>
    <row r="5473" spans="2:17" ht="41.4" x14ac:dyDescent="0.3">
      <c r="B5473">
        <v>0</v>
      </c>
      <c r="C5473" s="33">
        <v>9253</v>
      </c>
      <c r="D5473" s="2">
        <v>1538</v>
      </c>
      <c r="E5473" s="2" t="s">
        <v>13373</v>
      </c>
      <c r="F5473" s="3" t="s">
        <v>14206</v>
      </c>
      <c r="H5473" s="3" t="s">
        <v>5656</v>
      </c>
      <c r="K5473" s="2">
        <v>10</v>
      </c>
      <c r="L5473" s="2">
        <v>1</v>
      </c>
      <c r="M5473" s="3" t="s">
        <v>3618</v>
      </c>
      <c r="N5473" s="3" t="s">
        <v>1142</v>
      </c>
      <c r="O5473" s="3" t="s">
        <v>365</v>
      </c>
      <c r="P5473" s="3" t="s">
        <v>2939</v>
      </c>
      <c r="Q5473" s="30" t="str">
        <f t="shared" si="85"/>
        <v>MAX : 4.031
TARGET : 4.000
MIN : 3.969</v>
      </c>
    </row>
    <row r="5474" spans="2:17" ht="41.4" x14ac:dyDescent="0.3">
      <c r="B5474">
        <v>0</v>
      </c>
      <c r="C5474" s="33">
        <v>9253</v>
      </c>
      <c r="D5474" s="2">
        <v>1538</v>
      </c>
      <c r="E5474" s="2" t="s">
        <v>13373</v>
      </c>
      <c r="F5474" s="3" t="s">
        <v>14206</v>
      </c>
      <c r="H5474" s="3" t="s">
        <v>5656</v>
      </c>
      <c r="K5474" s="2">
        <v>10</v>
      </c>
      <c r="L5474" s="2">
        <v>11.1</v>
      </c>
      <c r="M5474" s="3" t="s">
        <v>2927</v>
      </c>
      <c r="N5474" s="3" t="s">
        <v>13</v>
      </c>
      <c r="O5474" s="3" t="s">
        <v>14</v>
      </c>
      <c r="Q5474" s="30" t="str">
        <f t="shared" si="85"/>
        <v>MAX : 
TARGET : Yes(Pass)
MIN : No(Fail)</v>
      </c>
    </row>
    <row r="5475" spans="2:17" ht="41.4" x14ac:dyDescent="0.3">
      <c r="B5475">
        <v>0</v>
      </c>
      <c r="C5475" s="33">
        <v>9253</v>
      </c>
      <c r="D5475" s="2">
        <v>1538</v>
      </c>
      <c r="E5475" s="2" t="s">
        <v>13373</v>
      </c>
      <c r="F5475" s="3" t="s">
        <v>14206</v>
      </c>
      <c r="H5475" s="3" t="s">
        <v>5656</v>
      </c>
      <c r="K5475" s="2">
        <v>10</v>
      </c>
      <c r="L5475" s="2">
        <v>5</v>
      </c>
      <c r="M5475" s="3" t="s">
        <v>2942</v>
      </c>
      <c r="N5475" s="3" t="s">
        <v>571</v>
      </c>
      <c r="O5475" s="3" t="s">
        <v>2943</v>
      </c>
      <c r="P5475" s="3" t="s">
        <v>1788</v>
      </c>
      <c r="Q5475" s="30" t="str">
        <f t="shared" si="85"/>
        <v>MAX : 0.445
TARGET : 0.391
MIN : 0.345</v>
      </c>
    </row>
    <row r="5476" spans="2:17" ht="41.4" x14ac:dyDescent="0.3">
      <c r="B5476">
        <v>0</v>
      </c>
      <c r="C5476" s="33">
        <v>9253</v>
      </c>
      <c r="D5476" s="2">
        <v>1538</v>
      </c>
      <c r="E5476" s="2" t="s">
        <v>13373</v>
      </c>
      <c r="F5476" s="3" t="s">
        <v>14206</v>
      </c>
      <c r="H5476" s="3" t="s">
        <v>5656</v>
      </c>
      <c r="K5476" s="2">
        <v>10</v>
      </c>
      <c r="L5476" s="2">
        <v>6</v>
      </c>
      <c r="M5476" s="3" t="s">
        <v>2944</v>
      </c>
      <c r="N5476" s="3" t="s">
        <v>571</v>
      </c>
      <c r="O5476" s="3" t="s">
        <v>2943</v>
      </c>
      <c r="P5476" s="3" t="s">
        <v>1788</v>
      </c>
      <c r="Q5476" s="30" t="str">
        <f t="shared" si="85"/>
        <v>MAX : 0.445
TARGET : 0.391
MIN : 0.345</v>
      </c>
    </row>
    <row r="5477" spans="2:17" ht="41.4" x14ac:dyDescent="0.3">
      <c r="B5477">
        <v>0</v>
      </c>
      <c r="C5477" s="33">
        <v>9253</v>
      </c>
      <c r="D5477" s="2">
        <v>1538</v>
      </c>
      <c r="E5477" s="2" t="s">
        <v>13373</v>
      </c>
      <c r="F5477" s="3" t="s">
        <v>14206</v>
      </c>
      <c r="H5477" s="3" t="s">
        <v>5656</v>
      </c>
      <c r="K5477" s="2">
        <v>10</v>
      </c>
      <c r="L5477" s="2">
        <v>7</v>
      </c>
      <c r="M5477" s="3" t="s">
        <v>2945</v>
      </c>
      <c r="N5477" s="3" t="s">
        <v>571</v>
      </c>
      <c r="O5477" s="3" t="s">
        <v>2943</v>
      </c>
      <c r="P5477" s="3" t="s">
        <v>1788</v>
      </c>
      <c r="Q5477" s="30" t="str">
        <f t="shared" si="85"/>
        <v>MAX : 0.445
TARGET : 0.391
MIN : 0.345</v>
      </c>
    </row>
    <row r="5478" spans="2:17" ht="41.4" x14ac:dyDescent="0.3">
      <c r="B5478">
        <v>0</v>
      </c>
      <c r="C5478" s="33">
        <v>9253</v>
      </c>
      <c r="D5478" s="2">
        <v>1538</v>
      </c>
      <c r="E5478" s="2" t="s">
        <v>13373</v>
      </c>
      <c r="F5478" s="3" t="s">
        <v>14206</v>
      </c>
      <c r="H5478" s="3" t="s">
        <v>5656</v>
      </c>
      <c r="K5478" s="2">
        <v>10</v>
      </c>
      <c r="L5478" s="2">
        <v>8</v>
      </c>
      <c r="M5478" s="3" t="s">
        <v>2946</v>
      </c>
      <c r="N5478" s="3" t="s">
        <v>571</v>
      </c>
      <c r="O5478" s="3" t="s">
        <v>2943</v>
      </c>
      <c r="P5478" s="3" t="s">
        <v>1788</v>
      </c>
      <c r="Q5478" s="30" t="str">
        <f t="shared" si="85"/>
        <v>MAX : 0.445
TARGET : 0.391
MIN : 0.345</v>
      </c>
    </row>
    <row r="5479" spans="2:17" ht="41.4" x14ac:dyDescent="0.3">
      <c r="B5479">
        <v>0</v>
      </c>
      <c r="C5479" s="33">
        <v>9253</v>
      </c>
      <c r="D5479" s="2">
        <v>1538</v>
      </c>
      <c r="E5479" s="2" t="s">
        <v>13373</v>
      </c>
      <c r="F5479" s="3" t="s">
        <v>14206</v>
      </c>
      <c r="H5479" s="3" t="s">
        <v>5656</v>
      </c>
      <c r="K5479" s="2">
        <v>20</v>
      </c>
      <c r="L5479" s="2">
        <v>1</v>
      </c>
      <c r="M5479" s="3" t="s">
        <v>2620</v>
      </c>
      <c r="N5479" s="3" t="s">
        <v>13</v>
      </c>
      <c r="O5479" s="3" t="s">
        <v>14</v>
      </c>
      <c r="Q5479" s="30" t="str">
        <f t="shared" si="85"/>
        <v>MAX : 
TARGET : Yes(Pass)
MIN : No(Fail)</v>
      </c>
    </row>
    <row r="5480" spans="2:17" ht="41.4" x14ac:dyDescent="0.3">
      <c r="B5480">
        <v>0</v>
      </c>
      <c r="C5480" s="33">
        <v>9253</v>
      </c>
      <c r="D5480" s="2">
        <v>1538</v>
      </c>
      <c r="E5480" s="2" t="s">
        <v>13373</v>
      </c>
      <c r="F5480" s="3" t="s">
        <v>14206</v>
      </c>
      <c r="H5480" s="3" t="s">
        <v>5656</v>
      </c>
      <c r="K5480" s="2">
        <v>20</v>
      </c>
      <c r="L5480" s="2">
        <v>2</v>
      </c>
      <c r="M5480" s="3" t="s">
        <v>5660</v>
      </c>
      <c r="N5480" s="3" t="s">
        <v>13</v>
      </c>
      <c r="O5480" s="3" t="s">
        <v>14</v>
      </c>
      <c r="Q5480" s="30" t="str">
        <f t="shared" si="85"/>
        <v>MAX : 
TARGET : Yes(Pass)
MIN : No(Fail)</v>
      </c>
    </row>
    <row r="5481" spans="2:17" ht="41.4" x14ac:dyDescent="0.3">
      <c r="B5481">
        <v>0</v>
      </c>
      <c r="C5481" s="33">
        <v>9253</v>
      </c>
      <c r="D5481" s="2">
        <v>1538</v>
      </c>
      <c r="E5481" s="2" t="s">
        <v>13373</v>
      </c>
      <c r="F5481" s="3" t="s">
        <v>14206</v>
      </c>
      <c r="H5481" s="3" t="s">
        <v>5656</v>
      </c>
      <c r="K5481" s="2">
        <v>20</v>
      </c>
      <c r="L5481" s="2">
        <v>4</v>
      </c>
      <c r="M5481" s="3" t="s">
        <v>4539</v>
      </c>
      <c r="N5481" s="3" t="s">
        <v>13</v>
      </c>
      <c r="O5481" s="3" t="s">
        <v>14</v>
      </c>
      <c r="Q5481" s="30" t="str">
        <f t="shared" si="85"/>
        <v>MAX : 
TARGET : Yes(Pass)
MIN : No(Fail)</v>
      </c>
    </row>
    <row r="5482" spans="2:17" ht="41.4" x14ac:dyDescent="0.3">
      <c r="B5482">
        <v>0</v>
      </c>
      <c r="C5482" s="33">
        <v>9253</v>
      </c>
      <c r="D5482" s="2">
        <v>1538</v>
      </c>
      <c r="E5482" s="2" t="s">
        <v>13373</v>
      </c>
      <c r="F5482" s="3" t="s">
        <v>14206</v>
      </c>
      <c r="H5482" s="3" t="s">
        <v>5656</v>
      </c>
      <c r="K5482" s="2">
        <v>20</v>
      </c>
      <c r="L5482" s="2">
        <v>3</v>
      </c>
      <c r="M5482" s="3" t="s">
        <v>5661</v>
      </c>
      <c r="N5482" s="3" t="s">
        <v>13</v>
      </c>
      <c r="O5482" s="3" t="s">
        <v>14</v>
      </c>
      <c r="Q5482" s="30" t="str">
        <f t="shared" si="85"/>
        <v>MAX : 
TARGET : Yes(Pass)
MIN : No(Fail)</v>
      </c>
    </row>
    <row r="5483" spans="2:17" ht="41.4" x14ac:dyDescent="0.3">
      <c r="B5483">
        <v>0</v>
      </c>
      <c r="C5483" s="33">
        <v>9253</v>
      </c>
      <c r="D5483" s="2">
        <v>1538</v>
      </c>
      <c r="E5483" s="2" t="s">
        <v>13373</v>
      </c>
      <c r="F5483" s="3" t="s">
        <v>14206</v>
      </c>
      <c r="H5483" s="3" t="s">
        <v>5656</v>
      </c>
      <c r="K5483" s="2">
        <v>20</v>
      </c>
      <c r="L5483" s="2">
        <v>6</v>
      </c>
      <c r="M5483" s="3" t="s">
        <v>4540</v>
      </c>
      <c r="N5483" s="3" t="s">
        <v>13</v>
      </c>
      <c r="O5483" s="3" t="s">
        <v>14</v>
      </c>
      <c r="Q5483" s="30" t="str">
        <f t="shared" si="85"/>
        <v>MAX : 
TARGET : Yes(Pass)
MIN : No(Fail)</v>
      </c>
    </row>
    <row r="5484" spans="2:17" ht="41.4" x14ac:dyDescent="0.3">
      <c r="B5484">
        <v>0</v>
      </c>
      <c r="C5484" s="33">
        <v>9253</v>
      </c>
      <c r="D5484" s="2">
        <v>1538</v>
      </c>
      <c r="E5484" s="2" t="s">
        <v>13373</v>
      </c>
      <c r="F5484" s="3" t="s">
        <v>14206</v>
      </c>
      <c r="H5484" s="3" t="s">
        <v>5656</v>
      </c>
      <c r="K5484" s="2">
        <v>10</v>
      </c>
      <c r="L5484" s="2">
        <v>9</v>
      </c>
      <c r="M5484" s="3" t="s">
        <v>2948</v>
      </c>
      <c r="N5484" s="3" t="s">
        <v>5662</v>
      </c>
      <c r="O5484" s="3" t="s">
        <v>1600</v>
      </c>
      <c r="P5484" s="3" t="s">
        <v>5663</v>
      </c>
      <c r="Q5484" s="30" t="str">
        <f t="shared" si="85"/>
        <v>MAX : 2.210
TARGET : 2.200
MIN : 2.190</v>
      </c>
    </row>
    <row r="5485" spans="2:17" ht="41.4" x14ac:dyDescent="0.3">
      <c r="B5485">
        <v>0</v>
      </c>
      <c r="C5485" s="33">
        <v>9253</v>
      </c>
      <c r="D5485" s="2">
        <v>1538</v>
      </c>
      <c r="E5485" s="2" t="s">
        <v>13373</v>
      </c>
      <c r="F5485" s="3" t="s">
        <v>14206</v>
      </c>
      <c r="H5485" s="3" t="s">
        <v>5656</v>
      </c>
      <c r="K5485" s="2">
        <v>10</v>
      </c>
      <c r="L5485" s="2">
        <v>2</v>
      </c>
      <c r="M5485" s="3" t="s">
        <v>5664</v>
      </c>
      <c r="N5485" s="3" t="s">
        <v>13</v>
      </c>
      <c r="O5485" s="3" t="s">
        <v>14</v>
      </c>
      <c r="Q5485" s="30" t="str">
        <f t="shared" si="85"/>
        <v>MAX : 
TARGET : Yes(Pass)
MIN : No(Fail)</v>
      </c>
    </row>
    <row r="5486" spans="2:17" ht="41.4" x14ac:dyDescent="0.3">
      <c r="B5486">
        <v>0</v>
      </c>
      <c r="C5486" s="33">
        <v>9253</v>
      </c>
      <c r="D5486" s="2">
        <v>1538</v>
      </c>
      <c r="E5486" s="2" t="s">
        <v>13373</v>
      </c>
      <c r="F5486" s="3" t="s">
        <v>14206</v>
      </c>
      <c r="H5486" s="3" t="s">
        <v>5656</v>
      </c>
      <c r="K5486" s="2">
        <v>10</v>
      </c>
      <c r="L5486" s="2">
        <v>10</v>
      </c>
      <c r="M5486" s="3" t="s">
        <v>2931</v>
      </c>
      <c r="N5486" s="3" t="s">
        <v>13</v>
      </c>
      <c r="O5486" s="3" t="s">
        <v>14</v>
      </c>
      <c r="Q5486" s="30" t="str">
        <f t="shared" si="85"/>
        <v>MAX : 
TARGET : Yes(Pass)
MIN : No(Fail)</v>
      </c>
    </row>
    <row r="5487" spans="2:17" ht="41.4" x14ac:dyDescent="0.3">
      <c r="B5487">
        <v>0</v>
      </c>
      <c r="C5487" s="33">
        <v>9253</v>
      </c>
      <c r="D5487" s="2">
        <v>1538</v>
      </c>
      <c r="E5487" s="2" t="s">
        <v>13373</v>
      </c>
      <c r="F5487" s="3" t="s">
        <v>14206</v>
      </c>
      <c r="H5487" s="3" t="s">
        <v>5656</v>
      </c>
      <c r="K5487" s="2">
        <v>20</v>
      </c>
      <c r="L5487" s="2">
        <v>5</v>
      </c>
      <c r="M5487" s="3" t="s">
        <v>2624</v>
      </c>
      <c r="N5487" s="3" t="s">
        <v>13</v>
      </c>
      <c r="O5487" s="3" t="s">
        <v>14</v>
      </c>
      <c r="Q5487" s="30" t="str">
        <f t="shared" si="85"/>
        <v>MAX : 
TARGET : Yes(Pass)
MIN : No(Fail)</v>
      </c>
    </row>
    <row r="5488" spans="2:17" ht="41.4" x14ac:dyDescent="0.3">
      <c r="B5488">
        <v>0</v>
      </c>
      <c r="C5488" s="33">
        <v>9253</v>
      </c>
      <c r="D5488" s="2">
        <v>1538</v>
      </c>
      <c r="E5488" s="2" t="s">
        <v>13373</v>
      </c>
      <c r="F5488" s="3" t="s">
        <v>14206</v>
      </c>
      <c r="H5488" s="3" t="s">
        <v>5656</v>
      </c>
      <c r="K5488" s="2">
        <v>20</v>
      </c>
      <c r="L5488" s="2">
        <v>7</v>
      </c>
      <c r="M5488" s="3" t="s">
        <v>4541</v>
      </c>
      <c r="N5488" s="3" t="s">
        <v>13</v>
      </c>
      <c r="O5488" s="3" t="s">
        <v>14</v>
      </c>
      <c r="Q5488" s="30" t="str">
        <f t="shared" si="85"/>
        <v>MAX : 
TARGET : Yes(Pass)
MIN : No(Fail)</v>
      </c>
    </row>
    <row r="5489" spans="2:18" ht="41.4" x14ac:dyDescent="0.3">
      <c r="B5489">
        <v>0</v>
      </c>
      <c r="C5489" s="33">
        <v>9253</v>
      </c>
      <c r="D5489" s="2">
        <v>1538</v>
      </c>
      <c r="E5489" s="2" t="s">
        <v>13373</v>
      </c>
      <c r="F5489" s="3" t="s">
        <v>14206</v>
      </c>
      <c r="H5489" s="3" t="s">
        <v>5656</v>
      </c>
      <c r="K5489" s="2">
        <v>20</v>
      </c>
      <c r="L5489" s="2">
        <v>0.1</v>
      </c>
      <c r="Q5489" s="30" t="str">
        <f t="shared" si="85"/>
        <v xml:space="preserve">MAX : 
TARGET : 
MIN : </v>
      </c>
    </row>
    <row r="5490" spans="2:18" ht="41.4" x14ac:dyDescent="0.3">
      <c r="B5490">
        <v>0</v>
      </c>
      <c r="C5490" s="33">
        <v>9253</v>
      </c>
      <c r="D5490" s="2">
        <v>1538</v>
      </c>
      <c r="E5490" s="2" t="s">
        <v>13373</v>
      </c>
      <c r="F5490" s="3" t="s">
        <v>14206</v>
      </c>
      <c r="H5490" s="3" t="s">
        <v>5656</v>
      </c>
      <c r="K5490" s="2">
        <v>20</v>
      </c>
      <c r="L5490" s="2">
        <v>0.2</v>
      </c>
      <c r="Q5490" s="30" t="str">
        <f t="shared" si="85"/>
        <v xml:space="preserve">MAX : 
TARGET : 
MIN : </v>
      </c>
    </row>
    <row r="5491" spans="2:18" ht="41.4" x14ac:dyDescent="0.3">
      <c r="B5491">
        <v>0</v>
      </c>
      <c r="C5491" s="33">
        <v>9253</v>
      </c>
      <c r="D5491" s="2">
        <v>1538</v>
      </c>
      <c r="E5491" s="2" t="s">
        <v>13373</v>
      </c>
      <c r="F5491" s="3" t="s">
        <v>14206</v>
      </c>
      <c r="H5491" s="3" t="s">
        <v>5656</v>
      </c>
      <c r="K5491" s="2">
        <v>20</v>
      </c>
      <c r="L5491" s="2">
        <v>0.3</v>
      </c>
      <c r="Q5491" s="30" t="str">
        <f t="shared" si="85"/>
        <v xml:space="preserve">MAX : 
TARGET : 
MIN : </v>
      </c>
    </row>
    <row r="5492" spans="2:18" ht="41.4" x14ac:dyDescent="0.3">
      <c r="B5492">
        <v>0</v>
      </c>
      <c r="C5492" s="33">
        <v>9253</v>
      </c>
      <c r="D5492" s="2">
        <v>1538</v>
      </c>
      <c r="E5492" s="2" t="s">
        <v>13373</v>
      </c>
      <c r="F5492" s="3" t="s">
        <v>14206</v>
      </c>
      <c r="H5492" s="3" t="s">
        <v>5656</v>
      </c>
      <c r="K5492" s="2">
        <v>20</v>
      </c>
      <c r="L5492" s="2">
        <v>0.4</v>
      </c>
      <c r="Q5492" s="30" t="str">
        <f t="shared" si="85"/>
        <v xml:space="preserve">MAX : 
TARGET : 
MIN : </v>
      </c>
    </row>
    <row r="5493" spans="2:18" ht="41.4" x14ac:dyDescent="0.3">
      <c r="B5493">
        <v>0</v>
      </c>
      <c r="C5493" s="33">
        <v>9253</v>
      </c>
      <c r="D5493" s="2">
        <v>1538</v>
      </c>
      <c r="E5493" s="2" t="s">
        <v>13373</v>
      </c>
      <c r="F5493" s="3" t="s">
        <v>14206</v>
      </c>
      <c r="H5493" s="3" t="s">
        <v>5656</v>
      </c>
      <c r="K5493" s="2">
        <v>20</v>
      </c>
      <c r="L5493" s="2">
        <v>0.5</v>
      </c>
      <c r="Q5493" s="30" t="str">
        <f t="shared" si="85"/>
        <v xml:space="preserve">MAX : 
TARGET : 
MIN : </v>
      </c>
    </row>
    <row r="5494" spans="2:18" ht="41.4" x14ac:dyDescent="0.3">
      <c r="B5494">
        <v>0</v>
      </c>
      <c r="C5494" s="33">
        <v>9253</v>
      </c>
      <c r="D5494" s="2">
        <v>1538</v>
      </c>
      <c r="E5494" s="2" t="s">
        <v>13373</v>
      </c>
      <c r="F5494" s="3" t="s">
        <v>14206</v>
      </c>
      <c r="H5494" s="3" t="s">
        <v>5656</v>
      </c>
      <c r="K5494" s="2">
        <v>20</v>
      </c>
      <c r="L5494" s="2">
        <v>0.6</v>
      </c>
      <c r="Q5494" s="30" t="str">
        <f t="shared" si="85"/>
        <v xml:space="preserve">MAX : 
TARGET : 
MIN : </v>
      </c>
    </row>
    <row r="5495" spans="2:18" ht="41.4" x14ac:dyDescent="0.3">
      <c r="B5495">
        <v>0</v>
      </c>
      <c r="C5495" s="33">
        <v>9253</v>
      </c>
      <c r="D5495" s="2">
        <v>1538</v>
      </c>
      <c r="E5495" s="2" t="s">
        <v>13373</v>
      </c>
      <c r="F5495" s="3" t="s">
        <v>14206</v>
      </c>
      <c r="H5495" s="3" t="s">
        <v>5656</v>
      </c>
      <c r="K5495" s="2">
        <v>10</v>
      </c>
      <c r="L5495" s="2">
        <v>11</v>
      </c>
      <c r="M5495" s="3" t="s">
        <v>5665</v>
      </c>
      <c r="Q5495" s="30" t="str">
        <f t="shared" si="85"/>
        <v xml:space="preserve">MAX : 
TARGET : 
MIN : </v>
      </c>
    </row>
    <row r="5496" spans="2:18" ht="41.4" x14ac:dyDescent="0.3">
      <c r="B5496">
        <v>1</v>
      </c>
      <c r="C5496" s="33">
        <v>9197</v>
      </c>
      <c r="D5496" s="2">
        <v>2099</v>
      </c>
      <c r="E5496" s="2" t="s">
        <v>13047</v>
      </c>
      <c r="F5496" s="3" t="s">
        <v>14206</v>
      </c>
      <c r="H5496" s="3" t="s">
        <v>824</v>
      </c>
      <c r="K5496" s="2">
        <v>10</v>
      </c>
      <c r="L5496" s="2">
        <v>1</v>
      </c>
      <c r="M5496" s="3" t="s">
        <v>458</v>
      </c>
      <c r="N5496" s="3" t="s">
        <v>271</v>
      </c>
      <c r="O5496" s="3" t="s">
        <v>1616</v>
      </c>
      <c r="P5496" s="3" t="s">
        <v>963</v>
      </c>
      <c r="Q5496" s="30" t="str">
        <f t="shared" si="85"/>
        <v>MAX : 0.92
TARGET : 0.90
MIN : 0.88</v>
      </c>
      <c r="R5496" s="3" t="s">
        <v>1473</v>
      </c>
    </row>
    <row r="5497" spans="2:18" ht="41.4" x14ac:dyDescent="0.3">
      <c r="B5497">
        <v>1</v>
      </c>
      <c r="C5497" s="33">
        <v>9198</v>
      </c>
      <c r="D5497" s="2">
        <v>1501</v>
      </c>
      <c r="E5497" s="2" t="s">
        <v>13054</v>
      </c>
      <c r="F5497" s="3" t="s">
        <v>14259</v>
      </c>
      <c r="H5497" s="3" t="s">
        <v>5370</v>
      </c>
      <c r="K5497" s="2">
        <v>20</v>
      </c>
      <c r="L5497" s="2">
        <v>2</v>
      </c>
      <c r="M5497" s="3" t="s">
        <v>194</v>
      </c>
      <c r="N5497" s="3" t="s">
        <v>5372</v>
      </c>
      <c r="O5497" s="3" t="s">
        <v>5373</v>
      </c>
      <c r="P5497" s="3" t="s">
        <v>5374</v>
      </c>
      <c r="Q5497" s="30" t="str">
        <f t="shared" si="85"/>
        <v>MAX : 6.480
TARGET : 6.472
MIN : 6.464</v>
      </c>
    </row>
    <row r="5498" spans="2:18" ht="41.4" x14ac:dyDescent="0.3">
      <c r="B5498">
        <v>0</v>
      </c>
      <c r="C5498" s="33">
        <v>9254</v>
      </c>
      <c r="D5498" s="2">
        <v>1539</v>
      </c>
      <c r="E5498" s="2" t="s">
        <v>13381</v>
      </c>
      <c r="F5498" s="3" t="s">
        <v>14207</v>
      </c>
      <c r="H5498" s="3" t="s">
        <v>962</v>
      </c>
      <c r="K5498" s="2">
        <v>20</v>
      </c>
      <c r="L5498" s="2">
        <v>3</v>
      </c>
      <c r="M5498" s="3" t="s">
        <v>5669</v>
      </c>
      <c r="N5498" s="3" t="s">
        <v>13</v>
      </c>
      <c r="O5498" s="3" t="s">
        <v>14</v>
      </c>
      <c r="Q5498" s="30" t="str">
        <f t="shared" si="85"/>
        <v>MAX : 
TARGET : Yes(Pass)
MIN : No(Fail)</v>
      </c>
    </row>
    <row r="5499" spans="2:18" ht="41.4" x14ac:dyDescent="0.3">
      <c r="B5499">
        <v>1</v>
      </c>
      <c r="C5499" s="33">
        <v>9198</v>
      </c>
      <c r="D5499" s="2">
        <v>1501</v>
      </c>
      <c r="E5499" s="2" t="s">
        <v>13054</v>
      </c>
      <c r="F5499" s="3" t="s">
        <v>14259</v>
      </c>
      <c r="H5499" s="3" t="s">
        <v>5370</v>
      </c>
      <c r="K5499" s="2">
        <v>20</v>
      </c>
      <c r="L5499" s="2">
        <v>1</v>
      </c>
      <c r="M5499" s="3" t="s">
        <v>5371</v>
      </c>
      <c r="N5499" s="3" t="s">
        <v>13</v>
      </c>
      <c r="O5499" s="3" t="s">
        <v>14</v>
      </c>
      <c r="Q5499" s="30" t="str">
        <f t="shared" si="85"/>
        <v>MAX : 
TARGET : Yes(Pass)
MIN : No(Fail)</v>
      </c>
    </row>
    <row r="5500" spans="2:18" ht="41.4" x14ac:dyDescent="0.3">
      <c r="B5500">
        <v>1</v>
      </c>
      <c r="C5500" s="33">
        <v>9199</v>
      </c>
      <c r="D5500" s="2">
        <v>1502</v>
      </c>
      <c r="E5500" s="2" t="s">
        <v>13061</v>
      </c>
      <c r="F5500" s="3" t="s">
        <v>14206</v>
      </c>
      <c r="H5500" s="3" t="s">
        <v>426</v>
      </c>
      <c r="K5500" s="2">
        <v>20</v>
      </c>
      <c r="L5500" s="2">
        <v>2</v>
      </c>
      <c r="M5500" s="3" t="s">
        <v>570</v>
      </c>
      <c r="N5500" s="3" t="s">
        <v>384</v>
      </c>
      <c r="O5500" s="3" t="s">
        <v>1798</v>
      </c>
      <c r="P5500" s="3" t="s">
        <v>405</v>
      </c>
      <c r="Q5500" s="30" t="str">
        <f t="shared" si="85"/>
        <v>MAX : 1.94
TARGET : 1.88
MIN : 1.82</v>
      </c>
    </row>
    <row r="5501" spans="2:18" ht="41.4" x14ac:dyDescent="0.3">
      <c r="B5501">
        <v>1</v>
      </c>
      <c r="C5501" s="33">
        <v>9199</v>
      </c>
      <c r="D5501" s="2">
        <v>1502</v>
      </c>
      <c r="E5501" s="2" t="s">
        <v>13061</v>
      </c>
      <c r="F5501" s="3" t="s">
        <v>14206</v>
      </c>
      <c r="H5501" s="3" t="s">
        <v>426</v>
      </c>
      <c r="K5501" s="2">
        <v>20</v>
      </c>
      <c r="L5501" s="2">
        <v>1</v>
      </c>
      <c r="M5501" s="3" t="s">
        <v>194</v>
      </c>
      <c r="N5501" s="3" t="s">
        <v>384</v>
      </c>
      <c r="O5501" s="3" t="s">
        <v>1798</v>
      </c>
      <c r="P5501" s="3" t="s">
        <v>405</v>
      </c>
      <c r="Q5501" s="30" t="str">
        <f t="shared" si="85"/>
        <v>MAX : 1.94
TARGET : 1.88
MIN : 1.82</v>
      </c>
    </row>
    <row r="5502" spans="2:18" ht="41.4" x14ac:dyDescent="0.3">
      <c r="B5502">
        <v>1</v>
      </c>
      <c r="C5502" s="33">
        <v>9200</v>
      </c>
      <c r="D5502" s="2">
        <v>1503</v>
      </c>
      <c r="E5502" s="2" t="s">
        <v>13067</v>
      </c>
      <c r="H5502" s="3" t="s">
        <v>4195</v>
      </c>
      <c r="K5502" s="2">
        <v>10</v>
      </c>
      <c r="L5502" s="2">
        <v>1</v>
      </c>
      <c r="M5502" s="3" t="s">
        <v>5388</v>
      </c>
      <c r="N5502" s="3" t="s">
        <v>24</v>
      </c>
      <c r="O5502" s="3" t="s">
        <v>25</v>
      </c>
      <c r="Q5502" s="30" t="str">
        <f t="shared" si="85"/>
        <v>MAX : 
TARGET : Yes (Pass)
MIN : No (Fail)</v>
      </c>
    </row>
    <row r="5503" spans="2:18" ht="41.4" x14ac:dyDescent="0.3">
      <c r="B5503">
        <v>1</v>
      </c>
      <c r="C5503" s="33">
        <v>9201</v>
      </c>
      <c r="D5503" s="2">
        <v>1504</v>
      </c>
      <c r="E5503" s="2" t="s">
        <v>13074</v>
      </c>
      <c r="F5503" s="3" t="s">
        <v>14206</v>
      </c>
      <c r="H5503" s="3" t="s">
        <v>1903</v>
      </c>
      <c r="K5503" s="2">
        <v>20</v>
      </c>
      <c r="L5503" s="2">
        <v>1</v>
      </c>
      <c r="M5503" s="3" t="s">
        <v>5413</v>
      </c>
      <c r="N5503" s="3" t="s">
        <v>5414</v>
      </c>
      <c r="O5503" s="3" t="s">
        <v>5415</v>
      </c>
      <c r="P5503" s="3" t="s">
        <v>5416</v>
      </c>
      <c r="Q5503" s="30" t="str">
        <f t="shared" si="85"/>
        <v>MAX : 4.28
TARGET : 4.25
MIN : 4.22</v>
      </c>
    </row>
    <row r="5504" spans="2:18" ht="41.4" x14ac:dyDescent="0.3">
      <c r="B5504">
        <v>1</v>
      </c>
      <c r="C5504" s="33">
        <v>9201</v>
      </c>
      <c r="D5504" s="2">
        <v>1504</v>
      </c>
      <c r="E5504" s="2" t="s">
        <v>13074</v>
      </c>
      <c r="F5504" s="3" t="s">
        <v>14206</v>
      </c>
      <c r="H5504" s="3" t="s">
        <v>1903</v>
      </c>
      <c r="K5504" s="2">
        <v>10</v>
      </c>
      <c r="L5504" s="2">
        <v>1</v>
      </c>
      <c r="M5504" s="3" t="s">
        <v>570</v>
      </c>
      <c r="N5504" s="3" t="s">
        <v>2054</v>
      </c>
      <c r="O5504" s="3" t="s">
        <v>1714</v>
      </c>
      <c r="P5504" s="3" t="s">
        <v>4837</v>
      </c>
      <c r="Q5504" s="30" t="str">
        <f t="shared" si="85"/>
        <v>MAX : 0.325
TARGET : 0.315
MIN : 0.305</v>
      </c>
    </row>
    <row r="5505" spans="2:18" ht="41.4" x14ac:dyDescent="0.3">
      <c r="B5505">
        <v>1</v>
      </c>
      <c r="C5505" s="33">
        <v>9202</v>
      </c>
      <c r="D5505" s="2">
        <v>1505</v>
      </c>
      <c r="E5505" s="2" t="s">
        <v>13080</v>
      </c>
      <c r="F5505" s="3" t="s">
        <v>14206</v>
      </c>
      <c r="H5505" s="3" t="s">
        <v>5640</v>
      </c>
      <c r="K5505" s="2">
        <v>10</v>
      </c>
      <c r="L5505" s="2">
        <v>1</v>
      </c>
      <c r="M5505" s="3" t="s">
        <v>811</v>
      </c>
      <c r="N5505" s="3" t="s">
        <v>24</v>
      </c>
      <c r="O5505" s="3" t="s">
        <v>25</v>
      </c>
      <c r="Q5505" s="30" t="str">
        <f t="shared" si="85"/>
        <v>MAX : 
TARGET : Yes (Pass)
MIN : No (Fail)</v>
      </c>
    </row>
    <row r="5506" spans="2:18" ht="41.4" x14ac:dyDescent="0.3">
      <c r="B5506">
        <v>0</v>
      </c>
      <c r="C5506" s="33">
        <v>9258</v>
      </c>
      <c r="D5506" s="2">
        <v>2116</v>
      </c>
      <c r="E5506" s="2" t="s">
        <v>13393</v>
      </c>
      <c r="F5506" s="3" t="s">
        <v>14207</v>
      </c>
      <c r="H5506" s="3" t="s">
        <v>568</v>
      </c>
      <c r="K5506" s="2">
        <v>20</v>
      </c>
      <c r="L5506" s="2">
        <v>3</v>
      </c>
      <c r="M5506" s="3" t="s">
        <v>5676</v>
      </c>
      <c r="N5506" s="3" t="s">
        <v>13</v>
      </c>
      <c r="O5506" s="3" t="s">
        <v>14</v>
      </c>
      <c r="Q5506" s="30" t="str">
        <f t="shared" ref="Q5506:Q5569" si="86">"MAX : " &amp; P5506 &amp; CHAR(10) &amp; "TARGET : " &amp; O5506 &amp; CHAR(10) &amp; "MIN : " &amp; N5506</f>
        <v>MAX : 
TARGET : Yes(Pass)
MIN : No(Fail)</v>
      </c>
    </row>
    <row r="5507" spans="2:18" ht="41.4" x14ac:dyDescent="0.3">
      <c r="B5507">
        <v>1</v>
      </c>
      <c r="C5507" s="33">
        <v>9203</v>
      </c>
      <c r="D5507" s="2">
        <v>1506</v>
      </c>
      <c r="E5507" s="2" t="s">
        <v>9808</v>
      </c>
      <c r="F5507" s="3" t="s">
        <v>14207</v>
      </c>
      <c r="H5507" s="3" t="s">
        <v>600</v>
      </c>
      <c r="K5507" s="2">
        <v>20</v>
      </c>
      <c r="L5507" s="2">
        <v>2</v>
      </c>
      <c r="M5507" s="3" t="s">
        <v>198</v>
      </c>
      <c r="N5507" s="3" t="s">
        <v>2835</v>
      </c>
      <c r="O5507" s="3" t="s">
        <v>1559</v>
      </c>
      <c r="P5507" s="3" t="s">
        <v>586</v>
      </c>
      <c r="Q5507" s="30" t="str">
        <f t="shared" si="86"/>
        <v>MAX : 45.5
TARGET : 45.0
MIN : 44.5</v>
      </c>
    </row>
    <row r="5508" spans="2:18" ht="41.4" x14ac:dyDescent="0.3">
      <c r="B5508">
        <v>1</v>
      </c>
      <c r="C5508" s="33">
        <v>9203</v>
      </c>
      <c r="D5508" s="2">
        <v>1506</v>
      </c>
      <c r="E5508" s="2" t="s">
        <v>9808</v>
      </c>
      <c r="F5508" s="3" t="s">
        <v>14207</v>
      </c>
      <c r="H5508" s="3" t="s">
        <v>600</v>
      </c>
      <c r="K5508" s="2">
        <v>20</v>
      </c>
      <c r="L5508" s="2">
        <v>1</v>
      </c>
      <c r="M5508" s="3" t="s">
        <v>194</v>
      </c>
      <c r="N5508" s="3" t="s">
        <v>2832</v>
      </c>
      <c r="O5508" s="3" t="s">
        <v>2833</v>
      </c>
      <c r="P5508" s="3" t="s">
        <v>2834</v>
      </c>
      <c r="Q5508" s="30" t="str">
        <f t="shared" si="86"/>
        <v>MAX : 368.5
TARGET : 368.0
MIN : 367.5</v>
      </c>
    </row>
    <row r="5509" spans="2:18" ht="41.4" x14ac:dyDescent="0.3">
      <c r="B5509">
        <v>1</v>
      </c>
      <c r="C5509" s="33">
        <v>9204</v>
      </c>
      <c r="D5509" s="2">
        <v>2100</v>
      </c>
      <c r="E5509" s="2" t="s">
        <v>13089</v>
      </c>
      <c r="F5509" s="3" t="s">
        <v>14206</v>
      </c>
      <c r="H5509" s="3" t="s">
        <v>269</v>
      </c>
      <c r="K5509" s="2">
        <v>20</v>
      </c>
      <c r="L5509" s="2">
        <v>2</v>
      </c>
      <c r="M5509" s="3" t="s">
        <v>611</v>
      </c>
      <c r="N5509" s="3" t="s">
        <v>13</v>
      </c>
      <c r="O5509" s="3" t="s">
        <v>14</v>
      </c>
      <c r="Q5509" s="30" t="str">
        <f t="shared" si="86"/>
        <v>MAX : 
TARGET : Yes(Pass)
MIN : No(Fail)</v>
      </c>
    </row>
    <row r="5510" spans="2:18" ht="41.4" x14ac:dyDescent="0.3">
      <c r="B5510">
        <v>1</v>
      </c>
      <c r="C5510" s="33">
        <v>9204</v>
      </c>
      <c r="D5510" s="2">
        <v>2100</v>
      </c>
      <c r="E5510" s="2" t="s">
        <v>13089</v>
      </c>
      <c r="F5510" s="3" t="s">
        <v>14206</v>
      </c>
      <c r="H5510" s="3" t="s">
        <v>269</v>
      </c>
      <c r="K5510" s="2">
        <v>20</v>
      </c>
      <c r="L5510" s="2">
        <v>1</v>
      </c>
      <c r="M5510" s="3" t="s">
        <v>99</v>
      </c>
      <c r="N5510" s="3" t="s">
        <v>459</v>
      </c>
      <c r="O5510" s="3" t="s">
        <v>406</v>
      </c>
      <c r="P5510" s="3" t="s">
        <v>460</v>
      </c>
      <c r="Q5510" s="30" t="str">
        <f t="shared" si="86"/>
        <v>MAX : 2.03
TARGET : 2.00
MIN : 1.97</v>
      </c>
    </row>
    <row r="5511" spans="2:18" ht="41.4" x14ac:dyDescent="0.3">
      <c r="B5511">
        <v>1</v>
      </c>
      <c r="C5511" s="33">
        <v>9205</v>
      </c>
      <c r="D5511" s="2">
        <v>2101</v>
      </c>
      <c r="E5511" s="2" t="s">
        <v>13096</v>
      </c>
      <c r="F5511" s="3" t="s">
        <v>14206</v>
      </c>
      <c r="H5511" s="3" t="s">
        <v>269</v>
      </c>
      <c r="K5511" s="2">
        <v>20</v>
      </c>
      <c r="L5511" s="2">
        <v>2</v>
      </c>
      <c r="M5511" s="3" t="s">
        <v>611</v>
      </c>
      <c r="N5511" s="3" t="s">
        <v>13</v>
      </c>
      <c r="O5511" s="3" t="s">
        <v>14</v>
      </c>
      <c r="Q5511" s="30" t="str">
        <f t="shared" si="86"/>
        <v>MAX : 
TARGET : Yes(Pass)
MIN : No(Fail)</v>
      </c>
    </row>
    <row r="5512" spans="2:18" ht="41.4" x14ac:dyDescent="0.3">
      <c r="B5512">
        <v>1</v>
      </c>
      <c r="C5512" s="33">
        <v>9205</v>
      </c>
      <c r="D5512" s="2">
        <v>2101</v>
      </c>
      <c r="E5512" s="2" t="s">
        <v>13096</v>
      </c>
      <c r="F5512" s="3" t="s">
        <v>14206</v>
      </c>
      <c r="H5512" s="3" t="s">
        <v>269</v>
      </c>
      <c r="K5512" s="2">
        <v>20</v>
      </c>
      <c r="L5512" s="2">
        <v>1</v>
      </c>
      <c r="M5512" s="3" t="s">
        <v>99</v>
      </c>
      <c r="N5512" s="3" t="s">
        <v>420</v>
      </c>
      <c r="O5512" s="3" t="s">
        <v>272</v>
      </c>
      <c r="P5512" s="3" t="s">
        <v>414</v>
      </c>
      <c r="Q5512" s="30" t="str">
        <f t="shared" si="86"/>
        <v>MAX : 1.03
TARGET : 1.00
MIN : 0.97</v>
      </c>
    </row>
    <row r="5513" spans="2:18" ht="41.4" x14ac:dyDescent="0.3">
      <c r="B5513">
        <v>1</v>
      </c>
      <c r="C5513" s="33">
        <v>9206</v>
      </c>
      <c r="D5513" s="2">
        <v>2102</v>
      </c>
      <c r="E5513" s="2" t="s">
        <v>13102</v>
      </c>
      <c r="F5513" s="3" t="s">
        <v>14206</v>
      </c>
      <c r="H5513" s="3" t="s">
        <v>269</v>
      </c>
      <c r="K5513" s="2">
        <v>20</v>
      </c>
      <c r="L5513" s="2">
        <v>3</v>
      </c>
      <c r="M5513" s="3" t="s">
        <v>611</v>
      </c>
      <c r="N5513" s="3" t="s">
        <v>13</v>
      </c>
      <c r="O5513" s="3" t="s">
        <v>14</v>
      </c>
      <c r="Q5513" s="30" t="str">
        <f t="shared" si="86"/>
        <v>MAX : 
TARGET : Yes(Pass)
MIN : No(Fail)</v>
      </c>
    </row>
    <row r="5514" spans="2:18" ht="41.4" x14ac:dyDescent="0.3">
      <c r="B5514">
        <v>1</v>
      </c>
      <c r="C5514" s="33">
        <v>9206</v>
      </c>
      <c r="D5514" s="2">
        <v>2102</v>
      </c>
      <c r="E5514" s="2" t="s">
        <v>13102</v>
      </c>
      <c r="F5514" s="3" t="s">
        <v>14206</v>
      </c>
      <c r="H5514" s="3" t="s">
        <v>269</v>
      </c>
      <c r="K5514" s="2">
        <v>20</v>
      </c>
      <c r="L5514" s="2">
        <v>1</v>
      </c>
      <c r="M5514" s="3" t="s">
        <v>99</v>
      </c>
      <c r="N5514" s="3" t="s">
        <v>1504</v>
      </c>
      <c r="O5514" s="3" t="s">
        <v>815</v>
      </c>
      <c r="P5514" s="3" t="s">
        <v>1505</v>
      </c>
      <c r="Q5514" s="30" t="str">
        <f t="shared" si="86"/>
        <v>MAX : 3.06
TARGET : 3.00
MIN : 2.94</v>
      </c>
    </row>
    <row r="5515" spans="2:18" ht="41.4" x14ac:dyDescent="0.3">
      <c r="B5515">
        <v>1</v>
      </c>
      <c r="C5515" s="33">
        <v>9206</v>
      </c>
      <c r="D5515" s="2">
        <v>2102</v>
      </c>
      <c r="E5515" s="2" t="s">
        <v>13102</v>
      </c>
      <c r="F5515" s="3" t="s">
        <v>14206</v>
      </c>
      <c r="H5515" s="3" t="s">
        <v>269</v>
      </c>
      <c r="K5515" s="2">
        <v>20</v>
      </c>
      <c r="L5515" s="2">
        <v>2</v>
      </c>
      <c r="M5515" s="3" t="s">
        <v>5568</v>
      </c>
      <c r="N5515" s="3" t="s">
        <v>2289</v>
      </c>
      <c r="O5515" s="3" t="s">
        <v>864</v>
      </c>
      <c r="P5515" s="3" t="s">
        <v>2289</v>
      </c>
      <c r="Q5515" s="30" t="str">
        <f t="shared" si="86"/>
        <v>MAX : 0.031
TARGET : 0
MIN : 0.031</v>
      </c>
    </row>
    <row r="5516" spans="2:18" ht="41.4" x14ac:dyDescent="0.3">
      <c r="B5516">
        <v>1</v>
      </c>
      <c r="C5516" s="33">
        <v>9207</v>
      </c>
      <c r="D5516" s="2">
        <v>1507</v>
      </c>
      <c r="E5516" s="2" t="s">
        <v>13108</v>
      </c>
      <c r="F5516" s="3" t="s">
        <v>14206</v>
      </c>
      <c r="H5516" s="3" t="s">
        <v>5362</v>
      </c>
      <c r="K5516" s="2">
        <v>10</v>
      </c>
      <c r="L5516" s="2">
        <v>2</v>
      </c>
      <c r="M5516" s="3" t="s">
        <v>74</v>
      </c>
      <c r="N5516" s="3" t="s">
        <v>2256</v>
      </c>
      <c r="O5516" s="3" t="s">
        <v>2401</v>
      </c>
      <c r="P5516" s="3" t="s">
        <v>2402</v>
      </c>
      <c r="Q5516" s="30" t="str">
        <f t="shared" si="86"/>
        <v>MAX : 41.0
TARGET : 40.0
MIN : 39.0</v>
      </c>
      <c r="R5516" s="3" t="s">
        <v>1638</v>
      </c>
    </row>
    <row r="5517" spans="2:18" ht="41.4" x14ac:dyDescent="0.3">
      <c r="B5517">
        <v>1</v>
      </c>
      <c r="C5517" s="33">
        <v>9207</v>
      </c>
      <c r="D5517" s="2">
        <v>1507</v>
      </c>
      <c r="E5517" s="2" t="s">
        <v>13108</v>
      </c>
      <c r="F5517" s="3" t="s">
        <v>14206</v>
      </c>
      <c r="H5517" s="3" t="s">
        <v>5362</v>
      </c>
      <c r="K5517" s="2">
        <v>10</v>
      </c>
      <c r="L5517" s="2">
        <v>1</v>
      </c>
      <c r="M5517" s="3" t="s">
        <v>5363</v>
      </c>
      <c r="N5517" s="3" t="s">
        <v>4530</v>
      </c>
      <c r="O5517" s="3" t="s">
        <v>2353</v>
      </c>
      <c r="P5517" s="3" t="s">
        <v>5296</v>
      </c>
      <c r="Q5517" s="30" t="str">
        <f t="shared" si="86"/>
        <v>MAX : 1.0
TARGET : 2.0
MIN : 3.0</v>
      </c>
      <c r="R5517" s="3" t="s">
        <v>1638</v>
      </c>
    </row>
    <row r="5518" spans="2:18" ht="41.4" x14ac:dyDescent="0.3">
      <c r="B5518">
        <v>1</v>
      </c>
      <c r="C5518" s="33">
        <v>9208</v>
      </c>
      <c r="D5518" s="2">
        <v>1508</v>
      </c>
      <c r="E5518" s="2" t="s">
        <v>13113</v>
      </c>
      <c r="F5518" s="3" t="s">
        <v>14206</v>
      </c>
      <c r="H5518" s="3" t="s">
        <v>713</v>
      </c>
      <c r="K5518" s="2">
        <v>20</v>
      </c>
      <c r="L5518" s="2">
        <v>2</v>
      </c>
      <c r="M5518" s="3" t="s">
        <v>570</v>
      </c>
      <c r="N5518" s="3" t="s">
        <v>2286</v>
      </c>
      <c r="O5518" s="3" t="s">
        <v>132</v>
      </c>
      <c r="P5518" s="3" t="s">
        <v>2287</v>
      </c>
      <c r="Q5518" s="30" t="str">
        <f t="shared" si="86"/>
        <v>MAX : 0.81
TARGET : 0.75
MIN : 0.69</v>
      </c>
    </row>
    <row r="5519" spans="2:18" ht="41.4" x14ac:dyDescent="0.3">
      <c r="B5519">
        <v>0</v>
      </c>
      <c r="C5519" s="33">
        <v>8923</v>
      </c>
      <c r="D5519" s="2">
        <v>1340</v>
      </c>
      <c r="E5519" s="2" t="s">
        <v>11478</v>
      </c>
      <c r="F5519" s="3" t="s">
        <v>14206</v>
      </c>
      <c r="H5519" s="3" t="s">
        <v>648</v>
      </c>
      <c r="K5519" s="2">
        <v>30</v>
      </c>
      <c r="L5519" s="2">
        <v>13</v>
      </c>
      <c r="M5519" s="3" t="s">
        <v>5692</v>
      </c>
      <c r="N5519" s="3" t="s">
        <v>1938</v>
      </c>
      <c r="O5519" s="3" t="s">
        <v>2997</v>
      </c>
      <c r="P5519" s="3" t="s">
        <v>2852</v>
      </c>
      <c r="Q5519" s="30" t="str">
        <f t="shared" si="86"/>
        <v>MAX : 0.215
TARGET : 0.210
MIN : 0.205</v>
      </c>
      <c r="R5519" s="3" t="s">
        <v>1638</v>
      </c>
    </row>
    <row r="5520" spans="2:18" ht="41.4" x14ac:dyDescent="0.3">
      <c r="B5520">
        <v>0</v>
      </c>
      <c r="C5520" s="33">
        <v>8923</v>
      </c>
      <c r="D5520" s="2">
        <v>1340</v>
      </c>
      <c r="E5520" s="2" t="s">
        <v>11478</v>
      </c>
      <c r="F5520" s="3" t="s">
        <v>14206</v>
      </c>
      <c r="H5520" s="3" t="s">
        <v>648</v>
      </c>
      <c r="K5520" s="2">
        <v>30</v>
      </c>
      <c r="L5520" s="2">
        <v>11</v>
      </c>
      <c r="M5520" s="3" t="s">
        <v>5693</v>
      </c>
      <c r="N5520" s="3" t="s">
        <v>5424</v>
      </c>
      <c r="O5520" s="3" t="s">
        <v>2522</v>
      </c>
      <c r="P5520" s="3" t="s">
        <v>5694</v>
      </c>
      <c r="Q5520" s="30" t="str">
        <f t="shared" si="86"/>
        <v>MAX : 0.173
TARGET : 0.168
MIN : 0.163</v>
      </c>
      <c r="R5520" s="3" t="s">
        <v>1638</v>
      </c>
    </row>
    <row r="5521" spans="2:18" ht="41.4" x14ac:dyDescent="0.3">
      <c r="B5521">
        <v>0</v>
      </c>
      <c r="C5521" s="33">
        <v>8923</v>
      </c>
      <c r="D5521" s="2">
        <v>1340</v>
      </c>
      <c r="E5521" s="2" t="s">
        <v>11478</v>
      </c>
      <c r="F5521" s="3" t="s">
        <v>14206</v>
      </c>
      <c r="H5521" s="3" t="s">
        <v>648</v>
      </c>
      <c r="K5521" s="2">
        <v>30</v>
      </c>
      <c r="L5521" s="2">
        <v>4</v>
      </c>
      <c r="M5521" s="3" t="s">
        <v>5695</v>
      </c>
      <c r="O5521" s="3" t="s">
        <v>5252</v>
      </c>
      <c r="P5521" s="3" t="s">
        <v>3580</v>
      </c>
      <c r="Q5521" s="30" t="str">
        <f t="shared" si="86"/>
        <v xml:space="preserve">MAX : 0.0100
TARGET : 0.0000
MIN : </v>
      </c>
      <c r="R5521" s="3" t="s">
        <v>1638</v>
      </c>
    </row>
    <row r="5522" spans="2:18" ht="41.4" x14ac:dyDescent="0.3">
      <c r="B5522">
        <v>0</v>
      </c>
      <c r="C5522" s="33">
        <v>8923</v>
      </c>
      <c r="D5522" s="2">
        <v>1340</v>
      </c>
      <c r="E5522" s="2" t="s">
        <v>11478</v>
      </c>
      <c r="F5522" s="3" t="s">
        <v>14206</v>
      </c>
      <c r="H5522" s="3" t="s">
        <v>648</v>
      </c>
      <c r="K5522" s="2">
        <v>30</v>
      </c>
      <c r="L5522" s="2">
        <v>5</v>
      </c>
      <c r="M5522" s="3" t="s">
        <v>5696</v>
      </c>
      <c r="O5522" s="3" t="s">
        <v>5252</v>
      </c>
      <c r="P5522" s="3" t="s">
        <v>3580</v>
      </c>
      <c r="Q5522" s="30" t="str">
        <f t="shared" si="86"/>
        <v xml:space="preserve">MAX : 0.0100
TARGET : 0.0000
MIN : </v>
      </c>
      <c r="R5522" s="3" t="s">
        <v>1638</v>
      </c>
    </row>
    <row r="5523" spans="2:18" ht="41.4" x14ac:dyDescent="0.3">
      <c r="B5523">
        <v>0</v>
      </c>
      <c r="C5523" s="33">
        <v>8923</v>
      </c>
      <c r="D5523" s="2">
        <v>1340</v>
      </c>
      <c r="E5523" s="2" t="s">
        <v>11478</v>
      </c>
      <c r="F5523" s="3" t="s">
        <v>14206</v>
      </c>
      <c r="H5523" s="3" t="s">
        <v>648</v>
      </c>
      <c r="K5523" s="2">
        <v>30</v>
      </c>
      <c r="L5523" s="2">
        <v>6</v>
      </c>
      <c r="M5523" s="3" t="s">
        <v>5697</v>
      </c>
      <c r="O5523" s="3" t="s">
        <v>5252</v>
      </c>
      <c r="P5523" s="3" t="s">
        <v>3580</v>
      </c>
      <c r="Q5523" s="30" t="str">
        <f t="shared" si="86"/>
        <v xml:space="preserve">MAX : 0.0100
TARGET : 0.0000
MIN : </v>
      </c>
      <c r="R5523" s="3" t="s">
        <v>1638</v>
      </c>
    </row>
    <row r="5524" spans="2:18" ht="41.4" x14ac:dyDescent="0.3">
      <c r="B5524">
        <v>0</v>
      </c>
      <c r="C5524" s="33">
        <v>8923</v>
      </c>
      <c r="D5524" s="2">
        <v>1340</v>
      </c>
      <c r="E5524" s="2" t="s">
        <v>11478</v>
      </c>
      <c r="F5524" s="3" t="s">
        <v>14206</v>
      </c>
      <c r="H5524" s="3" t="s">
        <v>648</v>
      </c>
      <c r="K5524" s="2">
        <v>30</v>
      </c>
      <c r="L5524" s="2">
        <v>7</v>
      </c>
      <c r="M5524" s="3" t="s">
        <v>5698</v>
      </c>
      <c r="O5524" s="3" t="s">
        <v>5252</v>
      </c>
      <c r="P5524" s="3" t="s">
        <v>3580</v>
      </c>
      <c r="Q5524" s="30" t="str">
        <f t="shared" si="86"/>
        <v xml:space="preserve">MAX : 0.0100
TARGET : 0.0000
MIN : </v>
      </c>
      <c r="R5524" s="3" t="s">
        <v>1638</v>
      </c>
    </row>
    <row r="5525" spans="2:18" ht="41.4" x14ac:dyDescent="0.3">
      <c r="B5525">
        <v>0</v>
      </c>
      <c r="C5525" s="33">
        <v>8923</v>
      </c>
      <c r="D5525" s="2">
        <v>1340</v>
      </c>
      <c r="E5525" s="2" t="s">
        <v>11478</v>
      </c>
      <c r="F5525" s="3" t="s">
        <v>14206</v>
      </c>
      <c r="H5525" s="3" t="s">
        <v>648</v>
      </c>
      <c r="K5525" s="2">
        <v>30</v>
      </c>
      <c r="L5525" s="2">
        <v>8</v>
      </c>
      <c r="M5525" s="3" t="s">
        <v>5699</v>
      </c>
      <c r="O5525" s="3" t="s">
        <v>5252</v>
      </c>
      <c r="P5525" s="3" t="s">
        <v>3580</v>
      </c>
      <c r="Q5525" s="30" t="str">
        <f t="shared" si="86"/>
        <v xml:space="preserve">MAX : 0.0100
TARGET : 0.0000
MIN : </v>
      </c>
      <c r="R5525" s="3" t="s">
        <v>1638</v>
      </c>
    </row>
    <row r="5526" spans="2:18" ht="41.4" x14ac:dyDescent="0.3">
      <c r="B5526">
        <v>0</v>
      </c>
      <c r="C5526" s="33">
        <v>8923</v>
      </c>
      <c r="D5526" s="2">
        <v>1340</v>
      </c>
      <c r="E5526" s="2" t="s">
        <v>11478</v>
      </c>
      <c r="F5526" s="3" t="s">
        <v>14206</v>
      </c>
      <c r="H5526" s="3" t="s">
        <v>648</v>
      </c>
      <c r="K5526" s="2">
        <v>30</v>
      </c>
      <c r="L5526" s="2">
        <v>9</v>
      </c>
      <c r="M5526" s="3" t="s">
        <v>5700</v>
      </c>
      <c r="N5526" s="3" t="s">
        <v>5701</v>
      </c>
      <c r="O5526" s="3" t="s">
        <v>5702</v>
      </c>
      <c r="P5526" s="3" t="s">
        <v>5703</v>
      </c>
      <c r="Q5526" s="30" t="str">
        <f t="shared" si="86"/>
        <v>MAX : 0.828
TARGET : 0.823
MIN : 0.818</v>
      </c>
      <c r="R5526" s="3" t="s">
        <v>1638</v>
      </c>
    </row>
    <row r="5527" spans="2:18" ht="41.4" x14ac:dyDescent="0.3">
      <c r="B5527">
        <v>0</v>
      </c>
      <c r="C5527" s="33">
        <v>8923</v>
      </c>
      <c r="D5527" s="2">
        <v>1340</v>
      </c>
      <c r="E5527" s="2" t="s">
        <v>11478</v>
      </c>
      <c r="F5527" s="3" t="s">
        <v>14206</v>
      </c>
      <c r="H5527" s="3" t="s">
        <v>648</v>
      </c>
      <c r="K5527" s="2">
        <v>30</v>
      </c>
      <c r="L5527" s="2">
        <v>10</v>
      </c>
      <c r="M5527" s="3" t="s">
        <v>5704</v>
      </c>
      <c r="N5527" s="3" t="s">
        <v>5637</v>
      </c>
      <c r="O5527" s="3" t="s">
        <v>918</v>
      </c>
      <c r="P5527" s="3" t="s">
        <v>5705</v>
      </c>
      <c r="Q5527" s="30" t="str">
        <f t="shared" si="86"/>
        <v>MAX : 0.098
TARGET : 0.093
MIN : 0.088</v>
      </c>
      <c r="R5527" s="3" t="s">
        <v>1638</v>
      </c>
    </row>
    <row r="5528" spans="2:18" ht="41.4" x14ac:dyDescent="0.3">
      <c r="B5528">
        <v>0</v>
      </c>
      <c r="C5528" s="33">
        <v>8923</v>
      </c>
      <c r="D5528" s="2">
        <v>1340</v>
      </c>
      <c r="E5528" s="2" t="s">
        <v>11478</v>
      </c>
      <c r="F5528" s="3" t="s">
        <v>14206</v>
      </c>
      <c r="H5528" s="3" t="s">
        <v>648</v>
      </c>
      <c r="K5528" s="2">
        <v>30</v>
      </c>
      <c r="L5528" s="2">
        <v>14</v>
      </c>
      <c r="M5528" s="3" t="s">
        <v>5706</v>
      </c>
      <c r="N5528" s="3" t="s">
        <v>5707</v>
      </c>
      <c r="O5528" s="3" t="s">
        <v>760</v>
      </c>
      <c r="P5528" s="3" t="s">
        <v>5708</v>
      </c>
      <c r="Q5528" s="30" t="str">
        <f t="shared" si="86"/>
        <v>MAX : 0.133
TARGET : 0.128
MIN : 0.123</v>
      </c>
      <c r="R5528" s="3" t="s">
        <v>1638</v>
      </c>
    </row>
    <row r="5529" spans="2:18" ht="41.4" x14ac:dyDescent="0.3">
      <c r="B5529">
        <v>1</v>
      </c>
      <c r="C5529" s="33">
        <v>9208</v>
      </c>
      <c r="D5529" s="2">
        <v>1508</v>
      </c>
      <c r="E5529" s="2" t="s">
        <v>13113</v>
      </c>
      <c r="F5529" s="3" t="s">
        <v>14206</v>
      </c>
      <c r="H5529" s="3" t="s">
        <v>713</v>
      </c>
      <c r="K5529" s="2">
        <v>20</v>
      </c>
      <c r="L5529" s="2">
        <v>1</v>
      </c>
      <c r="M5529" s="3" t="s">
        <v>194</v>
      </c>
      <c r="N5529" s="3" t="s">
        <v>2145</v>
      </c>
      <c r="O5529" s="3" t="s">
        <v>247</v>
      </c>
      <c r="P5529" s="3" t="s">
        <v>979</v>
      </c>
      <c r="Q5529" s="30" t="str">
        <f t="shared" si="86"/>
        <v>MAX : 0.44
TARGET : 0.38
MIN : 0.32</v>
      </c>
    </row>
    <row r="5530" spans="2:18" ht="41.4" x14ac:dyDescent="0.3">
      <c r="B5530">
        <v>1</v>
      </c>
      <c r="C5530" s="33">
        <v>9209</v>
      </c>
      <c r="D5530" s="2">
        <v>1509</v>
      </c>
      <c r="E5530" s="2" t="s">
        <v>13119</v>
      </c>
      <c r="F5530" s="3" t="s">
        <v>14207</v>
      </c>
      <c r="H5530" s="3" t="s">
        <v>648</v>
      </c>
      <c r="K5530" s="2">
        <v>20</v>
      </c>
      <c r="L5530" s="2">
        <v>2</v>
      </c>
      <c r="M5530" s="3" t="s">
        <v>4496</v>
      </c>
      <c r="N5530" s="3" t="s">
        <v>3953</v>
      </c>
      <c r="O5530" s="3" t="s">
        <v>3468</v>
      </c>
      <c r="P5530" s="3" t="s">
        <v>4497</v>
      </c>
      <c r="Q5530" s="30" t="str">
        <f t="shared" si="86"/>
        <v>MAX : 7.40
TARGET : 6.60
MIN : 5.80</v>
      </c>
    </row>
    <row r="5531" spans="2:18" ht="41.4" x14ac:dyDescent="0.3">
      <c r="B5531">
        <v>1</v>
      </c>
      <c r="C5531" s="33">
        <v>9209</v>
      </c>
      <c r="D5531" s="2">
        <v>1509</v>
      </c>
      <c r="E5531" s="2" t="s">
        <v>13119</v>
      </c>
      <c r="F5531" s="3" t="s">
        <v>14207</v>
      </c>
      <c r="H5531" s="3" t="s">
        <v>648</v>
      </c>
      <c r="K5531" s="2">
        <v>20</v>
      </c>
      <c r="L5531" s="2">
        <v>1</v>
      </c>
      <c r="M5531" s="3" t="s">
        <v>4493</v>
      </c>
      <c r="N5531" s="3" t="s">
        <v>4494</v>
      </c>
      <c r="O5531" s="3" t="s">
        <v>4495</v>
      </c>
      <c r="P5531" s="3" t="s">
        <v>3949</v>
      </c>
      <c r="Q5531" s="30" t="str">
        <f t="shared" si="86"/>
        <v>MAX : 9.15
TARGET : 8.35
MIN : 7.55</v>
      </c>
    </row>
    <row r="5532" spans="2:18" ht="41.4" x14ac:dyDescent="0.3">
      <c r="B5532">
        <v>0</v>
      </c>
      <c r="C5532" s="33">
        <v>9192</v>
      </c>
      <c r="D5532" s="2">
        <v>1500</v>
      </c>
      <c r="E5532" s="2" t="s">
        <v>13027</v>
      </c>
      <c r="F5532" s="3" t="s">
        <v>14206</v>
      </c>
      <c r="H5532" s="3" t="s">
        <v>426</v>
      </c>
      <c r="K5532" s="2">
        <v>30</v>
      </c>
      <c r="L5532" s="2">
        <v>4</v>
      </c>
      <c r="M5532" s="3" t="s">
        <v>5445</v>
      </c>
      <c r="N5532" s="3" t="s">
        <v>5446</v>
      </c>
      <c r="O5532" s="3" t="s">
        <v>5447</v>
      </c>
      <c r="P5532" s="3" t="s">
        <v>5448</v>
      </c>
      <c r="Q5532" s="30" t="str">
        <f t="shared" si="86"/>
        <v>MAX : .082
TARGET : .079
MIN : .076</v>
      </c>
    </row>
    <row r="5533" spans="2:18" ht="41.4" x14ac:dyDescent="0.3">
      <c r="B5533">
        <v>1</v>
      </c>
      <c r="C5533" s="33">
        <v>9210</v>
      </c>
      <c r="D5533" s="2">
        <v>1510</v>
      </c>
      <c r="E5533" s="2" t="s">
        <v>13125</v>
      </c>
      <c r="F5533" s="3" t="s">
        <v>14206</v>
      </c>
      <c r="H5533" s="3" t="s">
        <v>469</v>
      </c>
      <c r="K5533" s="2">
        <v>10</v>
      </c>
      <c r="L5533" s="2">
        <v>2</v>
      </c>
      <c r="M5533" s="3" t="s">
        <v>1935</v>
      </c>
      <c r="N5533" s="3" t="s">
        <v>1504</v>
      </c>
      <c r="O5533" s="3" t="s">
        <v>815</v>
      </c>
      <c r="P5533" s="3" t="s">
        <v>1505</v>
      </c>
      <c r="Q5533" s="30" t="str">
        <f t="shared" si="86"/>
        <v>MAX : 3.06
TARGET : 3.00
MIN : 2.94</v>
      </c>
    </row>
    <row r="5534" spans="2:18" ht="41.4" x14ac:dyDescent="0.3">
      <c r="B5534">
        <v>0</v>
      </c>
      <c r="C5534" s="33">
        <v>9260</v>
      </c>
      <c r="D5534" s="2">
        <v>1541</v>
      </c>
      <c r="E5534" s="2" t="s">
        <v>13405</v>
      </c>
      <c r="F5534" s="3" t="s">
        <v>14206</v>
      </c>
      <c r="H5534" s="3" t="s">
        <v>3464</v>
      </c>
      <c r="K5534" s="2">
        <v>10</v>
      </c>
      <c r="L5534" s="2">
        <v>4</v>
      </c>
      <c r="M5534" s="3" t="s">
        <v>3465</v>
      </c>
      <c r="N5534" s="3" t="s">
        <v>13</v>
      </c>
      <c r="O5534" s="3" t="s">
        <v>14</v>
      </c>
      <c r="Q5534" s="30" t="str">
        <f t="shared" si="86"/>
        <v>MAX : 
TARGET : Yes(Pass)
MIN : No(Fail)</v>
      </c>
    </row>
    <row r="5535" spans="2:18" ht="41.4" x14ac:dyDescent="0.3">
      <c r="B5535">
        <v>0</v>
      </c>
      <c r="C5535" s="33">
        <v>9260</v>
      </c>
      <c r="D5535" s="2">
        <v>1541</v>
      </c>
      <c r="E5535" s="2" t="s">
        <v>13405</v>
      </c>
      <c r="F5535" s="3" t="s">
        <v>14206</v>
      </c>
      <c r="H5535" s="3" t="s">
        <v>3464</v>
      </c>
      <c r="K5535" s="2">
        <v>10</v>
      </c>
      <c r="L5535" s="2">
        <v>1</v>
      </c>
      <c r="M5535" s="3" t="s">
        <v>3467</v>
      </c>
      <c r="N5535" s="3" t="s">
        <v>13</v>
      </c>
      <c r="O5535" s="3" t="s">
        <v>14</v>
      </c>
      <c r="Q5535" s="30" t="str">
        <f t="shared" si="86"/>
        <v>MAX : 
TARGET : Yes(Pass)
MIN : No(Fail)</v>
      </c>
    </row>
    <row r="5536" spans="2:18" ht="41.4" x14ac:dyDescent="0.3">
      <c r="B5536">
        <v>1</v>
      </c>
      <c r="C5536" s="33">
        <v>9210</v>
      </c>
      <c r="D5536" s="2">
        <v>1510</v>
      </c>
      <c r="E5536" s="2" t="s">
        <v>13125</v>
      </c>
      <c r="F5536" s="3" t="s">
        <v>14206</v>
      </c>
      <c r="H5536" s="3" t="s">
        <v>469</v>
      </c>
      <c r="K5536" s="2">
        <v>10</v>
      </c>
      <c r="L5536" s="2">
        <v>1</v>
      </c>
      <c r="M5536" s="3" t="s">
        <v>1929</v>
      </c>
      <c r="N5536" s="3" t="s">
        <v>767</v>
      </c>
      <c r="O5536" s="3" t="s">
        <v>253</v>
      </c>
      <c r="P5536" s="3" t="s">
        <v>129</v>
      </c>
      <c r="Q5536" s="30" t="str">
        <f t="shared" si="86"/>
        <v>MAX : 4.06
TARGET : 4.00
MIN : 3.94</v>
      </c>
    </row>
    <row r="5537" spans="2:18" ht="41.4" x14ac:dyDescent="0.3">
      <c r="B5537">
        <v>1</v>
      </c>
      <c r="C5537" s="33">
        <v>9211</v>
      </c>
      <c r="D5537" s="2">
        <v>1511</v>
      </c>
      <c r="E5537" s="2" t="s">
        <v>13131</v>
      </c>
      <c r="F5537" s="3" t="s">
        <v>14207</v>
      </c>
      <c r="H5537" s="3" t="s">
        <v>2296</v>
      </c>
      <c r="K5537" s="2">
        <v>20</v>
      </c>
      <c r="L5537" s="2">
        <v>2</v>
      </c>
      <c r="M5537" s="3" t="s">
        <v>5468</v>
      </c>
      <c r="N5537" s="3" t="s">
        <v>5469</v>
      </c>
      <c r="O5537" s="3" t="s">
        <v>5470</v>
      </c>
      <c r="P5537" s="3" t="s">
        <v>5471</v>
      </c>
      <c r="Q5537" s="30" t="str">
        <f t="shared" si="86"/>
        <v>MAX : 280.73
TARGET : 279.93
MIN : 279.13</v>
      </c>
    </row>
    <row r="5538" spans="2:18" ht="41.4" x14ac:dyDescent="0.3">
      <c r="B5538">
        <v>0</v>
      </c>
      <c r="C5538" s="33">
        <v>9203</v>
      </c>
      <c r="D5538" s="2">
        <v>1506</v>
      </c>
      <c r="E5538" s="2" t="s">
        <v>9808</v>
      </c>
      <c r="F5538" s="3" t="s">
        <v>14207</v>
      </c>
      <c r="H5538" s="3" t="s">
        <v>600</v>
      </c>
      <c r="K5538" s="2">
        <v>20</v>
      </c>
      <c r="L5538" s="2">
        <v>3</v>
      </c>
      <c r="M5538" s="3" t="s">
        <v>1666</v>
      </c>
      <c r="N5538" s="3" t="s">
        <v>2836</v>
      </c>
      <c r="O5538" s="3" t="s">
        <v>2541</v>
      </c>
      <c r="P5538" s="3" t="s">
        <v>1350</v>
      </c>
      <c r="Q5538" s="30" t="str">
        <f t="shared" si="86"/>
        <v>MAX : 7.5
TARGET : 7.0
MIN : 6.5</v>
      </c>
    </row>
    <row r="5539" spans="2:18" ht="41.4" x14ac:dyDescent="0.3">
      <c r="B5539">
        <v>0</v>
      </c>
      <c r="C5539" s="33">
        <v>9203</v>
      </c>
      <c r="D5539" s="2">
        <v>1506</v>
      </c>
      <c r="E5539" s="2" t="s">
        <v>9808</v>
      </c>
      <c r="F5539" s="3" t="s">
        <v>14207</v>
      </c>
      <c r="H5539" s="3" t="s">
        <v>600</v>
      </c>
      <c r="K5539" s="2">
        <v>20</v>
      </c>
      <c r="L5539" s="2">
        <v>4</v>
      </c>
      <c r="M5539" s="3" t="s">
        <v>1428</v>
      </c>
      <c r="N5539" s="3" t="s">
        <v>1355</v>
      </c>
      <c r="O5539" s="3" t="s">
        <v>1356</v>
      </c>
      <c r="P5539" s="3" t="s">
        <v>778</v>
      </c>
      <c r="Q5539" s="30" t="str">
        <f t="shared" si="86"/>
        <v>MAX : 10.5
TARGET : 10.0
MIN : 9.5</v>
      </c>
    </row>
    <row r="5540" spans="2:18" ht="41.4" x14ac:dyDescent="0.3">
      <c r="B5540">
        <v>0</v>
      </c>
      <c r="C5540" s="33">
        <v>9203</v>
      </c>
      <c r="D5540" s="2">
        <v>1506</v>
      </c>
      <c r="E5540" s="2" t="s">
        <v>9808</v>
      </c>
      <c r="F5540" s="3" t="s">
        <v>14207</v>
      </c>
      <c r="H5540" s="3" t="s">
        <v>600</v>
      </c>
      <c r="K5540" s="2">
        <v>20</v>
      </c>
      <c r="L5540" s="2">
        <v>5</v>
      </c>
      <c r="M5540" s="3" t="s">
        <v>1434</v>
      </c>
      <c r="N5540" s="3" t="s">
        <v>2836</v>
      </c>
      <c r="O5540" s="3" t="s">
        <v>2541</v>
      </c>
      <c r="P5540" s="3" t="s">
        <v>1350</v>
      </c>
      <c r="Q5540" s="30" t="str">
        <f t="shared" si="86"/>
        <v>MAX : 7.5
TARGET : 7.0
MIN : 6.5</v>
      </c>
    </row>
    <row r="5541" spans="2:18" ht="41.4" x14ac:dyDescent="0.3">
      <c r="B5541">
        <v>0</v>
      </c>
      <c r="C5541" s="33">
        <v>9203</v>
      </c>
      <c r="D5541" s="2">
        <v>1506</v>
      </c>
      <c r="E5541" s="2" t="s">
        <v>9808</v>
      </c>
      <c r="F5541" s="3" t="s">
        <v>14207</v>
      </c>
      <c r="H5541" s="3" t="s">
        <v>600</v>
      </c>
      <c r="K5541" s="2">
        <v>20</v>
      </c>
      <c r="L5541" s="2">
        <v>6</v>
      </c>
      <c r="M5541" s="3" t="s">
        <v>2837</v>
      </c>
      <c r="N5541" s="3" t="s">
        <v>2838</v>
      </c>
      <c r="O5541" s="3" t="s">
        <v>2839</v>
      </c>
      <c r="P5541" s="3" t="s">
        <v>2840</v>
      </c>
      <c r="Q5541" s="30" t="str">
        <f t="shared" si="86"/>
        <v>MAX : 116.0
TARGET : 115.5
MIN : 115.0</v>
      </c>
    </row>
    <row r="5542" spans="2:18" ht="41.4" x14ac:dyDescent="0.3">
      <c r="B5542">
        <v>0</v>
      </c>
      <c r="C5542" s="33">
        <v>9203</v>
      </c>
      <c r="D5542" s="2">
        <v>1506</v>
      </c>
      <c r="E5542" s="2" t="s">
        <v>9808</v>
      </c>
      <c r="F5542" s="3" t="s">
        <v>14207</v>
      </c>
      <c r="H5542" s="3" t="s">
        <v>600</v>
      </c>
      <c r="K5542" s="2">
        <v>20</v>
      </c>
      <c r="L5542" s="2">
        <v>7</v>
      </c>
      <c r="M5542" s="3" t="s">
        <v>1403</v>
      </c>
      <c r="N5542" s="3" t="s">
        <v>13</v>
      </c>
      <c r="O5542" s="3" t="s">
        <v>14</v>
      </c>
      <c r="Q5542" s="30" t="str">
        <f t="shared" si="86"/>
        <v>MAX : 
TARGET : Yes(Pass)
MIN : No(Fail)</v>
      </c>
    </row>
    <row r="5543" spans="2:18" ht="41.4" x14ac:dyDescent="0.3">
      <c r="B5543">
        <v>0</v>
      </c>
      <c r="C5543" s="33">
        <v>9203</v>
      </c>
      <c r="D5543" s="2">
        <v>1506</v>
      </c>
      <c r="E5543" s="2" t="s">
        <v>9808</v>
      </c>
      <c r="F5543" s="3" t="s">
        <v>14207</v>
      </c>
      <c r="H5543" s="3" t="s">
        <v>600</v>
      </c>
      <c r="K5543" s="2">
        <v>10</v>
      </c>
      <c r="L5543" s="2">
        <v>1</v>
      </c>
      <c r="M5543" s="3" t="s">
        <v>3794</v>
      </c>
      <c r="N5543" s="3" t="s">
        <v>13</v>
      </c>
      <c r="O5543" s="3" t="s">
        <v>14</v>
      </c>
      <c r="Q5543" s="30" t="str">
        <f t="shared" si="86"/>
        <v>MAX : 
TARGET : Yes(Pass)
MIN : No(Fail)</v>
      </c>
    </row>
    <row r="5544" spans="2:18" ht="41.4" x14ac:dyDescent="0.3">
      <c r="B5544">
        <v>0</v>
      </c>
      <c r="C5544" s="33">
        <v>9203</v>
      </c>
      <c r="D5544" s="2">
        <v>1506</v>
      </c>
      <c r="E5544" s="2" t="s">
        <v>9808</v>
      </c>
      <c r="F5544" s="3" t="s">
        <v>14207</v>
      </c>
      <c r="H5544" s="3" t="s">
        <v>600</v>
      </c>
      <c r="K5544" s="2">
        <v>10</v>
      </c>
      <c r="L5544" s="2">
        <v>2</v>
      </c>
      <c r="M5544" s="3" t="s">
        <v>3795</v>
      </c>
      <c r="N5544" s="3" t="s">
        <v>13</v>
      </c>
      <c r="O5544" s="3" t="s">
        <v>14</v>
      </c>
      <c r="Q5544" s="30" t="str">
        <f t="shared" si="86"/>
        <v>MAX : 
TARGET : Yes(Pass)
MIN : No(Fail)</v>
      </c>
    </row>
    <row r="5545" spans="2:18" ht="41.4" x14ac:dyDescent="0.3">
      <c r="B5545">
        <v>1</v>
      </c>
      <c r="C5545" s="33">
        <v>9211</v>
      </c>
      <c r="D5545" s="2">
        <v>1511</v>
      </c>
      <c r="E5545" s="2" t="s">
        <v>13131</v>
      </c>
      <c r="F5545" s="3" t="s">
        <v>14207</v>
      </c>
      <c r="H5545" s="3" t="s">
        <v>2296</v>
      </c>
      <c r="K5545" s="2">
        <v>20</v>
      </c>
      <c r="L5545" s="2">
        <v>1</v>
      </c>
      <c r="M5545" s="3" t="s">
        <v>194</v>
      </c>
      <c r="N5545" s="3" t="s">
        <v>5465</v>
      </c>
      <c r="O5545" s="3" t="s">
        <v>5466</v>
      </c>
      <c r="P5545" s="3" t="s">
        <v>5467</v>
      </c>
      <c r="Q5545" s="30" t="str">
        <f t="shared" si="86"/>
        <v>MAX : 336.80
TARGET : 336.00
MIN : 335.20</v>
      </c>
    </row>
    <row r="5546" spans="2:18" ht="41.4" x14ac:dyDescent="0.3">
      <c r="B5546">
        <v>1</v>
      </c>
      <c r="C5546" s="33">
        <v>9212</v>
      </c>
      <c r="D5546" s="2">
        <v>1512</v>
      </c>
      <c r="E5546" s="2" t="s">
        <v>13138</v>
      </c>
      <c r="F5546" s="3" t="s">
        <v>14206</v>
      </c>
      <c r="H5546" s="3" t="s">
        <v>5458</v>
      </c>
      <c r="K5546" s="2">
        <v>10</v>
      </c>
      <c r="L5546" s="2">
        <v>2</v>
      </c>
      <c r="M5546" s="3" t="s">
        <v>198</v>
      </c>
      <c r="N5546" s="3" t="s">
        <v>5460</v>
      </c>
      <c r="O5546" s="3" t="s">
        <v>951</v>
      </c>
      <c r="P5546" s="3" t="s">
        <v>5461</v>
      </c>
      <c r="Q5546" s="30" t="str">
        <f t="shared" si="86"/>
        <v>MAX : 2.845
TARGET : 2.830
MIN : 2.815</v>
      </c>
      <c r="R5546" s="3" t="s">
        <v>5459</v>
      </c>
    </row>
    <row r="5547" spans="2:18" ht="41.4" x14ac:dyDescent="0.3">
      <c r="B5547">
        <v>0</v>
      </c>
      <c r="C5547" s="33">
        <v>9261</v>
      </c>
      <c r="D5547" s="2">
        <v>1542</v>
      </c>
      <c r="E5547" s="2" t="s">
        <v>13411</v>
      </c>
      <c r="F5547" s="3" t="s">
        <v>14206</v>
      </c>
      <c r="H5547" s="3" t="s">
        <v>2116</v>
      </c>
      <c r="K5547" s="2">
        <v>20</v>
      </c>
      <c r="L5547" s="2">
        <v>5</v>
      </c>
      <c r="M5547" s="3" t="s">
        <v>2136</v>
      </c>
      <c r="N5547" s="3" t="s">
        <v>13</v>
      </c>
      <c r="O5547" s="3" t="s">
        <v>14</v>
      </c>
      <c r="Q5547" s="30" t="str">
        <f t="shared" si="86"/>
        <v>MAX : 
TARGET : Yes(Pass)
MIN : No(Fail)</v>
      </c>
    </row>
    <row r="5548" spans="2:18" ht="41.4" x14ac:dyDescent="0.3">
      <c r="B5548">
        <v>0</v>
      </c>
      <c r="C5548" s="33">
        <v>9261</v>
      </c>
      <c r="D5548" s="2">
        <v>1542</v>
      </c>
      <c r="E5548" s="2" t="s">
        <v>13411</v>
      </c>
      <c r="F5548" s="3" t="s">
        <v>14206</v>
      </c>
      <c r="H5548" s="3" t="s">
        <v>2116</v>
      </c>
      <c r="K5548" s="2">
        <v>20</v>
      </c>
      <c r="L5548" s="2">
        <v>6</v>
      </c>
      <c r="M5548" s="3" t="s">
        <v>2137</v>
      </c>
      <c r="N5548" s="3" t="s">
        <v>13</v>
      </c>
      <c r="O5548" s="3" t="s">
        <v>14</v>
      </c>
      <c r="Q5548" s="30" t="str">
        <f t="shared" si="86"/>
        <v>MAX : 
TARGET : Yes(Pass)
MIN : No(Fail)</v>
      </c>
    </row>
    <row r="5549" spans="2:18" ht="41.4" x14ac:dyDescent="0.3">
      <c r="B5549">
        <v>0</v>
      </c>
      <c r="C5549" s="33">
        <v>9261</v>
      </c>
      <c r="D5549" s="2">
        <v>1542</v>
      </c>
      <c r="E5549" s="2" t="s">
        <v>13411</v>
      </c>
      <c r="F5549" s="3" t="s">
        <v>14206</v>
      </c>
      <c r="H5549" s="3" t="s">
        <v>2116</v>
      </c>
      <c r="K5549" s="2">
        <v>20</v>
      </c>
      <c r="L5549" s="2">
        <v>3</v>
      </c>
      <c r="M5549" s="3" t="s">
        <v>2144</v>
      </c>
      <c r="N5549" s="3" t="s">
        <v>2145</v>
      </c>
      <c r="O5549" s="3" t="s">
        <v>247</v>
      </c>
      <c r="P5549" s="3" t="s">
        <v>979</v>
      </c>
      <c r="Q5549" s="30" t="str">
        <f t="shared" si="86"/>
        <v>MAX : 0.44
TARGET : 0.38
MIN : 0.32</v>
      </c>
    </row>
    <row r="5550" spans="2:18" ht="41.4" x14ac:dyDescent="0.3">
      <c r="B5550">
        <v>0</v>
      </c>
      <c r="C5550" s="33">
        <v>9261</v>
      </c>
      <c r="D5550" s="2">
        <v>1542</v>
      </c>
      <c r="E5550" s="2" t="s">
        <v>13411</v>
      </c>
      <c r="F5550" s="3" t="s">
        <v>14206</v>
      </c>
      <c r="H5550" s="3" t="s">
        <v>2116</v>
      </c>
      <c r="K5550" s="2">
        <v>20</v>
      </c>
      <c r="L5550" s="2">
        <v>4</v>
      </c>
      <c r="M5550" s="3" t="s">
        <v>2146</v>
      </c>
      <c r="N5550" s="3" t="s">
        <v>979</v>
      </c>
      <c r="O5550" s="3" t="s">
        <v>309</v>
      </c>
      <c r="P5550" s="3" t="s">
        <v>1531</v>
      </c>
      <c r="Q5550" s="30" t="str">
        <f t="shared" si="86"/>
        <v>MAX : 0.56
TARGET : 0.50
MIN : 0.44</v>
      </c>
    </row>
    <row r="5551" spans="2:18" ht="41.4" x14ac:dyDescent="0.3">
      <c r="B5551">
        <v>1</v>
      </c>
      <c r="C5551" s="33">
        <v>9212</v>
      </c>
      <c r="D5551" s="2">
        <v>1512</v>
      </c>
      <c r="E5551" s="2" t="s">
        <v>13138</v>
      </c>
      <c r="F5551" s="3" t="s">
        <v>14206</v>
      </c>
      <c r="H5551" s="3" t="s">
        <v>5458</v>
      </c>
      <c r="K5551" s="2">
        <v>10</v>
      </c>
      <c r="L5551" s="2">
        <v>1</v>
      </c>
      <c r="M5551" s="3" t="s">
        <v>194</v>
      </c>
      <c r="N5551" s="3" t="s">
        <v>433</v>
      </c>
      <c r="O5551" s="3" t="s">
        <v>86</v>
      </c>
      <c r="P5551" s="3" t="s">
        <v>317</v>
      </c>
      <c r="Q5551" s="30" t="str">
        <f t="shared" si="86"/>
        <v>MAX : 0.515
TARGET : 0.500
MIN : 0.485</v>
      </c>
      <c r="R5551" s="3" t="s">
        <v>5459</v>
      </c>
    </row>
    <row r="5552" spans="2:18" ht="41.4" x14ac:dyDescent="0.3">
      <c r="B5552">
        <v>1</v>
      </c>
      <c r="C5552" s="33">
        <v>9214</v>
      </c>
      <c r="D5552" s="2">
        <v>2103</v>
      </c>
      <c r="E5552" s="2" t="s">
        <v>13144</v>
      </c>
      <c r="F5552" s="3" t="s">
        <v>14206</v>
      </c>
      <c r="H5552" s="3" t="s">
        <v>491</v>
      </c>
      <c r="K5552" s="2">
        <v>10</v>
      </c>
      <c r="L5552" s="2">
        <v>2</v>
      </c>
      <c r="M5552" s="3" t="s">
        <v>611</v>
      </c>
      <c r="N5552" s="3" t="s">
        <v>13</v>
      </c>
      <c r="O5552" s="3" t="s">
        <v>14</v>
      </c>
      <c r="Q5552" s="30" t="str">
        <f t="shared" si="86"/>
        <v>MAX : 
TARGET : Yes(Pass)
MIN : No(Fail)</v>
      </c>
    </row>
    <row r="5553" spans="2:18" ht="41.4" x14ac:dyDescent="0.3">
      <c r="B5553">
        <v>1</v>
      </c>
      <c r="C5553" s="33">
        <v>9214</v>
      </c>
      <c r="D5553" s="2">
        <v>2103</v>
      </c>
      <c r="E5553" s="2" t="s">
        <v>13144</v>
      </c>
      <c r="F5553" s="3" t="s">
        <v>14206</v>
      </c>
      <c r="H5553" s="3" t="s">
        <v>491</v>
      </c>
      <c r="K5553" s="2">
        <v>10</v>
      </c>
      <c r="L5553" s="2">
        <v>1</v>
      </c>
      <c r="M5553" s="3" t="s">
        <v>458</v>
      </c>
      <c r="N5553" s="3" t="s">
        <v>641</v>
      </c>
      <c r="O5553" s="3" t="s">
        <v>101</v>
      </c>
      <c r="P5553" s="3" t="s">
        <v>642</v>
      </c>
      <c r="Q5553" s="30" t="str">
        <f t="shared" si="86"/>
        <v>MAX : 0.655
TARGET : 0.625
MIN : 0.595</v>
      </c>
    </row>
    <row r="5554" spans="2:18" ht="41.4" x14ac:dyDescent="0.3">
      <c r="B5554">
        <v>1</v>
      </c>
      <c r="C5554" s="33">
        <v>9215</v>
      </c>
      <c r="D5554" s="2">
        <v>2104</v>
      </c>
      <c r="E5554" s="2" t="s">
        <v>13150</v>
      </c>
      <c r="F5554" s="3" t="s">
        <v>14206</v>
      </c>
      <c r="H5554" s="3" t="s">
        <v>846</v>
      </c>
      <c r="K5554" s="2">
        <v>10</v>
      </c>
      <c r="L5554" s="2">
        <v>2</v>
      </c>
      <c r="M5554" s="3" t="s">
        <v>325</v>
      </c>
      <c r="N5554" s="3" t="s">
        <v>13</v>
      </c>
      <c r="O5554" s="3" t="s">
        <v>14</v>
      </c>
      <c r="Q5554" s="30" t="str">
        <f t="shared" si="86"/>
        <v>MAX : 
TARGET : Yes(Pass)
MIN : No(Fail)</v>
      </c>
    </row>
    <row r="5555" spans="2:18" ht="41.4" x14ac:dyDescent="0.3">
      <c r="B5555">
        <v>1</v>
      </c>
      <c r="C5555" s="33">
        <v>9215</v>
      </c>
      <c r="D5555" s="2">
        <v>2104</v>
      </c>
      <c r="E5555" s="2" t="s">
        <v>13150</v>
      </c>
      <c r="F5555" s="3" t="s">
        <v>14206</v>
      </c>
      <c r="H5555" s="3" t="s">
        <v>846</v>
      </c>
      <c r="K5555" s="2">
        <v>10</v>
      </c>
      <c r="L5555" s="2">
        <v>1</v>
      </c>
      <c r="M5555" s="3" t="s">
        <v>458</v>
      </c>
      <c r="N5555" s="3" t="s">
        <v>1329</v>
      </c>
      <c r="O5555" s="3" t="s">
        <v>1330</v>
      </c>
      <c r="P5555" s="3" t="s">
        <v>1331</v>
      </c>
      <c r="Q5555" s="30" t="str">
        <f t="shared" si="86"/>
        <v>MAX : 1.405
TARGET : 1.375
MIN : 1.345</v>
      </c>
    </row>
    <row r="5556" spans="2:18" ht="41.4" x14ac:dyDescent="0.3">
      <c r="B5556">
        <v>1</v>
      </c>
      <c r="C5556" s="33">
        <v>9216</v>
      </c>
      <c r="D5556" s="2">
        <v>2105</v>
      </c>
      <c r="E5556" s="2" t="s">
        <v>13157</v>
      </c>
      <c r="F5556" s="3" t="s">
        <v>14206</v>
      </c>
      <c r="H5556" s="3" t="s">
        <v>824</v>
      </c>
      <c r="K5556" s="2">
        <v>10</v>
      </c>
      <c r="L5556" s="2">
        <v>2</v>
      </c>
      <c r="M5556" s="3" t="s">
        <v>2132</v>
      </c>
      <c r="N5556" s="3" t="s">
        <v>13</v>
      </c>
      <c r="O5556" s="3" t="s">
        <v>14</v>
      </c>
      <c r="Q5556" s="30" t="str">
        <f t="shared" si="86"/>
        <v>MAX : 
TARGET : Yes(Pass)
MIN : No(Fail)</v>
      </c>
    </row>
    <row r="5557" spans="2:18" ht="41.4" x14ac:dyDescent="0.3">
      <c r="B5557">
        <v>1</v>
      </c>
      <c r="C5557" s="33">
        <v>9216</v>
      </c>
      <c r="D5557" s="2">
        <v>2105</v>
      </c>
      <c r="E5557" s="2" t="s">
        <v>13157</v>
      </c>
      <c r="F5557" s="3" t="s">
        <v>14206</v>
      </c>
      <c r="H5557" s="3" t="s">
        <v>824</v>
      </c>
      <c r="K5557" s="2">
        <v>10</v>
      </c>
      <c r="L5557" s="2">
        <v>1</v>
      </c>
      <c r="M5557" s="3" t="s">
        <v>99</v>
      </c>
      <c r="N5557" s="3" t="s">
        <v>2322</v>
      </c>
      <c r="O5557" s="3" t="s">
        <v>1540</v>
      </c>
      <c r="P5557" s="3" t="s">
        <v>353</v>
      </c>
      <c r="Q5557" s="30" t="str">
        <f t="shared" si="86"/>
        <v>MAX : 5.96
TARGET : 5.90
MIN : 5.84</v>
      </c>
    </row>
    <row r="5558" spans="2:18" ht="41.4" x14ac:dyDescent="0.3">
      <c r="B5558">
        <v>1</v>
      </c>
      <c r="C5558" s="33">
        <v>9217</v>
      </c>
      <c r="D5558" s="2">
        <v>1513</v>
      </c>
      <c r="E5558" s="2" t="s">
        <v>13163</v>
      </c>
      <c r="F5558" s="3" t="s">
        <v>14206</v>
      </c>
      <c r="H5558" s="3" t="s">
        <v>1328</v>
      </c>
      <c r="K5558" s="2">
        <v>10</v>
      </c>
      <c r="L5558" s="2">
        <v>2</v>
      </c>
      <c r="M5558" s="3" t="s">
        <v>198</v>
      </c>
      <c r="N5558" s="3" t="s">
        <v>485</v>
      </c>
      <c r="O5558" s="3" t="s">
        <v>272</v>
      </c>
      <c r="P5558" s="3" t="s">
        <v>507</v>
      </c>
      <c r="Q5558" s="30" t="str">
        <f t="shared" si="86"/>
        <v>MAX : 1.06
TARGET : 1.00
MIN : 0.94</v>
      </c>
    </row>
    <row r="5559" spans="2:18" ht="41.4" x14ac:dyDescent="0.3">
      <c r="B5559">
        <v>0</v>
      </c>
      <c r="C5559" s="33">
        <v>9263</v>
      </c>
      <c r="D5559" s="2">
        <v>2117</v>
      </c>
      <c r="E5559" s="2" t="s">
        <v>13422</v>
      </c>
      <c r="F5559" s="3" t="s">
        <v>14206</v>
      </c>
      <c r="H5559" s="3" t="s">
        <v>11</v>
      </c>
      <c r="K5559" s="2">
        <v>20</v>
      </c>
      <c r="L5559" s="2">
        <v>1</v>
      </c>
      <c r="M5559" s="3" t="s">
        <v>5719</v>
      </c>
      <c r="N5559" s="3" t="s">
        <v>979</v>
      </c>
      <c r="O5559" s="3" t="s">
        <v>309</v>
      </c>
      <c r="P5559" s="3" t="s">
        <v>1531</v>
      </c>
      <c r="Q5559" s="30" t="str">
        <f t="shared" si="86"/>
        <v>MAX : 0.56
TARGET : 0.50
MIN : 0.44</v>
      </c>
      <c r="R5559" s="3" t="s">
        <v>4520</v>
      </c>
    </row>
    <row r="5560" spans="2:18" ht="41.4" x14ac:dyDescent="0.3">
      <c r="B5560">
        <v>0</v>
      </c>
      <c r="C5560" s="33">
        <v>9263</v>
      </c>
      <c r="D5560" s="2">
        <v>2117</v>
      </c>
      <c r="E5560" s="2" t="s">
        <v>13422</v>
      </c>
      <c r="F5560" s="3" t="s">
        <v>14206</v>
      </c>
      <c r="H5560" s="3" t="s">
        <v>11</v>
      </c>
      <c r="K5560" s="2">
        <v>20</v>
      </c>
      <c r="L5560" s="2">
        <v>2</v>
      </c>
      <c r="M5560" s="3" t="s">
        <v>5720</v>
      </c>
      <c r="N5560" s="3" t="s">
        <v>13</v>
      </c>
      <c r="O5560" s="3" t="s">
        <v>14</v>
      </c>
      <c r="Q5560" s="30" t="str">
        <f t="shared" si="86"/>
        <v>MAX : 
TARGET : Yes(Pass)
MIN : No(Fail)</v>
      </c>
      <c r="R5560" s="3" t="s">
        <v>4520</v>
      </c>
    </row>
    <row r="5561" spans="2:18" ht="41.4" x14ac:dyDescent="0.3">
      <c r="B5561">
        <v>1</v>
      </c>
      <c r="C5561" s="33">
        <v>9217</v>
      </c>
      <c r="D5561" s="2">
        <v>1513</v>
      </c>
      <c r="E5561" s="2" t="s">
        <v>13163</v>
      </c>
      <c r="F5561" s="3" t="s">
        <v>14206</v>
      </c>
      <c r="H5561" s="3" t="s">
        <v>1328</v>
      </c>
      <c r="K5561" s="2">
        <v>10</v>
      </c>
      <c r="L5561" s="2">
        <v>1</v>
      </c>
      <c r="M5561" s="3" t="s">
        <v>194</v>
      </c>
      <c r="N5561" s="3" t="s">
        <v>344</v>
      </c>
      <c r="O5561" s="3" t="s">
        <v>1770</v>
      </c>
      <c r="P5561" s="3" t="s">
        <v>1904</v>
      </c>
      <c r="Q5561" s="30" t="str">
        <f t="shared" si="86"/>
        <v>MAX : 1.37
TARGET : 1.31
MIN : 1.25</v>
      </c>
    </row>
    <row r="5562" spans="2:18" ht="41.4" x14ac:dyDescent="0.3">
      <c r="B5562">
        <v>1</v>
      </c>
      <c r="C5562" s="33">
        <v>9218</v>
      </c>
      <c r="D5562" s="2">
        <v>1514</v>
      </c>
      <c r="E5562" s="2" t="s">
        <v>13167</v>
      </c>
      <c r="F5562" s="3" t="s">
        <v>14206</v>
      </c>
      <c r="H5562" s="3" t="s">
        <v>3123</v>
      </c>
      <c r="K5562" s="2">
        <v>10</v>
      </c>
      <c r="L5562" s="2">
        <v>2</v>
      </c>
      <c r="M5562" s="3" t="s">
        <v>3126</v>
      </c>
      <c r="N5562" s="3" t="s">
        <v>13</v>
      </c>
      <c r="O5562" s="3" t="s">
        <v>14</v>
      </c>
      <c r="Q5562" s="30" t="str">
        <f t="shared" si="86"/>
        <v>MAX : 
TARGET : Yes(Pass)
MIN : No(Fail)</v>
      </c>
      <c r="R5562" s="3" t="s">
        <v>1638</v>
      </c>
    </row>
    <row r="5563" spans="2:18" ht="41.4" x14ac:dyDescent="0.3">
      <c r="B5563">
        <v>0</v>
      </c>
      <c r="C5563" s="33">
        <v>8485</v>
      </c>
      <c r="D5563" s="2">
        <v>1236</v>
      </c>
      <c r="E5563" s="2" t="s">
        <v>10541</v>
      </c>
      <c r="F5563" s="3" t="s">
        <v>14206</v>
      </c>
      <c r="H5563" s="3" t="s">
        <v>3323</v>
      </c>
      <c r="K5563" s="2">
        <v>10</v>
      </c>
      <c r="L5563" s="2">
        <v>5</v>
      </c>
      <c r="M5563" s="3" t="s">
        <v>3328</v>
      </c>
      <c r="N5563" s="3" t="s">
        <v>24</v>
      </c>
      <c r="O5563" s="3" t="s">
        <v>25</v>
      </c>
      <c r="Q5563" s="30" t="str">
        <f t="shared" si="86"/>
        <v>MAX : 
TARGET : Yes (Pass)
MIN : No (Fail)</v>
      </c>
    </row>
    <row r="5564" spans="2:18" ht="41.4" x14ac:dyDescent="0.3">
      <c r="B5564">
        <v>0</v>
      </c>
      <c r="C5564" s="33">
        <v>8485</v>
      </c>
      <c r="D5564" s="2">
        <v>1236</v>
      </c>
      <c r="E5564" s="2" t="s">
        <v>10541</v>
      </c>
      <c r="F5564" s="3" t="s">
        <v>14206</v>
      </c>
      <c r="H5564" s="3" t="s">
        <v>3323</v>
      </c>
      <c r="K5564" s="2">
        <v>10</v>
      </c>
      <c r="L5564" s="2">
        <v>6</v>
      </c>
      <c r="M5564" s="3" t="s">
        <v>3329</v>
      </c>
      <c r="N5564" s="3" t="s">
        <v>24</v>
      </c>
      <c r="O5564" s="3" t="s">
        <v>25</v>
      </c>
      <c r="Q5564" s="30" t="str">
        <f t="shared" si="86"/>
        <v>MAX : 
TARGET : Yes (Pass)
MIN : No (Fail)</v>
      </c>
    </row>
    <row r="5565" spans="2:18" ht="41.4" x14ac:dyDescent="0.3">
      <c r="B5565">
        <v>0</v>
      </c>
      <c r="C5565" s="33">
        <v>8485</v>
      </c>
      <c r="D5565" s="2">
        <v>1236</v>
      </c>
      <c r="E5565" s="2" t="s">
        <v>10541</v>
      </c>
      <c r="F5565" s="3" t="s">
        <v>14206</v>
      </c>
      <c r="H5565" s="3" t="s">
        <v>3323</v>
      </c>
      <c r="K5565" s="2">
        <v>10</v>
      </c>
      <c r="L5565" s="2">
        <v>7</v>
      </c>
      <c r="M5565" s="3" t="s">
        <v>3333</v>
      </c>
      <c r="N5565" s="3" t="s">
        <v>24</v>
      </c>
      <c r="O5565" s="3" t="s">
        <v>25</v>
      </c>
      <c r="Q5565" s="30" t="str">
        <f t="shared" si="86"/>
        <v>MAX : 
TARGET : Yes (Pass)
MIN : No (Fail)</v>
      </c>
    </row>
    <row r="5566" spans="2:18" ht="41.4" x14ac:dyDescent="0.3">
      <c r="B5566">
        <v>0</v>
      </c>
      <c r="C5566" s="33">
        <v>8485</v>
      </c>
      <c r="D5566" s="2">
        <v>1236</v>
      </c>
      <c r="E5566" s="2" t="s">
        <v>10541</v>
      </c>
      <c r="F5566" s="3" t="s">
        <v>14206</v>
      </c>
      <c r="H5566" s="3" t="s">
        <v>3323</v>
      </c>
      <c r="K5566" s="2">
        <v>10</v>
      </c>
      <c r="L5566" s="2">
        <v>1</v>
      </c>
      <c r="M5566" s="3" t="s">
        <v>3324</v>
      </c>
      <c r="N5566" s="3" t="s">
        <v>24</v>
      </c>
      <c r="O5566" s="3" t="s">
        <v>25</v>
      </c>
      <c r="Q5566" s="30" t="str">
        <f t="shared" si="86"/>
        <v>MAX : 
TARGET : Yes (Pass)
MIN : No (Fail)</v>
      </c>
    </row>
    <row r="5567" spans="2:18" ht="41.4" x14ac:dyDescent="0.3">
      <c r="B5567">
        <v>0</v>
      </c>
      <c r="C5567" s="33">
        <v>8485</v>
      </c>
      <c r="D5567" s="2">
        <v>1236</v>
      </c>
      <c r="E5567" s="2" t="s">
        <v>10541</v>
      </c>
      <c r="F5567" s="3" t="s">
        <v>14206</v>
      </c>
      <c r="H5567" s="3" t="s">
        <v>3323</v>
      </c>
      <c r="K5567" s="2">
        <v>10</v>
      </c>
      <c r="L5567" s="2">
        <v>2</v>
      </c>
      <c r="M5567" s="3" t="s">
        <v>3325</v>
      </c>
      <c r="N5567" s="3" t="s">
        <v>24</v>
      </c>
      <c r="O5567" s="3" t="s">
        <v>25</v>
      </c>
      <c r="Q5567" s="30" t="str">
        <f t="shared" si="86"/>
        <v>MAX : 
TARGET : Yes (Pass)
MIN : No (Fail)</v>
      </c>
    </row>
    <row r="5568" spans="2:18" ht="41.4" x14ac:dyDescent="0.3">
      <c r="B5568">
        <v>1</v>
      </c>
      <c r="C5568" s="33">
        <v>9218</v>
      </c>
      <c r="D5568" s="2">
        <v>1514</v>
      </c>
      <c r="E5568" s="2" t="s">
        <v>13167</v>
      </c>
      <c r="F5568" s="3" t="s">
        <v>14206</v>
      </c>
      <c r="H5568" s="3" t="s">
        <v>3123</v>
      </c>
      <c r="K5568" s="2">
        <v>10</v>
      </c>
      <c r="L5568" s="2">
        <v>1</v>
      </c>
      <c r="M5568" s="3" t="s">
        <v>99</v>
      </c>
      <c r="N5568" s="3" t="s">
        <v>3124</v>
      </c>
      <c r="O5568" s="3" t="s">
        <v>241</v>
      </c>
      <c r="P5568" s="3" t="s">
        <v>3125</v>
      </c>
      <c r="Q5568" s="30" t="str">
        <f t="shared" si="86"/>
        <v>MAX : 0.135
TARGET : 0.125
MIN : 0.115</v>
      </c>
      <c r="R5568" s="3" t="s">
        <v>1638</v>
      </c>
    </row>
    <row r="5569" spans="2:18" ht="41.4" x14ac:dyDescent="0.3">
      <c r="B5569">
        <v>0</v>
      </c>
      <c r="C5569" s="33">
        <v>9201</v>
      </c>
      <c r="D5569" s="2">
        <v>1504</v>
      </c>
      <c r="E5569" s="2" t="s">
        <v>13074</v>
      </c>
      <c r="F5569" s="3" t="s">
        <v>14206</v>
      </c>
      <c r="H5569" s="3" t="s">
        <v>1903</v>
      </c>
      <c r="K5569" s="2">
        <v>30</v>
      </c>
      <c r="L5569" s="2">
        <v>3</v>
      </c>
      <c r="M5569" s="3" t="s">
        <v>5981</v>
      </c>
      <c r="N5569" s="3" t="s">
        <v>5982</v>
      </c>
      <c r="O5569" s="3" t="s">
        <v>864</v>
      </c>
      <c r="P5569" s="3" t="s">
        <v>5983</v>
      </c>
      <c r="Q5569" s="30" t="str">
        <f t="shared" si="86"/>
        <v>MAX : 0.002
TARGET : 0
MIN : -0.002</v>
      </c>
    </row>
    <row r="5570" spans="2:18" ht="41.4" x14ac:dyDescent="0.3">
      <c r="B5570">
        <v>1</v>
      </c>
      <c r="C5570" s="33">
        <v>9219</v>
      </c>
      <c r="D5570" s="2">
        <v>1515</v>
      </c>
      <c r="E5570" s="2" t="s">
        <v>13172</v>
      </c>
      <c r="F5570" s="3" t="s">
        <v>14207</v>
      </c>
      <c r="H5570" s="3" t="s">
        <v>3535</v>
      </c>
      <c r="K5570" s="2">
        <v>30</v>
      </c>
      <c r="L5570" s="2">
        <v>2</v>
      </c>
      <c r="M5570" s="3" t="s">
        <v>3601</v>
      </c>
      <c r="N5570" s="3" t="s">
        <v>4916</v>
      </c>
      <c r="O5570" s="3" t="s">
        <v>5511</v>
      </c>
      <c r="P5570" s="3" t="s">
        <v>5512</v>
      </c>
      <c r="Q5570" s="30" t="str">
        <f t="shared" ref="Q5570:Q5633" si="87">"MAX : " &amp; P5570 &amp; CHAR(10) &amp; "TARGET : " &amp; O5570 &amp; CHAR(10) &amp; "MIN : " &amp; N5570</f>
        <v>MAX : 36.8
TARGET : 36.0
MIN : 35.2</v>
      </c>
      <c r="R5570" s="3" t="s">
        <v>4520</v>
      </c>
    </row>
    <row r="5571" spans="2:18" ht="41.4" x14ac:dyDescent="0.3">
      <c r="B5571">
        <v>0</v>
      </c>
      <c r="C5571" s="33">
        <v>9265</v>
      </c>
      <c r="D5571" s="2">
        <v>2118</v>
      </c>
      <c r="E5571" s="2" t="s">
        <v>13435</v>
      </c>
      <c r="F5571" s="3" t="s">
        <v>14207</v>
      </c>
      <c r="H5571" s="3" t="s">
        <v>168</v>
      </c>
      <c r="K5571" s="2">
        <v>20</v>
      </c>
      <c r="L5571" s="2">
        <v>1</v>
      </c>
      <c r="M5571" s="3" t="s">
        <v>99</v>
      </c>
      <c r="N5571" s="3" t="s">
        <v>2357</v>
      </c>
      <c r="O5571" s="3" t="s">
        <v>1065</v>
      </c>
      <c r="P5571" s="3" t="s">
        <v>2999</v>
      </c>
      <c r="Q5571" s="30" t="str">
        <f t="shared" si="87"/>
        <v>MAX : 5.8
TARGET : 5.0
MIN : 4.2</v>
      </c>
    </row>
    <row r="5572" spans="2:18" ht="41.4" x14ac:dyDescent="0.3">
      <c r="B5572">
        <v>0</v>
      </c>
      <c r="C5572" s="33">
        <v>9265</v>
      </c>
      <c r="D5572" s="2">
        <v>2118</v>
      </c>
      <c r="E5572" s="2" t="s">
        <v>13435</v>
      </c>
      <c r="F5572" s="3" t="s">
        <v>14207</v>
      </c>
      <c r="H5572" s="3" t="s">
        <v>168</v>
      </c>
      <c r="K5572" s="2">
        <v>20</v>
      </c>
      <c r="L5572" s="2">
        <v>2</v>
      </c>
      <c r="M5572" s="3" t="s">
        <v>325</v>
      </c>
      <c r="N5572" s="3" t="s">
        <v>13</v>
      </c>
      <c r="O5572" s="3" t="s">
        <v>14</v>
      </c>
      <c r="Q5572" s="30" t="str">
        <f t="shared" si="87"/>
        <v>MAX : 
TARGET : Yes(Pass)
MIN : No(Fail)</v>
      </c>
    </row>
    <row r="5573" spans="2:18" ht="41.4" x14ac:dyDescent="0.3">
      <c r="B5573">
        <v>0</v>
      </c>
      <c r="C5573" s="33">
        <v>9265</v>
      </c>
      <c r="D5573" s="2">
        <v>2118</v>
      </c>
      <c r="E5573" s="2" t="s">
        <v>13435</v>
      </c>
      <c r="F5573" s="3" t="s">
        <v>14207</v>
      </c>
      <c r="H5573" s="3" t="s">
        <v>168</v>
      </c>
      <c r="K5573" s="2">
        <v>20</v>
      </c>
      <c r="L5573" s="2">
        <v>3</v>
      </c>
      <c r="M5573" s="3" t="s">
        <v>611</v>
      </c>
      <c r="N5573" s="3" t="s">
        <v>13</v>
      </c>
      <c r="O5573" s="3" t="s">
        <v>14</v>
      </c>
      <c r="Q5573" s="30" t="str">
        <f t="shared" si="87"/>
        <v>MAX : 
TARGET : Yes(Pass)
MIN : No(Fail)</v>
      </c>
    </row>
    <row r="5574" spans="2:18" ht="41.4" x14ac:dyDescent="0.3">
      <c r="B5574">
        <v>1</v>
      </c>
      <c r="C5574" s="33">
        <v>9219</v>
      </c>
      <c r="D5574" s="2">
        <v>1515</v>
      </c>
      <c r="E5574" s="2" t="s">
        <v>13172</v>
      </c>
      <c r="F5574" s="3" t="s">
        <v>14207</v>
      </c>
      <c r="H5574" s="3" t="s">
        <v>3535</v>
      </c>
      <c r="K5574" s="2">
        <v>30</v>
      </c>
      <c r="L5574" s="2">
        <v>1</v>
      </c>
      <c r="M5574" s="3" t="s">
        <v>3599</v>
      </c>
      <c r="N5574" s="3" t="s">
        <v>5509</v>
      </c>
      <c r="O5574" s="3" t="s">
        <v>2679</v>
      </c>
      <c r="P5574" s="3" t="s">
        <v>5510</v>
      </c>
      <c r="Q5574" s="30" t="str">
        <f t="shared" si="87"/>
        <v>MAX : 41.4
TARGET : 40.6
MIN : 39.8</v>
      </c>
      <c r="R5574" s="3" t="s">
        <v>4520</v>
      </c>
    </row>
    <row r="5575" spans="2:18" ht="41.4" x14ac:dyDescent="0.3">
      <c r="B5575">
        <v>1</v>
      </c>
      <c r="C5575" s="33">
        <v>9220</v>
      </c>
      <c r="D5575" s="2">
        <v>1516</v>
      </c>
      <c r="E5575" s="2" t="s">
        <v>13177</v>
      </c>
      <c r="F5575" s="3" t="s">
        <v>14206</v>
      </c>
      <c r="G5575" s="3" t="s">
        <v>496</v>
      </c>
      <c r="H5575" s="3" t="s">
        <v>426</v>
      </c>
      <c r="K5575" s="2">
        <v>20</v>
      </c>
      <c r="L5575" s="2">
        <v>2</v>
      </c>
      <c r="M5575" s="3" t="s">
        <v>3314</v>
      </c>
      <c r="N5575" s="3" t="s">
        <v>5546</v>
      </c>
      <c r="O5575" s="3" t="s">
        <v>5547</v>
      </c>
      <c r="P5575" s="3" t="s">
        <v>5548</v>
      </c>
      <c r="Q5575" s="30" t="str">
        <f t="shared" si="87"/>
        <v>MAX : 1.669
TARGET : 1.654
MIN : 1.639</v>
      </c>
    </row>
    <row r="5576" spans="2:18" ht="41.4" x14ac:dyDescent="0.3">
      <c r="B5576">
        <v>0</v>
      </c>
      <c r="C5576" s="33">
        <v>9266</v>
      </c>
      <c r="D5576" s="2">
        <v>1545</v>
      </c>
      <c r="E5576" s="2" t="s">
        <v>9961</v>
      </c>
      <c r="F5576" s="3" t="s">
        <v>14206</v>
      </c>
      <c r="H5576" s="3" t="s">
        <v>2938</v>
      </c>
      <c r="K5576" s="2">
        <v>10</v>
      </c>
      <c r="L5576" s="2">
        <v>11</v>
      </c>
      <c r="M5576" s="3" t="s">
        <v>2927</v>
      </c>
      <c r="N5576" s="3" t="s">
        <v>13</v>
      </c>
      <c r="O5576" s="3" t="s">
        <v>14</v>
      </c>
      <c r="Q5576" s="30" t="str">
        <f t="shared" si="87"/>
        <v>MAX : 
TARGET : Yes(Pass)
MIN : No(Fail)</v>
      </c>
    </row>
    <row r="5577" spans="2:18" ht="41.4" x14ac:dyDescent="0.3">
      <c r="B5577">
        <v>0</v>
      </c>
      <c r="C5577" s="33">
        <v>9266</v>
      </c>
      <c r="D5577" s="2">
        <v>1545</v>
      </c>
      <c r="E5577" s="2" t="s">
        <v>9961</v>
      </c>
      <c r="F5577" s="3" t="s">
        <v>14206</v>
      </c>
      <c r="H5577" s="3" t="s">
        <v>2938</v>
      </c>
      <c r="K5577" s="2">
        <v>10</v>
      </c>
      <c r="L5577" s="2">
        <v>3</v>
      </c>
      <c r="M5577" s="3" t="s">
        <v>2942</v>
      </c>
      <c r="N5577" s="3" t="s">
        <v>571</v>
      </c>
      <c r="O5577" s="3" t="s">
        <v>2943</v>
      </c>
      <c r="P5577" s="3" t="s">
        <v>1788</v>
      </c>
      <c r="Q5577" s="30" t="str">
        <f t="shared" si="87"/>
        <v>MAX : 0.445
TARGET : 0.391
MIN : 0.345</v>
      </c>
    </row>
    <row r="5578" spans="2:18" ht="41.4" x14ac:dyDescent="0.3">
      <c r="B5578">
        <v>0</v>
      </c>
      <c r="C5578" s="33">
        <v>9266</v>
      </c>
      <c r="D5578" s="2">
        <v>1545</v>
      </c>
      <c r="E5578" s="2" t="s">
        <v>9961</v>
      </c>
      <c r="F5578" s="3" t="s">
        <v>14206</v>
      </c>
      <c r="H5578" s="3" t="s">
        <v>2938</v>
      </c>
      <c r="K5578" s="2">
        <v>10</v>
      </c>
      <c r="L5578" s="2">
        <v>4</v>
      </c>
      <c r="M5578" s="3" t="s">
        <v>2944</v>
      </c>
      <c r="N5578" s="3" t="s">
        <v>571</v>
      </c>
      <c r="O5578" s="3" t="s">
        <v>2943</v>
      </c>
      <c r="P5578" s="3" t="s">
        <v>1788</v>
      </c>
      <c r="Q5578" s="30" t="str">
        <f t="shared" si="87"/>
        <v>MAX : 0.445
TARGET : 0.391
MIN : 0.345</v>
      </c>
    </row>
    <row r="5579" spans="2:18" ht="41.4" x14ac:dyDescent="0.3">
      <c r="B5579">
        <v>0</v>
      </c>
      <c r="C5579" s="33">
        <v>9266</v>
      </c>
      <c r="D5579" s="2">
        <v>1545</v>
      </c>
      <c r="E5579" s="2" t="s">
        <v>9961</v>
      </c>
      <c r="F5579" s="3" t="s">
        <v>14206</v>
      </c>
      <c r="H5579" s="3" t="s">
        <v>2938</v>
      </c>
      <c r="K5579" s="2">
        <v>10</v>
      </c>
      <c r="L5579" s="2">
        <v>5</v>
      </c>
      <c r="M5579" s="3" t="s">
        <v>2945</v>
      </c>
      <c r="N5579" s="3" t="s">
        <v>571</v>
      </c>
      <c r="O5579" s="3" t="s">
        <v>2943</v>
      </c>
      <c r="P5579" s="3" t="s">
        <v>1788</v>
      </c>
      <c r="Q5579" s="30" t="str">
        <f t="shared" si="87"/>
        <v>MAX : 0.445
TARGET : 0.391
MIN : 0.345</v>
      </c>
    </row>
    <row r="5580" spans="2:18" ht="41.4" x14ac:dyDescent="0.3">
      <c r="B5580">
        <v>0</v>
      </c>
      <c r="C5580" s="33">
        <v>9266</v>
      </c>
      <c r="D5580" s="2">
        <v>1545</v>
      </c>
      <c r="E5580" s="2" t="s">
        <v>9961</v>
      </c>
      <c r="F5580" s="3" t="s">
        <v>14206</v>
      </c>
      <c r="H5580" s="3" t="s">
        <v>2938</v>
      </c>
      <c r="K5580" s="2">
        <v>10</v>
      </c>
      <c r="L5580" s="2">
        <v>6</v>
      </c>
      <c r="M5580" s="3" t="s">
        <v>2946</v>
      </c>
      <c r="N5580" s="3" t="s">
        <v>571</v>
      </c>
      <c r="O5580" s="3" t="s">
        <v>2943</v>
      </c>
      <c r="P5580" s="3" t="s">
        <v>1788</v>
      </c>
      <c r="Q5580" s="30" t="str">
        <f t="shared" si="87"/>
        <v>MAX : 0.445
TARGET : 0.391
MIN : 0.345</v>
      </c>
    </row>
    <row r="5581" spans="2:18" ht="41.4" x14ac:dyDescent="0.3">
      <c r="B5581">
        <v>0</v>
      </c>
      <c r="C5581" s="33">
        <v>9266</v>
      </c>
      <c r="D5581" s="2">
        <v>1545</v>
      </c>
      <c r="E5581" s="2" t="s">
        <v>9961</v>
      </c>
      <c r="F5581" s="3" t="s">
        <v>14206</v>
      </c>
      <c r="H5581" s="3" t="s">
        <v>2938</v>
      </c>
      <c r="K5581" s="2">
        <v>10</v>
      </c>
      <c r="L5581" s="2">
        <v>8</v>
      </c>
      <c r="M5581" s="3" t="s">
        <v>2947</v>
      </c>
      <c r="N5581" s="3" t="s">
        <v>13</v>
      </c>
      <c r="O5581" s="3" t="s">
        <v>14</v>
      </c>
      <c r="Q5581" s="30" t="str">
        <f t="shared" si="87"/>
        <v>MAX : 
TARGET : Yes(Pass)
MIN : No(Fail)</v>
      </c>
    </row>
    <row r="5582" spans="2:18" ht="41.4" x14ac:dyDescent="0.3">
      <c r="B5582">
        <v>0</v>
      </c>
      <c r="C5582" s="33">
        <v>9266</v>
      </c>
      <c r="D5582" s="2">
        <v>1545</v>
      </c>
      <c r="E5582" s="2" t="s">
        <v>9961</v>
      </c>
      <c r="F5582" s="3" t="s">
        <v>14206</v>
      </c>
      <c r="H5582" s="3" t="s">
        <v>2938</v>
      </c>
      <c r="K5582" s="2">
        <v>10</v>
      </c>
      <c r="L5582" s="2">
        <v>7</v>
      </c>
      <c r="M5582" s="3" t="s">
        <v>2948</v>
      </c>
      <c r="N5582" s="3" t="s">
        <v>2949</v>
      </c>
      <c r="O5582" s="3" t="s">
        <v>1810</v>
      </c>
      <c r="P5582" s="3" t="s">
        <v>1513</v>
      </c>
      <c r="Q5582" s="30" t="str">
        <f t="shared" si="87"/>
        <v>MAX : 2.280
TARGET : 2.250
MIN : 2.220</v>
      </c>
    </row>
    <row r="5583" spans="2:18" ht="41.4" x14ac:dyDescent="0.3">
      <c r="B5583">
        <v>0</v>
      </c>
      <c r="C5583" s="33">
        <v>9266</v>
      </c>
      <c r="D5583" s="2">
        <v>1545</v>
      </c>
      <c r="E5583" s="2" t="s">
        <v>9961</v>
      </c>
      <c r="F5583" s="3" t="s">
        <v>14206</v>
      </c>
      <c r="H5583" s="3" t="s">
        <v>2938</v>
      </c>
      <c r="K5583" s="2">
        <v>10</v>
      </c>
      <c r="L5583" s="2">
        <v>9</v>
      </c>
      <c r="M5583" s="3" t="s">
        <v>2931</v>
      </c>
      <c r="N5583" s="3" t="s">
        <v>13</v>
      </c>
      <c r="O5583" s="3" t="s">
        <v>14</v>
      </c>
      <c r="Q5583" s="30" t="str">
        <f t="shared" si="87"/>
        <v>MAX : 
TARGET : Yes(Pass)
MIN : No(Fail)</v>
      </c>
    </row>
    <row r="5584" spans="2:18" ht="41.4" x14ac:dyDescent="0.3">
      <c r="B5584">
        <v>0</v>
      </c>
      <c r="C5584" s="33">
        <v>9266</v>
      </c>
      <c r="D5584" s="2">
        <v>1545</v>
      </c>
      <c r="E5584" s="2" t="s">
        <v>9961</v>
      </c>
      <c r="F5584" s="3" t="s">
        <v>14206</v>
      </c>
      <c r="H5584" s="3" t="s">
        <v>2938</v>
      </c>
      <c r="K5584" s="2">
        <v>10</v>
      </c>
      <c r="L5584" s="2">
        <v>10</v>
      </c>
      <c r="M5584" s="3" t="s">
        <v>4728</v>
      </c>
      <c r="Q5584" s="30" t="str">
        <f t="shared" si="87"/>
        <v xml:space="preserve">MAX : 
TARGET : 
MIN : </v>
      </c>
    </row>
    <row r="5585" spans="2:17" ht="41.4" x14ac:dyDescent="0.3">
      <c r="B5585">
        <v>1</v>
      </c>
      <c r="C5585" s="33">
        <v>9220</v>
      </c>
      <c r="D5585" s="2">
        <v>1516</v>
      </c>
      <c r="E5585" s="2" t="s">
        <v>13177</v>
      </c>
      <c r="F5585" s="3" t="s">
        <v>14206</v>
      </c>
      <c r="G5585" s="3" t="s">
        <v>496</v>
      </c>
      <c r="H5585" s="3" t="s">
        <v>426</v>
      </c>
      <c r="K5585" s="2">
        <v>20</v>
      </c>
      <c r="L5585" s="2">
        <v>1</v>
      </c>
      <c r="M5585" s="3" t="s">
        <v>194</v>
      </c>
      <c r="N5585" s="3" t="s">
        <v>5543</v>
      </c>
      <c r="O5585" s="3" t="s">
        <v>5544</v>
      </c>
      <c r="P5585" s="3" t="s">
        <v>5545</v>
      </c>
      <c r="Q5585" s="30" t="str">
        <f t="shared" si="87"/>
        <v>MAX : 3.696
TARGET : 3.681
MIN : 3.666</v>
      </c>
    </row>
    <row r="5586" spans="2:17" ht="41.4" x14ac:dyDescent="0.3">
      <c r="B5586">
        <v>1</v>
      </c>
      <c r="C5586" s="33">
        <v>9220</v>
      </c>
      <c r="D5586" s="2">
        <v>1516</v>
      </c>
      <c r="E5586" s="2" t="s">
        <v>13177</v>
      </c>
      <c r="F5586" s="3" t="s">
        <v>14206</v>
      </c>
      <c r="G5586" s="3" t="s">
        <v>496</v>
      </c>
      <c r="H5586" s="3" t="s">
        <v>426</v>
      </c>
      <c r="K5586" s="2">
        <v>20</v>
      </c>
      <c r="L5586" s="2">
        <v>6</v>
      </c>
      <c r="M5586" s="3" t="s">
        <v>5715</v>
      </c>
      <c r="N5586" s="3" t="s">
        <v>5523</v>
      </c>
      <c r="O5586" s="3" t="s">
        <v>3898</v>
      </c>
      <c r="P5586" s="3" t="s">
        <v>1705</v>
      </c>
      <c r="Q5586" s="30" t="str">
        <f t="shared" si="87"/>
        <v>MAX : 0.275
TARGET : 0.260
MIN : 0.245</v>
      </c>
    </row>
    <row r="5587" spans="2:17" ht="41.4" x14ac:dyDescent="0.3">
      <c r="B5587">
        <v>1</v>
      </c>
      <c r="C5587" s="33">
        <v>9221</v>
      </c>
      <c r="D5587" s="2">
        <v>1517</v>
      </c>
      <c r="E5587" s="2" t="s">
        <v>13184</v>
      </c>
      <c r="F5587" s="3" t="s">
        <v>14206</v>
      </c>
      <c r="H5587" s="3" t="s">
        <v>648</v>
      </c>
      <c r="K5587" s="2">
        <v>20</v>
      </c>
      <c r="L5587" s="2">
        <v>2</v>
      </c>
      <c r="M5587" s="3" t="s">
        <v>3314</v>
      </c>
      <c r="N5587" s="3" t="s">
        <v>5520</v>
      </c>
      <c r="O5587" s="3" t="s">
        <v>5521</v>
      </c>
      <c r="P5587" s="3" t="s">
        <v>4046</v>
      </c>
      <c r="Q5587" s="30" t="str">
        <f t="shared" si="87"/>
        <v>MAX : 0.670
TARGET : 0.650
MIN : 0.630</v>
      </c>
    </row>
    <row r="5588" spans="2:17" ht="41.4" x14ac:dyDescent="0.3">
      <c r="B5588">
        <v>1</v>
      </c>
      <c r="C5588" s="33">
        <v>9221</v>
      </c>
      <c r="D5588" s="2">
        <v>1517</v>
      </c>
      <c r="E5588" s="2" t="s">
        <v>13184</v>
      </c>
      <c r="F5588" s="3" t="s">
        <v>14206</v>
      </c>
      <c r="H5588" s="3" t="s">
        <v>648</v>
      </c>
      <c r="K5588" s="2">
        <v>20</v>
      </c>
      <c r="L5588" s="2">
        <v>1</v>
      </c>
      <c r="M5588" s="3" t="s">
        <v>194</v>
      </c>
      <c r="N5588" s="3" t="s">
        <v>3463</v>
      </c>
      <c r="O5588" s="3" t="s">
        <v>4847</v>
      </c>
      <c r="P5588" s="3" t="s">
        <v>5519</v>
      </c>
      <c r="Q5588" s="30" t="str">
        <f t="shared" si="87"/>
        <v>MAX : 0.847
TARGET : 0.827
MIN : 0.807</v>
      </c>
    </row>
    <row r="5589" spans="2:17" ht="41.4" x14ac:dyDescent="0.3">
      <c r="B5589">
        <v>1</v>
      </c>
      <c r="C5589" s="33">
        <v>9222</v>
      </c>
      <c r="D5589" s="2">
        <v>2106</v>
      </c>
      <c r="E5589" s="2" t="s">
        <v>13190</v>
      </c>
      <c r="F5589" s="3" t="s">
        <v>14260</v>
      </c>
      <c r="H5589" s="3" t="s">
        <v>922</v>
      </c>
      <c r="K5589" s="2">
        <v>10</v>
      </c>
      <c r="L5589" s="2">
        <v>2</v>
      </c>
      <c r="M5589" s="3" t="s">
        <v>325</v>
      </c>
      <c r="N5589" s="3" t="s">
        <v>13</v>
      </c>
      <c r="O5589" s="3" t="s">
        <v>14</v>
      </c>
      <c r="Q5589" s="30" t="str">
        <f t="shared" si="87"/>
        <v>MAX : 
TARGET : Yes(Pass)
MIN : No(Fail)</v>
      </c>
    </row>
    <row r="5590" spans="2:17" ht="41.4" x14ac:dyDescent="0.3">
      <c r="B5590">
        <v>1</v>
      </c>
      <c r="C5590" s="33">
        <v>9222</v>
      </c>
      <c r="D5590" s="2">
        <v>2106</v>
      </c>
      <c r="E5590" s="2" t="s">
        <v>13190</v>
      </c>
      <c r="F5590" s="3" t="s">
        <v>14260</v>
      </c>
      <c r="H5590" s="3" t="s">
        <v>922</v>
      </c>
      <c r="K5590" s="2">
        <v>10</v>
      </c>
      <c r="L5590" s="2">
        <v>1</v>
      </c>
      <c r="M5590" s="3" t="s">
        <v>99</v>
      </c>
      <c r="N5590" s="3" t="s">
        <v>5505</v>
      </c>
      <c r="O5590" s="3" t="s">
        <v>5506</v>
      </c>
      <c r="P5590" s="3" t="s">
        <v>1988</v>
      </c>
      <c r="Q5590" s="30" t="str">
        <f t="shared" si="87"/>
        <v>MAX : 0.307
TARGET : 0.292
MIN : 0.277</v>
      </c>
    </row>
    <row r="5591" spans="2:17" ht="41.4" x14ac:dyDescent="0.3">
      <c r="B5591">
        <v>0</v>
      </c>
      <c r="C5591" s="33">
        <v>6931</v>
      </c>
      <c r="D5591" s="2">
        <v>1067</v>
      </c>
      <c r="E5591" s="2" t="s">
        <v>8646</v>
      </c>
      <c r="F5591" s="3" t="s">
        <v>14206</v>
      </c>
      <c r="H5591" s="3" t="s">
        <v>648</v>
      </c>
      <c r="K5591" s="2">
        <v>10</v>
      </c>
      <c r="L5591" s="2">
        <v>4.3</v>
      </c>
      <c r="Q5591" s="30" t="str">
        <f t="shared" si="87"/>
        <v xml:space="preserve">MAX : 
TARGET : 
MIN : </v>
      </c>
    </row>
    <row r="5592" spans="2:17" ht="41.4" x14ac:dyDescent="0.3">
      <c r="B5592">
        <v>0</v>
      </c>
      <c r="C5592" s="33">
        <v>6931</v>
      </c>
      <c r="D5592" s="2">
        <v>1067</v>
      </c>
      <c r="E5592" s="2" t="s">
        <v>8646</v>
      </c>
      <c r="F5592" s="3" t="s">
        <v>14206</v>
      </c>
      <c r="H5592" s="3" t="s">
        <v>648</v>
      </c>
      <c r="K5592" s="2">
        <v>10</v>
      </c>
      <c r="L5592" s="2">
        <v>4.4000000000000004</v>
      </c>
      <c r="Q5592" s="30" t="str">
        <f t="shared" si="87"/>
        <v xml:space="preserve">MAX : 
TARGET : 
MIN : </v>
      </c>
    </row>
    <row r="5593" spans="2:17" ht="41.4" x14ac:dyDescent="0.3">
      <c r="B5593">
        <v>1</v>
      </c>
      <c r="C5593" s="33">
        <v>9223</v>
      </c>
      <c r="D5593" s="2">
        <v>2107</v>
      </c>
      <c r="E5593" s="2" t="s">
        <v>13196</v>
      </c>
      <c r="F5593" s="3" t="s">
        <v>14206</v>
      </c>
      <c r="H5593" s="3" t="s">
        <v>269</v>
      </c>
      <c r="K5593" s="2">
        <v>10</v>
      </c>
      <c r="L5593" s="2">
        <v>2</v>
      </c>
      <c r="M5593" s="3" t="s">
        <v>325</v>
      </c>
      <c r="N5593" s="3" t="s">
        <v>13</v>
      </c>
      <c r="O5593" s="3" t="s">
        <v>14</v>
      </c>
      <c r="Q5593" s="30" t="str">
        <f t="shared" si="87"/>
        <v>MAX : 
TARGET : Yes(Pass)
MIN : No(Fail)</v>
      </c>
    </row>
    <row r="5594" spans="2:17" ht="41.4" x14ac:dyDescent="0.3">
      <c r="B5594">
        <v>1</v>
      </c>
      <c r="C5594" s="33">
        <v>9223</v>
      </c>
      <c r="D5594" s="2">
        <v>2107</v>
      </c>
      <c r="E5594" s="2" t="s">
        <v>13196</v>
      </c>
      <c r="F5594" s="3" t="s">
        <v>14206</v>
      </c>
      <c r="H5594" s="3" t="s">
        <v>269</v>
      </c>
      <c r="K5594" s="2">
        <v>10</v>
      </c>
      <c r="L5594" s="2">
        <v>1</v>
      </c>
      <c r="M5594" s="3" t="s">
        <v>458</v>
      </c>
      <c r="N5594" s="3" t="s">
        <v>1771</v>
      </c>
      <c r="O5594" s="3" t="s">
        <v>1905</v>
      </c>
      <c r="P5594" s="3" t="s">
        <v>5508</v>
      </c>
      <c r="Q5594" s="30" t="str">
        <f t="shared" si="87"/>
        <v>MAX : 1.46
TARGET : 1.40
MIN : 1.34</v>
      </c>
    </row>
    <row r="5595" spans="2:17" ht="41.4" x14ac:dyDescent="0.3">
      <c r="B5595">
        <v>0</v>
      </c>
      <c r="C5595" s="33">
        <v>9150</v>
      </c>
      <c r="D5595" s="2">
        <v>1472</v>
      </c>
      <c r="E5595" s="2" t="s">
        <v>12774</v>
      </c>
      <c r="F5595" s="29" t="s">
        <v>14257</v>
      </c>
      <c r="H5595" s="3" t="s">
        <v>648</v>
      </c>
      <c r="K5595" s="2">
        <v>10</v>
      </c>
      <c r="L5595" s="2">
        <v>5.3</v>
      </c>
      <c r="Q5595" s="30" t="str">
        <f t="shared" si="87"/>
        <v xml:space="preserve">MAX : 
TARGET : 
MIN : </v>
      </c>
    </row>
    <row r="5596" spans="2:17" ht="41.4" x14ac:dyDescent="0.3">
      <c r="B5596">
        <v>0</v>
      </c>
      <c r="C5596" s="33">
        <v>9150</v>
      </c>
      <c r="D5596" s="2">
        <v>1472</v>
      </c>
      <c r="E5596" s="2" t="s">
        <v>12774</v>
      </c>
      <c r="F5596" s="29" t="s">
        <v>14257</v>
      </c>
      <c r="H5596" s="3" t="s">
        <v>648</v>
      </c>
      <c r="K5596" s="2">
        <v>10</v>
      </c>
      <c r="L5596" s="2">
        <v>5.4</v>
      </c>
      <c r="Q5596" s="30" t="str">
        <f t="shared" si="87"/>
        <v xml:space="preserve">MAX : 
TARGET : 
MIN : </v>
      </c>
    </row>
    <row r="5597" spans="2:17" ht="41.4" x14ac:dyDescent="0.3">
      <c r="B5597">
        <v>1</v>
      </c>
      <c r="C5597" s="33">
        <v>9224</v>
      </c>
      <c r="D5597" s="2">
        <v>1518</v>
      </c>
      <c r="E5597" s="2" t="s">
        <v>13202</v>
      </c>
      <c r="F5597" s="3" t="s">
        <v>14206</v>
      </c>
      <c r="H5597" s="3" t="s">
        <v>108</v>
      </c>
      <c r="K5597" s="2">
        <v>20</v>
      </c>
      <c r="L5597" s="2">
        <v>2</v>
      </c>
      <c r="M5597" s="3" t="s">
        <v>198</v>
      </c>
      <c r="N5597" s="3" t="s">
        <v>5523</v>
      </c>
      <c r="O5597" s="3" t="s">
        <v>281</v>
      </c>
      <c r="P5597" s="3" t="s">
        <v>5086</v>
      </c>
      <c r="Q5597" s="30" t="str">
        <f t="shared" si="87"/>
        <v>MAX : 0.255
TARGET : 0.250
MIN : 0.245</v>
      </c>
    </row>
    <row r="5598" spans="2:17" ht="41.4" x14ac:dyDescent="0.3">
      <c r="B5598">
        <v>1</v>
      </c>
      <c r="C5598" s="33">
        <v>9224</v>
      </c>
      <c r="D5598" s="2">
        <v>1518</v>
      </c>
      <c r="E5598" s="2" t="s">
        <v>13202</v>
      </c>
      <c r="F5598" s="3" t="s">
        <v>14206</v>
      </c>
      <c r="H5598" s="3" t="s">
        <v>108</v>
      </c>
      <c r="K5598" s="2">
        <v>20</v>
      </c>
      <c r="L5598" s="2">
        <v>1</v>
      </c>
      <c r="M5598" s="3" t="s">
        <v>194</v>
      </c>
      <c r="N5598" s="3" t="s">
        <v>3125</v>
      </c>
      <c r="O5598" s="3" t="s">
        <v>4852</v>
      </c>
      <c r="P5598" s="3" t="s">
        <v>1746</v>
      </c>
      <c r="Q5598" s="30" t="str">
        <f t="shared" si="87"/>
        <v>MAX : 0.145
TARGET : 0.140
MIN : 0.135</v>
      </c>
    </row>
    <row r="5599" spans="2:17" ht="41.4" x14ac:dyDescent="0.3">
      <c r="B5599">
        <v>0</v>
      </c>
      <c r="C5599" s="33">
        <v>9268</v>
      </c>
      <c r="D5599" s="2">
        <v>1546</v>
      </c>
      <c r="E5599" s="2" t="s">
        <v>13451</v>
      </c>
      <c r="F5599" s="3" t="s">
        <v>14206</v>
      </c>
      <c r="H5599" s="3" t="s">
        <v>648</v>
      </c>
      <c r="I5599" s="3" t="s">
        <v>575</v>
      </c>
      <c r="K5599" s="2">
        <v>10</v>
      </c>
      <c r="L5599" s="2">
        <v>3</v>
      </c>
      <c r="M5599" s="3" t="s">
        <v>4407</v>
      </c>
      <c r="N5599" s="3" t="s">
        <v>13</v>
      </c>
      <c r="O5599" s="3" t="s">
        <v>14</v>
      </c>
      <c r="Q5599" s="30" t="str">
        <f t="shared" si="87"/>
        <v>MAX : 
TARGET : Yes(Pass)
MIN : No(Fail)</v>
      </c>
    </row>
    <row r="5600" spans="2:17" ht="41.4" x14ac:dyDescent="0.3">
      <c r="B5600">
        <v>0</v>
      </c>
      <c r="C5600" s="33">
        <v>9268</v>
      </c>
      <c r="D5600" s="2">
        <v>1546</v>
      </c>
      <c r="E5600" s="2" t="s">
        <v>13451</v>
      </c>
      <c r="F5600" s="3" t="s">
        <v>14206</v>
      </c>
      <c r="H5600" s="3" t="s">
        <v>648</v>
      </c>
      <c r="I5600" s="3" t="s">
        <v>575</v>
      </c>
      <c r="K5600" s="2">
        <v>10</v>
      </c>
      <c r="L5600" s="2">
        <v>4</v>
      </c>
      <c r="M5600" s="3" t="s">
        <v>5729</v>
      </c>
      <c r="N5600" s="3" t="s">
        <v>13</v>
      </c>
      <c r="O5600" s="3" t="s">
        <v>14</v>
      </c>
      <c r="Q5600" s="30" t="str">
        <f t="shared" si="87"/>
        <v>MAX : 
TARGET : Yes(Pass)
MIN : No(Fail)</v>
      </c>
    </row>
    <row r="5601" spans="2:18" ht="41.4" x14ac:dyDescent="0.3">
      <c r="B5601">
        <v>1</v>
      </c>
      <c r="C5601" s="33">
        <v>9224</v>
      </c>
      <c r="D5601" s="2">
        <v>1518</v>
      </c>
      <c r="E5601" s="2" t="s">
        <v>13202</v>
      </c>
      <c r="F5601" s="3" t="s">
        <v>14206</v>
      </c>
      <c r="H5601" s="3" t="s">
        <v>108</v>
      </c>
      <c r="K5601" s="2">
        <v>20</v>
      </c>
      <c r="L5601" s="2">
        <v>5</v>
      </c>
      <c r="M5601" s="3" t="s">
        <v>5530</v>
      </c>
      <c r="N5601" s="3" t="s">
        <v>13</v>
      </c>
      <c r="O5601" s="3" t="s">
        <v>14</v>
      </c>
      <c r="Q5601" s="30" t="str">
        <f t="shared" si="87"/>
        <v>MAX : 
TARGET : Yes(Pass)
MIN : No(Fail)</v>
      </c>
    </row>
    <row r="5602" spans="2:18" ht="41.4" x14ac:dyDescent="0.3">
      <c r="B5602">
        <v>1</v>
      </c>
      <c r="C5602" s="33">
        <v>9225</v>
      </c>
      <c r="D5602" s="2">
        <v>1519</v>
      </c>
      <c r="E5602" s="2" t="s">
        <v>13209</v>
      </c>
      <c r="F5602" s="3" t="s">
        <v>14206</v>
      </c>
      <c r="H5602" s="3" t="s">
        <v>108</v>
      </c>
      <c r="K5602" s="2">
        <v>20</v>
      </c>
      <c r="L5602" s="2">
        <v>3</v>
      </c>
      <c r="M5602" s="3" t="s">
        <v>198</v>
      </c>
      <c r="N5602" s="3" t="s">
        <v>641</v>
      </c>
      <c r="O5602" s="3" t="s">
        <v>1407</v>
      </c>
      <c r="P5602" s="3" t="s">
        <v>3763</v>
      </c>
      <c r="Q5602" s="30" t="str">
        <f t="shared" si="87"/>
        <v>MAX : 0.605
TARGET : 0.600
MIN : 0.595</v>
      </c>
    </row>
    <row r="5603" spans="2:18" ht="41.4" x14ac:dyDescent="0.3">
      <c r="B5603">
        <v>1</v>
      </c>
      <c r="C5603" s="33">
        <v>9225</v>
      </c>
      <c r="D5603" s="2">
        <v>1519</v>
      </c>
      <c r="E5603" s="2" t="s">
        <v>13209</v>
      </c>
      <c r="F5603" s="3" t="s">
        <v>14206</v>
      </c>
      <c r="H5603" s="3" t="s">
        <v>108</v>
      </c>
      <c r="K5603" s="2">
        <v>20</v>
      </c>
      <c r="L5603" s="2">
        <v>1</v>
      </c>
      <c r="M5603" s="3" t="s">
        <v>194</v>
      </c>
      <c r="N5603" s="3" t="s">
        <v>1735</v>
      </c>
      <c r="O5603" s="3" t="s">
        <v>52</v>
      </c>
      <c r="P5603" s="3" t="s">
        <v>1788</v>
      </c>
      <c r="Q5603" s="30" t="str">
        <f t="shared" si="87"/>
        <v>MAX : 0.445
TARGET : 0.440
MIN : 0.435</v>
      </c>
    </row>
    <row r="5604" spans="2:18" ht="41.4" x14ac:dyDescent="0.3">
      <c r="B5604">
        <v>1</v>
      </c>
      <c r="C5604" s="33">
        <v>9225</v>
      </c>
      <c r="D5604" s="2">
        <v>1519</v>
      </c>
      <c r="E5604" s="2" t="s">
        <v>13209</v>
      </c>
      <c r="F5604" s="3" t="s">
        <v>14206</v>
      </c>
      <c r="H5604" s="3" t="s">
        <v>108</v>
      </c>
      <c r="K5604" s="2">
        <v>20</v>
      </c>
      <c r="L5604" s="2">
        <v>6</v>
      </c>
      <c r="M5604" s="3" t="s">
        <v>5530</v>
      </c>
      <c r="N5604" s="3" t="s">
        <v>13</v>
      </c>
      <c r="O5604" s="3" t="s">
        <v>14</v>
      </c>
      <c r="Q5604" s="30" t="str">
        <f t="shared" si="87"/>
        <v>MAX : 
TARGET : Yes(Pass)
MIN : No(Fail)</v>
      </c>
    </row>
    <row r="5605" spans="2:18" ht="41.4" x14ac:dyDescent="0.3">
      <c r="B5605">
        <v>1</v>
      </c>
      <c r="C5605" s="33">
        <v>9226</v>
      </c>
      <c r="D5605" s="2">
        <v>1520</v>
      </c>
      <c r="E5605" s="2" t="s">
        <v>13215</v>
      </c>
      <c r="F5605" s="3" t="s">
        <v>14206</v>
      </c>
      <c r="G5605" s="3" t="s">
        <v>496</v>
      </c>
      <c r="H5605" s="3" t="s">
        <v>656</v>
      </c>
      <c r="K5605" s="2">
        <v>20</v>
      </c>
      <c r="L5605" s="2">
        <v>2</v>
      </c>
      <c r="M5605" s="3" t="s">
        <v>134</v>
      </c>
      <c r="N5605" s="3" t="s">
        <v>13</v>
      </c>
      <c r="O5605" s="3" t="s">
        <v>14</v>
      </c>
      <c r="Q5605" s="30" t="str">
        <f t="shared" si="87"/>
        <v>MAX : 
TARGET : Yes(Pass)
MIN : No(Fail)</v>
      </c>
    </row>
    <row r="5606" spans="2:18" ht="41.4" x14ac:dyDescent="0.3">
      <c r="B5606">
        <v>1</v>
      </c>
      <c r="C5606" s="33">
        <v>9226</v>
      </c>
      <c r="D5606" s="2">
        <v>1520</v>
      </c>
      <c r="E5606" s="2" t="s">
        <v>13215</v>
      </c>
      <c r="F5606" s="3" t="s">
        <v>14206</v>
      </c>
      <c r="G5606" s="3" t="s">
        <v>496</v>
      </c>
      <c r="H5606" s="3" t="s">
        <v>656</v>
      </c>
      <c r="K5606" s="2">
        <v>20</v>
      </c>
      <c r="L5606" s="2">
        <v>1</v>
      </c>
      <c r="M5606" s="3" t="s">
        <v>502</v>
      </c>
      <c r="N5606" s="3" t="s">
        <v>5558</v>
      </c>
      <c r="O5606" s="3" t="s">
        <v>460</v>
      </c>
      <c r="P5606" s="3" t="s">
        <v>5559</v>
      </c>
      <c r="Q5606" s="30" t="str">
        <f t="shared" si="87"/>
        <v>MAX : 2.045
TARGET : 2.03
MIN : 2.015</v>
      </c>
    </row>
    <row r="5607" spans="2:18" ht="41.4" x14ac:dyDescent="0.3">
      <c r="B5607">
        <v>1</v>
      </c>
      <c r="C5607" s="33">
        <v>9227</v>
      </c>
      <c r="D5607" s="2">
        <v>1521</v>
      </c>
      <c r="E5607" s="2" t="s">
        <v>13221</v>
      </c>
      <c r="F5607" s="3" t="s">
        <v>14206</v>
      </c>
      <c r="G5607" s="3" t="s">
        <v>496</v>
      </c>
      <c r="H5607" s="3" t="s">
        <v>656</v>
      </c>
      <c r="K5607" s="2">
        <v>20</v>
      </c>
      <c r="L5607" s="2">
        <v>2</v>
      </c>
      <c r="M5607" s="3" t="s">
        <v>134</v>
      </c>
      <c r="N5607" s="3" t="s">
        <v>13</v>
      </c>
      <c r="O5607" s="3" t="s">
        <v>14</v>
      </c>
      <c r="Q5607" s="30" t="str">
        <f t="shared" si="87"/>
        <v>MAX : 
TARGET : Yes(Pass)
MIN : No(Fail)</v>
      </c>
    </row>
    <row r="5608" spans="2:18" ht="41.4" x14ac:dyDescent="0.3">
      <c r="B5608">
        <v>1</v>
      </c>
      <c r="C5608" s="33">
        <v>9227</v>
      </c>
      <c r="D5608" s="2">
        <v>1521</v>
      </c>
      <c r="E5608" s="2" t="s">
        <v>13221</v>
      </c>
      <c r="F5608" s="3" t="s">
        <v>14206</v>
      </c>
      <c r="G5608" s="3" t="s">
        <v>496</v>
      </c>
      <c r="H5608" s="3" t="s">
        <v>656</v>
      </c>
      <c r="K5608" s="2">
        <v>20</v>
      </c>
      <c r="L5608" s="2">
        <v>1</v>
      </c>
      <c r="M5608" s="3" t="s">
        <v>502</v>
      </c>
      <c r="N5608" s="3" t="s">
        <v>5560</v>
      </c>
      <c r="O5608" s="3" t="s">
        <v>5561</v>
      </c>
      <c r="P5608" s="3" t="s">
        <v>5562</v>
      </c>
      <c r="Q5608" s="30" t="str">
        <f t="shared" si="87"/>
        <v>MAX : 1.315
TARGET : 1.300
MIN : 1.285</v>
      </c>
    </row>
    <row r="5609" spans="2:18" ht="41.4" x14ac:dyDescent="0.3">
      <c r="B5609">
        <v>0</v>
      </c>
      <c r="C5609" s="33">
        <v>9269</v>
      </c>
      <c r="D5609" s="2">
        <v>2120</v>
      </c>
      <c r="E5609" s="2" t="s">
        <v>13457</v>
      </c>
      <c r="F5609" s="3" t="s">
        <v>14206</v>
      </c>
      <c r="H5609" s="3" t="s">
        <v>269</v>
      </c>
      <c r="I5609" s="3" t="s">
        <v>487</v>
      </c>
      <c r="K5609" s="2">
        <v>20</v>
      </c>
      <c r="L5609" s="2">
        <v>1</v>
      </c>
      <c r="M5609" s="3" t="s">
        <v>1623</v>
      </c>
      <c r="N5609" s="3" t="s">
        <v>13</v>
      </c>
      <c r="O5609" s="3" t="s">
        <v>14</v>
      </c>
      <c r="Q5609" s="30" t="str">
        <f t="shared" si="87"/>
        <v>MAX : 
TARGET : Yes(Pass)
MIN : No(Fail)</v>
      </c>
    </row>
    <row r="5610" spans="2:18" ht="41.4" x14ac:dyDescent="0.3">
      <c r="B5610">
        <v>1</v>
      </c>
      <c r="C5610" s="33">
        <v>9228</v>
      </c>
      <c r="D5610" s="2">
        <v>1522</v>
      </c>
      <c r="E5610" s="2" t="s">
        <v>13227</v>
      </c>
      <c r="F5610" s="3" t="s">
        <v>14206</v>
      </c>
      <c r="G5610" s="3" t="s">
        <v>5563</v>
      </c>
      <c r="H5610" s="3" t="s">
        <v>656</v>
      </c>
      <c r="K5610" s="2">
        <v>20</v>
      </c>
      <c r="L5610" s="2">
        <v>2</v>
      </c>
      <c r="M5610" s="3" t="s">
        <v>198</v>
      </c>
      <c r="N5610" s="3" t="s">
        <v>3710</v>
      </c>
      <c r="O5610" s="3" t="s">
        <v>5201</v>
      </c>
      <c r="P5610" s="3" t="s">
        <v>633</v>
      </c>
      <c r="Q5610" s="30" t="str">
        <f t="shared" si="87"/>
        <v>MAX : 0.815
TARGET : 0.800
MIN : 0.785</v>
      </c>
    </row>
    <row r="5611" spans="2:18" ht="41.4" x14ac:dyDescent="0.3">
      <c r="B5611">
        <v>1</v>
      </c>
      <c r="C5611" s="33">
        <v>9228</v>
      </c>
      <c r="D5611" s="2">
        <v>1522</v>
      </c>
      <c r="E5611" s="2" t="s">
        <v>13227</v>
      </c>
      <c r="F5611" s="3" t="s">
        <v>14206</v>
      </c>
      <c r="G5611" s="3" t="s">
        <v>5563</v>
      </c>
      <c r="H5611" s="3" t="s">
        <v>656</v>
      </c>
      <c r="K5611" s="2">
        <v>20</v>
      </c>
      <c r="L5611" s="2">
        <v>1</v>
      </c>
      <c r="M5611" s="3" t="s">
        <v>194</v>
      </c>
      <c r="N5611" s="3" t="s">
        <v>1261</v>
      </c>
      <c r="O5611" s="3" t="s">
        <v>139</v>
      </c>
      <c r="P5611" s="3" t="s">
        <v>682</v>
      </c>
      <c r="Q5611" s="30" t="str">
        <f t="shared" si="87"/>
        <v>MAX : 1.015
TARGET : 1.000
MIN : 0.985</v>
      </c>
    </row>
    <row r="5612" spans="2:18" ht="41.4" x14ac:dyDescent="0.3">
      <c r="B5612">
        <v>0</v>
      </c>
      <c r="C5612" s="33">
        <v>9271</v>
      </c>
      <c r="D5612" s="2">
        <v>2121</v>
      </c>
      <c r="E5612" s="2" t="s">
        <v>13463</v>
      </c>
      <c r="F5612" s="3" t="s">
        <v>14206</v>
      </c>
      <c r="H5612" s="3" t="s">
        <v>824</v>
      </c>
      <c r="I5612" s="3" t="s">
        <v>487</v>
      </c>
      <c r="K5612" s="2">
        <v>20</v>
      </c>
      <c r="L5612" s="2">
        <v>1</v>
      </c>
      <c r="M5612" s="3" t="s">
        <v>611</v>
      </c>
      <c r="N5612" s="3" t="s">
        <v>13</v>
      </c>
      <c r="O5612" s="3" t="s">
        <v>14</v>
      </c>
      <c r="Q5612" s="30" t="str">
        <f t="shared" si="87"/>
        <v>MAX : 
TARGET : Yes(Pass)
MIN : No(Fail)</v>
      </c>
    </row>
    <row r="5613" spans="2:18" ht="41.4" x14ac:dyDescent="0.3">
      <c r="B5613">
        <v>1</v>
      </c>
      <c r="C5613" s="33">
        <v>9229</v>
      </c>
      <c r="D5613" s="2">
        <v>1523</v>
      </c>
      <c r="E5613" s="2" t="s">
        <v>13233</v>
      </c>
      <c r="F5613" s="3" t="s">
        <v>14206</v>
      </c>
      <c r="G5613" s="3" t="s">
        <v>5563</v>
      </c>
      <c r="H5613" s="3" t="s">
        <v>656</v>
      </c>
      <c r="K5613" s="2">
        <v>20</v>
      </c>
      <c r="L5613" s="2">
        <v>2</v>
      </c>
      <c r="M5613" s="3" t="s">
        <v>198</v>
      </c>
      <c r="N5613" s="3" t="s">
        <v>5565</v>
      </c>
      <c r="O5613" s="3" t="s">
        <v>5566</v>
      </c>
      <c r="P5613" s="3" t="s">
        <v>5567</v>
      </c>
      <c r="Q5613" s="30" t="str">
        <f t="shared" si="87"/>
        <v>MAX : 2.415
TARGET : 2.400
MIN : 2.385</v>
      </c>
      <c r="R5613" s="3" t="s">
        <v>5564</v>
      </c>
    </row>
    <row r="5614" spans="2:18" ht="41.4" x14ac:dyDescent="0.3">
      <c r="B5614">
        <v>1</v>
      </c>
      <c r="C5614" s="33">
        <v>9229</v>
      </c>
      <c r="D5614" s="2">
        <v>1523</v>
      </c>
      <c r="E5614" s="2" t="s">
        <v>13233</v>
      </c>
      <c r="F5614" s="3" t="s">
        <v>14206</v>
      </c>
      <c r="G5614" s="3" t="s">
        <v>5563</v>
      </c>
      <c r="H5614" s="3" t="s">
        <v>656</v>
      </c>
      <c r="K5614" s="2">
        <v>20</v>
      </c>
      <c r="L5614" s="2">
        <v>1</v>
      </c>
      <c r="M5614" s="3" t="s">
        <v>194</v>
      </c>
      <c r="N5614" s="3" t="s">
        <v>1261</v>
      </c>
      <c r="O5614" s="3" t="s">
        <v>139</v>
      </c>
      <c r="P5614" s="3" t="s">
        <v>682</v>
      </c>
      <c r="Q5614" s="30" t="str">
        <f t="shared" si="87"/>
        <v>MAX : 1.015
TARGET : 1.000
MIN : 0.985</v>
      </c>
      <c r="R5614" s="3" t="s">
        <v>5564</v>
      </c>
    </row>
    <row r="5615" spans="2:18" ht="41.4" x14ac:dyDescent="0.3">
      <c r="B5615">
        <v>1</v>
      </c>
      <c r="C5615" s="33">
        <v>9230</v>
      </c>
      <c r="D5615" s="2">
        <v>1524</v>
      </c>
      <c r="E5615" s="2" t="s">
        <v>13239</v>
      </c>
      <c r="F5615" s="29" t="s">
        <v>14261</v>
      </c>
      <c r="H5615" s="3" t="s">
        <v>3587</v>
      </c>
      <c r="K5615" s="2">
        <v>20</v>
      </c>
      <c r="L5615" s="2">
        <v>2</v>
      </c>
      <c r="M5615" s="3" t="s">
        <v>198</v>
      </c>
      <c r="N5615" s="3" t="s">
        <v>927</v>
      </c>
      <c r="O5615" s="3" t="s">
        <v>276</v>
      </c>
      <c r="P5615" s="3" t="s">
        <v>928</v>
      </c>
      <c r="Q5615" s="30" t="str">
        <f t="shared" si="87"/>
        <v>MAX : 0.395
TARGET : 0.375
MIN : 0.355</v>
      </c>
    </row>
    <row r="5616" spans="2:18" ht="41.4" x14ac:dyDescent="0.3">
      <c r="B5616">
        <v>1</v>
      </c>
      <c r="C5616" s="33">
        <v>9230</v>
      </c>
      <c r="D5616" s="2">
        <v>1524</v>
      </c>
      <c r="E5616" s="2" t="s">
        <v>13239</v>
      </c>
      <c r="F5616" s="29" t="s">
        <v>14261</v>
      </c>
      <c r="H5616" s="3" t="s">
        <v>3587</v>
      </c>
      <c r="K5616" s="2">
        <v>20</v>
      </c>
      <c r="L5616" s="2">
        <v>1</v>
      </c>
      <c r="M5616" s="3" t="s">
        <v>194</v>
      </c>
      <c r="N5616" s="3" t="s">
        <v>927</v>
      </c>
      <c r="O5616" s="3" t="s">
        <v>276</v>
      </c>
      <c r="P5616" s="3" t="s">
        <v>928</v>
      </c>
      <c r="Q5616" s="30" t="str">
        <f t="shared" si="87"/>
        <v>MAX : 0.395
TARGET : 0.375
MIN : 0.355</v>
      </c>
    </row>
    <row r="5617" spans="2:18" ht="41.4" x14ac:dyDescent="0.3">
      <c r="B5617">
        <v>1</v>
      </c>
      <c r="C5617" s="33">
        <v>9232</v>
      </c>
      <c r="D5617" s="2">
        <v>2108</v>
      </c>
      <c r="E5617" s="2" t="s">
        <v>13252</v>
      </c>
      <c r="F5617" s="3" t="s">
        <v>14206</v>
      </c>
      <c r="H5617" s="3" t="s">
        <v>3533</v>
      </c>
      <c r="K5617" s="2">
        <v>30</v>
      </c>
      <c r="L5617" s="2">
        <v>2</v>
      </c>
      <c r="M5617" s="3" t="s">
        <v>5569</v>
      </c>
      <c r="N5617" s="3" t="s">
        <v>13</v>
      </c>
      <c r="O5617" s="3" t="s">
        <v>14</v>
      </c>
      <c r="Q5617" s="30" t="str">
        <f t="shared" si="87"/>
        <v>MAX : 
TARGET : Yes(Pass)
MIN : No(Fail)</v>
      </c>
    </row>
    <row r="5618" spans="2:18" ht="41.4" x14ac:dyDescent="0.3">
      <c r="B5618">
        <v>0</v>
      </c>
      <c r="C5618" s="33">
        <v>9273</v>
      </c>
      <c r="D5618" s="2">
        <v>1547</v>
      </c>
      <c r="E5618" s="2" t="s">
        <v>13476</v>
      </c>
      <c r="F5618" s="3" t="s">
        <v>14206</v>
      </c>
      <c r="H5618" s="3" t="s">
        <v>713</v>
      </c>
      <c r="K5618" s="2">
        <v>20</v>
      </c>
      <c r="L5618" s="2">
        <v>5</v>
      </c>
      <c r="M5618" s="3" t="s">
        <v>4684</v>
      </c>
      <c r="N5618" s="3" t="s">
        <v>1746</v>
      </c>
      <c r="O5618" s="3" t="s">
        <v>1938</v>
      </c>
      <c r="P5618" s="3" t="s">
        <v>1603</v>
      </c>
      <c r="Q5618" s="30" t="str">
        <f t="shared" si="87"/>
        <v>MAX : 0.265
TARGET : 0.205
MIN : 0.145</v>
      </c>
      <c r="R5618" s="3" t="s">
        <v>1638</v>
      </c>
    </row>
    <row r="5619" spans="2:18" ht="41.4" x14ac:dyDescent="0.3">
      <c r="B5619">
        <v>0</v>
      </c>
      <c r="C5619" s="33">
        <v>9273</v>
      </c>
      <c r="D5619" s="2">
        <v>1547</v>
      </c>
      <c r="E5619" s="2" t="s">
        <v>13476</v>
      </c>
      <c r="F5619" s="3" t="s">
        <v>14206</v>
      </c>
      <c r="H5619" s="3" t="s">
        <v>713</v>
      </c>
      <c r="K5619" s="2">
        <v>20</v>
      </c>
      <c r="L5619" s="2">
        <v>6</v>
      </c>
      <c r="M5619" s="3" t="s">
        <v>4685</v>
      </c>
      <c r="N5619" s="3" t="s">
        <v>13</v>
      </c>
      <c r="O5619" s="3" t="s">
        <v>14</v>
      </c>
      <c r="Q5619" s="30" t="str">
        <f t="shared" si="87"/>
        <v>MAX : 
TARGET : Yes(Pass)
MIN : No(Fail)</v>
      </c>
      <c r="R5619" s="3" t="s">
        <v>1638</v>
      </c>
    </row>
    <row r="5620" spans="2:18" ht="41.4" x14ac:dyDescent="0.3">
      <c r="B5620">
        <v>0</v>
      </c>
      <c r="C5620" s="33">
        <v>9273</v>
      </c>
      <c r="D5620" s="2">
        <v>1547</v>
      </c>
      <c r="E5620" s="2" t="s">
        <v>13476</v>
      </c>
      <c r="F5620" s="3" t="s">
        <v>14206</v>
      </c>
      <c r="H5620" s="3" t="s">
        <v>713</v>
      </c>
      <c r="K5620" s="2">
        <v>20</v>
      </c>
      <c r="L5620" s="2">
        <v>7</v>
      </c>
      <c r="M5620" s="3" t="s">
        <v>4686</v>
      </c>
      <c r="N5620" s="3" t="s">
        <v>13</v>
      </c>
      <c r="O5620" s="3" t="s">
        <v>14</v>
      </c>
      <c r="Q5620" s="30" t="str">
        <f t="shared" si="87"/>
        <v>MAX : 
TARGET : Yes(Pass)
MIN : No(Fail)</v>
      </c>
      <c r="R5620" s="3" t="s">
        <v>1638</v>
      </c>
    </row>
    <row r="5621" spans="2:18" ht="41.4" x14ac:dyDescent="0.3">
      <c r="B5621">
        <v>0</v>
      </c>
      <c r="C5621" s="33">
        <v>9273</v>
      </c>
      <c r="D5621" s="2">
        <v>1547</v>
      </c>
      <c r="E5621" s="2" t="s">
        <v>13476</v>
      </c>
      <c r="F5621" s="3" t="s">
        <v>14206</v>
      </c>
      <c r="H5621" s="3" t="s">
        <v>713</v>
      </c>
      <c r="K5621" s="2">
        <v>20</v>
      </c>
      <c r="L5621" s="2">
        <v>8</v>
      </c>
      <c r="M5621" s="3" t="s">
        <v>4687</v>
      </c>
      <c r="N5621" s="3" t="s">
        <v>13</v>
      </c>
      <c r="O5621" s="3" t="s">
        <v>14</v>
      </c>
      <c r="Q5621" s="30" t="str">
        <f t="shared" si="87"/>
        <v>MAX : 
TARGET : Yes(Pass)
MIN : No(Fail)</v>
      </c>
      <c r="R5621" s="3" t="s">
        <v>1638</v>
      </c>
    </row>
    <row r="5622" spans="2:18" ht="41.4" x14ac:dyDescent="0.3">
      <c r="B5622">
        <v>1</v>
      </c>
      <c r="C5622" s="33">
        <v>9232</v>
      </c>
      <c r="D5622" s="2">
        <v>2108</v>
      </c>
      <c r="E5622" s="2" t="s">
        <v>13252</v>
      </c>
      <c r="F5622" s="3" t="s">
        <v>14206</v>
      </c>
      <c r="H5622" s="3" t="s">
        <v>3533</v>
      </c>
      <c r="K5622" s="2">
        <v>30</v>
      </c>
      <c r="L5622" s="2">
        <v>1</v>
      </c>
      <c r="M5622" s="3" t="s">
        <v>3928</v>
      </c>
      <c r="N5622" s="3" t="s">
        <v>420</v>
      </c>
      <c r="O5622" s="3" t="s">
        <v>272</v>
      </c>
      <c r="P5622" s="3" t="s">
        <v>414</v>
      </c>
      <c r="Q5622" s="30" t="str">
        <f t="shared" si="87"/>
        <v>MAX : 1.03
TARGET : 1.00
MIN : 0.97</v>
      </c>
    </row>
    <row r="5623" spans="2:18" ht="41.4" x14ac:dyDescent="0.3">
      <c r="B5623">
        <v>1</v>
      </c>
      <c r="C5623" s="33">
        <v>9233</v>
      </c>
      <c r="D5623" s="2">
        <v>1526</v>
      </c>
      <c r="E5623" s="2" t="s">
        <v>13258</v>
      </c>
      <c r="F5623" s="3" t="s">
        <v>14206</v>
      </c>
      <c r="H5623" s="3" t="s">
        <v>1328</v>
      </c>
      <c r="K5623" s="2">
        <v>10</v>
      </c>
      <c r="L5623" s="2">
        <v>2</v>
      </c>
      <c r="M5623" s="3" t="s">
        <v>198</v>
      </c>
      <c r="N5623" s="3" t="s">
        <v>644</v>
      </c>
      <c r="O5623" s="3" t="s">
        <v>5572</v>
      </c>
      <c r="P5623" s="3" t="s">
        <v>5573</v>
      </c>
      <c r="Q5623" s="30" t="str">
        <f t="shared" si="87"/>
        <v>MAX : 0.228
TARGET : 0.223
MIN : 0.218</v>
      </c>
    </row>
    <row r="5624" spans="2:18" ht="41.4" x14ac:dyDescent="0.3">
      <c r="B5624">
        <v>0</v>
      </c>
      <c r="C5624" s="33">
        <v>9274</v>
      </c>
      <c r="D5624" s="2">
        <v>1548</v>
      </c>
      <c r="E5624" s="2" t="s">
        <v>13483</v>
      </c>
      <c r="F5624" s="3" t="s">
        <v>14206</v>
      </c>
      <c r="H5624" s="3" t="s">
        <v>600</v>
      </c>
      <c r="K5624" s="2">
        <v>20</v>
      </c>
      <c r="L5624" s="2">
        <v>1</v>
      </c>
      <c r="M5624" s="3" t="s">
        <v>194</v>
      </c>
      <c r="N5624" s="3" t="s">
        <v>2201</v>
      </c>
      <c r="O5624" s="3" t="s">
        <v>386</v>
      </c>
      <c r="P5624" s="3" t="s">
        <v>4230</v>
      </c>
      <c r="Q5624" s="30" t="str">
        <f t="shared" si="87"/>
        <v>MAX : 1.64
TARGET : 1.62
MIN : 1.60</v>
      </c>
    </row>
    <row r="5625" spans="2:18" ht="41.4" x14ac:dyDescent="0.3">
      <c r="B5625">
        <v>0</v>
      </c>
      <c r="C5625" s="33">
        <v>9274</v>
      </c>
      <c r="D5625" s="2">
        <v>1548</v>
      </c>
      <c r="E5625" s="2" t="s">
        <v>13483</v>
      </c>
      <c r="F5625" s="3" t="s">
        <v>14206</v>
      </c>
      <c r="H5625" s="3" t="s">
        <v>600</v>
      </c>
      <c r="K5625" s="2">
        <v>20</v>
      </c>
      <c r="L5625" s="2">
        <v>2</v>
      </c>
      <c r="M5625" s="3" t="s">
        <v>198</v>
      </c>
      <c r="N5625" s="3" t="s">
        <v>1840</v>
      </c>
      <c r="O5625" s="3" t="s">
        <v>5737</v>
      </c>
      <c r="P5625" s="3" t="s">
        <v>5738</v>
      </c>
      <c r="Q5625" s="30" t="str">
        <f t="shared" si="87"/>
        <v>MAX : 0.86
TARGET : 0.84
MIN : 0.82</v>
      </c>
    </row>
    <row r="5626" spans="2:18" ht="41.4" x14ac:dyDescent="0.3">
      <c r="B5626">
        <v>0</v>
      </c>
      <c r="C5626" s="33">
        <v>9274</v>
      </c>
      <c r="D5626" s="2">
        <v>1548</v>
      </c>
      <c r="E5626" s="2" t="s">
        <v>13483</v>
      </c>
      <c r="F5626" s="3" t="s">
        <v>14206</v>
      </c>
      <c r="H5626" s="3" t="s">
        <v>600</v>
      </c>
      <c r="K5626" s="2">
        <v>20</v>
      </c>
      <c r="L5626" s="2">
        <v>3</v>
      </c>
      <c r="M5626" s="3" t="s">
        <v>3129</v>
      </c>
      <c r="N5626" s="3" t="s">
        <v>13</v>
      </c>
      <c r="O5626" s="3" t="s">
        <v>14</v>
      </c>
      <c r="Q5626" s="30" t="str">
        <f t="shared" si="87"/>
        <v>MAX : 
TARGET : Yes(Pass)
MIN : No(Fail)</v>
      </c>
    </row>
    <row r="5627" spans="2:18" ht="41.4" x14ac:dyDescent="0.3">
      <c r="B5627">
        <v>0</v>
      </c>
      <c r="C5627" s="33">
        <v>9274</v>
      </c>
      <c r="D5627" s="2">
        <v>1548</v>
      </c>
      <c r="E5627" s="2" t="s">
        <v>13483</v>
      </c>
      <c r="F5627" s="3" t="s">
        <v>14206</v>
      </c>
      <c r="H5627" s="3" t="s">
        <v>600</v>
      </c>
      <c r="K5627" s="2">
        <v>30</v>
      </c>
      <c r="L5627" s="2">
        <v>1</v>
      </c>
      <c r="M5627" s="3" t="s">
        <v>3130</v>
      </c>
      <c r="N5627" s="3" t="s">
        <v>13</v>
      </c>
      <c r="O5627" s="3" t="s">
        <v>14</v>
      </c>
      <c r="Q5627" s="30" t="str">
        <f t="shared" si="87"/>
        <v>MAX : 
TARGET : Yes(Pass)
MIN : No(Fail)</v>
      </c>
    </row>
    <row r="5628" spans="2:18" ht="41.4" x14ac:dyDescent="0.3">
      <c r="B5628">
        <v>1</v>
      </c>
      <c r="C5628" s="33">
        <v>9233</v>
      </c>
      <c r="D5628" s="2">
        <v>1526</v>
      </c>
      <c r="E5628" s="2" t="s">
        <v>13258</v>
      </c>
      <c r="F5628" s="3" t="s">
        <v>14206</v>
      </c>
      <c r="H5628" s="3" t="s">
        <v>1328</v>
      </c>
      <c r="K5628" s="2">
        <v>10</v>
      </c>
      <c r="L5628" s="2">
        <v>1</v>
      </c>
      <c r="M5628" s="3" t="s">
        <v>194</v>
      </c>
      <c r="N5628" s="3" t="s">
        <v>5570</v>
      </c>
      <c r="O5628" s="3" t="s">
        <v>3462</v>
      </c>
      <c r="P5628" s="3" t="s">
        <v>5571</v>
      </c>
      <c r="Q5628" s="30" t="str">
        <f t="shared" si="87"/>
        <v>MAX : 0.792
TARGET : 0.787
MIN : 0.782</v>
      </c>
    </row>
    <row r="5629" spans="2:18" ht="41.4" x14ac:dyDescent="0.3">
      <c r="B5629">
        <v>1</v>
      </c>
      <c r="C5629" s="33">
        <v>9234</v>
      </c>
      <c r="D5629" s="2">
        <v>1527</v>
      </c>
      <c r="E5629" s="2" t="s">
        <v>13264</v>
      </c>
      <c r="F5629" s="3" t="s">
        <v>14206</v>
      </c>
      <c r="H5629" s="3" t="s">
        <v>1328</v>
      </c>
      <c r="K5629" s="2">
        <v>10</v>
      </c>
      <c r="L5629" s="2">
        <v>2</v>
      </c>
      <c r="M5629" s="3" t="s">
        <v>198</v>
      </c>
      <c r="N5629" s="3" t="s">
        <v>276</v>
      </c>
      <c r="O5629" s="3" t="s">
        <v>1345</v>
      </c>
      <c r="P5629" s="3" t="s">
        <v>3737</v>
      </c>
      <c r="Q5629" s="30" t="str">
        <f t="shared" si="87"/>
        <v>MAX : 0.385
TARGET : 0.380
MIN : 0.375</v>
      </c>
    </row>
    <row r="5630" spans="2:18" ht="41.4" x14ac:dyDescent="0.3">
      <c r="B5630">
        <v>0</v>
      </c>
      <c r="C5630" s="33">
        <v>9275</v>
      </c>
      <c r="D5630" s="2">
        <v>1549</v>
      </c>
      <c r="E5630" s="2" t="s">
        <v>13489</v>
      </c>
      <c r="F5630" s="3" t="s">
        <v>14206</v>
      </c>
      <c r="H5630" s="3" t="s">
        <v>600</v>
      </c>
      <c r="K5630" s="2">
        <v>20</v>
      </c>
      <c r="L5630" s="2">
        <v>1</v>
      </c>
      <c r="M5630" s="3" t="s">
        <v>194</v>
      </c>
      <c r="N5630" s="3" t="s">
        <v>3127</v>
      </c>
      <c r="O5630" s="3" t="s">
        <v>1906</v>
      </c>
      <c r="P5630" s="3" t="s">
        <v>1151</v>
      </c>
      <c r="Q5630" s="30" t="str">
        <f t="shared" si="87"/>
        <v>MAX : 1.45
TARGET : 1.43
MIN : 1.41</v>
      </c>
    </row>
    <row r="5631" spans="2:18" ht="41.4" x14ac:dyDescent="0.3">
      <c r="B5631">
        <v>0</v>
      </c>
      <c r="C5631" s="33">
        <v>9275</v>
      </c>
      <c r="D5631" s="2">
        <v>1549</v>
      </c>
      <c r="E5631" s="2" t="s">
        <v>13489</v>
      </c>
      <c r="F5631" s="3" t="s">
        <v>14206</v>
      </c>
      <c r="H5631" s="3" t="s">
        <v>600</v>
      </c>
      <c r="K5631" s="2">
        <v>20</v>
      </c>
      <c r="L5631" s="2">
        <v>2</v>
      </c>
      <c r="M5631" s="3" t="s">
        <v>198</v>
      </c>
      <c r="N5631" s="3" t="s">
        <v>2011</v>
      </c>
      <c r="O5631" s="3" t="s">
        <v>1702</v>
      </c>
      <c r="P5631" s="3" t="s">
        <v>2498</v>
      </c>
      <c r="Q5631" s="30" t="str">
        <f t="shared" si="87"/>
        <v>MAX : 0.61
TARGET : 0.59
MIN : 0.57</v>
      </c>
    </row>
    <row r="5632" spans="2:18" ht="41.4" x14ac:dyDescent="0.3">
      <c r="B5632">
        <v>0</v>
      </c>
      <c r="C5632" s="33">
        <v>9275</v>
      </c>
      <c r="D5632" s="2">
        <v>1549</v>
      </c>
      <c r="E5632" s="2" t="s">
        <v>13489</v>
      </c>
      <c r="F5632" s="3" t="s">
        <v>14206</v>
      </c>
      <c r="H5632" s="3" t="s">
        <v>600</v>
      </c>
      <c r="K5632" s="2">
        <v>20</v>
      </c>
      <c r="L5632" s="2">
        <v>3</v>
      </c>
      <c r="M5632" s="3" t="s">
        <v>3129</v>
      </c>
      <c r="N5632" s="3" t="s">
        <v>13</v>
      </c>
      <c r="O5632" s="3" t="s">
        <v>14</v>
      </c>
      <c r="Q5632" s="30" t="str">
        <f t="shared" si="87"/>
        <v>MAX : 
TARGET : Yes(Pass)
MIN : No(Fail)</v>
      </c>
    </row>
    <row r="5633" spans="2:17" ht="41.4" x14ac:dyDescent="0.3">
      <c r="B5633">
        <v>0</v>
      </c>
      <c r="C5633" s="33">
        <v>9275</v>
      </c>
      <c r="D5633" s="2">
        <v>1549</v>
      </c>
      <c r="E5633" s="2" t="s">
        <v>13489</v>
      </c>
      <c r="F5633" s="3" t="s">
        <v>14206</v>
      </c>
      <c r="H5633" s="3" t="s">
        <v>600</v>
      </c>
      <c r="K5633" s="2">
        <v>30</v>
      </c>
      <c r="L5633" s="2">
        <v>1</v>
      </c>
      <c r="M5633" s="3" t="s">
        <v>3130</v>
      </c>
      <c r="N5633" s="3" t="s">
        <v>13</v>
      </c>
      <c r="O5633" s="3" t="s">
        <v>14</v>
      </c>
      <c r="Q5633" s="30" t="str">
        <f t="shared" si="87"/>
        <v>MAX : 
TARGET : Yes(Pass)
MIN : No(Fail)</v>
      </c>
    </row>
    <row r="5634" spans="2:17" ht="41.4" x14ac:dyDescent="0.3">
      <c r="B5634">
        <v>1</v>
      </c>
      <c r="C5634" s="33">
        <v>9234</v>
      </c>
      <c r="D5634" s="2">
        <v>1527</v>
      </c>
      <c r="E5634" s="2" t="s">
        <v>13264</v>
      </c>
      <c r="F5634" s="3" t="s">
        <v>14206</v>
      </c>
      <c r="H5634" s="3" t="s">
        <v>1328</v>
      </c>
      <c r="K5634" s="2">
        <v>10</v>
      </c>
      <c r="L5634" s="2">
        <v>5</v>
      </c>
      <c r="M5634" s="3" t="s">
        <v>1666</v>
      </c>
      <c r="N5634" s="3" t="s">
        <v>717</v>
      </c>
      <c r="O5634" s="3" t="s">
        <v>5406</v>
      </c>
      <c r="P5634" s="3" t="s">
        <v>3085</v>
      </c>
      <c r="Q5634" s="30" t="str">
        <f t="shared" ref="Q5634:Q5697" si="88">"MAX : " &amp; P5634 &amp; CHAR(10) &amp; "TARGET : " &amp; O5634 &amp; CHAR(10) &amp; "MIN : " &amp; N5634</f>
        <v>MAX : 0.075
TARGET : 0.070
MIN : 0.065</v>
      </c>
    </row>
    <row r="5635" spans="2:17" ht="41.4" x14ac:dyDescent="0.3">
      <c r="B5635">
        <v>1</v>
      </c>
      <c r="C5635" s="33">
        <v>9234</v>
      </c>
      <c r="D5635" s="2">
        <v>1527</v>
      </c>
      <c r="E5635" s="2" t="s">
        <v>13264</v>
      </c>
      <c r="F5635" s="3" t="s">
        <v>14206</v>
      </c>
      <c r="H5635" s="3" t="s">
        <v>1328</v>
      </c>
      <c r="K5635" s="2">
        <v>10</v>
      </c>
      <c r="L5635" s="2">
        <v>1</v>
      </c>
      <c r="M5635" s="3" t="s">
        <v>194</v>
      </c>
      <c r="N5635" s="3" t="s">
        <v>597</v>
      </c>
      <c r="O5635" s="3" t="s">
        <v>5574</v>
      </c>
      <c r="P5635" s="3" t="s">
        <v>5575</v>
      </c>
      <c r="Q5635" s="30" t="str">
        <f t="shared" si="88"/>
        <v>MAX : 1.166
TARGET : 1.161
MIN : 1.156</v>
      </c>
    </row>
    <row r="5636" spans="2:17" ht="41.4" x14ac:dyDescent="0.3">
      <c r="B5636">
        <v>0</v>
      </c>
      <c r="C5636" s="33">
        <v>9276</v>
      </c>
      <c r="D5636" s="2">
        <v>1550</v>
      </c>
      <c r="E5636" s="2" t="s">
        <v>13495</v>
      </c>
      <c r="F5636" s="3" t="s">
        <v>14206</v>
      </c>
      <c r="H5636" s="3" t="s">
        <v>108</v>
      </c>
      <c r="I5636" s="3" t="s">
        <v>575</v>
      </c>
      <c r="K5636" s="2">
        <v>20</v>
      </c>
      <c r="L5636" s="2">
        <v>3</v>
      </c>
      <c r="M5636" s="3" t="s">
        <v>569</v>
      </c>
      <c r="N5636" s="3" t="s">
        <v>5742</v>
      </c>
      <c r="O5636" s="3" t="s">
        <v>213</v>
      </c>
      <c r="P5636" s="3" t="s">
        <v>5743</v>
      </c>
      <c r="Q5636" s="30" t="str">
        <f t="shared" si="88"/>
        <v>MAX : 6.015
TARGET : 6.000
MIN : 5.985</v>
      </c>
    </row>
    <row r="5637" spans="2:17" ht="41.4" x14ac:dyDescent="0.3">
      <c r="B5637">
        <v>0</v>
      </c>
      <c r="C5637" s="33">
        <v>9276</v>
      </c>
      <c r="D5637" s="2">
        <v>1550</v>
      </c>
      <c r="E5637" s="2" t="s">
        <v>13495</v>
      </c>
      <c r="F5637" s="3" t="s">
        <v>14206</v>
      </c>
      <c r="H5637" s="3" t="s">
        <v>108</v>
      </c>
      <c r="I5637" s="3" t="s">
        <v>575</v>
      </c>
      <c r="K5637" s="2">
        <v>20</v>
      </c>
      <c r="L5637" s="2">
        <v>4</v>
      </c>
      <c r="M5637" s="3" t="s">
        <v>5744</v>
      </c>
      <c r="N5637" s="3" t="s">
        <v>3621</v>
      </c>
      <c r="O5637" s="3" t="s">
        <v>241</v>
      </c>
      <c r="P5637" s="3" t="s">
        <v>4852</v>
      </c>
      <c r="Q5637" s="30" t="str">
        <f t="shared" si="88"/>
        <v>MAX : 0.140
TARGET : 0.125
MIN : 0.110</v>
      </c>
    </row>
    <row r="5638" spans="2:17" ht="41.4" x14ac:dyDescent="0.3">
      <c r="B5638">
        <v>0</v>
      </c>
      <c r="C5638" s="33">
        <v>9276</v>
      </c>
      <c r="D5638" s="2">
        <v>1550</v>
      </c>
      <c r="E5638" s="2" t="s">
        <v>13495</v>
      </c>
      <c r="F5638" s="3" t="s">
        <v>14206</v>
      </c>
      <c r="H5638" s="3" t="s">
        <v>108</v>
      </c>
      <c r="I5638" s="3" t="s">
        <v>575</v>
      </c>
      <c r="K5638" s="2">
        <v>20</v>
      </c>
      <c r="L5638" s="2">
        <v>5</v>
      </c>
      <c r="M5638" s="3" t="s">
        <v>5745</v>
      </c>
      <c r="N5638" s="3" t="s">
        <v>3621</v>
      </c>
      <c r="O5638" s="3" t="s">
        <v>241</v>
      </c>
      <c r="P5638" s="3" t="s">
        <v>4852</v>
      </c>
      <c r="Q5638" s="30" t="str">
        <f t="shared" si="88"/>
        <v>MAX : 0.140
TARGET : 0.125
MIN : 0.110</v>
      </c>
    </row>
    <row r="5639" spans="2:17" ht="41.4" x14ac:dyDescent="0.3">
      <c r="B5639">
        <v>0</v>
      </c>
      <c r="C5639" s="33">
        <v>9276</v>
      </c>
      <c r="D5639" s="2">
        <v>1550</v>
      </c>
      <c r="E5639" s="2" t="s">
        <v>13495</v>
      </c>
      <c r="F5639" s="3" t="s">
        <v>14206</v>
      </c>
      <c r="H5639" s="3" t="s">
        <v>108</v>
      </c>
      <c r="I5639" s="3" t="s">
        <v>575</v>
      </c>
      <c r="K5639" s="2">
        <v>20</v>
      </c>
      <c r="L5639" s="2">
        <v>6</v>
      </c>
      <c r="M5639" s="3" t="s">
        <v>5746</v>
      </c>
      <c r="N5639" s="3" t="s">
        <v>13</v>
      </c>
      <c r="O5639" s="3" t="s">
        <v>14</v>
      </c>
      <c r="Q5639" s="30" t="str">
        <f t="shared" si="88"/>
        <v>MAX : 
TARGET : Yes(Pass)
MIN : No(Fail)</v>
      </c>
    </row>
    <row r="5640" spans="2:17" ht="41.4" x14ac:dyDescent="0.3">
      <c r="B5640">
        <v>1</v>
      </c>
      <c r="C5640" s="33">
        <v>9234</v>
      </c>
      <c r="D5640" s="2">
        <v>1527</v>
      </c>
      <c r="E5640" s="2" t="s">
        <v>13264</v>
      </c>
      <c r="F5640" s="3" t="s">
        <v>14206</v>
      </c>
      <c r="H5640" s="3" t="s">
        <v>1328</v>
      </c>
      <c r="K5640" s="2">
        <v>10</v>
      </c>
      <c r="L5640" s="2">
        <v>3</v>
      </c>
      <c r="M5640" s="3" t="s">
        <v>3314</v>
      </c>
      <c r="N5640" s="3" t="s">
        <v>5578</v>
      </c>
      <c r="O5640" s="3" t="s">
        <v>3463</v>
      </c>
      <c r="P5640" s="3" t="s">
        <v>4846</v>
      </c>
      <c r="Q5640" s="30" t="str">
        <f t="shared" si="88"/>
        <v>MAX : 0.812
TARGET : 0.807
MIN : 0.802</v>
      </c>
    </row>
    <row r="5641" spans="2:17" ht="41.4" x14ac:dyDescent="0.3">
      <c r="B5641">
        <v>1</v>
      </c>
      <c r="C5641" s="33">
        <v>9234</v>
      </c>
      <c r="D5641" s="2">
        <v>1527</v>
      </c>
      <c r="E5641" s="2" t="s">
        <v>13264</v>
      </c>
      <c r="F5641" s="3" t="s">
        <v>14206</v>
      </c>
      <c r="H5641" s="3" t="s">
        <v>1328</v>
      </c>
      <c r="K5641" s="2">
        <v>10</v>
      </c>
      <c r="L5641" s="2">
        <v>4</v>
      </c>
      <c r="M5641" s="3" t="s">
        <v>3426</v>
      </c>
      <c r="N5641" s="3" t="s">
        <v>5579</v>
      </c>
      <c r="O5641" s="3" t="s">
        <v>5580</v>
      </c>
      <c r="P5641" s="3" t="s">
        <v>645</v>
      </c>
      <c r="Q5641" s="30" t="str">
        <f t="shared" si="88"/>
        <v>MAX : 0.248
TARGET : 0.243
MIN : 0.238</v>
      </c>
    </row>
    <row r="5642" spans="2:17" ht="41.4" x14ac:dyDescent="0.3">
      <c r="B5642">
        <v>0</v>
      </c>
      <c r="C5642" s="33">
        <v>9278</v>
      </c>
      <c r="D5642" s="2">
        <v>1552</v>
      </c>
      <c r="E5642" s="2" t="s">
        <v>6348</v>
      </c>
      <c r="F5642" s="3" t="s">
        <v>14206</v>
      </c>
      <c r="H5642" s="3" t="s">
        <v>73</v>
      </c>
      <c r="K5642" s="2">
        <v>10</v>
      </c>
      <c r="L5642" s="2">
        <v>3</v>
      </c>
      <c r="M5642" s="3" t="s">
        <v>78</v>
      </c>
      <c r="N5642" s="3" t="s">
        <v>24</v>
      </c>
      <c r="O5642" s="3" t="s">
        <v>25</v>
      </c>
      <c r="Q5642" s="30" t="str">
        <f t="shared" si="88"/>
        <v>MAX : 
TARGET : Yes (Pass)
MIN : No (Fail)</v>
      </c>
    </row>
    <row r="5643" spans="2:17" ht="41.4" x14ac:dyDescent="0.3">
      <c r="B5643">
        <v>1</v>
      </c>
      <c r="C5643" s="33">
        <v>9235</v>
      </c>
      <c r="D5643" s="2">
        <v>1528</v>
      </c>
      <c r="E5643" s="2" t="s">
        <v>13270</v>
      </c>
      <c r="F5643" s="3" t="s">
        <v>14206</v>
      </c>
      <c r="H5643" s="3" t="s">
        <v>1328</v>
      </c>
      <c r="K5643" s="2">
        <v>10</v>
      </c>
      <c r="L5643" s="2">
        <v>2</v>
      </c>
      <c r="M5643" s="3" t="s">
        <v>198</v>
      </c>
      <c r="N5643" s="3" t="s">
        <v>5586</v>
      </c>
      <c r="O5643" s="3" t="s">
        <v>5587</v>
      </c>
      <c r="P5643" s="3" t="s">
        <v>5588</v>
      </c>
      <c r="Q5643" s="30" t="str">
        <f t="shared" si="88"/>
        <v>MAX : 1.003
TARGET : 0.998
MIN : 0.993</v>
      </c>
    </row>
    <row r="5644" spans="2:17" ht="41.4" x14ac:dyDescent="0.3">
      <c r="B5644">
        <v>1</v>
      </c>
      <c r="C5644" s="33">
        <v>9235</v>
      </c>
      <c r="D5644" s="2">
        <v>1528</v>
      </c>
      <c r="E5644" s="2" t="s">
        <v>13270</v>
      </c>
      <c r="F5644" s="3" t="s">
        <v>14206</v>
      </c>
      <c r="H5644" s="3" t="s">
        <v>1328</v>
      </c>
      <c r="K5644" s="2">
        <v>10</v>
      </c>
      <c r="L5644" s="2">
        <v>1</v>
      </c>
      <c r="M5644" s="3" t="s">
        <v>194</v>
      </c>
      <c r="N5644" s="3" t="s">
        <v>5583</v>
      </c>
      <c r="O5644" s="3" t="s">
        <v>5584</v>
      </c>
      <c r="P5644" s="3" t="s">
        <v>5585</v>
      </c>
      <c r="Q5644" s="30" t="str">
        <f t="shared" si="88"/>
        <v>MAX : 2.384
TARGET : 2.379
MIN : 2.374</v>
      </c>
    </row>
    <row r="5645" spans="2:17" ht="41.4" x14ac:dyDescent="0.3">
      <c r="B5645">
        <v>0</v>
      </c>
      <c r="C5645" s="33">
        <v>9279</v>
      </c>
      <c r="D5645" s="2">
        <v>2123</v>
      </c>
      <c r="E5645" s="2" t="s">
        <v>12756</v>
      </c>
      <c r="F5645" s="3" t="s">
        <v>14207</v>
      </c>
      <c r="H5645" s="3" t="s">
        <v>289</v>
      </c>
      <c r="K5645" s="2">
        <v>20</v>
      </c>
      <c r="L5645" s="2">
        <v>3</v>
      </c>
      <c r="M5645" s="3" t="s">
        <v>5749</v>
      </c>
      <c r="N5645" s="3" t="s">
        <v>1352</v>
      </c>
      <c r="O5645" s="3" t="s">
        <v>1356</v>
      </c>
      <c r="P5645" s="3" t="s">
        <v>1158</v>
      </c>
      <c r="Q5645" s="30" t="str">
        <f t="shared" si="88"/>
        <v>MAX : 11.5
TARGET : 10.0
MIN : 8.5</v>
      </c>
    </row>
    <row r="5646" spans="2:17" ht="41.4" x14ac:dyDescent="0.3">
      <c r="B5646">
        <v>0</v>
      </c>
      <c r="C5646" s="33">
        <v>9279</v>
      </c>
      <c r="D5646" s="2">
        <v>2123</v>
      </c>
      <c r="E5646" s="2" t="s">
        <v>12756</v>
      </c>
      <c r="F5646" s="3" t="s">
        <v>14207</v>
      </c>
      <c r="H5646" s="3" t="s">
        <v>289</v>
      </c>
      <c r="K5646" s="2">
        <v>20</v>
      </c>
      <c r="L5646" s="2">
        <v>4</v>
      </c>
      <c r="M5646" s="3" t="s">
        <v>5098</v>
      </c>
      <c r="N5646" s="3" t="s">
        <v>13</v>
      </c>
      <c r="O5646" s="3" t="s">
        <v>14</v>
      </c>
      <c r="Q5646" s="30" t="str">
        <f t="shared" si="88"/>
        <v>MAX : 
TARGET : Yes(Pass)
MIN : No(Fail)</v>
      </c>
    </row>
    <row r="5647" spans="2:17" ht="41.4" x14ac:dyDescent="0.3">
      <c r="B5647">
        <v>1</v>
      </c>
      <c r="C5647" s="33">
        <v>9236</v>
      </c>
      <c r="D5647" s="2">
        <v>1529</v>
      </c>
      <c r="E5647" s="2" t="s">
        <v>13276</v>
      </c>
      <c r="F5647" s="3" t="s">
        <v>14206</v>
      </c>
      <c r="H5647" s="3" t="s">
        <v>1328</v>
      </c>
      <c r="K5647" s="2">
        <v>10</v>
      </c>
      <c r="L5647" s="2">
        <v>2</v>
      </c>
      <c r="M5647" s="3" t="s">
        <v>198</v>
      </c>
      <c r="N5647" s="3" t="s">
        <v>5598</v>
      </c>
      <c r="O5647" s="3" t="s">
        <v>5599</v>
      </c>
      <c r="P5647" s="3" t="s">
        <v>5600</v>
      </c>
      <c r="Q5647" s="30" t="str">
        <f t="shared" si="88"/>
        <v>MAX : 0.762
TARGET : 0.757
MIN : 0.752</v>
      </c>
    </row>
    <row r="5648" spans="2:17" ht="41.4" x14ac:dyDescent="0.3">
      <c r="B5648">
        <v>1</v>
      </c>
      <c r="C5648" s="33">
        <v>9236</v>
      </c>
      <c r="D5648" s="2">
        <v>1529</v>
      </c>
      <c r="E5648" s="2" t="s">
        <v>13276</v>
      </c>
      <c r="F5648" s="3" t="s">
        <v>14206</v>
      </c>
      <c r="H5648" s="3" t="s">
        <v>1328</v>
      </c>
      <c r="K5648" s="2">
        <v>10</v>
      </c>
      <c r="L5648" s="2">
        <v>1</v>
      </c>
      <c r="M5648" s="3" t="s">
        <v>194</v>
      </c>
      <c r="N5648" s="3" t="s">
        <v>5595</v>
      </c>
      <c r="O5648" s="3" t="s">
        <v>5596</v>
      </c>
      <c r="P5648" s="3" t="s">
        <v>5597</v>
      </c>
      <c r="Q5648" s="30" t="str">
        <f t="shared" si="88"/>
        <v>MAX : 2.147
TARGET : 2.142
MIN : 2.137</v>
      </c>
    </row>
    <row r="5649" spans="2:17" ht="41.4" x14ac:dyDescent="0.3">
      <c r="B5649">
        <v>1</v>
      </c>
      <c r="C5649" s="33">
        <v>9237</v>
      </c>
      <c r="D5649" s="2">
        <v>1530</v>
      </c>
      <c r="E5649" s="2" t="s">
        <v>13282</v>
      </c>
      <c r="F5649" s="3" t="s">
        <v>14206</v>
      </c>
      <c r="H5649" s="3" t="s">
        <v>5614</v>
      </c>
      <c r="K5649" s="2">
        <v>20</v>
      </c>
      <c r="L5649" s="2">
        <v>2</v>
      </c>
      <c r="M5649" s="3" t="s">
        <v>198</v>
      </c>
      <c r="N5649" s="3" t="s">
        <v>5616</v>
      </c>
      <c r="O5649" s="3" t="s">
        <v>2106</v>
      </c>
      <c r="P5649" s="3" t="s">
        <v>2107</v>
      </c>
      <c r="Q5649" s="30" t="str">
        <f t="shared" si="88"/>
        <v>MAX : 2.28
TARGET : 2.22
MIN : 2.16</v>
      </c>
    </row>
    <row r="5650" spans="2:17" ht="41.4" x14ac:dyDescent="0.3">
      <c r="B5650">
        <v>1</v>
      </c>
      <c r="C5650" s="33">
        <v>9237</v>
      </c>
      <c r="D5650" s="2">
        <v>1530</v>
      </c>
      <c r="E5650" s="2" t="s">
        <v>13282</v>
      </c>
      <c r="F5650" s="3" t="s">
        <v>14206</v>
      </c>
      <c r="H5650" s="3" t="s">
        <v>5614</v>
      </c>
      <c r="K5650" s="2">
        <v>20</v>
      </c>
      <c r="L5650" s="2">
        <v>1</v>
      </c>
      <c r="M5650" s="3" t="s">
        <v>194</v>
      </c>
      <c r="N5650" s="3" t="s">
        <v>3121</v>
      </c>
      <c r="O5650" s="3" t="s">
        <v>5192</v>
      </c>
      <c r="P5650" s="3" t="s">
        <v>5615</v>
      </c>
      <c r="Q5650" s="30" t="str">
        <f t="shared" si="88"/>
        <v>MAX : 6.82
TARGET : 6.76
MIN : 6.70</v>
      </c>
    </row>
    <row r="5651" spans="2:17" ht="41.4" x14ac:dyDescent="0.3">
      <c r="B5651">
        <v>1</v>
      </c>
      <c r="C5651" s="33">
        <v>9238</v>
      </c>
      <c r="D5651" s="2">
        <v>2109</v>
      </c>
      <c r="E5651" s="2" t="s">
        <v>13289</v>
      </c>
      <c r="F5651" s="3" t="s">
        <v>14206</v>
      </c>
      <c r="H5651" s="3" t="s">
        <v>11</v>
      </c>
      <c r="K5651" s="2">
        <v>10</v>
      </c>
      <c r="L5651" s="2">
        <v>2</v>
      </c>
      <c r="M5651" s="3" t="s">
        <v>872</v>
      </c>
      <c r="N5651" s="3" t="s">
        <v>13</v>
      </c>
      <c r="O5651" s="3" t="s">
        <v>14</v>
      </c>
      <c r="Q5651" s="30" t="str">
        <f t="shared" si="88"/>
        <v>MAX : 
TARGET : Yes(Pass)
MIN : No(Fail)</v>
      </c>
    </row>
    <row r="5652" spans="2:17" ht="41.4" x14ac:dyDescent="0.3">
      <c r="B5652">
        <v>1</v>
      </c>
      <c r="C5652" s="33">
        <v>9238</v>
      </c>
      <c r="D5652" s="2">
        <v>2109</v>
      </c>
      <c r="E5652" s="2" t="s">
        <v>13289</v>
      </c>
      <c r="F5652" s="3" t="s">
        <v>14206</v>
      </c>
      <c r="H5652" s="3" t="s">
        <v>11</v>
      </c>
      <c r="K5652" s="2">
        <v>10</v>
      </c>
      <c r="L5652" s="2">
        <v>1</v>
      </c>
      <c r="M5652" s="3" t="s">
        <v>5716</v>
      </c>
      <c r="N5652" s="3" t="s">
        <v>863</v>
      </c>
      <c r="O5652" s="3" t="s">
        <v>8</v>
      </c>
      <c r="P5652" s="3" t="s">
        <v>865</v>
      </c>
      <c r="Q5652" s="30" t="str">
        <f t="shared" si="88"/>
        <v>MAX : +0.03
TARGET : Target
MIN : -0.03</v>
      </c>
    </row>
    <row r="5653" spans="2:17" ht="41.4" x14ac:dyDescent="0.3">
      <c r="B5653">
        <v>0</v>
      </c>
      <c r="C5653" s="33">
        <v>9281</v>
      </c>
      <c r="D5653" s="2">
        <v>1553</v>
      </c>
      <c r="E5653" s="2" t="s">
        <v>13522</v>
      </c>
      <c r="F5653" s="3" t="s">
        <v>14206</v>
      </c>
      <c r="H5653" s="3" t="s">
        <v>600</v>
      </c>
      <c r="K5653" s="2">
        <v>10</v>
      </c>
      <c r="L5653" s="2">
        <v>3</v>
      </c>
      <c r="M5653" s="3" t="s">
        <v>78</v>
      </c>
      <c r="N5653" s="3" t="s">
        <v>13</v>
      </c>
      <c r="O5653" s="3" t="s">
        <v>14</v>
      </c>
      <c r="Q5653" s="30" t="str">
        <f t="shared" si="88"/>
        <v>MAX : 
TARGET : Yes(Pass)
MIN : No(Fail)</v>
      </c>
    </row>
    <row r="5654" spans="2:17" ht="41.4" x14ac:dyDescent="0.3">
      <c r="B5654">
        <v>1</v>
      </c>
      <c r="C5654" s="33">
        <v>9239</v>
      </c>
      <c r="D5654" s="2">
        <v>1531</v>
      </c>
      <c r="E5654" s="2" t="s">
        <v>13296</v>
      </c>
      <c r="F5654" s="3" t="s">
        <v>14206</v>
      </c>
      <c r="H5654" s="3" t="s">
        <v>1332</v>
      </c>
      <c r="K5654" s="2">
        <v>10</v>
      </c>
      <c r="L5654" s="2">
        <v>3</v>
      </c>
      <c r="M5654" s="3" t="s">
        <v>99</v>
      </c>
      <c r="N5654" s="3" t="s">
        <v>1173</v>
      </c>
      <c r="O5654" s="3" t="s">
        <v>250</v>
      </c>
      <c r="P5654" s="3" t="s">
        <v>1174</v>
      </c>
      <c r="Q5654" s="30" t="str">
        <f t="shared" si="88"/>
        <v>MAX : 6.06
TARGET : 6.00
MIN : 5.94</v>
      </c>
    </row>
    <row r="5655" spans="2:17" ht="41.4" x14ac:dyDescent="0.3">
      <c r="B5655">
        <v>1</v>
      </c>
      <c r="C5655" s="33">
        <v>9239</v>
      </c>
      <c r="D5655" s="2">
        <v>1531</v>
      </c>
      <c r="E5655" s="2" t="s">
        <v>13296</v>
      </c>
      <c r="F5655" s="3" t="s">
        <v>14206</v>
      </c>
      <c r="H5655" s="3" t="s">
        <v>1332</v>
      </c>
      <c r="K5655" s="2">
        <v>10</v>
      </c>
      <c r="L5655" s="2">
        <v>2</v>
      </c>
      <c r="M5655" s="3" t="s">
        <v>1172</v>
      </c>
      <c r="N5655" s="3" t="s">
        <v>13</v>
      </c>
      <c r="O5655" s="3" t="s">
        <v>14</v>
      </c>
      <c r="Q5655" s="30" t="str">
        <f t="shared" si="88"/>
        <v>MAX : 
TARGET : Yes(Pass)
MIN : No(Fail)</v>
      </c>
    </row>
    <row r="5656" spans="2:17" ht="41.4" x14ac:dyDescent="0.3">
      <c r="B5656">
        <v>0</v>
      </c>
      <c r="C5656" s="33">
        <v>9282</v>
      </c>
      <c r="D5656" s="2">
        <v>1554</v>
      </c>
      <c r="E5656" s="2" t="s">
        <v>13528</v>
      </c>
      <c r="F5656" s="3" t="s">
        <v>14206</v>
      </c>
      <c r="H5656" s="3" t="s">
        <v>600</v>
      </c>
      <c r="K5656" s="2">
        <v>10</v>
      </c>
      <c r="L5656" s="2">
        <v>3</v>
      </c>
      <c r="M5656" s="3" t="s">
        <v>78</v>
      </c>
      <c r="N5656" s="3" t="s">
        <v>13</v>
      </c>
      <c r="O5656" s="3" t="s">
        <v>14</v>
      </c>
      <c r="Q5656" s="30" t="str">
        <f t="shared" si="88"/>
        <v>MAX : 
TARGET : Yes(Pass)
MIN : No(Fail)</v>
      </c>
    </row>
    <row r="5657" spans="2:17" ht="41.4" x14ac:dyDescent="0.3">
      <c r="B5657">
        <v>1</v>
      </c>
      <c r="C5657" s="33">
        <v>9240</v>
      </c>
      <c r="D5657" s="2">
        <v>2110</v>
      </c>
      <c r="E5657" s="2" t="s">
        <v>13303</v>
      </c>
      <c r="F5657" s="3" t="s">
        <v>14206</v>
      </c>
      <c r="H5657" s="3" t="s">
        <v>11</v>
      </c>
      <c r="K5657" s="2">
        <v>10</v>
      </c>
      <c r="L5657" s="2">
        <v>2</v>
      </c>
      <c r="M5657" s="3" t="s">
        <v>456</v>
      </c>
      <c r="N5657" s="3" t="s">
        <v>1641</v>
      </c>
      <c r="O5657" s="3" t="s">
        <v>149</v>
      </c>
      <c r="P5657" s="3" t="s">
        <v>1642</v>
      </c>
      <c r="Q5657" s="30" t="str">
        <f t="shared" si="88"/>
        <v>MAX : 12.06
TARGET : 12.00
MIN : 11.94</v>
      </c>
    </row>
    <row r="5658" spans="2:17" ht="41.4" x14ac:dyDescent="0.3">
      <c r="B5658">
        <v>1</v>
      </c>
      <c r="C5658" s="33">
        <v>9240</v>
      </c>
      <c r="D5658" s="2">
        <v>2110</v>
      </c>
      <c r="E5658" s="2" t="s">
        <v>13303</v>
      </c>
      <c r="F5658" s="3" t="s">
        <v>14206</v>
      </c>
      <c r="H5658" s="3" t="s">
        <v>11</v>
      </c>
      <c r="K5658" s="2">
        <v>10</v>
      </c>
      <c r="L5658" s="2">
        <v>1</v>
      </c>
      <c r="M5658" s="3" t="s">
        <v>99</v>
      </c>
      <c r="N5658" s="3" t="s">
        <v>1504</v>
      </c>
      <c r="O5658" s="3" t="s">
        <v>815</v>
      </c>
      <c r="P5658" s="3" t="s">
        <v>1505</v>
      </c>
      <c r="Q5658" s="30" t="str">
        <f t="shared" si="88"/>
        <v>MAX : 3.06
TARGET : 3.00
MIN : 2.94</v>
      </c>
    </row>
    <row r="5659" spans="2:17" ht="41.4" x14ac:dyDescent="0.3">
      <c r="B5659">
        <v>0</v>
      </c>
      <c r="C5659" s="33">
        <v>9283</v>
      </c>
      <c r="D5659" s="2">
        <v>1555</v>
      </c>
      <c r="E5659" s="2" t="s">
        <v>13534</v>
      </c>
      <c r="F5659" s="3" t="s">
        <v>14206</v>
      </c>
      <c r="H5659" s="3" t="s">
        <v>600</v>
      </c>
      <c r="K5659" s="2">
        <v>10</v>
      </c>
      <c r="L5659" s="2">
        <v>3</v>
      </c>
      <c r="M5659" s="3" t="s">
        <v>78</v>
      </c>
      <c r="N5659" s="3" t="s">
        <v>13</v>
      </c>
      <c r="O5659" s="3" t="s">
        <v>14</v>
      </c>
      <c r="Q5659" s="30" t="str">
        <f t="shared" si="88"/>
        <v>MAX : 
TARGET : Yes(Pass)
MIN : No(Fail)</v>
      </c>
    </row>
    <row r="5660" spans="2:17" ht="41.4" x14ac:dyDescent="0.3">
      <c r="B5660">
        <v>1</v>
      </c>
      <c r="C5660" s="33">
        <v>9241</v>
      </c>
      <c r="D5660" s="2">
        <v>1532</v>
      </c>
      <c r="E5660" s="2" t="s">
        <v>13310</v>
      </c>
      <c r="F5660" s="3" t="s">
        <v>14206</v>
      </c>
      <c r="H5660" s="3" t="s">
        <v>5621</v>
      </c>
      <c r="K5660" s="2">
        <v>10</v>
      </c>
      <c r="L5660" s="2">
        <v>2</v>
      </c>
      <c r="M5660" s="3" t="s">
        <v>3314</v>
      </c>
      <c r="N5660" s="3" t="s">
        <v>5625</v>
      </c>
      <c r="O5660" s="3" t="s">
        <v>5626</v>
      </c>
      <c r="P5660" s="3" t="s">
        <v>5627</v>
      </c>
      <c r="Q5660" s="30" t="str">
        <f t="shared" si="88"/>
        <v>MAX : 21.11
TARGET : 21.08
MIN : 21.05</v>
      </c>
    </row>
    <row r="5661" spans="2:17" ht="41.4" x14ac:dyDescent="0.3">
      <c r="B5661">
        <v>1</v>
      </c>
      <c r="C5661" s="33">
        <v>9241</v>
      </c>
      <c r="D5661" s="2">
        <v>1532</v>
      </c>
      <c r="E5661" s="2" t="s">
        <v>13310</v>
      </c>
      <c r="F5661" s="3" t="s">
        <v>14206</v>
      </c>
      <c r="H5661" s="3" t="s">
        <v>5621</v>
      </c>
      <c r="K5661" s="2">
        <v>10</v>
      </c>
      <c r="L5661" s="2">
        <v>1</v>
      </c>
      <c r="M5661" s="3" t="s">
        <v>194</v>
      </c>
      <c r="N5661" s="3" t="s">
        <v>5622</v>
      </c>
      <c r="O5661" s="3" t="s">
        <v>5623</v>
      </c>
      <c r="P5661" s="3" t="s">
        <v>5624</v>
      </c>
      <c r="Q5661" s="30" t="str">
        <f t="shared" si="88"/>
        <v>MAX : 21.51
TARGET : 21.48
MIN : 21.45</v>
      </c>
    </row>
    <row r="5662" spans="2:17" ht="41.4" x14ac:dyDescent="0.3">
      <c r="B5662">
        <v>0</v>
      </c>
      <c r="C5662" s="33">
        <v>9284</v>
      </c>
      <c r="D5662" s="2">
        <v>1556</v>
      </c>
      <c r="E5662" s="2" t="s">
        <v>13540</v>
      </c>
      <c r="F5662" s="3" t="s">
        <v>14206</v>
      </c>
      <c r="H5662" s="3" t="s">
        <v>600</v>
      </c>
      <c r="K5662" s="2">
        <v>10</v>
      </c>
      <c r="L5662" s="2">
        <v>3</v>
      </c>
      <c r="M5662" s="3" t="s">
        <v>78</v>
      </c>
      <c r="N5662" s="3" t="s">
        <v>13</v>
      </c>
      <c r="O5662" s="3" t="s">
        <v>14</v>
      </c>
      <c r="Q5662" s="30" t="str">
        <f t="shared" si="88"/>
        <v>MAX : 
TARGET : Yes(Pass)
MIN : No(Fail)</v>
      </c>
    </row>
    <row r="5663" spans="2:17" ht="41.4" x14ac:dyDescent="0.3">
      <c r="B5663">
        <v>1</v>
      </c>
      <c r="C5663" s="33">
        <v>9242</v>
      </c>
      <c r="D5663" s="2">
        <v>1533</v>
      </c>
      <c r="E5663" s="2" t="s">
        <v>13316</v>
      </c>
      <c r="F5663" s="3" t="s">
        <v>14206</v>
      </c>
      <c r="H5663" s="3" t="s">
        <v>2965</v>
      </c>
      <c r="K5663" s="2">
        <v>10</v>
      </c>
      <c r="L5663" s="2">
        <v>2</v>
      </c>
      <c r="M5663" s="3" t="s">
        <v>198</v>
      </c>
      <c r="N5663" s="3" t="s">
        <v>2061</v>
      </c>
      <c r="O5663" s="3" t="s">
        <v>1741</v>
      </c>
      <c r="P5663" s="3" t="s">
        <v>1520</v>
      </c>
      <c r="Q5663" s="30" t="str">
        <f t="shared" si="88"/>
        <v>MAX : 0.21
TARGET : 0.15
MIN : 0.09</v>
      </c>
    </row>
    <row r="5664" spans="2:17" ht="41.4" x14ac:dyDescent="0.3">
      <c r="B5664">
        <v>1</v>
      </c>
      <c r="C5664" s="33">
        <v>9242</v>
      </c>
      <c r="D5664" s="2">
        <v>1533</v>
      </c>
      <c r="E5664" s="2" t="s">
        <v>13316</v>
      </c>
      <c r="F5664" s="3" t="s">
        <v>14206</v>
      </c>
      <c r="H5664" s="3" t="s">
        <v>2965</v>
      </c>
      <c r="K5664" s="2">
        <v>10</v>
      </c>
      <c r="L5664" s="2">
        <v>1</v>
      </c>
      <c r="M5664" s="3" t="s">
        <v>194</v>
      </c>
      <c r="N5664" s="3" t="s">
        <v>423</v>
      </c>
      <c r="O5664" s="3" t="s">
        <v>424</v>
      </c>
      <c r="P5664" s="3" t="s">
        <v>425</v>
      </c>
      <c r="Q5664" s="30" t="str">
        <f t="shared" si="88"/>
        <v>MAX : 0.31
TARGET : 0.25
MIN : 0.19</v>
      </c>
    </row>
    <row r="5665" spans="2:17" ht="41.4" x14ac:dyDescent="0.3">
      <c r="B5665">
        <v>0</v>
      </c>
      <c r="C5665" s="33">
        <v>9285</v>
      </c>
      <c r="D5665" s="2">
        <v>2125</v>
      </c>
      <c r="E5665" s="2" t="s">
        <v>13546</v>
      </c>
      <c r="F5665" s="3" t="s">
        <v>14206</v>
      </c>
      <c r="H5665" s="3" t="s">
        <v>1903</v>
      </c>
      <c r="I5665" s="3" t="s">
        <v>487</v>
      </c>
      <c r="K5665" s="2">
        <v>20</v>
      </c>
      <c r="L5665" s="2">
        <v>1</v>
      </c>
      <c r="M5665" s="3" t="s">
        <v>1469</v>
      </c>
      <c r="N5665" s="3" t="s">
        <v>1097</v>
      </c>
      <c r="O5665" s="3" t="s">
        <v>1098</v>
      </c>
      <c r="P5665" s="3" t="s">
        <v>1099</v>
      </c>
      <c r="Q5665" s="30" t="str">
        <f t="shared" si="88"/>
        <v>MAX : 10.06
TARGET : 10.00
MIN : 9.94</v>
      </c>
    </row>
    <row r="5666" spans="2:17" ht="41.4" x14ac:dyDescent="0.3">
      <c r="B5666">
        <v>0</v>
      </c>
      <c r="C5666" s="33">
        <v>9285</v>
      </c>
      <c r="D5666" s="2">
        <v>2125</v>
      </c>
      <c r="E5666" s="2" t="s">
        <v>13546</v>
      </c>
      <c r="F5666" s="3" t="s">
        <v>14206</v>
      </c>
      <c r="H5666" s="3" t="s">
        <v>1903</v>
      </c>
      <c r="I5666" s="3" t="s">
        <v>487</v>
      </c>
      <c r="K5666" s="2">
        <v>20</v>
      </c>
      <c r="L5666" s="2">
        <v>2</v>
      </c>
      <c r="M5666" s="3" t="s">
        <v>5766</v>
      </c>
      <c r="N5666" s="3" t="s">
        <v>13</v>
      </c>
      <c r="O5666" s="3" t="s">
        <v>14</v>
      </c>
      <c r="Q5666" s="30" t="str">
        <f t="shared" si="88"/>
        <v>MAX : 
TARGET : Yes(Pass)
MIN : No(Fail)</v>
      </c>
    </row>
    <row r="5667" spans="2:17" ht="41.4" x14ac:dyDescent="0.3">
      <c r="B5667">
        <v>0</v>
      </c>
      <c r="C5667" s="33">
        <v>9285</v>
      </c>
      <c r="D5667" s="2">
        <v>2125</v>
      </c>
      <c r="E5667" s="2" t="s">
        <v>13546</v>
      </c>
      <c r="F5667" s="3" t="s">
        <v>14206</v>
      </c>
      <c r="H5667" s="3" t="s">
        <v>1903</v>
      </c>
      <c r="I5667" s="3" t="s">
        <v>487</v>
      </c>
      <c r="K5667" s="2">
        <v>20</v>
      </c>
      <c r="L5667" s="2">
        <v>3</v>
      </c>
      <c r="M5667" s="3" t="s">
        <v>611</v>
      </c>
      <c r="N5667" s="3" t="s">
        <v>13</v>
      </c>
      <c r="O5667" s="3" t="s">
        <v>14</v>
      </c>
      <c r="Q5667" s="30" t="str">
        <f t="shared" si="88"/>
        <v>MAX : 
TARGET : Yes(Pass)
MIN : No(Fail)</v>
      </c>
    </row>
    <row r="5668" spans="2:17" ht="41.4" x14ac:dyDescent="0.3">
      <c r="B5668">
        <v>1</v>
      </c>
      <c r="C5668" s="33">
        <v>9243</v>
      </c>
      <c r="D5668" s="2">
        <v>2111</v>
      </c>
      <c r="E5668" s="2" t="s">
        <v>13322</v>
      </c>
      <c r="F5668" s="3" t="s">
        <v>14206</v>
      </c>
      <c r="H5668" s="3" t="s">
        <v>5634</v>
      </c>
      <c r="K5668" s="2">
        <v>10</v>
      </c>
      <c r="L5668" s="2">
        <v>3</v>
      </c>
      <c r="M5668" s="3" t="s">
        <v>5507</v>
      </c>
      <c r="N5668" s="3" t="s">
        <v>13</v>
      </c>
      <c r="O5668" s="3" t="s">
        <v>14</v>
      </c>
      <c r="Q5668" s="30" t="str">
        <f t="shared" si="88"/>
        <v>MAX : 
TARGET : Yes(Pass)
MIN : No(Fail)</v>
      </c>
    </row>
    <row r="5669" spans="2:17" ht="41.4" x14ac:dyDescent="0.3">
      <c r="B5669">
        <v>1</v>
      </c>
      <c r="C5669" s="33">
        <v>9243</v>
      </c>
      <c r="D5669" s="2">
        <v>2111</v>
      </c>
      <c r="E5669" s="2" t="s">
        <v>13322</v>
      </c>
      <c r="F5669" s="3" t="s">
        <v>14206</v>
      </c>
      <c r="H5669" s="3" t="s">
        <v>5634</v>
      </c>
      <c r="K5669" s="2">
        <v>10</v>
      </c>
      <c r="L5669" s="2">
        <v>1</v>
      </c>
      <c r="M5669" s="3" t="s">
        <v>5635</v>
      </c>
      <c r="N5669" s="3" t="s">
        <v>1797</v>
      </c>
      <c r="O5669" s="3" t="s">
        <v>2538</v>
      </c>
      <c r="P5669" s="3" t="s">
        <v>874</v>
      </c>
      <c r="Q5669" s="30" t="str">
        <f t="shared" si="88"/>
        <v>MAX : 1.95
TARGET : 1.89
MIN : 1.83</v>
      </c>
    </row>
    <row r="5670" spans="2:17" ht="41.4" x14ac:dyDescent="0.3">
      <c r="B5670">
        <v>0</v>
      </c>
      <c r="C5670" s="33">
        <v>9287</v>
      </c>
      <c r="D5670" s="2">
        <v>2126</v>
      </c>
      <c r="E5670" s="2" t="s">
        <v>13559</v>
      </c>
      <c r="F5670" s="3" t="s">
        <v>14206</v>
      </c>
      <c r="H5670" s="3" t="s">
        <v>1903</v>
      </c>
      <c r="I5670" s="3" t="s">
        <v>487</v>
      </c>
      <c r="K5670" s="2">
        <v>20</v>
      </c>
      <c r="L5670" s="2">
        <v>1</v>
      </c>
      <c r="M5670" s="3" t="s">
        <v>2295</v>
      </c>
      <c r="N5670" s="3" t="s">
        <v>13</v>
      </c>
      <c r="O5670" s="3" t="s">
        <v>14</v>
      </c>
      <c r="Q5670" s="30" t="str">
        <f t="shared" si="88"/>
        <v>MAX : 
TARGET : Yes(Pass)
MIN : No(Fail)</v>
      </c>
    </row>
    <row r="5671" spans="2:17" ht="41.4" x14ac:dyDescent="0.3">
      <c r="B5671">
        <v>0</v>
      </c>
      <c r="C5671" s="33">
        <v>9287</v>
      </c>
      <c r="D5671" s="2">
        <v>2126</v>
      </c>
      <c r="E5671" s="2" t="s">
        <v>13559</v>
      </c>
      <c r="F5671" s="3" t="s">
        <v>14206</v>
      </c>
      <c r="H5671" s="3" t="s">
        <v>1903</v>
      </c>
      <c r="I5671" s="3" t="s">
        <v>487</v>
      </c>
      <c r="K5671" s="2">
        <v>20</v>
      </c>
      <c r="L5671" s="2">
        <v>2</v>
      </c>
      <c r="M5671" s="3" t="s">
        <v>2819</v>
      </c>
      <c r="N5671" s="3" t="s">
        <v>13</v>
      </c>
      <c r="O5671" s="3" t="s">
        <v>14</v>
      </c>
      <c r="Q5671" s="30" t="str">
        <f t="shared" si="88"/>
        <v>MAX : 
TARGET : Yes(Pass)
MIN : No(Fail)</v>
      </c>
    </row>
    <row r="5672" spans="2:17" ht="41.4" x14ac:dyDescent="0.3">
      <c r="B5672">
        <v>1</v>
      </c>
      <c r="C5672" s="33">
        <v>9244</v>
      </c>
      <c r="D5672" s="2">
        <v>2112</v>
      </c>
      <c r="E5672" s="2" t="s">
        <v>13329</v>
      </c>
      <c r="F5672" s="3" t="s">
        <v>14206</v>
      </c>
      <c r="H5672" s="3" t="s">
        <v>824</v>
      </c>
      <c r="K5672" s="2">
        <v>10</v>
      </c>
      <c r="L5672" s="2">
        <v>2</v>
      </c>
      <c r="M5672" s="3" t="s">
        <v>2269</v>
      </c>
      <c r="N5672" s="3" t="s">
        <v>13</v>
      </c>
      <c r="O5672" s="3" t="s">
        <v>14</v>
      </c>
      <c r="Q5672" s="30" t="str">
        <f t="shared" si="88"/>
        <v>MAX : 
TARGET : Yes(Pass)
MIN : No(Fail)</v>
      </c>
    </row>
    <row r="5673" spans="2:17" ht="41.4" x14ac:dyDescent="0.3">
      <c r="B5673">
        <v>1</v>
      </c>
      <c r="C5673" s="33">
        <v>9244</v>
      </c>
      <c r="D5673" s="2">
        <v>2112</v>
      </c>
      <c r="E5673" s="2" t="s">
        <v>13329</v>
      </c>
      <c r="F5673" s="3" t="s">
        <v>14206</v>
      </c>
      <c r="H5673" s="3" t="s">
        <v>824</v>
      </c>
      <c r="K5673" s="2">
        <v>10</v>
      </c>
      <c r="L5673" s="2">
        <v>1</v>
      </c>
      <c r="M5673" s="3" t="s">
        <v>458</v>
      </c>
      <c r="N5673" s="3" t="s">
        <v>2828</v>
      </c>
      <c r="O5673" s="3" t="s">
        <v>1817</v>
      </c>
      <c r="P5673" s="3" t="s">
        <v>2829</v>
      </c>
      <c r="Q5673" s="30" t="str">
        <f t="shared" si="88"/>
        <v>MAX : 4.625
TARGET : 4.500
MIN : 4.375</v>
      </c>
    </row>
    <row r="5674" spans="2:17" ht="41.4" x14ac:dyDescent="0.3">
      <c r="B5674">
        <v>0</v>
      </c>
      <c r="C5674" s="33">
        <v>5651</v>
      </c>
      <c r="D5674" s="2">
        <v>974</v>
      </c>
      <c r="E5674" s="2" t="s">
        <v>7555</v>
      </c>
      <c r="F5674" s="3" t="s">
        <v>14215</v>
      </c>
      <c r="H5674" s="3" t="s">
        <v>1183</v>
      </c>
      <c r="I5674" s="3" t="s">
        <v>575</v>
      </c>
      <c r="K5674" s="2">
        <v>10</v>
      </c>
      <c r="L5674" s="2">
        <v>24</v>
      </c>
      <c r="M5674" s="3" t="s">
        <v>5772</v>
      </c>
      <c r="N5674" s="3" t="s">
        <v>5770</v>
      </c>
      <c r="O5674" s="3" t="s">
        <v>775</v>
      </c>
      <c r="P5674" s="3" t="s">
        <v>424</v>
      </c>
      <c r="Q5674" s="30" t="str">
        <f t="shared" si="88"/>
        <v>MAX : 0.25
TARGET : 0.00
MIN : -0.25</v>
      </c>
    </row>
    <row r="5675" spans="2:17" ht="41.4" x14ac:dyDescent="0.3">
      <c r="B5675">
        <v>1</v>
      </c>
      <c r="C5675" s="33">
        <v>9245</v>
      </c>
      <c r="D5675" s="2">
        <v>2113</v>
      </c>
      <c r="E5675" s="2" t="s">
        <v>13335</v>
      </c>
      <c r="F5675" s="3" t="s">
        <v>14206</v>
      </c>
      <c r="H5675" s="3" t="s">
        <v>269</v>
      </c>
      <c r="K5675" s="2">
        <v>10</v>
      </c>
      <c r="L5675" s="2">
        <v>2</v>
      </c>
      <c r="M5675" s="3" t="s">
        <v>3772</v>
      </c>
      <c r="N5675" s="3" t="s">
        <v>13</v>
      </c>
      <c r="O5675" s="3" t="s">
        <v>14</v>
      </c>
      <c r="Q5675" s="30" t="str">
        <f t="shared" si="88"/>
        <v>MAX : 
TARGET : Yes(Pass)
MIN : No(Fail)</v>
      </c>
    </row>
    <row r="5676" spans="2:17" ht="41.4" x14ac:dyDescent="0.3">
      <c r="B5676">
        <v>1</v>
      </c>
      <c r="C5676" s="33">
        <v>9245</v>
      </c>
      <c r="D5676" s="2">
        <v>2113</v>
      </c>
      <c r="E5676" s="2" t="s">
        <v>13335</v>
      </c>
      <c r="F5676" s="3" t="s">
        <v>14206</v>
      </c>
      <c r="H5676" s="3" t="s">
        <v>269</v>
      </c>
      <c r="K5676" s="2">
        <v>10</v>
      </c>
      <c r="L5676" s="2">
        <v>1</v>
      </c>
      <c r="M5676" s="3" t="s">
        <v>99</v>
      </c>
      <c r="N5676" s="3" t="s">
        <v>3091</v>
      </c>
      <c r="O5676" s="3" t="s">
        <v>184</v>
      </c>
      <c r="P5676" s="3" t="s">
        <v>3092</v>
      </c>
      <c r="Q5676" s="30" t="str">
        <f t="shared" si="88"/>
        <v>MAX : 5.06
TARGET : 5.00
MIN : 4.94</v>
      </c>
    </row>
    <row r="5677" spans="2:17" ht="41.4" x14ac:dyDescent="0.3">
      <c r="B5677">
        <v>0</v>
      </c>
      <c r="C5677" s="33">
        <v>9175</v>
      </c>
      <c r="D5677" s="2">
        <v>1490</v>
      </c>
      <c r="E5677" s="2" t="s">
        <v>12936</v>
      </c>
      <c r="F5677" s="3" t="s">
        <v>14206</v>
      </c>
      <c r="H5677" s="3" t="s">
        <v>810</v>
      </c>
      <c r="K5677" s="2">
        <v>20</v>
      </c>
      <c r="L5677" s="2">
        <v>6</v>
      </c>
      <c r="M5677" s="3" t="s">
        <v>5779</v>
      </c>
      <c r="N5677" s="3" t="s">
        <v>5780</v>
      </c>
      <c r="O5677" s="3" t="s">
        <v>5781</v>
      </c>
      <c r="P5677" s="3" t="s">
        <v>552</v>
      </c>
      <c r="Q5677" s="30" t="str">
        <f t="shared" si="88"/>
        <v>MAX : 1.499
TARGET : 1.489
MIN : 1.479</v>
      </c>
    </row>
    <row r="5678" spans="2:17" ht="41.4" x14ac:dyDescent="0.3">
      <c r="B5678">
        <v>0</v>
      </c>
      <c r="C5678" s="33">
        <v>9175</v>
      </c>
      <c r="D5678" s="2">
        <v>1490</v>
      </c>
      <c r="E5678" s="2" t="s">
        <v>12936</v>
      </c>
      <c r="F5678" s="3" t="s">
        <v>14206</v>
      </c>
      <c r="H5678" s="3" t="s">
        <v>810</v>
      </c>
      <c r="K5678" s="2">
        <v>20</v>
      </c>
      <c r="L5678" s="2">
        <v>7</v>
      </c>
      <c r="M5678" s="3" t="s">
        <v>5782</v>
      </c>
      <c r="N5678" s="3" t="s">
        <v>5780</v>
      </c>
      <c r="O5678" s="3" t="s">
        <v>5781</v>
      </c>
      <c r="P5678" s="3" t="s">
        <v>552</v>
      </c>
      <c r="Q5678" s="30" t="str">
        <f t="shared" si="88"/>
        <v>MAX : 1.499
TARGET : 1.489
MIN : 1.479</v>
      </c>
    </row>
    <row r="5679" spans="2:17" ht="41.4" x14ac:dyDescent="0.3">
      <c r="B5679">
        <v>0</v>
      </c>
      <c r="C5679" s="33">
        <v>9175</v>
      </c>
      <c r="D5679" s="2">
        <v>1490</v>
      </c>
      <c r="E5679" s="2" t="s">
        <v>12936</v>
      </c>
      <c r="F5679" s="3" t="s">
        <v>14206</v>
      </c>
      <c r="H5679" s="3" t="s">
        <v>810</v>
      </c>
      <c r="K5679" s="2">
        <v>20</v>
      </c>
      <c r="L5679" s="2">
        <v>8</v>
      </c>
      <c r="M5679" s="3" t="s">
        <v>5783</v>
      </c>
      <c r="N5679" s="3" t="s">
        <v>5784</v>
      </c>
      <c r="O5679" s="3" t="s">
        <v>5785</v>
      </c>
      <c r="P5679" s="3" t="s">
        <v>5786</v>
      </c>
      <c r="Q5679" s="30" t="str">
        <f t="shared" si="88"/>
        <v>MAX : 1.410
TARGET : 1.400
MIN : 1.390</v>
      </c>
    </row>
    <row r="5680" spans="2:17" ht="41.4" x14ac:dyDescent="0.3">
      <c r="B5680">
        <v>0</v>
      </c>
      <c r="C5680" s="33">
        <v>9175</v>
      </c>
      <c r="D5680" s="2">
        <v>1490</v>
      </c>
      <c r="E5680" s="2" t="s">
        <v>12936</v>
      </c>
      <c r="F5680" s="3" t="s">
        <v>14206</v>
      </c>
      <c r="H5680" s="3" t="s">
        <v>810</v>
      </c>
      <c r="K5680" s="2">
        <v>20</v>
      </c>
      <c r="L5680" s="2">
        <v>9</v>
      </c>
      <c r="M5680" s="3" t="s">
        <v>5787</v>
      </c>
      <c r="N5680" s="3" t="s">
        <v>5784</v>
      </c>
      <c r="O5680" s="3" t="s">
        <v>5785</v>
      </c>
      <c r="P5680" s="3" t="s">
        <v>5786</v>
      </c>
      <c r="Q5680" s="30" t="str">
        <f t="shared" si="88"/>
        <v>MAX : 1.410
TARGET : 1.400
MIN : 1.390</v>
      </c>
    </row>
    <row r="5681" spans="2:17" ht="41.4" x14ac:dyDescent="0.3">
      <c r="B5681">
        <v>0</v>
      </c>
      <c r="C5681" s="33">
        <v>9175</v>
      </c>
      <c r="D5681" s="2">
        <v>1490</v>
      </c>
      <c r="E5681" s="2" t="s">
        <v>12936</v>
      </c>
      <c r="F5681" s="3" t="s">
        <v>14206</v>
      </c>
      <c r="H5681" s="3" t="s">
        <v>810</v>
      </c>
      <c r="K5681" s="2">
        <v>20</v>
      </c>
      <c r="L5681" s="2">
        <v>10</v>
      </c>
      <c r="M5681" s="3" t="s">
        <v>5788</v>
      </c>
      <c r="N5681" s="3" t="s">
        <v>5789</v>
      </c>
      <c r="O5681" s="3" t="s">
        <v>5751</v>
      </c>
      <c r="P5681" s="3" t="s">
        <v>5790</v>
      </c>
      <c r="Q5681" s="30" t="str">
        <f t="shared" si="88"/>
        <v>MAX : 0.059
TARGET : 0.049
MIN : 0.039</v>
      </c>
    </row>
    <row r="5682" spans="2:17" ht="41.4" x14ac:dyDescent="0.3">
      <c r="B5682">
        <v>0</v>
      </c>
      <c r="C5682" s="33">
        <v>9175</v>
      </c>
      <c r="D5682" s="2">
        <v>1490</v>
      </c>
      <c r="E5682" s="2" t="s">
        <v>12936</v>
      </c>
      <c r="F5682" s="3" t="s">
        <v>14206</v>
      </c>
      <c r="H5682" s="3" t="s">
        <v>810</v>
      </c>
      <c r="K5682" s="2">
        <v>20</v>
      </c>
      <c r="L5682" s="2">
        <v>11</v>
      </c>
      <c r="M5682" s="3" t="s">
        <v>5791</v>
      </c>
      <c r="N5682" s="3" t="s">
        <v>5789</v>
      </c>
      <c r="O5682" s="3" t="s">
        <v>5751</v>
      </c>
      <c r="P5682" s="3" t="s">
        <v>5790</v>
      </c>
      <c r="Q5682" s="30" t="str">
        <f t="shared" si="88"/>
        <v>MAX : 0.059
TARGET : 0.049
MIN : 0.039</v>
      </c>
    </row>
    <row r="5683" spans="2:17" ht="41.4" x14ac:dyDescent="0.3">
      <c r="B5683">
        <v>0</v>
      </c>
      <c r="C5683" s="33">
        <v>9175</v>
      </c>
      <c r="D5683" s="2">
        <v>1490</v>
      </c>
      <c r="E5683" s="2" t="s">
        <v>12936</v>
      </c>
      <c r="F5683" s="3" t="s">
        <v>14206</v>
      </c>
      <c r="H5683" s="3" t="s">
        <v>810</v>
      </c>
      <c r="K5683" s="2">
        <v>20</v>
      </c>
      <c r="L5683" s="2">
        <v>12</v>
      </c>
      <c r="M5683" s="3" t="s">
        <v>5792</v>
      </c>
      <c r="N5683" s="3" t="s">
        <v>5793</v>
      </c>
      <c r="O5683" s="3" t="s">
        <v>5794</v>
      </c>
      <c r="P5683" s="3" t="s">
        <v>5795</v>
      </c>
      <c r="Q5683" s="30" t="str">
        <f t="shared" si="88"/>
        <v>MAX : 1.225
TARGET : 1.215
MIN : 1.205</v>
      </c>
    </row>
    <row r="5684" spans="2:17" ht="41.4" x14ac:dyDescent="0.3">
      <c r="B5684">
        <v>0</v>
      </c>
      <c r="C5684" s="33">
        <v>9175</v>
      </c>
      <c r="D5684" s="2">
        <v>1490</v>
      </c>
      <c r="E5684" s="2" t="s">
        <v>12936</v>
      </c>
      <c r="F5684" s="3" t="s">
        <v>14206</v>
      </c>
      <c r="H5684" s="3" t="s">
        <v>810</v>
      </c>
      <c r="K5684" s="2">
        <v>20</v>
      </c>
      <c r="L5684" s="2">
        <v>13</v>
      </c>
      <c r="M5684" s="3" t="s">
        <v>5796</v>
      </c>
      <c r="N5684" s="3" t="s">
        <v>5793</v>
      </c>
      <c r="O5684" s="3" t="s">
        <v>5794</v>
      </c>
      <c r="P5684" s="3" t="s">
        <v>5795</v>
      </c>
      <c r="Q5684" s="30" t="str">
        <f t="shared" si="88"/>
        <v>MAX : 1.225
TARGET : 1.215
MIN : 1.205</v>
      </c>
    </row>
    <row r="5685" spans="2:17" ht="41.4" x14ac:dyDescent="0.3">
      <c r="B5685">
        <v>1</v>
      </c>
      <c r="C5685" s="33">
        <v>9246</v>
      </c>
      <c r="D5685" s="2">
        <v>1534</v>
      </c>
      <c r="E5685" s="2" t="s">
        <v>13342</v>
      </c>
      <c r="F5685" s="3" t="s">
        <v>14206</v>
      </c>
      <c r="H5685" s="3" t="s">
        <v>2138</v>
      </c>
      <c r="K5685" s="2">
        <v>20</v>
      </c>
      <c r="L5685" s="2">
        <v>2</v>
      </c>
      <c r="M5685" s="3" t="s">
        <v>198</v>
      </c>
      <c r="N5685" s="3" t="s">
        <v>5645</v>
      </c>
      <c r="O5685" s="3" t="s">
        <v>5444</v>
      </c>
      <c r="P5685" s="3" t="s">
        <v>2229</v>
      </c>
      <c r="Q5685" s="30" t="str">
        <f t="shared" si="88"/>
        <v>MAX : 2.62
TARGET : 2.60
MIN : 2.58</v>
      </c>
    </row>
    <row r="5686" spans="2:17" ht="41.4" x14ac:dyDescent="0.3">
      <c r="B5686">
        <v>1</v>
      </c>
      <c r="C5686" s="33">
        <v>9246</v>
      </c>
      <c r="D5686" s="2">
        <v>1534</v>
      </c>
      <c r="E5686" s="2" t="s">
        <v>13342</v>
      </c>
      <c r="F5686" s="3" t="s">
        <v>14206</v>
      </c>
      <c r="H5686" s="3" t="s">
        <v>2138</v>
      </c>
      <c r="K5686" s="2">
        <v>20</v>
      </c>
      <c r="L5686" s="2">
        <v>1</v>
      </c>
      <c r="M5686" s="3" t="s">
        <v>194</v>
      </c>
      <c r="N5686" s="3" t="s">
        <v>768</v>
      </c>
      <c r="O5686" s="3" t="s">
        <v>2898</v>
      </c>
      <c r="P5686" s="3" t="s">
        <v>253</v>
      </c>
      <c r="Q5686" s="30" t="str">
        <f t="shared" si="88"/>
        <v>MAX : 4.00
TARGET : 3.98
MIN : 3.96</v>
      </c>
    </row>
    <row r="5687" spans="2:17" ht="41.4" x14ac:dyDescent="0.3">
      <c r="B5687">
        <v>1</v>
      </c>
      <c r="C5687" s="33">
        <v>9247</v>
      </c>
      <c r="D5687" s="2">
        <v>1535</v>
      </c>
      <c r="E5687" s="2" t="s">
        <v>13348</v>
      </c>
      <c r="F5687" s="3" t="s">
        <v>14206</v>
      </c>
      <c r="H5687" s="3" t="s">
        <v>4909</v>
      </c>
      <c r="K5687" s="2">
        <v>10</v>
      </c>
      <c r="L5687" s="2">
        <v>2</v>
      </c>
      <c r="M5687" s="3" t="s">
        <v>4341</v>
      </c>
      <c r="N5687" s="3" t="s">
        <v>13</v>
      </c>
      <c r="O5687" s="3" t="s">
        <v>14</v>
      </c>
      <c r="Q5687" s="30" t="str">
        <f t="shared" si="88"/>
        <v>MAX : 
TARGET : Yes(Pass)
MIN : No(Fail)</v>
      </c>
    </row>
    <row r="5688" spans="2:17" ht="41.4" x14ac:dyDescent="0.3">
      <c r="B5688">
        <v>1</v>
      </c>
      <c r="C5688" s="33">
        <v>9247</v>
      </c>
      <c r="D5688" s="2">
        <v>1535</v>
      </c>
      <c r="E5688" s="2" t="s">
        <v>13348</v>
      </c>
      <c r="F5688" s="3" t="s">
        <v>14206</v>
      </c>
      <c r="H5688" s="3" t="s">
        <v>4909</v>
      </c>
      <c r="K5688" s="2">
        <v>10</v>
      </c>
      <c r="L5688" s="2">
        <v>1</v>
      </c>
      <c r="M5688" s="3" t="s">
        <v>458</v>
      </c>
      <c r="N5688" s="3" t="s">
        <v>2686</v>
      </c>
      <c r="O5688" s="3" t="s">
        <v>703</v>
      </c>
      <c r="P5688" s="3" t="s">
        <v>2687</v>
      </c>
      <c r="Q5688" s="30" t="str">
        <f t="shared" si="88"/>
        <v>MAX : 4.56
TARGET : 4.50
MIN : 4.44</v>
      </c>
    </row>
    <row r="5689" spans="2:17" ht="41.4" x14ac:dyDescent="0.3">
      <c r="B5689">
        <v>1</v>
      </c>
      <c r="C5689" s="33">
        <v>9248</v>
      </c>
      <c r="D5689" s="2">
        <v>1536</v>
      </c>
      <c r="E5689" s="2" t="s">
        <v>13354</v>
      </c>
      <c r="F5689" s="3" t="s">
        <v>14206</v>
      </c>
      <c r="H5689" s="3" t="s">
        <v>426</v>
      </c>
      <c r="K5689" s="2">
        <v>20</v>
      </c>
      <c r="L5689" s="2">
        <v>2</v>
      </c>
      <c r="M5689" s="3" t="s">
        <v>198</v>
      </c>
      <c r="N5689" s="3" t="s">
        <v>2286</v>
      </c>
      <c r="O5689" s="3" t="s">
        <v>132</v>
      </c>
      <c r="P5689" s="3" t="s">
        <v>2287</v>
      </c>
      <c r="Q5689" s="30" t="str">
        <f t="shared" si="88"/>
        <v>MAX : 0.81
TARGET : 0.75
MIN : 0.69</v>
      </c>
    </row>
    <row r="5690" spans="2:17" ht="41.4" x14ac:dyDescent="0.3">
      <c r="B5690">
        <v>1</v>
      </c>
      <c r="C5690" s="33">
        <v>9248</v>
      </c>
      <c r="D5690" s="2">
        <v>1536</v>
      </c>
      <c r="E5690" s="2" t="s">
        <v>13354</v>
      </c>
      <c r="F5690" s="3" t="s">
        <v>14206</v>
      </c>
      <c r="H5690" s="3" t="s">
        <v>426</v>
      </c>
      <c r="K5690" s="2">
        <v>20</v>
      </c>
      <c r="L5690" s="2">
        <v>1</v>
      </c>
      <c r="M5690" s="3" t="s">
        <v>194</v>
      </c>
      <c r="N5690" s="3" t="s">
        <v>900</v>
      </c>
      <c r="O5690" s="3" t="s">
        <v>28</v>
      </c>
      <c r="P5690" s="3" t="s">
        <v>901</v>
      </c>
      <c r="Q5690" s="30" t="str">
        <f t="shared" si="88"/>
        <v>MAX : 1.56
TARGET : 1.50
MIN : 1.44</v>
      </c>
    </row>
    <row r="5691" spans="2:17" ht="41.4" x14ac:dyDescent="0.3">
      <c r="B5691">
        <v>1</v>
      </c>
      <c r="C5691" s="33">
        <v>9249</v>
      </c>
      <c r="D5691" s="2">
        <v>2114</v>
      </c>
      <c r="E5691" s="2" t="s">
        <v>13361</v>
      </c>
      <c r="F5691" s="3" t="s">
        <v>14206</v>
      </c>
      <c r="G5691" s="3" t="s">
        <v>5646</v>
      </c>
      <c r="H5691" s="3" t="s">
        <v>1144</v>
      </c>
      <c r="I5691" s="3" t="s">
        <v>575</v>
      </c>
      <c r="K5691" s="2">
        <v>10</v>
      </c>
      <c r="L5691" s="2">
        <v>2</v>
      </c>
      <c r="M5691" s="3" t="s">
        <v>611</v>
      </c>
      <c r="N5691" s="3" t="s">
        <v>13</v>
      </c>
      <c r="O5691" s="3" t="s">
        <v>14</v>
      </c>
      <c r="Q5691" s="30" t="str">
        <f t="shared" si="88"/>
        <v>MAX : 
TARGET : Yes(Pass)
MIN : No(Fail)</v>
      </c>
    </row>
    <row r="5692" spans="2:17" ht="41.4" x14ac:dyDescent="0.3">
      <c r="B5692">
        <v>1</v>
      </c>
      <c r="C5692" s="33">
        <v>9249</v>
      </c>
      <c r="D5692" s="2">
        <v>2114</v>
      </c>
      <c r="E5692" s="2" t="s">
        <v>13361</v>
      </c>
      <c r="F5692" s="3" t="s">
        <v>14206</v>
      </c>
      <c r="G5692" s="3" t="s">
        <v>5646</v>
      </c>
      <c r="H5692" s="3" t="s">
        <v>1144</v>
      </c>
      <c r="I5692" s="3" t="s">
        <v>575</v>
      </c>
      <c r="K5692" s="2">
        <v>10</v>
      </c>
      <c r="L5692" s="2">
        <v>1</v>
      </c>
      <c r="M5692" s="3" t="s">
        <v>458</v>
      </c>
      <c r="N5692" s="3" t="s">
        <v>2312</v>
      </c>
      <c r="O5692" s="3" t="s">
        <v>642</v>
      </c>
      <c r="P5692" s="3" t="s">
        <v>4046</v>
      </c>
      <c r="Q5692" s="30" t="str">
        <f t="shared" si="88"/>
        <v>MAX : 0.670
TARGET : 0.655
MIN : 0.640</v>
      </c>
    </row>
    <row r="5693" spans="2:17" ht="41.4" x14ac:dyDescent="0.3">
      <c r="B5693">
        <v>0</v>
      </c>
      <c r="C5693" s="33">
        <v>9291</v>
      </c>
      <c r="D5693" s="2">
        <v>1558</v>
      </c>
      <c r="E5693" s="2" t="s">
        <v>13577</v>
      </c>
      <c r="F5693" s="3" t="s">
        <v>14206</v>
      </c>
      <c r="G5693" s="3" t="s">
        <v>1665</v>
      </c>
      <c r="H5693" s="3" t="s">
        <v>5656</v>
      </c>
      <c r="I5693" s="3" t="s">
        <v>575</v>
      </c>
      <c r="K5693" s="2">
        <v>10</v>
      </c>
      <c r="L5693" s="2">
        <v>1</v>
      </c>
      <c r="M5693" s="3" t="s">
        <v>3618</v>
      </c>
      <c r="N5693" s="3" t="s">
        <v>1142</v>
      </c>
      <c r="O5693" s="3" t="s">
        <v>365</v>
      </c>
      <c r="P5693" s="3" t="s">
        <v>2939</v>
      </c>
      <c r="Q5693" s="30" t="str">
        <f t="shared" si="88"/>
        <v>MAX : 4.031
TARGET : 4.000
MIN : 3.969</v>
      </c>
    </row>
    <row r="5694" spans="2:17" ht="41.4" x14ac:dyDescent="0.3">
      <c r="B5694">
        <v>0</v>
      </c>
      <c r="C5694" s="33">
        <v>9291</v>
      </c>
      <c r="D5694" s="2">
        <v>1558</v>
      </c>
      <c r="E5694" s="2" t="s">
        <v>13577</v>
      </c>
      <c r="F5694" s="3" t="s">
        <v>14206</v>
      </c>
      <c r="G5694" s="3" t="s">
        <v>1665</v>
      </c>
      <c r="H5694" s="3" t="s">
        <v>5656</v>
      </c>
      <c r="I5694" s="3" t="s">
        <v>575</v>
      </c>
      <c r="K5694" s="2">
        <v>10</v>
      </c>
      <c r="L5694" s="2">
        <v>11.1</v>
      </c>
      <c r="M5694" s="3" t="s">
        <v>2927</v>
      </c>
      <c r="N5694" s="3" t="s">
        <v>13</v>
      </c>
      <c r="O5694" s="3" t="s">
        <v>14</v>
      </c>
      <c r="Q5694" s="30" t="str">
        <f t="shared" si="88"/>
        <v>MAX : 
TARGET : Yes(Pass)
MIN : No(Fail)</v>
      </c>
    </row>
    <row r="5695" spans="2:17" ht="41.4" x14ac:dyDescent="0.3">
      <c r="B5695">
        <v>0</v>
      </c>
      <c r="C5695" s="33">
        <v>9291</v>
      </c>
      <c r="D5695" s="2">
        <v>1558</v>
      </c>
      <c r="E5695" s="2" t="s">
        <v>13577</v>
      </c>
      <c r="F5695" s="3" t="s">
        <v>14206</v>
      </c>
      <c r="G5695" s="3" t="s">
        <v>1665</v>
      </c>
      <c r="H5695" s="3" t="s">
        <v>5656</v>
      </c>
      <c r="I5695" s="3" t="s">
        <v>575</v>
      </c>
      <c r="K5695" s="2">
        <v>10</v>
      </c>
      <c r="L5695" s="2">
        <v>5</v>
      </c>
      <c r="M5695" s="3" t="s">
        <v>2942</v>
      </c>
      <c r="N5695" s="3" t="s">
        <v>571</v>
      </c>
      <c r="O5695" s="3" t="s">
        <v>2943</v>
      </c>
      <c r="P5695" s="3" t="s">
        <v>1788</v>
      </c>
      <c r="Q5695" s="30" t="str">
        <f t="shared" si="88"/>
        <v>MAX : 0.445
TARGET : 0.391
MIN : 0.345</v>
      </c>
    </row>
    <row r="5696" spans="2:17" ht="41.4" x14ac:dyDescent="0.3">
      <c r="B5696">
        <v>0</v>
      </c>
      <c r="C5696" s="33">
        <v>9291</v>
      </c>
      <c r="D5696" s="2">
        <v>1558</v>
      </c>
      <c r="E5696" s="2" t="s">
        <v>13577</v>
      </c>
      <c r="F5696" s="3" t="s">
        <v>14206</v>
      </c>
      <c r="G5696" s="3" t="s">
        <v>1665</v>
      </c>
      <c r="H5696" s="3" t="s">
        <v>5656</v>
      </c>
      <c r="I5696" s="3" t="s">
        <v>575</v>
      </c>
      <c r="K5696" s="2">
        <v>10</v>
      </c>
      <c r="L5696" s="2">
        <v>6</v>
      </c>
      <c r="M5696" s="3" t="s">
        <v>2944</v>
      </c>
      <c r="N5696" s="3" t="s">
        <v>571</v>
      </c>
      <c r="O5696" s="3" t="s">
        <v>2943</v>
      </c>
      <c r="P5696" s="3" t="s">
        <v>1788</v>
      </c>
      <c r="Q5696" s="30" t="str">
        <f t="shared" si="88"/>
        <v>MAX : 0.445
TARGET : 0.391
MIN : 0.345</v>
      </c>
    </row>
    <row r="5697" spans="2:17" ht="41.4" x14ac:dyDescent="0.3">
      <c r="B5697">
        <v>0</v>
      </c>
      <c r="C5697" s="33">
        <v>9291</v>
      </c>
      <c r="D5697" s="2">
        <v>1558</v>
      </c>
      <c r="E5697" s="2" t="s">
        <v>13577</v>
      </c>
      <c r="F5697" s="3" t="s">
        <v>14206</v>
      </c>
      <c r="G5697" s="3" t="s">
        <v>1665</v>
      </c>
      <c r="H5697" s="3" t="s">
        <v>5656</v>
      </c>
      <c r="I5697" s="3" t="s">
        <v>575</v>
      </c>
      <c r="K5697" s="2">
        <v>10</v>
      </c>
      <c r="L5697" s="2">
        <v>7</v>
      </c>
      <c r="M5697" s="3" t="s">
        <v>2945</v>
      </c>
      <c r="N5697" s="3" t="s">
        <v>571</v>
      </c>
      <c r="O5697" s="3" t="s">
        <v>2943</v>
      </c>
      <c r="P5697" s="3" t="s">
        <v>1788</v>
      </c>
      <c r="Q5697" s="30" t="str">
        <f t="shared" si="88"/>
        <v>MAX : 0.445
TARGET : 0.391
MIN : 0.345</v>
      </c>
    </row>
    <row r="5698" spans="2:17" ht="41.4" x14ac:dyDescent="0.3">
      <c r="B5698">
        <v>0</v>
      </c>
      <c r="C5698" s="33">
        <v>9291</v>
      </c>
      <c r="D5698" s="2">
        <v>1558</v>
      </c>
      <c r="E5698" s="2" t="s">
        <v>13577</v>
      </c>
      <c r="F5698" s="3" t="s">
        <v>14206</v>
      </c>
      <c r="G5698" s="3" t="s">
        <v>1665</v>
      </c>
      <c r="H5698" s="3" t="s">
        <v>5656</v>
      </c>
      <c r="I5698" s="3" t="s">
        <v>575</v>
      </c>
      <c r="K5698" s="2">
        <v>10</v>
      </c>
      <c r="L5698" s="2">
        <v>8</v>
      </c>
      <c r="M5698" s="3" t="s">
        <v>2946</v>
      </c>
      <c r="N5698" s="3" t="s">
        <v>571</v>
      </c>
      <c r="O5698" s="3" t="s">
        <v>2943</v>
      </c>
      <c r="P5698" s="3" t="s">
        <v>1788</v>
      </c>
      <c r="Q5698" s="30" t="str">
        <f t="shared" ref="Q5698:Q5761" si="89">"MAX : " &amp; P5698 &amp; CHAR(10) &amp; "TARGET : " &amp; O5698 &amp; CHAR(10) &amp; "MIN : " &amp; N5698</f>
        <v>MAX : 0.445
TARGET : 0.391
MIN : 0.345</v>
      </c>
    </row>
    <row r="5699" spans="2:17" ht="41.4" x14ac:dyDescent="0.3">
      <c r="B5699">
        <v>0</v>
      </c>
      <c r="C5699" s="33">
        <v>9291</v>
      </c>
      <c r="D5699" s="2">
        <v>1558</v>
      </c>
      <c r="E5699" s="2" t="s">
        <v>13577</v>
      </c>
      <c r="F5699" s="3" t="s">
        <v>14206</v>
      </c>
      <c r="G5699" s="3" t="s">
        <v>1665</v>
      </c>
      <c r="H5699" s="3" t="s">
        <v>5656</v>
      </c>
      <c r="I5699" s="3" t="s">
        <v>575</v>
      </c>
      <c r="K5699" s="2">
        <v>20</v>
      </c>
      <c r="L5699" s="2">
        <v>1</v>
      </c>
      <c r="M5699" s="3" t="s">
        <v>2620</v>
      </c>
      <c r="N5699" s="3" t="s">
        <v>13</v>
      </c>
      <c r="O5699" s="3" t="s">
        <v>14</v>
      </c>
      <c r="Q5699" s="30" t="str">
        <f t="shared" si="89"/>
        <v>MAX : 
TARGET : Yes(Pass)
MIN : No(Fail)</v>
      </c>
    </row>
    <row r="5700" spans="2:17" ht="41.4" x14ac:dyDescent="0.3">
      <c r="B5700">
        <v>0</v>
      </c>
      <c r="C5700" s="33">
        <v>9291</v>
      </c>
      <c r="D5700" s="2">
        <v>1558</v>
      </c>
      <c r="E5700" s="2" t="s">
        <v>13577</v>
      </c>
      <c r="F5700" s="3" t="s">
        <v>14206</v>
      </c>
      <c r="G5700" s="3" t="s">
        <v>1665</v>
      </c>
      <c r="H5700" s="3" t="s">
        <v>5656</v>
      </c>
      <c r="I5700" s="3" t="s">
        <v>575</v>
      </c>
      <c r="K5700" s="2">
        <v>20</v>
      </c>
      <c r="L5700" s="2">
        <v>2</v>
      </c>
      <c r="M5700" s="3" t="s">
        <v>5660</v>
      </c>
      <c r="N5700" s="3" t="s">
        <v>13</v>
      </c>
      <c r="O5700" s="3" t="s">
        <v>14</v>
      </c>
      <c r="Q5700" s="30" t="str">
        <f t="shared" si="89"/>
        <v>MAX : 
TARGET : Yes(Pass)
MIN : No(Fail)</v>
      </c>
    </row>
    <row r="5701" spans="2:17" ht="41.4" x14ac:dyDescent="0.3">
      <c r="B5701">
        <v>0</v>
      </c>
      <c r="C5701" s="33">
        <v>9291</v>
      </c>
      <c r="D5701" s="2">
        <v>1558</v>
      </c>
      <c r="E5701" s="2" t="s">
        <v>13577</v>
      </c>
      <c r="F5701" s="3" t="s">
        <v>14206</v>
      </c>
      <c r="G5701" s="3" t="s">
        <v>1665</v>
      </c>
      <c r="H5701" s="3" t="s">
        <v>5656</v>
      </c>
      <c r="I5701" s="3" t="s">
        <v>575</v>
      </c>
      <c r="K5701" s="2">
        <v>20</v>
      </c>
      <c r="L5701" s="2">
        <v>4</v>
      </c>
      <c r="M5701" s="3" t="s">
        <v>4539</v>
      </c>
      <c r="N5701" s="3" t="s">
        <v>13</v>
      </c>
      <c r="O5701" s="3" t="s">
        <v>14</v>
      </c>
      <c r="Q5701" s="30" t="str">
        <f t="shared" si="89"/>
        <v>MAX : 
TARGET : Yes(Pass)
MIN : No(Fail)</v>
      </c>
    </row>
    <row r="5702" spans="2:17" ht="41.4" x14ac:dyDescent="0.3">
      <c r="B5702">
        <v>0</v>
      </c>
      <c r="C5702" s="33">
        <v>9291</v>
      </c>
      <c r="D5702" s="2">
        <v>1558</v>
      </c>
      <c r="E5702" s="2" t="s">
        <v>13577</v>
      </c>
      <c r="F5702" s="3" t="s">
        <v>14206</v>
      </c>
      <c r="G5702" s="3" t="s">
        <v>1665</v>
      </c>
      <c r="H5702" s="3" t="s">
        <v>5656</v>
      </c>
      <c r="I5702" s="3" t="s">
        <v>575</v>
      </c>
      <c r="K5702" s="2">
        <v>20</v>
      </c>
      <c r="L5702" s="2">
        <v>3</v>
      </c>
      <c r="M5702" s="3" t="s">
        <v>5661</v>
      </c>
      <c r="N5702" s="3" t="s">
        <v>13</v>
      </c>
      <c r="O5702" s="3" t="s">
        <v>14</v>
      </c>
      <c r="Q5702" s="30" t="str">
        <f t="shared" si="89"/>
        <v>MAX : 
TARGET : Yes(Pass)
MIN : No(Fail)</v>
      </c>
    </row>
    <row r="5703" spans="2:17" ht="41.4" x14ac:dyDescent="0.3">
      <c r="B5703">
        <v>0</v>
      </c>
      <c r="C5703" s="33">
        <v>9291</v>
      </c>
      <c r="D5703" s="2">
        <v>1558</v>
      </c>
      <c r="E5703" s="2" t="s">
        <v>13577</v>
      </c>
      <c r="F5703" s="3" t="s">
        <v>14206</v>
      </c>
      <c r="G5703" s="3" t="s">
        <v>1665</v>
      </c>
      <c r="H5703" s="3" t="s">
        <v>5656</v>
      </c>
      <c r="I5703" s="3" t="s">
        <v>575</v>
      </c>
      <c r="K5703" s="2">
        <v>20</v>
      </c>
      <c r="L5703" s="2">
        <v>6</v>
      </c>
      <c r="M5703" s="3" t="s">
        <v>4540</v>
      </c>
      <c r="N5703" s="3" t="s">
        <v>13</v>
      </c>
      <c r="O5703" s="3" t="s">
        <v>14</v>
      </c>
      <c r="Q5703" s="30" t="str">
        <f t="shared" si="89"/>
        <v>MAX : 
TARGET : Yes(Pass)
MIN : No(Fail)</v>
      </c>
    </row>
    <row r="5704" spans="2:17" ht="41.4" x14ac:dyDescent="0.3">
      <c r="B5704">
        <v>0</v>
      </c>
      <c r="C5704" s="33">
        <v>9291</v>
      </c>
      <c r="D5704" s="2">
        <v>1558</v>
      </c>
      <c r="E5704" s="2" t="s">
        <v>13577</v>
      </c>
      <c r="F5704" s="3" t="s">
        <v>14206</v>
      </c>
      <c r="G5704" s="3" t="s">
        <v>1665</v>
      </c>
      <c r="H5704" s="3" t="s">
        <v>5656</v>
      </c>
      <c r="I5704" s="3" t="s">
        <v>575</v>
      </c>
      <c r="K5704" s="2">
        <v>10</v>
      </c>
      <c r="L5704" s="2">
        <v>9</v>
      </c>
      <c r="M5704" s="3" t="s">
        <v>2948</v>
      </c>
      <c r="N5704" s="3" t="s">
        <v>5662</v>
      </c>
      <c r="O5704" s="3" t="s">
        <v>1600</v>
      </c>
      <c r="P5704" s="3" t="s">
        <v>5663</v>
      </c>
      <c r="Q5704" s="30" t="str">
        <f t="shared" si="89"/>
        <v>MAX : 2.210
TARGET : 2.200
MIN : 2.190</v>
      </c>
    </row>
    <row r="5705" spans="2:17" ht="41.4" x14ac:dyDescent="0.3">
      <c r="B5705">
        <v>0</v>
      </c>
      <c r="C5705" s="33">
        <v>9291</v>
      </c>
      <c r="D5705" s="2">
        <v>1558</v>
      </c>
      <c r="E5705" s="2" t="s">
        <v>13577</v>
      </c>
      <c r="F5705" s="3" t="s">
        <v>14206</v>
      </c>
      <c r="G5705" s="3" t="s">
        <v>1665</v>
      </c>
      <c r="H5705" s="3" t="s">
        <v>5656</v>
      </c>
      <c r="I5705" s="3" t="s">
        <v>575</v>
      </c>
      <c r="K5705" s="2">
        <v>10</v>
      </c>
      <c r="L5705" s="2">
        <v>2</v>
      </c>
      <c r="M5705" s="3" t="s">
        <v>5664</v>
      </c>
      <c r="N5705" s="3" t="s">
        <v>13</v>
      </c>
      <c r="O5705" s="3" t="s">
        <v>14</v>
      </c>
      <c r="Q5705" s="30" t="str">
        <f t="shared" si="89"/>
        <v>MAX : 
TARGET : Yes(Pass)
MIN : No(Fail)</v>
      </c>
    </row>
    <row r="5706" spans="2:17" ht="41.4" x14ac:dyDescent="0.3">
      <c r="B5706">
        <v>0</v>
      </c>
      <c r="C5706" s="33">
        <v>9291</v>
      </c>
      <c r="D5706" s="2">
        <v>1558</v>
      </c>
      <c r="E5706" s="2" t="s">
        <v>13577</v>
      </c>
      <c r="F5706" s="3" t="s">
        <v>14206</v>
      </c>
      <c r="G5706" s="3" t="s">
        <v>1665</v>
      </c>
      <c r="H5706" s="3" t="s">
        <v>5656</v>
      </c>
      <c r="I5706" s="3" t="s">
        <v>575</v>
      </c>
      <c r="K5706" s="2">
        <v>10</v>
      </c>
      <c r="L5706" s="2">
        <v>10</v>
      </c>
      <c r="M5706" s="3" t="s">
        <v>2931</v>
      </c>
      <c r="N5706" s="3" t="s">
        <v>13</v>
      </c>
      <c r="O5706" s="3" t="s">
        <v>14</v>
      </c>
      <c r="Q5706" s="30" t="str">
        <f t="shared" si="89"/>
        <v>MAX : 
TARGET : Yes(Pass)
MIN : No(Fail)</v>
      </c>
    </row>
    <row r="5707" spans="2:17" ht="41.4" x14ac:dyDescent="0.3">
      <c r="B5707">
        <v>0</v>
      </c>
      <c r="C5707" s="33">
        <v>9291</v>
      </c>
      <c r="D5707" s="2">
        <v>1558</v>
      </c>
      <c r="E5707" s="2" t="s">
        <v>13577</v>
      </c>
      <c r="F5707" s="3" t="s">
        <v>14206</v>
      </c>
      <c r="G5707" s="3" t="s">
        <v>1665</v>
      </c>
      <c r="H5707" s="3" t="s">
        <v>5656</v>
      </c>
      <c r="I5707" s="3" t="s">
        <v>575</v>
      </c>
      <c r="K5707" s="2">
        <v>20</v>
      </c>
      <c r="L5707" s="2">
        <v>5</v>
      </c>
      <c r="M5707" s="3" t="s">
        <v>2624</v>
      </c>
      <c r="N5707" s="3" t="s">
        <v>13</v>
      </c>
      <c r="O5707" s="3" t="s">
        <v>14</v>
      </c>
      <c r="Q5707" s="30" t="str">
        <f t="shared" si="89"/>
        <v>MAX : 
TARGET : Yes(Pass)
MIN : No(Fail)</v>
      </c>
    </row>
    <row r="5708" spans="2:17" ht="41.4" x14ac:dyDescent="0.3">
      <c r="B5708">
        <v>0</v>
      </c>
      <c r="C5708" s="33">
        <v>9291</v>
      </c>
      <c r="D5708" s="2">
        <v>1558</v>
      </c>
      <c r="E5708" s="2" t="s">
        <v>13577</v>
      </c>
      <c r="F5708" s="3" t="s">
        <v>14206</v>
      </c>
      <c r="G5708" s="3" t="s">
        <v>1665</v>
      </c>
      <c r="H5708" s="3" t="s">
        <v>5656</v>
      </c>
      <c r="I5708" s="3" t="s">
        <v>575</v>
      </c>
      <c r="K5708" s="2">
        <v>20</v>
      </c>
      <c r="L5708" s="2">
        <v>7</v>
      </c>
      <c r="M5708" s="3" t="s">
        <v>4541</v>
      </c>
      <c r="N5708" s="3" t="s">
        <v>13</v>
      </c>
      <c r="O5708" s="3" t="s">
        <v>14</v>
      </c>
      <c r="Q5708" s="30" t="str">
        <f t="shared" si="89"/>
        <v>MAX : 
TARGET : Yes(Pass)
MIN : No(Fail)</v>
      </c>
    </row>
    <row r="5709" spans="2:17" ht="41.4" x14ac:dyDescent="0.3">
      <c r="B5709">
        <v>0</v>
      </c>
      <c r="C5709" s="33">
        <v>9291</v>
      </c>
      <c r="D5709" s="2">
        <v>1558</v>
      </c>
      <c r="E5709" s="2" t="s">
        <v>13577</v>
      </c>
      <c r="F5709" s="3" t="s">
        <v>14206</v>
      </c>
      <c r="G5709" s="3" t="s">
        <v>1665</v>
      </c>
      <c r="H5709" s="3" t="s">
        <v>5656</v>
      </c>
      <c r="I5709" s="3" t="s">
        <v>575</v>
      </c>
      <c r="K5709" s="2">
        <v>20</v>
      </c>
      <c r="L5709" s="2">
        <v>0.1</v>
      </c>
      <c r="Q5709" s="30" t="str">
        <f t="shared" si="89"/>
        <v xml:space="preserve">MAX : 
TARGET : 
MIN : </v>
      </c>
    </row>
    <row r="5710" spans="2:17" ht="41.4" x14ac:dyDescent="0.3">
      <c r="B5710">
        <v>0</v>
      </c>
      <c r="C5710" s="33">
        <v>9291</v>
      </c>
      <c r="D5710" s="2">
        <v>1558</v>
      </c>
      <c r="E5710" s="2" t="s">
        <v>13577</v>
      </c>
      <c r="F5710" s="3" t="s">
        <v>14206</v>
      </c>
      <c r="G5710" s="3" t="s">
        <v>1665</v>
      </c>
      <c r="H5710" s="3" t="s">
        <v>5656</v>
      </c>
      <c r="I5710" s="3" t="s">
        <v>575</v>
      </c>
      <c r="K5710" s="2">
        <v>20</v>
      </c>
      <c r="L5710" s="2">
        <v>0.2</v>
      </c>
      <c r="Q5710" s="30" t="str">
        <f t="shared" si="89"/>
        <v xml:space="preserve">MAX : 
TARGET : 
MIN : </v>
      </c>
    </row>
    <row r="5711" spans="2:17" ht="41.4" x14ac:dyDescent="0.3">
      <c r="B5711">
        <v>0</v>
      </c>
      <c r="C5711" s="33">
        <v>9291</v>
      </c>
      <c r="D5711" s="2">
        <v>1558</v>
      </c>
      <c r="E5711" s="2" t="s">
        <v>13577</v>
      </c>
      <c r="F5711" s="3" t="s">
        <v>14206</v>
      </c>
      <c r="G5711" s="3" t="s">
        <v>1665</v>
      </c>
      <c r="H5711" s="3" t="s">
        <v>5656</v>
      </c>
      <c r="I5711" s="3" t="s">
        <v>575</v>
      </c>
      <c r="K5711" s="2">
        <v>20</v>
      </c>
      <c r="L5711" s="2">
        <v>0.3</v>
      </c>
      <c r="Q5711" s="30" t="str">
        <f t="shared" si="89"/>
        <v xml:space="preserve">MAX : 
TARGET : 
MIN : </v>
      </c>
    </row>
    <row r="5712" spans="2:17" ht="41.4" x14ac:dyDescent="0.3">
      <c r="B5712">
        <v>0</v>
      </c>
      <c r="C5712" s="33">
        <v>9291</v>
      </c>
      <c r="D5712" s="2">
        <v>1558</v>
      </c>
      <c r="E5712" s="2" t="s">
        <v>13577</v>
      </c>
      <c r="F5712" s="3" t="s">
        <v>14206</v>
      </c>
      <c r="G5712" s="3" t="s">
        <v>1665</v>
      </c>
      <c r="H5712" s="3" t="s">
        <v>5656</v>
      </c>
      <c r="I5712" s="3" t="s">
        <v>575</v>
      </c>
      <c r="K5712" s="2">
        <v>20</v>
      </c>
      <c r="L5712" s="2">
        <v>0.4</v>
      </c>
      <c r="Q5712" s="30" t="str">
        <f t="shared" si="89"/>
        <v xml:space="preserve">MAX : 
TARGET : 
MIN : </v>
      </c>
    </row>
    <row r="5713" spans="2:17" ht="41.4" x14ac:dyDescent="0.3">
      <c r="B5713">
        <v>0</v>
      </c>
      <c r="C5713" s="33">
        <v>9291</v>
      </c>
      <c r="D5713" s="2">
        <v>1558</v>
      </c>
      <c r="E5713" s="2" t="s">
        <v>13577</v>
      </c>
      <c r="F5713" s="3" t="s">
        <v>14206</v>
      </c>
      <c r="G5713" s="3" t="s">
        <v>1665</v>
      </c>
      <c r="H5713" s="3" t="s">
        <v>5656</v>
      </c>
      <c r="I5713" s="3" t="s">
        <v>575</v>
      </c>
      <c r="K5713" s="2">
        <v>20</v>
      </c>
      <c r="L5713" s="2">
        <v>0.5</v>
      </c>
      <c r="Q5713" s="30" t="str">
        <f t="shared" si="89"/>
        <v xml:space="preserve">MAX : 
TARGET : 
MIN : </v>
      </c>
    </row>
    <row r="5714" spans="2:17" ht="41.4" x14ac:dyDescent="0.3">
      <c r="B5714">
        <v>0</v>
      </c>
      <c r="C5714" s="33">
        <v>9291</v>
      </c>
      <c r="D5714" s="2">
        <v>1558</v>
      </c>
      <c r="E5714" s="2" t="s">
        <v>13577</v>
      </c>
      <c r="F5714" s="3" t="s">
        <v>14206</v>
      </c>
      <c r="G5714" s="3" t="s">
        <v>1665</v>
      </c>
      <c r="H5714" s="3" t="s">
        <v>5656</v>
      </c>
      <c r="I5714" s="3" t="s">
        <v>575</v>
      </c>
      <c r="K5714" s="2">
        <v>20</v>
      </c>
      <c r="L5714" s="2">
        <v>0.6</v>
      </c>
      <c r="Q5714" s="30" t="str">
        <f t="shared" si="89"/>
        <v xml:space="preserve">MAX : 
TARGET : 
MIN : </v>
      </c>
    </row>
    <row r="5715" spans="2:17" ht="41.4" x14ac:dyDescent="0.3">
      <c r="B5715">
        <v>0</v>
      </c>
      <c r="C5715" s="33">
        <v>9291</v>
      </c>
      <c r="D5715" s="2">
        <v>1558</v>
      </c>
      <c r="E5715" s="2" t="s">
        <v>13577</v>
      </c>
      <c r="F5715" s="3" t="s">
        <v>14206</v>
      </c>
      <c r="G5715" s="3" t="s">
        <v>1665</v>
      </c>
      <c r="H5715" s="3" t="s">
        <v>5656</v>
      </c>
      <c r="I5715" s="3" t="s">
        <v>575</v>
      </c>
      <c r="K5715" s="2">
        <v>10</v>
      </c>
      <c r="L5715" s="2">
        <v>11</v>
      </c>
      <c r="M5715" s="3" t="s">
        <v>5665</v>
      </c>
      <c r="Q5715" s="30" t="str">
        <f t="shared" si="89"/>
        <v xml:space="preserve">MAX : 
TARGET : 
MIN : </v>
      </c>
    </row>
    <row r="5716" spans="2:17" ht="41.4" x14ac:dyDescent="0.3">
      <c r="B5716">
        <v>1</v>
      </c>
      <c r="C5716" s="33">
        <v>9250</v>
      </c>
      <c r="D5716" s="2">
        <v>1537</v>
      </c>
      <c r="E5716" s="2" t="s">
        <v>13367</v>
      </c>
      <c r="F5716" s="3" t="s">
        <v>14206</v>
      </c>
      <c r="H5716" s="3" t="s">
        <v>469</v>
      </c>
      <c r="K5716" s="2">
        <v>20</v>
      </c>
      <c r="L5716" s="2">
        <v>1</v>
      </c>
      <c r="M5716" s="3" t="s">
        <v>456</v>
      </c>
      <c r="N5716" s="3" t="s">
        <v>5648</v>
      </c>
      <c r="O5716" s="3" t="s">
        <v>5649</v>
      </c>
      <c r="P5716" s="3" t="s">
        <v>5650</v>
      </c>
      <c r="Q5716" s="30" t="str">
        <f t="shared" si="89"/>
        <v>MAX : 27.125
TARGET : 27.000
MIN : 26.875</v>
      </c>
    </row>
    <row r="5717" spans="2:17" ht="41.4" x14ac:dyDescent="0.3">
      <c r="B5717">
        <v>1</v>
      </c>
      <c r="C5717" s="33">
        <v>9250</v>
      </c>
      <c r="D5717" s="2">
        <v>1537</v>
      </c>
      <c r="E5717" s="2" t="s">
        <v>13367</v>
      </c>
      <c r="F5717" s="3" t="s">
        <v>14206</v>
      </c>
      <c r="H5717" s="3" t="s">
        <v>469</v>
      </c>
      <c r="K5717" s="2">
        <v>10</v>
      </c>
      <c r="L5717" s="2">
        <v>1</v>
      </c>
      <c r="M5717" s="3" t="s">
        <v>5647</v>
      </c>
      <c r="N5717" s="3" t="s">
        <v>1782</v>
      </c>
      <c r="O5717" s="3" t="s">
        <v>5181</v>
      </c>
      <c r="P5717" s="3" t="s">
        <v>507</v>
      </c>
      <c r="Q5717" s="30" t="str">
        <f t="shared" si="89"/>
        <v>MAX : 1.06
TARGET : 1.04
MIN : 1.02</v>
      </c>
    </row>
    <row r="5718" spans="2:17" ht="41.4" x14ac:dyDescent="0.3">
      <c r="B5718">
        <v>0</v>
      </c>
      <c r="C5718" s="33">
        <v>9292</v>
      </c>
      <c r="D5718" s="2">
        <v>1559</v>
      </c>
      <c r="E5718" s="2" t="s">
        <v>13583</v>
      </c>
      <c r="F5718" s="3" t="s">
        <v>14206</v>
      </c>
      <c r="H5718" s="3" t="s">
        <v>469</v>
      </c>
      <c r="I5718" s="3" t="s">
        <v>487</v>
      </c>
      <c r="K5718" s="2">
        <v>10</v>
      </c>
      <c r="L5718" s="2">
        <v>1</v>
      </c>
      <c r="M5718" s="3" t="s">
        <v>5800</v>
      </c>
      <c r="N5718" s="3" t="s">
        <v>13</v>
      </c>
      <c r="O5718" s="3" t="s">
        <v>14</v>
      </c>
      <c r="Q5718" s="30" t="str">
        <f t="shared" si="89"/>
        <v>MAX : 
TARGET : Yes(Pass)
MIN : No(Fail)</v>
      </c>
    </row>
    <row r="5719" spans="2:17" ht="41.4" x14ac:dyDescent="0.3">
      <c r="B5719">
        <v>1</v>
      </c>
      <c r="C5719" s="33">
        <v>9250</v>
      </c>
      <c r="D5719" s="2">
        <v>1537</v>
      </c>
      <c r="E5719" s="2" t="s">
        <v>13367</v>
      </c>
      <c r="F5719" s="3" t="s">
        <v>14206</v>
      </c>
      <c r="H5719" s="3" t="s">
        <v>469</v>
      </c>
      <c r="K5719" s="2">
        <v>20</v>
      </c>
      <c r="L5719" s="2">
        <v>5</v>
      </c>
      <c r="M5719" s="3" t="s">
        <v>6021</v>
      </c>
      <c r="O5719" s="3" t="s">
        <v>864</v>
      </c>
      <c r="P5719" s="3" t="s">
        <v>6022</v>
      </c>
      <c r="Q5719" s="30" t="str">
        <f t="shared" si="89"/>
        <v xml:space="preserve">MAX : .06
TARGET : 0
MIN : </v>
      </c>
    </row>
    <row r="5720" spans="2:17" ht="41.4" x14ac:dyDescent="0.3">
      <c r="B5720">
        <v>1</v>
      </c>
      <c r="C5720" s="33">
        <v>9253</v>
      </c>
      <c r="D5720" s="2">
        <v>1538</v>
      </c>
      <c r="E5720" s="2" t="s">
        <v>13373</v>
      </c>
      <c r="F5720" s="3" t="s">
        <v>14206</v>
      </c>
      <c r="H5720" s="3" t="s">
        <v>5656</v>
      </c>
      <c r="K5720" s="2">
        <v>10</v>
      </c>
      <c r="L5720" s="2">
        <v>4</v>
      </c>
      <c r="M5720" s="3" t="s">
        <v>198</v>
      </c>
      <c r="N5720" s="3" t="s">
        <v>5658</v>
      </c>
      <c r="O5720" s="3" t="s">
        <v>543</v>
      </c>
      <c r="P5720" s="3" t="s">
        <v>5659</v>
      </c>
      <c r="Q5720" s="30" t="str">
        <f t="shared" si="89"/>
        <v>MAX : 3.531
TARGET : 3.500
MIN : 3.469</v>
      </c>
    </row>
    <row r="5721" spans="2:17" ht="41.4" x14ac:dyDescent="0.3">
      <c r="B5721">
        <v>1</v>
      </c>
      <c r="C5721" s="33">
        <v>9253</v>
      </c>
      <c r="D5721" s="2">
        <v>1538</v>
      </c>
      <c r="E5721" s="2" t="s">
        <v>13373</v>
      </c>
      <c r="F5721" s="3" t="s">
        <v>14206</v>
      </c>
      <c r="H5721" s="3" t="s">
        <v>5656</v>
      </c>
      <c r="K5721" s="2">
        <v>10</v>
      </c>
      <c r="L5721" s="2">
        <v>3</v>
      </c>
      <c r="M5721" s="3" t="s">
        <v>194</v>
      </c>
      <c r="N5721" s="3" t="s">
        <v>5657</v>
      </c>
      <c r="O5721" s="3" t="s">
        <v>521</v>
      </c>
      <c r="P5721" s="3" t="s">
        <v>2268</v>
      </c>
      <c r="Q5721" s="30" t="str">
        <f t="shared" si="89"/>
        <v>MAX : 3.781
TARGET : 3.750
MIN : 3.719</v>
      </c>
    </row>
    <row r="5722" spans="2:17" ht="41.4" x14ac:dyDescent="0.3">
      <c r="B5722">
        <v>1</v>
      </c>
      <c r="C5722" s="33">
        <v>9253</v>
      </c>
      <c r="D5722" s="2">
        <v>1538</v>
      </c>
      <c r="E5722" s="2" t="s">
        <v>13373</v>
      </c>
      <c r="F5722" s="3" t="s">
        <v>14206</v>
      </c>
      <c r="H5722" s="3" t="s">
        <v>5656</v>
      </c>
      <c r="K5722" s="2">
        <v>30</v>
      </c>
      <c r="L5722" s="2">
        <v>1</v>
      </c>
      <c r="M5722" s="3" t="s">
        <v>6208</v>
      </c>
      <c r="N5722" s="3" t="s">
        <v>13</v>
      </c>
      <c r="O5722" s="3" t="s">
        <v>14</v>
      </c>
      <c r="Q5722" s="30" t="str">
        <f t="shared" si="89"/>
        <v>MAX : 
TARGET : Yes(Pass)
MIN : No(Fail)</v>
      </c>
    </row>
    <row r="5723" spans="2:17" ht="41.4" x14ac:dyDescent="0.3">
      <c r="B5723">
        <v>1</v>
      </c>
      <c r="C5723" s="33">
        <v>9254</v>
      </c>
      <c r="D5723" s="2">
        <v>1539</v>
      </c>
      <c r="E5723" s="2" t="s">
        <v>13381</v>
      </c>
      <c r="F5723" s="3" t="s">
        <v>14207</v>
      </c>
      <c r="H5723" s="3" t="s">
        <v>962</v>
      </c>
      <c r="K5723" s="2">
        <v>20</v>
      </c>
      <c r="L5723" s="2">
        <v>2</v>
      </c>
      <c r="M5723" s="3" t="s">
        <v>198</v>
      </c>
      <c r="N5723" s="3" t="s">
        <v>4712</v>
      </c>
      <c r="O5723" s="3" t="s">
        <v>4713</v>
      </c>
      <c r="P5723" s="3" t="s">
        <v>5668</v>
      </c>
      <c r="Q5723" s="30" t="str">
        <f t="shared" si="89"/>
        <v>MAX : 23.8
TARGET : 23.0
MIN : 22.2</v>
      </c>
    </row>
    <row r="5724" spans="2:17" ht="41.4" x14ac:dyDescent="0.3">
      <c r="B5724">
        <v>1</v>
      </c>
      <c r="C5724" s="33">
        <v>9254</v>
      </c>
      <c r="D5724" s="2">
        <v>1539</v>
      </c>
      <c r="E5724" s="2" t="s">
        <v>13381</v>
      </c>
      <c r="F5724" s="3" t="s">
        <v>14207</v>
      </c>
      <c r="H5724" s="3" t="s">
        <v>962</v>
      </c>
      <c r="K5724" s="2">
        <v>20</v>
      </c>
      <c r="L5724" s="2">
        <v>1</v>
      </c>
      <c r="M5724" s="3" t="s">
        <v>5666</v>
      </c>
      <c r="N5724" s="3" t="s">
        <v>5667</v>
      </c>
      <c r="O5724" s="3" t="s">
        <v>661</v>
      </c>
      <c r="P5724" s="3" t="s">
        <v>3189</v>
      </c>
      <c r="Q5724" s="30" t="str">
        <f t="shared" si="89"/>
        <v>MAX : 50.8
TARGET : 50.0
MIN : 49.2</v>
      </c>
    </row>
    <row r="5725" spans="2:17" ht="41.4" x14ac:dyDescent="0.3">
      <c r="B5725">
        <v>1</v>
      </c>
      <c r="C5725" s="33">
        <v>9257</v>
      </c>
      <c r="D5725" s="2">
        <v>2115</v>
      </c>
      <c r="E5725" s="2" t="s">
        <v>13387</v>
      </c>
      <c r="F5725" s="3" t="s">
        <v>14206</v>
      </c>
      <c r="H5725" s="3" t="s">
        <v>5677</v>
      </c>
      <c r="I5725" s="3" t="s">
        <v>487</v>
      </c>
      <c r="K5725" s="2">
        <v>10</v>
      </c>
      <c r="L5725" s="2">
        <v>1</v>
      </c>
      <c r="M5725" s="3" t="s">
        <v>458</v>
      </c>
      <c r="N5725" s="3" t="s">
        <v>5686</v>
      </c>
      <c r="O5725" s="3" t="s">
        <v>5687</v>
      </c>
      <c r="P5725" s="3" t="s">
        <v>5688</v>
      </c>
      <c r="Q5725" s="30" t="str">
        <f t="shared" si="89"/>
        <v>MAX : 1.536
TARGET : 1.476
MIN : 1.416</v>
      </c>
    </row>
    <row r="5726" spans="2:17" ht="41.4" x14ac:dyDescent="0.3">
      <c r="B5726">
        <v>1</v>
      </c>
      <c r="C5726" s="33">
        <v>9258</v>
      </c>
      <c r="D5726" s="2">
        <v>2116</v>
      </c>
      <c r="E5726" s="2" t="s">
        <v>13393</v>
      </c>
      <c r="F5726" s="3" t="s">
        <v>14207</v>
      </c>
      <c r="H5726" s="3" t="s">
        <v>568</v>
      </c>
      <c r="K5726" s="2">
        <v>20</v>
      </c>
      <c r="L5726" s="2">
        <v>2</v>
      </c>
      <c r="M5726" s="3" t="s">
        <v>1102</v>
      </c>
      <c r="N5726" s="3" t="s">
        <v>13</v>
      </c>
      <c r="O5726" s="3" t="s">
        <v>14</v>
      </c>
      <c r="Q5726" s="30" t="str">
        <f t="shared" si="89"/>
        <v>MAX : 
TARGET : Yes(Pass)
MIN : No(Fail)</v>
      </c>
    </row>
    <row r="5727" spans="2:17" ht="41.4" x14ac:dyDescent="0.3">
      <c r="B5727">
        <v>0</v>
      </c>
      <c r="C5727" s="33">
        <v>2347</v>
      </c>
      <c r="D5727" s="2">
        <v>891</v>
      </c>
      <c r="E5727" s="2" t="s">
        <v>6591</v>
      </c>
      <c r="F5727" s="29" t="s">
        <v>14211</v>
      </c>
      <c r="H5727" s="3" t="s">
        <v>210</v>
      </c>
      <c r="K5727" s="2">
        <v>10</v>
      </c>
      <c r="L5727" s="2">
        <v>10</v>
      </c>
      <c r="M5727" s="3" t="s">
        <v>5810</v>
      </c>
      <c r="N5727" s="3" t="s">
        <v>3125</v>
      </c>
      <c r="O5727" s="3" t="s">
        <v>217</v>
      </c>
      <c r="P5727" s="3" t="s">
        <v>1747</v>
      </c>
      <c r="Q5727" s="30" t="str">
        <f t="shared" si="89"/>
        <v>MAX : 0.165
TARGET : 0.150
MIN : 0.135</v>
      </c>
    </row>
    <row r="5728" spans="2:17" ht="41.4" x14ac:dyDescent="0.3">
      <c r="B5728">
        <v>1</v>
      </c>
      <c r="C5728" s="33">
        <v>9258</v>
      </c>
      <c r="D5728" s="2">
        <v>2116</v>
      </c>
      <c r="E5728" s="2" t="s">
        <v>13393</v>
      </c>
      <c r="F5728" s="3" t="s">
        <v>14207</v>
      </c>
      <c r="H5728" s="3" t="s">
        <v>568</v>
      </c>
      <c r="K5728" s="2">
        <v>20</v>
      </c>
      <c r="L5728" s="2">
        <v>1</v>
      </c>
      <c r="M5728" s="3" t="s">
        <v>458</v>
      </c>
      <c r="N5728" s="3" t="s">
        <v>5673</v>
      </c>
      <c r="O5728" s="3" t="s">
        <v>5674</v>
      </c>
      <c r="P5728" s="3" t="s">
        <v>5675</v>
      </c>
      <c r="Q5728" s="30" t="str">
        <f t="shared" si="89"/>
        <v>MAX : 28.4
TARGET : 27.6
MIN : 26.8</v>
      </c>
    </row>
    <row r="5729" spans="2:18" ht="41.4" x14ac:dyDescent="0.3">
      <c r="B5729">
        <v>1</v>
      </c>
      <c r="C5729" s="33">
        <v>9259</v>
      </c>
      <c r="D5729" s="2">
        <v>1540</v>
      </c>
      <c r="E5729" s="2" t="s">
        <v>13399</v>
      </c>
      <c r="F5729" s="3" t="s">
        <v>14206</v>
      </c>
      <c r="H5729" s="3" t="s">
        <v>648</v>
      </c>
      <c r="K5729" s="2">
        <v>20</v>
      </c>
      <c r="L5729" s="2">
        <v>2</v>
      </c>
      <c r="M5729" s="3" t="s">
        <v>78</v>
      </c>
      <c r="N5729" s="3" t="s">
        <v>13</v>
      </c>
      <c r="O5729" s="3" t="s">
        <v>14</v>
      </c>
      <c r="Q5729" s="30" t="str">
        <f t="shared" si="89"/>
        <v>MAX : 
TARGET : Yes(Pass)
MIN : No(Fail)</v>
      </c>
    </row>
    <row r="5730" spans="2:18" ht="41.4" x14ac:dyDescent="0.3">
      <c r="B5730">
        <v>1</v>
      </c>
      <c r="C5730" s="33">
        <v>9259</v>
      </c>
      <c r="D5730" s="2">
        <v>1540</v>
      </c>
      <c r="E5730" s="2" t="s">
        <v>13399</v>
      </c>
      <c r="F5730" s="3" t="s">
        <v>14206</v>
      </c>
      <c r="H5730" s="3" t="s">
        <v>648</v>
      </c>
      <c r="K5730" s="2">
        <v>20</v>
      </c>
      <c r="L5730" s="2">
        <v>1</v>
      </c>
      <c r="M5730" s="3" t="s">
        <v>502</v>
      </c>
      <c r="N5730" s="3" t="s">
        <v>900</v>
      </c>
      <c r="O5730" s="3" t="s">
        <v>28</v>
      </c>
      <c r="P5730" s="3" t="s">
        <v>901</v>
      </c>
      <c r="Q5730" s="30" t="str">
        <f t="shared" si="89"/>
        <v>MAX : 1.56
TARGET : 1.50
MIN : 1.44</v>
      </c>
    </row>
    <row r="5731" spans="2:18" ht="41.4" x14ac:dyDescent="0.3">
      <c r="B5731">
        <v>1</v>
      </c>
      <c r="C5731" s="33">
        <v>9260</v>
      </c>
      <c r="D5731" s="2">
        <v>1541</v>
      </c>
      <c r="E5731" s="2" t="s">
        <v>13405</v>
      </c>
      <c r="F5731" s="3" t="s">
        <v>14206</v>
      </c>
      <c r="H5731" s="3" t="s">
        <v>3464</v>
      </c>
      <c r="K5731" s="2">
        <v>10</v>
      </c>
      <c r="L5731" s="2">
        <v>3</v>
      </c>
      <c r="M5731" s="3" t="s">
        <v>2117</v>
      </c>
      <c r="N5731" s="3" t="s">
        <v>4594</v>
      </c>
      <c r="O5731" s="3" t="s">
        <v>199</v>
      </c>
      <c r="P5731" s="3" t="s">
        <v>4603</v>
      </c>
      <c r="Q5731" s="30" t="str">
        <f t="shared" si="89"/>
        <v>MAX : 5.31
TARGET : 5.25
MIN : 5.19</v>
      </c>
    </row>
    <row r="5732" spans="2:18" ht="41.4" x14ac:dyDescent="0.3">
      <c r="B5732">
        <v>0</v>
      </c>
      <c r="C5732" s="33">
        <v>3136</v>
      </c>
      <c r="D5732" s="2">
        <v>903</v>
      </c>
      <c r="E5732" s="2" t="s">
        <v>6743</v>
      </c>
      <c r="F5732" s="29" t="s">
        <v>14211</v>
      </c>
      <c r="H5732" s="3" t="s">
        <v>210</v>
      </c>
      <c r="K5732" s="2">
        <v>10</v>
      </c>
      <c r="L5732" s="2">
        <v>1</v>
      </c>
      <c r="M5732" s="3" t="s">
        <v>5807</v>
      </c>
      <c r="N5732" s="3" t="s">
        <v>5814</v>
      </c>
      <c r="O5732" s="3" t="s">
        <v>5815</v>
      </c>
      <c r="P5732" s="3" t="s">
        <v>871</v>
      </c>
      <c r="Q5732" s="30" t="str">
        <f t="shared" si="89"/>
        <v>MAX : 0.344
TARGET : 0.339
MIN : 0.334</v>
      </c>
    </row>
    <row r="5733" spans="2:18" ht="41.4" x14ac:dyDescent="0.3">
      <c r="B5733">
        <v>0</v>
      </c>
      <c r="C5733" s="33">
        <v>3136</v>
      </c>
      <c r="D5733" s="2">
        <v>903</v>
      </c>
      <c r="E5733" s="2" t="s">
        <v>6743</v>
      </c>
      <c r="F5733" s="29" t="s">
        <v>14211</v>
      </c>
      <c r="H5733" s="3" t="s">
        <v>210</v>
      </c>
      <c r="K5733" s="2">
        <v>10</v>
      </c>
      <c r="L5733" s="2">
        <v>4</v>
      </c>
      <c r="M5733" s="3" t="s">
        <v>5801</v>
      </c>
      <c r="N5733" s="3" t="s">
        <v>5802</v>
      </c>
      <c r="O5733" s="3" t="s">
        <v>5803</v>
      </c>
      <c r="P5733" s="3" t="s">
        <v>5804</v>
      </c>
      <c r="Q5733" s="30" t="str">
        <f t="shared" si="89"/>
        <v>MAX : 3.405
TARGET : 3.400
MIN : 3.395</v>
      </c>
    </row>
    <row r="5734" spans="2:18" ht="41.4" x14ac:dyDescent="0.3">
      <c r="B5734">
        <v>0</v>
      </c>
      <c r="C5734" s="33">
        <v>3136</v>
      </c>
      <c r="D5734" s="2">
        <v>903</v>
      </c>
      <c r="E5734" s="2" t="s">
        <v>6743</v>
      </c>
      <c r="F5734" s="29" t="s">
        <v>14211</v>
      </c>
      <c r="H5734" s="3" t="s">
        <v>210</v>
      </c>
      <c r="K5734" s="2">
        <v>10</v>
      </c>
      <c r="L5734" s="2">
        <v>10</v>
      </c>
      <c r="M5734" s="3" t="s">
        <v>5810</v>
      </c>
      <c r="N5734" s="3" t="s">
        <v>3125</v>
      </c>
      <c r="O5734" s="3" t="s">
        <v>217</v>
      </c>
      <c r="P5734" s="3" t="s">
        <v>1747</v>
      </c>
      <c r="Q5734" s="30" t="str">
        <f t="shared" si="89"/>
        <v>MAX : 0.165
TARGET : 0.150
MIN : 0.135</v>
      </c>
    </row>
    <row r="5735" spans="2:18" ht="41.4" x14ac:dyDescent="0.3">
      <c r="B5735">
        <v>1</v>
      </c>
      <c r="C5735" s="33">
        <v>9260</v>
      </c>
      <c r="D5735" s="2">
        <v>1541</v>
      </c>
      <c r="E5735" s="2" t="s">
        <v>13405</v>
      </c>
      <c r="F5735" s="3" t="s">
        <v>14206</v>
      </c>
      <c r="H5735" s="3" t="s">
        <v>3464</v>
      </c>
      <c r="K5735" s="2">
        <v>10</v>
      </c>
      <c r="L5735" s="2">
        <v>2</v>
      </c>
      <c r="M5735" s="3" t="s">
        <v>2088</v>
      </c>
      <c r="N5735" s="3" t="s">
        <v>5709</v>
      </c>
      <c r="O5735" s="3" t="s">
        <v>5415</v>
      </c>
      <c r="P5735" s="3" t="s">
        <v>4517</v>
      </c>
      <c r="Q5735" s="30" t="str">
        <f t="shared" si="89"/>
        <v>MAX : 4.31
TARGET : 4.25
MIN : 4.19</v>
      </c>
    </row>
    <row r="5736" spans="2:18" ht="41.4" x14ac:dyDescent="0.3">
      <c r="B5736">
        <v>1</v>
      </c>
      <c r="C5736" s="33">
        <v>9261</v>
      </c>
      <c r="D5736" s="2">
        <v>1542</v>
      </c>
      <c r="E5736" s="2" t="s">
        <v>13411</v>
      </c>
      <c r="F5736" s="3" t="s">
        <v>14206</v>
      </c>
      <c r="H5736" s="3" t="s">
        <v>2116</v>
      </c>
      <c r="K5736" s="2">
        <v>20</v>
      </c>
      <c r="L5736" s="2">
        <v>2</v>
      </c>
      <c r="M5736" s="3" t="s">
        <v>467</v>
      </c>
      <c r="N5736" s="3" t="s">
        <v>1334</v>
      </c>
      <c r="O5736" s="3" t="s">
        <v>196</v>
      </c>
      <c r="P5736" s="3" t="s">
        <v>1335</v>
      </c>
      <c r="Q5736" s="30" t="str">
        <f t="shared" si="89"/>
        <v>MAX : 13.06
TARGET : 13.00
MIN : 12.94</v>
      </c>
    </row>
    <row r="5737" spans="2:18" ht="41.4" x14ac:dyDescent="0.3">
      <c r="B5737">
        <v>0</v>
      </c>
      <c r="C5737" s="33">
        <v>4276</v>
      </c>
      <c r="D5737" s="2">
        <v>920</v>
      </c>
      <c r="E5737" s="2" t="s">
        <v>6923</v>
      </c>
      <c r="F5737" s="29" t="s">
        <v>14211</v>
      </c>
      <c r="H5737" s="3" t="s">
        <v>745</v>
      </c>
      <c r="K5737" s="2">
        <v>10</v>
      </c>
      <c r="L5737" s="2">
        <v>2</v>
      </c>
      <c r="M5737" s="3" t="s">
        <v>5807</v>
      </c>
      <c r="N5737" s="3" t="s">
        <v>90</v>
      </c>
      <c r="O5737" s="3" t="s">
        <v>1936</v>
      </c>
      <c r="P5737" s="3" t="s">
        <v>218</v>
      </c>
      <c r="Q5737" s="30" t="str">
        <f t="shared" si="89"/>
        <v>MAX : 0.180
TARGET : 0.175
MIN : 0.170</v>
      </c>
      <c r="R5737" s="3" t="s">
        <v>746</v>
      </c>
    </row>
    <row r="5738" spans="2:18" ht="41.4" x14ac:dyDescent="0.3">
      <c r="B5738">
        <v>0</v>
      </c>
      <c r="C5738" s="33">
        <v>4276</v>
      </c>
      <c r="D5738" s="2">
        <v>920</v>
      </c>
      <c r="E5738" s="2" t="s">
        <v>6923</v>
      </c>
      <c r="F5738" s="29" t="s">
        <v>14211</v>
      </c>
      <c r="H5738" s="3" t="s">
        <v>745</v>
      </c>
      <c r="K5738" s="2">
        <v>10</v>
      </c>
      <c r="L5738" s="2">
        <v>10</v>
      </c>
      <c r="M5738" s="3" t="s">
        <v>5810</v>
      </c>
      <c r="N5738" s="3" t="s">
        <v>3125</v>
      </c>
      <c r="O5738" s="3" t="s">
        <v>217</v>
      </c>
      <c r="P5738" s="3" t="s">
        <v>1747</v>
      </c>
      <c r="Q5738" s="30" t="str">
        <f t="shared" si="89"/>
        <v>MAX : 0.165
TARGET : 0.150
MIN : 0.135</v>
      </c>
      <c r="R5738" s="3" t="s">
        <v>746</v>
      </c>
    </row>
    <row r="5739" spans="2:18" ht="41.4" x14ac:dyDescent="0.3">
      <c r="B5739">
        <v>0</v>
      </c>
      <c r="C5739" s="33">
        <v>4276</v>
      </c>
      <c r="D5739" s="2">
        <v>920</v>
      </c>
      <c r="E5739" s="2" t="s">
        <v>6923</v>
      </c>
      <c r="F5739" s="29" t="s">
        <v>14211</v>
      </c>
      <c r="H5739" s="3" t="s">
        <v>745</v>
      </c>
      <c r="K5739" s="2">
        <v>10</v>
      </c>
      <c r="L5739" s="2">
        <v>4</v>
      </c>
      <c r="M5739" s="3" t="s">
        <v>5801</v>
      </c>
      <c r="N5739" s="3" t="s">
        <v>5802</v>
      </c>
      <c r="O5739" s="3" t="s">
        <v>5803</v>
      </c>
      <c r="P5739" s="3" t="s">
        <v>5804</v>
      </c>
      <c r="Q5739" s="30" t="str">
        <f t="shared" si="89"/>
        <v>MAX : 3.405
TARGET : 3.400
MIN : 3.395</v>
      </c>
      <c r="R5739" s="3" t="s">
        <v>746</v>
      </c>
    </row>
    <row r="5740" spans="2:18" ht="41.4" x14ac:dyDescent="0.3">
      <c r="B5740">
        <v>1</v>
      </c>
      <c r="C5740" s="33">
        <v>9261</v>
      </c>
      <c r="D5740" s="2">
        <v>1542</v>
      </c>
      <c r="E5740" s="2" t="s">
        <v>13411</v>
      </c>
      <c r="F5740" s="3" t="s">
        <v>14206</v>
      </c>
      <c r="H5740" s="3" t="s">
        <v>2116</v>
      </c>
      <c r="K5740" s="2">
        <v>20</v>
      </c>
      <c r="L5740" s="2">
        <v>1</v>
      </c>
      <c r="M5740" s="3" t="s">
        <v>109</v>
      </c>
      <c r="N5740" s="3" t="s">
        <v>2133</v>
      </c>
      <c r="O5740" s="3" t="s">
        <v>61</v>
      </c>
      <c r="P5740" s="3" t="s">
        <v>2134</v>
      </c>
      <c r="Q5740" s="30" t="str">
        <f t="shared" si="89"/>
        <v>MAX : 20.06
TARGET : 20.00
MIN : 19.94</v>
      </c>
    </row>
    <row r="5741" spans="2:18" ht="41.4" x14ac:dyDescent="0.3">
      <c r="B5741">
        <v>1</v>
      </c>
      <c r="C5741" s="33">
        <v>9262</v>
      </c>
      <c r="D5741" s="2">
        <v>1543</v>
      </c>
      <c r="E5741" s="2" t="s">
        <v>13417</v>
      </c>
      <c r="F5741" s="3" t="s">
        <v>14206</v>
      </c>
      <c r="H5741" s="3" t="s">
        <v>962</v>
      </c>
      <c r="K5741" s="2">
        <v>10</v>
      </c>
      <c r="L5741" s="2">
        <v>2</v>
      </c>
      <c r="M5741" s="3" t="s">
        <v>194</v>
      </c>
      <c r="N5741" s="3" t="s">
        <v>5712</v>
      </c>
      <c r="O5741" s="3" t="s">
        <v>5713</v>
      </c>
      <c r="P5741" s="3" t="s">
        <v>5714</v>
      </c>
      <c r="Q5741" s="30" t="str">
        <f t="shared" si="89"/>
        <v>MAX : 4.537
TARGET : 4.527
MIN : 4.517</v>
      </c>
    </row>
    <row r="5742" spans="2:18" ht="41.4" x14ac:dyDescent="0.3">
      <c r="B5742">
        <v>0</v>
      </c>
      <c r="C5742" s="33">
        <v>4735</v>
      </c>
      <c r="D5742" s="2">
        <v>929</v>
      </c>
      <c r="E5742" s="2" t="s">
        <v>7046</v>
      </c>
      <c r="F5742" s="29" t="s">
        <v>14211</v>
      </c>
      <c r="H5742" s="3" t="s">
        <v>210</v>
      </c>
      <c r="K5742" s="2">
        <v>10</v>
      </c>
      <c r="L5742" s="2">
        <v>2</v>
      </c>
      <c r="M5742" s="3" t="s">
        <v>5807</v>
      </c>
      <c r="N5742" s="3" t="s">
        <v>5814</v>
      </c>
      <c r="O5742" s="3" t="s">
        <v>5815</v>
      </c>
      <c r="P5742" s="3" t="s">
        <v>871</v>
      </c>
      <c r="Q5742" s="30" t="str">
        <f t="shared" si="89"/>
        <v>MAX : 0.344
TARGET : 0.339
MIN : 0.334</v>
      </c>
      <c r="R5742" s="3" t="s">
        <v>829</v>
      </c>
    </row>
    <row r="5743" spans="2:18" ht="41.4" x14ac:dyDescent="0.3">
      <c r="B5743">
        <v>0</v>
      </c>
      <c r="C5743" s="33">
        <v>4735</v>
      </c>
      <c r="D5743" s="2">
        <v>929</v>
      </c>
      <c r="E5743" s="2" t="s">
        <v>7046</v>
      </c>
      <c r="F5743" s="29" t="s">
        <v>14211</v>
      </c>
      <c r="H5743" s="3" t="s">
        <v>210</v>
      </c>
      <c r="K5743" s="2">
        <v>10</v>
      </c>
      <c r="L5743" s="2">
        <v>10</v>
      </c>
      <c r="M5743" s="3" t="s">
        <v>5810</v>
      </c>
      <c r="N5743" s="3" t="s">
        <v>3125</v>
      </c>
      <c r="O5743" s="3" t="s">
        <v>217</v>
      </c>
      <c r="P5743" s="3" t="s">
        <v>1747</v>
      </c>
      <c r="Q5743" s="30" t="str">
        <f t="shared" si="89"/>
        <v>MAX : 0.165
TARGET : 0.150
MIN : 0.135</v>
      </c>
      <c r="R5743" s="3" t="s">
        <v>829</v>
      </c>
    </row>
    <row r="5744" spans="2:18" ht="41.4" x14ac:dyDescent="0.3">
      <c r="B5744">
        <v>1</v>
      </c>
      <c r="C5744" s="33">
        <v>9262</v>
      </c>
      <c r="D5744" s="2">
        <v>1543</v>
      </c>
      <c r="E5744" s="2" t="s">
        <v>13417</v>
      </c>
      <c r="F5744" s="3" t="s">
        <v>14206</v>
      </c>
      <c r="H5744" s="3" t="s">
        <v>962</v>
      </c>
      <c r="K5744" s="2">
        <v>10</v>
      </c>
      <c r="L5744" s="2">
        <v>1</v>
      </c>
      <c r="M5744" s="3" t="s">
        <v>198</v>
      </c>
      <c r="N5744" s="3" t="s">
        <v>1505</v>
      </c>
      <c r="O5744" s="3" t="s">
        <v>5710</v>
      </c>
      <c r="P5744" s="3" t="s">
        <v>5711</v>
      </c>
      <c r="Q5744" s="30" t="str">
        <f t="shared" si="89"/>
        <v>MAX : 3.08
TARGET : 3.07
MIN : 3.06</v>
      </c>
    </row>
    <row r="5745" spans="2:18" ht="41.4" x14ac:dyDescent="0.3">
      <c r="B5745">
        <v>0</v>
      </c>
      <c r="C5745" s="33">
        <v>9243</v>
      </c>
      <c r="D5745" s="2">
        <v>2111</v>
      </c>
      <c r="E5745" s="2" t="s">
        <v>13322</v>
      </c>
      <c r="F5745" s="3" t="s">
        <v>14206</v>
      </c>
      <c r="H5745" s="3" t="s">
        <v>5634</v>
      </c>
      <c r="K5745" s="2">
        <v>10</v>
      </c>
      <c r="L5745" s="2">
        <v>2</v>
      </c>
      <c r="M5745" s="3" t="s">
        <v>5753</v>
      </c>
      <c r="N5745" s="3" t="s">
        <v>405</v>
      </c>
      <c r="O5745" s="3" t="s">
        <v>406</v>
      </c>
      <c r="P5745" s="3" t="s">
        <v>407</v>
      </c>
      <c r="Q5745" s="30" t="str">
        <f t="shared" si="89"/>
        <v>MAX : 2.06
TARGET : 2.00
MIN : 1.94</v>
      </c>
    </row>
    <row r="5746" spans="2:18" ht="41.4" x14ac:dyDescent="0.3">
      <c r="B5746">
        <v>1</v>
      </c>
      <c r="C5746" s="33">
        <v>9263</v>
      </c>
      <c r="D5746" s="2">
        <v>2117</v>
      </c>
      <c r="E5746" s="2" t="s">
        <v>13422</v>
      </c>
      <c r="F5746" s="3" t="s">
        <v>14206</v>
      </c>
      <c r="H5746" s="3" t="s">
        <v>11</v>
      </c>
      <c r="K5746" s="2">
        <v>10</v>
      </c>
      <c r="L5746" s="2">
        <v>2</v>
      </c>
      <c r="M5746" s="3" t="s">
        <v>5718</v>
      </c>
      <c r="N5746" s="3" t="s">
        <v>13</v>
      </c>
      <c r="O5746" s="3" t="s">
        <v>14</v>
      </c>
      <c r="Q5746" s="30" t="str">
        <f t="shared" si="89"/>
        <v>MAX : 
TARGET : Yes(Pass)
MIN : No(Fail)</v>
      </c>
      <c r="R5746" s="3" t="s">
        <v>4520</v>
      </c>
    </row>
    <row r="5747" spans="2:18" ht="41.4" x14ac:dyDescent="0.3">
      <c r="B5747">
        <v>1</v>
      </c>
      <c r="C5747" s="33">
        <v>9263</v>
      </c>
      <c r="D5747" s="2">
        <v>2117</v>
      </c>
      <c r="E5747" s="2" t="s">
        <v>13422</v>
      </c>
      <c r="F5747" s="3" t="s">
        <v>14206</v>
      </c>
      <c r="H5747" s="3" t="s">
        <v>11</v>
      </c>
      <c r="K5747" s="2">
        <v>10</v>
      </c>
      <c r="L5747" s="2">
        <v>1</v>
      </c>
      <c r="M5747" s="3" t="s">
        <v>5717</v>
      </c>
      <c r="N5747" s="3" t="s">
        <v>13</v>
      </c>
      <c r="O5747" s="3" t="s">
        <v>14</v>
      </c>
      <c r="Q5747" s="30" t="str">
        <f t="shared" si="89"/>
        <v>MAX : 
TARGET : Yes(Pass)
MIN : No(Fail)</v>
      </c>
      <c r="R5747" s="3" t="s">
        <v>4520</v>
      </c>
    </row>
    <row r="5748" spans="2:18" ht="41.4" x14ac:dyDescent="0.3">
      <c r="B5748">
        <v>1</v>
      </c>
      <c r="C5748" s="33">
        <v>9264</v>
      </c>
      <c r="D5748" s="2">
        <v>1544</v>
      </c>
      <c r="E5748" s="2" t="s">
        <v>13428</v>
      </c>
      <c r="F5748" s="3" t="s">
        <v>14206</v>
      </c>
      <c r="H5748" s="3" t="s">
        <v>1903</v>
      </c>
      <c r="K5748" s="2">
        <v>20</v>
      </c>
      <c r="L5748" s="2">
        <v>1</v>
      </c>
      <c r="M5748" s="3" t="s">
        <v>5726</v>
      </c>
      <c r="N5748" s="3" t="s">
        <v>360</v>
      </c>
      <c r="O5748" s="3" t="s">
        <v>359</v>
      </c>
      <c r="Q5748" s="30" t="str">
        <f t="shared" si="89"/>
        <v>MAX : 
TARGET : Pass
MIN : Fail</v>
      </c>
    </row>
    <row r="5749" spans="2:18" ht="41.4" x14ac:dyDescent="0.3">
      <c r="B5749">
        <v>1</v>
      </c>
      <c r="C5749" s="33">
        <v>9264</v>
      </c>
      <c r="D5749" s="2">
        <v>1544</v>
      </c>
      <c r="E5749" s="2" t="s">
        <v>13428</v>
      </c>
      <c r="F5749" s="3" t="s">
        <v>14206</v>
      </c>
      <c r="H5749" s="3" t="s">
        <v>1903</v>
      </c>
      <c r="K5749" s="2">
        <v>10</v>
      </c>
      <c r="L5749" s="2">
        <v>1</v>
      </c>
      <c r="M5749" s="3" t="s">
        <v>5723</v>
      </c>
      <c r="N5749" s="3" t="s">
        <v>5724</v>
      </c>
      <c r="O5749" s="3" t="s">
        <v>4180</v>
      </c>
      <c r="P5749" s="3" t="s">
        <v>5725</v>
      </c>
      <c r="Q5749" s="30" t="str">
        <f t="shared" si="89"/>
        <v>MAX : 4.563
TARGET : 4.5
MIN : 4.438</v>
      </c>
    </row>
    <row r="5750" spans="2:18" ht="41.4" x14ac:dyDescent="0.3">
      <c r="B5750">
        <v>1</v>
      </c>
      <c r="C5750" s="33">
        <v>9265</v>
      </c>
      <c r="D5750" s="2">
        <v>2118</v>
      </c>
      <c r="E5750" s="2" t="s">
        <v>13435</v>
      </c>
      <c r="F5750" s="3" t="s">
        <v>14207</v>
      </c>
      <c r="H5750" s="3" t="s">
        <v>168</v>
      </c>
      <c r="K5750" s="2">
        <v>10</v>
      </c>
      <c r="L5750" s="2">
        <v>2</v>
      </c>
      <c r="M5750" s="3" t="s">
        <v>611</v>
      </c>
      <c r="N5750" s="3" t="s">
        <v>13</v>
      </c>
      <c r="O5750" s="3" t="s">
        <v>14</v>
      </c>
      <c r="Q5750" s="30" t="str">
        <f t="shared" si="89"/>
        <v>MAX : 
TARGET : Yes(Pass)
MIN : No(Fail)</v>
      </c>
    </row>
    <row r="5751" spans="2:18" ht="41.4" x14ac:dyDescent="0.3">
      <c r="B5751">
        <v>1</v>
      </c>
      <c r="C5751" s="33">
        <v>9265</v>
      </c>
      <c r="D5751" s="2">
        <v>2118</v>
      </c>
      <c r="E5751" s="2" t="s">
        <v>13435</v>
      </c>
      <c r="F5751" s="3" t="s">
        <v>14207</v>
      </c>
      <c r="H5751" s="3" t="s">
        <v>168</v>
      </c>
      <c r="K5751" s="2">
        <v>10</v>
      </c>
      <c r="L5751" s="2">
        <v>1</v>
      </c>
      <c r="M5751" s="3" t="s">
        <v>5722</v>
      </c>
      <c r="N5751" s="3" t="s">
        <v>13</v>
      </c>
      <c r="O5751" s="3" t="s">
        <v>14</v>
      </c>
      <c r="Q5751" s="30" t="str">
        <f t="shared" si="89"/>
        <v>MAX : 
TARGET : Yes(Pass)
MIN : No(Fail)</v>
      </c>
    </row>
    <row r="5752" spans="2:18" ht="41.4" x14ac:dyDescent="0.3">
      <c r="B5752">
        <v>1</v>
      </c>
      <c r="C5752" s="33">
        <v>9266</v>
      </c>
      <c r="D5752" s="2">
        <v>1545</v>
      </c>
      <c r="E5752" s="2" t="s">
        <v>9961</v>
      </c>
      <c r="F5752" s="3" t="s">
        <v>14206</v>
      </c>
      <c r="H5752" s="3" t="s">
        <v>2938</v>
      </c>
      <c r="K5752" s="2">
        <v>10</v>
      </c>
      <c r="L5752" s="2">
        <v>2</v>
      </c>
      <c r="M5752" s="3" t="s">
        <v>198</v>
      </c>
      <c r="N5752" s="3" t="s">
        <v>2940</v>
      </c>
      <c r="O5752" s="3" t="s">
        <v>972</v>
      </c>
      <c r="P5752" s="3" t="s">
        <v>2941</v>
      </c>
      <c r="Q5752" s="30" t="str">
        <f t="shared" si="89"/>
        <v>MAX : 3.281
TARGET : 3.250
MIN : 3.219</v>
      </c>
    </row>
    <row r="5753" spans="2:18" ht="41.4" x14ac:dyDescent="0.3">
      <c r="B5753">
        <v>1</v>
      </c>
      <c r="C5753" s="33">
        <v>9266</v>
      </c>
      <c r="D5753" s="2">
        <v>1545</v>
      </c>
      <c r="E5753" s="2" t="s">
        <v>9961</v>
      </c>
      <c r="F5753" s="3" t="s">
        <v>14206</v>
      </c>
      <c r="H5753" s="3" t="s">
        <v>2938</v>
      </c>
      <c r="K5753" s="2">
        <v>10</v>
      </c>
      <c r="L5753" s="2">
        <v>1</v>
      </c>
      <c r="M5753" s="3" t="s">
        <v>194</v>
      </c>
      <c r="N5753" s="3" t="s">
        <v>1142</v>
      </c>
      <c r="O5753" s="3" t="s">
        <v>365</v>
      </c>
      <c r="P5753" s="3" t="s">
        <v>2939</v>
      </c>
      <c r="Q5753" s="30" t="str">
        <f t="shared" si="89"/>
        <v>MAX : 4.031
TARGET : 4.000
MIN : 3.969</v>
      </c>
    </row>
    <row r="5754" spans="2:18" ht="41.4" x14ac:dyDescent="0.3">
      <c r="B5754">
        <v>0</v>
      </c>
      <c r="C5754" s="33">
        <v>9300</v>
      </c>
      <c r="D5754" s="2">
        <v>1564</v>
      </c>
      <c r="E5754" s="2" t="s">
        <v>13632</v>
      </c>
      <c r="F5754" s="3" t="s">
        <v>14206</v>
      </c>
      <c r="H5754" s="3" t="s">
        <v>1721</v>
      </c>
      <c r="I5754" s="3" t="s">
        <v>575</v>
      </c>
      <c r="K5754" s="2">
        <v>10</v>
      </c>
      <c r="L5754" s="2">
        <v>3</v>
      </c>
      <c r="M5754" s="3" t="s">
        <v>5824</v>
      </c>
      <c r="N5754" s="3" t="s">
        <v>13</v>
      </c>
      <c r="O5754" s="3" t="s">
        <v>14</v>
      </c>
      <c r="Q5754" s="30" t="str">
        <f t="shared" si="89"/>
        <v>MAX : 
TARGET : Yes(Pass)
MIN : No(Fail)</v>
      </c>
    </row>
    <row r="5755" spans="2:18" ht="41.4" x14ac:dyDescent="0.3">
      <c r="B5755">
        <v>0</v>
      </c>
      <c r="C5755" s="33">
        <v>9300</v>
      </c>
      <c r="D5755" s="2">
        <v>1564</v>
      </c>
      <c r="E5755" s="2" t="s">
        <v>13632</v>
      </c>
      <c r="F5755" s="3" t="s">
        <v>14206</v>
      </c>
      <c r="H5755" s="3" t="s">
        <v>1721</v>
      </c>
      <c r="I5755" s="3" t="s">
        <v>575</v>
      </c>
      <c r="K5755" s="2">
        <v>10</v>
      </c>
      <c r="L5755" s="2">
        <v>4</v>
      </c>
      <c r="M5755" s="3" t="s">
        <v>78</v>
      </c>
      <c r="N5755" s="3" t="s">
        <v>13</v>
      </c>
      <c r="O5755" s="3" t="s">
        <v>14</v>
      </c>
      <c r="Q5755" s="30" t="str">
        <f t="shared" si="89"/>
        <v>MAX : 
TARGET : Yes(Pass)
MIN : No(Fail)</v>
      </c>
    </row>
    <row r="5756" spans="2:18" ht="41.4" x14ac:dyDescent="0.3">
      <c r="B5756">
        <v>1</v>
      </c>
      <c r="C5756" s="33">
        <v>9267</v>
      </c>
      <c r="D5756" s="2">
        <v>2119</v>
      </c>
      <c r="E5756" s="2" t="s">
        <v>13445</v>
      </c>
      <c r="F5756" s="3" t="s">
        <v>14206</v>
      </c>
      <c r="H5756" s="3" t="s">
        <v>5727</v>
      </c>
      <c r="I5756" s="3" t="s">
        <v>487</v>
      </c>
      <c r="K5756" s="2">
        <v>10</v>
      </c>
      <c r="L5756" s="2">
        <v>2</v>
      </c>
      <c r="M5756" s="3" t="s">
        <v>325</v>
      </c>
      <c r="N5756" s="3" t="s">
        <v>13</v>
      </c>
      <c r="O5756" s="3" t="s">
        <v>14</v>
      </c>
      <c r="Q5756" s="30" t="str">
        <f t="shared" si="89"/>
        <v>MAX : 
TARGET : Yes(Pass)
MIN : No(Fail)</v>
      </c>
    </row>
    <row r="5757" spans="2:18" ht="41.4" x14ac:dyDescent="0.3">
      <c r="B5757">
        <v>1</v>
      </c>
      <c r="C5757" s="33">
        <v>9267</v>
      </c>
      <c r="D5757" s="2">
        <v>2119</v>
      </c>
      <c r="E5757" s="2" t="s">
        <v>13445</v>
      </c>
      <c r="F5757" s="3" t="s">
        <v>14206</v>
      </c>
      <c r="H5757" s="3" t="s">
        <v>5727</v>
      </c>
      <c r="I5757" s="3" t="s">
        <v>487</v>
      </c>
      <c r="K5757" s="2">
        <v>10</v>
      </c>
      <c r="L5757" s="2">
        <v>1</v>
      </c>
      <c r="M5757" s="3" t="s">
        <v>458</v>
      </c>
      <c r="N5757" s="3" t="s">
        <v>2300</v>
      </c>
      <c r="O5757" s="3" t="s">
        <v>857</v>
      </c>
      <c r="P5757" s="3" t="s">
        <v>2301</v>
      </c>
      <c r="Q5757" s="30" t="str">
        <f t="shared" si="89"/>
        <v>MAX : 16.06
TARGET : 16.00
MIN : 15.94</v>
      </c>
    </row>
    <row r="5758" spans="2:18" ht="41.4" x14ac:dyDescent="0.3">
      <c r="B5758">
        <v>0</v>
      </c>
      <c r="C5758" s="33">
        <v>9299</v>
      </c>
      <c r="D5758" s="2">
        <v>1563</v>
      </c>
      <c r="E5758" s="2" t="s">
        <v>13626</v>
      </c>
      <c r="F5758" s="3" t="s">
        <v>14207</v>
      </c>
      <c r="H5758" s="3" t="s">
        <v>426</v>
      </c>
      <c r="I5758" s="3" t="s">
        <v>487</v>
      </c>
      <c r="K5758" s="2">
        <v>20</v>
      </c>
      <c r="L5758" s="2">
        <v>3</v>
      </c>
      <c r="M5758" s="3" t="s">
        <v>198</v>
      </c>
      <c r="N5758" s="3" t="s">
        <v>5825</v>
      </c>
      <c r="O5758" s="3" t="s">
        <v>5826</v>
      </c>
      <c r="P5758" s="3" t="s">
        <v>5827</v>
      </c>
      <c r="Q5758" s="30" t="str">
        <f t="shared" si="89"/>
        <v>MAX : 39.2
TARGET : 38.2
MIN : 37.2</v>
      </c>
      <c r="R5758" s="3" t="s">
        <v>1638</v>
      </c>
    </row>
    <row r="5759" spans="2:18" ht="41.4" x14ac:dyDescent="0.3">
      <c r="B5759">
        <v>0</v>
      </c>
      <c r="C5759" s="33">
        <v>9299</v>
      </c>
      <c r="D5759" s="2">
        <v>1563</v>
      </c>
      <c r="E5759" s="2" t="s">
        <v>13626</v>
      </c>
      <c r="F5759" s="3" t="s">
        <v>14207</v>
      </c>
      <c r="H5759" s="3" t="s">
        <v>426</v>
      </c>
      <c r="I5759" s="3" t="s">
        <v>487</v>
      </c>
      <c r="K5759" s="2">
        <v>20</v>
      </c>
      <c r="L5759" s="2">
        <v>4</v>
      </c>
      <c r="M5759" s="3" t="s">
        <v>5828</v>
      </c>
      <c r="N5759" s="3" t="s">
        <v>13</v>
      </c>
      <c r="O5759" s="3" t="s">
        <v>14</v>
      </c>
      <c r="Q5759" s="30" t="str">
        <f t="shared" si="89"/>
        <v>MAX : 
TARGET : Yes(Pass)
MIN : No(Fail)</v>
      </c>
      <c r="R5759" s="3" t="s">
        <v>1638</v>
      </c>
    </row>
    <row r="5760" spans="2:18" ht="41.4" x14ac:dyDescent="0.3">
      <c r="B5760">
        <v>0</v>
      </c>
      <c r="C5760" s="33">
        <v>9299</v>
      </c>
      <c r="D5760" s="2">
        <v>1563</v>
      </c>
      <c r="E5760" s="2" t="s">
        <v>13626</v>
      </c>
      <c r="F5760" s="3" t="s">
        <v>14207</v>
      </c>
      <c r="H5760" s="3" t="s">
        <v>426</v>
      </c>
      <c r="I5760" s="3" t="s">
        <v>487</v>
      </c>
      <c r="K5760" s="2">
        <v>20</v>
      </c>
      <c r="L5760" s="2">
        <v>5</v>
      </c>
      <c r="M5760" s="3" t="s">
        <v>78</v>
      </c>
      <c r="N5760" s="3" t="s">
        <v>13</v>
      </c>
      <c r="O5760" s="3" t="s">
        <v>14</v>
      </c>
      <c r="Q5760" s="30" t="str">
        <f t="shared" si="89"/>
        <v>MAX : 
TARGET : Yes(Pass)
MIN : No(Fail)</v>
      </c>
      <c r="R5760" s="3" t="s">
        <v>1638</v>
      </c>
    </row>
    <row r="5761" spans="2:18" ht="41.4" x14ac:dyDescent="0.3">
      <c r="B5761">
        <v>1</v>
      </c>
      <c r="C5761" s="33">
        <v>9268</v>
      </c>
      <c r="D5761" s="2">
        <v>1546</v>
      </c>
      <c r="E5761" s="2" t="s">
        <v>13451</v>
      </c>
      <c r="F5761" s="3" t="s">
        <v>14206</v>
      </c>
      <c r="H5761" s="3" t="s">
        <v>648</v>
      </c>
      <c r="I5761" s="3" t="s">
        <v>575</v>
      </c>
      <c r="K5761" s="2">
        <v>10</v>
      </c>
      <c r="L5761" s="2">
        <v>2</v>
      </c>
      <c r="M5761" s="3" t="s">
        <v>467</v>
      </c>
      <c r="N5761" s="3" t="s">
        <v>1634</v>
      </c>
      <c r="O5761" s="3" t="s">
        <v>557</v>
      </c>
      <c r="P5761" s="3" t="s">
        <v>1110</v>
      </c>
      <c r="Q5761" s="30" t="str">
        <f t="shared" si="89"/>
        <v>MAX : 5.125
TARGET : 5.000
MIN : 4.875</v>
      </c>
    </row>
    <row r="5762" spans="2:18" ht="41.4" x14ac:dyDescent="0.3">
      <c r="B5762">
        <v>1</v>
      </c>
      <c r="C5762" s="33">
        <v>9268</v>
      </c>
      <c r="D5762" s="2">
        <v>1546</v>
      </c>
      <c r="E5762" s="2" t="s">
        <v>13451</v>
      </c>
      <c r="F5762" s="3" t="s">
        <v>14206</v>
      </c>
      <c r="H5762" s="3" t="s">
        <v>648</v>
      </c>
      <c r="I5762" s="3" t="s">
        <v>575</v>
      </c>
      <c r="K5762" s="2">
        <v>10</v>
      </c>
      <c r="L5762" s="2">
        <v>1</v>
      </c>
      <c r="M5762" s="3" t="s">
        <v>109</v>
      </c>
      <c r="N5762" s="3" t="s">
        <v>5728</v>
      </c>
      <c r="O5762" s="3" t="s">
        <v>1820</v>
      </c>
      <c r="P5762" s="3" t="s">
        <v>742</v>
      </c>
      <c r="Q5762" s="30" t="str">
        <f t="shared" ref="Q5762:Q5825" si="90">"MAX : " &amp; P5762 &amp; CHAR(10) &amp; "TARGET : " &amp; O5762 &amp; CHAR(10) &amp; "MIN : " &amp; N5762</f>
        <v>MAX : 3.125
TARGET : 3.000
MIN : 2.875</v>
      </c>
    </row>
    <row r="5763" spans="2:18" ht="41.4" x14ac:dyDescent="0.3">
      <c r="B5763">
        <v>0</v>
      </c>
      <c r="C5763" s="33">
        <v>9303</v>
      </c>
      <c r="D5763" s="2">
        <v>1567</v>
      </c>
      <c r="E5763" s="2" t="s">
        <v>13652</v>
      </c>
      <c r="F5763" s="3" t="s">
        <v>14206</v>
      </c>
      <c r="H5763" s="3" t="s">
        <v>812</v>
      </c>
      <c r="K5763" s="2">
        <v>10</v>
      </c>
      <c r="L5763" s="2">
        <v>3</v>
      </c>
      <c r="M5763" s="3" t="s">
        <v>194</v>
      </c>
      <c r="N5763" s="3" t="s">
        <v>2469</v>
      </c>
      <c r="O5763" s="3" t="s">
        <v>2470</v>
      </c>
      <c r="P5763" s="3" t="s">
        <v>2471</v>
      </c>
      <c r="Q5763" s="30" t="str">
        <f t="shared" si="90"/>
        <v>MAX : 9.28
TARGET : 9.25
MIN : 9.22</v>
      </c>
    </row>
    <row r="5764" spans="2:18" ht="41.4" x14ac:dyDescent="0.3">
      <c r="B5764">
        <v>0</v>
      </c>
      <c r="C5764" s="33">
        <v>9303</v>
      </c>
      <c r="D5764" s="2">
        <v>1567</v>
      </c>
      <c r="E5764" s="2" t="s">
        <v>13652</v>
      </c>
      <c r="F5764" s="3" t="s">
        <v>14206</v>
      </c>
      <c r="H5764" s="3" t="s">
        <v>812</v>
      </c>
      <c r="K5764" s="2">
        <v>10</v>
      </c>
      <c r="L5764" s="2">
        <v>4</v>
      </c>
      <c r="M5764" s="3" t="s">
        <v>3342</v>
      </c>
      <c r="N5764" s="3" t="s">
        <v>2212</v>
      </c>
      <c r="O5764" s="3" t="s">
        <v>3343</v>
      </c>
      <c r="P5764" s="3" t="s">
        <v>3344</v>
      </c>
      <c r="Q5764" s="30" t="str">
        <f t="shared" si="90"/>
        <v>MAX : 9.53
TARGET : 9.50
MIN : 9.47</v>
      </c>
    </row>
    <row r="5765" spans="2:18" ht="41.4" x14ac:dyDescent="0.3">
      <c r="B5765">
        <v>0</v>
      </c>
      <c r="C5765" s="33">
        <v>9303</v>
      </c>
      <c r="D5765" s="2">
        <v>1567</v>
      </c>
      <c r="E5765" s="2" t="s">
        <v>13652</v>
      </c>
      <c r="F5765" s="3" t="s">
        <v>14206</v>
      </c>
      <c r="H5765" s="3" t="s">
        <v>812</v>
      </c>
      <c r="K5765" s="2">
        <v>10</v>
      </c>
      <c r="L5765" s="2">
        <v>5</v>
      </c>
      <c r="M5765" s="3" t="s">
        <v>3381</v>
      </c>
      <c r="N5765" s="3" t="s">
        <v>13</v>
      </c>
      <c r="O5765" s="3" t="s">
        <v>14</v>
      </c>
      <c r="Q5765" s="30" t="str">
        <f t="shared" si="90"/>
        <v>MAX : 
TARGET : Yes(Pass)
MIN : No(Fail)</v>
      </c>
    </row>
    <row r="5766" spans="2:18" ht="41.4" x14ac:dyDescent="0.3">
      <c r="B5766">
        <v>0</v>
      </c>
      <c r="C5766" s="33">
        <v>9303</v>
      </c>
      <c r="D5766" s="2">
        <v>1567</v>
      </c>
      <c r="E5766" s="2" t="s">
        <v>13652</v>
      </c>
      <c r="F5766" s="3" t="s">
        <v>14206</v>
      </c>
      <c r="H5766" s="3" t="s">
        <v>812</v>
      </c>
      <c r="K5766" s="2">
        <v>10</v>
      </c>
      <c r="L5766" s="2">
        <v>6</v>
      </c>
      <c r="M5766" s="3" t="s">
        <v>78</v>
      </c>
      <c r="N5766" s="3" t="s">
        <v>13</v>
      </c>
      <c r="O5766" s="3" t="s">
        <v>14</v>
      </c>
      <c r="Q5766" s="30" t="str">
        <f t="shared" si="90"/>
        <v>MAX : 
TARGET : Yes(Pass)
MIN : No(Fail)</v>
      </c>
    </row>
    <row r="5767" spans="2:18" ht="41.4" x14ac:dyDescent="0.3">
      <c r="B5767">
        <v>1</v>
      </c>
      <c r="C5767" s="33">
        <v>9269</v>
      </c>
      <c r="D5767" s="2">
        <v>2120</v>
      </c>
      <c r="E5767" s="2" t="s">
        <v>13457</v>
      </c>
      <c r="F5767" s="3" t="s">
        <v>14206</v>
      </c>
      <c r="H5767" s="3" t="s">
        <v>269</v>
      </c>
      <c r="I5767" s="3" t="s">
        <v>487</v>
      </c>
      <c r="K5767" s="2">
        <v>20</v>
      </c>
      <c r="L5767" s="2">
        <v>1</v>
      </c>
      <c r="M5767" s="3" t="s">
        <v>458</v>
      </c>
      <c r="N5767" s="3" t="s">
        <v>485</v>
      </c>
      <c r="O5767" s="3" t="s">
        <v>272</v>
      </c>
      <c r="P5767" s="3" t="s">
        <v>507</v>
      </c>
      <c r="Q5767" s="30" t="str">
        <f t="shared" si="90"/>
        <v>MAX : 1.06
TARGET : 1.00
MIN : 0.94</v>
      </c>
    </row>
    <row r="5768" spans="2:18" ht="41.4" x14ac:dyDescent="0.3">
      <c r="B5768">
        <v>1</v>
      </c>
      <c r="C5768" s="33">
        <v>9269</v>
      </c>
      <c r="D5768" s="2">
        <v>2120</v>
      </c>
      <c r="E5768" s="2" t="s">
        <v>13457</v>
      </c>
      <c r="F5768" s="3" t="s">
        <v>14206</v>
      </c>
      <c r="H5768" s="3" t="s">
        <v>269</v>
      </c>
      <c r="I5768" s="3" t="s">
        <v>487</v>
      </c>
      <c r="K5768" s="2">
        <v>10</v>
      </c>
      <c r="L5768" s="2">
        <v>1</v>
      </c>
      <c r="M5768" s="3" t="s">
        <v>5734</v>
      </c>
      <c r="N5768" s="3" t="s">
        <v>1173</v>
      </c>
      <c r="O5768" s="3" t="s">
        <v>250</v>
      </c>
      <c r="P5768" s="3" t="s">
        <v>1174</v>
      </c>
      <c r="Q5768" s="30" t="str">
        <f t="shared" si="90"/>
        <v>MAX : 6.06
TARGET : 6.00
MIN : 5.94</v>
      </c>
    </row>
    <row r="5769" spans="2:18" ht="41.4" x14ac:dyDescent="0.3">
      <c r="B5769">
        <v>0</v>
      </c>
      <c r="C5769" s="33">
        <v>9301</v>
      </c>
      <c r="D5769" s="2">
        <v>1565</v>
      </c>
      <c r="E5769" s="2" t="s">
        <v>13639</v>
      </c>
      <c r="F5769" s="3" t="s">
        <v>14207</v>
      </c>
      <c r="H5769" s="3" t="s">
        <v>469</v>
      </c>
      <c r="I5769" s="3" t="s">
        <v>575</v>
      </c>
      <c r="K5769" s="2">
        <v>20</v>
      </c>
      <c r="L5769" s="2">
        <v>3</v>
      </c>
      <c r="M5769" s="3" t="s">
        <v>5836</v>
      </c>
      <c r="N5769" s="3" t="s">
        <v>2104</v>
      </c>
      <c r="O5769" s="3" t="s">
        <v>388</v>
      </c>
      <c r="P5769" s="3" t="s">
        <v>4953</v>
      </c>
      <c r="Q5769" s="30" t="str">
        <f t="shared" si="90"/>
        <v>MAX : 6.3
TARGET : 6.0
MIN : 5.7</v>
      </c>
      <c r="R5769" s="3" t="s">
        <v>1638</v>
      </c>
    </row>
    <row r="5770" spans="2:18" ht="41.4" x14ac:dyDescent="0.3">
      <c r="B5770">
        <v>0</v>
      </c>
      <c r="C5770" s="33">
        <v>9301</v>
      </c>
      <c r="D5770" s="2">
        <v>1565</v>
      </c>
      <c r="E5770" s="2" t="s">
        <v>13639</v>
      </c>
      <c r="F5770" s="3" t="s">
        <v>14207</v>
      </c>
      <c r="H5770" s="3" t="s">
        <v>469</v>
      </c>
      <c r="I5770" s="3" t="s">
        <v>575</v>
      </c>
      <c r="K5770" s="2">
        <v>20</v>
      </c>
      <c r="L5770" s="2">
        <v>4</v>
      </c>
      <c r="M5770" s="3" t="s">
        <v>5837</v>
      </c>
      <c r="N5770" s="3" t="s">
        <v>5838</v>
      </c>
      <c r="O5770" s="3" t="s">
        <v>5839</v>
      </c>
      <c r="P5770" s="3" t="s">
        <v>4999</v>
      </c>
      <c r="Q5770" s="30" t="str">
        <f t="shared" si="90"/>
        <v>MAX : 97.8
TARGET : 97.5
MIN : 97.2</v>
      </c>
      <c r="R5770" s="3" t="s">
        <v>1638</v>
      </c>
    </row>
    <row r="5771" spans="2:18" ht="41.4" x14ac:dyDescent="0.3">
      <c r="B5771">
        <v>0</v>
      </c>
      <c r="C5771" s="33">
        <v>9301</v>
      </c>
      <c r="D5771" s="2">
        <v>1565</v>
      </c>
      <c r="E5771" s="2" t="s">
        <v>13639</v>
      </c>
      <c r="F5771" s="3" t="s">
        <v>14207</v>
      </c>
      <c r="H5771" s="3" t="s">
        <v>469</v>
      </c>
      <c r="I5771" s="3" t="s">
        <v>575</v>
      </c>
      <c r="K5771" s="2">
        <v>20</v>
      </c>
      <c r="L5771" s="2">
        <v>5</v>
      </c>
      <c r="M5771" s="3" t="s">
        <v>198</v>
      </c>
      <c r="N5771" s="3" t="s">
        <v>5840</v>
      </c>
      <c r="O5771" s="3" t="s">
        <v>5841</v>
      </c>
      <c r="P5771" s="3" t="s">
        <v>5842</v>
      </c>
      <c r="Q5771" s="30" t="str">
        <f t="shared" si="90"/>
        <v>MAX : 105.8
TARGET : 105.5
MIN : 105.2</v>
      </c>
      <c r="R5771" s="3" t="s">
        <v>1638</v>
      </c>
    </row>
    <row r="5772" spans="2:18" ht="41.4" x14ac:dyDescent="0.3">
      <c r="B5772">
        <v>0</v>
      </c>
      <c r="C5772" s="33">
        <v>9301</v>
      </c>
      <c r="D5772" s="2">
        <v>1565</v>
      </c>
      <c r="E5772" s="2" t="s">
        <v>13639</v>
      </c>
      <c r="F5772" s="3" t="s">
        <v>14207</v>
      </c>
      <c r="H5772" s="3" t="s">
        <v>469</v>
      </c>
      <c r="I5772" s="3" t="s">
        <v>575</v>
      </c>
      <c r="K5772" s="2">
        <v>20</v>
      </c>
      <c r="L5772" s="2">
        <v>6</v>
      </c>
      <c r="M5772" s="3" t="s">
        <v>5843</v>
      </c>
      <c r="N5772" s="3" t="s">
        <v>2104</v>
      </c>
      <c r="O5772" s="3" t="s">
        <v>388</v>
      </c>
      <c r="P5772" s="3" t="s">
        <v>4953</v>
      </c>
      <c r="Q5772" s="30" t="str">
        <f t="shared" si="90"/>
        <v>MAX : 6.3
TARGET : 6.0
MIN : 5.7</v>
      </c>
      <c r="R5772" s="3" t="s">
        <v>1638</v>
      </c>
    </row>
    <row r="5773" spans="2:18" ht="41.4" x14ac:dyDescent="0.3">
      <c r="B5773">
        <v>0</v>
      </c>
      <c r="C5773" s="33">
        <v>9301</v>
      </c>
      <c r="D5773" s="2">
        <v>1565</v>
      </c>
      <c r="E5773" s="2" t="s">
        <v>13639</v>
      </c>
      <c r="F5773" s="3" t="s">
        <v>14207</v>
      </c>
      <c r="H5773" s="3" t="s">
        <v>469</v>
      </c>
      <c r="I5773" s="3" t="s">
        <v>575</v>
      </c>
      <c r="K5773" s="2">
        <v>20</v>
      </c>
      <c r="L5773" s="2">
        <v>7</v>
      </c>
      <c r="M5773" s="3" t="s">
        <v>5844</v>
      </c>
      <c r="N5773" s="3" t="s">
        <v>13</v>
      </c>
      <c r="O5773" s="3" t="s">
        <v>14</v>
      </c>
      <c r="Q5773" s="30" t="str">
        <f t="shared" si="90"/>
        <v>MAX : 
TARGET : Yes(Pass)
MIN : No(Fail)</v>
      </c>
      <c r="R5773" s="3" t="s">
        <v>1638</v>
      </c>
    </row>
    <row r="5774" spans="2:18" ht="41.4" x14ac:dyDescent="0.3">
      <c r="B5774">
        <v>1</v>
      </c>
      <c r="C5774" s="33">
        <v>9271</v>
      </c>
      <c r="D5774" s="2">
        <v>2121</v>
      </c>
      <c r="E5774" s="2" t="s">
        <v>13463</v>
      </c>
      <c r="F5774" s="3" t="s">
        <v>14206</v>
      </c>
      <c r="H5774" s="3" t="s">
        <v>824</v>
      </c>
      <c r="I5774" s="3" t="s">
        <v>487</v>
      </c>
      <c r="K5774" s="2">
        <v>10</v>
      </c>
      <c r="L5774" s="2">
        <v>2</v>
      </c>
      <c r="M5774" s="3" t="s">
        <v>325</v>
      </c>
      <c r="N5774" s="3" t="s">
        <v>13</v>
      </c>
      <c r="O5774" s="3" t="s">
        <v>14</v>
      </c>
      <c r="Q5774" s="30" t="str">
        <f t="shared" si="90"/>
        <v>MAX : 
TARGET : Yes(Pass)
MIN : No(Fail)</v>
      </c>
    </row>
    <row r="5775" spans="2:18" ht="41.4" x14ac:dyDescent="0.3">
      <c r="B5775">
        <v>1</v>
      </c>
      <c r="C5775" s="33">
        <v>9271</v>
      </c>
      <c r="D5775" s="2">
        <v>2121</v>
      </c>
      <c r="E5775" s="2" t="s">
        <v>13463</v>
      </c>
      <c r="F5775" s="3" t="s">
        <v>14206</v>
      </c>
      <c r="H5775" s="3" t="s">
        <v>824</v>
      </c>
      <c r="I5775" s="3" t="s">
        <v>487</v>
      </c>
      <c r="K5775" s="2">
        <v>10</v>
      </c>
      <c r="L5775" s="2">
        <v>1</v>
      </c>
      <c r="M5775" s="3" t="s">
        <v>458</v>
      </c>
      <c r="N5775" s="3" t="s">
        <v>1173</v>
      </c>
      <c r="O5775" s="3" t="s">
        <v>250</v>
      </c>
      <c r="P5775" s="3" t="s">
        <v>1174</v>
      </c>
      <c r="Q5775" s="30" t="str">
        <f t="shared" si="90"/>
        <v>MAX : 6.06
TARGET : 6.00
MIN : 5.94</v>
      </c>
    </row>
    <row r="5776" spans="2:18" ht="41.4" x14ac:dyDescent="0.3">
      <c r="B5776">
        <v>1</v>
      </c>
      <c r="C5776" s="33">
        <v>9272</v>
      </c>
      <c r="D5776" s="2">
        <v>2122</v>
      </c>
      <c r="E5776" s="2" t="s">
        <v>13469</v>
      </c>
      <c r="F5776" s="3" t="s">
        <v>14207</v>
      </c>
      <c r="H5776" s="3" t="s">
        <v>895</v>
      </c>
      <c r="K5776" s="2">
        <v>10</v>
      </c>
      <c r="L5776" s="2">
        <v>2</v>
      </c>
      <c r="M5776" s="3" t="s">
        <v>325</v>
      </c>
      <c r="N5776" s="3" t="s">
        <v>13</v>
      </c>
      <c r="O5776" s="3" t="s">
        <v>14</v>
      </c>
      <c r="Q5776" s="30" t="str">
        <f t="shared" si="90"/>
        <v>MAX : 
TARGET : Yes(Pass)
MIN : No(Fail)</v>
      </c>
    </row>
    <row r="5777" spans="2:18" ht="41.4" x14ac:dyDescent="0.3">
      <c r="B5777">
        <v>1</v>
      </c>
      <c r="C5777" s="33">
        <v>9272</v>
      </c>
      <c r="D5777" s="2">
        <v>2122</v>
      </c>
      <c r="E5777" s="2" t="s">
        <v>13469</v>
      </c>
      <c r="F5777" s="3" t="s">
        <v>14207</v>
      </c>
      <c r="H5777" s="3" t="s">
        <v>895</v>
      </c>
      <c r="K5777" s="2">
        <v>10</v>
      </c>
      <c r="L5777" s="2">
        <v>1</v>
      </c>
      <c r="M5777" s="3" t="s">
        <v>458</v>
      </c>
      <c r="N5777" s="3" t="s">
        <v>1919</v>
      </c>
      <c r="O5777" s="3" t="s">
        <v>1920</v>
      </c>
      <c r="P5777" s="3" t="s">
        <v>1921</v>
      </c>
      <c r="Q5777" s="30" t="str">
        <f t="shared" si="90"/>
        <v>MAX : 39
TARGET : 38
MIN : 37</v>
      </c>
    </row>
    <row r="5778" spans="2:18" ht="41.4" x14ac:dyDescent="0.3">
      <c r="B5778">
        <v>0</v>
      </c>
      <c r="C5778" s="33">
        <v>9304</v>
      </c>
      <c r="D5778" s="2">
        <v>2132</v>
      </c>
      <c r="E5778" s="2" t="s">
        <v>13658</v>
      </c>
      <c r="F5778" s="3" t="s">
        <v>14206</v>
      </c>
      <c r="H5778" s="3" t="s">
        <v>895</v>
      </c>
      <c r="I5778" s="3" t="s">
        <v>487</v>
      </c>
      <c r="K5778" s="2">
        <v>10</v>
      </c>
      <c r="L5778" s="2">
        <v>3</v>
      </c>
      <c r="M5778" s="3" t="s">
        <v>611</v>
      </c>
      <c r="N5778" s="3" t="s">
        <v>13</v>
      </c>
      <c r="O5778" s="3" t="s">
        <v>14</v>
      </c>
      <c r="Q5778" s="30" t="str">
        <f t="shared" si="90"/>
        <v>MAX : 
TARGET : Yes(Pass)
MIN : No(Fail)</v>
      </c>
    </row>
    <row r="5779" spans="2:18" ht="41.4" x14ac:dyDescent="0.3">
      <c r="B5779">
        <v>1</v>
      </c>
      <c r="C5779" s="33">
        <v>9273</v>
      </c>
      <c r="D5779" s="2">
        <v>1547</v>
      </c>
      <c r="E5779" s="2" t="s">
        <v>13476</v>
      </c>
      <c r="F5779" s="3" t="s">
        <v>14206</v>
      </c>
      <c r="H5779" s="3" t="s">
        <v>713</v>
      </c>
      <c r="K5779" s="2">
        <v>20</v>
      </c>
      <c r="L5779" s="2">
        <v>4</v>
      </c>
      <c r="M5779" s="3" t="s">
        <v>4683</v>
      </c>
      <c r="N5779" s="3" t="s">
        <v>1746</v>
      </c>
      <c r="O5779" s="3" t="s">
        <v>1938</v>
      </c>
      <c r="P5779" s="3" t="s">
        <v>1603</v>
      </c>
      <c r="Q5779" s="30" t="str">
        <f t="shared" si="90"/>
        <v>MAX : 0.265
TARGET : 0.205
MIN : 0.145</v>
      </c>
      <c r="R5779" s="3" t="s">
        <v>1638</v>
      </c>
    </row>
    <row r="5780" spans="2:18" ht="41.4" x14ac:dyDescent="0.3">
      <c r="B5780">
        <v>1</v>
      </c>
      <c r="C5780" s="33">
        <v>9273</v>
      </c>
      <c r="D5780" s="2">
        <v>1547</v>
      </c>
      <c r="E5780" s="2" t="s">
        <v>13476</v>
      </c>
      <c r="F5780" s="3" t="s">
        <v>14206</v>
      </c>
      <c r="H5780" s="3" t="s">
        <v>713</v>
      </c>
      <c r="K5780" s="2">
        <v>20</v>
      </c>
      <c r="L5780" s="2">
        <v>3</v>
      </c>
      <c r="M5780" s="3" t="s">
        <v>5867</v>
      </c>
      <c r="N5780" s="3" t="s">
        <v>471</v>
      </c>
      <c r="O5780" s="3" t="s">
        <v>345</v>
      </c>
      <c r="P5780" s="3" t="s">
        <v>3909</v>
      </c>
      <c r="Q5780" s="30" t="str">
        <f t="shared" si="90"/>
        <v>MAX : 1.76
TARGET : 1.75
MIN : 1.74</v>
      </c>
      <c r="R5780" s="3" t="s">
        <v>1638</v>
      </c>
    </row>
    <row r="5781" spans="2:18" ht="41.4" x14ac:dyDescent="0.3">
      <c r="B5781">
        <v>0</v>
      </c>
      <c r="C5781" s="33">
        <v>9302</v>
      </c>
      <c r="D5781" s="2">
        <v>1566</v>
      </c>
      <c r="E5781" s="2" t="s">
        <v>13645</v>
      </c>
      <c r="F5781" s="3" t="s">
        <v>14206</v>
      </c>
      <c r="H5781" s="3" t="s">
        <v>747</v>
      </c>
      <c r="I5781" s="3" t="s">
        <v>575</v>
      </c>
      <c r="K5781" s="2">
        <v>10</v>
      </c>
      <c r="L5781" s="2">
        <v>2</v>
      </c>
      <c r="M5781" s="3" t="s">
        <v>5847</v>
      </c>
      <c r="N5781" s="3" t="s">
        <v>5848</v>
      </c>
      <c r="O5781" s="3" t="s">
        <v>5849</v>
      </c>
      <c r="P5781" s="3" t="s">
        <v>5850</v>
      </c>
      <c r="Q5781" s="30" t="str">
        <f t="shared" si="90"/>
        <v>MAX : 0.458
TARGET : 0.448
MIN : 0.438</v>
      </c>
      <c r="R5781" s="3" t="s">
        <v>1638</v>
      </c>
    </row>
    <row r="5782" spans="2:18" ht="41.4" x14ac:dyDescent="0.3">
      <c r="B5782">
        <v>1</v>
      </c>
      <c r="C5782" s="33">
        <v>9273</v>
      </c>
      <c r="D5782" s="2">
        <v>1547</v>
      </c>
      <c r="E5782" s="2" t="s">
        <v>13476</v>
      </c>
      <c r="F5782" s="3" t="s">
        <v>14206</v>
      </c>
      <c r="H5782" s="3" t="s">
        <v>713</v>
      </c>
      <c r="K5782" s="2">
        <v>20</v>
      </c>
      <c r="L5782" s="2">
        <v>2</v>
      </c>
      <c r="M5782" s="3" t="s">
        <v>5736</v>
      </c>
      <c r="N5782" s="3" t="s">
        <v>471</v>
      </c>
      <c r="O5782" s="3" t="s">
        <v>345</v>
      </c>
      <c r="P5782" s="3" t="s">
        <v>3909</v>
      </c>
      <c r="Q5782" s="30" t="str">
        <f t="shared" si="90"/>
        <v>MAX : 1.76
TARGET : 1.75
MIN : 1.74</v>
      </c>
      <c r="R5782" s="3" t="s">
        <v>1638</v>
      </c>
    </row>
    <row r="5783" spans="2:18" ht="41.4" x14ac:dyDescent="0.3">
      <c r="B5783">
        <v>1</v>
      </c>
      <c r="C5783" s="33">
        <v>9273</v>
      </c>
      <c r="D5783" s="2">
        <v>1547</v>
      </c>
      <c r="E5783" s="2" t="s">
        <v>13476</v>
      </c>
      <c r="F5783" s="3" t="s">
        <v>14206</v>
      </c>
      <c r="H5783" s="3" t="s">
        <v>713</v>
      </c>
      <c r="K5783" s="2">
        <v>20</v>
      </c>
      <c r="L5783" s="2">
        <v>1</v>
      </c>
      <c r="M5783" s="3" t="s">
        <v>5866</v>
      </c>
      <c r="N5783" s="3" t="s">
        <v>631</v>
      </c>
      <c r="O5783" s="3" t="s">
        <v>1771</v>
      </c>
      <c r="P5783" s="3" t="s">
        <v>2200</v>
      </c>
      <c r="Q5783" s="30" t="str">
        <f t="shared" si="90"/>
        <v>MAX : 1.35
TARGET : 1.34
MIN : 1.33</v>
      </c>
      <c r="R5783" s="3" t="s">
        <v>1638</v>
      </c>
    </row>
    <row r="5784" spans="2:18" ht="41.4" x14ac:dyDescent="0.3">
      <c r="B5784">
        <v>1</v>
      </c>
      <c r="C5784" s="33">
        <v>9274</v>
      </c>
      <c r="D5784" s="2">
        <v>1548</v>
      </c>
      <c r="E5784" s="2" t="s">
        <v>13483</v>
      </c>
      <c r="F5784" s="3" t="s">
        <v>14206</v>
      </c>
      <c r="H5784" s="3" t="s">
        <v>600</v>
      </c>
      <c r="K5784" s="2">
        <v>10</v>
      </c>
      <c r="L5784" s="2">
        <v>2</v>
      </c>
      <c r="M5784" s="3" t="s">
        <v>3126</v>
      </c>
      <c r="N5784" s="3" t="s">
        <v>13</v>
      </c>
      <c r="O5784" s="3" t="s">
        <v>14</v>
      </c>
      <c r="Q5784" s="30" t="str">
        <f t="shared" si="90"/>
        <v>MAX : 
TARGET : Yes(Pass)
MIN : No(Fail)</v>
      </c>
    </row>
    <row r="5785" spans="2:18" ht="41.4" x14ac:dyDescent="0.3">
      <c r="B5785">
        <v>1</v>
      </c>
      <c r="C5785" s="33">
        <v>9274</v>
      </c>
      <c r="D5785" s="2">
        <v>1548</v>
      </c>
      <c r="E5785" s="2" t="s">
        <v>13483</v>
      </c>
      <c r="F5785" s="3" t="s">
        <v>14206</v>
      </c>
      <c r="H5785" s="3" t="s">
        <v>600</v>
      </c>
      <c r="K5785" s="2">
        <v>10</v>
      </c>
      <c r="L5785" s="2">
        <v>1</v>
      </c>
      <c r="M5785" s="3" t="s">
        <v>99</v>
      </c>
      <c r="N5785" s="3" t="s">
        <v>3124</v>
      </c>
      <c r="O5785" s="3" t="s">
        <v>241</v>
      </c>
      <c r="P5785" s="3" t="s">
        <v>3125</v>
      </c>
      <c r="Q5785" s="30" t="str">
        <f t="shared" si="90"/>
        <v>MAX : 0.135
TARGET : 0.125
MIN : 0.115</v>
      </c>
    </row>
    <row r="5786" spans="2:18" ht="41.4" x14ac:dyDescent="0.3">
      <c r="B5786">
        <v>1</v>
      </c>
      <c r="C5786" s="33">
        <v>9275</v>
      </c>
      <c r="D5786" s="2">
        <v>1549</v>
      </c>
      <c r="E5786" s="2" t="s">
        <v>13489</v>
      </c>
      <c r="F5786" s="3" t="s">
        <v>14206</v>
      </c>
      <c r="H5786" s="3" t="s">
        <v>600</v>
      </c>
      <c r="K5786" s="2">
        <v>10</v>
      </c>
      <c r="L5786" s="2">
        <v>2</v>
      </c>
      <c r="M5786" s="3" t="s">
        <v>3126</v>
      </c>
      <c r="N5786" s="3" t="s">
        <v>13</v>
      </c>
      <c r="O5786" s="3" t="s">
        <v>14</v>
      </c>
      <c r="Q5786" s="30" t="str">
        <f t="shared" si="90"/>
        <v>MAX : 
TARGET : Yes(Pass)
MIN : No(Fail)</v>
      </c>
    </row>
    <row r="5787" spans="2:18" ht="41.4" x14ac:dyDescent="0.3">
      <c r="B5787">
        <v>1</v>
      </c>
      <c r="C5787" s="33">
        <v>9275</v>
      </c>
      <c r="D5787" s="2">
        <v>1549</v>
      </c>
      <c r="E5787" s="2" t="s">
        <v>13489</v>
      </c>
      <c r="F5787" s="3" t="s">
        <v>14206</v>
      </c>
      <c r="H5787" s="3" t="s">
        <v>600</v>
      </c>
      <c r="K5787" s="2">
        <v>10</v>
      </c>
      <c r="L5787" s="2">
        <v>1</v>
      </c>
      <c r="M5787" s="3" t="s">
        <v>99</v>
      </c>
      <c r="N5787" s="3" t="s">
        <v>3124</v>
      </c>
      <c r="O5787" s="3" t="s">
        <v>241</v>
      </c>
      <c r="P5787" s="3" t="s">
        <v>3125</v>
      </c>
      <c r="Q5787" s="30" t="str">
        <f t="shared" si="90"/>
        <v>MAX : 0.135
TARGET : 0.125
MIN : 0.115</v>
      </c>
    </row>
    <row r="5788" spans="2:18" ht="41.4" x14ac:dyDescent="0.3">
      <c r="B5788">
        <v>1</v>
      </c>
      <c r="C5788" s="33">
        <v>9276</v>
      </c>
      <c r="D5788" s="2">
        <v>1550</v>
      </c>
      <c r="E5788" s="2" t="s">
        <v>13495</v>
      </c>
      <c r="F5788" s="3" t="s">
        <v>14206</v>
      </c>
      <c r="H5788" s="3" t="s">
        <v>108</v>
      </c>
      <c r="I5788" s="3" t="s">
        <v>575</v>
      </c>
      <c r="K5788" s="2">
        <v>20</v>
      </c>
      <c r="L5788" s="2">
        <v>2</v>
      </c>
      <c r="M5788" s="3" t="s">
        <v>198</v>
      </c>
      <c r="N5788" s="3" t="s">
        <v>5739</v>
      </c>
      <c r="O5788" s="3" t="s">
        <v>5740</v>
      </c>
      <c r="P5788" s="3" t="s">
        <v>5741</v>
      </c>
      <c r="Q5788" s="30" t="str">
        <f t="shared" si="90"/>
        <v>MAX : 5.765
TARGET : 5.750
MIN : 5.735</v>
      </c>
    </row>
    <row r="5789" spans="2:18" ht="41.4" x14ac:dyDescent="0.3">
      <c r="B5789">
        <v>0</v>
      </c>
      <c r="C5789" s="33">
        <v>6741</v>
      </c>
      <c r="D5789" s="2">
        <v>1837</v>
      </c>
      <c r="E5789" s="2" t="s">
        <v>8451</v>
      </c>
      <c r="F5789" s="3" t="s">
        <v>14206</v>
      </c>
      <c r="H5789" s="3" t="s">
        <v>11</v>
      </c>
      <c r="I5789" s="3" t="s">
        <v>487</v>
      </c>
      <c r="K5789" s="2">
        <v>10</v>
      </c>
      <c r="L5789" s="2">
        <v>3</v>
      </c>
      <c r="M5789" s="3" t="s">
        <v>5797</v>
      </c>
      <c r="N5789" s="3" t="s">
        <v>13</v>
      </c>
      <c r="O5789" s="3" t="s">
        <v>14</v>
      </c>
      <c r="Q5789" s="30" t="str">
        <f t="shared" si="90"/>
        <v>MAX : 
TARGET : Yes(Pass)
MIN : No(Fail)</v>
      </c>
    </row>
    <row r="5790" spans="2:18" ht="41.4" x14ac:dyDescent="0.3">
      <c r="B5790">
        <v>1</v>
      </c>
      <c r="C5790" s="33">
        <v>9276</v>
      </c>
      <c r="D5790" s="2">
        <v>1550</v>
      </c>
      <c r="E5790" s="2" t="s">
        <v>13495</v>
      </c>
      <c r="F5790" s="3" t="s">
        <v>14206</v>
      </c>
      <c r="H5790" s="3" t="s">
        <v>108</v>
      </c>
      <c r="I5790" s="3" t="s">
        <v>575</v>
      </c>
      <c r="K5790" s="2">
        <v>20</v>
      </c>
      <c r="L5790" s="2">
        <v>1</v>
      </c>
      <c r="M5790" s="3" t="s">
        <v>194</v>
      </c>
      <c r="N5790" s="3" t="s">
        <v>1261</v>
      </c>
      <c r="O5790" s="3" t="s">
        <v>139</v>
      </c>
      <c r="P5790" s="3" t="s">
        <v>682</v>
      </c>
      <c r="Q5790" s="30" t="str">
        <f t="shared" si="90"/>
        <v>MAX : 1.015
TARGET : 1.000
MIN : 0.985</v>
      </c>
    </row>
    <row r="5791" spans="2:18" ht="41.4" x14ac:dyDescent="0.3">
      <c r="B5791">
        <v>1</v>
      </c>
      <c r="C5791" s="33">
        <v>9277</v>
      </c>
      <c r="D5791" s="2">
        <v>1551</v>
      </c>
      <c r="E5791" s="2" t="s">
        <v>13501</v>
      </c>
      <c r="F5791" s="3" t="s">
        <v>14206</v>
      </c>
      <c r="H5791" s="3" t="s">
        <v>5851</v>
      </c>
      <c r="K5791" s="2">
        <v>10</v>
      </c>
      <c r="L5791" s="2">
        <v>2</v>
      </c>
      <c r="M5791" s="3" t="s">
        <v>3314</v>
      </c>
      <c r="N5791" s="3" t="s">
        <v>5852</v>
      </c>
      <c r="O5791" s="3" t="s">
        <v>5853</v>
      </c>
      <c r="P5791" s="3" t="s">
        <v>5854</v>
      </c>
      <c r="Q5791" s="30" t="str">
        <f t="shared" si="90"/>
        <v>MAX : 4.38
TARGET : 4.35
MIN : 4.32</v>
      </c>
    </row>
    <row r="5792" spans="2:18" ht="41.4" x14ac:dyDescent="0.3">
      <c r="B5792">
        <v>1</v>
      </c>
      <c r="C5792" s="33">
        <v>9277</v>
      </c>
      <c r="D5792" s="2">
        <v>1551</v>
      </c>
      <c r="E5792" s="2" t="s">
        <v>13501</v>
      </c>
      <c r="F5792" s="3" t="s">
        <v>14206</v>
      </c>
      <c r="H5792" s="3" t="s">
        <v>5851</v>
      </c>
      <c r="K5792" s="2">
        <v>10</v>
      </c>
      <c r="L5792" s="2">
        <v>1</v>
      </c>
      <c r="M5792" s="3" t="s">
        <v>194</v>
      </c>
      <c r="N5792" s="3" t="s">
        <v>3908</v>
      </c>
      <c r="O5792" s="3" t="s">
        <v>734</v>
      </c>
      <c r="P5792" s="3" t="s">
        <v>3257</v>
      </c>
      <c r="Q5792" s="30" t="str">
        <f t="shared" si="90"/>
        <v>MAX : 4.88
TARGET : 4.85
MIN : 4.82</v>
      </c>
    </row>
    <row r="5793" spans="2:17" ht="41.4" x14ac:dyDescent="0.3">
      <c r="B5793">
        <v>1</v>
      </c>
      <c r="C5793" s="33">
        <v>9278</v>
      </c>
      <c r="D5793" s="2">
        <v>1552</v>
      </c>
      <c r="E5793" s="2" t="s">
        <v>6348</v>
      </c>
      <c r="F5793" s="3" t="s">
        <v>14206</v>
      </c>
      <c r="H5793" s="3" t="s">
        <v>73</v>
      </c>
      <c r="K5793" s="2">
        <v>10</v>
      </c>
      <c r="L5793" s="2">
        <v>2</v>
      </c>
      <c r="M5793" s="3" t="s">
        <v>198</v>
      </c>
      <c r="N5793" s="3" t="s">
        <v>252</v>
      </c>
      <c r="O5793" s="3" t="s">
        <v>253</v>
      </c>
      <c r="P5793" s="3" t="s">
        <v>128</v>
      </c>
      <c r="Q5793" s="30" t="str">
        <f t="shared" si="90"/>
        <v>MAX : 4.03
TARGET : 4.00
MIN : 3.97</v>
      </c>
    </row>
    <row r="5794" spans="2:17" ht="41.4" x14ac:dyDescent="0.3">
      <c r="B5794">
        <v>0</v>
      </c>
      <c r="C5794" s="33">
        <v>9277</v>
      </c>
      <c r="D5794" s="2">
        <v>1551</v>
      </c>
      <c r="E5794" s="2" t="s">
        <v>13501</v>
      </c>
      <c r="F5794" s="3" t="s">
        <v>14206</v>
      </c>
      <c r="H5794" s="3" t="s">
        <v>5851</v>
      </c>
      <c r="K5794" s="2">
        <v>10</v>
      </c>
      <c r="L5794" s="2">
        <v>3</v>
      </c>
      <c r="M5794" s="3" t="s">
        <v>198</v>
      </c>
      <c r="N5794" s="3" t="s">
        <v>2530</v>
      </c>
      <c r="O5794" s="3" t="s">
        <v>1627</v>
      </c>
      <c r="P5794" s="3" t="s">
        <v>2967</v>
      </c>
      <c r="Q5794" s="30" t="str">
        <f t="shared" si="90"/>
        <v>MAX : 2.98
TARGET : 2.95
MIN : 2.92</v>
      </c>
    </row>
    <row r="5795" spans="2:17" ht="41.4" x14ac:dyDescent="0.3">
      <c r="B5795">
        <v>0</v>
      </c>
      <c r="C5795" s="33">
        <v>9277</v>
      </c>
      <c r="D5795" s="2">
        <v>1551</v>
      </c>
      <c r="E5795" s="2" t="s">
        <v>13501</v>
      </c>
      <c r="F5795" s="3" t="s">
        <v>14206</v>
      </c>
      <c r="H5795" s="3" t="s">
        <v>5851</v>
      </c>
      <c r="K5795" s="2">
        <v>10</v>
      </c>
      <c r="L5795" s="2">
        <v>4</v>
      </c>
      <c r="M5795" s="3" t="s">
        <v>3426</v>
      </c>
      <c r="N5795" s="3" t="s">
        <v>5855</v>
      </c>
      <c r="O5795" s="3" t="s">
        <v>5856</v>
      </c>
      <c r="P5795" s="3" t="s">
        <v>2461</v>
      </c>
      <c r="Q5795" s="30" t="str">
        <f t="shared" si="90"/>
        <v>MAX : 2.48
TARGET : 2.45
MIN : 2.42</v>
      </c>
    </row>
    <row r="5796" spans="2:17" ht="41.4" x14ac:dyDescent="0.3">
      <c r="B5796">
        <v>1</v>
      </c>
      <c r="C5796" s="33">
        <v>9278</v>
      </c>
      <c r="D5796" s="2">
        <v>1552</v>
      </c>
      <c r="E5796" s="2" t="s">
        <v>6348</v>
      </c>
      <c r="F5796" s="3" t="s">
        <v>14206</v>
      </c>
      <c r="H5796" s="3" t="s">
        <v>73</v>
      </c>
      <c r="K5796" s="2">
        <v>10</v>
      </c>
      <c r="L5796" s="2">
        <v>1</v>
      </c>
      <c r="M5796" s="3" t="s">
        <v>194</v>
      </c>
      <c r="N5796" s="3" t="s">
        <v>249</v>
      </c>
      <c r="O5796" s="3" t="s">
        <v>250</v>
      </c>
      <c r="P5796" s="3" t="s">
        <v>251</v>
      </c>
      <c r="Q5796" s="30" t="str">
        <f t="shared" si="90"/>
        <v>MAX : 6.03
TARGET : 6.00
MIN : 5.97</v>
      </c>
    </row>
    <row r="5797" spans="2:17" ht="41.4" x14ac:dyDescent="0.3">
      <c r="B5797">
        <v>1</v>
      </c>
      <c r="C5797" s="33">
        <v>9279</v>
      </c>
      <c r="D5797" s="2">
        <v>2123</v>
      </c>
      <c r="E5797" s="2" t="s">
        <v>12756</v>
      </c>
      <c r="F5797" s="3" t="s">
        <v>14207</v>
      </c>
      <c r="H5797" s="3" t="s">
        <v>289</v>
      </c>
      <c r="K5797" s="2">
        <v>20</v>
      </c>
      <c r="L5797" s="2">
        <v>2</v>
      </c>
      <c r="M5797" s="3" t="s">
        <v>5748</v>
      </c>
      <c r="N5797" s="3" t="s">
        <v>5094</v>
      </c>
      <c r="O5797" s="3" t="s">
        <v>5095</v>
      </c>
      <c r="P5797" s="3" t="s">
        <v>5096</v>
      </c>
      <c r="Q5797" s="30" t="str">
        <f t="shared" si="90"/>
        <v>MAX : 281.5
TARGET : 280.0
MIN : 278.5</v>
      </c>
    </row>
    <row r="5798" spans="2:17" ht="41.4" x14ac:dyDescent="0.3">
      <c r="B5798">
        <v>0</v>
      </c>
      <c r="C5798" s="33">
        <v>9295</v>
      </c>
      <c r="D5798" s="2">
        <v>1560</v>
      </c>
      <c r="E5798" s="2" t="s">
        <v>13600</v>
      </c>
      <c r="F5798" s="3" t="s">
        <v>14206</v>
      </c>
      <c r="H5798" s="3" t="s">
        <v>426</v>
      </c>
      <c r="K5798" s="2">
        <v>30</v>
      </c>
      <c r="L5798" s="2">
        <v>3</v>
      </c>
      <c r="M5798" s="3" t="s">
        <v>346</v>
      </c>
      <c r="N5798" s="3" t="s">
        <v>4165</v>
      </c>
      <c r="O5798" s="3" t="s">
        <v>4166</v>
      </c>
      <c r="P5798" s="3" t="s">
        <v>4167</v>
      </c>
      <c r="Q5798" s="30" t="str">
        <f t="shared" si="90"/>
        <v>MAX : 1.139
TARGET : 1.134
MIN : 1.129</v>
      </c>
    </row>
    <row r="5799" spans="2:17" ht="41.4" x14ac:dyDescent="0.3">
      <c r="B5799">
        <v>0</v>
      </c>
      <c r="C5799" s="33">
        <v>9295</v>
      </c>
      <c r="D5799" s="2">
        <v>1560</v>
      </c>
      <c r="E5799" s="2" t="s">
        <v>13600</v>
      </c>
      <c r="F5799" s="3" t="s">
        <v>14206</v>
      </c>
      <c r="H5799" s="3" t="s">
        <v>426</v>
      </c>
      <c r="K5799" s="2">
        <v>30</v>
      </c>
      <c r="L5799" s="2">
        <v>3</v>
      </c>
      <c r="M5799" s="3" t="s">
        <v>885</v>
      </c>
      <c r="N5799" s="3" t="s">
        <v>4169</v>
      </c>
      <c r="O5799" s="3" t="s">
        <v>4170</v>
      </c>
      <c r="P5799" s="3" t="s">
        <v>4171</v>
      </c>
      <c r="Q5799" s="30" t="str">
        <f t="shared" si="90"/>
        <v>MAX : 1.389
TARGET : 1.384
MIN : 1.379</v>
      </c>
    </row>
    <row r="5800" spans="2:17" ht="41.4" x14ac:dyDescent="0.3">
      <c r="B5800">
        <v>0</v>
      </c>
      <c r="C5800" s="33">
        <v>9295</v>
      </c>
      <c r="D5800" s="2">
        <v>1560</v>
      </c>
      <c r="E5800" s="2" t="s">
        <v>13600</v>
      </c>
      <c r="F5800" s="3" t="s">
        <v>14206</v>
      </c>
      <c r="H5800" s="3" t="s">
        <v>426</v>
      </c>
      <c r="K5800" s="2">
        <v>30</v>
      </c>
      <c r="L5800" s="2">
        <v>15</v>
      </c>
      <c r="M5800" s="3" t="s">
        <v>4172</v>
      </c>
      <c r="N5800" s="3" t="s">
        <v>24</v>
      </c>
      <c r="O5800" s="3" t="s">
        <v>25</v>
      </c>
      <c r="Q5800" s="30" t="str">
        <f t="shared" si="90"/>
        <v>MAX : 
TARGET : Yes (Pass)
MIN : No (Fail)</v>
      </c>
    </row>
    <row r="5801" spans="2:17" ht="41.4" x14ac:dyDescent="0.3">
      <c r="B5801">
        <v>0</v>
      </c>
      <c r="C5801" s="33">
        <v>9295</v>
      </c>
      <c r="D5801" s="2">
        <v>1560</v>
      </c>
      <c r="E5801" s="2" t="s">
        <v>13600</v>
      </c>
      <c r="F5801" s="3" t="s">
        <v>14206</v>
      </c>
      <c r="H5801" s="3" t="s">
        <v>426</v>
      </c>
      <c r="K5801" s="2">
        <v>30</v>
      </c>
      <c r="L5801" s="2">
        <v>17</v>
      </c>
      <c r="M5801" s="3" t="s">
        <v>5386</v>
      </c>
      <c r="N5801" s="3" t="s">
        <v>24</v>
      </c>
      <c r="O5801" s="3" t="s">
        <v>25</v>
      </c>
      <c r="Q5801" s="30" t="str">
        <f t="shared" si="90"/>
        <v>MAX : 
TARGET : Yes (Pass)
MIN : No (Fail)</v>
      </c>
    </row>
    <row r="5802" spans="2:17" ht="41.4" x14ac:dyDescent="0.3">
      <c r="B5802">
        <v>0</v>
      </c>
      <c r="C5802" s="33">
        <v>9295</v>
      </c>
      <c r="D5802" s="2">
        <v>1560</v>
      </c>
      <c r="E5802" s="2" t="s">
        <v>13600</v>
      </c>
      <c r="F5802" s="3" t="s">
        <v>14206</v>
      </c>
      <c r="H5802" s="3" t="s">
        <v>426</v>
      </c>
      <c r="K5802" s="2">
        <v>30</v>
      </c>
      <c r="L5802" s="2">
        <v>12</v>
      </c>
      <c r="M5802" s="3" t="s">
        <v>5690</v>
      </c>
      <c r="N5802" s="3" t="s">
        <v>284</v>
      </c>
      <c r="O5802" s="3" t="s">
        <v>4464</v>
      </c>
      <c r="P5802" s="3" t="s">
        <v>5691</v>
      </c>
      <c r="Q5802" s="30" t="str">
        <f t="shared" si="90"/>
        <v>MAX : 0.198
TARGET : 0.193
MIN : 0.188</v>
      </c>
    </row>
    <row r="5803" spans="2:17" ht="41.4" x14ac:dyDescent="0.3">
      <c r="B5803">
        <v>0</v>
      </c>
      <c r="C5803" s="33">
        <v>9295</v>
      </c>
      <c r="D5803" s="2">
        <v>1560</v>
      </c>
      <c r="E5803" s="2" t="s">
        <v>13600</v>
      </c>
      <c r="F5803" s="3" t="s">
        <v>14206</v>
      </c>
      <c r="H5803" s="3" t="s">
        <v>426</v>
      </c>
      <c r="K5803" s="2">
        <v>30</v>
      </c>
      <c r="L5803" s="2">
        <v>13</v>
      </c>
      <c r="M5803" s="3" t="s">
        <v>5692</v>
      </c>
      <c r="N5803" s="3" t="s">
        <v>1938</v>
      </c>
      <c r="O5803" s="3" t="s">
        <v>2997</v>
      </c>
      <c r="P5803" s="3" t="s">
        <v>2852</v>
      </c>
      <c r="Q5803" s="30" t="str">
        <f t="shared" si="90"/>
        <v>MAX : 0.215
TARGET : 0.210
MIN : 0.205</v>
      </c>
    </row>
    <row r="5804" spans="2:17" ht="41.4" x14ac:dyDescent="0.3">
      <c r="B5804">
        <v>0</v>
      </c>
      <c r="C5804" s="33">
        <v>9295</v>
      </c>
      <c r="D5804" s="2">
        <v>1560</v>
      </c>
      <c r="E5804" s="2" t="s">
        <v>13600</v>
      </c>
      <c r="F5804" s="3" t="s">
        <v>14206</v>
      </c>
      <c r="H5804" s="3" t="s">
        <v>426</v>
      </c>
      <c r="K5804" s="2">
        <v>30</v>
      </c>
      <c r="L5804" s="2">
        <v>11</v>
      </c>
      <c r="M5804" s="3" t="s">
        <v>5693</v>
      </c>
      <c r="N5804" s="3" t="s">
        <v>5424</v>
      </c>
      <c r="O5804" s="3" t="s">
        <v>2522</v>
      </c>
      <c r="P5804" s="3" t="s">
        <v>5694</v>
      </c>
      <c r="Q5804" s="30" t="str">
        <f t="shared" si="90"/>
        <v>MAX : 0.173
TARGET : 0.168
MIN : 0.163</v>
      </c>
    </row>
    <row r="5805" spans="2:17" ht="41.4" x14ac:dyDescent="0.3">
      <c r="B5805">
        <v>0</v>
      </c>
      <c r="C5805" s="33">
        <v>9295</v>
      </c>
      <c r="D5805" s="2">
        <v>1560</v>
      </c>
      <c r="E5805" s="2" t="s">
        <v>13600</v>
      </c>
      <c r="F5805" s="3" t="s">
        <v>14206</v>
      </c>
      <c r="H5805" s="3" t="s">
        <v>426</v>
      </c>
      <c r="K5805" s="2">
        <v>30</v>
      </c>
      <c r="L5805" s="2">
        <v>4</v>
      </c>
      <c r="M5805" s="3" t="s">
        <v>5695</v>
      </c>
      <c r="O5805" s="3" t="s">
        <v>5252</v>
      </c>
      <c r="P5805" s="3" t="s">
        <v>3580</v>
      </c>
      <c r="Q5805" s="30" t="str">
        <f t="shared" si="90"/>
        <v xml:space="preserve">MAX : 0.0100
TARGET : 0.0000
MIN : </v>
      </c>
    </row>
    <row r="5806" spans="2:17" ht="41.4" x14ac:dyDescent="0.3">
      <c r="B5806">
        <v>0</v>
      </c>
      <c r="C5806" s="33">
        <v>9295</v>
      </c>
      <c r="D5806" s="2">
        <v>1560</v>
      </c>
      <c r="E5806" s="2" t="s">
        <v>13600</v>
      </c>
      <c r="F5806" s="3" t="s">
        <v>14206</v>
      </c>
      <c r="H5806" s="3" t="s">
        <v>426</v>
      </c>
      <c r="K5806" s="2">
        <v>30</v>
      </c>
      <c r="L5806" s="2">
        <v>5</v>
      </c>
      <c r="M5806" s="3" t="s">
        <v>5696</v>
      </c>
      <c r="O5806" s="3" t="s">
        <v>5252</v>
      </c>
      <c r="P5806" s="3" t="s">
        <v>3580</v>
      </c>
      <c r="Q5806" s="30" t="str">
        <f t="shared" si="90"/>
        <v xml:space="preserve">MAX : 0.0100
TARGET : 0.0000
MIN : </v>
      </c>
    </row>
    <row r="5807" spans="2:17" ht="41.4" x14ac:dyDescent="0.3">
      <c r="B5807">
        <v>0</v>
      </c>
      <c r="C5807" s="33">
        <v>9295</v>
      </c>
      <c r="D5807" s="2">
        <v>1560</v>
      </c>
      <c r="E5807" s="2" t="s">
        <v>13600</v>
      </c>
      <c r="F5807" s="3" t="s">
        <v>14206</v>
      </c>
      <c r="H5807" s="3" t="s">
        <v>426</v>
      </c>
      <c r="K5807" s="2">
        <v>30</v>
      </c>
      <c r="L5807" s="2">
        <v>6</v>
      </c>
      <c r="M5807" s="3" t="s">
        <v>5697</v>
      </c>
      <c r="O5807" s="3" t="s">
        <v>5252</v>
      </c>
      <c r="P5807" s="3" t="s">
        <v>3580</v>
      </c>
      <c r="Q5807" s="30" t="str">
        <f t="shared" si="90"/>
        <v xml:space="preserve">MAX : 0.0100
TARGET : 0.0000
MIN : </v>
      </c>
    </row>
    <row r="5808" spans="2:17" ht="41.4" x14ac:dyDescent="0.3">
      <c r="B5808">
        <v>0</v>
      </c>
      <c r="C5808" s="33">
        <v>9295</v>
      </c>
      <c r="D5808" s="2">
        <v>1560</v>
      </c>
      <c r="E5808" s="2" t="s">
        <v>13600</v>
      </c>
      <c r="F5808" s="3" t="s">
        <v>14206</v>
      </c>
      <c r="H5808" s="3" t="s">
        <v>426</v>
      </c>
      <c r="K5808" s="2">
        <v>30</v>
      </c>
      <c r="L5808" s="2">
        <v>7</v>
      </c>
      <c r="M5808" s="3" t="s">
        <v>5698</v>
      </c>
      <c r="O5808" s="3" t="s">
        <v>5252</v>
      </c>
      <c r="P5808" s="3" t="s">
        <v>3580</v>
      </c>
      <c r="Q5808" s="30" t="str">
        <f t="shared" si="90"/>
        <v xml:space="preserve">MAX : 0.0100
TARGET : 0.0000
MIN : </v>
      </c>
    </row>
    <row r="5809" spans="2:17" ht="41.4" x14ac:dyDescent="0.3">
      <c r="B5809">
        <v>0</v>
      </c>
      <c r="C5809" s="33">
        <v>9295</v>
      </c>
      <c r="D5809" s="2">
        <v>1560</v>
      </c>
      <c r="E5809" s="2" t="s">
        <v>13600</v>
      </c>
      <c r="F5809" s="3" t="s">
        <v>14206</v>
      </c>
      <c r="H5809" s="3" t="s">
        <v>426</v>
      </c>
      <c r="K5809" s="2">
        <v>30</v>
      </c>
      <c r="L5809" s="2">
        <v>8</v>
      </c>
      <c r="M5809" s="3" t="s">
        <v>5699</v>
      </c>
      <c r="O5809" s="3" t="s">
        <v>5252</v>
      </c>
      <c r="P5809" s="3" t="s">
        <v>3580</v>
      </c>
      <c r="Q5809" s="30" t="str">
        <f t="shared" si="90"/>
        <v xml:space="preserve">MAX : 0.0100
TARGET : 0.0000
MIN : </v>
      </c>
    </row>
    <row r="5810" spans="2:17" ht="41.4" x14ac:dyDescent="0.3">
      <c r="B5810">
        <v>0</v>
      </c>
      <c r="C5810" s="33">
        <v>9295</v>
      </c>
      <c r="D5810" s="2">
        <v>1560</v>
      </c>
      <c r="E5810" s="2" t="s">
        <v>13600</v>
      </c>
      <c r="F5810" s="3" t="s">
        <v>14206</v>
      </c>
      <c r="H5810" s="3" t="s">
        <v>426</v>
      </c>
      <c r="K5810" s="2">
        <v>30</v>
      </c>
      <c r="L5810" s="2">
        <v>9</v>
      </c>
      <c r="M5810" s="3" t="s">
        <v>5700</v>
      </c>
      <c r="N5810" s="3" t="s">
        <v>5701</v>
      </c>
      <c r="O5810" s="3" t="s">
        <v>5702</v>
      </c>
      <c r="P5810" s="3" t="s">
        <v>5703</v>
      </c>
      <c r="Q5810" s="30" t="str">
        <f t="shared" si="90"/>
        <v>MAX : 0.828
TARGET : 0.823
MIN : 0.818</v>
      </c>
    </row>
    <row r="5811" spans="2:17" ht="41.4" x14ac:dyDescent="0.3">
      <c r="B5811">
        <v>0</v>
      </c>
      <c r="C5811" s="33">
        <v>9295</v>
      </c>
      <c r="D5811" s="2">
        <v>1560</v>
      </c>
      <c r="E5811" s="2" t="s">
        <v>13600</v>
      </c>
      <c r="F5811" s="3" t="s">
        <v>14206</v>
      </c>
      <c r="H5811" s="3" t="s">
        <v>426</v>
      </c>
      <c r="K5811" s="2">
        <v>30</v>
      </c>
      <c r="L5811" s="2">
        <v>10</v>
      </c>
      <c r="M5811" s="3" t="s">
        <v>5704</v>
      </c>
      <c r="N5811" s="3" t="s">
        <v>5637</v>
      </c>
      <c r="O5811" s="3" t="s">
        <v>918</v>
      </c>
      <c r="P5811" s="3" t="s">
        <v>5705</v>
      </c>
      <c r="Q5811" s="30" t="str">
        <f t="shared" si="90"/>
        <v>MAX : 0.098
TARGET : 0.093
MIN : 0.088</v>
      </c>
    </row>
    <row r="5812" spans="2:17" ht="41.4" x14ac:dyDescent="0.3">
      <c r="B5812">
        <v>0</v>
      </c>
      <c r="C5812" s="33">
        <v>9295</v>
      </c>
      <c r="D5812" s="2">
        <v>1560</v>
      </c>
      <c r="E5812" s="2" t="s">
        <v>13600</v>
      </c>
      <c r="F5812" s="3" t="s">
        <v>14206</v>
      </c>
      <c r="H5812" s="3" t="s">
        <v>426</v>
      </c>
      <c r="K5812" s="2">
        <v>30</v>
      </c>
      <c r="L5812" s="2">
        <v>14</v>
      </c>
      <c r="M5812" s="3" t="s">
        <v>5706</v>
      </c>
      <c r="N5812" s="3" t="s">
        <v>5707</v>
      </c>
      <c r="O5812" s="3" t="s">
        <v>760</v>
      </c>
      <c r="P5812" s="3" t="s">
        <v>5708</v>
      </c>
      <c r="Q5812" s="30" t="str">
        <f t="shared" si="90"/>
        <v>MAX : 0.133
TARGET : 0.128
MIN : 0.123</v>
      </c>
    </row>
    <row r="5813" spans="2:17" ht="41.4" x14ac:dyDescent="0.3">
      <c r="B5813">
        <v>1</v>
      </c>
      <c r="C5813" s="33">
        <v>9279</v>
      </c>
      <c r="D5813" s="2">
        <v>2123</v>
      </c>
      <c r="E5813" s="2" t="s">
        <v>12756</v>
      </c>
      <c r="F5813" s="3" t="s">
        <v>14207</v>
      </c>
      <c r="H5813" s="3" t="s">
        <v>289</v>
      </c>
      <c r="K5813" s="2">
        <v>20</v>
      </c>
      <c r="L5813" s="2">
        <v>1</v>
      </c>
      <c r="M5813" s="3" t="s">
        <v>5747</v>
      </c>
      <c r="N5813" s="3" t="s">
        <v>5090</v>
      </c>
      <c r="O5813" s="3" t="s">
        <v>5091</v>
      </c>
      <c r="P5813" s="3" t="s">
        <v>5092</v>
      </c>
      <c r="Q5813" s="30" t="str">
        <f t="shared" si="90"/>
        <v>MAX : 271.5
TARGET : 270.0
MIN : 268.5</v>
      </c>
    </row>
    <row r="5814" spans="2:17" ht="41.4" x14ac:dyDescent="0.3">
      <c r="B5814">
        <v>1</v>
      </c>
      <c r="C5814" s="33">
        <v>9280</v>
      </c>
      <c r="D5814" s="2">
        <v>2124</v>
      </c>
      <c r="E5814" s="2" t="s">
        <v>13516</v>
      </c>
      <c r="F5814" s="3" t="s">
        <v>14206</v>
      </c>
      <c r="H5814" s="3" t="s">
        <v>824</v>
      </c>
      <c r="K5814" s="2">
        <v>10</v>
      </c>
      <c r="L5814" s="2">
        <v>2</v>
      </c>
      <c r="M5814" s="3" t="s">
        <v>1102</v>
      </c>
      <c r="N5814" s="3" t="s">
        <v>13</v>
      </c>
      <c r="O5814" s="3" t="s">
        <v>14</v>
      </c>
      <c r="Q5814" s="30" t="str">
        <f t="shared" si="90"/>
        <v>MAX : 
TARGET : Yes(Pass)
MIN : No(Fail)</v>
      </c>
    </row>
    <row r="5815" spans="2:17" ht="41.4" x14ac:dyDescent="0.3">
      <c r="B5815">
        <v>0</v>
      </c>
      <c r="C5815" s="33">
        <v>9296</v>
      </c>
      <c r="D5815" s="2">
        <v>1561</v>
      </c>
      <c r="E5815" s="2" t="s">
        <v>13605</v>
      </c>
      <c r="F5815" s="3" t="s">
        <v>14206</v>
      </c>
      <c r="H5815" s="3" t="s">
        <v>426</v>
      </c>
      <c r="K5815" s="2">
        <v>20</v>
      </c>
      <c r="L5815" s="2">
        <v>3</v>
      </c>
      <c r="M5815" s="3" t="s">
        <v>5379</v>
      </c>
      <c r="N5815" s="3" t="s">
        <v>13</v>
      </c>
      <c r="O5815" s="3" t="s">
        <v>14</v>
      </c>
      <c r="Q5815" s="30" t="str">
        <f t="shared" si="90"/>
        <v>MAX : 
TARGET : Yes(Pass)
MIN : No(Fail)</v>
      </c>
    </row>
    <row r="5816" spans="2:17" ht="41.4" x14ac:dyDescent="0.3">
      <c r="B5816">
        <v>0</v>
      </c>
      <c r="C5816" s="33">
        <v>9296</v>
      </c>
      <c r="D5816" s="2">
        <v>1561</v>
      </c>
      <c r="E5816" s="2" t="s">
        <v>13605</v>
      </c>
      <c r="F5816" s="3" t="s">
        <v>14206</v>
      </c>
      <c r="H5816" s="3" t="s">
        <v>426</v>
      </c>
      <c r="K5816" s="2">
        <v>30</v>
      </c>
      <c r="L5816" s="2">
        <v>1</v>
      </c>
      <c r="M5816" s="3" t="s">
        <v>5380</v>
      </c>
      <c r="N5816" s="3" t="s">
        <v>5857</v>
      </c>
      <c r="O5816" s="3" t="s">
        <v>5381</v>
      </c>
      <c r="P5816" s="3" t="s">
        <v>5858</v>
      </c>
      <c r="Q5816" s="30" t="str">
        <f t="shared" si="90"/>
        <v>MAX : 1.701
TARGET : 1.691
MIN : 1.681</v>
      </c>
    </row>
    <row r="5817" spans="2:17" ht="41.4" x14ac:dyDescent="0.3">
      <c r="B5817">
        <v>0</v>
      </c>
      <c r="C5817" s="33">
        <v>9296</v>
      </c>
      <c r="D5817" s="2">
        <v>1561</v>
      </c>
      <c r="E5817" s="2" t="s">
        <v>13605</v>
      </c>
      <c r="F5817" s="3" t="s">
        <v>14206</v>
      </c>
      <c r="H5817" s="3" t="s">
        <v>426</v>
      </c>
      <c r="K5817" s="2">
        <v>30</v>
      </c>
      <c r="L5817" s="2">
        <v>2</v>
      </c>
      <c r="M5817" s="3" t="s">
        <v>3883</v>
      </c>
      <c r="N5817" s="3" t="s">
        <v>5857</v>
      </c>
      <c r="O5817" s="3" t="s">
        <v>5381</v>
      </c>
      <c r="P5817" s="3" t="s">
        <v>5858</v>
      </c>
      <c r="Q5817" s="30" t="str">
        <f t="shared" si="90"/>
        <v>MAX : 1.701
TARGET : 1.691
MIN : 1.681</v>
      </c>
    </row>
    <row r="5818" spans="2:17" ht="41.4" x14ac:dyDescent="0.3">
      <c r="B5818">
        <v>0</v>
      </c>
      <c r="C5818" s="33">
        <v>9296</v>
      </c>
      <c r="D5818" s="2">
        <v>1561</v>
      </c>
      <c r="E5818" s="2" t="s">
        <v>13605</v>
      </c>
      <c r="F5818" s="3" t="s">
        <v>14206</v>
      </c>
      <c r="H5818" s="3" t="s">
        <v>426</v>
      </c>
      <c r="K5818" s="2">
        <v>30</v>
      </c>
      <c r="L5818" s="2">
        <v>3</v>
      </c>
      <c r="M5818" s="3" t="s">
        <v>198</v>
      </c>
      <c r="N5818" s="3" t="s">
        <v>5383</v>
      </c>
      <c r="O5818" s="3" t="s">
        <v>5384</v>
      </c>
      <c r="P5818" s="3" t="s">
        <v>5385</v>
      </c>
      <c r="Q5818" s="30" t="str">
        <f t="shared" si="90"/>
        <v>MAX : 1.941
TARGET : 1.895
MIN : 1.848</v>
      </c>
    </row>
    <row r="5819" spans="2:17" ht="41.4" x14ac:dyDescent="0.3">
      <c r="B5819">
        <v>0</v>
      </c>
      <c r="C5819" s="33">
        <v>9296</v>
      </c>
      <c r="D5819" s="2">
        <v>1561</v>
      </c>
      <c r="E5819" s="2" t="s">
        <v>13605</v>
      </c>
      <c r="F5819" s="3" t="s">
        <v>14206</v>
      </c>
      <c r="H5819" s="3" t="s">
        <v>426</v>
      </c>
      <c r="K5819" s="2">
        <v>30</v>
      </c>
      <c r="L5819" s="2">
        <v>7</v>
      </c>
      <c r="M5819" s="3" t="s">
        <v>5386</v>
      </c>
      <c r="N5819" s="3" t="s">
        <v>13</v>
      </c>
      <c r="O5819" s="3" t="s">
        <v>14</v>
      </c>
      <c r="Q5819" s="30" t="str">
        <f t="shared" si="90"/>
        <v>MAX : 
TARGET : Yes(Pass)
MIN : No(Fail)</v>
      </c>
    </row>
    <row r="5820" spans="2:17" ht="41.4" x14ac:dyDescent="0.3">
      <c r="B5820">
        <v>0</v>
      </c>
      <c r="C5820" s="33">
        <v>9296</v>
      </c>
      <c r="D5820" s="2">
        <v>1561</v>
      </c>
      <c r="E5820" s="2" t="s">
        <v>13605</v>
      </c>
      <c r="F5820" s="3" t="s">
        <v>14206</v>
      </c>
      <c r="H5820" s="3" t="s">
        <v>426</v>
      </c>
      <c r="K5820" s="2">
        <v>30</v>
      </c>
      <c r="L5820" s="2">
        <v>8</v>
      </c>
      <c r="M5820" s="3" t="s">
        <v>4172</v>
      </c>
      <c r="N5820" s="3" t="s">
        <v>13</v>
      </c>
      <c r="O5820" s="3" t="s">
        <v>14</v>
      </c>
      <c r="Q5820" s="30" t="str">
        <f t="shared" si="90"/>
        <v>MAX : 
TARGET : Yes(Pass)
MIN : No(Fail)</v>
      </c>
    </row>
    <row r="5821" spans="2:17" ht="41.4" x14ac:dyDescent="0.3">
      <c r="B5821">
        <v>0</v>
      </c>
      <c r="C5821" s="33">
        <v>9296</v>
      </c>
      <c r="D5821" s="2">
        <v>1561</v>
      </c>
      <c r="E5821" s="2" t="s">
        <v>13605</v>
      </c>
      <c r="F5821" s="3" t="s">
        <v>14206</v>
      </c>
      <c r="H5821" s="3" t="s">
        <v>426</v>
      </c>
      <c r="K5821" s="2">
        <v>30</v>
      </c>
      <c r="L5821" s="2">
        <v>4</v>
      </c>
      <c r="M5821" s="3" t="s">
        <v>5445</v>
      </c>
      <c r="N5821" s="3" t="s">
        <v>5859</v>
      </c>
      <c r="O5821" s="3" t="s">
        <v>5447</v>
      </c>
      <c r="P5821" s="3" t="s">
        <v>5860</v>
      </c>
      <c r="Q5821" s="30" t="str">
        <f t="shared" si="90"/>
        <v>MAX : .086
TARGET : .079
MIN : .072</v>
      </c>
    </row>
    <row r="5822" spans="2:17" ht="41.4" x14ac:dyDescent="0.3">
      <c r="B5822">
        <v>0</v>
      </c>
      <c r="C5822" s="33">
        <v>9296</v>
      </c>
      <c r="D5822" s="2">
        <v>1561</v>
      </c>
      <c r="E5822" s="2" t="s">
        <v>13605</v>
      </c>
      <c r="F5822" s="3" t="s">
        <v>14206</v>
      </c>
      <c r="H5822" s="3" t="s">
        <v>426</v>
      </c>
      <c r="K5822" s="2">
        <v>30</v>
      </c>
      <c r="L5822" s="2">
        <v>5</v>
      </c>
      <c r="M5822" s="3" t="s">
        <v>5449</v>
      </c>
      <c r="N5822" s="3" t="s">
        <v>5859</v>
      </c>
      <c r="O5822" s="3" t="s">
        <v>5447</v>
      </c>
      <c r="P5822" s="3" t="s">
        <v>5860</v>
      </c>
      <c r="Q5822" s="30" t="str">
        <f t="shared" si="90"/>
        <v>MAX : .086
TARGET : .079
MIN : .072</v>
      </c>
    </row>
    <row r="5823" spans="2:17" ht="41.4" x14ac:dyDescent="0.3">
      <c r="B5823">
        <v>0</v>
      </c>
      <c r="C5823" s="33">
        <v>9296</v>
      </c>
      <c r="D5823" s="2">
        <v>1561</v>
      </c>
      <c r="E5823" s="2" t="s">
        <v>13605</v>
      </c>
      <c r="F5823" s="3" t="s">
        <v>14206</v>
      </c>
      <c r="H5823" s="3" t="s">
        <v>426</v>
      </c>
      <c r="K5823" s="2">
        <v>30</v>
      </c>
      <c r="L5823" s="2">
        <v>6</v>
      </c>
      <c r="M5823" s="3" t="s">
        <v>5450</v>
      </c>
      <c r="N5823" s="3" t="s">
        <v>5859</v>
      </c>
      <c r="O5823" s="3" t="s">
        <v>5447</v>
      </c>
      <c r="P5823" s="3" t="s">
        <v>5860</v>
      </c>
      <c r="Q5823" s="30" t="str">
        <f t="shared" si="90"/>
        <v>MAX : .086
TARGET : .079
MIN : .072</v>
      </c>
    </row>
    <row r="5824" spans="2:17" ht="41.4" x14ac:dyDescent="0.3">
      <c r="B5824">
        <v>0</v>
      </c>
      <c r="C5824" s="33">
        <v>9296</v>
      </c>
      <c r="D5824" s="2">
        <v>1561</v>
      </c>
      <c r="E5824" s="2" t="s">
        <v>13605</v>
      </c>
      <c r="F5824" s="3" t="s">
        <v>14206</v>
      </c>
      <c r="H5824" s="3" t="s">
        <v>426</v>
      </c>
      <c r="K5824" s="2">
        <v>30</v>
      </c>
      <c r="L5824" s="2">
        <v>9</v>
      </c>
      <c r="M5824" s="3" t="s">
        <v>5451</v>
      </c>
      <c r="N5824" s="3" t="s">
        <v>360</v>
      </c>
      <c r="O5824" s="3" t="s">
        <v>359</v>
      </c>
      <c r="Q5824" s="30" t="str">
        <f t="shared" si="90"/>
        <v>MAX : 
TARGET : Pass
MIN : Fail</v>
      </c>
    </row>
    <row r="5825" spans="2:18" ht="41.4" x14ac:dyDescent="0.3">
      <c r="B5825">
        <v>0</v>
      </c>
      <c r="C5825" s="33">
        <v>9296</v>
      </c>
      <c r="D5825" s="2">
        <v>1561</v>
      </c>
      <c r="E5825" s="2" t="s">
        <v>13605</v>
      </c>
      <c r="F5825" s="3" t="s">
        <v>14206</v>
      </c>
      <c r="H5825" s="3" t="s">
        <v>426</v>
      </c>
      <c r="K5825" s="2">
        <v>30</v>
      </c>
      <c r="L5825" s="2">
        <v>10</v>
      </c>
      <c r="M5825" s="3" t="s">
        <v>5452</v>
      </c>
      <c r="N5825" s="3" t="s">
        <v>360</v>
      </c>
      <c r="O5825" s="3" t="s">
        <v>359</v>
      </c>
      <c r="Q5825" s="30" t="str">
        <f t="shared" si="90"/>
        <v>MAX : 
TARGET : Pass
MIN : Fail</v>
      </c>
    </row>
    <row r="5826" spans="2:18" ht="41.4" x14ac:dyDescent="0.3">
      <c r="B5826">
        <v>0</v>
      </c>
      <c r="C5826" s="33">
        <v>9296</v>
      </c>
      <c r="D5826" s="2">
        <v>1561</v>
      </c>
      <c r="E5826" s="2" t="s">
        <v>13605</v>
      </c>
      <c r="F5826" s="3" t="s">
        <v>14206</v>
      </c>
      <c r="H5826" s="3" t="s">
        <v>426</v>
      </c>
      <c r="K5826" s="2">
        <v>30</v>
      </c>
      <c r="L5826" s="2">
        <v>11</v>
      </c>
      <c r="M5826" s="3" t="s">
        <v>5453</v>
      </c>
      <c r="N5826" s="3" t="s">
        <v>360</v>
      </c>
      <c r="O5826" s="3" t="s">
        <v>359</v>
      </c>
      <c r="Q5826" s="30" t="str">
        <f t="shared" ref="Q5826:Q5889" si="91">"MAX : " &amp; P5826 &amp; CHAR(10) &amp; "TARGET : " &amp; O5826 &amp; CHAR(10) &amp; "MIN : " &amp; N5826</f>
        <v>MAX : 
TARGET : Pass
MIN : Fail</v>
      </c>
    </row>
    <row r="5827" spans="2:18" ht="41.4" x14ac:dyDescent="0.3">
      <c r="B5827">
        <v>1</v>
      </c>
      <c r="C5827" s="33">
        <v>9280</v>
      </c>
      <c r="D5827" s="2">
        <v>2124</v>
      </c>
      <c r="E5827" s="2" t="s">
        <v>13516</v>
      </c>
      <c r="F5827" s="3" t="s">
        <v>14206</v>
      </c>
      <c r="H5827" s="3" t="s">
        <v>824</v>
      </c>
      <c r="K5827" s="2">
        <v>10</v>
      </c>
      <c r="L5827" s="2">
        <v>1</v>
      </c>
      <c r="M5827" s="3" t="s">
        <v>99</v>
      </c>
      <c r="N5827" s="3" t="s">
        <v>1641</v>
      </c>
      <c r="O5827" s="3" t="s">
        <v>149</v>
      </c>
      <c r="P5827" s="3" t="s">
        <v>1642</v>
      </c>
      <c r="Q5827" s="30" t="str">
        <f t="shared" si="91"/>
        <v>MAX : 12.06
TARGET : 12.00
MIN : 11.94</v>
      </c>
    </row>
    <row r="5828" spans="2:18" ht="41.4" x14ac:dyDescent="0.3">
      <c r="B5828">
        <v>1</v>
      </c>
      <c r="C5828" s="33">
        <v>9281</v>
      </c>
      <c r="D5828" s="2">
        <v>1553</v>
      </c>
      <c r="E5828" s="2" t="s">
        <v>13522</v>
      </c>
      <c r="F5828" s="3" t="s">
        <v>14206</v>
      </c>
      <c r="H5828" s="3" t="s">
        <v>600</v>
      </c>
      <c r="K5828" s="2">
        <v>10</v>
      </c>
      <c r="L5828" s="2">
        <v>2</v>
      </c>
      <c r="M5828" s="3" t="s">
        <v>198</v>
      </c>
      <c r="N5828" s="3" t="s">
        <v>5757</v>
      </c>
      <c r="O5828" s="3" t="s">
        <v>5758</v>
      </c>
      <c r="P5828" s="3" t="s">
        <v>5759</v>
      </c>
      <c r="Q5828" s="30" t="str">
        <f t="shared" si="91"/>
        <v>MAX : 0.747
TARGET : 0.727
MIN : 0.707</v>
      </c>
    </row>
    <row r="5829" spans="2:18" ht="41.4" x14ac:dyDescent="0.3">
      <c r="B5829">
        <v>1</v>
      </c>
      <c r="C5829" s="33">
        <v>9281</v>
      </c>
      <c r="D5829" s="2">
        <v>1553</v>
      </c>
      <c r="E5829" s="2" t="s">
        <v>13522</v>
      </c>
      <c r="F5829" s="3" t="s">
        <v>14206</v>
      </c>
      <c r="H5829" s="3" t="s">
        <v>600</v>
      </c>
      <c r="K5829" s="2">
        <v>10</v>
      </c>
      <c r="L5829" s="2">
        <v>1</v>
      </c>
      <c r="M5829" s="3" t="s">
        <v>194</v>
      </c>
      <c r="N5829" s="3" t="s">
        <v>5754</v>
      </c>
      <c r="O5829" s="3" t="s">
        <v>5755</v>
      </c>
      <c r="P5829" s="3" t="s">
        <v>5756</v>
      </c>
      <c r="Q5829" s="30" t="str">
        <f t="shared" si="91"/>
        <v>MAX : 7.377
TARGET : 7.357
MIN : 7.337</v>
      </c>
    </row>
    <row r="5830" spans="2:18" ht="41.4" x14ac:dyDescent="0.3">
      <c r="B5830">
        <v>1</v>
      </c>
      <c r="C5830" s="33">
        <v>9282</v>
      </c>
      <c r="D5830" s="2">
        <v>1554</v>
      </c>
      <c r="E5830" s="2" t="s">
        <v>13528</v>
      </c>
      <c r="F5830" s="3" t="s">
        <v>14206</v>
      </c>
      <c r="H5830" s="3" t="s">
        <v>600</v>
      </c>
      <c r="K5830" s="2">
        <v>10</v>
      </c>
      <c r="L5830" s="2">
        <v>2</v>
      </c>
      <c r="M5830" s="3" t="s">
        <v>198</v>
      </c>
      <c r="N5830" s="3" t="s">
        <v>428</v>
      </c>
      <c r="O5830" s="3" t="s">
        <v>5760</v>
      </c>
      <c r="P5830" s="3" t="s">
        <v>752</v>
      </c>
      <c r="Q5830" s="30" t="str">
        <f t="shared" si="91"/>
        <v>MAX : 1.72
TARGET : 1.70
MIN : 1.68</v>
      </c>
    </row>
    <row r="5831" spans="2:18" ht="41.4" x14ac:dyDescent="0.3">
      <c r="B5831">
        <v>1</v>
      </c>
      <c r="C5831" s="33">
        <v>9282</v>
      </c>
      <c r="D5831" s="2">
        <v>1554</v>
      </c>
      <c r="E5831" s="2" t="s">
        <v>13528</v>
      </c>
      <c r="F5831" s="3" t="s">
        <v>14206</v>
      </c>
      <c r="H5831" s="3" t="s">
        <v>600</v>
      </c>
      <c r="K5831" s="2">
        <v>10</v>
      </c>
      <c r="L5831" s="2">
        <v>1</v>
      </c>
      <c r="M5831" s="3" t="s">
        <v>194</v>
      </c>
      <c r="N5831" s="3" t="s">
        <v>975</v>
      </c>
      <c r="O5831" s="3" t="s">
        <v>4398</v>
      </c>
      <c r="P5831" s="3" t="s">
        <v>2530</v>
      </c>
      <c r="Q5831" s="30" t="str">
        <f t="shared" si="91"/>
        <v>MAX : 2.92
TARGET : 2.90
MIN : 2.88</v>
      </c>
    </row>
    <row r="5832" spans="2:18" ht="41.4" x14ac:dyDescent="0.3">
      <c r="B5832">
        <v>1</v>
      </c>
      <c r="C5832" s="33">
        <v>9283</v>
      </c>
      <c r="D5832" s="2">
        <v>1555</v>
      </c>
      <c r="E5832" s="2" t="s">
        <v>13534</v>
      </c>
      <c r="F5832" s="3" t="s">
        <v>14206</v>
      </c>
      <c r="H5832" s="3" t="s">
        <v>600</v>
      </c>
      <c r="K5832" s="2">
        <v>10</v>
      </c>
      <c r="L5832" s="2">
        <v>2</v>
      </c>
      <c r="M5832" s="3" t="s">
        <v>198</v>
      </c>
      <c r="N5832" s="3" t="s">
        <v>428</v>
      </c>
      <c r="O5832" s="3" t="s">
        <v>5760</v>
      </c>
      <c r="P5832" s="3" t="s">
        <v>752</v>
      </c>
      <c r="Q5832" s="30" t="str">
        <f t="shared" si="91"/>
        <v>MAX : 1.72
TARGET : 1.70
MIN : 1.68</v>
      </c>
    </row>
    <row r="5833" spans="2:18" ht="41.4" x14ac:dyDescent="0.3">
      <c r="B5833">
        <v>1</v>
      </c>
      <c r="C5833" s="33">
        <v>9283</v>
      </c>
      <c r="D5833" s="2">
        <v>1555</v>
      </c>
      <c r="E5833" s="2" t="s">
        <v>13534</v>
      </c>
      <c r="F5833" s="3" t="s">
        <v>14206</v>
      </c>
      <c r="H5833" s="3" t="s">
        <v>600</v>
      </c>
      <c r="K5833" s="2">
        <v>10</v>
      </c>
      <c r="L5833" s="2">
        <v>1</v>
      </c>
      <c r="M5833" s="3" t="s">
        <v>194</v>
      </c>
      <c r="N5833" s="3" t="s">
        <v>1683</v>
      </c>
      <c r="O5833" s="3" t="s">
        <v>340</v>
      </c>
      <c r="P5833" s="3" t="s">
        <v>1684</v>
      </c>
      <c r="Q5833" s="30" t="str">
        <f t="shared" si="91"/>
        <v>MAX : 3.52
TARGET : 3.50
MIN : 3.48</v>
      </c>
    </row>
    <row r="5834" spans="2:18" ht="41.4" x14ac:dyDescent="0.3">
      <c r="B5834">
        <v>1</v>
      </c>
      <c r="C5834" s="33">
        <v>9284</v>
      </c>
      <c r="D5834" s="2">
        <v>1556</v>
      </c>
      <c r="E5834" s="2" t="s">
        <v>13540</v>
      </c>
      <c r="F5834" s="3" t="s">
        <v>14206</v>
      </c>
      <c r="H5834" s="3" t="s">
        <v>600</v>
      </c>
      <c r="K5834" s="2">
        <v>10</v>
      </c>
      <c r="L5834" s="2">
        <v>2</v>
      </c>
      <c r="M5834" s="3" t="s">
        <v>198</v>
      </c>
      <c r="N5834" s="3" t="s">
        <v>428</v>
      </c>
      <c r="O5834" s="3" t="s">
        <v>5760</v>
      </c>
      <c r="P5834" s="3" t="s">
        <v>752</v>
      </c>
      <c r="Q5834" s="30" t="str">
        <f t="shared" si="91"/>
        <v>MAX : 1.72
TARGET : 1.70
MIN : 1.68</v>
      </c>
    </row>
    <row r="5835" spans="2:18" ht="41.4" x14ac:dyDescent="0.3">
      <c r="B5835">
        <v>1</v>
      </c>
      <c r="C5835" s="33">
        <v>9284</v>
      </c>
      <c r="D5835" s="2">
        <v>1556</v>
      </c>
      <c r="E5835" s="2" t="s">
        <v>13540</v>
      </c>
      <c r="F5835" s="3" t="s">
        <v>14206</v>
      </c>
      <c r="H5835" s="3" t="s">
        <v>600</v>
      </c>
      <c r="K5835" s="2">
        <v>10</v>
      </c>
      <c r="L5835" s="2">
        <v>1</v>
      </c>
      <c r="M5835" s="3" t="s">
        <v>194</v>
      </c>
      <c r="N5835" s="3" t="s">
        <v>1761</v>
      </c>
      <c r="O5835" s="3" t="s">
        <v>3040</v>
      </c>
      <c r="P5835" s="3" t="s">
        <v>5761</v>
      </c>
      <c r="Q5835" s="30" t="str">
        <f t="shared" si="91"/>
        <v>MAX : 4.81
TARGET : 4.79
MIN : 4.77</v>
      </c>
    </row>
    <row r="5836" spans="2:18" ht="41.4" x14ac:dyDescent="0.3">
      <c r="B5836">
        <v>1</v>
      </c>
      <c r="C5836" s="33">
        <v>9285</v>
      </c>
      <c r="D5836" s="2">
        <v>2125</v>
      </c>
      <c r="E5836" s="2" t="s">
        <v>13546</v>
      </c>
      <c r="F5836" s="3" t="s">
        <v>14206</v>
      </c>
      <c r="H5836" s="3" t="s">
        <v>1903</v>
      </c>
      <c r="I5836" s="3" t="s">
        <v>487</v>
      </c>
      <c r="K5836" s="2">
        <v>10</v>
      </c>
      <c r="L5836" s="2">
        <v>2</v>
      </c>
      <c r="M5836" s="3" t="s">
        <v>5764</v>
      </c>
      <c r="N5836" s="3" t="s">
        <v>5765</v>
      </c>
      <c r="O5836" s="3" t="s">
        <v>4854</v>
      </c>
      <c r="P5836" s="3" t="s">
        <v>5763</v>
      </c>
      <c r="Q5836" s="30" t="str">
        <f t="shared" si="91"/>
        <v>MAX : 10.88
TARGET : 10.75
MIN : 10.63</v>
      </c>
    </row>
    <row r="5837" spans="2:18" ht="41.4" x14ac:dyDescent="0.3">
      <c r="B5837">
        <v>1</v>
      </c>
      <c r="C5837" s="33">
        <v>9285</v>
      </c>
      <c r="D5837" s="2">
        <v>2125</v>
      </c>
      <c r="E5837" s="2" t="s">
        <v>13546</v>
      </c>
      <c r="F5837" s="3" t="s">
        <v>14206</v>
      </c>
      <c r="H5837" s="3" t="s">
        <v>1903</v>
      </c>
      <c r="I5837" s="3" t="s">
        <v>487</v>
      </c>
      <c r="K5837" s="2">
        <v>10</v>
      </c>
      <c r="L5837" s="2">
        <v>1</v>
      </c>
      <c r="M5837" s="3" t="s">
        <v>5762</v>
      </c>
      <c r="N5837" s="3" t="s">
        <v>5763</v>
      </c>
      <c r="O5837" s="3" t="s">
        <v>3061</v>
      </c>
      <c r="P5837" s="3" t="s">
        <v>1977</v>
      </c>
      <c r="Q5837" s="30" t="str">
        <f t="shared" si="91"/>
        <v>MAX : 11.25
TARGET : 11.00
MIN : 10.88</v>
      </c>
    </row>
    <row r="5838" spans="2:18" ht="41.4" x14ac:dyDescent="0.3">
      <c r="B5838">
        <v>1</v>
      </c>
      <c r="C5838" s="33">
        <v>9286</v>
      </c>
      <c r="D5838" s="2">
        <v>1557</v>
      </c>
      <c r="E5838" s="2" t="s">
        <v>13552</v>
      </c>
      <c r="F5838" s="3" t="s">
        <v>4520</v>
      </c>
      <c r="H5838" s="3" t="s">
        <v>922</v>
      </c>
      <c r="K5838" s="2">
        <v>20</v>
      </c>
      <c r="L5838" s="2">
        <v>1</v>
      </c>
      <c r="M5838" s="3" t="s">
        <v>5798</v>
      </c>
      <c r="Q5838" s="30" t="str">
        <f t="shared" si="91"/>
        <v xml:space="preserve">MAX : 
TARGET : 
MIN : </v>
      </c>
      <c r="R5838" s="3" t="s">
        <v>4520</v>
      </c>
    </row>
    <row r="5839" spans="2:18" ht="41.4" x14ac:dyDescent="0.3">
      <c r="B5839">
        <v>0</v>
      </c>
      <c r="C5839" s="33">
        <v>8233</v>
      </c>
      <c r="D5839" s="2">
        <v>1192</v>
      </c>
      <c r="E5839" s="2" t="s">
        <v>10129</v>
      </c>
      <c r="F5839" s="3" t="s">
        <v>14206</v>
      </c>
      <c r="H5839" s="3" t="s">
        <v>3080</v>
      </c>
      <c r="K5839" s="2">
        <v>20</v>
      </c>
      <c r="L5839" s="2">
        <v>6</v>
      </c>
      <c r="M5839" s="3" t="s">
        <v>5872</v>
      </c>
      <c r="N5839" s="3" t="s">
        <v>2061</v>
      </c>
      <c r="O5839" s="3" t="s">
        <v>2456</v>
      </c>
      <c r="P5839" s="3" t="s">
        <v>1692</v>
      </c>
      <c r="Q5839" s="30" t="str">
        <f t="shared" si="91"/>
        <v>MAX : 0.11
TARGET : 0.10
MIN : 0.09</v>
      </c>
    </row>
    <row r="5840" spans="2:18" ht="41.4" x14ac:dyDescent="0.3">
      <c r="B5840">
        <v>0</v>
      </c>
      <c r="C5840" s="33">
        <v>8233</v>
      </c>
      <c r="D5840" s="2">
        <v>1192</v>
      </c>
      <c r="E5840" s="2" t="s">
        <v>10129</v>
      </c>
      <c r="F5840" s="3" t="s">
        <v>14206</v>
      </c>
      <c r="H5840" s="3" t="s">
        <v>3080</v>
      </c>
      <c r="K5840" s="2">
        <v>20</v>
      </c>
      <c r="L5840" s="2">
        <v>7</v>
      </c>
      <c r="M5840" s="3" t="s">
        <v>5873</v>
      </c>
      <c r="N5840" s="3" t="s">
        <v>1520</v>
      </c>
      <c r="O5840" s="3" t="s">
        <v>462</v>
      </c>
      <c r="P5840" s="3" t="s">
        <v>437</v>
      </c>
      <c r="Q5840" s="30" t="str">
        <f t="shared" si="91"/>
        <v>MAX : 0.23
TARGET : 0.22
MIN : 0.21</v>
      </c>
    </row>
    <row r="5841" spans="2:18" ht="41.4" x14ac:dyDescent="0.3">
      <c r="B5841">
        <v>1</v>
      </c>
      <c r="C5841" s="33">
        <v>9287</v>
      </c>
      <c r="D5841" s="2">
        <v>2126</v>
      </c>
      <c r="E5841" s="2" t="s">
        <v>13559</v>
      </c>
      <c r="F5841" s="3" t="s">
        <v>14206</v>
      </c>
      <c r="H5841" s="3" t="s">
        <v>1903</v>
      </c>
      <c r="I5841" s="3" t="s">
        <v>487</v>
      </c>
      <c r="K5841" s="2">
        <v>10</v>
      </c>
      <c r="L5841" s="2">
        <v>2</v>
      </c>
      <c r="M5841" s="3" t="s">
        <v>5764</v>
      </c>
      <c r="N5841" s="3" t="s">
        <v>1097</v>
      </c>
      <c r="O5841" s="3" t="s">
        <v>1098</v>
      </c>
      <c r="P5841" s="3" t="s">
        <v>1099</v>
      </c>
      <c r="Q5841" s="30" t="str">
        <f t="shared" si="91"/>
        <v>MAX : 10.06
TARGET : 10.00
MIN : 9.94</v>
      </c>
    </row>
    <row r="5842" spans="2:18" ht="41.4" x14ac:dyDescent="0.3">
      <c r="B5842">
        <v>1</v>
      </c>
      <c r="C5842" s="33">
        <v>9287</v>
      </c>
      <c r="D5842" s="2">
        <v>2126</v>
      </c>
      <c r="E5842" s="2" t="s">
        <v>13559</v>
      </c>
      <c r="F5842" s="3" t="s">
        <v>14206</v>
      </c>
      <c r="H5842" s="3" t="s">
        <v>1903</v>
      </c>
      <c r="I5842" s="3" t="s">
        <v>487</v>
      </c>
      <c r="K5842" s="2">
        <v>10</v>
      </c>
      <c r="L5842" s="2">
        <v>1</v>
      </c>
      <c r="M5842" s="3" t="s">
        <v>625</v>
      </c>
      <c r="N5842" s="3" t="s">
        <v>5767</v>
      </c>
      <c r="O5842" s="3" t="s">
        <v>1826</v>
      </c>
      <c r="P5842" s="3" t="s">
        <v>5768</v>
      </c>
      <c r="Q5842" s="30" t="str">
        <f t="shared" si="91"/>
        <v>MAX : 10.56
TARGET : 10.50
MIN : 10.44</v>
      </c>
    </row>
    <row r="5843" spans="2:18" ht="41.4" x14ac:dyDescent="0.3">
      <c r="B5843">
        <v>0</v>
      </c>
      <c r="C5843" s="33">
        <v>9314</v>
      </c>
      <c r="D5843" s="2">
        <v>1571</v>
      </c>
      <c r="E5843" s="2" t="s">
        <v>13708</v>
      </c>
      <c r="F5843" s="3" t="s">
        <v>14206</v>
      </c>
      <c r="H5843" s="3" t="s">
        <v>504</v>
      </c>
      <c r="K5843" s="2">
        <v>20</v>
      </c>
      <c r="L5843" s="2">
        <v>3</v>
      </c>
      <c r="M5843" s="3" t="s">
        <v>5874</v>
      </c>
      <c r="N5843" s="3" t="s">
        <v>13</v>
      </c>
      <c r="O5843" s="3" t="s">
        <v>14</v>
      </c>
      <c r="Q5843" s="30" t="str">
        <f t="shared" si="91"/>
        <v>MAX : 
TARGET : Yes(Pass)
MIN : No(Fail)</v>
      </c>
    </row>
    <row r="5844" spans="2:18" ht="41.4" x14ac:dyDescent="0.3">
      <c r="B5844">
        <v>0</v>
      </c>
      <c r="C5844" s="33">
        <v>9314</v>
      </c>
      <c r="D5844" s="2">
        <v>1571</v>
      </c>
      <c r="E5844" s="2" t="s">
        <v>13708</v>
      </c>
      <c r="F5844" s="3" t="s">
        <v>14206</v>
      </c>
      <c r="H5844" s="3" t="s">
        <v>504</v>
      </c>
      <c r="K5844" s="2">
        <v>20</v>
      </c>
      <c r="L5844" s="2">
        <v>4</v>
      </c>
      <c r="M5844" s="3" t="s">
        <v>5875</v>
      </c>
      <c r="N5844" s="3" t="s">
        <v>13</v>
      </c>
      <c r="O5844" s="3" t="s">
        <v>14</v>
      </c>
      <c r="Q5844" s="30" t="str">
        <f t="shared" si="91"/>
        <v>MAX : 
TARGET : Yes(Pass)
MIN : No(Fail)</v>
      </c>
    </row>
    <row r="5845" spans="2:18" ht="41.4" x14ac:dyDescent="0.3">
      <c r="B5845">
        <v>1</v>
      </c>
      <c r="C5845" s="33">
        <v>9289</v>
      </c>
      <c r="D5845" s="2">
        <v>2127</v>
      </c>
      <c r="E5845" s="2" t="s">
        <v>13565</v>
      </c>
      <c r="F5845" s="3" t="s">
        <v>14206</v>
      </c>
      <c r="H5845" s="3" t="s">
        <v>289</v>
      </c>
      <c r="K5845" s="2">
        <v>10</v>
      </c>
      <c r="L5845" s="2">
        <v>2</v>
      </c>
      <c r="M5845" s="3" t="s">
        <v>611</v>
      </c>
      <c r="N5845" s="3" t="s">
        <v>13</v>
      </c>
      <c r="O5845" s="3" t="s">
        <v>14</v>
      </c>
      <c r="Q5845" s="30" t="str">
        <f t="shared" si="91"/>
        <v>MAX : 
TARGET : Yes(Pass)
MIN : No(Fail)</v>
      </c>
    </row>
    <row r="5846" spans="2:18" ht="41.4" x14ac:dyDescent="0.3">
      <c r="B5846">
        <v>1</v>
      </c>
      <c r="C5846" s="33">
        <v>9289</v>
      </c>
      <c r="D5846" s="2">
        <v>2127</v>
      </c>
      <c r="E5846" s="2" t="s">
        <v>13565</v>
      </c>
      <c r="F5846" s="3" t="s">
        <v>14206</v>
      </c>
      <c r="H5846" s="3" t="s">
        <v>289</v>
      </c>
      <c r="K5846" s="2">
        <v>10</v>
      </c>
      <c r="L5846" s="2">
        <v>1</v>
      </c>
      <c r="M5846" s="3" t="s">
        <v>99</v>
      </c>
      <c r="N5846" s="3" t="s">
        <v>472</v>
      </c>
      <c r="O5846" s="3" t="s">
        <v>1453</v>
      </c>
      <c r="P5846" s="3" t="s">
        <v>5799</v>
      </c>
      <c r="Q5846" s="30" t="str">
        <f t="shared" si="91"/>
        <v>MAX : 1.266
TARGET : 1.250
MIN : 1.234</v>
      </c>
    </row>
    <row r="5847" spans="2:18" ht="41.4" x14ac:dyDescent="0.3">
      <c r="B5847">
        <v>0</v>
      </c>
      <c r="C5847" s="33">
        <v>9315</v>
      </c>
      <c r="D5847" s="2">
        <v>1572</v>
      </c>
      <c r="E5847" s="2" t="s">
        <v>13714</v>
      </c>
      <c r="F5847" s="3" t="s">
        <v>14262</v>
      </c>
      <c r="H5847" s="3" t="s">
        <v>5876</v>
      </c>
      <c r="I5847" s="3" t="s">
        <v>575</v>
      </c>
      <c r="K5847" s="2">
        <v>20</v>
      </c>
      <c r="L5847" s="2">
        <v>3</v>
      </c>
      <c r="M5847" s="3" t="s">
        <v>5881</v>
      </c>
      <c r="N5847" s="3" t="s">
        <v>90</v>
      </c>
      <c r="O5847" s="3" t="s">
        <v>284</v>
      </c>
      <c r="P5847" s="3" t="s">
        <v>4464</v>
      </c>
      <c r="Q5847" s="30" t="str">
        <f t="shared" si="91"/>
        <v>MAX : 0.193
TARGET : 0.188
MIN : 0.170</v>
      </c>
      <c r="R5847" s="3" t="s">
        <v>1638</v>
      </c>
    </row>
    <row r="5848" spans="2:18" ht="41.4" x14ac:dyDescent="0.3">
      <c r="B5848">
        <v>0</v>
      </c>
      <c r="C5848" s="33">
        <v>9315</v>
      </c>
      <c r="D5848" s="2">
        <v>1572</v>
      </c>
      <c r="E5848" s="2" t="s">
        <v>13714</v>
      </c>
      <c r="F5848" s="3" t="s">
        <v>14262</v>
      </c>
      <c r="H5848" s="3" t="s">
        <v>5876</v>
      </c>
      <c r="I5848" s="3" t="s">
        <v>575</v>
      </c>
      <c r="K5848" s="2">
        <v>20</v>
      </c>
      <c r="L5848" s="2">
        <v>4</v>
      </c>
      <c r="M5848" s="3" t="s">
        <v>198</v>
      </c>
      <c r="N5848" s="3" t="s">
        <v>5882</v>
      </c>
      <c r="O5848" s="3" t="s">
        <v>5883</v>
      </c>
      <c r="P5848" s="3" t="s">
        <v>5884</v>
      </c>
      <c r="Q5848" s="30" t="str">
        <f t="shared" si="91"/>
        <v>MAX : 4.225
TARGET : 4.200
MIN : 4.175</v>
      </c>
      <c r="R5848" s="3" t="s">
        <v>1638</v>
      </c>
    </row>
    <row r="5849" spans="2:18" ht="41.4" x14ac:dyDescent="0.3">
      <c r="B5849">
        <v>0</v>
      </c>
      <c r="C5849" s="33">
        <v>9315</v>
      </c>
      <c r="D5849" s="2">
        <v>1572</v>
      </c>
      <c r="E5849" s="2" t="s">
        <v>13714</v>
      </c>
      <c r="F5849" s="3" t="s">
        <v>14262</v>
      </c>
      <c r="H5849" s="3" t="s">
        <v>5876</v>
      </c>
      <c r="I5849" s="3" t="s">
        <v>575</v>
      </c>
      <c r="K5849" s="2">
        <v>20</v>
      </c>
      <c r="L5849" s="2">
        <v>5</v>
      </c>
      <c r="M5849" s="3" t="s">
        <v>3426</v>
      </c>
      <c r="N5849" s="3" t="s">
        <v>741</v>
      </c>
      <c r="O5849" s="3" t="s">
        <v>5885</v>
      </c>
      <c r="P5849" s="3" t="s">
        <v>742</v>
      </c>
      <c r="Q5849" s="30" t="str">
        <f t="shared" si="91"/>
        <v>MAX : 3.125
TARGET : 3.100
MIN : 3.075</v>
      </c>
      <c r="R5849" s="3" t="s">
        <v>1638</v>
      </c>
    </row>
    <row r="5850" spans="2:18" ht="41.4" x14ac:dyDescent="0.3">
      <c r="B5850">
        <v>0</v>
      </c>
      <c r="C5850" s="33">
        <v>9315</v>
      </c>
      <c r="D5850" s="2">
        <v>1572</v>
      </c>
      <c r="E5850" s="2" t="s">
        <v>13714</v>
      </c>
      <c r="F5850" s="3" t="s">
        <v>14262</v>
      </c>
      <c r="H5850" s="3" t="s">
        <v>5876</v>
      </c>
      <c r="I5850" s="3" t="s">
        <v>575</v>
      </c>
      <c r="K5850" s="2">
        <v>20</v>
      </c>
      <c r="L5850" s="2">
        <v>6</v>
      </c>
      <c r="M5850" s="3" t="s">
        <v>5886</v>
      </c>
      <c r="N5850" s="3" t="s">
        <v>13</v>
      </c>
      <c r="O5850" s="3" t="s">
        <v>14</v>
      </c>
      <c r="Q5850" s="30" t="str">
        <f t="shared" si="91"/>
        <v>MAX : 
TARGET : Yes(Pass)
MIN : No(Fail)</v>
      </c>
      <c r="R5850" s="3" t="s">
        <v>1638</v>
      </c>
    </row>
    <row r="5851" spans="2:18" ht="41.4" x14ac:dyDescent="0.3">
      <c r="B5851">
        <v>0</v>
      </c>
      <c r="C5851" s="33">
        <v>9315</v>
      </c>
      <c r="D5851" s="2">
        <v>1572</v>
      </c>
      <c r="E5851" s="2" t="s">
        <v>13714</v>
      </c>
      <c r="F5851" s="3" t="s">
        <v>14262</v>
      </c>
      <c r="H5851" s="3" t="s">
        <v>5876</v>
      </c>
      <c r="I5851" s="3" t="s">
        <v>575</v>
      </c>
      <c r="K5851" s="2">
        <v>20</v>
      </c>
      <c r="L5851" s="2">
        <v>7</v>
      </c>
      <c r="M5851" s="3" t="s">
        <v>4596</v>
      </c>
      <c r="N5851" s="3" t="s">
        <v>13</v>
      </c>
      <c r="O5851" s="3" t="s">
        <v>14</v>
      </c>
      <c r="Q5851" s="30" t="str">
        <f t="shared" si="91"/>
        <v>MAX : 
TARGET : Yes(Pass)
MIN : No(Fail)</v>
      </c>
      <c r="R5851" s="3" t="s">
        <v>1638</v>
      </c>
    </row>
    <row r="5852" spans="2:18" ht="41.4" x14ac:dyDescent="0.3">
      <c r="B5852">
        <v>1</v>
      </c>
      <c r="C5852" s="33">
        <v>9290</v>
      </c>
      <c r="D5852" s="2">
        <v>2128</v>
      </c>
      <c r="E5852" s="2" t="s">
        <v>13571</v>
      </c>
      <c r="F5852" s="3" t="s">
        <v>14206</v>
      </c>
      <c r="G5852" s="3" t="s">
        <v>5646</v>
      </c>
      <c r="H5852" s="3" t="s">
        <v>1144</v>
      </c>
      <c r="I5852" s="3" t="s">
        <v>575</v>
      </c>
      <c r="K5852" s="2">
        <v>10</v>
      </c>
      <c r="L5852" s="2">
        <v>2</v>
      </c>
      <c r="M5852" s="3" t="s">
        <v>611</v>
      </c>
      <c r="N5852" s="3" t="s">
        <v>13</v>
      </c>
      <c r="O5852" s="3" t="s">
        <v>14</v>
      </c>
      <c r="Q5852" s="30" t="str">
        <f t="shared" si="91"/>
        <v>MAX : 
TARGET : Yes(Pass)
MIN : No(Fail)</v>
      </c>
    </row>
    <row r="5853" spans="2:18" ht="41.4" x14ac:dyDescent="0.3">
      <c r="B5853">
        <v>1</v>
      </c>
      <c r="C5853" s="33">
        <v>9290</v>
      </c>
      <c r="D5853" s="2">
        <v>2128</v>
      </c>
      <c r="E5853" s="2" t="s">
        <v>13571</v>
      </c>
      <c r="F5853" s="3" t="s">
        <v>14206</v>
      </c>
      <c r="G5853" s="3" t="s">
        <v>5646</v>
      </c>
      <c r="H5853" s="3" t="s">
        <v>1144</v>
      </c>
      <c r="I5853" s="3" t="s">
        <v>575</v>
      </c>
      <c r="K5853" s="2">
        <v>10</v>
      </c>
      <c r="L5853" s="2">
        <v>1</v>
      </c>
      <c r="M5853" s="3" t="s">
        <v>458</v>
      </c>
      <c r="N5853" s="3" t="s">
        <v>3764</v>
      </c>
      <c r="O5853" s="3" t="s">
        <v>4045</v>
      </c>
      <c r="P5853" s="3" t="s">
        <v>758</v>
      </c>
      <c r="Q5853" s="30" t="str">
        <f t="shared" si="91"/>
        <v>MAX : 0.675
TARGET : 0.660
MIN : 0.645</v>
      </c>
    </row>
    <row r="5854" spans="2:18" ht="41.4" x14ac:dyDescent="0.3">
      <c r="B5854">
        <v>0</v>
      </c>
      <c r="C5854" s="33">
        <v>9316</v>
      </c>
      <c r="D5854" s="2">
        <v>1573</v>
      </c>
      <c r="E5854" s="2" t="s">
        <v>13721</v>
      </c>
      <c r="F5854" s="3" t="s">
        <v>14262</v>
      </c>
      <c r="H5854" s="3" t="s">
        <v>5876</v>
      </c>
      <c r="K5854" s="2">
        <v>20</v>
      </c>
      <c r="L5854" s="2">
        <v>3</v>
      </c>
      <c r="M5854" s="3" t="s">
        <v>5881</v>
      </c>
      <c r="N5854" s="3" t="s">
        <v>90</v>
      </c>
      <c r="O5854" s="3" t="s">
        <v>1958</v>
      </c>
      <c r="P5854" s="3" t="s">
        <v>5891</v>
      </c>
      <c r="Q5854" s="30" t="str">
        <f t="shared" si="91"/>
        <v>MAX : 0.213
TARGET : 0.203
MIN : 0.170</v>
      </c>
      <c r="R5854" s="3" t="s">
        <v>1638</v>
      </c>
    </row>
    <row r="5855" spans="2:18" ht="41.4" x14ac:dyDescent="0.3">
      <c r="B5855">
        <v>0</v>
      </c>
      <c r="C5855" s="33">
        <v>9316</v>
      </c>
      <c r="D5855" s="2">
        <v>1573</v>
      </c>
      <c r="E5855" s="2" t="s">
        <v>13721</v>
      </c>
      <c r="F5855" s="3" t="s">
        <v>14262</v>
      </c>
      <c r="H5855" s="3" t="s">
        <v>5876</v>
      </c>
      <c r="K5855" s="2">
        <v>20</v>
      </c>
      <c r="L5855" s="2">
        <v>4</v>
      </c>
      <c r="M5855" s="3" t="s">
        <v>198</v>
      </c>
      <c r="N5855" s="3" t="s">
        <v>5892</v>
      </c>
      <c r="O5855" s="3" t="s">
        <v>5893</v>
      </c>
      <c r="P5855" s="3" t="s">
        <v>4926</v>
      </c>
      <c r="Q5855" s="30" t="str">
        <f t="shared" si="91"/>
        <v>MAX : 7.125
TARGET : 7.100
MIN : 7.075</v>
      </c>
      <c r="R5855" s="3" t="s">
        <v>1638</v>
      </c>
    </row>
    <row r="5856" spans="2:18" ht="41.4" x14ac:dyDescent="0.3">
      <c r="B5856">
        <v>0</v>
      </c>
      <c r="C5856" s="33">
        <v>9316</v>
      </c>
      <c r="D5856" s="2">
        <v>1573</v>
      </c>
      <c r="E5856" s="2" t="s">
        <v>13721</v>
      </c>
      <c r="F5856" s="3" t="s">
        <v>14262</v>
      </c>
      <c r="H5856" s="3" t="s">
        <v>5876</v>
      </c>
      <c r="K5856" s="2">
        <v>20</v>
      </c>
      <c r="L5856" s="2">
        <v>5</v>
      </c>
      <c r="M5856" s="3" t="s">
        <v>3426</v>
      </c>
      <c r="N5856" s="3" t="s">
        <v>5894</v>
      </c>
      <c r="O5856" s="3" t="s">
        <v>5895</v>
      </c>
      <c r="P5856" s="3" t="s">
        <v>4556</v>
      </c>
      <c r="Q5856" s="30" t="str">
        <f t="shared" si="91"/>
        <v>MAX : 5.875
TARGET : 5.850
MIN : 5.825</v>
      </c>
      <c r="R5856" s="3" t="s">
        <v>1638</v>
      </c>
    </row>
    <row r="5857" spans="2:18" ht="41.4" x14ac:dyDescent="0.3">
      <c r="B5857">
        <v>0</v>
      </c>
      <c r="C5857" s="33">
        <v>9316</v>
      </c>
      <c r="D5857" s="2">
        <v>1573</v>
      </c>
      <c r="E5857" s="2" t="s">
        <v>13721</v>
      </c>
      <c r="F5857" s="3" t="s">
        <v>14262</v>
      </c>
      <c r="H5857" s="3" t="s">
        <v>5876</v>
      </c>
      <c r="K5857" s="2">
        <v>20</v>
      </c>
      <c r="L5857" s="2">
        <v>6</v>
      </c>
      <c r="M5857" s="3" t="s">
        <v>5886</v>
      </c>
      <c r="N5857" s="3" t="s">
        <v>13</v>
      </c>
      <c r="O5857" s="3" t="s">
        <v>14</v>
      </c>
      <c r="Q5857" s="30" t="str">
        <f t="shared" si="91"/>
        <v>MAX : 
TARGET : Yes(Pass)
MIN : No(Fail)</v>
      </c>
      <c r="R5857" s="3" t="s">
        <v>1638</v>
      </c>
    </row>
    <row r="5858" spans="2:18" ht="41.4" x14ac:dyDescent="0.3">
      <c r="B5858">
        <v>0</v>
      </c>
      <c r="C5858" s="33">
        <v>9316</v>
      </c>
      <c r="D5858" s="2">
        <v>1573</v>
      </c>
      <c r="E5858" s="2" t="s">
        <v>13721</v>
      </c>
      <c r="F5858" s="3" t="s">
        <v>14262</v>
      </c>
      <c r="H5858" s="3" t="s">
        <v>5876</v>
      </c>
      <c r="K5858" s="2">
        <v>20</v>
      </c>
      <c r="L5858" s="2">
        <v>7</v>
      </c>
      <c r="M5858" s="3" t="s">
        <v>4596</v>
      </c>
      <c r="N5858" s="3" t="s">
        <v>13</v>
      </c>
      <c r="O5858" s="3" t="s">
        <v>14</v>
      </c>
      <c r="Q5858" s="30" t="str">
        <f t="shared" si="91"/>
        <v>MAX : 
TARGET : Yes(Pass)
MIN : No(Fail)</v>
      </c>
      <c r="R5858" s="3" t="s">
        <v>1638</v>
      </c>
    </row>
    <row r="5859" spans="2:18" ht="41.4" x14ac:dyDescent="0.3">
      <c r="B5859">
        <v>1</v>
      </c>
      <c r="C5859" s="33">
        <v>9291</v>
      </c>
      <c r="D5859" s="2">
        <v>1558</v>
      </c>
      <c r="E5859" s="2" t="s">
        <v>13577</v>
      </c>
      <c r="F5859" s="3" t="s">
        <v>14206</v>
      </c>
      <c r="G5859" s="3" t="s">
        <v>1665</v>
      </c>
      <c r="H5859" s="3" t="s">
        <v>5656</v>
      </c>
      <c r="I5859" s="3" t="s">
        <v>575</v>
      </c>
      <c r="K5859" s="2">
        <v>10</v>
      </c>
      <c r="L5859" s="2">
        <v>4</v>
      </c>
      <c r="M5859" s="3" t="s">
        <v>198</v>
      </c>
      <c r="N5859" s="3" t="s">
        <v>5658</v>
      </c>
      <c r="O5859" s="3" t="s">
        <v>543</v>
      </c>
      <c r="P5859" s="3" t="s">
        <v>5659</v>
      </c>
      <c r="Q5859" s="30" t="str">
        <f t="shared" si="91"/>
        <v>MAX : 3.531
TARGET : 3.500
MIN : 3.469</v>
      </c>
    </row>
    <row r="5860" spans="2:18" ht="41.4" x14ac:dyDescent="0.3">
      <c r="B5860">
        <v>1</v>
      </c>
      <c r="C5860" s="33">
        <v>9291</v>
      </c>
      <c r="D5860" s="2">
        <v>1558</v>
      </c>
      <c r="E5860" s="2" t="s">
        <v>13577</v>
      </c>
      <c r="F5860" s="3" t="s">
        <v>14206</v>
      </c>
      <c r="G5860" s="3" t="s">
        <v>1665</v>
      </c>
      <c r="H5860" s="3" t="s">
        <v>5656</v>
      </c>
      <c r="I5860" s="3" t="s">
        <v>575</v>
      </c>
      <c r="K5860" s="2">
        <v>10</v>
      </c>
      <c r="L5860" s="2">
        <v>3</v>
      </c>
      <c r="M5860" s="3" t="s">
        <v>194</v>
      </c>
      <c r="N5860" s="3" t="s">
        <v>5657</v>
      </c>
      <c r="O5860" s="3" t="s">
        <v>521</v>
      </c>
      <c r="P5860" s="3" t="s">
        <v>2268</v>
      </c>
      <c r="Q5860" s="30" t="str">
        <f t="shared" si="91"/>
        <v>MAX : 3.781
TARGET : 3.750
MIN : 3.719</v>
      </c>
    </row>
    <row r="5861" spans="2:18" ht="41.4" x14ac:dyDescent="0.3">
      <c r="B5861">
        <v>0</v>
      </c>
      <c r="C5861" s="33">
        <v>9321</v>
      </c>
      <c r="D5861" s="2">
        <v>1576</v>
      </c>
      <c r="E5861" s="2" t="s">
        <v>13740</v>
      </c>
      <c r="F5861" s="3" t="s">
        <v>14206</v>
      </c>
      <c r="H5861" s="3" t="s">
        <v>5896</v>
      </c>
      <c r="I5861" s="3" t="s">
        <v>575</v>
      </c>
      <c r="K5861" s="2">
        <v>10</v>
      </c>
      <c r="L5861" s="2">
        <v>3</v>
      </c>
      <c r="M5861" s="3" t="s">
        <v>5901</v>
      </c>
      <c r="N5861" s="3" t="s">
        <v>1979</v>
      </c>
      <c r="O5861" s="3" t="s">
        <v>3144</v>
      </c>
      <c r="P5861" s="3" t="s">
        <v>1723</v>
      </c>
      <c r="Q5861" s="30" t="str">
        <f t="shared" si="91"/>
        <v>MAX : 11.63
TARGET : 11.50
MIN : 11.37</v>
      </c>
      <c r="R5861" s="3" t="s">
        <v>1638</v>
      </c>
    </row>
    <row r="5862" spans="2:18" ht="41.4" x14ac:dyDescent="0.3">
      <c r="B5862">
        <v>0</v>
      </c>
      <c r="C5862" s="33">
        <v>9321</v>
      </c>
      <c r="D5862" s="2">
        <v>1576</v>
      </c>
      <c r="E5862" s="2" t="s">
        <v>13740</v>
      </c>
      <c r="F5862" s="3" t="s">
        <v>14206</v>
      </c>
      <c r="H5862" s="3" t="s">
        <v>5896</v>
      </c>
      <c r="I5862" s="3" t="s">
        <v>575</v>
      </c>
      <c r="K5862" s="2">
        <v>20</v>
      </c>
      <c r="L5862" s="2">
        <v>1</v>
      </c>
      <c r="M5862" s="3" t="s">
        <v>2088</v>
      </c>
      <c r="N5862" s="3" t="s">
        <v>2867</v>
      </c>
      <c r="O5862" s="3" t="s">
        <v>858</v>
      </c>
      <c r="P5862" s="3" t="s">
        <v>2868</v>
      </c>
      <c r="Q5862" s="30" t="str">
        <f t="shared" si="91"/>
        <v>MAX : 17.13
TARGET : 17.00
MIN : 16.87</v>
      </c>
      <c r="R5862" s="3" t="s">
        <v>1638</v>
      </c>
    </row>
    <row r="5863" spans="2:18" ht="41.4" x14ac:dyDescent="0.3">
      <c r="B5863">
        <v>0</v>
      </c>
      <c r="C5863" s="33">
        <v>9321</v>
      </c>
      <c r="D5863" s="2">
        <v>1576</v>
      </c>
      <c r="E5863" s="2" t="s">
        <v>13740</v>
      </c>
      <c r="F5863" s="3" t="s">
        <v>14206</v>
      </c>
      <c r="H5863" s="3" t="s">
        <v>5896</v>
      </c>
      <c r="I5863" s="3" t="s">
        <v>575</v>
      </c>
      <c r="K5863" s="2">
        <v>20</v>
      </c>
      <c r="L5863" s="2">
        <v>2</v>
      </c>
      <c r="M5863" s="3" t="s">
        <v>5902</v>
      </c>
      <c r="N5863" s="3" t="s">
        <v>4682</v>
      </c>
      <c r="O5863" s="3" t="s">
        <v>1622</v>
      </c>
      <c r="P5863" s="3" t="s">
        <v>3895</v>
      </c>
      <c r="Q5863" s="30" t="str">
        <f t="shared" si="91"/>
        <v>MAX : 1.11
TARGET : 1.05
MIN : 0.99</v>
      </c>
      <c r="R5863" s="3" t="s">
        <v>1638</v>
      </c>
    </row>
    <row r="5864" spans="2:18" ht="41.4" x14ac:dyDescent="0.3">
      <c r="B5864">
        <v>0</v>
      </c>
      <c r="C5864" s="33">
        <v>9321</v>
      </c>
      <c r="D5864" s="2">
        <v>1576</v>
      </c>
      <c r="E5864" s="2" t="s">
        <v>13740</v>
      </c>
      <c r="F5864" s="3" t="s">
        <v>14206</v>
      </c>
      <c r="H5864" s="3" t="s">
        <v>5896</v>
      </c>
      <c r="I5864" s="3" t="s">
        <v>575</v>
      </c>
      <c r="K5864" s="2">
        <v>20</v>
      </c>
      <c r="L5864" s="2">
        <v>3</v>
      </c>
      <c r="M5864" s="3" t="s">
        <v>5903</v>
      </c>
      <c r="N5864" s="3" t="s">
        <v>699</v>
      </c>
      <c r="O5864" s="3" t="s">
        <v>700</v>
      </c>
      <c r="P5864" s="3" t="s">
        <v>2185</v>
      </c>
      <c r="Q5864" s="30" t="str">
        <f t="shared" si="91"/>
        <v>MAX : 0.390
TARGET : 0.360
MIN : 0.330</v>
      </c>
      <c r="R5864" s="3" t="s">
        <v>1638</v>
      </c>
    </row>
    <row r="5865" spans="2:18" ht="41.4" x14ac:dyDescent="0.3">
      <c r="B5865">
        <v>0</v>
      </c>
      <c r="C5865" s="33">
        <v>9321</v>
      </c>
      <c r="D5865" s="2">
        <v>1576</v>
      </c>
      <c r="E5865" s="2" t="s">
        <v>13740</v>
      </c>
      <c r="F5865" s="3" t="s">
        <v>14206</v>
      </c>
      <c r="H5865" s="3" t="s">
        <v>5896</v>
      </c>
      <c r="I5865" s="3" t="s">
        <v>575</v>
      </c>
      <c r="K5865" s="2">
        <v>20</v>
      </c>
      <c r="L5865" s="2">
        <v>4</v>
      </c>
      <c r="M5865" s="3" t="s">
        <v>5904</v>
      </c>
      <c r="N5865" s="3" t="s">
        <v>5905</v>
      </c>
      <c r="O5865" s="3" t="s">
        <v>5906</v>
      </c>
      <c r="P5865" s="3" t="s">
        <v>5907</v>
      </c>
      <c r="Q5865" s="30" t="str">
        <f t="shared" si="91"/>
        <v>MAX : 2.196
TARGET : 2.176
MIN : 2.156</v>
      </c>
      <c r="R5865" s="3" t="s">
        <v>1638</v>
      </c>
    </row>
    <row r="5866" spans="2:18" ht="41.4" x14ac:dyDescent="0.3">
      <c r="B5866">
        <v>0</v>
      </c>
      <c r="C5866" s="33">
        <v>9321</v>
      </c>
      <c r="D5866" s="2">
        <v>1576</v>
      </c>
      <c r="E5866" s="2" t="s">
        <v>13740</v>
      </c>
      <c r="F5866" s="3" t="s">
        <v>14206</v>
      </c>
      <c r="H5866" s="3" t="s">
        <v>5896</v>
      </c>
      <c r="I5866" s="3" t="s">
        <v>575</v>
      </c>
      <c r="K5866" s="2">
        <v>20</v>
      </c>
      <c r="L5866" s="2">
        <v>5</v>
      </c>
      <c r="M5866" s="3" t="s">
        <v>5908</v>
      </c>
      <c r="N5866" s="3" t="s">
        <v>5909</v>
      </c>
      <c r="O5866" s="3" t="s">
        <v>5910</v>
      </c>
      <c r="P5866" s="3" t="s">
        <v>5911</v>
      </c>
      <c r="Q5866" s="30" t="str">
        <f t="shared" si="91"/>
        <v>MAX : 7.776
TARGET : 7.756
MIN : 7.736</v>
      </c>
      <c r="R5866" s="3" t="s">
        <v>1638</v>
      </c>
    </row>
    <row r="5867" spans="2:18" ht="41.4" x14ac:dyDescent="0.3">
      <c r="B5867">
        <v>0</v>
      </c>
      <c r="C5867" s="33">
        <v>9321</v>
      </c>
      <c r="D5867" s="2">
        <v>1576</v>
      </c>
      <c r="E5867" s="2" t="s">
        <v>13740</v>
      </c>
      <c r="F5867" s="3" t="s">
        <v>14206</v>
      </c>
      <c r="H5867" s="3" t="s">
        <v>5896</v>
      </c>
      <c r="I5867" s="3" t="s">
        <v>575</v>
      </c>
      <c r="K5867" s="2">
        <v>20</v>
      </c>
      <c r="L5867" s="2">
        <v>6</v>
      </c>
      <c r="M5867" s="3" t="s">
        <v>5912</v>
      </c>
      <c r="N5867" s="3" t="s">
        <v>5913</v>
      </c>
      <c r="O5867" s="3" t="s">
        <v>5914</v>
      </c>
      <c r="P5867" s="3" t="s">
        <v>5915</v>
      </c>
      <c r="Q5867" s="30" t="str">
        <f t="shared" si="91"/>
        <v>MAX : 15.381
TARGET : 15.361
MIN : 15.341</v>
      </c>
      <c r="R5867" s="3" t="s">
        <v>1638</v>
      </c>
    </row>
    <row r="5868" spans="2:18" ht="41.4" x14ac:dyDescent="0.3">
      <c r="B5868">
        <v>0</v>
      </c>
      <c r="C5868" s="33">
        <v>9321</v>
      </c>
      <c r="D5868" s="2">
        <v>1576</v>
      </c>
      <c r="E5868" s="2" t="s">
        <v>13740</v>
      </c>
      <c r="F5868" s="3" t="s">
        <v>14206</v>
      </c>
      <c r="H5868" s="3" t="s">
        <v>5896</v>
      </c>
      <c r="I5868" s="3" t="s">
        <v>575</v>
      </c>
      <c r="K5868" s="2">
        <v>20</v>
      </c>
      <c r="L5868" s="2">
        <v>7</v>
      </c>
      <c r="M5868" s="3" t="s">
        <v>570</v>
      </c>
      <c r="N5868" s="3" t="s">
        <v>5767</v>
      </c>
      <c r="O5868" s="3" t="s">
        <v>1826</v>
      </c>
      <c r="P5868" s="3" t="s">
        <v>5898</v>
      </c>
      <c r="Q5868" s="30" t="str">
        <f t="shared" si="91"/>
        <v>MAX : 10.69
TARGET : 10.50
MIN : 10.44</v>
      </c>
      <c r="R5868" s="3" t="s">
        <v>1638</v>
      </c>
    </row>
    <row r="5869" spans="2:18" ht="41.4" x14ac:dyDescent="0.3">
      <c r="B5869">
        <v>0</v>
      </c>
      <c r="C5869" s="33">
        <v>9321</v>
      </c>
      <c r="D5869" s="2">
        <v>1576</v>
      </c>
      <c r="E5869" s="2" t="s">
        <v>13740</v>
      </c>
      <c r="F5869" s="3" t="s">
        <v>14206</v>
      </c>
      <c r="H5869" s="3" t="s">
        <v>5896</v>
      </c>
      <c r="I5869" s="3" t="s">
        <v>575</v>
      </c>
      <c r="K5869" s="2">
        <v>20</v>
      </c>
      <c r="L5869" s="2">
        <v>8</v>
      </c>
      <c r="M5869" s="3" t="s">
        <v>5916</v>
      </c>
      <c r="N5869" s="3" t="s">
        <v>5917</v>
      </c>
      <c r="O5869" s="3" t="s">
        <v>5918</v>
      </c>
      <c r="P5869" s="3" t="s">
        <v>5919</v>
      </c>
      <c r="Q5869" s="30" t="str">
        <f t="shared" si="91"/>
        <v>MAX : 3.975
TARGET : 3.955
MIN : 3.935</v>
      </c>
      <c r="R5869" s="3" t="s">
        <v>1638</v>
      </c>
    </row>
    <row r="5870" spans="2:18" ht="41.4" x14ac:dyDescent="0.3">
      <c r="B5870">
        <v>0</v>
      </c>
      <c r="C5870" s="33">
        <v>9321</v>
      </c>
      <c r="D5870" s="2">
        <v>1576</v>
      </c>
      <c r="E5870" s="2" t="s">
        <v>13740</v>
      </c>
      <c r="F5870" s="3" t="s">
        <v>14206</v>
      </c>
      <c r="H5870" s="3" t="s">
        <v>5896</v>
      </c>
      <c r="I5870" s="3" t="s">
        <v>575</v>
      </c>
      <c r="K5870" s="2">
        <v>20</v>
      </c>
      <c r="L5870" s="2">
        <v>9</v>
      </c>
      <c r="M5870" s="3" t="s">
        <v>5920</v>
      </c>
      <c r="N5870" s="3" t="s">
        <v>5921</v>
      </c>
      <c r="O5870" s="3" t="s">
        <v>5922</v>
      </c>
      <c r="P5870" s="3" t="s">
        <v>5923</v>
      </c>
      <c r="Q5870" s="30" t="str">
        <f t="shared" si="91"/>
        <v>MAX : 9.014
TARGET : 8.994
MIN : 8.974</v>
      </c>
      <c r="R5870" s="3" t="s">
        <v>1638</v>
      </c>
    </row>
    <row r="5871" spans="2:18" ht="41.4" x14ac:dyDescent="0.3">
      <c r="B5871">
        <v>0</v>
      </c>
      <c r="C5871" s="33">
        <v>9321</v>
      </c>
      <c r="D5871" s="2">
        <v>1576</v>
      </c>
      <c r="E5871" s="2" t="s">
        <v>13740</v>
      </c>
      <c r="F5871" s="3" t="s">
        <v>14206</v>
      </c>
      <c r="H5871" s="3" t="s">
        <v>5896</v>
      </c>
      <c r="I5871" s="3" t="s">
        <v>575</v>
      </c>
      <c r="K5871" s="2">
        <v>20</v>
      </c>
      <c r="L5871" s="2">
        <v>10</v>
      </c>
      <c r="M5871" s="3" t="s">
        <v>5924</v>
      </c>
      <c r="N5871" s="3" t="s">
        <v>5707</v>
      </c>
      <c r="O5871" s="3" t="s">
        <v>241</v>
      </c>
      <c r="P5871" s="3" t="s">
        <v>4994</v>
      </c>
      <c r="Q5871" s="30" t="str">
        <f t="shared" si="91"/>
        <v>MAX : 0.127
TARGET : 0.125
MIN : 0.123</v>
      </c>
      <c r="R5871" s="3" t="s">
        <v>1638</v>
      </c>
    </row>
    <row r="5872" spans="2:18" ht="41.4" x14ac:dyDescent="0.3">
      <c r="B5872">
        <v>0</v>
      </c>
      <c r="C5872" s="33">
        <v>9321</v>
      </c>
      <c r="D5872" s="2">
        <v>1576</v>
      </c>
      <c r="E5872" s="2" t="s">
        <v>13740</v>
      </c>
      <c r="F5872" s="3" t="s">
        <v>14206</v>
      </c>
      <c r="H5872" s="3" t="s">
        <v>5896</v>
      </c>
      <c r="I5872" s="3" t="s">
        <v>575</v>
      </c>
      <c r="K5872" s="2">
        <v>20</v>
      </c>
      <c r="L5872" s="2">
        <v>11</v>
      </c>
      <c r="M5872" s="3" t="s">
        <v>5925</v>
      </c>
      <c r="N5872" s="3" t="s">
        <v>5926</v>
      </c>
      <c r="O5872" s="3" t="s">
        <v>242</v>
      </c>
      <c r="P5872" s="3" t="s">
        <v>4644</v>
      </c>
      <c r="Q5872" s="30" t="str">
        <f t="shared" si="91"/>
        <v>MAX : 0.161
TARGET : 0.156
MIN : 0.151</v>
      </c>
      <c r="R5872" s="3" t="s">
        <v>1638</v>
      </c>
    </row>
    <row r="5873" spans="2:18" ht="41.4" x14ac:dyDescent="0.3">
      <c r="B5873">
        <v>0</v>
      </c>
      <c r="C5873" s="33">
        <v>9321</v>
      </c>
      <c r="D5873" s="2">
        <v>1576</v>
      </c>
      <c r="E5873" s="2" t="s">
        <v>13740</v>
      </c>
      <c r="F5873" s="3" t="s">
        <v>14206</v>
      </c>
      <c r="H5873" s="3" t="s">
        <v>5896</v>
      </c>
      <c r="I5873" s="3" t="s">
        <v>575</v>
      </c>
      <c r="K5873" s="2">
        <v>20</v>
      </c>
      <c r="L5873" s="2">
        <v>12</v>
      </c>
      <c r="M5873" s="3" t="s">
        <v>5927</v>
      </c>
      <c r="N5873" s="3" t="s">
        <v>1521</v>
      </c>
      <c r="O5873" s="3" t="s">
        <v>424</v>
      </c>
      <c r="P5873" s="3" t="s">
        <v>2036</v>
      </c>
      <c r="Q5873" s="30" t="str">
        <f t="shared" si="91"/>
        <v>MAX : 0.26
TARGET : 0.25
MIN : 0.24</v>
      </c>
      <c r="R5873" s="3" t="s">
        <v>1638</v>
      </c>
    </row>
    <row r="5874" spans="2:18" ht="41.4" x14ac:dyDescent="0.3">
      <c r="B5874">
        <v>0</v>
      </c>
      <c r="C5874" s="33">
        <v>9321</v>
      </c>
      <c r="D5874" s="2">
        <v>1576</v>
      </c>
      <c r="E5874" s="2" t="s">
        <v>13740</v>
      </c>
      <c r="F5874" s="3" t="s">
        <v>14206</v>
      </c>
      <c r="H5874" s="3" t="s">
        <v>5896</v>
      </c>
      <c r="I5874" s="3" t="s">
        <v>575</v>
      </c>
      <c r="K5874" s="2">
        <v>20</v>
      </c>
      <c r="L5874" s="2">
        <v>13</v>
      </c>
      <c r="M5874" s="3" t="s">
        <v>5928</v>
      </c>
      <c r="N5874" s="3" t="s">
        <v>13</v>
      </c>
      <c r="O5874" s="3" t="s">
        <v>14</v>
      </c>
      <c r="Q5874" s="30" t="str">
        <f t="shared" si="91"/>
        <v>MAX : 
TARGET : Yes(Pass)
MIN : No(Fail)</v>
      </c>
      <c r="R5874" s="3" t="s">
        <v>1638</v>
      </c>
    </row>
    <row r="5875" spans="2:18" ht="41.4" x14ac:dyDescent="0.3">
      <c r="B5875">
        <v>0</v>
      </c>
      <c r="C5875" s="33">
        <v>9321</v>
      </c>
      <c r="D5875" s="2">
        <v>1576</v>
      </c>
      <c r="E5875" s="2" t="s">
        <v>13740</v>
      </c>
      <c r="F5875" s="3" t="s">
        <v>14206</v>
      </c>
      <c r="H5875" s="3" t="s">
        <v>5896</v>
      </c>
      <c r="I5875" s="3" t="s">
        <v>575</v>
      </c>
      <c r="K5875" s="2">
        <v>20</v>
      </c>
      <c r="L5875" s="2">
        <v>14</v>
      </c>
      <c r="M5875" s="3" t="s">
        <v>5929</v>
      </c>
      <c r="N5875" s="3" t="s">
        <v>851</v>
      </c>
      <c r="O5875" s="3" t="s">
        <v>14</v>
      </c>
      <c r="Q5875" s="30" t="str">
        <f t="shared" si="91"/>
        <v>MAX : 
TARGET : Yes(Pass)
MIN : No(fail)</v>
      </c>
      <c r="R5875" s="3" t="s">
        <v>1638</v>
      </c>
    </row>
    <row r="5876" spans="2:18" ht="41.4" x14ac:dyDescent="0.3">
      <c r="B5876">
        <v>1</v>
      </c>
      <c r="C5876" s="33">
        <v>9292</v>
      </c>
      <c r="D5876" s="2">
        <v>1559</v>
      </c>
      <c r="E5876" s="2" t="s">
        <v>13583</v>
      </c>
      <c r="F5876" s="3" t="s">
        <v>14206</v>
      </c>
      <c r="H5876" s="3" t="s">
        <v>469</v>
      </c>
      <c r="I5876" s="3" t="s">
        <v>487</v>
      </c>
      <c r="K5876" s="2">
        <v>20</v>
      </c>
      <c r="L5876" s="2">
        <v>2</v>
      </c>
      <c r="M5876" s="3" t="s">
        <v>198</v>
      </c>
      <c r="N5876" s="3" t="s">
        <v>485</v>
      </c>
      <c r="O5876" s="3" t="s">
        <v>272</v>
      </c>
      <c r="P5876" s="3" t="s">
        <v>507</v>
      </c>
      <c r="Q5876" s="30" t="str">
        <f t="shared" si="91"/>
        <v>MAX : 1.06
TARGET : 1.00
MIN : 0.94</v>
      </c>
    </row>
    <row r="5877" spans="2:18" ht="41.4" x14ac:dyDescent="0.3">
      <c r="B5877">
        <v>1</v>
      </c>
      <c r="C5877" s="33">
        <v>9292</v>
      </c>
      <c r="D5877" s="2">
        <v>1559</v>
      </c>
      <c r="E5877" s="2" t="s">
        <v>13583</v>
      </c>
      <c r="F5877" s="3" t="s">
        <v>14206</v>
      </c>
      <c r="H5877" s="3" t="s">
        <v>469</v>
      </c>
      <c r="I5877" s="3" t="s">
        <v>487</v>
      </c>
      <c r="K5877" s="2">
        <v>20</v>
      </c>
      <c r="L5877" s="2">
        <v>1</v>
      </c>
      <c r="M5877" s="3" t="s">
        <v>194</v>
      </c>
      <c r="N5877" s="3" t="s">
        <v>767</v>
      </c>
      <c r="O5877" s="3" t="s">
        <v>253</v>
      </c>
      <c r="P5877" s="3" t="s">
        <v>129</v>
      </c>
      <c r="Q5877" s="30" t="str">
        <f t="shared" si="91"/>
        <v>MAX : 4.06
TARGET : 4.00
MIN : 3.94</v>
      </c>
    </row>
    <row r="5878" spans="2:18" ht="41.4" x14ac:dyDescent="0.3">
      <c r="B5878">
        <v>0</v>
      </c>
      <c r="C5878" s="33">
        <v>9320</v>
      </c>
      <c r="D5878" s="2">
        <v>1575</v>
      </c>
      <c r="E5878" s="2" t="s">
        <v>13735</v>
      </c>
      <c r="F5878" s="3" t="s">
        <v>14206</v>
      </c>
      <c r="H5878" s="3" t="s">
        <v>2965</v>
      </c>
      <c r="K5878" s="2">
        <v>20</v>
      </c>
      <c r="L5878" s="2">
        <v>1</v>
      </c>
      <c r="M5878" s="3" t="s">
        <v>2088</v>
      </c>
      <c r="N5878" s="3" t="s">
        <v>5933</v>
      </c>
      <c r="O5878" s="3" t="s">
        <v>5934</v>
      </c>
      <c r="P5878" s="3" t="s">
        <v>5935</v>
      </c>
      <c r="Q5878" s="30" t="str">
        <f t="shared" si="91"/>
        <v>MAX : 17.51
TARGET : 17.38
MIN : 17.25</v>
      </c>
      <c r="R5878" s="3" t="s">
        <v>1638</v>
      </c>
    </row>
    <row r="5879" spans="2:18" ht="41.4" x14ac:dyDescent="0.3">
      <c r="B5879">
        <v>0</v>
      </c>
      <c r="C5879" s="33">
        <v>9320</v>
      </c>
      <c r="D5879" s="2">
        <v>1575</v>
      </c>
      <c r="E5879" s="2" t="s">
        <v>13735</v>
      </c>
      <c r="F5879" s="3" t="s">
        <v>14206</v>
      </c>
      <c r="H5879" s="3" t="s">
        <v>2965</v>
      </c>
      <c r="K5879" s="2">
        <v>20</v>
      </c>
      <c r="L5879" s="2">
        <v>2</v>
      </c>
      <c r="M5879" s="3" t="s">
        <v>5902</v>
      </c>
      <c r="N5879" s="3" t="s">
        <v>4165</v>
      </c>
      <c r="O5879" s="3" t="s">
        <v>5936</v>
      </c>
      <c r="P5879" s="3" t="s">
        <v>5937</v>
      </c>
      <c r="Q5879" s="30" t="str">
        <f t="shared" si="91"/>
        <v>MAX : 1.249
TARGET : 1.189
MIN : 1.129</v>
      </c>
      <c r="R5879" s="3" t="s">
        <v>1638</v>
      </c>
    </row>
    <row r="5880" spans="2:18" ht="41.4" x14ac:dyDescent="0.3">
      <c r="B5880">
        <v>0</v>
      </c>
      <c r="C5880" s="33">
        <v>9320</v>
      </c>
      <c r="D5880" s="2">
        <v>1575</v>
      </c>
      <c r="E5880" s="2" t="s">
        <v>13735</v>
      </c>
      <c r="F5880" s="3" t="s">
        <v>14206</v>
      </c>
      <c r="H5880" s="3" t="s">
        <v>2965</v>
      </c>
      <c r="K5880" s="2">
        <v>20</v>
      </c>
      <c r="L5880" s="2">
        <v>3</v>
      </c>
      <c r="M5880" s="3" t="s">
        <v>5903</v>
      </c>
      <c r="N5880" s="3" t="s">
        <v>699</v>
      </c>
      <c r="O5880" s="3" t="s">
        <v>700</v>
      </c>
      <c r="P5880" s="3" t="s">
        <v>2185</v>
      </c>
      <c r="Q5880" s="30" t="str">
        <f t="shared" si="91"/>
        <v>MAX : 0.390
TARGET : 0.360
MIN : 0.330</v>
      </c>
      <c r="R5880" s="3" t="s">
        <v>1638</v>
      </c>
    </row>
    <row r="5881" spans="2:18" ht="41.4" x14ac:dyDescent="0.3">
      <c r="B5881">
        <v>0</v>
      </c>
      <c r="C5881" s="33">
        <v>9320</v>
      </c>
      <c r="D5881" s="2">
        <v>1575</v>
      </c>
      <c r="E5881" s="2" t="s">
        <v>13735</v>
      </c>
      <c r="F5881" s="3" t="s">
        <v>14206</v>
      </c>
      <c r="H5881" s="3" t="s">
        <v>2965</v>
      </c>
      <c r="K5881" s="2">
        <v>20</v>
      </c>
      <c r="L5881" s="2">
        <v>4</v>
      </c>
      <c r="M5881" s="3" t="s">
        <v>570</v>
      </c>
      <c r="N5881" s="3" t="s">
        <v>5931</v>
      </c>
      <c r="O5881" s="3" t="s">
        <v>1977</v>
      </c>
      <c r="P5881" s="3" t="s">
        <v>1979</v>
      </c>
      <c r="Q5881" s="30" t="str">
        <f t="shared" si="91"/>
        <v>MAX : 11.37
TARGET : 11.25
MIN : 11.19</v>
      </c>
      <c r="R5881" s="3" t="s">
        <v>1638</v>
      </c>
    </row>
    <row r="5882" spans="2:18" ht="41.4" x14ac:dyDescent="0.3">
      <c r="B5882">
        <v>0</v>
      </c>
      <c r="C5882" s="33">
        <v>9320</v>
      </c>
      <c r="D5882" s="2">
        <v>1575</v>
      </c>
      <c r="E5882" s="2" t="s">
        <v>13735</v>
      </c>
      <c r="F5882" s="3" t="s">
        <v>14206</v>
      </c>
      <c r="H5882" s="3" t="s">
        <v>2965</v>
      </c>
      <c r="K5882" s="2">
        <v>20</v>
      </c>
      <c r="L5882" s="2">
        <v>5</v>
      </c>
      <c r="M5882" s="3" t="s">
        <v>5938</v>
      </c>
      <c r="N5882" s="3" t="s">
        <v>5939</v>
      </c>
      <c r="O5882" s="3" t="s">
        <v>5940</v>
      </c>
      <c r="P5882" s="3" t="s">
        <v>5941</v>
      </c>
      <c r="Q5882" s="30" t="str">
        <f t="shared" si="91"/>
        <v>MAX : 0.611
TARGET : 0.591
MIN : 0.571</v>
      </c>
      <c r="R5882" s="3" t="s">
        <v>1638</v>
      </c>
    </row>
    <row r="5883" spans="2:18" ht="41.4" x14ac:dyDescent="0.3">
      <c r="B5883">
        <v>0</v>
      </c>
      <c r="C5883" s="33">
        <v>9320</v>
      </c>
      <c r="D5883" s="2">
        <v>1575</v>
      </c>
      <c r="E5883" s="2" t="s">
        <v>13735</v>
      </c>
      <c r="F5883" s="3" t="s">
        <v>14206</v>
      </c>
      <c r="H5883" s="3" t="s">
        <v>2965</v>
      </c>
      <c r="K5883" s="2">
        <v>20</v>
      </c>
      <c r="L5883" s="2">
        <v>6</v>
      </c>
      <c r="M5883" s="3" t="s">
        <v>2646</v>
      </c>
      <c r="N5883" s="3" t="s">
        <v>775</v>
      </c>
      <c r="O5883" s="3" t="s">
        <v>423</v>
      </c>
      <c r="P5883" s="3" t="s">
        <v>309</v>
      </c>
      <c r="Q5883" s="30" t="str">
        <f t="shared" si="91"/>
        <v>MAX : 0.50
TARGET : 0.19
MIN : 0.00</v>
      </c>
      <c r="R5883" s="3" t="s">
        <v>1638</v>
      </c>
    </row>
    <row r="5884" spans="2:18" ht="41.4" x14ac:dyDescent="0.3">
      <c r="B5884">
        <v>0</v>
      </c>
      <c r="C5884" s="33">
        <v>9320</v>
      </c>
      <c r="D5884" s="2">
        <v>1575</v>
      </c>
      <c r="E5884" s="2" t="s">
        <v>13735</v>
      </c>
      <c r="F5884" s="3" t="s">
        <v>14206</v>
      </c>
      <c r="H5884" s="3" t="s">
        <v>2965</v>
      </c>
      <c r="K5884" s="2">
        <v>20</v>
      </c>
      <c r="L5884" s="2">
        <v>7</v>
      </c>
      <c r="M5884" s="3" t="s">
        <v>5924</v>
      </c>
      <c r="N5884" s="3" t="s">
        <v>5707</v>
      </c>
      <c r="O5884" s="3" t="s">
        <v>241</v>
      </c>
      <c r="P5884" s="3" t="s">
        <v>4994</v>
      </c>
      <c r="Q5884" s="30" t="str">
        <f t="shared" si="91"/>
        <v>MAX : 0.127
TARGET : 0.125
MIN : 0.123</v>
      </c>
      <c r="R5884" s="3" t="s">
        <v>1638</v>
      </c>
    </row>
    <row r="5885" spans="2:18" ht="41.4" x14ac:dyDescent="0.3">
      <c r="B5885">
        <v>0</v>
      </c>
      <c r="C5885" s="33">
        <v>9320</v>
      </c>
      <c r="D5885" s="2">
        <v>1575</v>
      </c>
      <c r="E5885" s="2" t="s">
        <v>13735</v>
      </c>
      <c r="F5885" s="3" t="s">
        <v>14206</v>
      </c>
      <c r="H5885" s="3" t="s">
        <v>2965</v>
      </c>
      <c r="K5885" s="2">
        <v>20</v>
      </c>
      <c r="L5885" s="2">
        <v>8</v>
      </c>
      <c r="M5885" s="3" t="s">
        <v>5942</v>
      </c>
      <c r="N5885" s="3" t="s">
        <v>1731</v>
      </c>
      <c r="O5885" s="3" t="s">
        <v>247</v>
      </c>
      <c r="P5885" s="3" t="s">
        <v>1732</v>
      </c>
      <c r="Q5885" s="30" t="str">
        <f t="shared" si="91"/>
        <v>MAX : 0.39
TARGET : 0.38
MIN : 0.37</v>
      </c>
      <c r="R5885" s="3" t="s">
        <v>1638</v>
      </c>
    </row>
    <row r="5886" spans="2:18" ht="41.4" x14ac:dyDescent="0.3">
      <c r="B5886">
        <v>0</v>
      </c>
      <c r="C5886" s="33">
        <v>9320</v>
      </c>
      <c r="D5886" s="2">
        <v>1575</v>
      </c>
      <c r="E5886" s="2" t="s">
        <v>13735</v>
      </c>
      <c r="F5886" s="3" t="s">
        <v>14206</v>
      </c>
      <c r="H5886" s="3" t="s">
        <v>2965</v>
      </c>
      <c r="K5886" s="2">
        <v>20</v>
      </c>
      <c r="L5886" s="2">
        <v>9</v>
      </c>
      <c r="M5886" s="3" t="s">
        <v>5927</v>
      </c>
      <c r="N5886" s="3" t="s">
        <v>1521</v>
      </c>
      <c r="O5886" s="3" t="s">
        <v>424</v>
      </c>
      <c r="P5886" s="3" t="s">
        <v>2036</v>
      </c>
      <c r="Q5886" s="30" t="str">
        <f t="shared" si="91"/>
        <v>MAX : 0.26
TARGET : 0.25
MIN : 0.24</v>
      </c>
      <c r="R5886" s="3" t="s">
        <v>1638</v>
      </c>
    </row>
    <row r="5887" spans="2:18" ht="41.4" x14ac:dyDescent="0.3">
      <c r="B5887">
        <v>0</v>
      </c>
      <c r="C5887" s="33">
        <v>9320</v>
      </c>
      <c r="D5887" s="2">
        <v>1575</v>
      </c>
      <c r="E5887" s="2" t="s">
        <v>13735</v>
      </c>
      <c r="F5887" s="3" t="s">
        <v>14206</v>
      </c>
      <c r="H5887" s="3" t="s">
        <v>2965</v>
      </c>
      <c r="K5887" s="2">
        <v>20</v>
      </c>
      <c r="L5887" s="2">
        <v>12</v>
      </c>
      <c r="M5887" s="3" t="s">
        <v>5943</v>
      </c>
      <c r="N5887" s="3" t="s">
        <v>13</v>
      </c>
      <c r="O5887" s="3" t="s">
        <v>14</v>
      </c>
      <c r="Q5887" s="30" t="str">
        <f t="shared" si="91"/>
        <v>MAX : 
TARGET : Yes(Pass)
MIN : No(Fail)</v>
      </c>
      <c r="R5887" s="3" t="s">
        <v>1638</v>
      </c>
    </row>
    <row r="5888" spans="2:18" ht="41.4" x14ac:dyDescent="0.3">
      <c r="B5888">
        <v>0</v>
      </c>
      <c r="C5888" s="33">
        <v>9320</v>
      </c>
      <c r="D5888" s="2">
        <v>1575</v>
      </c>
      <c r="E5888" s="2" t="s">
        <v>13735</v>
      </c>
      <c r="F5888" s="3" t="s">
        <v>14206</v>
      </c>
      <c r="H5888" s="3" t="s">
        <v>2965</v>
      </c>
      <c r="K5888" s="2">
        <v>20</v>
      </c>
      <c r="L5888" s="2">
        <v>13</v>
      </c>
      <c r="M5888" s="3" t="s">
        <v>5929</v>
      </c>
      <c r="N5888" s="3" t="s">
        <v>13</v>
      </c>
      <c r="O5888" s="3" t="s">
        <v>14</v>
      </c>
      <c r="Q5888" s="30" t="str">
        <f t="shared" si="91"/>
        <v>MAX : 
TARGET : Yes(Pass)
MIN : No(Fail)</v>
      </c>
      <c r="R5888" s="3" t="s">
        <v>1638</v>
      </c>
    </row>
    <row r="5889" spans="2:18" ht="41.4" x14ac:dyDescent="0.3">
      <c r="B5889">
        <v>0</v>
      </c>
      <c r="C5889" s="33">
        <v>9320</v>
      </c>
      <c r="D5889" s="2">
        <v>1575</v>
      </c>
      <c r="E5889" s="2" t="s">
        <v>13735</v>
      </c>
      <c r="F5889" s="3" t="s">
        <v>14206</v>
      </c>
      <c r="H5889" s="3" t="s">
        <v>2965</v>
      </c>
      <c r="K5889" s="2">
        <v>20</v>
      </c>
      <c r="L5889" s="2">
        <v>10</v>
      </c>
      <c r="M5889" s="3" t="s">
        <v>5944</v>
      </c>
      <c r="N5889" s="3" t="s">
        <v>5778</v>
      </c>
      <c r="O5889" s="3" t="s">
        <v>5926</v>
      </c>
      <c r="P5889" s="3" t="s">
        <v>242</v>
      </c>
      <c r="Q5889" s="30" t="str">
        <f t="shared" si="91"/>
        <v>MAX : 0.156
TARGET : 0.151
MIN : 0.146</v>
      </c>
      <c r="R5889" s="3" t="s">
        <v>1638</v>
      </c>
    </row>
    <row r="5890" spans="2:18" ht="41.4" x14ac:dyDescent="0.3">
      <c r="B5890">
        <v>0</v>
      </c>
      <c r="C5890" s="33">
        <v>9320</v>
      </c>
      <c r="D5890" s="2">
        <v>1575</v>
      </c>
      <c r="E5890" s="2" t="s">
        <v>13735</v>
      </c>
      <c r="F5890" s="3" t="s">
        <v>14206</v>
      </c>
      <c r="H5890" s="3" t="s">
        <v>2965</v>
      </c>
      <c r="K5890" s="2">
        <v>20</v>
      </c>
      <c r="L5890" s="2">
        <v>11</v>
      </c>
      <c r="M5890" s="3" t="s">
        <v>5945</v>
      </c>
      <c r="N5890" s="3" t="s">
        <v>5707</v>
      </c>
      <c r="O5890" s="3" t="s">
        <v>241</v>
      </c>
      <c r="P5890" s="3" t="s">
        <v>4994</v>
      </c>
      <c r="Q5890" s="30" t="str">
        <f t="shared" ref="Q5890:Q5953" si="92">"MAX : " &amp; P5890 &amp; CHAR(10) &amp; "TARGET : " &amp; O5890 &amp; CHAR(10) &amp; "MIN : " &amp; N5890</f>
        <v>MAX : 0.127
TARGET : 0.125
MIN : 0.123</v>
      </c>
      <c r="R5890" s="3" t="s">
        <v>1638</v>
      </c>
    </row>
    <row r="5891" spans="2:18" ht="41.4" x14ac:dyDescent="0.3">
      <c r="B5891">
        <v>0</v>
      </c>
      <c r="C5891" s="33">
        <v>9320</v>
      </c>
      <c r="D5891" s="2">
        <v>1575</v>
      </c>
      <c r="E5891" s="2" t="s">
        <v>13735</v>
      </c>
      <c r="F5891" s="3" t="s">
        <v>14206</v>
      </c>
      <c r="H5891" s="3" t="s">
        <v>2965</v>
      </c>
      <c r="K5891" s="2">
        <v>20</v>
      </c>
      <c r="L5891" s="2">
        <v>14</v>
      </c>
      <c r="M5891" s="3" t="s">
        <v>5946</v>
      </c>
      <c r="N5891" s="3" t="s">
        <v>13</v>
      </c>
      <c r="O5891" s="3" t="s">
        <v>14</v>
      </c>
      <c r="Q5891" s="30" t="str">
        <f t="shared" si="92"/>
        <v>MAX : 
TARGET : Yes(Pass)
MIN : No(Fail)</v>
      </c>
      <c r="R5891" s="3" t="s">
        <v>1638</v>
      </c>
    </row>
    <row r="5892" spans="2:18" ht="41.4" x14ac:dyDescent="0.3">
      <c r="B5892">
        <v>1</v>
      </c>
      <c r="C5892" s="33">
        <v>9293</v>
      </c>
      <c r="D5892" s="2">
        <v>2129</v>
      </c>
      <c r="E5892" s="2" t="s">
        <v>13588</v>
      </c>
      <c r="F5892" s="3" t="s">
        <v>14206</v>
      </c>
      <c r="H5892" s="3" t="s">
        <v>1608</v>
      </c>
      <c r="K5892" s="2">
        <v>10</v>
      </c>
      <c r="L5892" s="2">
        <v>2</v>
      </c>
      <c r="M5892" s="3" t="s">
        <v>5822</v>
      </c>
      <c r="N5892" s="3" t="s">
        <v>13</v>
      </c>
      <c r="O5892" s="3" t="s">
        <v>14</v>
      </c>
      <c r="Q5892" s="30" t="str">
        <f t="shared" si="92"/>
        <v>MAX : 
TARGET : Yes(Pass)
MIN : No(Fail)</v>
      </c>
    </row>
    <row r="5893" spans="2:18" ht="41.4" x14ac:dyDescent="0.3">
      <c r="B5893">
        <v>1</v>
      </c>
      <c r="C5893" s="33">
        <v>9293</v>
      </c>
      <c r="D5893" s="2">
        <v>2129</v>
      </c>
      <c r="E5893" s="2" t="s">
        <v>13588</v>
      </c>
      <c r="F5893" s="3" t="s">
        <v>14206</v>
      </c>
      <c r="H5893" s="3" t="s">
        <v>1608</v>
      </c>
      <c r="K5893" s="2">
        <v>10</v>
      </c>
      <c r="L5893" s="2">
        <v>1</v>
      </c>
      <c r="M5893" s="3" t="s">
        <v>458</v>
      </c>
      <c r="N5893" s="3" t="s">
        <v>3861</v>
      </c>
      <c r="O5893" s="3" t="s">
        <v>344</v>
      </c>
      <c r="P5893" s="3" t="s">
        <v>1770</v>
      </c>
      <c r="Q5893" s="30" t="str">
        <f t="shared" si="92"/>
        <v>MAX : 1.31
TARGET : 1.25
MIN : 1.19</v>
      </c>
    </row>
    <row r="5894" spans="2:18" ht="41.4" x14ac:dyDescent="0.3">
      <c r="B5894">
        <v>0</v>
      </c>
      <c r="C5894" s="33">
        <v>9319</v>
      </c>
      <c r="D5894" s="2">
        <v>1574</v>
      </c>
      <c r="E5894" s="2" t="s">
        <v>13729</v>
      </c>
      <c r="F5894" s="3" t="s">
        <v>14206</v>
      </c>
      <c r="H5894" s="3" t="s">
        <v>2965</v>
      </c>
      <c r="K5894" s="2">
        <v>20</v>
      </c>
      <c r="L5894" s="2">
        <v>1</v>
      </c>
      <c r="M5894" s="3" t="s">
        <v>2088</v>
      </c>
      <c r="N5894" s="3" t="s">
        <v>2867</v>
      </c>
      <c r="O5894" s="3" t="s">
        <v>858</v>
      </c>
      <c r="P5894" s="3" t="s">
        <v>2868</v>
      </c>
      <c r="Q5894" s="30" t="str">
        <f t="shared" si="92"/>
        <v>MAX : 17.13
TARGET : 17.00
MIN : 16.87</v>
      </c>
      <c r="R5894" s="3" t="s">
        <v>1638</v>
      </c>
    </row>
    <row r="5895" spans="2:18" ht="41.4" x14ac:dyDescent="0.3">
      <c r="B5895">
        <v>0</v>
      </c>
      <c r="C5895" s="33">
        <v>9319</v>
      </c>
      <c r="D5895" s="2">
        <v>1574</v>
      </c>
      <c r="E5895" s="2" t="s">
        <v>13729</v>
      </c>
      <c r="F5895" s="3" t="s">
        <v>14206</v>
      </c>
      <c r="H5895" s="3" t="s">
        <v>2965</v>
      </c>
      <c r="K5895" s="2">
        <v>20</v>
      </c>
      <c r="L5895" s="2">
        <v>2</v>
      </c>
      <c r="M5895" s="3" t="s">
        <v>5902</v>
      </c>
      <c r="N5895" s="3" t="s">
        <v>5586</v>
      </c>
      <c r="O5895" s="3" t="s">
        <v>5951</v>
      </c>
      <c r="P5895" s="3" t="s">
        <v>5952</v>
      </c>
      <c r="Q5895" s="30" t="str">
        <f t="shared" si="92"/>
        <v>MAX : 1.113
TARGET : 1.053
MIN : 0.993</v>
      </c>
      <c r="R5895" s="3" t="s">
        <v>1638</v>
      </c>
    </row>
    <row r="5896" spans="2:18" ht="41.4" x14ac:dyDescent="0.3">
      <c r="B5896">
        <v>0</v>
      </c>
      <c r="C5896" s="33">
        <v>9319</v>
      </c>
      <c r="D5896" s="2">
        <v>1574</v>
      </c>
      <c r="E5896" s="2" t="s">
        <v>13729</v>
      </c>
      <c r="F5896" s="3" t="s">
        <v>14206</v>
      </c>
      <c r="H5896" s="3" t="s">
        <v>2965</v>
      </c>
      <c r="K5896" s="2">
        <v>20</v>
      </c>
      <c r="L5896" s="2">
        <v>3</v>
      </c>
      <c r="M5896" s="3" t="s">
        <v>5903</v>
      </c>
      <c r="N5896" s="3" t="s">
        <v>699</v>
      </c>
      <c r="O5896" s="3" t="s">
        <v>700</v>
      </c>
      <c r="P5896" s="3" t="s">
        <v>2185</v>
      </c>
      <c r="Q5896" s="30" t="str">
        <f t="shared" si="92"/>
        <v>MAX : 0.390
TARGET : 0.360
MIN : 0.330</v>
      </c>
      <c r="R5896" s="3" t="s">
        <v>1638</v>
      </c>
    </row>
    <row r="5897" spans="2:18" ht="41.4" x14ac:dyDescent="0.3">
      <c r="B5897">
        <v>0</v>
      </c>
      <c r="C5897" s="33">
        <v>9319</v>
      </c>
      <c r="D5897" s="2">
        <v>1574</v>
      </c>
      <c r="E5897" s="2" t="s">
        <v>13729</v>
      </c>
      <c r="F5897" s="3" t="s">
        <v>14206</v>
      </c>
      <c r="H5897" s="3" t="s">
        <v>2965</v>
      </c>
      <c r="K5897" s="2">
        <v>20</v>
      </c>
      <c r="L5897" s="2">
        <v>5</v>
      </c>
      <c r="M5897" s="3" t="s">
        <v>5953</v>
      </c>
      <c r="N5897" s="3" t="s">
        <v>578</v>
      </c>
      <c r="O5897" s="3" t="s">
        <v>5949</v>
      </c>
      <c r="P5897" s="3" t="s">
        <v>5950</v>
      </c>
      <c r="Q5897" s="30" t="str">
        <f t="shared" si="92"/>
        <v>MAX : 9.98
TARGET : 9.85
MIN : 9.72</v>
      </c>
      <c r="R5897" s="3" t="s">
        <v>1638</v>
      </c>
    </row>
    <row r="5898" spans="2:18" ht="41.4" x14ac:dyDescent="0.3">
      <c r="B5898">
        <v>0</v>
      </c>
      <c r="C5898" s="33">
        <v>9319</v>
      </c>
      <c r="D5898" s="2">
        <v>1574</v>
      </c>
      <c r="E5898" s="2" t="s">
        <v>13729</v>
      </c>
      <c r="F5898" s="3" t="s">
        <v>14206</v>
      </c>
      <c r="H5898" s="3" t="s">
        <v>2965</v>
      </c>
      <c r="K5898" s="2">
        <v>20</v>
      </c>
      <c r="L5898" s="2">
        <v>6</v>
      </c>
      <c r="M5898" s="3" t="s">
        <v>5954</v>
      </c>
      <c r="N5898" s="3" t="s">
        <v>5955</v>
      </c>
      <c r="O5898" s="3" t="s">
        <v>5956</v>
      </c>
      <c r="P5898" s="3" t="s">
        <v>5957</v>
      </c>
      <c r="Q5898" s="30" t="str">
        <f t="shared" si="92"/>
        <v>MAX : 0.934
TARGET : 0.874
MIN : 0.814</v>
      </c>
      <c r="R5898" s="3" t="s">
        <v>1638</v>
      </c>
    </row>
    <row r="5899" spans="2:18" ht="41.4" x14ac:dyDescent="0.3">
      <c r="B5899">
        <v>0</v>
      </c>
      <c r="C5899" s="33">
        <v>9319</v>
      </c>
      <c r="D5899" s="2">
        <v>1574</v>
      </c>
      <c r="E5899" s="2" t="s">
        <v>13729</v>
      </c>
      <c r="F5899" s="3" t="s">
        <v>14206</v>
      </c>
      <c r="H5899" s="3" t="s">
        <v>2965</v>
      </c>
      <c r="K5899" s="2">
        <v>20</v>
      </c>
      <c r="L5899" s="2">
        <v>7</v>
      </c>
      <c r="M5899" s="3" t="s">
        <v>5958</v>
      </c>
      <c r="N5899" s="3" t="s">
        <v>5959</v>
      </c>
      <c r="O5899" s="3" t="s">
        <v>5960</v>
      </c>
      <c r="P5899" s="3" t="s">
        <v>5961</v>
      </c>
      <c r="Q5899" s="30" t="str">
        <f t="shared" si="92"/>
        <v>MAX : 6.146
TARGET : 6.136
MIN : 6.126</v>
      </c>
      <c r="R5899" s="3" t="s">
        <v>1638</v>
      </c>
    </row>
    <row r="5900" spans="2:18" ht="41.4" x14ac:dyDescent="0.3">
      <c r="B5900">
        <v>0</v>
      </c>
      <c r="C5900" s="33">
        <v>9319</v>
      </c>
      <c r="D5900" s="2">
        <v>1574</v>
      </c>
      <c r="E5900" s="2" t="s">
        <v>13729</v>
      </c>
      <c r="F5900" s="3" t="s">
        <v>14206</v>
      </c>
      <c r="H5900" s="3" t="s">
        <v>2965</v>
      </c>
      <c r="K5900" s="2">
        <v>20</v>
      </c>
      <c r="L5900" s="2">
        <v>8</v>
      </c>
      <c r="M5900" s="3" t="s">
        <v>5924</v>
      </c>
      <c r="N5900" s="3" t="s">
        <v>5707</v>
      </c>
      <c r="O5900" s="3" t="s">
        <v>241</v>
      </c>
      <c r="P5900" s="3" t="s">
        <v>4994</v>
      </c>
      <c r="Q5900" s="30" t="str">
        <f t="shared" si="92"/>
        <v>MAX : 0.127
TARGET : 0.125
MIN : 0.123</v>
      </c>
      <c r="R5900" s="3" t="s">
        <v>1638</v>
      </c>
    </row>
    <row r="5901" spans="2:18" ht="41.4" x14ac:dyDescent="0.3">
      <c r="B5901">
        <v>0</v>
      </c>
      <c r="C5901" s="33">
        <v>9319</v>
      </c>
      <c r="D5901" s="2">
        <v>1574</v>
      </c>
      <c r="E5901" s="2" t="s">
        <v>13729</v>
      </c>
      <c r="F5901" s="3" t="s">
        <v>14206</v>
      </c>
      <c r="H5901" s="3" t="s">
        <v>2965</v>
      </c>
      <c r="K5901" s="2">
        <v>20</v>
      </c>
      <c r="L5901" s="2">
        <v>15</v>
      </c>
      <c r="M5901" s="3" t="s">
        <v>5943</v>
      </c>
      <c r="N5901" s="3" t="s">
        <v>13</v>
      </c>
      <c r="O5901" s="3" t="s">
        <v>14</v>
      </c>
      <c r="Q5901" s="30" t="str">
        <f t="shared" si="92"/>
        <v>MAX : 
TARGET : Yes(Pass)
MIN : No(Fail)</v>
      </c>
      <c r="R5901" s="3" t="s">
        <v>1638</v>
      </c>
    </row>
    <row r="5902" spans="2:18" ht="41.4" x14ac:dyDescent="0.3">
      <c r="B5902">
        <v>0</v>
      </c>
      <c r="C5902" s="33">
        <v>9319</v>
      </c>
      <c r="D5902" s="2">
        <v>1574</v>
      </c>
      <c r="E5902" s="2" t="s">
        <v>13729</v>
      </c>
      <c r="F5902" s="3" t="s">
        <v>14206</v>
      </c>
      <c r="H5902" s="3" t="s">
        <v>2965</v>
      </c>
      <c r="K5902" s="2">
        <v>20</v>
      </c>
      <c r="L5902" s="2">
        <v>16</v>
      </c>
      <c r="M5902" s="3" t="s">
        <v>5929</v>
      </c>
      <c r="N5902" s="3" t="s">
        <v>13</v>
      </c>
      <c r="O5902" s="3" t="s">
        <v>14</v>
      </c>
      <c r="Q5902" s="30" t="str">
        <f t="shared" si="92"/>
        <v>MAX : 
TARGET : Yes(Pass)
MIN : No(Fail)</v>
      </c>
      <c r="R5902" s="3" t="s">
        <v>1638</v>
      </c>
    </row>
    <row r="5903" spans="2:18" ht="41.4" x14ac:dyDescent="0.3">
      <c r="B5903">
        <v>0</v>
      </c>
      <c r="C5903" s="33">
        <v>9319</v>
      </c>
      <c r="D5903" s="2">
        <v>1574</v>
      </c>
      <c r="E5903" s="2" t="s">
        <v>13729</v>
      </c>
      <c r="F5903" s="3" t="s">
        <v>14206</v>
      </c>
      <c r="H5903" s="3" t="s">
        <v>2965</v>
      </c>
      <c r="K5903" s="2">
        <v>20</v>
      </c>
      <c r="L5903" s="2">
        <v>9</v>
      </c>
      <c r="M5903" s="3" t="s">
        <v>5925</v>
      </c>
      <c r="N5903" s="3" t="s">
        <v>5926</v>
      </c>
      <c r="O5903" s="3" t="s">
        <v>242</v>
      </c>
      <c r="P5903" s="3" t="s">
        <v>4644</v>
      </c>
      <c r="Q5903" s="30" t="str">
        <f t="shared" si="92"/>
        <v>MAX : 0.161
TARGET : 0.156
MIN : 0.151</v>
      </c>
      <c r="R5903" s="3" t="s">
        <v>1638</v>
      </c>
    </row>
    <row r="5904" spans="2:18" ht="41.4" x14ac:dyDescent="0.3">
      <c r="B5904">
        <v>0</v>
      </c>
      <c r="C5904" s="33">
        <v>9319</v>
      </c>
      <c r="D5904" s="2">
        <v>1574</v>
      </c>
      <c r="E5904" s="2" t="s">
        <v>13729</v>
      </c>
      <c r="F5904" s="3" t="s">
        <v>14206</v>
      </c>
      <c r="H5904" s="3" t="s">
        <v>2965</v>
      </c>
      <c r="K5904" s="2">
        <v>20</v>
      </c>
      <c r="L5904" s="2">
        <v>10</v>
      </c>
      <c r="M5904" s="3" t="s">
        <v>5380</v>
      </c>
      <c r="N5904" s="3" t="s">
        <v>5962</v>
      </c>
      <c r="O5904" s="3" t="s">
        <v>5963</v>
      </c>
      <c r="P5904" s="3" t="s">
        <v>1999</v>
      </c>
      <c r="Q5904" s="30" t="str">
        <f t="shared" si="92"/>
        <v>MAX : 1.774
TARGET : 1.769
MIN : 1.764</v>
      </c>
      <c r="R5904" s="3" t="s">
        <v>1638</v>
      </c>
    </row>
    <row r="5905" spans="2:18" ht="41.4" x14ac:dyDescent="0.3">
      <c r="B5905">
        <v>0</v>
      </c>
      <c r="C5905" s="33">
        <v>9319</v>
      </c>
      <c r="D5905" s="2">
        <v>1574</v>
      </c>
      <c r="E5905" s="2" t="s">
        <v>13729</v>
      </c>
      <c r="F5905" s="3" t="s">
        <v>14206</v>
      </c>
      <c r="H5905" s="3" t="s">
        <v>2965</v>
      </c>
      <c r="K5905" s="2">
        <v>20</v>
      </c>
      <c r="L5905" s="2">
        <v>17</v>
      </c>
      <c r="M5905" s="3" t="s">
        <v>78</v>
      </c>
      <c r="N5905" s="3" t="s">
        <v>13</v>
      </c>
      <c r="O5905" s="3" t="s">
        <v>14</v>
      </c>
      <c r="Q5905" s="30" t="str">
        <f t="shared" si="92"/>
        <v>MAX : 
TARGET : Yes(Pass)
MIN : No(Fail)</v>
      </c>
      <c r="R5905" s="3" t="s">
        <v>1638</v>
      </c>
    </row>
    <row r="5906" spans="2:18" ht="41.4" x14ac:dyDescent="0.3">
      <c r="B5906">
        <v>0</v>
      </c>
      <c r="C5906" s="33">
        <v>9319</v>
      </c>
      <c r="D5906" s="2">
        <v>1574</v>
      </c>
      <c r="E5906" s="2" t="s">
        <v>13729</v>
      </c>
      <c r="F5906" s="3" t="s">
        <v>14206</v>
      </c>
      <c r="H5906" s="3" t="s">
        <v>2965</v>
      </c>
      <c r="K5906" s="2">
        <v>20</v>
      </c>
      <c r="L5906" s="2">
        <v>4</v>
      </c>
      <c r="M5906" s="3" t="s">
        <v>5964</v>
      </c>
      <c r="N5906" s="3" t="s">
        <v>5965</v>
      </c>
      <c r="O5906" s="3" t="s">
        <v>5966</v>
      </c>
      <c r="P5906" s="3" t="s">
        <v>5967</v>
      </c>
      <c r="Q5906" s="30" t="str">
        <f t="shared" si="92"/>
        <v>MAX : 13.475
TARGET : 13.465
MIN : 13.455</v>
      </c>
      <c r="R5906" s="3" t="s">
        <v>1638</v>
      </c>
    </row>
    <row r="5907" spans="2:18" ht="41.4" x14ac:dyDescent="0.3">
      <c r="B5907">
        <v>0</v>
      </c>
      <c r="C5907" s="33">
        <v>9319</v>
      </c>
      <c r="D5907" s="2">
        <v>1574</v>
      </c>
      <c r="E5907" s="2" t="s">
        <v>13729</v>
      </c>
      <c r="F5907" s="3" t="s">
        <v>14206</v>
      </c>
      <c r="H5907" s="3" t="s">
        <v>2965</v>
      </c>
      <c r="K5907" s="2">
        <v>20</v>
      </c>
      <c r="L5907" s="2">
        <v>11</v>
      </c>
      <c r="M5907" s="3" t="s">
        <v>5968</v>
      </c>
      <c r="N5907" s="3" t="s">
        <v>5969</v>
      </c>
      <c r="O5907" s="3" t="s">
        <v>5970</v>
      </c>
      <c r="P5907" s="3" t="s">
        <v>5971</v>
      </c>
      <c r="Q5907" s="30" t="str">
        <f t="shared" si="92"/>
        <v>MAX : 0.756
TARGET : 0.746
MIN : 0.736</v>
      </c>
      <c r="R5907" s="3" t="s">
        <v>1638</v>
      </c>
    </row>
    <row r="5908" spans="2:18" ht="41.4" x14ac:dyDescent="0.3">
      <c r="B5908">
        <v>0</v>
      </c>
      <c r="C5908" s="33">
        <v>9319</v>
      </c>
      <c r="D5908" s="2">
        <v>1574</v>
      </c>
      <c r="E5908" s="2" t="s">
        <v>13729</v>
      </c>
      <c r="F5908" s="3" t="s">
        <v>14206</v>
      </c>
      <c r="H5908" s="3" t="s">
        <v>2965</v>
      </c>
      <c r="K5908" s="2">
        <v>20</v>
      </c>
      <c r="L5908" s="2">
        <v>12</v>
      </c>
      <c r="M5908" s="3" t="s">
        <v>3883</v>
      </c>
      <c r="N5908" s="3" t="s">
        <v>5972</v>
      </c>
      <c r="O5908" s="3" t="s">
        <v>5973</v>
      </c>
      <c r="P5908" s="3" t="s">
        <v>5461</v>
      </c>
      <c r="Q5908" s="30" t="str">
        <f t="shared" si="92"/>
        <v>MAX : 2.845
TARGET : 2.835
MIN : 2.825</v>
      </c>
      <c r="R5908" s="3" t="s">
        <v>1638</v>
      </c>
    </row>
    <row r="5909" spans="2:18" ht="41.4" x14ac:dyDescent="0.3">
      <c r="B5909">
        <v>0</v>
      </c>
      <c r="C5909" s="33">
        <v>9319</v>
      </c>
      <c r="D5909" s="2">
        <v>1574</v>
      </c>
      <c r="E5909" s="2" t="s">
        <v>13729</v>
      </c>
      <c r="F5909" s="3" t="s">
        <v>14206</v>
      </c>
      <c r="H5909" s="3" t="s">
        <v>2965</v>
      </c>
      <c r="K5909" s="2">
        <v>20</v>
      </c>
      <c r="L5909" s="2">
        <v>13</v>
      </c>
      <c r="M5909" s="3" t="s">
        <v>5974</v>
      </c>
      <c r="N5909" s="3" t="s">
        <v>5975</v>
      </c>
      <c r="O5909" s="3" t="s">
        <v>4840</v>
      </c>
      <c r="P5909" s="3" t="s">
        <v>5976</v>
      </c>
      <c r="Q5909" s="30" t="str">
        <f t="shared" si="92"/>
        <v>MAX : 0.487
TARGET : 0.482
MIN : 0.477</v>
      </c>
      <c r="R5909" s="3" t="s">
        <v>1638</v>
      </c>
    </row>
    <row r="5910" spans="2:18" ht="41.4" x14ac:dyDescent="0.3">
      <c r="B5910">
        <v>1</v>
      </c>
      <c r="C5910" s="33">
        <v>9294</v>
      </c>
      <c r="D5910" s="2">
        <v>2130</v>
      </c>
      <c r="E5910" s="2" t="s">
        <v>13594</v>
      </c>
      <c r="F5910" s="3" t="s">
        <v>14206</v>
      </c>
      <c r="H5910" s="3" t="s">
        <v>1608</v>
      </c>
      <c r="K5910" s="2">
        <v>10</v>
      </c>
      <c r="L5910" s="2">
        <v>2</v>
      </c>
      <c r="M5910" s="3" t="s">
        <v>5822</v>
      </c>
      <c r="N5910" s="3" t="s">
        <v>13</v>
      </c>
      <c r="O5910" s="3" t="s">
        <v>14</v>
      </c>
      <c r="Q5910" s="30" t="str">
        <f t="shared" si="92"/>
        <v>MAX : 
TARGET : Yes(Pass)
MIN : No(Fail)</v>
      </c>
    </row>
    <row r="5911" spans="2:18" ht="41.4" x14ac:dyDescent="0.3">
      <c r="B5911">
        <v>1</v>
      </c>
      <c r="C5911" s="33">
        <v>9294</v>
      </c>
      <c r="D5911" s="2">
        <v>2130</v>
      </c>
      <c r="E5911" s="2" t="s">
        <v>13594</v>
      </c>
      <c r="F5911" s="3" t="s">
        <v>14206</v>
      </c>
      <c r="H5911" s="3" t="s">
        <v>1608</v>
      </c>
      <c r="K5911" s="2">
        <v>10</v>
      </c>
      <c r="L5911" s="2">
        <v>1</v>
      </c>
      <c r="M5911" s="3" t="s">
        <v>458</v>
      </c>
      <c r="N5911" s="3" t="s">
        <v>1680</v>
      </c>
      <c r="O5911" s="3" t="s">
        <v>790</v>
      </c>
      <c r="P5911" s="3" t="s">
        <v>1681</v>
      </c>
      <c r="Q5911" s="30" t="str">
        <f t="shared" si="92"/>
        <v>MAX : 2.31
TARGET : 2.25
MIN : 2.19</v>
      </c>
    </row>
    <row r="5912" spans="2:18" ht="41.4" x14ac:dyDescent="0.3">
      <c r="B5912">
        <v>0</v>
      </c>
      <c r="C5912" s="33">
        <v>8022</v>
      </c>
      <c r="D5912" s="2">
        <v>1170</v>
      </c>
      <c r="E5912" s="2" t="s">
        <v>9940</v>
      </c>
      <c r="F5912" s="3" t="s">
        <v>14206</v>
      </c>
      <c r="G5912" s="3" t="s">
        <v>1665</v>
      </c>
      <c r="H5912" s="3" t="s">
        <v>2921</v>
      </c>
      <c r="I5912" s="3" t="s">
        <v>575</v>
      </c>
      <c r="K5912" s="2">
        <v>20</v>
      </c>
      <c r="L5912" s="2">
        <v>0.3</v>
      </c>
      <c r="Q5912" s="30" t="str">
        <f t="shared" si="92"/>
        <v xml:space="preserve">MAX : 
TARGET : 
MIN : </v>
      </c>
    </row>
    <row r="5913" spans="2:18" ht="41.4" x14ac:dyDescent="0.3">
      <c r="B5913">
        <v>0</v>
      </c>
      <c r="C5913" s="33">
        <v>8022</v>
      </c>
      <c r="D5913" s="2">
        <v>1170</v>
      </c>
      <c r="E5913" s="2" t="s">
        <v>9940</v>
      </c>
      <c r="F5913" s="3" t="s">
        <v>14206</v>
      </c>
      <c r="G5913" s="3" t="s">
        <v>1665</v>
      </c>
      <c r="H5913" s="3" t="s">
        <v>2921</v>
      </c>
      <c r="I5913" s="3" t="s">
        <v>575</v>
      </c>
      <c r="K5913" s="2">
        <v>20</v>
      </c>
      <c r="L5913" s="2">
        <v>0.4</v>
      </c>
      <c r="Q5913" s="30" t="str">
        <f t="shared" si="92"/>
        <v xml:space="preserve">MAX : 
TARGET : 
MIN : </v>
      </c>
    </row>
    <row r="5914" spans="2:18" ht="41.4" x14ac:dyDescent="0.3">
      <c r="B5914">
        <v>0</v>
      </c>
      <c r="C5914" s="33">
        <v>8022</v>
      </c>
      <c r="D5914" s="2">
        <v>1170</v>
      </c>
      <c r="E5914" s="2" t="s">
        <v>9940</v>
      </c>
      <c r="F5914" s="3" t="s">
        <v>14206</v>
      </c>
      <c r="G5914" s="3" t="s">
        <v>1665</v>
      </c>
      <c r="H5914" s="3" t="s">
        <v>2921</v>
      </c>
      <c r="I5914" s="3" t="s">
        <v>575</v>
      </c>
      <c r="K5914" s="2">
        <v>20</v>
      </c>
      <c r="L5914" s="2">
        <v>0.5</v>
      </c>
      <c r="Q5914" s="30" t="str">
        <f t="shared" si="92"/>
        <v xml:space="preserve">MAX : 
TARGET : 
MIN : </v>
      </c>
    </row>
    <row r="5915" spans="2:18" ht="41.4" x14ac:dyDescent="0.3">
      <c r="B5915">
        <v>0</v>
      </c>
      <c r="C5915" s="33">
        <v>8022</v>
      </c>
      <c r="D5915" s="2">
        <v>1170</v>
      </c>
      <c r="E5915" s="2" t="s">
        <v>9940</v>
      </c>
      <c r="F5915" s="3" t="s">
        <v>14206</v>
      </c>
      <c r="G5915" s="3" t="s">
        <v>1665</v>
      </c>
      <c r="H5915" s="3" t="s">
        <v>2921</v>
      </c>
      <c r="I5915" s="3" t="s">
        <v>575</v>
      </c>
      <c r="K5915" s="2">
        <v>20</v>
      </c>
      <c r="L5915" s="2">
        <v>0.6</v>
      </c>
      <c r="Q5915" s="30" t="str">
        <f t="shared" si="92"/>
        <v xml:space="preserve">MAX : 
TARGET : 
MIN : </v>
      </c>
    </row>
    <row r="5916" spans="2:18" ht="41.4" x14ac:dyDescent="0.3">
      <c r="B5916">
        <v>0</v>
      </c>
      <c r="C5916" s="33">
        <v>8022</v>
      </c>
      <c r="D5916" s="2">
        <v>1170</v>
      </c>
      <c r="E5916" s="2" t="s">
        <v>9940</v>
      </c>
      <c r="F5916" s="3" t="s">
        <v>14206</v>
      </c>
      <c r="G5916" s="3" t="s">
        <v>1665</v>
      </c>
      <c r="H5916" s="3" t="s">
        <v>2921</v>
      </c>
      <c r="I5916" s="3" t="s">
        <v>575</v>
      </c>
      <c r="K5916" s="2">
        <v>20</v>
      </c>
      <c r="L5916" s="2">
        <v>0.7</v>
      </c>
      <c r="Q5916" s="30" t="str">
        <f t="shared" si="92"/>
        <v xml:space="preserve">MAX : 
TARGET : 
MIN : </v>
      </c>
    </row>
    <row r="5917" spans="2:18" ht="41.4" x14ac:dyDescent="0.3">
      <c r="B5917">
        <v>1</v>
      </c>
      <c r="C5917" s="33">
        <v>9295</v>
      </c>
      <c r="D5917" s="2">
        <v>1560</v>
      </c>
      <c r="E5917" s="2" t="s">
        <v>13600</v>
      </c>
      <c r="F5917" s="3" t="s">
        <v>14206</v>
      </c>
      <c r="H5917" s="3" t="s">
        <v>426</v>
      </c>
      <c r="K5917" s="2">
        <v>30</v>
      </c>
      <c r="L5917" s="2">
        <v>16</v>
      </c>
      <c r="M5917" s="3" t="s">
        <v>4168</v>
      </c>
      <c r="N5917" s="3" t="s">
        <v>24</v>
      </c>
      <c r="O5917" s="3" t="s">
        <v>25</v>
      </c>
      <c r="Q5917" s="30" t="str">
        <f t="shared" si="92"/>
        <v>MAX : 
TARGET : Yes (Pass)
MIN : No (Fail)</v>
      </c>
    </row>
    <row r="5918" spans="2:18" ht="41.4" x14ac:dyDescent="0.3">
      <c r="B5918">
        <v>1</v>
      </c>
      <c r="C5918" s="33">
        <v>9295</v>
      </c>
      <c r="D5918" s="2">
        <v>1560</v>
      </c>
      <c r="E5918" s="2" t="s">
        <v>13600</v>
      </c>
      <c r="F5918" s="3" t="s">
        <v>14206</v>
      </c>
      <c r="H5918" s="3" t="s">
        <v>426</v>
      </c>
      <c r="K5918" s="2">
        <v>30</v>
      </c>
      <c r="L5918" s="2">
        <v>1</v>
      </c>
      <c r="M5918" s="3" t="s">
        <v>4164</v>
      </c>
      <c r="N5918" s="3" t="s">
        <v>4165</v>
      </c>
      <c r="O5918" s="3" t="s">
        <v>4166</v>
      </c>
      <c r="P5918" s="3" t="s">
        <v>4167</v>
      </c>
      <c r="Q5918" s="30" t="str">
        <f t="shared" si="92"/>
        <v>MAX : 1.139
TARGET : 1.134
MIN : 1.129</v>
      </c>
    </row>
    <row r="5919" spans="2:18" ht="41.4" x14ac:dyDescent="0.3">
      <c r="B5919">
        <v>0</v>
      </c>
      <c r="C5919" s="33">
        <v>7726</v>
      </c>
      <c r="D5919" s="2">
        <v>1140</v>
      </c>
      <c r="E5919" s="2" t="s">
        <v>9538</v>
      </c>
      <c r="F5919" s="3" t="s">
        <v>14206</v>
      </c>
      <c r="G5919" s="3" t="s">
        <v>1665</v>
      </c>
      <c r="H5919" s="3" t="s">
        <v>2526</v>
      </c>
      <c r="I5919" s="3" t="s">
        <v>575</v>
      </c>
      <c r="K5919" s="2">
        <v>20</v>
      </c>
      <c r="L5919" s="2">
        <v>0.3</v>
      </c>
      <c r="Q5919" s="30" t="str">
        <f t="shared" si="92"/>
        <v xml:space="preserve">MAX : 
TARGET : 
MIN : </v>
      </c>
    </row>
    <row r="5920" spans="2:18" ht="41.4" x14ac:dyDescent="0.3">
      <c r="B5920">
        <v>0</v>
      </c>
      <c r="C5920" s="33">
        <v>7726</v>
      </c>
      <c r="D5920" s="2">
        <v>1140</v>
      </c>
      <c r="E5920" s="2" t="s">
        <v>9538</v>
      </c>
      <c r="F5920" s="3" t="s">
        <v>14206</v>
      </c>
      <c r="G5920" s="3" t="s">
        <v>1665</v>
      </c>
      <c r="H5920" s="3" t="s">
        <v>2526</v>
      </c>
      <c r="I5920" s="3" t="s">
        <v>575</v>
      </c>
      <c r="K5920" s="2">
        <v>20</v>
      </c>
      <c r="L5920" s="2">
        <v>0.4</v>
      </c>
      <c r="Q5920" s="30" t="str">
        <f t="shared" si="92"/>
        <v xml:space="preserve">MAX : 
TARGET : 
MIN : </v>
      </c>
    </row>
    <row r="5921" spans="2:18" ht="41.4" x14ac:dyDescent="0.3">
      <c r="B5921">
        <v>1</v>
      </c>
      <c r="C5921" s="33">
        <v>9295</v>
      </c>
      <c r="D5921" s="2">
        <v>1560</v>
      </c>
      <c r="E5921" s="2" t="s">
        <v>13600</v>
      </c>
      <c r="F5921" s="3" t="s">
        <v>14206</v>
      </c>
      <c r="H5921" s="3" t="s">
        <v>426</v>
      </c>
      <c r="K5921" s="2">
        <v>30</v>
      </c>
      <c r="L5921" s="2">
        <v>18</v>
      </c>
      <c r="M5921" s="3" t="s">
        <v>6018</v>
      </c>
      <c r="N5921" s="3" t="s">
        <v>13</v>
      </c>
      <c r="O5921" s="3" t="s">
        <v>14</v>
      </c>
      <c r="Q5921" s="30" t="str">
        <f t="shared" si="92"/>
        <v>MAX : 
TARGET : Yes(Pass)
MIN : No(Fail)</v>
      </c>
    </row>
    <row r="5922" spans="2:18" ht="41.4" x14ac:dyDescent="0.3">
      <c r="B5922">
        <v>1</v>
      </c>
      <c r="C5922" s="33">
        <v>9296</v>
      </c>
      <c r="D5922" s="2">
        <v>1561</v>
      </c>
      <c r="E5922" s="2" t="s">
        <v>13605</v>
      </c>
      <c r="F5922" s="3" t="s">
        <v>14206</v>
      </c>
      <c r="H5922" s="3" t="s">
        <v>426</v>
      </c>
      <c r="K5922" s="2">
        <v>20</v>
      </c>
      <c r="L5922" s="2">
        <v>2</v>
      </c>
      <c r="M5922" s="3" t="s">
        <v>4168</v>
      </c>
      <c r="N5922" s="3" t="s">
        <v>13</v>
      </c>
      <c r="O5922" s="3" t="s">
        <v>14</v>
      </c>
      <c r="Q5922" s="30" t="str">
        <f t="shared" si="92"/>
        <v>MAX : 
TARGET : Yes(Pass)
MIN : No(Fail)</v>
      </c>
    </row>
    <row r="5923" spans="2:18" ht="41.4" x14ac:dyDescent="0.3">
      <c r="B5923">
        <v>1</v>
      </c>
      <c r="C5923" s="33">
        <v>9296</v>
      </c>
      <c r="D5923" s="2">
        <v>1561</v>
      </c>
      <c r="E5923" s="2" t="s">
        <v>13605</v>
      </c>
      <c r="F5923" s="3" t="s">
        <v>14206</v>
      </c>
      <c r="H5923" s="3" t="s">
        <v>426</v>
      </c>
      <c r="K5923" s="2">
        <v>20</v>
      </c>
      <c r="L5923" s="2">
        <v>1</v>
      </c>
      <c r="M5923" s="3" t="s">
        <v>1666</v>
      </c>
      <c r="N5923" s="3" t="s">
        <v>3970</v>
      </c>
      <c r="O5923" s="3" t="s">
        <v>4861</v>
      </c>
      <c r="P5923" s="3" t="s">
        <v>5378</v>
      </c>
      <c r="Q5923" s="30" t="str">
        <f t="shared" si="92"/>
        <v>MAX : 1.459
TARGET : 1.452
MIN : 1.445</v>
      </c>
    </row>
    <row r="5924" spans="2:18" ht="41.4" x14ac:dyDescent="0.3">
      <c r="B5924">
        <v>1</v>
      </c>
      <c r="C5924" s="33">
        <v>9296</v>
      </c>
      <c r="D5924" s="2">
        <v>1561</v>
      </c>
      <c r="E5924" s="2" t="s">
        <v>13605</v>
      </c>
      <c r="F5924" s="3" t="s">
        <v>14206</v>
      </c>
      <c r="H5924" s="3" t="s">
        <v>426</v>
      </c>
      <c r="K5924" s="2">
        <v>30</v>
      </c>
      <c r="L5924" s="2">
        <v>12</v>
      </c>
      <c r="M5924" s="3" t="s">
        <v>6018</v>
      </c>
      <c r="N5924" s="3" t="s">
        <v>13</v>
      </c>
      <c r="O5924" s="3" t="s">
        <v>14</v>
      </c>
      <c r="Q5924" s="30" t="str">
        <f t="shared" si="92"/>
        <v>MAX : 
TARGET : Yes(Pass)
MIN : No(Fail)</v>
      </c>
    </row>
    <row r="5925" spans="2:18" ht="41.4" x14ac:dyDescent="0.3">
      <c r="B5925">
        <v>1</v>
      </c>
      <c r="C5925" s="33">
        <v>9297</v>
      </c>
      <c r="D5925" s="2">
        <v>2131</v>
      </c>
      <c r="E5925" s="2" t="s">
        <v>13611</v>
      </c>
      <c r="F5925" s="3" t="s">
        <v>14207</v>
      </c>
      <c r="H5925" s="3" t="s">
        <v>11</v>
      </c>
      <c r="K5925" s="2">
        <v>10</v>
      </c>
      <c r="L5925" s="2">
        <v>1</v>
      </c>
      <c r="M5925" s="3" t="s">
        <v>5823</v>
      </c>
      <c r="N5925" s="3" t="s">
        <v>13</v>
      </c>
      <c r="O5925" s="3" t="s">
        <v>14</v>
      </c>
      <c r="Q5925" s="30" t="str">
        <f t="shared" si="92"/>
        <v>MAX : 
TARGET : Yes(Pass)
MIN : No(Fail)</v>
      </c>
    </row>
    <row r="5926" spans="2:18" ht="41.4" x14ac:dyDescent="0.3">
      <c r="B5926">
        <v>1</v>
      </c>
      <c r="C5926" s="33">
        <v>9298</v>
      </c>
      <c r="D5926" s="2">
        <v>1562</v>
      </c>
      <c r="E5926" s="2" t="s">
        <v>13618</v>
      </c>
      <c r="F5926" s="3" t="s">
        <v>14206</v>
      </c>
      <c r="G5926" s="3" t="s">
        <v>1665</v>
      </c>
      <c r="H5926" s="3" t="s">
        <v>727</v>
      </c>
      <c r="I5926" s="3" t="s">
        <v>575</v>
      </c>
      <c r="K5926" s="2">
        <v>10</v>
      </c>
      <c r="L5926" s="2">
        <v>2</v>
      </c>
      <c r="M5926" s="3" t="s">
        <v>5846</v>
      </c>
      <c r="N5926" s="3" t="s">
        <v>13</v>
      </c>
      <c r="O5926" s="3" t="s">
        <v>14</v>
      </c>
      <c r="Q5926" s="30" t="str">
        <f t="shared" si="92"/>
        <v>MAX : 
TARGET : Yes(Pass)
MIN : No(Fail)</v>
      </c>
      <c r="R5926" s="3" t="s">
        <v>1638</v>
      </c>
    </row>
    <row r="5927" spans="2:18" ht="41.4" x14ac:dyDescent="0.3">
      <c r="B5927">
        <v>1</v>
      </c>
      <c r="C5927" s="33">
        <v>9298</v>
      </c>
      <c r="D5927" s="2">
        <v>1562</v>
      </c>
      <c r="E5927" s="2" t="s">
        <v>13618</v>
      </c>
      <c r="F5927" s="3" t="s">
        <v>14206</v>
      </c>
      <c r="G5927" s="3" t="s">
        <v>1665</v>
      </c>
      <c r="H5927" s="3" t="s">
        <v>727</v>
      </c>
      <c r="I5927" s="3" t="s">
        <v>575</v>
      </c>
      <c r="K5927" s="2">
        <v>10</v>
      </c>
      <c r="L5927" s="2">
        <v>1</v>
      </c>
      <c r="M5927" s="3" t="s">
        <v>502</v>
      </c>
      <c r="N5927" s="3" t="s">
        <v>5681</v>
      </c>
      <c r="O5927" s="3" t="s">
        <v>5845</v>
      </c>
      <c r="P5927" s="3" t="s">
        <v>4549</v>
      </c>
      <c r="Q5927" s="30" t="str">
        <f t="shared" si="92"/>
        <v>MAX : 0.690
TARGET : 0.684
MIN : 0.678</v>
      </c>
      <c r="R5927" s="3" t="s">
        <v>1638</v>
      </c>
    </row>
    <row r="5928" spans="2:18" ht="41.4" x14ac:dyDescent="0.3">
      <c r="B5928">
        <v>1</v>
      </c>
      <c r="C5928" s="33">
        <v>9299</v>
      </c>
      <c r="D5928" s="2">
        <v>1563</v>
      </c>
      <c r="E5928" s="2" t="s">
        <v>13626</v>
      </c>
      <c r="F5928" s="3" t="s">
        <v>14207</v>
      </c>
      <c r="H5928" s="3" t="s">
        <v>426</v>
      </c>
      <c r="I5928" s="3" t="s">
        <v>487</v>
      </c>
      <c r="K5928" s="2">
        <v>20</v>
      </c>
      <c r="L5928" s="2">
        <v>2</v>
      </c>
      <c r="M5928" s="3" t="s">
        <v>570</v>
      </c>
      <c r="N5928" s="3" t="s">
        <v>2099</v>
      </c>
      <c r="O5928" s="3" t="s">
        <v>2100</v>
      </c>
      <c r="P5928" s="3" t="s">
        <v>2101</v>
      </c>
      <c r="Q5928" s="30" t="str">
        <f t="shared" si="92"/>
        <v>MAX : 33
TARGET : 32
MIN : 31</v>
      </c>
      <c r="R5928" s="3" t="s">
        <v>1638</v>
      </c>
    </row>
    <row r="5929" spans="2:18" ht="41.4" x14ac:dyDescent="0.3">
      <c r="B5929">
        <v>1</v>
      </c>
      <c r="C5929" s="33">
        <v>9299</v>
      </c>
      <c r="D5929" s="2">
        <v>1563</v>
      </c>
      <c r="E5929" s="2" t="s">
        <v>13626</v>
      </c>
      <c r="F5929" s="3" t="s">
        <v>14207</v>
      </c>
      <c r="H5929" s="3" t="s">
        <v>426</v>
      </c>
      <c r="I5929" s="3" t="s">
        <v>487</v>
      </c>
      <c r="K5929" s="2">
        <v>20</v>
      </c>
      <c r="L5929" s="2">
        <v>1</v>
      </c>
      <c r="M5929" s="3" t="s">
        <v>194</v>
      </c>
      <c r="N5929" s="3" t="s">
        <v>5537</v>
      </c>
      <c r="O5929" s="3" t="s">
        <v>2013</v>
      </c>
      <c r="P5929" s="3" t="s">
        <v>461</v>
      </c>
      <c r="Q5929" s="30" t="str">
        <f t="shared" si="92"/>
        <v>MAX : 6
TARGET : 5
MIN : 4</v>
      </c>
      <c r="R5929" s="3" t="s">
        <v>1638</v>
      </c>
    </row>
    <row r="5930" spans="2:18" ht="41.4" x14ac:dyDescent="0.3">
      <c r="B5930">
        <v>1</v>
      </c>
      <c r="C5930" s="33">
        <v>9300</v>
      </c>
      <c r="D5930" s="2">
        <v>1564</v>
      </c>
      <c r="E5930" s="2" t="s">
        <v>13632</v>
      </c>
      <c r="F5930" s="3" t="s">
        <v>14206</v>
      </c>
      <c r="H5930" s="3" t="s">
        <v>1721</v>
      </c>
      <c r="I5930" s="3" t="s">
        <v>575</v>
      </c>
      <c r="K5930" s="2">
        <v>10</v>
      </c>
      <c r="L5930" s="2">
        <v>2</v>
      </c>
      <c r="M5930" s="3" t="s">
        <v>467</v>
      </c>
      <c r="N5930" s="3" t="s">
        <v>27</v>
      </c>
      <c r="O5930" s="3" t="s">
        <v>28</v>
      </c>
      <c r="P5930" s="3" t="s">
        <v>29</v>
      </c>
      <c r="Q5930" s="30" t="str">
        <f t="shared" si="92"/>
        <v>MAX : 1.53
TARGET : 1.50
MIN : 1.47</v>
      </c>
    </row>
    <row r="5931" spans="2:18" ht="41.4" x14ac:dyDescent="0.3">
      <c r="B5931">
        <v>1</v>
      </c>
      <c r="C5931" s="33">
        <v>9300</v>
      </c>
      <c r="D5931" s="2">
        <v>1564</v>
      </c>
      <c r="E5931" s="2" t="s">
        <v>13632</v>
      </c>
      <c r="F5931" s="3" t="s">
        <v>14206</v>
      </c>
      <c r="H5931" s="3" t="s">
        <v>1721</v>
      </c>
      <c r="I5931" s="3" t="s">
        <v>575</v>
      </c>
      <c r="K5931" s="2">
        <v>10</v>
      </c>
      <c r="L5931" s="2">
        <v>1</v>
      </c>
      <c r="M5931" s="3" t="s">
        <v>109</v>
      </c>
      <c r="N5931" s="3" t="s">
        <v>1722</v>
      </c>
      <c r="O5931" s="3" t="s">
        <v>1723</v>
      </c>
      <c r="P5931" s="3" t="s">
        <v>1724</v>
      </c>
      <c r="Q5931" s="30" t="str">
        <f t="shared" si="92"/>
        <v>MAX : 11.66
TARGET : 11.63
MIN : 11.60</v>
      </c>
    </row>
    <row r="5932" spans="2:18" ht="41.4" x14ac:dyDescent="0.3">
      <c r="B5932">
        <v>1</v>
      </c>
      <c r="C5932" s="33">
        <v>9301</v>
      </c>
      <c r="D5932" s="2">
        <v>1565</v>
      </c>
      <c r="E5932" s="2" t="s">
        <v>13639</v>
      </c>
      <c r="F5932" s="3" t="s">
        <v>14207</v>
      </c>
      <c r="H5932" s="3" t="s">
        <v>469</v>
      </c>
      <c r="I5932" s="3" t="s">
        <v>575</v>
      </c>
      <c r="K5932" s="2">
        <v>20</v>
      </c>
      <c r="L5932" s="2">
        <v>2</v>
      </c>
      <c r="M5932" s="3" t="s">
        <v>194</v>
      </c>
      <c r="N5932" s="3" t="s">
        <v>5833</v>
      </c>
      <c r="O5932" s="3" t="s">
        <v>5834</v>
      </c>
      <c r="P5932" s="3" t="s">
        <v>5835</v>
      </c>
      <c r="Q5932" s="30" t="str">
        <f t="shared" si="92"/>
        <v>MAX : 80.3
TARGET : 80.0
MIN : 79.7</v>
      </c>
      <c r="R5932" s="3" t="s">
        <v>1638</v>
      </c>
    </row>
    <row r="5933" spans="2:18" ht="41.4" x14ac:dyDescent="0.3">
      <c r="B5933">
        <v>1</v>
      </c>
      <c r="C5933" s="33">
        <v>9301</v>
      </c>
      <c r="D5933" s="2">
        <v>1565</v>
      </c>
      <c r="E5933" s="2" t="s">
        <v>13639</v>
      </c>
      <c r="F5933" s="3" t="s">
        <v>14207</v>
      </c>
      <c r="H5933" s="3" t="s">
        <v>469</v>
      </c>
      <c r="I5933" s="3" t="s">
        <v>575</v>
      </c>
      <c r="K5933" s="2">
        <v>20</v>
      </c>
      <c r="L5933" s="2">
        <v>1</v>
      </c>
      <c r="M5933" s="3" t="s">
        <v>5829</v>
      </c>
      <c r="N5933" s="3" t="s">
        <v>5830</v>
      </c>
      <c r="O5933" s="3" t="s">
        <v>5831</v>
      </c>
      <c r="P5933" s="3" t="s">
        <v>5832</v>
      </c>
      <c r="Q5933" s="30" t="str">
        <f t="shared" si="92"/>
        <v>MAX : 68.3
TARGET : 68.0
MIN : 67.7</v>
      </c>
      <c r="R5933" s="3" t="s">
        <v>1638</v>
      </c>
    </row>
    <row r="5934" spans="2:18" ht="41.4" x14ac:dyDescent="0.3">
      <c r="B5934">
        <v>1</v>
      </c>
      <c r="C5934" s="33">
        <v>9302</v>
      </c>
      <c r="D5934" s="2">
        <v>1566</v>
      </c>
      <c r="E5934" s="2" t="s">
        <v>13645</v>
      </c>
      <c r="F5934" s="3" t="s">
        <v>14206</v>
      </c>
      <c r="H5934" s="3" t="s">
        <v>747</v>
      </c>
      <c r="I5934" s="3" t="s">
        <v>575</v>
      </c>
      <c r="K5934" s="2">
        <v>10</v>
      </c>
      <c r="L5934" s="2">
        <v>3</v>
      </c>
      <c r="M5934" s="3" t="s">
        <v>5846</v>
      </c>
      <c r="N5934" s="3" t="s">
        <v>13</v>
      </c>
      <c r="O5934" s="3" t="s">
        <v>14</v>
      </c>
      <c r="Q5934" s="30" t="str">
        <f t="shared" si="92"/>
        <v>MAX : 
TARGET : Yes(Pass)
MIN : No(Fail)</v>
      </c>
      <c r="R5934" s="3" t="s">
        <v>1638</v>
      </c>
    </row>
    <row r="5935" spans="2:18" ht="41.4" x14ac:dyDescent="0.3">
      <c r="B5935">
        <v>0</v>
      </c>
      <c r="C5935" s="33">
        <v>9330</v>
      </c>
      <c r="D5935" s="2">
        <v>2145</v>
      </c>
      <c r="E5935" s="2" t="s">
        <v>13796</v>
      </c>
      <c r="F5935" s="3" t="s">
        <v>14206</v>
      </c>
      <c r="H5935" s="3" t="s">
        <v>491</v>
      </c>
      <c r="K5935" s="2">
        <v>10</v>
      </c>
      <c r="L5935" s="2">
        <v>3</v>
      </c>
      <c r="M5935" s="3" t="s">
        <v>4214</v>
      </c>
      <c r="N5935" s="3" t="s">
        <v>13</v>
      </c>
      <c r="O5935" s="3" t="s">
        <v>14</v>
      </c>
      <c r="Q5935" s="30" t="str">
        <f t="shared" si="92"/>
        <v>MAX : 
TARGET : Yes(Pass)
MIN : No(Fail)</v>
      </c>
    </row>
    <row r="5936" spans="2:18" ht="41.4" x14ac:dyDescent="0.3">
      <c r="B5936">
        <v>1</v>
      </c>
      <c r="C5936" s="33">
        <v>9302</v>
      </c>
      <c r="D5936" s="2">
        <v>1566</v>
      </c>
      <c r="E5936" s="2" t="s">
        <v>13645</v>
      </c>
      <c r="F5936" s="3" t="s">
        <v>14206</v>
      </c>
      <c r="H5936" s="3" t="s">
        <v>747</v>
      </c>
      <c r="I5936" s="3" t="s">
        <v>575</v>
      </c>
      <c r="K5936" s="2">
        <v>10</v>
      </c>
      <c r="L5936" s="2">
        <v>1</v>
      </c>
      <c r="M5936" s="3" t="s">
        <v>194</v>
      </c>
      <c r="N5936" s="3" t="s">
        <v>5520</v>
      </c>
      <c r="O5936" s="3" t="s">
        <v>2312</v>
      </c>
      <c r="P5936" s="3" t="s">
        <v>5521</v>
      </c>
      <c r="Q5936" s="30" t="str">
        <f t="shared" si="92"/>
        <v>MAX : 0.650
TARGET : 0.640
MIN : 0.630</v>
      </c>
      <c r="R5936" s="3" t="s">
        <v>1638</v>
      </c>
    </row>
    <row r="5937" spans="2:18" ht="41.4" x14ac:dyDescent="0.3">
      <c r="B5937">
        <v>1</v>
      </c>
      <c r="C5937" s="33">
        <v>9303</v>
      </c>
      <c r="D5937" s="2">
        <v>1567</v>
      </c>
      <c r="E5937" s="2" t="s">
        <v>13652</v>
      </c>
      <c r="F5937" s="3" t="s">
        <v>14206</v>
      </c>
      <c r="H5937" s="3" t="s">
        <v>812</v>
      </c>
      <c r="K5937" s="2">
        <v>10</v>
      </c>
      <c r="L5937" s="2">
        <v>2</v>
      </c>
      <c r="M5937" s="3" t="s">
        <v>569</v>
      </c>
      <c r="N5937" s="3" t="s">
        <v>2202</v>
      </c>
      <c r="O5937" s="3" t="s">
        <v>1798</v>
      </c>
      <c r="P5937" s="3" t="s">
        <v>1342</v>
      </c>
      <c r="Q5937" s="30" t="str">
        <f t="shared" si="92"/>
        <v>MAX : 1.91
TARGET : 1.88
MIN : 1.85</v>
      </c>
    </row>
    <row r="5938" spans="2:18" ht="41.4" x14ac:dyDescent="0.3">
      <c r="B5938">
        <v>0</v>
      </c>
      <c r="C5938" s="33">
        <v>9328</v>
      </c>
      <c r="D5938" s="2">
        <v>1578</v>
      </c>
      <c r="E5938" s="2" t="s">
        <v>13783</v>
      </c>
      <c r="F5938" s="3" t="s">
        <v>14207</v>
      </c>
      <c r="H5938" s="3" t="s">
        <v>4548</v>
      </c>
      <c r="I5938" s="3" t="s">
        <v>575</v>
      </c>
      <c r="K5938" s="2">
        <v>10</v>
      </c>
      <c r="L5938" s="2">
        <v>3</v>
      </c>
      <c r="M5938" s="3" t="s">
        <v>2019</v>
      </c>
      <c r="N5938" s="3" t="s">
        <v>5991</v>
      </c>
      <c r="O5938" s="3" t="s">
        <v>2227</v>
      </c>
      <c r="P5938" s="3" t="s">
        <v>3803</v>
      </c>
      <c r="Q5938" s="30" t="str">
        <f t="shared" si="92"/>
        <v>MAX : 17.3
TARGET : 17.0
MIN : 16.7</v>
      </c>
      <c r="R5938" s="3" t="s">
        <v>4520</v>
      </c>
    </row>
    <row r="5939" spans="2:18" ht="41.4" x14ac:dyDescent="0.3">
      <c r="B5939">
        <v>0</v>
      </c>
      <c r="C5939" s="33">
        <v>9328</v>
      </c>
      <c r="D5939" s="2">
        <v>1578</v>
      </c>
      <c r="E5939" s="2" t="s">
        <v>13783</v>
      </c>
      <c r="F5939" s="3" t="s">
        <v>14207</v>
      </c>
      <c r="H5939" s="3" t="s">
        <v>4548</v>
      </c>
      <c r="I5939" s="3" t="s">
        <v>575</v>
      </c>
      <c r="K5939" s="2">
        <v>10</v>
      </c>
      <c r="L5939" s="2">
        <v>4</v>
      </c>
      <c r="M5939" s="3" t="s">
        <v>2021</v>
      </c>
      <c r="N5939" s="3" t="s">
        <v>3267</v>
      </c>
      <c r="O5939" s="3" t="s">
        <v>658</v>
      </c>
      <c r="P5939" s="3" t="s">
        <v>5992</v>
      </c>
      <c r="Q5939" s="30" t="str">
        <f t="shared" si="92"/>
        <v>MAX : 25.3
TARGET : 25.0
MIN : 24.7</v>
      </c>
      <c r="R5939" s="3" t="s">
        <v>4520</v>
      </c>
    </row>
    <row r="5940" spans="2:18" ht="41.4" x14ac:dyDescent="0.3">
      <c r="B5940">
        <v>1</v>
      </c>
      <c r="C5940" s="33">
        <v>9303</v>
      </c>
      <c r="D5940" s="2">
        <v>1567</v>
      </c>
      <c r="E5940" s="2" t="s">
        <v>13652</v>
      </c>
      <c r="F5940" s="3" t="s">
        <v>14206</v>
      </c>
      <c r="H5940" s="3" t="s">
        <v>812</v>
      </c>
      <c r="K5940" s="2">
        <v>10</v>
      </c>
      <c r="L5940" s="2">
        <v>1</v>
      </c>
      <c r="M5940" s="3" t="s">
        <v>198</v>
      </c>
      <c r="N5940" s="3" t="s">
        <v>752</v>
      </c>
      <c r="O5940" s="3" t="s">
        <v>345</v>
      </c>
      <c r="P5940" s="3" t="s">
        <v>1769</v>
      </c>
      <c r="Q5940" s="30" t="str">
        <f t="shared" si="92"/>
        <v>MAX : 1.78
TARGET : 1.75
MIN : 1.72</v>
      </c>
    </row>
    <row r="5941" spans="2:18" ht="41.4" x14ac:dyDescent="0.3">
      <c r="B5941">
        <v>1</v>
      </c>
      <c r="C5941" s="33">
        <v>9304</v>
      </c>
      <c r="D5941" s="2">
        <v>2132</v>
      </c>
      <c r="E5941" s="2" t="s">
        <v>13658</v>
      </c>
      <c r="F5941" s="3" t="s">
        <v>14206</v>
      </c>
      <c r="H5941" s="3" t="s">
        <v>895</v>
      </c>
      <c r="I5941" s="3" t="s">
        <v>487</v>
      </c>
      <c r="K5941" s="2">
        <v>10</v>
      </c>
      <c r="L5941" s="2">
        <v>2</v>
      </c>
      <c r="M5941" s="3" t="s">
        <v>325</v>
      </c>
      <c r="N5941" s="3" t="s">
        <v>13</v>
      </c>
      <c r="O5941" s="3" t="s">
        <v>14</v>
      </c>
      <c r="Q5941" s="30" t="str">
        <f t="shared" si="92"/>
        <v>MAX : 
TARGET : Yes(Pass)
MIN : No(Fail)</v>
      </c>
    </row>
    <row r="5942" spans="2:18" ht="41.4" x14ac:dyDescent="0.3">
      <c r="B5942">
        <v>0</v>
      </c>
      <c r="C5942" s="33">
        <v>9329</v>
      </c>
      <c r="D5942" s="2">
        <v>2144</v>
      </c>
      <c r="E5942" s="2" t="s">
        <v>13789</v>
      </c>
      <c r="F5942" s="3" t="s">
        <v>14207</v>
      </c>
      <c r="H5942" s="3" t="s">
        <v>5993</v>
      </c>
      <c r="I5942" s="3" t="s">
        <v>575</v>
      </c>
      <c r="K5942" s="2">
        <v>10</v>
      </c>
      <c r="L5942" s="2">
        <v>3</v>
      </c>
      <c r="M5942" s="3" t="s">
        <v>5999</v>
      </c>
      <c r="N5942" s="3" t="s">
        <v>69</v>
      </c>
      <c r="O5942" s="3" t="s">
        <v>894</v>
      </c>
      <c r="P5942" s="3" t="s">
        <v>6000</v>
      </c>
      <c r="Q5942" s="30" t="str">
        <f t="shared" si="92"/>
        <v>MAX : 22
TARGET : 21
MIN : 20</v>
      </c>
      <c r="R5942" s="3" t="s">
        <v>4520</v>
      </c>
    </row>
    <row r="5943" spans="2:18" ht="41.4" x14ac:dyDescent="0.3">
      <c r="B5943">
        <v>0</v>
      </c>
      <c r="C5943" s="33">
        <v>9329</v>
      </c>
      <c r="D5943" s="2">
        <v>2144</v>
      </c>
      <c r="E5943" s="2" t="s">
        <v>13789</v>
      </c>
      <c r="F5943" s="3" t="s">
        <v>14207</v>
      </c>
      <c r="H5943" s="3" t="s">
        <v>5993</v>
      </c>
      <c r="I5943" s="3" t="s">
        <v>575</v>
      </c>
      <c r="K5943" s="2">
        <v>10</v>
      </c>
      <c r="L5943" s="2">
        <v>4</v>
      </c>
      <c r="M5943" s="3" t="s">
        <v>2021</v>
      </c>
      <c r="N5943" s="3" t="s">
        <v>897</v>
      </c>
      <c r="O5943" s="3" t="s">
        <v>632</v>
      </c>
      <c r="P5943" s="3" t="s">
        <v>898</v>
      </c>
      <c r="Q5943" s="30" t="str">
        <f t="shared" si="92"/>
        <v>MAX : 26
TARGET : 25
MIN : 24</v>
      </c>
      <c r="R5943" s="3" t="s">
        <v>4520</v>
      </c>
    </row>
    <row r="5944" spans="2:18" ht="41.4" x14ac:dyDescent="0.3">
      <c r="B5944">
        <v>1</v>
      </c>
      <c r="C5944" s="33">
        <v>9304</v>
      </c>
      <c r="D5944" s="2">
        <v>2132</v>
      </c>
      <c r="E5944" s="2" t="s">
        <v>13658</v>
      </c>
      <c r="F5944" s="3" t="s">
        <v>14206</v>
      </c>
      <c r="H5944" s="3" t="s">
        <v>895</v>
      </c>
      <c r="I5944" s="3" t="s">
        <v>487</v>
      </c>
      <c r="K5944" s="2">
        <v>10</v>
      </c>
      <c r="L5944" s="2">
        <v>1</v>
      </c>
      <c r="M5944" s="3" t="s">
        <v>99</v>
      </c>
      <c r="N5944" s="3" t="s">
        <v>308</v>
      </c>
      <c r="O5944" s="3" t="s">
        <v>309</v>
      </c>
      <c r="P5944" s="3" t="s">
        <v>310</v>
      </c>
      <c r="Q5944" s="30" t="str">
        <f t="shared" si="92"/>
        <v>MAX : 0.53
TARGET : 0.50
MIN : 0.47</v>
      </c>
    </row>
    <row r="5945" spans="2:18" ht="41.4" x14ac:dyDescent="0.3">
      <c r="B5945">
        <v>1</v>
      </c>
      <c r="C5945" s="33">
        <v>9305</v>
      </c>
      <c r="D5945" s="2">
        <v>2133</v>
      </c>
      <c r="E5945" s="2" t="s">
        <v>13664</v>
      </c>
      <c r="F5945" s="3" t="s">
        <v>14206</v>
      </c>
      <c r="H5945" s="3" t="s">
        <v>66</v>
      </c>
      <c r="K5945" s="2">
        <v>10</v>
      </c>
      <c r="L5945" s="2">
        <v>2</v>
      </c>
      <c r="M5945" s="3" t="s">
        <v>611</v>
      </c>
      <c r="N5945" s="3" t="s">
        <v>13</v>
      </c>
      <c r="O5945" s="3" t="s">
        <v>14</v>
      </c>
      <c r="Q5945" s="30" t="str">
        <f t="shared" si="92"/>
        <v>MAX : 
TARGET : Yes(Pass)
MIN : No(Fail)</v>
      </c>
    </row>
    <row r="5946" spans="2:18" ht="41.4" x14ac:dyDescent="0.3">
      <c r="B5946">
        <v>0</v>
      </c>
      <c r="C5946" s="33">
        <v>9307</v>
      </c>
      <c r="D5946" s="2">
        <v>1568</v>
      </c>
      <c r="E5946" s="2" t="s">
        <v>13673</v>
      </c>
      <c r="F5946" s="3" t="s">
        <v>14207</v>
      </c>
      <c r="H5946" s="3" t="s">
        <v>469</v>
      </c>
      <c r="I5946" s="3" t="s">
        <v>575</v>
      </c>
      <c r="K5946" s="2">
        <v>20</v>
      </c>
      <c r="L5946" s="2">
        <v>3</v>
      </c>
      <c r="M5946" s="3" t="s">
        <v>6007</v>
      </c>
      <c r="Q5946" s="30" t="str">
        <f t="shared" si="92"/>
        <v xml:space="preserve">MAX : 
TARGET : 
MIN : </v>
      </c>
    </row>
    <row r="5947" spans="2:18" ht="41.4" x14ac:dyDescent="0.3">
      <c r="B5947">
        <v>1</v>
      </c>
      <c r="C5947" s="33">
        <v>9305</v>
      </c>
      <c r="D5947" s="2">
        <v>2133</v>
      </c>
      <c r="E5947" s="2" t="s">
        <v>13664</v>
      </c>
      <c r="F5947" s="3" t="s">
        <v>14206</v>
      </c>
      <c r="H5947" s="3" t="s">
        <v>66</v>
      </c>
      <c r="K5947" s="2">
        <v>10</v>
      </c>
      <c r="L5947" s="2">
        <v>1</v>
      </c>
      <c r="M5947" s="3" t="s">
        <v>99</v>
      </c>
      <c r="N5947" s="3" t="s">
        <v>462</v>
      </c>
      <c r="O5947" s="3" t="s">
        <v>424</v>
      </c>
      <c r="P5947" s="3" t="s">
        <v>463</v>
      </c>
      <c r="Q5947" s="30" t="str">
        <f t="shared" si="92"/>
        <v>MAX : 0.28
TARGET : 0.25
MIN : 0.22</v>
      </c>
    </row>
    <row r="5948" spans="2:18" ht="41.4" x14ac:dyDescent="0.3">
      <c r="B5948">
        <v>1</v>
      </c>
      <c r="C5948" s="33">
        <v>9307</v>
      </c>
      <c r="D5948" s="2">
        <v>1568</v>
      </c>
      <c r="E5948" s="2" t="s">
        <v>13673</v>
      </c>
      <c r="F5948" s="3" t="s">
        <v>14207</v>
      </c>
      <c r="H5948" s="3" t="s">
        <v>469</v>
      </c>
      <c r="I5948" s="3" t="s">
        <v>575</v>
      </c>
      <c r="K5948" s="2">
        <v>20</v>
      </c>
      <c r="L5948" s="2">
        <v>2</v>
      </c>
      <c r="M5948" s="3" t="s">
        <v>198</v>
      </c>
      <c r="N5948" s="3" t="s">
        <v>6004</v>
      </c>
      <c r="O5948" s="3" t="s">
        <v>6005</v>
      </c>
      <c r="P5948" s="3" t="s">
        <v>6006</v>
      </c>
      <c r="Q5948" s="30" t="str">
        <f t="shared" si="92"/>
        <v>MAX : 200.25
TARGET : 200.00
MIN : 199.75</v>
      </c>
    </row>
    <row r="5949" spans="2:18" ht="41.4" x14ac:dyDescent="0.3">
      <c r="B5949">
        <v>0</v>
      </c>
      <c r="C5949" s="33">
        <v>9334</v>
      </c>
      <c r="D5949" s="2">
        <v>1582</v>
      </c>
      <c r="E5949" s="2" t="s">
        <v>13820</v>
      </c>
      <c r="F5949" s="3" t="s">
        <v>14207</v>
      </c>
      <c r="H5949" s="3" t="s">
        <v>469</v>
      </c>
      <c r="I5949" s="3" t="s">
        <v>575</v>
      </c>
      <c r="K5949" s="2">
        <v>20</v>
      </c>
      <c r="L5949" s="2">
        <v>3</v>
      </c>
      <c r="M5949" s="3" t="s">
        <v>6007</v>
      </c>
      <c r="Q5949" s="30" t="str">
        <f t="shared" si="92"/>
        <v xml:space="preserve">MAX : 
TARGET : 
MIN : </v>
      </c>
    </row>
    <row r="5950" spans="2:18" ht="41.4" x14ac:dyDescent="0.3">
      <c r="B5950">
        <v>1</v>
      </c>
      <c r="C5950" s="33">
        <v>9307</v>
      </c>
      <c r="D5950" s="2">
        <v>1568</v>
      </c>
      <c r="E5950" s="2" t="s">
        <v>13673</v>
      </c>
      <c r="F5950" s="3" t="s">
        <v>14207</v>
      </c>
      <c r="H5950" s="3" t="s">
        <v>469</v>
      </c>
      <c r="I5950" s="3" t="s">
        <v>575</v>
      </c>
      <c r="K5950" s="2">
        <v>20</v>
      </c>
      <c r="L5950" s="2">
        <v>1</v>
      </c>
      <c r="M5950" s="3" t="s">
        <v>194</v>
      </c>
      <c r="N5950" s="3" t="s">
        <v>6001</v>
      </c>
      <c r="O5950" s="3" t="s">
        <v>6002</v>
      </c>
      <c r="P5950" s="3" t="s">
        <v>6003</v>
      </c>
      <c r="Q5950" s="30" t="str">
        <f t="shared" si="92"/>
        <v>MAX : 33.25
TARGET : 33.00
MIN : 32.75</v>
      </c>
    </row>
    <row r="5951" spans="2:18" ht="41.4" x14ac:dyDescent="0.3">
      <c r="B5951">
        <v>1</v>
      </c>
      <c r="C5951" s="33">
        <v>9308</v>
      </c>
      <c r="D5951" s="2">
        <v>2135</v>
      </c>
      <c r="E5951" s="2" t="s">
        <v>13679</v>
      </c>
      <c r="F5951" s="3" t="s">
        <v>14206</v>
      </c>
      <c r="G5951" s="3" t="s">
        <v>5646</v>
      </c>
      <c r="H5951" s="3" t="s">
        <v>5861</v>
      </c>
      <c r="I5951" s="3" t="s">
        <v>487</v>
      </c>
      <c r="K5951" s="2">
        <v>10</v>
      </c>
      <c r="L5951" s="2">
        <v>2</v>
      </c>
      <c r="M5951" s="3" t="s">
        <v>611</v>
      </c>
      <c r="N5951" s="3" t="s">
        <v>13</v>
      </c>
      <c r="O5951" s="3" t="s">
        <v>14</v>
      </c>
      <c r="Q5951" s="30" t="str">
        <f t="shared" si="92"/>
        <v>MAX : 
TARGET : Yes(Pass)
MIN : No(Fail)</v>
      </c>
    </row>
    <row r="5952" spans="2:18" ht="41.4" x14ac:dyDescent="0.3">
      <c r="B5952">
        <v>1</v>
      </c>
      <c r="C5952" s="33">
        <v>9308</v>
      </c>
      <c r="D5952" s="2">
        <v>2135</v>
      </c>
      <c r="E5952" s="2" t="s">
        <v>13679</v>
      </c>
      <c r="F5952" s="3" t="s">
        <v>14206</v>
      </c>
      <c r="G5952" s="3" t="s">
        <v>5646</v>
      </c>
      <c r="H5952" s="3" t="s">
        <v>5861</v>
      </c>
      <c r="I5952" s="3" t="s">
        <v>487</v>
      </c>
      <c r="K5952" s="2">
        <v>10</v>
      </c>
      <c r="L5952" s="2">
        <v>1</v>
      </c>
      <c r="M5952" s="3" t="s">
        <v>458</v>
      </c>
      <c r="N5952" s="3" t="s">
        <v>462</v>
      </c>
      <c r="O5952" s="3" t="s">
        <v>424</v>
      </c>
      <c r="P5952" s="3" t="s">
        <v>463</v>
      </c>
      <c r="Q5952" s="30" t="str">
        <f t="shared" si="92"/>
        <v>MAX : 0.28
TARGET : 0.25
MIN : 0.22</v>
      </c>
    </row>
    <row r="5953" spans="2:17" ht="41.4" x14ac:dyDescent="0.3">
      <c r="B5953">
        <v>1</v>
      </c>
      <c r="C5953" s="33">
        <v>9309</v>
      </c>
      <c r="D5953" s="2">
        <v>2136</v>
      </c>
      <c r="E5953" s="2" t="s">
        <v>13686</v>
      </c>
      <c r="F5953" s="3" t="s">
        <v>14206</v>
      </c>
      <c r="G5953" s="3" t="s">
        <v>4061</v>
      </c>
      <c r="H5953" s="3" t="s">
        <v>168</v>
      </c>
      <c r="I5953" s="3" t="s">
        <v>487</v>
      </c>
      <c r="K5953" s="2">
        <v>10</v>
      </c>
      <c r="L5953" s="2">
        <v>2</v>
      </c>
      <c r="M5953" s="3" t="s">
        <v>611</v>
      </c>
      <c r="N5953" s="3" t="s">
        <v>13</v>
      </c>
      <c r="O5953" s="3" t="s">
        <v>14</v>
      </c>
      <c r="Q5953" s="30" t="str">
        <f t="shared" si="92"/>
        <v>MAX : 
TARGET : Yes(Pass)
MIN : No(Fail)</v>
      </c>
    </row>
    <row r="5954" spans="2:17" ht="41.4" x14ac:dyDescent="0.3">
      <c r="B5954">
        <v>1</v>
      </c>
      <c r="C5954" s="33">
        <v>9309</v>
      </c>
      <c r="D5954" s="2">
        <v>2136</v>
      </c>
      <c r="E5954" s="2" t="s">
        <v>13686</v>
      </c>
      <c r="F5954" s="3" t="s">
        <v>14206</v>
      </c>
      <c r="G5954" s="3" t="s">
        <v>4061</v>
      </c>
      <c r="H5954" s="3" t="s">
        <v>168</v>
      </c>
      <c r="I5954" s="3" t="s">
        <v>487</v>
      </c>
      <c r="K5954" s="2">
        <v>10</v>
      </c>
      <c r="L5954" s="2">
        <v>1</v>
      </c>
      <c r="M5954" s="3" t="s">
        <v>458</v>
      </c>
      <c r="N5954" s="3" t="s">
        <v>459</v>
      </c>
      <c r="O5954" s="3" t="s">
        <v>406</v>
      </c>
      <c r="P5954" s="3" t="s">
        <v>460</v>
      </c>
      <c r="Q5954" s="30" t="str">
        <f t="shared" ref="Q5954:Q6017" si="93">"MAX : " &amp; P5954 &amp; CHAR(10) &amp; "TARGET : " &amp; O5954 &amp; CHAR(10) &amp; "MIN : " &amp; N5954</f>
        <v>MAX : 2.03
TARGET : 2.00
MIN : 1.97</v>
      </c>
    </row>
    <row r="5955" spans="2:17" ht="41.4" x14ac:dyDescent="0.3">
      <c r="B5955">
        <v>0</v>
      </c>
      <c r="C5955" s="33">
        <v>9333</v>
      </c>
      <c r="D5955" s="2">
        <v>1581</v>
      </c>
      <c r="E5955" s="2" t="s">
        <v>13814</v>
      </c>
      <c r="F5955" s="3" t="s">
        <v>14206</v>
      </c>
      <c r="H5955" s="3" t="s">
        <v>6010</v>
      </c>
      <c r="K5955" s="2">
        <v>10</v>
      </c>
      <c r="L5955" s="2">
        <v>3</v>
      </c>
      <c r="M5955" s="3" t="s">
        <v>2464</v>
      </c>
      <c r="N5955" s="3" t="s">
        <v>13</v>
      </c>
      <c r="O5955" s="3" t="s">
        <v>14</v>
      </c>
      <c r="Q5955" s="30" t="str">
        <f t="shared" si="93"/>
        <v>MAX : 
TARGET : Yes(Pass)
MIN : No(Fail)</v>
      </c>
    </row>
    <row r="5956" spans="2:17" ht="41.4" x14ac:dyDescent="0.3">
      <c r="B5956">
        <v>0</v>
      </c>
      <c r="C5956" s="33">
        <v>9333</v>
      </c>
      <c r="D5956" s="2">
        <v>1581</v>
      </c>
      <c r="E5956" s="2" t="s">
        <v>13814</v>
      </c>
      <c r="F5956" s="3" t="s">
        <v>14206</v>
      </c>
      <c r="H5956" s="3" t="s">
        <v>6010</v>
      </c>
      <c r="K5956" s="2">
        <v>10</v>
      </c>
      <c r="L5956" s="2">
        <v>4</v>
      </c>
      <c r="M5956" s="3" t="s">
        <v>2043</v>
      </c>
      <c r="N5956" s="3" t="s">
        <v>13</v>
      </c>
      <c r="O5956" s="3" t="s">
        <v>14</v>
      </c>
      <c r="Q5956" s="30" t="str">
        <f t="shared" si="93"/>
        <v>MAX : 
TARGET : Yes(Pass)
MIN : No(Fail)</v>
      </c>
    </row>
    <row r="5957" spans="2:17" ht="41.4" x14ac:dyDescent="0.3">
      <c r="B5957">
        <v>0</v>
      </c>
      <c r="C5957" s="33">
        <v>9333</v>
      </c>
      <c r="D5957" s="2">
        <v>1581</v>
      </c>
      <c r="E5957" s="2" t="s">
        <v>13814</v>
      </c>
      <c r="F5957" s="3" t="s">
        <v>14206</v>
      </c>
      <c r="H5957" s="3" t="s">
        <v>6010</v>
      </c>
      <c r="K5957" s="2">
        <v>10</v>
      </c>
      <c r="L5957" s="2">
        <v>5</v>
      </c>
      <c r="M5957" s="3" t="s">
        <v>2465</v>
      </c>
      <c r="N5957" s="3" t="s">
        <v>13</v>
      </c>
      <c r="O5957" s="3" t="s">
        <v>14</v>
      </c>
      <c r="Q5957" s="30" t="str">
        <f t="shared" si="93"/>
        <v>MAX : 
TARGET : Yes(Pass)
MIN : No(Fail)</v>
      </c>
    </row>
    <row r="5958" spans="2:17" ht="41.4" x14ac:dyDescent="0.3">
      <c r="B5958">
        <v>0</v>
      </c>
      <c r="C5958" s="33">
        <v>9333</v>
      </c>
      <c r="D5958" s="2">
        <v>1581</v>
      </c>
      <c r="E5958" s="2" t="s">
        <v>13814</v>
      </c>
      <c r="F5958" s="3" t="s">
        <v>14206</v>
      </c>
      <c r="H5958" s="3" t="s">
        <v>6010</v>
      </c>
      <c r="K5958" s="2">
        <v>20</v>
      </c>
      <c r="L5958" s="2">
        <v>1</v>
      </c>
      <c r="M5958" s="3" t="s">
        <v>2466</v>
      </c>
      <c r="N5958" s="3" t="s">
        <v>13</v>
      </c>
      <c r="O5958" s="3" t="s">
        <v>14</v>
      </c>
      <c r="Q5958" s="30" t="str">
        <f t="shared" si="93"/>
        <v>MAX : 
TARGET : Yes(Pass)
MIN : No(Fail)</v>
      </c>
    </row>
    <row r="5959" spans="2:17" ht="41.4" x14ac:dyDescent="0.3">
      <c r="B5959">
        <v>0</v>
      </c>
      <c r="C5959" s="33">
        <v>9333</v>
      </c>
      <c r="D5959" s="2">
        <v>1581</v>
      </c>
      <c r="E5959" s="2" t="s">
        <v>13814</v>
      </c>
      <c r="F5959" s="3" t="s">
        <v>14206</v>
      </c>
      <c r="H5959" s="3" t="s">
        <v>6010</v>
      </c>
      <c r="K5959" s="2">
        <v>10</v>
      </c>
      <c r="L5959" s="2">
        <v>6</v>
      </c>
      <c r="M5959" s="3" t="s">
        <v>3438</v>
      </c>
      <c r="N5959" s="3" t="s">
        <v>13</v>
      </c>
      <c r="O5959" s="3" t="s">
        <v>14</v>
      </c>
      <c r="Q5959" s="30" t="str">
        <f t="shared" si="93"/>
        <v>MAX : 
TARGET : Yes(Pass)
MIN : No(Fail)</v>
      </c>
    </row>
    <row r="5960" spans="2:17" ht="41.4" x14ac:dyDescent="0.3">
      <c r="B5960">
        <v>1</v>
      </c>
      <c r="C5960" s="33">
        <v>9310</v>
      </c>
      <c r="D5960" s="2">
        <v>2137</v>
      </c>
      <c r="E5960" s="2" t="s">
        <v>13692</v>
      </c>
      <c r="F5960" s="3" t="s">
        <v>14206</v>
      </c>
      <c r="H5960" s="3" t="s">
        <v>5862</v>
      </c>
      <c r="I5960" s="3" t="s">
        <v>487</v>
      </c>
      <c r="K5960" s="2">
        <v>10</v>
      </c>
      <c r="L5960" s="2">
        <v>2</v>
      </c>
      <c r="M5960" s="3" t="s">
        <v>325</v>
      </c>
      <c r="N5960" s="3" t="s">
        <v>13</v>
      </c>
      <c r="O5960" s="3" t="s">
        <v>14</v>
      </c>
      <c r="Q5960" s="30" t="str">
        <f t="shared" si="93"/>
        <v>MAX : 
TARGET : Yes(Pass)
MIN : No(Fail)</v>
      </c>
    </row>
    <row r="5961" spans="2:17" ht="41.4" x14ac:dyDescent="0.3">
      <c r="B5961">
        <v>1</v>
      </c>
      <c r="C5961" s="33">
        <v>9310</v>
      </c>
      <c r="D5961" s="2">
        <v>2137</v>
      </c>
      <c r="E5961" s="2" t="s">
        <v>13692</v>
      </c>
      <c r="F5961" s="3" t="s">
        <v>14206</v>
      </c>
      <c r="H5961" s="3" t="s">
        <v>5862</v>
      </c>
      <c r="I5961" s="3" t="s">
        <v>487</v>
      </c>
      <c r="K5961" s="2">
        <v>10</v>
      </c>
      <c r="L5961" s="2">
        <v>1</v>
      </c>
      <c r="M5961" s="3" t="s">
        <v>5863</v>
      </c>
      <c r="N5961" s="3" t="s">
        <v>5864</v>
      </c>
      <c r="O5961" s="3" t="s">
        <v>8</v>
      </c>
      <c r="P5961" s="3" t="s">
        <v>5865</v>
      </c>
      <c r="Q5961" s="30" t="str">
        <f t="shared" si="93"/>
        <v>MAX : +0.093
TARGET : Target
MIN : -0.093</v>
      </c>
    </row>
    <row r="5962" spans="2:17" ht="41.4" x14ac:dyDescent="0.3">
      <c r="B5962">
        <v>0</v>
      </c>
      <c r="C5962" s="33">
        <v>9332</v>
      </c>
      <c r="D5962" s="2">
        <v>1580</v>
      </c>
      <c r="E5962" s="2" t="s">
        <v>13809</v>
      </c>
      <c r="F5962" s="3" t="s">
        <v>14206</v>
      </c>
      <c r="H5962" s="3" t="s">
        <v>6010</v>
      </c>
      <c r="K5962" s="2">
        <v>10</v>
      </c>
      <c r="L5962" s="2">
        <v>3</v>
      </c>
      <c r="M5962" s="3" t="s">
        <v>2464</v>
      </c>
      <c r="N5962" s="3" t="s">
        <v>13</v>
      </c>
      <c r="O5962" s="3" t="s">
        <v>14</v>
      </c>
      <c r="Q5962" s="30" t="str">
        <f t="shared" si="93"/>
        <v>MAX : 
TARGET : Yes(Pass)
MIN : No(Fail)</v>
      </c>
    </row>
    <row r="5963" spans="2:17" ht="41.4" x14ac:dyDescent="0.3">
      <c r="B5963">
        <v>0</v>
      </c>
      <c r="C5963" s="33">
        <v>9332</v>
      </c>
      <c r="D5963" s="2">
        <v>1580</v>
      </c>
      <c r="E5963" s="2" t="s">
        <v>13809</v>
      </c>
      <c r="F5963" s="3" t="s">
        <v>14206</v>
      </c>
      <c r="H5963" s="3" t="s">
        <v>6010</v>
      </c>
      <c r="K5963" s="2">
        <v>10</v>
      </c>
      <c r="L5963" s="2">
        <v>4</v>
      </c>
      <c r="M5963" s="3" t="s">
        <v>2043</v>
      </c>
      <c r="N5963" s="3" t="s">
        <v>13</v>
      </c>
      <c r="O5963" s="3" t="s">
        <v>14</v>
      </c>
      <c r="Q5963" s="30" t="str">
        <f t="shared" si="93"/>
        <v>MAX : 
TARGET : Yes(Pass)
MIN : No(Fail)</v>
      </c>
    </row>
    <row r="5964" spans="2:17" ht="41.4" x14ac:dyDescent="0.3">
      <c r="B5964">
        <v>0</v>
      </c>
      <c r="C5964" s="33">
        <v>9332</v>
      </c>
      <c r="D5964" s="2">
        <v>1580</v>
      </c>
      <c r="E5964" s="2" t="s">
        <v>13809</v>
      </c>
      <c r="F5964" s="3" t="s">
        <v>14206</v>
      </c>
      <c r="H5964" s="3" t="s">
        <v>6010</v>
      </c>
      <c r="K5964" s="2">
        <v>10</v>
      </c>
      <c r="L5964" s="2">
        <v>5</v>
      </c>
      <c r="M5964" s="3" t="s">
        <v>2465</v>
      </c>
      <c r="N5964" s="3" t="s">
        <v>13</v>
      </c>
      <c r="O5964" s="3" t="s">
        <v>14</v>
      </c>
      <c r="Q5964" s="30" t="str">
        <f t="shared" si="93"/>
        <v>MAX : 
TARGET : Yes(Pass)
MIN : No(Fail)</v>
      </c>
    </row>
    <row r="5965" spans="2:17" ht="41.4" x14ac:dyDescent="0.3">
      <c r="B5965">
        <v>0</v>
      </c>
      <c r="C5965" s="33">
        <v>9332</v>
      </c>
      <c r="D5965" s="2">
        <v>1580</v>
      </c>
      <c r="E5965" s="2" t="s">
        <v>13809</v>
      </c>
      <c r="F5965" s="3" t="s">
        <v>14206</v>
      </c>
      <c r="H5965" s="3" t="s">
        <v>6010</v>
      </c>
      <c r="K5965" s="2">
        <v>20</v>
      </c>
      <c r="L5965" s="2">
        <v>1</v>
      </c>
      <c r="M5965" s="3" t="s">
        <v>2466</v>
      </c>
      <c r="N5965" s="3" t="s">
        <v>13</v>
      </c>
      <c r="O5965" s="3" t="s">
        <v>14</v>
      </c>
      <c r="Q5965" s="30" t="str">
        <f t="shared" si="93"/>
        <v>MAX : 
TARGET : Yes(Pass)
MIN : No(Fail)</v>
      </c>
    </row>
    <row r="5966" spans="2:17" ht="41.4" x14ac:dyDescent="0.3">
      <c r="B5966">
        <v>0</v>
      </c>
      <c r="C5966" s="33">
        <v>9332</v>
      </c>
      <c r="D5966" s="2">
        <v>1580</v>
      </c>
      <c r="E5966" s="2" t="s">
        <v>13809</v>
      </c>
      <c r="F5966" s="3" t="s">
        <v>14206</v>
      </c>
      <c r="H5966" s="3" t="s">
        <v>6010</v>
      </c>
      <c r="K5966" s="2">
        <v>10</v>
      </c>
      <c r="L5966" s="2">
        <v>6</v>
      </c>
      <c r="M5966" s="3" t="s">
        <v>3438</v>
      </c>
      <c r="N5966" s="3" t="s">
        <v>13</v>
      </c>
      <c r="O5966" s="3" t="s">
        <v>14</v>
      </c>
      <c r="Q5966" s="30" t="str">
        <f t="shared" si="93"/>
        <v>MAX : 
TARGET : Yes(Pass)
MIN : No(Fail)</v>
      </c>
    </row>
    <row r="5967" spans="2:17" ht="41.4" x14ac:dyDescent="0.3">
      <c r="B5967">
        <v>1</v>
      </c>
      <c r="C5967" s="33">
        <v>9314</v>
      </c>
      <c r="D5967" s="2">
        <v>1571</v>
      </c>
      <c r="E5967" s="2" t="s">
        <v>13708</v>
      </c>
      <c r="F5967" s="3" t="s">
        <v>14206</v>
      </c>
      <c r="H5967" s="3" t="s">
        <v>504</v>
      </c>
      <c r="K5967" s="2">
        <v>20</v>
      </c>
      <c r="L5967" s="2">
        <v>2</v>
      </c>
      <c r="M5967" s="3" t="s">
        <v>467</v>
      </c>
      <c r="N5967" s="3" t="s">
        <v>405</v>
      </c>
      <c r="O5967" s="3" t="s">
        <v>406</v>
      </c>
      <c r="P5967" s="3" t="s">
        <v>407</v>
      </c>
      <c r="Q5967" s="30" t="str">
        <f t="shared" si="93"/>
        <v>MAX : 2.06
TARGET : 2.00
MIN : 1.94</v>
      </c>
    </row>
    <row r="5968" spans="2:17" ht="41.4" x14ac:dyDescent="0.3">
      <c r="B5968">
        <v>1</v>
      </c>
      <c r="C5968" s="33">
        <v>9314</v>
      </c>
      <c r="D5968" s="2">
        <v>1571</v>
      </c>
      <c r="E5968" s="2" t="s">
        <v>13708</v>
      </c>
      <c r="F5968" s="3" t="s">
        <v>14206</v>
      </c>
      <c r="H5968" s="3" t="s">
        <v>504</v>
      </c>
      <c r="K5968" s="2">
        <v>20</v>
      </c>
      <c r="L5968" s="2">
        <v>1</v>
      </c>
      <c r="M5968" s="3" t="s">
        <v>109</v>
      </c>
      <c r="N5968" s="3" t="s">
        <v>405</v>
      </c>
      <c r="O5968" s="3" t="s">
        <v>406</v>
      </c>
      <c r="P5968" s="3" t="s">
        <v>407</v>
      </c>
      <c r="Q5968" s="30" t="str">
        <f t="shared" si="93"/>
        <v>MAX : 2.06
TARGET : 2.00
MIN : 1.94</v>
      </c>
    </row>
    <row r="5969" spans="2:18" ht="41.4" x14ac:dyDescent="0.3">
      <c r="B5969">
        <v>0</v>
      </c>
      <c r="C5969" s="33">
        <v>9331</v>
      </c>
      <c r="D5969" s="2">
        <v>1579</v>
      </c>
      <c r="E5969" s="2" t="s">
        <v>13802</v>
      </c>
      <c r="F5969" s="3" t="s">
        <v>14206</v>
      </c>
      <c r="H5969" s="3" t="s">
        <v>6010</v>
      </c>
      <c r="K5969" s="2">
        <v>10</v>
      </c>
      <c r="L5969" s="2">
        <v>3</v>
      </c>
      <c r="M5969" s="3" t="s">
        <v>2464</v>
      </c>
      <c r="N5969" s="3" t="s">
        <v>13</v>
      </c>
      <c r="O5969" s="3" t="s">
        <v>14</v>
      </c>
      <c r="Q5969" s="30" t="str">
        <f t="shared" si="93"/>
        <v>MAX : 
TARGET : Yes(Pass)
MIN : No(Fail)</v>
      </c>
    </row>
    <row r="5970" spans="2:18" ht="41.4" x14ac:dyDescent="0.3">
      <c r="B5970">
        <v>0</v>
      </c>
      <c r="C5970" s="33">
        <v>9331</v>
      </c>
      <c r="D5970" s="2">
        <v>1579</v>
      </c>
      <c r="E5970" s="2" t="s">
        <v>13802</v>
      </c>
      <c r="F5970" s="3" t="s">
        <v>14206</v>
      </c>
      <c r="H5970" s="3" t="s">
        <v>6010</v>
      </c>
      <c r="K5970" s="2">
        <v>10</v>
      </c>
      <c r="L5970" s="2">
        <v>4</v>
      </c>
      <c r="M5970" s="3" t="s">
        <v>2043</v>
      </c>
      <c r="N5970" s="3" t="s">
        <v>13</v>
      </c>
      <c r="O5970" s="3" t="s">
        <v>14</v>
      </c>
      <c r="Q5970" s="30" t="str">
        <f t="shared" si="93"/>
        <v>MAX : 
TARGET : Yes(Pass)
MIN : No(Fail)</v>
      </c>
    </row>
    <row r="5971" spans="2:18" ht="41.4" x14ac:dyDescent="0.3">
      <c r="B5971">
        <v>0</v>
      </c>
      <c r="C5971" s="33">
        <v>9331</v>
      </c>
      <c r="D5971" s="2">
        <v>1579</v>
      </c>
      <c r="E5971" s="2" t="s">
        <v>13802</v>
      </c>
      <c r="F5971" s="3" t="s">
        <v>14206</v>
      </c>
      <c r="H5971" s="3" t="s">
        <v>6010</v>
      </c>
      <c r="K5971" s="2">
        <v>10</v>
      </c>
      <c r="L5971" s="2">
        <v>5</v>
      </c>
      <c r="M5971" s="3" t="s">
        <v>2465</v>
      </c>
      <c r="N5971" s="3" t="s">
        <v>13</v>
      </c>
      <c r="O5971" s="3" t="s">
        <v>14</v>
      </c>
      <c r="Q5971" s="30" t="str">
        <f t="shared" si="93"/>
        <v>MAX : 
TARGET : Yes(Pass)
MIN : No(Fail)</v>
      </c>
    </row>
    <row r="5972" spans="2:18" ht="41.4" x14ac:dyDescent="0.3">
      <c r="B5972">
        <v>0</v>
      </c>
      <c r="C5972" s="33">
        <v>9331</v>
      </c>
      <c r="D5972" s="2">
        <v>1579</v>
      </c>
      <c r="E5972" s="2" t="s">
        <v>13802</v>
      </c>
      <c r="F5972" s="3" t="s">
        <v>14206</v>
      </c>
      <c r="H5972" s="3" t="s">
        <v>6010</v>
      </c>
      <c r="K5972" s="2">
        <v>20</v>
      </c>
      <c r="L5972" s="2">
        <v>1</v>
      </c>
      <c r="M5972" s="3" t="s">
        <v>2466</v>
      </c>
      <c r="N5972" s="3" t="s">
        <v>13</v>
      </c>
      <c r="O5972" s="3" t="s">
        <v>14</v>
      </c>
      <c r="Q5972" s="30" t="str">
        <f t="shared" si="93"/>
        <v>MAX : 
TARGET : Yes(Pass)
MIN : No(Fail)</v>
      </c>
    </row>
    <row r="5973" spans="2:18" ht="41.4" x14ac:dyDescent="0.3">
      <c r="B5973">
        <v>0</v>
      </c>
      <c r="C5973" s="33">
        <v>9331</v>
      </c>
      <c r="D5973" s="2">
        <v>1579</v>
      </c>
      <c r="E5973" s="2" t="s">
        <v>13802</v>
      </c>
      <c r="F5973" s="3" t="s">
        <v>14206</v>
      </c>
      <c r="H5973" s="3" t="s">
        <v>6010</v>
      </c>
      <c r="K5973" s="2">
        <v>10</v>
      </c>
      <c r="L5973" s="2">
        <v>6</v>
      </c>
      <c r="M5973" s="3" t="s">
        <v>3438</v>
      </c>
      <c r="N5973" s="3" t="s">
        <v>13</v>
      </c>
      <c r="O5973" s="3" t="s">
        <v>14</v>
      </c>
      <c r="Q5973" s="30" t="str">
        <f t="shared" si="93"/>
        <v>MAX : 
TARGET : Yes(Pass)
MIN : No(Fail)</v>
      </c>
    </row>
    <row r="5974" spans="2:18" ht="41.4" x14ac:dyDescent="0.3">
      <c r="B5974">
        <v>1</v>
      </c>
      <c r="C5974" s="33">
        <v>9315</v>
      </c>
      <c r="D5974" s="2">
        <v>1572</v>
      </c>
      <c r="E5974" s="2" t="s">
        <v>13714</v>
      </c>
      <c r="F5974" s="3" t="s">
        <v>14262</v>
      </c>
      <c r="H5974" s="3" t="s">
        <v>5876</v>
      </c>
      <c r="I5974" s="3" t="s">
        <v>575</v>
      </c>
      <c r="K5974" s="2">
        <v>20</v>
      </c>
      <c r="L5974" s="2">
        <v>2</v>
      </c>
      <c r="M5974" s="3" t="s">
        <v>3314</v>
      </c>
      <c r="N5974" s="3" t="s">
        <v>1011</v>
      </c>
      <c r="O5974" s="3" t="s">
        <v>5170</v>
      </c>
      <c r="P5974" s="3" t="s">
        <v>5880</v>
      </c>
      <c r="Q5974" s="30" t="str">
        <f t="shared" si="93"/>
        <v>MAX : 2.382
TARGET : 2.350
MIN : 2.318</v>
      </c>
      <c r="R5974" s="3" t="s">
        <v>1638</v>
      </c>
    </row>
    <row r="5975" spans="2:18" ht="41.4" x14ac:dyDescent="0.3">
      <c r="B5975">
        <v>1</v>
      </c>
      <c r="C5975" s="33">
        <v>9315</v>
      </c>
      <c r="D5975" s="2">
        <v>1572</v>
      </c>
      <c r="E5975" s="2" t="s">
        <v>13714</v>
      </c>
      <c r="F5975" s="3" t="s">
        <v>14262</v>
      </c>
      <c r="H5975" s="3" t="s">
        <v>5876</v>
      </c>
      <c r="I5975" s="3" t="s">
        <v>575</v>
      </c>
      <c r="K5975" s="2">
        <v>20</v>
      </c>
      <c r="L5975" s="2">
        <v>1</v>
      </c>
      <c r="M5975" s="3" t="s">
        <v>194</v>
      </c>
      <c r="N5975" s="3" t="s">
        <v>5877</v>
      </c>
      <c r="O5975" s="3" t="s">
        <v>5878</v>
      </c>
      <c r="P5975" s="3" t="s">
        <v>5879</v>
      </c>
      <c r="Q5975" s="30" t="str">
        <f t="shared" si="93"/>
        <v>MAX : 3.482
TARGET : 3.450
MIN : 3.418</v>
      </c>
      <c r="R5975" s="3" t="s">
        <v>1638</v>
      </c>
    </row>
    <row r="5976" spans="2:18" ht="41.4" x14ac:dyDescent="0.3">
      <c r="B5976">
        <v>0</v>
      </c>
      <c r="C5976" s="33">
        <v>9337</v>
      </c>
      <c r="D5976" s="2">
        <v>1585</v>
      </c>
      <c r="E5976" s="2" t="s">
        <v>13836</v>
      </c>
      <c r="F5976" s="3" t="s">
        <v>14206</v>
      </c>
      <c r="H5976" s="3" t="s">
        <v>504</v>
      </c>
      <c r="I5976" s="3" t="s">
        <v>487</v>
      </c>
      <c r="K5976" s="2">
        <v>20</v>
      </c>
      <c r="L5976" s="2">
        <v>1</v>
      </c>
      <c r="M5976" s="3" t="s">
        <v>194</v>
      </c>
      <c r="N5976" s="3" t="s">
        <v>6012</v>
      </c>
      <c r="O5976" s="3" t="s">
        <v>6013</v>
      </c>
      <c r="P5976" s="3" t="s">
        <v>6014</v>
      </c>
      <c r="Q5976" s="30" t="str">
        <f t="shared" si="93"/>
        <v>MAX : 1.297
TARGET : 1.267
MIN : 1.237</v>
      </c>
    </row>
    <row r="5977" spans="2:18" ht="41.4" x14ac:dyDescent="0.3">
      <c r="B5977">
        <v>0</v>
      </c>
      <c r="C5977" s="33">
        <v>9337</v>
      </c>
      <c r="D5977" s="2">
        <v>1585</v>
      </c>
      <c r="E5977" s="2" t="s">
        <v>13836</v>
      </c>
      <c r="F5977" s="3" t="s">
        <v>14206</v>
      </c>
      <c r="H5977" s="3" t="s">
        <v>504</v>
      </c>
      <c r="I5977" s="3" t="s">
        <v>487</v>
      </c>
      <c r="K5977" s="2">
        <v>20</v>
      </c>
      <c r="L5977" s="2">
        <v>2</v>
      </c>
      <c r="M5977" s="3" t="s">
        <v>6015</v>
      </c>
      <c r="N5977" s="3" t="s">
        <v>641</v>
      </c>
      <c r="O5977" s="3" t="s">
        <v>101</v>
      </c>
      <c r="P5977" s="3" t="s">
        <v>642</v>
      </c>
      <c r="Q5977" s="30" t="str">
        <f t="shared" si="93"/>
        <v>MAX : 0.655
TARGET : 0.625
MIN : 0.595</v>
      </c>
    </row>
    <row r="5978" spans="2:18" ht="41.4" x14ac:dyDescent="0.3">
      <c r="B5978">
        <v>0</v>
      </c>
      <c r="C5978" s="33">
        <v>9337</v>
      </c>
      <c r="D5978" s="2">
        <v>1585</v>
      </c>
      <c r="E5978" s="2" t="s">
        <v>13836</v>
      </c>
      <c r="F5978" s="3" t="s">
        <v>14206</v>
      </c>
      <c r="H5978" s="3" t="s">
        <v>504</v>
      </c>
      <c r="I5978" s="3" t="s">
        <v>487</v>
      </c>
      <c r="K5978" s="2">
        <v>20</v>
      </c>
      <c r="L5978" s="2">
        <v>3</v>
      </c>
      <c r="M5978" s="3" t="s">
        <v>6016</v>
      </c>
      <c r="N5978" s="3" t="s">
        <v>13</v>
      </c>
      <c r="O5978" s="3" t="s">
        <v>14</v>
      </c>
      <c r="Q5978" s="30" t="str">
        <f t="shared" si="93"/>
        <v>MAX : 
TARGET : Yes(Pass)
MIN : No(Fail)</v>
      </c>
    </row>
    <row r="5979" spans="2:18" ht="41.4" x14ac:dyDescent="0.3">
      <c r="B5979">
        <v>0</v>
      </c>
      <c r="C5979" s="33">
        <v>9337</v>
      </c>
      <c r="D5979" s="2">
        <v>1585</v>
      </c>
      <c r="E5979" s="2" t="s">
        <v>13836</v>
      </c>
      <c r="F5979" s="3" t="s">
        <v>14206</v>
      </c>
      <c r="H5979" s="3" t="s">
        <v>504</v>
      </c>
      <c r="I5979" s="3" t="s">
        <v>487</v>
      </c>
      <c r="K5979" s="2">
        <v>20</v>
      </c>
      <c r="L5979" s="2">
        <v>4</v>
      </c>
      <c r="M5979" s="3" t="s">
        <v>6017</v>
      </c>
      <c r="N5979" s="3" t="s">
        <v>13</v>
      </c>
      <c r="O5979" s="3" t="s">
        <v>14</v>
      </c>
      <c r="Q5979" s="30" t="str">
        <f t="shared" si="93"/>
        <v>MAX : 
TARGET : Yes(Pass)
MIN : No(Fail)</v>
      </c>
    </row>
    <row r="5980" spans="2:18" ht="41.4" x14ac:dyDescent="0.3">
      <c r="B5980">
        <v>1</v>
      </c>
      <c r="C5980" s="33">
        <v>9315</v>
      </c>
      <c r="D5980" s="2">
        <v>1572</v>
      </c>
      <c r="E5980" s="2" t="s">
        <v>13714</v>
      </c>
      <c r="F5980" s="3" t="s">
        <v>14262</v>
      </c>
      <c r="H5980" s="3" t="s">
        <v>5876</v>
      </c>
      <c r="I5980" s="3" t="s">
        <v>575</v>
      </c>
      <c r="K5980" s="2">
        <v>30</v>
      </c>
      <c r="L5980" s="2">
        <v>1</v>
      </c>
      <c r="M5980" s="3" t="s">
        <v>6049</v>
      </c>
      <c r="N5980" s="3" t="s">
        <v>13</v>
      </c>
      <c r="O5980" s="3" t="s">
        <v>14</v>
      </c>
      <c r="Q5980" s="30" t="str">
        <f t="shared" si="93"/>
        <v>MAX : 
TARGET : Yes(Pass)
MIN : No(Fail)</v>
      </c>
      <c r="R5980" s="3" t="s">
        <v>1638</v>
      </c>
    </row>
    <row r="5981" spans="2:18" ht="41.4" x14ac:dyDescent="0.3">
      <c r="B5981">
        <v>1</v>
      </c>
      <c r="C5981" s="33">
        <v>9316</v>
      </c>
      <c r="D5981" s="2">
        <v>1573</v>
      </c>
      <c r="E5981" s="2" t="s">
        <v>13721</v>
      </c>
      <c r="F5981" s="3" t="s">
        <v>14262</v>
      </c>
      <c r="H5981" s="3" t="s">
        <v>5876</v>
      </c>
      <c r="K5981" s="2">
        <v>20</v>
      </c>
      <c r="L5981" s="2">
        <v>2</v>
      </c>
      <c r="M5981" s="3" t="s">
        <v>3314</v>
      </c>
      <c r="N5981" s="3" t="s">
        <v>5889</v>
      </c>
      <c r="O5981" s="3" t="s">
        <v>517</v>
      </c>
      <c r="P5981" s="3" t="s">
        <v>5890</v>
      </c>
      <c r="Q5981" s="30" t="str">
        <f t="shared" si="93"/>
        <v>MAX : 5.282
TARGET : 5.250
MIN : 5.218</v>
      </c>
      <c r="R5981" s="3" t="s">
        <v>1638</v>
      </c>
    </row>
    <row r="5982" spans="2:18" ht="41.4" x14ac:dyDescent="0.3">
      <c r="B5982">
        <v>1</v>
      </c>
      <c r="C5982" s="33">
        <v>9316</v>
      </c>
      <c r="D5982" s="2">
        <v>1573</v>
      </c>
      <c r="E5982" s="2" t="s">
        <v>13721</v>
      </c>
      <c r="F5982" s="3" t="s">
        <v>14262</v>
      </c>
      <c r="H5982" s="3" t="s">
        <v>5876</v>
      </c>
      <c r="K5982" s="2">
        <v>20</v>
      </c>
      <c r="L5982" s="2">
        <v>1</v>
      </c>
      <c r="M5982" s="3" t="s">
        <v>194</v>
      </c>
      <c r="N5982" s="3" t="s">
        <v>5887</v>
      </c>
      <c r="O5982" s="3" t="s">
        <v>3838</v>
      </c>
      <c r="P5982" s="3" t="s">
        <v>5888</v>
      </c>
      <c r="Q5982" s="30" t="str">
        <f t="shared" si="93"/>
        <v>MAX : 6.532
TARGET : 6.500
MIN : 6.468</v>
      </c>
      <c r="R5982" s="3" t="s">
        <v>1638</v>
      </c>
    </row>
    <row r="5983" spans="2:18" ht="41.4" x14ac:dyDescent="0.3">
      <c r="B5983">
        <v>1</v>
      </c>
      <c r="C5983" s="33">
        <v>9316</v>
      </c>
      <c r="D5983" s="2">
        <v>1573</v>
      </c>
      <c r="E5983" s="2" t="s">
        <v>13721</v>
      </c>
      <c r="F5983" s="3" t="s">
        <v>14262</v>
      </c>
      <c r="H5983" s="3" t="s">
        <v>5876</v>
      </c>
      <c r="K5983" s="2">
        <v>30</v>
      </c>
      <c r="L5983" s="2">
        <v>1</v>
      </c>
      <c r="M5983" s="3" t="s">
        <v>6049</v>
      </c>
      <c r="N5983" s="3" t="s">
        <v>13</v>
      </c>
      <c r="O5983" s="3" t="s">
        <v>14</v>
      </c>
      <c r="Q5983" s="30" t="str">
        <f t="shared" si="93"/>
        <v>MAX : 
TARGET : Yes(Pass)
MIN : No(Fail)</v>
      </c>
      <c r="R5983" s="3" t="s">
        <v>1638</v>
      </c>
    </row>
    <row r="5984" spans="2:18" ht="41.4" x14ac:dyDescent="0.3">
      <c r="B5984">
        <v>0</v>
      </c>
      <c r="C5984" s="33">
        <v>9335</v>
      </c>
      <c r="D5984" s="2">
        <v>1583</v>
      </c>
      <c r="E5984" s="2" t="s">
        <v>13825</v>
      </c>
      <c r="F5984" s="3" t="s">
        <v>14206</v>
      </c>
      <c r="H5984" s="3" t="s">
        <v>1949</v>
      </c>
      <c r="K5984" s="2">
        <v>10</v>
      </c>
      <c r="L5984" s="2">
        <v>3</v>
      </c>
      <c r="M5984" s="3" t="s">
        <v>1666</v>
      </c>
      <c r="N5984" s="3" t="s">
        <v>690</v>
      </c>
      <c r="O5984" s="3" t="s">
        <v>691</v>
      </c>
      <c r="P5984" s="3" t="s">
        <v>1732</v>
      </c>
      <c r="Q5984" s="30" t="str">
        <f t="shared" si="93"/>
        <v>MAX : 0.39
TARGET : 0.36
MIN : 0.33</v>
      </c>
    </row>
    <row r="5985" spans="2:18" ht="41.4" x14ac:dyDescent="0.3">
      <c r="B5985">
        <v>0</v>
      </c>
      <c r="C5985" s="33">
        <v>9335</v>
      </c>
      <c r="D5985" s="2">
        <v>1583</v>
      </c>
      <c r="E5985" s="2" t="s">
        <v>13825</v>
      </c>
      <c r="F5985" s="3" t="s">
        <v>14206</v>
      </c>
      <c r="H5985" s="3" t="s">
        <v>1949</v>
      </c>
      <c r="K5985" s="2">
        <v>10</v>
      </c>
      <c r="L5985" s="2">
        <v>6</v>
      </c>
      <c r="M5985" s="3" t="s">
        <v>1749</v>
      </c>
      <c r="N5985" s="3" t="s">
        <v>13</v>
      </c>
      <c r="O5985" s="3" t="s">
        <v>14</v>
      </c>
      <c r="Q5985" s="30" t="str">
        <f t="shared" si="93"/>
        <v>MAX : 
TARGET : Yes(Pass)
MIN : No(Fail)</v>
      </c>
    </row>
    <row r="5986" spans="2:18" ht="41.4" x14ac:dyDescent="0.3">
      <c r="B5986">
        <v>1</v>
      </c>
      <c r="C5986" s="33">
        <v>9319</v>
      </c>
      <c r="D5986" s="2">
        <v>1574</v>
      </c>
      <c r="E5986" s="2" t="s">
        <v>13729</v>
      </c>
      <c r="F5986" s="3" t="s">
        <v>14206</v>
      </c>
      <c r="H5986" s="3" t="s">
        <v>2965</v>
      </c>
      <c r="K5986" s="2">
        <v>10</v>
      </c>
      <c r="L5986" s="2">
        <v>2</v>
      </c>
      <c r="M5986" s="3" t="s">
        <v>5901</v>
      </c>
      <c r="N5986" s="3" t="s">
        <v>578</v>
      </c>
      <c r="O5986" s="3" t="s">
        <v>5949</v>
      </c>
      <c r="P5986" s="3" t="s">
        <v>5950</v>
      </c>
      <c r="Q5986" s="30" t="str">
        <f t="shared" si="93"/>
        <v>MAX : 9.98
TARGET : 9.85
MIN : 9.72</v>
      </c>
      <c r="R5986" s="3" t="s">
        <v>1638</v>
      </c>
    </row>
    <row r="5987" spans="2:18" ht="41.4" x14ac:dyDescent="0.3">
      <c r="B5987">
        <v>1</v>
      </c>
      <c r="C5987" s="33">
        <v>9319</v>
      </c>
      <c r="D5987" s="2">
        <v>1574</v>
      </c>
      <c r="E5987" s="2" t="s">
        <v>13729</v>
      </c>
      <c r="F5987" s="3" t="s">
        <v>14206</v>
      </c>
      <c r="H5987" s="3" t="s">
        <v>2965</v>
      </c>
      <c r="K5987" s="2">
        <v>10</v>
      </c>
      <c r="L5987" s="2">
        <v>1</v>
      </c>
      <c r="M5987" s="3" t="s">
        <v>5899</v>
      </c>
      <c r="N5987" s="3" t="s">
        <v>5947</v>
      </c>
      <c r="O5987" s="3" t="s">
        <v>5948</v>
      </c>
      <c r="P5987" s="3" t="s">
        <v>5159</v>
      </c>
      <c r="Q5987" s="30" t="str">
        <f t="shared" si="93"/>
        <v>MAX : 10.500
TARGET : 10.375
MIN : 10.125</v>
      </c>
      <c r="R5987" s="3" t="s">
        <v>1638</v>
      </c>
    </row>
    <row r="5988" spans="2:18" ht="41.4" x14ac:dyDescent="0.3">
      <c r="B5988">
        <v>0</v>
      </c>
      <c r="C5988" s="33">
        <v>9336</v>
      </c>
      <c r="D5988" s="2">
        <v>1584</v>
      </c>
      <c r="E5988" s="2" t="s">
        <v>13831</v>
      </c>
      <c r="F5988" s="3" t="s">
        <v>14206</v>
      </c>
      <c r="H5988" s="3" t="s">
        <v>1949</v>
      </c>
      <c r="K5988" s="2">
        <v>10</v>
      </c>
      <c r="L5988" s="2">
        <v>3</v>
      </c>
      <c r="M5988" s="3" t="s">
        <v>1666</v>
      </c>
      <c r="N5988" s="3" t="s">
        <v>690</v>
      </c>
      <c r="O5988" s="3" t="s">
        <v>691</v>
      </c>
      <c r="P5988" s="3" t="s">
        <v>1732</v>
      </c>
      <c r="Q5988" s="30" t="str">
        <f t="shared" si="93"/>
        <v>MAX : 0.39
TARGET : 0.36
MIN : 0.33</v>
      </c>
    </row>
    <row r="5989" spans="2:18" ht="41.4" x14ac:dyDescent="0.3">
      <c r="B5989">
        <v>0</v>
      </c>
      <c r="C5989" s="33">
        <v>9336</v>
      </c>
      <c r="D5989" s="2">
        <v>1584</v>
      </c>
      <c r="E5989" s="2" t="s">
        <v>13831</v>
      </c>
      <c r="F5989" s="3" t="s">
        <v>14206</v>
      </c>
      <c r="H5989" s="3" t="s">
        <v>1949</v>
      </c>
      <c r="K5989" s="2">
        <v>10</v>
      </c>
      <c r="L5989" s="2">
        <v>6</v>
      </c>
      <c r="M5989" s="3" t="s">
        <v>1749</v>
      </c>
      <c r="N5989" s="3" t="s">
        <v>13</v>
      </c>
      <c r="O5989" s="3" t="s">
        <v>14</v>
      </c>
      <c r="Q5989" s="30" t="str">
        <f t="shared" si="93"/>
        <v>MAX : 
TARGET : Yes(Pass)
MIN : No(Fail)</v>
      </c>
    </row>
    <row r="5990" spans="2:18" ht="41.4" x14ac:dyDescent="0.3">
      <c r="B5990">
        <v>1</v>
      </c>
      <c r="C5990" s="33">
        <v>9320</v>
      </c>
      <c r="D5990" s="2">
        <v>1575</v>
      </c>
      <c r="E5990" s="2" t="s">
        <v>13735</v>
      </c>
      <c r="F5990" s="3" t="s">
        <v>14206</v>
      </c>
      <c r="H5990" s="3" t="s">
        <v>2965</v>
      </c>
      <c r="K5990" s="2">
        <v>10</v>
      </c>
      <c r="L5990" s="2">
        <v>2</v>
      </c>
      <c r="M5990" s="3" t="s">
        <v>5932</v>
      </c>
      <c r="N5990" s="3" t="s">
        <v>1979</v>
      </c>
      <c r="O5990" s="3" t="s">
        <v>3144</v>
      </c>
      <c r="P5990" s="3" t="s">
        <v>1723</v>
      </c>
      <c r="Q5990" s="30" t="str">
        <f t="shared" si="93"/>
        <v>MAX : 11.63
TARGET : 11.50
MIN : 11.37</v>
      </c>
      <c r="R5990" s="3" t="s">
        <v>1638</v>
      </c>
    </row>
    <row r="5991" spans="2:18" ht="41.4" x14ac:dyDescent="0.3">
      <c r="B5991">
        <v>1</v>
      </c>
      <c r="C5991" s="33">
        <v>9320</v>
      </c>
      <c r="D5991" s="2">
        <v>1575</v>
      </c>
      <c r="E5991" s="2" t="s">
        <v>13735</v>
      </c>
      <c r="F5991" s="3" t="s">
        <v>14206</v>
      </c>
      <c r="H5991" s="3" t="s">
        <v>2965</v>
      </c>
      <c r="K5991" s="2">
        <v>10</v>
      </c>
      <c r="L5991" s="2">
        <v>1</v>
      </c>
      <c r="M5991" s="3" t="s">
        <v>5930</v>
      </c>
      <c r="N5991" s="3" t="s">
        <v>5931</v>
      </c>
      <c r="O5991" s="3" t="s">
        <v>1977</v>
      </c>
      <c r="P5991" s="3" t="s">
        <v>1979</v>
      </c>
      <c r="Q5991" s="30" t="str">
        <f t="shared" si="93"/>
        <v>MAX : 11.37
TARGET : 11.25
MIN : 11.19</v>
      </c>
      <c r="R5991" s="3" t="s">
        <v>1638</v>
      </c>
    </row>
    <row r="5992" spans="2:18" ht="41.4" x14ac:dyDescent="0.3">
      <c r="B5992">
        <v>0</v>
      </c>
      <c r="C5992" s="33">
        <v>9339</v>
      </c>
      <c r="D5992" s="2">
        <v>1586</v>
      </c>
      <c r="E5992" s="2" t="s">
        <v>13842</v>
      </c>
      <c r="F5992" s="3" t="s">
        <v>14237</v>
      </c>
      <c r="H5992" s="3" t="s">
        <v>6019</v>
      </c>
      <c r="K5992" s="2">
        <v>10</v>
      </c>
      <c r="L5992" s="2">
        <v>16</v>
      </c>
      <c r="M5992" s="3" t="s">
        <v>3565</v>
      </c>
      <c r="N5992" s="3" t="s">
        <v>3566</v>
      </c>
      <c r="O5992" s="3" t="s">
        <v>3567</v>
      </c>
      <c r="P5992" s="3" t="s">
        <v>3568</v>
      </c>
      <c r="Q5992" s="30" t="str">
        <f t="shared" si="93"/>
        <v>MAX : 10.260
TARGET : 10.250
MIN : 10.240</v>
      </c>
    </row>
    <row r="5993" spans="2:18" ht="41.4" x14ac:dyDescent="0.3">
      <c r="B5993">
        <v>0</v>
      </c>
      <c r="C5993" s="33">
        <v>9339</v>
      </c>
      <c r="D5993" s="2">
        <v>1586</v>
      </c>
      <c r="E5993" s="2" t="s">
        <v>13842</v>
      </c>
      <c r="F5993" s="3" t="s">
        <v>14237</v>
      </c>
      <c r="H5993" s="3" t="s">
        <v>6019</v>
      </c>
      <c r="K5993" s="2">
        <v>10</v>
      </c>
      <c r="L5993" s="2">
        <v>1</v>
      </c>
      <c r="M5993" s="3" t="s">
        <v>198</v>
      </c>
      <c r="N5993" s="3" t="s">
        <v>3569</v>
      </c>
      <c r="O5993" s="3" t="s">
        <v>3570</v>
      </c>
      <c r="P5993" s="3" t="s">
        <v>3571</v>
      </c>
      <c r="Q5993" s="30" t="str">
        <f t="shared" si="93"/>
        <v>MAX : 10.770
TARGET : 10.750
MIN : 10.730</v>
      </c>
    </row>
    <row r="5994" spans="2:18" ht="41.4" x14ac:dyDescent="0.3">
      <c r="B5994">
        <v>0</v>
      </c>
      <c r="C5994" s="33">
        <v>9339</v>
      </c>
      <c r="D5994" s="2">
        <v>1586</v>
      </c>
      <c r="E5994" s="2" t="s">
        <v>13842</v>
      </c>
      <c r="F5994" s="3" t="s">
        <v>14237</v>
      </c>
      <c r="H5994" s="3" t="s">
        <v>6019</v>
      </c>
      <c r="K5994" s="2">
        <v>10</v>
      </c>
      <c r="L5994" s="2">
        <v>14</v>
      </c>
      <c r="M5994" s="3" t="s">
        <v>3572</v>
      </c>
      <c r="N5994" s="3" t="s">
        <v>3573</v>
      </c>
      <c r="O5994" s="3" t="s">
        <v>3574</v>
      </c>
      <c r="P5994" s="3" t="s">
        <v>3575</v>
      </c>
      <c r="Q5994" s="30" t="str">
        <f t="shared" si="93"/>
        <v>MAX : 8.252
TARGET : 8.247
MIN : 8.242</v>
      </c>
    </row>
    <row r="5995" spans="2:18" ht="41.4" x14ac:dyDescent="0.3">
      <c r="B5995">
        <v>0</v>
      </c>
      <c r="C5995" s="33">
        <v>9339</v>
      </c>
      <c r="D5995" s="2">
        <v>1586</v>
      </c>
      <c r="E5995" s="2" t="s">
        <v>13842</v>
      </c>
      <c r="F5995" s="3" t="s">
        <v>14237</v>
      </c>
      <c r="H5995" s="3" t="s">
        <v>6019</v>
      </c>
      <c r="K5995" s="2">
        <v>10</v>
      </c>
      <c r="L5995" s="2">
        <v>2</v>
      </c>
      <c r="M5995" s="3" t="s">
        <v>3576</v>
      </c>
      <c r="N5995" s="3" t="s">
        <v>3164</v>
      </c>
      <c r="O5995" s="3" t="s">
        <v>3577</v>
      </c>
      <c r="P5995" s="3" t="s">
        <v>3578</v>
      </c>
      <c r="Q5995" s="30" t="str">
        <f t="shared" si="93"/>
        <v>MAX : 1.130
TARGET : 1.110
MIN : 1.090</v>
      </c>
    </row>
    <row r="5996" spans="2:18" ht="41.4" x14ac:dyDescent="0.3">
      <c r="B5996">
        <v>0</v>
      </c>
      <c r="C5996" s="33">
        <v>9339</v>
      </c>
      <c r="D5996" s="2">
        <v>1586</v>
      </c>
      <c r="E5996" s="2" t="s">
        <v>13842</v>
      </c>
      <c r="F5996" s="3" t="s">
        <v>14237</v>
      </c>
      <c r="H5996" s="3" t="s">
        <v>6019</v>
      </c>
      <c r="K5996" s="2">
        <v>10</v>
      </c>
      <c r="L5996" s="2">
        <v>19</v>
      </c>
      <c r="M5996" s="3" t="s">
        <v>3554</v>
      </c>
      <c r="N5996" s="3" t="s">
        <v>3579</v>
      </c>
      <c r="O5996" s="3" t="s">
        <v>3580</v>
      </c>
      <c r="P5996" s="3" t="s">
        <v>3581</v>
      </c>
      <c r="Q5996" s="30" t="str">
        <f t="shared" si="93"/>
        <v>MAX : 0.0115
TARGET : 0.0100
MIN : 0.0085</v>
      </c>
    </row>
    <row r="5997" spans="2:18" ht="41.4" x14ac:dyDescent="0.3">
      <c r="B5997">
        <v>0</v>
      </c>
      <c r="C5997" s="33">
        <v>9339</v>
      </c>
      <c r="D5997" s="2">
        <v>1586</v>
      </c>
      <c r="E5997" s="2" t="s">
        <v>13842</v>
      </c>
      <c r="F5997" s="3" t="s">
        <v>14237</v>
      </c>
      <c r="H5997" s="3" t="s">
        <v>6019</v>
      </c>
      <c r="K5997" s="2">
        <v>10</v>
      </c>
      <c r="L5997" s="2">
        <v>20</v>
      </c>
      <c r="M5997" s="3" t="s">
        <v>3560</v>
      </c>
      <c r="N5997" s="3" t="s">
        <v>13</v>
      </c>
      <c r="O5997" s="3" t="s">
        <v>14</v>
      </c>
      <c r="Q5997" s="30" t="str">
        <f t="shared" si="93"/>
        <v>MAX : 
TARGET : Yes(Pass)
MIN : No(Fail)</v>
      </c>
    </row>
    <row r="5998" spans="2:18" ht="41.4" x14ac:dyDescent="0.3">
      <c r="B5998">
        <v>0</v>
      </c>
      <c r="C5998" s="33">
        <v>9339</v>
      </c>
      <c r="D5998" s="2">
        <v>1586</v>
      </c>
      <c r="E5998" s="2" t="s">
        <v>13842</v>
      </c>
      <c r="F5998" s="3" t="s">
        <v>14237</v>
      </c>
      <c r="H5998" s="3" t="s">
        <v>6019</v>
      </c>
      <c r="K5998" s="2">
        <v>10</v>
      </c>
      <c r="L5998" s="2">
        <v>15</v>
      </c>
      <c r="M5998" s="3" t="s">
        <v>3669</v>
      </c>
      <c r="N5998" s="3" t="s">
        <v>3670</v>
      </c>
      <c r="O5998" s="3" t="s">
        <v>1674</v>
      </c>
      <c r="P5998" s="3" t="s">
        <v>3671</v>
      </c>
      <c r="Q5998" s="30" t="str">
        <f t="shared" si="93"/>
        <v>MAX : 9.76
TARGET : 9.75
MIN : 9.74</v>
      </c>
    </row>
    <row r="5999" spans="2:18" ht="41.4" x14ac:dyDescent="0.3">
      <c r="B5999">
        <v>0</v>
      </c>
      <c r="C5999" s="33">
        <v>9339</v>
      </c>
      <c r="D5999" s="2">
        <v>1586</v>
      </c>
      <c r="E5999" s="2" t="s">
        <v>13842</v>
      </c>
      <c r="F5999" s="3" t="s">
        <v>14237</v>
      </c>
      <c r="H5999" s="3" t="s">
        <v>6019</v>
      </c>
      <c r="K5999" s="2">
        <v>10</v>
      </c>
      <c r="L5999" s="2">
        <v>13</v>
      </c>
      <c r="M5999" s="3" t="s">
        <v>3672</v>
      </c>
      <c r="N5999" s="3" t="s">
        <v>3673</v>
      </c>
      <c r="O5999" s="3" t="s">
        <v>3674</v>
      </c>
      <c r="P5999" s="3" t="s">
        <v>3675</v>
      </c>
      <c r="Q5999" s="30" t="str">
        <f t="shared" si="93"/>
        <v>MAX : 7.502
TARGET : 7.497
MIN : 7.492</v>
      </c>
    </row>
    <row r="6000" spans="2:18" ht="41.4" x14ac:dyDescent="0.3">
      <c r="B6000">
        <v>0</v>
      </c>
      <c r="C6000" s="33">
        <v>9339</v>
      </c>
      <c r="D6000" s="2">
        <v>1586</v>
      </c>
      <c r="E6000" s="2" t="s">
        <v>13842</v>
      </c>
      <c r="F6000" s="3" t="s">
        <v>14237</v>
      </c>
      <c r="H6000" s="3" t="s">
        <v>6019</v>
      </c>
      <c r="K6000" s="2">
        <v>10</v>
      </c>
      <c r="L6000" s="2">
        <v>12</v>
      </c>
      <c r="M6000" s="3" t="s">
        <v>3676</v>
      </c>
      <c r="N6000" s="3" t="s">
        <v>3677</v>
      </c>
      <c r="O6000" s="3" t="s">
        <v>3678</v>
      </c>
      <c r="P6000" s="3" t="s">
        <v>3679</v>
      </c>
      <c r="Q6000" s="30" t="str">
        <f t="shared" si="93"/>
        <v>MAX : 6.752
TARGET : 6.747
MIN : 6.742</v>
      </c>
    </row>
    <row r="6001" spans="2:18" ht="41.4" x14ac:dyDescent="0.3">
      <c r="B6001">
        <v>0</v>
      </c>
      <c r="C6001" s="33">
        <v>9339</v>
      </c>
      <c r="D6001" s="2">
        <v>1586</v>
      </c>
      <c r="E6001" s="2" t="s">
        <v>13842</v>
      </c>
      <c r="F6001" s="3" t="s">
        <v>14237</v>
      </c>
      <c r="H6001" s="3" t="s">
        <v>6019</v>
      </c>
      <c r="K6001" s="2">
        <v>10</v>
      </c>
      <c r="L6001" s="2">
        <v>11</v>
      </c>
      <c r="M6001" s="3" t="s">
        <v>3680</v>
      </c>
      <c r="N6001" s="3" t="s">
        <v>3681</v>
      </c>
      <c r="O6001" s="3" t="s">
        <v>3682</v>
      </c>
      <c r="P6001" s="3" t="s">
        <v>3683</v>
      </c>
      <c r="Q6001" s="30" t="str">
        <f t="shared" si="93"/>
        <v>MAX : 6.002
TARGET : 5.997
MIN : 5.992</v>
      </c>
    </row>
    <row r="6002" spans="2:18" ht="41.4" x14ac:dyDescent="0.3">
      <c r="B6002">
        <v>0</v>
      </c>
      <c r="C6002" s="33">
        <v>9339</v>
      </c>
      <c r="D6002" s="2">
        <v>1586</v>
      </c>
      <c r="E6002" s="2" t="s">
        <v>13842</v>
      </c>
      <c r="F6002" s="3" t="s">
        <v>14237</v>
      </c>
      <c r="H6002" s="3" t="s">
        <v>6019</v>
      </c>
      <c r="K6002" s="2">
        <v>10</v>
      </c>
      <c r="L6002" s="2">
        <v>10</v>
      </c>
      <c r="M6002" s="3" t="s">
        <v>3684</v>
      </c>
      <c r="N6002" s="3" t="s">
        <v>3685</v>
      </c>
      <c r="O6002" s="3" t="s">
        <v>3686</v>
      </c>
      <c r="P6002" s="3" t="s">
        <v>3687</v>
      </c>
      <c r="Q6002" s="30" t="str">
        <f t="shared" si="93"/>
        <v>MAX : 5.252
TARGET : 5.247
MIN : 5.242</v>
      </c>
    </row>
    <row r="6003" spans="2:18" ht="41.4" x14ac:dyDescent="0.3">
      <c r="B6003">
        <v>0</v>
      </c>
      <c r="C6003" s="33">
        <v>9339</v>
      </c>
      <c r="D6003" s="2">
        <v>1586</v>
      </c>
      <c r="E6003" s="2" t="s">
        <v>13842</v>
      </c>
      <c r="F6003" s="3" t="s">
        <v>14237</v>
      </c>
      <c r="H6003" s="3" t="s">
        <v>6019</v>
      </c>
      <c r="K6003" s="2">
        <v>10</v>
      </c>
      <c r="L6003" s="2">
        <v>9</v>
      </c>
      <c r="M6003" s="3" t="s">
        <v>3688</v>
      </c>
      <c r="N6003" s="3" t="s">
        <v>1087</v>
      </c>
      <c r="O6003" s="3" t="s">
        <v>3689</v>
      </c>
      <c r="P6003" s="3" t="s">
        <v>1088</v>
      </c>
      <c r="Q6003" s="30" t="str">
        <f t="shared" si="93"/>
        <v>MAX : 4.502
TARGET : 4.497
MIN : 4.492</v>
      </c>
    </row>
    <row r="6004" spans="2:18" ht="41.4" x14ac:dyDescent="0.3">
      <c r="B6004">
        <v>0</v>
      </c>
      <c r="C6004" s="33">
        <v>9339</v>
      </c>
      <c r="D6004" s="2">
        <v>1586</v>
      </c>
      <c r="E6004" s="2" t="s">
        <v>13842</v>
      </c>
      <c r="F6004" s="3" t="s">
        <v>14237</v>
      </c>
      <c r="H6004" s="3" t="s">
        <v>6019</v>
      </c>
      <c r="K6004" s="2">
        <v>10</v>
      </c>
      <c r="L6004" s="2">
        <v>8</v>
      </c>
      <c r="M6004" s="3" t="s">
        <v>3690</v>
      </c>
      <c r="N6004" s="3" t="s">
        <v>3691</v>
      </c>
      <c r="O6004" s="3" t="s">
        <v>3692</v>
      </c>
      <c r="P6004" s="3" t="s">
        <v>3693</v>
      </c>
      <c r="Q6004" s="30" t="str">
        <f t="shared" si="93"/>
        <v>MAX : 3.752
TARGET : 3.747
MIN : 3.742</v>
      </c>
    </row>
    <row r="6005" spans="2:18" ht="41.4" x14ac:dyDescent="0.3">
      <c r="B6005">
        <v>0</v>
      </c>
      <c r="C6005" s="33">
        <v>9339</v>
      </c>
      <c r="D6005" s="2">
        <v>1586</v>
      </c>
      <c r="E6005" s="2" t="s">
        <v>13842</v>
      </c>
      <c r="F6005" s="3" t="s">
        <v>14237</v>
      </c>
      <c r="H6005" s="3" t="s">
        <v>6019</v>
      </c>
      <c r="K6005" s="2">
        <v>10</v>
      </c>
      <c r="L6005" s="2">
        <v>7</v>
      </c>
      <c r="M6005" s="3" t="s">
        <v>3694</v>
      </c>
      <c r="N6005" s="3" t="s">
        <v>3695</v>
      </c>
      <c r="O6005" s="3" t="s">
        <v>3696</v>
      </c>
      <c r="P6005" s="3" t="s">
        <v>3697</v>
      </c>
      <c r="Q6005" s="30" t="str">
        <f t="shared" si="93"/>
        <v>MAX : 3.002
TARGET : 2.997
MIN : 2.992</v>
      </c>
    </row>
    <row r="6006" spans="2:18" ht="41.4" x14ac:dyDescent="0.3">
      <c r="B6006">
        <v>0</v>
      </c>
      <c r="C6006" s="33">
        <v>9339</v>
      </c>
      <c r="D6006" s="2">
        <v>1586</v>
      </c>
      <c r="E6006" s="2" t="s">
        <v>13842</v>
      </c>
      <c r="F6006" s="3" t="s">
        <v>14237</v>
      </c>
      <c r="H6006" s="3" t="s">
        <v>6019</v>
      </c>
      <c r="K6006" s="2">
        <v>10</v>
      </c>
      <c r="L6006" s="2">
        <v>6</v>
      </c>
      <c r="M6006" s="3" t="s">
        <v>3698</v>
      </c>
      <c r="N6006" s="3" t="s">
        <v>3699</v>
      </c>
      <c r="O6006" s="3" t="s">
        <v>3700</v>
      </c>
      <c r="P6006" s="3" t="s">
        <v>3701</v>
      </c>
      <c r="Q6006" s="30" t="str">
        <f t="shared" si="93"/>
        <v>MAX : 2.252
TARGET : 2.247
MIN : 2.242</v>
      </c>
    </row>
    <row r="6007" spans="2:18" ht="41.4" x14ac:dyDescent="0.3">
      <c r="B6007">
        <v>0</v>
      </c>
      <c r="C6007" s="33">
        <v>9339</v>
      </c>
      <c r="D6007" s="2">
        <v>1586</v>
      </c>
      <c r="E6007" s="2" t="s">
        <v>13842</v>
      </c>
      <c r="F6007" s="3" t="s">
        <v>14237</v>
      </c>
      <c r="H6007" s="3" t="s">
        <v>6019</v>
      </c>
      <c r="K6007" s="2">
        <v>10</v>
      </c>
      <c r="L6007" s="2">
        <v>5</v>
      </c>
      <c r="M6007" s="3" t="s">
        <v>3702</v>
      </c>
      <c r="N6007" s="3" t="s">
        <v>933</v>
      </c>
      <c r="O6007" s="3" t="s">
        <v>3703</v>
      </c>
      <c r="P6007" s="3" t="s">
        <v>3704</v>
      </c>
      <c r="Q6007" s="30" t="str">
        <f t="shared" si="93"/>
        <v>MAX : 1.502
TARGET : 1.497
MIN : 1.492</v>
      </c>
    </row>
    <row r="6008" spans="2:18" ht="41.4" x14ac:dyDescent="0.3">
      <c r="B6008">
        <v>0</v>
      </c>
      <c r="C6008" s="33">
        <v>9339</v>
      </c>
      <c r="D6008" s="2">
        <v>1586</v>
      </c>
      <c r="E6008" s="2" t="s">
        <v>13842</v>
      </c>
      <c r="F6008" s="3" t="s">
        <v>14237</v>
      </c>
      <c r="H6008" s="3" t="s">
        <v>6019</v>
      </c>
      <c r="K6008" s="2">
        <v>10</v>
      </c>
      <c r="L6008" s="2">
        <v>4</v>
      </c>
      <c r="M6008" s="3" t="s">
        <v>3705</v>
      </c>
      <c r="N6008" s="3" t="s">
        <v>3706</v>
      </c>
      <c r="O6008" s="3" t="s">
        <v>3707</v>
      </c>
      <c r="P6008" s="3" t="s">
        <v>3708</v>
      </c>
      <c r="Q6008" s="30" t="str">
        <f t="shared" si="93"/>
        <v>MAX : 0.575
TARGET : 0.555
MIN : 0.535</v>
      </c>
    </row>
    <row r="6009" spans="2:18" ht="41.4" x14ac:dyDescent="0.3">
      <c r="B6009">
        <v>0</v>
      </c>
      <c r="C6009" s="33">
        <v>9339</v>
      </c>
      <c r="D6009" s="2">
        <v>1586</v>
      </c>
      <c r="E6009" s="2" t="s">
        <v>13842</v>
      </c>
      <c r="F6009" s="3" t="s">
        <v>14237</v>
      </c>
      <c r="H6009" s="3" t="s">
        <v>6019</v>
      </c>
      <c r="K6009" s="2">
        <v>10</v>
      </c>
      <c r="L6009" s="2">
        <v>3</v>
      </c>
      <c r="M6009" s="3" t="s">
        <v>3709</v>
      </c>
      <c r="N6009" s="3" t="s">
        <v>1410</v>
      </c>
      <c r="O6009" s="3" t="s">
        <v>2559</v>
      </c>
      <c r="P6009" s="3" t="s">
        <v>3710</v>
      </c>
      <c r="Q6009" s="30" t="str">
        <f t="shared" si="93"/>
        <v>MAX : 0.785
TARGET : 0.755
MIN : 0.725</v>
      </c>
    </row>
    <row r="6010" spans="2:18" ht="41.4" x14ac:dyDescent="0.3">
      <c r="B6010">
        <v>1</v>
      </c>
      <c r="C6010" s="33">
        <v>9321</v>
      </c>
      <c r="D6010" s="2">
        <v>1576</v>
      </c>
      <c r="E6010" s="2" t="s">
        <v>13740</v>
      </c>
      <c r="F6010" s="3" t="s">
        <v>14206</v>
      </c>
      <c r="H6010" s="3" t="s">
        <v>5896</v>
      </c>
      <c r="I6010" s="3" t="s">
        <v>575</v>
      </c>
      <c r="K6010" s="2">
        <v>10</v>
      </c>
      <c r="L6010" s="2">
        <v>2</v>
      </c>
      <c r="M6010" s="3" t="s">
        <v>5899</v>
      </c>
      <c r="N6010" s="3" t="s">
        <v>5900</v>
      </c>
      <c r="O6010" s="3" t="s">
        <v>3061</v>
      </c>
      <c r="P6010" s="3" t="s">
        <v>2981</v>
      </c>
      <c r="Q6010" s="30" t="str">
        <f t="shared" si="93"/>
        <v>MAX : 11.13
TARGET : 11.00
MIN : 10.87</v>
      </c>
      <c r="R6010" s="3" t="s">
        <v>1638</v>
      </c>
    </row>
    <row r="6011" spans="2:18" ht="41.4" x14ac:dyDescent="0.3">
      <c r="B6011">
        <v>1</v>
      </c>
      <c r="C6011" s="33">
        <v>9321</v>
      </c>
      <c r="D6011" s="2">
        <v>1576</v>
      </c>
      <c r="E6011" s="2" t="s">
        <v>13740</v>
      </c>
      <c r="F6011" s="3" t="s">
        <v>14206</v>
      </c>
      <c r="H6011" s="3" t="s">
        <v>5896</v>
      </c>
      <c r="I6011" s="3" t="s">
        <v>575</v>
      </c>
      <c r="K6011" s="2">
        <v>10</v>
      </c>
      <c r="L6011" s="2">
        <v>1</v>
      </c>
      <c r="M6011" s="3" t="s">
        <v>5897</v>
      </c>
      <c r="N6011" s="3" t="s">
        <v>5767</v>
      </c>
      <c r="O6011" s="3" t="s">
        <v>1826</v>
      </c>
      <c r="P6011" s="3" t="s">
        <v>5898</v>
      </c>
      <c r="Q6011" s="30" t="str">
        <f t="shared" si="93"/>
        <v>MAX : 10.69
TARGET : 10.50
MIN : 10.44</v>
      </c>
      <c r="R6011" s="3" t="s">
        <v>1638</v>
      </c>
    </row>
    <row r="6012" spans="2:18" ht="41.4" x14ac:dyDescent="0.3">
      <c r="B6012">
        <v>0</v>
      </c>
      <c r="C6012" s="33">
        <v>9340</v>
      </c>
      <c r="D6012" s="2">
        <v>1587</v>
      </c>
      <c r="E6012" s="2" t="s">
        <v>13849</v>
      </c>
      <c r="F6012" s="3" t="s">
        <v>14237</v>
      </c>
      <c r="H6012" s="3" t="s">
        <v>6020</v>
      </c>
      <c r="K6012" s="2">
        <v>10</v>
      </c>
      <c r="L6012" s="2">
        <v>19</v>
      </c>
      <c r="M6012" s="3" t="s">
        <v>3558</v>
      </c>
      <c r="O6012" s="3" t="s">
        <v>38</v>
      </c>
      <c r="P6012" s="3" t="s">
        <v>3559</v>
      </c>
      <c r="Q6012" s="30" t="str">
        <f t="shared" si="93"/>
        <v xml:space="preserve">MAX : Yes(fail)
TARGET : No(Pass)
MIN : </v>
      </c>
    </row>
    <row r="6013" spans="2:18" ht="41.4" x14ac:dyDescent="0.3">
      <c r="B6013">
        <v>0</v>
      </c>
      <c r="C6013" s="33">
        <v>9340</v>
      </c>
      <c r="D6013" s="2">
        <v>1587</v>
      </c>
      <c r="E6013" s="2" t="s">
        <v>13849</v>
      </c>
      <c r="F6013" s="3" t="s">
        <v>14237</v>
      </c>
      <c r="H6013" s="3" t="s">
        <v>6020</v>
      </c>
      <c r="K6013" s="2">
        <v>10</v>
      </c>
      <c r="L6013" s="2">
        <v>17</v>
      </c>
      <c r="M6013" s="3" t="s">
        <v>3560</v>
      </c>
      <c r="N6013" s="3" t="s">
        <v>13</v>
      </c>
      <c r="O6013" s="3" t="s">
        <v>14</v>
      </c>
      <c r="Q6013" s="30" t="str">
        <f t="shared" si="93"/>
        <v>MAX : 
TARGET : Yes(Pass)
MIN : No(Fail)</v>
      </c>
    </row>
    <row r="6014" spans="2:18" ht="41.4" x14ac:dyDescent="0.3">
      <c r="B6014">
        <v>0</v>
      </c>
      <c r="C6014" s="33">
        <v>9340</v>
      </c>
      <c r="D6014" s="2">
        <v>1587</v>
      </c>
      <c r="E6014" s="2" t="s">
        <v>13849</v>
      </c>
      <c r="F6014" s="3" t="s">
        <v>14237</v>
      </c>
      <c r="H6014" s="3" t="s">
        <v>6020</v>
      </c>
      <c r="K6014" s="2">
        <v>10</v>
      </c>
      <c r="L6014" s="2">
        <v>12</v>
      </c>
      <c r="M6014" s="3" t="s">
        <v>3714</v>
      </c>
      <c r="N6014" s="3" t="s">
        <v>13</v>
      </c>
      <c r="O6014" s="3" t="s">
        <v>14</v>
      </c>
      <c r="Q6014" s="30" t="str">
        <f t="shared" si="93"/>
        <v>MAX : 
TARGET : Yes(Pass)
MIN : No(Fail)</v>
      </c>
    </row>
    <row r="6015" spans="2:18" ht="41.4" x14ac:dyDescent="0.3">
      <c r="B6015">
        <v>0</v>
      </c>
      <c r="C6015" s="33">
        <v>9340</v>
      </c>
      <c r="D6015" s="2">
        <v>1587</v>
      </c>
      <c r="E6015" s="2" t="s">
        <v>13849</v>
      </c>
      <c r="F6015" s="3" t="s">
        <v>14237</v>
      </c>
      <c r="H6015" s="3" t="s">
        <v>6020</v>
      </c>
      <c r="K6015" s="2">
        <v>10</v>
      </c>
      <c r="L6015" s="2">
        <v>11</v>
      </c>
      <c r="M6015" s="3" t="s">
        <v>3715</v>
      </c>
      <c r="N6015" s="3" t="s">
        <v>13</v>
      </c>
      <c r="O6015" s="3" t="s">
        <v>14</v>
      </c>
      <c r="Q6015" s="30" t="str">
        <f t="shared" si="93"/>
        <v>MAX : 
TARGET : Yes(Pass)
MIN : No(Fail)</v>
      </c>
    </row>
    <row r="6016" spans="2:18" ht="41.4" x14ac:dyDescent="0.3">
      <c r="B6016">
        <v>0</v>
      </c>
      <c r="C6016" s="33">
        <v>9340</v>
      </c>
      <c r="D6016" s="2">
        <v>1587</v>
      </c>
      <c r="E6016" s="2" t="s">
        <v>13849</v>
      </c>
      <c r="F6016" s="3" t="s">
        <v>14237</v>
      </c>
      <c r="H6016" s="3" t="s">
        <v>6020</v>
      </c>
      <c r="K6016" s="2">
        <v>10</v>
      </c>
      <c r="L6016" s="2">
        <v>3</v>
      </c>
      <c r="M6016" s="3" t="s">
        <v>198</v>
      </c>
      <c r="N6016" s="3" t="s">
        <v>3716</v>
      </c>
      <c r="O6016" s="3" t="s">
        <v>2551</v>
      </c>
      <c r="P6016" s="3" t="s">
        <v>3717</v>
      </c>
      <c r="Q6016" s="30" t="str">
        <f t="shared" si="93"/>
        <v>MAX : 7.020
TARGET : 7.000
MIN : 6.980</v>
      </c>
    </row>
    <row r="6017" spans="2:17" ht="41.4" x14ac:dyDescent="0.3">
      <c r="B6017">
        <v>0</v>
      </c>
      <c r="C6017" s="33">
        <v>9340</v>
      </c>
      <c r="D6017" s="2">
        <v>1587</v>
      </c>
      <c r="E6017" s="2" t="s">
        <v>13849</v>
      </c>
      <c r="F6017" s="3" t="s">
        <v>14237</v>
      </c>
      <c r="H6017" s="3" t="s">
        <v>6020</v>
      </c>
      <c r="K6017" s="2">
        <v>10</v>
      </c>
      <c r="L6017" s="2">
        <v>10</v>
      </c>
      <c r="M6017" s="3" t="s">
        <v>3576</v>
      </c>
      <c r="N6017" s="3" t="s">
        <v>3164</v>
      </c>
      <c r="O6017" s="3" t="s">
        <v>3577</v>
      </c>
      <c r="P6017" s="3" t="s">
        <v>3578</v>
      </c>
      <c r="Q6017" s="30" t="str">
        <f t="shared" si="93"/>
        <v>MAX : 1.130
TARGET : 1.110
MIN : 1.090</v>
      </c>
    </row>
    <row r="6018" spans="2:17" ht="41.4" x14ac:dyDescent="0.3">
      <c r="B6018">
        <v>0</v>
      </c>
      <c r="C6018" s="33">
        <v>9340</v>
      </c>
      <c r="D6018" s="2">
        <v>1587</v>
      </c>
      <c r="E6018" s="2" t="s">
        <v>13849</v>
      </c>
      <c r="F6018" s="3" t="s">
        <v>14237</v>
      </c>
      <c r="H6018" s="3" t="s">
        <v>6020</v>
      </c>
      <c r="K6018" s="2">
        <v>10</v>
      </c>
      <c r="L6018" s="2">
        <v>4</v>
      </c>
      <c r="M6018" s="3" t="s">
        <v>3718</v>
      </c>
      <c r="N6018" s="3" t="s">
        <v>212</v>
      </c>
      <c r="O6018" s="3" t="s">
        <v>213</v>
      </c>
      <c r="P6018" s="3" t="s">
        <v>214</v>
      </c>
      <c r="Q6018" s="30" t="str">
        <f t="shared" ref="Q6018:Q6081" si="94">"MAX : " &amp; P6018 &amp; CHAR(10) &amp; "TARGET : " &amp; O6018 &amp; CHAR(10) &amp; "MIN : " &amp; N6018</f>
        <v>MAX : 6.005
TARGET : 6.000
MIN : 5.995</v>
      </c>
    </row>
    <row r="6019" spans="2:17" ht="41.4" x14ac:dyDescent="0.3">
      <c r="B6019">
        <v>0</v>
      </c>
      <c r="C6019" s="33">
        <v>9340</v>
      </c>
      <c r="D6019" s="2">
        <v>1587</v>
      </c>
      <c r="E6019" s="2" t="s">
        <v>13849</v>
      </c>
      <c r="F6019" s="3" t="s">
        <v>14237</v>
      </c>
      <c r="H6019" s="3" t="s">
        <v>6020</v>
      </c>
      <c r="K6019" s="2">
        <v>10</v>
      </c>
      <c r="L6019" s="2">
        <v>9</v>
      </c>
      <c r="M6019" s="3" t="s">
        <v>3688</v>
      </c>
      <c r="N6019" s="3" t="s">
        <v>3719</v>
      </c>
      <c r="O6019" s="3" t="s">
        <v>1817</v>
      </c>
      <c r="P6019" s="3" t="s">
        <v>3720</v>
      </c>
      <c r="Q6019" s="30" t="str">
        <f t="shared" si="94"/>
        <v>MAX : 4.505
TARGET : 4.500
MIN : 4.495</v>
      </c>
    </row>
    <row r="6020" spans="2:17" ht="41.4" x14ac:dyDescent="0.3">
      <c r="B6020">
        <v>0</v>
      </c>
      <c r="C6020" s="33">
        <v>9340</v>
      </c>
      <c r="D6020" s="2">
        <v>1587</v>
      </c>
      <c r="E6020" s="2" t="s">
        <v>13849</v>
      </c>
      <c r="F6020" s="3" t="s">
        <v>14237</v>
      </c>
      <c r="H6020" s="3" t="s">
        <v>6020</v>
      </c>
      <c r="K6020" s="2">
        <v>10</v>
      </c>
      <c r="L6020" s="2">
        <v>8</v>
      </c>
      <c r="M6020" s="3" t="s">
        <v>3690</v>
      </c>
      <c r="N6020" s="3" t="s">
        <v>3721</v>
      </c>
      <c r="O6020" s="3" t="s">
        <v>521</v>
      </c>
      <c r="P6020" s="3" t="s">
        <v>3722</v>
      </c>
      <c r="Q6020" s="30" t="str">
        <f t="shared" si="94"/>
        <v>MAX : 3.755
TARGET : 3.750
MIN : 3.745</v>
      </c>
    </row>
    <row r="6021" spans="2:17" ht="41.4" x14ac:dyDescent="0.3">
      <c r="B6021">
        <v>0</v>
      </c>
      <c r="C6021" s="33">
        <v>9340</v>
      </c>
      <c r="D6021" s="2">
        <v>1587</v>
      </c>
      <c r="E6021" s="2" t="s">
        <v>13849</v>
      </c>
      <c r="F6021" s="3" t="s">
        <v>14237</v>
      </c>
      <c r="H6021" s="3" t="s">
        <v>6020</v>
      </c>
      <c r="K6021" s="2">
        <v>10</v>
      </c>
      <c r="L6021" s="2">
        <v>7</v>
      </c>
      <c r="M6021" s="3" t="s">
        <v>3694</v>
      </c>
      <c r="N6021" s="3" t="s">
        <v>3723</v>
      </c>
      <c r="O6021" s="3" t="s">
        <v>1820</v>
      </c>
      <c r="P6021" s="3" t="s">
        <v>3724</v>
      </c>
      <c r="Q6021" s="30" t="str">
        <f t="shared" si="94"/>
        <v>MAX : 3.005
TARGET : 3.000
MIN : 2.995</v>
      </c>
    </row>
    <row r="6022" spans="2:17" ht="41.4" x14ac:dyDescent="0.3">
      <c r="B6022">
        <v>0</v>
      </c>
      <c r="C6022" s="33">
        <v>9340</v>
      </c>
      <c r="D6022" s="2">
        <v>1587</v>
      </c>
      <c r="E6022" s="2" t="s">
        <v>13849</v>
      </c>
      <c r="F6022" s="3" t="s">
        <v>14237</v>
      </c>
      <c r="H6022" s="3" t="s">
        <v>6020</v>
      </c>
      <c r="K6022" s="2">
        <v>10</v>
      </c>
      <c r="L6022" s="2">
        <v>6</v>
      </c>
      <c r="M6022" s="3" t="s">
        <v>3698</v>
      </c>
      <c r="N6022" s="3" t="s">
        <v>3725</v>
      </c>
      <c r="O6022" s="3" t="s">
        <v>1810</v>
      </c>
      <c r="P6022" s="3" t="s">
        <v>3726</v>
      </c>
      <c r="Q6022" s="30" t="str">
        <f t="shared" si="94"/>
        <v>MAX : 2.255
TARGET : 2.250
MIN : 2.245</v>
      </c>
    </row>
    <row r="6023" spans="2:17" ht="41.4" x14ac:dyDescent="0.3">
      <c r="B6023">
        <v>0</v>
      </c>
      <c r="C6023" s="33">
        <v>9340</v>
      </c>
      <c r="D6023" s="2">
        <v>1587</v>
      </c>
      <c r="E6023" s="2" t="s">
        <v>13849</v>
      </c>
      <c r="F6023" s="3" t="s">
        <v>14237</v>
      </c>
      <c r="H6023" s="3" t="s">
        <v>6020</v>
      </c>
      <c r="K6023" s="2">
        <v>10</v>
      </c>
      <c r="L6023" s="2">
        <v>5</v>
      </c>
      <c r="M6023" s="3" t="s">
        <v>3702</v>
      </c>
      <c r="N6023" s="3" t="s">
        <v>3727</v>
      </c>
      <c r="O6023" s="3" t="s">
        <v>836</v>
      </c>
      <c r="P6023" s="3" t="s">
        <v>3728</v>
      </c>
      <c r="Q6023" s="30" t="str">
        <f t="shared" si="94"/>
        <v>MAX : 1.505
TARGET : 1.500
MIN : 1.495</v>
      </c>
    </row>
    <row r="6024" spans="2:17" ht="41.4" x14ac:dyDescent="0.3">
      <c r="B6024">
        <v>0</v>
      </c>
      <c r="C6024" s="33">
        <v>9340</v>
      </c>
      <c r="D6024" s="2">
        <v>1587</v>
      </c>
      <c r="E6024" s="2" t="s">
        <v>13849</v>
      </c>
      <c r="F6024" s="3" t="s">
        <v>14237</v>
      </c>
      <c r="H6024" s="3" t="s">
        <v>6020</v>
      </c>
      <c r="K6024" s="2">
        <v>10</v>
      </c>
      <c r="L6024" s="2">
        <v>1</v>
      </c>
      <c r="M6024" s="3" t="s">
        <v>3729</v>
      </c>
      <c r="N6024" s="3" t="s">
        <v>3730</v>
      </c>
      <c r="O6024" s="3" t="s">
        <v>1407</v>
      </c>
      <c r="P6024" s="3" t="s">
        <v>3731</v>
      </c>
      <c r="Q6024" s="30" t="str">
        <f t="shared" si="94"/>
        <v>MAX : 0.620
TARGET : 0.600
MIN : 0.580</v>
      </c>
    </row>
    <row r="6025" spans="2:17" ht="41.4" x14ac:dyDescent="0.3">
      <c r="B6025">
        <v>0</v>
      </c>
      <c r="C6025" s="33">
        <v>9340</v>
      </c>
      <c r="D6025" s="2">
        <v>1587</v>
      </c>
      <c r="E6025" s="2" t="s">
        <v>13849</v>
      </c>
      <c r="F6025" s="3" t="s">
        <v>14237</v>
      </c>
      <c r="H6025" s="3" t="s">
        <v>6020</v>
      </c>
      <c r="K6025" s="2">
        <v>10</v>
      </c>
      <c r="L6025" s="2">
        <v>2</v>
      </c>
      <c r="M6025" s="3" t="s">
        <v>3732</v>
      </c>
      <c r="N6025" s="3" t="s">
        <v>1410</v>
      </c>
      <c r="O6025" s="3" t="s">
        <v>2559</v>
      </c>
      <c r="P6025" s="3" t="s">
        <v>3710</v>
      </c>
      <c r="Q6025" s="30" t="str">
        <f t="shared" si="94"/>
        <v>MAX : 0.785
TARGET : 0.755
MIN : 0.725</v>
      </c>
    </row>
    <row r="6026" spans="2:17" ht="41.4" x14ac:dyDescent="0.3">
      <c r="B6026">
        <v>0</v>
      </c>
      <c r="C6026" s="33">
        <v>9340</v>
      </c>
      <c r="D6026" s="2">
        <v>1587</v>
      </c>
      <c r="E6026" s="2" t="s">
        <v>13849</v>
      </c>
      <c r="F6026" s="3" t="s">
        <v>14237</v>
      </c>
      <c r="H6026" s="3" t="s">
        <v>6020</v>
      </c>
      <c r="K6026" s="2">
        <v>10</v>
      </c>
      <c r="L6026" s="2">
        <v>14</v>
      </c>
      <c r="M6026" s="3" t="s">
        <v>3736</v>
      </c>
      <c r="N6026" s="3" t="s">
        <v>3737</v>
      </c>
      <c r="O6026" s="3" t="s">
        <v>3166</v>
      </c>
      <c r="P6026" s="3" t="s">
        <v>1734</v>
      </c>
      <c r="Q6026" s="30" t="str">
        <f t="shared" si="94"/>
        <v>MAX : 0.415
TARGET : 0.400
MIN : 0.385</v>
      </c>
    </row>
    <row r="6027" spans="2:17" ht="41.4" x14ac:dyDescent="0.3">
      <c r="B6027">
        <v>0</v>
      </c>
      <c r="C6027" s="33">
        <v>9340</v>
      </c>
      <c r="D6027" s="2">
        <v>1587</v>
      </c>
      <c r="E6027" s="2" t="s">
        <v>13849</v>
      </c>
      <c r="F6027" s="3" t="s">
        <v>14237</v>
      </c>
      <c r="H6027" s="3" t="s">
        <v>6020</v>
      </c>
      <c r="K6027" s="2">
        <v>10</v>
      </c>
      <c r="L6027" s="2">
        <v>15</v>
      </c>
      <c r="M6027" s="3" t="s">
        <v>3738</v>
      </c>
      <c r="N6027" s="3" t="s">
        <v>3739</v>
      </c>
      <c r="O6027" s="3" t="s">
        <v>3740</v>
      </c>
      <c r="P6027" s="3" t="s">
        <v>3124</v>
      </c>
      <c r="Q6027" s="30" t="str">
        <f t="shared" si="94"/>
        <v>MAX : 0.115
TARGET : 0.100
MIN : 0.085</v>
      </c>
    </row>
    <row r="6028" spans="2:17" ht="41.4" x14ac:dyDescent="0.3">
      <c r="B6028">
        <v>0</v>
      </c>
      <c r="C6028" s="33">
        <v>9340</v>
      </c>
      <c r="D6028" s="2">
        <v>1587</v>
      </c>
      <c r="E6028" s="2" t="s">
        <v>13849</v>
      </c>
      <c r="F6028" s="3" t="s">
        <v>14237</v>
      </c>
      <c r="H6028" s="3" t="s">
        <v>6020</v>
      </c>
      <c r="K6028" s="2">
        <v>10</v>
      </c>
      <c r="L6028" s="2">
        <v>13</v>
      </c>
      <c r="M6028" s="3" t="s">
        <v>5167</v>
      </c>
      <c r="N6028" s="3" t="s">
        <v>263</v>
      </c>
      <c r="O6028" s="3" t="s">
        <v>309</v>
      </c>
      <c r="P6028" s="3" t="s">
        <v>475</v>
      </c>
      <c r="Q6028" s="30" t="str">
        <f t="shared" si="94"/>
        <v>MAX : 0.51
TARGET : 0.50
MIN : 0.49</v>
      </c>
    </row>
    <row r="6029" spans="2:17" ht="41.4" x14ac:dyDescent="0.3">
      <c r="B6029">
        <v>1</v>
      </c>
      <c r="C6029" s="33">
        <v>9322</v>
      </c>
      <c r="D6029" s="2">
        <v>2139</v>
      </c>
      <c r="E6029" s="2" t="s">
        <v>13746</v>
      </c>
      <c r="F6029" s="3" t="s">
        <v>14206</v>
      </c>
      <c r="H6029" s="3" t="s">
        <v>5862</v>
      </c>
      <c r="K6029" s="2">
        <v>10</v>
      </c>
      <c r="L6029" s="2">
        <v>2</v>
      </c>
      <c r="M6029" s="3" t="s">
        <v>325</v>
      </c>
      <c r="N6029" s="3" t="s">
        <v>13</v>
      </c>
      <c r="O6029" s="3" t="s">
        <v>14</v>
      </c>
      <c r="Q6029" s="30" t="str">
        <f t="shared" si="94"/>
        <v>MAX : 
TARGET : Yes(Pass)
MIN : No(Fail)</v>
      </c>
    </row>
    <row r="6030" spans="2:17" ht="41.4" x14ac:dyDescent="0.3">
      <c r="B6030">
        <v>1</v>
      </c>
      <c r="C6030" s="33">
        <v>9322</v>
      </c>
      <c r="D6030" s="2">
        <v>2139</v>
      </c>
      <c r="E6030" s="2" t="s">
        <v>13746</v>
      </c>
      <c r="F6030" s="3" t="s">
        <v>14206</v>
      </c>
      <c r="H6030" s="3" t="s">
        <v>5862</v>
      </c>
      <c r="K6030" s="2">
        <v>10</v>
      </c>
      <c r="L6030" s="2">
        <v>1</v>
      </c>
      <c r="M6030" s="3" t="s">
        <v>5863</v>
      </c>
      <c r="N6030" s="3" t="s">
        <v>5977</v>
      </c>
      <c r="O6030" s="3" t="s">
        <v>8</v>
      </c>
      <c r="P6030" s="3" t="s">
        <v>5978</v>
      </c>
      <c r="Q6030" s="30" t="str">
        <f t="shared" si="94"/>
        <v>MAX : +0.06
TARGET : Target
MIN : -0.06</v>
      </c>
    </row>
    <row r="6031" spans="2:17" ht="41.4" x14ac:dyDescent="0.3">
      <c r="B6031">
        <v>1</v>
      </c>
      <c r="C6031" s="33">
        <v>9323</v>
      </c>
      <c r="D6031" s="2">
        <v>2140</v>
      </c>
      <c r="E6031" s="2" t="s">
        <v>13753</v>
      </c>
      <c r="F6031" s="3" t="s">
        <v>14206</v>
      </c>
      <c r="H6031" s="3" t="s">
        <v>11</v>
      </c>
      <c r="K6031" s="2">
        <v>10</v>
      </c>
      <c r="L6031" s="2">
        <v>2</v>
      </c>
      <c r="M6031" s="3" t="s">
        <v>611</v>
      </c>
      <c r="N6031" s="3" t="s">
        <v>13</v>
      </c>
      <c r="O6031" s="3" t="s">
        <v>14</v>
      </c>
      <c r="Q6031" s="30" t="str">
        <f t="shared" si="94"/>
        <v>MAX : 
TARGET : Yes(Pass)
MIN : No(Fail)</v>
      </c>
    </row>
    <row r="6032" spans="2:17" ht="41.4" x14ac:dyDescent="0.3">
      <c r="B6032">
        <v>1</v>
      </c>
      <c r="C6032" s="33">
        <v>9323</v>
      </c>
      <c r="D6032" s="2">
        <v>2140</v>
      </c>
      <c r="E6032" s="2" t="s">
        <v>13753</v>
      </c>
      <c r="F6032" s="3" t="s">
        <v>14206</v>
      </c>
      <c r="H6032" s="3" t="s">
        <v>11</v>
      </c>
      <c r="K6032" s="2">
        <v>10</v>
      </c>
      <c r="L6032" s="2">
        <v>1</v>
      </c>
      <c r="M6032" s="3" t="s">
        <v>99</v>
      </c>
      <c r="N6032" s="3" t="s">
        <v>1504</v>
      </c>
      <c r="O6032" s="3" t="s">
        <v>815</v>
      </c>
      <c r="P6032" s="3" t="s">
        <v>1505</v>
      </c>
      <c r="Q6032" s="30" t="str">
        <f t="shared" si="94"/>
        <v>MAX : 3.06
TARGET : 3.00
MIN : 2.94</v>
      </c>
    </row>
    <row r="6033" spans="2:18" ht="41.4" x14ac:dyDescent="0.3">
      <c r="B6033">
        <v>0</v>
      </c>
      <c r="C6033" s="33">
        <v>9341</v>
      </c>
      <c r="D6033" s="2">
        <v>2146</v>
      </c>
      <c r="E6033" s="2" t="s">
        <v>12756</v>
      </c>
      <c r="F6033" s="3" t="s">
        <v>14207</v>
      </c>
      <c r="H6033" s="3" t="s">
        <v>289</v>
      </c>
      <c r="K6033" s="2">
        <v>20</v>
      </c>
      <c r="L6033" s="2">
        <v>3</v>
      </c>
      <c r="M6033" s="3" t="s">
        <v>6024</v>
      </c>
      <c r="N6033" s="3" t="s">
        <v>1352</v>
      </c>
      <c r="O6033" s="3" t="s">
        <v>1356</v>
      </c>
      <c r="P6033" s="3" t="s">
        <v>1158</v>
      </c>
      <c r="Q6033" s="30" t="str">
        <f t="shared" si="94"/>
        <v>MAX : 11.5
TARGET : 10.0
MIN : 8.5</v>
      </c>
    </row>
    <row r="6034" spans="2:18" ht="41.4" x14ac:dyDescent="0.3">
      <c r="B6034">
        <v>0</v>
      </c>
      <c r="C6034" s="33">
        <v>9341</v>
      </c>
      <c r="D6034" s="2">
        <v>2146</v>
      </c>
      <c r="E6034" s="2" t="s">
        <v>12756</v>
      </c>
      <c r="F6034" s="3" t="s">
        <v>14207</v>
      </c>
      <c r="H6034" s="3" t="s">
        <v>289</v>
      </c>
      <c r="K6034" s="2">
        <v>20</v>
      </c>
      <c r="L6034" s="2">
        <v>4</v>
      </c>
      <c r="M6034" s="3" t="s">
        <v>5098</v>
      </c>
      <c r="N6034" s="3" t="s">
        <v>13</v>
      </c>
      <c r="O6034" s="3" t="s">
        <v>14</v>
      </c>
      <c r="Q6034" s="30" t="str">
        <f t="shared" si="94"/>
        <v>MAX : 
TARGET : Yes(Pass)
MIN : No(Fail)</v>
      </c>
    </row>
    <row r="6035" spans="2:18" ht="41.4" x14ac:dyDescent="0.3">
      <c r="B6035">
        <v>1</v>
      </c>
      <c r="C6035" s="33">
        <v>9324</v>
      </c>
      <c r="D6035" s="2">
        <v>2141</v>
      </c>
      <c r="E6035" s="2" t="s">
        <v>13759</v>
      </c>
      <c r="F6035" s="3" t="s">
        <v>14206</v>
      </c>
      <c r="H6035" s="3" t="s">
        <v>1903</v>
      </c>
      <c r="I6035" s="3" t="s">
        <v>487</v>
      </c>
      <c r="K6035" s="2">
        <v>10</v>
      </c>
      <c r="L6035" s="2">
        <v>2</v>
      </c>
      <c r="M6035" s="3" t="s">
        <v>325</v>
      </c>
      <c r="N6035" s="3" t="s">
        <v>851</v>
      </c>
      <c r="O6035" s="3" t="s">
        <v>14</v>
      </c>
      <c r="Q6035" s="30" t="str">
        <f t="shared" si="94"/>
        <v>MAX : 
TARGET : Yes(Pass)
MIN : No(fail)</v>
      </c>
    </row>
    <row r="6036" spans="2:18" ht="41.4" x14ac:dyDescent="0.3">
      <c r="B6036">
        <v>1</v>
      </c>
      <c r="C6036" s="33">
        <v>9324</v>
      </c>
      <c r="D6036" s="2">
        <v>2141</v>
      </c>
      <c r="E6036" s="2" t="s">
        <v>13759</v>
      </c>
      <c r="F6036" s="3" t="s">
        <v>14206</v>
      </c>
      <c r="H6036" s="3" t="s">
        <v>1903</v>
      </c>
      <c r="I6036" s="3" t="s">
        <v>487</v>
      </c>
      <c r="K6036" s="2">
        <v>10</v>
      </c>
      <c r="L6036" s="2">
        <v>1</v>
      </c>
      <c r="M6036" s="3" t="s">
        <v>5980</v>
      </c>
      <c r="N6036" s="3" t="s">
        <v>767</v>
      </c>
      <c r="O6036" s="3" t="s">
        <v>253</v>
      </c>
      <c r="P6036" s="3" t="s">
        <v>129</v>
      </c>
      <c r="Q6036" s="30" t="str">
        <f t="shared" si="94"/>
        <v>MAX : 4.06
TARGET : 4.00
MIN : 3.94</v>
      </c>
    </row>
    <row r="6037" spans="2:18" ht="41.4" x14ac:dyDescent="0.3">
      <c r="B6037">
        <v>1</v>
      </c>
      <c r="C6037" s="33">
        <v>9325</v>
      </c>
      <c r="D6037" s="2">
        <v>2142</v>
      </c>
      <c r="E6037" s="2" t="s">
        <v>13765</v>
      </c>
      <c r="F6037" s="3" t="s">
        <v>14206</v>
      </c>
      <c r="H6037" s="3" t="s">
        <v>289</v>
      </c>
      <c r="I6037" s="3" t="s">
        <v>487</v>
      </c>
      <c r="K6037" s="2">
        <v>10</v>
      </c>
      <c r="L6037" s="2">
        <v>2</v>
      </c>
      <c r="M6037" s="3" t="s">
        <v>325</v>
      </c>
      <c r="N6037" s="3" t="s">
        <v>851</v>
      </c>
      <c r="O6037" s="3" t="s">
        <v>14</v>
      </c>
      <c r="Q6037" s="30" t="str">
        <f t="shared" si="94"/>
        <v>MAX : 
TARGET : Yes(Pass)
MIN : No(fail)</v>
      </c>
    </row>
    <row r="6038" spans="2:18" ht="41.4" x14ac:dyDescent="0.3">
      <c r="B6038">
        <v>1</v>
      </c>
      <c r="C6038" s="33">
        <v>9325</v>
      </c>
      <c r="D6038" s="2">
        <v>2142</v>
      </c>
      <c r="E6038" s="2" t="s">
        <v>13765</v>
      </c>
      <c r="F6038" s="3" t="s">
        <v>14206</v>
      </c>
      <c r="H6038" s="3" t="s">
        <v>289</v>
      </c>
      <c r="I6038" s="3" t="s">
        <v>487</v>
      </c>
      <c r="K6038" s="2">
        <v>10</v>
      </c>
      <c r="L6038" s="2">
        <v>1</v>
      </c>
      <c r="M6038" s="3" t="s">
        <v>5980</v>
      </c>
      <c r="N6038" s="3" t="s">
        <v>3455</v>
      </c>
      <c r="O6038" s="3" t="s">
        <v>860</v>
      </c>
      <c r="P6038" s="3" t="s">
        <v>3456</v>
      </c>
      <c r="Q6038" s="30" t="str">
        <f t="shared" si="94"/>
        <v>MAX : 18.06
TARGET : 18.00
MIN : 17.94</v>
      </c>
    </row>
    <row r="6039" spans="2:18" ht="41.4" x14ac:dyDescent="0.3">
      <c r="B6039">
        <v>1</v>
      </c>
      <c r="C6039" s="33">
        <v>9326</v>
      </c>
      <c r="D6039" s="2">
        <v>2143</v>
      </c>
      <c r="E6039" s="2" t="s">
        <v>13771</v>
      </c>
      <c r="F6039" s="3" t="s">
        <v>14206</v>
      </c>
      <c r="H6039" s="3" t="s">
        <v>193</v>
      </c>
      <c r="I6039" s="3" t="s">
        <v>487</v>
      </c>
      <c r="K6039" s="2">
        <v>10</v>
      </c>
      <c r="L6039" s="2">
        <v>2</v>
      </c>
      <c r="M6039" s="3" t="s">
        <v>325</v>
      </c>
      <c r="N6039" s="3" t="s">
        <v>13</v>
      </c>
      <c r="O6039" s="3" t="s">
        <v>14</v>
      </c>
      <c r="Q6039" s="30" t="str">
        <f t="shared" si="94"/>
        <v>MAX : 
TARGET : Yes(Pass)
MIN : No(Fail)</v>
      </c>
    </row>
    <row r="6040" spans="2:18" ht="41.4" x14ac:dyDescent="0.3">
      <c r="B6040">
        <v>0</v>
      </c>
      <c r="C6040" s="33">
        <v>9343</v>
      </c>
      <c r="D6040" s="2">
        <v>1589</v>
      </c>
      <c r="E6040" s="2" t="s">
        <v>13866</v>
      </c>
      <c r="F6040" s="3" t="s">
        <v>14206</v>
      </c>
      <c r="H6040" s="3" t="s">
        <v>713</v>
      </c>
      <c r="K6040" s="2">
        <v>20</v>
      </c>
      <c r="L6040" s="2">
        <v>3</v>
      </c>
      <c r="M6040" s="3" t="s">
        <v>6030</v>
      </c>
      <c r="N6040" s="3" t="s">
        <v>3997</v>
      </c>
      <c r="O6040" s="3" t="s">
        <v>1693</v>
      </c>
      <c r="P6040" s="3" t="s">
        <v>1742</v>
      </c>
      <c r="Q6040" s="30" t="str">
        <f t="shared" si="94"/>
        <v>MAX : 0.16
TARGET : 0.14
MIN : 0.12</v>
      </c>
    </row>
    <row r="6041" spans="2:18" ht="41.4" x14ac:dyDescent="0.3">
      <c r="B6041">
        <v>0</v>
      </c>
      <c r="C6041" s="33">
        <v>9343</v>
      </c>
      <c r="D6041" s="2">
        <v>1589</v>
      </c>
      <c r="E6041" s="2" t="s">
        <v>13866</v>
      </c>
      <c r="F6041" s="3" t="s">
        <v>14206</v>
      </c>
      <c r="H6041" s="3" t="s">
        <v>713</v>
      </c>
      <c r="K6041" s="2">
        <v>20</v>
      </c>
      <c r="L6041" s="2">
        <v>4</v>
      </c>
      <c r="M6041" s="3" t="s">
        <v>1605</v>
      </c>
      <c r="N6041" s="3" t="s">
        <v>13</v>
      </c>
      <c r="O6041" s="3" t="s">
        <v>14</v>
      </c>
      <c r="Q6041" s="30" t="str">
        <f t="shared" si="94"/>
        <v>MAX : 
TARGET : Yes(Pass)
MIN : No(Fail)</v>
      </c>
    </row>
    <row r="6042" spans="2:18" ht="41.4" x14ac:dyDescent="0.3">
      <c r="B6042">
        <v>0</v>
      </c>
      <c r="C6042" s="33">
        <v>9343</v>
      </c>
      <c r="D6042" s="2">
        <v>1589</v>
      </c>
      <c r="E6042" s="2" t="s">
        <v>13866</v>
      </c>
      <c r="F6042" s="3" t="s">
        <v>14206</v>
      </c>
      <c r="H6042" s="3" t="s">
        <v>713</v>
      </c>
      <c r="K6042" s="2">
        <v>20</v>
      </c>
      <c r="L6042" s="2">
        <v>5</v>
      </c>
      <c r="M6042" s="3" t="s">
        <v>6031</v>
      </c>
      <c r="N6042" s="3" t="s">
        <v>13</v>
      </c>
      <c r="O6042" s="3" t="s">
        <v>14</v>
      </c>
      <c r="Q6042" s="30" t="str">
        <f t="shared" si="94"/>
        <v>MAX : 
TARGET : Yes(Pass)
MIN : No(Fail)</v>
      </c>
    </row>
    <row r="6043" spans="2:18" ht="41.4" x14ac:dyDescent="0.3">
      <c r="B6043">
        <v>0</v>
      </c>
      <c r="C6043" s="33">
        <v>9343</v>
      </c>
      <c r="D6043" s="2">
        <v>1589</v>
      </c>
      <c r="E6043" s="2" t="s">
        <v>13866</v>
      </c>
      <c r="F6043" s="3" t="s">
        <v>14206</v>
      </c>
      <c r="H6043" s="3" t="s">
        <v>713</v>
      </c>
      <c r="K6043" s="2">
        <v>20</v>
      </c>
      <c r="L6043" s="2">
        <v>6</v>
      </c>
      <c r="M6043" s="3" t="s">
        <v>78</v>
      </c>
      <c r="N6043" s="3" t="s">
        <v>13</v>
      </c>
      <c r="O6043" s="3" t="s">
        <v>14</v>
      </c>
      <c r="Q6043" s="30" t="str">
        <f t="shared" si="94"/>
        <v>MAX : 
TARGET : Yes(Pass)
MIN : No(Fail)</v>
      </c>
    </row>
    <row r="6044" spans="2:18" ht="41.4" x14ac:dyDescent="0.3">
      <c r="B6044">
        <v>1</v>
      </c>
      <c r="C6044" s="33">
        <v>9326</v>
      </c>
      <c r="D6044" s="2">
        <v>2143</v>
      </c>
      <c r="E6044" s="2" t="s">
        <v>13771</v>
      </c>
      <c r="F6044" s="3" t="s">
        <v>14206</v>
      </c>
      <c r="H6044" s="3" t="s">
        <v>193</v>
      </c>
      <c r="I6044" s="3" t="s">
        <v>487</v>
      </c>
      <c r="K6044" s="2">
        <v>10</v>
      </c>
      <c r="L6044" s="2">
        <v>1</v>
      </c>
      <c r="M6044" s="3" t="s">
        <v>99</v>
      </c>
      <c r="N6044" s="3" t="s">
        <v>979</v>
      </c>
      <c r="O6044" s="3" t="s">
        <v>309</v>
      </c>
      <c r="P6044" s="3" t="s">
        <v>1531</v>
      </c>
      <c r="Q6044" s="30" t="str">
        <f t="shared" si="94"/>
        <v>MAX : 0.56
TARGET : 0.50
MIN : 0.44</v>
      </c>
    </row>
    <row r="6045" spans="2:18" ht="41.4" x14ac:dyDescent="0.3">
      <c r="B6045">
        <v>1</v>
      </c>
      <c r="C6045" s="33">
        <v>9328</v>
      </c>
      <c r="D6045" s="2">
        <v>1578</v>
      </c>
      <c r="E6045" s="2" t="s">
        <v>13783</v>
      </c>
      <c r="F6045" s="3" t="s">
        <v>14207</v>
      </c>
      <c r="H6045" s="3" t="s">
        <v>4548</v>
      </c>
      <c r="I6045" s="3" t="s">
        <v>575</v>
      </c>
      <c r="K6045" s="2">
        <v>10</v>
      </c>
      <c r="L6045" s="2">
        <v>2</v>
      </c>
      <c r="M6045" s="3" t="s">
        <v>194</v>
      </c>
      <c r="N6045" s="3" t="s">
        <v>5988</v>
      </c>
      <c r="O6045" s="3" t="s">
        <v>5989</v>
      </c>
      <c r="P6045" s="3" t="s">
        <v>5990</v>
      </c>
      <c r="Q6045" s="30" t="str">
        <f t="shared" si="94"/>
        <v>MAX : 74.3
TARGET : 74.0
MIN : 73.7</v>
      </c>
      <c r="R6045" s="3" t="s">
        <v>4520</v>
      </c>
    </row>
    <row r="6046" spans="2:18" ht="41.4" x14ac:dyDescent="0.3">
      <c r="B6046">
        <v>0</v>
      </c>
      <c r="C6046" s="33">
        <v>9342</v>
      </c>
      <c r="D6046" s="2">
        <v>1588</v>
      </c>
      <c r="E6046" s="2" t="s">
        <v>13859</v>
      </c>
      <c r="F6046" s="3" t="s">
        <v>14207</v>
      </c>
      <c r="H6046" s="3" t="s">
        <v>713</v>
      </c>
      <c r="K6046" s="2">
        <v>20</v>
      </c>
      <c r="L6046" s="2">
        <v>3</v>
      </c>
      <c r="M6046" s="3" t="s">
        <v>3618</v>
      </c>
      <c r="N6046" s="3" t="s">
        <v>4364</v>
      </c>
      <c r="O6046" s="3" t="s">
        <v>4365</v>
      </c>
      <c r="P6046" s="3" t="s">
        <v>4366</v>
      </c>
      <c r="Q6046" s="30" t="str">
        <f t="shared" si="94"/>
        <v>MAX : 6.995
TARGET : 6.865
MIN : 6.735</v>
      </c>
    </row>
    <row r="6047" spans="2:18" ht="41.4" x14ac:dyDescent="0.3">
      <c r="B6047">
        <v>0</v>
      </c>
      <c r="C6047" s="33">
        <v>9342</v>
      </c>
      <c r="D6047" s="2">
        <v>1588</v>
      </c>
      <c r="E6047" s="2" t="s">
        <v>13859</v>
      </c>
      <c r="F6047" s="3" t="s">
        <v>14207</v>
      </c>
      <c r="H6047" s="3" t="s">
        <v>713</v>
      </c>
      <c r="K6047" s="2">
        <v>20</v>
      </c>
      <c r="L6047" s="2">
        <v>4</v>
      </c>
      <c r="M6047" s="3" t="s">
        <v>198</v>
      </c>
      <c r="N6047" s="3" t="s">
        <v>6033</v>
      </c>
      <c r="O6047" s="3" t="s">
        <v>6034</v>
      </c>
      <c r="P6047" s="3" t="s">
        <v>6035</v>
      </c>
      <c r="Q6047" s="30" t="str">
        <f t="shared" si="94"/>
        <v>MAX : 59.62
TARGET : 59.37
MIN : 59.12</v>
      </c>
    </row>
    <row r="6048" spans="2:18" ht="41.4" x14ac:dyDescent="0.3">
      <c r="B6048">
        <v>0</v>
      </c>
      <c r="C6048" s="33">
        <v>9342</v>
      </c>
      <c r="D6048" s="2">
        <v>1588</v>
      </c>
      <c r="E6048" s="2" t="s">
        <v>13859</v>
      </c>
      <c r="F6048" s="3" t="s">
        <v>14207</v>
      </c>
      <c r="H6048" s="3" t="s">
        <v>713</v>
      </c>
      <c r="K6048" s="2">
        <v>20</v>
      </c>
      <c r="L6048" s="2">
        <v>5</v>
      </c>
      <c r="M6048" s="3" t="s">
        <v>569</v>
      </c>
      <c r="N6048" s="3" t="s">
        <v>6036</v>
      </c>
      <c r="O6048" s="3" t="s">
        <v>6037</v>
      </c>
      <c r="P6048" s="3" t="s">
        <v>6038</v>
      </c>
      <c r="Q6048" s="30" t="str">
        <f t="shared" si="94"/>
        <v>MAX : 69.57
TARGET : 69.32
MIN : 69.07</v>
      </c>
    </row>
    <row r="6049" spans="2:18" ht="41.4" x14ac:dyDescent="0.3">
      <c r="B6049">
        <v>0</v>
      </c>
      <c r="C6049" s="33">
        <v>9342</v>
      </c>
      <c r="D6049" s="2">
        <v>1588</v>
      </c>
      <c r="E6049" s="2" t="s">
        <v>13859</v>
      </c>
      <c r="F6049" s="3" t="s">
        <v>14207</v>
      </c>
      <c r="H6049" s="3" t="s">
        <v>713</v>
      </c>
      <c r="K6049" s="2">
        <v>20</v>
      </c>
      <c r="L6049" s="2">
        <v>6</v>
      </c>
      <c r="M6049" s="3" t="s">
        <v>6039</v>
      </c>
      <c r="N6049" s="3" t="s">
        <v>292</v>
      </c>
      <c r="O6049" s="3" t="s">
        <v>184</v>
      </c>
      <c r="P6049" s="3" t="s">
        <v>199</v>
      </c>
      <c r="Q6049" s="30" t="str">
        <f t="shared" si="94"/>
        <v>MAX : 5.25
TARGET : 5.00
MIN : 4.75</v>
      </c>
    </row>
    <row r="6050" spans="2:18" ht="41.4" x14ac:dyDescent="0.3">
      <c r="B6050">
        <v>0</v>
      </c>
      <c r="C6050" s="33">
        <v>9342</v>
      </c>
      <c r="D6050" s="2">
        <v>1588</v>
      </c>
      <c r="E6050" s="2" t="s">
        <v>13859</v>
      </c>
      <c r="F6050" s="3" t="s">
        <v>14207</v>
      </c>
      <c r="H6050" s="3" t="s">
        <v>713</v>
      </c>
      <c r="K6050" s="2">
        <v>20</v>
      </c>
      <c r="L6050" s="2">
        <v>7</v>
      </c>
      <c r="M6050" s="3" t="s">
        <v>78</v>
      </c>
      <c r="N6050" s="3" t="s">
        <v>13</v>
      </c>
      <c r="O6050" s="3" t="s">
        <v>14</v>
      </c>
      <c r="Q6050" s="30" t="str">
        <f t="shared" si="94"/>
        <v>MAX : 
TARGET : Yes(Pass)
MIN : No(Fail)</v>
      </c>
    </row>
    <row r="6051" spans="2:18" ht="41.4" x14ac:dyDescent="0.3">
      <c r="B6051">
        <v>1</v>
      </c>
      <c r="C6051" s="33">
        <v>9328</v>
      </c>
      <c r="D6051" s="2">
        <v>1578</v>
      </c>
      <c r="E6051" s="2" t="s">
        <v>13783</v>
      </c>
      <c r="F6051" s="3" t="s">
        <v>14207</v>
      </c>
      <c r="H6051" s="3" t="s">
        <v>4548</v>
      </c>
      <c r="I6051" s="3" t="s">
        <v>575</v>
      </c>
      <c r="K6051" s="2">
        <v>10</v>
      </c>
      <c r="L6051" s="2">
        <v>1</v>
      </c>
      <c r="M6051" s="3" t="s">
        <v>5984</v>
      </c>
      <c r="N6051" s="3" t="s">
        <v>5985</v>
      </c>
      <c r="O6051" s="3" t="s">
        <v>5986</v>
      </c>
      <c r="P6051" s="3" t="s">
        <v>5987</v>
      </c>
      <c r="Q6051" s="30" t="str">
        <f t="shared" si="94"/>
        <v>MAX : 150.3
TARGET : 150.0
MIN : 149.7</v>
      </c>
      <c r="R6051" s="3" t="s">
        <v>4520</v>
      </c>
    </row>
    <row r="6052" spans="2:18" ht="41.4" x14ac:dyDescent="0.3">
      <c r="B6052">
        <v>1</v>
      </c>
      <c r="C6052" s="33">
        <v>9329</v>
      </c>
      <c r="D6052" s="2">
        <v>2144</v>
      </c>
      <c r="E6052" s="2" t="s">
        <v>13789</v>
      </c>
      <c r="F6052" s="3" t="s">
        <v>14207</v>
      </c>
      <c r="H6052" s="3" t="s">
        <v>5993</v>
      </c>
      <c r="I6052" s="3" t="s">
        <v>575</v>
      </c>
      <c r="K6052" s="2">
        <v>10</v>
      </c>
      <c r="L6052" s="2">
        <v>2</v>
      </c>
      <c r="M6052" s="3" t="s">
        <v>194</v>
      </c>
      <c r="N6052" s="3" t="s">
        <v>5996</v>
      </c>
      <c r="O6052" s="3" t="s">
        <v>5997</v>
      </c>
      <c r="P6052" s="3" t="s">
        <v>5998</v>
      </c>
      <c r="Q6052" s="30" t="str">
        <f t="shared" si="94"/>
        <v>MAX : 81.5
TARGET : 80.5
MIN : 79.5</v>
      </c>
      <c r="R6052" s="3" t="s">
        <v>4520</v>
      </c>
    </row>
    <row r="6053" spans="2:18" ht="41.4" x14ac:dyDescent="0.3">
      <c r="B6053">
        <v>0</v>
      </c>
      <c r="C6053" s="33">
        <v>9344</v>
      </c>
      <c r="D6053" s="2">
        <v>1590</v>
      </c>
      <c r="E6053" s="2" t="s">
        <v>13873</v>
      </c>
      <c r="F6053" s="3" t="s">
        <v>14206</v>
      </c>
      <c r="H6053" s="3" t="s">
        <v>810</v>
      </c>
      <c r="K6053" s="2">
        <v>20</v>
      </c>
      <c r="L6053" s="2">
        <v>3</v>
      </c>
      <c r="M6053" s="3" t="s">
        <v>6044</v>
      </c>
      <c r="N6053" s="3" t="s">
        <v>13</v>
      </c>
      <c r="O6053" s="3" t="s">
        <v>14</v>
      </c>
      <c r="Q6053" s="30" t="str">
        <f t="shared" si="94"/>
        <v>MAX : 
TARGET : Yes(Pass)
MIN : No(Fail)</v>
      </c>
      <c r="R6053" s="3" t="s">
        <v>1638</v>
      </c>
    </row>
    <row r="6054" spans="2:18" ht="41.4" x14ac:dyDescent="0.3">
      <c r="B6054">
        <v>0</v>
      </c>
      <c r="C6054" s="33">
        <v>9344</v>
      </c>
      <c r="D6054" s="2">
        <v>1590</v>
      </c>
      <c r="E6054" s="2" t="s">
        <v>13873</v>
      </c>
      <c r="F6054" s="3" t="s">
        <v>14206</v>
      </c>
      <c r="H6054" s="3" t="s">
        <v>810</v>
      </c>
      <c r="K6054" s="2">
        <v>20</v>
      </c>
      <c r="L6054" s="2">
        <v>4</v>
      </c>
      <c r="M6054" s="3" t="s">
        <v>6045</v>
      </c>
      <c r="N6054" s="3" t="s">
        <v>13</v>
      </c>
      <c r="O6054" s="3" t="s">
        <v>14</v>
      </c>
      <c r="Q6054" s="30" t="str">
        <f t="shared" si="94"/>
        <v>MAX : 
TARGET : Yes(Pass)
MIN : No(Fail)</v>
      </c>
      <c r="R6054" s="3" t="s">
        <v>1638</v>
      </c>
    </row>
    <row r="6055" spans="2:18" ht="41.4" x14ac:dyDescent="0.3">
      <c r="B6055">
        <v>0</v>
      </c>
      <c r="C6055" s="33">
        <v>9344</v>
      </c>
      <c r="D6055" s="2">
        <v>1590</v>
      </c>
      <c r="E6055" s="2" t="s">
        <v>13873</v>
      </c>
      <c r="F6055" s="3" t="s">
        <v>14206</v>
      </c>
      <c r="H6055" s="3" t="s">
        <v>810</v>
      </c>
      <c r="K6055" s="2">
        <v>20</v>
      </c>
      <c r="L6055" s="2">
        <v>5</v>
      </c>
      <c r="M6055" s="3" t="s">
        <v>6046</v>
      </c>
      <c r="N6055" s="3" t="s">
        <v>13</v>
      </c>
      <c r="O6055" s="3" t="s">
        <v>14</v>
      </c>
      <c r="Q6055" s="30" t="str">
        <f t="shared" si="94"/>
        <v>MAX : 
TARGET : Yes(Pass)
MIN : No(Fail)</v>
      </c>
      <c r="R6055" s="3" t="s">
        <v>1638</v>
      </c>
    </row>
    <row r="6056" spans="2:18" ht="41.4" x14ac:dyDescent="0.3">
      <c r="B6056">
        <v>1</v>
      </c>
      <c r="C6056" s="33">
        <v>9329</v>
      </c>
      <c r="D6056" s="2">
        <v>2144</v>
      </c>
      <c r="E6056" s="2" t="s">
        <v>13789</v>
      </c>
      <c r="F6056" s="3" t="s">
        <v>14207</v>
      </c>
      <c r="H6056" s="3" t="s">
        <v>5993</v>
      </c>
      <c r="I6056" s="3" t="s">
        <v>575</v>
      </c>
      <c r="K6056" s="2">
        <v>10</v>
      </c>
      <c r="L6056" s="2">
        <v>1</v>
      </c>
      <c r="M6056" s="3" t="s">
        <v>5994</v>
      </c>
      <c r="N6056" s="3" t="s">
        <v>1563</v>
      </c>
      <c r="O6056" s="3" t="s">
        <v>5995</v>
      </c>
      <c r="P6056" s="3" t="s">
        <v>67</v>
      </c>
      <c r="Q6056" s="30" t="str">
        <f t="shared" si="94"/>
        <v>MAX : 18
TARGET : 17
MIN : 16</v>
      </c>
      <c r="R6056" s="3" t="s">
        <v>4520</v>
      </c>
    </row>
    <row r="6057" spans="2:18" ht="41.4" x14ac:dyDescent="0.3">
      <c r="B6057">
        <v>1</v>
      </c>
      <c r="C6057" s="33">
        <v>9330</v>
      </c>
      <c r="D6057" s="2">
        <v>2145</v>
      </c>
      <c r="E6057" s="2" t="s">
        <v>13796</v>
      </c>
      <c r="F6057" s="3" t="s">
        <v>14206</v>
      </c>
      <c r="H6057" s="3" t="s">
        <v>491</v>
      </c>
      <c r="K6057" s="2">
        <v>10</v>
      </c>
      <c r="L6057" s="2">
        <v>2</v>
      </c>
      <c r="M6057" s="3" t="s">
        <v>2269</v>
      </c>
      <c r="N6057" s="3" t="s">
        <v>13</v>
      </c>
      <c r="O6057" s="3" t="s">
        <v>14</v>
      </c>
      <c r="Q6057" s="30" t="str">
        <f t="shared" si="94"/>
        <v>MAX : 
TARGET : Yes(Pass)
MIN : No(Fail)</v>
      </c>
    </row>
    <row r="6058" spans="2:18" ht="41.4" x14ac:dyDescent="0.3">
      <c r="B6058">
        <v>1</v>
      </c>
      <c r="C6058" s="33">
        <v>9330</v>
      </c>
      <c r="D6058" s="2">
        <v>2145</v>
      </c>
      <c r="E6058" s="2" t="s">
        <v>13796</v>
      </c>
      <c r="F6058" s="3" t="s">
        <v>14206</v>
      </c>
      <c r="H6058" s="3" t="s">
        <v>491</v>
      </c>
      <c r="K6058" s="2">
        <v>10</v>
      </c>
      <c r="L6058" s="2">
        <v>1</v>
      </c>
      <c r="M6058" s="3" t="s">
        <v>458</v>
      </c>
      <c r="N6058" s="3" t="s">
        <v>571</v>
      </c>
      <c r="O6058" s="3" t="s">
        <v>276</v>
      </c>
      <c r="P6058" s="3" t="s">
        <v>572</v>
      </c>
      <c r="Q6058" s="30" t="str">
        <f t="shared" si="94"/>
        <v>MAX : 0.405
TARGET : 0.375
MIN : 0.345</v>
      </c>
    </row>
    <row r="6059" spans="2:18" ht="41.4" x14ac:dyDescent="0.3">
      <c r="B6059">
        <v>1</v>
      </c>
      <c r="C6059" s="33">
        <v>9331</v>
      </c>
      <c r="D6059" s="2">
        <v>1579</v>
      </c>
      <c r="E6059" s="2" t="s">
        <v>13802</v>
      </c>
      <c r="F6059" s="3" t="s">
        <v>14206</v>
      </c>
      <c r="H6059" s="3" t="s">
        <v>6010</v>
      </c>
      <c r="K6059" s="2">
        <v>10</v>
      </c>
      <c r="L6059" s="2">
        <v>2</v>
      </c>
      <c r="M6059" s="3" t="s">
        <v>467</v>
      </c>
      <c r="N6059" s="3" t="s">
        <v>252</v>
      </c>
      <c r="O6059" s="3" t="s">
        <v>253</v>
      </c>
      <c r="P6059" s="3" t="s">
        <v>128</v>
      </c>
      <c r="Q6059" s="30" t="str">
        <f t="shared" si="94"/>
        <v>MAX : 4.03
TARGET : 4.00
MIN : 3.97</v>
      </c>
    </row>
    <row r="6060" spans="2:18" ht="41.4" x14ac:dyDescent="0.3">
      <c r="B6060">
        <v>1</v>
      </c>
      <c r="C6060" s="33">
        <v>9331</v>
      </c>
      <c r="D6060" s="2">
        <v>1579</v>
      </c>
      <c r="E6060" s="2" t="s">
        <v>13802</v>
      </c>
      <c r="F6060" s="3" t="s">
        <v>14206</v>
      </c>
      <c r="H6060" s="3" t="s">
        <v>6010</v>
      </c>
      <c r="K6060" s="2">
        <v>10</v>
      </c>
      <c r="L6060" s="2">
        <v>1</v>
      </c>
      <c r="M6060" s="3" t="s">
        <v>109</v>
      </c>
      <c r="N6060" s="3" t="s">
        <v>2398</v>
      </c>
      <c r="O6060" s="3" t="s">
        <v>2158</v>
      </c>
      <c r="P6060" s="3" t="s">
        <v>6011</v>
      </c>
      <c r="Q6060" s="30" t="str">
        <f t="shared" si="94"/>
        <v>MAX : 6.16
TARGET : 6.13
MIN : 6.10</v>
      </c>
    </row>
    <row r="6061" spans="2:18" ht="41.4" x14ac:dyDescent="0.3">
      <c r="B6061">
        <v>0</v>
      </c>
      <c r="C6061" s="33">
        <v>9319</v>
      </c>
      <c r="D6061" s="2">
        <v>1574</v>
      </c>
      <c r="E6061" s="2" t="s">
        <v>13729</v>
      </c>
      <c r="F6061" s="3" t="s">
        <v>14206</v>
      </c>
      <c r="H6061" s="3" t="s">
        <v>2965</v>
      </c>
      <c r="K6061" s="2">
        <v>20</v>
      </c>
      <c r="L6061" s="2">
        <v>14</v>
      </c>
      <c r="M6061" s="3" t="s">
        <v>6151</v>
      </c>
      <c r="N6061" s="3" t="s">
        <v>5707</v>
      </c>
      <c r="O6061" s="3" t="s">
        <v>241</v>
      </c>
      <c r="P6061" s="3" t="s">
        <v>4994</v>
      </c>
      <c r="Q6061" s="30" t="str">
        <f t="shared" si="94"/>
        <v>MAX : 0.127
TARGET : 0.125
MIN : 0.123</v>
      </c>
      <c r="R6061" s="3" t="s">
        <v>1638</v>
      </c>
    </row>
    <row r="6062" spans="2:18" ht="41.4" x14ac:dyDescent="0.3">
      <c r="B6062">
        <v>1</v>
      </c>
      <c r="C6062" s="33">
        <v>9332</v>
      </c>
      <c r="D6062" s="2">
        <v>1580</v>
      </c>
      <c r="E6062" s="2" t="s">
        <v>13809</v>
      </c>
      <c r="F6062" s="3" t="s">
        <v>14206</v>
      </c>
      <c r="H6062" s="3" t="s">
        <v>6010</v>
      </c>
      <c r="K6062" s="2">
        <v>10</v>
      </c>
      <c r="L6062" s="2">
        <v>2</v>
      </c>
      <c r="M6062" s="3" t="s">
        <v>467</v>
      </c>
      <c r="N6062" s="3" t="s">
        <v>252</v>
      </c>
      <c r="O6062" s="3" t="s">
        <v>253</v>
      </c>
      <c r="P6062" s="3" t="s">
        <v>128</v>
      </c>
      <c r="Q6062" s="30" t="str">
        <f t="shared" si="94"/>
        <v>MAX : 4.03
TARGET : 4.00
MIN : 3.97</v>
      </c>
    </row>
    <row r="6063" spans="2:18" ht="41.4" x14ac:dyDescent="0.3">
      <c r="B6063">
        <v>1</v>
      </c>
      <c r="C6063" s="33">
        <v>9332</v>
      </c>
      <c r="D6063" s="2">
        <v>1580</v>
      </c>
      <c r="E6063" s="2" t="s">
        <v>13809</v>
      </c>
      <c r="F6063" s="3" t="s">
        <v>14206</v>
      </c>
      <c r="H6063" s="3" t="s">
        <v>6010</v>
      </c>
      <c r="K6063" s="2">
        <v>10</v>
      </c>
      <c r="L6063" s="2">
        <v>1</v>
      </c>
      <c r="M6063" s="3" t="s">
        <v>109</v>
      </c>
      <c r="N6063" s="3" t="s">
        <v>2398</v>
      </c>
      <c r="O6063" s="3" t="s">
        <v>2158</v>
      </c>
      <c r="P6063" s="3" t="s">
        <v>6011</v>
      </c>
      <c r="Q6063" s="30" t="str">
        <f t="shared" si="94"/>
        <v>MAX : 6.16
TARGET : 6.13
MIN : 6.10</v>
      </c>
    </row>
    <row r="6064" spans="2:18" ht="41.4" x14ac:dyDescent="0.3">
      <c r="B6064">
        <v>1</v>
      </c>
      <c r="C6064" s="33">
        <v>9333</v>
      </c>
      <c r="D6064" s="2">
        <v>1581</v>
      </c>
      <c r="E6064" s="2" t="s">
        <v>13814</v>
      </c>
      <c r="F6064" s="3" t="s">
        <v>14206</v>
      </c>
      <c r="H6064" s="3" t="s">
        <v>6010</v>
      </c>
      <c r="K6064" s="2">
        <v>10</v>
      </c>
      <c r="L6064" s="2">
        <v>2</v>
      </c>
      <c r="M6064" s="3" t="s">
        <v>467</v>
      </c>
      <c r="N6064" s="3" t="s">
        <v>252</v>
      </c>
      <c r="O6064" s="3" t="s">
        <v>253</v>
      </c>
      <c r="P6064" s="3" t="s">
        <v>128</v>
      </c>
      <c r="Q6064" s="30" t="str">
        <f t="shared" si="94"/>
        <v>MAX : 4.03
TARGET : 4.00
MIN : 3.97</v>
      </c>
    </row>
    <row r="6065" spans="2:17" ht="41.4" x14ac:dyDescent="0.3">
      <c r="B6065">
        <v>1</v>
      </c>
      <c r="C6065" s="33">
        <v>9333</v>
      </c>
      <c r="D6065" s="2">
        <v>1581</v>
      </c>
      <c r="E6065" s="2" t="s">
        <v>13814</v>
      </c>
      <c r="F6065" s="3" t="s">
        <v>14206</v>
      </c>
      <c r="H6065" s="3" t="s">
        <v>6010</v>
      </c>
      <c r="K6065" s="2">
        <v>10</v>
      </c>
      <c r="L6065" s="2">
        <v>1</v>
      </c>
      <c r="M6065" s="3" t="s">
        <v>109</v>
      </c>
      <c r="N6065" s="3" t="s">
        <v>2398</v>
      </c>
      <c r="O6065" s="3" t="s">
        <v>2158</v>
      </c>
      <c r="P6065" s="3" t="s">
        <v>6011</v>
      </c>
      <c r="Q6065" s="30" t="str">
        <f t="shared" si="94"/>
        <v>MAX : 6.16
TARGET : 6.13
MIN : 6.10</v>
      </c>
    </row>
    <row r="6066" spans="2:17" ht="41.4" x14ac:dyDescent="0.3">
      <c r="B6066">
        <v>1</v>
      </c>
      <c r="C6066" s="33">
        <v>9334</v>
      </c>
      <c r="D6066" s="2">
        <v>1582</v>
      </c>
      <c r="E6066" s="2" t="s">
        <v>13820</v>
      </c>
      <c r="F6066" s="3" t="s">
        <v>14207</v>
      </c>
      <c r="H6066" s="3" t="s">
        <v>469</v>
      </c>
      <c r="I6066" s="3" t="s">
        <v>575</v>
      </c>
      <c r="K6066" s="2">
        <v>20</v>
      </c>
      <c r="L6066" s="2">
        <v>2</v>
      </c>
      <c r="M6066" s="3" t="s">
        <v>198</v>
      </c>
      <c r="N6066" s="3" t="s">
        <v>6004</v>
      </c>
      <c r="O6066" s="3" t="s">
        <v>6005</v>
      </c>
      <c r="P6066" s="3" t="s">
        <v>6006</v>
      </c>
      <c r="Q6066" s="30" t="str">
        <f t="shared" si="94"/>
        <v>MAX : 200.25
TARGET : 200.00
MIN : 199.75</v>
      </c>
    </row>
    <row r="6067" spans="2:17" ht="41.4" x14ac:dyDescent="0.3">
      <c r="B6067">
        <v>1</v>
      </c>
      <c r="C6067" s="33">
        <v>9334</v>
      </c>
      <c r="D6067" s="2">
        <v>1582</v>
      </c>
      <c r="E6067" s="2" t="s">
        <v>13820</v>
      </c>
      <c r="F6067" s="3" t="s">
        <v>14207</v>
      </c>
      <c r="H6067" s="3" t="s">
        <v>469</v>
      </c>
      <c r="I6067" s="3" t="s">
        <v>575</v>
      </c>
      <c r="K6067" s="2">
        <v>20</v>
      </c>
      <c r="L6067" s="2">
        <v>1</v>
      </c>
      <c r="M6067" s="3" t="s">
        <v>194</v>
      </c>
      <c r="N6067" s="3" t="s">
        <v>6001</v>
      </c>
      <c r="O6067" s="3" t="s">
        <v>6002</v>
      </c>
      <c r="P6067" s="3" t="s">
        <v>6003</v>
      </c>
      <c r="Q6067" s="30" t="str">
        <f t="shared" si="94"/>
        <v>MAX : 33.25
TARGET : 33.00
MIN : 32.75</v>
      </c>
    </row>
    <row r="6068" spans="2:17" ht="41.4" x14ac:dyDescent="0.3">
      <c r="B6068">
        <v>1</v>
      </c>
      <c r="C6068" s="33">
        <v>9335</v>
      </c>
      <c r="D6068" s="2">
        <v>1583</v>
      </c>
      <c r="E6068" s="2" t="s">
        <v>13825</v>
      </c>
      <c r="F6068" s="3" t="s">
        <v>14206</v>
      </c>
      <c r="H6068" s="3" t="s">
        <v>1949</v>
      </c>
      <c r="K6068" s="2">
        <v>10</v>
      </c>
      <c r="L6068" s="2">
        <v>2</v>
      </c>
      <c r="M6068" s="3" t="s">
        <v>198</v>
      </c>
      <c r="N6068" s="3" t="s">
        <v>340</v>
      </c>
      <c r="O6068" s="3" t="s">
        <v>2367</v>
      </c>
      <c r="P6068" s="3" t="s">
        <v>2243</v>
      </c>
      <c r="Q6068" s="30" t="str">
        <f t="shared" si="94"/>
        <v>MAX : 3.62
TARGET : 3.56
MIN : 3.50</v>
      </c>
    </row>
    <row r="6069" spans="2:17" ht="41.4" x14ac:dyDescent="0.3">
      <c r="B6069">
        <v>1</v>
      </c>
      <c r="C6069" s="33">
        <v>9335</v>
      </c>
      <c r="D6069" s="2">
        <v>1583</v>
      </c>
      <c r="E6069" s="2" t="s">
        <v>13825</v>
      </c>
      <c r="F6069" s="3" t="s">
        <v>14206</v>
      </c>
      <c r="H6069" s="3" t="s">
        <v>1949</v>
      </c>
      <c r="K6069" s="2">
        <v>10</v>
      </c>
      <c r="L6069" s="2">
        <v>5</v>
      </c>
      <c r="M6069" s="3" t="s">
        <v>6053</v>
      </c>
      <c r="N6069" s="3" t="s">
        <v>423</v>
      </c>
      <c r="O6069" s="3" t="s">
        <v>424</v>
      </c>
      <c r="P6069" s="3" t="s">
        <v>425</v>
      </c>
      <c r="Q6069" s="30" t="str">
        <f t="shared" si="94"/>
        <v>MAX : 0.31
TARGET : 0.25
MIN : 0.19</v>
      </c>
    </row>
    <row r="6070" spans="2:17" ht="41.4" x14ac:dyDescent="0.3">
      <c r="B6070">
        <v>1</v>
      </c>
      <c r="C6070" s="33">
        <v>9335</v>
      </c>
      <c r="D6070" s="2">
        <v>1583</v>
      </c>
      <c r="E6070" s="2" t="s">
        <v>13825</v>
      </c>
      <c r="F6070" s="3" t="s">
        <v>14206</v>
      </c>
      <c r="H6070" s="3" t="s">
        <v>1949</v>
      </c>
      <c r="K6070" s="2">
        <v>10</v>
      </c>
      <c r="L6070" s="2">
        <v>1</v>
      </c>
      <c r="M6070" s="3" t="s">
        <v>194</v>
      </c>
      <c r="N6070" s="3" t="s">
        <v>3143</v>
      </c>
      <c r="O6070" s="3" t="s">
        <v>3144</v>
      </c>
      <c r="P6070" s="3" t="s">
        <v>3145</v>
      </c>
      <c r="Q6070" s="30" t="str">
        <f t="shared" si="94"/>
        <v>MAX : 11.56
TARGET : 11.50
MIN : 11.44</v>
      </c>
    </row>
    <row r="6071" spans="2:17" ht="41.4" x14ac:dyDescent="0.3">
      <c r="B6071">
        <v>1</v>
      </c>
      <c r="C6071" s="33">
        <v>9335</v>
      </c>
      <c r="D6071" s="2">
        <v>1583</v>
      </c>
      <c r="E6071" s="2" t="s">
        <v>13825</v>
      </c>
      <c r="F6071" s="3" t="s">
        <v>14206</v>
      </c>
      <c r="H6071" s="3" t="s">
        <v>1949</v>
      </c>
      <c r="K6071" s="2">
        <v>10</v>
      </c>
      <c r="L6071" s="2">
        <v>4</v>
      </c>
      <c r="M6071" s="3" t="s">
        <v>6052</v>
      </c>
      <c r="N6071" s="3" t="s">
        <v>776</v>
      </c>
      <c r="O6071" s="3" t="s">
        <v>2456</v>
      </c>
      <c r="P6071" s="3" t="s">
        <v>1742</v>
      </c>
      <c r="Q6071" s="30" t="str">
        <f t="shared" si="94"/>
        <v>MAX : 0.16
TARGET : 0.10
MIN : 0.04</v>
      </c>
    </row>
    <row r="6072" spans="2:17" ht="41.4" x14ac:dyDescent="0.3">
      <c r="B6072">
        <v>1</v>
      </c>
      <c r="C6072" s="33">
        <v>9336</v>
      </c>
      <c r="D6072" s="2">
        <v>1584</v>
      </c>
      <c r="E6072" s="2" t="s">
        <v>13831</v>
      </c>
      <c r="F6072" s="3" t="s">
        <v>14206</v>
      </c>
      <c r="H6072" s="3" t="s">
        <v>1949</v>
      </c>
      <c r="K6072" s="2">
        <v>10</v>
      </c>
      <c r="L6072" s="2">
        <v>2</v>
      </c>
      <c r="M6072" s="3" t="s">
        <v>198</v>
      </c>
      <c r="N6072" s="3" t="s">
        <v>5854</v>
      </c>
      <c r="O6072" s="3" t="s">
        <v>2686</v>
      </c>
      <c r="P6072" s="3" t="s">
        <v>703</v>
      </c>
      <c r="Q6072" s="30" t="str">
        <f t="shared" si="94"/>
        <v>MAX : 4.50
TARGET : 4.44
MIN : 4.38</v>
      </c>
    </row>
    <row r="6073" spans="2:17" ht="41.4" x14ac:dyDescent="0.3">
      <c r="B6073">
        <v>1</v>
      </c>
      <c r="C6073" s="33">
        <v>9336</v>
      </c>
      <c r="D6073" s="2">
        <v>1584</v>
      </c>
      <c r="E6073" s="2" t="s">
        <v>13831</v>
      </c>
      <c r="F6073" s="3" t="s">
        <v>14206</v>
      </c>
      <c r="H6073" s="3" t="s">
        <v>1949</v>
      </c>
      <c r="K6073" s="2">
        <v>10</v>
      </c>
      <c r="L6073" s="2">
        <v>5</v>
      </c>
      <c r="M6073" s="3" t="s">
        <v>6051</v>
      </c>
      <c r="N6073" s="3" t="s">
        <v>423</v>
      </c>
      <c r="O6073" s="3" t="s">
        <v>424</v>
      </c>
      <c r="P6073" s="3" t="s">
        <v>425</v>
      </c>
      <c r="Q6073" s="30" t="str">
        <f t="shared" si="94"/>
        <v>MAX : 0.31
TARGET : 0.25
MIN : 0.19</v>
      </c>
    </row>
    <row r="6074" spans="2:17" ht="41.4" x14ac:dyDescent="0.3">
      <c r="B6074">
        <v>1</v>
      </c>
      <c r="C6074" s="33">
        <v>9336</v>
      </c>
      <c r="D6074" s="2">
        <v>1584</v>
      </c>
      <c r="E6074" s="2" t="s">
        <v>13831</v>
      </c>
      <c r="F6074" s="3" t="s">
        <v>14206</v>
      </c>
      <c r="H6074" s="3" t="s">
        <v>1949</v>
      </c>
      <c r="K6074" s="2">
        <v>10</v>
      </c>
      <c r="L6074" s="2">
        <v>1</v>
      </c>
      <c r="M6074" s="3" t="s">
        <v>194</v>
      </c>
      <c r="N6074" s="3" t="s">
        <v>3143</v>
      </c>
      <c r="O6074" s="3" t="s">
        <v>3144</v>
      </c>
      <c r="P6074" s="3" t="s">
        <v>3145</v>
      </c>
      <c r="Q6074" s="30" t="str">
        <f t="shared" si="94"/>
        <v>MAX : 11.56
TARGET : 11.50
MIN : 11.44</v>
      </c>
    </row>
    <row r="6075" spans="2:17" ht="41.4" x14ac:dyDescent="0.3">
      <c r="B6075">
        <v>1</v>
      </c>
      <c r="C6075" s="33">
        <v>9336</v>
      </c>
      <c r="D6075" s="2">
        <v>1584</v>
      </c>
      <c r="E6075" s="2" t="s">
        <v>13831</v>
      </c>
      <c r="F6075" s="3" t="s">
        <v>14206</v>
      </c>
      <c r="H6075" s="3" t="s">
        <v>1949</v>
      </c>
      <c r="K6075" s="2">
        <v>10</v>
      </c>
      <c r="L6075" s="2">
        <v>4</v>
      </c>
      <c r="M6075" s="3" t="s">
        <v>6050</v>
      </c>
      <c r="N6075" s="3" t="s">
        <v>437</v>
      </c>
      <c r="O6075" s="3" t="s">
        <v>4771</v>
      </c>
      <c r="P6075" s="3" t="s">
        <v>246</v>
      </c>
      <c r="Q6075" s="30" t="str">
        <f t="shared" si="94"/>
        <v>MAX : 0.35
TARGET : 0.29
MIN : 0.23</v>
      </c>
    </row>
    <row r="6076" spans="2:17" ht="41.4" x14ac:dyDescent="0.3">
      <c r="B6076">
        <v>1</v>
      </c>
      <c r="C6076" s="33">
        <v>9337</v>
      </c>
      <c r="D6076" s="2">
        <v>1585</v>
      </c>
      <c r="E6076" s="2" t="s">
        <v>13836</v>
      </c>
      <c r="F6076" s="3" t="s">
        <v>14206</v>
      </c>
      <c r="H6076" s="3" t="s">
        <v>504</v>
      </c>
      <c r="I6076" s="3" t="s">
        <v>487</v>
      </c>
      <c r="K6076" s="2">
        <v>10</v>
      </c>
      <c r="L6076" s="2">
        <v>2</v>
      </c>
      <c r="M6076" s="3" t="s">
        <v>325</v>
      </c>
      <c r="N6076" s="3" t="s">
        <v>13</v>
      </c>
      <c r="O6076" s="3" t="s">
        <v>14</v>
      </c>
      <c r="Q6076" s="30" t="str">
        <f t="shared" si="94"/>
        <v>MAX : 
TARGET : Yes(Pass)
MIN : No(Fail)</v>
      </c>
    </row>
    <row r="6077" spans="2:17" ht="41.4" x14ac:dyDescent="0.3">
      <c r="B6077">
        <v>1</v>
      </c>
      <c r="C6077" s="33">
        <v>9337</v>
      </c>
      <c r="D6077" s="2">
        <v>1585</v>
      </c>
      <c r="E6077" s="2" t="s">
        <v>13836</v>
      </c>
      <c r="F6077" s="3" t="s">
        <v>14206</v>
      </c>
      <c r="H6077" s="3" t="s">
        <v>504</v>
      </c>
      <c r="I6077" s="3" t="s">
        <v>487</v>
      </c>
      <c r="K6077" s="2">
        <v>10</v>
      </c>
      <c r="L6077" s="2">
        <v>1</v>
      </c>
      <c r="M6077" s="3" t="s">
        <v>4558</v>
      </c>
      <c r="N6077" s="3" t="s">
        <v>1185</v>
      </c>
      <c r="O6077" s="3" t="s">
        <v>4893</v>
      </c>
      <c r="P6077" s="3" t="s">
        <v>1627</v>
      </c>
      <c r="Q6077" s="30" t="str">
        <f t="shared" si="94"/>
        <v>MAX : 2.95
TARGET : 2.85
MIN : 2.75</v>
      </c>
    </row>
    <row r="6078" spans="2:17" ht="41.4" x14ac:dyDescent="0.3">
      <c r="B6078">
        <v>0</v>
      </c>
      <c r="C6078" s="33">
        <v>9348</v>
      </c>
      <c r="D6078" s="2">
        <v>1594</v>
      </c>
      <c r="E6078" s="2" t="s">
        <v>13899</v>
      </c>
      <c r="F6078" s="3" t="s">
        <v>14207</v>
      </c>
      <c r="H6078" s="3" t="s">
        <v>648</v>
      </c>
      <c r="K6078" s="2">
        <v>20</v>
      </c>
      <c r="L6078" s="2">
        <v>3</v>
      </c>
      <c r="M6078" s="3" t="s">
        <v>1607</v>
      </c>
      <c r="N6078" s="3" t="s">
        <v>13</v>
      </c>
      <c r="O6078" s="3" t="s">
        <v>14</v>
      </c>
      <c r="Q6078" s="30" t="str">
        <f t="shared" si="94"/>
        <v>MAX : 
TARGET : Yes(Pass)
MIN : No(Fail)</v>
      </c>
    </row>
    <row r="6079" spans="2:17" ht="41.4" x14ac:dyDescent="0.3">
      <c r="B6079">
        <v>1</v>
      </c>
      <c r="C6079" s="33">
        <v>9339</v>
      </c>
      <c r="D6079" s="2">
        <v>1586</v>
      </c>
      <c r="E6079" s="2" t="s">
        <v>13842</v>
      </c>
      <c r="F6079" s="3" t="s">
        <v>14237</v>
      </c>
      <c r="H6079" s="3" t="s">
        <v>6019</v>
      </c>
      <c r="K6079" s="2">
        <v>10</v>
      </c>
      <c r="L6079" s="2">
        <v>18</v>
      </c>
      <c r="M6079" s="3" t="s">
        <v>3563</v>
      </c>
      <c r="N6079" s="3" t="s">
        <v>2079</v>
      </c>
      <c r="O6079" s="3" t="s">
        <v>3564</v>
      </c>
      <c r="P6079" s="3" t="s">
        <v>1436</v>
      </c>
      <c r="Q6079" s="30" t="str">
        <f t="shared" si="94"/>
        <v>MAX : 0.430
TARGET : 0.425
MIN : 0.420</v>
      </c>
    </row>
    <row r="6080" spans="2:17" ht="41.4" x14ac:dyDescent="0.3">
      <c r="B6080">
        <v>1</v>
      </c>
      <c r="C6080" s="33">
        <v>9339</v>
      </c>
      <c r="D6080" s="2">
        <v>1586</v>
      </c>
      <c r="E6080" s="2" t="s">
        <v>13842</v>
      </c>
      <c r="F6080" s="3" t="s">
        <v>14237</v>
      </c>
      <c r="H6080" s="3" t="s">
        <v>6019</v>
      </c>
      <c r="K6080" s="2">
        <v>10</v>
      </c>
      <c r="L6080" s="2">
        <v>17</v>
      </c>
      <c r="M6080" s="3" t="s">
        <v>3562</v>
      </c>
      <c r="N6080" s="3" t="s">
        <v>710</v>
      </c>
      <c r="O6080" s="3" t="s">
        <v>86</v>
      </c>
      <c r="P6080" s="3" t="s">
        <v>711</v>
      </c>
      <c r="Q6080" s="30" t="str">
        <f t="shared" si="94"/>
        <v>MAX : 0.505
TARGET : 0.500
MIN : 0.495</v>
      </c>
    </row>
    <row r="6081" spans="2:17" ht="41.4" x14ac:dyDescent="0.3">
      <c r="B6081">
        <v>0</v>
      </c>
      <c r="C6081" s="33">
        <v>9351</v>
      </c>
      <c r="D6081" s="2">
        <v>1595</v>
      </c>
      <c r="E6081" s="2" t="s">
        <v>13918</v>
      </c>
      <c r="F6081" s="3" t="s">
        <v>14207</v>
      </c>
      <c r="H6081" s="3" t="s">
        <v>713</v>
      </c>
      <c r="K6081" s="2">
        <v>20</v>
      </c>
      <c r="L6081" s="2">
        <v>2</v>
      </c>
      <c r="M6081" s="3" t="s">
        <v>570</v>
      </c>
      <c r="N6081" s="3" t="s">
        <v>6061</v>
      </c>
      <c r="O6081" s="3" t="s">
        <v>2478</v>
      </c>
      <c r="P6081" s="3" t="s">
        <v>660</v>
      </c>
      <c r="Q6081" s="30" t="str">
        <f t="shared" si="94"/>
        <v>MAX : 48.5
TARGET : 48.0
MIN : 47.5</v>
      </c>
    </row>
    <row r="6082" spans="2:17" ht="41.4" x14ac:dyDescent="0.3">
      <c r="B6082">
        <v>0</v>
      </c>
      <c r="C6082" s="33">
        <v>9351</v>
      </c>
      <c r="D6082" s="2">
        <v>1595</v>
      </c>
      <c r="E6082" s="2" t="s">
        <v>13918</v>
      </c>
      <c r="F6082" s="3" t="s">
        <v>14207</v>
      </c>
      <c r="H6082" s="3" t="s">
        <v>713</v>
      </c>
      <c r="K6082" s="2">
        <v>20</v>
      </c>
      <c r="L6082" s="2">
        <v>3</v>
      </c>
      <c r="M6082" s="3" t="s">
        <v>1576</v>
      </c>
      <c r="N6082" s="3" t="s">
        <v>6062</v>
      </c>
      <c r="O6082" s="3" t="s">
        <v>6063</v>
      </c>
      <c r="P6082" s="3" t="s">
        <v>6064</v>
      </c>
      <c r="Q6082" s="30" t="str">
        <f t="shared" ref="Q6082:Q6145" si="95">"MAX : " &amp; P6082 &amp; CHAR(10) &amp; "TARGET : " &amp; O6082 &amp; CHAR(10) &amp; "MIN : " &amp; N6082</f>
        <v>MAX : 37.5
TARGET : 37.0
MIN : 36.5</v>
      </c>
    </row>
    <row r="6083" spans="2:17" ht="41.4" x14ac:dyDescent="0.3">
      <c r="B6083">
        <v>0</v>
      </c>
      <c r="C6083" s="33">
        <v>9351</v>
      </c>
      <c r="D6083" s="2">
        <v>1595</v>
      </c>
      <c r="E6083" s="2" t="s">
        <v>13918</v>
      </c>
      <c r="F6083" s="3" t="s">
        <v>14207</v>
      </c>
      <c r="H6083" s="3" t="s">
        <v>713</v>
      </c>
      <c r="K6083" s="2">
        <v>20</v>
      </c>
      <c r="L6083" s="2">
        <v>5</v>
      </c>
      <c r="M6083" s="3" t="s">
        <v>1605</v>
      </c>
      <c r="N6083" s="3" t="s">
        <v>13</v>
      </c>
      <c r="O6083" s="3" t="s">
        <v>14</v>
      </c>
      <c r="Q6083" s="30" t="str">
        <f t="shared" si="95"/>
        <v>MAX : 
TARGET : Yes(Pass)
MIN : No(Fail)</v>
      </c>
    </row>
    <row r="6084" spans="2:17" ht="41.4" x14ac:dyDescent="0.3">
      <c r="B6084">
        <v>0</v>
      </c>
      <c r="C6084" s="33">
        <v>9351</v>
      </c>
      <c r="D6084" s="2">
        <v>1595</v>
      </c>
      <c r="E6084" s="2" t="s">
        <v>13918</v>
      </c>
      <c r="F6084" s="3" t="s">
        <v>14207</v>
      </c>
      <c r="H6084" s="3" t="s">
        <v>713</v>
      </c>
      <c r="K6084" s="2">
        <v>20</v>
      </c>
      <c r="L6084" s="2">
        <v>6</v>
      </c>
      <c r="M6084" s="3" t="s">
        <v>3986</v>
      </c>
      <c r="N6084" s="3" t="s">
        <v>13</v>
      </c>
      <c r="O6084" s="3" t="s">
        <v>14</v>
      </c>
      <c r="Q6084" s="30" t="str">
        <f t="shared" si="95"/>
        <v>MAX : 
TARGET : Yes(Pass)
MIN : No(Fail)</v>
      </c>
    </row>
    <row r="6085" spans="2:17" ht="41.4" x14ac:dyDescent="0.3">
      <c r="B6085">
        <v>0</v>
      </c>
      <c r="C6085" s="33">
        <v>9351</v>
      </c>
      <c r="D6085" s="2">
        <v>1595</v>
      </c>
      <c r="E6085" s="2" t="s">
        <v>13918</v>
      </c>
      <c r="F6085" s="3" t="s">
        <v>14207</v>
      </c>
      <c r="H6085" s="3" t="s">
        <v>713</v>
      </c>
      <c r="K6085" s="2">
        <v>20</v>
      </c>
      <c r="L6085" s="2">
        <v>7</v>
      </c>
      <c r="M6085" s="3" t="s">
        <v>3987</v>
      </c>
      <c r="N6085" s="3" t="s">
        <v>13</v>
      </c>
      <c r="O6085" s="3" t="s">
        <v>14</v>
      </c>
      <c r="Q6085" s="30" t="str">
        <f t="shared" si="95"/>
        <v>MAX : 
TARGET : Yes(Pass)
MIN : No(Fail)</v>
      </c>
    </row>
    <row r="6086" spans="2:17" ht="41.4" x14ac:dyDescent="0.3">
      <c r="B6086">
        <v>0</v>
      </c>
      <c r="C6086" s="33">
        <v>9351</v>
      </c>
      <c r="D6086" s="2">
        <v>1595</v>
      </c>
      <c r="E6086" s="2" t="s">
        <v>13918</v>
      </c>
      <c r="F6086" s="3" t="s">
        <v>14207</v>
      </c>
      <c r="H6086" s="3" t="s">
        <v>713</v>
      </c>
      <c r="K6086" s="2">
        <v>20</v>
      </c>
      <c r="L6086" s="2">
        <v>4</v>
      </c>
      <c r="M6086" s="3" t="s">
        <v>1545</v>
      </c>
      <c r="N6086" s="3" t="s">
        <v>13</v>
      </c>
      <c r="O6086" s="3" t="s">
        <v>14</v>
      </c>
      <c r="Q6086" s="30" t="str">
        <f t="shared" si="95"/>
        <v>MAX : 
TARGET : Yes(Pass)
MIN : No(Fail)</v>
      </c>
    </row>
    <row r="6087" spans="2:17" ht="41.4" x14ac:dyDescent="0.3">
      <c r="B6087">
        <v>1</v>
      </c>
      <c r="C6087" s="33">
        <v>9340</v>
      </c>
      <c r="D6087" s="2">
        <v>1587</v>
      </c>
      <c r="E6087" s="2" t="s">
        <v>13849</v>
      </c>
      <c r="F6087" s="3" t="s">
        <v>14237</v>
      </c>
      <c r="H6087" s="3" t="s">
        <v>6020</v>
      </c>
      <c r="K6087" s="2">
        <v>10</v>
      </c>
      <c r="L6087" s="2">
        <v>16</v>
      </c>
      <c r="M6087" s="3" t="s">
        <v>3554</v>
      </c>
      <c r="N6087" s="3" t="s">
        <v>3555</v>
      </c>
      <c r="O6087" s="3" t="s">
        <v>3556</v>
      </c>
      <c r="P6087" s="3" t="s">
        <v>3557</v>
      </c>
      <c r="Q6087" s="30" t="str">
        <f t="shared" si="95"/>
        <v>MAX : 0.0135
TARGET : 0.0120
MIN : 0.0105</v>
      </c>
    </row>
    <row r="6088" spans="2:17" ht="41.4" x14ac:dyDescent="0.3">
      <c r="B6088">
        <v>1</v>
      </c>
      <c r="C6088" s="33">
        <v>9340</v>
      </c>
      <c r="D6088" s="2">
        <v>1587</v>
      </c>
      <c r="E6088" s="2" t="s">
        <v>13849</v>
      </c>
      <c r="F6088" s="3" t="s">
        <v>14237</v>
      </c>
      <c r="H6088" s="3" t="s">
        <v>6020</v>
      </c>
      <c r="K6088" s="2">
        <v>10</v>
      </c>
      <c r="L6088" s="2">
        <v>18</v>
      </c>
      <c r="M6088" s="3" t="s">
        <v>3553</v>
      </c>
      <c r="N6088" s="3" t="s">
        <v>851</v>
      </c>
      <c r="O6088" s="3" t="s">
        <v>14</v>
      </c>
      <c r="Q6088" s="30" t="str">
        <f t="shared" si="95"/>
        <v>MAX : 
TARGET : Yes(Pass)
MIN : No(fail)</v>
      </c>
    </row>
    <row r="6089" spans="2:17" ht="41.4" x14ac:dyDescent="0.3">
      <c r="B6089">
        <v>0</v>
      </c>
      <c r="C6089" s="33">
        <v>9355</v>
      </c>
      <c r="D6089" s="2">
        <v>1599</v>
      </c>
      <c r="E6089" s="2" t="s">
        <v>13942</v>
      </c>
      <c r="F6089" s="3" t="s">
        <v>14207</v>
      </c>
      <c r="H6089" s="3" t="s">
        <v>504</v>
      </c>
      <c r="K6089" s="2">
        <v>10</v>
      </c>
      <c r="L6089" s="2">
        <v>3</v>
      </c>
      <c r="M6089" s="3" t="s">
        <v>2358</v>
      </c>
      <c r="N6089" s="3" t="s">
        <v>13</v>
      </c>
      <c r="O6089" s="3" t="s">
        <v>14</v>
      </c>
      <c r="Q6089" s="30" t="str">
        <f t="shared" si="95"/>
        <v>MAX : 
TARGET : Yes(Pass)
MIN : No(Fail)</v>
      </c>
    </row>
    <row r="6090" spans="2:17" ht="41.4" x14ac:dyDescent="0.3">
      <c r="B6090">
        <v>1</v>
      </c>
      <c r="C6090" s="33">
        <v>9341</v>
      </c>
      <c r="D6090" s="2">
        <v>2146</v>
      </c>
      <c r="E6090" s="2" t="s">
        <v>12756</v>
      </c>
      <c r="F6090" s="3" t="s">
        <v>14207</v>
      </c>
      <c r="H6090" s="3" t="s">
        <v>289</v>
      </c>
      <c r="K6090" s="2">
        <v>20</v>
      </c>
      <c r="L6090" s="2">
        <v>2</v>
      </c>
      <c r="M6090" s="3" t="s">
        <v>5748</v>
      </c>
      <c r="N6090" s="3" t="s">
        <v>5094</v>
      </c>
      <c r="O6090" s="3" t="s">
        <v>5095</v>
      </c>
      <c r="P6090" s="3" t="s">
        <v>5096</v>
      </c>
      <c r="Q6090" s="30" t="str">
        <f t="shared" si="95"/>
        <v>MAX : 281.5
TARGET : 280.0
MIN : 278.5</v>
      </c>
    </row>
    <row r="6091" spans="2:17" ht="41.4" x14ac:dyDescent="0.3">
      <c r="B6091">
        <v>1</v>
      </c>
      <c r="C6091" s="33">
        <v>9341</v>
      </c>
      <c r="D6091" s="2">
        <v>2146</v>
      </c>
      <c r="E6091" s="2" t="s">
        <v>12756</v>
      </c>
      <c r="F6091" s="3" t="s">
        <v>14207</v>
      </c>
      <c r="H6091" s="3" t="s">
        <v>289</v>
      </c>
      <c r="K6091" s="2">
        <v>20</v>
      </c>
      <c r="L6091" s="2">
        <v>1</v>
      </c>
      <c r="M6091" s="3" t="s">
        <v>6023</v>
      </c>
      <c r="N6091" s="3" t="s">
        <v>5090</v>
      </c>
      <c r="O6091" s="3" t="s">
        <v>5091</v>
      </c>
      <c r="P6091" s="3" t="s">
        <v>5092</v>
      </c>
      <c r="Q6091" s="30" t="str">
        <f t="shared" si="95"/>
        <v>MAX : 271.5
TARGET : 270.0
MIN : 268.5</v>
      </c>
    </row>
    <row r="6092" spans="2:17" ht="41.4" x14ac:dyDescent="0.3">
      <c r="B6092">
        <v>0</v>
      </c>
      <c r="C6092" s="33">
        <v>9354</v>
      </c>
      <c r="D6092" s="2">
        <v>1598</v>
      </c>
      <c r="E6092" s="2" t="s">
        <v>13936</v>
      </c>
      <c r="F6092" s="3" t="s">
        <v>14207</v>
      </c>
      <c r="H6092" s="3" t="s">
        <v>648</v>
      </c>
      <c r="K6092" s="2">
        <v>10</v>
      </c>
      <c r="L6092" s="2">
        <v>3</v>
      </c>
      <c r="M6092" s="3" t="s">
        <v>78</v>
      </c>
      <c r="N6092" s="3" t="s">
        <v>13</v>
      </c>
      <c r="O6092" s="3" t="s">
        <v>14</v>
      </c>
      <c r="Q6092" s="30" t="str">
        <f t="shared" si="95"/>
        <v>MAX : 
TARGET : Yes(Pass)
MIN : No(Fail)</v>
      </c>
    </row>
    <row r="6093" spans="2:17" ht="41.4" x14ac:dyDescent="0.3">
      <c r="B6093">
        <v>1</v>
      </c>
      <c r="C6093" s="33">
        <v>9342</v>
      </c>
      <c r="D6093" s="2">
        <v>1588</v>
      </c>
      <c r="E6093" s="2" t="s">
        <v>13859</v>
      </c>
      <c r="F6093" s="3" t="s">
        <v>14207</v>
      </c>
      <c r="H6093" s="3" t="s">
        <v>713</v>
      </c>
      <c r="K6093" s="2">
        <v>20</v>
      </c>
      <c r="L6093" s="2">
        <v>2</v>
      </c>
      <c r="M6093" s="3" t="s">
        <v>6032</v>
      </c>
      <c r="N6093" s="3" t="s">
        <v>631</v>
      </c>
      <c r="O6093" s="3" t="s">
        <v>5508</v>
      </c>
      <c r="P6093" s="3" t="s">
        <v>3600</v>
      </c>
      <c r="Q6093" s="30" t="str">
        <f t="shared" si="95"/>
        <v>MAX : 1.59
TARGET : 1.46
MIN : 1.33</v>
      </c>
    </row>
    <row r="6094" spans="2:17" ht="41.4" x14ac:dyDescent="0.3">
      <c r="B6094">
        <v>1</v>
      </c>
      <c r="C6094" s="33">
        <v>9342</v>
      </c>
      <c r="D6094" s="2">
        <v>1588</v>
      </c>
      <c r="E6094" s="2" t="s">
        <v>13859</v>
      </c>
      <c r="F6094" s="3" t="s">
        <v>14207</v>
      </c>
      <c r="H6094" s="3" t="s">
        <v>713</v>
      </c>
      <c r="K6094" s="2">
        <v>20</v>
      </c>
      <c r="L6094" s="2">
        <v>1</v>
      </c>
      <c r="M6094" s="3" t="s">
        <v>194</v>
      </c>
      <c r="N6094" s="3" t="s">
        <v>1761</v>
      </c>
      <c r="O6094" s="3" t="s">
        <v>3413</v>
      </c>
      <c r="P6094" s="3" t="s">
        <v>185</v>
      </c>
      <c r="Q6094" s="30" t="str">
        <f t="shared" si="95"/>
        <v>MAX : 5.03
TARGET : 4.90
MIN : 4.77</v>
      </c>
    </row>
    <row r="6095" spans="2:17" ht="41.4" x14ac:dyDescent="0.3">
      <c r="B6095">
        <v>0</v>
      </c>
      <c r="C6095" s="33">
        <v>9358</v>
      </c>
      <c r="D6095" s="2">
        <v>2150</v>
      </c>
      <c r="E6095" s="2" t="s">
        <v>13959</v>
      </c>
      <c r="F6095" s="3" t="s">
        <v>14206</v>
      </c>
      <c r="H6095" s="3" t="s">
        <v>269</v>
      </c>
      <c r="I6095" s="3" t="s">
        <v>487</v>
      </c>
      <c r="K6095" s="2">
        <v>10</v>
      </c>
      <c r="L6095" s="2">
        <v>3</v>
      </c>
      <c r="M6095" s="3" t="s">
        <v>1980</v>
      </c>
      <c r="N6095" s="3" t="s">
        <v>13</v>
      </c>
      <c r="O6095" s="3" t="s">
        <v>14</v>
      </c>
      <c r="Q6095" s="30" t="str">
        <f t="shared" si="95"/>
        <v>MAX : 
TARGET : Yes(Pass)
MIN : No(Fail)</v>
      </c>
    </row>
    <row r="6096" spans="2:17" ht="41.4" x14ac:dyDescent="0.3">
      <c r="B6096">
        <v>1</v>
      </c>
      <c r="C6096" s="33">
        <v>9343</v>
      </c>
      <c r="D6096" s="2">
        <v>1589</v>
      </c>
      <c r="E6096" s="2" t="s">
        <v>13866</v>
      </c>
      <c r="F6096" s="3" t="s">
        <v>14206</v>
      </c>
      <c r="H6096" s="3" t="s">
        <v>713</v>
      </c>
      <c r="K6096" s="2">
        <v>20</v>
      </c>
      <c r="L6096" s="2">
        <v>2</v>
      </c>
      <c r="M6096" s="3" t="s">
        <v>570</v>
      </c>
      <c r="N6096" s="3" t="s">
        <v>5127</v>
      </c>
      <c r="O6096" s="3" t="s">
        <v>1797</v>
      </c>
      <c r="P6096" s="3" t="s">
        <v>2202</v>
      </c>
      <c r="Q6096" s="30" t="str">
        <f t="shared" si="95"/>
        <v>MAX : 1.85
TARGET : 1.83
MIN : 1.81</v>
      </c>
    </row>
    <row r="6097" spans="2:18" ht="41.4" x14ac:dyDescent="0.3">
      <c r="B6097">
        <v>1</v>
      </c>
      <c r="C6097" s="33">
        <v>9343</v>
      </c>
      <c r="D6097" s="2">
        <v>1589</v>
      </c>
      <c r="E6097" s="2" t="s">
        <v>13866</v>
      </c>
      <c r="F6097" s="3" t="s">
        <v>14206</v>
      </c>
      <c r="H6097" s="3" t="s">
        <v>713</v>
      </c>
      <c r="K6097" s="2">
        <v>20</v>
      </c>
      <c r="L6097" s="2">
        <v>1</v>
      </c>
      <c r="M6097" s="3" t="s">
        <v>194</v>
      </c>
      <c r="N6097" s="3" t="s">
        <v>2007</v>
      </c>
      <c r="O6097" s="3" t="s">
        <v>2017</v>
      </c>
      <c r="P6097" s="3" t="s">
        <v>3835</v>
      </c>
      <c r="Q6097" s="30" t="str">
        <f t="shared" si="95"/>
        <v>MAX : 3.18
TARGET : 3.16
MIN : 3.14</v>
      </c>
    </row>
    <row r="6098" spans="2:18" ht="41.4" x14ac:dyDescent="0.3">
      <c r="B6098">
        <v>0</v>
      </c>
      <c r="C6098" s="33">
        <v>9352</v>
      </c>
      <c r="D6098" s="2">
        <v>1596</v>
      </c>
      <c r="E6098" s="2" t="s">
        <v>13925</v>
      </c>
      <c r="F6098" s="3" t="s">
        <v>14206</v>
      </c>
      <c r="H6098" s="3" t="s">
        <v>2138</v>
      </c>
      <c r="K6098" s="2">
        <v>10</v>
      </c>
      <c r="L6098" s="2">
        <v>3</v>
      </c>
      <c r="M6098" s="3" t="s">
        <v>2295</v>
      </c>
      <c r="N6098" s="3" t="s">
        <v>13</v>
      </c>
      <c r="O6098" s="3" t="s">
        <v>14</v>
      </c>
      <c r="Q6098" s="30" t="str">
        <f t="shared" si="95"/>
        <v>MAX : 
TARGET : Yes(Pass)
MIN : No(Fail)</v>
      </c>
    </row>
    <row r="6099" spans="2:18" ht="41.4" x14ac:dyDescent="0.3">
      <c r="B6099">
        <v>1</v>
      </c>
      <c r="C6099" s="33">
        <v>9344</v>
      </c>
      <c r="D6099" s="2">
        <v>1590</v>
      </c>
      <c r="E6099" s="2" t="s">
        <v>13873</v>
      </c>
      <c r="F6099" s="3" t="s">
        <v>14206</v>
      </c>
      <c r="H6099" s="3" t="s">
        <v>810</v>
      </c>
      <c r="K6099" s="2">
        <v>20</v>
      </c>
      <c r="L6099" s="2">
        <v>2</v>
      </c>
      <c r="M6099" s="3" t="s">
        <v>570</v>
      </c>
      <c r="N6099" s="3" t="s">
        <v>6041</v>
      </c>
      <c r="O6099" s="3" t="s">
        <v>6042</v>
      </c>
      <c r="P6099" s="3" t="s">
        <v>6043</v>
      </c>
      <c r="Q6099" s="30" t="str">
        <f t="shared" si="95"/>
        <v>MAX : 3.096
TARGET : 3.071
MIN : 3.046</v>
      </c>
      <c r="R6099" s="3" t="s">
        <v>1638</v>
      </c>
    </row>
    <row r="6100" spans="2:18" ht="41.4" x14ac:dyDescent="0.3">
      <c r="B6100">
        <v>1</v>
      </c>
      <c r="C6100" s="33">
        <v>9344</v>
      </c>
      <c r="D6100" s="2">
        <v>1590</v>
      </c>
      <c r="E6100" s="2" t="s">
        <v>13873</v>
      </c>
      <c r="F6100" s="3" t="s">
        <v>14206</v>
      </c>
      <c r="H6100" s="3" t="s">
        <v>810</v>
      </c>
      <c r="K6100" s="2">
        <v>20</v>
      </c>
      <c r="L6100" s="2">
        <v>1</v>
      </c>
      <c r="M6100" s="3" t="s">
        <v>194</v>
      </c>
      <c r="N6100" s="3" t="s">
        <v>6040</v>
      </c>
      <c r="O6100" s="3" t="s">
        <v>1049</v>
      </c>
      <c r="P6100" s="3" t="s">
        <v>1242</v>
      </c>
      <c r="Q6100" s="30" t="str">
        <f t="shared" si="95"/>
        <v>MAX : 2.446
TARGET : 2.421
MIN : 2.396</v>
      </c>
      <c r="R6100" s="3" t="s">
        <v>1638</v>
      </c>
    </row>
    <row r="6101" spans="2:18" ht="41.4" x14ac:dyDescent="0.3">
      <c r="B6101">
        <v>0</v>
      </c>
      <c r="C6101" s="33">
        <v>9360</v>
      </c>
      <c r="D6101" s="2">
        <v>1601</v>
      </c>
      <c r="E6101" s="2" t="s">
        <v>13967</v>
      </c>
      <c r="F6101" s="3" t="s">
        <v>14207</v>
      </c>
      <c r="H6101" s="3" t="s">
        <v>2361</v>
      </c>
      <c r="I6101" s="3" t="s">
        <v>575</v>
      </c>
      <c r="K6101" s="2">
        <v>20</v>
      </c>
      <c r="L6101" s="2">
        <v>2</v>
      </c>
      <c r="M6101" s="3" t="s">
        <v>328</v>
      </c>
      <c r="N6101" s="3" t="s">
        <v>347</v>
      </c>
      <c r="O6101" s="3" t="s">
        <v>348</v>
      </c>
      <c r="P6101" s="3" t="s">
        <v>349</v>
      </c>
      <c r="Q6101" s="30" t="str">
        <f t="shared" si="95"/>
        <v>MAX : 13.51
TARGET : 13.26
MIN : 13.01</v>
      </c>
    </row>
    <row r="6102" spans="2:18" ht="41.4" x14ac:dyDescent="0.3">
      <c r="B6102">
        <v>0</v>
      </c>
      <c r="C6102" s="33">
        <v>9360</v>
      </c>
      <c r="D6102" s="2">
        <v>1601</v>
      </c>
      <c r="E6102" s="2" t="s">
        <v>13967</v>
      </c>
      <c r="F6102" s="3" t="s">
        <v>14207</v>
      </c>
      <c r="H6102" s="3" t="s">
        <v>2361</v>
      </c>
      <c r="I6102" s="3" t="s">
        <v>575</v>
      </c>
      <c r="K6102" s="2">
        <v>20</v>
      </c>
      <c r="L6102" s="2">
        <v>8</v>
      </c>
      <c r="M6102" s="3" t="s">
        <v>2370</v>
      </c>
      <c r="N6102" s="3" t="s">
        <v>427</v>
      </c>
      <c r="O6102" s="3" t="s">
        <v>627</v>
      </c>
      <c r="P6102" s="3" t="s">
        <v>2235</v>
      </c>
      <c r="Q6102" s="30" t="str">
        <f t="shared" si="95"/>
        <v>MAX : 2.15
TARGET : 1.90
MIN : 1.65</v>
      </c>
    </row>
    <row r="6103" spans="2:18" ht="41.4" x14ac:dyDescent="0.3">
      <c r="B6103">
        <v>0</v>
      </c>
      <c r="C6103" s="33">
        <v>9360</v>
      </c>
      <c r="D6103" s="2">
        <v>1601</v>
      </c>
      <c r="E6103" s="2" t="s">
        <v>13967</v>
      </c>
      <c r="F6103" s="3" t="s">
        <v>14207</v>
      </c>
      <c r="H6103" s="3" t="s">
        <v>2361</v>
      </c>
      <c r="I6103" s="3" t="s">
        <v>575</v>
      </c>
      <c r="K6103" s="2">
        <v>20</v>
      </c>
      <c r="L6103" s="2">
        <v>11</v>
      </c>
      <c r="M6103" s="3" t="s">
        <v>2211</v>
      </c>
      <c r="N6103" s="3" t="s">
        <v>6076</v>
      </c>
      <c r="O6103" s="3" t="s">
        <v>6077</v>
      </c>
      <c r="P6103" s="3" t="s">
        <v>6078</v>
      </c>
      <c r="Q6103" s="30" t="str">
        <f t="shared" si="95"/>
        <v>MAX : 32.12
TARGET : 31.87
MIN : 31.62</v>
      </c>
    </row>
    <row r="6104" spans="2:18" ht="41.4" x14ac:dyDescent="0.3">
      <c r="B6104">
        <v>0</v>
      </c>
      <c r="C6104" s="33">
        <v>9360</v>
      </c>
      <c r="D6104" s="2">
        <v>1601</v>
      </c>
      <c r="E6104" s="2" t="s">
        <v>13967</v>
      </c>
      <c r="F6104" s="3" t="s">
        <v>14207</v>
      </c>
      <c r="H6104" s="3" t="s">
        <v>2361</v>
      </c>
      <c r="I6104" s="3" t="s">
        <v>575</v>
      </c>
      <c r="K6104" s="2">
        <v>20</v>
      </c>
      <c r="L6104" s="2">
        <v>12</v>
      </c>
      <c r="M6104" s="3" t="s">
        <v>335</v>
      </c>
      <c r="N6104" s="3" t="s">
        <v>6079</v>
      </c>
      <c r="O6104" s="3" t="s">
        <v>6080</v>
      </c>
      <c r="P6104" s="3" t="s">
        <v>6081</v>
      </c>
      <c r="Q6104" s="30" t="str">
        <f t="shared" si="95"/>
        <v>MAX : 43.31
TARGET : 43.06
MIN : 42.81</v>
      </c>
    </row>
    <row r="6105" spans="2:18" ht="41.4" x14ac:dyDescent="0.3">
      <c r="B6105">
        <v>0</v>
      </c>
      <c r="C6105" s="33">
        <v>9360</v>
      </c>
      <c r="D6105" s="2">
        <v>1601</v>
      </c>
      <c r="E6105" s="2" t="s">
        <v>13967</v>
      </c>
      <c r="F6105" s="3" t="s">
        <v>14207</v>
      </c>
      <c r="H6105" s="3" t="s">
        <v>2361</v>
      </c>
      <c r="I6105" s="3" t="s">
        <v>575</v>
      </c>
      <c r="K6105" s="2">
        <v>20</v>
      </c>
      <c r="L6105" s="2">
        <v>13</v>
      </c>
      <c r="M6105" s="3" t="s">
        <v>5256</v>
      </c>
      <c r="N6105" s="3" t="s">
        <v>201</v>
      </c>
      <c r="O6105" s="3" t="s">
        <v>250</v>
      </c>
      <c r="P6105" s="3" t="s">
        <v>389</v>
      </c>
      <c r="Q6105" s="30" t="str">
        <f t="shared" si="95"/>
        <v>MAX : 6.25
TARGET : 6.00
MIN : 5.75</v>
      </c>
    </row>
    <row r="6106" spans="2:18" ht="41.4" x14ac:dyDescent="0.3">
      <c r="B6106">
        <v>0</v>
      </c>
      <c r="C6106" s="33">
        <v>9360</v>
      </c>
      <c r="D6106" s="2">
        <v>1601</v>
      </c>
      <c r="E6106" s="2" t="s">
        <v>13967</v>
      </c>
      <c r="F6106" s="3" t="s">
        <v>14207</v>
      </c>
      <c r="H6106" s="3" t="s">
        <v>2361</v>
      </c>
      <c r="I6106" s="3" t="s">
        <v>575</v>
      </c>
      <c r="K6106" s="2">
        <v>20</v>
      </c>
      <c r="L6106" s="2">
        <v>6</v>
      </c>
      <c r="M6106" s="3" t="s">
        <v>351</v>
      </c>
      <c r="N6106" s="3" t="s">
        <v>201</v>
      </c>
      <c r="O6106" s="3" t="s">
        <v>250</v>
      </c>
      <c r="P6106" s="3" t="s">
        <v>389</v>
      </c>
      <c r="Q6106" s="30" t="str">
        <f t="shared" si="95"/>
        <v>MAX : 6.25
TARGET : 6.00
MIN : 5.75</v>
      </c>
    </row>
    <row r="6107" spans="2:18" ht="41.4" x14ac:dyDescent="0.3">
      <c r="B6107">
        <v>0</v>
      </c>
      <c r="C6107" s="33">
        <v>9360</v>
      </c>
      <c r="D6107" s="2">
        <v>1601</v>
      </c>
      <c r="E6107" s="2" t="s">
        <v>13967</v>
      </c>
      <c r="F6107" s="3" t="s">
        <v>14207</v>
      </c>
      <c r="H6107" s="3" t="s">
        <v>2361</v>
      </c>
      <c r="I6107" s="3" t="s">
        <v>575</v>
      </c>
      <c r="K6107" s="2">
        <v>20</v>
      </c>
      <c r="L6107" s="2">
        <v>5</v>
      </c>
      <c r="M6107" s="3" t="s">
        <v>2161</v>
      </c>
      <c r="N6107" s="3" t="s">
        <v>6082</v>
      </c>
      <c r="O6107" s="3" t="s">
        <v>6083</v>
      </c>
      <c r="P6107" s="3" t="s">
        <v>5935</v>
      </c>
      <c r="Q6107" s="30" t="str">
        <f t="shared" si="95"/>
        <v>MAX : 17.51
TARGET : 17.26
MIN : 17.01</v>
      </c>
    </row>
    <row r="6108" spans="2:18" ht="41.4" x14ac:dyDescent="0.3">
      <c r="B6108">
        <v>0</v>
      </c>
      <c r="C6108" s="33">
        <v>9360</v>
      </c>
      <c r="D6108" s="2">
        <v>1601</v>
      </c>
      <c r="E6108" s="2" t="s">
        <v>13967</v>
      </c>
      <c r="F6108" s="3" t="s">
        <v>14207</v>
      </c>
      <c r="H6108" s="3" t="s">
        <v>2361</v>
      </c>
      <c r="I6108" s="3" t="s">
        <v>575</v>
      </c>
      <c r="K6108" s="2">
        <v>20</v>
      </c>
      <c r="L6108" s="2">
        <v>14</v>
      </c>
      <c r="M6108" s="3" t="s">
        <v>2383</v>
      </c>
      <c r="N6108" s="3" t="s">
        <v>6084</v>
      </c>
      <c r="O6108" s="3" t="s">
        <v>6085</v>
      </c>
      <c r="P6108" s="3" t="s">
        <v>6086</v>
      </c>
      <c r="Q6108" s="30" t="str">
        <f t="shared" si="95"/>
        <v>MAX : 55.31
TARGET : 55.06
MIN : 54.81</v>
      </c>
    </row>
    <row r="6109" spans="2:18" ht="41.4" x14ac:dyDescent="0.3">
      <c r="B6109">
        <v>0</v>
      </c>
      <c r="C6109" s="33">
        <v>9360</v>
      </c>
      <c r="D6109" s="2">
        <v>1601</v>
      </c>
      <c r="E6109" s="2" t="s">
        <v>13967</v>
      </c>
      <c r="F6109" s="3" t="s">
        <v>14207</v>
      </c>
      <c r="H6109" s="3" t="s">
        <v>2361</v>
      </c>
      <c r="I6109" s="3" t="s">
        <v>575</v>
      </c>
      <c r="K6109" s="2">
        <v>20</v>
      </c>
      <c r="L6109" s="2">
        <v>16</v>
      </c>
      <c r="M6109" s="3" t="s">
        <v>2387</v>
      </c>
      <c r="O6109" s="3" t="s">
        <v>123</v>
      </c>
      <c r="P6109" s="3" t="s">
        <v>124</v>
      </c>
      <c r="Q6109" s="30" t="str">
        <f t="shared" si="95"/>
        <v xml:space="preserve">MAX : Yes (Fail)
TARGET : No (Pass)
MIN : </v>
      </c>
    </row>
    <row r="6110" spans="2:18" ht="41.4" x14ac:dyDescent="0.3">
      <c r="B6110">
        <v>0</v>
      </c>
      <c r="C6110" s="33">
        <v>9360</v>
      </c>
      <c r="D6110" s="2">
        <v>1601</v>
      </c>
      <c r="E6110" s="2" t="s">
        <v>13967</v>
      </c>
      <c r="F6110" s="3" t="s">
        <v>14207</v>
      </c>
      <c r="H6110" s="3" t="s">
        <v>2361</v>
      </c>
      <c r="I6110" s="3" t="s">
        <v>575</v>
      </c>
      <c r="K6110" s="2">
        <v>20</v>
      </c>
      <c r="L6110" s="2">
        <v>17</v>
      </c>
      <c r="M6110" s="3" t="s">
        <v>2388</v>
      </c>
      <c r="O6110" s="3" t="s">
        <v>123</v>
      </c>
      <c r="P6110" s="3" t="s">
        <v>124</v>
      </c>
      <c r="Q6110" s="30" t="str">
        <f t="shared" si="95"/>
        <v xml:space="preserve">MAX : Yes (Fail)
TARGET : No (Pass)
MIN : </v>
      </c>
    </row>
    <row r="6111" spans="2:18" ht="41.4" x14ac:dyDescent="0.3">
      <c r="B6111">
        <v>0</v>
      </c>
      <c r="C6111" s="33">
        <v>9360</v>
      </c>
      <c r="D6111" s="2">
        <v>1601</v>
      </c>
      <c r="E6111" s="2" t="s">
        <v>13967</v>
      </c>
      <c r="F6111" s="3" t="s">
        <v>14207</v>
      </c>
      <c r="H6111" s="3" t="s">
        <v>2361</v>
      </c>
      <c r="I6111" s="3" t="s">
        <v>575</v>
      </c>
      <c r="K6111" s="2">
        <v>20</v>
      </c>
      <c r="L6111" s="2">
        <v>18</v>
      </c>
      <c r="M6111" s="3" t="s">
        <v>2389</v>
      </c>
      <c r="N6111" s="3" t="s">
        <v>24</v>
      </c>
      <c r="O6111" s="3" t="s">
        <v>25</v>
      </c>
      <c r="Q6111" s="30" t="str">
        <f t="shared" si="95"/>
        <v>MAX : 
TARGET : Yes (Pass)
MIN : No (Fail)</v>
      </c>
    </row>
    <row r="6112" spans="2:18" ht="41.4" x14ac:dyDescent="0.3">
      <c r="B6112">
        <v>0</v>
      </c>
      <c r="C6112" s="33">
        <v>9360</v>
      </c>
      <c r="D6112" s="2">
        <v>1601</v>
      </c>
      <c r="E6112" s="2" t="s">
        <v>13967</v>
      </c>
      <c r="F6112" s="3" t="s">
        <v>14207</v>
      </c>
      <c r="H6112" s="3" t="s">
        <v>2361</v>
      </c>
      <c r="I6112" s="3" t="s">
        <v>575</v>
      </c>
      <c r="K6112" s="2">
        <v>20</v>
      </c>
      <c r="L6112" s="2">
        <v>15</v>
      </c>
      <c r="M6112" s="3" t="s">
        <v>362</v>
      </c>
      <c r="O6112" s="3" t="s">
        <v>123</v>
      </c>
      <c r="P6112" s="3" t="s">
        <v>124</v>
      </c>
      <c r="Q6112" s="30" t="str">
        <f t="shared" si="95"/>
        <v xml:space="preserve">MAX : Yes (Fail)
TARGET : No (Pass)
MIN : </v>
      </c>
    </row>
    <row r="6113" spans="2:17" ht="41.4" x14ac:dyDescent="0.3">
      <c r="B6113">
        <v>0</v>
      </c>
      <c r="C6113" s="33">
        <v>9360</v>
      </c>
      <c r="D6113" s="2">
        <v>1601</v>
      </c>
      <c r="E6113" s="2" t="s">
        <v>13967</v>
      </c>
      <c r="F6113" s="3" t="s">
        <v>14207</v>
      </c>
      <c r="H6113" s="3" t="s">
        <v>2361</v>
      </c>
      <c r="I6113" s="3" t="s">
        <v>575</v>
      </c>
      <c r="K6113" s="2">
        <v>20</v>
      </c>
      <c r="L6113" s="2">
        <v>3</v>
      </c>
      <c r="M6113" s="3" t="s">
        <v>2390</v>
      </c>
      <c r="N6113" s="3" t="s">
        <v>795</v>
      </c>
      <c r="O6113" s="3" t="s">
        <v>4276</v>
      </c>
      <c r="P6113" s="3" t="s">
        <v>6075</v>
      </c>
      <c r="Q6113" s="30" t="str">
        <f t="shared" si="95"/>
        <v>MAX : 4.15
TARGET : 3.90
MIN : 3.65</v>
      </c>
    </row>
    <row r="6114" spans="2:17" ht="41.4" x14ac:dyDescent="0.3">
      <c r="B6114">
        <v>0</v>
      </c>
      <c r="C6114" s="33">
        <v>9360</v>
      </c>
      <c r="D6114" s="2">
        <v>1601</v>
      </c>
      <c r="E6114" s="2" t="s">
        <v>13967</v>
      </c>
      <c r="F6114" s="3" t="s">
        <v>14207</v>
      </c>
      <c r="H6114" s="3" t="s">
        <v>2361</v>
      </c>
      <c r="I6114" s="3" t="s">
        <v>575</v>
      </c>
      <c r="K6114" s="2">
        <v>20</v>
      </c>
      <c r="L6114" s="2">
        <v>10</v>
      </c>
      <c r="M6114" s="3" t="s">
        <v>2392</v>
      </c>
      <c r="N6114" s="3" t="s">
        <v>427</v>
      </c>
      <c r="O6114" s="3" t="s">
        <v>627</v>
      </c>
      <c r="P6114" s="3" t="s">
        <v>2235</v>
      </c>
      <c r="Q6114" s="30" t="str">
        <f t="shared" si="95"/>
        <v>MAX : 2.15
TARGET : 1.90
MIN : 1.65</v>
      </c>
    </row>
    <row r="6115" spans="2:17" ht="41.4" x14ac:dyDescent="0.3">
      <c r="B6115">
        <v>0</v>
      </c>
      <c r="C6115" s="33">
        <v>9360</v>
      </c>
      <c r="D6115" s="2">
        <v>1601</v>
      </c>
      <c r="E6115" s="2" t="s">
        <v>13967</v>
      </c>
      <c r="F6115" s="3" t="s">
        <v>14207</v>
      </c>
      <c r="H6115" s="3" t="s">
        <v>2361</v>
      </c>
      <c r="I6115" s="3" t="s">
        <v>575</v>
      </c>
      <c r="K6115" s="2">
        <v>20</v>
      </c>
      <c r="L6115" s="2">
        <v>9</v>
      </c>
      <c r="M6115" s="3" t="s">
        <v>2393</v>
      </c>
      <c r="N6115" s="3" t="s">
        <v>6087</v>
      </c>
      <c r="O6115" s="3" t="s">
        <v>6088</v>
      </c>
      <c r="P6115" s="3" t="s">
        <v>6089</v>
      </c>
      <c r="Q6115" s="30" t="str">
        <f t="shared" si="95"/>
        <v>MAX : 35.92
TARGET : 35.67
MIN : 35.42</v>
      </c>
    </row>
    <row r="6116" spans="2:17" ht="41.4" x14ac:dyDescent="0.3">
      <c r="B6116">
        <v>0</v>
      </c>
      <c r="C6116" s="33">
        <v>9360</v>
      </c>
      <c r="D6116" s="2">
        <v>1601</v>
      </c>
      <c r="E6116" s="2" t="s">
        <v>13967</v>
      </c>
      <c r="F6116" s="3" t="s">
        <v>14207</v>
      </c>
      <c r="H6116" s="3" t="s">
        <v>2361</v>
      </c>
      <c r="I6116" s="3" t="s">
        <v>575</v>
      </c>
      <c r="K6116" s="2">
        <v>20</v>
      </c>
      <c r="L6116" s="2">
        <v>7</v>
      </c>
      <c r="M6116" s="3" t="s">
        <v>2215</v>
      </c>
      <c r="N6116" s="3" t="s">
        <v>2514</v>
      </c>
      <c r="O6116" s="3" t="s">
        <v>6090</v>
      </c>
      <c r="P6116" s="3" t="s">
        <v>6091</v>
      </c>
      <c r="Q6116" s="30" t="str">
        <f t="shared" si="95"/>
        <v>MAX : 7.64
TARGET : 7.39
MIN : 7.14</v>
      </c>
    </row>
    <row r="6117" spans="2:17" ht="41.4" x14ac:dyDescent="0.3">
      <c r="B6117">
        <v>1</v>
      </c>
      <c r="C6117" s="33">
        <v>9345</v>
      </c>
      <c r="D6117" s="2">
        <v>1591</v>
      </c>
      <c r="E6117" s="2" t="s">
        <v>13880</v>
      </c>
      <c r="F6117" s="3" t="s">
        <v>14206</v>
      </c>
      <c r="H6117" s="3" t="s">
        <v>6047</v>
      </c>
      <c r="K6117" s="2">
        <v>20</v>
      </c>
      <c r="L6117" s="2">
        <v>2</v>
      </c>
      <c r="M6117" s="3" t="s">
        <v>198</v>
      </c>
      <c r="N6117" s="3" t="s">
        <v>979</v>
      </c>
      <c r="O6117" s="3" t="s">
        <v>309</v>
      </c>
      <c r="P6117" s="3" t="s">
        <v>1531</v>
      </c>
      <c r="Q6117" s="30" t="str">
        <f t="shared" si="95"/>
        <v>MAX : 0.56
TARGET : 0.50
MIN : 0.44</v>
      </c>
    </row>
    <row r="6118" spans="2:17" ht="41.4" x14ac:dyDescent="0.3">
      <c r="B6118">
        <v>1</v>
      </c>
      <c r="C6118" s="33">
        <v>9345</v>
      </c>
      <c r="D6118" s="2">
        <v>1591</v>
      </c>
      <c r="E6118" s="2" t="s">
        <v>13880</v>
      </c>
      <c r="F6118" s="3" t="s">
        <v>14206</v>
      </c>
      <c r="H6118" s="3" t="s">
        <v>6047</v>
      </c>
      <c r="K6118" s="2">
        <v>20</v>
      </c>
      <c r="L6118" s="2">
        <v>1</v>
      </c>
      <c r="M6118" s="3" t="s">
        <v>194</v>
      </c>
      <c r="N6118" s="3" t="s">
        <v>1229</v>
      </c>
      <c r="O6118" s="3" t="s">
        <v>1230</v>
      </c>
      <c r="P6118" s="3" t="s">
        <v>1231</v>
      </c>
      <c r="Q6118" s="30" t="str">
        <f t="shared" si="95"/>
        <v>MAX : 8.06
TARGET : 8.00
MIN : 7.94</v>
      </c>
    </row>
    <row r="6119" spans="2:17" ht="41.4" x14ac:dyDescent="0.3">
      <c r="B6119">
        <v>0</v>
      </c>
      <c r="C6119" s="33">
        <v>9361</v>
      </c>
      <c r="D6119" s="2">
        <v>2152</v>
      </c>
      <c r="E6119" s="2" t="s">
        <v>13973</v>
      </c>
      <c r="F6119" s="3" t="s">
        <v>14206</v>
      </c>
      <c r="H6119" s="3" t="s">
        <v>1608</v>
      </c>
      <c r="K6119" s="2">
        <v>10</v>
      </c>
      <c r="L6119" s="2">
        <v>2</v>
      </c>
      <c r="M6119" s="3" t="s">
        <v>5753</v>
      </c>
      <c r="N6119" s="3" t="s">
        <v>405</v>
      </c>
      <c r="O6119" s="3" t="s">
        <v>406</v>
      </c>
      <c r="P6119" s="3" t="s">
        <v>407</v>
      </c>
      <c r="Q6119" s="30" t="str">
        <f t="shared" si="95"/>
        <v>MAX : 2.06
TARGET : 2.00
MIN : 1.94</v>
      </c>
    </row>
    <row r="6120" spans="2:17" ht="41.4" x14ac:dyDescent="0.3">
      <c r="B6120">
        <v>1</v>
      </c>
      <c r="C6120" s="33">
        <v>9346</v>
      </c>
      <c r="D6120" s="2">
        <v>1592</v>
      </c>
      <c r="E6120" s="2" t="s">
        <v>13887</v>
      </c>
      <c r="F6120" s="3" t="s">
        <v>14206</v>
      </c>
      <c r="H6120" s="3" t="s">
        <v>648</v>
      </c>
      <c r="I6120" s="3" t="s">
        <v>575</v>
      </c>
      <c r="K6120" s="2">
        <v>20</v>
      </c>
      <c r="L6120" s="2">
        <v>1</v>
      </c>
      <c r="M6120" s="3" t="s">
        <v>194</v>
      </c>
      <c r="N6120" s="3" t="s">
        <v>4398</v>
      </c>
      <c r="O6120" s="3" t="s">
        <v>2530</v>
      </c>
      <c r="P6120" s="3" t="s">
        <v>1504</v>
      </c>
      <c r="Q6120" s="30" t="str">
        <f t="shared" si="95"/>
        <v>MAX : 2.94
TARGET : 2.92
MIN : 2.90</v>
      </c>
    </row>
    <row r="6121" spans="2:17" ht="41.4" x14ac:dyDescent="0.3">
      <c r="B6121">
        <v>1</v>
      </c>
      <c r="C6121" s="33">
        <v>9346</v>
      </c>
      <c r="D6121" s="2">
        <v>1592</v>
      </c>
      <c r="E6121" s="2" t="s">
        <v>13887</v>
      </c>
      <c r="F6121" s="3" t="s">
        <v>14206</v>
      </c>
      <c r="H6121" s="3" t="s">
        <v>648</v>
      </c>
      <c r="I6121" s="3" t="s">
        <v>575</v>
      </c>
      <c r="K6121" s="2">
        <v>20</v>
      </c>
      <c r="L6121" s="2">
        <v>7</v>
      </c>
      <c r="M6121" s="3" t="s">
        <v>6129</v>
      </c>
      <c r="N6121" s="3" t="s">
        <v>13</v>
      </c>
      <c r="O6121" s="3" t="s">
        <v>14</v>
      </c>
      <c r="Q6121" s="30" t="str">
        <f t="shared" si="95"/>
        <v>MAX : 
TARGET : Yes(Pass)
MIN : No(Fail)</v>
      </c>
    </row>
    <row r="6122" spans="2:17" ht="41.4" x14ac:dyDescent="0.3">
      <c r="B6122">
        <v>0</v>
      </c>
      <c r="C6122" s="33">
        <v>9365</v>
      </c>
      <c r="D6122" s="2">
        <v>1605</v>
      </c>
      <c r="E6122" s="2" t="s">
        <v>13996</v>
      </c>
      <c r="F6122" s="3" t="s">
        <v>14206</v>
      </c>
      <c r="H6122" s="3" t="s">
        <v>600</v>
      </c>
      <c r="I6122" s="3" t="s">
        <v>487</v>
      </c>
      <c r="K6122" s="2">
        <v>10</v>
      </c>
      <c r="L6122" s="2">
        <v>3</v>
      </c>
      <c r="M6122" s="3" t="s">
        <v>6094</v>
      </c>
      <c r="O6122" s="3" t="s">
        <v>14</v>
      </c>
      <c r="Q6122" s="30" t="str">
        <f t="shared" si="95"/>
        <v xml:space="preserve">MAX : 
TARGET : Yes(Pass)
MIN : </v>
      </c>
    </row>
    <row r="6123" spans="2:17" ht="41.4" x14ac:dyDescent="0.3">
      <c r="B6123">
        <v>1</v>
      </c>
      <c r="C6123" s="33">
        <v>9347</v>
      </c>
      <c r="D6123" s="2">
        <v>1593</v>
      </c>
      <c r="E6123" s="2" t="s">
        <v>13894</v>
      </c>
      <c r="F6123" s="3" t="s">
        <v>14206</v>
      </c>
      <c r="H6123" s="3" t="s">
        <v>648</v>
      </c>
      <c r="I6123" s="3" t="s">
        <v>575</v>
      </c>
      <c r="K6123" s="2">
        <v>20</v>
      </c>
      <c r="L6123" s="2">
        <v>1</v>
      </c>
      <c r="M6123" s="3" t="s">
        <v>194</v>
      </c>
      <c r="N6123" s="3" t="s">
        <v>4398</v>
      </c>
      <c r="O6123" s="3" t="s">
        <v>2530</v>
      </c>
      <c r="P6123" s="3" t="s">
        <v>1504</v>
      </c>
      <c r="Q6123" s="30" t="str">
        <f t="shared" si="95"/>
        <v>MAX : 2.94
TARGET : 2.92
MIN : 2.90</v>
      </c>
    </row>
    <row r="6124" spans="2:17" ht="41.4" x14ac:dyDescent="0.3">
      <c r="B6124">
        <v>1</v>
      </c>
      <c r="C6124" s="33">
        <v>9348</v>
      </c>
      <c r="D6124" s="2">
        <v>1594</v>
      </c>
      <c r="E6124" s="2" t="s">
        <v>13899</v>
      </c>
      <c r="F6124" s="3" t="s">
        <v>14207</v>
      </c>
      <c r="H6124" s="3" t="s">
        <v>648</v>
      </c>
      <c r="K6124" s="2">
        <v>20</v>
      </c>
      <c r="L6124" s="2">
        <v>2</v>
      </c>
      <c r="M6124" s="3" t="s">
        <v>198</v>
      </c>
      <c r="N6124" s="3" t="s">
        <v>1648</v>
      </c>
      <c r="O6124" s="3" t="s">
        <v>1649</v>
      </c>
      <c r="P6124" s="3" t="s">
        <v>1650</v>
      </c>
      <c r="Q6124" s="30" t="str">
        <f t="shared" si="95"/>
        <v>MAX : 25.9
TARGET : 25.4
MIN : 24.9</v>
      </c>
    </row>
    <row r="6125" spans="2:17" ht="41.4" x14ac:dyDescent="0.3">
      <c r="B6125">
        <v>0</v>
      </c>
      <c r="C6125" s="33">
        <v>9366</v>
      </c>
      <c r="D6125" s="2">
        <v>1606</v>
      </c>
      <c r="E6125" s="2" t="s">
        <v>14003</v>
      </c>
      <c r="F6125" s="3" t="s">
        <v>14206</v>
      </c>
      <c r="H6125" s="3" t="s">
        <v>600</v>
      </c>
      <c r="I6125" s="3" t="s">
        <v>487</v>
      </c>
      <c r="K6125" s="2">
        <v>10</v>
      </c>
      <c r="L6125" s="2">
        <v>3</v>
      </c>
      <c r="M6125" s="3" t="s">
        <v>6094</v>
      </c>
      <c r="N6125" s="3" t="s">
        <v>13</v>
      </c>
      <c r="O6125" s="3" t="s">
        <v>14</v>
      </c>
      <c r="Q6125" s="30" t="str">
        <f t="shared" si="95"/>
        <v>MAX : 
TARGET : Yes(Pass)
MIN : No(Fail)</v>
      </c>
    </row>
    <row r="6126" spans="2:17" ht="41.4" x14ac:dyDescent="0.3">
      <c r="B6126">
        <v>0</v>
      </c>
      <c r="C6126" s="33">
        <v>9366</v>
      </c>
      <c r="D6126" s="2">
        <v>1606</v>
      </c>
      <c r="E6126" s="2" t="s">
        <v>14003</v>
      </c>
      <c r="F6126" s="3" t="s">
        <v>14206</v>
      </c>
      <c r="H6126" s="3" t="s">
        <v>600</v>
      </c>
      <c r="I6126" s="3" t="s">
        <v>487</v>
      </c>
      <c r="K6126" s="2">
        <v>10</v>
      </c>
      <c r="L6126" s="2">
        <v>4</v>
      </c>
      <c r="M6126" s="3" t="s">
        <v>4400</v>
      </c>
      <c r="N6126" s="3" t="s">
        <v>13</v>
      </c>
      <c r="O6126" s="3" t="s">
        <v>14</v>
      </c>
      <c r="Q6126" s="30" t="str">
        <f t="shared" si="95"/>
        <v>MAX : 
TARGET : Yes(Pass)
MIN : No(Fail)</v>
      </c>
    </row>
    <row r="6127" spans="2:17" ht="41.4" x14ac:dyDescent="0.3">
      <c r="B6127">
        <v>1</v>
      </c>
      <c r="C6127" s="33">
        <v>9348</v>
      </c>
      <c r="D6127" s="2">
        <v>1594</v>
      </c>
      <c r="E6127" s="2" t="s">
        <v>13899</v>
      </c>
      <c r="F6127" s="3" t="s">
        <v>14207</v>
      </c>
      <c r="H6127" s="3" t="s">
        <v>648</v>
      </c>
      <c r="K6127" s="2">
        <v>20</v>
      </c>
      <c r="L6127" s="2">
        <v>1</v>
      </c>
      <c r="M6127" s="3" t="s">
        <v>194</v>
      </c>
      <c r="N6127" s="3" t="s">
        <v>6057</v>
      </c>
      <c r="O6127" s="3" t="s">
        <v>6058</v>
      </c>
      <c r="P6127" s="3" t="s">
        <v>6059</v>
      </c>
      <c r="Q6127" s="30" t="str">
        <f t="shared" si="95"/>
        <v>MAX : 307
TARGET : 305
MIN : 303</v>
      </c>
    </row>
    <row r="6128" spans="2:17" ht="41.4" x14ac:dyDescent="0.3">
      <c r="B6128">
        <v>1</v>
      </c>
      <c r="C6128" s="33">
        <v>9349</v>
      </c>
      <c r="D6128" s="2">
        <v>2147</v>
      </c>
      <c r="E6128" s="2" t="s">
        <v>13905</v>
      </c>
      <c r="F6128" s="3" t="s">
        <v>14206</v>
      </c>
      <c r="H6128" s="3" t="s">
        <v>30</v>
      </c>
      <c r="K6128" s="2">
        <v>10</v>
      </c>
      <c r="L6128" s="2">
        <v>2</v>
      </c>
      <c r="M6128" s="3" t="s">
        <v>1102</v>
      </c>
      <c r="N6128" s="3" t="s">
        <v>851</v>
      </c>
      <c r="O6128" s="3" t="s">
        <v>14</v>
      </c>
      <c r="Q6128" s="30" t="str">
        <f t="shared" si="95"/>
        <v>MAX : 
TARGET : Yes(Pass)
MIN : No(fail)</v>
      </c>
    </row>
    <row r="6129" spans="2:18" ht="41.4" x14ac:dyDescent="0.3">
      <c r="B6129">
        <v>0</v>
      </c>
      <c r="C6129" s="33">
        <v>9367</v>
      </c>
      <c r="D6129" s="2">
        <v>1607</v>
      </c>
      <c r="E6129" s="2" t="s">
        <v>14009</v>
      </c>
      <c r="F6129" s="3" t="s">
        <v>14206</v>
      </c>
      <c r="H6129" s="3" t="s">
        <v>600</v>
      </c>
      <c r="I6129" s="3" t="s">
        <v>487</v>
      </c>
      <c r="K6129" s="2">
        <v>10</v>
      </c>
      <c r="L6129" s="2">
        <v>3</v>
      </c>
      <c r="M6129" s="3" t="s">
        <v>4400</v>
      </c>
      <c r="N6129" s="3" t="s">
        <v>13</v>
      </c>
      <c r="O6129" s="3" t="s">
        <v>14</v>
      </c>
      <c r="Q6129" s="30" t="str">
        <f t="shared" si="95"/>
        <v>MAX : 
TARGET : Yes(Pass)
MIN : No(Fail)</v>
      </c>
    </row>
    <row r="6130" spans="2:18" ht="41.4" x14ac:dyDescent="0.3">
      <c r="B6130">
        <v>1</v>
      </c>
      <c r="C6130" s="33">
        <v>9349</v>
      </c>
      <c r="D6130" s="2">
        <v>2147</v>
      </c>
      <c r="E6130" s="2" t="s">
        <v>13905</v>
      </c>
      <c r="F6130" s="3" t="s">
        <v>14206</v>
      </c>
      <c r="H6130" s="3" t="s">
        <v>30</v>
      </c>
      <c r="K6130" s="2">
        <v>10</v>
      </c>
      <c r="L6130" s="2">
        <v>1</v>
      </c>
      <c r="M6130" s="3" t="s">
        <v>458</v>
      </c>
      <c r="N6130" s="3" t="s">
        <v>1173</v>
      </c>
      <c r="O6130" s="3" t="s">
        <v>250</v>
      </c>
      <c r="P6130" s="3" t="s">
        <v>1174</v>
      </c>
      <c r="Q6130" s="30" t="str">
        <f t="shared" si="95"/>
        <v>MAX : 6.06
TARGET : 6.00
MIN : 5.94</v>
      </c>
    </row>
    <row r="6131" spans="2:18" ht="41.4" x14ac:dyDescent="0.3">
      <c r="B6131">
        <v>1</v>
      </c>
      <c r="C6131" s="33">
        <v>9350</v>
      </c>
      <c r="D6131" s="2">
        <v>2148</v>
      </c>
      <c r="E6131" s="2" t="s">
        <v>13911</v>
      </c>
      <c r="F6131" s="3" t="s">
        <v>14207</v>
      </c>
      <c r="H6131" s="3" t="s">
        <v>824</v>
      </c>
      <c r="K6131" s="2">
        <v>10</v>
      </c>
      <c r="L6131" s="2">
        <v>2</v>
      </c>
      <c r="M6131" s="3" t="s">
        <v>325</v>
      </c>
      <c r="N6131" s="3" t="s">
        <v>13</v>
      </c>
      <c r="O6131" s="3" t="s">
        <v>14</v>
      </c>
      <c r="Q6131" s="30" t="str">
        <f t="shared" si="95"/>
        <v>MAX : 
TARGET : Yes(Pass)
MIN : No(Fail)</v>
      </c>
    </row>
    <row r="6132" spans="2:18" ht="41.4" x14ac:dyDescent="0.3">
      <c r="B6132">
        <v>0</v>
      </c>
      <c r="C6132" s="33">
        <v>9370</v>
      </c>
      <c r="D6132" s="2">
        <v>1610</v>
      </c>
      <c r="E6132" s="2" t="s">
        <v>14024</v>
      </c>
      <c r="F6132" s="3" t="s">
        <v>14207</v>
      </c>
      <c r="H6132" s="3" t="s">
        <v>2409</v>
      </c>
      <c r="K6132" s="2">
        <v>10</v>
      </c>
      <c r="L6132" s="2">
        <v>1</v>
      </c>
      <c r="M6132" s="3" t="s">
        <v>2416</v>
      </c>
      <c r="N6132" s="3" t="s">
        <v>13</v>
      </c>
      <c r="O6132" s="3" t="s">
        <v>14</v>
      </c>
      <c r="Q6132" s="30" t="str">
        <f t="shared" si="95"/>
        <v>MAX : 
TARGET : Yes(Pass)
MIN : No(Fail)</v>
      </c>
    </row>
    <row r="6133" spans="2:18" ht="41.4" x14ac:dyDescent="0.3">
      <c r="B6133">
        <v>0</v>
      </c>
      <c r="C6133" s="33">
        <v>9370</v>
      </c>
      <c r="D6133" s="2">
        <v>1610</v>
      </c>
      <c r="E6133" s="2" t="s">
        <v>14024</v>
      </c>
      <c r="F6133" s="3" t="s">
        <v>14207</v>
      </c>
      <c r="H6133" s="3" t="s">
        <v>2409</v>
      </c>
      <c r="K6133" s="2">
        <v>10</v>
      </c>
      <c r="L6133" s="2">
        <v>2</v>
      </c>
      <c r="M6133" s="3" t="s">
        <v>2417</v>
      </c>
      <c r="N6133" s="3" t="s">
        <v>13</v>
      </c>
      <c r="O6133" s="3" t="s">
        <v>14</v>
      </c>
      <c r="Q6133" s="30" t="str">
        <f t="shared" si="95"/>
        <v>MAX : 
TARGET : Yes(Pass)
MIN : No(Fail)</v>
      </c>
    </row>
    <row r="6134" spans="2:18" ht="41.4" x14ac:dyDescent="0.3">
      <c r="B6134">
        <v>0</v>
      </c>
      <c r="C6134" s="33">
        <v>9370</v>
      </c>
      <c r="D6134" s="2">
        <v>1610</v>
      </c>
      <c r="E6134" s="2" t="s">
        <v>14024</v>
      </c>
      <c r="F6134" s="3" t="s">
        <v>14207</v>
      </c>
      <c r="H6134" s="3" t="s">
        <v>2409</v>
      </c>
      <c r="K6134" s="2">
        <v>20</v>
      </c>
      <c r="L6134" s="2">
        <v>3</v>
      </c>
      <c r="M6134" s="3" t="s">
        <v>1835</v>
      </c>
      <c r="N6134" s="3" t="s">
        <v>13</v>
      </c>
      <c r="O6134" s="3" t="s">
        <v>14</v>
      </c>
      <c r="Q6134" s="30" t="str">
        <f t="shared" si="95"/>
        <v>MAX : 
TARGET : Yes(Pass)
MIN : No(Fail)</v>
      </c>
    </row>
    <row r="6135" spans="2:18" ht="41.4" x14ac:dyDescent="0.3">
      <c r="B6135">
        <v>0</v>
      </c>
      <c r="C6135" s="33">
        <v>9370</v>
      </c>
      <c r="D6135" s="2">
        <v>1610</v>
      </c>
      <c r="E6135" s="2" t="s">
        <v>14024</v>
      </c>
      <c r="F6135" s="3" t="s">
        <v>14207</v>
      </c>
      <c r="H6135" s="3" t="s">
        <v>2409</v>
      </c>
      <c r="K6135" s="2">
        <v>10</v>
      </c>
      <c r="L6135" s="2">
        <v>3</v>
      </c>
      <c r="M6135" s="3" t="s">
        <v>6097</v>
      </c>
      <c r="N6135" s="3" t="s">
        <v>13</v>
      </c>
      <c r="O6135" s="3" t="s">
        <v>14</v>
      </c>
      <c r="Q6135" s="30" t="str">
        <f t="shared" si="95"/>
        <v>MAX : 
TARGET : Yes(Pass)
MIN : No(Fail)</v>
      </c>
    </row>
    <row r="6136" spans="2:18" ht="41.4" x14ac:dyDescent="0.3">
      <c r="B6136">
        <v>1</v>
      </c>
      <c r="C6136" s="33">
        <v>9350</v>
      </c>
      <c r="D6136" s="2">
        <v>2148</v>
      </c>
      <c r="E6136" s="2" t="s">
        <v>13911</v>
      </c>
      <c r="F6136" s="3" t="s">
        <v>14207</v>
      </c>
      <c r="H6136" s="3" t="s">
        <v>824</v>
      </c>
      <c r="K6136" s="2">
        <v>10</v>
      </c>
      <c r="L6136" s="2">
        <v>1</v>
      </c>
      <c r="M6136" s="3" t="s">
        <v>458</v>
      </c>
      <c r="N6136" s="3" t="s">
        <v>6054</v>
      </c>
      <c r="O6136" s="3" t="s">
        <v>1084</v>
      </c>
      <c r="P6136" s="3" t="s">
        <v>6055</v>
      </c>
      <c r="Q6136" s="30" t="str">
        <f t="shared" si="95"/>
        <v>MAX : 102
TARGET : 100
MIN : 98</v>
      </c>
    </row>
    <row r="6137" spans="2:18" ht="41.4" x14ac:dyDescent="0.3">
      <c r="B6137">
        <v>1</v>
      </c>
      <c r="C6137" s="33">
        <v>9351</v>
      </c>
      <c r="D6137" s="2">
        <v>1595</v>
      </c>
      <c r="E6137" s="2" t="s">
        <v>13918</v>
      </c>
      <c r="F6137" s="3" t="s">
        <v>14207</v>
      </c>
      <c r="H6137" s="3" t="s">
        <v>713</v>
      </c>
      <c r="K6137" s="2">
        <v>20</v>
      </c>
      <c r="L6137" s="2">
        <v>1</v>
      </c>
      <c r="M6137" s="3" t="s">
        <v>198</v>
      </c>
      <c r="N6137" s="3" t="s">
        <v>6060</v>
      </c>
      <c r="O6137" s="3" t="s">
        <v>1465</v>
      </c>
      <c r="P6137" s="3" t="s">
        <v>662</v>
      </c>
      <c r="Q6137" s="30" t="str">
        <f t="shared" si="95"/>
        <v>MAX : 51.5
TARGET : 51.0
MIN : 50.5</v>
      </c>
    </row>
    <row r="6138" spans="2:18" ht="41.4" x14ac:dyDescent="0.3">
      <c r="B6138">
        <v>0</v>
      </c>
      <c r="C6138" s="33">
        <v>9368</v>
      </c>
      <c r="D6138" s="2">
        <v>1608</v>
      </c>
      <c r="E6138" s="2" t="s">
        <v>14015</v>
      </c>
      <c r="F6138" s="3" t="s">
        <v>14206</v>
      </c>
      <c r="H6138" s="3" t="s">
        <v>6098</v>
      </c>
      <c r="K6138" s="2">
        <v>20</v>
      </c>
      <c r="L6138" s="2">
        <v>8</v>
      </c>
      <c r="M6138" s="3" t="s">
        <v>6105</v>
      </c>
      <c r="N6138" s="3" t="s">
        <v>13</v>
      </c>
      <c r="O6138" s="3" t="s">
        <v>14</v>
      </c>
      <c r="Q6138" s="30" t="str">
        <f t="shared" si="95"/>
        <v>MAX : 
TARGET : Yes(Pass)
MIN : No(Fail)</v>
      </c>
      <c r="R6138" s="3" t="s">
        <v>1638</v>
      </c>
    </row>
    <row r="6139" spans="2:18" ht="41.4" x14ac:dyDescent="0.3">
      <c r="B6139">
        <v>0</v>
      </c>
      <c r="C6139" s="33">
        <v>9368</v>
      </c>
      <c r="D6139" s="2">
        <v>1608</v>
      </c>
      <c r="E6139" s="2" t="s">
        <v>14015</v>
      </c>
      <c r="F6139" s="3" t="s">
        <v>14206</v>
      </c>
      <c r="H6139" s="3" t="s">
        <v>6098</v>
      </c>
      <c r="K6139" s="2">
        <v>20</v>
      </c>
      <c r="L6139" s="2">
        <v>9</v>
      </c>
      <c r="M6139" s="3" t="s">
        <v>5442</v>
      </c>
      <c r="N6139" s="3" t="s">
        <v>13</v>
      </c>
      <c r="O6139" s="3" t="s">
        <v>14</v>
      </c>
      <c r="Q6139" s="30" t="str">
        <f t="shared" si="95"/>
        <v>MAX : 
TARGET : Yes(Pass)
MIN : No(Fail)</v>
      </c>
      <c r="R6139" s="3" t="s">
        <v>1638</v>
      </c>
    </row>
    <row r="6140" spans="2:18" ht="41.4" x14ac:dyDescent="0.3">
      <c r="B6140">
        <v>1</v>
      </c>
      <c r="C6140" s="33">
        <v>9351</v>
      </c>
      <c r="D6140" s="2">
        <v>1595</v>
      </c>
      <c r="E6140" s="2" t="s">
        <v>13918</v>
      </c>
      <c r="F6140" s="3" t="s">
        <v>14207</v>
      </c>
      <c r="H6140" s="3" t="s">
        <v>713</v>
      </c>
      <c r="K6140" s="2">
        <v>10</v>
      </c>
      <c r="L6140" s="2">
        <v>1</v>
      </c>
      <c r="M6140" s="3" t="s">
        <v>3985</v>
      </c>
      <c r="N6140" s="3" t="s">
        <v>13</v>
      </c>
      <c r="O6140" s="3" t="s">
        <v>14</v>
      </c>
      <c r="Q6140" s="30" t="str">
        <f t="shared" si="95"/>
        <v>MAX : 
TARGET : Yes(Pass)
MIN : No(Fail)</v>
      </c>
    </row>
    <row r="6141" spans="2:18" ht="41.4" x14ac:dyDescent="0.3">
      <c r="B6141">
        <v>1</v>
      </c>
      <c r="C6141" s="33">
        <v>9352</v>
      </c>
      <c r="D6141" s="2">
        <v>1596</v>
      </c>
      <c r="E6141" s="2" t="s">
        <v>13925</v>
      </c>
      <c r="F6141" s="3" t="s">
        <v>14206</v>
      </c>
      <c r="H6141" s="3" t="s">
        <v>2138</v>
      </c>
      <c r="K6141" s="2">
        <v>10</v>
      </c>
      <c r="L6141" s="2">
        <v>2</v>
      </c>
      <c r="M6141" s="3" t="s">
        <v>198</v>
      </c>
      <c r="N6141" s="3" t="s">
        <v>2907</v>
      </c>
      <c r="O6141" s="3" t="s">
        <v>340</v>
      </c>
      <c r="P6141" s="3" t="s">
        <v>2367</v>
      </c>
      <c r="Q6141" s="30" t="str">
        <f t="shared" si="95"/>
        <v>MAX : 3.56
TARGET : 3.50
MIN : 3.44</v>
      </c>
    </row>
    <row r="6142" spans="2:18" ht="41.4" x14ac:dyDescent="0.3">
      <c r="B6142">
        <v>0</v>
      </c>
      <c r="C6142" s="33">
        <v>9353</v>
      </c>
      <c r="D6142" s="2">
        <v>1597</v>
      </c>
      <c r="E6142" s="2" t="s">
        <v>13577</v>
      </c>
      <c r="F6142" s="3" t="s">
        <v>14206</v>
      </c>
      <c r="G6142" s="3" t="s">
        <v>1665</v>
      </c>
      <c r="H6142" s="3" t="s">
        <v>5656</v>
      </c>
      <c r="I6142" s="3" t="s">
        <v>575</v>
      </c>
      <c r="K6142" s="2">
        <v>10</v>
      </c>
      <c r="L6142" s="2">
        <v>1</v>
      </c>
      <c r="M6142" s="3" t="s">
        <v>3618</v>
      </c>
      <c r="N6142" s="3" t="s">
        <v>1142</v>
      </c>
      <c r="O6142" s="3" t="s">
        <v>365</v>
      </c>
      <c r="P6142" s="3" t="s">
        <v>2939</v>
      </c>
      <c r="Q6142" s="30" t="str">
        <f t="shared" si="95"/>
        <v>MAX : 4.031
TARGET : 4.000
MIN : 3.969</v>
      </c>
    </row>
    <row r="6143" spans="2:18" ht="41.4" x14ac:dyDescent="0.3">
      <c r="B6143">
        <v>0</v>
      </c>
      <c r="C6143" s="33">
        <v>9353</v>
      </c>
      <c r="D6143" s="2">
        <v>1597</v>
      </c>
      <c r="E6143" s="2" t="s">
        <v>13577</v>
      </c>
      <c r="F6143" s="3" t="s">
        <v>14206</v>
      </c>
      <c r="G6143" s="3" t="s">
        <v>1665</v>
      </c>
      <c r="H6143" s="3" t="s">
        <v>5656</v>
      </c>
      <c r="I6143" s="3" t="s">
        <v>575</v>
      </c>
      <c r="K6143" s="2">
        <v>10</v>
      </c>
      <c r="L6143" s="2">
        <v>11.1</v>
      </c>
      <c r="M6143" s="3" t="s">
        <v>2927</v>
      </c>
      <c r="N6143" s="3" t="s">
        <v>13</v>
      </c>
      <c r="O6143" s="3" t="s">
        <v>14</v>
      </c>
      <c r="Q6143" s="30" t="str">
        <f t="shared" si="95"/>
        <v>MAX : 
TARGET : Yes(Pass)
MIN : No(Fail)</v>
      </c>
    </row>
    <row r="6144" spans="2:18" ht="41.4" x14ac:dyDescent="0.3">
      <c r="B6144">
        <v>0</v>
      </c>
      <c r="C6144" s="33">
        <v>9353</v>
      </c>
      <c r="D6144" s="2">
        <v>1597</v>
      </c>
      <c r="E6144" s="2" t="s">
        <v>13577</v>
      </c>
      <c r="F6144" s="3" t="s">
        <v>14206</v>
      </c>
      <c r="G6144" s="3" t="s">
        <v>1665</v>
      </c>
      <c r="H6144" s="3" t="s">
        <v>5656</v>
      </c>
      <c r="I6144" s="3" t="s">
        <v>575</v>
      </c>
      <c r="K6144" s="2">
        <v>10</v>
      </c>
      <c r="L6144" s="2">
        <v>5</v>
      </c>
      <c r="M6144" s="3" t="s">
        <v>2942</v>
      </c>
      <c r="N6144" s="3" t="s">
        <v>571</v>
      </c>
      <c r="O6144" s="3" t="s">
        <v>2943</v>
      </c>
      <c r="P6144" s="3" t="s">
        <v>1788</v>
      </c>
      <c r="Q6144" s="30" t="str">
        <f t="shared" si="95"/>
        <v>MAX : 0.445
TARGET : 0.391
MIN : 0.345</v>
      </c>
    </row>
    <row r="6145" spans="2:17" ht="41.4" x14ac:dyDescent="0.3">
      <c r="B6145">
        <v>0</v>
      </c>
      <c r="C6145" s="33">
        <v>9353</v>
      </c>
      <c r="D6145" s="2">
        <v>1597</v>
      </c>
      <c r="E6145" s="2" t="s">
        <v>13577</v>
      </c>
      <c r="F6145" s="3" t="s">
        <v>14206</v>
      </c>
      <c r="G6145" s="3" t="s">
        <v>1665</v>
      </c>
      <c r="H6145" s="3" t="s">
        <v>5656</v>
      </c>
      <c r="I6145" s="3" t="s">
        <v>575</v>
      </c>
      <c r="K6145" s="2">
        <v>10</v>
      </c>
      <c r="L6145" s="2">
        <v>6</v>
      </c>
      <c r="M6145" s="3" t="s">
        <v>2944</v>
      </c>
      <c r="N6145" s="3" t="s">
        <v>571</v>
      </c>
      <c r="O6145" s="3" t="s">
        <v>2943</v>
      </c>
      <c r="P6145" s="3" t="s">
        <v>1788</v>
      </c>
      <c r="Q6145" s="30" t="str">
        <f t="shared" si="95"/>
        <v>MAX : 0.445
TARGET : 0.391
MIN : 0.345</v>
      </c>
    </row>
    <row r="6146" spans="2:17" ht="41.4" x14ac:dyDescent="0.3">
      <c r="B6146">
        <v>0</v>
      </c>
      <c r="C6146" s="33">
        <v>9353</v>
      </c>
      <c r="D6146" s="2">
        <v>1597</v>
      </c>
      <c r="E6146" s="2" t="s">
        <v>13577</v>
      </c>
      <c r="F6146" s="3" t="s">
        <v>14206</v>
      </c>
      <c r="G6146" s="3" t="s">
        <v>1665</v>
      </c>
      <c r="H6146" s="3" t="s">
        <v>5656</v>
      </c>
      <c r="I6146" s="3" t="s">
        <v>575</v>
      </c>
      <c r="K6146" s="2">
        <v>10</v>
      </c>
      <c r="L6146" s="2">
        <v>7</v>
      </c>
      <c r="M6146" s="3" t="s">
        <v>2945</v>
      </c>
      <c r="N6146" s="3" t="s">
        <v>571</v>
      </c>
      <c r="O6146" s="3" t="s">
        <v>2943</v>
      </c>
      <c r="P6146" s="3" t="s">
        <v>1788</v>
      </c>
      <c r="Q6146" s="30" t="str">
        <f t="shared" ref="Q6146:Q6209" si="96">"MAX : " &amp; P6146 &amp; CHAR(10) &amp; "TARGET : " &amp; O6146 &amp; CHAR(10) &amp; "MIN : " &amp; N6146</f>
        <v>MAX : 0.445
TARGET : 0.391
MIN : 0.345</v>
      </c>
    </row>
    <row r="6147" spans="2:17" ht="41.4" x14ac:dyDescent="0.3">
      <c r="B6147">
        <v>0</v>
      </c>
      <c r="C6147" s="33">
        <v>9353</v>
      </c>
      <c r="D6147" s="2">
        <v>1597</v>
      </c>
      <c r="E6147" s="2" t="s">
        <v>13577</v>
      </c>
      <c r="F6147" s="3" t="s">
        <v>14206</v>
      </c>
      <c r="G6147" s="3" t="s">
        <v>1665</v>
      </c>
      <c r="H6147" s="3" t="s">
        <v>5656</v>
      </c>
      <c r="I6147" s="3" t="s">
        <v>575</v>
      </c>
      <c r="K6147" s="2">
        <v>10</v>
      </c>
      <c r="L6147" s="2">
        <v>8</v>
      </c>
      <c r="M6147" s="3" t="s">
        <v>2946</v>
      </c>
      <c r="N6147" s="3" t="s">
        <v>571</v>
      </c>
      <c r="O6147" s="3" t="s">
        <v>2943</v>
      </c>
      <c r="P6147" s="3" t="s">
        <v>1788</v>
      </c>
      <c r="Q6147" s="30" t="str">
        <f t="shared" si="96"/>
        <v>MAX : 0.445
TARGET : 0.391
MIN : 0.345</v>
      </c>
    </row>
    <row r="6148" spans="2:17" ht="41.4" x14ac:dyDescent="0.3">
      <c r="B6148">
        <v>0</v>
      </c>
      <c r="C6148" s="33">
        <v>9353</v>
      </c>
      <c r="D6148" s="2">
        <v>1597</v>
      </c>
      <c r="E6148" s="2" t="s">
        <v>13577</v>
      </c>
      <c r="F6148" s="3" t="s">
        <v>14206</v>
      </c>
      <c r="G6148" s="3" t="s">
        <v>1665</v>
      </c>
      <c r="H6148" s="3" t="s">
        <v>5656</v>
      </c>
      <c r="I6148" s="3" t="s">
        <v>575</v>
      </c>
      <c r="K6148" s="2">
        <v>20</v>
      </c>
      <c r="L6148" s="2">
        <v>1</v>
      </c>
      <c r="M6148" s="3" t="s">
        <v>2620</v>
      </c>
      <c r="N6148" s="3" t="s">
        <v>13</v>
      </c>
      <c r="O6148" s="3" t="s">
        <v>14</v>
      </c>
      <c r="Q6148" s="30" t="str">
        <f t="shared" si="96"/>
        <v>MAX : 
TARGET : Yes(Pass)
MIN : No(Fail)</v>
      </c>
    </row>
    <row r="6149" spans="2:17" ht="41.4" x14ac:dyDescent="0.3">
      <c r="B6149">
        <v>0</v>
      </c>
      <c r="C6149" s="33">
        <v>9353</v>
      </c>
      <c r="D6149" s="2">
        <v>1597</v>
      </c>
      <c r="E6149" s="2" t="s">
        <v>13577</v>
      </c>
      <c r="F6149" s="3" t="s">
        <v>14206</v>
      </c>
      <c r="G6149" s="3" t="s">
        <v>1665</v>
      </c>
      <c r="H6149" s="3" t="s">
        <v>5656</v>
      </c>
      <c r="I6149" s="3" t="s">
        <v>575</v>
      </c>
      <c r="K6149" s="2">
        <v>20</v>
      </c>
      <c r="L6149" s="2">
        <v>2</v>
      </c>
      <c r="M6149" s="3" t="s">
        <v>5660</v>
      </c>
      <c r="N6149" s="3" t="s">
        <v>13</v>
      </c>
      <c r="O6149" s="3" t="s">
        <v>14</v>
      </c>
      <c r="Q6149" s="30" t="str">
        <f t="shared" si="96"/>
        <v>MAX : 
TARGET : Yes(Pass)
MIN : No(Fail)</v>
      </c>
    </row>
    <row r="6150" spans="2:17" ht="41.4" x14ac:dyDescent="0.3">
      <c r="B6150">
        <v>0</v>
      </c>
      <c r="C6150" s="33">
        <v>9353</v>
      </c>
      <c r="D6150" s="2">
        <v>1597</v>
      </c>
      <c r="E6150" s="2" t="s">
        <v>13577</v>
      </c>
      <c r="F6150" s="3" t="s">
        <v>14206</v>
      </c>
      <c r="G6150" s="3" t="s">
        <v>1665</v>
      </c>
      <c r="H6150" s="3" t="s">
        <v>5656</v>
      </c>
      <c r="I6150" s="3" t="s">
        <v>575</v>
      </c>
      <c r="K6150" s="2">
        <v>20</v>
      </c>
      <c r="L6150" s="2">
        <v>4</v>
      </c>
      <c r="M6150" s="3" t="s">
        <v>4539</v>
      </c>
      <c r="N6150" s="3" t="s">
        <v>13</v>
      </c>
      <c r="O6150" s="3" t="s">
        <v>14</v>
      </c>
      <c r="Q6150" s="30" t="str">
        <f t="shared" si="96"/>
        <v>MAX : 
TARGET : Yes(Pass)
MIN : No(Fail)</v>
      </c>
    </row>
    <row r="6151" spans="2:17" ht="41.4" x14ac:dyDescent="0.3">
      <c r="B6151">
        <v>0</v>
      </c>
      <c r="C6151" s="33">
        <v>9353</v>
      </c>
      <c r="D6151" s="2">
        <v>1597</v>
      </c>
      <c r="E6151" s="2" t="s">
        <v>13577</v>
      </c>
      <c r="F6151" s="3" t="s">
        <v>14206</v>
      </c>
      <c r="G6151" s="3" t="s">
        <v>1665</v>
      </c>
      <c r="H6151" s="3" t="s">
        <v>5656</v>
      </c>
      <c r="I6151" s="3" t="s">
        <v>575</v>
      </c>
      <c r="K6151" s="2">
        <v>20</v>
      </c>
      <c r="L6151" s="2">
        <v>3</v>
      </c>
      <c r="M6151" s="3" t="s">
        <v>5661</v>
      </c>
      <c r="N6151" s="3" t="s">
        <v>13</v>
      </c>
      <c r="O6151" s="3" t="s">
        <v>14</v>
      </c>
      <c r="Q6151" s="30" t="str">
        <f t="shared" si="96"/>
        <v>MAX : 
TARGET : Yes(Pass)
MIN : No(Fail)</v>
      </c>
    </row>
    <row r="6152" spans="2:17" ht="41.4" x14ac:dyDescent="0.3">
      <c r="B6152">
        <v>0</v>
      </c>
      <c r="C6152" s="33">
        <v>9353</v>
      </c>
      <c r="D6152" s="2">
        <v>1597</v>
      </c>
      <c r="E6152" s="2" t="s">
        <v>13577</v>
      </c>
      <c r="F6152" s="3" t="s">
        <v>14206</v>
      </c>
      <c r="G6152" s="3" t="s">
        <v>1665</v>
      </c>
      <c r="H6152" s="3" t="s">
        <v>5656</v>
      </c>
      <c r="I6152" s="3" t="s">
        <v>575</v>
      </c>
      <c r="K6152" s="2">
        <v>20</v>
      </c>
      <c r="L6152" s="2">
        <v>6</v>
      </c>
      <c r="M6152" s="3" t="s">
        <v>4540</v>
      </c>
      <c r="N6152" s="3" t="s">
        <v>13</v>
      </c>
      <c r="O6152" s="3" t="s">
        <v>14</v>
      </c>
      <c r="Q6152" s="30" t="str">
        <f t="shared" si="96"/>
        <v>MAX : 
TARGET : Yes(Pass)
MIN : No(Fail)</v>
      </c>
    </row>
    <row r="6153" spans="2:17" ht="41.4" x14ac:dyDescent="0.3">
      <c r="B6153">
        <v>0</v>
      </c>
      <c r="C6153" s="33">
        <v>9353</v>
      </c>
      <c r="D6153" s="2">
        <v>1597</v>
      </c>
      <c r="E6153" s="2" t="s">
        <v>13577</v>
      </c>
      <c r="F6153" s="3" t="s">
        <v>14206</v>
      </c>
      <c r="G6153" s="3" t="s">
        <v>1665</v>
      </c>
      <c r="H6153" s="3" t="s">
        <v>5656</v>
      </c>
      <c r="I6153" s="3" t="s">
        <v>575</v>
      </c>
      <c r="K6153" s="2">
        <v>10</v>
      </c>
      <c r="L6153" s="2">
        <v>9</v>
      </c>
      <c r="M6153" s="3" t="s">
        <v>2948</v>
      </c>
      <c r="N6153" s="3" t="s">
        <v>5662</v>
      </c>
      <c r="O6153" s="3" t="s">
        <v>1600</v>
      </c>
      <c r="P6153" s="3" t="s">
        <v>5663</v>
      </c>
      <c r="Q6153" s="30" t="str">
        <f t="shared" si="96"/>
        <v>MAX : 2.210
TARGET : 2.200
MIN : 2.190</v>
      </c>
    </row>
    <row r="6154" spans="2:17" ht="41.4" x14ac:dyDescent="0.3">
      <c r="B6154">
        <v>0</v>
      </c>
      <c r="C6154" s="33">
        <v>9353</v>
      </c>
      <c r="D6154" s="2">
        <v>1597</v>
      </c>
      <c r="E6154" s="2" t="s">
        <v>13577</v>
      </c>
      <c r="F6154" s="3" t="s">
        <v>14206</v>
      </c>
      <c r="G6154" s="3" t="s">
        <v>1665</v>
      </c>
      <c r="H6154" s="3" t="s">
        <v>5656</v>
      </c>
      <c r="I6154" s="3" t="s">
        <v>575</v>
      </c>
      <c r="K6154" s="2">
        <v>10</v>
      </c>
      <c r="L6154" s="2">
        <v>2</v>
      </c>
      <c r="M6154" s="3" t="s">
        <v>5664</v>
      </c>
      <c r="N6154" s="3" t="s">
        <v>13</v>
      </c>
      <c r="O6154" s="3" t="s">
        <v>14</v>
      </c>
      <c r="Q6154" s="30" t="str">
        <f t="shared" si="96"/>
        <v>MAX : 
TARGET : Yes(Pass)
MIN : No(Fail)</v>
      </c>
    </row>
    <row r="6155" spans="2:17" ht="41.4" x14ac:dyDescent="0.3">
      <c r="B6155">
        <v>0</v>
      </c>
      <c r="C6155" s="33">
        <v>9353</v>
      </c>
      <c r="D6155" s="2">
        <v>1597</v>
      </c>
      <c r="E6155" s="2" t="s">
        <v>13577</v>
      </c>
      <c r="F6155" s="3" t="s">
        <v>14206</v>
      </c>
      <c r="G6155" s="3" t="s">
        <v>1665</v>
      </c>
      <c r="H6155" s="3" t="s">
        <v>5656</v>
      </c>
      <c r="I6155" s="3" t="s">
        <v>575</v>
      </c>
      <c r="K6155" s="2">
        <v>10</v>
      </c>
      <c r="L6155" s="2">
        <v>10</v>
      </c>
      <c r="M6155" s="3" t="s">
        <v>2931</v>
      </c>
      <c r="N6155" s="3" t="s">
        <v>13</v>
      </c>
      <c r="O6155" s="3" t="s">
        <v>14</v>
      </c>
      <c r="Q6155" s="30" t="str">
        <f t="shared" si="96"/>
        <v>MAX : 
TARGET : Yes(Pass)
MIN : No(Fail)</v>
      </c>
    </row>
    <row r="6156" spans="2:17" ht="41.4" x14ac:dyDescent="0.3">
      <c r="B6156">
        <v>0</v>
      </c>
      <c r="C6156" s="33">
        <v>9353</v>
      </c>
      <c r="D6156" s="2">
        <v>1597</v>
      </c>
      <c r="E6156" s="2" t="s">
        <v>13577</v>
      </c>
      <c r="F6156" s="3" t="s">
        <v>14206</v>
      </c>
      <c r="G6156" s="3" t="s">
        <v>1665</v>
      </c>
      <c r="H6156" s="3" t="s">
        <v>5656</v>
      </c>
      <c r="I6156" s="3" t="s">
        <v>575</v>
      </c>
      <c r="K6156" s="2">
        <v>20</v>
      </c>
      <c r="L6156" s="2">
        <v>5</v>
      </c>
      <c r="M6156" s="3" t="s">
        <v>2624</v>
      </c>
      <c r="N6156" s="3" t="s">
        <v>13</v>
      </c>
      <c r="O6156" s="3" t="s">
        <v>14</v>
      </c>
      <c r="Q6156" s="30" t="str">
        <f t="shared" si="96"/>
        <v>MAX : 
TARGET : Yes(Pass)
MIN : No(Fail)</v>
      </c>
    </row>
    <row r="6157" spans="2:17" ht="41.4" x14ac:dyDescent="0.3">
      <c r="B6157">
        <v>0</v>
      </c>
      <c r="C6157" s="33">
        <v>9353</v>
      </c>
      <c r="D6157" s="2">
        <v>1597</v>
      </c>
      <c r="E6157" s="2" t="s">
        <v>13577</v>
      </c>
      <c r="F6157" s="3" t="s">
        <v>14206</v>
      </c>
      <c r="G6157" s="3" t="s">
        <v>1665</v>
      </c>
      <c r="H6157" s="3" t="s">
        <v>5656</v>
      </c>
      <c r="I6157" s="3" t="s">
        <v>575</v>
      </c>
      <c r="K6157" s="2">
        <v>20</v>
      </c>
      <c r="L6157" s="2">
        <v>7</v>
      </c>
      <c r="M6157" s="3" t="s">
        <v>4541</v>
      </c>
      <c r="N6157" s="3" t="s">
        <v>13</v>
      </c>
      <c r="O6157" s="3" t="s">
        <v>14</v>
      </c>
      <c r="Q6157" s="30" t="str">
        <f t="shared" si="96"/>
        <v>MAX : 
TARGET : Yes(Pass)
MIN : No(Fail)</v>
      </c>
    </row>
    <row r="6158" spans="2:17" ht="41.4" x14ac:dyDescent="0.3">
      <c r="B6158">
        <v>0</v>
      </c>
      <c r="C6158" s="33">
        <v>9353</v>
      </c>
      <c r="D6158" s="2">
        <v>1597</v>
      </c>
      <c r="E6158" s="2" t="s">
        <v>13577</v>
      </c>
      <c r="F6158" s="3" t="s">
        <v>14206</v>
      </c>
      <c r="G6158" s="3" t="s">
        <v>1665</v>
      </c>
      <c r="H6158" s="3" t="s">
        <v>5656</v>
      </c>
      <c r="I6158" s="3" t="s">
        <v>575</v>
      </c>
      <c r="K6158" s="2">
        <v>20</v>
      </c>
      <c r="L6158" s="2">
        <v>0.1</v>
      </c>
      <c r="Q6158" s="30" t="str">
        <f t="shared" si="96"/>
        <v xml:space="preserve">MAX : 
TARGET : 
MIN : </v>
      </c>
    </row>
    <row r="6159" spans="2:17" ht="41.4" x14ac:dyDescent="0.3">
      <c r="B6159">
        <v>0</v>
      </c>
      <c r="C6159" s="33">
        <v>9353</v>
      </c>
      <c r="D6159" s="2">
        <v>1597</v>
      </c>
      <c r="E6159" s="2" t="s">
        <v>13577</v>
      </c>
      <c r="F6159" s="3" t="s">
        <v>14206</v>
      </c>
      <c r="G6159" s="3" t="s">
        <v>1665</v>
      </c>
      <c r="H6159" s="3" t="s">
        <v>5656</v>
      </c>
      <c r="I6159" s="3" t="s">
        <v>575</v>
      </c>
      <c r="K6159" s="2">
        <v>20</v>
      </c>
      <c r="L6159" s="2">
        <v>0.2</v>
      </c>
      <c r="Q6159" s="30" t="str">
        <f t="shared" si="96"/>
        <v xml:space="preserve">MAX : 
TARGET : 
MIN : </v>
      </c>
    </row>
    <row r="6160" spans="2:17" ht="41.4" x14ac:dyDescent="0.3">
      <c r="B6160">
        <v>0</v>
      </c>
      <c r="C6160" s="33">
        <v>9353</v>
      </c>
      <c r="D6160" s="2">
        <v>1597</v>
      </c>
      <c r="E6160" s="2" t="s">
        <v>13577</v>
      </c>
      <c r="F6160" s="3" t="s">
        <v>14206</v>
      </c>
      <c r="G6160" s="3" t="s">
        <v>1665</v>
      </c>
      <c r="H6160" s="3" t="s">
        <v>5656</v>
      </c>
      <c r="I6160" s="3" t="s">
        <v>575</v>
      </c>
      <c r="K6160" s="2">
        <v>20</v>
      </c>
      <c r="L6160" s="2">
        <v>0.3</v>
      </c>
      <c r="Q6160" s="30" t="str">
        <f t="shared" si="96"/>
        <v xml:space="preserve">MAX : 
TARGET : 
MIN : </v>
      </c>
    </row>
    <row r="6161" spans="2:17" ht="41.4" x14ac:dyDescent="0.3">
      <c r="B6161">
        <v>0</v>
      </c>
      <c r="C6161" s="33">
        <v>9353</v>
      </c>
      <c r="D6161" s="2">
        <v>1597</v>
      </c>
      <c r="E6161" s="2" t="s">
        <v>13577</v>
      </c>
      <c r="F6161" s="3" t="s">
        <v>14206</v>
      </c>
      <c r="G6161" s="3" t="s">
        <v>1665</v>
      </c>
      <c r="H6161" s="3" t="s">
        <v>5656</v>
      </c>
      <c r="I6161" s="3" t="s">
        <v>575</v>
      </c>
      <c r="K6161" s="2">
        <v>20</v>
      </c>
      <c r="L6161" s="2">
        <v>0.4</v>
      </c>
      <c r="Q6161" s="30" t="str">
        <f t="shared" si="96"/>
        <v xml:space="preserve">MAX : 
TARGET : 
MIN : </v>
      </c>
    </row>
    <row r="6162" spans="2:17" ht="41.4" x14ac:dyDescent="0.3">
      <c r="B6162">
        <v>0</v>
      </c>
      <c r="C6162" s="33">
        <v>9353</v>
      </c>
      <c r="D6162" s="2">
        <v>1597</v>
      </c>
      <c r="E6162" s="2" t="s">
        <v>13577</v>
      </c>
      <c r="F6162" s="3" t="s">
        <v>14206</v>
      </c>
      <c r="G6162" s="3" t="s">
        <v>1665</v>
      </c>
      <c r="H6162" s="3" t="s">
        <v>5656</v>
      </c>
      <c r="I6162" s="3" t="s">
        <v>575</v>
      </c>
      <c r="K6162" s="2">
        <v>20</v>
      </c>
      <c r="L6162" s="2">
        <v>0.5</v>
      </c>
      <c r="Q6162" s="30" t="str">
        <f t="shared" si="96"/>
        <v xml:space="preserve">MAX : 
TARGET : 
MIN : </v>
      </c>
    </row>
    <row r="6163" spans="2:17" ht="41.4" x14ac:dyDescent="0.3">
      <c r="B6163">
        <v>0</v>
      </c>
      <c r="C6163" s="33">
        <v>9353</v>
      </c>
      <c r="D6163" s="2">
        <v>1597</v>
      </c>
      <c r="E6163" s="2" t="s">
        <v>13577</v>
      </c>
      <c r="F6163" s="3" t="s">
        <v>14206</v>
      </c>
      <c r="G6163" s="3" t="s">
        <v>1665</v>
      </c>
      <c r="H6163" s="3" t="s">
        <v>5656</v>
      </c>
      <c r="I6163" s="3" t="s">
        <v>575</v>
      </c>
      <c r="K6163" s="2">
        <v>20</v>
      </c>
      <c r="L6163" s="2">
        <v>0.6</v>
      </c>
      <c r="Q6163" s="30" t="str">
        <f t="shared" si="96"/>
        <v xml:space="preserve">MAX : 
TARGET : 
MIN : </v>
      </c>
    </row>
    <row r="6164" spans="2:17" ht="41.4" x14ac:dyDescent="0.3">
      <c r="B6164">
        <v>0</v>
      </c>
      <c r="C6164" s="33">
        <v>9353</v>
      </c>
      <c r="D6164" s="2">
        <v>1597</v>
      </c>
      <c r="E6164" s="2" t="s">
        <v>13577</v>
      </c>
      <c r="F6164" s="3" t="s">
        <v>14206</v>
      </c>
      <c r="G6164" s="3" t="s">
        <v>1665</v>
      </c>
      <c r="H6164" s="3" t="s">
        <v>5656</v>
      </c>
      <c r="I6164" s="3" t="s">
        <v>575</v>
      </c>
      <c r="K6164" s="2">
        <v>10</v>
      </c>
      <c r="L6164" s="2">
        <v>11</v>
      </c>
      <c r="M6164" s="3" t="s">
        <v>5665</v>
      </c>
      <c r="Q6164" s="30" t="str">
        <f t="shared" si="96"/>
        <v xml:space="preserve">MAX : 
TARGET : 
MIN : </v>
      </c>
    </row>
    <row r="6165" spans="2:17" ht="41.4" x14ac:dyDescent="0.3">
      <c r="B6165">
        <v>1</v>
      </c>
      <c r="C6165" s="33">
        <v>9352</v>
      </c>
      <c r="D6165" s="2">
        <v>1596</v>
      </c>
      <c r="E6165" s="2" t="s">
        <v>13925</v>
      </c>
      <c r="F6165" s="3" t="s">
        <v>14206</v>
      </c>
      <c r="H6165" s="3" t="s">
        <v>2138</v>
      </c>
      <c r="K6165" s="2">
        <v>10</v>
      </c>
      <c r="L6165" s="2">
        <v>1</v>
      </c>
      <c r="M6165" s="3" t="s">
        <v>194</v>
      </c>
      <c r="N6165" s="3" t="s">
        <v>1173</v>
      </c>
      <c r="O6165" s="3" t="s">
        <v>250</v>
      </c>
      <c r="P6165" s="3" t="s">
        <v>1174</v>
      </c>
      <c r="Q6165" s="30" t="str">
        <f t="shared" si="96"/>
        <v>MAX : 6.06
TARGET : 6.00
MIN : 5.94</v>
      </c>
    </row>
    <row r="6166" spans="2:17" ht="41.4" x14ac:dyDescent="0.3">
      <c r="B6166">
        <v>1</v>
      </c>
      <c r="C6166" s="33">
        <v>9353</v>
      </c>
      <c r="D6166" s="2">
        <v>1597</v>
      </c>
      <c r="E6166" s="2" t="s">
        <v>13577</v>
      </c>
      <c r="F6166" s="3" t="s">
        <v>14206</v>
      </c>
      <c r="G6166" s="3" t="s">
        <v>1665</v>
      </c>
      <c r="H6166" s="3" t="s">
        <v>5656</v>
      </c>
      <c r="I6166" s="3" t="s">
        <v>575</v>
      </c>
      <c r="K6166" s="2">
        <v>10</v>
      </c>
      <c r="L6166" s="2">
        <v>4</v>
      </c>
      <c r="M6166" s="3" t="s">
        <v>198</v>
      </c>
      <c r="N6166" s="3" t="s">
        <v>5658</v>
      </c>
      <c r="O6166" s="3" t="s">
        <v>543</v>
      </c>
      <c r="P6166" s="3" t="s">
        <v>5659</v>
      </c>
      <c r="Q6166" s="30" t="str">
        <f t="shared" si="96"/>
        <v>MAX : 3.531
TARGET : 3.500
MIN : 3.469</v>
      </c>
    </row>
    <row r="6167" spans="2:17" ht="41.4" x14ac:dyDescent="0.3">
      <c r="B6167">
        <v>1</v>
      </c>
      <c r="C6167" s="33">
        <v>9353</v>
      </c>
      <c r="D6167" s="2">
        <v>1597</v>
      </c>
      <c r="E6167" s="2" t="s">
        <v>13577</v>
      </c>
      <c r="F6167" s="3" t="s">
        <v>14206</v>
      </c>
      <c r="G6167" s="3" t="s">
        <v>1665</v>
      </c>
      <c r="H6167" s="3" t="s">
        <v>5656</v>
      </c>
      <c r="I6167" s="3" t="s">
        <v>575</v>
      </c>
      <c r="K6167" s="2">
        <v>10</v>
      </c>
      <c r="L6167" s="2">
        <v>3</v>
      </c>
      <c r="M6167" s="3" t="s">
        <v>194</v>
      </c>
      <c r="N6167" s="3" t="s">
        <v>5657</v>
      </c>
      <c r="O6167" s="3" t="s">
        <v>521</v>
      </c>
      <c r="P6167" s="3" t="s">
        <v>2268</v>
      </c>
      <c r="Q6167" s="30" t="str">
        <f t="shared" si="96"/>
        <v>MAX : 3.781
TARGET : 3.750
MIN : 3.719</v>
      </c>
    </row>
    <row r="6168" spans="2:17" ht="41.4" x14ac:dyDescent="0.3">
      <c r="B6168">
        <v>1</v>
      </c>
      <c r="C6168" s="33">
        <v>9354</v>
      </c>
      <c r="D6168" s="2">
        <v>1598</v>
      </c>
      <c r="E6168" s="2" t="s">
        <v>13936</v>
      </c>
      <c r="F6168" s="3" t="s">
        <v>14207</v>
      </c>
      <c r="H6168" s="3" t="s">
        <v>648</v>
      </c>
      <c r="K6168" s="2">
        <v>10</v>
      </c>
      <c r="L6168" s="2">
        <v>2</v>
      </c>
      <c r="M6168" s="3" t="s">
        <v>198</v>
      </c>
      <c r="N6168" s="3" t="s">
        <v>6072</v>
      </c>
      <c r="O6168" s="3" t="s">
        <v>6073</v>
      </c>
      <c r="P6168" s="3" t="s">
        <v>6074</v>
      </c>
      <c r="Q6168" s="30" t="str">
        <f t="shared" si="96"/>
        <v>MAX : 169.8
TARGET : 169.0
MIN : 168.2</v>
      </c>
    </row>
    <row r="6169" spans="2:17" ht="41.4" x14ac:dyDescent="0.3">
      <c r="B6169">
        <v>0</v>
      </c>
      <c r="C6169" s="33">
        <v>9362</v>
      </c>
      <c r="D6169" s="2">
        <v>1602</v>
      </c>
      <c r="E6169" s="2" t="s">
        <v>13979</v>
      </c>
      <c r="F6169" s="3" t="s">
        <v>14207</v>
      </c>
      <c r="H6169" s="3" t="s">
        <v>1069</v>
      </c>
      <c r="I6169" s="3" t="s">
        <v>575</v>
      </c>
      <c r="K6169" s="2">
        <v>20</v>
      </c>
      <c r="L6169" s="2">
        <v>3</v>
      </c>
      <c r="M6169" s="3" t="s">
        <v>6111</v>
      </c>
      <c r="N6169" s="3" t="s">
        <v>13</v>
      </c>
      <c r="O6169" s="3" t="s">
        <v>14</v>
      </c>
      <c r="Q6169" s="30" t="str">
        <f t="shared" si="96"/>
        <v>MAX : 
TARGET : Yes(Pass)
MIN : No(Fail)</v>
      </c>
    </row>
    <row r="6170" spans="2:17" ht="41.4" x14ac:dyDescent="0.3">
      <c r="B6170">
        <v>0</v>
      </c>
      <c r="C6170" s="33">
        <v>9362</v>
      </c>
      <c r="D6170" s="2">
        <v>1602</v>
      </c>
      <c r="E6170" s="2" t="s">
        <v>13979</v>
      </c>
      <c r="F6170" s="3" t="s">
        <v>14207</v>
      </c>
      <c r="H6170" s="3" t="s">
        <v>1069</v>
      </c>
      <c r="I6170" s="3" t="s">
        <v>575</v>
      </c>
      <c r="K6170" s="2">
        <v>20</v>
      </c>
      <c r="L6170" s="2">
        <v>4</v>
      </c>
      <c r="M6170" s="3" t="s">
        <v>6112</v>
      </c>
      <c r="N6170" s="3" t="s">
        <v>13</v>
      </c>
      <c r="O6170" s="3" t="s">
        <v>14</v>
      </c>
      <c r="Q6170" s="30" t="str">
        <f t="shared" si="96"/>
        <v>MAX : 
TARGET : Yes(Pass)
MIN : No(Fail)</v>
      </c>
    </row>
    <row r="6171" spans="2:17" ht="41.4" x14ac:dyDescent="0.3">
      <c r="B6171">
        <v>1</v>
      </c>
      <c r="C6171" s="33">
        <v>9354</v>
      </c>
      <c r="D6171" s="2">
        <v>1598</v>
      </c>
      <c r="E6171" s="2" t="s">
        <v>13936</v>
      </c>
      <c r="F6171" s="3" t="s">
        <v>14207</v>
      </c>
      <c r="H6171" s="3" t="s">
        <v>648</v>
      </c>
      <c r="K6171" s="2">
        <v>10</v>
      </c>
      <c r="L6171" s="2">
        <v>1</v>
      </c>
      <c r="M6171" s="3" t="s">
        <v>813</v>
      </c>
      <c r="N6171" s="3" t="s">
        <v>6069</v>
      </c>
      <c r="O6171" s="3" t="s">
        <v>6070</v>
      </c>
      <c r="P6171" s="3" t="s">
        <v>6071</v>
      </c>
      <c r="Q6171" s="30" t="str">
        <f t="shared" si="96"/>
        <v>MAX : 194.4
TARGET : 193.6
MIN : 192.8</v>
      </c>
    </row>
    <row r="6172" spans="2:17" ht="41.4" x14ac:dyDescent="0.3">
      <c r="B6172">
        <v>1</v>
      </c>
      <c r="C6172" s="33">
        <v>9355</v>
      </c>
      <c r="D6172" s="2">
        <v>1599</v>
      </c>
      <c r="E6172" s="2" t="s">
        <v>13942</v>
      </c>
      <c r="F6172" s="3" t="s">
        <v>14207</v>
      </c>
      <c r="H6172" s="3" t="s">
        <v>504</v>
      </c>
      <c r="K6172" s="2">
        <v>10</v>
      </c>
      <c r="L6172" s="2">
        <v>2</v>
      </c>
      <c r="M6172" s="3" t="s">
        <v>198</v>
      </c>
      <c r="N6172" s="3" t="s">
        <v>4410</v>
      </c>
      <c r="O6172" s="3" t="s">
        <v>6067</v>
      </c>
      <c r="P6172" s="3" t="s">
        <v>6068</v>
      </c>
      <c r="Q6172" s="30" t="str">
        <f t="shared" si="96"/>
        <v>MAX : 78
TARGET : 75
MIN : 72</v>
      </c>
    </row>
    <row r="6173" spans="2:17" ht="41.4" x14ac:dyDescent="0.3">
      <c r="B6173">
        <v>0</v>
      </c>
      <c r="C6173" s="33">
        <v>9364</v>
      </c>
      <c r="D6173" s="2">
        <v>1604</v>
      </c>
      <c r="E6173" s="2" t="s">
        <v>13991</v>
      </c>
      <c r="F6173" s="3" t="s">
        <v>14207</v>
      </c>
      <c r="H6173" s="3" t="s">
        <v>1915</v>
      </c>
      <c r="I6173" s="3" t="s">
        <v>575</v>
      </c>
      <c r="K6173" s="2">
        <v>20</v>
      </c>
      <c r="L6173" s="2">
        <v>1</v>
      </c>
      <c r="M6173" s="3" t="s">
        <v>194</v>
      </c>
      <c r="N6173" s="3" t="s">
        <v>2836</v>
      </c>
      <c r="O6173" s="3" t="s">
        <v>1351</v>
      </c>
      <c r="P6173" s="3" t="s">
        <v>1355</v>
      </c>
      <c r="Q6173" s="30" t="str">
        <f t="shared" si="96"/>
        <v>MAX : 9.5
TARGET : 8.0
MIN : 6.5</v>
      </c>
    </row>
    <row r="6174" spans="2:17" ht="41.4" x14ac:dyDescent="0.3">
      <c r="B6174">
        <v>0</v>
      </c>
      <c r="C6174" s="33">
        <v>9364</v>
      </c>
      <c r="D6174" s="2">
        <v>1604</v>
      </c>
      <c r="E6174" s="2" t="s">
        <v>13991</v>
      </c>
      <c r="F6174" s="3" t="s">
        <v>14207</v>
      </c>
      <c r="H6174" s="3" t="s">
        <v>1915</v>
      </c>
      <c r="I6174" s="3" t="s">
        <v>575</v>
      </c>
      <c r="K6174" s="2">
        <v>20</v>
      </c>
      <c r="L6174" s="2">
        <v>2</v>
      </c>
      <c r="M6174" s="3" t="s">
        <v>3883</v>
      </c>
      <c r="N6174" s="3" t="s">
        <v>6113</v>
      </c>
      <c r="O6174" s="3" t="s">
        <v>6114</v>
      </c>
      <c r="P6174" s="3" t="s">
        <v>6115</v>
      </c>
      <c r="Q6174" s="30" t="str">
        <f t="shared" si="96"/>
        <v>MAX : 34.5
TARGET : 33.0
MIN : 31.5</v>
      </c>
    </row>
    <row r="6175" spans="2:17" ht="41.4" x14ac:dyDescent="0.3">
      <c r="B6175">
        <v>0</v>
      </c>
      <c r="C6175" s="33">
        <v>9364</v>
      </c>
      <c r="D6175" s="2">
        <v>1604</v>
      </c>
      <c r="E6175" s="2" t="s">
        <v>13991</v>
      </c>
      <c r="F6175" s="3" t="s">
        <v>14207</v>
      </c>
      <c r="H6175" s="3" t="s">
        <v>1915</v>
      </c>
      <c r="I6175" s="3" t="s">
        <v>575</v>
      </c>
      <c r="K6175" s="2">
        <v>20</v>
      </c>
      <c r="L6175" s="2">
        <v>3</v>
      </c>
      <c r="M6175" s="3" t="s">
        <v>198</v>
      </c>
      <c r="N6175" s="3" t="s">
        <v>6116</v>
      </c>
      <c r="O6175" s="3" t="s">
        <v>6117</v>
      </c>
      <c r="P6175" s="3" t="s">
        <v>6063</v>
      </c>
      <c r="Q6175" s="30" t="str">
        <f t="shared" si="96"/>
        <v>MAX : 37.0
TARGET : 35.5
MIN : 34.0</v>
      </c>
    </row>
    <row r="6176" spans="2:17" ht="41.4" x14ac:dyDescent="0.3">
      <c r="B6176">
        <v>0</v>
      </c>
      <c r="C6176" s="33">
        <v>9364</v>
      </c>
      <c r="D6176" s="2">
        <v>1604</v>
      </c>
      <c r="E6176" s="2" t="s">
        <v>13991</v>
      </c>
      <c r="F6176" s="3" t="s">
        <v>14207</v>
      </c>
      <c r="H6176" s="3" t="s">
        <v>1915</v>
      </c>
      <c r="I6176" s="3" t="s">
        <v>575</v>
      </c>
      <c r="K6176" s="2">
        <v>20</v>
      </c>
      <c r="L6176" s="2">
        <v>4</v>
      </c>
      <c r="M6176" s="3" t="s">
        <v>1605</v>
      </c>
      <c r="N6176" s="3" t="s">
        <v>851</v>
      </c>
      <c r="O6176" s="3" t="s">
        <v>14</v>
      </c>
      <c r="Q6176" s="30" t="str">
        <f t="shared" si="96"/>
        <v>MAX : 
TARGET : Yes(Pass)
MIN : No(fail)</v>
      </c>
    </row>
    <row r="6177" spans="2:18" ht="41.4" x14ac:dyDescent="0.3">
      <c r="B6177">
        <v>0</v>
      </c>
      <c r="C6177" s="33">
        <v>9364</v>
      </c>
      <c r="D6177" s="2">
        <v>1604</v>
      </c>
      <c r="E6177" s="2" t="s">
        <v>13991</v>
      </c>
      <c r="F6177" s="3" t="s">
        <v>14207</v>
      </c>
      <c r="H6177" s="3" t="s">
        <v>1915</v>
      </c>
      <c r="I6177" s="3" t="s">
        <v>575</v>
      </c>
      <c r="K6177" s="2">
        <v>30</v>
      </c>
      <c r="L6177" s="2">
        <v>1</v>
      </c>
      <c r="M6177" s="3" t="s">
        <v>6118</v>
      </c>
      <c r="N6177" s="3" t="s">
        <v>5296</v>
      </c>
      <c r="O6177" s="3" t="s">
        <v>3399</v>
      </c>
      <c r="P6177" s="3" t="s">
        <v>1064</v>
      </c>
      <c r="Q6177" s="30" t="str">
        <f t="shared" si="96"/>
        <v>MAX : 4.0
TARGET : 2.5
MIN : 1.0</v>
      </c>
    </row>
    <row r="6178" spans="2:18" ht="41.4" x14ac:dyDescent="0.3">
      <c r="B6178">
        <v>0</v>
      </c>
      <c r="C6178" s="33">
        <v>9364</v>
      </c>
      <c r="D6178" s="2">
        <v>1604</v>
      </c>
      <c r="E6178" s="2" t="s">
        <v>13991</v>
      </c>
      <c r="F6178" s="3" t="s">
        <v>14207</v>
      </c>
      <c r="H6178" s="3" t="s">
        <v>1915</v>
      </c>
      <c r="I6178" s="3" t="s">
        <v>575</v>
      </c>
      <c r="K6178" s="2">
        <v>30</v>
      </c>
      <c r="L6178" s="2">
        <v>2</v>
      </c>
      <c r="M6178" s="3" t="s">
        <v>6119</v>
      </c>
      <c r="N6178" s="3" t="s">
        <v>6120</v>
      </c>
      <c r="O6178" s="3" t="s">
        <v>2355</v>
      </c>
      <c r="P6178" s="3" t="s">
        <v>6121</v>
      </c>
      <c r="Q6178" s="30" t="str">
        <f t="shared" si="96"/>
        <v>MAX : 3.7
TARGET : 2.2
MIN : 0.7</v>
      </c>
    </row>
    <row r="6179" spans="2:18" ht="41.4" x14ac:dyDescent="0.3">
      <c r="B6179">
        <v>1</v>
      </c>
      <c r="C6179" s="33">
        <v>9355</v>
      </c>
      <c r="D6179" s="2">
        <v>1599</v>
      </c>
      <c r="E6179" s="2" t="s">
        <v>13942</v>
      </c>
      <c r="F6179" s="3" t="s">
        <v>14207</v>
      </c>
      <c r="H6179" s="3" t="s">
        <v>504</v>
      </c>
      <c r="K6179" s="2">
        <v>10</v>
      </c>
      <c r="L6179" s="2">
        <v>1</v>
      </c>
      <c r="M6179" s="3" t="s">
        <v>813</v>
      </c>
      <c r="N6179" s="3" t="s">
        <v>6065</v>
      </c>
      <c r="O6179" s="3" t="s">
        <v>1877</v>
      </c>
      <c r="P6179" s="3" t="s">
        <v>6066</v>
      </c>
      <c r="Q6179" s="30" t="str">
        <f t="shared" si="96"/>
        <v>MAX : 155
TARGET : 152
MIN : 149</v>
      </c>
    </row>
    <row r="6180" spans="2:18" ht="41.4" x14ac:dyDescent="0.3">
      <c r="B6180">
        <v>0</v>
      </c>
      <c r="C6180" s="33">
        <v>9346</v>
      </c>
      <c r="D6180" s="2">
        <v>1592</v>
      </c>
      <c r="E6180" s="2" t="s">
        <v>13887</v>
      </c>
      <c r="F6180" s="3" t="s">
        <v>14206</v>
      </c>
      <c r="H6180" s="3" t="s">
        <v>648</v>
      </c>
      <c r="I6180" s="3" t="s">
        <v>575</v>
      </c>
      <c r="K6180" s="2">
        <v>20</v>
      </c>
      <c r="L6180" s="2">
        <v>2</v>
      </c>
      <c r="M6180" s="3" t="s">
        <v>6122</v>
      </c>
      <c r="N6180" s="3" t="s">
        <v>6123</v>
      </c>
      <c r="O6180" s="3" t="s">
        <v>6124</v>
      </c>
      <c r="P6180" s="3" t="s">
        <v>6125</v>
      </c>
      <c r="Q6180" s="30" t="str">
        <f t="shared" si="96"/>
        <v>MAX : 4.418
TARGET : 4.408
MIN : 4.398</v>
      </c>
    </row>
    <row r="6181" spans="2:18" ht="41.4" x14ac:dyDescent="0.3">
      <c r="B6181">
        <v>0</v>
      </c>
      <c r="C6181" s="33">
        <v>9346</v>
      </c>
      <c r="D6181" s="2">
        <v>1592</v>
      </c>
      <c r="E6181" s="2" t="s">
        <v>13887</v>
      </c>
      <c r="F6181" s="3" t="s">
        <v>14206</v>
      </c>
      <c r="H6181" s="3" t="s">
        <v>648</v>
      </c>
      <c r="I6181" s="3" t="s">
        <v>575</v>
      </c>
      <c r="K6181" s="2">
        <v>20</v>
      </c>
      <c r="L6181" s="2">
        <v>3</v>
      </c>
      <c r="M6181" s="3" t="s">
        <v>6126</v>
      </c>
      <c r="N6181" s="3" t="s">
        <v>5608</v>
      </c>
      <c r="O6181" s="3" t="s">
        <v>5234</v>
      </c>
      <c r="P6181" s="3" t="s">
        <v>5594</v>
      </c>
      <c r="Q6181" s="30" t="str">
        <f t="shared" si="96"/>
        <v>MAX : 0.104
TARGET : 0.089
MIN : 0.074</v>
      </c>
    </row>
    <row r="6182" spans="2:18" ht="41.4" x14ac:dyDescent="0.3">
      <c r="B6182">
        <v>0</v>
      </c>
      <c r="C6182" s="33">
        <v>9346</v>
      </c>
      <c r="D6182" s="2">
        <v>1592</v>
      </c>
      <c r="E6182" s="2" t="s">
        <v>13887</v>
      </c>
      <c r="F6182" s="3" t="s">
        <v>14206</v>
      </c>
      <c r="H6182" s="3" t="s">
        <v>648</v>
      </c>
      <c r="I6182" s="3" t="s">
        <v>575</v>
      </c>
      <c r="K6182" s="2">
        <v>20</v>
      </c>
      <c r="L6182" s="2">
        <v>4</v>
      </c>
      <c r="M6182" s="3" t="s">
        <v>1605</v>
      </c>
      <c r="N6182" s="3" t="s">
        <v>13</v>
      </c>
      <c r="O6182" s="3" t="s">
        <v>14</v>
      </c>
      <c r="Q6182" s="30" t="str">
        <f t="shared" si="96"/>
        <v>MAX : 
TARGET : Yes(Pass)
MIN : No(Fail)</v>
      </c>
    </row>
    <row r="6183" spans="2:18" ht="41.4" x14ac:dyDescent="0.3">
      <c r="B6183">
        <v>0</v>
      </c>
      <c r="C6183" s="33">
        <v>9346</v>
      </c>
      <c r="D6183" s="2">
        <v>1592</v>
      </c>
      <c r="E6183" s="2" t="s">
        <v>13887</v>
      </c>
      <c r="F6183" s="3" t="s">
        <v>14206</v>
      </c>
      <c r="H6183" s="3" t="s">
        <v>648</v>
      </c>
      <c r="I6183" s="3" t="s">
        <v>575</v>
      </c>
      <c r="K6183" s="2">
        <v>20</v>
      </c>
      <c r="L6183" s="2">
        <v>5</v>
      </c>
      <c r="M6183" s="3" t="s">
        <v>6127</v>
      </c>
      <c r="N6183" s="3" t="s">
        <v>13</v>
      </c>
      <c r="O6183" s="3" t="s">
        <v>14</v>
      </c>
      <c r="Q6183" s="30" t="str">
        <f t="shared" si="96"/>
        <v>MAX : 
TARGET : Yes(Pass)
MIN : No(Fail)</v>
      </c>
    </row>
    <row r="6184" spans="2:18" ht="41.4" x14ac:dyDescent="0.3">
      <c r="B6184">
        <v>0</v>
      </c>
      <c r="C6184" s="33">
        <v>9346</v>
      </c>
      <c r="D6184" s="2">
        <v>1592</v>
      </c>
      <c r="E6184" s="2" t="s">
        <v>13887</v>
      </c>
      <c r="F6184" s="3" t="s">
        <v>14206</v>
      </c>
      <c r="H6184" s="3" t="s">
        <v>648</v>
      </c>
      <c r="I6184" s="3" t="s">
        <v>575</v>
      </c>
      <c r="K6184" s="2">
        <v>20</v>
      </c>
      <c r="L6184" s="2">
        <v>6</v>
      </c>
      <c r="M6184" s="3" t="s">
        <v>78</v>
      </c>
      <c r="N6184" s="3" t="s">
        <v>13</v>
      </c>
      <c r="O6184" s="3" t="s">
        <v>14</v>
      </c>
      <c r="Q6184" s="30" t="str">
        <f t="shared" si="96"/>
        <v>MAX : 
TARGET : Yes(Pass)
MIN : No(Fail)</v>
      </c>
    </row>
    <row r="6185" spans="2:18" ht="41.4" x14ac:dyDescent="0.3">
      <c r="B6185">
        <v>0</v>
      </c>
      <c r="C6185" s="33">
        <v>9346</v>
      </c>
      <c r="D6185" s="2">
        <v>1592</v>
      </c>
      <c r="E6185" s="2" t="s">
        <v>13887</v>
      </c>
      <c r="F6185" s="3" t="s">
        <v>14206</v>
      </c>
      <c r="H6185" s="3" t="s">
        <v>648</v>
      </c>
      <c r="I6185" s="3" t="s">
        <v>575</v>
      </c>
      <c r="K6185" s="2">
        <v>30</v>
      </c>
      <c r="L6185" s="2">
        <v>1</v>
      </c>
      <c r="M6185" s="3" t="s">
        <v>6128</v>
      </c>
      <c r="N6185" s="3" t="s">
        <v>13</v>
      </c>
      <c r="O6185" s="3" t="s">
        <v>14</v>
      </c>
      <c r="Q6185" s="30" t="str">
        <f t="shared" si="96"/>
        <v>MAX : 
TARGET : Yes(Pass)
MIN : No(Fail)</v>
      </c>
    </row>
    <row r="6186" spans="2:18" ht="41.4" x14ac:dyDescent="0.3">
      <c r="B6186">
        <v>1</v>
      </c>
      <c r="C6186" s="33">
        <v>9357</v>
      </c>
      <c r="D6186" s="2">
        <v>1600</v>
      </c>
      <c r="E6186" s="2" t="s">
        <v>13952</v>
      </c>
      <c r="F6186" s="3" t="s">
        <v>14207</v>
      </c>
      <c r="G6186" s="3" t="s">
        <v>496</v>
      </c>
      <c r="H6186" s="3" t="s">
        <v>4614</v>
      </c>
      <c r="K6186" s="2">
        <v>20</v>
      </c>
      <c r="L6186" s="2">
        <v>1</v>
      </c>
      <c r="M6186" s="3" t="s">
        <v>194</v>
      </c>
      <c r="N6186" s="3" t="s">
        <v>1921</v>
      </c>
      <c r="O6186" s="3" t="s">
        <v>1359</v>
      </c>
      <c r="P6186" s="3" t="s">
        <v>3204</v>
      </c>
      <c r="Q6186" s="30" t="str">
        <f t="shared" si="96"/>
        <v>MAX : 41
TARGET : 40
MIN : 39</v>
      </c>
      <c r="R6186" s="3" t="s">
        <v>6148</v>
      </c>
    </row>
    <row r="6187" spans="2:18" ht="41.4" x14ac:dyDescent="0.3">
      <c r="B6187">
        <v>0</v>
      </c>
      <c r="C6187" s="33">
        <v>9347</v>
      </c>
      <c r="D6187" s="2">
        <v>1593</v>
      </c>
      <c r="E6187" s="2" t="s">
        <v>13894</v>
      </c>
      <c r="F6187" s="3" t="s">
        <v>14206</v>
      </c>
      <c r="H6187" s="3" t="s">
        <v>648</v>
      </c>
      <c r="I6187" s="3" t="s">
        <v>575</v>
      </c>
      <c r="K6187" s="2">
        <v>20</v>
      </c>
      <c r="L6187" s="2">
        <v>2</v>
      </c>
      <c r="M6187" s="3" t="s">
        <v>6122</v>
      </c>
      <c r="N6187" s="3" t="s">
        <v>6123</v>
      </c>
      <c r="O6187" s="3" t="s">
        <v>6124</v>
      </c>
      <c r="P6187" s="3" t="s">
        <v>6125</v>
      </c>
      <c r="Q6187" s="30" t="str">
        <f t="shared" si="96"/>
        <v>MAX : 4.418
TARGET : 4.408
MIN : 4.398</v>
      </c>
    </row>
    <row r="6188" spans="2:18" ht="41.4" x14ac:dyDescent="0.3">
      <c r="B6188">
        <v>0</v>
      </c>
      <c r="C6188" s="33">
        <v>9347</v>
      </c>
      <c r="D6188" s="2">
        <v>1593</v>
      </c>
      <c r="E6188" s="2" t="s">
        <v>13894</v>
      </c>
      <c r="F6188" s="3" t="s">
        <v>14206</v>
      </c>
      <c r="H6188" s="3" t="s">
        <v>648</v>
      </c>
      <c r="I6188" s="3" t="s">
        <v>575</v>
      </c>
      <c r="K6188" s="2">
        <v>20</v>
      </c>
      <c r="L6188" s="2">
        <v>3</v>
      </c>
      <c r="M6188" s="3" t="s">
        <v>6126</v>
      </c>
      <c r="N6188" s="3" t="s">
        <v>3084</v>
      </c>
      <c r="O6188" s="3" t="s">
        <v>5406</v>
      </c>
      <c r="P6188" s="3" t="s">
        <v>3739</v>
      </c>
      <c r="Q6188" s="30" t="str">
        <f t="shared" si="96"/>
        <v>MAX : 0.085
TARGET : 0.070
MIN : 0.055</v>
      </c>
    </row>
    <row r="6189" spans="2:18" ht="41.4" x14ac:dyDescent="0.3">
      <c r="B6189">
        <v>0</v>
      </c>
      <c r="C6189" s="33">
        <v>9347</v>
      </c>
      <c r="D6189" s="2">
        <v>1593</v>
      </c>
      <c r="E6189" s="2" t="s">
        <v>13894</v>
      </c>
      <c r="F6189" s="3" t="s">
        <v>14206</v>
      </c>
      <c r="H6189" s="3" t="s">
        <v>648</v>
      </c>
      <c r="I6189" s="3" t="s">
        <v>575</v>
      </c>
      <c r="K6189" s="2">
        <v>20</v>
      </c>
      <c r="L6189" s="2">
        <v>4</v>
      </c>
      <c r="M6189" s="3" t="s">
        <v>1605</v>
      </c>
      <c r="N6189" s="3" t="s">
        <v>13</v>
      </c>
      <c r="O6189" s="3" t="s">
        <v>14</v>
      </c>
      <c r="Q6189" s="30" t="str">
        <f t="shared" si="96"/>
        <v>MAX : 
TARGET : Yes(Pass)
MIN : No(Fail)</v>
      </c>
    </row>
    <row r="6190" spans="2:18" ht="41.4" x14ac:dyDescent="0.3">
      <c r="B6190">
        <v>0</v>
      </c>
      <c r="C6190" s="33">
        <v>9347</v>
      </c>
      <c r="D6190" s="2">
        <v>1593</v>
      </c>
      <c r="E6190" s="2" t="s">
        <v>13894</v>
      </c>
      <c r="F6190" s="3" t="s">
        <v>14206</v>
      </c>
      <c r="H6190" s="3" t="s">
        <v>648</v>
      </c>
      <c r="I6190" s="3" t="s">
        <v>575</v>
      </c>
      <c r="K6190" s="2">
        <v>20</v>
      </c>
      <c r="L6190" s="2">
        <v>5</v>
      </c>
      <c r="M6190" s="3" t="s">
        <v>6127</v>
      </c>
      <c r="N6190" s="3" t="s">
        <v>13</v>
      </c>
      <c r="O6190" s="3" t="s">
        <v>14</v>
      </c>
      <c r="Q6190" s="30" t="str">
        <f t="shared" si="96"/>
        <v>MAX : 
TARGET : Yes(Pass)
MIN : No(Fail)</v>
      </c>
    </row>
    <row r="6191" spans="2:18" ht="41.4" x14ac:dyDescent="0.3">
      <c r="B6191">
        <v>0</v>
      </c>
      <c r="C6191" s="33">
        <v>9347</v>
      </c>
      <c r="D6191" s="2">
        <v>1593</v>
      </c>
      <c r="E6191" s="2" t="s">
        <v>13894</v>
      </c>
      <c r="F6191" s="3" t="s">
        <v>14206</v>
      </c>
      <c r="H6191" s="3" t="s">
        <v>648</v>
      </c>
      <c r="I6191" s="3" t="s">
        <v>575</v>
      </c>
      <c r="K6191" s="2">
        <v>20</v>
      </c>
      <c r="L6191" s="2">
        <v>6</v>
      </c>
      <c r="M6191" s="3" t="s">
        <v>78</v>
      </c>
      <c r="N6191" s="3" t="s">
        <v>13</v>
      </c>
      <c r="O6191" s="3" t="s">
        <v>14</v>
      </c>
      <c r="Q6191" s="30" t="str">
        <f t="shared" si="96"/>
        <v>MAX : 
TARGET : Yes(Pass)
MIN : No(Fail)</v>
      </c>
    </row>
    <row r="6192" spans="2:18" ht="41.4" x14ac:dyDescent="0.3">
      <c r="B6192">
        <v>0</v>
      </c>
      <c r="C6192" s="33">
        <v>9347</v>
      </c>
      <c r="D6192" s="2">
        <v>1593</v>
      </c>
      <c r="E6192" s="2" t="s">
        <v>13894</v>
      </c>
      <c r="F6192" s="3" t="s">
        <v>14206</v>
      </c>
      <c r="H6192" s="3" t="s">
        <v>648</v>
      </c>
      <c r="I6192" s="3" t="s">
        <v>575</v>
      </c>
      <c r="K6192" s="2">
        <v>30</v>
      </c>
      <c r="L6192" s="2">
        <v>1</v>
      </c>
      <c r="M6192" s="3" t="s">
        <v>6128</v>
      </c>
      <c r="N6192" s="3" t="s">
        <v>13</v>
      </c>
      <c r="O6192" s="3" t="s">
        <v>14</v>
      </c>
      <c r="Q6192" s="30" t="str">
        <f t="shared" si="96"/>
        <v>MAX : 
TARGET : Yes(Pass)
MIN : No(Fail)</v>
      </c>
    </row>
    <row r="6193" spans="2:18" ht="41.4" x14ac:dyDescent="0.3">
      <c r="B6193">
        <v>0</v>
      </c>
      <c r="C6193" s="33">
        <v>9347</v>
      </c>
      <c r="D6193" s="2">
        <v>1593</v>
      </c>
      <c r="E6193" s="2" t="s">
        <v>13894</v>
      </c>
      <c r="F6193" s="3" t="s">
        <v>14206</v>
      </c>
      <c r="H6193" s="3" t="s">
        <v>648</v>
      </c>
      <c r="I6193" s="3" t="s">
        <v>575</v>
      </c>
      <c r="K6193" s="2">
        <v>20</v>
      </c>
      <c r="L6193" s="2">
        <v>7</v>
      </c>
      <c r="M6193" s="3" t="s">
        <v>6129</v>
      </c>
      <c r="N6193" s="3" t="s">
        <v>13</v>
      </c>
      <c r="O6193" s="3" t="s">
        <v>14</v>
      </c>
      <c r="Q6193" s="30" t="str">
        <f t="shared" si="96"/>
        <v>MAX : 
TARGET : Yes(Pass)
MIN : No(Fail)</v>
      </c>
    </row>
    <row r="6194" spans="2:18" ht="41.4" x14ac:dyDescent="0.3">
      <c r="B6194">
        <v>1</v>
      </c>
      <c r="C6194" s="33">
        <v>9357</v>
      </c>
      <c r="D6194" s="2">
        <v>1600</v>
      </c>
      <c r="E6194" s="2" t="s">
        <v>13952</v>
      </c>
      <c r="F6194" s="3" t="s">
        <v>14207</v>
      </c>
      <c r="G6194" s="3" t="s">
        <v>496</v>
      </c>
      <c r="H6194" s="3" t="s">
        <v>4614</v>
      </c>
      <c r="K6194" s="2">
        <v>20</v>
      </c>
      <c r="L6194" s="2">
        <v>8</v>
      </c>
      <c r="M6194" s="3" t="s">
        <v>6147</v>
      </c>
      <c r="N6194" s="3" t="s">
        <v>13</v>
      </c>
      <c r="O6194" s="3" t="s">
        <v>14</v>
      </c>
      <c r="Q6194" s="30" t="str">
        <f t="shared" si="96"/>
        <v>MAX : 
TARGET : Yes(Pass)
MIN : No(Fail)</v>
      </c>
      <c r="R6194" s="3" t="s">
        <v>6148</v>
      </c>
    </row>
    <row r="6195" spans="2:18" ht="41.4" x14ac:dyDescent="0.3">
      <c r="B6195">
        <v>1</v>
      </c>
      <c r="C6195" s="33">
        <v>9358</v>
      </c>
      <c r="D6195" s="2">
        <v>2150</v>
      </c>
      <c r="E6195" s="2" t="s">
        <v>13959</v>
      </c>
      <c r="F6195" s="3" t="s">
        <v>14206</v>
      </c>
      <c r="H6195" s="3" t="s">
        <v>269</v>
      </c>
      <c r="I6195" s="3" t="s">
        <v>487</v>
      </c>
      <c r="K6195" s="2">
        <v>10</v>
      </c>
      <c r="L6195" s="2">
        <v>2</v>
      </c>
      <c r="M6195" s="3" t="s">
        <v>1907</v>
      </c>
      <c r="N6195" s="3" t="s">
        <v>13</v>
      </c>
      <c r="O6195" s="3" t="s">
        <v>14</v>
      </c>
      <c r="Q6195" s="30" t="str">
        <f t="shared" si="96"/>
        <v>MAX : 
TARGET : Yes(Pass)
MIN : No(Fail)</v>
      </c>
    </row>
    <row r="6196" spans="2:18" ht="41.4" x14ac:dyDescent="0.3">
      <c r="B6196">
        <v>1</v>
      </c>
      <c r="C6196" s="33">
        <v>9358</v>
      </c>
      <c r="D6196" s="2">
        <v>2150</v>
      </c>
      <c r="E6196" s="2" t="s">
        <v>13959</v>
      </c>
      <c r="F6196" s="3" t="s">
        <v>14206</v>
      </c>
      <c r="H6196" s="3" t="s">
        <v>269</v>
      </c>
      <c r="I6196" s="3" t="s">
        <v>487</v>
      </c>
      <c r="K6196" s="2">
        <v>10</v>
      </c>
      <c r="L6196" s="2">
        <v>1</v>
      </c>
      <c r="M6196" s="3" t="s">
        <v>99</v>
      </c>
      <c r="N6196" s="3" t="s">
        <v>641</v>
      </c>
      <c r="O6196" s="3" t="s">
        <v>101</v>
      </c>
      <c r="P6196" s="3" t="s">
        <v>642</v>
      </c>
      <c r="Q6196" s="30" t="str">
        <f t="shared" si="96"/>
        <v>MAX : 0.655
TARGET : 0.625
MIN : 0.595</v>
      </c>
    </row>
    <row r="6197" spans="2:18" ht="41.4" x14ac:dyDescent="0.3">
      <c r="B6197">
        <v>0</v>
      </c>
      <c r="C6197" s="33">
        <v>9372</v>
      </c>
      <c r="D6197" s="2">
        <v>1611</v>
      </c>
      <c r="E6197" s="2" t="s">
        <v>14028</v>
      </c>
      <c r="F6197" s="3" t="s">
        <v>14206</v>
      </c>
      <c r="H6197" s="3" t="s">
        <v>1130</v>
      </c>
      <c r="I6197" s="3" t="s">
        <v>575</v>
      </c>
      <c r="K6197" s="2">
        <v>10</v>
      </c>
      <c r="L6197" s="2">
        <v>3</v>
      </c>
      <c r="M6197" s="3" t="s">
        <v>1666</v>
      </c>
      <c r="N6197" s="3" t="s">
        <v>979</v>
      </c>
      <c r="O6197" s="3" t="s">
        <v>309</v>
      </c>
      <c r="P6197" s="3" t="s">
        <v>1531</v>
      </c>
      <c r="Q6197" s="30" t="str">
        <f t="shared" si="96"/>
        <v>MAX : 0.56
TARGET : 0.50
MIN : 0.44</v>
      </c>
    </row>
    <row r="6198" spans="2:18" ht="41.4" x14ac:dyDescent="0.3">
      <c r="B6198">
        <v>0</v>
      </c>
      <c r="C6198" s="33">
        <v>9372</v>
      </c>
      <c r="D6198" s="2">
        <v>1611</v>
      </c>
      <c r="E6198" s="2" t="s">
        <v>14028</v>
      </c>
      <c r="F6198" s="3" t="s">
        <v>14206</v>
      </c>
      <c r="H6198" s="3" t="s">
        <v>1130</v>
      </c>
      <c r="I6198" s="3" t="s">
        <v>575</v>
      </c>
      <c r="K6198" s="2">
        <v>10</v>
      </c>
      <c r="L6198" s="2">
        <v>4</v>
      </c>
      <c r="M6198" s="3" t="s">
        <v>6132</v>
      </c>
      <c r="N6198" s="3" t="s">
        <v>751</v>
      </c>
      <c r="O6198" s="3" t="s">
        <v>345</v>
      </c>
      <c r="P6198" s="3" t="s">
        <v>5127</v>
      </c>
      <c r="Q6198" s="30" t="str">
        <f t="shared" si="96"/>
        <v>MAX : 1.81
TARGET : 1.75
MIN : 1.69</v>
      </c>
    </row>
    <row r="6199" spans="2:18" ht="41.4" x14ac:dyDescent="0.3">
      <c r="B6199">
        <v>0</v>
      </c>
      <c r="C6199" s="33">
        <v>9372</v>
      </c>
      <c r="D6199" s="2">
        <v>1611</v>
      </c>
      <c r="E6199" s="2" t="s">
        <v>14028</v>
      </c>
      <c r="F6199" s="3" t="s">
        <v>14206</v>
      </c>
      <c r="H6199" s="3" t="s">
        <v>1130</v>
      </c>
      <c r="I6199" s="3" t="s">
        <v>575</v>
      </c>
      <c r="K6199" s="2">
        <v>10</v>
      </c>
      <c r="L6199" s="2">
        <v>5</v>
      </c>
      <c r="M6199" s="3" t="s">
        <v>6133</v>
      </c>
      <c r="N6199" s="3" t="s">
        <v>6134</v>
      </c>
      <c r="O6199" s="3" t="s">
        <v>6135</v>
      </c>
      <c r="P6199" s="3" t="s">
        <v>6136</v>
      </c>
      <c r="Q6199" s="30" t="str">
        <f t="shared" si="96"/>
        <v>MAX : 16.559
TARGET : 16.499
MIN : 16.439</v>
      </c>
    </row>
    <row r="6200" spans="2:18" ht="41.4" x14ac:dyDescent="0.3">
      <c r="B6200">
        <v>0</v>
      </c>
      <c r="C6200" s="33">
        <v>9372</v>
      </c>
      <c r="D6200" s="2">
        <v>1611</v>
      </c>
      <c r="E6200" s="2" t="s">
        <v>14028</v>
      </c>
      <c r="F6200" s="3" t="s">
        <v>14206</v>
      </c>
      <c r="H6200" s="3" t="s">
        <v>1130</v>
      </c>
      <c r="I6200" s="3" t="s">
        <v>575</v>
      </c>
      <c r="K6200" s="2">
        <v>10</v>
      </c>
      <c r="L6200" s="2">
        <v>6</v>
      </c>
      <c r="M6200" s="3" t="s">
        <v>2241</v>
      </c>
      <c r="N6200" s="3" t="s">
        <v>13</v>
      </c>
      <c r="O6200" s="3" t="s">
        <v>14</v>
      </c>
      <c r="Q6200" s="30" t="str">
        <f t="shared" si="96"/>
        <v>MAX : 
TARGET : Yes(Pass)
MIN : No(Fail)</v>
      </c>
    </row>
    <row r="6201" spans="2:18" ht="41.4" x14ac:dyDescent="0.3">
      <c r="B6201">
        <v>1</v>
      </c>
      <c r="C6201" s="33">
        <v>9360</v>
      </c>
      <c r="D6201" s="2">
        <v>1601</v>
      </c>
      <c r="E6201" s="2" t="s">
        <v>13967</v>
      </c>
      <c r="F6201" s="3" t="s">
        <v>14207</v>
      </c>
      <c r="H6201" s="3" t="s">
        <v>2361</v>
      </c>
      <c r="I6201" s="3" t="s">
        <v>575</v>
      </c>
      <c r="K6201" s="2">
        <v>20</v>
      </c>
      <c r="L6201" s="2">
        <v>4</v>
      </c>
      <c r="M6201" s="3" t="s">
        <v>331</v>
      </c>
      <c r="N6201" s="3" t="s">
        <v>822</v>
      </c>
      <c r="O6201" s="3" t="s">
        <v>2160</v>
      </c>
      <c r="P6201" s="3" t="s">
        <v>352</v>
      </c>
      <c r="Q6201" s="30" t="str">
        <f t="shared" si="96"/>
        <v>MAX : 5.71
TARGET : 5.46
MIN : 5.21</v>
      </c>
    </row>
    <row r="6202" spans="2:18" ht="41.4" x14ac:dyDescent="0.3">
      <c r="B6202">
        <v>1</v>
      </c>
      <c r="C6202" s="33">
        <v>9360</v>
      </c>
      <c r="D6202" s="2">
        <v>1601</v>
      </c>
      <c r="E6202" s="2" t="s">
        <v>13967</v>
      </c>
      <c r="F6202" s="3" t="s">
        <v>14207</v>
      </c>
      <c r="H6202" s="3" t="s">
        <v>2361</v>
      </c>
      <c r="I6202" s="3" t="s">
        <v>575</v>
      </c>
      <c r="K6202" s="2">
        <v>20</v>
      </c>
      <c r="L6202" s="2">
        <v>1</v>
      </c>
      <c r="M6202" s="3" t="s">
        <v>2362</v>
      </c>
      <c r="N6202" s="3" t="s">
        <v>795</v>
      </c>
      <c r="O6202" s="3" t="s">
        <v>4276</v>
      </c>
      <c r="P6202" s="3" t="s">
        <v>6075</v>
      </c>
      <c r="Q6202" s="30" t="str">
        <f t="shared" si="96"/>
        <v>MAX : 4.15
TARGET : 3.90
MIN : 3.65</v>
      </c>
    </row>
    <row r="6203" spans="2:18" ht="41.4" x14ac:dyDescent="0.3">
      <c r="B6203">
        <v>0</v>
      </c>
      <c r="C6203" s="33">
        <v>9373</v>
      </c>
      <c r="D6203" s="2">
        <v>1612</v>
      </c>
      <c r="E6203" s="2" t="s">
        <v>14034</v>
      </c>
      <c r="F6203" s="3" t="s">
        <v>14206</v>
      </c>
      <c r="H6203" s="3" t="s">
        <v>1130</v>
      </c>
      <c r="I6203" s="3" t="s">
        <v>575</v>
      </c>
      <c r="K6203" s="2">
        <v>10</v>
      </c>
      <c r="L6203" s="2">
        <v>3</v>
      </c>
      <c r="M6203" s="3" t="s">
        <v>1666</v>
      </c>
      <c r="N6203" s="3" t="s">
        <v>979</v>
      </c>
      <c r="O6203" s="3" t="s">
        <v>309</v>
      </c>
      <c r="P6203" s="3" t="s">
        <v>1531</v>
      </c>
      <c r="Q6203" s="30" t="str">
        <f t="shared" si="96"/>
        <v>MAX : 0.56
TARGET : 0.50
MIN : 0.44</v>
      </c>
    </row>
    <row r="6204" spans="2:18" ht="41.4" x14ac:dyDescent="0.3">
      <c r="B6204">
        <v>0</v>
      </c>
      <c r="C6204" s="33">
        <v>9373</v>
      </c>
      <c r="D6204" s="2">
        <v>1612</v>
      </c>
      <c r="E6204" s="2" t="s">
        <v>14034</v>
      </c>
      <c r="F6204" s="3" t="s">
        <v>14206</v>
      </c>
      <c r="H6204" s="3" t="s">
        <v>1130</v>
      </c>
      <c r="I6204" s="3" t="s">
        <v>575</v>
      </c>
      <c r="K6204" s="2">
        <v>10</v>
      </c>
      <c r="L6204" s="2">
        <v>4</v>
      </c>
      <c r="M6204" s="3" t="s">
        <v>6140</v>
      </c>
      <c r="N6204" s="3" t="s">
        <v>1490</v>
      </c>
      <c r="O6204" s="3" t="s">
        <v>4766</v>
      </c>
      <c r="P6204" s="3" t="s">
        <v>6141</v>
      </c>
      <c r="Q6204" s="30" t="str">
        <f t="shared" si="96"/>
        <v>MAX : 0.85
TARGET : 0.79
MIN : 0.73</v>
      </c>
    </row>
    <row r="6205" spans="2:18" ht="41.4" x14ac:dyDescent="0.3">
      <c r="B6205">
        <v>0</v>
      </c>
      <c r="C6205" s="33">
        <v>9373</v>
      </c>
      <c r="D6205" s="2">
        <v>1612</v>
      </c>
      <c r="E6205" s="2" t="s">
        <v>14034</v>
      </c>
      <c r="F6205" s="3" t="s">
        <v>14206</v>
      </c>
      <c r="H6205" s="3" t="s">
        <v>1130</v>
      </c>
      <c r="I6205" s="3" t="s">
        <v>575</v>
      </c>
      <c r="K6205" s="2">
        <v>10</v>
      </c>
      <c r="L6205" s="2">
        <v>5</v>
      </c>
      <c r="M6205" s="3" t="s">
        <v>6133</v>
      </c>
      <c r="N6205" s="3" t="s">
        <v>6142</v>
      </c>
      <c r="O6205" s="3" t="s">
        <v>6143</v>
      </c>
      <c r="P6205" s="3" t="s">
        <v>6144</v>
      </c>
      <c r="Q6205" s="30" t="str">
        <f t="shared" si="96"/>
        <v>MAX : 39.23
TARGET : 39.17
MIN : 39.11</v>
      </c>
    </row>
    <row r="6206" spans="2:18" ht="41.4" x14ac:dyDescent="0.3">
      <c r="B6206">
        <v>0</v>
      </c>
      <c r="C6206" s="33">
        <v>9373</v>
      </c>
      <c r="D6206" s="2">
        <v>1612</v>
      </c>
      <c r="E6206" s="2" t="s">
        <v>14034</v>
      </c>
      <c r="F6206" s="3" t="s">
        <v>14206</v>
      </c>
      <c r="H6206" s="3" t="s">
        <v>1130</v>
      </c>
      <c r="I6206" s="3" t="s">
        <v>575</v>
      </c>
      <c r="K6206" s="2">
        <v>10</v>
      </c>
      <c r="L6206" s="2">
        <v>6</v>
      </c>
      <c r="M6206" s="3" t="s">
        <v>2241</v>
      </c>
      <c r="N6206" s="3" t="s">
        <v>13</v>
      </c>
      <c r="O6206" s="3" t="s">
        <v>14</v>
      </c>
      <c r="Q6206" s="30" t="str">
        <f t="shared" si="96"/>
        <v>MAX : 
TARGET : Yes(Pass)
MIN : No(Fail)</v>
      </c>
    </row>
    <row r="6207" spans="2:18" ht="41.4" x14ac:dyDescent="0.3">
      <c r="B6207">
        <v>1</v>
      </c>
      <c r="C6207" s="33">
        <v>9361</v>
      </c>
      <c r="D6207" s="2">
        <v>2152</v>
      </c>
      <c r="E6207" s="2" t="s">
        <v>13973</v>
      </c>
      <c r="F6207" s="3" t="s">
        <v>14206</v>
      </c>
      <c r="H6207" s="3" t="s">
        <v>1608</v>
      </c>
      <c r="K6207" s="2">
        <v>10</v>
      </c>
      <c r="L6207" s="2">
        <v>3</v>
      </c>
      <c r="M6207" s="3" t="s">
        <v>5507</v>
      </c>
      <c r="N6207" s="3" t="s">
        <v>13</v>
      </c>
      <c r="O6207" s="3" t="s">
        <v>14</v>
      </c>
      <c r="Q6207" s="30" t="str">
        <f t="shared" si="96"/>
        <v>MAX : 
TARGET : Yes(Pass)
MIN : No(Fail)</v>
      </c>
    </row>
    <row r="6208" spans="2:18" ht="41.4" x14ac:dyDescent="0.3">
      <c r="B6208">
        <v>1</v>
      </c>
      <c r="C6208" s="33">
        <v>9361</v>
      </c>
      <c r="D6208" s="2">
        <v>2152</v>
      </c>
      <c r="E6208" s="2" t="s">
        <v>13973</v>
      </c>
      <c r="F6208" s="3" t="s">
        <v>14206</v>
      </c>
      <c r="H6208" s="3" t="s">
        <v>1608</v>
      </c>
      <c r="K6208" s="2">
        <v>10</v>
      </c>
      <c r="L6208" s="2">
        <v>1</v>
      </c>
      <c r="M6208" s="3" t="s">
        <v>5635</v>
      </c>
      <c r="N6208" s="3" t="s">
        <v>1797</v>
      </c>
      <c r="O6208" s="3" t="s">
        <v>2538</v>
      </c>
      <c r="P6208" s="3" t="s">
        <v>874</v>
      </c>
      <c r="Q6208" s="30" t="str">
        <f t="shared" si="96"/>
        <v>MAX : 1.95
TARGET : 1.89
MIN : 1.83</v>
      </c>
    </row>
    <row r="6209" spans="2:18" ht="41.4" x14ac:dyDescent="0.3">
      <c r="B6209">
        <v>1</v>
      </c>
      <c r="C6209" s="33">
        <v>9362</v>
      </c>
      <c r="D6209" s="2">
        <v>1602</v>
      </c>
      <c r="E6209" s="2" t="s">
        <v>13979</v>
      </c>
      <c r="F6209" s="3" t="s">
        <v>14207</v>
      </c>
      <c r="H6209" s="3" t="s">
        <v>1069</v>
      </c>
      <c r="I6209" s="3" t="s">
        <v>575</v>
      </c>
      <c r="K6209" s="2">
        <v>20</v>
      </c>
      <c r="L6209" s="2">
        <v>2</v>
      </c>
      <c r="M6209" s="3" t="s">
        <v>198</v>
      </c>
      <c r="N6209" s="3" t="s">
        <v>6108</v>
      </c>
      <c r="O6209" s="3" t="s">
        <v>6109</v>
      </c>
      <c r="P6209" s="3" t="s">
        <v>6110</v>
      </c>
      <c r="Q6209" s="30" t="str">
        <f t="shared" si="96"/>
        <v>MAX : 160.8
TARGET : 160.0
MIN : 159.2</v>
      </c>
    </row>
    <row r="6210" spans="2:18" ht="41.4" x14ac:dyDescent="0.3">
      <c r="B6210">
        <v>1</v>
      </c>
      <c r="C6210" s="33">
        <v>9362</v>
      </c>
      <c r="D6210" s="2">
        <v>1602</v>
      </c>
      <c r="E6210" s="2" t="s">
        <v>13979</v>
      </c>
      <c r="F6210" s="3" t="s">
        <v>14207</v>
      </c>
      <c r="H6210" s="3" t="s">
        <v>1069</v>
      </c>
      <c r="I6210" s="3" t="s">
        <v>575</v>
      </c>
      <c r="K6210" s="2">
        <v>20</v>
      </c>
      <c r="L6210" s="2">
        <v>1</v>
      </c>
      <c r="M6210" s="3" t="s">
        <v>194</v>
      </c>
      <c r="N6210" s="3" t="s">
        <v>5988</v>
      </c>
      <c r="O6210" s="3" t="s">
        <v>1554</v>
      </c>
      <c r="P6210" s="3" t="s">
        <v>6107</v>
      </c>
      <c r="Q6210" s="30" t="str">
        <f t="shared" ref="Q6210:Q6273" si="97">"MAX : " &amp; P6210 &amp; CHAR(10) &amp; "TARGET : " &amp; O6210 &amp; CHAR(10) &amp; "MIN : " &amp; N6210</f>
        <v>MAX : 75.3
TARGET : 74.5
MIN : 73.7</v>
      </c>
    </row>
    <row r="6211" spans="2:18" ht="41.4" x14ac:dyDescent="0.3">
      <c r="B6211">
        <v>1</v>
      </c>
      <c r="C6211" s="33">
        <v>9363</v>
      </c>
      <c r="D6211" s="2">
        <v>1603</v>
      </c>
      <c r="E6211" s="2" t="s">
        <v>13985</v>
      </c>
      <c r="F6211" s="3" t="s">
        <v>14207</v>
      </c>
      <c r="H6211" s="3" t="s">
        <v>810</v>
      </c>
      <c r="K6211" s="2">
        <v>10</v>
      </c>
      <c r="L6211" s="2">
        <v>2</v>
      </c>
      <c r="M6211" s="3" t="s">
        <v>198</v>
      </c>
      <c r="N6211" s="3" t="s">
        <v>2540</v>
      </c>
      <c r="O6211" s="3" t="s">
        <v>6106</v>
      </c>
      <c r="P6211" s="3" t="s">
        <v>3004</v>
      </c>
      <c r="Q6211" s="30" t="str">
        <f t="shared" si="97"/>
        <v>MAX : 10.7
TARGET : 8.7
MIN : 6.7</v>
      </c>
    </row>
    <row r="6212" spans="2:18" ht="41.4" x14ac:dyDescent="0.3">
      <c r="B6212">
        <v>0</v>
      </c>
      <c r="C6212" s="33">
        <v>9357</v>
      </c>
      <c r="D6212" s="2">
        <v>1600</v>
      </c>
      <c r="E6212" s="2" t="s">
        <v>13952</v>
      </c>
      <c r="F6212" s="3" t="s">
        <v>14207</v>
      </c>
      <c r="G6212" s="3" t="s">
        <v>496</v>
      </c>
      <c r="H6212" s="3" t="s">
        <v>4614</v>
      </c>
      <c r="K6212" s="2">
        <v>20</v>
      </c>
      <c r="L6212" s="2">
        <v>2</v>
      </c>
      <c r="M6212" s="3" t="s">
        <v>6149</v>
      </c>
      <c r="N6212" s="3" t="s">
        <v>1561</v>
      </c>
      <c r="O6212" s="3" t="s">
        <v>1562</v>
      </c>
      <c r="P6212" s="3" t="s">
        <v>1563</v>
      </c>
      <c r="Q6212" s="30" t="str">
        <f t="shared" si="97"/>
        <v>MAX : 16
TARGET : 15
MIN : 14</v>
      </c>
      <c r="R6212" s="3" t="s">
        <v>6148</v>
      </c>
    </row>
    <row r="6213" spans="2:18" ht="41.4" x14ac:dyDescent="0.3">
      <c r="B6213">
        <v>0</v>
      </c>
      <c r="C6213" s="33">
        <v>9357</v>
      </c>
      <c r="D6213" s="2">
        <v>1600</v>
      </c>
      <c r="E6213" s="2" t="s">
        <v>13952</v>
      </c>
      <c r="F6213" s="3" t="s">
        <v>14207</v>
      </c>
      <c r="G6213" s="3" t="s">
        <v>496</v>
      </c>
      <c r="H6213" s="3" t="s">
        <v>4614</v>
      </c>
      <c r="K6213" s="2">
        <v>20</v>
      </c>
      <c r="L6213" s="2">
        <v>3</v>
      </c>
      <c r="M6213" s="3" t="s">
        <v>1428</v>
      </c>
      <c r="N6213" s="3" t="s">
        <v>1355</v>
      </c>
      <c r="O6213" s="3" t="s">
        <v>1356</v>
      </c>
      <c r="P6213" s="3" t="s">
        <v>778</v>
      </c>
      <c r="Q6213" s="30" t="str">
        <f t="shared" si="97"/>
        <v>MAX : 10.5
TARGET : 10.0
MIN : 9.5</v>
      </c>
      <c r="R6213" s="3" t="s">
        <v>6148</v>
      </c>
    </row>
    <row r="6214" spans="2:18" ht="41.4" x14ac:dyDescent="0.3">
      <c r="B6214">
        <v>0</v>
      </c>
      <c r="C6214" s="33">
        <v>9357</v>
      </c>
      <c r="D6214" s="2">
        <v>1600</v>
      </c>
      <c r="E6214" s="2" t="s">
        <v>13952</v>
      </c>
      <c r="F6214" s="3" t="s">
        <v>14207</v>
      </c>
      <c r="G6214" s="3" t="s">
        <v>496</v>
      </c>
      <c r="H6214" s="3" t="s">
        <v>4614</v>
      </c>
      <c r="K6214" s="2">
        <v>20</v>
      </c>
      <c r="L6214" s="2">
        <v>4</v>
      </c>
      <c r="M6214" s="3" t="s">
        <v>198</v>
      </c>
      <c r="N6214" s="3" t="s">
        <v>1921</v>
      </c>
      <c r="O6214" s="3" t="s">
        <v>1359</v>
      </c>
      <c r="P6214" s="3" t="s">
        <v>3204</v>
      </c>
      <c r="Q6214" s="30" t="str">
        <f t="shared" si="97"/>
        <v>MAX : 41
TARGET : 40
MIN : 39</v>
      </c>
      <c r="R6214" s="3" t="s">
        <v>6148</v>
      </c>
    </row>
    <row r="6215" spans="2:18" ht="41.4" x14ac:dyDescent="0.3">
      <c r="B6215">
        <v>0</v>
      </c>
      <c r="C6215" s="33">
        <v>9357</v>
      </c>
      <c r="D6215" s="2">
        <v>1600</v>
      </c>
      <c r="E6215" s="2" t="s">
        <v>13952</v>
      </c>
      <c r="F6215" s="3" t="s">
        <v>14207</v>
      </c>
      <c r="G6215" s="3" t="s">
        <v>496</v>
      </c>
      <c r="H6215" s="3" t="s">
        <v>4614</v>
      </c>
      <c r="K6215" s="2">
        <v>20</v>
      </c>
      <c r="L6215" s="2">
        <v>5</v>
      </c>
      <c r="M6215" s="3" t="s">
        <v>6149</v>
      </c>
      <c r="N6215" s="3" t="s">
        <v>1671</v>
      </c>
      <c r="O6215" s="3" t="s">
        <v>1672</v>
      </c>
      <c r="P6215" s="3" t="s">
        <v>3490</v>
      </c>
      <c r="Q6215" s="30" t="str">
        <f t="shared" si="97"/>
        <v>MAX : 15.75
TARGET : 15.25
MIN : 14.75</v>
      </c>
      <c r="R6215" s="3" t="s">
        <v>6148</v>
      </c>
    </row>
    <row r="6216" spans="2:18" ht="41.4" x14ac:dyDescent="0.3">
      <c r="B6216">
        <v>0</v>
      </c>
      <c r="C6216" s="33">
        <v>9357</v>
      </c>
      <c r="D6216" s="2">
        <v>1600</v>
      </c>
      <c r="E6216" s="2" t="s">
        <v>13952</v>
      </c>
      <c r="F6216" s="3" t="s">
        <v>14207</v>
      </c>
      <c r="G6216" s="3" t="s">
        <v>496</v>
      </c>
      <c r="H6216" s="3" t="s">
        <v>4614</v>
      </c>
      <c r="K6216" s="2">
        <v>20</v>
      </c>
      <c r="L6216" s="2">
        <v>6</v>
      </c>
      <c r="M6216" s="3" t="s">
        <v>6150</v>
      </c>
      <c r="N6216" s="3" t="s">
        <v>1354</v>
      </c>
      <c r="O6216" s="3" t="s">
        <v>1355</v>
      </c>
      <c r="P6216" s="3" t="s">
        <v>1356</v>
      </c>
      <c r="Q6216" s="30" t="str">
        <f t="shared" si="97"/>
        <v>MAX : 10.0
TARGET : 9.5
MIN : 9.0</v>
      </c>
      <c r="R6216" s="3" t="s">
        <v>6148</v>
      </c>
    </row>
    <row r="6217" spans="2:18" ht="41.4" x14ac:dyDescent="0.3">
      <c r="B6217">
        <v>0</v>
      </c>
      <c r="C6217" s="33">
        <v>9357</v>
      </c>
      <c r="D6217" s="2">
        <v>1600</v>
      </c>
      <c r="E6217" s="2" t="s">
        <v>13952</v>
      </c>
      <c r="F6217" s="3" t="s">
        <v>14207</v>
      </c>
      <c r="G6217" s="3" t="s">
        <v>496</v>
      </c>
      <c r="H6217" s="3" t="s">
        <v>4614</v>
      </c>
      <c r="K6217" s="2">
        <v>20</v>
      </c>
      <c r="L6217" s="2">
        <v>7</v>
      </c>
      <c r="M6217" s="3" t="s">
        <v>1434</v>
      </c>
      <c r="N6217" s="3" t="s">
        <v>5296</v>
      </c>
      <c r="O6217" s="3" t="s">
        <v>2407</v>
      </c>
      <c r="P6217" s="3" t="s">
        <v>2353</v>
      </c>
      <c r="Q6217" s="30" t="str">
        <f t="shared" si="97"/>
        <v>MAX : 2.0
TARGET : 1.5
MIN : 1.0</v>
      </c>
      <c r="R6217" s="3" t="s">
        <v>6148</v>
      </c>
    </row>
    <row r="6218" spans="2:18" ht="41.4" x14ac:dyDescent="0.3">
      <c r="B6218">
        <v>1</v>
      </c>
      <c r="C6218" s="33">
        <v>9363</v>
      </c>
      <c r="D6218" s="2">
        <v>1603</v>
      </c>
      <c r="E6218" s="2" t="s">
        <v>13985</v>
      </c>
      <c r="F6218" s="3" t="s">
        <v>14207</v>
      </c>
      <c r="H6218" s="3" t="s">
        <v>810</v>
      </c>
      <c r="K6218" s="2">
        <v>10</v>
      </c>
      <c r="L6218" s="2">
        <v>1</v>
      </c>
      <c r="M6218" s="3" t="s">
        <v>194</v>
      </c>
      <c r="N6218" s="3" t="s">
        <v>2669</v>
      </c>
      <c r="O6218" s="3" t="s">
        <v>6063</v>
      </c>
      <c r="P6218" s="3" t="s">
        <v>2256</v>
      </c>
      <c r="Q6218" s="30" t="str">
        <f t="shared" si="97"/>
        <v>MAX : 39.0
TARGET : 37.0
MIN : 35.0</v>
      </c>
    </row>
    <row r="6219" spans="2:18" ht="41.4" x14ac:dyDescent="0.3">
      <c r="B6219">
        <v>1</v>
      </c>
      <c r="C6219" s="33">
        <v>9364</v>
      </c>
      <c r="D6219" s="2">
        <v>1604</v>
      </c>
      <c r="E6219" s="2" t="s">
        <v>13991</v>
      </c>
      <c r="F6219" s="3" t="s">
        <v>14207</v>
      </c>
      <c r="H6219" s="3" t="s">
        <v>1915</v>
      </c>
      <c r="I6219" s="3" t="s">
        <v>575</v>
      </c>
      <c r="K6219" s="2">
        <v>10</v>
      </c>
      <c r="L6219" s="2">
        <v>2</v>
      </c>
      <c r="M6219" s="3" t="s">
        <v>198</v>
      </c>
      <c r="N6219" s="3" t="s">
        <v>2540</v>
      </c>
      <c r="O6219" s="3" t="s">
        <v>6106</v>
      </c>
      <c r="P6219" s="3" t="s">
        <v>3004</v>
      </c>
      <c r="Q6219" s="30" t="str">
        <f t="shared" si="97"/>
        <v>MAX : 10.7
TARGET : 8.7
MIN : 6.7</v>
      </c>
    </row>
    <row r="6220" spans="2:18" ht="41.4" x14ac:dyDescent="0.3">
      <c r="B6220">
        <v>0</v>
      </c>
      <c r="C6220" s="33">
        <v>9374</v>
      </c>
      <c r="D6220" s="2">
        <v>1613</v>
      </c>
      <c r="E6220" s="2" t="s">
        <v>14040</v>
      </c>
      <c r="F6220" s="3" t="s">
        <v>14206</v>
      </c>
      <c r="H6220" s="3" t="s">
        <v>66</v>
      </c>
      <c r="I6220" s="3" t="s">
        <v>487</v>
      </c>
      <c r="K6220" s="2">
        <v>10</v>
      </c>
      <c r="L6220" s="2">
        <v>3</v>
      </c>
      <c r="M6220" s="3" t="s">
        <v>611</v>
      </c>
      <c r="N6220" s="3" t="s">
        <v>13</v>
      </c>
      <c r="O6220" s="3" t="s">
        <v>14</v>
      </c>
      <c r="Q6220" s="30" t="str">
        <f t="shared" si="97"/>
        <v>MAX : 
TARGET : Yes(Pass)
MIN : No(Fail)</v>
      </c>
    </row>
    <row r="6221" spans="2:18" ht="41.4" x14ac:dyDescent="0.3">
      <c r="B6221">
        <v>1</v>
      </c>
      <c r="C6221" s="33">
        <v>9364</v>
      </c>
      <c r="D6221" s="2">
        <v>1604</v>
      </c>
      <c r="E6221" s="2" t="s">
        <v>13991</v>
      </c>
      <c r="F6221" s="3" t="s">
        <v>14207</v>
      </c>
      <c r="H6221" s="3" t="s">
        <v>1915</v>
      </c>
      <c r="I6221" s="3" t="s">
        <v>575</v>
      </c>
      <c r="K6221" s="2">
        <v>10</v>
      </c>
      <c r="L6221" s="2">
        <v>1</v>
      </c>
      <c r="M6221" s="3" t="s">
        <v>194</v>
      </c>
      <c r="N6221" s="3" t="s">
        <v>2669</v>
      </c>
      <c r="O6221" s="3" t="s">
        <v>6063</v>
      </c>
      <c r="P6221" s="3" t="s">
        <v>2256</v>
      </c>
      <c r="Q6221" s="30" t="str">
        <f t="shared" si="97"/>
        <v>MAX : 39.0
TARGET : 37.0
MIN : 35.0</v>
      </c>
    </row>
    <row r="6222" spans="2:18" ht="41.4" x14ac:dyDescent="0.3">
      <c r="B6222">
        <v>1</v>
      </c>
      <c r="C6222" s="33">
        <v>9365</v>
      </c>
      <c r="D6222" s="2">
        <v>1605</v>
      </c>
      <c r="E6222" s="2" t="s">
        <v>13996</v>
      </c>
      <c r="F6222" s="3" t="s">
        <v>14206</v>
      </c>
      <c r="H6222" s="3" t="s">
        <v>600</v>
      </c>
      <c r="I6222" s="3" t="s">
        <v>487</v>
      </c>
      <c r="K6222" s="2">
        <v>10</v>
      </c>
      <c r="L6222" s="2">
        <v>2</v>
      </c>
      <c r="M6222" s="3" t="s">
        <v>198</v>
      </c>
      <c r="N6222" s="3" t="s">
        <v>784</v>
      </c>
      <c r="O6222" s="3" t="s">
        <v>309</v>
      </c>
      <c r="P6222" s="3" t="s">
        <v>785</v>
      </c>
      <c r="Q6222" s="30" t="str">
        <f t="shared" si="97"/>
        <v>MAX : 0.55
TARGET : 0.50
MIN : 0.45</v>
      </c>
    </row>
    <row r="6223" spans="2:18" ht="41.4" x14ac:dyDescent="0.3">
      <c r="B6223">
        <v>1</v>
      </c>
      <c r="C6223" s="33">
        <v>9365</v>
      </c>
      <c r="D6223" s="2">
        <v>1605</v>
      </c>
      <c r="E6223" s="2" t="s">
        <v>13996</v>
      </c>
      <c r="F6223" s="3" t="s">
        <v>14206</v>
      </c>
      <c r="H6223" s="3" t="s">
        <v>600</v>
      </c>
      <c r="I6223" s="3" t="s">
        <v>487</v>
      </c>
      <c r="K6223" s="2">
        <v>10</v>
      </c>
      <c r="L6223" s="2">
        <v>1</v>
      </c>
      <c r="M6223" s="3" t="s">
        <v>194</v>
      </c>
      <c r="N6223" s="3" t="s">
        <v>6092</v>
      </c>
      <c r="O6223" s="3" t="s">
        <v>1351</v>
      </c>
      <c r="P6223" s="3" t="s">
        <v>6093</v>
      </c>
      <c r="Q6223" s="30" t="str">
        <f t="shared" si="97"/>
        <v>MAX : 8.1
TARGET : 8.0
MIN : 7.9</v>
      </c>
    </row>
    <row r="6224" spans="2:18" ht="41.4" x14ac:dyDescent="0.3">
      <c r="B6224">
        <v>0</v>
      </c>
      <c r="C6224" s="33">
        <v>9368</v>
      </c>
      <c r="D6224" s="2">
        <v>1608</v>
      </c>
      <c r="E6224" s="2" t="s">
        <v>14015</v>
      </c>
      <c r="F6224" s="3" t="s">
        <v>14206</v>
      </c>
      <c r="H6224" s="3" t="s">
        <v>6098</v>
      </c>
      <c r="K6224" s="2">
        <v>20</v>
      </c>
      <c r="L6224" s="2">
        <v>5</v>
      </c>
      <c r="M6224" s="3" t="s">
        <v>2617</v>
      </c>
      <c r="N6224" s="3" t="s">
        <v>3954</v>
      </c>
      <c r="O6224" s="3" t="s">
        <v>6160</v>
      </c>
      <c r="P6224" s="3" t="s">
        <v>6161</v>
      </c>
      <c r="Q6224" s="30" t="str">
        <f t="shared" si="97"/>
        <v>MAX : 7.65
TARGET : 6.85
MIN : 6.05</v>
      </c>
      <c r="R6224" s="3" t="s">
        <v>1638</v>
      </c>
    </row>
    <row r="6225" spans="2:18" ht="41.4" x14ac:dyDescent="0.3">
      <c r="B6225">
        <v>0</v>
      </c>
      <c r="C6225" s="33">
        <v>9368</v>
      </c>
      <c r="D6225" s="2">
        <v>1608</v>
      </c>
      <c r="E6225" s="2" t="s">
        <v>14015</v>
      </c>
      <c r="F6225" s="3" t="s">
        <v>14206</v>
      </c>
      <c r="H6225" s="3" t="s">
        <v>6098</v>
      </c>
      <c r="K6225" s="2">
        <v>20</v>
      </c>
      <c r="L6225" s="2">
        <v>6</v>
      </c>
      <c r="M6225" s="3" t="s">
        <v>6162</v>
      </c>
      <c r="N6225" s="3" t="s">
        <v>6163</v>
      </c>
      <c r="O6225" s="3" t="s">
        <v>6164</v>
      </c>
      <c r="P6225" s="3" t="s">
        <v>3951</v>
      </c>
      <c r="Q6225" s="30" t="str">
        <f t="shared" si="97"/>
        <v>MAX : 9.65
TARGET : 8.85
MIN : 8.05</v>
      </c>
      <c r="R6225" s="3" t="s">
        <v>1638</v>
      </c>
    </row>
    <row r="6226" spans="2:18" ht="41.4" x14ac:dyDescent="0.3">
      <c r="B6226">
        <v>0</v>
      </c>
      <c r="C6226" s="33">
        <v>9368</v>
      </c>
      <c r="D6226" s="2">
        <v>1608</v>
      </c>
      <c r="E6226" s="2" t="s">
        <v>14015</v>
      </c>
      <c r="F6226" s="3" t="s">
        <v>14206</v>
      </c>
      <c r="H6226" s="3" t="s">
        <v>6098</v>
      </c>
      <c r="K6226" s="2">
        <v>20</v>
      </c>
      <c r="L6226" s="2">
        <v>7</v>
      </c>
      <c r="M6226" s="3" t="s">
        <v>6165</v>
      </c>
      <c r="N6226" s="3" t="s">
        <v>3954</v>
      </c>
      <c r="O6226" s="3" t="s">
        <v>6160</v>
      </c>
      <c r="P6226" s="3" t="s">
        <v>6161</v>
      </c>
      <c r="Q6226" s="30" t="str">
        <f t="shared" si="97"/>
        <v>MAX : 7.65
TARGET : 6.85
MIN : 6.05</v>
      </c>
      <c r="R6226" s="3" t="s">
        <v>1638</v>
      </c>
    </row>
    <row r="6227" spans="2:18" ht="41.4" x14ac:dyDescent="0.3">
      <c r="B6227">
        <v>1</v>
      </c>
      <c r="C6227" s="33">
        <v>9366</v>
      </c>
      <c r="D6227" s="2">
        <v>1606</v>
      </c>
      <c r="E6227" s="2" t="s">
        <v>14003</v>
      </c>
      <c r="F6227" s="3" t="s">
        <v>14206</v>
      </c>
      <c r="H6227" s="3" t="s">
        <v>600</v>
      </c>
      <c r="I6227" s="3" t="s">
        <v>487</v>
      </c>
      <c r="K6227" s="2">
        <v>10</v>
      </c>
      <c r="L6227" s="2">
        <v>2</v>
      </c>
      <c r="M6227" s="3" t="s">
        <v>198</v>
      </c>
      <c r="N6227" s="3" t="s">
        <v>1621</v>
      </c>
      <c r="O6227" s="3" t="s">
        <v>272</v>
      </c>
      <c r="P6227" s="3" t="s">
        <v>1622</v>
      </c>
      <c r="Q6227" s="30" t="str">
        <f t="shared" si="97"/>
        <v>MAX : 1.05
TARGET : 1.00
MIN : 0.95</v>
      </c>
    </row>
    <row r="6228" spans="2:18" ht="41.4" x14ac:dyDescent="0.3">
      <c r="B6228">
        <v>1</v>
      </c>
      <c r="C6228" s="33">
        <v>9366</v>
      </c>
      <c r="D6228" s="2">
        <v>1606</v>
      </c>
      <c r="E6228" s="2" t="s">
        <v>14003</v>
      </c>
      <c r="F6228" s="3" t="s">
        <v>14206</v>
      </c>
      <c r="H6228" s="3" t="s">
        <v>600</v>
      </c>
      <c r="I6228" s="3" t="s">
        <v>487</v>
      </c>
      <c r="K6228" s="2">
        <v>10</v>
      </c>
      <c r="L6228" s="2">
        <v>1</v>
      </c>
      <c r="M6228" s="3" t="s">
        <v>194</v>
      </c>
      <c r="N6228" s="3" t="s">
        <v>3957</v>
      </c>
      <c r="O6228" s="3" t="s">
        <v>389</v>
      </c>
      <c r="P6228" s="3" t="s">
        <v>2399</v>
      </c>
      <c r="Q6228" s="30" t="str">
        <f t="shared" si="97"/>
        <v>MAX : 6.35
TARGET : 6.25
MIN : 6.15</v>
      </c>
    </row>
    <row r="6229" spans="2:18" ht="41.4" x14ac:dyDescent="0.3">
      <c r="B6229">
        <v>0</v>
      </c>
      <c r="C6229" s="33">
        <v>9375</v>
      </c>
      <c r="D6229" s="2">
        <v>1614</v>
      </c>
      <c r="E6229" s="2" t="s">
        <v>14045</v>
      </c>
      <c r="F6229" s="3" t="s">
        <v>14206</v>
      </c>
      <c r="H6229" s="3" t="s">
        <v>426</v>
      </c>
      <c r="I6229" s="3" t="s">
        <v>487</v>
      </c>
      <c r="K6229" s="2">
        <v>20</v>
      </c>
      <c r="L6229" s="2">
        <v>2</v>
      </c>
      <c r="M6229" s="3" t="s">
        <v>6166</v>
      </c>
      <c r="N6229" s="3" t="s">
        <v>423</v>
      </c>
      <c r="O6229" s="3" t="s">
        <v>424</v>
      </c>
      <c r="P6229" s="3" t="s">
        <v>425</v>
      </c>
      <c r="Q6229" s="30" t="str">
        <f t="shared" si="97"/>
        <v>MAX : 0.31
TARGET : 0.25
MIN : 0.19</v>
      </c>
    </row>
    <row r="6230" spans="2:18" ht="41.4" x14ac:dyDescent="0.3">
      <c r="B6230">
        <v>0</v>
      </c>
      <c r="C6230" s="33">
        <v>9375</v>
      </c>
      <c r="D6230" s="2">
        <v>1614</v>
      </c>
      <c r="E6230" s="2" t="s">
        <v>14045</v>
      </c>
      <c r="F6230" s="3" t="s">
        <v>14206</v>
      </c>
      <c r="H6230" s="3" t="s">
        <v>426</v>
      </c>
      <c r="I6230" s="3" t="s">
        <v>487</v>
      </c>
      <c r="K6230" s="2">
        <v>20</v>
      </c>
      <c r="L6230" s="2">
        <v>4</v>
      </c>
      <c r="M6230" s="3" t="s">
        <v>6167</v>
      </c>
      <c r="N6230" s="3" t="s">
        <v>2286</v>
      </c>
      <c r="O6230" s="3" t="s">
        <v>132</v>
      </c>
      <c r="P6230" s="3" t="s">
        <v>2287</v>
      </c>
      <c r="Q6230" s="30" t="str">
        <f t="shared" si="97"/>
        <v>MAX : 0.81
TARGET : 0.75
MIN : 0.69</v>
      </c>
    </row>
    <row r="6231" spans="2:18" ht="41.4" x14ac:dyDescent="0.3">
      <c r="B6231">
        <v>0</v>
      </c>
      <c r="C6231" s="33">
        <v>9375</v>
      </c>
      <c r="D6231" s="2">
        <v>1614</v>
      </c>
      <c r="E6231" s="2" t="s">
        <v>14045</v>
      </c>
      <c r="F6231" s="3" t="s">
        <v>14206</v>
      </c>
      <c r="H6231" s="3" t="s">
        <v>426</v>
      </c>
      <c r="I6231" s="3" t="s">
        <v>487</v>
      </c>
      <c r="K6231" s="2">
        <v>20</v>
      </c>
      <c r="L6231" s="2">
        <v>5</v>
      </c>
      <c r="M6231" s="3" t="s">
        <v>6168</v>
      </c>
      <c r="N6231" s="3" t="s">
        <v>13</v>
      </c>
      <c r="O6231" s="3" t="s">
        <v>14</v>
      </c>
      <c r="Q6231" s="30" t="str">
        <f t="shared" si="97"/>
        <v>MAX : 
TARGET : Yes(Pass)
MIN : No(Fail)</v>
      </c>
    </row>
    <row r="6232" spans="2:18" ht="41.4" x14ac:dyDescent="0.3">
      <c r="B6232">
        <v>0</v>
      </c>
      <c r="C6232" s="33">
        <v>9375</v>
      </c>
      <c r="D6232" s="2">
        <v>1614</v>
      </c>
      <c r="E6232" s="2" t="s">
        <v>14045</v>
      </c>
      <c r="F6232" s="3" t="s">
        <v>14206</v>
      </c>
      <c r="H6232" s="3" t="s">
        <v>426</v>
      </c>
      <c r="I6232" s="3" t="s">
        <v>487</v>
      </c>
      <c r="K6232" s="2">
        <v>20</v>
      </c>
      <c r="L6232" s="2">
        <v>6</v>
      </c>
      <c r="M6232" s="3" t="s">
        <v>78</v>
      </c>
      <c r="N6232" s="3" t="s">
        <v>13</v>
      </c>
      <c r="O6232" s="3" t="s">
        <v>14</v>
      </c>
      <c r="Q6232" s="30" t="str">
        <f t="shared" si="97"/>
        <v>MAX : 
TARGET : Yes(Pass)
MIN : No(Fail)</v>
      </c>
    </row>
    <row r="6233" spans="2:18" ht="41.4" x14ac:dyDescent="0.3">
      <c r="B6233">
        <v>1</v>
      </c>
      <c r="C6233" s="33">
        <v>9367</v>
      </c>
      <c r="D6233" s="2">
        <v>1607</v>
      </c>
      <c r="E6233" s="2" t="s">
        <v>14009</v>
      </c>
      <c r="F6233" s="3" t="s">
        <v>14206</v>
      </c>
      <c r="H6233" s="3" t="s">
        <v>600</v>
      </c>
      <c r="I6233" s="3" t="s">
        <v>487</v>
      </c>
      <c r="K6233" s="2">
        <v>10</v>
      </c>
      <c r="L6233" s="2">
        <v>2</v>
      </c>
      <c r="M6233" s="3" t="s">
        <v>198</v>
      </c>
      <c r="N6233" s="3" t="s">
        <v>1621</v>
      </c>
      <c r="O6233" s="3" t="s">
        <v>272</v>
      </c>
      <c r="P6233" s="3" t="s">
        <v>1622</v>
      </c>
      <c r="Q6233" s="30" t="str">
        <f t="shared" si="97"/>
        <v>MAX : 1.05
TARGET : 1.00
MIN : 0.95</v>
      </c>
    </row>
    <row r="6234" spans="2:18" ht="41.4" x14ac:dyDescent="0.3">
      <c r="B6234">
        <v>1</v>
      </c>
      <c r="C6234" s="33">
        <v>9367</v>
      </c>
      <c r="D6234" s="2">
        <v>1607</v>
      </c>
      <c r="E6234" s="2" t="s">
        <v>14009</v>
      </c>
      <c r="F6234" s="3" t="s">
        <v>14206</v>
      </c>
      <c r="H6234" s="3" t="s">
        <v>600</v>
      </c>
      <c r="I6234" s="3" t="s">
        <v>487</v>
      </c>
      <c r="K6234" s="2">
        <v>10</v>
      </c>
      <c r="L6234" s="2">
        <v>1</v>
      </c>
      <c r="M6234" s="3" t="s">
        <v>194</v>
      </c>
      <c r="N6234" s="3" t="s">
        <v>2540</v>
      </c>
      <c r="O6234" s="3" t="s">
        <v>6095</v>
      </c>
      <c r="P6234" s="3" t="s">
        <v>6096</v>
      </c>
      <c r="Q6234" s="30" t="str">
        <f t="shared" si="97"/>
        <v>MAX : 6.9
TARGET : 6.8
MIN : 6.7</v>
      </c>
    </row>
    <row r="6235" spans="2:18" ht="41.4" x14ac:dyDescent="0.3">
      <c r="B6235">
        <v>0</v>
      </c>
      <c r="C6235" s="33">
        <v>9141</v>
      </c>
      <c r="D6235" s="2">
        <v>2076</v>
      </c>
      <c r="E6235" s="2" t="s">
        <v>12720</v>
      </c>
      <c r="F6235" s="3" t="s">
        <v>14206</v>
      </c>
      <c r="H6235" s="3" t="s">
        <v>289</v>
      </c>
      <c r="K6235" s="2">
        <v>30</v>
      </c>
      <c r="L6235" s="2">
        <v>2</v>
      </c>
      <c r="M6235" s="3" t="s">
        <v>6169</v>
      </c>
      <c r="N6235" s="3" t="s">
        <v>13</v>
      </c>
      <c r="O6235" s="3" t="s">
        <v>14</v>
      </c>
      <c r="Q6235" s="30" t="str">
        <f t="shared" si="97"/>
        <v>MAX : 
TARGET : Yes(Pass)
MIN : No(Fail)</v>
      </c>
    </row>
    <row r="6236" spans="2:18" ht="41.4" x14ac:dyDescent="0.3">
      <c r="B6236">
        <v>0</v>
      </c>
      <c r="C6236" s="33">
        <v>9141</v>
      </c>
      <c r="D6236" s="2">
        <v>2076</v>
      </c>
      <c r="E6236" s="2" t="s">
        <v>12720</v>
      </c>
      <c r="F6236" s="3" t="s">
        <v>14206</v>
      </c>
      <c r="H6236" s="3" t="s">
        <v>289</v>
      </c>
      <c r="K6236" s="2">
        <v>20</v>
      </c>
      <c r="L6236" s="2">
        <v>2</v>
      </c>
      <c r="M6236" s="3" t="s">
        <v>6170</v>
      </c>
      <c r="N6236" s="3" t="s">
        <v>13</v>
      </c>
      <c r="O6236" s="3" t="s">
        <v>14</v>
      </c>
      <c r="Q6236" s="30" t="str">
        <f t="shared" si="97"/>
        <v>MAX : 
TARGET : Yes(Pass)
MIN : No(Fail)</v>
      </c>
    </row>
    <row r="6237" spans="2:18" ht="41.4" x14ac:dyDescent="0.3">
      <c r="B6237">
        <v>1</v>
      </c>
      <c r="C6237" s="33">
        <v>9368</v>
      </c>
      <c r="D6237" s="2">
        <v>1608</v>
      </c>
      <c r="E6237" s="2" t="s">
        <v>14015</v>
      </c>
      <c r="F6237" s="3" t="s">
        <v>14206</v>
      </c>
      <c r="H6237" s="3" t="s">
        <v>6098</v>
      </c>
      <c r="K6237" s="2">
        <v>20</v>
      </c>
      <c r="L6237" s="2">
        <v>2</v>
      </c>
      <c r="M6237" s="3" t="s">
        <v>198</v>
      </c>
      <c r="N6237" s="3" t="s">
        <v>6102</v>
      </c>
      <c r="O6237" s="3" t="s">
        <v>6103</v>
      </c>
      <c r="P6237" s="3" t="s">
        <v>6104</v>
      </c>
      <c r="Q6237" s="30" t="str">
        <f t="shared" si="97"/>
        <v>MAX : 302.6
TARGET : 301.8
MIN : 301.0</v>
      </c>
      <c r="R6237" s="3" t="s">
        <v>1638</v>
      </c>
    </row>
    <row r="6238" spans="2:18" ht="41.4" x14ac:dyDescent="0.3">
      <c r="B6238">
        <v>1</v>
      </c>
      <c r="C6238" s="33">
        <v>9368</v>
      </c>
      <c r="D6238" s="2">
        <v>1608</v>
      </c>
      <c r="E6238" s="2" t="s">
        <v>14015</v>
      </c>
      <c r="F6238" s="3" t="s">
        <v>14206</v>
      </c>
      <c r="H6238" s="3" t="s">
        <v>6098</v>
      </c>
      <c r="K6238" s="2">
        <v>20</v>
      </c>
      <c r="L6238" s="2">
        <v>4</v>
      </c>
      <c r="M6238" s="3" t="s">
        <v>6156</v>
      </c>
      <c r="N6238" s="3" t="s">
        <v>6157</v>
      </c>
      <c r="O6238" s="3" t="s">
        <v>6158</v>
      </c>
      <c r="P6238" s="3" t="s">
        <v>6159</v>
      </c>
      <c r="Q6238" s="30" t="str">
        <f t="shared" si="97"/>
        <v>MAX : 19.92
TARGET : 19.12
MIN : 18.32</v>
      </c>
      <c r="R6238" s="3" t="s">
        <v>1638</v>
      </c>
    </row>
    <row r="6239" spans="2:18" ht="41.4" x14ac:dyDescent="0.3">
      <c r="B6239">
        <v>1</v>
      </c>
      <c r="C6239" s="33">
        <v>9368</v>
      </c>
      <c r="D6239" s="2">
        <v>1608</v>
      </c>
      <c r="E6239" s="2" t="s">
        <v>14015</v>
      </c>
      <c r="F6239" s="3" t="s">
        <v>14206</v>
      </c>
      <c r="H6239" s="3" t="s">
        <v>6098</v>
      </c>
      <c r="K6239" s="2">
        <v>20</v>
      </c>
      <c r="L6239" s="2">
        <v>1</v>
      </c>
      <c r="M6239" s="3" t="s">
        <v>194</v>
      </c>
      <c r="N6239" s="3" t="s">
        <v>6099</v>
      </c>
      <c r="O6239" s="3" t="s">
        <v>6100</v>
      </c>
      <c r="P6239" s="3" t="s">
        <v>6101</v>
      </c>
      <c r="Q6239" s="30" t="str">
        <f t="shared" si="97"/>
        <v>MAX : 474.6
TARGET : 473.8
MIN : 473.0</v>
      </c>
      <c r="R6239" s="3" t="s">
        <v>1638</v>
      </c>
    </row>
    <row r="6240" spans="2:18" ht="41.4" x14ac:dyDescent="0.3">
      <c r="B6240">
        <v>1</v>
      </c>
      <c r="C6240" s="33">
        <v>9368</v>
      </c>
      <c r="D6240" s="2">
        <v>1608</v>
      </c>
      <c r="E6240" s="2" t="s">
        <v>14015</v>
      </c>
      <c r="F6240" s="3" t="s">
        <v>14206</v>
      </c>
      <c r="H6240" s="3" t="s">
        <v>6098</v>
      </c>
      <c r="K6240" s="2">
        <v>20</v>
      </c>
      <c r="L6240" s="2">
        <v>3</v>
      </c>
      <c r="M6240" s="3" t="s">
        <v>6152</v>
      </c>
      <c r="N6240" s="3" t="s">
        <v>6153</v>
      </c>
      <c r="O6240" s="3" t="s">
        <v>6154</v>
      </c>
      <c r="P6240" s="3" t="s">
        <v>6155</v>
      </c>
      <c r="Q6240" s="30" t="str">
        <f t="shared" si="97"/>
        <v>MAX : 24.39
TARGET : 23.59
MIN : 22.79</v>
      </c>
      <c r="R6240" s="3" t="s">
        <v>1638</v>
      </c>
    </row>
    <row r="6241" spans="2:17" ht="41.4" x14ac:dyDescent="0.3">
      <c r="B6241">
        <v>0</v>
      </c>
      <c r="C6241" s="33">
        <v>9377</v>
      </c>
      <c r="D6241" s="2">
        <v>1615</v>
      </c>
      <c r="E6241" s="2" t="s">
        <v>14053</v>
      </c>
      <c r="F6241" s="3" t="s">
        <v>14206</v>
      </c>
      <c r="H6241" s="3" t="s">
        <v>108</v>
      </c>
      <c r="K6241" s="2">
        <v>10</v>
      </c>
      <c r="L6241" s="2">
        <v>3</v>
      </c>
      <c r="M6241" s="3" t="s">
        <v>6172</v>
      </c>
      <c r="N6241" s="3" t="s">
        <v>246</v>
      </c>
      <c r="O6241" s="3" t="s">
        <v>248</v>
      </c>
      <c r="P6241" s="3" t="s">
        <v>308</v>
      </c>
      <c r="Q6241" s="30" t="str">
        <f t="shared" si="97"/>
        <v>MAX : 0.47
TARGET : 0.41
MIN : 0.35</v>
      </c>
    </row>
    <row r="6242" spans="2:17" ht="41.4" x14ac:dyDescent="0.3">
      <c r="B6242">
        <v>0</v>
      </c>
      <c r="C6242" s="33">
        <v>9377</v>
      </c>
      <c r="D6242" s="2">
        <v>1615</v>
      </c>
      <c r="E6242" s="2" t="s">
        <v>14053</v>
      </c>
      <c r="F6242" s="3" t="s">
        <v>14206</v>
      </c>
      <c r="H6242" s="3" t="s">
        <v>108</v>
      </c>
      <c r="K6242" s="2">
        <v>10</v>
      </c>
      <c r="L6242" s="2">
        <v>4</v>
      </c>
      <c r="M6242" s="3" t="s">
        <v>6173</v>
      </c>
      <c r="N6242" s="3" t="s">
        <v>13</v>
      </c>
      <c r="O6242" s="3" t="s">
        <v>14</v>
      </c>
      <c r="Q6242" s="30" t="str">
        <f t="shared" si="97"/>
        <v>MAX : 
TARGET : Yes(Pass)
MIN : No(Fail)</v>
      </c>
    </row>
    <row r="6243" spans="2:17" ht="41.4" x14ac:dyDescent="0.3">
      <c r="B6243">
        <v>1</v>
      </c>
      <c r="C6243" s="33">
        <v>9370</v>
      </c>
      <c r="D6243" s="2">
        <v>1610</v>
      </c>
      <c r="E6243" s="2" t="s">
        <v>14024</v>
      </c>
      <c r="F6243" s="3" t="s">
        <v>14207</v>
      </c>
      <c r="H6243" s="3" t="s">
        <v>2409</v>
      </c>
      <c r="K6243" s="2">
        <v>20</v>
      </c>
      <c r="L6243" s="2">
        <v>2</v>
      </c>
      <c r="M6243" s="3" t="s">
        <v>198</v>
      </c>
      <c r="N6243" s="3" t="s">
        <v>2413</v>
      </c>
      <c r="O6243" s="3" t="s">
        <v>2414</v>
      </c>
      <c r="P6243" s="3" t="s">
        <v>2415</v>
      </c>
      <c r="Q6243" s="30" t="str">
        <f t="shared" si="97"/>
        <v>MAX : 221.6
TARGET : 219.1
MIN : 216.6</v>
      </c>
    </row>
    <row r="6244" spans="2:17" ht="41.4" x14ac:dyDescent="0.3">
      <c r="B6244">
        <v>1</v>
      </c>
      <c r="C6244" s="33">
        <v>9370</v>
      </c>
      <c r="D6244" s="2">
        <v>1610</v>
      </c>
      <c r="E6244" s="2" t="s">
        <v>14024</v>
      </c>
      <c r="F6244" s="3" t="s">
        <v>14207</v>
      </c>
      <c r="H6244" s="3" t="s">
        <v>2409</v>
      </c>
      <c r="K6244" s="2">
        <v>20</v>
      </c>
      <c r="L6244" s="2">
        <v>1</v>
      </c>
      <c r="M6244" s="3" t="s">
        <v>194</v>
      </c>
      <c r="N6244" s="3" t="s">
        <v>2410</v>
      </c>
      <c r="O6244" s="3" t="s">
        <v>2411</v>
      </c>
      <c r="P6244" s="3" t="s">
        <v>2412</v>
      </c>
      <c r="Q6244" s="30" t="str">
        <f t="shared" si="97"/>
        <v>MAX : 307.3
TARGET : 304.8
MIN : 302.3</v>
      </c>
    </row>
    <row r="6245" spans="2:17" ht="41.4" x14ac:dyDescent="0.3">
      <c r="B6245">
        <v>0</v>
      </c>
      <c r="C6245" s="33">
        <v>9378</v>
      </c>
      <c r="D6245" s="2">
        <v>1616</v>
      </c>
      <c r="E6245" s="2" t="s">
        <v>14059</v>
      </c>
      <c r="F6245" s="3" t="s">
        <v>14206</v>
      </c>
      <c r="H6245" s="3" t="s">
        <v>962</v>
      </c>
      <c r="K6245" s="2">
        <v>10</v>
      </c>
      <c r="L6245" s="2">
        <v>3</v>
      </c>
      <c r="M6245" s="3" t="s">
        <v>6174</v>
      </c>
      <c r="N6245" s="3" t="s">
        <v>13</v>
      </c>
      <c r="O6245" s="3" t="s">
        <v>14</v>
      </c>
      <c r="Q6245" s="30" t="str">
        <f t="shared" si="97"/>
        <v>MAX : 
TARGET : Yes(Pass)
MIN : No(Fail)</v>
      </c>
    </row>
    <row r="6246" spans="2:17" ht="41.4" x14ac:dyDescent="0.3">
      <c r="B6246">
        <v>0</v>
      </c>
      <c r="C6246" s="33">
        <v>9378</v>
      </c>
      <c r="D6246" s="2">
        <v>1616</v>
      </c>
      <c r="E6246" s="2" t="s">
        <v>14059</v>
      </c>
      <c r="F6246" s="3" t="s">
        <v>14206</v>
      </c>
      <c r="H6246" s="3" t="s">
        <v>962</v>
      </c>
      <c r="K6246" s="2">
        <v>10</v>
      </c>
      <c r="L6246" s="2">
        <v>4</v>
      </c>
      <c r="M6246" s="3" t="s">
        <v>6175</v>
      </c>
      <c r="N6246" s="3" t="s">
        <v>13</v>
      </c>
      <c r="O6246" s="3" t="s">
        <v>14</v>
      </c>
      <c r="Q6246" s="30" t="str">
        <f t="shared" si="97"/>
        <v>MAX : 
TARGET : Yes(Pass)
MIN : No(Fail)</v>
      </c>
    </row>
    <row r="6247" spans="2:17" ht="41.4" x14ac:dyDescent="0.3">
      <c r="B6247">
        <v>1</v>
      </c>
      <c r="C6247" s="33">
        <v>9372</v>
      </c>
      <c r="D6247" s="2">
        <v>1611</v>
      </c>
      <c r="E6247" s="2" t="s">
        <v>14028</v>
      </c>
      <c r="F6247" s="3" t="s">
        <v>14206</v>
      </c>
      <c r="H6247" s="3" t="s">
        <v>1130</v>
      </c>
      <c r="I6247" s="3" t="s">
        <v>575</v>
      </c>
      <c r="K6247" s="2">
        <v>10</v>
      </c>
      <c r="L6247" s="2">
        <v>2</v>
      </c>
      <c r="M6247" s="3" t="s">
        <v>198</v>
      </c>
      <c r="N6247" s="3" t="s">
        <v>3861</v>
      </c>
      <c r="O6247" s="3" t="s">
        <v>344</v>
      </c>
      <c r="P6247" s="3" t="s">
        <v>1770</v>
      </c>
      <c r="Q6247" s="30" t="str">
        <f t="shared" si="97"/>
        <v>MAX : 1.31
TARGET : 1.25
MIN : 1.19</v>
      </c>
    </row>
    <row r="6248" spans="2:17" ht="41.4" x14ac:dyDescent="0.3">
      <c r="B6248">
        <v>1</v>
      </c>
      <c r="C6248" s="33">
        <v>9372</v>
      </c>
      <c r="D6248" s="2">
        <v>1611</v>
      </c>
      <c r="E6248" s="2" t="s">
        <v>14028</v>
      </c>
      <c r="F6248" s="3" t="s">
        <v>14206</v>
      </c>
      <c r="H6248" s="3" t="s">
        <v>1130</v>
      </c>
      <c r="I6248" s="3" t="s">
        <v>575</v>
      </c>
      <c r="K6248" s="2">
        <v>10</v>
      </c>
      <c r="L6248" s="2">
        <v>1</v>
      </c>
      <c r="M6248" s="3" t="s">
        <v>194</v>
      </c>
      <c r="N6248" s="3" t="s">
        <v>6130</v>
      </c>
      <c r="O6248" s="3" t="s">
        <v>6131</v>
      </c>
      <c r="P6248" s="3" t="s">
        <v>2221</v>
      </c>
      <c r="Q6248" s="30" t="str">
        <f t="shared" si="97"/>
        <v>MAX : 21.75
TARGET : 21.69
MIN : 21.63</v>
      </c>
    </row>
    <row r="6249" spans="2:17" ht="41.4" x14ac:dyDescent="0.3">
      <c r="B6249">
        <v>0</v>
      </c>
      <c r="C6249" s="33">
        <v>9379</v>
      </c>
      <c r="D6249" s="2">
        <v>2154</v>
      </c>
      <c r="E6249" s="2" t="s">
        <v>14065</v>
      </c>
      <c r="F6249" s="3" t="s">
        <v>14206</v>
      </c>
      <c r="H6249" s="3" t="s">
        <v>98</v>
      </c>
      <c r="K6249" s="2">
        <v>10</v>
      </c>
      <c r="L6249" s="2">
        <v>3</v>
      </c>
      <c r="M6249" s="3" t="s">
        <v>611</v>
      </c>
      <c r="N6249" s="3" t="s">
        <v>13</v>
      </c>
      <c r="O6249" s="3" t="s">
        <v>14</v>
      </c>
      <c r="Q6249" s="30" t="str">
        <f t="shared" si="97"/>
        <v>MAX : 
TARGET : Yes(Pass)
MIN : No(Fail)</v>
      </c>
    </row>
    <row r="6250" spans="2:17" ht="41.4" x14ac:dyDescent="0.3">
      <c r="B6250">
        <v>1</v>
      </c>
      <c r="C6250" s="33">
        <v>9373</v>
      </c>
      <c r="D6250" s="2">
        <v>1612</v>
      </c>
      <c r="E6250" s="2" t="s">
        <v>14034</v>
      </c>
      <c r="F6250" s="3" t="s">
        <v>14206</v>
      </c>
      <c r="H6250" s="3" t="s">
        <v>1130</v>
      </c>
      <c r="I6250" s="3" t="s">
        <v>575</v>
      </c>
      <c r="K6250" s="2">
        <v>10</v>
      </c>
      <c r="L6250" s="2">
        <v>2</v>
      </c>
      <c r="M6250" s="3" t="s">
        <v>198</v>
      </c>
      <c r="N6250" s="3" t="s">
        <v>3861</v>
      </c>
      <c r="O6250" s="3" t="s">
        <v>344</v>
      </c>
      <c r="P6250" s="3" t="s">
        <v>1770</v>
      </c>
      <c r="Q6250" s="30" t="str">
        <f t="shared" si="97"/>
        <v>MAX : 1.31
TARGET : 1.25
MIN : 1.19</v>
      </c>
    </row>
    <row r="6251" spans="2:17" ht="41.4" x14ac:dyDescent="0.3">
      <c r="B6251">
        <v>1</v>
      </c>
      <c r="C6251" s="33">
        <v>9373</v>
      </c>
      <c r="D6251" s="2">
        <v>1612</v>
      </c>
      <c r="E6251" s="2" t="s">
        <v>14034</v>
      </c>
      <c r="F6251" s="3" t="s">
        <v>14206</v>
      </c>
      <c r="H6251" s="3" t="s">
        <v>1130</v>
      </c>
      <c r="I6251" s="3" t="s">
        <v>575</v>
      </c>
      <c r="K6251" s="2">
        <v>10</v>
      </c>
      <c r="L6251" s="2">
        <v>1</v>
      </c>
      <c r="M6251" s="3" t="s">
        <v>194</v>
      </c>
      <c r="N6251" s="3" t="s">
        <v>6137</v>
      </c>
      <c r="O6251" s="3" t="s">
        <v>6138</v>
      </c>
      <c r="P6251" s="3" t="s">
        <v>6139</v>
      </c>
      <c r="Q6251" s="30" t="str">
        <f t="shared" si="97"/>
        <v>MAX : 40.81
TARGET : 40.75
MIN : 40.69</v>
      </c>
    </row>
    <row r="6252" spans="2:17" ht="41.4" x14ac:dyDescent="0.3">
      <c r="B6252">
        <v>0</v>
      </c>
      <c r="C6252" s="33">
        <v>9381</v>
      </c>
      <c r="D6252" s="2">
        <v>1618</v>
      </c>
      <c r="E6252" s="2" t="s">
        <v>14077</v>
      </c>
      <c r="F6252" s="3" t="s">
        <v>14206</v>
      </c>
      <c r="H6252" s="3" t="s">
        <v>2462</v>
      </c>
      <c r="K6252" s="2">
        <v>10</v>
      </c>
      <c r="L6252" s="2">
        <v>3</v>
      </c>
      <c r="M6252" s="3" t="s">
        <v>6176</v>
      </c>
      <c r="N6252" s="3" t="s">
        <v>13</v>
      </c>
      <c r="O6252" s="3" t="s">
        <v>14</v>
      </c>
      <c r="Q6252" s="30" t="str">
        <f t="shared" si="97"/>
        <v>MAX : 
TARGET : Yes(Pass)
MIN : No(Fail)</v>
      </c>
    </row>
    <row r="6253" spans="2:17" ht="41.4" x14ac:dyDescent="0.3">
      <c r="B6253">
        <v>0</v>
      </c>
      <c r="C6253" s="33">
        <v>9381</v>
      </c>
      <c r="D6253" s="2">
        <v>1618</v>
      </c>
      <c r="E6253" s="2" t="s">
        <v>14077</v>
      </c>
      <c r="F6253" s="3" t="s">
        <v>14206</v>
      </c>
      <c r="H6253" s="3" t="s">
        <v>2462</v>
      </c>
      <c r="K6253" s="2">
        <v>10</v>
      </c>
      <c r="L6253" s="2">
        <v>4</v>
      </c>
      <c r="M6253" s="3" t="s">
        <v>78</v>
      </c>
      <c r="N6253" s="3" t="s">
        <v>13</v>
      </c>
      <c r="O6253" s="3" t="s">
        <v>14</v>
      </c>
      <c r="Q6253" s="30" t="str">
        <f t="shared" si="97"/>
        <v>MAX : 
TARGET : Yes(Pass)
MIN : No(Fail)</v>
      </c>
    </row>
    <row r="6254" spans="2:17" ht="41.4" x14ac:dyDescent="0.3">
      <c r="B6254">
        <v>0</v>
      </c>
      <c r="C6254" s="33">
        <v>9381</v>
      </c>
      <c r="D6254" s="2">
        <v>1618</v>
      </c>
      <c r="E6254" s="2" t="s">
        <v>14077</v>
      </c>
      <c r="F6254" s="3" t="s">
        <v>14206</v>
      </c>
      <c r="H6254" s="3" t="s">
        <v>2462</v>
      </c>
      <c r="K6254" s="2">
        <v>10</v>
      </c>
      <c r="L6254" s="2">
        <v>5</v>
      </c>
      <c r="M6254" s="3" t="s">
        <v>6177</v>
      </c>
      <c r="N6254" s="3" t="s">
        <v>13</v>
      </c>
      <c r="O6254" s="3" t="s">
        <v>14</v>
      </c>
      <c r="Q6254" s="30" t="str">
        <f t="shared" si="97"/>
        <v>MAX : 
TARGET : Yes(Pass)
MIN : No(Fail)</v>
      </c>
    </row>
    <row r="6255" spans="2:17" ht="41.4" x14ac:dyDescent="0.3">
      <c r="B6255">
        <v>0</v>
      </c>
      <c r="C6255" s="33">
        <v>9381</v>
      </c>
      <c r="D6255" s="2">
        <v>1618</v>
      </c>
      <c r="E6255" s="2" t="s">
        <v>14077</v>
      </c>
      <c r="F6255" s="3" t="s">
        <v>14206</v>
      </c>
      <c r="H6255" s="3" t="s">
        <v>2462</v>
      </c>
      <c r="K6255" s="2">
        <v>20</v>
      </c>
      <c r="L6255" s="2">
        <v>1</v>
      </c>
      <c r="M6255" s="3" t="s">
        <v>2466</v>
      </c>
      <c r="N6255" s="3" t="s">
        <v>13</v>
      </c>
      <c r="O6255" s="3" t="s">
        <v>14</v>
      </c>
      <c r="Q6255" s="30" t="str">
        <f t="shared" si="97"/>
        <v>MAX : 
TARGET : Yes(Pass)
MIN : No(Fail)</v>
      </c>
    </row>
    <row r="6256" spans="2:17" ht="41.4" x14ac:dyDescent="0.3">
      <c r="B6256">
        <v>1</v>
      </c>
      <c r="C6256" s="33">
        <v>9374</v>
      </c>
      <c r="D6256" s="2">
        <v>1613</v>
      </c>
      <c r="E6256" s="2" t="s">
        <v>14040</v>
      </c>
      <c r="F6256" s="3" t="s">
        <v>14206</v>
      </c>
      <c r="H6256" s="3" t="s">
        <v>66</v>
      </c>
      <c r="I6256" s="3" t="s">
        <v>487</v>
      </c>
      <c r="K6256" s="2">
        <v>10</v>
      </c>
      <c r="L6256" s="2">
        <v>2</v>
      </c>
      <c r="M6256" s="3" t="s">
        <v>325</v>
      </c>
      <c r="N6256" s="3" t="s">
        <v>13</v>
      </c>
      <c r="O6256" s="3" t="s">
        <v>14</v>
      </c>
      <c r="Q6256" s="30" t="str">
        <f t="shared" si="97"/>
        <v>MAX : 
TARGET : Yes(Pass)
MIN : No(Fail)</v>
      </c>
    </row>
    <row r="6257" spans="2:17" ht="41.4" x14ac:dyDescent="0.3">
      <c r="B6257">
        <v>1</v>
      </c>
      <c r="C6257" s="33">
        <v>9374</v>
      </c>
      <c r="D6257" s="2">
        <v>1613</v>
      </c>
      <c r="E6257" s="2" t="s">
        <v>14040</v>
      </c>
      <c r="F6257" s="3" t="s">
        <v>14206</v>
      </c>
      <c r="H6257" s="3" t="s">
        <v>66</v>
      </c>
      <c r="I6257" s="3" t="s">
        <v>487</v>
      </c>
      <c r="K6257" s="2">
        <v>10</v>
      </c>
      <c r="L6257" s="2">
        <v>1</v>
      </c>
      <c r="M6257" s="3" t="s">
        <v>99</v>
      </c>
      <c r="N6257" s="3" t="s">
        <v>1660</v>
      </c>
      <c r="O6257" s="3" t="s">
        <v>1406</v>
      </c>
      <c r="P6257" s="3" t="s">
        <v>3764</v>
      </c>
      <c r="Q6257" s="30" t="str">
        <f t="shared" si="97"/>
        <v>MAX : 0.645
TARGET : 0.585
MIN : 0.525</v>
      </c>
    </row>
    <row r="6258" spans="2:17" ht="41.4" x14ac:dyDescent="0.3">
      <c r="B6258">
        <v>0</v>
      </c>
      <c r="C6258" s="33">
        <v>9382</v>
      </c>
      <c r="D6258" s="2">
        <v>1619</v>
      </c>
      <c r="E6258" s="2" t="s">
        <v>14084</v>
      </c>
      <c r="F6258" s="3" t="s">
        <v>14206</v>
      </c>
      <c r="H6258" s="3" t="s">
        <v>2462</v>
      </c>
      <c r="K6258" s="2">
        <v>10</v>
      </c>
      <c r="L6258" s="2">
        <v>3</v>
      </c>
      <c r="M6258" s="3" t="s">
        <v>6176</v>
      </c>
      <c r="N6258" s="3" t="s">
        <v>13</v>
      </c>
      <c r="O6258" s="3" t="s">
        <v>14</v>
      </c>
      <c r="Q6258" s="30" t="str">
        <f t="shared" si="97"/>
        <v>MAX : 
TARGET : Yes(Pass)
MIN : No(Fail)</v>
      </c>
    </row>
    <row r="6259" spans="2:17" ht="41.4" x14ac:dyDescent="0.3">
      <c r="B6259">
        <v>0</v>
      </c>
      <c r="C6259" s="33">
        <v>9382</v>
      </c>
      <c r="D6259" s="2">
        <v>1619</v>
      </c>
      <c r="E6259" s="2" t="s">
        <v>14084</v>
      </c>
      <c r="F6259" s="3" t="s">
        <v>14206</v>
      </c>
      <c r="H6259" s="3" t="s">
        <v>2462</v>
      </c>
      <c r="K6259" s="2">
        <v>10</v>
      </c>
      <c r="L6259" s="2">
        <v>4</v>
      </c>
      <c r="M6259" s="3" t="s">
        <v>78</v>
      </c>
      <c r="N6259" s="3" t="s">
        <v>13</v>
      </c>
      <c r="O6259" s="3" t="s">
        <v>14</v>
      </c>
      <c r="Q6259" s="30" t="str">
        <f t="shared" si="97"/>
        <v>MAX : 
TARGET : Yes(Pass)
MIN : No(Fail)</v>
      </c>
    </row>
    <row r="6260" spans="2:17" ht="41.4" x14ac:dyDescent="0.3">
      <c r="B6260">
        <v>0</v>
      </c>
      <c r="C6260" s="33">
        <v>9382</v>
      </c>
      <c r="D6260" s="2">
        <v>1619</v>
      </c>
      <c r="E6260" s="2" t="s">
        <v>14084</v>
      </c>
      <c r="F6260" s="3" t="s">
        <v>14206</v>
      </c>
      <c r="H6260" s="3" t="s">
        <v>2462</v>
      </c>
      <c r="K6260" s="2">
        <v>10</v>
      </c>
      <c r="L6260" s="2">
        <v>5</v>
      </c>
      <c r="M6260" s="3" t="s">
        <v>6177</v>
      </c>
      <c r="N6260" s="3" t="s">
        <v>13</v>
      </c>
      <c r="O6260" s="3" t="s">
        <v>14</v>
      </c>
      <c r="Q6260" s="30" t="str">
        <f t="shared" si="97"/>
        <v>MAX : 
TARGET : Yes(Pass)
MIN : No(Fail)</v>
      </c>
    </row>
    <row r="6261" spans="2:17" ht="41.4" x14ac:dyDescent="0.3">
      <c r="B6261">
        <v>0</v>
      </c>
      <c r="C6261" s="33">
        <v>9382</v>
      </c>
      <c r="D6261" s="2">
        <v>1619</v>
      </c>
      <c r="E6261" s="2" t="s">
        <v>14084</v>
      </c>
      <c r="F6261" s="3" t="s">
        <v>14206</v>
      </c>
      <c r="H6261" s="3" t="s">
        <v>2462</v>
      </c>
      <c r="K6261" s="2">
        <v>20</v>
      </c>
      <c r="L6261" s="2">
        <v>1</v>
      </c>
      <c r="M6261" s="3" t="s">
        <v>2466</v>
      </c>
      <c r="N6261" s="3" t="s">
        <v>13</v>
      </c>
      <c r="O6261" s="3" t="s">
        <v>14</v>
      </c>
      <c r="Q6261" s="30" t="str">
        <f t="shared" si="97"/>
        <v>MAX : 
TARGET : Yes(Pass)
MIN : No(Fail)</v>
      </c>
    </row>
    <row r="6262" spans="2:17" ht="41.4" x14ac:dyDescent="0.3">
      <c r="B6262">
        <v>1</v>
      </c>
      <c r="C6262" s="33">
        <v>9375</v>
      </c>
      <c r="D6262" s="2">
        <v>1614</v>
      </c>
      <c r="E6262" s="2" t="s">
        <v>14045</v>
      </c>
      <c r="F6262" s="3" t="s">
        <v>14206</v>
      </c>
      <c r="H6262" s="3" t="s">
        <v>426</v>
      </c>
      <c r="I6262" s="3" t="s">
        <v>487</v>
      </c>
      <c r="K6262" s="2">
        <v>20</v>
      </c>
      <c r="L6262" s="2">
        <v>3</v>
      </c>
      <c r="M6262" s="3" t="s">
        <v>198</v>
      </c>
      <c r="N6262" s="3" t="s">
        <v>405</v>
      </c>
      <c r="O6262" s="3" t="s">
        <v>406</v>
      </c>
      <c r="P6262" s="3" t="s">
        <v>407</v>
      </c>
      <c r="Q6262" s="30" t="str">
        <f t="shared" si="97"/>
        <v>MAX : 2.06
TARGET : 2.00
MIN : 1.94</v>
      </c>
    </row>
    <row r="6263" spans="2:17" ht="41.4" x14ac:dyDescent="0.3">
      <c r="B6263">
        <v>1</v>
      </c>
      <c r="C6263" s="33">
        <v>9375</v>
      </c>
      <c r="D6263" s="2">
        <v>1614</v>
      </c>
      <c r="E6263" s="2" t="s">
        <v>14045</v>
      </c>
      <c r="F6263" s="3" t="s">
        <v>14206</v>
      </c>
      <c r="H6263" s="3" t="s">
        <v>426</v>
      </c>
      <c r="I6263" s="3" t="s">
        <v>487</v>
      </c>
      <c r="K6263" s="2">
        <v>20</v>
      </c>
      <c r="L6263" s="2">
        <v>1</v>
      </c>
      <c r="M6263" s="3" t="s">
        <v>194</v>
      </c>
      <c r="N6263" s="3" t="s">
        <v>900</v>
      </c>
      <c r="O6263" s="3" t="s">
        <v>28</v>
      </c>
      <c r="P6263" s="3" t="s">
        <v>901</v>
      </c>
      <c r="Q6263" s="30" t="str">
        <f t="shared" si="97"/>
        <v>MAX : 1.56
TARGET : 1.50
MIN : 1.44</v>
      </c>
    </row>
    <row r="6264" spans="2:17" ht="41.4" x14ac:dyDescent="0.3">
      <c r="B6264">
        <v>0</v>
      </c>
      <c r="C6264" s="33">
        <v>9383</v>
      </c>
      <c r="D6264" s="2">
        <v>1620</v>
      </c>
      <c r="E6264" s="2" t="s">
        <v>14089</v>
      </c>
      <c r="F6264" s="3" t="s">
        <v>14206</v>
      </c>
      <c r="H6264" s="3" t="s">
        <v>2462</v>
      </c>
      <c r="K6264" s="2">
        <v>10</v>
      </c>
      <c r="L6264" s="2">
        <v>3</v>
      </c>
      <c r="M6264" s="3" t="s">
        <v>6176</v>
      </c>
      <c r="N6264" s="3" t="s">
        <v>13</v>
      </c>
      <c r="O6264" s="3" t="s">
        <v>14</v>
      </c>
      <c r="Q6264" s="30" t="str">
        <f t="shared" si="97"/>
        <v>MAX : 
TARGET : Yes(Pass)
MIN : No(Fail)</v>
      </c>
    </row>
    <row r="6265" spans="2:17" ht="41.4" x14ac:dyDescent="0.3">
      <c r="B6265">
        <v>0</v>
      </c>
      <c r="C6265" s="33">
        <v>9383</v>
      </c>
      <c r="D6265" s="2">
        <v>1620</v>
      </c>
      <c r="E6265" s="2" t="s">
        <v>14089</v>
      </c>
      <c r="F6265" s="3" t="s">
        <v>14206</v>
      </c>
      <c r="H6265" s="3" t="s">
        <v>2462</v>
      </c>
      <c r="K6265" s="2">
        <v>10</v>
      </c>
      <c r="L6265" s="2">
        <v>4</v>
      </c>
      <c r="M6265" s="3" t="s">
        <v>78</v>
      </c>
      <c r="N6265" s="3" t="s">
        <v>13</v>
      </c>
      <c r="O6265" s="3" t="s">
        <v>14</v>
      </c>
      <c r="Q6265" s="30" t="str">
        <f t="shared" si="97"/>
        <v>MAX : 
TARGET : Yes(Pass)
MIN : No(Fail)</v>
      </c>
    </row>
    <row r="6266" spans="2:17" ht="41.4" x14ac:dyDescent="0.3">
      <c r="B6266">
        <v>0</v>
      </c>
      <c r="C6266" s="33">
        <v>9383</v>
      </c>
      <c r="D6266" s="2">
        <v>1620</v>
      </c>
      <c r="E6266" s="2" t="s">
        <v>14089</v>
      </c>
      <c r="F6266" s="3" t="s">
        <v>14206</v>
      </c>
      <c r="H6266" s="3" t="s">
        <v>2462</v>
      </c>
      <c r="K6266" s="2">
        <v>10</v>
      </c>
      <c r="L6266" s="2">
        <v>5</v>
      </c>
      <c r="M6266" s="3" t="s">
        <v>6177</v>
      </c>
      <c r="N6266" s="3" t="s">
        <v>13</v>
      </c>
      <c r="O6266" s="3" t="s">
        <v>14</v>
      </c>
      <c r="Q6266" s="30" t="str">
        <f t="shared" si="97"/>
        <v>MAX : 
TARGET : Yes(Pass)
MIN : No(Fail)</v>
      </c>
    </row>
    <row r="6267" spans="2:17" ht="41.4" x14ac:dyDescent="0.3">
      <c r="B6267">
        <v>0</v>
      </c>
      <c r="C6267" s="33">
        <v>9383</v>
      </c>
      <c r="D6267" s="2">
        <v>1620</v>
      </c>
      <c r="E6267" s="2" t="s">
        <v>14089</v>
      </c>
      <c r="F6267" s="3" t="s">
        <v>14206</v>
      </c>
      <c r="H6267" s="3" t="s">
        <v>2462</v>
      </c>
      <c r="K6267" s="2">
        <v>20</v>
      </c>
      <c r="L6267" s="2">
        <v>1</v>
      </c>
      <c r="M6267" s="3" t="s">
        <v>2466</v>
      </c>
      <c r="N6267" s="3" t="s">
        <v>13</v>
      </c>
      <c r="O6267" s="3" t="s">
        <v>14</v>
      </c>
      <c r="Q6267" s="30" t="str">
        <f t="shared" si="97"/>
        <v>MAX : 
TARGET : Yes(Pass)
MIN : No(Fail)</v>
      </c>
    </row>
    <row r="6268" spans="2:17" ht="41.4" x14ac:dyDescent="0.3">
      <c r="B6268">
        <v>1</v>
      </c>
      <c r="C6268" s="33">
        <v>9377</v>
      </c>
      <c r="D6268" s="2">
        <v>1615</v>
      </c>
      <c r="E6268" s="2" t="s">
        <v>14053</v>
      </c>
      <c r="F6268" s="3" t="s">
        <v>14206</v>
      </c>
      <c r="H6268" s="3" t="s">
        <v>108</v>
      </c>
      <c r="K6268" s="2">
        <v>10</v>
      </c>
      <c r="L6268" s="2">
        <v>2</v>
      </c>
      <c r="M6268" s="3" t="s">
        <v>198</v>
      </c>
      <c r="N6268" s="3" t="s">
        <v>485</v>
      </c>
      <c r="O6268" s="3" t="s">
        <v>272</v>
      </c>
      <c r="P6268" s="3" t="s">
        <v>507</v>
      </c>
      <c r="Q6268" s="30" t="str">
        <f t="shared" si="97"/>
        <v>MAX : 1.06
TARGET : 1.00
MIN : 0.94</v>
      </c>
    </row>
    <row r="6269" spans="2:17" ht="41.4" x14ac:dyDescent="0.3">
      <c r="B6269">
        <v>1</v>
      </c>
      <c r="C6269" s="33">
        <v>9377</v>
      </c>
      <c r="D6269" s="2">
        <v>1615</v>
      </c>
      <c r="E6269" s="2" t="s">
        <v>14053</v>
      </c>
      <c r="F6269" s="3" t="s">
        <v>14206</v>
      </c>
      <c r="H6269" s="3" t="s">
        <v>108</v>
      </c>
      <c r="K6269" s="2">
        <v>10</v>
      </c>
      <c r="L6269" s="2">
        <v>1</v>
      </c>
      <c r="M6269" s="3" t="s">
        <v>194</v>
      </c>
      <c r="N6269" s="3" t="s">
        <v>485</v>
      </c>
      <c r="O6269" s="3" t="s">
        <v>272</v>
      </c>
      <c r="P6269" s="3" t="s">
        <v>507</v>
      </c>
      <c r="Q6269" s="30" t="str">
        <f t="shared" si="97"/>
        <v>MAX : 1.06
TARGET : 1.00
MIN : 0.94</v>
      </c>
    </row>
    <row r="6270" spans="2:17" ht="41.4" x14ac:dyDescent="0.3">
      <c r="B6270">
        <v>0</v>
      </c>
      <c r="C6270" s="33">
        <v>9384</v>
      </c>
      <c r="D6270" s="2">
        <v>1621</v>
      </c>
      <c r="E6270" s="2" t="s">
        <v>14094</v>
      </c>
      <c r="F6270" s="29" t="s">
        <v>14263</v>
      </c>
      <c r="G6270" s="3" t="s">
        <v>1665</v>
      </c>
      <c r="H6270" s="3" t="s">
        <v>747</v>
      </c>
      <c r="K6270" s="2">
        <v>20</v>
      </c>
      <c r="L6270" s="2">
        <v>2</v>
      </c>
      <c r="M6270" s="3" t="s">
        <v>502</v>
      </c>
      <c r="N6270" s="3" t="s">
        <v>835</v>
      </c>
      <c r="O6270" s="3" t="s">
        <v>836</v>
      </c>
      <c r="P6270" s="3" t="s">
        <v>5117</v>
      </c>
      <c r="Q6270" s="30" t="str">
        <f t="shared" si="97"/>
        <v>MAX : 1.520
TARGET : 1.500
MIN : 1.480</v>
      </c>
    </row>
    <row r="6271" spans="2:17" ht="41.4" x14ac:dyDescent="0.3">
      <c r="B6271">
        <v>0</v>
      </c>
      <c r="C6271" s="33">
        <v>9384</v>
      </c>
      <c r="D6271" s="2">
        <v>1621</v>
      </c>
      <c r="E6271" s="2" t="s">
        <v>14094</v>
      </c>
      <c r="F6271" s="29" t="s">
        <v>14263</v>
      </c>
      <c r="G6271" s="3" t="s">
        <v>1665</v>
      </c>
      <c r="H6271" s="3" t="s">
        <v>747</v>
      </c>
      <c r="K6271" s="2">
        <v>20</v>
      </c>
      <c r="L6271" s="2">
        <v>3</v>
      </c>
      <c r="M6271" s="3" t="s">
        <v>5118</v>
      </c>
      <c r="N6271" s="3" t="s">
        <v>3763</v>
      </c>
      <c r="O6271" s="3" t="s">
        <v>101</v>
      </c>
      <c r="P6271" s="3" t="s">
        <v>3764</v>
      </c>
      <c r="Q6271" s="30" t="str">
        <f t="shared" si="97"/>
        <v>MAX : 0.645
TARGET : 0.625
MIN : 0.605</v>
      </c>
    </row>
    <row r="6272" spans="2:17" ht="41.4" x14ac:dyDescent="0.3">
      <c r="B6272">
        <v>0</v>
      </c>
      <c r="C6272" s="33">
        <v>9384</v>
      </c>
      <c r="D6272" s="2">
        <v>1621</v>
      </c>
      <c r="E6272" s="2" t="s">
        <v>14094</v>
      </c>
      <c r="F6272" s="29" t="s">
        <v>14263</v>
      </c>
      <c r="G6272" s="3" t="s">
        <v>1665</v>
      </c>
      <c r="H6272" s="3" t="s">
        <v>747</v>
      </c>
      <c r="K6272" s="2">
        <v>20</v>
      </c>
      <c r="L6272" s="2">
        <v>5</v>
      </c>
      <c r="M6272" s="3" t="s">
        <v>2043</v>
      </c>
      <c r="N6272" s="3" t="s">
        <v>13</v>
      </c>
      <c r="O6272" s="3" t="s">
        <v>14</v>
      </c>
      <c r="Q6272" s="30" t="str">
        <f t="shared" si="97"/>
        <v>MAX : 
TARGET : Yes(Pass)
MIN : No(Fail)</v>
      </c>
    </row>
    <row r="6273" spans="2:17" ht="41.4" x14ac:dyDescent="0.3">
      <c r="B6273">
        <v>0</v>
      </c>
      <c r="C6273" s="33">
        <v>9384</v>
      </c>
      <c r="D6273" s="2">
        <v>1621</v>
      </c>
      <c r="E6273" s="2" t="s">
        <v>14094</v>
      </c>
      <c r="F6273" s="29" t="s">
        <v>14263</v>
      </c>
      <c r="G6273" s="3" t="s">
        <v>1665</v>
      </c>
      <c r="H6273" s="3" t="s">
        <v>747</v>
      </c>
      <c r="K6273" s="2">
        <v>20</v>
      </c>
      <c r="L6273" s="2">
        <v>4</v>
      </c>
      <c r="M6273" s="3" t="s">
        <v>5188</v>
      </c>
      <c r="N6273" s="3" t="s">
        <v>5189</v>
      </c>
      <c r="O6273" s="3" t="s">
        <v>919</v>
      </c>
      <c r="P6273" s="3" t="s">
        <v>4640</v>
      </c>
      <c r="Q6273" s="30" t="str">
        <f t="shared" si="97"/>
        <v>MAX : 0.177
TARGET : 0.157
MIN : 0.137</v>
      </c>
    </row>
    <row r="6274" spans="2:17" ht="41.4" x14ac:dyDescent="0.3">
      <c r="B6274">
        <v>0</v>
      </c>
      <c r="C6274" s="33">
        <v>9384</v>
      </c>
      <c r="D6274" s="2">
        <v>1621</v>
      </c>
      <c r="E6274" s="2" t="s">
        <v>14094</v>
      </c>
      <c r="F6274" s="29" t="s">
        <v>14263</v>
      </c>
      <c r="G6274" s="3" t="s">
        <v>1665</v>
      </c>
      <c r="H6274" s="3" t="s">
        <v>747</v>
      </c>
      <c r="K6274" s="2">
        <v>20</v>
      </c>
      <c r="L6274" s="2">
        <v>1</v>
      </c>
      <c r="M6274" s="3" t="s">
        <v>1361</v>
      </c>
      <c r="N6274" s="3" t="s">
        <v>748</v>
      </c>
      <c r="O6274" s="3" t="s">
        <v>406</v>
      </c>
      <c r="P6274" s="3" t="s">
        <v>1784</v>
      </c>
      <c r="Q6274" s="30" t="str">
        <f t="shared" ref="Q6274:Q6337" si="98">"MAX : " &amp; P6274 &amp; CHAR(10) &amp; "TARGET : " &amp; O6274 &amp; CHAR(10) &amp; "MIN : " &amp; N6274</f>
        <v>MAX : 2.02
TARGET : 2.00
MIN : 1.98</v>
      </c>
    </row>
    <row r="6275" spans="2:17" ht="41.4" x14ac:dyDescent="0.3">
      <c r="B6275">
        <v>1</v>
      </c>
      <c r="C6275" s="33">
        <v>9378</v>
      </c>
      <c r="D6275" s="2">
        <v>1616</v>
      </c>
      <c r="E6275" s="2" t="s">
        <v>14059</v>
      </c>
      <c r="F6275" s="3" t="s">
        <v>14206</v>
      </c>
      <c r="H6275" s="3" t="s">
        <v>962</v>
      </c>
      <c r="K6275" s="2">
        <v>10</v>
      </c>
      <c r="L6275" s="2">
        <v>2</v>
      </c>
      <c r="M6275" s="3" t="s">
        <v>198</v>
      </c>
      <c r="N6275" s="3" t="s">
        <v>2525</v>
      </c>
      <c r="O6275" s="3" t="s">
        <v>596</v>
      </c>
      <c r="P6275" s="3" t="s">
        <v>687</v>
      </c>
      <c r="Q6275" s="30" t="str">
        <f t="shared" si="98"/>
        <v>MAX : 1.145
TARGET : 1.125
MIN : 1.105</v>
      </c>
    </row>
    <row r="6276" spans="2:17" ht="41.4" x14ac:dyDescent="0.3">
      <c r="B6276">
        <v>1</v>
      </c>
      <c r="C6276" s="33">
        <v>9378</v>
      </c>
      <c r="D6276" s="2">
        <v>1616</v>
      </c>
      <c r="E6276" s="2" t="s">
        <v>14059</v>
      </c>
      <c r="F6276" s="3" t="s">
        <v>14206</v>
      </c>
      <c r="H6276" s="3" t="s">
        <v>962</v>
      </c>
      <c r="K6276" s="2">
        <v>10</v>
      </c>
      <c r="L6276" s="2">
        <v>1</v>
      </c>
      <c r="M6276" s="3" t="s">
        <v>194</v>
      </c>
      <c r="N6276" s="3" t="s">
        <v>3060</v>
      </c>
      <c r="O6276" s="3" t="s">
        <v>3061</v>
      </c>
      <c r="P6276" s="3" t="s">
        <v>3062</v>
      </c>
      <c r="Q6276" s="30" t="str">
        <f t="shared" si="98"/>
        <v>MAX : 11.06
TARGET : 11.00
MIN : 10.94</v>
      </c>
    </row>
    <row r="6277" spans="2:17" ht="41.4" x14ac:dyDescent="0.3">
      <c r="B6277">
        <v>1</v>
      </c>
      <c r="C6277" s="33">
        <v>9379</v>
      </c>
      <c r="D6277" s="2">
        <v>2154</v>
      </c>
      <c r="E6277" s="2" t="s">
        <v>14065</v>
      </c>
      <c r="F6277" s="3" t="s">
        <v>14206</v>
      </c>
      <c r="H6277" s="3" t="s">
        <v>98</v>
      </c>
      <c r="K6277" s="2">
        <v>10</v>
      </c>
      <c r="L6277" s="2">
        <v>2</v>
      </c>
      <c r="M6277" s="3" t="s">
        <v>2269</v>
      </c>
      <c r="N6277" s="3" t="s">
        <v>13</v>
      </c>
      <c r="O6277" s="3" t="s">
        <v>14</v>
      </c>
      <c r="Q6277" s="30" t="str">
        <f t="shared" si="98"/>
        <v>MAX : 
TARGET : Yes(Pass)
MIN : No(Fail)</v>
      </c>
    </row>
    <row r="6278" spans="2:17" ht="41.4" x14ac:dyDescent="0.3">
      <c r="B6278">
        <v>1</v>
      </c>
      <c r="C6278" s="33">
        <v>9379</v>
      </c>
      <c r="D6278" s="2">
        <v>2154</v>
      </c>
      <c r="E6278" s="2" t="s">
        <v>14065</v>
      </c>
      <c r="F6278" s="3" t="s">
        <v>14206</v>
      </c>
      <c r="H6278" s="3" t="s">
        <v>98</v>
      </c>
      <c r="K6278" s="2">
        <v>10</v>
      </c>
      <c r="L6278" s="2">
        <v>1</v>
      </c>
      <c r="M6278" s="3" t="s">
        <v>458</v>
      </c>
      <c r="N6278" s="3" t="s">
        <v>485</v>
      </c>
      <c r="O6278" s="3" t="s">
        <v>272</v>
      </c>
      <c r="P6278" s="3" t="s">
        <v>507</v>
      </c>
      <c r="Q6278" s="30" t="str">
        <f t="shared" si="98"/>
        <v>MAX : 1.06
TARGET : 1.00
MIN : 0.94</v>
      </c>
    </row>
    <row r="6279" spans="2:17" ht="41.4" x14ac:dyDescent="0.3">
      <c r="B6279">
        <v>1</v>
      </c>
      <c r="C6279" s="33">
        <v>9381</v>
      </c>
      <c r="D6279" s="2">
        <v>1618</v>
      </c>
      <c r="E6279" s="2" t="s">
        <v>14077</v>
      </c>
      <c r="F6279" s="3" t="s">
        <v>14206</v>
      </c>
      <c r="H6279" s="3" t="s">
        <v>2462</v>
      </c>
      <c r="K6279" s="2">
        <v>10</v>
      </c>
      <c r="L6279" s="2">
        <v>2</v>
      </c>
      <c r="M6279" s="3" t="s">
        <v>467</v>
      </c>
      <c r="N6279" s="3" t="s">
        <v>2463</v>
      </c>
      <c r="O6279" s="3" t="s">
        <v>767</v>
      </c>
      <c r="P6279" s="3" t="s">
        <v>252</v>
      </c>
      <c r="Q6279" s="30" t="str">
        <f t="shared" si="98"/>
        <v>MAX : 3.97
TARGET : 3.94
MIN : 3.91</v>
      </c>
    </row>
    <row r="6280" spans="2:17" ht="41.4" x14ac:dyDescent="0.3">
      <c r="B6280">
        <v>1</v>
      </c>
      <c r="C6280" s="33">
        <v>9381</v>
      </c>
      <c r="D6280" s="2">
        <v>1618</v>
      </c>
      <c r="E6280" s="2" t="s">
        <v>14077</v>
      </c>
      <c r="F6280" s="3" t="s">
        <v>14206</v>
      </c>
      <c r="H6280" s="3" t="s">
        <v>2462</v>
      </c>
      <c r="K6280" s="2">
        <v>10</v>
      </c>
      <c r="L6280" s="2">
        <v>1</v>
      </c>
      <c r="M6280" s="3" t="s">
        <v>109</v>
      </c>
      <c r="N6280" s="3" t="s">
        <v>249</v>
      </c>
      <c r="O6280" s="3" t="s">
        <v>250</v>
      </c>
      <c r="P6280" s="3" t="s">
        <v>251</v>
      </c>
      <c r="Q6280" s="30" t="str">
        <f t="shared" si="98"/>
        <v>MAX : 6.03
TARGET : 6.00
MIN : 5.97</v>
      </c>
    </row>
    <row r="6281" spans="2:17" ht="41.4" x14ac:dyDescent="0.3">
      <c r="B6281">
        <v>1</v>
      </c>
      <c r="C6281" s="33">
        <v>9382</v>
      </c>
      <c r="D6281" s="2">
        <v>1619</v>
      </c>
      <c r="E6281" s="2" t="s">
        <v>14084</v>
      </c>
      <c r="F6281" s="3" t="s">
        <v>14206</v>
      </c>
      <c r="H6281" s="3" t="s">
        <v>2462</v>
      </c>
      <c r="K6281" s="2">
        <v>10</v>
      </c>
      <c r="L6281" s="2">
        <v>2</v>
      </c>
      <c r="M6281" s="3" t="s">
        <v>467</v>
      </c>
      <c r="N6281" s="3" t="s">
        <v>2463</v>
      </c>
      <c r="O6281" s="3" t="s">
        <v>767</v>
      </c>
      <c r="P6281" s="3" t="s">
        <v>252</v>
      </c>
      <c r="Q6281" s="30" t="str">
        <f t="shared" si="98"/>
        <v>MAX : 3.97
TARGET : 3.94
MIN : 3.91</v>
      </c>
    </row>
    <row r="6282" spans="2:17" ht="41.4" x14ac:dyDescent="0.3">
      <c r="B6282">
        <v>0</v>
      </c>
      <c r="C6282" s="33">
        <v>9391</v>
      </c>
      <c r="D6282" s="2">
        <v>1627</v>
      </c>
      <c r="E6282" s="2" t="s">
        <v>14132</v>
      </c>
      <c r="F6282" s="3" t="s">
        <v>14207</v>
      </c>
      <c r="H6282" s="3" t="s">
        <v>810</v>
      </c>
      <c r="K6282" s="2">
        <v>10</v>
      </c>
      <c r="L6282" s="2">
        <v>3</v>
      </c>
      <c r="M6282" s="3" t="s">
        <v>6183</v>
      </c>
      <c r="N6282" s="3" t="s">
        <v>13</v>
      </c>
      <c r="O6282" s="3" t="s">
        <v>14</v>
      </c>
      <c r="Q6282" s="30" t="str">
        <f t="shared" si="98"/>
        <v>MAX : 
TARGET : Yes(Pass)
MIN : No(Fail)</v>
      </c>
    </row>
    <row r="6283" spans="2:17" ht="41.4" x14ac:dyDescent="0.3">
      <c r="B6283">
        <v>1</v>
      </c>
      <c r="C6283" s="33">
        <v>9382</v>
      </c>
      <c r="D6283" s="2">
        <v>1619</v>
      </c>
      <c r="E6283" s="2" t="s">
        <v>14084</v>
      </c>
      <c r="F6283" s="3" t="s">
        <v>14206</v>
      </c>
      <c r="H6283" s="3" t="s">
        <v>2462</v>
      </c>
      <c r="K6283" s="2">
        <v>10</v>
      </c>
      <c r="L6283" s="2">
        <v>1</v>
      </c>
      <c r="M6283" s="3" t="s">
        <v>109</v>
      </c>
      <c r="N6283" s="3" t="s">
        <v>249</v>
      </c>
      <c r="O6283" s="3" t="s">
        <v>250</v>
      </c>
      <c r="P6283" s="3" t="s">
        <v>251</v>
      </c>
      <c r="Q6283" s="30" t="str">
        <f t="shared" si="98"/>
        <v>MAX : 6.03
TARGET : 6.00
MIN : 5.97</v>
      </c>
    </row>
    <row r="6284" spans="2:17" ht="41.4" x14ac:dyDescent="0.3">
      <c r="B6284">
        <v>1</v>
      </c>
      <c r="C6284" s="33">
        <v>9383</v>
      </c>
      <c r="D6284" s="2">
        <v>1620</v>
      </c>
      <c r="E6284" s="2" t="s">
        <v>14089</v>
      </c>
      <c r="F6284" s="3" t="s">
        <v>14206</v>
      </c>
      <c r="H6284" s="3" t="s">
        <v>2462</v>
      </c>
      <c r="K6284" s="2">
        <v>10</v>
      </c>
      <c r="L6284" s="2">
        <v>2</v>
      </c>
      <c r="M6284" s="3" t="s">
        <v>467</v>
      </c>
      <c r="N6284" s="3" t="s">
        <v>2463</v>
      </c>
      <c r="O6284" s="3" t="s">
        <v>767</v>
      </c>
      <c r="P6284" s="3" t="s">
        <v>252</v>
      </c>
      <c r="Q6284" s="30" t="str">
        <f t="shared" si="98"/>
        <v>MAX : 3.97
TARGET : 3.94
MIN : 3.91</v>
      </c>
    </row>
    <row r="6285" spans="2:17" ht="41.4" x14ac:dyDescent="0.3">
      <c r="B6285">
        <v>0</v>
      </c>
      <c r="C6285" s="33">
        <v>9392</v>
      </c>
      <c r="D6285" s="2">
        <v>1628</v>
      </c>
      <c r="E6285" s="2" t="s">
        <v>14139</v>
      </c>
      <c r="F6285" s="3" t="s">
        <v>14206</v>
      </c>
      <c r="H6285" s="3" t="s">
        <v>3788</v>
      </c>
      <c r="K6285" s="2">
        <v>10</v>
      </c>
      <c r="L6285" s="2">
        <v>3</v>
      </c>
      <c r="M6285" s="3" t="s">
        <v>1991</v>
      </c>
      <c r="N6285" s="3" t="s">
        <v>6185</v>
      </c>
      <c r="O6285" s="3" t="s">
        <v>3567</v>
      </c>
      <c r="P6285" s="3" t="s">
        <v>6186</v>
      </c>
      <c r="Q6285" s="30" t="str">
        <f t="shared" si="98"/>
        <v>MAX : 10.270
TARGET : 10.250
MIN : 10.230</v>
      </c>
    </row>
    <row r="6286" spans="2:17" ht="41.4" x14ac:dyDescent="0.3">
      <c r="B6286">
        <v>0</v>
      </c>
      <c r="C6286" s="33">
        <v>9392</v>
      </c>
      <c r="D6286" s="2">
        <v>1628</v>
      </c>
      <c r="E6286" s="2" t="s">
        <v>14139</v>
      </c>
      <c r="F6286" s="3" t="s">
        <v>14206</v>
      </c>
      <c r="H6286" s="3" t="s">
        <v>3788</v>
      </c>
      <c r="K6286" s="2">
        <v>10</v>
      </c>
      <c r="L6286" s="2">
        <v>4</v>
      </c>
      <c r="M6286" s="3" t="s">
        <v>198</v>
      </c>
      <c r="N6286" s="3" t="s">
        <v>900</v>
      </c>
      <c r="O6286" s="3" t="s">
        <v>28</v>
      </c>
      <c r="P6286" s="3" t="s">
        <v>901</v>
      </c>
      <c r="Q6286" s="30" t="str">
        <f t="shared" si="98"/>
        <v>MAX : 1.56
TARGET : 1.50
MIN : 1.44</v>
      </c>
    </row>
    <row r="6287" spans="2:17" ht="41.4" x14ac:dyDescent="0.3">
      <c r="B6287">
        <v>0</v>
      </c>
      <c r="C6287" s="33">
        <v>9392</v>
      </c>
      <c r="D6287" s="2">
        <v>1628</v>
      </c>
      <c r="E6287" s="2" t="s">
        <v>14139</v>
      </c>
      <c r="F6287" s="3" t="s">
        <v>14206</v>
      </c>
      <c r="H6287" s="3" t="s">
        <v>3788</v>
      </c>
      <c r="K6287" s="2">
        <v>10</v>
      </c>
      <c r="L6287" s="2">
        <v>5</v>
      </c>
      <c r="M6287" s="3" t="s">
        <v>6187</v>
      </c>
      <c r="N6287" s="3" t="s">
        <v>1409</v>
      </c>
      <c r="O6287" s="3" t="s">
        <v>2051</v>
      </c>
      <c r="P6287" s="3" t="s">
        <v>20</v>
      </c>
      <c r="Q6287" s="30" t="str">
        <f t="shared" si="98"/>
        <v>MAX : 0.750
TARGET : 0.730
MIN : 0.710</v>
      </c>
    </row>
    <row r="6288" spans="2:17" ht="41.4" x14ac:dyDescent="0.3">
      <c r="B6288">
        <v>0</v>
      </c>
      <c r="C6288" s="33">
        <v>9392</v>
      </c>
      <c r="D6288" s="2">
        <v>1628</v>
      </c>
      <c r="E6288" s="2" t="s">
        <v>14139</v>
      </c>
      <c r="F6288" s="3" t="s">
        <v>14206</v>
      </c>
      <c r="H6288" s="3" t="s">
        <v>3788</v>
      </c>
      <c r="K6288" s="2">
        <v>10</v>
      </c>
      <c r="L6288" s="2">
        <v>6</v>
      </c>
      <c r="M6288" s="3" t="s">
        <v>1666</v>
      </c>
      <c r="N6288" s="3" t="s">
        <v>1435</v>
      </c>
      <c r="O6288" s="3" t="s">
        <v>5848</v>
      </c>
      <c r="P6288" s="3" t="s">
        <v>5850</v>
      </c>
      <c r="Q6288" s="30" t="str">
        <f t="shared" si="98"/>
        <v>MAX : 0.458
TARGET : 0.438
MIN : 0.418</v>
      </c>
    </row>
    <row r="6289" spans="2:18" ht="41.4" x14ac:dyDescent="0.3">
      <c r="B6289">
        <v>0</v>
      </c>
      <c r="C6289" s="33">
        <v>9392</v>
      </c>
      <c r="D6289" s="2">
        <v>1628</v>
      </c>
      <c r="E6289" s="2" t="s">
        <v>14139</v>
      </c>
      <c r="F6289" s="3" t="s">
        <v>14206</v>
      </c>
      <c r="H6289" s="3" t="s">
        <v>3788</v>
      </c>
      <c r="K6289" s="2">
        <v>10</v>
      </c>
      <c r="L6289" s="2">
        <v>7</v>
      </c>
      <c r="M6289" s="3" t="s">
        <v>2241</v>
      </c>
      <c r="N6289" s="3" t="s">
        <v>13</v>
      </c>
      <c r="O6289" s="3" t="s">
        <v>14</v>
      </c>
      <c r="Q6289" s="30" t="str">
        <f t="shared" si="98"/>
        <v>MAX : 
TARGET : Yes(Pass)
MIN : No(Fail)</v>
      </c>
    </row>
    <row r="6290" spans="2:18" ht="41.4" x14ac:dyDescent="0.3">
      <c r="B6290">
        <v>1</v>
      </c>
      <c r="C6290" s="33">
        <v>9383</v>
      </c>
      <c r="D6290" s="2">
        <v>1620</v>
      </c>
      <c r="E6290" s="2" t="s">
        <v>14089</v>
      </c>
      <c r="F6290" s="3" t="s">
        <v>14206</v>
      </c>
      <c r="H6290" s="3" t="s">
        <v>2462</v>
      </c>
      <c r="K6290" s="2">
        <v>10</v>
      </c>
      <c r="L6290" s="2">
        <v>1</v>
      </c>
      <c r="M6290" s="3" t="s">
        <v>109</v>
      </c>
      <c r="N6290" s="3" t="s">
        <v>249</v>
      </c>
      <c r="O6290" s="3" t="s">
        <v>250</v>
      </c>
      <c r="P6290" s="3" t="s">
        <v>251</v>
      </c>
      <c r="Q6290" s="30" t="str">
        <f t="shared" si="98"/>
        <v>MAX : 6.03
TARGET : 6.00
MIN : 5.97</v>
      </c>
    </row>
    <row r="6291" spans="2:18" ht="41.4" x14ac:dyDescent="0.3">
      <c r="B6291">
        <v>1</v>
      </c>
      <c r="C6291" s="33">
        <v>9383</v>
      </c>
      <c r="D6291" s="2">
        <v>1620</v>
      </c>
      <c r="E6291" s="2" t="s">
        <v>14089</v>
      </c>
      <c r="F6291" s="3" t="s">
        <v>14206</v>
      </c>
      <c r="H6291" s="3" t="s">
        <v>2462</v>
      </c>
      <c r="K6291" s="2">
        <v>10</v>
      </c>
      <c r="L6291" s="2">
        <v>6</v>
      </c>
      <c r="M6291" s="3" t="s">
        <v>6212</v>
      </c>
      <c r="N6291" s="3" t="s">
        <v>13</v>
      </c>
      <c r="O6291" s="3" t="s">
        <v>14</v>
      </c>
      <c r="Q6291" s="30" t="str">
        <f t="shared" si="98"/>
        <v>MAX : 
TARGET : Yes(Pass)
MIN : No(Fail)</v>
      </c>
    </row>
    <row r="6292" spans="2:18" ht="41.4" x14ac:dyDescent="0.3">
      <c r="B6292">
        <v>1</v>
      </c>
      <c r="C6292" s="33">
        <v>9384</v>
      </c>
      <c r="D6292" s="2">
        <v>1621</v>
      </c>
      <c r="E6292" s="2" t="s">
        <v>14094</v>
      </c>
      <c r="F6292" s="29" t="s">
        <v>14263</v>
      </c>
      <c r="G6292" s="3" t="s">
        <v>1665</v>
      </c>
      <c r="H6292" s="3" t="s">
        <v>747</v>
      </c>
      <c r="K6292" s="2">
        <v>10</v>
      </c>
      <c r="L6292" s="2">
        <v>2</v>
      </c>
      <c r="M6292" s="3" t="s">
        <v>325</v>
      </c>
      <c r="N6292" s="3" t="s">
        <v>13</v>
      </c>
      <c r="O6292" s="3" t="s">
        <v>14</v>
      </c>
      <c r="Q6292" s="30" t="str">
        <f t="shared" si="98"/>
        <v>MAX : 
TARGET : Yes(Pass)
MIN : No(Fail)</v>
      </c>
    </row>
    <row r="6293" spans="2:18" ht="41.4" x14ac:dyDescent="0.3">
      <c r="B6293">
        <v>1</v>
      </c>
      <c r="C6293" s="33">
        <v>9384</v>
      </c>
      <c r="D6293" s="2">
        <v>1621</v>
      </c>
      <c r="E6293" s="2" t="s">
        <v>14094</v>
      </c>
      <c r="F6293" s="29" t="s">
        <v>14263</v>
      </c>
      <c r="G6293" s="3" t="s">
        <v>1665</v>
      </c>
      <c r="H6293" s="3" t="s">
        <v>747</v>
      </c>
      <c r="K6293" s="2">
        <v>10</v>
      </c>
      <c r="L6293" s="2">
        <v>1</v>
      </c>
      <c r="M6293" s="3" t="s">
        <v>4558</v>
      </c>
      <c r="N6293" s="3" t="s">
        <v>201</v>
      </c>
      <c r="O6293" s="3" t="s">
        <v>250</v>
      </c>
      <c r="P6293" s="3" t="s">
        <v>389</v>
      </c>
      <c r="Q6293" s="30" t="str">
        <f t="shared" si="98"/>
        <v>MAX : 6.25
TARGET : 6.00
MIN : 5.75</v>
      </c>
    </row>
    <row r="6294" spans="2:18" ht="41.4" x14ac:dyDescent="0.3">
      <c r="B6294">
        <v>1</v>
      </c>
      <c r="C6294" s="33">
        <v>9385</v>
      </c>
      <c r="D6294" s="2">
        <v>1622</v>
      </c>
      <c r="E6294" s="2" t="s">
        <v>14100</v>
      </c>
      <c r="F6294" s="3" t="s">
        <v>14206</v>
      </c>
      <c r="H6294" s="3" t="s">
        <v>810</v>
      </c>
      <c r="K6294" s="2">
        <v>10</v>
      </c>
      <c r="L6294" s="2">
        <v>2</v>
      </c>
      <c r="M6294" s="3" t="s">
        <v>198</v>
      </c>
      <c r="N6294" s="3" t="s">
        <v>6178</v>
      </c>
      <c r="O6294" s="3" t="s">
        <v>3988</v>
      </c>
      <c r="P6294" s="3" t="s">
        <v>6179</v>
      </c>
      <c r="Q6294" s="30" t="str">
        <f t="shared" si="98"/>
        <v>MAX : 16.53
TARGET : 16.50
MIN : 16.47</v>
      </c>
    </row>
    <row r="6295" spans="2:18" ht="41.4" x14ac:dyDescent="0.3">
      <c r="B6295">
        <v>1</v>
      </c>
      <c r="C6295" s="33">
        <v>9385</v>
      </c>
      <c r="D6295" s="2">
        <v>1622</v>
      </c>
      <c r="E6295" s="2" t="s">
        <v>14100</v>
      </c>
      <c r="F6295" s="3" t="s">
        <v>14206</v>
      </c>
      <c r="H6295" s="3" t="s">
        <v>810</v>
      </c>
      <c r="K6295" s="2">
        <v>10</v>
      </c>
      <c r="L6295" s="2">
        <v>1</v>
      </c>
      <c r="M6295" s="3" t="s">
        <v>194</v>
      </c>
      <c r="N6295" s="3" t="s">
        <v>459</v>
      </c>
      <c r="O6295" s="3" t="s">
        <v>406</v>
      </c>
      <c r="P6295" s="3" t="s">
        <v>460</v>
      </c>
      <c r="Q6295" s="30" t="str">
        <f t="shared" si="98"/>
        <v>MAX : 2.03
TARGET : 2.00
MIN : 1.97</v>
      </c>
    </row>
    <row r="6296" spans="2:18" ht="41.4" x14ac:dyDescent="0.3">
      <c r="B6296">
        <v>0</v>
      </c>
      <c r="C6296" s="33">
        <v>9396</v>
      </c>
      <c r="D6296" s="2">
        <v>1630</v>
      </c>
      <c r="E6296" s="2" t="s">
        <v>14163</v>
      </c>
      <c r="F6296" s="3" t="s">
        <v>14215</v>
      </c>
      <c r="H6296" s="3" t="s">
        <v>1183</v>
      </c>
      <c r="K6296" s="2">
        <v>10</v>
      </c>
      <c r="L6296" s="2">
        <v>3</v>
      </c>
      <c r="M6296" s="3" t="s">
        <v>1187</v>
      </c>
      <c r="N6296" s="3" t="s">
        <v>790</v>
      </c>
      <c r="O6296" s="3" t="s">
        <v>76</v>
      </c>
      <c r="P6296" s="3" t="s">
        <v>1185</v>
      </c>
      <c r="Q6296" s="30" t="str">
        <f t="shared" si="98"/>
        <v>MAX : 2.75
TARGET : 2.50
MIN : 2.25</v>
      </c>
      <c r="R6296" s="3" t="s">
        <v>1638</v>
      </c>
    </row>
    <row r="6297" spans="2:18" ht="41.4" x14ac:dyDescent="0.3">
      <c r="B6297">
        <v>0</v>
      </c>
      <c r="C6297" s="33">
        <v>9396</v>
      </c>
      <c r="D6297" s="2">
        <v>1630</v>
      </c>
      <c r="E6297" s="2" t="s">
        <v>14163</v>
      </c>
      <c r="F6297" s="3" t="s">
        <v>14215</v>
      </c>
      <c r="H6297" s="3" t="s">
        <v>1183</v>
      </c>
      <c r="K6297" s="2">
        <v>10</v>
      </c>
      <c r="L6297" s="2">
        <v>4</v>
      </c>
      <c r="M6297" s="3" t="s">
        <v>1188</v>
      </c>
      <c r="N6297" s="3" t="s">
        <v>790</v>
      </c>
      <c r="O6297" s="3" t="s">
        <v>76</v>
      </c>
      <c r="P6297" s="3" t="s">
        <v>1185</v>
      </c>
      <c r="Q6297" s="30" t="str">
        <f t="shared" si="98"/>
        <v>MAX : 2.75
TARGET : 2.50
MIN : 2.25</v>
      </c>
      <c r="R6297" s="3" t="s">
        <v>1638</v>
      </c>
    </row>
    <row r="6298" spans="2:18" ht="41.4" x14ac:dyDescent="0.3">
      <c r="B6298">
        <v>0</v>
      </c>
      <c r="C6298" s="33">
        <v>9396</v>
      </c>
      <c r="D6298" s="2">
        <v>1630</v>
      </c>
      <c r="E6298" s="2" t="s">
        <v>14163</v>
      </c>
      <c r="F6298" s="3" t="s">
        <v>14215</v>
      </c>
      <c r="H6298" s="3" t="s">
        <v>1183</v>
      </c>
      <c r="K6298" s="2">
        <v>10</v>
      </c>
      <c r="L6298" s="2">
        <v>5</v>
      </c>
      <c r="M6298" s="3" t="s">
        <v>1189</v>
      </c>
      <c r="N6298" s="3" t="s">
        <v>790</v>
      </c>
      <c r="O6298" s="3" t="s">
        <v>76</v>
      </c>
      <c r="P6298" s="3" t="s">
        <v>1185</v>
      </c>
      <c r="Q6298" s="30" t="str">
        <f t="shared" si="98"/>
        <v>MAX : 2.75
TARGET : 2.50
MIN : 2.25</v>
      </c>
      <c r="R6298" s="3" t="s">
        <v>1638</v>
      </c>
    </row>
    <row r="6299" spans="2:18" ht="41.4" x14ac:dyDescent="0.3">
      <c r="B6299">
        <v>0</v>
      </c>
      <c r="C6299" s="33">
        <v>9396</v>
      </c>
      <c r="D6299" s="2">
        <v>1630</v>
      </c>
      <c r="E6299" s="2" t="s">
        <v>14163</v>
      </c>
      <c r="F6299" s="3" t="s">
        <v>14215</v>
      </c>
      <c r="H6299" s="3" t="s">
        <v>1183</v>
      </c>
      <c r="K6299" s="2">
        <v>10</v>
      </c>
      <c r="L6299" s="2">
        <v>6</v>
      </c>
      <c r="M6299" s="3" t="s">
        <v>1190</v>
      </c>
      <c r="N6299" s="3" t="s">
        <v>1191</v>
      </c>
      <c r="O6299" s="3" t="s">
        <v>1192</v>
      </c>
      <c r="P6299" s="3" t="s">
        <v>1193</v>
      </c>
      <c r="Q6299" s="30" t="str">
        <f t="shared" si="98"/>
        <v>MAX : 49.25
TARGET : 49.00
MIN : 48.75</v>
      </c>
      <c r="R6299" s="3" t="s">
        <v>1638</v>
      </c>
    </row>
    <row r="6300" spans="2:18" ht="41.4" x14ac:dyDescent="0.3">
      <c r="B6300">
        <v>0</v>
      </c>
      <c r="C6300" s="33">
        <v>9396</v>
      </c>
      <c r="D6300" s="2">
        <v>1630</v>
      </c>
      <c r="E6300" s="2" t="s">
        <v>14163</v>
      </c>
      <c r="F6300" s="3" t="s">
        <v>14215</v>
      </c>
      <c r="H6300" s="3" t="s">
        <v>1183</v>
      </c>
      <c r="K6300" s="2">
        <v>10</v>
      </c>
      <c r="L6300" s="2">
        <v>7</v>
      </c>
      <c r="M6300" s="3" t="s">
        <v>1194</v>
      </c>
      <c r="N6300" s="3" t="s">
        <v>1195</v>
      </c>
      <c r="O6300" s="3" t="s">
        <v>1196</v>
      </c>
      <c r="P6300" s="3" t="s">
        <v>1197</v>
      </c>
      <c r="Q6300" s="30" t="str">
        <f t="shared" si="98"/>
        <v>MAX : 24.75
TARGET : 24.50
MIN : 24.25</v>
      </c>
      <c r="R6300" s="3" t="s">
        <v>1638</v>
      </c>
    </row>
    <row r="6301" spans="2:18" ht="41.4" x14ac:dyDescent="0.3">
      <c r="B6301">
        <v>0</v>
      </c>
      <c r="C6301" s="33">
        <v>9396</v>
      </c>
      <c r="D6301" s="2">
        <v>1630</v>
      </c>
      <c r="E6301" s="2" t="s">
        <v>14163</v>
      </c>
      <c r="F6301" s="3" t="s">
        <v>14215</v>
      </c>
      <c r="H6301" s="3" t="s">
        <v>1183</v>
      </c>
      <c r="K6301" s="2">
        <v>10</v>
      </c>
      <c r="L6301" s="2">
        <v>8</v>
      </c>
      <c r="M6301" s="3" t="s">
        <v>1198</v>
      </c>
      <c r="N6301" s="3" t="s">
        <v>1195</v>
      </c>
      <c r="O6301" s="3" t="s">
        <v>1196</v>
      </c>
      <c r="P6301" s="3" t="s">
        <v>1197</v>
      </c>
      <c r="Q6301" s="30" t="str">
        <f t="shared" si="98"/>
        <v>MAX : 24.75
TARGET : 24.50
MIN : 24.25</v>
      </c>
      <c r="R6301" s="3" t="s">
        <v>1638</v>
      </c>
    </row>
    <row r="6302" spans="2:18" ht="41.4" x14ac:dyDescent="0.3">
      <c r="B6302">
        <v>0</v>
      </c>
      <c r="C6302" s="33">
        <v>9396</v>
      </c>
      <c r="D6302" s="2">
        <v>1630</v>
      </c>
      <c r="E6302" s="2" t="s">
        <v>14163</v>
      </c>
      <c r="F6302" s="3" t="s">
        <v>14215</v>
      </c>
      <c r="H6302" s="3" t="s">
        <v>1183</v>
      </c>
      <c r="K6302" s="2">
        <v>10</v>
      </c>
      <c r="L6302" s="2">
        <v>9</v>
      </c>
      <c r="M6302" s="3" t="s">
        <v>1199</v>
      </c>
      <c r="N6302" s="3" t="s">
        <v>1200</v>
      </c>
      <c r="O6302" s="3" t="s">
        <v>1201</v>
      </c>
      <c r="P6302" s="3" t="s">
        <v>1202</v>
      </c>
      <c r="Q6302" s="30" t="str">
        <f t="shared" si="98"/>
        <v>MAX : 44.25
TARGET : 44.00
MIN : 43.75</v>
      </c>
      <c r="R6302" s="3" t="s">
        <v>1638</v>
      </c>
    </row>
    <row r="6303" spans="2:18" ht="41.4" x14ac:dyDescent="0.3">
      <c r="B6303">
        <v>0</v>
      </c>
      <c r="C6303" s="33">
        <v>9396</v>
      </c>
      <c r="D6303" s="2">
        <v>1630</v>
      </c>
      <c r="E6303" s="2" t="s">
        <v>14163</v>
      </c>
      <c r="F6303" s="3" t="s">
        <v>14215</v>
      </c>
      <c r="H6303" s="3" t="s">
        <v>1183</v>
      </c>
      <c r="K6303" s="2">
        <v>10</v>
      </c>
      <c r="L6303" s="2">
        <v>10</v>
      </c>
      <c r="M6303" s="3" t="s">
        <v>4783</v>
      </c>
      <c r="N6303" s="3" t="s">
        <v>4784</v>
      </c>
      <c r="O6303" s="3" t="s">
        <v>4785</v>
      </c>
      <c r="P6303" s="3" t="s">
        <v>4786</v>
      </c>
      <c r="Q6303" s="30" t="str">
        <f t="shared" si="98"/>
        <v>MAX : 15.31
TARGET : 15.06
MIN : 14.81</v>
      </c>
      <c r="R6303" s="3" t="s">
        <v>1638</v>
      </c>
    </row>
    <row r="6304" spans="2:18" ht="41.4" x14ac:dyDescent="0.3">
      <c r="B6304">
        <v>0</v>
      </c>
      <c r="C6304" s="33">
        <v>9396</v>
      </c>
      <c r="D6304" s="2">
        <v>1630</v>
      </c>
      <c r="E6304" s="2" t="s">
        <v>14163</v>
      </c>
      <c r="F6304" s="3" t="s">
        <v>14215</v>
      </c>
      <c r="H6304" s="3" t="s">
        <v>1183</v>
      </c>
      <c r="K6304" s="2">
        <v>10</v>
      </c>
      <c r="L6304" s="2">
        <v>11</v>
      </c>
      <c r="M6304" s="3" t="s">
        <v>4787</v>
      </c>
      <c r="N6304" s="3" t="s">
        <v>4788</v>
      </c>
      <c r="O6304" s="3" t="s">
        <v>4789</v>
      </c>
      <c r="P6304" s="3" t="s">
        <v>4790</v>
      </c>
      <c r="Q6304" s="30" t="str">
        <f t="shared" si="98"/>
        <v>MAX : 41.70
TARGET : 41.45
MIN : 41.20</v>
      </c>
      <c r="R6304" s="3" t="s">
        <v>1638</v>
      </c>
    </row>
    <row r="6305" spans="2:18" ht="41.4" x14ac:dyDescent="0.3">
      <c r="B6305">
        <v>0</v>
      </c>
      <c r="C6305" s="33">
        <v>9396</v>
      </c>
      <c r="D6305" s="2">
        <v>1630</v>
      </c>
      <c r="E6305" s="2" t="s">
        <v>14163</v>
      </c>
      <c r="F6305" s="3" t="s">
        <v>14215</v>
      </c>
      <c r="H6305" s="3" t="s">
        <v>1183</v>
      </c>
      <c r="K6305" s="2">
        <v>10</v>
      </c>
      <c r="L6305" s="2">
        <v>12</v>
      </c>
      <c r="M6305" s="3" t="s">
        <v>4791</v>
      </c>
      <c r="N6305" s="3" t="s">
        <v>4792</v>
      </c>
      <c r="O6305" s="3" t="s">
        <v>4793</v>
      </c>
      <c r="P6305" s="3" t="s">
        <v>4794</v>
      </c>
      <c r="Q6305" s="30" t="str">
        <f t="shared" si="98"/>
        <v>MAX : 20.98
TARGET : 20.73
MIN : 20.48</v>
      </c>
      <c r="R6305" s="3" t="s">
        <v>1638</v>
      </c>
    </row>
    <row r="6306" spans="2:18" ht="41.4" x14ac:dyDescent="0.3">
      <c r="B6306">
        <v>0</v>
      </c>
      <c r="C6306" s="33">
        <v>9396</v>
      </c>
      <c r="D6306" s="2">
        <v>1630</v>
      </c>
      <c r="E6306" s="2" t="s">
        <v>14163</v>
      </c>
      <c r="F6306" s="3" t="s">
        <v>14215</v>
      </c>
      <c r="H6306" s="3" t="s">
        <v>1183</v>
      </c>
      <c r="K6306" s="2">
        <v>10</v>
      </c>
      <c r="L6306" s="2">
        <v>13</v>
      </c>
      <c r="M6306" s="3" t="s">
        <v>4795</v>
      </c>
      <c r="N6306" s="3" t="s">
        <v>4792</v>
      </c>
      <c r="O6306" s="3" t="s">
        <v>4793</v>
      </c>
      <c r="P6306" s="3" t="s">
        <v>4794</v>
      </c>
      <c r="Q6306" s="30" t="str">
        <f t="shared" si="98"/>
        <v>MAX : 20.98
TARGET : 20.73
MIN : 20.48</v>
      </c>
      <c r="R6306" s="3" t="s">
        <v>1638</v>
      </c>
    </row>
    <row r="6307" spans="2:18" ht="41.4" x14ac:dyDescent="0.3">
      <c r="B6307">
        <v>0</v>
      </c>
      <c r="C6307" s="33">
        <v>9396</v>
      </c>
      <c r="D6307" s="2">
        <v>1630</v>
      </c>
      <c r="E6307" s="2" t="s">
        <v>14163</v>
      </c>
      <c r="F6307" s="3" t="s">
        <v>14215</v>
      </c>
      <c r="H6307" s="3" t="s">
        <v>1183</v>
      </c>
      <c r="K6307" s="2">
        <v>10</v>
      </c>
      <c r="L6307" s="2">
        <v>14</v>
      </c>
      <c r="M6307" s="3" t="s">
        <v>4796</v>
      </c>
      <c r="N6307" s="3" t="s">
        <v>4797</v>
      </c>
      <c r="O6307" s="3" t="s">
        <v>4798</v>
      </c>
      <c r="P6307" s="3" t="s">
        <v>4799</v>
      </c>
      <c r="Q6307" s="30" t="str">
        <f t="shared" si="98"/>
        <v>MAX : 25.87
TARGET : 25.62
MIN : 25.37</v>
      </c>
      <c r="R6307" s="3" t="s">
        <v>1638</v>
      </c>
    </row>
    <row r="6308" spans="2:18" ht="41.4" x14ac:dyDescent="0.3">
      <c r="B6308">
        <v>0</v>
      </c>
      <c r="C6308" s="33">
        <v>9396</v>
      </c>
      <c r="D6308" s="2">
        <v>1630</v>
      </c>
      <c r="E6308" s="2" t="s">
        <v>14163</v>
      </c>
      <c r="F6308" s="3" t="s">
        <v>14215</v>
      </c>
      <c r="H6308" s="3" t="s">
        <v>1183</v>
      </c>
      <c r="K6308" s="2">
        <v>10</v>
      </c>
      <c r="L6308" s="2">
        <v>15</v>
      </c>
      <c r="M6308" s="3" t="s">
        <v>4800</v>
      </c>
      <c r="N6308" s="3" t="s">
        <v>1200</v>
      </c>
      <c r="O6308" s="3" t="s">
        <v>1201</v>
      </c>
      <c r="P6308" s="3" t="s">
        <v>1202</v>
      </c>
      <c r="Q6308" s="30" t="str">
        <f t="shared" si="98"/>
        <v>MAX : 44.25
TARGET : 44.00
MIN : 43.75</v>
      </c>
      <c r="R6308" s="3" t="s">
        <v>1638</v>
      </c>
    </row>
    <row r="6309" spans="2:18" ht="41.4" x14ac:dyDescent="0.3">
      <c r="B6309">
        <v>0</v>
      </c>
      <c r="C6309" s="33">
        <v>9396</v>
      </c>
      <c r="D6309" s="2">
        <v>1630</v>
      </c>
      <c r="E6309" s="2" t="s">
        <v>14163</v>
      </c>
      <c r="F6309" s="3" t="s">
        <v>14215</v>
      </c>
      <c r="H6309" s="3" t="s">
        <v>1183</v>
      </c>
      <c r="K6309" s="2">
        <v>10</v>
      </c>
      <c r="L6309" s="2">
        <v>16</v>
      </c>
      <c r="M6309" s="3" t="s">
        <v>4801</v>
      </c>
      <c r="N6309" s="3" t="s">
        <v>859</v>
      </c>
      <c r="O6309" s="3" t="s">
        <v>4773</v>
      </c>
      <c r="P6309" s="3" t="s">
        <v>860</v>
      </c>
      <c r="Q6309" s="30" t="str">
        <f t="shared" si="98"/>
        <v>MAX : 18.00
TARGET : 17.75
MIN : 17.50</v>
      </c>
      <c r="R6309" s="3" t="s">
        <v>1638</v>
      </c>
    </row>
    <row r="6310" spans="2:18" ht="41.4" x14ac:dyDescent="0.3">
      <c r="B6310">
        <v>0</v>
      </c>
      <c r="C6310" s="33">
        <v>9396</v>
      </c>
      <c r="D6310" s="2">
        <v>1630</v>
      </c>
      <c r="E6310" s="2" t="s">
        <v>14163</v>
      </c>
      <c r="F6310" s="3" t="s">
        <v>14215</v>
      </c>
      <c r="H6310" s="3" t="s">
        <v>1183</v>
      </c>
      <c r="K6310" s="2">
        <v>10</v>
      </c>
      <c r="L6310" s="2">
        <v>17</v>
      </c>
      <c r="M6310" s="3" t="s">
        <v>4802</v>
      </c>
      <c r="N6310" s="3" t="s">
        <v>4784</v>
      </c>
      <c r="O6310" s="3" t="s">
        <v>4785</v>
      </c>
      <c r="P6310" s="3" t="s">
        <v>4786</v>
      </c>
      <c r="Q6310" s="30" t="str">
        <f t="shared" si="98"/>
        <v>MAX : 15.31
TARGET : 15.06
MIN : 14.81</v>
      </c>
      <c r="R6310" s="3" t="s">
        <v>1638</v>
      </c>
    </row>
    <row r="6311" spans="2:18" ht="41.4" x14ac:dyDescent="0.3">
      <c r="B6311">
        <v>0</v>
      </c>
      <c r="C6311" s="33">
        <v>9396</v>
      </c>
      <c r="D6311" s="2">
        <v>1630</v>
      </c>
      <c r="E6311" s="2" t="s">
        <v>14163</v>
      </c>
      <c r="F6311" s="3" t="s">
        <v>14215</v>
      </c>
      <c r="H6311" s="3" t="s">
        <v>1183</v>
      </c>
      <c r="K6311" s="2">
        <v>10</v>
      </c>
      <c r="L6311" s="2">
        <v>18</v>
      </c>
      <c r="M6311" s="3" t="s">
        <v>4803</v>
      </c>
      <c r="N6311" s="3" t="s">
        <v>4804</v>
      </c>
      <c r="O6311" s="3" t="s">
        <v>4805</v>
      </c>
      <c r="P6311" s="3" t="s">
        <v>4806</v>
      </c>
      <c r="Q6311" s="30" t="str">
        <f t="shared" si="98"/>
        <v>MAX : 46.75
TARGET : 46.50
MIN : 46.25</v>
      </c>
      <c r="R6311" s="3" t="s">
        <v>1638</v>
      </c>
    </row>
    <row r="6312" spans="2:18" ht="41.4" x14ac:dyDescent="0.3">
      <c r="B6312">
        <v>0</v>
      </c>
      <c r="C6312" s="33">
        <v>9396</v>
      </c>
      <c r="D6312" s="2">
        <v>1630</v>
      </c>
      <c r="E6312" s="2" t="s">
        <v>14163</v>
      </c>
      <c r="F6312" s="3" t="s">
        <v>14215</v>
      </c>
      <c r="H6312" s="3" t="s">
        <v>1183</v>
      </c>
      <c r="K6312" s="2">
        <v>10</v>
      </c>
      <c r="L6312" s="2">
        <v>19</v>
      </c>
      <c r="M6312" s="3" t="s">
        <v>4807</v>
      </c>
      <c r="N6312" s="3" t="s">
        <v>4808</v>
      </c>
      <c r="O6312" s="3" t="s">
        <v>4526</v>
      </c>
      <c r="P6312" s="3" t="s">
        <v>4809</v>
      </c>
      <c r="Q6312" s="30" t="str">
        <f t="shared" si="98"/>
        <v>MAX : 51.05
TARGET : 50.80
MIN : 50.55</v>
      </c>
      <c r="R6312" s="3" t="s">
        <v>1638</v>
      </c>
    </row>
    <row r="6313" spans="2:18" ht="41.4" x14ac:dyDescent="0.3">
      <c r="B6313">
        <v>0</v>
      </c>
      <c r="C6313" s="33">
        <v>9396</v>
      </c>
      <c r="D6313" s="2">
        <v>1630</v>
      </c>
      <c r="E6313" s="2" t="s">
        <v>14163</v>
      </c>
      <c r="F6313" s="3" t="s">
        <v>14215</v>
      </c>
      <c r="H6313" s="3" t="s">
        <v>1183</v>
      </c>
      <c r="K6313" s="2">
        <v>10</v>
      </c>
      <c r="L6313" s="2">
        <v>20</v>
      </c>
      <c r="M6313" s="3" t="s">
        <v>4810</v>
      </c>
      <c r="N6313" s="3" t="s">
        <v>4811</v>
      </c>
      <c r="O6313" s="3" t="s">
        <v>4812</v>
      </c>
      <c r="P6313" s="3" t="s">
        <v>4813</v>
      </c>
      <c r="Q6313" s="30" t="str">
        <f t="shared" si="98"/>
        <v>MAX : 55.25
TARGET : 55.00
MIN : 54.75</v>
      </c>
      <c r="R6313" s="3" t="s">
        <v>1638</v>
      </c>
    </row>
    <row r="6314" spans="2:18" ht="41.4" x14ac:dyDescent="0.3">
      <c r="B6314">
        <v>0</v>
      </c>
      <c r="C6314" s="33">
        <v>9396</v>
      </c>
      <c r="D6314" s="2">
        <v>1630</v>
      </c>
      <c r="E6314" s="2" t="s">
        <v>14163</v>
      </c>
      <c r="F6314" s="3" t="s">
        <v>14215</v>
      </c>
      <c r="H6314" s="3" t="s">
        <v>1183</v>
      </c>
      <c r="K6314" s="2">
        <v>10</v>
      </c>
      <c r="L6314" s="2">
        <v>21</v>
      </c>
      <c r="M6314" s="3" t="s">
        <v>4814</v>
      </c>
      <c r="N6314" s="3" t="s">
        <v>4815</v>
      </c>
      <c r="O6314" s="3" t="s">
        <v>4816</v>
      </c>
      <c r="P6314" s="3" t="s">
        <v>4817</v>
      </c>
      <c r="Q6314" s="30" t="str">
        <f t="shared" si="98"/>
        <v>MAX : 56.63
TARGET : 56.38
MIN : 56.13</v>
      </c>
      <c r="R6314" s="3" t="s">
        <v>1638</v>
      </c>
    </row>
    <row r="6315" spans="2:18" ht="41.4" x14ac:dyDescent="0.3">
      <c r="B6315">
        <v>0</v>
      </c>
      <c r="C6315" s="33">
        <v>9396</v>
      </c>
      <c r="D6315" s="2">
        <v>1630</v>
      </c>
      <c r="E6315" s="2" t="s">
        <v>14163</v>
      </c>
      <c r="F6315" s="3" t="s">
        <v>14215</v>
      </c>
      <c r="H6315" s="3" t="s">
        <v>1183</v>
      </c>
      <c r="K6315" s="2">
        <v>10</v>
      </c>
      <c r="L6315" s="2">
        <v>25</v>
      </c>
      <c r="M6315" s="3" t="s">
        <v>4818</v>
      </c>
      <c r="N6315" s="3" t="s">
        <v>1732</v>
      </c>
      <c r="O6315" s="3" t="s">
        <v>2020</v>
      </c>
      <c r="P6315" s="3" t="s">
        <v>4263</v>
      </c>
      <c r="Q6315" s="30" t="str">
        <f t="shared" si="98"/>
        <v>MAX : 0.89
TARGET : 0.64
MIN : 0.39</v>
      </c>
      <c r="R6315" s="3" t="s">
        <v>1638</v>
      </c>
    </row>
    <row r="6316" spans="2:18" ht="41.4" x14ac:dyDescent="0.3">
      <c r="B6316">
        <v>0</v>
      </c>
      <c r="C6316" s="33">
        <v>9396</v>
      </c>
      <c r="D6316" s="2">
        <v>1630</v>
      </c>
      <c r="E6316" s="2" t="s">
        <v>14163</v>
      </c>
      <c r="F6316" s="3" t="s">
        <v>14215</v>
      </c>
      <c r="H6316" s="3" t="s">
        <v>1183</v>
      </c>
      <c r="K6316" s="2">
        <v>10</v>
      </c>
      <c r="L6316" s="2">
        <v>26</v>
      </c>
      <c r="M6316" s="3" t="s">
        <v>5361</v>
      </c>
      <c r="N6316" s="3" t="s">
        <v>24</v>
      </c>
      <c r="O6316" s="3" t="s">
        <v>25</v>
      </c>
      <c r="Q6316" s="30" t="str">
        <f t="shared" si="98"/>
        <v>MAX : 
TARGET : Yes (Pass)
MIN : No (Fail)</v>
      </c>
      <c r="R6316" s="3" t="s">
        <v>1638</v>
      </c>
    </row>
    <row r="6317" spans="2:18" ht="41.4" x14ac:dyDescent="0.3">
      <c r="B6317">
        <v>0</v>
      </c>
      <c r="C6317" s="33">
        <v>9396</v>
      </c>
      <c r="D6317" s="2">
        <v>1630</v>
      </c>
      <c r="E6317" s="2" t="s">
        <v>14163</v>
      </c>
      <c r="F6317" s="3" t="s">
        <v>14215</v>
      </c>
      <c r="H6317" s="3" t="s">
        <v>1183</v>
      </c>
      <c r="K6317" s="2">
        <v>10</v>
      </c>
      <c r="L6317" s="2">
        <v>22</v>
      </c>
      <c r="M6317" s="3" t="s">
        <v>5769</v>
      </c>
      <c r="N6317" s="3" t="s">
        <v>5770</v>
      </c>
      <c r="O6317" s="3" t="s">
        <v>775</v>
      </c>
      <c r="P6317" s="3" t="s">
        <v>424</v>
      </c>
      <c r="Q6317" s="30" t="str">
        <f t="shared" si="98"/>
        <v>MAX : 0.25
TARGET : 0.00
MIN : -0.25</v>
      </c>
      <c r="R6317" s="3" t="s">
        <v>1638</v>
      </c>
    </row>
    <row r="6318" spans="2:18" ht="41.4" x14ac:dyDescent="0.3">
      <c r="B6318">
        <v>0</v>
      </c>
      <c r="C6318" s="33">
        <v>9396</v>
      </c>
      <c r="D6318" s="2">
        <v>1630</v>
      </c>
      <c r="E6318" s="2" t="s">
        <v>14163</v>
      </c>
      <c r="F6318" s="3" t="s">
        <v>14215</v>
      </c>
      <c r="H6318" s="3" t="s">
        <v>1183</v>
      </c>
      <c r="K6318" s="2">
        <v>10</v>
      </c>
      <c r="L6318" s="2">
        <v>23</v>
      </c>
      <c r="M6318" s="3" t="s">
        <v>5771</v>
      </c>
      <c r="N6318" s="3" t="s">
        <v>5770</v>
      </c>
      <c r="O6318" s="3" t="s">
        <v>775</v>
      </c>
      <c r="P6318" s="3" t="s">
        <v>424</v>
      </c>
      <c r="Q6318" s="30" t="str">
        <f t="shared" si="98"/>
        <v>MAX : 0.25
TARGET : 0.00
MIN : -0.25</v>
      </c>
      <c r="R6318" s="3" t="s">
        <v>1638</v>
      </c>
    </row>
    <row r="6319" spans="2:18" ht="41.4" x14ac:dyDescent="0.3">
      <c r="B6319">
        <v>0</v>
      </c>
      <c r="C6319" s="33">
        <v>9396</v>
      </c>
      <c r="D6319" s="2">
        <v>1630</v>
      </c>
      <c r="E6319" s="2" t="s">
        <v>14163</v>
      </c>
      <c r="F6319" s="3" t="s">
        <v>14215</v>
      </c>
      <c r="H6319" s="3" t="s">
        <v>1183</v>
      </c>
      <c r="K6319" s="2">
        <v>10</v>
      </c>
      <c r="L6319" s="2">
        <v>24</v>
      </c>
      <c r="M6319" s="3" t="s">
        <v>5772</v>
      </c>
      <c r="N6319" s="3" t="s">
        <v>5770</v>
      </c>
      <c r="O6319" s="3" t="s">
        <v>775</v>
      </c>
      <c r="P6319" s="3" t="s">
        <v>424</v>
      </c>
      <c r="Q6319" s="30" t="str">
        <f t="shared" si="98"/>
        <v>MAX : 0.25
TARGET : 0.00
MIN : -0.25</v>
      </c>
      <c r="R6319" s="3" t="s">
        <v>1638</v>
      </c>
    </row>
    <row r="6320" spans="2:18" ht="41.4" x14ac:dyDescent="0.3">
      <c r="B6320">
        <v>1</v>
      </c>
      <c r="C6320" s="33">
        <v>9386</v>
      </c>
      <c r="D6320" s="2">
        <v>2155</v>
      </c>
      <c r="E6320" s="2" t="s">
        <v>14106</v>
      </c>
      <c r="F6320" s="3" t="s">
        <v>4520</v>
      </c>
      <c r="K6320" s="2">
        <v>10</v>
      </c>
      <c r="L6320" s="2">
        <v>1</v>
      </c>
      <c r="M6320" s="3" t="s">
        <v>6180</v>
      </c>
      <c r="N6320" s="3" t="s">
        <v>13</v>
      </c>
      <c r="O6320" s="3" t="s">
        <v>14</v>
      </c>
      <c r="Q6320" s="30" t="str">
        <f t="shared" si="98"/>
        <v>MAX : 
TARGET : Yes(Pass)
MIN : No(Fail)</v>
      </c>
      <c r="R6320" s="3" t="s">
        <v>4520</v>
      </c>
    </row>
    <row r="6321" spans="2:18" ht="41.4" x14ac:dyDescent="0.3">
      <c r="B6321">
        <v>1</v>
      </c>
      <c r="C6321" s="33">
        <v>9391</v>
      </c>
      <c r="D6321" s="2">
        <v>1627</v>
      </c>
      <c r="E6321" s="2" t="s">
        <v>14132</v>
      </c>
      <c r="F6321" s="3" t="s">
        <v>14207</v>
      </c>
      <c r="H6321" s="3" t="s">
        <v>810</v>
      </c>
      <c r="K6321" s="2">
        <v>10</v>
      </c>
      <c r="L6321" s="2">
        <v>2</v>
      </c>
      <c r="M6321" s="3" t="s">
        <v>1283</v>
      </c>
      <c r="N6321" s="3" t="s">
        <v>1152</v>
      </c>
      <c r="O6321" s="3" t="s">
        <v>2201</v>
      </c>
      <c r="P6321" s="3" t="s">
        <v>752</v>
      </c>
      <c r="Q6321" s="30" t="str">
        <f t="shared" si="98"/>
        <v>MAX : 1.72
TARGET : 1.60
MIN : 1.48</v>
      </c>
    </row>
    <row r="6322" spans="2:18" ht="41.4" x14ac:dyDescent="0.3">
      <c r="B6322">
        <v>0</v>
      </c>
      <c r="C6322" s="33">
        <v>9393</v>
      </c>
      <c r="D6322" s="2">
        <v>1629</v>
      </c>
      <c r="E6322" s="2" t="s">
        <v>14145</v>
      </c>
      <c r="F6322" s="3" t="s">
        <v>14206</v>
      </c>
      <c r="H6322" s="3" t="s">
        <v>426</v>
      </c>
      <c r="K6322" s="2">
        <v>20</v>
      </c>
      <c r="L6322" s="2">
        <v>3</v>
      </c>
      <c r="M6322" s="3" t="s">
        <v>1666</v>
      </c>
      <c r="N6322" s="3" t="s">
        <v>5406</v>
      </c>
      <c r="O6322" s="3" t="s">
        <v>2082</v>
      </c>
      <c r="P6322" s="3" t="s">
        <v>3383</v>
      </c>
      <c r="Q6322" s="30" t="str">
        <f t="shared" si="98"/>
        <v>MAX : 0.090
TARGET : 0.080
MIN : 0.070</v>
      </c>
    </row>
    <row r="6323" spans="2:18" ht="41.4" x14ac:dyDescent="0.3">
      <c r="B6323">
        <v>0</v>
      </c>
      <c r="C6323" s="33">
        <v>9393</v>
      </c>
      <c r="D6323" s="2">
        <v>1629</v>
      </c>
      <c r="E6323" s="2" t="s">
        <v>14145</v>
      </c>
      <c r="F6323" s="3" t="s">
        <v>14206</v>
      </c>
      <c r="H6323" s="3" t="s">
        <v>426</v>
      </c>
      <c r="K6323" s="2">
        <v>20</v>
      </c>
      <c r="L6323" s="2">
        <v>4</v>
      </c>
      <c r="M6323" s="3" t="s">
        <v>6193</v>
      </c>
      <c r="N6323" s="3" t="s">
        <v>6194</v>
      </c>
      <c r="O6323" s="3" t="s">
        <v>6195</v>
      </c>
      <c r="P6323" s="3" t="s">
        <v>6196</v>
      </c>
      <c r="Q6323" s="30" t="str">
        <f t="shared" si="98"/>
        <v>MAX : 0.0895
TARGET : 0.0795
MIN : 0.0695</v>
      </c>
    </row>
    <row r="6324" spans="2:18" ht="41.4" x14ac:dyDescent="0.3">
      <c r="B6324">
        <v>0</v>
      </c>
      <c r="C6324" s="33">
        <v>9393</v>
      </c>
      <c r="D6324" s="2">
        <v>1629</v>
      </c>
      <c r="E6324" s="2" t="s">
        <v>14145</v>
      </c>
      <c r="F6324" s="3" t="s">
        <v>14206</v>
      </c>
      <c r="H6324" s="3" t="s">
        <v>426</v>
      </c>
      <c r="K6324" s="2">
        <v>20</v>
      </c>
      <c r="L6324" s="2">
        <v>5</v>
      </c>
      <c r="M6324" s="3" t="s">
        <v>6197</v>
      </c>
      <c r="N6324" s="3" t="s">
        <v>6198</v>
      </c>
      <c r="O6324" s="3" t="s">
        <v>6199</v>
      </c>
      <c r="P6324" s="3" t="s">
        <v>6200</v>
      </c>
      <c r="Q6324" s="30" t="str">
        <f t="shared" si="98"/>
        <v>MAX : 0.0775
TARGET : 0.0675
MIN : 0.0575</v>
      </c>
    </row>
    <row r="6325" spans="2:18" ht="41.4" x14ac:dyDescent="0.3">
      <c r="B6325">
        <v>0</v>
      </c>
      <c r="C6325" s="33">
        <v>9393</v>
      </c>
      <c r="D6325" s="2">
        <v>1629</v>
      </c>
      <c r="E6325" s="2" t="s">
        <v>14145</v>
      </c>
      <c r="F6325" s="3" t="s">
        <v>14206</v>
      </c>
      <c r="H6325" s="3" t="s">
        <v>426</v>
      </c>
      <c r="K6325" s="2">
        <v>20</v>
      </c>
      <c r="L6325" s="2">
        <v>6</v>
      </c>
      <c r="M6325" s="3" t="s">
        <v>6201</v>
      </c>
      <c r="N6325" s="3" t="s">
        <v>13</v>
      </c>
      <c r="O6325" s="3" t="s">
        <v>14</v>
      </c>
      <c r="Q6325" s="30" t="str">
        <f t="shared" si="98"/>
        <v>MAX : 
TARGET : Yes(Pass)
MIN : No(Fail)</v>
      </c>
    </row>
    <row r="6326" spans="2:18" ht="41.4" x14ac:dyDescent="0.3">
      <c r="B6326">
        <v>0</v>
      </c>
      <c r="C6326" s="33">
        <v>9393</v>
      </c>
      <c r="D6326" s="2">
        <v>1629</v>
      </c>
      <c r="E6326" s="2" t="s">
        <v>14145</v>
      </c>
      <c r="F6326" s="3" t="s">
        <v>14206</v>
      </c>
      <c r="H6326" s="3" t="s">
        <v>426</v>
      </c>
      <c r="K6326" s="2">
        <v>20</v>
      </c>
      <c r="L6326" s="2">
        <v>7</v>
      </c>
      <c r="M6326" s="3" t="s">
        <v>6202</v>
      </c>
      <c r="N6326" s="3" t="s">
        <v>13</v>
      </c>
      <c r="O6326" s="3" t="s">
        <v>14</v>
      </c>
      <c r="Q6326" s="30" t="str">
        <f t="shared" si="98"/>
        <v>MAX : 
TARGET : Yes(Pass)
MIN : No(Fail)</v>
      </c>
    </row>
    <row r="6327" spans="2:18" ht="41.4" x14ac:dyDescent="0.3">
      <c r="B6327">
        <v>1</v>
      </c>
      <c r="C6327" s="33">
        <v>9391</v>
      </c>
      <c r="D6327" s="2">
        <v>1627</v>
      </c>
      <c r="E6327" s="2" t="s">
        <v>14132</v>
      </c>
      <c r="F6327" s="3" t="s">
        <v>14207</v>
      </c>
      <c r="H6327" s="3" t="s">
        <v>810</v>
      </c>
      <c r="K6327" s="2">
        <v>10</v>
      </c>
      <c r="L6327" s="2">
        <v>1</v>
      </c>
      <c r="M6327" s="3" t="s">
        <v>502</v>
      </c>
      <c r="N6327" s="3" t="s">
        <v>2535</v>
      </c>
      <c r="O6327" s="3" t="s">
        <v>340</v>
      </c>
      <c r="P6327" s="3" t="s">
        <v>2243</v>
      </c>
      <c r="Q6327" s="30" t="str">
        <f t="shared" si="98"/>
        <v>MAX : 3.62
TARGET : 3.50
MIN : 3.38</v>
      </c>
    </row>
    <row r="6328" spans="2:18" ht="41.4" x14ac:dyDescent="0.3">
      <c r="B6328">
        <v>1</v>
      </c>
      <c r="C6328" s="33">
        <v>9392</v>
      </c>
      <c r="D6328" s="2">
        <v>1628</v>
      </c>
      <c r="E6328" s="2" t="s">
        <v>14139</v>
      </c>
      <c r="F6328" s="3" t="s">
        <v>14206</v>
      </c>
      <c r="H6328" s="3" t="s">
        <v>3788</v>
      </c>
      <c r="K6328" s="2">
        <v>10</v>
      </c>
      <c r="L6328" s="2">
        <v>2</v>
      </c>
      <c r="M6328" s="3" t="s">
        <v>6184</v>
      </c>
      <c r="N6328" s="3" t="s">
        <v>2145</v>
      </c>
      <c r="O6328" s="3" t="s">
        <v>247</v>
      </c>
      <c r="P6328" s="3" t="s">
        <v>979</v>
      </c>
      <c r="Q6328" s="30" t="str">
        <f t="shared" si="98"/>
        <v>MAX : 0.44
TARGET : 0.38
MIN : 0.32</v>
      </c>
    </row>
    <row r="6329" spans="2:18" ht="41.4" x14ac:dyDescent="0.3">
      <c r="B6329">
        <v>1</v>
      </c>
      <c r="C6329" s="33">
        <v>9392</v>
      </c>
      <c r="D6329" s="2">
        <v>1628</v>
      </c>
      <c r="E6329" s="2" t="s">
        <v>14139</v>
      </c>
      <c r="F6329" s="3" t="s">
        <v>14206</v>
      </c>
      <c r="H6329" s="3" t="s">
        <v>3788</v>
      </c>
      <c r="K6329" s="2">
        <v>10</v>
      </c>
      <c r="L6329" s="2">
        <v>1</v>
      </c>
      <c r="M6329" s="3" t="s">
        <v>194</v>
      </c>
      <c r="N6329" s="3" t="s">
        <v>3060</v>
      </c>
      <c r="O6329" s="3" t="s">
        <v>3061</v>
      </c>
      <c r="P6329" s="3" t="s">
        <v>3062</v>
      </c>
      <c r="Q6329" s="30" t="str">
        <f t="shared" si="98"/>
        <v>MAX : 11.06
TARGET : 11.00
MIN : 10.94</v>
      </c>
    </row>
    <row r="6330" spans="2:18" ht="41.4" x14ac:dyDescent="0.3">
      <c r="B6330">
        <v>1</v>
      </c>
      <c r="C6330" s="33">
        <v>9393</v>
      </c>
      <c r="D6330" s="2">
        <v>1629</v>
      </c>
      <c r="E6330" s="2" t="s">
        <v>14145</v>
      </c>
      <c r="F6330" s="3" t="s">
        <v>14206</v>
      </c>
      <c r="H6330" s="3" t="s">
        <v>426</v>
      </c>
      <c r="K6330" s="2">
        <v>20</v>
      </c>
      <c r="L6330" s="2">
        <v>2</v>
      </c>
      <c r="M6330" s="3" t="s">
        <v>198</v>
      </c>
      <c r="N6330" s="3" t="s">
        <v>1940</v>
      </c>
      <c r="O6330" s="3" t="s">
        <v>276</v>
      </c>
      <c r="P6330" s="3" t="s">
        <v>3737</v>
      </c>
      <c r="Q6330" s="30" t="str">
        <f t="shared" si="98"/>
        <v>MAX : 0.385
TARGET : 0.375
MIN : 0.365</v>
      </c>
    </row>
    <row r="6331" spans="2:18" ht="41.4" x14ac:dyDescent="0.3">
      <c r="B6331">
        <v>1</v>
      </c>
      <c r="C6331" s="33">
        <v>9393</v>
      </c>
      <c r="D6331" s="2">
        <v>1629</v>
      </c>
      <c r="E6331" s="2" t="s">
        <v>14145</v>
      </c>
      <c r="F6331" s="3" t="s">
        <v>14206</v>
      </c>
      <c r="H6331" s="3" t="s">
        <v>426</v>
      </c>
      <c r="K6331" s="2">
        <v>20</v>
      </c>
      <c r="L6331" s="2">
        <v>1</v>
      </c>
      <c r="M6331" s="3" t="s">
        <v>194</v>
      </c>
      <c r="N6331" s="3" t="s">
        <v>1940</v>
      </c>
      <c r="O6331" s="3" t="s">
        <v>276</v>
      </c>
      <c r="P6331" s="3" t="s">
        <v>3737</v>
      </c>
      <c r="Q6331" s="30" t="str">
        <f t="shared" si="98"/>
        <v>MAX : 0.385
TARGET : 0.375
MIN : 0.365</v>
      </c>
    </row>
    <row r="6332" spans="2:18" ht="41.4" x14ac:dyDescent="0.3">
      <c r="B6332">
        <v>1</v>
      </c>
      <c r="C6332" s="33">
        <v>9394</v>
      </c>
      <c r="D6332" s="2">
        <v>2156</v>
      </c>
      <c r="E6332" s="2" t="s">
        <v>14151</v>
      </c>
      <c r="F6332" s="3" t="s">
        <v>14206</v>
      </c>
      <c r="H6332" s="3" t="s">
        <v>568</v>
      </c>
      <c r="K6332" s="2">
        <v>10</v>
      </c>
      <c r="L6332" s="2">
        <v>2</v>
      </c>
      <c r="M6332" s="3" t="s">
        <v>325</v>
      </c>
      <c r="N6332" s="3" t="s">
        <v>13</v>
      </c>
      <c r="O6332" s="3" t="s">
        <v>14</v>
      </c>
      <c r="Q6332" s="30" t="str">
        <f t="shared" si="98"/>
        <v>MAX : 
TARGET : Yes(Pass)
MIN : No(Fail)</v>
      </c>
    </row>
    <row r="6333" spans="2:18" ht="41.4" x14ac:dyDescent="0.3">
      <c r="B6333">
        <v>1</v>
      </c>
      <c r="C6333" s="33">
        <v>9394</v>
      </c>
      <c r="D6333" s="2">
        <v>2156</v>
      </c>
      <c r="E6333" s="2" t="s">
        <v>14151</v>
      </c>
      <c r="F6333" s="3" t="s">
        <v>14206</v>
      </c>
      <c r="H6333" s="3" t="s">
        <v>568</v>
      </c>
      <c r="K6333" s="2">
        <v>10</v>
      </c>
      <c r="L6333" s="2">
        <v>1</v>
      </c>
      <c r="M6333" s="3" t="s">
        <v>458</v>
      </c>
      <c r="N6333" s="3" t="s">
        <v>6188</v>
      </c>
      <c r="O6333" s="3" t="s">
        <v>6189</v>
      </c>
      <c r="P6333" s="3" t="s">
        <v>6190</v>
      </c>
      <c r="Q6333" s="30" t="str">
        <f t="shared" si="98"/>
        <v>MAX : 6.281
TARGET : 6.156
MIN : 6.031</v>
      </c>
    </row>
    <row r="6334" spans="2:18" ht="41.4" x14ac:dyDescent="0.3">
      <c r="B6334">
        <v>1</v>
      </c>
      <c r="C6334" s="33">
        <v>9395</v>
      </c>
      <c r="D6334" s="2">
        <v>2157</v>
      </c>
      <c r="E6334" s="2" t="s">
        <v>14157</v>
      </c>
      <c r="F6334" s="3" t="s">
        <v>14206</v>
      </c>
      <c r="H6334" s="3" t="s">
        <v>289</v>
      </c>
      <c r="K6334" s="2">
        <v>10</v>
      </c>
      <c r="L6334" s="2">
        <v>2</v>
      </c>
      <c r="M6334" s="3" t="s">
        <v>6192</v>
      </c>
      <c r="N6334" s="3" t="s">
        <v>13</v>
      </c>
      <c r="O6334" s="3" t="s">
        <v>14</v>
      </c>
      <c r="Q6334" s="30" t="str">
        <f t="shared" si="98"/>
        <v>MAX : 
TARGET : Yes(Pass)
MIN : No(Fail)</v>
      </c>
    </row>
    <row r="6335" spans="2:18" ht="41.4" x14ac:dyDescent="0.3">
      <c r="B6335">
        <v>0</v>
      </c>
      <c r="C6335" s="33">
        <v>9400</v>
      </c>
      <c r="D6335" s="2">
        <v>2158</v>
      </c>
      <c r="E6335" s="2" t="s">
        <v>14172</v>
      </c>
      <c r="F6335" s="3" t="s">
        <v>14206</v>
      </c>
      <c r="H6335" s="3" t="s">
        <v>922</v>
      </c>
      <c r="K6335" s="2">
        <v>20</v>
      </c>
      <c r="L6335" s="2">
        <v>2</v>
      </c>
      <c r="M6335" s="3" t="s">
        <v>6206</v>
      </c>
      <c r="N6335" s="3" t="s">
        <v>4276</v>
      </c>
      <c r="O6335" s="3" t="s">
        <v>768</v>
      </c>
      <c r="P6335" s="3" t="s">
        <v>2899</v>
      </c>
      <c r="Q6335" s="30" t="str">
        <f t="shared" si="98"/>
        <v>MAX : 4.02
TARGET : 3.96
MIN : 3.90</v>
      </c>
      <c r="R6335" s="3" t="s">
        <v>4520</v>
      </c>
    </row>
    <row r="6336" spans="2:18" ht="41.4" x14ac:dyDescent="0.3">
      <c r="B6336">
        <v>0</v>
      </c>
      <c r="C6336" s="33">
        <v>9400</v>
      </c>
      <c r="D6336" s="2">
        <v>2158</v>
      </c>
      <c r="E6336" s="2" t="s">
        <v>14172</v>
      </c>
      <c r="F6336" s="3" t="s">
        <v>14206</v>
      </c>
      <c r="H6336" s="3" t="s">
        <v>922</v>
      </c>
      <c r="K6336" s="2">
        <v>20</v>
      </c>
      <c r="L6336" s="2">
        <v>3</v>
      </c>
      <c r="M6336" s="3" t="s">
        <v>6207</v>
      </c>
      <c r="N6336" s="3" t="s">
        <v>435</v>
      </c>
      <c r="O6336" s="3" t="s">
        <v>437</v>
      </c>
      <c r="P6336" s="3" t="s">
        <v>4771</v>
      </c>
      <c r="Q6336" s="30" t="str">
        <f t="shared" si="98"/>
        <v>MAX : 0.29
TARGET : 0.23
MIN : 0.17</v>
      </c>
      <c r="R6336" s="3" t="s">
        <v>4520</v>
      </c>
    </row>
    <row r="6337" spans="2:18" ht="41.4" x14ac:dyDescent="0.3">
      <c r="B6337">
        <v>1</v>
      </c>
      <c r="C6337" s="33">
        <v>9395</v>
      </c>
      <c r="D6337" s="2">
        <v>2157</v>
      </c>
      <c r="E6337" s="2" t="s">
        <v>14157</v>
      </c>
      <c r="F6337" s="3" t="s">
        <v>14206</v>
      </c>
      <c r="H6337" s="3" t="s">
        <v>289</v>
      </c>
      <c r="K6337" s="2">
        <v>10</v>
      </c>
      <c r="L6337" s="2">
        <v>1</v>
      </c>
      <c r="M6337" s="3" t="s">
        <v>6191</v>
      </c>
      <c r="N6337" s="3" t="s">
        <v>13</v>
      </c>
      <c r="O6337" s="3" t="s">
        <v>14</v>
      </c>
      <c r="Q6337" s="30" t="str">
        <f t="shared" si="98"/>
        <v>MAX : 
TARGET : Yes(Pass)
MIN : No(Fail)</v>
      </c>
    </row>
    <row r="6338" spans="2:18" ht="41.4" x14ac:dyDescent="0.3">
      <c r="B6338">
        <v>1</v>
      </c>
      <c r="C6338" s="33">
        <v>9396</v>
      </c>
      <c r="D6338" s="2">
        <v>1630</v>
      </c>
      <c r="E6338" s="2" t="s">
        <v>14163</v>
      </c>
      <c r="F6338" s="3" t="s">
        <v>14215</v>
      </c>
      <c r="H6338" s="3" t="s">
        <v>1183</v>
      </c>
      <c r="K6338" s="2">
        <v>10</v>
      </c>
      <c r="L6338" s="2">
        <v>2</v>
      </c>
      <c r="M6338" s="3" t="s">
        <v>1186</v>
      </c>
      <c r="N6338" s="3" t="s">
        <v>790</v>
      </c>
      <c r="O6338" s="3" t="s">
        <v>76</v>
      </c>
      <c r="P6338" s="3" t="s">
        <v>1185</v>
      </c>
      <c r="Q6338" s="30" t="str">
        <f t="shared" ref="Q6338:Q6401" si="99">"MAX : " &amp; P6338 &amp; CHAR(10) &amp; "TARGET : " &amp; O6338 &amp; CHAR(10) &amp; "MIN : " &amp; N6338</f>
        <v>MAX : 2.75
TARGET : 2.50
MIN : 2.25</v>
      </c>
      <c r="R6338" s="3" t="s">
        <v>1638</v>
      </c>
    </row>
    <row r="6339" spans="2:18" ht="41.4" x14ac:dyDescent="0.3">
      <c r="B6339">
        <v>1</v>
      </c>
      <c r="C6339" s="33">
        <v>9396</v>
      </c>
      <c r="D6339" s="2">
        <v>1630</v>
      </c>
      <c r="E6339" s="2" t="s">
        <v>14163</v>
      </c>
      <c r="F6339" s="3" t="s">
        <v>14215</v>
      </c>
      <c r="H6339" s="3" t="s">
        <v>1183</v>
      </c>
      <c r="K6339" s="2">
        <v>10</v>
      </c>
      <c r="L6339" s="2">
        <v>1</v>
      </c>
      <c r="M6339" s="3" t="s">
        <v>1184</v>
      </c>
      <c r="N6339" s="3" t="s">
        <v>790</v>
      </c>
      <c r="O6339" s="3" t="s">
        <v>76</v>
      </c>
      <c r="P6339" s="3" t="s">
        <v>1185</v>
      </c>
      <c r="Q6339" s="30" t="str">
        <f t="shared" si="99"/>
        <v>MAX : 2.75
TARGET : 2.50
MIN : 2.25</v>
      </c>
      <c r="R6339" s="3" t="s">
        <v>1638</v>
      </c>
    </row>
    <row r="6340" spans="2:18" ht="41.4" x14ac:dyDescent="0.3">
      <c r="B6340">
        <v>1</v>
      </c>
      <c r="C6340" s="33">
        <v>9398</v>
      </c>
      <c r="D6340" s="2">
        <v>1632</v>
      </c>
      <c r="E6340" s="2" t="s">
        <v>10786</v>
      </c>
      <c r="F6340" s="3" t="s">
        <v>14207</v>
      </c>
      <c r="H6340" s="3" t="s">
        <v>6213</v>
      </c>
      <c r="K6340" s="2">
        <v>20</v>
      </c>
      <c r="L6340" s="2">
        <v>1</v>
      </c>
      <c r="M6340" s="3" t="s">
        <v>502</v>
      </c>
      <c r="N6340" s="3" t="s">
        <v>4773</v>
      </c>
      <c r="O6340" s="3" t="s">
        <v>860</v>
      </c>
      <c r="P6340" s="3" t="s">
        <v>4703</v>
      </c>
      <c r="Q6340" s="30" t="str">
        <f t="shared" si="99"/>
        <v>MAX : 18.25
TARGET : 18.00
MIN : 17.75</v>
      </c>
      <c r="R6340" s="3" t="s">
        <v>1638</v>
      </c>
    </row>
    <row r="6341" spans="2:18" ht="41.4" x14ac:dyDescent="0.3">
      <c r="B6341">
        <v>1</v>
      </c>
      <c r="C6341" s="33">
        <v>9398</v>
      </c>
      <c r="D6341" s="2">
        <v>1632</v>
      </c>
      <c r="E6341" s="2" t="s">
        <v>10786</v>
      </c>
      <c r="F6341" s="3" t="s">
        <v>14207</v>
      </c>
      <c r="H6341" s="3" t="s">
        <v>6213</v>
      </c>
      <c r="K6341" s="2">
        <v>20</v>
      </c>
      <c r="L6341" s="2">
        <v>2</v>
      </c>
      <c r="M6341" s="3" t="s">
        <v>78</v>
      </c>
      <c r="N6341" s="3" t="s">
        <v>13</v>
      </c>
      <c r="O6341" s="3" t="s">
        <v>14</v>
      </c>
      <c r="Q6341" s="30" t="str">
        <f t="shared" si="99"/>
        <v>MAX : 
TARGET : Yes(Pass)
MIN : No(Fail)</v>
      </c>
      <c r="R6341" s="3" t="s">
        <v>1638</v>
      </c>
    </row>
    <row r="6342" spans="2:18" ht="41.4" x14ac:dyDescent="0.3">
      <c r="B6342">
        <v>1</v>
      </c>
      <c r="C6342" s="33">
        <v>9400</v>
      </c>
      <c r="D6342" s="2">
        <v>2158</v>
      </c>
      <c r="E6342" s="2" t="s">
        <v>14172</v>
      </c>
      <c r="F6342" s="3" t="s">
        <v>14206</v>
      </c>
      <c r="H6342" s="3" t="s">
        <v>922</v>
      </c>
      <c r="K6342" s="2">
        <v>20</v>
      </c>
      <c r="L6342" s="2">
        <v>1</v>
      </c>
      <c r="M6342" s="3" t="s">
        <v>570</v>
      </c>
      <c r="N6342" s="3" t="s">
        <v>2907</v>
      </c>
      <c r="O6342" s="3" t="s">
        <v>340</v>
      </c>
      <c r="P6342" s="3" t="s">
        <v>2367</v>
      </c>
      <c r="Q6342" s="30" t="str">
        <f t="shared" si="99"/>
        <v>MAX : 3.56
TARGET : 3.50
MIN : 3.44</v>
      </c>
      <c r="R6342" s="3" t="s">
        <v>4520</v>
      </c>
    </row>
    <row r="6343" spans="2:18" ht="41.4" x14ac:dyDescent="0.3">
      <c r="B6343">
        <v>0</v>
      </c>
      <c r="C6343" s="33">
        <v>9408</v>
      </c>
      <c r="D6343" s="2">
        <v>2159</v>
      </c>
      <c r="E6343" s="2" t="s">
        <v>14197</v>
      </c>
      <c r="F6343" s="3" t="s">
        <v>14206</v>
      </c>
      <c r="H6343" s="3" t="s">
        <v>1866</v>
      </c>
      <c r="K6343" s="2">
        <v>20</v>
      </c>
      <c r="L6343" s="2">
        <v>3</v>
      </c>
      <c r="M6343" s="3" t="s">
        <v>1995</v>
      </c>
      <c r="N6343" s="3" t="s">
        <v>13</v>
      </c>
      <c r="O6343" s="3" t="s">
        <v>14</v>
      </c>
      <c r="Q6343" s="30" t="str">
        <f t="shared" si="99"/>
        <v>MAX : 
TARGET : Yes(Pass)
MIN : No(Fail)</v>
      </c>
    </row>
    <row r="6344" spans="2:18" ht="41.4" x14ac:dyDescent="0.3">
      <c r="B6344">
        <v>0</v>
      </c>
      <c r="C6344" s="33">
        <v>9408</v>
      </c>
      <c r="D6344" s="2">
        <v>2159</v>
      </c>
      <c r="E6344" s="2" t="s">
        <v>14197</v>
      </c>
      <c r="F6344" s="3" t="s">
        <v>14206</v>
      </c>
      <c r="H6344" s="3" t="s">
        <v>1866</v>
      </c>
      <c r="K6344" s="2">
        <v>20</v>
      </c>
      <c r="L6344" s="2">
        <v>4</v>
      </c>
      <c r="M6344" s="3" t="s">
        <v>6056</v>
      </c>
      <c r="N6344" s="3" t="s">
        <v>13</v>
      </c>
      <c r="O6344" s="3" t="s">
        <v>14</v>
      </c>
      <c r="Q6344" s="30" t="str">
        <f t="shared" si="99"/>
        <v>MAX : 
TARGET : Yes(Pass)
MIN : No(Fail)</v>
      </c>
    </row>
    <row r="6345" spans="2:18" ht="41.4" x14ac:dyDescent="0.3">
      <c r="B6345">
        <v>1</v>
      </c>
      <c r="C6345" s="33">
        <v>9400</v>
      </c>
      <c r="D6345" s="2">
        <v>2158</v>
      </c>
      <c r="E6345" s="2" t="s">
        <v>14172</v>
      </c>
      <c r="F6345" s="3" t="s">
        <v>14206</v>
      </c>
      <c r="H6345" s="3" t="s">
        <v>922</v>
      </c>
      <c r="K6345" s="2">
        <v>10</v>
      </c>
      <c r="L6345" s="2">
        <v>1</v>
      </c>
      <c r="M6345" s="3" t="s">
        <v>570</v>
      </c>
      <c r="N6345" s="3" t="s">
        <v>2907</v>
      </c>
      <c r="O6345" s="3" t="s">
        <v>340</v>
      </c>
      <c r="P6345" s="3" t="s">
        <v>2367</v>
      </c>
      <c r="Q6345" s="30" t="str">
        <f t="shared" si="99"/>
        <v>MAX : 3.56
TARGET : 3.50
MIN : 3.44</v>
      </c>
      <c r="R6345" s="3" t="s">
        <v>4520</v>
      </c>
    </row>
    <row r="6346" spans="2:18" ht="41.4" x14ac:dyDescent="0.3">
      <c r="B6346">
        <v>1</v>
      </c>
      <c r="C6346" s="33">
        <v>9401</v>
      </c>
      <c r="D6346" s="2">
        <v>1633</v>
      </c>
      <c r="E6346" s="2" t="s">
        <v>14179</v>
      </c>
      <c r="F6346" s="3" t="s">
        <v>14206</v>
      </c>
      <c r="H6346" s="3" t="s">
        <v>2965</v>
      </c>
      <c r="I6346" s="3" t="s">
        <v>487</v>
      </c>
      <c r="K6346" s="2">
        <v>10</v>
      </c>
      <c r="L6346" s="2">
        <v>1</v>
      </c>
      <c r="M6346" s="3" t="s">
        <v>194</v>
      </c>
      <c r="N6346" s="3" t="s">
        <v>5728</v>
      </c>
      <c r="O6346" s="3" t="s">
        <v>1820</v>
      </c>
      <c r="P6346" s="3" t="s">
        <v>742</v>
      </c>
      <c r="Q6346" s="30" t="str">
        <f t="shared" si="99"/>
        <v>MAX : 3.125
TARGET : 3.000
MIN : 2.875</v>
      </c>
    </row>
    <row r="6347" spans="2:18" ht="41.4" x14ac:dyDescent="0.3">
      <c r="B6347">
        <v>1</v>
      </c>
      <c r="C6347" s="33">
        <v>9408</v>
      </c>
      <c r="D6347" s="2">
        <v>2159</v>
      </c>
      <c r="E6347" s="2" t="s">
        <v>14197</v>
      </c>
      <c r="F6347" s="3" t="s">
        <v>14206</v>
      </c>
      <c r="H6347" s="3" t="s">
        <v>1866</v>
      </c>
      <c r="K6347" s="2">
        <v>20</v>
      </c>
      <c r="L6347" s="2">
        <v>2</v>
      </c>
      <c r="M6347" s="3" t="s">
        <v>1867</v>
      </c>
      <c r="N6347" s="3" t="s">
        <v>13</v>
      </c>
      <c r="O6347" s="3" t="s">
        <v>14</v>
      </c>
      <c r="Q6347" s="30" t="str">
        <f t="shared" si="99"/>
        <v>MAX : 
TARGET : Yes(Pass)
MIN : No(Fail)</v>
      </c>
    </row>
    <row r="6348" spans="2:18" ht="41.4" x14ac:dyDescent="0.3">
      <c r="B6348">
        <v>0</v>
      </c>
      <c r="C6348" s="33">
        <v>9398</v>
      </c>
      <c r="D6348" s="2">
        <v>1632</v>
      </c>
      <c r="E6348" s="2" t="s">
        <v>10786</v>
      </c>
      <c r="F6348" s="3" t="s">
        <v>14207</v>
      </c>
      <c r="H6348" s="3" t="s">
        <v>6213</v>
      </c>
      <c r="K6348" s="2">
        <v>20</v>
      </c>
      <c r="L6348" s="2">
        <v>3</v>
      </c>
      <c r="M6348" s="3" t="s">
        <v>1951</v>
      </c>
      <c r="N6348" s="3" t="s">
        <v>13</v>
      </c>
      <c r="O6348" s="3" t="s">
        <v>14</v>
      </c>
      <c r="Q6348" s="30" t="str">
        <f t="shared" si="99"/>
        <v>MAX : 
TARGET : Yes(Pass)
MIN : No(Fail)</v>
      </c>
      <c r="R6348" s="3" t="s">
        <v>1638</v>
      </c>
    </row>
    <row r="6349" spans="2:18" ht="41.4" x14ac:dyDescent="0.3">
      <c r="B6349">
        <v>1</v>
      </c>
      <c r="C6349" s="33">
        <v>9408</v>
      </c>
      <c r="D6349" s="2">
        <v>2159</v>
      </c>
      <c r="E6349" s="2" t="s">
        <v>14197</v>
      </c>
      <c r="F6349" s="3" t="s">
        <v>14206</v>
      </c>
      <c r="H6349" s="3" t="s">
        <v>1866</v>
      </c>
      <c r="K6349" s="2">
        <v>20</v>
      </c>
      <c r="L6349" s="2">
        <v>1</v>
      </c>
      <c r="M6349" s="3" t="s">
        <v>99</v>
      </c>
      <c r="N6349" s="3" t="s">
        <v>27</v>
      </c>
      <c r="O6349" s="3" t="s">
        <v>28</v>
      </c>
      <c r="P6349" s="3" t="s">
        <v>29</v>
      </c>
      <c r="Q6349" s="30" t="str">
        <f t="shared" si="99"/>
        <v>MAX : 1.53
TARGET : 1.50
MIN : 1.47</v>
      </c>
    </row>
  </sheetData>
  <autoFilter ref="B1:U6349">
    <sortState ref="B2:U6349">
      <sortCondition ref="C1:C6349"/>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62"/>
  <sheetViews>
    <sheetView tabSelected="1" topLeftCell="A1149" workbookViewId="0">
      <selection activeCell="D1162" sqref="D1162"/>
    </sheetView>
  </sheetViews>
  <sheetFormatPr defaultColWidth="21.6640625" defaultRowHeight="13.8" x14ac:dyDescent="0.3"/>
  <cols>
    <col min="1" max="1" width="21.6640625" style="34"/>
    <col min="4" max="4" width="72.5546875" customWidth="1"/>
  </cols>
  <sheetData>
    <row r="1" spans="1:9" x14ac:dyDescent="0.3">
      <c r="A1" s="32" t="s">
        <v>14271</v>
      </c>
      <c r="B1" s="1" t="s">
        <v>14267</v>
      </c>
      <c r="C1" s="1" t="s">
        <v>14264</v>
      </c>
      <c r="D1" s="1" t="s">
        <v>1</v>
      </c>
      <c r="E1" s="1" t="s">
        <v>2</v>
      </c>
      <c r="F1" s="1" t="s">
        <v>3</v>
      </c>
      <c r="G1" s="1" t="s">
        <v>4</v>
      </c>
      <c r="H1" s="1" t="s">
        <v>5</v>
      </c>
      <c r="I1" s="1" t="s">
        <v>10</v>
      </c>
    </row>
    <row r="2" spans="1:9" x14ac:dyDescent="0.3">
      <c r="A2" s="33">
        <v>2</v>
      </c>
      <c r="B2" s="2">
        <v>1680</v>
      </c>
      <c r="C2" s="2" t="s">
        <v>6290</v>
      </c>
      <c r="D2" s="3" t="s">
        <v>14206</v>
      </c>
      <c r="F2" s="3" t="s">
        <v>5677</v>
      </c>
      <c r="G2" s="3" t="s">
        <v>487</v>
      </c>
    </row>
    <row r="3" spans="1:9" ht="27.6" x14ac:dyDescent="0.3">
      <c r="A3" s="33">
        <v>124</v>
      </c>
      <c r="B3" s="2">
        <v>1681</v>
      </c>
      <c r="C3" s="2" t="s">
        <v>6298</v>
      </c>
      <c r="D3" s="29" t="s">
        <v>14208</v>
      </c>
      <c r="F3" s="3" t="s">
        <v>50</v>
      </c>
    </row>
    <row r="4" spans="1:9" ht="27.6" x14ac:dyDescent="0.3">
      <c r="A4" s="33">
        <v>133</v>
      </c>
      <c r="B4" s="2">
        <v>1682</v>
      </c>
      <c r="C4" s="2" t="s">
        <v>6305</v>
      </c>
      <c r="D4" s="29" t="s">
        <v>14210</v>
      </c>
      <c r="F4" s="3" t="s">
        <v>181</v>
      </c>
    </row>
    <row r="5" spans="1:9" x14ac:dyDescent="0.3">
      <c r="A5" s="33">
        <v>192</v>
      </c>
      <c r="B5" s="2">
        <v>879</v>
      </c>
      <c r="C5" s="2" t="s">
        <v>6312</v>
      </c>
      <c r="D5" s="3" t="s">
        <v>14206</v>
      </c>
      <c r="F5" s="3" t="s">
        <v>41</v>
      </c>
    </row>
    <row r="6" spans="1:9" x14ac:dyDescent="0.3">
      <c r="A6" s="33">
        <v>194</v>
      </c>
      <c r="B6" s="2">
        <v>880</v>
      </c>
      <c r="C6" s="2" t="s">
        <v>6319</v>
      </c>
      <c r="D6" s="3" t="s">
        <v>14206</v>
      </c>
      <c r="F6" s="3" t="s">
        <v>73</v>
      </c>
    </row>
    <row r="7" spans="1:9" x14ac:dyDescent="0.3">
      <c r="A7" s="33">
        <v>272</v>
      </c>
      <c r="B7" s="2">
        <v>1683</v>
      </c>
      <c r="C7" s="2" t="s">
        <v>6327</v>
      </c>
      <c r="D7" s="3" t="s">
        <v>14206</v>
      </c>
      <c r="F7" s="3" t="s">
        <v>98</v>
      </c>
    </row>
    <row r="8" spans="1:9" x14ac:dyDescent="0.3">
      <c r="A8" s="33">
        <v>273</v>
      </c>
      <c r="B8" s="2">
        <v>1684</v>
      </c>
      <c r="C8" s="2" t="s">
        <v>6333</v>
      </c>
      <c r="D8" s="3" t="s">
        <v>14206</v>
      </c>
      <c r="F8" s="3" t="s">
        <v>50</v>
      </c>
    </row>
    <row r="9" spans="1:9" x14ac:dyDescent="0.3">
      <c r="A9" s="33">
        <v>278</v>
      </c>
      <c r="B9" s="2">
        <v>1685</v>
      </c>
      <c r="C9" s="2" t="s">
        <v>6341</v>
      </c>
      <c r="D9" s="3" t="s">
        <v>14206</v>
      </c>
      <c r="F9" s="3" t="s">
        <v>98</v>
      </c>
    </row>
    <row r="10" spans="1:9" x14ac:dyDescent="0.3">
      <c r="A10" s="33">
        <v>286</v>
      </c>
      <c r="B10" s="2">
        <v>881</v>
      </c>
      <c r="C10" s="2" t="s">
        <v>6348</v>
      </c>
      <c r="D10" s="3" t="s">
        <v>14206</v>
      </c>
      <c r="F10" s="3" t="s">
        <v>73</v>
      </c>
    </row>
    <row r="11" spans="1:9" x14ac:dyDescent="0.3">
      <c r="A11" s="33">
        <v>322</v>
      </c>
      <c r="B11" s="2">
        <v>1686</v>
      </c>
      <c r="C11" s="2" t="s">
        <v>6356</v>
      </c>
      <c r="D11" s="3" t="s">
        <v>6215</v>
      </c>
      <c r="F11" s="3" t="s">
        <v>117</v>
      </c>
    </row>
    <row r="12" spans="1:9" x14ac:dyDescent="0.3">
      <c r="A12" s="33">
        <v>461</v>
      </c>
      <c r="B12" s="2">
        <v>1687</v>
      </c>
      <c r="C12" s="2" t="s">
        <v>6363</v>
      </c>
      <c r="D12" s="3" t="s">
        <v>14207</v>
      </c>
      <c r="F12" s="3" t="s">
        <v>66</v>
      </c>
    </row>
    <row r="13" spans="1:9" x14ac:dyDescent="0.3">
      <c r="A13" s="33">
        <v>519</v>
      </c>
      <c r="B13" s="2">
        <v>882</v>
      </c>
      <c r="C13" s="2" t="s">
        <v>6369</v>
      </c>
      <c r="D13" s="3" t="s">
        <v>14206</v>
      </c>
      <c r="F13" s="3" t="s">
        <v>363</v>
      </c>
    </row>
    <row r="14" spans="1:9" x14ac:dyDescent="0.3">
      <c r="A14" s="33">
        <v>526</v>
      </c>
      <c r="B14" s="2">
        <v>1688</v>
      </c>
      <c r="C14" s="2" t="s">
        <v>6378</v>
      </c>
      <c r="D14" s="3" t="s">
        <v>14207</v>
      </c>
      <c r="F14" s="3" t="s">
        <v>30</v>
      </c>
    </row>
    <row r="15" spans="1:9" x14ac:dyDescent="0.3">
      <c r="A15" s="33">
        <v>602</v>
      </c>
      <c r="B15" s="2">
        <v>1689</v>
      </c>
      <c r="C15" s="2" t="s">
        <v>6384</v>
      </c>
      <c r="D15" s="3" t="s">
        <v>14206</v>
      </c>
      <c r="F15" s="3" t="s">
        <v>50</v>
      </c>
    </row>
    <row r="16" spans="1:9" x14ac:dyDescent="0.3">
      <c r="A16" s="33">
        <v>618</v>
      </c>
      <c r="B16" s="2">
        <v>1690</v>
      </c>
      <c r="C16" s="2" t="s">
        <v>6391</v>
      </c>
      <c r="D16" s="3" t="s">
        <v>14206</v>
      </c>
      <c r="F16" s="3" t="s">
        <v>17</v>
      </c>
    </row>
    <row r="17" spans="1:9" x14ac:dyDescent="0.3">
      <c r="A17" s="33">
        <v>760</v>
      </c>
      <c r="B17" s="2">
        <v>1691</v>
      </c>
      <c r="C17" s="2" t="s">
        <v>6396</v>
      </c>
      <c r="D17" s="3" t="s">
        <v>14206</v>
      </c>
      <c r="F17" s="3" t="s">
        <v>159</v>
      </c>
    </row>
    <row r="18" spans="1:9" x14ac:dyDescent="0.3">
      <c r="A18" s="33">
        <v>814</v>
      </c>
      <c r="B18" s="2">
        <v>1692</v>
      </c>
      <c r="C18" s="2" t="s">
        <v>6403</v>
      </c>
      <c r="D18" s="3" t="s">
        <v>14206</v>
      </c>
      <c r="F18" s="3" t="s">
        <v>289</v>
      </c>
    </row>
    <row r="19" spans="1:9" x14ac:dyDescent="0.3">
      <c r="A19" s="33">
        <v>847</v>
      </c>
      <c r="B19" s="2">
        <v>1693</v>
      </c>
      <c r="C19" s="2" t="s">
        <v>6409</v>
      </c>
      <c r="D19" s="3" t="s">
        <v>14206</v>
      </c>
      <c r="F19" s="3" t="s">
        <v>11</v>
      </c>
    </row>
    <row r="20" spans="1:9" x14ac:dyDescent="0.3">
      <c r="A20" s="33">
        <v>1088</v>
      </c>
      <c r="B20" s="2">
        <v>1694</v>
      </c>
      <c r="C20" s="2" t="s">
        <v>6416</v>
      </c>
      <c r="D20" s="3" t="s">
        <v>14206</v>
      </c>
      <c r="F20" s="3" t="s">
        <v>391</v>
      </c>
    </row>
    <row r="21" spans="1:9" x14ac:dyDescent="0.3">
      <c r="A21" s="33">
        <v>1200</v>
      </c>
      <c r="B21" s="2">
        <v>1695</v>
      </c>
      <c r="C21" s="2" t="s">
        <v>6424</v>
      </c>
      <c r="D21" s="3" t="s">
        <v>14206</v>
      </c>
      <c r="E21" s="3" t="s">
        <v>236</v>
      </c>
      <c r="F21" s="3" t="s">
        <v>98</v>
      </c>
    </row>
    <row r="22" spans="1:9" x14ac:dyDescent="0.3">
      <c r="A22" s="33">
        <v>1226</v>
      </c>
      <c r="B22" s="2">
        <v>883</v>
      </c>
      <c r="C22" s="2" t="s">
        <v>6432</v>
      </c>
      <c r="D22" s="3" t="s">
        <v>14206</v>
      </c>
      <c r="F22" s="3" t="s">
        <v>1903</v>
      </c>
    </row>
    <row r="23" spans="1:9" x14ac:dyDescent="0.3">
      <c r="A23" s="33">
        <v>1286</v>
      </c>
      <c r="B23" s="2">
        <v>1696</v>
      </c>
      <c r="C23" s="2" t="s">
        <v>6439</v>
      </c>
      <c r="D23" s="3" t="s">
        <v>14207</v>
      </c>
      <c r="F23" s="3" t="s">
        <v>2260</v>
      </c>
    </row>
    <row r="24" spans="1:9" x14ac:dyDescent="0.3">
      <c r="A24" s="33">
        <v>1305</v>
      </c>
      <c r="B24" s="2">
        <v>884</v>
      </c>
      <c r="C24" s="2" t="s">
        <v>6446</v>
      </c>
      <c r="D24" s="3" t="s">
        <v>14207</v>
      </c>
      <c r="F24" s="3" t="s">
        <v>108</v>
      </c>
    </row>
    <row r="25" spans="1:9" x14ac:dyDescent="0.3">
      <c r="A25" s="33">
        <v>1311</v>
      </c>
      <c r="B25" s="2">
        <v>1697</v>
      </c>
      <c r="C25" s="2" t="s">
        <v>6453</v>
      </c>
      <c r="D25" s="3" t="s">
        <v>14206</v>
      </c>
      <c r="F25" s="3" t="s">
        <v>98</v>
      </c>
    </row>
    <row r="26" spans="1:9" x14ac:dyDescent="0.3">
      <c r="A26" s="33">
        <v>1386</v>
      </c>
      <c r="B26" s="2">
        <v>1698</v>
      </c>
      <c r="C26" s="2" t="s">
        <v>6461</v>
      </c>
      <c r="D26" s="3" t="s">
        <v>14206</v>
      </c>
      <c r="F26" s="3" t="s">
        <v>30</v>
      </c>
    </row>
    <row r="27" spans="1:9" x14ac:dyDescent="0.3">
      <c r="A27" s="33">
        <v>1497</v>
      </c>
      <c r="B27" s="2">
        <v>1699</v>
      </c>
      <c r="C27" s="2" t="s">
        <v>6467</v>
      </c>
      <c r="D27" s="3" t="s">
        <v>14206</v>
      </c>
      <c r="F27" s="3" t="s">
        <v>168</v>
      </c>
    </row>
    <row r="28" spans="1:9" x14ac:dyDescent="0.3">
      <c r="A28" s="33">
        <v>1633</v>
      </c>
      <c r="B28" s="2">
        <v>1700</v>
      </c>
      <c r="C28" s="2" t="s">
        <v>6473</v>
      </c>
      <c r="D28" s="3" t="s">
        <v>14206</v>
      </c>
      <c r="F28" s="3" t="s">
        <v>193</v>
      </c>
    </row>
    <row r="29" spans="1:9" x14ac:dyDescent="0.3">
      <c r="A29" s="33">
        <v>1735</v>
      </c>
      <c r="B29" s="2">
        <v>885</v>
      </c>
      <c r="C29" s="2" t="s">
        <v>6481</v>
      </c>
      <c r="D29" s="3" t="s">
        <v>14206</v>
      </c>
      <c r="F29" s="3" t="s">
        <v>378</v>
      </c>
    </row>
    <row r="30" spans="1:9" x14ac:dyDescent="0.3">
      <c r="A30" s="33">
        <v>1751</v>
      </c>
      <c r="B30" s="2">
        <v>1701</v>
      </c>
      <c r="C30" s="2" t="s">
        <v>6489</v>
      </c>
      <c r="D30" s="3" t="s">
        <v>14206</v>
      </c>
      <c r="F30" s="3" t="s">
        <v>172</v>
      </c>
    </row>
    <row r="31" spans="1:9" x14ac:dyDescent="0.3">
      <c r="A31" s="33">
        <v>1771</v>
      </c>
      <c r="B31" s="2">
        <v>886</v>
      </c>
      <c r="C31" s="2" t="s">
        <v>6496</v>
      </c>
      <c r="D31" s="3" t="s">
        <v>14206</v>
      </c>
      <c r="F31" s="3" t="s">
        <v>269</v>
      </c>
      <c r="I31" s="3" t="s">
        <v>443</v>
      </c>
    </row>
    <row r="32" spans="1:9" x14ac:dyDescent="0.3">
      <c r="A32" s="33">
        <v>1783</v>
      </c>
      <c r="B32" s="2">
        <v>1702</v>
      </c>
      <c r="C32" s="2" t="s">
        <v>6503</v>
      </c>
      <c r="D32" s="3" t="s">
        <v>14206</v>
      </c>
      <c r="F32" s="3" t="s">
        <v>172</v>
      </c>
    </row>
    <row r="33" spans="1:9" x14ac:dyDescent="0.3">
      <c r="A33" s="33">
        <v>1796</v>
      </c>
      <c r="B33" s="2">
        <v>1703</v>
      </c>
      <c r="C33" s="2" t="s">
        <v>6509</v>
      </c>
      <c r="D33" s="3" t="s">
        <v>14206</v>
      </c>
      <c r="F33" s="3" t="s">
        <v>172</v>
      </c>
    </row>
    <row r="34" spans="1:9" x14ac:dyDescent="0.3">
      <c r="A34" s="33">
        <v>1829</v>
      </c>
      <c r="B34" s="2">
        <v>1704</v>
      </c>
      <c r="C34" s="2" t="s">
        <v>6523</v>
      </c>
      <c r="D34" s="3" t="s">
        <v>14206</v>
      </c>
      <c r="E34" s="3" t="s">
        <v>236</v>
      </c>
      <c r="F34" s="3" t="s">
        <v>306</v>
      </c>
    </row>
    <row r="35" spans="1:9" ht="27.6" x14ac:dyDescent="0.3">
      <c r="A35" s="33">
        <v>1831</v>
      </c>
      <c r="B35" s="2">
        <v>888</v>
      </c>
      <c r="C35" s="2" t="s">
        <v>6531</v>
      </c>
      <c r="D35" s="29" t="s">
        <v>14209</v>
      </c>
      <c r="F35" s="3" t="s">
        <v>146</v>
      </c>
      <c r="I35" s="3" t="s">
        <v>151</v>
      </c>
    </row>
    <row r="36" spans="1:9" ht="27.6" x14ac:dyDescent="0.3">
      <c r="A36" s="33">
        <v>1878</v>
      </c>
      <c r="B36" s="2">
        <v>1705</v>
      </c>
      <c r="C36" s="2" t="s">
        <v>6539</v>
      </c>
      <c r="D36" s="29" t="s">
        <v>14205</v>
      </c>
      <c r="F36" s="3" t="s">
        <v>11</v>
      </c>
    </row>
    <row r="37" spans="1:9" x14ac:dyDescent="0.3">
      <c r="A37" s="33">
        <v>2186</v>
      </c>
      <c r="B37" s="2">
        <v>1706</v>
      </c>
      <c r="C37" s="2" t="s">
        <v>6546</v>
      </c>
      <c r="D37" s="3" t="s">
        <v>14206</v>
      </c>
      <c r="F37" s="3" t="s">
        <v>261</v>
      </c>
    </row>
    <row r="38" spans="1:9" x14ac:dyDescent="0.3">
      <c r="A38" s="33">
        <v>2187</v>
      </c>
      <c r="B38" s="2">
        <v>1707</v>
      </c>
      <c r="C38" s="2" t="s">
        <v>6552</v>
      </c>
      <c r="D38" s="3" t="s">
        <v>14206</v>
      </c>
      <c r="F38" s="3" t="s">
        <v>261</v>
      </c>
    </row>
    <row r="39" spans="1:9" x14ac:dyDescent="0.3">
      <c r="A39" s="33">
        <v>2190</v>
      </c>
      <c r="B39" s="2">
        <v>889</v>
      </c>
      <c r="C39" s="2" t="s">
        <v>6558</v>
      </c>
      <c r="D39" s="3" t="s">
        <v>14207</v>
      </c>
      <c r="E39" s="3" t="s">
        <v>229</v>
      </c>
      <c r="F39" s="3" t="s">
        <v>230</v>
      </c>
    </row>
    <row r="40" spans="1:9" x14ac:dyDescent="0.3">
      <c r="A40" s="33">
        <v>2191</v>
      </c>
      <c r="B40" s="2">
        <v>1708</v>
      </c>
      <c r="C40" s="2" t="s">
        <v>6565</v>
      </c>
      <c r="D40" s="3" t="s">
        <v>14207</v>
      </c>
      <c r="F40" s="3" t="s">
        <v>50</v>
      </c>
    </row>
    <row r="41" spans="1:9" x14ac:dyDescent="0.3">
      <c r="A41" s="33">
        <v>2282</v>
      </c>
      <c r="B41" s="2">
        <v>1709</v>
      </c>
      <c r="C41" s="2" t="s">
        <v>6571</v>
      </c>
      <c r="D41" s="3" t="s">
        <v>14206</v>
      </c>
      <c r="F41" s="3" t="s">
        <v>50</v>
      </c>
    </row>
    <row r="42" spans="1:9" x14ac:dyDescent="0.3">
      <c r="A42" s="33">
        <v>2314</v>
      </c>
      <c r="B42" s="2">
        <v>1710</v>
      </c>
      <c r="C42" s="2" t="s">
        <v>6363</v>
      </c>
      <c r="D42" s="3" t="s">
        <v>14207</v>
      </c>
      <c r="F42" s="3" t="s">
        <v>66</v>
      </c>
    </row>
    <row r="43" spans="1:9" x14ac:dyDescent="0.3">
      <c r="A43" s="33">
        <v>2329</v>
      </c>
      <c r="B43" s="2">
        <v>890</v>
      </c>
      <c r="C43" s="2" t="s">
        <v>6583</v>
      </c>
      <c r="D43" s="3" t="s">
        <v>14206</v>
      </c>
      <c r="F43" s="3" t="s">
        <v>80</v>
      </c>
    </row>
    <row r="44" spans="1:9" ht="27.6" x14ac:dyDescent="0.3">
      <c r="A44" s="33">
        <v>2347</v>
      </c>
      <c r="B44" s="2">
        <v>891</v>
      </c>
      <c r="C44" s="2" t="s">
        <v>6591</v>
      </c>
      <c r="D44" s="29" t="s">
        <v>14211</v>
      </c>
      <c r="F44" s="3" t="s">
        <v>210</v>
      </c>
    </row>
    <row r="45" spans="1:9" x14ac:dyDescent="0.3">
      <c r="A45" s="33">
        <v>2377</v>
      </c>
      <c r="B45" s="2">
        <v>1711</v>
      </c>
      <c r="C45" s="2" t="s">
        <v>6599</v>
      </c>
      <c r="D45" s="3" t="s">
        <v>14206</v>
      </c>
      <c r="F45" s="3" t="s">
        <v>261</v>
      </c>
    </row>
    <row r="46" spans="1:9" x14ac:dyDescent="0.3">
      <c r="A46" s="33">
        <v>2387</v>
      </c>
      <c r="B46" s="2">
        <v>1712</v>
      </c>
      <c r="C46" s="2" t="s">
        <v>6607</v>
      </c>
      <c r="D46" s="3" t="s">
        <v>14206</v>
      </c>
      <c r="F46" s="3" t="s">
        <v>269</v>
      </c>
    </row>
    <row r="47" spans="1:9" x14ac:dyDescent="0.3">
      <c r="A47" s="33">
        <v>2413</v>
      </c>
      <c r="B47" s="2">
        <v>1713</v>
      </c>
      <c r="C47" s="2" t="s">
        <v>6614</v>
      </c>
      <c r="D47" s="3" t="s">
        <v>14206</v>
      </c>
      <c r="F47" s="3" t="s">
        <v>289</v>
      </c>
    </row>
    <row r="48" spans="1:9" x14ac:dyDescent="0.3">
      <c r="A48" s="33">
        <v>2563</v>
      </c>
      <c r="B48" s="2">
        <v>892</v>
      </c>
      <c r="C48" s="2" t="s">
        <v>6620</v>
      </c>
      <c r="D48" s="3" t="s">
        <v>14206</v>
      </c>
      <c r="F48" s="3" t="s">
        <v>326</v>
      </c>
    </row>
    <row r="49" spans="1:9" x14ac:dyDescent="0.3">
      <c r="A49" s="33">
        <v>2693</v>
      </c>
      <c r="B49" s="2">
        <v>893</v>
      </c>
      <c r="C49" s="2" t="s">
        <v>6626</v>
      </c>
      <c r="D49" s="3" t="s">
        <v>14206</v>
      </c>
      <c r="F49" s="3" t="s">
        <v>404</v>
      </c>
    </row>
    <row r="50" spans="1:9" x14ac:dyDescent="0.3">
      <c r="A50" s="33">
        <v>2700</v>
      </c>
      <c r="B50" s="2">
        <v>1714</v>
      </c>
      <c r="C50" s="2" t="s">
        <v>6632</v>
      </c>
      <c r="D50" s="3" t="s">
        <v>14206</v>
      </c>
      <c r="F50" s="3" t="s">
        <v>412</v>
      </c>
    </row>
    <row r="51" spans="1:9" x14ac:dyDescent="0.3">
      <c r="A51" s="33">
        <v>2737</v>
      </c>
      <c r="B51" s="2">
        <v>894</v>
      </c>
      <c r="C51" s="2" t="s">
        <v>6640</v>
      </c>
      <c r="D51" s="3" t="s">
        <v>14206</v>
      </c>
      <c r="F51" s="3" t="s">
        <v>417</v>
      </c>
    </row>
    <row r="52" spans="1:9" x14ac:dyDescent="0.3">
      <c r="A52" s="33">
        <v>2749</v>
      </c>
      <c r="B52" s="2">
        <v>895</v>
      </c>
      <c r="C52" s="2" t="s">
        <v>6647</v>
      </c>
      <c r="D52" s="3" t="s">
        <v>14212</v>
      </c>
      <c r="F52" s="3" t="s">
        <v>426</v>
      </c>
    </row>
    <row r="53" spans="1:9" x14ac:dyDescent="0.3">
      <c r="A53" s="33">
        <v>2812</v>
      </c>
      <c r="B53" s="2">
        <v>1715</v>
      </c>
      <c r="C53" s="2" t="s">
        <v>6655</v>
      </c>
      <c r="D53" s="3" t="s">
        <v>14206</v>
      </c>
      <c r="F53" s="3" t="s">
        <v>193</v>
      </c>
    </row>
    <row r="54" spans="1:9" x14ac:dyDescent="0.3">
      <c r="A54" s="33">
        <v>2876</v>
      </c>
      <c r="B54" s="2">
        <v>1716</v>
      </c>
      <c r="C54" s="2" t="s">
        <v>6662</v>
      </c>
      <c r="D54" s="3" t="s">
        <v>14206</v>
      </c>
      <c r="F54" s="3" t="s">
        <v>461</v>
      </c>
    </row>
    <row r="55" spans="1:9" x14ac:dyDescent="0.3">
      <c r="A55" s="33">
        <v>2886</v>
      </c>
      <c r="B55" s="2">
        <v>896</v>
      </c>
      <c r="C55" s="2" t="s">
        <v>6668</v>
      </c>
      <c r="D55" s="3" t="s">
        <v>14206</v>
      </c>
      <c r="F55" s="3" t="s">
        <v>469</v>
      </c>
    </row>
    <row r="56" spans="1:9" x14ac:dyDescent="0.3">
      <c r="A56" s="33">
        <v>2926</v>
      </c>
      <c r="B56" s="2">
        <v>897</v>
      </c>
      <c r="C56" s="2" t="s">
        <v>6675</v>
      </c>
      <c r="D56" s="3" t="s">
        <v>14206</v>
      </c>
      <c r="F56" s="3" t="s">
        <v>482</v>
      </c>
    </row>
    <row r="57" spans="1:9" x14ac:dyDescent="0.3">
      <c r="A57" s="33">
        <v>3027</v>
      </c>
      <c r="B57" s="2">
        <v>1717</v>
      </c>
      <c r="C57" s="2" t="s">
        <v>6682</v>
      </c>
      <c r="D57" s="3" t="s">
        <v>14206</v>
      </c>
      <c r="F57" s="3" t="s">
        <v>261</v>
      </c>
      <c r="G57" s="3" t="s">
        <v>487</v>
      </c>
    </row>
    <row r="58" spans="1:9" x14ac:dyDescent="0.3">
      <c r="A58" s="33">
        <v>3034</v>
      </c>
      <c r="B58" s="2">
        <v>1718</v>
      </c>
      <c r="C58" s="2" t="s">
        <v>6689</v>
      </c>
      <c r="D58" s="3" t="s">
        <v>14206</v>
      </c>
      <c r="F58" s="3" t="s">
        <v>491</v>
      </c>
    </row>
    <row r="59" spans="1:9" ht="27.6" x14ac:dyDescent="0.3">
      <c r="A59" s="33">
        <v>3036</v>
      </c>
      <c r="B59" s="2">
        <v>898</v>
      </c>
      <c r="C59" s="2" t="s">
        <v>6697</v>
      </c>
      <c r="D59" s="29" t="s">
        <v>14211</v>
      </c>
      <c r="E59" s="3" t="s">
        <v>496</v>
      </c>
      <c r="F59" s="3" t="s">
        <v>210</v>
      </c>
    </row>
    <row r="60" spans="1:9" x14ac:dyDescent="0.3">
      <c r="A60" s="33">
        <v>3053</v>
      </c>
      <c r="B60" s="2">
        <v>899</v>
      </c>
      <c r="C60" s="2" t="s">
        <v>6704</v>
      </c>
      <c r="D60" s="3" t="s">
        <v>14206</v>
      </c>
      <c r="F60" s="3" t="s">
        <v>501</v>
      </c>
    </row>
    <row r="61" spans="1:9" x14ac:dyDescent="0.3">
      <c r="A61" s="33">
        <v>3082</v>
      </c>
      <c r="B61" s="2">
        <v>900</v>
      </c>
      <c r="C61" s="2" t="s">
        <v>6710</v>
      </c>
      <c r="D61" s="3" t="s">
        <v>14206</v>
      </c>
      <c r="F61" s="3" t="s">
        <v>504</v>
      </c>
    </row>
    <row r="62" spans="1:9" x14ac:dyDescent="0.3">
      <c r="A62" s="33">
        <v>3083</v>
      </c>
      <c r="B62" s="2">
        <v>901</v>
      </c>
      <c r="C62" s="2" t="s">
        <v>6717</v>
      </c>
      <c r="D62" s="3" t="s">
        <v>14206</v>
      </c>
      <c r="F62" s="3" t="s">
        <v>504</v>
      </c>
    </row>
    <row r="63" spans="1:9" x14ac:dyDescent="0.3">
      <c r="A63" s="33">
        <v>3114</v>
      </c>
      <c r="B63" s="2">
        <v>902</v>
      </c>
      <c r="C63" s="2" t="s">
        <v>6722</v>
      </c>
      <c r="D63" s="3" t="s">
        <v>14206</v>
      </c>
      <c r="F63" s="3" t="s">
        <v>510</v>
      </c>
      <c r="I63" s="3" t="s">
        <v>514</v>
      </c>
    </row>
    <row r="64" spans="1:9" x14ac:dyDescent="0.3">
      <c r="A64" s="33">
        <v>3115</v>
      </c>
      <c r="B64" s="2">
        <v>1719</v>
      </c>
      <c r="C64" s="2" t="s">
        <v>6730</v>
      </c>
      <c r="D64" s="3" t="s">
        <v>14206</v>
      </c>
      <c r="F64" s="3" t="s">
        <v>193</v>
      </c>
    </row>
    <row r="65" spans="1:7" x14ac:dyDescent="0.3">
      <c r="A65" s="33">
        <v>3127</v>
      </c>
      <c r="B65" s="2">
        <v>1720</v>
      </c>
      <c r="C65" s="2" t="s">
        <v>6737</v>
      </c>
      <c r="D65" s="3" t="s">
        <v>14207</v>
      </c>
      <c r="F65" s="3" t="s">
        <v>558</v>
      </c>
    </row>
    <row r="66" spans="1:7" ht="27.6" x14ac:dyDescent="0.3">
      <c r="A66" s="33">
        <v>3136</v>
      </c>
      <c r="B66" s="2">
        <v>903</v>
      </c>
      <c r="C66" s="2" t="s">
        <v>6743</v>
      </c>
      <c r="D66" s="29" t="s">
        <v>14211</v>
      </c>
      <c r="F66" s="3" t="s">
        <v>210</v>
      </c>
    </row>
    <row r="67" spans="1:7" x14ac:dyDescent="0.3">
      <c r="A67" s="33">
        <v>3141</v>
      </c>
      <c r="B67" s="2">
        <v>1721</v>
      </c>
      <c r="C67" s="2" t="s">
        <v>6750</v>
      </c>
      <c r="D67" s="3" t="s">
        <v>14206</v>
      </c>
      <c r="F67" s="3" t="s">
        <v>568</v>
      </c>
    </row>
    <row r="68" spans="1:7" x14ac:dyDescent="0.3">
      <c r="A68" s="33">
        <v>3164</v>
      </c>
      <c r="B68" s="2">
        <v>904</v>
      </c>
      <c r="C68" s="2" t="s">
        <v>6757</v>
      </c>
      <c r="D68" s="3" t="s">
        <v>14207</v>
      </c>
      <c r="F68" s="3" t="s">
        <v>469</v>
      </c>
      <c r="G68" s="3" t="s">
        <v>575</v>
      </c>
    </row>
    <row r="69" spans="1:7" x14ac:dyDescent="0.3">
      <c r="A69" s="33">
        <v>3282</v>
      </c>
      <c r="B69" s="2">
        <v>905</v>
      </c>
      <c r="C69" s="2" t="s">
        <v>6763</v>
      </c>
      <c r="D69" s="3" t="s">
        <v>14207</v>
      </c>
      <c r="F69" s="3" t="s">
        <v>582</v>
      </c>
      <c r="G69" s="3" t="s">
        <v>575</v>
      </c>
    </row>
    <row r="70" spans="1:7" x14ac:dyDescent="0.3">
      <c r="A70" s="33">
        <v>3304</v>
      </c>
      <c r="B70" s="2">
        <v>1722</v>
      </c>
      <c r="C70" s="2" t="s">
        <v>6770</v>
      </c>
      <c r="D70" s="3" t="s">
        <v>14206</v>
      </c>
      <c r="F70" s="3" t="s">
        <v>491</v>
      </c>
    </row>
    <row r="71" spans="1:7" x14ac:dyDescent="0.3">
      <c r="A71" s="33">
        <v>3314</v>
      </c>
      <c r="B71" s="2">
        <v>1723</v>
      </c>
      <c r="C71" s="2" t="s">
        <v>6778</v>
      </c>
      <c r="D71" s="3" t="s">
        <v>14206</v>
      </c>
      <c r="F71" s="3" t="s">
        <v>269</v>
      </c>
    </row>
    <row r="72" spans="1:7" x14ac:dyDescent="0.3">
      <c r="A72" s="33">
        <v>3345</v>
      </c>
      <c r="B72" s="2">
        <v>906</v>
      </c>
      <c r="C72" s="2" t="s">
        <v>6784</v>
      </c>
      <c r="D72" s="3" t="s">
        <v>14206</v>
      </c>
      <c r="F72" s="3" t="s">
        <v>600</v>
      </c>
    </row>
    <row r="73" spans="1:7" x14ac:dyDescent="0.3">
      <c r="A73" s="33">
        <v>3356</v>
      </c>
      <c r="B73" s="2">
        <v>907</v>
      </c>
      <c r="C73" s="2" t="s">
        <v>6791</v>
      </c>
      <c r="D73" s="3" t="s">
        <v>606</v>
      </c>
      <c r="F73" s="3" t="s">
        <v>607</v>
      </c>
    </row>
    <row r="74" spans="1:7" x14ac:dyDescent="0.3">
      <c r="A74" s="33">
        <v>3368</v>
      </c>
      <c r="B74" s="2">
        <v>1724</v>
      </c>
      <c r="C74" s="2" t="s">
        <v>6800</v>
      </c>
      <c r="D74" s="3" t="s">
        <v>14206</v>
      </c>
      <c r="F74" s="3" t="s">
        <v>261</v>
      </c>
    </row>
    <row r="75" spans="1:7" x14ac:dyDescent="0.3">
      <c r="A75" s="33">
        <v>3479</v>
      </c>
      <c r="B75" s="2">
        <v>908</v>
      </c>
      <c r="C75" s="2" t="s">
        <v>6807</v>
      </c>
      <c r="D75" s="3" t="s">
        <v>14207</v>
      </c>
      <c r="F75" s="3" t="s">
        <v>612</v>
      </c>
    </row>
    <row r="76" spans="1:7" x14ac:dyDescent="0.3">
      <c r="A76" s="33">
        <v>3516</v>
      </c>
      <c r="B76" s="2">
        <v>909</v>
      </c>
      <c r="C76" s="2" t="s">
        <v>6814</v>
      </c>
      <c r="D76" s="3" t="s">
        <v>14206</v>
      </c>
      <c r="F76" s="3" t="s">
        <v>632</v>
      </c>
    </row>
    <row r="77" spans="1:7" x14ac:dyDescent="0.3">
      <c r="A77" s="33">
        <v>3524</v>
      </c>
      <c r="B77" s="2">
        <v>910</v>
      </c>
      <c r="C77" s="2" t="s">
        <v>6820</v>
      </c>
      <c r="D77" s="3" t="s">
        <v>14206</v>
      </c>
      <c r="F77" s="3" t="s">
        <v>469</v>
      </c>
    </row>
    <row r="78" spans="1:7" x14ac:dyDescent="0.3">
      <c r="A78" s="33">
        <v>3538</v>
      </c>
      <c r="B78" s="2">
        <v>911</v>
      </c>
      <c r="C78" s="2" t="s">
        <v>6827</v>
      </c>
      <c r="D78" s="3" t="s">
        <v>14206</v>
      </c>
      <c r="F78" s="3" t="s">
        <v>648</v>
      </c>
    </row>
    <row r="79" spans="1:7" x14ac:dyDescent="0.3">
      <c r="A79" s="33">
        <v>3551</v>
      </c>
      <c r="B79" s="2">
        <v>912</v>
      </c>
      <c r="C79" s="2" t="s">
        <v>6835</v>
      </c>
      <c r="D79" s="3" t="s">
        <v>14207</v>
      </c>
      <c r="F79" s="3" t="s">
        <v>656</v>
      </c>
    </row>
    <row r="80" spans="1:7" x14ac:dyDescent="0.3">
      <c r="A80" s="33">
        <v>3614</v>
      </c>
      <c r="B80" s="2">
        <v>913</v>
      </c>
      <c r="C80" s="2" t="s">
        <v>6842</v>
      </c>
      <c r="D80" s="3" t="s">
        <v>14206</v>
      </c>
      <c r="F80" s="3" t="s">
        <v>665</v>
      </c>
    </row>
    <row r="81" spans="1:9" x14ac:dyDescent="0.3">
      <c r="A81" s="33">
        <v>3653</v>
      </c>
      <c r="B81" s="2">
        <v>1725</v>
      </c>
      <c r="C81" s="2" t="s">
        <v>6849</v>
      </c>
      <c r="D81" s="3" t="s">
        <v>14207</v>
      </c>
      <c r="F81" s="3" t="s">
        <v>558</v>
      </c>
    </row>
    <row r="82" spans="1:9" ht="27.6" x14ac:dyDescent="0.3">
      <c r="A82" s="33">
        <v>3664</v>
      </c>
      <c r="B82" s="2">
        <v>914</v>
      </c>
      <c r="C82" s="2" t="s">
        <v>6857</v>
      </c>
      <c r="D82" s="29" t="s">
        <v>14213</v>
      </c>
      <c r="F82" s="3" t="s">
        <v>685</v>
      </c>
    </row>
    <row r="83" spans="1:9" x14ac:dyDescent="0.3">
      <c r="A83" s="33">
        <v>3683</v>
      </c>
      <c r="B83" s="2">
        <v>915</v>
      </c>
      <c r="C83" s="2" t="s">
        <v>6864</v>
      </c>
      <c r="D83" s="3" t="s">
        <v>14206</v>
      </c>
      <c r="F83" s="3" t="s">
        <v>469</v>
      </c>
    </row>
    <row r="84" spans="1:9" x14ac:dyDescent="0.3">
      <c r="A84" s="33">
        <v>3713</v>
      </c>
      <c r="B84" s="2">
        <v>1726</v>
      </c>
      <c r="C84" s="2" t="s">
        <v>6871</v>
      </c>
      <c r="D84" s="3" t="s">
        <v>14206</v>
      </c>
      <c r="F84" s="3" t="s">
        <v>701</v>
      </c>
    </row>
    <row r="85" spans="1:9" x14ac:dyDescent="0.3">
      <c r="A85" s="33">
        <v>3771</v>
      </c>
      <c r="B85" s="2">
        <v>916</v>
      </c>
      <c r="C85" s="2" t="s">
        <v>6877</v>
      </c>
      <c r="D85" s="3" t="s">
        <v>14206</v>
      </c>
      <c r="F85" s="3" t="s">
        <v>706</v>
      </c>
      <c r="I85" s="3" t="s">
        <v>443</v>
      </c>
    </row>
    <row r="86" spans="1:9" x14ac:dyDescent="0.3">
      <c r="A86" s="33">
        <v>4115</v>
      </c>
      <c r="B86" s="2">
        <v>917</v>
      </c>
      <c r="C86" s="2" t="s">
        <v>6883</v>
      </c>
      <c r="D86" s="3" t="s">
        <v>14206</v>
      </c>
      <c r="F86" s="3" t="s">
        <v>713</v>
      </c>
    </row>
    <row r="87" spans="1:9" x14ac:dyDescent="0.3">
      <c r="A87" s="33">
        <v>4121</v>
      </c>
      <c r="B87" s="2">
        <v>1727</v>
      </c>
      <c r="C87" s="2" t="s">
        <v>6891</v>
      </c>
      <c r="D87" s="3" t="s">
        <v>14206</v>
      </c>
      <c r="F87" s="3" t="s">
        <v>721</v>
      </c>
    </row>
    <row r="88" spans="1:9" x14ac:dyDescent="0.3">
      <c r="A88" s="33">
        <v>4147</v>
      </c>
      <c r="B88" s="2">
        <v>1728</v>
      </c>
      <c r="C88" s="2" t="s">
        <v>6897</v>
      </c>
      <c r="D88" s="3" t="s">
        <v>6216</v>
      </c>
      <c r="F88" s="3" t="s">
        <v>98</v>
      </c>
    </row>
    <row r="89" spans="1:9" x14ac:dyDescent="0.3">
      <c r="A89" s="33">
        <v>4200</v>
      </c>
      <c r="B89" s="2">
        <v>918</v>
      </c>
      <c r="C89" s="2" t="s">
        <v>6903</v>
      </c>
      <c r="D89" s="3" t="s">
        <v>14206</v>
      </c>
      <c r="F89" s="3" t="s">
        <v>727</v>
      </c>
    </row>
    <row r="90" spans="1:9" x14ac:dyDescent="0.3">
      <c r="A90" s="33">
        <v>4220</v>
      </c>
      <c r="B90" s="2">
        <v>919</v>
      </c>
      <c r="C90" s="2" t="s">
        <v>6910</v>
      </c>
      <c r="D90" s="3" t="s">
        <v>14206</v>
      </c>
      <c r="F90" s="3" t="s">
        <v>810</v>
      </c>
    </row>
    <row r="91" spans="1:9" x14ac:dyDescent="0.3">
      <c r="A91" s="33">
        <v>4255</v>
      </c>
      <c r="B91" s="2">
        <v>1729</v>
      </c>
      <c r="C91" s="2" t="s">
        <v>6917</v>
      </c>
      <c r="D91" s="3" t="s">
        <v>14206</v>
      </c>
      <c r="F91" s="3" t="s">
        <v>504</v>
      </c>
    </row>
    <row r="92" spans="1:9" ht="27.6" x14ac:dyDescent="0.3">
      <c r="A92" s="33">
        <v>4276</v>
      </c>
      <c r="B92" s="2">
        <v>920</v>
      </c>
      <c r="C92" s="2" t="s">
        <v>6923</v>
      </c>
      <c r="D92" s="29" t="s">
        <v>14211</v>
      </c>
      <c r="F92" s="3" t="s">
        <v>745</v>
      </c>
      <c r="I92" s="3" t="s">
        <v>746</v>
      </c>
    </row>
    <row r="93" spans="1:9" x14ac:dyDescent="0.3">
      <c r="A93" s="33">
        <v>4398</v>
      </c>
      <c r="B93" s="2">
        <v>921</v>
      </c>
      <c r="C93" s="2" t="s">
        <v>6930</v>
      </c>
      <c r="D93" s="3" t="s">
        <v>14206</v>
      </c>
      <c r="F93" s="3" t="s">
        <v>738</v>
      </c>
    </row>
    <row r="94" spans="1:9" x14ac:dyDescent="0.3">
      <c r="A94" s="33">
        <v>4467</v>
      </c>
      <c r="B94" s="2">
        <v>922</v>
      </c>
      <c r="C94" s="2" t="s">
        <v>6938</v>
      </c>
      <c r="D94" s="3" t="s">
        <v>14206</v>
      </c>
      <c r="F94" s="3" t="s">
        <v>747</v>
      </c>
      <c r="I94" s="3" t="s">
        <v>443</v>
      </c>
    </row>
    <row r="95" spans="1:9" x14ac:dyDescent="0.3">
      <c r="A95" s="33">
        <v>4494</v>
      </c>
      <c r="B95" s="2">
        <v>923</v>
      </c>
      <c r="C95" s="2" t="s">
        <v>6945</v>
      </c>
      <c r="D95" s="3" t="s">
        <v>14206</v>
      </c>
      <c r="F95" s="3" t="s">
        <v>612</v>
      </c>
    </row>
    <row r="96" spans="1:9" x14ac:dyDescent="0.3">
      <c r="A96" s="33">
        <v>4516</v>
      </c>
      <c r="B96" s="2">
        <v>1730</v>
      </c>
      <c r="C96" s="2" t="s">
        <v>6952</v>
      </c>
      <c r="D96" s="3" t="s">
        <v>14206</v>
      </c>
      <c r="F96" s="3" t="s">
        <v>762</v>
      </c>
      <c r="I96" s="3" t="s">
        <v>764</v>
      </c>
    </row>
    <row r="97" spans="1:9" x14ac:dyDescent="0.3">
      <c r="A97" s="33">
        <v>4534</v>
      </c>
      <c r="B97" s="2">
        <v>1731</v>
      </c>
      <c r="C97" s="2" t="s">
        <v>6958</v>
      </c>
      <c r="D97" s="3" t="s">
        <v>14206</v>
      </c>
      <c r="F97" s="3" t="s">
        <v>11</v>
      </c>
    </row>
    <row r="98" spans="1:9" x14ac:dyDescent="0.3">
      <c r="A98" s="33">
        <v>4538</v>
      </c>
      <c r="B98" s="2">
        <v>924</v>
      </c>
      <c r="C98" s="2" t="s">
        <v>6963</v>
      </c>
      <c r="D98" s="3" t="s">
        <v>14206</v>
      </c>
      <c r="F98" s="3" t="s">
        <v>612</v>
      </c>
    </row>
    <row r="99" spans="1:9" x14ac:dyDescent="0.3">
      <c r="A99" s="33">
        <v>4543</v>
      </c>
      <c r="B99" s="2">
        <v>1732</v>
      </c>
      <c r="C99" s="2" t="s">
        <v>6969</v>
      </c>
      <c r="D99" s="3" t="s">
        <v>14207</v>
      </c>
      <c r="F99" s="3" t="s">
        <v>172</v>
      </c>
    </row>
    <row r="100" spans="1:9" x14ac:dyDescent="0.3">
      <c r="A100" s="33">
        <v>4554</v>
      </c>
      <c r="B100" s="2">
        <v>1733</v>
      </c>
      <c r="C100" s="2" t="s">
        <v>6976</v>
      </c>
      <c r="D100" s="3" t="s">
        <v>14214</v>
      </c>
      <c r="F100" s="3" t="s">
        <v>11</v>
      </c>
    </row>
    <row r="101" spans="1:9" x14ac:dyDescent="0.3">
      <c r="A101" s="33">
        <v>4556</v>
      </c>
      <c r="B101" s="2">
        <v>1734</v>
      </c>
      <c r="C101" s="2" t="s">
        <v>6984</v>
      </c>
      <c r="D101" s="3" t="s">
        <v>14206</v>
      </c>
      <c r="F101" s="3" t="s">
        <v>66</v>
      </c>
    </row>
    <row r="102" spans="1:9" x14ac:dyDescent="0.3">
      <c r="A102" s="33">
        <v>4557</v>
      </c>
      <c r="B102" s="2">
        <v>1735</v>
      </c>
      <c r="C102" s="2" t="s">
        <v>6992</v>
      </c>
      <c r="D102" s="3" t="s">
        <v>14206</v>
      </c>
      <c r="F102" s="3" t="s">
        <v>66</v>
      </c>
    </row>
    <row r="103" spans="1:9" x14ac:dyDescent="0.3">
      <c r="A103" s="33">
        <v>4597</v>
      </c>
      <c r="B103" s="2">
        <v>1736</v>
      </c>
      <c r="C103" s="2" t="s">
        <v>7000</v>
      </c>
      <c r="D103" s="3" t="s">
        <v>14206</v>
      </c>
      <c r="F103" s="3" t="s">
        <v>491</v>
      </c>
    </row>
    <row r="104" spans="1:9" x14ac:dyDescent="0.3">
      <c r="A104" s="33">
        <v>4601</v>
      </c>
      <c r="B104" s="2">
        <v>1737</v>
      </c>
      <c r="C104" s="2" t="s">
        <v>7006</v>
      </c>
      <c r="D104" s="3" t="s">
        <v>14206</v>
      </c>
      <c r="F104" s="3" t="s">
        <v>792</v>
      </c>
    </row>
    <row r="105" spans="1:9" x14ac:dyDescent="0.3">
      <c r="A105" s="33">
        <v>4636</v>
      </c>
      <c r="B105" s="2">
        <v>925</v>
      </c>
      <c r="C105" s="2" t="s">
        <v>7013</v>
      </c>
      <c r="D105" s="3" t="s">
        <v>14206</v>
      </c>
      <c r="F105" s="3" t="s">
        <v>713</v>
      </c>
    </row>
    <row r="106" spans="1:9" x14ac:dyDescent="0.3">
      <c r="A106" s="33">
        <v>4658</v>
      </c>
      <c r="B106" s="2">
        <v>1738</v>
      </c>
      <c r="C106" s="2" t="s">
        <v>7020</v>
      </c>
      <c r="D106" s="3" t="s">
        <v>14206</v>
      </c>
      <c r="F106" s="3" t="s">
        <v>568</v>
      </c>
    </row>
    <row r="107" spans="1:9" x14ac:dyDescent="0.3">
      <c r="A107" s="33">
        <v>4689</v>
      </c>
      <c r="B107" s="2">
        <v>926</v>
      </c>
      <c r="C107" s="2" t="s">
        <v>7027</v>
      </c>
      <c r="D107" s="3" t="s">
        <v>14206</v>
      </c>
      <c r="F107" s="3" t="s">
        <v>812</v>
      </c>
    </row>
    <row r="108" spans="1:9" x14ac:dyDescent="0.3">
      <c r="A108" s="33">
        <v>4690</v>
      </c>
      <c r="B108" s="2">
        <v>927</v>
      </c>
      <c r="C108" s="2" t="s">
        <v>7034</v>
      </c>
      <c r="D108" s="3" t="s">
        <v>14206</v>
      </c>
      <c r="F108" s="3" t="s">
        <v>810</v>
      </c>
    </row>
    <row r="109" spans="1:9" x14ac:dyDescent="0.3">
      <c r="A109" s="33">
        <v>4730</v>
      </c>
      <c r="B109" s="2">
        <v>928</v>
      </c>
      <c r="C109" s="2" t="s">
        <v>7040</v>
      </c>
      <c r="D109" s="3" t="s">
        <v>14207</v>
      </c>
      <c r="F109" s="3" t="s">
        <v>648</v>
      </c>
      <c r="I109" s="3" t="s">
        <v>443</v>
      </c>
    </row>
    <row r="110" spans="1:9" ht="27.6" x14ac:dyDescent="0.3">
      <c r="A110" s="33">
        <v>4735</v>
      </c>
      <c r="B110" s="2">
        <v>929</v>
      </c>
      <c r="C110" s="2" t="s">
        <v>7046</v>
      </c>
      <c r="D110" s="29" t="s">
        <v>14211</v>
      </c>
      <c r="F110" s="3" t="s">
        <v>210</v>
      </c>
      <c r="I110" s="3" t="s">
        <v>829</v>
      </c>
    </row>
    <row r="111" spans="1:9" x14ac:dyDescent="0.3">
      <c r="A111" s="33">
        <v>4848</v>
      </c>
      <c r="B111" s="2">
        <v>1739</v>
      </c>
      <c r="C111" s="2" t="s">
        <v>7053</v>
      </c>
      <c r="D111" s="3" t="s">
        <v>14206</v>
      </c>
      <c r="F111" s="3" t="s">
        <v>824</v>
      </c>
    </row>
    <row r="112" spans="1:9" x14ac:dyDescent="0.3">
      <c r="A112" s="33">
        <v>4884</v>
      </c>
      <c r="B112" s="2">
        <v>930</v>
      </c>
      <c r="C112" s="2" t="s">
        <v>7060</v>
      </c>
      <c r="D112" s="3" t="s">
        <v>14206</v>
      </c>
      <c r="F112" s="3" t="s">
        <v>830</v>
      </c>
    </row>
    <row r="113" spans="1:9" x14ac:dyDescent="0.3">
      <c r="A113" s="33">
        <v>4905</v>
      </c>
      <c r="B113" s="2">
        <v>931</v>
      </c>
      <c r="C113" s="2" t="s">
        <v>7065</v>
      </c>
      <c r="D113" s="3" t="s">
        <v>14206</v>
      </c>
      <c r="F113" s="3" t="s">
        <v>648</v>
      </c>
    </row>
    <row r="114" spans="1:9" x14ac:dyDescent="0.3">
      <c r="A114" s="33">
        <v>4907</v>
      </c>
      <c r="B114" s="2">
        <v>932</v>
      </c>
      <c r="C114" s="2" t="s">
        <v>7072</v>
      </c>
      <c r="D114" s="3" t="s">
        <v>14206</v>
      </c>
      <c r="F114" s="3" t="s">
        <v>469</v>
      </c>
    </row>
    <row r="115" spans="1:9" x14ac:dyDescent="0.3">
      <c r="A115" s="33">
        <v>4908</v>
      </c>
      <c r="B115" s="2">
        <v>933</v>
      </c>
      <c r="C115" s="2" t="s">
        <v>7078</v>
      </c>
      <c r="D115" s="3" t="s">
        <v>14206</v>
      </c>
      <c r="F115" s="3" t="s">
        <v>1915</v>
      </c>
    </row>
    <row r="116" spans="1:9" x14ac:dyDescent="0.3">
      <c r="A116" s="33">
        <v>4909</v>
      </c>
      <c r="B116" s="2">
        <v>934</v>
      </c>
      <c r="C116" s="2" t="s">
        <v>7085</v>
      </c>
      <c r="D116" s="3" t="s">
        <v>14206</v>
      </c>
      <c r="F116" s="3" t="s">
        <v>1915</v>
      </c>
    </row>
    <row r="117" spans="1:9" x14ac:dyDescent="0.3">
      <c r="A117" s="33">
        <v>4913</v>
      </c>
      <c r="B117" s="2">
        <v>1740</v>
      </c>
      <c r="C117" s="2" t="s">
        <v>7092</v>
      </c>
      <c r="D117" s="3" t="s">
        <v>14206</v>
      </c>
      <c r="F117" s="3" t="s">
        <v>846</v>
      </c>
    </row>
    <row r="118" spans="1:9" x14ac:dyDescent="0.3">
      <c r="A118" s="33">
        <v>4924</v>
      </c>
      <c r="B118" s="2">
        <v>935</v>
      </c>
      <c r="C118" s="2" t="s">
        <v>7100</v>
      </c>
      <c r="D118" s="3" t="s">
        <v>14207</v>
      </c>
      <c r="F118" s="3" t="s">
        <v>727</v>
      </c>
      <c r="I118" s="3" t="s">
        <v>443</v>
      </c>
    </row>
    <row r="119" spans="1:9" x14ac:dyDescent="0.3">
      <c r="A119" s="33">
        <v>4928</v>
      </c>
      <c r="B119" s="2">
        <v>1741</v>
      </c>
      <c r="C119" s="2" t="s">
        <v>7107</v>
      </c>
      <c r="D119" s="3" t="s">
        <v>14206</v>
      </c>
      <c r="F119" s="3" t="s">
        <v>269</v>
      </c>
    </row>
    <row r="120" spans="1:9" x14ac:dyDescent="0.3">
      <c r="A120" s="33">
        <v>4951</v>
      </c>
      <c r="B120" s="2">
        <v>936</v>
      </c>
      <c r="C120" s="2" t="s">
        <v>7115</v>
      </c>
      <c r="D120" s="3" t="s">
        <v>14206</v>
      </c>
      <c r="F120" s="3" t="s">
        <v>962</v>
      </c>
    </row>
    <row r="121" spans="1:9" x14ac:dyDescent="0.3">
      <c r="A121" s="33">
        <v>4967</v>
      </c>
      <c r="B121" s="2">
        <v>1742</v>
      </c>
      <c r="C121" s="2" t="s">
        <v>7123</v>
      </c>
      <c r="D121" s="3" t="s">
        <v>14206</v>
      </c>
      <c r="F121" s="3" t="s">
        <v>193</v>
      </c>
    </row>
    <row r="122" spans="1:9" x14ac:dyDescent="0.3">
      <c r="A122" s="33">
        <v>4975</v>
      </c>
      <c r="B122" s="2">
        <v>1743</v>
      </c>
      <c r="C122" s="2" t="s">
        <v>7129</v>
      </c>
      <c r="D122" s="3" t="s">
        <v>14206</v>
      </c>
      <c r="F122" s="3" t="s">
        <v>870</v>
      </c>
    </row>
    <row r="123" spans="1:9" x14ac:dyDescent="0.3">
      <c r="A123" s="33">
        <v>4979</v>
      </c>
      <c r="B123" s="2">
        <v>1744</v>
      </c>
      <c r="C123" s="2" t="s">
        <v>7136</v>
      </c>
      <c r="D123" s="3" t="s">
        <v>14206</v>
      </c>
      <c r="F123" s="3" t="s">
        <v>491</v>
      </c>
    </row>
    <row r="124" spans="1:9" x14ac:dyDescent="0.3">
      <c r="A124" s="33">
        <v>4980</v>
      </c>
      <c r="B124" s="2">
        <v>937</v>
      </c>
      <c r="C124" s="2" t="s">
        <v>7142</v>
      </c>
      <c r="D124" s="3" t="s">
        <v>14206</v>
      </c>
      <c r="F124" s="3" t="s">
        <v>648</v>
      </c>
    </row>
    <row r="125" spans="1:9" x14ac:dyDescent="0.3">
      <c r="A125" s="33">
        <v>4982</v>
      </c>
      <c r="B125" s="2">
        <v>938</v>
      </c>
      <c r="C125" s="2" t="s">
        <v>7148</v>
      </c>
      <c r="D125" s="3" t="s">
        <v>14206</v>
      </c>
      <c r="F125" s="3" t="s">
        <v>876</v>
      </c>
    </row>
    <row r="126" spans="1:9" x14ac:dyDescent="0.3">
      <c r="A126" s="33">
        <v>5005</v>
      </c>
      <c r="B126" s="2">
        <v>939</v>
      </c>
      <c r="C126" s="2" t="s">
        <v>7155</v>
      </c>
      <c r="D126" s="3" t="s">
        <v>14206</v>
      </c>
      <c r="F126" s="3" t="s">
        <v>426</v>
      </c>
      <c r="G126" s="3" t="s">
        <v>575</v>
      </c>
    </row>
    <row r="127" spans="1:9" x14ac:dyDescent="0.3">
      <c r="A127" s="33">
        <v>5017</v>
      </c>
      <c r="B127" s="2">
        <v>1745</v>
      </c>
      <c r="C127" s="2" t="s">
        <v>7161</v>
      </c>
      <c r="D127" s="3" t="s">
        <v>14206</v>
      </c>
      <c r="F127" s="3" t="s">
        <v>882</v>
      </c>
    </row>
    <row r="128" spans="1:9" x14ac:dyDescent="0.3">
      <c r="A128" s="33">
        <v>5021</v>
      </c>
      <c r="B128" s="2">
        <v>1746</v>
      </c>
      <c r="C128" s="2" t="s">
        <v>7169</v>
      </c>
      <c r="D128" s="3" t="s">
        <v>14206</v>
      </c>
      <c r="F128" s="3" t="s">
        <v>193</v>
      </c>
    </row>
    <row r="129" spans="1:9" x14ac:dyDescent="0.3">
      <c r="A129" s="33">
        <v>5026</v>
      </c>
      <c r="B129" s="2">
        <v>1747</v>
      </c>
      <c r="C129" s="2" t="s">
        <v>7175</v>
      </c>
      <c r="D129" s="3" t="s">
        <v>14206</v>
      </c>
      <c r="F129" s="3" t="s">
        <v>888</v>
      </c>
    </row>
    <row r="130" spans="1:9" x14ac:dyDescent="0.3">
      <c r="A130" s="33">
        <v>5027</v>
      </c>
      <c r="B130" s="2">
        <v>1748</v>
      </c>
      <c r="C130" s="2" t="s">
        <v>7182</v>
      </c>
      <c r="D130" s="3" t="s">
        <v>14207</v>
      </c>
      <c r="F130" s="3" t="s">
        <v>11</v>
      </c>
    </row>
    <row r="131" spans="1:9" x14ac:dyDescent="0.3">
      <c r="A131" s="33">
        <v>5076</v>
      </c>
      <c r="B131" s="2">
        <v>1749</v>
      </c>
      <c r="C131" s="2" t="s">
        <v>7189</v>
      </c>
      <c r="D131" s="3" t="s">
        <v>14207</v>
      </c>
      <c r="F131" s="3" t="s">
        <v>895</v>
      </c>
    </row>
    <row r="132" spans="1:9" x14ac:dyDescent="0.3">
      <c r="A132" s="33">
        <v>5097</v>
      </c>
      <c r="B132" s="2">
        <v>1750</v>
      </c>
      <c r="C132" s="2" t="s">
        <v>7196</v>
      </c>
      <c r="D132" s="3" t="s">
        <v>14206</v>
      </c>
      <c r="F132" s="3" t="s">
        <v>193</v>
      </c>
    </row>
    <row r="133" spans="1:9" x14ac:dyDescent="0.3">
      <c r="A133" s="33">
        <v>5108</v>
      </c>
      <c r="B133" s="2">
        <v>940</v>
      </c>
      <c r="C133" s="2" t="s">
        <v>7202</v>
      </c>
      <c r="D133" s="3" t="s">
        <v>14206</v>
      </c>
      <c r="F133" s="3" t="s">
        <v>899</v>
      </c>
    </row>
    <row r="134" spans="1:9" x14ac:dyDescent="0.3">
      <c r="A134" s="33">
        <v>5140</v>
      </c>
      <c r="B134" s="2">
        <v>1751</v>
      </c>
      <c r="C134" s="2" t="s">
        <v>7210</v>
      </c>
      <c r="D134" s="3" t="s">
        <v>14206</v>
      </c>
      <c r="F134" s="3" t="s">
        <v>1101</v>
      </c>
    </row>
    <row r="135" spans="1:9" x14ac:dyDescent="0.3">
      <c r="A135" s="33">
        <v>5158</v>
      </c>
      <c r="B135" s="2">
        <v>941</v>
      </c>
      <c r="C135" s="2" t="s">
        <v>7223</v>
      </c>
      <c r="D135" s="3" t="s">
        <v>14206</v>
      </c>
      <c r="F135" s="3" t="s">
        <v>648</v>
      </c>
    </row>
    <row r="136" spans="1:9" x14ac:dyDescent="0.3">
      <c r="A136" s="33">
        <v>5159</v>
      </c>
      <c r="B136" s="2">
        <v>942</v>
      </c>
      <c r="C136" s="2" t="s">
        <v>7223</v>
      </c>
      <c r="D136" s="3" t="s">
        <v>14206</v>
      </c>
      <c r="F136" s="3" t="s">
        <v>648</v>
      </c>
    </row>
    <row r="137" spans="1:9" x14ac:dyDescent="0.3">
      <c r="A137" s="33">
        <v>5169</v>
      </c>
      <c r="B137" s="2">
        <v>1753</v>
      </c>
      <c r="C137" s="2" t="s">
        <v>7237</v>
      </c>
      <c r="D137" s="3" t="s">
        <v>14206</v>
      </c>
      <c r="F137" s="3" t="s">
        <v>917</v>
      </c>
    </row>
    <row r="138" spans="1:9" x14ac:dyDescent="0.3">
      <c r="A138" s="33">
        <v>5182</v>
      </c>
      <c r="B138" s="2">
        <v>943</v>
      </c>
      <c r="C138" s="2" t="s">
        <v>7244</v>
      </c>
      <c r="D138" s="3" t="s">
        <v>14206</v>
      </c>
      <c r="F138" s="3" t="s">
        <v>922</v>
      </c>
      <c r="I138" s="3" t="s">
        <v>926</v>
      </c>
    </row>
    <row r="139" spans="1:9" x14ac:dyDescent="0.3">
      <c r="A139" s="33">
        <v>5183</v>
      </c>
      <c r="B139" s="2">
        <v>944</v>
      </c>
      <c r="C139" s="2" t="s">
        <v>7252</v>
      </c>
      <c r="D139" s="3" t="s">
        <v>14206</v>
      </c>
      <c r="F139" s="3" t="s">
        <v>922</v>
      </c>
      <c r="I139" s="3" t="s">
        <v>926</v>
      </c>
    </row>
    <row r="140" spans="1:9" x14ac:dyDescent="0.3">
      <c r="A140" s="33">
        <v>5184</v>
      </c>
      <c r="B140" s="2">
        <v>945</v>
      </c>
      <c r="C140" s="2" t="s">
        <v>7258</v>
      </c>
      <c r="D140" s="3" t="s">
        <v>14206</v>
      </c>
      <c r="F140" s="3" t="s">
        <v>922</v>
      </c>
      <c r="I140" s="3" t="s">
        <v>926</v>
      </c>
    </row>
    <row r="141" spans="1:9" x14ac:dyDescent="0.3">
      <c r="A141" s="33">
        <v>5201</v>
      </c>
      <c r="B141" s="2">
        <v>1754</v>
      </c>
      <c r="C141" s="2" t="s">
        <v>7265</v>
      </c>
      <c r="D141" s="3" t="s">
        <v>14206</v>
      </c>
      <c r="F141" s="3" t="s">
        <v>412</v>
      </c>
    </row>
    <row r="142" spans="1:9" x14ac:dyDescent="0.3">
      <c r="A142" s="33">
        <v>5249</v>
      </c>
      <c r="B142" s="2">
        <v>946</v>
      </c>
      <c r="C142" s="2" t="s">
        <v>7272</v>
      </c>
      <c r="D142" s="3" t="s">
        <v>14206</v>
      </c>
      <c r="F142" s="3" t="s">
        <v>469</v>
      </c>
    </row>
    <row r="143" spans="1:9" x14ac:dyDescent="0.3">
      <c r="A143" s="33">
        <v>5253</v>
      </c>
      <c r="B143" s="2">
        <v>1755</v>
      </c>
      <c r="C143" s="2" t="s">
        <v>7280</v>
      </c>
      <c r="D143" s="3" t="s">
        <v>14206</v>
      </c>
      <c r="F143" s="3" t="s">
        <v>412</v>
      </c>
    </row>
    <row r="144" spans="1:9" x14ac:dyDescent="0.3">
      <c r="A144" s="33">
        <v>5258</v>
      </c>
      <c r="B144" s="2">
        <v>1756</v>
      </c>
      <c r="C144" s="2" t="s">
        <v>7287</v>
      </c>
      <c r="D144" s="3" t="s">
        <v>14206</v>
      </c>
      <c r="F144" s="3" t="s">
        <v>98</v>
      </c>
    </row>
    <row r="145" spans="1:9" x14ac:dyDescent="0.3">
      <c r="A145" s="33">
        <v>5267</v>
      </c>
      <c r="B145" s="2">
        <v>947</v>
      </c>
      <c r="C145" s="2" t="s">
        <v>7294</v>
      </c>
      <c r="D145" s="3" t="s">
        <v>14206</v>
      </c>
      <c r="F145" s="3" t="s">
        <v>986</v>
      </c>
    </row>
    <row r="146" spans="1:9" x14ac:dyDescent="0.3">
      <c r="A146" s="33">
        <v>5277</v>
      </c>
      <c r="B146" s="2">
        <v>948</v>
      </c>
      <c r="C146" s="2" t="s">
        <v>7300</v>
      </c>
      <c r="D146" s="3" t="s">
        <v>14206</v>
      </c>
      <c r="F146" s="3" t="s">
        <v>922</v>
      </c>
      <c r="I146" s="3" t="s">
        <v>926</v>
      </c>
    </row>
    <row r="147" spans="1:9" x14ac:dyDescent="0.3">
      <c r="A147" s="33">
        <v>5278</v>
      </c>
      <c r="B147" s="2">
        <v>949</v>
      </c>
      <c r="C147" s="2" t="s">
        <v>7306</v>
      </c>
      <c r="D147" s="3" t="s">
        <v>14206</v>
      </c>
      <c r="F147" s="3" t="s">
        <v>922</v>
      </c>
      <c r="I147" s="3" t="s">
        <v>926</v>
      </c>
    </row>
    <row r="148" spans="1:9" x14ac:dyDescent="0.3">
      <c r="A148" s="33">
        <v>5279</v>
      </c>
      <c r="B148" s="2">
        <v>950</v>
      </c>
      <c r="C148" s="2" t="s">
        <v>7312</v>
      </c>
      <c r="D148" s="3" t="s">
        <v>14206</v>
      </c>
      <c r="F148" s="3" t="s">
        <v>922</v>
      </c>
      <c r="I148" s="3" t="s">
        <v>926</v>
      </c>
    </row>
    <row r="149" spans="1:9" x14ac:dyDescent="0.3">
      <c r="A149" s="33">
        <v>5280</v>
      </c>
      <c r="B149" s="2">
        <v>951</v>
      </c>
      <c r="C149" s="2" t="s">
        <v>7318</v>
      </c>
      <c r="D149" s="3" t="s">
        <v>14206</v>
      </c>
      <c r="F149" s="3" t="s">
        <v>922</v>
      </c>
      <c r="I149" s="3" t="s">
        <v>926</v>
      </c>
    </row>
    <row r="150" spans="1:9" x14ac:dyDescent="0.3">
      <c r="A150" s="33">
        <v>5281</v>
      </c>
      <c r="B150" s="2">
        <v>952</v>
      </c>
      <c r="C150" s="2" t="s">
        <v>7324</v>
      </c>
      <c r="D150" s="3" t="s">
        <v>14206</v>
      </c>
      <c r="F150" s="3" t="s">
        <v>922</v>
      </c>
      <c r="I150" s="3" t="s">
        <v>926</v>
      </c>
    </row>
    <row r="151" spans="1:9" x14ac:dyDescent="0.3">
      <c r="A151" s="33">
        <v>5282</v>
      </c>
      <c r="B151" s="2">
        <v>953</v>
      </c>
      <c r="C151" s="2" t="s">
        <v>7330</v>
      </c>
      <c r="D151" s="3" t="s">
        <v>14206</v>
      </c>
      <c r="F151" s="3" t="s">
        <v>922</v>
      </c>
      <c r="I151" s="3" t="s">
        <v>926</v>
      </c>
    </row>
    <row r="152" spans="1:9" x14ac:dyDescent="0.3">
      <c r="A152" s="33">
        <v>5283</v>
      </c>
      <c r="B152" s="2">
        <v>954</v>
      </c>
      <c r="C152" s="2" t="s">
        <v>7336</v>
      </c>
      <c r="D152" s="3" t="s">
        <v>14206</v>
      </c>
      <c r="F152" s="3" t="s">
        <v>922</v>
      </c>
      <c r="I152" s="3" t="s">
        <v>926</v>
      </c>
    </row>
    <row r="153" spans="1:9" x14ac:dyDescent="0.3">
      <c r="A153" s="33">
        <v>5308</v>
      </c>
      <c r="B153" s="2">
        <v>955</v>
      </c>
      <c r="C153" s="2" t="s">
        <v>7342</v>
      </c>
      <c r="D153" s="3" t="s">
        <v>14206</v>
      </c>
      <c r="F153" s="3" t="s">
        <v>1052</v>
      </c>
    </row>
    <row r="154" spans="1:9" x14ac:dyDescent="0.3">
      <c r="A154" s="33">
        <v>5309</v>
      </c>
      <c r="B154" s="2">
        <v>1757</v>
      </c>
      <c r="C154" s="2" t="s">
        <v>7349</v>
      </c>
      <c r="D154" s="3" t="s">
        <v>14206</v>
      </c>
      <c r="F154" s="3" t="s">
        <v>1059</v>
      </c>
    </row>
    <row r="155" spans="1:9" x14ac:dyDescent="0.3">
      <c r="A155" s="33">
        <v>5312</v>
      </c>
      <c r="B155" s="2">
        <v>1758</v>
      </c>
      <c r="C155" s="2" t="s">
        <v>7357</v>
      </c>
      <c r="D155" s="3" t="s">
        <v>14206</v>
      </c>
      <c r="F155" s="3" t="s">
        <v>66</v>
      </c>
    </row>
    <row r="156" spans="1:9" x14ac:dyDescent="0.3">
      <c r="A156" s="33">
        <v>5322</v>
      </c>
      <c r="B156" s="2">
        <v>1759</v>
      </c>
      <c r="C156" s="2" t="s">
        <v>7363</v>
      </c>
      <c r="D156" s="3" t="s">
        <v>14207</v>
      </c>
      <c r="F156" s="3" t="s">
        <v>1063</v>
      </c>
    </row>
    <row r="157" spans="1:9" x14ac:dyDescent="0.3">
      <c r="A157" s="33">
        <v>5354</v>
      </c>
      <c r="B157" s="2">
        <v>956</v>
      </c>
      <c r="C157" s="2" t="s">
        <v>7370</v>
      </c>
      <c r="D157" s="3" t="s">
        <v>14206</v>
      </c>
      <c r="F157" s="3" t="s">
        <v>1069</v>
      </c>
    </row>
    <row r="158" spans="1:9" x14ac:dyDescent="0.3">
      <c r="A158" s="33">
        <v>5371</v>
      </c>
      <c r="B158" s="2">
        <v>957</v>
      </c>
      <c r="C158" s="2" t="s">
        <v>7377</v>
      </c>
      <c r="D158" s="3" t="s">
        <v>14206</v>
      </c>
      <c r="F158" s="3" t="s">
        <v>1080</v>
      </c>
    </row>
    <row r="159" spans="1:9" x14ac:dyDescent="0.3">
      <c r="A159" s="33">
        <v>5395</v>
      </c>
      <c r="B159" s="2">
        <v>1760</v>
      </c>
      <c r="C159" s="2" t="s">
        <v>7383</v>
      </c>
      <c r="D159" s="3" t="s">
        <v>14207</v>
      </c>
      <c r="F159" s="3" t="s">
        <v>289</v>
      </c>
    </row>
    <row r="160" spans="1:9" x14ac:dyDescent="0.3">
      <c r="A160" s="33">
        <v>5457</v>
      </c>
      <c r="B160" s="2">
        <v>1761</v>
      </c>
      <c r="C160" s="2" t="s">
        <v>7389</v>
      </c>
      <c r="D160" s="3" t="s">
        <v>14207</v>
      </c>
      <c r="F160" s="3" t="s">
        <v>1084</v>
      </c>
      <c r="I160" s="3" t="s">
        <v>762</v>
      </c>
    </row>
    <row r="161" spans="1:9" x14ac:dyDescent="0.3">
      <c r="A161" s="33">
        <v>5470</v>
      </c>
      <c r="B161" s="2">
        <v>958</v>
      </c>
      <c r="C161" s="2" t="s">
        <v>7396</v>
      </c>
      <c r="D161" s="3" t="s">
        <v>14206</v>
      </c>
      <c r="F161" s="3" t="s">
        <v>469</v>
      </c>
    </row>
    <row r="162" spans="1:9" x14ac:dyDescent="0.3">
      <c r="A162" s="33">
        <v>5473</v>
      </c>
      <c r="B162" s="2">
        <v>959</v>
      </c>
      <c r="C162" s="2" t="s">
        <v>7403</v>
      </c>
      <c r="D162" s="3" t="s">
        <v>14206</v>
      </c>
      <c r="F162" s="3" t="s">
        <v>426</v>
      </c>
    </row>
    <row r="163" spans="1:9" x14ac:dyDescent="0.3">
      <c r="A163" s="33">
        <v>5494</v>
      </c>
      <c r="B163" s="2">
        <v>1762</v>
      </c>
      <c r="C163" s="2" t="s">
        <v>7411</v>
      </c>
      <c r="D163" s="3" t="s">
        <v>14206</v>
      </c>
      <c r="F163" s="3" t="s">
        <v>269</v>
      </c>
    </row>
    <row r="164" spans="1:9" x14ac:dyDescent="0.3">
      <c r="A164" s="33">
        <v>5541</v>
      </c>
      <c r="B164" s="2">
        <v>960</v>
      </c>
      <c r="C164" s="2" t="s">
        <v>7417</v>
      </c>
      <c r="D164" s="3" t="s">
        <v>14206</v>
      </c>
      <c r="F164" s="3" t="s">
        <v>922</v>
      </c>
      <c r="I164" s="3" t="s">
        <v>926</v>
      </c>
    </row>
    <row r="165" spans="1:9" x14ac:dyDescent="0.3">
      <c r="A165" s="33">
        <v>5542</v>
      </c>
      <c r="B165" s="2">
        <v>961</v>
      </c>
      <c r="C165" s="2" t="s">
        <v>7422</v>
      </c>
      <c r="D165" s="3" t="s">
        <v>14206</v>
      </c>
      <c r="F165" s="3" t="s">
        <v>922</v>
      </c>
      <c r="I165" s="3" t="s">
        <v>1112</v>
      </c>
    </row>
    <row r="166" spans="1:9" x14ac:dyDescent="0.3">
      <c r="A166" s="33">
        <v>5543</v>
      </c>
      <c r="B166" s="2">
        <v>962</v>
      </c>
      <c r="C166" s="2" t="s">
        <v>7429</v>
      </c>
      <c r="D166" s="3" t="s">
        <v>14206</v>
      </c>
      <c r="F166" s="3" t="s">
        <v>922</v>
      </c>
      <c r="I166" s="3" t="s">
        <v>926</v>
      </c>
    </row>
    <row r="167" spans="1:9" x14ac:dyDescent="0.3">
      <c r="A167" s="33">
        <v>5544</v>
      </c>
      <c r="B167" s="2">
        <v>963</v>
      </c>
      <c r="C167" s="2" t="s">
        <v>7433</v>
      </c>
      <c r="D167" s="3" t="s">
        <v>14206</v>
      </c>
      <c r="F167" s="3" t="s">
        <v>922</v>
      </c>
      <c r="I167" s="3" t="s">
        <v>926</v>
      </c>
    </row>
    <row r="168" spans="1:9" x14ac:dyDescent="0.3">
      <c r="A168" s="33">
        <v>5547</v>
      </c>
      <c r="B168" s="2">
        <v>964</v>
      </c>
      <c r="C168" s="2" t="s">
        <v>7446</v>
      </c>
      <c r="D168" s="3" t="s">
        <v>14206</v>
      </c>
      <c r="F168" s="3" t="s">
        <v>648</v>
      </c>
      <c r="I168" s="3" t="s">
        <v>1129</v>
      </c>
    </row>
    <row r="169" spans="1:9" x14ac:dyDescent="0.3">
      <c r="A169" s="33">
        <v>5557</v>
      </c>
      <c r="B169" s="2">
        <v>965</v>
      </c>
      <c r="C169" s="2" t="s">
        <v>7454</v>
      </c>
      <c r="D169" s="3" t="s">
        <v>14206</v>
      </c>
      <c r="F169" s="3" t="s">
        <v>1130</v>
      </c>
    </row>
    <row r="170" spans="1:9" x14ac:dyDescent="0.3">
      <c r="A170" s="33">
        <v>5575</v>
      </c>
      <c r="B170" s="2">
        <v>1764</v>
      </c>
      <c r="C170" s="2" t="s">
        <v>7460</v>
      </c>
      <c r="D170" s="3" t="s">
        <v>14206</v>
      </c>
      <c r="F170" s="3" t="s">
        <v>168</v>
      </c>
      <c r="I170" s="3" t="s">
        <v>1134</v>
      </c>
    </row>
    <row r="171" spans="1:9" x14ac:dyDescent="0.3">
      <c r="A171" s="33">
        <v>5577</v>
      </c>
      <c r="B171" s="2">
        <v>1765</v>
      </c>
      <c r="C171" s="2" t="s">
        <v>7468</v>
      </c>
      <c r="D171" s="3" t="s">
        <v>14206</v>
      </c>
      <c r="F171" s="3" t="s">
        <v>168</v>
      </c>
    </row>
    <row r="172" spans="1:9" x14ac:dyDescent="0.3">
      <c r="A172" s="33">
        <v>5579</v>
      </c>
      <c r="B172" s="2">
        <v>966</v>
      </c>
      <c r="C172" s="2" t="s">
        <v>7474</v>
      </c>
      <c r="D172" s="3" t="s">
        <v>14206</v>
      </c>
      <c r="F172" s="3" t="s">
        <v>1138</v>
      </c>
    </row>
    <row r="173" spans="1:9" x14ac:dyDescent="0.3">
      <c r="A173" s="33">
        <v>5593</v>
      </c>
      <c r="B173" s="2">
        <v>1766</v>
      </c>
      <c r="C173" s="2" t="s">
        <v>7482</v>
      </c>
      <c r="D173" s="3" t="s">
        <v>14207</v>
      </c>
      <c r="F173" s="3" t="s">
        <v>1144</v>
      </c>
    </row>
    <row r="174" spans="1:9" x14ac:dyDescent="0.3">
      <c r="A174" s="33">
        <v>5597</v>
      </c>
      <c r="B174" s="2">
        <v>967</v>
      </c>
      <c r="C174" s="2" t="s">
        <v>7489</v>
      </c>
      <c r="D174" s="3" t="s">
        <v>14206</v>
      </c>
      <c r="F174" s="3" t="s">
        <v>727</v>
      </c>
    </row>
    <row r="175" spans="1:9" x14ac:dyDescent="0.3">
      <c r="A175" s="33">
        <v>5599</v>
      </c>
      <c r="B175" s="2">
        <v>968</v>
      </c>
      <c r="C175" s="2" t="s">
        <v>7496</v>
      </c>
      <c r="D175" s="3" t="s">
        <v>14206</v>
      </c>
      <c r="F175" s="3" t="s">
        <v>146</v>
      </c>
    </row>
    <row r="176" spans="1:9" x14ac:dyDescent="0.3">
      <c r="A176" s="33">
        <v>5611</v>
      </c>
      <c r="B176" s="2">
        <v>1767</v>
      </c>
      <c r="C176" s="2" t="s">
        <v>7505</v>
      </c>
      <c r="D176" s="3" t="s">
        <v>14206</v>
      </c>
      <c r="F176" s="3" t="s">
        <v>412</v>
      </c>
    </row>
    <row r="177" spans="1:9" x14ac:dyDescent="0.3">
      <c r="A177" s="33">
        <v>5612</v>
      </c>
      <c r="B177" s="2">
        <v>1768</v>
      </c>
      <c r="C177" s="2" t="s">
        <v>7511</v>
      </c>
      <c r="D177" s="3" t="s">
        <v>14206</v>
      </c>
      <c r="F177" s="3" t="s">
        <v>846</v>
      </c>
    </row>
    <row r="178" spans="1:9" x14ac:dyDescent="0.3">
      <c r="A178" s="33">
        <v>5630</v>
      </c>
      <c r="B178" s="2">
        <v>969</v>
      </c>
      <c r="C178" s="2" t="s">
        <v>7517</v>
      </c>
      <c r="D178" s="3" t="s">
        <v>14207</v>
      </c>
      <c r="F178" s="3" t="s">
        <v>1154</v>
      </c>
    </row>
    <row r="179" spans="1:9" x14ac:dyDescent="0.3">
      <c r="A179" s="33">
        <v>5631</v>
      </c>
      <c r="B179" s="2">
        <v>970</v>
      </c>
      <c r="C179" s="2" t="s">
        <v>7525</v>
      </c>
      <c r="D179" s="3" t="s">
        <v>14207</v>
      </c>
      <c r="F179" s="3" t="s">
        <v>1154</v>
      </c>
    </row>
    <row r="180" spans="1:9" x14ac:dyDescent="0.3">
      <c r="A180" s="33">
        <v>5632</v>
      </c>
      <c r="B180" s="2">
        <v>971</v>
      </c>
      <c r="C180" s="2" t="s">
        <v>7531</v>
      </c>
      <c r="D180" s="3" t="s">
        <v>14207</v>
      </c>
      <c r="F180" s="3" t="s">
        <v>1154</v>
      </c>
    </row>
    <row r="181" spans="1:9" x14ac:dyDescent="0.3">
      <c r="A181" s="33">
        <v>5633</v>
      </c>
      <c r="B181" s="2">
        <v>972</v>
      </c>
      <c r="C181" s="2" t="s">
        <v>7538</v>
      </c>
      <c r="D181" s="3" t="s">
        <v>14207</v>
      </c>
      <c r="F181" s="3" t="s">
        <v>1154</v>
      </c>
    </row>
    <row r="182" spans="1:9" x14ac:dyDescent="0.3">
      <c r="A182" s="33">
        <v>5635</v>
      </c>
      <c r="B182" s="2">
        <v>973</v>
      </c>
      <c r="C182" s="2" t="s">
        <v>7544</v>
      </c>
      <c r="D182" s="3" t="s">
        <v>1170</v>
      </c>
    </row>
    <row r="183" spans="1:9" x14ac:dyDescent="0.3">
      <c r="A183" s="33">
        <v>5651</v>
      </c>
      <c r="B183" s="2">
        <v>974</v>
      </c>
      <c r="C183" s="2" t="s">
        <v>7555</v>
      </c>
      <c r="D183" s="3" t="s">
        <v>14215</v>
      </c>
      <c r="F183" s="3" t="s">
        <v>1183</v>
      </c>
      <c r="G183" s="3" t="s">
        <v>575</v>
      </c>
    </row>
    <row r="184" spans="1:9" x14ac:dyDescent="0.3">
      <c r="A184" s="33">
        <v>5660</v>
      </c>
      <c r="B184" s="2">
        <v>975</v>
      </c>
      <c r="C184" s="2" t="s">
        <v>7562</v>
      </c>
      <c r="D184" s="3" t="s">
        <v>14216</v>
      </c>
      <c r="F184" s="3" t="s">
        <v>727</v>
      </c>
    </row>
    <row r="185" spans="1:9" x14ac:dyDescent="0.3">
      <c r="A185" s="33">
        <v>5672</v>
      </c>
      <c r="B185" s="2">
        <v>976</v>
      </c>
      <c r="C185" s="2" t="s">
        <v>7569</v>
      </c>
      <c r="D185" s="3" t="s">
        <v>14206</v>
      </c>
      <c r="F185" s="3" t="s">
        <v>922</v>
      </c>
      <c r="I185" s="3" t="s">
        <v>1112</v>
      </c>
    </row>
    <row r="186" spans="1:9" x14ac:dyDescent="0.3">
      <c r="A186" s="33">
        <v>5673</v>
      </c>
      <c r="B186" s="2">
        <v>977</v>
      </c>
      <c r="C186" s="2" t="s">
        <v>7575</v>
      </c>
      <c r="D186" s="3" t="s">
        <v>14206</v>
      </c>
      <c r="F186" s="3" t="s">
        <v>922</v>
      </c>
      <c r="I186" s="3" t="s">
        <v>926</v>
      </c>
    </row>
    <row r="187" spans="1:9" x14ac:dyDescent="0.3">
      <c r="A187" s="33">
        <v>5674</v>
      </c>
      <c r="B187" s="2">
        <v>978</v>
      </c>
      <c r="C187" s="2" t="s">
        <v>7581</v>
      </c>
      <c r="D187" s="3" t="s">
        <v>14206</v>
      </c>
      <c r="F187" s="3" t="s">
        <v>648</v>
      </c>
    </row>
    <row r="188" spans="1:9" x14ac:dyDescent="0.3">
      <c r="A188" s="33">
        <v>5675</v>
      </c>
      <c r="B188" s="2">
        <v>1770</v>
      </c>
      <c r="C188" s="2" t="s">
        <v>7588</v>
      </c>
      <c r="D188" s="3" t="s">
        <v>14206</v>
      </c>
      <c r="F188" s="3" t="s">
        <v>289</v>
      </c>
    </row>
    <row r="189" spans="1:9" x14ac:dyDescent="0.3">
      <c r="A189" s="33">
        <v>5680</v>
      </c>
      <c r="B189" s="2">
        <v>1771</v>
      </c>
      <c r="C189" s="2" t="s">
        <v>7596</v>
      </c>
      <c r="D189" s="3" t="s">
        <v>14206</v>
      </c>
      <c r="F189" s="3" t="s">
        <v>1251</v>
      </c>
    </row>
    <row r="190" spans="1:9" x14ac:dyDescent="0.3">
      <c r="A190" s="33">
        <v>5682</v>
      </c>
      <c r="B190" s="2">
        <v>979</v>
      </c>
      <c r="C190" s="2" t="s">
        <v>7603</v>
      </c>
      <c r="D190" s="3" t="s">
        <v>14206</v>
      </c>
      <c r="F190" s="3" t="s">
        <v>108</v>
      </c>
    </row>
    <row r="191" spans="1:9" x14ac:dyDescent="0.3">
      <c r="A191" s="33">
        <v>5689</v>
      </c>
      <c r="B191" s="2">
        <v>980</v>
      </c>
      <c r="C191" s="2" t="s">
        <v>7610</v>
      </c>
      <c r="D191" s="3" t="s">
        <v>14206</v>
      </c>
      <c r="F191" s="3" t="s">
        <v>1266</v>
      </c>
    </row>
    <row r="192" spans="1:9" x14ac:dyDescent="0.3">
      <c r="A192" s="33">
        <v>5732</v>
      </c>
      <c r="B192" s="2">
        <v>1772</v>
      </c>
      <c r="C192" s="2" t="s">
        <v>7617</v>
      </c>
      <c r="D192" s="3" t="s">
        <v>14206</v>
      </c>
      <c r="F192" s="3" t="s">
        <v>1270</v>
      </c>
    </row>
    <row r="193" spans="1:6" x14ac:dyDescent="0.3">
      <c r="A193" s="33">
        <v>5733</v>
      </c>
      <c r="B193" s="2">
        <v>1773</v>
      </c>
      <c r="C193" s="2" t="s">
        <v>7625</v>
      </c>
      <c r="D193" s="3" t="s">
        <v>14206</v>
      </c>
      <c r="F193" s="3" t="s">
        <v>1270</v>
      </c>
    </row>
    <row r="194" spans="1:6" x14ac:dyDescent="0.3">
      <c r="A194" s="33">
        <v>5734</v>
      </c>
      <c r="B194" s="2">
        <v>1774</v>
      </c>
      <c r="C194" s="2" t="s">
        <v>7633</v>
      </c>
      <c r="D194" s="3" t="s">
        <v>14206</v>
      </c>
      <c r="F194" s="3" t="s">
        <v>1270</v>
      </c>
    </row>
    <row r="195" spans="1:6" x14ac:dyDescent="0.3">
      <c r="A195" s="33">
        <v>5735</v>
      </c>
      <c r="B195" s="2">
        <v>1775</v>
      </c>
      <c r="C195" s="2" t="s">
        <v>7637</v>
      </c>
      <c r="D195" s="3" t="s">
        <v>14206</v>
      </c>
      <c r="F195" s="3" t="s">
        <v>1270</v>
      </c>
    </row>
    <row r="196" spans="1:6" x14ac:dyDescent="0.3">
      <c r="A196" s="33">
        <v>5736</v>
      </c>
      <c r="B196" s="2">
        <v>1776</v>
      </c>
      <c r="C196" s="2" t="s">
        <v>7641</v>
      </c>
      <c r="D196" s="3" t="s">
        <v>14206</v>
      </c>
      <c r="F196" s="3" t="s">
        <v>1270</v>
      </c>
    </row>
    <row r="197" spans="1:6" x14ac:dyDescent="0.3">
      <c r="A197" s="33">
        <v>5751</v>
      </c>
      <c r="B197" s="2">
        <v>981</v>
      </c>
      <c r="C197" s="2" t="s">
        <v>7646</v>
      </c>
      <c r="D197" s="3" t="s">
        <v>14217</v>
      </c>
      <c r="E197" s="3" t="s">
        <v>1274</v>
      </c>
      <c r="F197" s="3" t="s">
        <v>1275</v>
      </c>
    </row>
    <row r="198" spans="1:6" x14ac:dyDescent="0.3">
      <c r="A198" s="33">
        <v>5781</v>
      </c>
      <c r="B198" s="2">
        <v>982</v>
      </c>
      <c r="C198" s="2" t="s">
        <v>7654</v>
      </c>
      <c r="D198" s="3" t="s">
        <v>14207</v>
      </c>
      <c r="F198" s="3" t="s">
        <v>426</v>
      </c>
    </row>
    <row r="199" spans="1:6" x14ac:dyDescent="0.3">
      <c r="A199" s="33">
        <v>5782</v>
      </c>
      <c r="B199" s="2">
        <v>983</v>
      </c>
      <c r="C199" s="2" t="s">
        <v>7661</v>
      </c>
      <c r="D199" s="3" t="s">
        <v>14207</v>
      </c>
      <c r="F199" s="3" t="s">
        <v>426</v>
      </c>
    </row>
    <row r="200" spans="1:6" x14ac:dyDescent="0.3">
      <c r="A200" s="33">
        <v>5841</v>
      </c>
      <c r="B200" s="2">
        <v>1777</v>
      </c>
      <c r="C200" s="2" t="s">
        <v>7668</v>
      </c>
      <c r="D200" s="3" t="s">
        <v>14206</v>
      </c>
      <c r="F200" s="3" t="s">
        <v>491</v>
      </c>
    </row>
    <row r="201" spans="1:6" x14ac:dyDescent="0.3">
      <c r="A201" s="33">
        <v>5851</v>
      </c>
      <c r="B201" s="2">
        <v>984</v>
      </c>
      <c r="C201" s="2" t="s">
        <v>7673</v>
      </c>
      <c r="D201" s="3" t="s">
        <v>14206</v>
      </c>
      <c r="F201" s="3" t="s">
        <v>1328</v>
      </c>
    </row>
    <row r="202" spans="1:6" x14ac:dyDescent="0.3">
      <c r="A202" s="33">
        <v>5855</v>
      </c>
      <c r="B202" s="2">
        <v>985</v>
      </c>
      <c r="C202" s="2" t="s">
        <v>7679</v>
      </c>
      <c r="D202" s="3" t="s">
        <v>14206</v>
      </c>
      <c r="F202" s="3" t="s">
        <v>1332</v>
      </c>
    </row>
    <row r="203" spans="1:6" x14ac:dyDescent="0.3">
      <c r="A203" s="33">
        <v>5875</v>
      </c>
      <c r="B203" s="2">
        <v>1778</v>
      </c>
      <c r="C203" s="2" t="s">
        <v>7687</v>
      </c>
      <c r="D203" s="3" t="s">
        <v>14207</v>
      </c>
      <c r="F203" s="3" t="s">
        <v>1349</v>
      </c>
    </row>
    <row r="204" spans="1:6" x14ac:dyDescent="0.3">
      <c r="A204" s="33">
        <v>5898</v>
      </c>
      <c r="B204" s="2">
        <v>986</v>
      </c>
      <c r="C204" s="2" t="s">
        <v>7694</v>
      </c>
      <c r="D204" s="3" t="s">
        <v>14206</v>
      </c>
      <c r="F204" s="3" t="s">
        <v>504</v>
      </c>
    </row>
    <row r="205" spans="1:6" x14ac:dyDescent="0.3">
      <c r="A205" s="33">
        <v>5899</v>
      </c>
      <c r="B205" s="2">
        <v>987</v>
      </c>
      <c r="C205" s="2" t="s">
        <v>7701</v>
      </c>
      <c r="D205" s="3" t="s">
        <v>14206</v>
      </c>
      <c r="F205" s="3" t="s">
        <v>504</v>
      </c>
    </row>
    <row r="206" spans="1:6" x14ac:dyDescent="0.3">
      <c r="A206" s="33">
        <v>5902</v>
      </c>
      <c r="B206" s="2">
        <v>1779</v>
      </c>
      <c r="C206" s="2" t="s">
        <v>7707</v>
      </c>
      <c r="D206" s="3" t="s">
        <v>14206</v>
      </c>
      <c r="F206" s="3" t="s">
        <v>846</v>
      </c>
    </row>
    <row r="207" spans="1:6" x14ac:dyDescent="0.3">
      <c r="A207" s="33">
        <v>5903</v>
      </c>
      <c r="B207" s="2">
        <v>1780</v>
      </c>
      <c r="C207" s="2" t="s">
        <v>7713</v>
      </c>
      <c r="D207" s="3" t="s">
        <v>14206</v>
      </c>
      <c r="F207" s="3" t="s">
        <v>846</v>
      </c>
    </row>
    <row r="208" spans="1:6" x14ac:dyDescent="0.3">
      <c r="A208" s="33">
        <v>5908</v>
      </c>
      <c r="B208" s="2">
        <v>988</v>
      </c>
      <c r="C208" s="2" t="s">
        <v>7719</v>
      </c>
      <c r="D208" s="3" t="s">
        <v>14207</v>
      </c>
      <c r="F208" s="3" t="s">
        <v>727</v>
      </c>
    </row>
    <row r="209" spans="1:6" x14ac:dyDescent="0.3">
      <c r="A209" s="33">
        <v>5909</v>
      </c>
      <c r="B209" s="2">
        <v>1781</v>
      </c>
      <c r="C209" s="2" t="s">
        <v>7726</v>
      </c>
      <c r="D209" s="3" t="s">
        <v>14206</v>
      </c>
      <c r="F209" s="3" t="s">
        <v>1270</v>
      </c>
    </row>
    <row r="210" spans="1:6" x14ac:dyDescent="0.3">
      <c r="A210" s="33">
        <v>5913</v>
      </c>
      <c r="B210" s="2">
        <v>1782</v>
      </c>
      <c r="C210" s="2" t="s">
        <v>7732</v>
      </c>
      <c r="D210" s="3" t="s">
        <v>14206</v>
      </c>
      <c r="F210" s="3" t="s">
        <v>1367</v>
      </c>
    </row>
    <row r="211" spans="1:6" x14ac:dyDescent="0.3">
      <c r="A211" s="33">
        <v>5932</v>
      </c>
      <c r="B211" s="2">
        <v>989</v>
      </c>
      <c r="C211" s="2" t="s">
        <v>7739</v>
      </c>
      <c r="D211" s="3" t="s">
        <v>14206</v>
      </c>
      <c r="F211" s="3" t="s">
        <v>504</v>
      </c>
    </row>
    <row r="212" spans="1:6" x14ac:dyDescent="0.3">
      <c r="A212" s="33">
        <v>5936</v>
      </c>
      <c r="B212" s="2">
        <v>990</v>
      </c>
      <c r="C212" s="2" t="s">
        <v>7747</v>
      </c>
      <c r="D212" s="3" t="s">
        <v>14206</v>
      </c>
      <c r="F212" s="3" t="s">
        <v>504</v>
      </c>
    </row>
    <row r="213" spans="1:6" x14ac:dyDescent="0.3">
      <c r="A213" s="33">
        <v>5937</v>
      </c>
      <c r="B213" s="2">
        <v>991</v>
      </c>
      <c r="C213" s="2" t="s">
        <v>7752</v>
      </c>
      <c r="D213" s="3" t="s">
        <v>14206</v>
      </c>
      <c r="F213" s="3" t="s">
        <v>1375</v>
      </c>
    </row>
    <row r="214" spans="1:6" x14ac:dyDescent="0.3">
      <c r="A214" s="33">
        <v>5944</v>
      </c>
      <c r="B214" s="2">
        <v>992</v>
      </c>
      <c r="C214" s="2" t="s">
        <v>7758</v>
      </c>
      <c r="D214" s="3" t="s">
        <v>14207</v>
      </c>
      <c r="F214" s="3" t="s">
        <v>41</v>
      </c>
    </row>
    <row r="215" spans="1:6" x14ac:dyDescent="0.3">
      <c r="A215" s="33">
        <v>5964</v>
      </c>
      <c r="B215" s="2">
        <v>993</v>
      </c>
      <c r="C215" s="2" t="s">
        <v>7765</v>
      </c>
      <c r="D215" s="3" t="s">
        <v>14207</v>
      </c>
      <c r="F215" s="3" t="s">
        <v>727</v>
      </c>
    </row>
    <row r="216" spans="1:6" x14ac:dyDescent="0.3">
      <c r="A216" s="33">
        <v>5966</v>
      </c>
      <c r="B216" s="2">
        <v>994</v>
      </c>
      <c r="C216" s="2" t="s">
        <v>7771</v>
      </c>
      <c r="D216" s="3" t="s">
        <v>14206</v>
      </c>
      <c r="F216" s="3" t="s">
        <v>426</v>
      </c>
    </row>
    <row r="217" spans="1:6" x14ac:dyDescent="0.3">
      <c r="A217" s="33">
        <v>5979</v>
      </c>
      <c r="B217" s="2">
        <v>995</v>
      </c>
      <c r="C217" s="2" t="s">
        <v>7777</v>
      </c>
      <c r="D217" s="3" t="s">
        <v>14206</v>
      </c>
      <c r="F217" s="3" t="s">
        <v>747</v>
      </c>
    </row>
    <row r="218" spans="1:6" x14ac:dyDescent="0.3">
      <c r="A218" s="33">
        <v>6007</v>
      </c>
      <c r="B218" s="2">
        <v>996</v>
      </c>
      <c r="C218" s="2" t="s">
        <v>7785</v>
      </c>
      <c r="D218" s="3" t="s">
        <v>14206</v>
      </c>
      <c r="F218" s="3" t="s">
        <v>1416</v>
      </c>
    </row>
    <row r="219" spans="1:6" x14ac:dyDescent="0.3">
      <c r="A219" s="33">
        <v>6018</v>
      </c>
      <c r="B219" s="2">
        <v>1783</v>
      </c>
      <c r="C219" s="2" t="s">
        <v>7793</v>
      </c>
      <c r="D219" s="3" t="s">
        <v>14206</v>
      </c>
      <c r="F219" s="3" t="s">
        <v>1270</v>
      </c>
    </row>
    <row r="220" spans="1:6" x14ac:dyDescent="0.3">
      <c r="A220" s="33">
        <v>6026</v>
      </c>
      <c r="B220" s="2">
        <v>1784</v>
      </c>
      <c r="C220" s="2" t="s">
        <v>7798</v>
      </c>
      <c r="D220" s="3" t="s">
        <v>14206</v>
      </c>
      <c r="F220" s="3" t="s">
        <v>1270</v>
      </c>
    </row>
    <row r="221" spans="1:6" x14ac:dyDescent="0.3">
      <c r="A221" s="33">
        <v>6027</v>
      </c>
      <c r="B221" s="2">
        <v>1785</v>
      </c>
      <c r="C221" s="2" t="s">
        <v>7802</v>
      </c>
      <c r="D221" s="3" t="s">
        <v>14206</v>
      </c>
      <c r="F221" s="3" t="s">
        <v>1270</v>
      </c>
    </row>
    <row r="222" spans="1:6" x14ac:dyDescent="0.3">
      <c r="A222" s="33">
        <v>6028</v>
      </c>
      <c r="B222" s="2">
        <v>1786</v>
      </c>
      <c r="C222" s="2" t="s">
        <v>7808</v>
      </c>
      <c r="D222" s="3" t="s">
        <v>14206</v>
      </c>
      <c r="F222" s="3" t="s">
        <v>1270</v>
      </c>
    </row>
    <row r="223" spans="1:6" x14ac:dyDescent="0.3">
      <c r="A223" s="33">
        <v>6040</v>
      </c>
      <c r="B223" s="2">
        <v>997</v>
      </c>
      <c r="C223" s="2" t="s">
        <v>7812</v>
      </c>
      <c r="D223" s="3" t="s">
        <v>14206</v>
      </c>
      <c r="F223" s="3" t="s">
        <v>1422</v>
      </c>
    </row>
    <row r="224" spans="1:6" x14ac:dyDescent="0.3">
      <c r="A224" s="33">
        <v>6052</v>
      </c>
      <c r="B224" s="2">
        <v>998</v>
      </c>
      <c r="C224" s="2" t="s">
        <v>7819</v>
      </c>
      <c r="D224" s="3" t="s">
        <v>14206</v>
      </c>
      <c r="F224" s="3" t="s">
        <v>656</v>
      </c>
    </row>
    <row r="225" spans="1:9" x14ac:dyDescent="0.3">
      <c r="A225" s="33">
        <v>6053</v>
      </c>
      <c r="B225" s="2">
        <v>999</v>
      </c>
      <c r="C225" s="2" t="s">
        <v>7825</v>
      </c>
      <c r="D225" s="3" t="s">
        <v>14206</v>
      </c>
      <c r="F225" s="3" t="s">
        <v>656</v>
      </c>
    </row>
    <row r="226" spans="1:9" x14ac:dyDescent="0.3">
      <c r="A226" s="33">
        <v>6067</v>
      </c>
      <c r="B226" s="2">
        <v>1000</v>
      </c>
      <c r="C226" s="2" t="s">
        <v>7831</v>
      </c>
      <c r="D226" s="3" t="s">
        <v>14207</v>
      </c>
      <c r="F226" s="3" t="s">
        <v>504</v>
      </c>
      <c r="I226" s="3" t="s">
        <v>443</v>
      </c>
    </row>
    <row r="227" spans="1:9" x14ac:dyDescent="0.3">
      <c r="A227" s="33">
        <v>6107</v>
      </c>
      <c r="B227" s="2">
        <v>1001</v>
      </c>
      <c r="C227" s="2" t="s">
        <v>7839</v>
      </c>
      <c r="D227" s="3" t="s">
        <v>14207</v>
      </c>
      <c r="F227" s="3" t="s">
        <v>1468</v>
      </c>
      <c r="I227" s="3" t="s">
        <v>1473</v>
      </c>
    </row>
    <row r="228" spans="1:9" x14ac:dyDescent="0.3">
      <c r="A228" s="33">
        <v>6108</v>
      </c>
      <c r="B228" s="2">
        <v>1002</v>
      </c>
      <c r="C228" s="2" t="s">
        <v>7846</v>
      </c>
      <c r="D228" s="3" t="s">
        <v>14206</v>
      </c>
      <c r="F228" s="3" t="s">
        <v>648</v>
      </c>
    </row>
    <row r="229" spans="1:9" x14ac:dyDescent="0.3">
      <c r="A229" s="33">
        <v>6111</v>
      </c>
      <c r="B229" s="2">
        <v>1787</v>
      </c>
      <c r="C229" s="2" t="s">
        <v>7853</v>
      </c>
      <c r="D229" s="3" t="s">
        <v>14206</v>
      </c>
      <c r="F229" s="3" t="s">
        <v>289</v>
      </c>
    </row>
    <row r="230" spans="1:9" x14ac:dyDescent="0.3">
      <c r="A230" s="33">
        <v>6118</v>
      </c>
      <c r="B230" s="2">
        <v>1003</v>
      </c>
      <c r="C230" s="2" t="s">
        <v>7861</v>
      </c>
      <c r="D230" s="3" t="s">
        <v>14206</v>
      </c>
      <c r="F230" s="3" t="s">
        <v>1506</v>
      </c>
    </row>
    <row r="231" spans="1:9" x14ac:dyDescent="0.3">
      <c r="A231" s="33">
        <v>6119</v>
      </c>
      <c r="B231" s="2">
        <v>1788</v>
      </c>
      <c r="C231" s="2" t="s">
        <v>7869</v>
      </c>
      <c r="D231" s="3" t="s">
        <v>14206</v>
      </c>
      <c r="F231" s="3" t="s">
        <v>30</v>
      </c>
      <c r="G231" s="3" t="s">
        <v>487</v>
      </c>
    </row>
    <row r="232" spans="1:9" x14ac:dyDescent="0.3">
      <c r="A232" s="33">
        <v>6142</v>
      </c>
      <c r="B232" s="2">
        <v>1789</v>
      </c>
      <c r="C232" s="2" t="s">
        <v>7876</v>
      </c>
      <c r="D232" s="3" t="s">
        <v>14206</v>
      </c>
      <c r="F232" s="3" t="s">
        <v>269</v>
      </c>
      <c r="I232" s="3" t="s">
        <v>1512</v>
      </c>
    </row>
    <row r="233" spans="1:9" x14ac:dyDescent="0.3">
      <c r="A233" s="33">
        <v>6173</v>
      </c>
      <c r="B233" s="2">
        <v>1004</v>
      </c>
      <c r="C233" s="2" t="s">
        <v>7883</v>
      </c>
      <c r="D233" s="3" t="s">
        <v>14206</v>
      </c>
      <c r="F233" s="3" t="s">
        <v>656</v>
      </c>
    </row>
    <row r="234" spans="1:9" x14ac:dyDescent="0.3">
      <c r="A234" s="33">
        <v>6180</v>
      </c>
      <c r="B234" s="2">
        <v>1005</v>
      </c>
      <c r="C234" s="2" t="s">
        <v>7891</v>
      </c>
      <c r="D234" s="3" t="s">
        <v>14206</v>
      </c>
      <c r="F234" s="3" t="s">
        <v>73</v>
      </c>
    </row>
    <row r="235" spans="1:9" x14ac:dyDescent="0.3">
      <c r="A235" s="33">
        <v>6199</v>
      </c>
      <c r="B235" s="2">
        <v>1006</v>
      </c>
      <c r="C235" s="2" t="s">
        <v>7898</v>
      </c>
      <c r="D235" s="3" t="s">
        <v>14207</v>
      </c>
      <c r="F235" s="3" t="s">
        <v>426</v>
      </c>
    </row>
    <row r="236" spans="1:9" x14ac:dyDescent="0.3">
      <c r="A236" s="33">
        <v>6219</v>
      </c>
      <c r="B236" s="2">
        <v>1790</v>
      </c>
      <c r="C236" s="2" t="s">
        <v>7905</v>
      </c>
      <c r="D236" s="3" t="s">
        <v>14218</v>
      </c>
      <c r="F236" s="3" t="s">
        <v>289</v>
      </c>
    </row>
    <row r="237" spans="1:9" x14ac:dyDescent="0.3">
      <c r="A237" s="33">
        <v>6224</v>
      </c>
      <c r="B237" s="2">
        <v>1007</v>
      </c>
      <c r="C237" s="2" t="s">
        <v>7912</v>
      </c>
      <c r="D237" s="3" t="s">
        <v>14207</v>
      </c>
      <c r="F237" s="3" t="s">
        <v>727</v>
      </c>
    </row>
    <row r="238" spans="1:9" x14ac:dyDescent="0.3">
      <c r="A238" s="33">
        <v>6240</v>
      </c>
      <c r="B238" s="2">
        <v>1008</v>
      </c>
      <c r="C238" s="2" t="s">
        <v>7918</v>
      </c>
      <c r="D238" s="3" t="s">
        <v>14220</v>
      </c>
      <c r="F238" s="3" t="s">
        <v>426</v>
      </c>
      <c r="I238" s="3" t="s">
        <v>1473</v>
      </c>
    </row>
    <row r="239" spans="1:9" x14ac:dyDescent="0.3">
      <c r="A239" s="33">
        <v>6241</v>
      </c>
      <c r="B239" s="2">
        <v>1009</v>
      </c>
      <c r="C239" s="2" t="s">
        <v>7926</v>
      </c>
      <c r="D239" s="3" t="s">
        <v>14206</v>
      </c>
      <c r="F239" s="3" t="s">
        <v>986</v>
      </c>
    </row>
    <row r="240" spans="1:9" x14ac:dyDescent="0.3">
      <c r="A240" s="33">
        <v>6244</v>
      </c>
      <c r="B240" s="2">
        <v>1791</v>
      </c>
      <c r="C240" s="2" t="s">
        <v>7933</v>
      </c>
      <c r="D240" s="3" t="s">
        <v>14206</v>
      </c>
      <c r="F240" s="3" t="s">
        <v>168</v>
      </c>
    </row>
    <row r="241" spans="1:9" x14ac:dyDescent="0.3">
      <c r="A241" s="33">
        <v>6247</v>
      </c>
      <c r="B241" s="2">
        <v>1792</v>
      </c>
      <c r="C241" s="2" t="s">
        <v>7941</v>
      </c>
      <c r="D241" s="3" t="s">
        <v>14219</v>
      </c>
      <c r="F241" s="3" t="s">
        <v>568</v>
      </c>
    </row>
    <row r="242" spans="1:9" x14ac:dyDescent="0.3">
      <c r="A242" s="33">
        <v>6258</v>
      </c>
      <c r="B242" s="2">
        <v>1010</v>
      </c>
      <c r="C242" s="2" t="s">
        <v>7949</v>
      </c>
      <c r="D242" s="3" t="s">
        <v>14206</v>
      </c>
      <c r="F242" s="3" t="s">
        <v>747</v>
      </c>
    </row>
    <row r="243" spans="1:9" x14ac:dyDescent="0.3">
      <c r="A243" s="33">
        <v>6273</v>
      </c>
      <c r="B243" s="2">
        <v>1793</v>
      </c>
      <c r="C243" s="2" t="s">
        <v>7956</v>
      </c>
      <c r="D243" s="3" t="s">
        <v>14206</v>
      </c>
      <c r="F243" s="3" t="s">
        <v>269</v>
      </c>
    </row>
    <row r="244" spans="1:9" x14ac:dyDescent="0.3">
      <c r="A244" s="33">
        <v>6275</v>
      </c>
      <c r="B244" s="2">
        <v>1794</v>
      </c>
      <c r="C244" s="2" t="s">
        <v>7962</v>
      </c>
      <c r="D244" s="3" t="s">
        <v>14206</v>
      </c>
      <c r="F244" s="3" t="s">
        <v>1608</v>
      </c>
    </row>
    <row r="245" spans="1:9" x14ac:dyDescent="0.3">
      <c r="A245" s="33">
        <v>6279</v>
      </c>
      <c r="B245" s="2">
        <v>1795</v>
      </c>
      <c r="C245" s="2" t="s">
        <v>7969</v>
      </c>
      <c r="D245" s="3" t="s">
        <v>14206</v>
      </c>
      <c r="F245" s="3" t="s">
        <v>11</v>
      </c>
      <c r="I245" s="3" t="s">
        <v>1512</v>
      </c>
    </row>
    <row r="246" spans="1:9" x14ac:dyDescent="0.3">
      <c r="A246" s="33">
        <v>6280</v>
      </c>
      <c r="B246" s="2">
        <v>1011</v>
      </c>
      <c r="C246" s="2" t="s">
        <v>7976</v>
      </c>
      <c r="D246" s="3" t="s">
        <v>14206</v>
      </c>
      <c r="F246" s="3" t="s">
        <v>1614</v>
      </c>
    </row>
    <row r="247" spans="1:9" x14ac:dyDescent="0.3">
      <c r="A247" s="33">
        <v>6288</v>
      </c>
      <c r="B247" s="2">
        <v>1012</v>
      </c>
      <c r="C247" s="2" t="s">
        <v>7983</v>
      </c>
      <c r="D247" s="3" t="s">
        <v>14206</v>
      </c>
      <c r="F247" s="3" t="s">
        <v>1332</v>
      </c>
    </row>
    <row r="248" spans="1:9" x14ac:dyDescent="0.3">
      <c r="A248" s="33">
        <v>6291</v>
      </c>
      <c r="B248" s="2">
        <v>1796</v>
      </c>
      <c r="C248" s="2" t="s">
        <v>7990</v>
      </c>
      <c r="D248" s="3" t="s">
        <v>14206</v>
      </c>
      <c r="F248" s="3" t="s">
        <v>568</v>
      </c>
    </row>
    <row r="249" spans="1:9" x14ac:dyDescent="0.3">
      <c r="A249" s="33">
        <v>6292</v>
      </c>
      <c r="B249" s="2">
        <v>1797</v>
      </c>
      <c r="C249" s="2" t="s">
        <v>7997</v>
      </c>
      <c r="D249" s="3" t="s">
        <v>14206</v>
      </c>
      <c r="F249" s="3" t="s">
        <v>193</v>
      </c>
      <c r="G249" s="3" t="s">
        <v>487</v>
      </c>
    </row>
    <row r="250" spans="1:9" x14ac:dyDescent="0.3">
      <c r="A250" s="33">
        <v>6293</v>
      </c>
      <c r="B250" s="2">
        <v>1798</v>
      </c>
      <c r="C250" s="2" t="s">
        <v>8003</v>
      </c>
      <c r="D250" s="3" t="s">
        <v>14206</v>
      </c>
      <c r="F250" s="3" t="s">
        <v>491</v>
      </c>
      <c r="G250" s="3" t="s">
        <v>487</v>
      </c>
      <c r="I250" s="3" t="s">
        <v>1625</v>
      </c>
    </row>
    <row r="251" spans="1:9" x14ac:dyDescent="0.3">
      <c r="A251" s="33">
        <v>6294</v>
      </c>
      <c r="B251" s="2">
        <v>1799</v>
      </c>
      <c r="C251" s="2" t="s">
        <v>8009</v>
      </c>
      <c r="D251" s="3" t="s">
        <v>14206</v>
      </c>
      <c r="F251" s="3" t="s">
        <v>98</v>
      </c>
      <c r="G251" s="3" t="s">
        <v>487</v>
      </c>
    </row>
    <row r="252" spans="1:9" x14ac:dyDescent="0.3">
      <c r="A252" s="33">
        <v>6299</v>
      </c>
      <c r="B252" s="2">
        <v>1800</v>
      </c>
      <c r="C252" s="2" t="s">
        <v>8015</v>
      </c>
      <c r="D252" s="3" t="s">
        <v>14206</v>
      </c>
      <c r="F252" s="3" t="s">
        <v>11</v>
      </c>
      <c r="I252" s="3" t="s">
        <v>1512</v>
      </c>
    </row>
    <row r="253" spans="1:9" x14ac:dyDescent="0.3">
      <c r="A253" s="33">
        <v>6308</v>
      </c>
      <c r="B253" s="2">
        <v>1801</v>
      </c>
      <c r="C253" s="2" t="s">
        <v>8021</v>
      </c>
      <c r="D253" s="3" t="s">
        <v>14206</v>
      </c>
      <c r="F253" s="3" t="s">
        <v>1631</v>
      </c>
    </row>
    <row r="254" spans="1:9" x14ac:dyDescent="0.3">
      <c r="A254" s="33">
        <v>6331</v>
      </c>
      <c r="B254" s="2">
        <v>1013</v>
      </c>
      <c r="C254" s="2" t="s">
        <v>8027</v>
      </c>
      <c r="D254" s="3" t="s">
        <v>14206</v>
      </c>
      <c r="F254" s="3" t="s">
        <v>1637</v>
      </c>
      <c r="I254" s="3" t="s">
        <v>1638</v>
      </c>
    </row>
    <row r="255" spans="1:9" x14ac:dyDescent="0.3">
      <c r="A255" s="33">
        <v>6335</v>
      </c>
      <c r="B255" s="2">
        <v>1014</v>
      </c>
      <c r="C255" s="2" t="s">
        <v>8033</v>
      </c>
      <c r="D255" s="3" t="s">
        <v>14206</v>
      </c>
      <c r="F255" s="3" t="s">
        <v>306</v>
      </c>
    </row>
    <row r="256" spans="1:9" x14ac:dyDescent="0.3">
      <c r="A256" s="33">
        <v>6337</v>
      </c>
      <c r="B256" s="2">
        <v>1802</v>
      </c>
      <c r="C256" s="2" t="s">
        <v>8039</v>
      </c>
      <c r="D256" s="3" t="s">
        <v>14206</v>
      </c>
      <c r="F256" s="3" t="s">
        <v>1996</v>
      </c>
    </row>
    <row r="257" spans="1:9" x14ac:dyDescent="0.3">
      <c r="A257" s="33">
        <v>6340</v>
      </c>
      <c r="B257" s="2">
        <v>1015</v>
      </c>
      <c r="C257" s="2" t="s">
        <v>8046</v>
      </c>
      <c r="D257" s="3" t="s">
        <v>14207</v>
      </c>
      <c r="F257" s="3" t="s">
        <v>648</v>
      </c>
    </row>
    <row r="258" spans="1:9" x14ac:dyDescent="0.3">
      <c r="A258" s="33">
        <v>6342</v>
      </c>
      <c r="B258" s="2">
        <v>1803</v>
      </c>
      <c r="C258" s="2" t="s">
        <v>8052</v>
      </c>
      <c r="D258" s="3" t="s">
        <v>14206</v>
      </c>
      <c r="F258" s="3" t="s">
        <v>11</v>
      </c>
      <c r="I258" s="3" t="s">
        <v>1512</v>
      </c>
    </row>
    <row r="259" spans="1:9" x14ac:dyDescent="0.3">
      <c r="A259" s="33">
        <v>6345</v>
      </c>
      <c r="B259" s="2">
        <v>1804</v>
      </c>
      <c r="C259" s="2" t="s">
        <v>8057</v>
      </c>
      <c r="D259" s="3" t="s">
        <v>14206</v>
      </c>
      <c r="F259" s="3" t="s">
        <v>269</v>
      </c>
      <c r="I259" s="3" t="s">
        <v>1512</v>
      </c>
    </row>
    <row r="260" spans="1:9" x14ac:dyDescent="0.3">
      <c r="A260" s="33">
        <v>6377</v>
      </c>
      <c r="B260" s="2">
        <v>1805</v>
      </c>
      <c r="C260" s="2" t="s">
        <v>8063</v>
      </c>
      <c r="D260" s="3" t="s">
        <v>14206</v>
      </c>
      <c r="F260" s="3" t="s">
        <v>11</v>
      </c>
      <c r="I260" s="3" t="s">
        <v>1512</v>
      </c>
    </row>
    <row r="261" spans="1:9" x14ac:dyDescent="0.3">
      <c r="A261" s="33">
        <v>6391</v>
      </c>
      <c r="B261" s="2">
        <v>1016</v>
      </c>
      <c r="C261" s="2" t="s">
        <v>8076</v>
      </c>
      <c r="D261" s="3" t="s">
        <v>14206</v>
      </c>
      <c r="F261" s="3" t="s">
        <v>504</v>
      </c>
    </row>
    <row r="262" spans="1:9" x14ac:dyDescent="0.3">
      <c r="A262" s="33">
        <v>6411</v>
      </c>
      <c r="B262" s="2">
        <v>1807</v>
      </c>
      <c r="C262" s="2" t="s">
        <v>8084</v>
      </c>
      <c r="D262" s="3" t="s">
        <v>14207</v>
      </c>
      <c r="E262" s="3" t="s">
        <v>1665</v>
      </c>
      <c r="F262" s="3" t="s">
        <v>30</v>
      </c>
      <c r="G262" s="3" t="s">
        <v>575</v>
      </c>
    </row>
    <row r="263" spans="1:9" x14ac:dyDescent="0.3">
      <c r="A263" s="33">
        <v>6415</v>
      </c>
      <c r="B263" s="2">
        <v>1017</v>
      </c>
      <c r="C263" s="2" t="s">
        <v>8092</v>
      </c>
      <c r="D263" s="3" t="s">
        <v>14206</v>
      </c>
      <c r="F263" s="3" t="s">
        <v>922</v>
      </c>
      <c r="I263" s="3" t="s">
        <v>926</v>
      </c>
    </row>
    <row r="264" spans="1:9" x14ac:dyDescent="0.3">
      <c r="A264" s="33">
        <v>6422</v>
      </c>
      <c r="B264" s="2">
        <v>1018</v>
      </c>
      <c r="C264" s="2" t="s">
        <v>8098</v>
      </c>
      <c r="D264" s="3" t="s">
        <v>14206</v>
      </c>
      <c r="F264" s="3" t="s">
        <v>11</v>
      </c>
    </row>
    <row r="265" spans="1:9" x14ac:dyDescent="0.3">
      <c r="A265" s="33">
        <v>6424</v>
      </c>
      <c r="B265" s="2">
        <v>1808</v>
      </c>
      <c r="C265" s="2" t="s">
        <v>8106</v>
      </c>
      <c r="D265" s="3" t="s">
        <v>14207</v>
      </c>
      <c r="F265" s="3" t="s">
        <v>1677</v>
      </c>
    </row>
    <row r="266" spans="1:9" x14ac:dyDescent="0.3">
      <c r="A266" s="33">
        <v>6425</v>
      </c>
      <c r="B266" s="2">
        <v>1019</v>
      </c>
      <c r="C266" s="2" t="s">
        <v>8112</v>
      </c>
      <c r="D266" s="3" t="s">
        <v>14206</v>
      </c>
      <c r="F266" s="3" t="s">
        <v>504</v>
      </c>
      <c r="I266" s="3" t="s">
        <v>1473</v>
      </c>
    </row>
    <row r="267" spans="1:9" x14ac:dyDescent="0.3">
      <c r="A267" s="33">
        <v>6426</v>
      </c>
      <c r="B267" s="2">
        <v>1809</v>
      </c>
      <c r="C267" s="2" t="s">
        <v>8120</v>
      </c>
      <c r="D267" s="3" t="s">
        <v>14206</v>
      </c>
      <c r="F267" s="3" t="s">
        <v>289</v>
      </c>
    </row>
    <row r="268" spans="1:9" x14ac:dyDescent="0.3">
      <c r="A268" s="33">
        <v>6427</v>
      </c>
      <c r="B268" s="2">
        <v>1020</v>
      </c>
      <c r="C268" s="2" t="s">
        <v>8127</v>
      </c>
      <c r="D268" s="3" t="s">
        <v>14206</v>
      </c>
      <c r="F268" s="3" t="s">
        <v>1687</v>
      </c>
    </row>
    <row r="269" spans="1:9" x14ac:dyDescent="0.3">
      <c r="A269" s="33">
        <v>6441</v>
      </c>
      <c r="B269" s="2">
        <v>1021</v>
      </c>
      <c r="C269" s="2" t="s">
        <v>8135</v>
      </c>
      <c r="D269" s="3" t="s">
        <v>14206</v>
      </c>
      <c r="F269" s="3" t="s">
        <v>1721</v>
      </c>
    </row>
    <row r="270" spans="1:9" x14ac:dyDescent="0.3">
      <c r="A270" s="33">
        <v>6442</v>
      </c>
      <c r="B270" s="2">
        <v>1022</v>
      </c>
      <c r="C270" s="2" t="s">
        <v>8142</v>
      </c>
      <c r="D270" s="3" t="s">
        <v>14206</v>
      </c>
      <c r="F270" s="3" t="s">
        <v>1721</v>
      </c>
    </row>
    <row r="271" spans="1:9" x14ac:dyDescent="0.3">
      <c r="A271" s="33">
        <v>6445</v>
      </c>
      <c r="B271" s="2">
        <v>1023</v>
      </c>
      <c r="C271" s="2" t="s">
        <v>8149</v>
      </c>
      <c r="D271" s="3" t="s">
        <v>14206</v>
      </c>
      <c r="F271" s="3" t="s">
        <v>986</v>
      </c>
    </row>
    <row r="272" spans="1:9" x14ac:dyDescent="0.3">
      <c r="A272" s="33">
        <v>6460</v>
      </c>
      <c r="B272" s="2">
        <v>1810</v>
      </c>
      <c r="C272" s="2" t="s">
        <v>8155</v>
      </c>
      <c r="D272" s="3" t="s">
        <v>14206</v>
      </c>
      <c r="F272" s="3" t="s">
        <v>289</v>
      </c>
    </row>
    <row r="273" spans="1:6" x14ac:dyDescent="0.3">
      <c r="A273" s="33">
        <v>6461</v>
      </c>
      <c r="B273" s="2">
        <v>1811</v>
      </c>
      <c r="C273" s="2" t="s">
        <v>8162</v>
      </c>
      <c r="D273" s="3" t="s">
        <v>14206</v>
      </c>
      <c r="F273" s="3" t="s">
        <v>1754</v>
      </c>
    </row>
    <row r="274" spans="1:6" x14ac:dyDescent="0.3">
      <c r="A274" s="33">
        <v>6464</v>
      </c>
      <c r="B274" s="2">
        <v>1812</v>
      </c>
      <c r="C274" s="2" t="s">
        <v>8169</v>
      </c>
      <c r="D274" s="3" t="s">
        <v>14206</v>
      </c>
      <c r="F274" s="3" t="s">
        <v>98</v>
      </c>
    </row>
    <row r="275" spans="1:6" x14ac:dyDescent="0.3">
      <c r="A275" s="33">
        <v>6466</v>
      </c>
      <c r="B275" s="2">
        <v>1813</v>
      </c>
      <c r="C275" s="2" t="s">
        <v>8175</v>
      </c>
      <c r="D275" s="3" t="s">
        <v>14206</v>
      </c>
      <c r="F275" s="3" t="s">
        <v>491</v>
      </c>
    </row>
    <row r="276" spans="1:6" x14ac:dyDescent="0.3">
      <c r="A276" s="33">
        <v>6467</v>
      </c>
      <c r="B276" s="2">
        <v>1814</v>
      </c>
      <c r="C276" s="2" t="s">
        <v>8181</v>
      </c>
      <c r="D276" s="3" t="s">
        <v>14206</v>
      </c>
      <c r="F276" s="3" t="s">
        <v>98</v>
      </c>
    </row>
    <row r="277" spans="1:6" x14ac:dyDescent="0.3">
      <c r="A277" s="33">
        <v>6474</v>
      </c>
      <c r="B277" s="2">
        <v>1815</v>
      </c>
      <c r="C277" s="2" t="s">
        <v>8187</v>
      </c>
      <c r="D277" s="3" t="s">
        <v>14206</v>
      </c>
      <c r="F277" s="3" t="s">
        <v>412</v>
      </c>
    </row>
    <row r="278" spans="1:6" x14ac:dyDescent="0.3">
      <c r="A278" s="33">
        <v>6476</v>
      </c>
      <c r="B278" s="2">
        <v>1816</v>
      </c>
      <c r="C278" s="2" t="s">
        <v>8194</v>
      </c>
      <c r="D278" s="3" t="s">
        <v>14206</v>
      </c>
      <c r="F278" s="3" t="s">
        <v>412</v>
      </c>
    </row>
    <row r="279" spans="1:6" x14ac:dyDescent="0.3">
      <c r="A279" s="33">
        <v>6477</v>
      </c>
      <c r="B279" s="2">
        <v>1817</v>
      </c>
      <c r="C279" s="2" t="s">
        <v>8200</v>
      </c>
      <c r="D279" s="3" t="s">
        <v>14206</v>
      </c>
      <c r="F279" s="3" t="s">
        <v>269</v>
      </c>
    </row>
    <row r="280" spans="1:6" x14ac:dyDescent="0.3">
      <c r="A280" s="33">
        <v>6478</v>
      </c>
      <c r="B280" s="2">
        <v>1818</v>
      </c>
      <c r="C280" s="2" t="s">
        <v>8206</v>
      </c>
      <c r="D280" s="3" t="s">
        <v>14206</v>
      </c>
      <c r="F280" s="3" t="s">
        <v>412</v>
      </c>
    </row>
    <row r="281" spans="1:6" x14ac:dyDescent="0.3">
      <c r="A281" s="33">
        <v>6481</v>
      </c>
      <c r="B281" s="2">
        <v>1819</v>
      </c>
      <c r="C281" s="2" t="s">
        <v>8212</v>
      </c>
      <c r="D281" s="3" t="s">
        <v>14206</v>
      </c>
      <c r="F281" s="3" t="s">
        <v>491</v>
      </c>
    </row>
    <row r="282" spans="1:6" x14ac:dyDescent="0.3">
      <c r="A282" s="33">
        <v>6483</v>
      </c>
      <c r="B282" s="2">
        <v>1820</v>
      </c>
      <c r="C282" s="2" t="s">
        <v>8218</v>
      </c>
      <c r="D282" s="3" t="s">
        <v>14206</v>
      </c>
      <c r="F282" s="3" t="s">
        <v>656</v>
      </c>
    </row>
    <row r="283" spans="1:6" x14ac:dyDescent="0.3">
      <c r="A283" s="33">
        <v>6484</v>
      </c>
      <c r="B283" s="2">
        <v>1821</v>
      </c>
      <c r="C283" s="2" t="s">
        <v>8224</v>
      </c>
      <c r="D283" s="3" t="s">
        <v>14206</v>
      </c>
      <c r="F283" s="3" t="s">
        <v>656</v>
      </c>
    </row>
    <row r="284" spans="1:6" x14ac:dyDescent="0.3">
      <c r="A284" s="33">
        <v>6511</v>
      </c>
      <c r="B284" s="2">
        <v>1024</v>
      </c>
      <c r="C284" s="2" t="s">
        <v>8230</v>
      </c>
      <c r="D284" s="3" t="s">
        <v>14206</v>
      </c>
      <c r="F284" s="3" t="s">
        <v>504</v>
      </c>
    </row>
    <row r="285" spans="1:6" x14ac:dyDescent="0.3">
      <c r="A285" s="33">
        <v>6512</v>
      </c>
      <c r="B285" s="2">
        <v>1822</v>
      </c>
      <c r="C285" s="2" t="s">
        <v>8236</v>
      </c>
      <c r="D285" s="3" t="s">
        <v>14206</v>
      </c>
      <c r="F285" s="3" t="s">
        <v>1270</v>
      </c>
    </row>
    <row r="286" spans="1:6" x14ac:dyDescent="0.3">
      <c r="A286" s="33">
        <v>6513</v>
      </c>
      <c r="B286" s="2">
        <v>1823</v>
      </c>
      <c r="C286" s="2" t="s">
        <v>8241</v>
      </c>
      <c r="D286" s="3" t="s">
        <v>14206</v>
      </c>
      <c r="F286" s="3" t="s">
        <v>1270</v>
      </c>
    </row>
    <row r="287" spans="1:6" x14ac:dyDescent="0.3">
      <c r="A287" s="33">
        <v>6518</v>
      </c>
      <c r="B287" s="2">
        <v>1824</v>
      </c>
      <c r="C287" s="2" t="s">
        <v>8247</v>
      </c>
      <c r="D287" s="3" t="s">
        <v>14206</v>
      </c>
      <c r="F287" s="3" t="s">
        <v>656</v>
      </c>
    </row>
    <row r="288" spans="1:6" x14ac:dyDescent="0.3">
      <c r="A288" s="33">
        <v>6521</v>
      </c>
      <c r="B288" s="2">
        <v>1825</v>
      </c>
      <c r="C288" s="2" t="s">
        <v>8253</v>
      </c>
      <c r="D288" s="3" t="s">
        <v>14206</v>
      </c>
      <c r="F288" s="3" t="s">
        <v>289</v>
      </c>
    </row>
    <row r="289" spans="1:9" x14ac:dyDescent="0.3">
      <c r="A289" s="33">
        <v>6524</v>
      </c>
      <c r="B289" s="2">
        <v>1025</v>
      </c>
      <c r="C289" s="2" t="s">
        <v>8261</v>
      </c>
      <c r="D289" s="3" t="s">
        <v>14206</v>
      </c>
      <c r="F289" s="3" t="s">
        <v>1328</v>
      </c>
    </row>
    <row r="290" spans="1:9" x14ac:dyDescent="0.3">
      <c r="A290" s="33">
        <v>6525</v>
      </c>
      <c r="B290" s="2">
        <v>1026</v>
      </c>
      <c r="C290" s="2" t="s">
        <v>8268</v>
      </c>
      <c r="D290" s="3" t="s">
        <v>14206</v>
      </c>
      <c r="F290" s="3" t="s">
        <v>1328</v>
      </c>
    </row>
    <row r="291" spans="1:9" x14ac:dyDescent="0.3">
      <c r="A291" s="33">
        <v>6526</v>
      </c>
      <c r="B291" s="2">
        <v>1027</v>
      </c>
      <c r="C291" s="2" t="s">
        <v>8274</v>
      </c>
      <c r="D291" s="3" t="s">
        <v>14206</v>
      </c>
      <c r="F291" s="3" t="s">
        <v>1328</v>
      </c>
    </row>
    <row r="292" spans="1:9" x14ac:dyDescent="0.3">
      <c r="A292" s="33">
        <v>6531</v>
      </c>
      <c r="B292" s="2">
        <v>1028</v>
      </c>
      <c r="C292" s="2" t="s">
        <v>8280</v>
      </c>
      <c r="D292" s="3" t="s">
        <v>14206</v>
      </c>
      <c r="F292" s="3" t="s">
        <v>1828</v>
      </c>
    </row>
    <row r="293" spans="1:9" x14ac:dyDescent="0.3">
      <c r="A293" s="33">
        <v>6538</v>
      </c>
      <c r="B293" s="2">
        <v>1826</v>
      </c>
      <c r="C293" s="2" t="s">
        <v>8288</v>
      </c>
      <c r="D293" s="3" t="s">
        <v>14206</v>
      </c>
      <c r="F293" s="3" t="s">
        <v>193</v>
      </c>
    </row>
    <row r="294" spans="1:9" x14ac:dyDescent="0.3">
      <c r="A294" s="33">
        <v>6551</v>
      </c>
      <c r="B294" s="2">
        <v>1029</v>
      </c>
      <c r="C294" s="2" t="s">
        <v>8293</v>
      </c>
      <c r="D294" s="3" t="s">
        <v>14206</v>
      </c>
      <c r="F294" s="3" t="s">
        <v>713</v>
      </c>
      <c r="I294" s="3" t="s">
        <v>1638</v>
      </c>
    </row>
    <row r="295" spans="1:9" x14ac:dyDescent="0.3">
      <c r="A295" s="33">
        <v>6552</v>
      </c>
      <c r="B295" s="2">
        <v>1030</v>
      </c>
      <c r="C295" s="2" t="s">
        <v>8300</v>
      </c>
      <c r="D295" s="3" t="s">
        <v>14206</v>
      </c>
      <c r="F295" s="3" t="s">
        <v>962</v>
      </c>
    </row>
    <row r="296" spans="1:9" x14ac:dyDescent="0.3">
      <c r="A296" s="33">
        <v>6572</v>
      </c>
      <c r="B296" s="2">
        <v>1827</v>
      </c>
      <c r="C296" s="2" t="s">
        <v>8306</v>
      </c>
      <c r="D296" s="3" t="s">
        <v>14206</v>
      </c>
      <c r="F296" s="3" t="s">
        <v>491</v>
      </c>
    </row>
    <row r="297" spans="1:9" x14ac:dyDescent="0.3">
      <c r="A297" s="33">
        <v>6575</v>
      </c>
      <c r="B297" s="2">
        <v>1828</v>
      </c>
      <c r="C297" s="2" t="s">
        <v>8312</v>
      </c>
      <c r="D297" s="3" t="s">
        <v>14206</v>
      </c>
      <c r="F297" s="3" t="s">
        <v>1270</v>
      </c>
    </row>
    <row r="298" spans="1:9" x14ac:dyDescent="0.3">
      <c r="A298" s="33">
        <v>6581</v>
      </c>
      <c r="B298" s="2">
        <v>1829</v>
      </c>
      <c r="C298" s="2" t="s">
        <v>8317</v>
      </c>
      <c r="D298" s="3" t="s">
        <v>14206</v>
      </c>
      <c r="F298" s="3" t="s">
        <v>1270</v>
      </c>
    </row>
    <row r="299" spans="1:9" x14ac:dyDescent="0.3">
      <c r="A299" s="33">
        <v>6597</v>
      </c>
      <c r="B299" s="2">
        <v>1031</v>
      </c>
      <c r="C299" s="2" t="s">
        <v>8322</v>
      </c>
      <c r="D299" s="3" t="s">
        <v>14207</v>
      </c>
      <c r="F299" s="3" t="s">
        <v>1848</v>
      </c>
    </row>
    <row r="300" spans="1:9" x14ac:dyDescent="0.3">
      <c r="A300" s="33">
        <v>6605</v>
      </c>
      <c r="B300" s="2">
        <v>1830</v>
      </c>
      <c r="C300" s="2" t="s">
        <v>8330</v>
      </c>
      <c r="D300" s="3" t="s">
        <v>14206</v>
      </c>
      <c r="F300" s="3" t="s">
        <v>1866</v>
      </c>
    </row>
    <row r="301" spans="1:9" x14ac:dyDescent="0.3">
      <c r="A301" s="33">
        <v>6606</v>
      </c>
      <c r="B301" s="2">
        <v>1831</v>
      </c>
      <c r="C301" s="2" t="s">
        <v>8337</v>
      </c>
      <c r="D301" s="3" t="s">
        <v>14206</v>
      </c>
      <c r="F301" s="3" t="s">
        <v>1608</v>
      </c>
    </row>
    <row r="302" spans="1:9" x14ac:dyDescent="0.3">
      <c r="A302" s="33">
        <v>6631</v>
      </c>
      <c r="B302" s="2">
        <v>1032</v>
      </c>
      <c r="C302" s="2" t="s">
        <v>8344</v>
      </c>
      <c r="D302" s="3" t="s">
        <v>14207</v>
      </c>
      <c r="F302" s="3" t="s">
        <v>1848</v>
      </c>
    </row>
    <row r="303" spans="1:9" x14ac:dyDescent="0.3">
      <c r="A303" s="33">
        <v>6634</v>
      </c>
      <c r="B303" s="2">
        <v>1033</v>
      </c>
      <c r="C303" s="2" t="s">
        <v>8350</v>
      </c>
      <c r="D303" s="3" t="s">
        <v>14206</v>
      </c>
      <c r="F303" s="3" t="s">
        <v>1882</v>
      </c>
    </row>
    <row r="304" spans="1:9" x14ac:dyDescent="0.3">
      <c r="A304" s="33">
        <v>6638</v>
      </c>
      <c r="B304" s="2">
        <v>1034</v>
      </c>
      <c r="C304" s="2" t="s">
        <v>8357</v>
      </c>
      <c r="D304" s="3" t="s">
        <v>14206</v>
      </c>
      <c r="F304" s="3" t="s">
        <v>1885</v>
      </c>
    </row>
    <row r="305" spans="1:7" x14ac:dyDescent="0.3">
      <c r="A305" s="33">
        <v>6639</v>
      </c>
      <c r="B305" s="2">
        <v>1035</v>
      </c>
      <c r="C305" s="2" t="s">
        <v>8363</v>
      </c>
      <c r="D305" s="3" t="s">
        <v>14206</v>
      </c>
      <c r="F305" s="3" t="s">
        <v>1885</v>
      </c>
    </row>
    <row r="306" spans="1:7" x14ac:dyDescent="0.3">
      <c r="A306" s="33">
        <v>6640</v>
      </c>
      <c r="B306" s="2">
        <v>1036</v>
      </c>
      <c r="C306" s="2" t="s">
        <v>8368</v>
      </c>
      <c r="D306" s="3" t="s">
        <v>14206</v>
      </c>
      <c r="F306" s="3" t="s">
        <v>504</v>
      </c>
    </row>
    <row r="307" spans="1:7" x14ac:dyDescent="0.3">
      <c r="A307" s="33">
        <v>6641</v>
      </c>
      <c r="B307" s="2">
        <v>1037</v>
      </c>
      <c r="C307" s="2" t="s">
        <v>8376</v>
      </c>
      <c r="D307" s="3" t="s">
        <v>14206</v>
      </c>
      <c r="F307" s="3" t="s">
        <v>504</v>
      </c>
    </row>
    <row r="308" spans="1:7" x14ac:dyDescent="0.3">
      <c r="A308" s="33">
        <v>6660</v>
      </c>
      <c r="B308" s="2">
        <v>1038</v>
      </c>
      <c r="C308" s="2" t="s">
        <v>8381</v>
      </c>
      <c r="D308" s="3" t="s">
        <v>14206</v>
      </c>
      <c r="F308" s="3" t="s">
        <v>1891</v>
      </c>
    </row>
    <row r="309" spans="1:7" x14ac:dyDescent="0.3">
      <c r="A309" s="33">
        <v>6661</v>
      </c>
      <c r="B309" s="2">
        <v>1832</v>
      </c>
      <c r="C309" s="2" t="s">
        <v>8387</v>
      </c>
      <c r="D309" s="3" t="s">
        <v>14206</v>
      </c>
      <c r="F309" s="3" t="s">
        <v>491</v>
      </c>
    </row>
    <row r="310" spans="1:7" x14ac:dyDescent="0.3">
      <c r="A310" s="33">
        <v>6677</v>
      </c>
      <c r="B310" s="2">
        <v>1833</v>
      </c>
      <c r="C310" s="2" t="s">
        <v>8394</v>
      </c>
      <c r="D310" s="3" t="s">
        <v>14206</v>
      </c>
      <c r="F310" s="3" t="s">
        <v>261</v>
      </c>
    </row>
    <row r="311" spans="1:7" x14ac:dyDescent="0.3">
      <c r="A311" s="33">
        <v>6695</v>
      </c>
      <c r="B311" s="2">
        <v>1039</v>
      </c>
      <c r="C311" s="2" t="s">
        <v>8402</v>
      </c>
      <c r="D311" s="3" t="s">
        <v>14206</v>
      </c>
      <c r="F311" s="3" t="s">
        <v>713</v>
      </c>
    </row>
    <row r="312" spans="1:7" x14ac:dyDescent="0.3">
      <c r="A312" s="33">
        <v>6703</v>
      </c>
      <c r="B312" s="2">
        <v>1834</v>
      </c>
      <c r="C312" s="2" t="s">
        <v>8408</v>
      </c>
      <c r="D312" s="3" t="s">
        <v>14206</v>
      </c>
      <c r="F312" s="3" t="s">
        <v>1903</v>
      </c>
    </row>
    <row r="313" spans="1:7" x14ac:dyDescent="0.3">
      <c r="A313" s="33">
        <v>6704</v>
      </c>
      <c r="B313" s="2">
        <v>1040</v>
      </c>
      <c r="C313" s="2" t="s">
        <v>8415</v>
      </c>
      <c r="D313" s="3" t="s">
        <v>14206</v>
      </c>
      <c r="F313" s="3" t="s">
        <v>1952</v>
      </c>
    </row>
    <row r="314" spans="1:7" x14ac:dyDescent="0.3">
      <c r="A314" s="33">
        <v>6710</v>
      </c>
      <c r="B314" s="2">
        <v>1835</v>
      </c>
      <c r="C314" s="2" t="s">
        <v>8421</v>
      </c>
      <c r="D314" s="3" t="s">
        <v>14206</v>
      </c>
      <c r="F314" s="3" t="s">
        <v>261</v>
      </c>
    </row>
    <row r="315" spans="1:7" x14ac:dyDescent="0.3">
      <c r="A315" s="33">
        <v>6722</v>
      </c>
      <c r="B315" s="2">
        <v>1836</v>
      </c>
      <c r="C315" s="2" t="s">
        <v>8425</v>
      </c>
      <c r="D315" s="3" t="s">
        <v>14206</v>
      </c>
      <c r="F315" s="3" t="s">
        <v>1903</v>
      </c>
      <c r="G315" s="3" t="s">
        <v>487</v>
      </c>
    </row>
    <row r="316" spans="1:7" x14ac:dyDescent="0.3">
      <c r="A316" s="33">
        <v>6729</v>
      </c>
      <c r="B316" s="2">
        <v>1041</v>
      </c>
      <c r="C316" s="2" t="s">
        <v>8431</v>
      </c>
      <c r="D316" s="3" t="s">
        <v>14207</v>
      </c>
      <c r="F316" s="3" t="s">
        <v>1915</v>
      </c>
    </row>
    <row r="317" spans="1:7" x14ac:dyDescent="0.3">
      <c r="A317" s="33">
        <v>6730</v>
      </c>
      <c r="B317" s="2">
        <v>1042</v>
      </c>
      <c r="C317" s="2" t="s">
        <v>8436</v>
      </c>
      <c r="D317" s="3" t="s">
        <v>14207</v>
      </c>
      <c r="F317" s="3" t="s">
        <v>504</v>
      </c>
    </row>
    <row r="318" spans="1:7" x14ac:dyDescent="0.3">
      <c r="A318" s="33">
        <v>6738</v>
      </c>
      <c r="B318" s="2">
        <v>1043</v>
      </c>
      <c r="C318" s="2" t="s">
        <v>8443</v>
      </c>
      <c r="D318" s="3" t="s">
        <v>14206</v>
      </c>
      <c r="F318" s="3" t="s">
        <v>469</v>
      </c>
    </row>
    <row r="319" spans="1:7" x14ac:dyDescent="0.3">
      <c r="A319" s="33">
        <v>6741</v>
      </c>
      <c r="B319" s="2">
        <v>1837</v>
      </c>
      <c r="C319" s="2" t="s">
        <v>8451</v>
      </c>
      <c r="D319" s="3" t="s">
        <v>14206</v>
      </c>
      <c r="F319" s="3" t="s">
        <v>11</v>
      </c>
      <c r="G319" s="3" t="s">
        <v>487</v>
      </c>
    </row>
    <row r="320" spans="1:7" x14ac:dyDescent="0.3">
      <c r="A320" s="33">
        <v>6750</v>
      </c>
      <c r="B320" s="2">
        <v>1838</v>
      </c>
      <c r="C320" s="2" t="s">
        <v>8457</v>
      </c>
      <c r="D320" s="3" t="s">
        <v>14206</v>
      </c>
      <c r="F320" s="3" t="s">
        <v>1270</v>
      </c>
    </row>
    <row r="321" spans="1:9" x14ac:dyDescent="0.3">
      <c r="A321" s="33">
        <v>6756</v>
      </c>
      <c r="B321" s="2">
        <v>1044</v>
      </c>
      <c r="C321" s="2" t="s">
        <v>8464</v>
      </c>
      <c r="D321" s="3" t="s">
        <v>14206</v>
      </c>
      <c r="F321" s="3" t="s">
        <v>713</v>
      </c>
    </row>
    <row r="322" spans="1:9" x14ac:dyDescent="0.3">
      <c r="A322" s="33">
        <v>6761</v>
      </c>
      <c r="B322" s="2">
        <v>1045</v>
      </c>
      <c r="C322" s="2" t="s">
        <v>8471</v>
      </c>
      <c r="D322" s="3" t="s">
        <v>14206</v>
      </c>
      <c r="F322" s="3" t="s">
        <v>648</v>
      </c>
      <c r="I322" s="3" t="s">
        <v>1638</v>
      </c>
    </row>
    <row r="323" spans="1:9" x14ac:dyDescent="0.3">
      <c r="A323" s="33">
        <v>6765</v>
      </c>
      <c r="B323" s="2">
        <v>1839</v>
      </c>
      <c r="C323" s="2" t="s">
        <v>8478</v>
      </c>
      <c r="D323" s="3" t="s">
        <v>14206</v>
      </c>
      <c r="F323" s="3" t="s">
        <v>568</v>
      </c>
    </row>
    <row r="324" spans="1:9" x14ac:dyDescent="0.3">
      <c r="A324" s="33">
        <v>6766</v>
      </c>
      <c r="B324" s="2">
        <v>1840</v>
      </c>
      <c r="C324" s="2" t="s">
        <v>8486</v>
      </c>
      <c r="D324" s="3" t="s">
        <v>14206</v>
      </c>
      <c r="F324" s="3" t="s">
        <v>568</v>
      </c>
    </row>
    <row r="325" spans="1:9" x14ac:dyDescent="0.3">
      <c r="A325" s="33">
        <v>6769</v>
      </c>
      <c r="B325" s="2">
        <v>1841</v>
      </c>
      <c r="C325" s="2" t="s">
        <v>8492</v>
      </c>
      <c r="D325" s="3" t="s">
        <v>14206</v>
      </c>
      <c r="F325" s="3" t="s">
        <v>269</v>
      </c>
      <c r="I325" s="3" t="s">
        <v>1512</v>
      </c>
    </row>
    <row r="326" spans="1:9" x14ac:dyDescent="0.3">
      <c r="A326" s="33">
        <v>6770</v>
      </c>
      <c r="B326" s="2">
        <v>1842</v>
      </c>
      <c r="C326" s="2" t="s">
        <v>8499</v>
      </c>
      <c r="D326" s="3" t="s">
        <v>14206</v>
      </c>
      <c r="F326" s="3" t="s">
        <v>491</v>
      </c>
    </row>
    <row r="327" spans="1:9" x14ac:dyDescent="0.3">
      <c r="A327" s="33">
        <v>6782</v>
      </c>
      <c r="B327" s="2">
        <v>1046</v>
      </c>
      <c r="C327" s="2" t="s">
        <v>8506</v>
      </c>
      <c r="D327" s="3" t="s">
        <v>14206</v>
      </c>
      <c r="F327" s="3" t="s">
        <v>1949</v>
      </c>
    </row>
    <row r="328" spans="1:9" x14ac:dyDescent="0.3">
      <c r="A328" s="33">
        <v>6786</v>
      </c>
      <c r="B328" s="2">
        <v>1047</v>
      </c>
      <c r="C328" s="2" t="s">
        <v>8513</v>
      </c>
      <c r="D328" s="3" t="s">
        <v>14206</v>
      </c>
      <c r="F328" s="3" t="s">
        <v>600</v>
      </c>
    </row>
    <row r="329" spans="1:9" x14ac:dyDescent="0.3">
      <c r="A329" s="33">
        <v>6792</v>
      </c>
      <c r="B329" s="2">
        <v>1843</v>
      </c>
      <c r="C329" s="2" t="s">
        <v>8520</v>
      </c>
      <c r="D329" s="3" t="s">
        <v>14206</v>
      </c>
      <c r="F329" s="3" t="s">
        <v>269</v>
      </c>
    </row>
    <row r="330" spans="1:9" x14ac:dyDescent="0.3">
      <c r="A330" s="33">
        <v>6800</v>
      </c>
      <c r="B330" s="2">
        <v>1048</v>
      </c>
      <c r="C330" s="2" t="s">
        <v>8525</v>
      </c>
      <c r="D330" s="3" t="s">
        <v>14206</v>
      </c>
      <c r="F330" s="3" t="s">
        <v>1328</v>
      </c>
    </row>
    <row r="331" spans="1:9" x14ac:dyDescent="0.3">
      <c r="A331" s="33">
        <v>6801</v>
      </c>
      <c r="B331" s="2">
        <v>1049</v>
      </c>
      <c r="C331" s="2" t="s">
        <v>8532</v>
      </c>
      <c r="D331" s="3" t="s">
        <v>14206</v>
      </c>
      <c r="F331" s="3" t="s">
        <v>1328</v>
      </c>
    </row>
    <row r="332" spans="1:9" x14ac:dyDescent="0.3">
      <c r="A332" s="33">
        <v>6802</v>
      </c>
      <c r="B332" s="2">
        <v>1844</v>
      </c>
      <c r="C332" s="2" t="s">
        <v>8538</v>
      </c>
      <c r="D332" s="3" t="s">
        <v>14206</v>
      </c>
      <c r="F332" s="3" t="s">
        <v>491</v>
      </c>
    </row>
    <row r="333" spans="1:9" x14ac:dyDescent="0.3">
      <c r="A333" s="33">
        <v>6813</v>
      </c>
      <c r="B333" s="2">
        <v>1050</v>
      </c>
      <c r="C333" s="2" t="s">
        <v>8545</v>
      </c>
      <c r="D333" s="3" t="s">
        <v>14206</v>
      </c>
      <c r="F333" s="3" t="s">
        <v>1130</v>
      </c>
    </row>
    <row r="334" spans="1:9" x14ac:dyDescent="0.3">
      <c r="A334" s="33">
        <v>6814</v>
      </c>
      <c r="B334" s="2">
        <v>1051</v>
      </c>
      <c r="C334" s="2" t="s">
        <v>8552</v>
      </c>
      <c r="D334" s="3" t="s">
        <v>14206</v>
      </c>
      <c r="F334" s="3" t="s">
        <v>1130</v>
      </c>
    </row>
    <row r="335" spans="1:9" x14ac:dyDescent="0.3">
      <c r="A335" s="33">
        <v>6815</v>
      </c>
      <c r="B335" s="2">
        <v>1052</v>
      </c>
      <c r="C335" s="2" t="s">
        <v>8558</v>
      </c>
      <c r="D335" s="3" t="s">
        <v>14206</v>
      </c>
      <c r="F335" s="3" t="s">
        <v>1130</v>
      </c>
    </row>
    <row r="336" spans="1:9" x14ac:dyDescent="0.3">
      <c r="A336" s="33">
        <v>6816</v>
      </c>
      <c r="B336" s="2">
        <v>1053</v>
      </c>
      <c r="C336" s="2" t="s">
        <v>8564</v>
      </c>
      <c r="D336" s="3" t="s">
        <v>14206</v>
      </c>
      <c r="F336" s="3" t="s">
        <v>1130</v>
      </c>
    </row>
    <row r="337" spans="1:9" x14ac:dyDescent="0.3">
      <c r="A337" s="33">
        <v>6817</v>
      </c>
      <c r="B337" s="2">
        <v>1054</v>
      </c>
      <c r="C337" s="2" t="s">
        <v>8570</v>
      </c>
      <c r="D337" s="3" t="s">
        <v>14206</v>
      </c>
      <c r="F337" s="3" t="s">
        <v>1130</v>
      </c>
    </row>
    <row r="338" spans="1:9" x14ac:dyDescent="0.3">
      <c r="A338" s="33">
        <v>6818</v>
      </c>
      <c r="B338" s="2">
        <v>1055</v>
      </c>
      <c r="C338" s="2" t="s">
        <v>8576</v>
      </c>
      <c r="D338" s="3" t="s">
        <v>14206</v>
      </c>
      <c r="F338" s="3" t="s">
        <v>1130</v>
      </c>
    </row>
    <row r="339" spans="1:9" x14ac:dyDescent="0.3">
      <c r="A339" s="33">
        <v>6819</v>
      </c>
      <c r="B339" s="2">
        <v>1056</v>
      </c>
      <c r="C339" s="2" t="s">
        <v>8581</v>
      </c>
      <c r="D339" s="3" t="s">
        <v>14206</v>
      </c>
      <c r="F339" s="3" t="s">
        <v>1130</v>
      </c>
    </row>
    <row r="340" spans="1:9" x14ac:dyDescent="0.3">
      <c r="A340" s="33">
        <v>6820</v>
      </c>
      <c r="B340" s="2">
        <v>1057</v>
      </c>
      <c r="C340" s="2" t="s">
        <v>8586</v>
      </c>
      <c r="D340" s="3" t="s">
        <v>14206</v>
      </c>
      <c r="F340" s="3" t="s">
        <v>1130</v>
      </c>
    </row>
    <row r="341" spans="1:9" x14ac:dyDescent="0.3">
      <c r="A341" s="33">
        <v>6821</v>
      </c>
      <c r="B341" s="2">
        <v>1058</v>
      </c>
      <c r="C341" s="2" t="s">
        <v>8545</v>
      </c>
      <c r="D341" s="3" t="s">
        <v>14206</v>
      </c>
      <c r="F341" s="3" t="s">
        <v>1130</v>
      </c>
    </row>
    <row r="342" spans="1:9" x14ac:dyDescent="0.3">
      <c r="A342" s="33">
        <v>6822</v>
      </c>
      <c r="B342" s="2">
        <v>1059</v>
      </c>
      <c r="C342" s="2" t="s">
        <v>8552</v>
      </c>
      <c r="D342" s="3" t="s">
        <v>14206</v>
      </c>
      <c r="F342" s="3" t="s">
        <v>1130</v>
      </c>
    </row>
    <row r="343" spans="1:9" x14ac:dyDescent="0.3">
      <c r="A343" s="33">
        <v>6823</v>
      </c>
      <c r="B343" s="2">
        <v>1060</v>
      </c>
      <c r="C343" s="2" t="s">
        <v>8558</v>
      </c>
      <c r="D343" s="3" t="s">
        <v>14206</v>
      </c>
      <c r="F343" s="3" t="s">
        <v>1130</v>
      </c>
    </row>
    <row r="344" spans="1:9" x14ac:dyDescent="0.3">
      <c r="A344" s="33">
        <v>6824</v>
      </c>
      <c r="B344" s="2">
        <v>1061</v>
      </c>
      <c r="C344" s="2" t="s">
        <v>8564</v>
      </c>
      <c r="D344" s="3" t="s">
        <v>14206</v>
      </c>
      <c r="F344" s="3" t="s">
        <v>1130</v>
      </c>
    </row>
    <row r="345" spans="1:9" x14ac:dyDescent="0.3">
      <c r="A345" s="33">
        <v>6825</v>
      </c>
      <c r="B345" s="2">
        <v>1062</v>
      </c>
      <c r="C345" s="2" t="s">
        <v>8570</v>
      </c>
      <c r="D345" s="3" t="s">
        <v>14206</v>
      </c>
      <c r="F345" s="3" t="s">
        <v>1130</v>
      </c>
    </row>
    <row r="346" spans="1:9" x14ac:dyDescent="0.3">
      <c r="A346" s="33">
        <v>6826</v>
      </c>
      <c r="B346" s="2">
        <v>1063</v>
      </c>
      <c r="C346" s="2" t="s">
        <v>8576</v>
      </c>
      <c r="D346" s="3" t="s">
        <v>14206</v>
      </c>
      <c r="F346" s="3" t="s">
        <v>1130</v>
      </c>
    </row>
    <row r="347" spans="1:9" x14ac:dyDescent="0.3">
      <c r="A347" s="33">
        <v>6829</v>
      </c>
      <c r="B347" s="2">
        <v>1845</v>
      </c>
      <c r="C347" s="2" t="s">
        <v>8605</v>
      </c>
      <c r="D347" s="3" t="s">
        <v>14206</v>
      </c>
      <c r="F347" s="3" t="s">
        <v>568</v>
      </c>
    </row>
    <row r="348" spans="1:9" x14ac:dyDescent="0.3">
      <c r="A348" s="33">
        <v>6835</v>
      </c>
      <c r="B348" s="2">
        <v>1064</v>
      </c>
      <c r="C348" s="2" t="s">
        <v>8611</v>
      </c>
      <c r="D348" s="3" t="s">
        <v>14206</v>
      </c>
      <c r="F348" s="3" t="s">
        <v>600</v>
      </c>
      <c r="I348" s="3" t="s">
        <v>1512</v>
      </c>
    </row>
    <row r="349" spans="1:9" x14ac:dyDescent="0.3">
      <c r="A349" s="33">
        <v>6836</v>
      </c>
      <c r="B349" s="2">
        <v>1065</v>
      </c>
      <c r="C349" s="2" t="s">
        <v>8618</v>
      </c>
      <c r="D349" s="3" t="s">
        <v>14206</v>
      </c>
      <c r="F349" s="3" t="s">
        <v>600</v>
      </c>
    </row>
    <row r="350" spans="1:9" x14ac:dyDescent="0.3">
      <c r="A350" s="33">
        <v>6874</v>
      </c>
      <c r="B350" s="2">
        <v>1846</v>
      </c>
      <c r="C350" s="2" t="s">
        <v>8624</v>
      </c>
      <c r="D350" s="3" t="s">
        <v>14206</v>
      </c>
      <c r="F350" s="3" t="s">
        <v>261</v>
      </c>
    </row>
    <row r="351" spans="1:9" x14ac:dyDescent="0.3">
      <c r="A351" s="33">
        <v>6876</v>
      </c>
      <c r="B351" s="2">
        <v>1847</v>
      </c>
      <c r="C351" s="2" t="s">
        <v>8629</v>
      </c>
      <c r="D351" s="3" t="s">
        <v>14206</v>
      </c>
      <c r="F351" s="3" t="s">
        <v>261</v>
      </c>
    </row>
    <row r="352" spans="1:9" x14ac:dyDescent="0.3">
      <c r="A352" s="33">
        <v>6923</v>
      </c>
      <c r="B352" s="2">
        <v>1066</v>
      </c>
      <c r="C352" s="2" t="s">
        <v>8633</v>
      </c>
      <c r="D352" s="3" t="s">
        <v>14206</v>
      </c>
      <c r="F352" s="3" t="s">
        <v>469</v>
      </c>
    </row>
    <row r="353" spans="1:9" x14ac:dyDescent="0.3">
      <c r="A353" s="33">
        <v>6928</v>
      </c>
      <c r="B353" s="2">
        <v>1848</v>
      </c>
      <c r="C353" s="2" t="s">
        <v>8640</v>
      </c>
      <c r="D353" s="3" t="s">
        <v>14207</v>
      </c>
      <c r="F353" s="3" t="s">
        <v>721</v>
      </c>
    </row>
    <row r="354" spans="1:9" x14ac:dyDescent="0.3">
      <c r="A354" s="33">
        <v>6931</v>
      </c>
      <c r="B354" s="2">
        <v>1067</v>
      </c>
      <c r="C354" s="2" t="s">
        <v>8646</v>
      </c>
      <c r="D354" s="3" t="s">
        <v>14206</v>
      </c>
      <c r="F354" s="3" t="s">
        <v>648</v>
      </c>
    </row>
    <row r="355" spans="1:9" x14ac:dyDescent="0.3">
      <c r="A355" s="33">
        <v>6945</v>
      </c>
      <c r="B355" s="2">
        <v>1068</v>
      </c>
      <c r="C355" s="2" t="s">
        <v>8655</v>
      </c>
      <c r="D355" s="3" t="s">
        <v>14206</v>
      </c>
      <c r="F355" s="3" t="s">
        <v>426</v>
      </c>
    </row>
    <row r="356" spans="1:9" x14ac:dyDescent="0.3">
      <c r="A356" s="33">
        <v>6960</v>
      </c>
      <c r="B356" s="2">
        <v>1069</v>
      </c>
      <c r="C356" s="2" t="s">
        <v>8668</v>
      </c>
      <c r="D356" s="3" t="s">
        <v>14206</v>
      </c>
      <c r="F356" s="3" t="s">
        <v>962</v>
      </c>
    </row>
    <row r="357" spans="1:9" x14ac:dyDescent="0.3">
      <c r="A357" s="33">
        <v>6968</v>
      </c>
      <c r="B357" s="2">
        <v>1850</v>
      </c>
      <c r="C357" s="2" t="s">
        <v>8674</v>
      </c>
      <c r="D357" s="3" t="s">
        <v>14206</v>
      </c>
      <c r="F357" s="3" t="s">
        <v>656</v>
      </c>
    </row>
    <row r="358" spans="1:9" x14ac:dyDescent="0.3">
      <c r="A358" s="33">
        <v>6970</v>
      </c>
      <c r="B358" s="2">
        <v>1070</v>
      </c>
      <c r="C358" s="2" t="s">
        <v>8681</v>
      </c>
      <c r="D358" s="3" t="s">
        <v>14207</v>
      </c>
      <c r="F358" s="3" t="s">
        <v>648</v>
      </c>
      <c r="I358" s="3" t="s">
        <v>443</v>
      </c>
    </row>
    <row r="359" spans="1:9" x14ac:dyDescent="0.3">
      <c r="A359" s="33">
        <v>6978</v>
      </c>
      <c r="B359" s="2">
        <v>1071</v>
      </c>
      <c r="C359" s="2" t="s">
        <v>8689</v>
      </c>
      <c r="D359" s="3" t="s">
        <v>14206</v>
      </c>
      <c r="F359" s="3" t="s">
        <v>846</v>
      </c>
    </row>
    <row r="360" spans="1:9" x14ac:dyDescent="0.3">
      <c r="A360" s="33">
        <v>7000</v>
      </c>
      <c r="B360" s="2">
        <v>1851</v>
      </c>
      <c r="C360" s="2" t="s">
        <v>8697</v>
      </c>
      <c r="D360" s="3" t="s">
        <v>14207</v>
      </c>
      <c r="F360" s="3" t="s">
        <v>193</v>
      </c>
    </row>
    <row r="361" spans="1:9" x14ac:dyDescent="0.3">
      <c r="A361" s="33">
        <v>7004</v>
      </c>
      <c r="B361" s="2">
        <v>1072</v>
      </c>
      <c r="C361" s="2" t="s">
        <v>8704</v>
      </c>
      <c r="D361" s="3" t="s">
        <v>14206</v>
      </c>
      <c r="F361" s="3" t="s">
        <v>1882</v>
      </c>
    </row>
    <row r="362" spans="1:9" x14ac:dyDescent="0.3">
      <c r="A362" s="33">
        <v>7005</v>
      </c>
      <c r="B362" s="2">
        <v>1852</v>
      </c>
      <c r="C362" s="2" t="s">
        <v>8712</v>
      </c>
      <c r="D362" s="3" t="s">
        <v>14206</v>
      </c>
      <c r="F362" s="3" t="s">
        <v>269</v>
      </c>
    </row>
    <row r="363" spans="1:9" x14ac:dyDescent="0.3">
      <c r="A363" s="33">
        <v>7006</v>
      </c>
      <c r="B363" s="2">
        <v>1853</v>
      </c>
      <c r="C363" s="2" t="s">
        <v>8719</v>
      </c>
      <c r="D363" s="3" t="s">
        <v>14206</v>
      </c>
      <c r="F363" s="3" t="s">
        <v>269</v>
      </c>
    </row>
    <row r="364" spans="1:9" x14ac:dyDescent="0.3">
      <c r="A364" s="33">
        <v>7018</v>
      </c>
      <c r="B364" s="2">
        <v>1854</v>
      </c>
      <c r="C364" s="2" t="s">
        <v>8725</v>
      </c>
      <c r="D364" s="3" t="s">
        <v>14206</v>
      </c>
      <c r="F364" s="3" t="s">
        <v>289</v>
      </c>
    </row>
    <row r="365" spans="1:9" x14ac:dyDescent="0.3">
      <c r="A365" s="33">
        <v>7024</v>
      </c>
      <c r="B365" s="2">
        <v>1074</v>
      </c>
      <c r="C365" s="2" t="s">
        <v>8737</v>
      </c>
      <c r="D365" s="3" t="s">
        <v>2064</v>
      </c>
      <c r="F365" s="3" t="s">
        <v>648</v>
      </c>
    </row>
    <row r="366" spans="1:9" x14ac:dyDescent="0.3">
      <c r="A366" s="33">
        <v>7027</v>
      </c>
      <c r="B366" s="2">
        <v>1855</v>
      </c>
      <c r="C366" s="2" t="s">
        <v>8742</v>
      </c>
      <c r="D366" s="3" t="s">
        <v>14206</v>
      </c>
      <c r="F366" s="3" t="s">
        <v>269</v>
      </c>
      <c r="I366" s="3" t="s">
        <v>1512</v>
      </c>
    </row>
    <row r="367" spans="1:9" x14ac:dyDescent="0.3">
      <c r="A367" s="33">
        <v>7028</v>
      </c>
      <c r="B367" s="2">
        <v>1856</v>
      </c>
      <c r="C367" s="2" t="s">
        <v>8749</v>
      </c>
      <c r="D367" s="3" t="s">
        <v>14206</v>
      </c>
      <c r="F367" s="3" t="s">
        <v>269</v>
      </c>
      <c r="I367" s="3" t="s">
        <v>1512</v>
      </c>
    </row>
    <row r="368" spans="1:9" x14ac:dyDescent="0.3">
      <c r="A368" s="33">
        <v>7030</v>
      </c>
      <c r="B368" s="2">
        <v>1857</v>
      </c>
      <c r="C368" s="2" t="s">
        <v>8756</v>
      </c>
      <c r="D368" s="3" t="s">
        <v>14206</v>
      </c>
      <c r="F368" s="3" t="s">
        <v>2052</v>
      </c>
      <c r="I368" s="3" t="s">
        <v>1512</v>
      </c>
    </row>
    <row r="369" spans="1:9" x14ac:dyDescent="0.3">
      <c r="A369" s="33">
        <v>7035</v>
      </c>
      <c r="B369" s="2">
        <v>1858</v>
      </c>
      <c r="C369" s="2" t="s">
        <v>8764</v>
      </c>
      <c r="D369" s="3" t="s">
        <v>14206</v>
      </c>
      <c r="F369" s="3" t="s">
        <v>193</v>
      </c>
      <c r="I369" s="3" t="s">
        <v>762</v>
      </c>
    </row>
    <row r="370" spans="1:9" x14ac:dyDescent="0.3">
      <c r="A370" s="33">
        <v>7046</v>
      </c>
      <c r="B370" s="2">
        <v>1075</v>
      </c>
      <c r="C370" s="2" t="s">
        <v>8770</v>
      </c>
      <c r="D370" s="3" t="s">
        <v>14206</v>
      </c>
      <c r="F370" s="3" t="s">
        <v>727</v>
      </c>
    </row>
    <row r="371" spans="1:9" x14ac:dyDescent="0.3">
      <c r="A371" s="33">
        <v>7047</v>
      </c>
      <c r="B371" s="2">
        <v>1076</v>
      </c>
      <c r="C371" s="2" t="s">
        <v>8776</v>
      </c>
      <c r="D371" s="3" t="s">
        <v>14206</v>
      </c>
      <c r="F371" s="3" t="s">
        <v>504</v>
      </c>
    </row>
    <row r="372" spans="1:9" x14ac:dyDescent="0.3">
      <c r="A372" s="33">
        <v>7049</v>
      </c>
      <c r="B372" s="2">
        <v>1859</v>
      </c>
      <c r="C372" s="2" t="s">
        <v>8782</v>
      </c>
      <c r="D372" s="3" t="s">
        <v>14206</v>
      </c>
      <c r="F372" s="3" t="s">
        <v>922</v>
      </c>
    </row>
    <row r="373" spans="1:9" x14ac:dyDescent="0.3">
      <c r="A373" s="33">
        <v>7052</v>
      </c>
      <c r="B373" s="2">
        <v>1077</v>
      </c>
      <c r="C373" s="2" t="s">
        <v>8788</v>
      </c>
      <c r="D373" s="3" t="s">
        <v>14206</v>
      </c>
      <c r="F373" s="3" t="s">
        <v>1080</v>
      </c>
    </row>
    <row r="374" spans="1:9" x14ac:dyDescent="0.3">
      <c r="A374" s="33">
        <v>7055</v>
      </c>
      <c r="B374" s="2">
        <v>1078</v>
      </c>
      <c r="C374" s="2" t="s">
        <v>8794</v>
      </c>
      <c r="D374" s="3" t="s">
        <v>14207</v>
      </c>
      <c r="F374" s="3" t="s">
        <v>2067</v>
      </c>
    </row>
    <row r="375" spans="1:9" x14ac:dyDescent="0.3">
      <c r="A375" s="33">
        <v>7057</v>
      </c>
      <c r="B375" s="2">
        <v>1860</v>
      </c>
      <c r="C375" s="2" t="s">
        <v>8800</v>
      </c>
      <c r="D375" s="3" t="s">
        <v>14206</v>
      </c>
      <c r="F375" s="3" t="s">
        <v>491</v>
      </c>
      <c r="I375" s="3" t="s">
        <v>1512</v>
      </c>
    </row>
    <row r="376" spans="1:9" x14ac:dyDescent="0.3">
      <c r="A376" s="33">
        <v>7059</v>
      </c>
      <c r="B376" s="2">
        <v>1861</v>
      </c>
      <c r="C376" s="2" t="s">
        <v>8806</v>
      </c>
      <c r="D376" s="3" t="s">
        <v>14206</v>
      </c>
      <c r="F376" s="3" t="s">
        <v>491</v>
      </c>
    </row>
    <row r="377" spans="1:9" x14ac:dyDescent="0.3">
      <c r="A377" s="33">
        <v>7061</v>
      </c>
      <c r="B377" s="2">
        <v>1079</v>
      </c>
      <c r="C377" s="2" t="s">
        <v>8813</v>
      </c>
      <c r="D377" s="3" t="s">
        <v>14207</v>
      </c>
      <c r="F377" s="3" t="s">
        <v>426</v>
      </c>
    </row>
    <row r="378" spans="1:9" x14ac:dyDescent="0.3">
      <c r="A378" s="33">
        <v>7081</v>
      </c>
      <c r="B378" s="2">
        <v>1080</v>
      </c>
      <c r="C378" s="2" t="s">
        <v>8821</v>
      </c>
      <c r="D378" s="3" t="s">
        <v>14221</v>
      </c>
      <c r="F378" s="3" t="s">
        <v>713</v>
      </c>
    </row>
    <row r="379" spans="1:9" x14ac:dyDescent="0.3">
      <c r="A379" s="33">
        <v>7082</v>
      </c>
      <c r="B379" s="2">
        <v>1081</v>
      </c>
      <c r="C379" s="2" t="s">
        <v>8829</v>
      </c>
      <c r="D379" s="3" t="s">
        <v>14206</v>
      </c>
      <c r="F379" s="3" t="s">
        <v>713</v>
      </c>
    </row>
    <row r="380" spans="1:9" x14ac:dyDescent="0.3">
      <c r="A380" s="33">
        <v>7086</v>
      </c>
      <c r="B380" s="2">
        <v>1082</v>
      </c>
      <c r="C380" s="2" t="s">
        <v>8837</v>
      </c>
      <c r="D380" s="3" t="s">
        <v>14206</v>
      </c>
      <c r="F380" s="3" t="s">
        <v>810</v>
      </c>
    </row>
    <row r="381" spans="1:9" x14ac:dyDescent="0.3">
      <c r="A381" s="33">
        <v>7087</v>
      </c>
      <c r="B381" s="2">
        <v>1862</v>
      </c>
      <c r="C381" s="2" t="s">
        <v>8844</v>
      </c>
      <c r="D381" s="3" t="s">
        <v>14206</v>
      </c>
      <c r="F381" s="3" t="s">
        <v>66</v>
      </c>
    </row>
    <row r="382" spans="1:9" x14ac:dyDescent="0.3">
      <c r="A382" s="33">
        <v>7120</v>
      </c>
      <c r="B382" s="2">
        <v>1863</v>
      </c>
      <c r="C382" s="2" t="s">
        <v>8850</v>
      </c>
      <c r="D382" s="3" t="s">
        <v>14206</v>
      </c>
      <c r="F382" s="3" t="s">
        <v>491</v>
      </c>
    </row>
    <row r="383" spans="1:9" x14ac:dyDescent="0.3">
      <c r="A383" s="33">
        <v>7122</v>
      </c>
      <c r="B383" s="2">
        <v>1864</v>
      </c>
      <c r="C383" s="2" t="s">
        <v>8856</v>
      </c>
      <c r="D383" s="3" t="s">
        <v>14206</v>
      </c>
      <c r="F383" s="3" t="s">
        <v>721</v>
      </c>
    </row>
    <row r="384" spans="1:9" x14ac:dyDescent="0.3">
      <c r="A384" s="33">
        <v>7126</v>
      </c>
      <c r="B384" s="2">
        <v>1083</v>
      </c>
      <c r="C384" s="2" t="s">
        <v>8862</v>
      </c>
      <c r="D384" s="3" t="s">
        <v>14206</v>
      </c>
      <c r="F384" s="3" t="s">
        <v>2116</v>
      </c>
    </row>
    <row r="385" spans="1:6" x14ac:dyDescent="0.3">
      <c r="A385" s="33">
        <v>7130</v>
      </c>
      <c r="B385" s="2">
        <v>1865</v>
      </c>
      <c r="C385" s="2" t="s">
        <v>8869</v>
      </c>
      <c r="D385" s="3" t="s">
        <v>14207</v>
      </c>
      <c r="F385" s="3" t="s">
        <v>412</v>
      </c>
    </row>
    <row r="386" spans="1:6" x14ac:dyDescent="0.3">
      <c r="A386" s="33">
        <v>7135</v>
      </c>
      <c r="B386" s="2">
        <v>1866</v>
      </c>
      <c r="C386" s="2" t="s">
        <v>8875</v>
      </c>
      <c r="D386" s="3" t="s">
        <v>14207</v>
      </c>
      <c r="F386" s="3" t="s">
        <v>11</v>
      </c>
    </row>
    <row r="387" spans="1:6" x14ac:dyDescent="0.3">
      <c r="A387" s="33">
        <v>7145</v>
      </c>
      <c r="B387" s="2">
        <v>1084</v>
      </c>
      <c r="C387" s="2" t="s">
        <v>8881</v>
      </c>
      <c r="D387" s="3" t="s">
        <v>14206</v>
      </c>
      <c r="F387" s="3" t="s">
        <v>504</v>
      </c>
    </row>
    <row r="388" spans="1:6" x14ac:dyDescent="0.3">
      <c r="A388" s="33">
        <v>7158</v>
      </c>
      <c r="B388" s="2">
        <v>1085</v>
      </c>
      <c r="C388" s="2" t="s">
        <v>8888</v>
      </c>
      <c r="D388" s="3" t="s">
        <v>14206</v>
      </c>
      <c r="F388" s="3" t="s">
        <v>469</v>
      </c>
    </row>
    <row r="389" spans="1:6" x14ac:dyDescent="0.3">
      <c r="A389" s="33">
        <v>7170</v>
      </c>
      <c r="B389" s="2">
        <v>1867</v>
      </c>
      <c r="C389" s="2" t="s">
        <v>8903</v>
      </c>
      <c r="D389" s="3" t="s">
        <v>14207</v>
      </c>
      <c r="F389" s="3" t="s">
        <v>66</v>
      </c>
    </row>
    <row r="390" spans="1:6" x14ac:dyDescent="0.3">
      <c r="A390" s="33">
        <v>7174</v>
      </c>
      <c r="B390" s="2">
        <v>1868</v>
      </c>
      <c r="C390" s="2" t="s">
        <v>8911</v>
      </c>
      <c r="D390" s="3" t="s">
        <v>14206</v>
      </c>
      <c r="F390" s="3" t="s">
        <v>568</v>
      </c>
    </row>
    <row r="391" spans="1:6" ht="41.4" x14ac:dyDescent="0.3">
      <c r="A391" s="33">
        <v>7180</v>
      </c>
      <c r="B391" s="2">
        <v>1087</v>
      </c>
      <c r="C391" s="2" t="s">
        <v>8918</v>
      </c>
      <c r="D391" s="29" t="s">
        <v>14222</v>
      </c>
      <c r="F391" s="3" t="s">
        <v>2113</v>
      </c>
    </row>
    <row r="392" spans="1:6" x14ac:dyDescent="0.3">
      <c r="A392" s="33">
        <v>7183</v>
      </c>
      <c r="B392" s="2">
        <v>1869</v>
      </c>
      <c r="C392" s="2" t="s">
        <v>8926</v>
      </c>
      <c r="D392" s="3" t="s">
        <v>14206</v>
      </c>
      <c r="F392" s="3" t="s">
        <v>568</v>
      </c>
    </row>
    <row r="393" spans="1:6" x14ac:dyDescent="0.3">
      <c r="A393" s="33">
        <v>7194</v>
      </c>
      <c r="B393" s="2">
        <v>1089</v>
      </c>
      <c r="C393" s="2" t="s">
        <v>8939</v>
      </c>
      <c r="D393" s="3" t="s">
        <v>14207</v>
      </c>
      <c r="F393" s="3" t="s">
        <v>426</v>
      </c>
    </row>
    <row r="394" spans="1:6" x14ac:dyDescent="0.3">
      <c r="A394" s="33">
        <v>7195</v>
      </c>
      <c r="B394" s="2">
        <v>1090</v>
      </c>
      <c r="C394" s="2" t="s">
        <v>8946</v>
      </c>
      <c r="D394" s="3" t="s">
        <v>14207</v>
      </c>
      <c r="F394" s="3" t="s">
        <v>426</v>
      </c>
    </row>
    <row r="395" spans="1:6" x14ac:dyDescent="0.3">
      <c r="A395" s="33">
        <v>7196</v>
      </c>
      <c r="B395" s="2">
        <v>1091</v>
      </c>
      <c r="C395" s="2" t="s">
        <v>8952</v>
      </c>
      <c r="D395" s="3" t="s">
        <v>14206</v>
      </c>
      <c r="F395" s="3" t="s">
        <v>108</v>
      </c>
    </row>
    <row r="396" spans="1:6" x14ac:dyDescent="0.3">
      <c r="A396" s="33">
        <v>7199</v>
      </c>
      <c r="B396" s="2">
        <v>1870</v>
      </c>
      <c r="C396" s="2" t="s">
        <v>8959</v>
      </c>
      <c r="D396" s="3" t="s">
        <v>14206</v>
      </c>
      <c r="F396" s="3" t="s">
        <v>11</v>
      </c>
    </row>
    <row r="397" spans="1:6" x14ac:dyDescent="0.3">
      <c r="A397" s="33">
        <v>7211</v>
      </c>
      <c r="B397" s="2">
        <v>1092</v>
      </c>
      <c r="C397" s="2" t="s">
        <v>8965</v>
      </c>
      <c r="D397" s="3" t="s">
        <v>14206</v>
      </c>
      <c r="F397" s="3" t="s">
        <v>2116</v>
      </c>
    </row>
    <row r="398" spans="1:6" x14ac:dyDescent="0.3">
      <c r="A398" s="33">
        <v>7233</v>
      </c>
      <c r="B398" s="2">
        <v>1093</v>
      </c>
      <c r="C398" s="2" t="s">
        <v>8980</v>
      </c>
      <c r="D398" s="3" t="s">
        <v>14207</v>
      </c>
      <c r="F398" s="3" t="s">
        <v>2138</v>
      </c>
    </row>
    <row r="399" spans="1:6" x14ac:dyDescent="0.3">
      <c r="A399" s="33">
        <v>7262</v>
      </c>
      <c r="B399" s="2">
        <v>1094</v>
      </c>
      <c r="C399" s="2" t="s">
        <v>8988</v>
      </c>
      <c r="D399" s="3" t="s">
        <v>14206</v>
      </c>
      <c r="F399" s="3" t="s">
        <v>1328</v>
      </c>
    </row>
    <row r="400" spans="1:6" x14ac:dyDescent="0.3">
      <c r="A400" s="33">
        <v>7263</v>
      </c>
      <c r="B400" s="2">
        <v>1095</v>
      </c>
      <c r="C400" s="2" t="s">
        <v>8995</v>
      </c>
      <c r="D400" s="3" t="s">
        <v>14206</v>
      </c>
      <c r="F400" s="3" t="s">
        <v>1328</v>
      </c>
    </row>
    <row r="401" spans="1:9" x14ac:dyDescent="0.3">
      <c r="A401" s="33">
        <v>7264</v>
      </c>
      <c r="B401" s="2">
        <v>1096</v>
      </c>
      <c r="C401" s="2" t="s">
        <v>9001</v>
      </c>
      <c r="D401" s="3" t="s">
        <v>14206</v>
      </c>
      <c r="F401" s="3" t="s">
        <v>2150</v>
      </c>
    </row>
    <row r="402" spans="1:9" x14ac:dyDescent="0.3">
      <c r="A402" s="33">
        <v>7272</v>
      </c>
      <c r="B402" s="2">
        <v>1097</v>
      </c>
      <c r="C402" s="2" t="s">
        <v>9007</v>
      </c>
      <c r="D402" s="3" t="s">
        <v>14206</v>
      </c>
      <c r="F402" s="3" t="s">
        <v>426</v>
      </c>
    </row>
    <row r="403" spans="1:9" x14ac:dyDescent="0.3">
      <c r="A403" s="33">
        <v>7273</v>
      </c>
      <c r="B403" s="2">
        <v>1098</v>
      </c>
      <c r="C403" s="2" t="s">
        <v>9014</v>
      </c>
      <c r="D403" s="3" t="s">
        <v>14207</v>
      </c>
      <c r="F403" s="3" t="s">
        <v>2151</v>
      </c>
    </row>
    <row r="404" spans="1:9" x14ac:dyDescent="0.3">
      <c r="A404" s="33">
        <v>7274</v>
      </c>
      <c r="B404" s="2">
        <v>1099</v>
      </c>
      <c r="C404" s="2" t="s">
        <v>9022</v>
      </c>
      <c r="D404" s="3" t="s">
        <v>14207</v>
      </c>
      <c r="F404" s="3" t="s">
        <v>2151</v>
      </c>
      <c r="I404" s="3" t="s">
        <v>443</v>
      </c>
    </row>
    <row r="405" spans="1:9" x14ac:dyDescent="0.3">
      <c r="A405" s="33">
        <v>7275</v>
      </c>
      <c r="B405" s="2">
        <v>1872</v>
      </c>
      <c r="C405" s="2" t="s">
        <v>9030</v>
      </c>
      <c r="D405" s="3" t="s">
        <v>14207</v>
      </c>
      <c r="F405" s="3" t="s">
        <v>412</v>
      </c>
    </row>
    <row r="406" spans="1:9" x14ac:dyDescent="0.3">
      <c r="A406" s="33">
        <v>7296</v>
      </c>
      <c r="B406" s="2">
        <v>1100</v>
      </c>
      <c r="C406" s="2" t="s">
        <v>9038</v>
      </c>
      <c r="D406" s="3" t="s">
        <v>14207</v>
      </c>
      <c r="F406" s="3" t="s">
        <v>2151</v>
      </c>
      <c r="I406" s="3" t="s">
        <v>443</v>
      </c>
    </row>
    <row r="407" spans="1:9" x14ac:dyDescent="0.3">
      <c r="A407" s="33">
        <v>7306</v>
      </c>
      <c r="B407" s="2">
        <v>1873</v>
      </c>
      <c r="C407" s="2" t="s">
        <v>9046</v>
      </c>
      <c r="D407" s="3" t="s">
        <v>14206</v>
      </c>
      <c r="F407" s="3" t="s">
        <v>1903</v>
      </c>
      <c r="I407" s="3" t="s">
        <v>2225</v>
      </c>
    </row>
    <row r="408" spans="1:9" x14ac:dyDescent="0.3">
      <c r="A408" s="33">
        <v>7307</v>
      </c>
      <c r="B408" s="2">
        <v>1101</v>
      </c>
      <c r="C408" s="2" t="s">
        <v>9054</v>
      </c>
      <c r="D408" s="3" t="s">
        <v>14207</v>
      </c>
      <c r="F408" s="3" t="s">
        <v>810</v>
      </c>
    </row>
    <row r="409" spans="1:9" x14ac:dyDescent="0.3">
      <c r="A409" s="33">
        <v>7311</v>
      </c>
      <c r="B409" s="2">
        <v>1874</v>
      </c>
      <c r="C409" s="2" t="s">
        <v>9060</v>
      </c>
      <c r="D409" s="3" t="s">
        <v>14207</v>
      </c>
      <c r="F409" s="3" t="s">
        <v>1144</v>
      </c>
    </row>
    <row r="410" spans="1:9" x14ac:dyDescent="0.3">
      <c r="A410" s="33">
        <v>7321</v>
      </c>
      <c r="B410" s="2">
        <v>1102</v>
      </c>
      <c r="C410" s="2" t="s">
        <v>9066</v>
      </c>
      <c r="D410" s="3" t="s">
        <v>14206</v>
      </c>
      <c r="F410" s="3" t="s">
        <v>2228</v>
      </c>
    </row>
    <row r="411" spans="1:9" x14ac:dyDescent="0.3">
      <c r="A411" s="33">
        <v>7324</v>
      </c>
      <c r="B411" s="2">
        <v>1103</v>
      </c>
      <c r="C411" s="2" t="s">
        <v>9073</v>
      </c>
      <c r="D411" s="3" t="s">
        <v>14206</v>
      </c>
      <c r="F411" s="3" t="s">
        <v>1328</v>
      </c>
    </row>
    <row r="412" spans="1:9" x14ac:dyDescent="0.3">
      <c r="A412" s="33">
        <v>7325</v>
      </c>
      <c r="B412" s="2">
        <v>1104</v>
      </c>
      <c r="C412" s="2" t="s">
        <v>9079</v>
      </c>
      <c r="D412" s="3" t="s">
        <v>14206</v>
      </c>
      <c r="F412" s="3" t="s">
        <v>2150</v>
      </c>
    </row>
    <row r="413" spans="1:9" x14ac:dyDescent="0.3">
      <c r="A413" s="33">
        <v>7383</v>
      </c>
      <c r="B413" s="2">
        <v>1878</v>
      </c>
      <c r="C413" s="2" t="s">
        <v>9110</v>
      </c>
      <c r="D413" s="3" t="s">
        <v>14206</v>
      </c>
      <c r="F413" s="3" t="s">
        <v>261</v>
      </c>
    </row>
    <row r="414" spans="1:9" x14ac:dyDescent="0.3">
      <c r="A414" s="33">
        <v>7393</v>
      </c>
      <c r="B414" s="2">
        <v>1106</v>
      </c>
      <c r="C414" s="2" t="s">
        <v>9128</v>
      </c>
      <c r="D414" s="3" t="s">
        <v>14207</v>
      </c>
      <c r="F414" s="3" t="s">
        <v>469</v>
      </c>
    </row>
    <row r="415" spans="1:9" x14ac:dyDescent="0.3">
      <c r="A415" s="33">
        <v>7407</v>
      </c>
      <c r="B415" s="2">
        <v>1881</v>
      </c>
      <c r="C415" s="2" t="s">
        <v>9134</v>
      </c>
      <c r="D415" s="3" t="s">
        <v>14207</v>
      </c>
      <c r="F415" s="3" t="s">
        <v>721</v>
      </c>
    </row>
    <row r="416" spans="1:9" x14ac:dyDescent="0.3">
      <c r="A416" s="33">
        <v>7413</v>
      </c>
      <c r="B416" s="2">
        <v>1107</v>
      </c>
      <c r="C416" s="2" t="s">
        <v>9148</v>
      </c>
      <c r="D416" s="3" t="s">
        <v>14206</v>
      </c>
      <c r="F416" s="3" t="s">
        <v>648</v>
      </c>
      <c r="I416" s="3" t="s">
        <v>2271</v>
      </c>
    </row>
    <row r="417" spans="1:9" x14ac:dyDescent="0.3">
      <c r="A417" s="33">
        <v>7432</v>
      </c>
      <c r="B417" s="2">
        <v>1884</v>
      </c>
      <c r="C417" s="2" t="s">
        <v>9161</v>
      </c>
      <c r="D417" s="3" t="s">
        <v>14206</v>
      </c>
      <c r="F417" s="3" t="s">
        <v>1903</v>
      </c>
    </row>
    <row r="418" spans="1:9" x14ac:dyDescent="0.3">
      <c r="A418" s="33">
        <v>7455</v>
      </c>
      <c r="B418" s="2">
        <v>1888</v>
      </c>
      <c r="C418" s="2" t="s">
        <v>9193</v>
      </c>
      <c r="D418" s="3" t="s">
        <v>14207</v>
      </c>
      <c r="F418" s="3" t="s">
        <v>50</v>
      </c>
    </row>
    <row r="419" spans="1:9" x14ac:dyDescent="0.3">
      <c r="A419" s="33">
        <v>7458</v>
      </c>
      <c r="B419" s="2">
        <v>1109</v>
      </c>
      <c r="C419" s="2" t="s">
        <v>9199</v>
      </c>
      <c r="D419" s="3" t="s">
        <v>14206</v>
      </c>
      <c r="F419" s="3" t="s">
        <v>30</v>
      </c>
    </row>
    <row r="420" spans="1:9" x14ac:dyDescent="0.3">
      <c r="A420" s="33">
        <v>7466</v>
      </c>
      <c r="B420" s="2">
        <v>1889</v>
      </c>
      <c r="C420" s="2" t="s">
        <v>9206</v>
      </c>
      <c r="D420" s="3" t="s">
        <v>14206</v>
      </c>
      <c r="F420" s="3" t="s">
        <v>289</v>
      </c>
    </row>
    <row r="421" spans="1:9" x14ac:dyDescent="0.3">
      <c r="A421" s="33">
        <v>7468</v>
      </c>
      <c r="B421" s="2">
        <v>1110</v>
      </c>
      <c r="C421" s="2" t="s">
        <v>9212</v>
      </c>
      <c r="D421" s="3" t="s">
        <v>14206</v>
      </c>
      <c r="F421" s="3" t="s">
        <v>412</v>
      </c>
    </row>
    <row r="422" spans="1:9" x14ac:dyDescent="0.3">
      <c r="A422" s="33">
        <v>7482</v>
      </c>
      <c r="B422" s="2">
        <v>1112</v>
      </c>
      <c r="C422" s="2" t="s">
        <v>9237</v>
      </c>
      <c r="D422" s="3" t="s">
        <v>14206</v>
      </c>
      <c r="F422" s="3" t="s">
        <v>2315</v>
      </c>
    </row>
    <row r="423" spans="1:9" x14ac:dyDescent="0.3">
      <c r="A423" s="33">
        <v>7485</v>
      </c>
      <c r="B423" s="2">
        <v>1113</v>
      </c>
      <c r="C423" s="2" t="s">
        <v>9244</v>
      </c>
      <c r="D423" s="3" t="s">
        <v>14206</v>
      </c>
      <c r="F423" s="3" t="s">
        <v>648</v>
      </c>
      <c r="I423" s="3" t="s">
        <v>2280</v>
      </c>
    </row>
    <row r="424" spans="1:9" x14ac:dyDescent="0.3">
      <c r="A424" s="33">
        <v>7487</v>
      </c>
      <c r="B424" s="2">
        <v>1892</v>
      </c>
      <c r="C424" s="2" t="s">
        <v>9250</v>
      </c>
      <c r="D424" s="3" t="s">
        <v>14206</v>
      </c>
      <c r="F424" s="3" t="s">
        <v>469</v>
      </c>
    </row>
    <row r="425" spans="1:9" x14ac:dyDescent="0.3">
      <c r="A425" s="33">
        <v>7493</v>
      </c>
      <c r="B425" s="2">
        <v>1114</v>
      </c>
      <c r="C425" s="2" t="s">
        <v>9256</v>
      </c>
      <c r="D425" s="3" t="s">
        <v>14206</v>
      </c>
      <c r="F425" s="3" t="s">
        <v>2296</v>
      </c>
    </row>
    <row r="426" spans="1:9" x14ac:dyDescent="0.3">
      <c r="A426" s="33">
        <v>7495</v>
      </c>
      <c r="B426" s="2">
        <v>1115</v>
      </c>
      <c r="C426" s="2" t="s">
        <v>9262</v>
      </c>
      <c r="D426" s="3" t="s">
        <v>14206</v>
      </c>
      <c r="F426" s="3" t="s">
        <v>2306</v>
      </c>
      <c r="I426" s="3" t="s">
        <v>1638</v>
      </c>
    </row>
    <row r="427" spans="1:9" x14ac:dyDescent="0.3">
      <c r="A427" s="33">
        <v>7500</v>
      </c>
      <c r="B427" s="2">
        <v>1116</v>
      </c>
      <c r="C427" s="2" t="s">
        <v>9274</v>
      </c>
      <c r="D427" s="3" t="s">
        <v>14206</v>
      </c>
      <c r="F427" s="3" t="s">
        <v>568</v>
      </c>
      <c r="I427" s="3" t="s">
        <v>1638</v>
      </c>
    </row>
    <row r="428" spans="1:9" x14ac:dyDescent="0.3">
      <c r="A428" s="33">
        <v>7501</v>
      </c>
      <c r="B428" s="2">
        <v>1117</v>
      </c>
      <c r="C428" s="2" t="s">
        <v>9282</v>
      </c>
      <c r="D428" s="3" t="s">
        <v>14206</v>
      </c>
      <c r="F428" s="3" t="s">
        <v>491</v>
      </c>
      <c r="I428" s="3" t="s">
        <v>1638</v>
      </c>
    </row>
    <row r="429" spans="1:9" x14ac:dyDescent="0.3">
      <c r="A429" s="33">
        <v>7506</v>
      </c>
      <c r="B429" s="2">
        <v>1118</v>
      </c>
      <c r="C429" s="2" t="s">
        <v>9289</v>
      </c>
      <c r="D429" s="3" t="s">
        <v>2064</v>
      </c>
      <c r="F429" s="3" t="s">
        <v>1882</v>
      </c>
    </row>
    <row r="430" spans="1:9" x14ac:dyDescent="0.3">
      <c r="A430" s="33">
        <v>7509</v>
      </c>
      <c r="B430" s="2">
        <v>1894</v>
      </c>
      <c r="C430" s="2" t="s">
        <v>9296</v>
      </c>
      <c r="D430" s="3" t="s">
        <v>14207</v>
      </c>
      <c r="E430" s="3" t="s">
        <v>2341</v>
      </c>
      <c r="F430" s="3" t="s">
        <v>568</v>
      </c>
      <c r="I430" s="3" t="s">
        <v>2343</v>
      </c>
    </row>
    <row r="431" spans="1:9" x14ac:dyDescent="0.3">
      <c r="A431" s="33">
        <v>7510</v>
      </c>
      <c r="B431" s="2">
        <v>1119</v>
      </c>
      <c r="C431" s="2" t="s">
        <v>9304</v>
      </c>
      <c r="D431" s="3" t="s">
        <v>14207</v>
      </c>
      <c r="F431" s="3" t="s">
        <v>2361</v>
      </c>
    </row>
    <row r="432" spans="1:9" x14ac:dyDescent="0.3">
      <c r="A432" s="33">
        <v>7529</v>
      </c>
      <c r="B432" s="2">
        <v>1120</v>
      </c>
      <c r="C432" s="2" t="s">
        <v>9329</v>
      </c>
      <c r="D432" s="3" t="s">
        <v>14207</v>
      </c>
      <c r="F432" s="3" t="s">
        <v>426</v>
      </c>
    </row>
    <row r="433" spans="1:9" x14ac:dyDescent="0.3">
      <c r="A433" s="33">
        <v>7530</v>
      </c>
      <c r="B433" s="2">
        <v>1121</v>
      </c>
      <c r="C433" s="2" t="s">
        <v>9335</v>
      </c>
      <c r="D433" s="3" t="s">
        <v>14207</v>
      </c>
      <c r="F433" s="3" t="s">
        <v>108</v>
      </c>
    </row>
    <row r="434" spans="1:9" x14ac:dyDescent="0.3">
      <c r="A434" s="33">
        <v>7543</v>
      </c>
      <c r="B434" s="2">
        <v>1122</v>
      </c>
      <c r="C434" s="2" t="s">
        <v>9342</v>
      </c>
      <c r="D434" s="3" t="s">
        <v>14207</v>
      </c>
      <c r="F434" s="3" t="s">
        <v>2409</v>
      </c>
    </row>
    <row r="435" spans="1:9" x14ac:dyDescent="0.3">
      <c r="A435" s="33">
        <v>7549</v>
      </c>
      <c r="B435" s="2">
        <v>1899</v>
      </c>
      <c r="C435" s="2" t="s">
        <v>9355</v>
      </c>
      <c r="D435" s="3" t="s">
        <v>14206</v>
      </c>
      <c r="F435" s="3" t="s">
        <v>491</v>
      </c>
    </row>
    <row r="436" spans="1:9" x14ac:dyDescent="0.3">
      <c r="A436" s="33">
        <v>7553</v>
      </c>
      <c r="B436" s="2">
        <v>1900</v>
      </c>
      <c r="C436" s="2" t="s">
        <v>9361</v>
      </c>
      <c r="D436" s="3" t="s">
        <v>14206</v>
      </c>
      <c r="F436" s="3" t="s">
        <v>1052</v>
      </c>
    </row>
    <row r="437" spans="1:9" x14ac:dyDescent="0.3">
      <c r="A437" s="33">
        <v>7566</v>
      </c>
      <c r="B437" s="2">
        <v>1123</v>
      </c>
      <c r="C437" s="2" t="s">
        <v>9376</v>
      </c>
      <c r="D437" s="3" t="s">
        <v>2064</v>
      </c>
      <c r="F437" s="3" t="s">
        <v>2420</v>
      </c>
    </row>
    <row r="438" spans="1:9" x14ac:dyDescent="0.3">
      <c r="A438" s="33">
        <v>7567</v>
      </c>
      <c r="B438" s="2">
        <v>1124</v>
      </c>
      <c r="C438" s="2" t="s">
        <v>9383</v>
      </c>
      <c r="D438" s="3" t="s">
        <v>2064</v>
      </c>
      <c r="F438" s="3" t="s">
        <v>1882</v>
      </c>
    </row>
    <row r="439" spans="1:9" x14ac:dyDescent="0.3">
      <c r="A439" s="33">
        <v>7578</v>
      </c>
      <c r="B439" s="2">
        <v>1125</v>
      </c>
      <c r="C439" s="2" t="s">
        <v>9397</v>
      </c>
      <c r="D439" s="3" t="s">
        <v>2064</v>
      </c>
      <c r="F439" s="3" t="s">
        <v>1882</v>
      </c>
    </row>
    <row r="440" spans="1:9" x14ac:dyDescent="0.3">
      <c r="A440" s="33">
        <v>7579</v>
      </c>
      <c r="B440" s="2">
        <v>1126</v>
      </c>
      <c r="C440" s="2" t="s">
        <v>9403</v>
      </c>
      <c r="D440" s="3" t="s">
        <v>2064</v>
      </c>
      <c r="F440" s="3" t="s">
        <v>713</v>
      </c>
    </row>
    <row r="441" spans="1:9" x14ac:dyDescent="0.3">
      <c r="A441" s="33">
        <v>7580</v>
      </c>
      <c r="B441" s="2">
        <v>1127</v>
      </c>
      <c r="C441" s="2" t="s">
        <v>9410</v>
      </c>
      <c r="D441" s="3" t="s">
        <v>2064</v>
      </c>
      <c r="F441" s="3" t="s">
        <v>504</v>
      </c>
    </row>
    <row r="442" spans="1:9" x14ac:dyDescent="0.3">
      <c r="A442" s="33">
        <v>7581</v>
      </c>
      <c r="B442" s="2">
        <v>1128</v>
      </c>
      <c r="C442" s="2" t="s">
        <v>9417</v>
      </c>
      <c r="D442" s="3" t="s">
        <v>2064</v>
      </c>
      <c r="F442" s="3" t="s">
        <v>1882</v>
      </c>
    </row>
    <row r="443" spans="1:9" x14ac:dyDescent="0.3">
      <c r="A443" s="33">
        <v>7590</v>
      </c>
      <c r="B443" s="2">
        <v>1129</v>
      </c>
      <c r="C443" s="2" t="s">
        <v>9423</v>
      </c>
      <c r="D443" s="3" t="s">
        <v>14206</v>
      </c>
      <c r="F443" s="3" t="s">
        <v>2425</v>
      </c>
    </row>
    <row r="444" spans="1:9" x14ac:dyDescent="0.3">
      <c r="A444" s="33">
        <v>7592</v>
      </c>
      <c r="B444" s="2">
        <v>1903</v>
      </c>
      <c r="C444" s="2" t="s">
        <v>9429</v>
      </c>
      <c r="D444" s="3" t="s">
        <v>14206</v>
      </c>
      <c r="F444" s="3" t="s">
        <v>50</v>
      </c>
    </row>
    <row r="445" spans="1:9" x14ac:dyDescent="0.3">
      <c r="A445" s="33">
        <v>7596</v>
      </c>
      <c r="B445" s="2">
        <v>1130</v>
      </c>
      <c r="C445" s="2" t="s">
        <v>9435</v>
      </c>
      <c r="D445" s="3" t="s">
        <v>14206</v>
      </c>
      <c r="F445" s="3" t="s">
        <v>2427</v>
      </c>
    </row>
    <row r="446" spans="1:9" x14ac:dyDescent="0.3">
      <c r="A446" s="33">
        <v>7597</v>
      </c>
      <c r="B446" s="2">
        <v>1131</v>
      </c>
      <c r="C446" s="2" t="s">
        <v>9443</v>
      </c>
      <c r="D446" s="3" t="s">
        <v>14206</v>
      </c>
      <c r="F446" s="3" t="s">
        <v>2427</v>
      </c>
    </row>
    <row r="447" spans="1:9" x14ac:dyDescent="0.3">
      <c r="A447" s="33">
        <v>7601</v>
      </c>
      <c r="B447" s="2">
        <v>1132</v>
      </c>
      <c r="C447" s="2" t="s">
        <v>9450</v>
      </c>
      <c r="D447" s="3" t="s">
        <v>14206</v>
      </c>
      <c r="F447" s="3" t="s">
        <v>747</v>
      </c>
      <c r="I447" s="3" t="s">
        <v>926</v>
      </c>
    </row>
    <row r="448" spans="1:9" x14ac:dyDescent="0.3">
      <c r="A448" s="33">
        <v>7603</v>
      </c>
      <c r="B448" s="2">
        <v>1904</v>
      </c>
      <c r="C448" s="2" t="s">
        <v>9457</v>
      </c>
      <c r="D448" s="3" t="s">
        <v>14207</v>
      </c>
      <c r="F448" s="3" t="s">
        <v>2436</v>
      </c>
    </row>
    <row r="449" spans="1:9" x14ac:dyDescent="0.3">
      <c r="A449" s="33">
        <v>7604</v>
      </c>
      <c r="B449" s="2">
        <v>1133</v>
      </c>
      <c r="C449" s="2" t="s">
        <v>9465</v>
      </c>
      <c r="D449" s="3" t="s">
        <v>14206</v>
      </c>
      <c r="F449" s="3" t="s">
        <v>648</v>
      </c>
    </row>
    <row r="450" spans="1:9" x14ac:dyDescent="0.3">
      <c r="A450" s="33">
        <v>7605</v>
      </c>
      <c r="B450" s="2">
        <v>1134</v>
      </c>
      <c r="C450" s="2" t="s">
        <v>9472</v>
      </c>
      <c r="D450" s="3" t="s">
        <v>14206</v>
      </c>
      <c r="F450" s="3" t="s">
        <v>648</v>
      </c>
    </row>
    <row r="451" spans="1:9" x14ac:dyDescent="0.3">
      <c r="A451" s="33">
        <v>7639</v>
      </c>
      <c r="B451" s="2">
        <v>1905</v>
      </c>
      <c r="C451" s="2" t="s">
        <v>9479</v>
      </c>
      <c r="D451" s="3" t="s">
        <v>14236</v>
      </c>
      <c r="F451" s="3" t="s">
        <v>269</v>
      </c>
      <c r="I451" s="3" t="s">
        <v>762</v>
      </c>
    </row>
    <row r="452" spans="1:9" x14ac:dyDescent="0.3">
      <c r="A452" s="33">
        <v>7674</v>
      </c>
      <c r="B452" s="2">
        <v>1135</v>
      </c>
      <c r="C452" s="2" t="s">
        <v>9486</v>
      </c>
      <c r="D452" s="3" t="s">
        <v>2064</v>
      </c>
      <c r="F452" s="3" t="s">
        <v>1882</v>
      </c>
    </row>
    <row r="453" spans="1:9" x14ac:dyDescent="0.3">
      <c r="A453" s="33">
        <v>7675</v>
      </c>
      <c r="B453" s="2">
        <v>1136</v>
      </c>
      <c r="C453" s="2" t="s">
        <v>9491</v>
      </c>
      <c r="D453" s="3" t="s">
        <v>14206</v>
      </c>
      <c r="F453" s="3" t="s">
        <v>2462</v>
      </c>
    </row>
    <row r="454" spans="1:9" x14ac:dyDescent="0.3">
      <c r="A454" s="33">
        <v>7677</v>
      </c>
      <c r="B454" s="2">
        <v>1137</v>
      </c>
      <c r="C454" s="2" t="s">
        <v>9504</v>
      </c>
      <c r="D454" s="3" t="s">
        <v>14207</v>
      </c>
      <c r="F454" s="3" t="s">
        <v>504</v>
      </c>
    </row>
    <row r="455" spans="1:9" x14ac:dyDescent="0.3">
      <c r="A455" s="33">
        <v>7685</v>
      </c>
      <c r="B455" s="2">
        <v>1138</v>
      </c>
      <c r="C455" s="2" t="s">
        <v>9517</v>
      </c>
      <c r="D455" s="3" t="s">
        <v>14206</v>
      </c>
      <c r="F455" s="3" t="s">
        <v>747</v>
      </c>
    </row>
    <row r="456" spans="1:9" x14ac:dyDescent="0.3">
      <c r="A456" s="33">
        <v>7700</v>
      </c>
      <c r="B456" s="2">
        <v>1139</v>
      </c>
      <c r="C456" s="2" t="s">
        <v>9525</v>
      </c>
      <c r="D456" s="3" t="s">
        <v>14207</v>
      </c>
      <c r="F456" s="3" t="s">
        <v>417</v>
      </c>
      <c r="I456" s="3" t="s">
        <v>1638</v>
      </c>
    </row>
    <row r="457" spans="1:9" x14ac:dyDescent="0.3">
      <c r="A457" s="33">
        <v>7708</v>
      </c>
      <c r="B457" s="2">
        <v>1908</v>
      </c>
      <c r="C457" s="2" t="s">
        <v>9533</v>
      </c>
      <c r="D457" s="3" t="s">
        <v>14206</v>
      </c>
      <c r="F457" s="3" t="s">
        <v>558</v>
      </c>
    </row>
    <row r="458" spans="1:9" x14ac:dyDescent="0.3">
      <c r="A458" s="33">
        <v>7726</v>
      </c>
      <c r="B458" s="2">
        <v>1140</v>
      </c>
      <c r="C458" s="2" t="s">
        <v>9538</v>
      </c>
      <c r="D458" s="3" t="s">
        <v>14206</v>
      </c>
      <c r="E458" s="3" t="s">
        <v>1665</v>
      </c>
      <c r="F458" s="3" t="s">
        <v>2526</v>
      </c>
      <c r="G458" s="3" t="s">
        <v>575</v>
      </c>
    </row>
    <row r="459" spans="1:9" x14ac:dyDescent="0.3">
      <c r="A459" s="33">
        <v>7728</v>
      </c>
      <c r="B459" s="2">
        <v>1142</v>
      </c>
      <c r="C459" s="2" t="s">
        <v>9546</v>
      </c>
      <c r="D459" s="3" t="s">
        <v>14206</v>
      </c>
      <c r="F459" s="3" t="s">
        <v>2520</v>
      </c>
    </row>
    <row r="460" spans="1:9" x14ac:dyDescent="0.3">
      <c r="A460" s="33">
        <v>7737</v>
      </c>
      <c r="B460" s="2">
        <v>1909</v>
      </c>
      <c r="C460" s="2" t="s">
        <v>9554</v>
      </c>
      <c r="D460" s="3" t="s">
        <v>14223</v>
      </c>
      <c r="F460" s="3" t="s">
        <v>193</v>
      </c>
    </row>
    <row r="461" spans="1:9" x14ac:dyDescent="0.3">
      <c r="A461" s="33">
        <v>7740</v>
      </c>
      <c r="B461" s="2">
        <v>1143</v>
      </c>
      <c r="C461" s="2" t="s">
        <v>9561</v>
      </c>
      <c r="D461" s="3" t="s">
        <v>14206</v>
      </c>
      <c r="F461" s="3" t="s">
        <v>2516</v>
      </c>
    </row>
    <row r="462" spans="1:9" x14ac:dyDescent="0.3">
      <c r="A462" s="33">
        <v>7741</v>
      </c>
      <c r="B462" s="2">
        <v>1144</v>
      </c>
      <c r="C462" s="2" t="s">
        <v>9568</v>
      </c>
      <c r="D462" s="3" t="s">
        <v>14206</v>
      </c>
      <c r="F462" s="3" t="s">
        <v>2516</v>
      </c>
    </row>
    <row r="463" spans="1:9" x14ac:dyDescent="0.3">
      <c r="A463" s="33">
        <v>7746</v>
      </c>
      <c r="B463" s="2">
        <v>1145</v>
      </c>
      <c r="C463" s="2" t="s">
        <v>9574</v>
      </c>
      <c r="D463" s="3" t="s">
        <v>14206</v>
      </c>
      <c r="F463" s="3" t="s">
        <v>469</v>
      </c>
    </row>
    <row r="464" spans="1:9" x14ac:dyDescent="0.3">
      <c r="A464" s="33">
        <v>7747</v>
      </c>
      <c r="B464" s="2">
        <v>1146</v>
      </c>
      <c r="C464" s="2" t="s">
        <v>9581</v>
      </c>
      <c r="D464" s="3" t="s">
        <v>14206</v>
      </c>
      <c r="F464" s="3" t="s">
        <v>469</v>
      </c>
    </row>
    <row r="465" spans="1:9" x14ac:dyDescent="0.3">
      <c r="A465" s="33">
        <v>7753</v>
      </c>
      <c r="B465" s="2">
        <v>1147</v>
      </c>
      <c r="C465" s="2" t="s">
        <v>9589</v>
      </c>
      <c r="D465" s="3" t="s">
        <v>14224</v>
      </c>
      <c r="F465" s="3" t="s">
        <v>469</v>
      </c>
      <c r="I465" s="3" t="s">
        <v>2553</v>
      </c>
    </row>
    <row r="466" spans="1:9" x14ac:dyDescent="0.3">
      <c r="A466" s="33">
        <v>7762</v>
      </c>
      <c r="B466" s="2">
        <v>1911</v>
      </c>
      <c r="C466" s="2" t="s">
        <v>9602</v>
      </c>
      <c r="D466" s="3" t="s">
        <v>14206</v>
      </c>
      <c r="F466" s="3" t="s">
        <v>269</v>
      </c>
    </row>
    <row r="467" spans="1:9" x14ac:dyDescent="0.3">
      <c r="A467" s="33">
        <v>7763</v>
      </c>
      <c r="B467" s="2">
        <v>1148</v>
      </c>
      <c r="C467" s="2" t="s">
        <v>9608</v>
      </c>
      <c r="D467" s="3" t="s">
        <v>14207</v>
      </c>
      <c r="F467" s="3" t="s">
        <v>648</v>
      </c>
    </row>
    <row r="468" spans="1:9" x14ac:dyDescent="0.3">
      <c r="A468" s="33">
        <v>7769</v>
      </c>
      <c r="B468" s="2">
        <v>1913</v>
      </c>
      <c r="C468" s="2" t="s">
        <v>9619</v>
      </c>
      <c r="D468" s="3" t="s">
        <v>14206</v>
      </c>
      <c r="F468" s="3" t="s">
        <v>11</v>
      </c>
    </row>
    <row r="469" spans="1:9" x14ac:dyDescent="0.3">
      <c r="A469" s="33">
        <v>7776</v>
      </c>
      <c r="B469" s="2">
        <v>1149</v>
      </c>
      <c r="C469" s="2" t="s">
        <v>9627</v>
      </c>
      <c r="D469" s="3" t="s">
        <v>14206</v>
      </c>
      <c r="F469" s="3" t="s">
        <v>1130</v>
      </c>
    </row>
    <row r="470" spans="1:9" x14ac:dyDescent="0.3">
      <c r="A470" s="33">
        <v>7777</v>
      </c>
      <c r="B470" s="2">
        <v>1914</v>
      </c>
      <c r="C470" s="2" t="s">
        <v>9634</v>
      </c>
      <c r="D470" s="3" t="s">
        <v>14206</v>
      </c>
      <c r="F470" s="3" t="s">
        <v>568</v>
      </c>
      <c r="G470" s="3" t="s">
        <v>487</v>
      </c>
    </row>
    <row r="471" spans="1:9" x14ac:dyDescent="0.3">
      <c r="A471" s="33">
        <v>7780</v>
      </c>
      <c r="B471" s="2">
        <v>1915</v>
      </c>
      <c r="C471" s="2" t="s">
        <v>9641</v>
      </c>
      <c r="D471" s="3" t="s">
        <v>14206</v>
      </c>
      <c r="F471" s="3" t="s">
        <v>870</v>
      </c>
    </row>
    <row r="472" spans="1:9" x14ac:dyDescent="0.3">
      <c r="A472" s="33">
        <v>7784</v>
      </c>
      <c r="B472" s="2">
        <v>1916</v>
      </c>
      <c r="C472" s="2" t="s">
        <v>9648</v>
      </c>
      <c r="D472" s="3" t="s">
        <v>14206</v>
      </c>
      <c r="E472" s="3" t="s">
        <v>2633</v>
      </c>
      <c r="F472" s="3" t="s">
        <v>98</v>
      </c>
    </row>
    <row r="473" spans="1:9" x14ac:dyDescent="0.3">
      <c r="A473" s="33">
        <v>7786</v>
      </c>
      <c r="B473" s="2">
        <v>1150</v>
      </c>
      <c r="C473" s="2" t="s">
        <v>9655</v>
      </c>
      <c r="D473" s="3" t="s">
        <v>14207</v>
      </c>
      <c r="F473" s="3" t="s">
        <v>2636</v>
      </c>
    </row>
    <row r="474" spans="1:9" ht="27.6" x14ac:dyDescent="0.3">
      <c r="A474" s="33">
        <v>7789</v>
      </c>
      <c r="B474" s="2">
        <v>1151</v>
      </c>
      <c r="C474" s="2" t="s">
        <v>9663</v>
      </c>
      <c r="D474" s="29" t="s">
        <v>14225</v>
      </c>
      <c r="F474" s="3" t="s">
        <v>2138</v>
      </c>
      <c r="I474" s="3" t="s">
        <v>1638</v>
      </c>
    </row>
    <row r="475" spans="1:9" x14ac:dyDescent="0.3">
      <c r="A475" s="33">
        <v>7792</v>
      </c>
      <c r="B475" s="2">
        <v>1917</v>
      </c>
      <c r="C475" s="2" t="s">
        <v>9671</v>
      </c>
      <c r="D475" s="3" t="s">
        <v>14206</v>
      </c>
      <c r="F475" s="3" t="s">
        <v>66</v>
      </c>
    </row>
    <row r="476" spans="1:9" x14ac:dyDescent="0.3">
      <c r="A476" s="33">
        <v>7795</v>
      </c>
      <c r="B476" s="2">
        <v>1918</v>
      </c>
      <c r="C476" s="2" t="s">
        <v>9677</v>
      </c>
      <c r="D476" s="3" t="s">
        <v>14206</v>
      </c>
      <c r="F476" s="3" t="s">
        <v>721</v>
      </c>
    </row>
    <row r="477" spans="1:9" x14ac:dyDescent="0.3">
      <c r="A477" s="33">
        <v>7806</v>
      </c>
      <c r="B477" s="2">
        <v>1153</v>
      </c>
      <c r="C477" s="2" t="s">
        <v>9690</v>
      </c>
      <c r="D477" s="3" t="s">
        <v>14207</v>
      </c>
      <c r="F477" s="3" t="s">
        <v>504</v>
      </c>
    </row>
    <row r="478" spans="1:9" x14ac:dyDescent="0.3">
      <c r="A478" s="33">
        <v>7814</v>
      </c>
      <c r="B478" s="2">
        <v>1920</v>
      </c>
      <c r="C478" s="2" t="s">
        <v>9703</v>
      </c>
      <c r="D478" s="3" t="s">
        <v>14206</v>
      </c>
      <c r="F478" s="3" t="s">
        <v>2653</v>
      </c>
    </row>
    <row r="479" spans="1:9" x14ac:dyDescent="0.3">
      <c r="A479" s="33">
        <v>7821</v>
      </c>
      <c r="B479" s="2">
        <v>1154</v>
      </c>
      <c r="C479" s="2" t="s">
        <v>9718</v>
      </c>
      <c r="D479" s="3" t="s">
        <v>14206</v>
      </c>
      <c r="F479" s="3" t="s">
        <v>2655</v>
      </c>
    </row>
    <row r="480" spans="1:9" x14ac:dyDescent="0.3">
      <c r="A480" s="33">
        <v>7827</v>
      </c>
      <c r="B480" s="2">
        <v>1155</v>
      </c>
      <c r="C480" s="2" t="s">
        <v>9726</v>
      </c>
      <c r="D480" s="3" t="s">
        <v>14207</v>
      </c>
      <c r="F480" s="3" t="s">
        <v>648</v>
      </c>
    </row>
    <row r="481" spans="1:9" x14ac:dyDescent="0.3">
      <c r="A481" s="33">
        <v>7828</v>
      </c>
      <c r="B481" s="2">
        <v>1922</v>
      </c>
      <c r="C481" s="2" t="s">
        <v>9733</v>
      </c>
      <c r="D481" s="3" t="s">
        <v>14226</v>
      </c>
      <c r="F481" s="3" t="s">
        <v>30</v>
      </c>
    </row>
    <row r="482" spans="1:9" x14ac:dyDescent="0.3">
      <c r="A482" s="33">
        <v>7843</v>
      </c>
      <c r="B482" s="2">
        <v>1924</v>
      </c>
      <c r="C482" s="2" t="s">
        <v>9748</v>
      </c>
      <c r="D482" s="3" t="s">
        <v>14206</v>
      </c>
      <c r="F482" s="3" t="s">
        <v>172</v>
      </c>
    </row>
    <row r="483" spans="1:9" x14ac:dyDescent="0.3">
      <c r="A483" s="33">
        <v>7853</v>
      </c>
      <c r="B483" s="2">
        <v>1156</v>
      </c>
      <c r="C483" s="2" t="s">
        <v>9753</v>
      </c>
      <c r="D483" s="3" t="s">
        <v>14207</v>
      </c>
      <c r="F483" s="3" t="s">
        <v>2689</v>
      </c>
      <c r="I483" s="3" t="s">
        <v>1473</v>
      </c>
    </row>
    <row r="484" spans="1:9" x14ac:dyDescent="0.3">
      <c r="A484" s="33">
        <v>7856</v>
      </c>
      <c r="B484" s="2">
        <v>1157</v>
      </c>
      <c r="C484" s="2" t="s">
        <v>9761</v>
      </c>
      <c r="D484" s="3" t="s">
        <v>14206</v>
      </c>
      <c r="F484" s="3" t="s">
        <v>2138</v>
      </c>
    </row>
    <row r="485" spans="1:9" x14ac:dyDescent="0.3">
      <c r="A485" s="33">
        <v>7867</v>
      </c>
      <c r="B485" s="2">
        <v>1158</v>
      </c>
      <c r="C485" s="2" t="s">
        <v>9767</v>
      </c>
      <c r="D485" s="3" t="s">
        <v>14206</v>
      </c>
      <c r="F485" s="3" t="s">
        <v>2812</v>
      </c>
    </row>
    <row r="486" spans="1:9" x14ac:dyDescent="0.3">
      <c r="A486" s="33">
        <v>7880</v>
      </c>
      <c r="B486" s="2">
        <v>1159</v>
      </c>
      <c r="C486" s="2" t="s">
        <v>9774</v>
      </c>
      <c r="D486" s="3" t="s">
        <v>14206</v>
      </c>
      <c r="F486" s="3" t="s">
        <v>2857</v>
      </c>
    </row>
    <row r="487" spans="1:9" x14ac:dyDescent="0.3">
      <c r="A487" s="33">
        <v>7881</v>
      </c>
      <c r="B487" s="2">
        <v>1160</v>
      </c>
      <c r="C487" s="2" t="s">
        <v>9781</v>
      </c>
      <c r="D487" s="3" t="s">
        <v>14206</v>
      </c>
      <c r="F487" s="3" t="s">
        <v>1915</v>
      </c>
      <c r="H487" s="3" t="s">
        <v>2814</v>
      </c>
    </row>
    <row r="488" spans="1:9" x14ac:dyDescent="0.3">
      <c r="A488" s="33">
        <v>7883</v>
      </c>
      <c r="B488" s="2">
        <v>1925</v>
      </c>
      <c r="C488" s="2" t="s">
        <v>9789</v>
      </c>
      <c r="D488" s="3" t="s">
        <v>14206</v>
      </c>
      <c r="F488" s="3" t="s">
        <v>289</v>
      </c>
    </row>
    <row r="489" spans="1:9" x14ac:dyDescent="0.3">
      <c r="A489" s="33">
        <v>7889</v>
      </c>
      <c r="B489" s="2">
        <v>1926</v>
      </c>
      <c r="C489" s="2" t="s">
        <v>9795</v>
      </c>
      <c r="D489" s="3" t="s">
        <v>14206</v>
      </c>
      <c r="F489" s="3" t="s">
        <v>568</v>
      </c>
    </row>
    <row r="490" spans="1:9" x14ac:dyDescent="0.3">
      <c r="A490" s="33">
        <v>7890</v>
      </c>
      <c r="B490" s="2">
        <v>1927</v>
      </c>
      <c r="C490" s="2" t="s">
        <v>9801</v>
      </c>
      <c r="D490" s="3" t="s">
        <v>14206</v>
      </c>
      <c r="F490" s="3" t="s">
        <v>289</v>
      </c>
    </row>
    <row r="491" spans="1:9" x14ac:dyDescent="0.3">
      <c r="A491" s="33">
        <v>7897</v>
      </c>
      <c r="B491" s="2">
        <v>1161</v>
      </c>
      <c r="C491" s="2" t="s">
        <v>9808</v>
      </c>
      <c r="D491" s="3" t="s">
        <v>14207</v>
      </c>
      <c r="F491" s="3" t="s">
        <v>600</v>
      </c>
    </row>
    <row r="492" spans="1:9" x14ac:dyDescent="0.3">
      <c r="A492" s="33">
        <v>7900</v>
      </c>
      <c r="B492" s="2">
        <v>1162</v>
      </c>
      <c r="C492" s="2" t="s">
        <v>9814</v>
      </c>
      <c r="D492" s="3" t="s">
        <v>14206</v>
      </c>
      <c r="F492" s="3" t="s">
        <v>2826</v>
      </c>
      <c r="I492" s="3" t="s">
        <v>1473</v>
      </c>
    </row>
    <row r="493" spans="1:9" x14ac:dyDescent="0.3">
      <c r="A493" s="33">
        <v>7902</v>
      </c>
      <c r="B493" s="2">
        <v>1928</v>
      </c>
      <c r="C493" s="2" t="s">
        <v>9821</v>
      </c>
      <c r="D493" s="3" t="s">
        <v>14206</v>
      </c>
      <c r="F493" s="3" t="s">
        <v>2841</v>
      </c>
    </row>
    <row r="494" spans="1:9" ht="41.4" x14ac:dyDescent="0.3">
      <c r="A494" s="33">
        <v>7903</v>
      </c>
      <c r="B494" s="2">
        <v>1163</v>
      </c>
      <c r="C494" s="2" t="s">
        <v>9828</v>
      </c>
      <c r="D494" s="29" t="s">
        <v>14227</v>
      </c>
      <c r="E494" s="3" t="s">
        <v>2843</v>
      </c>
      <c r="F494" s="3" t="s">
        <v>2844</v>
      </c>
    </row>
    <row r="495" spans="1:9" x14ac:dyDescent="0.3">
      <c r="A495" s="33">
        <v>7930</v>
      </c>
      <c r="B495" s="2">
        <v>1932</v>
      </c>
      <c r="C495" s="2" t="s">
        <v>9853</v>
      </c>
      <c r="D495" s="3" t="s">
        <v>14206</v>
      </c>
      <c r="F495" s="3" t="s">
        <v>289</v>
      </c>
    </row>
    <row r="496" spans="1:9" x14ac:dyDescent="0.3">
      <c r="A496" s="33">
        <v>7933</v>
      </c>
      <c r="B496" s="2">
        <v>1933</v>
      </c>
      <c r="C496" s="2" t="s">
        <v>9859</v>
      </c>
      <c r="D496" s="3" t="s">
        <v>14206</v>
      </c>
      <c r="F496" s="3" t="s">
        <v>2859</v>
      </c>
    </row>
    <row r="497" spans="1:9" x14ac:dyDescent="0.3">
      <c r="A497" s="33">
        <v>7938</v>
      </c>
      <c r="B497" s="2">
        <v>1164</v>
      </c>
      <c r="C497" s="2" t="s">
        <v>9867</v>
      </c>
      <c r="D497" s="3" t="s">
        <v>14207</v>
      </c>
      <c r="F497" s="3" t="s">
        <v>2151</v>
      </c>
    </row>
    <row r="498" spans="1:9" x14ac:dyDescent="0.3">
      <c r="A498" s="33">
        <v>7939</v>
      </c>
      <c r="B498" s="2">
        <v>1165</v>
      </c>
      <c r="C498" s="2" t="s">
        <v>9875</v>
      </c>
      <c r="D498" s="3" t="s">
        <v>14207</v>
      </c>
      <c r="F498" s="3" t="s">
        <v>2876</v>
      </c>
    </row>
    <row r="499" spans="1:9" x14ac:dyDescent="0.3">
      <c r="A499" s="33">
        <v>7947</v>
      </c>
      <c r="B499" s="2">
        <v>1934</v>
      </c>
      <c r="C499" s="2" t="s">
        <v>6891</v>
      </c>
      <c r="D499" s="3" t="s">
        <v>14206</v>
      </c>
      <c r="F499" s="3" t="s">
        <v>721</v>
      </c>
    </row>
    <row r="500" spans="1:9" x14ac:dyDescent="0.3">
      <c r="A500" s="33">
        <v>7954</v>
      </c>
      <c r="B500" s="2">
        <v>1166</v>
      </c>
      <c r="C500" s="2" t="s">
        <v>9887</v>
      </c>
      <c r="D500" s="3" t="s">
        <v>14206</v>
      </c>
      <c r="F500" s="3" t="s">
        <v>713</v>
      </c>
    </row>
    <row r="501" spans="1:9" ht="41.4" x14ac:dyDescent="0.3">
      <c r="A501" s="33">
        <v>7963</v>
      </c>
      <c r="B501" s="2">
        <v>1167</v>
      </c>
      <c r="C501" s="2" t="s">
        <v>9893</v>
      </c>
      <c r="D501" s="29" t="s">
        <v>14228</v>
      </c>
      <c r="E501" s="3" t="s">
        <v>2843</v>
      </c>
      <c r="F501" s="3" t="s">
        <v>2844</v>
      </c>
    </row>
    <row r="502" spans="1:9" x14ac:dyDescent="0.3">
      <c r="A502" s="33">
        <v>7991</v>
      </c>
      <c r="B502" s="2">
        <v>1168</v>
      </c>
      <c r="C502" s="2" t="s">
        <v>9907</v>
      </c>
      <c r="D502" s="3" t="s">
        <v>14207</v>
      </c>
      <c r="F502" s="3" t="s">
        <v>426</v>
      </c>
    </row>
    <row r="503" spans="1:9" x14ac:dyDescent="0.3">
      <c r="A503" s="33">
        <v>7994</v>
      </c>
      <c r="B503" s="2">
        <v>1169</v>
      </c>
      <c r="C503" s="2" t="s">
        <v>9914</v>
      </c>
      <c r="D503" s="3" t="s">
        <v>14206</v>
      </c>
      <c r="F503" s="3" t="s">
        <v>1069</v>
      </c>
    </row>
    <row r="504" spans="1:9" x14ac:dyDescent="0.3">
      <c r="A504" s="33">
        <v>8021</v>
      </c>
      <c r="B504" s="2">
        <v>1938</v>
      </c>
      <c r="C504" s="2" t="s">
        <v>9934</v>
      </c>
      <c r="D504" s="3" t="s">
        <v>14206</v>
      </c>
      <c r="F504" s="3" t="s">
        <v>2935</v>
      </c>
    </row>
    <row r="505" spans="1:9" x14ac:dyDescent="0.3">
      <c r="A505" s="33">
        <v>8022</v>
      </c>
      <c r="B505" s="2">
        <v>1170</v>
      </c>
      <c r="C505" s="2" t="s">
        <v>9940</v>
      </c>
      <c r="D505" s="3" t="s">
        <v>14206</v>
      </c>
      <c r="E505" s="3" t="s">
        <v>1665</v>
      </c>
      <c r="F505" s="3" t="s">
        <v>2921</v>
      </c>
      <c r="G505" s="3" t="s">
        <v>575</v>
      </c>
    </row>
    <row r="506" spans="1:9" x14ac:dyDescent="0.3">
      <c r="A506" s="33">
        <v>8035</v>
      </c>
      <c r="B506" s="2">
        <v>1171</v>
      </c>
      <c r="C506" s="2" t="s">
        <v>9948</v>
      </c>
      <c r="D506" s="3" t="s">
        <v>14207</v>
      </c>
      <c r="F506" s="3" t="s">
        <v>648</v>
      </c>
      <c r="I506" s="3" t="s">
        <v>1638</v>
      </c>
    </row>
    <row r="507" spans="1:9" x14ac:dyDescent="0.3">
      <c r="A507" s="33">
        <v>8036</v>
      </c>
      <c r="B507" s="2">
        <v>1939</v>
      </c>
      <c r="C507" s="2" t="s">
        <v>9955</v>
      </c>
      <c r="D507" s="3" t="s">
        <v>14206</v>
      </c>
      <c r="F507" s="3" t="s">
        <v>2951</v>
      </c>
    </row>
    <row r="508" spans="1:9" x14ac:dyDescent="0.3">
      <c r="A508" s="33">
        <v>8037</v>
      </c>
      <c r="B508" s="2">
        <v>1172</v>
      </c>
      <c r="C508" s="2" t="s">
        <v>9961</v>
      </c>
      <c r="D508" s="3" t="s">
        <v>14206</v>
      </c>
      <c r="E508" s="3" t="s">
        <v>1665</v>
      </c>
      <c r="F508" s="3" t="s">
        <v>2938</v>
      </c>
      <c r="G508" s="3" t="s">
        <v>575</v>
      </c>
      <c r="I508" s="3" t="s">
        <v>443</v>
      </c>
    </row>
    <row r="509" spans="1:9" x14ac:dyDescent="0.3">
      <c r="A509" s="33">
        <v>8049</v>
      </c>
      <c r="B509" s="2">
        <v>1940</v>
      </c>
      <c r="C509" s="2" t="s">
        <v>9969</v>
      </c>
      <c r="D509" s="3" t="s">
        <v>14206</v>
      </c>
      <c r="F509" s="3" t="s">
        <v>289</v>
      </c>
    </row>
    <row r="510" spans="1:9" x14ac:dyDescent="0.3">
      <c r="A510" s="33">
        <v>8075</v>
      </c>
      <c r="B510" s="2">
        <v>1173</v>
      </c>
      <c r="C510" s="2" t="s">
        <v>9976</v>
      </c>
      <c r="D510" s="3" t="s">
        <v>14206</v>
      </c>
      <c r="F510" s="3" t="s">
        <v>2965</v>
      </c>
    </row>
    <row r="511" spans="1:9" x14ac:dyDescent="0.3">
      <c r="A511" s="33">
        <v>8090</v>
      </c>
      <c r="B511" s="2">
        <v>1174</v>
      </c>
      <c r="C511" s="2" t="s">
        <v>9982</v>
      </c>
      <c r="D511" s="3" t="s">
        <v>14206</v>
      </c>
      <c r="F511" s="3" t="s">
        <v>648</v>
      </c>
    </row>
    <row r="512" spans="1:9" ht="27.6" x14ac:dyDescent="0.3">
      <c r="A512" s="33">
        <v>8093</v>
      </c>
      <c r="B512" s="2">
        <v>1175</v>
      </c>
      <c r="C512" s="2" t="s">
        <v>9988</v>
      </c>
      <c r="D512" s="29" t="s">
        <v>14230</v>
      </c>
      <c r="F512" s="3" t="s">
        <v>426</v>
      </c>
    </row>
    <row r="513" spans="1:9" x14ac:dyDescent="0.3">
      <c r="A513" s="33">
        <v>8094</v>
      </c>
      <c r="B513" s="2">
        <v>1176</v>
      </c>
      <c r="C513" s="2" t="s">
        <v>9996</v>
      </c>
      <c r="D513" s="3" t="s">
        <v>14206</v>
      </c>
      <c r="F513" s="3" t="s">
        <v>1130</v>
      </c>
      <c r="I513" s="3" t="s">
        <v>443</v>
      </c>
    </row>
    <row r="514" spans="1:9" x14ac:dyDescent="0.3">
      <c r="A514" s="33">
        <v>8128</v>
      </c>
      <c r="B514" s="2">
        <v>1177</v>
      </c>
      <c r="C514" s="2" t="s">
        <v>10002</v>
      </c>
      <c r="D514" s="3" t="s">
        <v>14229</v>
      </c>
      <c r="F514" s="3" t="s">
        <v>2980</v>
      </c>
    </row>
    <row r="515" spans="1:9" x14ac:dyDescent="0.3">
      <c r="A515" s="33">
        <v>8129</v>
      </c>
      <c r="B515" s="2">
        <v>1178</v>
      </c>
      <c r="C515" s="2" t="s">
        <v>10009</v>
      </c>
      <c r="D515" s="3" t="s">
        <v>14229</v>
      </c>
      <c r="F515" s="3" t="s">
        <v>2980</v>
      </c>
    </row>
    <row r="516" spans="1:9" x14ac:dyDescent="0.3">
      <c r="A516" s="33">
        <v>8130</v>
      </c>
      <c r="B516" s="2">
        <v>1179</v>
      </c>
      <c r="C516" s="2" t="s">
        <v>10015</v>
      </c>
      <c r="D516" s="3" t="s">
        <v>14229</v>
      </c>
      <c r="F516" s="3" t="s">
        <v>2980</v>
      </c>
    </row>
    <row r="517" spans="1:9" x14ac:dyDescent="0.3">
      <c r="A517" s="33">
        <v>8133</v>
      </c>
      <c r="B517" s="2">
        <v>1180</v>
      </c>
      <c r="C517" s="2" t="s">
        <v>10022</v>
      </c>
      <c r="D517" s="3" t="s">
        <v>14206</v>
      </c>
      <c r="F517" s="3" t="s">
        <v>2655</v>
      </c>
    </row>
    <row r="518" spans="1:9" x14ac:dyDescent="0.3">
      <c r="A518" s="33">
        <v>8141</v>
      </c>
      <c r="B518" s="2">
        <v>1941</v>
      </c>
      <c r="C518" s="2" t="s">
        <v>10028</v>
      </c>
      <c r="D518" s="3" t="s">
        <v>14207</v>
      </c>
      <c r="F518" s="3" t="s">
        <v>11</v>
      </c>
    </row>
    <row r="519" spans="1:9" x14ac:dyDescent="0.3">
      <c r="A519" s="33">
        <v>8142</v>
      </c>
      <c r="B519" s="2">
        <v>1181</v>
      </c>
      <c r="C519" s="2" t="s">
        <v>10036</v>
      </c>
      <c r="D519" s="3" t="s">
        <v>14207</v>
      </c>
      <c r="F519" s="3" t="s">
        <v>504</v>
      </c>
    </row>
    <row r="520" spans="1:9" x14ac:dyDescent="0.3">
      <c r="A520" s="33">
        <v>8150</v>
      </c>
      <c r="B520" s="2">
        <v>1182</v>
      </c>
      <c r="C520" s="2" t="s">
        <v>10044</v>
      </c>
      <c r="D520" s="3" t="s">
        <v>14207</v>
      </c>
      <c r="F520" s="3" t="s">
        <v>108</v>
      </c>
    </row>
    <row r="521" spans="1:9" x14ac:dyDescent="0.3">
      <c r="A521" s="33">
        <v>8173</v>
      </c>
      <c r="B521" s="2">
        <v>1183</v>
      </c>
      <c r="C521" s="2" t="s">
        <v>10051</v>
      </c>
      <c r="D521" s="3" t="s">
        <v>2064</v>
      </c>
      <c r="F521" s="3" t="s">
        <v>504</v>
      </c>
    </row>
    <row r="522" spans="1:9" ht="41.4" x14ac:dyDescent="0.3">
      <c r="A522" s="33">
        <v>8178</v>
      </c>
      <c r="B522" s="2">
        <v>1184</v>
      </c>
      <c r="C522" s="2" t="s">
        <v>10057</v>
      </c>
      <c r="D522" s="29" t="s">
        <v>14227</v>
      </c>
      <c r="E522" s="3" t="s">
        <v>2843</v>
      </c>
      <c r="F522" s="3" t="s">
        <v>2844</v>
      </c>
    </row>
    <row r="523" spans="1:9" x14ac:dyDescent="0.3">
      <c r="A523" s="33">
        <v>8183</v>
      </c>
      <c r="B523" s="2">
        <v>1185</v>
      </c>
      <c r="C523" s="2" t="s">
        <v>10064</v>
      </c>
      <c r="D523" s="3" t="s">
        <v>14207</v>
      </c>
      <c r="F523" s="3" t="s">
        <v>648</v>
      </c>
    </row>
    <row r="524" spans="1:9" x14ac:dyDescent="0.3">
      <c r="A524" s="33">
        <v>8184</v>
      </c>
      <c r="B524" s="2">
        <v>1186</v>
      </c>
      <c r="C524" s="2" t="s">
        <v>10071</v>
      </c>
      <c r="D524" s="3" t="s">
        <v>14207</v>
      </c>
      <c r="F524" s="3" t="s">
        <v>469</v>
      </c>
    </row>
    <row r="525" spans="1:9" x14ac:dyDescent="0.3">
      <c r="A525" s="33">
        <v>8191</v>
      </c>
      <c r="B525" s="2">
        <v>1187</v>
      </c>
      <c r="C525" s="2" t="s">
        <v>10078</v>
      </c>
      <c r="D525" s="3" t="s">
        <v>14206</v>
      </c>
      <c r="F525" s="3" t="s">
        <v>713</v>
      </c>
    </row>
    <row r="526" spans="1:9" x14ac:dyDescent="0.3">
      <c r="A526" s="33">
        <v>8195</v>
      </c>
      <c r="B526" s="2">
        <v>1942</v>
      </c>
      <c r="C526" s="2" t="s">
        <v>10084</v>
      </c>
      <c r="D526" s="3" t="s">
        <v>14206</v>
      </c>
      <c r="F526" s="3" t="s">
        <v>922</v>
      </c>
    </row>
    <row r="527" spans="1:9" x14ac:dyDescent="0.3">
      <c r="A527" s="33">
        <v>8197</v>
      </c>
      <c r="B527" s="2">
        <v>1943</v>
      </c>
      <c r="C527" s="2" t="s">
        <v>10090</v>
      </c>
      <c r="D527" s="3" t="s">
        <v>14231</v>
      </c>
      <c r="F527" s="3" t="s">
        <v>168</v>
      </c>
    </row>
    <row r="528" spans="1:9" x14ac:dyDescent="0.3">
      <c r="A528" s="33">
        <v>8207</v>
      </c>
      <c r="B528" s="2">
        <v>1188</v>
      </c>
      <c r="C528" s="2" t="s">
        <v>10098</v>
      </c>
      <c r="D528" s="3" t="s">
        <v>14206</v>
      </c>
      <c r="F528" s="3" t="s">
        <v>713</v>
      </c>
    </row>
    <row r="529" spans="1:9" x14ac:dyDescent="0.3">
      <c r="A529" s="33">
        <v>8221</v>
      </c>
      <c r="B529" s="2">
        <v>1189</v>
      </c>
      <c r="C529" s="2" t="s">
        <v>10103</v>
      </c>
      <c r="D529" s="3" t="s">
        <v>14206</v>
      </c>
      <c r="F529" s="3" t="s">
        <v>2116</v>
      </c>
    </row>
    <row r="530" spans="1:9" x14ac:dyDescent="0.3">
      <c r="A530" s="33">
        <v>8223</v>
      </c>
      <c r="B530" s="2">
        <v>1944</v>
      </c>
      <c r="C530" s="2" t="s">
        <v>10109</v>
      </c>
      <c r="D530" s="3" t="s">
        <v>14206</v>
      </c>
      <c r="F530" s="3" t="s">
        <v>289</v>
      </c>
    </row>
    <row r="531" spans="1:9" x14ac:dyDescent="0.3">
      <c r="A531" s="33">
        <v>8226</v>
      </c>
      <c r="B531" s="2">
        <v>1190</v>
      </c>
      <c r="C531" s="2" t="s">
        <v>10115</v>
      </c>
      <c r="D531" s="3" t="s">
        <v>14207</v>
      </c>
      <c r="F531" s="3" t="s">
        <v>656</v>
      </c>
      <c r="H531" s="3" t="s">
        <v>3083</v>
      </c>
    </row>
    <row r="532" spans="1:9" x14ac:dyDescent="0.3">
      <c r="A532" s="33">
        <v>8227</v>
      </c>
      <c r="B532" s="2">
        <v>1191</v>
      </c>
      <c r="C532" s="2" t="s">
        <v>10123</v>
      </c>
      <c r="D532" s="3" t="s">
        <v>14206</v>
      </c>
      <c r="F532" s="3" t="s">
        <v>3067</v>
      </c>
    </row>
    <row r="533" spans="1:9" x14ac:dyDescent="0.3">
      <c r="A533" s="33">
        <v>8233</v>
      </c>
      <c r="B533" s="2">
        <v>1192</v>
      </c>
      <c r="C533" s="2" t="s">
        <v>10129</v>
      </c>
      <c r="D533" s="3" t="s">
        <v>14206</v>
      </c>
      <c r="F533" s="3" t="s">
        <v>3080</v>
      </c>
    </row>
    <row r="534" spans="1:9" x14ac:dyDescent="0.3">
      <c r="A534" s="33">
        <v>8264</v>
      </c>
      <c r="B534" s="2">
        <v>1193</v>
      </c>
      <c r="C534" s="2" t="s">
        <v>10148</v>
      </c>
      <c r="D534" s="3" t="s">
        <v>14206</v>
      </c>
      <c r="F534" s="3" t="s">
        <v>648</v>
      </c>
    </row>
    <row r="535" spans="1:9" x14ac:dyDescent="0.3">
      <c r="A535" s="33">
        <v>8270</v>
      </c>
      <c r="B535" s="2">
        <v>1194</v>
      </c>
      <c r="C535" s="2" t="s">
        <v>10159</v>
      </c>
      <c r="D535" s="3" t="s">
        <v>14206</v>
      </c>
      <c r="F535" s="3" t="s">
        <v>3086</v>
      </c>
      <c r="I535" s="3" t="s">
        <v>3089</v>
      </c>
    </row>
    <row r="536" spans="1:9" x14ac:dyDescent="0.3">
      <c r="A536" s="33">
        <v>8271</v>
      </c>
      <c r="B536" s="2">
        <v>1195</v>
      </c>
      <c r="C536" s="2" t="s">
        <v>10167</v>
      </c>
      <c r="D536" s="3" t="s">
        <v>14232</v>
      </c>
      <c r="F536" s="3" t="s">
        <v>3086</v>
      </c>
    </row>
    <row r="537" spans="1:9" x14ac:dyDescent="0.3">
      <c r="A537" s="33">
        <v>8272</v>
      </c>
      <c r="B537" s="2">
        <v>1196</v>
      </c>
      <c r="C537" s="2" t="s">
        <v>10172</v>
      </c>
      <c r="D537" s="3" t="s">
        <v>14232</v>
      </c>
      <c r="F537" s="3" t="s">
        <v>3086</v>
      </c>
      <c r="I537" s="3" t="s">
        <v>3089</v>
      </c>
    </row>
    <row r="538" spans="1:9" x14ac:dyDescent="0.3">
      <c r="A538" s="33">
        <v>8273</v>
      </c>
      <c r="B538" s="2">
        <v>1197</v>
      </c>
      <c r="C538" s="2" t="s">
        <v>10178</v>
      </c>
      <c r="D538" s="3" t="s">
        <v>14206</v>
      </c>
      <c r="F538" s="3" t="s">
        <v>3086</v>
      </c>
      <c r="I538" s="3" t="s">
        <v>3089</v>
      </c>
    </row>
    <row r="539" spans="1:9" x14ac:dyDescent="0.3">
      <c r="A539" s="33">
        <v>8274</v>
      </c>
      <c r="B539" s="2">
        <v>1948</v>
      </c>
      <c r="C539" s="2" t="s">
        <v>10181</v>
      </c>
      <c r="D539" s="3" t="s">
        <v>14206</v>
      </c>
      <c r="F539" s="3" t="s">
        <v>289</v>
      </c>
    </row>
    <row r="540" spans="1:9" x14ac:dyDescent="0.3">
      <c r="A540" s="33">
        <v>8286</v>
      </c>
      <c r="B540" s="2">
        <v>1198</v>
      </c>
      <c r="C540" s="2" t="s">
        <v>10187</v>
      </c>
      <c r="D540" s="3" t="s">
        <v>14206</v>
      </c>
      <c r="F540" s="3" t="s">
        <v>810</v>
      </c>
    </row>
    <row r="541" spans="1:9" x14ac:dyDescent="0.3">
      <c r="A541" s="33">
        <v>8288</v>
      </c>
      <c r="B541" s="2">
        <v>1949</v>
      </c>
      <c r="C541" s="2" t="s">
        <v>10193</v>
      </c>
      <c r="D541" s="3" t="s">
        <v>14206</v>
      </c>
      <c r="F541" s="3" t="s">
        <v>261</v>
      </c>
      <c r="I541" s="3" t="s">
        <v>762</v>
      </c>
    </row>
    <row r="542" spans="1:9" x14ac:dyDescent="0.3">
      <c r="A542" s="33">
        <v>8293</v>
      </c>
      <c r="B542" s="2">
        <v>1199</v>
      </c>
      <c r="C542" s="2" t="s">
        <v>10200</v>
      </c>
      <c r="D542" s="3" t="s">
        <v>14206</v>
      </c>
      <c r="F542" s="3" t="s">
        <v>3122</v>
      </c>
      <c r="I542" s="3" t="s">
        <v>1638</v>
      </c>
    </row>
    <row r="543" spans="1:9" x14ac:dyDescent="0.3">
      <c r="A543" s="33">
        <v>8296</v>
      </c>
      <c r="B543" s="2">
        <v>1200</v>
      </c>
      <c r="C543" s="2" t="s">
        <v>10207</v>
      </c>
      <c r="D543" s="3" t="s">
        <v>14206</v>
      </c>
      <c r="F543" s="3" t="s">
        <v>3120</v>
      </c>
    </row>
    <row r="544" spans="1:9" x14ac:dyDescent="0.3">
      <c r="A544" s="33">
        <v>8304</v>
      </c>
      <c r="B544" s="2">
        <v>1201</v>
      </c>
      <c r="C544" s="2" t="s">
        <v>10213</v>
      </c>
      <c r="D544" s="3" t="s">
        <v>14206</v>
      </c>
      <c r="F544" s="3" t="s">
        <v>3123</v>
      </c>
      <c r="I544" s="3" t="s">
        <v>1638</v>
      </c>
    </row>
    <row r="545" spans="1:7" x14ac:dyDescent="0.3">
      <c r="A545" s="33">
        <v>8314</v>
      </c>
      <c r="B545" s="2">
        <v>1202</v>
      </c>
      <c r="C545" s="2" t="s">
        <v>10219</v>
      </c>
      <c r="D545" s="3" t="s">
        <v>14233</v>
      </c>
      <c r="F545" s="3" t="s">
        <v>648</v>
      </c>
    </row>
    <row r="546" spans="1:7" x14ac:dyDescent="0.3">
      <c r="A546" s="33">
        <v>8315</v>
      </c>
      <c r="B546" s="2">
        <v>1203</v>
      </c>
      <c r="C546" s="2" t="s">
        <v>10225</v>
      </c>
      <c r="D546" s="3" t="s">
        <v>14207</v>
      </c>
      <c r="F546" s="3" t="s">
        <v>648</v>
      </c>
    </row>
    <row r="547" spans="1:7" x14ac:dyDescent="0.3">
      <c r="A547" s="33">
        <v>8319</v>
      </c>
      <c r="B547" s="2">
        <v>1204</v>
      </c>
      <c r="C547" s="2" t="s">
        <v>10231</v>
      </c>
      <c r="D547" s="3" t="s">
        <v>14206</v>
      </c>
      <c r="F547" s="3" t="s">
        <v>469</v>
      </c>
    </row>
    <row r="548" spans="1:7" x14ac:dyDescent="0.3">
      <c r="A548" s="33">
        <v>8329</v>
      </c>
      <c r="B548" s="2">
        <v>1205</v>
      </c>
      <c r="C548" s="2" t="s">
        <v>10238</v>
      </c>
      <c r="D548" s="3" t="s">
        <v>14206</v>
      </c>
      <c r="F548" s="3" t="s">
        <v>3142</v>
      </c>
    </row>
    <row r="549" spans="1:7" x14ac:dyDescent="0.3">
      <c r="A549" s="33">
        <v>8331</v>
      </c>
      <c r="B549" s="2">
        <v>1206</v>
      </c>
      <c r="C549" s="2" t="s">
        <v>10245</v>
      </c>
      <c r="D549" s="3" t="s">
        <v>14206</v>
      </c>
      <c r="F549" s="3" t="s">
        <v>108</v>
      </c>
    </row>
    <row r="550" spans="1:7" x14ac:dyDescent="0.3">
      <c r="A550" s="33">
        <v>8334</v>
      </c>
      <c r="B550" s="2">
        <v>1207</v>
      </c>
      <c r="C550" s="2" t="s">
        <v>10253</v>
      </c>
      <c r="D550" s="3" t="s">
        <v>14206</v>
      </c>
      <c r="F550" s="3" t="s">
        <v>3147</v>
      </c>
    </row>
    <row r="551" spans="1:7" x14ac:dyDescent="0.3">
      <c r="A551" s="33">
        <v>8337</v>
      </c>
      <c r="B551" s="2">
        <v>1208</v>
      </c>
      <c r="C551" s="2" t="s">
        <v>10259</v>
      </c>
      <c r="D551" s="3" t="s">
        <v>14206</v>
      </c>
      <c r="F551" s="3" t="s">
        <v>417</v>
      </c>
    </row>
    <row r="552" spans="1:7" x14ac:dyDescent="0.3">
      <c r="A552" s="33">
        <v>8338</v>
      </c>
      <c r="B552" s="2">
        <v>1209</v>
      </c>
      <c r="C552" s="2" t="s">
        <v>10266</v>
      </c>
      <c r="D552" s="3" t="s">
        <v>14206</v>
      </c>
      <c r="F552" s="3" t="s">
        <v>417</v>
      </c>
    </row>
    <row r="553" spans="1:7" x14ac:dyDescent="0.3">
      <c r="A553" s="33">
        <v>8339</v>
      </c>
      <c r="B553" s="2">
        <v>1210</v>
      </c>
      <c r="C553" s="2" t="s">
        <v>10272</v>
      </c>
      <c r="D553" s="3" t="s">
        <v>14206</v>
      </c>
      <c r="F553" s="3" t="s">
        <v>727</v>
      </c>
    </row>
    <row r="554" spans="1:7" x14ac:dyDescent="0.3">
      <c r="A554" s="33">
        <v>8346</v>
      </c>
      <c r="B554" s="2">
        <v>1950</v>
      </c>
      <c r="C554" s="2" t="s">
        <v>10278</v>
      </c>
      <c r="D554" s="3" t="s">
        <v>14206</v>
      </c>
      <c r="F554" s="3" t="s">
        <v>568</v>
      </c>
    </row>
    <row r="555" spans="1:7" x14ac:dyDescent="0.3">
      <c r="A555" s="33">
        <v>8348</v>
      </c>
      <c r="B555" s="2">
        <v>1951</v>
      </c>
      <c r="C555" s="2" t="s">
        <v>10286</v>
      </c>
      <c r="D555" s="3" t="s">
        <v>14206</v>
      </c>
      <c r="F555" s="3" t="s">
        <v>568</v>
      </c>
    </row>
    <row r="556" spans="1:7" x14ac:dyDescent="0.3">
      <c r="A556" s="33">
        <v>8349</v>
      </c>
      <c r="B556" s="2">
        <v>1952</v>
      </c>
      <c r="C556" s="2" t="s">
        <v>10293</v>
      </c>
      <c r="D556" s="3" t="s">
        <v>14206</v>
      </c>
      <c r="E556" s="3" t="s">
        <v>2633</v>
      </c>
      <c r="F556" s="3" t="s">
        <v>289</v>
      </c>
    </row>
    <row r="557" spans="1:7" x14ac:dyDescent="0.3">
      <c r="A557" s="33">
        <v>8356</v>
      </c>
      <c r="B557" s="2">
        <v>1953</v>
      </c>
      <c r="C557" s="2" t="s">
        <v>10300</v>
      </c>
      <c r="D557" s="3" t="s">
        <v>14206</v>
      </c>
      <c r="F557" s="3" t="s">
        <v>895</v>
      </c>
      <c r="G557" s="3" t="s">
        <v>487</v>
      </c>
    </row>
    <row r="558" spans="1:7" x14ac:dyDescent="0.3">
      <c r="A558" s="33">
        <v>8359</v>
      </c>
      <c r="B558" s="2">
        <v>1954</v>
      </c>
      <c r="C558" s="2" t="s">
        <v>10306</v>
      </c>
      <c r="D558" s="3" t="s">
        <v>14206</v>
      </c>
      <c r="F558" s="3" t="s">
        <v>289</v>
      </c>
    </row>
    <row r="559" spans="1:7" x14ac:dyDescent="0.3">
      <c r="A559" s="33">
        <v>8360</v>
      </c>
      <c r="B559" s="2">
        <v>1955</v>
      </c>
      <c r="C559" s="2" t="s">
        <v>10312</v>
      </c>
      <c r="D559" s="3" t="s">
        <v>14206</v>
      </c>
      <c r="F559" s="3" t="s">
        <v>289</v>
      </c>
    </row>
    <row r="560" spans="1:7" x14ac:dyDescent="0.3">
      <c r="A560" s="33">
        <v>8362</v>
      </c>
      <c r="B560" s="2">
        <v>1956</v>
      </c>
      <c r="C560" s="2" t="s">
        <v>10318</v>
      </c>
      <c r="D560" s="3" t="s">
        <v>14206</v>
      </c>
      <c r="F560" s="3" t="s">
        <v>289</v>
      </c>
    </row>
    <row r="561" spans="1:9" x14ac:dyDescent="0.3">
      <c r="A561" s="33">
        <v>8364</v>
      </c>
      <c r="B561" s="2">
        <v>1211</v>
      </c>
      <c r="C561" s="2" t="s">
        <v>10324</v>
      </c>
      <c r="D561" s="3" t="s">
        <v>14206</v>
      </c>
      <c r="F561" s="3" t="s">
        <v>2427</v>
      </c>
    </row>
    <row r="562" spans="1:9" x14ac:dyDescent="0.3">
      <c r="A562" s="33">
        <v>8372</v>
      </c>
      <c r="B562" s="2">
        <v>1212</v>
      </c>
      <c r="C562" s="2" t="s">
        <v>10331</v>
      </c>
      <c r="D562" s="3" t="s">
        <v>14207</v>
      </c>
      <c r="F562" s="3" t="s">
        <v>810</v>
      </c>
    </row>
    <row r="563" spans="1:9" x14ac:dyDescent="0.3">
      <c r="A563" s="33">
        <v>8373</v>
      </c>
      <c r="B563" s="2">
        <v>1213</v>
      </c>
      <c r="C563" s="2" t="s">
        <v>10337</v>
      </c>
      <c r="D563" s="3" t="s">
        <v>14207</v>
      </c>
      <c r="F563" s="3" t="s">
        <v>469</v>
      </c>
      <c r="I563" s="3" t="s">
        <v>443</v>
      </c>
    </row>
    <row r="564" spans="1:9" x14ac:dyDescent="0.3">
      <c r="A564" s="33">
        <v>8375</v>
      </c>
      <c r="B564" s="2">
        <v>1214</v>
      </c>
      <c r="C564" s="2" t="s">
        <v>10343</v>
      </c>
      <c r="D564" s="3" t="s">
        <v>14207</v>
      </c>
      <c r="F564" s="3" t="s">
        <v>810</v>
      </c>
    </row>
    <row r="565" spans="1:9" x14ac:dyDescent="0.3">
      <c r="A565" s="33">
        <v>8376</v>
      </c>
      <c r="B565" s="2">
        <v>1215</v>
      </c>
      <c r="C565" s="2" t="s">
        <v>10349</v>
      </c>
      <c r="D565" s="3" t="s">
        <v>14207</v>
      </c>
      <c r="F565" s="3" t="s">
        <v>810</v>
      </c>
    </row>
    <row r="566" spans="1:9" x14ac:dyDescent="0.3">
      <c r="A566" s="33">
        <v>8382</v>
      </c>
      <c r="B566" s="2">
        <v>1216</v>
      </c>
      <c r="C566" s="2" t="s">
        <v>10362</v>
      </c>
      <c r="D566" s="3" t="s">
        <v>14206</v>
      </c>
      <c r="F566" s="3" t="s">
        <v>1952</v>
      </c>
    </row>
    <row r="567" spans="1:9" x14ac:dyDescent="0.3">
      <c r="A567" s="33">
        <v>8384</v>
      </c>
      <c r="B567" s="2">
        <v>1958</v>
      </c>
      <c r="C567" s="2" t="s">
        <v>10369</v>
      </c>
      <c r="D567" s="3" t="s">
        <v>14206</v>
      </c>
      <c r="F567" s="3" t="s">
        <v>50</v>
      </c>
    </row>
    <row r="568" spans="1:9" x14ac:dyDescent="0.3">
      <c r="A568" s="33">
        <v>8385</v>
      </c>
      <c r="B568" s="2">
        <v>1959</v>
      </c>
      <c r="C568" s="2" t="s">
        <v>10375</v>
      </c>
      <c r="D568" s="3" t="s">
        <v>14206</v>
      </c>
      <c r="F568" s="3" t="s">
        <v>50</v>
      </c>
    </row>
    <row r="569" spans="1:9" x14ac:dyDescent="0.3">
      <c r="A569" s="33">
        <v>8386</v>
      </c>
      <c r="B569" s="2">
        <v>1960</v>
      </c>
      <c r="C569" s="2" t="s">
        <v>10381</v>
      </c>
      <c r="D569" s="3" t="s">
        <v>14206</v>
      </c>
      <c r="F569" s="3" t="s">
        <v>50</v>
      </c>
    </row>
    <row r="570" spans="1:9" x14ac:dyDescent="0.3">
      <c r="A570" s="33">
        <v>8387</v>
      </c>
      <c r="B570" s="2">
        <v>1961</v>
      </c>
      <c r="C570" s="2" t="s">
        <v>10385</v>
      </c>
      <c r="D570" s="3" t="s">
        <v>14206</v>
      </c>
      <c r="F570" s="3" t="s">
        <v>50</v>
      </c>
    </row>
    <row r="571" spans="1:9" x14ac:dyDescent="0.3">
      <c r="A571" s="33">
        <v>8395</v>
      </c>
      <c r="B571" s="2">
        <v>1217</v>
      </c>
      <c r="C571" s="2" t="s">
        <v>10390</v>
      </c>
      <c r="D571" s="3" t="s">
        <v>14206</v>
      </c>
      <c r="E571" s="3" t="s">
        <v>496</v>
      </c>
      <c r="F571" s="3" t="s">
        <v>600</v>
      </c>
    </row>
    <row r="572" spans="1:9" x14ac:dyDescent="0.3">
      <c r="A572" s="33">
        <v>8411</v>
      </c>
      <c r="B572" s="2">
        <v>1962</v>
      </c>
      <c r="C572" s="2" t="s">
        <v>10396</v>
      </c>
      <c r="D572" s="3" t="s">
        <v>14206</v>
      </c>
      <c r="F572" s="3" t="s">
        <v>11</v>
      </c>
    </row>
    <row r="573" spans="1:9" x14ac:dyDescent="0.3">
      <c r="A573" s="33">
        <v>8416</v>
      </c>
      <c r="B573" s="2">
        <v>1218</v>
      </c>
      <c r="C573" s="2" t="s">
        <v>10403</v>
      </c>
      <c r="D573" s="3" t="s">
        <v>14207</v>
      </c>
      <c r="F573" s="3" t="s">
        <v>1915</v>
      </c>
      <c r="I573" s="3" t="s">
        <v>1473</v>
      </c>
    </row>
    <row r="574" spans="1:9" x14ac:dyDescent="0.3">
      <c r="A574" s="33">
        <v>8423</v>
      </c>
      <c r="B574" s="2">
        <v>1963</v>
      </c>
      <c r="C574" s="2" t="s">
        <v>10411</v>
      </c>
      <c r="D574" s="3" t="s">
        <v>14207</v>
      </c>
      <c r="F574" s="3" t="s">
        <v>193</v>
      </c>
    </row>
    <row r="575" spans="1:9" x14ac:dyDescent="0.3">
      <c r="A575" s="33">
        <v>8431</v>
      </c>
      <c r="B575" s="2">
        <v>1964</v>
      </c>
      <c r="C575" s="2" t="s">
        <v>10418</v>
      </c>
      <c r="D575" s="3" t="s">
        <v>14206</v>
      </c>
      <c r="F575" s="3" t="s">
        <v>1677</v>
      </c>
    </row>
    <row r="576" spans="1:9" x14ac:dyDescent="0.3">
      <c r="A576" s="33">
        <v>8432</v>
      </c>
      <c r="B576" s="2">
        <v>1965</v>
      </c>
      <c r="C576" s="2" t="s">
        <v>10426</v>
      </c>
      <c r="D576" s="3" t="s">
        <v>14206</v>
      </c>
      <c r="F576" s="3" t="s">
        <v>491</v>
      </c>
    </row>
    <row r="577" spans="1:7" x14ac:dyDescent="0.3">
      <c r="A577" s="33">
        <v>8435</v>
      </c>
      <c r="B577" s="2">
        <v>1219</v>
      </c>
      <c r="C577" s="2" t="s">
        <v>10433</v>
      </c>
      <c r="D577" s="3" t="s">
        <v>14207</v>
      </c>
      <c r="F577" s="3" t="s">
        <v>747</v>
      </c>
    </row>
    <row r="578" spans="1:7" x14ac:dyDescent="0.3">
      <c r="A578" s="33">
        <v>8437</v>
      </c>
      <c r="B578" s="2">
        <v>1220</v>
      </c>
      <c r="C578" s="2" t="s">
        <v>10438</v>
      </c>
      <c r="D578" s="3" t="s">
        <v>14207</v>
      </c>
      <c r="F578" s="3" t="s">
        <v>3283</v>
      </c>
    </row>
    <row r="579" spans="1:7" x14ac:dyDescent="0.3">
      <c r="A579" s="33">
        <v>8440</v>
      </c>
      <c r="B579" s="2">
        <v>1221</v>
      </c>
      <c r="C579" s="2" t="s">
        <v>10444</v>
      </c>
      <c r="D579" s="3" t="s">
        <v>14207</v>
      </c>
      <c r="F579" s="3" t="s">
        <v>1183</v>
      </c>
    </row>
    <row r="580" spans="1:7" x14ac:dyDescent="0.3">
      <c r="A580" s="33">
        <v>8442</v>
      </c>
      <c r="B580" s="2">
        <v>1222</v>
      </c>
      <c r="C580" s="2" t="s">
        <v>10450</v>
      </c>
      <c r="D580" s="3" t="s">
        <v>14206</v>
      </c>
      <c r="E580" s="3" t="s">
        <v>3297</v>
      </c>
      <c r="F580" s="3" t="s">
        <v>2116</v>
      </c>
    </row>
    <row r="581" spans="1:7" ht="41.4" x14ac:dyDescent="0.3">
      <c r="A581" s="33">
        <v>8444</v>
      </c>
      <c r="B581" s="2">
        <v>1223</v>
      </c>
      <c r="C581" s="2" t="s">
        <v>9828</v>
      </c>
      <c r="D581" s="29" t="s">
        <v>14227</v>
      </c>
      <c r="E581" s="3" t="s">
        <v>2843</v>
      </c>
      <c r="F581" s="3" t="s">
        <v>2844</v>
      </c>
    </row>
    <row r="582" spans="1:7" ht="41.4" x14ac:dyDescent="0.3">
      <c r="A582" s="33">
        <v>8445</v>
      </c>
      <c r="B582" s="2">
        <v>1224</v>
      </c>
      <c r="C582" s="2" t="s">
        <v>9893</v>
      </c>
      <c r="D582" s="29" t="s">
        <v>14227</v>
      </c>
      <c r="E582" s="3" t="s">
        <v>2843</v>
      </c>
      <c r="F582" s="3" t="s">
        <v>2844</v>
      </c>
    </row>
    <row r="583" spans="1:7" ht="41.4" x14ac:dyDescent="0.3">
      <c r="A583" s="33">
        <v>8446</v>
      </c>
      <c r="B583" s="2">
        <v>1225</v>
      </c>
      <c r="C583" s="2" t="s">
        <v>10057</v>
      </c>
      <c r="D583" s="29" t="s">
        <v>14227</v>
      </c>
      <c r="E583" s="3" t="s">
        <v>2843</v>
      </c>
      <c r="F583" s="3" t="s">
        <v>2844</v>
      </c>
    </row>
    <row r="584" spans="1:7" x14ac:dyDescent="0.3">
      <c r="A584" s="33">
        <v>8458</v>
      </c>
      <c r="B584" s="2">
        <v>1226</v>
      </c>
      <c r="C584" s="2" t="s">
        <v>10473</v>
      </c>
      <c r="D584" s="3" t="s">
        <v>14206</v>
      </c>
      <c r="F584" s="3" t="s">
        <v>2462</v>
      </c>
    </row>
    <row r="585" spans="1:7" x14ac:dyDescent="0.3">
      <c r="A585" s="33">
        <v>8469</v>
      </c>
      <c r="B585" s="2">
        <v>1227</v>
      </c>
      <c r="C585" s="2" t="s">
        <v>10478</v>
      </c>
      <c r="D585" s="3" t="s">
        <v>14206</v>
      </c>
      <c r="F585" s="3" t="s">
        <v>3307</v>
      </c>
      <c r="G585" s="3" t="s">
        <v>487</v>
      </c>
    </row>
    <row r="586" spans="1:7" x14ac:dyDescent="0.3">
      <c r="A586" s="33">
        <v>8476</v>
      </c>
      <c r="B586" s="2">
        <v>1967</v>
      </c>
      <c r="C586" s="2" t="s">
        <v>10492</v>
      </c>
      <c r="D586" s="3" t="s">
        <v>14206</v>
      </c>
      <c r="F586" s="3" t="s">
        <v>3321</v>
      </c>
    </row>
    <row r="587" spans="1:7" x14ac:dyDescent="0.3">
      <c r="A587" s="33">
        <v>8477</v>
      </c>
      <c r="B587" s="2">
        <v>1228</v>
      </c>
      <c r="C587" s="2" t="s">
        <v>10498</v>
      </c>
      <c r="D587" s="3" t="s">
        <v>14206</v>
      </c>
      <c r="F587" s="3" t="s">
        <v>3323</v>
      </c>
    </row>
    <row r="588" spans="1:7" x14ac:dyDescent="0.3">
      <c r="A588" s="33">
        <v>8478</v>
      </c>
      <c r="B588" s="2">
        <v>1229</v>
      </c>
      <c r="C588" s="2" t="s">
        <v>10506</v>
      </c>
      <c r="D588" s="3" t="s">
        <v>14206</v>
      </c>
      <c r="F588" s="3" t="s">
        <v>3323</v>
      </c>
    </row>
    <row r="589" spans="1:7" x14ac:dyDescent="0.3">
      <c r="A589" s="33">
        <v>8479</v>
      </c>
      <c r="B589" s="2">
        <v>1230</v>
      </c>
      <c r="C589" s="2" t="s">
        <v>10512</v>
      </c>
      <c r="D589" s="3" t="s">
        <v>14206</v>
      </c>
      <c r="F589" s="3" t="s">
        <v>3323</v>
      </c>
    </row>
    <row r="590" spans="1:7" x14ac:dyDescent="0.3">
      <c r="A590" s="33">
        <v>8480</v>
      </c>
      <c r="B590" s="2">
        <v>1231</v>
      </c>
      <c r="C590" s="2" t="s">
        <v>10517</v>
      </c>
      <c r="D590" s="3" t="s">
        <v>14206</v>
      </c>
      <c r="F590" s="3" t="s">
        <v>3323</v>
      </c>
    </row>
    <row r="591" spans="1:7" x14ac:dyDescent="0.3">
      <c r="A591" s="33">
        <v>8481</v>
      </c>
      <c r="B591" s="2">
        <v>1232</v>
      </c>
      <c r="C591" s="2" t="s">
        <v>10523</v>
      </c>
      <c r="D591" s="3" t="s">
        <v>14206</v>
      </c>
      <c r="F591" s="3" t="s">
        <v>3323</v>
      </c>
    </row>
    <row r="592" spans="1:7" x14ac:dyDescent="0.3">
      <c r="A592" s="33">
        <v>8482</v>
      </c>
      <c r="B592" s="2">
        <v>1233</v>
      </c>
      <c r="C592" s="2" t="s">
        <v>10528</v>
      </c>
      <c r="D592" s="3" t="s">
        <v>14206</v>
      </c>
      <c r="F592" s="3" t="s">
        <v>3323</v>
      </c>
    </row>
    <row r="593" spans="1:9" x14ac:dyDescent="0.3">
      <c r="A593" s="33">
        <v>8483</v>
      </c>
      <c r="B593" s="2">
        <v>1234</v>
      </c>
      <c r="C593" s="2" t="s">
        <v>10532</v>
      </c>
      <c r="D593" s="3" t="s">
        <v>14206</v>
      </c>
      <c r="F593" s="3" t="s">
        <v>3323</v>
      </c>
    </row>
    <row r="594" spans="1:9" x14ac:dyDescent="0.3">
      <c r="A594" s="33">
        <v>8484</v>
      </c>
      <c r="B594" s="2">
        <v>1235</v>
      </c>
      <c r="C594" s="2" t="s">
        <v>10536</v>
      </c>
      <c r="D594" s="3" t="s">
        <v>14206</v>
      </c>
      <c r="F594" s="3" t="s">
        <v>3323</v>
      </c>
    </row>
    <row r="595" spans="1:9" x14ac:dyDescent="0.3">
      <c r="A595" s="33">
        <v>8485</v>
      </c>
      <c r="B595" s="2">
        <v>1236</v>
      </c>
      <c r="C595" s="2" t="s">
        <v>10541</v>
      </c>
      <c r="D595" s="3" t="s">
        <v>14206</v>
      </c>
      <c r="F595" s="3" t="s">
        <v>3323</v>
      </c>
    </row>
    <row r="596" spans="1:9" x14ac:dyDescent="0.3">
      <c r="A596" s="33">
        <v>8486</v>
      </c>
      <c r="B596" s="2">
        <v>1237</v>
      </c>
      <c r="C596" s="2" t="s">
        <v>10546</v>
      </c>
      <c r="D596" s="3" t="s">
        <v>14206</v>
      </c>
      <c r="F596" s="3" t="s">
        <v>3323</v>
      </c>
    </row>
    <row r="597" spans="1:9" x14ac:dyDescent="0.3">
      <c r="A597" s="33">
        <v>8498</v>
      </c>
      <c r="B597" s="2">
        <v>1238</v>
      </c>
      <c r="C597" s="2" t="s">
        <v>10551</v>
      </c>
      <c r="D597" s="3" t="s">
        <v>14206</v>
      </c>
      <c r="F597" s="3" t="s">
        <v>108</v>
      </c>
    </row>
    <row r="598" spans="1:9" x14ac:dyDescent="0.3">
      <c r="A598" s="33">
        <v>8508</v>
      </c>
      <c r="B598" s="2">
        <v>1968</v>
      </c>
      <c r="C598" s="2" t="s">
        <v>10559</v>
      </c>
      <c r="D598" s="3" t="s">
        <v>14206</v>
      </c>
      <c r="F598" s="3" t="s">
        <v>491</v>
      </c>
    </row>
    <row r="599" spans="1:9" x14ac:dyDescent="0.3">
      <c r="A599" s="33">
        <v>8510</v>
      </c>
      <c r="B599" s="2">
        <v>1239</v>
      </c>
      <c r="C599" s="2" t="s">
        <v>10567</v>
      </c>
      <c r="D599" s="3" t="s">
        <v>14207</v>
      </c>
      <c r="F599" s="3" t="s">
        <v>3345</v>
      </c>
    </row>
    <row r="600" spans="1:9" ht="55.2" x14ac:dyDescent="0.3">
      <c r="A600" s="33">
        <v>8514</v>
      </c>
      <c r="B600" s="2">
        <v>1240</v>
      </c>
      <c r="C600" s="2" t="s">
        <v>10574</v>
      </c>
      <c r="D600" s="29" t="s">
        <v>14234</v>
      </c>
      <c r="F600" s="3" t="s">
        <v>3378</v>
      </c>
      <c r="G600" s="3" t="s">
        <v>575</v>
      </c>
    </row>
    <row r="601" spans="1:9" x14ac:dyDescent="0.3">
      <c r="A601" s="33">
        <v>8515</v>
      </c>
      <c r="B601" s="2">
        <v>1241</v>
      </c>
      <c r="C601" s="2" t="s">
        <v>10582</v>
      </c>
      <c r="D601" s="3" t="s">
        <v>14207</v>
      </c>
      <c r="F601" s="3" t="s">
        <v>2636</v>
      </c>
      <c r="I601" s="3" t="s">
        <v>3372</v>
      </c>
    </row>
    <row r="602" spans="1:9" x14ac:dyDescent="0.3">
      <c r="A602" s="33">
        <v>8523</v>
      </c>
      <c r="B602" s="2">
        <v>1969</v>
      </c>
      <c r="C602" s="2" t="s">
        <v>10589</v>
      </c>
      <c r="D602" s="3" t="s">
        <v>14206</v>
      </c>
      <c r="F602" s="3" t="s">
        <v>98</v>
      </c>
    </row>
    <row r="603" spans="1:9" x14ac:dyDescent="0.3">
      <c r="A603" s="33">
        <v>8529</v>
      </c>
      <c r="B603" s="2">
        <v>1242</v>
      </c>
      <c r="C603" s="2" t="s">
        <v>10595</v>
      </c>
      <c r="D603" s="3" t="s">
        <v>14207</v>
      </c>
      <c r="F603" s="3" t="s">
        <v>108</v>
      </c>
    </row>
    <row r="604" spans="1:9" x14ac:dyDescent="0.3">
      <c r="A604" s="33">
        <v>8531</v>
      </c>
      <c r="B604" s="2">
        <v>1970</v>
      </c>
      <c r="C604" s="2" t="s">
        <v>10601</v>
      </c>
      <c r="D604" s="3" t="s">
        <v>14206</v>
      </c>
      <c r="F604" s="3" t="s">
        <v>1677</v>
      </c>
      <c r="I604" s="3" t="s">
        <v>762</v>
      </c>
    </row>
    <row r="605" spans="1:9" x14ac:dyDescent="0.3">
      <c r="A605" s="33">
        <v>8533</v>
      </c>
      <c r="B605" s="2">
        <v>1971</v>
      </c>
      <c r="C605" s="2" t="s">
        <v>10607</v>
      </c>
      <c r="D605" s="3" t="s">
        <v>14206</v>
      </c>
      <c r="F605" s="3" t="s">
        <v>568</v>
      </c>
    </row>
    <row r="606" spans="1:9" x14ac:dyDescent="0.3">
      <c r="A606" s="33">
        <v>8535</v>
      </c>
      <c r="B606" s="2">
        <v>1243</v>
      </c>
      <c r="C606" s="2" t="s">
        <v>10614</v>
      </c>
      <c r="D606" s="3" t="s">
        <v>14207</v>
      </c>
      <c r="F606" s="3" t="s">
        <v>108</v>
      </c>
    </row>
    <row r="607" spans="1:9" x14ac:dyDescent="0.3">
      <c r="A607" s="33">
        <v>8540</v>
      </c>
      <c r="B607" s="2">
        <v>1244</v>
      </c>
      <c r="C607" s="2" t="s">
        <v>10620</v>
      </c>
      <c r="D607" s="3" t="s">
        <v>14206</v>
      </c>
      <c r="F607" s="3" t="s">
        <v>648</v>
      </c>
    </row>
    <row r="608" spans="1:9" x14ac:dyDescent="0.3">
      <c r="A608" s="33">
        <v>8543</v>
      </c>
      <c r="B608" s="2">
        <v>1972</v>
      </c>
      <c r="C608" s="2" t="s">
        <v>10626</v>
      </c>
      <c r="D608" s="3" t="s">
        <v>14206</v>
      </c>
      <c r="F608" s="3" t="s">
        <v>269</v>
      </c>
    </row>
    <row r="609" spans="1:9" x14ac:dyDescent="0.3">
      <c r="A609" s="33">
        <v>8578</v>
      </c>
      <c r="B609" s="2">
        <v>1245</v>
      </c>
      <c r="C609" s="2" t="s">
        <v>10633</v>
      </c>
      <c r="D609" s="3" t="s">
        <v>14206</v>
      </c>
      <c r="F609" s="3" t="s">
        <v>648</v>
      </c>
    </row>
    <row r="610" spans="1:9" x14ac:dyDescent="0.3">
      <c r="A610" s="33">
        <v>8579</v>
      </c>
      <c r="B610" s="2">
        <v>1246</v>
      </c>
      <c r="C610" s="2" t="s">
        <v>10640</v>
      </c>
      <c r="D610" s="3" t="s">
        <v>14206</v>
      </c>
      <c r="F610" s="3" t="s">
        <v>648</v>
      </c>
    </row>
    <row r="611" spans="1:9" x14ac:dyDescent="0.3">
      <c r="A611" s="33">
        <v>8586</v>
      </c>
      <c r="B611" s="2">
        <v>1973</v>
      </c>
      <c r="C611" s="2" t="s">
        <v>10647</v>
      </c>
      <c r="D611" s="3" t="s">
        <v>14206</v>
      </c>
      <c r="F611" s="3" t="s">
        <v>98</v>
      </c>
    </row>
    <row r="612" spans="1:9" x14ac:dyDescent="0.3">
      <c r="A612" s="33">
        <v>8588</v>
      </c>
      <c r="B612" s="2">
        <v>1974</v>
      </c>
      <c r="C612" s="2" t="s">
        <v>10654</v>
      </c>
      <c r="D612" s="3" t="s">
        <v>14206</v>
      </c>
      <c r="F612" s="3" t="s">
        <v>922</v>
      </c>
    </row>
    <row r="613" spans="1:9" x14ac:dyDescent="0.3">
      <c r="A613" s="33">
        <v>8592</v>
      </c>
      <c r="B613" s="2">
        <v>1247</v>
      </c>
      <c r="C613" s="2" t="s">
        <v>10661</v>
      </c>
      <c r="D613" s="3" t="s">
        <v>14207</v>
      </c>
      <c r="F613" s="3" t="s">
        <v>3395</v>
      </c>
    </row>
    <row r="614" spans="1:9" x14ac:dyDescent="0.3">
      <c r="A614" s="33">
        <v>8594</v>
      </c>
      <c r="B614" s="2">
        <v>1248</v>
      </c>
      <c r="C614" s="2" t="s">
        <v>10669</v>
      </c>
      <c r="D614" s="3" t="s">
        <v>14206</v>
      </c>
      <c r="F614" s="3" t="s">
        <v>3067</v>
      </c>
    </row>
    <row r="615" spans="1:9" x14ac:dyDescent="0.3">
      <c r="A615" s="33">
        <v>8597</v>
      </c>
      <c r="B615" s="2">
        <v>1975</v>
      </c>
      <c r="C615" s="2" t="s">
        <v>10675</v>
      </c>
      <c r="D615" s="3" t="s">
        <v>14206</v>
      </c>
      <c r="F615" s="3" t="s">
        <v>168</v>
      </c>
    </row>
    <row r="616" spans="1:9" x14ac:dyDescent="0.3">
      <c r="A616" s="33">
        <v>8604</v>
      </c>
      <c r="B616" s="2">
        <v>1249</v>
      </c>
      <c r="C616" s="2" t="s">
        <v>10682</v>
      </c>
      <c r="D616" s="3" t="s">
        <v>14206</v>
      </c>
      <c r="F616" s="3" t="s">
        <v>3404</v>
      </c>
    </row>
    <row r="617" spans="1:9" x14ac:dyDescent="0.3">
      <c r="A617" s="33">
        <v>8611</v>
      </c>
      <c r="B617" s="2">
        <v>1250</v>
      </c>
      <c r="C617" s="2" t="s">
        <v>10690</v>
      </c>
      <c r="D617" s="3" t="s">
        <v>14207</v>
      </c>
      <c r="F617" s="3" t="s">
        <v>810</v>
      </c>
    </row>
    <row r="618" spans="1:9" x14ac:dyDescent="0.3">
      <c r="A618" s="33">
        <v>8612</v>
      </c>
      <c r="B618" s="2">
        <v>1251</v>
      </c>
      <c r="C618" s="2" t="s">
        <v>10697</v>
      </c>
      <c r="D618" s="3" t="s">
        <v>14207</v>
      </c>
      <c r="F618" s="3" t="s">
        <v>810</v>
      </c>
    </row>
    <row r="619" spans="1:9" x14ac:dyDescent="0.3">
      <c r="A619" s="33">
        <v>8613</v>
      </c>
      <c r="B619" s="2">
        <v>1252</v>
      </c>
      <c r="C619" s="2" t="s">
        <v>10704</v>
      </c>
      <c r="D619" s="3" t="s">
        <v>14207</v>
      </c>
      <c r="F619" s="3" t="s">
        <v>810</v>
      </c>
    </row>
    <row r="620" spans="1:9" x14ac:dyDescent="0.3">
      <c r="A620" s="33">
        <v>8614</v>
      </c>
      <c r="B620" s="2">
        <v>1253</v>
      </c>
      <c r="C620" s="2" t="s">
        <v>10709</v>
      </c>
      <c r="D620" s="3" t="s">
        <v>14206</v>
      </c>
      <c r="F620" s="3" t="s">
        <v>469</v>
      </c>
    </row>
    <row r="621" spans="1:9" x14ac:dyDescent="0.3">
      <c r="A621" s="33">
        <v>8624</v>
      </c>
      <c r="B621" s="2">
        <v>1976</v>
      </c>
      <c r="C621" s="2" t="s">
        <v>10716</v>
      </c>
      <c r="D621" s="3" t="s">
        <v>14206</v>
      </c>
      <c r="F621" s="3" t="s">
        <v>168</v>
      </c>
    </row>
    <row r="622" spans="1:9" x14ac:dyDescent="0.3">
      <c r="A622" s="33">
        <v>8626</v>
      </c>
      <c r="B622" s="2">
        <v>1254</v>
      </c>
      <c r="C622" s="2" t="s">
        <v>10722</v>
      </c>
      <c r="D622" s="3" t="s">
        <v>14207</v>
      </c>
      <c r="F622" s="3" t="s">
        <v>727</v>
      </c>
      <c r="I622" s="3" t="s">
        <v>3549</v>
      </c>
    </row>
    <row r="623" spans="1:9" x14ac:dyDescent="0.3">
      <c r="A623" s="33">
        <v>8637</v>
      </c>
      <c r="B623" s="2">
        <v>1255</v>
      </c>
      <c r="C623" s="2" t="s">
        <v>10728</v>
      </c>
      <c r="D623" s="3" t="s">
        <v>14206</v>
      </c>
      <c r="F623" s="3" t="s">
        <v>713</v>
      </c>
    </row>
    <row r="624" spans="1:9" x14ac:dyDescent="0.3">
      <c r="A624" s="33">
        <v>8638</v>
      </c>
      <c r="B624" s="2">
        <v>1256</v>
      </c>
      <c r="C624" s="2" t="s">
        <v>10734</v>
      </c>
      <c r="D624" s="3" t="s">
        <v>14206</v>
      </c>
      <c r="F624" s="3" t="s">
        <v>504</v>
      </c>
    </row>
    <row r="625" spans="1:8" x14ac:dyDescent="0.3">
      <c r="A625" s="33">
        <v>8642</v>
      </c>
      <c r="B625" s="2">
        <v>1977</v>
      </c>
      <c r="C625" s="2" t="s">
        <v>10741</v>
      </c>
      <c r="D625" s="3" t="s">
        <v>14206</v>
      </c>
      <c r="F625" s="3" t="s">
        <v>11</v>
      </c>
    </row>
    <row r="626" spans="1:8" x14ac:dyDescent="0.3">
      <c r="A626" s="33">
        <v>8643</v>
      </c>
      <c r="B626" s="2">
        <v>1978</v>
      </c>
      <c r="C626" s="2" t="s">
        <v>10749</v>
      </c>
      <c r="D626" s="3" t="s">
        <v>14206</v>
      </c>
      <c r="F626" s="3" t="s">
        <v>568</v>
      </c>
    </row>
    <row r="627" spans="1:8" x14ac:dyDescent="0.3">
      <c r="A627" s="33">
        <v>8644</v>
      </c>
      <c r="B627" s="2">
        <v>1979</v>
      </c>
      <c r="C627" s="2" t="s">
        <v>10756</v>
      </c>
      <c r="D627" s="3" t="s">
        <v>14207</v>
      </c>
      <c r="F627" s="3" t="s">
        <v>568</v>
      </c>
    </row>
    <row r="628" spans="1:8" x14ac:dyDescent="0.3">
      <c r="A628" s="33">
        <v>8650</v>
      </c>
      <c r="B628" s="2">
        <v>1257</v>
      </c>
      <c r="C628" s="2" t="s">
        <v>10762</v>
      </c>
      <c r="D628" s="3" t="s">
        <v>14206</v>
      </c>
      <c r="F628" s="3" t="s">
        <v>2296</v>
      </c>
      <c r="G628" s="3" t="s">
        <v>487</v>
      </c>
    </row>
    <row r="629" spans="1:8" x14ac:dyDescent="0.3">
      <c r="A629" s="33">
        <v>8651</v>
      </c>
      <c r="B629" s="2">
        <v>1258</v>
      </c>
      <c r="C629" s="2" t="s">
        <v>10770</v>
      </c>
      <c r="D629" s="3" t="s">
        <v>14206</v>
      </c>
      <c r="F629" s="3" t="s">
        <v>469</v>
      </c>
    </row>
    <row r="630" spans="1:8" x14ac:dyDescent="0.3">
      <c r="A630" s="33">
        <v>8658</v>
      </c>
      <c r="B630" s="2">
        <v>1259</v>
      </c>
      <c r="C630" s="2" t="s">
        <v>10778</v>
      </c>
      <c r="D630" s="3" t="s">
        <v>14206</v>
      </c>
      <c r="F630" s="3" t="s">
        <v>3464</v>
      </c>
    </row>
    <row r="631" spans="1:8" x14ac:dyDescent="0.3">
      <c r="A631" s="33">
        <v>8663</v>
      </c>
      <c r="B631" s="2">
        <v>1261</v>
      </c>
      <c r="C631" s="2" t="s">
        <v>10793</v>
      </c>
      <c r="D631" s="3" t="s">
        <v>14206</v>
      </c>
      <c r="F631" s="3" t="s">
        <v>3464</v>
      </c>
    </row>
    <row r="632" spans="1:8" ht="27.6" x14ac:dyDescent="0.3">
      <c r="A632" s="33">
        <v>8664</v>
      </c>
      <c r="B632" s="2">
        <v>1980</v>
      </c>
      <c r="C632" s="2" t="s">
        <v>10799</v>
      </c>
      <c r="D632" s="29" t="s">
        <v>14235</v>
      </c>
      <c r="F632" s="3" t="s">
        <v>3460</v>
      </c>
    </row>
    <row r="633" spans="1:8" x14ac:dyDescent="0.3">
      <c r="A633" s="33">
        <v>8665</v>
      </c>
      <c r="B633" s="2">
        <v>1262</v>
      </c>
      <c r="C633" s="2" t="s">
        <v>10807</v>
      </c>
      <c r="D633" s="3" t="s">
        <v>14206</v>
      </c>
      <c r="F633" s="3" t="s">
        <v>824</v>
      </c>
      <c r="G633" s="3" t="s">
        <v>487</v>
      </c>
    </row>
    <row r="634" spans="1:8" x14ac:dyDescent="0.3">
      <c r="A634" s="33">
        <v>8668</v>
      </c>
      <c r="B634" s="2">
        <v>1263</v>
      </c>
      <c r="C634" s="2" t="s">
        <v>10814</v>
      </c>
      <c r="D634" s="3" t="s">
        <v>14207</v>
      </c>
      <c r="F634" s="3" t="s">
        <v>713</v>
      </c>
    </row>
    <row r="635" spans="1:8" x14ac:dyDescent="0.3">
      <c r="A635" s="33">
        <v>8669</v>
      </c>
      <c r="B635" s="2">
        <v>1264</v>
      </c>
      <c r="C635" s="2" t="s">
        <v>10821</v>
      </c>
      <c r="D635" s="3" t="s">
        <v>14207</v>
      </c>
      <c r="F635" s="3" t="s">
        <v>713</v>
      </c>
    </row>
    <row r="636" spans="1:8" x14ac:dyDescent="0.3">
      <c r="A636" s="33">
        <v>8673</v>
      </c>
      <c r="B636" s="2">
        <v>1981</v>
      </c>
      <c r="C636" s="2" t="s">
        <v>10827</v>
      </c>
      <c r="D636" s="3" t="s">
        <v>14206</v>
      </c>
      <c r="F636" s="3" t="s">
        <v>721</v>
      </c>
      <c r="H636" s="3" t="s">
        <v>3083</v>
      </c>
    </row>
    <row r="637" spans="1:8" x14ac:dyDescent="0.3">
      <c r="A637" s="33">
        <v>8675</v>
      </c>
      <c r="B637" s="2">
        <v>1265</v>
      </c>
      <c r="C637" s="2" t="s">
        <v>10834</v>
      </c>
      <c r="D637" s="3" t="s">
        <v>14237</v>
      </c>
      <c r="F637" s="3" t="s">
        <v>3552</v>
      </c>
    </row>
    <row r="638" spans="1:8" x14ac:dyDescent="0.3">
      <c r="A638" s="33">
        <v>8679</v>
      </c>
      <c r="B638" s="2">
        <v>1982</v>
      </c>
      <c r="C638" s="2" t="s">
        <v>10842</v>
      </c>
      <c r="D638" s="3" t="s">
        <v>14206</v>
      </c>
      <c r="F638" s="3" t="s">
        <v>3533</v>
      </c>
    </row>
    <row r="639" spans="1:8" x14ac:dyDescent="0.3">
      <c r="A639" s="33">
        <v>8680</v>
      </c>
      <c r="B639" s="2">
        <v>1983</v>
      </c>
      <c r="C639" s="2" t="s">
        <v>10847</v>
      </c>
      <c r="D639" s="3" t="s">
        <v>14206</v>
      </c>
      <c r="F639" s="3" t="s">
        <v>824</v>
      </c>
    </row>
    <row r="640" spans="1:8" x14ac:dyDescent="0.3">
      <c r="A640" s="33">
        <v>8689</v>
      </c>
      <c r="B640" s="2">
        <v>1266</v>
      </c>
      <c r="C640" s="2" t="s">
        <v>10853</v>
      </c>
      <c r="D640" s="3" t="s">
        <v>14206</v>
      </c>
      <c r="F640" s="3" t="s">
        <v>3534</v>
      </c>
    </row>
    <row r="641" spans="1:9" x14ac:dyDescent="0.3">
      <c r="A641" s="33">
        <v>8691</v>
      </c>
      <c r="B641" s="2">
        <v>1267</v>
      </c>
      <c r="C641" s="2" t="s">
        <v>10859</v>
      </c>
      <c r="D641" s="3" t="s">
        <v>14207</v>
      </c>
      <c r="F641" s="3" t="s">
        <v>3535</v>
      </c>
    </row>
    <row r="642" spans="1:9" x14ac:dyDescent="0.3">
      <c r="A642" s="33">
        <v>8692</v>
      </c>
      <c r="B642" s="2">
        <v>1268</v>
      </c>
      <c r="C642" s="2" t="s">
        <v>10865</v>
      </c>
      <c r="D642" s="3" t="s">
        <v>14207</v>
      </c>
      <c r="F642" s="3" t="s">
        <v>713</v>
      </c>
    </row>
    <row r="643" spans="1:9" x14ac:dyDescent="0.3">
      <c r="A643" s="33">
        <v>8693</v>
      </c>
      <c r="B643" s="2">
        <v>1269</v>
      </c>
      <c r="C643" s="2" t="s">
        <v>10871</v>
      </c>
      <c r="D643" s="3" t="s">
        <v>14237</v>
      </c>
      <c r="F643" s="3" t="s">
        <v>3561</v>
      </c>
    </row>
    <row r="644" spans="1:9" x14ac:dyDescent="0.3">
      <c r="A644" s="33">
        <v>8707</v>
      </c>
      <c r="B644" s="2">
        <v>1270</v>
      </c>
      <c r="C644" s="2" t="s">
        <v>10878</v>
      </c>
      <c r="D644" s="3" t="s">
        <v>14206</v>
      </c>
      <c r="F644" s="3" t="s">
        <v>3587</v>
      </c>
    </row>
    <row r="645" spans="1:9" x14ac:dyDescent="0.3">
      <c r="A645" s="33">
        <v>8715</v>
      </c>
      <c r="B645" s="2">
        <v>1984</v>
      </c>
      <c r="C645" s="2" t="s">
        <v>10885</v>
      </c>
      <c r="D645" s="3" t="s">
        <v>14206</v>
      </c>
      <c r="F645" s="3" t="s">
        <v>30</v>
      </c>
    </row>
    <row r="646" spans="1:9" x14ac:dyDescent="0.3">
      <c r="A646" s="33">
        <v>8717</v>
      </c>
      <c r="B646" s="2">
        <v>1271</v>
      </c>
      <c r="C646" s="2" t="s">
        <v>10892</v>
      </c>
      <c r="D646" s="3" t="s">
        <v>14206</v>
      </c>
      <c r="F646" s="3" t="s">
        <v>3535</v>
      </c>
      <c r="I646" s="3" t="s">
        <v>1638</v>
      </c>
    </row>
    <row r="647" spans="1:9" x14ac:dyDescent="0.3">
      <c r="A647" s="33">
        <v>8719</v>
      </c>
      <c r="B647" s="2">
        <v>1985</v>
      </c>
      <c r="C647" s="2" t="s">
        <v>10899</v>
      </c>
      <c r="D647" s="3" t="s">
        <v>14206</v>
      </c>
      <c r="F647" s="3" t="s">
        <v>824</v>
      </c>
    </row>
    <row r="648" spans="1:9" x14ac:dyDescent="0.3">
      <c r="A648" s="33">
        <v>8725</v>
      </c>
      <c r="B648" s="2">
        <v>1272</v>
      </c>
      <c r="C648" s="2" t="s">
        <v>10906</v>
      </c>
      <c r="D648" s="3" t="s">
        <v>14206</v>
      </c>
      <c r="F648" s="3" t="s">
        <v>600</v>
      </c>
    </row>
    <row r="649" spans="1:9" x14ac:dyDescent="0.3">
      <c r="A649" s="33">
        <v>8726</v>
      </c>
      <c r="B649" s="2">
        <v>1273</v>
      </c>
      <c r="C649" s="2" t="s">
        <v>10912</v>
      </c>
      <c r="D649" s="3" t="s">
        <v>14206</v>
      </c>
      <c r="F649" s="3" t="s">
        <v>648</v>
      </c>
    </row>
    <row r="650" spans="1:9" x14ac:dyDescent="0.3">
      <c r="A650" s="33">
        <v>8727</v>
      </c>
      <c r="B650" s="2">
        <v>1274</v>
      </c>
      <c r="C650" s="2" t="s">
        <v>10920</v>
      </c>
      <c r="D650" s="3" t="s">
        <v>14207</v>
      </c>
      <c r="F650" s="3" t="s">
        <v>648</v>
      </c>
    </row>
    <row r="651" spans="1:9" x14ac:dyDescent="0.3">
      <c r="A651" s="33">
        <v>8728</v>
      </c>
      <c r="B651" s="2">
        <v>1275</v>
      </c>
      <c r="C651" s="2" t="s">
        <v>10926</v>
      </c>
      <c r="D651" s="3" t="s">
        <v>14206</v>
      </c>
      <c r="F651" s="3" t="s">
        <v>3631</v>
      </c>
    </row>
    <row r="652" spans="1:9" x14ac:dyDescent="0.3">
      <c r="A652" s="33">
        <v>8730</v>
      </c>
      <c r="B652" s="2">
        <v>1986</v>
      </c>
      <c r="C652" s="2" t="s">
        <v>10932</v>
      </c>
      <c r="D652" s="3" t="s">
        <v>14207</v>
      </c>
      <c r="F652" s="3" t="s">
        <v>289</v>
      </c>
    </row>
    <row r="653" spans="1:9" x14ac:dyDescent="0.3">
      <c r="A653" s="33">
        <v>8733</v>
      </c>
      <c r="B653" s="2">
        <v>1276</v>
      </c>
      <c r="C653" s="2" t="s">
        <v>10938</v>
      </c>
      <c r="D653" s="3" t="s">
        <v>14206</v>
      </c>
      <c r="E653" s="3" t="s">
        <v>1665</v>
      </c>
      <c r="F653" s="3" t="s">
        <v>3634</v>
      </c>
    </row>
    <row r="654" spans="1:9" x14ac:dyDescent="0.3">
      <c r="A654" s="33">
        <v>8738</v>
      </c>
      <c r="B654" s="2">
        <v>1277</v>
      </c>
      <c r="C654" s="2" t="s">
        <v>10946</v>
      </c>
      <c r="D654" s="3" t="s">
        <v>14206</v>
      </c>
      <c r="F654" s="3" t="s">
        <v>648</v>
      </c>
    </row>
    <row r="655" spans="1:9" x14ac:dyDescent="0.3">
      <c r="A655" s="33">
        <v>8740</v>
      </c>
      <c r="B655" s="2">
        <v>1987</v>
      </c>
      <c r="C655" s="2" t="s">
        <v>10954</v>
      </c>
      <c r="D655" s="3" t="s">
        <v>14206</v>
      </c>
      <c r="F655" s="3" t="s">
        <v>289</v>
      </c>
    </row>
    <row r="656" spans="1:9" x14ac:dyDescent="0.3">
      <c r="A656" s="33">
        <v>8747</v>
      </c>
      <c r="B656" s="2">
        <v>1278</v>
      </c>
      <c r="C656" s="2" t="s">
        <v>10962</v>
      </c>
      <c r="D656" s="3" t="s">
        <v>14206</v>
      </c>
      <c r="F656" s="3" t="s">
        <v>713</v>
      </c>
    </row>
    <row r="657" spans="1:9" x14ac:dyDescent="0.3">
      <c r="A657" s="33">
        <v>8750</v>
      </c>
      <c r="B657" s="2">
        <v>1988</v>
      </c>
      <c r="C657" s="2" t="s">
        <v>10969</v>
      </c>
      <c r="D657" s="3" t="s">
        <v>14206</v>
      </c>
      <c r="F657" s="3" t="s">
        <v>261</v>
      </c>
    </row>
    <row r="658" spans="1:9" ht="41.4" x14ac:dyDescent="0.3">
      <c r="A658" s="33">
        <v>8751</v>
      </c>
      <c r="B658" s="2">
        <v>1279</v>
      </c>
      <c r="C658" s="2" t="s">
        <v>10977</v>
      </c>
      <c r="D658" s="29" t="s">
        <v>14222</v>
      </c>
      <c r="F658" s="3" t="s">
        <v>2113</v>
      </c>
    </row>
    <row r="659" spans="1:9" x14ac:dyDescent="0.3">
      <c r="A659" s="33">
        <v>8755</v>
      </c>
      <c r="B659" s="2">
        <v>1280</v>
      </c>
      <c r="C659" s="2" t="s">
        <v>10985</v>
      </c>
      <c r="D659" s="3" t="s">
        <v>14206</v>
      </c>
      <c r="F659" s="3" t="s">
        <v>3741</v>
      </c>
    </row>
    <row r="660" spans="1:9" x14ac:dyDescent="0.3">
      <c r="A660" s="33">
        <v>8756</v>
      </c>
      <c r="B660" s="2">
        <v>1281</v>
      </c>
      <c r="C660" s="2" t="s">
        <v>10985</v>
      </c>
      <c r="D660" s="3" t="s">
        <v>14206</v>
      </c>
      <c r="F660" s="3" t="s">
        <v>3741</v>
      </c>
    </row>
    <row r="661" spans="1:9" x14ac:dyDescent="0.3">
      <c r="A661" s="33">
        <v>8757</v>
      </c>
      <c r="B661" s="2">
        <v>1989</v>
      </c>
      <c r="C661" s="2" t="s">
        <v>10996</v>
      </c>
      <c r="D661" s="3" t="s">
        <v>14206</v>
      </c>
      <c r="F661" s="3" t="s">
        <v>824</v>
      </c>
    </row>
    <row r="662" spans="1:9" x14ac:dyDescent="0.3">
      <c r="A662" s="33">
        <v>8758</v>
      </c>
      <c r="B662" s="2">
        <v>1282</v>
      </c>
      <c r="C662" s="2" t="s">
        <v>9546</v>
      </c>
      <c r="D662" s="3" t="s">
        <v>14206</v>
      </c>
      <c r="F662" s="3" t="s">
        <v>2520</v>
      </c>
      <c r="I662" s="3" t="s">
        <v>1638</v>
      </c>
    </row>
    <row r="663" spans="1:9" x14ac:dyDescent="0.3">
      <c r="A663" s="33">
        <v>8762</v>
      </c>
      <c r="B663" s="2">
        <v>1283</v>
      </c>
      <c r="C663" s="2" t="s">
        <v>11006</v>
      </c>
      <c r="D663" s="3" t="s">
        <v>14207</v>
      </c>
      <c r="F663" s="3" t="s">
        <v>504</v>
      </c>
      <c r="I663" s="3" t="s">
        <v>1638</v>
      </c>
    </row>
    <row r="664" spans="1:9" x14ac:dyDescent="0.3">
      <c r="A664" s="33">
        <v>8765</v>
      </c>
      <c r="B664" s="2">
        <v>1284</v>
      </c>
      <c r="C664" s="2" t="s">
        <v>11012</v>
      </c>
      <c r="D664" s="3" t="s">
        <v>14206</v>
      </c>
      <c r="F664" s="3" t="s">
        <v>2524</v>
      </c>
      <c r="I664" s="3" t="s">
        <v>1638</v>
      </c>
    </row>
    <row r="665" spans="1:9" x14ac:dyDescent="0.3">
      <c r="A665" s="33">
        <v>8767</v>
      </c>
      <c r="B665" s="2">
        <v>1285</v>
      </c>
      <c r="C665" s="2" t="s">
        <v>11019</v>
      </c>
      <c r="D665" s="3" t="s">
        <v>14207</v>
      </c>
      <c r="F665" s="3" t="s">
        <v>3758</v>
      </c>
    </row>
    <row r="666" spans="1:9" x14ac:dyDescent="0.3">
      <c r="A666" s="33">
        <v>8772</v>
      </c>
      <c r="B666" s="2">
        <v>1990</v>
      </c>
      <c r="C666" s="2" t="s">
        <v>11026</v>
      </c>
      <c r="D666" s="3" t="s">
        <v>14206</v>
      </c>
      <c r="F666" s="3" t="s">
        <v>1144</v>
      </c>
    </row>
    <row r="667" spans="1:9" x14ac:dyDescent="0.3">
      <c r="A667" s="33">
        <v>8777</v>
      </c>
      <c r="B667" s="2">
        <v>1991</v>
      </c>
      <c r="C667" s="2" t="s">
        <v>11032</v>
      </c>
      <c r="D667" s="3" t="s">
        <v>14206</v>
      </c>
      <c r="F667" s="3" t="s">
        <v>269</v>
      </c>
    </row>
    <row r="668" spans="1:9" x14ac:dyDescent="0.3">
      <c r="A668" s="33">
        <v>8778</v>
      </c>
      <c r="B668" s="2">
        <v>1286</v>
      </c>
      <c r="C668" s="2" t="s">
        <v>11039</v>
      </c>
      <c r="D668" s="3" t="s">
        <v>14206</v>
      </c>
      <c r="F668" s="3" t="s">
        <v>3464</v>
      </c>
    </row>
    <row r="669" spans="1:9" x14ac:dyDescent="0.3">
      <c r="A669" s="33">
        <v>8779</v>
      </c>
      <c r="B669" s="2">
        <v>1992</v>
      </c>
      <c r="C669" s="2" t="s">
        <v>11044</v>
      </c>
      <c r="D669" s="3" t="s">
        <v>14206</v>
      </c>
      <c r="F669" s="3" t="s">
        <v>168</v>
      </c>
    </row>
    <row r="670" spans="1:9" x14ac:dyDescent="0.3">
      <c r="A670" s="33">
        <v>8789</v>
      </c>
      <c r="B670" s="2">
        <v>1287</v>
      </c>
      <c r="C670" s="2" t="s">
        <v>11051</v>
      </c>
      <c r="D670" s="3" t="s">
        <v>14206</v>
      </c>
      <c r="F670" s="3" t="s">
        <v>3777</v>
      </c>
    </row>
    <row r="671" spans="1:9" x14ac:dyDescent="0.3">
      <c r="A671" s="33">
        <v>8791</v>
      </c>
      <c r="B671" s="2">
        <v>1288</v>
      </c>
      <c r="C671" s="2" t="s">
        <v>11059</v>
      </c>
      <c r="D671" s="3" t="s">
        <v>14206</v>
      </c>
      <c r="F671" s="3" t="s">
        <v>3779</v>
      </c>
    </row>
    <row r="672" spans="1:9" x14ac:dyDescent="0.3">
      <c r="A672" s="33">
        <v>8796</v>
      </c>
      <c r="B672" s="2">
        <v>1289</v>
      </c>
      <c r="C672" s="2" t="s">
        <v>11065</v>
      </c>
      <c r="D672" s="3" t="s">
        <v>14238</v>
      </c>
      <c r="F672" s="3" t="s">
        <v>648</v>
      </c>
      <c r="I672" s="3" t="s">
        <v>443</v>
      </c>
    </row>
    <row r="673" spans="1:9" x14ac:dyDescent="0.3">
      <c r="A673" s="33">
        <v>8797</v>
      </c>
      <c r="B673" s="2">
        <v>1290</v>
      </c>
      <c r="C673" s="2" t="s">
        <v>11073</v>
      </c>
      <c r="D673" s="3" t="s">
        <v>14238</v>
      </c>
      <c r="F673" s="3" t="s">
        <v>648</v>
      </c>
      <c r="I673" s="3" t="s">
        <v>443</v>
      </c>
    </row>
    <row r="674" spans="1:9" x14ac:dyDescent="0.3">
      <c r="A674" s="33">
        <v>8801</v>
      </c>
      <c r="B674" s="2">
        <v>1291</v>
      </c>
      <c r="C674" s="2" t="s">
        <v>11080</v>
      </c>
      <c r="D674" s="3" t="s">
        <v>14206</v>
      </c>
      <c r="F674" s="3" t="s">
        <v>1915</v>
      </c>
    </row>
    <row r="675" spans="1:9" x14ac:dyDescent="0.3">
      <c r="A675" s="33">
        <v>8802</v>
      </c>
      <c r="B675" s="2">
        <v>1993</v>
      </c>
      <c r="C675" s="2" t="s">
        <v>11087</v>
      </c>
      <c r="D675" s="3" t="s">
        <v>14206</v>
      </c>
      <c r="F675" s="3" t="s">
        <v>1903</v>
      </c>
    </row>
    <row r="676" spans="1:9" x14ac:dyDescent="0.3">
      <c r="A676" s="33">
        <v>8804</v>
      </c>
      <c r="B676" s="2">
        <v>1292</v>
      </c>
      <c r="C676" s="2" t="s">
        <v>11093</v>
      </c>
      <c r="D676" s="3" t="s">
        <v>14206</v>
      </c>
      <c r="F676" s="3" t="s">
        <v>3788</v>
      </c>
    </row>
    <row r="677" spans="1:9" x14ac:dyDescent="0.3">
      <c r="A677" s="33">
        <v>8815</v>
      </c>
      <c r="B677" s="2">
        <v>1293</v>
      </c>
      <c r="C677" s="2" t="s">
        <v>11099</v>
      </c>
      <c r="D677" s="3" t="s">
        <v>14206</v>
      </c>
      <c r="F677" s="3" t="s">
        <v>426</v>
      </c>
    </row>
    <row r="678" spans="1:9" x14ac:dyDescent="0.3">
      <c r="A678" s="33">
        <v>8816</v>
      </c>
      <c r="B678" s="2">
        <v>1294</v>
      </c>
      <c r="C678" s="2" t="s">
        <v>11105</v>
      </c>
      <c r="D678" s="3" t="s">
        <v>14207</v>
      </c>
      <c r="F678" s="3" t="s">
        <v>3841</v>
      </c>
    </row>
    <row r="679" spans="1:9" x14ac:dyDescent="0.3">
      <c r="A679" s="33">
        <v>8821</v>
      </c>
      <c r="B679" s="2">
        <v>1295</v>
      </c>
      <c r="C679" s="2" t="s">
        <v>11113</v>
      </c>
      <c r="D679" s="3" t="s">
        <v>14206</v>
      </c>
      <c r="F679" s="3" t="s">
        <v>426</v>
      </c>
    </row>
    <row r="680" spans="1:9" x14ac:dyDescent="0.3">
      <c r="A680" s="33">
        <v>8824</v>
      </c>
      <c r="B680" s="2">
        <v>1994</v>
      </c>
      <c r="C680" s="2" t="s">
        <v>11120</v>
      </c>
      <c r="D680" s="3" t="s">
        <v>14206</v>
      </c>
      <c r="E680" s="3" t="s">
        <v>496</v>
      </c>
      <c r="F680" s="3" t="s">
        <v>1144</v>
      </c>
    </row>
    <row r="681" spans="1:9" x14ac:dyDescent="0.3">
      <c r="A681" s="33">
        <v>8825</v>
      </c>
      <c r="B681" s="2">
        <v>1995</v>
      </c>
      <c r="C681" s="2" t="s">
        <v>11128</v>
      </c>
      <c r="D681" s="3" t="s">
        <v>14206</v>
      </c>
      <c r="F681" s="3" t="s">
        <v>824</v>
      </c>
    </row>
    <row r="682" spans="1:9" x14ac:dyDescent="0.3">
      <c r="A682" s="33">
        <v>8826</v>
      </c>
      <c r="B682" s="2">
        <v>1296</v>
      </c>
      <c r="C682" s="2" t="s">
        <v>11136</v>
      </c>
      <c r="D682" s="3" t="s">
        <v>14206</v>
      </c>
      <c r="F682" s="3" t="s">
        <v>727</v>
      </c>
    </row>
    <row r="683" spans="1:9" x14ac:dyDescent="0.3">
      <c r="A683" s="33">
        <v>8831</v>
      </c>
      <c r="B683" s="2">
        <v>1297</v>
      </c>
      <c r="C683" s="2" t="s">
        <v>11144</v>
      </c>
      <c r="D683" s="3" t="s">
        <v>14207</v>
      </c>
      <c r="F683" s="3" t="s">
        <v>1183</v>
      </c>
    </row>
    <row r="684" spans="1:9" x14ac:dyDescent="0.3">
      <c r="A684" s="33">
        <v>8833</v>
      </c>
      <c r="B684" s="2">
        <v>1298</v>
      </c>
      <c r="C684" s="2" t="s">
        <v>11150</v>
      </c>
      <c r="D684" s="3" t="s">
        <v>14206</v>
      </c>
      <c r="F684" s="3" t="s">
        <v>504</v>
      </c>
    </row>
    <row r="685" spans="1:9" x14ac:dyDescent="0.3">
      <c r="A685" s="33">
        <v>8834</v>
      </c>
      <c r="B685" s="2">
        <v>1299</v>
      </c>
      <c r="C685" s="2" t="s">
        <v>11157</v>
      </c>
      <c r="D685" s="3" t="s">
        <v>14206</v>
      </c>
      <c r="F685" s="3" t="s">
        <v>3788</v>
      </c>
    </row>
    <row r="686" spans="1:9" x14ac:dyDescent="0.3">
      <c r="A686" s="33">
        <v>8835</v>
      </c>
      <c r="B686" s="2">
        <v>1300</v>
      </c>
      <c r="C686" s="2" t="s">
        <v>11163</v>
      </c>
      <c r="D686" s="3" t="s">
        <v>14206</v>
      </c>
      <c r="F686" s="3" t="s">
        <v>600</v>
      </c>
    </row>
    <row r="687" spans="1:9" x14ac:dyDescent="0.3">
      <c r="A687" s="33">
        <v>8837</v>
      </c>
      <c r="B687" s="2">
        <v>1301</v>
      </c>
      <c r="C687" s="2" t="s">
        <v>11169</v>
      </c>
      <c r="D687" s="3" t="s">
        <v>14206</v>
      </c>
      <c r="F687" s="3" t="s">
        <v>3876</v>
      </c>
    </row>
    <row r="688" spans="1:9" x14ac:dyDescent="0.3">
      <c r="A688" s="33">
        <v>8838</v>
      </c>
      <c r="B688" s="2">
        <v>1996</v>
      </c>
      <c r="C688" s="2" t="s">
        <v>11177</v>
      </c>
      <c r="D688" s="3" t="s">
        <v>14207</v>
      </c>
      <c r="F688" s="3" t="s">
        <v>824</v>
      </c>
    </row>
    <row r="689" spans="1:9" x14ac:dyDescent="0.3">
      <c r="A689" s="33">
        <v>8839</v>
      </c>
      <c r="B689" s="2">
        <v>1302</v>
      </c>
      <c r="C689" s="2" t="s">
        <v>11183</v>
      </c>
      <c r="D689" s="3" t="s">
        <v>14206</v>
      </c>
      <c r="F689" s="3" t="s">
        <v>504</v>
      </c>
    </row>
    <row r="690" spans="1:9" x14ac:dyDescent="0.3">
      <c r="A690" s="33">
        <v>8841</v>
      </c>
      <c r="B690" s="2">
        <v>1303</v>
      </c>
      <c r="C690" s="2" t="s">
        <v>11189</v>
      </c>
      <c r="D690" s="3" t="s">
        <v>14207</v>
      </c>
      <c r="F690" s="3" t="s">
        <v>3890</v>
      </c>
      <c r="I690" s="3" t="s">
        <v>3894</v>
      </c>
    </row>
    <row r="691" spans="1:9" x14ac:dyDescent="0.3">
      <c r="A691" s="33">
        <v>8842</v>
      </c>
      <c r="B691" s="2">
        <v>1304</v>
      </c>
      <c r="C691" s="2" t="s">
        <v>11065</v>
      </c>
      <c r="D691" s="3" t="s">
        <v>14238</v>
      </c>
      <c r="F691" s="3" t="s">
        <v>648</v>
      </c>
    </row>
    <row r="692" spans="1:9" x14ac:dyDescent="0.3">
      <c r="A692" s="33">
        <v>8843</v>
      </c>
      <c r="B692" s="2">
        <v>1305</v>
      </c>
      <c r="C692" s="2" t="s">
        <v>11073</v>
      </c>
      <c r="D692" s="3" t="s">
        <v>14238</v>
      </c>
      <c r="F692" s="3" t="s">
        <v>648</v>
      </c>
    </row>
    <row r="693" spans="1:9" x14ac:dyDescent="0.3">
      <c r="A693" s="33">
        <v>8844</v>
      </c>
      <c r="B693" s="2">
        <v>1306</v>
      </c>
      <c r="C693" s="2" t="s">
        <v>11065</v>
      </c>
      <c r="D693" s="3" t="s">
        <v>14238</v>
      </c>
      <c r="F693" s="3" t="s">
        <v>648</v>
      </c>
      <c r="I693" s="3" t="s">
        <v>443</v>
      </c>
    </row>
    <row r="694" spans="1:9" x14ac:dyDescent="0.3">
      <c r="A694" s="33">
        <v>8845</v>
      </c>
      <c r="B694" s="2">
        <v>1307</v>
      </c>
      <c r="C694" s="2" t="s">
        <v>11073</v>
      </c>
      <c r="D694" s="3" t="s">
        <v>14238</v>
      </c>
      <c r="F694" s="3" t="s">
        <v>648</v>
      </c>
    </row>
    <row r="695" spans="1:9" x14ac:dyDescent="0.3">
      <c r="A695" s="33">
        <v>8846</v>
      </c>
      <c r="B695" s="2">
        <v>1308</v>
      </c>
      <c r="C695" s="2" t="s">
        <v>11206</v>
      </c>
      <c r="D695" s="3" t="s">
        <v>14206</v>
      </c>
      <c r="F695" s="3" t="s">
        <v>3788</v>
      </c>
    </row>
    <row r="696" spans="1:9" x14ac:dyDescent="0.3">
      <c r="A696" s="33">
        <v>8847</v>
      </c>
      <c r="B696" s="2">
        <v>1309</v>
      </c>
      <c r="C696" s="2" t="s">
        <v>11212</v>
      </c>
      <c r="D696" s="3" t="s">
        <v>14206</v>
      </c>
      <c r="F696" s="3" t="s">
        <v>600</v>
      </c>
    </row>
    <row r="697" spans="1:9" x14ac:dyDescent="0.3">
      <c r="A697" s="33">
        <v>8848</v>
      </c>
      <c r="B697" s="2">
        <v>1310</v>
      </c>
      <c r="C697" s="2" t="s">
        <v>11218</v>
      </c>
      <c r="D697" s="3" t="s">
        <v>14206</v>
      </c>
      <c r="E697" s="3" t="s">
        <v>3915</v>
      </c>
      <c r="F697" s="3" t="s">
        <v>3916</v>
      </c>
      <c r="I697" s="3" t="s">
        <v>1638</v>
      </c>
    </row>
    <row r="698" spans="1:9" x14ac:dyDescent="0.3">
      <c r="A698" s="33">
        <v>8849</v>
      </c>
      <c r="B698" s="2">
        <v>1311</v>
      </c>
      <c r="C698" s="2" t="s">
        <v>11225</v>
      </c>
      <c r="D698" s="3" t="s">
        <v>14206</v>
      </c>
      <c r="F698" s="3" t="s">
        <v>1903</v>
      </c>
    </row>
    <row r="699" spans="1:9" x14ac:dyDescent="0.3">
      <c r="A699" s="33">
        <v>8852</v>
      </c>
      <c r="B699" s="2">
        <v>1997</v>
      </c>
      <c r="C699" s="2" t="s">
        <v>11232</v>
      </c>
      <c r="D699" s="3" t="s">
        <v>14206</v>
      </c>
      <c r="F699" s="3" t="s">
        <v>193</v>
      </c>
    </row>
    <row r="700" spans="1:9" x14ac:dyDescent="0.3">
      <c r="A700" s="33">
        <v>8853</v>
      </c>
      <c r="B700" s="2">
        <v>1312</v>
      </c>
      <c r="C700" s="2" t="s">
        <v>11238</v>
      </c>
      <c r="D700" s="3" t="s">
        <v>14206</v>
      </c>
      <c r="F700" s="3" t="s">
        <v>1915</v>
      </c>
    </row>
    <row r="701" spans="1:9" x14ac:dyDescent="0.3">
      <c r="A701" s="33">
        <v>8854</v>
      </c>
      <c r="B701" s="2">
        <v>1313</v>
      </c>
      <c r="C701" s="2" t="s">
        <v>11245</v>
      </c>
      <c r="D701" s="3" t="s">
        <v>14206</v>
      </c>
      <c r="F701" s="3" t="s">
        <v>1915</v>
      </c>
    </row>
    <row r="702" spans="1:9" x14ac:dyDescent="0.3">
      <c r="A702" s="33">
        <v>8856</v>
      </c>
      <c r="B702" s="2">
        <v>1314</v>
      </c>
      <c r="C702" s="2" t="s">
        <v>11252</v>
      </c>
      <c r="D702" s="3" t="s">
        <v>14206</v>
      </c>
      <c r="F702" s="3" t="s">
        <v>3920</v>
      </c>
    </row>
    <row r="703" spans="1:9" x14ac:dyDescent="0.3">
      <c r="A703" s="33">
        <v>8857</v>
      </c>
      <c r="B703" s="2">
        <v>1998</v>
      </c>
      <c r="C703" s="2" t="s">
        <v>11258</v>
      </c>
      <c r="D703" s="3" t="s">
        <v>14206</v>
      </c>
      <c r="F703" s="3" t="s">
        <v>261</v>
      </c>
    </row>
    <row r="704" spans="1:9" x14ac:dyDescent="0.3">
      <c r="A704" s="33">
        <v>8861</v>
      </c>
      <c r="B704" s="2">
        <v>1315</v>
      </c>
      <c r="C704" s="2" t="s">
        <v>11263</v>
      </c>
      <c r="D704" s="3" t="s">
        <v>14206</v>
      </c>
      <c r="F704" s="3" t="s">
        <v>1637</v>
      </c>
    </row>
    <row r="705" spans="1:9" x14ac:dyDescent="0.3">
      <c r="A705" s="33">
        <v>8862</v>
      </c>
      <c r="B705" s="2">
        <v>1316</v>
      </c>
      <c r="C705" s="2" t="s">
        <v>11270</v>
      </c>
      <c r="D705" s="3" t="s">
        <v>14206</v>
      </c>
      <c r="F705" s="3" t="s">
        <v>3966</v>
      </c>
    </row>
    <row r="706" spans="1:9" x14ac:dyDescent="0.3">
      <c r="A706" s="33">
        <v>8866</v>
      </c>
      <c r="B706" s="2">
        <v>1317</v>
      </c>
      <c r="C706" s="2" t="s">
        <v>11276</v>
      </c>
      <c r="D706" s="3" t="s">
        <v>14206</v>
      </c>
      <c r="F706" s="3" t="s">
        <v>824</v>
      </c>
      <c r="I706" s="3" t="s">
        <v>4033</v>
      </c>
    </row>
    <row r="707" spans="1:9" x14ac:dyDescent="0.3">
      <c r="A707" s="33">
        <v>8867</v>
      </c>
      <c r="B707" s="2">
        <v>1318</v>
      </c>
      <c r="C707" s="2" t="s">
        <v>11284</v>
      </c>
      <c r="D707" s="3" t="s">
        <v>14206</v>
      </c>
      <c r="F707" s="3" t="s">
        <v>4047</v>
      </c>
    </row>
    <row r="708" spans="1:9" x14ac:dyDescent="0.3">
      <c r="A708" s="33">
        <v>8869</v>
      </c>
      <c r="B708" s="2">
        <v>1319</v>
      </c>
      <c r="C708" s="2" t="s">
        <v>11290</v>
      </c>
      <c r="D708" s="3" t="s">
        <v>14207</v>
      </c>
      <c r="F708" s="3" t="s">
        <v>3929</v>
      </c>
      <c r="I708" s="3" t="s">
        <v>3549</v>
      </c>
    </row>
    <row r="709" spans="1:9" x14ac:dyDescent="0.3">
      <c r="A709" s="33">
        <v>8870</v>
      </c>
      <c r="B709" s="2">
        <v>1320</v>
      </c>
      <c r="C709" s="2" t="s">
        <v>11298</v>
      </c>
      <c r="D709" s="3" t="s">
        <v>14207</v>
      </c>
      <c r="F709" s="3" t="s">
        <v>3929</v>
      </c>
      <c r="I709" s="3" t="s">
        <v>3549</v>
      </c>
    </row>
    <row r="710" spans="1:9" x14ac:dyDescent="0.3">
      <c r="A710" s="33">
        <v>8871</v>
      </c>
      <c r="B710" s="2">
        <v>1321</v>
      </c>
      <c r="C710" s="2" t="s">
        <v>11306</v>
      </c>
      <c r="D710" s="3" t="s">
        <v>14207</v>
      </c>
      <c r="F710" s="3" t="s">
        <v>108</v>
      </c>
    </row>
    <row r="711" spans="1:9" x14ac:dyDescent="0.3">
      <c r="A711" s="33">
        <v>8872</v>
      </c>
      <c r="B711" s="2">
        <v>1322</v>
      </c>
      <c r="C711" s="2" t="s">
        <v>11312</v>
      </c>
      <c r="D711" s="3" t="s">
        <v>14207</v>
      </c>
      <c r="F711" s="3" t="s">
        <v>108</v>
      </c>
    </row>
    <row r="712" spans="1:9" x14ac:dyDescent="0.3">
      <c r="A712" s="33">
        <v>8875</v>
      </c>
      <c r="B712" s="2">
        <v>1323</v>
      </c>
      <c r="C712" s="2" t="s">
        <v>11318</v>
      </c>
      <c r="D712" s="3" t="s">
        <v>14206</v>
      </c>
      <c r="F712" s="3" t="s">
        <v>3975</v>
      </c>
    </row>
    <row r="713" spans="1:9" x14ac:dyDescent="0.3">
      <c r="A713" s="33">
        <v>8876</v>
      </c>
      <c r="B713" s="2">
        <v>1999</v>
      </c>
      <c r="C713" s="2" t="s">
        <v>11324</v>
      </c>
      <c r="D713" s="3" t="s">
        <v>14206</v>
      </c>
      <c r="F713" s="3" t="s">
        <v>1903</v>
      </c>
    </row>
    <row r="714" spans="1:9" x14ac:dyDescent="0.3">
      <c r="A714" s="33">
        <v>8878</v>
      </c>
      <c r="B714" s="2">
        <v>2000</v>
      </c>
      <c r="C714" s="2" t="s">
        <v>11332</v>
      </c>
      <c r="D714" s="3" t="s">
        <v>14206</v>
      </c>
      <c r="F714" s="3" t="s">
        <v>1903</v>
      </c>
    </row>
    <row r="715" spans="1:9" x14ac:dyDescent="0.3">
      <c r="A715" s="33">
        <v>8879</v>
      </c>
      <c r="B715" s="2">
        <v>2001</v>
      </c>
      <c r="C715" s="2" t="s">
        <v>11336</v>
      </c>
      <c r="D715" s="3" t="s">
        <v>14206</v>
      </c>
      <c r="F715" s="3" t="s">
        <v>1903</v>
      </c>
    </row>
    <row r="716" spans="1:9" x14ac:dyDescent="0.3">
      <c r="A716" s="33">
        <v>8884</v>
      </c>
      <c r="B716" s="2">
        <v>1324</v>
      </c>
      <c r="C716" s="2" t="s">
        <v>11341</v>
      </c>
      <c r="D716" s="3" t="s">
        <v>14207</v>
      </c>
      <c r="F716" s="3" t="s">
        <v>713</v>
      </c>
    </row>
    <row r="717" spans="1:9" x14ac:dyDescent="0.3">
      <c r="A717" s="33">
        <v>8887</v>
      </c>
      <c r="B717" s="2">
        <v>2002</v>
      </c>
      <c r="C717" s="2" t="s">
        <v>11348</v>
      </c>
      <c r="D717" s="3" t="s">
        <v>14206</v>
      </c>
      <c r="F717" s="3" t="s">
        <v>1903</v>
      </c>
    </row>
    <row r="718" spans="1:9" x14ac:dyDescent="0.3">
      <c r="A718" s="33">
        <v>8888</v>
      </c>
      <c r="B718" s="2">
        <v>1325</v>
      </c>
      <c r="C718" s="2" t="s">
        <v>11354</v>
      </c>
      <c r="D718" s="3" t="s">
        <v>14206</v>
      </c>
      <c r="F718" s="3" t="s">
        <v>504</v>
      </c>
    </row>
    <row r="719" spans="1:9" x14ac:dyDescent="0.3">
      <c r="A719" s="33">
        <v>8891</v>
      </c>
      <c r="B719" s="2">
        <v>1326</v>
      </c>
      <c r="C719" s="2" t="s">
        <v>11360</v>
      </c>
      <c r="D719" s="3" t="s">
        <v>14206</v>
      </c>
      <c r="F719" s="3" t="s">
        <v>747</v>
      </c>
    </row>
    <row r="720" spans="1:9" x14ac:dyDescent="0.3">
      <c r="A720" s="33">
        <v>8892</v>
      </c>
      <c r="B720" s="2">
        <v>1327</v>
      </c>
      <c r="C720" s="2" t="s">
        <v>11360</v>
      </c>
      <c r="D720" s="3" t="s">
        <v>14206</v>
      </c>
      <c r="F720" s="3" t="s">
        <v>747</v>
      </c>
    </row>
    <row r="721" spans="1:9" x14ac:dyDescent="0.3">
      <c r="A721" s="33">
        <v>8893</v>
      </c>
      <c r="B721" s="2">
        <v>1328</v>
      </c>
      <c r="C721" s="2" t="s">
        <v>11371</v>
      </c>
      <c r="D721" s="3" t="s">
        <v>14206</v>
      </c>
      <c r="F721" s="3" t="s">
        <v>504</v>
      </c>
      <c r="I721" s="3" t="s">
        <v>1638</v>
      </c>
    </row>
    <row r="722" spans="1:9" x14ac:dyDescent="0.3">
      <c r="A722" s="33">
        <v>8897</v>
      </c>
      <c r="B722" s="2">
        <v>1329</v>
      </c>
      <c r="C722" s="2" t="s">
        <v>11378</v>
      </c>
      <c r="D722" s="3" t="s">
        <v>14206</v>
      </c>
      <c r="F722" s="3" t="s">
        <v>713</v>
      </c>
    </row>
    <row r="723" spans="1:9" x14ac:dyDescent="0.3">
      <c r="A723" s="33">
        <v>8898</v>
      </c>
      <c r="B723" s="2">
        <v>1330</v>
      </c>
      <c r="C723" s="2" t="s">
        <v>11384</v>
      </c>
      <c r="D723" s="3" t="s">
        <v>14238</v>
      </c>
      <c r="F723" s="3" t="s">
        <v>648</v>
      </c>
    </row>
    <row r="724" spans="1:9" x14ac:dyDescent="0.3">
      <c r="A724" s="33">
        <v>8899</v>
      </c>
      <c r="B724" s="2">
        <v>1331</v>
      </c>
      <c r="C724" s="2" t="s">
        <v>11390</v>
      </c>
      <c r="D724" s="3" t="s">
        <v>14238</v>
      </c>
      <c r="F724" s="3" t="s">
        <v>648</v>
      </c>
    </row>
    <row r="725" spans="1:9" x14ac:dyDescent="0.3">
      <c r="A725" s="33">
        <v>8901</v>
      </c>
      <c r="B725" s="2">
        <v>1332</v>
      </c>
      <c r="C725" s="2" t="s">
        <v>11395</v>
      </c>
      <c r="D725" s="3" t="s">
        <v>14206</v>
      </c>
      <c r="F725" s="3" t="s">
        <v>469</v>
      </c>
    </row>
    <row r="726" spans="1:9" x14ac:dyDescent="0.3">
      <c r="A726" s="33">
        <v>8902</v>
      </c>
      <c r="B726" s="2">
        <v>2003</v>
      </c>
      <c r="C726" s="2" t="s">
        <v>11401</v>
      </c>
      <c r="D726" s="3" t="s">
        <v>14206</v>
      </c>
      <c r="F726" s="3" t="s">
        <v>1903</v>
      </c>
    </row>
    <row r="727" spans="1:9" x14ac:dyDescent="0.3">
      <c r="A727" s="33">
        <v>8903</v>
      </c>
      <c r="B727" s="2">
        <v>2004</v>
      </c>
      <c r="C727" s="2" t="s">
        <v>11405</v>
      </c>
      <c r="D727" s="3" t="s">
        <v>14206</v>
      </c>
      <c r="F727" s="3" t="s">
        <v>1903</v>
      </c>
    </row>
    <row r="728" spans="1:9" x14ac:dyDescent="0.3">
      <c r="A728" s="33">
        <v>8904</v>
      </c>
      <c r="B728" s="2">
        <v>2005</v>
      </c>
      <c r="C728" s="2" t="s">
        <v>11411</v>
      </c>
      <c r="D728" s="3" t="s">
        <v>14206</v>
      </c>
      <c r="F728" s="3" t="s">
        <v>1903</v>
      </c>
    </row>
    <row r="729" spans="1:9" x14ac:dyDescent="0.3">
      <c r="A729" s="33">
        <v>8905</v>
      </c>
      <c r="B729" s="2">
        <v>2006</v>
      </c>
      <c r="C729" s="2" t="s">
        <v>11416</v>
      </c>
      <c r="D729" s="3" t="s">
        <v>14206</v>
      </c>
      <c r="F729" s="3" t="s">
        <v>1903</v>
      </c>
    </row>
    <row r="730" spans="1:9" x14ac:dyDescent="0.3">
      <c r="A730" s="33">
        <v>8906</v>
      </c>
      <c r="B730" s="2">
        <v>2007</v>
      </c>
      <c r="C730" s="2" t="s">
        <v>11421</v>
      </c>
      <c r="D730" s="3" t="s">
        <v>14206</v>
      </c>
      <c r="F730" s="3" t="s">
        <v>1903</v>
      </c>
    </row>
    <row r="731" spans="1:9" x14ac:dyDescent="0.3">
      <c r="A731" s="33">
        <v>8909</v>
      </c>
      <c r="B731" s="2">
        <v>1333</v>
      </c>
      <c r="C731" s="2" t="s">
        <v>11426</v>
      </c>
      <c r="F731" s="3" t="s">
        <v>4195</v>
      </c>
    </row>
    <row r="732" spans="1:9" x14ac:dyDescent="0.3">
      <c r="A732" s="33">
        <v>8910</v>
      </c>
      <c r="B732" s="2">
        <v>1334</v>
      </c>
      <c r="C732" s="2" t="s">
        <v>11433</v>
      </c>
      <c r="F732" s="3" t="s">
        <v>4197</v>
      </c>
    </row>
    <row r="733" spans="1:9" x14ac:dyDescent="0.3">
      <c r="A733" s="33">
        <v>8912</v>
      </c>
      <c r="B733" s="2">
        <v>2008</v>
      </c>
      <c r="C733" s="2" t="s">
        <v>11440</v>
      </c>
      <c r="D733" s="3" t="s">
        <v>14207</v>
      </c>
      <c r="F733" s="3" t="s">
        <v>558</v>
      </c>
    </row>
    <row r="734" spans="1:9" x14ac:dyDescent="0.3">
      <c r="A734" s="33">
        <v>8914</v>
      </c>
      <c r="B734" s="2">
        <v>1335</v>
      </c>
      <c r="C734" s="2" t="s">
        <v>11446</v>
      </c>
      <c r="D734" s="3" t="s">
        <v>14207</v>
      </c>
      <c r="F734" s="3" t="s">
        <v>648</v>
      </c>
      <c r="I734" s="3" t="s">
        <v>3549</v>
      </c>
    </row>
    <row r="735" spans="1:9" x14ac:dyDescent="0.3">
      <c r="A735" s="33">
        <v>8915</v>
      </c>
      <c r="B735" s="2">
        <v>1336</v>
      </c>
      <c r="C735" s="2" t="s">
        <v>11452</v>
      </c>
      <c r="D735" s="3" t="s">
        <v>14207</v>
      </c>
      <c r="F735" s="3" t="s">
        <v>648</v>
      </c>
    </row>
    <row r="736" spans="1:9" x14ac:dyDescent="0.3">
      <c r="A736" s="33">
        <v>8919</v>
      </c>
      <c r="B736" s="2">
        <v>1337</v>
      </c>
      <c r="C736" s="2" t="s">
        <v>11458</v>
      </c>
      <c r="D736" s="3" t="s">
        <v>14206</v>
      </c>
      <c r="F736" s="3" t="s">
        <v>108</v>
      </c>
      <c r="I736" s="3" t="s">
        <v>443</v>
      </c>
    </row>
    <row r="737" spans="1:9" x14ac:dyDescent="0.3">
      <c r="A737" s="33">
        <v>8921</v>
      </c>
      <c r="B737" s="2">
        <v>1338</v>
      </c>
      <c r="C737" s="2" t="s">
        <v>11464</v>
      </c>
      <c r="D737" s="3" t="s">
        <v>14207</v>
      </c>
      <c r="F737" s="3" t="s">
        <v>648</v>
      </c>
    </row>
    <row r="738" spans="1:9" x14ac:dyDescent="0.3">
      <c r="A738" s="33">
        <v>8922</v>
      </c>
      <c r="B738" s="2">
        <v>1339</v>
      </c>
      <c r="C738" s="2" t="s">
        <v>11471</v>
      </c>
      <c r="D738" s="3" t="s">
        <v>14207</v>
      </c>
      <c r="E738" s="3" t="s">
        <v>4061</v>
      </c>
      <c r="F738" s="3" t="s">
        <v>469</v>
      </c>
      <c r="G738" s="3" t="s">
        <v>575</v>
      </c>
      <c r="I738" s="3" t="s">
        <v>1638</v>
      </c>
    </row>
    <row r="739" spans="1:9" x14ac:dyDescent="0.3">
      <c r="A739" s="33">
        <v>8923</v>
      </c>
      <c r="B739" s="2">
        <v>1340</v>
      </c>
      <c r="C739" s="2" t="s">
        <v>11478</v>
      </c>
      <c r="D739" s="3" t="s">
        <v>14206</v>
      </c>
      <c r="F739" s="3" t="s">
        <v>648</v>
      </c>
      <c r="I739" s="3" t="s">
        <v>1638</v>
      </c>
    </row>
    <row r="740" spans="1:9" x14ac:dyDescent="0.3">
      <c r="A740" s="33">
        <v>8924</v>
      </c>
      <c r="B740" s="2">
        <v>1341</v>
      </c>
      <c r="C740" s="2" t="s">
        <v>11486</v>
      </c>
      <c r="D740" s="3" t="s">
        <v>14206</v>
      </c>
      <c r="F740" s="3" t="s">
        <v>4068</v>
      </c>
    </row>
    <row r="741" spans="1:9" x14ac:dyDescent="0.3">
      <c r="A741" s="33">
        <v>8930</v>
      </c>
      <c r="B741" s="2">
        <v>2009</v>
      </c>
      <c r="C741" s="2" t="s">
        <v>11493</v>
      </c>
      <c r="D741" s="3" t="s">
        <v>14206</v>
      </c>
      <c r="F741" s="3" t="s">
        <v>289</v>
      </c>
    </row>
    <row r="742" spans="1:9" x14ac:dyDescent="0.3">
      <c r="A742" s="33">
        <v>8931</v>
      </c>
      <c r="B742" s="2">
        <v>2010</v>
      </c>
      <c r="C742" s="2" t="s">
        <v>11500</v>
      </c>
      <c r="D742" s="3" t="s">
        <v>14206</v>
      </c>
      <c r="F742" s="3" t="s">
        <v>289</v>
      </c>
    </row>
    <row r="743" spans="1:9" x14ac:dyDescent="0.3">
      <c r="A743" s="33">
        <v>8935</v>
      </c>
      <c r="B743" s="2">
        <v>2011</v>
      </c>
      <c r="C743" s="2" t="s">
        <v>11506</v>
      </c>
      <c r="D743" s="3" t="s">
        <v>14206</v>
      </c>
      <c r="F743" s="3" t="s">
        <v>289</v>
      </c>
    </row>
    <row r="744" spans="1:9" x14ac:dyDescent="0.3">
      <c r="A744" s="33">
        <v>8936</v>
      </c>
      <c r="B744" s="2">
        <v>2012</v>
      </c>
      <c r="C744" s="2" t="s">
        <v>11513</v>
      </c>
      <c r="D744" s="3" t="s">
        <v>14206</v>
      </c>
      <c r="F744" s="3" t="s">
        <v>289</v>
      </c>
    </row>
    <row r="745" spans="1:9" x14ac:dyDescent="0.3">
      <c r="A745" s="33">
        <v>8937</v>
      </c>
      <c r="B745" s="2">
        <v>2013</v>
      </c>
      <c r="C745" s="2" t="s">
        <v>11517</v>
      </c>
      <c r="D745" s="3" t="s">
        <v>14206</v>
      </c>
      <c r="F745" s="3" t="s">
        <v>289</v>
      </c>
    </row>
    <row r="746" spans="1:9" x14ac:dyDescent="0.3">
      <c r="A746" s="33">
        <v>8938</v>
      </c>
      <c r="B746" s="2">
        <v>1342</v>
      </c>
      <c r="C746" s="2" t="s">
        <v>11522</v>
      </c>
      <c r="D746" s="3" t="s">
        <v>14206</v>
      </c>
      <c r="E746" s="3" t="s">
        <v>4081</v>
      </c>
      <c r="F746" s="3" t="s">
        <v>4082</v>
      </c>
      <c r="I746" s="3" t="s">
        <v>1473</v>
      </c>
    </row>
    <row r="747" spans="1:9" x14ac:dyDescent="0.3">
      <c r="A747" s="33">
        <v>8939</v>
      </c>
      <c r="B747" s="2">
        <v>1343</v>
      </c>
      <c r="C747" s="2" t="s">
        <v>11530</v>
      </c>
      <c r="D747" s="3" t="s">
        <v>14206</v>
      </c>
      <c r="F747" s="3" t="s">
        <v>2857</v>
      </c>
    </row>
    <row r="748" spans="1:9" x14ac:dyDescent="0.3">
      <c r="A748" s="33">
        <v>8941</v>
      </c>
      <c r="B748" s="2">
        <v>2014</v>
      </c>
      <c r="C748" s="2" t="s">
        <v>11537</v>
      </c>
      <c r="D748" s="3" t="s">
        <v>14206</v>
      </c>
      <c r="F748" s="3" t="s">
        <v>1903</v>
      </c>
    </row>
    <row r="749" spans="1:9" x14ac:dyDescent="0.3">
      <c r="A749" s="33">
        <v>8942</v>
      </c>
      <c r="B749" s="2">
        <v>1344</v>
      </c>
      <c r="C749" s="2" t="s">
        <v>11543</v>
      </c>
      <c r="D749" s="3" t="s">
        <v>14206</v>
      </c>
      <c r="F749" s="3" t="s">
        <v>4246</v>
      </c>
      <c r="I749" s="3" t="s">
        <v>443</v>
      </c>
    </row>
    <row r="750" spans="1:9" ht="27.6" x14ac:dyDescent="0.3">
      <c r="A750" s="33">
        <v>8944</v>
      </c>
      <c r="B750" s="2">
        <v>1345</v>
      </c>
      <c r="C750" s="2" t="s">
        <v>11549</v>
      </c>
      <c r="D750" s="29" t="s">
        <v>14240</v>
      </c>
      <c r="E750" s="3" t="s">
        <v>4239</v>
      </c>
      <c r="F750" s="3" t="s">
        <v>4240</v>
      </c>
    </row>
    <row r="751" spans="1:9" x14ac:dyDescent="0.3">
      <c r="A751" s="33">
        <v>8945</v>
      </c>
      <c r="B751" s="2">
        <v>2015</v>
      </c>
      <c r="C751" s="2" t="s">
        <v>11556</v>
      </c>
      <c r="D751" s="3" t="s">
        <v>14206</v>
      </c>
      <c r="F751" s="3" t="s">
        <v>721</v>
      </c>
    </row>
    <row r="752" spans="1:9" x14ac:dyDescent="0.3">
      <c r="A752" s="33">
        <v>8946</v>
      </c>
      <c r="B752" s="2">
        <v>1346</v>
      </c>
      <c r="C752" s="2" t="s">
        <v>11562</v>
      </c>
      <c r="D752" s="3" t="s">
        <v>14206</v>
      </c>
      <c r="F752" s="3" t="s">
        <v>2116</v>
      </c>
    </row>
    <row r="753" spans="1:9" x14ac:dyDescent="0.3">
      <c r="A753" s="33">
        <v>8947</v>
      </c>
      <c r="B753" s="2">
        <v>1347</v>
      </c>
      <c r="C753" s="2" t="s">
        <v>11568</v>
      </c>
      <c r="D753" s="3" t="s">
        <v>14206</v>
      </c>
      <c r="F753" s="3" t="s">
        <v>469</v>
      </c>
    </row>
    <row r="754" spans="1:9" x14ac:dyDescent="0.3">
      <c r="A754" s="33">
        <v>8950</v>
      </c>
      <c r="B754" s="2">
        <v>2016</v>
      </c>
      <c r="C754" s="2" t="s">
        <v>11574</v>
      </c>
      <c r="D754" s="3" t="s">
        <v>14207</v>
      </c>
      <c r="F754" s="3" t="s">
        <v>824</v>
      </c>
    </row>
    <row r="755" spans="1:9" x14ac:dyDescent="0.3">
      <c r="A755" s="33">
        <v>8951</v>
      </c>
      <c r="B755" s="2">
        <v>2017</v>
      </c>
      <c r="C755" s="2" t="s">
        <v>11580</v>
      </c>
      <c r="D755" s="3" t="s">
        <v>14206</v>
      </c>
      <c r="F755" s="3" t="s">
        <v>193</v>
      </c>
    </row>
    <row r="756" spans="1:9" x14ac:dyDescent="0.3">
      <c r="A756" s="33">
        <v>8952</v>
      </c>
      <c r="B756" s="2">
        <v>1348</v>
      </c>
      <c r="C756" s="2" t="s">
        <v>11586</v>
      </c>
      <c r="D756" s="3" t="s">
        <v>14206</v>
      </c>
      <c r="F756" s="3" t="s">
        <v>469</v>
      </c>
      <c r="I756" s="3" t="s">
        <v>4186</v>
      </c>
    </row>
    <row r="757" spans="1:9" x14ac:dyDescent="0.3">
      <c r="A757" s="33">
        <v>8953</v>
      </c>
      <c r="B757" s="2">
        <v>1349</v>
      </c>
      <c r="C757" s="2" t="s">
        <v>11593</v>
      </c>
      <c r="D757" s="3" t="s">
        <v>14206</v>
      </c>
      <c r="F757" s="3" t="s">
        <v>1069</v>
      </c>
    </row>
    <row r="758" spans="1:9" x14ac:dyDescent="0.3">
      <c r="A758" s="33">
        <v>8954</v>
      </c>
      <c r="B758" s="2">
        <v>1350</v>
      </c>
      <c r="C758" s="2" t="s">
        <v>11599</v>
      </c>
      <c r="D758" s="3" t="s">
        <v>14244</v>
      </c>
      <c r="F758" s="3" t="s">
        <v>1952</v>
      </c>
    </row>
    <row r="759" spans="1:9" x14ac:dyDescent="0.3">
      <c r="A759" s="33">
        <v>8955</v>
      </c>
      <c r="B759" s="2">
        <v>1351</v>
      </c>
      <c r="C759" s="2" t="s">
        <v>11607</v>
      </c>
      <c r="D759" s="3" t="s">
        <v>14244</v>
      </c>
      <c r="F759" s="3" t="s">
        <v>727</v>
      </c>
    </row>
    <row r="760" spans="1:9" x14ac:dyDescent="0.3">
      <c r="A760" s="33">
        <v>8956</v>
      </c>
      <c r="B760" s="2">
        <v>1352</v>
      </c>
      <c r="C760" s="2" t="s">
        <v>11613</v>
      </c>
      <c r="D760" s="3" t="s">
        <v>14207</v>
      </c>
      <c r="F760" s="3" t="s">
        <v>810</v>
      </c>
    </row>
    <row r="761" spans="1:9" x14ac:dyDescent="0.3">
      <c r="A761" s="33">
        <v>8957</v>
      </c>
      <c r="B761" s="2">
        <v>2018</v>
      </c>
      <c r="C761" s="2" t="s">
        <v>11619</v>
      </c>
      <c r="D761" s="3" t="s">
        <v>14206</v>
      </c>
      <c r="F761" s="3" t="s">
        <v>1903</v>
      </c>
    </row>
    <row r="762" spans="1:9" x14ac:dyDescent="0.3">
      <c r="A762" s="33">
        <v>8958</v>
      </c>
      <c r="B762" s="2">
        <v>2019</v>
      </c>
      <c r="C762" s="2" t="s">
        <v>11624</v>
      </c>
      <c r="D762" s="3" t="s">
        <v>14206</v>
      </c>
      <c r="F762" s="3" t="s">
        <v>1903</v>
      </c>
    </row>
    <row r="763" spans="1:9" x14ac:dyDescent="0.3">
      <c r="A763" s="33">
        <v>8959</v>
      </c>
      <c r="B763" s="2">
        <v>1353</v>
      </c>
      <c r="C763" s="2" t="s">
        <v>11630</v>
      </c>
      <c r="D763" s="3" t="s">
        <v>14206</v>
      </c>
      <c r="F763" s="3" t="s">
        <v>648</v>
      </c>
    </row>
    <row r="764" spans="1:9" x14ac:dyDescent="0.3">
      <c r="A764" s="33">
        <v>8960</v>
      </c>
      <c r="B764" s="2">
        <v>1354</v>
      </c>
      <c r="C764" s="2" t="s">
        <v>11636</v>
      </c>
      <c r="D764" s="3" t="s">
        <v>14206</v>
      </c>
      <c r="F764" s="3" t="s">
        <v>648</v>
      </c>
    </row>
    <row r="765" spans="1:9" x14ac:dyDescent="0.3">
      <c r="A765" s="33">
        <v>8961</v>
      </c>
      <c r="B765" s="2">
        <v>1355</v>
      </c>
      <c r="C765" s="2" t="s">
        <v>11642</v>
      </c>
      <c r="D765" s="3" t="s">
        <v>14206</v>
      </c>
      <c r="F765" s="3" t="s">
        <v>3788</v>
      </c>
    </row>
    <row r="766" spans="1:9" x14ac:dyDescent="0.3">
      <c r="A766" s="33">
        <v>8962</v>
      </c>
      <c r="B766" s="2">
        <v>1356</v>
      </c>
      <c r="C766" s="2" t="s">
        <v>11649</v>
      </c>
      <c r="D766" s="3" t="s">
        <v>14206</v>
      </c>
      <c r="F766" s="3" t="s">
        <v>727</v>
      </c>
      <c r="I766" s="3" t="s">
        <v>4231</v>
      </c>
    </row>
    <row r="767" spans="1:9" x14ac:dyDescent="0.3">
      <c r="A767" s="33">
        <v>8963</v>
      </c>
      <c r="B767" s="2">
        <v>1357</v>
      </c>
      <c r="C767" s="2" t="s">
        <v>11657</v>
      </c>
      <c r="D767" s="3" t="s">
        <v>14239</v>
      </c>
      <c r="F767" s="3" t="s">
        <v>4215</v>
      </c>
      <c r="I767" s="3" t="s">
        <v>443</v>
      </c>
    </row>
    <row r="768" spans="1:9" x14ac:dyDescent="0.3">
      <c r="A768" s="33">
        <v>8964</v>
      </c>
      <c r="B768" s="2">
        <v>1358</v>
      </c>
      <c r="C768" s="2" t="s">
        <v>11665</v>
      </c>
      <c r="D768" s="3" t="s">
        <v>14207</v>
      </c>
      <c r="E768" s="3" t="s">
        <v>4234</v>
      </c>
      <c r="F768" s="3" t="s">
        <v>426</v>
      </c>
      <c r="G768" s="3" t="s">
        <v>575</v>
      </c>
    </row>
    <row r="769" spans="1:9" x14ac:dyDescent="0.3">
      <c r="A769" s="33">
        <v>8965</v>
      </c>
      <c r="B769" s="2">
        <v>2020</v>
      </c>
      <c r="C769" s="2" t="s">
        <v>11673</v>
      </c>
      <c r="D769" s="3" t="s">
        <v>14206</v>
      </c>
      <c r="F769" s="3" t="s">
        <v>289</v>
      </c>
    </row>
    <row r="770" spans="1:9" x14ac:dyDescent="0.3">
      <c r="A770" s="33">
        <v>8966</v>
      </c>
      <c r="B770" s="2">
        <v>1359</v>
      </c>
      <c r="C770" s="2" t="s">
        <v>11680</v>
      </c>
      <c r="D770" s="3" t="s">
        <v>14206</v>
      </c>
      <c r="F770" s="3" t="s">
        <v>4206</v>
      </c>
    </row>
    <row r="771" spans="1:9" x14ac:dyDescent="0.3">
      <c r="A771" s="33">
        <v>8967</v>
      </c>
      <c r="B771" s="2">
        <v>1360</v>
      </c>
      <c r="C771" s="2" t="s">
        <v>11686</v>
      </c>
      <c r="D771" s="3" t="s">
        <v>14206</v>
      </c>
      <c r="F771" s="3" t="s">
        <v>648</v>
      </c>
    </row>
    <row r="772" spans="1:9" x14ac:dyDescent="0.3">
      <c r="A772" s="33">
        <v>8968</v>
      </c>
      <c r="B772" s="2">
        <v>1361</v>
      </c>
      <c r="C772" s="2" t="s">
        <v>11692</v>
      </c>
      <c r="D772" s="3" t="s">
        <v>14245</v>
      </c>
      <c r="F772" s="3" t="s">
        <v>417</v>
      </c>
      <c r="I772" s="3" t="s">
        <v>3549</v>
      </c>
    </row>
    <row r="773" spans="1:9" x14ac:dyDescent="0.3">
      <c r="A773" s="33">
        <v>8969</v>
      </c>
      <c r="B773" s="2">
        <v>2021</v>
      </c>
      <c r="C773" s="2" t="s">
        <v>11699</v>
      </c>
      <c r="D773" s="3" t="s">
        <v>14206</v>
      </c>
      <c r="F773" s="3" t="s">
        <v>289</v>
      </c>
    </row>
    <row r="774" spans="1:9" x14ac:dyDescent="0.3">
      <c r="A774" s="33">
        <v>8970</v>
      </c>
      <c r="B774" s="2">
        <v>2022</v>
      </c>
      <c r="C774" s="2" t="s">
        <v>11706</v>
      </c>
      <c r="D774" s="3" t="s">
        <v>14206</v>
      </c>
      <c r="F774" s="3" t="s">
        <v>269</v>
      </c>
    </row>
    <row r="775" spans="1:9" x14ac:dyDescent="0.3">
      <c r="A775" s="33">
        <v>8971</v>
      </c>
      <c r="B775" s="2">
        <v>2023</v>
      </c>
      <c r="C775" s="2" t="s">
        <v>11713</v>
      </c>
      <c r="D775" s="3" t="s">
        <v>14206</v>
      </c>
      <c r="F775" s="3" t="s">
        <v>824</v>
      </c>
    </row>
    <row r="776" spans="1:9" x14ac:dyDescent="0.3">
      <c r="A776" s="33">
        <v>8972</v>
      </c>
      <c r="B776" s="2">
        <v>1362</v>
      </c>
      <c r="C776" s="2" t="s">
        <v>11719</v>
      </c>
      <c r="D776" s="3" t="s">
        <v>14206</v>
      </c>
      <c r="F776" s="3" t="s">
        <v>1915</v>
      </c>
    </row>
    <row r="777" spans="1:9" x14ac:dyDescent="0.3">
      <c r="A777" s="33">
        <v>8974</v>
      </c>
      <c r="B777" s="2">
        <v>2024</v>
      </c>
      <c r="C777" s="2" t="s">
        <v>11726</v>
      </c>
      <c r="D777" s="3" t="s">
        <v>14206</v>
      </c>
      <c r="F777" s="3" t="s">
        <v>1144</v>
      </c>
    </row>
    <row r="778" spans="1:9" x14ac:dyDescent="0.3">
      <c r="A778" s="33">
        <v>8976</v>
      </c>
      <c r="B778" s="2">
        <v>1363</v>
      </c>
      <c r="C778" s="2" t="s">
        <v>11732</v>
      </c>
      <c r="D778" s="3" t="s">
        <v>14207</v>
      </c>
      <c r="F778" s="3" t="s">
        <v>1130</v>
      </c>
    </row>
    <row r="779" spans="1:9" x14ac:dyDescent="0.3">
      <c r="A779" s="33">
        <v>8977</v>
      </c>
      <c r="B779" s="2">
        <v>1364</v>
      </c>
      <c r="C779" s="2" t="s">
        <v>11738</v>
      </c>
      <c r="D779" s="3" t="s">
        <v>14207</v>
      </c>
      <c r="F779" s="3" t="s">
        <v>1328</v>
      </c>
    </row>
    <row r="780" spans="1:9" x14ac:dyDescent="0.3">
      <c r="A780" s="33">
        <v>8981</v>
      </c>
      <c r="B780" s="2">
        <v>2025</v>
      </c>
      <c r="C780" s="2" t="s">
        <v>11754</v>
      </c>
      <c r="D780" s="3" t="s">
        <v>14206</v>
      </c>
      <c r="F780" s="3" t="s">
        <v>168</v>
      </c>
    </row>
    <row r="781" spans="1:9" x14ac:dyDescent="0.3">
      <c r="A781" s="33">
        <v>8982</v>
      </c>
      <c r="B781" s="2">
        <v>2026</v>
      </c>
      <c r="C781" s="2" t="s">
        <v>11760</v>
      </c>
      <c r="D781" s="3" t="s">
        <v>14206</v>
      </c>
      <c r="F781" s="3" t="s">
        <v>11</v>
      </c>
    </row>
    <row r="782" spans="1:9" x14ac:dyDescent="0.3">
      <c r="A782" s="33">
        <v>8983</v>
      </c>
      <c r="B782" s="2">
        <v>1368</v>
      </c>
      <c r="C782" s="2" t="s">
        <v>11766</v>
      </c>
      <c r="D782" s="3" t="s">
        <v>14206</v>
      </c>
      <c r="F782" s="3" t="s">
        <v>4305</v>
      </c>
    </row>
    <row r="783" spans="1:9" x14ac:dyDescent="0.3">
      <c r="A783" s="33">
        <v>8984</v>
      </c>
      <c r="B783" s="2">
        <v>1369</v>
      </c>
      <c r="C783" s="2" t="s">
        <v>11772</v>
      </c>
      <c r="D783" s="3" t="s">
        <v>14206</v>
      </c>
      <c r="F783" s="3" t="s">
        <v>504</v>
      </c>
    </row>
    <row r="784" spans="1:9" x14ac:dyDescent="0.3">
      <c r="A784" s="33">
        <v>8985</v>
      </c>
      <c r="B784" s="2">
        <v>1370</v>
      </c>
      <c r="C784" s="2" t="s">
        <v>11778</v>
      </c>
      <c r="D784" s="3" t="s">
        <v>14207</v>
      </c>
      <c r="F784" s="3" t="s">
        <v>1949</v>
      </c>
    </row>
    <row r="785" spans="1:6" x14ac:dyDescent="0.3">
      <c r="A785" s="33">
        <v>8986</v>
      </c>
      <c r="B785" s="2">
        <v>2027</v>
      </c>
      <c r="C785" s="2" t="s">
        <v>11785</v>
      </c>
      <c r="D785" s="3" t="s">
        <v>14206</v>
      </c>
      <c r="F785" s="3" t="s">
        <v>412</v>
      </c>
    </row>
    <row r="786" spans="1:6" x14ac:dyDescent="0.3">
      <c r="A786" s="33">
        <v>8987</v>
      </c>
      <c r="B786" s="2">
        <v>2028</v>
      </c>
      <c r="C786" s="2" t="s">
        <v>11793</v>
      </c>
      <c r="D786" s="3" t="s">
        <v>14206</v>
      </c>
      <c r="F786" s="3" t="s">
        <v>491</v>
      </c>
    </row>
    <row r="787" spans="1:6" x14ac:dyDescent="0.3">
      <c r="A787" s="33">
        <v>8989</v>
      </c>
      <c r="B787" s="2">
        <v>1371</v>
      </c>
      <c r="C787" s="2" t="s">
        <v>11801</v>
      </c>
      <c r="D787" s="3" t="s">
        <v>14206</v>
      </c>
      <c r="F787" s="3" t="s">
        <v>582</v>
      </c>
    </row>
    <row r="788" spans="1:6" ht="27.6" x14ac:dyDescent="0.3">
      <c r="A788" s="33">
        <v>8990</v>
      </c>
      <c r="B788" s="2">
        <v>2029</v>
      </c>
      <c r="C788" s="2" t="s">
        <v>11807</v>
      </c>
      <c r="D788" s="29" t="s">
        <v>14241</v>
      </c>
      <c r="F788" s="3" t="s">
        <v>4340</v>
      </c>
    </row>
    <row r="789" spans="1:6" ht="27.6" x14ac:dyDescent="0.3">
      <c r="A789" s="33">
        <v>8991</v>
      </c>
      <c r="B789" s="2">
        <v>2030</v>
      </c>
      <c r="C789" s="2" t="s">
        <v>11815</v>
      </c>
      <c r="D789" s="29" t="s">
        <v>14241</v>
      </c>
      <c r="F789" s="3" t="s">
        <v>568</v>
      </c>
    </row>
    <row r="790" spans="1:6" x14ac:dyDescent="0.3">
      <c r="A790" s="33">
        <v>8992</v>
      </c>
      <c r="B790" s="2">
        <v>2031</v>
      </c>
      <c r="C790" s="2" t="s">
        <v>11823</v>
      </c>
      <c r="D790" s="3" t="s">
        <v>14242</v>
      </c>
      <c r="F790" s="3" t="s">
        <v>824</v>
      </c>
    </row>
    <row r="791" spans="1:6" x14ac:dyDescent="0.3">
      <c r="A791" s="33">
        <v>8993</v>
      </c>
      <c r="B791" s="2">
        <v>2032</v>
      </c>
      <c r="C791" s="2" t="s">
        <v>11831</v>
      </c>
      <c r="D791" s="3" t="s">
        <v>14243</v>
      </c>
      <c r="F791" s="3" t="s">
        <v>4351</v>
      </c>
    </row>
    <row r="792" spans="1:6" ht="27.6" x14ac:dyDescent="0.3">
      <c r="A792" s="33">
        <v>8994</v>
      </c>
      <c r="B792" s="2">
        <v>2033</v>
      </c>
      <c r="C792" s="2" t="s">
        <v>11837</v>
      </c>
      <c r="D792" s="29" t="s">
        <v>14241</v>
      </c>
      <c r="F792" s="3" t="s">
        <v>269</v>
      </c>
    </row>
    <row r="793" spans="1:6" x14ac:dyDescent="0.3">
      <c r="A793" s="33">
        <v>8995</v>
      </c>
      <c r="B793" s="2">
        <v>1372</v>
      </c>
      <c r="C793" s="2" t="s">
        <v>11843</v>
      </c>
      <c r="D793" s="3" t="s">
        <v>14206</v>
      </c>
      <c r="F793" s="3" t="s">
        <v>3123</v>
      </c>
    </row>
    <row r="794" spans="1:6" x14ac:dyDescent="0.3">
      <c r="A794" s="33">
        <v>8996</v>
      </c>
      <c r="B794" s="2">
        <v>1373</v>
      </c>
      <c r="C794" s="2" t="s">
        <v>11850</v>
      </c>
      <c r="D794" s="3" t="s">
        <v>14206</v>
      </c>
      <c r="F794" s="3" t="s">
        <v>962</v>
      </c>
    </row>
    <row r="795" spans="1:6" x14ac:dyDescent="0.3">
      <c r="A795" s="33">
        <v>8997</v>
      </c>
      <c r="B795" s="2">
        <v>1374</v>
      </c>
      <c r="C795" s="2" t="s">
        <v>11857</v>
      </c>
      <c r="D795" s="3" t="s">
        <v>14207</v>
      </c>
      <c r="F795" s="3" t="s">
        <v>648</v>
      </c>
    </row>
    <row r="796" spans="1:6" x14ac:dyDescent="0.3">
      <c r="A796" s="33">
        <v>8998</v>
      </c>
      <c r="B796" s="2">
        <v>2034</v>
      </c>
      <c r="C796" s="2" t="s">
        <v>11863</v>
      </c>
      <c r="D796" s="3" t="s">
        <v>14206</v>
      </c>
      <c r="F796" s="3" t="s">
        <v>1270</v>
      </c>
    </row>
    <row r="797" spans="1:6" x14ac:dyDescent="0.3">
      <c r="A797" s="33">
        <v>8999</v>
      </c>
      <c r="B797" s="2">
        <v>2035</v>
      </c>
      <c r="C797" s="2" t="s">
        <v>11867</v>
      </c>
      <c r="D797" s="3" t="s">
        <v>14206</v>
      </c>
      <c r="F797" s="3" t="s">
        <v>1270</v>
      </c>
    </row>
    <row r="798" spans="1:6" x14ac:dyDescent="0.3">
      <c r="A798" s="33">
        <v>9001</v>
      </c>
      <c r="B798" s="2">
        <v>1375</v>
      </c>
      <c r="C798" s="2" t="s">
        <v>11692</v>
      </c>
      <c r="D798" s="3" t="s">
        <v>14245</v>
      </c>
      <c r="F798" s="3" t="s">
        <v>417</v>
      </c>
    </row>
    <row r="799" spans="1:6" x14ac:dyDescent="0.3">
      <c r="A799" s="33">
        <v>9002</v>
      </c>
      <c r="B799" s="2">
        <v>2036</v>
      </c>
      <c r="C799" s="2" t="s">
        <v>11877</v>
      </c>
      <c r="D799" s="3" t="s">
        <v>14206</v>
      </c>
      <c r="F799" s="3" t="s">
        <v>98</v>
      </c>
    </row>
    <row r="800" spans="1:6" x14ac:dyDescent="0.3">
      <c r="A800" s="33">
        <v>9003</v>
      </c>
      <c r="B800" s="2">
        <v>2037</v>
      </c>
      <c r="C800" s="2" t="s">
        <v>11883</v>
      </c>
      <c r="D800" s="3" t="s">
        <v>14206</v>
      </c>
      <c r="F800" s="3" t="s">
        <v>66</v>
      </c>
    </row>
    <row r="801" spans="1:9" x14ac:dyDescent="0.3">
      <c r="A801" s="33">
        <v>9004</v>
      </c>
      <c r="B801" s="2">
        <v>1376</v>
      </c>
      <c r="C801" s="2" t="s">
        <v>11889</v>
      </c>
      <c r="D801" s="3" t="s">
        <v>14206</v>
      </c>
      <c r="F801" s="3" t="s">
        <v>469</v>
      </c>
    </row>
    <row r="802" spans="1:9" x14ac:dyDescent="0.3">
      <c r="A802" s="33">
        <v>9005</v>
      </c>
      <c r="B802" s="2">
        <v>2038</v>
      </c>
      <c r="C802" s="2" t="s">
        <v>11896</v>
      </c>
      <c r="D802" s="3" t="s">
        <v>14206</v>
      </c>
      <c r="F802" s="3" t="s">
        <v>269</v>
      </c>
    </row>
    <row r="803" spans="1:9" x14ac:dyDescent="0.3">
      <c r="A803" s="33">
        <v>9006</v>
      </c>
      <c r="B803" s="2">
        <v>2039</v>
      </c>
      <c r="C803" s="2" t="s">
        <v>11903</v>
      </c>
      <c r="D803" s="3" t="s">
        <v>14206</v>
      </c>
      <c r="F803" s="3" t="s">
        <v>269</v>
      </c>
    </row>
    <row r="804" spans="1:9" x14ac:dyDescent="0.3">
      <c r="A804" s="33">
        <v>9007</v>
      </c>
      <c r="B804" s="2">
        <v>2040</v>
      </c>
      <c r="C804" s="2" t="s">
        <v>11909</v>
      </c>
      <c r="D804" s="3" t="s">
        <v>14207</v>
      </c>
      <c r="F804" s="3" t="s">
        <v>98</v>
      </c>
    </row>
    <row r="805" spans="1:9" x14ac:dyDescent="0.3">
      <c r="A805" s="33">
        <v>9008</v>
      </c>
      <c r="B805" s="2">
        <v>2041</v>
      </c>
      <c r="C805" s="2" t="s">
        <v>11916</v>
      </c>
      <c r="D805" s="3" t="s">
        <v>14206</v>
      </c>
      <c r="F805" s="3" t="s">
        <v>1903</v>
      </c>
    </row>
    <row r="806" spans="1:9" x14ac:dyDescent="0.3">
      <c r="A806" s="33">
        <v>9009</v>
      </c>
      <c r="B806" s="2">
        <v>1377</v>
      </c>
      <c r="C806" s="2" t="s">
        <v>11922</v>
      </c>
      <c r="D806" s="3" t="s">
        <v>14206</v>
      </c>
      <c r="F806" s="3" t="s">
        <v>4305</v>
      </c>
    </row>
    <row r="807" spans="1:9" x14ac:dyDescent="0.3">
      <c r="A807" s="33">
        <v>9010</v>
      </c>
      <c r="B807" s="2">
        <v>1378</v>
      </c>
      <c r="C807" s="2" t="s">
        <v>11928</v>
      </c>
      <c r="D807" s="3" t="s">
        <v>14206</v>
      </c>
      <c r="F807" s="3" t="s">
        <v>469</v>
      </c>
      <c r="I807" s="3" t="s">
        <v>4186</v>
      </c>
    </row>
    <row r="808" spans="1:9" x14ac:dyDescent="0.3">
      <c r="A808" s="33">
        <v>9011</v>
      </c>
      <c r="B808" s="2">
        <v>1379</v>
      </c>
      <c r="C808" s="2" t="s">
        <v>11934</v>
      </c>
      <c r="D808" s="3" t="s">
        <v>14206</v>
      </c>
      <c r="F808" s="3" t="s">
        <v>469</v>
      </c>
      <c r="I808" s="3" t="s">
        <v>4186</v>
      </c>
    </row>
    <row r="809" spans="1:9" x14ac:dyDescent="0.3">
      <c r="A809" s="33">
        <v>9012</v>
      </c>
      <c r="B809" s="2">
        <v>1380</v>
      </c>
      <c r="C809" s="2" t="s">
        <v>11939</v>
      </c>
      <c r="D809" s="3" t="s">
        <v>14247</v>
      </c>
      <c r="F809" s="3" t="s">
        <v>962</v>
      </c>
    </row>
    <row r="810" spans="1:9" x14ac:dyDescent="0.3">
      <c r="A810" s="33">
        <v>9013</v>
      </c>
      <c r="B810" s="2">
        <v>1381</v>
      </c>
      <c r="C810" s="2" t="s">
        <v>11946</v>
      </c>
      <c r="D810" s="3" t="s">
        <v>14206</v>
      </c>
      <c r="F810" s="3" t="s">
        <v>1332</v>
      </c>
    </row>
    <row r="811" spans="1:9" x14ac:dyDescent="0.3">
      <c r="A811" s="33">
        <v>9014</v>
      </c>
      <c r="B811" s="2">
        <v>2042</v>
      </c>
      <c r="C811" s="2" t="s">
        <v>11954</v>
      </c>
      <c r="D811" s="3" t="s">
        <v>14207</v>
      </c>
      <c r="F811" s="3" t="s">
        <v>846</v>
      </c>
    </row>
    <row r="812" spans="1:9" x14ac:dyDescent="0.3">
      <c r="A812" s="33">
        <v>9015</v>
      </c>
      <c r="B812" s="2">
        <v>2043</v>
      </c>
      <c r="C812" s="2" t="s">
        <v>11960</v>
      </c>
      <c r="D812" s="3" t="s">
        <v>14206</v>
      </c>
      <c r="F812" s="3" t="s">
        <v>289</v>
      </c>
    </row>
    <row r="813" spans="1:9" x14ac:dyDescent="0.3">
      <c r="A813" s="33">
        <v>9016</v>
      </c>
      <c r="B813" s="2">
        <v>1382</v>
      </c>
      <c r="C813" s="2" t="s">
        <v>11966</v>
      </c>
      <c r="D813" s="3" t="s">
        <v>14246</v>
      </c>
      <c r="F813" s="3" t="s">
        <v>2980</v>
      </c>
    </row>
    <row r="814" spans="1:9" x14ac:dyDescent="0.3">
      <c r="A814" s="33">
        <v>9017</v>
      </c>
      <c r="B814" s="2">
        <v>1383</v>
      </c>
      <c r="C814" s="2" t="s">
        <v>11974</v>
      </c>
      <c r="D814" s="3" t="s">
        <v>14207</v>
      </c>
      <c r="F814" s="3" t="s">
        <v>2655</v>
      </c>
      <c r="G814" s="3" t="s">
        <v>487</v>
      </c>
    </row>
    <row r="815" spans="1:9" x14ac:dyDescent="0.3">
      <c r="A815" s="33">
        <v>9018</v>
      </c>
      <c r="B815" s="2">
        <v>2044</v>
      </c>
      <c r="C815" s="2" t="s">
        <v>11980</v>
      </c>
      <c r="D815" s="3" t="s">
        <v>14206</v>
      </c>
      <c r="F815" s="3" t="s">
        <v>4430</v>
      </c>
      <c r="G815" s="3" t="s">
        <v>487</v>
      </c>
    </row>
    <row r="816" spans="1:9" x14ac:dyDescent="0.3">
      <c r="A816" s="33">
        <v>9019</v>
      </c>
      <c r="B816" s="2">
        <v>2045</v>
      </c>
      <c r="C816" s="2" t="s">
        <v>11987</v>
      </c>
      <c r="D816" s="3" t="s">
        <v>14206</v>
      </c>
      <c r="F816" s="3" t="s">
        <v>4415</v>
      </c>
    </row>
    <row r="817" spans="1:9" x14ac:dyDescent="0.3">
      <c r="A817" s="33">
        <v>9020</v>
      </c>
      <c r="B817" s="2">
        <v>1384</v>
      </c>
      <c r="C817" s="2" t="s">
        <v>11992</v>
      </c>
      <c r="D817" s="3" t="s">
        <v>14206</v>
      </c>
      <c r="F817" s="3" t="s">
        <v>1416</v>
      </c>
    </row>
    <row r="818" spans="1:9" x14ac:dyDescent="0.3">
      <c r="A818" s="33">
        <v>9021</v>
      </c>
      <c r="B818" s="2">
        <v>1385</v>
      </c>
      <c r="C818" s="2" t="s">
        <v>11999</v>
      </c>
      <c r="D818" s="3" t="s">
        <v>14248</v>
      </c>
      <c r="F818" s="3" t="s">
        <v>810</v>
      </c>
      <c r="I818" s="3" t="s">
        <v>3549</v>
      </c>
    </row>
    <row r="819" spans="1:9" x14ac:dyDescent="0.3">
      <c r="A819" s="33">
        <v>9022</v>
      </c>
      <c r="B819" s="2">
        <v>1386</v>
      </c>
      <c r="C819" s="2" t="s">
        <v>12006</v>
      </c>
      <c r="D819" s="3" t="s">
        <v>14248</v>
      </c>
      <c r="F819" s="3" t="s">
        <v>810</v>
      </c>
      <c r="I819" s="3" t="s">
        <v>3549</v>
      </c>
    </row>
    <row r="820" spans="1:9" x14ac:dyDescent="0.3">
      <c r="A820" s="33">
        <v>9023</v>
      </c>
      <c r="B820" s="2">
        <v>2046</v>
      </c>
      <c r="C820" s="2" t="s">
        <v>12013</v>
      </c>
      <c r="D820" s="3" t="s">
        <v>14206</v>
      </c>
      <c r="F820" s="3" t="s">
        <v>568</v>
      </c>
      <c r="G820" s="3" t="s">
        <v>487</v>
      </c>
    </row>
    <row r="821" spans="1:9" x14ac:dyDescent="0.3">
      <c r="A821" s="33">
        <v>9024</v>
      </c>
      <c r="B821" s="2">
        <v>2047</v>
      </c>
      <c r="C821" s="2" t="s">
        <v>12019</v>
      </c>
      <c r="D821" s="3" t="s">
        <v>14207</v>
      </c>
      <c r="F821" s="3" t="s">
        <v>846</v>
      </c>
    </row>
    <row r="822" spans="1:9" x14ac:dyDescent="0.3">
      <c r="A822" s="33">
        <v>9025</v>
      </c>
      <c r="B822" s="2">
        <v>1387</v>
      </c>
      <c r="C822" s="2" t="s">
        <v>12024</v>
      </c>
      <c r="D822" s="3" t="s">
        <v>14206</v>
      </c>
      <c r="F822" s="3" t="s">
        <v>747</v>
      </c>
      <c r="G822" s="3" t="s">
        <v>487</v>
      </c>
    </row>
    <row r="823" spans="1:9" x14ac:dyDescent="0.3">
      <c r="A823" s="33">
        <v>9026</v>
      </c>
      <c r="B823" s="2">
        <v>1388</v>
      </c>
      <c r="C823" s="2" t="s">
        <v>12031</v>
      </c>
      <c r="D823" s="3" t="s">
        <v>14207</v>
      </c>
      <c r="F823" s="3" t="s">
        <v>648</v>
      </c>
    </row>
    <row r="824" spans="1:9" x14ac:dyDescent="0.3">
      <c r="A824" s="33">
        <v>9027</v>
      </c>
      <c r="B824" s="2">
        <v>1389</v>
      </c>
      <c r="C824" s="2" t="s">
        <v>12037</v>
      </c>
      <c r="D824" s="3" t="s">
        <v>14206</v>
      </c>
      <c r="F824" s="3" t="s">
        <v>3788</v>
      </c>
    </row>
    <row r="825" spans="1:9" x14ac:dyDescent="0.3">
      <c r="A825" s="33">
        <v>9028</v>
      </c>
      <c r="B825" s="2">
        <v>2048</v>
      </c>
      <c r="C825" s="2" t="s">
        <v>12043</v>
      </c>
      <c r="D825" s="3" t="s">
        <v>14206</v>
      </c>
      <c r="F825" s="3" t="s">
        <v>269</v>
      </c>
    </row>
    <row r="826" spans="1:9" x14ac:dyDescent="0.3">
      <c r="A826" s="33">
        <v>9029</v>
      </c>
      <c r="B826" s="2">
        <v>1390</v>
      </c>
      <c r="C826" s="2" t="s">
        <v>12049</v>
      </c>
      <c r="D826" s="3" t="s">
        <v>14207</v>
      </c>
      <c r="F826" s="3" t="s">
        <v>648</v>
      </c>
      <c r="I826" s="3" t="s">
        <v>4520</v>
      </c>
    </row>
    <row r="827" spans="1:9" x14ac:dyDescent="0.3">
      <c r="A827" s="33">
        <v>9030</v>
      </c>
      <c r="B827" s="2">
        <v>1391</v>
      </c>
      <c r="C827" s="2" t="s">
        <v>12056</v>
      </c>
      <c r="D827" s="3" t="s">
        <v>14206</v>
      </c>
      <c r="F827" s="3" t="s">
        <v>108</v>
      </c>
      <c r="G827" s="3" t="s">
        <v>487</v>
      </c>
    </row>
    <row r="828" spans="1:9" x14ac:dyDescent="0.3">
      <c r="A828" s="33">
        <v>9031</v>
      </c>
      <c r="B828" s="2">
        <v>1392</v>
      </c>
      <c r="C828" s="2" t="s">
        <v>12062</v>
      </c>
      <c r="D828" s="3" t="s">
        <v>14206</v>
      </c>
      <c r="F828" s="3" t="s">
        <v>2116</v>
      </c>
    </row>
    <row r="829" spans="1:9" x14ac:dyDescent="0.3">
      <c r="A829" s="33">
        <v>9032</v>
      </c>
      <c r="B829" s="2">
        <v>1393</v>
      </c>
      <c r="C829" s="2" t="s">
        <v>12069</v>
      </c>
      <c r="D829" s="3" t="s">
        <v>14206</v>
      </c>
      <c r="F829" s="3" t="s">
        <v>2116</v>
      </c>
    </row>
    <row r="830" spans="1:9" x14ac:dyDescent="0.3">
      <c r="A830" s="33">
        <v>9033</v>
      </c>
      <c r="B830" s="2">
        <v>1394</v>
      </c>
      <c r="C830" s="2" t="s">
        <v>12073</v>
      </c>
      <c r="D830" s="3" t="s">
        <v>14206</v>
      </c>
      <c r="F830" s="3" t="s">
        <v>2116</v>
      </c>
    </row>
    <row r="831" spans="1:9" x14ac:dyDescent="0.3">
      <c r="A831" s="33">
        <v>9034</v>
      </c>
      <c r="B831" s="2">
        <v>1395</v>
      </c>
      <c r="C831" s="2" t="s">
        <v>12078</v>
      </c>
      <c r="D831" s="3" t="s">
        <v>14206</v>
      </c>
      <c r="F831" s="3" t="s">
        <v>4548</v>
      </c>
    </row>
    <row r="832" spans="1:9" x14ac:dyDescent="0.3">
      <c r="A832" s="33">
        <v>9035</v>
      </c>
      <c r="B832" s="2">
        <v>1396</v>
      </c>
      <c r="C832" s="2" t="s">
        <v>12084</v>
      </c>
      <c r="D832" s="3" t="s">
        <v>14249</v>
      </c>
      <c r="F832" s="3" t="s">
        <v>4551</v>
      </c>
    </row>
    <row r="833" spans="1:9" x14ac:dyDescent="0.3">
      <c r="A833" s="33">
        <v>9036</v>
      </c>
      <c r="B833" s="2">
        <v>1397</v>
      </c>
      <c r="C833" s="2" t="s">
        <v>12091</v>
      </c>
      <c r="D833" s="3" t="s">
        <v>14249</v>
      </c>
      <c r="F833" s="3" t="s">
        <v>4551</v>
      </c>
    </row>
    <row r="834" spans="1:9" ht="41.4" x14ac:dyDescent="0.3">
      <c r="A834" s="33">
        <v>9037</v>
      </c>
      <c r="B834" s="2">
        <v>1398</v>
      </c>
      <c r="C834" s="2" t="s">
        <v>12098</v>
      </c>
      <c r="D834" s="29" t="s">
        <v>14250</v>
      </c>
      <c r="F834" s="3" t="s">
        <v>504</v>
      </c>
    </row>
    <row r="835" spans="1:9" x14ac:dyDescent="0.3">
      <c r="A835" s="33">
        <v>9038</v>
      </c>
      <c r="B835" s="2">
        <v>2049</v>
      </c>
      <c r="C835" s="2" t="s">
        <v>12105</v>
      </c>
      <c r="D835" s="3" t="s">
        <v>14206</v>
      </c>
      <c r="F835" s="3" t="s">
        <v>98</v>
      </c>
    </row>
    <row r="836" spans="1:9" x14ac:dyDescent="0.3">
      <c r="A836" s="33">
        <v>9039</v>
      </c>
      <c r="B836" s="2">
        <v>1399</v>
      </c>
      <c r="C836" s="2" t="s">
        <v>12111</v>
      </c>
      <c r="D836" s="3" t="s">
        <v>14251</v>
      </c>
      <c r="F836" s="3" t="s">
        <v>4572</v>
      </c>
      <c r="G836" s="3" t="s">
        <v>575</v>
      </c>
      <c r="I836" s="3" t="s">
        <v>4577</v>
      </c>
    </row>
    <row r="837" spans="1:9" x14ac:dyDescent="0.3">
      <c r="A837" s="33">
        <v>9041</v>
      </c>
      <c r="B837" s="2">
        <v>1401</v>
      </c>
      <c r="C837" s="2" t="s">
        <v>12123</v>
      </c>
      <c r="D837" s="3" t="s">
        <v>14206</v>
      </c>
      <c r="F837" s="3" t="s">
        <v>4614</v>
      </c>
    </row>
    <row r="838" spans="1:9" x14ac:dyDescent="0.3">
      <c r="A838" s="33">
        <v>9042</v>
      </c>
      <c r="B838" s="2">
        <v>1402</v>
      </c>
      <c r="C838" s="2" t="s">
        <v>12129</v>
      </c>
      <c r="D838" s="3" t="s">
        <v>14206</v>
      </c>
      <c r="F838" s="3" t="s">
        <v>4614</v>
      </c>
    </row>
    <row r="839" spans="1:9" x14ac:dyDescent="0.3">
      <c r="A839" s="33">
        <v>9043</v>
      </c>
      <c r="B839" s="2">
        <v>2050</v>
      </c>
      <c r="C839" s="2" t="s">
        <v>12135</v>
      </c>
      <c r="D839" s="3" t="s">
        <v>14206</v>
      </c>
      <c r="F839" s="3" t="s">
        <v>269</v>
      </c>
    </row>
    <row r="840" spans="1:9" x14ac:dyDescent="0.3">
      <c r="A840" s="33">
        <v>9044</v>
      </c>
      <c r="B840" s="2">
        <v>1403</v>
      </c>
      <c r="C840" s="2" t="s">
        <v>12141</v>
      </c>
      <c r="D840" s="3" t="s">
        <v>14206</v>
      </c>
      <c r="F840" s="3" t="s">
        <v>648</v>
      </c>
      <c r="G840" s="3" t="s">
        <v>487</v>
      </c>
    </row>
    <row r="841" spans="1:9" x14ac:dyDescent="0.3">
      <c r="A841" s="33">
        <v>9045</v>
      </c>
      <c r="B841" s="2">
        <v>2051</v>
      </c>
      <c r="C841" s="2" t="s">
        <v>12147</v>
      </c>
      <c r="D841" s="3" t="s">
        <v>14206</v>
      </c>
      <c r="F841" s="3" t="s">
        <v>289</v>
      </c>
    </row>
    <row r="842" spans="1:9" x14ac:dyDescent="0.3">
      <c r="A842" s="33">
        <v>9046</v>
      </c>
      <c r="B842" s="2">
        <v>2052</v>
      </c>
      <c r="C842" s="2" t="s">
        <v>12153</v>
      </c>
      <c r="D842" s="3" t="s">
        <v>14206</v>
      </c>
      <c r="F842" s="3" t="s">
        <v>1903</v>
      </c>
    </row>
    <row r="843" spans="1:9" x14ac:dyDescent="0.3">
      <c r="A843" s="33">
        <v>9047</v>
      </c>
      <c r="B843" s="2">
        <v>1404</v>
      </c>
      <c r="C843" s="2" t="s">
        <v>12159</v>
      </c>
      <c r="D843" s="3" t="s">
        <v>14206</v>
      </c>
      <c r="F843" s="3" t="s">
        <v>4619</v>
      </c>
    </row>
    <row r="844" spans="1:9" x14ac:dyDescent="0.3">
      <c r="A844" s="33">
        <v>9048</v>
      </c>
      <c r="B844" s="2">
        <v>1405</v>
      </c>
      <c r="C844" s="2" t="s">
        <v>12159</v>
      </c>
      <c r="D844" s="3" t="s">
        <v>14206</v>
      </c>
      <c r="F844" s="3" t="s">
        <v>4619</v>
      </c>
    </row>
    <row r="845" spans="1:9" x14ac:dyDescent="0.3">
      <c r="A845" s="33">
        <v>9049</v>
      </c>
      <c r="B845" s="2">
        <v>1406</v>
      </c>
      <c r="C845" s="2" t="s">
        <v>12168</v>
      </c>
      <c r="D845" s="3" t="s">
        <v>14206</v>
      </c>
      <c r="F845" s="3" t="s">
        <v>4619</v>
      </c>
    </row>
    <row r="846" spans="1:9" x14ac:dyDescent="0.3">
      <c r="A846" s="33">
        <v>9050</v>
      </c>
      <c r="B846" s="2">
        <v>1407</v>
      </c>
      <c r="C846" s="2" t="s">
        <v>12168</v>
      </c>
      <c r="D846" s="3" t="s">
        <v>14206</v>
      </c>
      <c r="F846" s="3" t="s">
        <v>4619</v>
      </c>
    </row>
    <row r="847" spans="1:9" ht="41.4" x14ac:dyDescent="0.3">
      <c r="A847" s="33">
        <v>9051</v>
      </c>
      <c r="B847" s="2">
        <v>1408</v>
      </c>
      <c r="C847" s="2" t="s">
        <v>12098</v>
      </c>
      <c r="D847" s="29" t="s">
        <v>14250</v>
      </c>
      <c r="F847" s="3" t="s">
        <v>504</v>
      </c>
    </row>
    <row r="848" spans="1:9" ht="41.4" x14ac:dyDescent="0.3">
      <c r="A848" s="33">
        <v>9052</v>
      </c>
      <c r="B848" s="2">
        <v>1409</v>
      </c>
      <c r="C848" s="2" t="s">
        <v>12098</v>
      </c>
      <c r="D848" s="29" t="s">
        <v>14250</v>
      </c>
      <c r="F848" s="3" t="s">
        <v>504</v>
      </c>
    </row>
    <row r="849" spans="1:9" x14ac:dyDescent="0.3">
      <c r="A849" s="33">
        <v>9053</v>
      </c>
      <c r="B849" s="2">
        <v>2053</v>
      </c>
      <c r="C849" s="2" t="s">
        <v>12186</v>
      </c>
      <c r="D849" s="3" t="s">
        <v>14207</v>
      </c>
      <c r="F849" s="3" t="s">
        <v>4760</v>
      </c>
    </row>
    <row r="850" spans="1:9" x14ac:dyDescent="0.3">
      <c r="A850" s="33">
        <v>9054</v>
      </c>
      <c r="B850" s="2">
        <v>1410</v>
      </c>
      <c r="C850" s="2" t="s">
        <v>12194</v>
      </c>
      <c r="D850" s="3" t="s">
        <v>14207</v>
      </c>
      <c r="F850" s="3" t="s">
        <v>713</v>
      </c>
      <c r="G850" s="3" t="s">
        <v>575</v>
      </c>
    </row>
    <row r="851" spans="1:9" x14ac:dyDescent="0.3">
      <c r="A851" s="33">
        <v>9055</v>
      </c>
      <c r="B851" s="2">
        <v>2054</v>
      </c>
      <c r="C851" s="2" t="s">
        <v>12202</v>
      </c>
      <c r="D851" s="3" t="s">
        <v>14206</v>
      </c>
      <c r="F851" s="3" t="s">
        <v>2361</v>
      </c>
      <c r="I851" s="3" t="s">
        <v>1638</v>
      </c>
    </row>
    <row r="852" spans="1:9" x14ac:dyDescent="0.3">
      <c r="A852" s="33">
        <v>9056</v>
      </c>
      <c r="B852" s="2">
        <v>1411</v>
      </c>
      <c r="C852" s="2" t="s">
        <v>12210</v>
      </c>
      <c r="D852" s="3" t="s">
        <v>14207</v>
      </c>
      <c r="F852" s="3" t="s">
        <v>648</v>
      </c>
    </row>
    <row r="853" spans="1:9" x14ac:dyDescent="0.3">
      <c r="A853" s="33">
        <v>9057</v>
      </c>
      <c r="B853" s="2">
        <v>1412</v>
      </c>
      <c r="C853" s="2" t="s">
        <v>12216</v>
      </c>
      <c r="D853" s="3" t="s">
        <v>14206</v>
      </c>
      <c r="F853" s="3" t="s">
        <v>600</v>
      </c>
    </row>
    <row r="854" spans="1:9" x14ac:dyDescent="0.3">
      <c r="A854" s="33">
        <v>9058</v>
      </c>
      <c r="B854" s="2">
        <v>1413</v>
      </c>
      <c r="C854" s="2" t="s">
        <v>12224</v>
      </c>
      <c r="D854" s="3" t="s">
        <v>14206</v>
      </c>
      <c r="F854" s="3" t="s">
        <v>600</v>
      </c>
    </row>
    <row r="855" spans="1:9" x14ac:dyDescent="0.3">
      <c r="A855" s="33">
        <v>9059</v>
      </c>
      <c r="B855" s="2">
        <v>2055</v>
      </c>
      <c r="C855" s="2" t="s">
        <v>12230</v>
      </c>
      <c r="D855" s="3" t="s">
        <v>14206</v>
      </c>
      <c r="F855" s="3" t="s">
        <v>4724</v>
      </c>
    </row>
    <row r="856" spans="1:9" x14ac:dyDescent="0.3">
      <c r="A856" s="33">
        <v>9060</v>
      </c>
      <c r="B856" s="2">
        <v>1414</v>
      </c>
      <c r="C856" s="2" t="s">
        <v>12236</v>
      </c>
      <c r="D856" s="3" t="s">
        <v>14207</v>
      </c>
      <c r="F856" s="3" t="s">
        <v>469</v>
      </c>
      <c r="G856" s="3" t="s">
        <v>487</v>
      </c>
    </row>
    <row r="857" spans="1:9" x14ac:dyDescent="0.3">
      <c r="A857" s="33">
        <v>9061</v>
      </c>
      <c r="B857" s="2">
        <v>1415</v>
      </c>
      <c r="C857" s="2" t="s">
        <v>12243</v>
      </c>
      <c r="D857" s="3" t="s">
        <v>14206</v>
      </c>
      <c r="F857" s="3" t="s">
        <v>648</v>
      </c>
    </row>
    <row r="858" spans="1:9" ht="27.6" x14ac:dyDescent="0.3">
      <c r="A858" s="33">
        <v>9062</v>
      </c>
      <c r="B858" s="2">
        <v>1416</v>
      </c>
      <c r="C858" s="2" t="s">
        <v>12249</v>
      </c>
      <c r="D858" s="29" t="s">
        <v>14258</v>
      </c>
      <c r="F858" s="3" t="s">
        <v>648</v>
      </c>
      <c r="I858" s="3" t="s">
        <v>5260</v>
      </c>
    </row>
    <row r="859" spans="1:9" x14ac:dyDescent="0.3">
      <c r="A859" s="33">
        <v>9063</v>
      </c>
      <c r="B859" s="2">
        <v>1417</v>
      </c>
      <c r="C859" s="2" t="s">
        <v>12257</v>
      </c>
      <c r="D859" s="3" t="s">
        <v>14206</v>
      </c>
      <c r="F859" s="3" t="s">
        <v>648</v>
      </c>
    </row>
    <row r="860" spans="1:9" x14ac:dyDescent="0.3">
      <c r="A860" s="33">
        <v>9064</v>
      </c>
      <c r="B860" s="2">
        <v>1418</v>
      </c>
      <c r="C860" s="2" t="s">
        <v>12264</v>
      </c>
      <c r="D860" s="3" t="s">
        <v>14206</v>
      </c>
      <c r="F860" s="3" t="s">
        <v>469</v>
      </c>
    </row>
    <row r="861" spans="1:9" x14ac:dyDescent="0.3">
      <c r="A861" s="33">
        <v>9065</v>
      </c>
      <c r="B861" s="2">
        <v>1419</v>
      </c>
      <c r="C861" s="2" t="s">
        <v>12270</v>
      </c>
      <c r="D861" s="3" t="s">
        <v>14206</v>
      </c>
      <c r="F861" s="3" t="s">
        <v>4755</v>
      </c>
    </row>
    <row r="862" spans="1:9" x14ac:dyDescent="0.3">
      <c r="A862" s="33">
        <v>9066</v>
      </c>
      <c r="B862" s="2">
        <v>2056</v>
      </c>
      <c r="C862" s="2" t="s">
        <v>12276</v>
      </c>
      <c r="D862" s="3" t="s">
        <v>14206</v>
      </c>
      <c r="F862" s="3" t="s">
        <v>568</v>
      </c>
      <c r="G862" s="3" t="s">
        <v>487</v>
      </c>
    </row>
    <row r="863" spans="1:9" x14ac:dyDescent="0.3">
      <c r="A863" s="33">
        <v>9067</v>
      </c>
      <c r="B863" s="2">
        <v>1420</v>
      </c>
      <c r="C863" s="2" t="s">
        <v>12282</v>
      </c>
      <c r="D863" s="3" t="s">
        <v>14206</v>
      </c>
      <c r="F863" s="3" t="s">
        <v>469</v>
      </c>
      <c r="G863" s="3" t="s">
        <v>487</v>
      </c>
    </row>
    <row r="864" spans="1:9" x14ac:dyDescent="0.3">
      <c r="A864" s="33">
        <v>9068</v>
      </c>
      <c r="B864" s="2">
        <v>2057</v>
      </c>
      <c r="C864" s="2" t="s">
        <v>12288</v>
      </c>
      <c r="D864" s="3" t="s">
        <v>14206</v>
      </c>
      <c r="F864" s="3" t="s">
        <v>4724</v>
      </c>
    </row>
    <row r="865" spans="1:7" x14ac:dyDescent="0.3">
      <c r="A865" s="33">
        <v>9069</v>
      </c>
      <c r="B865" s="2">
        <v>1421</v>
      </c>
      <c r="C865" s="2" t="s">
        <v>12293</v>
      </c>
      <c r="D865" s="3" t="s">
        <v>14206</v>
      </c>
      <c r="F865" s="3" t="s">
        <v>4765</v>
      </c>
    </row>
    <row r="866" spans="1:7" x14ac:dyDescent="0.3">
      <c r="A866" s="33">
        <v>9070</v>
      </c>
      <c r="B866" s="2">
        <v>2058</v>
      </c>
      <c r="C866" s="2" t="s">
        <v>12301</v>
      </c>
      <c r="D866" s="3" t="s">
        <v>14206</v>
      </c>
      <c r="F866" s="3" t="s">
        <v>3123</v>
      </c>
      <c r="G866" s="3" t="s">
        <v>487</v>
      </c>
    </row>
    <row r="867" spans="1:7" x14ac:dyDescent="0.3">
      <c r="A867" s="33">
        <v>9071</v>
      </c>
      <c r="B867" s="2">
        <v>2059</v>
      </c>
      <c r="C867" s="2" t="s">
        <v>12308</v>
      </c>
      <c r="D867" s="3" t="s">
        <v>14206</v>
      </c>
      <c r="F867" s="3" t="s">
        <v>11</v>
      </c>
    </row>
    <row r="868" spans="1:7" x14ac:dyDescent="0.3">
      <c r="A868" s="33">
        <v>9072</v>
      </c>
      <c r="B868" s="2">
        <v>2060</v>
      </c>
      <c r="C868" s="2" t="s">
        <v>12314</v>
      </c>
      <c r="D868" s="3" t="s">
        <v>14207</v>
      </c>
      <c r="F868" s="3" t="s">
        <v>491</v>
      </c>
    </row>
    <row r="869" spans="1:7" x14ac:dyDescent="0.3">
      <c r="A869" s="33">
        <v>9073</v>
      </c>
      <c r="B869" s="2">
        <v>1422</v>
      </c>
      <c r="C869" s="2" t="s">
        <v>12320</v>
      </c>
      <c r="D869" s="3" t="s">
        <v>14206</v>
      </c>
      <c r="F869" s="3" t="s">
        <v>2150</v>
      </c>
    </row>
    <row r="870" spans="1:7" x14ac:dyDescent="0.3">
      <c r="A870" s="33">
        <v>9074</v>
      </c>
      <c r="B870" s="2">
        <v>1423</v>
      </c>
      <c r="C870" s="2" t="s">
        <v>12326</v>
      </c>
      <c r="D870" s="3" t="s">
        <v>14206</v>
      </c>
      <c r="F870" s="3" t="s">
        <v>2150</v>
      </c>
    </row>
    <row r="871" spans="1:7" x14ac:dyDescent="0.3">
      <c r="A871" s="33">
        <v>9075</v>
      </c>
      <c r="B871" s="2">
        <v>1424</v>
      </c>
      <c r="C871" s="2" t="s">
        <v>12332</v>
      </c>
      <c r="D871" s="3" t="s">
        <v>14206</v>
      </c>
      <c r="F871" s="3" t="s">
        <v>727</v>
      </c>
    </row>
    <row r="872" spans="1:7" x14ac:dyDescent="0.3">
      <c r="A872" s="33">
        <v>9076</v>
      </c>
      <c r="B872" s="2">
        <v>1425</v>
      </c>
      <c r="C872" s="2" t="s">
        <v>12338</v>
      </c>
      <c r="D872" s="3" t="s">
        <v>14206</v>
      </c>
      <c r="F872" s="3" t="s">
        <v>727</v>
      </c>
    </row>
    <row r="873" spans="1:7" x14ac:dyDescent="0.3">
      <c r="A873" s="33">
        <v>9078</v>
      </c>
      <c r="B873" s="2">
        <v>1426</v>
      </c>
      <c r="C873" s="2" t="s">
        <v>12352</v>
      </c>
      <c r="D873" s="3" t="s">
        <v>14206</v>
      </c>
      <c r="F873" s="3" t="s">
        <v>1328</v>
      </c>
      <c r="G873" s="3" t="s">
        <v>575</v>
      </c>
    </row>
    <row r="874" spans="1:7" x14ac:dyDescent="0.3">
      <c r="A874" s="33">
        <v>9079</v>
      </c>
      <c r="B874" s="2">
        <v>2062</v>
      </c>
      <c r="C874" s="2" t="s">
        <v>12358</v>
      </c>
      <c r="D874" s="3" t="s">
        <v>14206</v>
      </c>
      <c r="F874" s="3" t="s">
        <v>1270</v>
      </c>
    </row>
    <row r="875" spans="1:7" x14ac:dyDescent="0.3">
      <c r="A875" s="33">
        <v>9080</v>
      </c>
      <c r="B875" s="2">
        <v>1427</v>
      </c>
      <c r="C875" s="2" t="s">
        <v>12363</v>
      </c>
      <c r="D875" s="3" t="s">
        <v>14206</v>
      </c>
      <c r="F875" s="3" t="s">
        <v>504</v>
      </c>
    </row>
    <row r="876" spans="1:7" ht="27.6" x14ac:dyDescent="0.3">
      <c r="A876" s="33">
        <v>9081</v>
      </c>
      <c r="B876" s="2">
        <v>1428</v>
      </c>
      <c r="C876" s="2" t="s">
        <v>12369</v>
      </c>
      <c r="D876" s="29" t="s">
        <v>14252</v>
      </c>
      <c r="F876" s="3" t="s">
        <v>4856</v>
      </c>
      <c r="G876" s="3" t="s">
        <v>575</v>
      </c>
    </row>
    <row r="877" spans="1:7" x14ac:dyDescent="0.3">
      <c r="A877" s="33">
        <v>9082</v>
      </c>
      <c r="B877" s="2">
        <v>1429</v>
      </c>
      <c r="C877" s="2" t="s">
        <v>12377</v>
      </c>
      <c r="D877" s="3" t="s">
        <v>14206</v>
      </c>
      <c r="F877" s="3" t="s">
        <v>1130</v>
      </c>
    </row>
    <row r="878" spans="1:7" x14ac:dyDescent="0.3">
      <c r="A878" s="33">
        <v>9083</v>
      </c>
      <c r="B878" s="2">
        <v>2063</v>
      </c>
      <c r="C878" s="2" t="s">
        <v>12383</v>
      </c>
      <c r="D878" s="3" t="s">
        <v>14206</v>
      </c>
      <c r="F878" s="3" t="s">
        <v>261</v>
      </c>
    </row>
    <row r="879" spans="1:7" x14ac:dyDescent="0.3">
      <c r="A879" s="33">
        <v>9084</v>
      </c>
      <c r="B879" s="2">
        <v>2064</v>
      </c>
      <c r="C879" s="2" t="s">
        <v>12388</v>
      </c>
      <c r="D879" s="3" t="s">
        <v>4864</v>
      </c>
      <c r="F879" s="3" t="s">
        <v>3533</v>
      </c>
      <c r="G879" s="3" t="s">
        <v>487</v>
      </c>
    </row>
    <row r="880" spans="1:7" x14ac:dyDescent="0.3">
      <c r="A880" s="33">
        <v>9085</v>
      </c>
      <c r="B880" s="2">
        <v>1430</v>
      </c>
      <c r="C880" s="2" t="s">
        <v>12395</v>
      </c>
      <c r="D880" s="3" t="s">
        <v>14206</v>
      </c>
      <c r="F880" s="3" t="s">
        <v>2116</v>
      </c>
      <c r="G880" s="3" t="s">
        <v>487</v>
      </c>
    </row>
    <row r="881" spans="1:9" x14ac:dyDescent="0.3">
      <c r="A881" s="33">
        <v>9086</v>
      </c>
      <c r="B881" s="2">
        <v>1431</v>
      </c>
      <c r="C881" s="2" t="s">
        <v>12401</v>
      </c>
      <c r="D881" s="3" t="s">
        <v>14206</v>
      </c>
      <c r="F881" s="3" t="s">
        <v>426</v>
      </c>
      <c r="I881" s="3" t="s">
        <v>1638</v>
      </c>
    </row>
    <row r="882" spans="1:9" x14ac:dyDescent="0.3">
      <c r="A882" s="33">
        <v>9087</v>
      </c>
      <c r="B882" s="2">
        <v>1432</v>
      </c>
      <c r="C882" s="2" t="s">
        <v>12408</v>
      </c>
      <c r="D882" s="3" t="s">
        <v>14206</v>
      </c>
      <c r="F882" s="3" t="s">
        <v>417</v>
      </c>
      <c r="G882" s="3" t="s">
        <v>575</v>
      </c>
      <c r="I882" s="3" t="s">
        <v>4891</v>
      </c>
    </row>
    <row r="883" spans="1:9" x14ac:dyDescent="0.3">
      <c r="A883" s="33">
        <v>9088</v>
      </c>
      <c r="B883" s="2">
        <v>1433</v>
      </c>
      <c r="C883" s="2" t="s">
        <v>12415</v>
      </c>
      <c r="D883" s="3" t="s">
        <v>14206</v>
      </c>
      <c r="E883" s="3" t="s">
        <v>4894</v>
      </c>
      <c r="F883" s="3" t="s">
        <v>417</v>
      </c>
      <c r="G883" s="3" t="s">
        <v>575</v>
      </c>
      <c r="I883" s="3" t="s">
        <v>4891</v>
      </c>
    </row>
    <row r="884" spans="1:9" x14ac:dyDescent="0.3">
      <c r="A884" s="33">
        <v>9089</v>
      </c>
      <c r="B884" s="2">
        <v>2065</v>
      </c>
      <c r="C884" s="2" t="s">
        <v>12421</v>
      </c>
      <c r="D884" s="3" t="s">
        <v>14207</v>
      </c>
      <c r="F884" s="3" t="s">
        <v>193</v>
      </c>
    </row>
    <row r="885" spans="1:9" x14ac:dyDescent="0.3">
      <c r="A885" s="33">
        <v>9090</v>
      </c>
      <c r="B885" s="2">
        <v>1434</v>
      </c>
      <c r="C885" s="2" t="s">
        <v>12428</v>
      </c>
      <c r="D885" s="3" t="s">
        <v>14206</v>
      </c>
      <c r="F885" s="3" t="s">
        <v>727</v>
      </c>
      <c r="G885" s="3" t="s">
        <v>487</v>
      </c>
    </row>
    <row r="886" spans="1:9" x14ac:dyDescent="0.3">
      <c r="A886" s="33">
        <v>9091</v>
      </c>
      <c r="B886" s="2">
        <v>1435</v>
      </c>
      <c r="C886" s="2" t="s">
        <v>12436</v>
      </c>
      <c r="D886" s="3" t="s">
        <v>14207</v>
      </c>
      <c r="F886" s="3" t="s">
        <v>504</v>
      </c>
      <c r="G886" s="3" t="s">
        <v>575</v>
      </c>
    </row>
    <row r="887" spans="1:9" x14ac:dyDescent="0.3">
      <c r="A887" s="33">
        <v>9092</v>
      </c>
      <c r="B887" s="2">
        <v>1436</v>
      </c>
      <c r="C887" s="2" t="s">
        <v>12442</v>
      </c>
      <c r="D887" s="3" t="s">
        <v>14207</v>
      </c>
      <c r="F887" s="3" t="s">
        <v>504</v>
      </c>
    </row>
    <row r="888" spans="1:9" x14ac:dyDescent="0.3">
      <c r="A888" s="33">
        <v>9093</v>
      </c>
      <c r="B888" s="2">
        <v>1437</v>
      </c>
      <c r="C888" s="2" t="s">
        <v>12448</v>
      </c>
      <c r="D888" s="3" t="s">
        <v>14207</v>
      </c>
      <c r="F888" s="3" t="s">
        <v>648</v>
      </c>
    </row>
    <row r="889" spans="1:9" x14ac:dyDescent="0.3">
      <c r="A889" s="33">
        <v>9094</v>
      </c>
      <c r="B889" s="2">
        <v>1438</v>
      </c>
      <c r="C889" s="2" t="s">
        <v>12455</v>
      </c>
      <c r="D889" s="3" t="s">
        <v>14206</v>
      </c>
      <c r="F889" s="3" t="s">
        <v>2857</v>
      </c>
      <c r="G889" s="3" t="s">
        <v>487</v>
      </c>
    </row>
    <row r="890" spans="1:9" x14ac:dyDescent="0.3">
      <c r="A890" s="33">
        <v>9095</v>
      </c>
      <c r="B890" s="2">
        <v>2066</v>
      </c>
      <c r="C890" s="2" t="s">
        <v>12462</v>
      </c>
      <c r="D890" s="3" t="s">
        <v>14206</v>
      </c>
      <c r="F890" s="3" t="s">
        <v>4246</v>
      </c>
    </row>
    <row r="891" spans="1:9" x14ac:dyDescent="0.3">
      <c r="A891" s="33">
        <v>9096</v>
      </c>
      <c r="B891" s="2">
        <v>1439</v>
      </c>
      <c r="C891" s="2" t="s">
        <v>12469</v>
      </c>
      <c r="D891" s="3" t="s">
        <v>14253</v>
      </c>
      <c r="F891" s="3" t="s">
        <v>4551</v>
      </c>
    </row>
    <row r="892" spans="1:9" x14ac:dyDescent="0.3">
      <c r="A892" s="33">
        <v>9098</v>
      </c>
      <c r="B892" s="2">
        <v>1440</v>
      </c>
      <c r="C892" s="2" t="s">
        <v>12477</v>
      </c>
      <c r="D892" s="3" t="s">
        <v>14254</v>
      </c>
      <c r="F892" s="3" t="s">
        <v>4551</v>
      </c>
    </row>
    <row r="893" spans="1:9" x14ac:dyDescent="0.3">
      <c r="A893" s="33">
        <v>9100</v>
      </c>
      <c r="B893" s="2">
        <v>1441</v>
      </c>
      <c r="C893" s="2" t="s">
        <v>12483</v>
      </c>
      <c r="D893" s="3" t="s">
        <v>14206</v>
      </c>
      <c r="F893" s="3" t="s">
        <v>193</v>
      </c>
      <c r="G893" s="3" t="s">
        <v>487</v>
      </c>
    </row>
    <row r="894" spans="1:9" x14ac:dyDescent="0.3">
      <c r="A894" s="33">
        <v>9101</v>
      </c>
      <c r="B894" s="2">
        <v>2067</v>
      </c>
      <c r="C894" s="2" t="s">
        <v>12491</v>
      </c>
      <c r="D894" s="3" t="s">
        <v>14206</v>
      </c>
      <c r="F894" s="3" t="s">
        <v>5677</v>
      </c>
      <c r="G894" s="3" t="s">
        <v>487</v>
      </c>
    </row>
    <row r="895" spans="1:9" x14ac:dyDescent="0.3">
      <c r="A895" s="33">
        <v>9102</v>
      </c>
      <c r="B895" s="2">
        <v>1442</v>
      </c>
      <c r="C895" s="2" t="s">
        <v>12497</v>
      </c>
      <c r="D895" s="3" t="s">
        <v>14206</v>
      </c>
      <c r="F895" s="3" t="s">
        <v>1915</v>
      </c>
      <c r="I895" s="3" t="s">
        <v>4520</v>
      </c>
    </row>
    <row r="896" spans="1:9" x14ac:dyDescent="0.3">
      <c r="A896" s="33">
        <v>9103</v>
      </c>
      <c r="B896" s="2">
        <v>1443</v>
      </c>
      <c r="C896" s="2" t="s">
        <v>12504</v>
      </c>
      <c r="D896" s="3" t="s">
        <v>14206</v>
      </c>
      <c r="F896" s="3" t="s">
        <v>648</v>
      </c>
      <c r="I896" s="3" t="s">
        <v>4520</v>
      </c>
    </row>
    <row r="897" spans="1:9" x14ac:dyDescent="0.3">
      <c r="A897" s="33">
        <v>9106</v>
      </c>
      <c r="B897" s="2">
        <v>2068</v>
      </c>
      <c r="C897" s="2" t="s">
        <v>12511</v>
      </c>
      <c r="D897" s="3" t="s">
        <v>14206</v>
      </c>
      <c r="F897" s="3" t="s">
        <v>269</v>
      </c>
    </row>
    <row r="898" spans="1:9" x14ac:dyDescent="0.3">
      <c r="A898" s="33">
        <v>9107</v>
      </c>
      <c r="B898" s="2">
        <v>2069</v>
      </c>
      <c r="C898" s="2" t="s">
        <v>12517</v>
      </c>
      <c r="D898" s="3" t="s">
        <v>14206</v>
      </c>
      <c r="F898" s="3" t="s">
        <v>4909</v>
      </c>
    </row>
    <row r="899" spans="1:9" x14ac:dyDescent="0.3">
      <c r="A899" s="33">
        <v>9108</v>
      </c>
      <c r="B899" s="2">
        <v>2070</v>
      </c>
      <c r="C899" s="2" t="s">
        <v>12524</v>
      </c>
      <c r="D899" s="3" t="s">
        <v>14206</v>
      </c>
      <c r="F899" s="3" t="s">
        <v>4909</v>
      </c>
    </row>
    <row r="900" spans="1:9" x14ac:dyDescent="0.3">
      <c r="A900" s="33">
        <v>9109</v>
      </c>
      <c r="B900" s="2">
        <v>2071</v>
      </c>
      <c r="C900" s="2" t="s">
        <v>12530</v>
      </c>
      <c r="D900" s="3" t="s">
        <v>14206</v>
      </c>
      <c r="F900" s="3" t="s">
        <v>4910</v>
      </c>
    </row>
    <row r="901" spans="1:9" x14ac:dyDescent="0.3">
      <c r="A901" s="33">
        <v>9110</v>
      </c>
      <c r="B901" s="2">
        <v>2072</v>
      </c>
      <c r="C901" s="2" t="s">
        <v>12536</v>
      </c>
      <c r="D901" s="3" t="s">
        <v>14206</v>
      </c>
      <c r="F901" s="3" t="s">
        <v>4910</v>
      </c>
    </row>
    <row r="902" spans="1:9" x14ac:dyDescent="0.3">
      <c r="A902" s="33">
        <v>9111</v>
      </c>
      <c r="B902" s="2">
        <v>1444</v>
      </c>
      <c r="C902" s="2" t="s">
        <v>12542</v>
      </c>
      <c r="D902" s="3" t="s">
        <v>14207</v>
      </c>
      <c r="F902" s="3" t="s">
        <v>426</v>
      </c>
    </row>
    <row r="903" spans="1:9" x14ac:dyDescent="0.3">
      <c r="A903" s="33">
        <v>9112</v>
      </c>
      <c r="B903" s="2">
        <v>1445</v>
      </c>
      <c r="C903" s="2" t="s">
        <v>12550</v>
      </c>
      <c r="D903" s="3" t="s">
        <v>14206</v>
      </c>
      <c r="F903" s="3" t="s">
        <v>4933</v>
      </c>
    </row>
    <row r="904" spans="1:9" x14ac:dyDescent="0.3">
      <c r="A904" s="33">
        <v>9113</v>
      </c>
      <c r="B904" s="2">
        <v>1446</v>
      </c>
      <c r="C904" s="2" t="s">
        <v>12558</v>
      </c>
      <c r="D904" s="3" t="s">
        <v>4520</v>
      </c>
      <c r="F904" s="3" t="s">
        <v>4998</v>
      </c>
      <c r="I904" s="3" t="s">
        <v>4520</v>
      </c>
    </row>
    <row r="905" spans="1:9" x14ac:dyDescent="0.3">
      <c r="A905" s="33">
        <v>9114</v>
      </c>
      <c r="B905" s="2">
        <v>1447</v>
      </c>
      <c r="C905" s="2" t="s">
        <v>12565</v>
      </c>
      <c r="D905" s="3" t="s">
        <v>14206</v>
      </c>
      <c r="F905" s="3" t="s">
        <v>4933</v>
      </c>
    </row>
    <row r="906" spans="1:9" x14ac:dyDescent="0.3">
      <c r="A906" s="33">
        <v>9115</v>
      </c>
      <c r="B906" s="2">
        <v>1448</v>
      </c>
      <c r="C906" s="2" t="s">
        <v>12573</v>
      </c>
      <c r="D906" s="3" t="s">
        <v>14206</v>
      </c>
      <c r="F906" s="3" t="s">
        <v>4933</v>
      </c>
    </row>
    <row r="907" spans="1:9" x14ac:dyDescent="0.3">
      <c r="A907" s="33">
        <v>9116</v>
      </c>
      <c r="B907" s="2">
        <v>2073</v>
      </c>
      <c r="C907" s="2" t="s">
        <v>12581</v>
      </c>
      <c r="D907" s="3" t="s">
        <v>14206</v>
      </c>
      <c r="F907" s="3" t="s">
        <v>824</v>
      </c>
    </row>
    <row r="908" spans="1:9" x14ac:dyDescent="0.3">
      <c r="A908" s="33">
        <v>9117</v>
      </c>
      <c r="B908" s="2">
        <v>1449</v>
      </c>
      <c r="C908" s="2" t="s">
        <v>12587</v>
      </c>
      <c r="D908" s="3" t="s">
        <v>14255</v>
      </c>
      <c r="F908" s="3" t="s">
        <v>4941</v>
      </c>
    </row>
    <row r="909" spans="1:9" x14ac:dyDescent="0.3">
      <c r="A909" s="33">
        <v>9118</v>
      </c>
      <c r="B909" s="2">
        <v>1450</v>
      </c>
      <c r="C909" s="2" t="s">
        <v>12587</v>
      </c>
      <c r="D909" s="3" t="s">
        <v>14255</v>
      </c>
      <c r="F909" s="3" t="s">
        <v>4941</v>
      </c>
    </row>
    <row r="910" spans="1:9" x14ac:dyDescent="0.3">
      <c r="A910" s="33">
        <v>9119</v>
      </c>
      <c r="B910" s="2">
        <v>1451</v>
      </c>
      <c r="C910" s="2" t="s">
        <v>12597</v>
      </c>
      <c r="D910" s="3" t="s">
        <v>14255</v>
      </c>
      <c r="F910" s="3" t="s">
        <v>4941</v>
      </c>
    </row>
    <row r="911" spans="1:9" x14ac:dyDescent="0.3">
      <c r="A911" s="33">
        <v>9120</v>
      </c>
      <c r="B911" s="2">
        <v>1452</v>
      </c>
      <c r="C911" s="2" t="s">
        <v>12597</v>
      </c>
      <c r="D911" s="3" t="s">
        <v>14255</v>
      </c>
      <c r="F911" s="3" t="s">
        <v>4941</v>
      </c>
    </row>
    <row r="912" spans="1:9" x14ac:dyDescent="0.3">
      <c r="A912" s="33">
        <v>9121</v>
      </c>
      <c r="B912" s="2">
        <v>1453</v>
      </c>
      <c r="C912" s="2" t="s">
        <v>12603</v>
      </c>
      <c r="D912" s="3" t="s">
        <v>14255</v>
      </c>
      <c r="F912" s="3" t="s">
        <v>4941</v>
      </c>
    </row>
    <row r="913" spans="1:9" x14ac:dyDescent="0.3">
      <c r="A913" s="33">
        <v>9122</v>
      </c>
      <c r="B913" s="2">
        <v>1454</v>
      </c>
      <c r="C913" s="2" t="s">
        <v>12603</v>
      </c>
      <c r="D913" s="3" t="s">
        <v>14255</v>
      </c>
      <c r="F913" s="3" t="s">
        <v>4941</v>
      </c>
    </row>
    <row r="914" spans="1:9" x14ac:dyDescent="0.3">
      <c r="A914" s="33">
        <v>9123</v>
      </c>
      <c r="B914" s="2">
        <v>1455</v>
      </c>
      <c r="C914" s="2" t="s">
        <v>12611</v>
      </c>
      <c r="D914" s="3" t="s">
        <v>14206</v>
      </c>
      <c r="F914" s="3" t="s">
        <v>2138</v>
      </c>
    </row>
    <row r="915" spans="1:9" x14ac:dyDescent="0.3">
      <c r="A915" s="33">
        <v>9124</v>
      </c>
      <c r="B915" s="2">
        <v>1456</v>
      </c>
      <c r="C915" s="2" t="s">
        <v>12618</v>
      </c>
      <c r="D915" s="3" t="s">
        <v>14206</v>
      </c>
      <c r="F915" s="3" t="s">
        <v>2138</v>
      </c>
    </row>
    <row r="916" spans="1:9" x14ac:dyDescent="0.3">
      <c r="A916" s="33">
        <v>9125</v>
      </c>
      <c r="B916" s="2">
        <v>1457</v>
      </c>
      <c r="C916" s="2" t="s">
        <v>12623</v>
      </c>
      <c r="D916" s="3" t="s">
        <v>14207</v>
      </c>
      <c r="F916" s="3" t="s">
        <v>713</v>
      </c>
    </row>
    <row r="917" spans="1:9" x14ac:dyDescent="0.3">
      <c r="A917" s="33">
        <v>9126</v>
      </c>
      <c r="B917" s="2">
        <v>1458</v>
      </c>
      <c r="C917" s="2" t="s">
        <v>12630</v>
      </c>
      <c r="D917" s="3" t="s">
        <v>14207</v>
      </c>
      <c r="F917" s="3" t="s">
        <v>713</v>
      </c>
    </row>
    <row r="918" spans="1:9" x14ac:dyDescent="0.3">
      <c r="A918" s="33">
        <v>9127</v>
      </c>
      <c r="B918" s="2">
        <v>1459</v>
      </c>
      <c r="C918" s="2" t="s">
        <v>12636</v>
      </c>
      <c r="D918" s="3" t="s">
        <v>14207</v>
      </c>
      <c r="F918" s="3" t="s">
        <v>713</v>
      </c>
    </row>
    <row r="919" spans="1:9" x14ac:dyDescent="0.3">
      <c r="A919" s="33">
        <v>9128</v>
      </c>
      <c r="B919" s="2">
        <v>1460</v>
      </c>
      <c r="C919" s="2" t="s">
        <v>12642</v>
      </c>
      <c r="D919" s="3" t="s">
        <v>14206</v>
      </c>
      <c r="F919" s="3" t="s">
        <v>4974</v>
      </c>
    </row>
    <row r="920" spans="1:9" x14ac:dyDescent="0.3">
      <c r="A920" s="33">
        <v>9129</v>
      </c>
      <c r="B920" s="2">
        <v>1461</v>
      </c>
      <c r="C920" s="2" t="s">
        <v>12649</v>
      </c>
      <c r="D920" s="3" t="s">
        <v>14206</v>
      </c>
      <c r="F920" s="3" t="s">
        <v>2150</v>
      </c>
    </row>
    <row r="921" spans="1:9" x14ac:dyDescent="0.3">
      <c r="A921" s="33">
        <v>9130</v>
      </c>
      <c r="B921" s="2">
        <v>1462</v>
      </c>
      <c r="C921" s="2" t="s">
        <v>12656</v>
      </c>
      <c r="D921" s="3" t="s">
        <v>14206</v>
      </c>
      <c r="F921" s="3" t="s">
        <v>2150</v>
      </c>
    </row>
    <row r="922" spans="1:9" x14ac:dyDescent="0.3">
      <c r="A922" s="33">
        <v>9131</v>
      </c>
      <c r="B922" s="2">
        <v>1463</v>
      </c>
      <c r="C922" s="2" t="s">
        <v>12662</v>
      </c>
      <c r="D922" s="3" t="s">
        <v>14206</v>
      </c>
      <c r="F922" s="3" t="s">
        <v>2150</v>
      </c>
    </row>
    <row r="923" spans="1:9" x14ac:dyDescent="0.3">
      <c r="A923" s="33">
        <v>9132</v>
      </c>
      <c r="B923" s="2">
        <v>1464</v>
      </c>
      <c r="C923" s="2" t="s">
        <v>12668</v>
      </c>
      <c r="D923" s="3" t="s">
        <v>14206</v>
      </c>
      <c r="F923" s="3" t="s">
        <v>2150</v>
      </c>
    </row>
    <row r="924" spans="1:9" x14ac:dyDescent="0.3">
      <c r="A924" s="33">
        <v>9133</v>
      </c>
      <c r="B924" s="2">
        <v>1465</v>
      </c>
      <c r="C924" s="2" t="s">
        <v>12674</v>
      </c>
      <c r="D924" s="3" t="s">
        <v>14207</v>
      </c>
      <c r="F924" s="3" t="s">
        <v>648</v>
      </c>
    </row>
    <row r="925" spans="1:9" x14ac:dyDescent="0.3">
      <c r="A925" s="33">
        <v>9134</v>
      </c>
      <c r="B925" s="2">
        <v>1466</v>
      </c>
      <c r="C925" s="2" t="s">
        <v>12679</v>
      </c>
      <c r="D925" s="3" t="s">
        <v>14206</v>
      </c>
      <c r="F925" s="3" t="s">
        <v>648</v>
      </c>
    </row>
    <row r="926" spans="1:9" ht="27.6" x14ac:dyDescent="0.3">
      <c r="A926" s="33">
        <v>9135</v>
      </c>
      <c r="B926" s="2">
        <v>1467</v>
      </c>
      <c r="C926" s="2" t="s">
        <v>12686</v>
      </c>
      <c r="D926" s="29" t="s">
        <v>14256</v>
      </c>
      <c r="E926" s="3" t="s">
        <v>1665</v>
      </c>
      <c r="F926" s="3" t="s">
        <v>747</v>
      </c>
    </row>
    <row r="927" spans="1:9" x14ac:dyDescent="0.3">
      <c r="A927" s="33">
        <v>9136</v>
      </c>
      <c r="B927" s="2">
        <v>2074</v>
      </c>
      <c r="C927" s="2" t="s">
        <v>12694</v>
      </c>
      <c r="D927" s="3" t="s">
        <v>14207</v>
      </c>
      <c r="F927" s="3" t="s">
        <v>3123</v>
      </c>
    </row>
    <row r="928" spans="1:9" x14ac:dyDescent="0.3">
      <c r="A928" s="33">
        <v>9137</v>
      </c>
      <c r="B928" s="2">
        <v>1468</v>
      </c>
      <c r="C928" s="2" t="s">
        <v>12702</v>
      </c>
      <c r="D928" s="3" t="s">
        <v>14206</v>
      </c>
      <c r="F928" s="3" t="s">
        <v>713</v>
      </c>
      <c r="I928" s="3" t="s">
        <v>1638</v>
      </c>
    </row>
    <row r="929" spans="1:9" x14ac:dyDescent="0.3">
      <c r="A929" s="33">
        <v>9139</v>
      </c>
      <c r="B929" s="2">
        <v>1469</v>
      </c>
      <c r="C929" s="2" t="s">
        <v>12708</v>
      </c>
      <c r="D929" s="3" t="s">
        <v>14206</v>
      </c>
      <c r="F929" s="3" t="s">
        <v>1052</v>
      </c>
    </row>
    <row r="930" spans="1:9" x14ac:dyDescent="0.3">
      <c r="A930" s="33">
        <v>9140</v>
      </c>
      <c r="B930" s="2">
        <v>2075</v>
      </c>
      <c r="C930" s="2" t="s">
        <v>12714</v>
      </c>
      <c r="D930" s="3" t="s">
        <v>14206</v>
      </c>
      <c r="F930" s="3" t="s">
        <v>289</v>
      </c>
    </row>
    <row r="931" spans="1:9" x14ac:dyDescent="0.3">
      <c r="A931" s="33">
        <v>9141</v>
      </c>
      <c r="B931" s="2">
        <v>2076</v>
      </c>
      <c r="C931" s="2" t="s">
        <v>12720</v>
      </c>
      <c r="D931" s="3" t="s">
        <v>14206</v>
      </c>
      <c r="F931" s="3" t="s">
        <v>289</v>
      </c>
    </row>
    <row r="932" spans="1:9" x14ac:dyDescent="0.3">
      <c r="A932" s="33">
        <v>9142</v>
      </c>
      <c r="B932" s="2">
        <v>2077</v>
      </c>
      <c r="C932" s="2" t="s">
        <v>12726</v>
      </c>
      <c r="D932" s="3" t="s">
        <v>14206</v>
      </c>
      <c r="F932" s="3" t="s">
        <v>922</v>
      </c>
    </row>
    <row r="933" spans="1:9" x14ac:dyDescent="0.3">
      <c r="A933" s="33">
        <v>9143</v>
      </c>
      <c r="B933" s="2">
        <v>2078</v>
      </c>
      <c r="C933" s="2" t="s">
        <v>12732</v>
      </c>
      <c r="D933" s="3" t="s">
        <v>14206</v>
      </c>
      <c r="F933" s="3" t="s">
        <v>5677</v>
      </c>
      <c r="G933" s="3" t="s">
        <v>487</v>
      </c>
    </row>
    <row r="934" spans="1:9" x14ac:dyDescent="0.3">
      <c r="A934" s="33">
        <v>9144</v>
      </c>
      <c r="B934" s="2">
        <v>2079</v>
      </c>
      <c r="C934" s="2" t="s">
        <v>12738</v>
      </c>
      <c r="D934" s="3" t="s">
        <v>14206</v>
      </c>
      <c r="F934" s="3" t="s">
        <v>5677</v>
      </c>
      <c r="G934" s="3" t="s">
        <v>487</v>
      </c>
    </row>
    <row r="935" spans="1:9" x14ac:dyDescent="0.3">
      <c r="A935" s="33">
        <v>9145</v>
      </c>
      <c r="B935" s="2">
        <v>2080</v>
      </c>
      <c r="C935" s="2" t="s">
        <v>12744</v>
      </c>
      <c r="D935" s="3" t="s">
        <v>14206</v>
      </c>
      <c r="F935" s="3" t="s">
        <v>5677</v>
      </c>
      <c r="G935" s="3" t="s">
        <v>487</v>
      </c>
    </row>
    <row r="936" spans="1:9" x14ac:dyDescent="0.3">
      <c r="A936" s="33">
        <v>9146</v>
      </c>
      <c r="B936" s="2">
        <v>2081</v>
      </c>
      <c r="C936" s="2" t="s">
        <v>12750</v>
      </c>
      <c r="D936" s="3" t="s">
        <v>14206</v>
      </c>
      <c r="F936" s="3" t="s">
        <v>5677</v>
      </c>
      <c r="G936" s="3" t="s">
        <v>487</v>
      </c>
    </row>
    <row r="937" spans="1:9" x14ac:dyDescent="0.3">
      <c r="A937" s="33">
        <v>9147</v>
      </c>
      <c r="B937" s="2">
        <v>2082</v>
      </c>
      <c r="C937" s="2" t="s">
        <v>12756</v>
      </c>
      <c r="D937" s="3" t="s">
        <v>14207</v>
      </c>
      <c r="F937" s="3" t="s">
        <v>289</v>
      </c>
    </row>
    <row r="938" spans="1:9" x14ac:dyDescent="0.3">
      <c r="A938" s="33">
        <v>9148</v>
      </c>
      <c r="B938" s="2">
        <v>1470</v>
      </c>
      <c r="C938" s="2" t="s">
        <v>12762</v>
      </c>
      <c r="D938" s="3" t="s">
        <v>14207</v>
      </c>
      <c r="F938" s="3" t="s">
        <v>824</v>
      </c>
      <c r="I938" s="3" t="s">
        <v>4520</v>
      </c>
    </row>
    <row r="939" spans="1:9" x14ac:dyDescent="0.3">
      <c r="A939" s="33">
        <v>9149</v>
      </c>
      <c r="B939" s="2">
        <v>1471</v>
      </c>
      <c r="C939" s="2" t="s">
        <v>12768</v>
      </c>
      <c r="D939" s="3" t="s">
        <v>14207</v>
      </c>
      <c r="F939" s="3" t="s">
        <v>41</v>
      </c>
    </row>
    <row r="940" spans="1:9" ht="41.4" x14ac:dyDescent="0.3">
      <c r="A940" s="33">
        <v>9150</v>
      </c>
      <c r="B940" s="2">
        <v>1472</v>
      </c>
      <c r="C940" s="2" t="s">
        <v>12774</v>
      </c>
      <c r="D940" s="29" t="s">
        <v>14257</v>
      </c>
      <c r="F940" s="3" t="s">
        <v>648</v>
      </c>
    </row>
    <row r="941" spans="1:9" x14ac:dyDescent="0.3">
      <c r="A941" s="33">
        <v>9151</v>
      </c>
      <c r="B941" s="2">
        <v>1473</v>
      </c>
      <c r="C941" s="2" t="s">
        <v>12782</v>
      </c>
      <c r="D941" s="3" t="s">
        <v>14206</v>
      </c>
      <c r="F941" s="3" t="s">
        <v>3123</v>
      </c>
    </row>
    <row r="942" spans="1:9" x14ac:dyDescent="0.3">
      <c r="A942" s="33">
        <v>9152</v>
      </c>
      <c r="B942" s="2">
        <v>1474</v>
      </c>
      <c r="C942" s="2" t="s">
        <v>12790</v>
      </c>
      <c r="D942" s="3" t="s">
        <v>14207</v>
      </c>
      <c r="F942" s="3" t="s">
        <v>600</v>
      </c>
    </row>
    <row r="943" spans="1:9" x14ac:dyDescent="0.3">
      <c r="A943" s="33">
        <v>9153</v>
      </c>
      <c r="B943" s="2">
        <v>1475</v>
      </c>
      <c r="C943" s="2" t="s">
        <v>12796</v>
      </c>
      <c r="D943" s="3" t="s">
        <v>14206</v>
      </c>
      <c r="F943" s="3" t="s">
        <v>713</v>
      </c>
    </row>
    <row r="944" spans="1:9" x14ac:dyDescent="0.3">
      <c r="A944" s="33">
        <v>9154</v>
      </c>
      <c r="B944" s="2">
        <v>2083</v>
      </c>
      <c r="C944" s="2" t="s">
        <v>12802</v>
      </c>
      <c r="D944" s="3" t="s">
        <v>14206</v>
      </c>
      <c r="F944" s="3" t="s">
        <v>824</v>
      </c>
      <c r="I944" s="3" t="s">
        <v>5126</v>
      </c>
    </row>
    <row r="945" spans="1:9" x14ac:dyDescent="0.3">
      <c r="A945" s="33">
        <v>9155</v>
      </c>
      <c r="B945" s="2">
        <v>1476</v>
      </c>
      <c r="C945" s="2" t="s">
        <v>12810</v>
      </c>
      <c r="D945" s="3" t="s">
        <v>14206</v>
      </c>
      <c r="F945" s="3" t="s">
        <v>648</v>
      </c>
      <c r="I945" s="3" t="s">
        <v>3549</v>
      </c>
    </row>
    <row r="946" spans="1:9" x14ac:dyDescent="0.3">
      <c r="A946" s="33">
        <v>9156</v>
      </c>
      <c r="B946" s="2">
        <v>1477</v>
      </c>
      <c r="C946" s="2" t="s">
        <v>12816</v>
      </c>
      <c r="D946" s="3" t="s">
        <v>14206</v>
      </c>
      <c r="F946" s="3" t="s">
        <v>4856</v>
      </c>
    </row>
    <row r="947" spans="1:9" x14ac:dyDescent="0.3">
      <c r="A947" s="33">
        <v>9157</v>
      </c>
      <c r="B947" s="2">
        <v>2084</v>
      </c>
      <c r="C947" s="2" t="s">
        <v>12824</v>
      </c>
      <c r="D947" s="3" t="s">
        <v>14206</v>
      </c>
      <c r="F947" s="3" t="s">
        <v>568</v>
      </c>
      <c r="I947" s="3" t="s">
        <v>4520</v>
      </c>
    </row>
    <row r="948" spans="1:9" x14ac:dyDescent="0.3">
      <c r="A948" s="33">
        <v>9158</v>
      </c>
      <c r="B948" s="2">
        <v>1478</v>
      </c>
      <c r="C948" s="2" t="s">
        <v>12832</v>
      </c>
      <c r="D948" s="3" t="s">
        <v>14206</v>
      </c>
      <c r="F948" s="3" t="s">
        <v>5137</v>
      </c>
      <c r="G948" s="3" t="s">
        <v>575</v>
      </c>
    </row>
    <row r="949" spans="1:9" x14ac:dyDescent="0.3">
      <c r="A949" s="33">
        <v>9159</v>
      </c>
      <c r="B949" s="2">
        <v>2085</v>
      </c>
      <c r="C949" s="2" t="s">
        <v>12839</v>
      </c>
      <c r="D949" s="3" t="s">
        <v>14206</v>
      </c>
      <c r="F949" s="3" t="s">
        <v>568</v>
      </c>
    </row>
    <row r="950" spans="1:9" x14ac:dyDescent="0.3">
      <c r="A950" s="33">
        <v>9160</v>
      </c>
      <c r="B950" s="2">
        <v>2086</v>
      </c>
      <c r="C950" s="2" t="s">
        <v>12846</v>
      </c>
      <c r="D950" s="3" t="s">
        <v>14206</v>
      </c>
      <c r="F950" s="3" t="s">
        <v>289</v>
      </c>
    </row>
    <row r="951" spans="1:9" x14ac:dyDescent="0.3">
      <c r="A951" s="33">
        <v>9161</v>
      </c>
      <c r="B951" s="2">
        <v>2087</v>
      </c>
      <c r="C951" s="2" t="s">
        <v>12852</v>
      </c>
      <c r="D951" s="3" t="s">
        <v>14206</v>
      </c>
      <c r="F951" s="3" t="s">
        <v>193</v>
      </c>
    </row>
    <row r="952" spans="1:9" x14ac:dyDescent="0.3">
      <c r="A952" s="33">
        <v>9162</v>
      </c>
      <c r="B952" s="2">
        <v>1479</v>
      </c>
      <c r="C952" s="2" t="s">
        <v>12858</v>
      </c>
      <c r="D952" s="3" t="s">
        <v>14206</v>
      </c>
      <c r="F952" s="3" t="s">
        <v>648</v>
      </c>
    </row>
    <row r="953" spans="1:9" x14ac:dyDescent="0.3">
      <c r="A953" s="33">
        <v>9163</v>
      </c>
      <c r="B953" s="2">
        <v>1480</v>
      </c>
      <c r="C953" s="2" t="s">
        <v>12865</v>
      </c>
      <c r="D953" s="3" t="s">
        <v>14206</v>
      </c>
      <c r="F953" s="3" t="s">
        <v>504</v>
      </c>
    </row>
    <row r="954" spans="1:9" x14ac:dyDescent="0.3">
      <c r="A954" s="33">
        <v>9164</v>
      </c>
      <c r="B954" s="2">
        <v>2088</v>
      </c>
      <c r="C954" s="2" t="s">
        <v>12871</v>
      </c>
      <c r="D954" s="3" t="s">
        <v>14207</v>
      </c>
      <c r="F954" s="3" t="s">
        <v>168</v>
      </c>
    </row>
    <row r="955" spans="1:9" x14ac:dyDescent="0.3">
      <c r="A955" s="33">
        <v>9165</v>
      </c>
      <c r="B955" s="2">
        <v>1481</v>
      </c>
      <c r="C955" s="2" t="s">
        <v>12877</v>
      </c>
      <c r="D955" s="3" t="s">
        <v>14206</v>
      </c>
      <c r="F955" s="3" t="s">
        <v>426</v>
      </c>
      <c r="I955" s="3" t="s">
        <v>1638</v>
      </c>
    </row>
    <row r="956" spans="1:9" x14ac:dyDescent="0.3">
      <c r="A956" s="33">
        <v>9166</v>
      </c>
      <c r="B956" s="2">
        <v>1482</v>
      </c>
      <c r="C956" s="2" t="s">
        <v>12883</v>
      </c>
      <c r="D956" s="3" t="s">
        <v>14206</v>
      </c>
      <c r="F956" s="3" t="s">
        <v>469</v>
      </c>
    </row>
    <row r="957" spans="1:9" x14ac:dyDescent="0.3">
      <c r="A957" s="33">
        <v>9167</v>
      </c>
      <c r="B957" s="2">
        <v>1483</v>
      </c>
      <c r="C957" s="2" t="s">
        <v>12888</v>
      </c>
      <c r="D957" s="3" t="s">
        <v>14206</v>
      </c>
      <c r="F957" s="3" t="s">
        <v>469</v>
      </c>
    </row>
    <row r="958" spans="1:9" x14ac:dyDescent="0.3">
      <c r="A958" s="33">
        <v>9168</v>
      </c>
      <c r="B958" s="2">
        <v>1484</v>
      </c>
      <c r="C958" s="2" t="s">
        <v>12894</v>
      </c>
      <c r="D958" s="3" t="s">
        <v>14207</v>
      </c>
      <c r="F958" s="3" t="s">
        <v>2361</v>
      </c>
      <c r="I958" s="3" t="s">
        <v>3549</v>
      </c>
    </row>
    <row r="959" spans="1:9" x14ac:dyDescent="0.3">
      <c r="A959" s="33">
        <v>9169</v>
      </c>
      <c r="B959" s="2">
        <v>2089</v>
      </c>
      <c r="C959" s="2" t="s">
        <v>12900</v>
      </c>
      <c r="D959" s="3" t="s">
        <v>14206</v>
      </c>
      <c r="F959" s="3" t="s">
        <v>568</v>
      </c>
    </row>
    <row r="960" spans="1:9" x14ac:dyDescent="0.3">
      <c r="A960" s="33">
        <v>9170</v>
      </c>
      <c r="B960" s="2">
        <v>1485</v>
      </c>
      <c r="C960" s="2" t="s">
        <v>12906</v>
      </c>
      <c r="D960" s="3" t="s">
        <v>14206</v>
      </c>
      <c r="F960" s="3" t="s">
        <v>5191</v>
      </c>
    </row>
    <row r="961" spans="1:9" x14ac:dyDescent="0.3">
      <c r="A961" s="33">
        <v>9171</v>
      </c>
      <c r="B961" s="2">
        <v>1486</v>
      </c>
      <c r="C961" s="2" t="s">
        <v>12912</v>
      </c>
      <c r="D961" s="3" t="s">
        <v>14206</v>
      </c>
      <c r="F961" s="3" t="s">
        <v>1183</v>
      </c>
    </row>
    <row r="962" spans="1:9" x14ac:dyDescent="0.3">
      <c r="A962" s="33">
        <v>9172</v>
      </c>
      <c r="B962" s="2">
        <v>1487</v>
      </c>
      <c r="C962" s="2" t="s">
        <v>12918</v>
      </c>
      <c r="D962" s="3" t="s">
        <v>14206</v>
      </c>
      <c r="F962" s="3" t="s">
        <v>1183</v>
      </c>
    </row>
    <row r="963" spans="1:9" x14ac:dyDescent="0.3">
      <c r="A963" s="33">
        <v>9173</v>
      </c>
      <c r="B963" s="2">
        <v>1488</v>
      </c>
      <c r="C963" s="2" t="s">
        <v>12924</v>
      </c>
      <c r="D963" s="3" t="s">
        <v>14206</v>
      </c>
      <c r="F963" s="3" t="s">
        <v>1183</v>
      </c>
    </row>
    <row r="964" spans="1:9" x14ac:dyDescent="0.3">
      <c r="A964" s="33">
        <v>9174</v>
      </c>
      <c r="B964" s="2">
        <v>1489</v>
      </c>
      <c r="C964" s="2" t="s">
        <v>12930</v>
      </c>
      <c r="D964" s="3" t="s">
        <v>14206</v>
      </c>
      <c r="F964" s="3" t="s">
        <v>5191</v>
      </c>
    </row>
    <row r="965" spans="1:9" x14ac:dyDescent="0.3">
      <c r="A965" s="33">
        <v>9175</v>
      </c>
      <c r="B965" s="2">
        <v>1490</v>
      </c>
      <c r="C965" s="2" t="s">
        <v>12936</v>
      </c>
      <c r="D965" s="3" t="s">
        <v>14206</v>
      </c>
      <c r="F965" s="3" t="s">
        <v>810</v>
      </c>
    </row>
    <row r="966" spans="1:9" x14ac:dyDescent="0.3">
      <c r="A966" s="33">
        <v>9176</v>
      </c>
      <c r="B966" s="2">
        <v>1491</v>
      </c>
      <c r="C966" s="2" t="s">
        <v>12942</v>
      </c>
      <c r="D966" s="3" t="s">
        <v>14206</v>
      </c>
      <c r="F966" s="3" t="s">
        <v>810</v>
      </c>
    </row>
    <row r="967" spans="1:9" x14ac:dyDescent="0.3">
      <c r="A967" s="33">
        <v>9177</v>
      </c>
      <c r="B967" s="2">
        <v>1492</v>
      </c>
      <c r="C967" s="2" t="s">
        <v>12948</v>
      </c>
      <c r="D967" s="3" t="s">
        <v>14206</v>
      </c>
      <c r="F967" s="3" t="s">
        <v>810</v>
      </c>
    </row>
    <row r="968" spans="1:9" x14ac:dyDescent="0.3">
      <c r="A968" s="33">
        <v>9178</v>
      </c>
      <c r="B968" s="2">
        <v>1493</v>
      </c>
      <c r="C968" s="2" t="s">
        <v>12954</v>
      </c>
      <c r="D968" s="3" t="s">
        <v>14206</v>
      </c>
      <c r="F968" s="3" t="s">
        <v>810</v>
      </c>
    </row>
    <row r="969" spans="1:9" x14ac:dyDescent="0.3">
      <c r="A969" s="33">
        <v>9179</v>
      </c>
      <c r="B969" s="2">
        <v>2090</v>
      </c>
      <c r="C969" s="2" t="s">
        <v>12960</v>
      </c>
      <c r="D969" s="3" t="s">
        <v>14206</v>
      </c>
      <c r="F969" s="3" t="s">
        <v>289</v>
      </c>
    </row>
    <row r="970" spans="1:9" x14ac:dyDescent="0.3">
      <c r="A970" s="33">
        <v>9180</v>
      </c>
      <c r="B970" s="2">
        <v>1494</v>
      </c>
      <c r="C970" s="2" t="s">
        <v>12966</v>
      </c>
      <c r="D970" s="3" t="s">
        <v>14206</v>
      </c>
      <c r="F970" s="3" t="s">
        <v>5312</v>
      </c>
    </row>
    <row r="971" spans="1:9" x14ac:dyDescent="0.3">
      <c r="A971" s="33">
        <v>9181</v>
      </c>
      <c r="B971" s="2">
        <v>2091</v>
      </c>
      <c r="C971" s="2" t="s">
        <v>12972</v>
      </c>
      <c r="D971" s="3" t="s">
        <v>14207</v>
      </c>
      <c r="F971" s="3" t="s">
        <v>568</v>
      </c>
      <c r="I971" s="3" t="s">
        <v>1473</v>
      </c>
    </row>
    <row r="972" spans="1:9" x14ac:dyDescent="0.3">
      <c r="A972" s="33">
        <v>9182</v>
      </c>
      <c r="B972" s="2">
        <v>1495</v>
      </c>
      <c r="C972" s="2" t="s">
        <v>12979</v>
      </c>
      <c r="D972" s="3" t="s">
        <v>14207</v>
      </c>
      <c r="F972" s="3" t="s">
        <v>713</v>
      </c>
    </row>
    <row r="973" spans="1:9" x14ac:dyDescent="0.3">
      <c r="A973" s="33">
        <v>9184</v>
      </c>
      <c r="B973" s="2">
        <v>2092</v>
      </c>
      <c r="C973" s="2" t="s">
        <v>12984</v>
      </c>
      <c r="D973" s="3" t="s">
        <v>14206</v>
      </c>
      <c r="F973" s="3" t="s">
        <v>824</v>
      </c>
    </row>
    <row r="974" spans="1:9" x14ac:dyDescent="0.3">
      <c r="A974" s="33">
        <v>9185</v>
      </c>
      <c r="B974" s="2">
        <v>1496</v>
      </c>
      <c r="C974" s="2" t="s">
        <v>12990</v>
      </c>
      <c r="D974" s="3" t="s">
        <v>14206</v>
      </c>
      <c r="F974" s="3" t="s">
        <v>648</v>
      </c>
    </row>
    <row r="975" spans="1:9" x14ac:dyDescent="0.3">
      <c r="A975" s="33">
        <v>9186</v>
      </c>
      <c r="B975" s="2">
        <v>2093</v>
      </c>
      <c r="C975" s="2" t="s">
        <v>12997</v>
      </c>
      <c r="D975" s="3" t="s">
        <v>14207</v>
      </c>
      <c r="F975" s="3" t="s">
        <v>895</v>
      </c>
    </row>
    <row r="976" spans="1:9" x14ac:dyDescent="0.3">
      <c r="A976" s="33">
        <v>9187</v>
      </c>
      <c r="B976" s="2">
        <v>1497</v>
      </c>
      <c r="C976" s="2" t="s">
        <v>13003</v>
      </c>
      <c r="D976" s="3" t="s">
        <v>14206</v>
      </c>
      <c r="F976" s="3" t="s">
        <v>3464</v>
      </c>
    </row>
    <row r="977" spans="1:9" x14ac:dyDescent="0.3">
      <c r="A977" s="33">
        <v>9188</v>
      </c>
      <c r="B977" s="2">
        <v>1498</v>
      </c>
      <c r="C977" s="2" t="s">
        <v>13010</v>
      </c>
      <c r="D977" s="3" t="s">
        <v>14207</v>
      </c>
      <c r="F977" s="3" t="s">
        <v>4614</v>
      </c>
    </row>
    <row r="978" spans="1:9" x14ac:dyDescent="0.3">
      <c r="A978" s="33">
        <v>9190</v>
      </c>
      <c r="B978" s="2">
        <v>1499</v>
      </c>
      <c r="C978" s="2" t="s">
        <v>13015</v>
      </c>
      <c r="D978" s="3" t="s">
        <v>14206</v>
      </c>
      <c r="F978" s="3" t="s">
        <v>5362</v>
      </c>
      <c r="I978" s="3" t="s">
        <v>1638</v>
      </c>
    </row>
    <row r="979" spans="1:9" x14ac:dyDescent="0.3">
      <c r="A979" s="33">
        <v>9191</v>
      </c>
      <c r="B979" s="2">
        <v>2094</v>
      </c>
      <c r="C979" s="2" t="s">
        <v>13023</v>
      </c>
      <c r="D979" s="3" t="s">
        <v>14207</v>
      </c>
      <c r="F979" s="3" t="s">
        <v>4760</v>
      </c>
    </row>
    <row r="980" spans="1:9" x14ac:dyDescent="0.3">
      <c r="A980" s="33">
        <v>9192</v>
      </c>
      <c r="B980" s="2">
        <v>1500</v>
      </c>
      <c r="C980" s="2" t="s">
        <v>13027</v>
      </c>
      <c r="D980" s="3" t="s">
        <v>14206</v>
      </c>
      <c r="F980" s="3" t="s">
        <v>426</v>
      </c>
    </row>
    <row r="981" spans="1:9" x14ac:dyDescent="0.3">
      <c r="A981" s="33">
        <v>9193</v>
      </c>
      <c r="B981" s="2">
        <v>2095</v>
      </c>
      <c r="C981" s="2" t="s">
        <v>13033</v>
      </c>
      <c r="D981" s="3" t="s">
        <v>14207</v>
      </c>
      <c r="F981" s="3" t="s">
        <v>4760</v>
      </c>
    </row>
    <row r="982" spans="1:9" x14ac:dyDescent="0.3">
      <c r="A982" s="33">
        <v>9194</v>
      </c>
      <c r="B982" s="2">
        <v>2096</v>
      </c>
      <c r="C982" s="2" t="s">
        <v>13037</v>
      </c>
      <c r="D982" s="3" t="s">
        <v>14207</v>
      </c>
      <c r="F982" s="3" t="s">
        <v>4760</v>
      </c>
    </row>
    <row r="983" spans="1:9" x14ac:dyDescent="0.3">
      <c r="A983" s="33">
        <v>9195</v>
      </c>
      <c r="B983" s="2">
        <v>2097</v>
      </c>
      <c r="C983" s="2" t="s">
        <v>13040</v>
      </c>
      <c r="D983" s="3" t="s">
        <v>14207</v>
      </c>
      <c r="F983" s="3" t="s">
        <v>4760</v>
      </c>
    </row>
    <row r="984" spans="1:9" x14ac:dyDescent="0.3">
      <c r="A984" s="33">
        <v>9196</v>
      </c>
      <c r="B984" s="2">
        <v>2098</v>
      </c>
      <c r="C984" s="2" t="s">
        <v>13043</v>
      </c>
      <c r="D984" s="3" t="s">
        <v>14207</v>
      </c>
      <c r="F984" s="3" t="s">
        <v>4760</v>
      </c>
    </row>
    <row r="985" spans="1:9" x14ac:dyDescent="0.3">
      <c r="A985" s="33">
        <v>9197</v>
      </c>
      <c r="B985" s="2">
        <v>2099</v>
      </c>
      <c r="C985" s="2" t="s">
        <v>13047</v>
      </c>
      <c r="D985" s="3" t="s">
        <v>14206</v>
      </c>
      <c r="F985" s="3" t="s">
        <v>824</v>
      </c>
      <c r="I985" s="3" t="s">
        <v>1473</v>
      </c>
    </row>
    <row r="986" spans="1:9" x14ac:dyDescent="0.3">
      <c r="A986" s="33">
        <v>9198</v>
      </c>
      <c r="B986" s="2">
        <v>1501</v>
      </c>
      <c r="C986" s="2" t="s">
        <v>13054</v>
      </c>
      <c r="D986" s="3" t="s">
        <v>14259</v>
      </c>
      <c r="F986" s="3" t="s">
        <v>5370</v>
      </c>
    </row>
    <row r="987" spans="1:9" x14ac:dyDescent="0.3">
      <c r="A987" s="33">
        <v>9199</v>
      </c>
      <c r="B987" s="2">
        <v>1502</v>
      </c>
      <c r="C987" s="2" t="s">
        <v>13061</v>
      </c>
      <c r="D987" s="3" t="s">
        <v>14206</v>
      </c>
      <c r="F987" s="3" t="s">
        <v>426</v>
      </c>
    </row>
    <row r="988" spans="1:9" x14ac:dyDescent="0.3">
      <c r="A988" s="33">
        <v>9200</v>
      </c>
      <c r="B988" s="2">
        <v>1503</v>
      </c>
      <c r="C988" s="2" t="s">
        <v>13067</v>
      </c>
      <c r="F988" s="3" t="s">
        <v>4195</v>
      </c>
    </row>
    <row r="989" spans="1:9" x14ac:dyDescent="0.3">
      <c r="A989" s="33">
        <v>9201</v>
      </c>
      <c r="B989" s="2">
        <v>1504</v>
      </c>
      <c r="C989" s="2" t="s">
        <v>13074</v>
      </c>
      <c r="D989" s="3" t="s">
        <v>14206</v>
      </c>
      <c r="F989" s="3" t="s">
        <v>1903</v>
      </c>
    </row>
    <row r="990" spans="1:9" x14ac:dyDescent="0.3">
      <c r="A990" s="33">
        <v>9202</v>
      </c>
      <c r="B990" s="2">
        <v>1505</v>
      </c>
      <c r="C990" s="2" t="s">
        <v>13080</v>
      </c>
      <c r="D990" s="3" t="s">
        <v>14206</v>
      </c>
      <c r="F990" s="3" t="s">
        <v>5640</v>
      </c>
    </row>
    <row r="991" spans="1:9" x14ac:dyDescent="0.3">
      <c r="A991" s="33">
        <v>9203</v>
      </c>
      <c r="B991" s="2">
        <v>1506</v>
      </c>
      <c r="C991" s="2" t="s">
        <v>9808</v>
      </c>
      <c r="D991" s="3" t="s">
        <v>14207</v>
      </c>
      <c r="F991" s="3" t="s">
        <v>600</v>
      </c>
    </row>
    <row r="992" spans="1:9" x14ac:dyDescent="0.3">
      <c r="A992" s="33">
        <v>9204</v>
      </c>
      <c r="B992" s="2">
        <v>2100</v>
      </c>
      <c r="C992" s="2" t="s">
        <v>13089</v>
      </c>
      <c r="D992" s="3" t="s">
        <v>14206</v>
      </c>
      <c r="F992" s="3" t="s">
        <v>269</v>
      </c>
    </row>
    <row r="993" spans="1:9" x14ac:dyDescent="0.3">
      <c r="A993" s="33">
        <v>9205</v>
      </c>
      <c r="B993" s="2">
        <v>2101</v>
      </c>
      <c r="C993" s="2" t="s">
        <v>13096</v>
      </c>
      <c r="D993" s="3" t="s">
        <v>14206</v>
      </c>
      <c r="F993" s="3" t="s">
        <v>269</v>
      </c>
    </row>
    <row r="994" spans="1:9" x14ac:dyDescent="0.3">
      <c r="A994" s="33">
        <v>9206</v>
      </c>
      <c r="B994" s="2">
        <v>2102</v>
      </c>
      <c r="C994" s="2" t="s">
        <v>13102</v>
      </c>
      <c r="D994" s="3" t="s">
        <v>14206</v>
      </c>
      <c r="F994" s="3" t="s">
        <v>269</v>
      </c>
    </row>
    <row r="995" spans="1:9" x14ac:dyDescent="0.3">
      <c r="A995" s="33">
        <v>9207</v>
      </c>
      <c r="B995" s="2">
        <v>1507</v>
      </c>
      <c r="C995" s="2" t="s">
        <v>13108</v>
      </c>
      <c r="D995" s="3" t="s">
        <v>14206</v>
      </c>
      <c r="F995" s="3" t="s">
        <v>5362</v>
      </c>
      <c r="I995" s="3" t="s">
        <v>1638</v>
      </c>
    </row>
    <row r="996" spans="1:9" x14ac:dyDescent="0.3">
      <c r="A996" s="33">
        <v>9208</v>
      </c>
      <c r="B996" s="2">
        <v>1508</v>
      </c>
      <c r="C996" s="2" t="s">
        <v>13113</v>
      </c>
      <c r="D996" s="3" t="s">
        <v>14206</v>
      </c>
      <c r="F996" s="3" t="s">
        <v>713</v>
      </c>
    </row>
    <row r="997" spans="1:9" x14ac:dyDescent="0.3">
      <c r="A997" s="33">
        <v>9209</v>
      </c>
      <c r="B997" s="2">
        <v>1509</v>
      </c>
      <c r="C997" s="2" t="s">
        <v>13119</v>
      </c>
      <c r="D997" s="3" t="s">
        <v>14207</v>
      </c>
      <c r="F997" s="3" t="s">
        <v>648</v>
      </c>
    </row>
    <row r="998" spans="1:9" x14ac:dyDescent="0.3">
      <c r="A998" s="33">
        <v>9210</v>
      </c>
      <c r="B998" s="2">
        <v>1510</v>
      </c>
      <c r="C998" s="2" t="s">
        <v>13125</v>
      </c>
      <c r="D998" s="3" t="s">
        <v>14206</v>
      </c>
      <c r="F998" s="3" t="s">
        <v>469</v>
      </c>
    </row>
    <row r="999" spans="1:9" x14ac:dyDescent="0.3">
      <c r="A999" s="33">
        <v>9211</v>
      </c>
      <c r="B999" s="2">
        <v>1511</v>
      </c>
      <c r="C999" s="2" t="s">
        <v>13131</v>
      </c>
      <c r="D999" s="3" t="s">
        <v>14207</v>
      </c>
      <c r="F999" s="3" t="s">
        <v>2296</v>
      </c>
    </row>
    <row r="1000" spans="1:9" x14ac:dyDescent="0.3">
      <c r="A1000" s="33">
        <v>9212</v>
      </c>
      <c r="B1000" s="2">
        <v>1512</v>
      </c>
      <c r="C1000" s="2" t="s">
        <v>13138</v>
      </c>
      <c r="D1000" s="3" t="s">
        <v>14206</v>
      </c>
      <c r="F1000" s="3" t="s">
        <v>5458</v>
      </c>
      <c r="I1000" s="3" t="s">
        <v>5459</v>
      </c>
    </row>
    <row r="1001" spans="1:9" x14ac:dyDescent="0.3">
      <c r="A1001" s="33">
        <v>9214</v>
      </c>
      <c r="B1001" s="2">
        <v>2103</v>
      </c>
      <c r="C1001" s="2" t="s">
        <v>13144</v>
      </c>
      <c r="D1001" s="3" t="s">
        <v>14206</v>
      </c>
      <c r="F1001" s="3" t="s">
        <v>491</v>
      </c>
    </row>
    <row r="1002" spans="1:9" x14ac:dyDescent="0.3">
      <c r="A1002" s="33">
        <v>9215</v>
      </c>
      <c r="B1002" s="2">
        <v>2104</v>
      </c>
      <c r="C1002" s="2" t="s">
        <v>13150</v>
      </c>
      <c r="D1002" s="3" t="s">
        <v>14206</v>
      </c>
      <c r="F1002" s="3" t="s">
        <v>846</v>
      </c>
    </row>
    <row r="1003" spans="1:9" x14ac:dyDescent="0.3">
      <c r="A1003" s="33">
        <v>9216</v>
      </c>
      <c r="B1003" s="2">
        <v>2105</v>
      </c>
      <c r="C1003" s="2" t="s">
        <v>13157</v>
      </c>
      <c r="D1003" s="3" t="s">
        <v>14206</v>
      </c>
      <c r="F1003" s="3" t="s">
        <v>824</v>
      </c>
    </row>
    <row r="1004" spans="1:9" x14ac:dyDescent="0.3">
      <c r="A1004" s="33">
        <v>9217</v>
      </c>
      <c r="B1004" s="2">
        <v>1513</v>
      </c>
      <c r="C1004" s="2" t="s">
        <v>13163</v>
      </c>
      <c r="D1004" s="3" t="s">
        <v>14206</v>
      </c>
      <c r="F1004" s="3" t="s">
        <v>1328</v>
      </c>
    </row>
    <row r="1005" spans="1:9" x14ac:dyDescent="0.3">
      <c r="A1005" s="33">
        <v>9218</v>
      </c>
      <c r="B1005" s="2">
        <v>1514</v>
      </c>
      <c r="C1005" s="2" t="s">
        <v>13167</v>
      </c>
      <c r="D1005" s="3" t="s">
        <v>14206</v>
      </c>
      <c r="F1005" s="3" t="s">
        <v>3123</v>
      </c>
      <c r="I1005" s="3" t="s">
        <v>1638</v>
      </c>
    </row>
    <row r="1006" spans="1:9" x14ac:dyDescent="0.3">
      <c r="A1006" s="33">
        <v>9219</v>
      </c>
      <c r="B1006" s="2">
        <v>1515</v>
      </c>
      <c r="C1006" s="2" t="s">
        <v>13172</v>
      </c>
      <c r="D1006" s="3" t="s">
        <v>14207</v>
      </c>
      <c r="F1006" s="3" t="s">
        <v>3535</v>
      </c>
      <c r="I1006" s="3" t="s">
        <v>4520</v>
      </c>
    </row>
    <row r="1007" spans="1:9" x14ac:dyDescent="0.3">
      <c r="A1007" s="33">
        <v>9220</v>
      </c>
      <c r="B1007" s="2">
        <v>1516</v>
      </c>
      <c r="C1007" s="2" t="s">
        <v>13177</v>
      </c>
      <c r="D1007" s="3" t="s">
        <v>14206</v>
      </c>
      <c r="E1007" s="3" t="s">
        <v>496</v>
      </c>
      <c r="F1007" s="3" t="s">
        <v>426</v>
      </c>
    </row>
    <row r="1008" spans="1:9" x14ac:dyDescent="0.3">
      <c r="A1008" s="33">
        <v>9221</v>
      </c>
      <c r="B1008" s="2">
        <v>1517</v>
      </c>
      <c r="C1008" s="2" t="s">
        <v>13184</v>
      </c>
      <c r="D1008" s="3" t="s">
        <v>14206</v>
      </c>
      <c r="F1008" s="3" t="s">
        <v>648</v>
      </c>
    </row>
    <row r="1009" spans="1:9" x14ac:dyDescent="0.3">
      <c r="A1009" s="33">
        <v>9222</v>
      </c>
      <c r="B1009" s="2">
        <v>2106</v>
      </c>
      <c r="C1009" s="2" t="s">
        <v>13190</v>
      </c>
      <c r="D1009" s="3" t="s">
        <v>14260</v>
      </c>
      <c r="F1009" s="3" t="s">
        <v>922</v>
      </c>
    </row>
    <row r="1010" spans="1:9" x14ac:dyDescent="0.3">
      <c r="A1010" s="33">
        <v>9223</v>
      </c>
      <c r="B1010" s="2">
        <v>2107</v>
      </c>
      <c r="C1010" s="2" t="s">
        <v>13196</v>
      </c>
      <c r="D1010" s="3" t="s">
        <v>14206</v>
      </c>
      <c r="F1010" s="3" t="s">
        <v>269</v>
      </c>
    </row>
    <row r="1011" spans="1:9" x14ac:dyDescent="0.3">
      <c r="A1011" s="33">
        <v>9224</v>
      </c>
      <c r="B1011" s="2">
        <v>1518</v>
      </c>
      <c r="C1011" s="2" t="s">
        <v>13202</v>
      </c>
      <c r="D1011" s="3" t="s">
        <v>14206</v>
      </c>
      <c r="F1011" s="3" t="s">
        <v>108</v>
      </c>
    </row>
    <row r="1012" spans="1:9" x14ac:dyDescent="0.3">
      <c r="A1012" s="33">
        <v>9225</v>
      </c>
      <c r="B1012" s="2">
        <v>1519</v>
      </c>
      <c r="C1012" s="2" t="s">
        <v>13209</v>
      </c>
      <c r="D1012" s="3" t="s">
        <v>14206</v>
      </c>
      <c r="F1012" s="3" t="s">
        <v>108</v>
      </c>
    </row>
    <row r="1013" spans="1:9" x14ac:dyDescent="0.3">
      <c r="A1013" s="33">
        <v>9226</v>
      </c>
      <c r="B1013" s="2">
        <v>1520</v>
      </c>
      <c r="C1013" s="2" t="s">
        <v>13215</v>
      </c>
      <c r="D1013" s="3" t="s">
        <v>14206</v>
      </c>
      <c r="E1013" s="3" t="s">
        <v>496</v>
      </c>
      <c r="F1013" s="3" t="s">
        <v>656</v>
      </c>
    </row>
    <row r="1014" spans="1:9" x14ac:dyDescent="0.3">
      <c r="A1014" s="33">
        <v>9227</v>
      </c>
      <c r="B1014" s="2">
        <v>1521</v>
      </c>
      <c r="C1014" s="2" t="s">
        <v>13221</v>
      </c>
      <c r="D1014" s="3" t="s">
        <v>14206</v>
      </c>
      <c r="E1014" s="3" t="s">
        <v>496</v>
      </c>
      <c r="F1014" s="3" t="s">
        <v>656</v>
      </c>
    </row>
    <row r="1015" spans="1:9" x14ac:dyDescent="0.3">
      <c r="A1015" s="33">
        <v>9228</v>
      </c>
      <c r="B1015" s="2">
        <v>1522</v>
      </c>
      <c r="C1015" s="2" t="s">
        <v>13227</v>
      </c>
      <c r="D1015" s="3" t="s">
        <v>14206</v>
      </c>
      <c r="E1015" s="3" t="s">
        <v>5563</v>
      </c>
      <c r="F1015" s="3" t="s">
        <v>656</v>
      </c>
    </row>
    <row r="1016" spans="1:9" x14ac:dyDescent="0.3">
      <c r="A1016" s="33">
        <v>9229</v>
      </c>
      <c r="B1016" s="2">
        <v>1523</v>
      </c>
      <c r="C1016" s="2" t="s">
        <v>13233</v>
      </c>
      <c r="D1016" s="3" t="s">
        <v>14206</v>
      </c>
      <c r="E1016" s="3" t="s">
        <v>5563</v>
      </c>
      <c r="F1016" s="3" t="s">
        <v>656</v>
      </c>
      <c r="I1016" s="3" t="s">
        <v>5564</v>
      </c>
    </row>
    <row r="1017" spans="1:9" ht="27.6" x14ac:dyDescent="0.3">
      <c r="A1017" s="33">
        <v>9230</v>
      </c>
      <c r="B1017" s="2">
        <v>1524</v>
      </c>
      <c r="C1017" s="2" t="s">
        <v>13239</v>
      </c>
      <c r="D1017" s="29" t="s">
        <v>14261</v>
      </c>
      <c r="F1017" s="3" t="s">
        <v>3587</v>
      </c>
    </row>
    <row r="1018" spans="1:9" x14ac:dyDescent="0.3">
      <c r="A1018" s="33">
        <v>9232</v>
      </c>
      <c r="B1018" s="2">
        <v>2108</v>
      </c>
      <c r="C1018" s="2" t="s">
        <v>13252</v>
      </c>
      <c r="D1018" s="3" t="s">
        <v>14206</v>
      </c>
      <c r="F1018" s="3" t="s">
        <v>3533</v>
      </c>
    </row>
    <row r="1019" spans="1:9" x14ac:dyDescent="0.3">
      <c r="A1019" s="33">
        <v>9233</v>
      </c>
      <c r="B1019" s="2">
        <v>1526</v>
      </c>
      <c r="C1019" s="2" t="s">
        <v>13258</v>
      </c>
      <c r="D1019" s="3" t="s">
        <v>14206</v>
      </c>
      <c r="F1019" s="3" t="s">
        <v>1328</v>
      </c>
    </row>
    <row r="1020" spans="1:9" x14ac:dyDescent="0.3">
      <c r="A1020" s="33">
        <v>9234</v>
      </c>
      <c r="B1020" s="2">
        <v>1527</v>
      </c>
      <c r="C1020" s="2" t="s">
        <v>13264</v>
      </c>
      <c r="D1020" s="3" t="s">
        <v>14206</v>
      </c>
      <c r="F1020" s="3" t="s">
        <v>1328</v>
      </c>
    </row>
    <row r="1021" spans="1:9" x14ac:dyDescent="0.3">
      <c r="A1021" s="33">
        <v>9235</v>
      </c>
      <c r="B1021" s="2">
        <v>1528</v>
      </c>
      <c r="C1021" s="2" t="s">
        <v>13270</v>
      </c>
      <c r="D1021" s="3" t="s">
        <v>14206</v>
      </c>
      <c r="F1021" s="3" t="s">
        <v>1328</v>
      </c>
    </row>
    <row r="1022" spans="1:9" x14ac:dyDescent="0.3">
      <c r="A1022" s="33">
        <v>9236</v>
      </c>
      <c r="B1022" s="2">
        <v>1529</v>
      </c>
      <c r="C1022" s="2" t="s">
        <v>13276</v>
      </c>
      <c r="D1022" s="3" t="s">
        <v>14206</v>
      </c>
      <c r="F1022" s="3" t="s">
        <v>1328</v>
      </c>
    </row>
    <row r="1023" spans="1:9" x14ac:dyDescent="0.3">
      <c r="A1023" s="33">
        <v>9237</v>
      </c>
      <c r="B1023" s="2">
        <v>1530</v>
      </c>
      <c r="C1023" s="2" t="s">
        <v>13282</v>
      </c>
      <c r="D1023" s="3" t="s">
        <v>14206</v>
      </c>
      <c r="F1023" s="3" t="s">
        <v>5614</v>
      </c>
    </row>
    <row r="1024" spans="1:9" x14ac:dyDescent="0.3">
      <c r="A1024" s="33">
        <v>9238</v>
      </c>
      <c r="B1024" s="2">
        <v>2109</v>
      </c>
      <c r="C1024" s="2" t="s">
        <v>13289</v>
      </c>
      <c r="D1024" s="3" t="s">
        <v>14206</v>
      </c>
      <c r="F1024" s="3" t="s">
        <v>11</v>
      </c>
    </row>
    <row r="1025" spans="1:7" x14ac:dyDescent="0.3">
      <c r="A1025" s="33">
        <v>9239</v>
      </c>
      <c r="B1025" s="2">
        <v>1531</v>
      </c>
      <c r="C1025" s="2" t="s">
        <v>13296</v>
      </c>
      <c r="D1025" s="3" t="s">
        <v>14206</v>
      </c>
      <c r="F1025" s="3" t="s">
        <v>1332</v>
      </c>
    </row>
    <row r="1026" spans="1:7" x14ac:dyDescent="0.3">
      <c r="A1026" s="33">
        <v>9240</v>
      </c>
      <c r="B1026" s="2">
        <v>2110</v>
      </c>
      <c r="C1026" s="2" t="s">
        <v>13303</v>
      </c>
      <c r="D1026" s="3" t="s">
        <v>14206</v>
      </c>
      <c r="F1026" s="3" t="s">
        <v>11</v>
      </c>
    </row>
    <row r="1027" spans="1:7" x14ac:dyDescent="0.3">
      <c r="A1027" s="33">
        <v>9241</v>
      </c>
      <c r="B1027" s="2">
        <v>1532</v>
      </c>
      <c r="C1027" s="2" t="s">
        <v>13310</v>
      </c>
      <c r="D1027" s="3" t="s">
        <v>14206</v>
      </c>
      <c r="F1027" s="3" t="s">
        <v>5621</v>
      </c>
    </row>
    <row r="1028" spans="1:7" x14ac:dyDescent="0.3">
      <c r="A1028" s="33">
        <v>9242</v>
      </c>
      <c r="B1028" s="2">
        <v>1533</v>
      </c>
      <c r="C1028" s="2" t="s">
        <v>13316</v>
      </c>
      <c r="D1028" s="3" t="s">
        <v>14206</v>
      </c>
      <c r="F1028" s="3" t="s">
        <v>2965</v>
      </c>
    </row>
    <row r="1029" spans="1:7" x14ac:dyDescent="0.3">
      <c r="A1029" s="33">
        <v>9243</v>
      </c>
      <c r="B1029" s="2">
        <v>2111</v>
      </c>
      <c r="C1029" s="2" t="s">
        <v>13322</v>
      </c>
      <c r="D1029" s="3" t="s">
        <v>14206</v>
      </c>
      <c r="F1029" s="3" t="s">
        <v>5634</v>
      </c>
    </row>
    <row r="1030" spans="1:7" x14ac:dyDescent="0.3">
      <c r="A1030" s="33">
        <v>9244</v>
      </c>
      <c r="B1030" s="2">
        <v>2112</v>
      </c>
      <c r="C1030" s="2" t="s">
        <v>13329</v>
      </c>
      <c r="D1030" s="3" t="s">
        <v>14206</v>
      </c>
      <c r="F1030" s="3" t="s">
        <v>824</v>
      </c>
    </row>
    <row r="1031" spans="1:7" x14ac:dyDescent="0.3">
      <c r="A1031" s="33">
        <v>9245</v>
      </c>
      <c r="B1031" s="2">
        <v>2113</v>
      </c>
      <c r="C1031" s="2" t="s">
        <v>13335</v>
      </c>
      <c r="D1031" s="3" t="s">
        <v>14206</v>
      </c>
      <c r="F1031" s="3" t="s">
        <v>269</v>
      </c>
    </row>
    <row r="1032" spans="1:7" x14ac:dyDescent="0.3">
      <c r="A1032" s="33">
        <v>9246</v>
      </c>
      <c r="B1032" s="2">
        <v>1534</v>
      </c>
      <c r="C1032" s="2" t="s">
        <v>13342</v>
      </c>
      <c r="D1032" s="3" t="s">
        <v>14206</v>
      </c>
      <c r="F1032" s="3" t="s">
        <v>2138</v>
      </c>
    </row>
    <row r="1033" spans="1:7" x14ac:dyDescent="0.3">
      <c r="A1033" s="33">
        <v>9247</v>
      </c>
      <c r="B1033" s="2">
        <v>1535</v>
      </c>
      <c r="C1033" s="2" t="s">
        <v>13348</v>
      </c>
      <c r="D1033" s="3" t="s">
        <v>14206</v>
      </c>
      <c r="F1033" s="3" t="s">
        <v>4909</v>
      </c>
    </row>
    <row r="1034" spans="1:7" x14ac:dyDescent="0.3">
      <c r="A1034" s="33">
        <v>9248</v>
      </c>
      <c r="B1034" s="2">
        <v>1536</v>
      </c>
      <c r="C1034" s="2" t="s">
        <v>13354</v>
      </c>
      <c r="D1034" s="3" t="s">
        <v>14206</v>
      </c>
      <c r="F1034" s="3" t="s">
        <v>426</v>
      </c>
    </row>
    <row r="1035" spans="1:7" x14ac:dyDescent="0.3">
      <c r="A1035" s="33">
        <v>9249</v>
      </c>
      <c r="B1035" s="2">
        <v>2114</v>
      </c>
      <c r="C1035" s="2" t="s">
        <v>13361</v>
      </c>
      <c r="D1035" s="3" t="s">
        <v>14206</v>
      </c>
      <c r="E1035" s="3" t="s">
        <v>5646</v>
      </c>
      <c r="F1035" s="3" t="s">
        <v>1144</v>
      </c>
      <c r="G1035" s="3" t="s">
        <v>575</v>
      </c>
    </row>
    <row r="1036" spans="1:7" x14ac:dyDescent="0.3">
      <c r="A1036" s="33">
        <v>9250</v>
      </c>
      <c r="B1036" s="2">
        <v>1537</v>
      </c>
      <c r="C1036" s="2" t="s">
        <v>13367</v>
      </c>
      <c r="D1036" s="3" t="s">
        <v>14206</v>
      </c>
      <c r="F1036" s="3" t="s">
        <v>469</v>
      </c>
    </row>
    <row r="1037" spans="1:7" x14ac:dyDescent="0.3">
      <c r="A1037" s="33">
        <v>9253</v>
      </c>
      <c r="B1037" s="2">
        <v>1538</v>
      </c>
      <c r="C1037" s="2" t="s">
        <v>13373</v>
      </c>
      <c r="D1037" s="3" t="s">
        <v>14206</v>
      </c>
      <c r="F1037" s="3" t="s">
        <v>5656</v>
      </c>
    </row>
    <row r="1038" spans="1:7" x14ac:dyDescent="0.3">
      <c r="A1038" s="33">
        <v>9254</v>
      </c>
      <c r="B1038" s="2">
        <v>1539</v>
      </c>
      <c r="C1038" s="2" t="s">
        <v>13381</v>
      </c>
      <c r="D1038" s="3" t="s">
        <v>14207</v>
      </c>
      <c r="F1038" s="3" t="s">
        <v>962</v>
      </c>
    </row>
    <row r="1039" spans="1:7" x14ac:dyDescent="0.3">
      <c r="A1039" s="33">
        <v>9257</v>
      </c>
      <c r="B1039" s="2">
        <v>2115</v>
      </c>
      <c r="C1039" s="2" t="s">
        <v>13387</v>
      </c>
      <c r="D1039" s="3" t="s">
        <v>14206</v>
      </c>
      <c r="F1039" s="3" t="s">
        <v>5677</v>
      </c>
      <c r="G1039" s="3" t="s">
        <v>487</v>
      </c>
    </row>
    <row r="1040" spans="1:7" x14ac:dyDescent="0.3">
      <c r="A1040" s="33">
        <v>9258</v>
      </c>
      <c r="B1040" s="2">
        <v>2116</v>
      </c>
      <c r="C1040" s="2" t="s">
        <v>13393</v>
      </c>
      <c r="D1040" s="3" t="s">
        <v>14207</v>
      </c>
      <c r="F1040" s="3" t="s">
        <v>568</v>
      </c>
    </row>
    <row r="1041" spans="1:9" x14ac:dyDescent="0.3">
      <c r="A1041" s="33">
        <v>9259</v>
      </c>
      <c r="B1041" s="2">
        <v>1540</v>
      </c>
      <c r="C1041" s="2" t="s">
        <v>13399</v>
      </c>
      <c r="D1041" s="3" t="s">
        <v>14206</v>
      </c>
      <c r="F1041" s="3" t="s">
        <v>648</v>
      </c>
    </row>
    <row r="1042" spans="1:9" x14ac:dyDescent="0.3">
      <c r="A1042" s="33">
        <v>9260</v>
      </c>
      <c r="B1042" s="2">
        <v>1541</v>
      </c>
      <c r="C1042" s="2" t="s">
        <v>13405</v>
      </c>
      <c r="D1042" s="3" t="s">
        <v>14206</v>
      </c>
      <c r="F1042" s="3" t="s">
        <v>3464</v>
      </c>
    </row>
    <row r="1043" spans="1:9" x14ac:dyDescent="0.3">
      <c r="A1043" s="33">
        <v>9261</v>
      </c>
      <c r="B1043" s="2">
        <v>1542</v>
      </c>
      <c r="C1043" s="2" t="s">
        <v>13411</v>
      </c>
      <c r="D1043" s="3" t="s">
        <v>14206</v>
      </c>
      <c r="F1043" s="3" t="s">
        <v>2116</v>
      </c>
    </row>
    <row r="1044" spans="1:9" x14ac:dyDescent="0.3">
      <c r="A1044" s="33">
        <v>9262</v>
      </c>
      <c r="B1044" s="2">
        <v>1543</v>
      </c>
      <c r="C1044" s="2" t="s">
        <v>13417</v>
      </c>
      <c r="D1044" s="3" t="s">
        <v>14206</v>
      </c>
      <c r="F1044" s="3" t="s">
        <v>962</v>
      </c>
    </row>
    <row r="1045" spans="1:9" x14ac:dyDescent="0.3">
      <c r="A1045" s="33">
        <v>9263</v>
      </c>
      <c r="B1045" s="2">
        <v>2117</v>
      </c>
      <c r="C1045" s="2" t="s">
        <v>13422</v>
      </c>
      <c r="D1045" s="3" t="s">
        <v>14206</v>
      </c>
      <c r="F1045" s="3" t="s">
        <v>11</v>
      </c>
      <c r="I1045" s="3" t="s">
        <v>4520</v>
      </c>
    </row>
    <row r="1046" spans="1:9" x14ac:dyDescent="0.3">
      <c r="A1046" s="33">
        <v>9264</v>
      </c>
      <c r="B1046" s="2">
        <v>1544</v>
      </c>
      <c r="C1046" s="2" t="s">
        <v>13428</v>
      </c>
      <c r="D1046" s="3" t="s">
        <v>14206</v>
      </c>
      <c r="F1046" s="3" t="s">
        <v>1903</v>
      </c>
    </row>
    <row r="1047" spans="1:9" x14ac:dyDescent="0.3">
      <c r="A1047" s="33">
        <v>9265</v>
      </c>
      <c r="B1047" s="2">
        <v>2118</v>
      </c>
      <c r="C1047" s="2" t="s">
        <v>13435</v>
      </c>
      <c r="D1047" s="3" t="s">
        <v>14207</v>
      </c>
      <c r="F1047" s="3" t="s">
        <v>168</v>
      </c>
    </row>
    <row r="1048" spans="1:9" x14ac:dyDescent="0.3">
      <c r="A1048" s="33">
        <v>9266</v>
      </c>
      <c r="B1048" s="2">
        <v>1545</v>
      </c>
      <c r="C1048" s="2" t="s">
        <v>9961</v>
      </c>
      <c r="D1048" s="3" t="s">
        <v>14206</v>
      </c>
      <c r="F1048" s="3" t="s">
        <v>2938</v>
      </c>
    </row>
    <row r="1049" spans="1:9" x14ac:dyDescent="0.3">
      <c r="A1049" s="33">
        <v>9267</v>
      </c>
      <c r="B1049" s="2">
        <v>2119</v>
      </c>
      <c r="C1049" s="2" t="s">
        <v>13445</v>
      </c>
      <c r="D1049" s="3" t="s">
        <v>14206</v>
      </c>
      <c r="F1049" s="3" t="s">
        <v>5727</v>
      </c>
      <c r="G1049" s="3" t="s">
        <v>487</v>
      </c>
    </row>
    <row r="1050" spans="1:9" x14ac:dyDescent="0.3">
      <c r="A1050" s="33">
        <v>9268</v>
      </c>
      <c r="B1050" s="2">
        <v>1546</v>
      </c>
      <c r="C1050" s="2" t="s">
        <v>13451</v>
      </c>
      <c r="D1050" s="3" t="s">
        <v>14206</v>
      </c>
      <c r="F1050" s="3" t="s">
        <v>648</v>
      </c>
      <c r="G1050" s="3" t="s">
        <v>575</v>
      </c>
    </row>
    <row r="1051" spans="1:9" x14ac:dyDescent="0.3">
      <c r="A1051" s="33">
        <v>9269</v>
      </c>
      <c r="B1051" s="2">
        <v>2120</v>
      </c>
      <c r="C1051" s="2" t="s">
        <v>13457</v>
      </c>
      <c r="D1051" s="3" t="s">
        <v>14206</v>
      </c>
      <c r="F1051" s="3" t="s">
        <v>269</v>
      </c>
      <c r="G1051" s="3" t="s">
        <v>487</v>
      </c>
    </row>
    <row r="1052" spans="1:9" x14ac:dyDescent="0.3">
      <c r="A1052" s="33">
        <v>9271</v>
      </c>
      <c r="B1052" s="2">
        <v>2121</v>
      </c>
      <c r="C1052" s="2" t="s">
        <v>13463</v>
      </c>
      <c r="D1052" s="3" t="s">
        <v>14206</v>
      </c>
      <c r="F1052" s="3" t="s">
        <v>824</v>
      </c>
      <c r="G1052" s="3" t="s">
        <v>487</v>
      </c>
    </row>
    <row r="1053" spans="1:9" x14ac:dyDescent="0.3">
      <c r="A1053" s="33">
        <v>9272</v>
      </c>
      <c r="B1053" s="2">
        <v>2122</v>
      </c>
      <c r="C1053" s="2" t="s">
        <v>13469</v>
      </c>
      <c r="D1053" s="3" t="s">
        <v>14207</v>
      </c>
      <c r="F1053" s="3" t="s">
        <v>895</v>
      </c>
    </row>
    <row r="1054" spans="1:9" x14ac:dyDescent="0.3">
      <c r="A1054" s="33">
        <v>9273</v>
      </c>
      <c r="B1054" s="2">
        <v>1547</v>
      </c>
      <c r="C1054" s="2" t="s">
        <v>13476</v>
      </c>
      <c r="D1054" s="3" t="s">
        <v>14206</v>
      </c>
      <c r="F1054" s="3" t="s">
        <v>713</v>
      </c>
      <c r="I1054" s="3" t="s">
        <v>1638</v>
      </c>
    </row>
    <row r="1055" spans="1:9" x14ac:dyDescent="0.3">
      <c r="A1055" s="33">
        <v>9274</v>
      </c>
      <c r="B1055" s="2">
        <v>1548</v>
      </c>
      <c r="C1055" s="2" t="s">
        <v>13483</v>
      </c>
      <c r="D1055" s="3" t="s">
        <v>14206</v>
      </c>
      <c r="F1055" s="3" t="s">
        <v>600</v>
      </c>
    </row>
    <row r="1056" spans="1:9" x14ac:dyDescent="0.3">
      <c r="A1056" s="33">
        <v>9275</v>
      </c>
      <c r="B1056" s="2">
        <v>1549</v>
      </c>
      <c r="C1056" s="2" t="s">
        <v>13489</v>
      </c>
      <c r="D1056" s="3" t="s">
        <v>14206</v>
      </c>
      <c r="F1056" s="3" t="s">
        <v>600</v>
      </c>
    </row>
    <row r="1057" spans="1:9" x14ac:dyDescent="0.3">
      <c r="A1057" s="33">
        <v>9276</v>
      </c>
      <c r="B1057" s="2">
        <v>1550</v>
      </c>
      <c r="C1057" s="2" t="s">
        <v>13495</v>
      </c>
      <c r="D1057" s="3" t="s">
        <v>14206</v>
      </c>
      <c r="F1057" s="3" t="s">
        <v>108</v>
      </c>
      <c r="G1057" s="3" t="s">
        <v>575</v>
      </c>
    </row>
    <row r="1058" spans="1:9" x14ac:dyDescent="0.3">
      <c r="A1058" s="33">
        <v>9277</v>
      </c>
      <c r="B1058" s="2">
        <v>1551</v>
      </c>
      <c r="C1058" s="2" t="s">
        <v>13501</v>
      </c>
      <c r="D1058" s="3" t="s">
        <v>14206</v>
      </c>
      <c r="F1058" s="3" t="s">
        <v>5851</v>
      </c>
    </row>
    <row r="1059" spans="1:9" x14ac:dyDescent="0.3">
      <c r="A1059" s="33">
        <v>9278</v>
      </c>
      <c r="B1059" s="2">
        <v>1552</v>
      </c>
      <c r="C1059" s="2" t="s">
        <v>6348</v>
      </c>
      <c r="D1059" s="3" t="s">
        <v>14206</v>
      </c>
      <c r="F1059" s="3" t="s">
        <v>73</v>
      </c>
    </row>
    <row r="1060" spans="1:9" x14ac:dyDescent="0.3">
      <c r="A1060" s="33">
        <v>9279</v>
      </c>
      <c r="B1060" s="2">
        <v>2123</v>
      </c>
      <c r="C1060" s="2" t="s">
        <v>12756</v>
      </c>
      <c r="D1060" s="3" t="s">
        <v>14207</v>
      </c>
      <c r="F1060" s="3" t="s">
        <v>289</v>
      </c>
    </row>
    <row r="1061" spans="1:9" x14ac:dyDescent="0.3">
      <c r="A1061" s="33">
        <v>9280</v>
      </c>
      <c r="B1061" s="2">
        <v>2124</v>
      </c>
      <c r="C1061" s="2" t="s">
        <v>13516</v>
      </c>
      <c r="D1061" s="3" t="s">
        <v>14206</v>
      </c>
      <c r="F1061" s="3" t="s">
        <v>824</v>
      </c>
    </row>
    <row r="1062" spans="1:9" x14ac:dyDescent="0.3">
      <c r="A1062" s="33">
        <v>9281</v>
      </c>
      <c r="B1062" s="2">
        <v>1553</v>
      </c>
      <c r="C1062" s="2" t="s">
        <v>13522</v>
      </c>
      <c r="D1062" s="3" t="s">
        <v>14206</v>
      </c>
      <c r="F1062" s="3" t="s">
        <v>600</v>
      </c>
    </row>
    <row r="1063" spans="1:9" x14ac:dyDescent="0.3">
      <c r="A1063" s="33">
        <v>9282</v>
      </c>
      <c r="B1063" s="2">
        <v>1554</v>
      </c>
      <c r="C1063" s="2" t="s">
        <v>13528</v>
      </c>
      <c r="D1063" s="3" t="s">
        <v>14206</v>
      </c>
      <c r="F1063" s="3" t="s">
        <v>600</v>
      </c>
    </row>
    <row r="1064" spans="1:9" x14ac:dyDescent="0.3">
      <c r="A1064" s="33">
        <v>9283</v>
      </c>
      <c r="B1064" s="2">
        <v>1555</v>
      </c>
      <c r="C1064" s="2" t="s">
        <v>13534</v>
      </c>
      <c r="D1064" s="3" t="s">
        <v>14206</v>
      </c>
      <c r="F1064" s="3" t="s">
        <v>600</v>
      </c>
    </row>
    <row r="1065" spans="1:9" x14ac:dyDescent="0.3">
      <c r="A1065" s="33">
        <v>9284</v>
      </c>
      <c r="B1065" s="2">
        <v>1556</v>
      </c>
      <c r="C1065" s="2" t="s">
        <v>13540</v>
      </c>
      <c r="D1065" s="3" t="s">
        <v>14206</v>
      </c>
      <c r="F1065" s="3" t="s">
        <v>600</v>
      </c>
    </row>
    <row r="1066" spans="1:9" x14ac:dyDescent="0.3">
      <c r="A1066" s="33">
        <v>9285</v>
      </c>
      <c r="B1066" s="2">
        <v>2125</v>
      </c>
      <c r="C1066" s="2" t="s">
        <v>13546</v>
      </c>
      <c r="D1066" s="3" t="s">
        <v>14206</v>
      </c>
      <c r="F1066" s="3" t="s">
        <v>1903</v>
      </c>
      <c r="G1066" s="3" t="s">
        <v>487</v>
      </c>
    </row>
    <row r="1067" spans="1:9" x14ac:dyDescent="0.3">
      <c r="A1067" s="33">
        <v>9286</v>
      </c>
      <c r="B1067" s="2">
        <v>1557</v>
      </c>
      <c r="C1067" s="2" t="s">
        <v>13552</v>
      </c>
      <c r="D1067" s="3" t="s">
        <v>4520</v>
      </c>
      <c r="F1067" s="3" t="s">
        <v>922</v>
      </c>
      <c r="I1067" s="3" t="s">
        <v>4520</v>
      </c>
    </row>
    <row r="1068" spans="1:9" x14ac:dyDescent="0.3">
      <c r="A1068" s="33">
        <v>9287</v>
      </c>
      <c r="B1068" s="2">
        <v>2126</v>
      </c>
      <c r="C1068" s="2" t="s">
        <v>13559</v>
      </c>
      <c r="D1068" s="3" t="s">
        <v>14206</v>
      </c>
      <c r="F1068" s="3" t="s">
        <v>1903</v>
      </c>
      <c r="G1068" s="3" t="s">
        <v>487</v>
      </c>
    </row>
    <row r="1069" spans="1:9" x14ac:dyDescent="0.3">
      <c r="A1069" s="33">
        <v>9289</v>
      </c>
      <c r="B1069" s="2">
        <v>2127</v>
      </c>
      <c r="C1069" s="2" t="s">
        <v>13565</v>
      </c>
      <c r="D1069" s="3" t="s">
        <v>14206</v>
      </c>
      <c r="F1069" s="3" t="s">
        <v>289</v>
      </c>
    </row>
    <row r="1070" spans="1:9" x14ac:dyDescent="0.3">
      <c r="A1070" s="33">
        <v>9290</v>
      </c>
      <c r="B1070" s="2">
        <v>2128</v>
      </c>
      <c r="C1070" s="2" t="s">
        <v>13571</v>
      </c>
      <c r="D1070" s="3" t="s">
        <v>14206</v>
      </c>
      <c r="E1070" s="3" t="s">
        <v>5646</v>
      </c>
      <c r="F1070" s="3" t="s">
        <v>1144</v>
      </c>
      <c r="G1070" s="3" t="s">
        <v>575</v>
      </c>
    </row>
    <row r="1071" spans="1:9" x14ac:dyDescent="0.3">
      <c r="A1071" s="33">
        <v>9291</v>
      </c>
      <c r="B1071" s="2">
        <v>1558</v>
      </c>
      <c r="C1071" s="2" t="s">
        <v>13577</v>
      </c>
      <c r="D1071" s="3" t="s">
        <v>14206</v>
      </c>
      <c r="E1071" s="3" t="s">
        <v>1665</v>
      </c>
      <c r="F1071" s="3" t="s">
        <v>5656</v>
      </c>
      <c r="G1071" s="3" t="s">
        <v>575</v>
      </c>
    </row>
    <row r="1072" spans="1:9" x14ac:dyDescent="0.3">
      <c r="A1072" s="33">
        <v>9292</v>
      </c>
      <c r="B1072" s="2">
        <v>1559</v>
      </c>
      <c r="C1072" s="2" t="s">
        <v>13583</v>
      </c>
      <c r="D1072" s="3" t="s">
        <v>14206</v>
      </c>
      <c r="F1072" s="3" t="s">
        <v>469</v>
      </c>
      <c r="G1072" s="3" t="s">
        <v>487</v>
      </c>
    </row>
    <row r="1073" spans="1:9" x14ac:dyDescent="0.3">
      <c r="A1073" s="33">
        <v>9293</v>
      </c>
      <c r="B1073" s="2">
        <v>2129</v>
      </c>
      <c r="C1073" s="2" t="s">
        <v>13588</v>
      </c>
      <c r="D1073" s="3" t="s">
        <v>14206</v>
      </c>
      <c r="F1073" s="3" t="s">
        <v>1608</v>
      </c>
    </row>
    <row r="1074" spans="1:9" x14ac:dyDescent="0.3">
      <c r="A1074" s="33">
        <v>9294</v>
      </c>
      <c r="B1074" s="2">
        <v>2130</v>
      </c>
      <c r="C1074" s="2" t="s">
        <v>13594</v>
      </c>
      <c r="D1074" s="3" t="s">
        <v>14206</v>
      </c>
      <c r="F1074" s="3" t="s">
        <v>1608</v>
      </c>
    </row>
    <row r="1075" spans="1:9" x14ac:dyDescent="0.3">
      <c r="A1075" s="33">
        <v>9295</v>
      </c>
      <c r="B1075" s="2">
        <v>1560</v>
      </c>
      <c r="C1075" s="2" t="s">
        <v>13600</v>
      </c>
      <c r="D1075" s="3" t="s">
        <v>14206</v>
      </c>
      <c r="F1075" s="3" t="s">
        <v>426</v>
      </c>
    </row>
    <row r="1076" spans="1:9" x14ac:dyDescent="0.3">
      <c r="A1076" s="33">
        <v>9296</v>
      </c>
      <c r="B1076" s="2">
        <v>1561</v>
      </c>
      <c r="C1076" s="2" t="s">
        <v>13605</v>
      </c>
      <c r="D1076" s="3" t="s">
        <v>14206</v>
      </c>
      <c r="F1076" s="3" t="s">
        <v>426</v>
      </c>
    </row>
    <row r="1077" spans="1:9" x14ac:dyDescent="0.3">
      <c r="A1077" s="33">
        <v>9297</v>
      </c>
      <c r="B1077" s="2">
        <v>2131</v>
      </c>
      <c r="C1077" s="2" t="s">
        <v>13611</v>
      </c>
      <c r="D1077" s="3" t="s">
        <v>14207</v>
      </c>
      <c r="F1077" s="3" t="s">
        <v>11</v>
      </c>
    </row>
    <row r="1078" spans="1:9" x14ac:dyDescent="0.3">
      <c r="A1078" s="33">
        <v>9298</v>
      </c>
      <c r="B1078" s="2">
        <v>1562</v>
      </c>
      <c r="C1078" s="2" t="s">
        <v>13618</v>
      </c>
      <c r="D1078" s="3" t="s">
        <v>14206</v>
      </c>
      <c r="E1078" s="3" t="s">
        <v>1665</v>
      </c>
      <c r="F1078" s="3" t="s">
        <v>727</v>
      </c>
      <c r="G1078" s="3" t="s">
        <v>575</v>
      </c>
      <c r="I1078" s="3" t="s">
        <v>1638</v>
      </c>
    </row>
    <row r="1079" spans="1:9" x14ac:dyDescent="0.3">
      <c r="A1079" s="33">
        <v>9299</v>
      </c>
      <c r="B1079" s="2">
        <v>1563</v>
      </c>
      <c r="C1079" s="2" t="s">
        <v>13626</v>
      </c>
      <c r="D1079" s="3" t="s">
        <v>14207</v>
      </c>
      <c r="F1079" s="3" t="s">
        <v>426</v>
      </c>
      <c r="G1079" s="3" t="s">
        <v>487</v>
      </c>
      <c r="I1079" s="3" t="s">
        <v>1638</v>
      </c>
    </row>
    <row r="1080" spans="1:9" x14ac:dyDescent="0.3">
      <c r="A1080" s="33">
        <v>9300</v>
      </c>
      <c r="B1080" s="2">
        <v>1564</v>
      </c>
      <c r="C1080" s="2" t="s">
        <v>13632</v>
      </c>
      <c r="D1080" s="3" t="s">
        <v>14206</v>
      </c>
      <c r="F1080" s="3" t="s">
        <v>1721</v>
      </c>
      <c r="G1080" s="3" t="s">
        <v>575</v>
      </c>
    </row>
    <row r="1081" spans="1:9" x14ac:dyDescent="0.3">
      <c r="A1081" s="33">
        <v>9301</v>
      </c>
      <c r="B1081" s="2">
        <v>1565</v>
      </c>
      <c r="C1081" s="2" t="s">
        <v>13639</v>
      </c>
      <c r="D1081" s="3" t="s">
        <v>14207</v>
      </c>
      <c r="F1081" s="3" t="s">
        <v>469</v>
      </c>
      <c r="G1081" s="3" t="s">
        <v>575</v>
      </c>
      <c r="I1081" s="3" t="s">
        <v>1638</v>
      </c>
    </row>
    <row r="1082" spans="1:9" x14ac:dyDescent="0.3">
      <c r="A1082" s="33">
        <v>9302</v>
      </c>
      <c r="B1082" s="2">
        <v>1566</v>
      </c>
      <c r="C1082" s="2" t="s">
        <v>13645</v>
      </c>
      <c r="D1082" s="3" t="s">
        <v>14206</v>
      </c>
      <c r="F1082" s="3" t="s">
        <v>747</v>
      </c>
      <c r="G1082" s="3" t="s">
        <v>575</v>
      </c>
      <c r="I1082" s="3" t="s">
        <v>1638</v>
      </c>
    </row>
    <row r="1083" spans="1:9" x14ac:dyDescent="0.3">
      <c r="A1083" s="33">
        <v>9303</v>
      </c>
      <c r="B1083" s="2">
        <v>1567</v>
      </c>
      <c r="C1083" s="2" t="s">
        <v>13652</v>
      </c>
      <c r="D1083" s="3" t="s">
        <v>14206</v>
      </c>
      <c r="F1083" s="3" t="s">
        <v>812</v>
      </c>
    </row>
    <row r="1084" spans="1:9" x14ac:dyDescent="0.3">
      <c r="A1084" s="33">
        <v>9304</v>
      </c>
      <c r="B1084" s="2">
        <v>2132</v>
      </c>
      <c r="C1084" s="2" t="s">
        <v>13658</v>
      </c>
      <c r="D1084" s="3" t="s">
        <v>14206</v>
      </c>
      <c r="F1084" s="3" t="s">
        <v>895</v>
      </c>
      <c r="G1084" s="3" t="s">
        <v>487</v>
      </c>
    </row>
    <row r="1085" spans="1:9" x14ac:dyDescent="0.3">
      <c r="A1085" s="33">
        <v>9305</v>
      </c>
      <c r="B1085" s="2">
        <v>2133</v>
      </c>
      <c r="C1085" s="2" t="s">
        <v>13664</v>
      </c>
      <c r="D1085" s="3" t="s">
        <v>14206</v>
      </c>
      <c r="F1085" s="3" t="s">
        <v>66</v>
      </c>
    </row>
    <row r="1086" spans="1:9" x14ac:dyDescent="0.3">
      <c r="A1086" s="33">
        <v>9307</v>
      </c>
      <c r="B1086" s="2">
        <v>1568</v>
      </c>
      <c r="C1086" s="2" t="s">
        <v>13673</v>
      </c>
      <c r="D1086" s="3" t="s">
        <v>14207</v>
      </c>
      <c r="F1086" s="3" t="s">
        <v>469</v>
      </c>
      <c r="G1086" s="3" t="s">
        <v>575</v>
      </c>
    </row>
    <row r="1087" spans="1:9" x14ac:dyDescent="0.3">
      <c r="A1087" s="33">
        <v>9308</v>
      </c>
      <c r="B1087" s="2">
        <v>2135</v>
      </c>
      <c r="C1087" s="2" t="s">
        <v>13679</v>
      </c>
      <c r="D1087" s="3" t="s">
        <v>14206</v>
      </c>
      <c r="E1087" s="3" t="s">
        <v>5646</v>
      </c>
      <c r="F1087" s="3" t="s">
        <v>5861</v>
      </c>
      <c r="G1087" s="3" t="s">
        <v>487</v>
      </c>
    </row>
    <row r="1088" spans="1:9" x14ac:dyDescent="0.3">
      <c r="A1088" s="33">
        <v>9309</v>
      </c>
      <c r="B1088" s="2">
        <v>2136</v>
      </c>
      <c r="C1088" s="2" t="s">
        <v>13686</v>
      </c>
      <c r="D1088" s="3" t="s">
        <v>14206</v>
      </c>
      <c r="E1088" s="3" t="s">
        <v>4061</v>
      </c>
      <c r="F1088" s="3" t="s">
        <v>168</v>
      </c>
      <c r="G1088" s="3" t="s">
        <v>487</v>
      </c>
    </row>
    <row r="1089" spans="1:9" x14ac:dyDescent="0.3">
      <c r="A1089" s="33">
        <v>9310</v>
      </c>
      <c r="B1089" s="2">
        <v>2137</v>
      </c>
      <c r="C1089" s="2" t="s">
        <v>13692</v>
      </c>
      <c r="D1089" s="3" t="s">
        <v>14206</v>
      </c>
      <c r="F1089" s="3" t="s">
        <v>5862</v>
      </c>
      <c r="G1089" s="3" t="s">
        <v>487</v>
      </c>
    </row>
    <row r="1090" spans="1:9" x14ac:dyDescent="0.3">
      <c r="A1090" s="33">
        <v>9314</v>
      </c>
      <c r="B1090" s="2">
        <v>1571</v>
      </c>
      <c r="C1090" s="2" t="s">
        <v>13708</v>
      </c>
      <c r="D1090" s="3" t="s">
        <v>14206</v>
      </c>
      <c r="F1090" s="3" t="s">
        <v>504</v>
      </c>
    </row>
    <row r="1091" spans="1:9" x14ac:dyDescent="0.3">
      <c r="A1091" s="33">
        <v>9315</v>
      </c>
      <c r="B1091" s="2">
        <v>1572</v>
      </c>
      <c r="C1091" s="2" t="s">
        <v>13714</v>
      </c>
      <c r="D1091" s="3" t="s">
        <v>14262</v>
      </c>
      <c r="F1091" s="3" t="s">
        <v>5876</v>
      </c>
      <c r="G1091" s="3" t="s">
        <v>575</v>
      </c>
      <c r="I1091" s="3" t="s">
        <v>1638</v>
      </c>
    </row>
    <row r="1092" spans="1:9" x14ac:dyDescent="0.3">
      <c r="A1092" s="33">
        <v>9316</v>
      </c>
      <c r="B1092" s="2">
        <v>1573</v>
      </c>
      <c r="C1092" s="2" t="s">
        <v>13721</v>
      </c>
      <c r="D1092" s="3" t="s">
        <v>14262</v>
      </c>
      <c r="F1092" s="3" t="s">
        <v>5876</v>
      </c>
      <c r="I1092" s="3" t="s">
        <v>1638</v>
      </c>
    </row>
    <row r="1093" spans="1:9" x14ac:dyDescent="0.3">
      <c r="A1093" s="33">
        <v>9319</v>
      </c>
      <c r="B1093" s="2">
        <v>1574</v>
      </c>
      <c r="C1093" s="2" t="s">
        <v>13729</v>
      </c>
      <c r="D1093" s="3" t="s">
        <v>14206</v>
      </c>
      <c r="F1093" s="3" t="s">
        <v>2965</v>
      </c>
      <c r="I1093" s="3" t="s">
        <v>1638</v>
      </c>
    </row>
    <row r="1094" spans="1:9" x14ac:dyDescent="0.3">
      <c r="A1094" s="33">
        <v>9320</v>
      </c>
      <c r="B1094" s="2">
        <v>1575</v>
      </c>
      <c r="C1094" s="2" t="s">
        <v>13735</v>
      </c>
      <c r="D1094" s="3" t="s">
        <v>14206</v>
      </c>
      <c r="F1094" s="3" t="s">
        <v>2965</v>
      </c>
      <c r="I1094" s="3" t="s">
        <v>1638</v>
      </c>
    </row>
    <row r="1095" spans="1:9" x14ac:dyDescent="0.3">
      <c r="A1095" s="33">
        <v>9321</v>
      </c>
      <c r="B1095" s="2">
        <v>1576</v>
      </c>
      <c r="C1095" s="2" t="s">
        <v>13740</v>
      </c>
      <c r="D1095" s="3" t="s">
        <v>14206</v>
      </c>
      <c r="F1095" s="3" t="s">
        <v>5896</v>
      </c>
      <c r="G1095" s="3" t="s">
        <v>575</v>
      </c>
      <c r="I1095" s="3" t="s">
        <v>1638</v>
      </c>
    </row>
    <row r="1096" spans="1:9" x14ac:dyDescent="0.3">
      <c r="A1096" s="33">
        <v>9322</v>
      </c>
      <c r="B1096" s="2">
        <v>2139</v>
      </c>
      <c r="C1096" s="2" t="s">
        <v>13746</v>
      </c>
      <c r="D1096" s="3" t="s">
        <v>14206</v>
      </c>
      <c r="F1096" s="3" t="s">
        <v>5862</v>
      </c>
    </row>
    <row r="1097" spans="1:9" x14ac:dyDescent="0.3">
      <c r="A1097" s="33">
        <v>9323</v>
      </c>
      <c r="B1097" s="2">
        <v>2140</v>
      </c>
      <c r="C1097" s="2" t="s">
        <v>13753</v>
      </c>
      <c r="D1097" s="3" t="s">
        <v>14206</v>
      </c>
      <c r="F1097" s="3" t="s">
        <v>11</v>
      </c>
    </row>
    <row r="1098" spans="1:9" x14ac:dyDescent="0.3">
      <c r="A1098" s="33">
        <v>9324</v>
      </c>
      <c r="B1098" s="2">
        <v>2141</v>
      </c>
      <c r="C1098" s="2" t="s">
        <v>13759</v>
      </c>
      <c r="D1098" s="3" t="s">
        <v>14206</v>
      </c>
      <c r="F1098" s="3" t="s">
        <v>1903</v>
      </c>
      <c r="G1098" s="3" t="s">
        <v>487</v>
      </c>
    </row>
    <row r="1099" spans="1:9" x14ac:dyDescent="0.3">
      <c r="A1099" s="33">
        <v>9325</v>
      </c>
      <c r="B1099" s="2">
        <v>2142</v>
      </c>
      <c r="C1099" s="2" t="s">
        <v>13765</v>
      </c>
      <c r="D1099" s="3" t="s">
        <v>14206</v>
      </c>
      <c r="F1099" s="3" t="s">
        <v>289</v>
      </c>
      <c r="G1099" s="3" t="s">
        <v>487</v>
      </c>
    </row>
    <row r="1100" spans="1:9" x14ac:dyDescent="0.3">
      <c r="A1100" s="33">
        <v>9326</v>
      </c>
      <c r="B1100" s="2">
        <v>2143</v>
      </c>
      <c r="C1100" s="2" t="s">
        <v>13771</v>
      </c>
      <c r="D1100" s="3" t="s">
        <v>14206</v>
      </c>
      <c r="F1100" s="3" t="s">
        <v>193</v>
      </c>
      <c r="G1100" s="3" t="s">
        <v>487</v>
      </c>
    </row>
    <row r="1101" spans="1:9" x14ac:dyDescent="0.3">
      <c r="A1101" s="33">
        <v>9328</v>
      </c>
      <c r="B1101" s="2">
        <v>1578</v>
      </c>
      <c r="C1101" s="2" t="s">
        <v>13783</v>
      </c>
      <c r="D1101" s="3" t="s">
        <v>14207</v>
      </c>
      <c r="F1101" s="3" t="s">
        <v>4548</v>
      </c>
      <c r="G1101" s="3" t="s">
        <v>575</v>
      </c>
      <c r="I1101" s="3" t="s">
        <v>4520</v>
      </c>
    </row>
    <row r="1102" spans="1:9" x14ac:dyDescent="0.3">
      <c r="A1102" s="33">
        <v>9329</v>
      </c>
      <c r="B1102" s="2">
        <v>2144</v>
      </c>
      <c r="C1102" s="2" t="s">
        <v>13789</v>
      </c>
      <c r="D1102" s="3" t="s">
        <v>14207</v>
      </c>
      <c r="F1102" s="3" t="s">
        <v>5993</v>
      </c>
      <c r="G1102" s="3" t="s">
        <v>575</v>
      </c>
      <c r="I1102" s="3" t="s">
        <v>4520</v>
      </c>
    </row>
    <row r="1103" spans="1:9" x14ac:dyDescent="0.3">
      <c r="A1103" s="33">
        <v>9330</v>
      </c>
      <c r="B1103" s="2">
        <v>2145</v>
      </c>
      <c r="C1103" s="2" t="s">
        <v>13796</v>
      </c>
      <c r="D1103" s="3" t="s">
        <v>14206</v>
      </c>
      <c r="F1103" s="3" t="s">
        <v>491</v>
      </c>
    </row>
    <row r="1104" spans="1:9" x14ac:dyDescent="0.3">
      <c r="A1104" s="33">
        <v>9331</v>
      </c>
      <c r="B1104" s="2">
        <v>1579</v>
      </c>
      <c r="C1104" s="2" t="s">
        <v>13802</v>
      </c>
      <c r="D1104" s="3" t="s">
        <v>14206</v>
      </c>
      <c r="F1104" s="3" t="s">
        <v>6010</v>
      </c>
    </row>
    <row r="1105" spans="1:9" x14ac:dyDescent="0.3">
      <c r="A1105" s="33">
        <v>9332</v>
      </c>
      <c r="B1105" s="2">
        <v>1580</v>
      </c>
      <c r="C1105" s="2" t="s">
        <v>13809</v>
      </c>
      <c r="D1105" s="3" t="s">
        <v>14206</v>
      </c>
      <c r="F1105" s="3" t="s">
        <v>6010</v>
      </c>
    </row>
    <row r="1106" spans="1:9" x14ac:dyDescent="0.3">
      <c r="A1106" s="33">
        <v>9333</v>
      </c>
      <c r="B1106" s="2">
        <v>1581</v>
      </c>
      <c r="C1106" s="2" t="s">
        <v>13814</v>
      </c>
      <c r="D1106" s="3" t="s">
        <v>14206</v>
      </c>
      <c r="F1106" s="3" t="s">
        <v>6010</v>
      </c>
    </row>
    <row r="1107" spans="1:9" x14ac:dyDescent="0.3">
      <c r="A1107" s="33">
        <v>9334</v>
      </c>
      <c r="B1107" s="2">
        <v>1582</v>
      </c>
      <c r="C1107" s="2" t="s">
        <v>13820</v>
      </c>
      <c r="D1107" s="3" t="s">
        <v>14207</v>
      </c>
      <c r="F1107" s="3" t="s">
        <v>469</v>
      </c>
      <c r="G1107" s="3" t="s">
        <v>575</v>
      </c>
    </row>
    <row r="1108" spans="1:9" x14ac:dyDescent="0.3">
      <c r="A1108" s="33">
        <v>9335</v>
      </c>
      <c r="B1108" s="2">
        <v>1583</v>
      </c>
      <c r="C1108" s="2" t="s">
        <v>13825</v>
      </c>
      <c r="D1108" s="3" t="s">
        <v>14206</v>
      </c>
      <c r="F1108" s="3" t="s">
        <v>1949</v>
      </c>
    </row>
    <row r="1109" spans="1:9" x14ac:dyDescent="0.3">
      <c r="A1109" s="33">
        <v>9336</v>
      </c>
      <c r="B1109" s="2">
        <v>1584</v>
      </c>
      <c r="C1109" s="2" t="s">
        <v>13831</v>
      </c>
      <c r="D1109" s="3" t="s">
        <v>14206</v>
      </c>
      <c r="F1109" s="3" t="s">
        <v>1949</v>
      </c>
    </row>
    <row r="1110" spans="1:9" x14ac:dyDescent="0.3">
      <c r="A1110" s="33">
        <v>9337</v>
      </c>
      <c r="B1110" s="2">
        <v>1585</v>
      </c>
      <c r="C1110" s="2" t="s">
        <v>13836</v>
      </c>
      <c r="D1110" s="3" t="s">
        <v>14206</v>
      </c>
      <c r="F1110" s="3" t="s">
        <v>504</v>
      </c>
      <c r="G1110" s="3" t="s">
        <v>487</v>
      </c>
    </row>
    <row r="1111" spans="1:9" x14ac:dyDescent="0.3">
      <c r="A1111" s="33">
        <v>9339</v>
      </c>
      <c r="B1111" s="2">
        <v>1586</v>
      </c>
      <c r="C1111" s="2" t="s">
        <v>13842</v>
      </c>
      <c r="D1111" s="3" t="s">
        <v>14237</v>
      </c>
      <c r="F1111" s="3" t="s">
        <v>6019</v>
      </c>
    </row>
    <row r="1112" spans="1:9" x14ac:dyDescent="0.3">
      <c r="A1112" s="33">
        <v>9340</v>
      </c>
      <c r="B1112" s="2">
        <v>1587</v>
      </c>
      <c r="C1112" s="2" t="s">
        <v>13849</v>
      </c>
      <c r="D1112" s="3" t="s">
        <v>14237</v>
      </c>
      <c r="F1112" s="3" t="s">
        <v>6020</v>
      </c>
    </row>
    <row r="1113" spans="1:9" x14ac:dyDescent="0.3">
      <c r="A1113" s="33">
        <v>9341</v>
      </c>
      <c r="B1113" s="2">
        <v>2146</v>
      </c>
      <c r="C1113" s="2" t="s">
        <v>12756</v>
      </c>
      <c r="D1113" s="3" t="s">
        <v>14207</v>
      </c>
      <c r="F1113" s="3" t="s">
        <v>289</v>
      </c>
    </row>
    <row r="1114" spans="1:9" x14ac:dyDescent="0.3">
      <c r="A1114" s="33">
        <v>9342</v>
      </c>
      <c r="B1114" s="2">
        <v>1588</v>
      </c>
      <c r="C1114" s="2" t="s">
        <v>13859</v>
      </c>
      <c r="D1114" s="3" t="s">
        <v>14207</v>
      </c>
      <c r="F1114" s="3" t="s">
        <v>713</v>
      </c>
    </row>
    <row r="1115" spans="1:9" x14ac:dyDescent="0.3">
      <c r="A1115" s="33">
        <v>9343</v>
      </c>
      <c r="B1115" s="2">
        <v>1589</v>
      </c>
      <c r="C1115" s="2" t="s">
        <v>13866</v>
      </c>
      <c r="D1115" s="3" t="s">
        <v>14206</v>
      </c>
      <c r="F1115" s="3" t="s">
        <v>713</v>
      </c>
    </row>
    <row r="1116" spans="1:9" x14ac:dyDescent="0.3">
      <c r="A1116" s="33">
        <v>9344</v>
      </c>
      <c r="B1116" s="2">
        <v>1590</v>
      </c>
      <c r="C1116" s="2" t="s">
        <v>13873</v>
      </c>
      <c r="D1116" s="3" t="s">
        <v>14206</v>
      </c>
      <c r="F1116" s="3" t="s">
        <v>810</v>
      </c>
      <c r="I1116" s="3" t="s">
        <v>1638</v>
      </c>
    </row>
    <row r="1117" spans="1:9" x14ac:dyDescent="0.3">
      <c r="A1117" s="33">
        <v>9345</v>
      </c>
      <c r="B1117" s="2">
        <v>1591</v>
      </c>
      <c r="C1117" s="2" t="s">
        <v>13880</v>
      </c>
      <c r="D1117" s="3" t="s">
        <v>14206</v>
      </c>
      <c r="F1117" s="3" t="s">
        <v>6047</v>
      </c>
    </row>
    <row r="1118" spans="1:9" x14ac:dyDescent="0.3">
      <c r="A1118" s="33">
        <v>9346</v>
      </c>
      <c r="B1118" s="2">
        <v>1592</v>
      </c>
      <c r="C1118" s="2" t="s">
        <v>13887</v>
      </c>
      <c r="D1118" s="3" t="s">
        <v>14206</v>
      </c>
      <c r="F1118" s="3" t="s">
        <v>648</v>
      </c>
      <c r="G1118" s="3" t="s">
        <v>575</v>
      </c>
    </row>
    <row r="1119" spans="1:9" x14ac:dyDescent="0.3">
      <c r="A1119" s="33">
        <v>9347</v>
      </c>
      <c r="B1119" s="2">
        <v>1593</v>
      </c>
      <c r="C1119" s="2" t="s">
        <v>13894</v>
      </c>
      <c r="D1119" s="3" t="s">
        <v>14206</v>
      </c>
      <c r="F1119" s="3" t="s">
        <v>648</v>
      </c>
      <c r="G1119" s="3" t="s">
        <v>575</v>
      </c>
    </row>
    <row r="1120" spans="1:9" x14ac:dyDescent="0.3">
      <c r="A1120" s="33">
        <v>9348</v>
      </c>
      <c r="B1120" s="2">
        <v>1594</v>
      </c>
      <c r="C1120" s="2" t="s">
        <v>13899</v>
      </c>
      <c r="D1120" s="3" t="s">
        <v>14207</v>
      </c>
      <c r="F1120" s="3" t="s">
        <v>648</v>
      </c>
    </row>
    <row r="1121" spans="1:9" x14ac:dyDescent="0.3">
      <c r="A1121" s="33">
        <v>9349</v>
      </c>
      <c r="B1121" s="2">
        <v>2147</v>
      </c>
      <c r="C1121" s="2" t="s">
        <v>13905</v>
      </c>
      <c r="D1121" s="3" t="s">
        <v>14206</v>
      </c>
      <c r="F1121" s="3" t="s">
        <v>30</v>
      </c>
    </row>
    <row r="1122" spans="1:9" x14ac:dyDescent="0.3">
      <c r="A1122" s="33">
        <v>9350</v>
      </c>
      <c r="B1122" s="2">
        <v>2148</v>
      </c>
      <c r="C1122" s="2" t="s">
        <v>13911</v>
      </c>
      <c r="D1122" s="3" t="s">
        <v>14207</v>
      </c>
      <c r="F1122" s="3" t="s">
        <v>824</v>
      </c>
    </row>
    <row r="1123" spans="1:9" x14ac:dyDescent="0.3">
      <c r="A1123" s="33">
        <v>9351</v>
      </c>
      <c r="B1123" s="2">
        <v>1595</v>
      </c>
      <c r="C1123" s="2" t="s">
        <v>13918</v>
      </c>
      <c r="D1123" s="3" t="s">
        <v>14207</v>
      </c>
      <c r="F1123" s="3" t="s">
        <v>713</v>
      </c>
    </row>
    <row r="1124" spans="1:9" x14ac:dyDescent="0.3">
      <c r="A1124" s="33">
        <v>9352</v>
      </c>
      <c r="B1124" s="2">
        <v>1596</v>
      </c>
      <c r="C1124" s="2" t="s">
        <v>13925</v>
      </c>
      <c r="D1124" s="3" t="s">
        <v>14206</v>
      </c>
      <c r="F1124" s="3" t="s">
        <v>2138</v>
      </c>
    </row>
    <row r="1125" spans="1:9" x14ac:dyDescent="0.3">
      <c r="A1125" s="33">
        <v>9353</v>
      </c>
      <c r="B1125" s="2">
        <v>1597</v>
      </c>
      <c r="C1125" s="2" t="s">
        <v>13577</v>
      </c>
      <c r="D1125" s="3" t="s">
        <v>14206</v>
      </c>
      <c r="E1125" s="3" t="s">
        <v>1665</v>
      </c>
      <c r="F1125" s="3" t="s">
        <v>5656</v>
      </c>
      <c r="G1125" s="3" t="s">
        <v>575</v>
      </c>
    </row>
    <row r="1126" spans="1:9" x14ac:dyDescent="0.3">
      <c r="A1126" s="33">
        <v>9354</v>
      </c>
      <c r="B1126" s="2">
        <v>1598</v>
      </c>
      <c r="C1126" s="2" t="s">
        <v>13936</v>
      </c>
      <c r="D1126" s="3" t="s">
        <v>14207</v>
      </c>
      <c r="F1126" s="3" t="s">
        <v>648</v>
      </c>
    </row>
    <row r="1127" spans="1:9" x14ac:dyDescent="0.3">
      <c r="A1127" s="33">
        <v>9355</v>
      </c>
      <c r="B1127" s="2">
        <v>1599</v>
      </c>
      <c r="C1127" s="2" t="s">
        <v>13942</v>
      </c>
      <c r="D1127" s="3" t="s">
        <v>14207</v>
      </c>
      <c r="F1127" s="3" t="s">
        <v>504</v>
      </c>
    </row>
    <row r="1128" spans="1:9" x14ac:dyDescent="0.3">
      <c r="A1128" s="33">
        <v>9357</v>
      </c>
      <c r="B1128" s="2">
        <v>1600</v>
      </c>
      <c r="C1128" s="2" t="s">
        <v>13952</v>
      </c>
      <c r="D1128" s="3" t="s">
        <v>14207</v>
      </c>
      <c r="E1128" s="3" t="s">
        <v>496</v>
      </c>
      <c r="F1128" s="3" t="s">
        <v>4614</v>
      </c>
      <c r="I1128" s="3" t="s">
        <v>6148</v>
      </c>
    </row>
    <row r="1129" spans="1:9" x14ac:dyDescent="0.3">
      <c r="A1129" s="33">
        <v>9358</v>
      </c>
      <c r="B1129" s="2">
        <v>2150</v>
      </c>
      <c r="C1129" s="2" t="s">
        <v>13959</v>
      </c>
      <c r="D1129" s="3" t="s">
        <v>14206</v>
      </c>
      <c r="F1129" s="3" t="s">
        <v>269</v>
      </c>
      <c r="G1129" s="3" t="s">
        <v>487</v>
      </c>
    </row>
    <row r="1130" spans="1:9" x14ac:dyDescent="0.3">
      <c r="A1130" s="33">
        <v>9360</v>
      </c>
      <c r="B1130" s="2">
        <v>1601</v>
      </c>
      <c r="C1130" s="2" t="s">
        <v>13967</v>
      </c>
      <c r="D1130" s="3" t="s">
        <v>14207</v>
      </c>
      <c r="F1130" s="3" t="s">
        <v>2361</v>
      </c>
      <c r="G1130" s="3" t="s">
        <v>575</v>
      </c>
    </row>
    <row r="1131" spans="1:9" x14ac:dyDescent="0.3">
      <c r="A1131" s="33">
        <v>9361</v>
      </c>
      <c r="B1131" s="2">
        <v>2152</v>
      </c>
      <c r="C1131" s="2" t="s">
        <v>13973</v>
      </c>
      <c r="D1131" s="3" t="s">
        <v>14206</v>
      </c>
      <c r="F1131" s="3" t="s">
        <v>1608</v>
      </c>
    </row>
    <row r="1132" spans="1:9" x14ac:dyDescent="0.3">
      <c r="A1132" s="33">
        <v>9362</v>
      </c>
      <c r="B1132" s="2">
        <v>1602</v>
      </c>
      <c r="C1132" s="2" t="s">
        <v>13979</v>
      </c>
      <c r="D1132" s="3" t="s">
        <v>14207</v>
      </c>
      <c r="F1132" s="3" t="s">
        <v>1069</v>
      </c>
      <c r="G1132" s="3" t="s">
        <v>575</v>
      </c>
    </row>
    <row r="1133" spans="1:9" x14ac:dyDescent="0.3">
      <c r="A1133" s="33">
        <v>9363</v>
      </c>
      <c r="B1133" s="2">
        <v>1603</v>
      </c>
      <c r="C1133" s="2" t="s">
        <v>13985</v>
      </c>
      <c r="D1133" s="3" t="s">
        <v>14207</v>
      </c>
      <c r="F1133" s="3" t="s">
        <v>810</v>
      </c>
    </row>
    <row r="1134" spans="1:9" x14ac:dyDescent="0.3">
      <c r="A1134" s="33">
        <v>9364</v>
      </c>
      <c r="B1134" s="2">
        <v>1604</v>
      </c>
      <c r="C1134" s="2" t="s">
        <v>13991</v>
      </c>
      <c r="D1134" s="3" t="s">
        <v>14207</v>
      </c>
      <c r="F1134" s="3" t="s">
        <v>1915</v>
      </c>
      <c r="G1134" s="3" t="s">
        <v>575</v>
      </c>
    </row>
    <row r="1135" spans="1:9" x14ac:dyDescent="0.3">
      <c r="A1135" s="33">
        <v>9365</v>
      </c>
      <c r="B1135" s="2">
        <v>1605</v>
      </c>
      <c r="C1135" s="2" t="s">
        <v>13996</v>
      </c>
      <c r="D1135" s="3" t="s">
        <v>14206</v>
      </c>
      <c r="F1135" s="3" t="s">
        <v>600</v>
      </c>
      <c r="G1135" s="3" t="s">
        <v>487</v>
      </c>
    </row>
    <row r="1136" spans="1:9" x14ac:dyDescent="0.3">
      <c r="A1136" s="33">
        <v>9366</v>
      </c>
      <c r="B1136" s="2">
        <v>1606</v>
      </c>
      <c r="C1136" s="2" t="s">
        <v>14003</v>
      </c>
      <c r="D1136" s="3" t="s">
        <v>14206</v>
      </c>
      <c r="F1136" s="3" t="s">
        <v>600</v>
      </c>
      <c r="G1136" s="3" t="s">
        <v>487</v>
      </c>
    </row>
    <row r="1137" spans="1:9" x14ac:dyDescent="0.3">
      <c r="A1137" s="33">
        <v>9367</v>
      </c>
      <c r="B1137" s="2">
        <v>1607</v>
      </c>
      <c r="C1137" s="2" t="s">
        <v>14009</v>
      </c>
      <c r="D1137" s="3" t="s">
        <v>14206</v>
      </c>
      <c r="F1137" s="3" t="s">
        <v>600</v>
      </c>
      <c r="G1137" s="3" t="s">
        <v>487</v>
      </c>
    </row>
    <row r="1138" spans="1:9" x14ac:dyDescent="0.3">
      <c r="A1138" s="33">
        <v>9368</v>
      </c>
      <c r="B1138" s="2">
        <v>1608</v>
      </c>
      <c r="C1138" s="2" t="s">
        <v>14015</v>
      </c>
      <c r="D1138" s="3" t="s">
        <v>14206</v>
      </c>
      <c r="F1138" s="3" t="s">
        <v>6098</v>
      </c>
      <c r="I1138" s="3" t="s">
        <v>1638</v>
      </c>
    </row>
    <row r="1139" spans="1:9" x14ac:dyDescent="0.3">
      <c r="A1139" s="33">
        <v>9370</v>
      </c>
      <c r="B1139" s="2">
        <v>1610</v>
      </c>
      <c r="C1139" s="2" t="s">
        <v>14024</v>
      </c>
      <c r="D1139" s="3" t="s">
        <v>14207</v>
      </c>
      <c r="F1139" s="3" t="s">
        <v>2409</v>
      </c>
    </row>
    <row r="1140" spans="1:9" x14ac:dyDescent="0.3">
      <c r="A1140" s="33">
        <v>9372</v>
      </c>
      <c r="B1140" s="2">
        <v>1611</v>
      </c>
      <c r="C1140" s="2" t="s">
        <v>14028</v>
      </c>
      <c r="D1140" s="3" t="s">
        <v>14206</v>
      </c>
      <c r="F1140" s="3" t="s">
        <v>1130</v>
      </c>
      <c r="G1140" s="3" t="s">
        <v>575</v>
      </c>
    </row>
    <row r="1141" spans="1:9" x14ac:dyDescent="0.3">
      <c r="A1141" s="33">
        <v>9373</v>
      </c>
      <c r="B1141" s="2">
        <v>1612</v>
      </c>
      <c r="C1141" s="2" t="s">
        <v>14034</v>
      </c>
      <c r="D1141" s="3" t="s">
        <v>14206</v>
      </c>
      <c r="F1141" s="3" t="s">
        <v>1130</v>
      </c>
      <c r="G1141" s="3" t="s">
        <v>575</v>
      </c>
    </row>
    <row r="1142" spans="1:9" x14ac:dyDescent="0.3">
      <c r="A1142" s="33">
        <v>9374</v>
      </c>
      <c r="B1142" s="2">
        <v>1613</v>
      </c>
      <c r="C1142" s="2" t="s">
        <v>14040</v>
      </c>
      <c r="D1142" s="3" t="s">
        <v>14206</v>
      </c>
      <c r="F1142" s="3" t="s">
        <v>66</v>
      </c>
      <c r="G1142" s="3" t="s">
        <v>487</v>
      </c>
    </row>
    <row r="1143" spans="1:9" x14ac:dyDescent="0.3">
      <c r="A1143" s="33">
        <v>9375</v>
      </c>
      <c r="B1143" s="2">
        <v>1614</v>
      </c>
      <c r="C1143" s="2" t="s">
        <v>14045</v>
      </c>
      <c r="D1143" s="3" t="s">
        <v>14206</v>
      </c>
      <c r="F1143" s="3" t="s">
        <v>426</v>
      </c>
      <c r="G1143" s="3" t="s">
        <v>487</v>
      </c>
    </row>
    <row r="1144" spans="1:9" x14ac:dyDescent="0.3">
      <c r="A1144" s="33">
        <v>9377</v>
      </c>
      <c r="B1144" s="2">
        <v>1615</v>
      </c>
      <c r="C1144" s="2" t="s">
        <v>14053</v>
      </c>
      <c r="D1144" s="3" t="s">
        <v>14206</v>
      </c>
      <c r="F1144" s="3" t="s">
        <v>108</v>
      </c>
    </row>
    <row r="1145" spans="1:9" x14ac:dyDescent="0.3">
      <c r="A1145" s="33">
        <v>9378</v>
      </c>
      <c r="B1145" s="2">
        <v>1616</v>
      </c>
      <c r="C1145" s="2" t="s">
        <v>14059</v>
      </c>
      <c r="D1145" s="3" t="s">
        <v>14206</v>
      </c>
      <c r="F1145" s="3" t="s">
        <v>962</v>
      </c>
    </row>
    <row r="1146" spans="1:9" x14ac:dyDescent="0.3">
      <c r="A1146" s="33">
        <v>9379</v>
      </c>
      <c r="B1146" s="2">
        <v>2154</v>
      </c>
      <c r="C1146" s="2" t="s">
        <v>14065</v>
      </c>
      <c r="D1146" s="3" t="s">
        <v>14206</v>
      </c>
      <c r="F1146" s="3" t="s">
        <v>98</v>
      </c>
    </row>
    <row r="1147" spans="1:9" x14ac:dyDescent="0.3">
      <c r="A1147" s="33">
        <v>9381</v>
      </c>
      <c r="B1147" s="2">
        <v>1618</v>
      </c>
      <c r="C1147" s="2" t="s">
        <v>14077</v>
      </c>
      <c r="D1147" s="3" t="s">
        <v>14206</v>
      </c>
      <c r="F1147" s="3" t="s">
        <v>2462</v>
      </c>
    </row>
    <row r="1148" spans="1:9" x14ac:dyDescent="0.3">
      <c r="A1148" s="33">
        <v>9382</v>
      </c>
      <c r="B1148" s="2">
        <v>1619</v>
      </c>
      <c r="C1148" s="2" t="s">
        <v>14084</v>
      </c>
      <c r="D1148" s="3" t="s">
        <v>14206</v>
      </c>
      <c r="F1148" s="3" t="s">
        <v>2462</v>
      </c>
    </row>
    <row r="1149" spans="1:9" x14ac:dyDescent="0.3">
      <c r="A1149" s="33">
        <v>9383</v>
      </c>
      <c r="B1149" s="2">
        <v>1620</v>
      </c>
      <c r="C1149" s="2" t="s">
        <v>14089</v>
      </c>
      <c r="D1149" s="3" t="s">
        <v>14206</v>
      </c>
      <c r="F1149" s="3" t="s">
        <v>2462</v>
      </c>
    </row>
    <row r="1150" spans="1:9" ht="27.6" x14ac:dyDescent="0.3">
      <c r="A1150" s="33">
        <v>9384</v>
      </c>
      <c r="B1150" s="2">
        <v>1621</v>
      </c>
      <c r="C1150" s="2" t="s">
        <v>14094</v>
      </c>
      <c r="D1150" s="29" t="s">
        <v>14263</v>
      </c>
      <c r="E1150" s="3" t="s">
        <v>1665</v>
      </c>
      <c r="F1150" s="3" t="s">
        <v>747</v>
      </c>
    </row>
    <row r="1151" spans="1:9" x14ac:dyDescent="0.3">
      <c r="A1151" s="33">
        <v>9385</v>
      </c>
      <c r="B1151" s="2">
        <v>1622</v>
      </c>
      <c r="C1151" s="2" t="s">
        <v>14100</v>
      </c>
      <c r="D1151" s="3" t="s">
        <v>14206</v>
      </c>
      <c r="F1151" s="3" t="s">
        <v>810</v>
      </c>
    </row>
    <row r="1152" spans="1:9" x14ac:dyDescent="0.3">
      <c r="A1152" s="33">
        <v>9386</v>
      </c>
      <c r="B1152" s="2">
        <v>2155</v>
      </c>
      <c r="C1152" s="2" t="s">
        <v>14106</v>
      </c>
      <c r="D1152" s="3" t="s">
        <v>4520</v>
      </c>
      <c r="I1152" s="3" t="s">
        <v>4520</v>
      </c>
    </row>
    <row r="1153" spans="1:9" x14ac:dyDescent="0.3">
      <c r="A1153" s="33">
        <v>9391</v>
      </c>
      <c r="B1153" s="2">
        <v>1627</v>
      </c>
      <c r="C1153" s="2" t="s">
        <v>14132</v>
      </c>
      <c r="D1153" s="3" t="s">
        <v>14207</v>
      </c>
      <c r="F1153" s="3" t="s">
        <v>810</v>
      </c>
    </row>
    <row r="1154" spans="1:9" x14ac:dyDescent="0.3">
      <c r="A1154" s="33">
        <v>9392</v>
      </c>
      <c r="B1154" s="2">
        <v>1628</v>
      </c>
      <c r="C1154" s="2" t="s">
        <v>14139</v>
      </c>
      <c r="D1154" s="3" t="s">
        <v>14206</v>
      </c>
      <c r="F1154" s="3" t="s">
        <v>3788</v>
      </c>
    </row>
    <row r="1155" spans="1:9" x14ac:dyDescent="0.3">
      <c r="A1155" s="33">
        <v>9393</v>
      </c>
      <c r="B1155" s="2">
        <v>1629</v>
      </c>
      <c r="C1155" s="2" t="s">
        <v>14145</v>
      </c>
      <c r="D1155" s="3" t="s">
        <v>14206</v>
      </c>
      <c r="F1155" s="3" t="s">
        <v>426</v>
      </c>
    </row>
    <row r="1156" spans="1:9" x14ac:dyDescent="0.3">
      <c r="A1156" s="33">
        <v>9394</v>
      </c>
      <c r="B1156" s="2">
        <v>2156</v>
      </c>
      <c r="C1156" s="2" t="s">
        <v>14151</v>
      </c>
      <c r="D1156" s="3" t="s">
        <v>14206</v>
      </c>
      <c r="F1156" s="3" t="s">
        <v>568</v>
      </c>
    </row>
    <row r="1157" spans="1:9" x14ac:dyDescent="0.3">
      <c r="A1157" s="33">
        <v>9395</v>
      </c>
      <c r="B1157" s="2">
        <v>2157</v>
      </c>
      <c r="C1157" s="2" t="s">
        <v>14157</v>
      </c>
      <c r="D1157" s="3" t="s">
        <v>14206</v>
      </c>
      <c r="F1157" s="3" t="s">
        <v>289</v>
      </c>
    </row>
    <row r="1158" spans="1:9" x14ac:dyDescent="0.3">
      <c r="A1158" s="33">
        <v>9396</v>
      </c>
      <c r="B1158" s="2">
        <v>1630</v>
      </c>
      <c r="C1158" s="2" t="s">
        <v>14163</v>
      </c>
      <c r="D1158" s="3" t="s">
        <v>14215</v>
      </c>
      <c r="F1158" s="3" t="s">
        <v>1183</v>
      </c>
      <c r="I1158" s="3" t="s">
        <v>1638</v>
      </c>
    </row>
    <row r="1159" spans="1:9" x14ac:dyDescent="0.3">
      <c r="A1159" s="33">
        <v>9398</v>
      </c>
      <c r="B1159" s="2">
        <v>1632</v>
      </c>
      <c r="C1159" s="2" t="s">
        <v>10786</v>
      </c>
      <c r="D1159" s="3" t="s">
        <v>14207</v>
      </c>
      <c r="F1159" s="3" t="s">
        <v>6213</v>
      </c>
      <c r="I1159" s="3" t="s">
        <v>1638</v>
      </c>
    </row>
    <row r="1160" spans="1:9" x14ac:dyDescent="0.3">
      <c r="A1160" s="33">
        <v>9400</v>
      </c>
      <c r="B1160" s="2">
        <v>2158</v>
      </c>
      <c r="C1160" s="2" t="s">
        <v>14172</v>
      </c>
      <c r="D1160" s="3" t="s">
        <v>14206</v>
      </c>
      <c r="F1160" s="3" t="s">
        <v>922</v>
      </c>
      <c r="I1160" s="3" t="s">
        <v>4520</v>
      </c>
    </row>
    <row r="1161" spans="1:9" x14ac:dyDescent="0.3">
      <c r="A1161" s="33">
        <v>9401</v>
      </c>
      <c r="B1161" s="2">
        <v>1633</v>
      </c>
      <c r="C1161" s="2" t="s">
        <v>14179</v>
      </c>
      <c r="D1161" s="3" t="s">
        <v>14206</v>
      </c>
      <c r="F1161" s="3" t="s">
        <v>2965</v>
      </c>
      <c r="G1161" s="3" t="s">
        <v>487</v>
      </c>
    </row>
    <row r="1162" spans="1:9" x14ac:dyDescent="0.3">
      <c r="A1162" s="33">
        <v>9408</v>
      </c>
      <c r="B1162" s="2">
        <v>2159</v>
      </c>
      <c r="C1162" s="2" t="s">
        <v>14197</v>
      </c>
      <c r="D1162" s="3" t="s">
        <v>14206</v>
      </c>
      <c r="F1162" s="3" t="s">
        <v>1866</v>
      </c>
    </row>
  </sheetData>
  <autoFilter ref="A1:I116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B1249"/>
  <sheetViews>
    <sheetView topLeftCell="A4" zoomScale="70" zoomScaleNormal="70" workbookViewId="0">
      <selection activeCell="B7" sqref="B7:B8"/>
    </sheetView>
  </sheetViews>
  <sheetFormatPr defaultColWidth="8.6640625" defaultRowHeight="13.8" x14ac:dyDescent="0.3"/>
  <cols>
    <col min="1" max="1" width="30.88671875" style="9" bestFit="1" customWidth="1"/>
    <col min="2" max="2" width="57.88671875" style="25" bestFit="1" customWidth="1"/>
    <col min="3" max="3" width="40.88671875" style="9" customWidth="1"/>
    <col min="4" max="4" width="64.44140625" style="9" bestFit="1" customWidth="1"/>
    <col min="5" max="8" width="19.6640625" style="16" customWidth="1"/>
    <col min="9" max="9" width="41" style="9" bestFit="1" customWidth="1"/>
    <col min="10" max="10" width="42" style="9" bestFit="1" customWidth="1"/>
    <col min="11" max="11" width="19.88671875" style="9" customWidth="1"/>
    <col min="12" max="12" width="36.44140625" style="16" bestFit="1" customWidth="1"/>
    <col min="13" max="13" width="75" style="16" bestFit="1" customWidth="1"/>
    <col min="14" max="14" width="36" style="16" customWidth="1"/>
    <col min="15" max="15" width="49.44140625" style="16" bestFit="1" customWidth="1"/>
    <col min="16" max="16" width="19.5546875" style="9" bestFit="1" customWidth="1"/>
    <col min="17" max="17" width="61.33203125" style="9" bestFit="1" customWidth="1"/>
    <col min="18" max="18" width="19.88671875" style="9" customWidth="1"/>
    <col min="19" max="19" width="38.88671875" style="9" customWidth="1"/>
    <col min="20" max="20" width="19.88671875" style="25" customWidth="1"/>
    <col min="21" max="21" width="18.109375" style="9" bestFit="1" customWidth="1"/>
    <col min="22" max="22" width="13.5546875" style="9" customWidth="1"/>
    <col min="23" max="23" width="17.6640625" style="9" bestFit="1" customWidth="1"/>
    <col min="24" max="24" width="14.5546875" style="9" bestFit="1" customWidth="1"/>
    <col min="25" max="25" width="15.6640625" style="9" bestFit="1" customWidth="1"/>
    <col min="26" max="26" width="17.33203125" style="9" customWidth="1"/>
    <col min="27" max="27" width="24.109375" style="9" bestFit="1" customWidth="1"/>
    <col min="28" max="28" width="21.5546875" style="9" customWidth="1"/>
    <col min="29" max="16384" width="8.6640625" style="9"/>
  </cols>
  <sheetData>
    <row r="1" spans="1:28" ht="14.4" x14ac:dyDescent="0.3">
      <c r="A1" s="4" t="s">
        <v>6217</v>
      </c>
      <c r="B1" s="5" t="s">
        <v>6218</v>
      </c>
      <c r="C1" s="6" t="s">
        <v>6219</v>
      </c>
      <c r="D1" s="7" t="s">
        <v>6220</v>
      </c>
      <c r="E1" s="7" t="s">
        <v>6221</v>
      </c>
      <c r="F1" s="7" t="s">
        <v>6222</v>
      </c>
      <c r="G1" s="7" t="s">
        <v>6223</v>
      </c>
      <c r="H1" s="7" t="s">
        <v>6224</v>
      </c>
      <c r="I1" s="7" t="s">
        <v>6225</v>
      </c>
      <c r="J1" s="7" t="s">
        <v>6226</v>
      </c>
      <c r="K1" s="7" t="s">
        <v>6227</v>
      </c>
      <c r="L1" s="8" t="s">
        <v>6228</v>
      </c>
      <c r="M1" s="8" t="s">
        <v>6229</v>
      </c>
      <c r="N1" s="8" t="s">
        <v>6230</v>
      </c>
      <c r="O1" s="8" t="s">
        <v>6231</v>
      </c>
      <c r="P1" s="7" t="s">
        <v>6232</v>
      </c>
      <c r="Q1" s="7" t="s">
        <v>6233</v>
      </c>
      <c r="R1" s="7" t="s">
        <v>6234</v>
      </c>
      <c r="S1" s="7" t="s">
        <v>6235</v>
      </c>
      <c r="T1" s="7" t="s">
        <v>6236</v>
      </c>
      <c r="U1" s="7" t="s">
        <v>6237</v>
      </c>
      <c r="V1" s="5" t="s">
        <v>6238</v>
      </c>
      <c r="W1" s="5" t="s">
        <v>6239</v>
      </c>
      <c r="X1" s="5" t="s">
        <v>6240</v>
      </c>
      <c r="Y1" s="5" t="s">
        <v>6241</v>
      </c>
      <c r="Z1" s="5" t="s">
        <v>6242</v>
      </c>
      <c r="AA1" s="5" t="s">
        <v>6243</v>
      </c>
      <c r="AB1" s="5" t="s">
        <v>6244</v>
      </c>
    </row>
    <row r="2" spans="1:28" ht="409.6" x14ac:dyDescent="0.3">
      <c r="A2" s="10" t="s">
        <v>6245</v>
      </c>
      <c r="B2" s="10" t="s">
        <v>6246</v>
      </c>
      <c r="C2" s="10" t="s">
        <v>6247</v>
      </c>
      <c r="D2" s="10" t="s">
        <v>6248</v>
      </c>
      <c r="E2" s="10" t="s">
        <v>6249</v>
      </c>
      <c r="F2" s="10" t="s">
        <v>6250</v>
      </c>
      <c r="G2" s="10" t="s">
        <v>6251</v>
      </c>
      <c r="H2" s="10" t="s">
        <v>6252</v>
      </c>
      <c r="I2" s="10" t="s">
        <v>6253</v>
      </c>
      <c r="J2" s="10" t="s">
        <v>6254</v>
      </c>
      <c r="K2" s="10" t="s">
        <v>6255</v>
      </c>
      <c r="L2" s="10" t="s">
        <v>6256</v>
      </c>
      <c r="M2" s="10" t="s">
        <v>6256</v>
      </c>
      <c r="N2" s="10" t="s">
        <v>6256</v>
      </c>
      <c r="O2" s="10" t="s">
        <v>6256</v>
      </c>
      <c r="P2" s="10" t="s">
        <v>6257</v>
      </c>
      <c r="Q2" s="10" t="s">
        <v>6258</v>
      </c>
      <c r="R2" s="10" t="s">
        <v>6259</v>
      </c>
      <c r="S2" s="10" t="s">
        <v>6260</v>
      </c>
      <c r="T2" s="10" t="s">
        <v>6261</v>
      </c>
      <c r="U2" s="10" t="s">
        <v>6262</v>
      </c>
      <c r="V2" s="11" t="s">
        <v>6263</v>
      </c>
      <c r="W2" s="10" t="s">
        <v>6264</v>
      </c>
      <c r="X2" s="10" t="s">
        <v>6265</v>
      </c>
      <c r="Y2" s="10" t="s">
        <v>6266</v>
      </c>
      <c r="Z2" s="10" t="s">
        <v>6267</v>
      </c>
      <c r="AA2" s="10" t="s">
        <v>6268</v>
      </c>
      <c r="AB2" s="10" t="s">
        <v>6269</v>
      </c>
    </row>
    <row r="3" spans="1:28" s="16" customFormat="1" x14ac:dyDescent="0.3">
      <c r="A3" s="12" t="s">
        <v>6270</v>
      </c>
      <c r="B3" s="13" t="s">
        <v>6270</v>
      </c>
      <c r="C3" s="13" t="s">
        <v>6271</v>
      </c>
      <c r="D3" s="13" t="s">
        <v>6271</v>
      </c>
      <c r="E3" s="13" t="s">
        <v>6271</v>
      </c>
      <c r="F3" s="13" t="s">
        <v>6271</v>
      </c>
      <c r="G3" s="13" t="s">
        <v>6271</v>
      </c>
      <c r="H3" s="13" t="s">
        <v>6271</v>
      </c>
      <c r="I3" s="14"/>
      <c r="J3" s="13" t="s">
        <v>6271</v>
      </c>
      <c r="K3" s="13" t="s">
        <v>6271</v>
      </c>
      <c r="L3" s="13" t="s">
        <v>6272</v>
      </c>
      <c r="M3" s="13" t="s">
        <v>6272</v>
      </c>
      <c r="N3" s="13" t="s">
        <v>6272</v>
      </c>
      <c r="O3" s="13" t="s">
        <v>6272</v>
      </c>
      <c r="P3" s="13" t="s">
        <v>6273</v>
      </c>
      <c r="Q3" s="12" t="s">
        <v>6271</v>
      </c>
      <c r="R3" s="12" t="s">
        <v>6271</v>
      </c>
      <c r="S3" s="14"/>
      <c r="T3" s="15" t="s">
        <v>6273</v>
      </c>
      <c r="U3" s="13" t="s">
        <v>6274</v>
      </c>
      <c r="V3" s="13" t="s">
        <v>6274</v>
      </c>
      <c r="W3" s="13" t="s">
        <v>6271</v>
      </c>
      <c r="X3" s="13" t="s">
        <v>6271</v>
      </c>
      <c r="Y3" s="13" t="s">
        <v>6271</v>
      </c>
      <c r="Z3" s="13" t="s">
        <v>6271</v>
      </c>
      <c r="AA3" s="13" t="s">
        <v>6271</v>
      </c>
      <c r="AB3" s="12" t="s">
        <v>6271</v>
      </c>
    </row>
    <row r="4" spans="1:28" s="16" customFormat="1" x14ac:dyDescent="0.3">
      <c r="A4" s="12" t="s">
        <v>6275</v>
      </c>
      <c r="B4" s="13" t="s">
        <v>6275</v>
      </c>
      <c r="C4" s="13" t="s">
        <v>6271</v>
      </c>
      <c r="D4" s="13" t="s">
        <v>6271</v>
      </c>
      <c r="E4" s="13" t="s">
        <v>6271</v>
      </c>
      <c r="F4" s="13" t="s">
        <v>6271</v>
      </c>
      <c r="G4" s="13" t="s">
        <v>6271</v>
      </c>
      <c r="H4" s="13" t="s">
        <v>6271</v>
      </c>
      <c r="I4" s="14"/>
      <c r="J4" s="13" t="s">
        <v>6271</v>
      </c>
      <c r="K4" s="13" t="s">
        <v>6271</v>
      </c>
      <c r="L4" s="13" t="s">
        <v>6272</v>
      </c>
      <c r="M4" s="13" t="s">
        <v>6272</v>
      </c>
      <c r="N4" s="13" t="s">
        <v>6272</v>
      </c>
      <c r="O4" s="13" t="s">
        <v>6272</v>
      </c>
      <c r="P4" s="13" t="s">
        <v>6276</v>
      </c>
      <c r="Q4" s="12" t="s">
        <v>6271</v>
      </c>
      <c r="R4" s="12" t="s">
        <v>6271</v>
      </c>
      <c r="S4" s="14"/>
      <c r="T4" s="15" t="s">
        <v>6276</v>
      </c>
      <c r="U4" s="14"/>
      <c r="V4" s="14"/>
      <c r="W4" s="13" t="s">
        <v>6271</v>
      </c>
      <c r="X4" s="13" t="s">
        <v>6271</v>
      </c>
      <c r="Y4" s="13" t="s">
        <v>6271</v>
      </c>
      <c r="Z4" s="13" t="s">
        <v>6271</v>
      </c>
      <c r="AA4" s="13" t="s">
        <v>6271</v>
      </c>
      <c r="AB4" s="12" t="s">
        <v>6271</v>
      </c>
    </row>
    <row r="5" spans="1:28" s="19" customFormat="1" ht="27.6" x14ac:dyDescent="0.25">
      <c r="A5" s="17" t="s">
        <v>6277</v>
      </c>
      <c r="B5" s="17" t="s">
        <v>6277</v>
      </c>
      <c r="C5" s="18"/>
      <c r="D5" s="18" t="s">
        <v>6278</v>
      </c>
      <c r="E5" s="18" t="s">
        <v>6279</v>
      </c>
      <c r="F5" s="18" t="s">
        <v>6279</v>
      </c>
      <c r="G5" s="18" t="s">
        <v>6279</v>
      </c>
      <c r="H5" s="18" t="s">
        <v>6279</v>
      </c>
      <c r="I5" s="18" t="s">
        <v>6280</v>
      </c>
      <c r="J5" s="18"/>
      <c r="K5" s="18" t="s">
        <v>6281</v>
      </c>
      <c r="L5" s="18"/>
      <c r="M5" s="18"/>
      <c r="N5" s="18"/>
      <c r="O5" s="18"/>
      <c r="P5" s="18" t="b">
        <v>1</v>
      </c>
      <c r="Q5" s="18" t="s">
        <v>6282</v>
      </c>
      <c r="R5" s="18" t="s">
        <v>6283</v>
      </c>
      <c r="S5" s="17"/>
      <c r="T5" s="17" t="b">
        <v>1</v>
      </c>
      <c r="U5" s="18"/>
      <c r="V5" s="18"/>
      <c r="W5" s="17" t="s">
        <v>6284</v>
      </c>
      <c r="X5" s="17" t="s">
        <v>6285</v>
      </c>
      <c r="Y5" s="17" t="s">
        <v>6286</v>
      </c>
      <c r="Z5" s="17" t="s">
        <v>6287</v>
      </c>
      <c r="AA5" s="17" t="s">
        <v>6288</v>
      </c>
      <c r="AB5" s="18" t="s">
        <v>6289</v>
      </c>
    </row>
    <row r="6" spans="1:28" s="21" customFormat="1" x14ac:dyDescent="0.3">
      <c r="A6" s="20"/>
      <c r="B6" s="20"/>
      <c r="D6" s="22"/>
      <c r="E6" s="16"/>
      <c r="F6" s="16"/>
      <c r="G6" s="16"/>
      <c r="H6" s="16"/>
      <c r="L6" s="23"/>
      <c r="M6" s="24"/>
      <c r="N6" s="23"/>
      <c r="O6" s="24"/>
      <c r="T6" s="20"/>
      <c r="W6" s="20"/>
      <c r="X6" s="20"/>
      <c r="Y6" s="20"/>
      <c r="Z6" s="20"/>
      <c r="AA6" s="20"/>
    </row>
    <row r="7" spans="1:28" s="25" customFormat="1" ht="185.4" x14ac:dyDescent="0.3">
      <c r="A7" s="25">
        <v>2</v>
      </c>
      <c r="B7" s="25" t="s">
        <v>6290</v>
      </c>
      <c r="C7" s="25" t="s">
        <v>2406</v>
      </c>
      <c r="D7" s="25" t="s">
        <v>6291</v>
      </c>
      <c r="E7" s="16" t="s">
        <v>6292</v>
      </c>
      <c r="F7" s="16" t="s">
        <v>6292</v>
      </c>
      <c r="G7" s="16" t="s">
        <v>6292</v>
      </c>
      <c r="H7" s="16" t="s">
        <v>6292</v>
      </c>
      <c r="I7" s="25" t="s">
        <v>6293</v>
      </c>
      <c r="K7" s="25" t="s">
        <v>6281</v>
      </c>
      <c r="L7" s="26" t="s">
        <v>6294</v>
      </c>
      <c r="M7" s="26" t="s">
        <v>6295</v>
      </c>
      <c r="N7" s="27" t="s">
        <v>6296</v>
      </c>
      <c r="O7" s="26" t="s">
        <v>6295</v>
      </c>
      <c r="P7" s="20" t="b">
        <v>1</v>
      </c>
      <c r="Q7" s="20" t="s">
        <v>6282</v>
      </c>
      <c r="R7" s="28" t="s">
        <v>6283</v>
      </c>
      <c r="T7" s="20" t="b">
        <v>1</v>
      </c>
      <c r="V7" s="25" t="s">
        <v>6295</v>
      </c>
      <c r="W7" s="28" t="s">
        <v>6284</v>
      </c>
      <c r="X7" s="28" t="s">
        <v>6285</v>
      </c>
      <c r="Y7" s="28" t="s">
        <v>6286</v>
      </c>
      <c r="Z7" s="28" t="s">
        <v>6287</v>
      </c>
      <c r="AA7" s="28" t="s">
        <v>6288</v>
      </c>
      <c r="AB7" s="28" t="s">
        <v>6297</v>
      </c>
    </row>
    <row r="8" spans="1:28" ht="185.4" x14ac:dyDescent="0.3">
      <c r="A8" s="25">
        <v>124</v>
      </c>
      <c r="B8" s="25" t="s">
        <v>6298</v>
      </c>
      <c r="C8" s="25" t="s">
        <v>6299</v>
      </c>
      <c r="D8" s="25" t="s">
        <v>6291</v>
      </c>
      <c r="E8" s="16" t="s">
        <v>6292</v>
      </c>
      <c r="F8" s="16" t="s">
        <v>6292</v>
      </c>
      <c r="G8" s="16" t="s">
        <v>6292</v>
      </c>
      <c r="H8" s="16" t="s">
        <v>6292</v>
      </c>
      <c r="I8" s="25" t="s">
        <v>6300</v>
      </c>
      <c r="J8" s="25"/>
      <c r="K8" s="25" t="s">
        <v>6281</v>
      </c>
      <c r="L8" s="26" t="s">
        <v>6301</v>
      </c>
      <c r="M8" s="26" t="s">
        <v>6302</v>
      </c>
      <c r="N8" s="27" t="s">
        <v>6303</v>
      </c>
      <c r="O8" s="26" t="s">
        <v>6295</v>
      </c>
      <c r="P8" s="20" t="b">
        <v>1</v>
      </c>
      <c r="Q8" s="20" t="s">
        <v>6282</v>
      </c>
      <c r="R8" s="28" t="s">
        <v>6283</v>
      </c>
      <c r="S8" s="25"/>
      <c r="T8" s="20" t="b">
        <v>1</v>
      </c>
      <c r="U8" s="25"/>
      <c r="V8" s="25">
        <v>9.49</v>
      </c>
      <c r="W8" s="28" t="s">
        <v>6304</v>
      </c>
      <c r="X8" s="28" t="s">
        <v>6285</v>
      </c>
      <c r="Y8" s="28" t="s">
        <v>6286</v>
      </c>
      <c r="Z8" s="28" t="s">
        <v>6287</v>
      </c>
      <c r="AA8" s="28" t="s">
        <v>6288</v>
      </c>
      <c r="AB8" s="28" t="s">
        <v>6297</v>
      </c>
    </row>
    <row r="9" spans="1:28" ht="185.4" x14ac:dyDescent="0.3">
      <c r="A9" s="25">
        <v>133</v>
      </c>
      <c r="B9" s="25" t="s">
        <v>6305</v>
      </c>
      <c r="C9" s="25" t="s">
        <v>6306</v>
      </c>
      <c r="D9" s="25" t="s">
        <v>6291</v>
      </c>
      <c r="E9" s="16" t="s">
        <v>6292</v>
      </c>
      <c r="F9" s="16" t="s">
        <v>6292</v>
      </c>
      <c r="G9" s="16" t="s">
        <v>6292</v>
      </c>
      <c r="H9" s="16" t="s">
        <v>6292</v>
      </c>
      <c r="I9" s="25" t="s">
        <v>6307</v>
      </c>
      <c r="J9" s="25"/>
      <c r="K9" s="25" t="s">
        <v>6281</v>
      </c>
      <c r="L9" s="26" t="s">
        <v>6308</v>
      </c>
      <c r="M9" s="26" t="s">
        <v>6309</v>
      </c>
      <c r="N9" s="27" t="s">
        <v>6310</v>
      </c>
      <c r="O9" s="26" t="s">
        <v>6295</v>
      </c>
      <c r="P9" s="20" t="b">
        <v>1</v>
      </c>
      <c r="Q9" s="20" t="s">
        <v>6282</v>
      </c>
      <c r="R9" s="28" t="s">
        <v>6283</v>
      </c>
      <c r="S9" s="25"/>
      <c r="T9" s="20" t="b">
        <v>1</v>
      </c>
      <c r="U9" s="25"/>
      <c r="V9" s="25">
        <v>20</v>
      </c>
      <c r="W9" s="28" t="s">
        <v>6311</v>
      </c>
      <c r="X9" s="28" t="s">
        <v>6285</v>
      </c>
      <c r="Y9" s="28" t="s">
        <v>6286</v>
      </c>
      <c r="Z9" s="28" t="s">
        <v>6287</v>
      </c>
      <c r="AA9" s="28" t="s">
        <v>6288</v>
      </c>
      <c r="AB9" s="28" t="s">
        <v>6297</v>
      </c>
    </row>
    <row r="10" spans="1:28" ht="185.4" x14ac:dyDescent="0.3">
      <c r="A10" s="25">
        <v>192</v>
      </c>
      <c r="B10" s="25" t="s">
        <v>6312</v>
      </c>
      <c r="C10" s="25" t="s">
        <v>6313</v>
      </c>
      <c r="D10" s="25" t="s">
        <v>6278</v>
      </c>
      <c r="E10" s="16" t="s">
        <v>6279</v>
      </c>
      <c r="F10" s="16" t="s">
        <v>6279</v>
      </c>
      <c r="G10" s="16" t="s">
        <v>6279</v>
      </c>
      <c r="H10" s="16" t="s">
        <v>6279</v>
      </c>
      <c r="I10" s="25" t="s">
        <v>6314</v>
      </c>
      <c r="J10" s="25"/>
      <c r="K10" s="25" t="s">
        <v>6281</v>
      </c>
      <c r="L10" s="26" t="s">
        <v>6315</v>
      </c>
      <c r="M10" s="26" t="s">
        <v>6295</v>
      </c>
      <c r="N10" s="27" t="s">
        <v>6316</v>
      </c>
      <c r="O10" s="26" t="s">
        <v>6317</v>
      </c>
      <c r="P10" s="20" t="b">
        <v>1</v>
      </c>
      <c r="Q10" s="20" t="s">
        <v>6282</v>
      </c>
      <c r="R10" s="28" t="s">
        <v>6283</v>
      </c>
      <c r="S10" s="25"/>
      <c r="T10" s="20" t="b">
        <v>1</v>
      </c>
      <c r="U10" s="25"/>
      <c r="V10" s="25">
        <v>258.75</v>
      </c>
      <c r="W10" s="28" t="s">
        <v>6318</v>
      </c>
      <c r="X10" s="28" t="s">
        <v>6285</v>
      </c>
      <c r="Y10" s="28" t="s">
        <v>6286</v>
      </c>
      <c r="Z10" s="28" t="s">
        <v>6287</v>
      </c>
      <c r="AA10" s="28" t="s">
        <v>6288</v>
      </c>
      <c r="AB10" s="28" t="s">
        <v>6297</v>
      </c>
    </row>
    <row r="11" spans="1:28" ht="185.4" x14ac:dyDescent="0.3">
      <c r="A11" s="25">
        <v>194</v>
      </c>
      <c r="B11" s="25" t="s">
        <v>6319</v>
      </c>
      <c r="C11" s="25" t="s">
        <v>6320</v>
      </c>
      <c r="D11" s="25" t="s">
        <v>6278</v>
      </c>
      <c r="E11" s="16" t="s">
        <v>6279</v>
      </c>
      <c r="F11" s="16" t="s">
        <v>6279</v>
      </c>
      <c r="G11" s="16" t="s">
        <v>6279</v>
      </c>
      <c r="H11" s="16" t="s">
        <v>6279</v>
      </c>
      <c r="I11" s="25" t="s">
        <v>6321</v>
      </c>
      <c r="J11" s="25"/>
      <c r="K11" s="25" t="s">
        <v>6281</v>
      </c>
      <c r="L11" s="26" t="s">
        <v>6322</v>
      </c>
      <c r="M11" s="26" t="s">
        <v>6323</v>
      </c>
      <c r="N11" s="27" t="s">
        <v>6324</v>
      </c>
      <c r="O11" s="26" t="s">
        <v>6325</v>
      </c>
      <c r="P11" s="20" t="b">
        <v>1</v>
      </c>
      <c r="Q11" s="20" t="s">
        <v>6282</v>
      </c>
      <c r="R11" s="28" t="s">
        <v>6283</v>
      </c>
      <c r="S11" s="25"/>
      <c r="T11" s="20" t="b">
        <v>1</v>
      </c>
      <c r="U11" s="25"/>
      <c r="V11" s="25">
        <v>14.39</v>
      </c>
      <c r="W11" s="28" t="s">
        <v>6326</v>
      </c>
      <c r="X11" s="28" t="s">
        <v>6285</v>
      </c>
      <c r="Y11" s="28" t="s">
        <v>6286</v>
      </c>
      <c r="Z11" s="28" t="s">
        <v>6287</v>
      </c>
      <c r="AA11" s="28" t="s">
        <v>6288</v>
      </c>
      <c r="AB11" s="28" t="s">
        <v>6297</v>
      </c>
    </row>
    <row r="12" spans="1:28" ht="185.4" x14ac:dyDescent="0.3">
      <c r="A12" s="25">
        <v>272</v>
      </c>
      <c r="B12" s="25" t="s">
        <v>6327</v>
      </c>
      <c r="C12" s="25" t="s">
        <v>6328</v>
      </c>
      <c r="D12" s="25" t="s">
        <v>6291</v>
      </c>
      <c r="E12" s="16" t="s">
        <v>6292</v>
      </c>
      <c r="F12" s="16" t="s">
        <v>6292</v>
      </c>
      <c r="G12" s="16" t="s">
        <v>6292</v>
      </c>
      <c r="H12" s="16" t="s">
        <v>6292</v>
      </c>
      <c r="I12" s="25" t="s">
        <v>6329</v>
      </c>
      <c r="J12" s="25"/>
      <c r="K12" s="25" t="s">
        <v>6281</v>
      </c>
      <c r="L12" s="26" t="s">
        <v>6330</v>
      </c>
      <c r="M12" s="26" t="s">
        <v>6309</v>
      </c>
      <c r="N12" s="27" t="s">
        <v>6331</v>
      </c>
      <c r="O12" s="26" t="s">
        <v>6295</v>
      </c>
      <c r="P12" s="20" t="b">
        <v>1</v>
      </c>
      <c r="Q12" s="20" t="s">
        <v>6282</v>
      </c>
      <c r="R12" s="28" t="s">
        <v>6283</v>
      </c>
      <c r="S12" s="25"/>
      <c r="T12" s="20" t="b">
        <v>1</v>
      </c>
      <c r="U12" s="25"/>
      <c r="V12" s="25">
        <v>23.99</v>
      </c>
      <c r="W12" s="28" t="s">
        <v>6332</v>
      </c>
      <c r="X12" s="28" t="s">
        <v>6285</v>
      </c>
      <c r="Y12" s="28" t="s">
        <v>6286</v>
      </c>
      <c r="Z12" s="28" t="s">
        <v>6287</v>
      </c>
      <c r="AA12" s="28" t="s">
        <v>6288</v>
      </c>
      <c r="AB12" s="28" t="s">
        <v>6297</v>
      </c>
    </row>
    <row r="13" spans="1:28" ht="185.4" x14ac:dyDescent="0.3">
      <c r="A13" s="25">
        <v>273</v>
      </c>
      <c r="B13" s="25" t="s">
        <v>6333</v>
      </c>
      <c r="C13" s="25" t="s">
        <v>6334</v>
      </c>
      <c r="D13" s="25" t="s">
        <v>6291</v>
      </c>
      <c r="E13" s="16" t="s">
        <v>6292</v>
      </c>
      <c r="F13" s="16" t="s">
        <v>6292</v>
      </c>
      <c r="G13" s="16" t="s">
        <v>6292</v>
      </c>
      <c r="H13" s="16" t="s">
        <v>6292</v>
      </c>
      <c r="I13" s="25" t="s">
        <v>6335</v>
      </c>
      <c r="J13" s="25"/>
      <c r="K13" s="25" t="s">
        <v>6281</v>
      </c>
      <c r="L13" s="26" t="s">
        <v>6336</v>
      </c>
      <c r="M13" s="26" t="s">
        <v>6337</v>
      </c>
      <c r="N13" s="27" t="s">
        <v>6338</v>
      </c>
      <c r="O13" s="26" t="s">
        <v>6339</v>
      </c>
      <c r="P13" s="20" t="b">
        <v>1</v>
      </c>
      <c r="Q13" s="20" t="s">
        <v>6282</v>
      </c>
      <c r="R13" s="28" t="s">
        <v>6283</v>
      </c>
      <c r="S13" s="25"/>
      <c r="T13" s="20" t="b">
        <v>1</v>
      </c>
      <c r="U13" s="25"/>
      <c r="V13" s="25">
        <v>39.195</v>
      </c>
      <c r="W13" s="28" t="s">
        <v>6340</v>
      </c>
      <c r="X13" s="28" t="s">
        <v>6285</v>
      </c>
      <c r="Y13" s="28" t="s">
        <v>6286</v>
      </c>
      <c r="Z13" s="28" t="s">
        <v>6287</v>
      </c>
      <c r="AA13" s="28" t="s">
        <v>6288</v>
      </c>
      <c r="AB13" s="28" t="s">
        <v>6297</v>
      </c>
    </row>
    <row r="14" spans="1:28" ht="185.4" x14ac:dyDescent="0.3">
      <c r="A14" s="25">
        <v>278</v>
      </c>
      <c r="B14" s="25" t="s">
        <v>6341</v>
      </c>
      <c r="C14" s="25" t="s">
        <v>6295</v>
      </c>
      <c r="D14" s="25" t="s">
        <v>6291</v>
      </c>
      <c r="E14" s="16" t="s">
        <v>6292</v>
      </c>
      <c r="F14" s="16" t="s">
        <v>6292</v>
      </c>
      <c r="G14" s="16" t="s">
        <v>6292</v>
      </c>
      <c r="H14" s="16" t="s">
        <v>6292</v>
      </c>
      <c r="I14" s="25" t="s">
        <v>6342</v>
      </c>
      <c r="J14" s="25"/>
      <c r="K14" s="25" t="s">
        <v>6281</v>
      </c>
      <c r="L14" s="26" t="s">
        <v>6343</v>
      </c>
      <c r="M14" s="26" t="s">
        <v>6344</v>
      </c>
      <c r="N14" s="27" t="s">
        <v>6345</v>
      </c>
      <c r="O14" s="26" t="s">
        <v>6346</v>
      </c>
      <c r="P14" s="20" t="b">
        <v>1</v>
      </c>
      <c r="Q14" s="20" t="s">
        <v>6282</v>
      </c>
      <c r="R14" s="28" t="s">
        <v>6283</v>
      </c>
      <c r="S14" s="25"/>
      <c r="T14" s="20" t="b">
        <v>1</v>
      </c>
      <c r="U14" s="25"/>
      <c r="V14" s="25">
        <v>49</v>
      </c>
      <c r="W14" s="28" t="s">
        <v>6347</v>
      </c>
      <c r="X14" s="28" t="s">
        <v>6285</v>
      </c>
      <c r="Y14" s="28" t="s">
        <v>6286</v>
      </c>
      <c r="Z14" s="28" t="s">
        <v>6287</v>
      </c>
      <c r="AA14" s="28" t="s">
        <v>6288</v>
      </c>
      <c r="AB14" s="28" t="s">
        <v>6297</v>
      </c>
    </row>
    <row r="15" spans="1:28" ht="185.4" x14ac:dyDescent="0.3">
      <c r="A15" s="25">
        <v>286</v>
      </c>
      <c r="B15" s="25" t="s">
        <v>6348</v>
      </c>
      <c r="C15" s="25" t="s">
        <v>6349</v>
      </c>
      <c r="D15" s="25" t="s">
        <v>6278</v>
      </c>
      <c r="E15" s="16" t="s">
        <v>6279</v>
      </c>
      <c r="F15" s="16" t="s">
        <v>6279</v>
      </c>
      <c r="G15" s="16" t="s">
        <v>6279</v>
      </c>
      <c r="H15" s="16" t="s">
        <v>6279</v>
      </c>
      <c r="I15" s="25" t="s">
        <v>6350</v>
      </c>
      <c r="J15" s="25"/>
      <c r="K15" s="25" t="s">
        <v>6281</v>
      </c>
      <c r="L15" s="26" t="s">
        <v>6351</v>
      </c>
      <c r="M15" s="26" t="s">
        <v>6352</v>
      </c>
      <c r="N15" s="27" t="s">
        <v>6353</v>
      </c>
      <c r="O15" s="26" t="s">
        <v>6354</v>
      </c>
      <c r="P15" s="20" t="b">
        <v>1</v>
      </c>
      <c r="Q15" s="20" t="s">
        <v>6282</v>
      </c>
      <c r="R15" s="28" t="s">
        <v>6283</v>
      </c>
      <c r="S15" s="25"/>
      <c r="T15" s="20" t="b">
        <v>1</v>
      </c>
      <c r="U15" s="25"/>
      <c r="V15" s="25">
        <v>21.23</v>
      </c>
      <c r="W15" s="28" t="s">
        <v>6355</v>
      </c>
      <c r="X15" s="28" t="s">
        <v>6285</v>
      </c>
      <c r="Y15" s="28" t="s">
        <v>6286</v>
      </c>
      <c r="Z15" s="28" t="s">
        <v>6287</v>
      </c>
      <c r="AA15" s="28" t="s">
        <v>6288</v>
      </c>
      <c r="AB15" s="28" t="s">
        <v>6297</v>
      </c>
    </row>
    <row r="16" spans="1:28" ht="185.4" x14ac:dyDescent="0.3">
      <c r="A16" s="25">
        <v>322</v>
      </c>
      <c r="B16" s="25" t="s">
        <v>6356</v>
      </c>
      <c r="C16" s="25" t="s">
        <v>6357</v>
      </c>
      <c r="D16" s="25" t="s">
        <v>6291</v>
      </c>
      <c r="E16" s="16" t="s">
        <v>6292</v>
      </c>
      <c r="F16" s="16" t="s">
        <v>6292</v>
      </c>
      <c r="G16" s="16" t="s">
        <v>6292</v>
      </c>
      <c r="H16" s="16" t="s">
        <v>6292</v>
      </c>
      <c r="I16" s="25" t="s">
        <v>6358</v>
      </c>
      <c r="J16" s="25"/>
      <c r="K16" s="25" t="s">
        <v>6281</v>
      </c>
      <c r="L16" s="26" t="s">
        <v>6359</v>
      </c>
      <c r="M16" s="26" t="s">
        <v>127</v>
      </c>
      <c r="N16" s="27" t="s">
        <v>6360</v>
      </c>
      <c r="O16" s="26" t="s">
        <v>6361</v>
      </c>
      <c r="P16" s="20" t="b">
        <v>1</v>
      </c>
      <c r="Q16" s="20" t="s">
        <v>6282</v>
      </c>
      <c r="R16" s="28" t="s">
        <v>6283</v>
      </c>
      <c r="S16" s="25"/>
      <c r="T16" s="20" t="b">
        <v>1</v>
      </c>
      <c r="U16" s="25"/>
      <c r="V16" s="25">
        <v>31.44</v>
      </c>
      <c r="W16" s="28" t="s">
        <v>6362</v>
      </c>
      <c r="X16" s="28" t="s">
        <v>6285</v>
      </c>
      <c r="Y16" s="28" t="s">
        <v>6286</v>
      </c>
      <c r="Z16" s="28" t="s">
        <v>6287</v>
      </c>
      <c r="AA16" s="28" t="s">
        <v>6288</v>
      </c>
      <c r="AB16" s="28" t="s">
        <v>6297</v>
      </c>
    </row>
    <row r="17" spans="1:28" ht="193.2" x14ac:dyDescent="0.3">
      <c r="A17" s="25">
        <v>461</v>
      </c>
      <c r="B17" s="25" t="s">
        <v>6363</v>
      </c>
      <c r="C17" s="25" t="s">
        <v>6364</v>
      </c>
      <c r="D17" s="25" t="s">
        <v>6291</v>
      </c>
      <c r="E17" s="16" t="s">
        <v>6292</v>
      </c>
      <c r="F17" s="16" t="s">
        <v>6292</v>
      </c>
      <c r="G17" s="16" t="s">
        <v>6292</v>
      </c>
      <c r="H17" s="16" t="s">
        <v>6292</v>
      </c>
      <c r="I17" s="25" t="s">
        <v>6365</v>
      </c>
      <c r="J17" s="25"/>
      <c r="K17" s="25" t="s">
        <v>6281</v>
      </c>
      <c r="L17" s="26" t="s">
        <v>6366</v>
      </c>
      <c r="M17" s="26" t="s">
        <v>6295</v>
      </c>
      <c r="N17" s="27" t="s">
        <v>6367</v>
      </c>
      <c r="O17" s="26" t="s">
        <v>6339</v>
      </c>
      <c r="P17" s="20" t="b">
        <v>1</v>
      </c>
      <c r="Q17" s="20" t="s">
        <v>6282</v>
      </c>
      <c r="R17" s="28" t="s">
        <v>6283</v>
      </c>
      <c r="S17" s="25"/>
      <c r="T17" s="20" t="b">
        <v>1</v>
      </c>
      <c r="U17" s="25"/>
      <c r="V17" s="25">
        <v>12.38</v>
      </c>
      <c r="W17" s="28" t="s">
        <v>6368</v>
      </c>
      <c r="X17" s="28" t="s">
        <v>6285</v>
      </c>
      <c r="Y17" s="28" t="s">
        <v>6286</v>
      </c>
      <c r="Z17" s="28" t="s">
        <v>6287</v>
      </c>
      <c r="AA17" s="28" t="s">
        <v>6288</v>
      </c>
      <c r="AB17" s="28" t="s">
        <v>6297</v>
      </c>
    </row>
    <row r="18" spans="1:28" ht="185.4" x14ac:dyDescent="0.3">
      <c r="A18" s="25">
        <v>519</v>
      </c>
      <c r="B18" s="25" t="s">
        <v>6369</v>
      </c>
      <c r="C18" s="25" t="s">
        <v>6295</v>
      </c>
      <c r="D18" s="25" t="s">
        <v>6370</v>
      </c>
      <c r="E18" s="16" t="s">
        <v>6371</v>
      </c>
      <c r="F18" s="16" t="s">
        <v>6371</v>
      </c>
      <c r="G18" s="16" t="s">
        <v>6371</v>
      </c>
      <c r="H18" s="16" t="s">
        <v>6371</v>
      </c>
      <c r="I18" s="25" t="s">
        <v>6372</v>
      </c>
      <c r="J18" s="25"/>
      <c r="K18" s="25" t="s">
        <v>6281</v>
      </c>
      <c r="L18" s="26" t="s">
        <v>6373</v>
      </c>
      <c r="M18" s="26" t="s">
        <v>6374</v>
      </c>
      <c r="N18" s="27" t="s">
        <v>6375</v>
      </c>
      <c r="O18" s="26" t="s">
        <v>6376</v>
      </c>
      <c r="P18" s="20" t="b">
        <v>1</v>
      </c>
      <c r="Q18" s="20" t="s">
        <v>6282</v>
      </c>
      <c r="R18" s="28" t="s">
        <v>6283</v>
      </c>
      <c r="S18" s="25"/>
      <c r="T18" s="20" t="b">
        <v>1</v>
      </c>
      <c r="U18" s="25"/>
      <c r="V18" s="25">
        <v>0</v>
      </c>
      <c r="W18" s="28" t="s">
        <v>6377</v>
      </c>
      <c r="X18" s="28" t="s">
        <v>6285</v>
      </c>
      <c r="Y18" s="28" t="s">
        <v>6286</v>
      </c>
      <c r="Z18" s="28" t="s">
        <v>6287</v>
      </c>
      <c r="AA18" s="28" t="s">
        <v>6288</v>
      </c>
      <c r="AB18" s="28" t="s">
        <v>6297</v>
      </c>
    </row>
    <row r="19" spans="1:28" ht="185.4" x14ac:dyDescent="0.3">
      <c r="A19" s="25">
        <v>526</v>
      </c>
      <c r="B19" s="25" t="s">
        <v>6378</v>
      </c>
      <c r="C19" s="25" t="s">
        <v>6306</v>
      </c>
      <c r="D19" s="25" t="s">
        <v>6291</v>
      </c>
      <c r="E19" s="16" t="s">
        <v>6292</v>
      </c>
      <c r="F19" s="16" t="s">
        <v>6292</v>
      </c>
      <c r="G19" s="16" t="s">
        <v>6292</v>
      </c>
      <c r="H19" s="16" t="s">
        <v>6292</v>
      </c>
      <c r="I19" s="25" t="s">
        <v>6379</v>
      </c>
      <c r="J19" s="25"/>
      <c r="K19" s="25" t="s">
        <v>6281</v>
      </c>
      <c r="L19" s="26" t="s">
        <v>6380</v>
      </c>
      <c r="M19" s="26" t="s">
        <v>6381</v>
      </c>
      <c r="N19" s="27" t="s">
        <v>6382</v>
      </c>
      <c r="O19" s="26" t="s">
        <v>6339</v>
      </c>
      <c r="P19" s="20" t="b">
        <v>1</v>
      </c>
      <c r="Q19" s="20" t="s">
        <v>6282</v>
      </c>
      <c r="R19" s="28" t="s">
        <v>6283</v>
      </c>
      <c r="S19" s="25"/>
      <c r="T19" s="20" t="b">
        <v>1</v>
      </c>
      <c r="U19" s="25"/>
      <c r="V19" s="25">
        <v>17.97</v>
      </c>
      <c r="W19" s="28" t="s">
        <v>6383</v>
      </c>
      <c r="X19" s="28" t="s">
        <v>6285</v>
      </c>
      <c r="Y19" s="28" t="s">
        <v>6286</v>
      </c>
      <c r="Z19" s="28" t="s">
        <v>6287</v>
      </c>
      <c r="AA19" s="28" t="s">
        <v>6288</v>
      </c>
      <c r="AB19" s="28" t="s">
        <v>6297</v>
      </c>
    </row>
    <row r="20" spans="1:28" ht="193.2" x14ac:dyDescent="0.3">
      <c r="A20" s="25">
        <v>602</v>
      </c>
      <c r="B20" s="25" t="s">
        <v>6384</v>
      </c>
      <c r="C20" s="25" t="s">
        <v>6306</v>
      </c>
      <c r="D20" s="25" t="s">
        <v>6291</v>
      </c>
      <c r="E20" s="16" t="s">
        <v>6292</v>
      </c>
      <c r="F20" s="16" t="s">
        <v>6292</v>
      </c>
      <c r="G20" s="16" t="s">
        <v>6292</v>
      </c>
      <c r="H20" s="16" t="s">
        <v>6292</v>
      </c>
      <c r="I20" s="25" t="s">
        <v>6385</v>
      </c>
      <c r="J20" s="25"/>
      <c r="K20" s="25" t="s">
        <v>6281</v>
      </c>
      <c r="L20" s="26" t="s">
        <v>6386</v>
      </c>
      <c r="M20" s="26" t="s">
        <v>6387</v>
      </c>
      <c r="N20" s="27" t="s">
        <v>6388</v>
      </c>
      <c r="O20" s="26" t="s">
        <v>6389</v>
      </c>
      <c r="P20" s="20" t="b">
        <v>1</v>
      </c>
      <c r="Q20" s="20" t="s">
        <v>6282</v>
      </c>
      <c r="R20" s="28" t="s">
        <v>6283</v>
      </c>
      <c r="S20" s="25"/>
      <c r="T20" s="20" t="b">
        <v>1</v>
      </c>
      <c r="U20" s="25"/>
      <c r="V20" s="25">
        <v>30.64</v>
      </c>
      <c r="W20" s="28" t="s">
        <v>6390</v>
      </c>
      <c r="X20" s="28" t="s">
        <v>6285</v>
      </c>
      <c r="Y20" s="28" t="s">
        <v>6286</v>
      </c>
      <c r="Z20" s="28" t="s">
        <v>6287</v>
      </c>
      <c r="AA20" s="28" t="s">
        <v>6288</v>
      </c>
      <c r="AB20" s="28" t="s">
        <v>6297</v>
      </c>
    </row>
    <row r="21" spans="1:28" ht="193.2" x14ac:dyDescent="0.3">
      <c r="A21" s="25">
        <v>618</v>
      </c>
      <c r="B21" s="25" t="s">
        <v>6391</v>
      </c>
      <c r="C21" s="25" t="s">
        <v>6306</v>
      </c>
      <c r="D21" s="25" t="s">
        <v>6291</v>
      </c>
      <c r="E21" s="16" t="s">
        <v>6292</v>
      </c>
      <c r="F21" s="16" t="s">
        <v>6292</v>
      </c>
      <c r="G21" s="16" t="s">
        <v>6292</v>
      </c>
      <c r="H21" s="16" t="s">
        <v>6292</v>
      </c>
      <c r="I21" s="25" t="s">
        <v>6392</v>
      </c>
      <c r="J21" s="25"/>
      <c r="K21" s="25" t="s">
        <v>6281</v>
      </c>
      <c r="L21" s="26" t="s">
        <v>6393</v>
      </c>
      <c r="M21" s="26" t="s">
        <v>6387</v>
      </c>
      <c r="N21" s="27" t="s">
        <v>6388</v>
      </c>
      <c r="O21" s="26" t="s">
        <v>6394</v>
      </c>
      <c r="P21" s="20" t="b">
        <v>1</v>
      </c>
      <c r="Q21" s="20" t="s">
        <v>6282</v>
      </c>
      <c r="R21" s="28" t="s">
        <v>6283</v>
      </c>
      <c r="S21" s="25"/>
      <c r="T21" s="20" t="b">
        <v>1</v>
      </c>
      <c r="U21" s="25"/>
      <c r="V21" s="25">
        <v>25</v>
      </c>
      <c r="W21" s="28" t="s">
        <v>6395</v>
      </c>
      <c r="X21" s="28" t="s">
        <v>6285</v>
      </c>
      <c r="Y21" s="28" t="s">
        <v>6286</v>
      </c>
      <c r="Z21" s="28" t="s">
        <v>6287</v>
      </c>
      <c r="AA21" s="28" t="s">
        <v>6288</v>
      </c>
      <c r="AB21" s="28" t="s">
        <v>6297</v>
      </c>
    </row>
    <row r="22" spans="1:28" ht="185.4" x14ac:dyDescent="0.3">
      <c r="A22" s="25">
        <v>760</v>
      </c>
      <c r="B22" s="25" t="s">
        <v>6396</v>
      </c>
      <c r="C22" s="25" t="s">
        <v>6397</v>
      </c>
      <c r="D22" s="25" t="s">
        <v>6291</v>
      </c>
      <c r="E22" s="16" t="s">
        <v>6292</v>
      </c>
      <c r="F22" s="16" t="s">
        <v>6292</v>
      </c>
      <c r="G22" s="16" t="s">
        <v>6292</v>
      </c>
      <c r="H22" s="16" t="s">
        <v>6292</v>
      </c>
      <c r="I22" s="25" t="s">
        <v>6398</v>
      </c>
      <c r="J22" s="25"/>
      <c r="K22" s="25" t="s">
        <v>6281</v>
      </c>
      <c r="L22" s="26" t="s">
        <v>6399</v>
      </c>
      <c r="M22" s="26" t="s">
        <v>6400</v>
      </c>
      <c r="N22" s="27" t="s">
        <v>6401</v>
      </c>
      <c r="O22" s="26" t="s">
        <v>6295</v>
      </c>
      <c r="P22" s="20" t="b">
        <v>1</v>
      </c>
      <c r="Q22" s="20" t="s">
        <v>6282</v>
      </c>
      <c r="R22" s="28" t="s">
        <v>6283</v>
      </c>
      <c r="S22" s="25"/>
      <c r="T22" s="20" t="b">
        <v>1</v>
      </c>
      <c r="U22" s="25"/>
      <c r="V22" s="25">
        <v>103.04</v>
      </c>
      <c r="W22" s="28" t="s">
        <v>6402</v>
      </c>
      <c r="X22" s="28" t="s">
        <v>6285</v>
      </c>
      <c r="Y22" s="28" t="s">
        <v>6286</v>
      </c>
      <c r="Z22" s="28" t="s">
        <v>6287</v>
      </c>
      <c r="AA22" s="28" t="s">
        <v>6288</v>
      </c>
      <c r="AB22" s="28" t="s">
        <v>6297</v>
      </c>
    </row>
    <row r="23" spans="1:28" ht="185.4" x14ac:dyDescent="0.3">
      <c r="A23" s="25">
        <v>814</v>
      </c>
      <c r="B23" s="25" t="s">
        <v>6403</v>
      </c>
      <c r="C23" s="25" t="s">
        <v>6404</v>
      </c>
      <c r="D23" s="25" t="s">
        <v>6291</v>
      </c>
      <c r="E23" s="16" t="s">
        <v>6292</v>
      </c>
      <c r="F23" s="16" t="s">
        <v>6292</v>
      </c>
      <c r="G23" s="16" t="s">
        <v>6292</v>
      </c>
      <c r="H23" s="16" t="s">
        <v>6292</v>
      </c>
      <c r="I23" s="25" t="s">
        <v>6405</v>
      </c>
      <c r="J23" s="25"/>
      <c r="K23" s="25" t="s">
        <v>6281</v>
      </c>
      <c r="L23" s="26" t="s">
        <v>6406</v>
      </c>
      <c r="M23" s="26" t="s">
        <v>6295</v>
      </c>
      <c r="N23" s="27" t="s">
        <v>6407</v>
      </c>
      <c r="O23" s="26" t="s">
        <v>6295</v>
      </c>
      <c r="P23" s="20" t="b">
        <v>1</v>
      </c>
      <c r="Q23" s="20" t="s">
        <v>6282</v>
      </c>
      <c r="R23" s="28" t="s">
        <v>6283</v>
      </c>
      <c r="S23" s="25"/>
      <c r="T23" s="20" t="b">
        <v>1</v>
      </c>
      <c r="U23" s="25"/>
      <c r="V23" s="25">
        <v>235.9</v>
      </c>
      <c r="W23" s="28" t="s">
        <v>6408</v>
      </c>
      <c r="X23" s="28" t="s">
        <v>6285</v>
      </c>
      <c r="Y23" s="28" t="s">
        <v>6286</v>
      </c>
      <c r="Z23" s="28" t="s">
        <v>6287</v>
      </c>
      <c r="AA23" s="28" t="s">
        <v>6288</v>
      </c>
      <c r="AB23" s="28" t="s">
        <v>6297</v>
      </c>
    </row>
    <row r="24" spans="1:28" ht="185.4" x14ac:dyDescent="0.3">
      <c r="A24" s="25">
        <v>847</v>
      </c>
      <c r="B24" s="25" t="s">
        <v>6409</v>
      </c>
      <c r="C24" s="25" t="s">
        <v>6410</v>
      </c>
      <c r="D24" s="25" t="s">
        <v>6291</v>
      </c>
      <c r="E24" s="16" t="s">
        <v>6292</v>
      </c>
      <c r="F24" s="16" t="s">
        <v>6292</v>
      </c>
      <c r="G24" s="16" t="s">
        <v>6292</v>
      </c>
      <c r="H24" s="16" t="s">
        <v>6292</v>
      </c>
      <c r="I24" s="25" t="s">
        <v>6411</v>
      </c>
      <c r="J24" s="25"/>
      <c r="K24" s="25" t="s">
        <v>6281</v>
      </c>
      <c r="L24" s="26" t="s">
        <v>6412</v>
      </c>
      <c r="M24" s="26" t="s">
        <v>6413</v>
      </c>
      <c r="N24" s="27" t="s">
        <v>6414</v>
      </c>
      <c r="O24" s="26" t="s">
        <v>6295</v>
      </c>
      <c r="P24" s="20" t="b">
        <v>1</v>
      </c>
      <c r="Q24" s="20" t="s">
        <v>6282</v>
      </c>
      <c r="R24" s="28" t="s">
        <v>6283</v>
      </c>
      <c r="S24" s="25"/>
      <c r="T24" s="20" t="b">
        <v>1</v>
      </c>
      <c r="U24" s="25"/>
      <c r="V24" s="25">
        <v>25.25</v>
      </c>
      <c r="W24" s="28" t="s">
        <v>6415</v>
      </c>
      <c r="X24" s="28" t="s">
        <v>6285</v>
      </c>
      <c r="Y24" s="28" t="s">
        <v>6286</v>
      </c>
      <c r="Z24" s="28" t="s">
        <v>6287</v>
      </c>
      <c r="AA24" s="28" t="s">
        <v>6288</v>
      </c>
      <c r="AB24" s="28" t="s">
        <v>6297</v>
      </c>
    </row>
    <row r="25" spans="1:28" ht="185.4" x14ac:dyDescent="0.3">
      <c r="A25" s="25">
        <v>1088</v>
      </c>
      <c r="B25" s="25" t="s">
        <v>6416</v>
      </c>
      <c r="C25" s="25" t="s">
        <v>6417</v>
      </c>
      <c r="D25" s="25" t="s">
        <v>6291</v>
      </c>
      <c r="E25" s="16" t="s">
        <v>6292</v>
      </c>
      <c r="F25" s="16" t="s">
        <v>6292</v>
      </c>
      <c r="G25" s="16" t="s">
        <v>6292</v>
      </c>
      <c r="H25" s="16" t="s">
        <v>6292</v>
      </c>
      <c r="I25" s="25" t="s">
        <v>6418</v>
      </c>
      <c r="J25" s="25"/>
      <c r="K25" s="25" t="s">
        <v>6281</v>
      </c>
      <c r="L25" s="26" t="s">
        <v>6419</v>
      </c>
      <c r="M25" s="26" t="s">
        <v>6420</v>
      </c>
      <c r="N25" s="27" t="s">
        <v>6421</v>
      </c>
      <c r="O25" s="26" t="s">
        <v>6422</v>
      </c>
      <c r="P25" s="20" t="b">
        <v>1</v>
      </c>
      <c r="Q25" s="20" t="s">
        <v>6282</v>
      </c>
      <c r="R25" s="28" t="s">
        <v>6283</v>
      </c>
      <c r="S25" s="25"/>
      <c r="T25" s="20" t="b">
        <v>1</v>
      </c>
      <c r="U25" s="25"/>
      <c r="V25" s="25">
        <v>100.05</v>
      </c>
      <c r="W25" s="28" t="s">
        <v>6423</v>
      </c>
      <c r="X25" s="28" t="s">
        <v>6285</v>
      </c>
      <c r="Y25" s="28" t="s">
        <v>6286</v>
      </c>
      <c r="Z25" s="28" t="s">
        <v>6287</v>
      </c>
      <c r="AA25" s="28" t="s">
        <v>6288</v>
      </c>
      <c r="AB25" s="28" t="s">
        <v>6297</v>
      </c>
    </row>
    <row r="26" spans="1:28" ht="185.4" x14ac:dyDescent="0.3">
      <c r="A26" s="25">
        <v>1200</v>
      </c>
      <c r="B26" s="25" t="s">
        <v>6424</v>
      </c>
      <c r="C26" s="25" t="s">
        <v>6425</v>
      </c>
      <c r="D26" s="25" t="s">
        <v>6291</v>
      </c>
      <c r="E26" s="16" t="s">
        <v>6292</v>
      </c>
      <c r="F26" s="16" t="s">
        <v>6292</v>
      </c>
      <c r="G26" s="16" t="s">
        <v>6292</v>
      </c>
      <c r="H26" s="16" t="s">
        <v>6292</v>
      </c>
      <c r="I26" s="25" t="s">
        <v>6426</v>
      </c>
      <c r="J26" s="25"/>
      <c r="K26" s="25" t="s">
        <v>6281</v>
      </c>
      <c r="L26" s="26" t="s">
        <v>6427</v>
      </c>
      <c r="M26" s="26" t="s">
        <v>6428</v>
      </c>
      <c r="N26" s="27" t="s">
        <v>6429</v>
      </c>
      <c r="O26" s="26" t="s">
        <v>6430</v>
      </c>
      <c r="P26" s="20" t="b">
        <v>1</v>
      </c>
      <c r="Q26" s="20" t="s">
        <v>6282</v>
      </c>
      <c r="R26" s="28" t="s">
        <v>6283</v>
      </c>
      <c r="S26" s="25"/>
      <c r="T26" s="20" t="b">
        <v>1</v>
      </c>
      <c r="U26" s="25"/>
      <c r="V26" s="25">
        <v>54.65</v>
      </c>
      <c r="W26" s="28" t="s">
        <v>6431</v>
      </c>
      <c r="X26" s="28" t="s">
        <v>6285</v>
      </c>
      <c r="Y26" s="28" t="s">
        <v>6286</v>
      </c>
      <c r="Z26" s="28" t="s">
        <v>6287</v>
      </c>
      <c r="AA26" s="28" t="s">
        <v>6288</v>
      </c>
      <c r="AB26" s="28" t="s">
        <v>6297</v>
      </c>
    </row>
    <row r="27" spans="1:28" ht="185.4" x14ac:dyDescent="0.3">
      <c r="A27" s="25">
        <v>1226</v>
      </c>
      <c r="B27" s="25" t="s">
        <v>6432</v>
      </c>
      <c r="C27" s="25" t="s">
        <v>6433</v>
      </c>
      <c r="D27" s="25" t="s">
        <v>6278</v>
      </c>
      <c r="E27" s="16" t="s">
        <v>6279</v>
      </c>
      <c r="F27" s="16" t="s">
        <v>6279</v>
      </c>
      <c r="G27" s="16" t="s">
        <v>6279</v>
      </c>
      <c r="H27" s="16" t="s">
        <v>6279</v>
      </c>
      <c r="I27" s="25" t="s">
        <v>6434</v>
      </c>
      <c r="J27" s="25"/>
      <c r="K27" s="25" t="s">
        <v>6281</v>
      </c>
      <c r="L27" s="26" t="s">
        <v>6435</v>
      </c>
      <c r="M27" s="26" t="s">
        <v>6436</v>
      </c>
      <c r="N27" s="27" t="s">
        <v>6437</v>
      </c>
      <c r="O27" s="26" t="s">
        <v>6354</v>
      </c>
      <c r="P27" s="20" t="b">
        <v>1</v>
      </c>
      <c r="Q27" s="20" t="s">
        <v>6282</v>
      </c>
      <c r="R27" s="28" t="s">
        <v>6283</v>
      </c>
      <c r="S27" s="25"/>
      <c r="T27" s="20" t="b">
        <v>1</v>
      </c>
      <c r="U27" s="25"/>
      <c r="V27" s="25">
        <v>6.95</v>
      </c>
      <c r="W27" s="28" t="s">
        <v>6438</v>
      </c>
      <c r="X27" s="28" t="s">
        <v>6285</v>
      </c>
      <c r="Y27" s="28" t="s">
        <v>6286</v>
      </c>
      <c r="Z27" s="28" t="s">
        <v>6287</v>
      </c>
      <c r="AA27" s="28" t="s">
        <v>6288</v>
      </c>
      <c r="AB27" s="28" t="s">
        <v>6297</v>
      </c>
    </row>
    <row r="28" spans="1:28" ht="185.4" x14ac:dyDescent="0.3">
      <c r="A28" s="25">
        <v>1286</v>
      </c>
      <c r="B28" s="25" t="s">
        <v>6439</v>
      </c>
      <c r="C28" s="25" t="s">
        <v>6440</v>
      </c>
      <c r="D28" s="25" t="s">
        <v>6291</v>
      </c>
      <c r="E28" s="16" t="s">
        <v>6292</v>
      </c>
      <c r="F28" s="16" t="s">
        <v>6292</v>
      </c>
      <c r="G28" s="16" t="s">
        <v>6292</v>
      </c>
      <c r="H28" s="16" t="s">
        <v>6292</v>
      </c>
      <c r="I28" s="25" t="s">
        <v>6441</v>
      </c>
      <c r="J28" s="25"/>
      <c r="K28" s="25" t="s">
        <v>6281</v>
      </c>
      <c r="L28" s="26" t="s">
        <v>6442</v>
      </c>
      <c r="M28" s="26" t="s">
        <v>6443</v>
      </c>
      <c r="N28" s="27" t="s">
        <v>6444</v>
      </c>
      <c r="O28" s="26" t="s">
        <v>6295</v>
      </c>
      <c r="P28" s="20" t="b">
        <v>1</v>
      </c>
      <c r="Q28" s="20" t="s">
        <v>6282</v>
      </c>
      <c r="R28" s="28" t="s">
        <v>6283</v>
      </c>
      <c r="S28" s="25"/>
      <c r="T28" s="20" t="b">
        <v>1</v>
      </c>
      <c r="U28" s="25"/>
      <c r="V28" s="25" t="s">
        <v>6295</v>
      </c>
      <c r="W28" s="28" t="s">
        <v>6445</v>
      </c>
      <c r="X28" s="28" t="s">
        <v>6285</v>
      </c>
      <c r="Y28" s="28" t="s">
        <v>6286</v>
      </c>
      <c r="Z28" s="28" t="s">
        <v>6287</v>
      </c>
      <c r="AA28" s="28" t="s">
        <v>6288</v>
      </c>
      <c r="AB28" s="28" t="s">
        <v>6297</v>
      </c>
    </row>
    <row r="29" spans="1:28" ht="185.4" x14ac:dyDescent="0.3">
      <c r="A29" s="25">
        <v>1305</v>
      </c>
      <c r="B29" s="25" t="s">
        <v>6446</v>
      </c>
      <c r="C29" s="25" t="s">
        <v>6447</v>
      </c>
      <c r="D29" s="25" t="s">
        <v>6278</v>
      </c>
      <c r="E29" s="16" t="s">
        <v>6279</v>
      </c>
      <c r="F29" s="16" t="s">
        <v>6279</v>
      </c>
      <c r="G29" s="16" t="s">
        <v>6279</v>
      </c>
      <c r="H29" s="16" t="s">
        <v>6279</v>
      </c>
      <c r="I29" s="25" t="s">
        <v>6448</v>
      </c>
      <c r="J29" s="25"/>
      <c r="K29" s="25" t="s">
        <v>6281</v>
      </c>
      <c r="L29" s="26" t="s">
        <v>6449</v>
      </c>
      <c r="M29" s="26" t="s">
        <v>6450</v>
      </c>
      <c r="N29" s="27" t="s">
        <v>6451</v>
      </c>
      <c r="O29" s="26" t="s">
        <v>6295</v>
      </c>
      <c r="P29" s="20" t="b">
        <v>1</v>
      </c>
      <c r="Q29" s="20" t="s">
        <v>6282</v>
      </c>
      <c r="R29" s="28" t="s">
        <v>6283</v>
      </c>
      <c r="S29" s="25"/>
      <c r="T29" s="20" t="b">
        <v>1</v>
      </c>
      <c r="U29" s="25"/>
      <c r="V29" s="25">
        <v>178.87</v>
      </c>
      <c r="W29" s="28" t="s">
        <v>6452</v>
      </c>
      <c r="X29" s="28" t="s">
        <v>6285</v>
      </c>
      <c r="Y29" s="28" t="s">
        <v>6286</v>
      </c>
      <c r="Z29" s="28" t="s">
        <v>6287</v>
      </c>
      <c r="AA29" s="28" t="s">
        <v>6288</v>
      </c>
      <c r="AB29" s="28" t="s">
        <v>6297</v>
      </c>
    </row>
    <row r="30" spans="1:28" ht="185.4" x14ac:dyDescent="0.3">
      <c r="A30" s="25">
        <v>1311</v>
      </c>
      <c r="B30" s="25" t="s">
        <v>6453</v>
      </c>
      <c r="C30" s="25" t="s">
        <v>6454</v>
      </c>
      <c r="D30" s="25" t="s">
        <v>6291</v>
      </c>
      <c r="E30" s="16" t="s">
        <v>6292</v>
      </c>
      <c r="F30" s="16" t="s">
        <v>6292</v>
      </c>
      <c r="G30" s="16" t="s">
        <v>6292</v>
      </c>
      <c r="H30" s="16" t="s">
        <v>6292</v>
      </c>
      <c r="I30" s="25" t="s">
        <v>6455</v>
      </c>
      <c r="J30" s="25"/>
      <c r="K30" s="25" t="s">
        <v>6281</v>
      </c>
      <c r="L30" s="26" t="s">
        <v>6456</v>
      </c>
      <c r="M30" s="26" t="s">
        <v>6457</v>
      </c>
      <c r="N30" s="27" t="s">
        <v>6458</v>
      </c>
      <c r="O30" s="26" t="s">
        <v>6459</v>
      </c>
      <c r="P30" s="20" t="b">
        <v>1</v>
      </c>
      <c r="Q30" s="20" t="s">
        <v>6282</v>
      </c>
      <c r="R30" s="28" t="s">
        <v>6283</v>
      </c>
      <c r="S30" s="25"/>
      <c r="T30" s="20" t="b">
        <v>1</v>
      </c>
      <c r="U30" s="25"/>
      <c r="V30" s="25">
        <v>55.555549999999997</v>
      </c>
      <c r="W30" s="28" t="s">
        <v>6460</v>
      </c>
      <c r="X30" s="28" t="s">
        <v>6285</v>
      </c>
      <c r="Y30" s="28" t="s">
        <v>6286</v>
      </c>
      <c r="Z30" s="28" t="s">
        <v>6287</v>
      </c>
      <c r="AA30" s="28" t="s">
        <v>6288</v>
      </c>
      <c r="AB30" s="28" t="s">
        <v>6297</v>
      </c>
    </row>
    <row r="31" spans="1:28" ht="185.4" x14ac:dyDescent="0.3">
      <c r="A31" s="25">
        <v>1386</v>
      </c>
      <c r="B31" s="25" t="s">
        <v>6461</v>
      </c>
      <c r="C31" s="25" t="s">
        <v>6462</v>
      </c>
      <c r="D31" s="25" t="s">
        <v>6291</v>
      </c>
      <c r="E31" s="16" t="s">
        <v>6292</v>
      </c>
      <c r="F31" s="16" t="s">
        <v>6292</v>
      </c>
      <c r="G31" s="16" t="s">
        <v>6292</v>
      </c>
      <c r="H31" s="16" t="s">
        <v>6292</v>
      </c>
      <c r="I31" s="25" t="s">
        <v>6463</v>
      </c>
      <c r="J31" s="25"/>
      <c r="K31" s="25" t="s">
        <v>6281</v>
      </c>
      <c r="L31" s="26" t="s">
        <v>6464</v>
      </c>
      <c r="M31" s="26" t="s">
        <v>6295</v>
      </c>
      <c r="N31" s="27" t="s">
        <v>6465</v>
      </c>
      <c r="O31" s="26" t="s">
        <v>6295</v>
      </c>
      <c r="P31" s="20" t="b">
        <v>1</v>
      </c>
      <c r="Q31" s="20" t="s">
        <v>6282</v>
      </c>
      <c r="R31" s="28" t="s">
        <v>6283</v>
      </c>
      <c r="S31" s="25"/>
      <c r="T31" s="20" t="b">
        <v>1</v>
      </c>
      <c r="U31" s="25"/>
      <c r="V31" s="25">
        <v>18</v>
      </c>
      <c r="W31" s="28" t="s">
        <v>6466</v>
      </c>
      <c r="X31" s="28" t="s">
        <v>6285</v>
      </c>
      <c r="Y31" s="28" t="s">
        <v>6286</v>
      </c>
      <c r="Z31" s="28" t="s">
        <v>6287</v>
      </c>
      <c r="AA31" s="28" t="s">
        <v>6288</v>
      </c>
      <c r="AB31" s="28" t="s">
        <v>6297</v>
      </c>
    </row>
    <row r="32" spans="1:28" ht="185.4" x14ac:dyDescent="0.3">
      <c r="A32" s="25">
        <v>1497</v>
      </c>
      <c r="B32" s="25" t="s">
        <v>6467</v>
      </c>
      <c r="C32" s="25" t="s">
        <v>6410</v>
      </c>
      <c r="D32" s="25" t="s">
        <v>6291</v>
      </c>
      <c r="E32" s="16" t="s">
        <v>6292</v>
      </c>
      <c r="F32" s="16" t="s">
        <v>6292</v>
      </c>
      <c r="G32" s="16" t="s">
        <v>6292</v>
      </c>
      <c r="H32" s="16" t="s">
        <v>6292</v>
      </c>
      <c r="I32" s="25" t="s">
        <v>6468</v>
      </c>
      <c r="J32" s="25"/>
      <c r="K32" s="25" t="s">
        <v>6281</v>
      </c>
      <c r="L32" s="26" t="s">
        <v>6469</v>
      </c>
      <c r="M32" s="26" t="s">
        <v>6470</v>
      </c>
      <c r="N32" s="27" t="s">
        <v>6471</v>
      </c>
      <c r="O32" s="26" t="s">
        <v>6295</v>
      </c>
      <c r="P32" s="20" t="b">
        <v>1</v>
      </c>
      <c r="Q32" s="20" t="s">
        <v>6282</v>
      </c>
      <c r="R32" s="28" t="s">
        <v>6283</v>
      </c>
      <c r="S32" s="25"/>
      <c r="T32" s="20" t="b">
        <v>1</v>
      </c>
      <c r="U32" s="25"/>
      <c r="V32" s="25">
        <v>12.54</v>
      </c>
      <c r="W32" s="28" t="s">
        <v>6472</v>
      </c>
      <c r="X32" s="28" t="s">
        <v>6285</v>
      </c>
      <c r="Y32" s="28" t="s">
        <v>6286</v>
      </c>
      <c r="Z32" s="28" t="s">
        <v>6287</v>
      </c>
      <c r="AA32" s="28" t="s">
        <v>6288</v>
      </c>
      <c r="AB32" s="28" t="s">
        <v>6297</v>
      </c>
    </row>
    <row r="33" spans="1:28" ht="185.4" x14ac:dyDescent="0.3">
      <c r="A33" s="25">
        <v>1633</v>
      </c>
      <c r="B33" s="25" t="s">
        <v>6473</v>
      </c>
      <c r="C33" s="25" t="s">
        <v>6474</v>
      </c>
      <c r="D33" s="25" t="s">
        <v>6291</v>
      </c>
      <c r="E33" s="16" t="s">
        <v>6292</v>
      </c>
      <c r="F33" s="16" t="s">
        <v>6292</v>
      </c>
      <c r="G33" s="16" t="s">
        <v>6292</v>
      </c>
      <c r="H33" s="16" t="s">
        <v>6292</v>
      </c>
      <c r="I33" s="25" t="s">
        <v>6475</v>
      </c>
      <c r="J33" s="25"/>
      <c r="K33" s="25" t="s">
        <v>6281</v>
      </c>
      <c r="L33" s="26" t="s">
        <v>6476</v>
      </c>
      <c r="M33" s="26" t="s">
        <v>6477</v>
      </c>
      <c r="N33" s="27" t="s">
        <v>6478</v>
      </c>
      <c r="O33" s="26" t="s">
        <v>6479</v>
      </c>
      <c r="P33" s="20" t="b">
        <v>1</v>
      </c>
      <c r="Q33" s="20" t="s">
        <v>6282</v>
      </c>
      <c r="R33" s="28" t="s">
        <v>6283</v>
      </c>
      <c r="S33" s="25"/>
      <c r="T33" s="20" t="b">
        <v>1</v>
      </c>
      <c r="U33" s="25"/>
      <c r="V33" s="25">
        <v>13.65</v>
      </c>
      <c r="W33" s="28" t="s">
        <v>6480</v>
      </c>
      <c r="X33" s="28" t="s">
        <v>6285</v>
      </c>
      <c r="Y33" s="28" t="s">
        <v>6286</v>
      </c>
      <c r="Z33" s="28" t="s">
        <v>6287</v>
      </c>
      <c r="AA33" s="28" t="s">
        <v>6288</v>
      </c>
      <c r="AB33" s="28" t="s">
        <v>6297</v>
      </c>
    </row>
    <row r="34" spans="1:28" ht="185.4" x14ac:dyDescent="0.3">
      <c r="A34" s="25">
        <v>1735</v>
      </c>
      <c r="B34" s="25" t="s">
        <v>6481</v>
      </c>
      <c r="C34" s="25" t="s">
        <v>6482</v>
      </c>
      <c r="D34" s="25" t="s">
        <v>6278</v>
      </c>
      <c r="E34" s="16" t="s">
        <v>6279</v>
      </c>
      <c r="F34" s="16" t="s">
        <v>6279</v>
      </c>
      <c r="G34" s="16" t="s">
        <v>6279</v>
      </c>
      <c r="H34" s="16" t="s">
        <v>6279</v>
      </c>
      <c r="I34" s="25" t="s">
        <v>6483</v>
      </c>
      <c r="J34" s="25"/>
      <c r="K34" s="25" t="s">
        <v>6281</v>
      </c>
      <c r="L34" s="26" t="s">
        <v>6484</v>
      </c>
      <c r="M34" s="26" t="s">
        <v>6485</v>
      </c>
      <c r="N34" s="27" t="s">
        <v>6486</v>
      </c>
      <c r="O34" s="26" t="s">
        <v>6487</v>
      </c>
      <c r="P34" s="20" t="b">
        <v>1</v>
      </c>
      <c r="Q34" s="20" t="s">
        <v>6282</v>
      </c>
      <c r="R34" s="28" t="s">
        <v>6283</v>
      </c>
      <c r="S34" s="25"/>
      <c r="T34" s="20" t="b">
        <v>1</v>
      </c>
      <c r="U34" s="25"/>
      <c r="V34" s="25">
        <v>2.16</v>
      </c>
      <c r="W34" s="28" t="s">
        <v>6488</v>
      </c>
      <c r="X34" s="28" t="s">
        <v>6285</v>
      </c>
      <c r="Y34" s="28" t="s">
        <v>6286</v>
      </c>
      <c r="Z34" s="28" t="s">
        <v>6287</v>
      </c>
      <c r="AA34" s="28" t="s">
        <v>6288</v>
      </c>
      <c r="AB34" s="28" t="s">
        <v>6297</v>
      </c>
    </row>
    <row r="35" spans="1:28" ht="185.4" x14ac:dyDescent="0.3">
      <c r="A35" s="25">
        <v>1751</v>
      </c>
      <c r="B35" s="25" t="s">
        <v>6489</v>
      </c>
      <c r="C35" s="25" t="s">
        <v>6490</v>
      </c>
      <c r="D35" s="25" t="s">
        <v>6291</v>
      </c>
      <c r="E35" s="16" t="s">
        <v>6292</v>
      </c>
      <c r="F35" s="16" t="s">
        <v>6292</v>
      </c>
      <c r="G35" s="16" t="s">
        <v>6292</v>
      </c>
      <c r="H35" s="16" t="s">
        <v>6292</v>
      </c>
      <c r="I35" s="25" t="s">
        <v>6491</v>
      </c>
      <c r="J35" s="25"/>
      <c r="K35" s="25" t="s">
        <v>6281</v>
      </c>
      <c r="L35" s="26" t="s">
        <v>6492</v>
      </c>
      <c r="M35" s="26" t="s">
        <v>6493</v>
      </c>
      <c r="N35" s="27" t="s">
        <v>6494</v>
      </c>
      <c r="O35" s="26" t="s">
        <v>6295</v>
      </c>
      <c r="P35" s="20" t="b">
        <v>1</v>
      </c>
      <c r="Q35" s="20" t="s">
        <v>6282</v>
      </c>
      <c r="R35" s="28" t="s">
        <v>6283</v>
      </c>
      <c r="S35" s="25"/>
      <c r="T35" s="20" t="b">
        <v>1</v>
      </c>
      <c r="U35" s="25"/>
      <c r="V35" s="25">
        <v>3.89</v>
      </c>
      <c r="W35" s="28" t="s">
        <v>6495</v>
      </c>
      <c r="X35" s="28" t="s">
        <v>6285</v>
      </c>
      <c r="Y35" s="28" t="s">
        <v>6286</v>
      </c>
      <c r="Z35" s="28" t="s">
        <v>6287</v>
      </c>
      <c r="AA35" s="28" t="s">
        <v>6288</v>
      </c>
      <c r="AB35" s="28" t="s">
        <v>6297</v>
      </c>
    </row>
    <row r="36" spans="1:28" ht="185.4" x14ac:dyDescent="0.3">
      <c r="A36" s="25">
        <v>1771</v>
      </c>
      <c r="B36" s="25" t="s">
        <v>6496</v>
      </c>
      <c r="C36" s="25" t="s">
        <v>6497</v>
      </c>
      <c r="D36" s="25" t="s">
        <v>6278</v>
      </c>
      <c r="E36" s="16" t="s">
        <v>6279</v>
      </c>
      <c r="F36" s="16" t="s">
        <v>6279</v>
      </c>
      <c r="G36" s="16" t="s">
        <v>6279</v>
      </c>
      <c r="H36" s="16" t="s">
        <v>6279</v>
      </c>
      <c r="I36" s="25" t="s">
        <v>6498</v>
      </c>
      <c r="J36" s="25"/>
      <c r="K36" s="25" t="s">
        <v>6281</v>
      </c>
      <c r="L36" s="26" t="s">
        <v>6499</v>
      </c>
      <c r="M36" s="26" t="s">
        <v>6500</v>
      </c>
      <c r="N36" s="27" t="s">
        <v>6501</v>
      </c>
      <c r="O36" s="26" t="s">
        <v>6295</v>
      </c>
      <c r="P36" s="20" t="b">
        <v>1</v>
      </c>
      <c r="Q36" s="20" t="s">
        <v>6282</v>
      </c>
      <c r="R36" s="28" t="s">
        <v>6283</v>
      </c>
      <c r="S36" s="25"/>
      <c r="T36" s="20" t="b">
        <v>1</v>
      </c>
      <c r="U36" s="25"/>
      <c r="V36" s="25">
        <v>121.78</v>
      </c>
      <c r="W36" s="28" t="s">
        <v>6502</v>
      </c>
      <c r="X36" s="28" t="s">
        <v>6285</v>
      </c>
      <c r="Y36" s="28" t="s">
        <v>6286</v>
      </c>
      <c r="Z36" s="28" t="s">
        <v>6287</v>
      </c>
      <c r="AA36" s="28" t="s">
        <v>6288</v>
      </c>
      <c r="AB36" s="28" t="s">
        <v>6297</v>
      </c>
    </row>
    <row r="37" spans="1:28" ht="185.4" x14ac:dyDescent="0.3">
      <c r="A37" s="25">
        <v>1783</v>
      </c>
      <c r="B37" s="25" t="s">
        <v>6503</v>
      </c>
      <c r="C37" s="25" t="s">
        <v>6504</v>
      </c>
      <c r="D37" s="25" t="s">
        <v>6291</v>
      </c>
      <c r="E37" s="16" t="s">
        <v>6292</v>
      </c>
      <c r="F37" s="16" t="s">
        <v>6292</v>
      </c>
      <c r="G37" s="16" t="s">
        <v>6292</v>
      </c>
      <c r="H37" s="16" t="s">
        <v>6292</v>
      </c>
      <c r="I37" s="25" t="s">
        <v>6505</v>
      </c>
      <c r="J37" s="25"/>
      <c r="K37" s="25" t="s">
        <v>6281</v>
      </c>
      <c r="L37" s="26" t="s">
        <v>6506</v>
      </c>
      <c r="M37" s="26" t="s">
        <v>6493</v>
      </c>
      <c r="N37" s="27" t="s">
        <v>6507</v>
      </c>
      <c r="O37" s="26" t="s">
        <v>6295</v>
      </c>
      <c r="P37" s="20" t="b">
        <v>1</v>
      </c>
      <c r="Q37" s="20" t="s">
        <v>6282</v>
      </c>
      <c r="R37" s="28" t="s">
        <v>6283</v>
      </c>
      <c r="S37" s="25"/>
      <c r="T37" s="20" t="b">
        <v>1</v>
      </c>
      <c r="U37" s="25"/>
      <c r="V37" s="25">
        <v>3.89</v>
      </c>
      <c r="W37" s="28" t="s">
        <v>6508</v>
      </c>
      <c r="X37" s="28" t="s">
        <v>6285</v>
      </c>
      <c r="Y37" s="28" t="s">
        <v>6286</v>
      </c>
      <c r="Z37" s="28" t="s">
        <v>6287</v>
      </c>
      <c r="AA37" s="28" t="s">
        <v>6288</v>
      </c>
      <c r="AB37" s="28" t="s">
        <v>6297</v>
      </c>
    </row>
    <row r="38" spans="1:28" ht="185.4" x14ac:dyDescent="0.3">
      <c r="A38" s="25">
        <v>1796</v>
      </c>
      <c r="B38" s="25" t="s">
        <v>6509</v>
      </c>
      <c r="C38" s="25" t="s">
        <v>6510</v>
      </c>
      <c r="D38" s="25" t="s">
        <v>6291</v>
      </c>
      <c r="E38" s="16" t="s">
        <v>6292</v>
      </c>
      <c r="F38" s="16" t="s">
        <v>6292</v>
      </c>
      <c r="G38" s="16" t="s">
        <v>6292</v>
      </c>
      <c r="H38" s="16" t="s">
        <v>6292</v>
      </c>
      <c r="I38" s="25" t="s">
        <v>6511</v>
      </c>
      <c r="J38" s="25"/>
      <c r="K38" s="25" t="s">
        <v>6281</v>
      </c>
      <c r="L38" s="26" t="s">
        <v>6512</v>
      </c>
      <c r="M38" s="26" t="s">
        <v>6493</v>
      </c>
      <c r="N38" s="27" t="s">
        <v>6494</v>
      </c>
      <c r="O38" s="26" t="s">
        <v>6513</v>
      </c>
      <c r="P38" s="20" t="b">
        <v>1</v>
      </c>
      <c r="Q38" s="20" t="s">
        <v>6282</v>
      </c>
      <c r="R38" s="28" t="s">
        <v>6283</v>
      </c>
      <c r="S38" s="25"/>
      <c r="T38" s="20" t="b">
        <v>1</v>
      </c>
      <c r="U38" s="25"/>
      <c r="V38" s="25">
        <v>4.47</v>
      </c>
      <c r="W38" s="28" t="s">
        <v>6514</v>
      </c>
      <c r="X38" s="28" t="s">
        <v>6285</v>
      </c>
      <c r="Y38" s="28" t="s">
        <v>6286</v>
      </c>
      <c r="Z38" s="28" t="s">
        <v>6287</v>
      </c>
      <c r="AA38" s="28" t="s">
        <v>6288</v>
      </c>
      <c r="AB38" s="28" t="s">
        <v>6297</v>
      </c>
    </row>
    <row r="39" spans="1:28" ht="185.4" x14ac:dyDescent="0.3">
      <c r="A39" s="25">
        <v>1812</v>
      </c>
      <c r="B39" s="25" t="s">
        <v>6515</v>
      </c>
      <c r="C39" s="25" t="s">
        <v>6516</v>
      </c>
      <c r="D39" s="25" t="s">
        <v>6278</v>
      </c>
      <c r="E39" s="16" t="s">
        <v>6279</v>
      </c>
      <c r="F39" s="16" t="s">
        <v>6279</v>
      </c>
      <c r="G39" s="16" t="s">
        <v>6279</v>
      </c>
      <c r="H39" s="16" t="s">
        <v>6279</v>
      </c>
      <c r="I39" s="25" t="s">
        <v>6517</v>
      </c>
      <c r="J39" s="25"/>
      <c r="K39" s="25" t="s">
        <v>6281</v>
      </c>
      <c r="L39" s="26" t="s">
        <v>6518</v>
      </c>
      <c r="M39" s="26" t="s">
        <v>6519</v>
      </c>
      <c r="N39" s="27" t="s">
        <v>6520</v>
      </c>
      <c r="O39" s="26" t="s">
        <v>6521</v>
      </c>
      <c r="P39" s="20" t="b">
        <v>1</v>
      </c>
      <c r="Q39" s="20" t="s">
        <v>6282</v>
      </c>
      <c r="R39" s="28" t="s">
        <v>6283</v>
      </c>
      <c r="S39" s="25"/>
      <c r="T39" s="20" t="b">
        <v>1</v>
      </c>
      <c r="U39" s="25"/>
      <c r="V39" s="25" t="s">
        <v>6295</v>
      </c>
      <c r="W39" s="28" t="s">
        <v>6522</v>
      </c>
      <c r="X39" s="28" t="s">
        <v>6285</v>
      </c>
      <c r="Y39" s="28" t="s">
        <v>6286</v>
      </c>
      <c r="Z39" s="28" t="s">
        <v>6287</v>
      </c>
      <c r="AA39" s="28" t="s">
        <v>6288</v>
      </c>
      <c r="AB39" s="28" t="s">
        <v>6297</v>
      </c>
    </row>
    <row r="40" spans="1:28" ht="185.4" x14ac:dyDescent="0.3">
      <c r="A40" s="25">
        <v>1829</v>
      </c>
      <c r="B40" s="25" t="s">
        <v>6523</v>
      </c>
      <c r="C40" s="25" t="s">
        <v>6524</v>
      </c>
      <c r="D40" s="25" t="s">
        <v>6291</v>
      </c>
      <c r="E40" s="16" t="s">
        <v>6292</v>
      </c>
      <c r="F40" s="16" t="s">
        <v>6292</v>
      </c>
      <c r="G40" s="16" t="s">
        <v>6292</v>
      </c>
      <c r="H40" s="16" t="s">
        <v>6292</v>
      </c>
      <c r="I40" s="25" t="s">
        <v>6525</v>
      </c>
      <c r="J40" s="25"/>
      <c r="K40" s="25" t="s">
        <v>6281</v>
      </c>
      <c r="L40" s="26" t="s">
        <v>6526</v>
      </c>
      <c r="M40" s="26" t="s">
        <v>6527</v>
      </c>
      <c r="N40" s="27" t="s">
        <v>6528</v>
      </c>
      <c r="O40" s="26" t="s">
        <v>6529</v>
      </c>
      <c r="P40" s="20" t="b">
        <v>1</v>
      </c>
      <c r="Q40" s="20" t="s">
        <v>6282</v>
      </c>
      <c r="R40" s="28" t="s">
        <v>6283</v>
      </c>
      <c r="S40" s="25"/>
      <c r="T40" s="20" t="b">
        <v>1</v>
      </c>
      <c r="U40" s="25"/>
      <c r="V40" s="25">
        <v>4.8600000000000003</v>
      </c>
      <c r="W40" s="28" t="s">
        <v>6530</v>
      </c>
      <c r="X40" s="28" t="s">
        <v>6285</v>
      </c>
      <c r="Y40" s="28" t="s">
        <v>6286</v>
      </c>
      <c r="Z40" s="28" t="s">
        <v>6287</v>
      </c>
      <c r="AA40" s="28" t="s">
        <v>6288</v>
      </c>
      <c r="AB40" s="28" t="s">
        <v>6297</v>
      </c>
    </row>
    <row r="41" spans="1:28" ht="185.4" x14ac:dyDescent="0.3">
      <c r="A41" s="25">
        <v>1831</v>
      </c>
      <c r="B41" s="25" t="s">
        <v>6531</v>
      </c>
      <c r="C41" s="25" t="s">
        <v>6532</v>
      </c>
      <c r="D41" s="25" t="s">
        <v>6370</v>
      </c>
      <c r="E41" s="16" t="s">
        <v>6371</v>
      </c>
      <c r="F41" s="16" t="s">
        <v>6371</v>
      </c>
      <c r="G41" s="16" t="s">
        <v>6371</v>
      </c>
      <c r="H41" s="16" t="s">
        <v>6371</v>
      </c>
      <c r="I41" s="25" t="s">
        <v>6533</v>
      </c>
      <c r="J41" s="25"/>
      <c r="K41" s="25" t="s">
        <v>6281</v>
      </c>
      <c r="L41" s="26" t="s">
        <v>6534</v>
      </c>
      <c r="M41" s="26" t="s">
        <v>6535</v>
      </c>
      <c r="N41" s="27" t="s">
        <v>6536</v>
      </c>
      <c r="O41" s="26" t="s">
        <v>6537</v>
      </c>
      <c r="P41" s="20" t="b">
        <v>1</v>
      </c>
      <c r="Q41" s="20" t="s">
        <v>6282</v>
      </c>
      <c r="R41" s="28" t="s">
        <v>6283</v>
      </c>
      <c r="S41" s="25"/>
      <c r="T41" s="20" t="b">
        <v>1</v>
      </c>
      <c r="U41" s="25"/>
      <c r="V41" s="25">
        <v>401.81</v>
      </c>
      <c r="W41" s="28" t="s">
        <v>6538</v>
      </c>
      <c r="X41" s="28" t="s">
        <v>6285</v>
      </c>
      <c r="Y41" s="28" t="s">
        <v>6286</v>
      </c>
      <c r="Z41" s="28" t="s">
        <v>6287</v>
      </c>
      <c r="AA41" s="28" t="s">
        <v>6288</v>
      </c>
      <c r="AB41" s="28" t="s">
        <v>6297</v>
      </c>
    </row>
    <row r="42" spans="1:28" ht="185.4" x14ac:dyDescent="0.3">
      <c r="A42" s="25">
        <v>1878</v>
      </c>
      <c r="B42" s="25" t="s">
        <v>6539</v>
      </c>
      <c r="C42" s="25" t="s">
        <v>6295</v>
      </c>
      <c r="D42" s="25" t="s">
        <v>6291</v>
      </c>
      <c r="E42" s="16" t="s">
        <v>6292</v>
      </c>
      <c r="F42" s="16" t="s">
        <v>6292</v>
      </c>
      <c r="G42" s="16" t="s">
        <v>6292</v>
      </c>
      <c r="H42" s="16" t="s">
        <v>6292</v>
      </c>
      <c r="I42" s="25" t="s">
        <v>6540</v>
      </c>
      <c r="J42" s="25"/>
      <c r="K42" s="25" t="s">
        <v>6281</v>
      </c>
      <c r="L42" s="26" t="s">
        <v>6541</v>
      </c>
      <c r="M42" s="26" t="s">
        <v>6542</v>
      </c>
      <c r="N42" s="27" t="s">
        <v>6543</v>
      </c>
      <c r="O42" s="26" t="s">
        <v>6544</v>
      </c>
      <c r="P42" s="20" t="b">
        <v>1</v>
      </c>
      <c r="Q42" s="20" t="s">
        <v>6282</v>
      </c>
      <c r="R42" s="28" t="s">
        <v>6283</v>
      </c>
      <c r="S42" s="25"/>
      <c r="T42" s="20" t="b">
        <v>1</v>
      </c>
      <c r="U42" s="25"/>
      <c r="V42" s="25">
        <v>50.69</v>
      </c>
      <c r="W42" s="28" t="s">
        <v>6545</v>
      </c>
      <c r="X42" s="28" t="s">
        <v>6285</v>
      </c>
      <c r="Y42" s="28" t="s">
        <v>6286</v>
      </c>
      <c r="Z42" s="28" t="s">
        <v>6287</v>
      </c>
      <c r="AA42" s="28" t="s">
        <v>6288</v>
      </c>
      <c r="AB42" s="28" t="s">
        <v>6297</v>
      </c>
    </row>
    <row r="43" spans="1:28" ht="185.4" x14ac:dyDescent="0.3">
      <c r="A43" s="25">
        <v>2186</v>
      </c>
      <c r="B43" s="25" t="s">
        <v>6546</v>
      </c>
      <c r="C43" s="25" t="s">
        <v>6547</v>
      </c>
      <c r="D43" s="25" t="s">
        <v>6291</v>
      </c>
      <c r="E43" s="16" t="s">
        <v>6292</v>
      </c>
      <c r="F43" s="16" t="s">
        <v>6292</v>
      </c>
      <c r="G43" s="16" t="s">
        <v>6292</v>
      </c>
      <c r="H43" s="16" t="s">
        <v>6292</v>
      </c>
      <c r="I43" s="25" t="s">
        <v>6548</v>
      </c>
      <c r="J43" s="25"/>
      <c r="K43" s="25" t="s">
        <v>6281</v>
      </c>
      <c r="L43" s="26" t="s">
        <v>6549</v>
      </c>
      <c r="M43" s="26" t="s">
        <v>6295</v>
      </c>
      <c r="N43" s="27" t="s">
        <v>6550</v>
      </c>
      <c r="O43" s="26" t="s">
        <v>6295</v>
      </c>
      <c r="P43" s="20" t="b">
        <v>1</v>
      </c>
      <c r="Q43" s="20" t="s">
        <v>6282</v>
      </c>
      <c r="R43" s="28" t="s">
        <v>6283</v>
      </c>
      <c r="S43" s="25"/>
      <c r="T43" s="20" t="b">
        <v>1</v>
      </c>
      <c r="U43" s="25"/>
      <c r="V43" s="25">
        <v>11.8</v>
      </c>
      <c r="W43" s="28" t="s">
        <v>6551</v>
      </c>
      <c r="X43" s="28" t="s">
        <v>6285</v>
      </c>
      <c r="Y43" s="28" t="s">
        <v>6286</v>
      </c>
      <c r="Z43" s="28" t="s">
        <v>6287</v>
      </c>
      <c r="AA43" s="28" t="s">
        <v>6288</v>
      </c>
      <c r="AB43" s="28" t="s">
        <v>6297</v>
      </c>
    </row>
    <row r="44" spans="1:28" ht="185.4" x14ac:dyDescent="0.3">
      <c r="A44" s="25">
        <v>2187</v>
      </c>
      <c r="B44" s="25" t="s">
        <v>6552</v>
      </c>
      <c r="C44" s="25" t="s">
        <v>6553</v>
      </c>
      <c r="D44" s="25" t="s">
        <v>6291</v>
      </c>
      <c r="E44" s="16" t="s">
        <v>6292</v>
      </c>
      <c r="F44" s="16" t="s">
        <v>6292</v>
      </c>
      <c r="G44" s="16" t="s">
        <v>6292</v>
      </c>
      <c r="H44" s="16" t="s">
        <v>6292</v>
      </c>
      <c r="I44" s="25" t="s">
        <v>6554</v>
      </c>
      <c r="J44" s="25"/>
      <c r="K44" s="25" t="s">
        <v>6281</v>
      </c>
      <c r="L44" s="26" t="s">
        <v>6555</v>
      </c>
      <c r="M44" s="26" t="s">
        <v>127</v>
      </c>
      <c r="N44" s="27" t="s">
        <v>6556</v>
      </c>
      <c r="O44" s="26" t="s">
        <v>6295</v>
      </c>
      <c r="P44" s="20" t="b">
        <v>1</v>
      </c>
      <c r="Q44" s="20" t="s">
        <v>6282</v>
      </c>
      <c r="R44" s="28" t="s">
        <v>6283</v>
      </c>
      <c r="S44" s="25"/>
      <c r="T44" s="20" t="b">
        <v>1</v>
      </c>
      <c r="U44" s="25"/>
      <c r="V44" s="25">
        <v>11.8</v>
      </c>
      <c r="W44" s="28" t="s">
        <v>6557</v>
      </c>
      <c r="X44" s="28" t="s">
        <v>6285</v>
      </c>
      <c r="Y44" s="28" t="s">
        <v>6286</v>
      </c>
      <c r="Z44" s="28" t="s">
        <v>6287</v>
      </c>
      <c r="AA44" s="28" t="s">
        <v>6288</v>
      </c>
      <c r="AB44" s="28" t="s">
        <v>6297</v>
      </c>
    </row>
    <row r="45" spans="1:28" ht="185.4" x14ac:dyDescent="0.3">
      <c r="A45" s="25">
        <v>2190</v>
      </c>
      <c r="B45" s="25" t="s">
        <v>6558</v>
      </c>
      <c r="C45" s="25" t="s">
        <v>6559</v>
      </c>
      <c r="D45" s="25" t="s">
        <v>6278</v>
      </c>
      <c r="E45" s="16" t="s">
        <v>6279</v>
      </c>
      <c r="F45" s="16" t="s">
        <v>6279</v>
      </c>
      <c r="G45" s="16" t="s">
        <v>6279</v>
      </c>
      <c r="H45" s="16" t="s">
        <v>6279</v>
      </c>
      <c r="I45" s="25" t="s">
        <v>6560</v>
      </c>
      <c r="J45" s="25"/>
      <c r="K45" s="25" t="s">
        <v>6281</v>
      </c>
      <c r="L45" s="26" t="s">
        <v>6561</v>
      </c>
      <c r="M45" s="26" t="s">
        <v>6562</v>
      </c>
      <c r="N45" s="27" t="s">
        <v>6563</v>
      </c>
      <c r="O45" s="26" t="s">
        <v>6487</v>
      </c>
      <c r="P45" s="20" t="b">
        <v>1</v>
      </c>
      <c r="Q45" s="20" t="s">
        <v>6282</v>
      </c>
      <c r="R45" s="28" t="s">
        <v>6283</v>
      </c>
      <c r="S45" s="25"/>
      <c r="T45" s="20" t="b">
        <v>1</v>
      </c>
      <c r="U45" s="25"/>
      <c r="V45" s="25" t="s">
        <v>6295</v>
      </c>
      <c r="W45" s="28" t="s">
        <v>6564</v>
      </c>
      <c r="X45" s="28" t="s">
        <v>6285</v>
      </c>
      <c r="Y45" s="28" t="s">
        <v>6286</v>
      </c>
      <c r="Z45" s="28" t="s">
        <v>6287</v>
      </c>
      <c r="AA45" s="28" t="s">
        <v>6288</v>
      </c>
      <c r="AB45" s="28" t="s">
        <v>6297</v>
      </c>
    </row>
    <row r="46" spans="1:28" ht="193.2" x14ac:dyDescent="0.3">
      <c r="A46" s="25">
        <v>2191</v>
      </c>
      <c r="B46" s="25" t="s">
        <v>6565</v>
      </c>
      <c r="C46" s="25" t="s">
        <v>6306</v>
      </c>
      <c r="D46" s="25" t="s">
        <v>6291</v>
      </c>
      <c r="E46" s="16" t="s">
        <v>6292</v>
      </c>
      <c r="F46" s="16" t="s">
        <v>6292</v>
      </c>
      <c r="G46" s="16" t="s">
        <v>6292</v>
      </c>
      <c r="H46" s="16" t="s">
        <v>6292</v>
      </c>
      <c r="I46" s="25" t="s">
        <v>6566</v>
      </c>
      <c r="J46" s="25"/>
      <c r="K46" s="25" t="s">
        <v>6281</v>
      </c>
      <c r="L46" s="26" t="s">
        <v>6567</v>
      </c>
      <c r="M46" s="26" t="s">
        <v>6295</v>
      </c>
      <c r="N46" s="27" t="s">
        <v>6568</v>
      </c>
      <c r="O46" s="26" t="s">
        <v>6569</v>
      </c>
      <c r="P46" s="20" t="b">
        <v>1</v>
      </c>
      <c r="Q46" s="20" t="s">
        <v>6282</v>
      </c>
      <c r="R46" s="28" t="s">
        <v>6283</v>
      </c>
      <c r="S46" s="25"/>
      <c r="T46" s="20" t="b">
        <v>1</v>
      </c>
      <c r="U46" s="25"/>
      <c r="V46" s="25">
        <v>65</v>
      </c>
      <c r="W46" s="28" t="s">
        <v>6570</v>
      </c>
      <c r="X46" s="28" t="s">
        <v>6285</v>
      </c>
      <c r="Y46" s="28" t="s">
        <v>6286</v>
      </c>
      <c r="Z46" s="28" t="s">
        <v>6287</v>
      </c>
      <c r="AA46" s="28" t="s">
        <v>6288</v>
      </c>
      <c r="AB46" s="28" t="s">
        <v>6297</v>
      </c>
    </row>
    <row r="47" spans="1:28" ht="185.4" x14ac:dyDescent="0.3">
      <c r="A47" s="25">
        <v>2282</v>
      </c>
      <c r="B47" s="25" t="s">
        <v>6571</v>
      </c>
      <c r="C47" s="25" t="s">
        <v>6572</v>
      </c>
      <c r="D47" s="25" t="s">
        <v>6291</v>
      </c>
      <c r="E47" s="16" t="s">
        <v>6292</v>
      </c>
      <c r="F47" s="16" t="s">
        <v>6292</v>
      </c>
      <c r="G47" s="16" t="s">
        <v>6292</v>
      </c>
      <c r="H47" s="16" t="s">
        <v>6292</v>
      </c>
      <c r="I47" s="25" t="s">
        <v>6573</v>
      </c>
      <c r="J47" s="25"/>
      <c r="K47" s="25" t="s">
        <v>6281</v>
      </c>
      <c r="L47" s="26" t="s">
        <v>6574</v>
      </c>
      <c r="M47" s="26" t="s">
        <v>6295</v>
      </c>
      <c r="N47" s="27" t="s">
        <v>6575</v>
      </c>
      <c r="O47" s="26" t="s">
        <v>6295</v>
      </c>
      <c r="P47" s="20" t="b">
        <v>1</v>
      </c>
      <c r="Q47" s="20" t="s">
        <v>6282</v>
      </c>
      <c r="R47" s="28" t="s">
        <v>6283</v>
      </c>
      <c r="S47" s="25"/>
      <c r="T47" s="20" t="b">
        <v>1</v>
      </c>
      <c r="U47" s="25"/>
      <c r="V47" s="25">
        <v>27.06</v>
      </c>
      <c r="W47" s="28" t="s">
        <v>6576</v>
      </c>
      <c r="X47" s="28" t="s">
        <v>6285</v>
      </c>
      <c r="Y47" s="28" t="s">
        <v>6286</v>
      </c>
      <c r="Z47" s="28" t="s">
        <v>6287</v>
      </c>
      <c r="AA47" s="28" t="s">
        <v>6288</v>
      </c>
      <c r="AB47" s="28" t="s">
        <v>6297</v>
      </c>
    </row>
    <row r="48" spans="1:28" ht="185.4" x14ac:dyDescent="0.3">
      <c r="A48" s="25">
        <v>2314</v>
      </c>
      <c r="B48" s="25" t="s">
        <v>6363</v>
      </c>
      <c r="C48" s="25" t="s">
        <v>6577</v>
      </c>
      <c r="D48" s="25" t="s">
        <v>6291</v>
      </c>
      <c r="E48" s="16" t="s">
        <v>6292</v>
      </c>
      <c r="F48" s="16" t="s">
        <v>6292</v>
      </c>
      <c r="G48" s="16" t="s">
        <v>6292</v>
      </c>
      <c r="H48" s="16" t="s">
        <v>6292</v>
      </c>
      <c r="I48" s="25" t="s">
        <v>6365</v>
      </c>
      <c r="J48" s="25"/>
      <c r="K48" s="25" t="s">
        <v>6281</v>
      </c>
      <c r="L48" s="26" t="s">
        <v>6578</v>
      </c>
      <c r="M48" s="26" t="s">
        <v>6579</v>
      </c>
      <c r="N48" s="27" t="s">
        <v>6580</v>
      </c>
      <c r="O48" s="26" t="s">
        <v>6581</v>
      </c>
      <c r="P48" s="20" t="b">
        <v>1</v>
      </c>
      <c r="Q48" s="20" t="s">
        <v>6282</v>
      </c>
      <c r="R48" s="28" t="s">
        <v>6283</v>
      </c>
      <c r="S48" s="25"/>
      <c r="T48" s="20" t="b">
        <v>1</v>
      </c>
      <c r="U48" s="25"/>
      <c r="V48" s="25">
        <v>17.341999999999999</v>
      </c>
      <c r="W48" s="28" t="s">
        <v>6582</v>
      </c>
      <c r="X48" s="28" t="s">
        <v>6285</v>
      </c>
      <c r="Y48" s="28" t="s">
        <v>6286</v>
      </c>
      <c r="Z48" s="28" t="s">
        <v>6287</v>
      </c>
      <c r="AA48" s="28" t="s">
        <v>6288</v>
      </c>
      <c r="AB48" s="28" t="s">
        <v>6297</v>
      </c>
    </row>
    <row r="49" spans="1:28" ht="185.4" x14ac:dyDescent="0.3">
      <c r="A49" s="25">
        <v>2329</v>
      </c>
      <c r="B49" s="25" t="s">
        <v>6583</v>
      </c>
      <c r="C49" s="25" t="s">
        <v>6584</v>
      </c>
      <c r="D49" s="25" t="s">
        <v>6278</v>
      </c>
      <c r="E49" s="16" t="s">
        <v>6279</v>
      </c>
      <c r="F49" s="16" t="s">
        <v>6279</v>
      </c>
      <c r="G49" s="16" t="s">
        <v>6279</v>
      </c>
      <c r="H49" s="16" t="s">
        <v>6279</v>
      </c>
      <c r="I49" s="25" t="s">
        <v>6585</v>
      </c>
      <c r="J49" s="25"/>
      <c r="K49" s="25" t="s">
        <v>6281</v>
      </c>
      <c r="L49" s="26" t="s">
        <v>6586</v>
      </c>
      <c r="M49" s="26" t="s">
        <v>6587</v>
      </c>
      <c r="N49" s="27" t="s">
        <v>6588</v>
      </c>
      <c r="O49" s="26" t="s">
        <v>6589</v>
      </c>
      <c r="P49" s="20" t="b">
        <v>1</v>
      </c>
      <c r="Q49" s="20" t="s">
        <v>6282</v>
      </c>
      <c r="R49" s="28" t="s">
        <v>6283</v>
      </c>
      <c r="S49" s="25"/>
      <c r="T49" s="20" t="b">
        <v>1</v>
      </c>
      <c r="U49" s="25"/>
      <c r="V49" s="25">
        <v>2871.2069999999999</v>
      </c>
      <c r="W49" s="28" t="s">
        <v>6590</v>
      </c>
      <c r="X49" s="28" t="s">
        <v>6285</v>
      </c>
      <c r="Y49" s="28" t="s">
        <v>6286</v>
      </c>
      <c r="Z49" s="28" t="s">
        <v>6287</v>
      </c>
      <c r="AA49" s="28" t="s">
        <v>6288</v>
      </c>
      <c r="AB49" s="28" t="s">
        <v>6297</v>
      </c>
    </row>
    <row r="50" spans="1:28" ht="185.4" x14ac:dyDescent="0.3">
      <c r="A50" s="25">
        <v>2347</v>
      </c>
      <c r="B50" s="25" t="s">
        <v>6591</v>
      </c>
      <c r="C50" s="25" t="s">
        <v>6592</v>
      </c>
      <c r="D50" s="25" t="s">
        <v>6370</v>
      </c>
      <c r="E50" s="16" t="s">
        <v>6371</v>
      </c>
      <c r="F50" s="16" t="s">
        <v>6371</v>
      </c>
      <c r="G50" s="16" t="s">
        <v>6371</v>
      </c>
      <c r="H50" s="16" t="s">
        <v>6371</v>
      </c>
      <c r="I50" s="25" t="s">
        <v>6593</v>
      </c>
      <c r="J50" s="25"/>
      <c r="K50" s="25" t="s">
        <v>6281</v>
      </c>
      <c r="L50" s="26" t="s">
        <v>6594</v>
      </c>
      <c r="M50" s="26" t="s">
        <v>6595</v>
      </c>
      <c r="N50" s="27" t="s">
        <v>6596</v>
      </c>
      <c r="O50" s="26" t="s">
        <v>6597</v>
      </c>
      <c r="P50" s="20" t="b">
        <v>1</v>
      </c>
      <c r="Q50" s="20" t="s">
        <v>6282</v>
      </c>
      <c r="R50" s="28" t="s">
        <v>6283</v>
      </c>
      <c r="S50" s="25"/>
      <c r="T50" s="20" t="b">
        <v>1</v>
      </c>
      <c r="U50" s="25"/>
      <c r="V50" s="25">
        <v>440.98</v>
      </c>
      <c r="W50" s="28" t="s">
        <v>6598</v>
      </c>
      <c r="X50" s="28" t="s">
        <v>6285</v>
      </c>
      <c r="Y50" s="28" t="s">
        <v>6286</v>
      </c>
      <c r="Z50" s="28" t="s">
        <v>6287</v>
      </c>
      <c r="AA50" s="28" t="s">
        <v>6288</v>
      </c>
      <c r="AB50" s="28" t="s">
        <v>6297</v>
      </c>
    </row>
    <row r="51" spans="1:28" ht="185.4" x14ac:dyDescent="0.3">
      <c r="A51" s="25">
        <v>2377</v>
      </c>
      <c r="B51" s="25" t="s">
        <v>6599</v>
      </c>
      <c r="C51" s="25" t="s">
        <v>6600</v>
      </c>
      <c r="D51" s="25" t="s">
        <v>6291</v>
      </c>
      <c r="E51" s="16" t="s">
        <v>6292</v>
      </c>
      <c r="F51" s="16" t="s">
        <v>6292</v>
      </c>
      <c r="G51" s="16" t="s">
        <v>6292</v>
      </c>
      <c r="H51" s="16" t="s">
        <v>6292</v>
      </c>
      <c r="I51" s="25" t="s">
        <v>6601</v>
      </c>
      <c r="J51" s="25"/>
      <c r="K51" s="25" t="s">
        <v>6281</v>
      </c>
      <c r="L51" s="26" t="s">
        <v>6602</v>
      </c>
      <c r="M51" s="26" t="s">
        <v>6603</v>
      </c>
      <c r="N51" s="27" t="s">
        <v>6604</v>
      </c>
      <c r="O51" s="26" t="s">
        <v>6605</v>
      </c>
      <c r="P51" s="20" t="b">
        <v>1</v>
      </c>
      <c r="Q51" s="20" t="s">
        <v>6282</v>
      </c>
      <c r="R51" s="28" t="s">
        <v>6283</v>
      </c>
      <c r="S51" s="25"/>
      <c r="T51" s="20" t="b">
        <v>1</v>
      </c>
      <c r="U51" s="25"/>
      <c r="V51" s="25">
        <v>8.1999999999999993</v>
      </c>
      <c r="W51" s="28" t="s">
        <v>6606</v>
      </c>
      <c r="X51" s="28" t="s">
        <v>6285</v>
      </c>
      <c r="Y51" s="28" t="s">
        <v>6286</v>
      </c>
      <c r="Z51" s="28" t="s">
        <v>6287</v>
      </c>
      <c r="AA51" s="28" t="s">
        <v>6288</v>
      </c>
      <c r="AB51" s="28" t="s">
        <v>6297</v>
      </c>
    </row>
    <row r="52" spans="1:28" ht="185.4" x14ac:dyDescent="0.3">
      <c r="A52" s="25">
        <v>2387</v>
      </c>
      <c r="B52" s="25" t="s">
        <v>6607</v>
      </c>
      <c r="C52" s="25" t="s">
        <v>6608</v>
      </c>
      <c r="D52" s="25" t="s">
        <v>6291</v>
      </c>
      <c r="E52" s="16" t="s">
        <v>6292</v>
      </c>
      <c r="F52" s="16" t="s">
        <v>6292</v>
      </c>
      <c r="G52" s="16" t="s">
        <v>6292</v>
      </c>
      <c r="H52" s="16" t="s">
        <v>6292</v>
      </c>
      <c r="I52" s="25" t="s">
        <v>6609</v>
      </c>
      <c r="J52" s="25"/>
      <c r="K52" s="25" t="s">
        <v>6281</v>
      </c>
      <c r="L52" s="26" t="s">
        <v>6610</v>
      </c>
      <c r="M52" s="26" t="s">
        <v>6611</v>
      </c>
      <c r="N52" s="27" t="s">
        <v>6612</v>
      </c>
      <c r="O52" s="26" t="s">
        <v>6295</v>
      </c>
      <c r="P52" s="20" t="b">
        <v>1</v>
      </c>
      <c r="Q52" s="20" t="s">
        <v>6282</v>
      </c>
      <c r="R52" s="28" t="s">
        <v>6283</v>
      </c>
      <c r="S52" s="25"/>
      <c r="T52" s="20" t="b">
        <v>1</v>
      </c>
      <c r="U52" s="25"/>
      <c r="V52" s="25">
        <v>125.52</v>
      </c>
      <c r="W52" s="28" t="s">
        <v>6613</v>
      </c>
      <c r="X52" s="28" t="s">
        <v>6285</v>
      </c>
      <c r="Y52" s="28" t="s">
        <v>6286</v>
      </c>
      <c r="Z52" s="28" t="s">
        <v>6287</v>
      </c>
      <c r="AA52" s="28" t="s">
        <v>6288</v>
      </c>
      <c r="AB52" s="28" t="s">
        <v>6297</v>
      </c>
    </row>
    <row r="53" spans="1:28" ht="185.4" x14ac:dyDescent="0.3">
      <c r="A53" s="25">
        <v>2413</v>
      </c>
      <c r="B53" s="25" t="s">
        <v>6614</v>
      </c>
      <c r="C53" s="25" t="s">
        <v>6615</v>
      </c>
      <c r="D53" s="25" t="s">
        <v>6291</v>
      </c>
      <c r="E53" s="16" t="s">
        <v>6292</v>
      </c>
      <c r="F53" s="16" t="s">
        <v>6292</v>
      </c>
      <c r="G53" s="16" t="s">
        <v>6292</v>
      </c>
      <c r="H53" s="16" t="s">
        <v>6292</v>
      </c>
      <c r="I53" s="25" t="s">
        <v>6616</v>
      </c>
      <c r="J53" s="25"/>
      <c r="K53" s="25" t="s">
        <v>6281</v>
      </c>
      <c r="L53" s="26" t="s">
        <v>6617</v>
      </c>
      <c r="M53" s="26" t="s">
        <v>6295</v>
      </c>
      <c r="N53" s="27" t="s">
        <v>6618</v>
      </c>
      <c r="O53" s="26" t="s">
        <v>6295</v>
      </c>
      <c r="P53" s="20" t="b">
        <v>1</v>
      </c>
      <c r="Q53" s="20" t="s">
        <v>6282</v>
      </c>
      <c r="R53" s="28" t="s">
        <v>6283</v>
      </c>
      <c r="S53" s="25"/>
      <c r="T53" s="20" t="b">
        <v>1</v>
      </c>
      <c r="U53" s="25"/>
      <c r="V53" s="25">
        <v>201.33</v>
      </c>
      <c r="W53" s="28" t="s">
        <v>6619</v>
      </c>
      <c r="X53" s="28" t="s">
        <v>6285</v>
      </c>
      <c r="Y53" s="28" t="s">
        <v>6286</v>
      </c>
      <c r="Z53" s="28" t="s">
        <v>6287</v>
      </c>
      <c r="AA53" s="28" t="s">
        <v>6288</v>
      </c>
      <c r="AB53" s="28" t="s">
        <v>6297</v>
      </c>
    </row>
    <row r="54" spans="1:28" ht="185.4" x14ac:dyDescent="0.3">
      <c r="A54" s="25">
        <v>2563</v>
      </c>
      <c r="B54" s="25" t="s">
        <v>6620</v>
      </c>
      <c r="C54" s="25" t="s">
        <v>6621</v>
      </c>
      <c r="D54" s="25" t="s">
        <v>6278</v>
      </c>
      <c r="E54" s="16" t="s">
        <v>6279</v>
      </c>
      <c r="F54" s="16" t="s">
        <v>6279</v>
      </c>
      <c r="G54" s="16" t="s">
        <v>6279</v>
      </c>
      <c r="H54" s="16" t="s">
        <v>6279</v>
      </c>
      <c r="I54" s="25" t="s">
        <v>6622</v>
      </c>
      <c r="J54" s="25"/>
      <c r="K54" s="25" t="s">
        <v>6281</v>
      </c>
      <c r="L54" s="26" t="s">
        <v>6623</v>
      </c>
      <c r="M54" s="26" t="s">
        <v>6295</v>
      </c>
      <c r="N54" s="27" t="s">
        <v>6624</v>
      </c>
      <c r="O54" s="26" t="s">
        <v>6295</v>
      </c>
      <c r="P54" s="20" t="b">
        <v>1</v>
      </c>
      <c r="Q54" s="20" t="s">
        <v>6282</v>
      </c>
      <c r="R54" s="28" t="s">
        <v>6283</v>
      </c>
      <c r="S54" s="25"/>
      <c r="T54" s="20" t="b">
        <v>1</v>
      </c>
      <c r="U54" s="25"/>
      <c r="V54" s="25">
        <v>50</v>
      </c>
      <c r="W54" s="28" t="s">
        <v>6625</v>
      </c>
      <c r="X54" s="28" t="s">
        <v>6285</v>
      </c>
      <c r="Y54" s="28" t="s">
        <v>6286</v>
      </c>
      <c r="Z54" s="28" t="s">
        <v>6287</v>
      </c>
      <c r="AA54" s="28" t="s">
        <v>6288</v>
      </c>
      <c r="AB54" s="28" t="s">
        <v>6297</v>
      </c>
    </row>
    <row r="55" spans="1:28" ht="185.4" x14ac:dyDescent="0.3">
      <c r="A55" s="25">
        <v>2693</v>
      </c>
      <c r="B55" s="25" t="s">
        <v>6626</v>
      </c>
      <c r="C55" s="25" t="s">
        <v>6627</v>
      </c>
      <c r="D55" s="25" t="s">
        <v>6278</v>
      </c>
      <c r="E55" s="16" t="s">
        <v>6279</v>
      </c>
      <c r="F55" s="16" t="s">
        <v>6279</v>
      </c>
      <c r="G55" s="16" t="s">
        <v>6279</v>
      </c>
      <c r="H55" s="16" t="s">
        <v>6279</v>
      </c>
      <c r="I55" s="25" t="s">
        <v>6628</v>
      </c>
      <c r="J55" s="25"/>
      <c r="K55" s="25" t="s">
        <v>6281</v>
      </c>
      <c r="L55" s="26" t="s">
        <v>6629</v>
      </c>
      <c r="M55" s="26" t="s">
        <v>6295</v>
      </c>
      <c r="N55" s="27" t="s">
        <v>6630</v>
      </c>
      <c r="O55" s="26" t="s">
        <v>6295</v>
      </c>
      <c r="P55" s="20" t="b">
        <v>1</v>
      </c>
      <c r="Q55" s="20" t="s">
        <v>6282</v>
      </c>
      <c r="R55" s="28" t="s">
        <v>6283</v>
      </c>
      <c r="S55" s="25"/>
      <c r="T55" s="20" t="b">
        <v>1</v>
      </c>
      <c r="U55" s="25"/>
      <c r="V55" s="25" t="s">
        <v>6295</v>
      </c>
      <c r="W55" s="28" t="s">
        <v>6631</v>
      </c>
      <c r="X55" s="28" t="s">
        <v>6285</v>
      </c>
      <c r="Y55" s="28" t="s">
        <v>6286</v>
      </c>
      <c r="Z55" s="28" t="s">
        <v>6287</v>
      </c>
      <c r="AA55" s="28" t="s">
        <v>6288</v>
      </c>
      <c r="AB55" s="28" t="s">
        <v>6297</v>
      </c>
    </row>
    <row r="56" spans="1:28" ht="185.4" x14ac:dyDescent="0.3">
      <c r="A56" s="25">
        <v>2700</v>
      </c>
      <c r="B56" s="25" t="s">
        <v>6632</v>
      </c>
      <c r="C56" s="25" t="s">
        <v>6633</v>
      </c>
      <c r="D56" s="25" t="s">
        <v>6291</v>
      </c>
      <c r="E56" s="16" t="s">
        <v>6292</v>
      </c>
      <c r="F56" s="16" t="s">
        <v>6292</v>
      </c>
      <c r="G56" s="16" t="s">
        <v>6292</v>
      </c>
      <c r="H56" s="16" t="s">
        <v>6292</v>
      </c>
      <c r="I56" s="25" t="s">
        <v>6634</v>
      </c>
      <c r="J56" s="25"/>
      <c r="K56" s="25" t="s">
        <v>6281</v>
      </c>
      <c r="L56" s="26" t="s">
        <v>6635</v>
      </c>
      <c r="M56" s="26" t="s">
        <v>6636</v>
      </c>
      <c r="N56" s="27" t="s">
        <v>6637</v>
      </c>
      <c r="O56" s="26" t="s">
        <v>6638</v>
      </c>
      <c r="P56" s="20" t="b">
        <v>1</v>
      </c>
      <c r="Q56" s="20" t="s">
        <v>6282</v>
      </c>
      <c r="R56" s="28" t="s">
        <v>6283</v>
      </c>
      <c r="S56" s="25"/>
      <c r="T56" s="20" t="b">
        <v>1</v>
      </c>
      <c r="U56" s="25"/>
      <c r="V56" s="25">
        <v>22.25</v>
      </c>
      <c r="W56" s="28" t="s">
        <v>6639</v>
      </c>
      <c r="X56" s="28" t="s">
        <v>6285</v>
      </c>
      <c r="Y56" s="28" t="s">
        <v>6286</v>
      </c>
      <c r="Z56" s="28" t="s">
        <v>6287</v>
      </c>
      <c r="AA56" s="28" t="s">
        <v>6288</v>
      </c>
      <c r="AB56" s="28" t="s">
        <v>6297</v>
      </c>
    </row>
    <row r="57" spans="1:28" ht="185.4" x14ac:dyDescent="0.3">
      <c r="A57" s="25">
        <v>2737</v>
      </c>
      <c r="B57" s="25" t="s">
        <v>6640</v>
      </c>
      <c r="C57" s="25" t="s">
        <v>6641</v>
      </c>
      <c r="D57" s="25" t="s">
        <v>6278</v>
      </c>
      <c r="E57" s="16" t="s">
        <v>6279</v>
      </c>
      <c r="F57" s="16" t="s">
        <v>6279</v>
      </c>
      <c r="G57" s="16" t="s">
        <v>6279</v>
      </c>
      <c r="H57" s="16" t="s">
        <v>6279</v>
      </c>
      <c r="I57" s="25" t="s">
        <v>6642</v>
      </c>
      <c r="J57" s="25"/>
      <c r="K57" s="25" t="s">
        <v>6281</v>
      </c>
      <c r="L57" s="26" t="s">
        <v>6643</v>
      </c>
      <c r="M57" s="26" t="s">
        <v>6295</v>
      </c>
      <c r="N57" s="27" t="s">
        <v>6644</v>
      </c>
      <c r="O57" s="26" t="s">
        <v>6645</v>
      </c>
      <c r="P57" s="20" t="b">
        <v>1</v>
      </c>
      <c r="Q57" s="20" t="s">
        <v>6282</v>
      </c>
      <c r="R57" s="28" t="s">
        <v>6283</v>
      </c>
      <c r="S57" s="25"/>
      <c r="T57" s="20" t="b">
        <v>1</v>
      </c>
      <c r="U57" s="25"/>
      <c r="V57" s="25">
        <v>8.58</v>
      </c>
      <c r="W57" s="28" t="s">
        <v>6646</v>
      </c>
      <c r="X57" s="28" t="s">
        <v>6285</v>
      </c>
      <c r="Y57" s="28" t="s">
        <v>6286</v>
      </c>
      <c r="Z57" s="28" t="s">
        <v>6287</v>
      </c>
      <c r="AA57" s="28" t="s">
        <v>6288</v>
      </c>
      <c r="AB57" s="28" t="s">
        <v>6297</v>
      </c>
    </row>
    <row r="58" spans="1:28" ht="185.4" x14ac:dyDescent="0.3">
      <c r="A58" s="25">
        <v>2749</v>
      </c>
      <c r="B58" s="25" t="s">
        <v>6647</v>
      </c>
      <c r="C58" s="25" t="s">
        <v>6648</v>
      </c>
      <c r="D58" s="25" t="s">
        <v>6278</v>
      </c>
      <c r="E58" s="16" t="s">
        <v>6279</v>
      </c>
      <c r="F58" s="16" t="s">
        <v>6279</v>
      </c>
      <c r="G58" s="16" t="s">
        <v>6279</v>
      </c>
      <c r="H58" s="16" t="s">
        <v>6279</v>
      </c>
      <c r="I58" s="25" t="s">
        <v>6649</v>
      </c>
      <c r="J58" s="25"/>
      <c r="K58" s="25" t="s">
        <v>6281</v>
      </c>
      <c r="L58" s="26" t="s">
        <v>6650</v>
      </c>
      <c r="M58" s="26" t="s">
        <v>6651</v>
      </c>
      <c r="N58" s="27" t="s">
        <v>6652</v>
      </c>
      <c r="O58" s="26" t="s">
        <v>6653</v>
      </c>
      <c r="P58" s="20" t="b">
        <v>1</v>
      </c>
      <c r="Q58" s="20" t="s">
        <v>6282</v>
      </c>
      <c r="R58" s="28" t="s">
        <v>6283</v>
      </c>
      <c r="S58" s="25"/>
      <c r="T58" s="20" t="b">
        <v>1</v>
      </c>
      <c r="U58" s="25"/>
      <c r="V58" s="25">
        <v>100</v>
      </c>
      <c r="W58" s="28" t="s">
        <v>6654</v>
      </c>
      <c r="X58" s="28" t="s">
        <v>6285</v>
      </c>
      <c r="Y58" s="28" t="s">
        <v>6286</v>
      </c>
      <c r="Z58" s="28" t="s">
        <v>6287</v>
      </c>
      <c r="AA58" s="28" t="s">
        <v>6288</v>
      </c>
      <c r="AB58" s="28" t="s">
        <v>6297</v>
      </c>
    </row>
    <row r="59" spans="1:28" ht="185.4" x14ac:dyDescent="0.3">
      <c r="A59" s="25">
        <v>2812</v>
      </c>
      <c r="B59" s="25" t="s">
        <v>6655</v>
      </c>
      <c r="C59" s="25" t="s">
        <v>6656</v>
      </c>
      <c r="D59" s="25" t="s">
        <v>6291</v>
      </c>
      <c r="E59" s="16" t="s">
        <v>6292</v>
      </c>
      <c r="F59" s="16" t="s">
        <v>6292</v>
      </c>
      <c r="G59" s="16" t="s">
        <v>6292</v>
      </c>
      <c r="H59" s="16" t="s">
        <v>6292</v>
      </c>
      <c r="I59" s="25" t="s">
        <v>6657</v>
      </c>
      <c r="J59" s="25"/>
      <c r="K59" s="25" t="s">
        <v>6281</v>
      </c>
      <c r="L59" s="26" t="s">
        <v>6658</v>
      </c>
      <c r="M59" s="26" t="s">
        <v>6659</v>
      </c>
      <c r="N59" s="27" t="s">
        <v>6660</v>
      </c>
      <c r="O59" s="26" t="s">
        <v>6295</v>
      </c>
      <c r="P59" s="20" t="b">
        <v>1</v>
      </c>
      <c r="Q59" s="20" t="s">
        <v>6282</v>
      </c>
      <c r="R59" s="28" t="s">
        <v>6283</v>
      </c>
      <c r="S59" s="25"/>
      <c r="T59" s="20" t="b">
        <v>1</v>
      </c>
      <c r="U59" s="25"/>
      <c r="V59" s="25">
        <v>57.91</v>
      </c>
      <c r="W59" s="28" t="s">
        <v>6661</v>
      </c>
      <c r="X59" s="28" t="s">
        <v>6285</v>
      </c>
      <c r="Y59" s="28" t="s">
        <v>6286</v>
      </c>
      <c r="Z59" s="28" t="s">
        <v>6287</v>
      </c>
      <c r="AA59" s="28" t="s">
        <v>6288</v>
      </c>
      <c r="AB59" s="28" t="s">
        <v>6297</v>
      </c>
    </row>
    <row r="60" spans="1:28" ht="185.4" x14ac:dyDescent="0.3">
      <c r="A60" s="25">
        <v>2876</v>
      </c>
      <c r="B60" s="25" t="s">
        <v>6662</v>
      </c>
      <c r="C60" s="25" t="s">
        <v>6663</v>
      </c>
      <c r="D60" s="25" t="s">
        <v>6291</v>
      </c>
      <c r="E60" s="16" t="s">
        <v>6292</v>
      </c>
      <c r="F60" s="16" t="s">
        <v>6292</v>
      </c>
      <c r="G60" s="16" t="s">
        <v>6292</v>
      </c>
      <c r="H60" s="16" t="s">
        <v>6292</v>
      </c>
      <c r="I60" s="25" t="s">
        <v>6664</v>
      </c>
      <c r="J60" s="25"/>
      <c r="K60" s="25" t="s">
        <v>6281</v>
      </c>
      <c r="L60" s="26" t="s">
        <v>6665</v>
      </c>
      <c r="M60" s="26" t="s">
        <v>6295</v>
      </c>
      <c r="N60" s="27" t="s">
        <v>6666</v>
      </c>
      <c r="O60" s="26" t="s">
        <v>6295</v>
      </c>
      <c r="P60" s="20" t="b">
        <v>1</v>
      </c>
      <c r="Q60" s="20" t="s">
        <v>6282</v>
      </c>
      <c r="R60" s="28" t="s">
        <v>6283</v>
      </c>
      <c r="S60" s="25"/>
      <c r="T60" s="20" t="b">
        <v>1</v>
      </c>
      <c r="U60" s="25"/>
      <c r="V60" s="25">
        <v>12.02</v>
      </c>
      <c r="W60" s="28" t="s">
        <v>6667</v>
      </c>
      <c r="X60" s="28" t="s">
        <v>6285</v>
      </c>
      <c r="Y60" s="28" t="s">
        <v>6286</v>
      </c>
      <c r="Z60" s="28" t="s">
        <v>6287</v>
      </c>
      <c r="AA60" s="28" t="s">
        <v>6288</v>
      </c>
      <c r="AB60" s="28" t="s">
        <v>6297</v>
      </c>
    </row>
    <row r="61" spans="1:28" ht="185.4" x14ac:dyDescent="0.3">
      <c r="A61" s="25">
        <v>2886</v>
      </c>
      <c r="B61" s="25" t="s">
        <v>6668</v>
      </c>
      <c r="C61" s="25" t="s">
        <v>6669</v>
      </c>
      <c r="D61" s="25" t="s">
        <v>6278</v>
      </c>
      <c r="E61" s="16" t="s">
        <v>6279</v>
      </c>
      <c r="F61" s="16" t="s">
        <v>6279</v>
      </c>
      <c r="G61" s="16" t="s">
        <v>6279</v>
      </c>
      <c r="H61" s="16" t="s">
        <v>6279</v>
      </c>
      <c r="I61" s="25" t="s">
        <v>6670</v>
      </c>
      <c r="J61" s="25"/>
      <c r="K61" s="25" t="s">
        <v>6281</v>
      </c>
      <c r="L61" s="26" t="s">
        <v>6671</v>
      </c>
      <c r="M61" s="26" t="s">
        <v>6672</v>
      </c>
      <c r="N61" s="27" t="s">
        <v>6673</v>
      </c>
      <c r="O61" s="26" t="s">
        <v>6589</v>
      </c>
      <c r="P61" s="20" t="b">
        <v>1</v>
      </c>
      <c r="Q61" s="20" t="s">
        <v>6282</v>
      </c>
      <c r="R61" s="28" t="s">
        <v>6283</v>
      </c>
      <c r="S61" s="25"/>
      <c r="T61" s="20" t="b">
        <v>1</v>
      </c>
      <c r="U61" s="25"/>
      <c r="V61" s="25">
        <v>620.88</v>
      </c>
      <c r="W61" s="28" t="s">
        <v>6674</v>
      </c>
      <c r="X61" s="28" t="s">
        <v>6285</v>
      </c>
      <c r="Y61" s="28" t="s">
        <v>6286</v>
      </c>
      <c r="Z61" s="28" t="s">
        <v>6287</v>
      </c>
      <c r="AA61" s="28" t="s">
        <v>6288</v>
      </c>
      <c r="AB61" s="28" t="s">
        <v>6297</v>
      </c>
    </row>
    <row r="62" spans="1:28" ht="185.4" x14ac:dyDescent="0.3">
      <c r="A62" s="25">
        <v>2926</v>
      </c>
      <c r="B62" s="25" t="s">
        <v>6675</v>
      </c>
      <c r="C62" s="25" t="s">
        <v>6676</v>
      </c>
      <c r="D62" s="25" t="s">
        <v>6278</v>
      </c>
      <c r="E62" s="16" t="s">
        <v>6279</v>
      </c>
      <c r="F62" s="16" t="s">
        <v>6279</v>
      </c>
      <c r="G62" s="16" t="s">
        <v>6279</v>
      </c>
      <c r="H62" s="16" t="s">
        <v>6279</v>
      </c>
      <c r="I62" s="25" t="s">
        <v>6677</v>
      </c>
      <c r="J62" s="25"/>
      <c r="K62" s="25" t="s">
        <v>6281</v>
      </c>
      <c r="L62" s="26" t="s">
        <v>6678</v>
      </c>
      <c r="M62" s="26" t="s">
        <v>6679</v>
      </c>
      <c r="N62" s="27" t="s">
        <v>6680</v>
      </c>
      <c r="O62" s="26" t="s">
        <v>6295</v>
      </c>
      <c r="P62" s="20" t="b">
        <v>1</v>
      </c>
      <c r="Q62" s="20" t="s">
        <v>6282</v>
      </c>
      <c r="R62" s="28" t="s">
        <v>6283</v>
      </c>
      <c r="S62" s="25"/>
      <c r="T62" s="20" t="b">
        <v>1</v>
      </c>
      <c r="U62" s="25"/>
      <c r="V62" s="25">
        <v>181.25</v>
      </c>
      <c r="W62" s="28" t="s">
        <v>6681</v>
      </c>
      <c r="X62" s="28" t="s">
        <v>6285</v>
      </c>
      <c r="Y62" s="28" t="s">
        <v>6286</v>
      </c>
      <c r="Z62" s="28" t="s">
        <v>6287</v>
      </c>
      <c r="AA62" s="28" t="s">
        <v>6288</v>
      </c>
      <c r="AB62" s="28" t="s">
        <v>6297</v>
      </c>
    </row>
    <row r="63" spans="1:28" ht="185.4" x14ac:dyDescent="0.3">
      <c r="A63" s="25">
        <v>3027</v>
      </c>
      <c r="B63" s="25" t="s">
        <v>6682</v>
      </c>
      <c r="C63" s="25" t="s">
        <v>6683</v>
      </c>
      <c r="D63" s="25" t="s">
        <v>6291</v>
      </c>
      <c r="E63" s="16" t="s">
        <v>6292</v>
      </c>
      <c r="F63" s="16" t="s">
        <v>6292</v>
      </c>
      <c r="G63" s="16" t="s">
        <v>6292</v>
      </c>
      <c r="H63" s="16" t="s">
        <v>6292</v>
      </c>
      <c r="I63" s="25" t="s">
        <v>6684</v>
      </c>
      <c r="J63" s="25"/>
      <c r="K63" s="25" t="s">
        <v>6281</v>
      </c>
      <c r="L63" s="26" t="s">
        <v>6685</v>
      </c>
      <c r="M63" s="26" t="s">
        <v>6686</v>
      </c>
      <c r="N63" s="27" t="s">
        <v>6687</v>
      </c>
      <c r="O63" s="26" t="s">
        <v>6295</v>
      </c>
      <c r="P63" s="20" t="b">
        <v>1</v>
      </c>
      <c r="Q63" s="20" t="s">
        <v>6282</v>
      </c>
      <c r="R63" s="28" t="s">
        <v>6283</v>
      </c>
      <c r="S63" s="25"/>
      <c r="T63" s="20" t="b">
        <v>1</v>
      </c>
      <c r="U63" s="25"/>
      <c r="V63" s="25">
        <v>13.78</v>
      </c>
      <c r="W63" s="28" t="s">
        <v>6688</v>
      </c>
      <c r="X63" s="28" t="s">
        <v>6285</v>
      </c>
      <c r="Y63" s="28" t="s">
        <v>6286</v>
      </c>
      <c r="Z63" s="28" t="s">
        <v>6287</v>
      </c>
      <c r="AA63" s="28" t="s">
        <v>6288</v>
      </c>
      <c r="AB63" s="28" t="s">
        <v>6297</v>
      </c>
    </row>
    <row r="64" spans="1:28" ht="185.4" x14ac:dyDescent="0.3">
      <c r="A64" s="25">
        <v>3034</v>
      </c>
      <c r="B64" s="25" t="s">
        <v>6689</v>
      </c>
      <c r="C64" s="25" t="s">
        <v>6690</v>
      </c>
      <c r="D64" s="25" t="s">
        <v>6291</v>
      </c>
      <c r="E64" s="16" t="s">
        <v>6292</v>
      </c>
      <c r="F64" s="16" t="s">
        <v>6292</v>
      </c>
      <c r="G64" s="16" t="s">
        <v>6292</v>
      </c>
      <c r="H64" s="16" t="s">
        <v>6292</v>
      </c>
      <c r="I64" s="25" t="s">
        <v>6691</v>
      </c>
      <c r="J64" s="25"/>
      <c r="K64" s="25" t="s">
        <v>6281</v>
      </c>
      <c r="L64" s="26" t="s">
        <v>6692</v>
      </c>
      <c r="M64" s="26" t="s">
        <v>6693</v>
      </c>
      <c r="N64" s="27" t="s">
        <v>6694</v>
      </c>
      <c r="O64" s="26" t="s">
        <v>6695</v>
      </c>
      <c r="P64" s="20" t="b">
        <v>1</v>
      </c>
      <c r="Q64" s="20" t="s">
        <v>6282</v>
      </c>
      <c r="R64" s="28" t="s">
        <v>6283</v>
      </c>
      <c r="S64" s="25"/>
      <c r="T64" s="20" t="b">
        <v>1</v>
      </c>
      <c r="U64" s="25"/>
      <c r="V64" s="25">
        <v>66.75</v>
      </c>
      <c r="W64" s="28" t="s">
        <v>6696</v>
      </c>
      <c r="X64" s="28" t="s">
        <v>6285</v>
      </c>
      <c r="Y64" s="28" t="s">
        <v>6286</v>
      </c>
      <c r="Z64" s="28" t="s">
        <v>6287</v>
      </c>
      <c r="AA64" s="28" t="s">
        <v>6288</v>
      </c>
      <c r="AB64" s="28" t="s">
        <v>6297</v>
      </c>
    </row>
    <row r="65" spans="1:28" ht="185.4" x14ac:dyDescent="0.3">
      <c r="A65" s="25">
        <v>3036</v>
      </c>
      <c r="B65" s="25" t="s">
        <v>6697</v>
      </c>
      <c r="C65" s="25" t="s">
        <v>6698</v>
      </c>
      <c r="D65" s="25" t="s">
        <v>6370</v>
      </c>
      <c r="E65" s="16" t="s">
        <v>6371</v>
      </c>
      <c r="F65" s="16" t="s">
        <v>6371</v>
      </c>
      <c r="G65" s="16" t="s">
        <v>6371</v>
      </c>
      <c r="H65" s="16" t="s">
        <v>6371</v>
      </c>
      <c r="I65" s="25" t="s">
        <v>6699</v>
      </c>
      <c r="J65" s="25"/>
      <c r="K65" s="25" t="s">
        <v>6281</v>
      </c>
      <c r="L65" s="26" t="s">
        <v>6700</v>
      </c>
      <c r="M65" s="26" t="s">
        <v>6295</v>
      </c>
      <c r="N65" s="27" t="s">
        <v>6701</v>
      </c>
      <c r="O65" s="26" t="s">
        <v>6702</v>
      </c>
      <c r="P65" s="20" t="b">
        <v>1</v>
      </c>
      <c r="Q65" s="20" t="s">
        <v>6282</v>
      </c>
      <c r="R65" s="28" t="s">
        <v>6283</v>
      </c>
      <c r="S65" s="25"/>
      <c r="T65" s="20" t="b">
        <v>1</v>
      </c>
      <c r="U65" s="25"/>
      <c r="V65" s="25">
        <v>296.91000000000003</v>
      </c>
      <c r="W65" s="28" t="s">
        <v>6703</v>
      </c>
      <c r="X65" s="28" t="s">
        <v>6285</v>
      </c>
      <c r="Y65" s="28" t="s">
        <v>6286</v>
      </c>
      <c r="Z65" s="28" t="s">
        <v>6287</v>
      </c>
      <c r="AA65" s="28" t="s">
        <v>6288</v>
      </c>
      <c r="AB65" s="28" t="s">
        <v>6297</v>
      </c>
    </row>
    <row r="66" spans="1:28" ht="185.4" x14ac:dyDescent="0.3">
      <c r="A66" s="25">
        <v>3053</v>
      </c>
      <c r="B66" s="25" t="s">
        <v>6704</v>
      </c>
      <c r="C66" s="25" t="s">
        <v>6410</v>
      </c>
      <c r="D66" s="25" t="s">
        <v>6278</v>
      </c>
      <c r="E66" s="16" t="s">
        <v>6279</v>
      </c>
      <c r="F66" s="16" t="s">
        <v>6279</v>
      </c>
      <c r="G66" s="16" t="s">
        <v>6279</v>
      </c>
      <c r="H66" s="16" t="s">
        <v>6279</v>
      </c>
      <c r="I66" s="25" t="s">
        <v>6705</v>
      </c>
      <c r="J66" s="25"/>
      <c r="K66" s="25" t="s">
        <v>6281</v>
      </c>
      <c r="L66" s="26" t="s">
        <v>6706</v>
      </c>
      <c r="M66" s="26" t="s">
        <v>6295</v>
      </c>
      <c r="N66" s="27" t="s">
        <v>6707</v>
      </c>
      <c r="O66" s="26" t="s">
        <v>6708</v>
      </c>
      <c r="P66" s="20" t="b">
        <v>1</v>
      </c>
      <c r="Q66" s="20" t="s">
        <v>6282</v>
      </c>
      <c r="R66" s="28" t="s">
        <v>6283</v>
      </c>
      <c r="S66" s="25"/>
      <c r="T66" s="20" t="b">
        <v>1</v>
      </c>
      <c r="U66" s="25"/>
      <c r="V66" s="25">
        <v>36.130000000000003</v>
      </c>
      <c r="W66" s="28" t="s">
        <v>6709</v>
      </c>
      <c r="X66" s="28" t="s">
        <v>6285</v>
      </c>
      <c r="Y66" s="28" t="s">
        <v>6286</v>
      </c>
      <c r="Z66" s="28" t="s">
        <v>6287</v>
      </c>
      <c r="AA66" s="28" t="s">
        <v>6288</v>
      </c>
      <c r="AB66" s="28" t="s">
        <v>6297</v>
      </c>
    </row>
    <row r="67" spans="1:28" ht="185.4" x14ac:dyDescent="0.3">
      <c r="A67" s="25">
        <v>3082</v>
      </c>
      <c r="B67" s="25" t="s">
        <v>6710</v>
      </c>
      <c r="C67" s="25" t="s">
        <v>6711</v>
      </c>
      <c r="D67" s="25" t="s">
        <v>6278</v>
      </c>
      <c r="E67" s="16" t="s">
        <v>6279</v>
      </c>
      <c r="F67" s="16" t="s">
        <v>6279</v>
      </c>
      <c r="G67" s="16" t="s">
        <v>6279</v>
      </c>
      <c r="H67" s="16" t="s">
        <v>6279</v>
      </c>
      <c r="I67" s="25" t="s">
        <v>6712</v>
      </c>
      <c r="J67" s="25"/>
      <c r="K67" s="25" t="s">
        <v>6281</v>
      </c>
      <c r="L67" s="26" t="s">
        <v>6713</v>
      </c>
      <c r="M67" s="26" t="s">
        <v>6714</v>
      </c>
      <c r="N67" s="27" t="s">
        <v>6715</v>
      </c>
      <c r="O67" s="26" t="s">
        <v>6295</v>
      </c>
      <c r="P67" s="20" t="b">
        <v>1</v>
      </c>
      <c r="Q67" s="20" t="s">
        <v>6282</v>
      </c>
      <c r="R67" s="28" t="s">
        <v>6283</v>
      </c>
      <c r="S67" s="25"/>
      <c r="T67" s="20" t="b">
        <v>1</v>
      </c>
      <c r="U67" s="25"/>
      <c r="V67" s="25">
        <v>76</v>
      </c>
      <c r="W67" s="28" t="s">
        <v>6716</v>
      </c>
      <c r="X67" s="28" t="s">
        <v>6285</v>
      </c>
      <c r="Y67" s="28" t="s">
        <v>6286</v>
      </c>
      <c r="Z67" s="28" t="s">
        <v>6287</v>
      </c>
      <c r="AA67" s="28" t="s">
        <v>6288</v>
      </c>
      <c r="AB67" s="28" t="s">
        <v>6297</v>
      </c>
    </row>
    <row r="68" spans="1:28" ht="185.4" x14ac:dyDescent="0.3">
      <c r="A68" s="25">
        <v>3083</v>
      </c>
      <c r="B68" s="25" t="s">
        <v>6717</v>
      </c>
      <c r="C68" s="25" t="s">
        <v>6718</v>
      </c>
      <c r="D68" s="25" t="s">
        <v>6278</v>
      </c>
      <c r="E68" s="16" t="s">
        <v>6279</v>
      </c>
      <c r="F68" s="16" t="s">
        <v>6279</v>
      </c>
      <c r="G68" s="16" t="s">
        <v>6279</v>
      </c>
      <c r="H68" s="16" t="s">
        <v>6279</v>
      </c>
      <c r="I68" s="25" t="s">
        <v>6719</v>
      </c>
      <c r="J68" s="25"/>
      <c r="K68" s="25" t="s">
        <v>6281</v>
      </c>
      <c r="L68" s="26" t="s">
        <v>6720</v>
      </c>
      <c r="M68" s="26" t="s">
        <v>6714</v>
      </c>
      <c r="N68" s="27" t="s">
        <v>6715</v>
      </c>
      <c r="O68" s="26" t="s">
        <v>6295</v>
      </c>
      <c r="P68" s="20" t="b">
        <v>1</v>
      </c>
      <c r="Q68" s="20" t="s">
        <v>6282</v>
      </c>
      <c r="R68" s="28" t="s">
        <v>6283</v>
      </c>
      <c r="S68" s="25"/>
      <c r="T68" s="20" t="b">
        <v>1</v>
      </c>
      <c r="U68" s="25"/>
      <c r="V68" s="25">
        <v>75</v>
      </c>
      <c r="W68" s="28" t="s">
        <v>6721</v>
      </c>
      <c r="X68" s="28" t="s">
        <v>6285</v>
      </c>
      <c r="Y68" s="28" t="s">
        <v>6286</v>
      </c>
      <c r="Z68" s="28" t="s">
        <v>6287</v>
      </c>
      <c r="AA68" s="28" t="s">
        <v>6288</v>
      </c>
      <c r="AB68" s="28" t="s">
        <v>6297</v>
      </c>
    </row>
    <row r="69" spans="1:28" ht="225" x14ac:dyDescent="0.3">
      <c r="A69" s="25">
        <v>3114</v>
      </c>
      <c r="B69" s="25" t="s">
        <v>6722</v>
      </c>
      <c r="C69" s="25" t="s">
        <v>6723</v>
      </c>
      <c r="D69" s="25" t="s">
        <v>6278</v>
      </c>
      <c r="E69" s="16" t="s">
        <v>6279</v>
      </c>
      <c r="F69" s="16" t="s">
        <v>6279</v>
      </c>
      <c r="G69" s="16" t="s">
        <v>6279</v>
      </c>
      <c r="H69" s="16" t="s">
        <v>6279</v>
      </c>
      <c r="I69" s="25" t="s">
        <v>6724</v>
      </c>
      <c r="J69" s="25"/>
      <c r="K69" s="25" t="s">
        <v>6281</v>
      </c>
      <c r="L69" s="26" t="s">
        <v>6725</v>
      </c>
      <c r="M69" s="26" t="s">
        <v>6726</v>
      </c>
      <c r="N69" s="27" t="s">
        <v>6727</v>
      </c>
      <c r="O69" s="26" t="s">
        <v>6728</v>
      </c>
      <c r="P69" s="20" t="b">
        <v>1</v>
      </c>
      <c r="Q69" s="20" t="s">
        <v>6282</v>
      </c>
      <c r="R69" s="28" t="s">
        <v>6283</v>
      </c>
      <c r="S69" s="25"/>
      <c r="T69" s="20" t="b">
        <v>1</v>
      </c>
      <c r="U69" s="25"/>
      <c r="V69" s="25">
        <v>631.94000000000005</v>
      </c>
      <c r="W69" s="28" t="s">
        <v>6729</v>
      </c>
      <c r="X69" s="28" t="s">
        <v>6285</v>
      </c>
      <c r="Y69" s="28" t="s">
        <v>6286</v>
      </c>
      <c r="Z69" s="28" t="s">
        <v>6287</v>
      </c>
      <c r="AA69" s="28" t="s">
        <v>6288</v>
      </c>
      <c r="AB69" s="28" t="s">
        <v>6297</v>
      </c>
    </row>
    <row r="70" spans="1:28" ht="185.4" x14ac:dyDescent="0.3">
      <c r="A70" s="25">
        <v>3115</v>
      </c>
      <c r="B70" s="25" t="s">
        <v>6730</v>
      </c>
      <c r="C70" s="25" t="s">
        <v>6731</v>
      </c>
      <c r="D70" s="25" t="s">
        <v>6291</v>
      </c>
      <c r="E70" s="16" t="s">
        <v>6292</v>
      </c>
      <c r="F70" s="16" t="s">
        <v>6292</v>
      </c>
      <c r="G70" s="16" t="s">
        <v>6292</v>
      </c>
      <c r="H70" s="16" t="s">
        <v>6292</v>
      </c>
      <c r="I70" s="25" t="s">
        <v>6732</v>
      </c>
      <c r="J70" s="25"/>
      <c r="K70" s="25" t="s">
        <v>6281</v>
      </c>
      <c r="L70" s="26" t="s">
        <v>6733</v>
      </c>
      <c r="M70" s="26" t="s">
        <v>6734</v>
      </c>
      <c r="N70" s="27" t="s">
        <v>6735</v>
      </c>
      <c r="O70" s="26" t="s">
        <v>6295</v>
      </c>
      <c r="P70" s="20" t="b">
        <v>1</v>
      </c>
      <c r="Q70" s="20" t="s">
        <v>6282</v>
      </c>
      <c r="R70" s="28" t="s">
        <v>6283</v>
      </c>
      <c r="S70" s="25"/>
      <c r="T70" s="20" t="b">
        <v>1</v>
      </c>
      <c r="U70" s="25"/>
      <c r="V70" s="25">
        <v>22.514399999999998</v>
      </c>
      <c r="W70" s="28" t="s">
        <v>6736</v>
      </c>
      <c r="X70" s="28" t="s">
        <v>6285</v>
      </c>
      <c r="Y70" s="28" t="s">
        <v>6286</v>
      </c>
      <c r="Z70" s="28" t="s">
        <v>6287</v>
      </c>
      <c r="AA70" s="28" t="s">
        <v>6288</v>
      </c>
      <c r="AB70" s="28" t="s">
        <v>6297</v>
      </c>
    </row>
    <row r="71" spans="1:28" ht="185.4" x14ac:dyDescent="0.3">
      <c r="A71" s="25">
        <v>3127</v>
      </c>
      <c r="B71" s="25" t="s">
        <v>6737</v>
      </c>
      <c r="C71" s="25" t="s">
        <v>6738</v>
      </c>
      <c r="D71" s="25" t="s">
        <v>6291</v>
      </c>
      <c r="E71" s="16" t="s">
        <v>6292</v>
      </c>
      <c r="F71" s="16" t="s">
        <v>6292</v>
      </c>
      <c r="G71" s="16" t="s">
        <v>6292</v>
      </c>
      <c r="H71" s="16" t="s">
        <v>6292</v>
      </c>
      <c r="I71" s="25" t="s">
        <v>6739</v>
      </c>
      <c r="J71" s="25"/>
      <c r="K71" s="25" t="s">
        <v>6281</v>
      </c>
      <c r="L71" s="26" t="s">
        <v>6740</v>
      </c>
      <c r="M71" s="26" t="s">
        <v>6295</v>
      </c>
      <c r="N71" s="27" t="s">
        <v>6741</v>
      </c>
      <c r="O71" s="26" t="s">
        <v>6295</v>
      </c>
      <c r="P71" s="20" t="b">
        <v>1</v>
      </c>
      <c r="Q71" s="20" t="s">
        <v>6282</v>
      </c>
      <c r="R71" s="28" t="s">
        <v>6283</v>
      </c>
      <c r="S71" s="25"/>
      <c r="T71" s="20" t="b">
        <v>1</v>
      </c>
      <c r="U71" s="25"/>
      <c r="V71" s="25">
        <v>27.6</v>
      </c>
      <c r="W71" s="28" t="s">
        <v>6742</v>
      </c>
      <c r="X71" s="28" t="s">
        <v>6285</v>
      </c>
      <c r="Y71" s="28" t="s">
        <v>6286</v>
      </c>
      <c r="Z71" s="28" t="s">
        <v>6287</v>
      </c>
      <c r="AA71" s="28" t="s">
        <v>6288</v>
      </c>
      <c r="AB71" s="28" t="s">
        <v>6297</v>
      </c>
    </row>
    <row r="72" spans="1:28" ht="185.4" x14ac:dyDescent="0.3">
      <c r="A72" s="25">
        <v>3136</v>
      </c>
      <c r="B72" s="25" t="s">
        <v>6743</v>
      </c>
      <c r="C72" s="25" t="s">
        <v>6744</v>
      </c>
      <c r="D72" s="25" t="s">
        <v>6370</v>
      </c>
      <c r="E72" s="16" t="s">
        <v>6371</v>
      </c>
      <c r="F72" s="16" t="s">
        <v>6371</v>
      </c>
      <c r="G72" s="16" t="s">
        <v>6371</v>
      </c>
      <c r="H72" s="16" t="s">
        <v>6371</v>
      </c>
      <c r="I72" s="25" t="s">
        <v>6745</v>
      </c>
      <c r="J72" s="25"/>
      <c r="K72" s="25" t="s">
        <v>6281</v>
      </c>
      <c r="L72" s="26" t="s">
        <v>6746</v>
      </c>
      <c r="M72" s="26" t="s">
        <v>6747</v>
      </c>
      <c r="N72" s="27" t="s">
        <v>6596</v>
      </c>
      <c r="O72" s="26" t="s">
        <v>6748</v>
      </c>
      <c r="P72" s="20" t="b">
        <v>1</v>
      </c>
      <c r="Q72" s="20" t="s">
        <v>6282</v>
      </c>
      <c r="R72" s="28" t="s">
        <v>6283</v>
      </c>
      <c r="S72" s="25"/>
      <c r="T72" s="20" t="b">
        <v>1</v>
      </c>
      <c r="U72" s="25"/>
      <c r="V72" s="25">
        <v>440</v>
      </c>
      <c r="W72" s="28" t="s">
        <v>6749</v>
      </c>
      <c r="X72" s="28" t="s">
        <v>6285</v>
      </c>
      <c r="Y72" s="28" t="s">
        <v>6286</v>
      </c>
      <c r="Z72" s="28" t="s">
        <v>6287</v>
      </c>
      <c r="AA72" s="28" t="s">
        <v>6288</v>
      </c>
      <c r="AB72" s="28" t="s">
        <v>6297</v>
      </c>
    </row>
    <row r="73" spans="1:28" ht="185.4" x14ac:dyDescent="0.3">
      <c r="A73" s="25">
        <v>3141</v>
      </c>
      <c r="B73" s="25" t="s">
        <v>6750</v>
      </c>
      <c r="C73" s="25" t="s">
        <v>6751</v>
      </c>
      <c r="D73" s="25" t="s">
        <v>6291</v>
      </c>
      <c r="E73" s="16" t="s">
        <v>6292</v>
      </c>
      <c r="F73" s="16" t="s">
        <v>6292</v>
      </c>
      <c r="G73" s="16" t="s">
        <v>6292</v>
      </c>
      <c r="H73" s="16" t="s">
        <v>6292</v>
      </c>
      <c r="I73" s="25" t="s">
        <v>6752</v>
      </c>
      <c r="J73" s="25"/>
      <c r="K73" s="25" t="s">
        <v>6281</v>
      </c>
      <c r="L73" s="26" t="s">
        <v>6753</v>
      </c>
      <c r="M73" s="26" t="s">
        <v>6295</v>
      </c>
      <c r="N73" s="27" t="s">
        <v>6754</v>
      </c>
      <c r="O73" s="26" t="s">
        <v>6755</v>
      </c>
      <c r="P73" s="20" t="b">
        <v>1</v>
      </c>
      <c r="Q73" s="20" t="s">
        <v>6282</v>
      </c>
      <c r="R73" s="28" t="s">
        <v>6283</v>
      </c>
      <c r="S73" s="25"/>
      <c r="T73" s="20" t="b">
        <v>1</v>
      </c>
      <c r="U73" s="25"/>
      <c r="V73" s="25">
        <v>108.24</v>
      </c>
      <c r="W73" s="28" t="s">
        <v>6756</v>
      </c>
      <c r="X73" s="28" t="s">
        <v>6285</v>
      </c>
      <c r="Y73" s="28" t="s">
        <v>6286</v>
      </c>
      <c r="Z73" s="28" t="s">
        <v>6287</v>
      </c>
      <c r="AA73" s="28" t="s">
        <v>6288</v>
      </c>
      <c r="AB73" s="28" t="s">
        <v>6297</v>
      </c>
    </row>
    <row r="74" spans="1:28" ht="185.4" x14ac:dyDescent="0.3">
      <c r="A74" s="25">
        <v>3164</v>
      </c>
      <c r="B74" s="25" t="s">
        <v>6757</v>
      </c>
      <c r="C74" s="25" t="s">
        <v>6758</v>
      </c>
      <c r="D74" s="25" t="s">
        <v>6278</v>
      </c>
      <c r="E74" s="16" t="s">
        <v>6279</v>
      </c>
      <c r="F74" s="16" t="s">
        <v>6279</v>
      </c>
      <c r="G74" s="16" t="s">
        <v>6279</v>
      </c>
      <c r="H74" s="16" t="s">
        <v>6279</v>
      </c>
      <c r="I74" s="25" t="s">
        <v>6759</v>
      </c>
      <c r="J74" s="25"/>
      <c r="K74" s="25" t="s">
        <v>6281</v>
      </c>
      <c r="L74" s="26" t="s">
        <v>6760</v>
      </c>
      <c r="M74" s="26" t="s">
        <v>6295</v>
      </c>
      <c r="N74" s="27" t="s">
        <v>6761</v>
      </c>
      <c r="O74" s="26" t="s">
        <v>6295</v>
      </c>
      <c r="P74" s="20" t="b">
        <v>1</v>
      </c>
      <c r="Q74" s="20" t="s">
        <v>6282</v>
      </c>
      <c r="R74" s="28" t="s">
        <v>6283</v>
      </c>
      <c r="S74" s="25"/>
      <c r="T74" s="20" t="b">
        <v>1</v>
      </c>
      <c r="U74" s="25"/>
      <c r="V74" s="25">
        <v>1159.6199999999999</v>
      </c>
      <c r="W74" s="28" t="s">
        <v>6762</v>
      </c>
      <c r="X74" s="28" t="s">
        <v>6285</v>
      </c>
      <c r="Y74" s="28" t="s">
        <v>6286</v>
      </c>
      <c r="Z74" s="28" t="s">
        <v>6287</v>
      </c>
      <c r="AA74" s="28" t="s">
        <v>6288</v>
      </c>
      <c r="AB74" s="28" t="s">
        <v>6297</v>
      </c>
    </row>
    <row r="75" spans="1:28" ht="185.4" x14ac:dyDescent="0.3">
      <c r="A75" s="25">
        <v>3282</v>
      </c>
      <c r="B75" s="25" t="s">
        <v>6763</v>
      </c>
      <c r="C75" s="25" t="s">
        <v>6764</v>
      </c>
      <c r="D75" s="25" t="s">
        <v>6278</v>
      </c>
      <c r="E75" s="16" t="s">
        <v>6279</v>
      </c>
      <c r="F75" s="16" t="s">
        <v>6279</v>
      </c>
      <c r="G75" s="16" t="s">
        <v>6279</v>
      </c>
      <c r="H75" s="16" t="s">
        <v>6279</v>
      </c>
      <c r="I75" s="25" t="s">
        <v>6765</v>
      </c>
      <c r="J75" s="25"/>
      <c r="K75" s="25" t="s">
        <v>6281</v>
      </c>
      <c r="L75" s="26" t="s">
        <v>6766</v>
      </c>
      <c r="M75" s="26" t="s">
        <v>6295</v>
      </c>
      <c r="N75" s="27" t="s">
        <v>6767</v>
      </c>
      <c r="O75" s="26" t="s">
        <v>6768</v>
      </c>
      <c r="P75" s="20" t="b">
        <v>1</v>
      </c>
      <c r="Q75" s="20" t="s">
        <v>6282</v>
      </c>
      <c r="R75" s="28" t="s">
        <v>6283</v>
      </c>
      <c r="S75" s="25"/>
      <c r="T75" s="20" t="b">
        <v>1</v>
      </c>
      <c r="U75" s="25"/>
      <c r="V75" s="25">
        <v>80</v>
      </c>
      <c r="W75" s="28" t="s">
        <v>6769</v>
      </c>
      <c r="X75" s="28" t="s">
        <v>6285</v>
      </c>
      <c r="Y75" s="28" t="s">
        <v>6286</v>
      </c>
      <c r="Z75" s="28" t="s">
        <v>6287</v>
      </c>
      <c r="AA75" s="28" t="s">
        <v>6288</v>
      </c>
      <c r="AB75" s="28" t="s">
        <v>6297</v>
      </c>
    </row>
    <row r="76" spans="1:28" ht="185.4" x14ac:dyDescent="0.3">
      <c r="A76" s="25">
        <v>3304</v>
      </c>
      <c r="B76" s="25" t="s">
        <v>6770</v>
      </c>
      <c r="C76" s="25" t="s">
        <v>6771</v>
      </c>
      <c r="D76" s="25" t="s">
        <v>6291</v>
      </c>
      <c r="E76" s="16" t="s">
        <v>6292</v>
      </c>
      <c r="F76" s="16" t="s">
        <v>6292</v>
      </c>
      <c r="G76" s="16" t="s">
        <v>6292</v>
      </c>
      <c r="H76" s="16" t="s">
        <v>6292</v>
      </c>
      <c r="I76" s="25" t="s">
        <v>6772</v>
      </c>
      <c r="J76" s="25"/>
      <c r="K76" s="25" t="s">
        <v>6281</v>
      </c>
      <c r="L76" s="26" t="s">
        <v>6773</v>
      </c>
      <c r="M76" s="26" t="s">
        <v>6774</v>
      </c>
      <c r="N76" s="27" t="s">
        <v>6775</v>
      </c>
      <c r="O76" s="26" t="s">
        <v>6776</v>
      </c>
      <c r="P76" s="20" t="b">
        <v>1</v>
      </c>
      <c r="Q76" s="20" t="s">
        <v>6282</v>
      </c>
      <c r="R76" s="28" t="s">
        <v>6283</v>
      </c>
      <c r="S76" s="25"/>
      <c r="T76" s="20" t="b">
        <v>1</v>
      </c>
      <c r="U76" s="25"/>
      <c r="V76" s="25">
        <v>70.8</v>
      </c>
      <c r="W76" s="28" t="s">
        <v>6777</v>
      </c>
      <c r="X76" s="28" t="s">
        <v>6285</v>
      </c>
      <c r="Y76" s="28" t="s">
        <v>6286</v>
      </c>
      <c r="Z76" s="28" t="s">
        <v>6287</v>
      </c>
      <c r="AA76" s="28" t="s">
        <v>6288</v>
      </c>
      <c r="AB76" s="28" t="s">
        <v>6297</v>
      </c>
    </row>
    <row r="77" spans="1:28" ht="185.4" x14ac:dyDescent="0.3">
      <c r="A77" s="25">
        <v>3314</v>
      </c>
      <c r="B77" s="25" t="s">
        <v>6778</v>
      </c>
      <c r="C77" s="25" t="s">
        <v>6779</v>
      </c>
      <c r="D77" s="25" t="s">
        <v>6291</v>
      </c>
      <c r="E77" s="16" t="s">
        <v>6292</v>
      </c>
      <c r="F77" s="16" t="s">
        <v>6292</v>
      </c>
      <c r="G77" s="16" t="s">
        <v>6292</v>
      </c>
      <c r="H77" s="16" t="s">
        <v>6292</v>
      </c>
      <c r="I77" s="25" t="s">
        <v>6780</v>
      </c>
      <c r="J77" s="25"/>
      <c r="K77" s="25" t="s">
        <v>6281</v>
      </c>
      <c r="L77" s="26" t="s">
        <v>6781</v>
      </c>
      <c r="M77" s="26" t="s">
        <v>6295</v>
      </c>
      <c r="N77" s="27" t="s">
        <v>6782</v>
      </c>
      <c r="O77" s="26" t="s">
        <v>6295</v>
      </c>
      <c r="P77" s="20" t="b">
        <v>1</v>
      </c>
      <c r="Q77" s="20" t="s">
        <v>6282</v>
      </c>
      <c r="R77" s="28" t="s">
        <v>6283</v>
      </c>
      <c r="S77" s="25"/>
      <c r="T77" s="20" t="b">
        <v>1</v>
      </c>
      <c r="U77" s="25"/>
      <c r="V77" s="25">
        <v>26.95</v>
      </c>
      <c r="W77" s="28" t="s">
        <v>6783</v>
      </c>
      <c r="X77" s="28" t="s">
        <v>6285</v>
      </c>
      <c r="Y77" s="28" t="s">
        <v>6286</v>
      </c>
      <c r="Z77" s="28" t="s">
        <v>6287</v>
      </c>
      <c r="AA77" s="28" t="s">
        <v>6288</v>
      </c>
      <c r="AB77" s="28" t="s">
        <v>6297</v>
      </c>
    </row>
    <row r="78" spans="1:28" ht="185.4" x14ac:dyDescent="0.3">
      <c r="A78" s="25">
        <v>3345</v>
      </c>
      <c r="B78" s="25" t="s">
        <v>6784</v>
      </c>
      <c r="C78" s="25" t="s">
        <v>6785</v>
      </c>
      <c r="D78" s="25" t="s">
        <v>6291</v>
      </c>
      <c r="E78" s="16" t="s">
        <v>6786</v>
      </c>
      <c r="F78" s="16" t="s">
        <v>6786</v>
      </c>
      <c r="G78" s="16" t="s">
        <v>6786</v>
      </c>
      <c r="H78" s="16" t="s">
        <v>6786</v>
      </c>
      <c r="I78" s="25" t="s">
        <v>6787</v>
      </c>
      <c r="J78" s="25"/>
      <c r="K78" s="25" t="s">
        <v>6281</v>
      </c>
      <c r="L78" s="26" t="s">
        <v>6788</v>
      </c>
      <c r="M78" s="26" t="s">
        <v>6295</v>
      </c>
      <c r="N78" s="27" t="s">
        <v>6789</v>
      </c>
      <c r="O78" s="26" t="s">
        <v>6295</v>
      </c>
      <c r="P78" s="20" t="b">
        <v>1</v>
      </c>
      <c r="Q78" s="20" t="s">
        <v>6282</v>
      </c>
      <c r="R78" s="28" t="s">
        <v>6283</v>
      </c>
      <c r="S78" s="25"/>
      <c r="T78" s="20" t="b">
        <v>1</v>
      </c>
      <c r="U78" s="25"/>
      <c r="V78" s="25">
        <v>16.702000000000002</v>
      </c>
      <c r="W78" s="28" t="s">
        <v>6790</v>
      </c>
      <c r="X78" s="28" t="s">
        <v>6285</v>
      </c>
      <c r="Y78" s="28" t="s">
        <v>6286</v>
      </c>
      <c r="Z78" s="28" t="s">
        <v>6287</v>
      </c>
      <c r="AA78" s="28" t="s">
        <v>6288</v>
      </c>
      <c r="AB78" s="28" t="s">
        <v>6297</v>
      </c>
    </row>
    <row r="79" spans="1:28" ht="185.4" x14ac:dyDescent="0.3">
      <c r="A79" s="25">
        <v>3356</v>
      </c>
      <c r="B79" s="25" t="s">
        <v>6791</v>
      </c>
      <c r="C79" s="25" t="s">
        <v>6792</v>
      </c>
      <c r="D79" s="25" t="s">
        <v>6291</v>
      </c>
      <c r="E79" s="16" t="s">
        <v>6793</v>
      </c>
      <c r="F79" s="16" t="s">
        <v>6793</v>
      </c>
      <c r="G79" s="16" t="s">
        <v>6793</v>
      </c>
      <c r="H79" s="16" t="s">
        <v>6793</v>
      </c>
      <c r="I79" s="25" t="s">
        <v>6794</v>
      </c>
      <c r="J79" s="25"/>
      <c r="K79" s="25" t="s">
        <v>6281</v>
      </c>
      <c r="L79" s="26" t="s">
        <v>6795</v>
      </c>
      <c r="M79" s="26" t="s">
        <v>6796</v>
      </c>
      <c r="N79" s="27" t="s">
        <v>6797</v>
      </c>
      <c r="O79" s="26" t="s">
        <v>6798</v>
      </c>
      <c r="P79" s="20" t="b">
        <v>1</v>
      </c>
      <c r="Q79" s="20" t="s">
        <v>6282</v>
      </c>
      <c r="R79" s="28" t="s">
        <v>6283</v>
      </c>
      <c r="S79" s="25"/>
      <c r="T79" s="20" t="b">
        <v>1</v>
      </c>
      <c r="U79" s="25"/>
      <c r="V79" s="25">
        <v>66.979500000000002</v>
      </c>
      <c r="W79" s="28" t="s">
        <v>6799</v>
      </c>
      <c r="X79" s="28" t="s">
        <v>6285</v>
      </c>
      <c r="Y79" s="28" t="s">
        <v>6286</v>
      </c>
      <c r="Z79" s="28" t="s">
        <v>6287</v>
      </c>
      <c r="AA79" s="28" t="s">
        <v>6288</v>
      </c>
      <c r="AB79" s="28" t="s">
        <v>6297</v>
      </c>
    </row>
    <row r="80" spans="1:28" ht="185.4" x14ac:dyDescent="0.3">
      <c r="A80" s="25">
        <v>3368</v>
      </c>
      <c r="B80" s="25" t="s">
        <v>6800</v>
      </c>
      <c r="C80" s="25" t="s">
        <v>6801</v>
      </c>
      <c r="D80" s="25" t="s">
        <v>6291</v>
      </c>
      <c r="E80" s="16" t="s">
        <v>6292</v>
      </c>
      <c r="F80" s="16" t="s">
        <v>6292</v>
      </c>
      <c r="G80" s="16" t="s">
        <v>6292</v>
      </c>
      <c r="H80" s="16" t="s">
        <v>6292</v>
      </c>
      <c r="I80" s="25" t="s">
        <v>6802</v>
      </c>
      <c r="J80" s="25"/>
      <c r="K80" s="25" t="s">
        <v>6281</v>
      </c>
      <c r="L80" s="26" t="s">
        <v>6803</v>
      </c>
      <c r="M80" s="26" t="s">
        <v>6804</v>
      </c>
      <c r="N80" s="27" t="s">
        <v>6805</v>
      </c>
      <c r="O80" s="26" t="s">
        <v>6295</v>
      </c>
      <c r="P80" s="20" t="b">
        <v>1</v>
      </c>
      <c r="Q80" s="20" t="s">
        <v>6282</v>
      </c>
      <c r="R80" s="28" t="s">
        <v>6283</v>
      </c>
      <c r="S80" s="25"/>
      <c r="T80" s="20" t="b">
        <v>1</v>
      </c>
      <c r="U80" s="25"/>
      <c r="V80" s="25">
        <v>10.65</v>
      </c>
      <c r="W80" s="28" t="s">
        <v>6806</v>
      </c>
      <c r="X80" s="28" t="s">
        <v>6285</v>
      </c>
      <c r="Y80" s="28" t="s">
        <v>6286</v>
      </c>
      <c r="Z80" s="28" t="s">
        <v>6287</v>
      </c>
      <c r="AA80" s="28" t="s">
        <v>6288</v>
      </c>
      <c r="AB80" s="28" t="s">
        <v>6297</v>
      </c>
    </row>
    <row r="81" spans="1:28" ht="198.6" x14ac:dyDescent="0.3">
      <c r="A81" s="25">
        <v>3479</v>
      </c>
      <c r="B81" s="25" t="s">
        <v>6807</v>
      </c>
      <c r="C81" s="25" t="s">
        <v>6808</v>
      </c>
      <c r="D81" s="25" t="s">
        <v>6278</v>
      </c>
      <c r="E81" s="16" t="s">
        <v>6279</v>
      </c>
      <c r="F81" s="16" t="s">
        <v>6279</v>
      </c>
      <c r="G81" s="16" t="s">
        <v>6279</v>
      </c>
      <c r="H81" s="16" t="s">
        <v>6279</v>
      </c>
      <c r="I81" s="25" t="s">
        <v>6809</v>
      </c>
      <c r="J81" s="25"/>
      <c r="K81" s="25" t="s">
        <v>6281</v>
      </c>
      <c r="L81" s="26" t="s">
        <v>6810</v>
      </c>
      <c r="M81" s="26" t="s">
        <v>6811</v>
      </c>
      <c r="N81" s="27" t="s">
        <v>6812</v>
      </c>
      <c r="O81" s="26" t="s">
        <v>6295</v>
      </c>
      <c r="P81" s="20" t="b">
        <v>1</v>
      </c>
      <c r="Q81" s="20" t="s">
        <v>6282</v>
      </c>
      <c r="R81" s="28" t="s">
        <v>6283</v>
      </c>
      <c r="S81" s="25"/>
      <c r="T81" s="20" t="b">
        <v>1</v>
      </c>
      <c r="U81" s="25"/>
      <c r="V81" s="25">
        <v>13.14</v>
      </c>
      <c r="W81" s="28" t="s">
        <v>6813</v>
      </c>
      <c r="X81" s="28" t="s">
        <v>6285</v>
      </c>
      <c r="Y81" s="28" t="s">
        <v>6286</v>
      </c>
      <c r="Z81" s="28" t="s">
        <v>6287</v>
      </c>
      <c r="AA81" s="28" t="s">
        <v>6288</v>
      </c>
      <c r="AB81" s="28" t="s">
        <v>6297</v>
      </c>
    </row>
    <row r="82" spans="1:28" ht="185.4" x14ac:dyDescent="0.3">
      <c r="A82" s="25">
        <v>3516</v>
      </c>
      <c r="B82" s="25" t="s">
        <v>6814</v>
      </c>
      <c r="C82" s="25" t="s">
        <v>6815</v>
      </c>
      <c r="D82" s="25" t="s">
        <v>6278</v>
      </c>
      <c r="E82" s="16" t="s">
        <v>6279</v>
      </c>
      <c r="F82" s="16" t="s">
        <v>6279</v>
      </c>
      <c r="G82" s="16" t="s">
        <v>6279</v>
      </c>
      <c r="H82" s="16" t="s">
        <v>6279</v>
      </c>
      <c r="I82" s="25" t="s">
        <v>6816</v>
      </c>
      <c r="J82" s="25"/>
      <c r="K82" s="25" t="s">
        <v>6281</v>
      </c>
      <c r="L82" s="26" t="s">
        <v>6817</v>
      </c>
      <c r="M82" s="26" t="s">
        <v>6295</v>
      </c>
      <c r="N82" s="27" t="s">
        <v>6818</v>
      </c>
      <c r="O82" s="26" t="s">
        <v>6295</v>
      </c>
      <c r="P82" s="20" t="b">
        <v>1</v>
      </c>
      <c r="Q82" s="20" t="s">
        <v>6282</v>
      </c>
      <c r="R82" s="28" t="s">
        <v>6283</v>
      </c>
      <c r="S82" s="25"/>
      <c r="T82" s="20" t="b">
        <v>1</v>
      </c>
      <c r="U82" s="25"/>
      <c r="V82" s="25">
        <v>25559.09</v>
      </c>
      <c r="W82" s="28" t="s">
        <v>6819</v>
      </c>
      <c r="X82" s="28" t="s">
        <v>6285</v>
      </c>
      <c r="Y82" s="28" t="s">
        <v>6286</v>
      </c>
      <c r="Z82" s="28" t="s">
        <v>6287</v>
      </c>
      <c r="AA82" s="28" t="s">
        <v>6288</v>
      </c>
      <c r="AB82" s="28" t="s">
        <v>6297</v>
      </c>
    </row>
    <row r="83" spans="1:28" ht="185.4" x14ac:dyDescent="0.3">
      <c r="A83" s="25">
        <v>3524</v>
      </c>
      <c r="B83" s="25" t="s">
        <v>6820</v>
      </c>
      <c r="C83" s="25" t="s">
        <v>6821</v>
      </c>
      <c r="D83" s="25" t="s">
        <v>6278</v>
      </c>
      <c r="E83" s="16" t="s">
        <v>6279</v>
      </c>
      <c r="F83" s="16" t="s">
        <v>6279</v>
      </c>
      <c r="G83" s="16" t="s">
        <v>6279</v>
      </c>
      <c r="H83" s="16" t="s">
        <v>6279</v>
      </c>
      <c r="I83" s="25" t="s">
        <v>6822</v>
      </c>
      <c r="J83" s="25"/>
      <c r="K83" s="25" t="s">
        <v>6281</v>
      </c>
      <c r="L83" s="26" t="s">
        <v>6823</v>
      </c>
      <c r="M83" s="26" t="s">
        <v>6295</v>
      </c>
      <c r="N83" s="27" t="s">
        <v>6824</v>
      </c>
      <c r="O83" s="26" t="s">
        <v>6825</v>
      </c>
      <c r="P83" s="20" t="b">
        <v>1</v>
      </c>
      <c r="Q83" s="20" t="s">
        <v>6282</v>
      </c>
      <c r="R83" s="28" t="s">
        <v>6283</v>
      </c>
      <c r="S83" s="25"/>
      <c r="T83" s="20" t="b">
        <v>1</v>
      </c>
      <c r="U83" s="25"/>
      <c r="V83" s="25">
        <v>850.45</v>
      </c>
      <c r="W83" s="28" t="s">
        <v>6826</v>
      </c>
      <c r="X83" s="28" t="s">
        <v>6285</v>
      </c>
      <c r="Y83" s="28" t="s">
        <v>6286</v>
      </c>
      <c r="Z83" s="28" t="s">
        <v>6287</v>
      </c>
      <c r="AA83" s="28" t="s">
        <v>6288</v>
      </c>
      <c r="AB83" s="28" t="s">
        <v>6297</v>
      </c>
    </row>
    <row r="84" spans="1:28" ht="225" x14ac:dyDescent="0.3">
      <c r="A84" s="25">
        <v>3538</v>
      </c>
      <c r="B84" s="25" t="s">
        <v>6827</v>
      </c>
      <c r="C84" s="25" t="s">
        <v>6828</v>
      </c>
      <c r="D84" s="25" t="s">
        <v>6291</v>
      </c>
      <c r="E84" s="16" t="s">
        <v>6786</v>
      </c>
      <c r="F84" s="16" t="s">
        <v>6786</v>
      </c>
      <c r="G84" s="16" t="s">
        <v>6786</v>
      </c>
      <c r="H84" s="16" t="s">
        <v>6786</v>
      </c>
      <c r="I84" s="25" t="s">
        <v>6829</v>
      </c>
      <c r="J84" s="25"/>
      <c r="K84" s="25" t="s">
        <v>6281</v>
      </c>
      <c r="L84" s="26" t="s">
        <v>6830</v>
      </c>
      <c r="M84" s="26" t="s">
        <v>6831</v>
      </c>
      <c r="N84" s="27" t="s">
        <v>6832</v>
      </c>
      <c r="O84" s="26" t="s">
        <v>6833</v>
      </c>
      <c r="P84" s="20" t="b">
        <v>1</v>
      </c>
      <c r="Q84" s="20" t="s">
        <v>6282</v>
      </c>
      <c r="R84" s="28" t="s">
        <v>6283</v>
      </c>
      <c r="S84" s="25"/>
      <c r="T84" s="20" t="b">
        <v>1</v>
      </c>
      <c r="U84" s="25"/>
      <c r="V84" s="25" t="s">
        <v>6295</v>
      </c>
      <c r="W84" s="28" t="s">
        <v>6834</v>
      </c>
      <c r="X84" s="28" t="s">
        <v>6285</v>
      </c>
      <c r="Y84" s="28" t="s">
        <v>6286</v>
      </c>
      <c r="Z84" s="28" t="s">
        <v>6287</v>
      </c>
      <c r="AA84" s="28" t="s">
        <v>6288</v>
      </c>
      <c r="AB84" s="28" t="s">
        <v>6297</v>
      </c>
    </row>
    <row r="85" spans="1:28" ht="185.4" x14ac:dyDescent="0.3">
      <c r="A85" s="25">
        <v>3551</v>
      </c>
      <c r="B85" s="25" t="s">
        <v>6835</v>
      </c>
      <c r="C85" s="25" t="s">
        <v>6836</v>
      </c>
      <c r="D85" s="25" t="s">
        <v>6278</v>
      </c>
      <c r="E85" s="16" t="s">
        <v>6279</v>
      </c>
      <c r="F85" s="16" t="s">
        <v>6279</v>
      </c>
      <c r="G85" s="16" t="s">
        <v>6279</v>
      </c>
      <c r="H85" s="16" t="s">
        <v>6279</v>
      </c>
      <c r="I85" s="25" t="s">
        <v>6837</v>
      </c>
      <c r="J85" s="25"/>
      <c r="K85" s="25" t="s">
        <v>6281</v>
      </c>
      <c r="L85" s="26" t="s">
        <v>6838</v>
      </c>
      <c r="M85" s="26" t="s">
        <v>6295</v>
      </c>
      <c r="N85" s="27" t="s">
        <v>6839</v>
      </c>
      <c r="O85" s="26" t="s">
        <v>6840</v>
      </c>
      <c r="P85" s="20" t="b">
        <v>1</v>
      </c>
      <c r="Q85" s="20" t="s">
        <v>6282</v>
      </c>
      <c r="R85" s="28" t="s">
        <v>6283</v>
      </c>
      <c r="S85" s="25"/>
      <c r="T85" s="20" t="b">
        <v>1</v>
      </c>
      <c r="U85" s="25"/>
      <c r="V85" s="25">
        <v>30.01</v>
      </c>
      <c r="W85" s="28" t="s">
        <v>6841</v>
      </c>
      <c r="X85" s="28" t="s">
        <v>6285</v>
      </c>
      <c r="Y85" s="28" t="s">
        <v>6286</v>
      </c>
      <c r="Z85" s="28" t="s">
        <v>6287</v>
      </c>
      <c r="AA85" s="28" t="s">
        <v>6288</v>
      </c>
      <c r="AB85" s="28" t="s">
        <v>6297</v>
      </c>
    </row>
    <row r="86" spans="1:28" ht="185.4" x14ac:dyDescent="0.3">
      <c r="A86" s="25">
        <v>3614</v>
      </c>
      <c r="B86" s="25" t="s">
        <v>6842</v>
      </c>
      <c r="C86" s="25" t="s">
        <v>6843</v>
      </c>
      <c r="D86" s="25" t="s">
        <v>6278</v>
      </c>
      <c r="E86" s="16" t="s">
        <v>6279</v>
      </c>
      <c r="F86" s="16" t="s">
        <v>6279</v>
      </c>
      <c r="G86" s="16" t="s">
        <v>6279</v>
      </c>
      <c r="H86" s="16" t="s">
        <v>6279</v>
      </c>
      <c r="I86" s="25" t="s">
        <v>6844</v>
      </c>
      <c r="J86" s="25"/>
      <c r="K86" s="25" t="s">
        <v>6281</v>
      </c>
      <c r="L86" s="26" t="s">
        <v>6845</v>
      </c>
      <c r="M86" s="26" t="s">
        <v>6846</v>
      </c>
      <c r="N86" s="27" t="s">
        <v>6847</v>
      </c>
      <c r="O86" s="26" t="s">
        <v>6295</v>
      </c>
      <c r="P86" s="20" t="b">
        <v>1</v>
      </c>
      <c r="Q86" s="20" t="s">
        <v>6282</v>
      </c>
      <c r="R86" s="28" t="s">
        <v>6283</v>
      </c>
      <c r="S86" s="25"/>
      <c r="T86" s="20" t="b">
        <v>1</v>
      </c>
      <c r="U86" s="25"/>
      <c r="V86" s="25">
        <v>211.61</v>
      </c>
      <c r="W86" s="28" t="s">
        <v>6848</v>
      </c>
      <c r="X86" s="28" t="s">
        <v>6285</v>
      </c>
      <c r="Y86" s="28" t="s">
        <v>6286</v>
      </c>
      <c r="Z86" s="28" t="s">
        <v>6287</v>
      </c>
      <c r="AA86" s="28" t="s">
        <v>6288</v>
      </c>
      <c r="AB86" s="28" t="s">
        <v>6297</v>
      </c>
    </row>
    <row r="87" spans="1:28" ht="185.4" x14ac:dyDescent="0.3">
      <c r="A87" s="25">
        <v>3653</v>
      </c>
      <c r="B87" s="25" t="s">
        <v>6849</v>
      </c>
      <c r="C87" s="25" t="s">
        <v>6850</v>
      </c>
      <c r="D87" s="25" t="s">
        <v>6291</v>
      </c>
      <c r="E87" s="16" t="s">
        <v>6292</v>
      </c>
      <c r="F87" s="16" t="s">
        <v>6292</v>
      </c>
      <c r="G87" s="16" t="s">
        <v>6292</v>
      </c>
      <c r="H87" s="16" t="s">
        <v>6292</v>
      </c>
      <c r="I87" s="25" t="s">
        <v>6851</v>
      </c>
      <c r="J87" s="25"/>
      <c r="K87" s="25" t="s">
        <v>6281</v>
      </c>
      <c r="L87" s="26" t="s">
        <v>6852</v>
      </c>
      <c r="M87" s="26" t="s">
        <v>6853</v>
      </c>
      <c r="N87" s="27" t="s">
        <v>6854</v>
      </c>
      <c r="O87" s="26" t="s">
        <v>6855</v>
      </c>
      <c r="P87" s="20" t="b">
        <v>1</v>
      </c>
      <c r="Q87" s="20" t="s">
        <v>6282</v>
      </c>
      <c r="R87" s="28" t="s">
        <v>6283</v>
      </c>
      <c r="S87" s="25"/>
      <c r="T87" s="20" t="b">
        <v>1</v>
      </c>
      <c r="U87" s="25"/>
      <c r="V87" s="25">
        <v>24.5</v>
      </c>
      <c r="W87" s="28" t="s">
        <v>6856</v>
      </c>
      <c r="X87" s="28" t="s">
        <v>6285</v>
      </c>
      <c r="Y87" s="28" t="s">
        <v>6286</v>
      </c>
      <c r="Z87" s="28" t="s">
        <v>6287</v>
      </c>
      <c r="AA87" s="28" t="s">
        <v>6288</v>
      </c>
      <c r="AB87" s="28" t="s">
        <v>6297</v>
      </c>
    </row>
    <row r="88" spans="1:28" ht="185.4" x14ac:dyDescent="0.3">
      <c r="A88" s="25">
        <v>3664</v>
      </c>
      <c r="B88" s="25" t="s">
        <v>6857</v>
      </c>
      <c r="C88" s="25" t="s">
        <v>6858</v>
      </c>
      <c r="D88" s="25" t="s">
        <v>6278</v>
      </c>
      <c r="E88" s="16" t="s">
        <v>6279</v>
      </c>
      <c r="F88" s="16" t="s">
        <v>6279</v>
      </c>
      <c r="G88" s="16" t="s">
        <v>6279</v>
      </c>
      <c r="H88" s="16" t="s">
        <v>6279</v>
      </c>
      <c r="I88" s="25" t="s">
        <v>6859</v>
      </c>
      <c r="J88" s="25"/>
      <c r="K88" s="25" t="s">
        <v>6281</v>
      </c>
      <c r="L88" s="26" t="s">
        <v>6860</v>
      </c>
      <c r="M88" s="26" t="s">
        <v>6295</v>
      </c>
      <c r="N88" s="27" t="s">
        <v>6861</v>
      </c>
      <c r="O88" s="26" t="s">
        <v>6862</v>
      </c>
      <c r="P88" s="20" t="b">
        <v>1</v>
      </c>
      <c r="Q88" s="20" t="s">
        <v>6282</v>
      </c>
      <c r="R88" s="28" t="s">
        <v>6283</v>
      </c>
      <c r="S88" s="25"/>
      <c r="T88" s="20" t="b">
        <v>1</v>
      </c>
      <c r="U88" s="25"/>
      <c r="V88" s="25">
        <v>123.72320000000001</v>
      </c>
      <c r="W88" s="28" t="s">
        <v>6863</v>
      </c>
      <c r="X88" s="28" t="s">
        <v>6285</v>
      </c>
      <c r="Y88" s="28" t="s">
        <v>6286</v>
      </c>
      <c r="Z88" s="28" t="s">
        <v>6287</v>
      </c>
      <c r="AA88" s="28" t="s">
        <v>6288</v>
      </c>
      <c r="AB88" s="28" t="s">
        <v>6297</v>
      </c>
    </row>
    <row r="89" spans="1:28" ht="185.4" x14ac:dyDescent="0.3">
      <c r="A89" s="25">
        <v>3683</v>
      </c>
      <c r="B89" s="25" t="s">
        <v>6864</v>
      </c>
      <c r="C89" s="25" t="s">
        <v>6865</v>
      </c>
      <c r="D89" s="25" t="s">
        <v>6278</v>
      </c>
      <c r="E89" s="16" t="s">
        <v>6279</v>
      </c>
      <c r="F89" s="16" t="s">
        <v>6279</v>
      </c>
      <c r="G89" s="16" t="s">
        <v>6279</v>
      </c>
      <c r="H89" s="16" t="s">
        <v>6279</v>
      </c>
      <c r="I89" s="25" t="s">
        <v>6866</v>
      </c>
      <c r="J89" s="25"/>
      <c r="K89" s="25" t="s">
        <v>6281</v>
      </c>
      <c r="L89" s="26" t="s">
        <v>6867</v>
      </c>
      <c r="M89" s="26" t="s">
        <v>6295</v>
      </c>
      <c r="N89" s="27" t="s">
        <v>6868</v>
      </c>
      <c r="O89" s="26" t="s">
        <v>6869</v>
      </c>
      <c r="P89" s="20" t="b">
        <v>1</v>
      </c>
      <c r="Q89" s="20" t="s">
        <v>6282</v>
      </c>
      <c r="R89" s="28" t="s">
        <v>6283</v>
      </c>
      <c r="S89" s="25"/>
      <c r="T89" s="20" t="b">
        <v>1</v>
      </c>
      <c r="U89" s="25"/>
      <c r="V89" s="25">
        <v>790.67</v>
      </c>
      <c r="W89" s="28" t="s">
        <v>6870</v>
      </c>
      <c r="X89" s="28" t="s">
        <v>6285</v>
      </c>
      <c r="Y89" s="28" t="s">
        <v>6286</v>
      </c>
      <c r="Z89" s="28" t="s">
        <v>6287</v>
      </c>
      <c r="AA89" s="28" t="s">
        <v>6288</v>
      </c>
      <c r="AB89" s="28" t="s">
        <v>6297</v>
      </c>
    </row>
    <row r="90" spans="1:28" ht="185.4" x14ac:dyDescent="0.3">
      <c r="A90" s="25">
        <v>3713</v>
      </c>
      <c r="B90" s="25" t="s">
        <v>6871</v>
      </c>
      <c r="C90" s="25" t="s">
        <v>6872</v>
      </c>
      <c r="D90" s="25" t="s">
        <v>6291</v>
      </c>
      <c r="E90" s="16" t="s">
        <v>6292</v>
      </c>
      <c r="F90" s="16" t="s">
        <v>6292</v>
      </c>
      <c r="G90" s="16" t="s">
        <v>6292</v>
      </c>
      <c r="H90" s="16" t="s">
        <v>6292</v>
      </c>
      <c r="I90" s="25" t="s">
        <v>6873</v>
      </c>
      <c r="J90" s="25"/>
      <c r="K90" s="25" t="s">
        <v>6281</v>
      </c>
      <c r="L90" s="26" t="s">
        <v>6874</v>
      </c>
      <c r="M90" s="26" t="s">
        <v>6309</v>
      </c>
      <c r="N90" s="27" t="s">
        <v>6875</v>
      </c>
      <c r="O90" s="26" t="s">
        <v>6295</v>
      </c>
      <c r="P90" s="20" t="b">
        <v>1</v>
      </c>
      <c r="Q90" s="20" t="s">
        <v>6282</v>
      </c>
      <c r="R90" s="28" t="s">
        <v>6283</v>
      </c>
      <c r="S90" s="25"/>
      <c r="T90" s="20" t="b">
        <v>1</v>
      </c>
      <c r="U90" s="25"/>
      <c r="V90" s="25">
        <v>20</v>
      </c>
      <c r="W90" s="28" t="s">
        <v>6876</v>
      </c>
      <c r="X90" s="28" t="s">
        <v>6285</v>
      </c>
      <c r="Y90" s="28" t="s">
        <v>6286</v>
      </c>
      <c r="Z90" s="28" t="s">
        <v>6287</v>
      </c>
      <c r="AA90" s="28" t="s">
        <v>6288</v>
      </c>
      <c r="AB90" s="28" t="s">
        <v>6297</v>
      </c>
    </row>
    <row r="91" spans="1:28" ht="185.4" x14ac:dyDescent="0.3">
      <c r="A91" s="25">
        <v>3771</v>
      </c>
      <c r="B91" s="25" t="s">
        <v>6877</v>
      </c>
      <c r="C91" s="25" t="s">
        <v>6878</v>
      </c>
      <c r="D91" s="25" t="s">
        <v>6278</v>
      </c>
      <c r="E91" s="16" t="s">
        <v>6279</v>
      </c>
      <c r="F91" s="16" t="s">
        <v>6279</v>
      </c>
      <c r="G91" s="16" t="s">
        <v>6279</v>
      </c>
      <c r="H91" s="16" t="s">
        <v>6279</v>
      </c>
      <c r="I91" s="25" t="s">
        <v>6879</v>
      </c>
      <c r="J91" s="25"/>
      <c r="K91" s="25" t="s">
        <v>6281</v>
      </c>
      <c r="L91" s="26" t="s">
        <v>6880</v>
      </c>
      <c r="M91" s="26" t="s">
        <v>6295</v>
      </c>
      <c r="N91" s="27" t="s">
        <v>6881</v>
      </c>
      <c r="O91" s="26" t="s">
        <v>6295</v>
      </c>
      <c r="P91" s="20" t="b">
        <v>1</v>
      </c>
      <c r="Q91" s="20" t="s">
        <v>6282</v>
      </c>
      <c r="R91" s="28" t="s">
        <v>6283</v>
      </c>
      <c r="S91" s="25"/>
      <c r="T91" s="20" t="b">
        <v>1</v>
      </c>
      <c r="U91" s="25"/>
      <c r="V91" s="25">
        <v>400</v>
      </c>
      <c r="W91" s="28" t="s">
        <v>6882</v>
      </c>
      <c r="X91" s="28" t="s">
        <v>6285</v>
      </c>
      <c r="Y91" s="28" t="s">
        <v>6286</v>
      </c>
      <c r="Z91" s="28" t="s">
        <v>6287</v>
      </c>
      <c r="AA91" s="28" t="s">
        <v>6288</v>
      </c>
      <c r="AB91" s="28" t="s">
        <v>6297</v>
      </c>
    </row>
    <row r="92" spans="1:28" ht="185.4" x14ac:dyDescent="0.3">
      <c r="A92" s="25">
        <v>4115</v>
      </c>
      <c r="B92" s="25" t="s">
        <v>6883</v>
      </c>
      <c r="C92" s="25" t="s">
        <v>6884</v>
      </c>
      <c r="D92" s="25" t="s">
        <v>6278</v>
      </c>
      <c r="E92" s="16" t="s">
        <v>6279</v>
      </c>
      <c r="F92" s="16" t="s">
        <v>6279</v>
      </c>
      <c r="G92" s="16" t="s">
        <v>6279</v>
      </c>
      <c r="H92" s="16" t="s">
        <v>6279</v>
      </c>
      <c r="I92" s="25" t="s">
        <v>6885</v>
      </c>
      <c r="J92" s="25"/>
      <c r="K92" s="25" t="s">
        <v>6281</v>
      </c>
      <c r="L92" s="26" t="s">
        <v>6886</v>
      </c>
      <c r="M92" s="26" t="s">
        <v>6887</v>
      </c>
      <c r="N92" s="27" t="s">
        <v>6888</v>
      </c>
      <c r="O92" s="26" t="s">
        <v>6889</v>
      </c>
      <c r="P92" s="20" t="b">
        <v>1</v>
      </c>
      <c r="Q92" s="20" t="s">
        <v>6282</v>
      </c>
      <c r="R92" s="28" t="s">
        <v>6283</v>
      </c>
      <c r="S92" s="25"/>
      <c r="T92" s="20" t="b">
        <v>1</v>
      </c>
      <c r="U92" s="25"/>
      <c r="V92" s="25">
        <v>21.86</v>
      </c>
      <c r="W92" s="28" t="s">
        <v>6890</v>
      </c>
      <c r="X92" s="28" t="s">
        <v>6285</v>
      </c>
      <c r="Y92" s="28" t="s">
        <v>6286</v>
      </c>
      <c r="Z92" s="28" t="s">
        <v>6287</v>
      </c>
      <c r="AA92" s="28" t="s">
        <v>6288</v>
      </c>
      <c r="AB92" s="28" t="s">
        <v>6297</v>
      </c>
    </row>
    <row r="93" spans="1:28" ht="198.6" x14ac:dyDescent="0.3">
      <c r="A93" s="25">
        <v>4121</v>
      </c>
      <c r="B93" s="25" t="s">
        <v>6891</v>
      </c>
      <c r="C93" s="25" t="s">
        <v>6892</v>
      </c>
      <c r="D93" s="25" t="s">
        <v>6291</v>
      </c>
      <c r="E93" s="16" t="s">
        <v>6292</v>
      </c>
      <c r="F93" s="16" t="s">
        <v>6292</v>
      </c>
      <c r="G93" s="16" t="s">
        <v>6292</v>
      </c>
      <c r="H93" s="16" t="s">
        <v>6292</v>
      </c>
      <c r="I93" s="25" t="s">
        <v>6893</v>
      </c>
      <c r="J93" s="25"/>
      <c r="K93" s="25" t="s">
        <v>6281</v>
      </c>
      <c r="L93" s="26" t="s">
        <v>6894</v>
      </c>
      <c r="M93" s="26" t="s">
        <v>6295</v>
      </c>
      <c r="N93" s="27" t="s">
        <v>6895</v>
      </c>
      <c r="O93" s="26" t="s">
        <v>6295</v>
      </c>
      <c r="P93" s="20" t="b">
        <v>1</v>
      </c>
      <c r="Q93" s="20" t="s">
        <v>6282</v>
      </c>
      <c r="R93" s="28" t="s">
        <v>6283</v>
      </c>
      <c r="S93" s="25"/>
      <c r="T93" s="20" t="b">
        <v>1</v>
      </c>
      <c r="U93" s="25"/>
      <c r="V93" s="25">
        <v>6.08</v>
      </c>
      <c r="W93" s="28" t="s">
        <v>6896</v>
      </c>
      <c r="X93" s="28" t="s">
        <v>6285</v>
      </c>
      <c r="Y93" s="28" t="s">
        <v>6286</v>
      </c>
      <c r="Z93" s="28" t="s">
        <v>6287</v>
      </c>
      <c r="AA93" s="28" t="s">
        <v>6288</v>
      </c>
      <c r="AB93" s="28" t="s">
        <v>6297</v>
      </c>
    </row>
    <row r="94" spans="1:28" ht="185.4" x14ac:dyDescent="0.3">
      <c r="A94" s="25">
        <v>4147</v>
      </c>
      <c r="B94" s="25" t="s">
        <v>6897</v>
      </c>
      <c r="C94" s="25" t="s">
        <v>6299</v>
      </c>
      <c r="D94" s="25" t="s">
        <v>6291</v>
      </c>
      <c r="E94" s="16" t="s">
        <v>6292</v>
      </c>
      <c r="F94" s="16" t="s">
        <v>6292</v>
      </c>
      <c r="G94" s="16" t="s">
        <v>6292</v>
      </c>
      <c r="H94" s="16" t="s">
        <v>6292</v>
      </c>
      <c r="I94" s="25" t="s">
        <v>6898</v>
      </c>
      <c r="J94" s="25"/>
      <c r="K94" s="25" t="s">
        <v>6281</v>
      </c>
      <c r="L94" s="26" t="s">
        <v>6899</v>
      </c>
      <c r="M94" s="26" t="s">
        <v>6900</v>
      </c>
      <c r="N94" s="27" t="s">
        <v>6901</v>
      </c>
      <c r="O94" s="26" t="s">
        <v>6295</v>
      </c>
      <c r="P94" s="20" t="b">
        <v>1</v>
      </c>
      <c r="Q94" s="20" t="s">
        <v>6282</v>
      </c>
      <c r="R94" s="28" t="s">
        <v>6283</v>
      </c>
      <c r="S94" s="25"/>
      <c r="T94" s="20" t="b">
        <v>1</v>
      </c>
      <c r="U94" s="25"/>
      <c r="V94" s="25">
        <v>26.77</v>
      </c>
      <c r="W94" s="28" t="s">
        <v>6902</v>
      </c>
      <c r="X94" s="28" t="s">
        <v>6285</v>
      </c>
      <c r="Y94" s="28" t="s">
        <v>6286</v>
      </c>
      <c r="Z94" s="28" t="s">
        <v>6287</v>
      </c>
      <c r="AA94" s="28" t="s">
        <v>6288</v>
      </c>
      <c r="AB94" s="28" t="s">
        <v>6297</v>
      </c>
    </row>
    <row r="95" spans="1:28" ht="185.4" x14ac:dyDescent="0.3">
      <c r="A95" s="25">
        <v>4200</v>
      </c>
      <c r="B95" s="25" t="s">
        <v>6903</v>
      </c>
      <c r="C95" s="25" t="s">
        <v>6295</v>
      </c>
      <c r="D95" s="25" t="s">
        <v>6278</v>
      </c>
      <c r="E95" s="16" t="s">
        <v>6279</v>
      </c>
      <c r="F95" s="16" t="s">
        <v>6279</v>
      </c>
      <c r="G95" s="16" t="s">
        <v>6279</v>
      </c>
      <c r="H95" s="16" t="s">
        <v>6279</v>
      </c>
      <c r="I95" s="25" t="s">
        <v>6904</v>
      </c>
      <c r="J95" s="25"/>
      <c r="K95" s="25" t="s">
        <v>6281</v>
      </c>
      <c r="L95" s="26" t="s">
        <v>6905</v>
      </c>
      <c r="M95" s="26" t="s">
        <v>6906</v>
      </c>
      <c r="N95" s="27" t="s">
        <v>6907</v>
      </c>
      <c r="O95" s="26" t="s">
        <v>6908</v>
      </c>
      <c r="P95" s="20" t="b">
        <v>1</v>
      </c>
      <c r="Q95" s="20" t="s">
        <v>6282</v>
      </c>
      <c r="R95" s="28" t="s">
        <v>6283</v>
      </c>
      <c r="S95" s="25"/>
      <c r="T95" s="20" t="b">
        <v>1</v>
      </c>
      <c r="U95" s="25"/>
      <c r="V95" s="25">
        <v>40.75</v>
      </c>
      <c r="W95" s="28" t="s">
        <v>6909</v>
      </c>
      <c r="X95" s="28" t="s">
        <v>6285</v>
      </c>
      <c r="Y95" s="28" t="s">
        <v>6286</v>
      </c>
      <c r="Z95" s="28" t="s">
        <v>6287</v>
      </c>
      <c r="AA95" s="28" t="s">
        <v>6288</v>
      </c>
      <c r="AB95" s="28" t="s">
        <v>6297</v>
      </c>
    </row>
    <row r="96" spans="1:28" ht="185.4" x14ac:dyDescent="0.3">
      <c r="A96" s="25">
        <v>4220</v>
      </c>
      <c r="B96" s="25" t="s">
        <v>6910</v>
      </c>
      <c r="C96" s="25" t="s">
        <v>6911</v>
      </c>
      <c r="D96" s="25" t="s">
        <v>6278</v>
      </c>
      <c r="E96" s="16" t="s">
        <v>6279</v>
      </c>
      <c r="F96" s="16" t="s">
        <v>6279</v>
      </c>
      <c r="G96" s="16" t="s">
        <v>6279</v>
      </c>
      <c r="H96" s="16" t="s">
        <v>6279</v>
      </c>
      <c r="I96" s="25" t="s">
        <v>6912</v>
      </c>
      <c r="J96" s="25"/>
      <c r="K96" s="25" t="s">
        <v>6281</v>
      </c>
      <c r="L96" s="26" t="s">
        <v>6913</v>
      </c>
      <c r="M96" s="26" t="s">
        <v>6295</v>
      </c>
      <c r="N96" s="27" t="s">
        <v>6914</v>
      </c>
      <c r="O96" s="26" t="s">
        <v>6915</v>
      </c>
      <c r="P96" s="20" t="b">
        <v>1</v>
      </c>
      <c r="Q96" s="20" t="s">
        <v>6282</v>
      </c>
      <c r="R96" s="28" t="s">
        <v>6283</v>
      </c>
      <c r="S96" s="25"/>
      <c r="T96" s="20" t="b">
        <v>1</v>
      </c>
      <c r="U96" s="25"/>
      <c r="V96" s="25">
        <v>578.66700000000003</v>
      </c>
      <c r="W96" s="28" t="s">
        <v>6916</v>
      </c>
      <c r="X96" s="28" t="s">
        <v>6285</v>
      </c>
      <c r="Y96" s="28" t="s">
        <v>6286</v>
      </c>
      <c r="Z96" s="28" t="s">
        <v>6287</v>
      </c>
      <c r="AA96" s="28" t="s">
        <v>6288</v>
      </c>
      <c r="AB96" s="28" t="s">
        <v>6297</v>
      </c>
    </row>
    <row r="97" spans="1:28" ht="185.4" x14ac:dyDescent="0.3">
      <c r="A97" s="25">
        <v>4255</v>
      </c>
      <c r="B97" s="25" t="s">
        <v>6917</v>
      </c>
      <c r="C97" s="25" t="s">
        <v>6918</v>
      </c>
      <c r="D97" s="25" t="s">
        <v>6291</v>
      </c>
      <c r="E97" s="16" t="s">
        <v>6292</v>
      </c>
      <c r="F97" s="16" t="s">
        <v>6292</v>
      </c>
      <c r="G97" s="16" t="s">
        <v>6292</v>
      </c>
      <c r="H97" s="16" t="s">
        <v>6292</v>
      </c>
      <c r="I97" s="25" t="s">
        <v>6919</v>
      </c>
      <c r="J97" s="25"/>
      <c r="K97" s="25" t="s">
        <v>6281</v>
      </c>
      <c r="L97" s="26" t="s">
        <v>6920</v>
      </c>
      <c r="M97" s="26" t="s">
        <v>6295</v>
      </c>
      <c r="N97" s="27" t="s">
        <v>6921</v>
      </c>
      <c r="O97" s="26" t="s">
        <v>6295</v>
      </c>
      <c r="P97" s="20" t="b">
        <v>1</v>
      </c>
      <c r="Q97" s="20" t="s">
        <v>6282</v>
      </c>
      <c r="R97" s="28" t="s">
        <v>6283</v>
      </c>
      <c r="S97" s="25"/>
      <c r="T97" s="20" t="b">
        <v>1</v>
      </c>
      <c r="U97" s="25"/>
      <c r="V97" s="25">
        <v>1798.9</v>
      </c>
      <c r="W97" s="28" t="s">
        <v>6922</v>
      </c>
      <c r="X97" s="28" t="s">
        <v>6285</v>
      </c>
      <c r="Y97" s="28" t="s">
        <v>6286</v>
      </c>
      <c r="Z97" s="28" t="s">
        <v>6287</v>
      </c>
      <c r="AA97" s="28" t="s">
        <v>6288</v>
      </c>
      <c r="AB97" s="28" t="s">
        <v>6297</v>
      </c>
    </row>
    <row r="98" spans="1:28" ht="193.2" x14ac:dyDescent="0.3">
      <c r="A98" s="25">
        <v>4276</v>
      </c>
      <c r="B98" s="25" t="s">
        <v>6923</v>
      </c>
      <c r="C98" s="25" t="s">
        <v>6924</v>
      </c>
      <c r="D98" s="25" t="s">
        <v>6370</v>
      </c>
      <c r="E98" s="16" t="s">
        <v>6371</v>
      </c>
      <c r="F98" s="16" t="s">
        <v>6371</v>
      </c>
      <c r="G98" s="16" t="s">
        <v>6371</v>
      </c>
      <c r="H98" s="16" t="s">
        <v>6371</v>
      </c>
      <c r="I98" s="25" t="s">
        <v>6925</v>
      </c>
      <c r="J98" s="25"/>
      <c r="K98" s="25" t="s">
        <v>6281</v>
      </c>
      <c r="L98" s="26" t="s">
        <v>6926</v>
      </c>
      <c r="M98" s="26" t="s">
        <v>6295</v>
      </c>
      <c r="N98" s="27" t="s">
        <v>6927</v>
      </c>
      <c r="O98" s="26" t="s">
        <v>6928</v>
      </c>
      <c r="P98" s="20" t="b">
        <v>1</v>
      </c>
      <c r="Q98" s="20" t="s">
        <v>6282</v>
      </c>
      <c r="R98" s="28" t="s">
        <v>6283</v>
      </c>
      <c r="S98" s="25"/>
      <c r="T98" s="20" t="b">
        <v>1</v>
      </c>
      <c r="U98" s="25"/>
      <c r="V98" s="25">
        <v>4764.3900000000003</v>
      </c>
      <c r="W98" s="28" t="s">
        <v>6929</v>
      </c>
      <c r="X98" s="28" t="s">
        <v>6285</v>
      </c>
      <c r="Y98" s="28" t="s">
        <v>6286</v>
      </c>
      <c r="Z98" s="28" t="s">
        <v>6287</v>
      </c>
      <c r="AA98" s="28" t="s">
        <v>6288</v>
      </c>
      <c r="AB98" s="28" t="s">
        <v>6297</v>
      </c>
    </row>
    <row r="99" spans="1:28" ht="185.4" x14ac:dyDescent="0.3">
      <c r="A99" s="25">
        <v>4398</v>
      </c>
      <c r="B99" s="25" t="s">
        <v>6930</v>
      </c>
      <c r="C99" s="25" t="s">
        <v>6931</v>
      </c>
      <c r="D99" s="25" t="s">
        <v>6278</v>
      </c>
      <c r="E99" s="16" t="s">
        <v>6279</v>
      </c>
      <c r="F99" s="16" t="s">
        <v>6279</v>
      </c>
      <c r="G99" s="16" t="s">
        <v>6279</v>
      </c>
      <c r="H99" s="16" t="s">
        <v>6279</v>
      </c>
      <c r="I99" s="25" t="s">
        <v>6932</v>
      </c>
      <c r="J99" s="25"/>
      <c r="K99" s="25" t="s">
        <v>6281</v>
      </c>
      <c r="L99" s="26" t="s">
        <v>6933</v>
      </c>
      <c r="M99" s="26" t="s">
        <v>6934</v>
      </c>
      <c r="N99" s="27" t="s">
        <v>6935</v>
      </c>
      <c r="O99" s="26" t="s">
        <v>6936</v>
      </c>
      <c r="P99" s="20" t="b">
        <v>1</v>
      </c>
      <c r="Q99" s="20" t="s">
        <v>6282</v>
      </c>
      <c r="R99" s="28" t="s">
        <v>6283</v>
      </c>
      <c r="S99" s="25"/>
      <c r="T99" s="20" t="b">
        <v>1</v>
      </c>
      <c r="U99" s="25"/>
      <c r="V99" s="25">
        <v>80.38</v>
      </c>
      <c r="W99" s="28" t="s">
        <v>6937</v>
      </c>
      <c r="X99" s="28" t="s">
        <v>6285</v>
      </c>
      <c r="Y99" s="28" t="s">
        <v>6286</v>
      </c>
      <c r="Z99" s="28" t="s">
        <v>6287</v>
      </c>
      <c r="AA99" s="28" t="s">
        <v>6288</v>
      </c>
      <c r="AB99" s="28" t="s">
        <v>6297</v>
      </c>
    </row>
    <row r="100" spans="1:28" ht="185.4" x14ac:dyDescent="0.3">
      <c r="A100" s="25">
        <v>4467</v>
      </c>
      <c r="B100" s="25" t="s">
        <v>6938</v>
      </c>
      <c r="C100" s="25" t="s">
        <v>6939</v>
      </c>
      <c r="D100" s="25" t="s">
        <v>6278</v>
      </c>
      <c r="E100" s="16" t="s">
        <v>6279</v>
      </c>
      <c r="F100" s="16" t="s">
        <v>6279</v>
      </c>
      <c r="G100" s="16" t="s">
        <v>6279</v>
      </c>
      <c r="H100" s="16" t="s">
        <v>6279</v>
      </c>
      <c r="I100" s="25" t="s">
        <v>6940</v>
      </c>
      <c r="J100" s="25"/>
      <c r="K100" s="25" t="s">
        <v>6281</v>
      </c>
      <c r="L100" s="26" t="s">
        <v>6941</v>
      </c>
      <c r="M100" s="26" t="s">
        <v>6942</v>
      </c>
      <c r="N100" s="27" t="s">
        <v>6943</v>
      </c>
      <c r="O100" s="26" t="s">
        <v>6295</v>
      </c>
      <c r="P100" s="20" t="b">
        <v>1</v>
      </c>
      <c r="Q100" s="20" t="s">
        <v>6282</v>
      </c>
      <c r="R100" s="28" t="s">
        <v>6283</v>
      </c>
      <c r="S100" s="25"/>
      <c r="T100" s="20" t="b">
        <v>1</v>
      </c>
      <c r="U100" s="25"/>
      <c r="V100" s="25">
        <v>63.16</v>
      </c>
      <c r="W100" s="28" t="s">
        <v>6944</v>
      </c>
      <c r="X100" s="28" t="s">
        <v>6285</v>
      </c>
      <c r="Y100" s="28" t="s">
        <v>6286</v>
      </c>
      <c r="Z100" s="28" t="s">
        <v>6287</v>
      </c>
      <c r="AA100" s="28" t="s">
        <v>6288</v>
      </c>
      <c r="AB100" s="28" t="s">
        <v>6297</v>
      </c>
    </row>
    <row r="101" spans="1:28" ht="185.4" x14ac:dyDescent="0.3">
      <c r="A101" s="25">
        <v>4494</v>
      </c>
      <c r="B101" s="25" t="s">
        <v>6945</v>
      </c>
      <c r="C101" s="25" t="s">
        <v>6946</v>
      </c>
      <c r="D101" s="25" t="s">
        <v>6278</v>
      </c>
      <c r="E101" s="16" t="s">
        <v>6279</v>
      </c>
      <c r="F101" s="16" t="s">
        <v>6279</v>
      </c>
      <c r="G101" s="16" t="s">
        <v>6279</v>
      </c>
      <c r="H101" s="16" t="s">
        <v>6279</v>
      </c>
      <c r="I101" s="25" t="s">
        <v>6947</v>
      </c>
      <c r="J101" s="25"/>
      <c r="K101" s="25" t="s">
        <v>6281</v>
      </c>
      <c r="L101" s="26" t="s">
        <v>6948</v>
      </c>
      <c r="M101" s="26" t="s">
        <v>6949</v>
      </c>
      <c r="N101" s="27" t="s">
        <v>6950</v>
      </c>
      <c r="O101" s="26" t="s">
        <v>6295</v>
      </c>
      <c r="P101" s="20" t="b">
        <v>1</v>
      </c>
      <c r="Q101" s="20" t="s">
        <v>6282</v>
      </c>
      <c r="R101" s="28" t="s">
        <v>6283</v>
      </c>
      <c r="S101" s="25"/>
      <c r="T101" s="20" t="b">
        <v>1</v>
      </c>
      <c r="U101" s="25"/>
      <c r="V101" s="25">
        <v>20.03</v>
      </c>
      <c r="W101" s="28" t="s">
        <v>6951</v>
      </c>
      <c r="X101" s="28" t="s">
        <v>6285</v>
      </c>
      <c r="Y101" s="28" t="s">
        <v>6286</v>
      </c>
      <c r="Z101" s="28" t="s">
        <v>6287</v>
      </c>
      <c r="AA101" s="28" t="s">
        <v>6288</v>
      </c>
      <c r="AB101" s="28" t="s">
        <v>6297</v>
      </c>
    </row>
    <row r="102" spans="1:28" ht="185.4" x14ac:dyDescent="0.3">
      <c r="A102" s="25">
        <v>4516</v>
      </c>
      <c r="B102" s="25" t="s">
        <v>6952</v>
      </c>
      <c r="C102" s="25" t="s">
        <v>6953</v>
      </c>
      <c r="D102" s="25" t="s">
        <v>6291</v>
      </c>
      <c r="E102" s="16" t="s">
        <v>6292</v>
      </c>
      <c r="F102" s="16" t="s">
        <v>6292</v>
      </c>
      <c r="G102" s="16" t="s">
        <v>6292</v>
      </c>
      <c r="H102" s="16" t="s">
        <v>6292</v>
      </c>
      <c r="I102" s="25" t="s">
        <v>6954</v>
      </c>
      <c r="J102" s="25"/>
      <c r="K102" s="25" t="s">
        <v>6281</v>
      </c>
      <c r="L102" s="26" t="s">
        <v>6955</v>
      </c>
      <c r="M102" s="26" t="s">
        <v>6295</v>
      </c>
      <c r="N102" s="27" t="s">
        <v>6956</v>
      </c>
      <c r="O102" s="26" t="s">
        <v>6295</v>
      </c>
      <c r="P102" s="20" t="b">
        <v>1</v>
      </c>
      <c r="Q102" s="20" t="s">
        <v>6282</v>
      </c>
      <c r="R102" s="28" t="s">
        <v>6283</v>
      </c>
      <c r="S102" s="25"/>
      <c r="T102" s="20" t="b">
        <v>1</v>
      </c>
      <c r="U102" s="25"/>
      <c r="V102" s="25">
        <v>3.33405</v>
      </c>
      <c r="W102" s="28" t="s">
        <v>6957</v>
      </c>
      <c r="X102" s="28" t="s">
        <v>6285</v>
      </c>
      <c r="Y102" s="28" t="s">
        <v>6286</v>
      </c>
      <c r="Z102" s="28" t="s">
        <v>6287</v>
      </c>
      <c r="AA102" s="28" t="s">
        <v>6288</v>
      </c>
      <c r="AB102" s="28" t="s">
        <v>6297</v>
      </c>
    </row>
    <row r="103" spans="1:28" ht="185.4" x14ac:dyDescent="0.3">
      <c r="A103" s="25">
        <v>4534</v>
      </c>
      <c r="B103" s="25" t="s">
        <v>6958</v>
      </c>
      <c r="C103" s="25" t="s">
        <v>6306</v>
      </c>
      <c r="D103" s="25" t="s">
        <v>6291</v>
      </c>
      <c r="E103" s="16" t="s">
        <v>6292</v>
      </c>
      <c r="F103" s="16" t="s">
        <v>6292</v>
      </c>
      <c r="G103" s="16" t="s">
        <v>6292</v>
      </c>
      <c r="H103" s="16" t="s">
        <v>6292</v>
      </c>
      <c r="I103" s="25" t="s">
        <v>6959</v>
      </c>
      <c r="J103" s="25"/>
      <c r="K103" s="25" t="s">
        <v>6281</v>
      </c>
      <c r="L103" s="26" t="s">
        <v>6960</v>
      </c>
      <c r="M103" s="26" t="s">
        <v>6295</v>
      </c>
      <c r="N103" s="27" t="s">
        <v>6961</v>
      </c>
      <c r="O103" s="26" t="s">
        <v>6295</v>
      </c>
      <c r="P103" s="20" t="b">
        <v>1</v>
      </c>
      <c r="Q103" s="20" t="s">
        <v>6282</v>
      </c>
      <c r="R103" s="28" t="s">
        <v>6283</v>
      </c>
      <c r="S103" s="25"/>
      <c r="T103" s="20" t="b">
        <v>1</v>
      </c>
      <c r="U103" s="25"/>
      <c r="V103" s="25">
        <v>135.97919999999999</v>
      </c>
      <c r="W103" s="28" t="s">
        <v>6962</v>
      </c>
      <c r="X103" s="28" t="s">
        <v>6285</v>
      </c>
      <c r="Y103" s="28" t="s">
        <v>6286</v>
      </c>
      <c r="Z103" s="28" t="s">
        <v>6287</v>
      </c>
      <c r="AA103" s="28" t="s">
        <v>6288</v>
      </c>
      <c r="AB103" s="28" t="s">
        <v>6297</v>
      </c>
    </row>
    <row r="104" spans="1:28" ht="185.4" x14ac:dyDescent="0.3">
      <c r="A104" s="25">
        <v>4538</v>
      </c>
      <c r="B104" s="25" t="s">
        <v>6963</v>
      </c>
      <c r="C104" s="25" t="s">
        <v>6964</v>
      </c>
      <c r="D104" s="25" t="s">
        <v>6278</v>
      </c>
      <c r="E104" s="16" t="s">
        <v>6279</v>
      </c>
      <c r="F104" s="16" t="s">
        <v>6279</v>
      </c>
      <c r="G104" s="16" t="s">
        <v>6279</v>
      </c>
      <c r="H104" s="16" t="s">
        <v>6279</v>
      </c>
      <c r="I104" s="25" t="s">
        <v>6965</v>
      </c>
      <c r="J104" s="25"/>
      <c r="K104" s="25" t="s">
        <v>6281</v>
      </c>
      <c r="L104" s="26" t="s">
        <v>6966</v>
      </c>
      <c r="M104" s="26" t="s">
        <v>6295</v>
      </c>
      <c r="N104" s="27" t="s">
        <v>6967</v>
      </c>
      <c r="O104" s="26" t="s">
        <v>6295</v>
      </c>
      <c r="P104" s="20" t="b">
        <v>1</v>
      </c>
      <c r="Q104" s="20" t="s">
        <v>6282</v>
      </c>
      <c r="R104" s="28" t="s">
        <v>6283</v>
      </c>
      <c r="S104" s="25"/>
      <c r="T104" s="20" t="b">
        <v>1</v>
      </c>
      <c r="U104" s="25"/>
      <c r="V104" s="25">
        <v>22.23</v>
      </c>
      <c r="W104" s="28" t="s">
        <v>6968</v>
      </c>
      <c r="X104" s="28" t="s">
        <v>6285</v>
      </c>
      <c r="Y104" s="28" t="s">
        <v>6286</v>
      </c>
      <c r="Z104" s="28" t="s">
        <v>6287</v>
      </c>
      <c r="AA104" s="28" t="s">
        <v>6288</v>
      </c>
      <c r="AB104" s="28" t="s">
        <v>6297</v>
      </c>
    </row>
    <row r="105" spans="1:28" ht="185.4" x14ac:dyDescent="0.3">
      <c r="A105" s="25">
        <v>4543</v>
      </c>
      <c r="B105" s="25" t="s">
        <v>6969</v>
      </c>
      <c r="C105" s="25" t="s">
        <v>6970</v>
      </c>
      <c r="D105" s="25" t="s">
        <v>6291</v>
      </c>
      <c r="E105" s="16" t="s">
        <v>6292</v>
      </c>
      <c r="F105" s="16" t="s">
        <v>6292</v>
      </c>
      <c r="G105" s="16" t="s">
        <v>6292</v>
      </c>
      <c r="H105" s="16" t="s">
        <v>6292</v>
      </c>
      <c r="I105" s="25" t="s">
        <v>6971</v>
      </c>
      <c r="J105" s="25"/>
      <c r="K105" s="25" t="s">
        <v>6281</v>
      </c>
      <c r="L105" s="26" t="s">
        <v>6972</v>
      </c>
      <c r="M105" s="26" t="s">
        <v>6973</v>
      </c>
      <c r="N105" s="27" t="s">
        <v>6974</v>
      </c>
      <c r="O105" s="26" t="s">
        <v>6295</v>
      </c>
      <c r="P105" s="20" t="b">
        <v>1</v>
      </c>
      <c r="Q105" s="20" t="s">
        <v>6282</v>
      </c>
      <c r="R105" s="28" t="s">
        <v>6283</v>
      </c>
      <c r="S105" s="25"/>
      <c r="T105" s="20" t="b">
        <v>1</v>
      </c>
      <c r="U105" s="25"/>
      <c r="V105" s="25">
        <v>3.1</v>
      </c>
      <c r="W105" s="28" t="s">
        <v>6975</v>
      </c>
      <c r="X105" s="28" t="s">
        <v>6285</v>
      </c>
      <c r="Y105" s="28" t="s">
        <v>6286</v>
      </c>
      <c r="Z105" s="28" t="s">
        <v>6287</v>
      </c>
      <c r="AA105" s="28" t="s">
        <v>6288</v>
      </c>
      <c r="AB105" s="28" t="s">
        <v>6297</v>
      </c>
    </row>
    <row r="106" spans="1:28" ht="193.2" x14ac:dyDescent="0.3">
      <c r="A106" s="25">
        <v>4554</v>
      </c>
      <c r="B106" s="25" t="s">
        <v>6976</v>
      </c>
      <c r="C106" s="25" t="s">
        <v>6977</v>
      </c>
      <c r="D106" s="25" t="s">
        <v>6291</v>
      </c>
      <c r="E106" s="16" t="s">
        <v>6292</v>
      </c>
      <c r="F106" s="16" t="s">
        <v>6292</v>
      </c>
      <c r="G106" s="16" t="s">
        <v>6292</v>
      </c>
      <c r="H106" s="16" t="s">
        <v>6292</v>
      </c>
      <c r="I106" s="25" t="s">
        <v>6978</v>
      </c>
      <c r="J106" s="25"/>
      <c r="K106" s="25" t="s">
        <v>6281</v>
      </c>
      <c r="L106" s="26" t="s">
        <v>6979</v>
      </c>
      <c r="M106" s="26" t="s">
        <v>6980</v>
      </c>
      <c r="N106" s="27" t="s">
        <v>6981</v>
      </c>
      <c r="O106" s="26" t="s">
        <v>6982</v>
      </c>
      <c r="P106" s="20" t="b">
        <v>1</v>
      </c>
      <c r="Q106" s="20" t="s">
        <v>6282</v>
      </c>
      <c r="R106" s="28" t="s">
        <v>6283</v>
      </c>
      <c r="S106" s="25"/>
      <c r="T106" s="20" t="b">
        <v>1</v>
      </c>
      <c r="U106" s="25"/>
      <c r="V106" s="25">
        <v>36.380000000000003</v>
      </c>
      <c r="W106" s="28" t="s">
        <v>6983</v>
      </c>
      <c r="X106" s="28" t="s">
        <v>6285</v>
      </c>
      <c r="Y106" s="28" t="s">
        <v>6286</v>
      </c>
      <c r="Z106" s="28" t="s">
        <v>6287</v>
      </c>
      <c r="AA106" s="28" t="s">
        <v>6288</v>
      </c>
      <c r="AB106" s="28" t="s">
        <v>6297</v>
      </c>
    </row>
    <row r="107" spans="1:28" ht="185.4" x14ac:dyDescent="0.3">
      <c r="A107" s="25">
        <v>4556</v>
      </c>
      <c r="B107" s="25" t="s">
        <v>6984</v>
      </c>
      <c r="C107" s="25" t="s">
        <v>6985</v>
      </c>
      <c r="D107" s="25" t="s">
        <v>6291</v>
      </c>
      <c r="E107" s="16" t="s">
        <v>6292</v>
      </c>
      <c r="F107" s="16" t="s">
        <v>6292</v>
      </c>
      <c r="G107" s="16" t="s">
        <v>6292</v>
      </c>
      <c r="H107" s="16" t="s">
        <v>6292</v>
      </c>
      <c r="I107" s="25" t="s">
        <v>6986</v>
      </c>
      <c r="J107" s="25"/>
      <c r="K107" s="25" t="s">
        <v>6281</v>
      </c>
      <c r="L107" s="26" t="s">
        <v>6987</v>
      </c>
      <c r="M107" s="26" t="s">
        <v>6988</v>
      </c>
      <c r="N107" s="27" t="s">
        <v>6989</v>
      </c>
      <c r="O107" s="26" t="s">
        <v>6990</v>
      </c>
      <c r="P107" s="20" t="b">
        <v>1</v>
      </c>
      <c r="Q107" s="20" t="s">
        <v>6282</v>
      </c>
      <c r="R107" s="28" t="s">
        <v>6283</v>
      </c>
      <c r="S107" s="25"/>
      <c r="T107" s="20" t="b">
        <v>1</v>
      </c>
      <c r="U107" s="25"/>
      <c r="V107" s="25">
        <v>42.81</v>
      </c>
      <c r="W107" s="28" t="s">
        <v>6991</v>
      </c>
      <c r="X107" s="28" t="s">
        <v>6285</v>
      </c>
      <c r="Y107" s="28" t="s">
        <v>6286</v>
      </c>
      <c r="Z107" s="28" t="s">
        <v>6287</v>
      </c>
      <c r="AA107" s="28" t="s">
        <v>6288</v>
      </c>
      <c r="AB107" s="28" t="s">
        <v>6297</v>
      </c>
    </row>
    <row r="108" spans="1:28" ht="185.4" x14ac:dyDescent="0.3">
      <c r="A108" s="25">
        <v>4557</v>
      </c>
      <c r="B108" s="25" t="s">
        <v>6992</v>
      </c>
      <c r="C108" s="25" t="s">
        <v>6993</v>
      </c>
      <c r="D108" s="25" t="s">
        <v>6291</v>
      </c>
      <c r="E108" s="16" t="s">
        <v>6292</v>
      </c>
      <c r="F108" s="16" t="s">
        <v>6292</v>
      </c>
      <c r="G108" s="16" t="s">
        <v>6292</v>
      </c>
      <c r="H108" s="16" t="s">
        <v>6292</v>
      </c>
      <c r="I108" s="25" t="s">
        <v>6994</v>
      </c>
      <c r="J108" s="25"/>
      <c r="K108" s="25" t="s">
        <v>6281</v>
      </c>
      <c r="L108" s="26" t="s">
        <v>6995</v>
      </c>
      <c r="M108" s="26" t="s">
        <v>6996</v>
      </c>
      <c r="N108" s="27" t="s">
        <v>6997</v>
      </c>
      <c r="O108" s="26" t="s">
        <v>6998</v>
      </c>
      <c r="P108" s="20" t="b">
        <v>1</v>
      </c>
      <c r="Q108" s="20" t="s">
        <v>6282</v>
      </c>
      <c r="R108" s="28" t="s">
        <v>6283</v>
      </c>
      <c r="S108" s="25"/>
      <c r="T108" s="20" t="b">
        <v>1</v>
      </c>
      <c r="U108" s="25"/>
      <c r="V108" s="25">
        <v>42.81</v>
      </c>
      <c r="W108" s="28" t="s">
        <v>6999</v>
      </c>
      <c r="X108" s="28" t="s">
        <v>6285</v>
      </c>
      <c r="Y108" s="28" t="s">
        <v>6286</v>
      </c>
      <c r="Z108" s="28" t="s">
        <v>6287</v>
      </c>
      <c r="AA108" s="28" t="s">
        <v>6288</v>
      </c>
      <c r="AB108" s="28" t="s">
        <v>6297</v>
      </c>
    </row>
    <row r="109" spans="1:28" ht="185.4" x14ac:dyDescent="0.3">
      <c r="A109" s="25">
        <v>4597</v>
      </c>
      <c r="B109" s="25" t="s">
        <v>7000</v>
      </c>
      <c r="C109" s="25" t="s">
        <v>7001</v>
      </c>
      <c r="D109" s="25" t="s">
        <v>6291</v>
      </c>
      <c r="E109" s="16" t="s">
        <v>6292</v>
      </c>
      <c r="F109" s="16" t="s">
        <v>6292</v>
      </c>
      <c r="G109" s="16" t="s">
        <v>6292</v>
      </c>
      <c r="H109" s="16" t="s">
        <v>6292</v>
      </c>
      <c r="I109" s="25" t="s">
        <v>7002</v>
      </c>
      <c r="J109" s="25"/>
      <c r="K109" s="25" t="s">
        <v>6281</v>
      </c>
      <c r="L109" s="26" t="s">
        <v>7003</v>
      </c>
      <c r="M109" s="26" t="s">
        <v>6295</v>
      </c>
      <c r="N109" s="27" t="s">
        <v>7004</v>
      </c>
      <c r="O109" s="26" t="s">
        <v>6295</v>
      </c>
      <c r="P109" s="20" t="b">
        <v>1</v>
      </c>
      <c r="Q109" s="20" t="s">
        <v>6282</v>
      </c>
      <c r="R109" s="28" t="s">
        <v>6283</v>
      </c>
      <c r="S109" s="25"/>
      <c r="T109" s="20" t="b">
        <v>1</v>
      </c>
      <c r="U109" s="25"/>
      <c r="V109" s="25">
        <v>58.38</v>
      </c>
      <c r="W109" s="28" t="s">
        <v>7005</v>
      </c>
      <c r="X109" s="28" t="s">
        <v>6285</v>
      </c>
      <c r="Y109" s="28" t="s">
        <v>6286</v>
      </c>
      <c r="Z109" s="28" t="s">
        <v>6287</v>
      </c>
      <c r="AA109" s="28" t="s">
        <v>6288</v>
      </c>
      <c r="AB109" s="28" t="s">
        <v>6297</v>
      </c>
    </row>
    <row r="110" spans="1:28" ht="198.6" x14ac:dyDescent="0.3">
      <c r="A110" s="25">
        <v>4601</v>
      </c>
      <c r="B110" s="25" t="s">
        <v>7006</v>
      </c>
      <c r="C110" s="25" t="s">
        <v>7007</v>
      </c>
      <c r="D110" s="25" t="s">
        <v>6291</v>
      </c>
      <c r="E110" s="16" t="s">
        <v>6292</v>
      </c>
      <c r="F110" s="16" t="s">
        <v>6292</v>
      </c>
      <c r="G110" s="16" t="s">
        <v>6292</v>
      </c>
      <c r="H110" s="16" t="s">
        <v>6292</v>
      </c>
      <c r="I110" s="25" t="s">
        <v>7008</v>
      </c>
      <c r="J110" s="25"/>
      <c r="K110" s="25" t="s">
        <v>6281</v>
      </c>
      <c r="L110" s="26" t="s">
        <v>7009</v>
      </c>
      <c r="M110" s="26" t="s">
        <v>7010</v>
      </c>
      <c r="N110" s="27" t="s">
        <v>7011</v>
      </c>
      <c r="O110" s="26" t="s">
        <v>6295</v>
      </c>
      <c r="P110" s="20" t="b">
        <v>1</v>
      </c>
      <c r="Q110" s="20" t="s">
        <v>6282</v>
      </c>
      <c r="R110" s="28" t="s">
        <v>6283</v>
      </c>
      <c r="S110" s="25"/>
      <c r="T110" s="20" t="b">
        <v>1</v>
      </c>
      <c r="U110" s="25"/>
      <c r="V110" s="25">
        <v>24.61</v>
      </c>
      <c r="W110" s="28" t="s">
        <v>7012</v>
      </c>
      <c r="X110" s="28" t="s">
        <v>6285</v>
      </c>
      <c r="Y110" s="28" t="s">
        <v>6286</v>
      </c>
      <c r="Z110" s="28" t="s">
        <v>6287</v>
      </c>
      <c r="AA110" s="28" t="s">
        <v>6288</v>
      </c>
      <c r="AB110" s="28" t="s">
        <v>6297</v>
      </c>
    </row>
    <row r="111" spans="1:28" ht="185.4" x14ac:dyDescent="0.3">
      <c r="A111" s="25">
        <v>4636</v>
      </c>
      <c r="B111" s="25" t="s">
        <v>7013</v>
      </c>
      <c r="C111" s="25" t="s">
        <v>7014</v>
      </c>
      <c r="D111" s="25" t="s">
        <v>6278</v>
      </c>
      <c r="E111" s="16" t="s">
        <v>6279</v>
      </c>
      <c r="F111" s="16" t="s">
        <v>6279</v>
      </c>
      <c r="G111" s="16" t="s">
        <v>6279</v>
      </c>
      <c r="H111" s="16" t="s">
        <v>6279</v>
      </c>
      <c r="I111" s="25" t="s">
        <v>7015</v>
      </c>
      <c r="J111" s="25"/>
      <c r="K111" s="25" t="s">
        <v>6281</v>
      </c>
      <c r="L111" s="26" t="s">
        <v>7016</v>
      </c>
      <c r="M111" s="26" t="s">
        <v>7017</v>
      </c>
      <c r="N111" s="27" t="s">
        <v>7018</v>
      </c>
      <c r="O111" s="26" t="s">
        <v>6295</v>
      </c>
      <c r="P111" s="20" t="b">
        <v>1</v>
      </c>
      <c r="Q111" s="20" t="s">
        <v>6282</v>
      </c>
      <c r="R111" s="28" t="s">
        <v>6283</v>
      </c>
      <c r="S111" s="25"/>
      <c r="T111" s="20" t="b">
        <v>1</v>
      </c>
      <c r="U111" s="25"/>
      <c r="V111" s="25">
        <v>66.81</v>
      </c>
      <c r="W111" s="28" t="s">
        <v>7019</v>
      </c>
      <c r="X111" s="28" t="s">
        <v>6285</v>
      </c>
      <c r="Y111" s="28" t="s">
        <v>6286</v>
      </c>
      <c r="Z111" s="28" t="s">
        <v>6287</v>
      </c>
      <c r="AA111" s="28" t="s">
        <v>6288</v>
      </c>
      <c r="AB111" s="28" t="s">
        <v>6297</v>
      </c>
    </row>
    <row r="112" spans="1:28" ht="185.4" x14ac:dyDescent="0.3">
      <c r="A112" s="25">
        <v>4658</v>
      </c>
      <c r="B112" s="25" t="s">
        <v>7020</v>
      </c>
      <c r="C112" s="25" t="s">
        <v>7021</v>
      </c>
      <c r="D112" s="25" t="s">
        <v>6291</v>
      </c>
      <c r="E112" s="16" t="s">
        <v>6292</v>
      </c>
      <c r="F112" s="16" t="s">
        <v>6292</v>
      </c>
      <c r="G112" s="16" t="s">
        <v>6292</v>
      </c>
      <c r="H112" s="16" t="s">
        <v>6292</v>
      </c>
      <c r="I112" s="25" t="s">
        <v>7022</v>
      </c>
      <c r="J112" s="25"/>
      <c r="K112" s="25" t="s">
        <v>6281</v>
      </c>
      <c r="L112" s="26" t="s">
        <v>7023</v>
      </c>
      <c r="M112" s="26" t="s">
        <v>7024</v>
      </c>
      <c r="N112" s="27" t="s">
        <v>7025</v>
      </c>
      <c r="O112" s="26" t="s">
        <v>6295</v>
      </c>
      <c r="P112" s="20" t="b">
        <v>1</v>
      </c>
      <c r="Q112" s="20" t="s">
        <v>6282</v>
      </c>
      <c r="R112" s="28" t="s">
        <v>6283</v>
      </c>
      <c r="S112" s="25"/>
      <c r="T112" s="20" t="b">
        <v>1</v>
      </c>
      <c r="U112" s="25"/>
      <c r="V112" s="25">
        <v>211.77</v>
      </c>
      <c r="W112" s="28" t="s">
        <v>7026</v>
      </c>
      <c r="X112" s="28" t="s">
        <v>6285</v>
      </c>
      <c r="Y112" s="28" t="s">
        <v>6286</v>
      </c>
      <c r="Z112" s="28" t="s">
        <v>6287</v>
      </c>
      <c r="AA112" s="28" t="s">
        <v>6288</v>
      </c>
      <c r="AB112" s="28" t="s">
        <v>6297</v>
      </c>
    </row>
    <row r="113" spans="1:28" ht="185.4" x14ac:dyDescent="0.3">
      <c r="A113" s="25">
        <v>4689</v>
      </c>
      <c r="B113" s="25" t="s">
        <v>7027</v>
      </c>
      <c r="C113" s="25" t="s">
        <v>7028</v>
      </c>
      <c r="D113" s="25" t="s">
        <v>6278</v>
      </c>
      <c r="E113" s="16" t="s">
        <v>6279</v>
      </c>
      <c r="F113" s="16" t="s">
        <v>6279</v>
      </c>
      <c r="G113" s="16" t="s">
        <v>6279</v>
      </c>
      <c r="H113" s="16" t="s">
        <v>6279</v>
      </c>
      <c r="I113" s="25" t="s">
        <v>7029</v>
      </c>
      <c r="J113" s="25"/>
      <c r="K113" s="25" t="s">
        <v>6281</v>
      </c>
      <c r="L113" s="26" t="s">
        <v>7030</v>
      </c>
      <c r="M113" s="26" t="s">
        <v>6295</v>
      </c>
      <c r="N113" s="27" t="s">
        <v>7031</v>
      </c>
      <c r="O113" s="26" t="s">
        <v>7032</v>
      </c>
      <c r="P113" s="20" t="b">
        <v>1</v>
      </c>
      <c r="Q113" s="20" t="s">
        <v>6282</v>
      </c>
      <c r="R113" s="28" t="s">
        <v>6283</v>
      </c>
      <c r="S113" s="25"/>
      <c r="T113" s="20" t="b">
        <v>1</v>
      </c>
      <c r="U113" s="25"/>
      <c r="V113" s="25">
        <v>32.049999999999997</v>
      </c>
      <c r="W113" s="28" t="s">
        <v>7033</v>
      </c>
      <c r="X113" s="28" t="s">
        <v>6285</v>
      </c>
      <c r="Y113" s="28" t="s">
        <v>6286</v>
      </c>
      <c r="Z113" s="28" t="s">
        <v>6287</v>
      </c>
      <c r="AA113" s="28" t="s">
        <v>6288</v>
      </c>
      <c r="AB113" s="28" t="s">
        <v>6297</v>
      </c>
    </row>
    <row r="114" spans="1:28" ht="185.4" x14ac:dyDescent="0.3">
      <c r="A114" s="25">
        <v>4690</v>
      </c>
      <c r="B114" s="25" t="s">
        <v>7034</v>
      </c>
      <c r="C114" s="25" t="s">
        <v>7035</v>
      </c>
      <c r="D114" s="25" t="s">
        <v>6278</v>
      </c>
      <c r="E114" s="16" t="s">
        <v>6279</v>
      </c>
      <c r="F114" s="16" t="s">
        <v>6279</v>
      </c>
      <c r="G114" s="16" t="s">
        <v>6279</v>
      </c>
      <c r="H114" s="16" t="s">
        <v>6279</v>
      </c>
      <c r="I114" s="25" t="s">
        <v>7036</v>
      </c>
      <c r="J114" s="25"/>
      <c r="K114" s="25" t="s">
        <v>6281</v>
      </c>
      <c r="L114" s="26" t="s">
        <v>7037</v>
      </c>
      <c r="M114" s="26" t="s">
        <v>6295</v>
      </c>
      <c r="N114" s="27" t="s">
        <v>7038</v>
      </c>
      <c r="O114" s="26" t="s">
        <v>6295</v>
      </c>
      <c r="P114" s="20" t="b">
        <v>1</v>
      </c>
      <c r="Q114" s="20" t="s">
        <v>6282</v>
      </c>
      <c r="R114" s="28" t="s">
        <v>6283</v>
      </c>
      <c r="S114" s="25"/>
      <c r="T114" s="20" t="b">
        <v>1</v>
      </c>
      <c r="U114" s="25"/>
      <c r="V114" s="25">
        <v>3500</v>
      </c>
      <c r="W114" s="28" t="s">
        <v>7039</v>
      </c>
      <c r="X114" s="28" t="s">
        <v>6285</v>
      </c>
      <c r="Y114" s="28" t="s">
        <v>6286</v>
      </c>
      <c r="Z114" s="28" t="s">
        <v>6287</v>
      </c>
      <c r="AA114" s="28" t="s">
        <v>6288</v>
      </c>
      <c r="AB114" s="28" t="s">
        <v>6297</v>
      </c>
    </row>
    <row r="115" spans="1:28" ht="185.4" x14ac:dyDescent="0.3">
      <c r="A115" s="25">
        <v>4730</v>
      </c>
      <c r="B115" s="25" t="s">
        <v>7040</v>
      </c>
      <c r="C115" s="25" t="s">
        <v>7041</v>
      </c>
      <c r="D115" s="25" t="s">
        <v>6278</v>
      </c>
      <c r="E115" s="16" t="s">
        <v>6279</v>
      </c>
      <c r="F115" s="16" t="s">
        <v>6279</v>
      </c>
      <c r="G115" s="16" t="s">
        <v>6279</v>
      </c>
      <c r="H115" s="16" t="s">
        <v>6279</v>
      </c>
      <c r="I115" s="25" t="s">
        <v>7042</v>
      </c>
      <c r="J115" s="25"/>
      <c r="K115" s="25" t="s">
        <v>6281</v>
      </c>
      <c r="L115" s="26" t="s">
        <v>7043</v>
      </c>
      <c r="M115" s="26" t="s">
        <v>6295</v>
      </c>
      <c r="N115" s="27" t="s">
        <v>7044</v>
      </c>
      <c r="O115" s="26" t="s">
        <v>6295</v>
      </c>
      <c r="P115" s="20" t="b">
        <v>1</v>
      </c>
      <c r="Q115" s="20" t="s">
        <v>6282</v>
      </c>
      <c r="R115" s="28" t="s">
        <v>6283</v>
      </c>
      <c r="S115" s="25"/>
      <c r="T115" s="20" t="b">
        <v>1</v>
      </c>
      <c r="U115" s="25"/>
      <c r="V115" s="25">
        <v>185.5</v>
      </c>
      <c r="W115" s="28" t="s">
        <v>7045</v>
      </c>
      <c r="X115" s="28" t="s">
        <v>6285</v>
      </c>
      <c r="Y115" s="28" t="s">
        <v>6286</v>
      </c>
      <c r="Z115" s="28" t="s">
        <v>6287</v>
      </c>
      <c r="AA115" s="28" t="s">
        <v>6288</v>
      </c>
      <c r="AB115" s="28" t="s">
        <v>6297</v>
      </c>
    </row>
    <row r="116" spans="1:28" ht="198.6" x14ac:dyDescent="0.3">
      <c r="A116" s="25">
        <v>4735</v>
      </c>
      <c r="B116" s="25" t="s">
        <v>7046</v>
      </c>
      <c r="C116" s="25" t="s">
        <v>7047</v>
      </c>
      <c r="D116" s="25" t="s">
        <v>6370</v>
      </c>
      <c r="E116" s="16" t="s">
        <v>6371</v>
      </c>
      <c r="F116" s="16" t="s">
        <v>6371</v>
      </c>
      <c r="G116" s="16" t="s">
        <v>6371</v>
      </c>
      <c r="H116" s="16" t="s">
        <v>6371</v>
      </c>
      <c r="I116" s="25" t="s">
        <v>7048</v>
      </c>
      <c r="J116" s="25"/>
      <c r="K116" s="25" t="s">
        <v>6281</v>
      </c>
      <c r="L116" s="26" t="s">
        <v>7049</v>
      </c>
      <c r="M116" s="26" t="s">
        <v>6295</v>
      </c>
      <c r="N116" s="27" t="s">
        <v>7050</v>
      </c>
      <c r="O116" s="26" t="s">
        <v>7051</v>
      </c>
      <c r="P116" s="20" t="b">
        <v>1</v>
      </c>
      <c r="Q116" s="20" t="s">
        <v>6282</v>
      </c>
      <c r="R116" s="28" t="s">
        <v>6283</v>
      </c>
      <c r="S116" s="25"/>
      <c r="T116" s="20" t="b">
        <v>1</v>
      </c>
      <c r="U116" s="25"/>
      <c r="V116" s="25">
        <v>389.98</v>
      </c>
      <c r="W116" s="28" t="s">
        <v>7052</v>
      </c>
      <c r="X116" s="28" t="s">
        <v>6285</v>
      </c>
      <c r="Y116" s="28" t="s">
        <v>6286</v>
      </c>
      <c r="Z116" s="28" t="s">
        <v>6287</v>
      </c>
      <c r="AA116" s="28" t="s">
        <v>6288</v>
      </c>
      <c r="AB116" s="28" t="s">
        <v>6297</v>
      </c>
    </row>
    <row r="117" spans="1:28" ht="185.4" x14ac:dyDescent="0.3">
      <c r="A117" s="25">
        <v>4848</v>
      </c>
      <c r="B117" s="25" t="s">
        <v>7053</v>
      </c>
      <c r="C117" s="25" t="s">
        <v>7054</v>
      </c>
      <c r="D117" s="25" t="s">
        <v>6291</v>
      </c>
      <c r="E117" s="16" t="s">
        <v>6292</v>
      </c>
      <c r="F117" s="16" t="s">
        <v>6292</v>
      </c>
      <c r="G117" s="16" t="s">
        <v>6292</v>
      </c>
      <c r="H117" s="16" t="s">
        <v>6292</v>
      </c>
      <c r="I117" s="25" t="s">
        <v>7055</v>
      </c>
      <c r="J117" s="25"/>
      <c r="K117" s="25" t="s">
        <v>6281</v>
      </c>
      <c r="L117" s="26" t="s">
        <v>7056</v>
      </c>
      <c r="M117" s="26" t="s">
        <v>6295</v>
      </c>
      <c r="N117" s="27" t="s">
        <v>7057</v>
      </c>
      <c r="O117" s="26" t="s">
        <v>7058</v>
      </c>
      <c r="P117" s="20" t="b">
        <v>1</v>
      </c>
      <c r="Q117" s="20" t="s">
        <v>6282</v>
      </c>
      <c r="R117" s="28" t="s">
        <v>6283</v>
      </c>
      <c r="S117" s="25"/>
      <c r="T117" s="20" t="b">
        <v>1</v>
      </c>
      <c r="U117" s="25"/>
      <c r="V117" s="25">
        <v>100</v>
      </c>
      <c r="W117" s="28" t="s">
        <v>7059</v>
      </c>
      <c r="X117" s="28" t="s">
        <v>6285</v>
      </c>
      <c r="Y117" s="28" t="s">
        <v>6286</v>
      </c>
      <c r="Z117" s="28" t="s">
        <v>6287</v>
      </c>
      <c r="AA117" s="28" t="s">
        <v>6288</v>
      </c>
      <c r="AB117" s="28" t="s">
        <v>6297</v>
      </c>
    </row>
    <row r="118" spans="1:28" ht="185.4" x14ac:dyDescent="0.3">
      <c r="A118" s="25">
        <v>4884</v>
      </c>
      <c r="B118" s="25" t="s">
        <v>7060</v>
      </c>
      <c r="C118" s="25" t="s">
        <v>7061</v>
      </c>
      <c r="D118" s="25" t="s">
        <v>6278</v>
      </c>
      <c r="E118" s="16" t="s">
        <v>6279</v>
      </c>
      <c r="F118" s="16" t="s">
        <v>6279</v>
      </c>
      <c r="G118" s="16" t="s">
        <v>6279</v>
      </c>
      <c r="H118" s="16" t="s">
        <v>6279</v>
      </c>
      <c r="I118" s="25" t="s">
        <v>7062</v>
      </c>
      <c r="J118" s="25"/>
      <c r="K118" s="25" t="s">
        <v>6281</v>
      </c>
      <c r="L118" s="26" t="s">
        <v>7063</v>
      </c>
      <c r="M118" s="26" t="s">
        <v>6295</v>
      </c>
      <c r="N118" s="27" t="e">
        <v>#REF!</v>
      </c>
      <c r="O118" s="26" t="s">
        <v>6295</v>
      </c>
      <c r="P118" s="20" t="b">
        <v>1</v>
      </c>
      <c r="Q118" s="20" t="s">
        <v>6282</v>
      </c>
      <c r="R118" s="28" t="s">
        <v>6283</v>
      </c>
      <c r="S118" s="25"/>
      <c r="T118" s="20" t="b">
        <v>1</v>
      </c>
      <c r="U118" s="25"/>
      <c r="V118" s="25">
        <v>130</v>
      </c>
      <c r="W118" s="28" t="s">
        <v>7064</v>
      </c>
      <c r="X118" s="28" t="s">
        <v>6285</v>
      </c>
      <c r="Y118" s="28" t="s">
        <v>6286</v>
      </c>
      <c r="Z118" s="28" t="s">
        <v>6287</v>
      </c>
      <c r="AA118" s="28" t="s">
        <v>6288</v>
      </c>
      <c r="AB118" s="28" t="s">
        <v>6297</v>
      </c>
    </row>
    <row r="119" spans="1:28" ht="185.4" x14ac:dyDescent="0.3">
      <c r="A119" s="25">
        <v>4905</v>
      </c>
      <c r="B119" s="25" t="s">
        <v>7065</v>
      </c>
      <c r="C119" s="25" t="s">
        <v>7066</v>
      </c>
      <c r="D119" s="25" t="s">
        <v>6291</v>
      </c>
      <c r="E119" s="16" t="s">
        <v>6786</v>
      </c>
      <c r="F119" s="16" t="s">
        <v>6786</v>
      </c>
      <c r="G119" s="16" t="s">
        <v>6786</v>
      </c>
      <c r="H119" s="16" t="s">
        <v>6786</v>
      </c>
      <c r="I119" s="25" t="s">
        <v>7067</v>
      </c>
      <c r="J119" s="25"/>
      <c r="K119" s="25" t="s">
        <v>6281</v>
      </c>
      <c r="L119" s="26" t="s">
        <v>7068</v>
      </c>
      <c r="M119" s="26" t="s">
        <v>7069</v>
      </c>
      <c r="N119" s="27" t="s">
        <v>7070</v>
      </c>
      <c r="O119" s="26" t="s">
        <v>6295</v>
      </c>
      <c r="P119" s="20" t="b">
        <v>1</v>
      </c>
      <c r="Q119" s="20" t="s">
        <v>6282</v>
      </c>
      <c r="R119" s="28" t="s">
        <v>6283</v>
      </c>
      <c r="S119" s="25"/>
      <c r="T119" s="20" t="b">
        <v>1</v>
      </c>
      <c r="U119" s="25"/>
      <c r="V119" s="25">
        <v>0.30880000000000002</v>
      </c>
      <c r="W119" s="28" t="s">
        <v>7071</v>
      </c>
      <c r="X119" s="28" t="s">
        <v>6285</v>
      </c>
      <c r="Y119" s="28" t="s">
        <v>6286</v>
      </c>
      <c r="Z119" s="28" t="s">
        <v>6287</v>
      </c>
      <c r="AA119" s="28" t="s">
        <v>6288</v>
      </c>
      <c r="AB119" s="28" t="s">
        <v>6297</v>
      </c>
    </row>
    <row r="120" spans="1:28" ht="185.4" x14ac:dyDescent="0.3">
      <c r="A120" s="25">
        <v>4907</v>
      </c>
      <c r="B120" s="25" t="s">
        <v>7072</v>
      </c>
      <c r="C120" s="25" t="s">
        <v>7073</v>
      </c>
      <c r="D120" s="25" t="s">
        <v>6291</v>
      </c>
      <c r="E120" s="16" t="s">
        <v>6786</v>
      </c>
      <c r="F120" s="16" t="s">
        <v>6786</v>
      </c>
      <c r="G120" s="16" t="s">
        <v>6786</v>
      </c>
      <c r="H120" s="16" t="s">
        <v>6786</v>
      </c>
      <c r="I120" s="25" t="s">
        <v>7074</v>
      </c>
      <c r="J120" s="25"/>
      <c r="K120" s="25" t="s">
        <v>6281</v>
      </c>
      <c r="L120" s="26" t="s">
        <v>7075</v>
      </c>
      <c r="M120" s="26" t="s">
        <v>6295</v>
      </c>
      <c r="N120" s="27" t="s">
        <v>7076</v>
      </c>
      <c r="O120" s="26" t="s">
        <v>6295</v>
      </c>
      <c r="P120" s="20" t="b">
        <v>1</v>
      </c>
      <c r="Q120" s="20" t="s">
        <v>6282</v>
      </c>
      <c r="R120" s="28" t="s">
        <v>6283</v>
      </c>
      <c r="S120" s="25"/>
      <c r="T120" s="20" t="b">
        <v>1</v>
      </c>
      <c r="U120" s="25"/>
      <c r="V120" s="25">
        <v>2.5142000000000002</v>
      </c>
      <c r="W120" s="28" t="s">
        <v>7077</v>
      </c>
      <c r="X120" s="28" t="s">
        <v>6285</v>
      </c>
      <c r="Y120" s="28" t="s">
        <v>6286</v>
      </c>
      <c r="Z120" s="28" t="s">
        <v>6287</v>
      </c>
      <c r="AA120" s="28" t="s">
        <v>6288</v>
      </c>
      <c r="AB120" s="28" t="s">
        <v>6297</v>
      </c>
    </row>
    <row r="121" spans="1:28" ht="185.4" x14ac:dyDescent="0.3">
      <c r="A121" s="25">
        <v>4908</v>
      </c>
      <c r="B121" s="25" t="s">
        <v>7078</v>
      </c>
      <c r="C121" s="25" t="s">
        <v>7079</v>
      </c>
      <c r="D121" s="25" t="s">
        <v>6291</v>
      </c>
      <c r="E121" s="16" t="s">
        <v>6786</v>
      </c>
      <c r="F121" s="16" t="s">
        <v>6786</v>
      </c>
      <c r="G121" s="16" t="s">
        <v>6786</v>
      </c>
      <c r="H121" s="16" t="s">
        <v>6786</v>
      </c>
      <c r="I121" s="25" t="s">
        <v>7080</v>
      </c>
      <c r="J121" s="25"/>
      <c r="K121" s="25" t="s">
        <v>6281</v>
      </c>
      <c r="L121" s="26" t="s">
        <v>7081</v>
      </c>
      <c r="M121" s="26" t="s">
        <v>7082</v>
      </c>
      <c r="N121" s="27" t="s">
        <v>7083</v>
      </c>
      <c r="O121" s="26" t="s">
        <v>6295</v>
      </c>
      <c r="P121" s="20" t="b">
        <v>1</v>
      </c>
      <c r="Q121" s="20" t="s">
        <v>6282</v>
      </c>
      <c r="R121" s="28" t="s">
        <v>6283</v>
      </c>
      <c r="S121" s="25"/>
      <c r="T121" s="20" t="b">
        <v>1</v>
      </c>
      <c r="U121" s="25"/>
      <c r="V121" s="25">
        <v>3.48</v>
      </c>
      <c r="W121" s="28" t="s">
        <v>7084</v>
      </c>
      <c r="X121" s="28" t="s">
        <v>6285</v>
      </c>
      <c r="Y121" s="28" t="s">
        <v>6286</v>
      </c>
      <c r="Z121" s="28" t="s">
        <v>6287</v>
      </c>
      <c r="AA121" s="28" t="s">
        <v>6288</v>
      </c>
      <c r="AB121" s="28" t="s">
        <v>6297</v>
      </c>
    </row>
    <row r="122" spans="1:28" ht="185.4" x14ac:dyDescent="0.3">
      <c r="A122" s="25">
        <v>4909</v>
      </c>
      <c r="B122" s="25" t="s">
        <v>7085</v>
      </c>
      <c r="C122" s="25" t="s">
        <v>7086</v>
      </c>
      <c r="D122" s="25" t="s">
        <v>6291</v>
      </c>
      <c r="E122" s="16" t="s">
        <v>6786</v>
      </c>
      <c r="F122" s="16" t="s">
        <v>6786</v>
      </c>
      <c r="G122" s="16" t="s">
        <v>6786</v>
      </c>
      <c r="H122" s="16" t="s">
        <v>6786</v>
      </c>
      <c r="I122" s="25" t="s">
        <v>7087</v>
      </c>
      <c r="J122" s="25"/>
      <c r="K122" s="25" t="s">
        <v>6281</v>
      </c>
      <c r="L122" s="26" t="s">
        <v>7088</v>
      </c>
      <c r="M122" s="26" t="s">
        <v>7089</v>
      </c>
      <c r="N122" s="27" t="s">
        <v>7090</v>
      </c>
      <c r="O122" s="26" t="s">
        <v>6295</v>
      </c>
      <c r="P122" s="20" t="b">
        <v>1</v>
      </c>
      <c r="Q122" s="20" t="s">
        <v>6282</v>
      </c>
      <c r="R122" s="28" t="s">
        <v>6283</v>
      </c>
      <c r="S122" s="25"/>
      <c r="T122" s="20" t="b">
        <v>1</v>
      </c>
      <c r="U122" s="25"/>
      <c r="V122" s="25">
        <v>3.48</v>
      </c>
      <c r="W122" s="28" t="s">
        <v>7091</v>
      </c>
      <c r="X122" s="28" t="s">
        <v>6285</v>
      </c>
      <c r="Y122" s="28" t="s">
        <v>6286</v>
      </c>
      <c r="Z122" s="28" t="s">
        <v>6287</v>
      </c>
      <c r="AA122" s="28" t="s">
        <v>6288</v>
      </c>
      <c r="AB122" s="28" t="s">
        <v>6297</v>
      </c>
    </row>
    <row r="123" spans="1:28" ht="185.4" x14ac:dyDescent="0.3">
      <c r="A123" s="25">
        <v>4913</v>
      </c>
      <c r="B123" s="25" t="s">
        <v>7092</v>
      </c>
      <c r="C123" s="25" t="s">
        <v>7093</v>
      </c>
      <c r="D123" s="25" t="s">
        <v>6291</v>
      </c>
      <c r="E123" s="16" t="s">
        <v>6292</v>
      </c>
      <c r="F123" s="16" t="s">
        <v>6292</v>
      </c>
      <c r="G123" s="16" t="s">
        <v>6292</v>
      </c>
      <c r="H123" s="16" t="s">
        <v>6292</v>
      </c>
      <c r="I123" s="25" t="s">
        <v>7094</v>
      </c>
      <c r="J123" s="25"/>
      <c r="K123" s="25" t="s">
        <v>6281</v>
      </c>
      <c r="L123" s="26" t="s">
        <v>7095</v>
      </c>
      <c r="M123" s="26" t="s">
        <v>7096</v>
      </c>
      <c r="N123" s="27" t="s">
        <v>7097</v>
      </c>
      <c r="O123" s="26" t="s">
        <v>7098</v>
      </c>
      <c r="P123" s="20" t="b">
        <v>1</v>
      </c>
      <c r="Q123" s="20" t="s">
        <v>6282</v>
      </c>
      <c r="R123" s="28" t="s">
        <v>6283</v>
      </c>
      <c r="S123" s="25"/>
      <c r="T123" s="20" t="b">
        <v>1</v>
      </c>
      <c r="U123" s="25"/>
      <c r="V123" s="25">
        <v>15</v>
      </c>
      <c r="W123" s="28" t="s">
        <v>7099</v>
      </c>
      <c r="X123" s="28" t="s">
        <v>6285</v>
      </c>
      <c r="Y123" s="28" t="s">
        <v>6286</v>
      </c>
      <c r="Z123" s="28" t="s">
        <v>6287</v>
      </c>
      <c r="AA123" s="28" t="s">
        <v>6288</v>
      </c>
      <c r="AB123" s="28" t="s">
        <v>6297</v>
      </c>
    </row>
    <row r="124" spans="1:28" ht="193.2" x14ac:dyDescent="0.3">
      <c r="A124" s="25">
        <v>4924</v>
      </c>
      <c r="B124" s="25" t="s">
        <v>7100</v>
      </c>
      <c r="C124" s="25" t="s">
        <v>7101</v>
      </c>
      <c r="D124" s="25" t="s">
        <v>6278</v>
      </c>
      <c r="E124" s="16" t="s">
        <v>6279</v>
      </c>
      <c r="F124" s="16" t="s">
        <v>6279</v>
      </c>
      <c r="G124" s="16" t="s">
        <v>6279</v>
      </c>
      <c r="H124" s="16" t="s">
        <v>6279</v>
      </c>
      <c r="I124" s="25" t="s">
        <v>7102</v>
      </c>
      <c r="J124" s="25"/>
      <c r="K124" s="25" t="s">
        <v>6281</v>
      </c>
      <c r="L124" s="26" t="s">
        <v>7103</v>
      </c>
      <c r="M124" s="26" t="s">
        <v>7104</v>
      </c>
      <c r="N124" s="27" t="s">
        <v>7105</v>
      </c>
      <c r="O124" s="26" t="s">
        <v>6295</v>
      </c>
      <c r="P124" s="20" t="b">
        <v>1</v>
      </c>
      <c r="Q124" s="20" t="s">
        <v>6282</v>
      </c>
      <c r="R124" s="28" t="s">
        <v>6283</v>
      </c>
      <c r="S124" s="25"/>
      <c r="T124" s="20" t="b">
        <v>1</v>
      </c>
      <c r="U124" s="25"/>
      <c r="V124" s="25">
        <v>17.440000000000001</v>
      </c>
      <c r="W124" s="28" t="s">
        <v>7106</v>
      </c>
      <c r="X124" s="28" t="s">
        <v>6285</v>
      </c>
      <c r="Y124" s="28" t="s">
        <v>6286</v>
      </c>
      <c r="Z124" s="28" t="s">
        <v>6287</v>
      </c>
      <c r="AA124" s="28" t="s">
        <v>6288</v>
      </c>
      <c r="AB124" s="28" t="s">
        <v>6297</v>
      </c>
    </row>
    <row r="125" spans="1:28" ht="185.4" x14ac:dyDescent="0.3">
      <c r="A125" s="25">
        <v>4928</v>
      </c>
      <c r="B125" s="25" t="s">
        <v>7107</v>
      </c>
      <c r="C125" s="25" t="s">
        <v>7108</v>
      </c>
      <c r="D125" s="25" t="s">
        <v>6291</v>
      </c>
      <c r="E125" s="16" t="s">
        <v>6292</v>
      </c>
      <c r="F125" s="16" t="s">
        <v>6292</v>
      </c>
      <c r="G125" s="16" t="s">
        <v>6292</v>
      </c>
      <c r="H125" s="16" t="s">
        <v>6292</v>
      </c>
      <c r="I125" s="25" t="s">
        <v>7109</v>
      </c>
      <c r="J125" s="25"/>
      <c r="K125" s="25" t="s">
        <v>6281</v>
      </c>
      <c r="L125" s="26" t="s">
        <v>7110</v>
      </c>
      <c r="M125" s="26" t="s">
        <v>7111</v>
      </c>
      <c r="N125" s="27" t="s">
        <v>7112</v>
      </c>
      <c r="O125" s="26" t="s">
        <v>7113</v>
      </c>
      <c r="P125" s="20" t="b">
        <v>1</v>
      </c>
      <c r="Q125" s="20" t="s">
        <v>6282</v>
      </c>
      <c r="R125" s="28" t="s">
        <v>6283</v>
      </c>
      <c r="S125" s="25"/>
      <c r="T125" s="20" t="b">
        <v>1</v>
      </c>
      <c r="U125" s="25"/>
      <c r="V125" s="25">
        <v>239.53</v>
      </c>
      <c r="W125" s="28" t="s">
        <v>7114</v>
      </c>
      <c r="X125" s="28" t="s">
        <v>6285</v>
      </c>
      <c r="Y125" s="28" t="s">
        <v>6286</v>
      </c>
      <c r="Z125" s="28" t="s">
        <v>6287</v>
      </c>
      <c r="AA125" s="28" t="s">
        <v>6288</v>
      </c>
      <c r="AB125" s="28" t="s">
        <v>6297</v>
      </c>
    </row>
    <row r="126" spans="1:28" ht="185.4" x14ac:dyDescent="0.3">
      <c r="A126" s="25">
        <v>4951</v>
      </c>
      <c r="B126" s="25" t="s">
        <v>7115</v>
      </c>
      <c r="C126" s="25" t="s">
        <v>7116</v>
      </c>
      <c r="D126" s="25" t="s">
        <v>6278</v>
      </c>
      <c r="E126" s="16" t="s">
        <v>6279</v>
      </c>
      <c r="F126" s="16" t="s">
        <v>6279</v>
      </c>
      <c r="G126" s="16" t="s">
        <v>6279</v>
      </c>
      <c r="H126" s="16" t="s">
        <v>6279</v>
      </c>
      <c r="I126" s="25" t="s">
        <v>7117</v>
      </c>
      <c r="J126" s="25"/>
      <c r="K126" s="25" t="s">
        <v>6281</v>
      </c>
      <c r="L126" s="26" t="s">
        <v>7118</v>
      </c>
      <c r="M126" s="26" t="s">
        <v>7119</v>
      </c>
      <c r="N126" s="27" t="s">
        <v>7120</v>
      </c>
      <c r="O126" s="26" t="s">
        <v>7121</v>
      </c>
      <c r="P126" s="20" t="b">
        <v>1</v>
      </c>
      <c r="Q126" s="20" t="s">
        <v>6282</v>
      </c>
      <c r="R126" s="28" t="s">
        <v>6283</v>
      </c>
      <c r="S126" s="25"/>
      <c r="T126" s="20" t="b">
        <v>1</v>
      </c>
      <c r="U126" s="25"/>
      <c r="V126" s="25">
        <v>31650.06</v>
      </c>
      <c r="W126" s="28" t="s">
        <v>7122</v>
      </c>
      <c r="X126" s="28" t="s">
        <v>6285</v>
      </c>
      <c r="Y126" s="28" t="s">
        <v>6286</v>
      </c>
      <c r="Z126" s="28" t="s">
        <v>6287</v>
      </c>
      <c r="AA126" s="28" t="s">
        <v>6288</v>
      </c>
      <c r="AB126" s="28" t="s">
        <v>6297</v>
      </c>
    </row>
    <row r="127" spans="1:28" ht="198.6" x14ac:dyDescent="0.3">
      <c r="A127" s="25">
        <v>4967</v>
      </c>
      <c r="B127" s="25" t="s">
        <v>7123</v>
      </c>
      <c r="C127" s="25" t="s">
        <v>7124</v>
      </c>
      <c r="D127" s="25" t="s">
        <v>6291</v>
      </c>
      <c r="E127" s="16" t="s">
        <v>6292</v>
      </c>
      <c r="F127" s="16" t="s">
        <v>6292</v>
      </c>
      <c r="G127" s="16" t="s">
        <v>6292</v>
      </c>
      <c r="H127" s="16" t="s">
        <v>6292</v>
      </c>
      <c r="I127" s="25" t="s">
        <v>7125</v>
      </c>
      <c r="J127" s="25"/>
      <c r="K127" s="25" t="s">
        <v>6281</v>
      </c>
      <c r="L127" s="26" t="s">
        <v>7126</v>
      </c>
      <c r="M127" s="26" t="s">
        <v>6295</v>
      </c>
      <c r="N127" s="27" t="s">
        <v>7127</v>
      </c>
      <c r="O127" s="26" t="s">
        <v>6295</v>
      </c>
      <c r="P127" s="20" t="b">
        <v>1</v>
      </c>
      <c r="Q127" s="20" t="s">
        <v>6282</v>
      </c>
      <c r="R127" s="28" t="s">
        <v>6283</v>
      </c>
      <c r="S127" s="25"/>
      <c r="T127" s="20" t="b">
        <v>1</v>
      </c>
      <c r="U127" s="25"/>
      <c r="V127" s="25">
        <v>3.75</v>
      </c>
      <c r="W127" s="28" t="s">
        <v>7128</v>
      </c>
      <c r="X127" s="28" t="s">
        <v>6285</v>
      </c>
      <c r="Y127" s="28" t="s">
        <v>6286</v>
      </c>
      <c r="Z127" s="28" t="s">
        <v>6287</v>
      </c>
      <c r="AA127" s="28" t="s">
        <v>6288</v>
      </c>
      <c r="AB127" s="28" t="s">
        <v>6297</v>
      </c>
    </row>
    <row r="128" spans="1:28" ht="198.6" x14ac:dyDescent="0.3">
      <c r="A128" s="25">
        <v>4975</v>
      </c>
      <c r="B128" s="25" t="s">
        <v>7129</v>
      </c>
      <c r="C128" s="25" t="s">
        <v>7130</v>
      </c>
      <c r="D128" s="25" t="s">
        <v>6291</v>
      </c>
      <c r="E128" s="16" t="s">
        <v>6292</v>
      </c>
      <c r="F128" s="16" t="s">
        <v>6292</v>
      </c>
      <c r="G128" s="16" t="s">
        <v>6292</v>
      </c>
      <c r="H128" s="16" t="s">
        <v>6292</v>
      </c>
      <c r="I128" s="25" t="s">
        <v>7131</v>
      </c>
      <c r="J128" s="25"/>
      <c r="K128" s="25" t="s">
        <v>6281</v>
      </c>
      <c r="L128" s="26" t="s">
        <v>7132</v>
      </c>
      <c r="M128" s="26" t="s">
        <v>7133</v>
      </c>
      <c r="N128" s="27" t="s">
        <v>7134</v>
      </c>
      <c r="O128" s="26" t="s">
        <v>6295</v>
      </c>
      <c r="P128" s="20" t="b">
        <v>1</v>
      </c>
      <c r="Q128" s="20" t="s">
        <v>6282</v>
      </c>
      <c r="R128" s="28" t="s">
        <v>6283</v>
      </c>
      <c r="S128" s="25"/>
      <c r="T128" s="20" t="b">
        <v>1</v>
      </c>
      <c r="U128" s="25"/>
      <c r="V128" s="25">
        <v>4.6592000000000002</v>
      </c>
      <c r="W128" s="28" t="s">
        <v>7135</v>
      </c>
      <c r="X128" s="28" t="s">
        <v>6285</v>
      </c>
      <c r="Y128" s="28" t="s">
        <v>6286</v>
      </c>
      <c r="Z128" s="28" t="s">
        <v>6287</v>
      </c>
      <c r="AA128" s="28" t="s">
        <v>6288</v>
      </c>
      <c r="AB128" s="28" t="s">
        <v>6297</v>
      </c>
    </row>
    <row r="129" spans="1:28" ht="185.4" x14ac:dyDescent="0.3">
      <c r="A129" s="25">
        <v>4979</v>
      </c>
      <c r="B129" s="25" t="s">
        <v>7136</v>
      </c>
      <c r="C129" s="25" t="s">
        <v>7137</v>
      </c>
      <c r="D129" s="25" t="s">
        <v>6291</v>
      </c>
      <c r="E129" s="16" t="s">
        <v>6292</v>
      </c>
      <c r="F129" s="16" t="s">
        <v>6292</v>
      </c>
      <c r="G129" s="16" t="s">
        <v>6292</v>
      </c>
      <c r="H129" s="16" t="s">
        <v>6292</v>
      </c>
      <c r="I129" s="25" t="s">
        <v>7138</v>
      </c>
      <c r="J129" s="25"/>
      <c r="K129" s="25" t="s">
        <v>6281</v>
      </c>
      <c r="L129" s="26" t="s">
        <v>7139</v>
      </c>
      <c r="M129" s="26" t="s">
        <v>6295</v>
      </c>
      <c r="N129" s="27" t="s">
        <v>7140</v>
      </c>
      <c r="O129" s="26" t="s">
        <v>6295</v>
      </c>
      <c r="P129" s="20" t="b">
        <v>1</v>
      </c>
      <c r="Q129" s="20" t="s">
        <v>6282</v>
      </c>
      <c r="R129" s="28" t="s">
        <v>6283</v>
      </c>
      <c r="S129" s="25"/>
      <c r="T129" s="20" t="b">
        <v>1</v>
      </c>
      <c r="U129" s="25"/>
      <c r="V129" s="25" t="s">
        <v>6295</v>
      </c>
      <c r="W129" s="28" t="s">
        <v>7141</v>
      </c>
      <c r="X129" s="28" t="s">
        <v>6285</v>
      </c>
      <c r="Y129" s="28" t="s">
        <v>6286</v>
      </c>
      <c r="Z129" s="28" t="s">
        <v>6287</v>
      </c>
      <c r="AA129" s="28" t="s">
        <v>6288</v>
      </c>
      <c r="AB129" s="28" t="s">
        <v>6297</v>
      </c>
    </row>
    <row r="130" spans="1:28" ht="185.4" x14ac:dyDescent="0.3">
      <c r="A130" s="25">
        <v>4980</v>
      </c>
      <c r="B130" s="25" t="s">
        <v>7142</v>
      </c>
      <c r="C130" s="25" t="s">
        <v>7143</v>
      </c>
      <c r="D130" s="25" t="s">
        <v>6278</v>
      </c>
      <c r="E130" s="16" t="s">
        <v>6279</v>
      </c>
      <c r="F130" s="16" t="s">
        <v>6279</v>
      </c>
      <c r="G130" s="16" t="s">
        <v>6279</v>
      </c>
      <c r="H130" s="16" t="s">
        <v>6279</v>
      </c>
      <c r="I130" s="25" t="s">
        <v>7144</v>
      </c>
      <c r="J130" s="25"/>
      <c r="K130" s="25" t="s">
        <v>6281</v>
      </c>
      <c r="L130" s="26" t="s">
        <v>7145</v>
      </c>
      <c r="M130" s="26" t="s">
        <v>6295</v>
      </c>
      <c r="N130" s="27" t="s">
        <v>7146</v>
      </c>
      <c r="O130" s="26" t="s">
        <v>6295</v>
      </c>
      <c r="P130" s="20" t="b">
        <v>1</v>
      </c>
      <c r="Q130" s="20" t="s">
        <v>6282</v>
      </c>
      <c r="R130" s="28" t="s">
        <v>6283</v>
      </c>
      <c r="S130" s="25"/>
      <c r="T130" s="20" t="b">
        <v>1</v>
      </c>
      <c r="U130" s="25"/>
      <c r="V130" s="25">
        <v>205.63</v>
      </c>
      <c r="W130" s="28" t="s">
        <v>7147</v>
      </c>
      <c r="X130" s="28" t="s">
        <v>6285</v>
      </c>
      <c r="Y130" s="28" t="s">
        <v>6286</v>
      </c>
      <c r="Z130" s="28" t="s">
        <v>6287</v>
      </c>
      <c r="AA130" s="28" t="s">
        <v>6288</v>
      </c>
      <c r="AB130" s="28" t="s">
        <v>6297</v>
      </c>
    </row>
    <row r="131" spans="1:28" ht="193.2" x14ac:dyDescent="0.3">
      <c r="A131" s="25">
        <v>4982</v>
      </c>
      <c r="B131" s="25" t="s">
        <v>7148</v>
      </c>
      <c r="C131" s="25" t="s">
        <v>7149</v>
      </c>
      <c r="D131" s="25" t="s">
        <v>6278</v>
      </c>
      <c r="E131" s="16" t="s">
        <v>6279</v>
      </c>
      <c r="F131" s="16" t="s">
        <v>6279</v>
      </c>
      <c r="G131" s="16" t="s">
        <v>6279</v>
      </c>
      <c r="H131" s="16" t="s">
        <v>6279</v>
      </c>
      <c r="I131" s="25" t="s">
        <v>7150</v>
      </c>
      <c r="J131" s="25"/>
      <c r="K131" s="25" t="s">
        <v>6281</v>
      </c>
      <c r="L131" s="26" t="s">
        <v>7151</v>
      </c>
      <c r="M131" s="26" t="s">
        <v>7152</v>
      </c>
      <c r="N131" s="27" t="s">
        <v>7153</v>
      </c>
      <c r="O131" s="26" t="s">
        <v>6295</v>
      </c>
      <c r="P131" s="20" t="b">
        <v>1</v>
      </c>
      <c r="Q131" s="20" t="s">
        <v>6282</v>
      </c>
      <c r="R131" s="28" t="s">
        <v>6283</v>
      </c>
      <c r="S131" s="25"/>
      <c r="T131" s="20" t="b">
        <v>1</v>
      </c>
      <c r="U131" s="25"/>
      <c r="V131" s="25">
        <v>195</v>
      </c>
      <c r="W131" s="28" t="s">
        <v>7154</v>
      </c>
      <c r="X131" s="28" t="s">
        <v>6285</v>
      </c>
      <c r="Y131" s="28" t="s">
        <v>6286</v>
      </c>
      <c r="Z131" s="28" t="s">
        <v>6287</v>
      </c>
      <c r="AA131" s="28" t="s">
        <v>6288</v>
      </c>
      <c r="AB131" s="28" t="s">
        <v>6297</v>
      </c>
    </row>
    <row r="132" spans="1:28" ht="193.2" x14ac:dyDescent="0.3">
      <c r="A132" s="25">
        <v>5005</v>
      </c>
      <c r="B132" s="25" t="s">
        <v>7155</v>
      </c>
      <c r="C132" s="25" t="s">
        <v>7156</v>
      </c>
      <c r="D132" s="25" t="s">
        <v>6278</v>
      </c>
      <c r="E132" s="16" t="s">
        <v>6279</v>
      </c>
      <c r="F132" s="16" t="s">
        <v>6279</v>
      </c>
      <c r="G132" s="16" t="s">
        <v>6279</v>
      </c>
      <c r="H132" s="16" t="s">
        <v>6279</v>
      </c>
      <c r="I132" s="25" t="s">
        <v>7157</v>
      </c>
      <c r="J132" s="25"/>
      <c r="K132" s="25" t="s">
        <v>6281</v>
      </c>
      <c r="L132" s="26" t="s">
        <v>7158</v>
      </c>
      <c r="M132" s="26" t="s">
        <v>6295</v>
      </c>
      <c r="N132" s="27" t="s">
        <v>7159</v>
      </c>
      <c r="O132" s="26" t="s">
        <v>6295</v>
      </c>
      <c r="P132" s="20" t="b">
        <v>1</v>
      </c>
      <c r="Q132" s="20" t="s">
        <v>6282</v>
      </c>
      <c r="R132" s="28" t="s">
        <v>6283</v>
      </c>
      <c r="S132" s="25"/>
      <c r="T132" s="20" t="b">
        <v>1</v>
      </c>
      <c r="U132" s="25"/>
      <c r="V132" s="25">
        <v>56.51</v>
      </c>
      <c r="W132" s="28" t="s">
        <v>7160</v>
      </c>
      <c r="X132" s="28" t="s">
        <v>6285</v>
      </c>
      <c r="Y132" s="28" t="s">
        <v>6286</v>
      </c>
      <c r="Z132" s="28" t="s">
        <v>6287</v>
      </c>
      <c r="AA132" s="28" t="s">
        <v>6288</v>
      </c>
      <c r="AB132" s="28" t="s">
        <v>6297</v>
      </c>
    </row>
    <row r="133" spans="1:28" ht="220.8" x14ac:dyDescent="0.3">
      <c r="A133" s="25">
        <v>5017</v>
      </c>
      <c r="B133" s="25" t="s">
        <v>7161</v>
      </c>
      <c r="C133" s="25" t="s">
        <v>7162</v>
      </c>
      <c r="D133" s="25" t="s">
        <v>6291</v>
      </c>
      <c r="E133" s="16" t="s">
        <v>6292</v>
      </c>
      <c r="F133" s="16" t="s">
        <v>6292</v>
      </c>
      <c r="G133" s="16" t="s">
        <v>6292</v>
      </c>
      <c r="H133" s="16" t="s">
        <v>6292</v>
      </c>
      <c r="I133" s="25" t="s">
        <v>7163</v>
      </c>
      <c r="J133" s="25"/>
      <c r="K133" s="25" t="s">
        <v>6281</v>
      </c>
      <c r="L133" s="26" t="s">
        <v>7164</v>
      </c>
      <c r="M133" s="26" t="s">
        <v>7165</v>
      </c>
      <c r="N133" s="27" t="s">
        <v>7166</v>
      </c>
      <c r="O133" s="26" t="s">
        <v>7167</v>
      </c>
      <c r="P133" s="20" t="b">
        <v>1</v>
      </c>
      <c r="Q133" s="20" t="s">
        <v>6282</v>
      </c>
      <c r="R133" s="28" t="s">
        <v>6283</v>
      </c>
      <c r="S133" s="25"/>
      <c r="T133" s="20" t="b">
        <v>1</v>
      </c>
      <c r="U133" s="25"/>
      <c r="V133" s="25">
        <v>57.3</v>
      </c>
      <c r="W133" s="28" t="s">
        <v>7168</v>
      </c>
      <c r="X133" s="28" t="s">
        <v>6285</v>
      </c>
      <c r="Y133" s="28" t="s">
        <v>6286</v>
      </c>
      <c r="Z133" s="28" t="s">
        <v>6287</v>
      </c>
      <c r="AA133" s="28" t="s">
        <v>6288</v>
      </c>
      <c r="AB133" s="28" t="s">
        <v>6297</v>
      </c>
    </row>
    <row r="134" spans="1:28" ht="198.6" x14ac:dyDescent="0.3">
      <c r="A134" s="25">
        <v>5021</v>
      </c>
      <c r="B134" s="25" t="s">
        <v>7169</v>
      </c>
      <c r="C134" s="25" t="s">
        <v>7170</v>
      </c>
      <c r="D134" s="25" t="s">
        <v>6291</v>
      </c>
      <c r="E134" s="16" t="s">
        <v>6292</v>
      </c>
      <c r="F134" s="16" t="s">
        <v>6292</v>
      </c>
      <c r="G134" s="16" t="s">
        <v>6292</v>
      </c>
      <c r="H134" s="16" t="s">
        <v>6292</v>
      </c>
      <c r="I134" s="25" t="s">
        <v>7171</v>
      </c>
      <c r="J134" s="25"/>
      <c r="K134" s="25" t="s">
        <v>6281</v>
      </c>
      <c r="L134" s="26" t="s">
        <v>7172</v>
      </c>
      <c r="M134" s="26" t="s">
        <v>6295</v>
      </c>
      <c r="N134" s="27" t="s">
        <v>7173</v>
      </c>
      <c r="O134" s="26" t="s">
        <v>6295</v>
      </c>
      <c r="P134" s="20" t="b">
        <v>1</v>
      </c>
      <c r="Q134" s="20" t="s">
        <v>6282</v>
      </c>
      <c r="R134" s="28" t="s">
        <v>6283</v>
      </c>
      <c r="S134" s="25"/>
      <c r="T134" s="20" t="b">
        <v>1</v>
      </c>
      <c r="U134" s="25"/>
      <c r="V134" s="25">
        <v>8.32</v>
      </c>
      <c r="W134" s="28" t="s">
        <v>7174</v>
      </c>
      <c r="X134" s="28" t="s">
        <v>6285</v>
      </c>
      <c r="Y134" s="28" t="s">
        <v>6286</v>
      </c>
      <c r="Z134" s="28" t="s">
        <v>6287</v>
      </c>
      <c r="AA134" s="28" t="s">
        <v>6288</v>
      </c>
      <c r="AB134" s="28" t="s">
        <v>6297</v>
      </c>
    </row>
    <row r="135" spans="1:28" ht="185.4" x14ac:dyDescent="0.3">
      <c r="A135" s="25">
        <v>5026</v>
      </c>
      <c r="B135" s="25" t="s">
        <v>7175</v>
      </c>
      <c r="C135" s="25" t="s">
        <v>7176</v>
      </c>
      <c r="D135" s="25" t="s">
        <v>6291</v>
      </c>
      <c r="E135" s="16" t="s">
        <v>6292</v>
      </c>
      <c r="F135" s="16" t="s">
        <v>6292</v>
      </c>
      <c r="G135" s="16" t="s">
        <v>6292</v>
      </c>
      <c r="H135" s="16" t="s">
        <v>6292</v>
      </c>
      <c r="I135" s="25" t="s">
        <v>7177</v>
      </c>
      <c r="J135" s="25"/>
      <c r="K135" s="25" t="s">
        <v>6281</v>
      </c>
      <c r="L135" s="26" t="s">
        <v>7178</v>
      </c>
      <c r="M135" s="26" t="s">
        <v>7179</v>
      </c>
      <c r="N135" s="27" t="s">
        <v>7180</v>
      </c>
      <c r="O135" s="26" t="s">
        <v>6295</v>
      </c>
      <c r="P135" s="20" t="b">
        <v>1</v>
      </c>
      <c r="Q135" s="20" t="s">
        <v>6282</v>
      </c>
      <c r="R135" s="28" t="s">
        <v>6283</v>
      </c>
      <c r="S135" s="25"/>
      <c r="T135" s="20" t="b">
        <v>1</v>
      </c>
      <c r="U135" s="25"/>
      <c r="V135" s="25">
        <v>12.96</v>
      </c>
      <c r="W135" s="28" t="s">
        <v>7181</v>
      </c>
      <c r="X135" s="28" t="s">
        <v>6285</v>
      </c>
      <c r="Y135" s="28" t="s">
        <v>6286</v>
      </c>
      <c r="Z135" s="28" t="s">
        <v>6287</v>
      </c>
      <c r="AA135" s="28" t="s">
        <v>6288</v>
      </c>
      <c r="AB135" s="28" t="s">
        <v>6297</v>
      </c>
    </row>
    <row r="136" spans="1:28" ht="185.4" x14ac:dyDescent="0.3">
      <c r="A136" s="25">
        <v>5027</v>
      </c>
      <c r="B136" s="25" t="s">
        <v>7182</v>
      </c>
      <c r="C136" s="25" t="s">
        <v>7183</v>
      </c>
      <c r="D136" s="25" t="s">
        <v>6291</v>
      </c>
      <c r="E136" s="16" t="s">
        <v>6292</v>
      </c>
      <c r="F136" s="16" t="s">
        <v>6292</v>
      </c>
      <c r="G136" s="16" t="s">
        <v>6292</v>
      </c>
      <c r="H136" s="16" t="s">
        <v>6292</v>
      </c>
      <c r="I136" s="25" t="s">
        <v>7184</v>
      </c>
      <c r="J136" s="25"/>
      <c r="K136" s="25" t="s">
        <v>6281</v>
      </c>
      <c r="L136" s="26" t="s">
        <v>7185</v>
      </c>
      <c r="M136" s="26" t="s">
        <v>7186</v>
      </c>
      <c r="N136" s="27" t="s">
        <v>7187</v>
      </c>
      <c r="O136" s="26" t="s">
        <v>6295</v>
      </c>
      <c r="P136" s="20" t="b">
        <v>1</v>
      </c>
      <c r="Q136" s="20" t="s">
        <v>6282</v>
      </c>
      <c r="R136" s="28" t="s">
        <v>6283</v>
      </c>
      <c r="S136" s="25"/>
      <c r="T136" s="20" t="b">
        <v>1</v>
      </c>
      <c r="U136" s="25"/>
      <c r="V136" s="25">
        <v>36.65</v>
      </c>
      <c r="W136" s="28" t="s">
        <v>7188</v>
      </c>
      <c r="X136" s="28" t="s">
        <v>6285</v>
      </c>
      <c r="Y136" s="28" t="s">
        <v>6286</v>
      </c>
      <c r="Z136" s="28" t="s">
        <v>6287</v>
      </c>
      <c r="AA136" s="28" t="s">
        <v>6288</v>
      </c>
      <c r="AB136" s="28" t="s">
        <v>6297</v>
      </c>
    </row>
    <row r="137" spans="1:28" ht="193.2" x14ac:dyDescent="0.3">
      <c r="A137" s="25">
        <v>5076</v>
      </c>
      <c r="B137" s="25" t="s">
        <v>7189</v>
      </c>
      <c r="C137" s="25" t="s">
        <v>7190</v>
      </c>
      <c r="D137" s="25" t="s">
        <v>6291</v>
      </c>
      <c r="E137" s="16" t="s">
        <v>6292</v>
      </c>
      <c r="F137" s="16" t="s">
        <v>6292</v>
      </c>
      <c r="G137" s="16" t="s">
        <v>6292</v>
      </c>
      <c r="H137" s="16" t="s">
        <v>6292</v>
      </c>
      <c r="I137" s="25" t="s">
        <v>7191</v>
      </c>
      <c r="J137" s="25"/>
      <c r="K137" s="25" t="s">
        <v>6281</v>
      </c>
      <c r="L137" s="26" t="s">
        <v>7192</v>
      </c>
      <c r="M137" s="26" t="s">
        <v>6295</v>
      </c>
      <c r="N137" s="27" t="s">
        <v>7193</v>
      </c>
      <c r="O137" s="26" t="s">
        <v>7194</v>
      </c>
      <c r="P137" s="20" t="b">
        <v>1</v>
      </c>
      <c r="Q137" s="20" t="s">
        <v>6282</v>
      </c>
      <c r="R137" s="28" t="s">
        <v>6283</v>
      </c>
      <c r="S137" s="25"/>
      <c r="T137" s="20" t="b">
        <v>1</v>
      </c>
      <c r="U137" s="25"/>
      <c r="V137" s="25">
        <v>10.32</v>
      </c>
      <c r="W137" s="28" t="s">
        <v>7195</v>
      </c>
      <c r="X137" s="28" t="s">
        <v>6285</v>
      </c>
      <c r="Y137" s="28" t="s">
        <v>6286</v>
      </c>
      <c r="Z137" s="28" t="s">
        <v>6287</v>
      </c>
      <c r="AA137" s="28" t="s">
        <v>6288</v>
      </c>
      <c r="AB137" s="28" t="s">
        <v>6297</v>
      </c>
    </row>
    <row r="138" spans="1:28" ht="198.6" x14ac:dyDescent="0.3">
      <c r="A138" s="25">
        <v>5097</v>
      </c>
      <c r="B138" s="25" t="s">
        <v>7196</v>
      </c>
      <c r="C138" s="25" t="s">
        <v>7197</v>
      </c>
      <c r="D138" s="25" t="s">
        <v>6291</v>
      </c>
      <c r="E138" s="16" t="s">
        <v>6292</v>
      </c>
      <c r="F138" s="16" t="s">
        <v>6292</v>
      </c>
      <c r="G138" s="16" t="s">
        <v>6292</v>
      </c>
      <c r="H138" s="16" t="s">
        <v>6292</v>
      </c>
      <c r="I138" s="25" t="s">
        <v>7198</v>
      </c>
      <c r="J138" s="25"/>
      <c r="K138" s="25" t="s">
        <v>6281</v>
      </c>
      <c r="L138" s="26" t="s">
        <v>7199</v>
      </c>
      <c r="M138" s="26" t="s">
        <v>6295</v>
      </c>
      <c r="N138" s="27" t="s">
        <v>7200</v>
      </c>
      <c r="O138" s="26" t="s">
        <v>6295</v>
      </c>
      <c r="P138" s="20" t="b">
        <v>1</v>
      </c>
      <c r="Q138" s="20" t="s">
        <v>6282</v>
      </c>
      <c r="R138" s="28" t="s">
        <v>6283</v>
      </c>
      <c r="S138" s="25"/>
      <c r="T138" s="20" t="b">
        <v>1</v>
      </c>
      <c r="U138" s="25"/>
      <c r="V138" s="25">
        <v>8.75</v>
      </c>
      <c r="W138" s="28" t="s">
        <v>7201</v>
      </c>
      <c r="X138" s="28" t="s">
        <v>6285</v>
      </c>
      <c r="Y138" s="28" t="s">
        <v>6286</v>
      </c>
      <c r="Z138" s="28" t="s">
        <v>6287</v>
      </c>
      <c r="AA138" s="28" t="s">
        <v>6288</v>
      </c>
      <c r="AB138" s="28" t="s">
        <v>6297</v>
      </c>
    </row>
    <row r="139" spans="1:28" ht="185.4" x14ac:dyDescent="0.3">
      <c r="A139" s="25">
        <v>5108</v>
      </c>
      <c r="B139" s="25" t="s">
        <v>7202</v>
      </c>
      <c r="C139" s="25" t="s">
        <v>7203</v>
      </c>
      <c r="D139" s="25" t="s">
        <v>6278</v>
      </c>
      <c r="E139" s="16" t="s">
        <v>7204</v>
      </c>
      <c r="F139" s="16" t="s">
        <v>7204</v>
      </c>
      <c r="G139" s="16" t="s">
        <v>7204</v>
      </c>
      <c r="H139" s="16" t="s">
        <v>7204</v>
      </c>
      <c r="I139" s="25" t="s">
        <v>7205</v>
      </c>
      <c r="J139" s="25"/>
      <c r="K139" s="25" t="s">
        <v>6281</v>
      </c>
      <c r="L139" s="26" t="s">
        <v>7206</v>
      </c>
      <c r="M139" s="26" t="s">
        <v>7207</v>
      </c>
      <c r="N139" s="27" t="s">
        <v>7208</v>
      </c>
      <c r="O139" s="26" t="s">
        <v>6295</v>
      </c>
      <c r="P139" s="20" t="b">
        <v>1</v>
      </c>
      <c r="Q139" s="20" t="s">
        <v>6282</v>
      </c>
      <c r="R139" s="28" t="s">
        <v>6283</v>
      </c>
      <c r="S139" s="25"/>
      <c r="T139" s="20" t="b">
        <v>1</v>
      </c>
      <c r="U139" s="25"/>
      <c r="V139" s="25">
        <v>525</v>
      </c>
      <c r="W139" s="28" t="s">
        <v>7209</v>
      </c>
      <c r="X139" s="28" t="s">
        <v>6285</v>
      </c>
      <c r="Y139" s="28" t="s">
        <v>6286</v>
      </c>
      <c r="Z139" s="28" t="s">
        <v>6287</v>
      </c>
      <c r="AA139" s="28" t="s">
        <v>6288</v>
      </c>
      <c r="AB139" s="28" t="s">
        <v>6297</v>
      </c>
    </row>
    <row r="140" spans="1:28" ht="198.6" x14ac:dyDescent="0.3">
      <c r="A140" s="25">
        <v>5140</v>
      </c>
      <c r="B140" s="25" t="s">
        <v>7210</v>
      </c>
      <c r="C140" s="25" t="s">
        <v>7211</v>
      </c>
      <c r="D140" s="25" t="s">
        <v>6291</v>
      </c>
      <c r="E140" s="16" t="s">
        <v>6292</v>
      </c>
      <c r="F140" s="16" t="s">
        <v>6292</v>
      </c>
      <c r="G140" s="16" t="s">
        <v>6292</v>
      </c>
      <c r="H140" s="16" t="s">
        <v>6292</v>
      </c>
      <c r="I140" s="25" t="s">
        <v>7212</v>
      </c>
      <c r="J140" s="25"/>
      <c r="K140" s="25" t="s">
        <v>6281</v>
      </c>
      <c r="L140" s="26" t="s">
        <v>7213</v>
      </c>
      <c r="M140" s="26" t="s">
        <v>7214</v>
      </c>
      <c r="N140" s="27" t="s">
        <v>7215</v>
      </c>
      <c r="O140" s="26" t="s">
        <v>6295</v>
      </c>
      <c r="P140" s="20" t="b">
        <v>1</v>
      </c>
      <c r="Q140" s="20" t="s">
        <v>6282</v>
      </c>
      <c r="R140" s="28" t="s">
        <v>6283</v>
      </c>
      <c r="S140" s="25"/>
      <c r="T140" s="20" t="b">
        <v>1</v>
      </c>
      <c r="U140" s="25"/>
      <c r="V140" s="25">
        <v>22.43</v>
      </c>
      <c r="W140" s="28" t="s">
        <v>7216</v>
      </c>
      <c r="X140" s="28" t="s">
        <v>6285</v>
      </c>
      <c r="Y140" s="28" t="s">
        <v>6286</v>
      </c>
      <c r="Z140" s="28" t="s">
        <v>6287</v>
      </c>
      <c r="AA140" s="28" t="s">
        <v>6288</v>
      </c>
      <c r="AB140" s="28" t="s">
        <v>6297</v>
      </c>
    </row>
    <row r="141" spans="1:28" ht="185.4" x14ac:dyDescent="0.3">
      <c r="A141" s="25">
        <v>5148</v>
      </c>
      <c r="B141" s="25" t="s">
        <v>7217</v>
      </c>
      <c r="C141" s="25" t="s">
        <v>6295</v>
      </c>
      <c r="D141" s="25" t="s">
        <v>6291</v>
      </c>
      <c r="E141" s="16" t="s">
        <v>6292</v>
      </c>
      <c r="F141" s="16" t="s">
        <v>6292</v>
      </c>
      <c r="G141" s="16" t="s">
        <v>6292</v>
      </c>
      <c r="H141" s="16" t="s">
        <v>6292</v>
      </c>
      <c r="I141" s="25" t="s">
        <v>7218</v>
      </c>
      <c r="J141" s="25"/>
      <c r="K141" s="25" t="s">
        <v>6281</v>
      </c>
      <c r="L141" s="26" t="s">
        <v>7219</v>
      </c>
      <c r="M141" s="26" t="s">
        <v>7220</v>
      </c>
      <c r="N141" s="27" t="s">
        <v>7221</v>
      </c>
      <c r="O141" s="26" t="s">
        <v>7220</v>
      </c>
      <c r="P141" s="20" t="b">
        <v>1</v>
      </c>
      <c r="Q141" s="20" t="s">
        <v>6282</v>
      </c>
      <c r="R141" s="28" t="s">
        <v>6283</v>
      </c>
      <c r="S141" s="25"/>
      <c r="T141" s="20" t="b">
        <v>1</v>
      </c>
      <c r="U141" s="25"/>
      <c r="V141" s="25">
        <v>5.65</v>
      </c>
      <c r="W141" s="28" t="s">
        <v>7222</v>
      </c>
      <c r="X141" s="28" t="s">
        <v>6285</v>
      </c>
      <c r="Y141" s="28" t="s">
        <v>6286</v>
      </c>
      <c r="Z141" s="28" t="s">
        <v>6287</v>
      </c>
      <c r="AA141" s="28" t="s">
        <v>6288</v>
      </c>
      <c r="AB141" s="28" t="s">
        <v>6297</v>
      </c>
    </row>
    <row r="142" spans="1:28" ht="185.4" x14ac:dyDescent="0.3">
      <c r="A142" s="25">
        <v>5158</v>
      </c>
      <c r="B142" s="25" t="s">
        <v>7223</v>
      </c>
      <c r="C142" s="25" t="s">
        <v>7224</v>
      </c>
      <c r="D142" s="25" t="s">
        <v>6291</v>
      </c>
      <c r="E142" s="16" t="s">
        <v>6793</v>
      </c>
      <c r="F142" s="16" t="s">
        <v>6793</v>
      </c>
      <c r="G142" s="16" t="s">
        <v>6793</v>
      </c>
      <c r="H142" s="16" t="s">
        <v>6793</v>
      </c>
      <c r="I142" s="25" t="s">
        <v>7225</v>
      </c>
      <c r="J142" s="25"/>
      <c r="K142" s="25" t="s">
        <v>6281</v>
      </c>
      <c r="L142" s="26" t="s">
        <v>7226</v>
      </c>
      <c r="M142" s="26" t="s">
        <v>7227</v>
      </c>
      <c r="N142" s="27" t="s">
        <v>7228</v>
      </c>
      <c r="O142" s="26" t="s">
        <v>7229</v>
      </c>
      <c r="P142" s="20" t="b">
        <v>1</v>
      </c>
      <c r="Q142" s="20" t="s">
        <v>6282</v>
      </c>
      <c r="R142" s="28" t="s">
        <v>6283</v>
      </c>
      <c r="S142" s="25"/>
      <c r="T142" s="20" t="b">
        <v>1</v>
      </c>
      <c r="U142" s="25"/>
      <c r="V142" s="25">
        <v>21.1875</v>
      </c>
      <c r="W142" s="28" t="s">
        <v>7230</v>
      </c>
      <c r="X142" s="28" t="s">
        <v>6285</v>
      </c>
      <c r="Y142" s="28" t="s">
        <v>6286</v>
      </c>
      <c r="Z142" s="28" t="s">
        <v>6287</v>
      </c>
      <c r="AA142" s="28" t="s">
        <v>6288</v>
      </c>
      <c r="AB142" s="28" t="s">
        <v>6297</v>
      </c>
    </row>
    <row r="143" spans="1:28" ht="185.4" x14ac:dyDescent="0.3">
      <c r="A143" s="25">
        <v>5159</v>
      </c>
      <c r="B143" s="25" t="s">
        <v>7223</v>
      </c>
      <c r="C143" s="25" t="s">
        <v>7231</v>
      </c>
      <c r="D143" s="25" t="s">
        <v>6291</v>
      </c>
      <c r="E143" s="16" t="s">
        <v>6793</v>
      </c>
      <c r="F143" s="16" t="s">
        <v>6793</v>
      </c>
      <c r="G143" s="16" t="s">
        <v>6793</v>
      </c>
      <c r="H143" s="16" t="s">
        <v>6793</v>
      </c>
      <c r="I143" s="25" t="s">
        <v>7225</v>
      </c>
      <c r="J143" s="25"/>
      <c r="K143" s="25" t="s">
        <v>6281</v>
      </c>
      <c r="L143" s="26" t="s">
        <v>7232</v>
      </c>
      <c r="M143" s="26" t="s">
        <v>7233</v>
      </c>
      <c r="N143" s="27" t="s">
        <v>7234</v>
      </c>
      <c r="O143" s="26" t="s">
        <v>7235</v>
      </c>
      <c r="P143" s="20" t="b">
        <v>1</v>
      </c>
      <c r="Q143" s="20" t="s">
        <v>6282</v>
      </c>
      <c r="R143" s="28" t="s">
        <v>6283</v>
      </c>
      <c r="S143" s="25"/>
      <c r="T143" s="20" t="b">
        <v>1</v>
      </c>
      <c r="U143" s="25"/>
      <c r="V143" s="25">
        <v>13.683999999999999</v>
      </c>
      <c r="W143" s="28" t="s">
        <v>7236</v>
      </c>
      <c r="X143" s="28" t="s">
        <v>6285</v>
      </c>
      <c r="Y143" s="28" t="s">
        <v>6286</v>
      </c>
      <c r="Z143" s="28" t="s">
        <v>6287</v>
      </c>
      <c r="AA143" s="28" t="s">
        <v>6288</v>
      </c>
      <c r="AB143" s="28" t="s">
        <v>6297</v>
      </c>
    </row>
    <row r="144" spans="1:28" ht="185.4" x14ac:dyDescent="0.3">
      <c r="A144" s="25">
        <v>5169</v>
      </c>
      <c r="B144" s="25" t="s">
        <v>7237</v>
      </c>
      <c r="C144" s="25" t="s">
        <v>7238</v>
      </c>
      <c r="D144" s="25" t="s">
        <v>6291</v>
      </c>
      <c r="E144" s="16" t="s">
        <v>6292</v>
      </c>
      <c r="F144" s="16" t="s">
        <v>6292</v>
      </c>
      <c r="G144" s="16" t="s">
        <v>6292</v>
      </c>
      <c r="H144" s="16" t="s">
        <v>6292</v>
      </c>
      <c r="I144" s="25" t="s">
        <v>7239</v>
      </c>
      <c r="J144" s="25"/>
      <c r="K144" s="25" t="s">
        <v>6281</v>
      </c>
      <c r="L144" s="26" t="s">
        <v>7240</v>
      </c>
      <c r="M144" s="26" t="s">
        <v>7241</v>
      </c>
      <c r="N144" s="27" t="s">
        <v>7242</v>
      </c>
      <c r="O144" s="26" t="s">
        <v>6295</v>
      </c>
      <c r="P144" s="20" t="b">
        <v>1</v>
      </c>
      <c r="Q144" s="20" t="s">
        <v>6282</v>
      </c>
      <c r="R144" s="28" t="s">
        <v>6283</v>
      </c>
      <c r="S144" s="25"/>
      <c r="T144" s="20" t="b">
        <v>1</v>
      </c>
      <c r="U144" s="25"/>
      <c r="V144" s="25">
        <v>1.06</v>
      </c>
      <c r="W144" s="28" t="s">
        <v>7243</v>
      </c>
      <c r="X144" s="28" t="s">
        <v>6285</v>
      </c>
      <c r="Y144" s="28" t="s">
        <v>6286</v>
      </c>
      <c r="Z144" s="28" t="s">
        <v>6287</v>
      </c>
      <c r="AA144" s="28" t="s">
        <v>6288</v>
      </c>
      <c r="AB144" s="28" t="s">
        <v>6297</v>
      </c>
    </row>
    <row r="145" spans="1:28" ht="207" x14ac:dyDescent="0.3">
      <c r="A145" s="25">
        <v>5182</v>
      </c>
      <c r="B145" s="25" t="s">
        <v>7244</v>
      </c>
      <c r="C145" s="25" t="s">
        <v>7245</v>
      </c>
      <c r="D145" s="25" t="s">
        <v>6278</v>
      </c>
      <c r="E145" s="16" t="s">
        <v>6279</v>
      </c>
      <c r="F145" s="16" t="s">
        <v>6279</v>
      </c>
      <c r="G145" s="16" t="s">
        <v>6279</v>
      </c>
      <c r="H145" s="16" t="s">
        <v>6279</v>
      </c>
      <c r="I145" s="25" t="s">
        <v>7246</v>
      </c>
      <c r="J145" s="25"/>
      <c r="K145" s="25" t="s">
        <v>6281</v>
      </c>
      <c r="L145" s="26" t="s">
        <v>7247</v>
      </c>
      <c r="M145" s="26" t="s">
        <v>7248</v>
      </c>
      <c r="N145" s="27" t="s">
        <v>7249</v>
      </c>
      <c r="O145" s="26" t="s">
        <v>7250</v>
      </c>
      <c r="P145" s="20" t="b">
        <v>1</v>
      </c>
      <c r="Q145" s="20" t="s">
        <v>6282</v>
      </c>
      <c r="R145" s="28" t="s">
        <v>6283</v>
      </c>
      <c r="S145" s="25"/>
      <c r="T145" s="20" t="b">
        <v>1</v>
      </c>
      <c r="U145" s="25"/>
      <c r="V145" s="25">
        <v>27.88</v>
      </c>
      <c r="W145" s="28" t="s">
        <v>7251</v>
      </c>
      <c r="X145" s="28" t="s">
        <v>6285</v>
      </c>
      <c r="Y145" s="28" t="s">
        <v>6286</v>
      </c>
      <c r="Z145" s="28" t="s">
        <v>6287</v>
      </c>
      <c r="AA145" s="28" t="s">
        <v>6288</v>
      </c>
      <c r="AB145" s="28" t="s">
        <v>6297</v>
      </c>
    </row>
    <row r="146" spans="1:28" ht="198.6" x14ac:dyDescent="0.3">
      <c r="A146" s="25">
        <v>5183</v>
      </c>
      <c r="B146" s="25" t="s">
        <v>7252</v>
      </c>
      <c r="C146" s="25" t="s">
        <v>7253</v>
      </c>
      <c r="D146" s="25" t="s">
        <v>6278</v>
      </c>
      <c r="E146" s="16" t="s">
        <v>6279</v>
      </c>
      <c r="F146" s="16" t="s">
        <v>6279</v>
      </c>
      <c r="G146" s="16" t="s">
        <v>6279</v>
      </c>
      <c r="H146" s="16" t="s">
        <v>6279</v>
      </c>
      <c r="I146" s="25" t="s">
        <v>7254</v>
      </c>
      <c r="J146" s="25"/>
      <c r="K146" s="25" t="s">
        <v>6281</v>
      </c>
      <c r="L146" s="26" t="s">
        <v>7255</v>
      </c>
      <c r="M146" s="26" t="s">
        <v>7256</v>
      </c>
      <c r="N146" s="27" t="e">
        <v>#REF!</v>
      </c>
      <c r="O146" s="26" t="s">
        <v>7250</v>
      </c>
      <c r="P146" s="20" t="b">
        <v>1</v>
      </c>
      <c r="Q146" s="20" t="s">
        <v>6282</v>
      </c>
      <c r="R146" s="28" t="s">
        <v>6283</v>
      </c>
      <c r="S146" s="25"/>
      <c r="T146" s="20" t="b">
        <v>1</v>
      </c>
      <c r="U146" s="25"/>
      <c r="V146" s="25">
        <v>17.48</v>
      </c>
      <c r="W146" s="28" t="s">
        <v>7257</v>
      </c>
      <c r="X146" s="28" t="s">
        <v>6285</v>
      </c>
      <c r="Y146" s="28" t="s">
        <v>6286</v>
      </c>
      <c r="Z146" s="28" t="s">
        <v>6287</v>
      </c>
      <c r="AA146" s="28" t="s">
        <v>6288</v>
      </c>
      <c r="AB146" s="28" t="s">
        <v>6297</v>
      </c>
    </row>
    <row r="147" spans="1:28" ht="207" x14ac:dyDescent="0.3">
      <c r="A147" s="25">
        <v>5184</v>
      </c>
      <c r="B147" s="25" t="s">
        <v>7258</v>
      </c>
      <c r="C147" s="25" t="s">
        <v>7259</v>
      </c>
      <c r="D147" s="25" t="s">
        <v>6278</v>
      </c>
      <c r="E147" s="16" t="s">
        <v>6279</v>
      </c>
      <c r="F147" s="16" t="s">
        <v>6279</v>
      </c>
      <c r="G147" s="16" t="s">
        <v>6279</v>
      </c>
      <c r="H147" s="16" t="s">
        <v>6279</v>
      </c>
      <c r="I147" s="25" t="s">
        <v>7260</v>
      </c>
      <c r="J147" s="25"/>
      <c r="K147" s="25" t="s">
        <v>6281</v>
      </c>
      <c r="L147" s="26" t="s">
        <v>7261</v>
      </c>
      <c r="M147" s="26" t="s">
        <v>7262</v>
      </c>
      <c r="N147" s="27" t="s">
        <v>7263</v>
      </c>
      <c r="O147" s="26" t="s">
        <v>7250</v>
      </c>
      <c r="P147" s="20" t="b">
        <v>1</v>
      </c>
      <c r="Q147" s="20" t="s">
        <v>6282</v>
      </c>
      <c r="R147" s="28" t="s">
        <v>6283</v>
      </c>
      <c r="S147" s="25"/>
      <c r="T147" s="20" t="b">
        <v>1</v>
      </c>
      <c r="U147" s="25"/>
      <c r="V147" s="25">
        <v>172.04</v>
      </c>
      <c r="W147" s="28" t="s">
        <v>7264</v>
      </c>
      <c r="X147" s="28" t="s">
        <v>6285</v>
      </c>
      <c r="Y147" s="28" t="s">
        <v>6286</v>
      </c>
      <c r="Z147" s="28" t="s">
        <v>6287</v>
      </c>
      <c r="AA147" s="28" t="s">
        <v>6288</v>
      </c>
      <c r="AB147" s="28" t="s">
        <v>6297</v>
      </c>
    </row>
    <row r="148" spans="1:28" ht="185.4" x14ac:dyDescent="0.3">
      <c r="A148" s="25">
        <v>5201</v>
      </c>
      <c r="B148" s="25" t="s">
        <v>7265</v>
      </c>
      <c r="C148" s="25" t="s">
        <v>7266</v>
      </c>
      <c r="D148" s="25" t="s">
        <v>6291</v>
      </c>
      <c r="E148" s="16" t="s">
        <v>6292</v>
      </c>
      <c r="F148" s="16" t="s">
        <v>6292</v>
      </c>
      <c r="G148" s="16" t="s">
        <v>6292</v>
      </c>
      <c r="H148" s="16" t="s">
        <v>6292</v>
      </c>
      <c r="I148" s="25" t="s">
        <v>7267</v>
      </c>
      <c r="J148" s="25"/>
      <c r="K148" s="25" t="s">
        <v>6281</v>
      </c>
      <c r="L148" s="26" t="s">
        <v>7268</v>
      </c>
      <c r="M148" s="26" t="s">
        <v>6295</v>
      </c>
      <c r="N148" s="27" t="s">
        <v>7269</v>
      </c>
      <c r="O148" s="26" t="s">
        <v>7270</v>
      </c>
      <c r="P148" s="20" t="b">
        <v>1</v>
      </c>
      <c r="Q148" s="20" t="s">
        <v>6282</v>
      </c>
      <c r="R148" s="28" t="s">
        <v>6283</v>
      </c>
      <c r="S148" s="25"/>
      <c r="T148" s="20" t="b">
        <v>1</v>
      </c>
      <c r="U148" s="25"/>
      <c r="V148" s="25">
        <v>33.08</v>
      </c>
      <c r="W148" s="28" t="s">
        <v>7271</v>
      </c>
      <c r="X148" s="28" t="s">
        <v>6285</v>
      </c>
      <c r="Y148" s="28" t="s">
        <v>6286</v>
      </c>
      <c r="Z148" s="28" t="s">
        <v>6287</v>
      </c>
      <c r="AA148" s="28" t="s">
        <v>6288</v>
      </c>
      <c r="AB148" s="28" t="s">
        <v>6297</v>
      </c>
    </row>
    <row r="149" spans="1:28" ht="185.4" x14ac:dyDescent="0.3">
      <c r="A149" s="25">
        <v>5249</v>
      </c>
      <c r="B149" s="25" t="s">
        <v>7272</v>
      </c>
      <c r="C149" s="25" t="s">
        <v>7273</v>
      </c>
      <c r="D149" s="25" t="s">
        <v>6291</v>
      </c>
      <c r="E149" s="16" t="s">
        <v>6793</v>
      </c>
      <c r="F149" s="16" t="s">
        <v>6793</v>
      </c>
      <c r="G149" s="16" t="s">
        <v>6793</v>
      </c>
      <c r="H149" s="16" t="s">
        <v>6793</v>
      </c>
      <c r="I149" s="25" t="s">
        <v>7274</v>
      </c>
      <c r="J149" s="25"/>
      <c r="K149" s="25" t="s">
        <v>6281</v>
      </c>
      <c r="L149" s="26" t="s">
        <v>7275</v>
      </c>
      <c r="M149" s="26" t="s">
        <v>7276</v>
      </c>
      <c r="N149" s="27" t="s">
        <v>7277</v>
      </c>
      <c r="O149" s="26" t="s">
        <v>7278</v>
      </c>
      <c r="P149" s="20" t="b">
        <v>1</v>
      </c>
      <c r="Q149" s="20" t="s">
        <v>6282</v>
      </c>
      <c r="R149" s="28" t="s">
        <v>6283</v>
      </c>
      <c r="S149" s="25"/>
      <c r="T149" s="20" t="b">
        <v>1</v>
      </c>
      <c r="U149" s="25"/>
      <c r="V149" s="25">
        <v>9.8049999999999997</v>
      </c>
      <c r="W149" s="28" t="s">
        <v>7279</v>
      </c>
      <c r="X149" s="28" t="s">
        <v>6285</v>
      </c>
      <c r="Y149" s="28" t="s">
        <v>6286</v>
      </c>
      <c r="Z149" s="28" t="s">
        <v>6287</v>
      </c>
      <c r="AA149" s="28" t="s">
        <v>6288</v>
      </c>
      <c r="AB149" s="28" t="s">
        <v>6297</v>
      </c>
    </row>
    <row r="150" spans="1:28" ht="185.4" x14ac:dyDescent="0.3">
      <c r="A150" s="25">
        <v>5253</v>
      </c>
      <c r="B150" s="25" t="s">
        <v>7280</v>
      </c>
      <c r="C150" s="25" t="s">
        <v>6295</v>
      </c>
      <c r="D150" s="25" t="s">
        <v>6291</v>
      </c>
      <c r="E150" s="16" t="s">
        <v>6292</v>
      </c>
      <c r="F150" s="16" t="s">
        <v>6292</v>
      </c>
      <c r="G150" s="16" t="s">
        <v>6292</v>
      </c>
      <c r="H150" s="16" t="s">
        <v>6292</v>
      </c>
      <c r="I150" s="25" t="s">
        <v>7281</v>
      </c>
      <c r="J150" s="25"/>
      <c r="K150" s="25" t="s">
        <v>6281</v>
      </c>
      <c r="L150" s="26" t="s">
        <v>7282</v>
      </c>
      <c r="M150" s="26" t="s">
        <v>7283</v>
      </c>
      <c r="N150" s="27" t="s">
        <v>7284</v>
      </c>
      <c r="O150" s="26" t="s">
        <v>7285</v>
      </c>
      <c r="P150" s="20" t="b">
        <v>1</v>
      </c>
      <c r="Q150" s="20" t="s">
        <v>6282</v>
      </c>
      <c r="R150" s="28" t="s">
        <v>6283</v>
      </c>
      <c r="S150" s="25"/>
      <c r="T150" s="20" t="b">
        <v>1</v>
      </c>
      <c r="U150" s="25"/>
      <c r="V150" s="25" t="s">
        <v>6295</v>
      </c>
      <c r="W150" s="28" t="s">
        <v>7286</v>
      </c>
      <c r="X150" s="28" t="s">
        <v>6285</v>
      </c>
      <c r="Y150" s="28" t="s">
        <v>6286</v>
      </c>
      <c r="Z150" s="28" t="s">
        <v>6287</v>
      </c>
      <c r="AA150" s="28" t="s">
        <v>6288</v>
      </c>
      <c r="AB150" s="28" t="s">
        <v>6297</v>
      </c>
    </row>
    <row r="151" spans="1:28" ht="185.4" x14ac:dyDescent="0.3">
      <c r="A151" s="25">
        <v>5258</v>
      </c>
      <c r="B151" s="25" t="s">
        <v>7287</v>
      </c>
      <c r="C151" s="25" t="s">
        <v>7288</v>
      </c>
      <c r="D151" s="25" t="s">
        <v>6291</v>
      </c>
      <c r="E151" s="16" t="s">
        <v>6292</v>
      </c>
      <c r="F151" s="16" t="s">
        <v>6292</v>
      </c>
      <c r="G151" s="16" t="s">
        <v>6292</v>
      </c>
      <c r="H151" s="16" t="s">
        <v>6292</v>
      </c>
      <c r="I151" s="25" t="s">
        <v>7289</v>
      </c>
      <c r="J151" s="25"/>
      <c r="K151" s="25" t="s">
        <v>6281</v>
      </c>
      <c r="L151" s="26" t="s">
        <v>7290</v>
      </c>
      <c r="M151" s="26" t="s">
        <v>6295</v>
      </c>
      <c r="N151" s="27" t="s">
        <v>7291</v>
      </c>
      <c r="O151" s="26" t="s">
        <v>7292</v>
      </c>
      <c r="P151" s="20" t="b">
        <v>1</v>
      </c>
      <c r="Q151" s="20" t="s">
        <v>6282</v>
      </c>
      <c r="R151" s="28" t="s">
        <v>6283</v>
      </c>
      <c r="S151" s="25"/>
      <c r="T151" s="20" t="b">
        <v>1</v>
      </c>
      <c r="U151" s="25"/>
      <c r="V151" s="25">
        <v>25.93</v>
      </c>
      <c r="W151" s="28" t="s">
        <v>7293</v>
      </c>
      <c r="X151" s="28" t="s">
        <v>6285</v>
      </c>
      <c r="Y151" s="28" t="s">
        <v>6286</v>
      </c>
      <c r="Z151" s="28" t="s">
        <v>6287</v>
      </c>
      <c r="AA151" s="28" t="s">
        <v>6288</v>
      </c>
      <c r="AB151" s="28" t="s">
        <v>6297</v>
      </c>
    </row>
    <row r="152" spans="1:28" ht="185.4" x14ac:dyDescent="0.3">
      <c r="A152" s="25">
        <v>5267</v>
      </c>
      <c r="B152" s="25" t="s">
        <v>7294</v>
      </c>
      <c r="C152" s="25" t="s">
        <v>7295</v>
      </c>
      <c r="D152" s="25" t="s">
        <v>6291</v>
      </c>
      <c r="E152" s="16" t="s">
        <v>6786</v>
      </c>
      <c r="F152" s="16" t="s">
        <v>6786</v>
      </c>
      <c r="G152" s="16" t="s">
        <v>6786</v>
      </c>
      <c r="H152" s="16" t="s">
        <v>6786</v>
      </c>
      <c r="I152" s="25" t="s">
        <v>7296</v>
      </c>
      <c r="J152" s="25"/>
      <c r="K152" s="25" t="s">
        <v>6281</v>
      </c>
      <c r="L152" s="26" t="s">
        <v>7297</v>
      </c>
      <c r="M152" s="26" t="s">
        <v>6295</v>
      </c>
      <c r="N152" s="27" t="s">
        <v>7298</v>
      </c>
      <c r="O152" s="26" t="s">
        <v>6295</v>
      </c>
      <c r="P152" s="20" t="b">
        <v>1</v>
      </c>
      <c r="Q152" s="20" t="s">
        <v>6282</v>
      </c>
      <c r="R152" s="28" t="s">
        <v>6283</v>
      </c>
      <c r="S152" s="25"/>
      <c r="T152" s="20" t="b">
        <v>1</v>
      </c>
      <c r="U152" s="25"/>
      <c r="V152" s="25">
        <v>1.6</v>
      </c>
      <c r="W152" s="28" t="s">
        <v>7299</v>
      </c>
      <c r="X152" s="28" t="s">
        <v>6285</v>
      </c>
      <c r="Y152" s="28" t="s">
        <v>6286</v>
      </c>
      <c r="Z152" s="28" t="s">
        <v>6287</v>
      </c>
      <c r="AA152" s="28" t="s">
        <v>6288</v>
      </c>
      <c r="AB152" s="28" t="s">
        <v>6297</v>
      </c>
    </row>
    <row r="153" spans="1:28" ht="207" x14ac:dyDescent="0.3">
      <c r="A153" s="25">
        <v>5277</v>
      </c>
      <c r="B153" s="25" t="s">
        <v>7300</v>
      </c>
      <c r="C153" s="25" t="s">
        <v>7301</v>
      </c>
      <c r="D153" s="25" t="s">
        <v>6278</v>
      </c>
      <c r="E153" s="16" t="s">
        <v>6279</v>
      </c>
      <c r="F153" s="16" t="s">
        <v>6279</v>
      </c>
      <c r="G153" s="16" t="s">
        <v>6279</v>
      </c>
      <c r="H153" s="16" t="s">
        <v>6279</v>
      </c>
      <c r="I153" s="25" t="s">
        <v>7302</v>
      </c>
      <c r="J153" s="25"/>
      <c r="K153" s="25" t="s">
        <v>6281</v>
      </c>
      <c r="L153" s="26" t="s">
        <v>7303</v>
      </c>
      <c r="M153" s="26" t="s">
        <v>7262</v>
      </c>
      <c r="N153" s="27" t="s">
        <v>7304</v>
      </c>
      <c r="O153" s="26" t="s">
        <v>7250</v>
      </c>
      <c r="P153" s="20" t="b">
        <v>1</v>
      </c>
      <c r="Q153" s="20" t="s">
        <v>6282</v>
      </c>
      <c r="R153" s="28" t="s">
        <v>6283</v>
      </c>
      <c r="S153" s="25"/>
      <c r="T153" s="20" t="b">
        <v>1</v>
      </c>
      <c r="U153" s="25"/>
      <c r="V153" s="25">
        <v>67.33</v>
      </c>
      <c r="W153" s="28" t="s">
        <v>7305</v>
      </c>
      <c r="X153" s="28" t="s">
        <v>6285</v>
      </c>
      <c r="Y153" s="28" t="s">
        <v>6286</v>
      </c>
      <c r="Z153" s="28" t="s">
        <v>6287</v>
      </c>
      <c r="AA153" s="28" t="s">
        <v>6288</v>
      </c>
      <c r="AB153" s="28" t="s">
        <v>6297</v>
      </c>
    </row>
    <row r="154" spans="1:28" ht="207" x14ac:dyDescent="0.3">
      <c r="A154" s="25">
        <v>5278</v>
      </c>
      <c r="B154" s="25" t="s">
        <v>7306</v>
      </c>
      <c r="C154" s="25" t="s">
        <v>7307</v>
      </c>
      <c r="D154" s="25" t="s">
        <v>6278</v>
      </c>
      <c r="E154" s="16" t="s">
        <v>6279</v>
      </c>
      <c r="F154" s="16" t="s">
        <v>6279</v>
      </c>
      <c r="G154" s="16" t="s">
        <v>6279</v>
      </c>
      <c r="H154" s="16" t="s">
        <v>6279</v>
      </c>
      <c r="I154" s="25" t="s">
        <v>7308</v>
      </c>
      <c r="J154" s="25"/>
      <c r="K154" s="25" t="s">
        <v>6281</v>
      </c>
      <c r="L154" s="26" t="s">
        <v>7309</v>
      </c>
      <c r="M154" s="26" t="s">
        <v>7262</v>
      </c>
      <c r="N154" s="27" t="s">
        <v>7310</v>
      </c>
      <c r="O154" s="26" t="s">
        <v>7250</v>
      </c>
      <c r="P154" s="20" t="b">
        <v>1</v>
      </c>
      <c r="Q154" s="20" t="s">
        <v>6282</v>
      </c>
      <c r="R154" s="28" t="s">
        <v>6283</v>
      </c>
      <c r="S154" s="25"/>
      <c r="T154" s="20" t="b">
        <v>1</v>
      </c>
      <c r="U154" s="25"/>
      <c r="V154" s="25">
        <v>31.33</v>
      </c>
      <c r="W154" s="28" t="s">
        <v>7311</v>
      </c>
      <c r="X154" s="28" t="s">
        <v>6285</v>
      </c>
      <c r="Y154" s="28" t="s">
        <v>6286</v>
      </c>
      <c r="Z154" s="28" t="s">
        <v>6287</v>
      </c>
      <c r="AA154" s="28" t="s">
        <v>6288</v>
      </c>
      <c r="AB154" s="28" t="s">
        <v>6297</v>
      </c>
    </row>
    <row r="155" spans="1:28" ht="207" x14ac:dyDescent="0.3">
      <c r="A155" s="25">
        <v>5279</v>
      </c>
      <c r="B155" s="25" t="s">
        <v>7312</v>
      </c>
      <c r="C155" s="25" t="s">
        <v>7313</v>
      </c>
      <c r="D155" s="25" t="s">
        <v>6278</v>
      </c>
      <c r="E155" s="16" t="s">
        <v>6279</v>
      </c>
      <c r="F155" s="16" t="s">
        <v>6279</v>
      </c>
      <c r="G155" s="16" t="s">
        <v>6279</v>
      </c>
      <c r="H155" s="16" t="s">
        <v>6279</v>
      </c>
      <c r="I155" s="25" t="s">
        <v>7314</v>
      </c>
      <c r="J155" s="25"/>
      <c r="K155" s="25" t="s">
        <v>6281</v>
      </c>
      <c r="L155" s="26" t="s">
        <v>7315</v>
      </c>
      <c r="M155" s="26" t="s">
        <v>7262</v>
      </c>
      <c r="N155" s="27" t="s">
        <v>7316</v>
      </c>
      <c r="O155" s="26" t="s">
        <v>7250</v>
      </c>
      <c r="P155" s="20" t="b">
        <v>1</v>
      </c>
      <c r="Q155" s="20" t="s">
        <v>6282</v>
      </c>
      <c r="R155" s="28" t="s">
        <v>6283</v>
      </c>
      <c r="S155" s="25"/>
      <c r="T155" s="20" t="b">
        <v>1</v>
      </c>
      <c r="U155" s="25"/>
      <c r="V155" s="25">
        <v>14.58</v>
      </c>
      <c r="W155" s="28" t="s">
        <v>7317</v>
      </c>
      <c r="X155" s="28" t="s">
        <v>6285</v>
      </c>
      <c r="Y155" s="28" t="s">
        <v>6286</v>
      </c>
      <c r="Z155" s="28" t="s">
        <v>6287</v>
      </c>
      <c r="AA155" s="28" t="s">
        <v>6288</v>
      </c>
      <c r="AB155" s="28" t="s">
        <v>6297</v>
      </c>
    </row>
    <row r="156" spans="1:28" ht="207" x14ac:dyDescent="0.3">
      <c r="A156" s="25">
        <v>5280</v>
      </c>
      <c r="B156" s="25" t="s">
        <v>7318</v>
      </c>
      <c r="C156" s="25" t="s">
        <v>7319</v>
      </c>
      <c r="D156" s="25" t="s">
        <v>6278</v>
      </c>
      <c r="E156" s="16" t="s">
        <v>6279</v>
      </c>
      <c r="F156" s="16" t="s">
        <v>6279</v>
      </c>
      <c r="G156" s="16" t="s">
        <v>6279</v>
      </c>
      <c r="H156" s="16" t="s">
        <v>6279</v>
      </c>
      <c r="I156" s="25" t="s">
        <v>7320</v>
      </c>
      <c r="J156" s="25"/>
      <c r="K156" s="25" t="s">
        <v>6281</v>
      </c>
      <c r="L156" s="26" t="s">
        <v>7321</v>
      </c>
      <c r="M156" s="26" t="s">
        <v>7248</v>
      </c>
      <c r="N156" s="27" t="s">
        <v>7322</v>
      </c>
      <c r="O156" s="26" t="s">
        <v>7250</v>
      </c>
      <c r="P156" s="20" t="b">
        <v>1</v>
      </c>
      <c r="Q156" s="20" t="s">
        <v>6282</v>
      </c>
      <c r="R156" s="28" t="s">
        <v>6283</v>
      </c>
      <c r="S156" s="25"/>
      <c r="T156" s="20" t="b">
        <v>1</v>
      </c>
      <c r="U156" s="25"/>
      <c r="V156" s="25">
        <v>14.224</v>
      </c>
      <c r="W156" s="28" t="s">
        <v>7323</v>
      </c>
      <c r="X156" s="28" t="s">
        <v>6285</v>
      </c>
      <c r="Y156" s="28" t="s">
        <v>6286</v>
      </c>
      <c r="Z156" s="28" t="s">
        <v>6287</v>
      </c>
      <c r="AA156" s="28" t="s">
        <v>6288</v>
      </c>
      <c r="AB156" s="28" t="s">
        <v>6297</v>
      </c>
    </row>
    <row r="157" spans="1:28" ht="207" x14ac:dyDescent="0.3">
      <c r="A157" s="25">
        <v>5281</v>
      </c>
      <c r="B157" s="25" t="s">
        <v>7324</v>
      </c>
      <c r="C157" s="25" t="s">
        <v>7325</v>
      </c>
      <c r="D157" s="25" t="s">
        <v>6278</v>
      </c>
      <c r="E157" s="16" t="s">
        <v>6279</v>
      </c>
      <c r="F157" s="16" t="s">
        <v>6279</v>
      </c>
      <c r="G157" s="16" t="s">
        <v>6279</v>
      </c>
      <c r="H157" s="16" t="s">
        <v>6279</v>
      </c>
      <c r="I157" s="25" t="s">
        <v>7326</v>
      </c>
      <c r="J157" s="25"/>
      <c r="K157" s="25" t="s">
        <v>6281</v>
      </c>
      <c r="L157" s="26" t="s">
        <v>7327</v>
      </c>
      <c r="M157" s="26" t="s">
        <v>7262</v>
      </c>
      <c r="N157" s="27" t="s">
        <v>7328</v>
      </c>
      <c r="O157" s="26" t="s">
        <v>7250</v>
      </c>
      <c r="P157" s="20" t="b">
        <v>1</v>
      </c>
      <c r="Q157" s="20" t="s">
        <v>6282</v>
      </c>
      <c r="R157" s="28" t="s">
        <v>6283</v>
      </c>
      <c r="S157" s="25"/>
      <c r="T157" s="20" t="b">
        <v>1</v>
      </c>
      <c r="U157" s="25"/>
      <c r="V157" s="25">
        <v>19.329999999999998</v>
      </c>
      <c r="W157" s="28" t="s">
        <v>7329</v>
      </c>
      <c r="X157" s="28" t="s">
        <v>6285</v>
      </c>
      <c r="Y157" s="28" t="s">
        <v>6286</v>
      </c>
      <c r="Z157" s="28" t="s">
        <v>6287</v>
      </c>
      <c r="AA157" s="28" t="s">
        <v>6288</v>
      </c>
      <c r="AB157" s="28" t="s">
        <v>6297</v>
      </c>
    </row>
    <row r="158" spans="1:28" ht="207" x14ac:dyDescent="0.3">
      <c r="A158" s="25">
        <v>5282</v>
      </c>
      <c r="B158" s="25" t="s">
        <v>7330</v>
      </c>
      <c r="C158" s="25" t="s">
        <v>7331</v>
      </c>
      <c r="D158" s="25" t="s">
        <v>6278</v>
      </c>
      <c r="E158" s="16" t="s">
        <v>6279</v>
      </c>
      <c r="F158" s="16" t="s">
        <v>6279</v>
      </c>
      <c r="G158" s="16" t="s">
        <v>6279</v>
      </c>
      <c r="H158" s="16" t="s">
        <v>6279</v>
      </c>
      <c r="I158" s="25" t="s">
        <v>7332</v>
      </c>
      <c r="J158" s="25"/>
      <c r="K158" s="25" t="s">
        <v>6281</v>
      </c>
      <c r="L158" s="26" t="s">
        <v>7333</v>
      </c>
      <c r="M158" s="26" t="s">
        <v>7262</v>
      </c>
      <c r="N158" s="27" t="s">
        <v>7334</v>
      </c>
      <c r="O158" s="26" t="s">
        <v>7250</v>
      </c>
      <c r="P158" s="20" t="b">
        <v>1</v>
      </c>
      <c r="Q158" s="20" t="s">
        <v>6282</v>
      </c>
      <c r="R158" s="28" t="s">
        <v>6283</v>
      </c>
      <c r="S158" s="25"/>
      <c r="T158" s="20" t="b">
        <v>1</v>
      </c>
      <c r="U158" s="25"/>
      <c r="V158" s="25">
        <v>155</v>
      </c>
      <c r="W158" s="28" t="s">
        <v>7335</v>
      </c>
      <c r="X158" s="28" t="s">
        <v>6285</v>
      </c>
      <c r="Y158" s="28" t="s">
        <v>6286</v>
      </c>
      <c r="Z158" s="28" t="s">
        <v>6287</v>
      </c>
      <c r="AA158" s="28" t="s">
        <v>6288</v>
      </c>
      <c r="AB158" s="28" t="s">
        <v>6297</v>
      </c>
    </row>
    <row r="159" spans="1:28" ht="207" x14ac:dyDescent="0.3">
      <c r="A159" s="25">
        <v>5283</v>
      </c>
      <c r="B159" s="25" t="s">
        <v>7336</v>
      </c>
      <c r="C159" s="25" t="s">
        <v>7337</v>
      </c>
      <c r="D159" s="25" t="s">
        <v>6278</v>
      </c>
      <c r="E159" s="16" t="s">
        <v>6279</v>
      </c>
      <c r="F159" s="16" t="s">
        <v>6279</v>
      </c>
      <c r="G159" s="16" t="s">
        <v>6279</v>
      </c>
      <c r="H159" s="16" t="s">
        <v>6279</v>
      </c>
      <c r="I159" s="25" t="s">
        <v>7338</v>
      </c>
      <c r="J159" s="25"/>
      <c r="K159" s="25" t="s">
        <v>6281</v>
      </c>
      <c r="L159" s="26" t="s">
        <v>7339</v>
      </c>
      <c r="M159" s="26" t="s">
        <v>7262</v>
      </c>
      <c r="N159" s="27" t="s">
        <v>7340</v>
      </c>
      <c r="O159" s="26" t="s">
        <v>7250</v>
      </c>
      <c r="P159" s="20" t="b">
        <v>1</v>
      </c>
      <c r="Q159" s="20" t="s">
        <v>6282</v>
      </c>
      <c r="R159" s="28" t="s">
        <v>6283</v>
      </c>
      <c r="S159" s="25"/>
      <c r="T159" s="20" t="b">
        <v>1</v>
      </c>
      <c r="U159" s="25"/>
      <c r="V159" s="25">
        <v>243.7</v>
      </c>
      <c r="W159" s="28" t="s">
        <v>7341</v>
      </c>
      <c r="X159" s="28" t="s">
        <v>6285</v>
      </c>
      <c r="Y159" s="28" t="s">
        <v>6286</v>
      </c>
      <c r="Z159" s="28" t="s">
        <v>6287</v>
      </c>
      <c r="AA159" s="28" t="s">
        <v>6288</v>
      </c>
      <c r="AB159" s="28" t="s">
        <v>6297</v>
      </c>
    </row>
    <row r="160" spans="1:28" ht="185.4" x14ac:dyDescent="0.3">
      <c r="A160" s="25">
        <v>5308</v>
      </c>
      <c r="B160" s="25" t="s">
        <v>7342</v>
      </c>
      <c r="C160" s="25" t="s">
        <v>7343</v>
      </c>
      <c r="D160" s="25" t="s">
        <v>6291</v>
      </c>
      <c r="E160" s="16" t="s">
        <v>6786</v>
      </c>
      <c r="F160" s="16" t="s">
        <v>6786</v>
      </c>
      <c r="G160" s="16" t="s">
        <v>6786</v>
      </c>
      <c r="H160" s="16" t="s">
        <v>6786</v>
      </c>
      <c r="I160" s="25" t="s">
        <v>7344</v>
      </c>
      <c r="J160" s="25"/>
      <c r="K160" s="25" t="s">
        <v>6281</v>
      </c>
      <c r="L160" s="26" t="s">
        <v>7345</v>
      </c>
      <c r="M160" s="26" t="s">
        <v>7346</v>
      </c>
      <c r="N160" s="27" t="s">
        <v>7347</v>
      </c>
      <c r="O160" s="26" t="s">
        <v>6295</v>
      </c>
      <c r="P160" s="20" t="b">
        <v>1</v>
      </c>
      <c r="Q160" s="20" t="s">
        <v>6282</v>
      </c>
      <c r="R160" s="28" t="s">
        <v>6283</v>
      </c>
      <c r="S160" s="25"/>
      <c r="T160" s="20" t="b">
        <v>1</v>
      </c>
      <c r="U160" s="25"/>
      <c r="V160" s="25">
        <v>2.48</v>
      </c>
      <c r="W160" s="28" t="s">
        <v>7348</v>
      </c>
      <c r="X160" s="28" t="s">
        <v>6285</v>
      </c>
      <c r="Y160" s="28" t="s">
        <v>6286</v>
      </c>
      <c r="Z160" s="28" t="s">
        <v>6287</v>
      </c>
      <c r="AA160" s="28" t="s">
        <v>6288</v>
      </c>
      <c r="AB160" s="28" t="s">
        <v>6297</v>
      </c>
    </row>
    <row r="161" spans="1:28" ht="185.4" x14ac:dyDescent="0.3">
      <c r="A161" s="25">
        <v>5309</v>
      </c>
      <c r="B161" s="25" t="s">
        <v>7349</v>
      </c>
      <c r="C161" s="25" t="s">
        <v>7350</v>
      </c>
      <c r="D161" s="25" t="s">
        <v>6291</v>
      </c>
      <c r="E161" s="16" t="s">
        <v>6292</v>
      </c>
      <c r="F161" s="16" t="s">
        <v>6292</v>
      </c>
      <c r="G161" s="16" t="s">
        <v>6292</v>
      </c>
      <c r="H161" s="16" t="s">
        <v>6292</v>
      </c>
      <c r="I161" s="25" t="s">
        <v>7351</v>
      </c>
      <c r="J161" s="25"/>
      <c r="K161" s="25" t="s">
        <v>6281</v>
      </c>
      <c r="L161" s="26" t="s">
        <v>7352</v>
      </c>
      <c r="M161" s="26" t="s">
        <v>7353</v>
      </c>
      <c r="N161" s="27" t="s">
        <v>7354</v>
      </c>
      <c r="O161" s="26" t="s">
        <v>7355</v>
      </c>
      <c r="P161" s="20" t="b">
        <v>1</v>
      </c>
      <c r="Q161" s="20" t="s">
        <v>6282</v>
      </c>
      <c r="R161" s="28" t="s">
        <v>6283</v>
      </c>
      <c r="S161" s="25"/>
      <c r="T161" s="20" t="b">
        <v>1</v>
      </c>
      <c r="U161" s="25"/>
      <c r="V161" s="25">
        <v>58.5</v>
      </c>
      <c r="W161" s="28" t="s">
        <v>7356</v>
      </c>
      <c r="X161" s="28" t="s">
        <v>6285</v>
      </c>
      <c r="Y161" s="28" t="s">
        <v>6286</v>
      </c>
      <c r="Z161" s="28" t="s">
        <v>6287</v>
      </c>
      <c r="AA161" s="28" t="s">
        <v>6288</v>
      </c>
      <c r="AB161" s="28" t="s">
        <v>6297</v>
      </c>
    </row>
    <row r="162" spans="1:28" ht="185.4" x14ac:dyDescent="0.3">
      <c r="A162" s="25">
        <v>5312</v>
      </c>
      <c r="B162" s="25" t="s">
        <v>7357</v>
      </c>
      <c r="C162" s="25" t="s">
        <v>7358</v>
      </c>
      <c r="D162" s="25" t="s">
        <v>6291</v>
      </c>
      <c r="E162" s="16" t="s">
        <v>6292</v>
      </c>
      <c r="F162" s="16" t="s">
        <v>6292</v>
      </c>
      <c r="G162" s="16" t="s">
        <v>6292</v>
      </c>
      <c r="H162" s="16" t="s">
        <v>6292</v>
      </c>
      <c r="I162" s="25" t="s">
        <v>7359</v>
      </c>
      <c r="J162" s="25"/>
      <c r="K162" s="25" t="s">
        <v>6281</v>
      </c>
      <c r="L162" s="26" t="s">
        <v>7360</v>
      </c>
      <c r="M162" s="26" t="s">
        <v>6295</v>
      </c>
      <c r="N162" s="27" t="s">
        <v>7361</v>
      </c>
      <c r="O162" s="26" t="s">
        <v>6295</v>
      </c>
      <c r="P162" s="20" t="b">
        <v>1</v>
      </c>
      <c r="Q162" s="20" t="s">
        <v>6282</v>
      </c>
      <c r="R162" s="28" t="s">
        <v>6283</v>
      </c>
      <c r="S162" s="25"/>
      <c r="T162" s="20" t="b">
        <v>1</v>
      </c>
      <c r="U162" s="25"/>
      <c r="V162" s="25">
        <v>18.64</v>
      </c>
      <c r="W162" s="28" t="s">
        <v>7362</v>
      </c>
      <c r="X162" s="28" t="s">
        <v>6285</v>
      </c>
      <c r="Y162" s="28" t="s">
        <v>6286</v>
      </c>
      <c r="Z162" s="28" t="s">
        <v>6287</v>
      </c>
      <c r="AA162" s="28" t="s">
        <v>6288</v>
      </c>
      <c r="AB162" s="28" t="s">
        <v>6297</v>
      </c>
    </row>
    <row r="163" spans="1:28" ht="185.4" x14ac:dyDescent="0.3">
      <c r="A163" s="25">
        <v>5322</v>
      </c>
      <c r="B163" s="25" t="s">
        <v>7363</v>
      </c>
      <c r="C163" s="25" t="s">
        <v>7364</v>
      </c>
      <c r="D163" s="25" t="s">
        <v>6291</v>
      </c>
      <c r="E163" s="16" t="s">
        <v>6292</v>
      </c>
      <c r="F163" s="16" t="s">
        <v>6292</v>
      </c>
      <c r="G163" s="16" t="s">
        <v>6292</v>
      </c>
      <c r="H163" s="16" t="s">
        <v>6292</v>
      </c>
      <c r="I163" s="25" t="s">
        <v>7365</v>
      </c>
      <c r="J163" s="25"/>
      <c r="K163" s="25" t="s">
        <v>6281</v>
      </c>
      <c r="L163" s="26" t="s">
        <v>7366</v>
      </c>
      <c r="M163" s="26" t="s">
        <v>7367</v>
      </c>
      <c r="N163" s="27" t="s">
        <v>7368</v>
      </c>
      <c r="O163" s="26" t="s">
        <v>6295</v>
      </c>
      <c r="P163" s="20" t="b">
        <v>1</v>
      </c>
      <c r="Q163" s="20" t="s">
        <v>6282</v>
      </c>
      <c r="R163" s="28" t="s">
        <v>6283</v>
      </c>
      <c r="S163" s="25"/>
      <c r="T163" s="20" t="b">
        <v>1</v>
      </c>
      <c r="U163" s="25"/>
      <c r="V163" s="25">
        <v>2.68</v>
      </c>
      <c r="W163" s="28" t="s">
        <v>7369</v>
      </c>
      <c r="X163" s="28" t="s">
        <v>6285</v>
      </c>
      <c r="Y163" s="28" t="s">
        <v>6286</v>
      </c>
      <c r="Z163" s="28" t="s">
        <v>6287</v>
      </c>
      <c r="AA163" s="28" t="s">
        <v>6288</v>
      </c>
      <c r="AB163" s="28" t="s">
        <v>6297</v>
      </c>
    </row>
    <row r="164" spans="1:28" ht="185.4" x14ac:dyDescent="0.3">
      <c r="A164" s="25">
        <v>5354</v>
      </c>
      <c r="B164" s="25" t="s">
        <v>7370</v>
      </c>
      <c r="C164" s="25" t="s">
        <v>7371</v>
      </c>
      <c r="D164" s="25" t="s">
        <v>6291</v>
      </c>
      <c r="E164" s="16" t="s">
        <v>6786</v>
      </c>
      <c r="F164" s="16" t="s">
        <v>6786</v>
      </c>
      <c r="G164" s="16" t="s">
        <v>6786</v>
      </c>
      <c r="H164" s="16" t="s">
        <v>6786</v>
      </c>
      <c r="I164" s="25" t="s">
        <v>7372</v>
      </c>
      <c r="J164" s="25"/>
      <c r="K164" s="25" t="s">
        <v>6281</v>
      </c>
      <c r="L164" s="26" t="s">
        <v>7373</v>
      </c>
      <c r="M164" s="26" t="s">
        <v>7374</v>
      </c>
      <c r="N164" s="27" t="s">
        <v>7375</v>
      </c>
      <c r="O164" s="26" t="s">
        <v>6295</v>
      </c>
      <c r="P164" s="20" t="b">
        <v>1</v>
      </c>
      <c r="Q164" s="20" t="s">
        <v>6282</v>
      </c>
      <c r="R164" s="28" t="s">
        <v>6283</v>
      </c>
      <c r="S164" s="25"/>
      <c r="T164" s="20" t="b">
        <v>1</v>
      </c>
      <c r="U164" s="25"/>
      <c r="V164" s="25">
        <v>2.891</v>
      </c>
      <c r="W164" s="28" t="s">
        <v>7376</v>
      </c>
      <c r="X164" s="28" t="s">
        <v>6285</v>
      </c>
      <c r="Y164" s="28" t="s">
        <v>6286</v>
      </c>
      <c r="Z164" s="28" t="s">
        <v>6287</v>
      </c>
      <c r="AA164" s="28" t="s">
        <v>6288</v>
      </c>
      <c r="AB164" s="28" t="s">
        <v>6297</v>
      </c>
    </row>
    <row r="165" spans="1:28" ht="193.2" x14ac:dyDescent="0.3">
      <c r="A165" s="25">
        <v>5371</v>
      </c>
      <c r="B165" s="25" t="s">
        <v>7377</v>
      </c>
      <c r="C165" s="25" t="s">
        <v>7378</v>
      </c>
      <c r="D165" s="25" t="s">
        <v>6278</v>
      </c>
      <c r="E165" s="16" t="s">
        <v>6279</v>
      </c>
      <c r="F165" s="16" t="s">
        <v>6279</v>
      </c>
      <c r="G165" s="16" t="s">
        <v>6279</v>
      </c>
      <c r="H165" s="16" t="s">
        <v>6279</v>
      </c>
      <c r="I165" s="25" t="s">
        <v>7379</v>
      </c>
      <c r="J165" s="25"/>
      <c r="K165" s="25" t="s">
        <v>6281</v>
      </c>
      <c r="L165" s="26" t="s">
        <v>7380</v>
      </c>
      <c r="M165" s="26" t="s">
        <v>6295</v>
      </c>
      <c r="N165" s="27" t="s">
        <v>7381</v>
      </c>
      <c r="O165" s="26" t="s">
        <v>6295</v>
      </c>
      <c r="P165" s="20" t="b">
        <v>1</v>
      </c>
      <c r="Q165" s="20" t="s">
        <v>6282</v>
      </c>
      <c r="R165" s="28" t="s">
        <v>6283</v>
      </c>
      <c r="S165" s="25"/>
      <c r="T165" s="20" t="b">
        <v>1</v>
      </c>
      <c r="U165" s="25"/>
      <c r="V165" s="25">
        <v>915.53</v>
      </c>
      <c r="W165" s="28" t="s">
        <v>7382</v>
      </c>
      <c r="X165" s="28" t="s">
        <v>6285</v>
      </c>
      <c r="Y165" s="28" t="s">
        <v>6286</v>
      </c>
      <c r="Z165" s="28" t="s">
        <v>6287</v>
      </c>
      <c r="AA165" s="28" t="s">
        <v>6288</v>
      </c>
      <c r="AB165" s="28" t="s">
        <v>6297</v>
      </c>
    </row>
    <row r="166" spans="1:28" ht="193.2" x14ac:dyDescent="0.3">
      <c r="A166" s="25">
        <v>5395</v>
      </c>
      <c r="B166" s="25" t="s">
        <v>7383</v>
      </c>
      <c r="C166" s="25" t="s">
        <v>7384</v>
      </c>
      <c r="D166" s="25" t="s">
        <v>6291</v>
      </c>
      <c r="E166" s="16" t="s">
        <v>6292</v>
      </c>
      <c r="F166" s="16" t="s">
        <v>6292</v>
      </c>
      <c r="G166" s="16" t="s">
        <v>6292</v>
      </c>
      <c r="H166" s="16" t="s">
        <v>6292</v>
      </c>
      <c r="I166" s="25" t="s">
        <v>7385</v>
      </c>
      <c r="J166" s="25"/>
      <c r="K166" s="25" t="s">
        <v>6281</v>
      </c>
      <c r="L166" s="26" t="s">
        <v>7386</v>
      </c>
      <c r="M166" s="26" t="s">
        <v>6295</v>
      </c>
      <c r="N166" s="27" t="s">
        <v>7387</v>
      </c>
      <c r="O166" s="26" t="s">
        <v>6295</v>
      </c>
      <c r="P166" s="20" t="b">
        <v>1</v>
      </c>
      <c r="Q166" s="20" t="s">
        <v>6282</v>
      </c>
      <c r="R166" s="28" t="s">
        <v>6283</v>
      </c>
      <c r="S166" s="25"/>
      <c r="T166" s="20" t="b">
        <v>1</v>
      </c>
      <c r="U166" s="25"/>
      <c r="V166" s="25">
        <v>83.33</v>
      </c>
      <c r="W166" s="28" t="s">
        <v>7388</v>
      </c>
      <c r="X166" s="28" t="s">
        <v>6285</v>
      </c>
      <c r="Y166" s="28" t="s">
        <v>6286</v>
      </c>
      <c r="Z166" s="28" t="s">
        <v>6287</v>
      </c>
      <c r="AA166" s="28" t="s">
        <v>6288</v>
      </c>
      <c r="AB166" s="28" t="s">
        <v>6297</v>
      </c>
    </row>
    <row r="167" spans="1:28" ht="185.4" x14ac:dyDescent="0.3">
      <c r="A167" s="25">
        <v>5457</v>
      </c>
      <c r="B167" s="25" t="s">
        <v>7389</v>
      </c>
      <c r="C167" s="25" t="s">
        <v>7390</v>
      </c>
      <c r="D167" s="25" t="s">
        <v>6291</v>
      </c>
      <c r="E167" s="16" t="s">
        <v>6292</v>
      </c>
      <c r="F167" s="16" t="s">
        <v>6292</v>
      </c>
      <c r="G167" s="16" t="s">
        <v>6292</v>
      </c>
      <c r="H167" s="16" t="s">
        <v>6292</v>
      </c>
      <c r="I167" s="25" t="s">
        <v>7391</v>
      </c>
      <c r="J167" s="25"/>
      <c r="K167" s="25" t="s">
        <v>6281</v>
      </c>
      <c r="L167" s="26" t="s">
        <v>7392</v>
      </c>
      <c r="M167" s="26" t="s">
        <v>6295</v>
      </c>
      <c r="N167" s="27" t="s">
        <v>7393</v>
      </c>
      <c r="O167" s="26" t="s">
        <v>7394</v>
      </c>
      <c r="P167" s="20" t="b">
        <v>1</v>
      </c>
      <c r="Q167" s="20" t="s">
        <v>6282</v>
      </c>
      <c r="R167" s="28" t="s">
        <v>6283</v>
      </c>
      <c r="S167" s="25"/>
      <c r="T167" s="20" t="b">
        <v>1</v>
      </c>
      <c r="U167" s="25"/>
      <c r="V167" s="25">
        <v>5.54</v>
      </c>
      <c r="W167" s="28" t="s">
        <v>7395</v>
      </c>
      <c r="X167" s="28" t="s">
        <v>6285</v>
      </c>
      <c r="Y167" s="28" t="s">
        <v>6286</v>
      </c>
      <c r="Z167" s="28" t="s">
        <v>6287</v>
      </c>
      <c r="AA167" s="28" t="s">
        <v>6288</v>
      </c>
      <c r="AB167" s="28" t="s">
        <v>6297</v>
      </c>
    </row>
    <row r="168" spans="1:28" ht="185.4" x14ac:dyDescent="0.3">
      <c r="A168" s="25">
        <v>5470</v>
      </c>
      <c r="B168" s="25" t="s">
        <v>7396</v>
      </c>
      <c r="C168" s="25" t="s">
        <v>7397</v>
      </c>
      <c r="D168" s="25" t="s">
        <v>6278</v>
      </c>
      <c r="E168" s="16" t="s">
        <v>6279</v>
      </c>
      <c r="F168" s="16" t="s">
        <v>6279</v>
      </c>
      <c r="G168" s="16" t="s">
        <v>6279</v>
      </c>
      <c r="H168" s="16" t="s">
        <v>6279</v>
      </c>
      <c r="I168" s="25" t="s">
        <v>7398</v>
      </c>
      <c r="J168" s="25"/>
      <c r="K168" s="25" t="s">
        <v>6281</v>
      </c>
      <c r="L168" s="26" t="s">
        <v>7399</v>
      </c>
      <c r="M168" s="26" t="s">
        <v>7400</v>
      </c>
      <c r="N168" s="27" t="s">
        <v>7401</v>
      </c>
      <c r="O168" s="26" t="s">
        <v>6295</v>
      </c>
      <c r="P168" s="20" t="b">
        <v>1</v>
      </c>
      <c r="Q168" s="20" t="s">
        <v>6282</v>
      </c>
      <c r="R168" s="28" t="s">
        <v>6283</v>
      </c>
      <c r="S168" s="25"/>
      <c r="T168" s="20" t="b">
        <v>1</v>
      </c>
      <c r="U168" s="25"/>
      <c r="V168" s="25">
        <v>454.04</v>
      </c>
      <c r="W168" s="28" t="s">
        <v>7402</v>
      </c>
      <c r="X168" s="28" t="s">
        <v>6285</v>
      </c>
      <c r="Y168" s="28" t="s">
        <v>6286</v>
      </c>
      <c r="Z168" s="28" t="s">
        <v>6287</v>
      </c>
      <c r="AA168" s="28" t="s">
        <v>6288</v>
      </c>
      <c r="AB168" s="28" t="s">
        <v>6297</v>
      </c>
    </row>
    <row r="169" spans="1:28" ht="185.4" x14ac:dyDescent="0.3">
      <c r="A169" s="25">
        <v>5473</v>
      </c>
      <c r="B169" s="25" t="s">
        <v>7403</v>
      </c>
      <c r="C169" s="25" t="s">
        <v>7404</v>
      </c>
      <c r="D169" s="25" t="s">
        <v>6278</v>
      </c>
      <c r="E169" s="16" t="s">
        <v>6279</v>
      </c>
      <c r="F169" s="16" t="s">
        <v>6279</v>
      </c>
      <c r="G169" s="16" t="s">
        <v>6279</v>
      </c>
      <c r="H169" s="16" t="s">
        <v>6279</v>
      </c>
      <c r="I169" s="25" t="s">
        <v>7405</v>
      </c>
      <c r="J169" s="25"/>
      <c r="K169" s="25" t="s">
        <v>6281</v>
      </c>
      <c r="L169" s="26" t="s">
        <v>7406</v>
      </c>
      <c r="M169" s="26" t="s">
        <v>7407</v>
      </c>
      <c r="N169" s="27" t="s">
        <v>7408</v>
      </c>
      <c r="O169" s="26" t="s">
        <v>7409</v>
      </c>
      <c r="P169" s="20" t="b">
        <v>1</v>
      </c>
      <c r="Q169" s="20" t="s">
        <v>6282</v>
      </c>
      <c r="R169" s="28" t="s">
        <v>6283</v>
      </c>
      <c r="S169" s="25"/>
      <c r="T169" s="20" t="b">
        <v>1</v>
      </c>
      <c r="U169" s="25"/>
      <c r="V169" s="25">
        <v>118.54</v>
      </c>
      <c r="W169" s="28" t="s">
        <v>7410</v>
      </c>
      <c r="X169" s="28" t="s">
        <v>6285</v>
      </c>
      <c r="Y169" s="28" t="s">
        <v>6286</v>
      </c>
      <c r="Z169" s="28" t="s">
        <v>6287</v>
      </c>
      <c r="AA169" s="28" t="s">
        <v>6288</v>
      </c>
      <c r="AB169" s="28" t="s">
        <v>6297</v>
      </c>
    </row>
    <row r="170" spans="1:28" ht="198.6" x14ac:dyDescent="0.3">
      <c r="A170" s="25">
        <v>5494</v>
      </c>
      <c r="B170" s="25" t="s">
        <v>7411</v>
      </c>
      <c r="C170" s="25" t="s">
        <v>7412</v>
      </c>
      <c r="D170" s="25" t="s">
        <v>6291</v>
      </c>
      <c r="E170" s="16" t="s">
        <v>6292</v>
      </c>
      <c r="F170" s="16" t="s">
        <v>6292</v>
      </c>
      <c r="G170" s="16" t="s">
        <v>6292</v>
      </c>
      <c r="H170" s="16" t="s">
        <v>6292</v>
      </c>
      <c r="I170" s="25" t="s">
        <v>7413</v>
      </c>
      <c r="J170" s="25"/>
      <c r="K170" s="25" t="s">
        <v>6281</v>
      </c>
      <c r="L170" s="26" t="s">
        <v>7414</v>
      </c>
      <c r="M170" s="26" t="s">
        <v>6295</v>
      </c>
      <c r="N170" s="27" t="s">
        <v>7415</v>
      </c>
      <c r="O170" s="26" t="s">
        <v>6295</v>
      </c>
      <c r="P170" s="20" t="b">
        <v>1</v>
      </c>
      <c r="Q170" s="20" t="s">
        <v>6282</v>
      </c>
      <c r="R170" s="28" t="s">
        <v>6283</v>
      </c>
      <c r="S170" s="25"/>
      <c r="T170" s="20" t="b">
        <v>1</v>
      </c>
      <c r="U170" s="25"/>
      <c r="V170" s="25">
        <v>92.34</v>
      </c>
      <c r="W170" s="28" t="s">
        <v>7416</v>
      </c>
      <c r="X170" s="28" t="s">
        <v>6285</v>
      </c>
      <c r="Y170" s="28" t="s">
        <v>6286</v>
      </c>
      <c r="Z170" s="28" t="s">
        <v>6287</v>
      </c>
      <c r="AA170" s="28" t="s">
        <v>6288</v>
      </c>
      <c r="AB170" s="28" t="s">
        <v>6297</v>
      </c>
    </row>
    <row r="171" spans="1:28" ht="207" x14ac:dyDescent="0.3">
      <c r="A171" s="25">
        <v>5541</v>
      </c>
      <c r="B171" s="25" t="s">
        <v>7417</v>
      </c>
      <c r="C171" s="25" t="s">
        <v>7418</v>
      </c>
      <c r="D171" s="25" t="s">
        <v>6278</v>
      </c>
      <c r="E171" s="16" t="s">
        <v>6279</v>
      </c>
      <c r="F171" s="16" t="s">
        <v>6279</v>
      </c>
      <c r="G171" s="16" t="s">
        <v>6279</v>
      </c>
      <c r="H171" s="16" t="s">
        <v>6279</v>
      </c>
      <c r="I171" s="25" t="s">
        <v>7419</v>
      </c>
      <c r="J171" s="25"/>
      <c r="K171" s="25" t="s">
        <v>6281</v>
      </c>
      <c r="L171" s="26" t="s">
        <v>7420</v>
      </c>
      <c r="M171" s="26" t="s">
        <v>7262</v>
      </c>
      <c r="N171" s="27" t="s">
        <v>7328</v>
      </c>
      <c r="O171" s="26" t="s">
        <v>7250</v>
      </c>
      <c r="P171" s="20" t="b">
        <v>1</v>
      </c>
      <c r="Q171" s="20" t="s">
        <v>6282</v>
      </c>
      <c r="R171" s="28" t="s">
        <v>6283</v>
      </c>
      <c r="S171" s="25"/>
      <c r="T171" s="20" t="b">
        <v>1</v>
      </c>
      <c r="U171" s="25"/>
      <c r="V171" s="25">
        <v>25</v>
      </c>
      <c r="W171" s="28" t="s">
        <v>7421</v>
      </c>
      <c r="X171" s="28" t="s">
        <v>6285</v>
      </c>
      <c r="Y171" s="28" t="s">
        <v>6286</v>
      </c>
      <c r="Z171" s="28" t="s">
        <v>6287</v>
      </c>
      <c r="AA171" s="28" t="s">
        <v>6288</v>
      </c>
      <c r="AB171" s="28" t="s">
        <v>6297</v>
      </c>
    </row>
    <row r="172" spans="1:28" ht="207" x14ac:dyDescent="0.3">
      <c r="A172" s="25">
        <v>5542</v>
      </c>
      <c r="B172" s="25" t="s">
        <v>7422</v>
      </c>
      <c r="C172" s="25" t="s">
        <v>7423</v>
      </c>
      <c r="D172" s="25" t="s">
        <v>6278</v>
      </c>
      <c r="E172" s="16" t="s">
        <v>6279</v>
      </c>
      <c r="F172" s="16" t="s">
        <v>6279</v>
      </c>
      <c r="G172" s="16" t="s">
        <v>6279</v>
      </c>
      <c r="H172" s="16" t="s">
        <v>6279</v>
      </c>
      <c r="I172" s="25" t="s">
        <v>7424</v>
      </c>
      <c r="J172" s="25"/>
      <c r="K172" s="25" t="s">
        <v>6281</v>
      </c>
      <c r="L172" s="26" t="s">
        <v>7425</v>
      </c>
      <c r="M172" s="26" t="s">
        <v>7262</v>
      </c>
      <c r="N172" s="27" t="s">
        <v>7426</v>
      </c>
      <c r="O172" s="26" t="s">
        <v>7427</v>
      </c>
      <c r="P172" s="20" t="b">
        <v>1</v>
      </c>
      <c r="Q172" s="20" t="s">
        <v>6282</v>
      </c>
      <c r="R172" s="28" t="s">
        <v>6283</v>
      </c>
      <c r="S172" s="25"/>
      <c r="T172" s="20" t="b">
        <v>1</v>
      </c>
      <c r="U172" s="25"/>
      <c r="V172" s="25">
        <v>493.053</v>
      </c>
      <c r="W172" s="28" t="s">
        <v>7428</v>
      </c>
      <c r="X172" s="28" t="s">
        <v>6285</v>
      </c>
      <c r="Y172" s="28" t="s">
        <v>6286</v>
      </c>
      <c r="Z172" s="28" t="s">
        <v>6287</v>
      </c>
      <c r="AA172" s="28" t="s">
        <v>6288</v>
      </c>
      <c r="AB172" s="28" t="s">
        <v>6297</v>
      </c>
    </row>
    <row r="173" spans="1:28" ht="207" x14ac:dyDescent="0.3">
      <c r="A173" s="25">
        <v>5543</v>
      </c>
      <c r="B173" s="25" t="s">
        <v>7429</v>
      </c>
      <c r="C173" s="25" t="s">
        <v>7430</v>
      </c>
      <c r="D173" s="25" t="s">
        <v>6278</v>
      </c>
      <c r="E173" s="16" t="s">
        <v>6279</v>
      </c>
      <c r="F173" s="16" t="s">
        <v>6279</v>
      </c>
      <c r="G173" s="16" t="s">
        <v>6279</v>
      </c>
      <c r="H173" s="16" t="s">
        <v>6279</v>
      </c>
      <c r="I173" s="25" t="s">
        <v>7431</v>
      </c>
      <c r="J173" s="25"/>
      <c r="K173" s="25" t="s">
        <v>6281</v>
      </c>
      <c r="L173" s="26" t="s">
        <v>7303</v>
      </c>
      <c r="M173" s="26" t="s">
        <v>7248</v>
      </c>
      <c r="N173" s="27" t="s">
        <v>7304</v>
      </c>
      <c r="O173" s="26" t="s">
        <v>7250</v>
      </c>
      <c r="P173" s="20" t="b">
        <v>1</v>
      </c>
      <c r="Q173" s="20" t="s">
        <v>6282</v>
      </c>
      <c r="R173" s="28" t="s">
        <v>6283</v>
      </c>
      <c r="S173" s="25"/>
      <c r="T173" s="20" t="b">
        <v>1</v>
      </c>
      <c r="U173" s="25"/>
      <c r="V173" s="25">
        <v>86.35</v>
      </c>
      <c r="W173" s="28" t="s">
        <v>7432</v>
      </c>
      <c r="X173" s="28" t="s">
        <v>6285</v>
      </c>
      <c r="Y173" s="28" t="s">
        <v>6286</v>
      </c>
      <c r="Z173" s="28" t="s">
        <v>6287</v>
      </c>
      <c r="AA173" s="28" t="s">
        <v>6288</v>
      </c>
      <c r="AB173" s="28" t="s">
        <v>6297</v>
      </c>
    </row>
    <row r="174" spans="1:28" ht="207" x14ac:dyDescent="0.3">
      <c r="A174" s="25">
        <v>5544</v>
      </c>
      <c r="B174" s="25" t="s">
        <v>7433</v>
      </c>
      <c r="C174" s="25" t="s">
        <v>7434</v>
      </c>
      <c r="D174" s="25" t="s">
        <v>6278</v>
      </c>
      <c r="E174" s="16" t="s">
        <v>6279</v>
      </c>
      <c r="F174" s="16" t="s">
        <v>6279</v>
      </c>
      <c r="G174" s="16" t="s">
        <v>6279</v>
      </c>
      <c r="H174" s="16" t="s">
        <v>6279</v>
      </c>
      <c r="I174" s="25" t="s">
        <v>7435</v>
      </c>
      <c r="J174" s="25"/>
      <c r="K174" s="25" t="s">
        <v>6281</v>
      </c>
      <c r="L174" s="26" t="s">
        <v>7436</v>
      </c>
      <c r="M174" s="26" t="s">
        <v>7262</v>
      </c>
      <c r="N174" s="27" t="s">
        <v>7437</v>
      </c>
      <c r="O174" s="26" t="s">
        <v>7250</v>
      </c>
      <c r="P174" s="20" t="b">
        <v>1</v>
      </c>
      <c r="Q174" s="20" t="s">
        <v>6282</v>
      </c>
      <c r="R174" s="28" t="s">
        <v>6283</v>
      </c>
      <c r="S174" s="25"/>
      <c r="T174" s="20" t="b">
        <v>1</v>
      </c>
      <c r="U174" s="25"/>
      <c r="V174" s="25">
        <v>40.049999999999997</v>
      </c>
      <c r="W174" s="28" t="s">
        <v>7438</v>
      </c>
      <c r="X174" s="28" t="s">
        <v>6285</v>
      </c>
      <c r="Y174" s="28" t="s">
        <v>6286</v>
      </c>
      <c r="Z174" s="28" t="s">
        <v>6287</v>
      </c>
      <c r="AA174" s="28" t="s">
        <v>6288</v>
      </c>
      <c r="AB174" s="28" t="s">
        <v>6297</v>
      </c>
    </row>
    <row r="175" spans="1:28" ht="185.4" x14ac:dyDescent="0.3">
      <c r="A175" s="25">
        <v>5546</v>
      </c>
      <c r="B175" s="25" t="s">
        <v>7439</v>
      </c>
      <c r="C175" s="25" t="s">
        <v>7440</v>
      </c>
      <c r="D175" s="25" t="s">
        <v>6291</v>
      </c>
      <c r="E175" s="16" t="s">
        <v>6292</v>
      </c>
      <c r="F175" s="16" t="s">
        <v>6292</v>
      </c>
      <c r="G175" s="16" t="s">
        <v>6292</v>
      </c>
      <c r="H175" s="16" t="s">
        <v>6292</v>
      </c>
      <c r="I175" s="25" t="s">
        <v>7441</v>
      </c>
      <c r="J175" s="25"/>
      <c r="K175" s="25" t="s">
        <v>6281</v>
      </c>
      <c r="L175" s="26" t="s">
        <v>7442</v>
      </c>
      <c r="M175" s="26" t="s">
        <v>7443</v>
      </c>
      <c r="N175" s="27" t="s">
        <v>7444</v>
      </c>
      <c r="O175" s="26" t="s">
        <v>7220</v>
      </c>
      <c r="P175" s="20" t="b">
        <v>1</v>
      </c>
      <c r="Q175" s="20" t="s">
        <v>6282</v>
      </c>
      <c r="R175" s="28" t="s">
        <v>6283</v>
      </c>
      <c r="S175" s="25"/>
      <c r="T175" s="20" t="b">
        <v>1</v>
      </c>
      <c r="U175" s="25"/>
      <c r="V175" s="25">
        <v>58</v>
      </c>
      <c r="W175" s="28" t="s">
        <v>7445</v>
      </c>
      <c r="X175" s="28" t="s">
        <v>6285</v>
      </c>
      <c r="Y175" s="28" t="s">
        <v>6286</v>
      </c>
      <c r="Z175" s="28" t="s">
        <v>6287</v>
      </c>
      <c r="AA175" s="28" t="s">
        <v>6288</v>
      </c>
      <c r="AB175" s="28" t="s">
        <v>6297</v>
      </c>
    </row>
    <row r="176" spans="1:28" ht="193.2" x14ac:dyDescent="0.3">
      <c r="A176" s="25">
        <v>5547</v>
      </c>
      <c r="B176" s="25" t="s">
        <v>7446</v>
      </c>
      <c r="C176" s="25" t="s">
        <v>7447</v>
      </c>
      <c r="D176" s="25" t="s">
        <v>6278</v>
      </c>
      <c r="E176" s="16" t="s">
        <v>6279</v>
      </c>
      <c r="F176" s="16" t="s">
        <v>6279</v>
      </c>
      <c r="G176" s="16" t="s">
        <v>6279</v>
      </c>
      <c r="H176" s="16" t="s">
        <v>6279</v>
      </c>
      <c r="I176" s="25" t="s">
        <v>7448</v>
      </c>
      <c r="J176" s="25"/>
      <c r="K176" s="25" t="s">
        <v>6281</v>
      </c>
      <c r="L176" s="26" t="s">
        <v>7449</v>
      </c>
      <c r="M176" s="26" t="s">
        <v>7450</v>
      </c>
      <c r="N176" s="27" t="s">
        <v>7451</v>
      </c>
      <c r="O176" s="26" t="s">
        <v>7452</v>
      </c>
      <c r="P176" s="20" t="b">
        <v>1</v>
      </c>
      <c r="Q176" s="20" t="s">
        <v>6282</v>
      </c>
      <c r="R176" s="28" t="s">
        <v>6283</v>
      </c>
      <c r="S176" s="25"/>
      <c r="T176" s="20" t="b">
        <v>1</v>
      </c>
      <c r="U176" s="25"/>
      <c r="V176" s="25">
        <v>773.31</v>
      </c>
      <c r="W176" s="28" t="s">
        <v>7453</v>
      </c>
      <c r="X176" s="28" t="s">
        <v>6285</v>
      </c>
      <c r="Y176" s="28" t="s">
        <v>6286</v>
      </c>
      <c r="Z176" s="28" t="s">
        <v>6287</v>
      </c>
      <c r="AA176" s="28" t="s">
        <v>6288</v>
      </c>
      <c r="AB176" s="28" t="s">
        <v>6297</v>
      </c>
    </row>
    <row r="177" spans="1:28" ht="185.4" x14ac:dyDescent="0.3">
      <c r="A177" s="25">
        <v>5557</v>
      </c>
      <c r="B177" s="25" t="s">
        <v>7454</v>
      </c>
      <c r="C177" s="25" t="s">
        <v>7455</v>
      </c>
      <c r="D177" s="25" t="s">
        <v>6291</v>
      </c>
      <c r="E177" s="16" t="s">
        <v>6786</v>
      </c>
      <c r="F177" s="16" t="s">
        <v>6786</v>
      </c>
      <c r="G177" s="16" t="s">
        <v>6786</v>
      </c>
      <c r="H177" s="16" t="s">
        <v>6786</v>
      </c>
      <c r="I177" s="25" t="s">
        <v>7456</v>
      </c>
      <c r="J177" s="25"/>
      <c r="K177" s="25" t="s">
        <v>6281</v>
      </c>
      <c r="L177" s="26" t="s">
        <v>7457</v>
      </c>
      <c r="M177" s="26" t="s">
        <v>6295</v>
      </c>
      <c r="N177" s="27" t="s">
        <v>7458</v>
      </c>
      <c r="O177" s="26" t="s">
        <v>6295</v>
      </c>
      <c r="P177" s="20" t="b">
        <v>1</v>
      </c>
      <c r="Q177" s="20" t="s">
        <v>6282</v>
      </c>
      <c r="R177" s="28" t="s">
        <v>6283</v>
      </c>
      <c r="S177" s="25"/>
      <c r="T177" s="20" t="b">
        <v>1</v>
      </c>
      <c r="U177" s="25"/>
      <c r="V177" s="25" t="s">
        <v>6295</v>
      </c>
      <c r="W177" s="28" t="s">
        <v>7459</v>
      </c>
      <c r="X177" s="28" t="s">
        <v>6285</v>
      </c>
      <c r="Y177" s="28" t="s">
        <v>6286</v>
      </c>
      <c r="Z177" s="28" t="s">
        <v>6287</v>
      </c>
      <c r="AA177" s="28" t="s">
        <v>6288</v>
      </c>
      <c r="AB177" s="28" t="s">
        <v>6297</v>
      </c>
    </row>
    <row r="178" spans="1:28" ht="185.4" x14ac:dyDescent="0.3">
      <c r="A178" s="25">
        <v>5575</v>
      </c>
      <c r="B178" s="25" t="s">
        <v>7460</v>
      </c>
      <c r="C178" s="25" t="s">
        <v>7461</v>
      </c>
      <c r="D178" s="25" t="s">
        <v>6291</v>
      </c>
      <c r="E178" s="16" t="s">
        <v>6292</v>
      </c>
      <c r="F178" s="16" t="s">
        <v>6292</v>
      </c>
      <c r="G178" s="16" t="s">
        <v>6292</v>
      </c>
      <c r="H178" s="16" t="s">
        <v>6292</v>
      </c>
      <c r="I178" s="25" t="s">
        <v>7462</v>
      </c>
      <c r="J178" s="25"/>
      <c r="K178" s="25" t="s">
        <v>6281</v>
      </c>
      <c r="L178" s="26" t="s">
        <v>7463</v>
      </c>
      <c r="M178" s="26" t="s">
        <v>7464</v>
      </c>
      <c r="N178" s="27" t="s">
        <v>7465</v>
      </c>
      <c r="O178" s="26" t="s">
        <v>7466</v>
      </c>
      <c r="P178" s="20" t="b">
        <v>1</v>
      </c>
      <c r="Q178" s="20" t="s">
        <v>6282</v>
      </c>
      <c r="R178" s="28" t="s">
        <v>6283</v>
      </c>
      <c r="S178" s="25"/>
      <c r="T178" s="20" t="b">
        <v>1</v>
      </c>
      <c r="U178" s="25"/>
      <c r="V178" s="25" t="s">
        <v>6295</v>
      </c>
      <c r="W178" s="28" t="s">
        <v>7467</v>
      </c>
      <c r="X178" s="28" t="s">
        <v>6285</v>
      </c>
      <c r="Y178" s="28" t="s">
        <v>6286</v>
      </c>
      <c r="Z178" s="28" t="s">
        <v>6287</v>
      </c>
      <c r="AA178" s="28" t="s">
        <v>6288</v>
      </c>
      <c r="AB178" s="28" t="s">
        <v>6297</v>
      </c>
    </row>
    <row r="179" spans="1:28" ht="185.4" x14ac:dyDescent="0.3">
      <c r="A179" s="25">
        <v>5577</v>
      </c>
      <c r="B179" s="25" t="s">
        <v>7468</v>
      </c>
      <c r="C179" s="25" t="s">
        <v>7469</v>
      </c>
      <c r="D179" s="25" t="s">
        <v>6291</v>
      </c>
      <c r="E179" s="16" t="s">
        <v>6292</v>
      </c>
      <c r="F179" s="16" t="s">
        <v>6292</v>
      </c>
      <c r="G179" s="16" t="s">
        <v>6292</v>
      </c>
      <c r="H179" s="16" t="s">
        <v>6292</v>
      </c>
      <c r="I179" s="25" t="s">
        <v>7470</v>
      </c>
      <c r="J179" s="25"/>
      <c r="K179" s="25" t="s">
        <v>6281</v>
      </c>
      <c r="L179" s="26" t="s">
        <v>7471</v>
      </c>
      <c r="M179" s="26" t="s">
        <v>6295</v>
      </c>
      <c r="N179" s="27" t="s">
        <v>7472</v>
      </c>
      <c r="O179" s="26" t="s">
        <v>6295</v>
      </c>
      <c r="P179" s="20" t="b">
        <v>1</v>
      </c>
      <c r="Q179" s="20" t="s">
        <v>6282</v>
      </c>
      <c r="R179" s="28" t="s">
        <v>6283</v>
      </c>
      <c r="S179" s="25"/>
      <c r="T179" s="20" t="b">
        <v>1</v>
      </c>
      <c r="U179" s="25"/>
      <c r="V179" s="25" t="s">
        <v>6295</v>
      </c>
      <c r="W179" s="28" t="s">
        <v>7473</v>
      </c>
      <c r="X179" s="28" t="s">
        <v>6285</v>
      </c>
      <c r="Y179" s="28" t="s">
        <v>6286</v>
      </c>
      <c r="Z179" s="28" t="s">
        <v>6287</v>
      </c>
      <c r="AA179" s="28" t="s">
        <v>6288</v>
      </c>
      <c r="AB179" s="28" t="s">
        <v>6297</v>
      </c>
    </row>
    <row r="180" spans="1:28" ht="185.4" x14ac:dyDescent="0.3">
      <c r="A180" s="25">
        <v>5579</v>
      </c>
      <c r="B180" s="25" t="s">
        <v>7474</v>
      </c>
      <c r="C180" s="25" t="s">
        <v>7475</v>
      </c>
      <c r="D180" s="25" t="s">
        <v>6370</v>
      </c>
      <c r="E180" s="16" t="s">
        <v>6371</v>
      </c>
      <c r="F180" s="16" t="s">
        <v>6371</v>
      </c>
      <c r="G180" s="16" t="s">
        <v>6371</v>
      </c>
      <c r="H180" s="16" t="s">
        <v>6371</v>
      </c>
      <c r="I180" s="25" t="s">
        <v>7476</v>
      </c>
      <c r="J180" s="25"/>
      <c r="K180" s="25" t="s">
        <v>6281</v>
      </c>
      <c r="L180" s="26" t="s">
        <v>7477</v>
      </c>
      <c r="M180" s="26" t="s">
        <v>7478</v>
      </c>
      <c r="N180" s="27" t="s">
        <v>7479</v>
      </c>
      <c r="O180" s="26" t="s">
        <v>7480</v>
      </c>
      <c r="P180" s="20" t="b">
        <v>1</v>
      </c>
      <c r="Q180" s="20" t="s">
        <v>6282</v>
      </c>
      <c r="R180" s="28" t="s">
        <v>6283</v>
      </c>
      <c r="S180" s="25"/>
      <c r="T180" s="20" t="b">
        <v>1</v>
      </c>
      <c r="U180" s="25"/>
      <c r="V180" s="25">
        <v>169.59</v>
      </c>
      <c r="W180" s="28" t="s">
        <v>7481</v>
      </c>
      <c r="X180" s="28" t="s">
        <v>6285</v>
      </c>
      <c r="Y180" s="28" t="s">
        <v>6286</v>
      </c>
      <c r="Z180" s="28" t="s">
        <v>6287</v>
      </c>
      <c r="AA180" s="28" t="s">
        <v>6288</v>
      </c>
      <c r="AB180" s="28" t="s">
        <v>6297</v>
      </c>
    </row>
    <row r="181" spans="1:28" ht="185.4" x14ac:dyDescent="0.3">
      <c r="A181" s="25">
        <v>5593</v>
      </c>
      <c r="B181" s="25" t="s">
        <v>7482</v>
      </c>
      <c r="C181" s="25" t="s">
        <v>6306</v>
      </c>
      <c r="D181" s="25" t="s">
        <v>6291</v>
      </c>
      <c r="E181" s="16" t="s">
        <v>6292</v>
      </c>
      <c r="F181" s="16" t="s">
        <v>6292</v>
      </c>
      <c r="G181" s="16" t="s">
        <v>6292</v>
      </c>
      <c r="H181" s="16" t="s">
        <v>6292</v>
      </c>
      <c r="I181" s="25" t="s">
        <v>7483</v>
      </c>
      <c r="J181" s="25"/>
      <c r="K181" s="25" t="s">
        <v>6281</v>
      </c>
      <c r="L181" s="26" t="s">
        <v>7484</v>
      </c>
      <c r="M181" s="26" t="s">
        <v>7485</v>
      </c>
      <c r="N181" s="27" t="s">
        <v>7486</v>
      </c>
      <c r="O181" s="26" t="s">
        <v>7487</v>
      </c>
      <c r="P181" s="20" t="b">
        <v>1</v>
      </c>
      <c r="Q181" s="20" t="s">
        <v>6282</v>
      </c>
      <c r="R181" s="28" t="s">
        <v>6283</v>
      </c>
      <c r="S181" s="25"/>
      <c r="T181" s="20" t="b">
        <v>1</v>
      </c>
      <c r="U181" s="25"/>
      <c r="V181" s="25">
        <v>16.89</v>
      </c>
      <c r="W181" s="28" t="s">
        <v>7488</v>
      </c>
      <c r="X181" s="28" t="s">
        <v>6285</v>
      </c>
      <c r="Y181" s="28" t="s">
        <v>6286</v>
      </c>
      <c r="Z181" s="28" t="s">
        <v>6287</v>
      </c>
      <c r="AA181" s="28" t="s">
        <v>6288</v>
      </c>
      <c r="AB181" s="28" t="s">
        <v>6297</v>
      </c>
    </row>
    <row r="182" spans="1:28" ht="193.2" x14ac:dyDescent="0.3">
      <c r="A182" s="25">
        <v>5597</v>
      </c>
      <c r="B182" s="25" t="s">
        <v>7489</v>
      </c>
      <c r="C182" s="25" t="s">
        <v>7490</v>
      </c>
      <c r="D182" s="25" t="s">
        <v>6278</v>
      </c>
      <c r="E182" s="16" t="s">
        <v>6279</v>
      </c>
      <c r="F182" s="16" t="s">
        <v>6279</v>
      </c>
      <c r="G182" s="16" t="s">
        <v>6279</v>
      </c>
      <c r="H182" s="16" t="s">
        <v>6279</v>
      </c>
      <c r="I182" s="25" t="s">
        <v>7491</v>
      </c>
      <c r="J182" s="25"/>
      <c r="K182" s="25" t="s">
        <v>6281</v>
      </c>
      <c r="L182" s="26" t="s">
        <v>7492</v>
      </c>
      <c r="M182" s="26" t="s">
        <v>7493</v>
      </c>
      <c r="N182" s="27" t="s">
        <v>7494</v>
      </c>
      <c r="O182" s="26" t="s">
        <v>6295</v>
      </c>
      <c r="P182" s="20" t="b">
        <v>1</v>
      </c>
      <c r="Q182" s="20" t="s">
        <v>6282</v>
      </c>
      <c r="R182" s="28" t="s">
        <v>6283</v>
      </c>
      <c r="S182" s="25"/>
      <c r="T182" s="20" t="b">
        <v>1</v>
      </c>
      <c r="U182" s="25"/>
      <c r="V182" s="25">
        <v>31.54</v>
      </c>
      <c r="W182" s="28" t="s">
        <v>7495</v>
      </c>
      <c r="X182" s="28" t="s">
        <v>6285</v>
      </c>
      <c r="Y182" s="28" t="s">
        <v>6286</v>
      </c>
      <c r="Z182" s="28" t="s">
        <v>6287</v>
      </c>
      <c r="AA182" s="28" t="s">
        <v>6288</v>
      </c>
      <c r="AB182" s="28" t="s">
        <v>6297</v>
      </c>
    </row>
    <row r="183" spans="1:28" ht="198.6" x14ac:dyDescent="0.3">
      <c r="A183" s="25">
        <v>5599</v>
      </c>
      <c r="B183" s="25" t="s">
        <v>7496</v>
      </c>
      <c r="C183" s="25" t="s">
        <v>7497</v>
      </c>
      <c r="D183" s="25" t="s">
        <v>6370</v>
      </c>
      <c r="E183" s="16" t="s">
        <v>7498</v>
      </c>
      <c r="F183" s="16" t="s">
        <v>7498</v>
      </c>
      <c r="G183" s="16" t="s">
        <v>7498</v>
      </c>
      <c r="H183" s="16" t="s">
        <v>7498</v>
      </c>
      <c r="I183" s="25" t="s">
        <v>7499</v>
      </c>
      <c r="J183" s="25"/>
      <c r="K183" s="25" t="s">
        <v>6281</v>
      </c>
      <c r="L183" s="26" t="s">
        <v>7500</v>
      </c>
      <c r="M183" s="26" t="s">
        <v>7501</v>
      </c>
      <c r="N183" s="27" t="s">
        <v>7502</v>
      </c>
      <c r="O183" s="26" t="s">
        <v>7503</v>
      </c>
      <c r="P183" s="20" t="b">
        <v>1</v>
      </c>
      <c r="Q183" s="20" t="s">
        <v>6282</v>
      </c>
      <c r="R183" s="28" t="s">
        <v>6283</v>
      </c>
      <c r="S183" s="25"/>
      <c r="T183" s="20" t="b">
        <v>1</v>
      </c>
      <c r="U183" s="25"/>
      <c r="V183" s="25">
        <v>0.11</v>
      </c>
      <c r="W183" s="28" t="s">
        <v>7504</v>
      </c>
      <c r="X183" s="28" t="s">
        <v>6285</v>
      </c>
      <c r="Y183" s="28" t="s">
        <v>6286</v>
      </c>
      <c r="Z183" s="28" t="s">
        <v>6287</v>
      </c>
      <c r="AA183" s="28" t="s">
        <v>6288</v>
      </c>
      <c r="AB183" s="28" t="s">
        <v>6297</v>
      </c>
    </row>
    <row r="184" spans="1:28" ht="185.4" x14ac:dyDescent="0.3">
      <c r="A184" s="25">
        <v>5611</v>
      </c>
      <c r="B184" s="25" t="s">
        <v>7505</v>
      </c>
      <c r="C184" s="25" t="s">
        <v>7506</v>
      </c>
      <c r="D184" s="25" t="s">
        <v>6291</v>
      </c>
      <c r="E184" s="16" t="s">
        <v>6292</v>
      </c>
      <c r="F184" s="16" t="s">
        <v>6292</v>
      </c>
      <c r="G184" s="16" t="s">
        <v>6292</v>
      </c>
      <c r="H184" s="16" t="s">
        <v>6292</v>
      </c>
      <c r="I184" s="25" t="s">
        <v>7507</v>
      </c>
      <c r="J184" s="25"/>
      <c r="K184" s="25" t="s">
        <v>6281</v>
      </c>
      <c r="L184" s="26" t="s">
        <v>7508</v>
      </c>
      <c r="M184" s="26" t="s">
        <v>6295</v>
      </c>
      <c r="N184" s="27" t="s">
        <v>7509</v>
      </c>
      <c r="O184" s="26" t="s">
        <v>6295</v>
      </c>
      <c r="P184" s="20" t="b">
        <v>1</v>
      </c>
      <c r="Q184" s="20" t="s">
        <v>6282</v>
      </c>
      <c r="R184" s="28" t="s">
        <v>6283</v>
      </c>
      <c r="S184" s="25"/>
      <c r="T184" s="20" t="b">
        <v>1</v>
      </c>
      <c r="U184" s="25"/>
      <c r="V184" s="25">
        <v>5.48</v>
      </c>
      <c r="W184" s="28" t="s">
        <v>7510</v>
      </c>
      <c r="X184" s="28" t="s">
        <v>6285</v>
      </c>
      <c r="Y184" s="28" t="s">
        <v>6286</v>
      </c>
      <c r="Z184" s="28" t="s">
        <v>6287</v>
      </c>
      <c r="AA184" s="28" t="s">
        <v>6288</v>
      </c>
      <c r="AB184" s="28" t="s">
        <v>6297</v>
      </c>
    </row>
    <row r="185" spans="1:28" ht="185.4" x14ac:dyDescent="0.3">
      <c r="A185" s="25">
        <v>5612</v>
      </c>
      <c r="B185" s="25" t="s">
        <v>7511</v>
      </c>
      <c r="C185" s="25" t="s">
        <v>7512</v>
      </c>
      <c r="D185" s="25" t="s">
        <v>6291</v>
      </c>
      <c r="E185" s="16" t="s">
        <v>6292</v>
      </c>
      <c r="F185" s="16" t="s">
        <v>6292</v>
      </c>
      <c r="G185" s="16" t="s">
        <v>6292</v>
      </c>
      <c r="H185" s="16" t="s">
        <v>6292</v>
      </c>
      <c r="I185" s="25" t="s">
        <v>7513</v>
      </c>
      <c r="J185" s="25"/>
      <c r="K185" s="25" t="s">
        <v>6281</v>
      </c>
      <c r="L185" s="26" t="s">
        <v>7514</v>
      </c>
      <c r="M185" s="26" t="s">
        <v>6295</v>
      </c>
      <c r="N185" s="27" t="s">
        <v>7515</v>
      </c>
      <c r="O185" s="26" t="s">
        <v>6295</v>
      </c>
      <c r="P185" s="20" t="b">
        <v>1</v>
      </c>
      <c r="Q185" s="20" t="s">
        <v>6282</v>
      </c>
      <c r="R185" s="28" t="s">
        <v>6283</v>
      </c>
      <c r="S185" s="25"/>
      <c r="T185" s="20" t="b">
        <v>1</v>
      </c>
      <c r="U185" s="25"/>
      <c r="V185" s="25">
        <v>7.93</v>
      </c>
      <c r="W185" s="28" t="s">
        <v>7516</v>
      </c>
      <c r="X185" s="28" t="s">
        <v>6285</v>
      </c>
      <c r="Y185" s="28" t="s">
        <v>6286</v>
      </c>
      <c r="Z185" s="28" t="s">
        <v>6287</v>
      </c>
      <c r="AA185" s="28" t="s">
        <v>6288</v>
      </c>
      <c r="AB185" s="28" t="s">
        <v>6297</v>
      </c>
    </row>
    <row r="186" spans="1:28" ht="185.4" x14ac:dyDescent="0.3">
      <c r="A186" s="25">
        <v>5630</v>
      </c>
      <c r="B186" s="25" t="s">
        <v>7517</v>
      </c>
      <c r="C186" s="25" t="s">
        <v>7518</v>
      </c>
      <c r="D186" s="25" t="s">
        <v>6278</v>
      </c>
      <c r="E186" s="16" t="s">
        <v>6279</v>
      </c>
      <c r="F186" s="16" t="s">
        <v>6279</v>
      </c>
      <c r="G186" s="16" t="s">
        <v>6279</v>
      </c>
      <c r="H186" s="16" t="s">
        <v>6279</v>
      </c>
      <c r="I186" s="25" t="s">
        <v>7519</v>
      </c>
      <c r="J186" s="25"/>
      <c r="K186" s="25" t="s">
        <v>6281</v>
      </c>
      <c r="L186" s="26" t="s">
        <v>7520</v>
      </c>
      <c r="M186" s="26" t="s">
        <v>7521</v>
      </c>
      <c r="N186" s="27" t="s">
        <v>7522</v>
      </c>
      <c r="O186" s="26" t="s">
        <v>7523</v>
      </c>
      <c r="P186" s="20" t="b">
        <v>1</v>
      </c>
      <c r="Q186" s="20" t="s">
        <v>6282</v>
      </c>
      <c r="R186" s="28" t="s">
        <v>6283</v>
      </c>
      <c r="S186" s="25"/>
      <c r="T186" s="20" t="b">
        <v>1</v>
      </c>
      <c r="U186" s="25"/>
      <c r="V186" s="25">
        <v>181.73</v>
      </c>
      <c r="W186" s="28" t="s">
        <v>7524</v>
      </c>
      <c r="X186" s="28" t="s">
        <v>6285</v>
      </c>
      <c r="Y186" s="28" t="s">
        <v>6286</v>
      </c>
      <c r="Z186" s="28" t="s">
        <v>6287</v>
      </c>
      <c r="AA186" s="28" t="s">
        <v>6288</v>
      </c>
      <c r="AB186" s="28" t="s">
        <v>6297</v>
      </c>
    </row>
    <row r="187" spans="1:28" ht="185.4" x14ac:dyDescent="0.3">
      <c r="A187" s="25">
        <v>5631</v>
      </c>
      <c r="B187" s="25" t="s">
        <v>7525</v>
      </c>
      <c r="C187" s="25" t="s">
        <v>7526</v>
      </c>
      <c r="D187" s="25" t="s">
        <v>6278</v>
      </c>
      <c r="E187" s="16" t="s">
        <v>6279</v>
      </c>
      <c r="F187" s="16" t="s">
        <v>6279</v>
      </c>
      <c r="G187" s="16" t="s">
        <v>6279</v>
      </c>
      <c r="H187" s="16" t="s">
        <v>6279</v>
      </c>
      <c r="I187" s="25" t="s">
        <v>7527</v>
      </c>
      <c r="J187" s="25"/>
      <c r="K187" s="25" t="s">
        <v>6281</v>
      </c>
      <c r="L187" s="26" t="s">
        <v>7528</v>
      </c>
      <c r="M187" s="26" t="s">
        <v>7521</v>
      </c>
      <c r="N187" s="27" t="s">
        <v>7529</v>
      </c>
      <c r="O187" s="26" t="s">
        <v>7523</v>
      </c>
      <c r="P187" s="20" t="b">
        <v>1</v>
      </c>
      <c r="Q187" s="20" t="s">
        <v>6282</v>
      </c>
      <c r="R187" s="28" t="s">
        <v>6283</v>
      </c>
      <c r="S187" s="25"/>
      <c r="T187" s="20" t="b">
        <v>1</v>
      </c>
      <c r="U187" s="25"/>
      <c r="V187" s="25">
        <v>182.31</v>
      </c>
      <c r="W187" s="28" t="s">
        <v>7530</v>
      </c>
      <c r="X187" s="28" t="s">
        <v>6285</v>
      </c>
      <c r="Y187" s="28" t="s">
        <v>6286</v>
      </c>
      <c r="Z187" s="28" t="s">
        <v>6287</v>
      </c>
      <c r="AA187" s="28" t="s">
        <v>6288</v>
      </c>
      <c r="AB187" s="28" t="s">
        <v>6297</v>
      </c>
    </row>
    <row r="188" spans="1:28" ht="185.4" x14ac:dyDescent="0.3">
      <c r="A188" s="25">
        <v>5632</v>
      </c>
      <c r="B188" s="25" t="s">
        <v>7531</v>
      </c>
      <c r="C188" s="25" t="s">
        <v>7532</v>
      </c>
      <c r="D188" s="25" t="s">
        <v>6278</v>
      </c>
      <c r="E188" s="16" t="s">
        <v>6279</v>
      </c>
      <c r="F188" s="16" t="s">
        <v>6279</v>
      </c>
      <c r="G188" s="16" t="s">
        <v>6279</v>
      </c>
      <c r="H188" s="16" t="s">
        <v>6279</v>
      </c>
      <c r="I188" s="25" t="s">
        <v>7533</v>
      </c>
      <c r="J188" s="25"/>
      <c r="K188" s="25" t="s">
        <v>6281</v>
      </c>
      <c r="L188" s="26" t="s">
        <v>7534</v>
      </c>
      <c r="M188" s="26" t="s">
        <v>7521</v>
      </c>
      <c r="N188" s="27" t="s">
        <v>7535</v>
      </c>
      <c r="O188" s="26" t="s">
        <v>7536</v>
      </c>
      <c r="P188" s="20" t="b">
        <v>1</v>
      </c>
      <c r="Q188" s="20" t="s">
        <v>6282</v>
      </c>
      <c r="R188" s="28" t="s">
        <v>6283</v>
      </c>
      <c r="S188" s="25"/>
      <c r="T188" s="20" t="b">
        <v>1</v>
      </c>
      <c r="U188" s="25"/>
      <c r="V188" s="25">
        <v>137.71</v>
      </c>
      <c r="W188" s="28" t="s">
        <v>7537</v>
      </c>
      <c r="X188" s="28" t="s">
        <v>6285</v>
      </c>
      <c r="Y188" s="28" t="s">
        <v>6286</v>
      </c>
      <c r="Z188" s="28" t="s">
        <v>6287</v>
      </c>
      <c r="AA188" s="28" t="s">
        <v>6288</v>
      </c>
      <c r="AB188" s="28" t="s">
        <v>6297</v>
      </c>
    </row>
    <row r="189" spans="1:28" ht="185.4" x14ac:dyDescent="0.3">
      <c r="A189" s="25">
        <v>5633</v>
      </c>
      <c r="B189" s="25" t="s">
        <v>7538</v>
      </c>
      <c r="C189" s="25" t="s">
        <v>7539</v>
      </c>
      <c r="D189" s="25" t="s">
        <v>6278</v>
      </c>
      <c r="E189" s="16" t="s">
        <v>6279</v>
      </c>
      <c r="F189" s="16" t="s">
        <v>6279</v>
      </c>
      <c r="G189" s="16" t="s">
        <v>6279</v>
      </c>
      <c r="H189" s="16" t="s">
        <v>6279</v>
      </c>
      <c r="I189" s="25" t="s">
        <v>7540</v>
      </c>
      <c r="J189" s="25"/>
      <c r="K189" s="25" t="s">
        <v>6281</v>
      </c>
      <c r="L189" s="26" t="s">
        <v>7541</v>
      </c>
      <c r="M189" s="26" t="s">
        <v>7521</v>
      </c>
      <c r="N189" s="27" t="s">
        <v>7542</v>
      </c>
      <c r="O189" s="26" t="s">
        <v>7536</v>
      </c>
      <c r="P189" s="20" t="b">
        <v>1</v>
      </c>
      <c r="Q189" s="20" t="s">
        <v>6282</v>
      </c>
      <c r="R189" s="28" t="s">
        <v>6283</v>
      </c>
      <c r="S189" s="25"/>
      <c r="T189" s="20" t="b">
        <v>1</v>
      </c>
      <c r="U189" s="25"/>
      <c r="V189" s="25">
        <v>159.61000000000001</v>
      </c>
      <c r="W189" s="28" t="s">
        <v>7543</v>
      </c>
      <c r="X189" s="28" t="s">
        <v>6285</v>
      </c>
      <c r="Y189" s="28" t="s">
        <v>6286</v>
      </c>
      <c r="Z189" s="28" t="s">
        <v>6287</v>
      </c>
      <c r="AA189" s="28" t="s">
        <v>6288</v>
      </c>
      <c r="AB189" s="28" t="s">
        <v>6297</v>
      </c>
    </row>
    <row r="190" spans="1:28" ht="185.4" x14ac:dyDescent="0.3">
      <c r="A190" s="25">
        <v>5635</v>
      </c>
      <c r="B190" s="25" t="s">
        <v>7544</v>
      </c>
      <c r="C190" s="25" t="s">
        <v>6295</v>
      </c>
      <c r="D190" s="25" t="s">
        <v>6278</v>
      </c>
      <c r="E190" s="16" t="s">
        <v>6279</v>
      </c>
      <c r="F190" s="16" t="s">
        <v>6279</v>
      </c>
      <c r="G190" s="16" t="s">
        <v>6279</v>
      </c>
      <c r="H190" s="16" t="s">
        <v>6279</v>
      </c>
      <c r="I190" s="25" t="s">
        <v>7545</v>
      </c>
      <c r="J190" s="25"/>
      <c r="K190" s="25" t="s">
        <v>6281</v>
      </c>
      <c r="L190" s="26" t="s">
        <v>7546</v>
      </c>
      <c r="M190" s="26" t="s">
        <v>6295</v>
      </c>
      <c r="N190" s="27" t="s">
        <v>7547</v>
      </c>
      <c r="O190" s="26" t="s">
        <v>6295</v>
      </c>
      <c r="P190" s="20" t="b">
        <v>1</v>
      </c>
      <c r="Q190" s="20" t="s">
        <v>6282</v>
      </c>
      <c r="R190" s="28" t="s">
        <v>6283</v>
      </c>
      <c r="S190" s="25"/>
      <c r="T190" s="20" t="b">
        <v>1</v>
      </c>
      <c r="U190" s="25"/>
      <c r="V190" s="25" t="s">
        <v>6295</v>
      </c>
      <c r="W190" s="28" t="s">
        <v>7548</v>
      </c>
      <c r="X190" s="28" t="s">
        <v>6285</v>
      </c>
      <c r="Y190" s="28" t="s">
        <v>6286</v>
      </c>
      <c r="Z190" s="28" t="s">
        <v>6287</v>
      </c>
      <c r="AA190" s="28" t="s">
        <v>6288</v>
      </c>
      <c r="AB190" s="28" t="s">
        <v>6297</v>
      </c>
    </row>
    <row r="191" spans="1:28" ht="185.4" x14ac:dyDescent="0.3">
      <c r="A191" s="25">
        <v>5649</v>
      </c>
      <c r="B191" s="25" t="s">
        <v>7549</v>
      </c>
      <c r="C191" s="25" t="s">
        <v>7550</v>
      </c>
      <c r="D191" s="25" t="s">
        <v>6291</v>
      </c>
      <c r="E191" s="16" t="s">
        <v>6292</v>
      </c>
      <c r="F191" s="16" t="s">
        <v>6292</v>
      </c>
      <c r="G191" s="16" t="s">
        <v>6292</v>
      </c>
      <c r="H191" s="16" t="s">
        <v>6292</v>
      </c>
      <c r="I191" s="25" t="s">
        <v>7551</v>
      </c>
      <c r="J191" s="25"/>
      <c r="K191" s="25" t="s">
        <v>6281</v>
      </c>
      <c r="L191" s="26" t="s">
        <v>7552</v>
      </c>
      <c r="M191" s="26" t="s">
        <v>6295</v>
      </c>
      <c r="N191" s="27" t="s">
        <v>7553</v>
      </c>
      <c r="O191" s="26" t="s">
        <v>6295</v>
      </c>
      <c r="P191" s="20" t="b">
        <v>1</v>
      </c>
      <c r="Q191" s="20" t="s">
        <v>6282</v>
      </c>
      <c r="R191" s="28" t="s">
        <v>6283</v>
      </c>
      <c r="S191" s="25"/>
      <c r="T191" s="20" t="b">
        <v>1</v>
      </c>
      <c r="U191" s="25"/>
      <c r="V191" s="25">
        <v>16.87</v>
      </c>
      <c r="W191" s="28" t="s">
        <v>7554</v>
      </c>
      <c r="X191" s="28" t="s">
        <v>6285</v>
      </c>
      <c r="Y191" s="28" t="s">
        <v>6286</v>
      </c>
      <c r="Z191" s="28" t="s">
        <v>6287</v>
      </c>
      <c r="AA191" s="28" t="s">
        <v>6288</v>
      </c>
      <c r="AB191" s="28" t="s">
        <v>6297</v>
      </c>
    </row>
    <row r="192" spans="1:28" ht="185.4" x14ac:dyDescent="0.3">
      <c r="A192" s="25">
        <v>5651</v>
      </c>
      <c r="B192" s="25" t="s">
        <v>7555</v>
      </c>
      <c r="C192" s="25" t="s">
        <v>7556</v>
      </c>
      <c r="D192" s="25" t="s">
        <v>6291</v>
      </c>
      <c r="E192" s="16" t="s">
        <v>6786</v>
      </c>
      <c r="F192" s="16" t="s">
        <v>6786</v>
      </c>
      <c r="G192" s="16" t="s">
        <v>6786</v>
      </c>
      <c r="H192" s="16" t="s">
        <v>6786</v>
      </c>
      <c r="I192" s="25" t="s">
        <v>7557</v>
      </c>
      <c r="J192" s="25"/>
      <c r="K192" s="25" t="s">
        <v>6281</v>
      </c>
      <c r="L192" s="26" t="s">
        <v>7558</v>
      </c>
      <c r="M192" s="26" t="s">
        <v>7559</v>
      </c>
      <c r="N192" s="27" t="s">
        <v>7560</v>
      </c>
      <c r="O192" s="26" t="s">
        <v>6295</v>
      </c>
      <c r="P192" s="20" t="b">
        <v>1</v>
      </c>
      <c r="Q192" s="20" t="s">
        <v>6282</v>
      </c>
      <c r="R192" s="28" t="s">
        <v>6283</v>
      </c>
      <c r="S192" s="25"/>
      <c r="T192" s="20" t="b">
        <v>1</v>
      </c>
      <c r="U192" s="25"/>
      <c r="V192" s="25">
        <v>10.935600000000001</v>
      </c>
      <c r="W192" s="28" t="s">
        <v>7561</v>
      </c>
      <c r="X192" s="28" t="s">
        <v>6285</v>
      </c>
      <c r="Y192" s="28" t="s">
        <v>6286</v>
      </c>
      <c r="Z192" s="28" t="s">
        <v>6287</v>
      </c>
      <c r="AA192" s="28" t="s">
        <v>6288</v>
      </c>
      <c r="AB192" s="28" t="s">
        <v>6297</v>
      </c>
    </row>
    <row r="193" spans="1:28" ht="185.4" x14ac:dyDescent="0.3">
      <c r="A193" s="25">
        <v>5660</v>
      </c>
      <c r="B193" s="25" t="s">
        <v>7562</v>
      </c>
      <c r="C193" s="25" t="s">
        <v>6306</v>
      </c>
      <c r="D193" s="25" t="s">
        <v>6278</v>
      </c>
      <c r="E193" s="16" t="s">
        <v>6279</v>
      </c>
      <c r="F193" s="16" t="s">
        <v>6279</v>
      </c>
      <c r="G193" s="16" t="s">
        <v>6279</v>
      </c>
      <c r="H193" s="16" t="s">
        <v>6279</v>
      </c>
      <c r="I193" s="25" t="s">
        <v>7563</v>
      </c>
      <c r="J193" s="25"/>
      <c r="K193" s="25" t="s">
        <v>6281</v>
      </c>
      <c r="L193" s="26" t="s">
        <v>7564</v>
      </c>
      <c r="M193" s="26" t="s">
        <v>7565</v>
      </c>
      <c r="N193" s="27" t="s">
        <v>7566</v>
      </c>
      <c r="O193" s="26" t="s">
        <v>7567</v>
      </c>
      <c r="P193" s="20" t="b">
        <v>1</v>
      </c>
      <c r="Q193" s="20" t="s">
        <v>6282</v>
      </c>
      <c r="R193" s="28" t="s">
        <v>6283</v>
      </c>
      <c r="S193" s="25"/>
      <c r="T193" s="20" t="b">
        <v>1</v>
      </c>
      <c r="U193" s="25"/>
      <c r="V193" s="25">
        <v>25.17</v>
      </c>
      <c r="W193" s="28" t="s">
        <v>7568</v>
      </c>
      <c r="X193" s="28" t="s">
        <v>6285</v>
      </c>
      <c r="Y193" s="28" t="s">
        <v>6286</v>
      </c>
      <c r="Z193" s="28" t="s">
        <v>6287</v>
      </c>
      <c r="AA193" s="28" t="s">
        <v>6288</v>
      </c>
      <c r="AB193" s="28" t="s">
        <v>6297</v>
      </c>
    </row>
    <row r="194" spans="1:28" ht="207" x14ac:dyDescent="0.3">
      <c r="A194" s="25">
        <v>5672</v>
      </c>
      <c r="B194" s="25" t="s">
        <v>7569</v>
      </c>
      <c r="C194" s="25" t="s">
        <v>7570</v>
      </c>
      <c r="D194" s="25" t="s">
        <v>6278</v>
      </c>
      <c r="E194" s="16" t="s">
        <v>6279</v>
      </c>
      <c r="F194" s="16" t="s">
        <v>6279</v>
      </c>
      <c r="G194" s="16" t="s">
        <v>6279</v>
      </c>
      <c r="H194" s="16" t="s">
        <v>6279</v>
      </c>
      <c r="I194" s="25" t="s">
        <v>7571</v>
      </c>
      <c r="J194" s="25"/>
      <c r="K194" s="25" t="s">
        <v>6281</v>
      </c>
      <c r="L194" s="26" t="s">
        <v>7572</v>
      </c>
      <c r="M194" s="26" t="s">
        <v>7262</v>
      </c>
      <c r="N194" s="27" t="s">
        <v>7573</v>
      </c>
      <c r="O194" s="26" t="s">
        <v>7250</v>
      </c>
      <c r="P194" s="20" t="b">
        <v>1</v>
      </c>
      <c r="Q194" s="20" t="s">
        <v>6282</v>
      </c>
      <c r="R194" s="28" t="s">
        <v>6283</v>
      </c>
      <c r="S194" s="25"/>
      <c r="T194" s="20" t="b">
        <v>1</v>
      </c>
      <c r="U194" s="25"/>
      <c r="V194" s="25">
        <v>246.21299999999999</v>
      </c>
      <c r="W194" s="28" t="s">
        <v>7574</v>
      </c>
      <c r="X194" s="28" t="s">
        <v>6285</v>
      </c>
      <c r="Y194" s="28" t="s">
        <v>6286</v>
      </c>
      <c r="Z194" s="28" t="s">
        <v>6287</v>
      </c>
      <c r="AA194" s="28" t="s">
        <v>6288</v>
      </c>
      <c r="AB194" s="28" t="s">
        <v>6297</v>
      </c>
    </row>
    <row r="195" spans="1:28" ht="207" x14ac:dyDescent="0.3">
      <c r="A195" s="25">
        <v>5673</v>
      </c>
      <c r="B195" s="25" t="s">
        <v>7575</v>
      </c>
      <c r="C195" s="25" t="s">
        <v>7576</v>
      </c>
      <c r="D195" s="25" t="s">
        <v>6278</v>
      </c>
      <c r="E195" s="16" t="s">
        <v>6279</v>
      </c>
      <c r="F195" s="16" t="s">
        <v>6279</v>
      </c>
      <c r="G195" s="16" t="s">
        <v>6279</v>
      </c>
      <c r="H195" s="16" t="s">
        <v>6279</v>
      </c>
      <c r="I195" s="25" t="s">
        <v>7577</v>
      </c>
      <c r="J195" s="25"/>
      <c r="K195" s="25" t="s">
        <v>6281</v>
      </c>
      <c r="L195" s="26" t="s">
        <v>7578</v>
      </c>
      <c r="M195" s="26" t="s">
        <v>7262</v>
      </c>
      <c r="N195" s="27" t="s">
        <v>7579</v>
      </c>
      <c r="O195" s="26" t="s">
        <v>7250</v>
      </c>
      <c r="P195" s="20" t="b">
        <v>1</v>
      </c>
      <c r="Q195" s="20" t="s">
        <v>6282</v>
      </c>
      <c r="R195" s="28" t="s">
        <v>6283</v>
      </c>
      <c r="S195" s="25"/>
      <c r="T195" s="20" t="b">
        <v>1</v>
      </c>
      <c r="U195" s="25"/>
      <c r="V195" s="25">
        <v>326.33999999999997</v>
      </c>
      <c r="W195" s="28" t="s">
        <v>7580</v>
      </c>
      <c r="X195" s="28" t="s">
        <v>6285</v>
      </c>
      <c r="Y195" s="28" t="s">
        <v>6286</v>
      </c>
      <c r="Z195" s="28" t="s">
        <v>6287</v>
      </c>
      <c r="AA195" s="28" t="s">
        <v>6288</v>
      </c>
      <c r="AB195" s="28" t="s">
        <v>6297</v>
      </c>
    </row>
    <row r="196" spans="1:28" ht="193.2" x14ac:dyDescent="0.3">
      <c r="A196" s="25">
        <v>5674</v>
      </c>
      <c r="B196" s="25" t="s">
        <v>7581</v>
      </c>
      <c r="C196" s="25" t="s">
        <v>7582</v>
      </c>
      <c r="D196" s="25" t="s">
        <v>6291</v>
      </c>
      <c r="E196" s="16" t="s">
        <v>6786</v>
      </c>
      <c r="F196" s="16" t="s">
        <v>6786</v>
      </c>
      <c r="G196" s="16" t="s">
        <v>6786</v>
      </c>
      <c r="H196" s="16" t="s">
        <v>6786</v>
      </c>
      <c r="I196" s="25" t="s">
        <v>7583</v>
      </c>
      <c r="J196" s="25"/>
      <c r="K196" s="25" t="s">
        <v>6281</v>
      </c>
      <c r="L196" s="26" t="s">
        <v>7584</v>
      </c>
      <c r="M196" s="26" t="s">
        <v>7585</v>
      </c>
      <c r="N196" s="27" t="s">
        <v>7586</v>
      </c>
      <c r="O196" s="26" t="s">
        <v>6295</v>
      </c>
      <c r="P196" s="20" t="b">
        <v>1</v>
      </c>
      <c r="Q196" s="20" t="s">
        <v>6282</v>
      </c>
      <c r="R196" s="28" t="s">
        <v>6283</v>
      </c>
      <c r="S196" s="25"/>
      <c r="T196" s="20" t="b">
        <v>1</v>
      </c>
      <c r="U196" s="25"/>
      <c r="V196" s="25">
        <v>0.21</v>
      </c>
      <c r="W196" s="28" t="s">
        <v>7587</v>
      </c>
      <c r="X196" s="28" t="s">
        <v>6285</v>
      </c>
      <c r="Y196" s="28" t="s">
        <v>6286</v>
      </c>
      <c r="Z196" s="28" t="s">
        <v>6287</v>
      </c>
      <c r="AA196" s="28" t="s">
        <v>6288</v>
      </c>
      <c r="AB196" s="28" t="s">
        <v>6297</v>
      </c>
    </row>
    <row r="197" spans="1:28" ht="185.4" x14ac:dyDescent="0.3">
      <c r="A197" s="25">
        <v>5675</v>
      </c>
      <c r="B197" s="25" t="s">
        <v>7588</v>
      </c>
      <c r="C197" s="25" t="s">
        <v>7589</v>
      </c>
      <c r="D197" s="25" t="s">
        <v>6291</v>
      </c>
      <c r="E197" s="16" t="s">
        <v>6292</v>
      </c>
      <c r="F197" s="16" t="s">
        <v>6292</v>
      </c>
      <c r="G197" s="16" t="s">
        <v>6292</v>
      </c>
      <c r="H197" s="16" t="s">
        <v>6292</v>
      </c>
      <c r="I197" s="25" t="s">
        <v>7590</v>
      </c>
      <c r="J197" s="25"/>
      <c r="K197" s="25" t="s">
        <v>6281</v>
      </c>
      <c r="L197" s="26" t="s">
        <v>7591</v>
      </c>
      <c r="M197" s="26" t="s">
        <v>7592</v>
      </c>
      <c r="N197" s="27" t="s">
        <v>7593</v>
      </c>
      <c r="O197" s="26" t="s">
        <v>7594</v>
      </c>
      <c r="P197" s="20" t="b">
        <v>1</v>
      </c>
      <c r="Q197" s="20" t="s">
        <v>6282</v>
      </c>
      <c r="R197" s="28" t="s">
        <v>6283</v>
      </c>
      <c r="S197" s="25"/>
      <c r="T197" s="20" t="b">
        <v>1</v>
      </c>
      <c r="U197" s="25"/>
      <c r="V197" s="25">
        <v>230.82</v>
      </c>
      <c r="W197" s="28" t="s">
        <v>7595</v>
      </c>
      <c r="X197" s="28" t="s">
        <v>6285</v>
      </c>
      <c r="Y197" s="28" t="s">
        <v>6286</v>
      </c>
      <c r="Z197" s="28" t="s">
        <v>6287</v>
      </c>
      <c r="AA197" s="28" t="s">
        <v>6288</v>
      </c>
      <c r="AB197" s="28" t="s">
        <v>6297</v>
      </c>
    </row>
    <row r="198" spans="1:28" ht="185.4" x14ac:dyDescent="0.3">
      <c r="A198" s="25">
        <v>5680</v>
      </c>
      <c r="B198" s="25" t="s">
        <v>7596</v>
      </c>
      <c r="C198" s="25" t="s">
        <v>7597</v>
      </c>
      <c r="D198" s="25" t="s">
        <v>6291</v>
      </c>
      <c r="E198" s="16" t="s">
        <v>6292</v>
      </c>
      <c r="F198" s="16" t="s">
        <v>6292</v>
      </c>
      <c r="G198" s="16" t="s">
        <v>6292</v>
      </c>
      <c r="H198" s="16" t="s">
        <v>6292</v>
      </c>
      <c r="I198" s="25" t="s">
        <v>7598</v>
      </c>
      <c r="J198" s="25"/>
      <c r="K198" s="25" t="s">
        <v>6281</v>
      </c>
      <c r="L198" s="26" t="s">
        <v>7599</v>
      </c>
      <c r="M198" s="26" t="s">
        <v>7600</v>
      </c>
      <c r="N198" s="27" t="s">
        <v>7601</v>
      </c>
      <c r="O198" s="26" t="s">
        <v>6295</v>
      </c>
      <c r="P198" s="20" t="b">
        <v>1</v>
      </c>
      <c r="Q198" s="20" t="s">
        <v>6282</v>
      </c>
      <c r="R198" s="28" t="s">
        <v>6283</v>
      </c>
      <c r="S198" s="25"/>
      <c r="T198" s="20" t="b">
        <v>1</v>
      </c>
      <c r="U198" s="25"/>
      <c r="V198" s="25">
        <v>226.73</v>
      </c>
      <c r="W198" s="28" t="s">
        <v>7602</v>
      </c>
      <c r="X198" s="28" t="s">
        <v>6285</v>
      </c>
      <c r="Y198" s="28" t="s">
        <v>6286</v>
      </c>
      <c r="Z198" s="28" t="s">
        <v>6287</v>
      </c>
      <c r="AA198" s="28" t="s">
        <v>6288</v>
      </c>
      <c r="AB198" s="28" t="s">
        <v>6297</v>
      </c>
    </row>
    <row r="199" spans="1:28" ht="193.2" x14ac:dyDescent="0.3">
      <c r="A199" s="25">
        <v>5682</v>
      </c>
      <c r="B199" s="25" t="s">
        <v>7603</v>
      </c>
      <c r="C199" s="25" t="s">
        <v>7604</v>
      </c>
      <c r="D199" s="25" t="s">
        <v>6278</v>
      </c>
      <c r="E199" s="16" t="s">
        <v>6279</v>
      </c>
      <c r="F199" s="16" t="s">
        <v>6279</v>
      </c>
      <c r="G199" s="16" t="s">
        <v>6279</v>
      </c>
      <c r="H199" s="16" t="s">
        <v>6279</v>
      </c>
      <c r="I199" s="25" t="s">
        <v>7605</v>
      </c>
      <c r="J199" s="25"/>
      <c r="K199" s="25" t="s">
        <v>6281</v>
      </c>
      <c r="L199" s="26" t="s">
        <v>7606</v>
      </c>
      <c r="M199" s="26" t="s">
        <v>7607</v>
      </c>
      <c r="N199" s="27" t="s">
        <v>7608</v>
      </c>
      <c r="O199" s="26" t="s">
        <v>6295</v>
      </c>
      <c r="P199" s="20" t="b">
        <v>1</v>
      </c>
      <c r="Q199" s="20" t="s">
        <v>6282</v>
      </c>
      <c r="R199" s="28" t="s">
        <v>6283</v>
      </c>
      <c r="S199" s="25"/>
      <c r="T199" s="20" t="b">
        <v>1</v>
      </c>
      <c r="U199" s="25"/>
      <c r="V199" s="25">
        <v>143.93</v>
      </c>
      <c r="W199" s="28" t="s">
        <v>7609</v>
      </c>
      <c r="X199" s="28" t="s">
        <v>6285</v>
      </c>
      <c r="Y199" s="28" t="s">
        <v>6286</v>
      </c>
      <c r="Z199" s="28" t="s">
        <v>6287</v>
      </c>
      <c r="AA199" s="28" t="s">
        <v>6288</v>
      </c>
      <c r="AB199" s="28" t="s">
        <v>6297</v>
      </c>
    </row>
    <row r="200" spans="1:28" ht="185.4" x14ac:dyDescent="0.3">
      <c r="A200" s="25">
        <v>5689</v>
      </c>
      <c r="B200" s="25" t="s">
        <v>7610</v>
      </c>
      <c r="C200" s="25" t="s">
        <v>7611</v>
      </c>
      <c r="D200" s="25" t="s">
        <v>6278</v>
      </c>
      <c r="E200" s="16" t="s">
        <v>6279</v>
      </c>
      <c r="F200" s="16" t="s">
        <v>6279</v>
      </c>
      <c r="G200" s="16" t="s">
        <v>6279</v>
      </c>
      <c r="H200" s="16" t="s">
        <v>6279</v>
      </c>
      <c r="I200" s="25" t="s">
        <v>7612</v>
      </c>
      <c r="J200" s="25"/>
      <c r="K200" s="25" t="s">
        <v>6281</v>
      </c>
      <c r="L200" s="26" t="s">
        <v>7613</v>
      </c>
      <c r="M200" s="26" t="s">
        <v>7614</v>
      </c>
      <c r="N200" s="27" t="s">
        <v>7615</v>
      </c>
      <c r="O200" s="26" t="s">
        <v>127</v>
      </c>
      <c r="P200" s="20" t="b">
        <v>1</v>
      </c>
      <c r="Q200" s="20" t="s">
        <v>6282</v>
      </c>
      <c r="R200" s="28" t="s">
        <v>6283</v>
      </c>
      <c r="S200" s="25"/>
      <c r="T200" s="20" t="b">
        <v>1</v>
      </c>
      <c r="U200" s="25"/>
      <c r="V200" s="25">
        <v>40.270000000000003</v>
      </c>
      <c r="W200" s="28" t="s">
        <v>7616</v>
      </c>
      <c r="X200" s="28" t="s">
        <v>6285</v>
      </c>
      <c r="Y200" s="28" t="s">
        <v>6286</v>
      </c>
      <c r="Z200" s="28" t="s">
        <v>6287</v>
      </c>
      <c r="AA200" s="28" t="s">
        <v>6288</v>
      </c>
      <c r="AB200" s="28" t="s">
        <v>6297</v>
      </c>
    </row>
    <row r="201" spans="1:28" ht="185.4" x14ac:dyDescent="0.3">
      <c r="A201" s="25">
        <v>5732</v>
      </c>
      <c r="B201" s="25" t="s">
        <v>7617</v>
      </c>
      <c r="C201" s="25" t="s">
        <v>7618</v>
      </c>
      <c r="D201" s="25" t="s">
        <v>6291</v>
      </c>
      <c r="E201" s="16" t="s">
        <v>6292</v>
      </c>
      <c r="F201" s="16" t="s">
        <v>6292</v>
      </c>
      <c r="G201" s="16" t="s">
        <v>6292</v>
      </c>
      <c r="H201" s="16" t="s">
        <v>6292</v>
      </c>
      <c r="I201" s="25" t="s">
        <v>7619</v>
      </c>
      <c r="J201" s="25"/>
      <c r="K201" s="25" t="s">
        <v>6281</v>
      </c>
      <c r="L201" s="26" t="s">
        <v>7620</v>
      </c>
      <c r="M201" s="26" t="s">
        <v>7621</v>
      </c>
      <c r="N201" s="27" t="s">
        <v>7622</v>
      </c>
      <c r="O201" s="26" t="s">
        <v>7623</v>
      </c>
      <c r="P201" s="20" t="b">
        <v>1</v>
      </c>
      <c r="Q201" s="20" t="s">
        <v>6282</v>
      </c>
      <c r="R201" s="28" t="s">
        <v>6283</v>
      </c>
      <c r="S201" s="25"/>
      <c r="T201" s="20" t="b">
        <v>1</v>
      </c>
      <c r="U201" s="25"/>
      <c r="V201" s="25">
        <v>12.24</v>
      </c>
      <c r="W201" s="28" t="s">
        <v>7624</v>
      </c>
      <c r="X201" s="28" t="s">
        <v>6285</v>
      </c>
      <c r="Y201" s="28" t="s">
        <v>6286</v>
      </c>
      <c r="Z201" s="28" t="s">
        <v>6287</v>
      </c>
      <c r="AA201" s="28" t="s">
        <v>6288</v>
      </c>
      <c r="AB201" s="28" t="s">
        <v>6297</v>
      </c>
    </row>
    <row r="202" spans="1:28" ht="185.4" x14ac:dyDescent="0.3">
      <c r="A202" s="25">
        <v>5733</v>
      </c>
      <c r="B202" s="25" t="s">
        <v>7625</v>
      </c>
      <c r="C202" s="25" t="s">
        <v>7626</v>
      </c>
      <c r="D202" s="25" t="s">
        <v>6291</v>
      </c>
      <c r="E202" s="16" t="s">
        <v>6292</v>
      </c>
      <c r="F202" s="16" t="s">
        <v>6292</v>
      </c>
      <c r="G202" s="16" t="s">
        <v>6292</v>
      </c>
      <c r="H202" s="16" t="s">
        <v>6292</v>
      </c>
      <c r="I202" s="25" t="s">
        <v>7627</v>
      </c>
      <c r="J202" s="25"/>
      <c r="K202" s="25" t="s">
        <v>6281</v>
      </c>
      <c r="L202" s="26" t="s">
        <v>7628</v>
      </c>
      <c r="M202" s="26" t="s">
        <v>7629</v>
      </c>
      <c r="N202" s="27" t="s">
        <v>7630</v>
      </c>
      <c r="O202" s="26" t="s">
        <v>7631</v>
      </c>
      <c r="P202" s="20" t="b">
        <v>1</v>
      </c>
      <c r="Q202" s="20" t="s">
        <v>6282</v>
      </c>
      <c r="R202" s="28" t="s">
        <v>6283</v>
      </c>
      <c r="S202" s="25"/>
      <c r="T202" s="20" t="b">
        <v>1</v>
      </c>
      <c r="U202" s="25"/>
      <c r="V202" s="25">
        <v>12.24</v>
      </c>
      <c r="W202" s="28" t="s">
        <v>7632</v>
      </c>
      <c r="X202" s="28" t="s">
        <v>6285</v>
      </c>
      <c r="Y202" s="28" t="s">
        <v>6286</v>
      </c>
      <c r="Z202" s="28" t="s">
        <v>6287</v>
      </c>
      <c r="AA202" s="28" t="s">
        <v>6288</v>
      </c>
      <c r="AB202" s="28" t="s">
        <v>6297</v>
      </c>
    </row>
    <row r="203" spans="1:28" ht="185.4" x14ac:dyDescent="0.3">
      <c r="A203" s="25">
        <v>5734</v>
      </c>
      <c r="B203" s="25" t="s">
        <v>7633</v>
      </c>
      <c r="C203" s="25" t="s">
        <v>7634</v>
      </c>
      <c r="D203" s="25" t="s">
        <v>6291</v>
      </c>
      <c r="E203" s="16" t="s">
        <v>6292</v>
      </c>
      <c r="F203" s="16" t="s">
        <v>6292</v>
      </c>
      <c r="G203" s="16" t="s">
        <v>6292</v>
      </c>
      <c r="H203" s="16" t="s">
        <v>6292</v>
      </c>
      <c r="I203" s="25" t="s">
        <v>7635</v>
      </c>
      <c r="J203" s="25"/>
      <c r="K203" s="25" t="s">
        <v>6281</v>
      </c>
      <c r="L203" s="26" t="s">
        <v>7620</v>
      </c>
      <c r="M203" s="26" t="s">
        <v>7621</v>
      </c>
      <c r="N203" s="27" t="s">
        <v>7622</v>
      </c>
      <c r="O203" s="26" t="s">
        <v>7623</v>
      </c>
      <c r="P203" s="20" t="b">
        <v>1</v>
      </c>
      <c r="Q203" s="20" t="s">
        <v>6282</v>
      </c>
      <c r="R203" s="28" t="s">
        <v>6283</v>
      </c>
      <c r="S203" s="25"/>
      <c r="T203" s="20" t="b">
        <v>1</v>
      </c>
      <c r="U203" s="25"/>
      <c r="V203" s="25">
        <v>12.24</v>
      </c>
      <c r="W203" s="28" t="s">
        <v>7636</v>
      </c>
      <c r="X203" s="28" t="s">
        <v>6285</v>
      </c>
      <c r="Y203" s="28" t="s">
        <v>6286</v>
      </c>
      <c r="Z203" s="28" t="s">
        <v>6287</v>
      </c>
      <c r="AA203" s="28" t="s">
        <v>6288</v>
      </c>
      <c r="AB203" s="28" t="s">
        <v>6297</v>
      </c>
    </row>
    <row r="204" spans="1:28" ht="185.4" x14ac:dyDescent="0.3">
      <c r="A204" s="25">
        <v>5735</v>
      </c>
      <c r="B204" s="25" t="s">
        <v>7637</v>
      </c>
      <c r="C204" s="25" t="s">
        <v>7638</v>
      </c>
      <c r="D204" s="25" t="s">
        <v>6291</v>
      </c>
      <c r="E204" s="16" t="s">
        <v>6292</v>
      </c>
      <c r="F204" s="16" t="s">
        <v>6292</v>
      </c>
      <c r="G204" s="16" t="s">
        <v>6292</v>
      </c>
      <c r="H204" s="16" t="s">
        <v>6292</v>
      </c>
      <c r="I204" s="25" t="s">
        <v>7639</v>
      </c>
      <c r="J204" s="25"/>
      <c r="K204" s="25" t="s">
        <v>6281</v>
      </c>
      <c r="L204" s="26" t="s">
        <v>7628</v>
      </c>
      <c r="M204" s="26" t="s">
        <v>7621</v>
      </c>
      <c r="N204" s="27" t="s">
        <v>7630</v>
      </c>
      <c r="O204" s="26" t="s">
        <v>7623</v>
      </c>
      <c r="P204" s="20" t="b">
        <v>1</v>
      </c>
      <c r="Q204" s="20" t="s">
        <v>6282</v>
      </c>
      <c r="R204" s="28" t="s">
        <v>6283</v>
      </c>
      <c r="S204" s="25"/>
      <c r="T204" s="20" t="b">
        <v>1</v>
      </c>
      <c r="U204" s="25"/>
      <c r="V204" s="25">
        <v>12.24</v>
      </c>
      <c r="W204" s="28" t="s">
        <v>7640</v>
      </c>
      <c r="X204" s="28" t="s">
        <v>6285</v>
      </c>
      <c r="Y204" s="28" t="s">
        <v>6286</v>
      </c>
      <c r="Z204" s="28" t="s">
        <v>6287</v>
      </c>
      <c r="AA204" s="28" t="s">
        <v>6288</v>
      </c>
      <c r="AB204" s="28" t="s">
        <v>6297</v>
      </c>
    </row>
    <row r="205" spans="1:28" ht="185.4" x14ac:dyDescent="0.3">
      <c r="A205" s="25">
        <v>5736</v>
      </c>
      <c r="B205" s="25" t="s">
        <v>7641</v>
      </c>
      <c r="C205" s="25" t="s">
        <v>7642</v>
      </c>
      <c r="D205" s="25" t="s">
        <v>6291</v>
      </c>
      <c r="E205" s="16" t="s">
        <v>6292</v>
      </c>
      <c r="F205" s="16" t="s">
        <v>6292</v>
      </c>
      <c r="G205" s="16" t="s">
        <v>6292</v>
      </c>
      <c r="H205" s="16" t="s">
        <v>6292</v>
      </c>
      <c r="I205" s="25" t="s">
        <v>7643</v>
      </c>
      <c r="J205" s="25"/>
      <c r="K205" s="25" t="s">
        <v>6281</v>
      </c>
      <c r="L205" s="26" t="s">
        <v>7644</v>
      </c>
      <c r="M205" s="26" t="s">
        <v>7629</v>
      </c>
      <c r="N205" s="27" t="s">
        <v>7630</v>
      </c>
      <c r="O205" s="26" t="s">
        <v>6295</v>
      </c>
      <c r="P205" s="20" t="b">
        <v>1</v>
      </c>
      <c r="Q205" s="20" t="s">
        <v>6282</v>
      </c>
      <c r="R205" s="28" t="s">
        <v>6283</v>
      </c>
      <c r="S205" s="25"/>
      <c r="T205" s="20" t="b">
        <v>1</v>
      </c>
      <c r="U205" s="25"/>
      <c r="V205" s="25">
        <v>12.24</v>
      </c>
      <c r="W205" s="28" t="s">
        <v>7645</v>
      </c>
      <c r="X205" s="28" t="s">
        <v>6285</v>
      </c>
      <c r="Y205" s="28" t="s">
        <v>6286</v>
      </c>
      <c r="Z205" s="28" t="s">
        <v>6287</v>
      </c>
      <c r="AA205" s="28" t="s">
        <v>6288</v>
      </c>
      <c r="AB205" s="28" t="s">
        <v>6297</v>
      </c>
    </row>
    <row r="206" spans="1:28" ht="185.4" x14ac:dyDescent="0.3">
      <c r="A206" s="25">
        <v>5751</v>
      </c>
      <c r="B206" s="25" t="s">
        <v>7646</v>
      </c>
      <c r="C206" s="25" t="s">
        <v>7647</v>
      </c>
      <c r="D206" s="25" t="s">
        <v>6278</v>
      </c>
      <c r="E206" s="16" t="s">
        <v>6279</v>
      </c>
      <c r="F206" s="16" t="s">
        <v>6279</v>
      </c>
      <c r="G206" s="16" t="s">
        <v>6279</v>
      </c>
      <c r="H206" s="16" t="s">
        <v>6279</v>
      </c>
      <c r="I206" s="25" t="s">
        <v>7648</v>
      </c>
      <c r="J206" s="25"/>
      <c r="K206" s="25" t="s">
        <v>6281</v>
      </c>
      <c r="L206" s="26" t="s">
        <v>7649</v>
      </c>
      <c r="M206" s="26" t="s">
        <v>7650</v>
      </c>
      <c r="N206" s="27" t="s">
        <v>7651</v>
      </c>
      <c r="O206" s="26" t="s">
        <v>7652</v>
      </c>
      <c r="P206" s="20" t="b">
        <v>1</v>
      </c>
      <c r="Q206" s="20" t="s">
        <v>6282</v>
      </c>
      <c r="R206" s="28" t="s">
        <v>6283</v>
      </c>
      <c r="S206" s="25"/>
      <c r="T206" s="20" t="b">
        <v>1</v>
      </c>
      <c r="U206" s="25"/>
      <c r="V206" s="25">
        <v>150.78</v>
      </c>
      <c r="W206" s="28" t="s">
        <v>7653</v>
      </c>
      <c r="X206" s="28" t="s">
        <v>6285</v>
      </c>
      <c r="Y206" s="28" t="s">
        <v>6286</v>
      </c>
      <c r="Z206" s="28" t="s">
        <v>6287</v>
      </c>
      <c r="AA206" s="28" t="s">
        <v>6288</v>
      </c>
      <c r="AB206" s="28" t="s">
        <v>6297</v>
      </c>
    </row>
    <row r="207" spans="1:28" ht="185.4" x14ac:dyDescent="0.3">
      <c r="A207" s="25">
        <v>5781</v>
      </c>
      <c r="B207" s="25" t="s">
        <v>7654</v>
      </c>
      <c r="C207" s="25" t="s">
        <v>7655</v>
      </c>
      <c r="D207" s="25" t="s">
        <v>6278</v>
      </c>
      <c r="E207" s="16" t="s">
        <v>6279</v>
      </c>
      <c r="F207" s="16" t="s">
        <v>6279</v>
      </c>
      <c r="G207" s="16" t="s">
        <v>6279</v>
      </c>
      <c r="H207" s="16" t="s">
        <v>6279</v>
      </c>
      <c r="I207" s="25" t="s">
        <v>7656</v>
      </c>
      <c r="J207" s="25"/>
      <c r="K207" s="25" t="s">
        <v>6281</v>
      </c>
      <c r="L207" s="26" t="s">
        <v>7657</v>
      </c>
      <c r="M207" s="26" t="s">
        <v>7658</v>
      </c>
      <c r="N207" s="27" t="s">
        <v>7659</v>
      </c>
      <c r="O207" s="26" t="s">
        <v>6295</v>
      </c>
      <c r="P207" s="20" t="b">
        <v>1</v>
      </c>
      <c r="Q207" s="20" t="s">
        <v>6282</v>
      </c>
      <c r="R207" s="28" t="s">
        <v>6283</v>
      </c>
      <c r="S207" s="25"/>
      <c r="T207" s="20" t="b">
        <v>1</v>
      </c>
      <c r="U207" s="25"/>
      <c r="V207" s="25">
        <v>359.97</v>
      </c>
      <c r="W207" s="28" t="s">
        <v>7660</v>
      </c>
      <c r="X207" s="28" t="s">
        <v>6285</v>
      </c>
      <c r="Y207" s="28" t="s">
        <v>6286</v>
      </c>
      <c r="Z207" s="28" t="s">
        <v>6287</v>
      </c>
      <c r="AA207" s="28" t="s">
        <v>6288</v>
      </c>
      <c r="AB207" s="28" t="s">
        <v>6297</v>
      </c>
    </row>
    <row r="208" spans="1:28" ht="185.4" x14ac:dyDescent="0.3">
      <c r="A208" s="25">
        <v>5782</v>
      </c>
      <c r="B208" s="25" t="s">
        <v>7661</v>
      </c>
      <c r="C208" s="25" t="s">
        <v>7662</v>
      </c>
      <c r="D208" s="25" t="s">
        <v>6278</v>
      </c>
      <c r="E208" s="16" t="s">
        <v>6279</v>
      </c>
      <c r="F208" s="16" t="s">
        <v>6279</v>
      </c>
      <c r="G208" s="16" t="s">
        <v>6279</v>
      </c>
      <c r="H208" s="16" t="s">
        <v>6279</v>
      </c>
      <c r="I208" s="25" t="s">
        <v>7663</v>
      </c>
      <c r="J208" s="25"/>
      <c r="K208" s="25" t="s">
        <v>6281</v>
      </c>
      <c r="L208" s="26" t="s">
        <v>7664</v>
      </c>
      <c r="M208" s="26" t="s">
        <v>7665</v>
      </c>
      <c r="N208" s="27" t="s">
        <v>7666</v>
      </c>
      <c r="O208" s="26" t="s">
        <v>6295</v>
      </c>
      <c r="P208" s="20" t="b">
        <v>1</v>
      </c>
      <c r="Q208" s="20" t="s">
        <v>6282</v>
      </c>
      <c r="R208" s="28" t="s">
        <v>6283</v>
      </c>
      <c r="S208" s="25"/>
      <c r="T208" s="20" t="b">
        <v>1</v>
      </c>
      <c r="U208" s="25"/>
      <c r="V208" s="25">
        <v>2757.28</v>
      </c>
      <c r="W208" s="28" t="s">
        <v>7667</v>
      </c>
      <c r="X208" s="28" t="s">
        <v>6285</v>
      </c>
      <c r="Y208" s="28" t="s">
        <v>6286</v>
      </c>
      <c r="Z208" s="28" t="s">
        <v>6287</v>
      </c>
      <c r="AA208" s="28" t="s">
        <v>6288</v>
      </c>
      <c r="AB208" s="28" t="s">
        <v>6297</v>
      </c>
    </row>
    <row r="209" spans="1:28" ht="198.6" x14ac:dyDescent="0.3">
      <c r="A209" s="25">
        <v>5841</v>
      </c>
      <c r="B209" s="25" t="s">
        <v>7668</v>
      </c>
      <c r="C209" s="25" t="s">
        <v>6299</v>
      </c>
      <c r="D209" s="25" t="s">
        <v>6291</v>
      </c>
      <c r="E209" s="16" t="s">
        <v>6292</v>
      </c>
      <c r="F209" s="16" t="s">
        <v>6292</v>
      </c>
      <c r="G209" s="16" t="s">
        <v>6292</v>
      </c>
      <c r="H209" s="16" t="s">
        <v>6292</v>
      </c>
      <c r="I209" s="25" t="s">
        <v>7669</v>
      </c>
      <c r="J209" s="25"/>
      <c r="K209" s="25" t="s">
        <v>6281</v>
      </c>
      <c r="L209" s="26" t="s">
        <v>7670</v>
      </c>
      <c r="M209" s="26" t="s">
        <v>6295</v>
      </c>
      <c r="N209" s="27" t="s">
        <v>7671</v>
      </c>
      <c r="O209" s="26" t="s">
        <v>6295</v>
      </c>
      <c r="P209" s="20" t="b">
        <v>1</v>
      </c>
      <c r="Q209" s="20" t="s">
        <v>6282</v>
      </c>
      <c r="R209" s="28" t="s">
        <v>6283</v>
      </c>
      <c r="S209" s="25"/>
      <c r="T209" s="20" t="b">
        <v>1</v>
      </c>
      <c r="U209" s="25"/>
      <c r="V209" s="25">
        <v>266.66660000000002</v>
      </c>
      <c r="W209" s="28" t="s">
        <v>7672</v>
      </c>
      <c r="X209" s="28" t="s">
        <v>6285</v>
      </c>
      <c r="Y209" s="28" t="s">
        <v>6286</v>
      </c>
      <c r="Z209" s="28" t="s">
        <v>6287</v>
      </c>
      <c r="AA209" s="28" t="s">
        <v>6288</v>
      </c>
      <c r="AB209" s="28" t="s">
        <v>6297</v>
      </c>
    </row>
    <row r="210" spans="1:28" ht="185.4" x14ac:dyDescent="0.3">
      <c r="A210" s="25">
        <v>5851</v>
      </c>
      <c r="B210" s="25" t="s">
        <v>7673</v>
      </c>
      <c r="C210" s="25" t="s">
        <v>7674</v>
      </c>
      <c r="D210" s="25" t="s">
        <v>6291</v>
      </c>
      <c r="E210" s="16" t="s">
        <v>6786</v>
      </c>
      <c r="F210" s="16" t="s">
        <v>6786</v>
      </c>
      <c r="G210" s="16" t="s">
        <v>6786</v>
      </c>
      <c r="H210" s="16" t="s">
        <v>6786</v>
      </c>
      <c r="I210" s="25" t="s">
        <v>7675</v>
      </c>
      <c r="J210" s="25"/>
      <c r="K210" s="25" t="s">
        <v>6281</v>
      </c>
      <c r="L210" s="26" t="s">
        <v>7676</v>
      </c>
      <c r="M210" s="26" t="s">
        <v>6915</v>
      </c>
      <c r="N210" s="27" t="s">
        <v>7677</v>
      </c>
      <c r="O210" s="26" t="s">
        <v>6915</v>
      </c>
      <c r="P210" s="20" t="b">
        <v>1</v>
      </c>
      <c r="Q210" s="20" t="s">
        <v>6282</v>
      </c>
      <c r="R210" s="28" t="s">
        <v>6283</v>
      </c>
      <c r="S210" s="25"/>
      <c r="T210" s="20" t="b">
        <v>1</v>
      </c>
      <c r="U210" s="25"/>
      <c r="V210" s="25">
        <v>10.130000000000001</v>
      </c>
      <c r="W210" s="28" t="s">
        <v>7678</v>
      </c>
      <c r="X210" s="28" t="s">
        <v>6285</v>
      </c>
      <c r="Y210" s="28" t="s">
        <v>6286</v>
      </c>
      <c r="Z210" s="28" t="s">
        <v>6287</v>
      </c>
      <c r="AA210" s="28" t="s">
        <v>6288</v>
      </c>
      <c r="AB210" s="28" t="s">
        <v>6297</v>
      </c>
    </row>
    <row r="211" spans="1:28" ht="225" x14ac:dyDescent="0.3">
      <c r="A211" s="25">
        <v>5855</v>
      </c>
      <c r="B211" s="25" t="s">
        <v>7679</v>
      </c>
      <c r="C211" s="25" t="s">
        <v>7680</v>
      </c>
      <c r="D211" s="25" t="s">
        <v>6370</v>
      </c>
      <c r="E211" s="16" t="s">
        <v>7498</v>
      </c>
      <c r="F211" s="16" t="s">
        <v>7498</v>
      </c>
      <c r="G211" s="16" t="s">
        <v>7498</v>
      </c>
      <c r="H211" s="16" t="s">
        <v>7498</v>
      </c>
      <c r="I211" s="25" t="s">
        <v>7681</v>
      </c>
      <c r="J211" s="25"/>
      <c r="K211" s="25" t="s">
        <v>6281</v>
      </c>
      <c r="L211" s="26" t="s">
        <v>7682</v>
      </c>
      <c r="M211" s="26" t="s">
        <v>7683</v>
      </c>
      <c r="N211" s="27" t="s">
        <v>7684</v>
      </c>
      <c r="O211" s="26" t="s">
        <v>7685</v>
      </c>
      <c r="P211" s="20" t="b">
        <v>1</v>
      </c>
      <c r="Q211" s="20" t="s">
        <v>6282</v>
      </c>
      <c r="R211" s="28" t="s">
        <v>6283</v>
      </c>
      <c r="S211" s="25"/>
      <c r="T211" s="20" t="b">
        <v>1</v>
      </c>
      <c r="U211" s="25"/>
      <c r="V211" s="25">
        <v>0.11</v>
      </c>
      <c r="W211" s="28" t="s">
        <v>7686</v>
      </c>
      <c r="X211" s="28" t="s">
        <v>6285</v>
      </c>
      <c r="Y211" s="28" t="s">
        <v>6286</v>
      </c>
      <c r="Z211" s="28" t="s">
        <v>6287</v>
      </c>
      <c r="AA211" s="28" t="s">
        <v>6288</v>
      </c>
      <c r="AB211" s="28" t="s">
        <v>6297</v>
      </c>
    </row>
    <row r="212" spans="1:28" ht="193.2" x14ac:dyDescent="0.3">
      <c r="A212" s="25">
        <v>5875</v>
      </c>
      <c r="B212" s="25" t="s">
        <v>7687</v>
      </c>
      <c r="C212" s="25" t="s">
        <v>7688</v>
      </c>
      <c r="D212" s="25" t="s">
        <v>6291</v>
      </c>
      <c r="E212" s="16" t="s">
        <v>6292</v>
      </c>
      <c r="F212" s="16" t="s">
        <v>6292</v>
      </c>
      <c r="G212" s="16" t="s">
        <v>6292</v>
      </c>
      <c r="H212" s="16" t="s">
        <v>6292</v>
      </c>
      <c r="I212" s="25" t="s">
        <v>7689</v>
      </c>
      <c r="J212" s="25"/>
      <c r="K212" s="25" t="s">
        <v>6281</v>
      </c>
      <c r="L212" s="26" t="s">
        <v>7690</v>
      </c>
      <c r="M212" s="26" t="s">
        <v>7691</v>
      </c>
      <c r="N212" s="27" t="s">
        <v>7692</v>
      </c>
      <c r="O212" s="26" t="s">
        <v>6295</v>
      </c>
      <c r="P212" s="20" t="b">
        <v>1</v>
      </c>
      <c r="Q212" s="20" t="s">
        <v>6282</v>
      </c>
      <c r="R212" s="28" t="s">
        <v>6283</v>
      </c>
      <c r="S212" s="25"/>
      <c r="T212" s="20" t="b">
        <v>1</v>
      </c>
      <c r="U212" s="25"/>
      <c r="V212" s="25">
        <v>296.55</v>
      </c>
      <c r="W212" s="28" t="s">
        <v>7693</v>
      </c>
      <c r="X212" s="28" t="s">
        <v>6285</v>
      </c>
      <c r="Y212" s="28" t="s">
        <v>6286</v>
      </c>
      <c r="Z212" s="28" t="s">
        <v>6287</v>
      </c>
      <c r="AA212" s="28" t="s">
        <v>6288</v>
      </c>
      <c r="AB212" s="28" t="s">
        <v>6297</v>
      </c>
    </row>
    <row r="213" spans="1:28" ht="193.2" x14ac:dyDescent="0.3">
      <c r="A213" s="25">
        <v>5898</v>
      </c>
      <c r="B213" s="25" t="s">
        <v>7694</v>
      </c>
      <c r="C213" s="25" t="s">
        <v>7695</v>
      </c>
      <c r="D213" s="25" t="s">
        <v>6278</v>
      </c>
      <c r="E213" s="16" t="s">
        <v>6279</v>
      </c>
      <c r="F213" s="16" t="s">
        <v>6279</v>
      </c>
      <c r="G213" s="16" t="s">
        <v>6279</v>
      </c>
      <c r="H213" s="16" t="s">
        <v>6279</v>
      </c>
      <c r="I213" s="25" t="s">
        <v>7696</v>
      </c>
      <c r="J213" s="25"/>
      <c r="K213" s="25" t="s">
        <v>6281</v>
      </c>
      <c r="L213" s="26" t="s">
        <v>7697</v>
      </c>
      <c r="M213" s="26" t="s">
        <v>7698</v>
      </c>
      <c r="N213" s="27" t="s">
        <v>7699</v>
      </c>
      <c r="O213" s="26" t="s">
        <v>6295</v>
      </c>
      <c r="P213" s="20" t="b">
        <v>1</v>
      </c>
      <c r="Q213" s="20" t="s">
        <v>6282</v>
      </c>
      <c r="R213" s="28" t="s">
        <v>6283</v>
      </c>
      <c r="S213" s="25"/>
      <c r="T213" s="20" t="b">
        <v>1</v>
      </c>
      <c r="U213" s="25"/>
      <c r="V213" s="25">
        <v>82.5</v>
      </c>
      <c r="W213" s="28" t="s">
        <v>7700</v>
      </c>
      <c r="X213" s="28" t="s">
        <v>6285</v>
      </c>
      <c r="Y213" s="28" t="s">
        <v>6286</v>
      </c>
      <c r="Z213" s="28" t="s">
        <v>6287</v>
      </c>
      <c r="AA213" s="28" t="s">
        <v>6288</v>
      </c>
      <c r="AB213" s="28" t="s">
        <v>6297</v>
      </c>
    </row>
    <row r="214" spans="1:28" ht="185.4" x14ac:dyDescent="0.3">
      <c r="A214" s="25">
        <v>5899</v>
      </c>
      <c r="B214" s="25" t="s">
        <v>7701</v>
      </c>
      <c r="C214" s="25" t="s">
        <v>7702</v>
      </c>
      <c r="D214" s="25" t="s">
        <v>6278</v>
      </c>
      <c r="E214" s="16" t="s">
        <v>6279</v>
      </c>
      <c r="F214" s="16" t="s">
        <v>6279</v>
      </c>
      <c r="G214" s="16" t="s">
        <v>6279</v>
      </c>
      <c r="H214" s="16" t="s">
        <v>6279</v>
      </c>
      <c r="I214" s="25" t="s">
        <v>7703</v>
      </c>
      <c r="J214" s="25"/>
      <c r="K214" s="25" t="s">
        <v>6281</v>
      </c>
      <c r="L214" s="26" t="s">
        <v>7704</v>
      </c>
      <c r="M214" s="26" t="s">
        <v>7698</v>
      </c>
      <c r="N214" s="27" t="s">
        <v>7705</v>
      </c>
      <c r="O214" s="26" t="s">
        <v>6295</v>
      </c>
      <c r="P214" s="20" t="b">
        <v>1</v>
      </c>
      <c r="Q214" s="20" t="s">
        <v>6282</v>
      </c>
      <c r="R214" s="28" t="s">
        <v>6283</v>
      </c>
      <c r="S214" s="25"/>
      <c r="T214" s="20" t="b">
        <v>1</v>
      </c>
      <c r="U214" s="25"/>
      <c r="V214" s="25">
        <v>79.91</v>
      </c>
      <c r="W214" s="28" t="s">
        <v>7706</v>
      </c>
      <c r="X214" s="28" t="s">
        <v>6285</v>
      </c>
      <c r="Y214" s="28" t="s">
        <v>6286</v>
      </c>
      <c r="Z214" s="28" t="s">
        <v>6287</v>
      </c>
      <c r="AA214" s="28" t="s">
        <v>6288</v>
      </c>
      <c r="AB214" s="28" t="s">
        <v>6297</v>
      </c>
    </row>
    <row r="215" spans="1:28" ht="185.4" x14ac:dyDescent="0.3">
      <c r="A215" s="25">
        <v>5902</v>
      </c>
      <c r="B215" s="25" t="s">
        <v>7707</v>
      </c>
      <c r="C215" s="25" t="s">
        <v>7708</v>
      </c>
      <c r="D215" s="25" t="s">
        <v>6291</v>
      </c>
      <c r="E215" s="16" t="s">
        <v>6292</v>
      </c>
      <c r="F215" s="16" t="s">
        <v>6292</v>
      </c>
      <c r="G215" s="16" t="s">
        <v>6292</v>
      </c>
      <c r="H215" s="16" t="s">
        <v>6292</v>
      </c>
      <c r="I215" s="25" t="s">
        <v>7709</v>
      </c>
      <c r="J215" s="25"/>
      <c r="K215" s="25" t="s">
        <v>6281</v>
      </c>
      <c r="L215" s="26" t="s">
        <v>7710</v>
      </c>
      <c r="M215" s="26" t="s">
        <v>6295</v>
      </c>
      <c r="N215" s="27" t="s">
        <v>7711</v>
      </c>
      <c r="O215" s="26" t="s">
        <v>6295</v>
      </c>
      <c r="P215" s="20" t="b">
        <v>1</v>
      </c>
      <c r="Q215" s="20" t="s">
        <v>6282</v>
      </c>
      <c r="R215" s="28" t="s">
        <v>6283</v>
      </c>
      <c r="S215" s="25"/>
      <c r="T215" s="20" t="b">
        <v>1</v>
      </c>
      <c r="U215" s="25"/>
      <c r="V215" s="25">
        <v>58.36</v>
      </c>
      <c r="W215" s="28" t="s">
        <v>7712</v>
      </c>
      <c r="X215" s="28" t="s">
        <v>6285</v>
      </c>
      <c r="Y215" s="28" t="s">
        <v>6286</v>
      </c>
      <c r="Z215" s="28" t="s">
        <v>6287</v>
      </c>
      <c r="AA215" s="28" t="s">
        <v>6288</v>
      </c>
      <c r="AB215" s="28" t="s">
        <v>6297</v>
      </c>
    </row>
    <row r="216" spans="1:28" ht="185.4" x14ac:dyDescent="0.3">
      <c r="A216" s="25">
        <v>5903</v>
      </c>
      <c r="B216" s="25" t="s">
        <v>7713</v>
      </c>
      <c r="C216" s="25" t="s">
        <v>7714</v>
      </c>
      <c r="D216" s="25" t="s">
        <v>6291</v>
      </c>
      <c r="E216" s="16" t="s">
        <v>6292</v>
      </c>
      <c r="F216" s="16" t="s">
        <v>6292</v>
      </c>
      <c r="G216" s="16" t="s">
        <v>6292</v>
      </c>
      <c r="H216" s="16" t="s">
        <v>6292</v>
      </c>
      <c r="I216" s="25" t="s">
        <v>7715</v>
      </c>
      <c r="J216" s="25"/>
      <c r="K216" s="25" t="s">
        <v>6281</v>
      </c>
      <c r="L216" s="26" t="s">
        <v>7716</v>
      </c>
      <c r="M216" s="26" t="s">
        <v>6295</v>
      </c>
      <c r="N216" s="27" t="s">
        <v>7717</v>
      </c>
      <c r="O216" s="26" t="s">
        <v>6295</v>
      </c>
      <c r="P216" s="20" t="b">
        <v>1</v>
      </c>
      <c r="Q216" s="20" t="s">
        <v>6282</v>
      </c>
      <c r="R216" s="28" t="s">
        <v>6283</v>
      </c>
      <c r="S216" s="25"/>
      <c r="T216" s="20" t="b">
        <v>1</v>
      </c>
      <c r="U216" s="25"/>
      <c r="V216" s="25">
        <v>39.21</v>
      </c>
      <c r="W216" s="28" t="s">
        <v>7718</v>
      </c>
      <c r="X216" s="28" t="s">
        <v>6285</v>
      </c>
      <c r="Y216" s="28" t="s">
        <v>6286</v>
      </c>
      <c r="Z216" s="28" t="s">
        <v>6287</v>
      </c>
      <c r="AA216" s="28" t="s">
        <v>6288</v>
      </c>
      <c r="AB216" s="28" t="s">
        <v>6297</v>
      </c>
    </row>
    <row r="217" spans="1:28" ht="185.4" x14ac:dyDescent="0.3">
      <c r="A217" s="25">
        <v>5908</v>
      </c>
      <c r="B217" s="25" t="s">
        <v>7719</v>
      </c>
      <c r="C217" s="25" t="s">
        <v>7720</v>
      </c>
      <c r="D217" s="25" t="s">
        <v>6278</v>
      </c>
      <c r="E217" s="16" t="s">
        <v>6279</v>
      </c>
      <c r="F217" s="16" t="s">
        <v>6279</v>
      </c>
      <c r="G217" s="16" t="s">
        <v>6279</v>
      </c>
      <c r="H217" s="16" t="s">
        <v>6279</v>
      </c>
      <c r="I217" s="25" t="s">
        <v>7721</v>
      </c>
      <c r="J217" s="25"/>
      <c r="K217" s="25" t="s">
        <v>6281</v>
      </c>
      <c r="L217" s="26" t="s">
        <v>7722</v>
      </c>
      <c r="M217" s="26" t="s">
        <v>7723</v>
      </c>
      <c r="N217" s="27" t="s">
        <v>7724</v>
      </c>
      <c r="O217" s="26" t="s">
        <v>6295</v>
      </c>
      <c r="P217" s="20" t="b">
        <v>1</v>
      </c>
      <c r="Q217" s="20" t="s">
        <v>6282</v>
      </c>
      <c r="R217" s="28" t="s">
        <v>6283</v>
      </c>
      <c r="S217" s="25"/>
      <c r="T217" s="20" t="b">
        <v>1</v>
      </c>
      <c r="U217" s="25"/>
      <c r="V217" s="25">
        <v>52.5</v>
      </c>
      <c r="W217" s="28" t="s">
        <v>7725</v>
      </c>
      <c r="X217" s="28" t="s">
        <v>6285</v>
      </c>
      <c r="Y217" s="28" t="s">
        <v>6286</v>
      </c>
      <c r="Z217" s="28" t="s">
        <v>6287</v>
      </c>
      <c r="AA217" s="28" t="s">
        <v>6288</v>
      </c>
      <c r="AB217" s="28" t="s">
        <v>6297</v>
      </c>
    </row>
    <row r="218" spans="1:28" ht="185.4" x14ac:dyDescent="0.3">
      <c r="A218" s="25">
        <v>5909</v>
      </c>
      <c r="B218" s="25" t="s">
        <v>7726</v>
      </c>
      <c r="C218" s="25" t="s">
        <v>7727</v>
      </c>
      <c r="D218" s="25" t="s">
        <v>6291</v>
      </c>
      <c r="E218" s="16" t="s">
        <v>6292</v>
      </c>
      <c r="F218" s="16" t="s">
        <v>6292</v>
      </c>
      <c r="G218" s="16" t="s">
        <v>6292</v>
      </c>
      <c r="H218" s="16" t="s">
        <v>6292</v>
      </c>
      <c r="I218" s="25" t="s">
        <v>7728</v>
      </c>
      <c r="J218" s="25"/>
      <c r="K218" s="25" t="s">
        <v>6281</v>
      </c>
      <c r="L218" s="26" t="s">
        <v>7729</v>
      </c>
      <c r="M218" s="26" t="s">
        <v>7629</v>
      </c>
      <c r="N218" s="27" t="s">
        <v>7630</v>
      </c>
      <c r="O218" s="26" t="s">
        <v>7730</v>
      </c>
      <c r="P218" s="20" t="b">
        <v>1</v>
      </c>
      <c r="Q218" s="20" t="s">
        <v>6282</v>
      </c>
      <c r="R218" s="28" t="s">
        <v>6283</v>
      </c>
      <c r="S218" s="25"/>
      <c r="T218" s="20" t="b">
        <v>1</v>
      </c>
      <c r="U218" s="25"/>
      <c r="V218" s="25">
        <v>12.24</v>
      </c>
      <c r="W218" s="28" t="s">
        <v>7731</v>
      </c>
      <c r="X218" s="28" t="s">
        <v>6285</v>
      </c>
      <c r="Y218" s="28" t="s">
        <v>6286</v>
      </c>
      <c r="Z218" s="28" t="s">
        <v>6287</v>
      </c>
      <c r="AA218" s="28" t="s">
        <v>6288</v>
      </c>
      <c r="AB218" s="28" t="s">
        <v>6297</v>
      </c>
    </row>
    <row r="219" spans="1:28" ht="185.4" x14ac:dyDescent="0.3">
      <c r="A219" s="25">
        <v>5913</v>
      </c>
      <c r="B219" s="25" t="s">
        <v>7732</v>
      </c>
      <c r="C219" s="25" t="s">
        <v>7733</v>
      </c>
      <c r="D219" s="25" t="s">
        <v>6291</v>
      </c>
      <c r="E219" s="16" t="s">
        <v>6292</v>
      </c>
      <c r="F219" s="16" t="s">
        <v>6292</v>
      </c>
      <c r="G219" s="16" t="s">
        <v>6292</v>
      </c>
      <c r="H219" s="16" t="s">
        <v>6292</v>
      </c>
      <c r="I219" s="25" t="s">
        <v>7734</v>
      </c>
      <c r="J219" s="25"/>
      <c r="K219" s="25" t="s">
        <v>6281</v>
      </c>
      <c r="L219" s="26" t="s">
        <v>7735</v>
      </c>
      <c r="M219" s="26" t="s">
        <v>7736</v>
      </c>
      <c r="N219" s="27" t="s">
        <v>7737</v>
      </c>
      <c r="O219" s="26" t="s">
        <v>6295</v>
      </c>
      <c r="P219" s="20" t="b">
        <v>1</v>
      </c>
      <c r="Q219" s="20" t="s">
        <v>6282</v>
      </c>
      <c r="R219" s="28" t="s">
        <v>6283</v>
      </c>
      <c r="S219" s="25"/>
      <c r="T219" s="20" t="b">
        <v>1</v>
      </c>
      <c r="U219" s="25"/>
      <c r="V219" s="25">
        <v>3.16</v>
      </c>
      <c r="W219" s="28" t="s">
        <v>7738</v>
      </c>
      <c r="X219" s="28" t="s">
        <v>6285</v>
      </c>
      <c r="Y219" s="28" t="s">
        <v>6286</v>
      </c>
      <c r="Z219" s="28" t="s">
        <v>6287</v>
      </c>
      <c r="AA219" s="28" t="s">
        <v>6288</v>
      </c>
      <c r="AB219" s="28" t="s">
        <v>6297</v>
      </c>
    </row>
    <row r="220" spans="1:28" ht="185.4" x14ac:dyDescent="0.3">
      <c r="A220" s="25">
        <v>5932</v>
      </c>
      <c r="B220" s="25" t="s">
        <v>7739</v>
      </c>
      <c r="C220" s="25" t="s">
        <v>7740</v>
      </c>
      <c r="D220" s="25" t="s">
        <v>6278</v>
      </c>
      <c r="E220" s="16" t="s">
        <v>6279</v>
      </c>
      <c r="F220" s="16" t="s">
        <v>6279</v>
      </c>
      <c r="G220" s="16" t="s">
        <v>6279</v>
      </c>
      <c r="H220" s="16" t="s">
        <v>6279</v>
      </c>
      <c r="I220" s="25" t="s">
        <v>7741</v>
      </c>
      <c r="J220" s="25"/>
      <c r="K220" s="25" t="s">
        <v>6281</v>
      </c>
      <c r="L220" s="26" t="s">
        <v>7742</v>
      </c>
      <c r="M220" s="26" t="s">
        <v>7743</v>
      </c>
      <c r="N220" s="27" t="s">
        <v>7744</v>
      </c>
      <c r="O220" s="26" t="s">
        <v>7745</v>
      </c>
      <c r="P220" s="20" t="b">
        <v>1</v>
      </c>
      <c r="Q220" s="20" t="s">
        <v>6282</v>
      </c>
      <c r="R220" s="28" t="s">
        <v>6283</v>
      </c>
      <c r="S220" s="25"/>
      <c r="T220" s="20" t="b">
        <v>1</v>
      </c>
      <c r="U220" s="25"/>
      <c r="V220" s="25">
        <v>1481.0250000000001</v>
      </c>
      <c r="W220" s="28" t="s">
        <v>7746</v>
      </c>
      <c r="X220" s="28" t="s">
        <v>6285</v>
      </c>
      <c r="Y220" s="28" t="s">
        <v>6286</v>
      </c>
      <c r="Z220" s="28" t="s">
        <v>6287</v>
      </c>
      <c r="AA220" s="28" t="s">
        <v>6288</v>
      </c>
      <c r="AB220" s="28" t="s">
        <v>6297</v>
      </c>
    </row>
    <row r="221" spans="1:28" ht="185.4" x14ac:dyDescent="0.3">
      <c r="A221" s="25">
        <v>5936</v>
      </c>
      <c r="B221" s="25" t="s">
        <v>7747</v>
      </c>
      <c r="C221" s="25" t="s">
        <v>7748</v>
      </c>
      <c r="D221" s="25" t="s">
        <v>6278</v>
      </c>
      <c r="E221" s="16" t="s">
        <v>6279</v>
      </c>
      <c r="F221" s="16" t="s">
        <v>6279</v>
      </c>
      <c r="G221" s="16" t="s">
        <v>6279</v>
      </c>
      <c r="H221" s="16" t="s">
        <v>6279</v>
      </c>
      <c r="I221" s="25" t="s">
        <v>7749</v>
      </c>
      <c r="J221" s="25"/>
      <c r="K221" s="25" t="s">
        <v>6281</v>
      </c>
      <c r="L221" s="26" t="s">
        <v>7750</v>
      </c>
      <c r="M221" s="26" t="s">
        <v>7743</v>
      </c>
      <c r="N221" s="27" t="s">
        <v>7744</v>
      </c>
      <c r="O221" s="26" t="s">
        <v>7745</v>
      </c>
      <c r="P221" s="20" t="b">
        <v>1</v>
      </c>
      <c r="Q221" s="20" t="s">
        <v>6282</v>
      </c>
      <c r="R221" s="28" t="s">
        <v>6283</v>
      </c>
      <c r="S221" s="25"/>
      <c r="T221" s="20" t="b">
        <v>1</v>
      </c>
      <c r="U221" s="25"/>
      <c r="V221" s="25">
        <v>456.74</v>
      </c>
      <c r="W221" s="28" t="s">
        <v>7751</v>
      </c>
      <c r="X221" s="28" t="s">
        <v>6285</v>
      </c>
      <c r="Y221" s="28" t="s">
        <v>6286</v>
      </c>
      <c r="Z221" s="28" t="s">
        <v>6287</v>
      </c>
      <c r="AA221" s="28" t="s">
        <v>6288</v>
      </c>
      <c r="AB221" s="28" t="s">
        <v>6297</v>
      </c>
    </row>
    <row r="222" spans="1:28" ht="185.4" x14ac:dyDescent="0.3">
      <c r="A222" s="25">
        <v>5937</v>
      </c>
      <c r="B222" s="25" t="s">
        <v>7752</v>
      </c>
      <c r="C222" s="25" t="s">
        <v>7753</v>
      </c>
      <c r="D222" s="25" t="s">
        <v>6278</v>
      </c>
      <c r="E222" s="16" t="s">
        <v>6279</v>
      </c>
      <c r="F222" s="16" t="s">
        <v>6279</v>
      </c>
      <c r="G222" s="16" t="s">
        <v>6279</v>
      </c>
      <c r="H222" s="16" t="s">
        <v>6279</v>
      </c>
      <c r="I222" s="25" t="s">
        <v>7754</v>
      </c>
      <c r="J222" s="25"/>
      <c r="K222" s="25" t="s">
        <v>6281</v>
      </c>
      <c r="L222" s="26" t="s">
        <v>7755</v>
      </c>
      <c r="M222" s="26" t="s">
        <v>7743</v>
      </c>
      <c r="N222" s="27" t="s">
        <v>7756</v>
      </c>
      <c r="O222" s="26" t="s">
        <v>7745</v>
      </c>
      <c r="P222" s="20" t="b">
        <v>1</v>
      </c>
      <c r="Q222" s="20" t="s">
        <v>6282</v>
      </c>
      <c r="R222" s="28" t="s">
        <v>6283</v>
      </c>
      <c r="S222" s="25"/>
      <c r="T222" s="20" t="b">
        <v>1</v>
      </c>
      <c r="U222" s="25"/>
      <c r="V222" s="25">
        <v>568.76</v>
      </c>
      <c r="W222" s="28" t="s">
        <v>7757</v>
      </c>
      <c r="X222" s="28" t="s">
        <v>6285</v>
      </c>
      <c r="Y222" s="28" t="s">
        <v>6286</v>
      </c>
      <c r="Z222" s="28" t="s">
        <v>6287</v>
      </c>
      <c r="AA222" s="28" t="s">
        <v>6288</v>
      </c>
      <c r="AB222" s="28" t="s">
        <v>6297</v>
      </c>
    </row>
    <row r="223" spans="1:28" ht="185.4" x14ac:dyDescent="0.3">
      <c r="A223" s="25">
        <v>5944</v>
      </c>
      <c r="B223" s="25" t="s">
        <v>7758</v>
      </c>
      <c r="C223" s="25" t="s">
        <v>7759</v>
      </c>
      <c r="D223" s="25" t="s">
        <v>6278</v>
      </c>
      <c r="E223" s="16" t="s">
        <v>6279</v>
      </c>
      <c r="F223" s="16" t="s">
        <v>6279</v>
      </c>
      <c r="G223" s="16" t="s">
        <v>6279</v>
      </c>
      <c r="H223" s="16" t="s">
        <v>6279</v>
      </c>
      <c r="I223" s="25" t="s">
        <v>7760</v>
      </c>
      <c r="J223" s="25"/>
      <c r="K223" s="25" t="s">
        <v>6281</v>
      </c>
      <c r="L223" s="26" t="s">
        <v>7761</v>
      </c>
      <c r="M223" s="26" t="s">
        <v>7762</v>
      </c>
      <c r="N223" s="27" t="s">
        <v>7763</v>
      </c>
      <c r="O223" s="26" t="s">
        <v>6295</v>
      </c>
      <c r="P223" s="20" t="b">
        <v>1</v>
      </c>
      <c r="Q223" s="20" t="s">
        <v>6282</v>
      </c>
      <c r="R223" s="28" t="s">
        <v>6283</v>
      </c>
      <c r="S223" s="25"/>
      <c r="T223" s="20" t="b">
        <v>1</v>
      </c>
      <c r="U223" s="25"/>
      <c r="V223" s="25">
        <v>2652.2869999999998</v>
      </c>
      <c r="W223" s="28" t="s">
        <v>7764</v>
      </c>
      <c r="X223" s="28" t="s">
        <v>6285</v>
      </c>
      <c r="Y223" s="28" t="s">
        <v>6286</v>
      </c>
      <c r="Z223" s="28" t="s">
        <v>6287</v>
      </c>
      <c r="AA223" s="28" t="s">
        <v>6288</v>
      </c>
      <c r="AB223" s="28" t="s">
        <v>6297</v>
      </c>
    </row>
    <row r="224" spans="1:28" ht="185.4" x14ac:dyDescent="0.3">
      <c r="A224" s="25">
        <v>5964</v>
      </c>
      <c r="B224" s="25" t="s">
        <v>7765</v>
      </c>
      <c r="C224" s="25" t="s">
        <v>7766</v>
      </c>
      <c r="D224" s="25" t="s">
        <v>6278</v>
      </c>
      <c r="E224" s="16" t="s">
        <v>6279</v>
      </c>
      <c r="F224" s="16" t="s">
        <v>6279</v>
      </c>
      <c r="G224" s="16" t="s">
        <v>6279</v>
      </c>
      <c r="H224" s="16" t="s">
        <v>6279</v>
      </c>
      <c r="I224" s="25" t="s">
        <v>7767</v>
      </c>
      <c r="J224" s="25"/>
      <c r="K224" s="25" t="s">
        <v>6281</v>
      </c>
      <c r="L224" s="26" t="s">
        <v>7722</v>
      </c>
      <c r="M224" s="26" t="s">
        <v>7768</v>
      </c>
      <c r="N224" s="27" t="s">
        <v>7769</v>
      </c>
      <c r="O224" s="26" t="s">
        <v>6354</v>
      </c>
      <c r="P224" s="20" t="b">
        <v>1</v>
      </c>
      <c r="Q224" s="20" t="s">
        <v>6282</v>
      </c>
      <c r="R224" s="28" t="s">
        <v>6283</v>
      </c>
      <c r="S224" s="25"/>
      <c r="T224" s="20" t="b">
        <v>1</v>
      </c>
      <c r="U224" s="25"/>
      <c r="V224" s="25">
        <v>30</v>
      </c>
      <c r="W224" s="28" t="s">
        <v>7770</v>
      </c>
      <c r="X224" s="28" t="s">
        <v>6285</v>
      </c>
      <c r="Y224" s="28" t="s">
        <v>6286</v>
      </c>
      <c r="Z224" s="28" t="s">
        <v>6287</v>
      </c>
      <c r="AA224" s="28" t="s">
        <v>6288</v>
      </c>
      <c r="AB224" s="28" t="s">
        <v>6297</v>
      </c>
    </row>
    <row r="225" spans="1:28" ht="185.4" x14ac:dyDescent="0.3">
      <c r="A225" s="25">
        <v>5966</v>
      </c>
      <c r="B225" s="25" t="s">
        <v>7771</v>
      </c>
      <c r="C225" s="25" t="s">
        <v>7772</v>
      </c>
      <c r="D225" s="25" t="s">
        <v>6278</v>
      </c>
      <c r="E225" s="16" t="s">
        <v>6279</v>
      </c>
      <c r="F225" s="16" t="s">
        <v>6279</v>
      </c>
      <c r="G225" s="16" t="s">
        <v>6279</v>
      </c>
      <c r="H225" s="16" t="s">
        <v>6279</v>
      </c>
      <c r="I225" s="25" t="s">
        <v>7773</v>
      </c>
      <c r="J225" s="25"/>
      <c r="K225" s="25" t="s">
        <v>6281</v>
      </c>
      <c r="L225" s="26" t="s">
        <v>7774</v>
      </c>
      <c r="M225" s="26" t="s">
        <v>6295</v>
      </c>
      <c r="N225" s="27" t="s">
        <v>7775</v>
      </c>
      <c r="O225" s="26" t="s">
        <v>6295</v>
      </c>
      <c r="P225" s="20" t="b">
        <v>1</v>
      </c>
      <c r="Q225" s="20" t="s">
        <v>6282</v>
      </c>
      <c r="R225" s="28" t="s">
        <v>6283</v>
      </c>
      <c r="S225" s="25"/>
      <c r="T225" s="20" t="b">
        <v>1</v>
      </c>
      <c r="U225" s="25"/>
      <c r="V225" s="25">
        <v>258.04849999999999</v>
      </c>
      <c r="W225" s="28" t="s">
        <v>7776</v>
      </c>
      <c r="X225" s="28" t="s">
        <v>6285</v>
      </c>
      <c r="Y225" s="28" t="s">
        <v>6286</v>
      </c>
      <c r="Z225" s="28" t="s">
        <v>6287</v>
      </c>
      <c r="AA225" s="28" t="s">
        <v>6288</v>
      </c>
      <c r="AB225" s="28" t="s">
        <v>6297</v>
      </c>
    </row>
    <row r="226" spans="1:28" ht="185.4" x14ac:dyDescent="0.3">
      <c r="A226" s="25">
        <v>5979</v>
      </c>
      <c r="B226" s="25" t="s">
        <v>7777</v>
      </c>
      <c r="C226" s="25" t="s">
        <v>7778</v>
      </c>
      <c r="D226" s="25" t="s">
        <v>6278</v>
      </c>
      <c r="E226" s="16" t="s">
        <v>6279</v>
      </c>
      <c r="F226" s="16" t="s">
        <v>6279</v>
      </c>
      <c r="G226" s="16" t="s">
        <v>6279</v>
      </c>
      <c r="H226" s="16" t="s">
        <v>6279</v>
      </c>
      <c r="I226" s="25" t="s">
        <v>7779</v>
      </c>
      <c r="J226" s="25"/>
      <c r="K226" s="25" t="s">
        <v>6281</v>
      </c>
      <c r="L226" s="26" t="s">
        <v>7780</v>
      </c>
      <c r="M226" s="26" t="s">
        <v>7781</v>
      </c>
      <c r="N226" s="27" t="s">
        <v>7782</v>
      </c>
      <c r="O226" s="26" t="s">
        <v>7783</v>
      </c>
      <c r="P226" s="20" t="b">
        <v>1</v>
      </c>
      <c r="Q226" s="20" t="s">
        <v>6282</v>
      </c>
      <c r="R226" s="28" t="s">
        <v>6283</v>
      </c>
      <c r="S226" s="25"/>
      <c r="T226" s="20" t="b">
        <v>1</v>
      </c>
      <c r="U226" s="25"/>
      <c r="V226" s="25">
        <v>456.74</v>
      </c>
      <c r="W226" s="28" t="s">
        <v>7784</v>
      </c>
      <c r="X226" s="28" t="s">
        <v>6285</v>
      </c>
      <c r="Y226" s="28" t="s">
        <v>6286</v>
      </c>
      <c r="Z226" s="28" t="s">
        <v>6287</v>
      </c>
      <c r="AA226" s="28" t="s">
        <v>6288</v>
      </c>
      <c r="AB226" s="28" t="s">
        <v>6297</v>
      </c>
    </row>
    <row r="227" spans="1:28" ht="185.4" x14ac:dyDescent="0.3">
      <c r="A227" s="25">
        <v>6007</v>
      </c>
      <c r="B227" s="25" t="s">
        <v>7785</v>
      </c>
      <c r="C227" s="25" t="s">
        <v>7786</v>
      </c>
      <c r="D227" s="25" t="s">
        <v>6278</v>
      </c>
      <c r="E227" s="16" t="s">
        <v>6279</v>
      </c>
      <c r="F227" s="16" t="s">
        <v>6279</v>
      </c>
      <c r="G227" s="16" t="s">
        <v>6279</v>
      </c>
      <c r="H227" s="16" t="s">
        <v>6279</v>
      </c>
      <c r="I227" s="25" t="s">
        <v>7787</v>
      </c>
      <c r="J227" s="25"/>
      <c r="K227" s="25" t="s">
        <v>6281</v>
      </c>
      <c r="L227" s="26" t="s">
        <v>7788</v>
      </c>
      <c r="M227" s="26" t="s">
        <v>7789</v>
      </c>
      <c r="N227" s="27" t="s">
        <v>7790</v>
      </c>
      <c r="O227" s="26" t="s">
        <v>7791</v>
      </c>
      <c r="P227" s="20" t="b">
        <v>1</v>
      </c>
      <c r="Q227" s="20" t="s">
        <v>6282</v>
      </c>
      <c r="R227" s="28" t="s">
        <v>6283</v>
      </c>
      <c r="S227" s="25"/>
      <c r="T227" s="20" t="b">
        <v>1</v>
      </c>
      <c r="U227" s="25"/>
      <c r="V227" s="25">
        <v>33.979999999999997</v>
      </c>
      <c r="W227" s="28" t="s">
        <v>7792</v>
      </c>
      <c r="X227" s="28" t="s">
        <v>6285</v>
      </c>
      <c r="Y227" s="28" t="s">
        <v>6286</v>
      </c>
      <c r="Z227" s="28" t="s">
        <v>6287</v>
      </c>
      <c r="AA227" s="28" t="s">
        <v>6288</v>
      </c>
      <c r="AB227" s="28" t="s">
        <v>6297</v>
      </c>
    </row>
    <row r="228" spans="1:28" ht="185.4" x14ac:dyDescent="0.3">
      <c r="A228" s="25">
        <v>6018</v>
      </c>
      <c r="B228" s="25" t="s">
        <v>7793</v>
      </c>
      <c r="C228" s="25" t="s">
        <v>7794</v>
      </c>
      <c r="D228" s="25" t="s">
        <v>6291</v>
      </c>
      <c r="E228" s="16" t="s">
        <v>6292</v>
      </c>
      <c r="F228" s="16" t="s">
        <v>6292</v>
      </c>
      <c r="G228" s="16" t="s">
        <v>6292</v>
      </c>
      <c r="H228" s="16" t="s">
        <v>6292</v>
      </c>
      <c r="I228" s="25" t="s">
        <v>7795</v>
      </c>
      <c r="J228" s="25"/>
      <c r="K228" s="25" t="s">
        <v>6281</v>
      </c>
      <c r="L228" s="26" t="s">
        <v>7796</v>
      </c>
      <c r="M228" s="26" t="s">
        <v>7629</v>
      </c>
      <c r="N228" s="27" t="s">
        <v>7630</v>
      </c>
      <c r="O228" s="26" t="s">
        <v>6295</v>
      </c>
      <c r="P228" s="20" t="b">
        <v>1</v>
      </c>
      <c r="Q228" s="20" t="s">
        <v>6282</v>
      </c>
      <c r="R228" s="28" t="s">
        <v>6283</v>
      </c>
      <c r="S228" s="25"/>
      <c r="T228" s="20" t="b">
        <v>1</v>
      </c>
      <c r="U228" s="25"/>
      <c r="V228" s="25">
        <v>12.24</v>
      </c>
      <c r="W228" s="28" t="s">
        <v>7797</v>
      </c>
      <c r="X228" s="28" t="s">
        <v>6285</v>
      </c>
      <c r="Y228" s="28" t="s">
        <v>6286</v>
      </c>
      <c r="Z228" s="28" t="s">
        <v>6287</v>
      </c>
      <c r="AA228" s="28" t="s">
        <v>6288</v>
      </c>
      <c r="AB228" s="28" t="s">
        <v>6297</v>
      </c>
    </row>
    <row r="229" spans="1:28" ht="185.4" x14ac:dyDescent="0.3">
      <c r="A229" s="25">
        <v>6026</v>
      </c>
      <c r="B229" s="25" t="s">
        <v>7798</v>
      </c>
      <c r="C229" s="25" t="s">
        <v>7799</v>
      </c>
      <c r="D229" s="25" t="s">
        <v>6291</v>
      </c>
      <c r="E229" s="16" t="s">
        <v>6292</v>
      </c>
      <c r="F229" s="16" t="s">
        <v>6292</v>
      </c>
      <c r="G229" s="16" t="s">
        <v>6292</v>
      </c>
      <c r="H229" s="16" t="s">
        <v>6292</v>
      </c>
      <c r="I229" s="25" t="s">
        <v>7800</v>
      </c>
      <c r="J229" s="25"/>
      <c r="K229" s="25" t="s">
        <v>6281</v>
      </c>
      <c r="L229" s="26" t="s">
        <v>7796</v>
      </c>
      <c r="M229" s="26" t="s">
        <v>7629</v>
      </c>
      <c r="N229" s="27" t="s">
        <v>7630</v>
      </c>
      <c r="O229" s="26" t="s">
        <v>6295</v>
      </c>
      <c r="P229" s="20" t="b">
        <v>1</v>
      </c>
      <c r="Q229" s="20" t="s">
        <v>6282</v>
      </c>
      <c r="R229" s="28" t="s">
        <v>6283</v>
      </c>
      <c r="S229" s="25"/>
      <c r="T229" s="20" t="b">
        <v>1</v>
      </c>
      <c r="U229" s="25"/>
      <c r="V229" s="25">
        <v>12.24</v>
      </c>
      <c r="W229" s="28" t="s">
        <v>7801</v>
      </c>
      <c r="X229" s="28" t="s">
        <v>6285</v>
      </c>
      <c r="Y229" s="28" t="s">
        <v>6286</v>
      </c>
      <c r="Z229" s="28" t="s">
        <v>6287</v>
      </c>
      <c r="AA229" s="28" t="s">
        <v>6288</v>
      </c>
      <c r="AB229" s="28" t="s">
        <v>6297</v>
      </c>
    </row>
    <row r="230" spans="1:28" ht="185.4" x14ac:dyDescent="0.3">
      <c r="A230" s="25">
        <v>6027</v>
      </c>
      <c r="B230" s="25" t="s">
        <v>7802</v>
      </c>
      <c r="C230" s="25" t="s">
        <v>7803</v>
      </c>
      <c r="D230" s="25" t="s">
        <v>6291</v>
      </c>
      <c r="E230" s="16" t="s">
        <v>6292</v>
      </c>
      <c r="F230" s="16" t="s">
        <v>6292</v>
      </c>
      <c r="G230" s="16" t="s">
        <v>6292</v>
      </c>
      <c r="H230" s="16" t="s">
        <v>6292</v>
      </c>
      <c r="I230" s="25" t="s">
        <v>7804</v>
      </c>
      <c r="J230" s="25"/>
      <c r="K230" s="25" t="s">
        <v>6281</v>
      </c>
      <c r="L230" s="26" t="s">
        <v>7805</v>
      </c>
      <c r="M230" s="26" t="s">
        <v>7629</v>
      </c>
      <c r="N230" s="27" t="s">
        <v>7806</v>
      </c>
      <c r="O230" s="26" t="s">
        <v>6295</v>
      </c>
      <c r="P230" s="20" t="b">
        <v>1</v>
      </c>
      <c r="Q230" s="20" t="s">
        <v>6282</v>
      </c>
      <c r="R230" s="28" t="s">
        <v>6283</v>
      </c>
      <c r="S230" s="25"/>
      <c r="T230" s="20" t="b">
        <v>1</v>
      </c>
      <c r="U230" s="25"/>
      <c r="V230" s="25">
        <v>12.24</v>
      </c>
      <c r="W230" s="28" t="s">
        <v>7807</v>
      </c>
      <c r="X230" s="28" t="s">
        <v>6285</v>
      </c>
      <c r="Y230" s="28" t="s">
        <v>6286</v>
      </c>
      <c r="Z230" s="28" t="s">
        <v>6287</v>
      </c>
      <c r="AA230" s="28" t="s">
        <v>6288</v>
      </c>
      <c r="AB230" s="28" t="s">
        <v>6297</v>
      </c>
    </row>
    <row r="231" spans="1:28" ht="185.4" x14ac:dyDescent="0.3">
      <c r="A231" s="25">
        <v>6028</v>
      </c>
      <c r="B231" s="25" t="s">
        <v>7808</v>
      </c>
      <c r="C231" s="25" t="s">
        <v>7809</v>
      </c>
      <c r="D231" s="25" t="s">
        <v>6291</v>
      </c>
      <c r="E231" s="16" t="s">
        <v>6292</v>
      </c>
      <c r="F231" s="16" t="s">
        <v>6292</v>
      </c>
      <c r="G231" s="16" t="s">
        <v>6292</v>
      </c>
      <c r="H231" s="16" t="s">
        <v>6292</v>
      </c>
      <c r="I231" s="25" t="s">
        <v>7810</v>
      </c>
      <c r="J231" s="25"/>
      <c r="K231" s="25" t="s">
        <v>6281</v>
      </c>
      <c r="L231" s="26" t="s">
        <v>7796</v>
      </c>
      <c r="M231" s="26" t="s">
        <v>7629</v>
      </c>
      <c r="N231" s="27" t="s">
        <v>7630</v>
      </c>
      <c r="O231" s="26" t="s">
        <v>6295</v>
      </c>
      <c r="P231" s="20" t="b">
        <v>1</v>
      </c>
      <c r="Q231" s="20" t="s">
        <v>6282</v>
      </c>
      <c r="R231" s="28" t="s">
        <v>6283</v>
      </c>
      <c r="S231" s="25"/>
      <c r="T231" s="20" t="b">
        <v>1</v>
      </c>
      <c r="U231" s="25"/>
      <c r="V231" s="25">
        <v>12.24</v>
      </c>
      <c r="W231" s="28" t="s">
        <v>7811</v>
      </c>
      <c r="X231" s="28" t="s">
        <v>6285</v>
      </c>
      <c r="Y231" s="28" t="s">
        <v>6286</v>
      </c>
      <c r="Z231" s="28" t="s">
        <v>6287</v>
      </c>
      <c r="AA231" s="28" t="s">
        <v>6288</v>
      </c>
      <c r="AB231" s="28" t="s">
        <v>6297</v>
      </c>
    </row>
    <row r="232" spans="1:28" ht="185.4" x14ac:dyDescent="0.3">
      <c r="A232" s="25">
        <v>6040</v>
      </c>
      <c r="B232" s="25" t="s">
        <v>7812</v>
      </c>
      <c r="C232" s="25" t="s">
        <v>7813</v>
      </c>
      <c r="D232" s="25" t="s">
        <v>6278</v>
      </c>
      <c r="E232" s="16" t="s">
        <v>6279</v>
      </c>
      <c r="F232" s="16" t="s">
        <v>6279</v>
      </c>
      <c r="G232" s="16" t="s">
        <v>6279</v>
      </c>
      <c r="H232" s="16" t="s">
        <v>6279</v>
      </c>
      <c r="I232" s="25" t="s">
        <v>7814</v>
      </c>
      <c r="J232" s="25"/>
      <c r="K232" s="25" t="s">
        <v>6281</v>
      </c>
      <c r="L232" s="26" t="s">
        <v>7815</v>
      </c>
      <c r="M232" s="26" t="s">
        <v>7816</v>
      </c>
      <c r="N232" s="27" t="s">
        <v>7817</v>
      </c>
      <c r="O232" s="26" t="s">
        <v>7816</v>
      </c>
      <c r="P232" s="20" t="b">
        <v>1</v>
      </c>
      <c r="Q232" s="20" t="s">
        <v>6282</v>
      </c>
      <c r="R232" s="28" t="s">
        <v>6283</v>
      </c>
      <c r="S232" s="25"/>
      <c r="T232" s="20" t="b">
        <v>1</v>
      </c>
      <c r="U232" s="25"/>
      <c r="V232" s="25">
        <v>456.74</v>
      </c>
      <c r="W232" s="28" t="s">
        <v>7818</v>
      </c>
      <c r="X232" s="28" t="s">
        <v>6285</v>
      </c>
      <c r="Y232" s="28" t="s">
        <v>6286</v>
      </c>
      <c r="Z232" s="28" t="s">
        <v>6287</v>
      </c>
      <c r="AA232" s="28" t="s">
        <v>6288</v>
      </c>
      <c r="AB232" s="28" t="s">
        <v>6297</v>
      </c>
    </row>
    <row r="233" spans="1:28" ht="185.4" x14ac:dyDescent="0.3">
      <c r="A233" s="25">
        <v>6052</v>
      </c>
      <c r="B233" s="25" t="s">
        <v>7819</v>
      </c>
      <c r="C233" s="25" t="s">
        <v>7820</v>
      </c>
      <c r="D233" s="25" t="s">
        <v>6278</v>
      </c>
      <c r="E233" s="16" t="s">
        <v>6279</v>
      </c>
      <c r="F233" s="16" t="s">
        <v>6279</v>
      </c>
      <c r="G233" s="16" t="s">
        <v>6279</v>
      </c>
      <c r="H233" s="16" t="s">
        <v>6279</v>
      </c>
      <c r="I233" s="25" t="s">
        <v>7821</v>
      </c>
      <c r="J233" s="25"/>
      <c r="K233" s="25" t="s">
        <v>6281</v>
      </c>
      <c r="L233" s="26" t="s">
        <v>7822</v>
      </c>
      <c r="M233" s="26" t="s">
        <v>6295</v>
      </c>
      <c r="N233" s="27" t="s">
        <v>7823</v>
      </c>
      <c r="O233" s="26" t="s">
        <v>6295</v>
      </c>
      <c r="P233" s="20" t="b">
        <v>1</v>
      </c>
      <c r="Q233" s="20" t="s">
        <v>6282</v>
      </c>
      <c r="R233" s="28" t="s">
        <v>6283</v>
      </c>
      <c r="S233" s="25"/>
      <c r="T233" s="20" t="b">
        <v>1</v>
      </c>
      <c r="U233" s="25"/>
      <c r="V233" s="25">
        <v>16.809999999999999</v>
      </c>
      <c r="W233" s="28" t="s">
        <v>7824</v>
      </c>
      <c r="X233" s="28" t="s">
        <v>6285</v>
      </c>
      <c r="Y233" s="28" t="s">
        <v>6286</v>
      </c>
      <c r="Z233" s="28" t="s">
        <v>6287</v>
      </c>
      <c r="AA233" s="28" t="s">
        <v>6288</v>
      </c>
      <c r="AB233" s="28" t="s">
        <v>6297</v>
      </c>
    </row>
    <row r="234" spans="1:28" ht="185.4" x14ac:dyDescent="0.3">
      <c r="A234" s="25">
        <v>6053</v>
      </c>
      <c r="B234" s="25" t="s">
        <v>7825</v>
      </c>
      <c r="C234" s="25" t="s">
        <v>7826</v>
      </c>
      <c r="D234" s="25" t="s">
        <v>6278</v>
      </c>
      <c r="E234" s="16" t="s">
        <v>6279</v>
      </c>
      <c r="F234" s="16" t="s">
        <v>6279</v>
      </c>
      <c r="G234" s="16" t="s">
        <v>6279</v>
      </c>
      <c r="H234" s="16" t="s">
        <v>6279</v>
      </c>
      <c r="I234" s="25" t="s">
        <v>7827</v>
      </c>
      <c r="J234" s="25"/>
      <c r="K234" s="25" t="s">
        <v>6281</v>
      </c>
      <c r="L234" s="26" t="s">
        <v>7828</v>
      </c>
      <c r="M234" s="26" t="s">
        <v>6295</v>
      </c>
      <c r="N234" s="27" t="s">
        <v>7829</v>
      </c>
      <c r="O234" s="26" t="s">
        <v>6295</v>
      </c>
      <c r="P234" s="20" t="b">
        <v>1</v>
      </c>
      <c r="Q234" s="20" t="s">
        <v>6282</v>
      </c>
      <c r="R234" s="28" t="s">
        <v>6283</v>
      </c>
      <c r="S234" s="25"/>
      <c r="T234" s="20" t="b">
        <v>1</v>
      </c>
      <c r="U234" s="25"/>
      <c r="V234" s="25">
        <v>16.809999999999999</v>
      </c>
      <c r="W234" s="28" t="s">
        <v>7830</v>
      </c>
      <c r="X234" s="28" t="s">
        <v>6285</v>
      </c>
      <c r="Y234" s="28" t="s">
        <v>6286</v>
      </c>
      <c r="Z234" s="28" t="s">
        <v>6287</v>
      </c>
      <c r="AA234" s="28" t="s">
        <v>6288</v>
      </c>
      <c r="AB234" s="28" t="s">
        <v>6297</v>
      </c>
    </row>
    <row r="235" spans="1:28" ht="185.4" x14ac:dyDescent="0.3">
      <c r="A235" s="25">
        <v>6067</v>
      </c>
      <c r="B235" s="25" t="s">
        <v>7831</v>
      </c>
      <c r="C235" s="25" t="s">
        <v>7832</v>
      </c>
      <c r="D235" s="25" t="s">
        <v>6278</v>
      </c>
      <c r="E235" s="16" t="s">
        <v>6279</v>
      </c>
      <c r="F235" s="16" t="s">
        <v>6279</v>
      </c>
      <c r="G235" s="16" t="s">
        <v>6279</v>
      </c>
      <c r="H235" s="16" t="s">
        <v>6279</v>
      </c>
      <c r="I235" s="25" t="s">
        <v>7833</v>
      </c>
      <c r="J235" s="25"/>
      <c r="K235" s="25" t="s">
        <v>6281</v>
      </c>
      <c r="L235" s="26" t="s">
        <v>7834</v>
      </c>
      <c r="M235" s="26" t="s">
        <v>7835</v>
      </c>
      <c r="N235" s="27" t="s">
        <v>7836</v>
      </c>
      <c r="O235" s="26" t="s">
        <v>7837</v>
      </c>
      <c r="P235" s="20" t="b">
        <v>1</v>
      </c>
      <c r="Q235" s="20" t="s">
        <v>6282</v>
      </c>
      <c r="R235" s="28" t="s">
        <v>6283</v>
      </c>
      <c r="S235" s="25"/>
      <c r="T235" s="20" t="b">
        <v>1</v>
      </c>
      <c r="U235" s="25"/>
      <c r="V235" s="25">
        <v>156.6</v>
      </c>
      <c r="W235" s="28" t="s">
        <v>7838</v>
      </c>
      <c r="X235" s="28" t="s">
        <v>6285</v>
      </c>
      <c r="Y235" s="28" t="s">
        <v>6286</v>
      </c>
      <c r="Z235" s="28" t="s">
        <v>6287</v>
      </c>
      <c r="AA235" s="28" t="s">
        <v>6288</v>
      </c>
      <c r="AB235" s="28" t="s">
        <v>6297</v>
      </c>
    </row>
    <row r="236" spans="1:28" ht="193.2" x14ac:dyDescent="0.3">
      <c r="A236" s="25">
        <v>6107</v>
      </c>
      <c r="B236" s="25" t="s">
        <v>7839</v>
      </c>
      <c r="C236" s="25" t="s">
        <v>7840</v>
      </c>
      <c r="D236" s="25" t="s">
        <v>6278</v>
      </c>
      <c r="E236" s="16" t="s">
        <v>6279</v>
      </c>
      <c r="F236" s="16" t="s">
        <v>6279</v>
      </c>
      <c r="G236" s="16" t="s">
        <v>6279</v>
      </c>
      <c r="H236" s="16" t="s">
        <v>6279</v>
      </c>
      <c r="I236" s="25" t="s">
        <v>7841</v>
      </c>
      <c r="J236" s="25"/>
      <c r="K236" s="25" t="s">
        <v>6281</v>
      </c>
      <c r="L236" s="26" t="s">
        <v>7842</v>
      </c>
      <c r="M236" s="26" t="s">
        <v>7843</v>
      </c>
      <c r="N236" s="27" t="s">
        <v>7844</v>
      </c>
      <c r="O236" s="26" t="s">
        <v>6295</v>
      </c>
      <c r="P236" s="20" t="b">
        <v>1</v>
      </c>
      <c r="Q236" s="20" t="s">
        <v>6282</v>
      </c>
      <c r="R236" s="28" t="s">
        <v>6283</v>
      </c>
      <c r="S236" s="25"/>
      <c r="T236" s="20" t="b">
        <v>1</v>
      </c>
      <c r="U236" s="25"/>
      <c r="V236" s="25">
        <v>1121.0775000000001</v>
      </c>
      <c r="W236" s="28" t="s">
        <v>7845</v>
      </c>
      <c r="X236" s="28" t="s">
        <v>6285</v>
      </c>
      <c r="Y236" s="28" t="s">
        <v>6286</v>
      </c>
      <c r="Z236" s="28" t="s">
        <v>6287</v>
      </c>
      <c r="AA236" s="28" t="s">
        <v>6288</v>
      </c>
      <c r="AB236" s="28" t="s">
        <v>6297</v>
      </c>
    </row>
    <row r="237" spans="1:28" ht="185.4" x14ac:dyDescent="0.3">
      <c r="A237" s="25">
        <v>6108</v>
      </c>
      <c r="B237" s="25" t="s">
        <v>7846</v>
      </c>
      <c r="C237" s="25" t="s">
        <v>7847</v>
      </c>
      <c r="D237" s="25" t="s">
        <v>6278</v>
      </c>
      <c r="E237" s="16" t="s">
        <v>6279</v>
      </c>
      <c r="F237" s="16" t="s">
        <v>6279</v>
      </c>
      <c r="G237" s="16" t="s">
        <v>6279</v>
      </c>
      <c r="H237" s="16" t="s">
        <v>6279</v>
      </c>
      <c r="I237" s="25" t="s">
        <v>7848</v>
      </c>
      <c r="J237" s="25"/>
      <c r="K237" s="25" t="s">
        <v>6281</v>
      </c>
      <c r="L237" s="26" t="s">
        <v>7849</v>
      </c>
      <c r="M237" s="26" t="s">
        <v>6942</v>
      </c>
      <c r="N237" s="27" t="s">
        <v>7850</v>
      </c>
      <c r="O237" s="26" t="s">
        <v>7851</v>
      </c>
      <c r="P237" s="20" t="b">
        <v>1</v>
      </c>
      <c r="Q237" s="20" t="s">
        <v>6282</v>
      </c>
      <c r="R237" s="28" t="s">
        <v>6283</v>
      </c>
      <c r="S237" s="25"/>
      <c r="T237" s="20" t="b">
        <v>1</v>
      </c>
      <c r="U237" s="25"/>
      <c r="V237" s="25">
        <v>444.27</v>
      </c>
      <c r="W237" s="28" t="s">
        <v>7852</v>
      </c>
      <c r="X237" s="28" t="s">
        <v>6285</v>
      </c>
      <c r="Y237" s="28" t="s">
        <v>6286</v>
      </c>
      <c r="Z237" s="28" t="s">
        <v>6287</v>
      </c>
      <c r="AA237" s="28" t="s">
        <v>6288</v>
      </c>
      <c r="AB237" s="28" t="s">
        <v>6297</v>
      </c>
    </row>
    <row r="238" spans="1:28" ht="185.4" x14ac:dyDescent="0.3">
      <c r="A238" s="25">
        <v>6111</v>
      </c>
      <c r="B238" s="25" t="s">
        <v>7853</v>
      </c>
      <c r="C238" s="25" t="s">
        <v>7854</v>
      </c>
      <c r="D238" s="25" t="s">
        <v>6291</v>
      </c>
      <c r="E238" s="16" t="s">
        <v>6292</v>
      </c>
      <c r="F238" s="16" t="s">
        <v>6292</v>
      </c>
      <c r="G238" s="16" t="s">
        <v>6292</v>
      </c>
      <c r="H238" s="16" t="s">
        <v>6292</v>
      </c>
      <c r="I238" s="25" t="s">
        <v>7855</v>
      </c>
      <c r="J238" s="25"/>
      <c r="K238" s="25" t="s">
        <v>6281</v>
      </c>
      <c r="L238" s="26" t="s">
        <v>7856</v>
      </c>
      <c r="M238" s="26" t="s">
        <v>7857</v>
      </c>
      <c r="N238" s="27" t="s">
        <v>7858</v>
      </c>
      <c r="O238" s="26" t="s">
        <v>7859</v>
      </c>
      <c r="P238" s="20" t="b">
        <v>1</v>
      </c>
      <c r="Q238" s="20" t="s">
        <v>6282</v>
      </c>
      <c r="R238" s="28" t="s">
        <v>6283</v>
      </c>
      <c r="S238" s="25"/>
      <c r="T238" s="20" t="b">
        <v>1</v>
      </c>
      <c r="U238" s="25"/>
      <c r="V238" s="25">
        <v>119.64</v>
      </c>
      <c r="W238" s="28" t="s">
        <v>7860</v>
      </c>
      <c r="X238" s="28" t="s">
        <v>6285</v>
      </c>
      <c r="Y238" s="28" t="s">
        <v>6286</v>
      </c>
      <c r="Z238" s="28" t="s">
        <v>6287</v>
      </c>
      <c r="AA238" s="28" t="s">
        <v>6288</v>
      </c>
      <c r="AB238" s="28" t="s">
        <v>6297</v>
      </c>
    </row>
    <row r="239" spans="1:28" ht="193.2" x14ac:dyDescent="0.3">
      <c r="A239" s="25">
        <v>6118</v>
      </c>
      <c r="B239" s="25" t="s">
        <v>7861</v>
      </c>
      <c r="C239" s="25" t="s">
        <v>7862</v>
      </c>
      <c r="D239" s="25" t="s">
        <v>6291</v>
      </c>
      <c r="E239" s="16" t="s">
        <v>6786</v>
      </c>
      <c r="F239" s="16" t="s">
        <v>6786</v>
      </c>
      <c r="G239" s="16" t="s">
        <v>6786</v>
      </c>
      <c r="H239" s="16" t="s">
        <v>6786</v>
      </c>
      <c r="I239" s="25" t="s">
        <v>7863</v>
      </c>
      <c r="J239" s="25"/>
      <c r="K239" s="25" t="s">
        <v>6281</v>
      </c>
      <c r="L239" s="26" t="s">
        <v>7864</v>
      </c>
      <c r="M239" s="26" t="s">
        <v>7865</v>
      </c>
      <c r="N239" s="27" t="s">
        <v>7866</v>
      </c>
      <c r="O239" s="26" t="s">
        <v>7867</v>
      </c>
      <c r="P239" s="20" t="b">
        <v>1</v>
      </c>
      <c r="Q239" s="20" t="s">
        <v>6282</v>
      </c>
      <c r="R239" s="28" t="s">
        <v>6283</v>
      </c>
      <c r="S239" s="25"/>
      <c r="T239" s="20" t="b">
        <v>1</v>
      </c>
      <c r="U239" s="25"/>
      <c r="V239" s="25">
        <v>0.3</v>
      </c>
      <c r="W239" s="28" t="s">
        <v>7868</v>
      </c>
      <c r="X239" s="28" t="s">
        <v>6285</v>
      </c>
      <c r="Y239" s="28" t="s">
        <v>6286</v>
      </c>
      <c r="Z239" s="28" t="s">
        <v>6287</v>
      </c>
      <c r="AA239" s="28" t="s">
        <v>6288</v>
      </c>
      <c r="AB239" s="28" t="s">
        <v>6297</v>
      </c>
    </row>
    <row r="240" spans="1:28" ht="185.4" x14ac:dyDescent="0.3">
      <c r="A240" s="25">
        <v>6119</v>
      </c>
      <c r="B240" s="25" t="s">
        <v>7869</v>
      </c>
      <c r="C240" s="25" t="s">
        <v>7870</v>
      </c>
      <c r="D240" s="25" t="s">
        <v>6291</v>
      </c>
      <c r="E240" s="16" t="s">
        <v>6292</v>
      </c>
      <c r="F240" s="16" t="s">
        <v>6292</v>
      </c>
      <c r="G240" s="16" t="s">
        <v>6292</v>
      </c>
      <c r="H240" s="16" t="s">
        <v>6292</v>
      </c>
      <c r="I240" s="25" t="s">
        <v>7871</v>
      </c>
      <c r="J240" s="25"/>
      <c r="K240" s="25" t="s">
        <v>6281</v>
      </c>
      <c r="L240" s="26" t="s">
        <v>7872</v>
      </c>
      <c r="M240" s="26" t="s">
        <v>7873</v>
      </c>
      <c r="N240" s="27" t="s">
        <v>7874</v>
      </c>
      <c r="O240" s="26" t="s">
        <v>6295</v>
      </c>
      <c r="P240" s="20" t="b">
        <v>1</v>
      </c>
      <c r="Q240" s="20" t="s">
        <v>6282</v>
      </c>
      <c r="R240" s="28" t="s">
        <v>6283</v>
      </c>
      <c r="S240" s="25"/>
      <c r="T240" s="20" t="b">
        <v>1</v>
      </c>
      <c r="U240" s="25"/>
      <c r="V240" s="25">
        <v>13.66</v>
      </c>
      <c r="W240" s="28" t="s">
        <v>7875</v>
      </c>
      <c r="X240" s="28" t="s">
        <v>6285</v>
      </c>
      <c r="Y240" s="28" t="s">
        <v>6286</v>
      </c>
      <c r="Z240" s="28" t="s">
        <v>6287</v>
      </c>
      <c r="AA240" s="28" t="s">
        <v>6288</v>
      </c>
      <c r="AB240" s="28" t="s">
        <v>6297</v>
      </c>
    </row>
    <row r="241" spans="1:28" ht="185.4" x14ac:dyDescent="0.3">
      <c r="A241" s="25">
        <v>6142</v>
      </c>
      <c r="B241" s="25" t="s">
        <v>7876</v>
      </c>
      <c r="C241" s="25" t="s">
        <v>6299</v>
      </c>
      <c r="D241" s="25" t="s">
        <v>6291</v>
      </c>
      <c r="E241" s="16" t="s">
        <v>6292</v>
      </c>
      <c r="F241" s="16" t="s">
        <v>6292</v>
      </c>
      <c r="G241" s="16" t="s">
        <v>6292</v>
      </c>
      <c r="H241" s="16" t="s">
        <v>6292</v>
      </c>
      <c r="I241" s="25" t="s">
        <v>7877</v>
      </c>
      <c r="J241" s="25"/>
      <c r="K241" s="25" t="s">
        <v>6281</v>
      </c>
      <c r="L241" s="26" t="s">
        <v>7878</v>
      </c>
      <c r="M241" s="26" t="s">
        <v>7879</v>
      </c>
      <c r="N241" s="27" t="s">
        <v>7880</v>
      </c>
      <c r="O241" s="26" t="s">
        <v>7881</v>
      </c>
      <c r="P241" s="20" t="b">
        <v>1</v>
      </c>
      <c r="Q241" s="20" t="s">
        <v>6282</v>
      </c>
      <c r="R241" s="28" t="s">
        <v>6283</v>
      </c>
      <c r="S241" s="25"/>
      <c r="T241" s="20" t="b">
        <v>1</v>
      </c>
      <c r="U241" s="25"/>
      <c r="V241" s="25">
        <v>29</v>
      </c>
      <c r="W241" s="28" t="s">
        <v>7882</v>
      </c>
      <c r="X241" s="28" t="s">
        <v>6285</v>
      </c>
      <c r="Y241" s="28" t="s">
        <v>6286</v>
      </c>
      <c r="Z241" s="28" t="s">
        <v>6287</v>
      </c>
      <c r="AA241" s="28" t="s">
        <v>6288</v>
      </c>
      <c r="AB241" s="28" t="s">
        <v>6297</v>
      </c>
    </row>
    <row r="242" spans="1:28" ht="185.4" x14ac:dyDescent="0.3">
      <c r="A242" s="25">
        <v>6173</v>
      </c>
      <c r="B242" s="25" t="s">
        <v>7883</v>
      </c>
      <c r="C242" s="25" t="s">
        <v>7884</v>
      </c>
      <c r="D242" s="25" t="s">
        <v>6278</v>
      </c>
      <c r="E242" s="16" t="s">
        <v>6279</v>
      </c>
      <c r="F242" s="16" t="s">
        <v>6279</v>
      </c>
      <c r="G242" s="16" t="s">
        <v>6279</v>
      </c>
      <c r="H242" s="16" t="s">
        <v>6279</v>
      </c>
      <c r="I242" s="25" t="s">
        <v>7885</v>
      </c>
      <c r="J242" s="25"/>
      <c r="K242" s="25" t="s">
        <v>6281</v>
      </c>
      <c r="L242" s="26" t="s">
        <v>7886</v>
      </c>
      <c r="M242" s="26" t="s">
        <v>7887</v>
      </c>
      <c r="N242" s="27" t="s">
        <v>7888</v>
      </c>
      <c r="O242" s="26" t="s">
        <v>7889</v>
      </c>
      <c r="P242" s="20" t="b">
        <v>1</v>
      </c>
      <c r="Q242" s="20" t="s">
        <v>6282</v>
      </c>
      <c r="R242" s="28" t="s">
        <v>6283</v>
      </c>
      <c r="S242" s="25"/>
      <c r="T242" s="20" t="b">
        <v>1</v>
      </c>
      <c r="U242" s="25"/>
      <c r="V242" s="25">
        <v>64.285713999999999</v>
      </c>
      <c r="W242" s="28" t="s">
        <v>7890</v>
      </c>
      <c r="X242" s="28" t="s">
        <v>6285</v>
      </c>
      <c r="Y242" s="28" t="s">
        <v>6286</v>
      </c>
      <c r="Z242" s="28" t="s">
        <v>6287</v>
      </c>
      <c r="AA242" s="28" t="s">
        <v>6288</v>
      </c>
      <c r="AB242" s="28" t="s">
        <v>6297</v>
      </c>
    </row>
    <row r="243" spans="1:28" ht="185.4" x14ac:dyDescent="0.3">
      <c r="A243" s="25">
        <v>6180</v>
      </c>
      <c r="B243" s="25" t="s">
        <v>7891</v>
      </c>
      <c r="C243" s="25" t="s">
        <v>7892</v>
      </c>
      <c r="D243" s="25" t="s">
        <v>6278</v>
      </c>
      <c r="E243" s="16" t="s">
        <v>6279</v>
      </c>
      <c r="F243" s="16" t="s">
        <v>6279</v>
      </c>
      <c r="G243" s="16" t="s">
        <v>6279</v>
      </c>
      <c r="H243" s="16" t="s">
        <v>6279</v>
      </c>
      <c r="I243" s="25" t="s">
        <v>7893</v>
      </c>
      <c r="J243" s="25"/>
      <c r="K243" s="25" t="s">
        <v>6281</v>
      </c>
      <c r="L243" s="26" t="s">
        <v>7894</v>
      </c>
      <c r="M243" s="26" t="s">
        <v>6295</v>
      </c>
      <c r="N243" s="27" t="s">
        <v>7895</v>
      </c>
      <c r="O243" s="26" t="s">
        <v>7896</v>
      </c>
      <c r="P243" s="20" t="b">
        <v>1</v>
      </c>
      <c r="Q243" s="20" t="s">
        <v>6282</v>
      </c>
      <c r="R243" s="28" t="s">
        <v>6283</v>
      </c>
      <c r="S243" s="25"/>
      <c r="T243" s="20" t="b">
        <v>1</v>
      </c>
      <c r="U243" s="25"/>
      <c r="V243" s="25">
        <v>27.85</v>
      </c>
      <c r="W243" s="28" t="s">
        <v>7897</v>
      </c>
      <c r="X243" s="28" t="s">
        <v>6285</v>
      </c>
      <c r="Y243" s="28" t="s">
        <v>6286</v>
      </c>
      <c r="Z243" s="28" t="s">
        <v>6287</v>
      </c>
      <c r="AA243" s="28" t="s">
        <v>6288</v>
      </c>
      <c r="AB243" s="28" t="s">
        <v>6297</v>
      </c>
    </row>
    <row r="244" spans="1:28" ht="185.4" x14ac:dyDescent="0.3">
      <c r="A244" s="25">
        <v>6199</v>
      </c>
      <c r="B244" s="25" t="s">
        <v>7898</v>
      </c>
      <c r="C244" s="25" t="s">
        <v>7899</v>
      </c>
      <c r="D244" s="25" t="s">
        <v>6278</v>
      </c>
      <c r="E244" s="16" t="s">
        <v>6279</v>
      </c>
      <c r="F244" s="16" t="s">
        <v>6279</v>
      </c>
      <c r="G244" s="16" t="s">
        <v>6279</v>
      </c>
      <c r="H244" s="16" t="s">
        <v>6279</v>
      </c>
      <c r="I244" s="25" t="s">
        <v>7900</v>
      </c>
      <c r="J244" s="25"/>
      <c r="K244" s="25" t="s">
        <v>6281</v>
      </c>
      <c r="L244" s="26" t="s">
        <v>7901</v>
      </c>
      <c r="M244" s="26" t="s">
        <v>7902</v>
      </c>
      <c r="N244" s="27" t="s">
        <v>7903</v>
      </c>
      <c r="O244" s="26" t="s">
        <v>6295</v>
      </c>
      <c r="P244" s="20" t="b">
        <v>1</v>
      </c>
      <c r="Q244" s="20" t="s">
        <v>6282</v>
      </c>
      <c r="R244" s="28" t="s">
        <v>6283</v>
      </c>
      <c r="S244" s="25"/>
      <c r="T244" s="20" t="b">
        <v>1</v>
      </c>
      <c r="U244" s="25"/>
      <c r="V244" s="25">
        <v>100</v>
      </c>
      <c r="W244" s="28" t="s">
        <v>7904</v>
      </c>
      <c r="X244" s="28" t="s">
        <v>6285</v>
      </c>
      <c r="Y244" s="28" t="s">
        <v>6286</v>
      </c>
      <c r="Z244" s="28" t="s">
        <v>6287</v>
      </c>
      <c r="AA244" s="28" t="s">
        <v>6288</v>
      </c>
      <c r="AB244" s="28" t="s">
        <v>6297</v>
      </c>
    </row>
    <row r="245" spans="1:28" ht="185.4" x14ac:dyDescent="0.3">
      <c r="A245" s="25">
        <v>6219</v>
      </c>
      <c r="B245" s="25" t="s">
        <v>7905</v>
      </c>
      <c r="C245" s="25" t="s">
        <v>7906</v>
      </c>
      <c r="D245" s="25" t="s">
        <v>6291</v>
      </c>
      <c r="E245" s="16" t="s">
        <v>6292</v>
      </c>
      <c r="F245" s="16" t="s">
        <v>6292</v>
      </c>
      <c r="G245" s="16" t="s">
        <v>6292</v>
      </c>
      <c r="H245" s="16" t="s">
        <v>6292</v>
      </c>
      <c r="I245" s="25" t="s">
        <v>7907</v>
      </c>
      <c r="J245" s="25"/>
      <c r="K245" s="25" t="s">
        <v>6281</v>
      </c>
      <c r="L245" s="26" t="s">
        <v>7908</v>
      </c>
      <c r="M245" s="26" t="s">
        <v>7909</v>
      </c>
      <c r="N245" s="27" t="s">
        <v>7910</v>
      </c>
      <c r="O245" s="26" t="s">
        <v>6295</v>
      </c>
      <c r="P245" s="20" t="b">
        <v>1</v>
      </c>
      <c r="Q245" s="20" t="s">
        <v>6282</v>
      </c>
      <c r="R245" s="28" t="s">
        <v>6283</v>
      </c>
      <c r="S245" s="25"/>
      <c r="T245" s="20" t="b">
        <v>1</v>
      </c>
      <c r="U245" s="25"/>
      <c r="V245" s="25">
        <v>178.51</v>
      </c>
      <c r="W245" s="28" t="s">
        <v>7911</v>
      </c>
      <c r="X245" s="28" t="s">
        <v>6285</v>
      </c>
      <c r="Y245" s="28" t="s">
        <v>6286</v>
      </c>
      <c r="Z245" s="28" t="s">
        <v>6287</v>
      </c>
      <c r="AA245" s="28" t="s">
        <v>6288</v>
      </c>
      <c r="AB245" s="28" t="s">
        <v>6297</v>
      </c>
    </row>
    <row r="246" spans="1:28" ht="185.4" x14ac:dyDescent="0.3">
      <c r="A246" s="25">
        <v>6224</v>
      </c>
      <c r="B246" s="25" t="s">
        <v>7912</v>
      </c>
      <c r="C246" s="25" t="s">
        <v>7913</v>
      </c>
      <c r="D246" s="25" t="s">
        <v>6278</v>
      </c>
      <c r="E246" s="16" t="s">
        <v>6279</v>
      </c>
      <c r="F246" s="16" t="s">
        <v>6279</v>
      </c>
      <c r="G246" s="16" t="s">
        <v>6279</v>
      </c>
      <c r="H246" s="16" t="s">
        <v>6279</v>
      </c>
      <c r="I246" s="25" t="s">
        <v>7914</v>
      </c>
      <c r="J246" s="25"/>
      <c r="K246" s="25" t="s">
        <v>6281</v>
      </c>
      <c r="L246" s="26" t="s">
        <v>7915</v>
      </c>
      <c r="M246" s="26" t="s">
        <v>7493</v>
      </c>
      <c r="N246" s="27" t="s">
        <v>7916</v>
      </c>
      <c r="O246" s="26" t="s">
        <v>6295</v>
      </c>
      <c r="P246" s="20" t="b">
        <v>1</v>
      </c>
      <c r="Q246" s="20" t="s">
        <v>6282</v>
      </c>
      <c r="R246" s="28" t="s">
        <v>6283</v>
      </c>
      <c r="S246" s="25"/>
      <c r="T246" s="20" t="b">
        <v>1</v>
      </c>
      <c r="U246" s="25"/>
      <c r="V246" s="25">
        <v>25.4</v>
      </c>
      <c r="W246" s="28" t="s">
        <v>7917</v>
      </c>
      <c r="X246" s="28" t="s">
        <v>6285</v>
      </c>
      <c r="Y246" s="28" t="s">
        <v>6286</v>
      </c>
      <c r="Z246" s="28" t="s">
        <v>6287</v>
      </c>
      <c r="AA246" s="28" t="s">
        <v>6288</v>
      </c>
      <c r="AB246" s="28" t="s">
        <v>6297</v>
      </c>
    </row>
    <row r="247" spans="1:28" ht="185.4" x14ac:dyDescent="0.3">
      <c r="A247" s="25">
        <v>6240</v>
      </c>
      <c r="B247" s="25" t="s">
        <v>7918</v>
      </c>
      <c r="C247" s="25" t="s">
        <v>7919</v>
      </c>
      <c r="D247" s="25" t="s">
        <v>6278</v>
      </c>
      <c r="E247" s="16" t="s">
        <v>6279</v>
      </c>
      <c r="F247" s="16" t="s">
        <v>6279</v>
      </c>
      <c r="G247" s="16" t="s">
        <v>6279</v>
      </c>
      <c r="H247" s="16" t="s">
        <v>6279</v>
      </c>
      <c r="I247" s="25" t="s">
        <v>7920</v>
      </c>
      <c r="J247" s="25"/>
      <c r="K247" s="25" t="s">
        <v>6281</v>
      </c>
      <c r="L247" s="26" t="s">
        <v>7921</v>
      </c>
      <c r="M247" s="26" t="s">
        <v>7922</v>
      </c>
      <c r="N247" s="27" t="s">
        <v>7923</v>
      </c>
      <c r="O247" s="26" t="s">
        <v>7924</v>
      </c>
      <c r="P247" s="20" t="b">
        <v>1</v>
      </c>
      <c r="Q247" s="20" t="s">
        <v>6282</v>
      </c>
      <c r="R247" s="28" t="s">
        <v>6283</v>
      </c>
      <c r="S247" s="25"/>
      <c r="T247" s="20" t="b">
        <v>1</v>
      </c>
      <c r="U247" s="25"/>
      <c r="V247" s="25">
        <v>10.45</v>
      </c>
      <c r="W247" s="28" t="s">
        <v>7925</v>
      </c>
      <c r="X247" s="28" t="s">
        <v>6285</v>
      </c>
      <c r="Y247" s="28" t="s">
        <v>6286</v>
      </c>
      <c r="Z247" s="28" t="s">
        <v>6287</v>
      </c>
      <c r="AA247" s="28" t="s">
        <v>6288</v>
      </c>
      <c r="AB247" s="28" t="s">
        <v>6297</v>
      </c>
    </row>
    <row r="248" spans="1:28" ht="185.4" x14ac:dyDescent="0.3">
      <c r="A248" s="25">
        <v>6241</v>
      </c>
      <c r="B248" s="25" t="s">
        <v>7926</v>
      </c>
      <c r="C248" s="25" t="s">
        <v>7927</v>
      </c>
      <c r="D248" s="25" t="s">
        <v>6291</v>
      </c>
      <c r="E248" s="16" t="s">
        <v>6786</v>
      </c>
      <c r="F248" s="16" t="s">
        <v>6786</v>
      </c>
      <c r="G248" s="16" t="s">
        <v>6786</v>
      </c>
      <c r="H248" s="16" t="s">
        <v>6786</v>
      </c>
      <c r="I248" s="25" t="s">
        <v>7928</v>
      </c>
      <c r="J248" s="25"/>
      <c r="K248" s="25" t="s">
        <v>6281</v>
      </c>
      <c r="L248" s="26" t="s">
        <v>7929</v>
      </c>
      <c r="M248" s="26" t="s">
        <v>6295</v>
      </c>
      <c r="N248" s="27" t="s">
        <v>7930</v>
      </c>
      <c r="O248" s="26" t="s">
        <v>7931</v>
      </c>
      <c r="P248" s="20" t="b">
        <v>1</v>
      </c>
      <c r="Q248" s="20" t="s">
        <v>6282</v>
      </c>
      <c r="R248" s="28" t="s">
        <v>6283</v>
      </c>
      <c r="S248" s="25"/>
      <c r="T248" s="20" t="b">
        <v>1</v>
      </c>
      <c r="U248" s="25"/>
      <c r="V248" s="25">
        <v>1.9339999999999999</v>
      </c>
      <c r="W248" s="28" t="s">
        <v>7932</v>
      </c>
      <c r="X248" s="28" t="s">
        <v>6285</v>
      </c>
      <c r="Y248" s="28" t="s">
        <v>6286</v>
      </c>
      <c r="Z248" s="28" t="s">
        <v>6287</v>
      </c>
      <c r="AA248" s="28" t="s">
        <v>6288</v>
      </c>
      <c r="AB248" s="28" t="s">
        <v>6297</v>
      </c>
    </row>
    <row r="249" spans="1:28" ht="185.4" x14ac:dyDescent="0.3">
      <c r="A249" s="25">
        <v>6244</v>
      </c>
      <c r="B249" s="25" t="s">
        <v>7933</v>
      </c>
      <c r="C249" s="25" t="s">
        <v>7934</v>
      </c>
      <c r="D249" s="25" t="s">
        <v>6291</v>
      </c>
      <c r="E249" s="16" t="s">
        <v>6292</v>
      </c>
      <c r="F249" s="16" t="s">
        <v>6292</v>
      </c>
      <c r="G249" s="16" t="s">
        <v>6292</v>
      </c>
      <c r="H249" s="16" t="s">
        <v>6292</v>
      </c>
      <c r="I249" s="25" t="s">
        <v>7935</v>
      </c>
      <c r="J249" s="25"/>
      <c r="K249" s="25" t="s">
        <v>6281</v>
      </c>
      <c r="L249" s="26" t="s">
        <v>7936</v>
      </c>
      <c r="M249" s="26" t="s">
        <v>7937</v>
      </c>
      <c r="N249" s="27" t="s">
        <v>7938</v>
      </c>
      <c r="O249" s="26" t="s">
        <v>7939</v>
      </c>
      <c r="P249" s="20" t="b">
        <v>1</v>
      </c>
      <c r="Q249" s="20" t="s">
        <v>6282</v>
      </c>
      <c r="R249" s="28" t="s">
        <v>6283</v>
      </c>
      <c r="S249" s="25"/>
      <c r="T249" s="20" t="b">
        <v>1</v>
      </c>
      <c r="U249" s="25"/>
      <c r="V249" s="25">
        <v>3.81</v>
      </c>
      <c r="W249" s="28" t="s">
        <v>7940</v>
      </c>
      <c r="X249" s="28" t="s">
        <v>6285</v>
      </c>
      <c r="Y249" s="28" t="s">
        <v>6286</v>
      </c>
      <c r="Z249" s="28" t="s">
        <v>6287</v>
      </c>
      <c r="AA249" s="28" t="s">
        <v>6288</v>
      </c>
      <c r="AB249" s="28" t="s">
        <v>6297</v>
      </c>
    </row>
    <row r="250" spans="1:28" ht="198.6" x14ac:dyDescent="0.3">
      <c r="A250" s="25">
        <v>6247</v>
      </c>
      <c r="B250" s="25" t="s">
        <v>7941</v>
      </c>
      <c r="C250" s="25" t="s">
        <v>7942</v>
      </c>
      <c r="D250" s="25" t="s">
        <v>6291</v>
      </c>
      <c r="E250" s="16" t="s">
        <v>6292</v>
      </c>
      <c r="F250" s="16" t="s">
        <v>6292</v>
      </c>
      <c r="G250" s="16" t="s">
        <v>6292</v>
      </c>
      <c r="H250" s="16" t="s">
        <v>6292</v>
      </c>
      <c r="I250" s="25" t="s">
        <v>7943</v>
      </c>
      <c r="J250" s="25"/>
      <c r="K250" s="25" t="s">
        <v>6281</v>
      </c>
      <c r="L250" s="26" t="s">
        <v>7944</v>
      </c>
      <c r="M250" s="26" t="s">
        <v>7945</v>
      </c>
      <c r="N250" s="27" t="s">
        <v>7946</v>
      </c>
      <c r="O250" s="26" t="s">
        <v>7947</v>
      </c>
      <c r="P250" s="20" t="b">
        <v>1</v>
      </c>
      <c r="Q250" s="20" t="s">
        <v>6282</v>
      </c>
      <c r="R250" s="28" t="s">
        <v>6283</v>
      </c>
      <c r="S250" s="25"/>
      <c r="T250" s="20" t="b">
        <v>1</v>
      </c>
      <c r="U250" s="25"/>
      <c r="V250" s="25">
        <v>66.67</v>
      </c>
      <c r="W250" s="28" t="s">
        <v>7948</v>
      </c>
      <c r="X250" s="28" t="s">
        <v>6285</v>
      </c>
      <c r="Y250" s="28" t="s">
        <v>6286</v>
      </c>
      <c r="Z250" s="28" t="s">
        <v>6287</v>
      </c>
      <c r="AA250" s="28" t="s">
        <v>6288</v>
      </c>
      <c r="AB250" s="28" t="s">
        <v>6297</v>
      </c>
    </row>
    <row r="251" spans="1:28" ht="185.4" x14ac:dyDescent="0.3">
      <c r="A251" s="25">
        <v>6258</v>
      </c>
      <c r="B251" s="25" t="s">
        <v>7949</v>
      </c>
      <c r="C251" s="25" t="s">
        <v>7950</v>
      </c>
      <c r="D251" s="25" t="s">
        <v>6278</v>
      </c>
      <c r="E251" s="16" t="s">
        <v>6279</v>
      </c>
      <c r="F251" s="16" t="s">
        <v>6279</v>
      </c>
      <c r="G251" s="16" t="s">
        <v>6279</v>
      </c>
      <c r="H251" s="16" t="s">
        <v>6279</v>
      </c>
      <c r="I251" s="25" t="s">
        <v>7951</v>
      </c>
      <c r="J251" s="25"/>
      <c r="K251" s="25" t="s">
        <v>6281</v>
      </c>
      <c r="L251" s="26" t="s">
        <v>7952</v>
      </c>
      <c r="M251" s="26" t="s">
        <v>6295</v>
      </c>
      <c r="N251" s="27" t="s">
        <v>7953</v>
      </c>
      <c r="O251" s="26" t="s">
        <v>7954</v>
      </c>
      <c r="P251" s="20" t="b">
        <v>1</v>
      </c>
      <c r="Q251" s="20" t="s">
        <v>6282</v>
      </c>
      <c r="R251" s="28" t="s">
        <v>6283</v>
      </c>
      <c r="S251" s="25"/>
      <c r="T251" s="20" t="b">
        <v>1</v>
      </c>
      <c r="U251" s="25"/>
      <c r="V251" s="25">
        <v>34.109000000000002</v>
      </c>
      <c r="W251" s="28" t="s">
        <v>7955</v>
      </c>
      <c r="X251" s="28" t="s">
        <v>6285</v>
      </c>
      <c r="Y251" s="28" t="s">
        <v>6286</v>
      </c>
      <c r="Z251" s="28" t="s">
        <v>6287</v>
      </c>
      <c r="AA251" s="28" t="s">
        <v>6288</v>
      </c>
      <c r="AB251" s="28" t="s">
        <v>6297</v>
      </c>
    </row>
    <row r="252" spans="1:28" ht="185.4" x14ac:dyDescent="0.3">
      <c r="A252" s="25">
        <v>6273</v>
      </c>
      <c r="B252" s="25" t="s">
        <v>7956</v>
      </c>
      <c r="C252" s="25" t="s">
        <v>7957</v>
      </c>
      <c r="D252" s="25" t="s">
        <v>6291</v>
      </c>
      <c r="E252" s="16" t="s">
        <v>6292</v>
      </c>
      <c r="F252" s="16" t="s">
        <v>6292</v>
      </c>
      <c r="G252" s="16" t="s">
        <v>6292</v>
      </c>
      <c r="H252" s="16" t="s">
        <v>6292</v>
      </c>
      <c r="I252" s="25" t="s">
        <v>7958</v>
      </c>
      <c r="J252" s="25"/>
      <c r="K252" s="25" t="s">
        <v>6281</v>
      </c>
      <c r="L252" s="26" t="s">
        <v>7959</v>
      </c>
      <c r="M252" s="26" t="s">
        <v>6295</v>
      </c>
      <c r="N252" s="27" t="s">
        <v>7960</v>
      </c>
      <c r="O252" s="26" t="s">
        <v>6295</v>
      </c>
      <c r="P252" s="20" t="b">
        <v>1</v>
      </c>
      <c r="Q252" s="20" t="s">
        <v>6282</v>
      </c>
      <c r="R252" s="28" t="s">
        <v>6283</v>
      </c>
      <c r="S252" s="25"/>
      <c r="T252" s="20" t="b">
        <v>1</v>
      </c>
      <c r="U252" s="25"/>
      <c r="V252" s="25">
        <v>166.42</v>
      </c>
      <c r="W252" s="28" t="s">
        <v>7961</v>
      </c>
      <c r="X252" s="28" t="s">
        <v>6285</v>
      </c>
      <c r="Y252" s="28" t="s">
        <v>6286</v>
      </c>
      <c r="Z252" s="28" t="s">
        <v>6287</v>
      </c>
      <c r="AA252" s="28" t="s">
        <v>6288</v>
      </c>
      <c r="AB252" s="28" t="s">
        <v>6297</v>
      </c>
    </row>
    <row r="253" spans="1:28" ht="185.4" x14ac:dyDescent="0.3">
      <c r="A253" s="25">
        <v>6275</v>
      </c>
      <c r="B253" s="25" t="s">
        <v>7962</v>
      </c>
      <c r="C253" s="25" t="s">
        <v>7963</v>
      </c>
      <c r="D253" s="25" t="s">
        <v>6291</v>
      </c>
      <c r="E253" s="16" t="s">
        <v>6292</v>
      </c>
      <c r="F253" s="16" t="s">
        <v>6292</v>
      </c>
      <c r="G253" s="16" t="s">
        <v>6292</v>
      </c>
      <c r="H253" s="16" t="s">
        <v>6292</v>
      </c>
      <c r="I253" s="25" t="s">
        <v>7964</v>
      </c>
      <c r="J253" s="25"/>
      <c r="K253" s="25" t="s">
        <v>6281</v>
      </c>
      <c r="L253" s="26" t="s">
        <v>7965</v>
      </c>
      <c r="M253" s="26" t="s">
        <v>7966</v>
      </c>
      <c r="N253" s="27" t="s">
        <v>7967</v>
      </c>
      <c r="O253" s="26" t="s">
        <v>7881</v>
      </c>
      <c r="P253" s="20" t="b">
        <v>1</v>
      </c>
      <c r="Q253" s="20" t="s">
        <v>6282</v>
      </c>
      <c r="R253" s="28" t="s">
        <v>6283</v>
      </c>
      <c r="S253" s="25"/>
      <c r="T253" s="20" t="b">
        <v>1</v>
      </c>
      <c r="U253" s="25"/>
      <c r="V253" s="25">
        <v>11</v>
      </c>
      <c r="W253" s="28" t="s">
        <v>7968</v>
      </c>
      <c r="X253" s="28" t="s">
        <v>6285</v>
      </c>
      <c r="Y253" s="28" t="s">
        <v>6286</v>
      </c>
      <c r="Z253" s="28" t="s">
        <v>6287</v>
      </c>
      <c r="AA253" s="28" t="s">
        <v>6288</v>
      </c>
      <c r="AB253" s="28" t="s">
        <v>6297</v>
      </c>
    </row>
    <row r="254" spans="1:28" ht="198.6" x14ac:dyDescent="0.3">
      <c r="A254" s="25">
        <v>6279</v>
      </c>
      <c r="B254" s="25" t="s">
        <v>7969</v>
      </c>
      <c r="C254" s="25" t="s">
        <v>6306</v>
      </c>
      <c r="D254" s="25" t="s">
        <v>6291</v>
      </c>
      <c r="E254" s="16" t="s">
        <v>6292</v>
      </c>
      <c r="F254" s="16" t="s">
        <v>6292</v>
      </c>
      <c r="G254" s="16" t="s">
        <v>6292</v>
      </c>
      <c r="H254" s="16" t="s">
        <v>6292</v>
      </c>
      <c r="I254" s="25" t="s">
        <v>7970</v>
      </c>
      <c r="J254" s="25"/>
      <c r="K254" s="25" t="s">
        <v>6281</v>
      </c>
      <c r="L254" s="26" t="s">
        <v>7971</v>
      </c>
      <c r="M254" s="26" t="s">
        <v>7972</v>
      </c>
      <c r="N254" s="27" t="s">
        <v>7973</v>
      </c>
      <c r="O254" s="26" t="s">
        <v>7974</v>
      </c>
      <c r="P254" s="20" t="b">
        <v>1</v>
      </c>
      <c r="Q254" s="20" t="s">
        <v>6282</v>
      </c>
      <c r="R254" s="28" t="s">
        <v>6283</v>
      </c>
      <c r="S254" s="25"/>
      <c r="T254" s="20" t="b">
        <v>1</v>
      </c>
      <c r="U254" s="25"/>
      <c r="V254" s="25">
        <v>100.815</v>
      </c>
      <c r="W254" s="28" t="s">
        <v>7975</v>
      </c>
      <c r="X254" s="28" t="s">
        <v>6285</v>
      </c>
      <c r="Y254" s="28" t="s">
        <v>6286</v>
      </c>
      <c r="Z254" s="28" t="s">
        <v>6287</v>
      </c>
      <c r="AA254" s="28" t="s">
        <v>6288</v>
      </c>
      <c r="AB254" s="28" t="s">
        <v>6297</v>
      </c>
    </row>
    <row r="255" spans="1:28" ht="185.4" x14ac:dyDescent="0.3">
      <c r="A255" s="25">
        <v>6280</v>
      </c>
      <c r="B255" s="25" t="s">
        <v>7976</v>
      </c>
      <c r="C255" s="25" t="s">
        <v>7977</v>
      </c>
      <c r="D255" s="25" t="s">
        <v>6278</v>
      </c>
      <c r="E255" s="16" t="s">
        <v>6279</v>
      </c>
      <c r="F255" s="16" t="s">
        <v>6279</v>
      </c>
      <c r="G255" s="16" t="s">
        <v>6279</v>
      </c>
      <c r="H255" s="16" t="s">
        <v>6279</v>
      </c>
      <c r="I255" s="25" t="s">
        <v>7978</v>
      </c>
      <c r="J255" s="25"/>
      <c r="K255" s="25" t="s">
        <v>6281</v>
      </c>
      <c r="L255" s="26" t="s">
        <v>7979</v>
      </c>
      <c r="M255" s="26" t="s">
        <v>7980</v>
      </c>
      <c r="N255" s="27" t="s">
        <v>7981</v>
      </c>
      <c r="O255" s="26" t="s">
        <v>6295</v>
      </c>
      <c r="P255" s="20" t="b">
        <v>1</v>
      </c>
      <c r="Q255" s="20" t="s">
        <v>6282</v>
      </c>
      <c r="R255" s="28" t="s">
        <v>6283</v>
      </c>
      <c r="S255" s="25"/>
      <c r="T255" s="20" t="b">
        <v>1</v>
      </c>
      <c r="U255" s="25"/>
      <c r="V255" s="25">
        <v>386.00900000000001</v>
      </c>
      <c r="W255" s="28" t="s">
        <v>7982</v>
      </c>
      <c r="X255" s="28" t="s">
        <v>6285</v>
      </c>
      <c r="Y255" s="28" t="s">
        <v>6286</v>
      </c>
      <c r="Z255" s="28" t="s">
        <v>6287</v>
      </c>
      <c r="AA255" s="28" t="s">
        <v>6288</v>
      </c>
      <c r="AB255" s="28" t="s">
        <v>6297</v>
      </c>
    </row>
    <row r="256" spans="1:28" ht="198.6" x14ac:dyDescent="0.3">
      <c r="A256" s="25">
        <v>6288</v>
      </c>
      <c r="B256" s="25" t="s">
        <v>7983</v>
      </c>
      <c r="C256" s="25" t="s">
        <v>7984</v>
      </c>
      <c r="D256" s="25" t="s">
        <v>6370</v>
      </c>
      <c r="E256" s="16" t="s">
        <v>7498</v>
      </c>
      <c r="F256" s="16" t="s">
        <v>7498</v>
      </c>
      <c r="G256" s="16" t="s">
        <v>7498</v>
      </c>
      <c r="H256" s="16" t="s">
        <v>7498</v>
      </c>
      <c r="I256" s="25" t="s">
        <v>7985</v>
      </c>
      <c r="J256" s="25"/>
      <c r="K256" s="25" t="s">
        <v>6281</v>
      </c>
      <c r="L256" s="26" t="s">
        <v>7986</v>
      </c>
      <c r="M256" s="26" t="s">
        <v>7987</v>
      </c>
      <c r="N256" s="27" t="s">
        <v>7988</v>
      </c>
      <c r="O256" s="26" t="s">
        <v>6295</v>
      </c>
      <c r="P256" s="20" t="b">
        <v>1</v>
      </c>
      <c r="Q256" s="20" t="s">
        <v>6282</v>
      </c>
      <c r="R256" s="28" t="s">
        <v>6283</v>
      </c>
      <c r="S256" s="25"/>
      <c r="T256" s="20" t="b">
        <v>1</v>
      </c>
      <c r="U256" s="25"/>
      <c r="V256" s="25">
        <v>0.1052631</v>
      </c>
      <c r="W256" s="28" t="s">
        <v>7989</v>
      </c>
      <c r="X256" s="28" t="s">
        <v>6285</v>
      </c>
      <c r="Y256" s="28" t="s">
        <v>6286</v>
      </c>
      <c r="Z256" s="28" t="s">
        <v>6287</v>
      </c>
      <c r="AA256" s="28" t="s">
        <v>6288</v>
      </c>
      <c r="AB256" s="28" t="s">
        <v>6297</v>
      </c>
    </row>
    <row r="257" spans="1:28" ht="185.4" x14ac:dyDescent="0.3">
      <c r="A257" s="25">
        <v>6291</v>
      </c>
      <c r="B257" s="25" t="s">
        <v>7990</v>
      </c>
      <c r="C257" s="25" t="s">
        <v>7991</v>
      </c>
      <c r="D257" s="25" t="s">
        <v>6291</v>
      </c>
      <c r="E257" s="16" t="s">
        <v>6292</v>
      </c>
      <c r="F257" s="16" t="s">
        <v>6292</v>
      </c>
      <c r="G257" s="16" t="s">
        <v>6292</v>
      </c>
      <c r="H257" s="16" t="s">
        <v>6292</v>
      </c>
      <c r="I257" s="25" t="s">
        <v>7992</v>
      </c>
      <c r="J257" s="25"/>
      <c r="K257" s="25" t="s">
        <v>6281</v>
      </c>
      <c r="L257" s="26" t="s">
        <v>7993</v>
      </c>
      <c r="M257" s="26" t="s">
        <v>7994</v>
      </c>
      <c r="N257" s="27" t="s">
        <v>7995</v>
      </c>
      <c r="O257" s="26" t="s">
        <v>6295</v>
      </c>
      <c r="P257" s="20" t="b">
        <v>1</v>
      </c>
      <c r="Q257" s="20" t="s">
        <v>6282</v>
      </c>
      <c r="R257" s="28" t="s">
        <v>6283</v>
      </c>
      <c r="S257" s="25"/>
      <c r="T257" s="20" t="b">
        <v>1</v>
      </c>
      <c r="U257" s="25"/>
      <c r="V257" s="25">
        <v>15.202</v>
      </c>
      <c r="W257" s="28" t="s">
        <v>7996</v>
      </c>
      <c r="X257" s="28" t="s">
        <v>6285</v>
      </c>
      <c r="Y257" s="28" t="s">
        <v>6286</v>
      </c>
      <c r="Z257" s="28" t="s">
        <v>6287</v>
      </c>
      <c r="AA257" s="28" t="s">
        <v>6288</v>
      </c>
      <c r="AB257" s="28" t="s">
        <v>6297</v>
      </c>
    </row>
    <row r="258" spans="1:28" ht="185.4" x14ac:dyDescent="0.3">
      <c r="A258" s="25">
        <v>6292</v>
      </c>
      <c r="B258" s="25" t="s">
        <v>7997</v>
      </c>
      <c r="C258" s="25" t="s">
        <v>7998</v>
      </c>
      <c r="D258" s="25" t="s">
        <v>6291</v>
      </c>
      <c r="E258" s="16" t="s">
        <v>6292</v>
      </c>
      <c r="F258" s="16" t="s">
        <v>6292</v>
      </c>
      <c r="G258" s="16" t="s">
        <v>6292</v>
      </c>
      <c r="H258" s="16" t="s">
        <v>6292</v>
      </c>
      <c r="I258" s="25" t="s">
        <v>7999</v>
      </c>
      <c r="J258" s="25"/>
      <c r="K258" s="25" t="s">
        <v>6281</v>
      </c>
      <c r="L258" s="26" t="s">
        <v>8000</v>
      </c>
      <c r="M258" s="26" t="s">
        <v>6295</v>
      </c>
      <c r="N258" s="27" t="s">
        <v>8001</v>
      </c>
      <c r="O258" s="26" t="s">
        <v>6295</v>
      </c>
      <c r="P258" s="20" t="b">
        <v>1</v>
      </c>
      <c r="Q258" s="20" t="s">
        <v>6282</v>
      </c>
      <c r="R258" s="28" t="s">
        <v>6283</v>
      </c>
      <c r="S258" s="25"/>
      <c r="T258" s="20" t="b">
        <v>1</v>
      </c>
      <c r="U258" s="25"/>
      <c r="V258" s="25">
        <v>15.02</v>
      </c>
      <c r="W258" s="28" t="s">
        <v>8002</v>
      </c>
      <c r="X258" s="28" t="s">
        <v>6285</v>
      </c>
      <c r="Y258" s="28" t="s">
        <v>6286</v>
      </c>
      <c r="Z258" s="28" t="s">
        <v>6287</v>
      </c>
      <c r="AA258" s="28" t="s">
        <v>6288</v>
      </c>
      <c r="AB258" s="28" t="s">
        <v>6297</v>
      </c>
    </row>
    <row r="259" spans="1:28" ht="185.4" x14ac:dyDescent="0.3">
      <c r="A259" s="25">
        <v>6293</v>
      </c>
      <c r="B259" s="25" t="s">
        <v>8003</v>
      </c>
      <c r="C259" s="25" t="s">
        <v>8004</v>
      </c>
      <c r="D259" s="25" t="s">
        <v>6291</v>
      </c>
      <c r="E259" s="16" t="s">
        <v>6292</v>
      </c>
      <c r="F259" s="16" t="s">
        <v>6292</v>
      </c>
      <c r="G259" s="16" t="s">
        <v>6292</v>
      </c>
      <c r="H259" s="16" t="s">
        <v>6292</v>
      </c>
      <c r="I259" s="25" t="s">
        <v>8005</v>
      </c>
      <c r="J259" s="25"/>
      <c r="K259" s="25" t="s">
        <v>6281</v>
      </c>
      <c r="L259" s="26" t="s">
        <v>8006</v>
      </c>
      <c r="M259" s="26" t="s">
        <v>6295</v>
      </c>
      <c r="N259" s="27" t="s">
        <v>8007</v>
      </c>
      <c r="O259" s="26" t="s">
        <v>6295</v>
      </c>
      <c r="P259" s="20" t="b">
        <v>1</v>
      </c>
      <c r="Q259" s="20" t="s">
        <v>6282</v>
      </c>
      <c r="R259" s="28" t="s">
        <v>6283</v>
      </c>
      <c r="S259" s="25"/>
      <c r="T259" s="20" t="b">
        <v>1</v>
      </c>
      <c r="U259" s="25"/>
      <c r="V259" s="25">
        <v>23.14</v>
      </c>
      <c r="W259" s="28" t="s">
        <v>8008</v>
      </c>
      <c r="X259" s="28" t="s">
        <v>6285</v>
      </c>
      <c r="Y259" s="28" t="s">
        <v>6286</v>
      </c>
      <c r="Z259" s="28" t="s">
        <v>6287</v>
      </c>
      <c r="AA259" s="28" t="s">
        <v>6288</v>
      </c>
      <c r="AB259" s="28" t="s">
        <v>6297</v>
      </c>
    </row>
    <row r="260" spans="1:28" ht="185.4" x14ac:dyDescent="0.3">
      <c r="A260" s="25">
        <v>6294</v>
      </c>
      <c r="B260" s="25" t="s">
        <v>8009</v>
      </c>
      <c r="C260" s="25" t="s">
        <v>8010</v>
      </c>
      <c r="D260" s="25" t="s">
        <v>6291</v>
      </c>
      <c r="E260" s="16" t="s">
        <v>6292</v>
      </c>
      <c r="F260" s="16" t="s">
        <v>6292</v>
      </c>
      <c r="G260" s="16" t="s">
        <v>6292</v>
      </c>
      <c r="H260" s="16" t="s">
        <v>6292</v>
      </c>
      <c r="I260" s="25" t="s">
        <v>8011</v>
      </c>
      <c r="J260" s="25"/>
      <c r="K260" s="25" t="s">
        <v>6281</v>
      </c>
      <c r="L260" s="26" t="s">
        <v>8012</v>
      </c>
      <c r="M260" s="26" t="s">
        <v>6295</v>
      </c>
      <c r="N260" s="27" t="s">
        <v>8013</v>
      </c>
      <c r="O260" s="26" t="s">
        <v>6295</v>
      </c>
      <c r="P260" s="20" t="b">
        <v>1</v>
      </c>
      <c r="Q260" s="20" t="s">
        <v>6282</v>
      </c>
      <c r="R260" s="28" t="s">
        <v>6283</v>
      </c>
      <c r="S260" s="25"/>
      <c r="T260" s="20" t="b">
        <v>1</v>
      </c>
      <c r="U260" s="25"/>
      <c r="V260" s="25">
        <v>31.34</v>
      </c>
      <c r="W260" s="28" t="s">
        <v>8014</v>
      </c>
      <c r="X260" s="28" t="s">
        <v>6285</v>
      </c>
      <c r="Y260" s="28" t="s">
        <v>6286</v>
      </c>
      <c r="Z260" s="28" t="s">
        <v>6287</v>
      </c>
      <c r="AA260" s="28" t="s">
        <v>6288</v>
      </c>
      <c r="AB260" s="28" t="s">
        <v>6297</v>
      </c>
    </row>
    <row r="261" spans="1:28" ht="185.4" x14ac:dyDescent="0.3">
      <c r="A261" s="25">
        <v>6299</v>
      </c>
      <c r="B261" s="25" t="s">
        <v>8015</v>
      </c>
      <c r="C261" s="25" t="s">
        <v>6306</v>
      </c>
      <c r="D261" s="25" t="s">
        <v>6291</v>
      </c>
      <c r="E261" s="16" t="s">
        <v>6292</v>
      </c>
      <c r="F261" s="16" t="s">
        <v>6292</v>
      </c>
      <c r="G261" s="16" t="s">
        <v>6292</v>
      </c>
      <c r="H261" s="16" t="s">
        <v>6292</v>
      </c>
      <c r="I261" s="25" t="s">
        <v>8016</v>
      </c>
      <c r="J261" s="25"/>
      <c r="K261" s="25" t="s">
        <v>6281</v>
      </c>
      <c r="L261" s="26" t="s">
        <v>8017</v>
      </c>
      <c r="M261" s="26" t="s">
        <v>8018</v>
      </c>
      <c r="N261" s="27" t="s">
        <v>8019</v>
      </c>
      <c r="O261" s="26" t="s">
        <v>7881</v>
      </c>
      <c r="P261" s="20" t="b">
        <v>1</v>
      </c>
      <c r="Q261" s="20" t="s">
        <v>6282</v>
      </c>
      <c r="R261" s="28" t="s">
        <v>6283</v>
      </c>
      <c r="S261" s="25"/>
      <c r="T261" s="20" t="b">
        <v>1</v>
      </c>
      <c r="U261" s="25"/>
      <c r="V261" s="25">
        <v>68.540000000000006</v>
      </c>
      <c r="W261" s="28" t="s">
        <v>8020</v>
      </c>
      <c r="X261" s="28" t="s">
        <v>6285</v>
      </c>
      <c r="Y261" s="28" t="s">
        <v>6286</v>
      </c>
      <c r="Z261" s="28" t="s">
        <v>6287</v>
      </c>
      <c r="AA261" s="28" t="s">
        <v>6288</v>
      </c>
      <c r="AB261" s="28" t="s">
        <v>6297</v>
      </c>
    </row>
    <row r="262" spans="1:28" ht="185.4" x14ac:dyDescent="0.3">
      <c r="A262" s="25">
        <v>6308</v>
      </c>
      <c r="B262" s="25" t="s">
        <v>8021</v>
      </c>
      <c r="C262" s="25" t="s">
        <v>8022</v>
      </c>
      <c r="D262" s="25" t="s">
        <v>6291</v>
      </c>
      <c r="E262" s="16" t="s">
        <v>6292</v>
      </c>
      <c r="F262" s="16" t="s">
        <v>6292</v>
      </c>
      <c r="G262" s="16" t="s">
        <v>6292</v>
      </c>
      <c r="H262" s="16" t="s">
        <v>6292</v>
      </c>
      <c r="I262" s="25" t="s">
        <v>8023</v>
      </c>
      <c r="J262" s="25"/>
      <c r="K262" s="25" t="s">
        <v>6281</v>
      </c>
      <c r="L262" s="26" t="s">
        <v>8024</v>
      </c>
      <c r="M262" s="26" t="s">
        <v>6295</v>
      </c>
      <c r="N262" s="27" t="s">
        <v>8025</v>
      </c>
      <c r="O262" s="26" t="s">
        <v>6295</v>
      </c>
      <c r="P262" s="20" t="b">
        <v>1</v>
      </c>
      <c r="Q262" s="20" t="s">
        <v>6282</v>
      </c>
      <c r="R262" s="28" t="s">
        <v>6283</v>
      </c>
      <c r="S262" s="25"/>
      <c r="T262" s="20" t="b">
        <v>1</v>
      </c>
      <c r="U262" s="25"/>
      <c r="V262" s="25">
        <v>4060</v>
      </c>
      <c r="W262" s="28" t="s">
        <v>8026</v>
      </c>
      <c r="X262" s="28" t="s">
        <v>6285</v>
      </c>
      <c r="Y262" s="28" t="s">
        <v>6286</v>
      </c>
      <c r="Z262" s="28" t="s">
        <v>6287</v>
      </c>
      <c r="AA262" s="28" t="s">
        <v>6288</v>
      </c>
      <c r="AB262" s="28" t="s">
        <v>6297</v>
      </c>
    </row>
    <row r="263" spans="1:28" ht="185.4" x14ac:dyDescent="0.3">
      <c r="A263" s="25">
        <v>6331</v>
      </c>
      <c r="B263" s="25" t="s">
        <v>8027</v>
      </c>
      <c r="C263" s="25" t="s">
        <v>8028</v>
      </c>
      <c r="D263" s="25" t="s">
        <v>6278</v>
      </c>
      <c r="E263" s="16" t="s">
        <v>6279</v>
      </c>
      <c r="F263" s="16" t="s">
        <v>6279</v>
      </c>
      <c r="G263" s="16" t="s">
        <v>6279</v>
      </c>
      <c r="H263" s="16" t="s">
        <v>6279</v>
      </c>
      <c r="I263" s="25" t="s">
        <v>8029</v>
      </c>
      <c r="J263" s="25"/>
      <c r="K263" s="25" t="s">
        <v>6281</v>
      </c>
      <c r="L263" s="26" t="s">
        <v>8030</v>
      </c>
      <c r="M263" s="26" t="s">
        <v>6295</v>
      </c>
      <c r="N263" s="27" t="s">
        <v>8031</v>
      </c>
      <c r="O263" s="26" t="s">
        <v>6295</v>
      </c>
      <c r="P263" s="20" t="b">
        <v>1</v>
      </c>
      <c r="Q263" s="20" t="s">
        <v>6282</v>
      </c>
      <c r="R263" s="28" t="s">
        <v>6283</v>
      </c>
      <c r="S263" s="25"/>
      <c r="T263" s="20" t="b">
        <v>1</v>
      </c>
      <c r="U263" s="25"/>
      <c r="V263" s="25">
        <v>17.309999999999999</v>
      </c>
      <c r="W263" s="28" t="s">
        <v>8032</v>
      </c>
      <c r="X263" s="28" t="s">
        <v>6285</v>
      </c>
      <c r="Y263" s="28" t="s">
        <v>6286</v>
      </c>
      <c r="Z263" s="28" t="s">
        <v>6287</v>
      </c>
      <c r="AA263" s="28" t="s">
        <v>6288</v>
      </c>
      <c r="AB263" s="28" t="s">
        <v>6297</v>
      </c>
    </row>
    <row r="264" spans="1:28" ht="185.4" x14ac:dyDescent="0.3">
      <c r="A264" s="25">
        <v>6335</v>
      </c>
      <c r="B264" s="25" t="s">
        <v>8033</v>
      </c>
      <c r="C264" s="25" t="s">
        <v>8034</v>
      </c>
      <c r="D264" s="25" t="s">
        <v>6291</v>
      </c>
      <c r="E264" s="16" t="s">
        <v>6786</v>
      </c>
      <c r="F264" s="16" t="s">
        <v>6786</v>
      </c>
      <c r="G264" s="16" t="s">
        <v>6786</v>
      </c>
      <c r="H264" s="16" t="s">
        <v>6786</v>
      </c>
      <c r="I264" s="25" t="s">
        <v>8035</v>
      </c>
      <c r="J264" s="25"/>
      <c r="K264" s="25" t="s">
        <v>6281</v>
      </c>
      <c r="L264" s="26" t="s">
        <v>8036</v>
      </c>
      <c r="M264" s="26" t="s">
        <v>6295</v>
      </c>
      <c r="N264" s="27" t="s">
        <v>8037</v>
      </c>
      <c r="O264" s="26" t="s">
        <v>6295</v>
      </c>
      <c r="P264" s="20" t="b">
        <v>1</v>
      </c>
      <c r="Q264" s="20" t="s">
        <v>6282</v>
      </c>
      <c r="R264" s="28" t="s">
        <v>6283</v>
      </c>
      <c r="S264" s="25"/>
      <c r="T264" s="20" t="b">
        <v>1</v>
      </c>
      <c r="U264" s="25"/>
      <c r="V264" s="25">
        <v>9.3249999999999993</v>
      </c>
      <c r="W264" s="28" t="s">
        <v>8038</v>
      </c>
      <c r="X264" s="28" t="s">
        <v>6285</v>
      </c>
      <c r="Y264" s="28" t="s">
        <v>6286</v>
      </c>
      <c r="Z264" s="28" t="s">
        <v>6287</v>
      </c>
      <c r="AA264" s="28" t="s">
        <v>6288</v>
      </c>
      <c r="AB264" s="28" t="s">
        <v>6297</v>
      </c>
    </row>
    <row r="265" spans="1:28" ht="185.4" x14ac:dyDescent="0.3">
      <c r="A265" s="25">
        <v>6337</v>
      </c>
      <c r="B265" s="25" t="s">
        <v>8039</v>
      </c>
      <c r="C265" s="25" t="s">
        <v>8040</v>
      </c>
      <c r="D265" s="25" t="s">
        <v>6291</v>
      </c>
      <c r="E265" s="16" t="s">
        <v>6292</v>
      </c>
      <c r="F265" s="16" t="s">
        <v>6292</v>
      </c>
      <c r="G265" s="16" t="s">
        <v>6292</v>
      </c>
      <c r="H265" s="16" t="s">
        <v>6292</v>
      </c>
      <c r="I265" s="25" t="s">
        <v>8041</v>
      </c>
      <c r="J265" s="25"/>
      <c r="K265" s="25" t="s">
        <v>6281</v>
      </c>
      <c r="L265" s="26" t="s">
        <v>8042</v>
      </c>
      <c r="M265" s="26" t="s">
        <v>6295</v>
      </c>
      <c r="N265" s="27" t="s">
        <v>8043</v>
      </c>
      <c r="O265" s="26" t="s">
        <v>8044</v>
      </c>
      <c r="P265" s="20" t="b">
        <v>1</v>
      </c>
      <c r="Q265" s="20" t="s">
        <v>6282</v>
      </c>
      <c r="R265" s="28" t="s">
        <v>6283</v>
      </c>
      <c r="S265" s="25"/>
      <c r="T265" s="20" t="b">
        <v>1</v>
      </c>
      <c r="U265" s="25"/>
      <c r="V265" s="25">
        <v>116.2</v>
      </c>
      <c r="W265" s="28" t="s">
        <v>8045</v>
      </c>
      <c r="X265" s="28" t="s">
        <v>6285</v>
      </c>
      <c r="Y265" s="28" t="s">
        <v>6286</v>
      </c>
      <c r="Z265" s="28" t="s">
        <v>6287</v>
      </c>
      <c r="AA265" s="28" t="s">
        <v>6288</v>
      </c>
      <c r="AB265" s="28" t="s">
        <v>6297</v>
      </c>
    </row>
    <row r="266" spans="1:28" ht="185.4" x14ac:dyDescent="0.3">
      <c r="A266" s="25">
        <v>6340</v>
      </c>
      <c r="B266" s="25" t="s">
        <v>8046</v>
      </c>
      <c r="C266" s="25" t="s">
        <v>8047</v>
      </c>
      <c r="D266" s="25" t="s">
        <v>6291</v>
      </c>
      <c r="E266" s="16" t="s">
        <v>6786</v>
      </c>
      <c r="F266" s="16" t="s">
        <v>6786</v>
      </c>
      <c r="G266" s="16" t="s">
        <v>6786</v>
      </c>
      <c r="H266" s="16" t="s">
        <v>6786</v>
      </c>
      <c r="I266" s="25" t="s">
        <v>8048</v>
      </c>
      <c r="J266" s="25"/>
      <c r="K266" s="25" t="s">
        <v>6281</v>
      </c>
      <c r="L266" s="26" t="s">
        <v>8049</v>
      </c>
      <c r="M266" s="26" t="s">
        <v>6295</v>
      </c>
      <c r="N266" s="27" t="s">
        <v>8050</v>
      </c>
      <c r="O266" s="26" t="s">
        <v>6295</v>
      </c>
      <c r="P266" s="20" t="b">
        <v>1</v>
      </c>
      <c r="Q266" s="20" t="s">
        <v>6282</v>
      </c>
      <c r="R266" s="28" t="s">
        <v>6283</v>
      </c>
      <c r="S266" s="25"/>
      <c r="T266" s="20" t="b">
        <v>1</v>
      </c>
      <c r="U266" s="25"/>
      <c r="V266" s="25">
        <v>0.69599999999999995</v>
      </c>
      <c r="W266" s="28" t="s">
        <v>8051</v>
      </c>
      <c r="X266" s="28" t="s">
        <v>6285</v>
      </c>
      <c r="Y266" s="28" t="s">
        <v>6286</v>
      </c>
      <c r="Z266" s="28" t="s">
        <v>6287</v>
      </c>
      <c r="AA266" s="28" t="s">
        <v>6288</v>
      </c>
      <c r="AB266" s="28" t="s">
        <v>6297</v>
      </c>
    </row>
    <row r="267" spans="1:28" ht="185.4" x14ac:dyDescent="0.3">
      <c r="A267" s="25">
        <v>6342</v>
      </c>
      <c r="B267" s="25" t="s">
        <v>8052</v>
      </c>
      <c r="C267" s="25" t="s">
        <v>6306</v>
      </c>
      <c r="D267" s="25" t="s">
        <v>6291</v>
      </c>
      <c r="E267" s="16" t="s">
        <v>6292</v>
      </c>
      <c r="F267" s="16" t="s">
        <v>6292</v>
      </c>
      <c r="G267" s="16" t="s">
        <v>6292</v>
      </c>
      <c r="H267" s="16" t="s">
        <v>6292</v>
      </c>
      <c r="I267" s="25" t="s">
        <v>8053</v>
      </c>
      <c r="J267" s="25"/>
      <c r="K267" s="25" t="s">
        <v>6281</v>
      </c>
      <c r="L267" s="26" t="s">
        <v>8054</v>
      </c>
      <c r="M267" s="26" t="s">
        <v>8055</v>
      </c>
      <c r="N267" s="27" t="s">
        <v>8019</v>
      </c>
      <c r="O267" s="26" t="s">
        <v>7881</v>
      </c>
      <c r="P267" s="20" t="b">
        <v>1</v>
      </c>
      <c r="Q267" s="20" t="s">
        <v>6282</v>
      </c>
      <c r="R267" s="28" t="s">
        <v>6283</v>
      </c>
      <c r="S267" s="25"/>
      <c r="T267" s="20" t="b">
        <v>1</v>
      </c>
      <c r="U267" s="25"/>
      <c r="V267" s="25">
        <v>16.079999999999998</v>
      </c>
      <c r="W267" s="28" t="s">
        <v>8056</v>
      </c>
      <c r="X267" s="28" t="s">
        <v>6285</v>
      </c>
      <c r="Y267" s="28" t="s">
        <v>6286</v>
      </c>
      <c r="Z267" s="28" t="s">
        <v>6287</v>
      </c>
      <c r="AA267" s="28" t="s">
        <v>6288</v>
      </c>
      <c r="AB267" s="28" t="s">
        <v>6297</v>
      </c>
    </row>
    <row r="268" spans="1:28" ht="185.4" x14ac:dyDescent="0.3">
      <c r="A268" s="25">
        <v>6345</v>
      </c>
      <c r="B268" s="25" t="s">
        <v>8057</v>
      </c>
      <c r="C268" s="25" t="s">
        <v>6299</v>
      </c>
      <c r="D268" s="25" t="s">
        <v>6291</v>
      </c>
      <c r="E268" s="16" t="s">
        <v>6292</v>
      </c>
      <c r="F268" s="16" t="s">
        <v>6292</v>
      </c>
      <c r="G268" s="16" t="s">
        <v>6292</v>
      </c>
      <c r="H268" s="16" t="s">
        <v>6292</v>
      </c>
      <c r="I268" s="25" t="s">
        <v>8058</v>
      </c>
      <c r="J268" s="25"/>
      <c r="K268" s="25" t="s">
        <v>6281</v>
      </c>
      <c r="L268" s="26" t="s">
        <v>8059</v>
      </c>
      <c r="M268" s="26" t="s">
        <v>8060</v>
      </c>
      <c r="N268" s="27" t="s">
        <v>8061</v>
      </c>
      <c r="O268" s="26" t="s">
        <v>7939</v>
      </c>
      <c r="P268" s="20" t="b">
        <v>1</v>
      </c>
      <c r="Q268" s="20" t="s">
        <v>6282</v>
      </c>
      <c r="R268" s="28" t="s">
        <v>6283</v>
      </c>
      <c r="S268" s="25"/>
      <c r="T268" s="20" t="b">
        <v>1</v>
      </c>
      <c r="U268" s="25"/>
      <c r="V268" s="25">
        <v>46.65</v>
      </c>
      <c r="W268" s="28" t="s">
        <v>8062</v>
      </c>
      <c r="X268" s="28" t="s">
        <v>6285</v>
      </c>
      <c r="Y268" s="28" t="s">
        <v>6286</v>
      </c>
      <c r="Z268" s="28" t="s">
        <v>6287</v>
      </c>
      <c r="AA268" s="28" t="s">
        <v>6288</v>
      </c>
      <c r="AB268" s="28" t="s">
        <v>6297</v>
      </c>
    </row>
    <row r="269" spans="1:28" ht="185.4" x14ac:dyDescent="0.3">
      <c r="A269" s="25">
        <v>6377</v>
      </c>
      <c r="B269" s="25" t="s">
        <v>8063</v>
      </c>
      <c r="C269" s="25" t="s">
        <v>6306</v>
      </c>
      <c r="D269" s="25" t="s">
        <v>6291</v>
      </c>
      <c r="E269" s="16" t="s">
        <v>6292</v>
      </c>
      <c r="F269" s="16" t="s">
        <v>6292</v>
      </c>
      <c r="G269" s="16" t="s">
        <v>6292</v>
      </c>
      <c r="H269" s="16" t="s">
        <v>6292</v>
      </c>
      <c r="I269" s="25" t="s">
        <v>8064</v>
      </c>
      <c r="J269" s="25"/>
      <c r="K269" s="25" t="s">
        <v>6281</v>
      </c>
      <c r="L269" s="26" t="s">
        <v>8065</v>
      </c>
      <c r="M269" s="26" t="s">
        <v>8066</v>
      </c>
      <c r="N269" s="27" t="s">
        <v>8067</v>
      </c>
      <c r="O269" s="26" t="s">
        <v>7939</v>
      </c>
      <c r="P269" s="20" t="b">
        <v>1</v>
      </c>
      <c r="Q269" s="20" t="s">
        <v>6282</v>
      </c>
      <c r="R269" s="28" t="s">
        <v>6283</v>
      </c>
      <c r="S269" s="25"/>
      <c r="T269" s="20" t="b">
        <v>1</v>
      </c>
      <c r="U269" s="25"/>
      <c r="V269" s="25">
        <v>23.75</v>
      </c>
      <c r="W269" s="28" t="s">
        <v>8068</v>
      </c>
      <c r="X269" s="28" t="s">
        <v>6285</v>
      </c>
      <c r="Y269" s="28" t="s">
        <v>6286</v>
      </c>
      <c r="Z269" s="28" t="s">
        <v>6287</v>
      </c>
      <c r="AA269" s="28" t="s">
        <v>6288</v>
      </c>
      <c r="AB269" s="28" t="s">
        <v>6297</v>
      </c>
    </row>
    <row r="270" spans="1:28" ht="185.4" x14ac:dyDescent="0.3">
      <c r="A270" s="25">
        <v>6386</v>
      </c>
      <c r="B270" s="25" t="s">
        <v>8069</v>
      </c>
      <c r="C270" s="25" t="s">
        <v>8070</v>
      </c>
      <c r="D270" s="25" t="s">
        <v>6291</v>
      </c>
      <c r="E270" s="16" t="s">
        <v>6292</v>
      </c>
      <c r="F270" s="16" t="s">
        <v>6292</v>
      </c>
      <c r="G270" s="16" t="s">
        <v>6292</v>
      </c>
      <c r="H270" s="16" t="s">
        <v>6292</v>
      </c>
      <c r="I270" s="25" t="s">
        <v>8071</v>
      </c>
      <c r="J270" s="25"/>
      <c r="K270" s="25" t="s">
        <v>6281</v>
      </c>
      <c r="L270" s="26" t="s">
        <v>8072</v>
      </c>
      <c r="M270" s="26" t="s">
        <v>8073</v>
      </c>
      <c r="N270" s="27" t="s">
        <v>8074</v>
      </c>
      <c r="O270" s="26" t="s">
        <v>7881</v>
      </c>
      <c r="P270" s="20" t="b">
        <v>1</v>
      </c>
      <c r="Q270" s="20" t="s">
        <v>6282</v>
      </c>
      <c r="R270" s="28" t="s">
        <v>6283</v>
      </c>
      <c r="S270" s="25"/>
      <c r="T270" s="20" t="b">
        <v>1</v>
      </c>
      <c r="U270" s="25"/>
      <c r="V270" s="25">
        <v>91</v>
      </c>
      <c r="W270" s="28" t="s">
        <v>8075</v>
      </c>
      <c r="X270" s="28" t="s">
        <v>6285</v>
      </c>
      <c r="Y270" s="28" t="s">
        <v>6286</v>
      </c>
      <c r="Z270" s="28" t="s">
        <v>6287</v>
      </c>
      <c r="AA270" s="28" t="s">
        <v>6288</v>
      </c>
      <c r="AB270" s="28" t="s">
        <v>6297</v>
      </c>
    </row>
    <row r="271" spans="1:28" ht="185.4" x14ac:dyDescent="0.3">
      <c r="A271" s="25">
        <v>6391</v>
      </c>
      <c r="B271" s="25" t="s">
        <v>8076</v>
      </c>
      <c r="C271" s="25" t="s">
        <v>8077</v>
      </c>
      <c r="D271" s="25" t="s">
        <v>6278</v>
      </c>
      <c r="E271" s="16" t="s">
        <v>6279</v>
      </c>
      <c r="F271" s="16" t="s">
        <v>6279</v>
      </c>
      <c r="G271" s="16" t="s">
        <v>6279</v>
      </c>
      <c r="H271" s="16" t="s">
        <v>6279</v>
      </c>
      <c r="I271" s="25" t="s">
        <v>8078</v>
      </c>
      <c r="J271" s="25"/>
      <c r="K271" s="25" t="s">
        <v>6281</v>
      </c>
      <c r="L271" s="26" t="s">
        <v>8079</v>
      </c>
      <c r="M271" s="26" t="s">
        <v>8080</v>
      </c>
      <c r="N271" s="27" t="s">
        <v>8081</v>
      </c>
      <c r="O271" s="26" t="s">
        <v>8082</v>
      </c>
      <c r="P271" s="20" t="b">
        <v>1</v>
      </c>
      <c r="Q271" s="20" t="s">
        <v>6282</v>
      </c>
      <c r="R271" s="28" t="s">
        <v>6283</v>
      </c>
      <c r="S271" s="25"/>
      <c r="T271" s="20" t="b">
        <v>1</v>
      </c>
      <c r="U271" s="25"/>
      <c r="V271" s="25">
        <v>120</v>
      </c>
      <c r="W271" s="28" t="s">
        <v>8083</v>
      </c>
      <c r="X271" s="28" t="s">
        <v>6285</v>
      </c>
      <c r="Y271" s="28" t="s">
        <v>6286</v>
      </c>
      <c r="Z271" s="28" t="s">
        <v>6287</v>
      </c>
      <c r="AA271" s="28" t="s">
        <v>6288</v>
      </c>
      <c r="AB271" s="28" t="s">
        <v>6297</v>
      </c>
    </row>
    <row r="272" spans="1:28" ht="225" x14ac:dyDescent="0.3">
      <c r="A272" s="25">
        <v>6411</v>
      </c>
      <c r="B272" s="25" t="s">
        <v>8084</v>
      </c>
      <c r="C272" s="25" t="s">
        <v>8085</v>
      </c>
      <c r="D272" s="25" t="s">
        <v>6291</v>
      </c>
      <c r="E272" s="16" t="s">
        <v>6292</v>
      </c>
      <c r="F272" s="16" t="s">
        <v>6292</v>
      </c>
      <c r="G272" s="16" t="s">
        <v>6292</v>
      </c>
      <c r="H272" s="16" t="s">
        <v>6292</v>
      </c>
      <c r="I272" s="25" t="s">
        <v>8086</v>
      </c>
      <c r="J272" s="25"/>
      <c r="K272" s="25" t="s">
        <v>6281</v>
      </c>
      <c r="L272" s="26" t="s">
        <v>8087</v>
      </c>
      <c r="M272" s="26" t="s">
        <v>8088</v>
      </c>
      <c r="N272" s="27" t="s">
        <v>8089</v>
      </c>
      <c r="O272" s="26" t="s">
        <v>8090</v>
      </c>
      <c r="P272" s="20" t="b">
        <v>1</v>
      </c>
      <c r="Q272" s="20" t="s">
        <v>6282</v>
      </c>
      <c r="R272" s="28" t="s">
        <v>6283</v>
      </c>
      <c r="S272" s="25"/>
      <c r="T272" s="20" t="b">
        <v>1</v>
      </c>
      <c r="U272" s="25"/>
      <c r="V272" s="25">
        <v>35.9</v>
      </c>
      <c r="W272" s="28" t="s">
        <v>8091</v>
      </c>
      <c r="X272" s="28" t="s">
        <v>6285</v>
      </c>
      <c r="Y272" s="28" t="s">
        <v>6286</v>
      </c>
      <c r="Z272" s="28" t="s">
        <v>6287</v>
      </c>
      <c r="AA272" s="28" t="s">
        <v>6288</v>
      </c>
      <c r="AB272" s="28" t="s">
        <v>6297</v>
      </c>
    </row>
    <row r="273" spans="1:28" ht="207" x14ac:dyDescent="0.3">
      <c r="A273" s="25">
        <v>6415</v>
      </c>
      <c r="B273" s="25" t="s">
        <v>8092</v>
      </c>
      <c r="C273" s="25" t="s">
        <v>8093</v>
      </c>
      <c r="D273" s="25" t="s">
        <v>6278</v>
      </c>
      <c r="E273" s="16" t="s">
        <v>6279</v>
      </c>
      <c r="F273" s="16" t="s">
        <v>6279</v>
      </c>
      <c r="G273" s="16" t="s">
        <v>6279</v>
      </c>
      <c r="H273" s="16" t="s">
        <v>6279</v>
      </c>
      <c r="I273" s="25" t="s">
        <v>8094</v>
      </c>
      <c r="J273" s="25"/>
      <c r="K273" s="25" t="s">
        <v>6281</v>
      </c>
      <c r="L273" s="26" t="s">
        <v>8095</v>
      </c>
      <c r="M273" s="26" t="s">
        <v>7262</v>
      </c>
      <c r="N273" s="27" t="s">
        <v>8096</v>
      </c>
      <c r="O273" s="26" t="s">
        <v>7250</v>
      </c>
      <c r="P273" s="20" t="b">
        <v>1</v>
      </c>
      <c r="Q273" s="20" t="s">
        <v>6282</v>
      </c>
      <c r="R273" s="28" t="s">
        <v>6283</v>
      </c>
      <c r="S273" s="25"/>
      <c r="T273" s="20" t="b">
        <v>1</v>
      </c>
      <c r="U273" s="25"/>
      <c r="V273" s="25">
        <v>57.25</v>
      </c>
      <c r="W273" s="28" t="s">
        <v>8097</v>
      </c>
      <c r="X273" s="28" t="s">
        <v>6285</v>
      </c>
      <c r="Y273" s="28" t="s">
        <v>6286</v>
      </c>
      <c r="Z273" s="28" t="s">
        <v>6287</v>
      </c>
      <c r="AA273" s="28" t="s">
        <v>6288</v>
      </c>
      <c r="AB273" s="28" t="s">
        <v>6297</v>
      </c>
    </row>
    <row r="274" spans="1:28" ht="185.4" x14ac:dyDescent="0.3">
      <c r="A274" s="25">
        <v>6422</v>
      </c>
      <c r="B274" s="25" t="s">
        <v>8098</v>
      </c>
      <c r="C274" s="25" t="s">
        <v>8099</v>
      </c>
      <c r="D274" s="25" t="s">
        <v>6278</v>
      </c>
      <c r="E274" s="16" t="s">
        <v>6279</v>
      </c>
      <c r="F274" s="16" t="s">
        <v>6279</v>
      </c>
      <c r="G274" s="16" t="s">
        <v>6279</v>
      </c>
      <c r="H274" s="16" t="s">
        <v>6279</v>
      </c>
      <c r="I274" s="25" t="s">
        <v>8100</v>
      </c>
      <c r="J274" s="25"/>
      <c r="K274" s="25" t="s">
        <v>6281</v>
      </c>
      <c r="L274" s="26" t="s">
        <v>8101</v>
      </c>
      <c r="M274" s="26" t="s">
        <v>8102</v>
      </c>
      <c r="N274" s="27" t="s">
        <v>8103</v>
      </c>
      <c r="O274" s="26" t="s">
        <v>8104</v>
      </c>
      <c r="P274" s="20" t="b">
        <v>1</v>
      </c>
      <c r="Q274" s="20" t="s">
        <v>6282</v>
      </c>
      <c r="R274" s="28" t="s">
        <v>6283</v>
      </c>
      <c r="S274" s="25"/>
      <c r="T274" s="20" t="b">
        <v>1</v>
      </c>
      <c r="U274" s="25"/>
      <c r="V274" s="25">
        <v>357.798</v>
      </c>
      <c r="W274" s="28" t="s">
        <v>8105</v>
      </c>
      <c r="X274" s="28" t="s">
        <v>6285</v>
      </c>
      <c r="Y274" s="28" t="s">
        <v>6286</v>
      </c>
      <c r="Z274" s="28" t="s">
        <v>6287</v>
      </c>
      <c r="AA274" s="28" t="s">
        <v>6288</v>
      </c>
      <c r="AB274" s="28" t="s">
        <v>6297</v>
      </c>
    </row>
    <row r="275" spans="1:28" ht="185.4" x14ac:dyDescent="0.3">
      <c r="A275" s="25">
        <v>6424</v>
      </c>
      <c r="B275" s="25" t="s">
        <v>8106</v>
      </c>
      <c r="C275" s="25" t="s">
        <v>8107</v>
      </c>
      <c r="D275" s="25" t="s">
        <v>6291</v>
      </c>
      <c r="E275" s="16" t="s">
        <v>6292</v>
      </c>
      <c r="F275" s="16" t="s">
        <v>6292</v>
      </c>
      <c r="G275" s="16" t="s">
        <v>6292</v>
      </c>
      <c r="H275" s="16" t="s">
        <v>6292</v>
      </c>
      <c r="I275" s="25" t="s">
        <v>8108</v>
      </c>
      <c r="J275" s="25"/>
      <c r="K275" s="25" t="s">
        <v>6281</v>
      </c>
      <c r="L275" s="26" t="s">
        <v>8109</v>
      </c>
      <c r="M275" s="26" t="s">
        <v>6295</v>
      </c>
      <c r="N275" s="27" t="s">
        <v>8110</v>
      </c>
      <c r="O275" s="26" t="s">
        <v>6295</v>
      </c>
      <c r="P275" s="20" t="b">
        <v>1</v>
      </c>
      <c r="Q275" s="20" t="s">
        <v>6282</v>
      </c>
      <c r="R275" s="28" t="s">
        <v>6283</v>
      </c>
      <c r="S275" s="25"/>
      <c r="T275" s="20" t="b">
        <v>1</v>
      </c>
      <c r="U275" s="25"/>
      <c r="V275" s="25">
        <v>5.98</v>
      </c>
      <c r="W275" s="28" t="s">
        <v>8111</v>
      </c>
      <c r="X275" s="28" t="s">
        <v>6285</v>
      </c>
      <c r="Y275" s="28" t="s">
        <v>6286</v>
      </c>
      <c r="Z275" s="28" t="s">
        <v>6287</v>
      </c>
      <c r="AA275" s="28" t="s">
        <v>6288</v>
      </c>
      <c r="AB275" s="28" t="s">
        <v>6297</v>
      </c>
    </row>
    <row r="276" spans="1:28" ht="193.2" x14ac:dyDescent="0.3">
      <c r="A276" s="25">
        <v>6425</v>
      </c>
      <c r="B276" s="25" t="s">
        <v>8112</v>
      </c>
      <c r="C276" s="25" t="s">
        <v>8113</v>
      </c>
      <c r="D276" s="25" t="s">
        <v>6278</v>
      </c>
      <c r="E276" s="16" t="s">
        <v>6279</v>
      </c>
      <c r="F276" s="16" t="s">
        <v>6279</v>
      </c>
      <c r="G276" s="16" t="s">
        <v>6279</v>
      </c>
      <c r="H276" s="16" t="s">
        <v>6279</v>
      </c>
      <c r="I276" s="25" t="s">
        <v>8114</v>
      </c>
      <c r="J276" s="25"/>
      <c r="K276" s="25" t="s">
        <v>6281</v>
      </c>
      <c r="L276" s="26" t="s">
        <v>8115</v>
      </c>
      <c r="M276" s="26" t="s">
        <v>8116</v>
      </c>
      <c r="N276" s="27" t="s">
        <v>8117</v>
      </c>
      <c r="O276" s="26" t="s">
        <v>8118</v>
      </c>
      <c r="P276" s="20" t="b">
        <v>1</v>
      </c>
      <c r="Q276" s="20" t="s">
        <v>6282</v>
      </c>
      <c r="R276" s="28" t="s">
        <v>6283</v>
      </c>
      <c r="S276" s="25"/>
      <c r="T276" s="20" t="b">
        <v>1</v>
      </c>
      <c r="U276" s="25"/>
      <c r="V276" s="25" t="s">
        <v>6295</v>
      </c>
      <c r="W276" s="28" t="s">
        <v>8119</v>
      </c>
      <c r="X276" s="28" t="s">
        <v>6285</v>
      </c>
      <c r="Y276" s="28" t="s">
        <v>6286</v>
      </c>
      <c r="Z276" s="28" t="s">
        <v>6287</v>
      </c>
      <c r="AA276" s="28" t="s">
        <v>6288</v>
      </c>
      <c r="AB276" s="28" t="s">
        <v>6297</v>
      </c>
    </row>
    <row r="277" spans="1:28" ht="185.4" x14ac:dyDescent="0.3">
      <c r="A277" s="25">
        <v>6426</v>
      </c>
      <c r="B277" s="25" t="s">
        <v>8120</v>
      </c>
      <c r="C277" s="25" t="s">
        <v>8121</v>
      </c>
      <c r="D277" s="25" t="s">
        <v>6291</v>
      </c>
      <c r="E277" s="16" t="s">
        <v>6292</v>
      </c>
      <c r="F277" s="16" t="s">
        <v>6292</v>
      </c>
      <c r="G277" s="16" t="s">
        <v>6292</v>
      </c>
      <c r="H277" s="16" t="s">
        <v>6292</v>
      </c>
      <c r="I277" s="25" t="s">
        <v>8122</v>
      </c>
      <c r="J277" s="25"/>
      <c r="K277" s="25" t="s">
        <v>6281</v>
      </c>
      <c r="L277" s="26" t="s">
        <v>8123</v>
      </c>
      <c r="M277" s="26" t="s">
        <v>8073</v>
      </c>
      <c r="N277" s="27" t="s">
        <v>8124</v>
      </c>
      <c r="O277" s="26" t="s">
        <v>8125</v>
      </c>
      <c r="P277" s="20" t="b">
        <v>1</v>
      </c>
      <c r="Q277" s="20" t="s">
        <v>6282</v>
      </c>
      <c r="R277" s="28" t="s">
        <v>6283</v>
      </c>
      <c r="S277" s="25"/>
      <c r="T277" s="20" t="b">
        <v>1</v>
      </c>
      <c r="U277" s="25"/>
      <c r="V277" s="25">
        <v>295.98</v>
      </c>
      <c r="W277" s="28" t="s">
        <v>8126</v>
      </c>
      <c r="X277" s="28" t="s">
        <v>6285</v>
      </c>
      <c r="Y277" s="28" t="s">
        <v>6286</v>
      </c>
      <c r="Z277" s="28" t="s">
        <v>6287</v>
      </c>
      <c r="AA277" s="28" t="s">
        <v>6288</v>
      </c>
      <c r="AB277" s="28" t="s">
        <v>6297</v>
      </c>
    </row>
    <row r="278" spans="1:28" ht="185.4" x14ac:dyDescent="0.3">
      <c r="A278" s="25">
        <v>6427</v>
      </c>
      <c r="B278" s="25" t="s">
        <v>8127</v>
      </c>
      <c r="C278" s="25" t="s">
        <v>8128</v>
      </c>
      <c r="D278" s="25" t="s">
        <v>6278</v>
      </c>
      <c r="E278" s="16" t="s">
        <v>6279</v>
      </c>
      <c r="F278" s="16" t="s">
        <v>6279</v>
      </c>
      <c r="G278" s="16" t="s">
        <v>6279</v>
      </c>
      <c r="H278" s="16" t="s">
        <v>6279</v>
      </c>
      <c r="I278" s="25" t="s">
        <v>8129</v>
      </c>
      <c r="J278" s="25"/>
      <c r="K278" s="25" t="s">
        <v>6281</v>
      </c>
      <c r="L278" s="26" t="s">
        <v>8130</v>
      </c>
      <c r="M278" s="26" t="s">
        <v>8131</v>
      </c>
      <c r="N278" s="27" t="s">
        <v>8132</v>
      </c>
      <c r="O278" s="26" t="s">
        <v>8133</v>
      </c>
      <c r="P278" s="20" t="b">
        <v>1</v>
      </c>
      <c r="Q278" s="20" t="s">
        <v>6282</v>
      </c>
      <c r="R278" s="28" t="s">
        <v>6283</v>
      </c>
      <c r="S278" s="25"/>
      <c r="T278" s="20" t="b">
        <v>1</v>
      </c>
      <c r="U278" s="25"/>
      <c r="V278" s="25">
        <v>325.14999999999998</v>
      </c>
      <c r="W278" s="28" t="s">
        <v>8134</v>
      </c>
      <c r="X278" s="28" t="s">
        <v>6285</v>
      </c>
      <c r="Y278" s="28" t="s">
        <v>6286</v>
      </c>
      <c r="Z278" s="28" t="s">
        <v>6287</v>
      </c>
      <c r="AA278" s="28" t="s">
        <v>6288</v>
      </c>
      <c r="AB278" s="28" t="s">
        <v>6297</v>
      </c>
    </row>
    <row r="279" spans="1:28" ht="185.4" x14ac:dyDescent="0.3">
      <c r="A279" s="25">
        <v>6441</v>
      </c>
      <c r="B279" s="25" t="s">
        <v>8135</v>
      </c>
      <c r="C279" s="25" t="s">
        <v>8136</v>
      </c>
      <c r="D279" s="25" t="s">
        <v>6278</v>
      </c>
      <c r="E279" s="16" t="s">
        <v>6279</v>
      </c>
      <c r="F279" s="16" t="s">
        <v>6279</v>
      </c>
      <c r="G279" s="16" t="s">
        <v>6279</v>
      </c>
      <c r="H279" s="16" t="s">
        <v>6279</v>
      </c>
      <c r="I279" s="25" t="s">
        <v>8137</v>
      </c>
      <c r="J279" s="25"/>
      <c r="K279" s="25" t="s">
        <v>6281</v>
      </c>
      <c r="L279" s="26" t="s">
        <v>8138</v>
      </c>
      <c r="M279" s="26" t="s">
        <v>8139</v>
      </c>
      <c r="N279" s="27" t="s">
        <v>8140</v>
      </c>
      <c r="O279" s="26" t="s">
        <v>6295</v>
      </c>
      <c r="P279" s="20" t="b">
        <v>1</v>
      </c>
      <c r="Q279" s="20" t="s">
        <v>6282</v>
      </c>
      <c r="R279" s="28" t="s">
        <v>6283</v>
      </c>
      <c r="S279" s="25"/>
      <c r="T279" s="20" t="b">
        <v>1</v>
      </c>
      <c r="U279" s="25"/>
      <c r="V279" s="25">
        <v>749.6</v>
      </c>
      <c r="W279" s="28" t="s">
        <v>8141</v>
      </c>
      <c r="X279" s="28" t="s">
        <v>6285</v>
      </c>
      <c r="Y279" s="28" t="s">
        <v>6286</v>
      </c>
      <c r="Z279" s="28" t="s">
        <v>6287</v>
      </c>
      <c r="AA279" s="28" t="s">
        <v>6288</v>
      </c>
      <c r="AB279" s="28" t="s">
        <v>6297</v>
      </c>
    </row>
    <row r="280" spans="1:28" ht="185.4" x14ac:dyDescent="0.3">
      <c r="A280" s="25">
        <v>6442</v>
      </c>
      <c r="B280" s="25" t="s">
        <v>8142</v>
      </c>
      <c r="C280" s="25" t="s">
        <v>8143</v>
      </c>
      <c r="D280" s="25" t="s">
        <v>6278</v>
      </c>
      <c r="E280" s="16" t="s">
        <v>6279</v>
      </c>
      <c r="F280" s="16" t="s">
        <v>6279</v>
      </c>
      <c r="G280" s="16" t="s">
        <v>6279</v>
      </c>
      <c r="H280" s="16" t="s">
        <v>6279</v>
      </c>
      <c r="I280" s="25" t="s">
        <v>8144</v>
      </c>
      <c r="J280" s="25"/>
      <c r="K280" s="25" t="s">
        <v>6281</v>
      </c>
      <c r="L280" s="26" t="s">
        <v>8145</v>
      </c>
      <c r="M280" s="26" t="s">
        <v>8146</v>
      </c>
      <c r="N280" s="27" t="s">
        <v>8147</v>
      </c>
      <c r="O280" s="26" t="s">
        <v>6295</v>
      </c>
      <c r="P280" s="20" t="b">
        <v>1</v>
      </c>
      <c r="Q280" s="20" t="s">
        <v>6282</v>
      </c>
      <c r="R280" s="28" t="s">
        <v>6283</v>
      </c>
      <c r="S280" s="25"/>
      <c r="T280" s="20" t="b">
        <v>1</v>
      </c>
      <c r="U280" s="25"/>
      <c r="V280" s="25">
        <v>689.53</v>
      </c>
      <c r="W280" s="28" t="s">
        <v>8148</v>
      </c>
      <c r="X280" s="28" t="s">
        <v>6285</v>
      </c>
      <c r="Y280" s="28" t="s">
        <v>6286</v>
      </c>
      <c r="Z280" s="28" t="s">
        <v>6287</v>
      </c>
      <c r="AA280" s="28" t="s">
        <v>6288</v>
      </c>
      <c r="AB280" s="28" t="s">
        <v>6297</v>
      </c>
    </row>
    <row r="281" spans="1:28" ht="185.4" x14ac:dyDescent="0.3">
      <c r="A281" s="25">
        <v>6445</v>
      </c>
      <c r="B281" s="25" t="s">
        <v>8149</v>
      </c>
      <c r="C281" s="25" t="s">
        <v>8150</v>
      </c>
      <c r="D281" s="25" t="s">
        <v>6278</v>
      </c>
      <c r="E281" s="16" t="s">
        <v>6279</v>
      </c>
      <c r="F281" s="16" t="s">
        <v>6279</v>
      </c>
      <c r="G281" s="16" t="s">
        <v>6279</v>
      </c>
      <c r="H281" s="16" t="s">
        <v>6279</v>
      </c>
      <c r="I281" s="25" t="s">
        <v>8151</v>
      </c>
      <c r="J281" s="25"/>
      <c r="K281" s="25" t="s">
        <v>6281</v>
      </c>
      <c r="L281" s="26" t="s">
        <v>8152</v>
      </c>
      <c r="M281" s="26" t="s">
        <v>6295</v>
      </c>
      <c r="N281" s="27" t="s">
        <v>8153</v>
      </c>
      <c r="O281" s="26" t="s">
        <v>6295</v>
      </c>
      <c r="P281" s="20" t="b">
        <v>1</v>
      </c>
      <c r="Q281" s="20" t="s">
        <v>6282</v>
      </c>
      <c r="R281" s="28" t="s">
        <v>6283</v>
      </c>
      <c r="S281" s="25"/>
      <c r="T281" s="20" t="b">
        <v>1</v>
      </c>
      <c r="U281" s="25"/>
      <c r="V281" s="25">
        <v>940.08</v>
      </c>
      <c r="W281" s="28" t="s">
        <v>8154</v>
      </c>
      <c r="X281" s="28" t="s">
        <v>6285</v>
      </c>
      <c r="Y281" s="28" t="s">
        <v>6286</v>
      </c>
      <c r="Z281" s="28" t="s">
        <v>6287</v>
      </c>
      <c r="AA281" s="28" t="s">
        <v>6288</v>
      </c>
      <c r="AB281" s="28" t="s">
        <v>6297</v>
      </c>
    </row>
    <row r="282" spans="1:28" ht="185.4" x14ac:dyDescent="0.3">
      <c r="A282" s="25">
        <v>6460</v>
      </c>
      <c r="B282" s="25" t="s">
        <v>8155</v>
      </c>
      <c r="C282" s="25" t="s">
        <v>8156</v>
      </c>
      <c r="D282" s="25" t="s">
        <v>6291</v>
      </c>
      <c r="E282" s="16" t="s">
        <v>6292</v>
      </c>
      <c r="F282" s="16" t="s">
        <v>6292</v>
      </c>
      <c r="G282" s="16" t="s">
        <v>6292</v>
      </c>
      <c r="H282" s="16" t="s">
        <v>6292</v>
      </c>
      <c r="I282" s="25" t="s">
        <v>8157</v>
      </c>
      <c r="J282" s="25"/>
      <c r="K282" s="25" t="s">
        <v>6281</v>
      </c>
      <c r="L282" s="26" t="s">
        <v>8158</v>
      </c>
      <c r="M282" s="26" t="s">
        <v>8159</v>
      </c>
      <c r="N282" s="27" t="s">
        <v>8160</v>
      </c>
      <c r="O282" s="26" t="s">
        <v>6295</v>
      </c>
      <c r="P282" s="20" t="b">
        <v>1</v>
      </c>
      <c r="Q282" s="20" t="s">
        <v>6282</v>
      </c>
      <c r="R282" s="28" t="s">
        <v>6283</v>
      </c>
      <c r="S282" s="25"/>
      <c r="T282" s="20" t="b">
        <v>1</v>
      </c>
      <c r="U282" s="25"/>
      <c r="V282" s="25">
        <v>151.4</v>
      </c>
      <c r="W282" s="28" t="s">
        <v>8161</v>
      </c>
      <c r="X282" s="28" t="s">
        <v>6285</v>
      </c>
      <c r="Y282" s="28" t="s">
        <v>6286</v>
      </c>
      <c r="Z282" s="28" t="s">
        <v>6287</v>
      </c>
      <c r="AA282" s="28" t="s">
        <v>6288</v>
      </c>
      <c r="AB282" s="28" t="s">
        <v>6297</v>
      </c>
    </row>
    <row r="283" spans="1:28" ht="185.4" x14ac:dyDescent="0.3">
      <c r="A283" s="25">
        <v>6461</v>
      </c>
      <c r="B283" s="25" t="s">
        <v>8162</v>
      </c>
      <c r="C283" s="25" t="s">
        <v>8163</v>
      </c>
      <c r="D283" s="25" t="s">
        <v>6291</v>
      </c>
      <c r="E283" s="16" t="s">
        <v>6292</v>
      </c>
      <c r="F283" s="16" t="s">
        <v>6292</v>
      </c>
      <c r="G283" s="16" t="s">
        <v>6292</v>
      </c>
      <c r="H283" s="16" t="s">
        <v>6292</v>
      </c>
      <c r="I283" s="25" t="s">
        <v>8164</v>
      </c>
      <c r="J283" s="25"/>
      <c r="K283" s="25" t="s">
        <v>6281</v>
      </c>
      <c r="L283" s="26" t="s">
        <v>8165</v>
      </c>
      <c r="M283" s="26" t="s">
        <v>8166</v>
      </c>
      <c r="N283" s="27" t="s">
        <v>8167</v>
      </c>
      <c r="O283" s="26" t="s">
        <v>6295</v>
      </c>
      <c r="P283" s="20" t="b">
        <v>1</v>
      </c>
      <c r="Q283" s="20" t="s">
        <v>6282</v>
      </c>
      <c r="R283" s="28" t="s">
        <v>6283</v>
      </c>
      <c r="S283" s="25"/>
      <c r="T283" s="20" t="b">
        <v>1</v>
      </c>
      <c r="U283" s="25"/>
      <c r="V283" s="25">
        <v>4.75</v>
      </c>
      <c r="W283" s="28" t="s">
        <v>8168</v>
      </c>
      <c r="X283" s="28" t="s">
        <v>6285</v>
      </c>
      <c r="Y283" s="28" t="s">
        <v>6286</v>
      </c>
      <c r="Z283" s="28" t="s">
        <v>6287</v>
      </c>
      <c r="AA283" s="28" t="s">
        <v>6288</v>
      </c>
      <c r="AB283" s="28" t="s">
        <v>6297</v>
      </c>
    </row>
    <row r="284" spans="1:28" ht="185.4" x14ac:dyDescent="0.3">
      <c r="A284" s="25">
        <v>6464</v>
      </c>
      <c r="B284" s="25" t="s">
        <v>8169</v>
      </c>
      <c r="C284" s="25" t="s">
        <v>8170</v>
      </c>
      <c r="D284" s="25" t="s">
        <v>6291</v>
      </c>
      <c r="E284" s="16" t="s">
        <v>6292</v>
      </c>
      <c r="F284" s="16" t="s">
        <v>6292</v>
      </c>
      <c r="G284" s="16" t="s">
        <v>6292</v>
      </c>
      <c r="H284" s="16" t="s">
        <v>6292</v>
      </c>
      <c r="I284" s="25" t="s">
        <v>8171</v>
      </c>
      <c r="J284" s="25"/>
      <c r="K284" s="25" t="s">
        <v>6281</v>
      </c>
      <c r="L284" s="26" t="s">
        <v>8172</v>
      </c>
      <c r="M284" s="26" t="s">
        <v>8166</v>
      </c>
      <c r="N284" s="27" t="s">
        <v>8173</v>
      </c>
      <c r="O284" s="26" t="s">
        <v>6295</v>
      </c>
      <c r="P284" s="20" t="b">
        <v>1</v>
      </c>
      <c r="Q284" s="20" t="s">
        <v>6282</v>
      </c>
      <c r="R284" s="28" t="s">
        <v>6283</v>
      </c>
      <c r="S284" s="25"/>
      <c r="T284" s="20" t="b">
        <v>1</v>
      </c>
      <c r="U284" s="25"/>
      <c r="V284" s="25">
        <v>98.38</v>
      </c>
      <c r="W284" s="28" t="s">
        <v>8174</v>
      </c>
      <c r="X284" s="28" t="s">
        <v>6285</v>
      </c>
      <c r="Y284" s="28" t="s">
        <v>6286</v>
      </c>
      <c r="Z284" s="28" t="s">
        <v>6287</v>
      </c>
      <c r="AA284" s="28" t="s">
        <v>6288</v>
      </c>
      <c r="AB284" s="28" t="s">
        <v>6297</v>
      </c>
    </row>
    <row r="285" spans="1:28" ht="185.4" x14ac:dyDescent="0.3">
      <c r="A285" s="25">
        <v>6466</v>
      </c>
      <c r="B285" s="25" t="s">
        <v>8175</v>
      </c>
      <c r="C285" s="25" t="s">
        <v>8176</v>
      </c>
      <c r="D285" s="25" t="s">
        <v>6291</v>
      </c>
      <c r="E285" s="16" t="s">
        <v>6292</v>
      </c>
      <c r="F285" s="16" t="s">
        <v>6292</v>
      </c>
      <c r="G285" s="16" t="s">
        <v>6292</v>
      </c>
      <c r="H285" s="16" t="s">
        <v>6292</v>
      </c>
      <c r="I285" s="25" t="s">
        <v>8177</v>
      </c>
      <c r="J285" s="25"/>
      <c r="K285" s="25" t="s">
        <v>6281</v>
      </c>
      <c r="L285" s="26" t="s">
        <v>8178</v>
      </c>
      <c r="M285" s="26" t="s">
        <v>8166</v>
      </c>
      <c r="N285" s="27" t="s">
        <v>8179</v>
      </c>
      <c r="O285" s="26" t="s">
        <v>6295</v>
      </c>
      <c r="P285" s="20" t="b">
        <v>1</v>
      </c>
      <c r="Q285" s="20" t="s">
        <v>6282</v>
      </c>
      <c r="R285" s="28" t="s">
        <v>6283</v>
      </c>
      <c r="S285" s="25"/>
      <c r="T285" s="20" t="b">
        <v>1</v>
      </c>
      <c r="U285" s="25"/>
      <c r="V285" s="25">
        <v>182.11</v>
      </c>
      <c r="W285" s="28" t="s">
        <v>8180</v>
      </c>
      <c r="X285" s="28" t="s">
        <v>6285</v>
      </c>
      <c r="Y285" s="28" t="s">
        <v>6286</v>
      </c>
      <c r="Z285" s="28" t="s">
        <v>6287</v>
      </c>
      <c r="AA285" s="28" t="s">
        <v>6288</v>
      </c>
      <c r="AB285" s="28" t="s">
        <v>6297</v>
      </c>
    </row>
    <row r="286" spans="1:28" ht="185.4" x14ac:dyDescent="0.3">
      <c r="A286" s="25">
        <v>6467</v>
      </c>
      <c r="B286" s="25" t="s">
        <v>8181</v>
      </c>
      <c r="C286" s="25" t="s">
        <v>8182</v>
      </c>
      <c r="D286" s="25" t="s">
        <v>6291</v>
      </c>
      <c r="E286" s="16" t="s">
        <v>6292</v>
      </c>
      <c r="F286" s="16" t="s">
        <v>6292</v>
      </c>
      <c r="G286" s="16" t="s">
        <v>6292</v>
      </c>
      <c r="H286" s="16" t="s">
        <v>6292</v>
      </c>
      <c r="I286" s="25" t="s">
        <v>8183</v>
      </c>
      <c r="J286" s="25"/>
      <c r="K286" s="25" t="s">
        <v>6281</v>
      </c>
      <c r="L286" s="26" t="s">
        <v>8184</v>
      </c>
      <c r="M286" s="26" t="s">
        <v>8166</v>
      </c>
      <c r="N286" s="27" t="s">
        <v>8185</v>
      </c>
      <c r="O286" s="26" t="s">
        <v>6295</v>
      </c>
      <c r="P286" s="20" t="b">
        <v>1</v>
      </c>
      <c r="Q286" s="20" t="s">
        <v>6282</v>
      </c>
      <c r="R286" s="28" t="s">
        <v>6283</v>
      </c>
      <c r="S286" s="25"/>
      <c r="T286" s="20" t="b">
        <v>1</v>
      </c>
      <c r="U286" s="25"/>
      <c r="V286" s="25">
        <v>32.06</v>
      </c>
      <c r="W286" s="28" t="s">
        <v>8186</v>
      </c>
      <c r="X286" s="28" t="s">
        <v>6285</v>
      </c>
      <c r="Y286" s="28" t="s">
        <v>6286</v>
      </c>
      <c r="Z286" s="28" t="s">
        <v>6287</v>
      </c>
      <c r="AA286" s="28" t="s">
        <v>6288</v>
      </c>
      <c r="AB286" s="28" t="s">
        <v>6297</v>
      </c>
    </row>
    <row r="287" spans="1:28" ht="185.4" x14ac:dyDescent="0.3">
      <c r="A287" s="25">
        <v>6474</v>
      </c>
      <c r="B287" s="25" t="s">
        <v>8187</v>
      </c>
      <c r="C287" s="25" t="s">
        <v>8188</v>
      </c>
      <c r="D287" s="25" t="s">
        <v>6291</v>
      </c>
      <c r="E287" s="16" t="s">
        <v>6292</v>
      </c>
      <c r="F287" s="16" t="s">
        <v>6292</v>
      </c>
      <c r="G287" s="16" t="s">
        <v>6292</v>
      </c>
      <c r="H287" s="16" t="s">
        <v>6292</v>
      </c>
      <c r="I287" s="25" t="s">
        <v>8189</v>
      </c>
      <c r="J287" s="25"/>
      <c r="K287" s="25" t="s">
        <v>6281</v>
      </c>
      <c r="L287" s="26" t="s">
        <v>8190</v>
      </c>
      <c r="M287" s="26" t="s">
        <v>8191</v>
      </c>
      <c r="N287" s="27" t="s">
        <v>8192</v>
      </c>
      <c r="O287" s="26" t="s">
        <v>6295</v>
      </c>
      <c r="P287" s="20" t="b">
        <v>1</v>
      </c>
      <c r="Q287" s="20" t="s">
        <v>6282</v>
      </c>
      <c r="R287" s="28" t="s">
        <v>6283</v>
      </c>
      <c r="S287" s="25"/>
      <c r="T287" s="20" t="b">
        <v>1</v>
      </c>
      <c r="U287" s="25"/>
      <c r="V287" s="25">
        <v>27.46</v>
      </c>
      <c r="W287" s="28" t="s">
        <v>8193</v>
      </c>
      <c r="X287" s="28" t="s">
        <v>6285</v>
      </c>
      <c r="Y287" s="28" t="s">
        <v>6286</v>
      </c>
      <c r="Z287" s="28" t="s">
        <v>6287</v>
      </c>
      <c r="AA287" s="28" t="s">
        <v>6288</v>
      </c>
      <c r="AB287" s="28" t="s">
        <v>6297</v>
      </c>
    </row>
    <row r="288" spans="1:28" ht="185.4" x14ac:dyDescent="0.3">
      <c r="A288" s="25">
        <v>6476</v>
      </c>
      <c r="B288" s="25" t="s">
        <v>8194</v>
      </c>
      <c r="C288" s="25" t="s">
        <v>8195</v>
      </c>
      <c r="D288" s="25" t="s">
        <v>6291</v>
      </c>
      <c r="E288" s="16" t="s">
        <v>6292</v>
      </c>
      <c r="F288" s="16" t="s">
        <v>6292</v>
      </c>
      <c r="G288" s="16" t="s">
        <v>6292</v>
      </c>
      <c r="H288" s="16" t="s">
        <v>6292</v>
      </c>
      <c r="I288" s="25" t="s">
        <v>8196</v>
      </c>
      <c r="J288" s="25"/>
      <c r="K288" s="25" t="s">
        <v>6281</v>
      </c>
      <c r="L288" s="26" t="s">
        <v>8197</v>
      </c>
      <c r="M288" s="26" t="s">
        <v>8166</v>
      </c>
      <c r="N288" s="27" t="s">
        <v>8198</v>
      </c>
      <c r="O288" s="26" t="s">
        <v>6295</v>
      </c>
      <c r="P288" s="20" t="b">
        <v>1</v>
      </c>
      <c r="Q288" s="20" t="s">
        <v>6282</v>
      </c>
      <c r="R288" s="28" t="s">
        <v>6283</v>
      </c>
      <c r="S288" s="25"/>
      <c r="T288" s="20" t="b">
        <v>1</v>
      </c>
      <c r="U288" s="25"/>
      <c r="V288" s="25">
        <v>8.52</v>
      </c>
      <c r="W288" s="28" t="s">
        <v>8199</v>
      </c>
      <c r="X288" s="28" t="s">
        <v>6285</v>
      </c>
      <c r="Y288" s="28" t="s">
        <v>6286</v>
      </c>
      <c r="Z288" s="28" t="s">
        <v>6287</v>
      </c>
      <c r="AA288" s="28" t="s">
        <v>6288</v>
      </c>
      <c r="AB288" s="28" t="s">
        <v>6297</v>
      </c>
    </row>
    <row r="289" spans="1:28" ht="185.4" x14ac:dyDescent="0.3">
      <c r="A289" s="25">
        <v>6477</v>
      </c>
      <c r="B289" s="25" t="s">
        <v>8200</v>
      </c>
      <c r="C289" s="25" t="s">
        <v>8201</v>
      </c>
      <c r="D289" s="25" t="s">
        <v>6291</v>
      </c>
      <c r="E289" s="16" t="s">
        <v>6292</v>
      </c>
      <c r="F289" s="16" t="s">
        <v>6292</v>
      </c>
      <c r="G289" s="16" t="s">
        <v>6292</v>
      </c>
      <c r="H289" s="16" t="s">
        <v>6292</v>
      </c>
      <c r="I289" s="25" t="s">
        <v>8202</v>
      </c>
      <c r="J289" s="25"/>
      <c r="K289" s="25" t="s">
        <v>6281</v>
      </c>
      <c r="L289" s="26" t="s">
        <v>8203</v>
      </c>
      <c r="M289" s="26" t="s">
        <v>8166</v>
      </c>
      <c r="N289" s="27" t="s">
        <v>8204</v>
      </c>
      <c r="O289" s="26" t="s">
        <v>6295</v>
      </c>
      <c r="P289" s="20" t="b">
        <v>1</v>
      </c>
      <c r="Q289" s="20" t="s">
        <v>6282</v>
      </c>
      <c r="R289" s="28" t="s">
        <v>6283</v>
      </c>
      <c r="S289" s="25"/>
      <c r="T289" s="20" t="b">
        <v>1</v>
      </c>
      <c r="U289" s="25"/>
      <c r="V289" s="25">
        <v>197</v>
      </c>
      <c r="W289" s="28" t="s">
        <v>8205</v>
      </c>
      <c r="X289" s="28" t="s">
        <v>6285</v>
      </c>
      <c r="Y289" s="28" t="s">
        <v>6286</v>
      </c>
      <c r="Z289" s="28" t="s">
        <v>6287</v>
      </c>
      <c r="AA289" s="28" t="s">
        <v>6288</v>
      </c>
      <c r="AB289" s="28" t="s">
        <v>6297</v>
      </c>
    </row>
    <row r="290" spans="1:28" ht="185.4" x14ac:dyDescent="0.3">
      <c r="A290" s="25">
        <v>6478</v>
      </c>
      <c r="B290" s="25" t="s">
        <v>8206</v>
      </c>
      <c r="C290" s="25" t="s">
        <v>8207</v>
      </c>
      <c r="D290" s="25" t="s">
        <v>6291</v>
      </c>
      <c r="E290" s="16" t="s">
        <v>6292</v>
      </c>
      <c r="F290" s="16" t="s">
        <v>6292</v>
      </c>
      <c r="G290" s="16" t="s">
        <v>6292</v>
      </c>
      <c r="H290" s="16" t="s">
        <v>6292</v>
      </c>
      <c r="I290" s="25" t="s">
        <v>8208</v>
      </c>
      <c r="J290" s="25"/>
      <c r="K290" s="25" t="s">
        <v>6281</v>
      </c>
      <c r="L290" s="26" t="s">
        <v>8209</v>
      </c>
      <c r="M290" s="26" t="s">
        <v>8166</v>
      </c>
      <c r="N290" s="27" t="s">
        <v>8210</v>
      </c>
      <c r="O290" s="26" t="s">
        <v>6295</v>
      </c>
      <c r="P290" s="20" t="b">
        <v>1</v>
      </c>
      <c r="Q290" s="20" t="s">
        <v>6282</v>
      </c>
      <c r="R290" s="28" t="s">
        <v>6283</v>
      </c>
      <c r="S290" s="25"/>
      <c r="T290" s="20" t="b">
        <v>1</v>
      </c>
      <c r="U290" s="25"/>
      <c r="V290" s="25">
        <v>52.483499999999999</v>
      </c>
      <c r="W290" s="28" t="s">
        <v>8211</v>
      </c>
      <c r="X290" s="28" t="s">
        <v>6285</v>
      </c>
      <c r="Y290" s="28" t="s">
        <v>6286</v>
      </c>
      <c r="Z290" s="28" t="s">
        <v>6287</v>
      </c>
      <c r="AA290" s="28" t="s">
        <v>6288</v>
      </c>
      <c r="AB290" s="28" t="s">
        <v>6297</v>
      </c>
    </row>
    <row r="291" spans="1:28" ht="185.4" x14ac:dyDescent="0.3">
      <c r="A291" s="25">
        <v>6481</v>
      </c>
      <c r="B291" s="25" t="s">
        <v>8212</v>
      </c>
      <c r="C291" s="25" t="s">
        <v>8213</v>
      </c>
      <c r="D291" s="25" t="s">
        <v>6291</v>
      </c>
      <c r="E291" s="16" t="s">
        <v>6292</v>
      </c>
      <c r="F291" s="16" t="s">
        <v>6292</v>
      </c>
      <c r="G291" s="16" t="s">
        <v>6292</v>
      </c>
      <c r="H291" s="16" t="s">
        <v>6292</v>
      </c>
      <c r="I291" s="25" t="s">
        <v>8214</v>
      </c>
      <c r="J291" s="25"/>
      <c r="K291" s="25" t="s">
        <v>6281</v>
      </c>
      <c r="L291" s="26" t="s">
        <v>8215</v>
      </c>
      <c r="M291" s="26" t="s">
        <v>8166</v>
      </c>
      <c r="N291" s="27" t="s">
        <v>8216</v>
      </c>
      <c r="O291" s="26" t="s">
        <v>6295</v>
      </c>
      <c r="P291" s="20" t="b">
        <v>1</v>
      </c>
      <c r="Q291" s="20" t="s">
        <v>6282</v>
      </c>
      <c r="R291" s="28" t="s">
        <v>6283</v>
      </c>
      <c r="S291" s="25"/>
      <c r="T291" s="20" t="b">
        <v>1</v>
      </c>
      <c r="U291" s="25"/>
      <c r="V291" s="25">
        <v>22.63</v>
      </c>
      <c r="W291" s="28" t="s">
        <v>8217</v>
      </c>
      <c r="X291" s="28" t="s">
        <v>6285</v>
      </c>
      <c r="Y291" s="28" t="s">
        <v>6286</v>
      </c>
      <c r="Z291" s="28" t="s">
        <v>6287</v>
      </c>
      <c r="AA291" s="28" t="s">
        <v>6288</v>
      </c>
      <c r="AB291" s="28" t="s">
        <v>6297</v>
      </c>
    </row>
    <row r="292" spans="1:28" ht="193.2" x14ac:dyDescent="0.3">
      <c r="A292" s="25">
        <v>6483</v>
      </c>
      <c r="B292" s="25" t="s">
        <v>8218</v>
      </c>
      <c r="C292" s="25" t="s">
        <v>6306</v>
      </c>
      <c r="D292" s="25" t="s">
        <v>6291</v>
      </c>
      <c r="E292" s="16" t="s">
        <v>6292</v>
      </c>
      <c r="F292" s="16" t="s">
        <v>6292</v>
      </c>
      <c r="G292" s="16" t="s">
        <v>6292</v>
      </c>
      <c r="H292" s="16" t="s">
        <v>6292</v>
      </c>
      <c r="I292" s="25" t="s">
        <v>8219</v>
      </c>
      <c r="J292" s="25"/>
      <c r="K292" s="25" t="s">
        <v>6281</v>
      </c>
      <c r="L292" s="26" t="s">
        <v>8220</v>
      </c>
      <c r="M292" s="26" t="s">
        <v>8221</v>
      </c>
      <c r="N292" s="27" t="s">
        <v>8222</v>
      </c>
      <c r="O292" s="26" t="s">
        <v>6295</v>
      </c>
      <c r="P292" s="20" t="b">
        <v>1</v>
      </c>
      <c r="Q292" s="20" t="s">
        <v>6282</v>
      </c>
      <c r="R292" s="28" t="s">
        <v>6283</v>
      </c>
      <c r="S292" s="25"/>
      <c r="T292" s="20" t="b">
        <v>1</v>
      </c>
      <c r="U292" s="25"/>
      <c r="V292" s="25">
        <v>167.85</v>
      </c>
      <c r="W292" s="28" t="s">
        <v>8223</v>
      </c>
      <c r="X292" s="28" t="s">
        <v>6285</v>
      </c>
      <c r="Y292" s="28" t="s">
        <v>6286</v>
      </c>
      <c r="Z292" s="28" t="s">
        <v>6287</v>
      </c>
      <c r="AA292" s="28" t="s">
        <v>6288</v>
      </c>
      <c r="AB292" s="28" t="s">
        <v>6297</v>
      </c>
    </row>
    <row r="293" spans="1:28" ht="193.2" x14ac:dyDescent="0.3">
      <c r="A293" s="25">
        <v>6484</v>
      </c>
      <c r="B293" s="25" t="s">
        <v>8224</v>
      </c>
      <c r="C293" s="25" t="s">
        <v>6306</v>
      </c>
      <c r="D293" s="25" t="s">
        <v>6291</v>
      </c>
      <c r="E293" s="16" t="s">
        <v>6292</v>
      </c>
      <c r="F293" s="16" t="s">
        <v>6292</v>
      </c>
      <c r="G293" s="16" t="s">
        <v>6292</v>
      </c>
      <c r="H293" s="16" t="s">
        <v>6292</v>
      </c>
      <c r="I293" s="25" t="s">
        <v>8225</v>
      </c>
      <c r="J293" s="25"/>
      <c r="K293" s="25" t="s">
        <v>6281</v>
      </c>
      <c r="L293" s="26" t="s">
        <v>8226</v>
      </c>
      <c r="M293" s="26" t="s">
        <v>8221</v>
      </c>
      <c r="N293" s="27" t="s">
        <v>8227</v>
      </c>
      <c r="O293" s="26" t="s">
        <v>8228</v>
      </c>
      <c r="P293" s="20" t="b">
        <v>1</v>
      </c>
      <c r="Q293" s="20" t="s">
        <v>6282</v>
      </c>
      <c r="R293" s="28" t="s">
        <v>6283</v>
      </c>
      <c r="S293" s="25"/>
      <c r="T293" s="20" t="b">
        <v>1</v>
      </c>
      <c r="U293" s="25"/>
      <c r="V293" s="25">
        <v>146.25</v>
      </c>
      <c r="W293" s="28" t="s">
        <v>8229</v>
      </c>
      <c r="X293" s="28" t="s">
        <v>6285</v>
      </c>
      <c r="Y293" s="28" t="s">
        <v>6286</v>
      </c>
      <c r="Z293" s="28" t="s">
        <v>6287</v>
      </c>
      <c r="AA293" s="28" t="s">
        <v>6288</v>
      </c>
      <c r="AB293" s="28" t="s">
        <v>6297</v>
      </c>
    </row>
    <row r="294" spans="1:28" ht="193.2" x14ac:dyDescent="0.3">
      <c r="A294" s="25">
        <v>6511</v>
      </c>
      <c r="B294" s="25" t="s">
        <v>8230</v>
      </c>
      <c r="C294" s="25" t="s">
        <v>8231</v>
      </c>
      <c r="D294" s="25" t="s">
        <v>6278</v>
      </c>
      <c r="E294" s="16" t="s">
        <v>6279</v>
      </c>
      <c r="F294" s="16" t="s">
        <v>6279</v>
      </c>
      <c r="G294" s="16" t="s">
        <v>6279</v>
      </c>
      <c r="H294" s="16" t="s">
        <v>6279</v>
      </c>
      <c r="I294" s="25" t="s">
        <v>8232</v>
      </c>
      <c r="J294" s="25"/>
      <c r="K294" s="25" t="s">
        <v>6281</v>
      </c>
      <c r="L294" s="26" t="s">
        <v>8233</v>
      </c>
      <c r="M294" s="26" t="s">
        <v>6295</v>
      </c>
      <c r="N294" s="27" t="s">
        <v>8234</v>
      </c>
      <c r="O294" s="26" t="s">
        <v>6295</v>
      </c>
      <c r="P294" s="20" t="b">
        <v>1</v>
      </c>
      <c r="Q294" s="20" t="s">
        <v>6282</v>
      </c>
      <c r="R294" s="28" t="s">
        <v>6283</v>
      </c>
      <c r="S294" s="25"/>
      <c r="T294" s="20" t="b">
        <v>1</v>
      </c>
      <c r="U294" s="25"/>
      <c r="V294" s="25">
        <v>519.23540000000003</v>
      </c>
      <c r="W294" s="28" t="s">
        <v>8235</v>
      </c>
      <c r="X294" s="28" t="s">
        <v>6285</v>
      </c>
      <c r="Y294" s="28" t="s">
        <v>6286</v>
      </c>
      <c r="Z294" s="28" t="s">
        <v>6287</v>
      </c>
      <c r="AA294" s="28" t="s">
        <v>6288</v>
      </c>
      <c r="AB294" s="28" t="s">
        <v>6297</v>
      </c>
    </row>
    <row r="295" spans="1:28" ht="185.4" x14ac:dyDescent="0.3">
      <c r="A295" s="25">
        <v>6512</v>
      </c>
      <c r="B295" s="25" t="s">
        <v>8236</v>
      </c>
      <c r="C295" s="25" t="s">
        <v>8237</v>
      </c>
      <c r="D295" s="25" t="s">
        <v>6291</v>
      </c>
      <c r="E295" s="16" t="s">
        <v>6292</v>
      </c>
      <c r="F295" s="16" t="s">
        <v>6292</v>
      </c>
      <c r="G295" s="16" t="s">
        <v>6292</v>
      </c>
      <c r="H295" s="16" t="s">
        <v>6292</v>
      </c>
      <c r="I295" s="25" t="s">
        <v>8238</v>
      </c>
      <c r="J295" s="25"/>
      <c r="K295" s="25" t="s">
        <v>6281</v>
      </c>
      <c r="L295" s="26" t="s">
        <v>7796</v>
      </c>
      <c r="M295" s="26" t="s">
        <v>7629</v>
      </c>
      <c r="N295" s="27" t="s">
        <v>7630</v>
      </c>
      <c r="O295" s="26" t="s">
        <v>8239</v>
      </c>
      <c r="P295" s="20" t="b">
        <v>1</v>
      </c>
      <c r="Q295" s="20" t="s">
        <v>6282</v>
      </c>
      <c r="R295" s="28" t="s">
        <v>6283</v>
      </c>
      <c r="S295" s="25"/>
      <c r="T295" s="20" t="b">
        <v>1</v>
      </c>
      <c r="U295" s="25"/>
      <c r="V295" s="25">
        <v>12.24</v>
      </c>
      <c r="W295" s="28" t="s">
        <v>8240</v>
      </c>
      <c r="X295" s="28" t="s">
        <v>6285</v>
      </c>
      <c r="Y295" s="28" t="s">
        <v>6286</v>
      </c>
      <c r="Z295" s="28" t="s">
        <v>6287</v>
      </c>
      <c r="AA295" s="28" t="s">
        <v>6288</v>
      </c>
      <c r="AB295" s="28" t="s">
        <v>6297</v>
      </c>
    </row>
    <row r="296" spans="1:28" ht="185.4" x14ac:dyDescent="0.3">
      <c r="A296" s="25">
        <v>6513</v>
      </c>
      <c r="B296" s="25" t="s">
        <v>8241</v>
      </c>
      <c r="C296" s="25" t="s">
        <v>8242</v>
      </c>
      <c r="D296" s="25" t="s">
        <v>6291</v>
      </c>
      <c r="E296" s="16" t="s">
        <v>6292</v>
      </c>
      <c r="F296" s="16" t="s">
        <v>6292</v>
      </c>
      <c r="G296" s="16" t="s">
        <v>6292</v>
      </c>
      <c r="H296" s="16" t="s">
        <v>6292</v>
      </c>
      <c r="I296" s="25" t="s">
        <v>8243</v>
      </c>
      <c r="J296" s="25"/>
      <c r="K296" s="25" t="s">
        <v>6281</v>
      </c>
      <c r="L296" s="26" t="s">
        <v>8244</v>
      </c>
      <c r="M296" s="26" t="s">
        <v>7629</v>
      </c>
      <c r="N296" s="27" t="s">
        <v>7630</v>
      </c>
      <c r="O296" s="26" t="s">
        <v>8245</v>
      </c>
      <c r="P296" s="20" t="b">
        <v>1</v>
      </c>
      <c r="Q296" s="20" t="s">
        <v>6282</v>
      </c>
      <c r="R296" s="28" t="s">
        <v>6283</v>
      </c>
      <c r="S296" s="25"/>
      <c r="T296" s="20" t="b">
        <v>1</v>
      </c>
      <c r="U296" s="25"/>
      <c r="V296" s="25">
        <v>12.24</v>
      </c>
      <c r="W296" s="28" t="s">
        <v>8246</v>
      </c>
      <c r="X296" s="28" t="s">
        <v>6285</v>
      </c>
      <c r="Y296" s="28" t="s">
        <v>6286</v>
      </c>
      <c r="Z296" s="28" t="s">
        <v>6287</v>
      </c>
      <c r="AA296" s="28" t="s">
        <v>6288</v>
      </c>
      <c r="AB296" s="28" t="s">
        <v>6297</v>
      </c>
    </row>
    <row r="297" spans="1:28" ht="193.2" x14ac:dyDescent="0.3">
      <c r="A297" s="25">
        <v>6518</v>
      </c>
      <c r="B297" s="25" t="s">
        <v>8247</v>
      </c>
      <c r="C297" s="25" t="s">
        <v>6306</v>
      </c>
      <c r="D297" s="25" t="s">
        <v>6291</v>
      </c>
      <c r="E297" s="16" t="s">
        <v>6292</v>
      </c>
      <c r="F297" s="16" t="s">
        <v>6292</v>
      </c>
      <c r="G297" s="16" t="s">
        <v>6292</v>
      </c>
      <c r="H297" s="16" t="s">
        <v>6292</v>
      </c>
      <c r="I297" s="25" t="s">
        <v>8248</v>
      </c>
      <c r="J297" s="25"/>
      <c r="K297" s="25" t="s">
        <v>6281</v>
      </c>
      <c r="L297" s="26" t="s">
        <v>8249</v>
      </c>
      <c r="M297" s="26" t="s">
        <v>8221</v>
      </c>
      <c r="N297" s="27" t="s">
        <v>8250</v>
      </c>
      <c r="O297" s="26" t="s">
        <v>8251</v>
      </c>
      <c r="P297" s="20" t="b">
        <v>1</v>
      </c>
      <c r="Q297" s="20" t="s">
        <v>6282</v>
      </c>
      <c r="R297" s="28" t="s">
        <v>6283</v>
      </c>
      <c r="S297" s="25"/>
      <c r="T297" s="20" t="b">
        <v>1</v>
      </c>
      <c r="U297" s="25"/>
      <c r="V297" s="25">
        <v>138.39500000000001</v>
      </c>
      <c r="W297" s="28" t="s">
        <v>8252</v>
      </c>
      <c r="X297" s="28" t="s">
        <v>6285</v>
      </c>
      <c r="Y297" s="28" t="s">
        <v>6286</v>
      </c>
      <c r="Z297" s="28" t="s">
        <v>6287</v>
      </c>
      <c r="AA297" s="28" t="s">
        <v>6288</v>
      </c>
      <c r="AB297" s="28" t="s">
        <v>6297</v>
      </c>
    </row>
    <row r="298" spans="1:28" ht="185.4" x14ac:dyDescent="0.3">
      <c r="A298" s="25">
        <v>6521</v>
      </c>
      <c r="B298" s="25" t="s">
        <v>8253</v>
      </c>
      <c r="C298" s="25" t="s">
        <v>8254</v>
      </c>
      <c r="D298" s="25" t="s">
        <v>6291</v>
      </c>
      <c r="E298" s="16" t="s">
        <v>6292</v>
      </c>
      <c r="F298" s="16" t="s">
        <v>6292</v>
      </c>
      <c r="G298" s="16" t="s">
        <v>6292</v>
      </c>
      <c r="H298" s="16" t="s">
        <v>6292</v>
      </c>
      <c r="I298" s="25" t="s">
        <v>8255</v>
      </c>
      <c r="J298" s="25"/>
      <c r="K298" s="25" t="s">
        <v>6281</v>
      </c>
      <c r="L298" s="26" t="s">
        <v>8256</v>
      </c>
      <c r="M298" s="26" t="s">
        <v>8257</v>
      </c>
      <c r="N298" s="27" t="s">
        <v>8258</v>
      </c>
      <c r="O298" s="26" t="s">
        <v>8259</v>
      </c>
      <c r="P298" s="20" t="b">
        <v>1</v>
      </c>
      <c r="Q298" s="20" t="s">
        <v>6282</v>
      </c>
      <c r="R298" s="28" t="s">
        <v>6283</v>
      </c>
      <c r="S298" s="25"/>
      <c r="T298" s="20" t="b">
        <v>1</v>
      </c>
      <c r="U298" s="25"/>
      <c r="V298" s="25">
        <v>39.69</v>
      </c>
      <c r="W298" s="28" t="s">
        <v>8260</v>
      </c>
      <c r="X298" s="28" t="s">
        <v>6285</v>
      </c>
      <c r="Y298" s="28" t="s">
        <v>6286</v>
      </c>
      <c r="Z298" s="28" t="s">
        <v>6287</v>
      </c>
      <c r="AA298" s="28" t="s">
        <v>6288</v>
      </c>
      <c r="AB298" s="28" t="s">
        <v>6297</v>
      </c>
    </row>
    <row r="299" spans="1:28" ht="185.4" x14ac:dyDescent="0.3">
      <c r="A299" s="25">
        <v>6524</v>
      </c>
      <c r="B299" s="25" t="s">
        <v>8261</v>
      </c>
      <c r="C299" s="25" t="s">
        <v>8262</v>
      </c>
      <c r="D299" s="25" t="s">
        <v>6291</v>
      </c>
      <c r="E299" s="16" t="s">
        <v>6786</v>
      </c>
      <c r="F299" s="16" t="s">
        <v>6786</v>
      </c>
      <c r="G299" s="16" t="s">
        <v>6786</v>
      </c>
      <c r="H299" s="16" t="s">
        <v>6786</v>
      </c>
      <c r="I299" s="25" t="s">
        <v>8263</v>
      </c>
      <c r="J299" s="25"/>
      <c r="K299" s="25" t="s">
        <v>6281</v>
      </c>
      <c r="L299" s="26" t="s">
        <v>8264</v>
      </c>
      <c r="M299" s="26" t="s">
        <v>6295</v>
      </c>
      <c r="N299" s="27" t="s">
        <v>8265</v>
      </c>
      <c r="O299" s="26" t="s">
        <v>8266</v>
      </c>
      <c r="P299" s="20" t="b">
        <v>1</v>
      </c>
      <c r="Q299" s="20" t="s">
        <v>6282</v>
      </c>
      <c r="R299" s="28" t="s">
        <v>6283</v>
      </c>
      <c r="S299" s="25"/>
      <c r="T299" s="20" t="b">
        <v>1</v>
      </c>
      <c r="U299" s="25"/>
      <c r="V299" s="25">
        <v>7.3129999999999997</v>
      </c>
      <c r="W299" s="28" t="s">
        <v>8267</v>
      </c>
      <c r="X299" s="28" t="s">
        <v>6285</v>
      </c>
      <c r="Y299" s="28" t="s">
        <v>6286</v>
      </c>
      <c r="Z299" s="28" t="s">
        <v>6287</v>
      </c>
      <c r="AA299" s="28" t="s">
        <v>6288</v>
      </c>
      <c r="AB299" s="28" t="s">
        <v>6297</v>
      </c>
    </row>
    <row r="300" spans="1:28" ht="185.4" x14ac:dyDescent="0.3">
      <c r="A300" s="25">
        <v>6525</v>
      </c>
      <c r="B300" s="25" t="s">
        <v>8268</v>
      </c>
      <c r="C300" s="25" t="s">
        <v>8269</v>
      </c>
      <c r="D300" s="25" t="s">
        <v>6291</v>
      </c>
      <c r="E300" s="16" t="s">
        <v>6786</v>
      </c>
      <c r="F300" s="16" t="s">
        <v>6786</v>
      </c>
      <c r="G300" s="16" t="s">
        <v>6786</v>
      </c>
      <c r="H300" s="16" t="s">
        <v>6786</v>
      </c>
      <c r="I300" s="25" t="s">
        <v>8270</v>
      </c>
      <c r="J300" s="25"/>
      <c r="K300" s="25" t="s">
        <v>6281</v>
      </c>
      <c r="L300" s="26" t="s">
        <v>8271</v>
      </c>
      <c r="M300" s="26" t="s">
        <v>6295</v>
      </c>
      <c r="N300" s="27" t="s">
        <v>8272</v>
      </c>
      <c r="O300" s="26" t="s">
        <v>6295</v>
      </c>
      <c r="P300" s="20" t="b">
        <v>1</v>
      </c>
      <c r="Q300" s="20" t="s">
        <v>6282</v>
      </c>
      <c r="R300" s="28" t="s">
        <v>6283</v>
      </c>
      <c r="S300" s="25"/>
      <c r="T300" s="20" t="b">
        <v>1</v>
      </c>
      <c r="U300" s="25"/>
      <c r="V300" s="25">
        <v>9.5274999999999999</v>
      </c>
      <c r="W300" s="28" t="s">
        <v>8273</v>
      </c>
      <c r="X300" s="28" t="s">
        <v>6285</v>
      </c>
      <c r="Y300" s="28" t="s">
        <v>6286</v>
      </c>
      <c r="Z300" s="28" t="s">
        <v>6287</v>
      </c>
      <c r="AA300" s="28" t="s">
        <v>6288</v>
      </c>
      <c r="AB300" s="28" t="s">
        <v>6297</v>
      </c>
    </row>
    <row r="301" spans="1:28" ht="185.4" x14ac:dyDescent="0.3">
      <c r="A301" s="25">
        <v>6526</v>
      </c>
      <c r="B301" s="25" t="s">
        <v>8274</v>
      </c>
      <c r="C301" s="25" t="s">
        <v>8275</v>
      </c>
      <c r="D301" s="25" t="s">
        <v>6291</v>
      </c>
      <c r="E301" s="16" t="s">
        <v>6786</v>
      </c>
      <c r="F301" s="16" t="s">
        <v>6786</v>
      </c>
      <c r="G301" s="16" t="s">
        <v>6786</v>
      </c>
      <c r="H301" s="16" t="s">
        <v>6786</v>
      </c>
      <c r="I301" s="25" t="s">
        <v>8276</v>
      </c>
      <c r="J301" s="25"/>
      <c r="K301" s="25" t="s">
        <v>6281</v>
      </c>
      <c r="L301" s="26" t="s">
        <v>8277</v>
      </c>
      <c r="M301" s="26" t="s">
        <v>6295</v>
      </c>
      <c r="N301" s="27" t="s">
        <v>8278</v>
      </c>
      <c r="O301" s="26" t="s">
        <v>6295</v>
      </c>
      <c r="P301" s="20" t="b">
        <v>1</v>
      </c>
      <c r="Q301" s="20" t="s">
        <v>6282</v>
      </c>
      <c r="R301" s="28" t="s">
        <v>6283</v>
      </c>
      <c r="S301" s="25"/>
      <c r="T301" s="20" t="b">
        <v>1</v>
      </c>
      <c r="U301" s="25"/>
      <c r="V301" s="25">
        <v>9.7850000000000001</v>
      </c>
      <c r="W301" s="28" t="s">
        <v>8279</v>
      </c>
      <c r="X301" s="28" t="s">
        <v>6285</v>
      </c>
      <c r="Y301" s="28" t="s">
        <v>6286</v>
      </c>
      <c r="Z301" s="28" t="s">
        <v>6287</v>
      </c>
      <c r="AA301" s="28" t="s">
        <v>6288</v>
      </c>
      <c r="AB301" s="28" t="s">
        <v>6297</v>
      </c>
    </row>
    <row r="302" spans="1:28" ht="185.4" x14ac:dyDescent="0.3">
      <c r="A302" s="25">
        <v>6531</v>
      </c>
      <c r="B302" s="25" t="s">
        <v>8280</v>
      </c>
      <c r="C302" s="25" t="s">
        <v>8281</v>
      </c>
      <c r="D302" s="25" t="s">
        <v>6291</v>
      </c>
      <c r="E302" s="16" t="s">
        <v>8282</v>
      </c>
      <c r="F302" s="16" t="s">
        <v>8282</v>
      </c>
      <c r="G302" s="16" t="s">
        <v>8282</v>
      </c>
      <c r="H302" s="16" t="s">
        <v>8282</v>
      </c>
      <c r="I302" s="25" t="s">
        <v>8283</v>
      </c>
      <c r="J302" s="25"/>
      <c r="K302" s="25" t="s">
        <v>6281</v>
      </c>
      <c r="L302" s="26" t="s">
        <v>8284</v>
      </c>
      <c r="M302" s="26" t="s">
        <v>8285</v>
      </c>
      <c r="N302" s="27" t="s">
        <v>8286</v>
      </c>
      <c r="O302" s="26" t="s">
        <v>6295</v>
      </c>
      <c r="P302" s="20" t="b">
        <v>1</v>
      </c>
      <c r="Q302" s="20" t="s">
        <v>6282</v>
      </c>
      <c r="R302" s="28" t="s">
        <v>6283</v>
      </c>
      <c r="S302" s="25"/>
      <c r="T302" s="20" t="b">
        <v>1</v>
      </c>
      <c r="U302" s="25"/>
      <c r="V302" s="25">
        <v>96.59</v>
      </c>
      <c r="W302" s="28" t="s">
        <v>8287</v>
      </c>
      <c r="X302" s="28" t="s">
        <v>6285</v>
      </c>
      <c r="Y302" s="28" t="s">
        <v>6286</v>
      </c>
      <c r="Z302" s="28" t="s">
        <v>6287</v>
      </c>
      <c r="AA302" s="28" t="s">
        <v>6288</v>
      </c>
      <c r="AB302" s="28" t="s">
        <v>6297</v>
      </c>
    </row>
    <row r="303" spans="1:28" ht="185.4" x14ac:dyDescent="0.3">
      <c r="A303" s="25">
        <v>6538</v>
      </c>
      <c r="B303" s="25" t="s">
        <v>8288</v>
      </c>
      <c r="C303" s="25" t="s">
        <v>6306</v>
      </c>
      <c r="D303" s="25" t="s">
        <v>6291</v>
      </c>
      <c r="E303" s="16" t="s">
        <v>6292</v>
      </c>
      <c r="F303" s="16" t="s">
        <v>6292</v>
      </c>
      <c r="G303" s="16" t="s">
        <v>6292</v>
      </c>
      <c r="H303" s="16" t="s">
        <v>6292</v>
      </c>
      <c r="I303" s="25" t="s">
        <v>8289</v>
      </c>
      <c r="J303" s="25"/>
      <c r="K303" s="25" t="s">
        <v>6281</v>
      </c>
      <c r="L303" s="26" t="s">
        <v>8290</v>
      </c>
      <c r="M303" s="26" t="s">
        <v>8080</v>
      </c>
      <c r="N303" s="27" t="s">
        <v>8291</v>
      </c>
      <c r="O303" s="26" t="s">
        <v>6295</v>
      </c>
      <c r="P303" s="20" t="b">
        <v>1</v>
      </c>
      <c r="Q303" s="20" t="s">
        <v>6282</v>
      </c>
      <c r="R303" s="28" t="s">
        <v>6283</v>
      </c>
      <c r="S303" s="25"/>
      <c r="T303" s="20" t="b">
        <v>1</v>
      </c>
      <c r="U303" s="25"/>
      <c r="V303" s="25">
        <v>13.6</v>
      </c>
      <c r="W303" s="28" t="s">
        <v>8292</v>
      </c>
      <c r="X303" s="28" t="s">
        <v>6285</v>
      </c>
      <c r="Y303" s="28" t="s">
        <v>6286</v>
      </c>
      <c r="Z303" s="28" t="s">
        <v>6287</v>
      </c>
      <c r="AA303" s="28" t="s">
        <v>6288</v>
      </c>
      <c r="AB303" s="28" t="s">
        <v>6297</v>
      </c>
    </row>
    <row r="304" spans="1:28" ht="185.4" x14ac:dyDescent="0.3">
      <c r="A304" s="25">
        <v>6551</v>
      </c>
      <c r="B304" s="25" t="s">
        <v>8293</v>
      </c>
      <c r="C304" s="25" t="s">
        <v>6306</v>
      </c>
      <c r="D304" s="25" t="s">
        <v>6278</v>
      </c>
      <c r="E304" s="16" t="s">
        <v>6279</v>
      </c>
      <c r="F304" s="16" t="s">
        <v>6279</v>
      </c>
      <c r="G304" s="16" t="s">
        <v>6279</v>
      </c>
      <c r="H304" s="16" t="s">
        <v>6279</v>
      </c>
      <c r="I304" s="25" t="s">
        <v>8294</v>
      </c>
      <c r="J304" s="25"/>
      <c r="K304" s="25" t="s">
        <v>6281</v>
      </c>
      <c r="L304" s="26" t="s">
        <v>8295</v>
      </c>
      <c r="M304" s="26" t="s">
        <v>8296</v>
      </c>
      <c r="N304" s="27" t="s">
        <v>8297</v>
      </c>
      <c r="O304" s="26" t="s">
        <v>8298</v>
      </c>
      <c r="P304" s="20" t="b">
        <v>1</v>
      </c>
      <c r="Q304" s="20" t="s">
        <v>6282</v>
      </c>
      <c r="R304" s="28" t="s">
        <v>6283</v>
      </c>
      <c r="S304" s="25"/>
      <c r="T304" s="20" t="b">
        <v>1</v>
      </c>
      <c r="U304" s="25"/>
      <c r="V304" s="25">
        <v>22.11</v>
      </c>
      <c r="W304" s="28" t="s">
        <v>8299</v>
      </c>
      <c r="X304" s="28" t="s">
        <v>6285</v>
      </c>
      <c r="Y304" s="28" t="s">
        <v>6286</v>
      </c>
      <c r="Z304" s="28" t="s">
        <v>6287</v>
      </c>
      <c r="AA304" s="28" t="s">
        <v>6288</v>
      </c>
      <c r="AB304" s="28" t="s">
        <v>6297</v>
      </c>
    </row>
    <row r="305" spans="1:28" ht="185.4" x14ac:dyDescent="0.3">
      <c r="A305" s="25">
        <v>6552</v>
      </c>
      <c r="B305" s="25" t="s">
        <v>8300</v>
      </c>
      <c r="C305" s="25" t="s">
        <v>8301</v>
      </c>
      <c r="D305" s="25" t="s">
        <v>6291</v>
      </c>
      <c r="E305" s="16" t="s">
        <v>6786</v>
      </c>
      <c r="F305" s="16" t="s">
        <v>6786</v>
      </c>
      <c r="G305" s="16" t="s">
        <v>6786</v>
      </c>
      <c r="H305" s="16" t="s">
        <v>6786</v>
      </c>
      <c r="I305" s="25" t="s">
        <v>8302</v>
      </c>
      <c r="J305" s="25"/>
      <c r="K305" s="25" t="s">
        <v>6281</v>
      </c>
      <c r="L305" s="26" t="s">
        <v>8303</v>
      </c>
      <c r="M305" s="26" t="s">
        <v>6295</v>
      </c>
      <c r="N305" s="27" t="s">
        <v>8304</v>
      </c>
      <c r="O305" s="26" t="s">
        <v>6295</v>
      </c>
      <c r="P305" s="20" t="b">
        <v>1</v>
      </c>
      <c r="Q305" s="20" t="s">
        <v>6282</v>
      </c>
      <c r="R305" s="28" t="s">
        <v>6283</v>
      </c>
      <c r="S305" s="25"/>
      <c r="T305" s="20" t="b">
        <v>1</v>
      </c>
      <c r="U305" s="25"/>
      <c r="V305" s="25">
        <v>4.7300000000000004</v>
      </c>
      <c r="W305" s="28" t="s">
        <v>8305</v>
      </c>
      <c r="X305" s="28" t="s">
        <v>6285</v>
      </c>
      <c r="Y305" s="28" t="s">
        <v>6286</v>
      </c>
      <c r="Z305" s="28" t="s">
        <v>6287</v>
      </c>
      <c r="AA305" s="28" t="s">
        <v>6288</v>
      </c>
      <c r="AB305" s="28" t="s">
        <v>6297</v>
      </c>
    </row>
    <row r="306" spans="1:28" ht="185.4" x14ac:dyDescent="0.3">
      <c r="A306" s="25">
        <v>6572</v>
      </c>
      <c r="B306" s="25" t="s">
        <v>8306</v>
      </c>
      <c r="C306" s="25" t="s">
        <v>8307</v>
      </c>
      <c r="D306" s="25" t="s">
        <v>6291</v>
      </c>
      <c r="E306" s="16" t="s">
        <v>6292</v>
      </c>
      <c r="F306" s="16" t="s">
        <v>6292</v>
      </c>
      <c r="G306" s="16" t="s">
        <v>6292</v>
      </c>
      <c r="H306" s="16" t="s">
        <v>6292</v>
      </c>
      <c r="I306" s="25" t="s">
        <v>8308</v>
      </c>
      <c r="J306" s="25"/>
      <c r="K306" s="25" t="s">
        <v>6281</v>
      </c>
      <c r="L306" s="26" t="s">
        <v>8309</v>
      </c>
      <c r="M306" s="26" t="s">
        <v>6295</v>
      </c>
      <c r="N306" s="27" t="s">
        <v>8310</v>
      </c>
      <c r="O306" s="26" t="s">
        <v>6295</v>
      </c>
      <c r="P306" s="20" t="b">
        <v>1</v>
      </c>
      <c r="Q306" s="20" t="s">
        <v>6282</v>
      </c>
      <c r="R306" s="28" t="s">
        <v>6283</v>
      </c>
      <c r="S306" s="25"/>
      <c r="T306" s="20" t="b">
        <v>1</v>
      </c>
      <c r="U306" s="25"/>
      <c r="V306" s="25">
        <v>28.64</v>
      </c>
      <c r="W306" s="28" t="s">
        <v>8311</v>
      </c>
      <c r="X306" s="28" t="s">
        <v>6285</v>
      </c>
      <c r="Y306" s="28" t="s">
        <v>6286</v>
      </c>
      <c r="Z306" s="28" t="s">
        <v>6287</v>
      </c>
      <c r="AA306" s="28" t="s">
        <v>6288</v>
      </c>
      <c r="AB306" s="28" t="s">
        <v>6297</v>
      </c>
    </row>
    <row r="307" spans="1:28" ht="185.4" x14ac:dyDescent="0.3">
      <c r="A307" s="25">
        <v>6575</v>
      </c>
      <c r="B307" s="25" t="s">
        <v>8312</v>
      </c>
      <c r="C307" s="25" t="s">
        <v>8313</v>
      </c>
      <c r="D307" s="25" t="s">
        <v>6291</v>
      </c>
      <c r="E307" s="16" t="s">
        <v>6292</v>
      </c>
      <c r="F307" s="16" t="s">
        <v>6292</v>
      </c>
      <c r="G307" s="16" t="s">
        <v>6292</v>
      </c>
      <c r="H307" s="16" t="s">
        <v>6292</v>
      </c>
      <c r="I307" s="25" t="s">
        <v>8314</v>
      </c>
      <c r="J307" s="25"/>
      <c r="K307" s="25" t="s">
        <v>6281</v>
      </c>
      <c r="L307" s="26" t="s">
        <v>7628</v>
      </c>
      <c r="M307" s="26" t="s">
        <v>7629</v>
      </c>
      <c r="N307" s="27" t="s">
        <v>7630</v>
      </c>
      <c r="O307" s="26" t="s">
        <v>8315</v>
      </c>
      <c r="P307" s="20" t="b">
        <v>1</v>
      </c>
      <c r="Q307" s="20" t="s">
        <v>6282</v>
      </c>
      <c r="R307" s="28" t="s">
        <v>6283</v>
      </c>
      <c r="S307" s="25"/>
      <c r="T307" s="20" t="b">
        <v>1</v>
      </c>
      <c r="U307" s="25"/>
      <c r="V307" s="25">
        <v>12.24</v>
      </c>
      <c r="W307" s="28" t="s">
        <v>8316</v>
      </c>
      <c r="X307" s="28" t="s">
        <v>6285</v>
      </c>
      <c r="Y307" s="28" t="s">
        <v>6286</v>
      </c>
      <c r="Z307" s="28" t="s">
        <v>6287</v>
      </c>
      <c r="AA307" s="28" t="s">
        <v>6288</v>
      </c>
      <c r="AB307" s="28" t="s">
        <v>6297</v>
      </c>
    </row>
    <row r="308" spans="1:28" ht="185.4" x14ac:dyDescent="0.3">
      <c r="A308" s="25">
        <v>6581</v>
      </c>
      <c r="B308" s="25" t="s">
        <v>8317</v>
      </c>
      <c r="C308" s="25" t="s">
        <v>8318</v>
      </c>
      <c r="D308" s="25" t="s">
        <v>6291</v>
      </c>
      <c r="E308" s="16" t="s">
        <v>6292</v>
      </c>
      <c r="F308" s="16" t="s">
        <v>6292</v>
      </c>
      <c r="G308" s="16" t="s">
        <v>6292</v>
      </c>
      <c r="H308" s="16" t="s">
        <v>6292</v>
      </c>
      <c r="I308" s="25" t="s">
        <v>8319</v>
      </c>
      <c r="J308" s="25"/>
      <c r="K308" s="25" t="s">
        <v>6281</v>
      </c>
      <c r="L308" s="26" t="s">
        <v>8320</v>
      </c>
      <c r="M308" s="26" t="s">
        <v>7629</v>
      </c>
      <c r="N308" s="27" t="s">
        <v>7630</v>
      </c>
      <c r="O308" s="26" t="s">
        <v>8239</v>
      </c>
      <c r="P308" s="20" t="b">
        <v>1</v>
      </c>
      <c r="Q308" s="20" t="s">
        <v>6282</v>
      </c>
      <c r="R308" s="28" t="s">
        <v>6283</v>
      </c>
      <c r="S308" s="25"/>
      <c r="T308" s="20" t="b">
        <v>1</v>
      </c>
      <c r="U308" s="25"/>
      <c r="V308" s="25">
        <v>12.24</v>
      </c>
      <c r="W308" s="28" t="s">
        <v>8321</v>
      </c>
      <c r="X308" s="28" t="s">
        <v>6285</v>
      </c>
      <c r="Y308" s="28" t="s">
        <v>6286</v>
      </c>
      <c r="Z308" s="28" t="s">
        <v>6287</v>
      </c>
      <c r="AA308" s="28" t="s">
        <v>6288</v>
      </c>
      <c r="AB308" s="28" t="s">
        <v>6297</v>
      </c>
    </row>
    <row r="309" spans="1:28" ht="185.4" x14ac:dyDescent="0.3">
      <c r="A309" s="25">
        <v>6597</v>
      </c>
      <c r="B309" s="25" t="s">
        <v>8322</v>
      </c>
      <c r="C309" s="25" t="s">
        <v>8323</v>
      </c>
      <c r="D309" s="25" t="s">
        <v>6291</v>
      </c>
      <c r="E309" s="16" t="s">
        <v>6786</v>
      </c>
      <c r="F309" s="16" t="s">
        <v>6786</v>
      </c>
      <c r="G309" s="16" t="s">
        <v>6786</v>
      </c>
      <c r="H309" s="16" t="s">
        <v>6786</v>
      </c>
      <c r="I309" s="25" t="s">
        <v>8324</v>
      </c>
      <c r="J309" s="25"/>
      <c r="K309" s="25" t="s">
        <v>6281</v>
      </c>
      <c r="L309" s="26" t="s">
        <v>8325</v>
      </c>
      <c r="M309" s="26" t="s">
        <v>8326</v>
      </c>
      <c r="N309" s="27" t="s">
        <v>8327</v>
      </c>
      <c r="O309" s="26" t="s">
        <v>8328</v>
      </c>
      <c r="P309" s="20" t="b">
        <v>1</v>
      </c>
      <c r="Q309" s="20" t="s">
        <v>6282</v>
      </c>
      <c r="R309" s="28" t="s">
        <v>6283</v>
      </c>
      <c r="S309" s="25"/>
      <c r="T309" s="20" t="b">
        <v>1</v>
      </c>
      <c r="U309" s="25"/>
      <c r="V309" s="25" t="s">
        <v>6295</v>
      </c>
      <c r="W309" s="28" t="s">
        <v>8329</v>
      </c>
      <c r="X309" s="28" t="s">
        <v>6285</v>
      </c>
      <c r="Y309" s="28" t="s">
        <v>6286</v>
      </c>
      <c r="Z309" s="28" t="s">
        <v>6287</v>
      </c>
      <c r="AA309" s="28" t="s">
        <v>6288</v>
      </c>
      <c r="AB309" s="28" t="s">
        <v>6297</v>
      </c>
    </row>
    <row r="310" spans="1:28" ht="185.4" x14ac:dyDescent="0.3">
      <c r="A310" s="25">
        <v>6605</v>
      </c>
      <c r="B310" s="25" t="s">
        <v>8330</v>
      </c>
      <c r="C310" s="25" t="s">
        <v>6306</v>
      </c>
      <c r="D310" s="25" t="s">
        <v>6291</v>
      </c>
      <c r="E310" s="16" t="s">
        <v>6292</v>
      </c>
      <c r="F310" s="16" t="s">
        <v>6292</v>
      </c>
      <c r="G310" s="16" t="s">
        <v>6292</v>
      </c>
      <c r="H310" s="16" t="s">
        <v>6292</v>
      </c>
      <c r="I310" s="25" t="s">
        <v>8331</v>
      </c>
      <c r="J310" s="25"/>
      <c r="K310" s="25" t="s">
        <v>6281</v>
      </c>
      <c r="L310" s="26" t="s">
        <v>8332</v>
      </c>
      <c r="M310" s="26" t="s">
        <v>8333</v>
      </c>
      <c r="N310" s="27" t="s">
        <v>8334</v>
      </c>
      <c r="O310" s="26" t="s">
        <v>8335</v>
      </c>
      <c r="P310" s="20" t="b">
        <v>1</v>
      </c>
      <c r="Q310" s="20" t="s">
        <v>6282</v>
      </c>
      <c r="R310" s="28" t="s">
        <v>6283</v>
      </c>
      <c r="S310" s="25"/>
      <c r="T310" s="20" t="b">
        <v>1</v>
      </c>
      <c r="U310" s="25"/>
      <c r="V310" s="25">
        <v>26</v>
      </c>
      <c r="W310" s="28" t="s">
        <v>8336</v>
      </c>
      <c r="X310" s="28" t="s">
        <v>6285</v>
      </c>
      <c r="Y310" s="28" t="s">
        <v>6286</v>
      </c>
      <c r="Z310" s="28" t="s">
        <v>6287</v>
      </c>
      <c r="AA310" s="28" t="s">
        <v>6288</v>
      </c>
      <c r="AB310" s="28" t="s">
        <v>6297</v>
      </c>
    </row>
    <row r="311" spans="1:28" ht="198.6" x14ac:dyDescent="0.3">
      <c r="A311" s="25">
        <v>6606</v>
      </c>
      <c r="B311" s="25" t="s">
        <v>8337</v>
      </c>
      <c r="C311" s="25" t="s">
        <v>8338</v>
      </c>
      <c r="D311" s="25" t="s">
        <v>6291</v>
      </c>
      <c r="E311" s="16" t="s">
        <v>6292</v>
      </c>
      <c r="F311" s="16" t="s">
        <v>6292</v>
      </c>
      <c r="G311" s="16" t="s">
        <v>6292</v>
      </c>
      <c r="H311" s="16" t="s">
        <v>6292</v>
      </c>
      <c r="I311" s="25" t="s">
        <v>8339</v>
      </c>
      <c r="J311" s="25"/>
      <c r="K311" s="25" t="s">
        <v>6281</v>
      </c>
      <c r="L311" s="26" t="s">
        <v>8340</v>
      </c>
      <c r="M311" s="26" t="s">
        <v>8341</v>
      </c>
      <c r="N311" s="27" t="s">
        <v>8342</v>
      </c>
      <c r="O311" s="26" t="s">
        <v>6295</v>
      </c>
      <c r="P311" s="20" t="b">
        <v>1</v>
      </c>
      <c r="Q311" s="20" t="s">
        <v>6282</v>
      </c>
      <c r="R311" s="28" t="s">
        <v>6283</v>
      </c>
      <c r="S311" s="25"/>
      <c r="T311" s="20" t="b">
        <v>1</v>
      </c>
      <c r="U311" s="25"/>
      <c r="V311" s="25">
        <v>36</v>
      </c>
      <c r="W311" s="28" t="s">
        <v>8343</v>
      </c>
      <c r="X311" s="28" t="s">
        <v>6285</v>
      </c>
      <c r="Y311" s="28" t="s">
        <v>6286</v>
      </c>
      <c r="Z311" s="28" t="s">
        <v>6287</v>
      </c>
      <c r="AA311" s="28" t="s">
        <v>6288</v>
      </c>
      <c r="AB311" s="28" t="s">
        <v>6297</v>
      </c>
    </row>
    <row r="312" spans="1:28" ht="185.4" x14ac:dyDescent="0.3">
      <c r="A312" s="25">
        <v>6631</v>
      </c>
      <c r="B312" s="25" t="s">
        <v>8344</v>
      </c>
      <c r="C312" s="25" t="s">
        <v>8345</v>
      </c>
      <c r="D312" s="25" t="s">
        <v>6291</v>
      </c>
      <c r="E312" s="16" t="s">
        <v>6786</v>
      </c>
      <c r="F312" s="16" t="s">
        <v>6786</v>
      </c>
      <c r="G312" s="16" t="s">
        <v>6786</v>
      </c>
      <c r="H312" s="16" t="s">
        <v>6786</v>
      </c>
      <c r="I312" s="25" t="s">
        <v>8346</v>
      </c>
      <c r="J312" s="25"/>
      <c r="K312" s="25" t="s">
        <v>6281</v>
      </c>
      <c r="L312" s="26" t="s">
        <v>8347</v>
      </c>
      <c r="M312" s="26" t="s">
        <v>8326</v>
      </c>
      <c r="N312" s="27" t="s">
        <v>8327</v>
      </c>
      <c r="O312" s="26" t="s">
        <v>8348</v>
      </c>
      <c r="P312" s="20" t="b">
        <v>1</v>
      </c>
      <c r="Q312" s="20" t="s">
        <v>6282</v>
      </c>
      <c r="R312" s="28" t="s">
        <v>6283</v>
      </c>
      <c r="S312" s="25"/>
      <c r="T312" s="20" t="b">
        <v>1</v>
      </c>
      <c r="U312" s="25"/>
      <c r="V312" s="25">
        <v>11.9657</v>
      </c>
      <c r="W312" s="28" t="s">
        <v>8349</v>
      </c>
      <c r="X312" s="28" t="s">
        <v>6285</v>
      </c>
      <c r="Y312" s="28" t="s">
        <v>6286</v>
      </c>
      <c r="Z312" s="28" t="s">
        <v>6287</v>
      </c>
      <c r="AA312" s="28" t="s">
        <v>6288</v>
      </c>
      <c r="AB312" s="28" t="s">
        <v>6297</v>
      </c>
    </row>
    <row r="313" spans="1:28" ht="185.4" x14ac:dyDescent="0.3">
      <c r="A313" s="25">
        <v>6634</v>
      </c>
      <c r="B313" s="25" t="s">
        <v>8350</v>
      </c>
      <c r="C313" s="25" t="s">
        <v>8351</v>
      </c>
      <c r="D313" s="25" t="s">
        <v>6278</v>
      </c>
      <c r="E313" s="16" t="s">
        <v>6279</v>
      </c>
      <c r="F313" s="16" t="s">
        <v>6279</v>
      </c>
      <c r="G313" s="16" t="s">
        <v>6279</v>
      </c>
      <c r="H313" s="16" t="s">
        <v>6279</v>
      </c>
      <c r="I313" s="25" t="s">
        <v>8352</v>
      </c>
      <c r="J313" s="25"/>
      <c r="K313" s="25" t="s">
        <v>6281</v>
      </c>
      <c r="L313" s="26" t="s">
        <v>8353</v>
      </c>
      <c r="M313" s="26" t="s">
        <v>8354</v>
      </c>
      <c r="N313" s="27" t="s">
        <v>8355</v>
      </c>
      <c r="O313" s="26" t="s">
        <v>6295</v>
      </c>
      <c r="P313" s="20" t="b">
        <v>1</v>
      </c>
      <c r="Q313" s="20" t="s">
        <v>6282</v>
      </c>
      <c r="R313" s="28" t="s">
        <v>6283</v>
      </c>
      <c r="S313" s="25"/>
      <c r="T313" s="20" t="b">
        <v>1</v>
      </c>
      <c r="U313" s="25"/>
      <c r="V313" s="25">
        <v>177</v>
      </c>
      <c r="W313" s="28" t="s">
        <v>8356</v>
      </c>
      <c r="X313" s="28" t="s">
        <v>6285</v>
      </c>
      <c r="Y313" s="28" t="s">
        <v>6286</v>
      </c>
      <c r="Z313" s="28" t="s">
        <v>6287</v>
      </c>
      <c r="AA313" s="28" t="s">
        <v>6288</v>
      </c>
      <c r="AB313" s="28" t="s">
        <v>6297</v>
      </c>
    </row>
    <row r="314" spans="1:28" ht="185.4" x14ac:dyDescent="0.3">
      <c r="A314" s="25">
        <v>6638</v>
      </c>
      <c r="B314" s="25" t="s">
        <v>8357</v>
      </c>
      <c r="C314" s="25" t="s">
        <v>8358</v>
      </c>
      <c r="D314" s="25" t="s">
        <v>6278</v>
      </c>
      <c r="E314" s="16" t="s">
        <v>6279</v>
      </c>
      <c r="F314" s="16" t="s">
        <v>6279</v>
      </c>
      <c r="G314" s="16" t="s">
        <v>6279</v>
      </c>
      <c r="H314" s="16" t="s">
        <v>6279</v>
      </c>
      <c r="I314" s="25" t="s">
        <v>8359</v>
      </c>
      <c r="J314" s="25"/>
      <c r="K314" s="25" t="s">
        <v>6281</v>
      </c>
      <c r="L314" s="26" t="s">
        <v>8360</v>
      </c>
      <c r="M314" s="26" t="s">
        <v>8354</v>
      </c>
      <c r="N314" s="27" t="s">
        <v>8361</v>
      </c>
      <c r="O314" s="26" t="s">
        <v>6295</v>
      </c>
      <c r="P314" s="20" t="b">
        <v>1</v>
      </c>
      <c r="Q314" s="20" t="s">
        <v>6282</v>
      </c>
      <c r="R314" s="28" t="s">
        <v>6283</v>
      </c>
      <c r="S314" s="25"/>
      <c r="T314" s="20" t="b">
        <v>1</v>
      </c>
      <c r="U314" s="25"/>
      <c r="V314" s="25">
        <v>840.4</v>
      </c>
      <c r="W314" s="28" t="s">
        <v>8362</v>
      </c>
      <c r="X314" s="28" t="s">
        <v>6285</v>
      </c>
      <c r="Y314" s="28" t="s">
        <v>6286</v>
      </c>
      <c r="Z314" s="28" t="s">
        <v>6287</v>
      </c>
      <c r="AA314" s="28" t="s">
        <v>6288</v>
      </c>
      <c r="AB314" s="28" t="s">
        <v>6297</v>
      </c>
    </row>
    <row r="315" spans="1:28" ht="185.4" x14ac:dyDescent="0.3">
      <c r="A315" s="25">
        <v>6639</v>
      </c>
      <c r="B315" s="25" t="s">
        <v>8363</v>
      </c>
      <c r="C315" s="25" t="s">
        <v>8364</v>
      </c>
      <c r="D315" s="25" t="s">
        <v>6278</v>
      </c>
      <c r="E315" s="16" t="s">
        <v>6279</v>
      </c>
      <c r="F315" s="16" t="s">
        <v>6279</v>
      </c>
      <c r="G315" s="16" t="s">
        <v>6279</v>
      </c>
      <c r="H315" s="16" t="s">
        <v>6279</v>
      </c>
      <c r="I315" s="25" t="s">
        <v>8365</v>
      </c>
      <c r="J315" s="25"/>
      <c r="K315" s="25" t="s">
        <v>6281</v>
      </c>
      <c r="L315" s="26" t="s">
        <v>8366</v>
      </c>
      <c r="M315" s="26" t="s">
        <v>8354</v>
      </c>
      <c r="N315" s="27" t="s">
        <v>8361</v>
      </c>
      <c r="O315" s="26" t="s">
        <v>6295</v>
      </c>
      <c r="P315" s="20" t="b">
        <v>1</v>
      </c>
      <c r="Q315" s="20" t="s">
        <v>6282</v>
      </c>
      <c r="R315" s="28" t="s">
        <v>6283</v>
      </c>
      <c r="S315" s="25"/>
      <c r="T315" s="20" t="b">
        <v>1</v>
      </c>
      <c r="U315" s="25"/>
      <c r="V315" s="25">
        <v>840.4</v>
      </c>
      <c r="W315" s="28" t="s">
        <v>8367</v>
      </c>
      <c r="X315" s="28" t="s">
        <v>6285</v>
      </c>
      <c r="Y315" s="28" t="s">
        <v>6286</v>
      </c>
      <c r="Z315" s="28" t="s">
        <v>6287</v>
      </c>
      <c r="AA315" s="28" t="s">
        <v>6288</v>
      </c>
      <c r="AB315" s="28" t="s">
        <v>6297</v>
      </c>
    </row>
    <row r="316" spans="1:28" ht="185.4" x14ac:dyDescent="0.3">
      <c r="A316" s="25">
        <v>6640</v>
      </c>
      <c r="B316" s="25" t="s">
        <v>8368</v>
      </c>
      <c r="C316" s="25" t="s">
        <v>8369</v>
      </c>
      <c r="D316" s="25" t="s">
        <v>6278</v>
      </c>
      <c r="E316" s="16" t="s">
        <v>6279</v>
      </c>
      <c r="F316" s="16" t="s">
        <v>6279</v>
      </c>
      <c r="G316" s="16" t="s">
        <v>6279</v>
      </c>
      <c r="H316" s="16" t="s">
        <v>6279</v>
      </c>
      <c r="I316" s="25" t="s">
        <v>8370</v>
      </c>
      <c r="J316" s="25"/>
      <c r="K316" s="25" t="s">
        <v>6281</v>
      </c>
      <c r="L316" s="26" t="s">
        <v>8371</v>
      </c>
      <c r="M316" s="26" t="s">
        <v>8372</v>
      </c>
      <c r="N316" s="27" t="s">
        <v>8373</v>
      </c>
      <c r="O316" s="26" t="s">
        <v>8374</v>
      </c>
      <c r="P316" s="20" t="b">
        <v>1</v>
      </c>
      <c r="Q316" s="20" t="s">
        <v>6282</v>
      </c>
      <c r="R316" s="28" t="s">
        <v>6283</v>
      </c>
      <c r="S316" s="25"/>
      <c r="T316" s="20" t="b">
        <v>1</v>
      </c>
      <c r="U316" s="25"/>
      <c r="V316" s="25">
        <v>842.14</v>
      </c>
      <c r="W316" s="28" t="s">
        <v>8375</v>
      </c>
      <c r="X316" s="28" t="s">
        <v>6285</v>
      </c>
      <c r="Y316" s="28" t="s">
        <v>6286</v>
      </c>
      <c r="Z316" s="28" t="s">
        <v>6287</v>
      </c>
      <c r="AA316" s="28" t="s">
        <v>6288</v>
      </c>
      <c r="AB316" s="28" t="s">
        <v>6297</v>
      </c>
    </row>
    <row r="317" spans="1:28" ht="185.4" x14ac:dyDescent="0.3">
      <c r="A317" s="25">
        <v>6641</v>
      </c>
      <c r="B317" s="25" t="s">
        <v>8376</v>
      </c>
      <c r="C317" s="25" t="s">
        <v>8377</v>
      </c>
      <c r="D317" s="25" t="s">
        <v>6278</v>
      </c>
      <c r="E317" s="16" t="s">
        <v>6279</v>
      </c>
      <c r="F317" s="16" t="s">
        <v>6279</v>
      </c>
      <c r="G317" s="16" t="s">
        <v>6279</v>
      </c>
      <c r="H317" s="16" t="s">
        <v>6279</v>
      </c>
      <c r="I317" s="25" t="s">
        <v>8378</v>
      </c>
      <c r="J317" s="25"/>
      <c r="K317" s="25" t="s">
        <v>6281</v>
      </c>
      <c r="L317" s="26" t="s">
        <v>8379</v>
      </c>
      <c r="M317" s="26" t="s">
        <v>8372</v>
      </c>
      <c r="N317" s="27" t="s">
        <v>8373</v>
      </c>
      <c r="O317" s="26" t="s">
        <v>8374</v>
      </c>
      <c r="P317" s="20" t="b">
        <v>1</v>
      </c>
      <c r="Q317" s="20" t="s">
        <v>6282</v>
      </c>
      <c r="R317" s="28" t="s">
        <v>6283</v>
      </c>
      <c r="S317" s="25"/>
      <c r="T317" s="20" t="b">
        <v>1</v>
      </c>
      <c r="U317" s="25"/>
      <c r="V317" s="25">
        <v>842.14</v>
      </c>
      <c r="W317" s="28" t="s">
        <v>8380</v>
      </c>
      <c r="X317" s="28" t="s">
        <v>6285</v>
      </c>
      <c r="Y317" s="28" t="s">
        <v>6286</v>
      </c>
      <c r="Z317" s="28" t="s">
        <v>6287</v>
      </c>
      <c r="AA317" s="28" t="s">
        <v>6288</v>
      </c>
      <c r="AB317" s="28" t="s">
        <v>6297</v>
      </c>
    </row>
    <row r="318" spans="1:28" ht="185.4" x14ac:dyDescent="0.3">
      <c r="A318" s="25">
        <v>6660</v>
      </c>
      <c r="B318" s="25" t="s">
        <v>8381</v>
      </c>
      <c r="C318" s="25" t="s">
        <v>8382</v>
      </c>
      <c r="D318" s="25" t="s">
        <v>6278</v>
      </c>
      <c r="E318" s="16" t="s">
        <v>6279</v>
      </c>
      <c r="F318" s="16" t="s">
        <v>6279</v>
      </c>
      <c r="G318" s="16" t="s">
        <v>6279</v>
      </c>
      <c r="H318" s="16" t="s">
        <v>6279</v>
      </c>
      <c r="I318" s="25" t="s">
        <v>8383</v>
      </c>
      <c r="J318" s="25"/>
      <c r="K318" s="25" t="s">
        <v>6281</v>
      </c>
      <c r="L318" s="26" t="s">
        <v>8384</v>
      </c>
      <c r="M318" s="26" t="s">
        <v>6295</v>
      </c>
      <c r="N318" s="27" t="s">
        <v>8385</v>
      </c>
      <c r="O318" s="26" t="s">
        <v>6295</v>
      </c>
      <c r="P318" s="20" t="b">
        <v>1</v>
      </c>
      <c r="Q318" s="20" t="s">
        <v>6282</v>
      </c>
      <c r="R318" s="28" t="s">
        <v>6283</v>
      </c>
      <c r="S318" s="25"/>
      <c r="T318" s="20" t="b">
        <v>1</v>
      </c>
      <c r="U318" s="25"/>
      <c r="V318" s="25">
        <v>1373.13</v>
      </c>
      <c r="W318" s="28" t="s">
        <v>8386</v>
      </c>
      <c r="X318" s="28" t="s">
        <v>6285</v>
      </c>
      <c r="Y318" s="28" t="s">
        <v>6286</v>
      </c>
      <c r="Z318" s="28" t="s">
        <v>6287</v>
      </c>
      <c r="AA318" s="28" t="s">
        <v>6288</v>
      </c>
      <c r="AB318" s="28" t="s">
        <v>6297</v>
      </c>
    </row>
    <row r="319" spans="1:28" ht="185.4" x14ac:dyDescent="0.3">
      <c r="A319" s="25">
        <v>6661</v>
      </c>
      <c r="B319" s="25" t="s">
        <v>8387</v>
      </c>
      <c r="C319" s="25" t="s">
        <v>8388</v>
      </c>
      <c r="D319" s="25" t="s">
        <v>6291</v>
      </c>
      <c r="E319" s="16" t="s">
        <v>6292</v>
      </c>
      <c r="F319" s="16" t="s">
        <v>6292</v>
      </c>
      <c r="G319" s="16" t="s">
        <v>6292</v>
      </c>
      <c r="H319" s="16" t="s">
        <v>6292</v>
      </c>
      <c r="I319" s="25" t="s">
        <v>8389</v>
      </c>
      <c r="J319" s="25"/>
      <c r="K319" s="25" t="s">
        <v>6281</v>
      </c>
      <c r="L319" s="26" t="s">
        <v>8390</v>
      </c>
      <c r="M319" s="26" t="s">
        <v>8391</v>
      </c>
      <c r="N319" s="27" t="s">
        <v>8392</v>
      </c>
      <c r="O319" s="26" t="s">
        <v>6295</v>
      </c>
      <c r="P319" s="20" t="b">
        <v>1</v>
      </c>
      <c r="Q319" s="20" t="s">
        <v>6282</v>
      </c>
      <c r="R319" s="28" t="s">
        <v>6283</v>
      </c>
      <c r="S319" s="25"/>
      <c r="T319" s="20" t="b">
        <v>1</v>
      </c>
      <c r="U319" s="25"/>
      <c r="V319" s="25">
        <v>145.81</v>
      </c>
      <c r="W319" s="28" t="s">
        <v>8393</v>
      </c>
      <c r="X319" s="28" t="s">
        <v>6285</v>
      </c>
      <c r="Y319" s="28" t="s">
        <v>6286</v>
      </c>
      <c r="Z319" s="28" t="s">
        <v>6287</v>
      </c>
      <c r="AA319" s="28" t="s">
        <v>6288</v>
      </c>
      <c r="AB319" s="28" t="s">
        <v>6297</v>
      </c>
    </row>
    <row r="320" spans="1:28" ht="185.4" x14ac:dyDescent="0.3">
      <c r="A320" s="25">
        <v>6677</v>
      </c>
      <c r="B320" s="25" t="s">
        <v>8394</v>
      </c>
      <c r="C320" s="25" t="s">
        <v>8395</v>
      </c>
      <c r="D320" s="25" t="s">
        <v>6291</v>
      </c>
      <c r="E320" s="16" t="s">
        <v>6292</v>
      </c>
      <c r="F320" s="16" t="s">
        <v>6292</v>
      </c>
      <c r="G320" s="16" t="s">
        <v>6292</v>
      </c>
      <c r="H320" s="16" t="s">
        <v>6292</v>
      </c>
      <c r="I320" s="25" t="s">
        <v>8396</v>
      </c>
      <c r="J320" s="25"/>
      <c r="K320" s="25" t="s">
        <v>6281</v>
      </c>
      <c r="L320" s="26" t="s">
        <v>8397</v>
      </c>
      <c r="M320" s="26" t="s">
        <v>8398</v>
      </c>
      <c r="N320" s="27" t="s">
        <v>8399</v>
      </c>
      <c r="O320" s="26" t="s">
        <v>8400</v>
      </c>
      <c r="P320" s="20" t="b">
        <v>1</v>
      </c>
      <c r="Q320" s="20" t="s">
        <v>6282</v>
      </c>
      <c r="R320" s="28" t="s">
        <v>6283</v>
      </c>
      <c r="S320" s="25"/>
      <c r="T320" s="20" t="b">
        <v>1</v>
      </c>
      <c r="U320" s="25"/>
      <c r="V320" s="25">
        <v>14.382</v>
      </c>
      <c r="W320" s="28" t="s">
        <v>8401</v>
      </c>
      <c r="X320" s="28" t="s">
        <v>6285</v>
      </c>
      <c r="Y320" s="28" t="s">
        <v>6286</v>
      </c>
      <c r="Z320" s="28" t="s">
        <v>6287</v>
      </c>
      <c r="AA320" s="28" t="s">
        <v>6288</v>
      </c>
      <c r="AB320" s="28" t="s">
        <v>6297</v>
      </c>
    </row>
    <row r="321" spans="1:28" ht="185.4" x14ac:dyDescent="0.3">
      <c r="A321" s="25">
        <v>6695</v>
      </c>
      <c r="B321" s="25" t="s">
        <v>8402</v>
      </c>
      <c r="C321" s="25" t="s">
        <v>8403</v>
      </c>
      <c r="D321" s="25" t="s">
        <v>6278</v>
      </c>
      <c r="E321" s="16" t="s">
        <v>6279</v>
      </c>
      <c r="F321" s="16" t="s">
        <v>6279</v>
      </c>
      <c r="G321" s="16" t="s">
        <v>6279</v>
      </c>
      <c r="H321" s="16" t="s">
        <v>6279</v>
      </c>
      <c r="I321" s="25" t="s">
        <v>8404</v>
      </c>
      <c r="J321" s="25"/>
      <c r="K321" s="25" t="s">
        <v>6281</v>
      </c>
      <c r="L321" s="26" t="s">
        <v>8405</v>
      </c>
      <c r="M321" s="26" t="s">
        <v>6295</v>
      </c>
      <c r="N321" s="27" t="s">
        <v>8406</v>
      </c>
      <c r="O321" s="26" t="s">
        <v>6295</v>
      </c>
      <c r="P321" s="20" t="b">
        <v>1</v>
      </c>
      <c r="Q321" s="20" t="s">
        <v>6282</v>
      </c>
      <c r="R321" s="28" t="s">
        <v>6283</v>
      </c>
      <c r="S321" s="25"/>
      <c r="T321" s="20" t="b">
        <v>1</v>
      </c>
      <c r="U321" s="25"/>
      <c r="V321" s="25">
        <v>119.28</v>
      </c>
      <c r="W321" s="28" t="s">
        <v>8407</v>
      </c>
      <c r="X321" s="28" t="s">
        <v>6285</v>
      </c>
      <c r="Y321" s="28" t="s">
        <v>6286</v>
      </c>
      <c r="Z321" s="28" t="s">
        <v>6287</v>
      </c>
      <c r="AA321" s="28" t="s">
        <v>6288</v>
      </c>
      <c r="AB321" s="28" t="s">
        <v>6297</v>
      </c>
    </row>
    <row r="322" spans="1:28" ht="185.4" x14ac:dyDescent="0.3">
      <c r="A322" s="25">
        <v>6703</v>
      </c>
      <c r="B322" s="25" t="s">
        <v>8408</v>
      </c>
      <c r="C322" s="25" t="s">
        <v>8409</v>
      </c>
      <c r="D322" s="25" t="s">
        <v>6291</v>
      </c>
      <c r="E322" s="16" t="s">
        <v>6292</v>
      </c>
      <c r="F322" s="16" t="s">
        <v>6292</v>
      </c>
      <c r="G322" s="16" t="s">
        <v>6292</v>
      </c>
      <c r="H322" s="16" t="s">
        <v>6292</v>
      </c>
      <c r="I322" s="25" t="s">
        <v>8410</v>
      </c>
      <c r="J322" s="25"/>
      <c r="K322" s="25" t="s">
        <v>6281</v>
      </c>
      <c r="L322" s="26" t="s">
        <v>8411</v>
      </c>
      <c r="M322" s="26" t="s">
        <v>8412</v>
      </c>
      <c r="N322" s="27" t="s">
        <v>8413</v>
      </c>
      <c r="O322" s="26" t="s">
        <v>6295</v>
      </c>
      <c r="P322" s="20" t="b">
        <v>1</v>
      </c>
      <c r="Q322" s="20" t="s">
        <v>6282</v>
      </c>
      <c r="R322" s="28" t="s">
        <v>6283</v>
      </c>
      <c r="S322" s="25"/>
      <c r="T322" s="20" t="b">
        <v>1</v>
      </c>
      <c r="U322" s="25"/>
      <c r="V322" s="25">
        <v>334.36</v>
      </c>
      <c r="W322" s="28" t="s">
        <v>8414</v>
      </c>
      <c r="X322" s="28" t="s">
        <v>6285</v>
      </c>
      <c r="Y322" s="28" t="s">
        <v>6286</v>
      </c>
      <c r="Z322" s="28" t="s">
        <v>6287</v>
      </c>
      <c r="AA322" s="28" t="s">
        <v>6288</v>
      </c>
      <c r="AB322" s="28" t="s">
        <v>6297</v>
      </c>
    </row>
    <row r="323" spans="1:28" ht="185.4" x14ac:dyDescent="0.3">
      <c r="A323" s="25">
        <v>6704</v>
      </c>
      <c r="B323" s="25" t="s">
        <v>8415</v>
      </c>
      <c r="C323" s="25" t="s">
        <v>8416</v>
      </c>
      <c r="D323" s="25" t="s">
        <v>6278</v>
      </c>
      <c r="E323" s="16" t="s">
        <v>6279</v>
      </c>
      <c r="F323" s="16" t="s">
        <v>6279</v>
      </c>
      <c r="G323" s="16" t="s">
        <v>6279</v>
      </c>
      <c r="H323" s="16" t="s">
        <v>6279</v>
      </c>
      <c r="I323" s="25" t="s">
        <v>8417</v>
      </c>
      <c r="J323" s="25"/>
      <c r="K323" s="25" t="s">
        <v>6281</v>
      </c>
      <c r="L323" s="26" t="s">
        <v>8418</v>
      </c>
      <c r="M323" s="26" t="s">
        <v>6295</v>
      </c>
      <c r="N323" s="27" t="s">
        <v>8419</v>
      </c>
      <c r="O323" s="26" t="s">
        <v>6295</v>
      </c>
      <c r="P323" s="20" t="b">
        <v>1</v>
      </c>
      <c r="Q323" s="20" t="s">
        <v>6282</v>
      </c>
      <c r="R323" s="28" t="s">
        <v>6283</v>
      </c>
      <c r="S323" s="25"/>
      <c r="T323" s="20" t="b">
        <v>1</v>
      </c>
      <c r="U323" s="25"/>
      <c r="V323" s="25">
        <v>37.774000000000001</v>
      </c>
      <c r="W323" s="28" t="s">
        <v>8420</v>
      </c>
      <c r="X323" s="28" t="s">
        <v>6285</v>
      </c>
      <c r="Y323" s="28" t="s">
        <v>6286</v>
      </c>
      <c r="Z323" s="28" t="s">
        <v>6287</v>
      </c>
      <c r="AA323" s="28" t="s">
        <v>6288</v>
      </c>
      <c r="AB323" s="28" t="s">
        <v>6297</v>
      </c>
    </row>
    <row r="324" spans="1:28" ht="185.4" x14ac:dyDescent="0.3">
      <c r="A324" s="25">
        <v>6710</v>
      </c>
      <c r="B324" s="25" t="s">
        <v>8421</v>
      </c>
      <c r="C324" s="25" t="s">
        <v>8422</v>
      </c>
      <c r="D324" s="25" t="s">
        <v>6291</v>
      </c>
      <c r="E324" s="16" t="s">
        <v>6292</v>
      </c>
      <c r="F324" s="16" t="s">
        <v>6292</v>
      </c>
      <c r="G324" s="16" t="s">
        <v>6292</v>
      </c>
      <c r="H324" s="16" t="s">
        <v>6292</v>
      </c>
      <c r="I324" s="25" t="s">
        <v>8423</v>
      </c>
      <c r="J324" s="25"/>
      <c r="K324" s="25" t="s">
        <v>6281</v>
      </c>
      <c r="L324" s="26" t="s">
        <v>8397</v>
      </c>
      <c r="M324" s="26" t="s">
        <v>8398</v>
      </c>
      <c r="N324" s="27" t="s">
        <v>8399</v>
      </c>
      <c r="O324" s="26" t="s">
        <v>8400</v>
      </c>
      <c r="P324" s="20" t="b">
        <v>1</v>
      </c>
      <c r="Q324" s="20" t="s">
        <v>6282</v>
      </c>
      <c r="R324" s="28" t="s">
        <v>6283</v>
      </c>
      <c r="S324" s="25"/>
      <c r="T324" s="20" t="b">
        <v>1</v>
      </c>
      <c r="U324" s="25"/>
      <c r="V324" s="25">
        <v>14.382</v>
      </c>
      <c r="W324" s="28" t="s">
        <v>8424</v>
      </c>
      <c r="X324" s="28" t="s">
        <v>6285</v>
      </c>
      <c r="Y324" s="28" t="s">
        <v>6286</v>
      </c>
      <c r="Z324" s="28" t="s">
        <v>6287</v>
      </c>
      <c r="AA324" s="28" t="s">
        <v>6288</v>
      </c>
      <c r="AB324" s="28" t="s">
        <v>6297</v>
      </c>
    </row>
    <row r="325" spans="1:28" ht="198.6" x14ac:dyDescent="0.3">
      <c r="A325" s="25">
        <v>6722</v>
      </c>
      <c r="B325" s="25" t="s">
        <v>8425</v>
      </c>
      <c r="C325" s="25" t="s">
        <v>8426</v>
      </c>
      <c r="D325" s="25" t="s">
        <v>6291</v>
      </c>
      <c r="E325" s="16" t="s">
        <v>6292</v>
      </c>
      <c r="F325" s="16" t="s">
        <v>6292</v>
      </c>
      <c r="G325" s="16" t="s">
        <v>6292</v>
      </c>
      <c r="H325" s="16" t="s">
        <v>6292</v>
      </c>
      <c r="I325" s="25" t="s">
        <v>8427</v>
      </c>
      <c r="J325" s="25"/>
      <c r="K325" s="25" t="s">
        <v>6281</v>
      </c>
      <c r="L325" s="26" t="s">
        <v>8428</v>
      </c>
      <c r="M325" s="26" t="s">
        <v>6295</v>
      </c>
      <c r="N325" s="27" t="s">
        <v>8429</v>
      </c>
      <c r="O325" s="26" t="s">
        <v>6295</v>
      </c>
      <c r="P325" s="20" t="b">
        <v>1</v>
      </c>
      <c r="Q325" s="20" t="s">
        <v>6282</v>
      </c>
      <c r="R325" s="28" t="s">
        <v>6283</v>
      </c>
      <c r="S325" s="25"/>
      <c r="T325" s="20" t="b">
        <v>1</v>
      </c>
      <c r="U325" s="25"/>
      <c r="V325" s="25">
        <v>189.85</v>
      </c>
      <c r="W325" s="28" t="s">
        <v>8430</v>
      </c>
      <c r="X325" s="28" t="s">
        <v>6285</v>
      </c>
      <c r="Y325" s="28" t="s">
        <v>6286</v>
      </c>
      <c r="Z325" s="28" t="s">
        <v>6287</v>
      </c>
      <c r="AA325" s="28" t="s">
        <v>6288</v>
      </c>
      <c r="AB325" s="28" t="s">
        <v>6297</v>
      </c>
    </row>
    <row r="326" spans="1:28" ht="185.4" x14ac:dyDescent="0.3">
      <c r="A326" s="25">
        <v>6729</v>
      </c>
      <c r="B326" s="25" t="s">
        <v>8431</v>
      </c>
      <c r="C326" s="25" t="s">
        <v>6306</v>
      </c>
      <c r="D326" s="25" t="s">
        <v>6278</v>
      </c>
      <c r="E326" s="16" t="s">
        <v>6279</v>
      </c>
      <c r="F326" s="16" t="s">
        <v>6279</v>
      </c>
      <c r="G326" s="16" t="s">
        <v>6279</v>
      </c>
      <c r="H326" s="16" t="s">
        <v>6279</v>
      </c>
      <c r="I326" s="25" t="s">
        <v>8432</v>
      </c>
      <c r="J326" s="25"/>
      <c r="K326" s="25" t="s">
        <v>6281</v>
      </c>
      <c r="L326" s="26" t="s">
        <v>8433</v>
      </c>
      <c r="M326" s="26" t="s">
        <v>6295</v>
      </c>
      <c r="N326" s="27" t="s">
        <v>8434</v>
      </c>
      <c r="O326" s="26" t="s">
        <v>6295</v>
      </c>
      <c r="P326" s="20" t="b">
        <v>1</v>
      </c>
      <c r="Q326" s="20" t="s">
        <v>6282</v>
      </c>
      <c r="R326" s="28" t="s">
        <v>6283</v>
      </c>
      <c r="S326" s="25"/>
      <c r="T326" s="20" t="b">
        <v>1</v>
      </c>
      <c r="U326" s="25"/>
      <c r="V326" s="25">
        <v>3106.56</v>
      </c>
      <c r="W326" s="28" t="s">
        <v>8435</v>
      </c>
      <c r="X326" s="28" t="s">
        <v>6285</v>
      </c>
      <c r="Y326" s="28" t="s">
        <v>6286</v>
      </c>
      <c r="Z326" s="28" t="s">
        <v>6287</v>
      </c>
      <c r="AA326" s="28" t="s">
        <v>6288</v>
      </c>
      <c r="AB326" s="28" t="s">
        <v>6297</v>
      </c>
    </row>
    <row r="327" spans="1:28" ht="185.4" x14ac:dyDescent="0.3">
      <c r="A327" s="25">
        <v>6730</v>
      </c>
      <c r="B327" s="25" t="s">
        <v>8436</v>
      </c>
      <c r="C327" s="25" t="s">
        <v>8437</v>
      </c>
      <c r="D327" s="25" t="s">
        <v>6278</v>
      </c>
      <c r="E327" s="16" t="s">
        <v>6279</v>
      </c>
      <c r="F327" s="16" t="s">
        <v>6279</v>
      </c>
      <c r="G327" s="16" t="s">
        <v>6279</v>
      </c>
      <c r="H327" s="16" t="s">
        <v>6279</v>
      </c>
      <c r="I327" s="25" t="s">
        <v>8438</v>
      </c>
      <c r="J327" s="25"/>
      <c r="K327" s="25" t="s">
        <v>6281</v>
      </c>
      <c r="L327" s="26" t="s">
        <v>8439</v>
      </c>
      <c r="M327" s="26" t="s">
        <v>8440</v>
      </c>
      <c r="N327" s="27" t="s">
        <v>8441</v>
      </c>
      <c r="O327" s="26" t="s">
        <v>6295</v>
      </c>
      <c r="P327" s="20" t="b">
        <v>1</v>
      </c>
      <c r="Q327" s="20" t="s">
        <v>6282</v>
      </c>
      <c r="R327" s="28" t="s">
        <v>6283</v>
      </c>
      <c r="S327" s="25"/>
      <c r="T327" s="20" t="b">
        <v>1</v>
      </c>
      <c r="U327" s="25"/>
      <c r="V327" s="25">
        <v>86.91</v>
      </c>
      <c r="W327" s="28" t="s">
        <v>8442</v>
      </c>
      <c r="X327" s="28" t="s">
        <v>6285</v>
      </c>
      <c r="Y327" s="28" t="s">
        <v>6286</v>
      </c>
      <c r="Z327" s="28" t="s">
        <v>6287</v>
      </c>
      <c r="AA327" s="28" t="s">
        <v>6288</v>
      </c>
      <c r="AB327" s="28" t="s">
        <v>6297</v>
      </c>
    </row>
    <row r="328" spans="1:28" ht="185.4" x14ac:dyDescent="0.3">
      <c r="A328" s="25">
        <v>6738</v>
      </c>
      <c r="B328" s="25" t="s">
        <v>8443</v>
      </c>
      <c r="C328" s="25" t="s">
        <v>8444</v>
      </c>
      <c r="D328" s="25" t="s">
        <v>6278</v>
      </c>
      <c r="E328" s="16" t="s">
        <v>6279</v>
      </c>
      <c r="F328" s="16" t="s">
        <v>6279</v>
      </c>
      <c r="G328" s="16" t="s">
        <v>6279</v>
      </c>
      <c r="H328" s="16" t="s">
        <v>6279</v>
      </c>
      <c r="I328" s="25" t="s">
        <v>8445</v>
      </c>
      <c r="J328" s="25"/>
      <c r="K328" s="25" t="s">
        <v>6281</v>
      </c>
      <c r="L328" s="26" t="s">
        <v>8446</v>
      </c>
      <c r="M328" s="26" t="s">
        <v>8447</v>
      </c>
      <c r="N328" s="27" t="s">
        <v>8448</v>
      </c>
      <c r="O328" s="26" t="s">
        <v>8449</v>
      </c>
      <c r="P328" s="20" t="b">
        <v>1</v>
      </c>
      <c r="Q328" s="20" t="s">
        <v>6282</v>
      </c>
      <c r="R328" s="28" t="s">
        <v>6283</v>
      </c>
      <c r="S328" s="25"/>
      <c r="T328" s="20" t="b">
        <v>1</v>
      </c>
      <c r="U328" s="25"/>
      <c r="V328" s="25">
        <v>439.39</v>
      </c>
      <c r="W328" s="28" t="s">
        <v>8450</v>
      </c>
      <c r="X328" s="28" t="s">
        <v>6285</v>
      </c>
      <c r="Y328" s="28" t="s">
        <v>6286</v>
      </c>
      <c r="Z328" s="28" t="s">
        <v>6287</v>
      </c>
      <c r="AA328" s="28" t="s">
        <v>6288</v>
      </c>
      <c r="AB328" s="28" t="s">
        <v>6297</v>
      </c>
    </row>
    <row r="329" spans="1:28" ht="185.4" x14ac:dyDescent="0.3">
      <c r="A329" s="25">
        <v>6741</v>
      </c>
      <c r="B329" s="25" t="s">
        <v>8451</v>
      </c>
      <c r="C329" s="25" t="s">
        <v>8452</v>
      </c>
      <c r="D329" s="25" t="s">
        <v>6291</v>
      </c>
      <c r="E329" s="16" t="s">
        <v>6292</v>
      </c>
      <c r="F329" s="16" t="s">
        <v>6292</v>
      </c>
      <c r="G329" s="16" t="s">
        <v>6292</v>
      </c>
      <c r="H329" s="16" t="s">
        <v>6292</v>
      </c>
      <c r="I329" s="25" t="s">
        <v>8453</v>
      </c>
      <c r="J329" s="25"/>
      <c r="K329" s="25" t="s">
        <v>6281</v>
      </c>
      <c r="L329" s="26" t="s">
        <v>8454</v>
      </c>
      <c r="M329" s="26" t="s">
        <v>6295</v>
      </c>
      <c r="N329" s="27" t="s">
        <v>8455</v>
      </c>
      <c r="O329" s="26" t="s">
        <v>6295</v>
      </c>
      <c r="P329" s="20" t="b">
        <v>1</v>
      </c>
      <c r="Q329" s="20" t="s">
        <v>6282</v>
      </c>
      <c r="R329" s="28" t="s">
        <v>6283</v>
      </c>
      <c r="S329" s="25"/>
      <c r="T329" s="20" t="b">
        <v>1</v>
      </c>
      <c r="U329" s="25"/>
      <c r="V329" s="25">
        <v>49.29</v>
      </c>
      <c r="W329" s="28" t="s">
        <v>8456</v>
      </c>
      <c r="X329" s="28" t="s">
        <v>6285</v>
      </c>
      <c r="Y329" s="28" t="s">
        <v>6286</v>
      </c>
      <c r="Z329" s="28" t="s">
        <v>6287</v>
      </c>
      <c r="AA329" s="28" t="s">
        <v>6288</v>
      </c>
      <c r="AB329" s="28" t="s">
        <v>6297</v>
      </c>
    </row>
    <row r="330" spans="1:28" ht="185.4" x14ac:dyDescent="0.3">
      <c r="A330" s="25">
        <v>6750</v>
      </c>
      <c r="B330" s="25" t="s">
        <v>8457</v>
      </c>
      <c r="C330" s="25" t="s">
        <v>8458</v>
      </c>
      <c r="D330" s="25" t="s">
        <v>6291</v>
      </c>
      <c r="E330" s="16" t="s">
        <v>6292</v>
      </c>
      <c r="F330" s="16" t="s">
        <v>6292</v>
      </c>
      <c r="G330" s="16" t="s">
        <v>6292</v>
      </c>
      <c r="H330" s="16" t="s">
        <v>6292</v>
      </c>
      <c r="I330" s="25" t="s">
        <v>8459</v>
      </c>
      <c r="J330" s="25"/>
      <c r="K330" s="25" t="s">
        <v>6281</v>
      </c>
      <c r="L330" s="26" t="s">
        <v>8460</v>
      </c>
      <c r="M330" s="26" t="s">
        <v>8461</v>
      </c>
      <c r="N330" s="27" t="s">
        <v>8462</v>
      </c>
      <c r="O330" s="26" t="s">
        <v>6295</v>
      </c>
      <c r="P330" s="20" t="b">
        <v>1</v>
      </c>
      <c r="Q330" s="20" t="s">
        <v>6282</v>
      </c>
      <c r="R330" s="28" t="s">
        <v>6283</v>
      </c>
      <c r="S330" s="25"/>
      <c r="T330" s="20" t="b">
        <v>1</v>
      </c>
      <c r="U330" s="25"/>
      <c r="V330" s="25">
        <v>22.803000000000001</v>
      </c>
      <c r="W330" s="28" t="s">
        <v>8463</v>
      </c>
      <c r="X330" s="28" t="s">
        <v>6285</v>
      </c>
      <c r="Y330" s="28" t="s">
        <v>6286</v>
      </c>
      <c r="Z330" s="28" t="s">
        <v>6287</v>
      </c>
      <c r="AA330" s="28" t="s">
        <v>6288</v>
      </c>
      <c r="AB330" s="28" t="s">
        <v>6297</v>
      </c>
    </row>
    <row r="331" spans="1:28" ht="185.4" x14ac:dyDescent="0.3">
      <c r="A331" s="25">
        <v>6756</v>
      </c>
      <c r="B331" s="25" t="s">
        <v>8464</v>
      </c>
      <c r="C331" s="25" t="s">
        <v>8465</v>
      </c>
      <c r="D331" s="25" t="s">
        <v>6291</v>
      </c>
      <c r="E331" s="16" t="s">
        <v>6786</v>
      </c>
      <c r="F331" s="16" t="s">
        <v>6786</v>
      </c>
      <c r="G331" s="16" t="s">
        <v>6786</v>
      </c>
      <c r="H331" s="16" t="s">
        <v>6786</v>
      </c>
      <c r="I331" s="25" t="s">
        <v>8466</v>
      </c>
      <c r="J331" s="25"/>
      <c r="K331" s="25" t="s">
        <v>6281</v>
      </c>
      <c r="L331" s="26" t="s">
        <v>8467</v>
      </c>
      <c r="M331" s="26" t="s">
        <v>8468</v>
      </c>
      <c r="N331" s="27" t="s">
        <v>8469</v>
      </c>
      <c r="O331" s="26" t="s">
        <v>6295</v>
      </c>
      <c r="P331" s="20" t="b">
        <v>1</v>
      </c>
      <c r="Q331" s="20" t="s">
        <v>6282</v>
      </c>
      <c r="R331" s="28" t="s">
        <v>6283</v>
      </c>
      <c r="S331" s="25"/>
      <c r="T331" s="20" t="b">
        <v>1</v>
      </c>
      <c r="U331" s="25"/>
      <c r="V331" s="25">
        <v>0.15479999999999999</v>
      </c>
      <c r="W331" s="28" t="s">
        <v>8470</v>
      </c>
      <c r="X331" s="28" t="s">
        <v>6285</v>
      </c>
      <c r="Y331" s="28" t="s">
        <v>6286</v>
      </c>
      <c r="Z331" s="28" t="s">
        <v>6287</v>
      </c>
      <c r="AA331" s="28" t="s">
        <v>6288</v>
      </c>
      <c r="AB331" s="28" t="s">
        <v>6297</v>
      </c>
    </row>
    <row r="332" spans="1:28" ht="185.4" x14ac:dyDescent="0.3">
      <c r="A332" s="25">
        <v>6761</v>
      </c>
      <c r="B332" s="25" t="s">
        <v>8471</v>
      </c>
      <c r="C332" s="25" t="s">
        <v>6306</v>
      </c>
      <c r="D332" s="25" t="s">
        <v>6278</v>
      </c>
      <c r="E332" s="16" t="s">
        <v>6279</v>
      </c>
      <c r="F332" s="16" t="s">
        <v>6279</v>
      </c>
      <c r="G332" s="16" t="s">
        <v>6279</v>
      </c>
      <c r="H332" s="16" t="s">
        <v>6279</v>
      </c>
      <c r="I332" s="25" t="s">
        <v>8472</v>
      </c>
      <c r="J332" s="25"/>
      <c r="K332" s="25" t="s">
        <v>6281</v>
      </c>
      <c r="L332" s="26" t="s">
        <v>8473</v>
      </c>
      <c r="M332" s="26" t="s">
        <v>8474</v>
      </c>
      <c r="N332" s="27" t="s">
        <v>8475</v>
      </c>
      <c r="O332" s="26" t="s">
        <v>8476</v>
      </c>
      <c r="P332" s="20" t="b">
        <v>1</v>
      </c>
      <c r="Q332" s="20" t="s">
        <v>6282</v>
      </c>
      <c r="R332" s="28" t="s">
        <v>6283</v>
      </c>
      <c r="S332" s="25"/>
      <c r="T332" s="20" t="b">
        <v>1</v>
      </c>
      <c r="U332" s="25"/>
      <c r="V332" s="25">
        <v>478.09440000000001</v>
      </c>
      <c r="W332" s="28" t="s">
        <v>8477</v>
      </c>
      <c r="X332" s="28" t="s">
        <v>6285</v>
      </c>
      <c r="Y332" s="28" t="s">
        <v>6286</v>
      </c>
      <c r="Z332" s="28" t="s">
        <v>6287</v>
      </c>
      <c r="AA332" s="28" t="s">
        <v>6288</v>
      </c>
      <c r="AB332" s="28" t="s">
        <v>6297</v>
      </c>
    </row>
    <row r="333" spans="1:28" ht="185.4" x14ac:dyDescent="0.3">
      <c r="A333" s="25">
        <v>6765</v>
      </c>
      <c r="B333" s="25" t="s">
        <v>8478</v>
      </c>
      <c r="C333" s="25" t="s">
        <v>8479</v>
      </c>
      <c r="D333" s="25" t="s">
        <v>6291</v>
      </c>
      <c r="E333" s="16" t="s">
        <v>6292</v>
      </c>
      <c r="F333" s="16" t="s">
        <v>6292</v>
      </c>
      <c r="G333" s="16" t="s">
        <v>6292</v>
      </c>
      <c r="H333" s="16" t="s">
        <v>6292</v>
      </c>
      <c r="I333" s="25" t="s">
        <v>8480</v>
      </c>
      <c r="J333" s="25"/>
      <c r="K333" s="25" t="s">
        <v>6281</v>
      </c>
      <c r="L333" s="26" t="s">
        <v>8481</v>
      </c>
      <c r="M333" s="26" t="s">
        <v>8482</v>
      </c>
      <c r="N333" s="27" t="s">
        <v>8483</v>
      </c>
      <c r="O333" s="26" t="s">
        <v>8484</v>
      </c>
      <c r="P333" s="20" t="b">
        <v>1</v>
      </c>
      <c r="Q333" s="20" t="s">
        <v>6282</v>
      </c>
      <c r="R333" s="28" t="s">
        <v>6283</v>
      </c>
      <c r="S333" s="25"/>
      <c r="T333" s="20" t="b">
        <v>1</v>
      </c>
      <c r="U333" s="25"/>
      <c r="V333" s="25">
        <v>92.257000000000005</v>
      </c>
      <c r="W333" s="28" t="s">
        <v>8485</v>
      </c>
      <c r="X333" s="28" t="s">
        <v>6285</v>
      </c>
      <c r="Y333" s="28" t="s">
        <v>6286</v>
      </c>
      <c r="Z333" s="28" t="s">
        <v>6287</v>
      </c>
      <c r="AA333" s="28" t="s">
        <v>6288</v>
      </c>
      <c r="AB333" s="28" t="s">
        <v>6297</v>
      </c>
    </row>
    <row r="334" spans="1:28" ht="185.4" x14ac:dyDescent="0.3">
      <c r="A334" s="25">
        <v>6766</v>
      </c>
      <c r="B334" s="25" t="s">
        <v>8486</v>
      </c>
      <c r="C334" s="25" t="s">
        <v>8479</v>
      </c>
      <c r="D334" s="25" t="s">
        <v>6291</v>
      </c>
      <c r="E334" s="16" t="s">
        <v>6292</v>
      </c>
      <c r="F334" s="16" t="s">
        <v>6292</v>
      </c>
      <c r="G334" s="16" t="s">
        <v>6292</v>
      </c>
      <c r="H334" s="16" t="s">
        <v>6292</v>
      </c>
      <c r="I334" s="25" t="s">
        <v>8487</v>
      </c>
      <c r="J334" s="25"/>
      <c r="K334" s="25" t="s">
        <v>6281</v>
      </c>
      <c r="L334" s="26" t="s">
        <v>8488</v>
      </c>
      <c r="M334" s="26" t="s">
        <v>8489</v>
      </c>
      <c r="N334" s="27" t="s">
        <v>8490</v>
      </c>
      <c r="O334" s="26" t="s">
        <v>8484</v>
      </c>
      <c r="P334" s="20" t="b">
        <v>1</v>
      </c>
      <c r="Q334" s="20" t="s">
        <v>6282</v>
      </c>
      <c r="R334" s="28" t="s">
        <v>6283</v>
      </c>
      <c r="S334" s="25"/>
      <c r="T334" s="20" t="b">
        <v>1</v>
      </c>
      <c r="U334" s="25"/>
      <c r="V334" s="25">
        <v>93.159000000000006</v>
      </c>
      <c r="W334" s="28" t="s">
        <v>8491</v>
      </c>
      <c r="X334" s="28" t="s">
        <v>6285</v>
      </c>
      <c r="Y334" s="28" t="s">
        <v>6286</v>
      </c>
      <c r="Z334" s="28" t="s">
        <v>6287</v>
      </c>
      <c r="AA334" s="28" t="s">
        <v>6288</v>
      </c>
      <c r="AB334" s="28" t="s">
        <v>6297</v>
      </c>
    </row>
    <row r="335" spans="1:28" ht="185.4" x14ac:dyDescent="0.3">
      <c r="A335" s="25">
        <v>6769</v>
      </c>
      <c r="B335" s="25" t="s">
        <v>8492</v>
      </c>
      <c r="C335" s="25" t="s">
        <v>8493</v>
      </c>
      <c r="D335" s="25" t="s">
        <v>6291</v>
      </c>
      <c r="E335" s="16" t="s">
        <v>6292</v>
      </c>
      <c r="F335" s="16" t="s">
        <v>6292</v>
      </c>
      <c r="G335" s="16" t="s">
        <v>6292</v>
      </c>
      <c r="H335" s="16" t="s">
        <v>6292</v>
      </c>
      <c r="I335" s="25" t="s">
        <v>8494</v>
      </c>
      <c r="J335" s="25"/>
      <c r="K335" s="25" t="s">
        <v>6281</v>
      </c>
      <c r="L335" s="26" t="s">
        <v>8495</v>
      </c>
      <c r="M335" s="26" t="s">
        <v>8496</v>
      </c>
      <c r="N335" s="27" t="s">
        <v>8497</v>
      </c>
      <c r="O335" s="26" t="s">
        <v>6295</v>
      </c>
      <c r="P335" s="20" t="b">
        <v>1</v>
      </c>
      <c r="Q335" s="20" t="s">
        <v>6282</v>
      </c>
      <c r="R335" s="28" t="s">
        <v>6283</v>
      </c>
      <c r="S335" s="25"/>
      <c r="T335" s="20" t="b">
        <v>1</v>
      </c>
      <c r="U335" s="25"/>
      <c r="V335" s="25">
        <v>20.5</v>
      </c>
      <c r="W335" s="28" t="s">
        <v>8498</v>
      </c>
      <c r="X335" s="28" t="s">
        <v>6285</v>
      </c>
      <c r="Y335" s="28" t="s">
        <v>6286</v>
      </c>
      <c r="Z335" s="28" t="s">
        <v>6287</v>
      </c>
      <c r="AA335" s="28" t="s">
        <v>6288</v>
      </c>
      <c r="AB335" s="28" t="s">
        <v>6297</v>
      </c>
    </row>
    <row r="336" spans="1:28" ht="185.4" x14ac:dyDescent="0.3">
      <c r="A336" s="25">
        <v>6770</v>
      </c>
      <c r="B336" s="25" t="s">
        <v>8499</v>
      </c>
      <c r="C336" s="25" t="s">
        <v>8500</v>
      </c>
      <c r="D336" s="25" t="s">
        <v>6291</v>
      </c>
      <c r="E336" s="16" t="s">
        <v>6292</v>
      </c>
      <c r="F336" s="16" t="s">
        <v>6292</v>
      </c>
      <c r="G336" s="16" t="s">
        <v>6292</v>
      </c>
      <c r="H336" s="16" t="s">
        <v>6292</v>
      </c>
      <c r="I336" s="25" t="s">
        <v>8501</v>
      </c>
      <c r="J336" s="25"/>
      <c r="K336" s="25" t="s">
        <v>6281</v>
      </c>
      <c r="L336" s="26" t="s">
        <v>8502</v>
      </c>
      <c r="M336" s="26" t="s">
        <v>8503</v>
      </c>
      <c r="N336" s="27" t="s">
        <v>8504</v>
      </c>
      <c r="O336" s="26" t="s">
        <v>7881</v>
      </c>
      <c r="P336" s="20" t="b">
        <v>1</v>
      </c>
      <c r="Q336" s="20" t="s">
        <v>6282</v>
      </c>
      <c r="R336" s="28" t="s">
        <v>6283</v>
      </c>
      <c r="S336" s="25"/>
      <c r="T336" s="20" t="b">
        <v>1</v>
      </c>
      <c r="U336" s="25"/>
      <c r="V336" s="25">
        <v>65.52</v>
      </c>
      <c r="W336" s="28" t="s">
        <v>8505</v>
      </c>
      <c r="X336" s="28" t="s">
        <v>6285</v>
      </c>
      <c r="Y336" s="28" t="s">
        <v>6286</v>
      </c>
      <c r="Z336" s="28" t="s">
        <v>6287</v>
      </c>
      <c r="AA336" s="28" t="s">
        <v>6288</v>
      </c>
      <c r="AB336" s="28" t="s">
        <v>6297</v>
      </c>
    </row>
    <row r="337" spans="1:28" ht="185.4" x14ac:dyDescent="0.3">
      <c r="A337" s="25">
        <v>6782</v>
      </c>
      <c r="B337" s="25" t="s">
        <v>8506</v>
      </c>
      <c r="C337" s="25" t="s">
        <v>8507</v>
      </c>
      <c r="D337" s="25" t="s">
        <v>6278</v>
      </c>
      <c r="E337" s="16" t="s">
        <v>6279</v>
      </c>
      <c r="F337" s="16" t="s">
        <v>6279</v>
      </c>
      <c r="G337" s="16" t="s">
        <v>6279</v>
      </c>
      <c r="H337" s="16" t="s">
        <v>6279</v>
      </c>
      <c r="I337" s="25" t="s">
        <v>8508</v>
      </c>
      <c r="J337" s="25"/>
      <c r="K337" s="25" t="s">
        <v>6281</v>
      </c>
      <c r="L337" s="26" t="s">
        <v>8509</v>
      </c>
      <c r="M337" s="26" t="s">
        <v>8510</v>
      </c>
      <c r="N337" s="27" t="s">
        <v>8511</v>
      </c>
      <c r="O337" s="26" t="s">
        <v>6295</v>
      </c>
      <c r="P337" s="20" t="b">
        <v>1</v>
      </c>
      <c r="Q337" s="20" t="s">
        <v>6282</v>
      </c>
      <c r="R337" s="28" t="s">
        <v>6283</v>
      </c>
      <c r="S337" s="25"/>
      <c r="T337" s="20" t="b">
        <v>1</v>
      </c>
      <c r="U337" s="25"/>
      <c r="V337" s="25">
        <v>14.2</v>
      </c>
      <c r="W337" s="28" t="s">
        <v>8512</v>
      </c>
      <c r="X337" s="28" t="s">
        <v>6285</v>
      </c>
      <c r="Y337" s="28" t="s">
        <v>6286</v>
      </c>
      <c r="Z337" s="28" t="s">
        <v>6287</v>
      </c>
      <c r="AA337" s="28" t="s">
        <v>6288</v>
      </c>
      <c r="AB337" s="28" t="s">
        <v>6297</v>
      </c>
    </row>
    <row r="338" spans="1:28" ht="185.4" x14ac:dyDescent="0.3">
      <c r="A338" s="25">
        <v>6786</v>
      </c>
      <c r="B338" s="25" t="s">
        <v>8513</v>
      </c>
      <c r="C338" s="25" t="s">
        <v>8514</v>
      </c>
      <c r="D338" s="25" t="s">
        <v>6291</v>
      </c>
      <c r="E338" s="16" t="s">
        <v>6786</v>
      </c>
      <c r="F338" s="16" t="s">
        <v>6786</v>
      </c>
      <c r="G338" s="16" t="s">
        <v>6786</v>
      </c>
      <c r="H338" s="16" t="s">
        <v>6786</v>
      </c>
      <c r="I338" s="25" t="s">
        <v>8515</v>
      </c>
      <c r="J338" s="25"/>
      <c r="K338" s="25" t="s">
        <v>6281</v>
      </c>
      <c r="L338" s="26" t="s">
        <v>8516</v>
      </c>
      <c r="M338" s="26" t="s">
        <v>6295</v>
      </c>
      <c r="N338" s="27" t="s">
        <v>8517</v>
      </c>
      <c r="O338" s="26" t="s">
        <v>8518</v>
      </c>
      <c r="P338" s="20" t="b">
        <v>1</v>
      </c>
      <c r="Q338" s="20" t="s">
        <v>6282</v>
      </c>
      <c r="R338" s="28" t="s">
        <v>6283</v>
      </c>
      <c r="S338" s="25"/>
      <c r="T338" s="20" t="b">
        <v>1</v>
      </c>
      <c r="U338" s="25"/>
      <c r="V338" s="25">
        <v>127.2166</v>
      </c>
      <c r="W338" s="28" t="s">
        <v>8519</v>
      </c>
      <c r="X338" s="28" t="s">
        <v>6285</v>
      </c>
      <c r="Y338" s="28" t="s">
        <v>6286</v>
      </c>
      <c r="Z338" s="28" t="s">
        <v>6287</v>
      </c>
      <c r="AA338" s="28" t="s">
        <v>6288</v>
      </c>
      <c r="AB338" s="28" t="s">
        <v>6297</v>
      </c>
    </row>
    <row r="339" spans="1:28" ht="185.4" x14ac:dyDescent="0.3">
      <c r="A339" s="25">
        <v>6792</v>
      </c>
      <c r="B339" s="25" t="s">
        <v>8520</v>
      </c>
      <c r="C339" s="25" t="s">
        <v>6299</v>
      </c>
      <c r="D339" s="25" t="s">
        <v>6291</v>
      </c>
      <c r="E339" s="16" t="s">
        <v>6292</v>
      </c>
      <c r="F339" s="16" t="s">
        <v>6292</v>
      </c>
      <c r="G339" s="16" t="s">
        <v>6292</v>
      </c>
      <c r="H339" s="16" t="s">
        <v>6292</v>
      </c>
      <c r="I339" s="25" t="s">
        <v>8521</v>
      </c>
      <c r="J339" s="25"/>
      <c r="K339" s="25" t="s">
        <v>6281</v>
      </c>
      <c r="L339" s="26" t="s">
        <v>8522</v>
      </c>
      <c r="M339" s="26" t="s">
        <v>8523</v>
      </c>
      <c r="N339" s="27" t="s">
        <v>8061</v>
      </c>
      <c r="O339" s="26" t="s">
        <v>7939</v>
      </c>
      <c r="P339" s="20" t="b">
        <v>1</v>
      </c>
      <c r="Q339" s="20" t="s">
        <v>6282</v>
      </c>
      <c r="R339" s="28" t="s">
        <v>6283</v>
      </c>
      <c r="S339" s="25"/>
      <c r="T339" s="20" t="b">
        <v>1</v>
      </c>
      <c r="U339" s="25"/>
      <c r="V339" s="25">
        <v>32.529000000000003</v>
      </c>
      <c r="W339" s="28" t="s">
        <v>8524</v>
      </c>
      <c r="X339" s="28" t="s">
        <v>6285</v>
      </c>
      <c r="Y339" s="28" t="s">
        <v>6286</v>
      </c>
      <c r="Z339" s="28" t="s">
        <v>6287</v>
      </c>
      <c r="AA339" s="28" t="s">
        <v>6288</v>
      </c>
      <c r="AB339" s="28" t="s">
        <v>6297</v>
      </c>
    </row>
    <row r="340" spans="1:28" ht="185.4" x14ac:dyDescent="0.3">
      <c r="A340" s="25">
        <v>6800</v>
      </c>
      <c r="B340" s="25" t="s">
        <v>8525</v>
      </c>
      <c r="C340" s="25" t="s">
        <v>8526</v>
      </c>
      <c r="D340" s="25" t="s">
        <v>6291</v>
      </c>
      <c r="E340" s="16" t="s">
        <v>6786</v>
      </c>
      <c r="F340" s="16" t="s">
        <v>6786</v>
      </c>
      <c r="G340" s="16" t="s">
        <v>6786</v>
      </c>
      <c r="H340" s="16" t="s">
        <v>6786</v>
      </c>
      <c r="I340" s="25" t="s">
        <v>8527</v>
      </c>
      <c r="J340" s="25"/>
      <c r="K340" s="25" t="s">
        <v>6281</v>
      </c>
      <c r="L340" s="26" t="s">
        <v>8528</v>
      </c>
      <c r="M340" s="26" t="s">
        <v>8529</v>
      </c>
      <c r="N340" s="27" t="s">
        <v>8530</v>
      </c>
      <c r="O340" s="26" t="s">
        <v>6295</v>
      </c>
      <c r="P340" s="20" t="b">
        <v>1</v>
      </c>
      <c r="Q340" s="20" t="s">
        <v>6282</v>
      </c>
      <c r="R340" s="28" t="s">
        <v>6283</v>
      </c>
      <c r="S340" s="25"/>
      <c r="T340" s="20" t="b">
        <v>1</v>
      </c>
      <c r="U340" s="25"/>
      <c r="V340" s="25" t="s">
        <v>6295</v>
      </c>
      <c r="W340" s="28" t="s">
        <v>8531</v>
      </c>
      <c r="X340" s="28" t="s">
        <v>6285</v>
      </c>
      <c r="Y340" s="28" t="s">
        <v>6286</v>
      </c>
      <c r="Z340" s="28" t="s">
        <v>6287</v>
      </c>
      <c r="AA340" s="28" t="s">
        <v>6288</v>
      </c>
      <c r="AB340" s="28" t="s">
        <v>6297</v>
      </c>
    </row>
    <row r="341" spans="1:28" ht="185.4" x14ac:dyDescent="0.3">
      <c r="A341" s="25">
        <v>6801</v>
      </c>
      <c r="B341" s="25" t="s">
        <v>8532</v>
      </c>
      <c r="C341" s="25" t="s">
        <v>8533</v>
      </c>
      <c r="D341" s="25" t="s">
        <v>6291</v>
      </c>
      <c r="E341" s="16" t="s">
        <v>6786</v>
      </c>
      <c r="F341" s="16" t="s">
        <v>6786</v>
      </c>
      <c r="G341" s="16" t="s">
        <v>6786</v>
      </c>
      <c r="H341" s="16" t="s">
        <v>6786</v>
      </c>
      <c r="I341" s="25" t="s">
        <v>8534</v>
      </c>
      <c r="J341" s="25"/>
      <c r="K341" s="25" t="s">
        <v>6281</v>
      </c>
      <c r="L341" s="26" t="s">
        <v>8535</v>
      </c>
      <c r="M341" s="26" t="s">
        <v>6295</v>
      </c>
      <c r="N341" s="27" t="s">
        <v>8536</v>
      </c>
      <c r="O341" s="26" t="s">
        <v>6295</v>
      </c>
      <c r="P341" s="20" t="b">
        <v>1</v>
      </c>
      <c r="Q341" s="20" t="s">
        <v>6282</v>
      </c>
      <c r="R341" s="28" t="s">
        <v>6283</v>
      </c>
      <c r="S341" s="25"/>
      <c r="T341" s="20" t="b">
        <v>1</v>
      </c>
      <c r="U341" s="25"/>
      <c r="V341" s="25">
        <v>13.577999999999999</v>
      </c>
      <c r="W341" s="28" t="s">
        <v>8537</v>
      </c>
      <c r="X341" s="28" t="s">
        <v>6285</v>
      </c>
      <c r="Y341" s="28" t="s">
        <v>6286</v>
      </c>
      <c r="Z341" s="28" t="s">
        <v>6287</v>
      </c>
      <c r="AA341" s="28" t="s">
        <v>6288</v>
      </c>
      <c r="AB341" s="28" t="s">
        <v>6297</v>
      </c>
    </row>
    <row r="342" spans="1:28" ht="185.4" x14ac:dyDescent="0.3">
      <c r="A342" s="25">
        <v>6802</v>
      </c>
      <c r="B342" s="25" t="s">
        <v>8538</v>
      </c>
      <c r="C342" s="25" t="s">
        <v>8539</v>
      </c>
      <c r="D342" s="25" t="s">
        <v>6291</v>
      </c>
      <c r="E342" s="16" t="s">
        <v>6292</v>
      </c>
      <c r="F342" s="16" t="s">
        <v>6292</v>
      </c>
      <c r="G342" s="16" t="s">
        <v>6292</v>
      </c>
      <c r="H342" s="16" t="s">
        <v>6292</v>
      </c>
      <c r="I342" s="25" t="s">
        <v>8540</v>
      </c>
      <c r="J342" s="25"/>
      <c r="K342" s="25" t="s">
        <v>6281</v>
      </c>
      <c r="L342" s="26" t="s">
        <v>8541</v>
      </c>
      <c r="M342" s="26" t="s">
        <v>8542</v>
      </c>
      <c r="N342" s="27" t="s">
        <v>8543</v>
      </c>
      <c r="O342" s="26" t="s">
        <v>7881</v>
      </c>
      <c r="P342" s="20" t="b">
        <v>1</v>
      </c>
      <c r="Q342" s="20" t="s">
        <v>6282</v>
      </c>
      <c r="R342" s="28" t="s">
        <v>6283</v>
      </c>
      <c r="S342" s="25"/>
      <c r="T342" s="20" t="b">
        <v>1</v>
      </c>
      <c r="U342" s="25"/>
      <c r="V342" s="25">
        <v>70.34</v>
      </c>
      <c r="W342" s="28" t="s">
        <v>8544</v>
      </c>
      <c r="X342" s="28" t="s">
        <v>6285</v>
      </c>
      <c r="Y342" s="28" t="s">
        <v>6286</v>
      </c>
      <c r="Z342" s="28" t="s">
        <v>6287</v>
      </c>
      <c r="AA342" s="28" t="s">
        <v>6288</v>
      </c>
      <c r="AB342" s="28" t="s">
        <v>6297</v>
      </c>
    </row>
    <row r="343" spans="1:28" ht="185.4" x14ac:dyDescent="0.3">
      <c r="A343" s="25">
        <v>6813</v>
      </c>
      <c r="B343" s="25" t="s">
        <v>8545</v>
      </c>
      <c r="C343" s="25" t="s">
        <v>8546</v>
      </c>
      <c r="D343" s="25" t="s">
        <v>6291</v>
      </c>
      <c r="E343" s="16" t="s">
        <v>6786</v>
      </c>
      <c r="F343" s="16" t="s">
        <v>6786</v>
      </c>
      <c r="G343" s="16" t="s">
        <v>6786</v>
      </c>
      <c r="H343" s="16" t="s">
        <v>6786</v>
      </c>
      <c r="I343" s="25" t="s">
        <v>8547</v>
      </c>
      <c r="J343" s="25"/>
      <c r="K343" s="25" t="s">
        <v>6281</v>
      </c>
      <c r="L343" s="26" t="s">
        <v>8548</v>
      </c>
      <c r="M343" s="26" t="s">
        <v>8549</v>
      </c>
      <c r="N343" s="27" t="s">
        <v>8550</v>
      </c>
      <c r="O343" s="26" t="s">
        <v>6295</v>
      </c>
      <c r="P343" s="20" t="b">
        <v>1</v>
      </c>
      <c r="Q343" s="20" t="s">
        <v>6282</v>
      </c>
      <c r="R343" s="28" t="s">
        <v>6283</v>
      </c>
      <c r="S343" s="25"/>
      <c r="T343" s="20" t="b">
        <v>1</v>
      </c>
      <c r="U343" s="25"/>
      <c r="V343" s="25">
        <v>26.9663</v>
      </c>
      <c r="W343" s="28" t="s">
        <v>8551</v>
      </c>
      <c r="X343" s="28" t="s">
        <v>6285</v>
      </c>
      <c r="Y343" s="28" t="s">
        <v>6286</v>
      </c>
      <c r="Z343" s="28" t="s">
        <v>6287</v>
      </c>
      <c r="AA343" s="28" t="s">
        <v>6288</v>
      </c>
      <c r="AB343" s="28" t="s">
        <v>6297</v>
      </c>
    </row>
    <row r="344" spans="1:28" ht="185.4" x14ac:dyDescent="0.3">
      <c r="A344" s="25">
        <v>6814</v>
      </c>
      <c r="B344" s="25" t="s">
        <v>8552</v>
      </c>
      <c r="C344" s="25" t="s">
        <v>8553</v>
      </c>
      <c r="D344" s="25" t="s">
        <v>6291</v>
      </c>
      <c r="E344" s="16" t="s">
        <v>6786</v>
      </c>
      <c r="F344" s="16" t="s">
        <v>6786</v>
      </c>
      <c r="G344" s="16" t="s">
        <v>6786</v>
      </c>
      <c r="H344" s="16" t="s">
        <v>6786</v>
      </c>
      <c r="I344" s="25" t="s">
        <v>8554</v>
      </c>
      <c r="J344" s="25"/>
      <c r="K344" s="25" t="s">
        <v>6281</v>
      </c>
      <c r="L344" s="26" t="s">
        <v>8555</v>
      </c>
      <c r="M344" s="26" t="s">
        <v>8549</v>
      </c>
      <c r="N344" s="27" t="s">
        <v>8556</v>
      </c>
      <c r="O344" s="26" t="s">
        <v>6295</v>
      </c>
      <c r="P344" s="20" t="b">
        <v>1</v>
      </c>
      <c r="Q344" s="20" t="s">
        <v>6282</v>
      </c>
      <c r="R344" s="28" t="s">
        <v>6283</v>
      </c>
      <c r="S344" s="25"/>
      <c r="T344" s="20" t="b">
        <v>1</v>
      </c>
      <c r="U344" s="25"/>
      <c r="V344" s="25">
        <v>30.69</v>
      </c>
      <c r="W344" s="28" t="s">
        <v>8557</v>
      </c>
      <c r="X344" s="28" t="s">
        <v>6285</v>
      </c>
      <c r="Y344" s="28" t="s">
        <v>6286</v>
      </c>
      <c r="Z344" s="28" t="s">
        <v>6287</v>
      </c>
      <c r="AA344" s="28" t="s">
        <v>6288</v>
      </c>
      <c r="AB344" s="28" t="s">
        <v>6297</v>
      </c>
    </row>
    <row r="345" spans="1:28" ht="185.4" x14ac:dyDescent="0.3">
      <c r="A345" s="25">
        <v>6815</v>
      </c>
      <c r="B345" s="25" t="s">
        <v>8558</v>
      </c>
      <c r="C345" s="25" t="s">
        <v>8559</v>
      </c>
      <c r="D345" s="25" t="s">
        <v>6291</v>
      </c>
      <c r="E345" s="16" t="s">
        <v>6786</v>
      </c>
      <c r="F345" s="16" t="s">
        <v>6786</v>
      </c>
      <c r="G345" s="16" t="s">
        <v>6786</v>
      </c>
      <c r="H345" s="16" t="s">
        <v>6786</v>
      </c>
      <c r="I345" s="25" t="s">
        <v>8560</v>
      </c>
      <c r="J345" s="25"/>
      <c r="K345" s="25" t="s">
        <v>6281</v>
      </c>
      <c r="L345" s="26" t="s">
        <v>8561</v>
      </c>
      <c r="M345" s="26" t="s">
        <v>8549</v>
      </c>
      <c r="N345" s="27" t="s">
        <v>8562</v>
      </c>
      <c r="O345" s="26" t="s">
        <v>6295</v>
      </c>
      <c r="P345" s="20" t="b">
        <v>1</v>
      </c>
      <c r="Q345" s="20" t="s">
        <v>6282</v>
      </c>
      <c r="R345" s="28" t="s">
        <v>6283</v>
      </c>
      <c r="S345" s="25"/>
      <c r="T345" s="20" t="b">
        <v>1</v>
      </c>
      <c r="U345" s="25"/>
      <c r="V345" s="25">
        <v>28.985299999999999</v>
      </c>
      <c r="W345" s="28" t="s">
        <v>8563</v>
      </c>
      <c r="X345" s="28" t="s">
        <v>6285</v>
      </c>
      <c r="Y345" s="28" t="s">
        <v>6286</v>
      </c>
      <c r="Z345" s="28" t="s">
        <v>6287</v>
      </c>
      <c r="AA345" s="28" t="s">
        <v>6288</v>
      </c>
      <c r="AB345" s="28" t="s">
        <v>6297</v>
      </c>
    </row>
    <row r="346" spans="1:28" ht="185.4" x14ac:dyDescent="0.3">
      <c r="A346" s="25">
        <v>6816</v>
      </c>
      <c r="B346" s="25" t="s">
        <v>8564</v>
      </c>
      <c r="C346" s="25" t="s">
        <v>8565</v>
      </c>
      <c r="D346" s="25" t="s">
        <v>6291</v>
      </c>
      <c r="E346" s="16" t="s">
        <v>6786</v>
      </c>
      <c r="F346" s="16" t="s">
        <v>6786</v>
      </c>
      <c r="G346" s="16" t="s">
        <v>6786</v>
      </c>
      <c r="H346" s="16" t="s">
        <v>6786</v>
      </c>
      <c r="I346" s="25" t="s">
        <v>8566</v>
      </c>
      <c r="J346" s="25"/>
      <c r="K346" s="25" t="s">
        <v>6281</v>
      </c>
      <c r="L346" s="26" t="s">
        <v>8567</v>
      </c>
      <c r="M346" s="26" t="s">
        <v>8549</v>
      </c>
      <c r="N346" s="27" t="s">
        <v>8568</v>
      </c>
      <c r="O346" s="26" t="s">
        <v>6295</v>
      </c>
      <c r="P346" s="20" t="b">
        <v>1</v>
      </c>
      <c r="Q346" s="20" t="s">
        <v>6282</v>
      </c>
      <c r="R346" s="28" t="s">
        <v>6283</v>
      </c>
      <c r="S346" s="25"/>
      <c r="T346" s="20" t="b">
        <v>1</v>
      </c>
      <c r="U346" s="25"/>
      <c r="V346" s="25">
        <v>36.01</v>
      </c>
      <c r="W346" s="28" t="s">
        <v>8569</v>
      </c>
      <c r="X346" s="28" t="s">
        <v>6285</v>
      </c>
      <c r="Y346" s="28" t="s">
        <v>6286</v>
      </c>
      <c r="Z346" s="28" t="s">
        <v>6287</v>
      </c>
      <c r="AA346" s="28" t="s">
        <v>6288</v>
      </c>
      <c r="AB346" s="28" t="s">
        <v>6297</v>
      </c>
    </row>
    <row r="347" spans="1:28" ht="185.4" x14ac:dyDescent="0.3">
      <c r="A347" s="25">
        <v>6817</v>
      </c>
      <c r="B347" s="25" t="s">
        <v>8570</v>
      </c>
      <c r="C347" s="25" t="s">
        <v>8571</v>
      </c>
      <c r="D347" s="25" t="s">
        <v>6291</v>
      </c>
      <c r="E347" s="16" t="s">
        <v>6786</v>
      </c>
      <c r="F347" s="16" t="s">
        <v>6786</v>
      </c>
      <c r="G347" s="16" t="s">
        <v>6786</v>
      </c>
      <c r="H347" s="16" t="s">
        <v>6786</v>
      </c>
      <c r="I347" s="25" t="s">
        <v>8572</v>
      </c>
      <c r="J347" s="25"/>
      <c r="K347" s="25" t="s">
        <v>6281</v>
      </c>
      <c r="L347" s="26" t="s">
        <v>8573</v>
      </c>
      <c r="M347" s="26" t="s">
        <v>8549</v>
      </c>
      <c r="N347" s="27" t="s">
        <v>8574</v>
      </c>
      <c r="O347" s="26" t="s">
        <v>6295</v>
      </c>
      <c r="P347" s="20" t="b">
        <v>1</v>
      </c>
      <c r="Q347" s="20" t="s">
        <v>6282</v>
      </c>
      <c r="R347" s="28" t="s">
        <v>6283</v>
      </c>
      <c r="S347" s="25"/>
      <c r="T347" s="20" t="b">
        <v>1</v>
      </c>
      <c r="U347" s="25"/>
      <c r="V347" s="25">
        <v>26.301500000000001</v>
      </c>
      <c r="W347" s="28" t="s">
        <v>8575</v>
      </c>
      <c r="X347" s="28" t="s">
        <v>6285</v>
      </c>
      <c r="Y347" s="28" t="s">
        <v>6286</v>
      </c>
      <c r="Z347" s="28" t="s">
        <v>6287</v>
      </c>
      <c r="AA347" s="28" t="s">
        <v>6288</v>
      </c>
      <c r="AB347" s="28" t="s">
        <v>6297</v>
      </c>
    </row>
    <row r="348" spans="1:28" ht="185.4" x14ac:dyDescent="0.3">
      <c r="A348" s="25">
        <v>6818</v>
      </c>
      <c r="B348" s="25" t="s">
        <v>8576</v>
      </c>
      <c r="C348" s="25" t="s">
        <v>6410</v>
      </c>
      <c r="D348" s="25" t="s">
        <v>6291</v>
      </c>
      <c r="E348" s="16" t="s">
        <v>6786</v>
      </c>
      <c r="F348" s="16" t="s">
        <v>6786</v>
      </c>
      <c r="G348" s="16" t="s">
        <v>6786</v>
      </c>
      <c r="H348" s="16" t="s">
        <v>6786</v>
      </c>
      <c r="I348" s="25" t="s">
        <v>8577</v>
      </c>
      <c r="J348" s="25"/>
      <c r="K348" s="25" t="s">
        <v>6281</v>
      </c>
      <c r="L348" s="26" t="s">
        <v>8578</v>
      </c>
      <c r="M348" s="26" t="s">
        <v>8549</v>
      </c>
      <c r="N348" s="27" t="s">
        <v>8579</v>
      </c>
      <c r="O348" s="26" t="s">
        <v>6295</v>
      </c>
      <c r="P348" s="20" t="b">
        <v>1</v>
      </c>
      <c r="Q348" s="20" t="s">
        <v>6282</v>
      </c>
      <c r="R348" s="28" t="s">
        <v>6283</v>
      </c>
      <c r="S348" s="25"/>
      <c r="T348" s="20" t="b">
        <v>1</v>
      </c>
      <c r="U348" s="25"/>
      <c r="V348" s="25">
        <v>43.436</v>
      </c>
      <c r="W348" s="28" t="s">
        <v>8580</v>
      </c>
      <c r="X348" s="28" t="s">
        <v>6285</v>
      </c>
      <c r="Y348" s="28" t="s">
        <v>6286</v>
      </c>
      <c r="Z348" s="28" t="s">
        <v>6287</v>
      </c>
      <c r="AA348" s="28" t="s">
        <v>6288</v>
      </c>
      <c r="AB348" s="28" t="s">
        <v>6297</v>
      </c>
    </row>
    <row r="349" spans="1:28" ht="185.4" x14ac:dyDescent="0.3">
      <c r="A349" s="25">
        <v>6819</v>
      </c>
      <c r="B349" s="25" t="s">
        <v>8581</v>
      </c>
      <c r="C349" s="25" t="s">
        <v>8582</v>
      </c>
      <c r="D349" s="25" t="s">
        <v>6291</v>
      </c>
      <c r="E349" s="16" t="s">
        <v>6786</v>
      </c>
      <c r="F349" s="16" t="s">
        <v>6786</v>
      </c>
      <c r="G349" s="16" t="s">
        <v>6786</v>
      </c>
      <c r="H349" s="16" t="s">
        <v>6786</v>
      </c>
      <c r="I349" s="25" t="s">
        <v>8583</v>
      </c>
      <c r="J349" s="25"/>
      <c r="K349" s="25" t="s">
        <v>6281</v>
      </c>
      <c r="L349" s="26" t="s">
        <v>8584</v>
      </c>
      <c r="M349" s="26" t="s">
        <v>8549</v>
      </c>
      <c r="N349" s="27" t="s">
        <v>8556</v>
      </c>
      <c r="O349" s="26" t="s">
        <v>6295</v>
      </c>
      <c r="P349" s="20" t="b">
        <v>1</v>
      </c>
      <c r="Q349" s="20" t="s">
        <v>6282</v>
      </c>
      <c r="R349" s="28" t="s">
        <v>6283</v>
      </c>
      <c r="S349" s="25"/>
      <c r="T349" s="20" t="b">
        <v>1</v>
      </c>
      <c r="U349" s="25"/>
      <c r="V349" s="25">
        <v>0</v>
      </c>
      <c r="W349" s="28" t="s">
        <v>8585</v>
      </c>
      <c r="X349" s="28" t="s">
        <v>6285</v>
      </c>
      <c r="Y349" s="28" t="s">
        <v>6286</v>
      </c>
      <c r="Z349" s="28" t="s">
        <v>6287</v>
      </c>
      <c r="AA349" s="28" t="s">
        <v>6288</v>
      </c>
      <c r="AB349" s="28" t="s">
        <v>6297</v>
      </c>
    </row>
    <row r="350" spans="1:28" ht="185.4" x14ac:dyDescent="0.3">
      <c r="A350" s="25">
        <v>6820</v>
      </c>
      <c r="B350" s="25" t="s">
        <v>8586</v>
      </c>
      <c r="C350" s="25" t="s">
        <v>6299</v>
      </c>
      <c r="D350" s="25" t="s">
        <v>6291</v>
      </c>
      <c r="E350" s="16" t="s">
        <v>6786</v>
      </c>
      <c r="F350" s="16" t="s">
        <v>6786</v>
      </c>
      <c r="G350" s="16" t="s">
        <v>6786</v>
      </c>
      <c r="H350" s="16" t="s">
        <v>6786</v>
      </c>
      <c r="I350" s="25" t="s">
        <v>8587</v>
      </c>
      <c r="J350" s="25"/>
      <c r="K350" s="25" t="s">
        <v>6281</v>
      </c>
      <c r="L350" s="26" t="s">
        <v>8578</v>
      </c>
      <c r="M350" s="26" t="s">
        <v>8549</v>
      </c>
      <c r="N350" s="27" t="s">
        <v>8579</v>
      </c>
      <c r="O350" s="26" t="s">
        <v>6295</v>
      </c>
      <c r="P350" s="20" t="b">
        <v>1</v>
      </c>
      <c r="Q350" s="20" t="s">
        <v>6282</v>
      </c>
      <c r="R350" s="28" t="s">
        <v>6283</v>
      </c>
      <c r="S350" s="25"/>
      <c r="T350" s="20" t="b">
        <v>1</v>
      </c>
      <c r="U350" s="25"/>
      <c r="V350" s="25">
        <v>35.195999999999998</v>
      </c>
      <c r="W350" s="28" t="s">
        <v>8588</v>
      </c>
      <c r="X350" s="28" t="s">
        <v>6285</v>
      </c>
      <c r="Y350" s="28" t="s">
        <v>6286</v>
      </c>
      <c r="Z350" s="28" t="s">
        <v>6287</v>
      </c>
      <c r="AA350" s="28" t="s">
        <v>6288</v>
      </c>
      <c r="AB350" s="28" t="s">
        <v>6297</v>
      </c>
    </row>
    <row r="351" spans="1:28" ht="185.4" x14ac:dyDescent="0.3">
      <c r="A351" s="25">
        <v>6821</v>
      </c>
      <c r="B351" s="25" t="s">
        <v>8545</v>
      </c>
      <c r="C351" s="25" t="s">
        <v>8589</v>
      </c>
      <c r="D351" s="25" t="s">
        <v>6291</v>
      </c>
      <c r="E351" s="16" t="s">
        <v>6786</v>
      </c>
      <c r="F351" s="16" t="s">
        <v>6786</v>
      </c>
      <c r="G351" s="16" t="s">
        <v>6786</v>
      </c>
      <c r="H351" s="16" t="s">
        <v>6786</v>
      </c>
      <c r="I351" s="25" t="s">
        <v>8547</v>
      </c>
      <c r="J351" s="25"/>
      <c r="K351" s="25" t="s">
        <v>6281</v>
      </c>
      <c r="L351" s="26" t="s">
        <v>8590</v>
      </c>
      <c r="M351" s="26" t="s">
        <v>8549</v>
      </c>
      <c r="N351" s="27" t="s">
        <v>8550</v>
      </c>
      <c r="O351" s="26" t="s">
        <v>6295</v>
      </c>
      <c r="P351" s="20" t="b">
        <v>1</v>
      </c>
      <c r="Q351" s="20" t="s">
        <v>6282</v>
      </c>
      <c r="R351" s="28" t="s">
        <v>6283</v>
      </c>
      <c r="S351" s="25"/>
      <c r="T351" s="20" t="b">
        <v>1</v>
      </c>
      <c r="U351" s="25"/>
      <c r="V351" s="25">
        <v>0</v>
      </c>
      <c r="W351" s="28" t="s">
        <v>8591</v>
      </c>
      <c r="X351" s="28" t="s">
        <v>6285</v>
      </c>
      <c r="Y351" s="28" t="s">
        <v>6286</v>
      </c>
      <c r="Z351" s="28" t="s">
        <v>6287</v>
      </c>
      <c r="AA351" s="28" t="s">
        <v>6288</v>
      </c>
      <c r="AB351" s="28" t="s">
        <v>6297</v>
      </c>
    </row>
    <row r="352" spans="1:28" ht="185.4" x14ac:dyDescent="0.3">
      <c r="A352" s="25">
        <v>6822</v>
      </c>
      <c r="B352" s="25" t="s">
        <v>8552</v>
      </c>
      <c r="C352" s="25" t="s">
        <v>6410</v>
      </c>
      <c r="D352" s="25" t="s">
        <v>6291</v>
      </c>
      <c r="E352" s="16" t="s">
        <v>6786</v>
      </c>
      <c r="F352" s="16" t="s">
        <v>6786</v>
      </c>
      <c r="G352" s="16" t="s">
        <v>6786</v>
      </c>
      <c r="H352" s="16" t="s">
        <v>6786</v>
      </c>
      <c r="I352" s="25" t="s">
        <v>8554</v>
      </c>
      <c r="J352" s="25"/>
      <c r="K352" s="25" t="s">
        <v>6281</v>
      </c>
      <c r="L352" s="26" t="s">
        <v>8592</v>
      </c>
      <c r="M352" s="26" t="s">
        <v>8549</v>
      </c>
      <c r="N352" s="27" t="s">
        <v>8556</v>
      </c>
      <c r="O352" s="26" t="s">
        <v>6295</v>
      </c>
      <c r="P352" s="20" t="b">
        <v>1</v>
      </c>
      <c r="Q352" s="20" t="s">
        <v>6282</v>
      </c>
      <c r="R352" s="28" t="s">
        <v>6283</v>
      </c>
      <c r="S352" s="25"/>
      <c r="T352" s="20" t="b">
        <v>1</v>
      </c>
      <c r="U352" s="25"/>
      <c r="V352" s="25">
        <v>37.171999999999997</v>
      </c>
      <c r="W352" s="28" t="s">
        <v>8593</v>
      </c>
      <c r="X352" s="28" t="s">
        <v>6285</v>
      </c>
      <c r="Y352" s="28" t="s">
        <v>6286</v>
      </c>
      <c r="Z352" s="28" t="s">
        <v>6287</v>
      </c>
      <c r="AA352" s="28" t="s">
        <v>6288</v>
      </c>
      <c r="AB352" s="28" t="s">
        <v>6297</v>
      </c>
    </row>
    <row r="353" spans="1:28" ht="185.4" x14ac:dyDescent="0.3">
      <c r="A353" s="25">
        <v>6823</v>
      </c>
      <c r="B353" s="25" t="s">
        <v>8558</v>
      </c>
      <c r="C353" s="25" t="s">
        <v>8594</v>
      </c>
      <c r="D353" s="25" t="s">
        <v>6291</v>
      </c>
      <c r="E353" s="16" t="s">
        <v>6786</v>
      </c>
      <c r="F353" s="16" t="s">
        <v>6786</v>
      </c>
      <c r="G353" s="16" t="s">
        <v>6786</v>
      </c>
      <c r="H353" s="16" t="s">
        <v>6786</v>
      </c>
      <c r="I353" s="25" t="s">
        <v>8560</v>
      </c>
      <c r="J353" s="25"/>
      <c r="K353" s="25" t="s">
        <v>6281</v>
      </c>
      <c r="L353" s="26" t="s">
        <v>8595</v>
      </c>
      <c r="M353" s="26" t="s">
        <v>8549</v>
      </c>
      <c r="N353" s="27" t="s">
        <v>8562</v>
      </c>
      <c r="O353" s="26" t="s">
        <v>6295</v>
      </c>
      <c r="P353" s="20" t="b">
        <v>1</v>
      </c>
      <c r="Q353" s="20" t="s">
        <v>6282</v>
      </c>
      <c r="R353" s="28" t="s">
        <v>6283</v>
      </c>
      <c r="S353" s="25"/>
      <c r="T353" s="20" t="b">
        <v>1</v>
      </c>
      <c r="U353" s="25"/>
      <c r="V353" s="25">
        <v>0</v>
      </c>
      <c r="W353" s="28" t="s">
        <v>8596</v>
      </c>
      <c r="X353" s="28" t="s">
        <v>6285</v>
      </c>
      <c r="Y353" s="28" t="s">
        <v>6286</v>
      </c>
      <c r="Z353" s="28" t="s">
        <v>6287</v>
      </c>
      <c r="AA353" s="28" t="s">
        <v>6288</v>
      </c>
      <c r="AB353" s="28" t="s">
        <v>6297</v>
      </c>
    </row>
    <row r="354" spans="1:28" ht="185.4" x14ac:dyDescent="0.3">
      <c r="A354" s="25">
        <v>6824</v>
      </c>
      <c r="B354" s="25" t="s">
        <v>8564</v>
      </c>
      <c r="C354" s="25" t="s">
        <v>8597</v>
      </c>
      <c r="D354" s="25" t="s">
        <v>6291</v>
      </c>
      <c r="E354" s="16" t="s">
        <v>6786</v>
      </c>
      <c r="F354" s="16" t="s">
        <v>6786</v>
      </c>
      <c r="G354" s="16" t="s">
        <v>6786</v>
      </c>
      <c r="H354" s="16" t="s">
        <v>6786</v>
      </c>
      <c r="I354" s="25" t="s">
        <v>8566</v>
      </c>
      <c r="J354" s="25"/>
      <c r="K354" s="25" t="s">
        <v>6281</v>
      </c>
      <c r="L354" s="26" t="s">
        <v>8567</v>
      </c>
      <c r="M354" s="26" t="s">
        <v>8549</v>
      </c>
      <c r="N354" s="27" t="s">
        <v>8568</v>
      </c>
      <c r="O354" s="26" t="s">
        <v>6295</v>
      </c>
      <c r="P354" s="20" t="b">
        <v>1</v>
      </c>
      <c r="Q354" s="20" t="s">
        <v>6282</v>
      </c>
      <c r="R354" s="28" t="s">
        <v>6283</v>
      </c>
      <c r="S354" s="25"/>
      <c r="T354" s="20" t="b">
        <v>1</v>
      </c>
      <c r="U354" s="25"/>
      <c r="V354" s="25">
        <v>36.1</v>
      </c>
      <c r="W354" s="28" t="s">
        <v>8598</v>
      </c>
      <c r="X354" s="28" t="s">
        <v>6285</v>
      </c>
      <c r="Y354" s="28" t="s">
        <v>6286</v>
      </c>
      <c r="Z354" s="28" t="s">
        <v>6287</v>
      </c>
      <c r="AA354" s="28" t="s">
        <v>6288</v>
      </c>
      <c r="AB354" s="28" t="s">
        <v>6297</v>
      </c>
    </row>
    <row r="355" spans="1:28" ht="185.4" x14ac:dyDescent="0.3">
      <c r="A355" s="25">
        <v>6825</v>
      </c>
      <c r="B355" s="25" t="s">
        <v>8570</v>
      </c>
      <c r="C355" s="25" t="s">
        <v>8599</v>
      </c>
      <c r="D355" s="25" t="s">
        <v>6291</v>
      </c>
      <c r="E355" s="16" t="s">
        <v>6786</v>
      </c>
      <c r="F355" s="16" t="s">
        <v>6786</v>
      </c>
      <c r="G355" s="16" t="s">
        <v>6786</v>
      </c>
      <c r="H355" s="16" t="s">
        <v>6786</v>
      </c>
      <c r="I355" s="25" t="s">
        <v>8572</v>
      </c>
      <c r="J355" s="25"/>
      <c r="K355" s="25" t="s">
        <v>6281</v>
      </c>
      <c r="L355" s="26" t="s">
        <v>8600</v>
      </c>
      <c r="M355" s="26" t="s">
        <v>8549</v>
      </c>
      <c r="N355" s="27" t="s">
        <v>8574</v>
      </c>
      <c r="O355" s="26" t="s">
        <v>6295</v>
      </c>
      <c r="P355" s="20" t="b">
        <v>1</v>
      </c>
      <c r="Q355" s="20" t="s">
        <v>6282</v>
      </c>
      <c r="R355" s="28" t="s">
        <v>6283</v>
      </c>
      <c r="S355" s="25"/>
      <c r="T355" s="20" t="b">
        <v>1</v>
      </c>
      <c r="U355" s="25"/>
      <c r="V355" s="25">
        <v>26.01</v>
      </c>
      <c r="W355" s="28" t="s">
        <v>8601</v>
      </c>
      <c r="X355" s="28" t="s">
        <v>6285</v>
      </c>
      <c r="Y355" s="28" t="s">
        <v>6286</v>
      </c>
      <c r="Z355" s="28" t="s">
        <v>6287</v>
      </c>
      <c r="AA355" s="28" t="s">
        <v>6288</v>
      </c>
      <c r="AB355" s="28" t="s">
        <v>6297</v>
      </c>
    </row>
    <row r="356" spans="1:28" ht="185.4" x14ac:dyDescent="0.3">
      <c r="A356" s="25">
        <v>6826</v>
      </c>
      <c r="B356" s="25" t="s">
        <v>8576</v>
      </c>
      <c r="C356" s="25" t="s">
        <v>8602</v>
      </c>
      <c r="D356" s="25" t="s">
        <v>6291</v>
      </c>
      <c r="E356" s="16" t="s">
        <v>6786</v>
      </c>
      <c r="F356" s="16" t="s">
        <v>6786</v>
      </c>
      <c r="G356" s="16" t="s">
        <v>6786</v>
      </c>
      <c r="H356" s="16" t="s">
        <v>6786</v>
      </c>
      <c r="I356" s="25" t="s">
        <v>8577</v>
      </c>
      <c r="J356" s="25"/>
      <c r="K356" s="25" t="s">
        <v>6281</v>
      </c>
      <c r="L356" s="26" t="s">
        <v>8603</v>
      </c>
      <c r="M356" s="26" t="s">
        <v>8549</v>
      </c>
      <c r="N356" s="27" t="s">
        <v>8579</v>
      </c>
      <c r="O356" s="26" t="s">
        <v>6295</v>
      </c>
      <c r="P356" s="20" t="b">
        <v>1</v>
      </c>
      <c r="Q356" s="20" t="s">
        <v>6282</v>
      </c>
      <c r="R356" s="28" t="s">
        <v>6283</v>
      </c>
      <c r="S356" s="25"/>
      <c r="T356" s="20" t="b">
        <v>1</v>
      </c>
      <c r="U356" s="25"/>
      <c r="V356" s="25">
        <v>29.23</v>
      </c>
      <c r="W356" s="28" t="s">
        <v>8604</v>
      </c>
      <c r="X356" s="28" t="s">
        <v>6285</v>
      </c>
      <c r="Y356" s="28" t="s">
        <v>6286</v>
      </c>
      <c r="Z356" s="28" t="s">
        <v>6287</v>
      </c>
      <c r="AA356" s="28" t="s">
        <v>6288</v>
      </c>
      <c r="AB356" s="28" t="s">
        <v>6297</v>
      </c>
    </row>
    <row r="357" spans="1:28" ht="185.4" x14ac:dyDescent="0.3">
      <c r="A357" s="25">
        <v>6829</v>
      </c>
      <c r="B357" s="25" t="s">
        <v>8605</v>
      </c>
      <c r="C357" s="25" t="s">
        <v>8606</v>
      </c>
      <c r="D357" s="25" t="s">
        <v>6291</v>
      </c>
      <c r="E357" s="16" t="s">
        <v>6292</v>
      </c>
      <c r="F357" s="16" t="s">
        <v>6292</v>
      </c>
      <c r="G357" s="16" t="s">
        <v>6292</v>
      </c>
      <c r="H357" s="16" t="s">
        <v>6292</v>
      </c>
      <c r="I357" s="25" t="s">
        <v>8607</v>
      </c>
      <c r="J357" s="25"/>
      <c r="K357" s="25" t="s">
        <v>6281</v>
      </c>
      <c r="L357" s="26" t="s">
        <v>8608</v>
      </c>
      <c r="M357" s="26" t="s">
        <v>6295</v>
      </c>
      <c r="N357" s="27" t="s">
        <v>8609</v>
      </c>
      <c r="O357" s="26" t="s">
        <v>6295</v>
      </c>
      <c r="P357" s="20" t="b">
        <v>1</v>
      </c>
      <c r="Q357" s="20" t="s">
        <v>6282</v>
      </c>
      <c r="R357" s="28" t="s">
        <v>6283</v>
      </c>
      <c r="S357" s="25"/>
      <c r="T357" s="20" t="b">
        <v>1</v>
      </c>
      <c r="U357" s="25"/>
      <c r="V357" s="25">
        <v>49.47</v>
      </c>
      <c r="W357" s="28" t="s">
        <v>8610</v>
      </c>
      <c r="X357" s="28" t="s">
        <v>6285</v>
      </c>
      <c r="Y357" s="28" t="s">
        <v>6286</v>
      </c>
      <c r="Z357" s="28" t="s">
        <v>6287</v>
      </c>
      <c r="AA357" s="28" t="s">
        <v>6288</v>
      </c>
      <c r="AB357" s="28" t="s">
        <v>6297</v>
      </c>
    </row>
    <row r="358" spans="1:28" ht="185.4" x14ac:dyDescent="0.3">
      <c r="A358" s="25">
        <v>6835</v>
      </c>
      <c r="B358" s="25" t="s">
        <v>8611</v>
      </c>
      <c r="C358" s="25" t="s">
        <v>8612</v>
      </c>
      <c r="D358" s="25" t="s">
        <v>6291</v>
      </c>
      <c r="E358" s="16" t="s">
        <v>6786</v>
      </c>
      <c r="F358" s="16" t="s">
        <v>6786</v>
      </c>
      <c r="G358" s="16" t="s">
        <v>6786</v>
      </c>
      <c r="H358" s="16" t="s">
        <v>6786</v>
      </c>
      <c r="I358" s="25" t="s">
        <v>8613</v>
      </c>
      <c r="J358" s="25"/>
      <c r="K358" s="25" t="s">
        <v>6281</v>
      </c>
      <c r="L358" s="26" t="s">
        <v>8614</v>
      </c>
      <c r="M358" s="26" t="s">
        <v>6295</v>
      </c>
      <c r="N358" s="27" t="s">
        <v>8615</v>
      </c>
      <c r="O358" s="26" t="s">
        <v>8616</v>
      </c>
      <c r="P358" s="20" t="b">
        <v>1</v>
      </c>
      <c r="Q358" s="20" t="s">
        <v>6282</v>
      </c>
      <c r="R358" s="28" t="s">
        <v>6283</v>
      </c>
      <c r="S358" s="25"/>
      <c r="T358" s="20" t="b">
        <v>1</v>
      </c>
      <c r="U358" s="25"/>
      <c r="V358" s="25">
        <v>1.98</v>
      </c>
      <c r="W358" s="28" t="s">
        <v>8617</v>
      </c>
      <c r="X358" s="28" t="s">
        <v>6285</v>
      </c>
      <c r="Y358" s="28" t="s">
        <v>6286</v>
      </c>
      <c r="Z358" s="28" t="s">
        <v>6287</v>
      </c>
      <c r="AA358" s="28" t="s">
        <v>6288</v>
      </c>
      <c r="AB358" s="28" t="s">
        <v>6297</v>
      </c>
    </row>
    <row r="359" spans="1:28" ht="185.4" x14ac:dyDescent="0.3">
      <c r="A359" s="25">
        <v>6836</v>
      </c>
      <c r="B359" s="25" t="s">
        <v>8618</v>
      </c>
      <c r="C359" s="25" t="s">
        <v>8619</v>
      </c>
      <c r="D359" s="25" t="s">
        <v>6291</v>
      </c>
      <c r="E359" s="16" t="s">
        <v>6786</v>
      </c>
      <c r="F359" s="16" t="s">
        <v>6786</v>
      </c>
      <c r="G359" s="16" t="s">
        <v>6786</v>
      </c>
      <c r="H359" s="16" t="s">
        <v>6786</v>
      </c>
      <c r="I359" s="25" t="s">
        <v>8620</v>
      </c>
      <c r="J359" s="25"/>
      <c r="K359" s="25" t="s">
        <v>6281</v>
      </c>
      <c r="L359" s="26" t="s">
        <v>8621</v>
      </c>
      <c r="M359" s="26" t="s">
        <v>6295</v>
      </c>
      <c r="N359" s="27" t="s">
        <v>8622</v>
      </c>
      <c r="O359" s="26" t="s">
        <v>6295</v>
      </c>
      <c r="P359" s="20" t="b">
        <v>1</v>
      </c>
      <c r="Q359" s="20" t="s">
        <v>6282</v>
      </c>
      <c r="R359" s="28" t="s">
        <v>6283</v>
      </c>
      <c r="S359" s="25"/>
      <c r="T359" s="20" t="b">
        <v>1</v>
      </c>
      <c r="U359" s="25"/>
      <c r="V359" s="25">
        <v>1.4607000000000001</v>
      </c>
      <c r="W359" s="28" t="s">
        <v>8623</v>
      </c>
      <c r="X359" s="28" t="s">
        <v>6285</v>
      </c>
      <c r="Y359" s="28" t="s">
        <v>6286</v>
      </c>
      <c r="Z359" s="28" t="s">
        <v>6287</v>
      </c>
      <c r="AA359" s="28" t="s">
        <v>6288</v>
      </c>
      <c r="AB359" s="28" t="s">
        <v>6297</v>
      </c>
    </row>
    <row r="360" spans="1:28" ht="185.4" x14ac:dyDescent="0.3">
      <c r="A360" s="25">
        <v>6874</v>
      </c>
      <c r="B360" s="25" t="s">
        <v>8624</v>
      </c>
      <c r="C360" s="25" t="s">
        <v>8625</v>
      </c>
      <c r="D360" s="25" t="s">
        <v>6291</v>
      </c>
      <c r="E360" s="16" t="s">
        <v>6292</v>
      </c>
      <c r="F360" s="16" t="s">
        <v>6292</v>
      </c>
      <c r="G360" s="16" t="s">
        <v>6292</v>
      </c>
      <c r="H360" s="16" t="s">
        <v>6292</v>
      </c>
      <c r="I360" s="25" t="s">
        <v>8626</v>
      </c>
      <c r="J360" s="25"/>
      <c r="K360" s="25" t="s">
        <v>6281</v>
      </c>
      <c r="L360" s="26" t="s">
        <v>8627</v>
      </c>
      <c r="M360" s="26" t="s">
        <v>8398</v>
      </c>
      <c r="N360" s="27" t="s">
        <v>8399</v>
      </c>
      <c r="O360" s="26" t="s">
        <v>8400</v>
      </c>
      <c r="P360" s="20" t="b">
        <v>1</v>
      </c>
      <c r="Q360" s="20" t="s">
        <v>6282</v>
      </c>
      <c r="R360" s="28" t="s">
        <v>6283</v>
      </c>
      <c r="S360" s="25"/>
      <c r="T360" s="20" t="b">
        <v>1</v>
      </c>
      <c r="U360" s="25"/>
      <c r="V360" s="25">
        <v>14.382</v>
      </c>
      <c r="W360" s="28" t="s">
        <v>8628</v>
      </c>
      <c r="X360" s="28" t="s">
        <v>6285</v>
      </c>
      <c r="Y360" s="28" t="s">
        <v>6286</v>
      </c>
      <c r="Z360" s="28" t="s">
        <v>6287</v>
      </c>
      <c r="AA360" s="28" t="s">
        <v>6288</v>
      </c>
      <c r="AB360" s="28" t="s">
        <v>6297</v>
      </c>
    </row>
    <row r="361" spans="1:28" ht="185.4" x14ac:dyDescent="0.3">
      <c r="A361" s="25">
        <v>6876</v>
      </c>
      <c r="B361" s="25" t="s">
        <v>8629</v>
      </c>
      <c r="C361" s="25" t="s">
        <v>8630</v>
      </c>
      <c r="D361" s="25" t="s">
        <v>6291</v>
      </c>
      <c r="E361" s="16" t="s">
        <v>6292</v>
      </c>
      <c r="F361" s="16" t="s">
        <v>6292</v>
      </c>
      <c r="G361" s="16" t="s">
        <v>6292</v>
      </c>
      <c r="H361" s="16" t="s">
        <v>6292</v>
      </c>
      <c r="I361" s="25" t="s">
        <v>8631</v>
      </c>
      <c r="J361" s="25"/>
      <c r="K361" s="25" t="s">
        <v>6281</v>
      </c>
      <c r="L361" s="26" t="s">
        <v>8397</v>
      </c>
      <c r="M361" s="26" t="s">
        <v>8398</v>
      </c>
      <c r="N361" s="27" t="s">
        <v>8399</v>
      </c>
      <c r="O361" s="26" t="s">
        <v>8400</v>
      </c>
      <c r="P361" s="20" t="b">
        <v>1</v>
      </c>
      <c r="Q361" s="20" t="s">
        <v>6282</v>
      </c>
      <c r="R361" s="28" t="s">
        <v>6283</v>
      </c>
      <c r="S361" s="25"/>
      <c r="T361" s="20" t="b">
        <v>1</v>
      </c>
      <c r="U361" s="25"/>
      <c r="V361" s="25">
        <v>14.382</v>
      </c>
      <c r="W361" s="28" t="s">
        <v>8632</v>
      </c>
      <c r="X361" s="28" t="s">
        <v>6285</v>
      </c>
      <c r="Y361" s="28" t="s">
        <v>6286</v>
      </c>
      <c r="Z361" s="28" t="s">
        <v>6287</v>
      </c>
      <c r="AA361" s="28" t="s">
        <v>6288</v>
      </c>
      <c r="AB361" s="28" t="s">
        <v>6297</v>
      </c>
    </row>
    <row r="362" spans="1:28" ht="185.4" x14ac:dyDescent="0.3">
      <c r="A362" s="25">
        <v>6923</v>
      </c>
      <c r="B362" s="25" t="s">
        <v>8633</v>
      </c>
      <c r="C362" s="25" t="s">
        <v>8634</v>
      </c>
      <c r="D362" s="25" t="s">
        <v>6278</v>
      </c>
      <c r="E362" s="16" t="s">
        <v>6279</v>
      </c>
      <c r="F362" s="16" t="s">
        <v>6279</v>
      </c>
      <c r="G362" s="16" t="s">
        <v>6279</v>
      </c>
      <c r="H362" s="16" t="s">
        <v>6279</v>
      </c>
      <c r="I362" s="25" t="s">
        <v>8635</v>
      </c>
      <c r="J362" s="25"/>
      <c r="K362" s="25" t="s">
        <v>6281</v>
      </c>
      <c r="L362" s="26" t="s">
        <v>8636</v>
      </c>
      <c r="M362" s="26" t="s">
        <v>8637</v>
      </c>
      <c r="N362" s="27" t="s">
        <v>8638</v>
      </c>
      <c r="O362" s="26" t="s">
        <v>6295</v>
      </c>
      <c r="P362" s="20" t="b">
        <v>1</v>
      </c>
      <c r="Q362" s="20" t="s">
        <v>6282</v>
      </c>
      <c r="R362" s="28" t="s">
        <v>6283</v>
      </c>
      <c r="S362" s="25"/>
      <c r="T362" s="20" t="b">
        <v>1</v>
      </c>
      <c r="U362" s="25"/>
      <c r="V362" s="25">
        <v>485</v>
      </c>
      <c r="W362" s="28" t="s">
        <v>8639</v>
      </c>
      <c r="X362" s="28" t="s">
        <v>6285</v>
      </c>
      <c r="Y362" s="28" t="s">
        <v>6286</v>
      </c>
      <c r="Z362" s="28" t="s">
        <v>6287</v>
      </c>
      <c r="AA362" s="28" t="s">
        <v>6288</v>
      </c>
      <c r="AB362" s="28" t="s">
        <v>6297</v>
      </c>
    </row>
    <row r="363" spans="1:28" ht="198.6" x14ac:dyDescent="0.3">
      <c r="A363" s="25">
        <v>6928</v>
      </c>
      <c r="B363" s="25" t="s">
        <v>8640</v>
      </c>
      <c r="C363" s="25" t="s">
        <v>8641</v>
      </c>
      <c r="D363" s="25" t="s">
        <v>6291</v>
      </c>
      <c r="E363" s="16" t="s">
        <v>6292</v>
      </c>
      <c r="F363" s="16" t="s">
        <v>6292</v>
      </c>
      <c r="G363" s="16" t="s">
        <v>6292</v>
      </c>
      <c r="H363" s="16" t="s">
        <v>6292</v>
      </c>
      <c r="I363" s="25" t="s">
        <v>8642</v>
      </c>
      <c r="J363" s="25"/>
      <c r="K363" s="25" t="s">
        <v>6281</v>
      </c>
      <c r="L363" s="26" t="s">
        <v>8643</v>
      </c>
      <c r="M363" s="26" t="s">
        <v>6295</v>
      </c>
      <c r="N363" s="27" t="s">
        <v>8644</v>
      </c>
      <c r="O363" s="26" t="s">
        <v>6295</v>
      </c>
      <c r="P363" s="20" t="b">
        <v>1</v>
      </c>
      <c r="Q363" s="20" t="s">
        <v>6282</v>
      </c>
      <c r="R363" s="28" t="s">
        <v>6283</v>
      </c>
      <c r="S363" s="25"/>
      <c r="T363" s="20" t="b">
        <v>1</v>
      </c>
      <c r="U363" s="25"/>
      <c r="V363" s="25">
        <v>3.2</v>
      </c>
      <c r="W363" s="28" t="s">
        <v>8645</v>
      </c>
      <c r="X363" s="28" t="s">
        <v>6285</v>
      </c>
      <c r="Y363" s="28" t="s">
        <v>6286</v>
      </c>
      <c r="Z363" s="28" t="s">
        <v>6287</v>
      </c>
      <c r="AA363" s="28" t="s">
        <v>6288</v>
      </c>
      <c r="AB363" s="28" t="s">
        <v>6297</v>
      </c>
    </row>
    <row r="364" spans="1:28" ht="264.60000000000002" x14ac:dyDescent="0.3">
      <c r="A364" s="25">
        <v>6931</v>
      </c>
      <c r="B364" s="25" t="s">
        <v>8646</v>
      </c>
      <c r="C364" s="25" t="s">
        <v>8647</v>
      </c>
      <c r="D364" s="25" t="s">
        <v>6291</v>
      </c>
      <c r="E364" s="16" t="s">
        <v>8648</v>
      </c>
      <c r="F364" s="16" t="s">
        <v>8648</v>
      </c>
      <c r="G364" s="16" t="s">
        <v>8648</v>
      </c>
      <c r="H364" s="16" t="s">
        <v>8648</v>
      </c>
      <c r="I364" s="25" t="s">
        <v>8649</v>
      </c>
      <c r="J364" s="25"/>
      <c r="K364" s="25" t="s">
        <v>6281</v>
      </c>
      <c r="L364" s="26" t="s">
        <v>8650</v>
      </c>
      <c r="M364" s="26" t="s">
        <v>8651</v>
      </c>
      <c r="N364" s="27" t="s">
        <v>8652</v>
      </c>
      <c r="O364" s="26" t="s">
        <v>8653</v>
      </c>
      <c r="P364" s="20" t="b">
        <v>1</v>
      </c>
      <c r="Q364" s="20" t="s">
        <v>6282</v>
      </c>
      <c r="R364" s="28" t="s">
        <v>6283</v>
      </c>
      <c r="S364" s="25"/>
      <c r="T364" s="20" t="b">
        <v>1</v>
      </c>
      <c r="U364" s="25"/>
      <c r="V364" s="25">
        <v>39.99</v>
      </c>
      <c r="W364" s="28" t="s">
        <v>8654</v>
      </c>
      <c r="X364" s="28" t="s">
        <v>6285</v>
      </c>
      <c r="Y364" s="28" t="s">
        <v>6286</v>
      </c>
      <c r="Z364" s="28" t="s">
        <v>6287</v>
      </c>
      <c r="AA364" s="28" t="s">
        <v>6288</v>
      </c>
      <c r="AB364" s="28" t="s">
        <v>6297</v>
      </c>
    </row>
    <row r="365" spans="1:28" ht="185.4" x14ac:dyDescent="0.3">
      <c r="A365" s="25">
        <v>6945</v>
      </c>
      <c r="B365" s="25" t="s">
        <v>8655</v>
      </c>
      <c r="C365" s="25" t="s">
        <v>8656</v>
      </c>
      <c r="D365" s="25" t="s">
        <v>6291</v>
      </c>
      <c r="E365" s="16" t="s">
        <v>6786</v>
      </c>
      <c r="F365" s="16" t="s">
        <v>6786</v>
      </c>
      <c r="G365" s="16" t="s">
        <v>6786</v>
      </c>
      <c r="H365" s="16" t="s">
        <v>6786</v>
      </c>
      <c r="I365" s="25" t="s">
        <v>8657</v>
      </c>
      <c r="J365" s="25"/>
      <c r="K365" s="25" t="s">
        <v>6281</v>
      </c>
      <c r="L365" s="26" t="s">
        <v>8658</v>
      </c>
      <c r="M365" s="26" t="s">
        <v>6295</v>
      </c>
      <c r="N365" s="27" t="s">
        <v>8659</v>
      </c>
      <c r="O365" s="26" t="s">
        <v>6295</v>
      </c>
      <c r="P365" s="20" t="b">
        <v>1</v>
      </c>
      <c r="Q365" s="20" t="s">
        <v>6282</v>
      </c>
      <c r="R365" s="28" t="s">
        <v>6283</v>
      </c>
      <c r="S365" s="25"/>
      <c r="T365" s="20" t="b">
        <v>1</v>
      </c>
      <c r="U365" s="25"/>
      <c r="V365" s="25">
        <v>44.503</v>
      </c>
      <c r="W365" s="28" t="s">
        <v>8660</v>
      </c>
      <c r="X365" s="28" t="s">
        <v>6285</v>
      </c>
      <c r="Y365" s="28" t="s">
        <v>6286</v>
      </c>
      <c r="Z365" s="28" t="s">
        <v>6287</v>
      </c>
      <c r="AA365" s="28" t="s">
        <v>6288</v>
      </c>
      <c r="AB365" s="28" t="s">
        <v>6297</v>
      </c>
    </row>
    <row r="366" spans="1:28" ht="185.4" x14ac:dyDescent="0.3">
      <c r="A366" s="25">
        <v>6952</v>
      </c>
      <c r="B366" s="25" t="s">
        <v>8661</v>
      </c>
      <c r="C366" s="25" t="s">
        <v>8662</v>
      </c>
      <c r="D366" s="25" t="s">
        <v>6291</v>
      </c>
      <c r="E366" s="16" t="s">
        <v>6292</v>
      </c>
      <c r="F366" s="16" t="s">
        <v>6292</v>
      </c>
      <c r="G366" s="16" t="s">
        <v>6292</v>
      </c>
      <c r="H366" s="16" t="s">
        <v>6292</v>
      </c>
      <c r="I366" s="25" t="s">
        <v>8663</v>
      </c>
      <c r="J366" s="25"/>
      <c r="K366" s="25" t="s">
        <v>6281</v>
      </c>
      <c r="L366" s="26" t="s">
        <v>8664</v>
      </c>
      <c r="M366" s="26" t="s">
        <v>8665</v>
      </c>
      <c r="N366" s="27" t="s">
        <v>8666</v>
      </c>
      <c r="O366" s="26" t="s">
        <v>6295</v>
      </c>
      <c r="P366" s="20" t="b">
        <v>1</v>
      </c>
      <c r="Q366" s="20" t="s">
        <v>6282</v>
      </c>
      <c r="R366" s="28" t="s">
        <v>6283</v>
      </c>
      <c r="S366" s="25"/>
      <c r="T366" s="20" t="b">
        <v>1</v>
      </c>
      <c r="U366" s="25"/>
      <c r="V366" s="25">
        <v>5.8</v>
      </c>
      <c r="W366" s="28" t="s">
        <v>8667</v>
      </c>
      <c r="X366" s="28" t="s">
        <v>6285</v>
      </c>
      <c r="Y366" s="28" t="s">
        <v>6286</v>
      </c>
      <c r="Z366" s="28" t="s">
        <v>6287</v>
      </c>
      <c r="AA366" s="28" t="s">
        <v>6288</v>
      </c>
      <c r="AB366" s="28" t="s">
        <v>6297</v>
      </c>
    </row>
    <row r="367" spans="1:28" ht="185.4" x14ac:dyDescent="0.3">
      <c r="A367" s="25">
        <v>6960</v>
      </c>
      <c r="B367" s="25" t="s">
        <v>8668</v>
      </c>
      <c r="C367" s="25" t="s">
        <v>8669</v>
      </c>
      <c r="D367" s="25" t="s">
        <v>6278</v>
      </c>
      <c r="E367" s="16" t="s">
        <v>6279</v>
      </c>
      <c r="F367" s="16" t="s">
        <v>6279</v>
      </c>
      <c r="G367" s="16" t="s">
        <v>6279</v>
      </c>
      <c r="H367" s="16" t="s">
        <v>6279</v>
      </c>
      <c r="I367" s="25" t="s">
        <v>8670</v>
      </c>
      <c r="J367" s="25"/>
      <c r="K367" s="25" t="s">
        <v>6281</v>
      </c>
      <c r="L367" s="26" t="s">
        <v>8671</v>
      </c>
      <c r="M367" s="26" t="s">
        <v>6295</v>
      </c>
      <c r="N367" s="27" t="s">
        <v>8672</v>
      </c>
      <c r="O367" s="26" t="s">
        <v>7121</v>
      </c>
      <c r="P367" s="20" t="b">
        <v>1</v>
      </c>
      <c r="Q367" s="20" t="s">
        <v>6282</v>
      </c>
      <c r="R367" s="28" t="s">
        <v>6283</v>
      </c>
      <c r="S367" s="25"/>
      <c r="T367" s="20" t="b">
        <v>1</v>
      </c>
      <c r="U367" s="25"/>
      <c r="V367" s="25">
        <v>8400</v>
      </c>
      <c r="W367" s="28" t="s">
        <v>8673</v>
      </c>
      <c r="X367" s="28" t="s">
        <v>6285</v>
      </c>
      <c r="Y367" s="28" t="s">
        <v>6286</v>
      </c>
      <c r="Z367" s="28" t="s">
        <v>6287</v>
      </c>
      <c r="AA367" s="28" t="s">
        <v>6288</v>
      </c>
      <c r="AB367" s="28" t="s">
        <v>6297</v>
      </c>
    </row>
    <row r="368" spans="1:28" ht="193.2" x14ac:dyDescent="0.3">
      <c r="A368" s="25">
        <v>6968</v>
      </c>
      <c r="B368" s="25" t="s">
        <v>8674</v>
      </c>
      <c r="C368" s="25" t="s">
        <v>8675</v>
      </c>
      <c r="D368" s="25" t="s">
        <v>6291</v>
      </c>
      <c r="E368" s="16" t="s">
        <v>6292</v>
      </c>
      <c r="F368" s="16" t="s">
        <v>6292</v>
      </c>
      <c r="G368" s="16" t="s">
        <v>6292</v>
      </c>
      <c r="H368" s="16" t="s">
        <v>6292</v>
      </c>
      <c r="I368" s="25" t="s">
        <v>8676</v>
      </c>
      <c r="J368" s="25"/>
      <c r="K368" s="25" t="s">
        <v>6281</v>
      </c>
      <c r="L368" s="26" t="s">
        <v>8677</v>
      </c>
      <c r="M368" s="26" t="s">
        <v>8678</v>
      </c>
      <c r="N368" s="27" t="s">
        <v>8227</v>
      </c>
      <c r="O368" s="26" t="s">
        <v>8679</v>
      </c>
      <c r="P368" s="20" t="b">
        <v>1</v>
      </c>
      <c r="Q368" s="20" t="s">
        <v>6282</v>
      </c>
      <c r="R368" s="28" t="s">
        <v>6283</v>
      </c>
      <c r="S368" s="25"/>
      <c r="T368" s="20" t="b">
        <v>1</v>
      </c>
      <c r="U368" s="25"/>
      <c r="V368" s="25">
        <v>138.39500000000001</v>
      </c>
      <c r="W368" s="28" t="s">
        <v>8680</v>
      </c>
      <c r="X368" s="28" t="s">
        <v>6285</v>
      </c>
      <c r="Y368" s="28" t="s">
        <v>6286</v>
      </c>
      <c r="Z368" s="28" t="s">
        <v>6287</v>
      </c>
      <c r="AA368" s="28" t="s">
        <v>6288</v>
      </c>
      <c r="AB368" s="28" t="s">
        <v>6297</v>
      </c>
    </row>
    <row r="369" spans="1:28" ht="185.4" x14ac:dyDescent="0.3">
      <c r="A369" s="25">
        <v>6970</v>
      </c>
      <c r="B369" s="25" t="s">
        <v>8681</v>
      </c>
      <c r="C369" s="25" t="s">
        <v>8682</v>
      </c>
      <c r="D369" s="25" t="s">
        <v>6278</v>
      </c>
      <c r="E369" s="16" t="s">
        <v>6279</v>
      </c>
      <c r="F369" s="16" t="s">
        <v>6279</v>
      </c>
      <c r="G369" s="16" t="s">
        <v>6279</v>
      </c>
      <c r="H369" s="16" t="s">
        <v>6279</v>
      </c>
      <c r="I369" s="25" t="s">
        <v>8683</v>
      </c>
      <c r="J369" s="25"/>
      <c r="K369" s="25" t="s">
        <v>6281</v>
      </c>
      <c r="L369" s="26" t="s">
        <v>8684</v>
      </c>
      <c r="M369" s="26" t="s">
        <v>8685</v>
      </c>
      <c r="N369" s="27" t="s">
        <v>8686</v>
      </c>
      <c r="O369" s="26" t="s">
        <v>8687</v>
      </c>
      <c r="P369" s="20" t="b">
        <v>1</v>
      </c>
      <c r="Q369" s="20" t="s">
        <v>6282</v>
      </c>
      <c r="R369" s="28" t="s">
        <v>6283</v>
      </c>
      <c r="S369" s="25"/>
      <c r="T369" s="20" t="b">
        <v>1</v>
      </c>
      <c r="U369" s="25"/>
      <c r="V369" s="25">
        <v>155.10599999999999</v>
      </c>
      <c r="W369" s="28" t="s">
        <v>8688</v>
      </c>
      <c r="X369" s="28" t="s">
        <v>6285</v>
      </c>
      <c r="Y369" s="28" t="s">
        <v>6286</v>
      </c>
      <c r="Z369" s="28" t="s">
        <v>6287</v>
      </c>
      <c r="AA369" s="28" t="s">
        <v>6288</v>
      </c>
      <c r="AB369" s="28" t="s">
        <v>6297</v>
      </c>
    </row>
    <row r="370" spans="1:28" ht="185.4" x14ac:dyDescent="0.3">
      <c r="A370" s="25">
        <v>6978</v>
      </c>
      <c r="B370" s="25" t="s">
        <v>8689</v>
      </c>
      <c r="C370" s="25" t="s">
        <v>8690</v>
      </c>
      <c r="D370" s="25" t="s">
        <v>6278</v>
      </c>
      <c r="E370" s="16" t="s">
        <v>6279</v>
      </c>
      <c r="F370" s="16" t="s">
        <v>6279</v>
      </c>
      <c r="G370" s="16" t="s">
        <v>6279</v>
      </c>
      <c r="H370" s="16" t="s">
        <v>6279</v>
      </c>
      <c r="I370" s="25" t="s">
        <v>8691</v>
      </c>
      <c r="J370" s="25"/>
      <c r="K370" s="25" t="s">
        <v>6281</v>
      </c>
      <c r="L370" s="26" t="s">
        <v>8692</v>
      </c>
      <c r="M370" s="26" t="s">
        <v>8693</v>
      </c>
      <c r="N370" s="27" t="s">
        <v>8694</v>
      </c>
      <c r="O370" s="26" t="s">
        <v>8695</v>
      </c>
      <c r="P370" s="20" t="b">
        <v>1</v>
      </c>
      <c r="Q370" s="20" t="s">
        <v>6282</v>
      </c>
      <c r="R370" s="28" t="s">
        <v>6283</v>
      </c>
      <c r="S370" s="25"/>
      <c r="T370" s="20" t="b">
        <v>1</v>
      </c>
      <c r="U370" s="25"/>
      <c r="V370" s="25">
        <v>1702.2747999999999</v>
      </c>
      <c r="W370" s="28" t="s">
        <v>8696</v>
      </c>
      <c r="X370" s="28" t="s">
        <v>6285</v>
      </c>
      <c r="Y370" s="28" t="s">
        <v>6286</v>
      </c>
      <c r="Z370" s="28" t="s">
        <v>6287</v>
      </c>
      <c r="AA370" s="28" t="s">
        <v>6288</v>
      </c>
      <c r="AB370" s="28" t="s">
        <v>6297</v>
      </c>
    </row>
    <row r="371" spans="1:28" ht="198.6" x14ac:dyDescent="0.3">
      <c r="A371" s="25">
        <v>7000</v>
      </c>
      <c r="B371" s="25" t="s">
        <v>8697</v>
      </c>
      <c r="C371" s="25" t="s">
        <v>8698</v>
      </c>
      <c r="D371" s="25" t="s">
        <v>6291</v>
      </c>
      <c r="E371" s="16" t="s">
        <v>6292</v>
      </c>
      <c r="F371" s="16" t="s">
        <v>6292</v>
      </c>
      <c r="G371" s="16" t="s">
        <v>6292</v>
      </c>
      <c r="H371" s="16" t="s">
        <v>6292</v>
      </c>
      <c r="I371" s="25" t="s">
        <v>8699</v>
      </c>
      <c r="J371" s="25"/>
      <c r="K371" s="25" t="s">
        <v>6281</v>
      </c>
      <c r="L371" s="26" t="s">
        <v>8700</v>
      </c>
      <c r="M371" s="26" t="s">
        <v>8701</v>
      </c>
      <c r="N371" s="27" t="s">
        <v>8702</v>
      </c>
      <c r="O371" s="26" t="s">
        <v>6295</v>
      </c>
      <c r="P371" s="20" t="b">
        <v>1</v>
      </c>
      <c r="Q371" s="20" t="s">
        <v>6282</v>
      </c>
      <c r="R371" s="28" t="s">
        <v>6283</v>
      </c>
      <c r="S371" s="25"/>
      <c r="T371" s="20" t="b">
        <v>1</v>
      </c>
      <c r="U371" s="25"/>
      <c r="V371" s="25">
        <v>31</v>
      </c>
      <c r="W371" s="28" t="s">
        <v>8703</v>
      </c>
      <c r="X371" s="28" t="s">
        <v>6285</v>
      </c>
      <c r="Y371" s="28" t="s">
        <v>6286</v>
      </c>
      <c r="Z371" s="28" t="s">
        <v>6287</v>
      </c>
      <c r="AA371" s="28" t="s">
        <v>6288</v>
      </c>
      <c r="AB371" s="28" t="s">
        <v>6297</v>
      </c>
    </row>
    <row r="372" spans="1:28" ht="185.4" x14ac:dyDescent="0.3">
      <c r="A372" s="25">
        <v>7004</v>
      </c>
      <c r="B372" s="25" t="s">
        <v>8704</v>
      </c>
      <c r="C372" s="25" t="s">
        <v>8705</v>
      </c>
      <c r="D372" s="25" t="s">
        <v>6278</v>
      </c>
      <c r="E372" s="16" t="s">
        <v>6279</v>
      </c>
      <c r="F372" s="16" t="s">
        <v>6279</v>
      </c>
      <c r="G372" s="16" t="s">
        <v>6279</v>
      </c>
      <c r="H372" s="16" t="s">
        <v>6279</v>
      </c>
      <c r="I372" s="25" t="s">
        <v>8706</v>
      </c>
      <c r="J372" s="25"/>
      <c r="K372" s="25" t="s">
        <v>6281</v>
      </c>
      <c r="L372" s="26" t="s">
        <v>8707</v>
      </c>
      <c r="M372" s="26" t="s">
        <v>8708</v>
      </c>
      <c r="N372" s="27" t="s">
        <v>8709</v>
      </c>
      <c r="O372" s="26" t="s">
        <v>8710</v>
      </c>
      <c r="P372" s="20" t="b">
        <v>1</v>
      </c>
      <c r="Q372" s="20" t="s">
        <v>6282</v>
      </c>
      <c r="R372" s="28" t="s">
        <v>6283</v>
      </c>
      <c r="S372" s="25"/>
      <c r="T372" s="20" t="b">
        <v>1</v>
      </c>
      <c r="U372" s="25"/>
      <c r="V372" s="25">
        <v>957.96799999999996</v>
      </c>
      <c r="W372" s="28" t="s">
        <v>8711</v>
      </c>
      <c r="X372" s="28" t="s">
        <v>6285</v>
      </c>
      <c r="Y372" s="28" t="s">
        <v>6286</v>
      </c>
      <c r="Z372" s="28" t="s">
        <v>6287</v>
      </c>
      <c r="AA372" s="28" t="s">
        <v>6288</v>
      </c>
      <c r="AB372" s="28" t="s">
        <v>6297</v>
      </c>
    </row>
    <row r="373" spans="1:28" ht="185.4" x14ac:dyDescent="0.3">
      <c r="A373" s="25">
        <v>7005</v>
      </c>
      <c r="B373" s="25" t="s">
        <v>8712</v>
      </c>
      <c r="C373" s="25" t="s">
        <v>8713</v>
      </c>
      <c r="D373" s="25" t="s">
        <v>6291</v>
      </c>
      <c r="E373" s="16" t="s">
        <v>6292</v>
      </c>
      <c r="F373" s="16" t="s">
        <v>6292</v>
      </c>
      <c r="G373" s="16" t="s">
        <v>6292</v>
      </c>
      <c r="H373" s="16" t="s">
        <v>6292</v>
      </c>
      <c r="I373" s="25" t="s">
        <v>8714</v>
      </c>
      <c r="J373" s="25"/>
      <c r="K373" s="25" t="s">
        <v>6281</v>
      </c>
      <c r="L373" s="26" t="s">
        <v>8715</v>
      </c>
      <c r="M373" s="26" t="s">
        <v>8716</v>
      </c>
      <c r="N373" s="27" t="s">
        <v>8717</v>
      </c>
      <c r="O373" s="26" t="s">
        <v>6295</v>
      </c>
      <c r="P373" s="20" t="b">
        <v>1</v>
      </c>
      <c r="Q373" s="20" t="s">
        <v>6282</v>
      </c>
      <c r="R373" s="28" t="s">
        <v>6283</v>
      </c>
      <c r="S373" s="25"/>
      <c r="T373" s="20" t="b">
        <v>1</v>
      </c>
      <c r="U373" s="25"/>
      <c r="V373" s="25">
        <v>24.33</v>
      </c>
      <c r="W373" s="28" t="s">
        <v>8718</v>
      </c>
      <c r="X373" s="28" t="s">
        <v>6285</v>
      </c>
      <c r="Y373" s="28" t="s">
        <v>6286</v>
      </c>
      <c r="Z373" s="28" t="s">
        <v>6287</v>
      </c>
      <c r="AA373" s="28" t="s">
        <v>6288</v>
      </c>
      <c r="AB373" s="28" t="s">
        <v>6297</v>
      </c>
    </row>
    <row r="374" spans="1:28" ht="185.4" x14ac:dyDescent="0.3">
      <c r="A374" s="25">
        <v>7006</v>
      </c>
      <c r="B374" s="25" t="s">
        <v>8719</v>
      </c>
      <c r="C374" s="25" t="s">
        <v>8720</v>
      </c>
      <c r="D374" s="25" t="s">
        <v>6291</v>
      </c>
      <c r="E374" s="16" t="s">
        <v>6292</v>
      </c>
      <c r="F374" s="16" t="s">
        <v>6292</v>
      </c>
      <c r="G374" s="16" t="s">
        <v>6292</v>
      </c>
      <c r="H374" s="16" t="s">
        <v>6292</v>
      </c>
      <c r="I374" s="25" t="s">
        <v>8721</v>
      </c>
      <c r="J374" s="25"/>
      <c r="K374" s="25" t="s">
        <v>6281</v>
      </c>
      <c r="L374" s="26" t="s">
        <v>8722</v>
      </c>
      <c r="M374" s="26" t="s">
        <v>8716</v>
      </c>
      <c r="N374" s="27" t="s">
        <v>8723</v>
      </c>
      <c r="O374" s="26" t="s">
        <v>6295</v>
      </c>
      <c r="P374" s="20" t="b">
        <v>1</v>
      </c>
      <c r="Q374" s="20" t="s">
        <v>6282</v>
      </c>
      <c r="R374" s="28" t="s">
        <v>6283</v>
      </c>
      <c r="S374" s="25"/>
      <c r="T374" s="20" t="b">
        <v>1</v>
      </c>
      <c r="U374" s="25"/>
      <c r="V374" s="25">
        <v>33.22</v>
      </c>
      <c r="W374" s="28" t="s">
        <v>8724</v>
      </c>
      <c r="X374" s="28" t="s">
        <v>6285</v>
      </c>
      <c r="Y374" s="28" t="s">
        <v>6286</v>
      </c>
      <c r="Z374" s="28" t="s">
        <v>6287</v>
      </c>
      <c r="AA374" s="28" t="s">
        <v>6288</v>
      </c>
      <c r="AB374" s="28" t="s">
        <v>6297</v>
      </c>
    </row>
    <row r="375" spans="1:28" ht="185.4" x14ac:dyDescent="0.3">
      <c r="A375" s="25">
        <v>7018</v>
      </c>
      <c r="B375" s="25" t="s">
        <v>8725</v>
      </c>
      <c r="C375" s="25" t="s">
        <v>8726</v>
      </c>
      <c r="D375" s="25" t="s">
        <v>6291</v>
      </c>
      <c r="E375" s="16" t="s">
        <v>6292</v>
      </c>
      <c r="F375" s="16" t="s">
        <v>6292</v>
      </c>
      <c r="G375" s="16" t="s">
        <v>6292</v>
      </c>
      <c r="H375" s="16" t="s">
        <v>6292</v>
      </c>
      <c r="I375" s="25" t="s">
        <v>8727</v>
      </c>
      <c r="J375" s="25"/>
      <c r="K375" s="25" t="s">
        <v>6281</v>
      </c>
      <c r="L375" s="26" t="s">
        <v>8728</v>
      </c>
      <c r="M375" s="26" t="s">
        <v>6295</v>
      </c>
      <c r="N375" s="27" t="s">
        <v>8729</v>
      </c>
      <c r="O375" s="26" t="s">
        <v>6295</v>
      </c>
      <c r="P375" s="20" t="b">
        <v>1</v>
      </c>
      <c r="Q375" s="20" t="s">
        <v>6282</v>
      </c>
      <c r="R375" s="28" t="s">
        <v>6283</v>
      </c>
      <c r="S375" s="25"/>
      <c r="T375" s="20" t="b">
        <v>1</v>
      </c>
      <c r="U375" s="25"/>
      <c r="V375" s="25">
        <v>789</v>
      </c>
      <c r="W375" s="28" t="s">
        <v>8730</v>
      </c>
      <c r="X375" s="28" t="s">
        <v>6285</v>
      </c>
      <c r="Y375" s="28" t="s">
        <v>6286</v>
      </c>
      <c r="Z375" s="28" t="s">
        <v>6287</v>
      </c>
      <c r="AA375" s="28" t="s">
        <v>6288</v>
      </c>
      <c r="AB375" s="28" t="s">
        <v>6297</v>
      </c>
    </row>
    <row r="376" spans="1:28" ht="185.4" x14ac:dyDescent="0.3">
      <c r="A376" s="25">
        <v>7023</v>
      </c>
      <c r="B376" s="25" t="s">
        <v>8731</v>
      </c>
      <c r="C376" s="25" t="s">
        <v>8732</v>
      </c>
      <c r="D376" s="25" t="s">
        <v>6278</v>
      </c>
      <c r="E376" s="16" t="s">
        <v>6279</v>
      </c>
      <c r="F376" s="16" t="s">
        <v>6279</v>
      </c>
      <c r="G376" s="16" t="s">
        <v>6279</v>
      </c>
      <c r="H376" s="16" t="s">
        <v>6279</v>
      </c>
      <c r="I376" s="25" t="s">
        <v>8733</v>
      </c>
      <c r="J376" s="25"/>
      <c r="K376" s="25" t="s">
        <v>6281</v>
      </c>
      <c r="L376" s="26" t="s">
        <v>8734</v>
      </c>
      <c r="M376" s="26" t="s">
        <v>6295</v>
      </c>
      <c r="N376" s="27" t="s">
        <v>8735</v>
      </c>
      <c r="O376" s="26" t="s">
        <v>6295</v>
      </c>
      <c r="P376" s="20" t="b">
        <v>1</v>
      </c>
      <c r="Q376" s="20" t="s">
        <v>6282</v>
      </c>
      <c r="R376" s="28" t="s">
        <v>6283</v>
      </c>
      <c r="S376" s="25"/>
      <c r="T376" s="20" t="b">
        <v>1</v>
      </c>
      <c r="U376" s="25"/>
      <c r="V376" s="25">
        <v>1043.94</v>
      </c>
      <c r="W376" s="28" t="s">
        <v>8736</v>
      </c>
      <c r="X376" s="28" t="s">
        <v>6285</v>
      </c>
      <c r="Y376" s="28" t="s">
        <v>6286</v>
      </c>
      <c r="Z376" s="28" t="s">
        <v>6287</v>
      </c>
      <c r="AA376" s="28" t="s">
        <v>6288</v>
      </c>
      <c r="AB376" s="28" t="s">
        <v>6297</v>
      </c>
    </row>
    <row r="377" spans="1:28" ht="185.4" x14ac:dyDescent="0.3">
      <c r="A377" s="25">
        <v>7024</v>
      </c>
      <c r="B377" s="25" t="s">
        <v>8737</v>
      </c>
      <c r="C377" s="25" t="s">
        <v>8738</v>
      </c>
      <c r="D377" s="25" t="s">
        <v>6291</v>
      </c>
      <c r="E377" s="16" t="s">
        <v>6786</v>
      </c>
      <c r="F377" s="16" t="s">
        <v>6786</v>
      </c>
      <c r="G377" s="16" t="s">
        <v>6786</v>
      </c>
      <c r="H377" s="16" t="s">
        <v>6786</v>
      </c>
      <c r="I377" s="25" t="s">
        <v>8739</v>
      </c>
      <c r="J377" s="25"/>
      <c r="K377" s="25" t="s">
        <v>6281</v>
      </c>
      <c r="L377" s="26" t="s">
        <v>8740</v>
      </c>
      <c r="M377" s="26" t="s">
        <v>6295</v>
      </c>
      <c r="N377" s="27" t="s">
        <v>8735</v>
      </c>
      <c r="O377" s="26" t="s">
        <v>6295</v>
      </c>
      <c r="P377" s="20" t="b">
        <v>1</v>
      </c>
      <c r="Q377" s="20" t="s">
        <v>6282</v>
      </c>
      <c r="R377" s="28" t="s">
        <v>6283</v>
      </c>
      <c r="S377" s="25"/>
      <c r="T377" s="20" t="b">
        <v>1</v>
      </c>
      <c r="U377" s="25"/>
      <c r="V377" s="25">
        <v>2.1053000000000002</v>
      </c>
      <c r="W377" s="28" t="s">
        <v>8741</v>
      </c>
      <c r="X377" s="28" t="s">
        <v>6285</v>
      </c>
      <c r="Y377" s="28" t="s">
        <v>6286</v>
      </c>
      <c r="Z377" s="28" t="s">
        <v>6287</v>
      </c>
      <c r="AA377" s="28" t="s">
        <v>6288</v>
      </c>
      <c r="AB377" s="28" t="s">
        <v>6297</v>
      </c>
    </row>
    <row r="378" spans="1:28" ht="185.4" x14ac:dyDescent="0.3">
      <c r="A378" s="25">
        <v>7027</v>
      </c>
      <c r="B378" s="25" t="s">
        <v>8742</v>
      </c>
      <c r="C378" s="25" t="s">
        <v>8743</v>
      </c>
      <c r="D378" s="25" t="s">
        <v>6291</v>
      </c>
      <c r="E378" s="16" t="s">
        <v>6292</v>
      </c>
      <c r="F378" s="16" t="s">
        <v>6292</v>
      </c>
      <c r="G378" s="16" t="s">
        <v>6292</v>
      </c>
      <c r="H378" s="16" t="s">
        <v>6292</v>
      </c>
      <c r="I378" s="25" t="s">
        <v>8744</v>
      </c>
      <c r="J378" s="25"/>
      <c r="K378" s="25" t="s">
        <v>6281</v>
      </c>
      <c r="L378" s="26" t="s">
        <v>8745</v>
      </c>
      <c r="M378" s="26" t="s">
        <v>8746</v>
      </c>
      <c r="N378" s="27" t="s">
        <v>8747</v>
      </c>
      <c r="O378" s="26" t="s">
        <v>6295</v>
      </c>
      <c r="P378" s="20" t="b">
        <v>1</v>
      </c>
      <c r="Q378" s="20" t="s">
        <v>6282</v>
      </c>
      <c r="R378" s="28" t="s">
        <v>6283</v>
      </c>
      <c r="S378" s="25"/>
      <c r="T378" s="20" t="b">
        <v>1</v>
      </c>
      <c r="U378" s="25"/>
      <c r="V378" s="25">
        <v>46.93</v>
      </c>
      <c r="W378" s="28" t="s">
        <v>8748</v>
      </c>
      <c r="X378" s="28" t="s">
        <v>6285</v>
      </c>
      <c r="Y378" s="28" t="s">
        <v>6286</v>
      </c>
      <c r="Z378" s="28" t="s">
        <v>6287</v>
      </c>
      <c r="AA378" s="28" t="s">
        <v>6288</v>
      </c>
      <c r="AB378" s="28" t="s">
        <v>6297</v>
      </c>
    </row>
    <row r="379" spans="1:28" ht="185.4" x14ac:dyDescent="0.3">
      <c r="A379" s="25">
        <v>7028</v>
      </c>
      <c r="B379" s="25" t="s">
        <v>8749</v>
      </c>
      <c r="C379" s="25" t="s">
        <v>8750</v>
      </c>
      <c r="D379" s="25" t="s">
        <v>6291</v>
      </c>
      <c r="E379" s="16" t="s">
        <v>6292</v>
      </c>
      <c r="F379" s="16" t="s">
        <v>6292</v>
      </c>
      <c r="G379" s="16" t="s">
        <v>6292</v>
      </c>
      <c r="H379" s="16" t="s">
        <v>6292</v>
      </c>
      <c r="I379" s="25" t="s">
        <v>8751</v>
      </c>
      <c r="J379" s="25"/>
      <c r="K379" s="25" t="s">
        <v>6281</v>
      </c>
      <c r="L379" s="26" t="s">
        <v>8752</v>
      </c>
      <c r="M379" s="26" t="s">
        <v>8753</v>
      </c>
      <c r="N379" s="27" t="s">
        <v>8754</v>
      </c>
      <c r="O379" s="26" t="s">
        <v>6295</v>
      </c>
      <c r="P379" s="20" t="b">
        <v>1</v>
      </c>
      <c r="Q379" s="20" t="s">
        <v>6282</v>
      </c>
      <c r="R379" s="28" t="s">
        <v>6283</v>
      </c>
      <c r="S379" s="25"/>
      <c r="T379" s="20" t="b">
        <v>1</v>
      </c>
      <c r="U379" s="25"/>
      <c r="V379" s="25">
        <v>38</v>
      </c>
      <c r="W379" s="28" t="s">
        <v>8755</v>
      </c>
      <c r="X379" s="28" t="s">
        <v>6285</v>
      </c>
      <c r="Y379" s="28" t="s">
        <v>6286</v>
      </c>
      <c r="Z379" s="28" t="s">
        <v>6287</v>
      </c>
      <c r="AA379" s="28" t="s">
        <v>6288</v>
      </c>
      <c r="AB379" s="28" t="s">
        <v>6297</v>
      </c>
    </row>
    <row r="380" spans="1:28" ht="185.4" x14ac:dyDescent="0.3">
      <c r="A380" s="25">
        <v>7030</v>
      </c>
      <c r="B380" s="25" t="s">
        <v>8756</v>
      </c>
      <c r="C380" s="25" t="s">
        <v>8757</v>
      </c>
      <c r="D380" s="25" t="s">
        <v>6291</v>
      </c>
      <c r="E380" s="16" t="s">
        <v>6292</v>
      </c>
      <c r="F380" s="16" t="s">
        <v>6292</v>
      </c>
      <c r="G380" s="16" t="s">
        <v>6292</v>
      </c>
      <c r="H380" s="16" t="s">
        <v>6292</v>
      </c>
      <c r="I380" s="25" t="s">
        <v>8758</v>
      </c>
      <c r="J380" s="25"/>
      <c r="K380" s="25" t="s">
        <v>6281</v>
      </c>
      <c r="L380" s="26" t="s">
        <v>8759</v>
      </c>
      <c r="M380" s="26" t="s">
        <v>8760</v>
      </c>
      <c r="N380" s="27" t="s">
        <v>8761</v>
      </c>
      <c r="O380" s="26" t="s">
        <v>8762</v>
      </c>
      <c r="P380" s="20" t="b">
        <v>1</v>
      </c>
      <c r="Q380" s="20" t="s">
        <v>6282</v>
      </c>
      <c r="R380" s="28" t="s">
        <v>6283</v>
      </c>
      <c r="S380" s="25"/>
      <c r="T380" s="20" t="b">
        <v>1</v>
      </c>
      <c r="U380" s="25"/>
      <c r="V380" s="25">
        <v>28.18</v>
      </c>
      <c r="W380" s="28" t="s">
        <v>8763</v>
      </c>
      <c r="X380" s="28" t="s">
        <v>6285</v>
      </c>
      <c r="Y380" s="28" t="s">
        <v>6286</v>
      </c>
      <c r="Z380" s="28" t="s">
        <v>6287</v>
      </c>
      <c r="AA380" s="28" t="s">
        <v>6288</v>
      </c>
      <c r="AB380" s="28" t="s">
        <v>6297</v>
      </c>
    </row>
    <row r="381" spans="1:28" ht="185.4" x14ac:dyDescent="0.3">
      <c r="A381" s="25">
        <v>7035</v>
      </c>
      <c r="B381" s="25" t="s">
        <v>8764</v>
      </c>
      <c r="C381" s="25" t="s">
        <v>6410</v>
      </c>
      <c r="D381" s="25" t="s">
        <v>6291</v>
      </c>
      <c r="E381" s="16" t="s">
        <v>6292</v>
      </c>
      <c r="F381" s="16" t="s">
        <v>6292</v>
      </c>
      <c r="G381" s="16" t="s">
        <v>6292</v>
      </c>
      <c r="H381" s="16" t="s">
        <v>6292</v>
      </c>
      <c r="I381" s="25" t="s">
        <v>8765</v>
      </c>
      <c r="J381" s="25"/>
      <c r="K381" s="25" t="s">
        <v>6281</v>
      </c>
      <c r="L381" s="26" t="s">
        <v>8766</v>
      </c>
      <c r="M381" s="26" t="s">
        <v>8767</v>
      </c>
      <c r="N381" s="27" t="s">
        <v>8061</v>
      </c>
      <c r="O381" s="26" t="s">
        <v>8768</v>
      </c>
      <c r="P381" s="20" t="b">
        <v>1</v>
      </c>
      <c r="Q381" s="20" t="s">
        <v>6282</v>
      </c>
      <c r="R381" s="28" t="s">
        <v>6283</v>
      </c>
      <c r="S381" s="25"/>
      <c r="T381" s="20" t="b">
        <v>1</v>
      </c>
      <c r="U381" s="25"/>
      <c r="V381" s="25">
        <v>9.2639999999999993</v>
      </c>
      <c r="W381" s="28" t="s">
        <v>8769</v>
      </c>
      <c r="X381" s="28" t="s">
        <v>6285</v>
      </c>
      <c r="Y381" s="28" t="s">
        <v>6286</v>
      </c>
      <c r="Z381" s="28" t="s">
        <v>6287</v>
      </c>
      <c r="AA381" s="28" t="s">
        <v>6288</v>
      </c>
      <c r="AB381" s="28" t="s">
        <v>6297</v>
      </c>
    </row>
    <row r="382" spans="1:28" ht="185.4" x14ac:dyDescent="0.3">
      <c r="A382" s="25">
        <v>7046</v>
      </c>
      <c r="B382" s="25" t="s">
        <v>8770</v>
      </c>
      <c r="C382" s="25" t="s">
        <v>8771</v>
      </c>
      <c r="D382" s="25" t="s">
        <v>6278</v>
      </c>
      <c r="E382" s="16" t="s">
        <v>6279</v>
      </c>
      <c r="F382" s="16" t="s">
        <v>6279</v>
      </c>
      <c r="G382" s="16" t="s">
        <v>6279</v>
      </c>
      <c r="H382" s="16" t="s">
        <v>6279</v>
      </c>
      <c r="I382" s="25" t="s">
        <v>8772</v>
      </c>
      <c r="J382" s="25"/>
      <c r="K382" s="25" t="s">
        <v>6281</v>
      </c>
      <c r="L382" s="26" t="s">
        <v>8773</v>
      </c>
      <c r="M382" s="26" t="s">
        <v>6295</v>
      </c>
      <c r="N382" s="27" t="s">
        <v>8774</v>
      </c>
      <c r="O382" s="26" t="s">
        <v>6295</v>
      </c>
      <c r="P382" s="20" t="b">
        <v>1</v>
      </c>
      <c r="Q382" s="20" t="s">
        <v>6282</v>
      </c>
      <c r="R382" s="28" t="s">
        <v>6283</v>
      </c>
      <c r="S382" s="25"/>
      <c r="T382" s="20" t="b">
        <v>1</v>
      </c>
      <c r="U382" s="25"/>
      <c r="V382" s="25">
        <v>45.43</v>
      </c>
      <c r="W382" s="28" t="s">
        <v>8775</v>
      </c>
      <c r="X382" s="28" t="s">
        <v>6285</v>
      </c>
      <c r="Y382" s="28" t="s">
        <v>6286</v>
      </c>
      <c r="Z382" s="28" t="s">
        <v>6287</v>
      </c>
      <c r="AA382" s="28" t="s">
        <v>6288</v>
      </c>
      <c r="AB382" s="28" t="s">
        <v>6297</v>
      </c>
    </row>
    <row r="383" spans="1:28" ht="185.4" x14ac:dyDescent="0.3">
      <c r="A383" s="25">
        <v>7047</v>
      </c>
      <c r="B383" s="25" t="s">
        <v>8776</v>
      </c>
      <c r="C383" s="25" t="s">
        <v>8777</v>
      </c>
      <c r="D383" s="25" t="s">
        <v>6278</v>
      </c>
      <c r="E383" s="16" t="s">
        <v>6279</v>
      </c>
      <c r="F383" s="16" t="s">
        <v>6279</v>
      </c>
      <c r="G383" s="16" t="s">
        <v>6279</v>
      </c>
      <c r="H383" s="16" t="s">
        <v>6279</v>
      </c>
      <c r="I383" s="25" t="s">
        <v>8778</v>
      </c>
      <c r="J383" s="25"/>
      <c r="K383" s="25" t="s">
        <v>6281</v>
      </c>
      <c r="L383" s="26" t="s">
        <v>8779</v>
      </c>
      <c r="M383" s="26" t="s">
        <v>6295</v>
      </c>
      <c r="N383" s="27" t="s">
        <v>8780</v>
      </c>
      <c r="O383" s="26" t="s">
        <v>6295</v>
      </c>
      <c r="P383" s="20" t="b">
        <v>1</v>
      </c>
      <c r="Q383" s="20" t="s">
        <v>6282</v>
      </c>
      <c r="R383" s="28" t="s">
        <v>6283</v>
      </c>
      <c r="S383" s="25"/>
      <c r="T383" s="20" t="b">
        <v>1</v>
      </c>
      <c r="U383" s="25"/>
      <c r="V383" s="25">
        <v>83.63</v>
      </c>
      <c r="W383" s="28" t="s">
        <v>8781</v>
      </c>
      <c r="X383" s="28" t="s">
        <v>6285</v>
      </c>
      <c r="Y383" s="28" t="s">
        <v>6286</v>
      </c>
      <c r="Z383" s="28" t="s">
        <v>6287</v>
      </c>
      <c r="AA383" s="28" t="s">
        <v>6288</v>
      </c>
      <c r="AB383" s="28" t="s">
        <v>6297</v>
      </c>
    </row>
    <row r="384" spans="1:28" ht="185.4" x14ac:dyDescent="0.3">
      <c r="A384" s="25">
        <v>7049</v>
      </c>
      <c r="B384" s="25" t="s">
        <v>8782</v>
      </c>
      <c r="C384" s="25" t="s">
        <v>8783</v>
      </c>
      <c r="D384" s="25" t="s">
        <v>6291</v>
      </c>
      <c r="E384" s="16" t="s">
        <v>6292</v>
      </c>
      <c r="F384" s="16" t="s">
        <v>6292</v>
      </c>
      <c r="G384" s="16" t="s">
        <v>6292</v>
      </c>
      <c r="H384" s="16" t="s">
        <v>6292</v>
      </c>
      <c r="I384" s="25" t="s">
        <v>8784</v>
      </c>
      <c r="J384" s="25"/>
      <c r="K384" s="25" t="s">
        <v>6281</v>
      </c>
      <c r="L384" s="26" t="s">
        <v>8785</v>
      </c>
      <c r="M384" s="26" t="s">
        <v>7902</v>
      </c>
      <c r="N384" s="27" t="s">
        <v>8786</v>
      </c>
      <c r="O384" s="26" t="s">
        <v>6295</v>
      </c>
      <c r="P384" s="20" t="b">
        <v>1</v>
      </c>
      <c r="Q384" s="20" t="s">
        <v>6282</v>
      </c>
      <c r="R384" s="28" t="s">
        <v>6283</v>
      </c>
      <c r="S384" s="25"/>
      <c r="T384" s="20" t="b">
        <v>1</v>
      </c>
      <c r="U384" s="25"/>
      <c r="V384" s="25">
        <v>556.29600000000005</v>
      </c>
      <c r="W384" s="28" t="s">
        <v>8787</v>
      </c>
      <c r="X384" s="28" t="s">
        <v>6285</v>
      </c>
      <c r="Y384" s="28" t="s">
        <v>6286</v>
      </c>
      <c r="Z384" s="28" t="s">
        <v>6287</v>
      </c>
      <c r="AA384" s="28" t="s">
        <v>6288</v>
      </c>
      <c r="AB384" s="28" t="s">
        <v>6297</v>
      </c>
    </row>
    <row r="385" spans="1:28" ht="185.4" x14ac:dyDescent="0.3">
      <c r="A385" s="25">
        <v>7052</v>
      </c>
      <c r="B385" s="25" t="s">
        <v>8788</v>
      </c>
      <c r="C385" s="25" t="s">
        <v>8789</v>
      </c>
      <c r="D385" s="25" t="s">
        <v>6278</v>
      </c>
      <c r="E385" s="16" t="s">
        <v>6279</v>
      </c>
      <c r="F385" s="16" t="s">
        <v>6279</v>
      </c>
      <c r="G385" s="16" t="s">
        <v>6279</v>
      </c>
      <c r="H385" s="16" t="s">
        <v>6279</v>
      </c>
      <c r="I385" s="25" t="s">
        <v>8790</v>
      </c>
      <c r="J385" s="25"/>
      <c r="K385" s="25" t="s">
        <v>6281</v>
      </c>
      <c r="L385" s="26" t="s">
        <v>8791</v>
      </c>
      <c r="M385" s="26" t="s">
        <v>6295</v>
      </c>
      <c r="N385" s="27" t="s">
        <v>8792</v>
      </c>
      <c r="O385" s="26" t="s">
        <v>6295</v>
      </c>
      <c r="P385" s="20" t="b">
        <v>1</v>
      </c>
      <c r="Q385" s="20" t="s">
        <v>6282</v>
      </c>
      <c r="R385" s="28" t="s">
        <v>6283</v>
      </c>
      <c r="S385" s="25"/>
      <c r="T385" s="20" t="b">
        <v>1</v>
      </c>
      <c r="U385" s="25"/>
      <c r="V385" s="25">
        <v>519.87099999999998</v>
      </c>
      <c r="W385" s="28" t="s">
        <v>8793</v>
      </c>
      <c r="X385" s="28" t="s">
        <v>6285</v>
      </c>
      <c r="Y385" s="28" t="s">
        <v>6286</v>
      </c>
      <c r="Z385" s="28" t="s">
        <v>6287</v>
      </c>
      <c r="AA385" s="28" t="s">
        <v>6288</v>
      </c>
      <c r="AB385" s="28" t="s">
        <v>6297</v>
      </c>
    </row>
    <row r="386" spans="1:28" ht="185.4" x14ac:dyDescent="0.3">
      <c r="A386" s="25">
        <v>7055</v>
      </c>
      <c r="B386" s="25" t="s">
        <v>8794</v>
      </c>
      <c r="C386" s="25" t="s">
        <v>6306</v>
      </c>
      <c r="D386" s="25" t="s">
        <v>6278</v>
      </c>
      <c r="E386" s="16" t="s">
        <v>6279</v>
      </c>
      <c r="F386" s="16" t="s">
        <v>6279</v>
      </c>
      <c r="G386" s="16" t="s">
        <v>6279</v>
      </c>
      <c r="H386" s="16" t="s">
        <v>6279</v>
      </c>
      <c r="I386" s="25" t="s">
        <v>8795</v>
      </c>
      <c r="J386" s="25"/>
      <c r="K386" s="25" t="s">
        <v>6281</v>
      </c>
      <c r="L386" s="26" t="s">
        <v>8796</v>
      </c>
      <c r="M386" s="26" t="s">
        <v>8797</v>
      </c>
      <c r="N386" s="27" t="s">
        <v>8798</v>
      </c>
      <c r="O386" s="26" t="s">
        <v>6295</v>
      </c>
      <c r="P386" s="20" t="b">
        <v>1</v>
      </c>
      <c r="Q386" s="20" t="s">
        <v>6282</v>
      </c>
      <c r="R386" s="28" t="s">
        <v>6283</v>
      </c>
      <c r="S386" s="25"/>
      <c r="T386" s="20" t="b">
        <v>1</v>
      </c>
      <c r="U386" s="25"/>
      <c r="V386" s="25">
        <v>415.685</v>
      </c>
      <c r="W386" s="28" t="s">
        <v>8799</v>
      </c>
      <c r="X386" s="28" t="s">
        <v>6285</v>
      </c>
      <c r="Y386" s="28" t="s">
        <v>6286</v>
      </c>
      <c r="Z386" s="28" t="s">
        <v>6287</v>
      </c>
      <c r="AA386" s="28" t="s">
        <v>6288</v>
      </c>
      <c r="AB386" s="28" t="s">
        <v>6297</v>
      </c>
    </row>
    <row r="387" spans="1:28" ht="185.4" x14ac:dyDescent="0.3">
      <c r="A387" s="25">
        <v>7057</v>
      </c>
      <c r="B387" s="25" t="s">
        <v>8800</v>
      </c>
      <c r="C387" s="25" t="s">
        <v>6410</v>
      </c>
      <c r="D387" s="25" t="s">
        <v>6291</v>
      </c>
      <c r="E387" s="16" t="s">
        <v>6292</v>
      </c>
      <c r="F387" s="16" t="s">
        <v>6292</v>
      </c>
      <c r="G387" s="16" t="s">
        <v>6292</v>
      </c>
      <c r="H387" s="16" t="s">
        <v>6292</v>
      </c>
      <c r="I387" s="25" t="s">
        <v>8801</v>
      </c>
      <c r="J387" s="25"/>
      <c r="K387" s="25" t="s">
        <v>6281</v>
      </c>
      <c r="L387" s="26" t="s">
        <v>8802</v>
      </c>
      <c r="M387" s="26" t="s">
        <v>8803</v>
      </c>
      <c r="N387" s="27" t="s">
        <v>8804</v>
      </c>
      <c r="O387" s="26" t="s">
        <v>7939</v>
      </c>
      <c r="P387" s="20" t="b">
        <v>1</v>
      </c>
      <c r="Q387" s="20" t="s">
        <v>6282</v>
      </c>
      <c r="R387" s="28" t="s">
        <v>6283</v>
      </c>
      <c r="S387" s="25"/>
      <c r="T387" s="20" t="b">
        <v>1</v>
      </c>
      <c r="U387" s="25"/>
      <c r="V387" s="25">
        <v>104.16800000000001</v>
      </c>
      <c r="W387" s="28" t="s">
        <v>8805</v>
      </c>
      <c r="X387" s="28" t="s">
        <v>6285</v>
      </c>
      <c r="Y387" s="28" t="s">
        <v>6286</v>
      </c>
      <c r="Z387" s="28" t="s">
        <v>6287</v>
      </c>
      <c r="AA387" s="28" t="s">
        <v>6288</v>
      </c>
      <c r="AB387" s="28" t="s">
        <v>6297</v>
      </c>
    </row>
    <row r="388" spans="1:28" ht="185.4" x14ac:dyDescent="0.3">
      <c r="A388" s="25">
        <v>7059</v>
      </c>
      <c r="B388" s="25" t="s">
        <v>8806</v>
      </c>
      <c r="C388" s="25" t="s">
        <v>8807</v>
      </c>
      <c r="D388" s="25" t="s">
        <v>6291</v>
      </c>
      <c r="E388" s="16" t="s">
        <v>6292</v>
      </c>
      <c r="F388" s="16" t="s">
        <v>6292</v>
      </c>
      <c r="G388" s="16" t="s">
        <v>6292</v>
      </c>
      <c r="H388" s="16" t="s">
        <v>6292</v>
      </c>
      <c r="I388" s="25" t="s">
        <v>8808</v>
      </c>
      <c r="J388" s="25"/>
      <c r="K388" s="25" t="s">
        <v>6281</v>
      </c>
      <c r="L388" s="26" t="s">
        <v>8809</v>
      </c>
      <c r="M388" s="26" t="s">
        <v>8810</v>
      </c>
      <c r="N388" s="27" t="s">
        <v>8811</v>
      </c>
      <c r="O388" s="26" t="s">
        <v>7939</v>
      </c>
      <c r="P388" s="20" t="b">
        <v>1</v>
      </c>
      <c r="Q388" s="20" t="s">
        <v>6282</v>
      </c>
      <c r="R388" s="28" t="s">
        <v>6283</v>
      </c>
      <c r="S388" s="25"/>
      <c r="T388" s="20" t="b">
        <v>1</v>
      </c>
      <c r="U388" s="25"/>
      <c r="V388" s="25">
        <v>82.293999999999997</v>
      </c>
      <c r="W388" s="28" t="s">
        <v>8812</v>
      </c>
      <c r="X388" s="28" t="s">
        <v>6285</v>
      </c>
      <c r="Y388" s="28" t="s">
        <v>6286</v>
      </c>
      <c r="Z388" s="28" t="s">
        <v>6287</v>
      </c>
      <c r="AA388" s="28" t="s">
        <v>6288</v>
      </c>
      <c r="AB388" s="28" t="s">
        <v>6297</v>
      </c>
    </row>
    <row r="389" spans="1:28" ht="291" x14ac:dyDescent="0.3">
      <c r="A389" s="25">
        <v>7061</v>
      </c>
      <c r="B389" s="25" t="s">
        <v>8813</v>
      </c>
      <c r="C389" s="25" t="s">
        <v>8814</v>
      </c>
      <c r="D389" s="25" t="s">
        <v>6291</v>
      </c>
      <c r="E389" s="16" t="s">
        <v>6786</v>
      </c>
      <c r="F389" s="16" t="s">
        <v>6786</v>
      </c>
      <c r="G389" s="16" t="s">
        <v>6786</v>
      </c>
      <c r="H389" s="16" t="s">
        <v>6786</v>
      </c>
      <c r="I389" s="25" t="s">
        <v>8815</v>
      </c>
      <c r="J389" s="25"/>
      <c r="K389" s="25" t="s">
        <v>6281</v>
      </c>
      <c r="L389" s="26" t="s">
        <v>8816</v>
      </c>
      <c r="M389" s="26" t="s">
        <v>8817</v>
      </c>
      <c r="N389" s="27" t="s">
        <v>8818</v>
      </c>
      <c r="O389" s="26" t="s">
        <v>8819</v>
      </c>
      <c r="P389" s="20" t="b">
        <v>1</v>
      </c>
      <c r="Q389" s="20" t="s">
        <v>6282</v>
      </c>
      <c r="R389" s="28" t="s">
        <v>6283</v>
      </c>
      <c r="S389" s="25"/>
      <c r="T389" s="20" t="b">
        <v>1</v>
      </c>
      <c r="U389" s="25"/>
      <c r="V389" s="25">
        <v>0.20399999999999999</v>
      </c>
      <c r="W389" s="28" t="s">
        <v>8820</v>
      </c>
      <c r="X389" s="28" t="s">
        <v>6285</v>
      </c>
      <c r="Y389" s="28" t="s">
        <v>6286</v>
      </c>
      <c r="Z389" s="28" t="s">
        <v>6287</v>
      </c>
      <c r="AA389" s="28" t="s">
        <v>6288</v>
      </c>
      <c r="AB389" s="28" t="s">
        <v>6297</v>
      </c>
    </row>
    <row r="390" spans="1:28" ht="185.4" x14ac:dyDescent="0.3">
      <c r="A390" s="25">
        <v>7081</v>
      </c>
      <c r="B390" s="25" t="s">
        <v>8821</v>
      </c>
      <c r="C390" s="25" t="s">
        <v>8822</v>
      </c>
      <c r="D390" s="25" t="s">
        <v>6291</v>
      </c>
      <c r="E390" s="16" t="s">
        <v>6786</v>
      </c>
      <c r="F390" s="16" t="s">
        <v>6786</v>
      </c>
      <c r="G390" s="16" t="s">
        <v>6786</v>
      </c>
      <c r="H390" s="16" t="s">
        <v>6786</v>
      </c>
      <c r="I390" s="25" t="s">
        <v>8823</v>
      </c>
      <c r="J390" s="25"/>
      <c r="K390" s="25" t="s">
        <v>6281</v>
      </c>
      <c r="L390" s="26" t="s">
        <v>8824</v>
      </c>
      <c r="M390" s="26" t="s">
        <v>8825</v>
      </c>
      <c r="N390" s="27" t="s">
        <v>8826</v>
      </c>
      <c r="O390" s="26" t="s">
        <v>8827</v>
      </c>
      <c r="P390" s="20" t="b">
        <v>1</v>
      </c>
      <c r="Q390" s="20" t="s">
        <v>6282</v>
      </c>
      <c r="R390" s="28" t="s">
        <v>6283</v>
      </c>
      <c r="S390" s="25"/>
      <c r="T390" s="20" t="b">
        <v>1</v>
      </c>
      <c r="U390" s="25"/>
      <c r="V390" s="25">
        <v>4.5760000000000002E-2</v>
      </c>
      <c r="W390" s="28" t="s">
        <v>8828</v>
      </c>
      <c r="X390" s="28" t="s">
        <v>6285</v>
      </c>
      <c r="Y390" s="28" t="s">
        <v>6286</v>
      </c>
      <c r="Z390" s="28" t="s">
        <v>6287</v>
      </c>
      <c r="AA390" s="28" t="s">
        <v>6288</v>
      </c>
      <c r="AB390" s="28" t="s">
        <v>6297</v>
      </c>
    </row>
    <row r="391" spans="1:28" ht="185.4" x14ac:dyDescent="0.3">
      <c r="A391" s="25">
        <v>7082</v>
      </c>
      <c r="B391" s="25" t="s">
        <v>8829</v>
      </c>
      <c r="C391" s="25" t="s">
        <v>8830</v>
      </c>
      <c r="D391" s="25" t="s">
        <v>6291</v>
      </c>
      <c r="E391" s="16" t="s">
        <v>6786</v>
      </c>
      <c r="F391" s="16" t="s">
        <v>6786</v>
      </c>
      <c r="G391" s="16" t="s">
        <v>6786</v>
      </c>
      <c r="H391" s="16" t="s">
        <v>6786</v>
      </c>
      <c r="I391" s="25" t="s">
        <v>8831</v>
      </c>
      <c r="J391" s="25"/>
      <c r="K391" s="25" t="s">
        <v>6281</v>
      </c>
      <c r="L391" s="26" t="s">
        <v>8832</v>
      </c>
      <c r="M391" s="26" t="s">
        <v>8833</v>
      </c>
      <c r="N391" s="27" t="s">
        <v>8834</v>
      </c>
      <c r="O391" s="26" t="s">
        <v>8835</v>
      </c>
      <c r="P391" s="20" t="b">
        <v>1</v>
      </c>
      <c r="Q391" s="20" t="s">
        <v>6282</v>
      </c>
      <c r="R391" s="28" t="s">
        <v>6283</v>
      </c>
      <c r="S391" s="25"/>
      <c r="T391" s="20" t="b">
        <v>1</v>
      </c>
      <c r="U391" s="25"/>
      <c r="V391" s="25">
        <v>6.9629999999999997E-2</v>
      </c>
      <c r="W391" s="28" t="s">
        <v>8836</v>
      </c>
      <c r="X391" s="28" t="s">
        <v>6285</v>
      </c>
      <c r="Y391" s="28" t="s">
        <v>6286</v>
      </c>
      <c r="Z391" s="28" t="s">
        <v>6287</v>
      </c>
      <c r="AA391" s="28" t="s">
        <v>6288</v>
      </c>
      <c r="AB391" s="28" t="s">
        <v>6297</v>
      </c>
    </row>
    <row r="392" spans="1:28" ht="185.4" x14ac:dyDescent="0.3">
      <c r="A392" s="25">
        <v>7086</v>
      </c>
      <c r="B392" s="25" t="s">
        <v>8837</v>
      </c>
      <c r="C392" s="25" t="s">
        <v>8838</v>
      </c>
      <c r="D392" s="25" t="s">
        <v>6278</v>
      </c>
      <c r="E392" s="16" t="s">
        <v>6279</v>
      </c>
      <c r="F392" s="16" t="s">
        <v>6279</v>
      </c>
      <c r="G392" s="16" t="s">
        <v>6279</v>
      </c>
      <c r="H392" s="16" t="s">
        <v>6279</v>
      </c>
      <c r="I392" s="25" t="s">
        <v>8839</v>
      </c>
      <c r="J392" s="25"/>
      <c r="K392" s="25" t="s">
        <v>6281</v>
      </c>
      <c r="L392" s="26" t="s">
        <v>8840</v>
      </c>
      <c r="M392" s="26" t="s">
        <v>6295</v>
      </c>
      <c r="N392" s="27" t="s">
        <v>8841</v>
      </c>
      <c r="O392" s="26" t="s">
        <v>8842</v>
      </c>
      <c r="P392" s="20" t="b">
        <v>1</v>
      </c>
      <c r="Q392" s="20" t="s">
        <v>6282</v>
      </c>
      <c r="R392" s="28" t="s">
        <v>6283</v>
      </c>
      <c r="S392" s="25"/>
      <c r="T392" s="20" t="b">
        <v>1</v>
      </c>
      <c r="U392" s="25"/>
      <c r="V392" s="25">
        <v>2325.8215</v>
      </c>
      <c r="W392" s="28" t="s">
        <v>8843</v>
      </c>
      <c r="X392" s="28" t="s">
        <v>6285</v>
      </c>
      <c r="Y392" s="28" t="s">
        <v>6286</v>
      </c>
      <c r="Z392" s="28" t="s">
        <v>6287</v>
      </c>
      <c r="AA392" s="28" t="s">
        <v>6288</v>
      </c>
      <c r="AB392" s="28" t="s">
        <v>6297</v>
      </c>
    </row>
    <row r="393" spans="1:28" ht="185.4" x14ac:dyDescent="0.3">
      <c r="A393" s="25">
        <v>7087</v>
      </c>
      <c r="B393" s="25" t="s">
        <v>8844</v>
      </c>
      <c r="C393" s="25" t="s">
        <v>8845</v>
      </c>
      <c r="D393" s="25" t="s">
        <v>6291</v>
      </c>
      <c r="E393" s="16" t="s">
        <v>6292</v>
      </c>
      <c r="F393" s="16" t="s">
        <v>6292</v>
      </c>
      <c r="G393" s="16" t="s">
        <v>6292</v>
      </c>
      <c r="H393" s="16" t="s">
        <v>6292</v>
      </c>
      <c r="I393" s="25" t="s">
        <v>8846</v>
      </c>
      <c r="J393" s="25"/>
      <c r="K393" s="25" t="s">
        <v>6281</v>
      </c>
      <c r="L393" s="26" t="s">
        <v>8847</v>
      </c>
      <c r="M393" s="26" t="s">
        <v>6295</v>
      </c>
      <c r="N393" s="27" t="s">
        <v>8848</v>
      </c>
      <c r="O393" s="26" t="s">
        <v>6295</v>
      </c>
      <c r="P393" s="20" t="b">
        <v>1</v>
      </c>
      <c r="Q393" s="20" t="s">
        <v>6282</v>
      </c>
      <c r="R393" s="28" t="s">
        <v>6283</v>
      </c>
      <c r="S393" s="25"/>
      <c r="T393" s="20" t="b">
        <v>1</v>
      </c>
      <c r="U393" s="25"/>
      <c r="V393" s="25">
        <v>11.44</v>
      </c>
      <c r="W393" s="28" t="s">
        <v>8849</v>
      </c>
      <c r="X393" s="28" t="s">
        <v>6285</v>
      </c>
      <c r="Y393" s="28" t="s">
        <v>6286</v>
      </c>
      <c r="Z393" s="28" t="s">
        <v>6287</v>
      </c>
      <c r="AA393" s="28" t="s">
        <v>6288</v>
      </c>
      <c r="AB393" s="28" t="s">
        <v>6297</v>
      </c>
    </row>
    <row r="394" spans="1:28" ht="185.4" x14ac:dyDescent="0.3">
      <c r="A394" s="25">
        <v>7120</v>
      </c>
      <c r="B394" s="25" t="s">
        <v>8850</v>
      </c>
      <c r="C394" s="25" t="s">
        <v>8851</v>
      </c>
      <c r="D394" s="25" t="s">
        <v>6291</v>
      </c>
      <c r="E394" s="16" t="s">
        <v>6292</v>
      </c>
      <c r="F394" s="16" t="s">
        <v>6292</v>
      </c>
      <c r="G394" s="16" t="s">
        <v>6292</v>
      </c>
      <c r="H394" s="16" t="s">
        <v>6292</v>
      </c>
      <c r="I394" s="25" t="s">
        <v>8852</v>
      </c>
      <c r="J394" s="25"/>
      <c r="K394" s="25" t="s">
        <v>6281</v>
      </c>
      <c r="L394" s="26" t="s">
        <v>8853</v>
      </c>
      <c r="M394" s="26" t="s">
        <v>6295</v>
      </c>
      <c r="N394" s="27" t="s">
        <v>8854</v>
      </c>
      <c r="O394" s="26" t="s">
        <v>7939</v>
      </c>
      <c r="P394" s="20" t="b">
        <v>1</v>
      </c>
      <c r="Q394" s="20" t="s">
        <v>6282</v>
      </c>
      <c r="R394" s="28" t="s">
        <v>6283</v>
      </c>
      <c r="S394" s="25"/>
      <c r="T394" s="20" t="b">
        <v>1</v>
      </c>
      <c r="U394" s="25"/>
      <c r="V394" s="25">
        <v>206.82</v>
      </c>
      <c r="W394" s="28" t="s">
        <v>8855</v>
      </c>
      <c r="X394" s="28" t="s">
        <v>6285</v>
      </c>
      <c r="Y394" s="28" t="s">
        <v>6286</v>
      </c>
      <c r="Z394" s="28" t="s">
        <v>6287</v>
      </c>
      <c r="AA394" s="28" t="s">
        <v>6288</v>
      </c>
      <c r="AB394" s="28" t="s">
        <v>6297</v>
      </c>
    </row>
    <row r="395" spans="1:28" ht="198.6" x14ac:dyDescent="0.3">
      <c r="A395" s="25">
        <v>7122</v>
      </c>
      <c r="B395" s="25" t="s">
        <v>8856</v>
      </c>
      <c r="C395" s="25" t="s">
        <v>8857</v>
      </c>
      <c r="D395" s="25" t="s">
        <v>6291</v>
      </c>
      <c r="E395" s="16" t="s">
        <v>6292</v>
      </c>
      <c r="F395" s="16" t="s">
        <v>6292</v>
      </c>
      <c r="G395" s="16" t="s">
        <v>6292</v>
      </c>
      <c r="H395" s="16" t="s">
        <v>6292</v>
      </c>
      <c r="I395" s="25" t="s">
        <v>8858</v>
      </c>
      <c r="J395" s="25"/>
      <c r="K395" s="25" t="s">
        <v>6281</v>
      </c>
      <c r="L395" s="26" t="s">
        <v>8859</v>
      </c>
      <c r="M395" s="26" t="s">
        <v>6295</v>
      </c>
      <c r="N395" s="27" t="s">
        <v>8860</v>
      </c>
      <c r="O395" s="26" t="s">
        <v>6295</v>
      </c>
      <c r="P395" s="20" t="b">
        <v>1</v>
      </c>
      <c r="Q395" s="20" t="s">
        <v>6282</v>
      </c>
      <c r="R395" s="28" t="s">
        <v>6283</v>
      </c>
      <c r="S395" s="25"/>
      <c r="T395" s="20" t="b">
        <v>1</v>
      </c>
      <c r="U395" s="25"/>
      <c r="V395" s="25">
        <v>37.729999999999997</v>
      </c>
      <c r="W395" s="28" t="s">
        <v>8861</v>
      </c>
      <c r="X395" s="28" t="s">
        <v>6285</v>
      </c>
      <c r="Y395" s="28" t="s">
        <v>6286</v>
      </c>
      <c r="Z395" s="28" t="s">
        <v>6287</v>
      </c>
      <c r="AA395" s="28" t="s">
        <v>6288</v>
      </c>
      <c r="AB395" s="28" t="s">
        <v>6297</v>
      </c>
    </row>
    <row r="396" spans="1:28" ht="185.4" x14ac:dyDescent="0.3">
      <c r="A396" s="25">
        <v>7126</v>
      </c>
      <c r="B396" s="25" t="s">
        <v>8862</v>
      </c>
      <c r="C396" s="25" t="s">
        <v>8863</v>
      </c>
      <c r="D396" s="25" t="s">
        <v>6278</v>
      </c>
      <c r="E396" s="16" t="s">
        <v>6279</v>
      </c>
      <c r="F396" s="16" t="s">
        <v>6279</v>
      </c>
      <c r="G396" s="16" t="s">
        <v>6279</v>
      </c>
      <c r="H396" s="16" t="s">
        <v>6279</v>
      </c>
      <c r="I396" s="25" t="s">
        <v>8864</v>
      </c>
      <c r="J396" s="25"/>
      <c r="K396" s="25" t="s">
        <v>6281</v>
      </c>
      <c r="L396" s="26" t="s">
        <v>8865</v>
      </c>
      <c r="M396" s="26" t="s">
        <v>8866</v>
      </c>
      <c r="N396" s="27" t="s">
        <v>8867</v>
      </c>
      <c r="O396" s="26" t="s">
        <v>6295</v>
      </c>
      <c r="P396" s="20" t="b">
        <v>1</v>
      </c>
      <c r="Q396" s="20" t="s">
        <v>6282</v>
      </c>
      <c r="R396" s="28" t="s">
        <v>6283</v>
      </c>
      <c r="S396" s="25"/>
      <c r="T396" s="20" t="b">
        <v>1</v>
      </c>
      <c r="U396" s="25"/>
      <c r="V396" s="25">
        <v>436.61</v>
      </c>
      <c r="W396" s="28" t="s">
        <v>8868</v>
      </c>
      <c r="X396" s="28" t="s">
        <v>6285</v>
      </c>
      <c r="Y396" s="28" t="s">
        <v>6286</v>
      </c>
      <c r="Z396" s="28" t="s">
        <v>6287</v>
      </c>
      <c r="AA396" s="28" t="s">
        <v>6288</v>
      </c>
      <c r="AB396" s="28" t="s">
        <v>6297</v>
      </c>
    </row>
    <row r="397" spans="1:28" ht="185.4" x14ac:dyDescent="0.3">
      <c r="A397" s="25">
        <v>7130</v>
      </c>
      <c r="B397" s="25" t="s">
        <v>8869</v>
      </c>
      <c r="C397" s="25" t="s">
        <v>8870</v>
      </c>
      <c r="D397" s="25" t="s">
        <v>6291</v>
      </c>
      <c r="E397" s="16" t="s">
        <v>6292</v>
      </c>
      <c r="F397" s="16" t="s">
        <v>6292</v>
      </c>
      <c r="G397" s="16" t="s">
        <v>6292</v>
      </c>
      <c r="H397" s="16" t="s">
        <v>6292</v>
      </c>
      <c r="I397" s="25" t="s">
        <v>8871</v>
      </c>
      <c r="J397" s="25"/>
      <c r="K397" s="25" t="s">
        <v>6281</v>
      </c>
      <c r="L397" s="26" t="s">
        <v>8872</v>
      </c>
      <c r="M397" s="26" t="s">
        <v>6295</v>
      </c>
      <c r="N397" s="27" t="s">
        <v>8873</v>
      </c>
      <c r="O397" s="26" t="s">
        <v>6295</v>
      </c>
      <c r="P397" s="20" t="b">
        <v>1</v>
      </c>
      <c r="Q397" s="20" t="s">
        <v>6282</v>
      </c>
      <c r="R397" s="28" t="s">
        <v>6283</v>
      </c>
      <c r="S397" s="25"/>
      <c r="T397" s="20" t="b">
        <v>1</v>
      </c>
      <c r="U397" s="25"/>
      <c r="V397" s="25">
        <v>12.79</v>
      </c>
      <c r="W397" s="28" t="s">
        <v>8874</v>
      </c>
      <c r="X397" s="28" t="s">
        <v>6285</v>
      </c>
      <c r="Y397" s="28" t="s">
        <v>6286</v>
      </c>
      <c r="Z397" s="28" t="s">
        <v>6287</v>
      </c>
      <c r="AA397" s="28" t="s">
        <v>6288</v>
      </c>
      <c r="AB397" s="28" t="s">
        <v>6297</v>
      </c>
    </row>
    <row r="398" spans="1:28" ht="185.4" x14ac:dyDescent="0.3">
      <c r="A398" s="25">
        <v>7135</v>
      </c>
      <c r="B398" s="25" t="s">
        <v>8875</v>
      </c>
      <c r="C398" s="25" t="s">
        <v>8876</v>
      </c>
      <c r="D398" s="25" t="s">
        <v>6291</v>
      </c>
      <c r="E398" s="16" t="s">
        <v>6292</v>
      </c>
      <c r="F398" s="16" t="s">
        <v>6292</v>
      </c>
      <c r="G398" s="16" t="s">
        <v>6292</v>
      </c>
      <c r="H398" s="16" t="s">
        <v>6292</v>
      </c>
      <c r="I398" s="25" t="s">
        <v>8877</v>
      </c>
      <c r="J398" s="25"/>
      <c r="K398" s="25" t="s">
        <v>6281</v>
      </c>
      <c r="L398" s="26" t="s">
        <v>8878</v>
      </c>
      <c r="M398" s="26" t="s">
        <v>6295</v>
      </c>
      <c r="N398" s="27" t="s">
        <v>8879</v>
      </c>
      <c r="O398" s="26" t="s">
        <v>6295</v>
      </c>
      <c r="P398" s="20" t="b">
        <v>1</v>
      </c>
      <c r="Q398" s="20" t="s">
        <v>6282</v>
      </c>
      <c r="R398" s="28" t="s">
        <v>6283</v>
      </c>
      <c r="S398" s="25"/>
      <c r="T398" s="20" t="b">
        <v>1</v>
      </c>
      <c r="U398" s="25"/>
      <c r="V398" s="25">
        <v>5.14</v>
      </c>
      <c r="W398" s="28" t="s">
        <v>8880</v>
      </c>
      <c r="X398" s="28" t="s">
        <v>6285</v>
      </c>
      <c r="Y398" s="28" t="s">
        <v>6286</v>
      </c>
      <c r="Z398" s="28" t="s">
        <v>6287</v>
      </c>
      <c r="AA398" s="28" t="s">
        <v>6288</v>
      </c>
      <c r="AB398" s="28" t="s">
        <v>6297</v>
      </c>
    </row>
    <row r="399" spans="1:28" ht="185.4" x14ac:dyDescent="0.3">
      <c r="A399" s="25">
        <v>7145</v>
      </c>
      <c r="B399" s="25" t="s">
        <v>8881</v>
      </c>
      <c r="C399" s="25" t="s">
        <v>8882</v>
      </c>
      <c r="D399" s="25" t="s">
        <v>6291</v>
      </c>
      <c r="E399" s="16" t="s">
        <v>6786</v>
      </c>
      <c r="F399" s="16" t="s">
        <v>6786</v>
      </c>
      <c r="G399" s="16" t="s">
        <v>6786</v>
      </c>
      <c r="H399" s="16" t="s">
        <v>6786</v>
      </c>
      <c r="I399" s="25" t="s">
        <v>8883</v>
      </c>
      <c r="J399" s="25"/>
      <c r="K399" s="25" t="s">
        <v>6281</v>
      </c>
      <c r="L399" s="26" t="s">
        <v>8884</v>
      </c>
      <c r="M399" s="26" t="s">
        <v>8885</v>
      </c>
      <c r="N399" s="27" t="s">
        <v>8886</v>
      </c>
      <c r="O399" s="26" t="s">
        <v>6295</v>
      </c>
      <c r="P399" s="20" t="b">
        <v>1</v>
      </c>
      <c r="Q399" s="20" t="s">
        <v>6282</v>
      </c>
      <c r="R399" s="28" t="s">
        <v>6283</v>
      </c>
      <c r="S399" s="25"/>
      <c r="T399" s="20" t="b">
        <v>1</v>
      </c>
      <c r="U399" s="25"/>
      <c r="V399" s="25">
        <v>0.628</v>
      </c>
      <c r="W399" s="28" t="s">
        <v>8887</v>
      </c>
      <c r="X399" s="28" t="s">
        <v>6285</v>
      </c>
      <c r="Y399" s="28" t="s">
        <v>6286</v>
      </c>
      <c r="Z399" s="28" t="s">
        <v>6287</v>
      </c>
      <c r="AA399" s="28" t="s">
        <v>6288</v>
      </c>
      <c r="AB399" s="28" t="s">
        <v>6297</v>
      </c>
    </row>
    <row r="400" spans="1:28" ht="185.4" x14ac:dyDescent="0.3">
      <c r="A400" s="25">
        <v>7158</v>
      </c>
      <c r="B400" s="25" t="s">
        <v>8888</v>
      </c>
      <c r="C400" s="25" t="s">
        <v>8889</v>
      </c>
      <c r="D400" s="25" t="s">
        <v>6291</v>
      </c>
      <c r="E400" s="16" t="s">
        <v>6786</v>
      </c>
      <c r="F400" s="16" t="s">
        <v>6786</v>
      </c>
      <c r="G400" s="16" t="s">
        <v>6786</v>
      </c>
      <c r="H400" s="16" t="s">
        <v>6786</v>
      </c>
      <c r="I400" s="25" t="s">
        <v>8890</v>
      </c>
      <c r="J400" s="25"/>
      <c r="K400" s="25" t="s">
        <v>6281</v>
      </c>
      <c r="L400" s="26" t="s">
        <v>8891</v>
      </c>
      <c r="M400" s="26" t="s">
        <v>8892</v>
      </c>
      <c r="N400" s="27" t="s">
        <v>8893</v>
      </c>
      <c r="O400" s="26" t="s">
        <v>8894</v>
      </c>
      <c r="P400" s="20" t="b">
        <v>1</v>
      </c>
      <c r="Q400" s="20" t="s">
        <v>6282</v>
      </c>
      <c r="R400" s="28" t="s">
        <v>6283</v>
      </c>
      <c r="S400" s="25"/>
      <c r="T400" s="20" t="b">
        <v>1</v>
      </c>
      <c r="U400" s="25"/>
      <c r="V400" s="25">
        <v>0.31469999999999998</v>
      </c>
      <c r="W400" s="28" t="s">
        <v>8895</v>
      </c>
      <c r="X400" s="28" t="s">
        <v>6285</v>
      </c>
      <c r="Y400" s="28" t="s">
        <v>6286</v>
      </c>
      <c r="Z400" s="28" t="s">
        <v>6287</v>
      </c>
      <c r="AA400" s="28" t="s">
        <v>6288</v>
      </c>
      <c r="AB400" s="28" t="s">
        <v>6297</v>
      </c>
    </row>
    <row r="401" spans="1:28" ht="185.4" x14ac:dyDescent="0.3">
      <c r="A401" s="25">
        <v>7166</v>
      </c>
      <c r="B401" s="25" t="s">
        <v>8896</v>
      </c>
      <c r="C401" s="25" t="s">
        <v>8897</v>
      </c>
      <c r="D401" s="25" t="s">
        <v>6278</v>
      </c>
      <c r="E401" s="16" t="s">
        <v>6279</v>
      </c>
      <c r="F401" s="16" t="s">
        <v>6279</v>
      </c>
      <c r="G401" s="16" t="s">
        <v>6279</v>
      </c>
      <c r="H401" s="16" t="s">
        <v>6279</v>
      </c>
      <c r="I401" s="25" t="s">
        <v>8898</v>
      </c>
      <c r="J401" s="25"/>
      <c r="K401" s="25" t="s">
        <v>6281</v>
      </c>
      <c r="L401" s="26" t="s">
        <v>8899</v>
      </c>
      <c r="M401" s="26" t="s">
        <v>8900</v>
      </c>
      <c r="N401" s="27" t="s">
        <v>8901</v>
      </c>
      <c r="O401" s="26" t="s">
        <v>6295</v>
      </c>
      <c r="P401" s="20" t="b">
        <v>1</v>
      </c>
      <c r="Q401" s="20" t="s">
        <v>6282</v>
      </c>
      <c r="R401" s="28" t="s">
        <v>6283</v>
      </c>
      <c r="S401" s="25"/>
      <c r="T401" s="20" t="b">
        <v>1</v>
      </c>
      <c r="U401" s="25"/>
      <c r="V401" s="25">
        <v>81.08</v>
      </c>
      <c r="W401" s="28" t="s">
        <v>8902</v>
      </c>
      <c r="X401" s="28" t="s">
        <v>6285</v>
      </c>
      <c r="Y401" s="28" t="s">
        <v>6286</v>
      </c>
      <c r="Z401" s="28" t="s">
        <v>6287</v>
      </c>
      <c r="AA401" s="28" t="s">
        <v>6288</v>
      </c>
      <c r="AB401" s="28" t="s">
        <v>6297</v>
      </c>
    </row>
    <row r="402" spans="1:28" ht="185.4" x14ac:dyDescent="0.3">
      <c r="A402" s="25">
        <v>7170</v>
      </c>
      <c r="B402" s="25" t="s">
        <v>8903</v>
      </c>
      <c r="C402" s="25" t="s">
        <v>8904</v>
      </c>
      <c r="D402" s="25" t="s">
        <v>6291</v>
      </c>
      <c r="E402" s="16" t="s">
        <v>6292</v>
      </c>
      <c r="F402" s="16" t="s">
        <v>6292</v>
      </c>
      <c r="G402" s="16" t="s">
        <v>6292</v>
      </c>
      <c r="H402" s="16" t="s">
        <v>6292</v>
      </c>
      <c r="I402" s="25" t="s">
        <v>8905</v>
      </c>
      <c r="J402" s="25"/>
      <c r="K402" s="25" t="s">
        <v>6281</v>
      </c>
      <c r="L402" s="26" t="s">
        <v>8906</v>
      </c>
      <c r="M402" s="26" t="s">
        <v>8907</v>
      </c>
      <c r="N402" s="27" t="s">
        <v>8908</v>
      </c>
      <c r="O402" s="26" t="s">
        <v>8909</v>
      </c>
      <c r="P402" s="20" t="b">
        <v>1</v>
      </c>
      <c r="Q402" s="20" t="s">
        <v>6282</v>
      </c>
      <c r="R402" s="28" t="s">
        <v>6283</v>
      </c>
      <c r="S402" s="25"/>
      <c r="T402" s="20" t="b">
        <v>1</v>
      </c>
      <c r="U402" s="25"/>
      <c r="V402" s="25">
        <v>21.41</v>
      </c>
      <c r="W402" s="28" t="s">
        <v>8910</v>
      </c>
      <c r="X402" s="28" t="s">
        <v>6285</v>
      </c>
      <c r="Y402" s="28" t="s">
        <v>6286</v>
      </c>
      <c r="Z402" s="28" t="s">
        <v>6287</v>
      </c>
      <c r="AA402" s="28" t="s">
        <v>6288</v>
      </c>
      <c r="AB402" s="28" t="s">
        <v>6297</v>
      </c>
    </row>
    <row r="403" spans="1:28" ht="185.4" x14ac:dyDescent="0.3">
      <c r="A403" s="25">
        <v>7174</v>
      </c>
      <c r="B403" s="25" t="s">
        <v>8911</v>
      </c>
      <c r="C403" s="25" t="s">
        <v>8912</v>
      </c>
      <c r="D403" s="25" t="s">
        <v>6291</v>
      </c>
      <c r="E403" s="16" t="s">
        <v>6292</v>
      </c>
      <c r="F403" s="16" t="s">
        <v>6292</v>
      </c>
      <c r="G403" s="16" t="s">
        <v>6292</v>
      </c>
      <c r="H403" s="16" t="s">
        <v>6292</v>
      </c>
      <c r="I403" s="25" t="s">
        <v>8913</v>
      </c>
      <c r="J403" s="25"/>
      <c r="K403" s="25" t="s">
        <v>6281</v>
      </c>
      <c r="L403" s="26" t="s">
        <v>8914</v>
      </c>
      <c r="M403" s="26" t="s">
        <v>6295</v>
      </c>
      <c r="N403" s="27" t="s">
        <v>8915</v>
      </c>
      <c r="O403" s="26" t="s">
        <v>8916</v>
      </c>
      <c r="P403" s="20" t="b">
        <v>1</v>
      </c>
      <c r="Q403" s="20" t="s">
        <v>6282</v>
      </c>
      <c r="R403" s="28" t="s">
        <v>6283</v>
      </c>
      <c r="S403" s="25"/>
      <c r="T403" s="20" t="b">
        <v>1</v>
      </c>
      <c r="U403" s="25"/>
      <c r="V403" s="25">
        <v>177.46</v>
      </c>
      <c r="W403" s="28" t="s">
        <v>8917</v>
      </c>
      <c r="X403" s="28" t="s">
        <v>6285</v>
      </c>
      <c r="Y403" s="28" t="s">
        <v>6286</v>
      </c>
      <c r="Z403" s="28" t="s">
        <v>6287</v>
      </c>
      <c r="AA403" s="28" t="s">
        <v>6288</v>
      </c>
      <c r="AB403" s="28" t="s">
        <v>6297</v>
      </c>
    </row>
    <row r="404" spans="1:28" ht="211.8" x14ac:dyDescent="0.3">
      <c r="A404" s="25">
        <v>7180</v>
      </c>
      <c r="B404" s="25" t="s">
        <v>8918</v>
      </c>
      <c r="C404" s="25" t="s">
        <v>8919</v>
      </c>
      <c r="D404" s="25" t="s">
        <v>6278</v>
      </c>
      <c r="E404" s="16" t="s">
        <v>6279</v>
      </c>
      <c r="F404" s="16" t="s">
        <v>6279</v>
      </c>
      <c r="G404" s="16" t="s">
        <v>6279</v>
      </c>
      <c r="H404" s="16" t="s">
        <v>6279</v>
      </c>
      <c r="I404" s="25" t="s">
        <v>8920</v>
      </c>
      <c r="J404" s="25"/>
      <c r="K404" s="25" t="s">
        <v>6281</v>
      </c>
      <c r="L404" s="26" t="s">
        <v>8921</v>
      </c>
      <c r="M404" s="26" t="s">
        <v>8922</v>
      </c>
      <c r="N404" s="27" t="s">
        <v>8923</v>
      </c>
      <c r="O404" s="26" t="s">
        <v>8924</v>
      </c>
      <c r="P404" s="20" t="b">
        <v>1</v>
      </c>
      <c r="Q404" s="20" t="s">
        <v>6282</v>
      </c>
      <c r="R404" s="28" t="s">
        <v>6283</v>
      </c>
      <c r="S404" s="25"/>
      <c r="T404" s="20" t="b">
        <v>1</v>
      </c>
      <c r="U404" s="25"/>
      <c r="V404" s="25">
        <v>2.73</v>
      </c>
      <c r="W404" s="28" t="s">
        <v>8925</v>
      </c>
      <c r="X404" s="28" t="s">
        <v>6285</v>
      </c>
      <c r="Y404" s="28" t="s">
        <v>6286</v>
      </c>
      <c r="Z404" s="28" t="s">
        <v>6287</v>
      </c>
      <c r="AA404" s="28" t="s">
        <v>6288</v>
      </c>
      <c r="AB404" s="28" t="s">
        <v>6297</v>
      </c>
    </row>
    <row r="405" spans="1:28" ht="185.4" x14ac:dyDescent="0.3">
      <c r="A405" s="25">
        <v>7183</v>
      </c>
      <c r="B405" s="25" t="s">
        <v>8926</v>
      </c>
      <c r="C405" s="25" t="s">
        <v>8927</v>
      </c>
      <c r="D405" s="25" t="s">
        <v>6291</v>
      </c>
      <c r="E405" s="16" t="s">
        <v>6292</v>
      </c>
      <c r="F405" s="16" t="s">
        <v>6292</v>
      </c>
      <c r="G405" s="16" t="s">
        <v>6292</v>
      </c>
      <c r="H405" s="16" t="s">
        <v>6292</v>
      </c>
      <c r="I405" s="25" t="s">
        <v>8928</v>
      </c>
      <c r="J405" s="25"/>
      <c r="K405" s="25" t="s">
        <v>6281</v>
      </c>
      <c r="L405" s="26" t="s">
        <v>8929</v>
      </c>
      <c r="M405" s="26" t="s">
        <v>8930</v>
      </c>
      <c r="N405" s="27" t="s">
        <v>8931</v>
      </c>
      <c r="O405" s="26" t="s">
        <v>6295</v>
      </c>
      <c r="P405" s="20" t="b">
        <v>1</v>
      </c>
      <c r="Q405" s="20" t="s">
        <v>6282</v>
      </c>
      <c r="R405" s="28" t="s">
        <v>6283</v>
      </c>
      <c r="S405" s="25"/>
      <c r="T405" s="20" t="b">
        <v>1</v>
      </c>
      <c r="U405" s="25"/>
      <c r="V405" s="25">
        <v>296.65649999999999</v>
      </c>
      <c r="W405" s="28" t="s">
        <v>8932</v>
      </c>
      <c r="X405" s="28" t="s">
        <v>6285</v>
      </c>
      <c r="Y405" s="28" t="s">
        <v>6286</v>
      </c>
      <c r="Z405" s="28" t="s">
        <v>6287</v>
      </c>
      <c r="AA405" s="28" t="s">
        <v>6288</v>
      </c>
      <c r="AB405" s="28" t="s">
        <v>6297</v>
      </c>
    </row>
    <row r="406" spans="1:28" ht="185.4" x14ac:dyDescent="0.3">
      <c r="A406" s="25">
        <v>7191</v>
      </c>
      <c r="B406" s="25" t="s">
        <v>8933</v>
      </c>
      <c r="C406" s="25" t="s">
        <v>6306</v>
      </c>
      <c r="D406" s="25" t="s">
        <v>6278</v>
      </c>
      <c r="E406" s="16" t="s">
        <v>6279</v>
      </c>
      <c r="F406" s="16" t="s">
        <v>6279</v>
      </c>
      <c r="G406" s="16" t="s">
        <v>6279</v>
      </c>
      <c r="H406" s="16" t="s">
        <v>6279</v>
      </c>
      <c r="I406" s="25" t="s">
        <v>8934</v>
      </c>
      <c r="J406" s="25"/>
      <c r="K406" s="25" t="s">
        <v>6281</v>
      </c>
      <c r="L406" s="26" t="s">
        <v>8935</v>
      </c>
      <c r="M406" s="26" t="s">
        <v>8936</v>
      </c>
      <c r="N406" s="27" t="s">
        <v>8937</v>
      </c>
      <c r="O406" s="26" t="s">
        <v>6295</v>
      </c>
      <c r="P406" s="20" t="b">
        <v>1</v>
      </c>
      <c r="Q406" s="20" t="s">
        <v>6282</v>
      </c>
      <c r="R406" s="28" t="s">
        <v>6283</v>
      </c>
      <c r="S406" s="25"/>
      <c r="T406" s="20" t="b">
        <v>1</v>
      </c>
      <c r="U406" s="25"/>
      <c r="V406" s="25">
        <v>45.76</v>
      </c>
      <c r="W406" s="28" t="s">
        <v>8938</v>
      </c>
      <c r="X406" s="28" t="s">
        <v>6285</v>
      </c>
      <c r="Y406" s="28" t="s">
        <v>6286</v>
      </c>
      <c r="Z406" s="28" t="s">
        <v>6287</v>
      </c>
      <c r="AA406" s="28" t="s">
        <v>6288</v>
      </c>
      <c r="AB406" s="28" t="s">
        <v>6297</v>
      </c>
    </row>
    <row r="407" spans="1:28" ht="185.4" x14ac:dyDescent="0.3">
      <c r="A407" s="25">
        <v>7194</v>
      </c>
      <c r="B407" s="25" t="s">
        <v>8939</v>
      </c>
      <c r="C407" s="25" t="s">
        <v>8940</v>
      </c>
      <c r="D407" s="25" t="s">
        <v>6278</v>
      </c>
      <c r="E407" s="16" t="s">
        <v>6279</v>
      </c>
      <c r="F407" s="16" t="s">
        <v>6279</v>
      </c>
      <c r="G407" s="16" t="s">
        <v>6279</v>
      </c>
      <c r="H407" s="16" t="s">
        <v>6279</v>
      </c>
      <c r="I407" s="25" t="s">
        <v>8941</v>
      </c>
      <c r="J407" s="25"/>
      <c r="K407" s="25" t="s">
        <v>6281</v>
      </c>
      <c r="L407" s="26" t="s">
        <v>8942</v>
      </c>
      <c r="M407" s="26" t="s">
        <v>8943</v>
      </c>
      <c r="N407" s="27" t="s">
        <v>8944</v>
      </c>
      <c r="O407" s="26" t="s">
        <v>6295</v>
      </c>
      <c r="P407" s="20" t="b">
        <v>1</v>
      </c>
      <c r="Q407" s="20" t="s">
        <v>6282</v>
      </c>
      <c r="R407" s="28" t="s">
        <v>6283</v>
      </c>
      <c r="S407" s="25"/>
      <c r="T407" s="20" t="b">
        <v>1</v>
      </c>
      <c r="U407" s="25"/>
      <c r="V407" s="25">
        <v>242.88</v>
      </c>
      <c r="W407" s="28" t="s">
        <v>8945</v>
      </c>
      <c r="X407" s="28" t="s">
        <v>6285</v>
      </c>
      <c r="Y407" s="28" t="s">
        <v>6286</v>
      </c>
      <c r="Z407" s="28" t="s">
        <v>6287</v>
      </c>
      <c r="AA407" s="28" t="s">
        <v>6288</v>
      </c>
      <c r="AB407" s="28" t="s">
        <v>6297</v>
      </c>
    </row>
    <row r="408" spans="1:28" ht="185.4" x14ac:dyDescent="0.3">
      <c r="A408" s="25">
        <v>7195</v>
      </c>
      <c r="B408" s="25" t="s">
        <v>8946</v>
      </c>
      <c r="C408" s="25" t="s">
        <v>8947</v>
      </c>
      <c r="D408" s="25" t="s">
        <v>6278</v>
      </c>
      <c r="E408" s="16" t="s">
        <v>6279</v>
      </c>
      <c r="F408" s="16" t="s">
        <v>6279</v>
      </c>
      <c r="G408" s="16" t="s">
        <v>6279</v>
      </c>
      <c r="H408" s="16" t="s">
        <v>6279</v>
      </c>
      <c r="I408" s="25" t="s">
        <v>8948</v>
      </c>
      <c r="J408" s="25"/>
      <c r="K408" s="25" t="s">
        <v>6281</v>
      </c>
      <c r="L408" s="26" t="s">
        <v>8949</v>
      </c>
      <c r="M408" s="26" t="s">
        <v>6295</v>
      </c>
      <c r="N408" s="27" t="s">
        <v>8950</v>
      </c>
      <c r="O408" s="26" t="s">
        <v>6295</v>
      </c>
      <c r="P408" s="20" t="b">
        <v>1</v>
      </c>
      <c r="Q408" s="20" t="s">
        <v>6282</v>
      </c>
      <c r="R408" s="28" t="s">
        <v>6283</v>
      </c>
      <c r="S408" s="25"/>
      <c r="T408" s="20" t="b">
        <v>1</v>
      </c>
      <c r="U408" s="25"/>
      <c r="V408" s="25">
        <v>235.54</v>
      </c>
      <c r="W408" s="28" t="s">
        <v>8951</v>
      </c>
      <c r="X408" s="28" t="s">
        <v>6285</v>
      </c>
      <c r="Y408" s="28" t="s">
        <v>6286</v>
      </c>
      <c r="Z408" s="28" t="s">
        <v>6287</v>
      </c>
      <c r="AA408" s="28" t="s">
        <v>6288</v>
      </c>
      <c r="AB408" s="28" t="s">
        <v>6297</v>
      </c>
    </row>
    <row r="409" spans="1:28" ht="185.4" x14ac:dyDescent="0.3">
      <c r="A409" s="25">
        <v>7196</v>
      </c>
      <c r="B409" s="25" t="s">
        <v>8952</v>
      </c>
      <c r="C409" s="25" t="s">
        <v>8953</v>
      </c>
      <c r="D409" s="25" t="s">
        <v>6278</v>
      </c>
      <c r="E409" s="16" t="s">
        <v>6279</v>
      </c>
      <c r="F409" s="16" t="s">
        <v>6279</v>
      </c>
      <c r="G409" s="16" t="s">
        <v>6279</v>
      </c>
      <c r="H409" s="16" t="s">
        <v>6279</v>
      </c>
      <c r="I409" s="25" t="s">
        <v>8954</v>
      </c>
      <c r="J409" s="25"/>
      <c r="K409" s="25" t="s">
        <v>6281</v>
      </c>
      <c r="L409" s="26" t="s">
        <v>8955</v>
      </c>
      <c r="M409" s="26" t="s">
        <v>8956</v>
      </c>
      <c r="N409" s="27" t="s">
        <v>8957</v>
      </c>
      <c r="O409" s="26" t="s">
        <v>6295</v>
      </c>
      <c r="P409" s="20" t="b">
        <v>1</v>
      </c>
      <c r="Q409" s="20" t="s">
        <v>6282</v>
      </c>
      <c r="R409" s="28" t="s">
        <v>6283</v>
      </c>
      <c r="S409" s="25"/>
      <c r="T409" s="20" t="b">
        <v>1</v>
      </c>
      <c r="U409" s="25"/>
      <c r="V409" s="25">
        <v>64.06</v>
      </c>
      <c r="W409" s="28" t="s">
        <v>8958</v>
      </c>
      <c r="X409" s="28" t="s">
        <v>6285</v>
      </c>
      <c r="Y409" s="28" t="s">
        <v>6286</v>
      </c>
      <c r="Z409" s="28" t="s">
        <v>6287</v>
      </c>
      <c r="AA409" s="28" t="s">
        <v>6288</v>
      </c>
      <c r="AB409" s="28" t="s">
        <v>6297</v>
      </c>
    </row>
    <row r="410" spans="1:28" ht="185.4" x14ac:dyDescent="0.3">
      <c r="A410" s="25">
        <v>7199</v>
      </c>
      <c r="B410" s="25" t="s">
        <v>8959</v>
      </c>
      <c r="C410" s="25" t="s">
        <v>8960</v>
      </c>
      <c r="D410" s="25" t="s">
        <v>6291</v>
      </c>
      <c r="E410" s="16" t="s">
        <v>6292</v>
      </c>
      <c r="F410" s="16" t="s">
        <v>6292</v>
      </c>
      <c r="G410" s="16" t="s">
        <v>6292</v>
      </c>
      <c r="H410" s="16" t="s">
        <v>6292</v>
      </c>
      <c r="I410" s="25" t="s">
        <v>8961</v>
      </c>
      <c r="J410" s="25"/>
      <c r="K410" s="25" t="s">
        <v>6281</v>
      </c>
      <c r="L410" s="26" t="s">
        <v>8962</v>
      </c>
      <c r="M410" s="26" t="s">
        <v>8080</v>
      </c>
      <c r="N410" s="27" t="s">
        <v>8963</v>
      </c>
      <c r="O410" s="26" t="s">
        <v>6295</v>
      </c>
      <c r="P410" s="20" t="b">
        <v>1</v>
      </c>
      <c r="Q410" s="20" t="s">
        <v>6282</v>
      </c>
      <c r="R410" s="28" t="s">
        <v>6283</v>
      </c>
      <c r="S410" s="25"/>
      <c r="T410" s="20" t="b">
        <v>1</v>
      </c>
      <c r="U410" s="25"/>
      <c r="V410" s="25">
        <v>275.05799999999999</v>
      </c>
      <c r="W410" s="28" t="s">
        <v>8964</v>
      </c>
      <c r="X410" s="28" t="s">
        <v>6285</v>
      </c>
      <c r="Y410" s="28" t="s">
        <v>6286</v>
      </c>
      <c r="Z410" s="28" t="s">
        <v>6287</v>
      </c>
      <c r="AA410" s="28" t="s">
        <v>6288</v>
      </c>
      <c r="AB410" s="28" t="s">
        <v>6297</v>
      </c>
    </row>
    <row r="411" spans="1:28" ht="185.4" x14ac:dyDescent="0.3">
      <c r="A411" s="25">
        <v>7211</v>
      </c>
      <c r="B411" s="25" t="s">
        <v>8965</v>
      </c>
      <c r="C411" s="25" t="s">
        <v>8966</v>
      </c>
      <c r="D411" s="25" t="s">
        <v>6278</v>
      </c>
      <c r="E411" s="16" t="s">
        <v>6279</v>
      </c>
      <c r="F411" s="16" t="s">
        <v>6279</v>
      </c>
      <c r="G411" s="16" t="s">
        <v>6279</v>
      </c>
      <c r="H411" s="16" t="s">
        <v>6279</v>
      </c>
      <c r="I411" s="25" t="s">
        <v>8967</v>
      </c>
      <c r="J411" s="25"/>
      <c r="K411" s="25" t="s">
        <v>6281</v>
      </c>
      <c r="L411" s="26" t="s">
        <v>8968</v>
      </c>
      <c r="M411" s="26" t="s">
        <v>8969</v>
      </c>
      <c r="N411" s="27" t="s">
        <v>8970</v>
      </c>
      <c r="O411" s="26" t="s">
        <v>8971</v>
      </c>
      <c r="P411" s="20" t="b">
        <v>1</v>
      </c>
      <c r="Q411" s="20" t="s">
        <v>6282</v>
      </c>
      <c r="R411" s="28" t="s">
        <v>6283</v>
      </c>
      <c r="S411" s="25"/>
      <c r="T411" s="20" t="b">
        <v>1</v>
      </c>
      <c r="U411" s="25"/>
      <c r="V411" s="25">
        <v>3354.76</v>
      </c>
      <c r="W411" s="28" t="s">
        <v>8972</v>
      </c>
      <c r="X411" s="28" t="s">
        <v>6285</v>
      </c>
      <c r="Y411" s="28" t="s">
        <v>6286</v>
      </c>
      <c r="Z411" s="28" t="s">
        <v>6287</v>
      </c>
      <c r="AA411" s="28" t="s">
        <v>6288</v>
      </c>
      <c r="AB411" s="28" t="s">
        <v>6297</v>
      </c>
    </row>
    <row r="412" spans="1:28" ht="185.4" x14ac:dyDescent="0.3">
      <c r="A412" s="25">
        <v>7223</v>
      </c>
      <c r="B412" s="25" t="s">
        <v>8973</v>
      </c>
      <c r="C412" s="25" t="s">
        <v>8974</v>
      </c>
      <c r="D412" s="25" t="s">
        <v>6291</v>
      </c>
      <c r="E412" s="16" t="s">
        <v>6292</v>
      </c>
      <c r="F412" s="16" t="s">
        <v>6292</v>
      </c>
      <c r="G412" s="16" t="s">
        <v>6292</v>
      </c>
      <c r="H412" s="16" t="s">
        <v>6292</v>
      </c>
      <c r="I412" s="25" t="s">
        <v>8975</v>
      </c>
      <c r="J412" s="25"/>
      <c r="K412" s="25" t="s">
        <v>6281</v>
      </c>
      <c r="L412" s="26" t="s">
        <v>8976</v>
      </c>
      <c r="M412" s="26" t="s">
        <v>8977</v>
      </c>
      <c r="N412" s="27" t="s">
        <v>8978</v>
      </c>
      <c r="O412" s="26" t="s">
        <v>6295</v>
      </c>
      <c r="P412" s="20" t="b">
        <v>1</v>
      </c>
      <c r="Q412" s="20" t="s">
        <v>6282</v>
      </c>
      <c r="R412" s="28" t="s">
        <v>6283</v>
      </c>
      <c r="S412" s="25"/>
      <c r="T412" s="20" t="b">
        <v>1</v>
      </c>
      <c r="U412" s="25"/>
      <c r="V412" s="25">
        <v>44.74</v>
      </c>
      <c r="W412" s="28" t="s">
        <v>8979</v>
      </c>
      <c r="X412" s="28" t="s">
        <v>6285</v>
      </c>
      <c r="Y412" s="28" t="s">
        <v>6286</v>
      </c>
      <c r="Z412" s="28" t="s">
        <v>6287</v>
      </c>
      <c r="AA412" s="28" t="s">
        <v>6288</v>
      </c>
      <c r="AB412" s="28" t="s">
        <v>6297</v>
      </c>
    </row>
    <row r="413" spans="1:28" ht="185.4" x14ac:dyDescent="0.3">
      <c r="A413" s="25">
        <v>7233</v>
      </c>
      <c r="B413" s="25" t="s">
        <v>8980</v>
      </c>
      <c r="C413" s="25" t="s">
        <v>8981</v>
      </c>
      <c r="D413" s="25" t="s">
        <v>6291</v>
      </c>
      <c r="E413" s="16" t="s">
        <v>6786</v>
      </c>
      <c r="F413" s="16" t="s">
        <v>6786</v>
      </c>
      <c r="G413" s="16" t="s">
        <v>6786</v>
      </c>
      <c r="H413" s="16" t="s">
        <v>6786</v>
      </c>
      <c r="I413" s="25" t="s">
        <v>8982</v>
      </c>
      <c r="J413" s="25"/>
      <c r="K413" s="25" t="s">
        <v>6281</v>
      </c>
      <c r="L413" s="26" t="s">
        <v>8983</v>
      </c>
      <c r="M413" s="26" t="s">
        <v>8984</v>
      </c>
      <c r="N413" s="27" t="s">
        <v>8985</v>
      </c>
      <c r="O413" s="26" t="s">
        <v>8986</v>
      </c>
      <c r="P413" s="20" t="b">
        <v>1</v>
      </c>
      <c r="Q413" s="20" t="s">
        <v>6282</v>
      </c>
      <c r="R413" s="28" t="s">
        <v>6283</v>
      </c>
      <c r="S413" s="25"/>
      <c r="T413" s="20" t="b">
        <v>1</v>
      </c>
      <c r="U413" s="25"/>
      <c r="V413" s="25">
        <v>20.452000000000002</v>
      </c>
      <c r="W413" s="28" t="s">
        <v>8987</v>
      </c>
      <c r="X413" s="28" t="s">
        <v>6285</v>
      </c>
      <c r="Y413" s="28" t="s">
        <v>6286</v>
      </c>
      <c r="Z413" s="28" t="s">
        <v>6287</v>
      </c>
      <c r="AA413" s="28" t="s">
        <v>6288</v>
      </c>
      <c r="AB413" s="28" t="s">
        <v>6297</v>
      </c>
    </row>
    <row r="414" spans="1:28" ht="185.4" x14ac:dyDescent="0.3">
      <c r="A414" s="25">
        <v>7262</v>
      </c>
      <c r="B414" s="25" t="s">
        <v>8988</v>
      </c>
      <c r="C414" s="25" t="s">
        <v>8989</v>
      </c>
      <c r="D414" s="25" t="s">
        <v>6291</v>
      </c>
      <c r="E414" s="16" t="s">
        <v>6786</v>
      </c>
      <c r="F414" s="16" t="s">
        <v>6786</v>
      </c>
      <c r="G414" s="16" t="s">
        <v>6786</v>
      </c>
      <c r="H414" s="16" t="s">
        <v>6786</v>
      </c>
      <c r="I414" s="25" t="s">
        <v>8990</v>
      </c>
      <c r="J414" s="25"/>
      <c r="K414" s="25" t="s">
        <v>6281</v>
      </c>
      <c r="L414" s="26" t="s">
        <v>8991</v>
      </c>
      <c r="M414" s="26" t="s">
        <v>6295</v>
      </c>
      <c r="N414" s="27" t="s">
        <v>8992</v>
      </c>
      <c r="O414" s="26" t="s">
        <v>8993</v>
      </c>
      <c r="P414" s="20" t="b">
        <v>1</v>
      </c>
      <c r="Q414" s="20" t="s">
        <v>6282</v>
      </c>
      <c r="R414" s="28" t="s">
        <v>6283</v>
      </c>
      <c r="S414" s="25"/>
      <c r="T414" s="20" t="b">
        <v>1</v>
      </c>
      <c r="U414" s="25"/>
      <c r="V414" s="25">
        <v>8.2279999999999998</v>
      </c>
      <c r="W414" s="28" t="s">
        <v>8994</v>
      </c>
      <c r="X414" s="28" t="s">
        <v>6285</v>
      </c>
      <c r="Y414" s="28" t="s">
        <v>6286</v>
      </c>
      <c r="Z414" s="28" t="s">
        <v>6287</v>
      </c>
      <c r="AA414" s="28" t="s">
        <v>6288</v>
      </c>
      <c r="AB414" s="28" t="s">
        <v>6297</v>
      </c>
    </row>
    <row r="415" spans="1:28" ht="185.4" x14ac:dyDescent="0.3">
      <c r="A415" s="25">
        <v>7263</v>
      </c>
      <c r="B415" s="25" t="s">
        <v>8995</v>
      </c>
      <c r="C415" s="25" t="s">
        <v>8996</v>
      </c>
      <c r="D415" s="25" t="s">
        <v>6291</v>
      </c>
      <c r="E415" s="16" t="s">
        <v>6786</v>
      </c>
      <c r="F415" s="16" t="s">
        <v>6786</v>
      </c>
      <c r="G415" s="16" t="s">
        <v>6786</v>
      </c>
      <c r="H415" s="16" t="s">
        <v>6786</v>
      </c>
      <c r="I415" s="25" t="s">
        <v>8997</v>
      </c>
      <c r="J415" s="25"/>
      <c r="K415" s="25" t="s">
        <v>6281</v>
      </c>
      <c r="L415" s="26" t="s">
        <v>8998</v>
      </c>
      <c r="M415" s="26" t="s">
        <v>8549</v>
      </c>
      <c r="N415" s="27" t="s">
        <v>8999</v>
      </c>
      <c r="O415" s="26" t="s">
        <v>8993</v>
      </c>
      <c r="P415" s="20" t="b">
        <v>1</v>
      </c>
      <c r="Q415" s="20" t="s">
        <v>6282</v>
      </c>
      <c r="R415" s="28" t="s">
        <v>6283</v>
      </c>
      <c r="S415" s="25"/>
      <c r="T415" s="20" t="b">
        <v>1</v>
      </c>
      <c r="U415" s="25"/>
      <c r="V415" s="25">
        <v>0</v>
      </c>
      <c r="W415" s="28" t="s">
        <v>9000</v>
      </c>
      <c r="X415" s="28" t="s">
        <v>6285</v>
      </c>
      <c r="Y415" s="28" t="s">
        <v>6286</v>
      </c>
      <c r="Z415" s="28" t="s">
        <v>6287</v>
      </c>
      <c r="AA415" s="28" t="s">
        <v>6288</v>
      </c>
      <c r="AB415" s="28" t="s">
        <v>6297</v>
      </c>
    </row>
    <row r="416" spans="1:28" ht="185.4" x14ac:dyDescent="0.3">
      <c r="A416" s="25">
        <v>7264</v>
      </c>
      <c r="B416" s="25" t="s">
        <v>9001</v>
      </c>
      <c r="C416" s="25" t="s">
        <v>9002</v>
      </c>
      <c r="D416" s="25" t="s">
        <v>6291</v>
      </c>
      <c r="E416" s="16" t="s">
        <v>6786</v>
      </c>
      <c r="F416" s="16" t="s">
        <v>6786</v>
      </c>
      <c r="G416" s="16" t="s">
        <v>6786</v>
      </c>
      <c r="H416" s="16" t="s">
        <v>6786</v>
      </c>
      <c r="I416" s="25" t="s">
        <v>9003</v>
      </c>
      <c r="J416" s="25"/>
      <c r="K416" s="25" t="s">
        <v>6281</v>
      </c>
      <c r="L416" s="26" t="s">
        <v>9004</v>
      </c>
      <c r="M416" s="26" t="s">
        <v>6295</v>
      </c>
      <c r="N416" s="27" t="s">
        <v>9005</v>
      </c>
      <c r="O416" s="26" t="s">
        <v>8993</v>
      </c>
      <c r="P416" s="20" t="b">
        <v>1</v>
      </c>
      <c r="Q416" s="20" t="s">
        <v>6282</v>
      </c>
      <c r="R416" s="28" t="s">
        <v>6283</v>
      </c>
      <c r="S416" s="25"/>
      <c r="T416" s="20" t="b">
        <v>1</v>
      </c>
      <c r="U416" s="25"/>
      <c r="V416" s="25">
        <v>50.091000000000001</v>
      </c>
      <c r="W416" s="28" t="s">
        <v>9006</v>
      </c>
      <c r="X416" s="28" t="s">
        <v>6285</v>
      </c>
      <c r="Y416" s="28" t="s">
        <v>6286</v>
      </c>
      <c r="Z416" s="28" t="s">
        <v>6287</v>
      </c>
      <c r="AA416" s="28" t="s">
        <v>6288</v>
      </c>
      <c r="AB416" s="28" t="s">
        <v>6297</v>
      </c>
    </row>
    <row r="417" spans="1:28" ht="185.4" x14ac:dyDescent="0.3">
      <c r="A417" s="25">
        <v>7272</v>
      </c>
      <c r="B417" s="25" t="s">
        <v>9007</v>
      </c>
      <c r="C417" s="25" t="s">
        <v>9008</v>
      </c>
      <c r="D417" s="25" t="s">
        <v>6291</v>
      </c>
      <c r="E417" s="16" t="s">
        <v>6786</v>
      </c>
      <c r="F417" s="16" t="s">
        <v>6786</v>
      </c>
      <c r="G417" s="16" t="s">
        <v>6786</v>
      </c>
      <c r="H417" s="16" t="s">
        <v>6786</v>
      </c>
      <c r="I417" s="25" t="s">
        <v>9009</v>
      </c>
      <c r="J417" s="25"/>
      <c r="K417" s="25" t="s">
        <v>6281</v>
      </c>
      <c r="L417" s="26" t="s">
        <v>9010</v>
      </c>
      <c r="M417" s="26" t="s">
        <v>6295</v>
      </c>
      <c r="N417" s="27" t="s">
        <v>9011</v>
      </c>
      <c r="O417" s="26" t="s">
        <v>9012</v>
      </c>
      <c r="P417" s="20" t="b">
        <v>1</v>
      </c>
      <c r="Q417" s="20" t="s">
        <v>6282</v>
      </c>
      <c r="R417" s="28" t="s">
        <v>6283</v>
      </c>
      <c r="S417" s="25"/>
      <c r="T417" s="20" t="b">
        <v>1</v>
      </c>
      <c r="U417" s="25"/>
      <c r="V417" s="25">
        <v>0.29179500000000003</v>
      </c>
      <c r="W417" s="28" t="s">
        <v>9013</v>
      </c>
      <c r="X417" s="28" t="s">
        <v>6285</v>
      </c>
      <c r="Y417" s="28" t="s">
        <v>6286</v>
      </c>
      <c r="Z417" s="28" t="s">
        <v>6287</v>
      </c>
      <c r="AA417" s="28" t="s">
        <v>6288</v>
      </c>
      <c r="AB417" s="28" t="s">
        <v>6297</v>
      </c>
    </row>
    <row r="418" spans="1:28" ht="185.4" x14ac:dyDescent="0.3">
      <c r="A418" s="25">
        <v>7273</v>
      </c>
      <c r="B418" s="25" t="s">
        <v>9014</v>
      </c>
      <c r="C418" s="25" t="s">
        <v>9015</v>
      </c>
      <c r="D418" s="25" t="s">
        <v>6278</v>
      </c>
      <c r="E418" s="16" t="s">
        <v>6279</v>
      </c>
      <c r="F418" s="16" t="s">
        <v>6279</v>
      </c>
      <c r="G418" s="16" t="s">
        <v>6279</v>
      </c>
      <c r="H418" s="16" t="s">
        <v>6279</v>
      </c>
      <c r="I418" s="25" t="s">
        <v>9016</v>
      </c>
      <c r="J418" s="25"/>
      <c r="K418" s="25" t="s">
        <v>6281</v>
      </c>
      <c r="L418" s="26" t="s">
        <v>9017</v>
      </c>
      <c r="M418" s="26" t="s">
        <v>9018</v>
      </c>
      <c r="N418" s="27" t="s">
        <v>9019</v>
      </c>
      <c r="O418" s="26" t="s">
        <v>9020</v>
      </c>
      <c r="P418" s="20" t="b">
        <v>1</v>
      </c>
      <c r="Q418" s="20" t="s">
        <v>6282</v>
      </c>
      <c r="R418" s="28" t="s">
        <v>6283</v>
      </c>
      <c r="S418" s="25"/>
      <c r="T418" s="20" t="b">
        <v>1</v>
      </c>
      <c r="U418" s="25"/>
      <c r="V418" s="25">
        <v>15.52</v>
      </c>
      <c r="W418" s="28" t="s">
        <v>9021</v>
      </c>
      <c r="X418" s="28" t="s">
        <v>6285</v>
      </c>
      <c r="Y418" s="28" t="s">
        <v>6286</v>
      </c>
      <c r="Z418" s="28" t="s">
        <v>6287</v>
      </c>
      <c r="AA418" s="28" t="s">
        <v>6288</v>
      </c>
      <c r="AB418" s="28" t="s">
        <v>6297</v>
      </c>
    </row>
    <row r="419" spans="1:28" ht="185.4" x14ac:dyDescent="0.3">
      <c r="A419" s="25">
        <v>7274</v>
      </c>
      <c r="B419" s="25" t="s">
        <v>9022</v>
      </c>
      <c r="C419" s="25" t="s">
        <v>9023</v>
      </c>
      <c r="D419" s="25" t="s">
        <v>6278</v>
      </c>
      <c r="E419" s="16" t="s">
        <v>6279</v>
      </c>
      <c r="F419" s="16" t="s">
        <v>6279</v>
      </c>
      <c r="G419" s="16" t="s">
        <v>6279</v>
      </c>
      <c r="H419" s="16" t="s">
        <v>6279</v>
      </c>
      <c r="I419" s="25" t="s">
        <v>9024</v>
      </c>
      <c r="J419" s="25"/>
      <c r="K419" s="25" t="s">
        <v>6281</v>
      </c>
      <c r="L419" s="26" t="s">
        <v>9025</v>
      </c>
      <c r="M419" s="26" t="s">
        <v>9026</v>
      </c>
      <c r="N419" s="27" t="s">
        <v>9027</v>
      </c>
      <c r="O419" s="26" t="s">
        <v>9028</v>
      </c>
      <c r="P419" s="20" t="b">
        <v>1</v>
      </c>
      <c r="Q419" s="20" t="s">
        <v>6282</v>
      </c>
      <c r="R419" s="28" t="s">
        <v>6283</v>
      </c>
      <c r="S419" s="25"/>
      <c r="T419" s="20" t="b">
        <v>1</v>
      </c>
      <c r="U419" s="25"/>
      <c r="V419" s="25">
        <v>40.32</v>
      </c>
      <c r="W419" s="28" t="s">
        <v>9029</v>
      </c>
      <c r="X419" s="28" t="s">
        <v>6285</v>
      </c>
      <c r="Y419" s="28" t="s">
        <v>6286</v>
      </c>
      <c r="Z419" s="28" t="s">
        <v>6287</v>
      </c>
      <c r="AA419" s="28" t="s">
        <v>6288</v>
      </c>
      <c r="AB419" s="28" t="s">
        <v>6297</v>
      </c>
    </row>
    <row r="420" spans="1:28" ht="185.4" x14ac:dyDescent="0.3">
      <c r="A420" s="25">
        <v>7275</v>
      </c>
      <c r="B420" s="25" t="s">
        <v>9030</v>
      </c>
      <c r="C420" s="25" t="s">
        <v>9031</v>
      </c>
      <c r="D420" s="25" t="s">
        <v>6291</v>
      </c>
      <c r="E420" s="16" t="s">
        <v>6292</v>
      </c>
      <c r="F420" s="16" t="s">
        <v>6292</v>
      </c>
      <c r="G420" s="16" t="s">
        <v>6292</v>
      </c>
      <c r="H420" s="16" t="s">
        <v>6292</v>
      </c>
      <c r="I420" s="25" t="s">
        <v>9032</v>
      </c>
      <c r="J420" s="25"/>
      <c r="K420" s="25" t="s">
        <v>6281</v>
      </c>
      <c r="L420" s="26" t="s">
        <v>9033</v>
      </c>
      <c r="M420" s="26" t="s">
        <v>9034</v>
      </c>
      <c r="N420" s="27" t="s">
        <v>9035</v>
      </c>
      <c r="O420" s="26" t="s">
        <v>9036</v>
      </c>
      <c r="P420" s="20" t="b">
        <v>1</v>
      </c>
      <c r="Q420" s="20" t="s">
        <v>6282</v>
      </c>
      <c r="R420" s="28" t="s">
        <v>6283</v>
      </c>
      <c r="S420" s="25"/>
      <c r="T420" s="20" t="b">
        <v>1</v>
      </c>
      <c r="U420" s="25"/>
      <c r="V420" s="25">
        <v>19</v>
      </c>
      <c r="W420" s="28" t="s">
        <v>9037</v>
      </c>
      <c r="X420" s="28" t="s">
        <v>6285</v>
      </c>
      <c r="Y420" s="28" t="s">
        <v>6286</v>
      </c>
      <c r="Z420" s="28" t="s">
        <v>6287</v>
      </c>
      <c r="AA420" s="28" t="s">
        <v>6288</v>
      </c>
      <c r="AB420" s="28" t="s">
        <v>6297</v>
      </c>
    </row>
    <row r="421" spans="1:28" ht="185.4" x14ac:dyDescent="0.3">
      <c r="A421" s="25">
        <v>7296</v>
      </c>
      <c r="B421" s="25" t="s">
        <v>9038</v>
      </c>
      <c r="C421" s="25" t="s">
        <v>9039</v>
      </c>
      <c r="D421" s="25" t="s">
        <v>6278</v>
      </c>
      <c r="E421" s="16" t="s">
        <v>6279</v>
      </c>
      <c r="F421" s="16" t="s">
        <v>6279</v>
      </c>
      <c r="G421" s="16" t="s">
        <v>6279</v>
      </c>
      <c r="H421" s="16" t="s">
        <v>6279</v>
      </c>
      <c r="I421" s="25" t="s">
        <v>9040</v>
      </c>
      <c r="J421" s="25"/>
      <c r="K421" s="25" t="s">
        <v>6281</v>
      </c>
      <c r="L421" s="26" t="s">
        <v>9041</v>
      </c>
      <c r="M421" s="26" t="s">
        <v>9042</v>
      </c>
      <c r="N421" s="27" t="s">
        <v>9043</v>
      </c>
      <c r="O421" s="26" t="s">
        <v>9044</v>
      </c>
      <c r="P421" s="20" t="b">
        <v>1</v>
      </c>
      <c r="Q421" s="20" t="s">
        <v>6282</v>
      </c>
      <c r="R421" s="28" t="s">
        <v>6283</v>
      </c>
      <c r="S421" s="25"/>
      <c r="T421" s="20" t="b">
        <v>1</v>
      </c>
      <c r="U421" s="25"/>
      <c r="V421" s="25">
        <v>31.9</v>
      </c>
      <c r="W421" s="28" t="s">
        <v>9045</v>
      </c>
      <c r="X421" s="28" t="s">
        <v>6285</v>
      </c>
      <c r="Y421" s="28" t="s">
        <v>6286</v>
      </c>
      <c r="Z421" s="28" t="s">
        <v>6287</v>
      </c>
      <c r="AA421" s="28" t="s">
        <v>6288</v>
      </c>
      <c r="AB421" s="28" t="s">
        <v>6297</v>
      </c>
    </row>
    <row r="422" spans="1:28" ht="185.4" x14ac:dyDescent="0.3">
      <c r="A422" s="25">
        <v>7306</v>
      </c>
      <c r="B422" s="25" t="s">
        <v>9046</v>
      </c>
      <c r="C422" s="25" t="s">
        <v>9047</v>
      </c>
      <c r="D422" s="25" t="s">
        <v>6291</v>
      </c>
      <c r="E422" s="16" t="s">
        <v>6292</v>
      </c>
      <c r="F422" s="16" t="s">
        <v>6292</v>
      </c>
      <c r="G422" s="16" t="s">
        <v>6292</v>
      </c>
      <c r="H422" s="16" t="s">
        <v>6292</v>
      </c>
      <c r="I422" s="25" t="s">
        <v>9048</v>
      </c>
      <c r="J422" s="25"/>
      <c r="K422" s="25" t="s">
        <v>6281</v>
      </c>
      <c r="L422" s="26" t="s">
        <v>9049</v>
      </c>
      <c r="M422" s="26" t="s">
        <v>9050</v>
      </c>
      <c r="N422" s="27" t="s">
        <v>9051</v>
      </c>
      <c r="O422" s="26" t="s">
        <v>9052</v>
      </c>
      <c r="P422" s="20" t="b">
        <v>1</v>
      </c>
      <c r="Q422" s="20" t="s">
        <v>6282</v>
      </c>
      <c r="R422" s="28" t="s">
        <v>6283</v>
      </c>
      <c r="S422" s="25"/>
      <c r="T422" s="20" t="b">
        <v>1</v>
      </c>
      <c r="U422" s="25"/>
      <c r="V422" s="25">
        <v>479.5</v>
      </c>
      <c r="W422" s="28" t="s">
        <v>9053</v>
      </c>
      <c r="X422" s="28" t="s">
        <v>6285</v>
      </c>
      <c r="Y422" s="28" t="s">
        <v>6286</v>
      </c>
      <c r="Z422" s="28" t="s">
        <v>6287</v>
      </c>
      <c r="AA422" s="28" t="s">
        <v>6288</v>
      </c>
      <c r="AB422" s="28" t="s">
        <v>6297</v>
      </c>
    </row>
    <row r="423" spans="1:28" ht="185.4" x14ac:dyDescent="0.3">
      <c r="A423" s="25">
        <v>7307</v>
      </c>
      <c r="B423" s="25" t="s">
        <v>9054</v>
      </c>
      <c r="C423" s="25" t="s">
        <v>9055</v>
      </c>
      <c r="D423" s="25" t="s">
        <v>6291</v>
      </c>
      <c r="E423" s="16" t="s">
        <v>6786</v>
      </c>
      <c r="F423" s="16" t="s">
        <v>6786</v>
      </c>
      <c r="G423" s="16" t="s">
        <v>6786</v>
      </c>
      <c r="H423" s="16" t="s">
        <v>6786</v>
      </c>
      <c r="I423" s="25" t="s">
        <v>9056</v>
      </c>
      <c r="J423" s="25"/>
      <c r="K423" s="25" t="s">
        <v>6281</v>
      </c>
      <c r="L423" s="26" t="s">
        <v>9057</v>
      </c>
      <c r="M423" s="26" t="s">
        <v>6295</v>
      </c>
      <c r="N423" s="27" t="s">
        <v>9058</v>
      </c>
      <c r="O423" s="26" t="s">
        <v>6295</v>
      </c>
      <c r="P423" s="20" t="b">
        <v>1</v>
      </c>
      <c r="Q423" s="20" t="s">
        <v>6282</v>
      </c>
      <c r="R423" s="28" t="s">
        <v>6283</v>
      </c>
      <c r="S423" s="25"/>
      <c r="T423" s="20" t="b">
        <v>1</v>
      </c>
      <c r="U423" s="25"/>
      <c r="V423" s="25">
        <v>1.23</v>
      </c>
      <c r="W423" s="28" t="s">
        <v>9059</v>
      </c>
      <c r="X423" s="28" t="s">
        <v>6285</v>
      </c>
      <c r="Y423" s="28" t="s">
        <v>6286</v>
      </c>
      <c r="Z423" s="28" t="s">
        <v>6287</v>
      </c>
      <c r="AA423" s="28" t="s">
        <v>6288</v>
      </c>
      <c r="AB423" s="28" t="s">
        <v>6297</v>
      </c>
    </row>
    <row r="424" spans="1:28" ht="185.4" x14ac:dyDescent="0.3">
      <c r="A424" s="25">
        <v>7311</v>
      </c>
      <c r="B424" s="25" t="s">
        <v>9060</v>
      </c>
      <c r="C424" s="25" t="s">
        <v>6306</v>
      </c>
      <c r="D424" s="25" t="s">
        <v>6291</v>
      </c>
      <c r="E424" s="16" t="s">
        <v>6292</v>
      </c>
      <c r="F424" s="16" t="s">
        <v>6292</v>
      </c>
      <c r="G424" s="16" t="s">
        <v>6292</v>
      </c>
      <c r="H424" s="16" t="s">
        <v>6292</v>
      </c>
      <c r="I424" s="25" t="s">
        <v>9061</v>
      </c>
      <c r="J424" s="25"/>
      <c r="K424" s="25" t="s">
        <v>6281</v>
      </c>
      <c r="L424" s="26" t="s">
        <v>9062</v>
      </c>
      <c r="M424" s="26" t="s">
        <v>9063</v>
      </c>
      <c r="N424" s="27" t="s">
        <v>9064</v>
      </c>
      <c r="O424" s="26" t="s">
        <v>7487</v>
      </c>
      <c r="P424" s="20" t="b">
        <v>1</v>
      </c>
      <c r="Q424" s="20" t="s">
        <v>6282</v>
      </c>
      <c r="R424" s="28" t="s">
        <v>6283</v>
      </c>
      <c r="S424" s="25"/>
      <c r="T424" s="20" t="b">
        <v>1</v>
      </c>
      <c r="U424" s="25"/>
      <c r="V424" s="25">
        <v>17.32</v>
      </c>
      <c r="W424" s="28" t="s">
        <v>9065</v>
      </c>
      <c r="X424" s="28" t="s">
        <v>6285</v>
      </c>
      <c r="Y424" s="28" t="s">
        <v>6286</v>
      </c>
      <c r="Z424" s="28" t="s">
        <v>6287</v>
      </c>
      <c r="AA424" s="28" t="s">
        <v>6288</v>
      </c>
      <c r="AB424" s="28" t="s">
        <v>6297</v>
      </c>
    </row>
    <row r="425" spans="1:28" ht="185.4" x14ac:dyDescent="0.3">
      <c r="A425" s="25">
        <v>7321</v>
      </c>
      <c r="B425" s="25" t="s">
        <v>9066</v>
      </c>
      <c r="C425" s="25" t="s">
        <v>9067</v>
      </c>
      <c r="D425" s="25" t="s">
        <v>6291</v>
      </c>
      <c r="E425" s="16" t="s">
        <v>6786</v>
      </c>
      <c r="F425" s="16" t="s">
        <v>6786</v>
      </c>
      <c r="G425" s="16" t="s">
        <v>6786</v>
      </c>
      <c r="H425" s="16" t="s">
        <v>6786</v>
      </c>
      <c r="I425" s="25" t="s">
        <v>9068</v>
      </c>
      <c r="J425" s="25"/>
      <c r="K425" s="25" t="s">
        <v>6281</v>
      </c>
      <c r="L425" s="26" t="s">
        <v>9069</v>
      </c>
      <c r="M425" s="26" t="s">
        <v>6295</v>
      </c>
      <c r="N425" s="27" t="s">
        <v>9070</v>
      </c>
      <c r="O425" s="26" t="s">
        <v>9071</v>
      </c>
      <c r="P425" s="20" t="b">
        <v>1</v>
      </c>
      <c r="Q425" s="20" t="s">
        <v>6282</v>
      </c>
      <c r="R425" s="28" t="s">
        <v>6283</v>
      </c>
      <c r="S425" s="25"/>
      <c r="T425" s="20" t="b">
        <v>1</v>
      </c>
      <c r="U425" s="25"/>
      <c r="V425" s="25">
        <v>1.05</v>
      </c>
      <c r="W425" s="28" t="s">
        <v>9072</v>
      </c>
      <c r="X425" s="28" t="s">
        <v>6285</v>
      </c>
      <c r="Y425" s="28" t="s">
        <v>6286</v>
      </c>
      <c r="Z425" s="28" t="s">
        <v>6287</v>
      </c>
      <c r="AA425" s="28" t="s">
        <v>6288</v>
      </c>
      <c r="AB425" s="28" t="s">
        <v>6297</v>
      </c>
    </row>
    <row r="426" spans="1:28" ht="185.4" x14ac:dyDescent="0.3">
      <c r="A426" s="25">
        <v>7324</v>
      </c>
      <c r="B426" s="25" t="s">
        <v>9073</v>
      </c>
      <c r="C426" s="25" t="s">
        <v>9074</v>
      </c>
      <c r="D426" s="25" t="s">
        <v>6291</v>
      </c>
      <c r="E426" s="16" t="s">
        <v>6786</v>
      </c>
      <c r="F426" s="16" t="s">
        <v>6786</v>
      </c>
      <c r="G426" s="16" t="s">
        <v>6786</v>
      </c>
      <c r="H426" s="16" t="s">
        <v>6786</v>
      </c>
      <c r="I426" s="25" t="s">
        <v>9075</v>
      </c>
      <c r="J426" s="25"/>
      <c r="K426" s="25" t="s">
        <v>6281</v>
      </c>
      <c r="L426" s="26" t="s">
        <v>9076</v>
      </c>
      <c r="M426" s="26" t="s">
        <v>6295</v>
      </c>
      <c r="N426" s="27" t="s">
        <v>9077</v>
      </c>
      <c r="O426" s="26" t="s">
        <v>6295</v>
      </c>
      <c r="P426" s="20" t="b">
        <v>1</v>
      </c>
      <c r="Q426" s="20" t="s">
        <v>6282</v>
      </c>
      <c r="R426" s="28" t="s">
        <v>6283</v>
      </c>
      <c r="S426" s="25"/>
      <c r="T426" s="20" t="b">
        <v>1</v>
      </c>
      <c r="U426" s="25"/>
      <c r="V426" s="25">
        <v>5.9</v>
      </c>
      <c r="W426" s="28" t="s">
        <v>9078</v>
      </c>
      <c r="X426" s="28" t="s">
        <v>6285</v>
      </c>
      <c r="Y426" s="28" t="s">
        <v>6286</v>
      </c>
      <c r="Z426" s="28" t="s">
        <v>6287</v>
      </c>
      <c r="AA426" s="28" t="s">
        <v>6288</v>
      </c>
      <c r="AB426" s="28" t="s">
        <v>6297</v>
      </c>
    </row>
    <row r="427" spans="1:28" ht="185.4" x14ac:dyDescent="0.3">
      <c r="A427" s="25">
        <v>7325</v>
      </c>
      <c r="B427" s="25" t="s">
        <v>9079</v>
      </c>
      <c r="C427" s="25" t="s">
        <v>9080</v>
      </c>
      <c r="D427" s="25" t="s">
        <v>6291</v>
      </c>
      <c r="E427" s="16" t="s">
        <v>6786</v>
      </c>
      <c r="F427" s="16" t="s">
        <v>6786</v>
      </c>
      <c r="G427" s="16" t="s">
        <v>6786</v>
      </c>
      <c r="H427" s="16" t="s">
        <v>6786</v>
      </c>
      <c r="I427" s="25" t="s">
        <v>9081</v>
      </c>
      <c r="J427" s="25"/>
      <c r="K427" s="25" t="s">
        <v>6281</v>
      </c>
      <c r="L427" s="26" t="s">
        <v>9082</v>
      </c>
      <c r="M427" s="26" t="s">
        <v>6295</v>
      </c>
      <c r="N427" s="27" t="s">
        <v>9083</v>
      </c>
      <c r="O427" s="26" t="s">
        <v>6295</v>
      </c>
      <c r="P427" s="20" t="b">
        <v>1</v>
      </c>
      <c r="Q427" s="20" t="s">
        <v>6282</v>
      </c>
      <c r="R427" s="28" t="s">
        <v>6283</v>
      </c>
      <c r="S427" s="25"/>
      <c r="T427" s="20" t="b">
        <v>1</v>
      </c>
      <c r="U427" s="25"/>
      <c r="V427" s="25">
        <v>5.7</v>
      </c>
      <c r="W427" s="28" t="s">
        <v>9084</v>
      </c>
      <c r="X427" s="28" t="s">
        <v>6285</v>
      </c>
      <c r="Y427" s="28" t="s">
        <v>6286</v>
      </c>
      <c r="Z427" s="28" t="s">
        <v>6287</v>
      </c>
      <c r="AA427" s="28" t="s">
        <v>6288</v>
      </c>
      <c r="AB427" s="28" t="s">
        <v>6297</v>
      </c>
    </row>
    <row r="428" spans="1:28" ht="185.4" x14ac:dyDescent="0.3">
      <c r="A428" s="25">
        <v>7367</v>
      </c>
      <c r="B428" s="25" t="s">
        <v>9085</v>
      </c>
      <c r="C428" s="25" t="s">
        <v>9086</v>
      </c>
      <c r="D428" s="25" t="s">
        <v>6291</v>
      </c>
      <c r="E428" s="16" t="s">
        <v>6292</v>
      </c>
      <c r="F428" s="16" t="s">
        <v>6292</v>
      </c>
      <c r="G428" s="16" t="s">
        <v>6292</v>
      </c>
      <c r="H428" s="16" t="s">
        <v>6292</v>
      </c>
      <c r="I428" s="25" t="s">
        <v>9087</v>
      </c>
      <c r="J428" s="25"/>
      <c r="K428" s="25" t="s">
        <v>6281</v>
      </c>
      <c r="L428" s="26" t="s">
        <v>9088</v>
      </c>
      <c r="M428" s="26" t="s">
        <v>9089</v>
      </c>
      <c r="N428" s="27" t="s">
        <v>9090</v>
      </c>
      <c r="O428" s="26" t="s">
        <v>9089</v>
      </c>
      <c r="P428" s="20" t="b">
        <v>1</v>
      </c>
      <c r="Q428" s="20" t="s">
        <v>6282</v>
      </c>
      <c r="R428" s="28" t="s">
        <v>6283</v>
      </c>
      <c r="S428" s="25"/>
      <c r="T428" s="20" t="b">
        <v>1</v>
      </c>
      <c r="U428" s="25"/>
      <c r="V428" s="25">
        <v>47.76</v>
      </c>
      <c r="W428" s="28" t="s">
        <v>9091</v>
      </c>
      <c r="X428" s="28" t="s">
        <v>6285</v>
      </c>
      <c r="Y428" s="28" t="s">
        <v>6286</v>
      </c>
      <c r="Z428" s="28" t="s">
        <v>6287</v>
      </c>
      <c r="AA428" s="28" t="s">
        <v>6288</v>
      </c>
      <c r="AB428" s="28" t="s">
        <v>6297</v>
      </c>
    </row>
    <row r="429" spans="1:28" ht="185.4" x14ac:dyDescent="0.3">
      <c r="A429" s="25">
        <v>7373</v>
      </c>
      <c r="B429" s="25" t="s">
        <v>9092</v>
      </c>
      <c r="C429" s="25" t="s">
        <v>9093</v>
      </c>
      <c r="D429" s="25" t="s">
        <v>6291</v>
      </c>
      <c r="E429" s="16" t="s">
        <v>6292</v>
      </c>
      <c r="F429" s="16" t="s">
        <v>6292</v>
      </c>
      <c r="G429" s="16" t="s">
        <v>6292</v>
      </c>
      <c r="H429" s="16" t="s">
        <v>6292</v>
      </c>
      <c r="I429" s="25" t="s">
        <v>9094</v>
      </c>
      <c r="J429" s="25"/>
      <c r="K429" s="25" t="s">
        <v>6281</v>
      </c>
      <c r="L429" s="26" t="s">
        <v>9095</v>
      </c>
      <c r="M429" s="26" t="s">
        <v>9089</v>
      </c>
      <c r="N429" s="27" t="s">
        <v>9096</v>
      </c>
      <c r="O429" s="26" t="s">
        <v>9089</v>
      </c>
      <c r="P429" s="20" t="b">
        <v>1</v>
      </c>
      <c r="Q429" s="20" t="s">
        <v>6282</v>
      </c>
      <c r="R429" s="28" t="s">
        <v>6283</v>
      </c>
      <c r="S429" s="25"/>
      <c r="T429" s="20" t="b">
        <v>1</v>
      </c>
      <c r="U429" s="25"/>
      <c r="V429" s="25">
        <v>0.48</v>
      </c>
      <c r="W429" s="28" t="s">
        <v>9097</v>
      </c>
      <c r="X429" s="28" t="s">
        <v>6285</v>
      </c>
      <c r="Y429" s="28" t="s">
        <v>6286</v>
      </c>
      <c r="Z429" s="28" t="s">
        <v>6287</v>
      </c>
      <c r="AA429" s="28" t="s">
        <v>6288</v>
      </c>
      <c r="AB429" s="28" t="s">
        <v>6297</v>
      </c>
    </row>
    <row r="430" spans="1:28" ht="185.4" x14ac:dyDescent="0.3">
      <c r="A430" s="25">
        <v>7374</v>
      </c>
      <c r="B430" s="25" t="s">
        <v>9098</v>
      </c>
      <c r="C430" s="25" t="s">
        <v>9099</v>
      </c>
      <c r="D430" s="25" t="s">
        <v>6291</v>
      </c>
      <c r="E430" s="16" t="s">
        <v>8648</v>
      </c>
      <c r="F430" s="16" t="s">
        <v>8648</v>
      </c>
      <c r="G430" s="16" t="s">
        <v>8648</v>
      </c>
      <c r="H430" s="16" t="s">
        <v>8648</v>
      </c>
      <c r="I430" s="25" t="s">
        <v>9100</v>
      </c>
      <c r="J430" s="25"/>
      <c r="K430" s="25" t="s">
        <v>6281</v>
      </c>
      <c r="L430" s="26" t="s">
        <v>9101</v>
      </c>
      <c r="M430" s="26" t="s">
        <v>9089</v>
      </c>
      <c r="N430" s="27" t="s">
        <v>9102</v>
      </c>
      <c r="O430" s="26" t="s">
        <v>9089</v>
      </c>
      <c r="P430" s="20" t="b">
        <v>1</v>
      </c>
      <c r="Q430" s="20" t="s">
        <v>6282</v>
      </c>
      <c r="R430" s="28" t="s">
        <v>6283</v>
      </c>
      <c r="S430" s="25"/>
      <c r="T430" s="20" t="b">
        <v>1</v>
      </c>
      <c r="U430" s="25"/>
      <c r="V430" s="25">
        <v>116.16</v>
      </c>
      <c r="W430" s="28" t="s">
        <v>9103</v>
      </c>
      <c r="X430" s="28" t="s">
        <v>6285</v>
      </c>
      <c r="Y430" s="28" t="s">
        <v>6286</v>
      </c>
      <c r="Z430" s="28" t="s">
        <v>6287</v>
      </c>
      <c r="AA430" s="28" t="s">
        <v>6288</v>
      </c>
      <c r="AB430" s="28" t="s">
        <v>6297</v>
      </c>
    </row>
    <row r="431" spans="1:28" ht="185.4" x14ac:dyDescent="0.3">
      <c r="A431" s="25">
        <v>7381</v>
      </c>
      <c r="B431" s="25" t="s">
        <v>9104</v>
      </c>
      <c r="C431" s="25" t="s">
        <v>9105</v>
      </c>
      <c r="D431" s="25" t="s">
        <v>6291</v>
      </c>
      <c r="E431" s="16" t="s">
        <v>6292</v>
      </c>
      <c r="F431" s="16" t="s">
        <v>6292</v>
      </c>
      <c r="G431" s="16" t="s">
        <v>6292</v>
      </c>
      <c r="H431" s="16" t="s">
        <v>6292</v>
      </c>
      <c r="I431" s="25" t="s">
        <v>9106</v>
      </c>
      <c r="J431" s="25"/>
      <c r="K431" s="25" t="s">
        <v>6281</v>
      </c>
      <c r="L431" s="26" t="s">
        <v>9107</v>
      </c>
      <c r="M431" s="26" t="s">
        <v>7443</v>
      </c>
      <c r="N431" s="27" t="s">
        <v>9108</v>
      </c>
      <c r="O431" s="26" t="s">
        <v>7443</v>
      </c>
      <c r="P431" s="20" t="b">
        <v>1</v>
      </c>
      <c r="Q431" s="20" t="s">
        <v>6282</v>
      </c>
      <c r="R431" s="28" t="s">
        <v>6283</v>
      </c>
      <c r="S431" s="25"/>
      <c r="T431" s="20" t="b">
        <v>1</v>
      </c>
      <c r="U431" s="25"/>
      <c r="V431" s="25">
        <v>13.21</v>
      </c>
      <c r="W431" s="28" t="s">
        <v>9109</v>
      </c>
      <c r="X431" s="28" t="s">
        <v>6285</v>
      </c>
      <c r="Y431" s="28" t="s">
        <v>6286</v>
      </c>
      <c r="Z431" s="28" t="s">
        <v>6287</v>
      </c>
      <c r="AA431" s="28" t="s">
        <v>6288</v>
      </c>
      <c r="AB431" s="28" t="s">
        <v>6297</v>
      </c>
    </row>
    <row r="432" spans="1:28" ht="185.4" x14ac:dyDescent="0.3">
      <c r="A432" s="25">
        <v>7383</v>
      </c>
      <c r="B432" s="25" t="s">
        <v>9110</v>
      </c>
      <c r="C432" s="25" t="s">
        <v>9111</v>
      </c>
      <c r="D432" s="25" t="s">
        <v>6291</v>
      </c>
      <c r="E432" s="16" t="s">
        <v>6292</v>
      </c>
      <c r="F432" s="16" t="s">
        <v>6292</v>
      </c>
      <c r="G432" s="16" t="s">
        <v>6292</v>
      </c>
      <c r="H432" s="16" t="s">
        <v>6292</v>
      </c>
      <c r="I432" s="25" t="s">
        <v>9112</v>
      </c>
      <c r="J432" s="25"/>
      <c r="K432" s="25" t="s">
        <v>6281</v>
      </c>
      <c r="L432" s="26" t="s">
        <v>9113</v>
      </c>
      <c r="M432" s="26" t="s">
        <v>6295</v>
      </c>
      <c r="N432" s="27" t="s">
        <v>9114</v>
      </c>
      <c r="O432" s="26" t="s">
        <v>8400</v>
      </c>
      <c r="P432" s="20" t="b">
        <v>1</v>
      </c>
      <c r="Q432" s="20" t="s">
        <v>6282</v>
      </c>
      <c r="R432" s="28" t="s">
        <v>6283</v>
      </c>
      <c r="S432" s="25"/>
      <c r="T432" s="20" t="b">
        <v>1</v>
      </c>
      <c r="U432" s="25"/>
      <c r="V432" s="25">
        <v>14.382</v>
      </c>
      <c r="W432" s="28" t="s">
        <v>9115</v>
      </c>
      <c r="X432" s="28" t="s">
        <v>6285</v>
      </c>
      <c r="Y432" s="28" t="s">
        <v>6286</v>
      </c>
      <c r="Z432" s="28" t="s">
        <v>6287</v>
      </c>
      <c r="AA432" s="28" t="s">
        <v>6288</v>
      </c>
      <c r="AB432" s="28" t="s">
        <v>6297</v>
      </c>
    </row>
    <row r="433" spans="1:28" ht="185.4" x14ac:dyDescent="0.3">
      <c r="A433" s="25">
        <v>7385</v>
      </c>
      <c r="B433" s="25" t="s">
        <v>9116</v>
      </c>
      <c r="C433" s="25" t="s">
        <v>9117</v>
      </c>
      <c r="D433" s="25" t="s">
        <v>6291</v>
      </c>
      <c r="E433" s="16" t="s">
        <v>6292</v>
      </c>
      <c r="F433" s="16" t="s">
        <v>6292</v>
      </c>
      <c r="G433" s="16" t="s">
        <v>6292</v>
      </c>
      <c r="H433" s="16" t="s">
        <v>6292</v>
      </c>
      <c r="I433" s="25" t="s">
        <v>9118</v>
      </c>
      <c r="J433" s="25"/>
      <c r="K433" s="25" t="s">
        <v>6281</v>
      </c>
      <c r="L433" s="26" t="s">
        <v>9119</v>
      </c>
      <c r="M433" s="26" t="s">
        <v>9089</v>
      </c>
      <c r="N433" s="27" t="s">
        <v>9120</v>
      </c>
      <c r="O433" s="26" t="s">
        <v>9089</v>
      </c>
      <c r="P433" s="20" t="b">
        <v>1</v>
      </c>
      <c r="Q433" s="20" t="s">
        <v>6282</v>
      </c>
      <c r="R433" s="28" t="s">
        <v>6283</v>
      </c>
      <c r="S433" s="25"/>
      <c r="T433" s="20" t="b">
        <v>1</v>
      </c>
      <c r="U433" s="25"/>
      <c r="V433" s="25">
        <v>37.1</v>
      </c>
      <c r="W433" s="28" t="s">
        <v>9121</v>
      </c>
      <c r="X433" s="28" t="s">
        <v>6285</v>
      </c>
      <c r="Y433" s="28" t="s">
        <v>6286</v>
      </c>
      <c r="Z433" s="28" t="s">
        <v>6287</v>
      </c>
      <c r="AA433" s="28" t="s">
        <v>6288</v>
      </c>
      <c r="AB433" s="28" t="s">
        <v>6297</v>
      </c>
    </row>
    <row r="434" spans="1:28" ht="185.4" x14ac:dyDescent="0.3">
      <c r="A434" s="25">
        <v>7392</v>
      </c>
      <c r="B434" s="25" t="s">
        <v>9122</v>
      </c>
      <c r="C434" s="25" t="s">
        <v>9123</v>
      </c>
      <c r="D434" s="25" t="s">
        <v>6291</v>
      </c>
      <c r="E434" s="16" t="s">
        <v>6292</v>
      </c>
      <c r="F434" s="16" t="s">
        <v>6292</v>
      </c>
      <c r="G434" s="16" t="s">
        <v>6292</v>
      </c>
      <c r="H434" s="16" t="s">
        <v>6292</v>
      </c>
      <c r="I434" s="25" t="s">
        <v>9124</v>
      </c>
      <c r="J434" s="25"/>
      <c r="K434" s="25" t="s">
        <v>6281</v>
      </c>
      <c r="L434" s="26" t="s">
        <v>9125</v>
      </c>
      <c r="M434" s="26" t="s">
        <v>7220</v>
      </c>
      <c r="N434" s="27" t="s">
        <v>9126</v>
      </c>
      <c r="O434" s="26" t="s">
        <v>7220</v>
      </c>
      <c r="P434" s="20" t="b">
        <v>1</v>
      </c>
      <c r="Q434" s="20" t="s">
        <v>6282</v>
      </c>
      <c r="R434" s="28" t="s">
        <v>6283</v>
      </c>
      <c r="S434" s="25"/>
      <c r="T434" s="20" t="b">
        <v>1</v>
      </c>
      <c r="U434" s="25"/>
      <c r="V434" s="25">
        <v>10.96</v>
      </c>
      <c r="W434" s="28" t="s">
        <v>9127</v>
      </c>
      <c r="X434" s="28" t="s">
        <v>6285</v>
      </c>
      <c r="Y434" s="28" t="s">
        <v>6286</v>
      </c>
      <c r="Z434" s="28" t="s">
        <v>6287</v>
      </c>
      <c r="AA434" s="28" t="s">
        <v>6288</v>
      </c>
      <c r="AB434" s="28" t="s">
        <v>6297</v>
      </c>
    </row>
    <row r="435" spans="1:28" ht="185.4" x14ac:dyDescent="0.3">
      <c r="A435" s="25">
        <v>7393</v>
      </c>
      <c r="B435" s="25" t="s">
        <v>9128</v>
      </c>
      <c r="C435" s="25" t="s">
        <v>9129</v>
      </c>
      <c r="D435" s="25" t="s">
        <v>6291</v>
      </c>
      <c r="E435" s="16" t="s">
        <v>6786</v>
      </c>
      <c r="F435" s="16" t="s">
        <v>6786</v>
      </c>
      <c r="G435" s="16" t="s">
        <v>6786</v>
      </c>
      <c r="H435" s="16" t="s">
        <v>6786</v>
      </c>
      <c r="I435" s="25" t="s">
        <v>9130</v>
      </c>
      <c r="J435" s="25"/>
      <c r="K435" s="25" t="s">
        <v>6281</v>
      </c>
      <c r="L435" s="26" t="s">
        <v>9131</v>
      </c>
      <c r="M435" s="26" t="s">
        <v>6295</v>
      </c>
      <c r="N435" s="27" t="s">
        <v>9132</v>
      </c>
      <c r="O435" s="26" t="s">
        <v>6295</v>
      </c>
      <c r="P435" s="20" t="b">
        <v>1</v>
      </c>
      <c r="Q435" s="20" t="s">
        <v>6282</v>
      </c>
      <c r="R435" s="28" t="s">
        <v>6283</v>
      </c>
      <c r="S435" s="25"/>
      <c r="T435" s="20" t="b">
        <v>1</v>
      </c>
      <c r="U435" s="25"/>
      <c r="V435" s="25">
        <v>0.38</v>
      </c>
      <c r="W435" s="28" t="s">
        <v>9133</v>
      </c>
      <c r="X435" s="28" t="s">
        <v>6285</v>
      </c>
      <c r="Y435" s="28" t="s">
        <v>6286</v>
      </c>
      <c r="Z435" s="28" t="s">
        <v>6287</v>
      </c>
      <c r="AA435" s="28" t="s">
        <v>6288</v>
      </c>
      <c r="AB435" s="28" t="s">
        <v>6297</v>
      </c>
    </row>
    <row r="436" spans="1:28" ht="185.4" x14ac:dyDescent="0.3">
      <c r="A436" s="25">
        <v>7407</v>
      </c>
      <c r="B436" s="25" t="s">
        <v>9134</v>
      </c>
      <c r="C436" s="25" t="s">
        <v>9135</v>
      </c>
      <c r="D436" s="25" t="s">
        <v>6291</v>
      </c>
      <c r="E436" s="16" t="s">
        <v>6292</v>
      </c>
      <c r="F436" s="16" t="s">
        <v>6292</v>
      </c>
      <c r="G436" s="16" t="s">
        <v>6292</v>
      </c>
      <c r="H436" s="16" t="s">
        <v>6292</v>
      </c>
      <c r="I436" s="25" t="s">
        <v>9136</v>
      </c>
      <c r="J436" s="25"/>
      <c r="K436" s="25" t="s">
        <v>6281</v>
      </c>
      <c r="L436" s="26" t="s">
        <v>9137</v>
      </c>
      <c r="M436" s="26" t="s">
        <v>9138</v>
      </c>
      <c r="N436" s="27" t="s">
        <v>9139</v>
      </c>
      <c r="O436" s="26" t="s">
        <v>9140</v>
      </c>
      <c r="P436" s="20" t="b">
        <v>1</v>
      </c>
      <c r="Q436" s="20" t="s">
        <v>6282</v>
      </c>
      <c r="R436" s="28" t="s">
        <v>6283</v>
      </c>
      <c r="S436" s="25"/>
      <c r="T436" s="20" t="b">
        <v>1</v>
      </c>
      <c r="U436" s="25"/>
      <c r="V436" s="25">
        <v>20.56</v>
      </c>
      <c r="W436" s="28" t="s">
        <v>9141</v>
      </c>
      <c r="X436" s="28" t="s">
        <v>6285</v>
      </c>
      <c r="Y436" s="28" t="s">
        <v>6286</v>
      </c>
      <c r="Z436" s="28" t="s">
        <v>6287</v>
      </c>
      <c r="AA436" s="28" t="s">
        <v>6288</v>
      </c>
      <c r="AB436" s="28" t="s">
        <v>6297</v>
      </c>
    </row>
    <row r="437" spans="1:28" ht="185.4" x14ac:dyDescent="0.3">
      <c r="A437" s="25">
        <v>7410</v>
      </c>
      <c r="B437" s="25" t="s">
        <v>9142</v>
      </c>
      <c r="C437" s="25" t="s">
        <v>9143</v>
      </c>
      <c r="D437" s="25" t="s">
        <v>6291</v>
      </c>
      <c r="E437" s="16" t="s">
        <v>6292</v>
      </c>
      <c r="F437" s="16" t="s">
        <v>6292</v>
      </c>
      <c r="G437" s="16" t="s">
        <v>6292</v>
      </c>
      <c r="H437" s="16" t="s">
        <v>6292</v>
      </c>
      <c r="I437" s="25" t="s">
        <v>9144</v>
      </c>
      <c r="J437" s="25"/>
      <c r="K437" s="25" t="s">
        <v>6281</v>
      </c>
      <c r="L437" s="26" t="s">
        <v>9145</v>
      </c>
      <c r="M437" s="26" t="s">
        <v>7443</v>
      </c>
      <c r="N437" s="27" t="s">
        <v>9146</v>
      </c>
      <c r="O437" s="26" t="s">
        <v>7443</v>
      </c>
      <c r="P437" s="20" t="b">
        <v>1</v>
      </c>
      <c r="Q437" s="20" t="s">
        <v>6282</v>
      </c>
      <c r="R437" s="28" t="s">
        <v>6283</v>
      </c>
      <c r="S437" s="25"/>
      <c r="T437" s="20" t="b">
        <v>1</v>
      </c>
      <c r="U437" s="25"/>
      <c r="V437" s="25">
        <v>4.66</v>
      </c>
      <c r="W437" s="28" t="s">
        <v>9147</v>
      </c>
      <c r="X437" s="28" t="s">
        <v>6285</v>
      </c>
      <c r="Y437" s="28" t="s">
        <v>6286</v>
      </c>
      <c r="Z437" s="28" t="s">
        <v>6287</v>
      </c>
      <c r="AA437" s="28" t="s">
        <v>6288</v>
      </c>
      <c r="AB437" s="28" t="s">
        <v>6297</v>
      </c>
    </row>
    <row r="438" spans="1:28" ht="185.4" x14ac:dyDescent="0.3">
      <c r="A438" s="25">
        <v>7413</v>
      </c>
      <c r="B438" s="25" t="s">
        <v>9148</v>
      </c>
      <c r="C438" s="25" t="s">
        <v>9149</v>
      </c>
      <c r="D438" s="25" t="s">
        <v>6278</v>
      </c>
      <c r="E438" s="16" t="s">
        <v>6279</v>
      </c>
      <c r="F438" s="16" t="s">
        <v>6279</v>
      </c>
      <c r="G438" s="16" t="s">
        <v>6279</v>
      </c>
      <c r="H438" s="16" t="s">
        <v>6279</v>
      </c>
      <c r="I438" s="25" t="s">
        <v>9150</v>
      </c>
      <c r="J438" s="25"/>
      <c r="K438" s="25" t="s">
        <v>6281</v>
      </c>
      <c r="L438" s="26" t="s">
        <v>9151</v>
      </c>
      <c r="M438" s="26" t="s">
        <v>9152</v>
      </c>
      <c r="N438" s="27" t="s">
        <v>9153</v>
      </c>
      <c r="O438" s="26" t="s">
        <v>6295</v>
      </c>
      <c r="P438" s="20" t="b">
        <v>1</v>
      </c>
      <c r="Q438" s="20" t="s">
        <v>6282</v>
      </c>
      <c r="R438" s="28" t="s">
        <v>6283</v>
      </c>
      <c r="S438" s="25"/>
      <c r="T438" s="20" t="b">
        <v>1</v>
      </c>
      <c r="U438" s="25"/>
      <c r="V438" s="25">
        <v>3408.83</v>
      </c>
      <c r="W438" s="28" t="s">
        <v>9154</v>
      </c>
      <c r="X438" s="28" t="s">
        <v>6285</v>
      </c>
      <c r="Y438" s="28" t="s">
        <v>6286</v>
      </c>
      <c r="Z438" s="28" t="s">
        <v>6287</v>
      </c>
      <c r="AA438" s="28" t="s">
        <v>6288</v>
      </c>
      <c r="AB438" s="28" t="s">
        <v>6297</v>
      </c>
    </row>
    <row r="439" spans="1:28" ht="185.4" x14ac:dyDescent="0.3">
      <c r="A439" s="25">
        <v>7431</v>
      </c>
      <c r="B439" s="25" t="s">
        <v>9155</v>
      </c>
      <c r="C439" s="25" t="s">
        <v>6295</v>
      </c>
      <c r="D439" s="25" t="s">
        <v>6291</v>
      </c>
      <c r="E439" s="16" t="s">
        <v>6292</v>
      </c>
      <c r="F439" s="16" t="s">
        <v>6292</v>
      </c>
      <c r="G439" s="16" t="s">
        <v>6292</v>
      </c>
      <c r="H439" s="16" t="s">
        <v>6292</v>
      </c>
      <c r="I439" s="25" t="s">
        <v>9156</v>
      </c>
      <c r="J439" s="25"/>
      <c r="K439" s="25" t="s">
        <v>6281</v>
      </c>
      <c r="L439" s="26" t="s">
        <v>9157</v>
      </c>
      <c r="M439" s="26" t="s">
        <v>9158</v>
      </c>
      <c r="N439" s="27" t="s">
        <v>9159</v>
      </c>
      <c r="O439" s="26" t="s">
        <v>7443</v>
      </c>
      <c r="P439" s="20" t="b">
        <v>1</v>
      </c>
      <c r="Q439" s="20" t="s">
        <v>6282</v>
      </c>
      <c r="R439" s="28" t="s">
        <v>6283</v>
      </c>
      <c r="S439" s="25"/>
      <c r="T439" s="20" t="b">
        <v>1</v>
      </c>
      <c r="U439" s="25"/>
      <c r="V439" s="25">
        <v>3.4</v>
      </c>
      <c r="W439" s="28" t="s">
        <v>9160</v>
      </c>
      <c r="X439" s="28" t="s">
        <v>6285</v>
      </c>
      <c r="Y439" s="28" t="s">
        <v>6286</v>
      </c>
      <c r="Z439" s="28" t="s">
        <v>6287</v>
      </c>
      <c r="AA439" s="28" t="s">
        <v>6288</v>
      </c>
      <c r="AB439" s="28" t="s">
        <v>6297</v>
      </c>
    </row>
    <row r="440" spans="1:28" ht="185.4" x14ac:dyDescent="0.3">
      <c r="A440" s="25">
        <v>7432</v>
      </c>
      <c r="B440" s="25" t="s">
        <v>9161</v>
      </c>
      <c r="C440" s="25" t="s">
        <v>9162</v>
      </c>
      <c r="D440" s="25" t="s">
        <v>6291</v>
      </c>
      <c r="E440" s="16" t="s">
        <v>6292</v>
      </c>
      <c r="F440" s="16" t="s">
        <v>6292</v>
      </c>
      <c r="G440" s="16" t="s">
        <v>6292</v>
      </c>
      <c r="H440" s="16" t="s">
        <v>6292</v>
      </c>
      <c r="I440" s="25" t="s">
        <v>9163</v>
      </c>
      <c r="J440" s="25"/>
      <c r="K440" s="25" t="s">
        <v>6281</v>
      </c>
      <c r="L440" s="26" t="s">
        <v>9164</v>
      </c>
      <c r="M440" s="26" t="s">
        <v>8930</v>
      </c>
      <c r="N440" s="27" t="s">
        <v>9165</v>
      </c>
      <c r="O440" s="26" t="s">
        <v>9166</v>
      </c>
      <c r="P440" s="20" t="b">
        <v>1</v>
      </c>
      <c r="Q440" s="20" t="s">
        <v>6282</v>
      </c>
      <c r="R440" s="28" t="s">
        <v>6283</v>
      </c>
      <c r="S440" s="25"/>
      <c r="T440" s="20" t="b">
        <v>1</v>
      </c>
      <c r="U440" s="25"/>
      <c r="V440" s="25">
        <v>127.026</v>
      </c>
      <c r="W440" s="28" t="s">
        <v>9167</v>
      </c>
      <c r="X440" s="28" t="s">
        <v>6285</v>
      </c>
      <c r="Y440" s="28" t="s">
        <v>6286</v>
      </c>
      <c r="Z440" s="28" t="s">
        <v>6287</v>
      </c>
      <c r="AA440" s="28" t="s">
        <v>6288</v>
      </c>
      <c r="AB440" s="28" t="s">
        <v>6297</v>
      </c>
    </row>
    <row r="441" spans="1:28" ht="185.4" x14ac:dyDescent="0.3">
      <c r="A441" s="25">
        <v>7433</v>
      </c>
      <c r="B441" s="25" t="s">
        <v>9168</v>
      </c>
      <c r="C441" s="25" t="s">
        <v>9169</v>
      </c>
      <c r="D441" s="25" t="s">
        <v>6291</v>
      </c>
      <c r="E441" s="16" t="s">
        <v>6292</v>
      </c>
      <c r="F441" s="16" t="s">
        <v>6292</v>
      </c>
      <c r="G441" s="16" t="s">
        <v>6292</v>
      </c>
      <c r="H441" s="16" t="s">
        <v>6292</v>
      </c>
      <c r="I441" s="25" t="s">
        <v>9170</v>
      </c>
      <c r="J441" s="25"/>
      <c r="K441" s="25" t="s">
        <v>6281</v>
      </c>
      <c r="L441" s="26" t="s">
        <v>9171</v>
      </c>
      <c r="M441" s="26" t="s">
        <v>7443</v>
      </c>
      <c r="N441" s="27" t="s">
        <v>9172</v>
      </c>
      <c r="O441" s="26" t="s">
        <v>7443</v>
      </c>
      <c r="P441" s="20" t="b">
        <v>1</v>
      </c>
      <c r="Q441" s="20" t="s">
        <v>6282</v>
      </c>
      <c r="R441" s="28" t="s">
        <v>6283</v>
      </c>
      <c r="S441" s="25"/>
      <c r="T441" s="20" t="b">
        <v>1</v>
      </c>
      <c r="U441" s="25"/>
      <c r="V441" s="25">
        <v>2.36</v>
      </c>
      <c r="W441" s="28" t="s">
        <v>9173</v>
      </c>
      <c r="X441" s="28" t="s">
        <v>6285</v>
      </c>
      <c r="Y441" s="28" t="s">
        <v>6286</v>
      </c>
      <c r="Z441" s="28" t="s">
        <v>6287</v>
      </c>
      <c r="AA441" s="28" t="s">
        <v>6288</v>
      </c>
      <c r="AB441" s="28" t="s">
        <v>6297</v>
      </c>
    </row>
    <row r="442" spans="1:28" ht="185.4" x14ac:dyDescent="0.3">
      <c r="A442" s="25">
        <v>7434</v>
      </c>
      <c r="B442" s="25" t="s">
        <v>9174</v>
      </c>
      <c r="C442" s="25" t="s">
        <v>9175</v>
      </c>
      <c r="D442" s="25" t="s">
        <v>6291</v>
      </c>
      <c r="E442" s="16" t="s">
        <v>6292</v>
      </c>
      <c r="F442" s="16" t="s">
        <v>6292</v>
      </c>
      <c r="G442" s="16" t="s">
        <v>6292</v>
      </c>
      <c r="H442" s="16" t="s">
        <v>6292</v>
      </c>
      <c r="I442" s="25" t="s">
        <v>9176</v>
      </c>
      <c r="J442" s="25"/>
      <c r="K442" s="25" t="s">
        <v>6281</v>
      </c>
      <c r="L442" s="26" t="s">
        <v>9177</v>
      </c>
      <c r="M442" s="26" t="s">
        <v>7443</v>
      </c>
      <c r="N442" s="27" t="s">
        <v>9178</v>
      </c>
      <c r="O442" s="26" t="s">
        <v>7443</v>
      </c>
      <c r="P442" s="20" t="b">
        <v>1</v>
      </c>
      <c r="Q442" s="20" t="s">
        <v>6282</v>
      </c>
      <c r="R442" s="28" t="s">
        <v>6283</v>
      </c>
      <c r="S442" s="25"/>
      <c r="T442" s="20" t="b">
        <v>1</v>
      </c>
      <c r="U442" s="25"/>
      <c r="V442" s="25">
        <v>27.55</v>
      </c>
      <c r="W442" s="28" t="s">
        <v>9179</v>
      </c>
      <c r="X442" s="28" t="s">
        <v>6285</v>
      </c>
      <c r="Y442" s="28" t="s">
        <v>6286</v>
      </c>
      <c r="Z442" s="28" t="s">
        <v>6287</v>
      </c>
      <c r="AA442" s="28" t="s">
        <v>6288</v>
      </c>
      <c r="AB442" s="28" t="s">
        <v>6297</v>
      </c>
    </row>
    <row r="443" spans="1:28" ht="185.4" x14ac:dyDescent="0.3">
      <c r="A443" s="25">
        <v>7444</v>
      </c>
      <c r="B443" s="25" t="s">
        <v>9180</v>
      </c>
      <c r="C443" s="25" t="s">
        <v>9181</v>
      </c>
      <c r="D443" s="25" t="s">
        <v>6291</v>
      </c>
      <c r="E443" s="16" t="s">
        <v>6292</v>
      </c>
      <c r="F443" s="16" t="s">
        <v>6292</v>
      </c>
      <c r="G443" s="16" t="s">
        <v>6292</v>
      </c>
      <c r="H443" s="16" t="s">
        <v>6292</v>
      </c>
      <c r="I443" s="25" t="s">
        <v>9182</v>
      </c>
      <c r="J443" s="25"/>
      <c r="K443" s="25" t="s">
        <v>6281</v>
      </c>
      <c r="L443" s="26" t="s">
        <v>9183</v>
      </c>
      <c r="M443" s="26" t="s">
        <v>9184</v>
      </c>
      <c r="N443" s="27" t="s">
        <v>9185</v>
      </c>
      <c r="O443" s="26" t="s">
        <v>7443</v>
      </c>
      <c r="P443" s="20" t="b">
        <v>1</v>
      </c>
      <c r="Q443" s="20" t="s">
        <v>6282</v>
      </c>
      <c r="R443" s="28" t="s">
        <v>6283</v>
      </c>
      <c r="S443" s="25"/>
      <c r="T443" s="20" t="b">
        <v>1</v>
      </c>
      <c r="U443" s="25"/>
      <c r="V443" s="25">
        <v>1624.29</v>
      </c>
      <c r="W443" s="28" t="s">
        <v>9186</v>
      </c>
      <c r="X443" s="28" t="s">
        <v>6285</v>
      </c>
      <c r="Y443" s="28" t="s">
        <v>6286</v>
      </c>
      <c r="Z443" s="28" t="s">
        <v>6287</v>
      </c>
      <c r="AA443" s="28" t="s">
        <v>6288</v>
      </c>
      <c r="AB443" s="28" t="s">
        <v>6297</v>
      </c>
    </row>
    <row r="444" spans="1:28" ht="185.4" x14ac:dyDescent="0.3">
      <c r="A444" s="25">
        <v>7450</v>
      </c>
      <c r="B444" s="25" t="s">
        <v>9187</v>
      </c>
      <c r="C444" s="25" t="s">
        <v>9188</v>
      </c>
      <c r="D444" s="25" t="s">
        <v>6291</v>
      </c>
      <c r="E444" s="16" t="s">
        <v>8648</v>
      </c>
      <c r="F444" s="16" t="s">
        <v>8648</v>
      </c>
      <c r="G444" s="16" t="s">
        <v>8648</v>
      </c>
      <c r="H444" s="16" t="s">
        <v>8648</v>
      </c>
      <c r="I444" s="25" t="s">
        <v>9189</v>
      </c>
      <c r="J444" s="25"/>
      <c r="K444" s="25" t="s">
        <v>6281</v>
      </c>
      <c r="L444" s="26" t="s">
        <v>9190</v>
      </c>
      <c r="M444" s="26" t="s">
        <v>7443</v>
      </c>
      <c r="N444" s="27" t="s">
        <v>9191</v>
      </c>
      <c r="O444" s="26" t="s">
        <v>7443</v>
      </c>
      <c r="P444" s="20" t="b">
        <v>1</v>
      </c>
      <c r="Q444" s="20" t="s">
        <v>6282</v>
      </c>
      <c r="R444" s="28" t="s">
        <v>6283</v>
      </c>
      <c r="S444" s="25"/>
      <c r="T444" s="20" t="b">
        <v>1</v>
      </c>
      <c r="U444" s="25"/>
      <c r="V444" s="25">
        <v>564.37</v>
      </c>
      <c r="W444" s="28" t="s">
        <v>9192</v>
      </c>
      <c r="X444" s="28" t="s">
        <v>6285</v>
      </c>
      <c r="Y444" s="28" t="s">
        <v>6286</v>
      </c>
      <c r="Z444" s="28" t="s">
        <v>6287</v>
      </c>
      <c r="AA444" s="28" t="s">
        <v>6288</v>
      </c>
      <c r="AB444" s="28" t="s">
        <v>6297</v>
      </c>
    </row>
    <row r="445" spans="1:28" ht="185.4" x14ac:dyDescent="0.3">
      <c r="A445" s="25">
        <v>7455</v>
      </c>
      <c r="B445" s="25" t="s">
        <v>9193</v>
      </c>
      <c r="C445" s="25" t="s">
        <v>9194</v>
      </c>
      <c r="D445" s="25" t="s">
        <v>6291</v>
      </c>
      <c r="E445" s="16" t="s">
        <v>6292</v>
      </c>
      <c r="F445" s="16" t="s">
        <v>6292</v>
      </c>
      <c r="G445" s="16" t="s">
        <v>6292</v>
      </c>
      <c r="H445" s="16" t="s">
        <v>6292</v>
      </c>
      <c r="I445" s="25" t="s">
        <v>9195</v>
      </c>
      <c r="J445" s="25"/>
      <c r="K445" s="25" t="s">
        <v>6281</v>
      </c>
      <c r="L445" s="26" t="s">
        <v>9196</v>
      </c>
      <c r="M445" s="26" t="s">
        <v>6295</v>
      </c>
      <c r="N445" s="27" t="s">
        <v>9197</v>
      </c>
      <c r="O445" s="26" t="s">
        <v>6295</v>
      </c>
      <c r="P445" s="20" t="b">
        <v>1</v>
      </c>
      <c r="Q445" s="20" t="s">
        <v>6282</v>
      </c>
      <c r="R445" s="28" t="s">
        <v>6283</v>
      </c>
      <c r="S445" s="25"/>
      <c r="T445" s="20" t="b">
        <v>1</v>
      </c>
      <c r="U445" s="25"/>
      <c r="V445" s="25">
        <v>17.22</v>
      </c>
      <c r="W445" s="28" t="s">
        <v>9198</v>
      </c>
      <c r="X445" s="28" t="s">
        <v>6285</v>
      </c>
      <c r="Y445" s="28" t="s">
        <v>6286</v>
      </c>
      <c r="Z445" s="28" t="s">
        <v>6287</v>
      </c>
      <c r="AA445" s="28" t="s">
        <v>6288</v>
      </c>
      <c r="AB445" s="28" t="s">
        <v>6297</v>
      </c>
    </row>
    <row r="446" spans="1:28" ht="198.6" x14ac:dyDescent="0.3">
      <c r="A446" s="25">
        <v>7458</v>
      </c>
      <c r="B446" s="25" t="s">
        <v>9199</v>
      </c>
      <c r="C446" s="25" t="s">
        <v>9200</v>
      </c>
      <c r="D446" s="25" t="s">
        <v>6291</v>
      </c>
      <c r="E446" s="16" t="s">
        <v>6786</v>
      </c>
      <c r="F446" s="16" t="s">
        <v>6786</v>
      </c>
      <c r="G446" s="16" t="s">
        <v>6786</v>
      </c>
      <c r="H446" s="16" t="s">
        <v>6786</v>
      </c>
      <c r="I446" s="25" t="s">
        <v>9201</v>
      </c>
      <c r="J446" s="25"/>
      <c r="K446" s="25" t="s">
        <v>6281</v>
      </c>
      <c r="L446" s="26" t="s">
        <v>9202</v>
      </c>
      <c r="M446" s="26" t="s">
        <v>9203</v>
      </c>
      <c r="N446" s="27" t="s">
        <v>9204</v>
      </c>
      <c r="O446" s="26" t="s">
        <v>6295</v>
      </c>
      <c r="P446" s="20" t="b">
        <v>1</v>
      </c>
      <c r="Q446" s="20" t="s">
        <v>6282</v>
      </c>
      <c r="R446" s="28" t="s">
        <v>6283</v>
      </c>
      <c r="S446" s="25"/>
      <c r="T446" s="20" t="b">
        <v>1</v>
      </c>
      <c r="U446" s="25"/>
      <c r="V446" s="25">
        <v>32.716700000000003</v>
      </c>
      <c r="W446" s="28" t="s">
        <v>9205</v>
      </c>
      <c r="X446" s="28" t="s">
        <v>6285</v>
      </c>
      <c r="Y446" s="28" t="s">
        <v>6286</v>
      </c>
      <c r="Z446" s="28" t="s">
        <v>6287</v>
      </c>
      <c r="AA446" s="28" t="s">
        <v>6288</v>
      </c>
      <c r="AB446" s="28" t="s">
        <v>6297</v>
      </c>
    </row>
    <row r="447" spans="1:28" ht="185.4" x14ac:dyDescent="0.3">
      <c r="A447" s="25">
        <v>7466</v>
      </c>
      <c r="B447" s="25" t="s">
        <v>9206</v>
      </c>
      <c r="C447" s="25" t="s">
        <v>9207</v>
      </c>
      <c r="D447" s="25" t="s">
        <v>6291</v>
      </c>
      <c r="E447" s="16" t="s">
        <v>6292</v>
      </c>
      <c r="F447" s="16" t="s">
        <v>6292</v>
      </c>
      <c r="G447" s="16" t="s">
        <v>6292</v>
      </c>
      <c r="H447" s="16" t="s">
        <v>6292</v>
      </c>
      <c r="I447" s="25" t="s">
        <v>9208</v>
      </c>
      <c r="J447" s="25"/>
      <c r="K447" s="25" t="s">
        <v>6281</v>
      </c>
      <c r="L447" s="26" t="s">
        <v>9209</v>
      </c>
      <c r="M447" s="26" t="s">
        <v>6295</v>
      </c>
      <c r="N447" s="27" t="s">
        <v>9210</v>
      </c>
      <c r="O447" s="26" t="s">
        <v>6295</v>
      </c>
      <c r="P447" s="20" t="b">
        <v>1</v>
      </c>
      <c r="Q447" s="20" t="s">
        <v>6282</v>
      </c>
      <c r="R447" s="28" t="s">
        <v>6283</v>
      </c>
      <c r="S447" s="25"/>
      <c r="T447" s="20" t="b">
        <v>1</v>
      </c>
      <c r="U447" s="25"/>
      <c r="V447" s="25">
        <v>427.34</v>
      </c>
      <c r="W447" s="28" t="s">
        <v>9211</v>
      </c>
      <c r="X447" s="28" t="s">
        <v>6285</v>
      </c>
      <c r="Y447" s="28" t="s">
        <v>6286</v>
      </c>
      <c r="Z447" s="28" t="s">
        <v>6287</v>
      </c>
      <c r="AA447" s="28" t="s">
        <v>6288</v>
      </c>
      <c r="AB447" s="28" t="s">
        <v>6297</v>
      </c>
    </row>
    <row r="448" spans="1:28" ht="185.4" x14ac:dyDescent="0.3">
      <c r="A448" s="25">
        <v>7468</v>
      </c>
      <c r="B448" s="25" t="s">
        <v>9212</v>
      </c>
      <c r="C448" s="25" t="s">
        <v>9213</v>
      </c>
      <c r="D448" s="25" t="s">
        <v>6278</v>
      </c>
      <c r="E448" s="16" t="s">
        <v>6279</v>
      </c>
      <c r="F448" s="16" t="s">
        <v>6279</v>
      </c>
      <c r="G448" s="16" t="s">
        <v>6279</v>
      </c>
      <c r="H448" s="16" t="s">
        <v>6279</v>
      </c>
      <c r="I448" s="25" t="s">
        <v>9214</v>
      </c>
      <c r="J448" s="25"/>
      <c r="K448" s="25" t="s">
        <v>6281</v>
      </c>
      <c r="L448" s="26" t="s">
        <v>9215</v>
      </c>
      <c r="M448" s="26" t="s">
        <v>9216</v>
      </c>
      <c r="N448" s="27" t="s">
        <v>9217</v>
      </c>
      <c r="O448" s="26" t="s">
        <v>9218</v>
      </c>
      <c r="P448" s="20" t="b">
        <v>1</v>
      </c>
      <c r="Q448" s="20" t="s">
        <v>6282</v>
      </c>
      <c r="R448" s="28" t="s">
        <v>6283</v>
      </c>
      <c r="S448" s="25"/>
      <c r="T448" s="20" t="b">
        <v>1</v>
      </c>
      <c r="U448" s="25"/>
      <c r="V448" s="25">
        <v>1702.2747999999999</v>
      </c>
      <c r="W448" s="28" t="s">
        <v>9219</v>
      </c>
      <c r="X448" s="28" t="s">
        <v>6285</v>
      </c>
      <c r="Y448" s="28" t="s">
        <v>6286</v>
      </c>
      <c r="Z448" s="28" t="s">
        <v>6287</v>
      </c>
      <c r="AA448" s="28" t="s">
        <v>6288</v>
      </c>
      <c r="AB448" s="28" t="s">
        <v>6297</v>
      </c>
    </row>
    <row r="449" spans="1:28" ht="185.4" x14ac:dyDescent="0.3">
      <c r="A449" s="25">
        <v>7470</v>
      </c>
      <c r="B449" s="25" t="s">
        <v>9220</v>
      </c>
      <c r="C449" s="25" t="s">
        <v>9221</v>
      </c>
      <c r="D449" s="25" t="s">
        <v>6291</v>
      </c>
      <c r="E449" s="16" t="s">
        <v>8648</v>
      </c>
      <c r="F449" s="16" t="s">
        <v>8648</v>
      </c>
      <c r="G449" s="16" t="s">
        <v>8648</v>
      </c>
      <c r="H449" s="16" t="s">
        <v>8648</v>
      </c>
      <c r="I449" s="25" t="s">
        <v>9222</v>
      </c>
      <c r="J449" s="25"/>
      <c r="K449" s="25" t="s">
        <v>6281</v>
      </c>
      <c r="L449" s="26" t="s">
        <v>9223</v>
      </c>
      <c r="M449" s="26" t="s">
        <v>7443</v>
      </c>
      <c r="N449" s="27" t="s">
        <v>9191</v>
      </c>
      <c r="O449" s="26" t="s">
        <v>7443</v>
      </c>
      <c r="P449" s="20" t="b">
        <v>1</v>
      </c>
      <c r="Q449" s="20" t="s">
        <v>6282</v>
      </c>
      <c r="R449" s="28" t="s">
        <v>6283</v>
      </c>
      <c r="S449" s="25"/>
      <c r="T449" s="20" t="b">
        <v>1</v>
      </c>
      <c r="U449" s="25"/>
      <c r="V449" s="25">
        <v>64.48</v>
      </c>
      <c r="W449" s="28" t="s">
        <v>9224</v>
      </c>
      <c r="X449" s="28" t="s">
        <v>6285</v>
      </c>
      <c r="Y449" s="28" t="s">
        <v>6286</v>
      </c>
      <c r="Z449" s="28" t="s">
        <v>6287</v>
      </c>
      <c r="AA449" s="28" t="s">
        <v>6288</v>
      </c>
      <c r="AB449" s="28" t="s">
        <v>6297</v>
      </c>
    </row>
    <row r="450" spans="1:28" ht="185.4" x14ac:dyDescent="0.3">
      <c r="A450" s="25">
        <v>7479</v>
      </c>
      <c r="B450" s="25" t="s">
        <v>9225</v>
      </c>
      <c r="C450" s="25" t="s">
        <v>9226</v>
      </c>
      <c r="D450" s="25" t="s">
        <v>6291</v>
      </c>
      <c r="E450" s="16" t="s">
        <v>6292</v>
      </c>
      <c r="F450" s="16" t="s">
        <v>6292</v>
      </c>
      <c r="G450" s="16" t="s">
        <v>6292</v>
      </c>
      <c r="H450" s="16" t="s">
        <v>6292</v>
      </c>
      <c r="I450" s="25" t="s">
        <v>9227</v>
      </c>
      <c r="J450" s="25"/>
      <c r="K450" s="25" t="s">
        <v>6281</v>
      </c>
      <c r="L450" s="26" t="s">
        <v>9228</v>
      </c>
      <c r="M450" s="26" t="s">
        <v>7443</v>
      </c>
      <c r="N450" s="27" t="s">
        <v>9229</v>
      </c>
      <c r="O450" s="26" t="s">
        <v>7443</v>
      </c>
      <c r="P450" s="20" t="b">
        <v>1</v>
      </c>
      <c r="Q450" s="20" t="s">
        <v>6282</v>
      </c>
      <c r="R450" s="28" t="s">
        <v>6283</v>
      </c>
      <c r="S450" s="25"/>
      <c r="T450" s="20" t="b">
        <v>1</v>
      </c>
      <c r="U450" s="25"/>
      <c r="V450" s="25">
        <v>222.81</v>
      </c>
      <c r="W450" s="28" t="s">
        <v>9230</v>
      </c>
      <c r="X450" s="28" t="s">
        <v>6285</v>
      </c>
      <c r="Y450" s="28" t="s">
        <v>6286</v>
      </c>
      <c r="Z450" s="28" t="s">
        <v>6287</v>
      </c>
      <c r="AA450" s="28" t="s">
        <v>6288</v>
      </c>
      <c r="AB450" s="28" t="s">
        <v>6297</v>
      </c>
    </row>
    <row r="451" spans="1:28" ht="185.4" x14ac:dyDescent="0.3">
      <c r="A451" s="25">
        <v>7481</v>
      </c>
      <c r="B451" s="25" t="s">
        <v>9231</v>
      </c>
      <c r="C451" s="25" t="s">
        <v>9232</v>
      </c>
      <c r="D451" s="25" t="s">
        <v>6291</v>
      </c>
      <c r="E451" s="16" t="s">
        <v>6292</v>
      </c>
      <c r="F451" s="16" t="s">
        <v>6292</v>
      </c>
      <c r="G451" s="16" t="s">
        <v>6292</v>
      </c>
      <c r="H451" s="16" t="s">
        <v>6292</v>
      </c>
      <c r="I451" s="25" t="s">
        <v>9233</v>
      </c>
      <c r="J451" s="25"/>
      <c r="K451" s="25" t="s">
        <v>6281</v>
      </c>
      <c r="L451" s="26" t="s">
        <v>9234</v>
      </c>
      <c r="M451" s="26" t="s">
        <v>7443</v>
      </c>
      <c r="N451" s="27" t="s">
        <v>9235</v>
      </c>
      <c r="O451" s="26" t="s">
        <v>7443</v>
      </c>
      <c r="P451" s="20" t="b">
        <v>1</v>
      </c>
      <c r="Q451" s="20" t="s">
        <v>6282</v>
      </c>
      <c r="R451" s="28" t="s">
        <v>6283</v>
      </c>
      <c r="S451" s="25"/>
      <c r="T451" s="20" t="b">
        <v>1</v>
      </c>
      <c r="U451" s="25"/>
      <c r="V451" s="25">
        <v>3.32</v>
      </c>
      <c r="W451" s="28" t="s">
        <v>9236</v>
      </c>
      <c r="X451" s="28" t="s">
        <v>6285</v>
      </c>
      <c r="Y451" s="28" t="s">
        <v>6286</v>
      </c>
      <c r="Z451" s="28" t="s">
        <v>6287</v>
      </c>
      <c r="AA451" s="28" t="s">
        <v>6288</v>
      </c>
      <c r="AB451" s="28" t="s">
        <v>6297</v>
      </c>
    </row>
    <row r="452" spans="1:28" ht="185.4" x14ac:dyDescent="0.3">
      <c r="A452" s="25">
        <v>7482</v>
      </c>
      <c r="B452" s="25" t="s">
        <v>9237</v>
      </c>
      <c r="C452" s="25" t="s">
        <v>6277</v>
      </c>
      <c r="D452" s="25" t="s">
        <v>6278</v>
      </c>
      <c r="E452" s="16" t="s">
        <v>6279</v>
      </c>
      <c r="F452" s="16" t="s">
        <v>6279</v>
      </c>
      <c r="G452" s="16" t="s">
        <v>6279</v>
      </c>
      <c r="H452" s="16" t="s">
        <v>6279</v>
      </c>
      <c r="I452" s="25" t="s">
        <v>9238</v>
      </c>
      <c r="J452" s="25"/>
      <c r="K452" s="25" t="s">
        <v>6281</v>
      </c>
      <c r="L452" s="26" t="s">
        <v>9239</v>
      </c>
      <c r="M452" s="26" t="s">
        <v>9240</v>
      </c>
      <c r="N452" s="27" t="s">
        <v>9241</v>
      </c>
      <c r="O452" s="26" t="s">
        <v>9242</v>
      </c>
      <c r="P452" s="20" t="b">
        <v>1</v>
      </c>
      <c r="Q452" s="20" t="s">
        <v>6282</v>
      </c>
      <c r="R452" s="28" t="s">
        <v>6283</v>
      </c>
      <c r="S452" s="25"/>
      <c r="T452" s="20" t="b">
        <v>1</v>
      </c>
      <c r="U452" s="25"/>
      <c r="V452" s="25">
        <v>1702.2747999999999</v>
      </c>
      <c r="W452" s="28" t="s">
        <v>9243</v>
      </c>
      <c r="X452" s="28" t="s">
        <v>6285</v>
      </c>
      <c r="Y452" s="28" t="s">
        <v>6286</v>
      </c>
      <c r="Z452" s="28" t="s">
        <v>6287</v>
      </c>
      <c r="AA452" s="28" t="s">
        <v>6288</v>
      </c>
      <c r="AB452" s="28" t="s">
        <v>6297</v>
      </c>
    </row>
    <row r="453" spans="1:28" ht="185.4" x14ac:dyDescent="0.3">
      <c r="A453" s="25">
        <v>7485</v>
      </c>
      <c r="B453" s="25" t="s">
        <v>9244</v>
      </c>
      <c r="C453" s="25" t="s">
        <v>9245</v>
      </c>
      <c r="D453" s="25" t="s">
        <v>6278</v>
      </c>
      <c r="E453" s="16" t="s">
        <v>6279</v>
      </c>
      <c r="F453" s="16" t="s">
        <v>6279</v>
      </c>
      <c r="G453" s="16" t="s">
        <v>6279</v>
      </c>
      <c r="H453" s="16" t="s">
        <v>6279</v>
      </c>
      <c r="I453" s="25" t="s">
        <v>9246</v>
      </c>
      <c r="J453" s="25"/>
      <c r="K453" s="25" t="s">
        <v>6281</v>
      </c>
      <c r="L453" s="26" t="s">
        <v>9247</v>
      </c>
      <c r="M453" s="26" t="s">
        <v>6295</v>
      </c>
      <c r="N453" s="27" t="s">
        <v>9248</v>
      </c>
      <c r="O453" s="26" t="s">
        <v>6295</v>
      </c>
      <c r="P453" s="20" t="b">
        <v>1</v>
      </c>
      <c r="Q453" s="20" t="s">
        <v>6282</v>
      </c>
      <c r="R453" s="28" t="s">
        <v>6283</v>
      </c>
      <c r="S453" s="25"/>
      <c r="T453" s="20" t="b">
        <v>1</v>
      </c>
      <c r="U453" s="25"/>
      <c r="V453" s="25">
        <v>2221.7600000000002</v>
      </c>
      <c r="W453" s="28" t="s">
        <v>9249</v>
      </c>
      <c r="X453" s="28" t="s">
        <v>6285</v>
      </c>
      <c r="Y453" s="28" t="s">
        <v>6286</v>
      </c>
      <c r="Z453" s="28" t="s">
        <v>6287</v>
      </c>
      <c r="AA453" s="28" t="s">
        <v>6288</v>
      </c>
      <c r="AB453" s="28" t="s">
        <v>6297</v>
      </c>
    </row>
    <row r="454" spans="1:28" ht="185.4" x14ac:dyDescent="0.3">
      <c r="A454" s="25">
        <v>7487</v>
      </c>
      <c r="B454" s="25" t="s">
        <v>9250</v>
      </c>
      <c r="C454" s="25" t="s">
        <v>9251</v>
      </c>
      <c r="D454" s="25" t="s">
        <v>6291</v>
      </c>
      <c r="E454" s="16" t="s">
        <v>6292</v>
      </c>
      <c r="F454" s="16" t="s">
        <v>6292</v>
      </c>
      <c r="G454" s="16" t="s">
        <v>6292</v>
      </c>
      <c r="H454" s="16" t="s">
        <v>6292</v>
      </c>
      <c r="I454" s="25" t="s">
        <v>9252</v>
      </c>
      <c r="J454" s="25"/>
      <c r="K454" s="25" t="s">
        <v>6281</v>
      </c>
      <c r="L454" s="26" t="s">
        <v>9253</v>
      </c>
      <c r="M454" s="26" t="s">
        <v>6295</v>
      </c>
      <c r="N454" s="27" t="s">
        <v>9254</v>
      </c>
      <c r="O454" s="26" t="s">
        <v>6295</v>
      </c>
      <c r="P454" s="20" t="b">
        <v>1</v>
      </c>
      <c r="Q454" s="20" t="s">
        <v>6282</v>
      </c>
      <c r="R454" s="28" t="s">
        <v>6283</v>
      </c>
      <c r="S454" s="25"/>
      <c r="T454" s="20" t="b">
        <v>1</v>
      </c>
      <c r="U454" s="25"/>
      <c r="V454" s="25">
        <v>133.43</v>
      </c>
      <c r="W454" s="28" t="s">
        <v>9255</v>
      </c>
      <c r="X454" s="28" t="s">
        <v>6285</v>
      </c>
      <c r="Y454" s="28" t="s">
        <v>6286</v>
      </c>
      <c r="Z454" s="28" t="s">
        <v>6287</v>
      </c>
      <c r="AA454" s="28" t="s">
        <v>6288</v>
      </c>
      <c r="AB454" s="28" t="s">
        <v>6297</v>
      </c>
    </row>
    <row r="455" spans="1:28" ht="185.4" x14ac:dyDescent="0.3">
      <c r="A455" s="25">
        <v>7493</v>
      </c>
      <c r="B455" s="25" t="s">
        <v>9256</v>
      </c>
      <c r="C455" s="25" t="s">
        <v>9257</v>
      </c>
      <c r="D455" s="25" t="s">
        <v>6291</v>
      </c>
      <c r="E455" s="16" t="s">
        <v>6786</v>
      </c>
      <c r="F455" s="16" t="s">
        <v>6786</v>
      </c>
      <c r="G455" s="16" t="s">
        <v>6786</v>
      </c>
      <c r="H455" s="16" t="s">
        <v>6786</v>
      </c>
      <c r="I455" s="25" t="s">
        <v>9258</v>
      </c>
      <c r="J455" s="25"/>
      <c r="K455" s="25" t="s">
        <v>6281</v>
      </c>
      <c r="L455" s="26" t="s">
        <v>9259</v>
      </c>
      <c r="M455" s="26" t="s">
        <v>6295</v>
      </c>
      <c r="N455" s="27" t="s">
        <v>9260</v>
      </c>
      <c r="O455" s="26" t="s">
        <v>6295</v>
      </c>
      <c r="P455" s="20" t="b">
        <v>1</v>
      </c>
      <c r="Q455" s="20" t="s">
        <v>6282</v>
      </c>
      <c r="R455" s="28" t="s">
        <v>6283</v>
      </c>
      <c r="S455" s="25"/>
      <c r="T455" s="20" t="b">
        <v>1</v>
      </c>
      <c r="U455" s="25"/>
      <c r="V455" s="25">
        <v>3.4636</v>
      </c>
      <c r="W455" s="28" t="s">
        <v>9261</v>
      </c>
      <c r="X455" s="28" t="s">
        <v>6285</v>
      </c>
      <c r="Y455" s="28" t="s">
        <v>6286</v>
      </c>
      <c r="Z455" s="28" t="s">
        <v>6287</v>
      </c>
      <c r="AA455" s="28" t="s">
        <v>6288</v>
      </c>
      <c r="AB455" s="28" t="s">
        <v>6297</v>
      </c>
    </row>
    <row r="456" spans="1:28" ht="193.2" x14ac:dyDescent="0.3">
      <c r="A456" s="25">
        <v>7495</v>
      </c>
      <c r="B456" s="25" t="s">
        <v>9262</v>
      </c>
      <c r="C456" s="25" t="s">
        <v>9263</v>
      </c>
      <c r="D456" s="25" t="s">
        <v>6278</v>
      </c>
      <c r="E456" s="16" t="s">
        <v>6279</v>
      </c>
      <c r="F456" s="16" t="s">
        <v>6279</v>
      </c>
      <c r="G456" s="16" t="s">
        <v>6279</v>
      </c>
      <c r="H456" s="16" t="s">
        <v>6279</v>
      </c>
      <c r="I456" s="25" t="s">
        <v>9264</v>
      </c>
      <c r="J456" s="25"/>
      <c r="K456" s="25" t="s">
        <v>6281</v>
      </c>
      <c r="L456" s="26" t="s">
        <v>9265</v>
      </c>
      <c r="M456" s="26" t="s">
        <v>9266</v>
      </c>
      <c r="N456" s="27" t="s">
        <v>9267</v>
      </c>
      <c r="O456" s="26" t="s">
        <v>9268</v>
      </c>
      <c r="P456" s="20" t="b">
        <v>1</v>
      </c>
      <c r="Q456" s="20" t="s">
        <v>6282</v>
      </c>
      <c r="R456" s="28" t="s">
        <v>6283</v>
      </c>
      <c r="S456" s="25"/>
      <c r="T456" s="20" t="b">
        <v>1</v>
      </c>
      <c r="U456" s="25"/>
      <c r="V456" s="25">
        <v>1702.2747999999999</v>
      </c>
      <c r="W456" s="28" t="s">
        <v>9269</v>
      </c>
      <c r="X456" s="28" t="s">
        <v>6285</v>
      </c>
      <c r="Y456" s="28" t="s">
        <v>6286</v>
      </c>
      <c r="Z456" s="28" t="s">
        <v>6287</v>
      </c>
      <c r="AA456" s="28" t="s">
        <v>6288</v>
      </c>
      <c r="AB456" s="28" t="s">
        <v>6297</v>
      </c>
    </row>
    <row r="457" spans="1:28" ht="185.4" x14ac:dyDescent="0.3">
      <c r="A457" s="25">
        <v>7498</v>
      </c>
      <c r="B457" s="25" t="s">
        <v>9270</v>
      </c>
      <c r="C457" s="25" t="s">
        <v>9271</v>
      </c>
      <c r="D457" s="25" t="s">
        <v>6291</v>
      </c>
      <c r="E457" s="16" t="s">
        <v>6292</v>
      </c>
      <c r="F457" s="16" t="s">
        <v>6292</v>
      </c>
      <c r="G457" s="16" t="s">
        <v>6292</v>
      </c>
      <c r="H457" s="16" t="s">
        <v>6292</v>
      </c>
      <c r="I457" s="25" t="s">
        <v>9272</v>
      </c>
      <c r="J457" s="25"/>
      <c r="K457" s="25" t="s">
        <v>6281</v>
      </c>
      <c r="L457" s="26" t="s">
        <v>9234</v>
      </c>
      <c r="M457" s="26" t="s">
        <v>7220</v>
      </c>
      <c r="N457" s="27" t="s">
        <v>9235</v>
      </c>
      <c r="O457" s="26" t="s">
        <v>7220</v>
      </c>
      <c r="P457" s="20" t="b">
        <v>1</v>
      </c>
      <c r="Q457" s="20" t="s">
        <v>6282</v>
      </c>
      <c r="R457" s="28" t="s">
        <v>6283</v>
      </c>
      <c r="S457" s="25"/>
      <c r="T457" s="20" t="b">
        <v>1</v>
      </c>
      <c r="U457" s="25"/>
      <c r="V457" s="25">
        <v>3.56</v>
      </c>
      <c r="W457" s="28" t="s">
        <v>9273</v>
      </c>
      <c r="X457" s="28" t="s">
        <v>6285</v>
      </c>
      <c r="Y457" s="28" t="s">
        <v>6286</v>
      </c>
      <c r="Z457" s="28" t="s">
        <v>6287</v>
      </c>
      <c r="AA457" s="28" t="s">
        <v>6288</v>
      </c>
      <c r="AB457" s="28" t="s">
        <v>6297</v>
      </c>
    </row>
    <row r="458" spans="1:28" ht="185.4" x14ac:dyDescent="0.3">
      <c r="A458" s="25">
        <v>7500</v>
      </c>
      <c r="B458" s="25" t="s">
        <v>9274</v>
      </c>
      <c r="C458" s="25" t="s">
        <v>9275</v>
      </c>
      <c r="D458" s="25" t="s">
        <v>6278</v>
      </c>
      <c r="E458" s="16" t="s">
        <v>6279</v>
      </c>
      <c r="F458" s="16" t="s">
        <v>6279</v>
      </c>
      <c r="G458" s="16" t="s">
        <v>6279</v>
      </c>
      <c r="H458" s="16" t="s">
        <v>6279</v>
      </c>
      <c r="I458" s="25" t="s">
        <v>9276</v>
      </c>
      <c r="J458" s="25"/>
      <c r="K458" s="25" t="s">
        <v>6281</v>
      </c>
      <c r="L458" s="26" t="s">
        <v>9277</v>
      </c>
      <c r="M458" s="26" t="s">
        <v>9278</v>
      </c>
      <c r="N458" s="27" t="s">
        <v>9279</v>
      </c>
      <c r="O458" s="26" t="s">
        <v>9280</v>
      </c>
      <c r="P458" s="20" t="b">
        <v>1</v>
      </c>
      <c r="Q458" s="20" t="s">
        <v>6282</v>
      </c>
      <c r="R458" s="28" t="s">
        <v>6283</v>
      </c>
      <c r="S458" s="25"/>
      <c r="T458" s="20" t="b">
        <v>1</v>
      </c>
      <c r="U458" s="25"/>
      <c r="V458" s="25">
        <v>1702.2747999999999</v>
      </c>
      <c r="W458" s="28" t="s">
        <v>9281</v>
      </c>
      <c r="X458" s="28" t="s">
        <v>6285</v>
      </c>
      <c r="Y458" s="28" t="s">
        <v>6286</v>
      </c>
      <c r="Z458" s="28" t="s">
        <v>6287</v>
      </c>
      <c r="AA458" s="28" t="s">
        <v>6288</v>
      </c>
      <c r="AB458" s="28" t="s">
        <v>6297</v>
      </c>
    </row>
    <row r="459" spans="1:28" ht="185.4" x14ac:dyDescent="0.3">
      <c r="A459" s="25">
        <v>7501</v>
      </c>
      <c r="B459" s="25" t="s">
        <v>9282</v>
      </c>
      <c r="C459" s="25" t="s">
        <v>9283</v>
      </c>
      <c r="D459" s="25" t="s">
        <v>6278</v>
      </c>
      <c r="E459" s="16" t="s">
        <v>6279</v>
      </c>
      <c r="F459" s="16" t="s">
        <v>6279</v>
      </c>
      <c r="G459" s="16" t="s">
        <v>6279</v>
      </c>
      <c r="H459" s="16" t="s">
        <v>6279</v>
      </c>
      <c r="I459" s="25" t="s">
        <v>9284</v>
      </c>
      <c r="J459" s="25"/>
      <c r="K459" s="25" t="s">
        <v>6281</v>
      </c>
      <c r="L459" s="26" t="s">
        <v>9285</v>
      </c>
      <c r="M459" s="26" t="s">
        <v>9278</v>
      </c>
      <c r="N459" s="27" t="s">
        <v>9286</v>
      </c>
      <c r="O459" s="26" t="s">
        <v>9287</v>
      </c>
      <c r="P459" s="20" t="b">
        <v>1</v>
      </c>
      <c r="Q459" s="20" t="s">
        <v>6282</v>
      </c>
      <c r="R459" s="28" t="s">
        <v>6283</v>
      </c>
      <c r="S459" s="25"/>
      <c r="T459" s="20" t="b">
        <v>1</v>
      </c>
      <c r="U459" s="25"/>
      <c r="V459" s="25">
        <v>1702.2747999999999</v>
      </c>
      <c r="W459" s="28" t="s">
        <v>9288</v>
      </c>
      <c r="X459" s="28" t="s">
        <v>6285</v>
      </c>
      <c r="Y459" s="28" t="s">
        <v>6286</v>
      </c>
      <c r="Z459" s="28" t="s">
        <v>6287</v>
      </c>
      <c r="AA459" s="28" t="s">
        <v>6288</v>
      </c>
      <c r="AB459" s="28" t="s">
        <v>6297</v>
      </c>
    </row>
    <row r="460" spans="1:28" ht="185.4" x14ac:dyDescent="0.3">
      <c r="A460" s="25">
        <v>7506</v>
      </c>
      <c r="B460" s="25" t="s">
        <v>9289</v>
      </c>
      <c r="C460" s="25" t="s">
        <v>9290</v>
      </c>
      <c r="D460" s="25" t="s">
        <v>6278</v>
      </c>
      <c r="E460" s="16" t="s">
        <v>6279</v>
      </c>
      <c r="F460" s="16" t="s">
        <v>6279</v>
      </c>
      <c r="G460" s="16" t="s">
        <v>6279</v>
      </c>
      <c r="H460" s="16" t="s">
        <v>6279</v>
      </c>
      <c r="I460" s="25" t="s">
        <v>9291</v>
      </c>
      <c r="J460" s="25"/>
      <c r="K460" s="25" t="s">
        <v>6281</v>
      </c>
      <c r="L460" s="26" t="s">
        <v>9292</v>
      </c>
      <c r="M460" s="26" t="s">
        <v>9293</v>
      </c>
      <c r="N460" s="27" t="s">
        <v>9294</v>
      </c>
      <c r="O460" s="26" t="s">
        <v>6295</v>
      </c>
      <c r="P460" s="20" t="b">
        <v>1</v>
      </c>
      <c r="Q460" s="20" t="s">
        <v>6282</v>
      </c>
      <c r="R460" s="28" t="s">
        <v>6283</v>
      </c>
      <c r="S460" s="25"/>
      <c r="T460" s="20" t="b">
        <v>1</v>
      </c>
      <c r="U460" s="25"/>
      <c r="V460" s="25">
        <v>222.77</v>
      </c>
      <c r="W460" s="28" t="s">
        <v>9295</v>
      </c>
      <c r="X460" s="28" t="s">
        <v>6285</v>
      </c>
      <c r="Y460" s="28" t="s">
        <v>6286</v>
      </c>
      <c r="Z460" s="28" t="s">
        <v>6287</v>
      </c>
      <c r="AA460" s="28" t="s">
        <v>6288</v>
      </c>
      <c r="AB460" s="28" t="s">
        <v>6297</v>
      </c>
    </row>
    <row r="461" spans="1:28" ht="185.4" x14ac:dyDescent="0.3">
      <c r="A461" s="25">
        <v>7509</v>
      </c>
      <c r="B461" s="25" t="s">
        <v>9296</v>
      </c>
      <c r="C461" s="25" t="s">
        <v>9297</v>
      </c>
      <c r="D461" s="25" t="s">
        <v>6291</v>
      </c>
      <c r="E461" s="16" t="s">
        <v>6292</v>
      </c>
      <c r="F461" s="16" t="s">
        <v>6292</v>
      </c>
      <c r="G461" s="16" t="s">
        <v>6292</v>
      </c>
      <c r="H461" s="16" t="s">
        <v>6292</v>
      </c>
      <c r="I461" s="25" t="s">
        <v>9298</v>
      </c>
      <c r="J461" s="25"/>
      <c r="K461" s="25" t="s">
        <v>6281</v>
      </c>
      <c r="L461" s="26" t="s">
        <v>9299</v>
      </c>
      <c r="M461" s="26" t="s">
        <v>9300</v>
      </c>
      <c r="N461" s="27" t="s">
        <v>9301</v>
      </c>
      <c r="O461" s="26" t="s">
        <v>9302</v>
      </c>
      <c r="P461" s="20" t="b">
        <v>1</v>
      </c>
      <c r="Q461" s="20" t="s">
        <v>6282</v>
      </c>
      <c r="R461" s="28" t="s">
        <v>6283</v>
      </c>
      <c r="S461" s="25"/>
      <c r="T461" s="20" t="b">
        <v>1</v>
      </c>
      <c r="U461" s="25"/>
      <c r="V461" s="25">
        <v>102.18</v>
      </c>
      <c r="W461" s="28" t="s">
        <v>9303</v>
      </c>
      <c r="X461" s="28" t="s">
        <v>6285</v>
      </c>
      <c r="Y461" s="28" t="s">
        <v>6286</v>
      </c>
      <c r="Z461" s="28" t="s">
        <v>6287</v>
      </c>
      <c r="AA461" s="28" t="s">
        <v>6288</v>
      </c>
      <c r="AB461" s="28" t="s">
        <v>6297</v>
      </c>
    </row>
    <row r="462" spans="1:28" ht="185.4" x14ac:dyDescent="0.3">
      <c r="A462" s="25">
        <v>7510</v>
      </c>
      <c r="B462" s="25" t="s">
        <v>9304</v>
      </c>
      <c r="C462" s="25" t="s">
        <v>9305</v>
      </c>
      <c r="D462" s="25" t="s">
        <v>6278</v>
      </c>
      <c r="E462" s="16" t="s">
        <v>6279</v>
      </c>
      <c r="F462" s="16" t="s">
        <v>6279</v>
      </c>
      <c r="G462" s="16" t="s">
        <v>6279</v>
      </c>
      <c r="H462" s="16" t="s">
        <v>6279</v>
      </c>
      <c r="I462" s="25" t="s">
        <v>9306</v>
      </c>
      <c r="J462" s="25"/>
      <c r="K462" s="25" t="s">
        <v>6281</v>
      </c>
      <c r="L462" s="26" t="s">
        <v>9307</v>
      </c>
      <c r="M462" s="26" t="s">
        <v>9308</v>
      </c>
      <c r="N462" s="27" t="s">
        <v>9309</v>
      </c>
      <c r="O462" s="26" t="s">
        <v>6295</v>
      </c>
      <c r="P462" s="20" t="b">
        <v>1</v>
      </c>
      <c r="Q462" s="20" t="s">
        <v>6282</v>
      </c>
      <c r="R462" s="28" t="s">
        <v>6283</v>
      </c>
      <c r="S462" s="25"/>
      <c r="T462" s="20" t="b">
        <v>1</v>
      </c>
      <c r="U462" s="25"/>
      <c r="V462" s="25">
        <v>425.67</v>
      </c>
      <c r="W462" s="28" t="s">
        <v>9310</v>
      </c>
      <c r="X462" s="28" t="s">
        <v>6285</v>
      </c>
      <c r="Y462" s="28" t="s">
        <v>6286</v>
      </c>
      <c r="Z462" s="28" t="s">
        <v>6287</v>
      </c>
      <c r="AA462" s="28" t="s">
        <v>6288</v>
      </c>
      <c r="AB462" s="28" t="s">
        <v>6297</v>
      </c>
    </row>
    <row r="463" spans="1:28" ht="185.4" x14ac:dyDescent="0.3">
      <c r="A463" s="25">
        <v>7523</v>
      </c>
      <c r="B463" s="25" t="s">
        <v>9311</v>
      </c>
      <c r="C463" s="25" t="s">
        <v>6295</v>
      </c>
      <c r="D463" s="25" t="s">
        <v>6291</v>
      </c>
      <c r="E463" s="16" t="s">
        <v>6292</v>
      </c>
      <c r="F463" s="16" t="s">
        <v>6292</v>
      </c>
      <c r="G463" s="16" t="s">
        <v>6292</v>
      </c>
      <c r="H463" s="16" t="s">
        <v>6292</v>
      </c>
      <c r="I463" s="25" t="s">
        <v>9312</v>
      </c>
      <c r="J463" s="25"/>
      <c r="K463" s="25" t="s">
        <v>6281</v>
      </c>
      <c r="L463" s="26" t="s">
        <v>9313</v>
      </c>
      <c r="M463" s="26" t="s">
        <v>9314</v>
      </c>
      <c r="N463" s="27" t="s">
        <v>9315</v>
      </c>
      <c r="O463" s="26" t="s">
        <v>7443</v>
      </c>
      <c r="P463" s="20" t="b">
        <v>1</v>
      </c>
      <c r="Q463" s="20" t="s">
        <v>6282</v>
      </c>
      <c r="R463" s="28" t="s">
        <v>6283</v>
      </c>
      <c r="S463" s="25"/>
      <c r="T463" s="20" t="b">
        <v>1</v>
      </c>
      <c r="U463" s="25"/>
      <c r="V463" s="25">
        <v>3259.7</v>
      </c>
      <c r="W463" s="28" t="s">
        <v>9316</v>
      </c>
      <c r="X463" s="28" t="s">
        <v>6285</v>
      </c>
      <c r="Y463" s="28" t="s">
        <v>6286</v>
      </c>
      <c r="Z463" s="28" t="s">
        <v>6287</v>
      </c>
      <c r="AA463" s="28" t="s">
        <v>6288</v>
      </c>
      <c r="AB463" s="28" t="s">
        <v>6297</v>
      </c>
    </row>
    <row r="464" spans="1:28" ht="185.4" x14ac:dyDescent="0.3">
      <c r="A464" s="25">
        <v>7524</v>
      </c>
      <c r="B464" s="25" t="s">
        <v>9317</v>
      </c>
      <c r="C464" s="25" t="s">
        <v>9318</v>
      </c>
      <c r="D464" s="25" t="s">
        <v>6291</v>
      </c>
      <c r="E464" s="16" t="s">
        <v>6292</v>
      </c>
      <c r="F464" s="16" t="s">
        <v>6292</v>
      </c>
      <c r="G464" s="16" t="s">
        <v>6292</v>
      </c>
      <c r="H464" s="16" t="s">
        <v>6292</v>
      </c>
      <c r="I464" s="25" t="s">
        <v>9319</v>
      </c>
      <c r="J464" s="25"/>
      <c r="K464" s="25" t="s">
        <v>6281</v>
      </c>
      <c r="L464" s="26" t="s">
        <v>9320</v>
      </c>
      <c r="M464" s="26" t="s">
        <v>7443</v>
      </c>
      <c r="N464" s="27" t="s">
        <v>9321</v>
      </c>
      <c r="O464" s="26" t="s">
        <v>7443</v>
      </c>
      <c r="P464" s="20" t="b">
        <v>1</v>
      </c>
      <c r="Q464" s="20" t="s">
        <v>6282</v>
      </c>
      <c r="R464" s="28" t="s">
        <v>6283</v>
      </c>
      <c r="S464" s="25"/>
      <c r="T464" s="20" t="b">
        <v>1</v>
      </c>
      <c r="U464" s="25"/>
      <c r="V464" s="25">
        <v>11.51</v>
      </c>
      <c r="W464" s="28" t="s">
        <v>9322</v>
      </c>
      <c r="X464" s="28" t="s">
        <v>6285</v>
      </c>
      <c r="Y464" s="28" t="s">
        <v>6286</v>
      </c>
      <c r="Z464" s="28" t="s">
        <v>6287</v>
      </c>
      <c r="AA464" s="28" t="s">
        <v>6288</v>
      </c>
      <c r="AB464" s="28" t="s">
        <v>6297</v>
      </c>
    </row>
    <row r="465" spans="1:28" ht="185.4" x14ac:dyDescent="0.3">
      <c r="A465" s="25">
        <v>7526</v>
      </c>
      <c r="B465" s="25" t="s">
        <v>9323</v>
      </c>
      <c r="C465" s="25" t="s">
        <v>9324</v>
      </c>
      <c r="D465" s="25" t="s">
        <v>6291</v>
      </c>
      <c r="E465" s="16" t="s">
        <v>6292</v>
      </c>
      <c r="F465" s="16" t="s">
        <v>6292</v>
      </c>
      <c r="G465" s="16" t="s">
        <v>6292</v>
      </c>
      <c r="H465" s="16" t="s">
        <v>6292</v>
      </c>
      <c r="I465" s="25" t="s">
        <v>9325</v>
      </c>
      <c r="J465" s="25"/>
      <c r="K465" s="25" t="s">
        <v>6281</v>
      </c>
      <c r="L465" s="26" t="s">
        <v>9326</v>
      </c>
      <c r="M465" s="26" t="s">
        <v>7443</v>
      </c>
      <c r="N465" s="27" t="s">
        <v>9327</v>
      </c>
      <c r="O465" s="26" t="s">
        <v>7443</v>
      </c>
      <c r="P465" s="20" t="b">
        <v>1</v>
      </c>
      <c r="Q465" s="20" t="s">
        <v>6282</v>
      </c>
      <c r="R465" s="28" t="s">
        <v>6283</v>
      </c>
      <c r="S465" s="25"/>
      <c r="T465" s="20" t="b">
        <v>1</v>
      </c>
      <c r="U465" s="25"/>
      <c r="V465" s="25">
        <v>89.94</v>
      </c>
      <c r="W465" s="28" t="s">
        <v>9328</v>
      </c>
      <c r="X465" s="28" t="s">
        <v>6285</v>
      </c>
      <c r="Y465" s="28" t="s">
        <v>6286</v>
      </c>
      <c r="Z465" s="28" t="s">
        <v>6287</v>
      </c>
      <c r="AA465" s="28" t="s">
        <v>6288</v>
      </c>
      <c r="AB465" s="28" t="s">
        <v>6297</v>
      </c>
    </row>
    <row r="466" spans="1:28" ht="185.4" x14ac:dyDescent="0.3">
      <c r="A466" s="25">
        <v>7529</v>
      </c>
      <c r="B466" s="25" t="s">
        <v>9329</v>
      </c>
      <c r="C466" s="25" t="s">
        <v>9330</v>
      </c>
      <c r="D466" s="25" t="s">
        <v>6278</v>
      </c>
      <c r="E466" s="16" t="s">
        <v>6279</v>
      </c>
      <c r="F466" s="16" t="s">
        <v>6279</v>
      </c>
      <c r="G466" s="16" t="s">
        <v>6279</v>
      </c>
      <c r="H466" s="16" t="s">
        <v>6279</v>
      </c>
      <c r="I466" s="25" t="s">
        <v>9331</v>
      </c>
      <c r="J466" s="25"/>
      <c r="K466" s="25" t="s">
        <v>6281</v>
      </c>
      <c r="L466" s="26" t="s">
        <v>9332</v>
      </c>
      <c r="M466" s="26" t="s">
        <v>6295</v>
      </c>
      <c r="N466" s="27" t="s">
        <v>9333</v>
      </c>
      <c r="O466" s="26" t="s">
        <v>6295</v>
      </c>
      <c r="P466" s="20" t="b">
        <v>1</v>
      </c>
      <c r="Q466" s="20" t="s">
        <v>6282</v>
      </c>
      <c r="R466" s="28" t="s">
        <v>6283</v>
      </c>
      <c r="S466" s="25"/>
      <c r="T466" s="20" t="b">
        <v>1</v>
      </c>
      <c r="U466" s="25"/>
      <c r="V466" s="25">
        <v>83.06</v>
      </c>
      <c r="W466" s="28" t="s">
        <v>9334</v>
      </c>
      <c r="X466" s="28" t="s">
        <v>6285</v>
      </c>
      <c r="Y466" s="28" t="s">
        <v>6286</v>
      </c>
      <c r="Z466" s="28" t="s">
        <v>6287</v>
      </c>
      <c r="AA466" s="28" t="s">
        <v>6288</v>
      </c>
      <c r="AB466" s="28" t="s">
        <v>6297</v>
      </c>
    </row>
    <row r="467" spans="1:28" ht="185.4" x14ac:dyDescent="0.3">
      <c r="A467" s="25">
        <v>7530</v>
      </c>
      <c r="B467" s="25" t="s">
        <v>9335</v>
      </c>
      <c r="C467" s="25" t="s">
        <v>9336</v>
      </c>
      <c r="D467" s="25" t="s">
        <v>6278</v>
      </c>
      <c r="E467" s="16" t="s">
        <v>6279</v>
      </c>
      <c r="F467" s="16" t="s">
        <v>6279</v>
      </c>
      <c r="G467" s="16" t="s">
        <v>6279</v>
      </c>
      <c r="H467" s="16" t="s">
        <v>6279</v>
      </c>
      <c r="I467" s="25" t="s">
        <v>9337</v>
      </c>
      <c r="J467" s="25"/>
      <c r="K467" s="25" t="s">
        <v>6281</v>
      </c>
      <c r="L467" s="26" t="s">
        <v>9338</v>
      </c>
      <c r="M467" s="26" t="s">
        <v>6295</v>
      </c>
      <c r="N467" s="27" t="s">
        <v>9339</v>
      </c>
      <c r="O467" s="26" t="s">
        <v>9340</v>
      </c>
      <c r="P467" s="20" t="b">
        <v>1</v>
      </c>
      <c r="Q467" s="20" t="s">
        <v>6282</v>
      </c>
      <c r="R467" s="28" t="s">
        <v>6283</v>
      </c>
      <c r="S467" s="25"/>
      <c r="T467" s="20" t="b">
        <v>1</v>
      </c>
      <c r="U467" s="25"/>
      <c r="V467" s="25">
        <v>297.85000000000002</v>
      </c>
      <c r="W467" s="28" t="s">
        <v>9341</v>
      </c>
      <c r="X467" s="28" t="s">
        <v>6285</v>
      </c>
      <c r="Y467" s="28" t="s">
        <v>6286</v>
      </c>
      <c r="Z467" s="28" t="s">
        <v>6287</v>
      </c>
      <c r="AA467" s="28" t="s">
        <v>6288</v>
      </c>
      <c r="AB467" s="28" t="s">
        <v>6297</v>
      </c>
    </row>
    <row r="468" spans="1:28" ht="185.4" x14ac:dyDescent="0.3">
      <c r="A468" s="25">
        <v>7543</v>
      </c>
      <c r="B468" s="25" t="s">
        <v>9342</v>
      </c>
      <c r="C468" s="25" t="s">
        <v>9343</v>
      </c>
      <c r="D468" s="25" t="s">
        <v>6291</v>
      </c>
      <c r="E468" s="16" t="s">
        <v>6786</v>
      </c>
      <c r="F468" s="16" t="s">
        <v>6786</v>
      </c>
      <c r="G468" s="16" t="s">
        <v>6786</v>
      </c>
      <c r="H468" s="16" t="s">
        <v>6786</v>
      </c>
      <c r="I468" s="25" t="s">
        <v>9344</v>
      </c>
      <c r="J468" s="25"/>
      <c r="K468" s="25" t="s">
        <v>6281</v>
      </c>
      <c r="L468" s="26" t="s">
        <v>9345</v>
      </c>
      <c r="M468" s="26" t="s">
        <v>9346</v>
      </c>
      <c r="N468" s="27" t="s">
        <v>9347</v>
      </c>
      <c r="O468" s="26" t="s">
        <v>6295</v>
      </c>
      <c r="P468" s="20" t="b">
        <v>1</v>
      </c>
      <c r="Q468" s="20" t="s">
        <v>6282</v>
      </c>
      <c r="R468" s="28" t="s">
        <v>6283</v>
      </c>
      <c r="S468" s="25"/>
      <c r="T468" s="20" t="b">
        <v>1</v>
      </c>
      <c r="U468" s="25"/>
      <c r="V468" s="25">
        <v>8.4260000000000002</v>
      </c>
      <c r="W468" s="28" t="s">
        <v>9348</v>
      </c>
      <c r="X468" s="28" t="s">
        <v>6285</v>
      </c>
      <c r="Y468" s="28" t="s">
        <v>6286</v>
      </c>
      <c r="Z468" s="28" t="s">
        <v>6287</v>
      </c>
      <c r="AA468" s="28" t="s">
        <v>6288</v>
      </c>
      <c r="AB468" s="28" t="s">
        <v>6297</v>
      </c>
    </row>
    <row r="469" spans="1:28" ht="185.4" x14ac:dyDescent="0.3">
      <c r="A469" s="25">
        <v>7545</v>
      </c>
      <c r="B469" s="25" t="s">
        <v>9349</v>
      </c>
      <c r="C469" s="25" t="s">
        <v>9350</v>
      </c>
      <c r="D469" s="25" t="s">
        <v>6291</v>
      </c>
      <c r="E469" s="16" t="s">
        <v>6292</v>
      </c>
      <c r="F469" s="16" t="s">
        <v>6292</v>
      </c>
      <c r="G469" s="16" t="s">
        <v>6292</v>
      </c>
      <c r="H469" s="16" t="s">
        <v>6292</v>
      </c>
      <c r="I469" s="25" t="s">
        <v>9351</v>
      </c>
      <c r="J469" s="25"/>
      <c r="K469" s="25" t="s">
        <v>6281</v>
      </c>
      <c r="L469" s="26" t="s">
        <v>9352</v>
      </c>
      <c r="M469" s="26" t="s">
        <v>762</v>
      </c>
      <c r="N469" s="27" t="s">
        <v>9353</v>
      </c>
      <c r="O469" s="26" t="s">
        <v>762</v>
      </c>
      <c r="P469" s="20" t="b">
        <v>1</v>
      </c>
      <c r="Q469" s="20" t="s">
        <v>6282</v>
      </c>
      <c r="R469" s="28" t="s">
        <v>6283</v>
      </c>
      <c r="S469" s="25"/>
      <c r="T469" s="20" t="b">
        <v>1</v>
      </c>
      <c r="U469" s="25"/>
      <c r="V469" s="25">
        <v>3.65</v>
      </c>
      <c r="W469" s="28" t="s">
        <v>9354</v>
      </c>
      <c r="X469" s="28" t="s">
        <v>6285</v>
      </c>
      <c r="Y469" s="28" t="s">
        <v>6286</v>
      </c>
      <c r="Z469" s="28" t="s">
        <v>6287</v>
      </c>
      <c r="AA469" s="28" t="s">
        <v>6288</v>
      </c>
      <c r="AB469" s="28" t="s">
        <v>6297</v>
      </c>
    </row>
    <row r="470" spans="1:28" ht="185.4" x14ac:dyDescent="0.3">
      <c r="A470" s="25">
        <v>7549</v>
      </c>
      <c r="B470" s="25" t="s">
        <v>9355</v>
      </c>
      <c r="C470" s="25" t="s">
        <v>9356</v>
      </c>
      <c r="D470" s="25" t="s">
        <v>6291</v>
      </c>
      <c r="E470" s="16" t="s">
        <v>6292</v>
      </c>
      <c r="F470" s="16" t="s">
        <v>6292</v>
      </c>
      <c r="G470" s="16" t="s">
        <v>6292</v>
      </c>
      <c r="H470" s="16" t="s">
        <v>6292</v>
      </c>
      <c r="I470" s="25" t="s">
        <v>9357</v>
      </c>
      <c r="J470" s="25"/>
      <c r="K470" s="25" t="s">
        <v>6281</v>
      </c>
      <c r="L470" s="26" t="s">
        <v>9358</v>
      </c>
      <c r="M470" s="26" t="s">
        <v>6295</v>
      </c>
      <c r="N470" s="27" t="s">
        <v>9359</v>
      </c>
      <c r="O470" s="26" t="s">
        <v>6295</v>
      </c>
      <c r="P470" s="20" t="b">
        <v>1</v>
      </c>
      <c r="Q470" s="20" t="s">
        <v>6282</v>
      </c>
      <c r="R470" s="28" t="s">
        <v>6283</v>
      </c>
      <c r="S470" s="25"/>
      <c r="T470" s="20" t="b">
        <v>1</v>
      </c>
      <c r="U470" s="25"/>
      <c r="V470" s="25">
        <v>16.25</v>
      </c>
      <c r="W470" s="28" t="s">
        <v>9360</v>
      </c>
      <c r="X470" s="28" t="s">
        <v>6285</v>
      </c>
      <c r="Y470" s="28" t="s">
        <v>6286</v>
      </c>
      <c r="Z470" s="28" t="s">
        <v>6287</v>
      </c>
      <c r="AA470" s="28" t="s">
        <v>6288</v>
      </c>
      <c r="AB470" s="28" t="s">
        <v>6297</v>
      </c>
    </row>
    <row r="471" spans="1:28" ht="185.4" x14ac:dyDescent="0.3">
      <c r="A471" s="25">
        <v>7553</v>
      </c>
      <c r="B471" s="25" t="s">
        <v>9361</v>
      </c>
      <c r="C471" s="25" t="s">
        <v>9362</v>
      </c>
      <c r="D471" s="25" t="s">
        <v>6291</v>
      </c>
      <c r="E471" s="16" t="s">
        <v>9363</v>
      </c>
      <c r="F471" s="16" t="s">
        <v>9363</v>
      </c>
      <c r="G471" s="16" t="s">
        <v>9363</v>
      </c>
      <c r="H471" s="16" t="s">
        <v>9363</v>
      </c>
      <c r="I471" s="25" t="s">
        <v>9364</v>
      </c>
      <c r="J471" s="25"/>
      <c r="K471" s="25" t="s">
        <v>6281</v>
      </c>
      <c r="L471" s="26" t="s">
        <v>9365</v>
      </c>
      <c r="M471" s="26" t="s">
        <v>9366</v>
      </c>
      <c r="N471" s="27" t="s">
        <v>9367</v>
      </c>
      <c r="O471" s="26" t="s">
        <v>9368</v>
      </c>
      <c r="P471" s="20" t="b">
        <v>1</v>
      </c>
      <c r="Q471" s="20" t="s">
        <v>6282</v>
      </c>
      <c r="R471" s="28" t="s">
        <v>6283</v>
      </c>
      <c r="S471" s="25"/>
      <c r="T471" s="20" t="b">
        <v>1</v>
      </c>
      <c r="U471" s="25"/>
      <c r="V471" s="25">
        <v>0.22</v>
      </c>
      <c r="W471" s="28" t="s">
        <v>9369</v>
      </c>
      <c r="X471" s="28" t="s">
        <v>6285</v>
      </c>
      <c r="Y471" s="28" t="s">
        <v>6286</v>
      </c>
      <c r="Z471" s="28" t="s">
        <v>6287</v>
      </c>
      <c r="AA471" s="28" t="s">
        <v>6288</v>
      </c>
      <c r="AB471" s="28" t="s">
        <v>6297</v>
      </c>
    </row>
    <row r="472" spans="1:28" ht="185.4" x14ac:dyDescent="0.3">
      <c r="A472" s="25">
        <v>7557</v>
      </c>
      <c r="B472" s="25" t="s">
        <v>9370</v>
      </c>
      <c r="C472" s="25" t="s">
        <v>9371</v>
      </c>
      <c r="D472" s="25" t="s">
        <v>6291</v>
      </c>
      <c r="E472" s="16" t="s">
        <v>6292</v>
      </c>
      <c r="F472" s="16" t="s">
        <v>6292</v>
      </c>
      <c r="G472" s="16" t="s">
        <v>6292</v>
      </c>
      <c r="H472" s="16" t="s">
        <v>6292</v>
      </c>
      <c r="I472" s="25" t="s">
        <v>9372</v>
      </c>
      <c r="J472" s="25"/>
      <c r="K472" s="25" t="s">
        <v>6281</v>
      </c>
      <c r="L472" s="26" t="s">
        <v>9373</v>
      </c>
      <c r="M472" s="26" t="s">
        <v>7443</v>
      </c>
      <c r="N472" s="27" t="s">
        <v>9374</v>
      </c>
      <c r="O472" s="26" t="s">
        <v>7443</v>
      </c>
      <c r="P472" s="20" t="b">
        <v>1</v>
      </c>
      <c r="Q472" s="20" t="s">
        <v>6282</v>
      </c>
      <c r="R472" s="28" t="s">
        <v>6283</v>
      </c>
      <c r="S472" s="25"/>
      <c r="T472" s="20" t="b">
        <v>1</v>
      </c>
      <c r="U472" s="25"/>
      <c r="V472" s="25">
        <v>6.12</v>
      </c>
      <c r="W472" s="28" t="s">
        <v>9375</v>
      </c>
      <c r="X472" s="28" t="s">
        <v>6285</v>
      </c>
      <c r="Y472" s="28" t="s">
        <v>6286</v>
      </c>
      <c r="Z472" s="28" t="s">
        <v>6287</v>
      </c>
      <c r="AA472" s="28" t="s">
        <v>6288</v>
      </c>
      <c r="AB472" s="28" t="s">
        <v>6297</v>
      </c>
    </row>
    <row r="473" spans="1:28" ht="185.4" x14ac:dyDescent="0.3">
      <c r="A473" s="25">
        <v>7566</v>
      </c>
      <c r="B473" s="25" t="s">
        <v>9376</v>
      </c>
      <c r="C473" s="25" t="s">
        <v>9377</v>
      </c>
      <c r="D473" s="25" t="s">
        <v>6278</v>
      </c>
      <c r="E473" s="16" t="s">
        <v>6279</v>
      </c>
      <c r="F473" s="16" t="s">
        <v>6279</v>
      </c>
      <c r="G473" s="16" t="s">
        <v>6279</v>
      </c>
      <c r="H473" s="16" t="s">
        <v>6279</v>
      </c>
      <c r="I473" s="25" t="s">
        <v>9378</v>
      </c>
      <c r="J473" s="25"/>
      <c r="K473" s="25" t="s">
        <v>6281</v>
      </c>
      <c r="L473" s="26" t="s">
        <v>9379</v>
      </c>
      <c r="M473" s="26" t="s">
        <v>9380</v>
      </c>
      <c r="N473" s="27" t="s">
        <v>9381</v>
      </c>
      <c r="O473" s="26" t="s">
        <v>6295</v>
      </c>
      <c r="P473" s="20" t="b">
        <v>1</v>
      </c>
      <c r="Q473" s="20" t="s">
        <v>6282</v>
      </c>
      <c r="R473" s="28" t="s">
        <v>6283</v>
      </c>
      <c r="S473" s="25"/>
      <c r="T473" s="20" t="b">
        <v>1</v>
      </c>
      <c r="U473" s="25"/>
      <c r="V473" s="25">
        <v>338.02</v>
      </c>
      <c r="W473" s="28" t="s">
        <v>9382</v>
      </c>
      <c r="X473" s="28" t="s">
        <v>6285</v>
      </c>
      <c r="Y473" s="28" t="s">
        <v>6286</v>
      </c>
      <c r="Z473" s="28" t="s">
        <v>6287</v>
      </c>
      <c r="AA473" s="28" t="s">
        <v>6288</v>
      </c>
      <c r="AB473" s="28" t="s">
        <v>6297</v>
      </c>
    </row>
    <row r="474" spans="1:28" ht="185.4" x14ac:dyDescent="0.3">
      <c r="A474" s="25">
        <v>7567</v>
      </c>
      <c r="B474" s="25" t="s">
        <v>9383</v>
      </c>
      <c r="C474" s="25" t="s">
        <v>9384</v>
      </c>
      <c r="D474" s="25" t="s">
        <v>6278</v>
      </c>
      <c r="E474" s="16" t="s">
        <v>6279</v>
      </c>
      <c r="F474" s="16" t="s">
        <v>6279</v>
      </c>
      <c r="G474" s="16" t="s">
        <v>6279</v>
      </c>
      <c r="H474" s="16" t="s">
        <v>6279</v>
      </c>
      <c r="I474" s="25" t="s">
        <v>9385</v>
      </c>
      <c r="J474" s="25"/>
      <c r="K474" s="25" t="s">
        <v>6281</v>
      </c>
      <c r="L474" s="26" t="s">
        <v>9386</v>
      </c>
      <c r="M474" s="26" t="s">
        <v>9387</v>
      </c>
      <c r="N474" s="27" t="s">
        <v>9388</v>
      </c>
      <c r="O474" s="26" t="s">
        <v>9389</v>
      </c>
      <c r="P474" s="20" t="b">
        <v>1</v>
      </c>
      <c r="Q474" s="20" t="s">
        <v>6282</v>
      </c>
      <c r="R474" s="28" t="s">
        <v>6283</v>
      </c>
      <c r="S474" s="25"/>
      <c r="T474" s="20" t="b">
        <v>1</v>
      </c>
      <c r="U474" s="25"/>
      <c r="V474" s="25">
        <v>209.13</v>
      </c>
      <c r="W474" s="28" t="s">
        <v>9390</v>
      </c>
      <c r="X474" s="28" t="s">
        <v>6285</v>
      </c>
      <c r="Y474" s="28" t="s">
        <v>6286</v>
      </c>
      <c r="Z474" s="28" t="s">
        <v>6287</v>
      </c>
      <c r="AA474" s="28" t="s">
        <v>6288</v>
      </c>
      <c r="AB474" s="28" t="s">
        <v>6297</v>
      </c>
    </row>
    <row r="475" spans="1:28" ht="185.4" x14ac:dyDescent="0.3">
      <c r="A475" s="25">
        <v>7569</v>
      </c>
      <c r="B475" s="25" t="s">
        <v>9391</v>
      </c>
      <c r="C475" s="25" t="s">
        <v>9392</v>
      </c>
      <c r="D475" s="25" t="s">
        <v>6291</v>
      </c>
      <c r="E475" s="16" t="s">
        <v>6292</v>
      </c>
      <c r="F475" s="16" t="s">
        <v>6292</v>
      </c>
      <c r="G475" s="16" t="s">
        <v>6292</v>
      </c>
      <c r="H475" s="16" t="s">
        <v>6292</v>
      </c>
      <c r="I475" s="25" t="s">
        <v>9393</v>
      </c>
      <c r="J475" s="25"/>
      <c r="K475" s="25" t="s">
        <v>6281</v>
      </c>
      <c r="L475" s="26" t="s">
        <v>9394</v>
      </c>
      <c r="M475" s="26" t="s">
        <v>7443</v>
      </c>
      <c r="N475" s="27" t="s">
        <v>9395</v>
      </c>
      <c r="O475" s="26" t="s">
        <v>7443</v>
      </c>
      <c r="P475" s="20" t="b">
        <v>1</v>
      </c>
      <c r="Q475" s="20" t="s">
        <v>6282</v>
      </c>
      <c r="R475" s="28" t="s">
        <v>6283</v>
      </c>
      <c r="S475" s="25"/>
      <c r="T475" s="20" t="b">
        <v>1</v>
      </c>
      <c r="U475" s="25"/>
      <c r="V475" s="25" t="s">
        <v>6295</v>
      </c>
      <c r="W475" s="28" t="s">
        <v>9396</v>
      </c>
      <c r="X475" s="28" t="s">
        <v>6285</v>
      </c>
      <c r="Y475" s="28" t="s">
        <v>6286</v>
      </c>
      <c r="Z475" s="28" t="s">
        <v>6287</v>
      </c>
      <c r="AA475" s="28" t="s">
        <v>6288</v>
      </c>
      <c r="AB475" s="28" t="s">
        <v>6297</v>
      </c>
    </row>
    <row r="476" spans="1:28" ht="185.4" x14ac:dyDescent="0.3">
      <c r="A476" s="25">
        <v>7578</v>
      </c>
      <c r="B476" s="25" t="s">
        <v>9397</v>
      </c>
      <c r="C476" s="25" t="s">
        <v>9398</v>
      </c>
      <c r="D476" s="25" t="s">
        <v>6278</v>
      </c>
      <c r="E476" s="16" t="s">
        <v>6279</v>
      </c>
      <c r="F476" s="16" t="s">
        <v>6279</v>
      </c>
      <c r="G476" s="16" t="s">
        <v>6279</v>
      </c>
      <c r="H476" s="16" t="s">
        <v>6279</v>
      </c>
      <c r="I476" s="25" t="s">
        <v>9399</v>
      </c>
      <c r="J476" s="25"/>
      <c r="K476" s="25" t="s">
        <v>6281</v>
      </c>
      <c r="L476" s="26" t="s">
        <v>9400</v>
      </c>
      <c r="M476" s="26" t="s">
        <v>9293</v>
      </c>
      <c r="N476" s="27" t="s">
        <v>9401</v>
      </c>
      <c r="O476" s="26" t="s">
        <v>6295</v>
      </c>
      <c r="P476" s="20" t="b">
        <v>1</v>
      </c>
      <c r="Q476" s="20" t="s">
        <v>6282</v>
      </c>
      <c r="R476" s="28" t="s">
        <v>6283</v>
      </c>
      <c r="S476" s="25"/>
      <c r="T476" s="20" t="b">
        <v>1</v>
      </c>
      <c r="U476" s="25"/>
      <c r="V476" s="25">
        <v>207.89</v>
      </c>
      <c r="W476" s="28" t="s">
        <v>9402</v>
      </c>
      <c r="X476" s="28" t="s">
        <v>6285</v>
      </c>
      <c r="Y476" s="28" t="s">
        <v>6286</v>
      </c>
      <c r="Z476" s="28" t="s">
        <v>6287</v>
      </c>
      <c r="AA476" s="28" t="s">
        <v>6288</v>
      </c>
      <c r="AB476" s="28" t="s">
        <v>6297</v>
      </c>
    </row>
    <row r="477" spans="1:28" ht="185.4" x14ac:dyDescent="0.3">
      <c r="A477" s="25">
        <v>7579</v>
      </c>
      <c r="B477" s="25" t="s">
        <v>9403</v>
      </c>
      <c r="C477" s="25" t="s">
        <v>9404</v>
      </c>
      <c r="D477" s="25" t="s">
        <v>6278</v>
      </c>
      <c r="E477" s="16" t="s">
        <v>6279</v>
      </c>
      <c r="F477" s="16" t="s">
        <v>6279</v>
      </c>
      <c r="G477" s="16" t="s">
        <v>6279</v>
      </c>
      <c r="H477" s="16" t="s">
        <v>6279</v>
      </c>
      <c r="I477" s="25" t="s">
        <v>9405</v>
      </c>
      <c r="J477" s="25"/>
      <c r="K477" s="25" t="s">
        <v>6281</v>
      </c>
      <c r="L477" s="26" t="s">
        <v>9406</v>
      </c>
      <c r="M477" s="26" t="s">
        <v>6295</v>
      </c>
      <c r="N477" s="27" t="s">
        <v>9407</v>
      </c>
      <c r="O477" s="26" t="s">
        <v>9408</v>
      </c>
      <c r="P477" s="20" t="b">
        <v>1</v>
      </c>
      <c r="Q477" s="20" t="s">
        <v>6282</v>
      </c>
      <c r="R477" s="28" t="s">
        <v>6283</v>
      </c>
      <c r="S477" s="25"/>
      <c r="T477" s="20" t="b">
        <v>1</v>
      </c>
      <c r="U477" s="25"/>
      <c r="V477" s="25">
        <v>118.73399999999999</v>
      </c>
      <c r="W477" s="28" t="s">
        <v>9409</v>
      </c>
      <c r="X477" s="28" t="s">
        <v>6285</v>
      </c>
      <c r="Y477" s="28" t="s">
        <v>6286</v>
      </c>
      <c r="Z477" s="28" t="s">
        <v>6287</v>
      </c>
      <c r="AA477" s="28" t="s">
        <v>6288</v>
      </c>
      <c r="AB477" s="28" t="s">
        <v>6297</v>
      </c>
    </row>
    <row r="478" spans="1:28" ht="185.4" x14ac:dyDescent="0.3">
      <c r="A478" s="25">
        <v>7580</v>
      </c>
      <c r="B478" s="25" t="s">
        <v>9410</v>
      </c>
      <c r="C478" s="25" t="s">
        <v>9411</v>
      </c>
      <c r="D478" s="25" t="s">
        <v>6278</v>
      </c>
      <c r="E478" s="16" t="s">
        <v>6279</v>
      </c>
      <c r="F478" s="16" t="s">
        <v>6279</v>
      </c>
      <c r="G478" s="16" t="s">
        <v>6279</v>
      </c>
      <c r="H478" s="16" t="s">
        <v>6279</v>
      </c>
      <c r="I478" s="25" t="s">
        <v>9412</v>
      </c>
      <c r="J478" s="25"/>
      <c r="K478" s="25" t="s">
        <v>6281</v>
      </c>
      <c r="L478" s="26" t="s">
        <v>9413</v>
      </c>
      <c r="M478" s="26" t="s">
        <v>6295</v>
      </c>
      <c r="N478" s="27" t="s">
        <v>9414</v>
      </c>
      <c r="O478" s="26" t="s">
        <v>9415</v>
      </c>
      <c r="P478" s="20" t="b">
        <v>1</v>
      </c>
      <c r="Q478" s="20" t="s">
        <v>6282</v>
      </c>
      <c r="R478" s="28" t="s">
        <v>6283</v>
      </c>
      <c r="S478" s="25"/>
      <c r="T478" s="20" t="b">
        <v>1</v>
      </c>
      <c r="U478" s="25"/>
      <c r="V478" s="25">
        <v>192.88499999999999</v>
      </c>
      <c r="W478" s="28" t="s">
        <v>9416</v>
      </c>
      <c r="X478" s="28" t="s">
        <v>6285</v>
      </c>
      <c r="Y478" s="28" t="s">
        <v>6286</v>
      </c>
      <c r="Z478" s="28" t="s">
        <v>6287</v>
      </c>
      <c r="AA478" s="28" t="s">
        <v>6288</v>
      </c>
      <c r="AB478" s="28" t="s">
        <v>6297</v>
      </c>
    </row>
    <row r="479" spans="1:28" ht="185.4" x14ac:dyDescent="0.3">
      <c r="A479" s="25">
        <v>7581</v>
      </c>
      <c r="B479" s="25" t="s">
        <v>9417</v>
      </c>
      <c r="C479" s="25" t="s">
        <v>9418</v>
      </c>
      <c r="D479" s="25" t="s">
        <v>6278</v>
      </c>
      <c r="E479" s="16" t="s">
        <v>6279</v>
      </c>
      <c r="F479" s="16" t="s">
        <v>6279</v>
      </c>
      <c r="G479" s="16" t="s">
        <v>6279</v>
      </c>
      <c r="H479" s="16" t="s">
        <v>6279</v>
      </c>
      <c r="I479" s="25" t="s">
        <v>9419</v>
      </c>
      <c r="J479" s="25"/>
      <c r="K479" s="25" t="s">
        <v>6281</v>
      </c>
      <c r="L479" s="26" t="s">
        <v>9420</v>
      </c>
      <c r="M479" s="26" t="s">
        <v>9293</v>
      </c>
      <c r="N479" s="27" t="s">
        <v>9421</v>
      </c>
      <c r="O479" s="26" t="s">
        <v>6295</v>
      </c>
      <c r="P479" s="20" t="b">
        <v>1</v>
      </c>
      <c r="Q479" s="20" t="s">
        <v>6282</v>
      </c>
      <c r="R479" s="28" t="s">
        <v>6283</v>
      </c>
      <c r="S479" s="25"/>
      <c r="T479" s="20" t="b">
        <v>1</v>
      </c>
      <c r="U479" s="25"/>
      <c r="V479" s="25">
        <v>230.68</v>
      </c>
      <c r="W479" s="28" t="s">
        <v>9422</v>
      </c>
      <c r="X479" s="28" t="s">
        <v>6285</v>
      </c>
      <c r="Y479" s="28" t="s">
        <v>6286</v>
      </c>
      <c r="Z479" s="28" t="s">
        <v>6287</v>
      </c>
      <c r="AA479" s="28" t="s">
        <v>6288</v>
      </c>
      <c r="AB479" s="28" t="s">
        <v>6297</v>
      </c>
    </row>
    <row r="480" spans="1:28" ht="185.4" x14ac:dyDescent="0.3">
      <c r="A480" s="25">
        <v>7590</v>
      </c>
      <c r="B480" s="25" t="s">
        <v>9423</v>
      </c>
      <c r="C480" s="25" t="s">
        <v>9424</v>
      </c>
      <c r="D480" s="25" t="s">
        <v>6278</v>
      </c>
      <c r="E480" s="16" t="s">
        <v>6279</v>
      </c>
      <c r="F480" s="16" t="s">
        <v>6279</v>
      </c>
      <c r="G480" s="16" t="s">
        <v>6279</v>
      </c>
      <c r="H480" s="16" t="s">
        <v>6279</v>
      </c>
      <c r="I480" s="25" t="s">
        <v>9425</v>
      </c>
      <c r="J480" s="25"/>
      <c r="K480" s="25" t="s">
        <v>6281</v>
      </c>
      <c r="L480" s="26" t="s">
        <v>9426</v>
      </c>
      <c r="M480" s="26" t="s">
        <v>6295</v>
      </c>
      <c r="N480" s="27" t="s">
        <v>9427</v>
      </c>
      <c r="O480" s="26" t="s">
        <v>6295</v>
      </c>
      <c r="P480" s="20" t="b">
        <v>1</v>
      </c>
      <c r="Q480" s="20" t="s">
        <v>6282</v>
      </c>
      <c r="R480" s="28" t="s">
        <v>6283</v>
      </c>
      <c r="S480" s="25"/>
      <c r="T480" s="20" t="b">
        <v>1</v>
      </c>
      <c r="U480" s="25"/>
      <c r="V480" s="25">
        <v>103.06399999999999</v>
      </c>
      <c r="W480" s="28" t="s">
        <v>9428</v>
      </c>
      <c r="X480" s="28" t="s">
        <v>6285</v>
      </c>
      <c r="Y480" s="28" t="s">
        <v>6286</v>
      </c>
      <c r="Z480" s="28" t="s">
        <v>6287</v>
      </c>
      <c r="AA480" s="28" t="s">
        <v>6288</v>
      </c>
      <c r="AB480" s="28" t="s">
        <v>6297</v>
      </c>
    </row>
    <row r="481" spans="1:28" ht="185.4" x14ac:dyDescent="0.3">
      <c r="A481" s="25">
        <v>7592</v>
      </c>
      <c r="B481" s="25" t="s">
        <v>9429</v>
      </c>
      <c r="C481" s="25" t="s">
        <v>9430</v>
      </c>
      <c r="D481" s="25" t="s">
        <v>6291</v>
      </c>
      <c r="E481" s="16" t="s">
        <v>6292</v>
      </c>
      <c r="F481" s="16" t="s">
        <v>6292</v>
      </c>
      <c r="G481" s="16" t="s">
        <v>6292</v>
      </c>
      <c r="H481" s="16" t="s">
        <v>6292</v>
      </c>
      <c r="I481" s="25" t="s">
        <v>9431</v>
      </c>
      <c r="J481" s="25"/>
      <c r="K481" s="25" t="s">
        <v>6281</v>
      </c>
      <c r="L481" s="26" t="s">
        <v>9432</v>
      </c>
      <c r="M481" s="26" t="s">
        <v>6295</v>
      </c>
      <c r="N481" s="27" t="s">
        <v>9433</v>
      </c>
      <c r="O481" s="26" t="s">
        <v>6295</v>
      </c>
      <c r="P481" s="20" t="b">
        <v>1</v>
      </c>
      <c r="Q481" s="20" t="s">
        <v>6282</v>
      </c>
      <c r="R481" s="28" t="s">
        <v>6283</v>
      </c>
      <c r="S481" s="25"/>
      <c r="T481" s="20" t="b">
        <v>1</v>
      </c>
      <c r="U481" s="25"/>
      <c r="V481" s="25">
        <v>16.02</v>
      </c>
      <c r="W481" s="28" t="s">
        <v>9434</v>
      </c>
      <c r="X481" s="28" t="s">
        <v>6285</v>
      </c>
      <c r="Y481" s="28" t="s">
        <v>6286</v>
      </c>
      <c r="Z481" s="28" t="s">
        <v>6287</v>
      </c>
      <c r="AA481" s="28" t="s">
        <v>6288</v>
      </c>
      <c r="AB481" s="28" t="s">
        <v>6297</v>
      </c>
    </row>
    <row r="482" spans="1:28" ht="185.4" x14ac:dyDescent="0.3">
      <c r="A482" s="25">
        <v>7596</v>
      </c>
      <c r="B482" s="25" t="s">
        <v>9435</v>
      </c>
      <c r="C482" s="25" t="s">
        <v>9436</v>
      </c>
      <c r="D482" s="25" t="s">
        <v>6278</v>
      </c>
      <c r="E482" s="16" t="s">
        <v>6279</v>
      </c>
      <c r="F482" s="16" t="s">
        <v>6279</v>
      </c>
      <c r="G482" s="16" t="s">
        <v>6279</v>
      </c>
      <c r="H482" s="16" t="s">
        <v>6279</v>
      </c>
      <c r="I482" s="25" t="s">
        <v>9437</v>
      </c>
      <c r="J482" s="25"/>
      <c r="K482" s="25" t="s">
        <v>6281</v>
      </c>
      <c r="L482" s="26" t="s">
        <v>9438</v>
      </c>
      <c r="M482" s="26" t="s">
        <v>9439</v>
      </c>
      <c r="N482" s="27" t="s">
        <v>9440</v>
      </c>
      <c r="O482" s="26" t="s">
        <v>9441</v>
      </c>
      <c r="P482" s="20" t="b">
        <v>1</v>
      </c>
      <c r="Q482" s="20" t="s">
        <v>6282</v>
      </c>
      <c r="R482" s="28" t="s">
        <v>6283</v>
      </c>
      <c r="S482" s="25"/>
      <c r="T482" s="20" t="b">
        <v>1</v>
      </c>
      <c r="U482" s="25"/>
      <c r="V482" s="25">
        <v>1610</v>
      </c>
      <c r="W482" s="28" t="s">
        <v>9442</v>
      </c>
      <c r="X482" s="28" t="s">
        <v>6285</v>
      </c>
      <c r="Y482" s="28" t="s">
        <v>6286</v>
      </c>
      <c r="Z482" s="28" t="s">
        <v>6287</v>
      </c>
      <c r="AA482" s="28" t="s">
        <v>6288</v>
      </c>
      <c r="AB482" s="28" t="s">
        <v>6297</v>
      </c>
    </row>
    <row r="483" spans="1:28" ht="185.4" x14ac:dyDescent="0.3">
      <c r="A483" s="25">
        <v>7597</v>
      </c>
      <c r="B483" s="25" t="s">
        <v>9443</v>
      </c>
      <c r="C483" s="25" t="s">
        <v>9444</v>
      </c>
      <c r="D483" s="25" t="s">
        <v>6278</v>
      </c>
      <c r="E483" s="16" t="s">
        <v>6279</v>
      </c>
      <c r="F483" s="16" t="s">
        <v>6279</v>
      </c>
      <c r="G483" s="16" t="s">
        <v>6279</v>
      </c>
      <c r="H483" s="16" t="s">
        <v>6279</v>
      </c>
      <c r="I483" s="25" t="s">
        <v>9445</v>
      </c>
      <c r="J483" s="25"/>
      <c r="K483" s="25" t="s">
        <v>6281</v>
      </c>
      <c r="L483" s="26" t="s">
        <v>9446</v>
      </c>
      <c r="M483" s="26" t="s">
        <v>9447</v>
      </c>
      <c r="N483" s="27" t="s">
        <v>9440</v>
      </c>
      <c r="O483" s="26" t="s">
        <v>9448</v>
      </c>
      <c r="P483" s="20" t="b">
        <v>1</v>
      </c>
      <c r="Q483" s="20" t="s">
        <v>6282</v>
      </c>
      <c r="R483" s="28" t="s">
        <v>6283</v>
      </c>
      <c r="S483" s="25"/>
      <c r="T483" s="20" t="b">
        <v>1</v>
      </c>
      <c r="U483" s="25"/>
      <c r="V483" s="25">
        <v>836.46</v>
      </c>
      <c r="W483" s="28" t="s">
        <v>9449</v>
      </c>
      <c r="X483" s="28" t="s">
        <v>6285</v>
      </c>
      <c r="Y483" s="28" t="s">
        <v>6286</v>
      </c>
      <c r="Z483" s="28" t="s">
        <v>6287</v>
      </c>
      <c r="AA483" s="28" t="s">
        <v>6288</v>
      </c>
      <c r="AB483" s="28" t="s">
        <v>6297</v>
      </c>
    </row>
    <row r="484" spans="1:28" ht="207" x14ac:dyDescent="0.3">
      <c r="A484" s="25">
        <v>7601</v>
      </c>
      <c r="B484" s="25" t="s">
        <v>9450</v>
      </c>
      <c r="C484" s="25" t="s">
        <v>9451</v>
      </c>
      <c r="D484" s="25" t="s">
        <v>6278</v>
      </c>
      <c r="E484" s="16" t="s">
        <v>6279</v>
      </c>
      <c r="F484" s="16" t="s">
        <v>6279</v>
      </c>
      <c r="G484" s="16" t="s">
        <v>6279</v>
      </c>
      <c r="H484" s="16" t="s">
        <v>6279</v>
      </c>
      <c r="I484" s="25" t="s">
        <v>9452</v>
      </c>
      <c r="J484" s="25"/>
      <c r="K484" s="25" t="s">
        <v>6281</v>
      </c>
      <c r="L484" s="26" t="s">
        <v>9453</v>
      </c>
      <c r="M484" s="26" t="s">
        <v>9454</v>
      </c>
      <c r="N484" s="27" t="s">
        <v>9455</v>
      </c>
      <c r="O484" s="26" t="s">
        <v>7250</v>
      </c>
      <c r="P484" s="20" t="b">
        <v>1</v>
      </c>
      <c r="Q484" s="20" t="s">
        <v>6282</v>
      </c>
      <c r="R484" s="28" t="s">
        <v>6283</v>
      </c>
      <c r="S484" s="25"/>
      <c r="T484" s="20" t="b">
        <v>1</v>
      </c>
      <c r="U484" s="25"/>
      <c r="V484" s="25">
        <v>1500.704</v>
      </c>
      <c r="W484" s="28" t="s">
        <v>9456</v>
      </c>
      <c r="X484" s="28" t="s">
        <v>6285</v>
      </c>
      <c r="Y484" s="28" t="s">
        <v>6286</v>
      </c>
      <c r="Z484" s="28" t="s">
        <v>6287</v>
      </c>
      <c r="AA484" s="28" t="s">
        <v>6288</v>
      </c>
      <c r="AB484" s="28" t="s">
        <v>6297</v>
      </c>
    </row>
    <row r="485" spans="1:28" ht="185.4" x14ac:dyDescent="0.3">
      <c r="A485" s="25">
        <v>7603</v>
      </c>
      <c r="B485" s="25" t="s">
        <v>9457</v>
      </c>
      <c r="C485" s="25" t="s">
        <v>9458</v>
      </c>
      <c r="D485" s="25" t="s">
        <v>6291</v>
      </c>
      <c r="E485" s="16" t="s">
        <v>6292</v>
      </c>
      <c r="F485" s="16" t="s">
        <v>6292</v>
      </c>
      <c r="G485" s="16" t="s">
        <v>6292</v>
      </c>
      <c r="H485" s="16" t="s">
        <v>6292</v>
      </c>
      <c r="I485" s="25" t="s">
        <v>9459</v>
      </c>
      <c r="J485" s="25"/>
      <c r="K485" s="25" t="s">
        <v>6281</v>
      </c>
      <c r="L485" s="26" t="s">
        <v>9460</v>
      </c>
      <c r="M485" s="26" t="s">
        <v>9461</v>
      </c>
      <c r="N485" s="27" t="s">
        <v>9462</v>
      </c>
      <c r="O485" s="26" t="s">
        <v>9463</v>
      </c>
      <c r="P485" s="20" t="b">
        <v>1</v>
      </c>
      <c r="Q485" s="20" t="s">
        <v>6282</v>
      </c>
      <c r="R485" s="28" t="s">
        <v>6283</v>
      </c>
      <c r="S485" s="25"/>
      <c r="T485" s="20" t="b">
        <v>1</v>
      </c>
      <c r="U485" s="25"/>
      <c r="V485" s="25">
        <v>2065.79</v>
      </c>
      <c r="W485" s="28" t="s">
        <v>9464</v>
      </c>
      <c r="X485" s="28" t="s">
        <v>6285</v>
      </c>
      <c r="Y485" s="28" t="s">
        <v>6286</v>
      </c>
      <c r="Z485" s="28" t="s">
        <v>6287</v>
      </c>
      <c r="AA485" s="28" t="s">
        <v>6288</v>
      </c>
      <c r="AB485" s="28" t="s">
        <v>6297</v>
      </c>
    </row>
    <row r="486" spans="1:28" ht="185.4" x14ac:dyDescent="0.3">
      <c r="A486" s="25">
        <v>7604</v>
      </c>
      <c r="B486" s="25" t="s">
        <v>9465</v>
      </c>
      <c r="C486" s="25" t="s">
        <v>9466</v>
      </c>
      <c r="D486" s="25" t="s">
        <v>6278</v>
      </c>
      <c r="E486" s="16" t="s">
        <v>6279</v>
      </c>
      <c r="F486" s="16" t="s">
        <v>6279</v>
      </c>
      <c r="G486" s="16" t="s">
        <v>6279</v>
      </c>
      <c r="H486" s="16" t="s">
        <v>6279</v>
      </c>
      <c r="I486" s="25" t="s">
        <v>9467</v>
      </c>
      <c r="J486" s="25"/>
      <c r="K486" s="25" t="s">
        <v>6281</v>
      </c>
      <c r="L486" s="26" t="s">
        <v>9468</v>
      </c>
      <c r="M486" s="26" t="s">
        <v>9469</v>
      </c>
      <c r="N486" s="27" t="s">
        <v>9470</v>
      </c>
      <c r="O486" s="26" t="s">
        <v>6295</v>
      </c>
      <c r="P486" s="20" t="b">
        <v>1</v>
      </c>
      <c r="Q486" s="20" t="s">
        <v>6282</v>
      </c>
      <c r="R486" s="28" t="s">
        <v>6283</v>
      </c>
      <c r="S486" s="25"/>
      <c r="T486" s="20" t="b">
        <v>1</v>
      </c>
      <c r="U486" s="25"/>
      <c r="V486" s="25">
        <v>611.03</v>
      </c>
      <c r="W486" s="28" t="s">
        <v>9471</v>
      </c>
      <c r="X486" s="28" t="s">
        <v>6285</v>
      </c>
      <c r="Y486" s="28" t="s">
        <v>6286</v>
      </c>
      <c r="Z486" s="28" t="s">
        <v>6287</v>
      </c>
      <c r="AA486" s="28" t="s">
        <v>6288</v>
      </c>
      <c r="AB486" s="28" t="s">
        <v>6297</v>
      </c>
    </row>
    <row r="487" spans="1:28" ht="185.4" x14ac:dyDescent="0.3">
      <c r="A487" s="25">
        <v>7605</v>
      </c>
      <c r="B487" s="25" t="s">
        <v>9472</v>
      </c>
      <c r="C487" s="25" t="s">
        <v>9473</v>
      </c>
      <c r="D487" s="25" t="s">
        <v>6278</v>
      </c>
      <c r="E487" s="16" t="s">
        <v>6279</v>
      </c>
      <c r="F487" s="16" t="s">
        <v>6279</v>
      </c>
      <c r="G487" s="16" t="s">
        <v>6279</v>
      </c>
      <c r="H487" s="16" t="s">
        <v>6279</v>
      </c>
      <c r="I487" s="25" t="s">
        <v>9474</v>
      </c>
      <c r="J487" s="25"/>
      <c r="K487" s="25" t="s">
        <v>6281</v>
      </c>
      <c r="L487" s="26" t="s">
        <v>9475</v>
      </c>
      <c r="M487" s="26" t="s">
        <v>9476</v>
      </c>
      <c r="N487" s="27" t="s">
        <v>9470</v>
      </c>
      <c r="O487" s="26" t="s">
        <v>9477</v>
      </c>
      <c r="P487" s="20" t="b">
        <v>1</v>
      </c>
      <c r="Q487" s="20" t="s">
        <v>6282</v>
      </c>
      <c r="R487" s="28" t="s">
        <v>6283</v>
      </c>
      <c r="S487" s="25"/>
      <c r="T487" s="20" t="b">
        <v>1</v>
      </c>
      <c r="U487" s="25"/>
      <c r="V487" s="25">
        <v>1590.43</v>
      </c>
      <c r="W487" s="28" t="s">
        <v>9478</v>
      </c>
      <c r="X487" s="28" t="s">
        <v>6285</v>
      </c>
      <c r="Y487" s="28" t="s">
        <v>6286</v>
      </c>
      <c r="Z487" s="28" t="s">
        <v>6287</v>
      </c>
      <c r="AA487" s="28" t="s">
        <v>6288</v>
      </c>
      <c r="AB487" s="28" t="s">
        <v>6297</v>
      </c>
    </row>
    <row r="488" spans="1:28" ht="185.4" x14ac:dyDescent="0.3">
      <c r="A488" s="25">
        <v>7639</v>
      </c>
      <c r="B488" s="25" t="s">
        <v>9479</v>
      </c>
      <c r="C488" s="25" t="s">
        <v>9480</v>
      </c>
      <c r="D488" s="25" t="s">
        <v>6291</v>
      </c>
      <c r="E488" s="16" t="s">
        <v>6292</v>
      </c>
      <c r="F488" s="16" t="s">
        <v>6292</v>
      </c>
      <c r="G488" s="16" t="s">
        <v>6292</v>
      </c>
      <c r="H488" s="16" t="s">
        <v>6292</v>
      </c>
      <c r="I488" s="25" t="s">
        <v>9481</v>
      </c>
      <c r="J488" s="25"/>
      <c r="K488" s="25" t="s">
        <v>6281</v>
      </c>
      <c r="L488" s="26" t="s">
        <v>9482</v>
      </c>
      <c r="M488" s="26" t="s">
        <v>9483</v>
      </c>
      <c r="N488" s="27" t="s">
        <v>9484</v>
      </c>
      <c r="O488" s="26" t="s">
        <v>7443</v>
      </c>
      <c r="P488" s="20" t="b">
        <v>1</v>
      </c>
      <c r="Q488" s="20" t="s">
        <v>6282</v>
      </c>
      <c r="R488" s="28" t="s">
        <v>6283</v>
      </c>
      <c r="S488" s="25"/>
      <c r="T488" s="20" t="b">
        <v>1</v>
      </c>
      <c r="U488" s="25"/>
      <c r="V488" s="25">
        <v>75.98</v>
      </c>
      <c r="W488" s="28" t="s">
        <v>9485</v>
      </c>
      <c r="X488" s="28" t="s">
        <v>6285</v>
      </c>
      <c r="Y488" s="28" t="s">
        <v>6286</v>
      </c>
      <c r="Z488" s="28" t="s">
        <v>6287</v>
      </c>
      <c r="AA488" s="28" t="s">
        <v>6288</v>
      </c>
      <c r="AB488" s="28" t="s">
        <v>6297</v>
      </c>
    </row>
    <row r="489" spans="1:28" ht="185.4" x14ac:dyDescent="0.3">
      <c r="A489" s="25">
        <v>7674</v>
      </c>
      <c r="B489" s="25" t="s">
        <v>9486</v>
      </c>
      <c r="C489" s="25" t="s">
        <v>9487</v>
      </c>
      <c r="D489" s="25" t="s">
        <v>6278</v>
      </c>
      <c r="E489" s="16" t="s">
        <v>6279</v>
      </c>
      <c r="F489" s="16" t="s">
        <v>6279</v>
      </c>
      <c r="G489" s="16" t="s">
        <v>6279</v>
      </c>
      <c r="H489" s="16" t="s">
        <v>6279</v>
      </c>
      <c r="I489" s="25" t="s">
        <v>9488</v>
      </c>
      <c r="J489" s="25"/>
      <c r="K489" s="25" t="s">
        <v>6281</v>
      </c>
      <c r="L489" s="26" t="s">
        <v>9489</v>
      </c>
      <c r="M489" s="26" t="s">
        <v>9293</v>
      </c>
      <c r="N489" s="27" t="s">
        <v>9294</v>
      </c>
      <c r="O489" s="26" t="s">
        <v>6295</v>
      </c>
      <c r="P489" s="20" t="b">
        <v>1</v>
      </c>
      <c r="Q489" s="20" t="s">
        <v>6282</v>
      </c>
      <c r="R489" s="28" t="s">
        <v>6283</v>
      </c>
      <c r="S489" s="25"/>
      <c r="T489" s="20" t="b">
        <v>1</v>
      </c>
      <c r="U489" s="25"/>
      <c r="V489" s="25">
        <v>222.77</v>
      </c>
      <c r="W489" s="28" t="s">
        <v>9490</v>
      </c>
      <c r="X489" s="28" t="s">
        <v>6285</v>
      </c>
      <c r="Y489" s="28" t="s">
        <v>6286</v>
      </c>
      <c r="Z489" s="28" t="s">
        <v>6287</v>
      </c>
      <c r="AA489" s="28" t="s">
        <v>6288</v>
      </c>
      <c r="AB489" s="28" t="s">
        <v>6297</v>
      </c>
    </row>
    <row r="490" spans="1:28" ht="185.4" x14ac:dyDescent="0.3">
      <c r="A490" s="25">
        <v>7675</v>
      </c>
      <c r="B490" s="25" t="s">
        <v>9491</v>
      </c>
      <c r="C490" s="25" t="s">
        <v>9492</v>
      </c>
      <c r="D490" s="25" t="s">
        <v>6278</v>
      </c>
      <c r="E490" s="16" t="s">
        <v>6279</v>
      </c>
      <c r="F490" s="16" t="s">
        <v>6279</v>
      </c>
      <c r="G490" s="16" t="s">
        <v>6279</v>
      </c>
      <c r="H490" s="16" t="s">
        <v>6279</v>
      </c>
      <c r="I490" s="25" t="s">
        <v>9493</v>
      </c>
      <c r="J490" s="25"/>
      <c r="K490" s="25" t="s">
        <v>6281</v>
      </c>
      <c r="L490" s="26" t="s">
        <v>9494</v>
      </c>
      <c r="M490" s="26" t="s">
        <v>6295</v>
      </c>
      <c r="N490" s="27" t="s">
        <v>9495</v>
      </c>
      <c r="O490" s="26" t="s">
        <v>9496</v>
      </c>
      <c r="P490" s="20" t="b">
        <v>1</v>
      </c>
      <c r="Q490" s="20" t="s">
        <v>6282</v>
      </c>
      <c r="R490" s="28" t="s">
        <v>6283</v>
      </c>
      <c r="S490" s="25"/>
      <c r="T490" s="20" t="b">
        <v>1</v>
      </c>
      <c r="U490" s="25"/>
      <c r="V490" s="25" t="s">
        <v>6295</v>
      </c>
      <c r="W490" s="28" t="s">
        <v>9497</v>
      </c>
      <c r="X490" s="28" t="s">
        <v>6285</v>
      </c>
      <c r="Y490" s="28" t="s">
        <v>6286</v>
      </c>
      <c r="Z490" s="28" t="s">
        <v>6287</v>
      </c>
      <c r="AA490" s="28" t="s">
        <v>6288</v>
      </c>
      <c r="AB490" s="28" t="s">
        <v>6297</v>
      </c>
    </row>
    <row r="491" spans="1:28" ht="185.4" x14ac:dyDescent="0.3">
      <c r="A491" s="25">
        <v>7676</v>
      </c>
      <c r="B491" s="25" t="s">
        <v>9498</v>
      </c>
      <c r="C491" s="25" t="s">
        <v>9499</v>
      </c>
      <c r="D491" s="25" t="s">
        <v>6291</v>
      </c>
      <c r="E491" s="16" t="s">
        <v>6292</v>
      </c>
      <c r="F491" s="16" t="s">
        <v>6292</v>
      </c>
      <c r="G491" s="16" t="s">
        <v>6292</v>
      </c>
      <c r="H491" s="16" t="s">
        <v>6292</v>
      </c>
      <c r="I491" s="25" t="s">
        <v>9500</v>
      </c>
      <c r="J491" s="25"/>
      <c r="K491" s="25" t="s">
        <v>6281</v>
      </c>
      <c r="L491" s="26" t="s">
        <v>9501</v>
      </c>
      <c r="M491" s="26" t="s">
        <v>7220</v>
      </c>
      <c r="N491" s="27" t="s">
        <v>9502</v>
      </c>
      <c r="O491" s="26" t="s">
        <v>7220</v>
      </c>
      <c r="P491" s="20" t="b">
        <v>1</v>
      </c>
      <c r="Q491" s="20" t="s">
        <v>6282</v>
      </c>
      <c r="R491" s="28" t="s">
        <v>6283</v>
      </c>
      <c r="S491" s="25"/>
      <c r="T491" s="20" t="b">
        <v>1</v>
      </c>
      <c r="U491" s="25"/>
      <c r="V491" s="25">
        <v>3.14</v>
      </c>
      <c r="W491" s="28" t="s">
        <v>9503</v>
      </c>
      <c r="X491" s="28" t="s">
        <v>6285</v>
      </c>
      <c r="Y491" s="28" t="s">
        <v>6286</v>
      </c>
      <c r="Z491" s="28" t="s">
        <v>6287</v>
      </c>
      <c r="AA491" s="28" t="s">
        <v>6288</v>
      </c>
      <c r="AB491" s="28" t="s">
        <v>6297</v>
      </c>
    </row>
    <row r="492" spans="1:28" ht="185.4" x14ac:dyDescent="0.3">
      <c r="A492" s="25">
        <v>7677</v>
      </c>
      <c r="B492" s="25" t="s">
        <v>9504</v>
      </c>
      <c r="C492" s="25" t="s">
        <v>9505</v>
      </c>
      <c r="D492" s="25" t="s">
        <v>6278</v>
      </c>
      <c r="E492" s="16" t="s">
        <v>6279</v>
      </c>
      <c r="F492" s="16" t="s">
        <v>6279</v>
      </c>
      <c r="G492" s="16" t="s">
        <v>6279</v>
      </c>
      <c r="H492" s="16" t="s">
        <v>6279</v>
      </c>
      <c r="I492" s="25" t="s">
        <v>9506</v>
      </c>
      <c r="J492" s="25"/>
      <c r="K492" s="25" t="s">
        <v>6281</v>
      </c>
      <c r="L492" s="26" t="s">
        <v>9507</v>
      </c>
      <c r="M492" s="26" t="s">
        <v>9508</v>
      </c>
      <c r="N492" s="27" t="s">
        <v>9509</v>
      </c>
      <c r="O492" s="26" t="s">
        <v>6295</v>
      </c>
      <c r="P492" s="20" t="b">
        <v>1</v>
      </c>
      <c r="Q492" s="20" t="s">
        <v>6282</v>
      </c>
      <c r="R492" s="28" t="s">
        <v>6283</v>
      </c>
      <c r="S492" s="25"/>
      <c r="T492" s="20" t="b">
        <v>1</v>
      </c>
      <c r="U492" s="25"/>
      <c r="V492" s="25">
        <v>154.01</v>
      </c>
      <c r="W492" s="28" t="s">
        <v>9510</v>
      </c>
      <c r="X492" s="28" t="s">
        <v>6285</v>
      </c>
      <c r="Y492" s="28" t="s">
        <v>6286</v>
      </c>
      <c r="Z492" s="28" t="s">
        <v>6287</v>
      </c>
      <c r="AA492" s="28" t="s">
        <v>6288</v>
      </c>
      <c r="AB492" s="28" t="s">
        <v>6297</v>
      </c>
    </row>
    <row r="493" spans="1:28" ht="185.4" x14ac:dyDescent="0.3">
      <c r="A493" s="25">
        <v>7680</v>
      </c>
      <c r="B493" s="25" t="s">
        <v>9511</v>
      </c>
      <c r="C493" s="25" t="s">
        <v>9512</v>
      </c>
      <c r="D493" s="25" t="s">
        <v>6291</v>
      </c>
      <c r="E493" s="16" t="s">
        <v>6292</v>
      </c>
      <c r="F493" s="16" t="s">
        <v>6292</v>
      </c>
      <c r="G493" s="16" t="s">
        <v>6292</v>
      </c>
      <c r="H493" s="16" t="s">
        <v>6292</v>
      </c>
      <c r="I493" s="25" t="s">
        <v>9513</v>
      </c>
      <c r="J493" s="25"/>
      <c r="K493" s="25" t="s">
        <v>6281</v>
      </c>
      <c r="L493" s="26" t="s">
        <v>9514</v>
      </c>
      <c r="M493" s="26" t="s">
        <v>7443</v>
      </c>
      <c r="N493" s="27" t="s">
        <v>9515</v>
      </c>
      <c r="O493" s="26" t="s">
        <v>7443</v>
      </c>
      <c r="P493" s="20" t="b">
        <v>1</v>
      </c>
      <c r="Q493" s="20" t="s">
        <v>6282</v>
      </c>
      <c r="R493" s="28" t="s">
        <v>6283</v>
      </c>
      <c r="S493" s="25"/>
      <c r="T493" s="20" t="b">
        <v>1</v>
      </c>
      <c r="U493" s="25"/>
      <c r="V493" s="25">
        <v>91.8</v>
      </c>
      <c r="W493" s="28" t="s">
        <v>9516</v>
      </c>
      <c r="X493" s="28" t="s">
        <v>6285</v>
      </c>
      <c r="Y493" s="28" t="s">
        <v>6286</v>
      </c>
      <c r="Z493" s="28" t="s">
        <v>6287</v>
      </c>
      <c r="AA493" s="28" t="s">
        <v>6288</v>
      </c>
      <c r="AB493" s="28" t="s">
        <v>6297</v>
      </c>
    </row>
    <row r="494" spans="1:28" ht="185.4" x14ac:dyDescent="0.3">
      <c r="A494" s="25">
        <v>7685</v>
      </c>
      <c r="B494" s="25" t="s">
        <v>9517</v>
      </c>
      <c r="C494" s="25" t="s">
        <v>9518</v>
      </c>
      <c r="D494" s="25" t="s">
        <v>6278</v>
      </c>
      <c r="E494" s="16" t="s">
        <v>6279</v>
      </c>
      <c r="F494" s="16" t="s">
        <v>6279</v>
      </c>
      <c r="G494" s="16" t="s">
        <v>6279</v>
      </c>
      <c r="H494" s="16" t="s">
        <v>6279</v>
      </c>
      <c r="I494" s="25" t="s">
        <v>9519</v>
      </c>
      <c r="J494" s="25"/>
      <c r="K494" s="25" t="s">
        <v>6281</v>
      </c>
      <c r="L494" s="26" t="s">
        <v>9520</v>
      </c>
      <c r="M494" s="26" t="s">
        <v>9521</v>
      </c>
      <c r="N494" s="27" t="s">
        <v>9522</v>
      </c>
      <c r="O494" s="26" t="s">
        <v>9523</v>
      </c>
      <c r="P494" s="20" t="b">
        <v>1</v>
      </c>
      <c r="Q494" s="20" t="s">
        <v>6282</v>
      </c>
      <c r="R494" s="28" t="s">
        <v>6283</v>
      </c>
      <c r="S494" s="25"/>
      <c r="T494" s="20" t="b">
        <v>1</v>
      </c>
      <c r="U494" s="25"/>
      <c r="V494" s="25">
        <v>263.08</v>
      </c>
      <c r="W494" s="28" t="s">
        <v>9524</v>
      </c>
      <c r="X494" s="28" t="s">
        <v>6285</v>
      </c>
      <c r="Y494" s="28" t="s">
        <v>6286</v>
      </c>
      <c r="Z494" s="28" t="s">
        <v>6287</v>
      </c>
      <c r="AA494" s="28" t="s">
        <v>6288</v>
      </c>
      <c r="AB494" s="28" t="s">
        <v>6297</v>
      </c>
    </row>
    <row r="495" spans="1:28" ht="185.4" x14ac:dyDescent="0.3">
      <c r="A495" s="25">
        <v>7700</v>
      </c>
      <c r="B495" s="25" t="s">
        <v>9525</v>
      </c>
      <c r="C495" s="25" t="s">
        <v>9526</v>
      </c>
      <c r="D495" s="25" t="s">
        <v>6278</v>
      </c>
      <c r="E495" s="16" t="s">
        <v>6279</v>
      </c>
      <c r="F495" s="16" t="s">
        <v>6279</v>
      </c>
      <c r="G495" s="16" t="s">
        <v>6279</v>
      </c>
      <c r="H495" s="16" t="s">
        <v>6279</v>
      </c>
      <c r="I495" s="25" t="s">
        <v>9527</v>
      </c>
      <c r="J495" s="25"/>
      <c r="K495" s="25" t="s">
        <v>6281</v>
      </c>
      <c r="L495" s="26" t="s">
        <v>9528</v>
      </c>
      <c r="M495" s="26" t="s">
        <v>9529</v>
      </c>
      <c r="N495" s="27" t="s">
        <v>9530</v>
      </c>
      <c r="O495" s="26" t="s">
        <v>9531</v>
      </c>
      <c r="P495" s="20" t="b">
        <v>1</v>
      </c>
      <c r="Q495" s="20" t="s">
        <v>6282</v>
      </c>
      <c r="R495" s="28" t="s">
        <v>6283</v>
      </c>
      <c r="S495" s="25"/>
      <c r="T495" s="20" t="b">
        <v>1</v>
      </c>
      <c r="U495" s="25"/>
      <c r="V495" s="25">
        <v>283.63</v>
      </c>
      <c r="W495" s="28" t="s">
        <v>9532</v>
      </c>
      <c r="X495" s="28" t="s">
        <v>6285</v>
      </c>
      <c r="Y495" s="28" t="s">
        <v>6286</v>
      </c>
      <c r="Z495" s="28" t="s">
        <v>6287</v>
      </c>
      <c r="AA495" s="28" t="s">
        <v>6288</v>
      </c>
      <c r="AB495" s="28" t="s">
        <v>6297</v>
      </c>
    </row>
    <row r="496" spans="1:28" ht="185.4" x14ac:dyDescent="0.3">
      <c r="A496" s="25">
        <v>7708</v>
      </c>
      <c r="B496" s="25" t="s">
        <v>9533</v>
      </c>
      <c r="C496" s="25" t="s">
        <v>6306</v>
      </c>
      <c r="D496" s="25" t="s">
        <v>6291</v>
      </c>
      <c r="E496" s="16" t="s">
        <v>6292</v>
      </c>
      <c r="F496" s="16" t="s">
        <v>6292</v>
      </c>
      <c r="G496" s="16" t="s">
        <v>6292</v>
      </c>
      <c r="H496" s="16" t="s">
        <v>6292</v>
      </c>
      <c r="I496" s="25" t="s">
        <v>9534</v>
      </c>
      <c r="J496" s="25"/>
      <c r="K496" s="25" t="s">
        <v>6281</v>
      </c>
      <c r="L496" s="26" t="s">
        <v>9535</v>
      </c>
      <c r="M496" s="26" t="s">
        <v>8333</v>
      </c>
      <c r="N496" s="27" t="s">
        <v>9536</v>
      </c>
      <c r="O496" s="26" t="s">
        <v>6295</v>
      </c>
      <c r="P496" s="20" t="b">
        <v>1</v>
      </c>
      <c r="Q496" s="20" t="s">
        <v>6282</v>
      </c>
      <c r="R496" s="28" t="s">
        <v>6283</v>
      </c>
      <c r="S496" s="25"/>
      <c r="T496" s="20" t="b">
        <v>1</v>
      </c>
      <c r="U496" s="25"/>
      <c r="V496" s="25">
        <v>31.17</v>
      </c>
      <c r="W496" s="28" t="s">
        <v>9537</v>
      </c>
      <c r="X496" s="28" t="s">
        <v>6285</v>
      </c>
      <c r="Y496" s="28" t="s">
        <v>6286</v>
      </c>
      <c r="Z496" s="28" t="s">
        <v>6287</v>
      </c>
      <c r="AA496" s="28" t="s">
        <v>6288</v>
      </c>
      <c r="AB496" s="28" t="s">
        <v>6297</v>
      </c>
    </row>
    <row r="497" spans="1:28" ht="251.4" x14ac:dyDescent="0.3">
      <c r="A497" s="25">
        <v>7726</v>
      </c>
      <c r="B497" s="25" t="s">
        <v>9538</v>
      </c>
      <c r="C497" s="25" t="s">
        <v>9539</v>
      </c>
      <c r="D497" s="25" t="s">
        <v>6278</v>
      </c>
      <c r="E497" s="16" t="s">
        <v>6279</v>
      </c>
      <c r="F497" s="16" t="s">
        <v>6279</v>
      </c>
      <c r="G497" s="16" t="s">
        <v>6279</v>
      </c>
      <c r="H497" s="16" t="s">
        <v>6279</v>
      </c>
      <c r="I497" s="25" t="s">
        <v>9540</v>
      </c>
      <c r="J497" s="25"/>
      <c r="K497" s="25" t="s">
        <v>6281</v>
      </c>
      <c r="L497" s="26" t="s">
        <v>9541</v>
      </c>
      <c r="M497" s="26" t="s">
        <v>9542</v>
      </c>
      <c r="N497" s="27" t="s">
        <v>9543</v>
      </c>
      <c r="O497" s="26" t="s">
        <v>9544</v>
      </c>
      <c r="P497" s="20" t="b">
        <v>1</v>
      </c>
      <c r="Q497" s="20" t="s">
        <v>6282</v>
      </c>
      <c r="R497" s="28" t="s">
        <v>6283</v>
      </c>
      <c r="S497" s="25"/>
      <c r="T497" s="20" t="b">
        <v>1</v>
      </c>
      <c r="U497" s="25"/>
      <c r="V497" s="25">
        <v>25.11</v>
      </c>
      <c r="W497" s="28" t="s">
        <v>9545</v>
      </c>
      <c r="X497" s="28" t="s">
        <v>6285</v>
      </c>
      <c r="Y497" s="28" t="s">
        <v>6286</v>
      </c>
      <c r="Z497" s="28" t="s">
        <v>6287</v>
      </c>
      <c r="AA497" s="28" t="s">
        <v>6288</v>
      </c>
      <c r="AB497" s="28" t="s">
        <v>6297</v>
      </c>
    </row>
    <row r="498" spans="1:28" ht="225" x14ac:dyDescent="0.3">
      <c r="A498" s="25">
        <v>7728</v>
      </c>
      <c r="B498" s="25" t="s">
        <v>9546</v>
      </c>
      <c r="C498" s="25" t="s">
        <v>9547</v>
      </c>
      <c r="D498" s="25" t="s">
        <v>6278</v>
      </c>
      <c r="E498" s="16" t="s">
        <v>6279</v>
      </c>
      <c r="F498" s="16" t="s">
        <v>6279</v>
      </c>
      <c r="G498" s="16" t="s">
        <v>6279</v>
      </c>
      <c r="H498" s="16" t="s">
        <v>6279</v>
      </c>
      <c r="I498" s="25" t="s">
        <v>9548</v>
      </c>
      <c r="J498" s="25"/>
      <c r="K498" s="25" t="s">
        <v>6281</v>
      </c>
      <c r="L498" s="26" t="s">
        <v>9549</v>
      </c>
      <c r="M498" s="26" t="s">
        <v>9550</v>
      </c>
      <c r="N498" s="27" t="s">
        <v>9551</v>
      </c>
      <c r="O498" s="26" t="s">
        <v>9552</v>
      </c>
      <c r="P498" s="20" t="b">
        <v>1</v>
      </c>
      <c r="Q498" s="20" t="s">
        <v>6282</v>
      </c>
      <c r="R498" s="28" t="s">
        <v>6283</v>
      </c>
      <c r="S498" s="25"/>
      <c r="T498" s="20" t="b">
        <v>1</v>
      </c>
      <c r="U498" s="25"/>
      <c r="V498" s="25">
        <v>4.57</v>
      </c>
      <c r="W498" s="28" t="s">
        <v>9553</v>
      </c>
      <c r="X498" s="28" t="s">
        <v>6285</v>
      </c>
      <c r="Y498" s="28" t="s">
        <v>6286</v>
      </c>
      <c r="Z498" s="28" t="s">
        <v>6287</v>
      </c>
      <c r="AA498" s="28" t="s">
        <v>6288</v>
      </c>
      <c r="AB498" s="28" t="s">
        <v>6297</v>
      </c>
    </row>
    <row r="499" spans="1:28" ht="185.4" x14ac:dyDescent="0.3">
      <c r="A499" s="25">
        <v>7737</v>
      </c>
      <c r="B499" s="25" t="s">
        <v>9554</v>
      </c>
      <c r="C499" s="25" t="s">
        <v>9555</v>
      </c>
      <c r="D499" s="25" t="s">
        <v>6291</v>
      </c>
      <c r="E499" s="16" t="s">
        <v>6292</v>
      </c>
      <c r="F499" s="16" t="s">
        <v>6292</v>
      </c>
      <c r="G499" s="16" t="s">
        <v>6292</v>
      </c>
      <c r="H499" s="16" t="s">
        <v>6292</v>
      </c>
      <c r="I499" s="25" t="s">
        <v>9556</v>
      </c>
      <c r="J499" s="25"/>
      <c r="K499" s="25" t="s">
        <v>6281</v>
      </c>
      <c r="L499" s="26" t="s">
        <v>9557</v>
      </c>
      <c r="M499" s="26" t="s">
        <v>6295</v>
      </c>
      <c r="N499" s="27" t="s">
        <v>9558</v>
      </c>
      <c r="O499" s="26" t="s">
        <v>9559</v>
      </c>
      <c r="P499" s="20" t="b">
        <v>1</v>
      </c>
      <c r="Q499" s="20" t="s">
        <v>6282</v>
      </c>
      <c r="R499" s="28" t="s">
        <v>6283</v>
      </c>
      <c r="S499" s="25"/>
      <c r="T499" s="20" t="b">
        <v>1</v>
      </c>
      <c r="U499" s="25"/>
      <c r="V499" s="25">
        <v>184.22</v>
      </c>
      <c r="W499" s="28" t="s">
        <v>9560</v>
      </c>
      <c r="X499" s="28" t="s">
        <v>6285</v>
      </c>
      <c r="Y499" s="28" t="s">
        <v>6286</v>
      </c>
      <c r="Z499" s="28" t="s">
        <v>6287</v>
      </c>
      <c r="AA499" s="28" t="s">
        <v>6288</v>
      </c>
      <c r="AB499" s="28" t="s">
        <v>6297</v>
      </c>
    </row>
    <row r="500" spans="1:28" ht="185.4" x14ac:dyDescent="0.3">
      <c r="A500" s="25">
        <v>7740</v>
      </c>
      <c r="B500" s="25" t="s">
        <v>9561</v>
      </c>
      <c r="C500" s="25" t="s">
        <v>9562</v>
      </c>
      <c r="D500" s="25" t="s">
        <v>6278</v>
      </c>
      <c r="E500" s="16" t="s">
        <v>6279</v>
      </c>
      <c r="F500" s="16" t="s">
        <v>6279</v>
      </c>
      <c r="G500" s="16" t="s">
        <v>6279</v>
      </c>
      <c r="H500" s="16" t="s">
        <v>6279</v>
      </c>
      <c r="I500" s="25" t="s">
        <v>9563</v>
      </c>
      <c r="J500" s="25"/>
      <c r="K500" s="25" t="s">
        <v>6281</v>
      </c>
      <c r="L500" s="26" t="s">
        <v>9564</v>
      </c>
      <c r="M500" s="26" t="s">
        <v>9565</v>
      </c>
      <c r="N500" s="27" t="s">
        <v>9566</v>
      </c>
      <c r="O500" s="26" t="s">
        <v>6295</v>
      </c>
      <c r="P500" s="20" t="b">
        <v>1</v>
      </c>
      <c r="Q500" s="20" t="s">
        <v>6282</v>
      </c>
      <c r="R500" s="28" t="s">
        <v>6283</v>
      </c>
      <c r="S500" s="25"/>
      <c r="T500" s="20" t="b">
        <v>1</v>
      </c>
      <c r="U500" s="25"/>
      <c r="V500" s="25">
        <v>193.6</v>
      </c>
      <c r="W500" s="28" t="s">
        <v>9567</v>
      </c>
      <c r="X500" s="28" t="s">
        <v>6285</v>
      </c>
      <c r="Y500" s="28" t="s">
        <v>6286</v>
      </c>
      <c r="Z500" s="28" t="s">
        <v>6287</v>
      </c>
      <c r="AA500" s="28" t="s">
        <v>6288</v>
      </c>
      <c r="AB500" s="28" t="s">
        <v>6297</v>
      </c>
    </row>
    <row r="501" spans="1:28" ht="185.4" x14ac:dyDescent="0.3">
      <c r="A501" s="25">
        <v>7741</v>
      </c>
      <c r="B501" s="25" t="s">
        <v>9568</v>
      </c>
      <c r="C501" s="25" t="s">
        <v>9569</v>
      </c>
      <c r="D501" s="25" t="s">
        <v>6278</v>
      </c>
      <c r="E501" s="16" t="s">
        <v>6279</v>
      </c>
      <c r="F501" s="16" t="s">
        <v>6279</v>
      </c>
      <c r="G501" s="16" t="s">
        <v>6279</v>
      </c>
      <c r="H501" s="16" t="s">
        <v>6279</v>
      </c>
      <c r="I501" s="25" t="s">
        <v>9570</v>
      </c>
      <c r="J501" s="25"/>
      <c r="K501" s="25" t="s">
        <v>6281</v>
      </c>
      <c r="L501" s="26" t="s">
        <v>9571</v>
      </c>
      <c r="M501" s="26" t="s">
        <v>9572</v>
      </c>
      <c r="N501" s="27" t="s">
        <v>9566</v>
      </c>
      <c r="O501" s="26" t="s">
        <v>6295</v>
      </c>
      <c r="P501" s="20" t="b">
        <v>1</v>
      </c>
      <c r="Q501" s="20" t="s">
        <v>6282</v>
      </c>
      <c r="R501" s="28" t="s">
        <v>6283</v>
      </c>
      <c r="S501" s="25"/>
      <c r="T501" s="20" t="b">
        <v>1</v>
      </c>
      <c r="U501" s="25"/>
      <c r="V501" s="25">
        <v>225.11</v>
      </c>
      <c r="W501" s="28" t="s">
        <v>9573</v>
      </c>
      <c r="X501" s="28" t="s">
        <v>6285</v>
      </c>
      <c r="Y501" s="28" t="s">
        <v>6286</v>
      </c>
      <c r="Z501" s="28" t="s">
        <v>6287</v>
      </c>
      <c r="AA501" s="28" t="s">
        <v>6288</v>
      </c>
      <c r="AB501" s="28" t="s">
        <v>6297</v>
      </c>
    </row>
    <row r="502" spans="1:28" ht="185.4" x14ac:dyDescent="0.3">
      <c r="A502" s="25">
        <v>7746</v>
      </c>
      <c r="B502" s="25" t="s">
        <v>9574</v>
      </c>
      <c r="C502" s="25" t="s">
        <v>9575</v>
      </c>
      <c r="D502" s="25" t="s">
        <v>6291</v>
      </c>
      <c r="E502" s="16" t="s">
        <v>6786</v>
      </c>
      <c r="F502" s="16" t="s">
        <v>6786</v>
      </c>
      <c r="G502" s="16" t="s">
        <v>6786</v>
      </c>
      <c r="H502" s="16" t="s">
        <v>6786</v>
      </c>
      <c r="I502" s="25" t="s">
        <v>9576</v>
      </c>
      <c r="J502" s="25"/>
      <c r="K502" s="25" t="s">
        <v>6281</v>
      </c>
      <c r="L502" s="26" t="s">
        <v>9577</v>
      </c>
      <c r="M502" s="26" t="s">
        <v>6295</v>
      </c>
      <c r="N502" s="27" t="s">
        <v>9578</v>
      </c>
      <c r="O502" s="26" t="s">
        <v>9579</v>
      </c>
      <c r="P502" s="20" t="b">
        <v>1</v>
      </c>
      <c r="Q502" s="20" t="s">
        <v>6282</v>
      </c>
      <c r="R502" s="28" t="s">
        <v>6283</v>
      </c>
      <c r="S502" s="25"/>
      <c r="T502" s="20" t="b">
        <v>1</v>
      </c>
      <c r="U502" s="25"/>
      <c r="V502" s="25">
        <v>1.1803999999999999</v>
      </c>
      <c r="W502" s="28" t="s">
        <v>9580</v>
      </c>
      <c r="X502" s="28" t="s">
        <v>6285</v>
      </c>
      <c r="Y502" s="28" t="s">
        <v>6286</v>
      </c>
      <c r="Z502" s="28" t="s">
        <v>6287</v>
      </c>
      <c r="AA502" s="28" t="s">
        <v>6288</v>
      </c>
      <c r="AB502" s="28" t="s">
        <v>6297</v>
      </c>
    </row>
    <row r="503" spans="1:28" ht="185.4" x14ac:dyDescent="0.3">
      <c r="A503" s="25">
        <v>7747</v>
      </c>
      <c r="B503" s="25" t="s">
        <v>9581</v>
      </c>
      <c r="C503" s="25" t="s">
        <v>9582</v>
      </c>
      <c r="D503" s="25" t="s">
        <v>6291</v>
      </c>
      <c r="E503" s="16" t="s">
        <v>6786</v>
      </c>
      <c r="F503" s="16" t="s">
        <v>6786</v>
      </c>
      <c r="G503" s="16" t="s">
        <v>6786</v>
      </c>
      <c r="H503" s="16" t="s">
        <v>6786</v>
      </c>
      <c r="I503" s="25" t="s">
        <v>9583</v>
      </c>
      <c r="J503" s="25"/>
      <c r="K503" s="25" t="s">
        <v>6281</v>
      </c>
      <c r="L503" s="26" t="s">
        <v>9584</v>
      </c>
      <c r="M503" s="26" t="s">
        <v>9585</v>
      </c>
      <c r="N503" s="27" t="s">
        <v>9586</v>
      </c>
      <c r="O503" s="26" t="s">
        <v>9587</v>
      </c>
      <c r="P503" s="20" t="b">
        <v>1</v>
      </c>
      <c r="Q503" s="20" t="s">
        <v>6282</v>
      </c>
      <c r="R503" s="28" t="s">
        <v>6283</v>
      </c>
      <c r="S503" s="25"/>
      <c r="T503" s="20" t="b">
        <v>1</v>
      </c>
      <c r="U503" s="25"/>
      <c r="V503" s="25">
        <v>2.2130999999999998</v>
      </c>
      <c r="W503" s="28" t="s">
        <v>9588</v>
      </c>
      <c r="X503" s="28" t="s">
        <v>6285</v>
      </c>
      <c r="Y503" s="28" t="s">
        <v>6286</v>
      </c>
      <c r="Z503" s="28" t="s">
        <v>6287</v>
      </c>
      <c r="AA503" s="28" t="s">
        <v>6288</v>
      </c>
      <c r="AB503" s="28" t="s">
        <v>6297</v>
      </c>
    </row>
    <row r="504" spans="1:28" ht="198.6" x14ac:dyDescent="0.3">
      <c r="A504" s="25">
        <v>7753</v>
      </c>
      <c r="B504" s="25" t="s">
        <v>9589</v>
      </c>
      <c r="C504" s="25" t="s">
        <v>9590</v>
      </c>
      <c r="D504" s="25" t="s">
        <v>6291</v>
      </c>
      <c r="E504" s="16" t="s">
        <v>6786</v>
      </c>
      <c r="F504" s="16" t="s">
        <v>6786</v>
      </c>
      <c r="G504" s="16" t="s">
        <v>6786</v>
      </c>
      <c r="H504" s="16" t="s">
        <v>6786</v>
      </c>
      <c r="I504" s="25" t="s">
        <v>9591</v>
      </c>
      <c r="J504" s="25"/>
      <c r="K504" s="25" t="s">
        <v>6281</v>
      </c>
      <c r="L504" s="26" t="s">
        <v>9592</v>
      </c>
      <c r="M504" s="26" t="s">
        <v>9593</v>
      </c>
      <c r="N504" s="27" t="s">
        <v>9594</v>
      </c>
      <c r="O504" s="26" t="s">
        <v>9595</v>
      </c>
      <c r="P504" s="20" t="b">
        <v>1</v>
      </c>
      <c r="Q504" s="20" t="s">
        <v>6282</v>
      </c>
      <c r="R504" s="28" t="s">
        <v>6283</v>
      </c>
      <c r="S504" s="25"/>
      <c r="T504" s="20" t="b">
        <v>1</v>
      </c>
      <c r="U504" s="25"/>
      <c r="V504" s="25">
        <v>3.0754999999999999</v>
      </c>
      <c r="W504" s="28" t="s">
        <v>9596</v>
      </c>
      <c r="X504" s="28" t="s">
        <v>6285</v>
      </c>
      <c r="Y504" s="28" t="s">
        <v>6286</v>
      </c>
      <c r="Z504" s="28" t="s">
        <v>6287</v>
      </c>
      <c r="AA504" s="28" t="s">
        <v>6288</v>
      </c>
      <c r="AB504" s="28" t="s">
        <v>6297</v>
      </c>
    </row>
    <row r="505" spans="1:28" ht="185.4" x14ac:dyDescent="0.3">
      <c r="A505" s="25">
        <v>7759</v>
      </c>
      <c r="B505" s="25" t="s">
        <v>9597</v>
      </c>
      <c r="C505" s="25" t="s">
        <v>6295</v>
      </c>
      <c r="D505" s="25" t="s">
        <v>6291</v>
      </c>
      <c r="E505" s="16" t="s">
        <v>6292</v>
      </c>
      <c r="F505" s="16" t="s">
        <v>6292</v>
      </c>
      <c r="G505" s="16" t="s">
        <v>6292</v>
      </c>
      <c r="H505" s="16" t="s">
        <v>6292</v>
      </c>
      <c r="I505" s="25" t="s">
        <v>9598</v>
      </c>
      <c r="J505" s="25"/>
      <c r="K505" s="25" t="s">
        <v>6281</v>
      </c>
      <c r="L505" s="26" t="s">
        <v>9599</v>
      </c>
      <c r="M505" s="26" t="s">
        <v>7443</v>
      </c>
      <c r="N505" s="27" t="s">
        <v>9600</v>
      </c>
      <c r="O505" s="26" t="s">
        <v>7443</v>
      </c>
      <c r="P505" s="20" t="b">
        <v>1</v>
      </c>
      <c r="Q505" s="20" t="s">
        <v>6282</v>
      </c>
      <c r="R505" s="28" t="s">
        <v>6283</v>
      </c>
      <c r="S505" s="25"/>
      <c r="T505" s="20" t="b">
        <v>1</v>
      </c>
      <c r="U505" s="25"/>
      <c r="V505" s="25">
        <v>6.99</v>
      </c>
      <c r="W505" s="28" t="s">
        <v>9601</v>
      </c>
      <c r="X505" s="28" t="s">
        <v>6285</v>
      </c>
      <c r="Y505" s="28" t="s">
        <v>6286</v>
      </c>
      <c r="Z505" s="28" t="s">
        <v>6287</v>
      </c>
      <c r="AA505" s="28" t="s">
        <v>6288</v>
      </c>
      <c r="AB505" s="28" t="s">
        <v>6297</v>
      </c>
    </row>
    <row r="506" spans="1:28" ht="185.4" x14ac:dyDescent="0.3">
      <c r="A506" s="25">
        <v>7762</v>
      </c>
      <c r="B506" s="25" t="s">
        <v>9602</v>
      </c>
      <c r="C506" s="25" t="s">
        <v>9603</v>
      </c>
      <c r="D506" s="25" t="s">
        <v>6291</v>
      </c>
      <c r="E506" s="16" t="s">
        <v>6292</v>
      </c>
      <c r="F506" s="16" t="s">
        <v>6292</v>
      </c>
      <c r="G506" s="16" t="s">
        <v>6292</v>
      </c>
      <c r="H506" s="16" t="s">
        <v>6292</v>
      </c>
      <c r="I506" s="25" t="s">
        <v>9604</v>
      </c>
      <c r="J506" s="25"/>
      <c r="K506" s="25" t="s">
        <v>6281</v>
      </c>
      <c r="L506" s="26" t="s">
        <v>9605</v>
      </c>
      <c r="M506" s="26" t="s">
        <v>6295</v>
      </c>
      <c r="N506" s="27" t="s">
        <v>9606</v>
      </c>
      <c r="O506" s="26" t="s">
        <v>6295</v>
      </c>
      <c r="P506" s="20" t="b">
        <v>1</v>
      </c>
      <c r="Q506" s="20" t="s">
        <v>6282</v>
      </c>
      <c r="R506" s="28" t="s">
        <v>6283</v>
      </c>
      <c r="S506" s="25"/>
      <c r="T506" s="20" t="b">
        <v>1</v>
      </c>
      <c r="U506" s="25"/>
      <c r="V506" s="25">
        <v>1072.0530000000001</v>
      </c>
      <c r="W506" s="28" t="s">
        <v>9607</v>
      </c>
      <c r="X506" s="28" t="s">
        <v>6285</v>
      </c>
      <c r="Y506" s="28" t="s">
        <v>6286</v>
      </c>
      <c r="Z506" s="28" t="s">
        <v>6287</v>
      </c>
      <c r="AA506" s="28" t="s">
        <v>6288</v>
      </c>
      <c r="AB506" s="28" t="s">
        <v>6297</v>
      </c>
    </row>
    <row r="507" spans="1:28" ht="185.4" x14ac:dyDescent="0.3">
      <c r="A507" s="25">
        <v>7763</v>
      </c>
      <c r="B507" s="25" t="s">
        <v>9608</v>
      </c>
      <c r="C507" s="25" t="s">
        <v>9609</v>
      </c>
      <c r="D507" s="25" t="s">
        <v>6291</v>
      </c>
      <c r="E507" s="16" t="s">
        <v>6786</v>
      </c>
      <c r="F507" s="16" t="s">
        <v>6786</v>
      </c>
      <c r="G507" s="16" t="s">
        <v>6786</v>
      </c>
      <c r="H507" s="16" t="s">
        <v>6786</v>
      </c>
      <c r="I507" s="25" t="s">
        <v>9610</v>
      </c>
      <c r="J507" s="25"/>
      <c r="K507" s="25" t="s">
        <v>6281</v>
      </c>
      <c r="L507" s="26" t="s">
        <v>9611</v>
      </c>
      <c r="M507" s="26" t="s">
        <v>6295</v>
      </c>
      <c r="N507" s="27" t="s">
        <v>9612</v>
      </c>
      <c r="O507" s="26" t="s">
        <v>6295</v>
      </c>
      <c r="P507" s="20" t="b">
        <v>1</v>
      </c>
      <c r="Q507" s="20" t="s">
        <v>6282</v>
      </c>
      <c r="R507" s="28" t="s">
        <v>6283</v>
      </c>
      <c r="S507" s="25"/>
      <c r="T507" s="20" t="b">
        <v>1</v>
      </c>
      <c r="U507" s="25"/>
      <c r="V507" s="25">
        <v>0.32450000000000001</v>
      </c>
      <c r="W507" s="28" t="s">
        <v>9613</v>
      </c>
      <c r="X507" s="28" t="s">
        <v>6285</v>
      </c>
      <c r="Y507" s="28" t="s">
        <v>6286</v>
      </c>
      <c r="Z507" s="28" t="s">
        <v>6287</v>
      </c>
      <c r="AA507" s="28" t="s">
        <v>6288</v>
      </c>
      <c r="AB507" s="28" t="s">
        <v>6297</v>
      </c>
    </row>
    <row r="508" spans="1:28" ht="185.4" x14ac:dyDescent="0.3">
      <c r="A508" s="25">
        <v>7764</v>
      </c>
      <c r="B508" s="25" t="s">
        <v>9614</v>
      </c>
      <c r="C508" s="25" t="s">
        <v>6295</v>
      </c>
      <c r="D508" s="25" t="s">
        <v>6291</v>
      </c>
      <c r="E508" s="16" t="s">
        <v>6292</v>
      </c>
      <c r="F508" s="16" t="s">
        <v>6292</v>
      </c>
      <c r="G508" s="16" t="s">
        <v>6292</v>
      </c>
      <c r="H508" s="16" t="s">
        <v>6292</v>
      </c>
      <c r="I508" s="25" t="s">
        <v>9615</v>
      </c>
      <c r="J508" s="25"/>
      <c r="K508" s="25" t="s">
        <v>6281</v>
      </c>
      <c r="L508" s="26" t="s">
        <v>9616</v>
      </c>
      <c r="M508" s="26" t="s">
        <v>7443</v>
      </c>
      <c r="N508" s="27" t="s">
        <v>9617</v>
      </c>
      <c r="O508" s="26" t="s">
        <v>7443</v>
      </c>
      <c r="P508" s="20" t="b">
        <v>1</v>
      </c>
      <c r="Q508" s="20" t="s">
        <v>6282</v>
      </c>
      <c r="R508" s="28" t="s">
        <v>6283</v>
      </c>
      <c r="S508" s="25"/>
      <c r="T508" s="20" t="b">
        <v>1</v>
      </c>
      <c r="U508" s="25"/>
      <c r="V508" s="25">
        <v>81.680000000000007</v>
      </c>
      <c r="W508" s="28" t="s">
        <v>9618</v>
      </c>
      <c r="X508" s="28" t="s">
        <v>6285</v>
      </c>
      <c r="Y508" s="28" t="s">
        <v>6286</v>
      </c>
      <c r="Z508" s="28" t="s">
        <v>6287</v>
      </c>
      <c r="AA508" s="28" t="s">
        <v>6288</v>
      </c>
      <c r="AB508" s="28" t="s">
        <v>6297</v>
      </c>
    </row>
    <row r="509" spans="1:28" ht="185.4" x14ac:dyDescent="0.3">
      <c r="A509" s="25">
        <v>7769</v>
      </c>
      <c r="B509" s="25" t="s">
        <v>9619</v>
      </c>
      <c r="C509" s="25" t="s">
        <v>9620</v>
      </c>
      <c r="D509" s="25" t="s">
        <v>6291</v>
      </c>
      <c r="E509" s="16" t="s">
        <v>6292</v>
      </c>
      <c r="F509" s="16" t="s">
        <v>6292</v>
      </c>
      <c r="G509" s="16" t="s">
        <v>6292</v>
      </c>
      <c r="H509" s="16" t="s">
        <v>6292</v>
      </c>
      <c r="I509" s="25" t="s">
        <v>9621</v>
      </c>
      <c r="J509" s="25"/>
      <c r="K509" s="25" t="s">
        <v>6281</v>
      </c>
      <c r="L509" s="26" t="s">
        <v>9622</v>
      </c>
      <c r="M509" s="26" t="s">
        <v>9623</v>
      </c>
      <c r="N509" s="27" t="s">
        <v>9624</v>
      </c>
      <c r="O509" s="26" t="s">
        <v>9625</v>
      </c>
      <c r="P509" s="20" t="b">
        <v>1</v>
      </c>
      <c r="Q509" s="20" t="s">
        <v>6282</v>
      </c>
      <c r="R509" s="28" t="s">
        <v>6283</v>
      </c>
      <c r="S509" s="25"/>
      <c r="T509" s="20" t="b">
        <v>1</v>
      </c>
      <c r="U509" s="25"/>
      <c r="V509" s="25">
        <v>59.91</v>
      </c>
      <c r="W509" s="28" t="s">
        <v>9626</v>
      </c>
      <c r="X509" s="28" t="s">
        <v>6285</v>
      </c>
      <c r="Y509" s="28" t="s">
        <v>6286</v>
      </c>
      <c r="Z509" s="28" t="s">
        <v>6287</v>
      </c>
      <c r="AA509" s="28" t="s">
        <v>6288</v>
      </c>
      <c r="AB509" s="28" t="s">
        <v>6297</v>
      </c>
    </row>
    <row r="510" spans="1:28" ht="185.4" x14ac:dyDescent="0.3">
      <c r="A510" s="25">
        <v>7776</v>
      </c>
      <c r="B510" s="25" t="s">
        <v>9627</v>
      </c>
      <c r="C510" s="25" t="s">
        <v>9628</v>
      </c>
      <c r="D510" s="25" t="s">
        <v>6291</v>
      </c>
      <c r="E510" s="16" t="s">
        <v>6786</v>
      </c>
      <c r="F510" s="16" t="s">
        <v>6786</v>
      </c>
      <c r="G510" s="16" t="s">
        <v>6786</v>
      </c>
      <c r="H510" s="16" t="s">
        <v>6786</v>
      </c>
      <c r="I510" s="25" t="s">
        <v>9629</v>
      </c>
      <c r="J510" s="25"/>
      <c r="K510" s="25" t="s">
        <v>6281</v>
      </c>
      <c r="L510" s="26" t="s">
        <v>9630</v>
      </c>
      <c r="M510" s="26" t="s">
        <v>9631</v>
      </c>
      <c r="N510" s="27" t="s">
        <v>9632</v>
      </c>
      <c r="O510" s="26" t="s">
        <v>6295</v>
      </c>
      <c r="P510" s="20" t="b">
        <v>1</v>
      </c>
      <c r="Q510" s="20" t="s">
        <v>6282</v>
      </c>
      <c r="R510" s="28" t="s">
        <v>6283</v>
      </c>
      <c r="S510" s="25"/>
      <c r="T510" s="20" t="b">
        <v>1</v>
      </c>
      <c r="U510" s="25"/>
      <c r="V510" s="25">
        <v>3.3332999999999999</v>
      </c>
      <c r="W510" s="28" t="s">
        <v>9633</v>
      </c>
      <c r="X510" s="28" t="s">
        <v>6285</v>
      </c>
      <c r="Y510" s="28" t="s">
        <v>6286</v>
      </c>
      <c r="Z510" s="28" t="s">
        <v>6287</v>
      </c>
      <c r="AA510" s="28" t="s">
        <v>6288</v>
      </c>
      <c r="AB510" s="28" t="s">
        <v>6297</v>
      </c>
    </row>
    <row r="511" spans="1:28" ht="185.4" x14ac:dyDescent="0.3">
      <c r="A511" s="25">
        <v>7777</v>
      </c>
      <c r="B511" s="25" t="s">
        <v>9634</v>
      </c>
      <c r="C511" s="25" t="s">
        <v>9635</v>
      </c>
      <c r="D511" s="25" t="s">
        <v>6291</v>
      </c>
      <c r="E511" s="16" t="s">
        <v>6292</v>
      </c>
      <c r="F511" s="16" t="s">
        <v>6292</v>
      </c>
      <c r="G511" s="16" t="s">
        <v>6292</v>
      </c>
      <c r="H511" s="16" t="s">
        <v>6292</v>
      </c>
      <c r="I511" s="25" t="s">
        <v>9636</v>
      </c>
      <c r="J511" s="25"/>
      <c r="K511" s="25" t="s">
        <v>6281</v>
      </c>
      <c r="L511" s="26" t="s">
        <v>9637</v>
      </c>
      <c r="M511" s="26" t="s">
        <v>6295</v>
      </c>
      <c r="N511" s="27" t="s">
        <v>9638</v>
      </c>
      <c r="O511" s="26" t="s">
        <v>9639</v>
      </c>
      <c r="P511" s="20" t="b">
        <v>1</v>
      </c>
      <c r="Q511" s="20" t="s">
        <v>6282</v>
      </c>
      <c r="R511" s="28" t="s">
        <v>6283</v>
      </c>
      <c r="S511" s="25"/>
      <c r="T511" s="20" t="b">
        <v>1</v>
      </c>
      <c r="U511" s="25"/>
      <c r="V511" s="25">
        <v>145.34</v>
      </c>
      <c r="W511" s="28" t="s">
        <v>9640</v>
      </c>
      <c r="X511" s="28" t="s">
        <v>6285</v>
      </c>
      <c r="Y511" s="28" t="s">
        <v>6286</v>
      </c>
      <c r="Z511" s="28" t="s">
        <v>6287</v>
      </c>
      <c r="AA511" s="28" t="s">
        <v>6288</v>
      </c>
      <c r="AB511" s="28" t="s">
        <v>6297</v>
      </c>
    </row>
    <row r="512" spans="1:28" ht="185.4" x14ac:dyDescent="0.3">
      <c r="A512" s="25">
        <v>7780</v>
      </c>
      <c r="B512" s="25" t="s">
        <v>9641</v>
      </c>
      <c r="C512" s="25" t="s">
        <v>9642</v>
      </c>
      <c r="D512" s="25" t="s">
        <v>6291</v>
      </c>
      <c r="E512" s="16" t="s">
        <v>6292</v>
      </c>
      <c r="F512" s="16" t="s">
        <v>6292</v>
      </c>
      <c r="G512" s="16" t="s">
        <v>6292</v>
      </c>
      <c r="H512" s="16" t="s">
        <v>6292</v>
      </c>
      <c r="I512" s="25" t="s">
        <v>9643</v>
      </c>
      <c r="J512" s="25"/>
      <c r="K512" s="25" t="s">
        <v>6281</v>
      </c>
      <c r="L512" s="26" t="s">
        <v>9644</v>
      </c>
      <c r="M512" s="26" t="s">
        <v>9645</v>
      </c>
      <c r="N512" s="27" t="s">
        <v>9646</v>
      </c>
      <c r="O512" s="26" t="s">
        <v>6295</v>
      </c>
      <c r="P512" s="20" t="b">
        <v>1</v>
      </c>
      <c r="Q512" s="20" t="s">
        <v>6282</v>
      </c>
      <c r="R512" s="28" t="s">
        <v>6283</v>
      </c>
      <c r="S512" s="25"/>
      <c r="T512" s="20" t="b">
        <v>1</v>
      </c>
      <c r="U512" s="25"/>
      <c r="V512" s="25">
        <v>6.25</v>
      </c>
      <c r="W512" s="28" t="s">
        <v>9647</v>
      </c>
      <c r="X512" s="28" t="s">
        <v>6285</v>
      </c>
      <c r="Y512" s="28" t="s">
        <v>6286</v>
      </c>
      <c r="Z512" s="28" t="s">
        <v>6287</v>
      </c>
      <c r="AA512" s="28" t="s">
        <v>6288</v>
      </c>
      <c r="AB512" s="28" t="s">
        <v>6297</v>
      </c>
    </row>
    <row r="513" spans="1:28" ht="185.4" x14ac:dyDescent="0.3">
      <c r="A513" s="25">
        <v>7784</v>
      </c>
      <c r="B513" s="25" t="s">
        <v>9648</v>
      </c>
      <c r="C513" s="25" t="s">
        <v>9649</v>
      </c>
      <c r="D513" s="25" t="s">
        <v>6291</v>
      </c>
      <c r="E513" s="16" t="s">
        <v>6292</v>
      </c>
      <c r="F513" s="16" t="s">
        <v>6292</v>
      </c>
      <c r="G513" s="16" t="s">
        <v>6292</v>
      </c>
      <c r="H513" s="16" t="s">
        <v>6292</v>
      </c>
      <c r="I513" s="25" t="s">
        <v>9650</v>
      </c>
      <c r="J513" s="25"/>
      <c r="K513" s="25" t="s">
        <v>6281</v>
      </c>
      <c r="L513" s="26" t="s">
        <v>9651</v>
      </c>
      <c r="M513" s="26" t="s">
        <v>9652</v>
      </c>
      <c r="N513" s="27" t="s">
        <v>9653</v>
      </c>
      <c r="O513" s="26" t="s">
        <v>6295</v>
      </c>
      <c r="P513" s="20" t="b">
        <v>1</v>
      </c>
      <c r="Q513" s="20" t="s">
        <v>6282</v>
      </c>
      <c r="R513" s="28" t="s">
        <v>6283</v>
      </c>
      <c r="S513" s="25"/>
      <c r="T513" s="20" t="b">
        <v>1</v>
      </c>
      <c r="U513" s="25"/>
      <c r="V513" s="25">
        <v>295.36</v>
      </c>
      <c r="W513" s="28" t="s">
        <v>9654</v>
      </c>
      <c r="X513" s="28" t="s">
        <v>6285</v>
      </c>
      <c r="Y513" s="28" t="s">
        <v>6286</v>
      </c>
      <c r="Z513" s="28" t="s">
        <v>6287</v>
      </c>
      <c r="AA513" s="28" t="s">
        <v>6288</v>
      </c>
      <c r="AB513" s="28" t="s">
        <v>6297</v>
      </c>
    </row>
    <row r="514" spans="1:28" ht="185.4" x14ac:dyDescent="0.3">
      <c r="A514" s="25">
        <v>7786</v>
      </c>
      <c r="B514" s="25" t="s">
        <v>9655</v>
      </c>
      <c r="C514" s="25" t="s">
        <v>9656</v>
      </c>
      <c r="D514" s="25" t="s">
        <v>6278</v>
      </c>
      <c r="E514" s="16" t="s">
        <v>6279</v>
      </c>
      <c r="F514" s="16" t="s">
        <v>6279</v>
      </c>
      <c r="G514" s="16" t="s">
        <v>6279</v>
      </c>
      <c r="H514" s="16" t="s">
        <v>6279</v>
      </c>
      <c r="I514" s="25" t="s">
        <v>9657</v>
      </c>
      <c r="J514" s="25"/>
      <c r="K514" s="25" t="s">
        <v>6281</v>
      </c>
      <c r="L514" s="26" t="s">
        <v>9658</v>
      </c>
      <c r="M514" s="26" t="s">
        <v>9659</v>
      </c>
      <c r="N514" s="27" t="s">
        <v>9660</v>
      </c>
      <c r="O514" s="26" t="s">
        <v>9661</v>
      </c>
      <c r="P514" s="20" t="b">
        <v>1</v>
      </c>
      <c r="Q514" s="20" t="s">
        <v>6282</v>
      </c>
      <c r="R514" s="28" t="s">
        <v>6283</v>
      </c>
      <c r="S514" s="25"/>
      <c r="T514" s="20" t="b">
        <v>1</v>
      </c>
      <c r="U514" s="25"/>
      <c r="V514" s="25">
        <v>3689.78</v>
      </c>
      <c r="W514" s="28" t="s">
        <v>9662</v>
      </c>
      <c r="X514" s="28" t="s">
        <v>6285</v>
      </c>
      <c r="Y514" s="28" t="s">
        <v>6286</v>
      </c>
      <c r="Z514" s="28" t="s">
        <v>6287</v>
      </c>
      <c r="AA514" s="28" t="s">
        <v>6288</v>
      </c>
      <c r="AB514" s="28" t="s">
        <v>6297</v>
      </c>
    </row>
    <row r="515" spans="1:28" ht="185.4" x14ac:dyDescent="0.3">
      <c r="A515" s="25">
        <v>7789</v>
      </c>
      <c r="B515" s="25" t="s">
        <v>9663</v>
      </c>
      <c r="C515" s="25" t="s">
        <v>9664</v>
      </c>
      <c r="D515" s="25" t="s">
        <v>6278</v>
      </c>
      <c r="E515" s="16" t="s">
        <v>6279</v>
      </c>
      <c r="F515" s="16" t="s">
        <v>6279</v>
      </c>
      <c r="G515" s="16" t="s">
        <v>6279</v>
      </c>
      <c r="H515" s="16" t="s">
        <v>6279</v>
      </c>
      <c r="I515" s="25" t="s">
        <v>9665</v>
      </c>
      <c r="J515" s="25"/>
      <c r="K515" s="25" t="s">
        <v>6281</v>
      </c>
      <c r="L515" s="26" t="s">
        <v>9666</v>
      </c>
      <c r="M515" s="26" t="s">
        <v>9667</v>
      </c>
      <c r="N515" s="27" t="s">
        <v>9668</v>
      </c>
      <c r="O515" s="26" t="s">
        <v>9669</v>
      </c>
      <c r="P515" s="20" t="b">
        <v>1</v>
      </c>
      <c r="Q515" s="20" t="s">
        <v>6282</v>
      </c>
      <c r="R515" s="28" t="s">
        <v>6283</v>
      </c>
      <c r="S515" s="25"/>
      <c r="T515" s="20" t="b">
        <v>1</v>
      </c>
      <c r="U515" s="25"/>
      <c r="V515" s="25">
        <v>2818.51</v>
      </c>
      <c r="W515" s="28" t="s">
        <v>9670</v>
      </c>
      <c r="X515" s="28" t="s">
        <v>6285</v>
      </c>
      <c r="Y515" s="28" t="s">
        <v>6286</v>
      </c>
      <c r="Z515" s="28" t="s">
        <v>6287</v>
      </c>
      <c r="AA515" s="28" t="s">
        <v>6288</v>
      </c>
      <c r="AB515" s="28" t="s">
        <v>6297</v>
      </c>
    </row>
    <row r="516" spans="1:28" ht="198.6" x14ac:dyDescent="0.3">
      <c r="A516" s="25">
        <v>7792</v>
      </c>
      <c r="B516" s="25" t="s">
        <v>9671</v>
      </c>
      <c r="C516" s="25" t="s">
        <v>9672</v>
      </c>
      <c r="D516" s="25" t="s">
        <v>6291</v>
      </c>
      <c r="E516" s="16" t="s">
        <v>6292</v>
      </c>
      <c r="F516" s="16" t="s">
        <v>6292</v>
      </c>
      <c r="G516" s="16" t="s">
        <v>6292</v>
      </c>
      <c r="H516" s="16" t="s">
        <v>6292</v>
      </c>
      <c r="I516" s="25" t="s">
        <v>9673</v>
      </c>
      <c r="J516" s="25"/>
      <c r="K516" s="25" t="s">
        <v>6281</v>
      </c>
      <c r="L516" s="26" t="s">
        <v>9674</v>
      </c>
      <c r="M516" s="26" t="s">
        <v>6295</v>
      </c>
      <c r="N516" s="27" t="s">
        <v>9675</v>
      </c>
      <c r="O516" s="26" t="s">
        <v>6295</v>
      </c>
      <c r="P516" s="20" t="b">
        <v>1</v>
      </c>
      <c r="Q516" s="20" t="s">
        <v>6282</v>
      </c>
      <c r="R516" s="28" t="s">
        <v>6283</v>
      </c>
      <c r="S516" s="25"/>
      <c r="T516" s="20" t="b">
        <v>1</v>
      </c>
      <c r="U516" s="25"/>
      <c r="V516" s="25">
        <v>13.39</v>
      </c>
      <c r="W516" s="28" t="s">
        <v>9676</v>
      </c>
      <c r="X516" s="28" t="s">
        <v>6285</v>
      </c>
      <c r="Y516" s="28" t="s">
        <v>6286</v>
      </c>
      <c r="Z516" s="28" t="s">
        <v>6287</v>
      </c>
      <c r="AA516" s="28" t="s">
        <v>6288</v>
      </c>
      <c r="AB516" s="28" t="s">
        <v>6297</v>
      </c>
    </row>
    <row r="517" spans="1:28" ht="185.4" x14ac:dyDescent="0.3">
      <c r="A517" s="25">
        <v>7795</v>
      </c>
      <c r="B517" s="25" t="s">
        <v>9677</v>
      </c>
      <c r="C517" s="25" t="s">
        <v>9678</v>
      </c>
      <c r="D517" s="25" t="s">
        <v>6291</v>
      </c>
      <c r="E517" s="16" t="s">
        <v>6292</v>
      </c>
      <c r="F517" s="16" t="s">
        <v>6292</v>
      </c>
      <c r="G517" s="16" t="s">
        <v>6292</v>
      </c>
      <c r="H517" s="16" t="s">
        <v>6292</v>
      </c>
      <c r="I517" s="25" t="s">
        <v>9679</v>
      </c>
      <c r="J517" s="25"/>
      <c r="K517" s="25" t="s">
        <v>6281</v>
      </c>
      <c r="L517" s="26" t="s">
        <v>9680</v>
      </c>
      <c r="M517" s="26" t="s">
        <v>6295</v>
      </c>
      <c r="N517" s="27" t="s">
        <v>9681</v>
      </c>
      <c r="O517" s="26" t="s">
        <v>6295</v>
      </c>
      <c r="P517" s="20" t="b">
        <v>1</v>
      </c>
      <c r="Q517" s="20" t="s">
        <v>6282</v>
      </c>
      <c r="R517" s="28" t="s">
        <v>6283</v>
      </c>
      <c r="S517" s="25"/>
      <c r="T517" s="20" t="b">
        <v>1</v>
      </c>
      <c r="U517" s="25"/>
      <c r="V517" s="25">
        <v>2.39</v>
      </c>
      <c r="W517" s="28" t="s">
        <v>9682</v>
      </c>
      <c r="X517" s="28" t="s">
        <v>6285</v>
      </c>
      <c r="Y517" s="28" t="s">
        <v>6286</v>
      </c>
      <c r="Z517" s="28" t="s">
        <v>6287</v>
      </c>
      <c r="AA517" s="28" t="s">
        <v>6288</v>
      </c>
      <c r="AB517" s="28" t="s">
        <v>6297</v>
      </c>
    </row>
    <row r="518" spans="1:28" ht="185.4" x14ac:dyDescent="0.3">
      <c r="A518" s="25">
        <v>7802</v>
      </c>
      <c r="B518" s="25" t="s">
        <v>9683</v>
      </c>
      <c r="C518" s="25" t="s">
        <v>9684</v>
      </c>
      <c r="D518" s="25" t="s">
        <v>6278</v>
      </c>
      <c r="E518" s="16" t="s">
        <v>6279</v>
      </c>
      <c r="F518" s="16" t="s">
        <v>6279</v>
      </c>
      <c r="G518" s="16" t="s">
        <v>6279</v>
      </c>
      <c r="H518" s="16" t="s">
        <v>6279</v>
      </c>
      <c r="I518" s="25" t="s">
        <v>9685</v>
      </c>
      <c r="J518" s="25"/>
      <c r="K518" s="25" t="s">
        <v>6281</v>
      </c>
      <c r="L518" s="26" t="s">
        <v>9686</v>
      </c>
      <c r="M518" s="26" t="s">
        <v>9687</v>
      </c>
      <c r="N518" s="27" t="s">
        <v>9688</v>
      </c>
      <c r="O518" s="26" t="s">
        <v>7443</v>
      </c>
      <c r="P518" s="20" t="b">
        <v>1</v>
      </c>
      <c r="Q518" s="20" t="s">
        <v>6282</v>
      </c>
      <c r="R518" s="28" t="s">
        <v>6283</v>
      </c>
      <c r="S518" s="25"/>
      <c r="T518" s="20" t="b">
        <v>1</v>
      </c>
      <c r="U518" s="25"/>
      <c r="V518" s="25">
        <v>61.43</v>
      </c>
      <c r="W518" s="28" t="s">
        <v>9689</v>
      </c>
      <c r="X518" s="28" t="s">
        <v>6285</v>
      </c>
      <c r="Y518" s="28" t="s">
        <v>6286</v>
      </c>
      <c r="Z518" s="28" t="s">
        <v>6287</v>
      </c>
      <c r="AA518" s="28" t="s">
        <v>6288</v>
      </c>
      <c r="AB518" s="28" t="s">
        <v>6297</v>
      </c>
    </row>
    <row r="519" spans="1:28" ht="185.4" x14ac:dyDescent="0.3">
      <c r="A519" s="25">
        <v>7806</v>
      </c>
      <c r="B519" s="25" t="s">
        <v>9690</v>
      </c>
      <c r="C519" s="25" t="s">
        <v>9691</v>
      </c>
      <c r="D519" s="25" t="s">
        <v>6278</v>
      </c>
      <c r="E519" s="16" t="s">
        <v>6279</v>
      </c>
      <c r="F519" s="16" t="s">
        <v>6279</v>
      </c>
      <c r="G519" s="16" t="s">
        <v>6279</v>
      </c>
      <c r="H519" s="16" t="s">
        <v>6279</v>
      </c>
      <c r="I519" s="25" t="s">
        <v>9692</v>
      </c>
      <c r="J519" s="25"/>
      <c r="K519" s="25" t="s">
        <v>6281</v>
      </c>
      <c r="L519" s="26" t="s">
        <v>9693</v>
      </c>
      <c r="M519" s="26" t="s">
        <v>9694</v>
      </c>
      <c r="N519" s="27" t="s">
        <v>9695</v>
      </c>
      <c r="O519" s="26" t="s">
        <v>9696</v>
      </c>
      <c r="P519" s="20" t="b">
        <v>1</v>
      </c>
      <c r="Q519" s="20" t="s">
        <v>6282</v>
      </c>
      <c r="R519" s="28" t="s">
        <v>6283</v>
      </c>
      <c r="S519" s="25"/>
      <c r="T519" s="20" t="b">
        <v>1</v>
      </c>
      <c r="U519" s="25"/>
      <c r="V519" s="25">
        <v>111.9</v>
      </c>
      <c r="W519" s="28" t="s">
        <v>9697</v>
      </c>
      <c r="X519" s="28" t="s">
        <v>6285</v>
      </c>
      <c r="Y519" s="28" t="s">
        <v>6286</v>
      </c>
      <c r="Z519" s="28" t="s">
        <v>6287</v>
      </c>
      <c r="AA519" s="28" t="s">
        <v>6288</v>
      </c>
      <c r="AB519" s="28" t="s">
        <v>6297</v>
      </c>
    </row>
    <row r="520" spans="1:28" ht="185.4" x14ac:dyDescent="0.3">
      <c r="A520" s="25">
        <v>7811</v>
      </c>
      <c r="B520" s="25" t="s">
        <v>9698</v>
      </c>
      <c r="C520" s="25" t="s">
        <v>6410</v>
      </c>
      <c r="D520" s="25" t="s">
        <v>6291</v>
      </c>
      <c r="E520" s="16" t="s">
        <v>6292</v>
      </c>
      <c r="F520" s="16" t="s">
        <v>6292</v>
      </c>
      <c r="G520" s="16" t="s">
        <v>6292</v>
      </c>
      <c r="H520" s="16" t="s">
        <v>6292</v>
      </c>
      <c r="I520" s="25" t="s">
        <v>9699</v>
      </c>
      <c r="J520" s="25"/>
      <c r="K520" s="25" t="s">
        <v>6281</v>
      </c>
      <c r="L520" s="26" t="s">
        <v>9700</v>
      </c>
      <c r="M520" s="26" t="s">
        <v>7443</v>
      </c>
      <c r="N520" s="27" t="s">
        <v>9701</v>
      </c>
      <c r="O520" s="26" t="s">
        <v>7443</v>
      </c>
      <c r="P520" s="20" t="b">
        <v>1</v>
      </c>
      <c r="Q520" s="20" t="s">
        <v>6282</v>
      </c>
      <c r="R520" s="28" t="s">
        <v>6283</v>
      </c>
      <c r="S520" s="25"/>
      <c r="T520" s="20" t="b">
        <v>1</v>
      </c>
      <c r="U520" s="25"/>
      <c r="V520" s="25">
        <v>558.08000000000004</v>
      </c>
      <c r="W520" s="28" t="s">
        <v>9702</v>
      </c>
      <c r="X520" s="28" t="s">
        <v>6285</v>
      </c>
      <c r="Y520" s="28" t="s">
        <v>6286</v>
      </c>
      <c r="Z520" s="28" t="s">
        <v>6287</v>
      </c>
      <c r="AA520" s="28" t="s">
        <v>6288</v>
      </c>
      <c r="AB520" s="28" t="s">
        <v>6297</v>
      </c>
    </row>
    <row r="521" spans="1:28" ht="185.4" x14ac:dyDescent="0.3">
      <c r="A521" s="25">
        <v>7814</v>
      </c>
      <c r="B521" s="25" t="s">
        <v>9703</v>
      </c>
      <c r="C521" s="25" t="s">
        <v>9704</v>
      </c>
      <c r="D521" s="25" t="s">
        <v>6291</v>
      </c>
      <c r="E521" s="16" t="s">
        <v>6292</v>
      </c>
      <c r="F521" s="16" t="s">
        <v>6292</v>
      </c>
      <c r="G521" s="16" t="s">
        <v>6292</v>
      </c>
      <c r="H521" s="16" t="s">
        <v>6292</v>
      </c>
      <c r="I521" s="25" t="s">
        <v>9705</v>
      </c>
      <c r="J521" s="25"/>
      <c r="K521" s="25" t="s">
        <v>6281</v>
      </c>
      <c r="L521" s="26" t="s">
        <v>9706</v>
      </c>
      <c r="M521" s="26" t="s">
        <v>9707</v>
      </c>
      <c r="N521" s="27" t="s">
        <v>9708</v>
      </c>
      <c r="O521" s="26" t="s">
        <v>9709</v>
      </c>
      <c r="P521" s="20" t="b">
        <v>1</v>
      </c>
      <c r="Q521" s="20" t="s">
        <v>6282</v>
      </c>
      <c r="R521" s="28" t="s">
        <v>6283</v>
      </c>
      <c r="S521" s="25"/>
      <c r="T521" s="20" t="b">
        <v>1</v>
      </c>
      <c r="U521" s="25"/>
      <c r="V521" s="25">
        <v>13.337999999999999</v>
      </c>
      <c r="W521" s="28" t="s">
        <v>9710</v>
      </c>
      <c r="X521" s="28" t="s">
        <v>6285</v>
      </c>
      <c r="Y521" s="28" t="s">
        <v>6286</v>
      </c>
      <c r="Z521" s="28" t="s">
        <v>6287</v>
      </c>
      <c r="AA521" s="28" t="s">
        <v>6288</v>
      </c>
      <c r="AB521" s="28" t="s">
        <v>6297</v>
      </c>
    </row>
    <row r="522" spans="1:28" ht="185.4" x14ac:dyDescent="0.3">
      <c r="A522" s="25">
        <v>7815</v>
      </c>
      <c r="B522" s="25" t="s">
        <v>9711</v>
      </c>
      <c r="C522" s="25" t="s">
        <v>9712</v>
      </c>
      <c r="D522" s="25" t="s">
        <v>6291</v>
      </c>
      <c r="E522" s="16" t="s">
        <v>6292</v>
      </c>
      <c r="F522" s="16" t="s">
        <v>6292</v>
      </c>
      <c r="G522" s="16" t="s">
        <v>6292</v>
      </c>
      <c r="H522" s="16" t="s">
        <v>6292</v>
      </c>
      <c r="I522" s="25" t="s">
        <v>9713</v>
      </c>
      <c r="J522" s="25"/>
      <c r="K522" s="25" t="s">
        <v>6281</v>
      </c>
      <c r="L522" s="26" t="s">
        <v>9714</v>
      </c>
      <c r="M522" s="26" t="s">
        <v>9715</v>
      </c>
      <c r="N522" s="27" t="s">
        <v>9716</v>
      </c>
      <c r="O522" s="26" t="s">
        <v>7443</v>
      </c>
      <c r="P522" s="20" t="b">
        <v>1</v>
      </c>
      <c r="Q522" s="20" t="s">
        <v>6282</v>
      </c>
      <c r="R522" s="28" t="s">
        <v>6283</v>
      </c>
      <c r="S522" s="25"/>
      <c r="T522" s="20" t="b">
        <v>1</v>
      </c>
      <c r="U522" s="25"/>
      <c r="V522" s="25">
        <v>4.2279999999999998</v>
      </c>
      <c r="W522" s="28" t="s">
        <v>9717</v>
      </c>
      <c r="X522" s="28" t="s">
        <v>6285</v>
      </c>
      <c r="Y522" s="28" t="s">
        <v>6286</v>
      </c>
      <c r="Z522" s="28" t="s">
        <v>6287</v>
      </c>
      <c r="AA522" s="28" t="s">
        <v>6288</v>
      </c>
      <c r="AB522" s="28" t="s">
        <v>6297</v>
      </c>
    </row>
    <row r="523" spans="1:28" ht="185.4" x14ac:dyDescent="0.3">
      <c r="A523" s="25">
        <v>7821</v>
      </c>
      <c r="B523" s="25" t="s">
        <v>9718</v>
      </c>
      <c r="C523" s="25" t="s">
        <v>9719</v>
      </c>
      <c r="D523" s="25" t="s">
        <v>6291</v>
      </c>
      <c r="E523" s="16" t="s">
        <v>6786</v>
      </c>
      <c r="F523" s="16" t="s">
        <v>6786</v>
      </c>
      <c r="G523" s="16" t="s">
        <v>6786</v>
      </c>
      <c r="H523" s="16" t="s">
        <v>6786</v>
      </c>
      <c r="I523" s="25" t="s">
        <v>9720</v>
      </c>
      <c r="J523" s="25"/>
      <c r="K523" s="25" t="s">
        <v>6281</v>
      </c>
      <c r="L523" s="26" t="s">
        <v>9721</v>
      </c>
      <c r="M523" s="26" t="s">
        <v>9722</v>
      </c>
      <c r="N523" s="27" t="s">
        <v>9723</v>
      </c>
      <c r="O523" s="26" t="s">
        <v>9724</v>
      </c>
      <c r="P523" s="20" t="b">
        <v>1</v>
      </c>
      <c r="Q523" s="20" t="s">
        <v>6282</v>
      </c>
      <c r="R523" s="28" t="s">
        <v>6283</v>
      </c>
      <c r="S523" s="25"/>
      <c r="T523" s="20" t="b">
        <v>1</v>
      </c>
      <c r="U523" s="25"/>
      <c r="V523" s="25">
        <v>1.2531749999999999</v>
      </c>
      <c r="W523" s="28" t="s">
        <v>9725</v>
      </c>
      <c r="X523" s="28" t="s">
        <v>6285</v>
      </c>
      <c r="Y523" s="28" t="s">
        <v>6286</v>
      </c>
      <c r="Z523" s="28" t="s">
        <v>6287</v>
      </c>
      <c r="AA523" s="28" t="s">
        <v>6288</v>
      </c>
      <c r="AB523" s="28" t="s">
        <v>6297</v>
      </c>
    </row>
    <row r="524" spans="1:28" ht="185.4" x14ac:dyDescent="0.3">
      <c r="A524" s="25">
        <v>7827</v>
      </c>
      <c r="B524" s="25" t="s">
        <v>9726</v>
      </c>
      <c r="C524" s="25" t="s">
        <v>9727</v>
      </c>
      <c r="D524" s="25" t="s">
        <v>6291</v>
      </c>
      <c r="E524" s="16" t="s">
        <v>6786</v>
      </c>
      <c r="F524" s="16" t="s">
        <v>6786</v>
      </c>
      <c r="G524" s="16" t="s">
        <v>6786</v>
      </c>
      <c r="H524" s="16" t="s">
        <v>6786</v>
      </c>
      <c r="I524" s="25" t="s">
        <v>9728</v>
      </c>
      <c r="J524" s="25"/>
      <c r="K524" s="25" t="s">
        <v>6281</v>
      </c>
      <c r="L524" s="26" t="s">
        <v>9729</v>
      </c>
      <c r="M524" s="26" t="s">
        <v>9730</v>
      </c>
      <c r="N524" s="27" t="s">
        <v>9731</v>
      </c>
      <c r="O524" s="26" t="s">
        <v>6295</v>
      </c>
      <c r="P524" s="20" t="b">
        <v>1</v>
      </c>
      <c r="Q524" s="20" t="s">
        <v>6282</v>
      </c>
      <c r="R524" s="28" t="s">
        <v>6283</v>
      </c>
      <c r="S524" s="25"/>
      <c r="T524" s="20" t="b">
        <v>1</v>
      </c>
      <c r="U524" s="25"/>
      <c r="V524" s="25">
        <v>0.60099000000000002</v>
      </c>
      <c r="W524" s="28" t="s">
        <v>9732</v>
      </c>
      <c r="X524" s="28" t="s">
        <v>6285</v>
      </c>
      <c r="Y524" s="28" t="s">
        <v>6286</v>
      </c>
      <c r="Z524" s="28" t="s">
        <v>6287</v>
      </c>
      <c r="AA524" s="28" t="s">
        <v>6288</v>
      </c>
      <c r="AB524" s="28" t="s">
        <v>6297</v>
      </c>
    </row>
    <row r="525" spans="1:28" ht="185.4" x14ac:dyDescent="0.3">
      <c r="A525" s="25">
        <v>7828</v>
      </c>
      <c r="B525" s="25" t="s">
        <v>9733</v>
      </c>
      <c r="C525" s="25" t="s">
        <v>9734</v>
      </c>
      <c r="D525" s="25" t="s">
        <v>6291</v>
      </c>
      <c r="E525" s="16" t="s">
        <v>6292</v>
      </c>
      <c r="F525" s="16" t="s">
        <v>6292</v>
      </c>
      <c r="G525" s="16" t="s">
        <v>6292</v>
      </c>
      <c r="H525" s="16" t="s">
        <v>6292</v>
      </c>
      <c r="I525" s="25" t="s">
        <v>9735</v>
      </c>
      <c r="J525" s="25"/>
      <c r="K525" s="25" t="s">
        <v>6281</v>
      </c>
      <c r="L525" s="26" t="s">
        <v>9736</v>
      </c>
      <c r="M525" s="26" t="s">
        <v>9737</v>
      </c>
      <c r="N525" s="27" t="s">
        <v>9738</v>
      </c>
      <c r="O525" s="26" t="s">
        <v>9739</v>
      </c>
      <c r="P525" s="20" t="b">
        <v>1</v>
      </c>
      <c r="Q525" s="20" t="s">
        <v>6282</v>
      </c>
      <c r="R525" s="28" t="s">
        <v>6283</v>
      </c>
      <c r="S525" s="25"/>
      <c r="T525" s="20" t="b">
        <v>1</v>
      </c>
      <c r="U525" s="25"/>
      <c r="V525" s="25">
        <v>40.28</v>
      </c>
      <c r="W525" s="28" t="s">
        <v>9740</v>
      </c>
      <c r="X525" s="28" t="s">
        <v>6285</v>
      </c>
      <c r="Y525" s="28" t="s">
        <v>6286</v>
      </c>
      <c r="Z525" s="28" t="s">
        <v>6287</v>
      </c>
      <c r="AA525" s="28" t="s">
        <v>6288</v>
      </c>
      <c r="AB525" s="28" t="s">
        <v>6297</v>
      </c>
    </row>
    <row r="526" spans="1:28" ht="185.4" x14ac:dyDescent="0.3">
      <c r="A526" s="25">
        <v>7829</v>
      </c>
      <c r="B526" s="25" t="s">
        <v>9741</v>
      </c>
      <c r="C526" s="25" t="s">
        <v>9742</v>
      </c>
      <c r="D526" s="25" t="s">
        <v>6291</v>
      </c>
      <c r="E526" s="16" t="s">
        <v>6292</v>
      </c>
      <c r="F526" s="16" t="s">
        <v>6292</v>
      </c>
      <c r="G526" s="16" t="s">
        <v>6292</v>
      </c>
      <c r="H526" s="16" t="s">
        <v>6292</v>
      </c>
      <c r="I526" s="25" t="s">
        <v>9743</v>
      </c>
      <c r="J526" s="25"/>
      <c r="K526" s="25" t="s">
        <v>6281</v>
      </c>
      <c r="L526" s="26" t="s">
        <v>9744</v>
      </c>
      <c r="M526" s="26" t="s">
        <v>9745</v>
      </c>
      <c r="N526" s="27" t="s">
        <v>9746</v>
      </c>
      <c r="O526" s="26" t="s">
        <v>6295</v>
      </c>
      <c r="P526" s="20" t="b">
        <v>1</v>
      </c>
      <c r="Q526" s="20" t="s">
        <v>6282</v>
      </c>
      <c r="R526" s="28" t="s">
        <v>6283</v>
      </c>
      <c r="S526" s="25"/>
      <c r="T526" s="20" t="b">
        <v>1</v>
      </c>
      <c r="U526" s="25"/>
      <c r="V526" s="25">
        <v>23.12</v>
      </c>
      <c r="W526" s="28" t="s">
        <v>9747</v>
      </c>
      <c r="X526" s="28" t="s">
        <v>6285</v>
      </c>
      <c r="Y526" s="28" t="s">
        <v>6286</v>
      </c>
      <c r="Z526" s="28" t="s">
        <v>6287</v>
      </c>
      <c r="AA526" s="28" t="s">
        <v>6288</v>
      </c>
      <c r="AB526" s="28" t="s">
        <v>6297</v>
      </c>
    </row>
    <row r="527" spans="1:28" ht="185.4" x14ac:dyDescent="0.3">
      <c r="A527" s="25">
        <v>7843</v>
      </c>
      <c r="B527" s="25" t="s">
        <v>9748</v>
      </c>
      <c r="C527" s="25" t="s">
        <v>9749</v>
      </c>
      <c r="D527" s="25" t="s">
        <v>6291</v>
      </c>
      <c r="E527" s="16" t="s">
        <v>6292</v>
      </c>
      <c r="F527" s="16" t="s">
        <v>6292</v>
      </c>
      <c r="G527" s="16" t="s">
        <v>6292</v>
      </c>
      <c r="H527" s="16" t="s">
        <v>6292</v>
      </c>
      <c r="I527" s="25" t="s">
        <v>9750</v>
      </c>
      <c r="J527" s="25"/>
      <c r="K527" s="25" t="s">
        <v>6281</v>
      </c>
      <c r="L527" s="26" t="s">
        <v>6506</v>
      </c>
      <c r="M527" s="26" t="s">
        <v>6493</v>
      </c>
      <c r="N527" s="27" t="s">
        <v>9751</v>
      </c>
      <c r="O527" s="26" t="s">
        <v>6295</v>
      </c>
      <c r="P527" s="20" t="b">
        <v>1</v>
      </c>
      <c r="Q527" s="20" t="s">
        <v>6282</v>
      </c>
      <c r="R527" s="28" t="s">
        <v>6283</v>
      </c>
      <c r="S527" s="25"/>
      <c r="T527" s="20" t="b">
        <v>1</v>
      </c>
      <c r="U527" s="25"/>
      <c r="V527" s="25">
        <v>3.89</v>
      </c>
      <c r="W527" s="28" t="s">
        <v>9752</v>
      </c>
      <c r="X527" s="28" t="s">
        <v>6285</v>
      </c>
      <c r="Y527" s="28" t="s">
        <v>6286</v>
      </c>
      <c r="Z527" s="28" t="s">
        <v>6287</v>
      </c>
      <c r="AA527" s="28" t="s">
        <v>6288</v>
      </c>
      <c r="AB527" s="28" t="s">
        <v>6297</v>
      </c>
    </row>
    <row r="528" spans="1:28" ht="185.4" x14ac:dyDescent="0.3">
      <c r="A528" s="25">
        <v>7853</v>
      </c>
      <c r="B528" s="25" t="s">
        <v>9753</v>
      </c>
      <c r="C528" s="25" t="s">
        <v>9754</v>
      </c>
      <c r="D528" s="25" t="s">
        <v>6278</v>
      </c>
      <c r="E528" s="16" t="s">
        <v>6279</v>
      </c>
      <c r="F528" s="16" t="s">
        <v>6279</v>
      </c>
      <c r="G528" s="16" t="s">
        <v>6279</v>
      </c>
      <c r="H528" s="16" t="s">
        <v>6279</v>
      </c>
      <c r="I528" s="25" t="s">
        <v>9755</v>
      </c>
      <c r="J528" s="25"/>
      <c r="K528" s="25" t="s">
        <v>6281</v>
      </c>
      <c r="L528" s="26" t="s">
        <v>9756</v>
      </c>
      <c r="M528" s="26" t="s">
        <v>9757</v>
      </c>
      <c r="N528" s="27" t="s">
        <v>9758</v>
      </c>
      <c r="O528" s="26" t="s">
        <v>9759</v>
      </c>
      <c r="P528" s="20" t="b">
        <v>1</v>
      </c>
      <c r="Q528" s="20" t="s">
        <v>6282</v>
      </c>
      <c r="R528" s="28" t="s">
        <v>6283</v>
      </c>
      <c r="S528" s="25"/>
      <c r="T528" s="20" t="b">
        <v>1</v>
      </c>
      <c r="U528" s="25"/>
      <c r="V528" s="25">
        <v>3486.55</v>
      </c>
      <c r="W528" s="28" t="s">
        <v>9760</v>
      </c>
      <c r="X528" s="28" t="s">
        <v>6285</v>
      </c>
      <c r="Y528" s="28" t="s">
        <v>6286</v>
      </c>
      <c r="Z528" s="28" t="s">
        <v>6287</v>
      </c>
      <c r="AA528" s="28" t="s">
        <v>6288</v>
      </c>
      <c r="AB528" s="28" t="s">
        <v>6297</v>
      </c>
    </row>
    <row r="529" spans="1:28" ht="185.4" x14ac:dyDescent="0.3">
      <c r="A529" s="25">
        <v>7856</v>
      </c>
      <c r="B529" s="25" t="s">
        <v>9761</v>
      </c>
      <c r="C529" s="25" t="s">
        <v>9762</v>
      </c>
      <c r="D529" s="25" t="s">
        <v>6291</v>
      </c>
      <c r="E529" s="16" t="s">
        <v>6786</v>
      </c>
      <c r="F529" s="16" t="s">
        <v>6786</v>
      </c>
      <c r="G529" s="16" t="s">
        <v>6786</v>
      </c>
      <c r="H529" s="16" t="s">
        <v>6786</v>
      </c>
      <c r="I529" s="25" t="s">
        <v>9763</v>
      </c>
      <c r="J529" s="25"/>
      <c r="K529" s="25" t="s">
        <v>6281</v>
      </c>
      <c r="L529" s="26" t="s">
        <v>9764</v>
      </c>
      <c r="M529" s="26" t="s">
        <v>6295</v>
      </c>
      <c r="N529" s="27" t="s">
        <v>9765</v>
      </c>
      <c r="O529" s="26" t="s">
        <v>6295</v>
      </c>
      <c r="P529" s="20" t="b">
        <v>1</v>
      </c>
      <c r="Q529" s="20" t="s">
        <v>6282</v>
      </c>
      <c r="R529" s="28" t="s">
        <v>6283</v>
      </c>
      <c r="S529" s="25"/>
      <c r="T529" s="20" t="b">
        <v>1</v>
      </c>
      <c r="U529" s="25"/>
      <c r="V529" s="25">
        <v>5.6742999999999997</v>
      </c>
      <c r="W529" s="28" t="s">
        <v>9766</v>
      </c>
      <c r="X529" s="28" t="s">
        <v>6285</v>
      </c>
      <c r="Y529" s="28" t="s">
        <v>6286</v>
      </c>
      <c r="Z529" s="28" t="s">
        <v>6287</v>
      </c>
      <c r="AA529" s="28" t="s">
        <v>6288</v>
      </c>
      <c r="AB529" s="28" t="s">
        <v>6297</v>
      </c>
    </row>
    <row r="530" spans="1:28" ht="185.4" x14ac:dyDescent="0.3">
      <c r="A530" s="25">
        <v>7867</v>
      </c>
      <c r="B530" s="25" t="s">
        <v>9767</v>
      </c>
      <c r="C530" s="25" t="s">
        <v>9768</v>
      </c>
      <c r="D530" s="25" t="s">
        <v>6278</v>
      </c>
      <c r="E530" s="16" t="s">
        <v>6279</v>
      </c>
      <c r="F530" s="16" t="s">
        <v>6279</v>
      </c>
      <c r="G530" s="16" t="s">
        <v>6279</v>
      </c>
      <c r="H530" s="16" t="s">
        <v>6279</v>
      </c>
      <c r="I530" s="25" t="s">
        <v>9769</v>
      </c>
      <c r="J530" s="25"/>
      <c r="K530" s="25" t="s">
        <v>6281</v>
      </c>
      <c r="L530" s="26" t="s">
        <v>9770</v>
      </c>
      <c r="M530" s="26" t="s">
        <v>6295</v>
      </c>
      <c r="N530" s="27" t="s">
        <v>9771</v>
      </c>
      <c r="O530" s="26" t="s">
        <v>9772</v>
      </c>
      <c r="P530" s="20" t="b">
        <v>1</v>
      </c>
      <c r="Q530" s="20" t="s">
        <v>6282</v>
      </c>
      <c r="R530" s="28" t="s">
        <v>6283</v>
      </c>
      <c r="S530" s="25"/>
      <c r="T530" s="20" t="b">
        <v>1</v>
      </c>
      <c r="U530" s="25"/>
      <c r="V530" s="25" t="s">
        <v>6295</v>
      </c>
      <c r="W530" s="28" t="s">
        <v>9773</v>
      </c>
      <c r="X530" s="28" t="s">
        <v>6285</v>
      </c>
      <c r="Y530" s="28" t="s">
        <v>6286</v>
      </c>
      <c r="Z530" s="28" t="s">
        <v>6287</v>
      </c>
      <c r="AA530" s="28" t="s">
        <v>6288</v>
      </c>
      <c r="AB530" s="28" t="s">
        <v>6297</v>
      </c>
    </row>
    <row r="531" spans="1:28" ht="185.4" x14ac:dyDescent="0.3">
      <c r="A531" s="25">
        <v>7880</v>
      </c>
      <c r="B531" s="25" t="s">
        <v>9774</v>
      </c>
      <c r="C531" s="25" t="s">
        <v>9775</v>
      </c>
      <c r="D531" s="25" t="s">
        <v>6291</v>
      </c>
      <c r="E531" s="16" t="s">
        <v>8648</v>
      </c>
      <c r="F531" s="16" t="s">
        <v>8648</v>
      </c>
      <c r="G531" s="16" t="s">
        <v>8648</v>
      </c>
      <c r="H531" s="16" t="s">
        <v>8648</v>
      </c>
      <c r="I531" s="25" t="s">
        <v>9776</v>
      </c>
      <c r="J531" s="25"/>
      <c r="K531" s="25" t="s">
        <v>6281</v>
      </c>
      <c r="L531" s="26" t="s">
        <v>9777</v>
      </c>
      <c r="M531" s="26" t="s">
        <v>9778</v>
      </c>
      <c r="N531" s="27" t="s">
        <v>9779</v>
      </c>
      <c r="O531" s="26" t="s">
        <v>6295</v>
      </c>
      <c r="P531" s="20" t="b">
        <v>1</v>
      </c>
      <c r="Q531" s="20" t="s">
        <v>6282</v>
      </c>
      <c r="R531" s="28" t="s">
        <v>6283</v>
      </c>
      <c r="S531" s="25"/>
      <c r="T531" s="20" t="b">
        <v>1</v>
      </c>
      <c r="U531" s="25"/>
      <c r="V531" s="25">
        <v>47.75</v>
      </c>
      <c r="W531" s="28" t="s">
        <v>9780</v>
      </c>
      <c r="X531" s="28" t="s">
        <v>6285</v>
      </c>
      <c r="Y531" s="28" t="s">
        <v>6286</v>
      </c>
      <c r="Z531" s="28" t="s">
        <v>6287</v>
      </c>
      <c r="AA531" s="28" t="s">
        <v>6288</v>
      </c>
      <c r="AB531" s="28" t="s">
        <v>6297</v>
      </c>
    </row>
    <row r="532" spans="1:28" ht="185.4" x14ac:dyDescent="0.3">
      <c r="A532" s="25">
        <v>7881</v>
      </c>
      <c r="B532" s="25" t="s">
        <v>9781</v>
      </c>
      <c r="C532" s="25" t="s">
        <v>9782</v>
      </c>
      <c r="D532" s="25" t="s">
        <v>6291</v>
      </c>
      <c r="E532" s="16" t="s">
        <v>6786</v>
      </c>
      <c r="F532" s="16" t="s">
        <v>6786</v>
      </c>
      <c r="G532" s="16" t="s">
        <v>6786</v>
      </c>
      <c r="H532" s="16" t="s">
        <v>6786</v>
      </c>
      <c r="I532" s="25" t="s">
        <v>9783</v>
      </c>
      <c r="J532" s="25"/>
      <c r="K532" s="25" t="s">
        <v>6281</v>
      </c>
      <c r="L532" s="26" t="s">
        <v>9784</v>
      </c>
      <c r="M532" s="26" t="s">
        <v>9785</v>
      </c>
      <c r="N532" s="27" t="s">
        <v>9786</v>
      </c>
      <c r="O532" s="26" t="s">
        <v>9787</v>
      </c>
      <c r="P532" s="20" t="b">
        <v>1</v>
      </c>
      <c r="Q532" s="20" t="s">
        <v>6282</v>
      </c>
      <c r="R532" s="28" t="s">
        <v>6283</v>
      </c>
      <c r="S532" s="25"/>
      <c r="T532" s="20" t="b">
        <v>1</v>
      </c>
      <c r="U532" s="25"/>
      <c r="V532" s="25">
        <v>10.9056</v>
      </c>
      <c r="W532" s="28" t="s">
        <v>9788</v>
      </c>
      <c r="X532" s="28" t="s">
        <v>6285</v>
      </c>
      <c r="Y532" s="28" t="s">
        <v>6286</v>
      </c>
      <c r="Z532" s="28" t="s">
        <v>6287</v>
      </c>
      <c r="AA532" s="28" t="s">
        <v>6288</v>
      </c>
      <c r="AB532" s="28" t="s">
        <v>6297</v>
      </c>
    </row>
    <row r="533" spans="1:28" ht="185.4" x14ac:dyDescent="0.3">
      <c r="A533" s="25">
        <v>7883</v>
      </c>
      <c r="B533" s="25" t="s">
        <v>9789</v>
      </c>
      <c r="C533" s="25" t="s">
        <v>9790</v>
      </c>
      <c r="D533" s="25" t="s">
        <v>6291</v>
      </c>
      <c r="E533" s="16" t="s">
        <v>6292</v>
      </c>
      <c r="F533" s="16" t="s">
        <v>6292</v>
      </c>
      <c r="G533" s="16" t="s">
        <v>6292</v>
      </c>
      <c r="H533" s="16" t="s">
        <v>6292</v>
      </c>
      <c r="I533" s="25" t="s">
        <v>9791</v>
      </c>
      <c r="J533" s="25"/>
      <c r="K533" s="25" t="s">
        <v>6281</v>
      </c>
      <c r="L533" s="26" t="s">
        <v>9792</v>
      </c>
      <c r="M533" s="26" t="s">
        <v>6295</v>
      </c>
      <c r="N533" s="27" t="s">
        <v>9793</v>
      </c>
      <c r="O533" s="26" t="s">
        <v>6295</v>
      </c>
      <c r="P533" s="20" t="b">
        <v>1</v>
      </c>
      <c r="Q533" s="20" t="s">
        <v>6282</v>
      </c>
      <c r="R533" s="28" t="s">
        <v>6283</v>
      </c>
      <c r="S533" s="25"/>
      <c r="T533" s="20" t="b">
        <v>1</v>
      </c>
      <c r="U533" s="25"/>
      <c r="V533" s="25">
        <v>1980.17</v>
      </c>
      <c r="W533" s="28" t="s">
        <v>9794</v>
      </c>
      <c r="X533" s="28" t="s">
        <v>6285</v>
      </c>
      <c r="Y533" s="28" t="s">
        <v>6286</v>
      </c>
      <c r="Z533" s="28" t="s">
        <v>6287</v>
      </c>
      <c r="AA533" s="28" t="s">
        <v>6288</v>
      </c>
      <c r="AB533" s="28" t="s">
        <v>6297</v>
      </c>
    </row>
    <row r="534" spans="1:28" ht="198.6" x14ac:dyDescent="0.3">
      <c r="A534" s="25">
        <v>7889</v>
      </c>
      <c r="B534" s="25" t="s">
        <v>9795</v>
      </c>
      <c r="C534" s="25" t="s">
        <v>9796</v>
      </c>
      <c r="D534" s="25" t="s">
        <v>6291</v>
      </c>
      <c r="E534" s="16" t="s">
        <v>6292</v>
      </c>
      <c r="F534" s="16" t="s">
        <v>6292</v>
      </c>
      <c r="G534" s="16" t="s">
        <v>6292</v>
      </c>
      <c r="H534" s="16" t="s">
        <v>6292</v>
      </c>
      <c r="I534" s="25" t="s">
        <v>9797</v>
      </c>
      <c r="J534" s="25"/>
      <c r="K534" s="25" t="s">
        <v>6281</v>
      </c>
      <c r="L534" s="26" t="s">
        <v>9798</v>
      </c>
      <c r="M534" s="26" t="s">
        <v>6295</v>
      </c>
      <c r="N534" s="27" t="s">
        <v>9799</v>
      </c>
      <c r="O534" s="26" t="s">
        <v>6295</v>
      </c>
      <c r="P534" s="20" t="b">
        <v>1</v>
      </c>
      <c r="Q534" s="20" t="s">
        <v>6282</v>
      </c>
      <c r="R534" s="28" t="s">
        <v>6283</v>
      </c>
      <c r="S534" s="25"/>
      <c r="T534" s="20" t="b">
        <v>1</v>
      </c>
      <c r="U534" s="25"/>
      <c r="V534" s="25">
        <v>98.16</v>
      </c>
      <c r="W534" s="28" t="s">
        <v>9800</v>
      </c>
      <c r="X534" s="28" t="s">
        <v>6285</v>
      </c>
      <c r="Y534" s="28" t="s">
        <v>6286</v>
      </c>
      <c r="Z534" s="28" t="s">
        <v>6287</v>
      </c>
      <c r="AA534" s="28" t="s">
        <v>6288</v>
      </c>
      <c r="AB534" s="28" t="s">
        <v>6297</v>
      </c>
    </row>
    <row r="535" spans="1:28" ht="185.4" x14ac:dyDescent="0.3">
      <c r="A535" s="25">
        <v>7890</v>
      </c>
      <c r="B535" s="25" t="s">
        <v>9801</v>
      </c>
      <c r="C535" s="25" t="s">
        <v>6410</v>
      </c>
      <c r="D535" s="25" t="s">
        <v>6291</v>
      </c>
      <c r="E535" s="16" t="s">
        <v>6292</v>
      </c>
      <c r="F535" s="16" t="s">
        <v>6292</v>
      </c>
      <c r="G535" s="16" t="s">
        <v>6292</v>
      </c>
      <c r="H535" s="16" t="s">
        <v>6292</v>
      </c>
      <c r="I535" s="25" t="s">
        <v>9802</v>
      </c>
      <c r="J535" s="25"/>
      <c r="K535" s="25" t="s">
        <v>6281</v>
      </c>
      <c r="L535" s="26" t="s">
        <v>9803</v>
      </c>
      <c r="M535" s="26" t="s">
        <v>9804</v>
      </c>
      <c r="N535" s="27" t="s">
        <v>9805</v>
      </c>
      <c r="O535" s="26" t="s">
        <v>9806</v>
      </c>
      <c r="P535" s="20" t="b">
        <v>1</v>
      </c>
      <c r="Q535" s="20" t="s">
        <v>6282</v>
      </c>
      <c r="R535" s="28" t="s">
        <v>6283</v>
      </c>
      <c r="S535" s="25"/>
      <c r="T535" s="20" t="b">
        <v>1</v>
      </c>
      <c r="U535" s="25"/>
      <c r="V535" s="25">
        <v>83.4024</v>
      </c>
      <c r="W535" s="28" t="s">
        <v>9807</v>
      </c>
      <c r="X535" s="28" t="s">
        <v>6285</v>
      </c>
      <c r="Y535" s="28" t="s">
        <v>6286</v>
      </c>
      <c r="Z535" s="28" t="s">
        <v>6287</v>
      </c>
      <c r="AA535" s="28" t="s">
        <v>6288</v>
      </c>
      <c r="AB535" s="28" t="s">
        <v>6297</v>
      </c>
    </row>
    <row r="536" spans="1:28" ht="185.4" x14ac:dyDescent="0.3">
      <c r="A536" s="25">
        <v>7897</v>
      </c>
      <c r="B536" s="25" t="s">
        <v>9808</v>
      </c>
      <c r="C536" s="25" t="s">
        <v>9809</v>
      </c>
      <c r="D536" s="25" t="s">
        <v>6291</v>
      </c>
      <c r="E536" s="16" t="s">
        <v>6786</v>
      </c>
      <c r="F536" s="16" t="s">
        <v>6786</v>
      </c>
      <c r="G536" s="16" t="s">
        <v>6786</v>
      </c>
      <c r="H536" s="16" t="s">
        <v>6786</v>
      </c>
      <c r="I536" s="25" t="s">
        <v>9810</v>
      </c>
      <c r="J536" s="25"/>
      <c r="K536" s="25" t="s">
        <v>6281</v>
      </c>
      <c r="L536" s="26" t="s">
        <v>9811</v>
      </c>
      <c r="M536" s="26" t="s">
        <v>6295</v>
      </c>
      <c r="N536" s="27" t="s">
        <v>9812</v>
      </c>
      <c r="O536" s="26" t="s">
        <v>6295</v>
      </c>
      <c r="P536" s="20" t="b">
        <v>1</v>
      </c>
      <c r="Q536" s="20" t="s">
        <v>6282</v>
      </c>
      <c r="R536" s="28" t="s">
        <v>6283</v>
      </c>
      <c r="S536" s="25"/>
      <c r="T536" s="20" t="b">
        <v>1</v>
      </c>
      <c r="U536" s="25"/>
      <c r="V536" s="25">
        <v>67.42116</v>
      </c>
      <c r="W536" s="28" t="s">
        <v>9813</v>
      </c>
      <c r="X536" s="28" t="s">
        <v>6285</v>
      </c>
      <c r="Y536" s="28" t="s">
        <v>6286</v>
      </c>
      <c r="Z536" s="28" t="s">
        <v>6287</v>
      </c>
      <c r="AA536" s="28" t="s">
        <v>6288</v>
      </c>
      <c r="AB536" s="28" t="s">
        <v>6297</v>
      </c>
    </row>
    <row r="537" spans="1:28" ht="185.4" x14ac:dyDescent="0.3">
      <c r="A537" s="25">
        <v>7900</v>
      </c>
      <c r="B537" s="25" t="s">
        <v>9814</v>
      </c>
      <c r="C537" s="25" t="s">
        <v>9815</v>
      </c>
      <c r="D537" s="25" t="s">
        <v>6291</v>
      </c>
      <c r="E537" s="16" t="s">
        <v>6786</v>
      </c>
      <c r="F537" s="16" t="s">
        <v>6786</v>
      </c>
      <c r="G537" s="16" t="s">
        <v>6786</v>
      </c>
      <c r="H537" s="16" t="s">
        <v>6786</v>
      </c>
      <c r="I537" s="25" t="s">
        <v>9816</v>
      </c>
      <c r="J537" s="25"/>
      <c r="K537" s="25" t="s">
        <v>6281</v>
      </c>
      <c r="L537" s="26" t="s">
        <v>9817</v>
      </c>
      <c r="M537" s="26" t="s">
        <v>6295</v>
      </c>
      <c r="N537" s="27" t="s">
        <v>9818</v>
      </c>
      <c r="O537" s="26" t="s">
        <v>9819</v>
      </c>
      <c r="P537" s="20" t="b">
        <v>1</v>
      </c>
      <c r="Q537" s="20" t="s">
        <v>6282</v>
      </c>
      <c r="R537" s="28" t="s">
        <v>6283</v>
      </c>
      <c r="S537" s="25"/>
      <c r="T537" s="20" t="b">
        <v>1</v>
      </c>
      <c r="U537" s="25"/>
      <c r="V537" s="25">
        <v>4.4000000000000004</v>
      </c>
      <c r="W537" s="28" t="s">
        <v>9820</v>
      </c>
      <c r="X537" s="28" t="s">
        <v>6285</v>
      </c>
      <c r="Y537" s="28" t="s">
        <v>6286</v>
      </c>
      <c r="Z537" s="28" t="s">
        <v>6287</v>
      </c>
      <c r="AA537" s="28" t="s">
        <v>6288</v>
      </c>
      <c r="AB537" s="28" t="s">
        <v>6297</v>
      </c>
    </row>
    <row r="538" spans="1:28" ht="185.4" x14ac:dyDescent="0.3">
      <c r="A538" s="25">
        <v>7902</v>
      </c>
      <c r="B538" s="25" t="s">
        <v>9821</v>
      </c>
      <c r="C538" s="25" t="s">
        <v>9822</v>
      </c>
      <c r="D538" s="25" t="s">
        <v>6291</v>
      </c>
      <c r="E538" s="16" t="s">
        <v>6292</v>
      </c>
      <c r="F538" s="16" t="s">
        <v>6292</v>
      </c>
      <c r="G538" s="16" t="s">
        <v>6292</v>
      </c>
      <c r="H538" s="16" t="s">
        <v>6292</v>
      </c>
      <c r="I538" s="25" t="s">
        <v>9823</v>
      </c>
      <c r="J538" s="25"/>
      <c r="K538" s="25" t="s">
        <v>6281</v>
      </c>
      <c r="L538" s="26" t="s">
        <v>9824</v>
      </c>
      <c r="M538" s="26" t="s">
        <v>9825</v>
      </c>
      <c r="N538" s="27" t="s">
        <v>9826</v>
      </c>
      <c r="O538" s="26" t="s">
        <v>6295</v>
      </c>
      <c r="P538" s="20" t="b">
        <v>1</v>
      </c>
      <c r="Q538" s="20" t="s">
        <v>6282</v>
      </c>
      <c r="R538" s="28" t="s">
        <v>6283</v>
      </c>
      <c r="S538" s="25"/>
      <c r="T538" s="20" t="b">
        <v>1</v>
      </c>
      <c r="U538" s="25"/>
      <c r="V538" s="25">
        <v>43.25</v>
      </c>
      <c r="W538" s="28" t="s">
        <v>9827</v>
      </c>
      <c r="X538" s="28" t="s">
        <v>6285</v>
      </c>
      <c r="Y538" s="28" t="s">
        <v>6286</v>
      </c>
      <c r="Z538" s="28" t="s">
        <v>6287</v>
      </c>
      <c r="AA538" s="28" t="s">
        <v>6288</v>
      </c>
      <c r="AB538" s="28" t="s">
        <v>6297</v>
      </c>
    </row>
    <row r="539" spans="1:28" ht="185.4" x14ac:dyDescent="0.3">
      <c r="A539" s="25">
        <v>7903</v>
      </c>
      <c r="B539" s="25" t="s">
        <v>9828</v>
      </c>
      <c r="C539" s="25" t="s">
        <v>9829</v>
      </c>
      <c r="D539" s="25" t="s">
        <v>6291</v>
      </c>
      <c r="E539" s="16" t="s">
        <v>8648</v>
      </c>
      <c r="F539" s="16" t="s">
        <v>8648</v>
      </c>
      <c r="G539" s="16" t="s">
        <v>8648</v>
      </c>
      <c r="H539" s="16" t="s">
        <v>8648</v>
      </c>
      <c r="I539" s="25" t="s">
        <v>9830</v>
      </c>
      <c r="J539" s="25"/>
      <c r="K539" s="25" t="s">
        <v>6281</v>
      </c>
      <c r="L539" s="26" t="s">
        <v>9831</v>
      </c>
      <c r="M539" s="26" t="s">
        <v>9832</v>
      </c>
      <c r="N539" s="27" t="s">
        <v>9833</v>
      </c>
      <c r="O539" s="26" t="s">
        <v>9834</v>
      </c>
      <c r="P539" s="20" t="b">
        <v>1</v>
      </c>
      <c r="Q539" s="20" t="s">
        <v>6282</v>
      </c>
      <c r="R539" s="28" t="s">
        <v>6283</v>
      </c>
      <c r="S539" s="25"/>
      <c r="T539" s="20" t="b">
        <v>1</v>
      </c>
      <c r="U539" s="25"/>
      <c r="V539" s="25">
        <v>38.26</v>
      </c>
      <c r="W539" s="28" t="s">
        <v>9835</v>
      </c>
      <c r="X539" s="28" t="s">
        <v>6285</v>
      </c>
      <c r="Y539" s="28" t="s">
        <v>6286</v>
      </c>
      <c r="Z539" s="28" t="s">
        <v>6287</v>
      </c>
      <c r="AA539" s="28" t="s">
        <v>6288</v>
      </c>
      <c r="AB539" s="28" t="s">
        <v>6297</v>
      </c>
    </row>
    <row r="540" spans="1:28" ht="185.4" x14ac:dyDescent="0.3">
      <c r="A540" s="25">
        <v>7906</v>
      </c>
      <c r="B540" s="25" t="s">
        <v>9836</v>
      </c>
      <c r="C540" s="25" t="s">
        <v>9837</v>
      </c>
      <c r="D540" s="25" t="s">
        <v>6291</v>
      </c>
      <c r="E540" s="16" t="s">
        <v>6292</v>
      </c>
      <c r="F540" s="16" t="s">
        <v>6292</v>
      </c>
      <c r="G540" s="16" t="s">
        <v>6292</v>
      </c>
      <c r="H540" s="16" t="s">
        <v>6292</v>
      </c>
      <c r="I540" s="25" t="s">
        <v>9838</v>
      </c>
      <c r="J540" s="25"/>
      <c r="K540" s="25" t="s">
        <v>6281</v>
      </c>
      <c r="L540" s="26" t="s">
        <v>9839</v>
      </c>
      <c r="M540" s="26" t="s">
        <v>9840</v>
      </c>
      <c r="N540" s="27" t="s">
        <v>9841</v>
      </c>
      <c r="O540" s="26" t="s">
        <v>7443</v>
      </c>
      <c r="P540" s="20" t="b">
        <v>1</v>
      </c>
      <c r="Q540" s="20" t="s">
        <v>6282</v>
      </c>
      <c r="R540" s="28" t="s">
        <v>6283</v>
      </c>
      <c r="S540" s="25"/>
      <c r="T540" s="20" t="b">
        <v>1</v>
      </c>
      <c r="U540" s="25"/>
      <c r="V540" s="25">
        <v>69.349999999999994</v>
      </c>
      <c r="W540" s="28" t="s">
        <v>9842</v>
      </c>
      <c r="X540" s="28" t="s">
        <v>6285</v>
      </c>
      <c r="Y540" s="28" t="s">
        <v>6286</v>
      </c>
      <c r="Z540" s="28" t="s">
        <v>6287</v>
      </c>
      <c r="AA540" s="28" t="s">
        <v>6288</v>
      </c>
      <c r="AB540" s="28" t="s">
        <v>6297</v>
      </c>
    </row>
    <row r="541" spans="1:28" ht="185.4" x14ac:dyDescent="0.3">
      <c r="A541" s="25">
        <v>7913</v>
      </c>
      <c r="B541" s="25" t="s">
        <v>9843</v>
      </c>
      <c r="C541" s="25" t="s">
        <v>6410</v>
      </c>
      <c r="D541" s="25" t="s">
        <v>6291</v>
      </c>
      <c r="E541" s="16" t="s">
        <v>6292</v>
      </c>
      <c r="F541" s="16" t="s">
        <v>6292</v>
      </c>
      <c r="G541" s="16" t="s">
        <v>6292</v>
      </c>
      <c r="H541" s="16" t="s">
        <v>6292</v>
      </c>
      <c r="I541" s="25" t="s">
        <v>9844</v>
      </c>
      <c r="J541" s="25"/>
      <c r="K541" s="25" t="s">
        <v>6281</v>
      </c>
      <c r="L541" s="26" t="s">
        <v>9845</v>
      </c>
      <c r="M541" s="26" t="s">
        <v>7443</v>
      </c>
      <c r="N541" s="27" t="s">
        <v>9846</v>
      </c>
      <c r="O541" s="26" t="s">
        <v>7443</v>
      </c>
      <c r="P541" s="20" t="b">
        <v>1</v>
      </c>
      <c r="Q541" s="20" t="s">
        <v>6282</v>
      </c>
      <c r="R541" s="28" t="s">
        <v>6283</v>
      </c>
      <c r="S541" s="25"/>
      <c r="T541" s="20" t="b">
        <v>1</v>
      </c>
      <c r="U541" s="25"/>
      <c r="V541" s="25">
        <v>31.39</v>
      </c>
      <c r="W541" s="28" t="s">
        <v>9847</v>
      </c>
      <c r="X541" s="28" t="s">
        <v>6285</v>
      </c>
      <c r="Y541" s="28" t="s">
        <v>6286</v>
      </c>
      <c r="Z541" s="28" t="s">
        <v>6287</v>
      </c>
      <c r="AA541" s="28" t="s">
        <v>6288</v>
      </c>
      <c r="AB541" s="28" t="s">
        <v>6297</v>
      </c>
    </row>
    <row r="542" spans="1:28" ht="185.4" x14ac:dyDescent="0.3">
      <c r="A542" s="25">
        <v>7914</v>
      </c>
      <c r="B542" s="25" t="s">
        <v>9848</v>
      </c>
      <c r="C542" s="25" t="s">
        <v>6410</v>
      </c>
      <c r="D542" s="25" t="s">
        <v>6291</v>
      </c>
      <c r="E542" s="16" t="s">
        <v>6292</v>
      </c>
      <c r="F542" s="16" t="s">
        <v>6292</v>
      </c>
      <c r="G542" s="16" t="s">
        <v>6292</v>
      </c>
      <c r="H542" s="16" t="s">
        <v>6292</v>
      </c>
      <c r="I542" s="25" t="s">
        <v>9849</v>
      </c>
      <c r="J542" s="25"/>
      <c r="K542" s="25" t="s">
        <v>6281</v>
      </c>
      <c r="L542" s="26" t="s">
        <v>9850</v>
      </c>
      <c r="M542" s="26" t="s">
        <v>7443</v>
      </c>
      <c r="N542" s="27" t="s">
        <v>9851</v>
      </c>
      <c r="O542" s="26" t="s">
        <v>7443</v>
      </c>
      <c r="P542" s="20" t="b">
        <v>1</v>
      </c>
      <c r="Q542" s="20" t="s">
        <v>6282</v>
      </c>
      <c r="R542" s="28" t="s">
        <v>6283</v>
      </c>
      <c r="S542" s="25"/>
      <c r="T542" s="20" t="b">
        <v>1</v>
      </c>
      <c r="U542" s="25"/>
      <c r="V542" s="25">
        <v>63.01</v>
      </c>
      <c r="W542" s="28" t="s">
        <v>9852</v>
      </c>
      <c r="X542" s="28" t="s">
        <v>6285</v>
      </c>
      <c r="Y542" s="28" t="s">
        <v>6286</v>
      </c>
      <c r="Z542" s="28" t="s">
        <v>6287</v>
      </c>
      <c r="AA542" s="28" t="s">
        <v>6288</v>
      </c>
      <c r="AB542" s="28" t="s">
        <v>6297</v>
      </c>
    </row>
    <row r="543" spans="1:28" ht="185.4" x14ac:dyDescent="0.3">
      <c r="A543" s="25">
        <v>7930</v>
      </c>
      <c r="B543" s="25" t="s">
        <v>9853</v>
      </c>
      <c r="C543" s="25" t="s">
        <v>9854</v>
      </c>
      <c r="D543" s="25" t="s">
        <v>6291</v>
      </c>
      <c r="E543" s="16" t="s">
        <v>6292</v>
      </c>
      <c r="F543" s="16" t="s">
        <v>6292</v>
      </c>
      <c r="G543" s="16" t="s">
        <v>6292</v>
      </c>
      <c r="H543" s="16" t="s">
        <v>6292</v>
      </c>
      <c r="I543" s="25" t="s">
        <v>9855</v>
      </c>
      <c r="J543" s="25"/>
      <c r="K543" s="25" t="s">
        <v>6281</v>
      </c>
      <c r="L543" s="26" t="s">
        <v>9856</v>
      </c>
      <c r="M543" s="26" t="s">
        <v>6295</v>
      </c>
      <c r="N543" s="27" t="s">
        <v>9857</v>
      </c>
      <c r="O543" s="26" t="s">
        <v>6295</v>
      </c>
      <c r="P543" s="20" t="b">
        <v>1</v>
      </c>
      <c r="Q543" s="20" t="s">
        <v>6282</v>
      </c>
      <c r="R543" s="28" t="s">
        <v>6283</v>
      </c>
      <c r="S543" s="25"/>
      <c r="T543" s="20" t="b">
        <v>1</v>
      </c>
      <c r="U543" s="25"/>
      <c r="V543" s="25">
        <v>100</v>
      </c>
      <c r="W543" s="28" t="s">
        <v>9858</v>
      </c>
      <c r="X543" s="28" t="s">
        <v>6285</v>
      </c>
      <c r="Y543" s="28" t="s">
        <v>6286</v>
      </c>
      <c r="Z543" s="28" t="s">
        <v>6287</v>
      </c>
      <c r="AA543" s="28" t="s">
        <v>6288</v>
      </c>
      <c r="AB543" s="28" t="s">
        <v>6297</v>
      </c>
    </row>
    <row r="544" spans="1:28" ht="185.4" x14ac:dyDescent="0.3">
      <c r="A544" s="25">
        <v>7933</v>
      </c>
      <c r="B544" s="25" t="s">
        <v>9859</v>
      </c>
      <c r="C544" s="25" t="s">
        <v>9860</v>
      </c>
      <c r="D544" s="25" t="s">
        <v>6291</v>
      </c>
      <c r="E544" s="16" t="s">
        <v>6292</v>
      </c>
      <c r="F544" s="16" t="s">
        <v>6292</v>
      </c>
      <c r="G544" s="16" t="s">
        <v>6292</v>
      </c>
      <c r="H544" s="16" t="s">
        <v>6292</v>
      </c>
      <c r="I544" s="25" t="s">
        <v>9861</v>
      </c>
      <c r="J544" s="25"/>
      <c r="K544" s="25" t="s">
        <v>6281</v>
      </c>
      <c r="L544" s="26" t="s">
        <v>9862</v>
      </c>
      <c r="M544" s="26" t="s">
        <v>9863</v>
      </c>
      <c r="N544" s="27" t="s">
        <v>9864</v>
      </c>
      <c r="O544" s="26" t="s">
        <v>9865</v>
      </c>
      <c r="P544" s="20" t="b">
        <v>1</v>
      </c>
      <c r="Q544" s="20" t="s">
        <v>6282</v>
      </c>
      <c r="R544" s="28" t="s">
        <v>6283</v>
      </c>
      <c r="S544" s="25"/>
      <c r="T544" s="20" t="b">
        <v>1</v>
      </c>
      <c r="U544" s="25"/>
      <c r="V544" s="25">
        <v>14.847300000000001</v>
      </c>
      <c r="W544" s="28" t="s">
        <v>9866</v>
      </c>
      <c r="X544" s="28" t="s">
        <v>6285</v>
      </c>
      <c r="Y544" s="28" t="s">
        <v>6286</v>
      </c>
      <c r="Z544" s="28" t="s">
        <v>6287</v>
      </c>
      <c r="AA544" s="28" t="s">
        <v>6288</v>
      </c>
      <c r="AB544" s="28" t="s">
        <v>6297</v>
      </c>
    </row>
    <row r="545" spans="1:28" ht="193.2" x14ac:dyDescent="0.3">
      <c r="A545" s="25">
        <v>7938</v>
      </c>
      <c r="B545" s="25" t="s">
        <v>9867</v>
      </c>
      <c r="C545" s="25" t="s">
        <v>9868</v>
      </c>
      <c r="D545" s="25" t="s">
        <v>6278</v>
      </c>
      <c r="E545" s="16" t="s">
        <v>6279</v>
      </c>
      <c r="F545" s="16" t="s">
        <v>6279</v>
      </c>
      <c r="G545" s="16" t="s">
        <v>6279</v>
      </c>
      <c r="H545" s="16" t="s">
        <v>6279</v>
      </c>
      <c r="I545" s="25" t="s">
        <v>9869</v>
      </c>
      <c r="J545" s="25"/>
      <c r="K545" s="25" t="s">
        <v>6281</v>
      </c>
      <c r="L545" s="26" t="s">
        <v>9870</v>
      </c>
      <c r="M545" s="26" t="s">
        <v>9871</v>
      </c>
      <c r="N545" s="27" t="s">
        <v>9872</v>
      </c>
      <c r="O545" s="26" t="s">
        <v>9873</v>
      </c>
      <c r="P545" s="20" t="b">
        <v>1</v>
      </c>
      <c r="Q545" s="20" t="s">
        <v>6282</v>
      </c>
      <c r="R545" s="28" t="s">
        <v>6283</v>
      </c>
      <c r="S545" s="25"/>
      <c r="T545" s="20" t="b">
        <v>1</v>
      </c>
      <c r="U545" s="25"/>
      <c r="V545" s="25">
        <v>45.54</v>
      </c>
      <c r="W545" s="28" t="s">
        <v>9874</v>
      </c>
      <c r="X545" s="28" t="s">
        <v>6285</v>
      </c>
      <c r="Y545" s="28" t="s">
        <v>6286</v>
      </c>
      <c r="Z545" s="28" t="s">
        <v>6287</v>
      </c>
      <c r="AA545" s="28" t="s">
        <v>6288</v>
      </c>
      <c r="AB545" s="28" t="s">
        <v>6297</v>
      </c>
    </row>
    <row r="546" spans="1:28" ht="185.4" x14ac:dyDescent="0.3">
      <c r="A546" s="25">
        <v>7939</v>
      </c>
      <c r="B546" s="25" t="s">
        <v>9875</v>
      </c>
      <c r="C546" s="25" t="s">
        <v>9876</v>
      </c>
      <c r="D546" s="25" t="s">
        <v>6278</v>
      </c>
      <c r="E546" s="16" t="s">
        <v>6279</v>
      </c>
      <c r="F546" s="16" t="s">
        <v>6279</v>
      </c>
      <c r="G546" s="16" t="s">
        <v>6279</v>
      </c>
      <c r="H546" s="16" t="s">
        <v>6279</v>
      </c>
      <c r="I546" s="25" t="s">
        <v>9877</v>
      </c>
      <c r="J546" s="25"/>
      <c r="K546" s="25" t="s">
        <v>6281</v>
      </c>
      <c r="L546" s="26" t="s">
        <v>9878</v>
      </c>
      <c r="M546" s="26" t="s">
        <v>9879</v>
      </c>
      <c r="N546" s="27" t="s">
        <v>9880</v>
      </c>
      <c r="O546" s="26" t="s">
        <v>9881</v>
      </c>
      <c r="P546" s="20" t="b">
        <v>1</v>
      </c>
      <c r="Q546" s="20" t="s">
        <v>6282</v>
      </c>
      <c r="R546" s="28" t="s">
        <v>6283</v>
      </c>
      <c r="S546" s="25"/>
      <c r="T546" s="20" t="b">
        <v>1</v>
      </c>
      <c r="U546" s="25"/>
      <c r="V546" s="25">
        <v>89.93</v>
      </c>
      <c r="W546" s="28" t="s">
        <v>9882</v>
      </c>
      <c r="X546" s="28" t="s">
        <v>6285</v>
      </c>
      <c r="Y546" s="28" t="s">
        <v>6286</v>
      </c>
      <c r="Z546" s="28" t="s">
        <v>6287</v>
      </c>
      <c r="AA546" s="28" t="s">
        <v>6288</v>
      </c>
      <c r="AB546" s="28" t="s">
        <v>6297</v>
      </c>
    </row>
    <row r="547" spans="1:28" ht="198.6" x14ac:dyDescent="0.3">
      <c r="A547" s="25">
        <v>7947</v>
      </c>
      <c r="B547" s="25" t="s">
        <v>6891</v>
      </c>
      <c r="C547" s="25" t="s">
        <v>9883</v>
      </c>
      <c r="D547" s="25" t="s">
        <v>6291</v>
      </c>
      <c r="E547" s="16" t="s">
        <v>6292</v>
      </c>
      <c r="F547" s="16" t="s">
        <v>6292</v>
      </c>
      <c r="G547" s="16" t="s">
        <v>6292</v>
      </c>
      <c r="H547" s="16" t="s">
        <v>6292</v>
      </c>
      <c r="I547" s="25" t="s">
        <v>6893</v>
      </c>
      <c r="J547" s="25"/>
      <c r="K547" s="25" t="s">
        <v>6281</v>
      </c>
      <c r="L547" s="26" t="s">
        <v>9884</v>
      </c>
      <c r="M547" s="26" t="s">
        <v>6295</v>
      </c>
      <c r="N547" s="27" t="s">
        <v>9885</v>
      </c>
      <c r="O547" s="26" t="s">
        <v>6295</v>
      </c>
      <c r="P547" s="20" t="b">
        <v>1</v>
      </c>
      <c r="Q547" s="20" t="s">
        <v>6282</v>
      </c>
      <c r="R547" s="28" t="s">
        <v>6283</v>
      </c>
      <c r="S547" s="25"/>
      <c r="T547" s="20" t="b">
        <v>1</v>
      </c>
      <c r="U547" s="25"/>
      <c r="V547" s="25">
        <v>9.2799999999999994</v>
      </c>
      <c r="W547" s="28" t="s">
        <v>9886</v>
      </c>
      <c r="X547" s="28" t="s">
        <v>6285</v>
      </c>
      <c r="Y547" s="28" t="s">
        <v>6286</v>
      </c>
      <c r="Z547" s="28" t="s">
        <v>6287</v>
      </c>
      <c r="AA547" s="28" t="s">
        <v>6288</v>
      </c>
      <c r="AB547" s="28" t="s">
        <v>6297</v>
      </c>
    </row>
    <row r="548" spans="1:28" ht="193.2" x14ac:dyDescent="0.3">
      <c r="A548" s="25">
        <v>7954</v>
      </c>
      <c r="B548" s="25" t="s">
        <v>9887</v>
      </c>
      <c r="C548" s="25" t="s">
        <v>9888</v>
      </c>
      <c r="D548" s="25" t="s">
        <v>6278</v>
      </c>
      <c r="E548" s="16" t="s">
        <v>6279</v>
      </c>
      <c r="F548" s="16" t="s">
        <v>6279</v>
      </c>
      <c r="G548" s="16" t="s">
        <v>6279</v>
      </c>
      <c r="H548" s="16" t="s">
        <v>6279</v>
      </c>
      <c r="I548" s="25" t="s">
        <v>9889</v>
      </c>
      <c r="J548" s="25"/>
      <c r="K548" s="25" t="s">
        <v>6281</v>
      </c>
      <c r="L548" s="26" t="s">
        <v>9890</v>
      </c>
      <c r="M548" s="26" t="s">
        <v>6295</v>
      </c>
      <c r="N548" s="27" t="s">
        <v>9891</v>
      </c>
      <c r="O548" s="26" t="s">
        <v>6295</v>
      </c>
      <c r="P548" s="20" t="b">
        <v>1</v>
      </c>
      <c r="Q548" s="20" t="s">
        <v>6282</v>
      </c>
      <c r="R548" s="28" t="s">
        <v>6283</v>
      </c>
      <c r="S548" s="25"/>
      <c r="T548" s="20" t="b">
        <v>1</v>
      </c>
      <c r="U548" s="25"/>
      <c r="V548" s="25">
        <v>182.8365</v>
      </c>
      <c r="W548" s="28" t="s">
        <v>9892</v>
      </c>
      <c r="X548" s="28" t="s">
        <v>6285</v>
      </c>
      <c r="Y548" s="28" t="s">
        <v>6286</v>
      </c>
      <c r="Z548" s="28" t="s">
        <v>6287</v>
      </c>
      <c r="AA548" s="28" t="s">
        <v>6288</v>
      </c>
      <c r="AB548" s="28" t="s">
        <v>6297</v>
      </c>
    </row>
    <row r="549" spans="1:28" ht="211.8" x14ac:dyDescent="0.3">
      <c r="A549" s="25">
        <v>7963</v>
      </c>
      <c r="B549" s="25" t="s">
        <v>9893</v>
      </c>
      <c r="C549" s="25" t="s">
        <v>9894</v>
      </c>
      <c r="D549" s="25" t="s">
        <v>6291</v>
      </c>
      <c r="E549" s="16" t="s">
        <v>8648</v>
      </c>
      <c r="F549" s="16" t="s">
        <v>8648</v>
      </c>
      <c r="G549" s="16" t="s">
        <v>8648</v>
      </c>
      <c r="H549" s="16" t="s">
        <v>8648</v>
      </c>
      <c r="I549" s="25" t="s">
        <v>9895</v>
      </c>
      <c r="J549" s="25"/>
      <c r="K549" s="25" t="s">
        <v>6281</v>
      </c>
      <c r="L549" s="26" t="s">
        <v>9896</v>
      </c>
      <c r="M549" s="26" t="s">
        <v>9897</v>
      </c>
      <c r="N549" s="27" t="s">
        <v>9898</v>
      </c>
      <c r="O549" s="26" t="s">
        <v>8653</v>
      </c>
      <c r="P549" s="20" t="b">
        <v>1</v>
      </c>
      <c r="Q549" s="20" t="s">
        <v>6282</v>
      </c>
      <c r="R549" s="28" t="s">
        <v>6283</v>
      </c>
      <c r="S549" s="25"/>
      <c r="T549" s="20" t="b">
        <v>1</v>
      </c>
      <c r="U549" s="25"/>
      <c r="V549" s="25">
        <v>39.950000000000003</v>
      </c>
      <c r="W549" s="28" t="s">
        <v>9899</v>
      </c>
      <c r="X549" s="28" t="s">
        <v>6285</v>
      </c>
      <c r="Y549" s="28" t="s">
        <v>6286</v>
      </c>
      <c r="Z549" s="28" t="s">
        <v>6287</v>
      </c>
      <c r="AA549" s="28" t="s">
        <v>6288</v>
      </c>
      <c r="AB549" s="28" t="s">
        <v>6297</v>
      </c>
    </row>
    <row r="550" spans="1:28" ht="185.4" x14ac:dyDescent="0.3">
      <c r="A550" s="25">
        <v>7975</v>
      </c>
      <c r="B550" s="25" t="s">
        <v>9900</v>
      </c>
      <c r="C550" s="25" t="s">
        <v>9901</v>
      </c>
      <c r="D550" s="25" t="s">
        <v>6291</v>
      </c>
      <c r="E550" s="16" t="s">
        <v>6292</v>
      </c>
      <c r="F550" s="16" t="s">
        <v>6292</v>
      </c>
      <c r="G550" s="16" t="s">
        <v>6292</v>
      </c>
      <c r="H550" s="16" t="s">
        <v>6292</v>
      </c>
      <c r="I550" s="25" t="s">
        <v>9902</v>
      </c>
      <c r="J550" s="25"/>
      <c r="K550" s="25" t="s">
        <v>6281</v>
      </c>
      <c r="L550" s="26" t="s">
        <v>9903</v>
      </c>
      <c r="M550" s="26" t="s">
        <v>9904</v>
      </c>
      <c r="N550" s="27" t="s">
        <v>9905</v>
      </c>
      <c r="O550" s="26" t="s">
        <v>7443</v>
      </c>
      <c r="P550" s="20" t="b">
        <v>1</v>
      </c>
      <c r="Q550" s="20" t="s">
        <v>6282</v>
      </c>
      <c r="R550" s="28" t="s">
        <v>6283</v>
      </c>
      <c r="S550" s="25"/>
      <c r="T550" s="20" t="b">
        <v>1</v>
      </c>
      <c r="U550" s="25"/>
      <c r="V550" s="25">
        <v>149.26</v>
      </c>
      <c r="W550" s="28" t="s">
        <v>9906</v>
      </c>
      <c r="X550" s="28" t="s">
        <v>6285</v>
      </c>
      <c r="Y550" s="28" t="s">
        <v>6286</v>
      </c>
      <c r="Z550" s="28" t="s">
        <v>6287</v>
      </c>
      <c r="AA550" s="28" t="s">
        <v>6288</v>
      </c>
      <c r="AB550" s="28" t="s">
        <v>6297</v>
      </c>
    </row>
    <row r="551" spans="1:28" ht="185.4" x14ac:dyDescent="0.3">
      <c r="A551" s="25">
        <v>7991</v>
      </c>
      <c r="B551" s="25" t="s">
        <v>9907</v>
      </c>
      <c r="C551" s="25" t="s">
        <v>9908</v>
      </c>
      <c r="D551" s="25" t="s">
        <v>6278</v>
      </c>
      <c r="E551" s="16" t="s">
        <v>6279</v>
      </c>
      <c r="F551" s="16" t="s">
        <v>6279</v>
      </c>
      <c r="G551" s="16" t="s">
        <v>6279</v>
      </c>
      <c r="H551" s="16" t="s">
        <v>6279</v>
      </c>
      <c r="I551" s="25" t="s">
        <v>9909</v>
      </c>
      <c r="J551" s="25"/>
      <c r="K551" s="25" t="s">
        <v>6281</v>
      </c>
      <c r="L551" s="26" t="s">
        <v>9910</v>
      </c>
      <c r="M551" s="26" t="s">
        <v>9911</v>
      </c>
      <c r="N551" s="27" t="s">
        <v>9912</v>
      </c>
      <c r="O551" s="26" t="s">
        <v>6295</v>
      </c>
      <c r="P551" s="20" t="b">
        <v>1</v>
      </c>
      <c r="Q551" s="20" t="s">
        <v>6282</v>
      </c>
      <c r="R551" s="28" t="s">
        <v>6283</v>
      </c>
      <c r="S551" s="25"/>
      <c r="T551" s="20" t="b">
        <v>1</v>
      </c>
      <c r="U551" s="25"/>
      <c r="V551" s="25">
        <v>359.997725</v>
      </c>
      <c r="W551" s="28" t="s">
        <v>9913</v>
      </c>
      <c r="X551" s="28" t="s">
        <v>6285</v>
      </c>
      <c r="Y551" s="28" t="s">
        <v>6286</v>
      </c>
      <c r="Z551" s="28" t="s">
        <v>6287</v>
      </c>
      <c r="AA551" s="28" t="s">
        <v>6288</v>
      </c>
      <c r="AB551" s="28" t="s">
        <v>6297</v>
      </c>
    </row>
    <row r="552" spans="1:28" ht="185.4" x14ac:dyDescent="0.3">
      <c r="A552" s="25">
        <v>7994</v>
      </c>
      <c r="B552" s="25" t="s">
        <v>9914</v>
      </c>
      <c r="C552" s="25" t="s">
        <v>9915</v>
      </c>
      <c r="D552" s="25" t="s">
        <v>6291</v>
      </c>
      <c r="E552" s="16" t="s">
        <v>6786</v>
      </c>
      <c r="F552" s="16" t="s">
        <v>6786</v>
      </c>
      <c r="G552" s="16" t="s">
        <v>6786</v>
      </c>
      <c r="H552" s="16" t="s">
        <v>6786</v>
      </c>
      <c r="I552" s="25" t="s">
        <v>9916</v>
      </c>
      <c r="J552" s="25"/>
      <c r="K552" s="25" t="s">
        <v>6281</v>
      </c>
      <c r="L552" s="26" t="s">
        <v>9917</v>
      </c>
      <c r="M552" s="26" t="s">
        <v>9918</v>
      </c>
      <c r="N552" s="27" t="s">
        <v>9919</v>
      </c>
      <c r="O552" s="26" t="s">
        <v>9920</v>
      </c>
      <c r="P552" s="20" t="b">
        <v>1</v>
      </c>
      <c r="Q552" s="20" t="s">
        <v>6282</v>
      </c>
      <c r="R552" s="28" t="s">
        <v>6283</v>
      </c>
      <c r="S552" s="25"/>
      <c r="T552" s="20" t="b">
        <v>1</v>
      </c>
      <c r="U552" s="25"/>
      <c r="V552" s="25">
        <v>1.4966699999999999</v>
      </c>
      <c r="W552" s="28" t="s">
        <v>9921</v>
      </c>
      <c r="X552" s="28" t="s">
        <v>6285</v>
      </c>
      <c r="Y552" s="28" t="s">
        <v>6286</v>
      </c>
      <c r="Z552" s="28" t="s">
        <v>6287</v>
      </c>
      <c r="AA552" s="28" t="s">
        <v>6288</v>
      </c>
      <c r="AB552" s="28" t="s">
        <v>6297</v>
      </c>
    </row>
    <row r="553" spans="1:28" ht="185.4" x14ac:dyDescent="0.3">
      <c r="A553" s="25">
        <v>7996</v>
      </c>
      <c r="B553" s="25" t="s">
        <v>9922</v>
      </c>
      <c r="C553" s="25" t="s">
        <v>9923</v>
      </c>
      <c r="D553" s="25" t="s">
        <v>6291</v>
      </c>
      <c r="E553" s="16" t="s">
        <v>6292</v>
      </c>
      <c r="F553" s="16" t="s">
        <v>6292</v>
      </c>
      <c r="G553" s="16" t="s">
        <v>6292</v>
      </c>
      <c r="H553" s="16" t="s">
        <v>6292</v>
      </c>
      <c r="I553" s="25" t="s">
        <v>9924</v>
      </c>
      <c r="J553" s="25"/>
      <c r="K553" s="25" t="s">
        <v>6281</v>
      </c>
      <c r="L553" s="26" t="s">
        <v>9925</v>
      </c>
      <c r="M553" s="26" t="s">
        <v>6295</v>
      </c>
      <c r="N553" s="27" t="s">
        <v>9926</v>
      </c>
      <c r="O553" s="26" t="s">
        <v>6295</v>
      </c>
      <c r="P553" s="20" t="b">
        <v>1</v>
      </c>
      <c r="Q553" s="20" t="s">
        <v>6282</v>
      </c>
      <c r="R553" s="28" t="s">
        <v>6283</v>
      </c>
      <c r="S553" s="25"/>
      <c r="T553" s="20" t="b">
        <v>1</v>
      </c>
      <c r="U553" s="25"/>
      <c r="V553" s="25">
        <v>7.17</v>
      </c>
      <c r="W553" s="28" t="s">
        <v>9927</v>
      </c>
      <c r="X553" s="28" t="s">
        <v>6285</v>
      </c>
      <c r="Y553" s="28" t="s">
        <v>6286</v>
      </c>
      <c r="Z553" s="28" t="s">
        <v>6287</v>
      </c>
      <c r="AA553" s="28" t="s">
        <v>6288</v>
      </c>
      <c r="AB553" s="28" t="s">
        <v>6297</v>
      </c>
    </row>
    <row r="554" spans="1:28" ht="185.4" x14ac:dyDescent="0.3">
      <c r="A554" s="25">
        <v>8003</v>
      </c>
      <c r="B554" s="25" t="s">
        <v>9928</v>
      </c>
      <c r="C554" s="25" t="s">
        <v>9929</v>
      </c>
      <c r="D554" s="25" t="s">
        <v>6291</v>
      </c>
      <c r="E554" s="16" t="s">
        <v>6292</v>
      </c>
      <c r="F554" s="16" t="s">
        <v>6292</v>
      </c>
      <c r="G554" s="16" t="s">
        <v>6292</v>
      </c>
      <c r="H554" s="16" t="s">
        <v>6292</v>
      </c>
      <c r="I554" s="25" t="s">
        <v>9930</v>
      </c>
      <c r="J554" s="25"/>
      <c r="K554" s="25" t="s">
        <v>6281</v>
      </c>
      <c r="L554" s="26" t="s">
        <v>9931</v>
      </c>
      <c r="M554" s="26" t="s">
        <v>7443</v>
      </c>
      <c r="N554" s="27" t="s">
        <v>9932</v>
      </c>
      <c r="O554" s="26" t="s">
        <v>7443</v>
      </c>
      <c r="P554" s="20" t="b">
        <v>1</v>
      </c>
      <c r="Q554" s="20" t="s">
        <v>6282</v>
      </c>
      <c r="R554" s="28" t="s">
        <v>6283</v>
      </c>
      <c r="S554" s="25"/>
      <c r="T554" s="20" t="b">
        <v>1</v>
      </c>
      <c r="U554" s="25"/>
      <c r="V554" s="25">
        <v>258</v>
      </c>
      <c r="W554" s="28" t="s">
        <v>9933</v>
      </c>
      <c r="X554" s="28" t="s">
        <v>6285</v>
      </c>
      <c r="Y554" s="28" t="s">
        <v>6286</v>
      </c>
      <c r="Z554" s="28" t="s">
        <v>6287</v>
      </c>
      <c r="AA554" s="28" t="s">
        <v>6288</v>
      </c>
      <c r="AB554" s="28" t="s">
        <v>6297</v>
      </c>
    </row>
    <row r="555" spans="1:28" ht="185.4" x14ac:dyDescent="0.3">
      <c r="A555" s="25">
        <v>8021</v>
      </c>
      <c r="B555" s="25" t="s">
        <v>9934</v>
      </c>
      <c r="C555" s="25" t="s">
        <v>9935</v>
      </c>
      <c r="D555" s="25" t="s">
        <v>6291</v>
      </c>
      <c r="E555" s="16" t="s">
        <v>6292</v>
      </c>
      <c r="F555" s="16" t="s">
        <v>6292</v>
      </c>
      <c r="G555" s="16" t="s">
        <v>6292</v>
      </c>
      <c r="H555" s="16" t="s">
        <v>6292</v>
      </c>
      <c r="I555" s="25" t="s">
        <v>9936</v>
      </c>
      <c r="J555" s="25"/>
      <c r="K555" s="25" t="s">
        <v>6281</v>
      </c>
      <c r="L555" s="26" t="s">
        <v>9937</v>
      </c>
      <c r="M555" s="26" t="s">
        <v>6295</v>
      </c>
      <c r="N555" s="27" t="s">
        <v>9938</v>
      </c>
      <c r="O555" s="26" t="s">
        <v>6295</v>
      </c>
      <c r="P555" s="20" t="b">
        <v>1</v>
      </c>
      <c r="Q555" s="20" t="s">
        <v>6282</v>
      </c>
      <c r="R555" s="28" t="s">
        <v>6283</v>
      </c>
      <c r="S555" s="25"/>
      <c r="T555" s="20" t="b">
        <v>1</v>
      </c>
      <c r="U555" s="25"/>
      <c r="V555" s="25">
        <v>3.2118000000000002</v>
      </c>
      <c r="W555" s="28" t="s">
        <v>9939</v>
      </c>
      <c r="X555" s="28" t="s">
        <v>6285</v>
      </c>
      <c r="Y555" s="28" t="s">
        <v>6286</v>
      </c>
      <c r="Z555" s="28" t="s">
        <v>6287</v>
      </c>
      <c r="AA555" s="28" t="s">
        <v>6288</v>
      </c>
      <c r="AB555" s="28" t="s">
        <v>6297</v>
      </c>
    </row>
    <row r="556" spans="1:28" ht="291" x14ac:dyDescent="0.3">
      <c r="A556" s="25">
        <v>8022</v>
      </c>
      <c r="B556" s="25" t="s">
        <v>9940</v>
      </c>
      <c r="C556" s="25" t="s">
        <v>9941</v>
      </c>
      <c r="D556" s="25" t="s">
        <v>6278</v>
      </c>
      <c r="E556" s="16" t="s">
        <v>6279</v>
      </c>
      <c r="F556" s="16" t="s">
        <v>6279</v>
      </c>
      <c r="G556" s="16" t="s">
        <v>6279</v>
      </c>
      <c r="H556" s="16" t="s">
        <v>6279</v>
      </c>
      <c r="I556" s="25" t="s">
        <v>9942</v>
      </c>
      <c r="J556" s="25"/>
      <c r="K556" s="25" t="s">
        <v>6281</v>
      </c>
      <c r="L556" s="26" t="s">
        <v>9943</v>
      </c>
      <c r="M556" s="26" t="s">
        <v>9944</v>
      </c>
      <c r="N556" s="27" t="s">
        <v>9945</v>
      </c>
      <c r="O556" s="26" t="s">
        <v>9946</v>
      </c>
      <c r="P556" s="20" t="b">
        <v>1</v>
      </c>
      <c r="Q556" s="20" t="s">
        <v>6282</v>
      </c>
      <c r="R556" s="28" t="s">
        <v>6283</v>
      </c>
      <c r="S556" s="25"/>
      <c r="T556" s="20" t="b">
        <v>1</v>
      </c>
      <c r="U556" s="25"/>
      <c r="V556" s="25">
        <v>45.82</v>
      </c>
      <c r="W556" s="28" t="s">
        <v>9947</v>
      </c>
      <c r="X556" s="28" t="s">
        <v>6285</v>
      </c>
      <c r="Y556" s="28" t="s">
        <v>6286</v>
      </c>
      <c r="Z556" s="28" t="s">
        <v>6287</v>
      </c>
      <c r="AA556" s="28" t="s">
        <v>6288</v>
      </c>
      <c r="AB556" s="28" t="s">
        <v>6297</v>
      </c>
    </row>
    <row r="557" spans="1:28" ht="185.4" x14ac:dyDescent="0.3">
      <c r="A557" s="25">
        <v>8035</v>
      </c>
      <c r="B557" s="25" t="s">
        <v>9948</v>
      </c>
      <c r="C557" s="25" t="s">
        <v>9949</v>
      </c>
      <c r="D557" s="25" t="s">
        <v>6278</v>
      </c>
      <c r="E557" s="16" t="s">
        <v>6279</v>
      </c>
      <c r="F557" s="16" t="s">
        <v>6279</v>
      </c>
      <c r="G557" s="16" t="s">
        <v>6279</v>
      </c>
      <c r="H557" s="16" t="s">
        <v>6279</v>
      </c>
      <c r="I557" s="25" t="s">
        <v>9950</v>
      </c>
      <c r="J557" s="25"/>
      <c r="K557" s="25" t="s">
        <v>6281</v>
      </c>
      <c r="L557" s="26" t="s">
        <v>9951</v>
      </c>
      <c r="M557" s="26" t="s">
        <v>9952</v>
      </c>
      <c r="N557" s="27" t="s">
        <v>9953</v>
      </c>
      <c r="O557" s="26" t="s">
        <v>6295</v>
      </c>
      <c r="P557" s="20" t="b">
        <v>1</v>
      </c>
      <c r="Q557" s="20" t="s">
        <v>6282</v>
      </c>
      <c r="R557" s="28" t="s">
        <v>6283</v>
      </c>
      <c r="S557" s="25"/>
      <c r="T557" s="20" t="b">
        <v>1</v>
      </c>
      <c r="U557" s="25"/>
      <c r="V557" s="25">
        <v>365.27</v>
      </c>
      <c r="W557" s="28" t="s">
        <v>9954</v>
      </c>
      <c r="X557" s="28" t="s">
        <v>6285</v>
      </c>
      <c r="Y557" s="28" t="s">
        <v>6286</v>
      </c>
      <c r="Z557" s="28" t="s">
        <v>6287</v>
      </c>
      <c r="AA557" s="28" t="s">
        <v>6288</v>
      </c>
      <c r="AB557" s="28" t="s">
        <v>6297</v>
      </c>
    </row>
    <row r="558" spans="1:28" ht="185.4" x14ac:dyDescent="0.3">
      <c r="A558" s="25">
        <v>8036</v>
      </c>
      <c r="B558" s="25" t="s">
        <v>9955</v>
      </c>
      <c r="C558" s="25" t="s">
        <v>9956</v>
      </c>
      <c r="D558" s="25" t="s">
        <v>6291</v>
      </c>
      <c r="E558" s="16" t="s">
        <v>6292</v>
      </c>
      <c r="F558" s="16" t="s">
        <v>6292</v>
      </c>
      <c r="G558" s="16" t="s">
        <v>6292</v>
      </c>
      <c r="H558" s="16" t="s">
        <v>6292</v>
      </c>
      <c r="I558" s="25" t="s">
        <v>9957</v>
      </c>
      <c r="J558" s="25"/>
      <c r="K558" s="25" t="s">
        <v>6281</v>
      </c>
      <c r="L558" s="26" t="s">
        <v>9958</v>
      </c>
      <c r="M558" s="26" t="s">
        <v>6295</v>
      </c>
      <c r="N558" s="27" t="s">
        <v>9959</v>
      </c>
      <c r="O558" s="26" t="s">
        <v>6295</v>
      </c>
      <c r="P558" s="20" t="b">
        <v>1</v>
      </c>
      <c r="Q558" s="20" t="s">
        <v>6282</v>
      </c>
      <c r="R558" s="28" t="s">
        <v>6283</v>
      </c>
      <c r="S558" s="25"/>
      <c r="T558" s="20" t="b">
        <v>1</v>
      </c>
      <c r="U558" s="25"/>
      <c r="V558" s="25">
        <v>259.58</v>
      </c>
      <c r="W558" s="28" t="s">
        <v>9960</v>
      </c>
      <c r="X558" s="28" t="s">
        <v>6285</v>
      </c>
      <c r="Y558" s="28" t="s">
        <v>6286</v>
      </c>
      <c r="Z558" s="28" t="s">
        <v>6287</v>
      </c>
      <c r="AA558" s="28" t="s">
        <v>6288</v>
      </c>
      <c r="AB558" s="28" t="s">
        <v>6297</v>
      </c>
    </row>
    <row r="559" spans="1:28" ht="185.4" x14ac:dyDescent="0.3">
      <c r="A559" s="25">
        <v>8037</v>
      </c>
      <c r="B559" s="25" t="s">
        <v>9961</v>
      </c>
      <c r="C559" s="25" t="s">
        <v>9962</v>
      </c>
      <c r="D559" s="25" t="s">
        <v>6278</v>
      </c>
      <c r="E559" s="16" t="s">
        <v>6279</v>
      </c>
      <c r="F559" s="16" t="s">
        <v>6279</v>
      </c>
      <c r="G559" s="16" t="s">
        <v>6279</v>
      </c>
      <c r="H559" s="16" t="s">
        <v>6279</v>
      </c>
      <c r="I559" s="25" t="s">
        <v>9963</v>
      </c>
      <c r="J559" s="25"/>
      <c r="K559" s="25" t="s">
        <v>6281</v>
      </c>
      <c r="L559" s="26" t="s">
        <v>9964</v>
      </c>
      <c r="M559" s="26" t="s">
        <v>9965</v>
      </c>
      <c r="N559" s="27" t="s">
        <v>9966</v>
      </c>
      <c r="O559" s="26" t="s">
        <v>9967</v>
      </c>
      <c r="P559" s="20" t="b">
        <v>1</v>
      </c>
      <c r="Q559" s="20" t="s">
        <v>6282</v>
      </c>
      <c r="R559" s="28" t="s">
        <v>6283</v>
      </c>
      <c r="S559" s="25"/>
      <c r="T559" s="20" t="b">
        <v>1</v>
      </c>
      <c r="U559" s="25"/>
      <c r="V559" s="25">
        <v>25.34</v>
      </c>
      <c r="W559" s="28" t="s">
        <v>9968</v>
      </c>
      <c r="X559" s="28" t="s">
        <v>6285</v>
      </c>
      <c r="Y559" s="28" t="s">
        <v>6286</v>
      </c>
      <c r="Z559" s="28" t="s">
        <v>6287</v>
      </c>
      <c r="AA559" s="28" t="s">
        <v>6288</v>
      </c>
      <c r="AB559" s="28" t="s">
        <v>6297</v>
      </c>
    </row>
    <row r="560" spans="1:28" ht="185.4" x14ac:dyDescent="0.3">
      <c r="A560" s="25">
        <v>8049</v>
      </c>
      <c r="B560" s="25" t="s">
        <v>9969</v>
      </c>
      <c r="C560" s="25" t="s">
        <v>9970</v>
      </c>
      <c r="D560" s="25" t="s">
        <v>6291</v>
      </c>
      <c r="E560" s="16" t="s">
        <v>6292</v>
      </c>
      <c r="F560" s="16" t="s">
        <v>6292</v>
      </c>
      <c r="G560" s="16" t="s">
        <v>6292</v>
      </c>
      <c r="H560" s="16" t="s">
        <v>6292</v>
      </c>
      <c r="I560" s="25" t="s">
        <v>9971</v>
      </c>
      <c r="J560" s="25"/>
      <c r="K560" s="25" t="s">
        <v>6281</v>
      </c>
      <c r="L560" s="26" t="s">
        <v>9972</v>
      </c>
      <c r="M560" s="26" t="s">
        <v>9973</v>
      </c>
      <c r="N560" s="27" t="s">
        <v>9974</v>
      </c>
      <c r="O560" s="26" t="s">
        <v>6295</v>
      </c>
      <c r="P560" s="20" t="b">
        <v>1</v>
      </c>
      <c r="Q560" s="20" t="s">
        <v>6282</v>
      </c>
      <c r="R560" s="28" t="s">
        <v>6283</v>
      </c>
      <c r="S560" s="25"/>
      <c r="T560" s="20" t="b">
        <v>1</v>
      </c>
      <c r="U560" s="25"/>
      <c r="V560" s="25">
        <v>92.5</v>
      </c>
      <c r="W560" s="28" t="s">
        <v>9975</v>
      </c>
      <c r="X560" s="28" t="s">
        <v>6285</v>
      </c>
      <c r="Y560" s="28" t="s">
        <v>6286</v>
      </c>
      <c r="Z560" s="28" t="s">
        <v>6287</v>
      </c>
      <c r="AA560" s="28" t="s">
        <v>6288</v>
      </c>
      <c r="AB560" s="28" t="s">
        <v>6297</v>
      </c>
    </row>
    <row r="561" spans="1:28" ht="185.4" x14ac:dyDescent="0.3">
      <c r="A561" s="25">
        <v>8075</v>
      </c>
      <c r="B561" s="25" t="s">
        <v>9976</v>
      </c>
      <c r="C561" s="25" t="s">
        <v>9977</v>
      </c>
      <c r="D561" s="25" t="s">
        <v>6291</v>
      </c>
      <c r="E561" s="16" t="s">
        <v>6786</v>
      </c>
      <c r="F561" s="16" t="s">
        <v>6786</v>
      </c>
      <c r="G561" s="16" t="s">
        <v>6786</v>
      </c>
      <c r="H561" s="16" t="s">
        <v>6786</v>
      </c>
      <c r="I561" s="25" t="s">
        <v>9978</v>
      </c>
      <c r="J561" s="25"/>
      <c r="K561" s="25" t="s">
        <v>6281</v>
      </c>
      <c r="L561" s="26" t="s">
        <v>9979</v>
      </c>
      <c r="M561" s="26" t="s">
        <v>6295</v>
      </c>
      <c r="N561" s="27" t="s">
        <v>9980</v>
      </c>
      <c r="O561" s="26" t="s">
        <v>6295</v>
      </c>
      <c r="P561" s="20" t="b">
        <v>1</v>
      </c>
      <c r="Q561" s="20" t="s">
        <v>6282</v>
      </c>
      <c r="R561" s="28" t="s">
        <v>6283</v>
      </c>
      <c r="S561" s="25"/>
      <c r="T561" s="20" t="b">
        <v>1</v>
      </c>
      <c r="U561" s="25"/>
      <c r="V561" s="25">
        <v>1.1524000000000001</v>
      </c>
      <c r="W561" s="28" t="s">
        <v>9981</v>
      </c>
      <c r="X561" s="28" t="s">
        <v>6285</v>
      </c>
      <c r="Y561" s="28" t="s">
        <v>6286</v>
      </c>
      <c r="Z561" s="28" t="s">
        <v>6287</v>
      </c>
      <c r="AA561" s="28" t="s">
        <v>6288</v>
      </c>
      <c r="AB561" s="28" t="s">
        <v>6297</v>
      </c>
    </row>
    <row r="562" spans="1:28" ht="185.4" x14ac:dyDescent="0.3">
      <c r="A562" s="25">
        <v>8090</v>
      </c>
      <c r="B562" s="25" t="s">
        <v>9982</v>
      </c>
      <c r="C562" s="25" t="s">
        <v>9983</v>
      </c>
      <c r="D562" s="25" t="s">
        <v>6278</v>
      </c>
      <c r="E562" s="16" t="s">
        <v>6279</v>
      </c>
      <c r="F562" s="16" t="s">
        <v>6279</v>
      </c>
      <c r="G562" s="16" t="s">
        <v>6279</v>
      </c>
      <c r="H562" s="16" t="s">
        <v>6279</v>
      </c>
      <c r="I562" s="25" t="s">
        <v>9984</v>
      </c>
      <c r="J562" s="25"/>
      <c r="K562" s="25" t="s">
        <v>6281</v>
      </c>
      <c r="L562" s="26" t="s">
        <v>9985</v>
      </c>
      <c r="M562" s="26" t="s">
        <v>6295</v>
      </c>
      <c r="N562" s="27" t="s">
        <v>9986</v>
      </c>
      <c r="O562" s="26" t="s">
        <v>6295</v>
      </c>
      <c r="P562" s="20" t="b">
        <v>1</v>
      </c>
      <c r="Q562" s="20" t="s">
        <v>6282</v>
      </c>
      <c r="R562" s="28" t="s">
        <v>6283</v>
      </c>
      <c r="S562" s="25"/>
      <c r="T562" s="20" t="b">
        <v>1</v>
      </c>
      <c r="U562" s="25"/>
      <c r="V562" s="25">
        <v>694.30399999999997</v>
      </c>
      <c r="W562" s="28" t="s">
        <v>9987</v>
      </c>
      <c r="X562" s="28" t="s">
        <v>6285</v>
      </c>
      <c r="Y562" s="28" t="s">
        <v>6286</v>
      </c>
      <c r="Z562" s="28" t="s">
        <v>6287</v>
      </c>
      <c r="AA562" s="28" t="s">
        <v>6288</v>
      </c>
      <c r="AB562" s="28" t="s">
        <v>6297</v>
      </c>
    </row>
    <row r="563" spans="1:28" ht="193.2" x14ac:dyDescent="0.3">
      <c r="A563" s="25">
        <v>8093</v>
      </c>
      <c r="B563" s="25" t="s">
        <v>9988</v>
      </c>
      <c r="C563" s="25" t="s">
        <v>9989</v>
      </c>
      <c r="D563" s="25" t="s">
        <v>6278</v>
      </c>
      <c r="E563" s="16" t="s">
        <v>6279</v>
      </c>
      <c r="F563" s="16" t="s">
        <v>6279</v>
      </c>
      <c r="G563" s="16" t="s">
        <v>6279</v>
      </c>
      <c r="H563" s="16" t="s">
        <v>6279</v>
      </c>
      <c r="I563" s="25" t="s">
        <v>9990</v>
      </c>
      <c r="J563" s="25"/>
      <c r="K563" s="25" t="s">
        <v>6281</v>
      </c>
      <c r="L563" s="26" t="s">
        <v>9991</v>
      </c>
      <c r="M563" s="26" t="s">
        <v>9992</v>
      </c>
      <c r="N563" s="27" t="s">
        <v>9993</v>
      </c>
      <c r="O563" s="26" t="s">
        <v>9994</v>
      </c>
      <c r="P563" s="20" t="b">
        <v>1</v>
      </c>
      <c r="Q563" s="20" t="s">
        <v>6282</v>
      </c>
      <c r="R563" s="28" t="s">
        <v>6283</v>
      </c>
      <c r="S563" s="25"/>
      <c r="T563" s="20" t="b">
        <v>1</v>
      </c>
      <c r="U563" s="25"/>
      <c r="V563" s="25">
        <v>98.59</v>
      </c>
      <c r="W563" s="28" t="s">
        <v>9995</v>
      </c>
      <c r="X563" s="28" t="s">
        <v>6285</v>
      </c>
      <c r="Y563" s="28" t="s">
        <v>6286</v>
      </c>
      <c r="Z563" s="28" t="s">
        <v>6287</v>
      </c>
      <c r="AA563" s="28" t="s">
        <v>6288</v>
      </c>
      <c r="AB563" s="28" t="s">
        <v>6297</v>
      </c>
    </row>
    <row r="564" spans="1:28" ht="185.4" x14ac:dyDescent="0.3">
      <c r="A564" s="25">
        <v>8094</v>
      </c>
      <c r="B564" s="25" t="s">
        <v>9996</v>
      </c>
      <c r="C564" s="25" t="s">
        <v>9997</v>
      </c>
      <c r="D564" s="25" t="s">
        <v>6291</v>
      </c>
      <c r="E564" s="16" t="s">
        <v>6786</v>
      </c>
      <c r="F564" s="16" t="s">
        <v>6786</v>
      </c>
      <c r="G564" s="16" t="s">
        <v>6786</v>
      </c>
      <c r="H564" s="16" t="s">
        <v>6786</v>
      </c>
      <c r="I564" s="25" t="s">
        <v>9998</v>
      </c>
      <c r="J564" s="25"/>
      <c r="K564" s="25" t="s">
        <v>6281</v>
      </c>
      <c r="L564" s="26" t="s">
        <v>9999</v>
      </c>
      <c r="M564" s="26" t="s">
        <v>6295</v>
      </c>
      <c r="N564" s="27" t="s">
        <v>10000</v>
      </c>
      <c r="O564" s="26" t="s">
        <v>6295</v>
      </c>
      <c r="P564" s="20" t="b">
        <v>1</v>
      </c>
      <c r="Q564" s="20" t="s">
        <v>6282</v>
      </c>
      <c r="R564" s="28" t="s">
        <v>6283</v>
      </c>
      <c r="S564" s="25"/>
      <c r="T564" s="20" t="b">
        <v>1</v>
      </c>
      <c r="U564" s="25"/>
      <c r="V564" s="25">
        <v>7.1335829999999998</v>
      </c>
      <c r="W564" s="28" t="s">
        <v>10001</v>
      </c>
      <c r="X564" s="28" t="s">
        <v>6285</v>
      </c>
      <c r="Y564" s="28" t="s">
        <v>6286</v>
      </c>
      <c r="Z564" s="28" t="s">
        <v>6287</v>
      </c>
      <c r="AA564" s="28" t="s">
        <v>6288</v>
      </c>
      <c r="AB564" s="28" t="s">
        <v>6297</v>
      </c>
    </row>
    <row r="565" spans="1:28" ht="185.4" x14ac:dyDescent="0.3">
      <c r="A565" s="25">
        <v>8128</v>
      </c>
      <c r="B565" s="25" t="s">
        <v>10002</v>
      </c>
      <c r="C565" s="25" t="s">
        <v>10003</v>
      </c>
      <c r="D565" s="25" t="s">
        <v>6278</v>
      </c>
      <c r="E565" s="16" t="s">
        <v>6279</v>
      </c>
      <c r="F565" s="16" t="s">
        <v>6279</v>
      </c>
      <c r="G565" s="16" t="s">
        <v>6279</v>
      </c>
      <c r="H565" s="16" t="s">
        <v>6279</v>
      </c>
      <c r="I565" s="25" t="s">
        <v>10004</v>
      </c>
      <c r="J565" s="25"/>
      <c r="K565" s="25" t="s">
        <v>6281</v>
      </c>
      <c r="L565" s="26" t="s">
        <v>10005</v>
      </c>
      <c r="M565" s="26" t="s">
        <v>10006</v>
      </c>
      <c r="N565" s="27" t="s">
        <v>10007</v>
      </c>
      <c r="O565" s="26" t="s">
        <v>6295</v>
      </c>
      <c r="P565" s="20" t="b">
        <v>1</v>
      </c>
      <c r="Q565" s="20" t="s">
        <v>6282</v>
      </c>
      <c r="R565" s="28" t="s">
        <v>6283</v>
      </c>
      <c r="S565" s="25"/>
      <c r="T565" s="20" t="b">
        <v>1</v>
      </c>
      <c r="U565" s="25"/>
      <c r="V565" s="25">
        <v>31.25</v>
      </c>
      <c r="W565" s="28" t="s">
        <v>10008</v>
      </c>
      <c r="X565" s="28" t="s">
        <v>6285</v>
      </c>
      <c r="Y565" s="28" t="s">
        <v>6286</v>
      </c>
      <c r="Z565" s="28" t="s">
        <v>6287</v>
      </c>
      <c r="AA565" s="28" t="s">
        <v>6288</v>
      </c>
      <c r="AB565" s="28" t="s">
        <v>6297</v>
      </c>
    </row>
    <row r="566" spans="1:28" ht="185.4" x14ac:dyDescent="0.3">
      <c r="A566" s="25">
        <v>8129</v>
      </c>
      <c r="B566" s="25" t="s">
        <v>10009</v>
      </c>
      <c r="C566" s="25" t="s">
        <v>10010</v>
      </c>
      <c r="D566" s="25" t="s">
        <v>6278</v>
      </c>
      <c r="E566" s="16" t="s">
        <v>6279</v>
      </c>
      <c r="F566" s="16" t="s">
        <v>6279</v>
      </c>
      <c r="G566" s="16" t="s">
        <v>6279</v>
      </c>
      <c r="H566" s="16" t="s">
        <v>6279</v>
      </c>
      <c r="I566" s="25" t="s">
        <v>10011</v>
      </c>
      <c r="J566" s="25"/>
      <c r="K566" s="25" t="s">
        <v>6281</v>
      </c>
      <c r="L566" s="26" t="s">
        <v>10012</v>
      </c>
      <c r="M566" s="26" t="s">
        <v>6295</v>
      </c>
      <c r="N566" s="27" t="s">
        <v>10013</v>
      </c>
      <c r="O566" s="26" t="s">
        <v>6295</v>
      </c>
      <c r="P566" s="20" t="b">
        <v>1</v>
      </c>
      <c r="Q566" s="20" t="s">
        <v>6282</v>
      </c>
      <c r="R566" s="28" t="s">
        <v>6283</v>
      </c>
      <c r="S566" s="25"/>
      <c r="T566" s="20" t="b">
        <v>1</v>
      </c>
      <c r="U566" s="25"/>
      <c r="V566" s="25">
        <v>42.5</v>
      </c>
      <c r="W566" s="28" t="s">
        <v>10014</v>
      </c>
      <c r="X566" s="28" t="s">
        <v>6285</v>
      </c>
      <c r="Y566" s="28" t="s">
        <v>6286</v>
      </c>
      <c r="Z566" s="28" t="s">
        <v>6287</v>
      </c>
      <c r="AA566" s="28" t="s">
        <v>6288</v>
      </c>
      <c r="AB566" s="28" t="s">
        <v>6297</v>
      </c>
    </row>
    <row r="567" spans="1:28" ht="185.4" x14ac:dyDescent="0.3">
      <c r="A567" s="25">
        <v>8130</v>
      </c>
      <c r="B567" s="25" t="s">
        <v>10015</v>
      </c>
      <c r="C567" s="25" t="s">
        <v>10016</v>
      </c>
      <c r="D567" s="25" t="s">
        <v>6278</v>
      </c>
      <c r="E567" s="16" t="s">
        <v>6279</v>
      </c>
      <c r="F567" s="16" t="s">
        <v>6279</v>
      </c>
      <c r="G567" s="16" t="s">
        <v>6279</v>
      </c>
      <c r="H567" s="16" t="s">
        <v>6279</v>
      </c>
      <c r="I567" s="25" t="s">
        <v>10017</v>
      </c>
      <c r="J567" s="25"/>
      <c r="K567" s="25" t="s">
        <v>6281</v>
      </c>
      <c r="L567" s="26" t="s">
        <v>10018</v>
      </c>
      <c r="M567" s="26" t="s">
        <v>10019</v>
      </c>
      <c r="N567" s="27" t="s">
        <v>10020</v>
      </c>
      <c r="O567" s="26" t="s">
        <v>6295</v>
      </c>
      <c r="P567" s="20" t="b">
        <v>1</v>
      </c>
      <c r="Q567" s="20" t="s">
        <v>6282</v>
      </c>
      <c r="R567" s="28" t="s">
        <v>6283</v>
      </c>
      <c r="S567" s="25"/>
      <c r="T567" s="20" t="b">
        <v>1</v>
      </c>
      <c r="U567" s="25"/>
      <c r="V567" s="25">
        <v>66.06</v>
      </c>
      <c r="W567" s="28" t="s">
        <v>10021</v>
      </c>
      <c r="X567" s="28" t="s">
        <v>6285</v>
      </c>
      <c r="Y567" s="28" t="s">
        <v>6286</v>
      </c>
      <c r="Z567" s="28" t="s">
        <v>6287</v>
      </c>
      <c r="AA567" s="28" t="s">
        <v>6288</v>
      </c>
      <c r="AB567" s="28" t="s">
        <v>6297</v>
      </c>
    </row>
    <row r="568" spans="1:28" ht="185.4" x14ac:dyDescent="0.3">
      <c r="A568" s="25">
        <v>8133</v>
      </c>
      <c r="B568" s="25" t="s">
        <v>10022</v>
      </c>
      <c r="C568" s="25" t="s">
        <v>10023</v>
      </c>
      <c r="D568" s="25" t="s">
        <v>6278</v>
      </c>
      <c r="E568" s="16" t="s">
        <v>6279</v>
      </c>
      <c r="F568" s="16" t="s">
        <v>6279</v>
      </c>
      <c r="G568" s="16" t="s">
        <v>6279</v>
      </c>
      <c r="H568" s="16" t="s">
        <v>6279</v>
      </c>
      <c r="I568" s="25" t="s">
        <v>10024</v>
      </c>
      <c r="J568" s="25"/>
      <c r="K568" s="25" t="s">
        <v>6281</v>
      </c>
      <c r="L568" s="26" t="s">
        <v>10025</v>
      </c>
      <c r="M568" s="26" t="s">
        <v>6295</v>
      </c>
      <c r="N568" s="27" t="s">
        <v>10026</v>
      </c>
      <c r="O568" s="26" t="s">
        <v>6295</v>
      </c>
      <c r="P568" s="20" t="b">
        <v>1</v>
      </c>
      <c r="Q568" s="20" t="s">
        <v>6282</v>
      </c>
      <c r="R568" s="28" t="s">
        <v>6283</v>
      </c>
      <c r="S568" s="25"/>
      <c r="T568" s="20" t="b">
        <v>1</v>
      </c>
      <c r="U568" s="25"/>
      <c r="V568" s="25">
        <v>143.02000000000001</v>
      </c>
      <c r="W568" s="28" t="s">
        <v>10027</v>
      </c>
      <c r="X568" s="28" t="s">
        <v>6285</v>
      </c>
      <c r="Y568" s="28" t="s">
        <v>6286</v>
      </c>
      <c r="Z568" s="28" t="s">
        <v>6287</v>
      </c>
      <c r="AA568" s="28" t="s">
        <v>6288</v>
      </c>
      <c r="AB568" s="28" t="s">
        <v>6297</v>
      </c>
    </row>
    <row r="569" spans="1:28" ht="185.4" x14ac:dyDescent="0.3">
      <c r="A569" s="25">
        <v>8141</v>
      </c>
      <c r="B569" s="25" t="s">
        <v>10028</v>
      </c>
      <c r="C569" s="25" t="s">
        <v>10029</v>
      </c>
      <c r="D569" s="25" t="s">
        <v>6291</v>
      </c>
      <c r="E569" s="16" t="s">
        <v>6292</v>
      </c>
      <c r="F569" s="16" t="s">
        <v>6292</v>
      </c>
      <c r="G569" s="16" t="s">
        <v>6292</v>
      </c>
      <c r="H569" s="16" t="s">
        <v>6292</v>
      </c>
      <c r="I569" s="25" t="s">
        <v>10030</v>
      </c>
      <c r="J569" s="25"/>
      <c r="K569" s="25" t="s">
        <v>6281</v>
      </c>
      <c r="L569" s="26" t="s">
        <v>10031</v>
      </c>
      <c r="M569" s="26" t="s">
        <v>10032</v>
      </c>
      <c r="N569" s="27" t="s">
        <v>10033</v>
      </c>
      <c r="O569" s="26" t="s">
        <v>10034</v>
      </c>
      <c r="P569" s="20" t="b">
        <v>1</v>
      </c>
      <c r="Q569" s="20" t="s">
        <v>6282</v>
      </c>
      <c r="R569" s="28" t="s">
        <v>6283</v>
      </c>
      <c r="S569" s="25"/>
      <c r="T569" s="20" t="b">
        <v>1</v>
      </c>
      <c r="U569" s="25"/>
      <c r="V569" s="25">
        <v>23.652000000000001</v>
      </c>
      <c r="W569" s="28" t="s">
        <v>10035</v>
      </c>
      <c r="X569" s="28" t="s">
        <v>6285</v>
      </c>
      <c r="Y569" s="28" t="s">
        <v>6286</v>
      </c>
      <c r="Z569" s="28" t="s">
        <v>6287</v>
      </c>
      <c r="AA569" s="28" t="s">
        <v>6288</v>
      </c>
      <c r="AB569" s="28" t="s">
        <v>6297</v>
      </c>
    </row>
    <row r="570" spans="1:28" ht="185.4" x14ac:dyDescent="0.3">
      <c r="A570" s="25">
        <v>8142</v>
      </c>
      <c r="B570" s="25" t="s">
        <v>10036</v>
      </c>
      <c r="C570" s="25" t="s">
        <v>10037</v>
      </c>
      <c r="D570" s="25" t="s">
        <v>6278</v>
      </c>
      <c r="E570" s="16" t="s">
        <v>6279</v>
      </c>
      <c r="F570" s="16" t="s">
        <v>6279</v>
      </c>
      <c r="G570" s="16" t="s">
        <v>6279</v>
      </c>
      <c r="H570" s="16" t="s">
        <v>6279</v>
      </c>
      <c r="I570" s="25" t="s">
        <v>10038</v>
      </c>
      <c r="J570" s="25"/>
      <c r="K570" s="25" t="s">
        <v>6281</v>
      </c>
      <c r="L570" s="26" t="s">
        <v>10039</v>
      </c>
      <c r="M570" s="26" t="s">
        <v>10040</v>
      </c>
      <c r="N570" s="27" t="s">
        <v>10041</v>
      </c>
      <c r="O570" s="26" t="s">
        <v>10042</v>
      </c>
      <c r="P570" s="20" t="b">
        <v>1</v>
      </c>
      <c r="Q570" s="20" t="s">
        <v>6282</v>
      </c>
      <c r="R570" s="28" t="s">
        <v>6283</v>
      </c>
      <c r="S570" s="25"/>
      <c r="T570" s="20" t="b">
        <v>1</v>
      </c>
      <c r="U570" s="25"/>
      <c r="V570" s="25">
        <v>994.07</v>
      </c>
      <c r="W570" s="28" t="s">
        <v>10043</v>
      </c>
      <c r="X570" s="28" t="s">
        <v>6285</v>
      </c>
      <c r="Y570" s="28" t="s">
        <v>6286</v>
      </c>
      <c r="Z570" s="28" t="s">
        <v>6287</v>
      </c>
      <c r="AA570" s="28" t="s">
        <v>6288</v>
      </c>
      <c r="AB570" s="28" t="s">
        <v>6297</v>
      </c>
    </row>
    <row r="571" spans="1:28" ht="185.4" x14ac:dyDescent="0.3">
      <c r="A571" s="25">
        <v>8150</v>
      </c>
      <c r="B571" s="25" t="s">
        <v>10044</v>
      </c>
      <c r="C571" s="25" t="s">
        <v>10045</v>
      </c>
      <c r="D571" s="25" t="s">
        <v>6291</v>
      </c>
      <c r="E571" s="16" t="s">
        <v>6786</v>
      </c>
      <c r="F571" s="16" t="s">
        <v>6786</v>
      </c>
      <c r="G571" s="16" t="s">
        <v>6786</v>
      </c>
      <c r="H571" s="16" t="s">
        <v>6786</v>
      </c>
      <c r="I571" s="25" t="s">
        <v>10046</v>
      </c>
      <c r="J571" s="25"/>
      <c r="K571" s="25" t="s">
        <v>6281</v>
      </c>
      <c r="L571" s="26" t="s">
        <v>10047</v>
      </c>
      <c r="M571" s="26" t="s">
        <v>6295</v>
      </c>
      <c r="N571" s="27" t="s">
        <v>10048</v>
      </c>
      <c r="O571" s="26" t="s">
        <v>10049</v>
      </c>
      <c r="P571" s="20" t="b">
        <v>1</v>
      </c>
      <c r="Q571" s="20" t="s">
        <v>6282</v>
      </c>
      <c r="R571" s="28" t="s">
        <v>6283</v>
      </c>
      <c r="S571" s="25"/>
      <c r="T571" s="20" t="b">
        <v>1</v>
      </c>
      <c r="U571" s="25"/>
      <c r="V571" s="25">
        <v>0.80093999999999999</v>
      </c>
      <c r="W571" s="28" t="s">
        <v>10050</v>
      </c>
      <c r="X571" s="28" t="s">
        <v>6285</v>
      </c>
      <c r="Y571" s="28" t="s">
        <v>6286</v>
      </c>
      <c r="Z571" s="28" t="s">
        <v>6287</v>
      </c>
      <c r="AA571" s="28" t="s">
        <v>6288</v>
      </c>
      <c r="AB571" s="28" t="s">
        <v>6297</v>
      </c>
    </row>
    <row r="572" spans="1:28" ht="193.2" x14ac:dyDescent="0.3">
      <c r="A572" s="25">
        <v>8173</v>
      </c>
      <c r="B572" s="25" t="s">
        <v>10051</v>
      </c>
      <c r="C572" s="25" t="s">
        <v>10052</v>
      </c>
      <c r="D572" s="25" t="s">
        <v>6278</v>
      </c>
      <c r="E572" s="16" t="s">
        <v>6279</v>
      </c>
      <c r="F572" s="16" t="s">
        <v>6279</v>
      </c>
      <c r="G572" s="16" t="s">
        <v>6279</v>
      </c>
      <c r="H572" s="16" t="s">
        <v>6279</v>
      </c>
      <c r="I572" s="25" t="s">
        <v>10053</v>
      </c>
      <c r="J572" s="25"/>
      <c r="K572" s="25" t="s">
        <v>6281</v>
      </c>
      <c r="L572" s="26" t="s">
        <v>10054</v>
      </c>
      <c r="M572" s="26" t="s">
        <v>6295</v>
      </c>
      <c r="N572" s="27" t="s">
        <v>10055</v>
      </c>
      <c r="O572" s="26" t="s">
        <v>6295</v>
      </c>
      <c r="P572" s="20" t="b">
        <v>1</v>
      </c>
      <c r="Q572" s="20" t="s">
        <v>6282</v>
      </c>
      <c r="R572" s="28" t="s">
        <v>6283</v>
      </c>
      <c r="S572" s="25"/>
      <c r="T572" s="20" t="b">
        <v>1</v>
      </c>
      <c r="U572" s="25"/>
      <c r="V572" s="25">
        <v>285.58999999999997</v>
      </c>
      <c r="W572" s="28" t="s">
        <v>10056</v>
      </c>
      <c r="X572" s="28" t="s">
        <v>6285</v>
      </c>
      <c r="Y572" s="28" t="s">
        <v>6286</v>
      </c>
      <c r="Z572" s="28" t="s">
        <v>6287</v>
      </c>
      <c r="AA572" s="28" t="s">
        <v>6288</v>
      </c>
      <c r="AB572" s="28" t="s">
        <v>6297</v>
      </c>
    </row>
    <row r="573" spans="1:28" ht="198.6" x14ac:dyDescent="0.3">
      <c r="A573" s="25">
        <v>8178</v>
      </c>
      <c r="B573" s="25" t="s">
        <v>10057</v>
      </c>
      <c r="C573" s="25" t="s">
        <v>10058</v>
      </c>
      <c r="D573" s="25" t="s">
        <v>6291</v>
      </c>
      <c r="E573" s="16" t="s">
        <v>8648</v>
      </c>
      <c r="F573" s="16" t="s">
        <v>8648</v>
      </c>
      <c r="G573" s="16" t="s">
        <v>8648</v>
      </c>
      <c r="H573" s="16" t="s">
        <v>8648</v>
      </c>
      <c r="I573" s="25" t="s">
        <v>10059</v>
      </c>
      <c r="J573" s="25"/>
      <c r="K573" s="25" t="s">
        <v>6281</v>
      </c>
      <c r="L573" s="26" t="s">
        <v>10060</v>
      </c>
      <c r="M573" s="26" t="s">
        <v>10061</v>
      </c>
      <c r="N573" s="27" t="s">
        <v>9833</v>
      </c>
      <c r="O573" s="26" t="s">
        <v>10062</v>
      </c>
      <c r="P573" s="20" t="b">
        <v>1</v>
      </c>
      <c r="Q573" s="20" t="s">
        <v>6282</v>
      </c>
      <c r="R573" s="28" t="s">
        <v>6283</v>
      </c>
      <c r="S573" s="25"/>
      <c r="T573" s="20" t="b">
        <v>1</v>
      </c>
      <c r="U573" s="25"/>
      <c r="V573" s="25">
        <v>34.79</v>
      </c>
      <c r="W573" s="28" t="s">
        <v>10063</v>
      </c>
      <c r="X573" s="28" t="s">
        <v>6285</v>
      </c>
      <c r="Y573" s="28" t="s">
        <v>6286</v>
      </c>
      <c r="Z573" s="28" t="s">
        <v>6287</v>
      </c>
      <c r="AA573" s="28" t="s">
        <v>6288</v>
      </c>
      <c r="AB573" s="28" t="s">
        <v>6297</v>
      </c>
    </row>
    <row r="574" spans="1:28" ht="185.4" x14ac:dyDescent="0.3">
      <c r="A574" s="25">
        <v>8183</v>
      </c>
      <c r="B574" s="25" t="s">
        <v>10064</v>
      </c>
      <c r="C574" s="25" t="s">
        <v>10065</v>
      </c>
      <c r="D574" s="25" t="s">
        <v>6278</v>
      </c>
      <c r="E574" s="16" t="s">
        <v>6279</v>
      </c>
      <c r="F574" s="16" t="s">
        <v>6279</v>
      </c>
      <c r="G574" s="16" t="s">
        <v>6279</v>
      </c>
      <c r="H574" s="16" t="s">
        <v>6279</v>
      </c>
      <c r="I574" s="25" t="s">
        <v>10066</v>
      </c>
      <c r="J574" s="25"/>
      <c r="K574" s="25" t="s">
        <v>6281</v>
      </c>
      <c r="L574" s="26" t="s">
        <v>10067</v>
      </c>
      <c r="M574" s="26" t="s">
        <v>10068</v>
      </c>
      <c r="N574" s="27" t="s">
        <v>10069</v>
      </c>
      <c r="O574" s="26" t="s">
        <v>6295</v>
      </c>
      <c r="P574" s="20" t="b">
        <v>1</v>
      </c>
      <c r="Q574" s="20" t="s">
        <v>6282</v>
      </c>
      <c r="R574" s="28" t="s">
        <v>6283</v>
      </c>
      <c r="S574" s="25"/>
      <c r="T574" s="20" t="b">
        <v>1</v>
      </c>
      <c r="U574" s="25"/>
      <c r="V574" s="25">
        <v>470.22</v>
      </c>
      <c r="W574" s="28" t="s">
        <v>10070</v>
      </c>
      <c r="X574" s="28" t="s">
        <v>6285</v>
      </c>
      <c r="Y574" s="28" t="s">
        <v>6286</v>
      </c>
      <c r="Z574" s="28" t="s">
        <v>6287</v>
      </c>
      <c r="AA574" s="28" t="s">
        <v>6288</v>
      </c>
      <c r="AB574" s="28" t="s">
        <v>6297</v>
      </c>
    </row>
    <row r="575" spans="1:28" ht="185.4" x14ac:dyDescent="0.3">
      <c r="A575" s="25">
        <v>8184</v>
      </c>
      <c r="B575" s="25" t="s">
        <v>10071</v>
      </c>
      <c r="C575" s="25" t="s">
        <v>10072</v>
      </c>
      <c r="D575" s="25" t="s">
        <v>6278</v>
      </c>
      <c r="E575" s="16" t="s">
        <v>6279</v>
      </c>
      <c r="F575" s="16" t="s">
        <v>6279</v>
      </c>
      <c r="G575" s="16" t="s">
        <v>6279</v>
      </c>
      <c r="H575" s="16" t="s">
        <v>6279</v>
      </c>
      <c r="I575" s="25" t="s">
        <v>10073</v>
      </c>
      <c r="J575" s="25"/>
      <c r="K575" s="25" t="s">
        <v>6281</v>
      </c>
      <c r="L575" s="26" t="s">
        <v>10074</v>
      </c>
      <c r="M575" s="26" t="s">
        <v>10075</v>
      </c>
      <c r="N575" s="27" t="s">
        <v>10076</v>
      </c>
      <c r="O575" s="26" t="s">
        <v>6295</v>
      </c>
      <c r="P575" s="20" t="b">
        <v>1</v>
      </c>
      <c r="Q575" s="20" t="s">
        <v>6282</v>
      </c>
      <c r="R575" s="28" t="s">
        <v>6283</v>
      </c>
      <c r="S575" s="25"/>
      <c r="T575" s="20" t="b">
        <v>1</v>
      </c>
      <c r="U575" s="25"/>
      <c r="V575" s="25">
        <v>349.47</v>
      </c>
      <c r="W575" s="28" t="s">
        <v>10077</v>
      </c>
      <c r="X575" s="28" t="s">
        <v>6285</v>
      </c>
      <c r="Y575" s="28" t="s">
        <v>6286</v>
      </c>
      <c r="Z575" s="28" t="s">
        <v>6287</v>
      </c>
      <c r="AA575" s="28" t="s">
        <v>6288</v>
      </c>
      <c r="AB575" s="28" t="s">
        <v>6297</v>
      </c>
    </row>
    <row r="576" spans="1:28" ht="185.4" x14ac:dyDescent="0.3">
      <c r="A576" s="25">
        <v>8191</v>
      </c>
      <c r="B576" s="25" t="s">
        <v>10078</v>
      </c>
      <c r="C576" s="25" t="s">
        <v>10079</v>
      </c>
      <c r="D576" s="25" t="s">
        <v>6278</v>
      </c>
      <c r="E576" s="16" t="s">
        <v>6279</v>
      </c>
      <c r="F576" s="16" t="s">
        <v>6279</v>
      </c>
      <c r="G576" s="16" t="s">
        <v>6279</v>
      </c>
      <c r="H576" s="16" t="s">
        <v>6279</v>
      </c>
      <c r="I576" s="25" t="s">
        <v>10080</v>
      </c>
      <c r="J576" s="25"/>
      <c r="K576" s="25" t="s">
        <v>6281</v>
      </c>
      <c r="L576" s="26" t="s">
        <v>10081</v>
      </c>
      <c r="M576" s="26" t="s">
        <v>6295</v>
      </c>
      <c r="N576" s="27" t="s">
        <v>10082</v>
      </c>
      <c r="O576" s="26" t="s">
        <v>6295</v>
      </c>
      <c r="P576" s="20" t="b">
        <v>1</v>
      </c>
      <c r="Q576" s="20" t="s">
        <v>6282</v>
      </c>
      <c r="R576" s="28" t="s">
        <v>6283</v>
      </c>
      <c r="S576" s="25"/>
      <c r="T576" s="20" t="b">
        <v>1</v>
      </c>
      <c r="U576" s="25"/>
      <c r="V576" s="25">
        <v>190.66</v>
      </c>
      <c r="W576" s="28" t="s">
        <v>10083</v>
      </c>
      <c r="X576" s="28" t="s">
        <v>6285</v>
      </c>
      <c r="Y576" s="28" t="s">
        <v>6286</v>
      </c>
      <c r="Z576" s="28" t="s">
        <v>6287</v>
      </c>
      <c r="AA576" s="28" t="s">
        <v>6288</v>
      </c>
      <c r="AB576" s="28" t="s">
        <v>6297</v>
      </c>
    </row>
    <row r="577" spans="1:28" ht="185.4" x14ac:dyDescent="0.3">
      <c r="A577" s="25">
        <v>8195</v>
      </c>
      <c r="B577" s="25" t="s">
        <v>10084</v>
      </c>
      <c r="C577" s="25" t="s">
        <v>10085</v>
      </c>
      <c r="D577" s="25" t="s">
        <v>6291</v>
      </c>
      <c r="E577" s="16" t="s">
        <v>6292</v>
      </c>
      <c r="F577" s="16" t="s">
        <v>6292</v>
      </c>
      <c r="G577" s="16" t="s">
        <v>6292</v>
      </c>
      <c r="H577" s="16" t="s">
        <v>6292</v>
      </c>
      <c r="I577" s="25" t="s">
        <v>10086</v>
      </c>
      <c r="J577" s="25"/>
      <c r="K577" s="25" t="s">
        <v>6281</v>
      </c>
      <c r="L577" s="26" t="s">
        <v>10087</v>
      </c>
      <c r="M577" s="26" t="s">
        <v>6295</v>
      </c>
      <c r="N577" s="27" t="s">
        <v>10088</v>
      </c>
      <c r="O577" s="26" t="s">
        <v>6295</v>
      </c>
      <c r="P577" s="20" t="b">
        <v>1</v>
      </c>
      <c r="Q577" s="20" t="s">
        <v>6282</v>
      </c>
      <c r="R577" s="28" t="s">
        <v>6283</v>
      </c>
      <c r="S577" s="25"/>
      <c r="T577" s="20" t="b">
        <v>1</v>
      </c>
      <c r="U577" s="25"/>
      <c r="V577" s="25">
        <v>250</v>
      </c>
      <c r="W577" s="28" t="s">
        <v>10089</v>
      </c>
      <c r="X577" s="28" t="s">
        <v>6285</v>
      </c>
      <c r="Y577" s="28" t="s">
        <v>6286</v>
      </c>
      <c r="Z577" s="28" t="s">
        <v>6287</v>
      </c>
      <c r="AA577" s="28" t="s">
        <v>6288</v>
      </c>
      <c r="AB577" s="28" t="s">
        <v>6297</v>
      </c>
    </row>
    <row r="578" spans="1:28" ht="185.4" x14ac:dyDescent="0.3">
      <c r="A578" s="25">
        <v>8197</v>
      </c>
      <c r="B578" s="25" t="s">
        <v>10090</v>
      </c>
      <c r="C578" s="25" t="s">
        <v>10091</v>
      </c>
      <c r="D578" s="25" t="s">
        <v>6291</v>
      </c>
      <c r="E578" s="16" t="s">
        <v>6292</v>
      </c>
      <c r="F578" s="16" t="s">
        <v>6292</v>
      </c>
      <c r="G578" s="16" t="s">
        <v>6292</v>
      </c>
      <c r="H578" s="16" t="s">
        <v>6292</v>
      </c>
      <c r="I578" s="25" t="s">
        <v>10092</v>
      </c>
      <c r="J578" s="25"/>
      <c r="K578" s="25" t="s">
        <v>6281</v>
      </c>
      <c r="L578" s="26" t="s">
        <v>10093</v>
      </c>
      <c r="M578" s="26" t="s">
        <v>10094</v>
      </c>
      <c r="N578" s="27" t="s">
        <v>10095</v>
      </c>
      <c r="O578" s="26" t="s">
        <v>10096</v>
      </c>
      <c r="P578" s="20" t="b">
        <v>1</v>
      </c>
      <c r="Q578" s="20" t="s">
        <v>6282</v>
      </c>
      <c r="R578" s="28" t="s">
        <v>6283</v>
      </c>
      <c r="S578" s="25"/>
      <c r="T578" s="20" t="b">
        <v>1</v>
      </c>
      <c r="U578" s="25"/>
      <c r="V578" s="25">
        <v>366</v>
      </c>
      <c r="W578" s="28" t="s">
        <v>10097</v>
      </c>
      <c r="X578" s="28" t="s">
        <v>6285</v>
      </c>
      <c r="Y578" s="28" t="s">
        <v>6286</v>
      </c>
      <c r="Z578" s="28" t="s">
        <v>6287</v>
      </c>
      <c r="AA578" s="28" t="s">
        <v>6288</v>
      </c>
      <c r="AB578" s="28" t="s">
        <v>6297</v>
      </c>
    </row>
    <row r="579" spans="1:28" ht="185.4" x14ac:dyDescent="0.3">
      <c r="A579" s="25">
        <v>8207</v>
      </c>
      <c r="B579" s="25" t="s">
        <v>10098</v>
      </c>
      <c r="C579" s="25" t="s">
        <v>10099</v>
      </c>
      <c r="D579" s="25" t="s">
        <v>6278</v>
      </c>
      <c r="E579" s="16" t="s">
        <v>6279</v>
      </c>
      <c r="F579" s="16" t="s">
        <v>6279</v>
      </c>
      <c r="G579" s="16" t="s">
        <v>6279</v>
      </c>
      <c r="H579" s="16" t="s">
        <v>6279</v>
      </c>
      <c r="I579" s="25" t="s">
        <v>10100</v>
      </c>
      <c r="J579" s="25"/>
      <c r="K579" s="25" t="s">
        <v>6281</v>
      </c>
      <c r="L579" s="26" t="s">
        <v>10101</v>
      </c>
      <c r="M579" s="26" t="s">
        <v>6295</v>
      </c>
      <c r="N579" s="27" t="s">
        <v>10082</v>
      </c>
      <c r="O579" s="26" t="s">
        <v>6295</v>
      </c>
      <c r="P579" s="20" t="b">
        <v>1</v>
      </c>
      <c r="Q579" s="20" t="s">
        <v>6282</v>
      </c>
      <c r="R579" s="28" t="s">
        <v>6283</v>
      </c>
      <c r="S579" s="25"/>
      <c r="T579" s="20" t="b">
        <v>1</v>
      </c>
      <c r="U579" s="25"/>
      <c r="V579" s="25">
        <v>190.66</v>
      </c>
      <c r="W579" s="28" t="s">
        <v>10102</v>
      </c>
      <c r="X579" s="28" t="s">
        <v>6285</v>
      </c>
      <c r="Y579" s="28" t="s">
        <v>6286</v>
      </c>
      <c r="Z579" s="28" t="s">
        <v>6287</v>
      </c>
      <c r="AA579" s="28" t="s">
        <v>6288</v>
      </c>
      <c r="AB579" s="28" t="s">
        <v>6297</v>
      </c>
    </row>
    <row r="580" spans="1:28" ht="185.4" x14ac:dyDescent="0.3">
      <c r="A580" s="25">
        <v>8221</v>
      </c>
      <c r="B580" s="25" t="s">
        <v>10103</v>
      </c>
      <c r="C580" s="25" t="s">
        <v>10104</v>
      </c>
      <c r="D580" s="25" t="s">
        <v>6278</v>
      </c>
      <c r="E580" s="16" t="s">
        <v>6279</v>
      </c>
      <c r="F580" s="16" t="s">
        <v>6279</v>
      </c>
      <c r="G580" s="16" t="s">
        <v>6279</v>
      </c>
      <c r="H580" s="16" t="s">
        <v>6279</v>
      </c>
      <c r="I580" s="25" t="s">
        <v>10105</v>
      </c>
      <c r="J580" s="25"/>
      <c r="K580" s="25" t="s">
        <v>6281</v>
      </c>
      <c r="L580" s="26" t="s">
        <v>10106</v>
      </c>
      <c r="M580" s="26" t="s">
        <v>6295</v>
      </c>
      <c r="N580" s="27" t="s">
        <v>10107</v>
      </c>
      <c r="O580" s="26" t="s">
        <v>6295</v>
      </c>
      <c r="P580" s="20" t="b">
        <v>1</v>
      </c>
      <c r="Q580" s="20" t="s">
        <v>6282</v>
      </c>
      <c r="R580" s="28" t="s">
        <v>6283</v>
      </c>
      <c r="S580" s="25"/>
      <c r="T580" s="20" t="b">
        <v>1</v>
      </c>
      <c r="U580" s="25"/>
      <c r="V580" s="25">
        <v>1535.1</v>
      </c>
      <c r="W580" s="28" t="s">
        <v>10108</v>
      </c>
      <c r="X580" s="28" t="s">
        <v>6285</v>
      </c>
      <c r="Y580" s="28" t="s">
        <v>6286</v>
      </c>
      <c r="Z580" s="28" t="s">
        <v>6287</v>
      </c>
      <c r="AA580" s="28" t="s">
        <v>6288</v>
      </c>
      <c r="AB580" s="28" t="s">
        <v>6297</v>
      </c>
    </row>
    <row r="581" spans="1:28" ht="193.2" x14ac:dyDescent="0.3">
      <c r="A581" s="25">
        <v>8223</v>
      </c>
      <c r="B581" s="25" t="s">
        <v>10109</v>
      </c>
      <c r="C581" s="25" t="s">
        <v>10110</v>
      </c>
      <c r="D581" s="25" t="s">
        <v>6291</v>
      </c>
      <c r="E581" s="16" t="s">
        <v>6292</v>
      </c>
      <c r="F581" s="16" t="s">
        <v>6292</v>
      </c>
      <c r="G581" s="16" t="s">
        <v>6292</v>
      </c>
      <c r="H581" s="16" t="s">
        <v>6292</v>
      </c>
      <c r="I581" s="25" t="s">
        <v>10111</v>
      </c>
      <c r="J581" s="25"/>
      <c r="K581" s="25" t="s">
        <v>6281</v>
      </c>
      <c r="L581" s="26" t="s">
        <v>10112</v>
      </c>
      <c r="M581" s="26" t="s">
        <v>8221</v>
      </c>
      <c r="N581" s="27" t="s">
        <v>8250</v>
      </c>
      <c r="O581" s="26" t="s">
        <v>10113</v>
      </c>
      <c r="P581" s="20" t="b">
        <v>1</v>
      </c>
      <c r="Q581" s="20" t="s">
        <v>6282</v>
      </c>
      <c r="R581" s="28" t="s">
        <v>6283</v>
      </c>
      <c r="S581" s="25"/>
      <c r="T581" s="20" t="b">
        <v>1</v>
      </c>
      <c r="U581" s="25"/>
      <c r="V581" s="25">
        <v>138.39500000000001</v>
      </c>
      <c r="W581" s="28" t="s">
        <v>10114</v>
      </c>
      <c r="X581" s="28" t="s">
        <v>6285</v>
      </c>
      <c r="Y581" s="28" t="s">
        <v>6286</v>
      </c>
      <c r="Z581" s="28" t="s">
        <v>6287</v>
      </c>
      <c r="AA581" s="28" t="s">
        <v>6288</v>
      </c>
      <c r="AB581" s="28" t="s">
        <v>6297</v>
      </c>
    </row>
    <row r="582" spans="1:28" ht="185.4" x14ac:dyDescent="0.3">
      <c r="A582" s="25">
        <v>8226</v>
      </c>
      <c r="B582" s="25" t="s">
        <v>10115</v>
      </c>
      <c r="C582" s="25" t="s">
        <v>10116</v>
      </c>
      <c r="D582" s="25" t="s">
        <v>6291</v>
      </c>
      <c r="E582" s="16" t="s">
        <v>6786</v>
      </c>
      <c r="F582" s="16" t="s">
        <v>6786</v>
      </c>
      <c r="G582" s="16" t="s">
        <v>6786</v>
      </c>
      <c r="H582" s="16" t="s">
        <v>6786</v>
      </c>
      <c r="I582" s="25" t="s">
        <v>10117</v>
      </c>
      <c r="J582" s="25"/>
      <c r="K582" s="25" t="s">
        <v>6281</v>
      </c>
      <c r="L582" s="26" t="s">
        <v>10118</v>
      </c>
      <c r="M582" s="26" t="s">
        <v>10119</v>
      </c>
      <c r="N582" s="27" t="s">
        <v>10120</v>
      </c>
      <c r="O582" s="26" t="s">
        <v>10121</v>
      </c>
      <c r="P582" s="20" t="b">
        <v>1</v>
      </c>
      <c r="Q582" s="20" t="s">
        <v>6282</v>
      </c>
      <c r="R582" s="28" t="s">
        <v>6283</v>
      </c>
      <c r="S582" s="25"/>
      <c r="T582" s="20" t="b">
        <v>1</v>
      </c>
      <c r="U582" s="25"/>
      <c r="V582" s="25">
        <v>0.55000000000000004</v>
      </c>
      <c r="W582" s="28" t="s">
        <v>10122</v>
      </c>
      <c r="X582" s="28" t="s">
        <v>6285</v>
      </c>
      <c r="Y582" s="28" t="s">
        <v>6286</v>
      </c>
      <c r="Z582" s="28" t="s">
        <v>6287</v>
      </c>
      <c r="AA582" s="28" t="s">
        <v>6288</v>
      </c>
      <c r="AB582" s="28" t="s">
        <v>6297</v>
      </c>
    </row>
    <row r="583" spans="1:28" ht="185.4" x14ac:dyDescent="0.3">
      <c r="A583" s="25">
        <v>8227</v>
      </c>
      <c r="B583" s="25" t="s">
        <v>10123</v>
      </c>
      <c r="C583" s="25" t="s">
        <v>10124</v>
      </c>
      <c r="D583" s="25" t="s">
        <v>6278</v>
      </c>
      <c r="E583" s="16" t="s">
        <v>6279</v>
      </c>
      <c r="F583" s="16" t="s">
        <v>6279</v>
      </c>
      <c r="G583" s="16" t="s">
        <v>6279</v>
      </c>
      <c r="H583" s="16" t="s">
        <v>6279</v>
      </c>
      <c r="I583" s="25" t="s">
        <v>10125</v>
      </c>
      <c r="J583" s="25"/>
      <c r="K583" s="25" t="s">
        <v>6281</v>
      </c>
      <c r="L583" s="26" t="s">
        <v>10126</v>
      </c>
      <c r="M583" s="26" t="s">
        <v>6295</v>
      </c>
      <c r="N583" s="27" t="s">
        <v>10127</v>
      </c>
      <c r="O583" s="26" t="s">
        <v>6295</v>
      </c>
      <c r="P583" s="20" t="b">
        <v>1</v>
      </c>
      <c r="Q583" s="20" t="s">
        <v>6282</v>
      </c>
      <c r="R583" s="28" t="s">
        <v>6283</v>
      </c>
      <c r="S583" s="25"/>
      <c r="T583" s="20" t="b">
        <v>1</v>
      </c>
      <c r="U583" s="25"/>
      <c r="V583" s="25">
        <v>209.2938</v>
      </c>
      <c r="W583" s="28" t="s">
        <v>10128</v>
      </c>
      <c r="X583" s="28" t="s">
        <v>6285</v>
      </c>
      <c r="Y583" s="28" t="s">
        <v>6286</v>
      </c>
      <c r="Z583" s="28" t="s">
        <v>6287</v>
      </c>
      <c r="AA583" s="28" t="s">
        <v>6288</v>
      </c>
      <c r="AB583" s="28" t="s">
        <v>6297</v>
      </c>
    </row>
    <row r="584" spans="1:28" ht="185.4" x14ac:dyDescent="0.3">
      <c r="A584" s="25">
        <v>8233</v>
      </c>
      <c r="B584" s="25" t="s">
        <v>10129</v>
      </c>
      <c r="C584" s="25" t="s">
        <v>10130</v>
      </c>
      <c r="D584" s="25" t="s">
        <v>6278</v>
      </c>
      <c r="E584" s="16" t="s">
        <v>6279</v>
      </c>
      <c r="F584" s="16" t="s">
        <v>6279</v>
      </c>
      <c r="G584" s="16" t="s">
        <v>6279</v>
      </c>
      <c r="H584" s="16" t="s">
        <v>6279</v>
      </c>
      <c r="I584" s="25" t="s">
        <v>10131</v>
      </c>
      <c r="J584" s="25"/>
      <c r="K584" s="25" t="s">
        <v>6281</v>
      </c>
      <c r="L584" s="26" t="s">
        <v>10132</v>
      </c>
      <c r="M584" s="26" t="s">
        <v>6295</v>
      </c>
      <c r="N584" s="27" t="s">
        <v>10133</v>
      </c>
      <c r="O584" s="26" t="s">
        <v>10134</v>
      </c>
      <c r="P584" s="20" t="b">
        <v>1</v>
      </c>
      <c r="Q584" s="20" t="s">
        <v>6282</v>
      </c>
      <c r="R584" s="28" t="s">
        <v>6283</v>
      </c>
      <c r="S584" s="25"/>
      <c r="T584" s="20" t="b">
        <v>1</v>
      </c>
      <c r="U584" s="25"/>
      <c r="V584" s="25">
        <v>1493.5103999999999</v>
      </c>
      <c r="W584" s="28" t="s">
        <v>10135</v>
      </c>
      <c r="X584" s="28" t="s">
        <v>6285</v>
      </c>
      <c r="Y584" s="28" t="s">
        <v>6286</v>
      </c>
      <c r="Z584" s="28" t="s">
        <v>6287</v>
      </c>
      <c r="AA584" s="28" t="s">
        <v>6288</v>
      </c>
      <c r="AB584" s="28" t="s">
        <v>6297</v>
      </c>
    </row>
    <row r="585" spans="1:28" ht="185.4" x14ac:dyDescent="0.3">
      <c r="A585" s="25">
        <v>8239</v>
      </c>
      <c r="B585" s="25" t="s">
        <v>10136</v>
      </c>
      <c r="C585" s="25" t="s">
        <v>10137</v>
      </c>
      <c r="D585" s="25" t="s">
        <v>6291</v>
      </c>
      <c r="E585" s="16" t="s">
        <v>6292</v>
      </c>
      <c r="F585" s="16" t="s">
        <v>6292</v>
      </c>
      <c r="G585" s="16" t="s">
        <v>6292</v>
      </c>
      <c r="H585" s="16" t="s">
        <v>6292</v>
      </c>
      <c r="I585" s="25" t="s">
        <v>10138</v>
      </c>
      <c r="J585" s="25"/>
      <c r="K585" s="25" t="s">
        <v>6281</v>
      </c>
      <c r="L585" s="26" t="s">
        <v>10139</v>
      </c>
      <c r="M585" s="26" t="s">
        <v>6295</v>
      </c>
      <c r="N585" s="27" t="s">
        <v>10140</v>
      </c>
      <c r="O585" s="26" t="s">
        <v>6295</v>
      </c>
      <c r="P585" s="20" t="b">
        <v>1</v>
      </c>
      <c r="Q585" s="20" t="s">
        <v>6282</v>
      </c>
      <c r="R585" s="28" t="s">
        <v>6283</v>
      </c>
      <c r="S585" s="25"/>
      <c r="T585" s="20" t="b">
        <v>1</v>
      </c>
      <c r="U585" s="25"/>
      <c r="V585" s="25">
        <v>190.31</v>
      </c>
      <c r="W585" s="28" t="s">
        <v>10141</v>
      </c>
      <c r="X585" s="28" t="s">
        <v>6285</v>
      </c>
      <c r="Y585" s="28" t="s">
        <v>6286</v>
      </c>
      <c r="Z585" s="28" t="s">
        <v>6287</v>
      </c>
      <c r="AA585" s="28" t="s">
        <v>6288</v>
      </c>
      <c r="AB585" s="28" t="s">
        <v>6297</v>
      </c>
    </row>
    <row r="586" spans="1:28" ht="185.4" x14ac:dyDescent="0.3">
      <c r="A586" s="25">
        <v>8252</v>
      </c>
      <c r="B586" s="25" t="s">
        <v>10142</v>
      </c>
      <c r="C586" s="25" t="s">
        <v>10143</v>
      </c>
      <c r="D586" s="25" t="s">
        <v>6291</v>
      </c>
      <c r="E586" s="16" t="s">
        <v>6292</v>
      </c>
      <c r="F586" s="16" t="s">
        <v>6292</v>
      </c>
      <c r="G586" s="16" t="s">
        <v>6292</v>
      </c>
      <c r="H586" s="16" t="s">
        <v>6292</v>
      </c>
      <c r="I586" s="25" t="s">
        <v>10144</v>
      </c>
      <c r="J586" s="25"/>
      <c r="K586" s="25" t="s">
        <v>6281</v>
      </c>
      <c r="L586" s="26" t="s">
        <v>10145</v>
      </c>
      <c r="M586" s="26" t="s">
        <v>6295</v>
      </c>
      <c r="N586" s="27" t="s">
        <v>10146</v>
      </c>
      <c r="O586" s="26" t="s">
        <v>6295</v>
      </c>
      <c r="P586" s="20" t="b">
        <v>1</v>
      </c>
      <c r="Q586" s="20" t="s">
        <v>6282</v>
      </c>
      <c r="R586" s="28" t="s">
        <v>6283</v>
      </c>
      <c r="S586" s="25"/>
      <c r="T586" s="20" t="b">
        <v>1</v>
      </c>
      <c r="U586" s="25"/>
      <c r="V586" s="25">
        <v>6.14</v>
      </c>
      <c r="W586" s="28" t="s">
        <v>10147</v>
      </c>
      <c r="X586" s="28" t="s">
        <v>6285</v>
      </c>
      <c r="Y586" s="28" t="s">
        <v>6286</v>
      </c>
      <c r="Z586" s="28" t="s">
        <v>6287</v>
      </c>
      <c r="AA586" s="28" t="s">
        <v>6288</v>
      </c>
      <c r="AB586" s="28" t="s">
        <v>6297</v>
      </c>
    </row>
    <row r="587" spans="1:28" ht="185.4" x14ac:dyDescent="0.3">
      <c r="A587" s="25">
        <v>8264</v>
      </c>
      <c r="B587" s="25" t="s">
        <v>10148</v>
      </c>
      <c r="C587" s="25" t="s">
        <v>10149</v>
      </c>
      <c r="D587" s="25" t="s">
        <v>6278</v>
      </c>
      <c r="E587" s="16" t="s">
        <v>6279</v>
      </c>
      <c r="F587" s="16" t="s">
        <v>6279</v>
      </c>
      <c r="G587" s="16" t="s">
        <v>6279</v>
      </c>
      <c r="H587" s="16" t="s">
        <v>6279</v>
      </c>
      <c r="I587" s="25" t="s">
        <v>10150</v>
      </c>
      <c r="J587" s="25"/>
      <c r="K587" s="25" t="s">
        <v>6281</v>
      </c>
      <c r="L587" s="26" t="s">
        <v>10151</v>
      </c>
      <c r="M587" s="26" t="s">
        <v>6942</v>
      </c>
      <c r="N587" s="27" t="s">
        <v>7850</v>
      </c>
      <c r="O587" s="26" t="s">
        <v>6295</v>
      </c>
      <c r="P587" s="20" t="b">
        <v>1</v>
      </c>
      <c r="Q587" s="20" t="s">
        <v>6282</v>
      </c>
      <c r="R587" s="28" t="s">
        <v>6283</v>
      </c>
      <c r="S587" s="25"/>
      <c r="T587" s="20" t="b">
        <v>1</v>
      </c>
      <c r="U587" s="25"/>
      <c r="V587" s="25">
        <v>356.1</v>
      </c>
      <c r="W587" s="28" t="s">
        <v>10152</v>
      </c>
      <c r="X587" s="28" t="s">
        <v>6285</v>
      </c>
      <c r="Y587" s="28" t="s">
        <v>6286</v>
      </c>
      <c r="Z587" s="28" t="s">
        <v>6287</v>
      </c>
      <c r="AA587" s="28" t="s">
        <v>6288</v>
      </c>
      <c r="AB587" s="28" t="s">
        <v>6297</v>
      </c>
    </row>
    <row r="588" spans="1:28" ht="185.4" x14ac:dyDescent="0.3">
      <c r="A588" s="25">
        <v>8267</v>
      </c>
      <c r="B588" s="25" t="s">
        <v>10153</v>
      </c>
      <c r="C588" s="25" t="s">
        <v>10154</v>
      </c>
      <c r="D588" s="25" t="s">
        <v>6291</v>
      </c>
      <c r="E588" s="16" t="s">
        <v>6292</v>
      </c>
      <c r="F588" s="16" t="s">
        <v>6292</v>
      </c>
      <c r="G588" s="16" t="s">
        <v>6292</v>
      </c>
      <c r="H588" s="16" t="s">
        <v>6292</v>
      </c>
      <c r="I588" s="25" t="s">
        <v>10155</v>
      </c>
      <c r="J588" s="25"/>
      <c r="K588" s="25" t="s">
        <v>6281</v>
      </c>
      <c r="L588" s="26" t="s">
        <v>10156</v>
      </c>
      <c r="M588" s="26" t="s">
        <v>7220</v>
      </c>
      <c r="N588" s="27" t="s">
        <v>10157</v>
      </c>
      <c r="O588" s="26" t="s">
        <v>6295</v>
      </c>
      <c r="P588" s="20" t="b">
        <v>1</v>
      </c>
      <c r="Q588" s="20" t="s">
        <v>6282</v>
      </c>
      <c r="R588" s="28" t="s">
        <v>6283</v>
      </c>
      <c r="S588" s="25"/>
      <c r="T588" s="20" t="b">
        <v>1</v>
      </c>
      <c r="U588" s="25"/>
      <c r="V588" s="25">
        <v>914.89800000000002</v>
      </c>
      <c r="W588" s="28" t="s">
        <v>10158</v>
      </c>
      <c r="X588" s="28" t="s">
        <v>6285</v>
      </c>
      <c r="Y588" s="28" t="s">
        <v>6286</v>
      </c>
      <c r="Z588" s="28" t="s">
        <v>6287</v>
      </c>
      <c r="AA588" s="28" t="s">
        <v>6288</v>
      </c>
      <c r="AB588" s="28" t="s">
        <v>6297</v>
      </c>
    </row>
    <row r="589" spans="1:28" ht="185.4" x14ac:dyDescent="0.3">
      <c r="A589" s="25">
        <v>8270</v>
      </c>
      <c r="B589" s="25" t="s">
        <v>10159</v>
      </c>
      <c r="C589" s="25" t="s">
        <v>10160</v>
      </c>
      <c r="D589" s="25" t="s">
        <v>6278</v>
      </c>
      <c r="E589" s="16" t="s">
        <v>6279</v>
      </c>
      <c r="F589" s="16" t="s">
        <v>6279</v>
      </c>
      <c r="G589" s="16" t="s">
        <v>6279</v>
      </c>
      <c r="H589" s="16" t="s">
        <v>6279</v>
      </c>
      <c r="I589" s="25" t="s">
        <v>10161</v>
      </c>
      <c r="J589" s="25"/>
      <c r="K589" s="25" t="s">
        <v>6281</v>
      </c>
      <c r="L589" s="26" t="s">
        <v>10162</v>
      </c>
      <c r="M589" s="26" t="s">
        <v>10163</v>
      </c>
      <c r="N589" s="27" t="s">
        <v>10164</v>
      </c>
      <c r="O589" s="26" t="s">
        <v>10165</v>
      </c>
      <c r="P589" s="20" t="b">
        <v>1</v>
      </c>
      <c r="Q589" s="20" t="s">
        <v>6282</v>
      </c>
      <c r="R589" s="28" t="s">
        <v>6283</v>
      </c>
      <c r="S589" s="25"/>
      <c r="T589" s="20" t="b">
        <v>1</v>
      </c>
      <c r="U589" s="25"/>
      <c r="V589" s="25">
        <v>158</v>
      </c>
      <c r="W589" s="28" t="s">
        <v>10166</v>
      </c>
      <c r="X589" s="28" t="s">
        <v>6285</v>
      </c>
      <c r="Y589" s="28" t="s">
        <v>6286</v>
      </c>
      <c r="Z589" s="28" t="s">
        <v>6287</v>
      </c>
      <c r="AA589" s="28" t="s">
        <v>6288</v>
      </c>
      <c r="AB589" s="28" t="s">
        <v>6297</v>
      </c>
    </row>
    <row r="590" spans="1:28" ht="185.4" x14ac:dyDescent="0.3">
      <c r="A590" s="25">
        <v>8271</v>
      </c>
      <c r="B590" s="25" t="s">
        <v>10167</v>
      </c>
      <c r="C590" s="25" t="s">
        <v>10160</v>
      </c>
      <c r="D590" s="25" t="s">
        <v>6278</v>
      </c>
      <c r="E590" s="16" t="s">
        <v>6279</v>
      </c>
      <c r="F590" s="16" t="s">
        <v>6279</v>
      </c>
      <c r="G590" s="16" t="s">
        <v>6279</v>
      </c>
      <c r="H590" s="16" t="s">
        <v>6279</v>
      </c>
      <c r="I590" s="25" t="s">
        <v>10168</v>
      </c>
      <c r="J590" s="25"/>
      <c r="K590" s="25" t="s">
        <v>6281</v>
      </c>
      <c r="L590" s="26" t="s">
        <v>10169</v>
      </c>
      <c r="M590" s="26" t="s">
        <v>10163</v>
      </c>
      <c r="N590" s="27" t="s">
        <v>10164</v>
      </c>
      <c r="O590" s="26" t="s">
        <v>10170</v>
      </c>
      <c r="P590" s="20" t="b">
        <v>1</v>
      </c>
      <c r="Q590" s="20" t="s">
        <v>6282</v>
      </c>
      <c r="R590" s="28" t="s">
        <v>6283</v>
      </c>
      <c r="S590" s="25"/>
      <c r="T590" s="20" t="b">
        <v>1</v>
      </c>
      <c r="U590" s="25"/>
      <c r="V590" s="25">
        <v>158</v>
      </c>
      <c r="W590" s="28" t="s">
        <v>10171</v>
      </c>
      <c r="X590" s="28" t="s">
        <v>6285</v>
      </c>
      <c r="Y590" s="28" t="s">
        <v>6286</v>
      </c>
      <c r="Z590" s="28" t="s">
        <v>6287</v>
      </c>
      <c r="AA590" s="28" t="s">
        <v>6288</v>
      </c>
      <c r="AB590" s="28" t="s">
        <v>6297</v>
      </c>
    </row>
    <row r="591" spans="1:28" ht="185.4" x14ac:dyDescent="0.3">
      <c r="A591" s="25">
        <v>8272</v>
      </c>
      <c r="B591" s="25" t="s">
        <v>10172</v>
      </c>
      <c r="C591" s="25" t="s">
        <v>10160</v>
      </c>
      <c r="D591" s="25" t="s">
        <v>6278</v>
      </c>
      <c r="E591" s="16" t="s">
        <v>6279</v>
      </c>
      <c r="F591" s="16" t="s">
        <v>6279</v>
      </c>
      <c r="G591" s="16" t="s">
        <v>6279</v>
      </c>
      <c r="H591" s="16" t="s">
        <v>6279</v>
      </c>
      <c r="I591" s="25" t="s">
        <v>10173</v>
      </c>
      <c r="J591" s="25"/>
      <c r="K591" s="25" t="s">
        <v>6281</v>
      </c>
      <c r="L591" s="26" t="s">
        <v>10174</v>
      </c>
      <c r="M591" s="26" t="s">
        <v>10163</v>
      </c>
      <c r="N591" s="27" t="s">
        <v>10175</v>
      </c>
      <c r="O591" s="26" t="s">
        <v>10176</v>
      </c>
      <c r="P591" s="20" t="b">
        <v>1</v>
      </c>
      <c r="Q591" s="20" t="s">
        <v>6282</v>
      </c>
      <c r="R591" s="28" t="s">
        <v>6283</v>
      </c>
      <c r="S591" s="25"/>
      <c r="T591" s="20" t="b">
        <v>1</v>
      </c>
      <c r="U591" s="25"/>
      <c r="V591" s="25">
        <v>158.04</v>
      </c>
      <c r="W591" s="28" t="s">
        <v>10177</v>
      </c>
      <c r="X591" s="28" t="s">
        <v>6285</v>
      </c>
      <c r="Y591" s="28" t="s">
        <v>6286</v>
      </c>
      <c r="Z591" s="28" t="s">
        <v>6287</v>
      </c>
      <c r="AA591" s="28" t="s">
        <v>6288</v>
      </c>
      <c r="AB591" s="28" t="s">
        <v>6297</v>
      </c>
    </row>
    <row r="592" spans="1:28" ht="185.4" x14ac:dyDescent="0.3">
      <c r="A592" s="25">
        <v>8273</v>
      </c>
      <c r="B592" s="25" t="s">
        <v>10178</v>
      </c>
      <c r="C592" s="25" t="s">
        <v>10160</v>
      </c>
      <c r="D592" s="25" t="s">
        <v>6278</v>
      </c>
      <c r="E592" s="16" t="s">
        <v>6279</v>
      </c>
      <c r="F592" s="16" t="s">
        <v>6279</v>
      </c>
      <c r="G592" s="16" t="s">
        <v>6279</v>
      </c>
      <c r="H592" s="16" t="s">
        <v>6279</v>
      </c>
      <c r="I592" s="25" t="s">
        <v>10179</v>
      </c>
      <c r="J592" s="25"/>
      <c r="K592" s="25" t="s">
        <v>6281</v>
      </c>
      <c r="L592" s="26" t="s">
        <v>10169</v>
      </c>
      <c r="M592" s="26" t="s">
        <v>10163</v>
      </c>
      <c r="N592" s="27" t="s">
        <v>10164</v>
      </c>
      <c r="O592" s="26" t="s">
        <v>10165</v>
      </c>
      <c r="P592" s="20" t="b">
        <v>1</v>
      </c>
      <c r="Q592" s="20" t="s">
        <v>6282</v>
      </c>
      <c r="R592" s="28" t="s">
        <v>6283</v>
      </c>
      <c r="S592" s="25"/>
      <c r="T592" s="20" t="b">
        <v>1</v>
      </c>
      <c r="U592" s="25"/>
      <c r="V592" s="25">
        <v>158.04</v>
      </c>
      <c r="W592" s="28" t="s">
        <v>10180</v>
      </c>
      <c r="X592" s="28" t="s">
        <v>6285</v>
      </c>
      <c r="Y592" s="28" t="s">
        <v>6286</v>
      </c>
      <c r="Z592" s="28" t="s">
        <v>6287</v>
      </c>
      <c r="AA592" s="28" t="s">
        <v>6288</v>
      </c>
      <c r="AB592" s="28" t="s">
        <v>6297</v>
      </c>
    </row>
    <row r="593" spans="1:28" ht="185.4" x14ac:dyDescent="0.3">
      <c r="A593" s="25">
        <v>8274</v>
      </c>
      <c r="B593" s="25" t="s">
        <v>10181</v>
      </c>
      <c r="C593" s="25" t="s">
        <v>10182</v>
      </c>
      <c r="D593" s="25" t="s">
        <v>6291</v>
      </c>
      <c r="E593" s="16" t="s">
        <v>6292</v>
      </c>
      <c r="F593" s="16" t="s">
        <v>6292</v>
      </c>
      <c r="G593" s="16" t="s">
        <v>6292</v>
      </c>
      <c r="H593" s="16" t="s">
        <v>6292</v>
      </c>
      <c r="I593" s="25" t="s">
        <v>10183</v>
      </c>
      <c r="J593" s="25"/>
      <c r="K593" s="25" t="s">
        <v>6281</v>
      </c>
      <c r="L593" s="26" t="s">
        <v>10184</v>
      </c>
      <c r="M593" s="26" t="s">
        <v>6295</v>
      </c>
      <c r="N593" s="27" t="s">
        <v>10185</v>
      </c>
      <c r="O593" s="26" t="s">
        <v>6295</v>
      </c>
      <c r="P593" s="20" t="b">
        <v>1</v>
      </c>
      <c r="Q593" s="20" t="s">
        <v>6282</v>
      </c>
      <c r="R593" s="28" t="s">
        <v>6283</v>
      </c>
      <c r="S593" s="25"/>
      <c r="T593" s="20" t="b">
        <v>1</v>
      </c>
      <c r="U593" s="25"/>
      <c r="V593" s="25">
        <v>360</v>
      </c>
      <c r="W593" s="28" t="s">
        <v>10186</v>
      </c>
      <c r="X593" s="28" t="s">
        <v>6285</v>
      </c>
      <c r="Y593" s="28" t="s">
        <v>6286</v>
      </c>
      <c r="Z593" s="28" t="s">
        <v>6287</v>
      </c>
      <c r="AA593" s="28" t="s">
        <v>6288</v>
      </c>
      <c r="AB593" s="28" t="s">
        <v>6297</v>
      </c>
    </row>
    <row r="594" spans="1:28" ht="185.4" x14ac:dyDescent="0.3">
      <c r="A594" s="25">
        <v>8286</v>
      </c>
      <c r="B594" s="25" t="s">
        <v>10187</v>
      </c>
      <c r="C594" s="25" t="s">
        <v>10188</v>
      </c>
      <c r="D594" s="25" t="s">
        <v>6291</v>
      </c>
      <c r="E594" s="16" t="s">
        <v>6786</v>
      </c>
      <c r="F594" s="16" t="s">
        <v>6786</v>
      </c>
      <c r="G594" s="16" t="s">
        <v>6786</v>
      </c>
      <c r="H594" s="16" t="s">
        <v>6786</v>
      </c>
      <c r="I594" s="25" t="s">
        <v>10189</v>
      </c>
      <c r="J594" s="25"/>
      <c r="K594" s="25" t="s">
        <v>6281</v>
      </c>
      <c r="L594" s="26" t="s">
        <v>10190</v>
      </c>
      <c r="M594" s="26" t="s">
        <v>6295</v>
      </c>
      <c r="N594" s="27" t="s">
        <v>10191</v>
      </c>
      <c r="O594" s="26" t="s">
        <v>6295</v>
      </c>
      <c r="P594" s="20" t="b">
        <v>1</v>
      </c>
      <c r="Q594" s="20" t="s">
        <v>6282</v>
      </c>
      <c r="R594" s="28" t="s">
        <v>6283</v>
      </c>
      <c r="S594" s="25"/>
      <c r="T594" s="20" t="b">
        <v>1</v>
      </c>
      <c r="U594" s="25"/>
      <c r="V594" s="25">
        <v>1.3</v>
      </c>
      <c r="W594" s="28" t="s">
        <v>10192</v>
      </c>
      <c r="X594" s="28" t="s">
        <v>6285</v>
      </c>
      <c r="Y594" s="28" t="s">
        <v>6286</v>
      </c>
      <c r="Z594" s="28" t="s">
        <v>6287</v>
      </c>
      <c r="AA594" s="28" t="s">
        <v>6288</v>
      </c>
      <c r="AB594" s="28" t="s">
        <v>6297</v>
      </c>
    </row>
    <row r="595" spans="1:28" ht="185.4" x14ac:dyDescent="0.3">
      <c r="A595" s="25">
        <v>8288</v>
      </c>
      <c r="B595" s="25" t="s">
        <v>10193</v>
      </c>
      <c r="C595" s="25" t="s">
        <v>10194</v>
      </c>
      <c r="D595" s="25" t="s">
        <v>6291</v>
      </c>
      <c r="E595" s="16" t="s">
        <v>6292</v>
      </c>
      <c r="F595" s="16" t="s">
        <v>6292</v>
      </c>
      <c r="G595" s="16" t="s">
        <v>6292</v>
      </c>
      <c r="H595" s="16" t="s">
        <v>6292</v>
      </c>
      <c r="I595" s="25" t="s">
        <v>10195</v>
      </c>
      <c r="J595" s="25"/>
      <c r="K595" s="25" t="s">
        <v>6281</v>
      </c>
      <c r="L595" s="26" t="s">
        <v>10196</v>
      </c>
      <c r="M595" s="26" t="s">
        <v>6295</v>
      </c>
      <c r="N595" s="27" t="s">
        <v>10197</v>
      </c>
      <c r="O595" s="26" t="s">
        <v>10198</v>
      </c>
      <c r="P595" s="20" t="b">
        <v>1</v>
      </c>
      <c r="Q595" s="20" t="s">
        <v>6282</v>
      </c>
      <c r="R595" s="28" t="s">
        <v>6283</v>
      </c>
      <c r="S595" s="25"/>
      <c r="T595" s="20" t="b">
        <v>1</v>
      </c>
      <c r="U595" s="25"/>
      <c r="V595" s="25">
        <v>16.138500000000001</v>
      </c>
      <c r="W595" s="28" t="s">
        <v>10199</v>
      </c>
      <c r="X595" s="28" t="s">
        <v>6285</v>
      </c>
      <c r="Y595" s="28" t="s">
        <v>6286</v>
      </c>
      <c r="Z595" s="28" t="s">
        <v>6287</v>
      </c>
      <c r="AA595" s="28" t="s">
        <v>6288</v>
      </c>
      <c r="AB595" s="28" t="s">
        <v>6297</v>
      </c>
    </row>
    <row r="596" spans="1:28" ht="185.4" x14ac:dyDescent="0.3">
      <c r="A596" s="25">
        <v>8293</v>
      </c>
      <c r="B596" s="25" t="s">
        <v>10200</v>
      </c>
      <c r="C596" s="25" t="s">
        <v>10201</v>
      </c>
      <c r="D596" s="25" t="s">
        <v>6291</v>
      </c>
      <c r="E596" s="16" t="s">
        <v>6786</v>
      </c>
      <c r="F596" s="16" t="s">
        <v>6786</v>
      </c>
      <c r="G596" s="16" t="s">
        <v>6786</v>
      </c>
      <c r="H596" s="16" t="s">
        <v>6786</v>
      </c>
      <c r="I596" s="25" t="s">
        <v>10202</v>
      </c>
      <c r="J596" s="25"/>
      <c r="K596" s="25" t="s">
        <v>6281</v>
      </c>
      <c r="L596" s="26" t="s">
        <v>10203</v>
      </c>
      <c r="M596" s="26" t="s">
        <v>10204</v>
      </c>
      <c r="N596" s="27" t="s">
        <v>10205</v>
      </c>
      <c r="O596" s="26" t="s">
        <v>6295</v>
      </c>
      <c r="P596" s="20" t="b">
        <v>1</v>
      </c>
      <c r="Q596" s="20" t="s">
        <v>6282</v>
      </c>
      <c r="R596" s="28" t="s">
        <v>6283</v>
      </c>
      <c r="S596" s="25"/>
      <c r="T596" s="20" t="b">
        <v>1</v>
      </c>
      <c r="U596" s="25"/>
      <c r="V596" s="25">
        <v>6.5662000000000003</v>
      </c>
      <c r="W596" s="28" t="s">
        <v>10206</v>
      </c>
      <c r="X596" s="28" t="s">
        <v>6285</v>
      </c>
      <c r="Y596" s="28" t="s">
        <v>6286</v>
      </c>
      <c r="Z596" s="28" t="s">
        <v>6287</v>
      </c>
      <c r="AA596" s="28" t="s">
        <v>6288</v>
      </c>
      <c r="AB596" s="28" t="s">
        <v>6297</v>
      </c>
    </row>
    <row r="597" spans="1:28" ht="185.4" x14ac:dyDescent="0.3">
      <c r="A597" s="25">
        <v>8296</v>
      </c>
      <c r="B597" s="25" t="s">
        <v>10207</v>
      </c>
      <c r="C597" s="25" t="s">
        <v>10208</v>
      </c>
      <c r="D597" s="25" t="s">
        <v>6291</v>
      </c>
      <c r="E597" s="16" t="s">
        <v>6786</v>
      </c>
      <c r="F597" s="16" t="s">
        <v>6786</v>
      </c>
      <c r="G597" s="16" t="s">
        <v>6786</v>
      </c>
      <c r="H597" s="16" t="s">
        <v>6786</v>
      </c>
      <c r="I597" s="25" t="s">
        <v>10209</v>
      </c>
      <c r="J597" s="25"/>
      <c r="K597" s="25" t="s">
        <v>6281</v>
      </c>
      <c r="L597" s="26" t="s">
        <v>10210</v>
      </c>
      <c r="M597" s="26" t="s">
        <v>6295</v>
      </c>
      <c r="N597" s="27" t="s">
        <v>10211</v>
      </c>
      <c r="O597" s="26" t="s">
        <v>6295</v>
      </c>
      <c r="P597" s="20" t="b">
        <v>1</v>
      </c>
      <c r="Q597" s="20" t="s">
        <v>6282</v>
      </c>
      <c r="R597" s="28" t="s">
        <v>6283</v>
      </c>
      <c r="S597" s="25"/>
      <c r="T597" s="20" t="b">
        <v>1</v>
      </c>
      <c r="U597" s="25"/>
      <c r="V597" s="25" t="s">
        <v>6295</v>
      </c>
      <c r="W597" s="28" t="s">
        <v>10212</v>
      </c>
      <c r="X597" s="28" t="s">
        <v>6285</v>
      </c>
      <c r="Y597" s="28" t="s">
        <v>6286</v>
      </c>
      <c r="Z597" s="28" t="s">
        <v>6287</v>
      </c>
      <c r="AA597" s="28" t="s">
        <v>6288</v>
      </c>
      <c r="AB597" s="28" t="s">
        <v>6297</v>
      </c>
    </row>
    <row r="598" spans="1:28" ht="185.4" x14ac:dyDescent="0.3">
      <c r="A598" s="25">
        <v>8304</v>
      </c>
      <c r="B598" s="25" t="s">
        <v>10213</v>
      </c>
      <c r="C598" s="25" t="s">
        <v>10214</v>
      </c>
      <c r="D598" s="25" t="s">
        <v>6291</v>
      </c>
      <c r="E598" s="16" t="s">
        <v>6786</v>
      </c>
      <c r="F598" s="16" t="s">
        <v>6786</v>
      </c>
      <c r="G598" s="16" t="s">
        <v>6786</v>
      </c>
      <c r="H598" s="16" t="s">
        <v>6786</v>
      </c>
      <c r="I598" s="25" t="s">
        <v>10215</v>
      </c>
      <c r="J598" s="25"/>
      <c r="K598" s="25" t="s">
        <v>6281</v>
      </c>
      <c r="L598" s="26" t="s">
        <v>10216</v>
      </c>
      <c r="M598" s="26" t="s">
        <v>6295</v>
      </c>
      <c r="N598" s="27" t="s">
        <v>10217</v>
      </c>
      <c r="O598" s="26" t="s">
        <v>6295</v>
      </c>
      <c r="P598" s="20" t="b">
        <v>1</v>
      </c>
      <c r="Q598" s="20" t="s">
        <v>6282</v>
      </c>
      <c r="R598" s="28" t="s">
        <v>6283</v>
      </c>
      <c r="S598" s="25"/>
      <c r="T598" s="20" t="b">
        <v>1</v>
      </c>
      <c r="U598" s="25"/>
      <c r="V598" s="25">
        <v>4.9788800000000002</v>
      </c>
      <c r="W598" s="28" t="s">
        <v>10218</v>
      </c>
      <c r="X598" s="28" t="s">
        <v>6285</v>
      </c>
      <c r="Y598" s="28" t="s">
        <v>6286</v>
      </c>
      <c r="Z598" s="28" t="s">
        <v>6287</v>
      </c>
      <c r="AA598" s="28" t="s">
        <v>6288</v>
      </c>
      <c r="AB598" s="28" t="s">
        <v>6297</v>
      </c>
    </row>
    <row r="599" spans="1:28" ht="185.4" x14ac:dyDescent="0.3">
      <c r="A599" s="25">
        <v>8314</v>
      </c>
      <c r="B599" s="25" t="s">
        <v>10219</v>
      </c>
      <c r="C599" s="25" t="s">
        <v>10220</v>
      </c>
      <c r="D599" s="25" t="s">
        <v>6278</v>
      </c>
      <c r="E599" s="16" t="s">
        <v>6279</v>
      </c>
      <c r="F599" s="16" t="s">
        <v>6279</v>
      </c>
      <c r="G599" s="16" t="s">
        <v>6279</v>
      </c>
      <c r="H599" s="16" t="s">
        <v>6279</v>
      </c>
      <c r="I599" s="25" t="s">
        <v>10221</v>
      </c>
      <c r="J599" s="25"/>
      <c r="K599" s="25" t="s">
        <v>6281</v>
      </c>
      <c r="L599" s="26" t="s">
        <v>10222</v>
      </c>
      <c r="M599" s="26" t="s">
        <v>6295</v>
      </c>
      <c r="N599" s="27" t="s">
        <v>10223</v>
      </c>
      <c r="O599" s="26" t="s">
        <v>6295</v>
      </c>
      <c r="P599" s="20" t="b">
        <v>1</v>
      </c>
      <c r="Q599" s="20" t="s">
        <v>6282</v>
      </c>
      <c r="R599" s="28" t="s">
        <v>6283</v>
      </c>
      <c r="S599" s="25"/>
      <c r="T599" s="20" t="b">
        <v>1</v>
      </c>
      <c r="U599" s="25"/>
      <c r="V599" s="25">
        <v>189.6</v>
      </c>
      <c r="W599" s="28" t="s">
        <v>10224</v>
      </c>
      <c r="X599" s="28" t="s">
        <v>6285</v>
      </c>
      <c r="Y599" s="28" t="s">
        <v>6286</v>
      </c>
      <c r="Z599" s="28" t="s">
        <v>6287</v>
      </c>
      <c r="AA599" s="28" t="s">
        <v>6288</v>
      </c>
      <c r="AB599" s="28" t="s">
        <v>6297</v>
      </c>
    </row>
    <row r="600" spans="1:28" ht="185.4" x14ac:dyDescent="0.3">
      <c r="A600" s="25">
        <v>8315</v>
      </c>
      <c r="B600" s="25" t="s">
        <v>10225</v>
      </c>
      <c r="C600" s="25" t="s">
        <v>10226</v>
      </c>
      <c r="D600" s="25" t="s">
        <v>6278</v>
      </c>
      <c r="E600" s="16" t="s">
        <v>6279</v>
      </c>
      <c r="F600" s="16" t="s">
        <v>6279</v>
      </c>
      <c r="G600" s="16" t="s">
        <v>6279</v>
      </c>
      <c r="H600" s="16" t="s">
        <v>6279</v>
      </c>
      <c r="I600" s="25" t="s">
        <v>10227</v>
      </c>
      <c r="J600" s="25"/>
      <c r="K600" s="25" t="s">
        <v>6281</v>
      </c>
      <c r="L600" s="26" t="s">
        <v>10228</v>
      </c>
      <c r="M600" s="26" t="s">
        <v>6295</v>
      </c>
      <c r="N600" s="27" t="s">
        <v>10229</v>
      </c>
      <c r="O600" s="26" t="s">
        <v>6295</v>
      </c>
      <c r="P600" s="20" t="b">
        <v>1</v>
      </c>
      <c r="Q600" s="20" t="s">
        <v>6282</v>
      </c>
      <c r="R600" s="28" t="s">
        <v>6283</v>
      </c>
      <c r="S600" s="25"/>
      <c r="T600" s="20" t="b">
        <v>1</v>
      </c>
      <c r="U600" s="25"/>
      <c r="V600" s="25">
        <v>146.66659999999999</v>
      </c>
      <c r="W600" s="28" t="s">
        <v>10230</v>
      </c>
      <c r="X600" s="28" t="s">
        <v>6285</v>
      </c>
      <c r="Y600" s="28" t="s">
        <v>6286</v>
      </c>
      <c r="Z600" s="28" t="s">
        <v>6287</v>
      </c>
      <c r="AA600" s="28" t="s">
        <v>6288</v>
      </c>
      <c r="AB600" s="28" t="s">
        <v>6297</v>
      </c>
    </row>
    <row r="601" spans="1:28" ht="185.4" x14ac:dyDescent="0.3">
      <c r="A601" s="25">
        <v>8319</v>
      </c>
      <c r="B601" s="25" t="s">
        <v>10231</v>
      </c>
      <c r="C601" s="25" t="s">
        <v>10232</v>
      </c>
      <c r="D601" s="25" t="s">
        <v>6291</v>
      </c>
      <c r="E601" s="16" t="s">
        <v>6786</v>
      </c>
      <c r="F601" s="16" t="s">
        <v>6786</v>
      </c>
      <c r="G601" s="16" t="s">
        <v>6786</v>
      </c>
      <c r="H601" s="16" t="s">
        <v>6786</v>
      </c>
      <c r="I601" s="25" t="s">
        <v>10233</v>
      </c>
      <c r="J601" s="25"/>
      <c r="K601" s="25" t="s">
        <v>6281</v>
      </c>
      <c r="L601" s="26" t="s">
        <v>10234</v>
      </c>
      <c r="M601" s="26" t="s">
        <v>6295</v>
      </c>
      <c r="N601" s="27" t="s">
        <v>10235</v>
      </c>
      <c r="O601" s="26" t="s">
        <v>10236</v>
      </c>
      <c r="P601" s="20" t="b">
        <v>1</v>
      </c>
      <c r="Q601" s="20" t="s">
        <v>6282</v>
      </c>
      <c r="R601" s="28" t="s">
        <v>6283</v>
      </c>
      <c r="S601" s="25"/>
      <c r="T601" s="20" t="b">
        <v>1</v>
      </c>
      <c r="U601" s="25"/>
      <c r="V601" s="25">
        <v>0.39939999999999998</v>
      </c>
      <c r="W601" s="28" t="s">
        <v>10237</v>
      </c>
      <c r="X601" s="28" t="s">
        <v>6285</v>
      </c>
      <c r="Y601" s="28" t="s">
        <v>6286</v>
      </c>
      <c r="Z601" s="28" t="s">
        <v>6287</v>
      </c>
      <c r="AA601" s="28" t="s">
        <v>6288</v>
      </c>
      <c r="AB601" s="28" t="s">
        <v>6297</v>
      </c>
    </row>
    <row r="602" spans="1:28" ht="185.4" x14ac:dyDescent="0.3">
      <c r="A602" s="25">
        <v>8329</v>
      </c>
      <c r="B602" s="25" t="s">
        <v>10238</v>
      </c>
      <c r="C602" s="25" t="s">
        <v>3633</v>
      </c>
      <c r="D602" s="25" t="s">
        <v>6278</v>
      </c>
      <c r="E602" s="16" t="s">
        <v>6279</v>
      </c>
      <c r="F602" s="16" t="s">
        <v>6279</v>
      </c>
      <c r="G602" s="16" t="s">
        <v>6279</v>
      </c>
      <c r="H602" s="16" t="s">
        <v>6279</v>
      </c>
      <c r="I602" s="25" t="s">
        <v>10239</v>
      </c>
      <c r="J602" s="25"/>
      <c r="K602" s="25" t="s">
        <v>6281</v>
      </c>
      <c r="L602" s="26" t="s">
        <v>10240</v>
      </c>
      <c r="M602" s="26" t="s">
        <v>10241</v>
      </c>
      <c r="N602" s="27" t="s">
        <v>10242</v>
      </c>
      <c r="O602" s="26" t="s">
        <v>10243</v>
      </c>
      <c r="P602" s="20" t="b">
        <v>1</v>
      </c>
      <c r="Q602" s="20" t="s">
        <v>6282</v>
      </c>
      <c r="R602" s="28" t="s">
        <v>6283</v>
      </c>
      <c r="S602" s="25"/>
      <c r="T602" s="20" t="b">
        <v>1</v>
      </c>
      <c r="U602" s="25"/>
      <c r="V602" s="25">
        <v>18.010000000000002</v>
      </c>
      <c r="W602" s="28" t="s">
        <v>10244</v>
      </c>
      <c r="X602" s="28" t="s">
        <v>6285</v>
      </c>
      <c r="Y602" s="28" t="s">
        <v>6286</v>
      </c>
      <c r="Z602" s="28" t="s">
        <v>6287</v>
      </c>
      <c r="AA602" s="28" t="s">
        <v>6288</v>
      </c>
      <c r="AB602" s="28" t="s">
        <v>6297</v>
      </c>
    </row>
    <row r="603" spans="1:28" ht="185.4" x14ac:dyDescent="0.3">
      <c r="A603" s="25">
        <v>8331</v>
      </c>
      <c r="B603" s="25" t="s">
        <v>10245</v>
      </c>
      <c r="C603" s="25" t="s">
        <v>10246</v>
      </c>
      <c r="D603" s="25" t="s">
        <v>6278</v>
      </c>
      <c r="E603" s="16" t="s">
        <v>6279</v>
      </c>
      <c r="F603" s="16" t="s">
        <v>6279</v>
      </c>
      <c r="G603" s="16" t="s">
        <v>6279</v>
      </c>
      <c r="H603" s="16" t="s">
        <v>6279</v>
      </c>
      <c r="I603" s="25" t="s">
        <v>10247</v>
      </c>
      <c r="J603" s="25"/>
      <c r="K603" s="25" t="s">
        <v>6281</v>
      </c>
      <c r="L603" s="26" t="s">
        <v>10248</v>
      </c>
      <c r="M603" s="26" t="s">
        <v>10249</v>
      </c>
      <c r="N603" s="27" t="s">
        <v>10250</v>
      </c>
      <c r="O603" s="26" t="s">
        <v>10251</v>
      </c>
      <c r="P603" s="20" t="b">
        <v>1</v>
      </c>
      <c r="Q603" s="20" t="s">
        <v>6282</v>
      </c>
      <c r="R603" s="28" t="s">
        <v>6283</v>
      </c>
      <c r="S603" s="25"/>
      <c r="T603" s="20" t="b">
        <v>1</v>
      </c>
      <c r="U603" s="25"/>
      <c r="V603" s="25">
        <v>297.89</v>
      </c>
      <c r="W603" s="28" t="s">
        <v>10252</v>
      </c>
      <c r="X603" s="28" t="s">
        <v>6285</v>
      </c>
      <c r="Y603" s="28" t="s">
        <v>6286</v>
      </c>
      <c r="Z603" s="28" t="s">
        <v>6287</v>
      </c>
      <c r="AA603" s="28" t="s">
        <v>6288</v>
      </c>
      <c r="AB603" s="28" t="s">
        <v>6297</v>
      </c>
    </row>
    <row r="604" spans="1:28" ht="185.4" x14ac:dyDescent="0.3">
      <c r="A604" s="25">
        <v>8334</v>
      </c>
      <c r="B604" s="25" t="s">
        <v>10253</v>
      </c>
      <c r="C604" s="25" t="s">
        <v>10254</v>
      </c>
      <c r="D604" s="25" t="s">
        <v>6291</v>
      </c>
      <c r="E604" s="16" t="s">
        <v>6786</v>
      </c>
      <c r="F604" s="16" t="s">
        <v>6786</v>
      </c>
      <c r="G604" s="16" t="s">
        <v>6786</v>
      </c>
      <c r="H604" s="16" t="s">
        <v>6786</v>
      </c>
      <c r="I604" s="25" t="s">
        <v>10255</v>
      </c>
      <c r="J604" s="25"/>
      <c r="K604" s="25" t="s">
        <v>6281</v>
      </c>
      <c r="L604" s="26" t="s">
        <v>10256</v>
      </c>
      <c r="M604" s="26" t="s">
        <v>6295</v>
      </c>
      <c r="N604" s="27" t="s">
        <v>10257</v>
      </c>
      <c r="O604" s="26" t="s">
        <v>6295</v>
      </c>
      <c r="P604" s="20" t="b">
        <v>1</v>
      </c>
      <c r="Q604" s="20" t="s">
        <v>6282</v>
      </c>
      <c r="R604" s="28" t="s">
        <v>6283</v>
      </c>
      <c r="S604" s="25"/>
      <c r="T604" s="20" t="b">
        <v>1</v>
      </c>
      <c r="U604" s="25"/>
      <c r="V604" s="25">
        <v>60.485700000000001</v>
      </c>
      <c r="W604" s="28" t="s">
        <v>10258</v>
      </c>
      <c r="X604" s="28" t="s">
        <v>6285</v>
      </c>
      <c r="Y604" s="28" t="s">
        <v>6286</v>
      </c>
      <c r="Z604" s="28" t="s">
        <v>6287</v>
      </c>
      <c r="AA604" s="28" t="s">
        <v>6288</v>
      </c>
      <c r="AB604" s="28" t="s">
        <v>6297</v>
      </c>
    </row>
    <row r="605" spans="1:28" ht="185.4" x14ac:dyDescent="0.3">
      <c r="A605" s="25">
        <v>8337</v>
      </c>
      <c r="B605" s="25" t="s">
        <v>10259</v>
      </c>
      <c r="C605" s="25" t="s">
        <v>10260</v>
      </c>
      <c r="D605" s="25" t="s">
        <v>6278</v>
      </c>
      <c r="E605" s="16" t="s">
        <v>6279</v>
      </c>
      <c r="F605" s="16" t="s">
        <v>6279</v>
      </c>
      <c r="G605" s="16" t="s">
        <v>6279</v>
      </c>
      <c r="H605" s="16" t="s">
        <v>6279</v>
      </c>
      <c r="I605" s="25" t="s">
        <v>10261</v>
      </c>
      <c r="J605" s="25"/>
      <c r="K605" s="25" t="s">
        <v>6281</v>
      </c>
      <c r="L605" s="26" t="s">
        <v>10262</v>
      </c>
      <c r="M605" s="26" t="s">
        <v>10263</v>
      </c>
      <c r="N605" s="27" t="s">
        <v>10264</v>
      </c>
      <c r="O605" s="26" t="s">
        <v>6295</v>
      </c>
      <c r="P605" s="20" t="b">
        <v>1</v>
      </c>
      <c r="Q605" s="20" t="s">
        <v>6282</v>
      </c>
      <c r="R605" s="28" t="s">
        <v>6283</v>
      </c>
      <c r="S605" s="25"/>
      <c r="T605" s="20" t="b">
        <v>1</v>
      </c>
      <c r="U605" s="25"/>
      <c r="V605" s="25">
        <v>24.853899999999999</v>
      </c>
      <c r="W605" s="28" t="s">
        <v>10265</v>
      </c>
      <c r="X605" s="28" t="s">
        <v>6285</v>
      </c>
      <c r="Y605" s="28" t="s">
        <v>6286</v>
      </c>
      <c r="Z605" s="28" t="s">
        <v>6287</v>
      </c>
      <c r="AA605" s="28" t="s">
        <v>6288</v>
      </c>
      <c r="AB605" s="28" t="s">
        <v>6297</v>
      </c>
    </row>
    <row r="606" spans="1:28" ht="185.4" x14ac:dyDescent="0.3">
      <c r="A606" s="25">
        <v>8338</v>
      </c>
      <c r="B606" s="25" t="s">
        <v>10266</v>
      </c>
      <c r="C606" s="25" t="s">
        <v>10267</v>
      </c>
      <c r="D606" s="25" t="s">
        <v>6278</v>
      </c>
      <c r="E606" s="16" t="s">
        <v>6279</v>
      </c>
      <c r="F606" s="16" t="s">
        <v>6279</v>
      </c>
      <c r="G606" s="16" t="s">
        <v>6279</v>
      </c>
      <c r="H606" s="16" t="s">
        <v>6279</v>
      </c>
      <c r="I606" s="25" t="s">
        <v>10268</v>
      </c>
      <c r="J606" s="25"/>
      <c r="K606" s="25" t="s">
        <v>6281</v>
      </c>
      <c r="L606" s="26" t="s">
        <v>10269</v>
      </c>
      <c r="M606" s="26" t="s">
        <v>10263</v>
      </c>
      <c r="N606" s="27" t="s">
        <v>10270</v>
      </c>
      <c r="O606" s="26" t="s">
        <v>6295</v>
      </c>
      <c r="P606" s="20" t="b">
        <v>1</v>
      </c>
      <c r="Q606" s="20" t="s">
        <v>6282</v>
      </c>
      <c r="R606" s="28" t="s">
        <v>6283</v>
      </c>
      <c r="S606" s="25"/>
      <c r="T606" s="20" t="b">
        <v>1</v>
      </c>
      <c r="U606" s="25"/>
      <c r="V606" s="25">
        <v>22.886600000000001</v>
      </c>
      <c r="W606" s="28" t="s">
        <v>10271</v>
      </c>
      <c r="X606" s="28" t="s">
        <v>6285</v>
      </c>
      <c r="Y606" s="28" t="s">
        <v>6286</v>
      </c>
      <c r="Z606" s="28" t="s">
        <v>6287</v>
      </c>
      <c r="AA606" s="28" t="s">
        <v>6288</v>
      </c>
      <c r="AB606" s="28" t="s">
        <v>6297</v>
      </c>
    </row>
    <row r="607" spans="1:28" ht="185.4" x14ac:dyDescent="0.3">
      <c r="A607" s="25">
        <v>8339</v>
      </c>
      <c r="B607" s="25" t="s">
        <v>10272</v>
      </c>
      <c r="C607" s="25" t="s">
        <v>10273</v>
      </c>
      <c r="D607" s="25" t="s">
        <v>6278</v>
      </c>
      <c r="E607" s="16" t="s">
        <v>6279</v>
      </c>
      <c r="F607" s="16" t="s">
        <v>6279</v>
      </c>
      <c r="G607" s="16" t="s">
        <v>6279</v>
      </c>
      <c r="H607" s="16" t="s">
        <v>6279</v>
      </c>
      <c r="I607" s="25" t="s">
        <v>10274</v>
      </c>
      <c r="J607" s="25"/>
      <c r="K607" s="25" t="s">
        <v>6281</v>
      </c>
      <c r="L607" s="26" t="s">
        <v>10275</v>
      </c>
      <c r="M607" s="26" t="s">
        <v>10263</v>
      </c>
      <c r="N607" s="27" t="s">
        <v>10276</v>
      </c>
      <c r="O607" s="26" t="s">
        <v>6295</v>
      </c>
      <c r="P607" s="20" t="b">
        <v>1</v>
      </c>
      <c r="Q607" s="20" t="s">
        <v>6282</v>
      </c>
      <c r="R607" s="28" t="s">
        <v>6283</v>
      </c>
      <c r="S607" s="25"/>
      <c r="T607" s="20" t="b">
        <v>1</v>
      </c>
      <c r="U607" s="25"/>
      <c r="V607" s="25">
        <v>265.08999999999997</v>
      </c>
      <c r="W607" s="28" t="s">
        <v>10277</v>
      </c>
      <c r="X607" s="28" t="s">
        <v>6285</v>
      </c>
      <c r="Y607" s="28" t="s">
        <v>6286</v>
      </c>
      <c r="Z607" s="28" t="s">
        <v>6287</v>
      </c>
      <c r="AA607" s="28" t="s">
        <v>6288</v>
      </c>
      <c r="AB607" s="28" t="s">
        <v>6297</v>
      </c>
    </row>
    <row r="608" spans="1:28" ht="185.4" x14ac:dyDescent="0.3">
      <c r="A608" s="25">
        <v>8346</v>
      </c>
      <c r="B608" s="25" t="s">
        <v>10278</v>
      </c>
      <c r="C608" s="25" t="s">
        <v>10279</v>
      </c>
      <c r="D608" s="25" t="s">
        <v>6291</v>
      </c>
      <c r="E608" s="16" t="s">
        <v>6292</v>
      </c>
      <c r="F608" s="16" t="s">
        <v>6292</v>
      </c>
      <c r="G608" s="16" t="s">
        <v>6292</v>
      </c>
      <c r="H608" s="16" t="s">
        <v>6292</v>
      </c>
      <c r="I608" s="25" t="s">
        <v>10280</v>
      </c>
      <c r="J608" s="25"/>
      <c r="K608" s="25" t="s">
        <v>6281</v>
      </c>
      <c r="L608" s="26" t="s">
        <v>10281</v>
      </c>
      <c r="M608" s="26" t="s">
        <v>10282</v>
      </c>
      <c r="N608" s="27" t="s">
        <v>10283</v>
      </c>
      <c r="O608" s="26" t="s">
        <v>10284</v>
      </c>
      <c r="P608" s="20" t="b">
        <v>1</v>
      </c>
      <c r="Q608" s="20" t="s">
        <v>6282</v>
      </c>
      <c r="R608" s="28" t="s">
        <v>6283</v>
      </c>
      <c r="S608" s="25"/>
      <c r="T608" s="20" t="b">
        <v>1</v>
      </c>
      <c r="U608" s="25"/>
      <c r="V608" s="25">
        <v>163</v>
      </c>
      <c r="W608" s="28" t="s">
        <v>10285</v>
      </c>
      <c r="X608" s="28" t="s">
        <v>6285</v>
      </c>
      <c r="Y608" s="28" t="s">
        <v>6286</v>
      </c>
      <c r="Z608" s="28" t="s">
        <v>6287</v>
      </c>
      <c r="AA608" s="28" t="s">
        <v>6288</v>
      </c>
      <c r="AB608" s="28" t="s">
        <v>6297</v>
      </c>
    </row>
    <row r="609" spans="1:28" ht="185.4" x14ac:dyDescent="0.3">
      <c r="A609" s="25">
        <v>8348</v>
      </c>
      <c r="B609" s="25" t="s">
        <v>10286</v>
      </c>
      <c r="C609" s="25" t="s">
        <v>10287</v>
      </c>
      <c r="D609" s="25" t="s">
        <v>6291</v>
      </c>
      <c r="E609" s="16" t="s">
        <v>6292</v>
      </c>
      <c r="F609" s="16" t="s">
        <v>6292</v>
      </c>
      <c r="G609" s="16" t="s">
        <v>6292</v>
      </c>
      <c r="H609" s="16" t="s">
        <v>6292</v>
      </c>
      <c r="I609" s="25" t="s">
        <v>10288</v>
      </c>
      <c r="J609" s="25"/>
      <c r="K609" s="25" t="s">
        <v>6281</v>
      </c>
      <c r="L609" s="26" t="s">
        <v>10289</v>
      </c>
      <c r="M609" s="26" t="s">
        <v>10282</v>
      </c>
      <c r="N609" s="27" t="s">
        <v>10290</v>
      </c>
      <c r="O609" s="26" t="s">
        <v>10291</v>
      </c>
      <c r="P609" s="20" t="b">
        <v>1</v>
      </c>
      <c r="Q609" s="20" t="s">
        <v>6282</v>
      </c>
      <c r="R609" s="28" t="s">
        <v>6283</v>
      </c>
      <c r="S609" s="25"/>
      <c r="T609" s="20" t="b">
        <v>1</v>
      </c>
      <c r="U609" s="25"/>
      <c r="V609" s="25">
        <v>268</v>
      </c>
      <c r="W609" s="28" t="s">
        <v>10292</v>
      </c>
      <c r="X609" s="28" t="s">
        <v>6285</v>
      </c>
      <c r="Y609" s="28" t="s">
        <v>6286</v>
      </c>
      <c r="Z609" s="28" t="s">
        <v>6287</v>
      </c>
      <c r="AA609" s="28" t="s">
        <v>6288</v>
      </c>
      <c r="AB609" s="28" t="s">
        <v>6297</v>
      </c>
    </row>
    <row r="610" spans="1:28" ht="185.4" x14ac:dyDescent="0.3">
      <c r="A610" s="25">
        <v>8349</v>
      </c>
      <c r="B610" s="25" t="s">
        <v>10293</v>
      </c>
      <c r="C610" s="25" t="s">
        <v>10294</v>
      </c>
      <c r="D610" s="25" t="s">
        <v>6291</v>
      </c>
      <c r="E610" s="16" t="s">
        <v>6292</v>
      </c>
      <c r="F610" s="16" t="s">
        <v>6292</v>
      </c>
      <c r="G610" s="16" t="s">
        <v>6292</v>
      </c>
      <c r="H610" s="16" t="s">
        <v>6292</v>
      </c>
      <c r="I610" s="25" t="s">
        <v>10295</v>
      </c>
      <c r="J610" s="25"/>
      <c r="K610" s="25" t="s">
        <v>6281</v>
      </c>
      <c r="L610" s="26" t="s">
        <v>10296</v>
      </c>
      <c r="M610" s="26" t="s">
        <v>10282</v>
      </c>
      <c r="N610" s="27" t="s">
        <v>10297</v>
      </c>
      <c r="O610" s="26" t="s">
        <v>10298</v>
      </c>
      <c r="P610" s="20" t="b">
        <v>1</v>
      </c>
      <c r="Q610" s="20" t="s">
        <v>6282</v>
      </c>
      <c r="R610" s="28" t="s">
        <v>6283</v>
      </c>
      <c r="S610" s="25"/>
      <c r="T610" s="20" t="b">
        <v>1</v>
      </c>
      <c r="U610" s="25"/>
      <c r="V610" s="25">
        <v>204</v>
      </c>
      <c r="W610" s="28" t="s">
        <v>10299</v>
      </c>
      <c r="X610" s="28" t="s">
        <v>6285</v>
      </c>
      <c r="Y610" s="28" t="s">
        <v>6286</v>
      </c>
      <c r="Z610" s="28" t="s">
        <v>6287</v>
      </c>
      <c r="AA610" s="28" t="s">
        <v>6288</v>
      </c>
      <c r="AB610" s="28" t="s">
        <v>6297</v>
      </c>
    </row>
    <row r="611" spans="1:28" ht="185.4" x14ac:dyDescent="0.3">
      <c r="A611" s="25">
        <v>8356</v>
      </c>
      <c r="B611" s="25" t="s">
        <v>10300</v>
      </c>
      <c r="C611" s="25" t="s">
        <v>10301</v>
      </c>
      <c r="D611" s="25" t="s">
        <v>6291</v>
      </c>
      <c r="E611" s="16" t="s">
        <v>6292</v>
      </c>
      <c r="F611" s="16" t="s">
        <v>6292</v>
      </c>
      <c r="G611" s="16" t="s">
        <v>6292</v>
      </c>
      <c r="H611" s="16" t="s">
        <v>6292</v>
      </c>
      <c r="I611" s="25" t="s">
        <v>10302</v>
      </c>
      <c r="J611" s="25"/>
      <c r="K611" s="25" t="s">
        <v>6281</v>
      </c>
      <c r="L611" s="26" t="s">
        <v>10303</v>
      </c>
      <c r="M611" s="26" t="s">
        <v>6295</v>
      </c>
      <c r="N611" s="27" t="s">
        <v>10304</v>
      </c>
      <c r="O611" s="26" t="s">
        <v>6295</v>
      </c>
      <c r="P611" s="20" t="b">
        <v>1</v>
      </c>
      <c r="Q611" s="20" t="s">
        <v>6282</v>
      </c>
      <c r="R611" s="28" t="s">
        <v>6283</v>
      </c>
      <c r="S611" s="25"/>
      <c r="T611" s="20" t="b">
        <v>1</v>
      </c>
      <c r="U611" s="25"/>
      <c r="V611" s="25">
        <v>5.75</v>
      </c>
      <c r="W611" s="28" t="s">
        <v>10305</v>
      </c>
      <c r="X611" s="28" t="s">
        <v>6285</v>
      </c>
      <c r="Y611" s="28" t="s">
        <v>6286</v>
      </c>
      <c r="Z611" s="28" t="s">
        <v>6287</v>
      </c>
      <c r="AA611" s="28" t="s">
        <v>6288</v>
      </c>
      <c r="AB611" s="28" t="s">
        <v>6297</v>
      </c>
    </row>
    <row r="612" spans="1:28" ht="185.4" x14ac:dyDescent="0.3">
      <c r="A612" s="25">
        <v>8359</v>
      </c>
      <c r="B612" s="25" t="s">
        <v>10306</v>
      </c>
      <c r="C612" s="25" t="s">
        <v>10307</v>
      </c>
      <c r="D612" s="25" t="s">
        <v>6291</v>
      </c>
      <c r="E612" s="16" t="s">
        <v>6292</v>
      </c>
      <c r="F612" s="16" t="s">
        <v>6292</v>
      </c>
      <c r="G612" s="16" t="s">
        <v>6292</v>
      </c>
      <c r="H612" s="16" t="s">
        <v>6292</v>
      </c>
      <c r="I612" s="25" t="s">
        <v>10308</v>
      </c>
      <c r="J612" s="25"/>
      <c r="K612" s="25" t="s">
        <v>6281</v>
      </c>
      <c r="L612" s="26" t="s">
        <v>10309</v>
      </c>
      <c r="M612" s="26" t="s">
        <v>10282</v>
      </c>
      <c r="N612" s="27" t="s">
        <v>10310</v>
      </c>
      <c r="O612" s="26" t="s">
        <v>10298</v>
      </c>
      <c r="P612" s="20" t="b">
        <v>1</v>
      </c>
      <c r="Q612" s="20" t="s">
        <v>6282</v>
      </c>
      <c r="R612" s="28" t="s">
        <v>6283</v>
      </c>
      <c r="S612" s="25"/>
      <c r="T612" s="20" t="b">
        <v>1</v>
      </c>
      <c r="U612" s="25"/>
      <c r="V612" s="25">
        <v>444</v>
      </c>
      <c r="W612" s="28" t="s">
        <v>10311</v>
      </c>
      <c r="X612" s="28" t="s">
        <v>6285</v>
      </c>
      <c r="Y612" s="28" t="s">
        <v>6286</v>
      </c>
      <c r="Z612" s="28" t="s">
        <v>6287</v>
      </c>
      <c r="AA612" s="28" t="s">
        <v>6288</v>
      </c>
      <c r="AB612" s="28" t="s">
        <v>6297</v>
      </c>
    </row>
    <row r="613" spans="1:28" ht="185.4" x14ac:dyDescent="0.3">
      <c r="A613" s="25">
        <v>8360</v>
      </c>
      <c r="B613" s="25" t="s">
        <v>10312</v>
      </c>
      <c r="C613" s="25" t="s">
        <v>10313</v>
      </c>
      <c r="D613" s="25" t="s">
        <v>6291</v>
      </c>
      <c r="E613" s="16" t="s">
        <v>6292</v>
      </c>
      <c r="F613" s="16" t="s">
        <v>6292</v>
      </c>
      <c r="G613" s="16" t="s">
        <v>6292</v>
      </c>
      <c r="H613" s="16" t="s">
        <v>6292</v>
      </c>
      <c r="I613" s="25" t="s">
        <v>10314</v>
      </c>
      <c r="J613" s="25"/>
      <c r="K613" s="25" t="s">
        <v>6281</v>
      </c>
      <c r="L613" s="26" t="s">
        <v>10315</v>
      </c>
      <c r="M613" s="26" t="s">
        <v>10282</v>
      </c>
      <c r="N613" s="27" t="s">
        <v>10316</v>
      </c>
      <c r="O613" s="26" t="s">
        <v>10298</v>
      </c>
      <c r="P613" s="20" t="b">
        <v>1</v>
      </c>
      <c r="Q613" s="20" t="s">
        <v>6282</v>
      </c>
      <c r="R613" s="28" t="s">
        <v>6283</v>
      </c>
      <c r="S613" s="25"/>
      <c r="T613" s="20" t="b">
        <v>1</v>
      </c>
      <c r="U613" s="25"/>
      <c r="V613" s="25">
        <v>325.32</v>
      </c>
      <c r="W613" s="28" t="s">
        <v>10317</v>
      </c>
      <c r="X613" s="28" t="s">
        <v>6285</v>
      </c>
      <c r="Y613" s="28" t="s">
        <v>6286</v>
      </c>
      <c r="Z613" s="28" t="s">
        <v>6287</v>
      </c>
      <c r="AA613" s="28" t="s">
        <v>6288</v>
      </c>
      <c r="AB613" s="28" t="s">
        <v>6297</v>
      </c>
    </row>
    <row r="614" spans="1:28" ht="185.4" x14ac:dyDescent="0.3">
      <c r="A614" s="25">
        <v>8362</v>
      </c>
      <c r="B614" s="25" t="s">
        <v>10318</v>
      </c>
      <c r="C614" s="25" t="s">
        <v>10319</v>
      </c>
      <c r="D614" s="25" t="s">
        <v>6291</v>
      </c>
      <c r="E614" s="16" t="s">
        <v>6292</v>
      </c>
      <c r="F614" s="16" t="s">
        <v>6292</v>
      </c>
      <c r="G614" s="16" t="s">
        <v>6292</v>
      </c>
      <c r="H614" s="16" t="s">
        <v>6292</v>
      </c>
      <c r="I614" s="25" t="s">
        <v>10320</v>
      </c>
      <c r="J614" s="25"/>
      <c r="K614" s="25" t="s">
        <v>6281</v>
      </c>
      <c r="L614" s="26" t="s">
        <v>10321</v>
      </c>
      <c r="M614" s="26" t="s">
        <v>10282</v>
      </c>
      <c r="N614" s="27" t="s">
        <v>10322</v>
      </c>
      <c r="O614" s="26" t="s">
        <v>10298</v>
      </c>
      <c r="P614" s="20" t="b">
        <v>1</v>
      </c>
      <c r="Q614" s="20" t="s">
        <v>6282</v>
      </c>
      <c r="R614" s="28" t="s">
        <v>6283</v>
      </c>
      <c r="S614" s="25"/>
      <c r="T614" s="20" t="b">
        <v>1</v>
      </c>
      <c r="U614" s="25"/>
      <c r="V614" s="25">
        <v>259</v>
      </c>
      <c r="W614" s="28" t="s">
        <v>10323</v>
      </c>
      <c r="X614" s="28" t="s">
        <v>6285</v>
      </c>
      <c r="Y614" s="28" t="s">
        <v>6286</v>
      </c>
      <c r="Z614" s="28" t="s">
        <v>6287</v>
      </c>
      <c r="AA614" s="28" t="s">
        <v>6288</v>
      </c>
      <c r="AB614" s="28" t="s">
        <v>6297</v>
      </c>
    </row>
    <row r="615" spans="1:28" ht="185.4" x14ac:dyDescent="0.3">
      <c r="A615" s="25">
        <v>8364</v>
      </c>
      <c r="B615" s="25" t="s">
        <v>10324</v>
      </c>
      <c r="C615" s="25" t="s">
        <v>10325</v>
      </c>
      <c r="D615" s="25" t="s">
        <v>6278</v>
      </c>
      <c r="E615" s="16" t="s">
        <v>6279</v>
      </c>
      <c r="F615" s="16" t="s">
        <v>6279</v>
      </c>
      <c r="G615" s="16" t="s">
        <v>6279</v>
      </c>
      <c r="H615" s="16" t="s">
        <v>6279</v>
      </c>
      <c r="I615" s="25" t="s">
        <v>10326</v>
      </c>
      <c r="J615" s="25"/>
      <c r="K615" s="25" t="s">
        <v>6281</v>
      </c>
      <c r="L615" s="26" t="s">
        <v>10327</v>
      </c>
      <c r="M615" s="26" t="s">
        <v>10328</v>
      </c>
      <c r="N615" s="27" t="s">
        <v>10329</v>
      </c>
      <c r="O615" s="26" t="s">
        <v>6295</v>
      </c>
      <c r="P615" s="20" t="b">
        <v>1</v>
      </c>
      <c r="Q615" s="20" t="s">
        <v>6282</v>
      </c>
      <c r="R615" s="28" t="s">
        <v>6283</v>
      </c>
      <c r="S615" s="25"/>
      <c r="T615" s="20" t="b">
        <v>1</v>
      </c>
      <c r="U615" s="25"/>
      <c r="V615" s="25">
        <v>810</v>
      </c>
      <c r="W615" s="28" t="s">
        <v>10330</v>
      </c>
      <c r="X615" s="28" t="s">
        <v>6285</v>
      </c>
      <c r="Y615" s="28" t="s">
        <v>6286</v>
      </c>
      <c r="Z615" s="28" t="s">
        <v>6287</v>
      </c>
      <c r="AA615" s="28" t="s">
        <v>6288</v>
      </c>
      <c r="AB615" s="28" t="s">
        <v>6297</v>
      </c>
    </row>
    <row r="616" spans="1:28" ht="185.4" x14ac:dyDescent="0.3">
      <c r="A616" s="25">
        <v>8372</v>
      </c>
      <c r="B616" s="25" t="s">
        <v>10331</v>
      </c>
      <c r="C616" s="25" t="s">
        <v>10332</v>
      </c>
      <c r="D616" s="25" t="s">
        <v>6291</v>
      </c>
      <c r="E616" s="16" t="s">
        <v>6786</v>
      </c>
      <c r="F616" s="16" t="s">
        <v>6786</v>
      </c>
      <c r="G616" s="16" t="s">
        <v>6786</v>
      </c>
      <c r="H616" s="16" t="s">
        <v>6786</v>
      </c>
      <c r="I616" s="25" t="s">
        <v>10333</v>
      </c>
      <c r="J616" s="25"/>
      <c r="K616" s="25" t="s">
        <v>6281</v>
      </c>
      <c r="L616" s="26" t="s">
        <v>10334</v>
      </c>
      <c r="M616" s="26" t="s">
        <v>6295</v>
      </c>
      <c r="N616" s="27" t="s">
        <v>10335</v>
      </c>
      <c r="O616" s="26" t="s">
        <v>6295</v>
      </c>
      <c r="P616" s="20" t="b">
        <v>1</v>
      </c>
      <c r="Q616" s="20" t="s">
        <v>6282</v>
      </c>
      <c r="R616" s="28" t="s">
        <v>6283</v>
      </c>
      <c r="S616" s="25"/>
      <c r="T616" s="20" t="b">
        <v>1</v>
      </c>
      <c r="U616" s="25"/>
      <c r="V616" s="25">
        <v>0.29010000000000002</v>
      </c>
      <c r="W616" s="28" t="s">
        <v>10336</v>
      </c>
      <c r="X616" s="28" t="s">
        <v>6285</v>
      </c>
      <c r="Y616" s="28" t="s">
        <v>6286</v>
      </c>
      <c r="Z616" s="28" t="s">
        <v>6287</v>
      </c>
      <c r="AA616" s="28" t="s">
        <v>6288</v>
      </c>
      <c r="AB616" s="28" t="s">
        <v>6297</v>
      </c>
    </row>
    <row r="617" spans="1:28" ht="185.4" x14ac:dyDescent="0.3">
      <c r="A617" s="25">
        <v>8373</v>
      </c>
      <c r="B617" s="25" t="s">
        <v>10337</v>
      </c>
      <c r="C617" s="25" t="s">
        <v>10338</v>
      </c>
      <c r="D617" s="25" t="s">
        <v>6291</v>
      </c>
      <c r="E617" s="16" t="s">
        <v>6786</v>
      </c>
      <c r="F617" s="16" t="s">
        <v>6786</v>
      </c>
      <c r="G617" s="16" t="s">
        <v>6786</v>
      </c>
      <c r="H617" s="16" t="s">
        <v>6786</v>
      </c>
      <c r="I617" s="25" t="s">
        <v>10339</v>
      </c>
      <c r="J617" s="25"/>
      <c r="K617" s="25" t="s">
        <v>6281</v>
      </c>
      <c r="L617" s="26" t="s">
        <v>10340</v>
      </c>
      <c r="M617" s="26" t="s">
        <v>6295</v>
      </c>
      <c r="N617" s="27" t="s">
        <v>10341</v>
      </c>
      <c r="O617" s="26" t="s">
        <v>6295</v>
      </c>
      <c r="P617" s="20" t="b">
        <v>1</v>
      </c>
      <c r="Q617" s="20" t="s">
        <v>6282</v>
      </c>
      <c r="R617" s="28" t="s">
        <v>6283</v>
      </c>
      <c r="S617" s="25"/>
      <c r="T617" s="20" t="b">
        <v>1</v>
      </c>
      <c r="U617" s="25"/>
      <c r="V617" s="25">
        <v>1.1940999999999999</v>
      </c>
      <c r="W617" s="28" t="s">
        <v>10342</v>
      </c>
      <c r="X617" s="28" t="s">
        <v>6285</v>
      </c>
      <c r="Y617" s="28" t="s">
        <v>6286</v>
      </c>
      <c r="Z617" s="28" t="s">
        <v>6287</v>
      </c>
      <c r="AA617" s="28" t="s">
        <v>6288</v>
      </c>
      <c r="AB617" s="28" t="s">
        <v>6297</v>
      </c>
    </row>
    <row r="618" spans="1:28" ht="185.4" x14ac:dyDescent="0.3">
      <c r="A618" s="25">
        <v>8375</v>
      </c>
      <c r="B618" s="25" t="s">
        <v>10343</v>
      </c>
      <c r="C618" s="25" t="s">
        <v>10344</v>
      </c>
      <c r="D618" s="25" t="s">
        <v>6291</v>
      </c>
      <c r="E618" s="16" t="s">
        <v>6786</v>
      </c>
      <c r="F618" s="16" t="s">
        <v>6786</v>
      </c>
      <c r="G618" s="16" t="s">
        <v>6786</v>
      </c>
      <c r="H618" s="16" t="s">
        <v>6786</v>
      </c>
      <c r="I618" s="25" t="s">
        <v>10345</v>
      </c>
      <c r="J618" s="25"/>
      <c r="K618" s="25" t="s">
        <v>6281</v>
      </c>
      <c r="L618" s="26" t="s">
        <v>10346</v>
      </c>
      <c r="M618" s="26" t="s">
        <v>6295</v>
      </c>
      <c r="N618" s="27" t="s">
        <v>10347</v>
      </c>
      <c r="O618" s="26" t="s">
        <v>6295</v>
      </c>
      <c r="P618" s="20" t="b">
        <v>1</v>
      </c>
      <c r="Q618" s="20" t="s">
        <v>6282</v>
      </c>
      <c r="R618" s="28" t="s">
        <v>6283</v>
      </c>
      <c r="S618" s="25"/>
      <c r="T618" s="20" t="b">
        <v>1</v>
      </c>
      <c r="U618" s="25"/>
      <c r="V618" s="25">
        <v>0.50249999999999995</v>
      </c>
      <c r="W618" s="28" t="s">
        <v>10348</v>
      </c>
      <c r="X618" s="28" t="s">
        <v>6285</v>
      </c>
      <c r="Y618" s="28" t="s">
        <v>6286</v>
      </c>
      <c r="Z618" s="28" t="s">
        <v>6287</v>
      </c>
      <c r="AA618" s="28" t="s">
        <v>6288</v>
      </c>
      <c r="AB618" s="28" t="s">
        <v>6297</v>
      </c>
    </row>
    <row r="619" spans="1:28" ht="185.4" x14ac:dyDescent="0.3">
      <c r="A619" s="25">
        <v>8376</v>
      </c>
      <c r="B619" s="25" t="s">
        <v>10349</v>
      </c>
      <c r="C619" s="25" t="s">
        <v>10350</v>
      </c>
      <c r="D619" s="25" t="s">
        <v>6291</v>
      </c>
      <c r="E619" s="16" t="s">
        <v>6786</v>
      </c>
      <c r="F619" s="16" t="s">
        <v>6786</v>
      </c>
      <c r="G619" s="16" t="s">
        <v>6786</v>
      </c>
      <c r="H619" s="16" t="s">
        <v>6786</v>
      </c>
      <c r="I619" s="25" t="s">
        <v>10351</v>
      </c>
      <c r="J619" s="25"/>
      <c r="K619" s="25" t="s">
        <v>6281</v>
      </c>
      <c r="L619" s="26" t="s">
        <v>10352</v>
      </c>
      <c r="M619" s="26" t="s">
        <v>6295</v>
      </c>
      <c r="N619" s="27" t="s">
        <v>10353</v>
      </c>
      <c r="O619" s="26" t="s">
        <v>6295</v>
      </c>
      <c r="P619" s="20" t="b">
        <v>1</v>
      </c>
      <c r="Q619" s="20" t="s">
        <v>6282</v>
      </c>
      <c r="R619" s="28" t="s">
        <v>6283</v>
      </c>
      <c r="S619" s="25"/>
      <c r="T619" s="20" t="b">
        <v>1</v>
      </c>
      <c r="U619" s="25"/>
      <c r="V619" s="25">
        <v>1.3159000000000001</v>
      </c>
      <c r="W619" s="28" t="s">
        <v>10354</v>
      </c>
      <c r="X619" s="28" t="s">
        <v>6285</v>
      </c>
      <c r="Y619" s="28" t="s">
        <v>6286</v>
      </c>
      <c r="Z619" s="28" t="s">
        <v>6287</v>
      </c>
      <c r="AA619" s="28" t="s">
        <v>6288</v>
      </c>
      <c r="AB619" s="28" t="s">
        <v>6297</v>
      </c>
    </row>
    <row r="620" spans="1:28" ht="185.4" x14ac:dyDescent="0.3">
      <c r="A620" s="25">
        <v>8381</v>
      </c>
      <c r="B620" s="25" t="s">
        <v>10355</v>
      </c>
      <c r="C620" s="25" t="s">
        <v>10356</v>
      </c>
      <c r="D620" s="25" t="s">
        <v>6291</v>
      </c>
      <c r="E620" s="16" t="s">
        <v>6292</v>
      </c>
      <c r="F620" s="16" t="s">
        <v>6292</v>
      </c>
      <c r="G620" s="16" t="s">
        <v>6292</v>
      </c>
      <c r="H620" s="16" t="s">
        <v>6292</v>
      </c>
      <c r="I620" s="25" t="s">
        <v>10357</v>
      </c>
      <c r="J620" s="25"/>
      <c r="K620" s="25" t="s">
        <v>6281</v>
      </c>
      <c r="L620" s="26" t="s">
        <v>10358</v>
      </c>
      <c r="M620" s="26" t="s">
        <v>6295</v>
      </c>
      <c r="N620" s="27" t="s">
        <v>10359</v>
      </c>
      <c r="O620" s="26" t="s">
        <v>10360</v>
      </c>
      <c r="P620" s="20" t="b">
        <v>1</v>
      </c>
      <c r="Q620" s="20" t="s">
        <v>6282</v>
      </c>
      <c r="R620" s="28" t="s">
        <v>6283</v>
      </c>
      <c r="S620" s="25"/>
      <c r="T620" s="20" t="b">
        <v>1</v>
      </c>
      <c r="U620" s="25"/>
      <c r="V620" s="25">
        <v>97.5</v>
      </c>
      <c r="W620" s="28" t="s">
        <v>10361</v>
      </c>
      <c r="X620" s="28" t="s">
        <v>6285</v>
      </c>
      <c r="Y620" s="28" t="s">
        <v>6286</v>
      </c>
      <c r="Z620" s="28" t="s">
        <v>6287</v>
      </c>
      <c r="AA620" s="28" t="s">
        <v>6288</v>
      </c>
      <c r="AB620" s="28" t="s">
        <v>6297</v>
      </c>
    </row>
    <row r="621" spans="1:28" ht="185.4" x14ac:dyDescent="0.3">
      <c r="A621" s="25">
        <v>8382</v>
      </c>
      <c r="B621" s="25" t="s">
        <v>10362</v>
      </c>
      <c r="C621" s="25" t="s">
        <v>10363</v>
      </c>
      <c r="D621" s="25" t="s">
        <v>6278</v>
      </c>
      <c r="E621" s="16" t="s">
        <v>6279</v>
      </c>
      <c r="F621" s="16" t="s">
        <v>6279</v>
      </c>
      <c r="G621" s="16" t="s">
        <v>6279</v>
      </c>
      <c r="H621" s="16" t="s">
        <v>6279</v>
      </c>
      <c r="I621" s="25" t="s">
        <v>10364</v>
      </c>
      <c r="J621" s="25"/>
      <c r="K621" s="25" t="s">
        <v>6281</v>
      </c>
      <c r="L621" s="26" t="s">
        <v>10365</v>
      </c>
      <c r="M621" s="26" t="s">
        <v>10366</v>
      </c>
      <c r="N621" s="27" t="s">
        <v>10367</v>
      </c>
      <c r="O621" s="26" t="s">
        <v>6295</v>
      </c>
      <c r="P621" s="20" t="b">
        <v>1</v>
      </c>
      <c r="Q621" s="20" t="s">
        <v>6282</v>
      </c>
      <c r="R621" s="28" t="s">
        <v>6283</v>
      </c>
      <c r="S621" s="25"/>
      <c r="T621" s="20" t="b">
        <v>1</v>
      </c>
      <c r="U621" s="25"/>
      <c r="V621" s="25">
        <v>35.9</v>
      </c>
      <c r="W621" s="28" t="s">
        <v>10368</v>
      </c>
      <c r="X621" s="28" t="s">
        <v>6285</v>
      </c>
      <c r="Y621" s="28" t="s">
        <v>6286</v>
      </c>
      <c r="Z621" s="28" t="s">
        <v>6287</v>
      </c>
      <c r="AA621" s="28" t="s">
        <v>6288</v>
      </c>
      <c r="AB621" s="28" t="s">
        <v>6297</v>
      </c>
    </row>
    <row r="622" spans="1:28" ht="185.4" x14ac:dyDescent="0.3">
      <c r="A622" s="25">
        <v>8384</v>
      </c>
      <c r="B622" s="25" t="s">
        <v>10369</v>
      </c>
      <c r="C622" s="25" t="s">
        <v>10370</v>
      </c>
      <c r="D622" s="25" t="s">
        <v>6291</v>
      </c>
      <c r="E622" s="16" t="s">
        <v>6292</v>
      </c>
      <c r="F622" s="16" t="s">
        <v>6292</v>
      </c>
      <c r="G622" s="16" t="s">
        <v>6292</v>
      </c>
      <c r="H622" s="16" t="s">
        <v>6292</v>
      </c>
      <c r="I622" s="25" t="s">
        <v>10371</v>
      </c>
      <c r="J622" s="25"/>
      <c r="K622" s="25" t="s">
        <v>6281</v>
      </c>
      <c r="L622" s="26" t="s">
        <v>10372</v>
      </c>
      <c r="M622" s="26" t="s">
        <v>7621</v>
      </c>
      <c r="N622" s="27" t="s">
        <v>10373</v>
      </c>
      <c r="O622" s="26" t="s">
        <v>6295</v>
      </c>
      <c r="P622" s="20" t="b">
        <v>1</v>
      </c>
      <c r="Q622" s="20" t="s">
        <v>6282</v>
      </c>
      <c r="R622" s="28" t="s">
        <v>6283</v>
      </c>
      <c r="S622" s="25"/>
      <c r="T622" s="20" t="b">
        <v>1</v>
      </c>
      <c r="U622" s="25"/>
      <c r="V622" s="25">
        <v>10.682136</v>
      </c>
      <c r="W622" s="28" t="s">
        <v>10374</v>
      </c>
      <c r="X622" s="28" t="s">
        <v>6285</v>
      </c>
      <c r="Y622" s="28" t="s">
        <v>6286</v>
      </c>
      <c r="Z622" s="28" t="s">
        <v>6287</v>
      </c>
      <c r="AA622" s="28" t="s">
        <v>6288</v>
      </c>
      <c r="AB622" s="28" t="s">
        <v>6297</v>
      </c>
    </row>
    <row r="623" spans="1:28" ht="185.4" x14ac:dyDescent="0.3">
      <c r="A623" s="25">
        <v>8385</v>
      </c>
      <c r="B623" s="25" t="s">
        <v>10375</v>
      </c>
      <c r="C623" s="25" t="s">
        <v>10376</v>
      </c>
      <c r="D623" s="25" t="s">
        <v>6291</v>
      </c>
      <c r="E623" s="16" t="s">
        <v>6292</v>
      </c>
      <c r="F623" s="16" t="s">
        <v>6292</v>
      </c>
      <c r="G623" s="16" t="s">
        <v>6292</v>
      </c>
      <c r="H623" s="16" t="s">
        <v>6292</v>
      </c>
      <c r="I623" s="25" t="s">
        <v>10377</v>
      </c>
      <c r="J623" s="25"/>
      <c r="K623" s="25" t="s">
        <v>6281</v>
      </c>
      <c r="L623" s="26" t="s">
        <v>10378</v>
      </c>
      <c r="M623" s="26" t="s">
        <v>7629</v>
      </c>
      <c r="N623" s="27" t="s">
        <v>10379</v>
      </c>
      <c r="O623" s="26" t="s">
        <v>6295</v>
      </c>
      <c r="P623" s="20" t="b">
        <v>1</v>
      </c>
      <c r="Q623" s="20" t="s">
        <v>6282</v>
      </c>
      <c r="R623" s="28" t="s">
        <v>6283</v>
      </c>
      <c r="S623" s="25"/>
      <c r="T623" s="20" t="b">
        <v>1</v>
      </c>
      <c r="U623" s="25"/>
      <c r="V623" s="25">
        <v>8.1199999999999992</v>
      </c>
      <c r="W623" s="28" t="s">
        <v>10380</v>
      </c>
      <c r="X623" s="28" t="s">
        <v>6285</v>
      </c>
      <c r="Y623" s="28" t="s">
        <v>6286</v>
      </c>
      <c r="Z623" s="28" t="s">
        <v>6287</v>
      </c>
      <c r="AA623" s="28" t="s">
        <v>6288</v>
      </c>
      <c r="AB623" s="28" t="s">
        <v>6297</v>
      </c>
    </row>
    <row r="624" spans="1:28" ht="185.4" x14ac:dyDescent="0.3">
      <c r="A624" s="25">
        <v>8386</v>
      </c>
      <c r="B624" s="25" t="s">
        <v>10381</v>
      </c>
      <c r="C624" s="25" t="s">
        <v>10382</v>
      </c>
      <c r="D624" s="25" t="s">
        <v>6291</v>
      </c>
      <c r="E624" s="16" t="s">
        <v>6292</v>
      </c>
      <c r="F624" s="16" t="s">
        <v>6292</v>
      </c>
      <c r="G624" s="16" t="s">
        <v>6292</v>
      </c>
      <c r="H624" s="16" t="s">
        <v>6292</v>
      </c>
      <c r="I624" s="25" t="s">
        <v>10383</v>
      </c>
      <c r="J624" s="25"/>
      <c r="K624" s="25" t="s">
        <v>6281</v>
      </c>
      <c r="L624" s="26" t="s">
        <v>10378</v>
      </c>
      <c r="M624" s="26" t="s">
        <v>7629</v>
      </c>
      <c r="N624" s="27" t="s">
        <v>10379</v>
      </c>
      <c r="O624" s="26" t="s">
        <v>6295</v>
      </c>
      <c r="P624" s="20" t="b">
        <v>1</v>
      </c>
      <c r="Q624" s="20" t="s">
        <v>6282</v>
      </c>
      <c r="R624" s="28" t="s">
        <v>6283</v>
      </c>
      <c r="S624" s="25"/>
      <c r="T624" s="20" t="b">
        <v>1</v>
      </c>
      <c r="U624" s="25"/>
      <c r="V624" s="25">
        <v>8.1199999999999992</v>
      </c>
      <c r="W624" s="28" t="s">
        <v>10384</v>
      </c>
      <c r="X624" s="28" t="s">
        <v>6285</v>
      </c>
      <c r="Y624" s="28" t="s">
        <v>6286</v>
      </c>
      <c r="Z624" s="28" t="s">
        <v>6287</v>
      </c>
      <c r="AA624" s="28" t="s">
        <v>6288</v>
      </c>
      <c r="AB624" s="28" t="s">
        <v>6297</v>
      </c>
    </row>
    <row r="625" spans="1:28" ht="185.4" x14ac:dyDescent="0.3">
      <c r="A625" s="25">
        <v>8387</v>
      </c>
      <c r="B625" s="25" t="s">
        <v>10385</v>
      </c>
      <c r="C625" s="25" t="s">
        <v>10386</v>
      </c>
      <c r="D625" s="25" t="s">
        <v>6291</v>
      </c>
      <c r="E625" s="16" t="s">
        <v>6292</v>
      </c>
      <c r="F625" s="16" t="s">
        <v>6292</v>
      </c>
      <c r="G625" s="16" t="s">
        <v>6292</v>
      </c>
      <c r="H625" s="16" t="s">
        <v>6292</v>
      </c>
      <c r="I625" s="25" t="s">
        <v>10387</v>
      </c>
      <c r="J625" s="25"/>
      <c r="K625" s="25" t="s">
        <v>6281</v>
      </c>
      <c r="L625" s="26" t="s">
        <v>10388</v>
      </c>
      <c r="M625" s="26" t="s">
        <v>7629</v>
      </c>
      <c r="N625" s="27" t="s">
        <v>10379</v>
      </c>
      <c r="O625" s="26" t="s">
        <v>6295</v>
      </c>
      <c r="P625" s="20" t="b">
        <v>1</v>
      </c>
      <c r="Q625" s="20" t="s">
        <v>6282</v>
      </c>
      <c r="R625" s="28" t="s">
        <v>6283</v>
      </c>
      <c r="S625" s="25"/>
      <c r="T625" s="20" t="b">
        <v>1</v>
      </c>
      <c r="U625" s="25"/>
      <c r="V625" s="25">
        <v>8.1199999999999992</v>
      </c>
      <c r="W625" s="28" t="s">
        <v>10389</v>
      </c>
      <c r="X625" s="28" t="s">
        <v>6285</v>
      </c>
      <c r="Y625" s="28" t="s">
        <v>6286</v>
      </c>
      <c r="Z625" s="28" t="s">
        <v>6287</v>
      </c>
      <c r="AA625" s="28" t="s">
        <v>6288</v>
      </c>
      <c r="AB625" s="28" t="s">
        <v>6297</v>
      </c>
    </row>
    <row r="626" spans="1:28" ht="185.4" x14ac:dyDescent="0.3">
      <c r="A626" s="25">
        <v>8395</v>
      </c>
      <c r="B626" s="25" t="s">
        <v>10390</v>
      </c>
      <c r="C626" s="25" t="s">
        <v>10391</v>
      </c>
      <c r="D626" s="25" t="s">
        <v>6291</v>
      </c>
      <c r="E626" s="16" t="s">
        <v>6786</v>
      </c>
      <c r="F626" s="16" t="s">
        <v>6786</v>
      </c>
      <c r="G626" s="16" t="s">
        <v>6786</v>
      </c>
      <c r="H626" s="16" t="s">
        <v>6786</v>
      </c>
      <c r="I626" s="25" t="s">
        <v>10392</v>
      </c>
      <c r="J626" s="25"/>
      <c r="K626" s="25" t="s">
        <v>6281</v>
      </c>
      <c r="L626" s="26" t="s">
        <v>10393</v>
      </c>
      <c r="M626" s="26" t="s">
        <v>6295</v>
      </c>
      <c r="N626" s="27" t="s">
        <v>10394</v>
      </c>
      <c r="O626" s="26" t="s">
        <v>6295</v>
      </c>
      <c r="P626" s="20" t="b">
        <v>1</v>
      </c>
      <c r="Q626" s="20" t="s">
        <v>6282</v>
      </c>
      <c r="R626" s="28" t="s">
        <v>6283</v>
      </c>
      <c r="S626" s="25"/>
      <c r="T626" s="20" t="b">
        <v>1</v>
      </c>
      <c r="U626" s="25"/>
      <c r="V626" s="25">
        <v>5.9611999999999998</v>
      </c>
      <c r="W626" s="28" t="s">
        <v>10395</v>
      </c>
      <c r="X626" s="28" t="s">
        <v>6285</v>
      </c>
      <c r="Y626" s="28" t="s">
        <v>6286</v>
      </c>
      <c r="Z626" s="28" t="s">
        <v>6287</v>
      </c>
      <c r="AA626" s="28" t="s">
        <v>6288</v>
      </c>
      <c r="AB626" s="28" t="s">
        <v>6297</v>
      </c>
    </row>
    <row r="627" spans="1:28" ht="185.4" x14ac:dyDescent="0.3">
      <c r="A627" s="25">
        <v>8411</v>
      </c>
      <c r="B627" s="25" t="s">
        <v>10396</v>
      </c>
      <c r="C627" s="25" t="s">
        <v>10397</v>
      </c>
      <c r="D627" s="25" t="s">
        <v>6291</v>
      </c>
      <c r="E627" s="16" t="s">
        <v>6292</v>
      </c>
      <c r="F627" s="16" t="s">
        <v>6292</v>
      </c>
      <c r="G627" s="16" t="s">
        <v>6292</v>
      </c>
      <c r="H627" s="16" t="s">
        <v>6292</v>
      </c>
      <c r="I627" s="25" t="s">
        <v>10398</v>
      </c>
      <c r="J627" s="25"/>
      <c r="K627" s="25" t="s">
        <v>6281</v>
      </c>
      <c r="L627" s="26" t="s">
        <v>10399</v>
      </c>
      <c r="M627" s="26" t="s">
        <v>6295</v>
      </c>
      <c r="N627" s="27" t="s">
        <v>10400</v>
      </c>
      <c r="O627" s="26" t="s">
        <v>10401</v>
      </c>
      <c r="P627" s="20" t="b">
        <v>1</v>
      </c>
      <c r="Q627" s="20" t="s">
        <v>6282</v>
      </c>
      <c r="R627" s="28" t="s">
        <v>6283</v>
      </c>
      <c r="S627" s="25"/>
      <c r="T627" s="20" t="b">
        <v>1</v>
      </c>
      <c r="U627" s="25"/>
      <c r="V627" s="25">
        <v>43.68</v>
      </c>
      <c r="W627" s="28" t="s">
        <v>10402</v>
      </c>
      <c r="X627" s="28" t="s">
        <v>6285</v>
      </c>
      <c r="Y627" s="28" t="s">
        <v>6286</v>
      </c>
      <c r="Z627" s="28" t="s">
        <v>6287</v>
      </c>
      <c r="AA627" s="28" t="s">
        <v>6288</v>
      </c>
      <c r="AB627" s="28" t="s">
        <v>6297</v>
      </c>
    </row>
    <row r="628" spans="1:28" ht="185.4" x14ac:dyDescent="0.3">
      <c r="A628" s="25">
        <v>8416</v>
      </c>
      <c r="B628" s="25" t="s">
        <v>10403</v>
      </c>
      <c r="C628" s="25" t="s">
        <v>10404</v>
      </c>
      <c r="D628" s="25" t="s">
        <v>6291</v>
      </c>
      <c r="E628" s="16" t="s">
        <v>6786</v>
      </c>
      <c r="F628" s="16" t="s">
        <v>6786</v>
      </c>
      <c r="G628" s="16" t="s">
        <v>6786</v>
      </c>
      <c r="H628" s="16" t="s">
        <v>6786</v>
      </c>
      <c r="I628" s="25" t="s">
        <v>10405</v>
      </c>
      <c r="J628" s="25"/>
      <c r="K628" s="25" t="s">
        <v>6281</v>
      </c>
      <c r="L628" s="26" t="s">
        <v>10406</v>
      </c>
      <c r="M628" s="26" t="s">
        <v>10407</v>
      </c>
      <c r="N628" s="27" t="s">
        <v>10408</v>
      </c>
      <c r="O628" s="26" t="s">
        <v>10409</v>
      </c>
      <c r="P628" s="20" t="b">
        <v>1</v>
      </c>
      <c r="Q628" s="20" t="s">
        <v>6282</v>
      </c>
      <c r="R628" s="28" t="s">
        <v>6283</v>
      </c>
      <c r="S628" s="25"/>
      <c r="T628" s="20" t="b">
        <v>1</v>
      </c>
      <c r="U628" s="25"/>
      <c r="V628" s="25">
        <v>7.2191999999999998</v>
      </c>
      <c r="W628" s="28" t="s">
        <v>10410</v>
      </c>
      <c r="X628" s="28" t="s">
        <v>6285</v>
      </c>
      <c r="Y628" s="28" t="s">
        <v>6286</v>
      </c>
      <c r="Z628" s="28" t="s">
        <v>6287</v>
      </c>
      <c r="AA628" s="28" t="s">
        <v>6288</v>
      </c>
      <c r="AB628" s="28" t="s">
        <v>6297</v>
      </c>
    </row>
    <row r="629" spans="1:28" ht="185.4" x14ac:dyDescent="0.3">
      <c r="A629" s="25">
        <v>8423</v>
      </c>
      <c r="B629" s="25" t="s">
        <v>10411</v>
      </c>
      <c r="C629" s="25" t="s">
        <v>10412</v>
      </c>
      <c r="D629" s="25" t="s">
        <v>6291</v>
      </c>
      <c r="E629" s="16" t="s">
        <v>6292</v>
      </c>
      <c r="F629" s="16" t="s">
        <v>6292</v>
      </c>
      <c r="G629" s="16" t="s">
        <v>6292</v>
      </c>
      <c r="H629" s="16" t="s">
        <v>6292</v>
      </c>
      <c r="I629" s="25" t="s">
        <v>10413</v>
      </c>
      <c r="J629" s="25"/>
      <c r="K629" s="25" t="s">
        <v>6281</v>
      </c>
      <c r="L629" s="26" t="s">
        <v>10414</v>
      </c>
      <c r="M629" s="26" t="s">
        <v>10415</v>
      </c>
      <c r="N629" s="27" t="s">
        <v>10416</v>
      </c>
      <c r="O629" s="26" t="s">
        <v>6295</v>
      </c>
      <c r="P629" s="20" t="b">
        <v>1</v>
      </c>
      <c r="Q629" s="20" t="s">
        <v>6282</v>
      </c>
      <c r="R629" s="28" t="s">
        <v>6283</v>
      </c>
      <c r="S629" s="25"/>
      <c r="T629" s="20" t="b">
        <v>1</v>
      </c>
      <c r="U629" s="25"/>
      <c r="V629" s="25">
        <v>16.45</v>
      </c>
      <c r="W629" s="28" t="s">
        <v>10417</v>
      </c>
      <c r="X629" s="28" t="s">
        <v>6285</v>
      </c>
      <c r="Y629" s="28" t="s">
        <v>6286</v>
      </c>
      <c r="Z629" s="28" t="s">
        <v>6287</v>
      </c>
      <c r="AA629" s="28" t="s">
        <v>6288</v>
      </c>
      <c r="AB629" s="28" t="s">
        <v>6297</v>
      </c>
    </row>
    <row r="630" spans="1:28" ht="185.4" x14ac:dyDescent="0.3">
      <c r="A630" s="25">
        <v>8431</v>
      </c>
      <c r="B630" s="25" t="s">
        <v>10418</v>
      </c>
      <c r="C630" s="25" t="s">
        <v>10419</v>
      </c>
      <c r="D630" s="25" t="s">
        <v>6291</v>
      </c>
      <c r="E630" s="16" t="s">
        <v>6292</v>
      </c>
      <c r="F630" s="16" t="s">
        <v>6292</v>
      </c>
      <c r="G630" s="16" t="s">
        <v>6292</v>
      </c>
      <c r="H630" s="16" t="s">
        <v>6292</v>
      </c>
      <c r="I630" s="25" t="s">
        <v>10420</v>
      </c>
      <c r="J630" s="25"/>
      <c r="K630" s="25" t="s">
        <v>6281</v>
      </c>
      <c r="L630" s="26" t="s">
        <v>10421</v>
      </c>
      <c r="M630" s="26" t="s">
        <v>10422</v>
      </c>
      <c r="N630" s="27" t="s">
        <v>10423</v>
      </c>
      <c r="O630" s="26" t="s">
        <v>10424</v>
      </c>
      <c r="P630" s="20" t="b">
        <v>1</v>
      </c>
      <c r="Q630" s="20" t="s">
        <v>6282</v>
      </c>
      <c r="R630" s="28" t="s">
        <v>6283</v>
      </c>
      <c r="S630" s="25"/>
      <c r="T630" s="20" t="b">
        <v>1</v>
      </c>
      <c r="U630" s="25"/>
      <c r="V630" s="25">
        <v>8.64</v>
      </c>
      <c r="W630" s="28" t="s">
        <v>10425</v>
      </c>
      <c r="X630" s="28" t="s">
        <v>6285</v>
      </c>
      <c r="Y630" s="28" t="s">
        <v>6286</v>
      </c>
      <c r="Z630" s="28" t="s">
        <v>6287</v>
      </c>
      <c r="AA630" s="28" t="s">
        <v>6288</v>
      </c>
      <c r="AB630" s="28" t="s">
        <v>6297</v>
      </c>
    </row>
    <row r="631" spans="1:28" ht="185.4" x14ac:dyDescent="0.3">
      <c r="A631" s="25">
        <v>8432</v>
      </c>
      <c r="B631" s="25" t="s">
        <v>10426</v>
      </c>
      <c r="C631" s="25" t="s">
        <v>10427</v>
      </c>
      <c r="D631" s="25" t="s">
        <v>6291</v>
      </c>
      <c r="E631" s="16" t="s">
        <v>6292</v>
      </c>
      <c r="F631" s="16" t="s">
        <v>6292</v>
      </c>
      <c r="G631" s="16" t="s">
        <v>6292</v>
      </c>
      <c r="H631" s="16" t="s">
        <v>6292</v>
      </c>
      <c r="I631" s="25" t="s">
        <v>10428</v>
      </c>
      <c r="J631" s="25"/>
      <c r="K631" s="25" t="s">
        <v>6281</v>
      </c>
      <c r="L631" s="26" t="s">
        <v>10429</v>
      </c>
      <c r="M631" s="26" t="s">
        <v>6295</v>
      </c>
      <c r="N631" s="27" t="s">
        <v>10430</v>
      </c>
      <c r="O631" s="26" t="s">
        <v>10431</v>
      </c>
      <c r="P631" s="20" t="b">
        <v>1</v>
      </c>
      <c r="Q631" s="20" t="s">
        <v>6282</v>
      </c>
      <c r="R631" s="28" t="s">
        <v>6283</v>
      </c>
      <c r="S631" s="25"/>
      <c r="T631" s="20" t="b">
        <v>1</v>
      </c>
      <c r="U631" s="25"/>
      <c r="V631" s="25">
        <v>26.21</v>
      </c>
      <c r="W631" s="28" t="s">
        <v>10432</v>
      </c>
      <c r="X631" s="28" t="s">
        <v>6285</v>
      </c>
      <c r="Y631" s="28" t="s">
        <v>6286</v>
      </c>
      <c r="Z631" s="28" t="s">
        <v>6287</v>
      </c>
      <c r="AA631" s="28" t="s">
        <v>6288</v>
      </c>
      <c r="AB631" s="28" t="s">
        <v>6297</v>
      </c>
    </row>
    <row r="632" spans="1:28" ht="185.4" x14ac:dyDescent="0.3">
      <c r="A632" s="25">
        <v>8435</v>
      </c>
      <c r="B632" s="25" t="s">
        <v>10433</v>
      </c>
      <c r="C632" s="25" t="s">
        <v>6306</v>
      </c>
      <c r="D632" s="25" t="s">
        <v>6278</v>
      </c>
      <c r="E632" s="16" t="s">
        <v>6279</v>
      </c>
      <c r="F632" s="16" t="s">
        <v>6279</v>
      </c>
      <c r="G632" s="16" t="s">
        <v>6279</v>
      </c>
      <c r="H632" s="16" t="s">
        <v>6279</v>
      </c>
      <c r="I632" s="25" t="s">
        <v>10434</v>
      </c>
      <c r="J632" s="25"/>
      <c r="K632" s="25" t="s">
        <v>6281</v>
      </c>
      <c r="L632" s="26" t="s">
        <v>10435</v>
      </c>
      <c r="M632" s="26" t="s">
        <v>6295</v>
      </c>
      <c r="N632" s="27" t="s">
        <v>10436</v>
      </c>
      <c r="O632" s="26" t="s">
        <v>6295</v>
      </c>
      <c r="P632" s="20" t="b">
        <v>1</v>
      </c>
      <c r="Q632" s="20" t="s">
        <v>6282</v>
      </c>
      <c r="R632" s="28" t="s">
        <v>6283</v>
      </c>
      <c r="S632" s="25"/>
      <c r="T632" s="20" t="b">
        <v>1</v>
      </c>
      <c r="U632" s="25"/>
      <c r="V632" s="25">
        <v>29.5</v>
      </c>
      <c r="W632" s="28" t="s">
        <v>10437</v>
      </c>
      <c r="X632" s="28" t="s">
        <v>6285</v>
      </c>
      <c r="Y632" s="28" t="s">
        <v>6286</v>
      </c>
      <c r="Z632" s="28" t="s">
        <v>6287</v>
      </c>
      <c r="AA632" s="28" t="s">
        <v>6288</v>
      </c>
      <c r="AB632" s="28" t="s">
        <v>6297</v>
      </c>
    </row>
    <row r="633" spans="1:28" ht="185.4" x14ac:dyDescent="0.3">
      <c r="A633" s="25">
        <v>8437</v>
      </c>
      <c r="B633" s="25" t="s">
        <v>10438</v>
      </c>
      <c r="C633" s="25" t="s">
        <v>10439</v>
      </c>
      <c r="D633" s="25" t="s">
        <v>6291</v>
      </c>
      <c r="E633" s="16" t="s">
        <v>6786</v>
      </c>
      <c r="F633" s="16" t="s">
        <v>6786</v>
      </c>
      <c r="G633" s="16" t="s">
        <v>6786</v>
      </c>
      <c r="H633" s="16" t="s">
        <v>6786</v>
      </c>
      <c r="I633" s="25" t="s">
        <v>10440</v>
      </c>
      <c r="J633" s="25"/>
      <c r="K633" s="25" t="s">
        <v>6281</v>
      </c>
      <c r="L633" s="26" t="s">
        <v>10441</v>
      </c>
      <c r="M633" s="26" t="s">
        <v>6295</v>
      </c>
      <c r="N633" s="27" t="s">
        <v>10442</v>
      </c>
      <c r="O633" s="26" t="s">
        <v>6295</v>
      </c>
      <c r="P633" s="20" t="b">
        <v>1</v>
      </c>
      <c r="Q633" s="20" t="s">
        <v>6282</v>
      </c>
      <c r="R633" s="28" t="s">
        <v>6283</v>
      </c>
      <c r="S633" s="25"/>
      <c r="T633" s="20" t="b">
        <v>1</v>
      </c>
      <c r="U633" s="25"/>
      <c r="V633" s="25">
        <v>0.19270000000000001</v>
      </c>
      <c r="W633" s="28" t="s">
        <v>10443</v>
      </c>
      <c r="X633" s="28" t="s">
        <v>6285</v>
      </c>
      <c r="Y633" s="28" t="s">
        <v>6286</v>
      </c>
      <c r="Z633" s="28" t="s">
        <v>6287</v>
      </c>
      <c r="AA633" s="28" t="s">
        <v>6288</v>
      </c>
      <c r="AB633" s="28" t="s">
        <v>6297</v>
      </c>
    </row>
    <row r="634" spans="1:28" ht="185.4" x14ac:dyDescent="0.3">
      <c r="A634" s="25">
        <v>8440</v>
      </c>
      <c r="B634" s="25" t="s">
        <v>10444</v>
      </c>
      <c r="C634" s="25" t="s">
        <v>10445</v>
      </c>
      <c r="D634" s="25" t="s">
        <v>6278</v>
      </c>
      <c r="E634" s="16" t="s">
        <v>6279</v>
      </c>
      <c r="F634" s="16" t="s">
        <v>6279</v>
      </c>
      <c r="G634" s="16" t="s">
        <v>6279</v>
      </c>
      <c r="H634" s="16" t="s">
        <v>6279</v>
      </c>
      <c r="I634" s="25" t="s">
        <v>10446</v>
      </c>
      <c r="J634" s="25"/>
      <c r="K634" s="25" t="s">
        <v>6281</v>
      </c>
      <c r="L634" s="26" t="s">
        <v>10447</v>
      </c>
      <c r="M634" s="26" t="s">
        <v>6295</v>
      </c>
      <c r="N634" s="27" t="s">
        <v>10448</v>
      </c>
      <c r="O634" s="26" t="s">
        <v>6295</v>
      </c>
      <c r="P634" s="20" t="b">
        <v>1</v>
      </c>
      <c r="Q634" s="20" t="s">
        <v>6282</v>
      </c>
      <c r="R634" s="28" t="s">
        <v>6283</v>
      </c>
      <c r="S634" s="25"/>
      <c r="T634" s="20" t="b">
        <v>1</v>
      </c>
      <c r="U634" s="25"/>
      <c r="V634" s="25">
        <v>999.495</v>
      </c>
      <c r="W634" s="28" t="s">
        <v>10449</v>
      </c>
      <c r="X634" s="28" t="s">
        <v>6285</v>
      </c>
      <c r="Y634" s="28" t="s">
        <v>6286</v>
      </c>
      <c r="Z634" s="28" t="s">
        <v>6287</v>
      </c>
      <c r="AA634" s="28" t="s">
        <v>6288</v>
      </c>
      <c r="AB634" s="28" t="s">
        <v>6297</v>
      </c>
    </row>
    <row r="635" spans="1:28" ht="185.4" x14ac:dyDescent="0.3">
      <c r="A635" s="25">
        <v>8442</v>
      </c>
      <c r="B635" s="25" t="s">
        <v>10450</v>
      </c>
      <c r="C635" s="25" t="s">
        <v>10451</v>
      </c>
      <c r="D635" s="25" t="s">
        <v>6278</v>
      </c>
      <c r="E635" s="16" t="s">
        <v>6279</v>
      </c>
      <c r="F635" s="16" t="s">
        <v>6279</v>
      </c>
      <c r="G635" s="16" t="s">
        <v>6279</v>
      </c>
      <c r="H635" s="16" t="s">
        <v>6279</v>
      </c>
      <c r="I635" s="25" t="s">
        <v>10452</v>
      </c>
      <c r="J635" s="25"/>
      <c r="K635" s="25" t="s">
        <v>6281</v>
      </c>
      <c r="L635" s="26" t="s">
        <v>10453</v>
      </c>
      <c r="M635" s="26" t="s">
        <v>10454</v>
      </c>
      <c r="N635" s="27" t="s">
        <v>10455</v>
      </c>
      <c r="O635" s="26" t="s">
        <v>6295</v>
      </c>
      <c r="P635" s="20" t="b">
        <v>1</v>
      </c>
      <c r="Q635" s="20" t="s">
        <v>6282</v>
      </c>
      <c r="R635" s="28" t="s">
        <v>6283</v>
      </c>
      <c r="S635" s="25"/>
      <c r="T635" s="20" t="b">
        <v>1</v>
      </c>
      <c r="U635" s="25"/>
      <c r="V635" s="25">
        <v>261.95999999999998</v>
      </c>
      <c r="W635" s="28" t="s">
        <v>10456</v>
      </c>
      <c r="X635" s="28" t="s">
        <v>6285</v>
      </c>
      <c r="Y635" s="28" t="s">
        <v>6286</v>
      </c>
      <c r="Z635" s="28" t="s">
        <v>6287</v>
      </c>
      <c r="AA635" s="28" t="s">
        <v>6288</v>
      </c>
      <c r="AB635" s="28" t="s">
        <v>6297</v>
      </c>
    </row>
    <row r="636" spans="1:28" ht="225" x14ac:dyDescent="0.3">
      <c r="A636" s="25">
        <v>8444</v>
      </c>
      <c r="B636" s="25" t="s">
        <v>9828</v>
      </c>
      <c r="C636" s="25" t="s">
        <v>10457</v>
      </c>
      <c r="D636" s="25" t="s">
        <v>6291</v>
      </c>
      <c r="E636" s="16" t="s">
        <v>10458</v>
      </c>
      <c r="F636" s="16" t="s">
        <v>10458</v>
      </c>
      <c r="G636" s="16" t="s">
        <v>10458</v>
      </c>
      <c r="H636" s="16" t="s">
        <v>10458</v>
      </c>
      <c r="I636" s="25" t="s">
        <v>9830</v>
      </c>
      <c r="J636" s="25"/>
      <c r="K636" s="25" t="s">
        <v>6281</v>
      </c>
      <c r="L636" s="26" t="s">
        <v>10459</v>
      </c>
      <c r="M636" s="26" t="s">
        <v>10460</v>
      </c>
      <c r="N636" s="27" t="s">
        <v>10461</v>
      </c>
      <c r="O636" s="26" t="s">
        <v>8653</v>
      </c>
      <c r="P636" s="20" t="b">
        <v>1</v>
      </c>
      <c r="Q636" s="20" t="s">
        <v>6282</v>
      </c>
      <c r="R636" s="28" t="s">
        <v>6283</v>
      </c>
      <c r="S636" s="25"/>
      <c r="T636" s="20" t="b">
        <v>1</v>
      </c>
      <c r="U636" s="25"/>
      <c r="V636" s="25">
        <v>8.25</v>
      </c>
      <c r="W636" s="28" t="s">
        <v>10462</v>
      </c>
      <c r="X636" s="28" t="s">
        <v>6285</v>
      </c>
      <c r="Y636" s="28" t="s">
        <v>6286</v>
      </c>
      <c r="Z636" s="28" t="s">
        <v>6287</v>
      </c>
      <c r="AA636" s="28" t="s">
        <v>6288</v>
      </c>
      <c r="AB636" s="28" t="s">
        <v>6297</v>
      </c>
    </row>
    <row r="637" spans="1:28" ht="225" x14ac:dyDescent="0.3">
      <c r="A637" s="25">
        <v>8445</v>
      </c>
      <c r="B637" s="25" t="s">
        <v>9893</v>
      </c>
      <c r="C637" s="25" t="s">
        <v>10463</v>
      </c>
      <c r="D637" s="25" t="s">
        <v>6291</v>
      </c>
      <c r="E637" s="16" t="s">
        <v>10458</v>
      </c>
      <c r="F637" s="16" t="s">
        <v>10458</v>
      </c>
      <c r="G637" s="16" t="s">
        <v>10458</v>
      </c>
      <c r="H637" s="16" t="s">
        <v>10458</v>
      </c>
      <c r="I637" s="25" t="s">
        <v>9895</v>
      </c>
      <c r="J637" s="25"/>
      <c r="K637" s="25" t="s">
        <v>6281</v>
      </c>
      <c r="L637" s="26" t="s">
        <v>10464</v>
      </c>
      <c r="M637" s="26" t="s">
        <v>10465</v>
      </c>
      <c r="N637" s="27" t="s">
        <v>10466</v>
      </c>
      <c r="O637" s="26" t="s">
        <v>8653</v>
      </c>
      <c r="P637" s="20" t="b">
        <v>1</v>
      </c>
      <c r="Q637" s="20" t="s">
        <v>6282</v>
      </c>
      <c r="R637" s="28" t="s">
        <v>6283</v>
      </c>
      <c r="S637" s="25"/>
      <c r="T637" s="20" t="b">
        <v>1</v>
      </c>
      <c r="U637" s="25"/>
      <c r="V637" s="25">
        <v>10.66</v>
      </c>
      <c r="W637" s="28" t="s">
        <v>10467</v>
      </c>
      <c r="X637" s="28" t="s">
        <v>6285</v>
      </c>
      <c r="Y637" s="28" t="s">
        <v>6286</v>
      </c>
      <c r="Z637" s="28" t="s">
        <v>6287</v>
      </c>
      <c r="AA637" s="28" t="s">
        <v>6288</v>
      </c>
      <c r="AB637" s="28" t="s">
        <v>6297</v>
      </c>
    </row>
    <row r="638" spans="1:28" ht="238.2" x14ac:dyDescent="0.3">
      <c r="A638" s="25">
        <v>8446</v>
      </c>
      <c r="B638" s="25" t="s">
        <v>10057</v>
      </c>
      <c r="C638" s="25" t="s">
        <v>10468</v>
      </c>
      <c r="D638" s="25" t="s">
        <v>6291</v>
      </c>
      <c r="E638" s="16" t="s">
        <v>10458</v>
      </c>
      <c r="F638" s="16" t="s">
        <v>10458</v>
      </c>
      <c r="G638" s="16" t="s">
        <v>10458</v>
      </c>
      <c r="H638" s="16" t="s">
        <v>10458</v>
      </c>
      <c r="I638" s="25" t="s">
        <v>10059</v>
      </c>
      <c r="J638" s="25"/>
      <c r="K638" s="25" t="s">
        <v>6281</v>
      </c>
      <c r="L638" s="26" t="s">
        <v>10469</v>
      </c>
      <c r="M638" s="26" t="s">
        <v>10470</v>
      </c>
      <c r="N638" s="27" t="s">
        <v>10471</v>
      </c>
      <c r="O638" s="26" t="s">
        <v>8653</v>
      </c>
      <c r="P638" s="20" t="b">
        <v>1</v>
      </c>
      <c r="Q638" s="20" t="s">
        <v>6282</v>
      </c>
      <c r="R638" s="28" t="s">
        <v>6283</v>
      </c>
      <c r="S638" s="25"/>
      <c r="T638" s="20" t="b">
        <v>1</v>
      </c>
      <c r="U638" s="25"/>
      <c r="V638" s="25">
        <v>7.73</v>
      </c>
      <c r="W638" s="28" t="s">
        <v>10472</v>
      </c>
      <c r="X638" s="28" t="s">
        <v>6285</v>
      </c>
      <c r="Y638" s="28" t="s">
        <v>6286</v>
      </c>
      <c r="Z638" s="28" t="s">
        <v>6287</v>
      </c>
      <c r="AA638" s="28" t="s">
        <v>6288</v>
      </c>
      <c r="AB638" s="28" t="s">
        <v>6297</v>
      </c>
    </row>
    <row r="639" spans="1:28" ht="185.4" x14ac:dyDescent="0.3">
      <c r="A639" s="25">
        <v>8458</v>
      </c>
      <c r="B639" s="25" t="s">
        <v>10473</v>
      </c>
      <c r="C639" s="25" t="s">
        <v>10474</v>
      </c>
      <c r="D639" s="25" t="s">
        <v>6291</v>
      </c>
      <c r="E639" s="16" t="s">
        <v>10458</v>
      </c>
      <c r="F639" s="16" t="s">
        <v>10458</v>
      </c>
      <c r="G639" s="16" t="s">
        <v>10458</v>
      </c>
      <c r="H639" s="16" t="s">
        <v>10458</v>
      </c>
      <c r="I639" s="25" t="s">
        <v>10475</v>
      </c>
      <c r="J639" s="25"/>
      <c r="K639" s="25" t="s">
        <v>6281</v>
      </c>
      <c r="L639" s="26" t="s">
        <v>10476</v>
      </c>
      <c r="M639" s="26" t="s">
        <v>6295</v>
      </c>
      <c r="N639" s="27" t="s">
        <v>9495</v>
      </c>
      <c r="O639" s="26" t="s">
        <v>6295</v>
      </c>
      <c r="P639" s="20" t="b">
        <v>1</v>
      </c>
      <c r="Q639" s="20" t="s">
        <v>6282</v>
      </c>
      <c r="R639" s="28" t="s">
        <v>6283</v>
      </c>
      <c r="S639" s="25"/>
      <c r="T639" s="20" t="b">
        <v>1</v>
      </c>
      <c r="U639" s="25"/>
      <c r="V639" s="25">
        <v>8.25</v>
      </c>
      <c r="W639" s="28" t="s">
        <v>10477</v>
      </c>
      <c r="X639" s="28" t="s">
        <v>6285</v>
      </c>
      <c r="Y639" s="28" t="s">
        <v>6286</v>
      </c>
      <c r="Z639" s="28" t="s">
        <v>6287</v>
      </c>
      <c r="AA639" s="28" t="s">
        <v>6288</v>
      </c>
      <c r="AB639" s="28" t="s">
        <v>6297</v>
      </c>
    </row>
    <row r="640" spans="1:28" ht="185.4" x14ac:dyDescent="0.3">
      <c r="A640" s="25">
        <v>8469</v>
      </c>
      <c r="B640" s="25" t="s">
        <v>10478</v>
      </c>
      <c r="C640" s="25" t="s">
        <v>10479</v>
      </c>
      <c r="D640" s="25" t="s">
        <v>6291</v>
      </c>
      <c r="E640" s="16" t="s">
        <v>6786</v>
      </c>
      <c r="F640" s="16" t="s">
        <v>6786</v>
      </c>
      <c r="G640" s="16" t="s">
        <v>6786</v>
      </c>
      <c r="H640" s="16" t="s">
        <v>6786</v>
      </c>
      <c r="I640" s="25" t="s">
        <v>10480</v>
      </c>
      <c r="J640" s="25"/>
      <c r="K640" s="25" t="s">
        <v>6281</v>
      </c>
      <c r="L640" s="26" t="s">
        <v>10481</v>
      </c>
      <c r="M640" s="26" t="s">
        <v>10482</v>
      </c>
      <c r="N640" s="27" t="s">
        <v>10483</v>
      </c>
      <c r="O640" s="26" t="s">
        <v>6295</v>
      </c>
      <c r="P640" s="20" t="b">
        <v>1</v>
      </c>
      <c r="Q640" s="20" t="s">
        <v>6282</v>
      </c>
      <c r="R640" s="28" t="s">
        <v>6283</v>
      </c>
      <c r="S640" s="25"/>
      <c r="T640" s="20" t="b">
        <v>1</v>
      </c>
      <c r="U640" s="25"/>
      <c r="V640" s="25">
        <v>7.3333000000000004</v>
      </c>
      <c r="W640" s="28" t="s">
        <v>10484</v>
      </c>
      <c r="X640" s="28" t="s">
        <v>6285</v>
      </c>
      <c r="Y640" s="28" t="s">
        <v>6286</v>
      </c>
      <c r="Z640" s="28" t="s">
        <v>6287</v>
      </c>
      <c r="AA640" s="28" t="s">
        <v>6288</v>
      </c>
      <c r="AB640" s="28" t="s">
        <v>6297</v>
      </c>
    </row>
    <row r="641" spans="1:28" ht="185.4" x14ac:dyDescent="0.3">
      <c r="A641" s="25">
        <v>8475</v>
      </c>
      <c r="B641" s="25" t="s">
        <v>10485</v>
      </c>
      <c r="C641" s="25" t="s">
        <v>10486</v>
      </c>
      <c r="D641" s="25" t="s">
        <v>6291</v>
      </c>
      <c r="E641" s="16" t="s">
        <v>6292</v>
      </c>
      <c r="F641" s="16" t="s">
        <v>6292</v>
      </c>
      <c r="G641" s="16" t="s">
        <v>6292</v>
      </c>
      <c r="H641" s="16" t="s">
        <v>6292</v>
      </c>
      <c r="I641" s="25" t="s">
        <v>10487</v>
      </c>
      <c r="J641" s="25"/>
      <c r="K641" s="25" t="s">
        <v>6281</v>
      </c>
      <c r="L641" s="26" t="s">
        <v>10488</v>
      </c>
      <c r="M641" s="26" t="s">
        <v>10489</v>
      </c>
      <c r="N641" s="27" t="s">
        <v>10490</v>
      </c>
      <c r="O641" s="26" t="s">
        <v>6295</v>
      </c>
      <c r="P641" s="20" t="b">
        <v>1</v>
      </c>
      <c r="Q641" s="20" t="s">
        <v>6282</v>
      </c>
      <c r="R641" s="28" t="s">
        <v>6283</v>
      </c>
      <c r="S641" s="25"/>
      <c r="T641" s="20" t="b">
        <v>1</v>
      </c>
      <c r="U641" s="25"/>
      <c r="V641" s="25">
        <v>3.99</v>
      </c>
      <c r="W641" s="28" t="s">
        <v>10491</v>
      </c>
      <c r="X641" s="28" t="s">
        <v>6285</v>
      </c>
      <c r="Y641" s="28" t="s">
        <v>6286</v>
      </c>
      <c r="Z641" s="28" t="s">
        <v>6287</v>
      </c>
      <c r="AA641" s="28" t="s">
        <v>6288</v>
      </c>
      <c r="AB641" s="28" t="s">
        <v>6297</v>
      </c>
    </row>
    <row r="642" spans="1:28" ht="185.4" x14ac:dyDescent="0.3">
      <c r="A642" s="25">
        <v>8476</v>
      </c>
      <c r="B642" s="25" t="s">
        <v>10492</v>
      </c>
      <c r="C642" s="25" t="s">
        <v>10493</v>
      </c>
      <c r="D642" s="25" t="s">
        <v>6291</v>
      </c>
      <c r="E642" s="16" t="s">
        <v>6292</v>
      </c>
      <c r="F642" s="16" t="s">
        <v>6292</v>
      </c>
      <c r="G642" s="16" t="s">
        <v>6292</v>
      </c>
      <c r="H642" s="16" t="s">
        <v>6292</v>
      </c>
      <c r="I642" s="25" t="s">
        <v>10494</v>
      </c>
      <c r="J642" s="25"/>
      <c r="K642" s="25" t="s">
        <v>6281</v>
      </c>
      <c r="L642" s="26" t="s">
        <v>10495</v>
      </c>
      <c r="M642" s="26" t="s">
        <v>6295</v>
      </c>
      <c r="N642" s="27" t="s">
        <v>10496</v>
      </c>
      <c r="O642" s="26" t="s">
        <v>6295</v>
      </c>
      <c r="P642" s="20" t="b">
        <v>1</v>
      </c>
      <c r="Q642" s="20" t="s">
        <v>6282</v>
      </c>
      <c r="R642" s="28" t="s">
        <v>6283</v>
      </c>
      <c r="S642" s="25"/>
      <c r="T642" s="20" t="b">
        <v>1</v>
      </c>
      <c r="U642" s="25"/>
      <c r="V642" s="25">
        <v>37.369999999999997</v>
      </c>
      <c r="W642" s="28" t="s">
        <v>10497</v>
      </c>
      <c r="X642" s="28" t="s">
        <v>6285</v>
      </c>
      <c r="Y642" s="28" t="s">
        <v>6286</v>
      </c>
      <c r="Z642" s="28" t="s">
        <v>6287</v>
      </c>
      <c r="AA642" s="28" t="s">
        <v>6288</v>
      </c>
      <c r="AB642" s="28" t="s">
        <v>6297</v>
      </c>
    </row>
    <row r="643" spans="1:28" ht="185.4" x14ac:dyDescent="0.3">
      <c r="A643" s="25">
        <v>8477</v>
      </c>
      <c r="B643" s="25" t="s">
        <v>10498</v>
      </c>
      <c r="C643" s="25" t="s">
        <v>10499</v>
      </c>
      <c r="D643" s="25" t="s">
        <v>6278</v>
      </c>
      <c r="E643" s="16" t="s">
        <v>6279</v>
      </c>
      <c r="F643" s="16" t="s">
        <v>6279</v>
      </c>
      <c r="G643" s="16" t="s">
        <v>6279</v>
      </c>
      <c r="H643" s="16" t="s">
        <v>6279</v>
      </c>
      <c r="I643" s="25" t="s">
        <v>10500</v>
      </c>
      <c r="J643" s="25"/>
      <c r="K643" s="25" t="s">
        <v>6281</v>
      </c>
      <c r="L643" s="26" t="s">
        <v>10501</v>
      </c>
      <c r="M643" s="26" t="s">
        <v>10502</v>
      </c>
      <c r="N643" s="27" t="s">
        <v>10503</v>
      </c>
      <c r="O643" s="26" t="s">
        <v>10504</v>
      </c>
      <c r="P643" s="20" t="b">
        <v>1</v>
      </c>
      <c r="Q643" s="20" t="s">
        <v>6282</v>
      </c>
      <c r="R643" s="28" t="s">
        <v>6283</v>
      </c>
      <c r="S643" s="25"/>
      <c r="T643" s="20" t="b">
        <v>1</v>
      </c>
      <c r="U643" s="25"/>
      <c r="V643" s="25">
        <v>60</v>
      </c>
      <c r="W643" s="28" t="s">
        <v>10505</v>
      </c>
      <c r="X643" s="28" t="s">
        <v>6285</v>
      </c>
      <c r="Y643" s="28" t="s">
        <v>6286</v>
      </c>
      <c r="Z643" s="28" t="s">
        <v>6287</v>
      </c>
      <c r="AA643" s="28" t="s">
        <v>6288</v>
      </c>
      <c r="AB643" s="28" t="s">
        <v>6297</v>
      </c>
    </row>
    <row r="644" spans="1:28" ht="185.4" x14ac:dyDescent="0.3">
      <c r="A644" s="25">
        <v>8478</v>
      </c>
      <c r="B644" s="25" t="s">
        <v>10506</v>
      </c>
      <c r="C644" s="25" t="s">
        <v>10507</v>
      </c>
      <c r="D644" s="25" t="s">
        <v>6278</v>
      </c>
      <c r="E644" s="16" t="s">
        <v>6279</v>
      </c>
      <c r="F644" s="16" t="s">
        <v>6279</v>
      </c>
      <c r="G644" s="16" t="s">
        <v>6279</v>
      </c>
      <c r="H644" s="16" t="s">
        <v>6279</v>
      </c>
      <c r="I644" s="25" t="s">
        <v>10508</v>
      </c>
      <c r="J644" s="25"/>
      <c r="K644" s="25" t="s">
        <v>6281</v>
      </c>
      <c r="L644" s="26" t="s">
        <v>10501</v>
      </c>
      <c r="M644" s="26" t="s">
        <v>10509</v>
      </c>
      <c r="N644" s="27" t="s">
        <v>10503</v>
      </c>
      <c r="O644" s="26" t="s">
        <v>10510</v>
      </c>
      <c r="P644" s="20" t="b">
        <v>1</v>
      </c>
      <c r="Q644" s="20" t="s">
        <v>6282</v>
      </c>
      <c r="R644" s="28" t="s">
        <v>6283</v>
      </c>
      <c r="S644" s="25"/>
      <c r="T644" s="20" t="b">
        <v>1</v>
      </c>
      <c r="U644" s="25"/>
      <c r="V644" s="25">
        <v>60</v>
      </c>
      <c r="W644" s="28" t="s">
        <v>10511</v>
      </c>
      <c r="X644" s="28" t="s">
        <v>6285</v>
      </c>
      <c r="Y644" s="28" t="s">
        <v>6286</v>
      </c>
      <c r="Z644" s="28" t="s">
        <v>6287</v>
      </c>
      <c r="AA644" s="28" t="s">
        <v>6288</v>
      </c>
      <c r="AB644" s="28" t="s">
        <v>6297</v>
      </c>
    </row>
    <row r="645" spans="1:28" ht="185.4" x14ac:dyDescent="0.3">
      <c r="A645" s="25">
        <v>8479</v>
      </c>
      <c r="B645" s="25" t="s">
        <v>10512</v>
      </c>
      <c r="C645" s="25" t="s">
        <v>10513</v>
      </c>
      <c r="D645" s="25" t="s">
        <v>6278</v>
      </c>
      <c r="E645" s="16" t="s">
        <v>6279</v>
      </c>
      <c r="F645" s="16" t="s">
        <v>6279</v>
      </c>
      <c r="G645" s="16" t="s">
        <v>6279</v>
      </c>
      <c r="H645" s="16" t="s">
        <v>6279</v>
      </c>
      <c r="I645" s="25" t="s">
        <v>10514</v>
      </c>
      <c r="J645" s="25"/>
      <c r="K645" s="25" t="s">
        <v>6281</v>
      </c>
      <c r="L645" s="26" t="s">
        <v>10501</v>
      </c>
      <c r="M645" s="26" t="s">
        <v>10515</v>
      </c>
      <c r="N645" s="27" t="s">
        <v>10503</v>
      </c>
      <c r="O645" s="26" t="s">
        <v>10510</v>
      </c>
      <c r="P645" s="20" t="b">
        <v>1</v>
      </c>
      <c r="Q645" s="20" t="s">
        <v>6282</v>
      </c>
      <c r="R645" s="28" t="s">
        <v>6283</v>
      </c>
      <c r="S645" s="25"/>
      <c r="T645" s="20" t="b">
        <v>1</v>
      </c>
      <c r="U645" s="25"/>
      <c r="V645" s="25">
        <v>60</v>
      </c>
      <c r="W645" s="28" t="s">
        <v>10516</v>
      </c>
      <c r="X645" s="28" t="s">
        <v>6285</v>
      </c>
      <c r="Y645" s="28" t="s">
        <v>6286</v>
      </c>
      <c r="Z645" s="28" t="s">
        <v>6287</v>
      </c>
      <c r="AA645" s="28" t="s">
        <v>6288</v>
      </c>
      <c r="AB645" s="28" t="s">
        <v>6297</v>
      </c>
    </row>
    <row r="646" spans="1:28" ht="185.4" x14ac:dyDescent="0.3">
      <c r="A646" s="25">
        <v>8480</v>
      </c>
      <c r="B646" s="25" t="s">
        <v>10517</v>
      </c>
      <c r="C646" s="25" t="s">
        <v>10518</v>
      </c>
      <c r="D646" s="25" t="s">
        <v>6278</v>
      </c>
      <c r="E646" s="16" t="s">
        <v>6279</v>
      </c>
      <c r="F646" s="16" t="s">
        <v>6279</v>
      </c>
      <c r="G646" s="16" t="s">
        <v>6279</v>
      </c>
      <c r="H646" s="16" t="s">
        <v>6279</v>
      </c>
      <c r="I646" s="25" t="s">
        <v>10519</v>
      </c>
      <c r="J646" s="25"/>
      <c r="K646" s="25" t="s">
        <v>6281</v>
      </c>
      <c r="L646" s="26" t="s">
        <v>10501</v>
      </c>
      <c r="M646" s="26" t="s">
        <v>10520</v>
      </c>
      <c r="N646" s="27" t="s">
        <v>10503</v>
      </c>
      <c r="O646" s="26" t="s">
        <v>10521</v>
      </c>
      <c r="P646" s="20" t="b">
        <v>1</v>
      </c>
      <c r="Q646" s="20" t="s">
        <v>6282</v>
      </c>
      <c r="R646" s="28" t="s">
        <v>6283</v>
      </c>
      <c r="S646" s="25"/>
      <c r="T646" s="20" t="b">
        <v>1</v>
      </c>
      <c r="U646" s="25"/>
      <c r="V646" s="25">
        <v>60</v>
      </c>
      <c r="W646" s="28" t="s">
        <v>10522</v>
      </c>
      <c r="X646" s="28" t="s">
        <v>6285</v>
      </c>
      <c r="Y646" s="28" t="s">
        <v>6286</v>
      </c>
      <c r="Z646" s="28" t="s">
        <v>6287</v>
      </c>
      <c r="AA646" s="28" t="s">
        <v>6288</v>
      </c>
      <c r="AB646" s="28" t="s">
        <v>6297</v>
      </c>
    </row>
    <row r="647" spans="1:28" ht="185.4" x14ac:dyDescent="0.3">
      <c r="A647" s="25">
        <v>8481</v>
      </c>
      <c r="B647" s="25" t="s">
        <v>10523</v>
      </c>
      <c r="C647" s="25" t="s">
        <v>10524</v>
      </c>
      <c r="D647" s="25" t="s">
        <v>6278</v>
      </c>
      <c r="E647" s="16" t="s">
        <v>6279</v>
      </c>
      <c r="F647" s="16" t="s">
        <v>6279</v>
      </c>
      <c r="G647" s="16" t="s">
        <v>6279</v>
      </c>
      <c r="H647" s="16" t="s">
        <v>6279</v>
      </c>
      <c r="I647" s="25" t="s">
        <v>10525</v>
      </c>
      <c r="J647" s="25"/>
      <c r="K647" s="25" t="s">
        <v>6281</v>
      </c>
      <c r="L647" s="26" t="s">
        <v>10501</v>
      </c>
      <c r="M647" s="26" t="s">
        <v>10526</v>
      </c>
      <c r="N647" s="27" t="s">
        <v>10503</v>
      </c>
      <c r="O647" s="26" t="s">
        <v>10521</v>
      </c>
      <c r="P647" s="20" t="b">
        <v>1</v>
      </c>
      <c r="Q647" s="20" t="s">
        <v>6282</v>
      </c>
      <c r="R647" s="28" t="s">
        <v>6283</v>
      </c>
      <c r="S647" s="25"/>
      <c r="T647" s="20" t="b">
        <v>1</v>
      </c>
      <c r="U647" s="25"/>
      <c r="V647" s="25">
        <v>60</v>
      </c>
      <c r="W647" s="28" t="s">
        <v>10527</v>
      </c>
      <c r="X647" s="28" t="s">
        <v>6285</v>
      </c>
      <c r="Y647" s="28" t="s">
        <v>6286</v>
      </c>
      <c r="Z647" s="28" t="s">
        <v>6287</v>
      </c>
      <c r="AA647" s="28" t="s">
        <v>6288</v>
      </c>
      <c r="AB647" s="28" t="s">
        <v>6297</v>
      </c>
    </row>
    <row r="648" spans="1:28" ht="185.4" x14ac:dyDescent="0.3">
      <c r="A648" s="25">
        <v>8482</v>
      </c>
      <c r="B648" s="25" t="s">
        <v>10528</v>
      </c>
      <c r="C648" s="25" t="s">
        <v>10529</v>
      </c>
      <c r="D648" s="25" t="s">
        <v>6278</v>
      </c>
      <c r="E648" s="16" t="s">
        <v>6279</v>
      </c>
      <c r="F648" s="16" t="s">
        <v>6279</v>
      </c>
      <c r="G648" s="16" t="s">
        <v>6279</v>
      </c>
      <c r="H648" s="16" t="s">
        <v>6279</v>
      </c>
      <c r="I648" s="25" t="s">
        <v>10530</v>
      </c>
      <c r="J648" s="25"/>
      <c r="K648" s="25" t="s">
        <v>6281</v>
      </c>
      <c r="L648" s="26" t="s">
        <v>10501</v>
      </c>
      <c r="M648" s="26" t="s">
        <v>10520</v>
      </c>
      <c r="N648" s="27" t="s">
        <v>10503</v>
      </c>
      <c r="O648" s="26" t="s">
        <v>10521</v>
      </c>
      <c r="P648" s="20" t="b">
        <v>1</v>
      </c>
      <c r="Q648" s="20" t="s">
        <v>6282</v>
      </c>
      <c r="R648" s="28" t="s">
        <v>6283</v>
      </c>
      <c r="S648" s="25"/>
      <c r="T648" s="20" t="b">
        <v>1</v>
      </c>
      <c r="U648" s="25"/>
      <c r="V648" s="25">
        <v>60</v>
      </c>
      <c r="W648" s="28" t="s">
        <v>10531</v>
      </c>
      <c r="X648" s="28" t="s">
        <v>6285</v>
      </c>
      <c r="Y648" s="28" t="s">
        <v>6286</v>
      </c>
      <c r="Z648" s="28" t="s">
        <v>6287</v>
      </c>
      <c r="AA648" s="28" t="s">
        <v>6288</v>
      </c>
      <c r="AB648" s="28" t="s">
        <v>6297</v>
      </c>
    </row>
    <row r="649" spans="1:28" ht="185.4" x14ac:dyDescent="0.3">
      <c r="A649" s="25">
        <v>8483</v>
      </c>
      <c r="B649" s="25" t="s">
        <v>10532</v>
      </c>
      <c r="C649" s="25" t="s">
        <v>10533</v>
      </c>
      <c r="D649" s="25" t="s">
        <v>6278</v>
      </c>
      <c r="E649" s="16" t="s">
        <v>6279</v>
      </c>
      <c r="F649" s="16" t="s">
        <v>6279</v>
      </c>
      <c r="G649" s="16" t="s">
        <v>6279</v>
      </c>
      <c r="H649" s="16" t="s">
        <v>6279</v>
      </c>
      <c r="I649" s="25" t="s">
        <v>10534</v>
      </c>
      <c r="J649" s="25"/>
      <c r="K649" s="25" t="s">
        <v>6281</v>
      </c>
      <c r="L649" s="26" t="s">
        <v>10501</v>
      </c>
      <c r="M649" s="26" t="s">
        <v>10515</v>
      </c>
      <c r="N649" s="27" t="s">
        <v>10503</v>
      </c>
      <c r="O649" s="26" t="s">
        <v>10521</v>
      </c>
      <c r="P649" s="20" t="b">
        <v>1</v>
      </c>
      <c r="Q649" s="20" t="s">
        <v>6282</v>
      </c>
      <c r="R649" s="28" t="s">
        <v>6283</v>
      </c>
      <c r="S649" s="25"/>
      <c r="T649" s="20" t="b">
        <v>1</v>
      </c>
      <c r="U649" s="25"/>
      <c r="V649" s="25">
        <v>60</v>
      </c>
      <c r="W649" s="28" t="s">
        <v>10535</v>
      </c>
      <c r="X649" s="28" t="s">
        <v>6285</v>
      </c>
      <c r="Y649" s="28" t="s">
        <v>6286</v>
      </c>
      <c r="Z649" s="28" t="s">
        <v>6287</v>
      </c>
      <c r="AA649" s="28" t="s">
        <v>6288</v>
      </c>
      <c r="AB649" s="28" t="s">
        <v>6297</v>
      </c>
    </row>
    <row r="650" spans="1:28" ht="185.4" x14ac:dyDescent="0.3">
      <c r="A650" s="25">
        <v>8484</v>
      </c>
      <c r="B650" s="25" t="s">
        <v>10536</v>
      </c>
      <c r="C650" s="25" t="s">
        <v>10537</v>
      </c>
      <c r="D650" s="25" t="s">
        <v>6278</v>
      </c>
      <c r="E650" s="16" t="s">
        <v>6279</v>
      </c>
      <c r="F650" s="16" t="s">
        <v>6279</v>
      </c>
      <c r="G650" s="16" t="s">
        <v>6279</v>
      </c>
      <c r="H650" s="16" t="s">
        <v>6279</v>
      </c>
      <c r="I650" s="25" t="s">
        <v>10538</v>
      </c>
      <c r="J650" s="25"/>
      <c r="K650" s="25" t="s">
        <v>6281</v>
      </c>
      <c r="L650" s="26" t="s">
        <v>10501</v>
      </c>
      <c r="M650" s="26" t="s">
        <v>10539</v>
      </c>
      <c r="N650" s="27" t="s">
        <v>10503</v>
      </c>
      <c r="O650" s="26" t="s">
        <v>10521</v>
      </c>
      <c r="P650" s="20" t="b">
        <v>1</v>
      </c>
      <c r="Q650" s="20" t="s">
        <v>6282</v>
      </c>
      <c r="R650" s="28" t="s">
        <v>6283</v>
      </c>
      <c r="S650" s="25"/>
      <c r="T650" s="20" t="b">
        <v>1</v>
      </c>
      <c r="U650" s="25"/>
      <c r="V650" s="25">
        <v>60</v>
      </c>
      <c r="W650" s="28" t="s">
        <v>10540</v>
      </c>
      <c r="X650" s="28" t="s">
        <v>6285</v>
      </c>
      <c r="Y650" s="28" t="s">
        <v>6286</v>
      </c>
      <c r="Z650" s="28" t="s">
        <v>6287</v>
      </c>
      <c r="AA650" s="28" t="s">
        <v>6288</v>
      </c>
      <c r="AB650" s="28" t="s">
        <v>6297</v>
      </c>
    </row>
    <row r="651" spans="1:28" ht="185.4" x14ac:dyDescent="0.3">
      <c r="A651" s="25">
        <v>8485</v>
      </c>
      <c r="B651" s="25" t="s">
        <v>10541</v>
      </c>
      <c r="C651" s="25" t="s">
        <v>10542</v>
      </c>
      <c r="D651" s="25" t="s">
        <v>6278</v>
      </c>
      <c r="E651" s="16" t="s">
        <v>6279</v>
      </c>
      <c r="F651" s="16" t="s">
        <v>6279</v>
      </c>
      <c r="G651" s="16" t="s">
        <v>6279</v>
      </c>
      <c r="H651" s="16" t="s">
        <v>6279</v>
      </c>
      <c r="I651" s="25" t="s">
        <v>10543</v>
      </c>
      <c r="J651" s="25"/>
      <c r="K651" s="25" t="s">
        <v>6281</v>
      </c>
      <c r="L651" s="26" t="s">
        <v>10501</v>
      </c>
      <c r="M651" s="26" t="s">
        <v>10544</v>
      </c>
      <c r="N651" s="27" t="s">
        <v>10503</v>
      </c>
      <c r="O651" s="26" t="s">
        <v>10521</v>
      </c>
      <c r="P651" s="20" t="b">
        <v>1</v>
      </c>
      <c r="Q651" s="20" t="s">
        <v>6282</v>
      </c>
      <c r="R651" s="28" t="s">
        <v>6283</v>
      </c>
      <c r="S651" s="25"/>
      <c r="T651" s="20" t="b">
        <v>1</v>
      </c>
      <c r="U651" s="25"/>
      <c r="V651" s="25">
        <v>60</v>
      </c>
      <c r="W651" s="28" t="s">
        <v>10545</v>
      </c>
      <c r="X651" s="28" t="s">
        <v>6285</v>
      </c>
      <c r="Y651" s="28" t="s">
        <v>6286</v>
      </c>
      <c r="Z651" s="28" t="s">
        <v>6287</v>
      </c>
      <c r="AA651" s="28" t="s">
        <v>6288</v>
      </c>
      <c r="AB651" s="28" t="s">
        <v>6297</v>
      </c>
    </row>
    <row r="652" spans="1:28" ht="185.4" x14ac:dyDescent="0.3">
      <c r="A652" s="25">
        <v>8486</v>
      </c>
      <c r="B652" s="25" t="s">
        <v>10546</v>
      </c>
      <c r="C652" s="25" t="s">
        <v>10547</v>
      </c>
      <c r="D652" s="25" t="s">
        <v>6278</v>
      </c>
      <c r="E652" s="16" t="s">
        <v>6279</v>
      </c>
      <c r="F652" s="16" t="s">
        <v>6279</v>
      </c>
      <c r="G652" s="16" t="s">
        <v>6279</v>
      </c>
      <c r="H652" s="16" t="s">
        <v>6279</v>
      </c>
      <c r="I652" s="25" t="s">
        <v>10548</v>
      </c>
      <c r="J652" s="25"/>
      <c r="K652" s="25" t="s">
        <v>6281</v>
      </c>
      <c r="L652" s="26" t="s">
        <v>10549</v>
      </c>
      <c r="M652" s="26" t="s">
        <v>10539</v>
      </c>
      <c r="N652" s="27" t="s">
        <v>10503</v>
      </c>
      <c r="O652" s="26" t="s">
        <v>10521</v>
      </c>
      <c r="P652" s="20" t="b">
        <v>1</v>
      </c>
      <c r="Q652" s="20" t="s">
        <v>6282</v>
      </c>
      <c r="R652" s="28" t="s">
        <v>6283</v>
      </c>
      <c r="S652" s="25"/>
      <c r="T652" s="20" t="b">
        <v>1</v>
      </c>
      <c r="U652" s="25"/>
      <c r="V652" s="25">
        <v>60</v>
      </c>
      <c r="W652" s="28" t="s">
        <v>10550</v>
      </c>
      <c r="X652" s="28" t="s">
        <v>6285</v>
      </c>
      <c r="Y652" s="28" t="s">
        <v>6286</v>
      </c>
      <c r="Z652" s="28" t="s">
        <v>6287</v>
      </c>
      <c r="AA652" s="28" t="s">
        <v>6288</v>
      </c>
      <c r="AB652" s="28" t="s">
        <v>6297</v>
      </c>
    </row>
    <row r="653" spans="1:28" ht="185.4" x14ac:dyDescent="0.3">
      <c r="A653" s="25">
        <v>8498</v>
      </c>
      <c r="B653" s="25" t="s">
        <v>10551</v>
      </c>
      <c r="C653" s="25" t="s">
        <v>10552</v>
      </c>
      <c r="D653" s="25" t="s">
        <v>6278</v>
      </c>
      <c r="E653" s="16" t="s">
        <v>6279</v>
      </c>
      <c r="F653" s="16" t="s">
        <v>6279</v>
      </c>
      <c r="G653" s="16" t="s">
        <v>6279</v>
      </c>
      <c r="H653" s="16" t="s">
        <v>6279</v>
      </c>
      <c r="I653" s="25" t="s">
        <v>10553</v>
      </c>
      <c r="J653" s="25"/>
      <c r="K653" s="25" t="s">
        <v>6281</v>
      </c>
      <c r="L653" s="26" t="s">
        <v>10554</v>
      </c>
      <c r="M653" s="26" t="s">
        <v>10555</v>
      </c>
      <c r="N653" s="27" t="s">
        <v>10556</v>
      </c>
      <c r="O653" s="26" t="s">
        <v>10557</v>
      </c>
      <c r="P653" s="20" t="b">
        <v>1</v>
      </c>
      <c r="Q653" s="20" t="s">
        <v>6282</v>
      </c>
      <c r="R653" s="28" t="s">
        <v>6283</v>
      </c>
      <c r="S653" s="25"/>
      <c r="T653" s="20" t="b">
        <v>1</v>
      </c>
      <c r="U653" s="25"/>
      <c r="V653" s="25">
        <v>319.88</v>
      </c>
      <c r="W653" s="28" t="s">
        <v>10558</v>
      </c>
      <c r="X653" s="28" t="s">
        <v>6285</v>
      </c>
      <c r="Y653" s="28" t="s">
        <v>6286</v>
      </c>
      <c r="Z653" s="28" t="s">
        <v>6287</v>
      </c>
      <c r="AA653" s="28" t="s">
        <v>6288</v>
      </c>
      <c r="AB653" s="28" t="s">
        <v>6297</v>
      </c>
    </row>
    <row r="654" spans="1:28" ht="185.4" x14ac:dyDescent="0.3">
      <c r="A654" s="25">
        <v>8508</v>
      </c>
      <c r="B654" s="25" t="s">
        <v>10559</v>
      </c>
      <c r="C654" s="25" t="s">
        <v>10560</v>
      </c>
      <c r="D654" s="25" t="s">
        <v>6291</v>
      </c>
      <c r="E654" s="16" t="s">
        <v>6292</v>
      </c>
      <c r="F654" s="16" t="s">
        <v>6292</v>
      </c>
      <c r="G654" s="16" t="s">
        <v>6292</v>
      </c>
      <c r="H654" s="16" t="s">
        <v>6292</v>
      </c>
      <c r="I654" s="25" t="s">
        <v>10561</v>
      </c>
      <c r="J654" s="25"/>
      <c r="K654" s="25" t="s">
        <v>6281</v>
      </c>
      <c r="L654" s="26" t="s">
        <v>10562</v>
      </c>
      <c r="M654" s="26" t="s">
        <v>10563</v>
      </c>
      <c r="N654" s="27" t="s">
        <v>10564</v>
      </c>
      <c r="O654" s="26" t="s">
        <v>10565</v>
      </c>
      <c r="P654" s="20" t="b">
        <v>1</v>
      </c>
      <c r="Q654" s="20" t="s">
        <v>6282</v>
      </c>
      <c r="R654" s="28" t="s">
        <v>6283</v>
      </c>
      <c r="S654" s="25"/>
      <c r="T654" s="20" t="b">
        <v>1</v>
      </c>
      <c r="U654" s="25"/>
      <c r="V654" s="25">
        <v>10.98</v>
      </c>
      <c r="W654" s="28" t="s">
        <v>10566</v>
      </c>
      <c r="X654" s="28" t="s">
        <v>6285</v>
      </c>
      <c r="Y654" s="28" t="s">
        <v>6286</v>
      </c>
      <c r="Z654" s="28" t="s">
        <v>6287</v>
      </c>
      <c r="AA654" s="28" t="s">
        <v>6288</v>
      </c>
      <c r="AB654" s="28" t="s">
        <v>6297</v>
      </c>
    </row>
    <row r="655" spans="1:28" ht="185.4" x14ac:dyDescent="0.3">
      <c r="A655" s="25">
        <v>8510</v>
      </c>
      <c r="B655" s="25" t="s">
        <v>10567</v>
      </c>
      <c r="C655" s="25" t="s">
        <v>10568</v>
      </c>
      <c r="D655" s="25" t="s">
        <v>6291</v>
      </c>
      <c r="E655" s="16" t="s">
        <v>6786</v>
      </c>
      <c r="F655" s="16" t="s">
        <v>6786</v>
      </c>
      <c r="G655" s="16" t="s">
        <v>6786</v>
      </c>
      <c r="H655" s="16" t="s">
        <v>6786</v>
      </c>
      <c r="I655" s="25" t="s">
        <v>10569</v>
      </c>
      <c r="J655" s="25"/>
      <c r="K655" s="25" t="s">
        <v>6281</v>
      </c>
      <c r="L655" s="26" t="s">
        <v>10570</v>
      </c>
      <c r="M655" s="26" t="s">
        <v>10571</v>
      </c>
      <c r="N655" s="27" t="s">
        <v>10572</v>
      </c>
      <c r="O655" s="26" t="s">
        <v>6295</v>
      </c>
      <c r="P655" s="20" t="b">
        <v>1</v>
      </c>
      <c r="Q655" s="20" t="s">
        <v>6282</v>
      </c>
      <c r="R655" s="28" t="s">
        <v>6283</v>
      </c>
      <c r="S655" s="25"/>
      <c r="T655" s="20" t="b">
        <v>1</v>
      </c>
      <c r="U655" s="25"/>
      <c r="V655" s="25">
        <v>0.12</v>
      </c>
      <c r="W655" s="28" t="s">
        <v>10573</v>
      </c>
      <c r="X655" s="28" t="s">
        <v>6285</v>
      </c>
      <c r="Y655" s="28" t="s">
        <v>6286</v>
      </c>
      <c r="Z655" s="28" t="s">
        <v>6287</v>
      </c>
      <c r="AA655" s="28" t="s">
        <v>6288</v>
      </c>
      <c r="AB655" s="28" t="s">
        <v>6297</v>
      </c>
    </row>
    <row r="656" spans="1:28" ht="185.4" x14ac:dyDescent="0.3">
      <c r="A656" s="25">
        <v>8514</v>
      </c>
      <c r="B656" s="25" t="s">
        <v>10574</v>
      </c>
      <c r="C656" s="25" t="s">
        <v>10575</v>
      </c>
      <c r="D656" s="25" t="s">
        <v>6278</v>
      </c>
      <c r="E656" s="16" t="s">
        <v>6279</v>
      </c>
      <c r="F656" s="16" t="s">
        <v>6279</v>
      </c>
      <c r="G656" s="16" t="s">
        <v>6279</v>
      </c>
      <c r="H656" s="16" t="s">
        <v>6279</v>
      </c>
      <c r="I656" s="25" t="s">
        <v>10576</v>
      </c>
      <c r="J656" s="25"/>
      <c r="K656" s="25" t="s">
        <v>6281</v>
      </c>
      <c r="L656" s="26" t="s">
        <v>10577</v>
      </c>
      <c r="M656" s="26" t="s">
        <v>10578</v>
      </c>
      <c r="N656" s="27" t="s">
        <v>10579</v>
      </c>
      <c r="O656" s="26" t="s">
        <v>10580</v>
      </c>
      <c r="P656" s="20" t="b">
        <v>1</v>
      </c>
      <c r="Q656" s="20" t="s">
        <v>6282</v>
      </c>
      <c r="R656" s="28" t="s">
        <v>6283</v>
      </c>
      <c r="S656" s="25"/>
      <c r="T656" s="20" t="b">
        <v>1</v>
      </c>
      <c r="U656" s="25"/>
      <c r="V656" s="25">
        <v>2489.66</v>
      </c>
      <c r="W656" s="28" t="s">
        <v>10581</v>
      </c>
      <c r="X656" s="28" t="s">
        <v>6285</v>
      </c>
      <c r="Y656" s="28" t="s">
        <v>6286</v>
      </c>
      <c r="Z656" s="28" t="s">
        <v>6287</v>
      </c>
      <c r="AA656" s="28" t="s">
        <v>6288</v>
      </c>
      <c r="AB656" s="28" t="s">
        <v>6297</v>
      </c>
    </row>
    <row r="657" spans="1:28" ht="185.4" x14ac:dyDescent="0.3">
      <c r="A657" s="25">
        <v>8515</v>
      </c>
      <c r="B657" s="25" t="s">
        <v>10582</v>
      </c>
      <c r="C657" s="25" t="s">
        <v>10583</v>
      </c>
      <c r="D657" s="25" t="s">
        <v>6278</v>
      </c>
      <c r="E657" s="16" t="s">
        <v>6279</v>
      </c>
      <c r="F657" s="16" t="s">
        <v>6279</v>
      </c>
      <c r="G657" s="16" t="s">
        <v>6279</v>
      </c>
      <c r="H657" s="16" t="s">
        <v>6279</v>
      </c>
      <c r="I657" s="25" t="s">
        <v>10584</v>
      </c>
      <c r="J657" s="25"/>
      <c r="K657" s="25" t="s">
        <v>6281</v>
      </c>
      <c r="L657" s="26" t="s">
        <v>10585</v>
      </c>
      <c r="M657" s="26" t="s">
        <v>10586</v>
      </c>
      <c r="N657" s="27" t="s">
        <v>10587</v>
      </c>
      <c r="O657" s="26" t="s">
        <v>6295</v>
      </c>
      <c r="P657" s="20" t="b">
        <v>1</v>
      </c>
      <c r="Q657" s="20" t="s">
        <v>6282</v>
      </c>
      <c r="R657" s="28" t="s">
        <v>6283</v>
      </c>
      <c r="S657" s="25"/>
      <c r="T657" s="20" t="b">
        <v>1</v>
      </c>
      <c r="U657" s="25"/>
      <c r="V657" s="25">
        <v>2483.5300000000002</v>
      </c>
      <c r="W657" s="28" t="s">
        <v>10588</v>
      </c>
      <c r="X657" s="28" t="s">
        <v>6285</v>
      </c>
      <c r="Y657" s="28" t="s">
        <v>6286</v>
      </c>
      <c r="Z657" s="28" t="s">
        <v>6287</v>
      </c>
      <c r="AA657" s="28" t="s">
        <v>6288</v>
      </c>
      <c r="AB657" s="28" t="s">
        <v>6297</v>
      </c>
    </row>
    <row r="658" spans="1:28" ht="185.4" x14ac:dyDescent="0.3">
      <c r="A658" s="25">
        <v>8523</v>
      </c>
      <c r="B658" s="25" t="s">
        <v>10589</v>
      </c>
      <c r="C658" s="25" t="s">
        <v>10590</v>
      </c>
      <c r="D658" s="25" t="s">
        <v>6291</v>
      </c>
      <c r="E658" s="16" t="s">
        <v>6292</v>
      </c>
      <c r="F658" s="16" t="s">
        <v>6292</v>
      </c>
      <c r="G658" s="16" t="s">
        <v>6292</v>
      </c>
      <c r="H658" s="16" t="s">
        <v>6292</v>
      </c>
      <c r="I658" s="25" t="s">
        <v>10591</v>
      </c>
      <c r="J658" s="25"/>
      <c r="K658" s="25" t="s">
        <v>6281</v>
      </c>
      <c r="L658" s="26" t="s">
        <v>10592</v>
      </c>
      <c r="M658" s="26" t="s">
        <v>6295</v>
      </c>
      <c r="N658" s="27" t="s">
        <v>10593</v>
      </c>
      <c r="O658" s="26" t="s">
        <v>6295</v>
      </c>
      <c r="P658" s="20" t="b">
        <v>1</v>
      </c>
      <c r="Q658" s="20" t="s">
        <v>6282</v>
      </c>
      <c r="R658" s="28" t="s">
        <v>6283</v>
      </c>
      <c r="S658" s="25"/>
      <c r="T658" s="20" t="b">
        <v>1</v>
      </c>
      <c r="U658" s="25"/>
      <c r="V658" s="25">
        <v>26.77</v>
      </c>
      <c r="W658" s="28" t="s">
        <v>10594</v>
      </c>
      <c r="X658" s="28" t="s">
        <v>6285</v>
      </c>
      <c r="Y658" s="28" t="s">
        <v>6286</v>
      </c>
      <c r="Z658" s="28" t="s">
        <v>6287</v>
      </c>
      <c r="AA658" s="28" t="s">
        <v>6288</v>
      </c>
      <c r="AB658" s="28" t="s">
        <v>6297</v>
      </c>
    </row>
    <row r="659" spans="1:28" ht="185.4" x14ac:dyDescent="0.3">
      <c r="A659" s="25">
        <v>8529</v>
      </c>
      <c r="B659" s="25" t="s">
        <v>10595</v>
      </c>
      <c r="C659" s="25" t="s">
        <v>6306</v>
      </c>
      <c r="D659" s="25" t="s">
        <v>6278</v>
      </c>
      <c r="E659" s="16" t="s">
        <v>6279</v>
      </c>
      <c r="F659" s="16" t="s">
        <v>6279</v>
      </c>
      <c r="G659" s="16" t="s">
        <v>6279</v>
      </c>
      <c r="H659" s="16" t="s">
        <v>6279</v>
      </c>
      <c r="I659" s="25" t="s">
        <v>10596</v>
      </c>
      <c r="J659" s="25"/>
      <c r="K659" s="25" t="s">
        <v>6281</v>
      </c>
      <c r="L659" s="26" t="s">
        <v>10597</v>
      </c>
      <c r="M659" s="26" t="s">
        <v>9508</v>
      </c>
      <c r="N659" s="27" t="s">
        <v>10598</v>
      </c>
      <c r="O659" s="26" t="s">
        <v>10599</v>
      </c>
      <c r="P659" s="20" t="b">
        <v>1</v>
      </c>
      <c r="Q659" s="20" t="s">
        <v>6282</v>
      </c>
      <c r="R659" s="28" t="s">
        <v>6283</v>
      </c>
      <c r="S659" s="25"/>
      <c r="T659" s="20" t="b">
        <v>1</v>
      </c>
      <c r="U659" s="25"/>
      <c r="V659" s="25">
        <v>102.05</v>
      </c>
      <c r="W659" s="28" t="s">
        <v>10600</v>
      </c>
      <c r="X659" s="28" t="s">
        <v>6285</v>
      </c>
      <c r="Y659" s="28" t="s">
        <v>6286</v>
      </c>
      <c r="Z659" s="28" t="s">
        <v>6287</v>
      </c>
      <c r="AA659" s="28" t="s">
        <v>6288</v>
      </c>
      <c r="AB659" s="28" t="s">
        <v>6297</v>
      </c>
    </row>
    <row r="660" spans="1:28" ht="185.4" x14ac:dyDescent="0.3">
      <c r="A660" s="25">
        <v>8531</v>
      </c>
      <c r="B660" s="25" t="s">
        <v>10601</v>
      </c>
      <c r="C660" s="25" t="s">
        <v>10602</v>
      </c>
      <c r="D660" s="25" t="s">
        <v>6291</v>
      </c>
      <c r="E660" s="16" t="s">
        <v>6292</v>
      </c>
      <c r="F660" s="16" t="s">
        <v>6292</v>
      </c>
      <c r="G660" s="16" t="s">
        <v>6292</v>
      </c>
      <c r="H660" s="16" t="s">
        <v>6292</v>
      </c>
      <c r="I660" s="25" t="s">
        <v>10603</v>
      </c>
      <c r="J660" s="25"/>
      <c r="K660" s="25" t="s">
        <v>6281</v>
      </c>
      <c r="L660" s="26" t="s">
        <v>10604</v>
      </c>
      <c r="M660" s="26" t="s">
        <v>6295</v>
      </c>
      <c r="N660" s="27" t="s">
        <v>10605</v>
      </c>
      <c r="O660" s="26" t="s">
        <v>10198</v>
      </c>
      <c r="P660" s="20" t="b">
        <v>1</v>
      </c>
      <c r="Q660" s="20" t="s">
        <v>6282</v>
      </c>
      <c r="R660" s="28" t="s">
        <v>6283</v>
      </c>
      <c r="S660" s="25"/>
      <c r="T660" s="20" t="b">
        <v>1</v>
      </c>
      <c r="U660" s="25"/>
      <c r="V660" s="25">
        <v>20.119</v>
      </c>
      <c r="W660" s="28" t="s">
        <v>10606</v>
      </c>
      <c r="X660" s="28" t="s">
        <v>6285</v>
      </c>
      <c r="Y660" s="28" t="s">
        <v>6286</v>
      </c>
      <c r="Z660" s="28" t="s">
        <v>6287</v>
      </c>
      <c r="AA660" s="28" t="s">
        <v>6288</v>
      </c>
      <c r="AB660" s="28" t="s">
        <v>6297</v>
      </c>
    </row>
    <row r="661" spans="1:28" ht="185.4" x14ac:dyDescent="0.3">
      <c r="A661" s="25">
        <v>8533</v>
      </c>
      <c r="B661" s="25" t="s">
        <v>10607</v>
      </c>
      <c r="C661" s="25" t="s">
        <v>10608</v>
      </c>
      <c r="D661" s="25" t="s">
        <v>6291</v>
      </c>
      <c r="E661" s="16" t="s">
        <v>6292</v>
      </c>
      <c r="F661" s="16" t="s">
        <v>6292</v>
      </c>
      <c r="G661" s="16" t="s">
        <v>6292</v>
      </c>
      <c r="H661" s="16" t="s">
        <v>6292</v>
      </c>
      <c r="I661" s="25" t="s">
        <v>10609</v>
      </c>
      <c r="J661" s="25"/>
      <c r="K661" s="25" t="s">
        <v>6281</v>
      </c>
      <c r="L661" s="26" t="s">
        <v>10610</v>
      </c>
      <c r="M661" s="26" t="s">
        <v>10611</v>
      </c>
      <c r="N661" s="27" t="s">
        <v>10612</v>
      </c>
      <c r="O661" s="26" t="s">
        <v>6295</v>
      </c>
      <c r="P661" s="20" t="b">
        <v>1</v>
      </c>
      <c r="Q661" s="20" t="s">
        <v>6282</v>
      </c>
      <c r="R661" s="28" t="s">
        <v>6283</v>
      </c>
      <c r="S661" s="25"/>
      <c r="T661" s="20" t="b">
        <v>1</v>
      </c>
      <c r="U661" s="25"/>
      <c r="V661" s="25">
        <v>2050.1280000000002</v>
      </c>
      <c r="W661" s="28" t="s">
        <v>10613</v>
      </c>
      <c r="X661" s="28" t="s">
        <v>6285</v>
      </c>
      <c r="Y661" s="28" t="s">
        <v>6286</v>
      </c>
      <c r="Z661" s="28" t="s">
        <v>6287</v>
      </c>
      <c r="AA661" s="28" t="s">
        <v>6288</v>
      </c>
      <c r="AB661" s="28" t="s">
        <v>6297</v>
      </c>
    </row>
    <row r="662" spans="1:28" ht="185.4" x14ac:dyDescent="0.3">
      <c r="A662" s="25">
        <v>8535</v>
      </c>
      <c r="B662" s="25" t="s">
        <v>10614</v>
      </c>
      <c r="C662" s="25" t="s">
        <v>6306</v>
      </c>
      <c r="D662" s="25" t="s">
        <v>6278</v>
      </c>
      <c r="E662" s="16" t="s">
        <v>6279</v>
      </c>
      <c r="F662" s="16" t="s">
        <v>6279</v>
      </c>
      <c r="G662" s="16" t="s">
        <v>6279</v>
      </c>
      <c r="H662" s="16" t="s">
        <v>6279</v>
      </c>
      <c r="I662" s="25" t="s">
        <v>10615</v>
      </c>
      <c r="J662" s="25"/>
      <c r="K662" s="25" t="s">
        <v>6281</v>
      </c>
      <c r="L662" s="26" t="s">
        <v>10616</v>
      </c>
      <c r="M662" s="26" t="s">
        <v>9508</v>
      </c>
      <c r="N662" s="27" t="s">
        <v>10617</v>
      </c>
      <c r="O662" s="26" t="s">
        <v>10618</v>
      </c>
      <c r="P662" s="20" t="b">
        <v>1</v>
      </c>
      <c r="Q662" s="20" t="s">
        <v>6282</v>
      </c>
      <c r="R662" s="28" t="s">
        <v>6283</v>
      </c>
      <c r="S662" s="25"/>
      <c r="T662" s="20" t="b">
        <v>1</v>
      </c>
      <c r="U662" s="25"/>
      <c r="V662" s="25">
        <v>98.7</v>
      </c>
      <c r="W662" s="28" t="s">
        <v>10619</v>
      </c>
      <c r="X662" s="28" t="s">
        <v>6285</v>
      </c>
      <c r="Y662" s="28" t="s">
        <v>6286</v>
      </c>
      <c r="Z662" s="28" t="s">
        <v>6287</v>
      </c>
      <c r="AA662" s="28" t="s">
        <v>6288</v>
      </c>
      <c r="AB662" s="28" t="s">
        <v>6297</v>
      </c>
    </row>
    <row r="663" spans="1:28" ht="185.4" x14ac:dyDescent="0.3">
      <c r="A663" s="25">
        <v>8540</v>
      </c>
      <c r="B663" s="25" t="s">
        <v>10620</v>
      </c>
      <c r="C663" s="25" t="s">
        <v>10621</v>
      </c>
      <c r="D663" s="25" t="s">
        <v>6291</v>
      </c>
      <c r="E663" s="16" t="s">
        <v>6786</v>
      </c>
      <c r="F663" s="16" t="s">
        <v>6786</v>
      </c>
      <c r="G663" s="16" t="s">
        <v>6786</v>
      </c>
      <c r="H663" s="16" t="s">
        <v>6786</v>
      </c>
      <c r="I663" s="25" t="s">
        <v>10622</v>
      </c>
      <c r="J663" s="25"/>
      <c r="K663" s="25" t="s">
        <v>6281</v>
      </c>
      <c r="L663" s="26" t="s">
        <v>10623</v>
      </c>
      <c r="M663" s="26" t="s">
        <v>6295</v>
      </c>
      <c r="N663" s="27" t="s">
        <v>10624</v>
      </c>
      <c r="O663" s="26" t="s">
        <v>6295</v>
      </c>
      <c r="P663" s="20" t="b">
        <v>1</v>
      </c>
      <c r="Q663" s="20" t="s">
        <v>6282</v>
      </c>
      <c r="R663" s="28" t="s">
        <v>6283</v>
      </c>
      <c r="S663" s="25"/>
      <c r="T663" s="20" t="b">
        <v>1</v>
      </c>
      <c r="U663" s="25"/>
      <c r="V663" s="25" t="s">
        <v>6295</v>
      </c>
      <c r="W663" s="28" t="s">
        <v>10625</v>
      </c>
      <c r="X663" s="28" t="s">
        <v>6285</v>
      </c>
      <c r="Y663" s="28" t="s">
        <v>6286</v>
      </c>
      <c r="Z663" s="28" t="s">
        <v>6287</v>
      </c>
      <c r="AA663" s="28" t="s">
        <v>6288</v>
      </c>
      <c r="AB663" s="28" t="s">
        <v>6297</v>
      </c>
    </row>
    <row r="664" spans="1:28" ht="185.4" x14ac:dyDescent="0.3">
      <c r="A664" s="25">
        <v>8543</v>
      </c>
      <c r="B664" s="25" t="s">
        <v>10626</v>
      </c>
      <c r="C664" s="25" t="s">
        <v>10627</v>
      </c>
      <c r="D664" s="25" t="s">
        <v>6291</v>
      </c>
      <c r="E664" s="16" t="s">
        <v>6292</v>
      </c>
      <c r="F664" s="16" t="s">
        <v>6292</v>
      </c>
      <c r="G664" s="16" t="s">
        <v>6292</v>
      </c>
      <c r="H664" s="16" t="s">
        <v>6292</v>
      </c>
      <c r="I664" s="25" t="s">
        <v>10628</v>
      </c>
      <c r="J664" s="25"/>
      <c r="K664" s="25" t="s">
        <v>6281</v>
      </c>
      <c r="L664" s="26" t="s">
        <v>10629</v>
      </c>
      <c r="M664" s="26" t="s">
        <v>6295</v>
      </c>
      <c r="N664" s="27" t="s">
        <v>10630</v>
      </c>
      <c r="O664" s="26" t="s">
        <v>10631</v>
      </c>
      <c r="P664" s="20" t="b">
        <v>1</v>
      </c>
      <c r="Q664" s="20" t="s">
        <v>6282</v>
      </c>
      <c r="R664" s="28" t="s">
        <v>6283</v>
      </c>
      <c r="S664" s="25"/>
      <c r="T664" s="20" t="b">
        <v>1</v>
      </c>
      <c r="U664" s="25"/>
      <c r="V664" s="25">
        <v>40.26</v>
      </c>
      <c r="W664" s="28" t="s">
        <v>10632</v>
      </c>
      <c r="X664" s="28" t="s">
        <v>6285</v>
      </c>
      <c r="Y664" s="28" t="s">
        <v>6286</v>
      </c>
      <c r="Z664" s="28" t="s">
        <v>6287</v>
      </c>
      <c r="AA664" s="28" t="s">
        <v>6288</v>
      </c>
      <c r="AB664" s="28" t="s">
        <v>6297</v>
      </c>
    </row>
    <row r="665" spans="1:28" ht="185.4" x14ac:dyDescent="0.3">
      <c r="A665" s="25">
        <v>8578</v>
      </c>
      <c r="B665" s="25" t="s">
        <v>10633</v>
      </c>
      <c r="C665" s="25" t="s">
        <v>10634</v>
      </c>
      <c r="D665" s="25" t="s">
        <v>6278</v>
      </c>
      <c r="E665" s="16" t="s">
        <v>6279</v>
      </c>
      <c r="F665" s="16" t="s">
        <v>6279</v>
      </c>
      <c r="G665" s="16" t="s">
        <v>6279</v>
      </c>
      <c r="H665" s="16" t="s">
        <v>6279</v>
      </c>
      <c r="I665" s="25" t="s">
        <v>10635</v>
      </c>
      <c r="J665" s="25"/>
      <c r="K665" s="25" t="s">
        <v>6281</v>
      </c>
      <c r="L665" s="26" t="s">
        <v>10636</v>
      </c>
      <c r="M665" s="26" t="s">
        <v>10637</v>
      </c>
      <c r="N665" s="27" t="s">
        <v>10638</v>
      </c>
      <c r="O665" s="26" t="s">
        <v>6295</v>
      </c>
      <c r="P665" s="20" t="b">
        <v>1</v>
      </c>
      <c r="Q665" s="20" t="s">
        <v>6282</v>
      </c>
      <c r="R665" s="28" t="s">
        <v>6283</v>
      </c>
      <c r="S665" s="25"/>
      <c r="T665" s="20" t="b">
        <v>1</v>
      </c>
      <c r="U665" s="25"/>
      <c r="V665" s="25">
        <v>327.23</v>
      </c>
      <c r="W665" s="28" t="s">
        <v>10639</v>
      </c>
      <c r="X665" s="28" t="s">
        <v>6285</v>
      </c>
      <c r="Y665" s="28" t="s">
        <v>6286</v>
      </c>
      <c r="Z665" s="28" t="s">
        <v>6287</v>
      </c>
      <c r="AA665" s="28" t="s">
        <v>6288</v>
      </c>
      <c r="AB665" s="28" t="s">
        <v>6297</v>
      </c>
    </row>
    <row r="666" spans="1:28" ht="185.4" x14ac:dyDescent="0.3">
      <c r="A666" s="25">
        <v>8579</v>
      </c>
      <c r="B666" s="25" t="s">
        <v>10640</v>
      </c>
      <c r="C666" s="25" t="s">
        <v>10641</v>
      </c>
      <c r="D666" s="25" t="s">
        <v>6278</v>
      </c>
      <c r="E666" s="16" t="s">
        <v>6279</v>
      </c>
      <c r="F666" s="16" t="s">
        <v>6279</v>
      </c>
      <c r="G666" s="16" t="s">
        <v>6279</v>
      </c>
      <c r="H666" s="16" t="s">
        <v>6279</v>
      </c>
      <c r="I666" s="25" t="s">
        <v>10642</v>
      </c>
      <c r="J666" s="25"/>
      <c r="K666" s="25" t="s">
        <v>6281</v>
      </c>
      <c r="L666" s="26" t="s">
        <v>10643</v>
      </c>
      <c r="M666" s="26" t="s">
        <v>10644</v>
      </c>
      <c r="N666" s="27" t="s">
        <v>10645</v>
      </c>
      <c r="O666" s="26" t="s">
        <v>6295</v>
      </c>
      <c r="P666" s="20" t="b">
        <v>1</v>
      </c>
      <c r="Q666" s="20" t="s">
        <v>6282</v>
      </c>
      <c r="R666" s="28" t="s">
        <v>6283</v>
      </c>
      <c r="S666" s="25"/>
      <c r="T666" s="20" t="b">
        <v>1</v>
      </c>
      <c r="U666" s="25"/>
      <c r="V666" s="25">
        <v>247.9</v>
      </c>
      <c r="W666" s="28" t="s">
        <v>10646</v>
      </c>
      <c r="X666" s="28" t="s">
        <v>6285</v>
      </c>
      <c r="Y666" s="28" t="s">
        <v>6286</v>
      </c>
      <c r="Z666" s="28" t="s">
        <v>6287</v>
      </c>
      <c r="AA666" s="28" t="s">
        <v>6288</v>
      </c>
      <c r="AB666" s="28" t="s">
        <v>6297</v>
      </c>
    </row>
    <row r="667" spans="1:28" ht="185.4" x14ac:dyDescent="0.3">
      <c r="A667" s="25">
        <v>8586</v>
      </c>
      <c r="B667" s="25" t="s">
        <v>10647</v>
      </c>
      <c r="C667" s="25" t="s">
        <v>10648</v>
      </c>
      <c r="D667" s="25" t="s">
        <v>6291</v>
      </c>
      <c r="E667" s="16" t="s">
        <v>6292</v>
      </c>
      <c r="F667" s="16" t="s">
        <v>6292</v>
      </c>
      <c r="G667" s="16" t="s">
        <v>6292</v>
      </c>
      <c r="H667" s="16" t="s">
        <v>6292</v>
      </c>
      <c r="I667" s="25" t="s">
        <v>10649</v>
      </c>
      <c r="J667" s="25"/>
      <c r="K667" s="25" t="s">
        <v>6281</v>
      </c>
      <c r="L667" s="26" t="s">
        <v>10650</v>
      </c>
      <c r="M667" s="26" t="s">
        <v>6295</v>
      </c>
      <c r="N667" s="27" t="s">
        <v>10651</v>
      </c>
      <c r="O667" s="26" t="s">
        <v>10652</v>
      </c>
      <c r="P667" s="20" t="b">
        <v>1</v>
      </c>
      <c r="Q667" s="20" t="s">
        <v>6282</v>
      </c>
      <c r="R667" s="28" t="s">
        <v>6283</v>
      </c>
      <c r="S667" s="25"/>
      <c r="T667" s="20" t="b">
        <v>1</v>
      </c>
      <c r="U667" s="25"/>
      <c r="V667" s="25">
        <v>36.096400000000003</v>
      </c>
      <c r="W667" s="28" t="s">
        <v>10653</v>
      </c>
      <c r="X667" s="28" t="s">
        <v>6285</v>
      </c>
      <c r="Y667" s="28" t="s">
        <v>6286</v>
      </c>
      <c r="Z667" s="28" t="s">
        <v>6287</v>
      </c>
      <c r="AA667" s="28" t="s">
        <v>6288</v>
      </c>
      <c r="AB667" s="28" t="s">
        <v>6297</v>
      </c>
    </row>
    <row r="668" spans="1:28" ht="185.4" x14ac:dyDescent="0.3">
      <c r="A668" s="25">
        <v>8588</v>
      </c>
      <c r="B668" s="25" t="s">
        <v>10654</v>
      </c>
      <c r="C668" s="25" t="s">
        <v>10655</v>
      </c>
      <c r="D668" s="25" t="s">
        <v>6291</v>
      </c>
      <c r="E668" s="16" t="s">
        <v>6292</v>
      </c>
      <c r="F668" s="16" t="s">
        <v>6292</v>
      </c>
      <c r="G668" s="16" t="s">
        <v>6292</v>
      </c>
      <c r="H668" s="16" t="s">
        <v>6292</v>
      </c>
      <c r="I668" s="25" t="s">
        <v>10656</v>
      </c>
      <c r="J668" s="25"/>
      <c r="K668" s="25" t="s">
        <v>6281</v>
      </c>
      <c r="L668" s="26" t="s">
        <v>10657</v>
      </c>
      <c r="M668" s="26" t="s">
        <v>10658</v>
      </c>
      <c r="N668" s="27" t="s">
        <v>10659</v>
      </c>
      <c r="O668" s="26" t="s">
        <v>6295</v>
      </c>
      <c r="P668" s="20" t="b">
        <v>1</v>
      </c>
      <c r="Q668" s="20" t="s">
        <v>6282</v>
      </c>
      <c r="R668" s="28" t="s">
        <v>6283</v>
      </c>
      <c r="S668" s="25"/>
      <c r="T668" s="20" t="b">
        <v>1</v>
      </c>
      <c r="U668" s="25"/>
      <c r="V668" s="25">
        <v>500</v>
      </c>
      <c r="W668" s="28" t="s">
        <v>10660</v>
      </c>
      <c r="X668" s="28" t="s">
        <v>6285</v>
      </c>
      <c r="Y668" s="28" t="s">
        <v>6286</v>
      </c>
      <c r="Z668" s="28" t="s">
        <v>6287</v>
      </c>
      <c r="AA668" s="28" t="s">
        <v>6288</v>
      </c>
      <c r="AB668" s="28" t="s">
        <v>6297</v>
      </c>
    </row>
    <row r="669" spans="1:28" ht="185.4" x14ac:dyDescent="0.3">
      <c r="A669" s="25">
        <v>8592</v>
      </c>
      <c r="B669" s="25" t="s">
        <v>10661</v>
      </c>
      <c r="C669" s="25" t="s">
        <v>10662</v>
      </c>
      <c r="D669" s="25" t="s">
        <v>6278</v>
      </c>
      <c r="E669" s="16" t="s">
        <v>6279</v>
      </c>
      <c r="F669" s="16" t="s">
        <v>6279</v>
      </c>
      <c r="G669" s="16" t="s">
        <v>6279</v>
      </c>
      <c r="H669" s="16" t="s">
        <v>6279</v>
      </c>
      <c r="I669" s="25" t="s">
        <v>10663</v>
      </c>
      <c r="J669" s="25"/>
      <c r="K669" s="25" t="s">
        <v>6281</v>
      </c>
      <c r="L669" s="26" t="s">
        <v>10664</v>
      </c>
      <c r="M669" s="26" t="s">
        <v>10665</v>
      </c>
      <c r="N669" s="27" t="s">
        <v>10666</v>
      </c>
      <c r="O669" s="26" t="s">
        <v>10667</v>
      </c>
      <c r="P669" s="20" t="b">
        <v>1</v>
      </c>
      <c r="Q669" s="20" t="s">
        <v>6282</v>
      </c>
      <c r="R669" s="28" t="s">
        <v>6283</v>
      </c>
      <c r="S669" s="25"/>
      <c r="T669" s="20" t="b">
        <v>1</v>
      </c>
      <c r="U669" s="25"/>
      <c r="V669" s="25">
        <v>46.99</v>
      </c>
      <c r="W669" s="28" t="s">
        <v>10668</v>
      </c>
      <c r="X669" s="28" t="s">
        <v>6285</v>
      </c>
      <c r="Y669" s="28" t="s">
        <v>6286</v>
      </c>
      <c r="Z669" s="28" t="s">
        <v>6287</v>
      </c>
      <c r="AA669" s="28" t="s">
        <v>6288</v>
      </c>
      <c r="AB669" s="28" t="s">
        <v>6297</v>
      </c>
    </row>
    <row r="670" spans="1:28" ht="185.4" x14ac:dyDescent="0.3">
      <c r="A670" s="25">
        <v>8594</v>
      </c>
      <c r="B670" s="25" t="s">
        <v>10669</v>
      </c>
      <c r="C670" s="25" t="s">
        <v>10670</v>
      </c>
      <c r="D670" s="25" t="s">
        <v>6278</v>
      </c>
      <c r="E670" s="16" t="s">
        <v>6279</v>
      </c>
      <c r="F670" s="16" t="s">
        <v>6279</v>
      </c>
      <c r="G670" s="16" t="s">
        <v>6279</v>
      </c>
      <c r="H670" s="16" t="s">
        <v>6279</v>
      </c>
      <c r="I670" s="25" t="s">
        <v>10671</v>
      </c>
      <c r="J670" s="25"/>
      <c r="K670" s="25" t="s">
        <v>6281</v>
      </c>
      <c r="L670" s="26" t="s">
        <v>10672</v>
      </c>
      <c r="M670" s="26" t="s">
        <v>6295</v>
      </c>
      <c r="N670" s="27" t="s">
        <v>10673</v>
      </c>
      <c r="O670" s="26" t="s">
        <v>6295</v>
      </c>
      <c r="P670" s="20" t="b">
        <v>1</v>
      </c>
      <c r="Q670" s="20" t="s">
        <v>6282</v>
      </c>
      <c r="R670" s="28" t="s">
        <v>6283</v>
      </c>
      <c r="S670" s="25"/>
      <c r="T670" s="20" t="b">
        <v>1</v>
      </c>
      <c r="U670" s="25"/>
      <c r="V670" s="25">
        <v>40</v>
      </c>
      <c r="W670" s="28" t="s">
        <v>10674</v>
      </c>
      <c r="X670" s="28" t="s">
        <v>6285</v>
      </c>
      <c r="Y670" s="28" t="s">
        <v>6286</v>
      </c>
      <c r="Z670" s="28" t="s">
        <v>6287</v>
      </c>
      <c r="AA670" s="28" t="s">
        <v>6288</v>
      </c>
      <c r="AB670" s="28" t="s">
        <v>6297</v>
      </c>
    </row>
    <row r="671" spans="1:28" ht="185.4" x14ac:dyDescent="0.3">
      <c r="A671" s="25">
        <v>8597</v>
      </c>
      <c r="B671" s="25" t="s">
        <v>10675</v>
      </c>
      <c r="C671" s="25" t="s">
        <v>6306</v>
      </c>
      <c r="D671" s="25" t="s">
        <v>6291</v>
      </c>
      <c r="E671" s="16" t="s">
        <v>6292</v>
      </c>
      <c r="F671" s="16" t="s">
        <v>6292</v>
      </c>
      <c r="G671" s="16" t="s">
        <v>6292</v>
      </c>
      <c r="H671" s="16" t="s">
        <v>6292</v>
      </c>
      <c r="I671" s="25" t="s">
        <v>10676</v>
      </c>
      <c r="J671" s="25"/>
      <c r="K671" s="25" t="s">
        <v>6281</v>
      </c>
      <c r="L671" s="26" t="s">
        <v>10677</v>
      </c>
      <c r="M671" s="26" t="s">
        <v>10678</v>
      </c>
      <c r="N671" s="27" t="s">
        <v>10679</v>
      </c>
      <c r="O671" s="26" t="s">
        <v>10680</v>
      </c>
      <c r="P671" s="20" t="b">
        <v>1</v>
      </c>
      <c r="Q671" s="20" t="s">
        <v>6282</v>
      </c>
      <c r="R671" s="28" t="s">
        <v>6283</v>
      </c>
      <c r="S671" s="25"/>
      <c r="T671" s="20" t="b">
        <v>1</v>
      </c>
      <c r="U671" s="25"/>
      <c r="V671" s="25">
        <v>29.64</v>
      </c>
      <c r="W671" s="28" t="s">
        <v>10681</v>
      </c>
      <c r="X671" s="28" t="s">
        <v>6285</v>
      </c>
      <c r="Y671" s="28" t="s">
        <v>6286</v>
      </c>
      <c r="Z671" s="28" t="s">
        <v>6287</v>
      </c>
      <c r="AA671" s="28" t="s">
        <v>6288</v>
      </c>
      <c r="AB671" s="28" t="s">
        <v>6297</v>
      </c>
    </row>
    <row r="672" spans="1:28" ht="185.4" x14ac:dyDescent="0.3">
      <c r="A672" s="25">
        <v>8604</v>
      </c>
      <c r="B672" s="25" t="s">
        <v>10682</v>
      </c>
      <c r="C672" s="25" t="s">
        <v>10683</v>
      </c>
      <c r="D672" s="25" t="s">
        <v>6278</v>
      </c>
      <c r="E672" s="16" t="s">
        <v>6279</v>
      </c>
      <c r="F672" s="16" t="s">
        <v>6279</v>
      </c>
      <c r="G672" s="16" t="s">
        <v>6279</v>
      </c>
      <c r="H672" s="16" t="s">
        <v>6279</v>
      </c>
      <c r="I672" s="25" t="s">
        <v>10684</v>
      </c>
      <c r="J672" s="25"/>
      <c r="K672" s="25" t="s">
        <v>6281</v>
      </c>
      <c r="L672" s="26" t="s">
        <v>10685</v>
      </c>
      <c r="M672" s="26" t="s">
        <v>10686</v>
      </c>
      <c r="N672" s="27" t="s">
        <v>10687</v>
      </c>
      <c r="O672" s="26" t="s">
        <v>10688</v>
      </c>
      <c r="P672" s="20" t="b">
        <v>1</v>
      </c>
      <c r="Q672" s="20" t="s">
        <v>6282</v>
      </c>
      <c r="R672" s="28" t="s">
        <v>6283</v>
      </c>
      <c r="S672" s="25"/>
      <c r="T672" s="20" t="b">
        <v>1</v>
      </c>
      <c r="U672" s="25"/>
      <c r="V672" s="25">
        <v>20.399999999999999</v>
      </c>
      <c r="W672" s="28" t="s">
        <v>10689</v>
      </c>
      <c r="X672" s="28" t="s">
        <v>6285</v>
      </c>
      <c r="Y672" s="28" t="s">
        <v>6286</v>
      </c>
      <c r="Z672" s="28" t="s">
        <v>6287</v>
      </c>
      <c r="AA672" s="28" t="s">
        <v>6288</v>
      </c>
      <c r="AB672" s="28" t="s">
        <v>6297</v>
      </c>
    </row>
    <row r="673" spans="1:28" ht="277.8" x14ac:dyDescent="0.3">
      <c r="A673" s="25">
        <v>8611</v>
      </c>
      <c r="B673" s="25" t="s">
        <v>10690</v>
      </c>
      <c r="C673" s="25" t="s">
        <v>10691</v>
      </c>
      <c r="D673" s="25" t="s">
        <v>6291</v>
      </c>
      <c r="E673" s="16" t="s">
        <v>6786</v>
      </c>
      <c r="F673" s="16" t="s">
        <v>6786</v>
      </c>
      <c r="G673" s="16" t="s">
        <v>6786</v>
      </c>
      <c r="H673" s="16" t="s">
        <v>6786</v>
      </c>
      <c r="I673" s="25" t="s">
        <v>10692</v>
      </c>
      <c r="J673" s="25"/>
      <c r="K673" s="25" t="s">
        <v>6281</v>
      </c>
      <c r="L673" s="26" t="s">
        <v>10693</v>
      </c>
      <c r="M673" s="26" t="s">
        <v>10694</v>
      </c>
      <c r="N673" s="27" t="s">
        <v>10695</v>
      </c>
      <c r="O673" s="26" t="s">
        <v>6295</v>
      </c>
      <c r="P673" s="20" t="b">
        <v>1</v>
      </c>
      <c r="Q673" s="20" t="s">
        <v>6282</v>
      </c>
      <c r="R673" s="28" t="s">
        <v>6283</v>
      </c>
      <c r="S673" s="25"/>
      <c r="T673" s="20" t="b">
        <v>1</v>
      </c>
      <c r="U673" s="25"/>
      <c r="V673" s="25">
        <v>0.56699999999999995</v>
      </c>
      <c r="W673" s="28" t="s">
        <v>10696</v>
      </c>
      <c r="X673" s="28" t="s">
        <v>6285</v>
      </c>
      <c r="Y673" s="28" t="s">
        <v>6286</v>
      </c>
      <c r="Z673" s="28" t="s">
        <v>6287</v>
      </c>
      <c r="AA673" s="28" t="s">
        <v>6288</v>
      </c>
      <c r="AB673" s="28" t="s">
        <v>6297</v>
      </c>
    </row>
    <row r="674" spans="1:28" ht="185.4" x14ac:dyDescent="0.3">
      <c r="A674" s="25">
        <v>8612</v>
      </c>
      <c r="B674" s="25" t="s">
        <v>10697</v>
      </c>
      <c r="C674" s="25" t="s">
        <v>10698</v>
      </c>
      <c r="D674" s="25" t="s">
        <v>6291</v>
      </c>
      <c r="E674" s="16" t="s">
        <v>6786</v>
      </c>
      <c r="F674" s="16" t="s">
        <v>6786</v>
      </c>
      <c r="G674" s="16" t="s">
        <v>6786</v>
      </c>
      <c r="H674" s="16" t="s">
        <v>6786</v>
      </c>
      <c r="I674" s="25" t="s">
        <v>10699</v>
      </c>
      <c r="J674" s="25"/>
      <c r="K674" s="25" t="s">
        <v>6281</v>
      </c>
      <c r="L674" s="26" t="s">
        <v>10700</v>
      </c>
      <c r="M674" s="26" t="s">
        <v>10701</v>
      </c>
      <c r="N674" s="27" t="s">
        <v>10702</v>
      </c>
      <c r="O674" s="26" t="s">
        <v>6295</v>
      </c>
      <c r="P674" s="20" t="b">
        <v>1</v>
      </c>
      <c r="Q674" s="20" t="s">
        <v>6282</v>
      </c>
      <c r="R674" s="28" t="s">
        <v>6283</v>
      </c>
      <c r="S674" s="25"/>
      <c r="T674" s="20" t="b">
        <v>1</v>
      </c>
      <c r="U674" s="25"/>
      <c r="V674" s="25">
        <v>0.46920000000000001</v>
      </c>
      <c r="W674" s="28" t="s">
        <v>10703</v>
      </c>
      <c r="X674" s="28" t="s">
        <v>6285</v>
      </c>
      <c r="Y674" s="28" t="s">
        <v>6286</v>
      </c>
      <c r="Z674" s="28" t="s">
        <v>6287</v>
      </c>
      <c r="AA674" s="28" t="s">
        <v>6288</v>
      </c>
      <c r="AB674" s="28" t="s">
        <v>6297</v>
      </c>
    </row>
    <row r="675" spans="1:28" ht="185.4" x14ac:dyDescent="0.3">
      <c r="A675" s="25">
        <v>8613</v>
      </c>
      <c r="B675" s="25" t="s">
        <v>10704</v>
      </c>
      <c r="C675" s="25" t="s">
        <v>10705</v>
      </c>
      <c r="D675" s="25" t="s">
        <v>6291</v>
      </c>
      <c r="E675" s="16" t="s">
        <v>6786</v>
      </c>
      <c r="F675" s="16" t="s">
        <v>6786</v>
      </c>
      <c r="G675" s="16" t="s">
        <v>6786</v>
      </c>
      <c r="H675" s="16" t="s">
        <v>6786</v>
      </c>
      <c r="I675" s="25" t="s">
        <v>10706</v>
      </c>
      <c r="J675" s="25"/>
      <c r="K675" s="25" t="s">
        <v>6281</v>
      </c>
      <c r="L675" s="26" t="s">
        <v>10707</v>
      </c>
      <c r="M675" s="26" t="s">
        <v>10701</v>
      </c>
      <c r="N675" s="27" t="s">
        <v>10702</v>
      </c>
      <c r="O675" s="26" t="s">
        <v>6295</v>
      </c>
      <c r="P675" s="20" t="b">
        <v>1</v>
      </c>
      <c r="Q675" s="20" t="s">
        <v>6282</v>
      </c>
      <c r="R675" s="28" t="s">
        <v>6283</v>
      </c>
      <c r="S675" s="25"/>
      <c r="T675" s="20" t="b">
        <v>1</v>
      </c>
      <c r="U675" s="25"/>
      <c r="V675" s="25">
        <v>0.47660000000000002</v>
      </c>
      <c r="W675" s="28" t="s">
        <v>10708</v>
      </c>
      <c r="X675" s="28" t="s">
        <v>6285</v>
      </c>
      <c r="Y675" s="28" t="s">
        <v>6286</v>
      </c>
      <c r="Z675" s="28" t="s">
        <v>6287</v>
      </c>
      <c r="AA675" s="28" t="s">
        <v>6288</v>
      </c>
      <c r="AB675" s="28" t="s">
        <v>6297</v>
      </c>
    </row>
    <row r="676" spans="1:28" ht="185.4" x14ac:dyDescent="0.3">
      <c r="A676" s="25">
        <v>8614</v>
      </c>
      <c r="B676" s="25" t="s">
        <v>10709</v>
      </c>
      <c r="C676" s="25" t="s">
        <v>10710</v>
      </c>
      <c r="D676" s="25" t="s">
        <v>6278</v>
      </c>
      <c r="E676" s="16" t="s">
        <v>6279</v>
      </c>
      <c r="F676" s="16" t="s">
        <v>6279</v>
      </c>
      <c r="G676" s="16" t="s">
        <v>6279</v>
      </c>
      <c r="H676" s="16" t="s">
        <v>6279</v>
      </c>
      <c r="I676" s="25" t="s">
        <v>10711</v>
      </c>
      <c r="J676" s="25"/>
      <c r="K676" s="25" t="s">
        <v>6281</v>
      </c>
      <c r="L676" s="26" t="s">
        <v>10712</v>
      </c>
      <c r="M676" s="26" t="s">
        <v>10713</v>
      </c>
      <c r="N676" s="27" t="s">
        <v>10714</v>
      </c>
      <c r="O676" s="26" t="s">
        <v>6295</v>
      </c>
      <c r="P676" s="20" t="b">
        <v>1</v>
      </c>
      <c r="Q676" s="20" t="s">
        <v>6282</v>
      </c>
      <c r="R676" s="28" t="s">
        <v>6283</v>
      </c>
      <c r="S676" s="25"/>
      <c r="T676" s="20" t="b">
        <v>1</v>
      </c>
      <c r="U676" s="25"/>
      <c r="V676" s="25">
        <v>4250.84</v>
      </c>
      <c r="W676" s="28" t="s">
        <v>10715</v>
      </c>
      <c r="X676" s="28" t="s">
        <v>6285</v>
      </c>
      <c r="Y676" s="28" t="s">
        <v>6286</v>
      </c>
      <c r="Z676" s="28" t="s">
        <v>6287</v>
      </c>
      <c r="AA676" s="28" t="s">
        <v>6288</v>
      </c>
      <c r="AB676" s="28" t="s">
        <v>6297</v>
      </c>
    </row>
    <row r="677" spans="1:28" ht="185.4" x14ac:dyDescent="0.3">
      <c r="A677" s="25">
        <v>8624</v>
      </c>
      <c r="B677" s="25" t="s">
        <v>10716</v>
      </c>
      <c r="C677" s="25" t="s">
        <v>6410</v>
      </c>
      <c r="D677" s="25" t="s">
        <v>6291</v>
      </c>
      <c r="E677" s="16" t="s">
        <v>6292</v>
      </c>
      <c r="F677" s="16" t="s">
        <v>6292</v>
      </c>
      <c r="G677" s="16" t="s">
        <v>6292</v>
      </c>
      <c r="H677" s="16" t="s">
        <v>6292</v>
      </c>
      <c r="I677" s="25" t="s">
        <v>10717</v>
      </c>
      <c r="J677" s="25"/>
      <c r="K677" s="25" t="s">
        <v>6281</v>
      </c>
      <c r="L677" s="26" t="s">
        <v>10718</v>
      </c>
      <c r="M677" s="26" t="s">
        <v>10719</v>
      </c>
      <c r="N677" s="27" t="s">
        <v>10720</v>
      </c>
      <c r="O677" s="26" t="s">
        <v>6295</v>
      </c>
      <c r="P677" s="20" t="b">
        <v>1</v>
      </c>
      <c r="Q677" s="20" t="s">
        <v>6282</v>
      </c>
      <c r="R677" s="28" t="s">
        <v>6283</v>
      </c>
      <c r="S677" s="25"/>
      <c r="T677" s="20" t="b">
        <v>1</v>
      </c>
      <c r="U677" s="25"/>
      <c r="V677" s="25">
        <v>44.34</v>
      </c>
      <c r="W677" s="28" t="s">
        <v>10721</v>
      </c>
      <c r="X677" s="28" t="s">
        <v>6285</v>
      </c>
      <c r="Y677" s="28" t="s">
        <v>6286</v>
      </c>
      <c r="Z677" s="28" t="s">
        <v>6287</v>
      </c>
      <c r="AA677" s="28" t="s">
        <v>6288</v>
      </c>
      <c r="AB677" s="28" t="s">
        <v>6297</v>
      </c>
    </row>
    <row r="678" spans="1:28" ht="185.4" x14ac:dyDescent="0.3">
      <c r="A678" s="25">
        <v>8626</v>
      </c>
      <c r="B678" s="25" t="s">
        <v>10722</v>
      </c>
      <c r="C678" s="25" t="s">
        <v>10723</v>
      </c>
      <c r="D678" s="25" t="s">
        <v>6291</v>
      </c>
      <c r="E678" s="16" t="s">
        <v>6786</v>
      </c>
      <c r="F678" s="16" t="s">
        <v>6786</v>
      </c>
      <c r="G678" s="16" t="s">
        <v>6786</v>
      </c>
      <c r="H678" s="16" t="s">
        <v>6786</v>
      </c>
      <c r="I678" s="25" t="s">
        <v>10724</v>
      </c>
      <c r="J678" s="25"/>
      <c r="K678" s="25" t="s">
        <v>6281</v>
      </c>
      <c r="L678" s="26" t="s">
        <v>10725</v>
      </c>
      <c r="M678" s="26" t="s">
        <v>6295</v>
      </c>
      <c r="N678" s="27" t="s">
        <v>10726</v>
      </c>
      <c r="O678" s="26" t="s">
        <v>6295</v>
      </c>
      <c r="P678" s="20" t="b">
        <v>1</v>
      </c>
      <c r="Q678" s="20" t="s">
        <v>6282</v>
      </c>
      <c r="R678" s="28" t="s">
        <v>6283</v>
      </c>
      <c r="S678" s="25"/>
      <c r="T678" s="20" t="b">
        <v>1</v>
      </c>
      <c r="U678" s="25"/>
      <c r="V678" s="25">
        <v>1860</v>
      </c>
      <c r="W678" s="28" t="s">
        <v>10727</v>
      </c>
      <c r="X678" s="28" t="s">
        <v>6285</v>
      </c>
      <c r="Y678" s="28" t="s">
        <v>6286</v>
      </c>
      <c r="Z678" s="28" t="s">
        <v>6287</v>
      </c>
      <c r="AA678" s="28" t="s">
        <v>6288</v>
      </c>
      <c r="AB678" s="28" t="s">
        <v>6297</v>
      </c>
    </row>
    <row r="679" spans="1:28" ht="185.4" x14ac:dyDescent="0.3">
      <c r="A679" s="25">
        <v>8637</v>
      </c>
      <c r="B679" s="25" t="s">
        <v>10728</v>
      </c>
      <c r="C679" s="25" t="s">
        <v>10729</v>
      </c>
      <c r="D679" s="25" t="s">
        <v>6278</v>
      </c>
      <c r="E679" s="16" t="s">
        <v>6279</v>
      </c>
      <c r="F679" s="16" t="s">
        <v>6279</v>
      </c>
      <c r="G679" s="16" t="s">
        <v>6279</v>
      </c>
      <c r="H679" s="16" t="s">
        <v>6279</v>
      </c>
      <c r="I679" s="25" t="s">
        <v>10730</v>
      </c>
      <c r="J679" s="25"/>
      <c r="K679" s="25" t="s">
        <v>6281</v>
      </c>
      <c r="L679" s="26" t="s">
        <v>10731</v>
      </c>
      <c r="M679" s="26" t="s">
        <v>6295</v>
      </c>
      <c r="N679" s="27" t="s">
        <v>10732</v>
      </c>
      <c r="O679" s="26" t="s">
        <v>6295</v>
      </c>
      <c r="P679" s="20" t="b">
        <v>1</v>
      </c>
      <c r="Q679" s="20" t="s">
        <v>6282</v>
      </c>
      <c r="R679" s="28" t="s">
        <v>6283</v>
      </c>
      <c r="S679" s="25"/>
      <c r="T679" s="20" t="b">
        <v>1</v>
      </c>
      <c r="U679" s="25"/>
      <c r="V679" s="25">
        <v>240.33</v>
      </c>
      <c r="W679" s="28" t="s">
        <v>10733</v>
      </c>
      <c r="X679" s="28" t="s">
        <v>6285</v>
      </c>
      <c r="Y679" s="28" t="s">
        <v>6286</v>
      </c>
      <c r="Z679" s="28" t="s">
        <v>6287</v>
      </c>
      <c r="AA679" s="28" t="s">
        <v>6288</v>
      </c>
      <c r="AB679" s="28" t="s">
        <v>6297</v>
      </c>
    </row>
    <row r="680" spans="1:28" ht="185.4" x14ac:dyDescent="0.3">
      <c r="A680" s="25">
        <v>8638</v>
      </c>
      <c r="B680" s="25" t="s">
        <v>10734</v>
      </c>
      <c r="C680" s="25" t="s">
        <v>10735</v>
      </c>
      <c r="D680" s="25" t="s">
        <v>6278</v>
      </c>
      <c r="E680" s="16" t="s">
        <v>6279</v>
      </c>
      <c r="F680" s="16" t="s">
        <v>6279</v>
      </c>
      <c r="G680" s="16" t="s">
        <v>6279</v>
      </c>
      <c r="H680" s="16" t="s">
        <v>6279</v>
      </c>
      <c r="I680" s="25" t="s">
        <v>10736</v>
      </c>
      <c r="J680" s="25"/>
      <c r="K680" s="25" t="s">
        <v>6281</v>
      </c>
      <c r="L680" s="26" t="s">
        <v>10737</v>
      </c>
      <c r="M680" s="26" t="s">
        <v>10738</v>
      </c>
      <c r="N680" s="27" t="s">
        <v>10739</v>
      </c>
      <c r="O680" s="26" t="s">
        <v>6295</v>
      </c>
      <c r="P680" s="20" t="b">
        <v>1</v>
      </c>
      <c r="Q680" s="20" t="s">
        <v>6282</v>
      </c>
      <c r="R680" s="28" t="s">
        <v>6283</v>
      </c>
      <c r="S680" s="25"/>
      <c r="T680" s="20" t="b">
        <v>1</v>
      </c>
      <c r="U680" s="25"/>
      <c r="V680" s="25">
        <v>404.96</v>
      </c>
      <c r="W680" s="28" t="s">
        <v>10740</v>
      </c>
      <c r="X680" s="28" t="s">
        <v>6285</v>
      </c>
      <c r="Y680" s="28" t="s">
        <v>6286</v>
      </c>
      <c r="Z680" s="28" t="s">
        <v>6287</v>
      </c>
      <c r="AA680" s="28" t="s">
        <v>6288</v>
      </c>
      <c r="AB680" s="28" t="s">
        <v>6297</v>
      </c>
    </row>
    <row r="681" spans="1:28" ht="193.2" x14ac:dyDescent="0.3">
      <c r="A681" s="25">
        <v>8642</v>
      </c>
      <c r="B681" s="25" t="s">
        <v>10741</v>
      </c>
      <c r="C681" s="25" t="s">
        <v>10742</v>
      </c>
      <c r="D681" s="25" t="s">
        <v>6291</v>
      </c>
      <c r="E681" s="16" t="s">
        <v>6292</v>
      </c>
      <c r="F681" s="16" t="s">
        <v>6292</v>
      </c>
      <c r="G681" s="16" t="s">
        <v>6292</v>
      </c>
      <c r="H681" s="16" t="s">
        <v>6292</v>
      </c>
      <c r="I681" s="25" t="s">
        <v>10743</v>
      </c>
      <c r="J681" s="25"/>
      <c r="K681" s="25" t="s">
        <v>6281</v>
      </c>
      <c r="L681" s="26" t="s">
        <v>10744</v>
      </c>
      <c r="M681" s="26" t="s">
        <v>10745</v>
      </c>
      <c r="N681" s="27" t="s">
        <v>10746</v>
      </c>
      <c r="O681" s="26" t="s">
        <v>10747</v>
      </c>
      <c r="P681" s="20" t="b">
        <v>1</v>
      </c>
      <c r="Q681" s="20" t="s">
        <v>6282</v>
      </c>
      <c r="R681" s="28" t="s">
        <v>6283</v>
      </c>
      <c r="S681" s="25"/>
      <c r="T681" s="20" t="b">
        <v>1</v>
      </c>
      <c r="U681" s="25"/>
      <c r="V681" s="25" t="s">
        <v>6295</v>
      </c>
      <c r="W681" s="28" t="s">
        <v>10748</v>
      </c>
      <c r="X681" s="28" t="s">
        <v>6285</v>
      </c>
      <c r="Y681" s="28" t="s">
        <v>6286</v>
      </c>
      <c r="Z681" s="28" t="s">
        <v>6287</v>
      </c>
      <c r="AA681" s="28" t="s">
        <v>6288</v>
      </c>
      <c r="AB681" s="28" t="s">
        <v>6297</v>
      </c>
    </row>
    <row r="682" spans="1:28" ht="185.4" x14ac:dyDescent="0.3">
      <c r="A682" s="25">
        <v>8643</v>
      </c>
      <c r="B682" s="25" t="s">
        <v>10749</v>
      </c>
      <c r="C682" s="25" t="s">
        <v>10750</v>
      </c>
      <c r="D682" s="25" t="s">
        <v>6291</v>
      </c>
      <c r="E682" s="16" t="s">
        <v>6292</v>
      </c>
      <c r="F682" s="16" t="s">
        <v>6292</v>
      </c>
      <c r="G682" s="16" t="s">
        <v>6292</v>
      </c>
      <c r="H682" s="16" t="s">
        <v>6292</v>
      </c>
      <c r="I682" s="25" t="s">
        <v>10751</v>
      </c>
      <c r="J682" s="25"/>
      <c r="K682" s="25" t="s">
        <v>6281</v>
      </c>
      <c r="L682" s="26" t="s">
        <v>10752</v>
      </c>
      <c r="M682" s="26" t="s">
        <v>10753</v>
      </c>
      <c r="N682" s="27" t="s">
        <v>10754</v>
      </c>
      <c r="O682" s="26" t="s">
        <v>6295</v>
      </c>
      <c r="P682" s="20" t="b">
        <v>1</v>
      </c>
      <c r="Q682" s="20" t="s">
        <v>6282</v>
      </c>
      <c r="R682" s="28" t="s">
        <v>6283</v>
      </c>
      <c r="S682" s="25"/>
      <c r="T682" s="20" t="b">
        <v>1</v>
      </c>
      <c r="U682" s="25"/>
      <c r="V682" s="25">
        <v>43.36</v>
      </c>
      <c r="W682" s="28" t="s">
        <v>10755</v>
      </c>
      <c r="X682" s="28" t="s">
        <v>6285</v>
      </c>
      <c r="Y682" s="28" t="s">
        <v>6286</v>
      </c>
      <c r="Z682" s="28" t="s">
        <v>6287</v>
      </c>
      <c r="AA682" s="28" t="s">
        <v>6288</v>
      </c>
      <c r="AB682" s="28" t="s">
        <v>6297</v>
      </c>
    </row>
    <row r="683" spans="1:28" ht="185.4" x14ac:dyDescent="0.3">
      <c r="A683" s="25">
        <v>8644</v>
      </c>
      <c r="B683" s="25" t="s">
        <v>10756</v>
      </c>
      <c r="C683" s="25" t="s">
        <v>10750</v>
      </c>
      <c r="D683" s="25" t="s">
        <v>6291</v>
      </c>
      <c r="E683" s="16" t="s">
        <v>6292</v>
      </c>
      <c r="F683" s="16" t="s">
        <v>6292</v>
      </c>
      <c r="G683" s="16" t="s">
        <v>6292</v>
      </c>
      <c r="H683" s="16" t="s">
        <v>6292</v>
      </c>
      <c r="I683" s="25" t="s">
        <v>10757</v>
      </c>
      <c r="J683" s="25"/>
      <c r="K683" s="25" t="s">
        <v>6281</v>
      </c>
      <c r="L683" s="26" t="s">
        <v>10758</v>
      </c>
      <c r="M683" s="26" t="s">
        <v>10759</v>
      </c>
      <c r="N683" s="27" t="s">
        <v>10760</v>
      </c>
      <c r="O683" s="26" t="s">
        <v>6295</v>
      </c>
      <c r="P683" s="20" t="b">
        <v>1</v>
      </c>
      <c r="Q683" s="20" t="s">
        <v>6282</v>
      </c>
      <c r="R683" s="28" t="s">
        <v>6283</v>
      </c>
      <c r="S683" s="25"/>
      <c r="T683" s="20" t="b">
        <v>1</v>
      </c>
      <c r="U683" s="25"/>
      <c r="V683" s="25">
        <v>6.01</v>
      </c>
      <c r="W683" s="28" t="s">
        <v>10761</v>
      </c>
      <c r="X683" s="28" t="s">
        <v>6285</v>
      </c>
      <c r="Y683" s="28" t="s">
        <v>6286</v>
      </c>
      <c r="Z683" s="28" t="s">
        <v>6287</v>
      </c>
      <c r="AA683" s="28" t="s">
        <v>6288</v>
      </c>
      <c r="AB683" s="28" t="s">
        <v>6297</v>
      </c>
    </row>
    <row r="684" spans="1:28" ht="185.4" x14ac:dyDescent="0.3">
      <c r="A684" s="25">
        <v>8650</v>
      </c>
      <c r="B684" s="25" t="s">
        <v>10762</v>
      </c>
      <c r="C684" s="25" t="s">
        <v>10763</v>
      </c>
      <c r="D684" s="25" t="s">
        <v>6291</v>
      </c>
      <c r="E684" s="16" t="s">
        <v>6786</v>
      </c>
      <c r="F684" s="16" t="s">
        <v>6786</v>
      </c>
      <c r="G684" s="16" t="s">
        <v>6786</v>
      </c>
      <c r="H684" s="16" t="s">
        <v>6786</v>
      </c>
      <c r="I684" s="25" t="s">
        <v>10764</v>
      </c>
      <c r="J684" s="25"/>
      <c r="K684" s="25" t="s">
        <v>6281</v>
      </c>
      <c r="L684" s="26" t="s">
        <v>10765</v>
      </c>
      <c r="M684" s="26" t="s">
        <v>10766</v>
      </c>
      <c r="N684" s="27" t="s">
        <v>10767</v>
      </c>
      <c r="O684" s="26" t="s">
        <v>10768</v>
      </c>
      <c r="P684" s="20" t="b">
        <v>1</v>
      </c>
      <c r="Q684" s="20" t="s">
        <v>6282</v>
      </c>
      <c r="R684" s="28" t="s">
        <v>6283</v>
      </c>
      <c r="S684" s="25"/>
      <c r="T684" s="20" t="b">
        <v>1</v>
      </c>
      <c r="U684" s="25"/>
      <c r="V684" s="25">
        <v>4.1036000000000001</v>
      </c>
      <c r="W684" s="28" t="s">
        <v>10769</v>
      </c>
      <c r="X684" s="28" t="s">
        <v>6285</v>
      </c>
      <c r="Y684" s="28" t="s">
        <v>6286</v>
      </c>
      <c r="Z684" s="28" t="s">
        <v>6287</v>
      </c>
      <c r="AA684" s="28" t="s">
        <v>6288</v>
      </c>
      <c r="AB684" s="28" t="s">
        <v>6297</v>
      </c>
    </row>
    <row r="685" spans="1:28" ht="185.4" x14ac:dyDescent="0.3">
      <c r="A685" s="25">
        <v>8651</v>
      </c>
      <c r="B685" s="25" t="s">
        <v>10770</v>
      </c>
      <c r="C685" s="25" t="s">
        <v>10771</v>
      </c>
      <c r="D685" s="25" t="s">
        <v>6291</v>
      </c>
      <c r="E685" s="16" t="s">
        <v>6786</v>
      </c>
      <c r="F685" s="16" t="s">
        <v>6786</v>
      </c>
      <c r="G685" s="16" t="s">
        <v>6786</v>
      </c>
      <c r="H685" s="16" t="s">
        <v>6786</v>
      </c>
      <c r="I685" s="25" t="s">
        <v>10772</v>
      </c>
      <c r="J685" s="25"/>
      <c r="K685" s="25" t="s">
        <v>6281</v>
      </c>
      <c r="L685" s="26" t="s">
        <v>10773</v>
      </c>
      <c r="M685" s="26" t="s">
        <v>10774</v>
      </c>
      <c r="N685" s="27" t="s">
        <v>10775</v>
      </c>
      <c r="O685" s="26" t="s">
        <v>10776</v>
      </c>
      <c r="P685" s="20" t="b">
        <v>1</v>
      </c>
      <c r="Q685" s="20" t="s">
        <v>6282</v>
      </c>
      <c r="R685" s="28" t="s">
        <v>6283</v>
      </c>
      <c r="S685" s="25"/>
      <c r="T685" s="20" t="b">
        <v>1</v>
      </c>
      <c r="U685" s="25"/>
      <c r="V685" s="25">
        <v>4.42</v>
      </c>
      <c r="W685" s="28" t="s">
        <v>10777</v>
      </c>
      <c r="X685" s="28" t="s">
        <v>6285</v>
      </c>
      <c r="Y685" s="28" t="s">
        <v>6286</v>
      </c>
      <c r="Z685" s="28" t="s">
        <v>6287</v>
      </c>
      <c r="AA685" s="28" t="s">
        <v>6288</v>
      </c>
      <c r="AB685" s="28" t="s">
        <v>6297</v>
      </c>
    </row>
    <row r="686" spans="1:28" ht="185.4" x14ac:dyDescent="0.3">
      <c r="A686" s="25">
        <v>8658</v>
      </c>
      <c r="B686" s="25" t="s">
        <v>10778</v>
      </c>
      <c r="C686" s="25" t="s">
        <v>10779</v>
      </c>
      <c r="D686" s="25" t="s">
        <v>6278</v>
      </c>
      <c r="E686" s="16" t="s">
        <v>6279</v>
      </c>
      <c r="F686" s="16" t="s">
        <v>6279</v>
      </c>
      <c r="G686" s="16" t="s">
        <v>6279</v>
      </c>
      <c r="H686" s="16" t="s">
        <v>6279</v>
      </c>
      <c r="I686" s="25" t="s">
        <v>10780</v>
      </c>
      <c r="J686" s="25"/>
      <c r="K686" s="25" t="s">
        <v>6281</v>
      </c>
      <c r="L686" s="26" t="s">
        <v>10781</v>
      </c>
      <c r="M686" s="26" t="s">
        <v>10782</v>
      </c>
      <c r="N686" s="27" t="s">
        <v>10783</v>
      </c>
      <c r="O686" s="26" t="s">
        <v>10784</v>
      </c>
      <c r="P686" s="20" t="b">
        <v>1</v>
      </c>
      <c r="Q686" s="20" t="s">
        <v>6282</v>
      </c>
      <c r="R686" s="28" t="s">
        <v>6283</v>
      </c>
      <c r="S686" s="25"/>
      <c r="T686" s="20" t="b">
        <v>1</v>
      </c>
      <c r="U686" s="25"/>
      <c r="V686" s="25">
        <v>95.91</v>
      </c>
      <c r="W686" s="28" t="s">
        <v>10785</v>
      </c>
      <c r="X686" s="28" t="s">
        <v>6285</v>
      </c>
      <c r="Y686" s="28" t="s">
        <v>6286</v>
      </c>
      <c r="Z686" s="28" t="s">
        <v>6287</v>
      </c>
      <c r="AA686" s="28" t="s">
        <v>6288</v>
      </c>
      <c r="AB686" s="28" t="s">
        <v>6297</v>
      </c>
    </row>
    <row r="687" spans="1:28" ht="185.4" x14ac:dyDescent="0.3">
      <c r="A687" s="25">
        <v>8659</v>
      </c>
      <c r="B687" s="25" t="s">
        <v>10786</v>
      </c>
      <c r="C687" s="25" t="s">
        <v>10787</v>
      </c>
      <c r="D687" s="25" t="s">
        <v>6278</v>
      </c>
      <c r="E687" s="16" t="s">
        <v>6279</v>
      </c>
      <c r="F687" s="16" t="s">
        <v>6279</v>
      </c>
      <c r="G687" s="16" t="s">
        <v>6279</v>
      </c>
      <c r="H687" s="16" t="s">
        <v>6279</v>
      </c>
      <c r="I687" s="25" t="s">
        <v>10788</v>
      </c>
      <c r="J687" s="25"/>
      <c r="K687" s="25" t="s">
        <v>6281</v>
      </c>
      <c r="L687" s="26" t="s">
        <v>10789</v>
      </c>
      <c r="M687" s="26" t="s">
        <v>10790</v>
      </c>
      <c r="N687" s="27" t="s">
        <v>10791</v>
      </c>
      <c r="O687" s="26" t="s">
        <v>6295</v>
      </c>
      <c r="P687" s="20" t="b">
        <v>1</v>
      </c>
      <c r="Q687" s="20" t="s">
        <v>6282</v>
      </c>
      <c r="R687" s="28" t="s">
        <v>6283</v>
      </c>
      <c r="S687" s="25"/>
      <c r="T687" s="20" t="b">
        <v>1</v>
      </c>
      <c r="U687" s="25"/>
      <c r="V687" s="25">
        <v>20.48</v>
      </c>
      <c r="W687" s="28" t="s">
        <v>10792</v>
      </c>
      <c r="X687" s="28" t="s">
        <v>6285</v>
      </c>
      <c r="Y687" s="28" t="s">
        <v>6286</v>
      </c>
      <c r="Z687" s="28" t="s">
        <v>6287</v>
      </c>
      <c r="AA687" s="28" t="s">
        <v>6288</v>
      </c>
      <c r="AB687" s="28" t="s">
        <v>6297</v>
      </c>
    </row>
    <row r="688" spans="1:28" ht="185.4" x14ac:dyDescent="0.3">
      <c r="A688" s="25">
        <v>8663</v>
      </c>
      <c r="B688" s="25" t="s">
        <v>10793</v>
      </c>
      <c r="C688" s="25" t="s">
        <v>10794</v>
      </c>
      <c r="D688" s="25" t="s">
        <v>6278</v>
      </c>
      <c r="E688" s="16" t="s">
        <v>6279</v>
      </c>
      <c r="F688" s="16" t="s">
        <v>6279</v>
      </c>
      <c r="G688" s="16" t="s">
        <v>6279</v>
      </c>
      <c r="H688" s="16" t="s">
        <v>6279</v>
      </c>
      <c r="I688" s="25" t="s">
        <v>10795</v>
      </c>
      <c r="J688" s="25"/>
      <c r="K688" s="25" t="s">
        <v>6281</v>
      </c>
      <c r="L688" s="26" t="s">
        <v>10796</v>
      </c>
      <c r="M688" s="26" t="s">
        <v>10797</v>
      </c>
      <c r="N688" s="27" t="s">
        <v>10783</v>
      </c>
      <c r="O688" s="26" t="s">
        <v>10784</v>
      </c>
      <c r="P688" s="20" t="b">
        <v>1</v>
      </c>
      <c r="Q688" s="20" t="s">
        <v>6282</v>
      </c>
      <c r="R688" s="28" t="s">
        <v>6283</v>
      </c>
      <c r="S688" s="25"/>
      <c r="T688" s="20" t="b">
        <v>1</v>
      </c>
      <c r="U688" s="25"/>
      <c r="V688" s="25">
        <v>95.91</v>
      </c>
      <c r="W688" s="28" t="s">
        <v>10798</v>
      </c>
      <c r="X688" s="28" t="s">
        <v>6285</v>
      </c>
      <c r="Y688" s="28" t="s">
        <v>6286</v>
      </c>
      <c r="Z688" s="28" t="s">
        <v>6287</v>
      </c>
      <c r="AA688" s="28" t="s">
        <v>6288</v>
      </c>
      <c r="AB688" s="28" t="s">
        <v>6297</v>
      </c>
    </row>
    <row r="689" spans="1:28" ht="185.4" x14ac:dyDescent="0.3">
      <c r="A689" s="25">
        <v>8664</v>
      </c>
      <c r="B689" s="25" t="s">
        <v>10799</v>
      </c>
      <c r="C689" s="25" t="s">
        <v>10800</v>
      </c>
      <c r="D689" s="25" t="s">
        <v>6291</v>
      </c>
      <c r="E689" s="16" t="s">
        <v>6292</v>
      </c>
      <c r="F689" s="16" t="s">
        <v>6292</v>
      </c>
      <c r="G689" s="16" t="s">
        <v>6292</v>
      </c>
      <c r="H689" s="16" t="s">
        <v>6292</v>
      </c>
      <c r="I689" s="25" t="s">
        <v>10801</v>
      </c>
      <c r="J689" s="25"/>
      <c r="K689" s="25" t="s">
        <v>6281</v>
      </c>
      <c r="L689" s="26" t="s">
        <v>10802</v>
      </c>
      <c r="M689" s="26" t="s">
        <v>10803</v>
      </c>
      <c r="N689" s="27" t="s">
        <v>10804</v>
      </c>
      <c r="O689" s="26" t="s">
        <v>10805</v>
      </c>
      <c r="P689" s="20" t="b">
        <v>1</v>
      </c>
      <c r="Q689" s="20" t="s">
        <v>6282</v>
      </c>
      <c r="R689" s="28" t="s">
        <v>6283</v>
      </c>
      <c r="S689" s="25"/>
      <c r="T689" s="20" t="b">
        <v>1</v>
      </c>
      <c r="U689" s="25"/>
      <c r="V689" s="25">
        <v>41.15</v>
      </c>
      <c r="W689" s="28" t="s">
        <v>10806</v>
      </c>
      <c r="X689" s="28" t="s">
        <v>6285</v>
      </c>
      <c r="Y689" s="28" t="s">
        <v>6286</v>
      </c>
      <c r="Z689" s="28" t="s">
        <v>6287</v>
      </c>
      <c r="AA689" s="28" t="s">
        <v>6288</v>
      </c>
      <c r="AB689" s="28" t="s">
        <v>6297</v>
      </c>
    </row>
    <row r="690" spans="1:28" ht="185.4" x14ac:dyDescent="0.3">
      <c r="A690" s="25">
        <v>8665</v>
      </c>
      <c r="B690" s="25" t="s">
        <v>10807</v>
      </c>
      <c r="C690" s="25" t="s">
        <v>10808</v>
      </c>
      <c r="D690" s="25" t="s">
        <v>6291</v>
      </c>
      <c r="E690" s="16" t="s">
        <v>6786</v>
      </c>
      <c r="F690" s="16" t="s">
        <v>6786</v>
      </c>
      <c r="G690" s="16" t="s">
        <v>6786</v>
      </c>
      <c r="H690" s="16" t="s">
        <v>6786</v>
      </c>
      <c r="I690" s="25" t="s">
        <v>10809</v>
      </c>
      <c r="J690" s="25"/>
      <c r="K690" s="25" t="s">
        <v>6281</v>
      </c>
      <c r="L690" s="26" t="s">
        <v>10810</v>
      </c>
      <c r="M690" s="26" t="s">
        <v>10811</v>
      </c>
      <c r="N690" s="27" t="s">
        <v>10812</v>
      </c>
      <c r="O690" s="26" t="s">
        <v>6295</v>
      </c>
      <c r="P690" s="20" t="b">
        <v>1</v>
      </c>
      <c r="Q690" s="20" t="s">
        <v>6282</v>
      </c>
      <c r="R690" s="28" t="s">
        <v>6283</v>
      </c>
      <c r="S690" s="25"/>
      <c r="T690" s="20" t="b">
        <v>1</v>
      </c>
      <c r="U690" s="25"/>
      <c r="V690" s="25">
        <v>23</v>
      </c>
      <c r="W690" s="28" t="s">
        <v>10813</v>
      </c>
      <c r="X690" s="28" t="s">
        <v>6285</v>
      </c>
      <c r="Y690" s="28" t="s">
        <v>6286</v>
      </c>
      <c r="Z690" s="28" t="s">
        <v>6287</v>
      </c>
      <c r="AA690" s="28" t="s">
        <v>6288</v>
      </c>
      <c r="AB690" s="28" t="s">
        <v>6297</v>
      </c>
    </row>
    <row r="691" spans="1:28" ht="185.4" x14ac:dyDescent="0.3">
      <c r="A691" s="25">
        <v>8668</v>
      </c>
      <c r="B691" s="25" t="s">
        <v>10814</v>
      </c>
      <c r="C691" s="25" t="s">
        <v>10815</v>
      </c>
      <c r="D691" s="25" t="s">
        <v>6278</v>
      </c>
      <c r="E691" s="16" t="s">
        <v>6279</v>
      </c>
      <c r="F691" s="16" t="s">
        <v>6279</v>
      </c>
      <c r="G691" s="16" t="s">
        <v>6279</v>
      </c>
      <c r="H691" s="16" t="s">
        <v>6279</v>
      </c>
      <c r="I691" s="25" t="s">
        <v>10816</v>
      </c>
      <c r="J691" s="25"/>
      <c r="K691" s="25" t="s">
        <v>6281</v>
      </c>
      <c r="L691" s="26" t="s">
        <v>10817</v>
      </c>
      <c r="M691" s="26" t="s">
        <v>10818</v>
      </c>
      <c r="N691" s="27" t="s">
        <v>10819</v>
      </c>
      <c r="O691" s="26" t="s">
        <v>6295</v>
      </c>
      <c r="P691" s="20" t="b">
        <v>1</v>
      </c>
      <c r="Q691" s="20" t="s">
        <v>6282</v>
      </c>
      <c r="R691" s="28" t="s">
        <v>6283</v>
      </c>
      <c r="S691" s="25"/>
      <c r="T691" s="20" t="b">
        <v>1</v>
      </c>
      <c r="U691" s="25"/>
      <c r="V691" s="25">
        <v>85.283000000000001</v>
      </c>
      <c r="W691" s="28" t="s">
        <v>10820</v>
      </c>
      <c r="X691" s="28" t="s">
        <v>6285</v>
      </c>
      <c r="Y691" s="28" t="s">
        <v>6286</v>
      </c>
      <c r="Z691" s="28" t="s">
        <v>6287</v>
      </c>
      <c r="AA691" s="28" t="s">
        <v>6288</v>
      </c>
      <c r="AB691" s="28" t="s">
        <v>6297</v>
      </c>
    </row>
    <row r="692" spans="1:28" ht="185.4" x14ac:dyDescent="0.3">
      <c r="A692" s="25">
        <v>8669</v>
      </c>
      <c r="B692" s="25" t="s">
        <v>10821</v>
      </c>
      <c r="C692" s="25" t="s">
        <v>10822</v>
      </c>
      <c r="D692" s="25" t="s">
        <v>6278</v>
      </c>
      <c r="E692" s="16" t="s">
        <v>6279</v>
      </c>
      <c r="F692" s="16" t="s">
        <v>6279</v>
      </c>
      <c r="G692" s="16" t="s">
        <v>6279</v>
      </c>
      <c r="H692" s="16" t="s">
        <v>6279</v>
      </c>
      <c r="I692" s="25" t="s">
        <v>10823</v>
      </c>
      <c r="J692" s="25"/>
      <c r="K692" s="25" t="s">
        <v>6281</v>
      </c>
      <c r="L692" s="26" t="s">
        <v>10824</v>
      </c>
      <c r="M692" s="26" t="s">
        <v>10818</v>
      </c>
      <c r="N692" s="27" t="s">
        <v>10825</v>
      </c>
      <c r="O692" s="26" t="s">
        <v>6295</v>
      </c>
      <c r="P692" s="20" t="b">
        <v>1</v>
      </c>
      <c r="Q692" s="20" t="s">
        <v>6282</v>
      </c>
      <c r="R692" s="28" t="s">
        <v>6283</v>
      </c>
      <c r="S692" s="25"/>
      <c r="T692" s="20" t="b">
        <v>1</v>
      </c>
      <c r="U692" s="25"/>
      <c r="V692" s="25">
        <v>76.384</v>
      </c>
      <c r="W692" s="28" t="s">
        <v>10826</v>
      </c>
      <c r="X692" s="28" t="s">
        <v>6285</v>
      </c>
      <c r="Y692" s="28" t="s">
        <v>6286</v>
      </c>
      <c r="Z692" s="28" t="s">
        <v>6287</v>
      </c>
      <c r="AA692" s="28" t="s">
        <v>6288</v>
      </c>
      <c r="AB692" s="28" t="s">
        <v>6297</v>
      </c>
    </row>
    <row r="693" spans="1:28" ht="185.4" x14ac:dyDescent="0.3">
      <c r="A693" s="25">
        <v>8673</v>
      </c>
      <c r="B693" s="25" t="s">
        <v>10827</v>
      </c>
      <c r="C693" s="25" t="s">
        <v>10828</v>
      </c>
      <c r="D693" s="25" t="s">
        <v>6291</v>
      </c>
      <c r="E693" s="16" t="s">
        <v>6292</v>
      </c>
      <c r="F693" s="16" t="s">
        <v>6292</v>
      </c>
      <c r="G693" s="16" t="s">
        <v>6292</v>
      </c>
      <c r="H693" s="16" t="s">
        <v>6292</v>
      </c>
      <c r="I693" s="25" t="s">
        <v>10829</v>
      </c>
      <c r="J693" s="25"/>
      <c r="K693" s="25" t="s">
        <v>6281</v>
      </c>
      <c r="L693" s="26" t="s">
        <v>10830</v>
      </c>
      <c r="M693" s="26" t="s">
        <v>10831</v>
      </c>
      <c r="N693" s="27" t="s">
        <v>10832</v>
      </c>
      <c r="O693" s="26" t="s">
        <v>6295</v>
      </c>
      <c r="P693" s="20" t="b">
        <v>1</v>
      </c>
      <c r="Q693" s="20" t="s">
        <v>6282</v>
      </c>
      <c r="R693" s="28" t="s">
        <v>6283</v>
      </c>
      <c r="S693" s="25"/>
      <c r="T693" s="20" t="b">
        <v>1</v>
      </c>
      <c r="U693" s="25"/>
      <c r="V693" s="25">
        <v>11.65</v>
      </c>
      <c r="W693" s="28" t="s">
        <v>10833</v>
      </c>
      <c r="X693" s="28" t="s">
        <v>6285</v>
      </c>
      <c r="Y693" s="28" t="s">
        <v>6286</v>
      </c>
      <c r="Z693" s="28" t="s">
        <v>6287</v>
      </c>
      <c r="AA693" s="28" t="s">
        <v>6288</v>
      </c>
      <c r="AB693" s="28" t="s">
        <v>6297</v>
      </c>
    </row>
    <row r="694" spans="1:28" ht="185.4" x14ac:dyDescent="0.3">
      <c r="A694" s="25">
        <v>8675</v>
      </c>
      <c r="B694" s="25" t="s">
        <v>10834</v>
      </c>
      <c r="C694" s="25" t="s">
        <v>10835</v>
      </c>
      <c r="D694" s="25" t="s">
        <v>6278</v>
      </c>
      <c r="E694" s="16" t="s">
        <v>6279</v>
      </c>
      <c r="F694" s="16" t="s">
        <v>6279</v>
      </c>
      <c r="G694" s="16" t="s">
        <v>6279</v>
      </c>
      <c r="H694" s="16" t="s">
        <v>6279</v>
      </c>
      <c r="I694" s="25" t="s">
        <v>10836</v>
      </c>
      <c r="J694" s="25"/>
      <c r="K694" s="25" t="s">
        <v>6281</v>
      </c>
      <c r="L694" s="26" t="s">
        <v>10837</v>
      </c>
      <c r="M694" s="26" t="s">
        <v>10838</v>
      </c>
      <c r="N694" s="27" t="s">
        <v>10839</v>
      </c>
      <c r="O694" s="26" t="s">
        <v>10840</v>
      </c>
      <c r="P694" s="20" t="b">
        <v>1</v>
      </c>
      <c r="Q694" s="20" t="s">
        <v>6282</v>
      </c>
      <c r="R694" s="28" t="s">
        <v>6283</v>
      </c>
      <c r="S694" s="25"/>
      <c r="T694" s="20" t="b">
        <v>1</v>
      </c>
      <c r="U694" s="25"/>
      <c r="V694" s="25">
        <v>37</v>
      </c>
      <c r="W694" s="28" t="s">
        <v>10841</v>
      </c>
      <c r="X694" s="28" t="s">
        <v>6285</v>
      </c>
      <c r="Y694" s="28" t="s">
        <v>6286</v>
      </c>
      <c r="Z694" s="28" t="s">
        <v>6287</v>
      </c>
      <c r="AA694" s="28" t="s">
        <v>6288</v>
      </c>
      <c r="AB694" s="28" t="s">
        <v>6297</v>
      </c>
    </row>
    <row r="695" spans="1:28" ht="185.4" x14ac:dyDescent="0.3">
      <c r="A695" s="25">
        <v>8679</v>
      </c>
      <c r="B695" s="25" t="s">
        <v>10842</v>
      </c>
      <c r="C695" s="25" t="s">
        <v>10627</v>
      </c>
      <c r="D695" s="25" t="s">
        <v>6291</v>
      </c>
      <c r="E695" s="16" t="s">
        <v>6292</v>
      </c>
      <c r="F695" s="16" t="s">
        <v>6292</v>
      </c>
      <c r="G695" s="16" t="s">
        <v>6292</v>
      </c>
      <c r="H695" s="16" t="s">
        <v>6292</v>
      </c>
      <c r="I695" s="25" t="s">
        <v>10843</v>
      </c>
      <c r="J695" s="25"/>
      <c r="K695" s="25" t="s">
        <v>6281</v>
      </c>
      <c r="L695" s="26" t="s">
        <v>10844</v>
      </c>
      <c r="M695" s="26" t="s">
        <v>6295</v>
      </c>
      <c r="N695" s="27" t="s">
        <v>10845</v>
      </c>
      <c r="O695" s="26" t="s">
        <v>6295</v>
      </c>
      <c r="P695" s="20" t="b">
        <v>1</v>
      </c>
      <c r="Q695" s="20" t="s">
        <v>6282</v>
      </c>
      <c r="R695" s="28" t="s">
        <v>6283</v>
      </c>
      <c r="S695" s="25"/>
      <c r="T695" s="20" t="b">
        <v>1</v>
      </c>
      <c r="U695" s="25"/>
      <c r="V695" s="25">
        <v>40.26</v>
      </c>
      <c r="W695" s="28" t="s">
        <v>10846</v>
      </c>
      <c r="X695" s="28" t="s">
        <v>6285</v>
      </c>
      <c r="Y695" s="28" t="s">
        <v>6286</v>
      </c>
      <c r="Z695" s="28" t="s">
        <v>6287</v>
      </c>
      <c r="AA695" s="28" t="s">
        <v>6288</v>
      </c>
      <c r="AB695" s="28" t="s">
        <v>6297</v>
      </c>
    </row>
    <row r="696" spans="1:28" ht="185.4" x14ac:dyDescent="0.3">
      <c r="A696" s="25">
        <v>8680</v>
      </c>
      <c r="B696" s="25" t="s">
        <v>10847</v>
      </c>
      <c r="C696" s="25" t="s">
        <v>10848</v>
      </c>
      <c r="D696" s="25" t="s">
        <v>6291</v>
      </c>
      <c r="E696" s="16" t="s">
        <v>6292</v>
      </c>
      <c r="F696" s="16" t="s">
        <v>6292</v>
      </c>
      <c r="G696" s="16" t="s">
        <v>6292</v>
      </c>
      <c r="H696" s="16" t="s">
        <v>6292</v>
      </c>
      <c r="I696" s="25" t="s">
        <v>10849</v>
      </c>
      <c r="J696" s="25"/>
      <c r="K696" s="25" t="s">
        <v>6281</v>
      </c>
      <c r="L696" s="26" t="s">
        <v>10850</v>
      </c>
      <c r="M696" s="26" t="s">
        <v>6295</v>
      </c>
      <c r="N696" s="27" t="s">
        <v>10851</v>
      </c>
      <c r="O696" s="26" t="s">
        <v>6295</v>
      </c>
      <c r="P696" s="20" t="b">
        <v>1</v>
      </c>
      <c r="Q696" s="20" t="s">
        <v>6282</v>
      </c>
      <c r="R696" s="28" t="s">
        <v>6283</v>
      </c>
      <c r="S696" s="25"/>
      <c r="T696" s="20" t="b">
        <v>1</v>
      </c>
      <c r="U696" s="25"/>
      <c r="V696" s="25">
        <v>463.85</v>
      </c>
      <c r="W696" s="28" t="s">
        <v>10852</v>
      </c>
      <c r="X696" s="28" t="s">
        <v>6285</v>
      </c>
      <c r="Y696" s="28" t="s">
        <v>6286</v>
      </c>
      <c r="Z696" s="28" t="s">
        <v>6287</v>
      </c>
      <c r="AA696" s="28" t="s">
        <v>6288</v>
      </c>
      <c r="AB696" s="28" t="s">
        <v>6297</v>
      </c>
    </row>
    <row r="697" spans="1:28" ht="185.4" x14ac:dyDescent="0.3">
      <c r="A697" s="25">
        <v>8689</v>
      </c>
      <c r="B697" s="25" t="s">
        <v>10853</v>
      </c>
      <c r="C697" s="25" t="s">
        <v>10854</v>
      </c>
      <c r="D697" s="25" t="s">
        <v>6278</v>
      </c>
      <c r="E697" s="16" t="s">
        <v>6279</v>
      </c>
      <c r="F697" s="16" t="s">
        <v>6279</v>
      </c>
      <c r="G697" s="16" t="s">
        <v>6279</v>
      </c>
      <c r="H697" s="16" t="s">
        <v>6279</v>
      </c>
      <c r="I697" s="25" t="s">
        <v>10855</v>
      </c>
      <c r="J697" s="25"/>
      <c r="K697" s="25" t="s">
        <v>6281</v>
      </c>
      <c r="L697" s="26" t="s">
        <v>10856</v>
      </c>
      <c r="M697" s="26" t="s">
        <v>6295</v>
      </c>
      <c r="N697" s="27" t="s">
        <v>10857</v>
      </c>
      <c r="O697" s="26" t="s">
        <v>6295</v>
      </c>
      <c r="P697" s="20" t="b">
        <v>1</v>
      </c>
      <c r="Q697" s="20" t="s">
        <v>6282</v>
      </c>
      <c r="R697" s="28" t="s">
        <v>6283</v>
      </c>
      <c r="S697" s="25"/>
      <c r="T697" s="20" t="b">
        <v>1</v>
      </c>
      <c r="U697" s="25"/>
      <c r="V697" s="25">
        <v>247.78</v>
      </c>
      <c r="W697" s="28" t="s">
        <v>10858</v>
      </c>
      <c r="X697" s="28" t="s">
        <v>6285</v>
      </c>
      <c r="Y697" s="28" t="s">
        <v>6286</v>
      </c>
      <c r="Z697" s="28" t="s">
        <v>6287</v>
      </c>
      <c r="AA697" s="28" t="s">
        <v>6288</v>
      </c>
      <c r="AB697" s="28" t="s">
        <v>6297</v>
      </c>
    </row>
    <row r="698" spans="1:28" ht="185.4" x14ac:dyDescent="0.3">
      <c r="A698" s="25">
        <v>8691</v>
      </c>
      <c r="B698" s="25" t="s">
        <v>10859</v>
      </c>
      <c r="C698" s="25" t="s">
        <v>10860</v>
      </c>
      <c r="D698" s="25" t="s">
        <v>6278</v>
      </c>
      <c r="E698" s="16" t="s">
        <v>6279</v>
      </c>
      <c r="F698" s="16" t="s">
        <v>6279</v>
      </c>
      <c r="G698" s="16" t="s">
        <v>6279</v>
      </c>
      <c r="H698" s="16" t="s">
        <v>6279</v>
      </c>
      <c r="I698" s="25" t="s">
        <v>10861</v>
      </c>
      <c r="J698" s="25"/>
      <c r="K698" s="25" t="s">
        <v>6281</v>
      </c>
      <c r="L698" s="26" t="s">
        <v>10862</v>
      </c>
      <c r="M698" s="26" t="s">
        <v>6295</v>
      </c>
      <c r="N698" s="27" t="s">
        <v>10863</v>
      </c>
      <c r="O698" s="26" t="s">
        <v>6295</v>
      </c>
      <c r="P698" s="20" t="b">
        <v>1</v>
      </c>
      <c r="Q698" s="20" t="s">
        <v>6282</v>
      </c>
      <c r="R698" s="28" t="s">
        <v>6283</v>
      </c>
      <c r="S698" s="25"/>
      <c r="T698" s="20" t="b">
        <v>1</v>
      </c>
      <c r="U698" s="25"/>
      <c r="V698" s="25">
        <v>253.31899999999999</v>
      </c>
      <c r="W698" s="28" t="s">
        <v>10864</v>
      </c>
      <c r="X698" s="28" t="s">
        <v>6285</v>
      </c>
      <c r="Y698" s="28" t="s">
        <v>6286</v>
      </c>
      <c r="Z698" s="28" t="s">
        <v>6287</v>
      </c>
      <c r="AA698" s="28" t="s">
        <v>6288</v>
      </c>
      <c r="AB698" s="28" t="s">
        <v>6297</v>
      </c>
    </row>
    <row r="699" spans="1:28" ht="185.4" x14ac:dyDescent="0.3">
      <c r="A699" s="25">
        <v>8692</v>
      </c>
      <c r="B699" s="25" t="s">
        <v>10865</v>
      </c>
      <c r="C699" s="25" t="s">
        <v>10866</v>
      </c>
      <c r="D699" s="25" t="s">
        <v>6278</v>
      </c>
      <c r="E699" s="16" t="s">
        <v>6279</v>
      </c>
      <c r="F699" s="16" t="s">
        <v>6279</v>
      </c>
      <c r="G699" s="16" t="s">
        <v>6279</v>
      </c>
      <c r="H699" s="16" t="s">
        <v>6279</v>
      </c>
      <c r="I699" s="25" t="s">
        <v>10867</v>
      </c>
      <c r="J699" s="25"/>
      <c r="K699" s="25" t="s">
        <v>6281</v>
      </c>
      <c r="L699" s="26" t="s">
        <v>10868</v>
      </c>
      <c r="M699" s="26" t="s">
        <v>6295</v>
      </c>
      <c r="N699" s="27" t="s">
        <v>10869</v>
      </c>
      <c r="O699" s="26" t="s">
        <v>6295</v>
      </c>
      <c r="P699" s="20" t="b">
        <v>1</v>
      </c>
      <c r="Q699" s="20" t="s">
        <v>6282</v>
      </c>
      <c r="R699" s="28" t="s">
        <v>6283</v>
      </c>
      <c r="S699" s="25"/>
      <c r="T699" s="20" t="b">
        <v>1</v>
      </c>
      <c r="U699" s="25"/>
      <c r="V699" s="25">
        <v>82.103999999999999</v>
      </c>
      <c r="W699" s="28" t="s">
        <v>10870</v>
      </c>
      <c r="X699" s="28" t="s">
        <v>6285</v>
      </c>
      <c r="Y699" s="28" t="s">
        <v>6286</v>
      </c>
      <c r="Z699" s="28" t="s">
        <v>6287</v>
      </c>
      <c r="AA699" s="28" t="s">
        <v>6288</v>
      </c>
      <c r="AB699" s="28" t="s">
        <v>6297</v>
      </c>
    </row>
    <row r="700" spans="1:28" ht="185.4" x14ac:dyDescent="0.3">
      <c r="A700" s="25">
        <v>8693</v>
      </c>
      <c r="B700" s="25" t="s">
        <v>10871</v>
      </c>
      <c r="C700" s="25" t="s">
        <v>10872</v>
      </c>
      <c r="D700" s="25" t="s">
        <v>6278</v>
      </c>
      <c r="E700" s="16" t="s">
        <v>6279</v>
      </c>
      <c r="F700" s="16" t="s">
        <v>6279</v>
      </c>
      <c r="G700" s="16" t="s">
        <v>6279</v>
      </c>
      <c r="H700" s="16" t="s">
        <v>6279</v>
      </c>
      <c r="I700" s="25" t="s">
        <v>10873</v>
      </c>
      <c r="J700" s="25"/>
      <c r="K700" s="25" t="s">
        <v>6281</v>
      </c>
      <c r="L700" s="26" t="s">
        <v>10874</v>
      </c>
      <c r="M700" s="26" t="s">
        <v>10875</v>
      </c>
      <c r="N700" s="27" t="s">
        <v>10876</v>
      </c>
      <c r="O700" s="26" t="s">
        <v>10840</v>
      </c>
      <c r="P700" s="20" t="b">
        <v>1</v>
      </c>
      <c r="Q700" s="20" t="s">
        <v>6282</v>
      </c>
      <c r="R700" s="28" t="s">
        <v>6283</v>
      </c>
      <c r="S700" s="25"/>
      <c r="T700" s="20" t="b">
        <v>1</v>
      </c>
      <c r="U700" s="25"/>
      <c r="V700" s="25">
        <v>56.5</v>
      </c>
      <c r="W700" s="28" t="s">
        <v>10877</v>
      </c>
      <c r="X700" s="28" t="s">
        <v>6285</v>
      </c>
      <c r="Y700" s="28" t="s">
        <v>6286</v>
      </c>
      <c r="Z700" s="28" t="s">
        <v>6287</v>
      </c>
      <c r="AA700" s="28" t="s">
        <v>6288</v>
      </c>
      <c r="AB700" s="28" t="s">
        <v>6297</v>
      </c>
    </row>
    <row r="701" spans="1:28" ht="185.4" x14ac:dyDescent="0.3">
      <c r="A701" s="25">
        <v>8707</v>
      </c>
      <c r="B701" s="25" t="s">
        <v>10878</v>
      </c>
      <c r="C701" s="25" t="s">
        <v>10879</v>
      </c>
      <c r="D701" s="25" t="s">
        <v>6278</v>
      </c>
      <c r="E701" s="16" t="s">
        <v>6279</v>
      </c>
      <c r="F701" s="16" t="s">
        <v>6279</v>
      </c>
      <c r="G701" s="16" t="s">
        <v>6279</v>
      </c>
      <c r="H701" s="16" t="s">
        <v>6279</v>
      </c>
      <c r="I701" s="25" t="s">
        <v>10880</v>
      </c>
      <c r="J701" s="25"/>
      <c r="K701" s="25" t="s">
        <v>6281</v>
      </c>
      <c r="L701" s="26" t="s">
        <v>10881</v>
      </c>
      <c r="M701" s="26" t="s">
        <v>10882</v>
      </c>
      <c r="N701" s="27" t="s">
        <v>10883</v>
      </c>
      <c r="O701" s="26" t="s">
        <v>6295</v>
      </c>
      <c r="P701" s="20" t="b">
        <v>1</v>
      </c>
      <c r="Q701" s="20" t="s">
        <v>6282</v>
      </c>
      <c r="R701" s="28" t="s">
        <v>6283</v>
      </c>
      <c r="S701" s="25"/>
      <c r="T701" s="20" t="b">
        <v>1</v>
      </c>
      <c r="U701" s="25"/>
      <c r="V701" s="25">
        <v>79.61</v>
      </c>
      <c r="W701" s="28" t="s">
        <v>10884</v>
      </c>
      <c r="X701" s="28" t="s">
        <v>6285</v>
      </c>
      <c r="Y701" s="28" t="s">
        <v>6286</v>
      </c>
      <c r="Z701" s="28" t="s">
        <v>6287</v>
      </c>
      <c r="AA701" s="28" t="s">
        <v>6288</v>
      </c>
      <c r="AB701" s="28" t="s">
        <v>6297</v>
      </c>
    </row>
    <row r="702" spans="1:28" ht="185.4" x14ac:dyDescent="0.3">
      <c r="A702" s="25">
        <v>8715</v>
      </c>
      <c r="B702" s="25" t="s">
        <v>10885</v>
      </c>
      <c r="C702" s="25" t="s">
        <v>10886</v>
      </c>
      <c r="D702" s="25" t="s">
        <v>6291</v>
      </c>
      <c r="E702" s="16" t="s">
        <v>6292</v>
      </c>
      <c r="F702" s="16" t="s">
        <v>6292</v>
      </c>
      <c r="G702" s="16" t="s">
        <v>6292</v>
      </c>
      <c r="H702" s="16" t="s">
        <v>6292</v>
      </c>
      <c r="I702" s="25" t="s">
        <v>10887</v>
      </c>
      <c r="J702" s="25"/>
      <c r="K702" s="25" t="s">
        <v>6281</v>
      </c>
      <c r="L702" s="26" t="s">
        <v>10888</v>
      </c>
      <c r="M702" s="26" t="s">
        <v>10889</v>
      </c>
      <c r="N702" s="27" t="s">
        <v>10890</v>
      </c>
      <c r="O702" s="26" t="s">
        <v>6295</v>
      </c>
      <c r="P702" s="20" t="b">
        <v>1</v>
      </c>
      <c r="Q702" s="20" t="s">
        <v>6282</v>
      </c>
      <c r="R702" s="28" t="s">
        <v>6283</v>
      </c>
      <c r="S702" s="25"/>
      <c r="T702" s="20" t="b">
        <v>1</v>
      </c>
      <c r="U702" s="25"/>
      <c r="V702" s="25">
        <v>15.564</v>
      </c>
      <c r="W702" s="28" t="s">
        <v>10891</v>
      </c>
      <c r="X702" s="28" t="s">
        <v>6285</v>
      </c>
      <c r="Y702" s="28" t="s">
        <v>6286</v>
      </c>
      <c r="Z702" s="28" t="s">
        <v>6287</v>
      </c>
      <c r="AA702" s="28" t="s">
        <v>6288</v>
      </c>
      <c r="AB702" s="28" t="s">
        <v>6297</v>
      </c>
    </row>
    <row r="703" spans="1:28" ht="185.4" x14ac:dyDescent="0.3">
      <c r="A703" s="25">
        <v>8717</v>
      </c>
      <c r="B703" s="25" t="s">
        <v>10892</v>
      </c>
      <c r="C703" s="25" t="s">
        <v>10893</v>
      </c>
      <c r="D703" s="25" t="s">
        <v>6278</v>
      </c>
      <c r="E703" s="16" t="s">
        <v>6279</v>
      </c>
      <c r="F703" s="16" t="s">
        <v>6279</v>
      </c>
      <c r="G703" s="16" t="s">
        <v>6279</v>
      </c>
      <c r="H703" s="16" t="s">
        <v>6279</v>
      </c>
      <c r="I703" s="25" t="s">
        <v>10894</v>
      </c>
      <c r="J703" s="25"/>
      <c r="K703" s="25" t="s">
        <v>6281</v>
      </c>
      <c r="L703" s="26" t="s">
        <v>10895</v>
      </c>
      <c r="M703" s="26" t="s">
        <v>10896</v>
      </c>
      <c r="N703" s="27" t="s">
        <v>10897</v>
      </c>
      <c r="O703" s="26" t="s">
        <v>6295</v>
      </c>
      <c r="P703" s="20" t="b">
        <v>1</v>
      </c>
      <c r="Q703" s="20" t="s">
        <v>6282</v>
      </c>
      <c r="R703" s="28" t="s">
        <v>6283</v>
      </c>
      <c r="S703" s="25"/>
      <c r="T703" s="20" t="b">
        <v>1</v>
      </c>
      <c r="U703" s="25"/>
      <c r="V703" s="25">
        <v>322.19</v>
      </c>
      <c r="W703" s="28" t="s">
        <v>10898</v>
      </c>
      <c r="X703" s="28" t="s">
        <v>6285</v>
      </c>
      <c r="Y703" s="28" t="s">
        <v>6286</v>
      </c>
      <c r="Z703" s="28" t="s">
        <v>6287</v>
      </c>
      <c r="AA703" s="28" t="s">
        <v>6288</v>
      </c>
      <c r="AB703" s="28" t="s">
        <v>6297</v>
      </c>
    </row>
    <row r="704" spans="1:28" ht="185.4" x14ac:dyDescent="0.3">
      <c r="A704" s="25">
        <v>8719</v>
      </c>
      <c r="B704" s="25" t="s">
        <v>10899</v>
      </c>
      <c r="C704" s="25" t="s">
        <v>10900</v>
      </c>
      <c r="D704" s="25" t="s">
        <v>6291</v>
      </c>
      <c r="E704" s="16" t="s">
        <v>6292</v>
      </c>
      <c r="F704" s="16" t="s">
        <v>6292</v>
      </c>
      <c r="G704" s="16" t="s">
        <v>6292</v>
      </c>
      <c r="H704" s="16" t="s">
        <v>6292</v>
      </c>
      <c r="I704" s="25" t="s">
        <v>10901</v>
      </c>
      <c r="J704" s="25"/>
      <c r="K704" s="25" t="s">
        <v>6281</v>
      </c>
      <c r="L704" s="26" t="s">
        <v>10902</v>
      </c>
      <c r="M704" s="26" t="s">
        <v>10903</v>
      </c>
      <c r="N704" s="27" t="s">
        <v>10904</v>
      </c>
      <c r="O704" s="26" t="s">
        <v>6295</v>
      </c>
      <c r="P704" s="20" t="b">
        <v>1</v>
      </c>
      <c r="Q704" s="20" t="s">
        <v>6282</v>
      </c>
      <c r="R704" s="28" t="s">
        <v>6283</v>
      </c>
      <c r="S704" s="25"/>
      <c r="T704" s="20" t="b">
        <v>1</v>
      </c>
      <c r="U704" s="25"/>
      <c r="V704" s="25">
        <v>879.16</v>
      </c>
      <c r="W704" s="28" t="s">
        <v>10905</v>
      </c>
      <c r="X704" s="28" t="s">
        <v>6285</v>
      </c>
      <c r="Y704" s="28" t="s">
        <v>6286</v>
      </c>
      <c r="Z704" s="28" t="s">
        <v>6287</v>
      </c>
      <c r="AA704" s="28" t="s">
        <v>6288</v>
      </c>
      <c r="AB704" s="28" t="s">
        <v>6297</v>
      </c>
    </row>
    <row r="705" spans="1:28" ht="185.4" x14ac:dyDescent="0.3">
      <c r="A705" s="25">
        <v>8725</v>
      </c>
      <c r="B705" s="25" t="s">
        <v>10906</v>
      </c>
      <c r="C705" s="25" t="s">
        <v>10907</v>
      </c>
      <c r="D705" s="25" t="s">
        <v>6291</v>
      </c>
      <c r="E705" s="16" t="s">
        <v>6786</v>
      </c>
      <c r="F705" s="16" t="s">
        <v>6786</v>
      </c>
      <c r="G705" s="16" t="s">
        <v>6786</v>
      </c>
      <c r="H705" s="16" t="s">
        <v>6786</v>
      </c>
      <c r="I705" s="25" t="s">
        <v>10908</v>
      </c>
      <c r="J705" s="25"/>
      <c r="K705" s="25" t="s">
        <v>6281</v>
      </c>
      <c r="L705" s="26" t="s">
        <v>10909</v>
      </c>
      <c r="M705" s="26" t="s">
        <v>6295</v>
      </c>
      <c r="N705" s="27" t="s">
        <v>10910</v>
      </c>
      <c r="O705" s="26" t="s">
        <v>6295</v>
      </c>
      <c r="P705" s="20" t="b">
        <v>1</v>
      </c>
      <c r="Q705" s="20" t="s">
        <v>6282</v>
      </c>
      <c r="R705" s="28" t="s">
        <v>6283</v>
      </c>
      <c r="S705" s="25"/>
      <c r="T705" s="20" t="b">
        <v>1</v>
      </c>
      <c r="U705" s="25"/>
      <c r="V705" s="25">
        <v>11.694125</v>
      </c>
      <c r="W705" s="28" t="s">
        <v>10911</v>
      </c>
      <c r="X705" s="28" t="s">
        <v>6285</v>
      </c>
      <c r="Y705" s="28" t="s">
        <v>6286</v>
      </c>
      <c r="Z705" s="28" t="s">
        <v>6287</v>
      </c>
      <c r="AA705" s="28" t="s">
        <v>6288</v>
      </c>
      <c r="AB705" s="28" t="s">
        <v>6297</v>
      </c>
    </row>
    <row r="706" spans="1:28" ht="185.4" x14ac:dyDescent="0.3">
      <c r="A706" s="25">
        <v>8726</v>
      </c>
      <c r="B706" s="25" t="s">
        <v>10912</v>
      </c>
      <c r="C706" s="25" t="s">
        <v>10913</v>
      </c>
      <c r="D706" s="25" t="s">
        <v>6278</v>
      </c>
      <c r="E706" s="16" t="s">
        <v>6279</v>
      </c>
      <c r="F706" s="16" t="s">
        <v>6279</v>
      </c>
      <c r="G706" s="16" t="s">
        <v>6279</v>
      </c>
      <c r="H706" s="16" t="s">
        <v>6279</v>
      </c>
      <c r="I706" s="25" t="s">
        <v>10914</v>
      </c>
      <c r="J706" s="25"/>
      <c r="K706" s="25" t="s">
        <v>6281</v>
      </c>
      <c r="L706" s="26" t="s">
        <v>10915</v>
      </c>
      <c r="M706" s="26" t="s">
        <v>10916</v>
      </c>
      <c r="N706" s="27" t="s">
        <v>10917</v>
      </c>
      <c r="O706" s="26" t="s">
        <v>10918</v>
      </c>
      <c r="P706" s="20" t="b">
        <v>1</v>
      </c>
      <c r="Q706" s="20" t="s">
        <v>6282</v>
      </c>
      <c r="R706" s="28" t="s">
        <v>6283</v>
      </c>
      <c r="S706" s="25"/>
      <c r="T706" s="20" t="b">
        <v>1</v>
      </c>
      <c r="U706" s="25"/>
      <c r="V706" s="25">
        <v>783.13990000000001</v>
      </c>
      <c r="W706" s="28" t="s">
        <v>10919</v>
      </c>
      <c r="X706" s="28" t="s">
        <v>6285</v>
      </c>
      <c r="Y706" s="28" t="s">
        <v>6286</v>
      </c>
      <c r="Z706" s="28" t="s">
        <v>6287</v>
      </c>
      <c r="AA706" s="28" t="s">
        <v>6288</v>
      </c>
      <c r="AB706" s="28" t="s">
        <v>6297</v>
      </c>
    </row>
    <row r="707" spans="1:28" ht="185.4" x14ac:dyDescent="0.3">
      <c r="A707" s="25">
        <v>8727</v>
      </c>
      <c r="B707" s="25" t="s">
        <v>10920</v>
      </c>
      <c r="C707" s="25" t="s">
        <v>10921</v>
      </c>
      <c r="D707" s="25" t="s">
        <v>6278</v>
      </c>
      <c r="E707" s="16" t="s">
        <v>6279</v>
      </c>
      <c r="F707" s="16" t="s">
        <v>6279</v>
      </c>
      <c r="G707" s="16" t="s">
        <v>6279</v>
      </c>
      <c r="H707" s="16" t="s">
        <v>6279</v>
      </c>
      <c r="I707" s="25" t="s">
        <v>10922</v>
      </c>
      <c r="J707" s="25"/>
      <c r="K707" s="25" t="s">
        <v>6281</v>
      </c>
      <c r="L707" s="26" t="s">
        <v>10923</v>
      </c>
      <c r="M707" s="26" t="s">
        <v>6295</v>
      </c>
      <c r="N707" s="27" t="s">
        <v>10924</v>
      </c>
      <c r="O707" s="26" t="s">
        <v>6295</v>
      </c>
      <c r="P707" s="20" t="b">
        <v>1</v>
      </c>
      <c r="Q707" s="20" t="s">
        <v>6282</v>
      </c>
      <c r="R707" s="28" t="s">
        <v>6283</v>
      </c>
      <c r="S707" s="25"/>
      <c r="T707" s="20" t="b">
        <v>1</v>
      </c>
      <c r="U707" s="25"/>
      <c r="V707" s="25">
        <v>313.73</v>
      </c>
      <c r="W707" s="28" t="s">
        <v>10925</v>
      </c>
      <c r="X707" s="28" t="s">
        <v>6285</v>
      </c>
      <c r="Y707" s="28" t="s">
        <v>6286</v>
      </c>
      <c r="Z707" s="28" t="s">
        <v>6287</v>
      </c>
      <c r="AA707" s="28" t="s">
        <v>6288</v>
      </c>
      <c r="AB707" s="28" t="s">
        <v>6297</v>
      </c>
    </row>
    <row r="708" spans="1:28" ht="185.4" x14ac:dyDescent="0.3">
      <c r="A708" s="25">
        <v>8728</v>
      </c>
      <c r="B708" s="25" t="s">
        <v>10926</v>
      </c>
      <c r="C708" s="25" t="s">
        <v>10927</v>
      </c>
      <c r="D708" s="25" t="s">
        <v>6278</v>
      </c>
      <c r="E708" s="16" t="s">
        <v>6279</v>
      </c>
      <c r="F708" s="16" t="s">
        <v>6279</v>
      </c>
      <c r="G708" s="16" t="s">
        <v>6279</v>
      </c>
      <c r="H708" s="16" t="s">
        <v>6279</v>
      </c>
      <c r="I708" s="25" t="s">
        <v>10928</v>
      </c>
      <c r="J708" s="25"/>
      <c r="K708" s="25" t="s">
        <v>6281</v>
      </c>
      <c r="L708" s="26" t="s">
        <v>10929</v>
      </c>
      <c r="M708" s="26" t="s">
        <v>6295</v>
      </c>
      <c r="N708" s="27" t="s">
        <v>10930</v>
      </c>
      <c r="O708" s="26" t="s">
        <v>6295</v>
      </c>
      <c r="P708" s="20" t="b">
        <v>1</v>
      </c>
      <c r="Q708" s="20" t="s">
        <v>6282</v>
      </c>
      <c r="R708" s="28" t="s">
        <v>6283</v>
      </c>
      <c r="S708" s="25"/>
      <c r="T708" s="20" t="b">
        <v>1</v>
      </c>
      <c r="U708" s="25"/>
      <c r="V708" s="25">
        <v>229.95</v>
      </c>
      <c r="W708" s="28" t="s">
        <v>10931</v>
      </c>
      <c r="X708" s="28" t="s">
        <v>6285</v>
      </c>
      <c r="Y708" s="28" t="s">
        <v>6286</v>
      </c>
      <c r="Z708" s="28" t="s">
        <v>6287</v>
      </c>
      <c r="AA708" s="28" t="s">
        <v>6288</v>
      </c>
      <c r="AB708" s="28" t="s">
        <v>6297</v>
      </c>
    </row>
    <row r="709" spans="1:28" ht="185.4" x14ac:dyDescent="0.3">
      <c r="A709" s="25">
        <v>8730</v>
      </c>
      <c r="B709" s="25" t="s">
        <v>10932</v>
      </c>
      <c r="C709" s="25" t="s">
        <v>10933</v>
      </c>
      <c r="D709" s="25" t="s">
        <v>6291</v>
      </c>
      <c r="E709" s="16" t="s">
        <v>6292</v>
      </c>
      <c r="F709" s="16" t="s">
        <v>6292</v>
      </c>
      <c r="G709" s="16" t="s">
        <v>6292</v>
      </c>
      <c r="H709" s="16" t="s">
        <v>6292</v>
      </c>
      <c r="I709" s="25" t="s">
        <v>10934</v>
      </c>
      <c r="J709" s="25"/>
      <c r="K709" s="25" t="s">
        <v>6281</v>
      </c>
      <c r="L709" s="26" t="s">
        <v>10935</v>
      </c>
      <c r="M709" s="26" t="s">
        <v>6295</v>
      </c>
      <c r="N709" s="27" t="s">
        <v>10936</v>
      </c>
      <c r="O709" s="26" t="s">
        <v>6295</v>
      </c>
      <c r="P709" s="20" t="b">
        <v>1</v>
      </c>
      <c r="Q709" s="20" t="s">
        <v>6282</v>
      </c>
      <c r="R709" s="28" t="s">
        <v>6283</v>
      </c>
      <c r="S709" s="25"/>
      <c r="T709" s="20" t="b">
        <v>1</v>
      </c>
      <c r="U709" s="25"/>
      <c r="V709" s="25">
        <v>100</v>
      </c>
      <c r="W709" s="28" t="s">
        <v>10937</v>
      </c>
      <c r="X709" s="28" t="s">
        <v>6285</v>
      </c>
      <c r="Y709" s="28" t="s">
        <v>6286</v>
      </c>
      <c r="Z709" s="28" t="s">
        <v>6287</v>
      </c>
      <c r="AA709" s="28" t="s">
        <v>6288</v>
      </c>
      <c r="AB709" s="28" t="s">
        <v>6297</v>
      </c>
    </row>
    <row r="710" spans="1:28" ht="198.6" x14ac:dyDescent="0.3">
      <c r="A710" s="25">
        <v>8733</v>
      </c>
      <c r="B710" s="25" t="s">
        <v>10938</v>
      </c>
      <c r="C710" s="25" t="s">
        <v>10939</v>
      </c>
      <c r="D710" s="25" t="s">
        <v>6278</v>
      </c>
      <c r="E710" s="16" t="s">
        <v>6279</v>
      </c>
      <c r="F710" s="16" t="s">
        <v>6279</v>
      </c>
      <c r="G710" s="16" t="s">
        <v>6279</v>
      </c>
      <c r="H710" s="16" t="s">
        <v>6279</v>
      </c>
      <c r="I710" s="25" t="s">
        <v>10940</v>
      </c>
      <c r="J710" s="25"/>
      <c r="K710" s="25" t="s">
        <v>6281</v>
      </c>
      <c r="L710" s="26" t="s">
        <v>10941</v>
      </c>
      <c r="M710" s="26" t="s">
        <v>10942</v>
      </c>
      <c r="N710" s="27" t="s">
        <v>10943</v>
      </c>
      <c r="O710" s="26" t="s">
        <v>10944</v>
      </c>
      <c r="P710" s="20" t="b">
        <v>1</v>
      </c>
      <c r="Q710" s="20" t="s">
        <v>6282</v>
      </c>
      <c r="R710" s="28" t="s">
        <v>6283</v>
      </c>
      <c r="S710" s="25"/>
      <c r="T710" s="20" t="b">
        <v>1</v>
      </c>
      <c r="U710" s="25"/>
      <c r="V710" s="25" t="s">
        <v>6295</v>
      </c>
      <c r="W710" s="28" t="s">
        <v>10945</v>
      </c>
      <c r="X710" s="28" t="s">
        <v>6285</v>
      </c>
      <c r="Y710" s="28" t="s">
        <v>6286</v>
      </c>
      <c r="Z710" s="28" t="s">
        <v>6287</v>
      </c>
      <c r="AA710" s="28" t="s">
        <v>6288</v>
      </c>
      <c r="AB710" s="28" t="s">
        <v>6297</v>
      </c>
    </row>
    <row r="711" spans="1:28" ht="185.4" x14ac:dyDescent="0.3">
      <c r="A711" s="25">
        <v>8738</v>
      </c>
      <c r="B711" s="25" t="s">
        <v>10946</v>
      </c>
      <c r="C711" s="25" t="s">
        <v>10947</v>
      </c>
      <c r="D711" s="25" t="s">
        <v>6278</v>
      </c>
      <c r="E711" s="16" t="s">
        <v>6279</v>
      </c>
      <c r="F711" s="16" t="s">
        <v>6279</v>
      </c>
      <c r="G711" s="16" t="s">
        <v>6279</v>
      </c>
      <c r="H711" s="16" t="s">
        <v>6279</v>
      </c>
      <c r="I711" s="25" t="s">
        <v>10948</v>
      </c>
      <c r="J711" s="25"/>
      <c r="K711" s="25" t="s">
        <v>6281</v>
      </c>
      <c r="L711" s="26" t="s">
        <v>10949</v>
      </c>
      <c r="M711" s="26" t="s">
        <v>10950</v>
      </c>
      <c r="N711" s="27" t="s">
        <v>10951</v>
      </c>
      <c r="O711" s="26" t="s">
        <v>10952</v>
      </c>
      <c r="P711" s="20" t="b">
        <v>1</v>
      </c>
      <c r="Q711" s="20" t="s">
        <v>6282</v>
      </c>
      <c r="R711" s="28" t="s">
        <v>6283</v>
      </c>
      <c r="S711" s="25"/>
      <c r="T711" s="20" t="b">
        <v>1</v>
      </c>
      <c r="U711" s="25"/>
      <c r="V711" s="25">
        <v>2318.96</v>
      </c>
      <c r="W711" s="28" t="s">
        <v>10953</v>
      </c>
      <c r="X711" s="28" t="s">
        <v>6285</v>
      </c>
      <c r="Y711" s="28" t="s">
        <v>6286</v>
      </c>
      <c r="Z711" s="28" t="s">
        <v>6287</v>
      </c>
      <c r="AA711" s="28" t="s">
        <v>6288</v>
      </c>
      <c r="AB711" s="28" t="s">
        <v>6297</v>
      </c>
    </row>
    <row r="712" spans="1:28" ht="185.4" x14ac:dyDescent="0.3">
      <c r="A712" s="25">
        <v>8740</v>
      </c>
      <c r="B712" s="25" t="s">
        <v>10954</v>
      </c>
      <c r="C712" s="25" t="s">
        <v>10955</v>
      </c>
      <c r="D712" s="25" t="s">
        <v>6291</v>
      </c>
      <c r="E712" s="16" t="s">
        <v>6292</v>
      </c>
      <c r="F712" s="16" t="s">
        <v>6292</v>
      </c>
      <c r="G712" s="16" t="s">
        <v>6292</v>
      </c>
      <c r="H712" s="16" t="s">
        <v>6292</v>
      </c>
      <c r="I712" s="25" t="s">
        <v>10956</v>
      </c>
      <c r="J712" s="25"/>
      <c r="K712" s="25" t="s">
        <v>6281</v>
      </c>
      <c r="L712" s="26" t="s">
        <v>10957</v>
      </c>
      <c r="M712" s="26" t="s">
        <v>10958</v>
      </c>
      <c r="N712" s="27" t="s">
        <v>10959</v>
      </c>
      <c r="O712" s="26" t="s">
        <v>10960</v>
      </c>
      <c r="P712" s="20" t="b">
        <v>1</v>
      </c>
      <c r="Q712" s="20" t="s">
        <v>6282</v>
      </c>
      <c r="R712" s="28" t="s">
        <v>6283</v>
      </c>
      <c r="S712" s="25"/>
      <c r="T712" s="20" t="b">
        <v>1</v>
      </c>
      <c r="U712" s="25"/>
      <c r="V712" s="25">
        <v>759.19</v>
      </c>
      <c r="W712" s="28" t="s">
        <v>10961</v>
      </c>
      <c r="X712" s="28" t="s">
        <v>6285</v>
      </c>
      <c r="Y712" s="28" t="s">
        <v>6286</v>
      </c>
      <c r="Z712" s="28" t="s">
        <v>6287</v>
      </c>
      <c r="AA712" s="28" t="s">
        <v>6288</v>
      </c>
      <c r="AB712" s="28" t="s">
        <v>6297</v>
      </c>
    </row>
    <row r="713" spans="1:28" ht="185.4" x14ac:dyDescent="0.3">
      <c r="A713" s="25">
        <v>8747</v>
      </c>
      <c r="B713" s="25" t="s">
        <v>10962</v>
      </c>
      <c r="C713" s="25" t="s">
        <v>10963</v>
      </c>
      <c r="D713" s="25" t="s">
        <v>6278</v>
      </c>
      <c r="E713" s="16" t="s">
        <v>6279</v>
      </c>
      <c r="F713" s="16" t="s">
        <v>6279</v>
      </c>
      <c r="G713" s="16" t="s">
        <v>6279</v>
      </c>
      <c r="H713" s="16" t="s">
        <v>6279</v>
      </c>
      <c r="I713" s="25" t="s">
        <v>10964</v>
      </c>
      <c r="J713" s="25"/>
      <c r="K713" s="25" t="s">
        <v>6281</v>
      </c>
      <c r="L713" s="26" t="s">
        <v>10965</v>
      </c>
      <c r="M713" s="26" t="s">
        <v>6295</v>
      </c>
      <c r="N713" s="27" t="s">
        <v>10966</v>
      </c>
      <c r="O713" s="26" t="s">
        <v>10967</v>
      </c>
      <c r="P713" s="20" t="b">
        <v>1</v>
      </c>
      <c r="Q713" s="20" t="s">
        <v>6282</v>
      </c>
      <c r="R713" s="28" t="s">
        <v>6283</v>
      </c>
      <c r="S713" s="25"/>
      <c r="T713" s="20" t="b">
        <v>1</v>
      </c>
      <c r="U713" s="25"/>
      <c r="V713" s="25">
        <v>0</v>
      </c>
      <c r="W713" s="28" t="s">
        <v>10968</v>
      </c>
      <c r="X713" s="28" t="s">
        <v>6285</v>
      </c>
      <c r="Y713" s="28" t="s">
        <v>6286</v>
      </c>
      <c r="Z713" s="28" t="s">
        <v>6287</v>
      </c>
      <c r="AA713" s="28" t="s">
        <v>6288</v>
      </c>
      <c r="AB713" s="28" t="s">
        <v>6297</v>
      </c>
    </row>
    <row r="714" spans="1:28" ht="185.4" x14ac:dyDescent="0.3">
      <c r="A714" s="25">
        <v>8750</v>
      </c>
      <c r="B714" s="25" t="s">
        <v>10969</v>
      </c>
      <c r="C714" s="25" t="s">
        <v>10970</v>
      </c>
      <c r="D714" s="25" t="s">
        <v>6291</v>
      </c>
      <c r="E714" s="16" t="s">
        <v>6292</v>
      </c>
      <c r="F714" s="16" t="s">
        <v>6292</v>
      </c>
      <c r="G714" s="16" t="s">
        <v>6292</v>
      </c>
      <c r="H714" s="16" t="s">
        <v>6292</v>
      </c>
      <c r="I714" s="25" t="s">
        <v>10971</v>
      </c>
      <c r="J714" s="25"/>
      <c r="K714" s="25" t="s">
        <v>6281</v>
      </c>
      <c r="L714" s="26" t="s">
        <v>10972</v>
      </c>
      <c r="M714" s="26" t="s">
        <v>10973</v>
      </c>
      <c r="N714" s="27" t="s">
        <v>10974</v>
      </c>
      <c r="O714" s="26" t="s">
        <v>10975</v>
      </c>
      <c r="P714" s="20" t="b">
        <v>1</v>
      </c>
      <c r="Q714" s="20" t="s">
        <v>6282</v>
      </c>
      <c r="R714" s="28" t="s">
        <v>6283</v>
      </c>
      <c r="S714" s="25"/>
      <c r="T714" s="20" t="b">
        <v>1</v>
      </c>
      <c r="U714" s="25"/>
      <c r="V714" s="25">
        <v>4.92</v>
      </c>
      <c r="W714" s="28" t="s">
        <v>10976</v>
      </c>
      <c r="X714" s="28" t="s">
        <v>6285</v>
      </c>
      <c r="Y714" s="28" t="s">
        <v>6286</v>
      </c>
      <c r="Z714" s="28" t="s">
        <v>6287</v>
      </c>
      <c r="AA714" s="28" t="s">
        <v>6288</v>
      </c>
      <c r="AB714" s="28" t="s">
        <v>6297</v>
      </c>
    </row>
    <row r="715" spans="1:28" ht="225" x14ac:dyDescent="0.3">
      <c r="A715" s="25">
        <v>8751</v>
      </c>
      <c r="B715" s="25" t="s">
        <v>10977</v>
      </c>
      <c r="C715" s="25" t="s">
        <v>10978</v>
      </c>
      <c r="D715" s="25" t="s">
        <v>6278</v>
      </c>
      <c r="E715" s="16" t="s">
        <v>6279</v>
      </c>
      <c r="F715" s="16" t="s">
        <v>6279</v>
      </c>
      <c r="G715" s="16" t="s">
        <v>6279</v>
      </c>
      <c r="H715" s="16" t="s">
        <v>6279</v>
      </c>
      <c r="I715" s="25" t="s">
        <v>10979</v>
      </c>
      <c r="J715" s="25"/>
      <c r="K715" s="25" t="s">
        <v>6281</v>
      </c>
      <c r="L715" s="26" t="s">
        <v>10980</v>
      </c>
      <c r="M715" s="26" t="s">
        <v>10981</v>
      </c>
      <c r="N715" s="27" t="s">
        <v>10982</v>
      </c>
      <c r="O715" s="26" t="s">
        <v>10983</v>
      </c>
      <c r="P715" s="20" t="b">
        <v>1</v>
      </c>
      <c r="Q715" s="20" t="s">
        <v>6282</v>
      </c>
      <c r="R715" s="28" t="s">
        <v>6283</v>
      </c>
      <c r="S715" s="25"/>
      <c r="T715" s="20" t="b">
        <v>1</v>
      </c>
      <c r="U715" s="25"/>
      <c r="V715" s="25">
        <v>8.33</v>
      </c>
      <c r="W715" s="28" t="s">
        <v>10984</v>
      </c>
      <c r="X715" s="28" t="s">
        <v>6285</v>
      </c>
      <c r="Y715" s="28" t="s">
        <v>6286</v>
      </c>
      <c r="Z715" s="28" t="s">
        <v>6287</v>
      </c>
      <c r="AA715" s="28" t="s">
        <v>6288</v>
      </c>
      <c r="AB715" s="28" t="s">
        <v>6297</v>
      </c>
    </row>
    <row r="716" spans="1:28" ht="185.4" x14ac:dyDescent="0.3">
      <c r="A716" s="25">
        <v>8755</v>
      </c>
      <c r="B716" s="25" t="s">
        <v>10985</v>
      </c>
      <c r="C716" s="25" t="s">
        <v>10986</v>
      </c>
      <c r="D716" s="25" t="s">
        <v>6291</v>
      </c>
      <c r="E716" s="16" t="s">
        <v>6786</v>
      </c>
      <c r="F716" s="16" t="s">
        <v>6786</v>
      </c>
      <c r="G716" s="16" t="s">
        <v>6786</v>
      </c>
      <c r="H716" s="16" t="s">
        <v>6786</v>
      </c>
      <c r="I716" s="25" t="s">
        <v>10987</v>
      </c>
      <c r="J716" s="25"/>
      <c r="K716" s="25" t="s">
        <v>6281</v>
      </c>
      <c r="L716" s="26" t="s">
        <v>10988</v>
      </c>
      <c r="M716" s="26" t="s">
        <v>6295</v>
      </c>
      <c r="N716" s="27" t="s">
        <v>10989</v>
      </c>
      <c r="O716" s="26" t="s">
        <v>10990</v>
      </c>
      <c r="P716" s="20" t="b">
        <v>1</v>
      </c>
      <c r="Q716" s="20" t="s">
        <v>6282</v>
      </c>
      <c r="R716" s="28" t="s">
        <v>6283</v>
      </c>
      <c r="S716" s="25"/>
      <c r="T716" s="20" t="b">
        <v>1</v>
      </c>
      <c r="U716" s="25"/>
      <c r="V716" s="25">
        <v>1.0585</v>
      </c>
      <c r="W716" s="28" t="s">
        <v>10991</v>
      </c>
      <c r="X716" s="28" t="s">
        <v>6285</v>
      </c>
      <c r="Y716" s="28" t="s">
        <v>6286</v>
      </c>
      <c r="Z716" s="28" t="s">
        <v>6287</v>
      </c>
      <c r="AA716" s="28" t="s">
        <v>6288</v>
      </c>
      <c r="AB716" s="28" t="s">
        <v>6297</v>
      </c>
    </row>
    <row r="717" spans="1:28" ht="185.4" x14ac:dyDescent="0.3">
      <c r="A717" s="25">
        <v>8756</v>
      </c>
      <c r="B717" s="25" t="s">
        <v>10985</v>
      </c>
      <c r="C717" s="25" t="s">
        <v>10992</v>
      </c>
      <c r="D717" s="25" t="s">
        <v>6291</v>
      </c>
      <c r="E717" s="16" t="s">
        <v>6786</v>
      </c>
      <c r="F717" s="16" t="s">
        <v>6786</v>
      </c>
      <c r="G717" s="16" t="s">
        <v>6786</v>
      </c>
      <c r="H717" s="16" t="s">
        <v>6786</v>
      </c>
      <c r="I717" s="25" t="s">
        <v>10987</v>
      </c>
      <c r="J717" s="25"/>
      <c r="K717" s="25" t="s">
        <v>6281</v>
      </c>
      <c r="L717" s="26" t="s">
        <v>10993</v>
      </c>
      <c r="M717" s="26" t="s">
        <v>6295</v>
      </c>
      <c r="N717" s="27" t="s">
        <v>10989</v>
      </c>
      <c r="O717" s="26" t="s">
        <v>10994</v>
      </c>
      <c r="P717" s="20" t="b">
        <v>1</v>
      </c>
      <c r="Q717" s="20" t="s">
        <v>6282</v>
      </c>
      <c r="R717" s="28" t="s">
        <v>6283</v>
      </c>
      <c r="S717" s="25"/>
      <c r="T717" s="20" t="b">
        <v>1</v>
      </c>
      <c r="U717" s="25"/>
      <c r="V717" s="25">
        <v>1.0585</v>
      </c>
      <c r="W717" s="28" t="s">
        <v>10995</v>
      </c>
      <c r="X717" s="28" t="s">
        <v>6285</v>
      </c>
      <c r="Y717" s="28" t="s">
        <v>6286</v>
      </c>
      <c r="Z717" s="28" t="s">
        <v>6287</v>
      </c>
      <c r="AA717" s="28" t="s">
        <v>6288</v>
      </c>
      <c r="AB717" s="28" t="s">
        <v>6297</v>
      </c>
    </row>
    <row r="718" spans="1:28" ht="185.4" x14ac:dyDescent="0.3">
      <c r="A718" s="25">
        <v>8757</v>
      </c>
      <c r="B718" s="25" t="s">
        <v>10996</v>
      </c>
      <c r="C718" s="25" t="s">
        <v>10997</v>
      </c>
      <c r="D718" s="25" t="s">
        <v>6291</v>
      </c>
      <c r="E718" s="16" t="s">
        <v>6292</v>
      </c>
      <c r="F718" s="16" t="s">
        <v>6292</v>
      </c>
      <c r="G718" s="16" t="s">
        <v>6292</v>
      </c>
      <c r="H718" s="16" t="s">
        <v>6292</v>
      </c>
      <c r="I718" s="25" t="s">
        <v>10998</v>
      </c>
      <c r="J718" s="25"/>
      <c r="K718" s="25" t="s">
        <v>6281</v>
      </c>
      <c r="L718" s="26" t="s">
        <v>10999</v>
      </c>
      <c r="M718" s="26" t="s">
        <v>11000</v>
      </c>
      <c r="N718" s="27" t="s">
        <v>11001</v>
      </c>
      <c r="O718" s="26" t="s">
        <v>11002</v>
      </c>
      <c r="P718" s="20" t="b">
        <v>1</v>
      </c>
      <c r="Q718" s="20" t="s">
        <v>6282</v>
      </c>
      <c r="R718" s="28" t="s">
        <v>6283</v>
      </c>
      <c r="S718" s="25"/>
      <c r="T718" s="20" t="b">
        <v>1</v>
      </c>
      <c r="U718" s="25"/>
      <c r="V718" s="25">
        <v>399.3</v>
      </c>
      <c r="W718" s="28" t="s">
        <v>11003</v>
      </c>
      <c r="X718" s="28" t="s">
        <v>6285</v>
      </c>
      <c r="Y718" s="28" t="s">
        <v>6286</v>
      </c>
      <c r="Z718" s="28" t="s">
        <v>6287</v>
      </c>
      <c r="AA718" s="28" t="s">
        <v>6288</v>
      </c>
      <c r="AB718" s="28" t="s">
        <v>6297</v>
      </c>
    </row>
    <row r="719" spans="1:28" ht="225" x14ac:dyDescent="0.3">
      <c r="A719" s="25">
        <v>8758</v>
      </c>
      <c r="B719" s="25" t="s">
        <v>9546</v>
      </c>
      <c r="C719" s="25" t="s">
        <v>9547</v>
      </c>
      <c r="D719" s="25" t="s">
        <v>6278</v>
      </c>
      <c r="E719" s="16" t="s">
        <v>6279</v>
      </c>
      <c r="F719" s="16" t="s">
        <v>6279</v>
      </c>
      <c r="G719" s="16" t="s">
        <v>6279</v>
      </c>
      <c r="H719" s="16" t="s">
        <v>6279</v>
      </c>
      <c r="I719" s="25" t="s">
        <v>9548</v>
      </c>
      <c r="J719" s="25"/>
      <c r="K719" s="25" t="s">
        <v>6281</v>
      </c>
      <c r="L719" s="26" t="s">
        <v>11004</v>
      </c>
      <c r="M719" s="26" t="s">
        <v>9550</v>
      </c>
      <c r="N719" s="27" t="s">
        <v>9551</v>
      </c>
      <c r="O719" s="26" t="s">
        <v>9552</v>
      </c>
      <c r="P719" s="20" t="b">
        <v>1</v>
      </c>
      <c r="Q719" s="20" t="s">
        <v>6282</v>
      </c>
      <c r="R719" s="28" t="s">
        <v>6283</v>
      </c>
      <c r="S719" s="25"/>
      <c r="T719" s="20" t="b">
        <v>1</v>
      </c>
      <c r="U719" s="25"/>
      <c r="V719" s="25">
        <v>68.900000000000006</v>
      </c>
      <c r="W719" s="28" t="s">
        <v>11005</v>
      </c>
      <c r="X719" s="28" t="s">
        <v>6285</v>
      </c>
      <c r="Y719" s="28" t="s">
        <v>6286</v>
      </c>
      <c r="Z719" s="28" t="s">
        <v>6287</v>
      </c>
      <c r="AA719" s="28" t="s">
        <v>6288</v>
      </c>
      <c r="AB719" s="28" t="s">
        <v>6297</v>
      </c>
    </row>
    <row r="720" spans="1:28" ht="185.4" x14ac:dyDescent="0.3">
      <c r="A720" s="25">
        <v>8762</v>
      </c>
      <c r="B720" s="25" t="s">
        <v>11006</v>
      </c>
      <c r="C720" s="25" t="s">
        <v>11007</v>
      </c>
      <c r="D720" s="25" t="s">
        <v>6291</v>
      </c>
      <c r="E720" s="16" t="s">
        <v>6786</v>
      </c>
      <c r="F720" s="16" t="s">
        <v>6786</v>
      </c>
      <c r="G720" s="16" t="s">
        <v>6786</v>
      </c>
      <c r="H720" s="16" t="s">
        <v>6786</v>
      </c>
      <c r="I720" s="25" t="s">
        <v>11008</v>
      </c>
      <c r="J720" s="25"/>
      <c r="K720" s="25" t="s">
        <v>6281</v>
      </c>
      <c r="L720" s="26" t="s">
        <v>11009</v>
      </c>
      <c r="M720" s="26" t="s">
        <v>6295</v>
      </c>
      <c r="N720" s="27" t="s">
        <v>11010</v>
      </c>
      <c r="O720" s="26" t="s">
        <v>6295</v>
      </c>
      <c r="P720" s="20" t="b">
        <v>1</v>
      </c>
      <c r="Q720" s="20" t="s">
        <v>6282</v>
      </c>
      <c r="R720" s="28" t="s">
        <v>6283</v>
      </c>
      <c r="S720" s="25"/>
      <c r="T720" s="20" t="b">
        <v>1</v>
      </c>
      <c r="U720" s="25"/>
      <c r="V720" s="25">
        <v>0.30270000000000002</v>
      </c>
      <c r="W720" s="28" t="s">
        <v>11011</v>
      </c>
      <c r="X720" s="28" t="s">
        <v>6285</v>
      </c>
      <c r="Y720" s="28" t="s">
        <v>6286</v>
      </c>
      <c r="Z720" s="28" t="s">
        <v>6287</v>
      </c>
      <c r="AA720" s="28" t="s">
        <v>6288</v>
      </c>
      <c r="AB720" s="28" t="s">
        <v>6297</v>
      </c>
    </row>
    <row r="721" spans="1:28" ht="225" x14ac:dyDescent="0.3">
      <c r="A721" s="25">
        <v>8765</v>
      </c>
      <c r="B721" s="25" t="s">
        <v>11012</v>
      </c>
      <c r="C721" s="25" t="s">
        <v>11013</v>
      </c>
      <c r="D721" s="25" t="s">
        <v>6278</v>
      </c>
      <c r="E721" s="16" t="s">
        <v>6279</v>
      </c>
      <c r="F721" s="16" t="s">
        <v>6279</v>
      </c>
      <c r="G721" s="16" t="s">
        <v>6279</v>
      </c>
      <c r="H721" s="16" t="s">
        <v>6279</v>
      </c>
      <c r="I721" s="25" t="s">
        <v>11014</v>
      </c>
      <c r="J721" s="25"/>
      <c r="K721" s="25" t="s">
        <v>6281</v>
      </c>
      <c r="L721" s="26" t="s">
        <v>11015</v>
      </c>
      <c r="M721" s="26" t="s">
        <v>11016</v>
      </c>
      <c r="N721" s="27" t="s">
        <v>11017</v>
      </c>
      <c r="O721" s="26" t="s">
        <v>9552</v>
      </c>
      <c r="P721" s="20" t="b">
        <v>1</v>
      </c>
      <c r="Q721" s="20" t="s">
        <v>6282</v>
      </c>
      <c r="R721" s="28" t="s">
        <v>6283</v>
      </c>
      <c r="S721" s="25"/>
      <c r="T721" s="20" t="b">
        <v>1</v>
      </c>
      <c r="U721" s="25"/>
      <c r="V721" s="25">
        <v>65.91</v>
      </c>
      <c r="W721" s="28" t="s">
        <v>11018</v>
      </c>
      <c r="X721" s="28" t="s">
        <v>6285</v>
      </c>
      <c r="Y721" s="28" t="s">
        <v>6286</v>
      </c>
      <c r="Z721" s="28" t="s">
        <v>6287</v>
      </c>
      <c r="AA721" s="28" t="s">
        <v>6288</v>
      </c>
      <c r="AB721" s="28" t="s">
        <v>6297</v>
      </c>
    </row>
    <row r="722" spans="1:28" ht="185.4" x14ac:dyDescent="0.3">
      <c r="A722" s="25">
        <v>8767</v>
      </c>
      <c r="B722" s="25" t="s">
        <v>11019</v>
      </c>
      <c r="C722" s="25" t="s">
        <v>11020</v>
      </c>
      <c r="D722" s="25" t="s">
        <v>6278</v>
      </c>
      <c r="E722" s="16" t="s">
        <v>6279</v>
      </c>
      <c r="F722" s="16" t="s">
        <v>6279</v>
      </c>
      <c r="G722" s="16" t="s">
        <v>6279</v>
      </c>
      <c r="H722" s="16" t="s">
        <v>6279</v>
      </c>
      <c r="I722" s="25" t="s">
        <v>11021</v>
      </c>
      <c r="J722" s="25"/>
      <c r="K722" s="25" t="s">
        <v>6281</v>
      </c>
      <c r="L722" s="26" t="s">
        <v>11022</v>
      </c>
      <c r="M722" s="26" t="s">
        <v>6295</v>
      </c>
      <c r="N722" s="27" t="s">
        <v>11023</v>
      </c>
      <c r="O722" s="26" t="s">
        <v>11024</v>
      </c>
      <c r="P722" s="20" t="b">
        <v>1</v>
      </c>
      <c r="Q722" s="20" t="s">
        <v>6282</v>
      </c>
      <c r="R722" s="28" t="s">
        <v>6283</v>
      </c>
      <c r="S722" s="25"/>
      <c r="T722" s="20" t="b">
        <v>1</v>
      </c>
      <c r="U722" s="25"/>
      <c r="V722" s="25">
        <v>27.26</v>
      </c>
      <c r="W722" s="28" t="s">
        <v>11025</v>
      </c>
      <c r="X722" s="28" t="s">
        <v>6285</v>
      </c>
      <c r="Y722" s="28" t="s">
        <v>6286</v>
      </c>
      <c r="Z722" s="28" t="s">
        <v>6287</v>
      </c>
      <c r="AA722" s="28" t="s">
        <v>6288</v>
      </c>
      <c r="AB722" s="28" t="s">
        <v>6297</v>
      </c>
    </row>
    <row r="723" spans="1:28" ht="185.4" x14ac:dyDescent="0.3">
      <c r="A723" s="25">
        <v>8772</v>
      </c>
      <c r="B723" s="25" t="s">
        <v>11026</v>
      </c>
      <c r="C723" s="25" t="s">
        <v>11027</v>
      </c>
      <c r="D723" s="25" t="s">
        <v>6291</v>
      </c>
      <c r="E723" s="16" t="s">
        <v>6292</v>
      </c>
      <c r="F723" s="16" t="s">
        <v>6292</v>
      </c>
      <c r="G723" s="16" t="s">
        <v>6292</v>
      </c>
      <c r="H723" s="16" t="s">
        <v>6292</v>
      </c>
      <c r="I723" s="25" t="s">
        <v>11028</v>
      </c>
      <c r="J723" s="25"/>
      <c r="K723" s="25" t="s">
        <v>6281</v>
      </c>
      <c r="L723" s="26" t="s">
        <v>11029</v>
      </c>
      <c r="M723" s="26" t="s">
        <v>6295</v>
      </c>
      <c r="N723" s="27" t="s">
        <v>11030</v>
      </c>
      <c r="O723" s="26" t="s">
        <v>6295</v>
      </c>
      <c r="P723" s="20" t="b">
        <v>1</v>
      </c>
      <c r="Q723" s="20" t="s">
        <v>6282</v>
      </c>
      <c r="R723" s="28" t="s">
        <v>6283</v>
      </c>
      <c r="S723" s="25"/>
      <c r="T723" s="20" t="b">
        <v>1</v>
      </c>
      <c r="U723" s="25"/>
      <c r="V723" s="25">
        <v>35.78</v>
      </c>
      <c r="W723" s="28" t="s">
        <v>11031</v>
      </c>
      <c r="X723" s="28" t="s">
        <v>6285</v>
      </c>
      <c r="Y723" s="28" t="s">
        <v>6286</v>
      </c>
      <c r="Z723" s="28" t="s">
        <v>6287</v>
      </c>
      <c r="AA723" s="28" t="s">
        <v>6288</v>
      </c>
      <c r="AB723" s="28" t="s">
        <v>6297</v>
      </c>
    </row>
    <row r="724" spans="1:28" ht="185.4" x14ac:dyDescent="0.3">
      <c r="A724" s="25">
        <v>8777</v>
      </c>
      <c r="B724" s="25" t="s">
        <v>11032</v>
      </c>
      <c r="C724" s="25" t="s">
        <v>11033</v>
      </c>
      <c r="D724" s="25" t="s">
        <v>6291</v>
      </c>
      <c r="E724" s="16" t="s">
        <v>6292</v>
      </c>
      <c r="F724" s="16" t="s">
        <v>6292</v>
      </c>
      <c r="G724" s="16" t="s">
        <v>6292</v>
      </c>
      <c r="H724" s="16" t="s">
        <v>6292</v>
      </c>
      <c r="I724" s="25" t="s">
        <v>11034</v>
      </c>
      <c r="J724" s="25"/>
      <c r="K724" s="25" t="s">
        <v>6281</v>
      </c>
      <c r="L724" s="26" t="s">
        <v>11035</v>
      </c>
      <c r="M724" s="26" t="s">
        <v>6295</v>
      </c>
      <c r="N724" s="27" t="s">
        <v>11036</v>
      </c>
      <c r="O724" s="26" t="s">
        <v>11037</v>
      </c>
      <c r="P724" s="20" t="b">
        <v>1</v>
      </c>
      <c r="Q724" s="20" t="s">
        <v>6282</v>
      </c>
      <c r="R724" s="28" t="s">
        <v>6283</v>
      </c>
      <c r="S724" s="25"/>
      <c r="T724" s="20" t="b">
        <v>1</v>
      </c>
      <c r="U724" s="25"/>
      <c r="V724" s="25">
        <v>109.14</v>
      </c>
      <c r="W724" s="28" t="s">
        <v>11038</v>
      </c>
      <c r="X724" s="28" t="s">
        <v>6285</v>
      </c>
      <c r="Y724" s="28" t="s">
        <v>6286</v>
      </c>
      <c r="Z724" s="28" t="s">
        <v>6287</v>
      </c>
      <c r="AA724" s="28" t="s">
        <v>6288</v>
      </c>
      <c r="AB724" s="28" t="s">
        <v>6297</v>
      </c>
    </row>
    <row r="725" spans="1:28" ht="185.4" x14ac:dyDescent="0.3">
      <c r="A725" s="25">
        <v>8778</v>
      </c>
      <c r="B725" s="25" t="s">
        <v>11039</v>
      </c>
      <c r="C725" s="25" t="s">
        <v>11040</v>
      </c>
      <c r="D725" s="25" t="s">
        <v>6278</v>
      </c>
      <c r="E725" s="16" t="s">
        <v>6279</v>
      </c>
      <c r="F725" s="16" t="s">
        <v>6279</v>
      </c>
      <c r="G725" s="16" t="s">
        <v>6279</v>
      </c>
      <c r="H725" s="16" t="s">
        <v>6279</v>
      </c>
      <c r="I725" s="25" t="s">
        <v>11041</v>
      </c>
      <c r="J725" s="25"/>
      <c r="K725" s="25" t="s">
        <v>6281</v>
      </c>
      <c r="L725" s="26" t="s">
        <v>11042</v>
      </c>
      <c r="M725" s="26" t="s">
        <v>10782</v>
      </c>
      <c r="N725" s="27" t="s">
        <v>10783</v>
      </c>
      <c r="O725" s="26" t="s">
        <v>10784</v>
      </c>
      <c r="P725" s="20" t="b">
        <v>1</v>
      </c>
      <c r="Q725" s="20" t="s">
        <v>6282</v>
      </c>
      <c r="R725" s="28" t="s">
        <v>6283</v>
      </c>
      <c r="S725" s="25"/>
      <c r="T725" s="20" t="b">
        <v>1</v>
      </c>
      <c r="U725" s="25"/>
      <c r="V725" s="25">
        <v>93.15</v>
      </c>
      <c r="W725" s="28" t="s">
        <v>11043</v>
      </c>
      <c r="X725" s="28" t="s">
        <v>6285</v>
      </c>
      <c r="Y725" s="28" t="s">
        <v>6286</v>
      </c>
      <c r="Z725" s="28" t="s">
        <v>6287</v>
      </c>
      <c r="AA725" s="28" t="s">
        <v>6288</v>
      </c>
      <c r="AB725" s="28" t="s">
        <v>6297</v>
      </c>
    </row>
    <row r="726" spans="1:28" ht="185.4" x14ac:dyDescent="0.3">
      <c r="A726" s="25">
        <v>8779</v>
      </c>
      <c r="B726" s="25" t="s">
        <v>11044</v>
      </c>
      <c r="C726" s="25" t="s">
        <v>11045</v>
      </c>
      <c r="D726" s="25" t="s">
        <v>6291</v>
      </c>
      <c r="E726" s="16" t="s">
        <v>6292</v>
      </c>
      <c r="F726" s="16" t="s">
        <v>6292</v>
      </c>
      <c r="G726" s="16" t="s">
        <v>6292</v>
      </c>
      <c r="H726" s="16" t="s">
        <v>6292</v>
      </c>
      <c r="I726" s="25" t="s">
        <v>11046</v>
      </c>
      <c r="J726" s="25"/>
      <c r="K726" s="25" t="s">
        <v>6281</v>
      </c>
      <c r="L726" s="26" t="s">
        <v>11047</v>
      </c>
      <c r="M726" s="26" t="s">
        <v>11048</v>
      </c>
      <c r="N726" s="27" t="s">
        <v>11049</v>
      </c>
      <c r="O726" s="26" t="s">
        <v>6295</v>
      </c>
      <c r="P726" s="20" t="b">
        <v>1</v>
      </c>
      <c r="Q726" s="20" t="s">
        <v>6282</v>
      </c>
      <c r="R726" s="28" t="s">
        <v>6283</v>
      </c>
      <c r="S726" s="25"/>
      <c r="T726" s="20" t="b">
        <v>1</v>
      </c>
      <c r="U726" s="25"/>
      <c r="V726" s="25">
        <v>69.349999999999994</v>
      </c>
      <c r="W726" s="28" t="s">
        <v>11050</v>
      </c>
      <c r="X726" s="28" t="s">
        <v>6285</v>
      </c>
      <c r="Y726" s="28" t="s">
        <v>6286</v>
      </c>
      <c r="Z726" s="28" t="s">
        <v>6287</v>
      </c>
      <c r="AA726" s="28" t="s">
        <v>6288</v>
      </c>
      <c r="AB726" s="28" t="s">
        <v>6297</v>
      </c>
    </row>
    <row r="727" spans="1:28" ht="185.4" x14ac:dyDescent="0.3">
      <c r="A727" s="25">
        <v>8789</v>
      </c>
      <c r="B727" s="25" t="s">
        <v>11051</v>
      </c>
      <c r="C727" s="25" t="s">
        <v>11052</v>
      </c>
      <c r="D727" s="25" t="s">
        <v>6278</v>
      </c>
      <c r="E727" s="16" t="s">
        <v>6279</v>
      </c>
      <c r="F727" s="16" t="s">
        <v>6279</v>
      </c>
      <c r="G727" s="16" t="s">
        <v>6279</v>
      </c>
      <c r="H727" s="16" t="s">
        <v>6279</v>
      </c>
      <c r="I727" s="25" t="s">
        <v>11053</v>
      </c>
      <c r="J727" s="25"/>
      <c r="K727" s="25" t="s">
        <v>6281</v>
      </c>
      <c r="L727" s="26" t="s">
        <v>11054</v>
      </c>
      <c r="M727" s="26" t="s">
        <v>11055</v>
      </c>
      <c r="N727" s="27" t="s">
        <v>11056</v>
      </c>
      <c r="O727" s="26" t="s">
        <v>11057</v>
      </c>
      <c r="P727" s="20" t="b">
        <v>1</v>
      </c>
      <c r="Q727" s="20" t="s">
        <v>6282</v>
      </c>
      <c r="R727" s="28" t="s">
        <v>6283</v>
      </c>
      <c r="S727" s="25"/>
      <c r="T727" s="20" t="b">
        <v>1</v>
      </c>
      <c r="U727" s="25"/>
      <c r="V727" s="25">
        <v>187.65</v>
      </c>
      <c r="W727" s="28" t="s">
        <v>11058</v>
      </c>
      <c r="X727" s="28" t="s">
        <v>6285</v>
      </c>
      <c r="Y727" s="28" t="s">
        <v>6286</v>
      </c>
      <c r="Z727" s="28" t="s">
        <v>6287</v>
      </c>
      <c r="AA727" s="28" t="s">
        <v>6288</v>
      </c>
      <c r="AB727" s="28" t="s">
        <v>6297</v>
      </c>
    </row>
    <row r="728" spans="1:28" ht="185.4" x14ac:dyDescent="0.3">
      <c r="A728" s="25">
        <v>8791</v>
      </c>
      <c r="B728" s="25" t="s">
        <v>11059</v>
      </c>
      <c r="C728" s="25" t="s">
        <v>11060</v>
      </c>
      <c r="D728" s="25" t="s">
        <v>6278</v>
      </c>
      <c r="E728" s="16" t="s">
        <v>6279</v>
      </c>
      <c r="F728" s="16" t="s">
        <v>6279</v>
      </c>
      <c r="G728" s="16" t="s">
        <v>6279</v>
      </c>
      <c r="H728" s="16" t="s">
        <v>6279</v>
      </c>
      <c r="I728" s="25" t="s">
        <v>11061</v>
      </c>
      <c r="J728" s="25"/>
      <c r="K728" s="25" t="s">
        <v>6281</v>
      </c>
      <c r="L728" s="26" t="s">
        <v>11062</v>
      </c>
      <c r="M728" s="26" t="s">
        <v>6295</v>
      </c>
      <c r="N728" s="27" t="s">
        <v>11063</v>
      </c>
      <c r="O728" s="26" t="s">
        <v>6295</v>
      </c>
      <c r="P728" s="20" t="b">
        <v>1</v>
      </c>
      <c r="Q728" s="20" t="s">
        <v>6282</v>
      </c>
      <c r="R728" s="28" t="s">
        <v>6283</v>
      </c>
      <c r="S728" s="25"/>
      <c r="T728" s="20" t="b">
        <v>1</v>
      </c>
      <c r="U728" s="25"/>
      <c r="V728" s="25">
        <v>590.39</v>
      </c>
      <c r="W728" s="28" t="s">
        <v>11064</v>
      </c>
      <c r="X728" s="28" t="s">
        <v>6285</v>
      </c>
      <c r="Y728" s="28" t="s">
        <v>6286</v>
      </c>
      <c r="Z728" s="28" t="s">
        <v>6287</v>
      </c>
      <c r="AA728" s="28" t="s">
        <v>6288</v>
      </c>
      <c r="AB728" s="28" t="s">
        <v>6297</v>
      </c>
    </row>
    <row r="729" spans="1:28" ht="185.4" x14ac:dyDescent="0.3">
      <c r="A729" s="25">
        <v>8796</v>
      </c>
      <c r="B729" s="25" t="s">
        <v>11065</v>
      </c>
      <c r="C729" s="25" t="s">
        <v>11066</v>
      </c>
      <c r="D729" s="25" t="s">
        <v>6291</v>
      </c>
      <c r="E729" s="16" t="s">
        <v>6786</v>
      </c>
      <c r="F729" s="16" t="s">
        <v>6786</v>
      </c>
      <c r="G729" s="16" t="s">
        <v>6786</v>
      </c>
      <c r="H729" s="16" t="s">
        <v>6786</v>
      </c>
      <c r="I729" s="25" t="s">
        <v>11067</v>
      </c>
      <c r="J729" s="25"/>
      <c r="K729" s="25" t="s">
        <v>6281</v>
      </c>
      <c r="L729" s="26" t="s">
        <v>11068</v>
      </c>
      <c r="M729" s="26" t="s">
        <v>11069</v>
      </c>
      <c r="N729" s="27" t="s">
        <v>11070</v>
      </c>
      <c r="O729" s="26" t="s">
        <v>11071</v>
      </c>
      <c r="P729" s="20" t="b">
        <v>1</v>
      </c>
      <c r="Q729" s="20" t="s">
        <v>6282</v>
      </c>
      <c r="R729" s="28" t="s">
        <v>6283</v>
      </c>
      <c r="S729" s="25"/>
      <c r="T729" s="20" t="b">
        <v>1</v>
      </c>
      <c r="U729" s="25"/>
      <c r="V729" s="25">
        <v>4.5199999999999996</v>
      </c>
      <c r="W729" s="28" t="s">
        <v>11072</v>
      </c>
      <c r="X729" s="28" t="s">
        <v>6285</v>
      </c>
      <c r="Y729" s="28" t="s">
        <v>6286</v>
      </c>
      <c r="Z729" s="28" t="s">
        <v>6287</v>
      </c>
      <c r="AA729" s="28" t="s">
        <v>6288</v>
      </c>
      <c r="AB729" s="28" t="s">
        <v>6297</v>
      </c>
    </row>
    <row r="730" spans="1:28" ht="185.4" x14ac:dyDescent="0.3">
      <c r="A730" s="25">
        <v>8797</v>
      </c>
      <c r="B730" s="25" t="s">
        <v>11073</v>
      </c>
      <c r="C730" s="25" t="s">
        <v>11074</v>
      </c>
      <c r="D730" s="25" t="s">
        <v>6291</v>
      </c>
      <c r="E730" s="16" t="s">
        <v>6786</v>
      </c>
      <c r="F730" s="16" t="s">
        <v>6786</v>
      </c>
      <c r="G730" s="16" t="s">
        <v>6786</v>
      </c>
      <c r="H730" s="16" t="s">
        <v>6786</v>
      </c>
      <c r="I730" s="25" t="s">
        <v>11075</v>
      </c>
      <c r="J730" s="25"/>
      <c r="K730" s="25" t="s">
        <v>6281</v>
      </c>
      <c r="L730" s="26" t="s">
        <v>11076</v>
      </c>
      <c r="M730" s="26" t="s">
        <v>11077</v>
      </c>
      <c r="N730" s="27" t="s">
        <v>11078</v>
      </c>
      <c r="O730" s="26" t="s">
        <v>11071</v>
      </c>
      <c r="P730" s="20" t="b">
        <v>1</v>
      </c>
      <c r="Q730" s="20" t="s">
        <v>6282</v>
      </c>
      <c r="R730" s="28" t="s">
        <v>6283</v>
      </c>
      <c r="S730" s="25"/>
      <c r="T730" s="20" t="b">
        <v>1</v>
      </c>
      <c r="U730" s="25"/>
      <c r="V730" s="25">
        <v>4.5199999999999996</v>
      </c>
      <c r="W730" s="28" t="s">
        <v>11079</v>
      </c>
      <c r="X730" s="28" t="s">
        <v>6285</v>
      </c>
      <c r="Y730" s="28" t="s">
        <v>6286</v>
      </c>
      <c r="Z730" s="28" t="s">
        <v>6287</v>
      </c>
      <c r="AA730" s="28" t="s">
        <v>6288</v>
      </c>
      <c r="AB730" s="28" t="s">
        <v>6297</v>
      </c>
    </row>
    <row r="731" spans="1:28" ht="185.4" x14ac:dyDescent="0.3">
      <c r="A731" s="25">
        <v>8801</v>
      </c>
      <c r="B731" s="25" t="s">
        <v>11080</v>
      </c>
      <c r="C731" s="25" t="s">
        <v>11081</v>
      </c>
      <c r="D731" s="25" t="s">
        <v>6291</v>
      </c>
      <c r="E731" s="16" t="s">
        <v>6786</v>
      </c>
      <c r="F731" s="16" t="s">
        <v>6786</v>
      </c>
      <c r="G731" s="16" t="s">
        <v>6786</v>
      </c>
      <c r="H731" s="16" t="s">
        <v>6786</v>
      </c>
      <c r="I731" s="25" t="s">
        <v>11082</v>
      </c>
      <c r="J731" s="25"/>
      <c r="K731" s="25" t="s">
        <v>6281</v>
      </c>
      <c r="L731" s="26" t="s">
        <v>11083</v>
      </c>
      <c r="M731" s="26" t="s">
        <v>6295</v>
      </c>
      <c r="N731" s="27" t="s">
        <v>11084</v>
      </c>
      <c r="O731" s="26" t="s">
        <v>11085</v>
      </c>
      <c r="P731" s="20" t="b">
        <v>1</v>
      </c>
      <c r="Q731" s="20" t="s">
        <v>6282</v>
      </c>
      <c r="R731" s="28" t="s">
        <v>6283</v>
      </c>
      <c r="S731" s="25"/>
      <c r="T731" s="20" t="b">
        <v>1</v>
      </c>
      <c r="U731" s="25"/>
      <c r="V731" s="25">
        <v>2.7456</v>
      </c>
      <c r="W731" s="28" t="s">
        <v>11086</v>
      </c>
      <c r="X731" s="28" t="s">
        <v>6285</v>
      </c>
      <c r="Y731" s="28" t="s">
        <v>6286</v>
      </c>
      <c r="Z731" s="28" t="s">
        <v>6287</v>
      </c>
      <c r="AA731" s="28" t="s">
        <v>6288</v>
      </c>
      <c r="AB731" s="28" t="s">
        <v>6297</v>
      </c>
    </row>
    <row r="732" spans="1:28" ht="185.4" x14ac:dyDescent="0.3">
      <c r="A732" s="25">
        <v>8802</v>
      </c>
      <c r="B732" s="25" t="s">
        <v>11087</v>
      </c>
      <c r="C732" s="25" t="s">
        <v>11088</v>
      </c>
      <c r="D732" s="25" t="s">
        <v>6291</v>
      </c>
      <c r="E732" s="16" t="s">
        <v>6292</v>
      </c>
      <c r="F732" s="16" t="s">
        <v>6292</v>
      </c>
      <c r="G732" s="16" t="s">
        <v>6292</v>
      </c>
      <c r="H732" s="16" t="s">
        <v>6292</v>
      </c>
      <c r="I732" s="25" t="s">
        <v>11089</v>
      </c>
      <c r="J732" s="25"/>
      <c r="K732" s="25" t="s">
        <v>6281</v>
      </c>
      <c r="L732" s="26" t="s">
        <v>11090</v>
      </c>
      <c r="M732" s="26" t="s">
        <v>10903</v>
      </c>
      <c r="N732" s="27" t="s">
        <v>11091</v>
      </c>
      <c r="O732" s="26" t="s">
        <v>6295</v>
      </c>
      <c r="P732" s="20" t="b">
        <v>1</v>
      </c>
      <c r="Q732" s="20" t="s">
        <v>6282</v>
      </c>
      <c r="R732" s="28" t="s">
        <v>6283</v>
      </c>
      <c r="S732" s="25"/>
      <c r="T732" s="20" t="b">
        <v>1</v>
      </c>
      <c r="U732" s="25"/>
      <c r="V732" s="25">
        <v>425.39</v>
      </c>
      <c r="W732" s="28" t="s">
        <v>11092</v>
      </c>
      <c r="X732" s="28" t="s">
        <v>6285</v>
      </c>
      <c r="Y732" s="28" t="s">
        <v>6286</v>
      </c>
      <c r="Z732" s="28" t="s">
        <v>6287</v>
      </c>
      <c r="AA732" s="28" t="s">
        <v>6288</v>
      </c>
      <c r="AB732" s="28" t="s">
        <v>6297</v>
      </c>
    </row>
    <row r="733" spans="1:28" ht="185.4" x14ac:dyDescent="0.3">
      <c r="A733" s="25">
        <v>8804</v>
      </c>
      <c r="B733" s="25" t="s">
        <v>11093</v>
      </c>
      <c r="C733" s="25" t="s">
        <v>11094</v>
      </c>
      <c r="D733" s="25" t="s">
        <v>6291</v>
      </c>
      <c r="E733" s="16" t="s">
        <v>6786</v>
      </c>
      <c r="F733" s="16" t="s">
        <v>6786</v>
      </c>
      <c r="G733" s="16" t="s">
        <v>6786</v>
      </c>
      <c r="H733" s="16" t="s">
        <v>6786</v>
      </c>
      <c r="I733" s="25" t="s">
        <v>11095</v>
      </c>
      <c r="J733" s="25"/>
      <c r="K733" s="25" t="s">
        <v>6281</v>
      </c>
      <c r="L733" s="26" t="s">
        <v>11096</v>
      </c>
      <c r="M733" s="26" t="s">
        <v>9667</v>
      </c>
      <c r="N733" s="27" t="s">
        <v>11097</v>
      </c>
      <c r="O733" s="26" t="s">
        <v>10768</v>
      </c>
      <c r="P733" s="20" t="b">
        <v>1</v>
      </c>
      <c r="Q733" s="20" t="s">
        <v>6282</v>
      </c>
      <c r="R733" s="28" t="s">
        <v>6283</v>
      </c>
      <c r="S733" s="25"/>
      <c r="T733" s="20" t="b">
        <v>1</v>
      </c>
      <c r="U733" s="25"/>
      <c r="V733" s="25">
        <v>5.4749999999999996</v>
      </c>
      <c r="W733" s="28" t="s">
        <v>11098</v>
      </c>
      <c r="X733" s="28" t="s">
        <v>6285</v>
      </c>
      <c r="Y733" s="28" t="s">
        <v>6286</v>
      </c>
      <c r="Z733" s="28" t="s">
        <v>6287</v>
      </c>
      <c r="AA733" s="28" t="s">
        <v>6288</v>
      </c>
      <c r="AB733" s="28" t="s">
        <v>6297</v>
      </c>
    </row>
    <row r="734" spans="1:28" ht="185.4" x14ac:dyDescent="0.3">
      <c r="A734" s="25">
        <v>8815</v>
      </c>
      <c r="B734" s="25" t="s">
        <v>11099</v>
      </c>
      <c r="C734" s="25" t="s">
        <v>11100</v>
      </c>
      <c r="D734" s="25" t="s">
        <v>6278</v>
      </c>
      <c r="E734" s="16" t="s">
        <v>6279</v>
      </c>
      <c r="F734" s="16" t="s">
        <v>6279</v>
      </c>
      <c r="G734" s="16" t="s">
        <v>6279</v>
      </c>
      <c r="H734" s="16" t="s">
        <v>6279</v>
      </c>
      <c r="I734" s="25" t="s">
        <v>11101</v>
      </c>
      <c r="J734" s="25"/>
      <c r="K734" s="25" t="s">
        <v>6281</v>
      </c>
      <c r="L734" s="26" t="s">
        <v>11102</v>
      </c>
      <c r="M734" s="26" t="s">
        <v>6295</v>
      </c>
      <c r="N734" s="27" t="s">
        <v>11103</v>
      </c>
      <c r="O734" s="26" t="s">
        <v>6295</v>
      </c>
      <c r="P734" s="20" t="b">
        <v>1</v>
      </c>
      <c r="Q734" s="20" t="s">
        <v>6282</v>
      </c>
      <c r="R734" s="28" t="s">
        <v>6283</v>
      </c>
      <c r="S734" s="25"/>
      <c r="T734" s="20" t="b">
        <v>1</v>
      </c>
      <c r="U734" s="25"/>
      <c r="V734" s="25">
        <v>410</v>
      </c>
      <c r="W734" s="28" t="s">
        <v>11104</v>
      </c>
      <c r="X734" s="28" t="s">
        <v>6285</v>
      </c>
      <c r="Y734" s="28" t="s">
        <v>6286</v>
      </c>
      <c r="Z734" s="28" t="s">
        <v>6287</v>
      </c>
      <c r="AA734" s="28" t="s">
        <v>6288</v>
      </c>
      <c r="AB734" s="28" t="s">
        <v>6297</v>
      </c>
    </row>
    <row r="735" spans="1:28" ht="185.4" x14ac:dyDescent="0.3">
      <c r="A735" s="25">
        <v>8816</v>
      </c>
      <c r="B735" s="25" t="s">
        <v>11105</v>
      </c>
      <c r="C735" s="25" t="s">
        <v>11106</v>
      </c>
      <c r="D735" s="25" t="s">
        <v>6278</v>
      </c>
      <c r="E735" s="16" t="s">
        <v>6279</v>
      </c>
      <c r="F735" s="16" t="s">
        <v>6279</v>
      </c>
      <c r="G735" s="16" t="s">
        <v>6279</v>
      </c>
      <c r="H735" s="16" t="s">
        <v>6279</v>
      </c>
      <c r="I735" s="25" t="s">
        <v>11107</v>
      </c>
      <c r="J735" s="25"/>
      <c r="K735" s="25" t="s">
        <v>6281</v>
      </c>
      <c r="L735" s="26" t="s">
        <v>11108</v>
      </c>
      <c r="M735" s="26" t="s">
        <v>11109</v>
      </c>
      <c r="N735" s="27" t="s">
        <v>11110</v>
      </c>
      <c r="O735" s="26" t="s">
        <v>11111</v>
      </c>
      <c r="P735" s="20" t="b">
        <v>1</v>
      </c>
      <c r="Q735" s="20" t="s">
        <v>6282</v>
      </c>
      <c r="R735" s="28" t="s">
        <v>6283</v>
      </c>
      <c r="S735" s="25"/>
      <c r="T735" s="20" t="b">
        <v>1</v>
      </c>
      <c r="U735" s="25"/>
      <c r="V735" s="25">
        <v>26.1</v>
      </c>
      <c r="W735" s="28" t="s">
        <v>11112</v>
      </c>
      <c r="X735" s="28" t="s">
        <v>6285</v>
      </c>
      <c r="Y735" s="28" t="s">
        <v>6286</v>
      </c>
      <c r="Z735" s="28" t="s">
        <v>6287</v>
      </c>
      <c r="AA735" s="28" t="s">
        <v>6288</v>
      </c>
      <c r="AB735" s="28" t="s">
        <v>6297</v>
      </c>
    </row>
    <row r="736" spans="1:28" ht="185.4" x14ac:dyDescent="0.3">
      <c r="A736" s="25">
        <v>8821</v>
      </c>
      <c r="B736" s="25" t="s">
        <v>11113</v>
      </c>
      <c r="C736" s="25" t="s">
        <v>11114</v>
      </c>
      <c r="D736" s="25" t="s">
        <v>6291</v>
      </c>
      <c r="E736" s="16" t="s">
        <v>6786</v>
      </c>
      <c r="F736" s="16" t="s">
        <v>6786</v>
      </c>
      <c r="G736" s="16" t="s">
        <v>6786</v>
      </c>
      <c r="H736" s="16" t="s">
        <v>6786</v>
      </c>
      <c r="I736" s="25" t="s">
        <v>11115</v>
      </c>
      <c r="J736" s="25"/>
      <c r="K736" s="25" t="s">
        <v>6281</v>
      </c>
      <c r="L736" s="26" t="s">
        <v>11116</v>
      </c>
      <c r="M736" s="26" t="s">
        <v>11117</v>
      </c>
      <c r="N736" s="27" t="s">
        <v>11118</v>
      </c>
      <c r="O736" s="26" t="s">
        <v>6295</v>
      </c>
      <c r="P736" s="20" t="b">
        <v>1</v>
      </c>
      <c r="Q736" s="20" t="s">
        <v>6282</v>
      </c>
      <c r="R736" s="28" t="s">
        <v>6283</v>
      </c>
      <c r="S736" s="25"/>
      <c r="T736" s="20" t="b">
        <v>1</v>
      </c>
      <c r="U736" s="25"/>
      <c r="V736" s="25">
        <v>0.30751000000000001</v>
      </c>
      <c r="W736" s="28" t="s">
        <v>11119</v>
      </c>
      <c r="X736" s="28" t="s">
        <v>6285</v>
      </c>
      <c r="Y736" s="28" t="s">
        <v>6286</v>
      </c>
      <c r="Z736" s="28" t="s">
        <v>6287</v>
      </c>
      <c r="AA736" s="28" t="s">
        <v>6288</v>
      </c>
      <c r="AB736" s="28" t="s">
        <v>6297</v>
      </c>
    </row>
    <row r="737" spans="1:28" ht="193.2" x14ac:dyDescent="0.3">
      <c r="A737" s="25">
        <v>8824</v>
      </c>
      <c r="B737" s="25" t="s">
        <v>11120</v>
      </c>
      <c r="C737" s="25" t="s">
        <v>11121</v>
      </c>
      <c r="D737" s="25" t="s">
        <v>6291</v>
      </c>
      <c r="E737" s="16" t="s">
        <v>6292</v>
      </c>
      <c r="F737" s="16" t="s">
        <v>6292</v>
      </c>
      <c r="G737" s="16" t="s">
        <v>6292</v>
      </c>
      <c r="H737" s="16" t="s">
        <v>6292</v>
      </c>
      <c r="I737" s="25" t="s">
        <v>11122</v>
      </c>
      <c r="J737" s="25"/>
      <c r="K737" s="25" t="s">
        <v>6281</v>
      </c>
      <c r="L737" s="26" t="s">
        <v>11123</v>
      </c>
      <c r="M737" s="26" t="s">
        <v>11124</v>
      </c>
      <c r="N737" s="27" t="s">
        <v>11125</v>
      </c>
      <c r="O737" s="26" t="s">
        <v>11126</v>
      </c>
      <c r="P737" s="20" t="b">
        <v>1</v>
      </c>
      <c r="Q737" s="20" t="s">
        <v>6282</v>
      </c>
      <c r="R737" s="28" t="s">
        <v>6283</v>
      </c>
      <c r="S737" s="25"/>
      <c r="T737" s="20" t="b">
        <v>1</v>
      </c>
      <c r="U737" s="25"/>
      <c r="V737" s="25">
        <v>32.21</v>
      </c>
      <c r="W737" s="28" t="s">
        <v>11127</v>
      </c>
      <c r="X737" s="28" t="s">
        <v>6285</v>
      </c>
      <c r="Y737" s="28" t="s">
        <v>6286</v>
      </c>
      <c r="Z737" s="28" t="s">
        <v>6287</v>
      </c>
      <c r="AA737" s="28" t="s">
        <v>6288</v>
      </c>
      <c r="AB737" s="28" t="s">
        <v>6297</v>
      </c>
    </row>
    <row r="738" spans="1:28" ht="211.8" x14ac:dyDescent="0.3">
      <c r="A738" s="25">
        <v>8825</v>
      </c>
      <c r="B738" s="25" t="s">
        <v>11128</v>
      </c>
      <c r="C738" s="25" t="s">
        <v>11129</v>
      </c>
      <c r="D738" s="25" t="s">
        <v>6291</v>
      </c>
      <c r="E738" s="16" t="s">
        <v>6292</v>
      </c>
      <c r="F738" s="16" t="s">
        <v>6292</v>
      </c>
      <c r="G738" s="16" t="s">
        <v>6292</v>
      </c>
      <c r="H738" s="16" t="s">
        <v>6292</v>
      </c>
      <c r="I738" s="25" t="s">
        <v>11130</v>
      </c>
      <c r="J738" s="25"/>
      <c r="K738" s="25" t="s">
        <v>6281</v>
      </c>
      <c r="L738" s="26" t="s">
        <v>11131</v>
      </c>
      <c r="M738" s="26" t="s">
        <v>11132</v>
      </c>
      <c r="N738" s="27" t="s">
        <v>11133</v>
      </c>
      <c r="O738" s="26" t="s">
        <v>11134</v>
      </c>
      <c r="P738" s="20" t="b">
        <v>1</v>
      </c>
      <c r="Q738" s="20" t="s">
        <v>6282</v>
      </c>
      <c r="R738" s="28" t="s">
        <v>6283</v>
      </c>
      <c r="S738" s="25"/>
      <c r="T738" s="20" t="b">
        <v>1</v>
      </c>
      <c r="U738" s="25"/>
      <c r="V738" s="25">
        <v>721.39</v>
      </c>
      <c r="W738" s="28" t="s">
        <v>11135</v>
      </c>
      <c r="X738" s="28" t="s">
        <v>6285</v>
      </c>
      <c r="Y738" s="28" t="s">
        <v>6286</v>
      </c>
      <c r="Z738" s="28" t="s">
        <v>6287</v>
      </c>
      <c r="AA738" s="28" t="s">
        <v>6288</v>
      </c>
      <c r="AB738" s="28" t="s">
        <v>6297</v>
      </c>
    </row>
    <row r="739" spans="1:28" ht="185.4" x14ac:dyDescent="0.3">
      <c r="A739" s="25">
        <v>8826</v>
      </c>
      <c r="B739" s="25" t="s">
        <v>11136</v>
      </c>
      <c r="C739" s="25" t="s">
        <v>11137</v>
      </c>
      <c r="D739" s="25" t="s">
        <v>6278</v>
      </c>
      <c r="E739" s="16" t="s">
        <v>6279</v>
      </c>
      <c r="F739" s="16" t="s">
        <v>6279</v>
      </c>
      <c r="G739" s="16" t="s">
        <v>6279</v>
      </c>
      <c r="H739" s="16" t="s">
        <v>6279</v>
      </c>
      <c r="I739" s="25" t="s">
        <v>11138</v>
      </c>
      <c r="J739" s="25"/>
      <c r="K739" s="25" t="s">
        <v>6281</v>
      </c>
      <c r="L739" s="26" t="s">
        <v>11139</v>
      </c>
      <c r="M739" s="26" t="s">
        <v>11140</v>
      </c>
      <c r="N739" s="27" t="s">
        <v>11141</v>
      </c>
      <c r="O739" s="26" t="s">
        <v>11142</v>
      </c>
      <c r="P739" s="20" t="b">
        <v>1</v>
      </c>
      <c r="Q739" s="20" t="s">
        <v>6282</v>
      </c>
      <c r="R739" s="28" t="s">
        <v>6283</v>
      </c>
      <c r="S739" s="25"/>
      <c r="T739" s="20" t="b">
        <v>1</v>
      </c>
      <c r="U739" s="25"/>
      <c r="V739" s="25" t="s">
        <v>6295</v>
      </c>
      <c r="W739" s="28" t="s">
        <v>11143</v>
      </c>
      <c r="X739" s="28" t="s">
        <v>6285</v>
      </c>
      <c r="Y739" s="28" t="s">
        <v>6286</v>
      </c>
      <c r="Z739" s="28" t="s">
        <v>6287</v>
      </c>
      <c r="AA739" s="28" t="s">
        <v>6288</v>
      </c>
      <c r="AB739" s="28" t="s">
        <v>6297</v>
      </c>
    </row>
    <row r="740" spans="1:28" ht="185.4" x14ac:dyDescent="0.3">
      <c r="A740" s="25">
        <v>8831</v>
      </c>
      <c r="B740" s="25" t="s">
        <v>11144</v>
      </c>
      <c r="C740" s="25" t="s">
        <v>11145</v>
      </c>
      <c r="D740" s="25" t="s">
        <v>6291</v>
      </c>
      <c r="E740" s="16" t="s">
        <v>6786</v>
      </c>
      <c r="F740" s="16" t="s">
        <v>6786</v>
      </c>
      <c r="G740" s="16" t="s">
        <v>6786</v>
      </c>
      <c r="H740" s="16" t="s">
        <v>6786</v>
      </c>
      <c r="I740" s="25" t="s">
        <v>11146</v>
      </c>
      <c r="J740" s="25"/>
      <c r="K740" s="25" t="s">
        <v>6281</v>
      </c>
      <c r="L740" s="26" t="s">
        <v>11147</v>
      </c>
      <c r="M740" s="26" t="s">
        <v>6295</v>
      </c>
      <c r="N740" s="27" t="s">
        <v>11148</v>
      </c>
      <c r="O740" s="26" t="s">
        <v>6295</v>
      </c>
      <c r="P740" s="20" t="b">
        <v>1</v>
      </c>
      <c r="Q740" s="20" t="s">
        <v>6282</v>
      </c>
      <c r="R740" s="28" t="s">
        <v>6283</v>
      </c>
      <c r="S740" s="25"/>
      <c r="T740" s="20" t="b">
        <v>1</v>
      </c>
      <c r="U740" s="25"/>
      <c r="V740" s="25">
        <v>3.1526000000000001</v>
      </c>
      <c r="W740" s="28" t="s">
        <v>11149</v>
      </c>
      <c r="X740" s="28" t="s">
        <v>6285</v>
      </c>
      <c r="Y740" s="28" t="s">
        <v>6286</v>
      </c>
      <c r="Z740" s="28" t="s">
        <v>6287</v>
      </c>
      <c r="AA740" s="28" t="s">
        <v>6288</v>
      </c>
      <c r="AB740" s="28" t="s">
        <v>6297</v>
      </c>
    </row>
    <row r="741" spans="1:28" ht="185.4" x14ac:dyDescent="0.3">
      <c r="A741" s="25">
        <v>8833</v>
      </c>
      <c r="B741" s="25" t="s">
        <v>11150</v>
      </c>
      <c r="C741" s="25" t="s">
        <v>11151</v>
      </c>
      <c r="D741" s="25" t="s">
        <v>6278</v>
      </c>
      <c r="E741" s="16" t="s">
        <v>6279</v>
      </c>
      <c r="F741" s="16" t="s">
        <v>6279</v>
      </c>
      <c r="G741" s="16" t="s">
        <v>6279</v>
      </c>
      <c r="H741" s="16" t="s">
        <v>6279</v>
      </c>
      <c r="I741" s="25" t="s">
        <v>11152</v>
      </c>
      <c r="J741" s="25"/>
      <c r="K741" s="25" t="s">
        <v>6281</v>
      </c>
      <c r="L741" s="26" t="s">
        <v>11153</v>
      </c>
      <c r="M741" s="26" t="s">
        <v>11154</v>
      </c>
      <c r="N741" s="27" t="s">
        <v>11155</v>
      </c>
      <c r="O741" s="26" t="s">
        <v>6295</v>
      </c>
      <c r="P741" s="20" t="b">
        <v>1</v>
      </c>
      <c r="Q741" s="20" t="s">
        <v>6282</v>
      </c>
      <c r="R741" s="28" t="s">
        <v>6283</v>
      </c>
      <c r="S741" s="25"/>
      <c r="T741" s="20" t="b">
        <v>1</v>
      </c>
      <c r="U741" s="25"/>
      <c r="V741" s="25">
        <v>198.24</v>
      </c>
      <c r="W741" s="28" t="s">
        <v>11156</v>
      </c>
      <c r="X741" s="28" t="s">
        <v>6285</v>
      </c>
      <c r="Y741" s="28" t="s">
        <v>6286</v>
      </c>
      <c r="Z741" s="28" t="s">
        <v>6287</v>
      </c>
      <c r="AA741" s="28" t="s">
        <v>6288</v>
      </c>
      <c r="AB741" s="28" t="s">
        <v>6297</v>
      </c>
    </row>
    <row r="742" spans="1:28" ht="185.4" x14ac:dyDescent="0.3">
      <c r="A742" s="25">
        <v>8834</v>
      </c>
      <c r="B742" s="25" t="s">
        <v>11157</v>
      </c>
      <c r="C742" s="25" t="s">
        <v>11158</v>
      </c>
      <c r="D742" s="25" t="s">
        <v>6278</v>
      </c>
      <c r="E742" s="16" t="s">
        <v>6279</v>
      </c>
      <c r="F742" s="16" t="s">
        <v>6279</v>
      </c>
      <c r="G742" s="16" t="s">
        <v>6279</v>
      </c>
      <c r="H742" s="16" t="s">
        <v>6279</v>
      </c>
      <c r="I742" s="25" t="s">
        <v>11159</v>
      </c>
      <c r="J742" s="25"/>
      <c r="K742" s="25" t="s">
        <v>6281</v>
      </c>
      <c r="L742" s="26" t="s">
        <v>11160</v>
      </c>
      <c r="M742" s="26" t="s">
        <v>6295</v>
      </c>
      <c r="N742" s="27" t="s">
        <v>11161</v>
      </c>
      <c r="O742" s="26" t="s">
        <v>6295</v>
      </c>
      <c r="P742" s="20" t="b">
        <v>1</v>
      </c>
      <c r="Q742" s="20" t="s">
        <v>6282</v>
      </c>
      <c r="R742" s="28" t="s">
        <v>6283</v>
      </c>
      <c r="S742" s="25"/>
      <c r="T742" s="20" t="b">
        <v>1</v>
      </c>
      <c r="U742" s="25"/>
      <c r="V742" s="25">
        <v>3601.19</v>
      </c>
      <c r="W742" s="28" t="s">
        <v>11162</v>
      </c>
      <c r="X742" s="28" t="s">
        <v>6285</v>
      </c>
      <c r="Y742" s="28" t="s">
        <v>6286</v>
      </c>
      <c r="Z742" s="28" t="s">
        <v>6287</v>
      </c>
      <c r="AA742" s="28" t="s">
        <v>6288</v>
      </c>
      <c r="AB742" s="28" t="s">
        <v>6297</v>
      </c>
    </row>
    <row r="743" spans="1:28" ht="185.4" x14ac:dyDescent="0.3">
      <c r="A743" s="25">
        <v>8835</v>
      </c>
      <c r="B743" s="25" t="s">
        <v>11163</v>
      </c>
      <c r="C743" s="25" t="s">
        <v>11164</v>
      </c>
      <c r="D743" s="25" t="s">
        <v>6291</v>
      </c>
      <c r="E743" s="16" t="s">
        <v>6786</v>
      </c>
      <c r="F743" s="16" t="s">
        <v>6786</v>
      </c>
      <c r="G743" s="16" t="s">
        <v>6786</v>
      </c>
      <c r="H743" s="16" t="s">
        <v>6786</v>
      </c>
      <c r="I743" s="25" t="s">
        <v>11165</v>
      </c>
      <c r="J743" s="25"/>
      <c r="K743" s="25" t="s">
        <v>6281</v>
      </c>
      <c r="L743" s="26" t="s">
        <v>11166</v>
      </c>
      <c r="M743" s="26" t="s">
        <v>10482</v>
      </c>
      <c r="N743" s="27" t="s">
        <v>11167</v>
      </c>
      <c r="O743" s="26" t="s">
        <v>6295</v>
      </c>
      <c r="P743" s="20" t="b">
        <v>1</v>
      </c>
      <c r="Q743" s="20" t="s">
        <v>6282</v>
      </c>
      <c r="R743" s="28" t="s">
        <v>6283</v>
      </c>
      <c r="S743" s="25"/>
      <c r="T743" s="20" t="b">
        <v>1</v>
      </c>
      <c r="U743" s="25"/>
      <c r="V743" s="25">
        <v>2</v>
      </c>
      <c r="W743" s="28" t="s">
        <v>11168</v>
      </c>
      <c r="X743" s="28" t="s">
        <v>6285</v>
      </c>
      <c r="Y743" s="28" t="s">
        <v>6286</v>
      </c>
      <c r="Z743" s="28" t="s">
        <v>6287</v>
      </c>
      <c r="AA743" s="28" t="s">
        <v>6288</v>
      </c>
      <c r="AB743" s="28" t="s">
        <v>6297</v>
      </c>
    </row>
    <row r="744" spans="1:28" ht="185.4" x14ac:dyDescent="0.3">
      <c r="A744" s="25">
        <v>8837</v>
      </c>
      <c r="B744" s="25" t="s">
        <v>11169</v>
      </c>
      <c r="C744" s="25" t="s">
        <v>11170</v>
      </c>
      <c r="D744" s="25" t="s">
        <v>6278</v>
      </c>
      <c r="E744" s="16" t="s">
        <v>6279</v>
      </c>
      <c r="F744" s="16" t="s">
        <v>6279</v>
      </c>
      <c r="G744" s="16" t="s">
        <v>6279</v>
      </c>
      <c r="H744" s="16" t="s">
        <v>6279</v>
      </c>
      <c r="I744" s="25" t="s">
        <v>11171</v>
      </c>
      <c r="J744" s="25"/>
      <c r="K744" s="25" t="s">
        <v>6281</v>
      </c>
      <c r="L744" s="26" t="s">
        <v>11172</v>
      </c>
      <c r="M744" s="26" t="s">
        <v>11173</v>
      </c>
      <c r="N744" s="27" t="s">
        <v>11174</v>
      </c>
      <c r="O744" s="26" t="s">
        <v>11175</v>
      </c>
      <c r="P744" s="20" t="b">
        <v>1</v>
      </c>
      <c r="Q744" s="20" t="s">
        <v>6282</v>
      </c>
      <c r="R744" s="28" t="s">
        <v>6283</v>
      </c>
      <c r="S744" s="25"/>
      <c r="T744" s="20" t="b">
        <v>1</v>
      </c>
      <c r="U744" s="25"/>
      <c r="V744" s="25">
        <v>56.8</v>
      </c>
      <c r="W744" s="28" t="s">
        <v>11176</v>
      </c>
      <c r="X744" s="28" t="s">
        <v>6285</v>
      </c>
      <c r="Y744" s="28" t="s">
        <v>6286</v>
      </c>
      <c r="Z744" s="28" t="s">
        <v>6287</v>
      </c>
      <c r="AA744" s="28" t="s">
        <v>6288</v>
      </c>
      <c r="AB744" s="28" t="s">
        <v>6297</v>
      </c>
    </row>
    <row r="745" spans="1:28" ht="185.4" x14ac:dyDescent="0.3">
      <c r="A745" s="25">
        <v>8838</v>
      </c>
      <c r="B745" s="25" t="s">
        <v>11177</v>
      </c>
      <c r="C745" s="25" t="s">
        <v>6306</v>
      </c>
      <c r="D745" s="25" t="s">
        <v>6291</v>
      </c>
      <c r="E745" s="16" t="s">
        <v>6292</v>
      </c>
      <c r="F745" s="16" t="s">
        <v>6292</v>
      </c>
      <c r="G745" s="16" t="s">
        <v>6292</v>
      </c>
      <c r="H745" s="16" t="s">
        <v>6292</v>
      </c>
      <c r="I745" s="25" t="s">
        <v>11178</v>
      </c>
      <c r="J745" s="25"/>
      <c r="K745" s="25" t="s">
        <v>6281</v>
      </c>
      <c r="L745" s="26" t="s">
        <v>11179</v>
      </c>
      <c r="M745" s="26" t="s">
        <v>11180</v>
      </c>
      <c r="N745" s="27" t="s">
        <v>11181</v>
      </c>
      <c r="O745" s="26" t="s">
        <v>6295</v>
      </c>
      <c r="P745" s="20" t="b">
        <v>1</v>
      </c>
      <c r="Q745" s="20" t="s">
        <v>6282</v>
      </c>
      <c r="R745" s="28" t="s">
        <v>6283</v>
      </c>
      <c r="S745" s="25"/>
      <c r="T745" s="20" t="b">
        <v>1</v>
      </c>
      <c r="U745" s="25"/>
      <c r="V745" s="25">
        <v>162.75</v>
      </c>
      <c r="W745" s="28" t="s">
        <v>11182</v>
      </c>
      <c r="X745" s="28" t="s">
        <v>6285</v>
      </c>
      <c r="Y745" s="28" t="s">
        <v>6286</v>
      </c>
      <c r="Z745" s="28" t="s">
        <v>6287</v>
      </c>
      <c r="AA745" s="28" t="s">
        <v>6288</v>
      </c>
      <c r="AB745" s="28" t="s">
        <v>6297</v>
      </c>
    </row>
    <row r="746" spans="1:28" ht="185.4" x14ac:dyDescent="0.3">
      <c r="A746" s="25">
        <v>8839</v>
      </c>
      <c r="B746" s="25" t="s">
        <v>11183</v>
      </c>
      <c r="C746" s="25" t="s">
        <v>11184</v>
      </c>
      <c r="D746" s="25" t="s">
        <v>6278</v>
      </c>
      <c r="E746" s="16" t="s">
        <v>6279</v>
      </c>
      <c r="F746" s="16" t="s">
        <v>6279</v>
      </c>
      <c r="G746" s="16" t="s">
        <v>6279</v>
      </c>
      <c r="H746" s="16" t="s">
        <v>6279</v>
      </c>
      <c r="I746" s="25" t="s">
        <v>11185</v>
      </c>
      <c r="J746" s="25"/>
      <c r="K746" s="25" t="s">
        <v>6281</v>
      </c>
      <c r="L746" s="26" t="s">
        <v>11186</v>
      </c>
      <c r="M746" s="26" t="s">
        <v>6714</v>
      </c>
      <c r="N746" s="27" t="s">
        <v>11187</v>
      </c>
      <c r="O746" s="26" t="s">
        <v>6295</v>
      </c>
      <c r="P746" s="20" t="b">
        <v>1</v>
      </c>
      <c r="Q746" s="20" t="s">
        <v>6282</v>
      </c>
      <c r="R746" s="28" t="s">
        <v>6283</v>
      </c>
      <c r="S746" s="25"/>
      <c r="T746" s="20" t="b">
        <v>1</v>
      </c>
      <c r="U746" s="25"/>
      <c r="V746" s="25">
        <v>77.42</v>
      </c>
      <c r="W746" s="28" t="s">
        <v>11188</v>
      </c>
      <c r="X746" s="28" t="s">
        <v>6285</v>
      </c>
      <c r="Y746" s="28" t="s">
        <v>6286</v>
      </c>
      <c r="Z746" s="28" t="s">
        <v>6287</v>
      </c>
      <c r="AA746" s="28" t="s">
        <v>6288</v>
      </c>
      <c r="AB746" s="28" t="s">
        <v>6297</v>
      </c>
    </row>
    <row r="747" spans="1:28" ht="185.4" x14ac:dyDescent="0.3">
      <c r="A747" s="25">
        <v>8841</v>
      </c>
      <c r="B747" s="25" t="s">
        <v>11189</v>
      </c>
      <c r="C747" s="25" t="s">
        <v>11190</v>
      </c>
      <c r="D747" s="25" t="s">
        <v>6278</v>
      </c>
      <c r="E747" s="16" t="s">
        <v>6279</v>
      </c>
      <c r="F747" s="16" t="s">
        <v>6279</v>
      </c>
      <c r="G747" s="16" t="s">
        <v>6279</v>
      </c>
      <c r="H747" s="16" t="s">
        <v>6279</v>
      </c>
      <c r="I747" s="25" t="s">
        <v>11191</v>
      </c>
      <c r="J747" s="25"/>
      <c r="K747" s="25" t="s">
        <v>6281</v>
      </c>
      <c r="L747" s="26" t="s">
        <v>11192</v>
      </c>
      <c r="M747" s="26" t="s">
        <v>4520</v>
      </c>
      <c r="N747" s="27" t="s">
        <v>11193</v>
      </c>
      <c r="O747" s="26" t="s">
        <v>6295</v>
      </c>
      <c r="P747" s="20" t="b">
        <v>1</v>
      </c>
      <c r="Q747" s="20" t="s">
        <v>6282</v>
      </c>
      <c r="R747" s="28" t="s">
        <v>6283</v>
      </c>
      <c r="S747" s="25"/>
      <c r="T747" s="20" t="b">
        <v>1</v>
      </c>
      <c r="U747" s="25"/>
      <c r="V747" s="25">
        <v>431.56</v>
      </c>
      <c r="W747" s="28" t="s">
        <v>11194</v>
      </c>
      <c r="X747" s="28" t="s">
        <v>6285</v>
      </c>
      <c r="Y747" s="28" t="s">
        <v>6286</v>
      </c>
      <c r="Z747" s="28" t="s">
        <v>6287</v>
      </c>
      <c r="AA747" s="28" t="s">
        <v>6288</v>
      </c>
      <c r="AB747" s="28" t="s">
        <v>6297</v>
      </c>
    </row>
    <row r="748" spans="1:28" ht="185.4" x14ac:dyDescent="0.3">
      <c r="A748" s="25">
        <v>8842</v>
      </c>
      <c r="B748" s="25" t="s">
        <v>11065</v>
      </c>
      <c r="C748" s="25" t="s">
        <v>11195</v>
      </c>
      <c r="D748" s="25" t="s">
        <v>6291</v>
      </c>
      <c r="E748" s="16" t="s">
        <v>6786</v>
      </c>
      <c r="F748" s="16" t="s">
        <v>6786</v>
      </c>
      <c r="G748" s="16" t="s">
        <v>6786</v>
      </c>
      <c r="H748" s="16" t="s">
        <v>6786</v>
      </c>
      <c r="I748" s="25" t="s">
        <v>11067</v>
      </c>
      <c r="J748" s="25"/>
      <c r="K748" s="25" t="s">
        <v>6281</v>
      </c>
      <c r="L748" s="26" t="s">
        <v>11196</v>
      </c>
      <c r="M748" s="26" t="s">
        <v>11077</v>
      </c>
      <c r="N748" s="27" t="s">
        <v>11197</v>
      </c>
      <c r="O748" s="26" t="s">
        <v>11071</v>
      </c>
      <c r="P748" s="20" t="b">
        <v>1</v>
      </c>
      <c r="Q748" s="20" t="s">
        <v>6282</v>
      </c>
      <c r="R748" s="28" t="s">
        <v>6283</v>
      </c>
      <c r="S748" s="25"/>
      <c r="T748" s="20" t="b">
        <v>1</v>
      </c>
      <c r="U748" s="25"/>
      <c r="V748" s="25">
        <v>4.5750000000000002</v>
      </c>
      <c r="W748" s="28" t="s">
        <v>11198</v>
      </c>
      <c r="X748" s="28" t="s">
        <v>6285</v>
      </c>
      <c r="Y748" s="28" t="s">
        <v>6286</v>
      </c>
      <c r="Z748" s="28" t="s">
        <v>6287</v>
      </c>
      <c r="AA748" s="28" t="s">
        <v>6288</v>
      </c>
      <c r="AB748" s="28" t="s">
        <v>6297</v>
      </c>
    </row>
    <row r="749" spans="1:28" ht="185.4" x14ac:dyDescent="0.3">
      <c r="A749" s="25">
        <v>8843</v>
      </c>
      <c r="B749" s="25" t="s">
        <v>11073</v>
      </c>
      <c r="C749" s="25" t="s">
        <v>11199</v>
      </c>
      <c r="D749" s="25" t="s">
        <v>6291</v>
      </c>
      <c r="E749" s="16" t="s">
        <v>6786</v>
      </c>
      <c r="F749" s="16" t="s">
        <v>6786</v>
      </c>
      <c r="G749" s="16" t="s">
        <v>6786</v>
      </c>
      <c r="H749" s="16" t="s">
        <v>6786</v>
      </c>
      <c r="I749" s="25" t="s">
        <v>11075</v>
      </c>
      <c r="J749" s="25"/>
      <c r="K749" s="25" t="s">
        <v>6281</v>
      </c>
      <c r="L749" s="26" t="s">
        <v>11196</v>
      </c>
      <c r="M749" s="26" t="s">
        <v>11077</v>
      </c>
      <c r="N749" s="27" t="s">
        <v>11197</v>
      </c>
      <c r="O749" s="26" t="s">
        <v>11071</v>
      </c>
      <c r="P749" s="20" t="b">
        <v>1</v>
      </c>
      <c r="Q749" s="20" t="s">
        <v>6282</v>
      </c>
      <c r="R749" s="28" t="s">
        <v>6283</v>
      </c>
      <c r="S749" s="25"/>
      <c r="T749" s="20" t="b">
        <v>1</v>
      </c>
      <c r="U749" s="25"/>
      <c r="V749" s="25">
        <v>4.5750000000000002</v>
      </c>
      <c r="W749" s="28" t="s">
        <v>11200</v>
      </c>
      <c r="X749" s="28" t="s">
        <v>6285</v>
      </c>
      <c r="Y749" s="28" t="s">
        <v>6286</v>
      </c>
      <c r="Z749" s="28" t="s">
        <v>6287</v>
      </c>
      <c r="AA749" s="28" t="s">
        <v>6288</v>
      </c>
      <c r="AB749" s="28" t="s">
        <v>6297</v>
      </c>
    </row>
    <row r="750" spans="1:28" ht="185.4" x14ac:dyDescent="0.3">
      <c r="A750" s="25">
        <v>8844</v>
      </c>
      <c r="B750" s="25" t="s">
        <v>11065</v>
      </c>
      <c r="C750" s="25" t="s">
        <v>11201</v>
      </c>
      <c r="D750" s="25" t="s">
        <v>6291</v>
      </c>
      <c r="E750" s="16" t="s">
        <v>6786</v>
      </c>
      <c r="F750" s="16" t="s">
        <v>6786</v>
      </c>
      <c r="G750" s="16" t="s">
        <v>6786</v>
      </c>
      <c r="H750" s="16" t="s">
        <v>6786</v>
      </c>
      <c r="I750" s="25" t="s">
        <v>11067</v>
      </c>
      <c r="J750" s="25"/>
      <c r="K750" s="25" t="s">
        <v>6281</v>
      </c>
      <c r="L750" s="26" t="s">
        <v>11196</v>
      </c>
      <c r="M750" s="26" t="s">
        <v>11077</v>
      </c>
      <c r="N750" s="27" t="s">
        <v>11197</v>
      </c>
      <c r="O750" s="26" t="s">
        <v>11071</v>
      </c>
      <c r="P750" s="20" t="b">
        <v>1</v>
      </c>
      <c r="Q750" s="20" t="s">
        <v>6282</v>
      </c>
      <c r="R750" s="28" t="s">
        <v>6283</v>
      </c>
      <c r="S750" s="25"/>
      <c r="T750" s="20" t="b">
        <v>1</v>
      </c>
      <c r="U750" s="25"/>
      <c r="V750" s="25">
        <v>4.5750000000000002</v>
      </c>
      <c r="W750" s="28" t="s">
        <v>11202</v>
      </c>
      <c r="X750" s="28" t="s">
        <v>6285</v>
      </c>
      <c r="Y750" s="28" t="s">
        <v>6286</v>
      </c>
      <c r="Z750" s="28" t="s">
        <v>6287</v>
      </c>
      <c r="AA750" s="28" t="s">
        <v>6288</v>
      </c>
      <c r="AB750" s="28" t="s">
        <v>6297</v>
      </c>
    </row>
    <row r="751" spans="1:28" ht="185.4" x14ac:dyDescent="0.3">
      <c r="A751" s="25">
        <v>8845</v>
      </c>
      <c r="B751" s="25" t="s">
        <v>11073</v>
      </c>
      <c r="C751" s="25" t="s">
        <v>11203</v>
      </c>
      <c r="D751" s="25" t="s">
        <v>6291</v>
      </c>
      <c r="E751" s="16" t="s">
        <v>6786</v>
      </c>
      <c r="F751" s="16" t="s">
        <v>6786</v>
      </c>
      <c r="G751" s="16" t="s">
        <v>6786</v>
      </c>
      <c r="H751" s="16" t="s">
        <v>6786</v>
      </c>
      <c r="I751" s="25" t="s">
        <v>11075</v>
      </c>
      <c r="J751" s="25"/>
      <c r="K751" s="25" t="s">
        <v>6281</v>
      </c>
      <c r="L751" s="26" t="s">
        <v>11204</v>
      </c>
      <c r="M751" s="26" t="s">
        <v>11077</v>
      </c>
      <c r="N751" s="27" t="s">
        <v>11197</v>
      </c>
      <c r="O751" s="26" t="s">
        <v>11071</v>
      </c>
      <c r="P751" s="20" t="b">
        <v>1</v>
      </c>
      <c r="Q751" s="20" t="s">
        <v>6282</v>
      </c>
      <c r="R751" s="28" t="s">
        <v>6283</v>
      </c>
      <c r="S751" s="25"/>
      <c r="T751" s="20" t="b">
        <v>1</v>
      </c>
      <c r="U751" s="25"/>
      <c r="V751" s="25">
        <v>4.5750000000000002</v>
      </c>
      <c r="W751" s="28" t="s">
        <v>11205</v>
      </c>
      <c r="X751" s="28" t="s">
        <v>6285</v>
      </c>
      <c r="Y751" s="28" t="s">
        <v>6286</v>
      </c>
      <c r="Z751" s="28" t="s">
        <v>6287</v>
      </c>
      <c r="AA751" s="28" t="s">
        <v>6288</v>
      </c>
      <c r="AB751" s="28" t="s">
        <v>6297</v>
      </c>
    </row>
    <row r="752" spans="1:28" ht="185.4" x14ac:dyDescent="0.3">
      <c r="A752" s="25">
        <v>8846</v>
      </c>
      <c r="B752" s="25" t="s">
        <v>11206</v>
      </c>
      <c r="C752" s="25" t="s">
        <v>11207</v>
      </c>
      <c r="D752" s="25" t="s">
        <v>6291</v>
      </c>
      <c r="E752" s="16" t="s">
        <v>6786</v>
      </c>
      <c r="F752" s="16" t="s">
        <v>6786</v>
      </c>
      <c r="G752" s="16" t="s">
        <v>6786</v>
      </c>
      <c r="H752" s="16" t="s">
        <v>6786</v>
      </c>
      <c r="I752" s="25" t="s">
        <v>11208</v>
      </c>
      <c r="J752" s="25"/>
      <c r="K752" s="25" t="s">
        <v>6281</v>
      </c>
      <c r="L752" s="26" t="s">
        <v>11209</v>
      </c>
      <c r="M752" s="26" t="s">
        <v>6295</v>
      </c>
      <c r="N752" s="27" t="s">
        <v>11210</v>
      </c>
      <c r="O752" s="26" t="s">
        <v>6295</v>
      </c>
      <c r="P752" s="20" t="b">
        <v>1</v>
      </c>
      <c r="Q752" s="20" t="s">
        <v>6282</v>
      </c>
      <c r="R752" s="28" t="s">
        <v>6283</v>
      </c>
      <c r="S752" s="25"/>
      <c r="T752" s="20" t="b">
        <v>1</v>
      </c>
      <c r="U752" s="25"/>
      <c r="V752" s="25">
        <v>1.3978250000000001</v>
      </c>
      <c r="W752" s="28" t="s">
        <v>11211</v>
      </c>
      <c r="X752" s="28" t="s">
        <v>6285</v>
      </c>
      <c r="Y752" s="28" t="s">
        <v>6286</v>
      </c>
      <c r="Z752" s="28" t="s">
        <v>6287</v>
      </c>
      <c r="AA752" s="28" t="s">
        <v>6288</v>
      </c>
      <c r="AB752" s="28" t="s">
        <v>6297</v>
      </c>
    </row>
    <row r="753" spans="1:28" ht="185.4" x14ac:dyDescent="0.3">
      <c r="A753" s="25">
        <v>8847</v>
      </c>
      <c r="B753" s="25" t="s">
        <v>11212</v>
      </c>
      <c r="C753" s="25" t="s">
        <v>11213</v>
      </c>
      <c r="D753" s="25" t="s">
        <v>6291</v>
      </c>
      <c r="E753" s="16" t="s">
        <v>6786</v>
      </c>
      <c r="F753" s="16" t="s">
        <v>6786</v>
      </c>
      <c r="G753" s="16" t="s">
        <v>6786</v>
      </c>
      <c r="H753" s="16" t="s">
        <v>6786</v>
      </c>
      <c r="I753" s="25" t="s">
        <v>11214</v>
      </c>
      <c r="J753" s="25"/>
      <c r="K753" s="25" t="s">
        <v>6281</v>
      </c>
      <c r="L753" s="26" t="s">
        <v>11215</v>
      </c>
      <c r="M753" s="26" t="s">
        <v>6295</v>
      </c>
      <c r="N753" s="27" t="s">
        <v>11216</v>
      </c>
      <c r="O753" s="26" t="s">
        <v>6295</v>
      </c>
      <c r="P753" s="20" t="b">
        <v>1</v>
      </c>
      <c r="Q753" s="20" t="s">
        <v>6282</v>
      </c>
      <c r="R753" s="28" t="s">
        <v>6283</v>
      </c>
      <c r="S753" s="25"/>
      <c r="T753" s="20" t="b">
        <v>1</v>
      </c>
      <c r="U753" s="25"/>
      <c r="V753" s="25">
        <v>6.95</v>
      </c>
      <c r="W753" s="28" t="s">
        <v>11217</v>
      </c>
      <c r="X753" s="28" t="s">
        <v>6285</v>
      </c>
      <c r="Y753" s="28" t="s">
        <v>6286</v>
      </c>
      <c r="Z753" s="28" t="s">
        <v>6287</v>
      </c>
      <c r="AA753" s="28" t="s">
        <v>6288</v>
      </c>
      <c r="AB753" s="28" t="s">
        <v>6297</v>
      </c>
    </row>
    <row r="754" spans="1:28" ht="185.4" x14ac:dyDescent="0.3">
      <c r="A754" s="25">
        <v>8848</v>
      </c>
      <c r="B754" s="25" t="s">
        <v>11218</v>
      </c>
      <c r="C754" s="25" t="s">
        <v>11219</v>
      </c>
      <c r="D754" s="25" t="s">
        <v>6278</v>
      </c>
      <c r="E754" s="16" t="s">
        <v>6279</v>
      </c>
      <c r="F754" s="16" t="s">
        <v>6279</v>
      </c>
      <c r="G754" s="16" t="s">
        <v>6279</v>
      </c>
      <c r="H754" s="16" t="s">
        <v>6279</v>
      </c>
      <c r="I754" s="25" t="s">
        <v>11220</v>
      </c>
      <c r="J754" s="25"/>
      <c r="K754" s="25" t="s">
        <v>6281</v>
      </c>
      <c r="L754" s="26" t="s">
        <v>11221</v>
      </c>
      <c r="M754" s="26" t="s">
        <v>11222</v>
      </c>
      <c r="N754" s="27" t="s">
        <v>11223</v>
      </c>
      <c r="O754" s="26" t="s">
        <v>6295</v>
      </c>
      <c r="P754" s="20" t="b">
        <v>1</v>
      </c>
      <c r="Q754" s="20" t="s">
        <v>6282</v>
      </c>
      <c r="R754" s="28" t="s">
        <v>6283</v>
      </c>
      <c r="S754" s="25"/>
      <c r="T754" s="20" t="b">
        <v>1</v>
      </c>
      <c r="U754" s="25"/>
      <c r="V754" s="25">
        <v>14.196</v>
      </c>
      <c r="W754" s="28" t="s">
        <v>11224</v>
      </c>
      <c r="X754" s="28" t="s">
        <v>6285</v>
      </c>
      <c r="Y754" s="28" t="s">
        <v>6286</v>
      </c>
      <c r="Z754" s="28" t="s">
        <v>6287</v>
      </c>
      <c r="AA754" s="28" t="s">
        <v>6288</v>
      </c>
      <c r="AB754" s="28" t="s">
        <v>6297</v>
      </c>
    </row>
    <row r="755" spans="1:28" ht="185.4" x14ac:dyDescent="0.3">
      <c r="A755" s="25">
        <v>8849</v>
      </c>
      <c r="B755" s="25" t="s">
        <v>11225</v>
      </c>
      <c r="C755" s="25" t="s">
        <v>11226</v>
      </c>
      <c r="D755" s="25" t="s">
        <v>6370</v>
      </c>
      <c r="E755" s="16" t="s">
        <v>6371</v>
      </c>
      <c r="F755" s="16" t="s">
        <v>6371</v>
      </c>
      <c r="G755" s="16" t="s">
        <v>6371</v>
      </c>
      <c r="H755" s="16" t="s">
        <v>6371</v>
      </c>
      <c r="I755" s="25" t="s">
        <v>11227</v>
      </c>
      <c r="J755" s="25"/>
      <c r="K755" s="25" t="s">
        <v>6281</v>
      </c>
      <c r="L755" s="26" t="s">
        <v>11228</v>
      </c>
      <c r="M755" s="26" t="s">
        <v>6295</v>
      </c>
      <c r="N755" s="27" t="s">
        <v>11229</v>
      </c>
      <c r="O755" s="26" t="s">
        <v>11230</v>
      </c>
      <c r="P755" s="20" t="b">
        <v>1</v>
      </c>
      <c r="Q755" s="20" t="s">
        <v>6282</v>
      </c>
      <c r="R755" s="28" t="s">
        <v>6283</v>
      </c>
      <c r="S755" s="25"/>
      <c r="T755" s="20" t="b">
        <v>1</v>
      </c>
      <c r="U755" s="25"/>
      <c r="V755" s="25">
        <v>329.54399999999998</v>
      </c>
      <c r="W755" s="28" t="s">
        <v>11231</v>
      </c>
      <c r="X755" s="28" t="s">
        <v>6285</v>
      </c>
      <c r="Y755" s="28" t="s">
        <v>6286</v>
      </c>
      <c r="Z755" s="28" t="s">
        <v>6287</v>
      </c>
      <c r="AA755" s="28" t="s">
        <v>6288</v>
      </c>
      <c r="AB755" s="28" t="s">
        <v>6297</v>
      </c>
    </row>
    <row r="756" spans="1:28" ht="185.4" x14ac:dyDescent="0.3">
      <c r="A756" s="25">
        <v>8852</v>
      </c>
      <c r="B756" s="25" t="s">
        <v>11232</v>
      </c>
      <c r="C756" s="25" t="s">
        <v>11233</v>
      </c>
      <c r="D756" s="25" t="s">
        <v>6291</v>
      </c>
      <c r="E756" s="16" t="s">
        <v>6292</v>
      </c>
      <c r="F756" s="16" t="s">
        <v>6292</v>
      </c>
      <c r="G756" s="16" t="s">
        <v>6292</v>
      </c>
      <c r="H756" s="16" t="s">
        <v>6292</v>
      </c>
      <c r="I756" s="25" t="s">
        <v>11234</v>
      </c>
      <c r="J756" s="25"/>
      <c r="K756" s="25" t="s">
        <v>6281</v>
      </c>
      <c r="L756" s="26" t="s">
        <v>11235</v>
      </c>
      <c r="M756" s="26" t="s">
        <v>10903</v>
      </c>
      <c r="N756" s="27" t="s">
        <v>11236</v>
      </c>
      <c r="O756" s="26" t="s">
        <v>6295</v>
      </c>
      <c r="P756" s="20" t="b">
        <v>1</v>
      </c>
      <c r="Q756" s="20" t="s">
        <v>6282</v>
      </c>
      <c r="R756" s="28" t="s">
        <v>6283</v>
      </c>
      <c r="S756" s="25"/>
      <c r="T756" s="20" t="b">
        <v>1</v>
      </c>
      <c r="U756" s="25"/>
      <c r="V756" s="25">
        <v>44.93</v>
      </c>
      <c r="W756" s="28" t="s">
        <v>11237</v>
      </c>
      <c r="X756" s="28" t="s">
        <v>6285</v>
      </c>
      <c r="Y756" s="28" t="s">
        <v>6286</v>
      </c>
      <c r="Z756" s="28" t="s">
        <v>6287</v>
      </c>
      <c r="AA756" s="28" t="s">
        <v>6288</v>
      </c>
      <c r="AB756" s="28" t="s">
        <v>6297</v>
      </c>
    </row>
    <row r="757" spans="1:28" ht="185.4" x14ac:dyDescent="0.3">
      <c r="A757" s="25">
        <v>8853</v>
      </c>
      <c r="B757" s="25" t="s">
        <v>11238</v>
      </c>
      <c r="C757" s="25" t="s">
        <v>11239</v>
      </c>
      <c r="D757" s="25" t="s">
        <v>6291</v>
      </c>
      <c r="E757" s="16" t="s">
        <v>6786</v>
      </c>
      <c r="F757" s="16" t="s">
        <v>6786</v>
      </c>
      <c r="G757" s="16" t="s">
        <v>6786</v>
      </c>
      <c r="H757" s="16" t="s">
        <v>6786</v>
      </c>
      <c r="I757" s="25" t="s">
        <v>11240</v>
      </c>
      <c r="J757" s="25"/>
      <c r="K757" s="25" t="s">
        <v>6281</v>
      </c>
      <c r="L757" s="26" t="s">
        <v>11241</v>
      </c>
      <c r="M757" s="26" t="s">
        <v>6295</v>
      </c>
      <c r="N757" s="27" t="s">
        <v>11242</v>
      </c>
      <c r="O757" s="26" t="s">
        <v>11243</v>
      </c>
      <c r="P757" s="20" t="b">
        <v>1</v>
      </c>
      <c r="Q757" s="20" t="s">
        <v>6282</v>
      </c>
      <c r="R757" s="28" t="s">
        <v>6283</v>
      </c>
      <c r="S757" s="25"/>
      <c r="T757" s="20" t="b">
        <v>1</v>
      </c>
      <c r="U757" s="25"/>
      <c r="V757" s="25">
        <v>6.8659999999999997</v>
      </c>
      <c r="W757" s="28" t="s">
        <v>11244</v>
      </c>
      <c r="X757" s="28" t="s">
        <v>6285</v>
      </c>
      <c r="Y757" s="28" t="s">
        <v>6286</v>
      </c>
      <c r="Z757" s="28" t="s">
        <v>6287</v>
      </c>
      <c r="AA757" s="28" t="s">
        <v>6288</v>
      </c>
      <c r="AB757" s="28" t="s">
        <v>6297</v>
      </c>
    </row>
    <row r="758" spans="1:28" ht="185.4" x14ac:dyDescent="0.3">
      <c r="A758" s="25">
        <v>8854</v>
      </c>
      <c r="B758" s="25" t="s">
        <v>11245</v>
      </c>
      <c r="C758" s="25" t="s">
        <v>11246</v>
      </c>
      <c r="D758" s="25" t="s">
        <v>6291</v>
      </c>
      <c r="E758" s="16" t="s">
        <v>6786</v>
      </c>
      <c r="F758" s="16" t="s">
        <v>6786</v>
      </c>
      <c r="G758" s="16" t="s">
        <v>6786</v>
      </c>
      <c r="H758" s="16" t="s">
        <v>6786</v>
      </c>
      <c r="I758" s="25" t="s">
        <v>11247</v>
      </c>
      <c r="J758" s="25"/>
      <c r="K758" s="25" t="s">
        <v>6281</v>
      </c>
      <c r="L758" s="26" t="s">
        <v>11248</v>
      </c>
      <c r="M758" s="26" t="s">
        <v>6295</v>
      </c>
      <c r="N758" s="27" t="s">
        <v>11249</v>
      </c>
      <c r="O758" s="26" t="s">
        <v>11250</v>
      </c>
      <c r="P758" s="20" t="b">
        <v>1</v>
      </c>
      <c r="Q758" s="20" t="s">
        <v>6282</v>
      </c>
      <c r="R758" s="28" t="s">
        <v>6283</v>
      </c>
      <c r="S758" s="25"/>
      <c r="T758" s="20" t="b">
        <v>1</v>
      </c>
      <c r="U758" s="25"/>
      <c r="V758" s="25" t="s">
        <v>6295</v>
      </c>
      <c r="W758" s="28" t="s">
        <v>11251</v>
      </c>
      <c r="X758" s="28" t="s">
        <v>6285</v>
      </c>
      <c r="Y758" s="28" t="s">
        <v>6286</v>
      </c>
      <c r="Z758" s="28" t="s">
        <v>6287</v>
      </c>
      <c r="AA758" s="28" t="s">
        <v>6288</v>
      </c>
      <c r="AB758" s="28" t="s">
        <v>6297</v>
      </c>
    </row>
    <row r="759" spans="1:28" ht="185.4" x14ac:dyDescent="0.3">
      <c r="A759" s="25">
        <v>8856</v>
      </c>
      <c r="B759" s="25" t="s">
        <v>11252</v>
      </c>
      <c r="C759" s="25" t="s">
        <v>11253</v>
      </c>
      <c r="D759" s="25" t="s">
        <v>6291</v>
      </c>
      <c r="E759" s="16" t="s">
        <v>6786</v>
      </c>
      <c r="F759" s="16" t="s">
        <v>6786</v>
      </c>
      <c r="G759" s="16" t="s">
        <v>6786</v>
      </c>
      <c r="H759" s="16" t="s">
        <v>6786</v>
      </c>
      <c r="I759" s="25" t="s">
        <v>11254</v>
      </c>
      <c r="J759" s="25"/>
      <c r="K759" s="25" t="s">
        <v>6281</v>
      </c>
      <c r="L759" s="26" t="s">
        <v>11255</v>
      </c>
      <c r="M759" s="26" t="s">
        <v>6295</v>
      </c>
      <c r="N759" s="27" t="s">
        <v>11256</v>
      </c>
      <c r="O759" s="26" t="s">
        <v>6295</v>
      </c>
      <c r="P759" s="20" t="b">
        <v>1</v>
      </c>
      <c r="Q759" s="20" t="s">
        <v>6282</v>
      </c>
      <c r="R759" s="28" t="s">
        <v>6283</v>
      </c>
      <c r="S759" s="25"/>
      <c r="T759" s="20" t="b">
        <v>1</v>
      </c>
      <c r="U759" s="25"/>
      <c r="V759" s="25">
        <v>13.37787</v>
      </c>
      <c r="W759" s="28" t="s">
        <v>11257</v>
      </c>
      <c r="X759" s="28" t="s">
        <v>6285</v>
      </c>
      <c r="Y759" s="28" t="s">
        <v>6286</v>
      </c>
      <c r="Z759" s="28" t="s">
        <v>6287</v>
      </c>
      <c r="AA759" s="28" t="s">
        <v>6288</v>
      </c>
      <c r="AB759" s="28" t="s">
        <v>6297</v>
      </c>
    </row>
    <row r="760" spans="1:28" ht="185.4" x14ac:dyDescent="0.3">
      <c r="A760" s="25">
        <v>8857</v>
      </c>
      <c r="B760" s="25" t="s">
        <v>11258</v>
      </c>
      <c r="C760" s="25" t="s">
        <v>11259</v>
      </c>
      <c r="D760" s="25" t="s">
        <v>6291</v>
      </c>
      <c r="E760" s="16" t="s">
        <v>6292</v>
      </c>
      <c r="F760" s="16" t="s">
        <v>6292</v>
      </c>
      <c r="G760" s="16" t="s">
        <v>6292</v>
      </c>
      <c r="H760" s="16" t="s">
        <v>6292</v>
      </c>
      <c r="I760" s="25" t="s">
        <v>11260</v>
      </c>
      <c r="J760" s="25"/>
      <c r="K760" s="25" t="s">
        <v>6281</v>
      </c>
      <c r="L760" s="26" t="s">
        <v>11261</v>
      </c>
      <c r="M760" s="26" t="s">
        <v>8398</v>
      </c>
      <c r="N760" s="27" t="s">
        <v>8399</v>
      </c>
      <c r="O760" s="26" t="s">
        <v>8400</v>
      </c>
      <c r="P760" s="20" t="b">
        <v>1</v>
      </c>
      <c r="Q760" s="20" t="s">
        <v>6282</v>
      </c>
      <c r="R760" s="28" t="s">
        <v>6283</v>
      </c>
      <c r="S760" s="25"/>
      <c r="T760" s="20" t="b">
        <v>1</v>
      </c>
      <c r="U760" s="25"/>
      <c r="V760" s="25">
        <v>14.382</v>
      </c>
      <c r="W760" s="28" t="s">
        <v>11262</v>
      </c>
      <c r="X760" s="28" t="s">
        <v>6285</v>
      </c>
      <c r="Y760" s="28" t="s">
        <v>6286</v>
      </c>
      <c r="Z760" s="28" t="s">
        <v>6287</v>
      </c>
      <c r="AA760" s="28" t="s">
        <v>6288</v>
      </c>
      <c r="AB760" s="28" t="s">
        <v>6297</v>
      </c>
    </row>
    <row r="761" spans="1:28" ht="185.4" x14ac:dyDescent="0.3">
      <c r="A761" s="25">
        <v>8861</v>
      </c>
      <c r="B761" s="25" t="s">
        <v>11263</v>
      </c>
      <c r="C761" s="25" t="s">
        <v>11264</v>
      </c>
      <c r="D761" s="25" t="s">
        <v>6278</v>
      </c>
      <c r="E761" s="16" t="s">
        <v>6279</v>
      </c>
      <c r="F761" s="16" t="s">
        <v>6279</v>
      </c>
      <c r="G761" s="16" t="s">
        <v>6279</v>
      </c>
      <c r="H761" s="16" t="s">
        <v>6279</v>
      </c>
      <c r="I761" s="25" t="s">
        <v>11265</v>
      </c>
      <c r="J761" s="25"/>
      <c r="K761" s="25" t="s">
        <v>6281</v>
      </c>
      <c r="L761" s="26" t="s">
        <v>11266</v>
      </c>
      <c r="M761" s="26" t="s">
        <v>11267</v>
      </c>
      <c r="N761" s="27" t="s">
        <v>11268</v>
      </c>
      <c r="O761" s="26" t="s">
        <v>6295</v>
      </c>
      <c r="P761" s="20" t="b">
        <v>1</v>
      </c>
      <c r="Q761" s="20" t="s">
        <v>6282</v>
      </c>
      <c r="R761" s="28" t="s">
        <v>6283</v>
      </c>
      <c r="S761" s="25"/>
      <c r="T761" s="20" t="b">
        <v>1</v>
      </c>
      <c r="U761" s="25"/>
      <c r="V761" s="25">
        <v>12.65</v>
      </c>
      <c r="W761" s="28" t="s">
        <v>11269</v>
      </c>
      <c r="X761" s="28" t="s">
        <v>6285</v>
      </c>
      <c r="Y761" s="28" t="s">
        <v>6286</v>
      </c>
      <c r="Z761" s="28" t="s">
        <v>6287</v>
      </c>
      <c r="AA761" s="28" t="s">
        <v>6288</v>
      </c>
      <c r="AB761" s="28" t="s">
        <v>6297</v>
      </c>
    </row>
    <row r="762" spans="1:28" ht="185.4" x14ac:dyDescent="0.3">
      <c r="A762" s="25">
        <v>8862</v>
      </c>
      <c r="B762" s="25" t="s">
        <v>11270</v>
      </c>
      <c r="C762" s="25" t="s">
        <v>11271</v>
      </c>
      <c r="D762" s="25" t="s">
        <v>6278</v>
      </c>
      <c r="E762" s="16" t="s">
        <v>6279</v>
      </c>
      <c r="F762" s="16" t="s">
        <v>6279</v>
      </c>
      <c r="G762" s="16" t="s">
        <v>6279</v>
      </c>
      <c r="H762" s="16" t="s">
        <v>6279</v>
      </c>
      <c r="I762" s="25" t="s">
        <v>11272</v>
      </c>
      <c r="J762" s="25"/>
      <c r="K762" s="25" t="s">
        <v>6281</v>
      </c>
      <c r="L762" s="26" t="s">
        <v>11273</v>
      </c>
      <c r="M762" s="26" t="s">
        <v>6295</v>
      </c>
      <c r="N762" s="27" t="s">
        <v>11274</v>
      </c>
      <c r="O762" s="26" t="s">
        <v>6295</v>
      </c>
      <c r="P762" s="20" t="b">
        <v>1</v>
      </c>
      <c r="Q762" s="20" t="s">
        <v>6282</v>
      </c>
      <c r="R762" s="28" t="s">
        <v>6283</v>
      </c>
      <c r="S762" s="25"/>
      <c r="T762" s="20" t="b">
        <v>1</v>
      </c>
      <c r="U762" s="25"/>
      <c r="V762" s="25">
        <v>1173.03</v>
      </c>
      <c r="W762" s="28" t="s">
        <v>11275</v>
      </c>
      <c r="X762" s="28" t="s">
        <v>6285</v>
      </c>
      <c r="Y762" s="28" t="s">
        <v>6286</v>
      </c>
      <c r="Z762" s="28" t="s">
        <v>6287</v>
      </c>
      <c r="AA762" s="28" t="s">
        <v>6288</v>
      </c>
      <c r="AB762" s="28" t="s">
        <v>6297</v>
      </c>
    </row>
    <row r="763" spans="1:28" ht="185.4" x14ac:dyDescent="0.3">
      <c r="A763" s="25">
        <v>8866</v>
      </c>
      <c r="B763" s="25" t="s">
        <v>11276</v>
      </c>
      <c r="C763" s="25" t="s">
        <v>11277</v>
      </c>
      <c r="D763" s="25" t="s">
        <v>6291</v>
      </c>
      <c r="E763" s="16" t="s">
        <v>6786</v>
      </c>
      <c r="F763" s="16" t="s">
        <v>6786</v>
      </c>
      <c r="G763" s="16" t="s">
        <v>6786</v>
      </c>
      <c r="H763" s="16" t="s">
        <v>6786</v>
      </c>
      <c r="I763" s="25" t="s">
        <v>11278</v>
      </c>
      <c r="J763" s="25"/>
      <c r="K763" s="25" t="s">
        <v>6281</v>
      </c>
      <c r="L763" s="26" t="s">
        <v>11279</v>
      </c>
      <c r="M763" s="26" t="s">
        <v>11280</v>
      </c>
      <c r="N763" s="27" t="s">
        <v>11281</v>
      </c>
      <c r="O763" s="26" t="s">
        <v>11282</v>
      </c>
      <c r="P763" s="20" t="b">
        <v>1</v>
      </c>
      <c r="Q763" s="20" t="s">
        <v>6282</v>
      </c>
      <c r="R763" s="28" t="s">
        <v>6283</v>
      </c>
      <c r="S763" s="25"/>
      <c r="T763" s="20" t="b">
        <v>1</v>
      </c>
      <c r="U763" s="25"/>
      <c r="V763" s="25">
        <v>1355.468625</v>
      </c>
      <c r="W763" s="28" t="s">
        <v>11283</v>
      </c>
      <c r="X763" s="28" t="s">
        <v>6285</v>
      </c>
      <c r="Y763" s="28" t="s">
        <v>6286</v>
      </c>
      <c r="Z763" s="28" t="s">
        <v>6287</v>
      </c>
      <c r="AA763" s="28" t="s">
        <v>6288</v>
      </c>
      <c r="AB763" s="28" t="s">
        <v>6297</v>
      </c>
    </row>
    <row r="764" spans="1:28" ht="185.4" x14ac:dyDescent="0.3">
      <c r="A764" s="25">
        <v>8867</v>
      </c>
      <c r="B764" s="25" t="s">
        <v>11284</v>
      </c>
      <c r="C764" s="25" t="s">
        <v>11285</v>
      </c>
      <c r="D764" s="25" t="s">
        <v>6291</v>
      </c>
      <c r="E764" s="16" t="s">
        <v>6786</v>
      </c>
      <c r="F764" s="16" t="s">
        <v>6786</v>
      </c>
      <c r="G764" s="16" t="s">
        <v>6786</v>
      </c>
      <c r="H764" s="16" t="s">
        <v>6786</v>
      </c>
      <c r="I764" s="25" t="s">
        <v>11286</v>
      </c>
      <c r="J764" s="25"/>
      <c r="K764" s="25" t="s">
        <v>6281</v>
      </c>
      <c r="L764" s="26" t="s">
        <v>11287</v>
      </c>
      <c r="M764" s="26" t="s">
        <v>6295</v>
      </c>
      <c r="N764" s="27" t="s">
        <v>11288</v>
      </c>
      <c r="O764" s="26" t="s">
        <v>6295</v>
      </c>
      <c r="P764" s="20" t="b">
        <v>1</v>
      </c>
      <c r="Q764" s="20" t="s">
        <v>6282</v>
      </c>
      <c r="R764" s="28" t="s">
        <v>6283</v>
      </c>
      <c r="S764" s="25"/>
      <c r="T764" s="20" t="b">
        <v>1</v>
      </c>
      <c r="U764" s="25"/>
      <c r="V764" s="25">
        <v>4.5864000000000003</v>
      </c>
      <c r="W764" s="28" t="s">
        <v>11289</v>
      </c>
      <c r="X764" s="28" t="s">
        <v>6285</v>
      </c>
      <c r="Y764" s="28" t="s">
        <v>6286</v>
      </c>
      <c r="Z764" s="28" t="s">
        <v>6287</v>
      </c>
      <c r="AA764" s="28" t="s">
        <v>6288</v>
      </c>
      <c r="AB764" s="28" t="s">
        <v>6297</v>
      </c>
    </row>
    <row r="765" spans="1:28" ht="185.4" x14ac:dyDescent="0.3">
      <c r="A765" s="25">
        <v>8869</v>
      </c>
      <c r="B765" s="25" t="s">
        <v>11290</v>
      </c>
      <c r="C765" s="25" t="s">
        <v>11291</v>
      </c>
      <c r="D765" s="25" t="s">
        <v>6278</v>
      </c>
      <c r="E765" s="16" t="s">
        <v>6279</v>
      </c>
      <c r="F765" s="16" t="s">
        <v>6279</v>
      </c>
      <c r="G765" s="16" t="s">
        <v>6279</v>
      </c>
      <c r="H765" s="16" t="s">
        <v>6279</v>
      </c>
      <c r="I765" s="25" t="s">
        <v>11292</v>
      </c>
      <c r="J765" s="25"/>
      <c r="K765" s="25" t="s">
        <v>6281</v>
      </c>
      <c r="L765" s="26" t="s">
        <v>11293</v>
      </c>
      <c r="M765" s="26" t="s">
        <v>11294</v>
      </c>
      <c r="N765" s="27" t="s">
        <v>11295</v>
      </c>
      <c r="O765" s="26" t="s">
        <v>11296</v>
      </c>
      <c r="P765" s="20" t="b">
        <v>1</v>
      </c>
      <c r="Q765" s="20" t="s">
        <v>6282</v>
      </c>
      <c r="R765" s="28" t="s">
        <v>6283</v>
      </c>
      <c r="S765" s="25"/>
      <c r="T765" s="20" t="b">
        <v>1</v>
      </c>
      <c r="U765" s="25"/>
      <c r="V765" s="25">
        <v>245</v>
      </c>
      <c r="W765" s="28" t="s">
        <v>11297</v>
      </c>
      <c r="X765" s="28" t="s">
        <v>6285</v>
      </c>
      <c r="Y765" s="28" t="s">
        <v>6286</v>
      </c>
      <c r="Z765" s="28" t="s">
        <v>6287</v>
      </c>
      <c r="AA765" s="28" t="s">
        <v>6288</v>
      </c>
      <c r="AB765" s="28" t="s">
        <v>6297</v>
      </c>
    </row>
    <row r="766" spans="1:28" ht="185.4" x14ac:dyDescent="0.3">
      <c r="A766" s="25">
        <v>8870</v>
      </c>
      <c r="B766" s="25" t="s">
        <v>11298</v>
      </c>
      <c r="C766" s="25" t="s">
        <v>11299</v>
      </c>
      <c r="D766" s="25" t="s">
        <v>6278</v>
      </c>
      <c r="E766" s="16" t="s">
        <v>6279</v>
      </c>
      <c r="F766" s="16" t="s">
        <v>6279</v>
      </c>
      <c r="G766" s="16" t="s">
        <v>6279</v>
      </c>
      <c r="H766" s="16" t="s">
        <v>6279</v>
      </c>
      <c r="I766" s="25" t="s">
        <v>11300</v>
      </c>
      <c r="J766" s="25"/>
      <c r="K766" s="25" t="s">
        <v>6281</v>
      </c>
      <c r="L766" s="26" t="s">
        <v>11301</v>
      </c>
      <c r="M766" s="26" t="s">
        <v>11302</v>
      </c>
      <c r="N766" s="27" t="s">
        <v>11303</v>
      </c>
      <c r="O766" s="26" t="s">
        <v>11304</v>
      </c>
      <c r="P766" s="20" t="b">
        <v>1</v>
      </c>
      <c r="Q766" s="20" t="s">
        <v>6282</v>
      </c>
      <c r="R766" s="28" t="s">
        <v>6283</v>
      </c>
      <c r="S766" s="25"/>
      <c r="T766" s="20" t="b">
        <v>1</v>
      </c>
      <c r="U766" s="25"/>
      <c r="V766" s="25">
        <v>325.56</v>
      </c>
      <c r="W766" s="28" t="s">
        <v>11305</v>
      </c>
      <c r="X766" s="28" t="s">
        <v>6285</v>
      </c>
      <c r="Y766" s="28" t="s">
        <v>6286</v>
      </c>
      <c r="Z766" s="28" t="s">
        <v>6287</v>
      </c>
      <c r="AA766" s="28" t="s">
        <v>6288</v>
      </c>
      <c r="AB766" s="28" t="s">
        <v>6297</v>
      </c>
    </row>
    <row r="767" spans="1:28" ht="185.4" x14ac:dyDescent="0.3">
      <c r="A767" s="25">
        <v>8871</v>
      </c>
      <c r="B767" s="25" t="s">
        <v>11306</v>
      </c>
      <c r="C767" s="25" t="s">
        <v>11307</v>
      </c>
      <c r="D767" s="25" t="s">
        <v>6278</v>
      </c>
      <c r="E767" s="16" t="s">
        <v>6279</v>
      </c>
      <c r="F767" s="16" t="s">
        <v>6279</v>
      </c>
      <c r="G767" s="16" t="s">
        <v>6279</v>
      </c>
      <c r="H767" s="16" t="s">
        <v>6279</v>
      </c>
      <c r="I767" s="25" t="s">
        <v>11308</v>
      </c>
      <c r="J767" s="25"/>
      <c r="K767" s="25" t="s">
        <v>6281</v>
      </c>
      <c r="L767" s="26" t="s">
        <v>11309</v>
      </c>
      <c r="M767" s="26" t="s">
        <v>6295</v>
      </c>
      <c r="N767" s="27" t="s">
        <v>11310</v>
      </c>
      <c r="O767" s="26" t="s">
        <v>6295</v>
      </c>
      <c r="P767" s="20" t="b">
        <v>1</v>
      </c>
      <c r="Q767" s="20" t="s">
        <v>6282</v>
      </c>
      <c r="R767" s="28" t="s">
        <v>6283</v>
      </c>
      <c r="S767" s="25"/>
      <c r="T767" s="20" t="b">
        <v>1</v>
      </c>
      <c r="U767" s="25"/>
      <c r="V767" s="25">
        <v>186.6105</v>
      </c>
      <c r="W767" s="28" t="s">
        <v>11311</v>
      </c>
      <c r="X767" s="28" t="s">
        <v>6285</v>
      </c>
      <c r="Y767" s="28" t="s">
        <v>6286</v>
      </c>
      <c r="Z767" s="28" t="s">
        <v>6287</v>
      </c>
      <c r="AA767" s="28" t="s">
        <v>6288</v>
      </c>
      <c r="AB767" s="28" t="s">
        <v>6297</v>
      </c>
    </row>
    <row r="768" spans="1:28" ht="185.4" x14ac:dyDescent="0.3">
      <c r="A768" s="25">
        <v>8872</v>
      </c>
      <c r="B768" s="25" t="s">
        <v>11312</v>
      </c>
      <c r="C768" s="25" t="s">
        <v>11313</v>
      </c>
      <c r="D768" s="25" t="s">
        <v>6278</v>
      </c>
      <c r="E768" s="16" t="s">
        <v>6279</v>
      </c>
      <c r="F768" s="16" t="s">
        <v>6279</v>
      </c>
      <c r="G768" s="16" t="s">
        <v>6279</v>
      </c>
      <c r="H768" s="16" t="s">
        <v>6279</v>
      </c>
      <c r="I768" s="25" t="s">
        <v>11314</v>
      </c>
      <c r="J768" s="25"/>
      <c r="K768" s="25" t="s">
        <v>6281</v>
      </c>
      <c r="L768" s="26" t="s">
        <v>11315</v>
      </c>
      <c r="M768" s="26" t="s">
        <v>6295</v>
      </c>
      <c r="N768" s="27" t="s">
        <v>11316</v>
      </c>
      <c r="O768" s="26" t="s">
        <v>6295</v>
      </c>
      <c r="P768" s="20" t="b">
        <v>1</v>
      </c>
      <c r="Q768" s="20" t="s">
        <v>6282</v>
      </c>
      <c r="R768" s="28" t="s">
        <v>6283</v>
      </c>
      <c r="S768" s="25"/>
      <c r="T768" s="20" t="b">
        <v>1</v>
      </c>
      <c r="U768" s="25"/>
      <c r="V768" s="25">
        <v>184.613</v>
      </c>
      <c r="W768" s="28" t="s">
        <v>11317</v>
      </c>
      <c r="X768" s="28" t="s">
        <v>6285</v>
      </c>
      <c r="Y768" s="28" t="s">
        <v>6286</v>
      </c>
      <c r="Z768" s="28" t="s">
        <v>6287</v>
      </c>
      <c r="AA768" s="28" t="s">
        <v>6288</v>
      </c>
      <c r="AB768" s="28" t="s">
        <v>6297</v>
      </c>
    </row>
    <row r="769" spans="1:28" ht="185.4" x14ac:dyDescent="0.3">
      <c r="A769" s="25">
        <v>8875</v>
      </c>
      <c r="B769" s="25" t="s">
        <v>11318</v>
      </c>
      <c r="C769" s="25" t="s">
        <v>11319</v>
      </c>
      <c r="D769" s="25" t="s">
        <v>6291</v>
      </c>
      <c r="E769" s="16" t="s">
        <v>6786</v>
      </c>
      <c r="F769" s="16" t="s">
        <v>6786</v>
      </c>
      <c r="G769" s="16" t="s">
        <v>6786</v>
      </c>
      <c r="H769" s="16" t="s">
        <v>6786</v>
      </c>
      <c r="I769" s="25" t="s">
        <v>11320</v>
      </c>
      <c r="J769" s="25"/>
      <c r="K769" s="25" t="s">
        <v>6281</v>
      </c>
      <c r="L769" s="26" t="s">
        <v>11321</v>
      </c>
      <c r="M769" s="26" t="s">
        <v>6295</v>
      </c>
      <c r="N769" s="27" t="s">
        <v>11322</v>
      </c>
      <c r="O769" s="26" t="s">
        <v>6295</v>
      </c>
      <c r="P769" s="20" t="b">
        <v>1</v>
      </c>
      <c r="Q769" s="20" t="s">
        <v>6282</v>
      </c>
      <c r="R769" s="28" t="s">
        <v>6283</v>
      </c>
      <c r="S769" s="25"/>
      <c r="T769" s="20" t="b">
        <v>1</v>
      </c>
      <c r="U769" s="25"/>
      <c r="V769" s="25">
        <v>0.17043</v>
      </c>
      <c r="W769" s="28" t="s">
        <v>11323</v>
      </c>
      <c r="X769" s="28" t="s">
        <v>6285</v>
      </c>
      <c r="Y769" s="28" t="s">
        <v>6286</v>
      </c>
      <c r="Z769" s="28" t="s">
        <v>6287</v>
      </c>
      <c r="AA769" s="28" t="s">
        <v>6288</v>
      </c>
      <c r="AB769" s="28" t="s">
        <v>6297</v>
      </c>
    </row>
    <row r="770" spans="1:28" ht="185.4" x14ac:dyDescent="0.3">
      <c r="A770" s="25">
        <v>8876</v>
      </c>
      <c r="B770" s="25" t="s">
        <v>11324</v>
      </c>
      <c r="C770" s="25" t="s">
        <v>11325</v>
      </c>
      <c r="D770" s="25" t="s">
        <v>6291</v>
      </c>
      <c r="E770" s="16" t="s">
        <v>6292</v>
      </c>
      <c r="F770" s="16" t="s">
        <v>6292</v>
      </c>
      <c r="G770" s="16" t="s">
        <v>6292</v>
      </c>
      <c r="H770" s="16" t="s">
        <v>6292</v>
      </c>
      <c r="I770" s="25" t="s">
        <v>11326</v>
      </c>
      <c r="J770" s="25"/>
      <c r="K770" s="25" t="s">
        <v>6281</v>
      </c>
      <c r="L770" s="26" t="s">
        <v>11327</v>
      </c>
      <c r="M770" s="26" t="s">
        <v>11328</v>
      </c>
      <c r="N770" s="27" t="s">
        <v>11329</v>
      </c>
      <c r="O770" s="26" t="s">
        <v>11330</v>
      </c>
      <c r="P770" s="20" t="b">
        <v>1</v>
      </c>
      <c r="Q770" s="20" t="s">
        <v>6282</v>
      </c>
      <c r="R770" s="28" t="s">
        <v>6283</v>
      </c>
      <c r="S770" s="25"/>
      <c r="T770" s="20" t="b">
        <v>1</v>
      </c>
      <c r="U770" s="25"/>
      <c r="V770" s="25">
        <v>39.767000000000003</v>
      </c>
      <c r="W770" s="28" t="s">
        <v>11331</v>
      </c>
      <c r="X770" s="28" t="s">
        <v>6285</v>
      </c>
      <c r="Y770" s="28" t="s">
        <v>6286</v>
      </c>
      <c r="Z770" s="28" t="s">
        <v>6287</v>
      </c>
      <c r="AA770" s="28" t="s">
        <v>6288</v>
      </c>
      <c r="AB770" s="28" t="s">
        <v>6297</v>
      </c>
    </row>
    <row r="771" spans="1:28" ht="185.4" x14ac:dyDescent="0.3">
      <c r="A771" s="25">
        <v>8878</v>
      </c>
      <c r="B771" s="25" t="s">
        <v>11332</v>
      </c>
      <c r="C771" s="25" t="s">
        <v>11333</v>
      </c>
      <c r="D771" s="25" t="s">
        <v>6291</v>
      </c>
      <c r="E771" s="16" t="s">
        <v>6292</v>
      </c>
      <c r="F771" s="16" t="s">
        <v>6292</v>
      </c>
      <c r="G771" s="16" t="s">
        <v>6292</v>
      </c>
      <c r="H771" s="16" t="s">
        <v>6292</v>
      </c>
      <c r="I771" s="25" t="s">
        <v>11334</v>
      </c>
      <c r="J771" s="25"/>
      <c r="K771" s="25" t="s">
        <v>6281</v>
      </c>
      <c r="L771" s="26" t="s">
        <v>11327</v>
      </c>
      <c r="M771" s="26" t="s">
        <v>11328</v>
      </c>
      <c r="N771" s="27" t="s">
        <v>11329</v>
      </c>
      <c r="O771" s="26" t="s">
        <v>11330</v>
      </c>
      <c r="P771" s="20" t="b">
        <v>1</v>
      </c>
      <c r="Q771" s="20" t="s">
        <v>6282</v>
      </c>
      <c r="R771" s="28" t="s">
        <v>6283</v>
      </c>
      <c r="S771" s="25"/>
      <c r="T771" s="20" t="b">
        <v>1</v>
      </c>
      <c r="U771" s="25"/>
      <c r="V771" s="25">
        <v>39.767000000000003</v>
      </c>
      <c r="W771" s="28" t="s">
        <v>11335</v>
      </c>
      <c r="X771" s="28" t="s">
        <v>6285</v>
      </c>
      <c r="Y771" s="28" t="s">
        <v>6286</v>
      </c>
      <c r="Z771" s="28" t="s">
        <v>6287</v>
      </c>
      <c r="AA771" s="28" t="s">
        <v>6288</v>
      </c>
      <c r="AB771" s="28" t="s">
        <v>6297</v>
      </c>
    </row>
    <row r="772" spans="1:28" ht="185.4" x14ac:dyDescent="0.3">
      <c r="A772" s="25">
        <v>8879</v>
      </c>
      <c r="B772" s="25" t="s">
        <v>11336</v>
      </c>
      <c r="C772" s="25" t="s">
        <v>11337</v>
      </c>
      <c r="D772" s="25" t="s">
        <v>6291</v>
      </c>
      <c r="E772" s="16" t="s">
        <v>6292</v>
      </c>
      <c r="F772" s="16" t="s">
        <v>6292</v>
      </c>
      <c r="G772" s="16" t="s">
        <v>6292</v>
      </c>
      <c r="H772" s="16" t="s">
        <v>6292</v>
      </c>
      <c r="I772" s="25" t="s">
        <v>11338</v>
      </c>
      <c r="J772" s="25"/>
      <c r="K772" s="25" t="s">
        <v>6281</v>
      </c>
      <c r="L772" s="26" t="s">
        <v>11339</v>
      </c>
      <c r="M772" s="26" t="s">
        <v>11328</v>
      </c>
      <c r="N772" s="27" t="s">
        <v>11329</v>
      </c>
      <c r="O772" s="26" t="s">
        <v>11330</v>
      </c>
      <c r="P772" s="20" t="b">
        <v>1</v>
      </c>
      <c r="Q772" s="20" t="s">
        <v>6282</v>
      </c>
      <c r="R772" s="28" t="s">
        <v>6283</v>
      </c>
      <c r="S772" s="25"/>
      <c r="T772" s="20" t="b">
        <v>1</v>
      </c>
      <c r="U772" s="25"/>
      <c r="V772" s="25">
        <v>39.767000000000003</v>
      </c>
      <c r="W772" s="28" t="s">
        <v>11340</v>
      </c>
      <c r="X772" s="28" t="s">
        <v>6285</v>
      </c>
      <c r="Y772" s="28" t="s">
        <v>6286</v>
      </c>
      <c r="Z772" s="28" t="s">
        <v>6287</v>
      </c>
      <c r="AA772" s="28" t="s">
        <v>6288</v>
      </c>
      <c r="AB772" s="28" t="s">
        <v>6297</v>
      </c>
    </row>
    <row r="773" spans="1:28" ht="185.4" x14ac:dyDescent="0.3">
      <c r="A773" s="25">
        <v>8884</v>
      </c>
      <c r="B773" s="25" t="s">
        <v>11341</v>
      </c>
      <c r="C773" s="25" t="s">
        <v>11342</v>
      </c>
      <c r="D773" s="25" t="s">
        <v>6278</v>
      </c>
      <c r="E773" s="16" t="s">
        <v>6279</v>
      </c>
      <c r="F773" s="16" t="s">
        <v>6279</v>
      </c>
      <c r="G773" s="16" t="s">
        <v>6279</v>
      </c>
      <c r="H773" s="16" t="s">
        <v>6279</v>
      </c>
      <c r="I773" s="25" t="s">
        <v>11343</v>
      </c>
      <c r="J773" s="25"/>
      <c r="K773" s="25" t="s">
        <v>6281</v>
      </c>
      <c r="L773" s="26" t="s">
        <v>11344</v>
      </c>
      <c r="M773" s="26" t="s">
        <v>11345</v>
      </c>
      <c r="N773" s="27" t="s">
        <v>11346</v>
      </c>
      <c r="O773" s="26" t="s">
        <v>6295</v>
      </c>
      <c r="P773" s="20" t="b">
        <v>1</v>
      </c>
      <c r="Q773" s="20" t="s">
        <v>6282</v>
      </c>
      <c r="R773" s="28" t="s">
        <v>6283</v>
      </c>
      <c r="S773" s="25"/>
      <c r="T773" s="20" t="b">
        <v>1</v>
      </c>
      <c r="U773" s="25"/>
      <c r="V773" s="25">
        <v>352.55</v>
      </c>
      <c r="W773" s="28" t="s">
        <v>11347</v>
      </c>
      <c r="X773" s="28" t="s">
        <v>6285</v>
      </c>
      <c r="Y773" s="28" t="s">
        <v>6286</v>
      </c>
      <c r="Z773" s="28" t="s">
        <v>6287</v>
      </c>
      <c r="AA773" s="28" t="s">
        <v>6288</v>
      </c>
      <c r="AB773" s="28" t="s">
        <v>6297</v>
      </c>
    </row>
    <row r="774" spans="1:28" ht="185.4" x14ac:dyDescent="0.3">
      <c r="A774" s="25">
        <v>8887</v>
      </c>
      <c r="B774" s="25" t="s">
        <v>11348</v>
      </c>
      <c r="C774" s="25" t="s">
        <v>6306</v>
      </c>
      <c r="D774" s="25" t="s">
        <v>6291</v>
      </c>
      <c r="E774" s="16" t="s">
        <v>6292</v>
      </c>
      <c r="F774" s="16" t="s">
        <v>6292</v>
      </c>
      <c r="G774" s="16" t="s">
        <v>6292</v>
      </c>
      <c r="H774" s="16" t="s">
        <v>6292</v>
      </c>
      <c r="I774" s="25" t="s">
        <v>11349</v>
      </c>
      <c r="J774" s="25"/>
      <c r="K774" s="25" t="s">
        <v>6281</v>
      </c>
      <c r="L774" s="26" t="s">
        <v>11350</v>
      </c>
      <c r="M774" s="26" t="s">
        <v>11351</v>
      </c>
      <c r="N774" s="27" t="s">
        <v>11352</v>
      </c>
      <c r="O774" s="26" t="s">
        <v>10618</v>
      </c>
      <c r="P774" s="20" t="b">
        <v>1</v>
      </c>
      <c r="Q774" s="20" t="s">
        <v>6282</v>
      </c>
      <c r="R774" s="28" t="s">
        <v>6283</v>
      </c>
      <c r="S774" s="25"/>
      <c r="T774" s="20" t="b">
        <v>1</v>
      </c>
      <c r="U774" s="25"/>
      <c r="V774" s="25">
        <v>53.53</v>
      </c>
      <c r="W774" s="28" t="s">
        <v>11353</v>
      </c>
      <c r="X774" s="28" t="s">
        <v>6285</v>
      </c>
      <c r="Y774" s="28" t="s">
        <v>6286</v>
      </c>
      <c r="Z774" s="28" t="s">
        <v>6287</v>
      </c>
      <c r="AA774" s="28" t="s">
        <v>6288</v>
      </c>
      <c r="AB774" s="28" t="s">
        <v>6297</v>
      </c>
    </row>
    <row r="775" spans="1:28" ht="185.4" x14ac:dyDescent="0.3">
      <c r="A775" s="25">
        <v>8888</v>
      </c>
      <c r="B775" s="25" t="s">
        <v>11354</v>
      </c>
      <c r="C775" s="25" t="s">
        <v>11355</v>
      </c>
      <c r="D775" s="25" t="s">
        <v>6278</v>
      </c>
      <c r="E775" s="16" t="s">
        <v>6279</v>
      </c>
      <c r="F775" s="16" t="s">
        <v>6279</v>
      </c>
      <c r="G775" s="16" t="s">
        <v>6279</v>
      </c>
      <c r="H775" s="16" t="s">
        <v>6279</v>
      </c>
      <c r="I775" s="25" t="s">
        <v>11356</v>
      </c>
      <c r="J775" s="25"/>
      <c r="K775" s="25" t="s">
        <v>6281</v>
      </c>
      <c r="L775" s="26" t="s">
        <v>11357</v>
      </c>
      <c r="M775" s="26" t="s">
        <v>6295</v>
      </c>
      <c r="N775" s="27" t="s">
        <v>11358</v>
      </c>
      <c r="O775" s="26" t="s">
        <v>6295</v>
      </c>
      <c r="P775" s="20" t="b">
        <v>1</v>
      </c>
      <c r="Q775" s="20" t="s">
        <v>6282</v>
      </c>
      <c r="R775" s="28" t="s">
        <v>6283</v>
      </c>
      <c r="S775" s="25"/>
      <c r="T775" s="20" t="b">
        <v>1</v>
      </c>
      <c r="U775" s="25"/>
      <c r="V775" s="25">
        <v>251.43</v>
      </c>
      <c r="W775" s="28" t="s">
        <v>11359</v>
      </c>
      <c r="X775" s="28" t="s">
        <v>6285</v>
      </c>
      <c r="Y775" s="28" t="s">
        <v>6286</v>
      </c>
      <c r="Z775" s="28" t="s">
        <v>6287</v>
      </c>
      <c r="AA775" s="28" t="s">
        <v>6288</v>
      </c>
      <c r="AB775" s="28" t="s">
        <v>6297</v>
      </c>
    </row>
    <row r="776" spans="1:28" ht="185.4" x14ac:dyDescent="0.3">
      <c r="A776" s="25">
        <v>8891</v>
      </c>
      <c r="B776" s="25" t="s">
        <v>11360</v>
      </c>
      <c r="C776" s="25" t="s">
        <v>11361</v>
      </c>
      <c r="D776" s="25" t="s">
        <v>6278</v>
      </c>
      <c r="E776" s="16" t="s">
        <v>6279</v>
      </c>
      <c r="F776" s="16" t="s">
        <v>6279</v>
      </c>
      <c r="G776" s="16" t="s">
        <v>6279</v>
      </c>
      <c r="H776" s="16" t="s">
        <v>6279</v>
      </c>
      <c r="I776" s="25" t="s">
        <v>11362</v>
      </c>
      <c r="J776" s="25"/>
      <c r="K776" s="25" t="s">
        <v>6281</v>
      </c>
      <c r="L776" s="26" t="s">
        <v>11363</v>
      </c>
      <c r="M776" s="26" t="s">
        <v>11364</v>
      </c>
      <c r="N776" s="27" t="s">
        <v>11365</v>
      </c>
      <c r="O776" s="26" t="s">
        <v>11366</v>
      </c>
      <c r="P776" s="20" t="b">
        <v>1</v>
      </c>
      <c r="Q776" s="20" t="s">
        <v>6282</v>
      </c>
      <c r="R776" s="28" t="s">
        <v>6283</v>
      </c>
      <c r="S776" s="25"/>
      <c r="T776" s="20" t="b">
        <v>1</v>
      </c>
      <c r="U776" s="25"/>
      <c r="V776" s="25">
        <v>72.292000000000002</v>
      </c>
      <c r="W776" s="28" t="s">
        <v>11367</v>
      </c>
      <c r="X776" s="28" t="s">
        <v>6285</v>
      </c>
      <c r="Y776" s="28" t="s">
        <v>6286</v>
      </c>
      <c r="Z776" s="28" t="s">
        <v>6287</v>
      </c>
      <c r="AA776" s="28" t="s">
        <v>6288</v>
      </c>
      <c r="AB776" s="28" t="s">
        <v>6297</v>
      </c>
    </row>
    <row r="777" spans="1:28" ht="185.4" x14ac:dyDescent="0.3">
      <c r="A777" s="25">
        <v>8892</v>
      </c>
      <c r="B777" s="25" t="s">
        <v>11360</v>
      </c>
      <c r="C777" s="25" t="s">
        <v>11368</v>
      </c>
      <c r="D777" s="25" t="s">
        <v>6278</v>
      </c>
      <c r="E777" s="16" t="s">
        <v>6279</v>
      </c>
      <c r="F777" s="16" t="s">
        <v>6279</v>
      </c>
      <c r="G777" s="16" t="s">
        <v>6279</v>
      </c>
      <c r="H777" s="16" t="s">
        <v>6279</v>
      </c>
      <c r="I777" s="25" t="s">
        <v>11362</v>
      </c>
      <c r="J777" s="25"/>
      <c r="K777" s="25" t="s">
        <v>6281</v>
      </c>
      <c r="L777" s="26" t="s">
        <v>11369</v>
      </c>
      <c r="M777" s="26" t="s">
        <v>11364</v>
      </c>
      <c r="N777" s="27" t="s">
        <v>11365</v>
      </c>
      <c r="O777" s="26" t="s">
        <v>11366</v>
      </c>
      <c r="P777" s="20" t="b">
        <v>1</v>
      </c>
      <c r="Q777" s="20" t="s">
        <v>6282</v>
      </c>
      <c r="R777" s="28" t="s">
        <v>6283</v>
      </c>
      <c r="S777" s="25"/>
      <c r="T777" s="20" t="b">
        <v>1</v>
      </c>
      <c r="U777" s="25"/>
      <c r="V777" s="25">
        <v>72.292000000000002</v>
      </c>
      <c r="W777" s="28" t="s">
        <v>11370</v>
      </c>
      <c r="X777" s="28" t="s">
        <v>6285</v>
      </c>
      <c r="Y777" s="28" t="s">
        <v>6286</v>
      </c>
      <c r="Z777" s="28" t="s">
        <v>6287</v>
      </c>
      <c r="AA777" s="28" t="s">
        <v>6288</v>
      </c>
      <c r="AB777" s="28" t="s">
        <v>6297</v>
      </c>
    </row>
    <row r="778" spans="1:28" ht="185.4" x14ac:dyDescent="0.3">
      <c r="A778" s="25">
        <v>8893</v>
      </c>
      <c r="B778" s="25" t="s">
        <v>11371</v>
      </c>
      <c r="C778" s="25" t="s">
        <v>6410</v>
      </c>
      <c r="D778" s="25" t="s">
        <v>6278</v>
      </c>
      <c r="E778" s="16" t="s">
        <v>6279</v>
      </c>
      <c r="F778" s="16" t="s">
        <v>6279</v>
      </c>
      <c r="G778" s="16" t="s">
        <v>6279</v>
      </c>
      <c r="H778" s="16" t="s">
        <v>6279</v>
      </c>
      <c r="I778" s="25" t="s">
        <v>11372</v>
      </c>
      <c r="J778" s="25"/>
      <c r="K778" s="25" t="s">
        <v>6281</v>
      </c>
      <c r="L778" s="26" t="s">
        <v>11373</v>
      </c>
      <c r="M778" s="26" t="s">
        <v>11374</v>
      </c>
      <c r="N778" s="27" t="s">
        <v>11375</v>
      </c>
      <c r="O778" s="26" t="s">
        <v>11376</v>
      </c>
      <c r="P778" s="20" t="b">
        <v>1</v>
      </c>
      <c r="Q778" s="20" t="s">
        <v>6282</v>
      </c>
      <c r="R778" s="28" t="s">
        <v>6283</v>
      </c>
      <c r="S778" s="25"/>
      <c r="T778" s="20" t="b">
        <v>1</v>
      </c>
      <c r="U778" s="25"/>
      <c r="V778" s="25">
        <v>689.52</v>
      </c>
      <c r="W778" s="28" t="s">
        <v>11377</v>
      </c>
      <c r="X778" s="28" t="s">
        <v>6285</v>
      </c>
      <c r="Y778" s="28" t="s">
        <v>6286</v>
      </c>
      <c r="Z778" s="28" t="s">
        <v>6287</v>
      </c>
      <c r="AA778" s="28" t="s">
        <v>6288</v>
      </c>
      <c r="AB778" s="28" t="s">
        <v>6297</v>
      </c>
    </row>
    <row r="779" spans="1:28" ht="185.4" x14ac:dyDescent="0.3">
      <c r="A779" s="25">
        <v>8897</v>
      </c>
      <c r="B779" s="25" t="s">
        <v>11378</v>
      </c>
      <c r="C779" s="25" t="s">
        <v>11379</v>
      </c>
      <c r="D779" s="25" t="s">
        <v>6278</v>
      </c>
      <c r="E779" s="16" t="s">
        <v>6279</v>
      </c>
      <c r="F779" s="16" t="s">
        <v>6279</v>
      </c>
      <c r="G779" s="16" t="s">
        <v>6279</v>
      </c>
      <c r="H779" s="16" t="s">
        <v>6279</v>
      </c>
      <c r="I779" s="25" t="s">
        <v>11380</v>
      </c>
      <c r="J779" s="25"/>
      <c r="K779" s="25" t="s">
        <v>6281</v>
      </c>
      <c r="L779" s="26" t="s">
        <v>11381</v>
      </c>
      <c r="M779" s="26" t="s">
        <v>6295</v>
      </c>
      <c r="N779" s="27" t="s">
        <v>11382</v>
      </c>
      <c r="O779" s="26" t="s">
        <v>6295</v>
      </c>
      <c r="P779" s="20" t="b">
        <v>1</v>
      </c>
      <c r="Q779" s="20" t="s">
        <v>6282</v>
      </c>
      <c r="R779" s="28" t="s">
        <v>6283</v>
      </c>
      <c r="S779" s="25"/>
      <c r="T779" s="20" t="b">
        <v>1</v>
      </c>
      <c r="U779" s="25"/>
      <c r="V779" s="25">
        <v>126.99</v>
      </c>
      <c r="W779" s="28" t="s">
        <v>11383</v>
      </c>
      <c r="X779" s="28" t="s">
        <v>6285</v>
      </c>
      <c r="Y779" s="28" t="s">
        <v>6286</v>
      </c>
      <c r="Z779" s="28" t="s">
        <v>6287</v>
      </c>
      <c r="AA779" s="28" t="s">
        <v>6288</v>
      </c>
      <c r="AB779" s="28" t="s">
        <v>6297</v>
      </c>
    </row>
    <row r="780" spans="1:28" ht="185.4" x14ac:dyDescent="0.3">
      <c r="A780" s="25">
        <v>8898</v>
      </c>
      <c r="B780" s="25" t="s">
        <v>11384</v>
      </c>
      <c r="C780" s="25" t="s">
        <v>11385</v>
      </c>
      <c r="D780" s="25" t="s">
        <v>6291</v>
      </c>
      <c r="E780" s="16" t="s">
        <v>6786</v>
      </c>
      <c r="F780" s="16" t="s">
        <v>6786</v>
      </c>
      <c r="G780" s="16" t="s">
        <v>6786</v>
      </c>
      <c r="H780" s="16" t="s">
        <v>6786</v>
      </c>
      <c r="I780" s="25" t="s">
        <v>11386</v>
      </c>
      <c r="J780" s="25"/>
      <c r="K780" s="25" t="s">
        <v>6281</v>
      </c>
      <c r="L780" s="26" t="s">
        <v>11387</v>
      </c>
      <c r="M780" s="26" t="s">
        <v>11077</v>
      </c>
      <c r="N780" s="27" t="s">
        <v>11388</v>
      </c>
      <c r="O780" s="26" t="s">
        <v>11071</v>
      </c>
      <c r="P780" s="20" t="b">
        <v>1</v>
      </c>
      <c r="Q780" s="20" t="s">
        <v>6282</v>
      </c>
      <c r="R780" s="28" t="s">
        <v>6283</v>
      </c>
      <c r="S780" s="25"/>
      <c r="T780" s="20" t="b">
        <v>1</v>
      </c>
      <c r="U780" s="25"/>
      <c r="V780" s="25">
        <v>13500</v>
      </c>
      <c r="W780" s="28" t="s">
        <v>11389</v>
      </c>
      <c r="X780" s="28" t="s">
        <v>6285</v>
      </c>
      <c r="Y780" s="28" t="s">
        <v>6286</v>
      </c>
      <c r="Z780" s="28" t="s">
        <v>6287</v>
      </c>
      <c r="AA780" s="28" t="s">
        <v>6288</v>
      </c>
      <c r="AB780" s="28" t="s">
        <v>6297</v>
      </c>
    </row>
    <row r="781" spans="1:28" ht="185.4" x14ac:dyDescent="0.3">
      <c r="A781" s="25">
        <v>8899</v>
      </c>
      <c r="B781" s="25" t="s">
        <v>11390</v>
      </c>
      <c r="C781" s="25" t="s">
        <v>11391</v>
      </c>
      <c r="D781" s="25" t="s">
        <v>6291</v>
      </c>
      <c r="E781" s="16" t="s">
        <v>6786</v>
      </c>
      <c r="F781" s="16" t="s">
        <v>6786</v>
      </c>
      <c r="G781" s="16" t="s">
        <v>6786</v>
      </c>
      <c r="H781" s="16" t="s">
        <v>6786</v>
      </c>
      <c r="I781" s="25" t="s">
        <v>11392</v>
      </c>
      <c r="J781" s="25"/>
      <c r="K781" s="25" t="s">
        <v>6281</v>
      </c>
      <c r="L781" s="26" t="s">
        <v>11393</v>
      </c>
      <c r="M781" s="26" t="s">
        <v>11077</v>
      </c>
      <c r="N781" s="27" t="s">
        <v>11388</v>
      </c>
      <c r="O781" s="26" t="s">
        <v>11071</v>
      </c>
      <c r="P781" s="20" t="b">
        <v>1</v>
      </c>
      <c r="Q781" s="20" t="s">
        <v>6282</v>
      </c>
      <c r="R781" s="28" t="s">
        <v>6283</v>
      </c>
      <c r="S781" s="25"/>
      <c r="T781" s="20" t="b">
        <v>1</v>
      </c>
      <c r="U781" s="25"/>
      <c r="V781" s="25">
        <v>13500</v>
      </c>
      <c r="W781" s="28" t="s">
        <v>11394</v>
      </c>
      <c r="X781" s="28" t="s">
        <v>6285</v>
      </c>
      <c r="Y781" s="28" t="s">
        <v>6286</v>
      </c>
      <c r="Z781" s="28" t="s">
        <v>6287</v>
      </c>
      <c r="AA781" s="28" t="s">
        <v>6288</v>
      </c>
      <c r="AB781" s="28" t="s">
        <v>6297</v>
      </c>
    </row>
    <row r="782" spans="1:28" ht="185.4" x14ac:dyDescent="0.3">
      <c r="A782" s="25">
        <v>8901</v>
      </c>
      <c r="B782" s="25" t="s">
        <v>11395</v>
      </c>
      <c r="C782" s="25" t="s">
        <v>11396</v>
      </c>
      <c r="D782" s="25" t="s">
        <v>6278</v>
      </c>
      <c r="E782" s="16" t="s">
        <v>6279</v>
      </c>
      <c r="F782" s="16" t="s">
        <v>6279</v>
      </c>
      <c r="G782" s="16" t="s">
        <v>6279</v>
      </c>
      <c r="H782" s="16" t="s">
        <v>6279</v>
      </c>
      <c r="I782" s="25" t="s">
        <v>11397</v>
      </c>
      <c r="J782" s="25"/>
      <c r="K782" s="25" t="s">
        <v>6281</v>
      </c>
      <c r="L782" s="26" t="s">
        <v>11398</v>
      </c>
      <c r="M782" s="26" t="s">
        <v>6295</v>
      </c>
      <c r="N782" s="27" t="s">
        <v>11399</v>
      </c>
      <c r="O782" s="26" t="s">
        <v>6295</v>
      </c>
      <c r="P782" s="20" t="b">
        <v>1</v>
      </c>
      <c r="Q782" s="20" t="s">
        <v>6282</v>
      </c>
      <c r="R782" s="28" t="s">
        <v>6283</v>
      </c>
      <c r="S782" s="25"/>
      <c r="T782" s="20" t="b">
        <v>1</v>
      </c>
      <c r="U782" s="25"/>
      <c r="V782" s="25">
        <v>961.5</v>
      </c>
      <c r="W782" s="28" t="s">
        <v>11400</v>
      </c>
      <c r="X782" s="28" t="s">
        <v>6285</v>
      </c>
      <c r="Y782" s="28" t="s">
        <v>6286</v>
      </c>
      <c r="Z782" s="28" t="s">
        <v>6287</v>
      </c>
      <c r="AA782" s="28" t="s">
        <v>6288</v>
      </c>
      <c r="AB782" s="28" t="s">
        <v>6297</v>
      </c>
    </row>
    <row r="783" spans="1:28" ht="185.4" x14ac:dyDescent="0.3">
      <c r="A783" s="25">
        <v>8902</v>
      </c>
      <c r="B783" s="25" t="s">
        <v>11401</v>
      </c>
      <c r="C783" s="25" t="s">
        <v>11402</v>
      </c>
      <c r="D783" s="25" t="s">
        <v>6291</v>
      </c>
      <c r="E783" s="16" t="s">
        <v>6292</v>
      </c>
      <c r="F783" s="16" t="s">
        <v>6292</v>
      </c>
      <c r="G783" s="16" t="s">
        <v>6292</v>
      </c>
      <c r="H783" s="16" t="s">
        <v>6292</v>
      </c>
      <c r="I783" s="25" t="s">
        <v>11403</v>
      </c>
      <c r="J783" s="25"/>
      <c r="K783" s="25" t="s">
        <v>6281</v>
      </c>
      <c r="L783" s="26" t="s">
        <v>11327</v>
      </c>
      <c r="M783" s="26" t="s">
        <v>11328</v>
      </c>
      <c r="N783" s="27" t="s">
        <v>11329</v>
      </c>
      <c r="O783" s="26" t="s">
        <v>11330</v>
      </c>
      <c r="P783" s="20" t="b">
        <v>1</v>
      </c>
      <c r="Q783" s="20" t="s">
        <v>6282</v>
      </c>
      <c r="R783" s="28" t="s">
        <v>6283</v>
      </c>
      <c r="S783" s="25"/>
      <c r="T783" s="20" t="b">
        <v>1</v>
      </c>
      <c r="U783" s="25"/>
      <c r="V783" s="25">
        <v>39.767000000000003</v>
      </c>
      <c r="W783" s="28" t="s">
        <v>11404</v>
      </c>
      <c r="X783" s="28" t="s">
        <v>6285</v>
      </c>
      <c r="Y783" s="28" t="s">
        <v>6286</v>
      </c>
      <c r="Z783" s="28" t="s">
        <v>6287</v>
      </c>
      <c r="AA783" s="28" t="s">
        <v>6288</v>
      </c>
      <c r="AB783" s="28" t="s">
        <v>6297</v>
      </c>
    </row>
    <row r="784" spans="1:28" ht="185.4" x14ac:dyDescent="0.3">
      <c r="A784" s="25">
        <v>8903</v>
      </c>
      <c r="B784" s="25" t="s">
        <v>11405</v>
      </c>
      <c r="C784" s="25" t="s">
        <v>11406</v>
      </c>
      <c r="D784" s="25" t="s">
        <v>6291</v>
      </c>
      <c r="E784" s="16" t="s">
        <v>6292</v>
      </c>
      <c r="F784" s="16" t="s">
        <v>6292</v>
      </c>
      <c r="G784" s="16" t="s">
        <v>6292</v>
      </c>
      <c r="H784" s="16" t="s">
        <v>6292</v>
      </c>
      <c r="I784" s="25" t="s">
        <v>11407</v>
      </c>
      <c r="J784" s="25"/>
      <c r="K784" s="25" t="s">
        <v>6281</v>
      </c>
      <c r="L784" s="26" t="s">
        <v>11327</v>
      </c>
      <c r="M784" s="26" t="s">
        <v>11408</v>
      </c>
      <c r="N784" s="27" t="s">
        <v>11409</v>
      </c>
      <c r="O784" s="26" t="s">
        <v>11330</v>
      </c>
      <c r="P784" s="20" t="b">
        <v>1</v>
      </c>
      <c r="Q784" s="20" t="s">
        <v>6282</v>
      </c>
      <c r="R784" s="28" t="s">
        <v>6283</v>
      </c>
      <c r="S784" s="25"/>
      <c r="T784" s="20" t="b">
        <v>1</v>
      </c>
      <c r="U784" s="25"/>
      <c r="V784" s="25">
        <v>39.767000000000003</v>
      </c>
      <c r="W784" s="28" t="s">
        <v>11410</v>
      </c>
      <c r="X784" s="28" t="s">
        <v>6285</v>
      </c>
      <c r="Y784" s="28" t="s">
        <v>6286</v>
      </c>
      <c r="Z784" s="28" t="s">
        <v>6287</v>
      </c>
      <c r="AA784" s="28" t="s">
        <v>6288</v>
      </c>
      <c r="AB784" s="28" t="s">
        <v>6297</v>
      </c>
    </row>
    <row r="785" spans="1:28" ht="185.4" x14ac:dyDescent="0.3">
      <c r="A785" s="25">
        <v>8904</v>
      </c>
      <c r="B785" s="25" t="s">
        <v>11411</v>
      </c>
      <c r="C785" s="25" t="s">
        <v>11412</v>
      </c>
      <c r="D785" s="25" t="s">
        <v>6291</v>
      </c>
      <c r="E785" s="16" t="s">
        <v>6292</v>
      </c>
      <c r="F785" s="16" t="s">
        <v>6292</v>
      </c>
      <c r="G785" s="16" t="s">
        <v>6292</v>
      </c>
      <c r="H785" s="16" t="s">
        <v>6292</v>
      </c>
      <c r="I785" s="25" t="s">
        <v>11413</v>
      </c>
      <c r="J785" s="25"/>
      <c r="K785" s="25" t="s">
        <v>6281</v>
      </c>
      <c r="L785" s="26" t="s">
        <v>11327</v>
      </c>
      <c r="M785" s="26" t="s">
        <v>11328</v>
      </c>
      <c r="N785" s="27" t="s">
        <v>11414</v>
      </c>
      <c r="O785" s="26" t="s">
        <v>11330</v>
      </c>
      <c r="P785" s="20" t="b">
        <v>1</v>
      </c>
      <c r="Q785" s="20" t="s">
        <v>6282</v>
      </c>
      <c r="R785" s="28" t="s">
        <v>6283</v>
      </c>
      <c r="S785" s="25"/>
      <c r="T785" s="20" t="b">
        <v>1</v>
      </c>
      <c r="U785" s="25"/>
      <c r="V785" s="25">
        <v>40.377000000000002</v>
      </c>
      <c r="W785" s="28" t="s">
        <v>11415</v>
      </c>
      <c r="X785" s="28" t="s">
        <v>6285</v>
      </c>
      <c r="Y785" s="28" t="s">
        <v>6286</v>
      </c>
      <c r="Z785" s="28" t="s">
        <v>6287</v>
      </c>
      <c r="AA785" s="28" t="s">
        <v>6288</v>
      </c>
      <c r="AB785" s="28" t="s">
        <v>6297</v>
      </c>
    </row>
    <row r="786" spans="1:28" ht="185.4" x14ac:dyDescent="0.3">
      <c r="A786" s="25">
        <v>8905</v>
      </c>
      <c r="B786" s="25" t="s">
        <v>11416</v>
      </c>
      <c r="C786" s="25" t="s">
        <v>11417</v>
      </c>
      <c r="D786" s="25" t="s">
        <v>6291</v>
      </c>
      <c r="E786" s="16" t="s">
        <v>6292</v>
      </c>
      <c r="F786" s="16" t="s">
        <v>6292</v>
      </c>
      <c r="G786" s="16" t="s">
        <v>6292</v>
      </c>
      <c r="H786" s="16" t="s">
        <v>6292</v>
      </c>
      <c r="I786" s="25" t="s">
        <v>11418</v>
      </c>
      <c r="J786" s="25"/>
      <c r="K786" s="25" t="s">
        <v>6281</v>
      </c>
      <c r="L786" s="26" t="s">
        <v>11327</v>
      </c>
      <c r="M786" s="26" t="s">
        <v>11328</v>
      </c>
      <c r="N786" s="27" t="s">
        <v>11329</v>
      </c>
      <c r="O786" s="26" t="s">
        <v>11419</v>
      </c>
      <c r="P786" s="20" t="b">
        <v>1</v>
      </c>
      <c r="Q786" s="20" t="s">
        <v>6282</v>
      </c>
      <c r="R786" s="28" t="s">
        <v>6283</v>
      </c>
      <c r="S786" s="25"/>
      <c r="T786" s="20" t="b">
        <v>1</v>
      </c>
      <c r="U786" s="25"/>
      <c r="V786" s="25">
        <v>40.377000000000002</v>
      </c>
      <c r="W786" s="28" t="s">
        <v>11420</v>
      </c>
      <c r="X786" s="28" t="s">
        <v>6285</v>
      </c>
      <c r="Y786" s="28" t="s">
        <v>6286</v>
      </c>
      <c r="Z786" s="28" t="s">
        <v>6287</v>
      </c>
      <c r="AA786" s="28" t="s">
        <v>6288</v>
      </c>
      <c r="AB786" s="28" t="s">
        <v>6297</v>
      </c>
    </row>
    <row r="787" spans="1:28" ht="185.4" x14ac:dyDescent="0.3">
      <c r="A787" s="25">
        <v>8906</v>
      </c>
      <c r="B787" s="25" t="s">
        <v>11421</v>
      </c>
      <c r="C787" s="25" t="s">
        <v>11422</v>
      </c>
      <c r="D787" s="25" t="s">
        <v>6291</v>
      </c>
      <c r="E787" s="16" t="s">
        <v>6292</v>
      </c>
      <c r="F787" s="16" t="s">
        <v>6292</v>
      </c>
      <c r="G787" s="16" t="s">
        <v>6292</v>
      </c>
      <c r="H787" s="16" t="s">
        <v>6292</v>
      </c>
      <c r="I787" s="25" t="s">
        <v>11423</v>
      </c>
      <c r="J787" s="25"/>
      <c r="K787" s="25" t="s">
        <v>6281</v>
      </c>
      <c r="L787" s="26" t="s">
        <v>11424</v>
      </c>
      <c r="M787" s="26" t="s">
        <v>11408</v>
      </c>
      <c r="N787" s="27" t="s">
        <v>11409</v>
      </c>
      <c r="O787" s="26" t="s">
        <v>11330</v>
      </c>
      <c r="P787" s="20" t="b">
        <v>1</v>
      </c>
      <c r="Q787" s="20" t="s">
        <v>6282</v>
      </c>
      <c r="R787" s="28" t="s">
        <v>6283</v>
      </c>
      <c r="S787" s="25"/>
      <c r="T787" s="20" t="b">
        <v>1</v>
      </c>
      <c r="U787" s="25"/>
      <c r="V787" s="25">
        <v>40.377000000000002</v>
      </c>
      <c r="W787" s="28" t="s">
        <v>11425</v>
      </c>
      <c r="X787" s="28" t="s">
        <v>6285</v>
      </c>
      <c r="Y787" s="28" t="s">
        <v>6286</v>
      </c>
      <c r="Z787" s="28" t="s">
        <v>6287</v>
      </c>
      <c r="AA787" s="28" t="s">
        <v>6288</v>
      </c>
      <c r="AB787" s="28" t="s">
        <v>6297</v>
      </c>
    </row>
    <row r="788" spans="1:28" ht="185.4" x14ac:dyDescent="0.3">
      <c r="A788" s="25">
        <v>8909</v>
      </c>
      <c r="B788" s="25" t="s">
        <v>11426</v>
      </c>
      <c r="C788" s="25" t="s">
        <v>11427</v>
      </c>
      <c r="D788" s="25" t="s">
        <v>6291</v>
      </c>
      <c r="E788" s="16" t="s">
        <v>6786</v>
      </c>
      <c r="F788" s="16" t="s">
        <v>6786</v>
      </c>
      <c r="G788" s="16" t="s">
        <v>6786</v>
      </c>
      <c r="H788" s="16" t="s">
        <v>6786</v>
      </c>
      <c r="I788" s="25" t="s">
        <v>11428</v>
      </c>
      <c r="J788" s="25"/>
      <c r="K788" s="25" t="s">
        <v>6281</v>
      </c>
      <c r="L788" s="26" t="s">
        <v>11429</v>
      </c>
      <c r="M788" s="26" t="s">
        <v>11430</v>
      </c>
      <c r="N788" s="27" t="s">
        <v>11431</v>
      </c>
      <c r="O788" s="26" t="s">
        <v>6295</v>
      </c>
      <c r="P788" s="20" t="b">
        <v>1</v>
      </c>
      <c r="Q788" s="20" t="s">
        <v>6282</v>
      </c>
      <c r="R788" s="28" t="s">
        <v>6283</v>
      </c>
      <c r="S788" s="25"/>
      <c r="T788" s="20" t="b">
        <v>1</v>
      </c>
      <c r="U788" s="25"/>
      <c r="V788" s="25">
        <v>0.75</v>
      </c>
      <c r="W788" s="28" t="s">
        <v>11432</v>
      </c>
      <c r="X788" s="28" t="s">
        <v>6285</v>
      </c>
      <c r="Y788" s="28" t="s">
        <v>6286</v>
      </c>
      <c r="Z788" s="28" t="s">
        <v>6287</v>
      </c>
      <c r="AA788" s="28" t="s">
        <v>6288</v>
      </c>
      <c r="AB788" s="28" t="s">
        <v>6297</v>
      </c>
    </row>
    <row r="789" spans="1:28" ht="264.60000000000002" x14ac:dyDescent="0.3">
      <c r="A789" s="25">
        <v>8910</v>
      </c>
      <c r="B789" s="25" t="s">
        <v>11433</v>
      </c>
      <c r="C789" s="25" t="s">
        <v>11434</v>
      </c>
      <c r="D789" s="25" t="s">
        <v>6291</v>
      </c>
      <c r="E789" s="16" t="s">
        <v>6786</v>
      </c>
      <c r="F789" s="16" t="s">
        <v>6786</v>
      </c>
      <c r="G789" s="16" t="s">
        <v>6786</v>
      </c>
      <c r="H789" s="16" t="s">
        <v>6786</v>
      </c>
      <c r="I789" s="25" t="s">
        <v>11435</v>
      </c>
      <c r="J789" s="25"/>
      <c r="K789" s="25" t="s">
        <v>6281</v>
      </c>
      <c r="L789" s="26" t="s">
        <v>11436</v>
      </c>
      <c r="M789" s="26" t="s">
        <v>11437</v>
      </c>
      <c r="N789" s="27" t="s">
        <v>11438</v>
      </c>
      <c r="O789" s="26" t="s">
        <v>6295</v>
      </c>
      <c r="P789" s="20" t="b">
        <v>1</v>
      </c>
      <c r="Q789" s="20" t="s">
        <v>6282</v>
      </c>
      <c r="R789" s="28" t="s">
        <v>6283</v>
      </c>
      <c r="S789" s="25"/>
      <c r="T789" s="20" t="b">
        <v>1</v>
      </c>
      <c r="U789" s="25"/>
      <c r="V789" s="25">
        <v>0.75</v>
      </c>
      <c r="W789" s="28" t="s">
        <v>11439</v>
      </c>
      <c r="X789" s="28" t="s">
        <v>6285</v>
      </c>
      <c r="Y789" s="28" t="s">
        <v>6286</v>
      </c>
      <c r="Z789" s="28" t="s">
        <v>6287</v>
      </c>
      <c r="AA789" s="28" t="s">
        <v>6288</v>
      </c>
      <c r="AB789" s="28" t="s">
        <v>6297</v>
      </c>
    </row>
    <row r="790" spans="1:28" ht="185.4" x14ac:dyDescent="0.3">
      <c r="A790" s="25">
        <v>8912</v>
      </c>
      <c r="B790" s="25" t="s">
        <v>11440</v>
      </c>
      <c r="C790" s="25" t="s">
        <v>11441</v>
      </c>
      <c r="D790" s="25" t="s">
        <v>6291</v>
      </c>
      <c r="E790" s="16" t="s">
        <v>6292</v>
      </c>
      <c r="F790" s="16" t="s">
        <v>6292</v>
      </c>
      <c r="G790" s="16" t="s">
        <v>6292</v>
      </c>
      <c r="H790" s="16" t="s">
        <v>6292</v>
      </c>
      <c r="I790" s="25" t="s">
        <v>11442</v>
      </c>
      <c r="J790" s="25"/>
      <c r="K790" s="25" t="s">
        <v>6281</v>
      </c>
      <c r="L790" s="26" t="s">
        <v>11443</v>
      </c>
      <c r="M790" s="26" t="s">
        <v>6295</v>
      </c>
      <c r="N790" s="27" t="s">
        <v>11444</v>
      </c>
      <c r="O790" s="26" t="s">
        <v>6295</v>
      </c>
      <c r="P790" s="20" t="b">
        <v>1</v>
      </c>
      <c r="Q790" s="20" t="s">
        <v>6282</v>
      </c>
      <c r="R790" s="28" t="s">
        <v>6283</v>
      </c>
      <c r="S790" s="25"/>
      <c r="T790" s="20" t="b">
        <v>1</v>
      </c>
      <c r="U790" s="25"/>
      <c r="V790" s="25">
        <v>96.096000000000004</v>
      </c>
      <c r="W790" s="28" t="s">
        <v>11445</v>
      </c>
      <c r="X790" s="28" t="s">
        <v>6285</v>
      </c>
      <c r="Y790" s="28" t="s">
        <v>6286</v>
      </c>
      <c r="Z790" s="28" t="s">
        <v>6287</v>
      </c>
      <c r="AA790" s="28" t="s">
        <v>6288</v>
      </c>
      <c r="AB790" s="28" t="s">
        <v>6297</v>
      </c>
    </row>
    <row r="791" spans="1:28" ht="185.4" x14ac:dyDescent="0.3">
      <c r="A791" s="25">
        <v>8914</v>
      </c>
      <c r="B791" s="25" t="s">
        <v>11446</v>
      </c>
      <c r="C791" s="25" t="s">
        <v>11447</v>
      </c>
      <c r="D791" s="25" t="s">
        <v>6278</v>
      </c>
      <c r="E791" s="16" t="s">
        <v>6279</v>
      </c>
      <c r="F791" s="16" t="s">
        <v>6279</v>
      </c>
      <c r="G791" s="16" t="s">
        <v>6279</v>
      </c>
      <c r="H791" s="16" t="s">
        <v>6279</v>
      </c>
      <c r="I791" s="25" t="s">
        <v>11448</v>
      </c>
      <c r="J791" s="25"/>
      <c r="K791" s="25" t="s">
        <v>6281</v>
      </c>
      <c r="L791" s="26" t="s">
        <v>11449</v>
      </c>
      <c r="M791" s="26" t="s">
        <v>6295</v>
      </c>
      <c r="N791" s="27" t="s">
        <v>11450</v>
      </c>
      <c r="O791" s="26" t="s">
        <v>6295</v>
      </c>
      <c r="P791" s="20" t="b">
        <v>1</v>
      </c>
      <c r="Q791" s="20" t="s">
        <v>6282</v>
      </c>
      <c r="R791" s="28" t="s">
        <v>6283</v>
      </c>
      <c r="S791" s="25"/>
      <c r="T791" s="20" t="b">
        <v>1</v>
      </c>
      <c r="U791" s="25"/>
      <c r="V791" s="25">
        <v>1528.26</v>
      </c>
      <c r="W791" s="28" t="s">
        <v>11451</v>
      </c>
      <c r="X791" s="28" t="s">
        <v>6285</v>
      </c>
      <c r="Y791" s="28" t="s">
        <v>6286</v>
      </c>
      <c r="Z791" s="28" t="s">
        <v>6287</v>
      </c>
      <c r="AA791" s="28" t="s">
        <v>6288</v>
      </c>
      <c r="AB791" s="28" t="s">
        <v>6297</v>
      </c>
    </row>
    <row r="792" spans="1:28" ht="185.4" x14ac:dyDescent="0.3">
      <c r="A792" s="25">
        <v>8915</v>
      </c>
      <c r="B792" s="25" t="s">
        <v>11452</v>
      </c>
      <c r="C792" s="25" t="s">
        <v>11453</v>
      </c>
      <c r="D792" s="25" t="s">
        <v>6278</v>
      </c>
      <c r="E792" s="16" t="s">
        <v>6279</v>
      </c>
      <c r="F792" s="16" t="s">
        <v>6279</v>
      </c>
      <c r="G792" s="16" t="s">
        <v>6279</v>
      </c>
      <c r="H792" s="16" t="s">
        <v>6279</v>
      </c>
      <c r="I792" s="25" t="s">
        <v>11454</v>
      </c>
      <c r="J792" s="25"/>
      <c r="K792" s="25" t="s">
        <v>6281</v>
      </c>
      <c r="L792" s="26" t="s">
        <v>11455</v>
      </c>
      <c r="M792" s="26" t="s">
        <v>6295</v>
      </c>
      <c r="N792" s="27" t="s">
        <v>11456</v>
      </c>
      <c r="O792" s="26" t="s">
        <v>6295</v>
      </c>
      <c r="P792" s="20" t="b">
        <v>1</v>
      </c>
      <c r="Q792" s="20" t="s">
        <v>6282</v>
      </c>
      <c r="R792" s="28" t="s">
        <v>6283</v>
      </c>
      <c r="S792" s="25"/>
      <c r="T792" s="20" t="b">
        <v>1</v>
      </c>
      <c r="U792" s="25"/>
      <c r="V792" s="25">
        <v>3324.05</v>
      </c>
      <c r="W792" s="28" t="s">
        <v>11457</v>
      </c>
      <c r="X792" s="28" t="s">
        <v>6285</v>
      </c>
      <c r="Y792" s="28" t="s">
        <v>6286</v>
      </c>
      <c r="Z792" s="28" t="s">
        <v>6287</v>
      </c>
      <c r="AA792" s="28" t="s">
        <v>6288</v>
      </c>
      <c r="AB792" s="28" t="s">
        <v>6297</v>
      </c>
    </row>
    <row r="793" spans="1:28" ht="185.4" x14ac:dyDescent="0.3">
      <c r="A793" s="25">
        <v>8919</v>
      </c>
      <c r="B793" s="25" t="s">
        <v>11458</v>
      </c>
      <c r="C793" s="25" t="s">
        <v>11459</v>
      </c>
      <c r="D793" s="25" t="s">
        <v>6291</v>
      </c>
      <c r="E793" s="16" t="s">
        <v>6786</v>
      </c>
      <c r="F793" s="16" t="s">
        <v>6786</v>
      </c>
      <c r="G793" s="16" t="s">
        <v>6786</v>
      </c>
      <c r="H793" s="16" t="s">
        <v>6786</v>
      </c>
      <c r="I793" s="25" t="s">
        <v>11460</v>
      </c>
      <c r="J793" s="25"/>
      <c r="K793" s="25" t="s">
        <v>6281</v>
      </c>
      <c r="L793" s="26" t="s">
        <v>11461</v>
      </c>
      <c r="M793" s="26" t="s">
        <v>6295</v>
      </c>
      <c r="N793" s="27" t="s">
        <v>11462</v>
      </c>
      <c r="O793" s="26" t="s">
        <v>6295</v>
      </c>
      <c r="P793" s="20" t="b">
        <v>1</v>
      </c>
      <c r="Q793" s="20" t="s">
        <v>6282</v>
      </c>
      <c r="R793" s="28" t="s">
        <v>6283</v>
      </c>
      <c r="S793" s="25"/>
      <c r="T793" s="20" t="b">
        <v>1</v>
      </c>
      <c r="U793" s="25"/>
      <c r="V793" s="25">
        <v>32.117539999999998</v>
      </c>
      <c r="W793" s="28" t="s">
        <v>11463</v>
      </c>
      <c r="X793" s="28" t="s">
        <v>6285</v>
      </c>
      <c r="Y793" s="28" t="s">
        <v>6286</v>
      </c>
      <c r="Z793" s="28" t="s">
        <v>6287</v>
      </c>
      <c r="AA793" s="28" t="s">
        <v>6288</v>
      </c>
      <c r="AB793" s="28" t="s">
        <v>6297</v>
      </c>
    </row>
    <row r="794" spans="1:28" ht="185.4" x14ac:dyDescent="0.3">
      <c r="A794" s="25">
        <v>8921</v>
      </c>
      <c r="B794" s="25" t="s">
        <v>11464</v>
      </c>
      <c r="C794" s="25" t="s">
        <v>11465</v>
      </c>
      <c r="D794" s="25" t="s">
        <v>6291</v>
      </c>
      <c r="E794" s="16" t="s">
        <v>6786</v>
      </c>
      <c r="F794" s="16" t="s">
        <v>6786</v>
      </c>
      <c r="G794" s="16" t="s">
        <v>6786</v>
      </c>
      <c r="H794" s="16" t="s">
        <v>6786</v>
      </c>
      <c r="I794" s="25" t="s">
        <v>11466</v>
      </c>
      <c r="J794" s="25"/>
      <c r="K794" s="25" t="s">
        <v>6281</v>
      </c>
      <c r="L794" s="26" t="s">
        <v>11467</v>
      </c>
      <c r="M794" s="26" t="s">
        <v>11468</v>
      </c>
      <c r="N794" s="27" t="s">
        <v>11469</v>
      </c>
      <c r="O794" s="26" t="s">
        <v>6295</v>
      </c>
      <c r="P794" s="20" t="b">
        <v>1</v>
      </c>
      <c r="Q794" s="20" t="s">
        <v>6282</v>
      </c>
      <c r="R794" s="28" t="s">
        <v>6283</v>
      </c>
      <c r="S794" s="25"/>
      <c r="T794" s="20" t="b">
        <v>1</v>
      </c>
      <c r="U794" s="25"/>
      <c r="V794" s="25">
        <v>0.58835999999999999</v>
      </c>
      <c r="W794" s="28" t="s">
        <v>11470</v>
      </c>
      <c r="X794" s="28" t="s">
        <v>6285</v>
      </c>
      <c r="Y794" s="28" t="s">
        <v>6286</v>
      </c>
      <c r="Z794" s="28" t="s">
        <v>6287</v>
      </c>
      <c r="AA794" s="28" t="s">
        <v>6288</v>
      </c>
      <c r="AB794" s="28" t="s">
        <v>6297</v>
      </c>
    </row>
    <row r="795" spans="1:28" ht="185.4" x14ac:dyDescent="0.3">
      <c r="A795" s="25">
        <v>8922</v>
      </c>
      <c r="B795" s="25" t="s">
        <v>11471</v>
      </c>
      <c r="C795" s="25" t="s">
        <v>11472</v>
      </c>
      <c r="D795" s="25" t="s">
        <v>6291</v>
      </c>
      <c r="E795" s="16" t="s">
        <v>6786</v>
      </c>
      <c r="F795" s="16" t="s">
        <v>6786</v>
      </c>
      <c r="G795" s="16" t="s">
        <v>6786</v>
      </c>
      <c r="H795" s="16" t="s">
        <v>6786</v>
      </c>
      <c r="I795" s="25" t="s">
        <v>11473</v>
      </c>
      <c r="J795" s="25"/>
      <c r="K795" s="25" t="s">
        <v>6281</v>
      </c>
      <c r="L795" s="26" t="s">
        <v>11474</v>
      </c>
      <c r="M795" s="26" t="s">
        <v>11475</v>
      </c>
      <c r="N795" s="27" t="s">
        <v>11476</v>
      </c>
      <c r="O795" s="26" t="s">
        <v>6295</v>
      </c>
      <c r="P795" s="20" t="b">
        <v>1</v>
      </c>
      <c r="Q795" s="20" t="s">
        <v>6282</v>
      </c>
      <c r="R795" s="28" t="s">
        <v>6283</v>
      </c>
      <c r="S795" s="25"/>
      <c r="T795" s="20" t="b">
        <v>1</v>
      </c>
      <c r="U795" s="25"/>
      <c r="V795" s="25">
        <v>0.71506999999999998</v>
      </c>
      <c r="W795" s="28" t="s">
        <v>11477</v>
      </c>
      <c r="X795" s="28" t="s">
        <v>6285</v>
      </c>
      <c r="Y795" s="28" t="s">
        <v>6286</v>
      </c>
      <c r="Z795" s="28" t="s">
        <v>6287</v>
      </c>
      <c r="AA795" s="28" t="s">
        <v>6288</v>
      </c>
      <c r="AB795" s="28" t="s">
        <v>6297</v>
      </c>
    </row>
    <row r="796" spans="1:28" ht="185.4" x14ac:dyDescent="0.3">
      <c r="A796" s="25">
        <v>8923</v>
      </c>
      <c r="B796" s="25" t="s">
        <v>11478</v>
      </c>
      <c r="C796" s="25" t="s">
        <v>11479</v>
      </c>
      <c r="D796" s="25" t="s">
        <v>6278</v>
      </c>
      <c r="E796" s="16" t="s">
        <v>6279</v>
      </c>
      <c r="F796" s="16" t="s">
        <v>6279</v>
      </c>
      <c r="G796" s="16" t="s">
        <v>6279</v>
      </c>
      <c r="H796" s="16" t="s">
        <v>6279</v>
      </c>
      <c r="I796" s="25" t="s">
        <v>11480</v>
      </c>
      <c r="J796" s="25"/>
      <c r="K796" s="25" t="s">
        <v>6281</v>
      </c>
      <c r="L796" s="26" t="s">
        <v>11481</v>
      </c>
      <c r="M796" s="26" t="s">
        <v>11482</v>
      </c>
      <c r="N796" s="27" t="s">
        <v>11483</v>
      </c>
      <c r="O796" s="26" t="s">
        <v>11484</v>
      </c>
      <c r="P796" s="20" t="b">
        <v>1</v>
      </c>
      <c r="Q796" s="20" t="s">
        <v>6282</v>
      </c>
      <c r="R796" s="28" t="s">
        <v>6283</v>
      </c>
      <c r="S796" s="25"/>
      <c r="T796" s="20" t="b">
        <v>1</v>
      </c>
      <c r="U796" s="25"/>
      <c r="V796" s="25">
        <v>694.12199999999996</v>
      </c>
      <c r="W796" s="28" t="s">
        <v>11485</v>
      </c>
      <c r="X796" s="28" t="s">
        <v>6285</v>
      </c>
      <c r="Y796" s="28" t="s">
        <v>6286</v>
      </c>
      <c r="Z796" s="28" t="s">
        <v>6287</v>
      </c>
      <c r="AA796" s="28" t="s">
        <v>6288</v>
      </c>
      <c r="AB796" s="28" t="s">
        <v>6297</v>
      </c>
    </row>
    <row r="797" spans="1:28" ht="185.4" x14ac:dyDescent="0.3">
      <c r="A797" s="25">
        <v>8924</v>
      </c>
      <c r="B797" s="25" t="s">
        <v>11486</v>
      </c>
      <c r="C797" s="25" t="s">
        <v>11487</v>
      </c>
      <c r="D797" s="25" t="s">
        <v>6278</v>
      </c>
      <c r="E797" s="16" t="s">
        <v>6279</v>
      </c>
      <c r="F797" s="16" t="s">
        <v>6279</v>
      </c>
      <c r="G797" s="16" t="s">
        <v>6279</v>
      </c>
      <c r="H797" s="16" t="s">
        <v>6279</v>
      </c>
      <c r="I797" s="25" t="s">
        <v>11488</v>
      </c>
      <c r="J797" s="25"/>
      <c r="K797" s="25" t="s">
        <v>6281</v>
      </c>
      <c r="L797" s="26" t="s">
        <v>11489</v>
      </c>
      <c r="M797" s="26" t="s">
        <v>11490</v>
      </c>
      <c r="N797" s="27" t="s">
        <v>11491</v>
      </c>
      <c r="O797" s="26" t="s">
        <v>6295</v>
      </c>
      <c r="P797" s="20" t="b">
        <v>1</v>
      </c>
      <c r="Q797" s="20" t="s">
        <v>6282</v>
      </c>
      <c r="R797" s="28" t="s">
        <v>6283</v>
      </c>
      <c r="S797" s="25"/>
      <c r="T797" s="20" t="b">
        <v>1</v>
      </c>
      <c r="U797" s="25"/>
      <c r="V797" s="25">
        <v>76.843000000000004</v>
      </c>
      <c r="W797" s="28" t="s">
        <v>11492</v>
      </c>
      <c r="X797" s="28" t="s">
        <v>6285</v>
      </c>
      <c r="Y797" s="28" t="s">
        <v>6286</v>
      </c>
      <c r="Z797" s="28" t="s">
        <v>6287</v>
      </c>
      <c r="AA797" s="28" t="s">
        <v>6288</v>
      </c>
      <c r="AB797" s="28" t="s">
        <v>6297</v>
      </c>
    </row>
    <row r="798" spans="1:28" ht="185.4" x14ac:dyDescent="0.3">
      <c r="A798" s="25">
        <v>8930</v>
      </c>
      <c r="B798" s="25" t="s">
        <v>11493</v>
      </c>
      <c r="C798" s="25" t="s">
        <v>11494</v>
      </c>
      <c r="D798" s="25" t="s">
        <v>6291</v>
      </c>
      <c r="E798" s="16" t="s">
        <v>6292</v>
      </c>
      <c r="F798" s="16" t="s">
        <v>6292</v>
      </c>
      <c r="G798" s="16" t="s">
        <v>6292</v>
      </c>
      <c r="H798" s="16" t="s">
        <v>6292</v>
      </c>
      <c r="I798" s="25" t="s">
        <v>11495</v>
      </c>
      <c r="J798" s="25"/>
      <c r="K798" s="25" t="s">
        <v>6281</v>
      </c>
      <c r="L798" s="26" t="s">
        <v>11496</v>
      </c>
      <c r="M798" s="26" t="s">
        <v>11497</v>
      </c>
      <c r="N798" s="27" t="s">
        <v>11498</v>
      </c>
      <c r="O798" s="26" t="s">
        <v>11330</v>
      </c>
      <c r="P798" s="20" t="b">
        <v>1</v>
      </c>
      <c r="Q798" s="20" t="s">
        <v>6282</v>
      </c>
      <c r="R798" s="28" t="s">
        <v>6283</v>
      </c>
      <c r="S798" s="25"/>
      <c r="T798" s="20" t="b">
        <v>1</v>
      </c>
      <c r="U798" s="25"/>
      <c r="V798" s="25">
        <v>40.377000000000002</v>
      </c>
      <c r="W798" s="28" t="s">
        <v>11499</v>
      </c>
      <c r="X798" s="28" t="s">
        <v>6285</v>
      </c>
      <c r="Y798" s="28" t="s">
        <v>6286</v>
      </c>
      <c r="Z798" s="28" t="s">
        <v>6287</v>
      </c>
      <c r="AA798" s="28" t="s">
        <v>6288</v>
      </c>
      <c r="AB798" s="28" t="s">
        <v>6297</v>
      </c>
    </row>
    <row r="799" spans="1:28" ht="185.4" x14ac:dyDescent="0.3">
      <c r="A799" s="25">
        <v>8931</v>
      </c>
      <c r="B799" s="25" t="s">
        <v>11500</v>
      </c>
      <c r="C799" s="25" t="s">
        <v>11501</v>
      </c>
      <c r="D799" s="25" t="s">
        <v>6291</v>
      </c>
      <c r="E799" s="16" t="s">
        <v>6292</v>
      </c>
      <c r="F799" s="16" t="s">
        <v>6292</v>
      </c>
      <c r="G799" s="16" t="s">
        <v>6292</v>
      </c>
      <c r="H799" s="16" t="s">
        <v>6292</v>
      </c>
      <c r="I799" s="25" t="s">
        <v>11502</v>
      </c>
      <c r="J799" s="25"/>
      <c r="K799" s="25" t="s">
        <v>6281</v>
      </c>
      <c r="L799" s="26" t="s">
        <v>11503</v>
      </c>
      <c r="M799" s="26" t="s">
        <v>6295</v>
      </c>
      <c r="N799" s="27" t="s">
        <v>11504</v>
      </c>
      <c r="O799" s="26" t="s">
        <v>6295</v>
      </c>
      <c r="P799" s="20" t="b">
        <v>1</v>
      </c>
      <c r="Q799" s="20" t="s">
        <v>6282</v>
      </c>
      <c r="R799" s="28" t="s">
        <v>6283</v>
      </c>
      <c r="S799" s="25"/>
      <c r="T799" s="20" t="b">
        <v>1</v>
      </c>
      <c r="U799" s="25"/>
      <c r="V799" s="25">
        <v>382.10640000000001</v>
      </c>
      <c r="W799" s="28" t="s">
        <v>11505</v>
      </c>
      <c r="X799" s="28" t="s">
        <v>6285</v>
      </c>
      <c r="Y799" s="28" t="s">
        <v>6286</v>
      </c>
      <c r="Z799" s="28" t="s">
        <v>6287</v>
      </c>
      <c r="AA799" s="28" t="s">
        <v>6288</v>
      </c>
      <c r="AB799" s="28" t="s">
        <v>6297</v>
      </c>
    </row>
    <row r="800" spans="1:28" ht="185.4" x14ac:dyDescent="0.3">
      <c r="A800" s="25">
        <v>8935</v>
      </c>
      <c r="B800" s="25" t="s">
        <v>11506</v>
      </c>
      <c r="C800" s="25" t="s">
        <v>11507</v>
      </c>
      <c r="D800" s="25" t="s">
        <v>6291</v>
      </c>
      <c r="E800" s="16" t="s">
        <v>6292</v>
      </c>
      <c r="F800" s="16" t="s">
        <v>6292</v>
      </c>
      <c r="G800" s="16" t="s">
        <v>6292</v>
      </c>
      <c r="H800" s="16" t="s">
        <v>6292</v>
      </c>
      <c r="I800" s="25" t="s">
        <v>11508</v>
      </c>
      <c r="J800" s="25"/>
      <c r="K800" s="25" t="s">
        <v>6281</v>
      </c>
      <c r="L800" s="26" t="s">
        <v>11509</v>
      </c>
      <c r="M800" s="26" t="s">
        <v>11510</v>
      </c>
      <c r="N800" s="27" t="s">
        <v>11511</v>
      </c>
      <c r="O800" s="26" t="s">
        <v>11330</v>
      </c>
      <c r="P800" s="20" t="b">
        <v>1</v>
      </c>
      <c r="Q800" s="20" t="s">
        <v>6282</v>
      </c>
      <c r="R800" s="28" t="s">
        <v>6283</v>
      </c>
      <c r="S800" s="25"/>
      <c r="T800" s="20" t="b">
        <v>1</v>
      </c>
      <c r="U800" s="25"/>
      <c r="V800" s="25">
        <v>40.377000000000002</v>
      </c>
      <c r="W800" s="28" t="s">
        <v>11512</v>
      </c>
      <c r="X800" s="28" t="s">
        <v>6285</v>
      </c>
      <c r="Y800" s="28" t="s">
        <v>6286</v>
      </c>
      <c r="Z800" s="28" t="s">
        <v>6287</v>
      </c>
      <c r="AA800" s="28" t="s">
        <v>6288</v>
      </c>
      <c r="AB800" s="28" t="s">
        <v>6297</v>
      </c>
    </row>
    <row r="801" spans="1:28" ht="185.4" x14ac:dyDescent="0.3">
      <c r="A801" s="25">
        <v>8936</v>
      </c>
      <c r="B801" s="25" t="s">
        <v>11513</v>
      </c>
      <c r="C801" s="25" t="s">
        <v>11514</v>
      </c>
      <c r="D801" s="25" t="s">
        <v>6291</v>
      </c>
      <c r="E801" s="16" t="s">
        <v>6292</v>
      </c>
      <c r="F801" s="16" t="s">
        <v>6292</v>
      </c>
      <c r="G801" s="16" t="s">
        <v>6292</v>
      </c>
      <c r="H801" s="16" t="s">
        <v>6292</v>
      </c>
      <c r="I801" s="25" t="s">
        <v>11515</v>
      </c>
      <c r="J801" s="25"/>
      <c r="K801" s="25" t="s">
        <v>6281</v>
      </c>
      <c r="L801" s="26" t="s">
        <v>11509</v>
      </c>
      <c r="M801" s="26" t="s">
        <v>11510</v>
      </c>
      <c r="N801" s="27" t="s">
        <v>11511</v>
      </c>
      <c r="O801" s="26" t="s">
        <v>11330</v>
      </c>
      <c r="P801" s="20" t="b">
        <v>1</v>
      </c>
      <c r="Q801" s="20" t="s">
        <v>6282</v>
      </c>
      <c r="R801" s="28" t="s">
        <v>6283</v>
      </c>
      <c r="S801" s="25"/>
      <c r="T801" s="20" t="b">
        <v>1</v>
      </c>
      <c r="U801" s="25"/>
      <c r="V801" s="25">
        <v>40.377000000000002</v>
      </c>
      <c r="W801" s="28" t="s">
        <v>11516</v>
      </c>
      <c r="X801" s="28" t="s">
        <v>6285</v>
      </c>
      <c r="Y801" s="28" t="s">
        <v>6286</v>
      </c>
      <c r="Z801" s="28" t="s">
        <v>6287</v>
      </c>
      <c r="AA801" s="28" t="s">
        <v>6288</v>
      </c>
      <c r="AB801" s="28" t="s">
        <v>6297</v>
      </c>
    </row>
    <row r="802" spans="1:28" ht="185.4" x14ac:dyDescent="0.3">
      <c r="A802" s="25">
        <v>8937</v>
      </c>
      <c r="B802" s="25" t="s">
        <v>11517</v>
      </c>
      <c r="C802" s="25" t="s">
        <v>11518</v>
      </c>
      <c r="D802" s="25" t="s">
        <v>6291</v>
      </c>
      <c r="E802" s="16" t="s">
        <v>6292</v>
      </c>
      <c r="F802" s="16" t="s">
        <v>6292</v>
      </c>
      <c r="G802" s="16" t="s">
        <v>6292</v>
      </c>
      <c r="H802" s="16" t="s">
        <v>6292</v>
      </c>
      <c r="I802" s="25" t="s">
        <v>11519</v>
      </c>
      <c r="J802" s="25"/>
      <c r="K802" s="25" t="s">
        <v>6281</v>
      </c>
      <c r="L802" s="26" t="s">
        <v>11520</v>
      </c>
      <c r="M802" s="26" t="s">
        <v>11510</v>
      </c>
      <c r="N802" s="27" t="s">
        <v>11511</v>
      </c>
      <c r="O802" s="26" t="s">
        <v>11330</v>
      </c>
      <c r="P802" s="20" t="b">
        <v>1</v>
      </c>
      <c r="Q802" s="20" t="s">
        <v>6282</v>
      </c>
      <c r="R802" s="28" t="s">
        <v>6283</v>
      </c>
      <c r="S802" s="25"/>
      <c r="T802" s="20" t="b">
        <v>1</v>
      </c>
      <c r="U802" s="25"/>
      <c r="V802" s="25">
        <v>40.377000000000002</v>
      </c>
      <c r="W802" s="28" t="s">
        <v>11521</v>
      </c>
      <c r="X802" s="28" t="s">
        <v>6285</v>
      </c>
      <c r="Y802" s="28" t="s">
        <v>6286</v>
      </c>
      <c r="Z802" s="28" t="s">
        <v>6287</v>
      </c>
      <c r="AA802" s="28" t="s">
        <v>6288</v>
      </c>
      <c r="AB802" s="28" t="s">
        <v>6297</v>
      </c>
    </row>
    <row r="803" spans="1:28" ht="211.8" x14ac:dyDescent="0.3">
      <c r="A803" s="25">
        <v>8938</v>
      </c>
      <c r="B803" s="25" t="s">
        <v>11522</v>
      </c>
      <c r="C803" s="25" t="s">
        <v>11523</v>
      </c>
      <c r="D803" s="25" t="s">
        <v>6291</v>
      </c>
      <c r="E803" s="16" t="s">
        <v>6786</v>
      </c>
      <c r="F803" s="16" t="s">
        <v>6786</v>
      </c>
      <c r="G803" s="16" t="s">
        <v>6786</v>
      </c>
      <c r="H803" s="16" t="s">
        <v>6786</v>
      </c>
      <c r="I803" s="25" t="s">
        <v>11524</v>
      </c>
      <c r="J803" s="25"/>
      <c r="K803" s="25" t="s">
        <v>6281</v>
      </c>
      <c r="L803" s="26" t="s">
        <v>11525</v>
      </c>
      <c r="M803" s="26" t="s">
        <v>11526</v>
      </c>
      <c r="N803" s="27" t="s">
        <v>11527</v>
      </c>
      <c r="O803" s="26" t="s">
        <v>11528</v>
      </c>
      <c r="P803" s="20" t="b">
        <v>1</v>
      </c>
      <c r="Q803" s="20" t="s">
        <v>6282</v>
      </c>
      <c r="R803" s="28" t="s">
        <v>6283</v>
      </c>
      <c r="S803" s="25"/>
      <c r="T803" s="20" t="b">
        <v>1</v>
      </c>
      <c r="U803" s="25"/>
      <c r="V803" s="25">
        <v>6.7000000000000004E-2</v>
      </c>
      <c r="W803" s="28" t="s">
        <v>11529</v>
      </c>
      <c r="X803" s="28" t="s">
        <v>6285</v>
      </c>
      <c r="Y803" s="28" t="s">
        <v>6286</v>
      </c>
      <c r="Z803" s="28" t="s">
        <v>6287</v>
      </c>
      <c r="AA803" s="28" t="s">
        <v>6288</v>
      </c>
      <c r="AB803" s="28" t="s">
        <v>6297</v>
      </c>
    </row>
    <row r="804" spans="1:28" ht="185.4" x14ac:dyDescent="0.3">
      <c r="A804" s="25">
        <v>8939</v>
      </c>
      <c r="B804" s="25" t="s">
        <v>11530</v>
      </c>
      <c r="C804" s="25" t="s">
        <v>11531</v>
      </c>
      <c r="D804" s="25" t="s">
        <v>6278</v>
      </c>
      <c r="E804" s="16" t="s">
        <v>6279</v>
      </c>
      <c r="F804" s="16" t="s">
        <v>6279</v>
      </c>
      <c r="G804" s="16" t="s">
        <v>6279</v>
      </c>
      <c r="H804" s="16" t="s">
        <v>6279</v>
      </c>
      <c r="I804" s="25" t="s">
        <v>11532</v>
      </c>
      <c r="J804" s="25"/>
      <c r="K804" s="25" t="s">
        <v>6281</v>
      </c>
      <c r="L804" s="26" t="s">
        <v>11533</v>
      </c>
      <c r="M804" s="26" t="s">
        <v>11534</v>
      </c>
      <c r="N804" s="27" t="s">
        <v>11535</v>
      </c>
      <c r="O804" s="26" t="s">
        <v>6295</v>
      </c>
      <c r="P804" s="20" t="b">
        <v>1</v>
      </c>
      <c r="Q804" s="20" t="s">
        <v>6282</v>
      </c>
      <c r="R804" s="28" t="s">
        <v>6283</v>
      </c>
      <c r="S804" s="25"/>
      <c r="T804" s="20" t="b">
        <v>1</v>
      </c>
      <c r="U804" s="25"/>
      <c r="V804" s="25">
        <v>100.9008</v>
      </c>
      <c r="W804" s="28" t="s">
        <v>11536</v>
      </c>
      <c r="X804" s="28" t="s">
        <v>6285</v>
      </c>
      <c r="Y804" s="28" t="s">
        <v>6286</v>
      </c>
      <c r="Z804" s="28" t="s">
        <v>6287</v>
      </c>
      <c r="AA804" s="28" t="s">
        <v>6288</v>
      </c>
      <c r="AB804" s="28" t="s">
        <v>6297</v>
      </c>
    </row>
    <row r="805" spans="1:28" ht="185.4" x14ac:dyDescent="0.3">
      <c r="A805" s="25">
        <v>8941</v>
      </c>
      <c r="B805" s="25" t="s">
        <v>11537</v>
      </c>
      <c r="C805" s="25" t="s">
        <v>11538</v>
      </c>
      <c r="D805" s="25" t="s">
        <v>6291</v>
      </c>
      <c r="E805" s="16" t="s">
        <v>6292</v>
      </c>
      <c r="F805" s="16" t="s">
        <v>6292</v>
      </c>
      <c r="G805" s="16" t="s">
        <v>6292</v>
      </c>
      <c r="H805" s="16" t="s">
        <v>6292</v>
      </c>
      <c r="I805" s="25" t="s">
        <v>11539</v>
      </c>
      <c r="J805" s="25"/>
      <c r="K805" s="25" t="s">
        <v>6281</v>
      </c>
      <c r="L805" s="26" t="s">
        <v>11540</v>
      </c>
      <c r="M805" s="26" t="s">
        <v>6295</v>
      </c>
      <c r="N805" s="27" t="s">
        <v>11541</v>
      </c>
      <c r="O805" s="26" t="s">
        <v>6295</v>
      </c>
      <c r="P805" s="20" t="b">
        <v>1</v>
      </c>
      <c r="Q805" s="20" t="s">
        <v>6282</v>
      </c>
      <c r="R805" s="28" t="s">
        <v>6283</v>
      </c>
      <c r="S805" s="25"/>
      <c r="T805" s="20" t="b">
        <v>1</v>
      </c>
      <c r="U805" s="25"/>
      <c r="V805" s="25">
        <v>207.01150000000001</v>
      </c>
      <c r="W805" s="28" t="s">
        <v>11542</v>
      </c>
      <c r="X805" s="28" t="s">
        <v>6285</v>
      </c>
      <c r="Y805" s="28" t="s">
        <v>6286</v>
      </c>
      <c r="Z805" s="28" t="s">
        <v>6287</v>
      </c>
      <c r="AA805" s="28" t="s">
        <v>6288</v>
      </c>
      <c r="AB805" s="28" t="s">
        <v>6297</v>
      </c>
    </row>
    <row r="806" spans="1:28" ht="185.4" x14ac:dyDescent="0.3">
      <c r="A806" s="25">
        <v>8942</v>
      </c>
      <c r="B806" s="25" t="s">
        <v>11543</v>
      </c>
      <c r="C806" s="25" t="s">
        <v>11544</v>
      </c>
      <c r="D806" s="25" t="s">
        <v>6278</v>
      </c>
      <c r="E806" s="16" t="s">
        <v>6279</v>
      </c>
      <c r="F806" s="16" t="s">
        <v>6279</v>
      </c>
      <c r="G806" s="16" t="s">
        <v>6279</v>
      </c>
      <c r="H806" s="16" t="s">
        <v>6279</v>
      </c>
      <c r="I806" s="25" t="s">
        <v>11545</v>
      </c>
      <c r="J806" s="25"/>
      <c r="K806" s="25" t="s">
        <v>6281</v>
      </c>
      <c r="L806" s="26" t="s">
        <v>11546</v>
      </c>
      <c r="M806" s="26" t="s">
        <v>10766</v>
      </c>
      <c r="N806" s="27" t="s">
        <v>11547</v>
      </c>
      <c r="O806" s="26" t="s">
        <v>10768</v>
      </c>
      <c r="P806" s="20" t="b">
        <v>1</v>
      </c>
      <c r="Q806" s="20" t="s">
        <v>6282</v>
      </c>
      <c r="R806" s="28" t="s">
        <v>6283</v>
      </c>
      <c r="S806" s="25"/>
      <c r="T806" s="20" t="b">
        <v>1</v>
      </c>
      <c r="U806" s="25"/>
      <c r="V806" s="25">
        <v>2044.1066000000001</v>
      </c>
      <c r="W806" s="28" t="s">
        <v>11548</v>
      </c>
      <c r="X806" s="28" t="s">
        <v>6285</v>
      </c>
      <c r="Y806" s="28" t="s">
        <v>6286</v>
      </c>
      <c r="Z806" s="28" t="s">
        <v>6287</v>
      </c>
      <c r="AA806" s="28" t="s">
        <v>6288</v>
      </c>
      <c r="AB806" s="28" t="s">
        <v>6297</v>
      </c>
    </row>
    <row r="807" spans="1:28" ht="251.4" x14ac:dyDescent="0.3">
      <c r="A807" s="25">
        <v>8944</v>
      </c>
      <c r="B807" s="25" t="s">
        <v>11549</v>
      </c>
      <c r="C807" s="25" t="s">
        <v>11550</v>
      </c>
      <c r="D807" s="25" t="s">
        <v>6278</v>
      </c>
      <c r="E807" s="16" t="s">
        <v>6279</v>
      </c>
      <c r="F807" s="16" t="s">
        <v>6279</v>
      </c>
      <c r="G807" s="16" t="s">
        <v>6279</v>
      </c>
      <c r="H807" s="16" t="s">
        <v>6279</v>
      </c>
      <c r="I807" s="25" t="s">
        <v>11551</v>
      </c>
      <c r="J807" s="25"/>
      <c r="K807" s="25" t="s">
        <v>6281</v>
      </c>
      <c r="L807" s="26" t="s">
        <v>11552</v>
      </c>
      <c r="M807" s="26" t="s">
        <v>11553</v>
      </c>
      <c r="N807" s="27" t="s">
        <v>11554</v>
      </c>
      <c r="O807" s="26" t="s">
        <v>10768</v>
      </c>
      <c r="P807" s="20" t="b">
        <v>1</v>
      </c>
      <c r="Q807" s="20" t="s">
        <v>6282</v>
      </c>
      <c r="R807" s="28" t="s">
        <v>6283</v>
      </c>
      <c r="S807" s="25"/>
      <c r="T807" s="20" t="b">
        <v>1</v>
      </c>
      <c r="U807" s="25"/>
      <c r="V807" s="25">
        <v>18.9175</v>
      </c>
      <c r="W807" s="28" t="s">
        <v>11555</v>
      </c>
      <c r="X807" s="28" t="s">
        <v>6285</v>
      </c>
      <c r="Y807" s="28" t="s">
        <v>6286</v>
      </c>
      <c r="Z807" s="28" t="s">
        <v>6287</v>
      </c>
      <c r="AA807" s="28" t="s">
        <v>6288</v>
      </c>
      <c r="AB807" s="28" t="s">
        <v>6297</v>
      </c>
    </row>
    <row r="808" spans="1:28" ht="185.4" x14ac:dyDescent="0.3">
      <c r="A808" s="25">
        <v>8945</v>
      </c>
      <c r="B808" s="25" t="s">
        <v>11556</v>
      </c>
      <c r="C808" s="25" t="s">
        <v>11557</v>
      </c>
      <c r="D808" s="25" t="s">
        <v>6291</v>
      </c>
      <c r="E808" s="16" t="s">
        <v>6292</v>
      </c>
      <c r="F808" s="16" t="s">
        <v>6292</v>
      </c>
      <c r="G808" s="16" t="s">
        <v>6292</v>
      </c>
      <c r="H808" s="16" t="s">
        <v>6292</v>
      </c>
      <c r="I808" s="25" t="s">
        <v>11558</v>
      </c>
      <c r="J808" s="25"/>
      <c r="K808" s="25" t="s">
        <v>6281</v>
      </c>
      <c r="L808" s="26" t="s">
        <v>11559</v>
      </c>
      <c r="M808" s="26" t="s">
        <v>6295</v>
      </c>
      <c r="N808" s="27" t="s">
        <v>11560</v>
      </c>
      <c r="O808" s="26" t="s">
        <v>6295</v>
      </c>
      <c r="P808" s="20" t="b">
        <v>1</v>
      </c>
      <c r="Q808" s="20" t="s">
        <v>6282</v>
      </c>
      <c r="R808" s="28" t="s">
        <v>6283</v>
      </c>
      <c r="S808" s="25"/>
      <c r="T808" s="20" t="b">
        <v>1</v>
      </c>
      <c r="U808" s="25"/>
      <c r="V808" s="25">
        <v>5.359</v>
      </c>
      <c r="W808" s="28" t="s">
        <v>11561</v>
      </c>
      <c r="X808" s="28" t="s">
        <v>6285</v>
      </c>
      <c r="Y808" s="28" t="s">
        <v>6286</v>
      </c>
      <c r="Z808" s="28" t="s">
        <v>6287</v>
      </c>
      <c r="AA808" s="28" t="s">
        <v>6288</v>
      </c>
      <c r="AB808" s="28" t="s">
        <v>6297</v>
      </c>
    </row>
    <row r="809" spans="1:28" ht="185.4" x14ac:dyDescent="0.3">
      <c r="A809" s="25">
        <v>8946</v>
      </c>
      <c r="B809" s="25" t="s">
        <v>11562</v>
      </c>
      <c r="C809" s="25" t="s">
        <v>11563</v>
      </c>
      <c r="D809" s="25" t="s">
        <v>6278</v>
      </c>
      <c r="E809" s="16" t="s">
        <v>6279</v>
      </c>
      <c r="F809" s="16" t="s">
        <v>6279</v>
      </c>
      <c r="G809" s="16" t="s">
        <v>6279</v>
      </c>
      <c r="H809" s="16" t="s">
        <v>6279</v>
      </c>
      <c r="I809" s="25" t="s">
        <v>11564</v>
      </c>
      <c r="J809" s="25"/>
      <c r="K809" s="25" t="s">
        <v>6281</v>
      </c>
      <c r="L809" s="26" t="s">
        <v>11565</v>
      </c>
      <c r="M809" s="26" t="s">
        <v>10782</v>
      </c>
      <c r="N809" s="27" t="s">
        <v>11566</v>
      </c>
      <c r="O809" s="26" t="s">
        <v>6295</v>
      </c>
      <c r="P809" s="20" t="b">
        <v>1</v>
      </c>
      <c r="Q809" s="20" t="s">
        <v>6282</v>
      </c>
      <c r="R809" s="28" t="s">
        <v>6283</v>
      </c>
      <c r="S809" s="25"/>
      <c r="T809" s="20" t="b">
        <v>1</v>
      </c>
      <c r="U809" s="25"/>
      <c r="V809" s="25">
        <v>174.845</v>
      </c>
      <c r="W809" s="28" t="s">
        <v>11567</v>
      </c>
      <c r="X809" s="28" t="s">
        <v>6285</v>
      </c>
      <c r="Y809" s="28" t="s">
        <v>6286</v>
      </c>
      <c r="Z809" s="28" t="s">
        <v>6287</v>
      </c>
      <c r="AA809" s="28" t="s">
        <v>6288</v>
      </c>
      <c r="AB809" s="28" t="s">
        <v>6297</v>
      </c>
    </row>
    <row r="810" spans="1:28" ht="185.4" x14ac:dyDescent="0.3">
      <c r="A810" s="25">
        <v>8947</v>
      </c>
      <c r="B810" s="25" t="s">
        <v>11568</v>
      </c>
      <c r="C810" s="25" t="s">
        <v>11569</v>
      </c>
      <c r="D810" s="25" t="s">
        <v>6278</v>
      </c>
      <c r="E810" s="16" t="s">
        <v>6279</v>
      </c>
      <c r="F810" s="16" t="s">
        <v>6279</v>
      </c>
      <c r="G810" s="16" t="s">
        <v>6279</v>
      </c>
      <c r="H810" s="16" t="s">
        <v>6279</v>
      </c>
      <c r="I810" s="25" t="s">
        <v>11570</v>
      </c>
      <c r="J810" s="25"/>
      <c r="K810" s="25" t="s">
        <v>6281</v>
      </c>
      <c r="L810" s="26" t="s">
        <v>11571</v>
      </c>
      <c r="M810" s="26" t="s">
        <v>6295</v>
      </c>
      <c r="N810" s="27" t="s">
        <v>11572</v>
      </c>
      <c r="O810" s="26" t="s">
        <v>6295</v>
      </c>
      <c r="P810" s="20" t="b">
        <v>1</v>
      </c>
      <c r="Q810" s="20" t="s">
        <v>6282</v>
      </c>
      <c r="R810" s="28" t="s">
        <v>6283</v>
      </c>
      <c r="S810" s="25"/>
      <c r="T810" s="20" t="b">
        <v>1</v>
      </c>
      <c r="U810" s="25"/>
      <c r="V810" s="25">
        <v>834.88</v>
      </c>
      <c r="W810" s="28" t="s">
        <v>11573</v>
      </c>
      <c r="X810" s="28" t="s">
        <v>6285</v>
      </c>
      <c r="Y810" s="28" t="s">
        <v>6286</v>
      </c>
      <c r="Z810" s="28" t="s">
        <v>6287</v>
      </c>
      <c r="AA810" s="28" t="s">
        <v>6288</v>
      </c>
      <c r="AB810" s="28" t="s">
        <v>6297</v>
      </c>
    </row>
    <row r="811" spans="1:28" ht="185.4" x14ac:dyDescent="0.3">
      <c r="A811" s="25">
        <v>8950</v>
      </c>
      <c r="B811" s="25" t="s">
        <v>11574</v>
      </c>
      <c r="C811" s="25" t="s">
        <v>11575</v>
      </c>
      <c r="D811" s="25" t="s">
        <v>6291</v>
      </c>
      <c r="E811" s="16" t="s">
        <v>6292</v>
      </c>
      <c r="F811" s="16" t="s">
        <v>6292</v>
      </c>
      <c r="G811" s="16" t="s">
        <v>6292</v>
      </c>
      <c r="H811" s="16" t="s">
        <v>6292</v>
      </c>
      <c r="I811" s="25" t="s">
        <v>11576</v>
      </c>
      <c r="J811" s="25"/>
      <c r="K811" s="25" t="s">
        <v>6281</v>
      </c>
      <c r="L811" s="26" t="s">
        <v>11577</v>
      </c>
      <c r="M811" s="26" t="s">
        <v>6295</v>
      </c>
      <c r="N811" s="27" t="s">
        <v>11578</v>
      </c>
      <c r="O811" s="26" t="s">
        <v>6295</v>
      </c>
      <c r="P811" s="20" t="b">
        <v>1</v>
      </c>
      <c r="Q811" s="20" t="s">
        <v>6282</v>
      </c>
      <c r="R811" s="28" t="s">
        <v>6283</v>
      </c>
      <c r="S811" s="25"/>
      <c r="T811" s="20" t="b">
        <v>1</v>
      </c>
      <c r="U811" s="25"/>
      <c r="V811" s="25">
        <v>3212.86</v>
      </c>
      <c r="W811" s="28" t="s">
        <v>11579</v>
      </c>
      <c r="X811" s="28" t="s">
        <v>6285</v>
      </c>
      <c r="Y811" s="28" t="s">
        <v>6286</v>
      </c>
      <c r="Z811" s="28" t="s">
        <v>6287</v>
      </c>
      <c r="AA811" s="28" t="s">
        <v>6288</v>
      </c>
      <c r="AB811" s="28" t="s">
        <v>6297</v>
      </c>
    </row>
    <row r="812" spans="1:28" ht="185.4" x14ac:dyDescent="0.3">
      <c r="A812" s="25">
        <v>8951</v>
      </c>
      <c r="B812" s="25" t="s">
        <v>11580</v>
      </c>
      <c r="C812" s="25" t="s">
        <v>11581</v>
      </c>
      <c r="D812" s="25" t="s">
        <v>6291</v>
      </c>
      <c r="E812" s="16" t="s">
        <v>6292</v>
      </c>
      <c r="F812" s="16" t="s">
        <v>6292</v>
      </c>
      <c r="G812" s="16" t="s">
        <v>6292</v>
      </c>
      <c r="H812" s="16" t="s">
        <v>6292</v>
      </c>
      <c r="I812" s="25" t="s">
        <v>11582</v>
      </c>
      <c r="J812" s="25"/>
      <c r="K812" s="25" t="s">
        <v>6281</v>
      </c>
      <c r="L812" s="26" t="s">
        <v>11583</v>
      </c>
      <c r="M812" s="26" t="s">
        <v>6295</v>
      </c>
      <c r="N812" s="27" t="s">
        <v>11584</v>
      </c>
      <c r="O812" s="26" t="s">
        <v>6295</v>
      </c>
      <c r="P812" s="20" t="b">
        <v>1</v>
      </c>
      <c r="Q812" s="20" t="s">
        <v>6282</v>
      </c>
      <c r="R812" s="28" t="s">
        <v>6283</v>
      </c>
      <c r="S812" s="25"/>
      <c r="T812" s="20" t="b">
        <v>1</v>
      </c>
      <c r="U812" s="25"/>
      <c r="V812" s="25">
        <v>21.372</v>
      </c>
      <c r="W812" s="28" t="s">
        <v>11585</v>
      </c>
      <c r="X812" s="28" t="s">
        <v>6285</v>
      </c>
      <c r="Y812" s="28" t="s">
        <v>6286</v>
      </c>
      <c r="Z812" s="28" t="s">
        <v>6287</v>
      </c>
      <c r="AA812" s="28" t="s">
        <v>6288</v>
      </c>
      <c r="AB812" s="28" t="s">
        <v>6297</v>
      </c>
    </row>
    <row r="813" spans="1:28" ht="185.4" x14ac:dyDescent="0.3">
      <c r="A813" s="25">
        <v>8952</v>
      </c>
      <c r="B813" s="25" t="s">
        <v>11586</v>
      </c>
      <c r="C813" s="25" t="s">
        <v>11587</v>
      </c>
      <c r="D813" s="25" t="s">
        <v>6278</v>
      </c>
      <c r="E813" s="16" t="s">
        <v>6279</v>
      </c>
      <c r="F813" s="16" t="s">
        <v>6279</v>
      </c>
      <c r="G813" s="16" t="s">
        <v>6279</v>
      </c>
      <c r="H813" s="16" t="s">
        <v>6279</v>
      </c>
      <c r="I813" s="25" t="s">
        <v>11588</v>
      </c>
      <c r="J813" s="25"/>
      <c r="K813" s="25" t="s">
        <v>6281</v>
      </c>
      <c r="L813" s="26" t="s">
        <v>11589</v>
      </c>
      <c r="M813" s="26" t="s">
        <v>11590</v>
      </c>
      <c r="N813" s="27" t="s">
        <v>11591</v>
      </c>
      <c r="O813" s="26" t="s">
        <v>6295</v>
      </c>
      <c r="P813" s="20" t="b">
        <v>1</v>
      </c>
      <c r="Q813" s="20" t="s">
        <v>6282</v>
      </c>
      <c r="R813" s="28" t="s">
        <v>6283</v>
      </c>
      <c r="S813" s="25"/>
      <c r="T813" s="20" t="b">
        <v>1</v>
      </c>
      <c r="U813" s="25"/>
      <c r="V813" s="25">
        <v>3462.0390000000002</v>
      </c>
      <c r="W813" s="28" t="s">
        <v>11592</v>
      </c>
      <c r="X813" s="28" t="s">
        <v>6285</v>
      </c>
      <c r="Y813" s="28" t="s">
        <v>6286</v>
      </c>
      <c r="Z813" s="28" t="s">
        <v>6287</v>
      </c>
      <c r="AA813" s="28" t="s">
        <v>6288</v>
      </c>
      <c r="AB813" s="28" t="s">
        <v>6297</v>
      </c>
    </row>
    <row r="814" spans="1:28" ht="185.4" x14ac:dyDescent="0.3">
      <c r="A814" s="25">
        <v>8953</v>
      </c>
      <c r="B814" s="25" t="s">
        <v>11593</v>
      </c>
      <c r="C814" s="25" t="s">
        <v>11594</v>
      </c>
      <c r="D814" s="25" t="s">
        <v>6291</v>
      </c>
      <c r="E814" s="16" t="s">
        <v>6786</v>
      </c>
      <c r="F814" s="16" t="s">
        <v>6786</v>
      </c>
      <c r="G814" s="16" t="s">
        <v>6786</v>
      </c>
      <c r="H814" s="16" t="s">
        <v>6786</v>
      </c>
      <c r="I814" s="25" t="s">
        <v>11595</v>
      </c>
      <c r="J814" s="25"/>
      <c r="K814" s="25" t="s">
        <v>6281</v>
      </c>
      <c r="L814" s="26" t="s">
        <v>11596</v>
      </c>
      <c r="M814" s="26" t="s">
        <v>6295</v>
      </c>
      <c r="N814" s="27" t="s">
        <v>11597</v>
      </c>
      <c r="O814" s="26" t="s">
        <v>6295</v>
      </c>
      <c r="P814" s="20" t="b">
        <v>1</v>
      </c>
      <c r="Q814" s="20" t="s">
        <v>6282</v>
      </c>
      <c r="R814" s="28" t="s">
        <v>6283</v>
      </c>
      <c r="S814" s="25"/>
      <c r="T814" s="20" t="b">
        <v>1</v>
      </c>
      <c r="U814" s="25"/>
      <c r="V814" s="25">
        <v>1.2350000000000001</v>
      </c>
      <c r="W814" s="28" t="s">
        <v>11598</v>
      </c>
      <c r="X814" s="28" t="s">
        <v>6285</v>
      </c>
      <c r="Y814" s="28" t="s">
        <v>6286</v>
      </c>
      <c r="Z814" s="28" t="s">
        <v>6287</v>
      </c>
      <c r="AA814" s="28" t="s">
        <v>6288</v>
      </c>
      <c r="AB814" s="28" t="s">
        <v>6297</v>
      </c>
    </row>
    <row r="815" spans="1:28" ht="185.4" x14ac:dyDescent="0.3">
      <c r="A815" s="25">
        <v>8954</v>
      </c>
      <c r="B815" s="25" t="s">
        <v>11599</v>
      </c>
      <c r="C815" s="25" t="s">
        <v>11600</v>
      </c>
      <c r="D815" s="25" t="s">
        <v>6278</v>
      </c>
      <c r="E815" s="16" t="s">
        <v>6279</v>
      </c>
      <c r="F815" s="16" t="s">
        <v>6279</v>
      </c>
      <c r="G815" s="16" t="s">
        <v>6279</v>
      </c>
      <c r="H815" s="16" t="s">
        <v>6279</v>
      </c>
      <c r="I815" s="25" t="s">
        <v>11601</v>
      </c>
      <c r="J815" s="25"/>
      <c r="K815" s="25" t="s">
        <v>6281</v>
      </c>
      <c r="L815" s="26" t="s">
        <v>11602</v>
      </c>
      <c r="M815" s="26" t="s">
        <v>11603</v>
      </c>
      <c r="N815" s="27" t="s">
        <v>11604</v>
      </c>
      <c r="O815" s="26" t="s">
        <v>11605</v>
      </c>
      <c r="P815" s="20" t="b">
        <v>1</v>
      </c>
      <c r="Q815" s="20" t="s">
        <v>6282</v>
      </c>
      <c r="R815" s="28" t="s">
        <v>6283</v>
      </c>
      <c r="S815" s="25"/>
      <c r="T815" s="20" t="b">
        <v>1</v>
      </c>
      <c r="U815" s="25"/>
      <c r="V815" s="25">
        <v>197.2</v>
      </c>
      <c r="W815" s="28" t="s">
        <v>11606</v>
      </c>
      <c r="X815" s="28" t="s">
        <v>6285</v>
      </c>
      <c r="Y815" s="28" t="s">
        <v>6286</v>
      </c>
      <c r="Z815" s="28" t="s">
        <v>6287</v>
      </c>
      <c r="AA815" s="28" t="s">
        <v>6288</v>
      </c>
      <c r="AB815" s="28" t="s">
        <v>6297</v>
      </c>
    </row>
    <row r="816" spans="1:28" ht="185.4" x14ac:dyDescent="0.3">
      <c r="A816" s="25">
        <v>8955</v>
      </c>
      <c r="B816" s="25" t="s">
        <v>11607</v>
      </c>
      <c r="C816" s="25" t="s">
        <v>11608</v>
      </c>
      <c r="D816" s="25" t="s">
        <v>6278</v>
      </c>
      <c r="E816" s="16" t="s">
        <v>6279</v>
      </c>
      <c r="F816" s="16" t="s">
        <v>6279</v>
      </c>
      <c r="G816" s="16" t="s">
        <v>6279</v>
      </c>
      <c r="H816" s="16" t="s">
        <v>6279</v>
      </c>
      <c r="I816" s="25" t="s">
        <v>11609</v>
      </c>
      <c r="J816" s="25"/>
      <c r="K816" s="25" t="s">
        <v>6281</v>
      </c>
      <c r="L816" s="26" t="s">
        <v>11610</v>
      </c>
      <c r="M816" s="26" t="s">
        <v>11603</v>
      </c>
      <c r="N816" s="27" t="s">
        <v>11611</v>
      </c>
      <c r="O816" s="26" t="s">
        <v>11605</v>
      </c>
      <c r="P816" s="20" t="b">
        <v>1</v>
      </c>
      <c r="Q816" s="20" t="s">
        <v>6282</v>
      </c>
      <c r="R816" s="28" t="s">
        <v>6283</v>
      </c>
      <c r="S816" s="25"/>
      <c r="T816" s="20" t="b">
        <v>1</v>
      </c>
      <c r="U816" s="25"/>
      <c r="V816" s="25">
        <v>335.25</v>
      </c>
      <c r="W816" s="28" t="s">
        <v>11612</v>
      </c>
      <c r="X816" s="28" t="s">
        <v>6285</v>
      </c>
      <c r="Y816" s="28" t="s">
        <v>6286</v>
      </c>
      <c r="Z816" s="28" t="s">
        <v>6287</v>
      </c>
      <c r="AA816" s="28" t="s">
        <v>6288</v>
      </c>
      <c r="AB816" s="28" t="s">
        <v>6297</v>
      </c>
    </row>
    <row r="817" spans="1:28" ht="185.4" x14ac:dyDescent="0.3">
      <c r="A817" s="25">
        <v>8956</v>
      </c>
      <c r="B817" s="25" t="s">
        <v>11613</v>
      </c>
      <c r="C817" s="25" t="s">
        <v>11614</v>
      </c>
      <c r="D817" s="25" t="s">
        <v>6291</v>
      </c>
      <c r="E817" s="16" t="s">
        <v>6786</v>
      </c>
      <c r="F817" s="16" t="s">
        <v>6786</v>
      </c>
      <c r="G817" s="16" t="s">
        <v>6786</v>
      </c>
      <c r="H817" s="16" t="s">
        <v>6786</v>
      </c>
      <c r="I817" s="25" t="s">
        <v>11615</v>
      </c>
      <c r="J817" s="25"/>
      <c r="K817" s="25" t="s">
        <v>6281</v>
      </c>
      <c r="L817" s="26" t="s">
        <v>11616</v>
      </c>
      <c r="M817" s="26" t="s">
        <v>6295</v>
      </c>
      <c r="N817" s="27" t="s">
        <v>11617</v>
      </c>
      <c r="O817" s="26" t="s">
        <v>6295</v>
      </c>
      <c r="P817" s="20" t="b">
        <v>1</v>
      </c>
      <c r="Q817" s="20" t="s">
        <v>6282</v>
      </c>
      <c r="R817" s="28" t="s">
        <v>6283</v>
      </c>
      <c r="S817" s="25"/>
      <c r="T817" s="20" t="b">
        <v>1</v>
      </c>
      <c r="U817" s="25"/>
      <c r="V817" s="25">
        <v>0.75819499999999995</v>
      </c>
      <c r="W817" s="28" t="s">
        <v>11618</v>
      </c>
      <c r="X817" s="28" t="s">
        <v>6285</v>
      </c>
      <c r="Y817" s="28" t="s">
        <v>6286</v>
      </c>
      <c r="Z817" s="28" t="s">
        <v>6287</v>
      </c>
      <c r="AA817" s="28" t="s">
        <v>6288</v>
      </c>
      <c r="AB817" s="28" t="s">
        <v>6297</v>
      </c>
    </row>
    <row r="818" spans="1:28" ht="185.4" x14ac:dyDescent="0.3">
      <c r="A818" s="25">
        <v>8957</v>
      </c>
      <c r="B818" s="25" t="s">
        <v>11619</v>
      </c>
      <c r="C818" s="25" t="s">
        <v>11620</v>
      </c>
      <c r="D818" s="25" t="s">
        <v>6291</v>
      </c>
      <c r="E818" s="16" t="s">
        <v>6292</v>
      </c>
      <c r="F818" s="16" t="s">
        <v>6292</v>
      </c>
      <c r="G818" s="16" t="s">
        <v>6292</v>
      </c>
      <c r="H818" s="16" t="s">
        <v>6292</v>
      </c>
      <c r="I818" s="25" t="s">
        <v>11621</v>
      </c>
      <c r="J818" s="25"/>
      <c r="K818" s="25" t="s">
        <v>6281</v>
      </c>
      <c r="L818" s="26" t="s">
        <v>11622</v>
      </c>
      <c r="M818" s="26" t="s">
        <v>11328</v>
      </c>
      <c r="N818" s="27" t="s">
        <v>11329</v>
      </c>
      <c r="O818" s="26" t="s">
        <v>11419</v>
      </c>
      <c r="P818" s="20" t="b">
        <v>1</v>
      </c>
      <c r="Q818" s="20" t="s">
        <v>6282</v>
      </c>
      <c r="R818" s="28" t="s">
        <v>6283</v>
      </c>
      <c r="S818" s="25"/>
      <c r="T818" s="20" t="b">
        <v>1</v>
      </c>
      <c r="U818" s="25"/>
      <c r="V818" s="25">
        <v>39.767000000000003</v>
      </c>
      <c r="W818" s="28" t="s">
        <v>11623</v>
      </c>
      <c r="X818" s="28" t="s">
        <v>6285</v>
      </c>
      <c r="Y818" s="28" t="s">
        <v>6286</v>
      </c>
      <c r="Z818" s="28" t="s">
        <v>6287</v>
      </c>
      <c r="AA818" s="28" t="s">
        <v>6288</v>
      </c>
      <c r="AB818" s="28" t="s">
        <v>6297</v>
      </c>
    </row>
    <row r="819" spans="1:28" ht="185.4" x14ac:dyDescent="0.3">
      <c r="A819" s="25">
        <v>8958</v>
      </c>
      <c r="B819" s="25" t="s">
        <v>11624</v>
      </c>
      <c r="C819" s="25" t="s">
        <v>11625</v>
      </c>
      <c r="D819" s="25" t="s">
        <v>6291</v>
      </c>
      <c r="E819" s="16" t="s">
        <v>6292</v>
      </c>
      <c r="F819" s="16" t="s">
        <v>6292</v>
      </c>
      <c r="G819" s="16" t="s">
        <v>6292</v>
      </c>
      <c r="H819" s="16" t="s">
        <v>6292</v>
      </c>
      <c r="I819" s="25" t="s">
        <v>11626</v>
      </c>
      <c r="J819" s="25"/>
      <c r="K819" s="25" t="s">
        <v>6281</v>
      </c>
      <c r="L819" s="26" t="s">
        <v>11627</v>
      </c>
      <c r="M819" s="26" t="s">
        <v>6295</v>
      </c>
      <c r="N819" s="27" t="s">
        <v>11628</v>
      </c>
      <c r="O819" s="26" t="s">
        <v>6295</v>
      </c>
      <c r="P819" s="20" t="b">
        <v>1</v>
      </c>
      <c r="Q819" s="20" t="s">
        <v>6282</v>
      </c>
      <c r="R819" s="28" t="s">
        <v>6283</v>
      </c>
      <c r="S819" s="25"/>
      <c r="T819" s="20" t="b">
        <v>1</v>
      </c>
      <c r="U819" s="25"/>
      <c r="V819" s="25">
        <v>273.41250000000002</v>
      </c>
      <c r="W819" s="28" t="s">
        <v>11629</v>
      </c>
      <c r="X819" s="28" t="s">
        <v>6285</v>
      </c>
      <c r="Y819" s="28" t="s">
        <v>6286</v>
      </c>
      <c r="Z819" s="28" t="s">
        <v>6287</v>
      </c>
      <c r="AA819" s="28" t="s">
        <v>6288</v>
      </c>
      <c r="AB819" s="28" t="s">
        <v>6297</v>
      </c>
    </row>
    <row r="820" spans="1:28" ht="185.4" x14ac:dyDescent="0.3">
      <c r="A820" s="25">
        <v>8959</v>
      </c>
      <c r="B820" s="25" t="s">
        <v>11630</v>
      </c>
      <c r="C820" s="25" t="s">
        <v>11631</v>
      </c>
      <c r="D820" s="25" t="s">
        <v>6278</v>
      </c>
      <c r="E820" s="16" t="s">
        <v>6279</v>
      </c>
      <c r="F820" s="16" t="s">
        <v>6279</v>
      </c>
      <c r="G820" s="16" t="s">
        <v>6279</v>
      </c>
      <c r="H820" s="16" t="s">
        <v>6279</v>
      </c>
      <c r="I820" s="25" t="s">
        <v>11632</v>
      </c>
      <c r="J820" s="25"/>
      <c r="K820" s="25" t="s">
        <v>6281</v>
      </c>
      <c r="L820" s="26" t="s">
        <v>11633</v>
      </c>
      <c r="M820" s="26" t="s">
        <v>6295</v>
      </c>
      <c r="N820" s="27" t="s">
        <v>11634</v>
      </c>
      <c r="O820" s="26" t="s">
        <v>6295</v>
      </c>
      <c r="P820" s="20" t="b">
        <v>1</v>
      </c>
      <c r="Q820" s="20" t="s">
        <v>6282</v>
      </c>
      <c r="R820" s="28" t="s">
        <v>6283</v>
      </c>
      <c r="S820" s="25"/>
      <c r="T820" s="20" t="b">
        <v>1</v>
      </c>
      <c r="U820" s="25"/>
      <c r="V820" s="25">
        <v>811.125</v>
      </c>
      <c r="W820" s="28" t="s">
        <v>11635</v>
      </c>
      <c r="X820" s="28" t="s">
        <v>6285</v>
      </c>
      <c r="Y820" s="28" t="s">
        <v>6286</v>
      </c>
      <c r="Z820" s="28" t="s">
        <v>6287</v>
      </c>
      <c r="AA820" s="28" t="s">
        <v>6288</v>
      </c>
      <c r="AB820" s="28" t="s">
        <v>6297</v>
      </c>
    </row>
    <row r="821" spans="1:28" ht="185.4" x14ac:dyDescent="0.3">
      <c r="A821" s="25">
        <v>8960</v>
      </c>
      <c r="B821" s="25" t="s">
        <v>11636</v>
      </c>
      <c r="C821" s="25" t="s">
        <v>11637</v>
      </c>
      <c r="D821" s="25" t="s">
        <v>6278</v>
      </c>
      <c r="E821" s="16" t="s">
        <v>6279</v>
      </c>
      <c r="F821" s="16" t="s">
        <v>6279</v>
      </c>
      <c r="G821" s="16" t="s">
        <v>6279</v>
      </c>
      <c r="H821" s="16" t="s">
        <v>6279</v>
      </c>
      <c r="I821" s="25" t="s">
        <v>11638</v>
      </c>
      <c r="J821" s="25"/>
      <c r="K821" s="25" t="s">
        <v>6281</v>
      </c>
      <c r="L821" s="26" t="s">
        <v>11639</v>
      </c>
      <c r="M821" s="26" t="s">
        <v>6295</v>
      </c>
      <c r="N821" s="27" t="s">
        <v>11640</v>
      </c>
      <c r="O821" s="26" t="s">
        <v>6295</v>
      </c>
      <c r="P821" s="20" t="b">
        <v>1</v>
      </c>
      <c r="Q821" s="20" t="s">
        <v>6282</v>
      </c>
      <c r="R821" s="28" t="s">
        <v>6283</v>
      </c>
      <c r="S821" s="25"/>
      <c r="T821" s="20" t="b">
        <v>1</v>
      </c>
      <c r="U821" s="25"/>
      <c r="V821" s="25">
        <v>1120.4124999999999</v>
      </c>
      <c r="W821" s="28" t="s">
        <v>11641</v>
      </c>
      <c r="X821" s="28" t="s">
        <v>6285</v>
      </c>
      <c r="Y821" s="28" t="s">
        <v>6286</v>
      </c>
      <c r="Z821" s="28" t="s">
        <v>6287</v>
      </c>
      <c r="AA821" s="28" t="s">
        <v>6288</v>
      </c>
      <c r="AB821" s="28" t="s">
        <v>6297</v>
      </c>
    </row>
    <row r="822" spans="1:28" ht="185.4" x14ac:dyDescent="0.3">
      <c r="A822" s="25">
        <v>8961</v>
      </c>
      <c r="B822" s="25" t="s">
        <v>11642</v>
      </c>
      <c r="C822" s="25" t="s">
        <v>11643</v>
      </c>
      <c r="D822" s="25" t="s">
        <v>6278</v>
      </c>
      <c r="E822" s="16" t="s">
        <v>6279</v>
      </c>
      <c r="F822" s="16" t="s">
        <v>6279</v>
      </c>
      <c r="G822" s="16" t="s">
        <v>6279</v>
      </c>
      <c r="H822" s="16" t="s">
        <v>6279</v>
      </c>
      <c r="I822" s="25" t="s">
        <v>11644</v>
      </c>
      <c r="J822" s="25"/>
      <c r="K822" s="25" t="s">
        <v>6281</v>
      </c>
      <c r="L822" s="26" t="s">
        <v>11645</v>
      </c>
      <c r="M822" s="26" t="s">
        <v>11646</v>
      </c>
      <c r="N822" s="27" t="s">
        <v>11647</v>
      </c>
      <c r="O822" s="26" t="s">
        <v>6295</v>
      </c>
      <c r="P822" s="20" t="b">
        <v>1</v>
      </c>
      <c r="Q822" s="20" t="s">
        <v>6282</v>
      </c>
      <c r="R822" s="28" t="s">
        <v>6283</v>
      </c>
      <c r="S822" s="25"/>
      <c r="T822" s="20" t="b">
        <v>1</v>
      </c>
      <c r="U822" s="25"/>
      <c r="V822" s="25">
        <v>636.23299999999995</v>
      </c>
      <c r="W822" s="28" t="s">
        <v>11648</v>
      </c>
      <c r="X822" s="28" t="s">
        <v>6285</v>
      </c>
      <c r="Y822" s="28" t="s">
        <v>6286</v>
      </c>
      <c r="Z822" s="28" t="s">
        <v>6287</v>
      </c>
      <c r="AA822" s="28" t="s">
        <v>6288</v>
      </c>
      <c r="AB822" s="28" t="s">
        <v>6297</v>
      </c>
    </row>
    <row r="823" spans="1:28" ht="185.4" x14ac:dyDescent="0.3">
      <c r="A823" s="25">
        <v>8962</v>
      </c>
      <c r="B823" s="25" t="s">
        <v>11649</v>
      </c>
      <c r="C823" s="25" t="s">
        <v>11650</v>
      </c>
      <c r="D823" s="25" t="s">
        <v>6291</v>
      </c>
      <c r="E823" s="16" t="s">
        <v>6786</v>
      </c>
      <c r="F823" s="16" t="s">
        <v>6786</v>
      </c>
      <c r="G823" s="16" t="s">
        <v>6786</v>
      </c>
      <c r="H823" s="16" t="s">
        <v>6786</v>
      </c>
      <c r="I823" s="25" t="s">
        <v>11651</v>
      </c>
      <c r="J823" s="25"/>
      <c r="K823" s="25" t="s">
        <v>6281</v>
      </c>
      <c r="L823" s="26" t="s">
        <v>11652</v>
      </c>
      <c r="M823" s="26" t="s">
        <v>11653</v>
      </c>
      <c r="N823" s="27" t="s">
        <v>11654</v>
      </c>
      <c r="O823" s="26" t="s">
        <v>11655</v>
      </c>
      <c r="P823" s="20" t="b">
        <v>1</v>
      </c>
      <c r="Q823" s="20" t="s">
        <v>6282</v>
      </c>
      <c r="R823" s="28" t="s">
        <v>6283</v>
      </c>
      <c r="S823" s="25"/>
      <c r="T823" s="20" t="b">
        <v>1</v>
      </c>
      <c r="U823" s="25"/>
      <c r="V823" s="25">
        <v>5.7000000000000002E-2</v>
      </c>
      <c r="W823" s="28" t="s">
        <v>11656</v>
      </c>
      <c r="X823" s="28" t="s">
        <v>6285</v>
      </c>
      <c r="Y823" s="28" t="s">
        <v>6286</v>
      </c>
      <c r="Z823" s="28" t="s">
        <v>6287</v>
      </c>
      <c r="AA823" s="28" t="s">
        <v>6288</v>
      </c>
      <c r="AB823" s="28" t="s">
        <v>6297</v>
      </c>
    </row>
    <row r="824" spans="1:28" ht="198.6" x14ac:dyDescent="0.3">
      <c r="A824" s="25">
        <v>8963</v>
      </c>
      <c r="B824" s="25" t="s">
        <v>11657</v>
      </c>
      <c r="C824" s="25" t="s">
        <v>11658</v>
      </c>
      <c r="D824" s="25" t="s">
        <v>6278</v>
      </c>
      <c r="E824" s="16" t="s">
        <v>6279</v>
      </c>
      <c r="F824" s="16" t="s">
        <v>6279</v>
      </c>
      <c r="G824" s="16" t="s">
        <v>6279</v>
      </c>
      <c r="H824" s="16" t="s">
        <v>6279</v>
      </c>
      <c r="I824" s="25" t="s">
        <v>11659</v>
      </c>
      <c r="J824" s="25"/>
      <c r="K824" s="25" t="s">
        <v>6281</v>
      </c>
      <c r="L824" s="26" t="s">
        <v>11660</v>
      </c>
      <c r="M824" s="26" t="s">
        <v>11661</v>
      </c>
      <c r="N824" s="27" t="s">
        <v>11662</v>
      </c>
      <c r="O824" s="26" t="s">
        <v>11663</v>
      </c>
      <c r="P824" s="20" t="b">
        <v>1</v>
      </c>
      <c r="Q824" s="20" t="s">
        <v>6282</v>
      </c>
      <c r="R824" s="28" t="s">
        <v>6283</v>
      </c>
      <c r="S824" s="25"/>
      <c r="T824" s="20" t="b">
        <v>1</v>
      </c>
      <c r="U824" s="25"/>
      <c r="V824" s="25">
        <v>64.849999999999994</v>
      </c>
      <c r="W824" s="28" t="s">
        <v>11664</v>
      </c>
      <c r="X824" s="28" t="s">
        <v>6285</v>
      </c>
      <c r="Y824" s="28" t="s">
        <v>6286</v>
      </c>
      <c r="Z824" s="28" t="s">
        <v>6287</v>
      </c>
      <c r="AA824" s="28" t="s">
        <v>6288</v>
      </c>
      <c r="AB824" s="28" t="s">
        <v>6297</v>
      </c>
    </row>
    <row r="825" spans="1:28" ht="198.6" x14ac:dyDescent="0.3">
      <c r="A825" s="25">
        <v>8964</v>
      </c>
      <c r="B825" s="25" t="s">
        <v>11665</v>
      </c>
      <c r="C825" s="25" t="s">
        <v>11666</v>
      </c>
      <c r="D825" s="25" t="s">
        <v>6291</v>
      </c>
      <c r="E825" s="16" t="s">
        <v>6786</v>
      </c>
      <c r="F825" s="16" t="s">
        <v>6786</v>
      </c>
      <c r="G825" s="16" t="s">
        <v>6786</v>
      </c>
      <c r="H825" s="16" t="s">
        <v>6786</v>
      </c>
      <c r="I825" s="25" t="s">
        <v>11667</v>
      </c>
      <c r="J825" s="25"/>
      <c r="K825" s="25" t="s">
        <v>6281</v>
      </c>
      <c r="L825" s="26" t="s">
        <v>11668</v>
      </c>
      <c r="M825" s="26" t="s">
        <v>11669</v>
      </c>
      <c r="N825" s="27" t="s">
        <v>11670</v>
      </c>
      <c r="O825" s="26" t="s">
        <v>11671</v>
      </c>
      <c r="P825" s="20" t="b">
        <v>1</v>
      </c>
      <c r="Q825" s="20" t="s">
        <v>6282</v>
      </c>
      <c r="R825" s="28" t="s">
        <v>6283</v>
      </c>
      <c r="S825" s="25"/>
      <c r="T825" s="20" t="b">
        <v>1</v>
      </c>
      <c r="U825" s="25"/>
      <c r="V825" s="25">
        <v>0.05</v>
      </c>
      <c r="W825" s="28" t="s">
        <v>11672</v>
      </c>
      <c r="X825" s="28" t="s">
        <v>6285</v>
      </c>
      <c r="Y825" s="28" t="s">
        <v>6286</v>
      </c>
      <c r="Z825" s="28" t="s">
        <v>6287</v>
      </c>
      <c r="AA825" s="28" t="s">
        <v>6288</v>
      </c>
      <c r="AB825" s="28" t="s">
        <v>6297</v>
      </c>
    </row>
    <row r="826" spans="1:28" ht="185.4" x14ac:dyDescent="0.3">
      <c r="A826" s="25">
        <v>8965</v>
      </c>
      <c r="B826" s="25" t="s">
        <v>11673</v>
      </c>
      <c r="C826" s="25" t="s">
        <v>11674</v>
      </c>
      <c r="D826" s="25" t="s">
        <v>6291</v>
      </c>
      <c r="E826" s="16" t="s">
        <v>6292</v>
      </c>
      <c r="F826" s="16" t="s">
        <v>6292</v>
      </c>
      <c r="G826" s="16" t="s">
        <v>6292</v>
      </c>
      <c r="H826" s="16" t="s">
        <v>6292</v>
      </c>
      <c r="I826" s="25" t="s">
        <v>11675</v>
      </c>
      <c r="J826" s="25"/>
      <c r="K826" s="25" t="s">
        <v>6281</v>
      </c>
      <c r="L826" s="26" t="s">
        <v>11676</v>
      </c>
      <c r="M826" s="26" t="s">
        <v>11677</v>
      </c>
      <c r="N826" s="27" t="s">
        <v>11678</v>
      </c>
      <c r="O826" s="26" t="s">
        <v>6295</v>
      </c>
      <c r="P826" s="20" t="b">
        <v>1</v>
      </c>
      <c r="Q826" s="20" t="s">
        <v>6282</v>
      </c>
      <c r="R826" s="28" t="s">
        <v>6283</v>
      </c>
      <c r="S826" s="25"/>
      <c r="T826" s="20" t="b">
        <v>1</v>
      </c>
      <c r="U826" s="25"/>
      <c r="V826" s="25">
        <v>2247.491</v>
      </c>
      <c r="W826" s="28" t="s">
        <v>11679</v>
      </c>
      <c r="X826" s="28" t="s">
        <v>6285</v>
      </c>
      <c r="Y826" s="28" t="s">
        <v>6286</v>
      </c>
      <c r="Z826" s="28" t="s">
        <v>6287</v>
      </c>
      <c r="AA826" s="28" t="s">
        <v>6288</v>
      </c>
      <c r="AB826" s="28" t="s">
        <v>6297</v>
      </c>
    </row>
    <row r="827" spans="1:28" ht="185.4" x14ac:dyDescent="0.3">
      <c r="A827" s="25">
        <v>8966</v>
      </c>
      <c r="B827" s="25" t="s">
        <v>11680</v>
      </c>
      <c r="C827" s="25" t="s">
        <v>11681</v>
      </c>
      <c r="D827" s="25" t="s">
        <v>6278</v>
      </c>
      <c r="E827" s="16" t="s">
        <v>6279</v>
      </c>
      <c r="F827" s="16" t="s">
        <v>6279</v>
      </c>
      <c r="G827" s="16" t="s">
        <v>6279</v>
      </c>
      <c r="H827" s="16" t="s">
        <v>6279</v>
      </c>
      <c r="I827" s="25" t="s">
        <v>11682</v>
      </c>
      <c r="J827" s="25"/>
      <c r="K827" s="25" t="s">
        <v>6281</v>
      </c>
      <c r="L827" s="26" t="s">
        <v>11683</v>
      </c>
      <c r="M827" s="26" t="s">
        <v>6295</v>
      </c>
      <c r="N827" s="27" t="s">
        <v>11684</v>
      </c>
      <c r="O827" s="26" t="s">
        <v>6295</v>
      </c>
      <c r="P827" s="20" t="b">
        <v>1</v>
      </c>
      <c r="Q827" s="20" t="s">
        <v>6282</v>
      </c>
      <c r="R827" s="28" t="s">
        <v>6283</v>
      </c>
      <c r="S827" s="25"/>
      <c r="T827" s="20" t="b">
        <v>1</v>
      </c>
      <c r="U827" s="25"/>
      <c r="V827" s="25">
        <v>491.51</v>
      </c>
      <c r="W827" s="28" t="s">
        <v>11685</v>
      </c>
      <c r="X827" s="28" t="s">
        <v>6285</v>
      </c>
      <c r="Y827" s="28" t="s">
        <v>6286</v>
      </c>
      <c r="Z827" s="28" t="s">
        <v>6287</v>
      </c>
      <c r="AA827" s="28" t="s">
        <v>6288</v>
      </c>
      <c r="AB827" s="28" t="s">
        <v>6297</v>
      </c>
    </row>
    <row r="828" spans="1:28" ht="185.4" x14ac:dyDescent="0.3">
      <c r="A828" s="25">
        <v>8967</v>
      </c>
      <c r="B828" s="25" t="s">
        <v>11686</v>
      </c>
      <c r="C828" s="25" t="s">
        <v>11687</v>
      </c>
      <c r="D828" s="25" t="s">
        <v>6278</v>
      </c>
      <c r="E828" s="16" t="s">
        <v>6279</v>
      </c>
      <c r="F828" s="16" t="s">
        <v>6279</v>
      </c>
      <c r="G828" s="16" t="s">
        <v>6279</v>
      </c>
      <c r="H828" s="16" t="s">
        <v>6279</v>
      </c>
      <c r="I828" s="25" t="s">
        <v>11688</v>
      </c>
      <c r="J828" s="25"/>
      <c r="K828" s="25" t="s">
        <v>6281</v>
      </c>
      <c r="L828" s="26" t="s">
        <v>11689</v>
      </c>
      <c r="M828" s="26" t="s">
        <v>6295</v>
      </c>
      <c r="N828" s="27" t="s">
        <v>11690</v>
      </c>
      <c r="O828" s="26" t="s">
        <v>6295</v>
      </c>
      <c r="P828" s="20" t="b">
        <v>1</v>
      </c>
      <c r="Q828" s="20" t="s">
        <v>6282</v>
      </c>
      <c r="R828" s="28" t="s">
        <v>6283</v>
      </c>
      <c r="S828" s="25"/>
      <c r="T828" s="20" t="b">
        <v>1</v>
      </c>
      <c r="U828" s="25"/>
      <c r="V828" s="25">
        <v>2428.5659999999998</v>
      </c>
      <c r="W828" s="28" t="s">
        <v>11691</v>
      </c>
      <c r="X828" s="28" t="s">
        <v>6285</v>
      </c>
      <c r="Y828" s="28" t="s">
        <v>6286</v>
      </c>
      <c r="Z828" s="28" t="s">
        <v>6287</v>
      </c>
      <c r="AA828" s="28" t="s">
        <v>6288</v>
      </c>
      <c r="AB828" s="28" t="s">
        <v>6297</v>
      </c>
    </row>
    <row r="829" spans="1:28" ht="185.4" x14ac:dyDescent="0.3">
      <c r="A829" s="25">
        <v>8968</v>
      </c>
      <c r="B829" s="25" t="s">
        <v>11692</v>
      </c>
      <c r="C829" s="25" t="s">
        <v>11693</v>
      </c>
      <c r="D829" s="25" t="s">
        <v>6278</v>
      </c>
      <c r="E829" s="16" t="s">
        <v>6279</v>
      </c>
      <c r="F829" s="16" t="s">
        <v>6279</v>
      </c>
      <c r="G829" s="16" t="s">
        <v>6279</v>
      </c>
      <c r="H829" s="16" t="s">
        <v>6279</v>
      </c>
      <c r="I829" s="25" t="s">
        <v>11694</v>
      </c>
      <c r="J829" s="25"/>
      <c r="K829" s="25" t="s">
        <v>6281</v>
      </c>
      <c r="L829" s="26" t="s">
        <v>11695</v>
      </c>
      <c r="M829" s="26" t="s">
        <v>6295</v>
      </c>
      <c r="N829" s="27" t="s">
        <v>11696</v>
      </c>
      <c r="O829" s="26" t="s">
        <v>11697</v>
      </c>
      <c r="P829" s="20" t="b">
        <v>1</v>
      </c>
      <c r="Q829" s="20" t="s">
        <v>6282</v>
      </c>
      <c r="R829" s="28" t="s">
        <v>6283</v>
      </c>
      <c r="S829" s="25"/>
      <c r="T829" s="20" t="b">
        <v>1</v>
      </c>
      <c r="U829" s="25"/>
      <c r="V829" s="25">
        <v>1997.46</v>
      </c>
      <c r="W829" s="28" t="s">
        <v>11698</v>
      </c>
      <c r="X829" s="28" t="s">
        <v>6285</v>
      </c>
      <c r="Y829" s="28" t="s">
        <v>6286</v>
      </c>
      <c r="Z829" s="28" t="s">
        <v>6287</v>
      </c>
      <c r="AA829" s="28" t="s">
        <v>6288</v>
      </c>
      <c r="AB829" s="28" t="s">
        <v>6297</v>
      </c>
    </row>
    <row r="830" spans="1:28" ht="185.4" x14ac:dyDescent="0.3">
      <c r="A830" s="25">
        <v>8969</v>
      </c>
      <c r="B830" s="25" t="s">
        <v>11699</v>
      </c>
      <c r="C830" s="25" t="s">
        <v>11700</v>
      </c>
      <c r="D830" s="25" t="s">
        <v>6291</v>
      </c>
      <c r="E830" s="16" t="s">
        <v>6292</v>
      </c>
      <c r="F830" s="16" t="s">
        <v>6292</v>
      </c>
      <c r="G830" s="16" t="s">
        <v>6292</v>
      </c>
      <c r="H830" s="16" t="s">
        <v>6292</v>
      </c>
      <c r="I830" s="25" t="s">
        <v>11701</v>
      </c>
      <c r="J830" s="25"/>
      <c r="K830" s="25" t="s">
        <v>6281</v>
      </c>
      <c r="L830" s="26" t="s">
        <v>11702</v>
      </c>
      <c r="M830" s="26" t="s">
        <v>11703</v>
      </c>
      <c r="N830" s="27" t="s">
        <v>11704</v>
      </c>
      <c r="O830" s="26" t="s">
        <v>6295</v>
      </c>
      <c r="P830" s="20" t="b">
        <v>1</v>
      </c>
      <c r="Q830" s="20" t="s">
        <v>6282</v>
      </c>
      <c r="R830" s="28" t="s">
        <v>6283</v>
      </c>
      <c r="S830" s="25"/>
      <c r="T830" s="20" t="b">
        <v>1</v>
      </c>
      <c r="U830" s="25"/>
      <c r="V830" s="25">
        <v>312.81119999999999</v>
      </c>
      <c r="W830" s="28" t="s">
        <v>11705</v>
      </c>
      <c r="X830" s="28" t="s">
        <v>6285</v>
      </c>
      <c r="Y830" s="28" t="s">
        <v>6286</v>
      </c>
      <c r="Z830" s="28" t="s">
        <v>6287</v>
      </c>
      <c r="AA830" s="28" t="s">
        <v>6288</v>
      </c>
      <c r="AB830" s="28" t="s">
        <v>6297</v>
      </c>
    </row>
    <row r="831" spans="1:28" ht="185.4" x14ac:dyDescent="0.3">
      <c r="A831" s="25">
        <v>8970</v>
      </c>
      <c r="B831" s="25" t="s">
        <v>11706</v>
      </c>
      <c r="C831" s="25" t="s">
        <v>11707</v>
      </c>
      <c r="D831" s="25" t="s">
        <v>6291</v>
      </c>
      <c r="E831" s="16" t="s">
        <v>6292</v>
      </c>
      <c r="F831" s="16" t="s">
        <v>6292</v>
      </c>
      <c r="G831" s="16" t="s">
        <v>6292</v>
      </c>
      <c r="H831" s="16" t="s">
        <v>6292</v>
      </c>
      <c r="I831" s="25" t="s">
        <v>11708</v>
      </c>
      <c r="J831" s="25"/>
      <c r="K831" s="25" t="s">
        <v>6281</v>
      </c>
      <c r="L831" s="26" t="s">
        <v>11709</v>
      </c>
      <c r="M831" s="26" t="s">
        <v>6295</v>
      </c>
      <c r="N831" s="27" t="s">
        <v>11710</v>
      </c>
      <c r="O831" s="26" t="s">
        <v>11711</v>
      </c>
      <c r="P831" s="20" t="b">
        <v>1</v>
      </c>
      <c r="Q831" s="20" t="s">
        <v>6282</v>
      </c>
      <c r="R831" s="28" t="s">
        <v>6283</v>
      </c>
      <c r="S831" s="25"/>
      <c r="T831" s="20" t="b">
        <v>1</v>
      </c>
      <c r="U831" s="25"/>
      <c r="V831" s="25">
        <v>30.68</v>
      </c>
      <c r="W831" s="28" t="s">
        <v>11712</v>
      </c>
      <c r="X831" s="28" t="s">
        <v>6285</v>
      </c>
      <c r="Y831" s="28" t="s">
        <v>6286</v>
      </c>
      <c r="Z831" s="28" t="s">
        <v>6287</v>
      </c>
      <c r="AA831" s="28" t="s">
        <v>6288</v>
      </c>
      <c r="AB831" s="28" t="s">
        <v>6297</v>
      </c>
    </row>
    <row r="832" spans="1:28" ht="193.2" x14ac:dyDescent="0.3">
      <c r="A832" s="25">
        <v>8971</v>
      </c>
      <c r="B832" s="25" t="s">
        <v>11713</v>
      </c>
      <c r="C832" s="25" t="s">
        <v>11714</v>
      </c>
      <c r="D832" s="25" t="s">
        <v>6291</v>
      </c>
      <c r="E832" s="16" t="s">
        <v>6292</v>
      </c>
      <c r="F832" s="16" t="s">
        <v>6292</v>
      </c>
      <c r="G832" s="16" t="s">
        <v>6292</v>
      </c>
      <c r="H832" s="16" t="s">
        <v>6292</v>
      </c>
      <c r="I832" s="25" t="s">
        <v>11715</v>
      </c>
      <c r="J832" s="25"/>
      <c r="K832" s="25" t="s">
        <v>6281</v>
      </c>
      <c r="L832" s="26" t="s">
        <v>11716</v>
      </c>
      <c r="M832" s="26" t="s">
        <v>10903</v>
      </c>
      <c r="N832" s="27" t="s">
        <v>11717</v>
      </c>
      <c r="O832" s="26" t="s">
        <v>6295</v>
      </c>
      <c r="P832" s="20" t="b">
        <v>1</v>
      </c>
      <c r="Q832" s="20" t="s">
        <v>6282</v>
      </c>
      <c r="R832" s="28" t="s">
        <v>6283</v>
      </c>
      <c r="S832" s="25"/>
      <c r="T832" s="20" t="b">
        <v>1</v>
      </c>
      <c r="U832" s="25"/>
      <c r="V832" s="25">
        <v>3912.3</v>
      </c>
      <c r="W832" s="28" t="s">
        <v>11718</v>
      </c>
      <c r="X832" s="28" t="s">
        <v>6285</v>
      </c>
      <c r="Y832" s="28" t="s">
        <v>6286</v>
      </c>
      <c r="Z832" s="28" t="s">
        <v>6287</v>
      </c>
      <c r="AA832" s="28" t="s">
        <v>6288</v>
      </c>
      <c r="AB832" s="28" t="s">
        <v>6297</v>
      </c>
    </row>
    <row r="833" spans="1:28" ht="185.4" x14ac:dyDescent="0.3">
      <c r="A833" s="25">
        <v>8972</v>
      </c>
      <c r="B833" s="25" t="s">
        <v>11719</v>
      </c>
      <c r="C833" s="25" t="s">
        <v>11720</v>
      </c>
      <c r="D833" s="25" t="s">
        <v>6291</v>
      </c>
      <c r="E833" s="16" t="s">
        <v>6786</v>
      </c>
      <c r="F833" s="16" t="s">
        <v>6786</v>
      </c>
      <c r="G833" s="16" t="s">
        <v>6786</v>
      </c>
      <c r="H833" s="16" t="s">
        <v>6786</v>
      </c>
      <c r="I833" s="25" t="s">
        <v>11721</v>
      </c>
      <c r="J833" s="25"/>
      <c r="K833" s="25" t="s">
        <v>6281</v>
      </c>
      <c r="L833" s="26" t="s">
        <v>11722</v>
      </c>
      <c r="M833" s="26" t="s">
        <v>11723</v>
      </c>
      <c r="N833" s="27" t="s">
        <v>11724</v>
      </c>
      <c r="O833" s="26" t="s">
        <v>10768</v>
      </c>
      <c r="P833" s="20" t="b">
        <v>1</v>
      </c>
      <c r="Q833" s="20" t="s">
        <v>6282</v>
      </c>
      <c r="R833" s="28" t="s">
        <v>6283</v>
      </c>
      <c r="S833" s="25"/>
      <c r="T833" s="20" t="b">
        <v>1</v>
      </c>
      <c r="U833" s="25"/>
      <c r="V833" s="25">
        <v>11.588699999999999</v>
      </c>
      <c r="W833" s="28" t="s">
        <v>11725</v>
      </c>
      <c r="X833" s="28" t="s">
        <v>6285</v>
      </c>
      <c r="Y833" s="28" t="s">
        <v>6286</v>
      </c>
      <c r="Z833" s="28" t="s">
        <v>6287</v>
      </c>
      <c r="AA833" s="28" t="s">
        <v>6288</v>
      </c>
      <c r="AB833" s="28" t="s">
        <v>6297</v>
      </c>
    </row>
    <row r="834" spans="1:28" ht="185.4" x14ac:dyDescent="0.3">
      <c r="A834" s="25">
        <v>8974</v>
      </c>
      <c r="B834" s="25" t="s">
        <v>11726</v>
      </c>
      <c r="C834" s="25" t="s">
        <v>11727</v>
      </c>
      <c r="D834" s="25" t="s">
        <v>6291</v>
      </c>
      <c r="E834" s="16" t="s">
        <v>6292</v>
      </c>
      <c r="F834" s="16" t="s">
        <v>6292</v>
      </c>
      <c r="G834" s="16" t="s">
        <v>6292</v>
      </c>
      <c r="H834" s="16" t="s">
        <v>6292</v>
      </c>
      <c r="I834" s="25" t="s">
        <v>11728</v>
      </c>
      <c r="J834" s="25"/>
      <c r="K834" s="25" t="s">
        <v>6281</v>
      </c>
      <c r="L834" s="26" t="s">
        <v>11729</v>
      </c>
      <c r="M834" s="26" t="s">
        <v>6295</v>
      </c>
      <c r="N834" s="27" t="s">
        <v>11730</v>
      </c>
      <c r="O834" s="26" t="s">
        <v>6295</v>
      </c>
      <c r="P834" s="20" t="b">
        <v>1</v>
      </c>
      <c r="Q834" s="20" t="s">
        <v>6282</v>
      </c>
      <c r="R834" s="28" t="s">
        <v>6283</v>
      </c>
      <c r="S834" s="25"/>
      <c r="T834" s="20" t="b">
        <v>1</v>
      </c>
      <c r="U834" s="25"/>
      <c r="V834" s="25">
        <v>7.4770000000000003</v>
      </c>
      <c r="W834" s="28" t="s">
        <v>11731</v>
      </c>
      <c r="X834" s="28" t="s">
        <v>6285</v>
      </c>
      <c r="Y834" s="28" t="s">
        <v>6286</v>
      </c>
      <c r="Z834" s="28" t="s">
        <v>6287</v>
      </c>
      <c r="AA834" s="28" t="s">
        <v>6288</v>
      </c>
      <c r="AB834" s="28" t="s">
        <v>6297</v>
      </c>
    </row>
    <row r="835" spans="1:28" ht="185.4" x14ac:dyDescent="0.3">
      <c r="A835" s="25">
        <v>8976</v>
      </c>
      <c r="B835" s="25" t="s">
        <v>11732</v>
      </c>
      <c r="C835" s="25" t="s">
        <v>11733</v>
      </c>
      <c r="D835" s="25" t="s">
        <v>6291</v>
      </c>
      <c r="E835" s="16" t="s">
        <v>6786</v>
      </c>
      <c r="F835" s="16" t="s">
        <v>6786</v>
      </c>
      <c r="G835" s="16" t="s">
        <v>6786</v>
      </c>
      <c r="H835" s="16" t="s">
        <v>6786</v>
      </c>
      <c r="I835" s="25" t="s">
        <v>11734</v>
      </c>
      <c r="J835" s="25"/>
      <c r="K835" s="25" t="s">
        <v>6281</v>
      </c>
      <c r="L835" s="26" t="s">
        <v>11735</v>
      </c>
      <c r="M835" s="26" t="s">
        <v>6295</v>
      </c>
      <c r="N835" s="27" t="s">
        <v>11736</v>
      </c>
      <c r="O835" s="26" t="s">
        <v>6295</v>
      </c>
      <c r="P835" s="20" t="b">
        <v>1</v>
      </c>
      <c r="Q835" s="20" t="s">
        <v>6282</v>
      </c>
      <c r="R835" s="28" t="s">
        <v>6283</v>
      </c>
      <c r="S835" s="25"/>
      <c r="T835" s="20" t="b">
        <v>1</v>
      </c>
      <c r="U835" s="25"/>
      <c r="V835" s="25">
        <v>9.8114100000000004</v>
      </c>
      <c r="W835" s="28" t="s">
        <v>11737</v>
      </c>
      <c r="X835" s="28" t="s">
        <v>6285</v>
      </c>
      <c r="Y835" s="28" t="s">
        <v>6286</v>
      </c>
      <c r="Z835" s="28" t="s">
        <v>6287</v>
      </c>
      <c r="AA835" s="28" t="s">
        <v>6288</v>
      </c>
      <c r="AB835" s="28" t="s">
        <v>6297</v>
      </c>
    </row>
    <row r="836" spans="1:28" ht="185.4" x14ac:dyDescent="0.3">
      <c r="A836" s="25">
        <v>8977</v>
      </c>
      <c r="B836" s="25" t="s">
        <v>11738</v>
      </c>
      <c r="C836" s="25" t="s">
        <v>11739</v>
      </c>
      <c r="D836" s="25" t="s">
        <v>6291</v>
      </c>
      <c r="E836" s="16" t="s">
        <v>6786</v>
      </c>
      <c r="F836" s="16" t="s">
        <v>6786</v>
      </c>
      <c r="G836" s="16" t="s">
        <v>6786</v>
      </c>
      <c r="H836" s="16" t="s">
        <v>6786</v>
      </c>
      <c r="I836" s="25" t="s">
        <v>11740</v>
      </c>
      <c r="J836" s="25"/>
      <c r="K836" s="25" t="s">
        <v>6281</v>
      </c>
      <c r="L836" s="26" t="s">
        <v>11741</v>
      </c>
      <c r="M836" s="26" t="s">
        <v>6295</v>
      </c>
      <c r="N836" s="27" t="s">
        <v>11742</v>
      </c>
      <c r="O836" s="26" t="s">
        <v>6295</v>
      </c>
      <c r="P836" s="20" t="b">
        <v>1</v>
      </c>
      <c r="Q836" s="20" t="s">
        <v>6282</v>
      </c>
      <c r="R836" s="28" t="s">
        <v>6283</v>
      </c>
      <c r="S836" s="25"/>
      <c r="T836" s="20" t="b">
        <v>1</v>
      </c>
      <c r="U836" s="25"/>
      <c r="V836" s="25">
        <v>5.9533839999999998</v>
      </c>
      <c r="W836" s="28" t="s">
        <v>11743</v>
      </c>
      <c r="X836" s="28" t="s">
        <v>6285</v>
      </c>
      <c r="Y836" s="28" t="s">
        <v>6286</v>
      </c>
      <c r="Z836" s="28" t="s">
        <v>6287</v>
      </c>
      <c r="AA836" s="28" t="s">
        <v>6288</v>
      </c>
      <c r="AB836" s="28" t="s">
        <v>6297</v>
      </c>
    </row>
    <row r="837" spans="1:28" ht="185.4" x14ac:dyDescent="0.3">
      <c r="A837" s="25">
        <v>8978</v>
      </c>
      <c r="B837" s="25" t="s">
        <v>11744</v>
      </c>
      <c r="C837" s="25" t="s">
        <v>11745</v>
      </c>
      <c r="D837" s="25" t="s">
        <v>6278</v>
      </c>
      <c r="E837" s="16" t="s">
        <v>6279</v>
      </c>
      <c r="F837" s="16" t="s">
        <v>6279</v>
      </c>
      <c r="G837" s="16" t="s">
        <v>6279</v>
      </c>
      <c r="H837" s="16" t="s">
        <v>6279</v>
      </c>
      <c r="I837" s="25" t="s">
        <v>6295</v>
      </c>
      <c r="J837" s="25"/>
      <c r="K837" s="25" t="s">
        <v>6281</v>
      </c>
      <c r="L837" s="26" t="s">
        <v>11746</v>
      </c>
      <c r="M837" s="26" t="s">
        <v>6295</v>
      </c>
      <c r="N837" s="27" t="s">
        <v>11747</v>
      </c>
      <c r="O837" s="26" t="s">
        <v>6295</v>
      </c>
      <c r="P837" s="20" t="b">
        <v>1</v>
      </c>
      <c r="Q837" s="20" t="s">
        <v>6282</v>
      </c>
      <c r="R837" s="28" t="s">
        <v>6283</v>
      </c>
      <c r="S837" s="25"/>
      <c r="T837" s="20" t="b">
        <v>1</v>
      </c>
      <c r="U837" s="25"/>
      <c r="V837" s="25">
        <v>67.2</v>
      </c>
      <c r="W837" s="28" t="s">
        <v>11748</v>
      </c>
      <c r="X837" s="28" t="s">
        <v>6285</v>
      </c>
      <c r="Y837" s="28" t="s">
        <v>6286</v>
      </c>
      <c r="Z837" s="28" t="s">
        <v>6287</v>
      </c>
      <c r="AA837" s="28" t="s">
        <v>6288</v>
      </c>
      <c r="AB837" s="28" t="s">
        <v>6297</v>
      </c>
    </row>
    <row r="838" spans="1:28" ht="185.4" x14ac:dyDescent="0.3">
      <c r="A838" s="25">
        <v>8979</v>
      </c>
      <c r="B838" s="25" t="s">
        <v>11744</v>
      </c>
      <c r="C838" s="25" t="s">
        <v>11749</v>
      </c>
      <c r="D838" s="25" t="s">
        <v>6278</v>
      </c>
      <c r="E838" s="16" t="s">
        <v>6279</v>
      </c>
      <c r="F838" s="16" t="s">
        <v>6279</v>
      </c>
      <c r="G838" s="16" t="s">
        <v>6279</v>
      </c>
      <c r="H838" s="16" t="s">
        <v>6279</v>
      </c>
      <c r="I838" s="25" t="s">
        <v>6295</v>
      </c>
      <c r="J838" s="25"/>
      <c r="K838" s="25" t="s">
        <v>6281</v>
      </c>
      <c r="L838" s="26" t="s">
        <v>11746</v>
      </c>
      <c r="M838" s="26" t="s">
        <v>6295</v>
      </c>
      <c r="N838" s="27" t="s">
        <v>11747</v>
      </c>
      <c r="O838" s="26" t="s">
        <v>6295</v>
      </c>
      <c r="P838" s="20" t="b">
        <v>1</v>
      </c>
      <c r="Q838" s="20" t="s">
        <v>6282</v>
      </c>
      <c r="R838" s="28" t="s">
        <v>6283</v>
      </c>
      <c r="S838" s="25"/>
      <c r="T838" s="20" t="b">
        <v>1</v>
      </c>
      <c r="U838" s="25"/>
      <c r="V838" s="25">
        <v>163.97</v>
      </c>
      <c r="W838" s="28" t="s">
        <v>11750</v>
      </c>
      <c r="X838" s="28" t="s">
        <v>6285</v>
      </c>
      <c r="Y838" s="28" t="s">
        <v>6286</v>
      </c>
      <c r="Z838" s="28" t="s">
        <v>6287</v>
      </c>
      <c r="AA838" s="28" t="s">
        <v>6288</v>
      </c>
      <c r="AB838" s="28" t="s">
        <v>6297</v>
      </c>
    </row>
    <row r="839" spans="1:28" ht="185.4" x14ac:dyDescent="0.3">
      <c r="A839" s="25">
        <v>8980</v>
      </c>
      <c r="B839" s="25" t="s">
        <v>11744</v>
      </c>
      <c r="C839" s="25" t="s">
        <v>11751</v>
      </c>
      <c r="D839" s="25" t="s">
        <v>6278</v>
      </c>
      <c r="E839" s="16" t="s">
        <v>6279</v>
      </c>
      <c r="F839" s="16" t="s">
        <v>6279</v>
      </c>
      <c r="G839" s="16" t="s">
        <v>6279</v>
      </c>
      <c r="H839" s="16" t="s">
        <v>6279</v>
      </c>
      <c r="I839" s="25" t="s">
        <v>6295</v>
      </c>
      <c r="J839" s="25"/>
      <c r="K839" s="25" t="s">
        <v>6281</v>
      </c>
      <c r="L839" s="26" t="s">
        <v>11752</v>
      </c>
      <c r="M839" s="26" t="s">
        <v>6295</v>
      </c>
      <c r="N839" s="27" t="s">
        <v>11747</v>
      </c>
      <c r="O839" s="26" t="s">
        <v>6295</v>
      </c>
      <c r="P839" s="20" t="b">
        <v>1</v>
      </c>
      <c r="Q839" s="20" t="s">
        <v>6282</v>
      </c>
      <c r="R839" s="28" t="s">
        <v>6283</v>
      </c>
      <c r="S839" s="25"/>
      <c r="T839" s="20" t="b">
        <v>1</v>
      </c>
      <c r="U839" s="25"/>
      <c r="V839" s="25">
        <v>60.58</v>
      </c>
      <c r="W839" s="28" t="s">
        <v>11753</v>
      </c>
      <c r="X839" s="28" t="s">
        <v>6285</v>
      </c>
      <c r="Y839" s="28" t="s">
        <v>6286</v>
      </c>
      <c r="Z839" s="28" t="s">
        <v>6287</v>
      </c>
      <c r="AA839" s="28" t="s">
        <v>6288</v>
      </c>
      <c r="AB839" s="28" t="s">
        <v>6297</v>
      </c>
    </row>
    <row r="840" spans="1:28" ht="185.4" x14ac:dyDescent="0.3">
      <c r="A840" s="25">
        <v>8981</v>
      </c>
      <c r="B840" s="25" t="s">
        <v>11754</v>
      </c>
      <c r="C840" s="25" t="s">
        <v>11755</v>
      </c>
      <c r="D840" s="25" t="s">
        <v>6291</v>
      </c>
      <c r="E840" s="16" t="s">
        <v>6292</v>
      </c>
      <c r="F840" s="16" t="s">
        <v>6292</v>
      </c>
      <c r="G840" s="16" t="s">
        <v>6292</v>
      </c>
      <c r="H840" s="16" t="s">
        <v>6292</v>
      </c>
      <c r="I840" s="25" t="s">
        <v>11756</v>
      </c>
      <c r="J840" s="25"/>
      <c r="K840" s="25" t="s">
        <v>6281</v>
      </c>
      <c r="L840" s="26" t="s">
        <v>11757</v>
      </c>
      <c r="M840" s="26" t="s">
        <v>7464</v>
      </c>
      <c r="N840" s="27" t="s">
        <v>11758</v>
      </c>
      <c r="O840" s="26" t="s">
        <v>7466</v>
      </c>
      <c r="P840" s="20" t="b">
        <v>1</v>
      </c>
      <c r="Q840" s="20" t="s">
        <v>6282</v>
      </c>
      <c r="R840" s="28" t="s">
        <v>6283</v>
      </c>
      <c r="S840" s="25"/>
      <c r="T840" s="20" t="b">
        <v>1</v>
      </c>
      <c r="U840" s="25"/>
      <c r="V840" s="25">
        <v>19.739999999999998</v>
      </c>
      <c r="W840" s="28" t="s">
        <v>11759</v>
      </c>
      <c r="X840" s="28" t="s">
        <v>6285</v>
      </c>
      <c r="Y840" s="28" t="s">
        <v>6286</v>
      </c>
      <c r="Z840" s="28" t="s">
        <v>6287</v>
      </c>
      <c r="AA840" s="28" t="s">
        <v>6288</v>
      </c>
      <c r="AB840" s="28" t="s">
        <v>6297</v>
      </c>
    </row>
    <row r="841" spans="1:28" ht="193.2" x14ac:dyDescent="0.3">
      <c r="A841" s="25">
        <v>8982</v>
      </c>
      <c r="B841" s="25" t="s">
        <v>11760</v>
      </c>
      <c r="C841" s="25" t="s">
        <v>11761</v>
      </c>
      <c r="D841" s="25" t="s">
        <v>6291</v>
      </c>
      <c r="E841" s="16" t="s">
        <v>6292</v>
      </c>
      <c r="F841" s="16" t="s">
        <v>6292</v>
      </c>
      <c r="G841" s="16" t="s">
        <v>6292</v>
      </c>
      <c r="H841" s="16" t="s">
        <v>6292</v>
      </c>
      <c r="I841" s="25" t="s">
        <v>11762</v>
      </c>
      <c r="J841" s="25"/>
      <c r="K841" s="25" t="s">
        <v>6281</v>
      </c>
      <c r="L841" s="26" t="s">
        <v>11763</v>
      </c>
      <c r="M841" s="26" t="s">
        <v>6295</v>
      </c>
      <c r="N841" s="27" t="s">
        <v>11764</v>
      </c>
      <c r="O841" s="26" t="s">
        <v>6295</v>
      </c>
      <c r="P841" s="20" t="b">
        <v>1</v>
      </c>
      <c r="Q841" s="20" t="s">
        <v>6282</v>
      </c>
      <c r="R841" s="28" t="s">
        <v>6283</v>
      </c>
      <c r="S841" s="25"/>
      <c r="T841" s="20" t="b">
        <v>1</v>
      </c>
      <c r="U841" s="25"/>
      <c r="V841" s="25">
        <v>16.11</v>
      </c>
      <c r="W841" s="28" t="s">
        <v>11765</v>
      </c>
      <c r="X841" s="28" t="s">
        <v>6285</v>
      </c>
      <c r="Y841" s="28" t="s">
        <v>6286</v>
      </c>
      <c r="Z841" s="28" t="s">
        <v>6287</v>
      </c>
      <c r="AA841" s="28" t="s">
        <v>6288</v>
      </c>
      <c r="AB841" s="28" t="s">
        <v>6297</v>
      </c>
    </row>
    <row r="842" spans="1:28" ht="185.4" x14ac:dyDescent="0.3">
      <c r="A842" s="25">
        <v>8983</v>
      </c>
      <c r="B842" s="25" t="s">
        <v>11766</v>
      </c>
      <c r="C842" s="25" t="s">
        <v>11767</v>
      </c>
      <c r="D842" s="25" t="s">
        <v>6291</v>
      </c>
      <c r="E842" s="16" t="s">
        <v>6786</v>
      </c>
      <c r="F842" s="16" t="s">
        <v>6786</v>
      </c>
      <c r="G842" s="16" t="s">
        <v>6786</v>
      </c>
      <c r="H842" s="16" t="s">
        <v>6786</v>
      </c>
      <c r="I842" s="25" t="s">
        <v>11768</v>
      </c>
      <c r="J842" s="25"/>
      <c r="K842" s="25" t="s">
        <v>6281</v>
      </c>
      <c r="L842" s="26" t="s">
        <v>11769</v>
      </c>
      <c r="M842" s="26" t="s">
        <v>9667</v>
      </c>
      <c r="N842" s="27" t="s">
        <v>11770</v>
      </c>
      <c r="O842" s="26" t="s">
        <v>10768</v>
      </c>
      <c r="P842" s="20" t="b">
        <v>1</v>
      </c>
      <c r="Q842" s="20" t="s">
        <v>6282</v>
      </c>
      <c r="R842" s="28" t="s">
        <v>6283</v>
      </c>
      <c r="S842" s="25"/>
      <c r="T842" s="20" t="b">
        <v>1</v>
      </c>
      <c r="U842" s="25"/>
      <c r="V842" s="25">
        <v>10.946999999999999</v>
      </c>
      <c r="W842" s="28" t="s">
        <v>11771</v>
      </c>
      <c r="X842" s="28" t="s">
        <v>6285</v>
      </c>
      <c r="Y842" s="28" t="s">
        <v>6286</v>
      </c>
      <c r="Z842" s="28" t="s">
        <v>6287</v>
      </c>
      <c r="AA842" s="28" t="s">
        <v>6288</v>
      </c>
      <c r="AB842" s="28" t="s">
        <v>6297</v>
      </c>
    </row>
    <row r="843" spans="1:28" ht="185.4" x14ac:dyDescent="0.3">
      <c r="A843" s="25">
        <v>8984</v>
      </c>
      <c r="B843" s="25" t="s">
        <v>11772</v>
      </c>
      <c r="C843" s="25" t="s">
        <v>11773</v>
      </c>
      <c r="D843" s="25" t="s">
        <v>6278</v>
      </c>
      <c r="E843" s="16" t="s">
        <v>6279</v>
      </c>
      <c r="F843" s="16" t="s">
        <v>6279</v>
      </c>
      <c r="G843" s="16" t="s">
        <v>6279</v>
      </c>
      <c r="H843" s="16" t="s">
        <v>6279</v>
      </c>
      <c r="I843" s="25" t="s">
        <v>11774</v>
      </c>
      <c r="J843" s="25"/>
      <c r="K843" s="25" t="s">
        <v>6281</v>
      </c>
      <c r="L843" s="26" t="s">
        <v>11775</v>
      </c>
      <c r="M843" s="26" t="s">
        <v>6295</v>
      </c>
      <c r="N843" s="27" t="s">
        <v>11776</v>
      </c>
      <c r="O843" s="26" t="s">
        <v>6295</v>
      </c>
      <c r="P843" s="20" t="b">
        <v>1</v>
      </c>
      <c r="Q843" s="20" t="s">
        <v>6282</v>
      </c>
      <c r="R843" s="28" t="s">
        <v>6283</v>
      </c>
      <c r="S843" s="25"/>
      <c r="T843" s="20" t="b">
        <v>1</v>
      </c>
      <c r="U843" s="25"/>
      <c r="V843" s="25">
        <v>636.6</v>
      </c>
      <c r="W843" s="28" t="s">
        <v>11777</v>
      </c>
      <c r="X843" s="28" t="s">
        <v>6285</v>
      </c>
      <c r="Y843" s="28" t="s">
        <v>6286</v>
      </c>
      <c r="Z843" s="28" t="s">
        <v>6287</v>
      </c>
      <c r="AA843" s="28" t="s">
        <v>6288</v>
      </c>
      <c r="AB843" s="28" t="s">
        <v>6297</v>
      </c>
    </row>
    <row r="844" spans="1:28" ht="211.8" x14ac:dyDescent="0.3">
      <c r="A844" s="25">
        <v>8985</v>
      </c>
      <c r="B844" s="25" t="s">
        <v>11778</v>
      </c>
      <c r="C844" s="25" t="s">
        <v>11779</v>
      </c>
      <c r="D844" s="25" t="s">
        <v>6278</v>
      </c>
      <c r="E844" s="16" t="s">
        <v>6279</v>
      </c>
      <c r="F844" s="16" t="s">
        <v>6279</v>
      </c>
      <c r="G844" s="16" t="s">
        <v>6279</v>
      </c>
      <c r="H844" s="16" t="s">
        <v>6279</v>
      </c>
      <c r="I844" s="25" t="s">
        <v>11780</v>
      </c>
      <c r="J844" s="25"/>
      <c r="K844" s="25" t="s">
        <v>6281</v>
      </c>
      <c r="L844" s="26" t="s">
        <v>11781</v>
      </c>
      <c r="M844" s="26" t="s">
        <v>11782</v>
      </c>
      <c r="N844" s="27" t="s">
        <v>11783</v>
      </c>
      <c r="O844" s="26" t="s">
        <v>6295</v>
      </c>
      <c r="P844" s="20" t="b">
        <v>1</v>
      </c>
      <c r="Q844" s="20" t="s">
        <v>6282</v>
      </c>
      <c r="R844" s="28" t="s">
        <v>6283</v>
      </c>
      <c r="S844" s="25"/>
      <c r="T844" s="20" t="b">
        <v>1</v>
      </c>
      <c r="U844" s="25"/>
      <c r="V844" s="25">
        <v>130.042</v>
      </c>
      <c r="W844" s="28" t="s">
        <v>11784</v>
      </c>
      <c r="X844" s="28" t="s">
        <v>6285</v>
      </c>
      <c r="Y844" s="28" t="s">
        <v>6286</v>
      </c>
      <c r="Z844" s="28" t="s">
        <v>6287</v>
      </c>
      <c r="AA844" s="28" t="s">
        <v>6288</v>
      </c>
      <c r="AB844" s="28" t="s">
        <v>6297</v>
      </c>
    </row>
    <row r="845" spans="1:28" ht="185.4" x14ac:dyDescent="0.3">
      <c r="A845" s="25">
        <v>8986</v>
      </c>
      <c r="B845" s="25" t="s">
        <v>11785</v>
      </c>
      <c r="C845" s="25" t="s">
        <v>11786</v>
      </c>
      <c r="D845" s="25" t="s">
        <v>6291</v>
      </c>
      <c r="E845" s="16" t="s">
        <v>6292</v>
      </c>
      <c r="F845" s="16" t="s">
        <v>6292</v>
      </c>
      <c r="G845" s="16" t="s">
        <v>6292</v>
      </c>
      <c r="H845" s="16" t="s">
        <v>6292</v>
      </c>
      <c r="I845" s="25" t="s">
        <v>11787</v>
      </c>
      <c r="J845" s="25"/>
      <c r="K845" s="25" t="s">
        <v>6281</v>
      </c>
      <c r="L845" s="26" t="s">
        <v>11788</v>
      </c>
      <c r="M845" s="26" t="s">
        <v>11789</v>
      </c>
      <c r="N845" s="27" t="s">
        <v>11790</v>
      </c>
      <c r="O845" s="26" t="s">
        <v>11791</v>
      </c>
      <c r="P845" s="20" t="b">
        <v>1</v>
      </c>
      <c r="Q845" s="20" t="s">
        <v>6282</v>
      </c>
      <c r="R845" s="28" t="s">
        <v>6283</v>
      </c>
      <c r="S845" s="25"/>
      <c r="T845" s="20" t="b">
        <v>1</v>
      </c>
      <c r="U845" s="25"/>
      <c r="V845" s="25">
        <v>29.27</v>
      </c>
      <c r="W845" s="28" t="s">
        <v>11792</v>
      </c>
      <c r="X845" s="28" t="s">
        <v>6285</v>
      </c>
      <c r="Y845" s="28" t="s">
        <v>6286</v>
      </c>
      <c r="Z845" s="28" t="s">
        <v>6287</v>
      </c>
      <c r="AA845" s="28" t="s">
        <v>6288</v>
      </c>
      <c r="AB845" s="28" t="s">
        <v>6297</v>
      </c>
    </row>
    <row r="846" spans="1:28" ht="291" x14ac:dyDescent="0.3">
      <c r="A846" s="25">
        <v>8987</v>
      </c>
      <c r="B846" s="25" t="s">
        <v>11793</v>
      </c>
      <c r="C846" s="25" t="s">
        <v>11794</v>
      </c>
      <c r="D846" s="25" t="s">
        <v>6291</v>
      </c>
      <c r="E846" s="16" t="s">
        <v>6292</v>
      </c>
      <c r="F846" s="16" t="s">
        <v>6292</v>
      </c>
      <c r="G846" s="16" t="s">
        <v>6292</v>
      </c>
      <c r="H846" s="16" t="s">
        <v>6292</v>
      </c>
      <c r="I846" s="25" t="s">
        <v>11795</v>
      </c>
      <c r="J846" s="25"/>
      <c r="K846" s="25" t="s">
        <v>6281</v>
      </c>
      <c r="L846" s="26" t="s">
        <v>11796</v>
      </c>
      <c r="M846" s="26" t="s">
        <v>11797</v>
      </c>
      <c r="N846" s="27" t="s">
        <v>11798</v>
      </c>
      <c r="O846" s="26" t="s">
        <v>11799</v>
      </c>
      <c r="P846" s="20" t="b">
        <v>1</v>
      </c>
      <c r="Q846" s="20" t="s">
        <v>6282</v>
      </c>
      <c r="R846" s="28" t="s">
        <v>6283</v>
      </c>
      <c r="S846" s="25"/>
      <c r="T846" s="20" t="b">
        <v>1</v>
      </c>
      <c r="U846" s="25"/>
      <c r="V846" s="25">
        <v>161.81</v>
      </c>
      <c r="W846" s="28" t="s">
        <v>11800</v>
      </c>
      <c r="X846" s="28" t="s">
        <v>6285</v>
      </c>
      <c r="Y846" s="28" t="s">
        <v>6286</v>
      </c>
      <c r="Z846" s="28" t="s">
        <v>6287</v>
      </c>
      <c r="AA846" s="28" t="s">
        <v>6288</v>
      </c>
      <c r="AB846" s="28" t="s">
        <v>6297</v>
      </c>
    </row>
    <row r="847" spans="1:28" ht="185.4" x14ac:dyDescent="0.3">
      <c r="A847" s="25">
        <v>8989</v>
      </c>
      <c r="B847" s="25" t="s">
        <v>11801</v>
      </c>
      <c r="C847" s="25" t="s">
        <v>11802</v>
      </c>
      <c r="D847" s="25" t="s">
        <v>6278</v>
      </c>
      <c r="E847" s="16" t="s">
        <v>6279</v>
      </c>
      <c r="F847" s="16" t="s">
        <v>6279</v>
      </c>
      <c r="G847" s="16" t="s">
        <v>6279</v>
      </c>
      <c r="H847" s="16" t="s">
        <v>6279</v>
      </c>
      <c r="I847" s="25" t="s">
        <v>11803</v>
      </c>
      <c r="J847" s="25"/>
      <c r="K847" s="25" t="s">
        <v>6281</v>
      </c>
      <c r="L847" s="26" t="s">
        <v>11804</v>
      </c>
      <c r="M847" s="26" t="s">
        <v>6295</v>
      </c>
      <c r="N847" s="27" t="s">
        <v>11805</v>
      </c>
      <c r="O847" s="26" t="s">
        <v>6295</v>
      </c>
      <c r="P847" s="20" t="b">
        <v>1</v>
      </c>
      <c r="Q847" s="20" t="s">
        <v>6282</v>
      </c>
      <c r="R847" s="28" t="s">
        <v>6283</v>
      </c>
      <c r="S847" s="25"/>
      <c r="T847" s="20" t="b">
        <v>1</v>
      </c>
      <c r="U847" s="25"/>
      <c r="V847" s="25">
        <v>19.34</v>
      </c>
      <c r="W847" s="28" t="s">
        <v>11806</v>
      </c>
      <c r="X847" s="28" t="s">
        <v>6285</v>
      </c>
      <c r="Y847" s="28" t="s">
        <v>6286</v>
      </c>
      <c r="Z847" s="28" t="s">
        <v>6287</v>
      </c>
      <c r="AA847" s="28" t="s">
        <v>6288</v>
      </c>
      <c r="AB847" s="28" t="s">
        <v>6297</v>
      </c>
    </row>
    <row r="848" spans="1:28" ht="251.4" x14ac:dyDescent="0.3">
      <c r="A848" s="25">
        <v>8990</v>
      </c>
      <c r="B848" s="25" t="s">
        <v>11807</v>
      </c>
      <c r="C848" s="25" t="s">
        <v>11808</v>
      </c>
      <c r="D848" s="25" t="s">
        <v>6291</v>
      </c>
      <c r="E848" s="16" t="s">
        <v>6292</v>
      </c>
      <c r="F848" s="16" t="s">
        <v>6292</v>
      </c>
      <c r="G848" s="16" t="s">
        <v>6292</v>
      </c>
      <c r="H848" s="16" t="s">
        <v>6292</v>
      </c>
      <c r="I848" s="25" t="s">
        <v>11809</v>
      </c>
      <c r="J848" s="25"/>
      <c r="K848" s="25" t="s">
        <v>6281</v>
      </c>
      <c r="L848" s="26" t="s">
        <v>11810</v>
      </c>
      <c r="M848" s="26" t="s">
        <v>11811</v>
      </c>
      <c r="N848" s="27" t="s">
        <v>11812</v>
      </c>
      <c r="O848" s="26" t="s">
        <v>11813</v>
      </c>
      <c r="P848" s="20" t="b">
        <v>1</v>
      </c>
      <c r="Q848" s="20" t="s">
        <v>6282</v>
      </c>
      <c r="R848" s="28" t="s">
        <v>6283</v>
      </c>
      <c r="S848" s="25"/>
      <c r="T848" s="20" t="b">
        <v>1</v>
      </c>
      <c r="U848" s="25"/>
      <c r="V848" s="25">
        <v>54.9</v>
      </c>
      <c r="W848" s="28" t="s">
        <v>11814</v>
      </c>
      <c r="X848" s="28" t="s">
        <v>6285</v>
      </c>
      <c r="Y848" s="28" t="s">
        <v>6286</v>
      </c>
      <c r="Z848" s="28" t="s">
        <v>6287</v>
      </c>
      <c r="AA848" s="28" t="s">
        <v>6288</v>
      </c>
      <c r="AB848" s="28" t="s">
        <v>6297</v>
      </c>
    </row>
    <row r="849" spans="1:28" ht="238.2" x14ac:dyDescent="0.3">
      <c r="A849" s="25">
        <v>8991</v>
      </c>
      <c r="B849" s="25" t="s">
        <v>11815</v>
      </c>
      <c r="C849" s="25" t="s">
        <v>11816</v>
      </c>
      <c r="D849" s="25" t="s">
        <v>6291</v>
      </c>
      <c r="E849" s="16" t="s">
        <v>6292</v>
      </c>
      <c r="F849" s="16" t="s">
        <v>6292</v>
      </c>
      <c r="G849" s="16" t="s">
        <v>6292</v>
      </c>
      <c r="H849" s="16" t="s">
        <v>6292</v>
      </c>
      <c r="I849" s="25" t="s">
        <v>11817</v>
      </c>
      <c r="J849" s="25"/>
      <c r="K849" s="25" t="s">
        <v>6281</v>
      </c>
      <c r="L849" s="26" t="s">
        <v>11818</v>
      </c>
      <c r="M849" s="26" t="s">
        <v>11819</v>
      </c>
      <c r="N849" s="27" t="s">
        <v>11820</v>
      </c>
      <c r="O849" s="26" t="s">
        <v>11821</v>
      </c>
      <c r="P849" s="20" t="b">
        <v>1</v>
      </c>
      <c r="Q849" s="20" t="s">
        <v>6282</v>
      </c>
      <c r="R849" s="28" t="s">
        <v>6283</v>
      </c>
      <c r="S849" s="25"/>
      <c r="T849" s="20" t="b">
        <v>1</v>
      </c>
      <c r="U849" s="25"/>
      <c r="V849" s="25">
        <v>66.816000000000003</v>
      </c>
      <c r="W849" s="28" t="s">
        <v>11822</v>
      </c>
      <c r="X849" s="28" t="s">
        <v>6285</v>
      </c>
      <c r="Y849" s="28" t="s">
        <v>6286</v>
      </c>
      <c r="Z849" s="28" t="s">
        <v>6287</v>
      </c>
      <c r="AA849" s="28" t="s">
        <v>6288</v>
      </c>
      <c r="AB849" s="28" t="s">
        <v>6297</v>
      </c>
    </row>
    <row r="850" spans="1:28" ht="238.2" x14ac:dyDescent="0.3">
      <c r="A850" s="25">
        <v>8992</v>
      </c>
      <c r="B850" s="25" t="s">
        <v>11823</v>
      </c>
      <c r="C850" s="25" t="s">
        <v>11824</v>
      </c>
      <c r="D850" s="25" t="s">
        <v>6291</v>
      </c>
      <c r="E850" s="16" t="s">
        <v>6292</v>
      </c>
      <c r="F850" s="16" t="s">
        <v>6292</v>
      </c>
      <c r="G850" s="16" t="s">
        <v>6292</v>
      </c>
      <c r="H850" s="16" t="s">
        <v>6292</v>
      </c>
      <c r="I850" s="25" t="s">
        <v>11825</v>
      </c>
      <c r="J850" s="25"/>
      <c r="K850" s="25" t="s">
        <v>6281</v>
      </c>
      <c r="L850" s="26" t="s">
        <v>11826</v>
      </c>
      <c r="M850" s="26" t="s">
        <v>11827</v>
      </c>
      <c r="N850" s="27" t="s">
        <v>11828</v>
      </c>
      <c r="O850" s="26" t="s">
        <v>11829</v>
      </c>
      <c r="P850" s="20" t="b">
        <v>1</v>
      </c>
      <c r="Q850" s="20" t="s">
        <v>6282</v>
      </c>
      <c r="R850" s="28" t="s">
        <v>6283</v>
      </c>
      <c r="S850" s="25"/>
      <c r="T850" s="20" t="b">
        <v>1</v>
      </c>
      <c r="U850" s="25"/>
      <c r="V850" s="25">
        <v>160.84800000000001</v>
      </c>
      <c r="W850" s="28" t="s">
        <v>11830</v>
      </c>
      <c r="X850" s="28" t="s">
        <v>6285</v>
      </c>
      <c r="Y850" s="28" t="s">
        <v>6286</v>
      </c>
      <c r="Z850" s="28" t="s">
        <v>6287</v>
      </c>
      <c r="AA850" s="28" t="s">
        <v>6288</v>
      </c>
      <c r="AB850" s="28" t="s">
        <v>6297</v>
      </c>
    </row>
    <row r="851" spans="1:28" ht="238.2" x14ac:dyDescent="0.3">
      <c r="A851" s="25">
        <v>8993</v>
      </c>
      <c r="B851" s="25" t="s">
        <v>11831</v>
      </c>
      <c r="C851" s="25" t="s">
        <v>11832</v>
      </c>
      <c r="D851" s="25" t="s">
        <v>6291</v>
      </c>
      <c r="E851" s="16" t="s">
        <v>6292</v>
      </c>
      <c r="F851" s="16" t="s">
        <v>6292</v>
      </c>
      <c r="G851" s="16" t="s">
        <v>6292</v>
      </c>
      <c r="H851" s="16" t="s">
        <v>6292</v>
      </c>
      <c r="I851" s="25" t="s">
        <v>11833</v>
      </c>
      <c r="J851" s="25"/>
      <c r="K851" s="25" t="s">
        <v>6281</v>
      </c>
      <c r="L851" s="26" t="s">
        <v>11834</v>
      </c>
      <c r="M851" s="26" t="s">
        <v>11827</v>
      </c>
      <c r="N851" s="27" t="s">
        <v>11835</v>
      </c>
      <c r="O851" s="26" t="s">
        <v>11829</v>
      </c>
      <c r="P851" s="20" t="b">
        <v>1</v>
      </c>
      <c r="Q851" s="20" t="s">
        <v>6282</v>
      </c>
      <c r="R851" s="28" t="s">
        <v>6283</v>
      </c>
      <c r="S851" s="25"/>
      <c r="T851" s="20" t="b">
        <v>1</v>
      </c>
      <c r="U851" s="25"/>
      <c r="V851" s="25">
        <v>230.65199999999999</v>
      </c>
      <c r="W851" s="28" t="s">
        <v>11836</v>
      </c>
      <c r="X851" s="28" t="s">
        <v>6285</v>
      </c>
      <c r="Y851" s="28" t="s">
        <v>6286</v>
      </c>
      <c r="Z851" s="28" t="s">
        <v>6287</v>
      </c>
      <c r="AA851" s="28" t="s">
        <v>6288</v>
      </c>
      <c r="AB851" s="28" t="s">
        <v>6297</v>
      </c>
    </row>
    <row r="852" spans="1:28" ht="238.2" x14ac:dyDescent="0.3">
      <c r="A852" s="25">
        <v>8994</v>
      </c>
      <c r="B852" s="25" t="s">
        <v>11837</v>
      </c>
      <c r="C852" s="25" t="s">
        <v>11838</v>
      </c>
      <c r="D852" s="25" t="s">
        <v>6291</v>
      </c>
      <c r="E852" s="16" t="s">
        <v>6292</v>
      </c>
      <c r="F852" s="16" t="s">
        <v>6292</v>
      </c>
      <c r="G852" s="16" t="s">
        <v>6292</v>
      </c>
      <c r="H852" s="16" t="s">
        <v>6292</v>
      </c>
      <c r="I852" s="25" t="s">
        <v>11839</v>
      </c>
      <c r="J852" s="25"/>
      <c r="K852" s="25" t="s">
        <v>6281</v>
      </c>
      <c r="L852" s="26" t="s">
        <v>11840</v>
      </c>
      <c r="M852" s="26" t="s">
        <v>11819</v>
      </c>
      <c r="N852" s="27" t="s">
        <v>11841</v>
      </c>
      <c r="O852" s="26" t="s">
        <v>11829</v>
      </c>
      <c r="P852" s="20" t="b">
        <v>1</v>
      </c>
      <c r="Q852" s="20" t="s">
        <v>6282</v>
      </c>
      <c r="R852" s="28" t="s">
        <v>6283</v>
      </c>
      <c r="S852" s="25"/>
      <c r="T852" s="20" t="b">
        <v>1</v>
      </c>
      <c r="U852" s="25"/>
      <c r="V852" s="25">
        <v>225.72</v>
      </c>
      <c r="W852" s="28" t="s">
        <v>11842</v>
      </c>
      <c r="X852" s="28" t="s">
        <v>6285</v>
      </c>
      <c r="Y852" s="28" t="s">
        <v>6286</v>
      </c>
      <c r="Z852" s="28" t="s">
        <v>6287</v>
      </c>
      <c r="AA852" s="28" t="s">
        <v>6288</v>
      </c>
      <c r="AB852" s="28" t="s">
        <v>6297</v>
      </c>
    </row>
    <row r="853" spans="1:28" ht="185.4" x14ac:dyDescent="0.3">
      <c r="A853" s="25">
        <v>8995</v>
      </c>
      <c r="B853" s="25" t="s">
        <v>11843</v>
      </c>
      <c r="C853" s="25" t="s">
        <v>11844</v>
      </c>
      <c r="D853" s="25" t="s">
        <v>6291</v>
      </c>
      <c r="E853" s="16" t="s">
        <v>6786</v>
      </c>
      <c r="F853" s="16" t="s">
        <v>6786</v>
      </c>
      <c r="G853" s="16" t="s">
        <v>6786</v>
      </c>
      <c r="H853" s="16" t="s">
        <v>6786</v>
      </c>
      <c r="I853" s="25" t="s">
        <v>11845</v>
      </c>
      <c r="J853" s="25"/>
      <c r="K853" s="25" t="s">
        <v>6281</v>
      </c>
      <c r="L853" s="26" t="s">
        <v>11846</v>
      </c>
      <c r="M853" s="26" t="s">
        <v>11847</v>
      </c>
      <c r="N853" s="27" t="s">
        <v>11848</v>
      </c>
      <c r="O853" s="26" t="s">
        <v>6295</v>
      </c>
      <c r="P853" s="20" t="b">
        <v>1</v>
      </c>
      <c r="Q853" s="20" t="s">
        <v>6282</v>
      </c>
      <c r="R853" s="28" t="s">
        <v>6283</v>
      </c>
      <c r="S853" s="25"/>
      <c r="T853" s="20" t="b">
        <v>1</v>
      </c>
      <c r="U853" s="25"/>
      <c r="V853" s="25">
        <v>10.023300000000001</v>
      </c>
      <c r="W853" s="28" t="s">
        <v>11849</v>
      </c>
      <c r="X853" s="28" t="s">
        <v>6285</v>
      </c>
      <c r="Y853" s="28" t="s">
        <v>6286</v>
      </c>
      <c r="Z853" s="28" t="s">
        <v>6287</v>
      </c>
      <c r="AA853" s="28" t="s">
        <v>6288</v>
      </c>
      <c r="AB853" s="28" t="s">
        <v>6297</v>
      </c>
    </row>
    <row r="854" spans="1:28" ht="185.4" x14ac:dyDescent="0.3">
      <c r="A854" s="25">
        <v>8996</v>
      </c>
      <c r="B854" s="25" t="s">
        <v>11850</v>
      </c>
      <c r="C854" s="25" t="s">
        <v>11851</v>
      </c>
      <c r="D854" s="25" t="s">
        <v>6291</v>
      </c>
      <c r="E854" s="16" t="s">
        <v>6786</v>
      </c>
      <c r="F854" s="16" t="s">
        <v>6786</v>
      </c>
      <c r="G854" s="16" t="s">
        <v>6786</v>
      </c>
      <c r="H854" s="16" t="s">
        <v>6786</v>
      </c>
      <c r="I854" s="25" t="s">
        <v>11852</v>
      </c>
      <c r="J854" s="25"/>
      <c r="K854" s="25" t="s">
        <v>6281</v>
      </c>
      <c r="L854" s="26" t="s">
        <v>11853</v>
      </c>
      <c r="M854" s="26" t="s">
        <v>11854</v>
      </c>
      <c r="N854" s="27" t="s">
        <v>11855</v>
      </c>
      <c r="O854" s="26" t="s">
        <v>6295</v>
      </c>
      <c r="P854" s="20" t="b">
        <v>1</v>
      </c>
      <c r="Q854" s="20" t="s">
        <v>6282</v>
      </c>
      <c r="R854" s="28" t="s">
        <v>6283</v>
      </c>
      <c r="S854" s="25"/>
      <c r="T854" s="20" t="b">
        <v>1</v>
      </c>
      <c r="U854" s="25"/>
      <c r="V854" s="25">
        <v>2.7568950000000001</v>
      </c>
      <c r="W854" s="28" t="s">
        <v>11856</v>
      </c>
      <c r="X854" s="28" t="s">
        <v>6285</v>
      </c>
      <c r="Y854" s="28" t="s">
        <v>6286</v>
      </c>
      <c r="Z854" s="28" t="s">
        <v>6287</v>
      </c>
      <c r="AA854" s="28" t="s">
        <v>6288</v>
      </c>
      <c r="AB854" s="28" t="s">
        <v>6297</v>
      </c>
    </row>
    <row r="855" spans="1:28" ht="185.4" x14ac:dyDescent="0.3">
      <c r="A855" s="25">
        <v>8997</v>
      </c>
      <c r="B855" s="25" t="s">
        <v>11857</v>
      </c>
      <c r="C855" s="25" t="s">
        <v>11858</v>
      </c>
      <c r="D855" s="25" t="s">
        <v>6291</v>
      </c>
      <c r="E855" s="16" t="s">
        <v>6786</v>
      </c>
      <c r="F855" s="16" t="s">
        <v>6786</v>
      </c>
      <c r="G855" s="16" t="s">
        <v>6786</v>
      </c>
      <c r="H855" s="16" t="s">
        <v>6786</v>
      </c>
      <c r="I855" s="25" t="s">
        <v>11859</v>
      </c>
      <c r="J855" s="25"/>
      <c r="K855" s="25" t="s">
        <v>6281</v>
      </c>
      <c r="L855" s="26" t="s">
        <v>11860</v>
      </c>
      <c r="M855" s="26" t="s">
        <v>6295</v>
      </c>
      <c r="N855" s="27" t="s">
        <v>11861</v>
      </c>
      <c r="O855" s="26" t="s">
        <v>6295</v>
      </c>
      <c r="P855" s="20" t="b">
        <v>1</v>
      </c>
      <c r="Q855" s="20" t="s">
        <v>6282</v>
      </c>
      <c r="R855" s="28" t="s">
        <v>6283</v>
      </c>
      <c r="S855" s="25"/>
      <c r="T855" s="20" t="b">
        <v>1</v>
      </c>
      <c r="U855" s="25"/>
      <c r="V855" s="25">
        <v>0.24221999999999999</v>
      </c>
      <c r="W855" s="28" t="s">
        <v>11862</v>
      </c>
      <c r="X855" s="28" t="s">
        <v>6285</v>
      </c>
      <c r="Y855" s="28" t="s">
        <v>6286</v>
      </c>
      <c r="Z855" s="28" t="s">
        <v>6287</v>
      </c>
      <c r="AA855" s="28" t="s">
        <v>6288</v>
      </c>
      <c r="AB855" s="28" t="s">
        <v>6297</v>
      </c>
    </row>
    <row r="856" spans="1:28" ht="185.4" x14ac:dyDescent="0.3">
      <c r="A856" s="25">
        <v>8998</v>
      </c>
      <c r="B856" s="25" t="s">
        <v>11863</v>
      </c>
      <c r="C856" s="25" t="s">
        <v>11864</v>
      </c>
      <c r="D856" s="25" t="s">
        <v>6291</v>
      </c>
      <c r="E856" s="16" t="s">
        <v>6292</v>
      </c>
      <c r="F856" s="16" t="s">
        <v>6292</v>
      </c>
      <c r="G856" s="16" t="s">
        <v>6292</v>
      </c>
      <c r="H856" s="16" t="s">
        <v>6292</v>
      </c>
      <c r="I856" s="25" t="s">
        <v>11865</v>
      </c>
      <c r="J856" s="25"/>
      <c r="K856" s="25" t="s">
        <v>6281</v>
      </c>
      <c r="L856" s="26" t="s">
        <v>7796</v>
      </c>
      <c r="M856" s="26" t="s">
        <v>7629</v>
      </c>
      <c r="N856" s="27" t="s">
        <v>7630</v>
      </c>
      <c r="O856" s="26" t="s">
        <v>6295</v>
      </c>
      <c r="P856" s="20" t="b">
        <v>1</v>
      </c>
      <c r="Q856" s="20" t="s">
        <v>6282</v>
      </c>
      <c r="R856" s="28" t="s">
        <v>6283</v>
      </c>
      <c r="S856" s="25"/>
      <c r="T856" s="20" t="b">
        <v>1</v>
      </c>
      <c r="U856" s="25"/>
      <c r="V856" s="25">
        <v>12.24</v>
      </c>
      <c r="W856" s="28" t="s">
        <v>11866</v>
      </c>
      <c r="X856" s="28" t="s">
        <v>6285</v>
      </c>
      <c r="Y856" s="28" t="s">
        <v>6286</v>
      </c>
      <c r="Z856" s="28" t="s">
        <v>6287</v>
      </c>
      <c r="AA856" s="28" t="s">
        <v>6288</v>
      </c>
      <c r="AB856" s="28" t="s">
        <v>6297</v>
      </c>
    </row>
    <row r="857" spans="1:28" ht="185.4" x14ac:dyDescent="0.3">
      <c r="A857" s="25">
        <v>8999</v>
      </c>
      <c r="B857" s="25" t="s">
        <v>11867</v>
      </c>
      <c r="C857" s="25" t="s">
        <v>11868</v>
      </c>
      <c r="D857" s="25" t="s">
        <v>6291</v>
      </c>
      <c r="E857" s="16" t="s">
        <v>6292</v>
      </c>
      <c r="F857" s="16" t="s">
        <v>6292</v>
      </c>
      <c r="G857" s="16" t="s">
        <v>6292</v>
      </c>
      <c r="H857" s="16" t="s">
        <v>6292</v>
      </c>
      <c r="I857" s="25" t="s">
        <v>11869</v>
      </c>
      <c r="J857" s="25"/>
      <c r="K857" s="25" t="s">
        <v>6281</v>
      </c>
      <c r="L857" s="26" t="s">
        <v>11870</v>
      </c>
      <c r="M857" s="26" t="s">
        <v>7629</v>
      </c>
      <c r="N857" s="27" t="s">
        <v>7630</v>
      </c>
      <c r="O857" s="26" t="s">
        <v>6295</v>
      </c>
      <c r="P857" s="20" t="b">
        <v>1</v>
      </c>
      <c r="Q857" s="20" t="s">
        <v>6282</v>
      </c>
      <c r="R857" s="28" t="s">
        <v>6283</v>
      </c>
      <c r="S857" s="25"/>
      <c r="T857" s="20" t="b">
        <v>1</v>
      </c>
      <c r="U857" s="25"/>
      <c r="V857" s="25">
        <v>12.24</v>
      </c>
      <c r="W857" s="28" t="s">
        <v>11871</v>
      </c>
      <c r="X857" s="28" t="s">
        <v>6285</v>
      </c>
      <c r="Y857" s="28" t="s">
        <v>6286</v>
      </c>
      <c r="Z857" s="28" t="s">
        <v>6287</v>
      </c>
      <c r="AA857" s="28" t="s">
        <v>6288</v>
      </c>
      <c r="AB857" s="28" t="s">
        <v>6297</v>
      </c>
    </row>
    <row r="858" spans="1:28" ht="185.4" x14ac:dyDescent="0.3">
      <c r="A858" s="25">
        <v>9001</v>
      </c>
      <c r="B858" s="25" t="s">
        <v>11692</v>
      </c>
      <c r="C858" s="25" t="s">
        <v>11872</v>
      </c>
      <c r="D858" s="25" t="s">
        <v>6278</v>
      </c>
      <c r="E858" s="16" t="s">
        <v>6279</v>
      </c>
      <c r="F858" s="16" t="s">
        <v>6279</v>
      </c>
      <c r="G858" s="16" t="s">
        <v>6279</v>
      </c>
      <c r="H858" s="16" t="s">
        <v>6279</v>
      </c>
      <c r="I858" s="25" t="s">
        <v>11694</v>
      </c>
      <c r="J858" s="25"/>
      <c r="K858" s="25" t="s">
        <v>6281</v>
      </c>
      <c r="L858" s="26" t="s">
        <v>11873</v>
      </c>
      <c r="M858" s="26" t="s">
        <v>11874</v>
      </c>
      <c r="N858" s="27" t="s">
        <v>11696</v>
      </c>
      <c r="O858" s="26" t="s">
        <v>11875</v>
      </c>
      <c r="P858" s="20" t="b">
        <v>1</v>
      </c>
      <c r="Q858" s="20" t="s">
        <v>6282</v>
      </c>
      <c r="R858" s="28" t="s">
        <v>6283</v>
      </c>
      <c r="S858" s="25"/>
      <c r="T858" s="20" t="b">
        <v>1</v>
      </c>
      <c r="U858" s="25"/>
      <c r="V858" s="25">
        <v>399.32</v>
      </c>
      <c r="W858" s="28" t="s">
        <v>11876</v>
      </c>
      <c r="X858" s="28" t="s">
        <v>6285</v>
      </c>
      <c r="Y858" s="28" t="s">
        <v>6286</v>
      </c>
      <c r="Z858" s="28" t="s">
        <v>6287</v>
      </c>
      <c r="AA858" s="28" t="s">
        <v>6288</v>
      </c>
      <c r="AB858" s="28" t="s">
        <v>6297</v>
      </c>
    </row>
    <row r="859" spans="1:28" ht="185.4" x14ac:dyDescent="0.3">
      <c r="A859" s="25">
        <v>9002</v>
      </c>
      <c r="B859" s="25" t="s">
        <v>11877</v>
      </c>
      <c r="C859" s="25" t="s">
        <v>11878</v>
      </c>
      <c r="D859" s="25" t="s">
        <v>6291</v>
      </c>
      <c r="E859" s="16" t="s">
        <v>6292</v>
      </c>
      <c r="F859" s="16" t="s">
        <v>6292</v>
      </c>
      <c r="G859" s="16" t="s">
        <v>6292</v>
      </c>
      <c r="H859" s="16" t="s">
        <v>6292</v>
      </c>
      <c r="I859" s="25" t="s">
        <v>11879</v>
      </c>
      <c r="J859" s="25"/>
      <c r="K859" s="25" t="s">
        <v>6281</v>
      </c>
      <c r="L859" s="26" t="s">
        <v>11880</v>
      </c>
      <c r="M859" s="26" t="s">
        <v>6295</v>
      </c>
      <c r="N859" s="27" t="s">
        <v>11881</v>
      </c>
      <c r="O859" s="26" t="s">
        <v>6295</v>
      </c>
      <c r="P859" s="20" t="b">
        <v>1</v>
      </c>
      <c r="Q859" s="20" t="s">
        <v>6282</v>
      </c>
      <c r="R859" s="28" t="s">
        <v>6283</v>
      </c>
      <c r="S859" s="25"/>
      <c r="T859" s="20" t="b">
        <v>1</v>
      </c>
      <c r="U859" s="25"/>
      <c r="V859" s="25">
        <v>14.872</v>
      </c>
      <c r="W859" s="28" t="s">
        <v>11882</v>
      </c>
      <c r="X859" s="28" t="s">
        <v>6285</v>
      </c>
      <c r="Y859" s="28" t="s">
        <v>6286</v>
      </c>
      <c r="Z859" s="28" t="s">
        <v>6287</v>
      </c>
      <c r="AA859" s="28" t="s">
        <v>6288</v>
      </c>
      <c r="AB859" s="28" t="s">
        <v>6297</v>
      </c>
    </row>
    <row r="860" spans="1:28" ht="185.4" x14ac:dyDescent="0.3">
      <c r="A860" s="25">
        <v>9003</v>
      </c>
      <c r="B860" s="25" t="s">
        <v>11883</v>
      </c>
      <c r="C860" s="25" t="s">
        <v>6306</v>
      </c>
      <c r="D860" s="25" t="s">
        <v>6291</v>
      </c>
      <c r="E860" s="16" t="s">
        <v>6292</v>
      </c>
      <c r="F860" s="16" t="s">
        <v>6292</v>
      </c>
      <c r="G860" s="16" t="s">
        <v>6292</v>
      </c>
      <c r="H860" s="16" t="s">
        <v>6292</v>
      </c>
      <c r="I860" s="25" t="s">
        <v>11884</v>
      </c>
      <c r="J860" s="25"/>
      <c r="K860" s="25" t="s">
        <v>6281</v>
      </c>
      <c r="L860" s="26" t="s">
        <v>11885</v>
      </c>
      <c r="M860" s="26" t="s">
        <v>11886</v>
      </c>
      <c r="N860" s="27" t="s">
        <v>11887</v>
      </c>
      <c r="O860" s="26" t="s">
        <v>6295</v>
      </c>
      <c r="P860" s="20" t="b">
        <v>1</v>
      </c>
      <c r="Q860" s="20" t="s">
        <v>6282</v>
      </c>
      <c r="R860" s="28" t="s">
        <v>6283</v>
      </c>
      <c r="S860" s="25"/>
      <c r="T860" s="20" t="b">
        <v>1</v>
      </c>
      <c r="U860" s="25"/>
      <c r="V860" s="25">
        <v>30.446100000000001</v>
      </c>
      <c r="W860" s="28" t="s">
        <v>11888</v>
      </c>
      <c r="X860" s="28" t="s">
        <v>6285</v>
      </c>
      <c r="Y860" s="28" t="s">
        <v>6286</v>
      </c>
      <c r="Z860" s="28" t="s">
        <v>6287</v>
      </c>
      <c r="AA860" s="28" t="s">
        <v>6288</v>
      </c>
      <c r="AB860" s="28" t="s">
        <v>6297</v>
      </c>
    </row>
    <row r="861" spans="1:28" ht="185.4" x14ac:dyDescent="0.3">
      <c r="A861" s="25">
        <v>9004</v>
      </c>
      <c r="B861" s="25" t="s">
        <v>11889</v>
      </c>
      <c r="C861" s="25" t="s">
        <v>11890</v>
      </c>
      <c r="D861" s="25" t="s">
        <v>6278</v>
      </c>
      <c r="E861" s="16" t="s">
        <v>6279</v>
      </c>
      <c r="F861" s="16" t="s">
        <v>6279</v>
      </c>
      <c r="G861" s="16" t="s">
        <v>6279</v>
      </c>
      <c r="H861" s="16" t="s">
        <v>6279</v>
      </c>
      <c r="I861" s="25" t="s">
        <v>11891</v>
      </c>
      <c r="J861" s="25"/>
      <c r="K861" s="25" t="s">
        <v>6281</v>
      </c>
      <c r="L861" s="26" t="s">
        <v>11892</v>
      </c>
      <c r="M861" s="26" t="s">
        <v>11893</v>
      </c>
      <c r="N861" s="27" t="s">
        <v>11894</v>
      </c>
      <c r="O861" s="26" t="s">
        <v>6295</v>
      </c>
      <c r="P861" s="20" t="b">
        <v>1</v>
      </c>
      <c r="Q861" s="20" t="s">
        <v>6282</v>
      </c>
      <c r="R861" s="28" t="s">
        <v>6283</v>
      </c>
      <c r="S861" s="25"/>
      <c r="T861" s="20" t="b">
        <v>1</v>
      </c>
      <c r="U861" s="25"/>
      <c r="V861" s="25">
        <v>1921.05</v>
      </c>
      <c r="W861" s="28" t="s">
        <v>11895</v>
      </c>
      <c r="X861" s="28" t="s">
        <v>6285</v>
      </c>
      <c r="Y861" s="28" t="s">
        <v>6286</v>
      </c>
      <c r="Z861" s="28" t="s">
        <v>6287</v>
      </c>
      <c r="AA861" s="28" t="s">
        <v>6288</v>
      </c>
      <c r="AB861" s="28" t="s">
        <v>6297</v>
      </c>
    </row>
    <row r="862" spans="1:28" ht="185.4" x14ac:dyDescent="0.3">
      <c r="A862" s="25">
        <v>9005</v>
      </c>
      <c r="B862" s="25" t="s">
        <v>11896</v>
      </c>
      <c r="C862" s="25" t="s">
        <v>11897</v>
      </c>
      <c r="D862" s="25" t="s">
        <v>6291</v>
      </c>
      <c r="E862" s="16" t="s">
        <v>6292</v>
      </c>
      <c r="F862" s="16" t="s">
        <v>6292</v>
      </c>
      <c r="G862" s="16" t="s">
        <v>6292</v>
      </c>
      <c r="H862" s="16" t="s">
        <v>6292</v>
      </c>
      <c r="I862" s="25" t="s">
        <v>11898</v>
      </c>
      <c r="J862" s="25"/>
      <c r="K862" s="25" t="s">
        <v>6281</v>
      </c>
      <c r="L862" s="26" t="s">
        <v>11899</v>
      </c>
      <c r="M862" s="26" t="s">
        <v>11900</v>
      </c>
      <c r="N862" s="27" t="s">
        <v>11901</v>
      </c>
      <c r="O862" s="26" t="s">
        <v>6295</v>
      </c>
      <c r="P862" s="20" t="b">
        <v>1</v>
      </c>
      <c r="Q862" s="20" t="s">
        <v>6282</v>
      </c>
      <c r="R862" s="28" t="s">
        <v>6283</v>
      </c>
      <c r="S862" s="25"/>
      <c r="T862" s="20" t="b">
        <v>1</v>
      </c>
      <c r="U862" s="25"/>
      <c r="V862" s="25">
        <v>83.105000000000004</v>
      </c>
      <c r="W862" s="28" t="s">
        <v>11902</v>
      </c>
      <c r="X862" s="28" t="s">
        <v>6285</v>
      </c>
      <c r="Y862" s="28" t="s">
        <v>6286</v>
      </c>
      <c r="Z862" s="28" t="s">
        <v>6287</v>
      </c>
      <c r="AA862" s="28" t="s">
        <v>6288</v>
      </c>
      <c r="AB862" s="28" t="s">
        <v>6297</v>
      </c>
    </row>
    <row r="863" spans="1:28" ht="185.4" x14ac:dyDescent="0.3">
      <c r="A863" s="25">
        <v>9006</v>
      </c>
      <c r="B863" s="25" t="s">
        <v>11903</v>
      </c>
      <c r="C863" s="25" t="s">
        <v>11904</v>
      </c>
      <c r="D863" s="25" t="s">
        <v>6291</v>
      </c>
      <c r="E863" s="16" t="s">
        <v>6292</v>
      </c>
      <c r="F863" s="16" t="s">
        <v>6292</v>
      </c>
      <c r="G863" s="16" t="s">
        <v>6292</v>
      </c>
      <c r="H863" s="16" t="s">
        <v>6292</v>
      </c>
      <c r="I863" s="25" t="s">
        <v>11905</v>
      </c>
      <c r="J863" s="25"/>
      <c r="K863" s="25" t="s">
        <v>6281</v>
      </c>
      <c r="L863" s="26" t="s">
        <v>11906</v>
      </c>
      <c r="M863" s="26" t="s">
        <v>6295</v>
      </c>
      <c r="N863" s="27" t="s">
        <v>11907</v>
      </c>
      <c r="O863" s="26" t="s">
        <v>6295</v>
      </c>
      <c r="P863" s="20" t="b">
        <v>1</v>
      </c>
      <c r="Q863" s="20" t="s">
        <v>6282</v>
      </c>
      <c r="R863" s="28" t="s">
        <v>6283</v>
      </c>
      <c r="S863" s="25"/>
      <c r="T863" s="20" t="b">
        <v>1</v>
      </c>
      <c r="U863" s="25"/>
      <c r="V863" s="25">
        <v>151.22800000000001</v>
      </c>
      <c r="W863" s="28" t="s">
        <v>11908</v>
      </c>
      <c r="X863" s="28" t="s">
        <v>6285</v>
      </c>
      <c r="Y863" s="28" t="s">
        <v>6286</v>
      </c>
      <c r="Z863" s="28" t="s">
        <v>6287</v>
      </c>
      <c r="AA863" s="28" t="s">
        <v>6288</v>
      </c>
      <c r="AB863" s="28" t="s">
        <v>6297</v>
      </c>
    </row>
    <row r="864" spans="1:28" ht="185.4" x14ac:dyDescent="0.3">
      <c r="A864" s="25">
        <v>9007</v>
      </c>
      <c r="B864" s="25" t="s">
        <v>11909</v>
      </c>
      <c r="C864" s="25" t="s">
        <v>11910</v>
      </c>
      <c r="D864" s="25" t="s">
        <v>6291</v>
      </c>
      <c r="E864" s="16" t="s">
        <v>6292</v>
      </c>
      <c r="F864" s="16" t="s">
        <v>6292</v>
      </c>
      <c r="G864" s="16" t="s">
        <v>6292</v>
      </c>
      <c r="H864" s="16" t="s">
        <v>6292</v>
      </c>
      <c r="I864" s="25" t="s">
        <v>11911</v>
      </c>
      <c r="J864" s="25"/>
      <c r="K864" s="25" t="s">
        <v>6281</v>
      </c>
      <c r="L864" s="26" t="s">
        <v>11912</v>
      </c>
      <c r="M864" s="26" t="s">
        <v>6295</v>
      </c>
      <c r="N864" s="27" t="s">
        <v>11913</v>
      </c>
      <c r="O864" s="26" t="s">
        <v>11914</v>
      </c>
      <c r="P864" s="20" t="b">
        <v>1</v>
      </c>
      <c r="Q864" s="20" t="s">
        <v>6282</v>
      </c>
      <c r="R864" s="28" t="s">
        <v>6283</v>
      </c>
      <c r="S864" s="25"/>
      <c r="T864" s="20" t="b">
        <v>1</v>
      </c>
      <c r="U864" s="25"/>
      <c r="V864" s="25">
        <v>18.077999999999999</v>
      </c>
      <c r="W864" s="28" t="s">
        <v>11915</v>
      </c>
      <c r="X864" s="28" t="s">
        <v>6285</v>
      </c>
      <c r="Y864" s="28" t="s">
        <v>6286</v>
      </c>
      <c r="Z864" s="28" t="s">
        <v>6287</v>
      </c>
      <c r="AA864" s="28" t="s">
        <v>6288</v>
      </c>
      <c r="AB864" s="28" t="s">
        <v>6297</v>
      </c>
    </row>
    <row r="865" spans="1:28" ht="185.4" x14ac:dyDescent="0.3">
      <c r="A865" s="25">
        <v>9008</v>
      </c>
      <c r="B865" s="25" t="s">
        <v>11916</v>
      </c>
      <c r="C865" s="25" t="s">
        <v>11917</v>
      </c>
      <c r="D865" s="25" t="s">
        <v>6291</v>
      </c>
      <c r="E865" s="16" t="s">
        <v>6292</v>
      </c>
      <c r="F865" s="16" t="s">
        <v>6292</v>
      </c>
      <c r="G865" s="16" t="s">
        <v>6292</v>
      </c>
      <c r="H865" s="16" t="s">
        <v>6292</v>
      </c>
      <c r="I865" s="25" t="s">
        <v>11918</v>
      </c>
      <c r="J865" s="25"/>
      <c r="K865" s="25" t="s">
        <v>6281</v>
      </c>
      <c r="L865" s="26" t="s">
        <v>11919</v>
      </c>
      <c r="M865" s="26" t="s">
        <v>6295</v>
      </c>
      <c r="N865" s="27" t="s">
        <v>11920</v>
      </c>
      <c r="O865" s="26" t="s">
        <v>6295</v>
      </c>
      <c r="P865" s="20" t="b">
        <v>1</v>
      </c>
      <c r="Q865" s="20" t="s">
        <v>6282</v>
      </c>
      <c r="R865" s="28" t="s">
        <v>6283</v>
      </c>
      <c r="S865" s="25"/>
      <c r="T865" s="20" t="b">
        <v>1</v>
      </c>
      <c r="U865" s="25"/>
      <c r="V865" s="25">
        <v>178.44</v>
      </c>
      <c r="W865" s="28" t="s">
        <v>11921</v>
      </c>
      <c r="X865" s="28" t="s">
        <v>6285</v>
      </c>
      <c r="Y865" s="28" t="s">
        <v>6286</v>
      </c>
      <c r="Z865" s="28" t="s">
        <v>6287</v>
      </c>
      <c r="AA865" s="28" t="s">
        <v>6288</v>
      </c>
      <c r="AB865" s="28" t="s">
        <v>6297</v>
      </c>
    </row>
    <row r="866" spans="1:28" ht="185.4" x14ac:dyDescent="0.3">
      <c r="A866" s="25">
        <v>9009</v>
      </c>
      <c r="B866" s="25" t="s">
        <v>11922</v>
      </c>
      <c r="C866" s="25" t="s">
        <v>11923</v>
      </c>
      <c r="D866" s="25" t="s">
        <v>6291</v>
      </c>
      <c r="E866" s="16" t="s">
        <v>6786</v>
      </c>
      <c r="F866" s="16" t="s">
        <v>6786</v>
      </c>
      <c r="G866" s="16" t="s">
        <v>6786</v>
      </c>
      <c r="H866" s="16" t="s">
        <v>6786</v>
      </c>
      <c r="I866" s="25" t="s">
        <v>11924</v>
      </c>
      <c r="J866" s="25"/>
      <c r="K866" s="25" t="s">
        <v>6281</v>
      </c>
      <c r="L866" s="26" t="s">
        <v>11925</v>
      </c>
      <c r="M866" s="26" t="s">
        <v>6295</v>
      </c>
      <c r="N866" s="27" t="s">
        <v>11926</v>
      </c>
      <c r="O866" s="26" t="s">
        <v>6295</v>
      </c>
      <c r="P866" s="20" t="b">
        <v>1</v>
      </c>
      <c r="Q866" s="20" t="s">
        <v>6282</v>
      </c>
      <c r="R866" s="28" t="s">
        <v>6283</v>
      </c>
      <c r="S866" s="25"/>
      <c r="T866" s="20" t="b">
        <v>1</v>
      </c>
      <c r="U866" s="25"/>
      <c r="V866" s="25">
        <v>10.60596</v>
      </c>
      <c r="W866" s="28" t="s">
        <v>11927</v>
      </c>
      <c r="X866" s="28" t="s">
        <v>6285</v>
      </c>
      <c r="Y866" s="28" t="s">
        <v>6286</v>
      </c>
      <c r="Z866" s="28" t="s">
        <v>6287</v>
      </c>
      <c r="AA866" s="28" t="s">
        <v>6288</v>
      </c>
      <c r="AB866" s="28" t="s">
        <v>6297</v>
      </c>
    </row>
    <row r="867" spans="1:28" ht="185.4" x14ac:dyDescent="0.3">
      <c r="A867" s="25">
        <v>9010</v>
      </c>
      <c r="B867" s="25" t="s">
        <v>11928</v>
      </c>
      <c r="C867" s="25" t="s">
        <v>11929</v>
      </c>
      <c r="D867" s="25" t="s">
        <v>6278</v>
      </c>
      <c r="E867" s="16" t="s">
        <v>6279</v>
      </c>
      <c r="F867" s="16" t="s">
        <v>6279</v>
      </c>
      <c r="G867" s="16" t="s">
        <v>6279</v>
      </c>
      <c r="H867" s="16" t="s">
        <v>6279</v>
      </c>
      <c r="I867" s="25" t="s">
        <v>11930</v>
      </c>
      <c r="J867" s="25"/>
      <c r="K867" s="25" t="s">
        <v>6281</v>
      </c>
      <c r="L867" s="26" t="s">
        <v>11931</v>
      </c>
      <c r="M867" s="26" t="s">
        <v>11590</v>
      </c>
      <c r="N867" s="27" t="s">
        <v>11932</v>
      </c>
      <c r="O867" s="26" t="s">
        <v>6295</v>
      </c>
      <c r="P867" s="20" t="b">
        <v>1</v>
      </c>
      <c r="Q867" s="20" t="s">
        <v>6282</v>
      </c>
      <c r="R867" s="28" t="s">
        <v>6283</v>
      </c>
      <c r="S867" s="25"/>
      <c r="T867" s="20" t="b">
        <v>1</v>
      </c>
      <c r="U867" s="25"/>
      <c r="V867" s="25">
        <v>1911.05</v>
      </c>
      <c r="W867" s="28" t="s">
        <v>11933</v>
      </c>
      <c r="X867" s="28" t="s">
        <v>6285</v>
      </c>
      <c r="Y867" s="28" t="s">
        <v>6286</v>
      </c>
      <c r="Z867" s="28" t="s">
        <v>6287</v>
      </c>
      <c r="AA867" s="28" t="s">
        <v>6288</v>
      </c>
      <c r="AB867" s="28" t="s">
        <v>6297</v>
      </c>
    </row>
    <row r="868" spans="1:28" ht="185.4" x14ac:dyDescent="0.3">
      <c r="A868" s="25">
        <v>9011</v>
      </c>
      <c r="B868" s="25" t="s">
        <v>11934</v>
      </c>
      <c r="C868" s="25" t="s">
        <v>11935</v>
      </c>
      <c r="D868" s="25" t="s">
        <v>6278</v>
      </c>
      <c r="E868" s="16" t="s">
        <v>6279</v>
      </c>
      <c r="F868" s="16" t="s">
        <v>6279</v>
      </c>
      <c r="G868" s="16" t="s">
        <v>6279</v>
      </c>
      <c r="H868" s="16" t="s">
        <v>6279</v>
      </c>
      <c r="I868" s="25" t="s">
        <v>11936</v>
      </c>
      <c r="J868" s="25"/>
      <c r="K868" s="25" t="s">
        <v>6281</v>
      </c>
      <c r="L868" s="26" t="s">
        <v>11937</v>
      </c>
      <c r="M868" s="26" t="s">
        <v>11590</v>
      </c>
      <c r="N868" s="27" t="s">
        <v>11932</v>
      </c>
      <c r="O868" s="26" t="s">
        <v>6295</v>
      </c>
      <c r="P868" s="20" t="b">
        <v>1</v>
      </c>
      <c r="Q868" s="20" t="s">
        <v>6282</v>
      </c>
      <c r="R868" s="28" t="s">
        <v>6283</v>
      </c>
      <c r="S868" s="25"/>
      <c r="T868" s="20" t="b">
        <v>1</v>
      </c>
      <c r="U868" s="25"/>
      <c r="V868" s="25">
        <v>2675.35</v>
      </c>
      <c r="W868" s="28" t="s">
        <v>11938</v>
      </c>
      <c r="X868" s="28" t="s">
        <v>6285</v>
      </c>
      <c r="Y868" s="28" t="s">
        <v>6286</v>
      </c>
      <c r="Z868" s="28" t="s">
        <v>6287</v>
      </c>
      <c r="AA868" s="28" t="s">
        <v>6288</v>
      </c>
      <c r="AB868" s="28" t="s">
        <v>6297</v>
      </c>
    </row>
    <row r="869" spans="1:28" ht="185.4" x14ac:dyDescent="0.3">
      <c r="A869" s="25">
        <v>9012</v>
      </c>
      <c r="B869" s="25" t="s">
        <v>11939</v>
      </c>
      <c r="C869" s="25" t="s">
        <v>11940</v>
      </c>
      <c r="D869" s="25" t="s">
        <v>6291</v>
      </c>
      <c r="E869" s="16" t="s">
        <v>6786</v>
      </c>
      <c r="F869" s="16" t="s">
        <v>6786</v>
      </c>
      <c r="G869" s="16" t="s">
        <v>6786</v>
      </c>
      <c r="H869" s="16" t="s">
        <v>6786</v>
      </c>
      <c r="I869" s="25" t="s">
        <v>11941</v>
      </c>
      <c r="J869" s="25"/>
      <c r="K869" s="25" t="s">
        <v>6281</v>
      </c>
      <c r="L869" s="26" t="s">
        <v>11942</v>
      </c>
      <c r="M869" s="26" t="s">
        <v>11943</v>
      </c>
      <c r="N869" s="27" t="s">
        <v>11944</v>
      </c>
      <c r="O869" s="26" t="s">
        <v>6295</v>
      </c>
      <c r="P869" s="20" t="b">
        <v>1</v>
      </c>
      <c r="Q869" s="20" t="s">
        <v>6282</v>
      </c>
      <c r="R869" s="28" t="s">
        <v>6283</v>
      </c>
      <c r="S869" s="25"/>
      <c r="T869" s="20" t="b">
        <v>1</v>
      </c>
      <c r="U869" s="25"/>
      <c r="V869" s="25">
        <v>73.492999999999995</v>
      </c>
      <c r="W869" s="28" t="s">
        <v>11945</v>
      </c>
      <c r="X869" s="28" t="s">
        <v>6285</v>
      </c>
      <c r="Y869" s="28" t="s">
        <v>6286</v>
      </c>
      <c r="Z869" s="28" t="s">
        <v>6287</v>
      </c>
      <c r="AA869" s="28" t="s">
        <v>6288</v>
      </c>
      <c r="AB869" s="28" t="s">
        <v>6297</v>
      </c>
    </row>
    <row r="870" spans="1:28" ht="211.8" x14ac:dyDescent="0.3">
      <c r="A870" s="25">
        <v>9013</v>
      </c>
      <c r="B870" s="25" t="s">
        <v>11946</v>
      </c>
      <c r="C870" s="25" t="s">
        <v>11947</v>
      </c>
      <c r="D870" s="25" t="s">
        <v>6370</v>
      </c>
      <c r="E870" s="16" t="s">
        <v>6371</v>
      </c>
      <c r="F870" s="16" t="s">
        <v>6371</v>
      </c>
      <c r="G870" s="16" t="s">
        <v>6371</v>
      </c>
      <c r="H870" s="16" t="s">
        <v>6371</v>
      </c>
      <c r="I870" s="25" t="s">
        <v>11948</v>
      </c>
      <c r="J870" s="25"/>
      <c r="K870" s="25" t="s">
        <v>6281</v>
      </c>
      <c r="L870" s="26" t="s">
        <v>11949</v>
      </c>
      <c r="M870" s="26" t="s">
        <v>11950</v>
      </c>
      <c r="N870" s="27" t="s">
        <v>11951</v>
      </c>
      <c r="O870" s="26" t="s">
        <v>11952</v>
      </c>
      <c r="P870" s="20" t="b">
        <v>1</v>
      </c>
      <c r="Q870" s="20" t="s">
        <v>6282</v>
      </c>
      <c r="R870" s="28" t="s">
        <v>6283</v>
      </c>
      <c r="S870" s="25"/>
      <c r="T870" s="20" t="b">
        <v>1</v>
      </c>
      <c r="U870" s="25"/>
      <c r="V870" s="25">
        <v>95.49</v>
      </c>
      <c r="W870" s="28" t="s">
        <v>11953</v>
      </c>
      <c r="X870" s="28" t="s">
        <v>6285</v>
      </c>
      <c r="Y870" s="28" t="s">
        <v>6286</v>
      </c>
      <c r="Z870" s="28" t="s">
        <v>6287</v>
      </c>
      <c r="AA870" s="28" t="s">
        <v>6288</v>
      </c>
      <c r="AB870" s="28" t="s">
        <v>6297</v>
      </c>
    </row>
    <row r="871" spans="1:28" ht="185.4" x14ac:dyDescent="0.3">
      <c r="A871" s="25">
        <v>9014</v>
      </c>
      <c r="B871" s="25" t="s">
        <v>11954</v>
      </c>
      <c r="C871" s="25" t="s">
        <v>11955</v>
      </c>
      <c r="D871" s="25" t="s">
        <v>6291</v>
      </c>
      <c r="E871" s="16" t="s">
        <v>6292</v>
      </c>
      <c r="F871" s="16" t="s">
        <v>6292</v>
      </c>
      <c r="G871" s="16" t="s">
        <v>6292</v>
      </c>
      <c r="H871" s="16" t="s">
        <v>6292</v>
      </c>
      <c r="I871" s="25" t="s">
        <v>11956</v>
      </c>
      <c r="J871" s="25"/>
      <c r="K871" s="25" t="s">
        <v>6281</v>
      </c>
      <c r="L871" s="26" t="s">
        <v>11957</v>
      </c>
      <c r="M871" s="26" t="s">
        <v>6295</v>
      </c>
      <c r="N871" s="27" t="s">
        <v>11958</v>
      </c>
      <c r="O871" s="26" t="s">
        <v>6295</v>
      </c>
      <c r="P871" s="20" t="b">
        <v>1</v>
      </c>
      <c r="Q871" s="20" t="s">
        <v>6282</v>
      </c>
      <c r="R871" s="28" t="s">
        <v>6283</v>
      </c>
      <c r="S871" s="25"/>
      <c r="T871" s="20" t="b">
        <v>1</v>
      </c>
      <c r="U871" s="25"/>
      <c r="V871" s="25">
        <v>43.324300000000001</v>
      </c>
      <c r="W871" s="28" t="s">
        <v>11959</v>
      </c>
      <c r="X871" s="28" t="s">
        <v>6285</v>
      </c>
      <c r="Y871" s="28" t="s">
        <v>6286</v>
      </c>
      <c r="Z871" s="28" t="s">
        <v>6287</v>
      </c>
      <c r="AA871" s="28" t="s">
        <v>6288</v>
      </c>
      <c r="AB871" s="28" t="s">
        <v>6297</v>
      </c>
    </row>
    <row r="872" spans="1:28" ht="185.4" x14ac:dyDescent="0.3">
      <c r="A872" s="25">
        <v>9015</v>
      </c>
      <c r="B872" s="25" t="s">
        <v>11960</v>
      </c>
      <c r="C872" s="25" t="s">
        <v>11961</v>
      </c>
      <c r="D872" s="25" t="s">
        <v>6291</v>
      </c>
      <c r="E872" s="16" t="s">
        <v>6292</v>
      </c>
      <c r="F872" s="16" t="s">
        <v>6292</v>
      </c>
      <c r="G872" s="16" t="s">
        <v>6292</v>
      </c>
      <c r="H872" s="16" t="s">
        <v>6292</v>
      </c>
      <c r="I872" s="25" t="s">
        <v>11962</v>
      </c>
      <c r="J872" s="25"/>
      <c r="K872" s="25" t="s">
        <v>6281</v>
      </c>
      <c r="L872" s="26" t="s">
        <v>11963</v>
      </c>
      <c r="M872" s="26" t="s">
        <v>6295</v>
      </c>
      <c r="N872" s="27" t="s">
        <v>11964</v>
      </c>
      <c r="O872" s="26" t="s">
        <v>6295</v>
      </c>
      <c r="P872" s="20" t="b">
        <v>1</v>
      </c>
      <c r="Q872" s="20" t="s">
        <v>6282</v>
      </c>
      <c r="R872" s="28" t="s">
        <v>6283</v>
      </c>
      <c r="S872" s="25"/>
      <c r="T872" s="20" t="b">
        <v>1</v>
      </c>
      <c r="U872" s="25"/>
      <c r="V872" s="25">
        <v>328.29500000000002</v>
      </c>
      <c r="W872" s="28" t="s">
        <v>11965</v>
      </c>
      <c r="X872" s="28" t="s">
        <v>6285</v>
      </c>
      <c r="Y872" s="28" t="s">
        <v>6286</v>
      </c>
      <c r="Z872" s="28" t="s">
        <v>6287</v>
      </c>
      <c r="AA872" s="28" t="s">
        <v>6288</v>
      </c>
      <c r="AB872" s="28" t="s">
        <v>6297</v>
      </c>
    </row>
    <row r="873" spans="1:28" ht="185.4" x14ac:dyDescent="0.3">
      <c r="A873" s="25">
        <v>9016</v>
      </c>
      <c r="B873" s="25" t="s">
        <v>11966</v>
      </c>
      <c r="C873" s="25" t="s">
        <v>11967</v>
      </c>
      <c r="D873" s="25" t="s">
        <v>6278</v>
      </c>
      <c r="E873" s="16" t="s">
        <v>6279</v>
      </c>
      <c r="F873" s="16" t="s">
        <v>6279</v>
      </c>
      <c r="G873" s="16" t="s">
        <v>6279</v>
      </c>
      <c r="H873" s="16" t="s">
        <v>6279</v>
      </c>
      <c r="I873" s="25" t="s">
        <v>11968</v>
      </c>
      <c r="J873" s="25"/>
      <c r="K873" s="25" t="s">
        <v>6281</v>
      </c>
      <c r="L873" s="26" t="s">
        <v>11969</v>
      </c>
      <c r="M873" s="26" t="s">
        <v>11970</v>
      </c>
      <c r="N873" s="27" t="s">
        <v>11971</v>
      </c>
      <c r="O873" s="26" t="s">
        <v>11972</v>
      </c>
      <c r="P873" s="20" t="b">
        <v>1</v>
      </c>
      <c r="Q873" s="20" t="s">
        <v>6282</v>
      </c>
      <c r="R873" s="28" t="s">
        <v>6283</v>
      </c>
      <c r="S873" s="25"/>
      <c r="T873" s="20" t="b">
        <v>1</v>
      </c>
      <c r="U873" s="25"/>
      <c r="V873" s="25">
        <v>31.19</v>
      </c>
      <c r="W873" s="28" t="s">
        <v>11973</v>
      </c>
      <c r="X873" s="28" t="s">
        <v>6285</v>
      </c>
      <c r="Y873" s="28" t="s">
        <v>6286</v>
      </c>
      <c r="Z873" s="28" t="s">
        <v>6287</v>
      </c>
      <c r="AA873" s="28" t="s">
        <v>6288</v>
      </c>
      <c r="AB873" s="28" t="s">
        <v>6297</v>
      </c>
    </row>
    <row r="874" spans="1:28" ht="185.4" x14ac:dyDescent="0.3">
      <c r="A874" s="25">
        <v>9017</v>
      </c>
      <c r="B874" s="25" t="s">
        <v>11974</v>
      </c>
      <c r="C874" s="25" t="s">
        <v>11975</v>
      </c>
      <c r="D874" s="25" t="s">
        <v>6278</v>
      </c>
      <c r="E874" s="16" t="s">
        <v>6279</v>
      </c>
      <c r="F874" s="16" t="s">
        <v>6279</v>
      </c>
      <c r="G874" s="16" t="s">
        <v>6279</v>
      </c>
      <c r="H874" s="16" t="s">
        <v>6279</v>
      </c>
      <c r="I874" s="25" t="s">
        <v>11976</v>
      </c>
      <c r="J874" s="25"/>
      <c r="K874" s="25" t="s">
        <v>6281</v>
      </c>
      <c r="L874" s="26" t="s">
        <v>11977</v>
      </c>
      <c r="M874" s="26" t="s">
        <v>6295</v>
      </c>
      <c r="N874" s="27" t="s">
        <v>11978</v>
      </c>
      <c r="O874" s="26" t="s">
        <v>6295</v>
      </c>
      <c r="P874" s="20" t="b">
        <v>1</v>
      </c>
      <c r="Q874" s="20" t="s">
        <v>6282</v>
      </c>
      <c r="R874" s="28" t="s">
        <v>6283</v>
      </c>
      <c r="S874" s="25"/>
      <c r="T874" s="20" t="b">
        <v>1</v>
      </c>
      <c r="U874" s="25"/>
      <c r="V874" s="25">
        <v>382.07499999999999</v>
      </c>
      <c r="W874" s="28" t="s">
        <v>11979</v>
      </c>
      <c r="X874" s="28" t="s">
        <v>6285</v>
      </c>
      <c r="Y874" s="28" t="s">
        <v>6286</v>
      </c>
      <c r="Z874" s="28" t="s">
        <v>6287</v>
      </c>
      <c r="AA874" s="28" t="s">
        <v>6288</v>
      </c>
      <c r="AB874" s="28" t="s">
        <v>6297</v>
      </c>
    </row>
    <row r="875" spans="1:28" ht="185.4" x14ac:dyDescent="0.3">
      <c r="A875" s="25">
        <v>9018</v>
      </c>
      <c r="B875" s="25" t="s">
        <v>11980</v>
      </c>
      <c r="C875" s="25" t="s">
        <v>11981</v>
      </c>
      <c r="D875" s="25" t="s">
        <v>6291</v>
      </c>
      <c r="E875" s="16" t="s">
        <v>6292</v>
      </c>
      <c r="F875" s="16" t="s">
        <v>6292</v>
      </c>
      <c r="G875" s="16" t="s">
        <v>6292</v>
      </c>
      <c r="H875" s="16" t="s">
        <v>6292</v>
      </c>
      <c r="I875" s="25" t="s">
        <v>11982</v>
      </c>
      <c r="J875" s="25"/>
      <c r="K875" s="25" t="s">
        <v>6281</v>
      </c>
      <c r="L875" s="26" t="s">
        <v>11983</v>
      </c>
      <c r="M875" s="26" t="s">
        <v>11984</v>
      </c>
      <c r="N875" s="27" t="s">
        <v>11985</v>
      </c>
      <c r="O875" s="26" t="s">
        <v>6295</v>
      </c>
      <c r="P875" s="20" t="b">
        <v>1</v>
      </c>
      <c r="Q875" s="20" t="s">
        <v>6282</v>
      </c>
      <c r="R875" s="28" t="s">
        <v>6283</v>
      </c>
      <c r="S875" s="25"/>
      <c r="T875" s="20" t="b">
        <v>1</v>
      </c>
      <c r="U875" s="25"/>
      <c r="V875" s="25">
        <v>439.81</v>
      </c>
      <c r="W875" s="28" t="s">
        <v>11986</v>
      </c>
      <c r="X875" s="28" t="s">
        <v>6285</v>
      </c>
      <c r="Y875" s="28" t="s">
        <v>6286</v>
      </c>
      <c r="Z875" s="28" t="s">
        <v>6287</v>
      </c>
      <c r="AA875" s="28" t="s">
        <v>6288</v>
      </c>
      <c r="AB875" s="28" t="s">
        <v>6297</v>
      </c>
    </row>
    <row r="876" spans="1:28" ht="185.4" x14ac:dyDescent="0.3">
      <c r="A876" s="25">
        <v>9019</v>
      </c>
      <c r="B876" s="25" t="s">
        <v>11987</v>
      </c>
      <c r="C876" s="25" t="s">
        <v>11988</v>
      </c>
      <c r="D876" s="25" t="s">
        <v>6291</v>
      </c>
      <c r="E876" s="16" t="s">
        <v>6292</v>
      </c>
      <c r="F876" s="16" t="s">
        <v>6292</v>
      </c>
      <c r="G876" s="16" t="s">
        <v>6292</v>
      </c>
      <c r="H876" s="16" t="s">
        <v>6292</v>
      </c>
      <c r="I876" s="25" t="s">
        <v>11989</v>
      </c>
      <c r="J876" s="25"/>
      <c r="K876" s="25" t="s">
        <v>6281</v>
      </c>
      <c r="L876" s="26" t="s">
        <v>11990</v>
      </c>
      <c r="M876" s="26" t="s">
        <v>8398</v>
      </c>
      <c r="N876" s="27" t="s">
        <v>9114</v>
      </c>
      <c r="O876" s="26" t="s">
        <v>8400</v>
      </c>
      <c r="P876" s="20" t="b">
        <v>1</v>
      </c>
      <c r="Q876" s="20" t="s">
        <v>6282</v>
      </c>
      <c r="R876" s="28" t="s">
        <v>6283</v>
      </c>
      <c r="S876" s="25"/>
      <c r="T876" s="20" t="b">
        <v>1</v>
      </c>
      <c r="U876" s="25"/>
      <c r="V876" s="25">
        <v>14.382</v>
      </c>
      <c r="W876" s="28" t="s">
        <v>11991</v>
      </c>
      <c r="X876" s="28" t="s">
        <v>6285</v>
      </c>
      <c r="Y876" s="28" t="s">
        <v>6286</v>
      </c>
      <c r="Z876" s="28" t="s">
        <v>6287</v>
      </c>
      <c r="AA876" s="28" t="s">
        <v>6288</v>
      </c>
      <c r="AB876" s="28" t="s">
        <v>6297</v>
      </c>
    </row>
    <row r="877" spans="1:28" ht="185.4" x14ac:dyDescent="0.3">
      <c r="A877" s="25">
        <v>9020</v>
      </c>
      <c r="B877" s="25" t="s">
        <v>11992</v>
      </c>
      <c r="C877" s="25" t="s">
        <v>11993</v>
      </c>
      <c r="D877" s="25" t="s">
        <v>6278</v>
      </c>
      <c r="E877" s="16" t="s">
        <v>6279</v>
      </c>
      <c r="F877" s="16" t="s">
        <v>6279</v>
      </c>
      <c r="G877" s="16" t="s">
        <v>6279</v>
      </c>
      <c r="H877" s="16" t="s">
        <v>6279</v>
      </c>
      <c r="I877" s="25" t="s">
        <v>11994</v>
      </c>
      <c r="J877" s="25"/>
      <c r="K877" s="25" t="s">
        <v>6281</v>
      </c>
      <c r="L877" s="26" t="s">
        <v>11995</v>
      </c>
      <c r="M877" s="26" t="s">
        <v>11996</v>
      </c>
      <c r="N877" s="27" t="s">
        <v>11997</v>
      </c>
      <c r="O877" s="26" t="s">
        <v>6295</v>
      </c>
      <c r="P877" s="20" t="b">
        <v>1</v>
      </c>
      <c r="Q877" s="20" t="s">
        <v>6282</v>
      </c>
      <c r="R877" s="28" t="s">
        <v>6283</v>
      </c>
      <c r="S877" s="25"/>
      <c r="T877" s="20" t="b">
        <v>1</v>
      </c>
      <c r="U877" s="25"/>
      <c r="V877" s="25">
        <v>6.9189999999999996</v>
      </c>
      <c r="W877" s="28" t="s">
        <v>11998</v>
      </c>
      <c r="X877" s="28" t="s">
        <v>6285</v>
      </c>
      <c r="Y877" s="28" t="s">
        <v>6286</v>
      </c>
      <c r="Z877" s="28" t="s">
        <v>6287</v>
      </c>
      <c r="AA877" s="28" t="s">
        <v>6288</v>
      </c>
      <c r="AB877" s="28" t="s">
        <v>6297</v>
      </c>
    </row>
    <row r="878" spans="1:28" ht="185.4" x14ac:dyDescent="0.3">
      <c r="A878" s="25">
        <v>9021</v>
      </c>
      <c r="B878" s="25" t="s">
        <v>11999</v>
      </c>
      <c r="C878" s="25" t="s">
        <v>12000</v>
      </c>
      <c r="D878" s="25" t="s">
        <v>6278</v>
      </c>
      <c r="E878" s="16" t="s">
        <v>6279</v>
      </c>
      <c r="F878" s="16" t="s">
        <v>6279</v>
      </c>
      <c r="G878" s="16" t="s">
        <v>6279</v>
      </c>
      <c r="H878" s="16" t="s">
        <v>6279</v>
      </c>
      <c r="I878" s="25" t="s">
        <v>12001</v>
      </c>
      <c r="J878" s="25"/>
      <c r="K878" s="25" t="s">
        <v>6281</v>
      </c>
      <c r="L878" s="26" t="s">
        <v>12002</v>
      </c>
      <c r="M878" s="26" t="s">
        <v>12003</v>
      </c>
      <c r="N878" s="27" t="s">
        <v>12004</v>
      </c>
      <c r="O878" s="26" t="s">
        <v>6295</v>
      </c>
      <c r="P878" s="20" t="b">
        <v>1</v>
      </c>
      <c r="Q878" s="20" t="s">
        <v>6282</v>
      </c>
      <c r="R878" s="28" t="s">
        <v>6283</v>
      </c>
      <c r="S878" s="25"/>
      <c r="T878" s="20" t="b">
        <v>1</v>
      </c>
      <c r="U878" s="25"/>
      <c r="V878" s="25">
        <v>1731.9435000000001</v>
      </c>
      <c r="W878" s="28" t="s">
        <v>12005</v>
      </c>
      <c r="X878" s="28" t="s">
        <v>6285</v>
      </c>
      <c r="Y878" s="28" t="s">
        <v>6286</v>
      </c>
      <c r="Z878" s="28" t="s">
        <v>6287</v>
      </c>
      <c r="AA878" s="28" t="s">
        <v>6288</v>
      </c>
      <c r="AB878" s="28" t="s">
        <v>6297</v>
      </c>
    </row>
    <row r="879" spans="1:28" ht="185.4" x14ac:dyDescent="0.3">
      <c r="A879" s="25">
        <v>9022</v>
      </c>
      <c r="B879" s="25" t="s">
        <v>12006</v>
      </c>
      <c r="C879" s="25" t="s">
        <v>12007</v>
      </c>
      <c r="D879" s="25" t="s">
        <v>6278</v>
      </c>
      <c r="E879" s="16" t="s">
        <v>6279</v>
      </c>
      <c r="F879" s="16" t="s">
        <v>6279</v>
      </c>
      <c r="G879" s="16" t="s">
        <v>6279</v>
      </c>
      <c r="H879" s="16" t="s">
        <v>6279</v>
      </c>
      <c r="I879" s="25" t="s">
        <v>12008</v>
      </c>
      <c r="J879" s="25"/>
      <c r="K879" s="25" t="s">
        <v>6281</v>
      </c>
      <c r="L879" s="26" t="s">
        <v>12009</v>
      </c>
      <c r="M879" s="26" t="s">
        <v>12010</v>
      </c>
      <c r="N879" s="27" t="s">
        <v>12011</v>
      </c>
      <c r="O879" s="26" t="s">
        <v>6295</v>
      </c>
      <c r="P879" s="20" t="b">
        <v>1</v>
      </c>
      <c r="Q879" s="20" t="s">
        <v>6282</v>
      </c>
      <c r="R879" s="28" t="s">
        <v>6283</v>
      </c>
      <c r="S879" s="25"/>
      <c r="T879" s="20" t="b">
        <v>1</v>
      </c>
      <c r="U879" s="25"/>
      <c r="V879" s="25">
        <v>1847.2964999999999</v>
      </c>
      <c r="W879" s="28" t="s">
        <v>12012</v>
      </c>
      <c r="X879" s="28" t="s">
        <v>6285</v>
      </c>
      <c r="Y879" s="28" t="s">
        <v>6286</v>
      </c>
      <c r="Z879" s="28" t="s">
        <v>6287</v>
      </c>
      <c r="AA879" s="28" t="s">
        <v>6288</v>
      </c>
      <c r="AB879" s="28" t="s">
        <v>6297</v>
      </c>
    </row>
    <row r="880" spans="1:28" ht="185.4" x14ac:dyDescent="0.3">
      <c r="A880" s="25">
        <v>9023</v>
      </c>
      <c r="B880" s="25" t="s">
        <v>12013</v>
      </c>
      <c r="C880" s="25" t="s">
        <v>12014</v>
      </c>
      <c r="D880" s="25" t="s">
        <v>6291</v>
      </c>
      <c r="E880" s="16" t="s">
        <v>6292</v>
      </c>
      <c r="F880" s="16" t="s">
        <v>6292</v>
      </c>
      <c r="G880" s="16" t="s">
        <v>6292</v>
      </c>
      <c r="H880" s="16" t="s">
        <v>6292</v>
      </c>
      <c r="I880" s="25" t="s">
        <v>12015</v>
      </c>
      <c r="J880" s="25"/>
      <c r="K880" s="25" t="s">
        <v>6281</v>
      </c>
      <c r="L880" s="26" t="s">
        <v>12016</v>
      </c>
      <c r="M880" s="26" t="s">
        <v>6295</v>
      </c>
      <c r="N880" s="27" t="s">
        <v>12017</v>
      </c>
      <c r="O880" s="26" t="s">
        <v>6295</v>
      </c>
      <c r="P880" s="20" t="b">
        <v>1</v>
      </c>
      <c r="Q880" s="20" t="s">
        <v>6282</v>
      </c>
      <c r="R880" s="28" t="s">
        <v>6283</v>
      </c>
      <c r="S880" s="25"/>
      <c r="T880" s="20" t="b">
        <v>1</v>
      </c>
      <c r="U880" s="25"/>
      <c r="V880" s="25">
        <v>87.979500000000002</v>
      </c>
      <c r="W880" s="28" t="s">
        <v>12018</v>
      </c>
      <c r="X880" s="28" t="s">
        <v>6285</v>
      </c>
      <c r="Y880" s="28" t="s">
        <v>6286</v>
      </c>
      <c r="Z880" s="28" t="s">
        <v>6287</v>
      </c>
      <c r="AA880" s="28" t="s">
        <v>6288</v>
      </c>
      <c r="AB880" s="28" t="s">
        <v>6297</v>
      </c>
    </row>
    <row r="881" spans="1:28" ht="185.4" x14ac:dyDescent="0.3">
      <c r="A881" s="25">
        <v>9024</v>
      </c>
      <c r="B881" s="25" t="s">
        <v>12019</v>
      </c>
      <c r="C881" s="25" t="s">
        <v>12020</v>
      </c>
      <c r="D881" s="25" t="s">
        <v>6291</v>
      </c>
      <c r="E881" s="16" t="s">
        <v>6292</v>
      </c>
      <c r="F881" s="16" t="s">
        <v>6292</v>
      </c>
      <c r="G881" s="16" t="s">
        <v>6292</v>
      </c>
      <c r="H881" s="16" t="s">
        <v>6292</v>
      </c>
      <c r="I881" s="25" t="s">
        <v>12021</v>
      </c>
      <c r="J881" s="25"/>
      <c r="K881" s="25" t="s">
        <v>6281</v>
      </c>
      <c r="L881" s="26" t="s">
        <v>12022</v>
      </c>
      <c r="M881" s="26" t="s">
        <v>6295</v>
      </c>
      <c r="N881" s="27" t="s">
        <v>11958</v>
      </c>
      <c r="O881" s="26" t="s">
        <v>6295</v>
      </c>
      <c r="P881" s="20" t="b">
        <v>1</v>
      </c>
      <c r="Q881" s="20" t="s">
        <v>6282</v>
      </c>
      <c r="R881" s="28" t="s">
        <v>6283</v>
      </c>
      <c r="S881" s="25"/>
      <c r="T881" s="20" t="b">
        <v>1</v>
      </c>
      <c r="U881" s="25"/>
      <c r="V881" s="25">
        <v>43.196399999999997</v>
      </c>
      <c r="W881" s="28" t="s">
        <v>12023</v>
      </c>
      <c r="X881" s="28" t="s">
        <v>6285</v>
      </c>
      <c r="Y881" s="28" t="s">
        <v>6286</v>
      </c>
      <c r="Z881" s="28" t="s">
        <v>6287</v>
      </c>
      <c r="AA881" s="28" t="s">
        <v>6288</v>
      </c>
      <c r="AB881" s="28" t="s">
        <v>6297</v>
      </c>
    </row>
    <row r="882" spans="1:28" ht="185.4" x14ac:dyDescent="0.3">
      <c r="A882" s="25">
        <v>9025</v>
      </c>
      <c r="B882" s="25" t="s">
        <v>12024</v>
      </c>
      <c r="C882" s="25" t="s">
        <v>12025</v>
      </c>
      <c r="D882" s="25" t="s">
        <v>6278</v>
      </c>
      <c r="E882" s="16" t="s">
        <v>6279</v>
      </c>
      <c r="F882" s="16" t="s">
        <v>6279</v>
      </c>
      <c r="G882" s="16" t="s">
        <v>6279</v>
      </c>
      <c r="H882" s="16" t="s">
        <v>6279</v>
      </c>
      <c r="I882" s="25" t="s">
        <v>12026</v>
      </c>
      <c r="J882" s="25"/>
      <c r="K882" s="25" t="s">
        <v>6281</v>
      </c>
      <c r="L882" s="26" t="s">
        <v>12027</v>
      </c>
      <c r="M882" s="26" t="s">
        <v>12028</v>
      </c>
      <c r="N882" s="27" t="s">
        <v>12029</v>
      </c>
      <c r="O882" s="26" t="s">
        <v>6295</v>
      </c>
      <c r="P882" s="20" t="b">
        <v>1</v>
      </c>
      <c r="Q882" s="20" t="s">
        <v>6282</v>
      </c>
      <c r="R882" s="28" t="s">
        <v>6283</v>
      </c>
      <c r="S882" s="25"/>
      <c r="T882" s="20" t="b">
        <v>1</v>
      </c>
      <c r="U882" s="25"/>
      <c r="V882" s="25">
        <v>463.35</v>
      </c>
      <c r="W882" s="28" t="s">
        <v>12030</v>
      </c>
      <c r="X882" s="28" t="s">
        <v>6285</v>
      </c>
      <c r="Y882" s="28" t="s">
        <v>6286</v>
      </c>
      <c r="Z882" s="28" t="s">
        <v>6287</v>
      </c>
      <c r="AA882" s="28" t="s">
        <v>6288</v>
      </c>
      <c r="AB882" s="28" t="s">
        <v>6297</v>
      </c>
    </row>
    <row r="883" spans="1:28" ht="185.4" x14ac:dyDescent="0.3">
      <c r="A883" s="25">
        <v>9026</v>
      </c>
      <c r="B883" s="25" t="s">
        <v>12031</v>
      </c>
      <c r="C883" s="25" t="s">
        <v>12032</v>
      </c>
      <c r="D883" s="25" t="s">
        <v>6278</v>
      </c>
      <c r="E883" s="16" t="s">
        <v>6279</v>
      </c>
      <c r="F883" s="16" t="s">
        <v>6279</v>
      </c>
      <c r="G883" s="16" t="s">
        <v>6279</v>
      </c>
      <c r="H883" s="16" t="s">
        <v>6279</v>
      </c>
      <c r="I883" s="25" t="s">
        <v>12033</v>
      </c>
      <c r="J883" s="25"/>
      <c r="K883" s="25" t="s">
        <v>6281</v>
      </c>
      <c r="L883" s="26" t="s">
        <v>12034</v>
      </c>
      <c r="M883" s="26" t="s">
        <v>6295</v>
      </c>
      <c r="N883" s="27" t="s">
        <v>12035</v>
      </c>
      <c r="O883" s="26" t="s">
        <v>6295</v>
      </c>
      <c r="P883" s="20" t="b">
        <v>1</v>
      </c>
      <c r="Q883" s="20" t="s">
        <v>6282</v>
      </c>
      <c r="R883" s="28" t="s">
        <v>6283</v>
      </c>
      <c r="S883" s="25"/>
      <c r="T883" s="20" t="b">
        <v>1</v>
      </c>
      <c r="U883" s="25"/>
      <c r="V883" s="25">
        <v>592.10550000000001</v>
      </c>
      <c r="W883" s="28" t="s">
        <v>12036</v>
      </c>
      <c r="X883" s="28" t="s">
        <v>6285</v>
      </c>
      <c r="Y883" s="28" t="s">
        <v>6286</v>
      </c>
      <c r="Z883" s="28" t="s">
        <v>6287</v>
      </c>
      <c r="AA883" s="28" t="s">
        <v>6288</v>
      </c>
      <c r="AB883" s="28" t="s">
        <v>6297</v>
      </c>
    </row>
    <row r="884" spans="1:28" ht="185.4" x14ac:dyDescent="0.3">
      <c r="A884" s="25">
        <v>9027</v>
      </c>
      <c r="B884" s="25" t="s">
        <v>12037</v>
      </c>
      <c r="C884" s="25" t="s">
        <v>12038</v>
      </c>
      <c r="D884" s="25" t="s">
        <v>6291</v>
      </c>
      <c r="E884" s="16" t="s">
        <v>6786</v>
      </c>
      <c r="F884" s="16" t="s">
        <v>6786</v>
      </c>
      <c r="G884" s="16" t="s">
        <v>6786</v>
      </c>
      <c r="H884" s="16" t="s">
        <v>6786</v>
      </c>
      <c r="I884" s="25" t="s">
        <v>12039</v>
      </c>
      <c r="J884" s="25"/>
      <c r="K884" s="25" t="s">
        <v>6281</v>
      </c>
      <c r="L884" s="26" t="s">
        <v>12040</v>
      </c>
      <c r="M884" s="26" t="s">
        <v>6295</v>
      </c>
      <c r="N884" s="27" t="s">
        <v>12041</v>
      </c>
      <c r="O884" s="26" t="s">
        <v>6295</v>
      </c>
      <c r="P884" s="20" t="b">
        <v>1</v>
      </c>
      <c r="Q884" s="20" t="s">
        <v>6282</v>
      </c>
      <c r="R884" s="28" t="s">
        <v>6283</v>
      </c>
      <c r="S884" s="25"/>
      <c r="T884" s="20" t="b">
        <v>1</v>
      </c>
      <c r="U884" s="25"/>
      <c r="V884" s="25">
        <v>2.5442550000000002</v>
      </c>
      <c r="W884" s="28" t="s">
        <v>12042</v>
      </c>
      <c r="X884" s="28" t="s">
        <v>6285</v>
      </c>
      <c r="Y884" s="28" t="s">
        <v>6286</v>
      </c>
      <c r="Z884" s="28" t="s">
        <v>6287</v>
      </c>
      <c r="AA884" s="28" t="s">
        <v>6288</v>
      </c>
      <c r="AB884" s="28" t="s">
        <v>6297</v>
      </c>
    </row>
    <row r="885" spans="1:28" ht="185.4" x14ac:dyDescent="0.3">
      <c r="A885" s="25">
        <v>9028</v>
      </c>
      <c r="B885" s="25" t="s">
        <v>12043</v>
      </c>
      <c r="C885" s="25" t="s">
        <v>12044</v>
      </c>
      <c r="D885" s="25" t="s">
        <v>6291</v>
      </c>
      <c r="E885" s="16" t="s">
        <v>6292</v>
      </c>
      <c r="F885" s="16" t="s">
        <v>6292</v>
      </c>
      <c r="G885" s="16" t="s">
        <v>6292</v>
      </c>
      <c r="H885" s="16" t="s">
        <v>6292</v>
      </c>
      <c r="I885" s="25" t="s">
        <v>12045</v>
      </c>
      <c r="J885" s="25"/>
      <c r="K885" s="25" t="s">
        <v>6281</v>
      </c>
      <c r="L885" s="26" t="s">
        <v>12046</v>
      </c>
      <c r="M885" s="26" t="s">
        <v>6295</v>
      </c>
      <c r="N885" s="27" t="s">
        <v>12047</v>
      </c>
      <c r="O885" s="26" t="s">
        <v>6295</v>
      </c>
      <c r="P885" s="20" t="b">
        <v>1</v>
      </c>
      <c r="Q885" s="20" t="s">
        <v>6282</v>
      </c>
      <c r="R885" s="28" t="s">
        <v>6283</v>
      </c>
      <c r="S885" s="25"/>
      <c r="T885" s="20" t="b">
        <v>1</v>
      </c>
      <c r="U885" s="25"/>
      <c r="V885" s="25">
        <v>293.69</v>
      </c>
      <c r="W885" s="28" t="s">
        <v>12048</v>
      </c>
      <c r="X885" s="28" t="s">
        <v>6285</v>
      </c>
      <c r="Y885" s="28" t="s">
        <v>6286</v>
      </c>
      <c r="Z885" s="28" t="s">
        <v>6287</v>
      </c>
      <c r="AA885" s="28" t="s">
        <v>6288</v>
      </c>
      <c r="AB885" s="28" t="s">
        <v>6297</v>
      </c>
    </row>
    <row r="886" spans="1:28" ht="185.4" x14ac:dyDescent="0.3">
      <c r="A886" s="25">
        <v>9029</v>
      </c>
      <c r="B886" s="25" t="s">
        <v>12049</v>
      </c>
      <c r="C886" s="25" t="s">
        <v>12050</v>
      </c>
      <c r="D886" s="25" t="s">
        <v>6278</v>
      </c>
      <c r="E886" s="16" t="s">
        <v>6279</v>
      </c>
      <c r="F886" s="16" t="s">
        <v>6279</v>
      </c>
      <c r="G886" s="16" t="s">
        <v>6279</v>
      </c>
      <c r="H886" s="16" t="s">
        <v>6279</v>
      </c>
      <c r="I886" s="25" t="s">
        <v>12051</v>
      </c>
      <c r="J886" s="25"/>
      <c r="K886" s="25" t="s">
        <v>6281</v>
      </c>
      <c r="L886" s="26" t="s">
        <v>12052</v>
      </c>
      <c r="M886" s="26" t="s">
        <v>12053</v>
      </c>
      <c r="N886" s="27" t="s">
        <v>12054</v>
      </c>
      <c r="O886" s="26" t="s">
        <v>6295</v>
      </c>
      <c r="P886" s="20" t="b">
        <v>1</v>
      </c>
      <c r="Q886" s="20" t="s">
        <v>6282</v>
      </c>
      <c r="R886" s="28" t="s">
        <v>6283</v>
      </c>
      <c r="S886" s="25"/>
      <c r="T886" s="20" t="b">
        <v>1</v>
      </c>
      <c r="U886" s="25"/>
      <c r="V886" s="25">
        <v>987.81</v>
      </c>
      <c r="W886" s="28" t="s">
        <v>12055</v>
      </c>
      <c r="X886" s="28" t="s">
        <v>6285</v>
      </c>
      <c r="Y886" s="28" t="s">
        <v>6286</v>
      </c>
      <c r="Z886" s="28" t="s">
        <v>6287</v>
      </c>
      <c r="AA886" s="28" t="s">
        <v>6288</v>
      </c>
      <c r="AB886" s="28" t="s">
        <v>6297</v>
      </c>
    </row>
    <row r="887" spans="1:28" ht="185.4" x14ac:dyDescent="0.3">
      <c r="A887" s="25">
        <v>9030</v>
      </c>
      <c r="B887" s="25" t="s">
        <v>12056</v>
      </c>
      <c r="C887" s="25" t="s">
        <v>12057</v>
      </c>
      <c r="D887" s="25" t="s">
        <v>6278</v>
      </c>
      <c r="E887" s="16" t="s">
        <v>6279</v>
      </c>
      <c r="F887" s="16" t="s">
        <v>6279</v>
      </c>
      <c r="G887" s="16" t="s">
        <v>6279</v>
      </c>
      <c r="H887" s="16" t="s">
        <v>6279</v>
      </c>
      <c r="I887" s="25" t="s">
        <v>12058</v>
      </c>
      <c r="J887" s="25"/>
      <c r="K887" s="25" t="s">
        <v>6281</v>
      </c>
      <c r="L887" s="26" t="s">
        <v>12059</v>
      </c>
      <c r="M887" s="26" t="s">
        <v>6295</v>
      </c>
      <c r="N887" s="27" t="s">
        <v>12060</v>
      </c>
      <c r="O887" s="26" t="s">
        <v>6295</v>
      </c>
      <c r="P887" s="20" t="b">
        <v>1</v>
      </c>
      <c r="Q887" s="20" t="s">
        <v>6282</v>
      </c>
      <c r="R887" s="28" t="s">
        <v>6283</v>
      </c>
      <c r="S887" s="25"/>
      <c r="T887" s="20" t="b">
        <v>1</v>
      </c>
      <c r="U887" s="25"/>
      <c r="V887" s="25">
        <v>178.54</v>
      </c>
      <c r="W887" s="28" t="s">
        <v>12061</v>
      </c>
      <c r="X887" s="28" t="s">
        <v>6285</v>
      </c>
      <c r="Y887" s="28" t="s">
        <v>6286</v>
      </c>
      <c r="Z887" s="28" t="s">
        <v>6287</v>
      </c>
      <c r="AA887" s="28" t="s">
        <v>6288</v>
      </c>
      <c r="AB887" s="28" t="s">
        <v>6297</v>
      </c>
    </row>
    <row r="888" spans="1:28" ht="185.4" x14ac:dyDescent="0.3">
      <c r="A888" s="25">
        <v>9031</v>
      </c>
      <c r="B888" s="25" t="s">
        <v>12062</v>
      </c>
      <c r="C888" s="25" t="s">
        <v>12063</v>
      </c>
      <c r="D888" s="25" t="s">
        <v>6278</v>
      </c>
      <c r="E888" s="16" t="s">
        <v>6279</v>
      </c>
      <c r="F888" s="16" t="s">
        <v>6279</v>
      </c>
      <c r="G888" s="16" t="s">
        <v>6279</v>
      </c>
      <c r="H888" s="16" t="s">
        <v>6279</v>
      </c>
      <c r="I888" s="25" t="s">
        <v>12064</v>
      </c>
      <c r="J888" s="25"/>
      <c r="K888" s="25" t="s">
        <v>6281</v>
      </c>
      <c r="L888" s="26" t="s">
        <v>12065</v>
      </c>
      <c r="M888" s="26" t="s">
        <v>8969</v>
      </c>
      <c r="N888" s="27" t="s">
        <v>12066</v>
      </c>
      <c r="O888" s="26" t="s">
        <v>12067</v>
      </c>
      <c r="P888" s="20" t="b">
        <v>1</v>
      </c>
      <c r="Q888" s="20" t="s">
        <v>6282</v>
      </c>
      <c r="R888" s="28" t="s">
        <v>6283</v>
      </c>
      <c r="S888" s="25"/>
      <c r="T888" s="20" t="b">
        <v>1</v>
      </c>
      <c r="U888" s="25"/>
      <c r="V888" s="25">
        <v>3354.76</v>
      </c>
      <c r="W888" s="28" t="s">
        <v>12068</v>
      </c>
      <c r="X888" s="28" t="s">
        <v>6285</v>
      </c>
      <c r="Y888" s="28" t="s">
        <v>6286</v>
      </c>
      <c r="Z888" s="28" t="s">
        <v>6287</v>
      </c>
      <c r="AA888" s="28" t="s">
        <v>6288</v>
      </c>
      <c r="AB888" s="28" t="s">
        <v>6297</v>
      </c>
    </row>
    <row r="889" spans="1:28" ht="185.4" x14ac:dyDescent="0.3">
      <c r="A889" s="25">
        <v>9032</v>
      </c>
      <c r="B889" s="25" t="s">
        <v>12069</v>
      </c>
      <c r="C889" s="25" t="s">
        <v>12070</v>
      </c>
      <c r="D889" s="25" t="s">
        <v>6278</v>
      </c>
      <c r="E889" s="16" t="s">
        <v>6279</v>
      </c>
      <c r="F889" s="16" t="s">
        <v>6279</v>
      </c>
      <c r="G889" s="16" t="s">
        <v>6279</v>
      </c>
      <c r="H889" s="16" t="s">
        <v>6279</v>
      </c>
      <c r="I889" s="25" t="s">
        <v>12071</v>
      </c>
      <c r="J889" s="25"/>
      <c r="K889" s="25" t="s">
        <v>6281</v>
      </c>
      <c r="L889" s="26" t="s">
        <v>12065</v>
      </c>
      <c r="M889" s="26" t="s">
        <v>8969</v>
      </c>
      <c r="N889" s="27" t="s">
        <v>12066</v>
      </c>
      <c r="O889" s="26" t="s">
        <v>12067</v>
      </c>
      <c r="P889" s="20" t="b">
        <v>1</v>
      </c>
      <c r="Q889" s="20" t="s">
        <v>6282</v>
      </c>
      <c r="R889" s="28" t="s">
        <v>6283</v>
      </c>
      <c r="S889" s="25"/>
      <c r="T889" s="20" t="b">
        <v>1</v>
      </c>
      <c r="U889" s="25"/>
      <c r="V889" s="25">
        <v>3354.76</v>
      </c>
      <c r="W889" s="28" t="s">
        <v>12072</v>
      </c>
      <c r="X889" s="28" t="s">
        <v>6285</v>
      </c>
      <c r="Y889" s="28" t="s">
        <v>6286</v>
      </c>
      <c r="Z889" s="28" t="s">
        <v>6287</v>
      </c>
      <c r="AA889" s="28" t="s">
        <v>6288</v>
      </c>
      <c r="AB889" s="28" t="s">
        <v>6297</v>
      </c>
    </row>
    <row r="890" spans="1:28" ht="185.4" x14ac:dyDescent="0.3">
      <c r="A890" s="25">
        <v>9033</v>
      </c>
      <c r="B890" s="25" t="s">
        <v>12073</v>
      </c>
      <c r="C890" s="25" t="s">
        <v>12074</v>
      </c>
      <c r="D890" s="25" t="s">
        <v>6278</v>
      </c>
      <c r="E890" s="16" t="s">
        <v>6279</v>
      </c>
      <c r="F890" s="16" t="s">
        <v>6279</v>
      </c>
      <c r="G890" s="16" t="s">
        <v>6279</v>
      </c>
      <c r="H890" s="16" t="s">
        <v>6279</v>
      </c>
      <c r="I890" s="25" t="s">
        <v>12075</v>
      </c>
      <c r="J890" s="25"/>
      <c r="K890" s="25" t="s">
        <v>6281</v>
      </c>
      <c r="L890" s="26" t="s">
        <v>12076</v>
      </c>
      <c r="M890" s="26" t="s">
        <v>8969</v>
      </c>
      <c r="N890" s="27" t="s">
        <v>12066</v>
      </c>
      <c r="O890" s="26" t="s">
        <v>12067</v>
      </c>
      <c r="P890" s="20" t="b">
        <v>1</v>
      </c>
      <c r="Q890" s="20" t="s">
        <v>6282</v>
      </c>
      <c r="R890" s="28" t="s">
        <v>6283</v>
      </c>
      <c r="S890" s="25"/>
      <c r="T890" s="20" t="b">
        <v>1</v>
      </c>
      <c r="U890" s="25"/>
      <c r="V890" s="25">
        <v>3354.76</v>
      </c>
      <c r="W890" s="28" t="s">
        <v>12077</v>
      </c>
      <c r="X890" s="28" t="s">
        <v>6285</v>
      </c>
      <c r="Y890" s="28" t="s">
        <v>6286</v>
      </c>
      <c r="Z890" s="28" t="s">
        <v>6287</v>
      </c>
      <c r="AA890" s="28" t="s">
        <v>6288</v>
      </c>
      <c r="AB890" s="28" t="s">
        <v>6297</v>
      </c>
    </row>
    <row r="891" spans="1:28" ht="185.4" x14ac:dyDescent="0.3">
      <c r="A891" s="25">
        <v>9034</v>
      </c>
      <c r="B891" s="25" t="s">
        <v>12078</v>
      </c>
      <c r="C891" s="25" t="s">
        <v>12079</v>
      </c>
      <c r="D891" s="25" t="s">
        <v>6291</v>
      </c>
      <c r="E891" s="16" t="s">
        <v>6786</v>
      </c>
      <c r="F891" s="16" t="s">
        <v>6786</v>
      </c>
      <c r="G891" s="16" t="s">
        <v>6786</v>
      </c>
      <c r="H891" s="16" t="s">
        <v>6786</v>
      </c>
      <c r="I891" s="25" t="s">
        <v>12080</v>
      </c>
      <c r="J891" s="25"/>
      <c r="K891" s="25" t="s">
        <v>6281</v>
      </c>
      <c r="L891" s="26" t="s">
        <v>12081</v>
      </c>
      <c r="M891" s="26" t="s">
        <v>6295</v>
      </c>
      <c r="N891" s="27" t="s">
        <v>12082</v>
      </c>
      <c r="O891" s="26" t="s">
        <v>6295</v>
      </c>
      <c r="P891" s="20" t="b">
        <v>1</v>
      </c>
      <c r="Q891" s="20" t="s">
        <v>6282</v>
      </c>
      <c r="R891" s="28" t="s">
        <v>6283</v>
      </c>
      <c r="S891" s="25"/>
      <c r="T891" s="20" t="b">
        <v>1</v>
      </c>
      <c r="U891" s="25"/>
      <c r="V891" s="25">
        <v>6.4695</v>
      </c>
      <c r="W891" s="28" t="s">
        <v>12083</v>
      </c>
      <c r="X891" s="28" t="s">
        <v>6285</v>
      </c>
      <c r="Y891" s="28" t="s">
        <v>6286</v>
      </c>
      <c r="Z891" s="28" t="s">
        <v>6287</v>
      </c>
      <c r="AA891" s="28" t="s">
        <v>6288</v>
      </c>
      <c r="AB891" s="28" t="s">
        <v>6297</v>
      </c>
    </row>
    <row r="892" spans="1:28" ht="185.4" x14ac:dyDescent="0.3">
      <c r="A892" s="25">
        <v>9035</v>
      </c>
      <c r="B892" s="25" t="s">
        <v>12084</v>
      </c>
      <c r="C892" s="25" t="s">
        <v>12085</v>
      </c>
      <c r="D892" s="25" t="s">
        <v>6278</v>
      </c>
      <c r="E892" s="16" t="s">
        <v>6279</v>
      </c>
      <c r="F892" s="16" t="s">
        <v>6279</v>
      </c>
      <c r="G892" s="16" t="s">
        <v>6279</v>
      </c>
      <c r="H892" s="16" t="s">
        <v>6279</v>
      </c>
      <c r="I892" s="25" t="s">
        <v>12086</v>
      </c>
      <c r="J892" s="25"/>
      <c r="K892" s="25" t="s">
        <v>6281</v>
      </c>
      <c r="L892" s="26" t="s">
        <v>12087</v>
      </c>
      <c r="M892" s="26" t="s">
        <v>12088</v>
      </c>
      <c r="N892" s="27" t="s">
        <v>12089</v>
      </c>
      <c r="O892" s="26" t="s">
        <v>6295</v>
      </c>
      <c r="P892" s="20" t="b">
        <v>1</v>
      </c>
      <c r="Q892" s="20" t="s">
        <v>6282</v>
      </c>
      <c r="R892" s="28" t="s">
        <v>6283</v>
      </c>
      <c r="S892" s="25"/>
      <c r="T892" s="20" t="b">
        <v>1</v>
      </c>
      <c r="U892" s="25"/>
      <c r="V892" s="25">
        <v>1462.8230000000001</v>
      </c>
      <c r="W892" s="28" t="s">
        <v>12090</v>
      </c>
      <c r="X892" s="28" t="s">
        <v>6285</v>
      </c>
      <c r="Y892" s="28" t="s">
        <v>6286</v>
      </c>
      <c r="Z892" s="28" t="s">
        <v>6287</v>
      </c>
      <c r="AA892" s="28" t="s">
        <v>6288</v>
      </c>
      <c r="AB892" s="28" t="s">
        <v>6297</v>
      </c>
    </row>
    <row r="893" spans="1:28" ht="185.4" x14ac:dyDescent="0.3">
      <c r="A893" s="25">
        <v>9036</v>
      </c>
      <c r="B893" s="25" t="s">
        <v>12091</v>
      </c>
      <c r="C893" s="25" t="s">
        <v>12092</v>
      </c>
      <c r="D893" s="25" t="s">
        <v>6278</v>
      </c>
      <c r="E893" s="16" t="s">
        <v>6279</v>
      </c>
      <c r="F893" s="16" t="s">
        <v>6279</v>
      </c>
      <c r="G893" s="16" t="s">
        <v>6279</v>
      </c>
      <c r="H893" s="16" t="s">
        <v>6279</v>
      </c>
      <c r="I893" s="25" t="s">
        <v>12093</v>
      </c>
      <c r="J893" s="25"/>
      <c r="K893" s="25" t="s">
        <v>6281</v>
      </c>
      <c r="L893" s="26" t="s">
        <v>12094</v>
      </c>
      <c r="M893" s="26" t="s">
        <v>12095</v>
      </c>
      <c r="N893" s="27" t="s">
        <v>12096</v>
      </c>
      <c r="O893" s="26" t="s">
        <v>6295</v>
      </c>
      <c r="P893" s="20" t="b">
        <v>1</v>
      </c>
      <c r="Q893" s="20" t="s">
        <v>6282</v>
      </c>
      <c r="R893" s="28" t="s">
        <v>6283</v>
      </c>
      <c r="S893" s="25"/>
      <c r="T893" s="20" t="b">
        <v>1</v>
      </c>
      <c r="U893" s="25"/>
      <c r="V893" s="25">
        <v>1382.7484999999999</v>
      </c>
      <c r="W893" s="28" t="s">
        <v>12097</v>
      </c>
      <c r="X893" s="28" t="s">
        <v>6285</v>
      </c>
      <c r="Y893" s="28" t="s">
        <v>6286</v>
      </c>
      <c r="Z893" s="28" t="s">
        <v>6287</v>
      </c>
      <c r="AA893" s="28" t="s">
        <v>6288</v>
      </c>
      <c r="AB893" s="28" t="s">
        <v>6297</v>
      </c>
    </row>
    <row r="894" spans="1:28" ht="185.4" x14ac:dyDescent="0.3">
      <c r="A894" s="25">
        <v>9037</v>
      </c>
      <c r="B894" s="25" t="s">
        <v>12098</v>
      </c>
      <c r="C894" s="25" t="s">
        <v>12099</v>
      </c>
      <c r="D894" s="25" t="s">
        <v>6291</v>
      </c>
      <c r="E894" s="16" t="s">
        <v>6786</v>
      </c>
      <c r="F894" s="16" t="s">
        <v>6786</v>
      </c>
      <c r="G894" s="16" t="s">
        <v>6786</v>
      </c>
      <c r="H894" s="16" t="s">
        <v>6786</v>
      </c>
      <c r="I894" s="25" t="s">
        <v>12100</v>
      </c>
      <c r="J894" s="25"/>
      <c r="K894" s="25" t="s">
        <v>6281</v>
      </c>
      <c r="L894" s="26" t="s">
        <v>12101</v>
      </c>
      <c r="M894" s="26" t="s">
        <v>12102</v>
      </c>
      <c r="N894" s="27" t="s">
        <v>12103</v>
      </c>
      <c r="O894" s="26" t="s">
        <v>6295</v>
      </c>
      <c r="P894" s="20" t="b">
        <v>1</v>
      </c>
      <c r="Q894" s="20" t="s">
        <v>6282</v>
      </c>
      <c r="R894" s="28" t="s">
        <v>6283</v>
      </c>
      <c r="S894" s="25"/>
      <c r="T894" s="20" t="b">
        <v>1</v>
      </c>
      <c r="U894" s="25"/>
      <c r="V894" s="25">
        <v>1.9774</v>
      </c>
      <c r="W894" s="28" t="s">
        <v>12104</v>
      </c>
      <c r="X894" s="28" t="s">
        <v>6285</v>
      </c>
      <c r="Y894" s="28" t="s">
        <v>6286</v>
      </c>
      <c r="Z894" s="28" t="s">
        <v>6287</v>
      </c>
      <c r="AA894" s="28" t="s">
        <v>6288</v>
      </c>
      <c r="AB894" s="28" t="s">
        <v>6297</v>
      </c>
    </row>
    <row r="895" spans="1:28" ht="185.4" x14ac:dyDescent="0.3">
      <c r="A895" s="25">
        <v>9038</v>
      </c>
      <c r="B895" s="25" t="s">
        <v>12105</v>
      </c>
      <c r="C895" s="25" t="s">
        <v>12106</v>
      </c>
      <c r="D895" s="25" t="s">
        <v>6291</v>
      </c>
      <c r="E895" s="16" t="s">
        <v>6292</v>
      </c>
      <c r="F895" s="16" t="s">
        <v>6292</v>
      </c>
      <c r="G895" s="16" t="s">
        <v>6292</v>
      </c>
      <c r="H895" s="16" t="s">
        <v>6292</v>
      </c>
      <c r="I895" s="25" t="s">
        <v>12107</v>
      </c>
      <c r="J895" s="25"/>
      <c r="K895" s="25" t="s">
        <v>6281</v>
      </c>
      <c r="L895" s="26" t="s">
        <v>12108</v>
      </c>
      <c r="M895" s="26" t="s">
        <v>6295</v>
      </c>
      <c r="N895" s="27" t="s">
        <v>12109</v>
      </c>
      <c r="O895" s="26" t="s">
        <v>6295</v>
      </c>
      <c r="P895" s="20" t="b">
        <v>1</v>
      </c>
      <c r="Q895" s="20" t="s">
        <v>6282</v>
      </c>
      <c r="R895" s="28" t="s">
        <v>6283</v>
      </c>
      <c r="S895" s="25"/>
      <c r="T895" s="20" t="b">
        <v>1</v>
      </c>
      <c r="U895" s="25"/>
      <c r="V895" s="25">
        <v>30.544799999999999</v>
      </c>
      <c r="W895" s="28" t="s">
        <v>12110</v>
      </c>
      <c r="X895" s="28" t="s">
        <v>6285</v>
      </c>
      <c r="Y895" s="28" t="s">
        <v>6286</v>
      </c>
      <c r="Z895" s="28" t="s">
        <v>6287</v>
      </c>
      <c r="AA895" s="28" t="s">
        <v>6288</v>
      </c>
      <c r="AB895" s="28" t="s">
        <v>6297</v>
      </c>
    </row>
    <row r="896" spans="1:28" ht="185.4" x14ac:dyDescent="0.3">
      <c r="A896" s="25">
        <v>9039</v>
      </c>
      <c r="B896" s="25" t="s">
        <v>12111</v>
      </c>
      <c r="C896" s="25" t="s">
        <v>12112</v>
      </c>
      <c r="D896" s="25" t="s">
        <v>6278</v>
      </c>
      <c r="E896" s="16" t="s">
        <v>6279</v>
      </c>
      <c r="F896" s="16" t="s">
        <v>6279</v>
      </c>
      <c r="G896" s="16" t="s">
        <v>6279</v>
      </c>
      <c r="H896" s="16" t="s">
        <v>6279</v>
      </c>
      <c r="I896" s="25" t="s">
        <v>12113</v>
      </c>
      <c r="J896" s="25"/>
      <c r="K896" s="25" t="s">
        <v>6281</v>
      </c>
      <c r="L896" s="26" t="s">
        <v>12114</v>
      </c>
      <c r="M896" s="26" t="s">
        <v>12115</v>
      </c>
      <c r="N896" s="27" t="s">
        <v>12116</v>
      </c>
      <c r="O896" s="26" t="s">
        <v>12117</v>
      </c>
      <c r="P896" s="20" t="b">
        <v>1</v>
      </c>
      <c r="Q896" s="20" t="s">
        <v>6282</v>
      </c>
      <c r="R896" s="28" t="s">
        <v>6283</v>
      </c>
      <c r="S896" s="25"/>
      <c r="T896" s="20" t="b">
        <v>1</v>
      </c>
      <c r="U896" s="25"/>
      <c r="V896" s="25">
        <v>170.68799999999999</v>
      </c>
      <c r="W896" s="28" t="s">
        <v>12118</v>
      </c>
      <c r="X896" s="28" t="s">
        <v>6285</v>
      </c>
      <c r="Y896" s="28" t="s">
        <v>6286</v>
      </c>
      <c r="Z896" s="28" t="s">
        <v>6287</v>
      </c>
      <c r="AA896" s="28" t="s">
        <v>6288</v>
      </c>
      <c r="AB896" s="28" t="s">
        <v>6297</v>
      </c>
    </row>
    <row r="897" spans="1:28" ht="185.4" x14ac:dyDescent="0.3">
      <c r="A897" s="25">
        <v>9040</v>
      </c>
      <c r="B897" s="25" t="s">
        <v>12098</v>
      </c>
      <c r="C897" s="25" t="s">
        <v>12119</v>
      </c>
      <c r="D897" s="25" t="s">
        <v>6291</v>
      </c>
      <c r="E897" s="16" t="s">
        <v>6786</v>
      </c>
      <c r="F897" s="16" t="s">
        <v>6786</v>
      </c>
      <c r="G897" s="16" t="s">
        <v>6786</v>
      </c>
      <c r="H897" s="16" t="s">
        <v>6786</v>
      </c>
      <c r="I897" s="25" t="s">
        <v>12100</v>
      </c>
      <c r="J897" s="25"/>
      <c r="K897" s="25" t="s">
        <v>6281</v>
      </c>
      <c r="L897" s="26" t="s">
        <v>12120</v>
      </c>
      <c r="M897" s="26" t="s">
        <v>6295</v>
      </c>
      <c r="N897" s="27" t="s">
        <v>12121</v>
      </c>
      <c r="O897" s="26" t="s">
        <v>6295</v>
      </c>
      <c r="P897" s="20" t="b">
        <v>1</v>
      </c>
      <c r="Q897" s="20" t="s">
        <v>6282</v>
      </c>
      <c r="R897" s="28" t="s">
        <v>6283</v>
      </c>
      <c r="S897" s="25"/>
      <c r="T897" s="20" t="b">
        <v>1</v>
      </c>
      <c r="U897" s="25"/>
      <c r="V897" s="25">
        <v>1.70919</v>
      </c>
      <c r="W897" s="28" t="s">
        <v>12122</v>
      </c>
      <c r="X897" s="28" t="s">
        <v>6285</v>
      </c>
      <c r="Y897" s="28" t="s">
        <v>6286</v>
      </c>
      <c r="Z897" s="28" t="s">
        <v>6287</v>
      </c>
      <c r="AA897" s="28" t="s">
        <v>6288</v>
      </c>
      <c r="AB897" s="28" t="s">
        <v>6297</v>
      </c>
    </row>
    <row r="898" spans="1:28" ht="185.4" x14ac:dyDescent="0.3">
      <c r="A898" s="25">
        <v>9041</v>
      </c>
      <c r="B898" s="25" t="s">
        <v>12123</v>
      </c>
      <c r="C898" s="25" t="s">
        <v>12124</v>
      </c>
      <c r="D898" s="25" t="s">
        <v>6278</v>
      </c>
      <c r="E898" s="16" t="s">
        <v>6279</v>
      </c>
      <c r="F898" s="16" t="s">
        <v>6279</v>
      </c>
      <c r="G898" s="16" t="s">
        <v>6279</v>
      </c>
      <c r="H898" s="16" t="s">
        <v>6279</v>
      </c>
      <c r="I898" s="25" t="s">
        <v>12125</v>
      </c>
      <c r="J898" s="25"/>
      <c r="K898" s="25" t="s">
        <v>6281</v>
      </c>
      <c r="L898" s="26" t="s">
        <v>12126</v>
      </c>
      <c r="M898" s="26" t="s">
        <v>6295</v>
      </c>
      <c r="N898" s="27" t="s">
        <v>12127</v>
      </c>
      <c r="O898" s="26" t="s">
        <v>6295</v>
      </c>
      <c r="P898" s="20" t="b">
        <v>1</v>
      </c>
      <c r="Q898" s="20" t="s">
        <v>6282</v>
      </c>
      <c r="R898" s="28" t="s">
        <v>6283</v>
      </c>
      <c r="S898" s="25"/>
      <c r="T898" s="20" t="b">
        <v>1</v>
      </c>
      <c r="U898" s="25"/>
      <c r="V898" s="25">
        <v>29.037500000000001</v>
      </c>
      <c r="W898" s="28" t="s">
        <v>12128</v>
      </c>
      <c r="X898" s="28" t="s">
        <v>6285</v>
      </c>
      <c r="Y898" s="28" t="s">
        <v>6286</v>
      </c>
      <c r="Z898" s="28" t="s">
        <v>6287</v>
      </c>
      <c r="AA898" s="28" t="s">
        <v>6288</v>
      </c>
      <c r="AB898" s="28" t="s">
        <v>6297</v>
      </c>
    </row>
    <row r="899" spans="1:28" ht="185.4" x14ac:dyDescent="0.3">
      <c r="A899" s="25">
        <v>9042</v>
      </c>
      <c r="B899" s="25" t="s">
        <v>12129</v>
      </c>
      <c r="C899" s="25" t="s">
        <v>12130</v>
      </c>
      <c r="D899" s="25" t="s">
        <v>6278</v>
      </c>
      <c r="E899" s="16" t="s">
        <v>6279</v>
      </c>
      <c r="F899" s="16" t="s">
        <v>6279</v>
      </c>
      <c r="G899" s="16" t="s">
        <v>6279</v>
      </c>
      <c r="H899" s="16" t="s">
        <v>6279</v>
      </c>
      <c r="I899" s="25" t="s">
        <v>12131</v>
      </c>
      <c r="J899" s="25"/>
      <c r="K899" s="25" t="s">
        <v>6281</v>
      </c>
      <c r="L899" s="26" t="s">
        <v>12132</v>
      </c>
      <c r="M899" s="26" t="s">
        <v>6295</v>
      </c>
      <c r="N899" s="27" t="s">
        <v>12133</v>
      </c>
      <c r="O899" s="26" t="s">
        <v>6295</v>
      </c>
      <c r="P899" s="20" t="b">
        <v>1</v>
      </c>
      <c r="Q899" s="20" t="s">
        <v>6282</v>
      </c>
      <c r="R899" s="28" t="s">
        <v>6283</v>
      </c>
      <c r="S899" s="25"/>
      <c r="T899" s="20" t="b">
        <v>1</v>
      </c>
      <c r="U899" s="25"/>
      <c r="V899" s="25">
        <v>52.3125</v>
      </c>
      <c r="W899" s="28" t="s">
        <v>12134</v>
      </c>
      <c r="X899" s="28" t="s">
        <v>6285</v>
      </c>
      <c r="Y899" s="28" t="s">
        <v>6286</v>
      </c>
      <c r="Z899" s="28" t="s">
        <v>6287</v>
      </c>
      <c r="AA899" s="28" t="s">
        <v>6288</v>
      </c>
      <c r="AB899" s="28" t="s">
        <v>6297</v>
      </c>
    </row>
    <row r="900" spans="1:28" ht="185.4" x14ac:dyDescent="0.3">
      <c r="A900" s="25">
        <v>9043</v>
      </c>
      <c r="B900" s="25" t="s">
        <v>12135</v>
      </c>
      <c r="C900" s="25" t="s">
        <v>12136</v>
      </c>
      <c r="D900" s="25" t="s">
        <v>6291</v>
      </c>
      <c r="E900" s="16" t="s">
        <v>6292</v>
      </c>
      <c r="F900" s="16" t="s">
        <v>6292</v>
      </c>
      <c r="G900" s="16" t="s">
        <v>6292</v>
      </c>
      <c r="H900" s="16" t="s">
        <v>6292</v>
      </c>
      <c r="I900" s="25" t="s">
        <v>12137</v>
      </c>
      <c r="J900" s="25"/>
      <c r="K900" s="25" t="s">
        <v>6281</v>
      </c>
      <c r="L900" s="26" t="s">
        <v>12138</v>
      </c>
      <c r="M900" s="26" t="s">
        <v>6295</v>
      </c>
      <c r="N900" s="27" t="s">
        <v>12139</v>
      </c>
      <c r="O900" s="26" t="s">
        <v>6295</v>
      </c>
      <c r="P900" s="20" t="b">
        <v>1</v>
      </c>
      <c r="Q900" s="20" t="s">
        <v>6282</v>
      </c>
      <c r="R900" s="28" t="s">
        <v>6283</v>
      </c>
      <c r="S900" s="25"/>
      <c r="T900" s="20" t="b">
        <v>1</v>
      </c>
      <c r="U900" s="25"/>
      <c r="V900" s="25">
        <v>50.561500000000002</v>
      </c>
      <c r="W900" s="28" t="s">
        <v>12140</v>
      </c>
      <c r="X900" s="28" t="s">
        <v>6285</v>
      </c>
      <c r="Y900" s="28" t="s">
        <v>6286</v>
      </c>
      <c r="Z900" s="28" t="s">
        <v>6287</v>
      </c>
      <c r="AA900" s="28" t="s">
        <v>6288</v>
      </c>
      <c r="AB900" s="28" t="s">
        <v>6297</v>
      </c>
    </row>
    <row r="901" spans="1:28" ht="185.4" x14ac:dyDescent="0.3">
      <c r="A901" s="25">
        <v>9044</v>
      </c>
      <c r="B901" s="25" t="s">
        <v>12141</v>
      </c>
      <c r="C901" s="25" t="s">
        <v>12142</v>
      </c>
      <c r="D901" s="25" t="s">
        <v>6278</v>
      </c>
      <c r="E901" s="16" t="s">
        <v>6279</v>
      </c>
      <c r="F901" s="16" t="s">
        <v>6279</v>
      </c>
      <c r="G901" s="16" t="s">
        <v>6279</v>
      </c>
      <c r="H901" s="16" t="s">
        <v>6279</v>
      </c>
      <c r="I901" s="25" t="s">
        <v>12143</v>
      </c>
      <c r="J901" s="25"/>
      <c r="K901" s="25" t="s">
        <v>6281</v>
      </c>
      <c r="L901" s="26" t="s">
        <v>12144</v>
      </c>
      <c r="M901" s="26" t="s">
        <v>6295</v>
      </c>
      <c r="N901" s="27" t="s">
        <v>12145</v>
      </c>
      <c r="O901" s="26" t="s">
        <v>6295</v>
      </c>
      <c r="P901" s="20" t="b">
        <v>1</v>
      </c>
      <c r="Q901" s="20" t="s">
        <v>6282</v>
      </c>
      <c r="R901" s="28" t="s">
        <v>6283</v>
      </c>
      <c r="S901" s="25"/>
      <c r="T901" s="20" t="b">
        <v>1</v>
      </c>
      <c r="U901" s="25"/>
      <c r="V901" s="25">
        <v>303.51</v>
      </c>
      <c r="W901" s="28" t="s">
        <v>12146</v>
      </c>
      <c r="X901" s="28" t="s">
        <v>6285</v>
      </c>
      <c r="Y901" s="28" t="s">
        <v>6286</v>
      </c>
      <c r="Z901" s="28" t="s">
        <v>6287</v>
      </c>
      <c r="AA901" s="28" t="s">
        <v>6288</v>
      </c>
      <c r="AB901" s="28" t="s">
        <v>6297</v>
      </c>
    </row>
    <row r="902" spans="1:28" ht="185.4" x14ac:dyDescent="0.3">
      <c r="A902" s="25">
        <v>9045</v>
      </c>
      <c r="B902" s="25" t="s">
        <v>12147</v>
      </c>
      <c r="C902" s="25" t="s">
        <v>12148</v>
      </c>
      <c r="D902" s="25" t="s">
        <v>6291</v>
      </c>
      <c r="E902" s="16" t="s">
        <v>6292</v>
      </c>
      <c r="F902" s="16" t="s">
        <v>6292</v>
      </c>
      <c r="G902" s="16" t="s">
        <v>6292</v>
      </c>
      <c r="H902" s="16" t="s">
        <v>6292</v>
      </c>
      <c r="I902" s="25" t="s">
        <v>12149</v>
      </c>
      <c r="J902" s="25"/>
      <c r="K902" s="25" t="s">
        <v>6281</v>
      </c>
      <c r="L902" s="26" t="s">
        <v>12150</v>
      </c>
      <c r="M902" s="26" t="s">
        <v>10903</v>
      </c>
      <c r="N902" s="27" t="s">
        <v>12151</v>
      </c>
      <c r="O902" s="26" t="s">
        <v>6295</v>
      </c>
      <c r="P902" s="20" t="b">
        <v>1</v>
      </c>
      <c r="Q902" s="20" t="s">
        <v>6282</v>
      </c>
      <c r="R902" s="28" t="s">
        <v>6283</v>
      </c>
      <c r="S902" s="25"/>
      <c r="T902" s="20" t="b">
        <v>1</v>
      </c>
      <c r="U902" s="25"/>
      <c r="V902" s="25">
        <v>534.21600000000001</v>
      </c>
      <c r="W902" s="28" t="s">
        <v>12152</v>
      </c>
      <c r="X902" s="28" t="s">
        <v>6285</v>
      </c>
      <c r="Y902" s="28" t="s">
        <v>6286</v>
      </c>
      <c r="Z902" s="28" t="s">
        <v>6287</v>
      </c>
      <c r="AA902" s="28" t="s">
        <v>6288</v>
      </c>
      <c r="AB902" s="28" t="s">
        <v>6297</v>
      </c>
    </row>
    <row r="903" spans="1:28" ht="185.4" x14ac:dyDescent="0.3">
      <c r="A903" s="25">
        <v>9046</v>
      </c>
      <c r="B903" s="25" t="s">
        <v>12153</v>
      </c>
      <c r="C903" s="25" t="s">
        <v>12154</v>
      </c>
      <c r="D903" s="25" t="s">
        <v>6291</v>
      </c>
      <c r="E903" s="16" t="s">
        <v>6292</v>
      </c>
      <c r="F903" s="16" t="s">
        <v>6292</v>
      </c>
      <c r="G903" s="16" t="s">
        <v>6292</v>
      </c>
      <c r="H903" s="16" t="s">
        <v>6292</v>
      </c>
      <c r="I903" s="25" t="s">
        <v>12155</v>
      </c>
      <c r="J903" s="25"/>
      <c r="K903" s="25" t="s">
        <v>6281</v>
      </c>
      <c r="L903" s="26" t="s">
        <v>12156</v>
      </c>
      <c r="M903" s="26" t="s">
        <v>6295</v>
      </c>
      <c r="N903" s="27" t="s">
        <v>12157</v>
      </c>
      <c r="O903" s="26" t="s">
        <v>6295</v>
      </c>
      <c r="P903" s="20" t="b">
        <v>1</v>
      </c>
      <c r="Q903" s="20" t="s">
        <v>6282</v>
      </c>
      <c r="R903" s="28" t="s">
        <v>6283</v>
      </c>
      <c r="S903" s="25"/>
      <c r="T903" s="20" t="b">
        <v>1</v>
      </c>
      <c r="U903" s="25"/>
      <c r="V903" s="25">
        <v>542.43650000000002</v>
      </c>
      <c r="W903" s="28" t="s">
        <v>12158</v>
      </c>
      <c r="X903" s="28" t="s">
        <v>6285</v>
      </c>
      <c r="Y903" s="28" t="s">
        <v>6286</v>
      </c>
      <c r="Z903" s="28" t="s">
        <v>6287</v>
      </c>
      <c r="AA903" s="28" t="s">
        <v>6288</v>
      </c>
      <c r="AB903" s="28" t="s">
        <v>6297</v>
      </c>
    </row>
    <row r="904" spans="1:28" ht="185.4" x14ac:dyDescent="0.3">
      <c r="A904" s="25">
        <v>9047</v>
      </c>
      <c r="B904" s="25" t="s">
        <v>12159</v>
      </c>
      <c r="C904" s="25" t="s">
        <v>12160</v>
      </c>
      <c r="D904" s="25" t="s">
        <v>6291</v>
      </c>
      <c r="E904" s="16" t="s">
        <v>6786</v>
      </c>
      <c r="F904" s="16" t="s">
        <v>6786</v>
      </c>
      <c r="G904" s="16" t="s">
        <v>6786</v>
      </c>
      <c r="H904" s="16" t="s">
        <v>6786</v>
      </c>
      <c r="I904" s="25" t="s">
        <v>12161</v>
      </c>
      <c r="J904" s="25"/>
      <c r="K904" s="25" t="s">
        <v>6281</v>
      </c>
      <c r="L904" s="26" t="s">
        <v>12162</v>
      </c>
      <c r="M904" s="26" t="s">
        <v>12163</v>
      </c>
      <c r="N904" s="27" t="s">
        <v>12164</v>
      </c>
      <c r="O904" s="26" t="s">
        <v>6295</v>
      </c>
      <c r="P904" s="20" t="b">
        <v>1</v>
      </c>
      <c r="Q904" s="20" t="s">
        <v>6282</v>
      </c>
      <c r="R904" s="28" t="s">
        <v>6283</v>
      </c>
      <c r="S904" s="25"/>
      <c r="T904" s="20" t="b">
        <v>1</v>
      </c>
      <c r="U904" s="25"/>
      <c r="V904" s="25">
        <v>5.6356299999999999</v>
      </c>
      <c r="W904" s="28" t="s">
        <v>12165</v>
      </c>
      <c r="X904" s="28" t="s">
        <v>6285</v>
      </c>
      <c r="Y904" s="28" t="s">
        <v>6286</v>
      </c>
      <c r="Z904" s="28" t="s">
        <v>6287</v>
      </c>
      <c r="AA904" s="28" t="s">
        <v>6288</v>
      </c>
      <c r="AB904" s="28" t="s">
        <v>6297</v>
      </c>
    </row>
    <row r="905" spans="1:28" ht="185.4" x14ac:dyDescent="0.3">
      <c r="A905" s="25">
        <v>9048</v>
      </c>
      <c r="B905" s="25" t="s">
        <v>12159</v>
      </c>
      <c r="C905" s="25" t="s">
        <v>12166</v>
      </c>
      <c r="D905" s="25" t="s">
        <v>6291</v>
      </c>
      <c r="E905" s="16" t="s">
        <v>6786</v>
      </c>
      <c r="F905" s="16" t="s">
        <v>6786</v>
      </c>
      <c r="G905" s="16" t="s">
        <v>6786</v>
      </c>
      <c r="H905" s="16" t="s">
        <v>6786</v>
      </c>
      <c r="I905" s="25" t="s">
        <v>12161</v>
      </c>
      <c r="J905" s="25"/>
      <c r="K905" s="25" t="s">
        <v>6281</v>
      </c>
      <c r="L905" s="26" t="s">
        <v>12162</v>
      </c>
      <c r="M905" s="26" t="s">
        <v>12163</v>
      </c>
      <c r="N905" s="27" t="s">
        <v>12164</v>
      </c>
      <c r="O905" s="26" t="s">
        <v>6295</v>
      </c>
      <c r="P905" s="20" t="b">
        <v>1</v>
      </c>
      <c r="Q905" s="20" t="s">
        <v>6282</v>
      </c>
      <c r="R905" s="28" t="s">
        <v>6283</v>
      </c>
      <c r="S905" s="25"/>
      <c r="T905" s="20" t="b">
        <v>1</v>
      </c>
      <c r="U905" s="25"/>
      <c r="V905" s="25">
        <v>5.6356299999999999</v>
      </c>
      <c r="W905" s="28" t="s">
        <v>12167</v>
      </c>
      <c r="X905" s="28" t="s">
        <v>6285</v>
      </c>
      <c r="Y905" s="28" t="s">
        <v>6286</v>
      </c>
      <c r="Z905" s="28" t="s">
        <v>6287</v>
      </c>
      <c r="AA905" s="28" t="s">
        <v>6288</v>
      </c>
      <c r="AB905" s="28" t="s">
        <v>6297</v>
      </c>
    </row>
    <row r="906" spans="1:28" ht="185.4" x14ac:dyDescent="0.3">
      <c r="A906" s="25">
        <v>9049</v>
      </c>
      <c r="B906" s="25" t="s">
        <v>12168</v>
      </c>
      <c r="C906" s="25" t="s">
        <v>12169</v>
      </c>
      <c r="D906" s="25" t="s">
        <v>6291</v>
      </c>
      <c r="E906" s="16" t="s">
        <v>6786</v>
      </c>
      <c r="F906" s="16" t="s">
        <v>6786</v>
      </c>
      <c r="G906" s="16" t="s">
        <v>6786</v>
      </c>
      <c r="H906" s="16" t="s">
        <v>6786</v>
      </c>
      <c r="I906" s="25" t="s">
        <v>12170</v>
      </c>
      <c r="J906" s="25"/>
      <c r="K906" s="25" t="s">
        <v>6281</v>
      </c>
      <c r="L906" s="26" t="s">
        <v>12171</v>
      </c>
      <c r="M906" s="26" t="s">
        <v>12163</v>
      </c>
      <c r="N906" s="27" t="s">
        <v>12172</v>
      </c>
      <c r="O906" s="26" t="s">
        <v>6295</v>
      </c>
      <c r="P906" s="20" t="b">
        <v>1</v>
      </c>
      <c r="Q906" s="20" t="s">
        <v>6282</v>
      </c>
      <c r="R906" s="28" t="s">
        <v>6283</v>
      </c>
      <c r="S906" s="25"/>
      <c r="T906" s="20" t="b">
        <v>1</v>
      </c>
      <c r="U906" s="25"/>
      <c r="V906" s="25">
        <v>5.51356</v>
      </c>
      <c r="W906" s="28" t="s">
        <v>12173</v>
      </c>
      <c r="X906" s="28" t="s">
        <v>6285</v>
      </c>
      <c r="Y906" s="28" t="s">
        <v>6286</v>
      </c>
      <c r="Z906" s="28" t="s">
        <v>6287</v>
      </c>
      <c r="AA906" s="28" t="s">
        <v>6288</v>
      </c>
      <c r="AB906" s="28" t="s">
        <v>6297</v>
      </c>
    </row>
    <row r="907" spans="1:28" ht="185.4" x14ac:dyDescent="0.3">
      <c r="A907" s="25">
        <v>9050</v>
      </c>
      <c r="B907" s="25" t="s">
        <v>12168</v>
      </c>
      <c r="C907" s="25" t="s">
        <v>12174</v>
      </c>
      <c r="D907" s="25" t="s">
        <v>6291</v>
      </c>
      <c r="E907" s="16" t="s">
        <v>6786</v>
      </c>
      <c r="F907" s="16" t="s">
        <v>6786</v>
      </c>
      <c r="G907" s="16" t="s">
        <v>6786</v>
      </c>
      <c r="H907" s="16" t="s">
        <v>6786</v>
      </c>
      <c r="I907" s="25" t="s">
        <v>12170</v>
      </c>
      <c r="J907" s="25"/>
      <c r="K907" s="25" t="s">
        <v>6281</v>
      </c>
      <c r="L907" s="26" t="s">
        <v>12175</v>
      </c>
      <c r="M907" s="26" t="s">
        <v>12163</v>
      </c>
      <c r="N907" s="27" t="s">
        <v>12172</v>
      </c>
      <c r="O907" s="26" t="s">
        <v>6295</v>
      </c>
      <c r="P907" s="20" t="b">
        <v>1</v>
      </c>
      <c r="Q907" s="20" t="s">
        <v>6282</v>
      </c>
      <c r="R907" s="28" t="s">
        <v>6283</v>
      </c>
      <c r="S907" s="25"/>
      <c r="T907" s="20" t="b">
        <v>1</v>
      </c>
      <c r="U907" s="25"/>
      <c r="V907" s="25">
        <v>5.51356</v>
      </c>
      <c r="W907" s="28" t="s">
        <v>12176</v>
      </c>
      <c r="X907" s="28" t="s">
        <v>6285</v>
      </c>
      <c r="Y907" s="28" t="s">
        <v>6286</v>
      </c>
      <c r="Z907" s="28" t="s">
        <v>6287</v>
      </c>
      <c r="AA907" s="28" t="s">
        <v>6288</v>
      </c>
      <c r="AB907" s="28" t="s">
        <v>6297</v>
      </c>
    </row>
    <row r="908" spans="1:28" ht="185.4" x14ac:dyDescent="0.3">
      <c r="A908" s="25">
        <v>9051</v>
      </c>
      <c r="B908" s="25" t="s">
        <v>12098</v>
      </c>
      <c r="C908" s="25" t="s">
        <v>12119</v>
      </c>
      <c r="D908" s="25" t="s">
        <v>6291</v>
      </c>
      <c r="E908" s="16" t="s">
        <v>6786</v>
      </c>
      <c r="F908" s="16" t="s">
        <v>6786</v>
      </c>
      <c r="G908" s="16" t="s">
        <v>6786</v>
      </c>
      <c r="H908" s="16" t="s">
        <v>6786</v>
      </c>
      <c r="I908" s="25" t="s">
        <v>12100</v>
      </c>
      <c r="J908" s="25"/>
      <c r="K908" s="25" t="s">
        <v>6281</v>
      </c>
      <c r="L908" s="26" t="s">
        <v>12177</v>
      </c>
      <c r="M908" s="26" t="s">
        <v>12178</v>
      </c>
      <c r="N908" s="27" t="s">
        <v>12179</v>
      </c>
      <c r="O908" s="26" t="s">
        <v>6295</v>
      </c>
      <c r="P908" s="20" t="b">
        <v>1</v>
      </c>
      <c r="Q908" s="20" t="s">
        <v>6282</v>
      </c>
      <c r="R908" s="28" t="s">
        <v>6283</v>
      </c>
      <c r="S908" s="25"/>
      <c r="T908" s="20" t="b">
        <v>1</v>
      </c>
      <c r="U908" s="25"/>
      <c r="V908" s="25">
        <v>1.53</v>
      </c>
      <c r="W908" s="28" t="s">
        <v>12180</v>
      </c>
      <c r="X908" s="28" t="s">
        <v>6285</v>
      </c>
      <c r="Y908" s="28" t="s">
        <v>6286</v>
      </c>
      <c r="Z908" s="28" t="s">
        <v>6287</v>
      </c>
      <c r="AA908" s="28" t="s">
        <v>6288</v>
      </c>
      <c r="AB908" s="28" t="s">
        <v>6297</v>
      </c>
    </row>
    <row r="909" spans="1:28" ht="185.4" x14ac:dyDescent="0.3">
      <c r="A909" s="25">
        <v>9052</v>
      </c>
      <c r="B909" s="25" t="s">
        <v>12098</v>
      </c>
      <c r="C909" s="25" t="s">
        <v>12181</v>
      </c>
      <c r="D909" s="25" t="s">
        <v>6291</v>
      </c>
      <c r="E909" s="16" t="s">
        <v>6786</v>
      </c>
      <c r="F909" s="16" t="s">
        <v>6786</v>
      </c>
      <c r="G909" s="16" t="s">
        <v>6786</v>
      </c>
      <c r="H909" s="16" t="s">
        <v>6786</v>
      </c>
      <c r="I909" s="25" t="s">
        <v>12100</v>
      </c>
      <c r="J909" s="25"/>
      <c r="K909" s="25" t="s">
        <v>6281</v>
      </c>
      <c r="L909" s="26" t="s">
        <v>12182</v>
      </c>
      <c r="M909" s="26" t="s">
        <v>12183</v>
      </c>
      <c r="N909" s="27" t="s">
        <v>12184</v>
      </c>
      <c r="O909" s="26" t="s">
        <v>6295</v>
      </c>
      <c r="P909" s="20" t="b">
        <v>1</v>
      </c>
      <c r="Q909" s="20" t="s">
        <v>6282</v>
      </c>
      <c r="R909" s="28" t="s">
        <v>6283</v>
      </c>
      <c r="S909" s="25"/>
      <c r="T909" s="20" t="b">
        <v>1</v>
      </c>
      <c r="U909" s="25"/>
      <c r="V909" s="25">
        <v>1.53</v>
      </c>
      <c r="W909" s="28" t="s">
        <v>12185</v>
      </c>
      <c r="X909" s="28" t="s">
        <v>6285</v>
      </c>
      <c r="Y909" s="28" t="s">
        <v>6286</v>
      </c>
      <c r="Z909" s="28" t="s">
        <v>6287</v>
      </c>
      <c r="AA909" s="28" t="s">
        <v>6288</v>
      </c>
      <c r="AB909" s="28" t="s">
        <v>6297</v>
      </c>
    </row>
    <row r="910" spans="1:28" ht="185.4" x14ac:dyDescent="0.3">
      <c r="A910" s="25">
        <v>9053</v>
      </c>
      <c r="B910" s="25" t="s">
        <v>12186</v>
      </c>
      <c r="C910" s="25" t="s">
        <v>12187</v>
      </c>
      <c r="D910" s="25" t="s">
        <v>6291</v>
      </c>
      <c r="E910" s="16" t="s">
        <v>6292</v>
      </c>
      <c r="F910" s="16" t="s">
        <v>6292</v>
      </c>
      <c r="G910" s="16" t="s">
        <v>6292</v>
      </c>
      <c r="H910" s="16" t="s">
        <v>6292</v>
      </c>
      <c r="I910" s="25" t="s">
        <v>12188</v>
      </c>
      <c r="J910" s="25"/>
      <c r="K910" s="25" t="s">
        <v>6281</v>
      </c>
      <c r="L910" s="26" t="s">
        <v>12189</v>
      </c>
      <c r="M910" s="26" t="s">
        <v>12190</v>
      </c>
      <c r="N910" s="27" t="s">
        <v>12191</v>
      </c>
      <c r="O910" s="26" t="s">
        <v>12192</v>
      </c>
      <c r="P910" s="20" t="b">
        <v>1</v>
      </c>
      <c r="Q910" s="20" t="s">
        <v>6282</v>
      </c>
      <c r="R910" s="28" t="s">
        <v>6283</v>
      </c>
      <c r="S910" s="25"/>
      <c r="T910" s="20" t="b">
        <v>1</v>
      </c>
      <c r="U910" s="25"/>
      <c r="V910" s="25">
        <v>309.19900000000001</v>
      </c>
      <c r="W910" s="28" t="s">
        <v>12193</v>
      </c>
      <c r="X910" s="28" t="s">
        <v>6285</v>
      </c>
      <c r="Y910" s="28" t="s">
        <v>6286</v>
      </c>
      <c r="Z910" s="28" t="s">
        <v>6287</v>
      </c>
      <c r="AA910" s="28" t="s">
        <v>6288</v>
      </c>
      <c r="AB910" s="28" t="s">
        <v>6297</v>
      </c>
    </row>
    <row r="911" spans="1:28" ht="185.4" x14ac:dyDescent="0.3">
      <c r="A911" s="25">
        <v>9054</v>
      </c>
      <c r="B911" s="25" t="s">
        <v>12194</v>
      </c>
      <c r="C911" s="25" t="s">
        <v>12195</v>
      </c>
      <c r="D911" s="25" t="s">
        <v>6278</v>
      </c>
      <c r="E911" s="16" t="s">
        <v>6279</v>
      </c>
      <c r="F911" s="16" t="s">
        <v>6279</v>
      </c>
      <c r="G911" s="16" t="s">
        <v>6279</v>
      </c>
      <c r="H911" s="16" t="s">
        <v>6279</v>
      </c>
      <c r="I911" s="25" t="s">
        <v>12196</v>
      </c>
      <c r="J911" s="25"/>
      <c r="K911" s="25" t="s">
        <v>6281</v>
      </c>
      <c r="L911" s="26" t="s">
        <v>12197</v>
      </c>
      <c r="M911" s="26" t="s">
        <v>12198</v>
      </c>
      <c r="N911" s="27" t="s">
        <v>12199</v>
      </c>
      <c r="O911" s="26" t="s">
        <v>12200</v>
      </c>
      <c r="P911" s="20" t="b">
        <v>1</v>
      </c>
      <c r="Q911" s="20" t="s">
        <v>6282</v>
      </c>
      <c r="R911" s="28" t="s">
        <v>6283</v>
      </c>
      <c r="S911" s="25"/>
      <c r="T911" s="20" t="b">
        <v>1</v>
      </c>
      <c r="U911" s="25"/>
      <c r="V911" s="25">
        <v>148.47839999999999</v>
      </c>
      <c r="W911" s="28" t="s">
        <v>12201</v>
      </c>
      <c r="X911" s="28" t="s">
        <v>6285</v>
      </c>
      <c r="Y911" s="28" t="s">
        <v>6286</v>
      </c>
      <c r="Z911" s="28" t="s">
        <v>6287</v>
      </c>
      <c r="AA911" s="28" t="s">
        <v>6288</v>
      </c>
      <c r="AB911" s="28" t="s">
        <v>6297</v>
      </c>
    </row>
    <row r="912" spans="1:28" ht="185.4" x14ac:dyDescent="0.3">
      <c r="A912" s="25">
        <v>9055</v>
      </c>
      <c r="B912" s="25" t="s">
        <v>12202</v>
      </c>
      <c r="C912" s="25" t="s">
        <v>12203</v>
      </c>
      <c r="D912" s="25" t="s">
        <v>6291</v>
      </c>
      <c r="E912" s="16" t="s">
        <v>6292</v>
      </c>
      <c r="F912" s="16" t="s">
        <v>6292</v>
      </c>
      <c r="G912" s="16" t="s">
        <v>6292</v>
      </c>
      <c r="H912" s="16" t="s">
        <v>6292</v>
      </c>
      <c r="I912" s="25" t="s">
        <v>12204</v>
      </c>
      <c r="J912" s="25"/>
      <c r="K912" s="25" t="s">
        <v>6281</v>
      </c>
      <c r="L912" s="26" t="s">
        <v>12205</v>
      </c>
      <c r="M912" s="26" t="s">
        <v>12206</v>
      </c>
      <c r="N912" s="27" t="s">
        <v>12207</v>
      </c>
      <c r="O912" s="26" t="s">
        <v>12208</v>
      </c>
      <c r="P912" s="20" t="b">
        <v>1</v>
      </c>
      <c r="Q912" s="20" t="s">
        <v>6282</v>
      </c>
      <c r="R912" s="28" t="s">
        <v>6283</v>
      </c>
      <c r="S912" s="25"/>
      <c r="T912" s="20" t="b">
        <v>1</v>
      </c>
      <c r="U912" s="25"/>
      <c r="V912" s="25">
        <v>2120.37</v>
      </c>
      <c r="W912" s="28" t="s">
        <v>12209</v>
      </c>
      <c r="X912" s="28" t="s">
        <v>6285</v>
      </c>
      <c r="Y912" s="28" t="s">
        <v>6286</v>
      </c>
      <c r="Z912" s="28" t="s">
        <v>6287</v>
      </c>
      <c r="AA912" s="28" t="s">
        <v>6288</v>
      </c>
      <c r="AB912" s="28" t="s">
        <v>6297</v>
      </c>
    </row>
    <row r="913" spans="1:28" ht="185.4" x14ac:dyDescent="0.3">
      <c r="A913" s="25">
        <v>9056</v>
      </c>
      <c r="B913" s="25" t="s">
        <v>12210</v>
      </c>
      <c r="C913" s="25" t="s">
        <v>12211</v>
      </c>
      <c r="D913" s="25" t="s">
        <v>6278</v>
      </c>
      <c r="E913" s="16" t="s">
        <v>6279</v>
      </c>
      <c r="F913" s="16" t="s">
        <v>6279</v>
      </c>
      <c r="G913" s="16" t="s">
        <v>6279</v>
      </c>
      <c r="H913" s="16" t="s">
        <v>6279</v>
      </c>
      <c r="I913" s="25" t="s">
        <v>12212</v>
      </c>
      <c r="J913" s="25"/>
      <c r="K913" s="25" t="s">
        <v>6281</v>
      </c>
      <c r="L913" s="26" t="s">
        <v>12213</v>
      </c>
      <c r="M913" s="26" t="s">
        <v>10882</v>
      </c>
      <c r="N913" s="27" t="s">
        <v>12214</v>
      </c>
      <c r="O913" s="26" t="s">
        <v>6295</v>
      </c>
      <c r="P913" s="20" t="b">
        <v>1</v>
      </c>
      <c r="Q913" s="20" t="s">
        <v>6282</v>
      </c>
      <c r="R913" s="28" t="s">
        <v>6283</v>
      </c>
      <c r="S913" s="25"/>
      <c r="T913" s="20" t="b">
        <v>1</v>
      </c>
      <c r="U913" s="25"/>
      <c r="V913" s="25">
        <v>203.56</v>
      </c>
      <c r="W913" s="28" t="s">
        <v>12215</v>
      </c>
      <c r="X913" s="28" t="s">
        <v>6285</v>
      </c>
      <c r="Y913" s="28" t="s">
        <v>6286</v>
      </c>
      <c r="Z913" s="28" t="s">
        <v>6287</v>
      </c>
      <c r="AA913" s="28" t="s">
        <v>6288</v>
      </c>
      <c r="AB913" s="28" t="s">
        <v>6297</v>
      </c>
    </row>
    <row r="914" spans="1:28" ht="185.4" x14ac:dyDescent="0.3">
      <c r="A914" s="25">
        <v>9057</v>
      </c>
      <c r="B914" s="25" t="s">
        <v>12216</v>
      </c>
      <c r="C914" s="25" t="s">
        <v>12217</v>
      </c>
      <c r="D914" s="25" t="s">
        <v>6291</v>
      </c>
      <c r="E914" s="16" t="s">
        <v>6786</v>
      </c>
      <c r="F914" s="16" t="s">
        <v>6786</v>
      </c>
      <c r="G914" s="16" t="s">
        <v>6786</v>
      </c>
      <c r="H914" s="16" t="s">
        <v>6786</v>
      </c>
      <c r="I914" s="25" t="s">
        <v>12218</v>
      </c>
      <c r="J914" s="25"/>
      <c r="K914" s="25" t="s">
        <v>6281</v>
      </c>
      <c r="L914" s="26" t="s">
        <v>12219</v>
      </c>
      <c r="M914" s="26" t="s">
        <v>12220</v>
      </c>
      <c r="N914" s="27" t="s">
        <v>12221</v>
      </c>
      <c r="O914" s="26" t="s">
        <v>12222</v>
      </c>
      <c r="P914" s="20" t="b">
        <v>1</v>
      </c>
      <c r="Q914" s="20" t="s">
        <v>6282</v>
      </c>
      <c r="R914" s="28" t="s">
        <v>6283</v>
      </c>
      <c r="S914" s="25"/>
      <c r="T914" s="20" t="b">
        <v>1</v>
      </c>
      <c r="U914" s="25"/>
      <c r="V914" s="25">
        <v>3.8465699999999998</v>
      </c>
      <c r="W914" s="28" t="s">
        <v>12223</v>
      </c>
      <c r="X914" s="28" t="s">
        <v>6285</v>
      </c>
      <c r="Y914" s="28" t="s">
        <v>6286</v>
      </c>
      <c r="Z914" s="28" t="s">
        <v>6287</v>
      </c>
      <c r="AA914" s="28" t="s">
        <v>6288</v>
      </c>
      <c r="AB914" s="28" t="s">
        <v>6297</v>
      </c>
    </row>
    <row r="915" spans="1:28" ht="185.4" x14ac:dyDescent="0.3">
      <c r="A915" s="25">
        <v>9058</v>
      </c>
      <c r="B915" s="25" t="s">
        <v>12224</v>
      </c>
      <c r="C915" s="25" t="s">
        <v>12225</v>
      </c>
      <c r="D915" s="25" t="s">
        <v>6291</v>
      </c>
      <c r="E915" s="16" t="s">
        <v>6786</v>
      </c>
      <c r="F915" s="16" t="s">
        <v>6786</v>
      </c>
      <c r="G915" s="16" t="s">
        <v>6786</v>
      </c>
      <c r="H915" s="16" t="s">
        <v>6786</v>
      </c>
      <c r="I915" s="25" t="s">
        <v>12226</v>
      </c>
      <c r="J915" s="25"/>
      <c r="K915" s="25" t="s">
        <v>6281</v>
      </c>
      <c r="L915" s="26" t="s">
        <v>12227</v>
      </c>
      <c r="M915" s="26" t="s">
        <v>6295</v>
      </c>
      <c r="N915" s="27" t="s">
        <v>12228</v>
      </c>
      <c r="O915" s="26" t="s">
        <v>6295</v>
      </c>
      <c r="P915" s="20" t="b">
        <v>1</v>
      </c>
      <c r="Q915" s="20" t="s">
        <v>6282</v>
      </c>
      <c r="R915" s="28" t="s">
        <v>6283</v>
      </c>
      <c r="S915" s="25"/>
      <c r="T915" s="20" t="b">
        <v>1</v>
      </c>
      <c r="U915" s="25"/>
      <c r="V915" s="25">
        <v>3.1286849999999999</v>
      </c>
      <c r="W915" s="28" t="s">
        <v>12229</v>
      </c>
      <c r="X915" s="28" t="s">
        <v>6285</v>
      </c>
      <c r="Y915" s="28" t="s">
        <v>6286</v>
      </c>
      <c r="Z915" s="28" t="s">
        <v>6287</v>
      </c>
      <c r="AA915" s="28" t="s">
        <v>6288</v>
      </c>
      <c r="AB915" s="28" t="s">
        <v>6297</v>
      </c>
    </row>
    <row r="916" spans="1:28" ht="185.4" x14ac:dyDescent="0.3">
      <c r="A916" s="25">
        <v>9059</v>
      </c>
      <c r="B916" s="25" t="s">
        <v>12230</v>
      </c>
      <c r="C916" s="25" t="s">
        <v>12231</v>
      </c>
      <c r="D916" s="25" t="s">
        <v>6291</v>
      </c>
      <c r="E916" s="16" t="s">
        <v>6292</v>
      </c>
      <c r="F916" s="16" t="s">
        <v>6292</v>
      </c>
      <c r="G916" s="16" t="s">
        <v>6292</v>
      </c>
      <c r="H916" s="16" t="s">
        <v>6292</v>
      </c>
      <c r="I916" s="25" t="s">
        <v>12232</v>
      </c>
      <c r="J916" s="25"/>
      <c r="K916" s="25" t="s">
        <v>6281</v>
      </c>
      <c r="L916" s="26" t="s">
        <v>12233</v>
      </c>
      <c r="M916" s="26" t="s">
        <v>6295</v>
      </c>
      <c r="N916" s="27" t="s">
        <v>12234</v>
      </c>
      <c r="O916" s="26" t="s">
        <v>6295</v>
      </c>
      <c r="P916" s="20" t="b">
        <v>1</v>
      </c>
      <c r="Q916" s="20" t="s">
        <v>6282</v>
      </c>
      <c r="R916" s="28" t="s">
        <v>6283</v>
      </c>
      <c r="S916" s="25"/>
      <c r="T916" s="20" t="b">
        <v>1</v>
      </c>
      <c r="U916" s="25"/>
      <c r="V916" s="25" t="s">
        <v>6295</v>
      </c>
      <c r="W916" s="28" t="s">
        <v>12235</v>
      </c>
      <c r="X916" s="28" t="s">
        <v>6285</v>
      </c>
      <c r="Y916" s="28" t="s">
        <v>6286</v>
      </c>
      <c r="Z916" s="28" t="s">
        <v>6287</v>
      </c>
      <c r="AA916" s="28" t="s">
        <v>6288</v>
      </c>
      <c r="AB916" s="28" t="s">
        <v>6297</v>
      </c>
    </row>
    <row r="917" spans="1:28" ht="185.4" x14ac:dyDescent="0.3">
      <c r="A917" s="25">
        <v>9060</v>
      </c>
      <c r="B917" s="25" t="s">
        <v>12236</v>
      </c>
      <c r="C917" s="25" t="s">
        <v>12237</v>
      </c>
      <c r="D917" s="25" t="s">
        <v>6291</v>
      </c>
      <c r="E917" s="16" t="s">
        <v>6786</v>
      </c>
      <c r="F917" s="16" t="s">
        <v>6786</v>
      </c>
      <c r="G917" s="16" t="s">
        <v>6786</v>
      </c>
      <c r="H917" s="16" t="s">
        <v>6786</v>
      </c>
      <c r="I917" s="25" t="s">
        <v>12238</v>
      </c>
      <c r="J917" s="25"/>
      <c r="K917" s="25" t="s">
        <v>6281</v>
      </c>
      <c r="L917" s="26" t="s">
        <v>12239</v>
      </c>
      <c r="M917" s="26" t="s">
        <v>12240</v>
      </c>
      <c r="N917" s="27" t="s">
        <v>12241</v>
      </c>
      <c r="O917" s="26" t="s">
        <v>6295</v>
      </c>
      <c r="P917" s="20" t="b">
        <v>1</v>
      </c>
      <c r="Q917" s="20" t="s">
        <v>6282</v>
      </c>
      <c r="R917" s="28" t="s">
        <v>6283</v>
      </c>
      <c r="S917" s="25"/>
      <c r="T917" s="20" t="b">
        <v>1</v>
      </c>
      <c r="U917" s="25"/>
      <c r="V917" s="25">
        <v>0.46704000000000001</v>
      </c>
      <c r="W917" s="28" t="s">
        <v>12242</v>
      </c>
      <c r="X917" s="28" t="s">
        <v>6285</v>
      </c>
      <c r="Y917" s="28" t="s">
        <v>6286</v>
      </c>
      <c r="Z917" s="28" t="s">
        <v>6287</v>
      </c>
      <c r="AA917" s="28" t="s">
        <v>6288</v>
      </c>
      <c r="AB917" s="28" t="s">
        <v>6297</v>
      </c>
    </row>
    <row r="918" spans="1:28" ht="185.4" x14ac:dyDescent="0.3">
      <c r="A918" s="25">
        <v>9061</v>
      </c>
      <c r="B918" s="25" t="s">
        <v>12243</v>
      </c>
      <c r="C918" s="25" t="s">
        <v>12244</v>
      </c>
      <c r="D918" s="25" t="s">
        <v>6291</v>
      </c>
      <c r="E918" s="16" t="s">
        <v>6786</v>
      </c>
      <c r="F918" s="16" t="s">
        <v>6786</v>
      </c>
      <c r="G918" s="16" t="s">
        <v>6786</v>
      </c>
      <c r="H918" s="16" t="s">
        <v>6786</v>
      </c>
      <c r="I918" s="25" t="s">
        <v>12245</v>
      </c>
      <c r="J918" s="25"/>
      <c r="K918" s="25" t="s">
        <v>6281</v>
      </c>
      <c r="L918" s="26" t="s">
        <v>12246</v>
      </c>
      <c r="M918" s="26" t="s">
        <v>6295</v>
      </c>
      <c r="N918" s="27" t="s">
        <v>12247</v>
      </c>
      <c r="O918" s="26" t="s">
        <v>6295</v>
      </c>
      <c r="P918" s="20" t="b">
        <v>1</v>
      </c>
      <c r="Q918" s="20" t="s">
        <v>6282</v>
      </c>
      <c r="R918" s="28" t="s">
        <v>6283</v>
      </c>
      <c r="S918" s="25"/>
      <c r="T918" s="20" t="b">
        <v>1</v>
      </c>
      <c r="U918" s="25"/>
      <c r="V918" s="25">
        <v>0.49825000000000003</v>
      </c>
      <c r="W918" s="28" t="s">
        <v>12248</v>
      </c>
      <c r="X918" s="28" t="s">
        <v>6285</v>
      </c>
      <c r="Y918" s="28" t="s">
        <v>6286</v>
      </c>
      <c r="Z918" s="28" t="s">
        <v>6287</v>
      </c>
      <c r="AA918" s="28" t="s">
        <v>6288</v>
      </c>
      <c r="AB918" s="28" t="s">
        <v>6297</v>
      </c>
    </row>
    <row r="919" spans="1:28" ht="185.4" x14ac:dyDescent="0.3">
      <c r="A919" s="25">
        <v>9062</v>
      </c>
      <c r="B919" s="25" t="s">
        <v>12249</v>
      </c>
      <c r="C919" s="25" t="s">
        <v>12250</v>
      </c>
      <c r="D919" s="25" t="s">
        <v>6291</v>
      </c>
      <c r="E919" s="16" t="s">
        <v>6786</v>
      </c>
      <c r="F919" s="16" t="s">
        <v>6786</v>
      </c>
      <c r="G919" s="16" t="s">
        <v>6786</v>
      </c>
      <c r="H919" s="16" t="s">
        <v>6786</v>
      </c>
      <c r="I919" s="25" t="s">
        <v>12251</v>
      </c>
      <c r="J919" s="25"/>
      <c r="K919" s="25" t="s">
        <v>6281</v>
      </c>
      <c r="L919" s="26" t="s">
        <v>12252</v>
      </c>
      <c r="M919" s="26" t="s">
        <v>12253</v>
      </c>
      <c r="N919" s="27" t="s">
        <v>12254</v>
      </c>
      <c r="O919" s="26" t="s">
        <v>12255</v>
      </c>
      <c r="P919" s="20" t="b">
        <v>1</v>
      </c>
      <c r="Q919" s="20" t="s">
        <v>6282</v>
      </c>
      <c r="R919" s="28" t="s">
        <v>6283</v>
      </c>
      <c r="S919" s="25"/>
      <c r="T919" s="20" t="b">
        <v>1</v>
      </c>
      <c r="U919" s="25"/>
      <c r="V919" s="25">
        <v>14533.78</v>
      </c>
      <c r="W919" s="28" t="s">
        <v>12256</v>
      </c>
      <c r="X919" s="28" t="s">
        <v>6285</v>
      </c>
      <c r="Y919" s="28" t="s">
        <v>6286</v>
      </c>
      <c r="Z919" s="28" t="s">
        <v>6287</v>
      </c>
      <c r="AA919" s="28" t="s">
        <v>6288</v>
      </c>
      <c r="AB919" s="28" t="s">
        <v>6297</v>
      </c>
    </row>
    <row r="920" spans="1:28" ht="185.4" x14ac:dyDescent="0.3">
      <c r="A920" s="25">
        <v>9063</v>
      </c>
      <c r="B920" s="25" t="s">
        <v>12257</v>
      </c>
      <c r="C920" s="25" t="s">
        <v>12258</v>
      </c>
      <c r="D920" s="25" t="s">
        <v>6278</v>
      </c>
      <c r="E920" s="16" t="s">
        <v>6279</v>
      </c>
      <c r="F920" s="16" t="s">
        <v>6279</v>
      </c>
      <c r="G920" s="16" t="s">
        <v>6279</v>
      </c>
      <c r="H920" s="16" t="s">
        <v>6279</v>
      </c>
      <c r="I920" s="25" t="s">
        <v>12259</v>
      </c>
      <c r="J920" s="25"/>
      <c r="K920" s="25" t="s">
        <v>6281</v>
      </c>
      <c r="L920" s="26" t="s">
        <v>12260</v>
      </c>
      <c r="M920" s="26" t="s">
        <v>6295</v>
      </c>
      <c r="N920" s="27" t="s">
        <v>12261</v>
      </c>
      <c r="O920" s="26" t="s">
        <v>12262</v>
      </c>
      <c r="P920" s="20" t="b">
        <v>1</v>
      </c>
      <c r="Q920" s="20" t="s">
        <v>6282</v>
      </c>
      <c r="R920" s="28" t="s">
        <v>6283</v>
      </c>
      <c r="S920" s="25"/>
      <c r="T920" s="20" t="b">
        <v>1</v>
      </c>
      <c r="U920" s="25"/>
      <c r="V920" s="25">
        <v>1226.19</v>
      </c>
      <c r="W920" s="28" t="s">
        <v>12263</v>
      </c>
      <c r="X920" s="28" t="s">
        <v>6285</v>
      </c>
      <c r="Y920" s="28" t="s">
        <v>6286</v>
      </c>
      <c r="Z920" s="28" t="s">
        <v>6287</v>
      </c>
      <c r="AA920" s="28" t="s">
        <v>6288</v>
      </c>
      <c r="AB920" s="28" t="s">
        <v>6297</v>
      </c>
    </row>
    <row r="921" spans="1:28" ht="185.4" x14ac:dyDescent="0.3">
      <c r="A921" s="25">
        <v>9064</v>
      </c>
      <c r="B921" s="25" t="s">
        <v>12264</v>
      </c>
      <c r="C921" s="25" t="s">
        <v>12265</v>
      </c>
      <c r="D921" s="25" t="s">
        <v>6278</v>
      </c>
      <c r="E921" s="16" t="s">
        <v>6279</v>
      </c>
      <c r="F921" s="16" t="s">
        <v>6279</v>
      </c>
      <c r="G921" s="16" t="s">
        <v>6279</v>
      </c>
      <c r="H921" s="16" t="s">
        <v>6279</v>
      </c>
      <c r="I921" s="25" t="s">
        <v>12266</v>
      </c>
      <c r="J921" s="25"/>
      <c r="K921" s="25" t="s">
        <v>6281</v>
      </c>
      <c r="L921" s="26" t="s">
        <v>12267</v>
      </c>
      <c r="M921" s="26" t="s">
        <v>6295</v>
      </c>
      <c r="N921" s="27" t="s">
        <v>12268</v>
      </c>
      <c r="O921" s="26" t="s">
        <v>6295</v>
      </c>
      <c r="P921" s="20" t="b">
        <v>1</v>
      </c>
      <c r="Q921" s="20" t="s">
        <v>6282</v>
      </c>
      <c r="R921" s="28" t="s">
        <v>6283</v>
      </c>
      <c r="S921" s="25"/>
      <c r="T921" s="20" t="b">
        <v>1</v>
      </c>
      <c r="U921" s="25"/>
      <c r="V921" s="25">
        <v>984.38199999999995</v>
      </c>
      <c r="W921" s="28" t="s">
        <v>12269</v>
      </c>
      <c r="X921" s="28" t="s">
        <v>6285</v>
      </c>
      <c r="Y921" s="28" t="s">
        <v>6286</v>
      </c>
      <c r="Z921" s="28" t="s">
        <v>6287</v>
      </c>
      <c r="AA921" s="28" t="s">
        <v>6288</v>
      </c>
      <c r="AB921" s="28" t="s">
        <v>6297</v>
      </c>
    </row>
    <row r="922" spans="1:28" ht="185.4" x14ac:dyDescent="0.3">
      <c r="A922" s="25">
        <v>9065</v>
      </c>
      <c r="B922" s="25" t="s">
        <v>12270</v>
      </c>
      <c r="C922" s="25" t="s">
        <v>12271</v>
      </c>
      <c r="D922" s="25" t="s">
        <v>6291</v>
      </c>
      <c r="E922" s="16" t="s">
        <v>6793</v>
      </c>
      <c r="F922" s="16" t="s">
        <v>6793</v>
      </c>
      <c r="G922" s="16" t="s">
        <v>6793</v>
      </c>
      <c r="H922" s="16" t="s">
        <v>6793</v>
      </c>
      <c r="I922" s="25" t="s">
        <v>12272</v>
      </c>
      <c r="J922" s="25"/>
      <c r="K922" s="25" t="s">
        <v>6281</v>
      </c>
      <c r="L922" s="26" t="s">
        <v>12273</v>
      </c>
      <c r="M922" s="26" t="s">
        <v>6295</v>
      </c>
      <c r="N922" s="27" t="s">
        <v>12274</v>
      </c>
      <c r="O922" s="26" t="s">
        <v>6295</v>
      </c>
      <c r="P922" s="20" t="b">
        <v>1</v>
      </c>
      <c r="Q922" s="20" t="s">
        <v>6282</v>
      </c>
      <c r="R922" s="28" t="s">
        <v>6283</v>
      </c>
      <c r="S922" s="25"/>
      <c r="T922" s="20" t="b">
        <v>1</v>
      </c>
      <c r="U922" s="25"/>
      <c r="V922" s="25">
        <v>1.0640000000000001</v>
      </c>
      <c r="W922" s="28" t="s">
        <v>12275</v>
      </c>
      <c r="X922" s="28" t="s">
        <v>6285</v>
      </c>
      <c r="Y922" s="28" t="s">
        <v>6286</v>
      </c>
      <c r="Z922" s="28" t="s">
        <v>6287</v>
      </c>
      <c r="AA922" s="28" t="s">
        <v>6288</v>
      </c>
      <c r="AB922" s="28" t="s">
        <v>6297</v>
      </c>
    </row>
    <row r="923" spans="1:28" ht="185.4" x14ac:dyDescent="0.3">
      <c r="A923" s="25">
        <v>9066</v>
      </c>
      <c r="B923" s="25" t="s">
        <v>12276</v>
      </c>
      <c r="C923" s="25" t="s">
        <v>10750</v>
      </c>
      <c r="D923" s="25" t="s">
        <v>6291</v>
      </c>
      <c r="E923" s="16" t="s">
        <v>6292</v>
      </c>
      <c r="F923" s="16" t="s">
        <v>6292</v>
      </c>
      <c r="G923" s="16" t="s">
        <v>6292</v>
      </c>
      <c r="H923" s="16" t="s">
        <v>6292</v>
      </c>
      <c r="I923" s="25" t="s">
        <v>12277</v>
      </c>
      <c r="J923" s="25"/>
      <c r="K923" s="25" t="s">
        <v>6281</v>
      </c>
      <c r="L923" s="26" t="s">
        <v>12278</v>
      </c>
      <c r="M923" s="26" t="s">
        <v>12279</v>
      </c>
      <c r="N923" s="27" t="s">
        <v>12280</v>
      </c>
      <c r="O923" s="26" t="s">
        <v>6295</v>
      </c>
      <c r="P923" s="20" t="b">
        <v>1</v>
      </c>
      <c r="Q923" s="20" t="s">
        <v>6282</v>
      </c>
      <c r="R923" s="28" t="s">
        <v>6283</v>
      </c>
      <c r="S923" s="25"/>
      <c r="T923" s="20" t="b">
        <v>1</v>
      </c>
      <c r="U923" s="25"/>
      <c r="V923" s="25">
        <v>958.21</v>
      </c>
      <c r="W923" s="28" t="s">
        <v>12281</v>
      </c>
      <c r="X923" s="28" t="s">
        <v>6285</v>
      </c>
      <c r="Y923" s="28" t="s">
        <v>6286</v>
      </c>
      <c r="Z923" s="28" t="s">
        <v>6287</v>
      </c>
      <c r="AA923" s="28" t="s">
        <v>6288</v>
      </c>
      <c r="AB923" s="28" t="s">
        <v>6297</v>
      </c>
    </row>
    <row r="924" spans="1:28" ht="185.4" x14ac:dyDescent="0.3">
      <c r="A924" s="25">
        <v>9067</v>
      </c>
      <c r="B924" s="25" t="s">
        <v>12282</v>
      </c>
      <c r="C924" s="25" t="s">
        <v>12283</v>
      </c>
      <c r="D924" s="25" t="s">
        <v>6291</v>
      </c>
      <c r="E924" s="16" t="s">
        <v>6786</v>
      </c>
      <c r="F924" s="16" t="s">
        <v>6786</v>
      </c>
      <c r="G924" s="16" t="s">
        <v>6786</v>
      </c>
      <c r="H924" s="16" t="s">
        <v>6786</v>
      </c>
      <c r="I924" s="25" t="s">
        <v>12284</v>
      </c>
      <c r="J924" s="25"/>
      <c r="K924" s="25" t="s">
        <v>6281</v>
      </c>
      <c r="L924" s="26" t="s">
        <v>12285</v>
      </c>
      <c r="M924" s="26" t="s">
        <v>6295</v>
      </c>
      <c r="N924" s="27" t="s">
        <v>12286</v>
      </c>
      <c r="O924" s="26" t="s">
        <v>6295</v>
      </c>
      <c r="P924" s="20" t="b">
        <v>1</v>
      </c>
      <c r="Q924" s="20" t="s">
        <v>6282</v>
      </c>
      <c r="R924" s="28" t="s">
        <v>6283</v>
      </c>
      <c r="S924" s="25"/>
      <c r="T924" s="20" t="b">
        <v>1</v>
      </c>
      <c r="U924" s="25"/>
      <c r="V924" s="25">
        <v>0.29792000000000002</v>
      </c>
      <c r="W924" s="28" t="s">
        <v>12287</v>
      </c>
      <c r="X924" s="28" t="s">
        <v>6285</v>
      </c>
      <c r="Y924" s="28" t="s">
        <v>6286</v>
      </c>
      <c r="Z924" s="28" t="s">
        <v>6287</v>
      </c>
      <c r="AA924" s="28" t="s">
        <v>6288</v>
      </c>
      <c r="AB924" s="28" t="s">
        <v>6297</v>
      </c>
    </row>
    <row r="925" spans="1:28" ht="185.4" x14ac:dyDescent="0.3">
      <c r="A925" s="25">
        <v>9068</v>
      </c>
      <c r="B925" s="25" t="s">
        <v>12288</v>
      </c>
      <c r="C925" s="25" t="s">
        <v>12289</v>
      </c>
      <c r="D925" s="25" t="s">
        <v>6291</v>
      </c>
      <c r="E925" s="16" t="s">
        <v>6292</v>
      </c>
      <c r="F925" s="16" t="s">
        <v>6292</v>
      </c>
      <c r="G925" s="16" t="s">
        <v>6292</v>
      </c>
      <c r="H925" s="16" t="s">
        <v>6292</v>
      </c>
      <c r="I925" s="25" t="s">
        <v>12290</v>
      </c>
      <c r="J925" s="25"/>
      <c r="K925" s="25" t="s">
        <v>6281</v>
      </c>
      <c r="L925" s="26" t="s">
        <v>12291</v>
      </c>
      <c r="M925" s="26" t="s">
        <v>6295</v>
      </c>
      <c r="N925" s="27" t="s">
        <v>12234</v>
      </c>
      <c r="O925" s="26" t="s">
        <v>6295</v>
      </c>
      <c r="P925" s="20" t="b">
        <v>1</v>
      </c>
      <c r="Q925" s="20" t="s">
        <v>6282</v>
      </c>
      <c r="R925" s="28" t="s">
        <v>6283</v>
      </c>
      <c r="S925" s="25"/>
      <c r="T925" s="20" t="b">
        <v>1</v>
      </c>
      <c r="U925" s="25"/>
      <c r="V925" s="25">
        <v>59.23</v>
      </c>
      <c r="W925" s="28" t="s">
        <v>12292</v>
      </c>
      <c r="X925" s="28" t="s">
        <v>6285</v>
      </c>
      <c r="Y925" s="28" t="s">
        <v>6286</v>
      </c>
      <c r="Z925" s="28" t="s">
        <v>6287</v>
      </c>
      <c r="AA925" s="28" t="s">
        <v>6288</v>
      </c>
      <c r="AB925" s="28" t="s">
        <v>6297</v>
      </c>
    </row>
    <row r="926" spans="1:28" ht="185.4" x14ac:dyDescent="0.3">
      <c r="A926" s="25">
        <v>9069</v>
      </c>
      <c r="B926" s="25" t="s">
        <v>12293</v>
      </c>
      <c r="C926" s="25" t="s">
        <v>12294</v>
      </c>
      <c r="D926" s="25" t="s">
        <v>6278</v>
      </c>
      <c r="E926" s="16" t="s">
        <v>6279</v>
      </c>
      <c r="F926" s="16" t="s">
        <v>6279</v>
      </c>
      <c r="G926" s="16" t="s">
        <v>6279</v>
      </c>
      <c r="H926" s="16" t="s">
        <v>6279</v>
      </c>
      <c r="I926" s="25" t="s">
        <v>12295</v>
      </c>
      <c r="J926" s="25"/>
      <c r="K926" s="25" t="s">
        <v>6281</v>
      </c>
      <c r="L926" s="26" t="s">
        <v>12296</v>
      </c>
      <c r="M926" s="26" t="s">
        <v>12297</v>
      </c>
      <c r="N926" s="27" t="s">
        <v>12298</v>
      </c>
      <c r="O926" s="26" t="s">
        <v>12299</v>
      </c>
      <c r="P926" s="20" t="b">
        <v>1</v>
      </c>
      <c r="Q926" s="20" t="s">
        <v>6282</v>
      </c>
      <c r="R926" s="28" t="s">
        <v>6283</v>
      </c>
      <c r="S926" s="25"/>
      <c r="T926" s="20" t="b">
        <v>1</v>
      </c>
      <c r="U926" s="25"/>
      <c r="V926" s="25">
        <v>23.96</v>
      </c>
      <c r="W926" s="28" t="s">
        <v>12300</v>
      </c>
      <c r="X926" s="28" t="s">
        <v>6285</v>
      </c>
      <c r="Y926" s="28" t="s">
        <v>6286</v>
      </c>
      <c r="Z926" s="28" t="s">
        <v>6287</v>
      </c>
      <c r="AA926" s="28" t="s">
        <v>6288</v>
      </c>
      <c r="AB926" s="28" t="s">
        <v>6297</v>
      </c>
    </row>
    <row r="927" spans="1:28" ht="185.4" x14ac:dyDescent="0.3">
      <c r="A927" s="25">
        <v>9070</v>
      </c>
      <c r="B927" s="25" t="s">
        <v>12301</v>
      </c>
      <c r="C927" s="25" t="s">
        <v>12302</v>
      </c>
      <c r="D927" s="25" t="s">
        <v>6291</v>
      </c>
      <c r="E927" s="16" t="s">
        <v>6292</v>
      </c>
      <c r="F927" s="16" t="s">
        <v>6292</v>
      </c>
      <c r="G927" s="16" t="s">
        <v>6292</v>
      </c>
      <c r="H927" s="16" t="s">
        <v>6292</v>
      </c>
      <c r="I927" s="25" t="s">
        <v>12303</v>
      </c>
      <c r="J927" s="25"/>
      <c r="K927" s="25" t="s">
        <v>6281</v>
      </c>
      <c r="L927" s="26" t="s">
        <v>12304</v>
      </c>
      <c r="M927" s="26" t="s">
        <v>12305</v>
      </c>
      <c r="N927" s="27" t="s">
        <v>12306</v>
      </c>
      <c r="O927" s="26" t="s">
        <v>6295</v>
      </c>
      <c r="P927" s="20" t="b">
        <v>1</v>
      </c>
      <c r="Q927" s="20" t="s">
        <v>6282</v>
      </c>
      <c r="R927" s="28" t="s">
        <v>6283</v>
      </c>
      <c r="S927" s="25"/>
      <c r="T927" s="20" t="b">
        <v>1</v>
      </c>
      <c r="U927" s="25"/>
      <c r="V927" s="25">
        <v>157.02000000000001</v>
      </c>
      <c r="W927" s="28" t="s">
        <v>12307</v>
      </c>
      <c r="X927" s="28" t="s">
        <v>6285</v>
      </c>
      <c r="Y927" s="28" t="s">
        <v>6286</v>
      </c>
      <c r="Z927" s="28" t="s">
        <v>6287</v>
      </c>
      <c r="AA927" s="28" t="s">
        <v>6288</v>
      </c>
      <c r="AB927" s="28" t="s">
        <v>6297</v>
      </c>
    </row>
    <row r="928" spans="1:28" ht="185.4" x14ac:dyDescent="0.3">
      <c r="A928" s="25">
        <v>9071</v>
      </c>
      <c r="B928" s="25" t="s">
        <v>12308</v>
      </c>
      <c r="C928" s="25" t="s">
        <v>12309</v>
      </c>
      <c r="D928" s="25" t="s">
        <v>6291</v>
      </c>
      <c r="E928" s="16" t="s">
        <v>6292</v>
      </c>
      <c r="F928" s="16" t="s">
        <v>6292</v>
      </c>
      <c r="G928" s="16" t="s">
        <v>6292</v>
      </c>
      <c r="H928" s="16" t="s">
        <v>6292</v>
      </c>
      <c r="I928" s="25" t="s">
        <v>12310</v>
      </c>
      <c r="J928" s="25"/>
      <c r="K928" s="25" t="s">
        <v>6281</v>
      </c>
      <c r="L928" s="26" t="s">
        <v>12311</v>
      </c>
      <c r="M928" s="26" t="s">
        <v>6295</v>
      </c>
      <c r="N928" s="27" t="s">
        <v>12312</v>
      </c>
      <c r="O928" s="26" t="s">
        <v>6295</v>
      </c>
      <c r="P928" s="20" t="b">
        <v>1</v>
      </c>
      <c r="Q928" s="20" t="s">
        <v>6282</v>
      </c>
      <c r="R928" s="28" t="s">
        <v>6283</v>
      </c>
      <c r="S928" s="25"/>
      <c r="T928" s="20" t="b">
        <v>1</v>
      </c>
      <c r="U928" s="25"/>
      <c r="V928" s="25">
        <v>74.841999999999999</v>
      </c>
      <c r="W928" s="28" t="s">
        <v>12313</v>
      </c>
      <c r="X928" s="28" t="s">
        <v>6285</v>
      </c>
      <c r="Y928" s="28" t="s">
        <v>6286</v>
      </c>
      <c r="Z928" s="28" t="s">
        <v>6287</v>
      </c>
      <c r="AA928" s="28" t="s">
        <v>6288</v>
      </c>
      <c r="AB928" s="28" t="s">
        <v>6297</v>
      </c>
    </row>
    <row r="929" spans="1:28" ht="185.4" x14ac:dyDescent="0.3">
      <c r="A929" s="25">
        <v>9072</v>
      </c>
      <c r="B929" s="25" t="s">
        <v>12314</v>
      </c>
      <c r="C929" s="25" t="s">
        <v>12315</v>
      </c>
      <c r="D929" s="25" t="s">
        <v>6291</v>
      </c>
      <c r="E929" s="16" t="s">
        <v>6292</v>
      </c>
      <c r="F929" s="16" t="s">
        <v>6292</v>
      </c>
      <c r="G929" s="16" t="s">
        <v>6292</v>
      </c>
      <c r="H929" s="16" t="s">
        <v>6292</v>
      </c>
      <c r="I929" s="25" t="s">
        <v>12316</v>
      </c>
      <c r="J929" s="25"/>
      <c r="K929" s="25" t="s">
        <v>6281</v>
      </c>
      <c r="L929" s="26" t="s">
        <v>12317</v>
      </c>
      <c r="M929" s="26" t="s">
        <v>6295</v>
      </c>
      <c r="N929" s="27" t="s">
        <v>12318</v>
      </c>
      <c r="O929" s="26" t="s">
        <v>6295</v>
      </c>
      <c r="P929" s="20" t="b">
        <v>1</v>
      </c>
      <c r="Q929" s="20" t="s">
        <v>6282</v>
      </c>
      <c r="R929" s="28" t="s">
        <v>6283</v>
      </c>
      <c r="S929" s="25"/>
      <c r="T929" s="20" t="b">
        <v>1</v>
      </c>
      <c r="U929" s="25"/>
      <c r="V929" s="25">
        <v>10.42</v>
      </c>
      <c r="W929" s="28" t="s">
        <v>12319</v>
      </c>
      <c r="X929" s="28" t="s">
        <v>6285</v>
      </c>
      <c r="Y929" s="28" t="s">
        <v>6286</v>
      </c>
      <c r="Z929" s="28" t="s">
        <v>6287</v>
      </c>
      <c r="AA929" s="28" t="s">
        <v>6288</v>
      </c>
      <c r="AB929" s="28" t="s">
        <v>6297</v>
      </c>
    </row>
    <row r="930" spans="1:28" ht="185.4" x14ac:dyDescent="0.3">
      <c r="A930" s="25">
        <v>9073</v>
      </c>
      <c r="B930" s="25" t="s">
        <v>12320</v>
      </c>
      <c r="C930" s="25" t="s">
        <v>12321</v>
      </c>
      <c r="D930" s="25" t="s">
        <v>6291</v>
      </c>
      <c r="E930" s="16" t="s">
        <v>6786</v>
      </c>
      <c r="F930" s="16" t="s">
        <v>6786</v>
      </c>
      <c r="G930" s="16" t="s">
        <v>6786</v>
      </c>
      <c r="H930" s="16" t="s">
        <v>6786</v>
      </c>
      <c r="I930" s="25" t="s">
        <v>12322</v>
      </c>
      <c r="J930" s="25"/>
      <c r="K930" s="25" t="s">
        <v>6281</v>
      </c>
      <c r="L930" s="26" t="s">
        <v>12323</v>
      </c>
      <c r="M930" s="26" t="s">
        <v>6295</v>
      </c>
      <c r="N930" s="27" t="s">
        <v>12324</v>
      </c>
      <c r="O930" s="26" t="s">
        <v>6295</v>
      </c>
      <c r="P930" s="20" t="b">
        <v>1</v>
      </c>
      <c r="Q930" s="20" t="s">
        <v>6282</v>
      </c>
      <c r="R930" s="28" t="s">
        <v>6283</v>
      </c>
      <c r="S930" s="25"/>
      <c r="T930" s="20" t="b">
        <v>1</v>
      </c>
      <c r="U930" s="25"/>
      <c r="V930" s="25">
        <v>12.54565</v>
      </c>
      <c r="W930" s="28" t="s">
        <v>12325</v>
      </c>
      <c r="X930" s="28" t="s">
        <v>6285</v>
      </c>
      <c r="Y930" s="28" t="s">
        <v>6286</v>
      </c>
      <c r="Z930" s="28" t="s">
        <v>6287</v>
      </c>
      <c r="AA930" s="28" t="s">
        <v>6288</v>
      </c>
      <c r="AB930" s="28" t="s">
        <v>6297</v>
      </c>
    </row>
    <row r="931" spans="1:28" ht="185.4" x14ac:dyDescent="0.3">
      <c r="A931" s="25">
        <v>9074</v>
      </c>
      <c r="B931" s="25" t="s">
        <v>12326</v>
      </c>
      <c r="C931" s="25" t="s">
        <v>12327</v>
      </c>
      <c r="D931" s="25" t="s">
        <v>6291</v>
      </c>
      <c r="E931" s="16" t="s">
        <v>6786</v>
      </c>
      <c r="F931" s="16" t="s">
        <v>6786</v>
      </c>
      <c r="G931" s="16" t="s">
        <v>6786</v>
      </c>
      <c r="H931" s="16" t="s">
        <v>6786</v>
      </c>
      <c r="I931" s="25" t="s">
        <v>12328</v>
      </c>
      <c r="J931" s="25"/>
      <c r="K931" s="25" t="s">
        <v>6281</v>
      </c>
      <c r="L931" s="26" t="s">
        <v>12329</v>
      </c>
      <c r="M931" s="26" t="s">
        <v>6295</v>
      </c>
      <c r="N931" s="27" t="s">
        <v>12330</v>
      </c>
      <c r="O931" s="26" t="s">
        <v>6295</v>
      </c>
      <c r="P931" s="20" t="b">
        <v>1</v>
      </c>
      <c r="Q931" s="20" t="s">
        <v>6282</v>
      </c>
      <c r="R931" s="28" t="s">
        <v>6283</v>
      </c>
      <c r="S931" s="25"/>
      <c r="T931" s="20" t="b">
        <v>1</v>
      </c>
      <c r="U931" s="25"/>
      <c r="V931" s="25">
        <v>12.91381</v>
      </c>
      <c r="W931" s="28" t="s">
        <v>12331</v>
      </c>
      <c r="X931" s="28" t="s">
        <v>6285</v>
      </c>
      <c r="Y931" s="28" t="s">
        <v>6286</v>
      </c>
      <c r="Z931" s="28" t="s">
        <v>6287</v>
      </c>
      <c r="AA931" s="28" t="s">
        <v>6288</v>
      </c>
      <c r="AB931" s="28" t="s">
        <v>6297</v>
      </c>
    </row>
    <row r="932" spans="1:28" ht="185.4" x14ac:dyDescent="0.3">
      <c r="A932" s="25">
        <v>9075</v>
      </c>
      <c r="B932" s="25" t="s">
        <v>12332</v>
      </c>
      <c r="C932" s="25" t="s">
        <v>12333</v>
      </c>
      <c r="D932" s="25" t="s">
        <v>6278</v>
      </c>
      <c r="E932" s="16" t="s">
        <v>6279</v>
      </c>
      <c r="F932" s="16" t="s">
        <v>6279</v>
      </c>
      <c r="G932" s="16" t="s">
        <v>6279</v>
      </c>
      <c r="H932" s="16" t="s">
        <v>6279</v>
      </c>
      <c r="I932" s="25" t="s">
        <v>12334</v>
      </c>
      <c r="J932" s="25"/>
      <c r="K932" s="25" t="s">
        <v>6281</v>
      </c>
      <c r="L932" s="26" t="s">
        <v>12335</v>
      </c>
      <c r="M932" s="26" t="s">
        <v>6295</v>
      </c>
      <c r="N932" s="27" t="s">
        <v>12336</v>
      </c>
      <c r="O932" s="26" t="s">
        <v>6295</v>
      </c>
      <c r="P932" s="20" t="b">
        <v>1</v>
      </c>
      <c r="Q932" s="20" t="s">
        <v>6282</v>
      </c>
      <c r="R932" s="28" t="s">
        <v>6283</v>
      </c>
      <c r="S932" s="25"/>
      <c r="T932" s="20" t="b">
        <v>1</v>
      </c>
      <c r="U932" s="25"/>
      <c r="V932" s="25">
        <v>280.11500000000001</v>
      </c>
      <c r="W932" s="28" t="s">
        <v>12337</v>
      </c>
      <c r="X932" s="28" t="s">
        <v>6285</v>
      </c>
      <c r="Y932" s="28" t="s">
        <v>6286</v>
      </c>
      <c r="Z932" s="28" t="s">
        <v>6287</v>
      </c>
      <c r="AA932" s="28" t="s">
        <v>6288</v>
      </c>
      <c r="AB932" s="28" t="s">
        <v>6297</v>
      </c>
    </row>
    <row r="933" spans="1:28" ht="185.4" x14ac:dyDescent="0.3">
      <c r="A933" s="25">
        <v>9076</v>
      </c>
      <c r="B933" s="25" t="s">
        <v>12338</v>
      </c>
      <c r="C933" s="25" t="s">
        <v>12339</v>
      </c>
      <c r="D933" s="25" t="s">
        <v>6278</v>
      </c>
      <c r="E933" s="16" t="s">
        <v>6279</v>
      </c>
      <c r="F933" s="16" t="s">
        <v>6279</v>
      </c>
      <c r="G933" s="16" t="s">
        <v>6279</v>
      </c>
      <c r="H933" s="16" t="s">
        <v>6279</v>
      </c>
      <c r="I933" s="25" t="s">
        <v>12340</v>
      </c>
      <c r="J933" s="25"/>
      <c r="K933" s="25" t="s">
        <v>6281</v>
      </c>
      <c r="L933" s="26" t="s">
        <v>12341</v>
      </c>
      <c r="M933" s="26" t="s">
        <v>6295</v>
      </c>
      <c r="N933" s="27" t="s">
        <v>12342</v>
      </c>
      <c r="O933" s="26" t="s">
        <v>12343</v>
      </c>
      <c r="P933" s="20" t="b">
        <v>1</v>
      </c>
      <c r="Q933" s="20" t="s">
        <v>6282</v>
      </c>
      <c r="R933" s="28" t="s">
        <v>6283</v>
      </c>
      <c r="S933" s="25"/>
      <c r="T933" s="20" t="b">
        <v>1</v>
      </c>
      <c r="U933" s="25"/>
      <c r="V933" s="25">
        <v>249.41800000000001</v>
      </c>
      <c r="W933" s="28" t="s">
        <v>12344</v>
      </c>
      <c r="X933" s="28" t="s">
        <v>6285</v>
      </c>
      <c r="Y933" s="28" t="s">
        <v>6286</v>
      </c>
      <c r="Z933" s="28" t="s">
        <v>6287</v>
      </c>
      <c r="AA933" s="28" t="s">
        <v>6288</v>
      </c>
      <c r="AB933" s="28" t="s">
        <v>6297</v>
      </c>
    </row>
    <row r="934" spans="1:28" ht="185.4" x14ac:dyDescent="0.3">
      <c r="A934" s="25">
        <v>9077</v>
      </c>
      <c r="B934" s="25" t="s">
        <v>12345</v>
      </c>
      <c r="C934" s="25" t="s">
        <v>12346</v>
      </c>
      <c r="D934" s="25" t="s">
        <v>6291</v>
      </c>
      <c r="E934" s="16" t="s">
        <v>6292</v>
      </c>
      <c r="F934" s="16" t="s">
        <v>6292</v>
      </c>
      <c r="G934" s="16" t="s">
        <v>6292</v>
      </c>
      <c r="H934" s="16" t="s">
        <v>6292</v>
      </c>
      <c r="I934" s="25" t="s">
        <v>12347</v>
      </c>
      <c r="J934" s="25"/>
      <c r="K934" s="25" t="s">
        <v>6281</v>
      </c>
      <c r="L934" s="26" t="s">
        <v>12348</v>
      </c>
      <c r="M934" s="26" t="s">
        <v>12349</v>
      </c>
      <c r="N934" s="27" t="s">
        <v>12350</v>
      </c>
      <c r="O934" s="26" t="s">
        <v>6295</v>
      </c>
      <c r="P934" s="20" t="b">
        <v>1</v>
      </c>
      <c r="Q934" s="20" t="s">
        <v>6282</v>
      </c>
      <c r="R934" s="28" t="s">
        <v>6283</v>
      </c>
      <c r="S934" s="25"/>
      <c r="T934" s="20" t="b">
        <v>1</v>
      </c>
      <c r="U934" s="25"/>
      <c r="V934" s="25">
        <v>1052.5999999999999</v>
      </c>
      <c r="W934" s="28" t="s">
        <v>12351</v>
      </c>
      <c r="X934" s="28" t="s">
        <v>6285</v>
      </c>
      <c r="Y934" s="28" t="s">
        <v>6286</v>
      </c>
      <c r="Z934" s="28" t="s">
        <v>6287</v>
      </c>
      <c r="AA934" s="28" t="s">
        <v>6288</v>
      </c>
      <c r="AB934" s="28" t="s">
        <v>6297</v>
      </c>
    </row>
    <row r="935" spans="1:28" ht="185.4" x14ac:dyDescent="0.3">
      <c r="A935" s="25">
        <v>9078</v>
      </c>
      <c r="B935" s="25" t="s">
        <v>12352</v>
      </c>
      <c r="C935" s="25" t="s">
        <v>12353</v>
      </c>
      <c r="D935" s="25" t="s">
        <v>6291</v>
      </c>
      <c r="E935" s="16" t="s">
        <v>6786</v>
      </c>
      <c r="F935" s="16" t="s">
        <v>6786</v>
      </c>
      <c r="G935" s="16" t="s">
        <v>6786</v>
      </c>
      <c r="H935" s="16" t="s">
        <v>6786</v>
      </c>
      <c r="I935" s="25" t="s">
        <v>12354</v>
      </c>
      <c r="J935" s="25"/>
      <c r="K935" s="25" t="s">
        <v>6281</v>
      </c>
      <c r="L935" s="26" t="s">
        <v>12355</v>
      </c>
      <c r="M935" s="26" t="s">
        <v>6295</v>
      </c>
      <c r="N935" s="27" t="s">
        <v>12356</v>
      </c>
      <c r="O935" s="26" t="s">
        <v>6295</v>
      </c>
      <c r="P935" s="20" t="b">
        <v>1</v>
      </c>
      <c r="Q935" s="20" t="s">
        <v>6282</v>
      </c>
      <c r="R935" s="28" t="s">
        <v>6283</v>
      </c>
      <c r="S935" s="25"/>
      <c r="T935" s="20" t="b">
        <v>1</v>
      </c>
      <c r="U935" s="25"/>
      <c r="V935" s="25">
        <v>3.9216150000000001</v>
      </c>
      <c r="W935" s="28" t="s">
        <v>12357</v>
      </c>
      <c r="X935" s="28" t="s">
        <v>6285</v>
      </c>
      <c r="Y935" s="28" t="s">
        <v>6286</v>
      </c>
      <c r="Z935" s="28" t="s">
        <v>6287</v>
      </c>
      <c r="AA935" s="28" t="s">
        <v>6288</v>
      </c>
      <c r="AB935" s="28" t="s">
        <v>6297</v>
      </c>
    </row>
    <row r="936" spans="1:28" ht="185.4" x14ac:dyDescent="0.3">
      <c r="A936" s="25">
        <v>9079</v>
      </c>
      <c r="B936" s="25" t="s">
        <v>12358</v>
      </c>
      <c r="C936" s="25" t="s">
        <v>12359</v>
      </c>
      <c r="D936" s="25" t="s">
        <v>6291</v>
      </c>
      <c r="E936" s="16" t="s">
        <v>6292</v>
      </c>
      <c r="F936" s="16" t="s">
        <v>6292</v>
      </c>
      <c r="G936" s="16" t="s">
        <v>6292</v>
      </c>
      <c r="H936" s="16" t="s">
        <v>6292</v>
      </c>
      <c r="I936" s="25" t="s">
        <v>12360</v>
      </c>
      <c r="J936" s="25"/>
      <c r="K936" s="25" t="s">
        <v>6281</v>
      </c>
      <c r="L936" s="26" t="s">
        <v>7796</v>
      </c>
      <c r="M936" s="26" t="s">
        <v>12361</v>
      </c>
      <c r="N936" s="27" t="s">
        <v>7630</v>
      </c>
      <c r="O936" s="26" t="s">
        <v>6295</v>
      </c>
      <c r="P936" s="20" t="b">
        <v>1</v>
      </c>
      <c r="Q936" s="20" t="s">
        <v>6282</v>
      </c>
      <c r="R936" s="28" t="s">
        <v>6283</v>
      </c>
      <c r="S936" s="25"/>
      <c r="T936" s="20" t="b">
        <v>1</v>
      </c>
      <c r="U936" s="25"/>
      <c r="V936" s="25">
        <v>12.24</v>
      </c>
      <c r="W936" s="28" t="s">
        <v>12362</v>
      </c>
      <c r="X936" s="28" t="s">
        <v>6285</v>
      </c>
      <c r="Y936" s="28" t="s">
        <v>6286</v>
      </c>
      <c r="Z936" s="28" t="s">
        <v>6287</v>
      </c>
      <c r="AA936" s="28" t="s">
        <v>6288</v>
      </c>
      <c r="AB936" s="28" t="s">
        <v>6297</v>
      </c>
    </row>
    <row r="937" spans="1:28" ht="185.4" x14ac:dyDescent="0.3">
      <c r="A937" s="25">
        <v>9080</v>
      </c>
      <c r="B937" s="25" t="s">
        <v>12363</v>
      </c>
      <c r="C937" s="25" t="s">
        <v>12364</v>
      </c>
      <c r="D937" s="25" t="s">
        <v>6278</v>
      </c>
      <c r="E937" s="16" t="s">
        <v>6279</v>
      </c>
      <c r="F937" s="16" t="s">
        <v>6279</v>
      </c>
      <c r="G937" s="16" t="s">
        <v>6279</v>
      </c>
      <c r="H937" s="16" t="s">
        <v>6279</v>
      </c>
      <c r="I937" s="25" t="s">
        <v>12365</v>
      </c>
      <c r="J937" s="25"/>
      <c r="K937" s="25" t="s">
        <v>6281</v>
      </c>
      <c r="L937" s="26" t="s">
        <v>12366</v>
      </c>
      <c r="M937" s="26" t="s">
        <v>6295</v>
      </c>
      <c r="N937" s="27" t="s">
        <v>12367</v>
      </c>
      <c r="O937" s="26" t="s">
        <v>6295</v>
      </c>
      <c r="P937" s="20" t="b">
        <v>1</v>
      </c>
      <c r="Q937" s="20" t="s">
        <v>6282</v>
      </c>
      <c r="R937" s="28" t="s">
        <v>6283</v>
      </c>
      <c r="S937" s="25"/>
      <c r="T937" s="20" t="b">
        <v>1</v>
      </c>
      <c r="U937" s="25"/>
      <c r="V937" s="25">
        <v>966.28399999999999</v>
      </c>
      <c r="W937" s="28" t="s">
        <v>12368</v>
      </c>
      <c r="X937" s="28" t="s">
        <v>6285</v>
      </c>
      <c r="Y937" s="28" t="s">
        <v>6286</v>
      </c>
      <c r="Z937" s="28" t="s">
        <v>6287</v>
      </c>
      <c r="AA937" s="28" t="s">
        <v>6288</v>
      </c>
      <c r="AB937" s="28" t="s">
        <v>6297</v>
      </c>
    </row>
    <row r="938" spans="1:28" ht="185.4" x14ac:dyDescent="0.3">
      <c r="A938" s="25">
        <v>9081</v>
      </c>
      <c r="B938" s="25" t="s">
        <v>12369</v>
      </c>
      <c r="C938" s="25" t="s">
        <v>12370</v>
      </c>
      <c r="D938" s="25" t="s">
        <v>6291</v>
      </c>
      <c r="E938" s="16" t="s">
        <v>6786</v>
      </c>
      <c r="F938" s="16" t="s">
        <v>6786</v>
      </c>
      <c r="G938" s="16" t="s">
        <v>6786</v>
      </c>
      <c r="H938" s="16" t="s">
        <v>6786</v>
      </c>
      <c r="I938" s="25" t="s">
        <v>12371</v>
      </c>
      <c r="J938" s="25"/>
      <c r="K938" s="25" t="s">
        <v>6281</v>
      </c>
      <c r="L938" s="26" t="s">
        <v>12372</v>
      </c>
      <c r="M938" s="26" t="s">
        <v>12373</v>
      </c>
      <c r="N938" s="27" t="s">
        <v>12374</v>
      </c>
      <c r="O938" s="26" t="s">
        <v>12375</v>
      </c>
      <c r="P938" s="20" t="b">
        <v>1</v>
      </c>
      <c r="Q938" s="20" t="s">
        <v>6282</v>
      </c>
      <c r="R938" s="28" t="s">
        <v>6283</v>
      </c>
      <c r="S938" s="25"/>
      <c r="T938" s="20" t="b">
        <v>1</v>
      </c>
      <c r="U938" s="25"/>
      <c r="V938" s="25">
        <v>5.22</v>
      </c>
      <c r="W938" s="28" t="s">
        <v>12376</v>
      </c>
      <c r="X938" s="28" t="s">
        <v>6285</v>
      </c>
      <c r="Y938" s="28" t="s">
        <v>6286</v>
      </c>
      <c r="Z938" s="28" t="s">
        <v>6287</v>
      </c>
      <c r="AA938" s="28" t="s">
        <v>6288</v>
      </c>
      <c r="AB938" s="28" t="s">
        <v>6297</v>
      </c>
    </row>
    <row r="939" spans="1:28" ht="185.4" x14ac:dyDescent="0.3">
      <c r="A939" s="25">
        <v>9082</v>
      </c>
      <c r="B939" s="25" t="s">
        <v>12377</v>
      </c>
      <c r="C939" s="25" t="s">
        <v>12378</v>
      </c>
      <c r="D939" s="25" t="s">
        <v>6291</v>
      </c>
      <c r="E939" s="16" t="s">
        <v>6786</v>
      </c>
      <c r="F939" s="16" t="s">
        <v>6786</v>
      </c>
      <c r="G939" s="16" t="s">
        <v>6786</v>
      </c>
      <c r="H939" s="16" t="s">
        <v>6786</v>
      </c>
      <c r="I939" s="25" t="s">
        <v>12379</v>
      </c>
      <c r="J939" s="25"/>
      <c r="K939" s="25" t="s">
        <v>6281</v>
      </c>
      <c r="L939" s="26" t="s">
        <v>12380</v>
      </c>
      <c r="M939" s="26" t="s">
        <v>6295</v>
      </c>
      <c r="N939" s="27" t="s">
        <v>12381</v>
      </c>
      <c r="O939" s="26" t="s">
        <v>6295</v>
      </c>
      <c r="P939" s="20" t="b">
        <v>1</v>
      </c>
      <c r="Q939" s="20" t="s">
        <v>6282</v>
      </c>
      <c r="R939" s="28" t="s">
        <v>6283</v>
      </c>
      <c r="S939" s="25"/>
      <c r="T939" s="20" t="b">
        <v>1</v>
      </c>
      <c r="U939" s="25"/>
      <c r="V939" s="25">
        <v>8.4683200000000003</v>
      </c>
      <c r="W939" s="28" t="s">
        <v>12382</v>
      </c>
      <c r="X939" s="28" t="s">
        <v>6285</v>
      </c>
      <c r="Y939" s="28" t="s">
        <v>6286</v>
      </c>
      <c r="Z939" s="28" t="s">
        <v>6287</v>
      </c>
      <c r="AA939" s="28" t="s">
        <v>6288</v>
      </c>
      <c r="AB939" s="28" t="s">
        <v>6297</v>
      </c>
    </row>
    <row r="940" spans="1:28" ht="185.4" x14ac:dyDescent="0.3">
      <c r="A940" s="25">
        <v>9083</v>
      </c>
      <c r="B940" s="25" t="s">
        <v>12383</v>
      </c>
      <c r="C940" s="25" t="s">
        <v>12384</v>
      </c>
      <c r="D940" s="25" t="s">
        <v>6291</v>
      </c>
      <c r="E940" s="16" t="s">
        <v>6292</v>
      </c>
      <c r="F940" s="16" t="s">
        <v>6292</v>
      </c>
      <c r="G940" s="16" t="s">
        <v>6292</v>
      </c>
      <c r="H940" s="16" t="s">
        <v>6292</v>
      </c>
      <c r="I940" s="25" t="s">
        <v>12385</v>
      </c>
      <c r="J940" s="25"/>
      <c r="K940" s="25" t="s">
        <v>6281</v>
      </c>
      <c r="L940" s="26" t="s">
        <v>12386</v>
      </c>
      <c r="M940" s="26" t="s">
        <v>8398</v>
      </c>
      <c r="N940" s="27" t="s">
        <v>9114</v>
      </c>
      <c r="O940" s="26" t="s">
        <v>8400</v>
      </c>
      <c r="P940" s="20" t="b">
        <v>1</v>
      </c>
      <c r="Q940" s="20" t="s">
        <v>6282</v>
      </c>
      <c r="R940" s="28" t="s">
        <v>6283</v>
      </c>
      <c r="S940" s="25"/>
      <c r="T940" s="20" t="b">
        <v>1</v>
      </c>
      <c r="U940" s="25"/>
      <c r="V940" s="25">
        <v>14.382</v>
      </c>
      <c r="W940" s="28" t="s">
        <v>12387</v>
      </c>
      <c r="X940" s="28" t="s">
        <v>6285</v>
      </c>
      <c r="Y940" s="28" t="s">
        <v>6286</v>
      </c>
      <c r="Z940" s="28" t="s">
        <v>6287</v>
      </c>
      <c r="AA940" s="28" t="s">
        <v>6288</v>
      </c>
      <c r="AB940" s="28" t="s">
        <v>6297</v>
      </c>
    </row>
    <row r="941" spans="1:28" ht="185.4" x14ac:dyDescent="0.3">
      <c r="A941" s="25">
        <v>9084</v>
      </c>
      <c r="B941" s="25" t="s">
        <v>12388</v>
      </c>
      <c r="C941" s="25" t="s">
        <v>12389</v>
      </c>
      <c r="D941" s="25" t="s">
        <v>6291</v>
      </c>
      <c r="E941" s="16" t="s">
        <v>6292</v>
      </c>
      <c r="F941" s="16" t="s">
        <v>6292</v>
      </c>
      <c r="G941" s="16" t="s">
        <v>6292</v>
      </c>
      <c r="H941" s="16" t="s">
        <v>6292</v>
      </c>
      <c r="I941" s="25" t="s">
        <v>12390</v>
      </c>
      <c r="J941" s="25"/>
      <c r="K941" s="25" t="s">
        <v>6281</v>
      </c>
      <c r="L941" s="26" t="s">
        <v>12391</v>
      </c>
      <c r="M941" s="26" t="s">
        <v>12392</v>
      </c>
      <c r="N941" s="27" t="s">
        <v>12393</v>
      </c>
      <c r="O941" s="26" t="s">
        <v>6295</v>
      </c>
      <c r="P941" s="20" t="b">
        <v>1</v>
      </c>
      <c r="Q941" s="20" t="s">
        <v>6282</v>
      </c>
      <c r="R941" s="28" t="s">
        <v>6283</v>
      </c>
      <c r="S941" s="25"/>
      <c r="T941" s="20" t="b">
        <v>1</v>
      </c>
      <c r="U941" s="25"/>
      <c r="V941" s="25">
        <v>190.13399999999999</v>
      </c>
      <c r="W941" s="28" t="s">
        <v>12394</v>
      </c>
      <c r="X941" s="28" t="s">
        <v>6285</v>
      </c>
      <c r="Y941" s="28" t="s">
        <v>6286</v>
      </c>
      <c r="Z941" s="28" t="s">
        <v>6287</v>
      </c>
      <c r="AA941" s="28" t="s">
        <v>6288</v>
      </c>
      <c r="AB941" s="28" t="s">
        <v>6297</v>
      </c>
    </row>
    <row r="942" spans="1:28" ht="185.4" x14ac:dyDescent="0.3">
      <c r="A942" s="25">
        <v>9085</v>
      </c>
      <c r="B942" s="25" t="s">
        <v>12395</v>
      </c>
      <c r="C942" s="25" t="s">
        <v>12396</v>
      </c>
      <c r="D942" s="25" t="s">
        <v>6278</v>
      </c>
      <c r="E942" s="16" t="s">
        <v>6279</v>
      </c>
      <c r="F942" s="16" t="s">
        <v>6279</v>
      </c>
      <c r="G942" s="16" t="s">
        <v>6279</v>
      </c>
      <c r="H942" s="16" t="s">
        <v>6279</v>
      </c>
      <c r="I942" s="25" t="s">
        <v>12397</v>
      </c>
      <c r="J942" s="25"/>
      <c r="K942" s="25" t="s">
        <v>6281</v>
      </c>
      <c r="L942" s="26" t="s">
        <v>12398</v>
      </c>
      <c r="M942" s="26" t="s">
        <v>6295</v>
      </c>
      <c r="N942" s="27" t="s">
        <v>12399</v>
      </c>
      <c r="O942" s="26" t="s">
        <v>6295</v>
      </c>
      <c r="P942" s="20" t="b">
        <v>1</v>
      </c>
      <c r="Q942" s="20" t="s">
        <v>6282</v>
      </c>
      <c r="R942" s="28" t="s">
        <v>6283</v>
      </c>
      <c r="S942" s="25"/>
      <c r="T942" s="20" t="b">
        <v>1</v>
      </c>
      <c r="U942" s="25"/>
      <c r="V942" s="25">
        <v>174.941</v>
      </c>
      <c r="W942" s="28" t="s">
        <v>12400</v>
      </c>
      <c r="X942" s="28" t="s">
        <v>6285</v>
      </c>
      <c r="Y942" s="28" t="s">
        <v>6286</v>
      </c>
      <c r="Z942" s="28" t="s">
        <v>6287</v>
      </c>
      <c r="AA942" s="28" t="s">
        <v>6288</v>
      </c>
      <c r="AB942" s="28" t="s">
        <v>6297</v>
      </c>
    </row>
    <row r="943" spans="1:28" ht="185.4" x14ac:dyDescent="0.3">
      <c r="A943" s="25">
        <v>9086</v>
      </c>
      <c r="B943" s="25" t="s">
        <v>12401</v>
      </c>
      <c r="C943" s="25" t="s">
        <v>12402</v>
      </c>
      <c r="D943" s="25" t="s">
        <v>6278</v>
      </c>
      <c r="E943" s="16" t="s">
        <v>6279</v>
      </c>
      <c r="F943" s="16" t="s">
        <v>6279</v>
      </c>
      <c r="G943" s="16" t="s">
        <v>6279</v>
      </c>
      <c r="H943" s="16" t="s">
        <v>6279</v>
      </c>
      <c r="I943" s="25" t="s">
        <v>12403</v>
      </c>
      <c r="J943" s="25"/>
      <c r="K943" s="25" t="s">
        <v>6281</v>
      </c>
      <c r="L943" s="26" t="s">
        <v>12404</v>
      </c>
      <c r="M943" s="26" t="s">
        <v>12405</v>
      </c>
      <c r="N943" s="27" t="s">
        <v>12406</v>
      </c>
      <c r="O943" s="26" t="s">
        <v>11484</v>
      </c>
      <c r="P943" s="20" t="b">
        <v>1</v>
      </c>
      <c r="Q943" s="20" t="s">
        <v>6282</v>
      </c>
      <c r="R943" s="28" t="s">
        <v>6283</v>
      </c>
      <c r="S943" s="25"/>
      <c r="T943" s="20" t="b">
        <v>1</v>
      </c>
      <c r="U943" s="25"/>
      <c r="V943" s="25">
        <v>207.27199999999999</v>
      </c>
      <c r="W943" s="28" t="s">
        <v>12407</v>
      </c>
      <c r="X943" s="28" t="s">
        <v>6285</v>
      </c>
      <c r="Y943" s="28" t="s">
        <v>6286</v>
      </c>
      <c r="Z943" s="28" t="s">
        <v>6287</v>
      </c>
      <c r="AA943" s="28" t="s">
        <v>6288</v>
      </c>
      <c r="AB943" s="28" t="s">
        <v>6297</v>
      </c>
    </row>
    <row r="944" spans="1:28" ht="185.4" x14ac:dyDescent="0.3">
      <c r="A944" s="25">
        <v>9087</v>
      </c>
      <c r="B944" s="25" t="s">
        <v>12408</v>
      </c>
      <c r="C944" s="25" t="s">
        <v>12409</v>
      </c>
      <c r="D944" s="25" t="s">
        <v>6278</v>
      </c>
      <c r="E944" s="16" t="s">
        <v>6279</v>
      </c>
      <c r="F944" s="16" t="s">
        <v>6279</v>
      </c>
      <c r="G944" s="16" t="s">
        <v>6279</v>
      </c>
      <c r="H944" s="16" t="s">
        <v>6279</v>
      </c>
      <c r="I944" s="25" t="s">
        <v>12410</v>
      </c>
      <c r="J944" s="25"/>
      <c r="K944" s="25" t="s">
        <v>6281</v>
      </c>
      <c r="L944" s="26" t="s">
        <v>12411</v>
      </c>
      <c r="M944" s="26" t="s">
        <v>12412</v>
      </c>
      <c r="N944" s="27" t="s">
        <v>12413</v>
      </c>
      <c r="O944" s="26" t="s">
        <v>6295</v>
      </c>
      <c r="P944" s="20" t="b">
        <v>1</v>
      </c>
      <c r="Q944" s="20" t="s">
        <v>6282</v>
      </c>
      <c r="R944" s="28" t="s">
        <v>6283</v>
      </c>
      <c r="S944" s="25"/>
      <c r="T944" s="20" t="b">
        <v>1</v>
      </c>
      <c r="U944" s="25"/>
      <c r="V944" s="25">
        <v>29.064</v>
      </c>
      <c r="W944" s="28" t="s">
        <v>12414</v>
      </c>
      <c r="X944" s="28" t="s">
        <v>6285</v>
      </c>
      <c r="Y944" s="28" t="s">
        <v>6286</v>
      </c>
      <c r="Z944" s="28" t="s">
        <v>6287</v>
      </c>
      <c r="AA944" s="28" t="s">
        <v>6288</v>
      </c>
      <c r="AB944" s="28" t="s">
        <v>6297</v>
      </c>
    </row>
    <row r="945" spans="1:28" ht="185.4" x14ac:dyDescent="0.3">
      <c r="A945" s="25">
        <v>9088</v>
      </c>
      <c r="B945" s="25" t="s">
        <v>12415</v>
      </c>
      <c r="C945" s="25" t="s">
        <v>12416</v>
      </c>
      <c r="D945" s="25" t="s">
        <v>6278</v>
      </c>
      <c r="E945" s="16" t="s">
        <v>6279</v>
      </c>
      <c r="F945" s="16" t="s">
        <v>6279</v>
      </c>
      <c r="G945" s="16" t="s">
        <v>6279</v>
      </c>
      <c r="H945" s="16" t="s">
        <v>6279</v>
      </c>
      <c r="I945" s="25" t="s">
        <v>12417</v>
      </c>
      <c r="J945" s="25"/>
      <c r="K945" s="25" t="s">
        <v>6281</v>
      </c>
      <c r="L945" s="26" t="s">
        <v>12418</v>
      </c>
      <c r="M945" s="26" t="s">
        <v>12412</v>
      </c>
      <c r="N945" s="27" t="s">
        <v>12419</v>
      </c>
      <c r="O945" s="26" t="s">
        <v>6295</v>
      </c>
      <c r="P945" s="20" t="b">
        <v>1</v>
      </c>
      <c r="Q945" s="20" t="s">
        <v>6282</v>
      </c>
      <c r="R945" s="28" t="s">
        <v>6283</v>
      </c>
      <c r="S945" s="25"/>
      <c r="T945" s="20" t="b">
        <v>1</v>
      </c>
      <c r="U945" s="25"/>
      <c r="V945" s="25">
        <v>30.712499999999999</v>
      </c>
      <c r="W945" s="28" t="s">
        <v>12420</v>
      </c>
      <c r="X945" s="28" t="s">
        <v>6285</v>
      </c>
      <c r="Y945" s="28" t="s">
        <v>6286</v>
      </c>
      <c r="Z945" s="28" t="s">
        <v>6287</v>
      </c>
      <c r="AA945" s="28" t="s">
        <v>6288</v>
      </c>
      <c r="AB945" s="28" t="s">
        <v>6297</v>
      </c>
    </row>
    <row r="946" spans="1:28" ht="185.4" x14ac:dyDescent="0.3">
      <c r="A946" s="25">
        <v>9089</v>
      </c>
      <c r="B946" s="25" t="s">
        <v>12421</v>
      </c>
      <c r="C946" s="25" t="s">
        <v>12422</v>
      </c>
      <c r="D946" s="25" t="s">
        <v>6291</v>
      </c>
      <c r="E946" s="16" t="s">
        <v>6292</v>
      </c>
      <c r="F946" s="16" t="s">
        <v>6292</v>
      </c>
      <c r="G946" s="16" t="s">
        <v>6292</v>
      </c>
      <c r="H946" s="16" t="s">
        <v>6292</v>
      </c>
      <c r="I946" s="25" t="s">
        <v>12423</v>
      </c>
      <c r="J946" s="25"/>
      <c r="K946" s="25" t="s">
        <v>6281</v>
      </c>
      <c r="L946" s="26" t="s">
        <v>12424</v>
      </c>
      <c r="M946" s="26" t="s">
        <v>12425</v>
      </c>
      <c r="N946" s="27" t="s">
        <v>12426</v>
      </c>
      <c r="O946" s="26" t="s">
        <v>12425</v>
      </c>
      <c r="P946" s="20" t="b">
        <v>1</v>
      </c>
      <c r="Q946" s="20" t="s">
        <v>6282</v>
      </c>
      <c r="R946" s="28" t="s">
        <v>6283</v>
      </c>
      <c r="S946" s="25"/>
      <c r="T946" s="20" t="b">
        <v>1</v>
      </c>
      <c r="U946" s="25"/>
      <c r="V946" s="25">
        <v>17.776</v>
      </c>
      <c r="W946" s="28" t="s">
        <v>12427</v>
      </c>
      <c r="X946" s="28" t="s">
        <v>6285</v>
      </c>
      <c r="Y946" s="28" t="s">
        <v>6286</v>
      </c>
      <c r="Z946" s="28" t="s">
        <v>6287</v>
      </c>
      <c r="AA946" s="28" t="s">
        <v>6288</v>
      </c>
      <c r="AB946" s="28" t="s">
        <v>6297</v>
      </c>
    </row>
    <row r="947" spans="1:28" ht="185.4" x14ac:dyDescent="0.3">
      <c r="A947" s="25">
        <v>9090</v>
      </c>
      <c r="B947" s="25" t="s">
        <v>12428</v>
      </c>
      <c r="C947" s="25" t="s">
        <v>12429</v>
      </c>
      <c r="D947" s="25" t="s">
        <v>6278</v>
      </c>
      <c r="E947" s="16" t="s">
        <v>6279</v>
      </c>
      <c r="F947" s="16" t="s">
        <v>6279</v>
      </c>
      <c r="G947" s="16" t="s">
        <v>6279</v>
      </c>
      <c r="H947" s="16" t="s">
        <v>6279</v>
      </c>
      <c r="I947" s="25" t="s">
        <v>12430</v>
      </c>
      <c r="J947" s="25"/>
      <c r="K947" s="25" t="s">
        <v>6281</v>
      </c>
      <c r="L947" s="26" t="s">
        <v>12431</v>
      </c>
      <c r="M947" s="26" t="s">
        <v>12432</v>
      </c>
      <c r="N947" s="27" t="s">
        <v>12433</v>
      </c>
      <c r="O947" s="26" t="s">
        <v>12434</v>
      </c>
      <c r="P947" s="20" t="b">
        <v>1</v>
      </c>
      <c r="Q947" s="20" t="s">
        <v>6282</v>
      </c>
      <c r="R947" s="28" t="s">
        <v>6283</v>
      </c>
      <c r="S947" s="25"/>
      <c r="T947" s="20" t="b">
        <v>1</v>
      </c>
      <c r="U947" s="25"/>
      <c r="V947" s="25">
        <v>67.872</v>
      </c>
      <c r="W947" s="28" t="s">
        <v>12435</v>
      </c>
      <c r="X947" s="28" t="s">
        <v>6285</v>
      </c>
      <c r="Y947" s="28" t="s">
        <v>6286</v>
      </c>
      <c r="Z947" s="28" t="s">
        <v>6287</v>
      </c>
      <c r="AA947" s="28" t="s">
        <v>6288</v>
      </c>
      <c r="AB947" s="28" t="s">
        <v>6297</v>
      </c>
    </row>
    <row r="948" spans="1:28" ht="185.4" x14ac:dyDescent="0.3">
      <c r="A948" s="25">
        <v>9091</v>
      </c>
      <c r="B948" s="25" t="s">
        <v>12436</v>
      </c>
      <c r="C948" s="25" t="s">
        <v>12437</v>
      </c>
      <c r="D948" s="25" t="s">
        <v>6278</v>
      </c>
      <c r="E948" s="16" t="s">
        <v>6279</v>
      </c>
      <c r="F948" s="16" t="s">
        <v>6279</v>
      </c>
      <c r="G948" s="16" t="s">
        <v>6279</v>
      </c>
      <c r="H948" s="16" t="s">
        <v>6279</v>
      </c>
      <c r="I948" s="25" t="s">
        <v>12438</v>
      </c>
      <c r="J948" s="25"/>
      <c r="K948" s="25" t="s">
        <v>6281</v>
      </c>
      <c r="L948" s="26" t="s">
        <v>12439</v>
      </c>
      <c r="M948" s="26" t="s">
        <v>6295</v>
      </c>
      <c r="N948" s="27" t="s">
        <v>12440</v>
      </c>
      <c r="O948" s="26" t="s">
        <v>6295</v>
      </c>
      <c r="P948" s="20" t="b">
        <v>1</v>
      </c>
      <c r="Q948" s="20" t="s">
        <v>6282</v>
      </c>
      <c r="R948" s="28" t="s">
        <v>6283</v>
      </c>
      <c r="S948" s="25"/>
      <c r="T948" s="20" t="b">
        <v>1</v>
      </c>
      <c r="U948" s="25"/>
      <c r="V948" s="25">
        <v>389.88600000000002</v>
      </c>
      <c r="W948" s="28" t="s">
        <v>12441</v>
      </c>
      <c r="X948" s="28" t="s">
        <v>6285</v>
      </c>
      <c r="Y948" s="28" t="s">
        <v>6286</v>
      </c>
      <c r="Z948" s="28" t="s">
        <v>6287</v>
      </c>
      <c r="AA948" s="28" t="s">
        <v>6288</v>
      </c>
      <c r="AB948" s="28" t="s">
        <v>6297</v>
      </c>
    </row>
    <row r="949" spans="1:28" ht="185.4" x14ac:dyDescent="0.3">
      <c r="A949" s="25">
        <v>9092</v>
      </c>
      <c r="B949" s="25" t="s">
        <v>12442</v>
      </c>
      <c r="C949" s="25" t="s">
        <v>12443</v>
      </c>
      <c r="D949" s="25" t="s">
        <v>6278</v>
      </c>
      <c r="E949" s="16" t="s">
        <v>6279</v>
      </c>
      <c r="F949" s="16" t="s">
        <v>6279</v>
      </c>
      <c r="G949" s="16" t="s">
        <v>6279</v>
      </c>
      <c r="H949" s="16" t="s">
        <v>6279</v>
      </c>
      <c r="I949" s="25" t="s">
        <v>12444</v>
      </c>
      <c r="J949" s="25"/>
      <c r="K949" s="25" t="s">
        <v>6281</v>
      </c>
      <c r="L949" s="26" t="s">
        <v>12445</v>
      </c>
      <c r="M949" s="26" t="s">
        <v>6295</v>
      </c>
      <c r="N949" s="27" t="s">
        <v>12446</v>
      </c>
      <c r="O949" s="26" t="s">
        <v>6295</v>
      </c>
      <c r="P949" s="20" t="b">
        <v>1</v>
      </c>
      <c r="Q949" s="20" t="s">
        <v>6282</v>
      </c>
      <c r="R949" s="28" t="s">
        <v>6283</v>
      </c>
      <c r="S949" s="25"/>
      <c r="T949" s="20" t="b">
        <v>1</v>
      </c>
      <c r="U949" s="25"/>
      <c r="V949" s="25">
        <v>415.22250000000003</v>
      </c>
      <c r="W949" s="28" t="s">
        <v>12447</v>
      </c>
      <c r="X949" s="28" t="s">
        <v>6285</v>
      </c>
      <c r="Y949" s="28" t="s">
        <v>6286</v>
      </c>
      <c r="Z949" s="28" t="s">
        <v>6287</v>
      </c>
      <c r="AA949" s="28" t="s">
        <v>6288</v>
      </c>
      <c r="AB949" s="28" t="s">
        <v>6297</v>
      </c>
    </row>
    <row r="950" spans="1:28" ht="185.4" x14ac:dyDescent="0.3">
      <c r="A950" s="25">
        <v>9093</v>
      </c>
      <c r="B950" s="25" t="s">
        <v>12448</v>
      </c>
      <c r="C950" s="25" t="s">
        <v>6306</v>
      </c>
      <c r="D950" s="25" t="s">
        <v>6278</v>
      </c>
      <c r="E950" s="16" t="s">
        <v>6279</v>
      </c>
      <c r="F950" s="16" t="s">
        <v>6279</v>
      </c>
      <c r="G950" s="16" t="s">
        <v>6279</v>
      </c>
      <c r="H950" s="16" t="s">
        <v>6279</v>
      </c>
      <c r="I950" s="25" t="s">
        <v>12449</v>
      </c>
      <c r="J950" s="25"/>
      <c r="K950" s="25" t="s">
        <v>6281</v>
      </c>
      <c r="L950" s="26" t="s">
        <v>12450</v>
      </c>
      <c r="M950" s="26" t="s">
        <v>12451</v>
      </c>
      <c r="N950" s="27" t="s">
        <v>12452</v>
      </c>
      <c r="O950" s="26" t="s">
        <v>12453</v>
      </c>
      <c r="P950" s="20" t="b">
        <v>1</v>
      </c>
      <c r="Q950" s="20" t="s">
        <v>6282</v>
      </c>
      <c r="R950" s="28" t="s">
        <v>6283</v>
      </c>
      <c r="S950" s="25"/>
      <c r="T950" s="20" t="b">
        <v>1</v>
      </c>
      <c r="U950" s="25"/>
      <c r="V950" s="25">
        <v>280.14999999999998</v>
      </c>
      <c r="W950" s="28" t="s">
        <v>12454</v>
      </c>
      <c r="X950" s="28" t="s">
        <v>6285</v>
      </c>
      <c r="Y950" s="28" t="s">
        <v>6286</v>
      </c>
      <c r="Z950" s="28" t="s">
        <v>6287</v>
      </c>
      <c r="AA950" s="28" t="s">
        <v>6288</v>
      </c>
      <c r="AB950" s="28" t="s">
        <v>6297</v>
      </c>
    </row>
    <row r="951" spans="1:28" ht="185.4" x14ac:dyDescent="0.3">
      <c r="A951" s="25">
        <v>9094</v>
      </c>
      <c r="B951" s="25" t="s">
        <v>12455</v>
      </c>
      <c r="C951" s="25" t="s">
        <v>12456</v>
      </c>
      <c r="D951" s="25" t="s">
        <v>6278</v>
      </c>
      <c r="E951" s="16" t="s">
        <v>6279</v>
      </c>
      <c r="F951" s="16" t="s">
        <v>6279</v>
      </c>
      <c r="G951" s="16" t="s">
        <v>6279</v>
      </c>
      <c r="H951" s="16" t="s">
        <v>6279</v>
      </c>
      <c r="I951" s="25" t="s">
        <v>12457</v>
      </c>
      <c r="J951" s="25"/>
      <c r="K951" s="25" t="s">
        <v>6281</v>
      </c>
      <c r="L951" s="26" t="s">
        <v>12458</v>
      </c>
      <c r="M951" s="26" t="s">
        <v>12459</v>
      </c>
      <c r="N951" s="27" t="s">
        <v>12460</v>
      </c>
      <c r="O951" s="26" t="s">
        <v>6487</v>
      </c>
      <c r="P951" s="20" t="b">
        <v>1</v>
      </c>
      <c r="Q951" s="20" t="s">
        <v>6282</v>
      </c>
      <c r="R951" s="28" t="s">
        <v>6283</v>
      </c>
      <c r="S951" s="25"/>
      <c r="T951" s="20" t="b">
        <v>1</v>
      </c>
      <c r="U951" s="25"/>
      <c r="V951" s="25">
        <v>33.950000000000003</v>
      </c>
      <c r="W951" s="28" t="s">
        <v>12461</v>
      </c>
      <c r="X951" s="28" t="s">
        <v>6285</v>
      </c>
      <c r="Y951" s="28" t="s">
        <v>6286</v>
      </c>
      <c r="Z951" s="28" t="s">
        <v>6287</v>
      </c>
      <c r="AA951" s="28" t="s">
        <v>6288</v>
      </c>
      <c r="AB951" s="28" t="s">
        <v>6297</v>
      </c>
    </row>
    <row r="952" spans="1:28" ht="185.4" x14ac:dyDescent="0.3">
      <c r="A952" s="25">
        <v>9095</v>
      </c>
      <c r="B952" s="25" t="s">
        <v>12462</v>
      </c>
      <c r="C952" s="25" t="s">
        <v>12463</v>
      </c>
      <c r="D952" s="25" t="s">
        <v>6291</v>
      </c>
      <c r="E952" s="16" t="s">
        <v>6292</v>
      </c>
      <c r="F952" s="16" t="s">
        <v>6292</v>
      </c>
      <c r="G952" s="16" t="s">
        <v>6292</v>
      </c>
      <c r="H952" s="16" t="s">
        <v>6292</v>
      </c>
      <c r="I952" s="25" t="s">
        <v>12464</v>
      </c>
      <c r="J952" s="25"/>
      <c r="K952" s="25" t="s">
        <v>6281</v>
      </c>
      <c r="L952" s="26" t="s">
        <v>12465</v>
      </c>
      <c r="M952" s="26" t="s">
        <v>12466</v>
      </c>
      <c r="N952" s="27" t="s">
        <v>12467</v>
      </c>
      <c r="O952" s="26" t="s">
        <v>12466</v>
      </c>
      <c r="P952" s="20" t="b">
        <v>1</v>
      </c>
      <c r="Q952" s="20" t="s">
        <v>6282</v>
      </c>
      <c r="R952" s="28" t="s">
        <v>6283</v>
      </c>
      <c r="S952" s="25"/>
      <c r="T952" s="20" t="b">
        <v>1</v>
      </c>
      <c r="U952" s="25"/>
      <c r="V952" s="25">
        <v>1711.3040000000001</v>
      </c>
      <c r="W952" s="28" t="s">
        <v>12468</v>
      </c>
      <c r="X952" s="28" t="s">
        <v>6285</v>
      </c>
      <c r="Y952" s="28" t="s">
        <v>6286</v>
      </c>
      <c r="Z952" s="28" t="s">
        <v>6287</v>
      </c>
      <c r="AA952" s="28" t="s">
        <v>6288</v>
      </c>
      <c r="AB952" s="28" t="s">
        <v>6297</v>
      </c>
    </row>
    <row r="953" spans="1:28" ht="185.4" x14ac:dyDescent="0.3">
      <c r="A953" s="25">
        <v>9096</v>
      </c>
      <c r="B953" s="25" t="s">
        <v>12469</v>
      </c>
      <c r="C953" s="25" t="s">
        <v>12470</v>
      </c>
      <c r="D953" s="25" t="s">
        <v>6278</v>
      </c>
      <c r="E953" s="16" t="s">
        <v>6279</v>
      </c>
      <c r="F953" s="16" t="s">
        <v>6279</v>
      </c>
      <c r="G953" s="16" t="s">
        <v>6279</v>
      </c>
      <c r="H953" s="16" t="s">
        <v>6279</v>
      </c>
      <c r="I953" s="25" t="s">
        <v>12471</v>
      </c>
      <c r="J953" s="25"/>
      <c r="K953" s="25" t="s">
        <v>6281</v>
      </c>
      <c r="L953" s="26" t="s">
        <v>12472</v>
      </c>
      <c r="M953" s="26" t="s">
        <v>12473</v>
      </c>
      <c r="N953" s="27" t="s">
        <v>12474</v>
      </c>
      <c r="O953" s="26" t="s">
        <v>12475</v>
      </c>
      <c r="P953" s="20" t="b">
        <v>1</v>
      </c>
      <c r="Q953" s="20" t="s">
        <v>6282</v>
      </c>
      <c r="R953" s="28" t="s">
        <v>6283</v>
      </c>
      <c r="S953" s="25"/>
      <c r="T953" s="20" t="b">
        <v>1</v>
      </c>
      <c r="U953" s="25"/>
      <c r="V953" s="25">
        <v>1462.8230000000001</v>
      </c>
      <c r="W953" s="28" t="s">
        <v>12476</v>
      </c>
      <c r="X953" s="28" t="s">
        <v>6285</v>
      </c>
      <c r="Y953" s="28" t="s">
        <v>6286</v>
      </c>
      <c r="Z953" s="28" t="s">
        <v>6287</v>
      </c>
      <c r="AA953" s="28" t="s">
        <v>6288</v>
      </c>
      <c r="AB953" s="28" t="s">
        <v>6297</v>
      </c>
    </row>
    <row r="954" spans="1:28" ht="185.4" x14ac:dyDescent="0.3">
      <c r="A954" s="25">
        <v>9098</v>
      </c>
      <c r="B954" s="25" t="s">
        <v>12477</v>
      </c>
      <c r="C954" s="25" t="s">
        <v>12478</v>
      </c>
      <c r="D954" s="25" t="s">
        <v>6278</v>
      </c>
      <c r="E954" s="16" t="s">
        <v>6279</v>
      </c>
      <c r="F954" s="16" t="s">
        <v>6279</v>
      </c>
      <c r="G954" s="16" t="s">
        <v>6279</v>
      </c>
      <c r="H954" s="16" t="s">
        <v>6279</v>
      </c>
      <c r="I954" s="25" t="s">
        <v>12479</v>
      </c>
      <c r="J954" s="25"/>
      <c r="K954" s="25" t="s">
        <v>6281</v>
      </c>
      <c r="L954" s="26" t="s">
        <v>12480</v>
      </c>
      <c r="M954" s="26" t="s">
        <v>12473</v>
      </c>
      <c r="N954" s="27" t="s">
        <v>12481</v>
      </c>
      <c r="O954" s="26" t="s">
        <v>12475</v>
      </c>
      <c r="P954" s="20" t="b">
        <v>1</v>
      </c>
      <c r="Q954" s="20" t="s">
        <v>6282</v>
      </c>
      <c r="R954" s="28" t="s">
        <v>6283</v>
      </c>
      <c r="S954" s="25"/>
      <c r="T954" s="20" t="b">
        <v>1</v>
      </c>
      <c r="U954" s="25"/>
      <c r="V954" s="25">
        <v>1382.7484999999999</v>
      </c>
      <c r="W954" s="28" t="s">
        <v>12482</v>
      </c>
      <c r="X954" s="28" t="s">
        <v>6285</v>
      </c>
      <c r="Y954" s="28" t="s">
        <v>6286</v>
      </c>
      <c r="Z954" s="28" t="s">
        <v>6287</v>
      </c>
      <c r="AA954" s="28" t="s">
        <v>6288</v>
      </c>
      <c r="AB954" s="28" t="s">
        <v>6297</v>
      </c>
    </row>
    <row r="955" spans="1:28" ht="185.4" x14ac:dyDescent="0.3">
      <c r="A955" s="25">
        <v>9100</v>
      </c>
      <c r="B955" s="25" t="s">
        <v>12483</v>
      </c>
      <c r="C955" s="25" t="s">
        <v>12484</v>
      </c>
      <c r="D955" s="25" t="s">
        <v>6278</v>
      </c>
      <c r="E955" s="16" t="s">
        <v>6279</v>
      </c>
      <c r="F955" s="16" t="s">
        <v>6279</v>
      </c>
      <c r="G955" s="16" t="s">
        <v>6279</v>
      </c>
      <c r="H955" s="16" t="s">
        <v>6279</v>
      </c>
      <c r="I955" s="25" t="s">
        <v>12485</v>
      </c>
      <c r="J955" s="25"/>
      <c r="K955" s="25" t="s">
        <v>6281</v>
      </c>
      <c r="L955" s="26" t="s">
        <v>12486</v>
      </c>
      <c r="M955" s="26" t="s">
        <v>12487</v>
      </c>
      <c r="N955" s="27" t="s">
        <v>12488</v>
      </c>
      <c r="O955" s="26" t="s">
        <v>12489</v>
      </c>
      <c r="P955" s="20" t="b">
        <v>1</v>
      </c>
      <c r="Q955" s="20" t="s">
        <v>6282</v>
      </c>
      <c r="R955" s="28" t="s">
        <v>6283</v>
      </c>
      <c r="S955" s="25"/>
      <c r="T955" s="20" t="b">
        <v>1</v>
      </c>
      <c r="U955" s="25"/>
      <c r="V955" s="25">
        <v>33</v>
      </c>
      <c r="W955" s="28" t="s">
        <v>12490</v>
      </c>
      <c r="X955" s="28" t="s">
        <v>6285</v>
      </c>
      <c r="Y955" s="28" t="s">
        <v>6286</v>
      </c>
      <c r="Z955" s="28" t="s">
        <v>6287</v>
      </c>
      <c r="AA955" s="28" t="s">
        <v>6288</v>
      </c>
      <c r="AB955" s="28" t="s">
        <v>6297</v>
      </c>
    </row>
    <row r="956" spans="1:28" ht="185.4" x14ac:dyDescent="0.3">
      <c r="A956" s="25">
        <v>9101</v>
      </c>
      <c r="B956" s="25" t="s">
        <v>12491</v>
      </c>
      <c r="C956" s="25" t="s">
        <v>12492</v>
      </c>
      <c r="D956" s="25" t="s">
        <v>6291</v>
      </c>
      <c r="E956" s="16" t="s">
        <v>6292</v>
      </c>
      <c r="F956" s="16" t="s">
        <v>6292</v>
      </c>
      <c r="G956" s="16" t="s">
        <v>6292</v>
      </c>
      <c r="H956" s="16" t="s">
        <v>6292</v>
      </c>
      <c r="I956" s="25" t="s">
        <v>12493</v>
      </c>
      <c r="J956" s="25"/>
      <c r="K956" s="25" t="s">
        <v>6281</v>
      </c>
      <c r="L956" s="26" t="s">
        <v>12494</v>
      </c>
      <c r="M956" s="26" t="s">
        <v>6295</v>
      </c>
      <c r="N956" s="27" t="s">
        <v>12495</v>
      </c>
      <c r="O956" s="26" t="s">
        <v>6295</v>
      </c>
      <c r="P956" s="20" t="b">
        <v>1</v>
      </c>
      <c r="Q956" s="20" t="s">
        <v>6282</v>
      </c>
      <c r="R956" s="28" t="s">
        <v>6283</v>
      </c>
      <c r="S956" s="25"/>
      <c r="T956" s="20" t="b">
        <v>1</v>
      </c>
      <c r="U956" s="25"/>
      <c r="V956" s="25" t="s">
        <v>6295</v>
      </c>
      <c r="W956" s="28" t="s">
        <v>12496</v>
      </c>
      <c r="X956" s="28" t="s">
        <v>6285</v>
      </c>
      <c r="Y956" s="28" t="s">
        <v>6286</v>
      </c>
      <c r="Z956" s="28" t="s">
        <v>6287</v>
      </c>
      <c r="AA956" s="28" t="s">
        <v>6288</v>
      </c>
      <c r="AB956" s="28" t="s">
        <v>6297</v>
      </c>
    </row>
    <row r="957" spans="1:28" ht="185.4" x14ac:dyDescent="0.3">
      <c r="A957" s="25">
        <v>9102</v>
      </c>
      <c r="B957" s="25" t="s">
        <v>12497</v>
      </c>
      <c r="C957" s="25" t="s">
        <v>12498</v>
      </c>
      <c r="D957" s="25" t="s">
        <v>6278</v>
      </c>
      <c r="E957" s="16" t="s">
        <v>6279</v>
      </c>
      <c r="F957" s="16" t="s">
        <v>6279</v>
      </c>
      <c r="G957" s="16" t="s">
        <v>6279</v>
      </c>
      <c r="H957" s="16" t="s">
        <v>6279</v>
      </c>
      <c r="I957" s="25" t="s">
        <v>12499</v>
      </c>
      <c r="J957" s="25"/>
      <c r="K957" s="25" t="s">
        <v>6281</v>
      </c>
      <c r="L957" s="26" t="s">
        <v>12500</v>
      </c>
      <c r="M957" s="26" t="s">
        <v>12501</v>
      </c>
      <c r="N957" s="27" t="s">
        <v>12502</v>
      </c>
      <c r="O957" s="26" t="s">
        <v>6295</v>
      </c>
      <c r="P957" s="20" t="b">
        <v>1</v>
      </c>
      <c r="Q957" s="20" t="s">
        <v>6282</v>
      </c>
      <c r="R957" s="28" t="s">
        <v>6283</v>
      </c>
      <c r="S957" s="25"/>
      <c r="T957" s="20" t="b">
        <v>1</v>
      </c>
      <c r="U957" s="25"/>
      <c r="V957" s="25">
        <v>1676.51</v>
      </c>
      <c r="W957" s="28" t="s">
        <v>12503</v>
      </c>
      <c r="X957" s="28" t="s">
        <v>6285</v>
      </c>
      <c r="Y957" s="28" t="s">
        <v>6286</v>
      </c>
      <c r="Z957" s="28" t="s">
        <v>6287</v>
      </c>
      <c r="AA957" s="28" t="s">
        <v>6288</v>
      </c>
      <c r="AB957" s="28" t="s">
        <v>6297</v>
      </c>
    </row>
    <row r="958" spans="1:28" ht="185.4" x14ac:dyDescent="0.3">
      <c r="A958" s="25">
        <v>9103</v>
      </c>
      <c r="B958" s="25" t="s">
        <v>12504</v>
      </c>
      <c r="C958" s="25" t="s">
        <v>12505</v>
      </c>
      <c r="D958" s="25" t="s">
        <v>6278</v>
      </c>
      <c r="E958" s="16" t="s">
        <v>6279</v>
      </c>
      <c r="F958" s="16" t="s">
        <v>6279</v>
      </c>
      <c r="G958" s="16" t="s">
        <v>6279</v>
      </c>
      <c r="H958" s="16" t="s">
        <v>6279</v>
      </c>
      <c r="I958" s="25" t="s">
        <v>12506</v>
      </c>
      <c r="J958" s="25"/>
      <c r="K958" s="25" t="s">
        <v>6281</v>
      </c>
      <c r="L958" s="26" t="s">
        <v>12507</v>
      </c>
      <c r="M958" s="26" t="s">
        <v>12508</v>
      </c>
      <c r="N958" s="27" t="s">
        <v>12509</v>
      </c>
      <c r="O958" s="26" t="s">
        <v>6295</v>
      </c>
      <c r="P958" s="20" t="b">
        <v>1</v>
      </c>
      <c r="Q958" s="20" t="s">
        <v>6282</v>
      </c>
      <c r="R958" s="28" t="s">
        <v>6283</v>
      </c>
      <c r="S958" s="25"/>
      <c r="T958" s="20" t="b">
        <v>1</v>
      </c>
      <c r="U958" s="25"/>
      <c r="V958" s="25">
        <v>1695.0229999999999</v>
      </c>
      <c r="W958" s="28" t="s">
        <v>12510</v>
      </c>
      <c r="X958" s="28" t="s">
        <v>6285</v>
      </c>
      <c r="Y958" s="28" t="s">
        <v>6286</v>
      </c>
      <c r="Z958" s="28" t="s">
        <v>6287</v>
      </c>
      <c r="AA958" s="28" t="s">
        <v>6288</v>
      </c>
      <c r="AB958" s="28" t="s">
        <v>6297</v>
      </c>
    </row>
    <row r="959" spans="1:28" ht="185.4" x14ac:dyDescent="0.3">
      <c r="A959" s="25">
        <v>9106</v>
      </c>
      <c r="B959" s="25" t="s">
        <v>12511</v>
      </c>
      <c r="C959" s="25" t="s">
        <v>12512</v>
      </c>
      <c r="D959" s="25" t="s">
        <v>6291</v>
      </c>
      <c r="E959" s="16" t="s">
        <v>6292</v>
      </c>
      <c r="F959" s="16" t="s">
        <v>6292</v>
      </c>
      <c r="G959" s="16" t="s">
        <v>6292</v>
      </c>
      <c r="H959" s="16" t="s">
        <v>6292</v>
      </c>
      <c r="I959" s="25" t="s">
        <v>12513</v>
      </c>
      <c r="J959" s="25"/>
      <c r="K959" s="25" t="s">
        <v>6281</v>
      </c>
      <c r="L959" s="26" t="s">
        <v>12514</v>
      </c>
      <c r="M959" s="26" t="s">
        <v>6295</v>
      </c>
      <c r="N959" s="27" t="s">
        <v>12515</v>
      </c>
      <c r="O959" s="26" t="s">
        <v>6295</v>
      </c>
      <c r="P959" s="20" t="b">
        <v>1</v>
      </c>
      <c r="Q959" s="20" t="s">
        <v>6282</v>
      </c>
      <c r="R959" s="28" t="s">
        <v>6283</v>
      </c>
      <c r="S959" s="25"/>
      <c r="T959" s="20" t="b">
        <v>1</v>
      </c>
      <c r="U959" s="25"/>
      <c r="V959" s="25">
        <v>145.29</v>
      </c>
      <c r="W959" s="28" t="s">
        <v>12516</v>
      </c>
      <c r="X959" s="28" t="s">
        <v>6285</v>
      </c>
      <c r="Y959" s="28" t="s">
        <v>6286</v>
      </c>
      <c r="Z959" s="28" t="s">
        <v>6287</v>
      </c>
      <c r="AA959" s="28" t="s">
        <v>6288</v>
      </c>
      <c r="AB959" s="28" t="s">
        <v>6297</v>
      </c>
    </row>
    <row r="960" spans="1:28" ht="185.4" x14ac:dyDescent="0.3">
      <c r="A960" s="25">
        <v>9107</v>
      </c>
      <c r="B960" s="25" t="s">
        <v>12517</v>
      </c>
      <c r="C960" s="25" t="s">
        <v>12518</v>
      </c>
      <c r="D960" s="25" t="s">
        <v>6291</v>
      </c>
      <c r="E960" s="16" t="s">
        <v>6292</v>
      </c>
      <c r="F960" s="16" t="s">
        <v>6292</v>
      </c>
      <c r="G960" s="16" t="s">
        <v>6292</v>
      </c>
      <c r="H960" s="16" t="s">
        <v>6292</v>
      </c>
      <c r="I960" s="25" t="s">
        <v>12519</v>
      </c>
      <c r="J960" s="25"/>
      <c r="K960" s="25" t="s">
        <v>6281</v>
      </c>
      <c r="L960" s="26" t="s">
        <v>12520</v>
      </c>
      <c r="M960" s="26" t="s">
        <v>12521</v>
      </c>
      <c r="N960" s="27" t="s">
        <v>12522</v>
      </c>
      <c r="O960" s="26" t="s">
        <v>12521</v>
      </c>
      <c r="P960" s="20" t="b">
        <v>1</v>
      </c>
      <c r="Q960" s="20" t="s">
        <v>6282</v>
      </c>
      <c r="R960" s="28" t="s">
        <v>6283</v>
      </c>
      <c r="S960" s="25"/>
      <c r="T960" s="20" t="b">
        <v>1</v>
      </c>
      <c r="U960" s="25"/>
      <c r="V960" s="25">
        <v>491.5</v>
      </c>
      <c r="W960" s="28" t="s">
        <v>12523</v>
      </c>
      <c r="X960" s="28" t="s">
        <v>6285</v>
      </c>
      <c r="Y960" s="28" t="s">
        <v>6286</v>
      </c>
      <c r="Z960" s="28" t="s">
        <v>6287</v>
      </c>
      <c r="AA960" s="28" t="s">
        <v>6288</v>
      </c>
      <c r="AB960" s="28" t="s">
        <v>6297</v>
      </c>
    </row>
    <row r="961" spans="1:28" ht="185.4" x14ac:dyDescent="0.3">
      <c r="A961" s="25">
        <v>9108</v>
      </c>
      <c r="B961" s="25" t="s">
        <v>12524</v>
      </c>
      <c r="C961" s="25" t="s">
        <v>12525</v>
      </c>
      <c r="D961" s="25" t="s">
        <v>6291</v>
      </c>
      <c r="E961" s="16" t="s">
        <v>6292</v>
      </c>
      <c r="F961" s="16" t="s">
        <v>6292</v>
      </c>
      <c r="G961" s="16" t="s">
        <v>6292</v>
      </c>
      <c r="H961" s="16" t="s">
        <v>6292</v>
      </c>
      <c r="I961" s="25" t="s">
        <v>12526</v>
      </c>
      <c r="J961" s="25"/>
      <c r="K961" s="25" t="s">
        <v>6281</v>
      </c>
      <c r="L961" s="26" t="s">
        <v>12527</v>
      </c>
      <c r="M961" s="26" t="s">
        <v>12521</v>
      </c>
      <c r="N961" s="27" t="s">
        <v>12528</v>
      </c>
      <c r="O961" s="26" t="s">
        <v>12521</v>
      </c>
      <c r="P961" s="20" t="b">
        <v>1</v>
      </c>
      <c r="Q961" s="20" t="s">
        <v>6282</v>
      </c>
      <c r="R961" s="28" t="s">
        <v>6283</v>
      </c>
      <c r="S961" s="25"/>
      <c r="T961" s="20" t="b">
        <v>1</v>
      </c>
      <c r="U961" s="25"/>
      <c r="V961" s="25">
        <v>990.99</v>
      </c>
      <c r="W961" s="28" t="s">
        <v>12529</v>
      </c>
      <c r="X961" s="28" t="s">
        <v>6285</v>
      </c>
      <c r="Y961" s="28" t="s">
        <v>6286</v>
      </c>
      <c r="Z961" s="28" t="s">
        <v>6287</v>
      </c>
      <c r="AA961" s="28" t="s">
        <v>6288</v>
      </c>
      <c r="AB961" s="28" t="s">
        <v>6297</v>
      </c>
    </row>
    <row r="962" spans="1:28" ht="185.4" x14ac:dyDescent="0.3">
      <c r="A962" s="25">
        <v>9109</v>
      </c>
      <c r="B962" s="25" t="s">
        <v>12530</v>
      </c>
      <c r="C962" s="25" t="s">
        <v>12531</v>
      </c>
      <c r="D962" s="25" t="s">
        <v>6291</v>
      </c>
      <c r="E962" s="16" t="s">
        <v>6292</v>
      </c>
      <c r="F962" s="16" t="s">
        <v>6292</v>
      </c>
      <c r="G962" s="16" t="s">
        <v>6292</v>
      </c>
      <c r="H962" s="16" t="s">
        <v>6292</v>
      </c>
      <c r="I962" s="25" t="s">
        <v>12532</v>
      </c>
      <c r="J962" s="25"/>
      <c r="K962" s="25" t="s">
        <v>6281</v>
      </c>
      <c r="L962" s="26" t="s">
        <v>12533</v>
      </c>
      <c r="M962" s="26" t="s">
        <v>6295</v>
      </c>
      <c r="N962" s="27" t="s">
        <v>12534</v>
      </c>
      <c r="O962" s="26" t="s">
        <v>6295</v>
      </c>
      <c r="P962" s="20" t="b">
        <v>1</v>
      </c>
      <c r="Q962" s="20" t="s">
        <v>6282</v>
      </c>
      <c r="R962" s="28" t="s">
        <v>6283</v>
      </c>
      <c r="S962" s="25"/>
      <c r="T962" s="20" t="b">
        <v>1</v>
      </c>
      <c r="U962" s="25"/>
      <c r="V962" s="25">
        <v>1.43</v>
      </c>
      <c r="W962" s="28" t="s">
        <v>12535</v>
      </c>
      <c r="X962" s="28" t="s">
        <v>6285</v>
      </c>
      <c r="Y962" s="28" t="s">
        <v>6286</v>
      </c>
      <c r="Z962" s="28" t="s">
        <v>6287</v>
      </c>
      <c r="AA962" s="28" t="s">
        <v>6288</v>
      </c>
      <c r="AB962" s="28" t="s">
        <v>6297</v>
      </c>
    </row>
    <row r="963" spans="1:28" ht="185.4" x14ac:dyDescent="0.3">
      <c r="A963" s="25">
        <v>9110</v>
      </c>
      <c r="B963" s="25" t="s">
        <v>12536</v>
      </c>
      <c r="C963" s="25" t="s">
        <v>12537</v>
      </c>
      <c r="D963" s="25" t="s">
        <v>6291</v>
      </c>
      <c r="E963" s="16" t="s">
        <v>6292</v>
      </c>
      <c r="F963" s="16" t="s">
        <v>6292</v>
      </c>
      <c r="G963" s="16" t="s">
        <v>6292</v>
      </c>
      <c r="H963" s="16" t="s">
        <v>6292</v>
      </c>
      <c r="I963" s="25" t="s">
        <v>12538</v>
      </c>
      <c r="J963" s="25"/>
      <c r="K963" s="25" t="s">
        <v>6281</v>
      </c>
      <c r="L963" s="26" t="s">
        <v>12539</v>
      </c>
      <c r="M963" s="26" t="s">
        <v>6295</v>
      </c>
      <c r="N963" s="27" t="s">
        <v>12540</v>
      </c>
      <c r="O963" s="26" t="s">
        <v>6295</v>
      </c>
      <c r="P963" s="20" t="b">
        <v>1</v>
      </c>
      <c r="Q963" s="20" t="s">
        <v>6282</v>
      </c>
      <c r="R963" s="28" t="s">
        <v>6283</v>
      </c>
      <c r="S963" s="25"/>
      <c r="T963" s="20" t="b">
        <v>1</v>
      </c>
      <c r="U963" s="25"/>
      <c r="V963" s="25">
        <v>1.08</v>
      </c>
      <c r="W963" s="28" t="s">
        <v>12541</v>
      </c>
      <c r="X963" s="28" t="s">
        <v>6285</v>
      </c>
      <c r="Y963" s="28" t="s">
        <v>6286</v>
      </c>
      <c r="Z963" s="28" t="s">
        <v>6287</v>
      </c>
      <c r="AA963" s="28" t="s">
        <v>6288</v>
      </c>
      <c r="AB963" s="28" t="s">
        <v>6297</v>
      </c>
    </row>
    <row r="964" spans="1:28" ht="185.4" x14ac:dyDescent="0.3">
      <c r="A964" s="25">
        <v>9111</v>
      </c>
      <c r="B964" s="25" t="s">
        <v>12542</v>
      </c>
      <c r="C964" s="25" t="s">
        <v>12543</v>
      </c>
      <c r="D964" s="25" t="s">
        <v>6278</v>
      </c>
      <c r="E964" s="16" t="s">
        <v>6279</v>
      </c>
      <c r="F964" s="16" t="s">
        <v>6279</v>
      </c>
      <c r="G964" s="16" t="s">
        <v>6279</v>
      </c>
      <c r="H964" s="16" t="s">
        <v>6279</v>
      </c>
      <c r="I964" s="25" t="s">
        <v>12544</v>
      </c>
      <c r="J964" s="25"/>
      <c r="K964" s="25" t="s">
        <v>6281</v>
      </c>
      <c r="L964" s="26" t="s">
        <v>12545</v>
      </c>
      <c r="M964" s="26" t="s">
        <v>12546</v>
      </c>
      <c r="N964" s="27" t="s">
        <v>12547</v>
      </c>
      <c r="O964" s="26" t="s">
        <v>12548</v>
      </c>
      <c r="P964" s="20" t="b">
        <v>1</v>
      </c>
      <c r="Q964" s="20" t="s">
        <v>6282</v>
      </c>
      <c r="R964" s="28" t="s">
        <v>6283</v>
      </c>
      <c r="S964" s="25"/>
      <c r="T964" s="20" t="b">
        <v>1</v>
      </c>
      <c r="U964" s="25"/>
      <c r="V964" s="25">
        <v>222.93</v>
      </c>
      <c r="W964" s="28" t="s">
        <v>12549</v>
      </c>
      <c r="X964" s="28" t="s">
        <v>6285</v>
      </c>
      <c r="Y964" s="28" t="s">
        <v>6286</v>
      </c>
      <c r="Z964" s="28" t="s">
        <v>6287</v>
      </c>
      <c r="AA964" s="28" t="s">
        <v>6288</v>
      </c>
      <c r="AB964" s="28" t="s">
        <v>6297</v>
      </c>
    </row>
    <row r="965" spans="1:28" ht="185.4" x14ac:dyDescent="0.3">
      <c r="A965" s="25">
        <v>9112</v>
      </c>
      <c r="B965" s="25" t="s">
        <v>12550</v>
      </c>
      <c r="C965" s="25" t="s">
        <v>12551</v>
      </c>
      <c r="D965" s="25" t="s">
        <v>6291</v>
      </c>
      <c r="E965" s="16" t="s">
        <v>8648</v>
      </c>
      <c r="F965" s="16" t="s">
        <v>8648</v>
      </c>
      <c r="G965" s="16" t="s">
        <v>8648</v>
      </c>
      <c r="H965" s="16" t="s">
        <v>8648</v>
      </c>
      <c r="I965" s="25" t="s">
        <v>12552</v>
      </c>
      <c r="J965" s="25"/>
      <c r="K965" s="25" t="s">
        <v>6281</v>
      </c>
      <c r="L965" s="26" t="s">
        <v>12553</v>
      </c>
      <c r="M965" s="26" t="s">
        <v>12554</v>
      </c>
      <c r="N965" s="27" t="s">
        <v>12555</v>
      </c>
      <c r="O965" s="26" t="s">
        <v>12556</v>
      </c>
      <c r="P965" s="20" t="b">
        <v>1</v>
      </c>
      <c r="Q965" s="20" t="s">
        <v>6282</v>
      </c>
      <c r="R965" s="28" t="s">
        <v>6283</v>
      </c>
      <c r="S965" s="25"/>
      <c r="T965" s="20" t="b">
        <v>1</v>
      </c>
      <c r="U965" s="25"/>
      <c r="V965" s="25">
        <v>0</v>
      </c>
      <c r="W965" s="28" t="s">
        <v>12557</v>
      </c>
      <c r="X965" s="28" t="s">
        <v>6285</v>
      </c>
      <c r="Y965" s="28" t="s">
        <v>6286</v>
      </c>
      <c r="Z965" s="28" t="s">
        <v>6287</v>
      </c>
      <c r="AA965" s="28" t="s">
        <v>6288</v>
      </c>
      <c r="AB965" s="28" t="s">
        <v>6297</v>
      </c>
    </row>
    <row r="966" spans="1:28" ht="185.4" x14ac:dyDescent="0.3">
      <c r="A966" s="25">
        <v>9113</v>
      </c>
      <c r="B966" s="25" t="s">
        <v>12558</v>
      </c>
      <c r="C966" s="25" t="s">
        <v>12559</v>
      </c>
      <c r="D966" s="25" t="s">
        <v>6291</v>
      </c>
      <c r="E966" s="16" t="s">
        <v>6786</v>
      </c>
      <c r="F966" s="16" t="s">
        <v>6786</v>
      </c>
      <c r="G966" s="16" t="s">
        <v>6786</v>
      </c>
      <c r="H966" s="16" t="s">
        <v>6786</v>
      </c>
      <c r="I966" s="25" t="s">
        <v>12560</v>
      </c>
      <c r="J966" s="25"/>
      <c r="K966" s="25" t="s">
        <v>6281</v>
      </c>
      <c r="L966" s="26" t="s">
        <v>12561</v>
      </c>
      <c r="M966" s="26" t="s">
        <v>12562</v>
      </c>
      <c r="N966" s="27" t="s">
        <v>12563</v>
      </c>
      <c r="O966" s="26" t="s">
        <v>12562</v>
      </c>
      <c r="P966" s="20" t="b">
        <v>1</v>
      </c>
      <c r="Q966" s="20" t="s">
        <v>6282</v>
      </c>
      <c r="R966" s="28" t="s">
        <v>6283</v>
      </c>
      <c r="S966" s="25"/>
      <c r="T966" s="20" t="b">
        <v>1</v>
      </c>
      <c r="U966" s="25"/>
      <c r="V966" s="25">
        <v>7993</v>
      </c>
      <c r="W966" s="28" t="s">
        <v>12564</v>
      </c>
      <c r="X966" s="28" t="s">
        <v>6285</v>
      </c>
      <c r="Y966" s="28" t="s">
        <v>6286</v>
      </c>
      <c r="Z966" s="28" t="s">
        <v>6287</v>
      </c>
      <c r="AA966" s="28" t="s">
        <v>6288</v>
      </c>
      <c r="AB966" s="28" t="s">
        <v>6297</v>
      </c>
    </row>
    <row r="967" spans="1:28" ht="185.4" x14ac:dyDescent="0.3">
      <c r="A967" s="25">
        <v>9114</v>
      </c>
      <c r="B967" s="25" t="s">
        <v>12565</v>
      </c>
      <c r="C967" s="25" t="s">
        <v>12566</v>
      </c>
      <c r="D967" s="25" t="s">
        <v>6291</v>
      </c>
      <c r="E967" s="16" t="s">
        <v>8648</v>
      </c>
      <c r="F967" s="16" t="s">
        <v>8648</v>
      </c>
      <c r="G967" s="16" t="s">
        <v>8648</v>
      </c>
      <c r="H967" s="16" t="s">
        <v>8648</v>
      </c>
      <c r="I967" s="25" t="s">
        <v>12567</v>
      </c>
      <c r="J967" s="25"/>
      <c r="K967" s="25" t="s">
        <v>6281</v>
      </c>
      <c r="L967" s="26" t="s">
        <v>12568</v>
      </c>
      <c r="M967" s="26" t="s">
        <v>12569</v>
      </c>
      <c r="N967" s="27" t="s">
        <v>12570</v>
      </c>
      <c r="O967" s="26" t="s">
        <v>12571</v>
      </c>
      <c r="P967" s="20" t="b">
        <v>1</v>
      </c>
      <c r="Q967" s="20" t="s">
        <v>6282</v>
      </c>
      <c r="R967" s="28" t="s">
        <v>6283</v>
      </c>
      <c r="S967" s="25"/>
      <c r="T967" s="20" t="b">
        <v>1</v>
      </c>
      <c r="U967" s="25"/>
      <c r="V967" s="25">
        <v>0</v>
      </c>
      <c r="W967" s="28" t="s">
        <v>12572</v>
      </c>
      <c r="X967" s="28" t="s">
        <v>6285</v>
      </c>
      <c r="Y967" s="28" t="s">
        <v>6286</v>
      </c>
      <c r="Z967" s="28" t="s">
        <v>6287</v>
      </c>
      <c r="AA967" s="28" t="s">
        <v>6288</v>
      </c>
      <c r="AB967" s="28" t="s">
        <v>6297</v>
      </c>
    </row>
    <row r="968" spans="1:28" ht="185.4" x14ac:dyDescent="0.3">
      <c r="A968" s="25">
        <v>9115</v>
      </c>
      <c r="B968" s="25" t="s">
        <v>12573</v>
      </c>
      <c r="C968" s="25" t="s">
        <v>12574</v>
      </c>
      <c r="D968" s="25" t="s">
        <v>6291</v>
      </c>
      <c r="E968" s="16" t="s">
        <v>8648</v>
      </c>
      <c r="F968" s="16" t="s">
        <v>8648</v>
      </c>
      <c r="G968" s="16" t="s">
        <v>8648</v>
      </c>
      <c r="H968" s="16" t="s">
        <v>8648</v>
      </c>
      <c r="I968" s="25" t="s">
        <v>12575</v>
      </c>
      <c r="J968" s="25"/>
      <c r="K968" s="25" t="s">
        <v>6281</v>
      </c>
      <c r="L968" s="26" t="s">
        <v>12576</v>
      </c>
      <c r="M968" s="26" t="s">
        <v>12577</v>
      </c>
      <c r="N968" s="27" t="s">
        <v>12578</v>
      </c>
      <c r="O968" s="26" t="s">
        <v>12579</v>
      </c>
      <c r="P968" s="20" t="b">
        <v>1</v>
      </c>
      <c r="Q968" s="20" t="s">
        <v>6282</v>
      </c>
      <c r="R968" s="28" t="s">
        <v>6283</v>
      </c>
      <c r="S968" s="25"/>
      <c r="T968" s="20" t="b">
        <v>1</v>
      </c>
      <c r="U968" s="25"/>
      <c r="V968" s="25">
        <v>0</v>
      </c>
      <c r="W968" s="28" t="s">
        <v>12580</v>
      </c>
      <c r="X968" s="28" t="s">
        <v>6285</v>
      </c>
      <c r="Y968" s="28" t="s">
        <v>6286</v>
      </c>
      <c r="Z968" s="28" t="s">
        <v>6287</v>
      </c>
      <c r="AA968" s="28" t="s">
        <v>6288</v>
      </c>
      <c r="AB968" s="28" t="s">
        <v>6297</v>
      </c>
    </row>
    <row r="969" spans="1:28" ht="185.4" x14ac:dyDescent="0.3">
      <c r="A969" s="25">
        <v>9116</v>
      </c>
      <c r="B969" s="25" t="s">
        <v>12581</v>
      </c>
      <c r="C969" s="25" t="s">
        <v>12582</v>
      </c>
      <c r="D969" s="25" t="s">
        <v>6291</v>
      </c>
      <c r="E969" s="16" t="s">
        <v>6292</v>
      </c>
      <c r="F969" s="16" t="s">
        <v>6292</v>
      </c>
      <c r="G969" s="16" t="s">
        <v>6292</v>
      </c>
      <c r="H969" s="16" t="s">
        <v>6292</v>
      </c>
      <c r="I969" s="25" t="s">
        <v>12583</v>
      </c>
      <c r="J969" s="25"/>
      <c r="K969" s="25" t="s">
        <v>6281</v>
      </c>
      <c r="L969" s="26" t="s">
        <v>12584</v>
      </c>
      <c r="M969" s="26" t="s">
        <v>6295</v>
      </c>
      <c r="N969" s="27" t="s">
        <v>12585</v>
      </c>
      <c r="O969" s="26" t="s">
        <v>6295</v>
      </c>
      <c r="P969" s="20" t="b">
        <v>1</v>
      </c>
      <c r="Q969" s="20" t="s">
        <v>6282</v>
      </c>
      <c r="R969" s="28" t="s">
        <v>6283</v>
      </c>
      <c r="S969" s="25"/>
      <c r="T969" s="20" t="b">
        <v>1</v>
      </c>
      <c r="U969" s="25"/>
      <c r="V969" s="25">
        <v>533.75300000000004</v>
      </c>
      <c r="W969" s="28" t="s">
        <v>12586</v>
      </c>
      <c r="X969" s="28" t="s">
        <v>6285</v>
      </c>
      <c r="Y969" s="28" t="s">
        <v>6286</v>
      </c>
      <c r="Z969" s="28" t="s">
        <v>6287</v>
      </c>
      <c r="AA969" s="28" t="s">
        <v>6288</v>
      </c>
      <c r="AB969" s="28" t="s">
        <v>6297</v>
      </c>
    </row>
    <row r="970" spans="1:28" ht="185.4" x14ac:dyDescent="0.3">
      <c r="A970" s="25">
        <v>9117</v>
      </c>
      <c r="B970" s="25" t="s">
        <v>12587</v>
      </c>
      <c r="C970" s="25" t="s">
        <v>12588</v>
      </c>
      <c r="D970" s="25" t="s">
        <v>6291</v>
      </c>
      <c r="E970" s="16" t="s">
        <v>6786</v>
      </c>
      <c r="F970" s="16" t="s">
        <v>6786</v>
      </c>
      <c r="G970" s="16" t="s">
        <v>6786</v>
      </c>
      <c r="H970" s="16" t="s">
        <v>6786</v>
      </c>
      <c r="I970" s="25" t="s">
        <v>12589</v>
      </c>
      <c r="J970" s="25"/>
      <c r="K970" s="25" t="s">
        <v>6281</v>
      </c>
      <c r="L970" s="26" t="s">
        <v>12590</v>
      </c>
      <c r="M970" s="26" t="s">
        <v>12591</v>
      </c>
      <c r="N970" s="27" t="s">
        <v>12592</v>
      </c>
      <c r="O970" s="26" t="s">
        <v>12593</v>
      </c>
      <c r="P970" s="20" t="b">
        <v>1</v>
      </c>
      <c r="Q970" s="20" t="s">
        <v>6282</v>
      </c>
      <c r="R970" s="28" t="s">
        <v>6283</v>
      </c>
      <c r="S970" s="25"/>
      <c r="T970" s="20" t="b">
        <v>1</v>
      </c>
      <c r="U970" s="25"/>
      <c r="V970" s="25">
        <v>0.12474</v>
      </c>
      <c r="W970" s="28" t="s">
        <v>12594</v>
      </c>
      <c r="X970" s="28" t="s">
        <v>6285</v>
      </c>
      <c r="Y970" s="28" t="s">
        <v>6286</v>
      </c>
      <c r="Z970" s="28" t="s">
        <v>6287</v>
      </c>
      <c r="AA970" s="28" t="s">
        <v>6288</v>
      </c>
      <c r="AB970" s="28" t="s">
        <v>6297</v>
      </c>
    </row>
    <row r="971" spans="1:28" ht="185.4" x14ac:dyDescent="0.3">
      <c r="A971" s="25">
        <v>9118</v>
      </c>
      <c r="B971" s="25" t="s">
        <v>12587</v>
      </c>
      <c r="C971" s="25" t="s">
        <v>12595</v>
      </c>
      <c r="D971" s="25" t="s">
        <v>6291</v>
      </c>
      <c r="E971" s="16" t="s">
        <v>6786</v>
      </c>
      <c r="F971" s="16" t="s">
        <v>6786</v>
      </c>
      <c r="G971" s="16" t="s">
        <v>6786</v>
      </c>
      <c r="H971" s="16" t="s">
        <v>6786</v>
      </c>
      <c r="I971" s="25" t="s">
        <v>12589</v>
      </c>
      <c r="J971" s="25"/>
      <c r="K971" s="25" t="s">
        <v>6281</v>
      </c>
      <c r="L971" s="26" t="s">
        <v>12590</v>
      </c>
      <c r="M971" s="26" t="s">
        <v>12591</v>
      </c>
      <c r="N971" s="27" t="s">
        <v>12592</v>
      </c>
      <c r="O971" s="26" t="s">
        <v>12593</v>
      </c>
      <c r="P971" s="20" t="b">
        <v>1</v>
      </c>
      <c r="Q971" s="20" t="s">
        <v>6282</v>
      </c>
      <c r="R971" s="28" t="s">
        <v>6283</v>
      </c>
      <c r="S971" s="25"/>
      <c r="T971" s="20" t="b">
        <v>1</v>
      </c>
      <c r="U971" s="25"/>
      <c r="V971" s="25">
        <v>0.12474</v>
      </c>
      <c r="W971" s="28" t="s">
        <v>12596</v>
      </c>
      <c r="X971" s="28" t="s">
        <v>6285</v>
      </c>
      <c r="Y971" s="28" t="s">
        <v>6286</v>
      </c>
      <c r="Z971" s="28" t="s">
        <v>6287</v>
      </c>
      <c r="AA971" s="28" t="s">
        <v>6288</v>
      </c>
      <c r="AB971" s="28" t="s">
        <v>6297</v>
      </c>
    </row>
    <row r="972" spans="1:28" ht="185.4" x14ac:dyDescent="0.3">
      <c r="A972" s="25">
        <v>9119</v>
      </c>
      <c r="B972" s="25" t="s">
        <v>12597</v>
      </c>
      <c r="C972" s="25" t="s">
        <v>12598</v>
      </c>
      <c r="D972" s="25" t="s">
        <v>6291</v>
      </c>
      <c r="E972" s="16" t="s">
        <v>6786</v>
      </c>
      <c r="F972" s="16" t="s">
        <v>6786</v>
      </c>
      <c r="G972" s="16" t="s">
        <v>6786</v>
      </c>
      <c r="H972" s="16" t="s">
        <v>6786</v>
      </c>
      <c r="I972" s="25" t="s">
        <v>12599</v>
      </c>
      <c r="J972" s="25"/>
      <c r="K972" s="25" t="s">
        <v>6281</v>
      </c>
      <c r="L972" s="26" t="s">
        <v>12590</v>
      </c>
      <c r="M972" s="26" t="s">
        <v>12591</v>
      </c>
      <c r="N972" s="27" t="s">
        <v>12592</v>
      </c>
      <c r="O972" s="26" t="s">
        <v>12593</v>
      </c>
      <c r="P972" s="20" t="b">
        <v>1</v>
      </c>
      <c r="Q972" s="20" t="s">
        <v>6282</v>
      </c>
      <c r="R972" s="28" t="s">
        <v>6283</v>
      </c>
      <c r="S972" s="25"/>
      <c r="T972" s="20" t="b">
        <v>1</v>
      </c>
      <c r="U972" s="25"/>
      <c r="V972" s="25">
        <v>7.5800000000000006E-2</v>
      </c>
      <c r="W972" s="28" t="s">
        <v>12600</v>
      </c>
      <c r="X972" s="28" t="s">
        <v>6285</v>
      </c>
      <c r="Y972" s="28" t="s">
        <v>6286</v>
      </c>
      <c r="Z972" s="28" t="s">
        <v>6287</v>
      </c>
      <c r="AA972" s="28" t="s">
        <v>6288</v>
      </c>
      <c r="AB972" s="28" t="s">
        <v>6297</v>
      </c>
    </row>
    <row r="973" spans="1:28" ht="185.4" x14ac:dyDescent="0.3">
      <c r="A973" s="25">
        <v>9120</v>
      </c>
      <c r="B973" s="25" t="s">
        <v>12597</v>
      </c>
      <c r="C973" s="25" t="s">
        <v>12601</v>
      </c>
      <c r="D973" s="25" t="s">
        <v>6291</v>
      </c>
      <c r="E973" s="16" t="s">
        <v>6786</v>
      </c>
      <c r="F973" s="16" t="s">
        <v>6786</v>
      </c>
      <c r="G973" s="16" t="s">
        <v>6786</v>
      </c>
      <c r="H973" s="16" t="s">
        <v>6786</v>
      </c>
      <c r="I973" s="25" t="s">
        <v>12599</v>
      </c>
      <c r="J973" s="25"/>
      <c r="K973" s="25" t="s">
        <v>6281</v>
      </c>
      <c r="L973" s="26" t="s">
        <v>12590</v>
      </c>
      <c r="M973" s="26" t="s">
        <v>12591</v>
      </c>
      <c r="N973" s="27" t="s">
        <v>12592</v>
      </c>
      <c r="O973" s="26" t="s">
        <v>12593</v>
      </c>
      <c r="P973" s="20" t="b">
        <v>1</v>
      </c>
      <c r="Q973" s="20" t="s">
        <v>6282</v>
      </c>
      <c r="R973" s="28" t="s">
        <v>6283</v>
      </c>
      <c r="S973" s="25"/>
      <c r="T973" s="20" t="b">
        <v>1</v>
      </c>
      <c r="U973" s="25"/>
      <c r="V973" s="25">
        <v>7.5800000000000006E-2</v>
      </c>
      <c r="W973" s="28" t="s">
        <v>12602</v>
      </c>
      <c r="X973" s="28" t="s">
        <v>6285</v>
      </c>
      <c r="Y973" s="28" t="s">
        <v>6286</v>
      </c>
      <c r="Z973" s="28" t="s">
        <v>6287</v>
      </c>
      <c r="AA973" s="28" t="s">
        <v>6288</v>
      </c>
      <c r="AB973" s="28" t="s">
        <v>6297</v>
      </c>
    </row>
    <row r="974" spans="1:28" ht="185.4" x14ac:dyDescent="0.3">
      <c r="A974" s="25">
        <v>9121</v>
      </c>
      <c r="B974" s="25" t="s">
        <v>12603</v>
      </c>
      <c r="C974" s="25" t="s">
        <v>12604</v>
      </c>
      <c r="D974" s="25" t="s">
        <v>6291</v>
      </c>
      <c r="E974" s="16" t="s">
        <v>6786</v>
      </c>
      <c r="F974" s="16" t="s">
        <v>6786</v>
      </c>
      <c r="G974" s="16" t="s">
        <v>6786</v>
      </c>
      <c r="H974" s="16" t="s">
        <v>6786</v>
      </c>
      <c r="I974" s="25" t="s">
        <v>12605</v>
      </c>
      <c r="J974" s="25"/>
      <c r="K974" s="25" t="s">
        <v>6281</v>
      </c>
      <c r="L974" s="26" t="s">
        <v>12590</v>
      </c>
      <c r="M974" s="26" t="s">
        <v>12591</v>
      </c>
      <c r="N974" s="27" t="s">
        <v>12592</v>
      </c>
      <c r="O974" s="26" t="s">
        <v>12593</v>
      </c>
      <c r="P974" s="20" t="b">
        <v>1</v>
      </c>
      <c r="Q974" s="20" t="s">
        <v>6282</v>
      </c>
      <c r="R974" s="28" t="s">
        <v>6283</v>
      </c>
      <c r="S974" s="25"/>
      <c r="T974" s="20" t="b">
        <v>1</v>
      </c>
      <c r="U974" s="25"/>
      <c r="V974" s="25">
        <v>8.5800000000000001E-2</v>
      </c>
      <c r="W974" s="28" t="s">
        <v>12606</v>
      </c>
      <c r="X974" s="28" t="s">
        <v>6285</v>
      </c>
      <c r="Y974" s="28" t="s">
        <v>6286</v>
      </c>
      <c r="Z974" s="28" t="s">
        <v>6287</v>
      </c>
      <c r="AA974" s="28" t="s">
        <v>6288</v>
      </c>
      <c r="AB974" s="28" t="s">
        <v>6297</v>
      </c>
    </row>
    <row r="975" spans="1:28" ht="185.4" x14ac:dyDescent="0.3">
      <c r="A975" s="25">
        <v>9122</v>
      </c>
      <c r="B975" s="25" t="s">
        <v>12603</v>
      </c>
      <c r="C975" s="25" t="s">
        <v>12607</v>
      </c>
      <c r="D975" s="25" t="s">
        <v>6291</v>
      </c>
      <c r="E975" s="16" t="s">
        <v>6786</v>
      </c>
      <c r="F975" s="16" t="s">
        <v>6786</v>
      </c>
      <c r="G975" s="16" t="s">
        <v>6786</v>
      </c>
      <c r="H975" s="16" t="s">
        <v>6786</v>
      </c>
      <c r="I975" s="25" t="s">
        <v>12605</v>
      </c>
      <c r="J975" s="25"/>
      <c r="K975" s="25" t="s">
        <v>6281</v>
      </c>
      <c r="L975" s="26" t="s">
        <v>12608</v>
      </c>
      <c r="M975" s="26" t="s">
        <v>12609</v>
      </c>
      <c r="N975" s="27" t="s">
        <v>12592</v>
      </c>
      <c r="O975" s="26" t="s">
        <v>12593</v>
      </c>
      <c r="P975" s="20" t="b">
        <v>1</v>
      </c>
      <c r="Q975" s="20" t="s">
        <v>6282</v>
      </c>
      <c r="R975" s="28" t="s">
        <v>6283</v>
      </c>
      <c r="S975" s="25"/>
      <c r="T975" s="20" t="b">
        <v>1</v>
      </c>
      <c r="U975" s="25"/>
      <c r="V975" s="25">
        <v>8.5800000000000001E-2</v>
      </c>
      <c r="W975" s="28" t="s">
        <v>12610</v>
      </c>
      <c r="X975" s="28" t="s">
        <v>6285</v>
      </c>
      <c r="Y975" s="28" t="s">
        <v>6286</v>
      </c>
      <c r="Z975" s="28" t="s">
        <v>6287</v>
      </c>
      <c r="AA975" s="28" t="s">
        <v>6288</v>
      </c>
      <c r="AB975" s="28" t="s">
        <v>6297</v>
      </c>
    </row>
    <row r="976" spans="1:28" ht="185.4" x14ac:dyDescent="0.3">
      <c r="A976" s="25">
        <v>9123</v>
      </c>
      <c r="B976" s="25" t="s">
        <v>12611</v>
      </c>
      <c r="C976" s="25" t="s">
        <v>12612</v>
      </c>
      <c r="D976" s="25" t="s">
        <v>6291</v>
      </c>
      <c r="E976" s="16" t="s">
        <v>6786</v>
      </c>
      <c r="F976" s="16" t="s">
        <v>6786</v>
      </c>
      <c r="G976" s="16" t="s">
        <v>6786</v>
      </c>
      <c r="H976" s="16" t="s">
        <v>6786</v>
      </c>
      <c r="I976" s="25" t="s">
        <v>12613</v>
      </c>
      <c r="J976" s="25"/>
      <c r="K976" s="25" t="s">
        <v>6281</v>
      </c>
      <c r="L976" s="26" t="s">
        <v>12614</v>
      </c>
      <c r="M976" s="26" t="s">
        <v>12615</v>
      </c>
      <c r="N976" s="27" t="s">
        <v>12616</v>
      </c>
      <c r="O976" s="26" t="s">
        <v>6295</v>
      </c>
      <c r="P976" s="20" t="b">
        <v>1</v>
      </c>
      <c r="Q976" s="20" t="s">
        <v>6282</v>
      </c>
      <c r="R976" s="28" t="s">
        <v>6283</v>
      </c>
      <c r="S976" s="25"/>
      <c r="T976" s="20" t="b">
        <v>1</v>
      </c>
      <c r="U976" s="25"/>
      <c r="V976" s="25">
        <v>5.6345000000000001</v>
      </c>
      <c r="W976" s="28" t="s">
        <v>12617</v>
      </c>
      <c r="X976" s="28" t="s">
        <v>6285</v>
      </c>
      <c r="Y976" s="28" t="s">
        <v>6286</v>
      </c>
      <c r="Z976" s="28" t="s">
        <v>6287</v>
      </c>
      <c r="AA976" s="28" t="s">
        <v>6288</v>
      </c>
      <c r="AB976" s="28" t="s">
        <v>6297</v>
      </c>
    </row>
    <row r="977" spans="1:28" ht="185.4" x14ac:dyDescent="0.3">
      <c r="A977" s="25">
        <v>9124</v>
      </c>
      <c r="B977" s="25" t="s">
        <v>12618</v>
      </c>
      <c r="C977" s="25" t="s">
        <v>12619</v>
      </c>
      <c r="D977" s="25" t="s">
        <v>6278</v>
      </c>
      <c r="E977" s="16" t="s">
        <v>6279</v>
      </c>
      <c r="F977" s="16" t="s">
        <v>6279</v>
      </c>
      <c r="G977" s="16" t="s">
        <v>6279</v>
      </c>
      <c r="H977" s="16" t="s">
        <v>6279</v>
      </c>
      <c r="I977" s="25" t="s">
        <v>12620</v>
      </c>
      <c r="J977" s="25"/>
      <c r="K977" s="25" t="s">
        <v>6281</v>
      </c>
      <c r="L977" s="26" t="s">
        <v>12621</v>
      </c>
      <c r="M977" s="26" t="s">
        <v>12615</v>
      </c>
      <c r="N977" s="27" t="s">
        <v>12616</v>
      </c>
      <c r="O977" s="26" t="s">
        <v>6295</v>
      </c>
      <c r="P977" s="20" t="b">
        <v>1</v>
      </c>
      <c r="Q977" s="20" t="s">
        <v>6282</v>
      </c>
      <c r="R977" s="28" t="s">
        <v>6283</v>
      </c>
      <c r="S977" s="25"/>
      <c r="T977" s="20" t="b">
        <v>1</v>
      </c>
      <c r="U977" s="25"/>
      <c r="V977" s="25">
        <v>17726.36</v>
      </c>
      <c r="W977" s="28" t="s">
        <v>12622</v>
      </c>
      <c r="X977" s="28" t="s">
        <v>6285</v>
      </c>
      <c r="Y977" s="28" t="s">
        <v>6286</v>
      </c>
      <c r="Z977" s="28" t="s">
        <v>6287</v>
      </c>
      <c r="AA977" s="28" t="s">
        <v>6288</v>
      </c>
      <c r="AB977" s="28" t="s">
        <v>6297</v>
      </c>
    </row>
    <row r="978" spans="1:28" ht="185.4" x14ac:dyDescent="0.3">
      <c r="A978" s="25">
        <v>9125</v>
      </c>
      <c r="B978" s="25" t="s">
        <v>12623</v>
      </c>
      <c r="C978" s="25" t="s">
        <v>12624</v>
      </c>
      <c r="D978" s="25" t="s">
        <v>6278</v>
      </c>
      <c r="E978" s="16" t="s">
        <v>6279</v>
      </c>
      <c r="F978" s="16" t="s">
        <v>6279</v>
      </c>
      <c r="G978" s="16" t="s">
        <v>6279</v>
      </c>
      <c r="H978" s="16" t="s">
        <v>6279</v>
      </c>
      <c r="I978" s="25" t="s">
        <v>12625</v>
      </c>
      <c r="J978" s="25"/>
      <c r="K978" s="25" t="s">
        <v>6281</v>
      </c>
      <c r="L978" s="26" t="s">
        <v>12626</v>
      </c>
      <c r="M978" s="26" t="s">
        <v>12627</v>
      </c>
      <c r="N978" s="27" t="s">
        <v>12628</v>
      </c>
      <c r="O978" s="26" t="s">
        <v>6295</v>
      </c>
      <c r="P978" s="20" t="b">
        <v>1</v>
      </c>
      <c r="Q978" s="20" t="s">
        <v>6282</v>
      </c>
      <c r="R978" s="28" t="s">
        <v>6283</v>
      </c>
      <c r="S978" s="25"/>
      <c r="T978" s="20" t="b">
        <v>1</v>
      </c>
      <c r="U978" s="25"/>
      <c r="V978" s="25">
        <v>319.37900000000002</v>
      </c>
      <c r="W978" s="28" t="s">
        <v>12629</v>
      </c>
      <c r="X978" s="28" t="s">
        <v>6285</v>
      </c>
      <c r="Y978" s="28" t="s">
        <v>6286</v>
      </c>
      <c r="Z978" s="28" t="s">
        <v>6287</v>
      </c>
      <c r="AA978" s="28" t="s">
        <v>6288</v>
      </c>
      <c r="AB978" s="28" t="s">
        <v>6297</v>
      </c>
    </row>
    <row r="979" spans="1:28" ht="185.4" x14ac:dyDescent="0.3">
      <c r="A979" s="25">
        <v>9126</v>
      </c>
      <c r="B979" s="25" t="s">
        <v>12630</v>
      </c>
      <c r="C979" s="25" t="s">
        <v>12631</v>
      </c>
      <c r="D979" s="25" t="s">
        <v>6278</v>
      </c>
      <c r="E979" s="16" t="s">
        <v>6279</v>
      </c>
      <c r="F979" s="16" t="s">
        <v>6279</v>
      </c>
      <c r="G979" s="16" t="s">
        <v>6279</v>
      </c>
      <c r="H979" s="16" t="s">
        <v>6279</v>
      </c>
      <c r="I979" s="25" t="s">
        <v>12632</v>
      </c>
      <c r="J979" s="25"/>
      <c r="K979" s="25" t="s">
        <v>6281</v>
      </c>
      <c r="L979" s="26" t="s">
        <v>12633</v>
      </c>
      <c r="M979" s="26" t="s">
        <v>12627</v>
      </c>
      <c r="N979" s="27" t="s">
        <v>12634</v>
      </c>
      <c r="O979" s="26" t="s">
        <v>6295</v>
      </c>
      <c r="P979" s="20" t="b">
        <v>1</v>
      </c>
      <c r="Q979" s="20" t="s">
        <v>6282</v>
      </c>
      <c r="R979" s="28" t="s">
        <v>6283</v>
      </c>
      <c r="S979" s="25"/>
      <c r="T979" s="20" t="b">
        <v>1</v>
      </c>
      <c r="U979" s="25"/>
      <c r="V979" s="25">
        <v>326.315</v>
      </c>
      <c r="W979" s="28" t="s">
        <v>12635</v>
      </c>
      <c r="X979" s="28" t="s">
        <v>6285</v>
      </c>
      <c r="Y979" s="28" t="s">
        <v>6286</v>
      </c>
      <c r="Z979" s="28" t="s">
        <v>6287</v>
      </c>
      <c r="AA979" s="28" t="s">
        <v>6288</v>
      </c>
      <c r="AB979" s="28" t="s">
        <v>6297</v>
      </c>
    </row>
    <row r="980" spans="1:28" ht="185.4" x14ac:dyDescent="0.3">
      <c r="A980" s="25">
        <v>9127</v>
      </c>
      <c r="B980" s="25" t="s">
        <v>12636</v>
      </c>
      <c r="C980" s="25" t="s">
        <v>12637</v>
      </c>
      <c r="D980" s="25" t="s">
        <v>6278</v>
      </c>
      <c r="E980" s="16" t="s">
        <v>6279</v>
      </c>
      <c r="F980" s="16" t="s">
        <v>6279</v>
      </c>
      <c r="G980" s="16" t="s">
        <v>6279</v>
      </c>
      <c r="H980" s="16" t="s">
        <v>6279</v>
      </c>
      <c r="I980" s="25" t="s">
        <v>12638</v>
      </c>
      <c r="J980" s="25"/>
      <c r="K980" s="25" t="s">
        <v>6281</v>
      </c>
      <c r="L980" s="26" t="s">
        <v>12639</v>
      </c>
      <c r="M980" s="26" t="s">
        <v>12627</v>
      </c>
      <c r="N980" s="27" t="s">
        <v>12640</v>
      </c>
      <c r="O980" s="26" t="s">
        <v>6295</v>
      </c>
      <c r="P980" s="20" t="b">
        <v>1</v>
      </c>
      <c r="Q980" s="20" t="s">
        <v>6282</v>
      </c>
      <c r="R980" s="28" t="s">
        <v>6283</v>
      </c>
      <c r="S980" s="25"/>
      <c r="T980" s="20" t="b">
        <v>1</v>
      </c>
      <c r="U980" s="25"/>
      <c r="V980" s="25">
        <v>313.23599999999999</v>
      </c>
      <c r="W980" s="28" t="s">
        <v>12641</v>
      </c>
      <c r="X980" s="28" t="s">
        <v>6285</v>
      </c>
      <c r="Y980" s="28" t="s">
        <v>6286</v>
      </c>
      <c r="Z980" s="28" t="s">
        <v>6287</v>
      </c>
      <c r="AA980" s="28" t="s">
        <v>6288</v>
      </c>
      <c r="AB980" s="28" t="s">
        <v>6297</v>
      </c>
    </row>
    <row r="981" spans="1:28" ht="185.4" x14ac:dyDescent="0.3">
      <c r="A981" s="25">
        <v>9128</v>
      </c>
      <c r="B981" s="25" t="s">
        <v>12642</v>
      </c>
      <c r="C981" s="25" t="s">
        <v>12643</v>
      </c>
      <c r="D981" s="25" t="s">
        <v>6278</v>
      </c>
      <c r="E981" s="16" t="s">
        <v>6279</v>
      </c>
      <c r="F981" s="16" t="s">
        <v>6279</v>
      </c>
      <c r="G981" s="16" t="s">
        <v>6279</v>
      </c>
      <c r="H981" s="16" t="s">
        <v>6279</v>
      </c>
      <c r="I981" s="25" t="s">
        <v>12644</v>
      </c>
      <c r="J981" s="25"/>
      <c r="K981" s="25" t="s">
        <v>6281</v>
      </c>
      <c r="L981" s="26" t="s">
        <v>12645</v>
      </c>
      <c r="M981" s="26" t="s">
        <v>12646</v>
      </c>
      <c r="N981" s="27" t="s">
        <v>12647</v>
      </c>
      <c r="O981" s="26" t="s">
        <v>6295</v>
      </c>
      <c r="P981" s="20" t="b">
        <v>1</v>
      </c>
      <c r="Q981" s="20" t="s">
        <v>6282</v>
      </c>
      <c r="R981" s="28" t="s">
        <v>6283</v>
      </c>
      <c r="S981" s="25"/>
      <c r="T981" s="20" t="b">
        <v>1</v>
      </c>
      <c r="U981" s="25"/>
      <c r="V981" s="25">
        <v>497.49</v>
      </c>
      <c r="W981" s="28" t="s">
        <v>12648</v>
      </c>
      <c r="X981" s="28" t="s">
        <v>6285</v>
      </c>
      <c r="Y981" s="28" t="s">
        <v>6286</v>
      </c>
      <c r="Z981" s="28" t="s">
        <v>6287</v>
      </c>
      <c r="AA981" s="28" t="s">
        <v>6288</v>
      </c>
      <c r="AB981" s="28" t="s">
        <v>6297</v>
      </c>
    </row>
    <row r="982" spans="1:28" ht="185.4" x14ac:dyDescent="0.3">
      <c r="A982" s="25">
        <v>9129</v>
      </c>
      <c r="B982" s="25" t="s">
        <v>12649</v>
      </c>
      <c r="C982" s="25" t="s">
        <v>12650</v>
      </c>
      <c r="D982" s="25" t="s">
        <v>6291</v>
      </c>
      <c r="E982" s="16" t="s">
        <v>6786</v>
      </c>
      <c r="F982" s="16" t="s">
        <v>6786</v>
      </c>
      <c r="G982" s="16" t="s">
        <v>6786</v>
      </c>
      <c r="H982" s="16" t="s">
        <v>6786</v>
      </c>
      <c r="I982" s="25" t="s">
        <v>12651</v>
      </c>
      <c r="J982" s="25"/>
      <c r="K982" s="25" t="s">
        <v>6281</v>
      </c>
      <c r="L982" s="26" t="s">
        <v>12652</v>
      </c>
      <c r="M982" s="26" t="s">
        <v>12653</v>
      </c>
      <c r="N982" s="27" t="s">
        <v>12654</v>
      </c>
      <c r="O982" s="26" t="s">
        <v>6295</v>
      </c>
      <c r="P982" s="20" t="b">
        <v>1</v>
      </c>
      <c r="Q982" s="20" t="s">
        <v>6282</v>
      </c>
      <c r="R982" s="28" t="s">
        <v>6283</v>
      </c>
      <c r="S982" s="25"/>
      <c r="T982" s="20" t="b">
        <v>1</v>
      </c>
      <c r="U982" s="25"/>
      <c r="V982" s="25">
        <v>98.602874999999997</v>
      </c>
      <c r="W982" s="28" t="s">
        <v>12655</v>
      </c>
      <c r="X982" s="28" t="s">
        <v>6285</v>
      </c>
      <c r="Y982" s="28" t="s">
        <v>6286</v>
      </c>
      <c r="Z982" s="28" t="s">
        <v>6287</v>
      </c>
      <c r="AA982" s="28" t="s">
        <v>6288</v>
      </c>
      <c r="AB982" s="28" t="s">
        <v>6297</v>
      </c>
    </row>
    <row r="983" spans="1:28" ht="185.4" x14ac:dyDescent="0.3">
      <c r="A983" s="25">
        <v>9130</v>
      </c>
      <c r="B983" s="25" t="s">
        <v>12656</v>
      </c>
      <c r="C983" s="25" t="s">
        <v>12657</v>
      </c>
      <c r="D983" s="25" t="s">
        <v>6291</v>
      </c>
      <c r="E983" s="16" t="s">
        <v>6786</v>
      </c>
      <c r="F983" s="16" t="s">
        <v>6786</v>
      </c>
      <c r="G983" s="16" t="s">
        <v>6786</v>
      </c>
      <c r="H983" s="16" t="s">
        <v>6786</v>
      </c>
      <c r="I983" s="25" t="s">
        <v>12658</v>
      </c>
      <c r="J983" s="25"/>
      <c r="K983" s="25" t="s">
        <v>6281</v>
      </c>
      <c r="L983" s="26" t="s">
        <v>12659</v>
      </c>
      <c r="M983" s="26" t="s">
        <v>12653</v>
      </c>
      <c r="N983" s="27" t="s">
        <v>12660</v>
      </c>
      <c r="O983" s="26" t="s">
        <v>6295</v>
      </c>
      <c r="P983" s="20" t="b">
        <v>1</v>
      </c>
      <c r="Q983" s="20" t="s">
        <v>6282</v>
      </c>
      <c r="R983" s="28" t="s">
        <v>6283</v>
      </c>
      <c r="S983" s="25"/>
      <c r="T983" s="20" t="b">
        <v>1</v>
      </c>
      <c r="U983" s="25"/>
      <c r="V983" s="25">
        <v>20.048500000000001</v>
      </c>
      <c r="W983" s="28" t="s">
        <v>12661</v>
      </c>
      <c r="X983" s="28" t="s">
        <v>6285</v>
      </c>
      <c r="Y983" s="28" t="s">
        <v>6286</v>
      </c>
      <c r="Z983" s="28" t="s">
        <v>6287</v>
      </c>
      <c r="AA983" s="28" t="s">
        <v>6288</v>
      </c>
      <c r="AB983" s="28" t="s">
        <v>6297</v>
      </c>
    </row>
    <row r="984" spans="1:28" ht="185.4" x14ac:dyDescent="0.3">
      <c r="A984" s="25">
        <v>9131</v>
      </c>
      <c r="B984" s="25" t="s">
        <v>12662</v>
      </c>
      <c r="C984" s="25" t="s">
        <v>12663</v>
      </c>
      <c r="D984" s="25" t="s">
        <v>6291</v>
      </c>
      <c r="E984" s="16" t="s">
        <v>6786</v>
      </c>
      <c r="F984" s="16" t="s">
        <v>6786</v>
      </c>
      <c r="G984" s="16" t="s">
        <v>6786</v>
      </c>
      <c r="H984" s="16" t="s">
        <v>6786</v>
      </c>
      <c r="I984" s="25" t="s">
        <v>12664</v>
      </c>
      <c r="J984" s="25"/>
      <c r="K984" s="25" t="s">
        <v>6281</v>
      </c>
      <c r="L984" s="26" t="s">
        <v>12665</v>
      </c>
      <c r="M984" s="26" t="s">
        <v>12653</v>
      </c>
      <c r="N984" s="27" t="s">
        <v>12666</v>
      </c>
      <c r="O984" s="26" t="s">
        <v>6295</v>
      </c>
      <c r="P984" s="20" t="b">
        <v>1</v>
      </c>
      <c r="Q984" s="20" t="s">
        <v>6282</v>
      </c>
      <c r="R984" s="28" t="s">
        <v>6283</v>
      </c>
      <c r="S984" s="25"/>
      <c r="T984" s="20" t="b">
        <v>1</v>
      </c>
      <c r="U984" s="25"/>
      <c r="V984" s="25">
        <v>32.53125</v>
      </c>
      <c r="W984" s="28" t="s">
        <v>12667</v>
      </c>
      <c r="X984" s="28" t="s">
        <v>6285</v>
      </c>
      <c r="Y984" s="28" t="s">
        <v>6286</v>
      </c>
      <c r="Z984" s="28" t="s">
        <v>6287</v>
      </c>
      <c r="AA984" s="28" t="s">
        <v>6288</v>
      </c>
      <c r="AB984" s="28" t="s">
        <v>6297</v>
      </c>
    </row>
    <row r="985" spans="1:28" ht="185.4" x14ac:dyDescent="0.3">
      <c r="A985" s="25">
        <v>9132</v>
      </c>
      <c r="B985" s="25" t="s">
        <v>12668</v>
      </c>
      <c r="C985" s="25" t="s">
        <v>12669</v>
      </c>
      <c r="D985" s="25" t="s">
        <v>6291</v>
      </c>
      <c r="E985" s="16" t="s">
        <v>6786</v>
      </c>
      <c r="F985" s="16" t="s">
        <v>6786</v>
      </c>
      <c r="G985" s="16" t="s">
        <v>6786</v>
      </c>
      <c r="H985" s="16" t="s">
        <v>6786</v>
      </c>
      <c r="I985" s="25" t="s">
        <v>12670</v>
      </c>
      <c r="J985" s="25"/>
      <c r="K985" s="25" t="s">
        <v>6281</v>
      </c>
      <c r="L985" s="26" t="s">
        <v>12671</v>
      </c>
      <c r="M985" s="26" t="s">
        <v>12653</v>
      </c>
      <c r="N985" s="27" t="s">
        <v>12672</v>
      </c>
      <c r="O985" s="26" t="s">
        <v>6295</v>
      </c>
      <c r="P985" s="20" t="b">
        <v>1</v>
      </c>
      <c r="Q985" s="20" t="s">
        <v>6282</v>
      </c>
      <c r="R985" s="28" t="s">
        <v>6283</v>
      </c>
      <c r="S985" s="25"/>
      <c r="T985" s="20" t="b">
        <v>1</v>
      </c>
      <c r="U985" s="25"/>
      <c r="V985" s="25">
        <v>48.134374999999999</v>
      </c>
      <c r="W985" s="28" t="s">
        <v>12673</v>
      </c>
      <c r="X985" s="28" t="s">
        <v>6285</v>
      </c>
      <c r="Y985" s="28" t="s">
        <v>6286</v>
      </c>
      <c r="Z985" s="28" t="s">
        <v>6287</v>
      </c>
      <c r="AA985" s="28" t="s">
        <v>6288</v>
      </c>
      <c r="AB985" s="28" t="s">
        <v>6297</v>
      </c>
    </row>
    <row r="986" spans="1:28" ht="185.4" x14ac:dyDescent="0.3">
      <c r="A986" s="25">
        <v>9133</v>
      </c>
      <c r="B986" s="25" t="s">
        <v>12674</v>
      </c>
      <c r="C986" s="25" t="s">
        <v>12675</v>
      </c>
      <c r="D986" s="25" t="s">
        <v>6278</v>
      </c>
      <c r="E986" s="16" t="s">
        <v>6279</v>
      </c>
      <c r="F986" s="16" t="s">
        <v>6279</v>
      </c>
      <c r="G986" s="16" t="s">
        <v>6279</v>
      </c>
      <c r="H986" s="16" t="s">
        <v>6279</v>
      </c>
      <c r="I986" s="25" t="s">
        <v>12676</v>
      </c>
      <c r="J986" s="25"/>
      <c r="K986" s="25" t="s">
        <v>6281</v>
      </c>
      <c r="L986" s="26" t="s">
        <v>12677</v>
      </c>
      <c r="M986" s="26" t="s">
        <v>6295</v>
      </c>
      <c r="N986" s="27" t="s">
        <v>11456</v>
      </c>
      <c r="O986" s="26" t="s">
        <v>6295</v>
      </c>
      <c r="P986" s="20" t="b">
        <v>1</v>
      </c>
      <c r="Q986" s="20" t="s">
        <v>6282</v>
      </c>
      <c r="R986" s="28" t="s">
        <v>6283</v>
      </c>
      <c r="S986" s="25"/>
      <c r="T986" s="20" t="b">
        <v>1</v>
      </c>
      <c r="U986" s="25"/>
      <c r="V986" s="25">
        <v>4621.95</v>
      </c>
      <c r="W986" s="28" t="s">
        <v>12678</v>
      </c>
      <c r="X986" s="28" t="s">
        <v>6285</v>
      </c>
      <c r="Y986" s="28" t="s">
        <v>6286</v>
      </c>
      <c r="Z986" s="28" t="s">
        <v>6287</v>
      </c>
      <c r="AA986" s="28" t="s">
        <v>6288</v>
      </c>
      <c r="AB986" s="28" t="s">
        <v>6297</v>
      </c>
    </row>
    <row r="987" spans="1:28" ht="185.4" x14ac:dyDescent="0.3">
      <c r="A987" s="25">
        <v>9134</v>
      </c>
      <c r="B987" s="25" t="s">
        <v>12679</v>
      </c>
      <c r="C987" s="25" t="s">
        <v>12680</v>
      </c>
      <c r="D987" s="25" t="s">
        <v>6291</v>
      </c>
      <c r="E987" s="16" t="s">
        <v>6786</v>
      </c>
      <c r="F987" s="16" t="s">
        <v>6786</v>
      </c>
      <c r="G987" s="16" t="s">
        <v>6786</v>
      </c>
      <c r="H987" s="16" t="s">
        <v>6786</v>
      </c>
      <c r="I987" s="25" t="s">
        <v>12681</v>
      </c>
      <c r="J987" s="25"/>
      <c r="K987" s="25" t="s">
        <v>6281</v>
      </c>
      <c r="L987" s="26" t="s">
        <v>12682</v>
      </c>
      <c r="M987" s="26" t="s">
        <v>12683</v>
      </c>
      <c r="N987" s="27" t="s">
        <v>12684</v>
      </c>
      <c r="O987" s="26" t="s">
        <v>6295</v>
      </c>
      <c r="P987" s="20" t="b">
        <v>1</v>
      </c>
      <c r="Q987" s="20" t="s">
        <v>6282</v>
      </c>
      <c r="R987" s="28" t="s">
        <v>6283</v>
      </c>
      <c r="S987" s="25"/>
      <c r="T987" s="20" t="b">
        <v>1</v>
      </c>
      <c r="U987" s="25"/>
      <c r="V987" s="25">
        <v>0.31097000000000002</v>
      </c>
      <c r="W987" s="28" t="s">
        <v>12685</v>
      </c>
      <c r="X987" s="28" t="s">
        <v>6285</v>
      </c>
      <c r="Y987" s="28" t="s">
        <v>6286</v>
      </c>
      <c r="Z987" s="28" t="s">
        <v>6287</v>
      </c>
      <c r="AA987" s="28" t="s">
        <v>6288</v>
      </c>
      <c r="AB987" s="28" t="s">
        <v>6297</v>
      </c>
    </row>
    <row r="988" spans="1:28" ht="185.4" x14ac:dyDescent="0.3">
      <c r="A988" s="25">
        <v>9135</v>
      </c>
      <c r="B988" s="25" t="s">
        <v>12686</v>
      </c>
      <c r="C988" s="25" t="s">
        <v>12687</v>
      </c>
      <c r="D988" s="25" t="s">
        <v>6278</v>
      </c>
      <c r="E988" s="16" t="s">
        <v>6279</v>
      </c>
      <c r="F988" s="16" t="s">
        <v>6279</v>
      </c>
      <c r="G988" s="16" t="s">
        <v>6279</v>
      </c>
      <c r="H988" s="16" t="s">
        <v>6279</v>
      </c>
      <c r="I988" s="25" t="s">
        <v>12688</v>
      </c>
      <c r="J988" s="25"/>
      <c r="K988" s="25" t="s">
        <v>6281</v>
      </c>
      <c r="L988" s="26" t="s">
        <v>12689</v>
      </c>
      <c r="M988" s="26" t="s">
        <v>12690</v>
      </c>
      <c r="N988" s="27" t="s">
        <v>12691</v>
      </c>
      <c r="O988" s="26" t="s">
        <v>12692</v>
      </c>
      <c r="P988" s="20" t="b">
        <v>1</v>
      </c>
      <c r="Q988" s="20" t="s">
        <v>6282</v>
      </c>
      <c r="R988" s="28" t="s">
        <v>6283</v>
      </c>
      <c r="S988" s="25"/>
      <c r="T988" s="20" t="b">
        <v>1</v>
      </c>
      <c r="U988" s="25"/>
      <c r="V988" s="25">
        <v>51.2</v>
      </c>
      <c r="W988" s="28" t="s">
        <v>12693</v>
      </c>
      <c r="X988" s="28" t="s">
        <v>6285</v>
      </c>
      <c r="Y988" s="28" t="s">
        <v>6286</v>
      </c>
      <c r="Z988" s="28" t="s">
        <v>6287</v>
      </c>
      <c r="AA988" s="28" t="s">
        <v>6288</v>
      </c>
      <c r="AB988" s="28" t="s">
        <v>6297</v>
      </c>
    </row>
    <row r="989" spans="1:28" ht="185.4" x14ac:dyDescent="0.3">
      <c r="A989" s="25">
        <v>9136</v>
      </c>
      <c r="B989" s="25" t="s">
        <v>12694</v>
      </c>
      <c r="C989" s="25" t="s">
        <v>12695</v>
      </c>
      <c r="D989" s="25" t="s">
        <v>6291</v>
      </c>
      <c r="E989" s="16" t="s">
        <v>6292</v>
      </c>
      <c r="F989" s="16" t="s">
        <v>6292</v>
      </c>
      <c r="G989" s="16" t="s">
        <v>6292</v>
      </c>
      <c r="H989" s="16" t="s">
        <v>6292</v>
      </c>
      <c r="I989" s="25" t="s">
        <v>12696</v>
      </c>
      <c r="J989" s="25"/>
      <c r="K989" s="25" t="s">
        <v>6281</v>
      </c>
      <c r="L989" s="26" t="s">
        <v>12697</v>
      </c>
      <c r="M989" s="26" t="s">
        <v>12698</v>
      </c>
      <c r="N989" s="27" t="s">
        <v>12699</v>
      </c>
      <c r="O989" s="26" t="s">
        <v>12700</v>
      </c>
      <c r="P989" s="20" t="b">
        <v>1</v>
      </c>
      <c r="Q989" s="20" t="s">
        <v>6282</v>
      </c>
      <c r="R989" s="28" t="s">
        <v>6283</v>
      </c>
      <c r="S989" s="25"/>
      <c r="T989" s="20" t="b">
        <v>1</v>
      </c>
      <c r="U989" s="25"/>
      <c r="V989" s="25">
        <v>1395.89</v>
      </c>
      <c r="W989" s="28" t="s">
        <v>12701</v>
      </c>
      <c r="X989" s="28" t="s">
        <v>6285</v>
      </c>
      <c r="Y989" s="28" t="s">
        <v>6286</v>
      </c>
      <c r="Z989" s="28" t="s">
        <v>6287</v>
      </c>
      <c r="AA989" s="28" t="s">
        <v>6288</v>
      </c>
      <c r="AB989" s="28" t="s">
        <v>6297</v>
      </c>
    </row>
    <row r="990" spans="1:28" ht="185.4" x14ac:dyDescent="0.3">
      <c r="A990" s="25">
        <v>9137</v>
      </c>
      <c r="B990" s="25" t="s">
        <v>12702</v>
      </c>
      <c r="C990" s="25" t="s">
        <v>12703</v>
      </c>
      <c r="D990" s="25" t="s">
        <v>6278</v>
      </c>
      <c r="E990" s="16" t="s">
        <v>6279</v>
      </c>
      <c r="F990" s="16" t="s">
        <v>6279</v>
      </c>
      <c r="G990" s="16" t="s">
        <v>6279</v>
      </c>
      <c r="H990" s="16" t="s">
        <v>6279</v>
      </c>
      <c r="I990" s="25" t="s">
        <v>12704</v>
      </c>
      <c r="J990" s="25"/>
      <c r="K990" s="25" t="s">
        <v>6281</v>
      </c>
      <c r="L990" s="26" t="s">
        <v>12705</v>
      </c>
      <c r="M990" s="26" t="s">
        <v>6295</v>
      </c>
      <c r="N990" s="27" t="s">
        <v>12706</v>
      </c>
      <c r="O990" s="26" t="s">
        <v>6295</v>
      </c>
      <c r="P990" s="20" t="b">
        <v>1</v>
      </c>
      <c r="Q990" s="20" t="s">
        <v>6282</v>
      </c>
      <c r="R990" s="28" t="s">
        <v>6283</v>
      </c>
      <c r="S990" s="25"/>
      <c r="T990" s="20" t="b">
        <v>1</v>
      </c>
      <c r="U990" s="25"/>
      <c r="V990" s="25">
        <v>940.07</v>
      </c>
      <c r="W990" s="28" t="s">
        <v>12707</v>
      </c>
      <c r="X990" s="28" t="s">
        <v>6285</v>
      </c>
      <c r="Y990" s="28" t="s">
        <v>6286</v>
      </c>
      <c r="Z990" s="28" t="s">
        <v>6287</v>
      </c>
      <c r="AA990" s="28" t="s">
        <v>6288</v>
      </c>
      <c r="AB990" s="28" t="s">
        <v>6297</v>
      </c>
    </row>
    <row r="991" spans="1:28" ht="185.4" x14ac:dyDescent="0.3">
      <c r="A991" s="25">
        <v>9139</v>
      </c>
      <c r="B991" s="25" t="s">
        <v>12708</v>
      </c>
      <c r="C991" s="25" t="s">
        <v>12709</v>
      </c>
      <c r="D991" s="25" t="s">
        <v>6278</v>
      </c>
      <c r="E991" s="16" t="s">
        <v>6279</v>
      </c>
      <c r="F991" s="16" t="s">
        <v>6279</v>
      </c>
      <c r="G991" s="16" t="s">
        <v>6279</v>
      </c>
      <c r="H991" s="16" t="s">
        <v>6279</v>
      </c>
      <c r="I991" s="25" t="s">
        <v>12710</v>
      </c>
      <c r="J991" s="25"/>
      <c r="K991" s="25" t="s">
        <v>6281</v>
      </c>
      <c r="L991" s="26" t="s">
        <v>12711</v>
      </c>
      <c r="M991" s="26" t="s">
        <v>6295</v>
      </c>
      <c r="N991" s="27" t="s">
        <v>12712</v>
      </c>
      <c r="O991" s="26" t="s">
        <v>6295</v>
      </c>
      <c r="P991" s="20" t="b">
        <v>1</v>
      </c>
      <c r="Q991" s="20" t="s">
        <v>6282</v>
      </c>
      <c r="R991" s="28" t="s">
        <v>6283</v>
      </c>
      <c r="S991" s="25"/>
      <c r="T991" s="20" t="b">
        <v>1</v>
      </c>
      <c r="U991" s="25"/>
      <c r="V991" s="25">
        <v>1146.5</v>
      </c>
      <c r="W991" s="28" t="s">
        <v>12713</v>
      </c>
      <c r="X991" s="28" t="s">
        <v>6285</v>
      </c>
      <c r="Y991" s="28" t="s">
        <v>6286</v>
      </c>
      <c r="Z991" s="28" t="s">
        <v>6287</v>
      </c>
      <c r="AA991" s="28" t="s">
        <v>6288</v>
      </c>
      <c r="AB991" s="28" t="s">
        <v>6297</v>
      </c>
    </row>
    <row r="992" spans="1:28" ht="193.2" x14ac:dyDescent="0.3">
      <c r="A992" s="25">
        <v>9140</v>
      </c>
      <c r="B992" s="25" t="s">
        <v>12714</v>
      </c>
      <c r="C992" s="25" t="s">
        <v>12715</v>
      </c>
      <c r="D992" s="25" t="s">
        <v>6291</v>
      </c>
      <c r="E992" s="16" t="s">
        <v>6292</v>
      </c>
      <c r="F992" s="16" t="s">
        <v>6292</v>
      </c>
      <c r="G992" s="16" t="s">
        <v>6292</v>
      </c>
      <c r="H992" s="16" t="s">
        <v>6292</v>
      </c>
      <c r="I992" s="25" t="s">
        <v>12716</v>
      </c>
      <c r="J992" s="25"/>
      <c r="K992" s="25" t="s">
        <v>6281</v>
      </c>
      <c r="L992" s="26" t="s">
        <v>12717</v>
      </c>
      <c r="M992" s="26" t="s">
        <v>6295</v>
      </c>
      <c r="N992" s="27" t="s">
        <v>12718</v>
      </c>
      <c r="O992" s="26" t="s">
        <v>6295</v>
      </c>
      <c r="P992" s="20" t="b">
        <v>1</v>
      </c>
      <c r="Q992" s="20" t="s">
        <v>6282</v>
      </c>
      <c r="R992" s="28" t="s">
        <v>6283</v>
      </c>
      <c r="S992" s="25"/>
      <c r="T992" s="20" t="b">
        <v>1</v>
      </c>
      <c r="U992" s="25"/>
      <c r="V992" s="25">
        <v>490.74</v>
      </c>
      <c r="W992" s="28" t="s">
        <v>12719</v>
      </c>
      <c r="X992" s="28" t="s">
        <v>6285</v>
      </c>
      <c r="Y992" s="28" t="s">
        <v>6286</v>
      </c>
      <c r="Z992" s="28" t="s">
        <v>6287</v>
      </c>
      <c r="AA992" s="28" t="s">
        <v>6288</v>
      </c>
      <c r="AB992" s="28" t="s">
        <v>6297</v>
      </c>
    </row>
    <row r="993" spans="1:28" ht="185.4" x14ac:dyDescent="0.3">
      <c r="A993" s="25">
        <v>9141</v>
      </c>
      <c r="B993" s="25" t="s">
        <v>12720</v>
      </c>
      <c r="C993" s="25" t="s">
        <v>12721</v>
      </c>
      <c r="D993" s="25" t="s">
        <v>6291</v>
      </c>
      <c r="E993" s="16" t="s">
        <v>6292</v>
      </c>
      <c r="F993" s="16" t="s">
        <v>6292</v>
      </c>
      <c r="G993" s="16" t="s">
        <v>6292</v>
      </c>
      <c r="H993" s="16" t="s">
        <v>6292</v>
      </c>
      <c r="I993" s="25" t="s">
        <v>12722</v>
      </c>
      <c r="J993" s="25"/>
      <c r="K993" s="25" t="s">
        <v>6281</v>
      </c>
      <c r="L993" s="26" t="s">
        <v>12723</v>
      </c>
      <c r="M993" s="26" t="s">
        <v>6295</v>
      </c>
      <c r="N993" s="27" t="s">
        <v>12724</v>
      </c>
      <c r="O993" s="26" t="s">
        <v>6295</v>
      </c>
      <c r="P993" s="20" t="b">
        <v>1</v>
      </c>
      <c r="Q993" s="20" t="s">
        <v>6282</v>
      </c>
      <c r="R993" s="28" t="s">
        <v>6283</v>
      </c>
      <c r="S993" s="25"/>
      <c r="T993" s="20" t="b">
        <v>1</v>
      </c>
      <c r="U993" s="25"/>
      <c r="V993" s="25">
        <v>445.19</v>
      </c>
      <c r="W993" s="28" t="s">
        <v>12725</v>
      </c>
      <c r="X993" s="28" t="s">
        <v>6285</v>
      </c>
      <c r="Y993" s="28" t="s">
        <v>6286</v>
      </c>
      <c r="Z993" s="28" t="s">
        <v>6287</v>
      </c>
      <c r="AA993" s="28" t="s">
        <v>6288</v>
      </c>
      <c r="AB993" s="28" t="s">
        <v>6297</v>
      </c>
    </row>
    <row r="994" spans="1:28" ht="185.4" x14ac:dyDescent="0.3">
      <c r="A994" s="25">
        <v>9142</v>
      </c>
      <c r="B994" s="25" t="s">
        <v>12726</v>
      </c>
      <c r="C994" s="25" t="s">
        <v>12727</v>
      </c>
      <c r="D994" s="25" t="s">
        <v>6291</v>
      </c>
      <c r="E994" s="16" t="s">
        <v>6292</v>
      </c>
      <c r="F994" s="16" t="s">
        <v>6292</v>
      </c>
      <c r="G994" s="16" t="s">
        <v>6292</v>
      </c>
      <c r="H994" s="16" t="s">
        <v>6292</v>
      </c>
      <c r="I994" s="25" t="s">
        <v>12728</v>
      </c>
      <c r="J994" s="25"/>
      <c r="K994" s="25" t="s">
        <v>6281</v>
      </c>
      <c r="L994" s="26" t="s">
        <v>12729</v>
      </c>
      <c r="M994" s="26" t="s">
        <v>6295</v>
      </c>
      <c r="N994" s="27" t="s">
        <v>12730</v>
      </c>
      <c r="O994" s="26" t="s">
        <v>6295</v>
      </c>
      <c r="P994" s="20" t="b">
        <v>1</v>
      </c>
      <c r="Q994" s="20" t="s">
        <v>6282</v>
      </c>
      <c r="R994" s="28" t="s">
        <v>6283</v>
      </c>
      <c r="S994" s="25"/>
      <c r="T994" s="20" t="b">
        <v>1</v>
      </c>
      <c r="U994" s="25"/>
      <c r="V994" s="25">
        <v>502.42</v>
      </c>
      <c r="W994" s="28" t="s">
        <v>12731</v>
      </c>
      <c r="X994" s="28" t="s">
        <v>6285</v>
      </c>
      <c r="Y994" s="28" t="s">
        <v>6286</v>
      </c>
      <c r="Z994" s="28" t="s">
        <v>6287</v>
      </c>
      <c r="AA994" s="28" t="s">
        <v>6288</v>
      </c>
      <c r="AB994" s="28" t="s">
        <v>6297</v>
      </c>
    </row>
    <row r="995" spans="1:28" ht="185.4" x14ac:dyDescent="0.3">
      <c r="A995" s="25">
        <v>9143</v>
      </c>
      <c r="B995" s="25" t="s">
        <v>12732</v>
      </c>
      <c r="C995" s="25" t="s">
        <v>12733</v>
      </c>
      <c r="D995" s="25" t="s">
        <v>6291</v>
      </c>
      <c r="E995" s="16" t="s">
        <v>6292</v>
      </c>
      <c r="F995" s="16" t="s">
        <v>6292</v>
      </c>
      <c r="G995" s="16" t="s">
        <v>6292</v>
      </c>
      <c r="H995" s="16" t="s">
        <v>6292</v>
      </c>
      <c r="I995" s="25" t="s">
        <v>12734</v>
      </c>
      <c r="J995" s="25"/>
      <c r="K995" s="25" t="s">
        <v>6281</v>
      </c>
      <c r="L995" s="26" t="s">
        <v>12735</v>
      </c>
      <c r="M995" s="26" t="s">
        <v>6295</v>
      </c>
      <c r="N995" s="27" t="s">
        <v>12736</v>
      </c>
      <c r="O995" s="26" t="s">
        <v>6295</v>
      </c>
      <c r="P995" s="20" t="b">
        <v>1</v>
      </c>
      <c r="Q995" s="20" t="s">
        <v>6282</v>
      </c>
      <c r="R995" s="28" t="s">
        <v>6283</v>
      </c>
      <c r="S995" s="25"/>
      <c r="T995" s="20" t="b">
        <v>1</v>
      </c>
      <c r="U995" s="25"/>
      <c r="V995" s="25" t="s">
        <v>6295</v>
      </c>
      <c r="W995" s="28" t="s">
        <v>12737</v>
      </c>
      <c r="X995" s="28" t="s">
        <v>6285</v>
      </c>
      <c r="Y995" s="28" t="s">
        <v>6286</v>
      </c>
      <c r="Z995" s="28" t="s">
        <v>6287</v>
      </c>
      <c r="AA995" s="28" t="s">
        <v>6288</v>
      </c>
      <c r="AB995" s="28" t="s">
        <v>6297</v>
      </c>
    </row>
    <row r="996" spans="1:28" ht="185.4" x14ac:dyDescent="0.3">
      <c r="A996" s="25">
        <v>9144</v>
      </c>
      <c r="B996" s="25" t="s">
        <v>12738</v>
      </c>
      <c r="C996" s="25" t="s">
        <v>12739</v>
      </c>
      <c r="D996" s="25" t="s">
        <v>6291</v>
      </c>
      <c r="E996" s="16" t="s">
        <v>6292</v>
      </c>
      <c r="F996" s="16" t="s">
        <v>6292</v>
      </c>
      <c r="G996" s="16" t="s">
        <v>6292</v>
      </c>
      <c r="H996" s="16" t="s">
        <v>6292</v>
      </c>
      <c r="I996" s="25" t="s">
        <v>12740</v>
      </c>
      <c r="J996" s="25"/>
      <c r="K996" s="25" t="s">
        <v>6281</v>
      </c>
      <c r="L996" s="26" t="s">
        <v>12741</v>
      </c>
      <c r="M996" s="26" t="s">
        <v>6295</v>
      </c>
      <c r="N996" s="27" t="s">
        <v>12742</v>
      </c>
      <c r="O996" s="26" t="s">
        <v>6295</v>
      </c>
      <c r="P996" s="20" t="b">
        <v>1</v>
      </c>
      <c r="Q996" s="20" t="s">
        <v>6282</v>
      </c>
      <c r="R996" s="28" t="s">
        <v>6283</v>
      </c>
      <c r="S996" s="25"/>
      <c r="T996" s="20" t="b">
        <v>1</v>
      </c>
      <c r="U996" s="25"/>
      <c r="V996" s="25" t="s">
        <v>6295</v>
      </c>
      <c r="W996" s="28" t="s">
        <v>12743</v>
      </c>
      <c r="X996" s="28" t="s">
        <v>6285</v>
      </c>
      <c r="Y996" s="28" t="s">
        <v>6286</v>
      </c>
      <c r="Z996" s="28" t="s">
        <v>6287</v>
      </c>
      <c r="AA996" s="28" t="s">
        <v>6288</v>
      </c>
      <c r="AB996" s="28" t="s">
        <v>6297</v>
      </c>
    </row>
    <row r="997" spans="1:28" ht="185.4" x14ac:dyDescent="0.3">
      <c r="A997" s="25">
        <v>9145</v>
      </c>
      <c r="B997" s="25" t="s">
        <v>12744</v>
      </c>
      <c r="C997" s="25" t="s">
        <v>12745</v>
      </c>
      <c r="D997" s="25" t="s">
        <v>6291</v>
      </c>
      <c r="E997" s="16" t="s">
        <v>6292</v>
      </c>
      <c r="F997" s="16" t="s">
        <v>6292</v>
      </c>
      <c r="G997" s="16" t="s">
        <v>6292</v>
      </c>
      <c r="H997" s="16" t="s">
        <v>6292</v>
      </c>
      <c r="I997" s="25" t="s">
        <v>12746</v>
      </c>
      <c r="J997" s="25"/>
      <c r="K997" s="25" t="s">
        <v>6281</v>
      </c>
      <c r="L997" s="26" t="s">
        <v>12747</v>
      </c>
      <c r="M997" s="26" t="s">
        <v>6295</v>
      </c>
      <c r="N997" s="27" t="s">
        <v>12748</v>
      </c>
      <c r="O997" s="26" t="s">
        <v>6295</v>
      </c>
      <c r="P997" s="20" t="b">
        <v>1</v>
      </c>
      <c r="Q997" s="20" t="s">
        <v>6282</v>
      </c>
      <c r="R997" s="28" t="s">
        <v>6283</v>
      </c>
      <c r="S997" s="25"/>
      <c r="T997" s="20" t="b">
        <v>1</v>
      </c>
      <c r="U997" s="25"/>
      <c r="V997" s="25" t="s">
        <v>6295</v>
      </c>
      <c r="W997" s="28" t="s">
        <v>12749</v>
      </c>
      <c r="X997" s="28" t="s">
        <v>6285</v>
      </c>
      <c r="Y997" s="28" t="s">
        <v>6286</v>
      </c>
      <c r="Z997" s="28" t="s">
        <v>6287</v>
      </c>
      <c r="AA997" s="28" t="s">
        <v>6288</v>
      </c>
      <c r="AB997" s="28" t="s">
        <v>6297</v>
      </c>
    </row>
    <row r="998" spans="1:28" ht="185.4" x14ac:dyDescent="0.3">
      <c r="A998" s="25">
        <v>9146</v>
      </c>
      <c r="B998" s="25" t="s">
        <v>12750</v>
      </c>
      <c r="C998" s="25" t="s">
        <v>12751</v>
      </c>
      <c r="D998" s="25" t="s">
        <v>6291</v>
      </c>
      <c r="E998" s="16" t="s">
        <v>6292</v>
      </c>
      <c r="F998" s="16" t="s">
        <v>6292</v>
      </c>
      <c r="G998" s="16" t="s">
        <v>6292</v>
      </c>
      <c r="H998" s="16" t="s">
        <v>6292</v>
      </c>
      <c r="I998" s="25" t="s">
        <v>12752</v>
      </c>
      <c r="J998" s="25"/>
      <c r="K998" s="25" t="s">
        <v>6281</v>
      </c>
      <c r="L998" s="26" t="s">
        <v>12753</v>
      </c>
      <c r="M998" s="26" t="s">
        <v>6295</v>
      </c>
      <c r="N998" s="27" t="s">
        <v>12754</v>
      </c>
      <c r="O998" s="26" t="s">
        <v>6295</v>
      </c>
      <c r="P998" s="20" t="b">
        <v>1</v>
      </c>
      <c r="Q998" s="20" t="s">
        <v>6282</v>
      </c>
      <c r="R998" s="28" t="s">
        <v>6283</v>
      </c>
      <c r="S998" s="25"/>
      <c r="T998" s="20" t="b">
        <v>1</v>
      </c>
      <c r="U998" s="25"/>
      <c r="V998" s="25" t="s">
        <v>6295</v>
      </c>
      <c r="W998" s="28" t="s">
        <v>12755</v>
      </c>
      <c r="X998" s="28" t="s">
        <v>6285</v>
      </c>
      <c r="Y998" s="28" t="s">
        <v>6286</v>
      </c>
      <c r="Z998" s="28" t="s">
        <v>6287</v>
      </c>
      <c r="AA998" s="28" t="s">
        <v>6288</v>
      </c>
      <c r="AB998" s="28" t="s">
        <v>6297</v>
      </c>
    </row>
    <row r="999" spans="1:28" ht="185.4" x14ac:dyDescent="0.3">
      <c r="A999" s="25">
        <v>9147</v>
      </c>
      <c r="B999" s="25" t="s">
        <v>12756</v>
      </c>
      <c r="C999" s="25" t="s">
        <v>12757</v>
      </c>
      <c r="D999" s="25" t="s">
        <v>6291</v>
      </c>
      <c r="E999" s="16" t="s">
        <v>6292</v>
      </c>
      <c r="F999" s="16" t="s">
        <v>6292</v>
      </c>
      <c r="G999" s="16" t="s">
        <v>6292</v>
      </c>
      <c r="H999" s="16" t="s">
        <v>6292</v>
      </c>
      <c r="I999" s="25" t="s">
        <v>12758</v>
      </c>
      <c r="J999" s="25"/>
      <c r="K999" s="25" t="s">
        <v>6281</v>
      </c>
      <c r="L999" s="26" t="s">
        <v>12759</v>
      </c>
      <c r="M999" s="26" t="s">
        <v>6295</v>
      </c>
      <c r="N999" s="27" t="s">
        <v>12760</v>
      </c>
      <c r="O999" s="26" t="s">
        <v>6295</v>
      </c>
      <c r="P999" s="20" t="b">
        <v>1</v>
      </c>
      <c r="Q999" s="20" t="s">
        <v>6282</v>
      </c>
      <c r="R999" s="28" t="s">
        <v>6283</v>
      </c>
      <c r="S999" s="25"/>
      <c r="T999" s="20" t="b">
        <v>1</v>
      </c>
      <c r="U999" s="25"/>
      <c r="V999" s="25">
        <v>522.16</v>
      </c>
      <c r="W999" s="28" t="s">
        <v>12761</v>
      </c>
      <c r="X999" s="28" t="s">
        <v>6285</v>
      </c>
      <c r="Y999" s="28" t="s">
        <v>6286</v>
      </c>
      <c r="Z999" s="28" t="s">
        <v>6287</v>
      </c>
      <c r="AA999" s="28" t="s">
        <v>6288</v>
      </c>
      <c r="AB999" s="28" t="s">
        <v>6297</v>
      </c>
    </row>
    <row r="1000" spans="1:28" ht="185.4" x14ac:dyDescent="0.3">
      <c r="A1000" s="25">
        <v>9148</v>
      </c>
      <c r="B1000" s="25" t="s">
        <v>12762</v>
      </c>
      <c r="C1000" s="25" t="s">
        <v>12763</v>
      </c>
      <c r="D1000" s="25" t="s">
        <v>6291</v>
      </c>
      <c r="E1000" s="16" t="s">
        <v>6786</v>
      </c>
      <c r="F1000" s="16" t="s">
        <v>6786</v>
      </c>
      <c r="G1000" s="16" t="s">
        <v>6786</v>
      </c>
      <c r="H1000" s="16" t="s">
        <v>6786</v>
      </c>
      <c r="I1000" s="25" t="s">
        <v>12764</v>
      </c>
      <c r="J1000" s="25"/>
      <c r="K1000" s="25" t="s">
        <v>6281</v>
      </c>
      <c r="L1000" s="26" t="s">
        <v>12765</v>
      </c>
      <c r="M1000" s="26" t="s">
        <v>6295</v>
      </c>
      <c r="N1000" s="27" t="s">
        <v>12766</v>
      </c>
      <c r="O1000" s="26" t="s">
        <v>6295</v>
      </c>
      <c r="P1000" s="20" t="b">
        <v>1</v>
      </c>
      <c r="Q1000" s="20" t="s">
        <v>6282</v>
      </c>
      <c r="R1000" s="28" t="s">
        <v>6283</v>
      </c>
      <c r="S1000" s="25"/>
      <c r="T1000" s="20" t="b">
        <v>1</v>
      </c>
      <c r="U1000" s="25"/>
      <c r="V1000" s="25">
        <v>1812</v>
      </c>
      <c r="W1000" s="28" t="s">
        <v>12767</v>
      </c>
      <c r="X1000" s="28" t="s">
        <v>6285</v>
      </c>
      <c r="Y1000" s="28" t="s">
        <v>6286</v>
      </c>
      <c r="Z1000" s="28" t="s">
        <v>6287</v>
      </c>
      <c r="AA1000" s="28" t="s">
        <v>6288</v>
      </c>
      <c r="AB1000" s="28" t="s">
        <v>6297</v>
      </c>
    </row>
    <row r="1001" spans="1:28" ht="185.4" x14ac:dyDescent="0.3">
      <c r="A1001" s="25">
        <v>9149</v>
      </c>
      <c r="B1001" s="25" t="s">
        <v>12768</v>
      </c>
      <c r="C1001" s="25" t="s">
        <v>6306</v>
      </c>
      <c r="D1001" s="25" t="s">
        <v>6278</v>
      </c>
      <c r="E1001" s="16" t="s">
        <v>6279</v>
      </c>
      <c r="F1001" s="16" t="s">
        <v>6279</v>
      </c>
      <c r="G1001" s="16" t="s">
        <v>6279</v>
      </c>
      <c r="H1001" s="16" t="s">
        <v>6279</v>
      </c>
      <c r="I1001" s="25" t="s">
        <v>12769</v>
      </c>
      <c r="J1001" s="25"/>
      <c r="K1001" s="25" t="s">
        <v>6281</v>
      </c>
      <c r="L1001" s="26" t="s">
        <v>12770</v>
      </c>
      <c r="M1001" s="26" t="s">
        <v>12771</v>
      </c>
      <c r="N1001" s="27" t="s">
        <v>12772</v>
      </c>
      <c r="O1001" s="26" t="s">
        <v>12453</v>
      </c>
      <c r="P1001" s="20" t="b">
        <v>1</v>
      </c>
      <c r="Q1001" s="20" t="s">
        <v>6282</v>
      </c>
      <c r="R1001" s="28" t="s">
        <v>6283</v>
      </c>
      <c r="S1001" s="25"/>
      <c r="T1001" s="20" t="b">
        <v>1</v>
      </c>
      <c r="U1001" s="25"/>
      <c r="V1001" s="25">
        <v>287.45</v>
      </c>
      <c r="W1001" s="28" t="s">
        <v>12773</v>
      </c>
      <c r="X1001" s="28" t="s">
        <v>6285</v>
      </c>
      <c r="Y1001" s="28" t="s">
        <v>6286</v>
      </c>
      <c r="Z1001" s="28" t="s">
        <v>6287</v>
      </c>
      <c r="AA1001" s="28" t="s">
        <v>6288</v>
      </c>
      <c r="AB1001" s="28" t="s">
        <v>6297</v>
      </c>
    </row>
    <row r="1002" spans="1:28" ht="291" x14ac:dyDescent="0.3">
      <c r="A1002" s="25">
        <v>9150</v>
      </c>
      <c r="B1002" s="25" t="s">
        <v>12774</v>
      </c>
      <c r="C1002" s="25" t="s">
        <v>12775</v>
      </c>
      <c r="D1002" s="25" t="s">
        <v>6291</v>
      </c>
      <c r="E1002" s="16" t="s">
        <v>8648</v>
      </c>
      <c r="F1002" s="16" t="s">
        <v>8648</v>
      </c>
      <c r="G1002" s="16" t="s">
        <v>8648</v>
      </c>
      <c r="H1002" s="16" t="s">
        <v>8648</v>
      </c>
      <c r="I1002" s="25" t="s">
        <v>12776</v>
      </c>
      <c r="J1002" s="25"/>
      <c r="K1002" s="25" t="s">
        <v>6281</v>
      </c>
      <c r="L1002" s="26" t="s">
        <v>12777</v>
      </c>
      <c r="M1002" s="26" t="s">
        <v>12778</v>
      </c>
      <c r="N1002" s="27" t="s">
        <v>12779</v>
      </c>
      <c r="O1002" s="26" t="s">
        <v>12780</v>
      </c>
      <c r="P1002" s="20" t="b">
        <v>1</v>
      </c>
      <c r="Q1002" s="20" t="s">
        <v>6282</v>
      </c>
      <c r="R1002" s="28" t="s">
        <v>6283</v>
      </c>
      <c r="S1002" s="25"/>
      <c r="T1002" s="20" t="b">
        <v>1</v>
      </c>
      <c r="U1002" s="25"/>
      <c r="V1002" s="25">
        <v>27.79</v>
      </c>
      <c r="W1002" s="28" t="s">
        <v>12781</v>
      </c>
      <c r="X1002" s="28" t="s">
        <v>6285</v>
      </c>
      <c r="Y1002" s="28" t="s">
        <v>6286</v>
      </c>
      <c r="Z1002" s="28" t="s">
        <v>6287</v>
      </c>
      <c r="AA1002" s="28" t="s">
        <v>6288</v>
      </c>
      <c r="AB1002" s="28" t="s">
        <v>6297</v>
      </c>
    </row>
    <row r="1003" spans="1:28" ht="185.4" x14ac:dyDescent="0.3">
      <c r="A1003" s="25">
        <v>9151</v>
      </c>
      <c r="B1003" s="25" t="s">
        <v>12782</v>
      </c>
      <c r="C1003" s="25" t="s">
        <v>12783</v>
      </c>
      <c r="D1003" s="25" t="s">
        <v>6291</v>
      </c>
      <c r="E1003" s="16" t="s">
        <v>6786</v>
      </c>
      <c r="F1003" s="16" t="s">
        <v>6786</v>
      </c>
      <c r="G1003" s="16" t="s">
        <v>6786</v>
      </c>
      <c r="H1003" s="16" t="s">
        <v>6786</v>
      </c>
      <c r="I1003" s="25" t="s">
        <v>12784</v>
      </c>
      <c r="J1003" s="25"/>
      <c r="K1003" s="25" t="s">
        <v>6281</v>
      </c>
      <c r="L1003" s="26" t="s">
        <v>12785</v>
      </c>
      <c r="M1003" s="26" t="s">
        <v>12786</v>
      </c>
      <c r="N1003" s="27" t="s">
        <v>12787</v>
      </c>
      <c r="O1003" s="26" t="s">
        <v>12788</v>
      </c>
      <c r="P1003" s="20" t="b">
        <v>1</v>
      </c>
      <c r="Q1003" s="20" t="s">
        <v>6282</v>
      </c>
      <c r="R1003" s="28" t="s">
        <v>6283</v>
      </c>
      <c r="S1003" s="25"/>
      <c r="T1003" s="20" t="b">
        <v>1</v>
      </c>
      <c r="U1003" s="25"/>
      <c r="V1003" s="25">
        <v>13.6448</v>
      </c>
      <c r="W1003" s="28" t="s">
        <v>12789</v>
      </c>
      <c r="X1003" s="28" t="s">
        <v>6285</v>
      </c>
      <c r="Y1003" s="28" t="s">
        <v>6286</v>
      </c>
      <c r="Z1003" s="28" t="s">
        <v>6287</v>
      </c>
      <c r="AA1003" s="28" t="s">
        <v>6288</v>
      </c>
      <c r="AB1003" s="28" t="s">
        <v>6297</v>
      </c>
    </row>
    <row r="1004" spans="1:28" ht="185.4" x14ac:dyDescent="0.3">
      <c r="A1004" s="25">
        <v>9152</v>
      </c>
      <c r="B1004" s="25" t="s">
        <v>12790</v>
      </c>
      <c r="C1004" s="25" t="s">
        <v>12791</v>
      </c>
      <c r="D1004" s="25" t="s">
        <v>6291</v>
      </c>
      <c r="E1004" s="16" t="s">
        <v>6786</v>
      </c>
      <c r="F1004" s="16" t="s">
        <v>6786</v>
      </c>
      <c r="G1004" s="16" t="s">
        <v>6786</v>
      </c>
      <c r="H1004" s="16" t="s">
        <v>6786</v>
      </c>
      <c r="I1004" s="25" t="s">
        <v>12792</v>
      </c>
      <c r="J1004" s="25"/>
      <c r="K1004" s="25" t="s">
        <v>6281</v>
      </c>
      <c r="L1004" s="26" t="s">
        <v>12793</v>
      </c>
      <c r="M1004" s="26" t="s">
        <v>6295</v>
      </c>
      <c r="N1004" s="27" t="s">
        <v>12794</v>
      </c>
      <c r="O1004" s="26" t="s">
        <v>6295</v>
      </c>
      <c r="P1004" s="20" t="b">
        <v>1</v>
      </c>
      <c r="Q1004" s="20" t="s">
        <v>6282</v>
      </c>
      <c r="R1004" s="28" t="s">
        <v>6283</v>
      </c>
      <c r="S1004" s="25"/>
      <c r="T1004" s="20" t="b">
        <v>1</v>
      </c>
      <c r="U1004" s="25"/>
      <c r="V1004" s="25">
        <v>4.069045</v>
      </c>
      <c r="W1004" s="28" t="s">
        <v>12795</v>
      </c>
      <c r="X1004" s="28" t="s">
        <v>6285</v>
      </c>
      <c r="Y1004" s="28" t="s">
        <v>6286</v>
      </c>
      <c r="Z1004" s="28" t="s">
        <v>6287</v>
      </c>
      <c r="AA1004" s="28" t="s">
        <v>6288</v>
      </c>
      <c r="AB1004" s="28" t="s">
        <v>6297</v>
      </c>
    </row>
    <row r="1005" spans="1:28" ht="185.4" x14ac:dyDescent="0.3">
      <c r="A1005" s="25">
        <v>9153</v>
      </c>
      <c r="B1005" s="25" t="s">
        <v>12796</v>
      </c>
      <c r="C1005" s="25" t="s">
        <v>12797</v>
      </c>
      <c r="D1005" s="25" t="s">
        <v>6278</v>
      </c>
      <c r="E1005" s="16" t="s">
        <v>6279</v>
      </c>
      <c r="F1005" s="16" t="s">
        <v>6279</v>
      </c>
      <c r="G1005" s="16" t="s">
        <v>6279</v>
      </c>
      <c r="H1005" s="16" t="s">
        <v>6279</v>
      </c>
      <c r="I1005" s="25" t="s">
        <v>12798</v>
      </c>
      <c r="J1005" s="25"/>
      <c r="K1005" s="25" t="s">
        <v>6281</v>
      </c>
      <c r="L1005" s="26" t="s">
        <v>12799</v>
      </c>
      <c r="M1005" s="26" t="s">
        <v>6295</v>
      </c>
      <c r="N1005" s="27" t="s">
        <v>12800</v>
      </c>
      <c r="O1005" s="26" t="s">
        <v>6295</v>
      </c>
      <c r="P1005" s="20" t="b">
        <v>1</v>
      </c>
      <c r="Q1005" s="20" t="s">
        <v>6282</v>
      </c>
      <c r="R1005" s="28" t="s">
        <v>6283</v>
      </c>
      <c r="S1005" s="25"/>
      <c r="T1005" s="20" t="b">
        <v>1</v>
      </c>
      <c r="U1005" s="25"/>
      <c r="V1005" s="25">
        <v>565.16</v>
      </c>
      <c r="W1005" s="28" t="s">
        <v>12801</v>
      </c>
      <c r="X1005" s="28" t="s">
        <v>6285</v>
      </c>
      <c r="Y1005" s="28" t="s">
        <v>6286</v>
      </c>
      <c r="Z1005" s="28" t="s">
        <v>6287</v>
      </c>
      <c r="AA1005" s="28" t="s">
        <v>6288</v>
      </c>
      <c r="AB1005" s="28" t="s">
        <v>6297</v>
      </c>
    </row>
    <row r="1006" spans="1:28" ht="185.4" x14ac:dyDescent="0.3">
      <c r="A1006" s="25">
        <v>9154</v>
      </c>
      <c r="B1006" s="25" t="s">
        <v>12802</v>
      </c>
      <c r="C1006" s="25" t="s">
        <v>12803</v>
      </c>
      <c r="D1006" s="25" t="s">
        <v>6291</v>
      </c>
      <c r="E1006" s="16" t="s">
        <v>6292</v>
      </c>
      <c r="F1006" s="16" t="s">
        <v>6292</v>
      </c>
      <c r="G1006" s="16" t="s">
        <v>6292</v>
      </c>
      <c r="H1006" s="16" t="s">
        <v>6292</v>
      </c>
      <c r="I1006" s="25" t="s">
        <v>12804</v>
      </c>
      <c r="J1006" s="25"/>
      <c r="K1006" s="25" t="s">
        <v>6281</v>
      </c>
      <c r="L1006" s="26" t="s">
        <v>12805</v>
      </c>
      <c r="M1006" s="26" t="s">
        <v>12806</v>
      </c>
      <c r="N1006" s="27" t="s">
        <v>12807</v>
      </c>
      <c r="O1006" s="26" t="s">
        <v>12808</v>
      </c>
      <c r="P1006" s="20" t="b">
        <v>1</v>
      </c>
      <c r="Q1006" s="20" t="s">
        <v>6282</v>
      </c>
      <c r="R1006" s="28" t="s">
        <v>6283</v>
      </c>
      <c r="S1006" s="25"/>
      <c r="T1006" s="20" t="b">
        <v>1</v>
      </c>
      <c r="U1006" s="25"/>
      <c r="V1006" s="25">
        <v>501.3245</v>
      </c>
      <c r="W1006" s="28" t="s">
        <v>12809</v>
      </c>
      <c r="X1006" s="28" t="s">
        <v>6285</v>
      </c>
      <c r="Y1006" s="28" t="s">
        <v>6286</v>
      </c>
      <c r="Z1006" s="28" t="s">
        <v>6287</v>
      </c>
      <c r="AA1006" s="28" t="s">
        <v>6288</v>
      </c>
      <c r="AB1006" s="28" t="s">
        <v>6297</v>
      </c>
    </row>
    <row r="1007" spans="1:28" ht="185.4" x14ac:dyDescent="0.3">
      <c r="A1007" s="25">
        <v>9155</v>
      </c>
      <c r="B1007" s="25" t="s">
        <v>12810</v>
      </c>
      <c r="C1007" s="25" t="s">
        <v>12811</v>
      </c>
      <c r="D1007" s="25" t="s">
        <v>6291</v>
      </c>
      <c r="E1007" s="16" t="s">
        <v>6786</v>
      </c>
      <c r="F1007" s="16" t="s">
        <v>6786</v>
      </c>
      <c r="G1007" s="16" t="s">
        <v>6786</v>
      </c>
      <c r="H1007" s="16" t="s">
        <v>6786</v>
      </c>
      <c r="I1007" s="25" t="s">
        <v>12812</v>
      </c>
      <c r="J1007" s="25"/>
      <c r="K1007" s="25" t="s">
        <v>6281</v>
      </c>
      <c r="L1007" s="26" t="s">
        <v>12813</v>
      </c>
      <c r="M1007" s="26" t="s">
        <v>6295</v>
      </c>
      <c r="N1007" s="27" t="s">
        <v>12814</v>
      </c>
      <c r="O1007" s="26" t="s">
        <v>6295</v>
      </c>
      <c r="P1007" s="20" t="b">
        <v>1</v>
      </c>
      <c r="Q1007" s="20" t="s">
        <v>6282</v>
      </c>
      <c r="R1007" s="28" t="s">
        <v>6283</v>
      </c>
      <c r="S1007" s="25"/>
      <c r="T1007" s="20" t="b">
        <v>1</v>
      </c>
      <c r="U1007" s="25"/>
      <c r="V1007" s="25" t="s">
        <v>6295</v>
      </c>
      <c r="W1007" s="28" t="s">
        <v>12815</v>
      </c>
      <c r="X1007" s="28" t="s">
        <v>6285</v>
      </c>
      <c r="Y1007" s="28" t="s">
        <v>6286</v>
      </c>
      <c r="Z1007" s="28" t="s">
        <v>6287</v>
      </c>
      <c r="AA1007" s="28" t="s">
        <v>6288</v>
      </c>
      <c r="AB1007" s="28" t="s">
        <v>6297</v>
      </c>
    </row>
    <row r="1008" spans="1:28" ht="185.4" x14ac:dyDescent="0.3">
      <c r="A1008" s="25">
        <v>9156</v>
      </c>
      <c r="B1008" s="25" t="s">
        <v>12816</v>
      </c>
      <c r="C1008" s="25" t="s">
        <v>12817</v>
      </c>
      <c r="D1008" s="25" t="s">
        <v>6291</v>
      </c>
      <c r="E1008" s="16" t="s">
        <v>6793</v>
      </c>
      <c r="F1008" s="16" t="s">
        <v>6793</v>
      </c>
      <c r="G1008" s="16" t="s">
        <v>6793</v>
      </c>
      <c r="H1008" s="16" t="s">
        <v>6793</v>
      </c>
      <c r="I1008" s="25" t="s">
        <v>12818</v>
      </c>
      <c r="J1008" s="25"/>
      <c r="K1008" s="25" t="s">
        <v>6281</v>
      </c>
      <c r="L1008" s="26" t="s">
        <v>12819</v>
      </c>
      <c r="M1008" s="26" t="s">
        <v>12820</v>
      </c>
      <c r="N1008" s="27" t="s">
        <v>12821</v>
      </c>
      <c r="O1008" s="26" t="s">
        <v>12822</v>
      </c>
      <c r="P1008" s="20" t="b">
        <v>1</v>
      </c>
      <c r="Q1008" s="20" t="s">
        <v>6282</v>
      </c>
      <c r="R1008" s="28" t="s">
        <v>6283</v>
      </c>
      <c r="S1008" s="25"/>
      <c r="T1008" s="20" t="b">
        <v>1</v>
      </c>
      <c r="U1008" s="25"/>
      <c r="V1008" s="25">
        <v>7.83</v>
      </c>
      <c r="W1008" s="28" t="s">
        <v>12823</v>
      </c>
      <c r="X1008" s="28" t="s">
        <v>6285</v>
      </c>
      <c r="Y1008" s="28" t="s">
        <v>6286</v>
      </c>
      <c r="Z1008" s="28" t="s">
        <v>6287</v>
      </c>
      <c r="AA1008" s="28" t="s">
        <v>6288</v>
      </c>
      <c r="AB1008" s="28" t="s">
        <v>6297</v>
      </c>
    </row>
    <row r="1009" spans="1:28" ht="185.4" x14ac:dyDescent="0.3">
      <c r="A1009" s="25">
        <v>9157</v>
      </c>
      <c r="B1009" s="25" t="s">
        <v>12824</v>
      </c>
      <c r="C1009" s="25" t="s">
        <v>12825</v>
      </c>
      <c r="D1009" s="25" t="s">
        <v>6291</v>
      </c>
      <c r="E1009" s="16" t="s">
        <v>12826</v>
      </c>
      <c r="F1009" s="16" t="s">
        <v>12826</v>
      </c>
      <c r="G1009" s="16" t="s">
        <v>12826</v>
      </c>
      <c r="H1009" s="16" t="s">
        <v>12826</v>
      </c>
      <c r="I1009" s="25" t="s">
        <v>12827</v>
      </c>
      <c r="J1009" s="25"/>
      <c r="K1009" s="25" t="s">
        <v>6281</v>
      </c>
      <c r="L1009" s="26" t="s">
        <v>12828</v>
      </c>
      <c r="M1009" s="26" t="s">
        <v>12829</v>
      </c>
      <c r="N1009" s="27" t="s">
        <v>12830</v>
      </c>
      <c r="O1009" s="26" t="s">
        <v>6295</v>
      </c>
      <c r="P1009" s="20" t="b">
        <v>1</v>
      </c>
      <c r="Q1009" s="20" t="s">
        <v>6282</v>
      </c>
      <c r="R1009" s="28" t="s">
        <v>6283</v>
      </c>
      <c r="S1009" s="25"/>
      <c r="T1009" s="20" t="b">
        <v>1</v>
      </c>
      <c r="U1009" s="25"/>
      <c r="V1009" s="25">
        <v>20569.490000000002</v>
      </c>
      <c r="W1009" s="28" t="s">
        <v>12831</v>
      </c>
      <c r="X1009" s="28" t="s">
        <v>6285</v>
      </c>
      <c r="Y1009" s="28" t="s">
        <v>6286</v>
      </c>
      <c r="Z1009" s="28" t="s">
        <v>6287</v>
      </c>
      <c r="AA1009" s="28" t="s">
        <v>6288</v>
      </c>
      <c r="AB1009" s="28" t="s">
        <v>6297</v>
      </c>
    </row>
    <row r="1010" spans="1:28" ht="185.4" x14ac:dyDescent="0.3">
      <c r="A1010" s="25">
        <v>9158</v>
      </c>
      <c r="B1010" s="25" t="s">
        <v>12832</v>
      </c>
      <c r="C1010" s="25" t="s">
        <v>12833</v>
      </c>
      <c r="D1010" s="25" t="s">
        <v>6278</v>
      </c>
      <c r="E1010" s="16" t="s">
        <v>6279</v>
      </c>
      <c r="F1010" s="16" t="s">
        <v>6279</v>
      </c>
      <c r="G1010" s="16" t="s">
        <v>6279</v>
      </c>
      <c r="H1010" s="16" t="s">
        <v>6279</v>
      </c>
      <c r="I1010" s="25" t="s">
        <v>12834</v>
      </c>
      <c r="J1010" s="25"/>
      <c r="K1010" s="25" t="s">
        <v>6281</v>
      </c>
      <c r="L1010" s="26" t="s">
        <v>12835</v>
      </c>
      <c r="M1010" s="26" t="s">
        <v>12836</v>
      </c>
      <c r="N1010" s="27" t="s">
        <v>12837</v>
      </c>
      <c r="O1010" s="26" t="s">
        <v>6295</v>
      </c>
      <c r="P1010" s="20" t="b">
        <v>1</v>
      </c>
      <c r="Q1010" s="20" t="s">
        <v>6282</v>
      </c>
      <c r="R1010" s="28" t="s">
        <v>6283</v>
      </c>
      <c r="S1010" s="25"/>
      <c r="T1010" s="20" t="b">
        <v>1</v>
      </c>
      <c r="U1010" s="25"/>
      <c r="V1010" s="25">
        <v>73.736000000000004</v>
      </c>
      <c r="W1010" s="28" t="s">
        <v>12838</v>
      </c>
      <c r="X1010" s="28" t="s">
        <v>6285</v>
      </c>
      <c r="Y1010" s="28" t="s">
        <v>6286</v>
      </c>
      <c r="Z1010" s="28" t="s">
        <v>6287</v>
      </c>
      <c r="AA1010" s="28" t="s">
        <v>6288</v>
      </c>
      <c r="AB1010" s="28" t="s">
        <v>6297</v>
      </c>
    </row>
    <row r="1011" spans="1:28" ht="185.4" x14ac:dyDescent="0.3">
      <c r="A1011" s="25">
        <v>9159</v>
      </c>
      <c r="B1011" s="25" t="s">
        <v>12839</v>
      </c>
      <c r="C1011" s="25" t="s">
        <v>12840</v>
      </c>
      <c r="D1011" s="25" t="s">
        <v>6291</v>
      </c>
      <c r="E1011" s="16" t="s">
        <v>6292</v>
      </c>
      <c r="F1011" s="16" t="s">
        <v>6292</v>
      </c>
      <c r="G1011" s="16" t="s">
        <v>6292</v>
      </c>
      <c r="H1011" s="16" t="s">
        <v>6292</v>
      </c>
      <c r="I1011" s="25" t="s">
        <v>12841</v>
      </c>
      <c r="J1011" s="25"/>
      <c r="K1011" s="25" t="s">
        <v>6281</v>
      </c>
      <c r="L1011" s="26" t="s">
        <v>12842</v>
      </c>
      <c r="M1011" s="26" t="s">
        <v>6295</v>
      </c>
      <c r="N1011" s="27" t="s">
        <v>12843</v>
      </c>
      <c r="O1011" s="26" t="s">
        <v>12844</v>
      </c>
      <c r="P1011" s="20" t="b">
        <v>1</v>
      </c>
      <c r="Q1011" s="20" t="s">
        <v>6282</v>
      </c>
      <c r="R1011" s="28" t="s">
        <v>6283</v>
      </c>
      <c r="S1011" s="25"/>
      <c r="T1011" s="20" t="b">
        <v>1</v>
      </c>
      <c r="U1011" s="25"/>
      <c r="V1011" s="25">
        <v>102</v>
      </c>
      <c r="W1011" s="28" t="s">
        <v>12845</v>
      </c>
      <c r="X1011" s="28" t="s">
        <v>6285</v>
      </c>
      <c r="Y1011" s="28" t="s">
        <v>6286</v>
      </c>
      <c r="Z1011" s="28" t="s">
        <v>6287</v>
      </c>
      <c r="AA1011" s="28" t="s">
        <v>6288</v>
      </c>
      <c r="AB1011" s="28" t="s">
        <v>6297</v>
      </c>
    </row>
    <row r="1012" spans="1:28" ht="185.4" x14ac:dyDescent="0.3">
      <c r="A1012" s="25">
        <v>9160</v>
      </c>
      <c r="B1012" s="25" t="s">
        <v>12846</v>
      </c>
      <c r="C1012" s="25" t="s">
        <v>12847</v>
      </c>
      <c r="D1012" s="25" t="s">
        <v>6291</v>
      </c>
      <c r="E1012" s="16" t="s">
        <v>6292</v>
      </c>
      <c r="F1012" s="16" t="s">
        <v>6292</v>
      </c>
      <c r="G1012" s="16" t="s">
        <v>6292</v>
      </c>
      <c r="H1012" s="16" t="s">
        <v>6292</v>
      </c>
      <c r="I1012" s="25" t="s">
        <v>12848</v>
      </c>
      <c r="J1012" s="25"/>
      <c r="K1012" s="25" t="s">
        <v>6281</v>
      </c>
      <c r="L1012" s="26" t="s">
        <v>12849</v>
      </c>
      <c r="M1012" s="26" t="s">
        <v>6295</v>
      </c>
      <c r="N1012" s="27" t="s">
        <v>12850</v>
      </c>
      <c r="O1012" s="26" t="s">
        <v>6295</v>
      </c>
      <c r="P1012" s="20" t="b">
        <v>1</v>
      </c>
      <c r="Q1012" s="20" t="s">
        <v>6282</v>
      </c>
      <c r="R1012" s="28" t="s">
        <v>6283</v>
      </c>
      <c r="S1012" s="25"/>
      <c r="T1012" s="20" t="b">
        <v>1</v>
      </c>
      <c r="U1012" s="25"/>
      <c r="V1012" s="25">
        <v>191.00550000000001</v>
      </c>
      <c r="W1012" s="28" t="s">
        <v>12851</v>
      </c>
      <c r="X1012" s="28" t="s">
        <v>6285</v>
      </c>
      <c r="Y1012" s="28" t="s">
        <v>6286</v>
      </c>
      <c r="Z1012" s="28" t="s">
        <v>6287</v>
      </c>
      <c r="AA1012" s="28" t="s">
        <v>6288</v>
      </c>
      <c r="AB1012" s="28" t="s">
        <v>6297</v>
      </c>
    </row>
    <row r="1013" spans="1:28" ht="185.4" x14ac:dyDescent="0.3">
      <c r="A1013" s="25">
        <v>9161</v>
      </c>
      <c r="B1013" s="25" t="s">
        <v>12852</v>
      </c>
      <c r="C1013" s="25" t="s">
        <v>12853</v>
      </c>
      <c r="D1013" s="25" t="s">
        <v>6291</v>
      </c>
      <c r="E1013" s="16" t="s">
        <v>6292</v>
      </c>
      <c r="F1013" s="16" t="s">
        <v>6292</v>
      </c>
      <c r="G1013" s="16" t="s">
        <v>6292</v>
      </c>
      <c r="H1013" s="16" t="s">
        <v>6292</v>
      </c>
      <c r="I1013" s="25" t="s">
        <v>12854</v>
      </c>
      <c r="J1013" s="25"/>
      <c r="K1013" s="25" t="s">
        <v>6281</v>
      </c>
      <c r="L1013" s="26" t="s">
        <v>12855</v>
      </c>
      <c r="M1013" s="26" t="s">
        <v>6295</v>
      </c>
      <c r="N1013" s="27" t="s">
        <v>12856</v>
      </c>
      <c r="O1013" s="26" t="s">
        <v>6295</v>
      </c>
      <c r="P1013" s="20" t="b">
        <v>1</v>
      </c>
      <c r="Q1013" s="20" t="s">
        <v>6282</v>
      </c>
      <c r="R1013" s="28" t="s">
        <v>6283</v>
      </c>
      <c r="S1013" s="25"/>
      <c r="T1013" s="20" t="b">
        <v>1</v>
      </c>
      <c r="U1013" s="25"/>
      <c r="V1013" s="25">
        <v>13.977600000000001</v>
      </c>
      <c r="W1013" s="28" t="s">
        <v>12857</v>
      </c>
      <c r="X1013" s="28" t="s">
        <v>6285</v>
      </c>
      <c r="Y1013" s="28" t="s">
        <v>6286</v>
      </c>
      <c r="Z1013" s="28" t="s">
        <v>6287</v>
      </c>
      <c r="AA1013" s="28" t="s">
        <v>6288</v>
      </c>
      <c r="AB1013" s="28" t="s">
        <v>6297</v>
      </c>
    </row>
    <row r="1014" spans="1:28" ht="185.4" x14ac:dyDescent="0.3">
      <c r="A1014" s="25">
        <v>9162</v>
      </c>
      <c r="B1014" s="25" t="s">
        <v>12858</v>
      </c>
      <c r="C1014" s="25" t="s">
        <v>12859</v>
      </c>
      <c r="D1014" s="25" t="s">
        <v>6278</v>
      </c>
      <c r="E1014" s="16" t="s">
        <v>6279</v>
      </c>
      <c r="F1014" s="16" t="s">
        <v>6279</v>
      </c>
      <c r="G1014" s="16" t="s">
        <v>6279</v>
      </c>
      <c r="H1014" s="16" t="s">
        <v>6279</v>
      </c>
      <c r="I1014" s="25" t="s">
        <v>12860</v>
      </c>
      <c r="J1014" s="25"/>
      <c r="K1014" s="25" t="s">
        <v>6281</v>
      </c>
      <c r="L1014" s="26" t="s">
        <v>12861</v>
      </c>
      <c r="M1014" s="26" t="s">
        <v>12862</v>
      </c>
      <c r="N1014" s="27" t="s">
        <v>12863</v>
      </c>
      <c r="O1014" s="26" t="s">
        <v>6295</v>
      </c>
      <c r="P1014" s="20" t="b">
        <v>1</v>
      </c>
      <c r="Q1014" s="20" t="s">
        <v>6282</v>
      </c>
      <c r="R1014" s="28" t="s">
        <v>6283</v>
      </c>
      <c r="S1014" s="25"/>
      <c r="T1014" s="20" t="b">
        <v>1</v>
      </c>
      <c r="U1014" s="25"/>
      <c r="V1014" s="25">
        <v>576.26800000000003</v>
      </c>
      <c r="W1014" s="28" t="s">
        <v>12864</v>
      </c>
      <c r="X1014" s="28" t="s">
        <v>6285</v>
      </c>
      <c r="Y1014" s="28" t="s">
        <v>6286</v>
      </c>
      <c r="Z1014" s="28" t="s">
        <v>6287</v>
      </c>
      <c r="AA1014" s="28" t="s">
        <v>6288</v>
      </c>
      <c r="AB1014" s="28" t="s">
        <v>6297</v>
      </c>
    </row>
    <row r="1015" spans="1:28" ht="185.4" x14ac:dyDescent="0.3">
      <c r="A1015" s="25">
        <v>9163</v>
      </c>
      <c r="B1015" s="25" t="s">
        <v>12865</v>
      </c>
      <c r="C1015" s="25" t="s">
        <v>12866</v>
      </c>
      <c r="D1015" s="25" t="s">
        <v>6278</v>
      </c>
      <c r="E1015" s="16" t="s">
        <v>6279</v>
      </c>
      <c r="F1015" s="16" t="s">
        <v>6279</v>
      </c>
      <c r="G1015" s="16" t="s">
        <v>6279</v>
      </c>
      <c r="H1015" s="16" t="s">
        <v>6279</v>
      </c>
      <c r="I1015" s="25" t="s">
        <v>12867</v>
      </c>
      <c r="J1015" s="25"/>
      <c r="K1015" s="25" t="s">
        <v>6281</v>
      </c>
      <c r="L1015" s="26" t="s">
        <v>12868</v>
      </c>
      <c r="M1015" s="26" t="s">
        <v>6295</v>
      </c>
      <c r="N1015" s="27" t="s">
        <v>12869</v>
      </c>
      <c r="O1015" s="26" t="s">
        <v>6295</v>
      </c>
      <c r="P1015" s="20" t="b">
        <v>1</v>
      </c>
      <c r="Q1015" s="20" t="s">
        <v>6282</v>
      </c>
      <c r="R1015" s="28" t="s">
        <v>6283</v>
      </c>
      <c r="S1015" s="25"/>
      <c r="T1015" s="20" t="b">
        <v>1</v>
      </c>
      <c r="U1015" s="25"/>
      <c r="V1015" s="25">
        <v>119.669</v>
      </c>
      <c r="W1015" s="28" t="s">
        <v>12870</v>
      </c>
      <c r="X1015" s="28" t="s">
        <v>6285</v>
      </c>
      <c r="Y1015" s="28" t="s">
        <v>6286</v>
      </c>
      <c r="Z1015" s="28" t="s">
        <v>6287</v>
      </c>
      <c r="AA1015" s="28" t="s">
        <v>6288</v>
      </c>
      <c r="AB1015" s="28" t="s">
        <v>6297</v>
      </c>
    </row>
    <row r="1016" spans="1:28" ht="185.4" x14ac:dyDescent="0.3">
      <c r="A1016" s="25">
        <v>9164</v>
      </c>
      <c r="B1016" s="25" t="s">
        <v>12871</v>
      </c>
      <c r="C1016" s="25" t="s">
        <v>12872</v>
      </c>
      <c r="D1016" s="25" t="s">
        <v>6291</v>
      </c>
      <c r="E1016" s="16" t="s">
        <v>6292</v>
      </c>
      <c r="F1016" s="16" t="s">
        <v>6292</v>
      </c>
      <c r="G1016" s="16" t="s">
        <v>6292</v>
      </c>
      <c r="H1016" s="16" t="s">
        <v>6292</v>
      </c>
      <c r="I1016" s="25" t="s">
        <v>12873</v>
      </c>
      <c r="J1016" s="25"/>
      <c r="K1016" s="25" t="s">
        <v>6281</v>
      </c>
      <c r="L1016" s="26" t="s">
        <v>12874</v>
      </c>
      <c r="M1016" s="26" t="s">
        <v>6295</v>
      </c>
      <c r="N1016" s="27" t="s">
        <v>12875</v>
      </c>
      <c r="O1016" s="26" t="s">
        <v>6295</v>
      </c>
      <c r="P1016" s="20" t="b">
        <v>1</v>
      </c>
      <c r="Q1016" s="20" t="s">
        <v>6282</v>
      </c>
      <c r="R1016" s="28" t="s">
        <v>6283</v>
      </c>
      <c r="S1016" s="25"/>
      <c r="T1016" s="20" t="b">
        <v>1</v>
      </c>
      <c r="U1016" s="25"/>
      <c r="V1016" s="25">
        <v>16.548500000000001</v>
      </c>
      <c r="W1016" s="28" t="s">
        <v>12876</v>
      </c>
      <c r="X1016" s="28" t="s">
        <v>6285</v>
      </c>
      <c r="Y1016" s="28" t="s">
        <v>6286</v>
      </c>
      <c r="Z1016" s="28" t="s">
        <v>6287</v>
      </c>
      <c r="AA1016" s="28" t="s">
        <v>6288</v>
      </c>
      <c r="AB1016" s="28" t="s">
        <v>6297</v>
      </c>
    </row>
    <row r="1017" spans="1:28" ht="185.4" x14ac:dyDescent="0.3">
      <c r="A1017" s="25">
        <v>9165</v>
      </c>
      <c r="B1017" s="25" t="s">
        <v>12877</v>
      </c>
      <c r="C1017" s="25" t="s">
        <v>12878</v>
      </c>
      <c r="D1017" s="25" t="s">
        <v>6278</v>
      </c>
      <c r="E1017" s="16" t="s">
        <v>6279</v>
      </c>
      <c r="F1017" s="16" t="s">
        <v>6279</v>
      </c>
      <c r="G1017" s="16" t="s">
        <v>6279</v>
      </c>
      <c r="H1017" s="16" t="s">
        <v>6279</v>
      </c>
      <c r="I1017" s="25" t="s">
        <v>12879</v>
      </c>
      <c r="J1017" s="25"/>
      <c r="K1017" s="25" t="s">
        <v>6281</v>
      </c>
      <c r="L1017" s="26" t="s">
        <v>12880</v>
      </c>
      <c r="M1017" s="26" t="s">
        <v>12405</v>
      </c>
      <c r="N1017" s="27" t="s">
        <v>12881</v>
      </c>
      <c r="O1017" s="26" t="s">
        <v>11484</v>
      </c>
      <c r="P1017" s="20" t="b">
        <v>1</v>
      </c>
      <c r="Q1017" s="20" t="s">
        <v>6282</v>
      </c>
      <c r="R1017" s="28" t="s">
        <v>6283</v>
      </c>
      <c r="S1017" s="25"/>
      <c r="T1017" s="20" t="b">
        <v>1</v>
      </c>
      <c r="U1017" s="25"/>
      <c r="V1017" s="25" t="s">
        <v>6295</v>
      </c>
      <c r="W1017" s="28" t="s">
        <v>12882</v>
      </c>
      <c r="X1017" s="28" t="s">
        <v>6285</v>
      </c>
      <c r="Y1017" s="28" t="s">
        <v>6286</v>
      </c>
      <c r="Z1017" s="28" t="s">
        <v>6287</v>
      </c>
      <c r="AA1017" s="28" t="s">
        <v>6288</v>
      </c>
      <c r="AB1017" s="28" t="s">
        <v>6297</v>
      </c>
    </row>
    <row r="1018" spans="1:28" ht="185.4" x14ac:dyDescent="0.3">
      <c r="A1018" s="25">
        <v>9166</v>
      </c>
      <c r="B1018" s="25" t="s">
        <v>12883</v>
      </c>
      <c r="C1018" s="25" t="s">
        <v>12884</v>
      </c>
      <c r="D1018" s="25" t="s">
        <v>6278</v>
      </c>
      <c r="E1018" s="16" t="s">
        <v>6279</v>
      </c>
      <c r="F1018" s="16" t="s">
        <v>6279</v>
      </c>
      <c r="G1018" s="16" t="s">
        <v>6279</v>
      </c>
      <c r="H1018" s="16" t="s">
        <v>6279</v>
      </c>
      <c r="I1018" s="25" t="s">
        <v>12885</v>
      </c>
      <c r="J1018" s="25"/>
      <c r="K1018" s="25" t="s">
        <v>6281</v>
      </c>
      <c r="L1018" s="26" t="s">
        <v>12886</v>
      </c>
      <c r="M1018" s="26" t="s">
        <v>6295</v>
      </c>
      <c r="N1018" s="27" t="s">
        <v>11572</v>
      </c>
      <c r="O1018" s="26" t="s">
        <v>6295</v>
      </c>
      <c r="P1018" s="20" t="b">
        <v>1</v>
      </c>
      <c r="Q1018" s="20" t="s">
        <v>6282</v>
      </c>
      <c r="R1018" s="28" t="s">
        <v>6283</v>
      </c>
      <c r="S1018" s="25"/>
      <c r="T1018" s="20" t="b">
        <v>1</v>
      </c>
      <c r="U1018" s="25"/>
      <c r="V1018" s="25">
        <v>1240.3710000000001</v>
      </c>
      <c r="W1018" s="28" t="s">
        <v>12887</v>
      </c>
      <c r="X1018" s="28" t="s">
        <v>6285</v>
      </c>
      <c r="Y1018" s="28" t="s">
        <v>6286</v>
      </c>
      <c r="Z1018" s="28" t="s">
        <v>6287</v>
      </c>
      <c r="AA1018" s="28" t="s">
        <v>6288</v>
      </c>
      <c r="AB1018" s="28" t="s">
        <v>6297</v>
      </c>
    </row>
    <row r="1019" spans="1:28" ht="185.4" x14ac:dyDescent="0.3">
      <c r="A1019" s="25">
        <v>9167</v>
      </c>
      <c r="B1019" s="25" t="s">
        <v>12888</v>
      </c>
      <c r="C1019" s="25" t="s">
        <v>12889</v>
      </c>
      <c r="D1019" s="25" t="s">
        <v>6278</v>
      </c>
      <c r="E1019" s="16" t="s">
        <v>6279</v>
      </c>
      <c r="F1019" s="16" t="s">
        <v>6279</v>
      </c>
      <c r="G1019" s="16" t="s">
        <v>6279</v>
      </c>
      <c r="H1019" s="16" t="s">
        <v>6279</v>
      </c>
      <c r="I1019" s="25" t="s">
        <v>12890</v>
      </c>
      <c r="J1019" s="25"/>
      <c r="K1019" s="25" t="s">
        <v>6281</v>
      </c>
      <c r="L1019" s="26" t="s">
        <v>12891</v>
      </c>
      <c r="M1019" s="26" t="s">
        <v>6295</v>
      </c>
      <c r="N1019" s="27" t="s">
        <v>12892</v>
      </c>
      <c r="O1019" s="26" t="s">
        <v>6295</v>
      </c>
      <c r="P1019" s="20" t="b">
        <v>1</v>
      </c>
      <c r="Q1019" s="20" t="s">
        <v>6282</v>
      </c>
      <c r="R1019" s="28" t="s">
        <v>6283</v>
      </c>
      <c r="S1019" s="25"/>
      <c r="T1019" s="20" t="b">
        <v>1</v>
      </c>
      <c r="U1019" s="25"/>
      <c r="V1019" s="25">
        <v>1322.1690000000001</v>
      </c>
      <c r="W1019" s="28" t="s">
        <v>12893</v>
      </c>
      <c r="X1019" s="28" t="s">
        <v>6285</v>
      </c>
      <c r="Y1019" s="28" t="s">
        <v>6286</v>
      </c>
      <c r="Z1019" s="28" t="s">
        <v>6287</v>
      </c>
      <c r="AA1019" s="28" t="s">
        <v>6288</v>
      </c>
      <c r="AB1019" s="28" t="s">
        <v>6297</v>
      </c>
    </row>
    <row r="1020" spans="1:28" ht="185.4" x14ac:dyDescent="0.3">
      <c r="A1020" s="25">
        <v>9168</v>
      </c>
      <c r="B1020" s="25" t="s">
        <v>12894</v>
      </c>
      <c r="C1020" s="25" t="s">
        <v>12895</v>
      </c>
      <c r="D1020" s="25" t="s">
        <v>6278</v>
      </c>
      <c r="E1020" s="16" t="s">
        <v>6279</v>
      </c>
      <c r="F1020" s="16" t="s">
        <v>6279</v>
      </c>
      <c r="G1020" s="16" t="s">
        <v>6279</v>
      </c>
      <c r="H1020" s="16" t="s">
        <v>6279</v>
      </c>
      <c r="I1020" s="25" t="s">
        <v>12896</v>
      </c>
      <c r="J1020" s="25"/>
      <c r="K1020" s="25" t="s">
        <v>6281</v>
      </c>
      <c r="L1020" s="26" t="s">
        <v>12897</v>
      </c>
      <c r="M1020" s="26" t="s">
        <v>9308</v>
      </c>
      <c r="N1020" s="27" t="s">
        <v>12898</v>
      </c>
      <c r="O1020" s="26" t="s">
        <v>6295</v>
      </c>
      <c r="P1020" s="20" t="b">
        <v>1</v>
      </c>
      <c r="Q1020" s="20" t="s">
        <v>6282</v>
      </c>
      <c r="R1020" s="28" t="s">
        <v>6283</v>
      </c>
      <c r="S1020" s="25"/>
      <c r="T1020" s="20" t="b">
        <v>1</v>
      </c>
      <c r="U1020" s="25"/>
      <c r="V1020" s="25">
        <v>91.76</v>
      </c>
      <c r="W1020" s="28" t="s">
        <v>12899</v>
      </c>
      <c r="X1020" s="28" t="s">
        <v>6285</v>
      </c>
      <c r="Y1020" s="28" t="s">
        <v>6286</v>
      </c>
      <c r="Z1020" s="28" t="s">
        <v>6287</v>
      </c>
      <c r="AA1020" s="28" t="s">
        <v>6288</v>
      </c>
      <c r="AB1020" s="28" t="s">
        <v>6297</v>
      </c>
    </row>
    <row r="1021" spans="1:28" ht="185.4" x14ac:dyDescent="0.3">
      <c r="A1021" s="25">
        <v>9169</v>
      </c>
      <c r="B1021" s="25" t="s">
        <v>12900</v>
      </c>
      <c r="C1021" s="25" t="s">
        <v>12901</v>
      </c>
      <c r="D1021" s="25" t="s">
        <v>6291</v>
      </c>
      <c r="E1021" s="16" t="s">
        <v>6292</v>
      </c>
      <c r="F1021" s="16" t="s">
        <v>6292</v>
      </c>
      <c r="G1021" s="16" t="s">
        <v>6292</v>
      </c>
      <c r="H1021" s="16" t="s">
        <v>6292</v>
      </c>
      <c r="I1021" s="25" t="s">
        <v>12902</v>
      </c>
      <c r="J1021" s="25"/>
      <c r="K1021" s="25" t="s">
        <v>6281</v>
      </c>
      <c r="L1021" s="26" t="s">
        <v>12903</v>
      </c>
      <c r="M1021" s="26" t="s">
        <v>6295</v>
      </c>
      <c r="N1021" s="27" t="s">
        <v>12904</v>
      </c>
      <c r="O1021" s="26" t="s">
        <v>6295</v>
      </c>
      <c r="P1021" s="20" t="b">
        <v>1</v>
      </c>
      <c r="Q1021" s="20" t="s">
        <v>6282</v>
      </c>
      <c r="R1021" s="28" t="s">
        <v>6283</v>
      </c>
      <c r="S1021" s="25"/>
      <c r="T1021" s="20" t="b">
        <v>1</v>
      </c>
      <c r="U1021" s="25"/>
      <c r="V1021" s="25">
        <v>56.8996</v>
      </c>
      <c r="W1021" s="28" t="s">
        <v>12905</v>
      </c>
      <c r="X1021" s="28" t="s">
        <v>6285</v>
      </c>
      <c r="Y1021" s="28" t="s">
        <v>6286</v>
      </c>
      <c r="Z1021" s="28" t="s">
        <v>6287</v>
      </c>
      <c r="AA1021" s="28" t="s">
        <v>6288</v>
      </c>
      <c r="AB1021" s="28" t="s">
        <v>6297</v>
      </c>
    </row>
    <row r="1022" spans="1:28" ht="185.4" x14ac:dyDescent="0.3">
      <c r="A1022" s="25">
        <v>9170</v>
      </c>
      <c r="B1022" s="25" t="s">
        <v>12906</v>
      </c>
      <c r="C1022" s="25" t="s">
        <v>12907</v>
      </c>
      <c r="D1022" s="25" t="s">
        <v>6291</v>
      </c>
      <c r="E1022" s="16" t="s">
        <v>6786</v>
      </c>
      <c r="F1022" s="16" t="s">
        <v>6786</v>
      </c>
      <c r="G1022" s="16" t="s">
        <v>6786</v>
      </c>
      <c r="H1022" s="16" t="s">
        <v>6786</v>
      </c>
      <c r="I1022" s="25" t="s">
        <v>12908</v>
      </c>
      <c r="J1022" s="25"/>
      <c r="K1022" s="25" t="s">
        <v>6281</v>
      </c>
      <c r="L1022" s="26" t="s">
        <v>12909</v>
      </c>
      <c r="M1022" s="26" t="s">
        <v>6295</v>
      </c>
      <c r="N1022" s="27" t="s">
        <v>12910</v>
      </c>
      <c r="O1022" s="26" t="s">
        <v>6295</v>
      </c>
      <c r="P1022" s="20" t="b">
        <v>1</v>
      </c>
      <c r="Q1022" s="20" t="s">
        <v>6282</v>
      </c>
      <c r="R1022" s="28" t="s">
        <v>6283</v>
      </c>
      <c r="S1022" s="25"/>
      <c r="T1022" s="20" t="b">
        <v>1</v>
      </c>
      <c r="U1022" s="25"/>
      <c r="V1022" s="25">
        <v>6.2050000000000001</v>
      </c>
      <c r="W1022" s="28" t="s">
        <v>12911</v>
      </c>
      <c r="X1022" s="28" t="s">
        <v>6285</v>
      </c>
      <c r="Y1022" s="28" t="s">
        <v>6286</v>
      </c>
      <c r="Z1022" s="28" t="s">
        <v>6287</v>
      </c>
      <c r="AA1022" s="28" t="s">
        <v>6288</v>
      </c>
      <c r="AB1022" s="28" t="s">
        <v>6297</v>
      </c>
    </row>
    <row r="1023" spans="1:28" ht="185.4" x14ac:dyDescent="0.3">
      <c r="A1023" s="25">
        <v>9171</v>
      </c>
      <c r="B1023" s="25" t="s">
        <v>12912</v>
      </c>
      <c r="C1023" s="25" t="s">
        <v>12913</v>
      </c>
      <c r="D1023" s="25" t="s">
        <v>6291</v>
      </c>
      <c r="E1023" s="16" t="s">
        <v>6786</v>
      </c>
      <c r="F1023" s="16" t="s">
        <v>6786</v>
      </c>
      <c r="G1023" s="16" t="s">
        <v>6786</v>
      </c>
      <c r="H1023" s="16" t="s">
        <v>6786</v>
      </c>
      <c r="I1023" s="25" t="s">
        <v>12914</v>
      </c>
      <c r="J1023" s="25"/>
      <c r="K1023" s="25" t="s">
        <v>6281</v>
      </c>
      <c r="L1023" s="26" t="s">
        <v>12915</v>
      </c>
      <c r="M1023" s="26" t="s">
        <v>6295</v>
      </c>
      <c r="N1023" s="27" t="s">
        <v>12916</v>
      </c>
      <c r="O1023" s="26" t="s">
        <v>6295</v>
      </c>
      <c r="P1023" s="20" t="b">
        <v>1</v>
      </c>
      <c r="Q1023" s="20" t="s">
        <v>6282</v>
      </c>
      <c r="R1023" s="28" t="s">
        <v>6283</v>
      </c>
      <c r="S1023" s="25"/>
      <c r="T1023" s="20" t="b">
        <v>1</v>
      </c>
      <c r="U1023" s="25"/>
      <c r="V1023" s="25">
        <v>5.101</v>
      </c>
      <c r="W1023" s="28" t="s">
        <v>12917</v>
      </c>
      <c r="X1023" s="28" t="s">
        <v>6285</v>
      </c>
      <c r="Y1023" s="28" t="s">
        <v>6286</v>
      </c>
      <c r="Z1023" s="28" t="s">
        <v>6287</v>
      </c>
      <c r="AA1023" s="28" t="s">
        <v>6288</v>
      </c>
      <c r="AB1023" s="28" t="s">
        <v>6297</v>
      </c>
    </row>
    <row r="1024" spans="1:28" ht="185.4" x14ac:dyDescent="0.3">
      <c r="A1024" s="25">
        <v>9172</v>
      </c>
      <c r="B1024" s="25" t="s">
        <v>12918</v>
      </c>
      <c r="C1024" s="25" t="s">
        <v>12919</v>
      </c>
      <c r="D1024" s="25" t="s">
        <v>6291</v>
      </c>
      <c r="E1024" s="16" t="s">
        <v>6786</v>
      </c>
      <c r="F1024" s="16" t="s">
        <v>6786</v>
      </c>
      <c r="G1024" s="16" t="s">
        <v>6786</v>
      </c>
      <c r="H1024" s="16" t="s">
        <v>6786</v>
      </c>
      <c r="I1024" s="25" t="s">
        <v>12920</v>
      </c>
      <c r="J1024" s="25"/>
      <c r="K1024" s="25" t="s">
        <v>6281</v>
      </c>
      <c r="L1024" s="26" t="s">
        <v>12921</v>
      </c>
      <c r="M1024" s="26" t="s">
        <v>6295</v>
      </c>
      <c r="N1024" s="27" t="s">
        <v>12922</v>
      </c>
      <c r="O1024" s="26" t="s">
        <v>6295</v>
      </c>
      <c r="P1024" s="20" t="b">
        <v>1</v>
      </c>
      <c r="Q1024" s="20" t="s">
        <v>6282</v>
      </c>
      <c r="R1024" s="28" t="s">
        <v>6283</v>
      </c>
      <c r="S1024" s="25"/>
      <c r="T1024" s="20" t="b">
        <v>1</v>
      </c>
      <c r="U1024" s="25"/>
      <c r="V1024" s="25">
        <v>6.1239999999999997</v>
      </c>
      <c r="W1024" s="28" t="s">
        <v>12923</v>
      </c>
      <c r="X1024" s="28" t="s">
        <v>6285</v>
      </c>
      <c r="Y1024" s="28" t="s">
        <v>6286</v>
      </c>
      <c r="Z1024" s="28" t="s">
        <v>6287</v>
      </c>
      <c r="AA1024" s="28" t="s">
        <v>6288</v>
      </c>
      <c r="AB1024" s="28" t="s">
        <v>6297</v>
      </c>
    </row>
    <row r="1025" spans="1:28" ht="185.4" x14ac:dyDescent="0.3">
      <c r="A1025" s="25">
        <v>9173</v>
      </c>
      <c r="B1025" s="25" t="s">
        <v>12924</v>
      </c>
      <c r="C1025" s="25" t="s">
        <v>12925</v>
      </c>
      <c r="D1025" s="25" t="s">
        <v>6291</v>
      </c>
      <c r="E1025" s="16" t="s">
        <v>6786</v>
      </c>
      <c r="F1025" s="16" t="s">
        <v>6786</v>
      </c>
      <c r="G1025" s="16" t="s">
        <v>6786</v>
      </c>
      <c r="H1025" s="16" t="s">
        <v>6786</v>
      </c>
      <c r="I1025" s="25" t="s">
        <v>12926</v>
      </c>
      <c r="J1025" s="25"/>
      <c r="K1025" s="25" t="s">
        <v>6281</v>
      </c>
      <c r="L1025" s="26" t="s">
        <v>12927</v>
      </c>
      <c r="M1025" s="26" t="s">
        <v>6295</v>
      </c>
      <c r="N1025" s="27" t="s">
        <v>12928</v>
      </c>
      <c r="O1025" s="26" t="s">
        <v>6295</v>
      </c>
      <c r="P1025" s="20" t="b">
        <v>1</v>
      </c>
      <c r="Q1025" s="20" t="s">
        <v>6282</v>
      </c>
      <c r="R1025" s="28" t="s">
        <v>6283</v>
      </c>
      <c r="S1025" s="25"/>
      <c r="T1025" s="20" t="b">
        <v>1</v>
      </c>
      <c r="U1025" s="25"/>
      <c r="V1025" s="25">
        <v>6.8159999999999998</v>
      </c>
      <c r="W1025" s="28" t="s">
        <v>12929</v>
      </c>
      <c r="X1025" s="28" t="s">
        <v>6285</v>
      </c>
      <c r="Y1025" s="28" t="s">
        <v>6286</v>
      </c>
      <c r="Z1025" s="28" t="s">
        <v>6287</v>
      </c>
      <c r="AA1025" s="28" t="s">
        <v>6288</v>
      </c>
      <c r="AB1025" s="28" t="s">
        <v>6297</v>
      </c>
    </row>
    <row r="1026" spans="1:28" ht="185.4" x14ac:dyDescent="0.3">
      <c r="A1026" s="25">
        <v>9174</v>
      </c>
      <c r="B1026" s="25" t="s">
        <v>12930</v>
      </c>
      <c r="C1026" s="25" t="s">
        <v>12931</v>
      </c>
      <c r="D1026" s="25" t="s">
        <v>6291</v>
      </c>
      <c r="E1026" s="16" t="s">
        <v>6786</v>
      </c>
      <c r="F1026" s="16" t="s">
        <v>6786</v>
      </c>
      <c r="G1026" s="16" t="s">
        <v>6786</v>
      </c>
      <c r="H1026" s="16" t="s">
        <v>6786</v>
      </c>
      <c r="I1026" s="25" t="s">
        <v>12932</v>
      </c>
      <c r="J1026" s="25"/>
      <c r="K1026" s="25" t="s">
        <v>6281</v>
      </c>
      <c r="L1026" s="26" t="s">
        <v>12933</v>
      </c>
      <c r="M1026" s="26" t="s">
        <v>6295</v>
      </c>
      <c r="N1026" s="27" t="s">
        <v>12934</v>
      </c>
      <c r="O1026" s="26" t="s">
        <v>6295</v>
      </c>
      <c r="P1026" s="20" t="b">
        <v>1</v>
      </c>
      <c r="Q1026" s="20" t="s">
        <v>6282</v>
      </c>
      <c r="R1026" s="28" t="s">
        <v>6283</v>
      </c>
      <c r="S1026" s="25"/>
      <c r="T1026" s="20" t="b">
        <v>1</v>
      </c>
      <c r="U1026" s="25"/>
      <c r="V1026" s="25">
        <v>5.77</v>
      </c>
      <c r="W1026" s="28" t="s">
        <v>12935</v>
      </c>
      <c r="X1026" s="28" t="s">
        <v>6285</v>
      </c>
      <c r="Y1026" s="28" t="s">
        <v>6286</v>
      </c>
      <c r="Z1026" s="28" t="s">
        <v>6287</v>
      </c>
      <c r="AA1026" s="28" t="s">
        <v>6288</v>
      </c>
      <c r="AB1026" s="28" t="s">
        <v>6297</v>
      </c>
    </row>
    <row r="1027" spans="1:28" ht="185.4" x14ac:dyDescent="0.3">
      <c r="A1027" s="25">
        <v>9175</v>
      </c>
      <c r="B1027" s="25" t="s">
        <v>12936</v>
      </c>
      <c r="C1027" s="25" t="s">
        <v>12937</v>
      </c>
      <c r="D1027" s="25" t="s">
        <v>6291</v>
      </c>
      <c r="E1027" s="16" t="s">
        <v>6786</v>
      </c>
      <c r="F1027" s="16" t="s">
        <v>6786</v>
      </c>
      <c r="G1027" s="16" t="s">
        <v>6786</v>
      </c>
      <c r="H1027" s="16" t="s">
        <v>6786</v>
      </c>
      <c r="I1027" s="25" t="s">
        <v>12938</v>
      </c>
      <c r="J1027" s="25"/>
      <c r="K1027" s="25" t="s">
        <v>6281</v>
      </c>
      <c r="L1027" s="26" t="s">
        <v>12939</v>
      </c>
      <c r="M1027" s="26" t="s">
        <v>6295</v>
      </c>
      <c r="N1027" s="27" t="s">
        <v>12940</v>
      </c>
      <c r="O1027" s="26" t="s">
        <v>6295</v>
      </c>
      <c r="P1027" s="20" t="b">
        <v>1</v>
      </c>
      <c r="Q1027" s="20" t="s">
        <v>6282</v>
      </c>
      <c r="R1027" s="28" t="s">
        <v>6283</v>
      </c>
      <c r="S1027" s="25"/>
      <c r="T1027" s="20" t="b">
        <v>1</v>
      </c>
      <c r="U1027" s="25"/>
      <c r="V1027" s="25">
        <v>9.9359999999999999</v>
      </c>
      <c r="W1027" s="28" t="s">
        <v>12941</v>
      </c>
      <c r="X1027" s="28" t="s">
        <v>6285</v>
      </c>
      <c r="Y1027" s="28" t="s">
        <v>6286</v>
      </c>
      <c r="Z1027" s="28" t="s">
        <v>6287</v>
      </c>
      <c r="AA1027" s="28" t="s">
        <v>6288</v>
      </c>
      <c r="AB1027" s="28" t="s">
        <v>6297</v>
      </c>
    </row>
    <row r="1028" spans="1:28" ht="185.4" x14ac:dyDescent="0.3">
      <c r="A1028" s="25">
        <v>9176</v>
      </c>
      <c r="B1028" s="25" t="s">
        <v>12942</v>
      </c>
      <c r="C1028" s="25" t="s">
        <v>12943</v>
      </c>
      <c r="D1028" s="25" t="s">
        <v>6291</v>
      </c>
      <c r="E1028" s="16" t="s">
        <v>6786</v>
      </c>
      <c r="F1028" s="16" t="s">
        <v>6786</v>
      </c>
      <c r="G1028" s="16" t="s">
        <v>6786</v>
      </c>
      <c r="H1028" s="16" t="s">
        <v>6786</v>
      </c>
      <c r="I1028" s="25" t="s">
        <v>12944</v>
      </c>
      <c r="J1028" s="25"/>
      <c r="K1028" s="25" t="s">
        <v>6281</v>
      </c>
      <c r="L1028" s="26" t="s">
        <v>12945</v>
      </c>
      <c r="M1028" s="26" t="s">
        <v>6295</v>
      </c>
      <c r="N1028" s="27" t="s">
        <v>12946</v>
      </c>
      <c r="O1028" s="26" t="s">
        <v>6295</v>
      </c>
      <c r="P1028" s="20" t="b">
        <v>1</v>
      </c>
      <c r="Q1028" s="20" t="s">
        <v>6282</v>
      </c>
      <c r="R1028" s="28" t="s">
        <v>6283</v>
      </c>
      <c r="S1028" s="25"/>
      <c r="T1028" s="20" t="b">
        <v>1</v>
      </c>
      <c r="U1028" s="25"/>
      <c r="V1028" s="25">
        <v>13.762475999999999</v>
      </c>
      <c r="W1028" s="28" t="s">
        <v>12947</v>
      </c>
      <c r="X1028" s="28" t="s">
        <v>6285</v>
      </c>
      <c r="Y1028" s="28" t="s">
        <v>6286</v>
      </c>
      <c r="Z1028" s="28" t="s">
        <v>6287</v>
      </c>
      <c r="AA1028" s="28" t="s">
        <v>6288</v>
      </c>
      <c r="AB1028" s="28" t="s">
        <v>6297</v>
      </c>
    </row>
    <row r="1029" spans="1:28" ht="185.4" x14ac:dyDescent="0.3">
      <c r="A1029" s="25">
        <v>9177</v>
      </c>
      <c r="B1029" s="25" t="s">
        <v>12948</v>
      </c>
      <c r="C1029" s="25" t="s">
        <v>12949</v>
      </c>
      <c r="D1029" s="25" t="s">
        <v>6291</v>
      </c>
      <c r="E1029" s="16" t="s">
        <v>6786</v>
      </c>
      <c r="F1029" s="16" t="s">
        <v>6786</v>
      </c>
      <c r="G1029" s="16" t="s">
        <v>6786</v>
      </c>
      <c r="H1029" s="16" t="s">
        <v>6786</v>
      </c>
      <c r="I1029" s="25" t="s">
        <v>12950</v>
      </c>
      <c r="J1029" s="25"/>
      <c r="K1029" s="25" t="s">
        <v>6281</v>
      </c>
      <c r="L1029" s="26" t="s">
        <v>12951</v>
      </c>
      <c r="M1029" s="26" t="s">
        <v>6295</v>
      </c>
      <c r="N1029" s="27" t="s">
        <v>12952</v>
      </c>
      <c r="O1029" s="26" t="s">
        <v>6295</v>
      </c>
      <c r="P1029" s="20" t="b">
        <v>1</v>
      </c>
      <c r="Q1029" s="20" t="s">
        <v>6282</v>
      </c>
      <c r="R1029" s="28" t="s">
        <v>6283</v>
      </c>
      <c r="S1029" s="25"/>
      <c r="T1029" s="20" t="b">
        <v>1</v>
      </c>
      <c r="U1029" s="25"/>
      <c r="V1029" s="25">
        <v>3.9140000000000001</v>
      </c>
      <c r="W1029" s="28" t="s">
        <v>12953</v>
      </c>
      <c r="X1029" s="28" t="s">
        <v>6285</v>
      </c>
      <c r="Y1029" s="28" t="s">
        <v>6286</v>
      </c>
      <c r="Z1029" s="28" t="s">
        <v>6287</v>
      </c>
      <c r="AA1029" s="28" t="s">
        <v>6288</v>
      </c>
      <c r="AB1029" s="28" t="s">
        <v>6297</v>
      </c>
    </row>
    <row r="1030" spans="1:28" ht="185.4" x14ac:dyDescent="0.3">
      <c r="A1030" s="25">
        <v>9178</v>
      </c>
      <c r="B1030" s="25" t="s">
        <v>12954</v>
      </c>
      <c r="C1030" s="25" t="s">
        <v>12955</v>
      </c>
      <c r="D1030" s="25" t="s">
        <v>6291</v>
      </c>
      <c r="E1030" s="16" t="s">
        <v>6786</v>
      </c>
      <c r="F1030" s="16" t="s">
        <v>6786</v>
      </c>
      <c r="G1030" s="16" t="s">
        <v>6786</v>
      </c>
      <c r="H1030" s="16" t="s">
        <v>6786</v>
      </c>
      <c r="I1030" s="25" t="s">
        <v>12956</v>
      </c>
      <c r="J1030" s="25"/>
      <c r="K1030" s="25" t="s">
        <v>6281</v>
      </c>
      <c r="L1030" s="26" t="s">
        <v>12957</v>
      </c>
      <c r="M1030" s="26" t="s">
        <v>6295</v>
      </c>
      <c r="N1030" s="27" t="s">
        <v>12958</v>
      </c>
      <c r="O1030" s="26" t="s">
        <v>6295</v>
      </c>
      <c r="P1030" s="20" t="b">
        <v>1</v>
      </c>
      <c r="Q1030" s="20" t="s">
        <v>6282</v>
      </c>
      <c r="R1030" s="28" t="s">
        <v>6283</v>
      </c>
      <c r="S1030" s="25"/>
      <c r="T1030" s="20" t="b">
        <v>1</v>
      </c>
      <c r="U1030" s="25"/>
      <c r="V1030" s="25">
        <v>1.5880000000000001</v>
      </c>
      <c r="W1030" s="28" t="s">
        <v>12959</v>
      </c>
      <c r="X1030" s="28" t="s">
        <v>6285</v>
      </c>
      <c r="Y1030" s="28" t="s">
        <v>6286</v>
      </c>
      <c r="Z1030" s="28" t="s">
        <v>6287</v>
      </c>
      <c r="AA1030" s="28" t="s">
        <v>6288</v>
      </c>
      <c r="AB1030" s="28" t="s">
        <v>6297</v>
      </c>
    </row>
    <row r="1031" spans="1:28" ht="185.4" x14ac:dyDescent="0.3">
      <c r="A1031" s="25">
        <v>9179</v>
      </c>
      <c r="B1031" s="25" t="s">
        <v>12960</v>
      </c>
      <c r="C1031" s="25" t="s">
        <v>12961</v>
      </c>
      <c r="D1031" s="25" t="s">
        <v>6291</v>
      </c>
      <c r="E1031" s="16" t="s">
        <v>6292</v>
      </c>
      <c r="F1031" s="16" t="s">
        <v>6292</v>
      </c>
      <c r="G1031" s="16" t="s">
        <v>6292</v>
      </c>
      <c r="H1031" s="16" t="s">
        <v>6292</v>
      </c>
      <c r="I1031" s="25" t="s">
        <v>12962</v>
      </c>
      <c r="J1031" s="25"/>
      <c r="K1031" s="25" t="s">
        <v>6281</v>
      </c>
      <c r="L1031" s="26" t="s">
        <v>12963</v>
      </c>
      <c r="M1031" s="26" t="s">
        <v>6295</v>
      </c>
      <c r="N1031" s="27" t="s">
        <v>12964</v>
      </c>
      <c r="O1031" s="26" t="s">
        <v>6295</v>
      </c>
      <c r="P1031" s="20" t="b">
        <v>1</v>
      </c>
      <c r="Q1031" s="20" t="s">
        <v>6282</v>
      </c>
      <c r="R1031" s="28" t="s">
        <v>6283</v>
      </c>
      <c r="S1031" s="25"/>
      <c r="T1031" s="20" t="b">
        <v>1</v>
      </c>
      <c r="U1031" s="25"/>
      <c r="V1031" s="25">
        <v>1183.856</v>
      </c>
      <c r="W1031" s="28" t="s">
        <v>12965</v>
      </c>
      <c r="X1031" s="28" t="s">
        <v>6285</v>
      </c>
      <c r="Y1031" s="28" t="s">
        <v>6286</v>
      </c>
      <c r="Z1031" s="28" t="s">
        <v>6287</v>
      </c>
      <c r="AA1031" s="28" t="s">
        <v>6288</v>
      </c>
      <c r="AB1031" s="28" t="s">
        <v>6297</v>
      </c>
    </row>
    <row r="1032" spans="1:28" ht="185.4" x14ac:dyDescent="0.3">
      <c r="A1032" s="25">
        <v>9180</v>
      </c>
      <c r="B1032" s="25" t="s">
        <v>12966</v>
      </c>
      <c r="C1032" s="25" t="s">
        <v>12967</v>
      </c>
      <c r="D1032" s="25" t="s">
        <v>6291</v>
      </c>
      <c r="E1032" s="16" t="s">
        <v>6786</v>
      </c>
      <c r="F1032" s="16" t="s">
        <v>6786</v>
      </c>
      <c r="G1032" s="16" t="s">
        <v>6786</v>
      </c>
      <c r="H1032" s="16" t="s">
        <v>6786</v>
      </c>
      <c r="I1032" s="25" t="s">
        <v>12968</v>
      </c>
      <c r="J1032" s="25"/>
      <c r="K1032" s="25" t="s">
        <v>6281</v>
      </c>
      <c r="L1032" s="26" t="s">
        <v>12969</v>
      </c>
      <c r="M1032" s="26" t="s">
        <v>6295</v>
      </c>
      <c r="N1032" s="27" t="s">
        <v>12970</v>
      </c>
      <c r="O1032" s="26" t="s">
        <v>6295</v>
      </c>
      <c r="P1032" s="20" t="b">
        <v>1</v>
      </c>
      <c r="Q1032" s="20" t="s">
        <v>6282</v>
      </c>
      <c r="R1032" s="28" t="s">
        <v>6283</v>
      </c>
      <c r="S1032" s="25"/>
      <c r="T1032" s="20" t="b">
        <v>1</v>
      </c>
      <c r="U1032" s="25"/>
      <c r="V1032" s="25">
        <v>9.4626000000000001</v>
      </c>
      <c r="W1032" s="28" t="s">
        <v>12971</v>
      </c>
      <c r="X1032" s="28" t="s">
        <v>6285</v>
      </c>
      <c r="Y1032" s="28" t="s">
        <v>6286</v>
      </c>
      <c r="Z1032" s="28" t="s">
        <v>6287</v>
      </c>
      <c r="AA1032" s="28" t="s">
        <v>6288</v>
      </c>
      <c r="AB1032" s="28" t="s">
        <v>6297</v>
      </c>
    </row>
    <row r="1033" spans="1:28" ht="185.4" x14ac:dyDescent="0.3">
      <c r="A1033" s="25">
        <v>9181</v>
      </c>
      <c r="B1033" s="25" t="s">
        <v>12972</v>
      </c>
      <c r="C1033" s="25" t="s">
        <v>12973</v>
      </c>
      <c r="D1033" s="25" t="s">
        <v>6291</v>
      </c>
      <c r="E1033" s="16" t="s">
        <v>6292</v>
      </c>
      <c r="F1033" s="16" t="s">
        <v>6292</v>
      </c>
      <c r="G1033" s="16" t="s">
        <v>6292</v>
      </c>
      <c r="H1033" s="16" t="s">
        <v>6292</v>
      </c>
      <c r="I1033" s="25" t="s">
        <v>12974</v>
      </c>
      <c r="J1033" s="25"/>
      <c r="K1033" s="25" t="s">
        <v>6281</v>
      </c>
      <c r="L1033" s="26" t="s">
        <v>12975</v>
      </c>
      <c r="M1033" s="26" t="s">
        <v>6295</v>
      </c>
      <c r="N1033" s="27" t="s">
        <v>12976</v>
      </c>
      <c r="O1033" s="26" t="s">
        <v>12977</v>
      </c>
      <c r="P1033" s="20" t="b">
        <v>1</v>
      </c>
      <c r="Q1033" s="20" t="s">
        <v>6282</v>
      </c>
      <c r="R1033" s="28" t="s">
        <v>6283</v>
      </c>
      <c r="S1033" s="25"/>
      <c r="T1033" s="20" t="b">
        <v>1</v>
      </c>
      <c r="U1033" s="25"/>
      <c r="V1033" s="25">
        <v>797.86300000000006</v>
      </c>
      <c r="W1033" s="28" t="s">
        <v>12978</v>
      </c>
      <c r="X1033" s="28" t="s">
        <v>6285</v>
      </c>
      <c r="Y1033" s="28" t="s">
        <v>6286</v>
      </c>
      <c r="Z1033" s="28" t="s">
        <v>6287</v>
      </c>
      <c r="AA1033" s="28" t="s">
        <v>6288</v>
      </c>
      <c r="AB1033" s="28" t="s">
        <v>6297</v>
      </c>
    </row>
    <row r="1034" spans="1:28" ht="179.4" x14ac:dyDescent="0.3">
      <c r="A1034" s="25">
        <v>9182</v>
      </c>
      <c r="B1034" s="25" t="s">
        <v>12979</v>
      </c>
      <c r="C1034" s="25" t="s">
        <v>12980</v>
      </c>
      <c r="D1034" s="25" t="s">
        <v>6278</v>
      </c>
      <c r="E1034" s="16" t="s">
        <v>6279</v>
      </c>
      <c r="F1034" s="16" t="s">
        <v>6279</v>
      </c>
      <c r="G1034" s="16" t="s">
        <v>6279</v>
      </c>
      <c r="H1034" s="16" t="s">
        <v>6279</v>
      </c>
      <c r="I1034" s="25" t="s">
        <v>12981</v>
      </c>
      <c r="J1034" s="25"/>
      <c r="K1034" s="25" t="s">
        <v>6281</v>
      </c>
      <c r="L1034" s="26" t="e">
        <v>#REF!</v>
      </c>
      <c r="M1034" s="26" t="s">
        <v>6295</v>
      </c>
      <c r="N1034" s="27" t="s">
        <v>12982</v>
      </c>
      <c r="O1034" s="26" t="s">
        <v>6295</v>
      </c>
      <c r="P1034" s="20" t="b">
        <v>1</v>
      </c>
      <c r="Q1034" s="20" t="s">
        <v>6282</v>
      </c>
      <c r="R1034" s="28" t="s">
        <v>6283</v>
      </c>
      <c r="S1034" s="25"/>
      <c r="T1034" s="20" t="b">
        <v>1</v>
      </c>
      <c r="U1034" s="25"/>
      <c r="V1034" s="25">
        <v>57.121499999999997</v>
      </c>
      <c r="W1034" s="28" t="s">
        <v>12983</v>
      </c>
      <c r="X1034" s="28" t="s">
        <v>6285</v>
      </c>
      <c r="Y1034" s="28" t="s">
        <v>6286</v>
      </c>
      <c r="Z1034" s="28" t="s">
        <v>6287</v>
      </c>
      <c r="AA1034" s="28" t="s">
        <v>6288</v>
      </c>
      <c r="AB1034" s="28" t="s">
        <v>6297</v>
      </c>
    </row>
    <row r="1035" spans="1:28" ht="185.4" x14ac:dyDescent="0.3">
      <c r="A1035" s="25">
        <v>9184</v>
      </c>
      <c r="B1035" s="25" t="s">
        <v>12984</v>
      </c>
      <c r="C1035" s="25" t="s">
        <v>12985</v>
      </c>
      <c r="D1035" s="25" t="s">
        <v>6291</v>
      </c>
      <c r="E1035" s="16" t="s">
        <v>6292</v>
      </c>
      <c r="F1035" s="16" t="s">
        <v>6292</v>
      </c>
      <c r="G1035" s="16" t="s">
        <v>6292</v>
      </c>
      <c r="H1035" s="16" t="s">
        <v>6292</v>
      </c>
      <c r="I1035" s="25" t="s">
        <v>12986</v>
      </c>
      <c r="J1035" s="25"/>
      <c r="K1035" s="25" t="s">
        <v>6281</v>
      </c>
      <c r="L1035" s="26" t="s">
        <v>12987</v>
      </c>
      <c r="M1035" s="26" t="s">
        <v>6295</v>
      </c>
      <c r="N1035" s="27" t="s">
        <v>12988</v>
      </c>
      <c r="O1035" s="26" t="s">
        <v>6295</v>
      </c>
      <c r="P1035" s="20" t="b">
        <v>1</v>
      </c>
      <c r="Q1035" s="20" t="s">
        <v>6282</v>
      </c>
      <c r="R1035" s="28" t="s">
        <v>6283</v>
      </c>
      <c r="S1035" s="25"/>
      <c r="T1035" s="20" t="b">
        <v>1</v>
      </c>
      <c r="U1035" s="25"/>
      <c r="V1035" s="25">
        <v>861.08140000000003</v>
      </c>
      <c r="W1035" s="28" t="s">
        <v>12989</v>
      </c>
      <c r="X1035" s="28" t="s">
        <v>6285</v>
      </c>
      <c r="Y1035" s="28" t="s">
        <v>6286</v>
      </c>
      <c r="Z1035" s="28" t="s">
        <v>6287</v>
      </c>
      <c r="AA1035" s="28" t="s">
        <v>6288</v>
      </c>
      <c r="AB1035" s="28" t="s">
        <v>6297</v>
      </c>
    </row>
    <row r="1036" spans="1:28" ht="185.4" x14ac:dyDescent="0.3">
      <c r="A1036" s="25">
        <v>9185</v>
      </c>
      <c r="B1036" s="25" t="s">
        <v>12990</v>
      </c>
      <c r="C1036" s="25" t="s">
        <v>12991</v>
      </c>
      <c r="D1036" s="25" t="s">
        <v>6278</v>
      </c>
      <c r="E1036" s="16" t="s">
        <v>6279</v>
      </c>
      <c r="F1036" s="16" t="s">
        <v>6279</v>
      </c>
      <c r="G1036" s="16" t="s">
        <v>6279</v>
      </c>
      <c r="H1036" s="16" t="s">
        <v>6279</v>
      </c>
      <c r="I1036" s="25" t="s">
        <v>12992</v>
      </c>
      <c r="J1036" s="25"/>
      <c r="K1036" s="25" t="s">
        <v>6281</v>
      </c>
      <c r="L1036" s="26" t="s">
        <v>12993</v>
      </c>
      <c r="M1036" s="26" t="s">
        <v>6295</v>
      </c>
      <c r="N1036" s="27" t="s">
        <v>12994</v>
      </c>
      <c r="O1036" s="26" t="s">
        <v>12995</v>
      </c>
      <c r="P1036" s="20" t="b">
        <v>1</v>
      </c>
      <c r="Q1036" s="20" t="s">
        <v>6282</v>
      </c>
      <c r="R1036" s="28" t="s">
        <v>6283</v>
      </c>
      <c r="S1036" s="25"/>
      <c r="T1036" s="20" t="b">
        <v>1</v>
      </c>
      <c r="U1036" s="25"/>
      <c r="V1036" s="25">
        <v>793.56899999999996</v>
      </c>
      <c r="W1036" s="28" t="s">
        <v>12996</v>
      </c>
      <c r="X1036" s="28" t="s">
        <v>6285</v>
      </c>
      <c r="Y1036" s="28" t="s">
        <v>6286</v>
      </c>
      <c r="Z1036" s="28" t="s">
        <v>6287</v>
      </c>
      <c r="AA1036" s="28" t="s">
        <v>6288</v>
      </c>
      <c r="AB1036" s="28" t="s">
        <v>6297</v>
      </c>
    </row>
    <row r="1037" spans="1:28" ht="185.4" x14ac:dyDescent="0.3">
      <c r="A1037" s="25">
        <v>9186</v>
      </c>
      <c r="B1037" s="25" t="s">
        <v>12997</v>
      </c>
      <c r="C1037" s="25" t="s">
        <v>12998</v>
      </c>
      <c r="D1037" s="25" t="s">
        <v>6291</v>
      </c>
      <c r="E1037" s="16" t="s">
        <v>6292</v>
      </c>
      <c r="F1037" s="16" t="s">
        <v>6292</v>
      </c>
      <c r="G1037" s="16" t="s">
        <v>6292</v>
      </c>
      <c r="H1037" s="16" t="s">
        <v>6292</v>
      </c>
      <c r="I1037" s="25" t="s">
        <v>12999</v>
      </c>
      <c r="J1037" s="25"/>
      <c r="K1037" s="25" t="s">
        <v>6281</v>
      </c>
      <c r="L1037" s="26" t="s">
        <v>13000</v>
      </c>
      <c r="M1037" s="26" t="s">
        <v>6295</v>
      </c>
      <c r="N1037" s="27" t="s">
        <v>13001</v>
      </c>
      <c r="O1037" s="26" t="s">
        <v>6295</v>
      </c>
      <c r="P1037" s="20" t="b">
        <v>1</v>
      </c>
      <c r="Q1037" s="20" t="s">
        <v>6282</v>
      </c>
      <c r="R1037" s="28" t="s">
        <v>6283</v>
      </c>
      <c r="S1037" s="25"/>
      <c r="T1037" s="20" t="b">
        <v>1</v>
      </c>
      <c r="U1037" s="25"/>
      <c r="V1037" s="25">
        <v>2.71</v>
      </c>
      <c r="W1037" s="28" t="s">
        <v>13002</v>
      </c>
      <c r="X1037" s="28" t="s">
        <v>6285</v>
      </c>
      <c r="Y1037" s="28" t="s">
        <v>6286</v>
      </c>
      <c r="Z1037" s="28" t="s">
        <v>6287</v>
      </c>
      <c r="AA1037" s="28" t="s">
        <v>6288</v>
      </c>
      <c r="AB1037" s="28" t="s">
        <v>6297</v>
      </c>
    </row>
    <row r="1038" spans="1:28" ht="185.4" x14ac:dyDescent="0.3">
      <c r="A1038" s="25">
        <v>9187</v>
      </c>
      <c r="B1038" s="25" t="s">
        <v>13003</v>
      </c>
      <c r="C1038" s="25" t="s">
        <v>13004</v>
      </c>
      <c r="D1038" s="25" t="s">
        <v>6278</v>
      </c>
      <c r="E1038" s="16" t="s">
        <v>6279</v>
      </c>
      <c r="F1038" s="16" t="s">
        <v>6279</v>
      </c>
      <c r="G1038" s="16" t="s">
        <v>6279</v>
      </c>
      <c r="H1038" s="16" t="s">
        <v>6279</v>
      </c>
      <c r="I1038" s="25" t="s">
        <v>13005</v>
      </c>
      <c r="J1038" s="25"/>
      <c r="K1038" s="25" t="s">
        <v>6281</v>
      </c>
      <c r="L1038" s="26" t="s">
        <v>13006</v>
      </c>
      <c r="M1038" s="26" t="s">
        <v>10782</v>
      </c>
      <c r="N1038" s="27" t="s">
        <v>13007</v>
      </c>
      <c r="O1038" s="26" t="s">
        <v>13008</v>
      </c>
      <c r="P1038" s="20" t="b">
        <v>1</v>
      </c>
      <c r="Q1038" s="20" t="s">
        <v>6282</v>
      </c>
      <c r="R1038" s="28" t="s">
        <v>6283</v>
      </c>
      <c r="S1038" s="25"/>
      <c r="T1038" s="20" t="b">
        <v>1</v>
      </c>
      <c r="U1038" s="25"/>
      <c r="V1038" s="25">
        <v>91.467399999999998</v>
      </c>
      <c r="W1038" s="28" t="s">
        <v>13009</v>
      </c>
      <c r="X1038" s="28" t="s">
        <v>6285</v>
      </c>
      <c r="Y1038" s="28" t="s">
        <v>6286</v>
      </c>
      <c r="Z1038" s="28" t="s">
        <v>6287</v>
      </c>
      <c r="AA1038" s="28" t="s">
        <v>6288</v>
      </c>
      <c r="AB1038" s="28" t="s">
        <v>6297</v>
      </c>
    </row>
    <row r="1039" spans="1:28" ht="179.4" x14ac:dyDescent="0.3">
      <c r="A1039" s="25">
        <v>9188</v>
      </c>
      <c r="B1039" s="25" t="s">
        <v>13010</v>
      </c>
      <c r="C1039" s="25" t="s">
        <v>13011</v>
      </c>
      <c r="D1039" s="25" t="s">
        <v>6278</v>
      </c>
      <c r="E1039" s="16" t="s">
        <v>6279</v>
      </c>
      <c r="F1039" s="16" t="s">
        <v>6279</v>
      </c>
      <c r="G1039" s="16" t="s">
        <v>6279</v>
      </c>
      <c r="H1039" s="16" t="s">
        <v>6279</v>
      </c>
      <c r="I1039" s="25" t="s">
        <v>13012</v>
      </c>
      <c r="J1039" s="25"/>
      <c r="K1039" s="25" t="s">
        <v>6281</v>
      </c>
      <c r="L1039" s="26" t="e">
        <v>#REF!</v>
      </c>
      <c r="M1039" s="26" t="s">
        <v>6295</v>
      </c>
      <c r="N1039" s="27" t="s">
        <v>13013</v>
      </c>
      <c r="O1039" s="26" t="s">
        <v>6295</v>
      </c>
      <c r="P1039" s="20" t="b">
        <v>1</v>
      </c>
      <c r="Q1039" s="20" t="s">
        <v>6282</v>
      </c>
      <c r="R1039" s="28" t="s">
        <v>6283</v>
      </c>
      <c r="S1039" s="25"/>
      <c r="T1039" s="20" t="b">
        <v>1</v>
      </c>
      <c r="U1039" s="25"/>
      <c r="V1039" s="25">
        <v>30.866</v>
      </c>
      <c r="W1039" s="28" t="s">
        <v>13014</v>
      </c>
      <c r="X1039" s="28" t="s">
        <v>6285</v>
      </c>
      <c r="Y1039" s="28" t="s">
        <v>6286</v>
      </c>
      <c r="Z1039" s="28" t="s">
        <v>6287</v>
      </c>
      <c r="AA1039" s="28" t="s">
        <v>6288</v>
      </c>
      <c r="AB1039" s="28" t="s">
        <v>6297</v>
      </c>
    </row>
    <row r="1040" spans="1:28" ht="185.4" x14ac:dyDescent="0.3">
      <c r="A1040" s="25">
        <v>9190</v>
      </c>
      <c r="B1040" s="25" t="s">
        <v>13015</v>
      </c>
      <c r="C1040" s="25" t="s">
        <v>13016</v>
      </c>
      <c r="D1040" s="25" t="s">
        <v>6291</v>
      </c>
      <c r="E1040" s="16" t="s">
        <v>6786</v>
      </c>
      <c r="F1040" s="16" t="s">
        <v>6786</v>
      </c>
      <c r="G1040" s="16" t="s">
        <v>6786</v>
      </c>
      <c r="H1040" s="16" t="s">
        <v>6786</v>
      </c>
      <c r="I1040" s="25" t="s">
        <v>13017</v>
      </c>
      <c r="J1040" s="25"/>
      <c r="K1040" s="25" t="s">
        <v>6281</v>
      </c>
      <c r="L1040" s="26" t="s">
        <v>13018</v>
      </c>
      <c r="M1040" s="26" t="s">
        <v>13019</v>
      </c>
      <c r="N1040" s="27" t="s">
        <v>13020</v>
      </c>
      <c r="O1040" s="26" t="s">
        <v>13021</v>
      </c>
      <c r="P1040" s="20" t="b">
        <v>1</v>
      </c>
      <c r="Q1040" s="20" t="s">
        <v>6282</v>
      </c>
      <c r="R1040" s="28" t="s">
        <v>6283</v>
      </c>
      <c r="S1040" s="25"/>
      <c r="T1040" s="20" t="b">
        <v>1</v>
      </c>
      <c r="U1040" s="25"/>
      <c r="V1040" s="25">
        <v>349.72800000000001</v>
      </c>
      <c r="W1040" s="28" t="s">
        <v>13022</v>
      </c>
      <c r="X1040" s="28" t="s">
        <v>6285</v>
      </c>
      <c r="Y1040" s="28" t="s">
        <v>6286</v>
      </c>
      <c r="Z1040" s="28" t="s">
        <v>6287</v>
      </c>
      <c r="AA1040" s="28" t="s">
        <v>6288</v>
      </c>
      <c r="AB1040" s="28" t="s">
        <v>6297</v>
      </c>
    </row>
    <row r="1041" spans="1:28" ht="185.4" x14ac:dyDescent="0.3">
      <c r="A1041" s="25">
        <v>9191</v>
      </c>
      <c r="B1041" s="25" t="s">
        <v>13023</v>
      </c>
      <c r="C1041" s="25" t="s">
        <v>12187</v>
      </c>
      <c r="D1041" s="25" t="s">
        <v>6291</v>
      </c>
      <c r="E1041" s="16" t="s">
        <v>6292</v>
      </c>
      <c r="F1041" s="16" t="s">
        <v>6292</v>
      </c>
      <c r="G1041" s="16" t="s">
        <v>6292</v>
      </c>
      <c r="H1041" s="16" t="s">
        <v>6292</v>
      </c>
      <c r="I1041" s="25" t="s">
        <v>13024</v>
      </c>
      <c r="J1041" s="25"/>
      <c r="K1041" s="25" t="s">
        <v>6281</v>
      </c>
      <c r="L1041" s="26" t="s">
        <v>13025</v>
      </c>
      <c r="M1041" s="26" t="s">
        <v>12190</v>
      </c>
      <c r="N1041" s="27" t="s">
        <v>12191</v>
      </c>
      <c r="O1041" s="26" t="s">
        <v>6295</v>
      </c>
      <c r="P1041" s="20" t="b">
        <v>1</v>
      </c>
      <c r="Q1041" s="20" t="s">
        <v>6282</v>
      </c>
      <c r="R1041" s="28" t="s">
        <v>6283</v>
      </c>
      <c r="S1041" s="25"/>
      <c r="T1041" s="20" t="b">
        <v>1</v>
      </c>
      <c r="U1041" s="25"/>
      <c r="V1041" s="25">
        <v>309.19900000000001</v>
      </c>
      <c r="W1041" s="28" t="s">
        <v>13026</v>
      </c>
      <c r="X1041" s="28" t="s">
        <v>6285</v>
      </c>
      <c r="Y1041" s="28" t="s">
        <v>6286</v>
      </c>
      <c r="Z1041" s="28" t="s">
        <v>6287</v>
      </c>
      <c r="AA1041" s="28" t="s">
        <v>6288</v>
      </c>
      <c r="AB1041" s="28" t="s">
        <v>6297</v>
      </c>
    </row>
    <row r="1042" spans="1:28" ht="185.4" x14ac:dyDescent="0.3">
      <c r="A1042" s="25">
        <v>9192</v>
      </c>
      <c r="B1042" s="25" t="s">
        <v>13027</v>
      </c>
      <c r="C1042" s="25" t="s">
        <v>13028</v>
      </c>
      <c r="D1042" s="25" t="s">
        <v>6278</v>
      </c>
      <c r="E1042" s="16" t="s">
        <v>6279</v>
      </c>
      <c r="F1042" s="16" t="s">
        <v>6279</v>
      </c>
      <c r="G1042" s="16" t="s">
        <v>6279</v>
      </c>
      <c r="H1042" s="16" t="s">
        <v>6279</v>
      </c>
      <c r="I1042" s="25" t="s">
        <v>13029</v>
      </c>
      <c r="J1042" s="25"/>
      <c r="K1042" s="25" t="s">
        <v>6281</v>
      </c>
      <c r="L1042" s="26" t="s">
        <v>13030</v>
      </c>
      <c r="M1042" s="26" t="s">
        <v>11482</v>
      </c>
      <c r="N1042" s="27" t="s">
        <v>13031</v>
      </c>
      <c r="O1042" s="26" t="s">
        <v>11484</v>
      </c>
      <c r="P1042" s="20" t="b">
        <v>1</v>
      </c>
      <c r="Q1042" s="20" t="s">
        <v>6282</v>
      </c>
      <c r="R1042" s="28" t="s">
        <v>6283</v>
      </c>
      <c r="S1042" s="25"/>
      <c r="T1042" s="20" t="b">
        <v>1</v>
      </c>
      <c r="U1042" s="25"/>
      <c r="V1042" s="25" t="s">
        <v>6295</v>
      </c>
      <c r="W1042" s="28" t="s">
        <v>13032</v>
      </c>
      <c r="X1042" s="28" t="s">
        <v>6285</v>
      </c>
      <c r="Y1042" s="28" t="s">
        <v>6286</v>
      </c>
      <c r="Z1042" s="28" t="s">
        <v>6287</v>
      </c>
      <c r="AA1042" s="28" t="s">
        <v>6288</v>
      </c>
      <c r="AB1042" s="28" t="s">
        <v>6297</v>
      </c>
    </row>
    <row r="1043" spans="1:28" ht="185.4" x14ac:dyDescent="0.3">
      <c r="A1043" s="25">
        <v>9193</v>
      </c>
      <c r="B1043" s="25" t="s">
        <v>13033</v>
      </c>
      <c r="C1043" s="25" t="s">
        <v>12187</v>
      </c>
      <c r="D1043" s="25" t="s">
        <v>6291</v>
      </c>
      <c r="E1043" s="16" t="s">
        <v>6292</v>
      </c>
      <c r="F1043" s="16" t="s">
        <v>6292</v>
      </c>
      <c r="G1043" s="16" t="s">
        <v>6292</v>
      </c>
      <c r="H1043" s="16" t="s">
        <v>6292</v>
      </c>
      <c r="I1043" s="25" t="s">
        <v>13034</v>
      </c>
      <c r="J1043" s="25"/>
      <c r="K1043" s="25" t="s">
        <v>6281</v>
      </c>
      <c r="L1043" s="26" t="s">
        <v>13035</v>
      </c>
      <c r="M1043" s="26" t="s">
        <v>12190</v>
      </c>
      <c r="N1043" s="27" t="s">
        <v>12191</v>
      </c>
      <c r="O1043" s="26" t="s">
        <v>6295</v>
      </c>
      <c r="P1043" s="20" t="b">
        <v>1</v>
      </c>
      <c r="Q1043" s="20" t="s">
        <v>6282</v>
      </c>
      <c r="R1043" s="28" t="s">
        <v>6283</v>
      </c>
      <c r="S1043" s="25"/>
      <c r="T1043" s="20" t="b">
        <v>1</v>
      </c>
      <c r="U1043" s="25"/>
      <c r="V1043" s="25">
        <v>309.19900000000001</v>
      </c>
      <c r="W1043" s="28" t="s">
        <v>13036</v>
      </c>
      <c r="X1043" s="28" t="s">
        <v>6285</v>
      </c>
      <c r="Y1043" s="28" t="s">
        <v>6286</v>
      </c>
      <c r="Z1043" s="28" t="s">
        <v>6287</v>
      </c>
      <c r="AA1043" s="28" t="s">
        <v>6288</v>
      </c>
      <c r="AB1043" s="28" t="s">
        <v>6297</v>
      </c>
    </row>
    <row r="1044" spans="1:28" ht="185.4" x14ac:dyDescent="0.3">
      <c r="A1044" s="25">
        <v>9194</v>
      </c>
      <c r="B1044" s="25" t="s">
        <v>13037</v>
      </c>
      <c r="C1044" s="25" t="s">
        <v>12187</v>
      </c>
      <c r="D1044" s="25" t="s">
        <v>6291</v>
      </c>
      <c r="E1044" s="16" t="s">
        <v>6292</v>
      </c>
      <c r="F1044" s="16" t="s">
        <v>6292</v>
      </c>
      <c r="G1044" s="16" t="s">
        <v>6292</v>
      </c>
      <c r="H1044" s="16" t="s">
        <v>6292</v>
      </c>
      <c r="I1044" s="25" t="s">
        <v>13038</v>
      </c>
      <c r="J1044" s="25"/>
      <c r="K1044" s="25" t="s">
        <v>6281</v>
      </c>
      <c r="L1044" s="26" t="s">
        <v>13035</v>
      </c>
      <c r="M1044" s="26" t="s">
        <v>12190</v>
      </c>
      <c r="N1044" s="27" t="s">
        <v>12191</v>
      </c>
      <c r="O1044" s="26" t="s">
        <v>6295</v>
      </c>
      <c r="P1044" s="20" t="b">
        <v>1</v>
      </c>
      <c r="Q1044" s="20" t="s">
        <v>6282</v>
      </c>
      <c r="R1044" s="28" t="s">
        <v>6283</v>
      </c>
      <c r="S1044" s="25"/>
      <c r="T1044" s="20" t="b">
        <v>1</v>
      </c>
      <c r="U1044" s="25"/>
      <c r="V1044" s="25">
        <v>309.19900000000001</v>
      </c>
      <c r="W1044" s="28" t="s">
        <v>13039</v>
      </c>
      <c r="X1044" s="28" t="s">
        <v>6285</v>
      </c>
      <c r="Y1044" s="28" t="s">
        <v>6286</v>
      </c>
      <c r="Z1044" s="28" t="s">
        <v>6287</v>
      </c>
      <c r="AA1044" s="28" t="s">
        <v>6288</v>
      </c>
      <c r="AB1044" s="28" t="s">
        <v>6297</v>
      </c>
    </row>
    <row r="1045" spans="1:28" ht="185.4" x14ac:dyDescent="0.3">
      <c r="A1045" s="25">
        <v>9195</v>
      </c>
      <c r="B1045" s="25" t="s">
        <v>13040</v>
      </c>
      <c r="C1045" s="25" t="s">
        <v>12187</v>
      </c>
      <c r="D1045" s="25" t="s">
        <v>6291</v>
      </c>
      <c r="E1045" s="16" t="s">
        <v>6292</v>
      </c>
      <c r="F1045" s="16" t="s">
        <v>6292</v>
      </c>
      <c r="G1045" s="16" t="s">
        <v>6292</v>
      </c>
      <c r="H1045" s="16" t="s">
        <v>6292</v>
      </c>
      <c r="I1045" s="25" t="s">
        <v>13041</v>
      </c>
      <c r="J1045" s="25"/>
      <c r="K1045" s="25" t="s">
        <v>6281</v>
      </c>
      <c r="L1045" s="26" t="s">
        <v>13035</v>
      </c>
      <c r="M1045" s="26" t="s">
        <v>12190</v>
      </c>
      <c r="N1045" s="27" t="s">
        <v>12191</v>
      </c>
      <c r="O1045" s="26" t="s">
        <v>6295</v>
      </c>
      <c r="P1045" s="20" t="b">
        <v>1</v>
      </c>
      <c r="Q1045" s="20" t="s">
        <v>6282</v>
      </c>
      <c r="R1045" s="28" t="s">
        <v>6283</v>
      </c>
      <c r="S1045" s="25"/>
      <c r="T1045" s="20" t="b">
        <v>1</v>
      </c>
      <c r="U1045" s="25"/>
      <c r="V1045" s="25">
        <v>309.19900000000001</v>
      </c>
      <c r="W1045" s="28" t="s">
        <v>13042</v>
      </c>
      <c r="X1045" s="28" t="s">
        <v>6285</v>
      </c>
      <c r="Y1045" s="28" t="s">
        <v>6286</v>
      </c>
      <c r="Z1045" s="28" t="s">
        <v>6287</v>
      </c>
      <c r="AA1045" s="28" t="s">
        <v>6288</v>
      </c>
      <c r="AB1045" s="28" t="s">
        <v>6297</v>
      </c>
    </row>
    <row r="1046" spans="1:28" ht="185.4" x14ac:dyDescent="0.3">
      <c r="A1046" s="25">
        <v>9196</v>
      </c>
      <c r="B1046" s="25" t="s">
        <v>13043</v>
      </c>
      <c r="C1046" s="25" t="s">
        <v>12187</v>
      </c>
      <c r="D1046" s="25" t="s">
        <v>6291</v>
      </c>
      <c r="E1046" s="16" t="s">
        <v>6292</v>
      </c>
      <c r="F1046" s="16" t="s">
        <v>6292</v>
      </c>
      <c r="G1046" s="16" t="s">
        <v>6292</v>
      </c>
      <c r="H1046" s="16" t="s">
        <v>6292</v>
      </c>
      <c r="I1046" s="25" t="s">
        <v>13044</v>
      </c>
      <c r="J1046" s="25"/>
      <c r="K1046" s="25" t="s">
        <v>6281</v>
      </c>
      <c r="L1046" s="26" t="s">
        <v>13045</v>
      </c>
      <c r="M1046" s="26" t="s">
        <v>12190</v>
      </c>
      <c r="N1046" s="27" t="s">
        <v>12191</v>
      </c>
      <c r="O1046" s="26" t="s">
        <v>6295</v>
      </c>
      <c r="P1046" s="20" t="b">
        <v>1</v>
      </c>
      <c r="Q1046" s="20" t="s">
        <v>6282</v>
      </c>
      <c r="R1046" s="28" t="s">
        <v>6283</v>
      </c>
      <c r="S1046" s="25"/>
      <c r="T1046" s="20" t="b">
        <v>1</v>
      </c>
      <c r="U1046" s="25"/>
      <c r="V1046" s="25">
        <v>309.19900000000001</v>
      </c>
      <c r="W1046" s="28" t="s">
        <v>13046</v>
      </c>
      <c r="X1046" s="28" t="s">
        <v>6285</v>
      </c>
      <c r="Y1046" s="28" t="s">
        <v>6286</v>
      </c>
      <c r="Z1046" s="28" t="s">
        <v>6287</v>
      </c>
      <c r="AA1046" s="28" t="s">
        <v>6288</v>
      </c>
      <c r="AB1046" s="28" t="s">
        <v>6297</v>
      </c>
    </row>
    <row r="1047" spans="1:28" ht="185.4" x14ac:dyDescent="0.3">
      <c r="A1047" s="25">
        <v>9197</v>
      </c>
      <c r="B1047" s="25" t="s">
        <v>13047</v>
      </c>
      <c r="C1047" s="25" t="s">
        <v>13048</v>
      </c>
      <c r="D1047" s="25" t="s">
        <v>6291</v>
      </c>
      <c r="E1047" s="16" t="s">
        <v>6292</v>
      </c>
      <c r="F1047" s="16" t="s">
        <v>6292</v>
      </c>
      <c r="G1047" s="16" t="s">
        <v>6292</v>
      </c>
      <c r="H1047" s="16" t="s">
        <v>6292</v>
      </c>
      <c r="I1047" s="25" t="s">
        <v>13049</v>
      </c>
      <c r="J1047" s="25"/>
      <c r="K1047" s="25" t="s">
        <v>6281</v>
      </c>
      <c r="L1047" s="26" t="s">
        <v>13050</v>
      </c>
      <c r="M1047" s="26" t="s">
        <v>13051</v>
      </c>
      <c r="N1047" s="27" t="s">
        <v>13052</v>
      </c>
      <c r="O1047" s="26" t="s">
        <v>6295</v>
      </c>
      <c r="P1047" s="20" t="b">
        <v>1</v>
      </c>
      <c r="Q1047" s="20" t="s">
        <v>6282</v>
      </c>
      <c r="R1047" s="28" t="s">
        <v>6283</v>
      </c>
      <c r="S1047" s="25"/>
      <c r="T1047" s="20" t="b">
        <v>1</v>
      </c>
      <c r="U1047" s="25"/>
      <c r="V1047" s="25">
        <v>287.89100000000002</v>
      </c>
      <c r="W1047" s="28" t="s">
        <v>13053</v>
      </c>
      <c r="X1047" s="28" t="s">
        <v>6285</v>
      </c>
      <c r="Y1047" s="28" t="s">
        <v>6286</v>
      </c>
      <c r="Z1047" s="28" t="s">
        <v>6287</v>
      </c>
      <c r="AA1047" s="28" t="s">
        <v>6288</v>
      </c>
      <c r="AB1047" s="28" t="s">
        <v>6297</v>
      </c>
    </row>
    <row r="1048" spans="1:28" ht="185.4" x14ac:dyDescent="0.3">
      <c r="A1048" s="25">
        <v>9198</v>
      </c>
      <c r="B1048" s="25" t="s">
        <v>13054</v>
      </c>
      <c r="C1048" s="25" t="s">
        <v>13055</v>
      </c>
      <c r="D1048" s="25" t="s">
        <v>6291</v>
      </c>
      <c r="E1048" s="16" t="s">
        <v>6786</v>
      </c>
      <c r="F1048" s="16" t="s">
        <v>6786</v>
      </c>
      <c r="G1048" s="16" t="s">
        <v>6786</v>
      </c>
      <c r="H1048" s="16" t="s">
        <v>6786</v>
      </c>
      <c r="I1048" s="25" t="s">
        <v>13056</v>
      </c>
      <c r="J1048" s="25"/>
      <c r="K1048" s="25" t="s">
        <v>6281</v>
      </c>
      <c r="L1048" s="26" t="s">
        <v>13057</v>
      </c>
      <c r="M1048" s="26" t="s">
        <v>13058</v>
      </c>
      <c r="N1048" s="27" t="s">
        <v>13059</v>
      </c>
      <c r="O1048" s="26" t="s">
        <v>6295</v>
      </c>
      <c r="P1048" s="20" t="b">
        <v>1</v>
      </c>
      <c r="Q1048" s="20" t="s">
        <v>6282</v>
      </c>
      <c r="R1048" s="28" t="s">
        <v>6283</v>
      </c>
      <c r="S1048" s="25"/>
      <c r="T1048" s="20" t="b">
        <v>1</v>
      </c>
      <c r="U1048" s="25"/>
      <c r="V1048" s="25">
        <v>5.0388159999999997</v>
      </c>
      <c r="W1048" s="28" t="s">
        <v>13060</v>
      </c>
      <c r="X1048" s="28" t="s">
        <v>6285</v>
      </c>
      <c r="Y1048" s="28" t="s">
        <v>6286</v>
      </c>
      <c r="Z1048" s="28" t="s">
        <v>6287</v>
      </c>
      <c r="AA1048" s="28" t="s">
        <v>6288</v>
      </c>
      <c r="AB1048" s="28" t="s">
        <v>6297</v>
      </c>
    </row>
    <row r="1049" spans="1:28" ht="185.4" x14ac:dyDescent="0.3">
      <c r="A1049" s="25">
        <v>9199</v>
      </c>
      <c r="B1049" s="25" t="s">
        <v>13061</v>
      </c>
      <c r="C1049" s="25" t="s">
        <v>13062</v>
      </c>
      <c r="D1049" s="25" t="s">
        <v>6278</v>
      </c>
      <c r="E1049" s="16" t="s">
        <v>6279</v>
      </c>
      <c r="F1049" s="16" t="s">
        <v>6279</v>
      </c>
      <c r="G1049" s="16" t="s">
        <v>6279</v>
      </c>
      <c r="H1049" s="16" t="s">
        <v>6279</v>
      </c>
      <c r="I1049" s="25" t="s">
        <v>13063</v>
      </c>
      <c r="J1049" s="25"/>
      <c r="K1049" s="25" t="s">
        <v>6281</v>
      </c>
      <c r="L1049" s="26" t="s">
        <v>13064</v>
      </c>
      <c r="M1049" s="26" t="s">
        <v>6295</v>
      </c>
      <c r="N1049" s="27" t="s">
        <v>13065</v>
      </c>
      <c r="O1049" s="26" t="s">
        <v>6295</v>
      </c>
      <c r="P1049" s="20" t="b">
        <v>1</v>
      </c>
      <c r="Q1049" s="20" t="s">
        <v>6282</v>
      </c>
      <c r="R1049" s="28" t="s">
        <v>6283</v>
      </c>
      <c r="S1049" s="25"/>
      <c r="T1049" s="20" t="b">
        <v>1</v>
      </c>
      <c r="U1049" s="25"/>
      <c r="V1049" s="25">
        <v>344.19</v>
      </c>
      <c r="W1049" s="28" t="s">
        <v>13066</v>
      </c>
      <c r="X1049" s="28" t="s">
        <v>6285</v>
      </c>
      <c r="Y1049" s="28" t="s">
        <v>6286</v>
      </c>
      <c r="Z1049" s="28" t="s">
        <v>6287</v>
      </c>
      <c r="AA1049" s="28" t="s">
        <v>6288</v>
      </c>
      <c r="AB1049" s="28" t="s">
        <v>6297</v>
      </c>
    </row>
    <row r="1050" spans="1:28" ht="185.4" x14ac:dyDescent="0.3">
      <c r="A1050" s="25">
        <v>9200</v>
      </c>
      <c r="B1050" s="25" t="s">
        <v>13067</v>
      </c>
      <c r="C1050" s="25" t="s">
        <v>13068</v>
      </c>
      <c r="D1050" s="25" t="s">
        <v>6291</v>
      </c>
      <c r="E1050" s="16" t="s">
        <v>6786</v>
      </c>
      <c r="F1050" s="16" t="s">
        <v>6786</v>
      </c>
      <c r="G1050" s="16" t="s">
        <v>6786</v>
      </c>
      <c r="H1050" s="16" t="s">
        <v>6786</v>
      </c>
      <c r="I1050" s="25" t="s">
        <v>13069</v>
      </c>
      <c r="J1050" s="25"/>
      <c r="K1050" s="25" t="s">
        <v>6281</v>
      </c>
      <c r="L1050" s="26" t="s">
        <v>13070</v>
      </c>
      <c r="M1050" s="26" t="s">
        <v>13071</v>
      </c>
      <c r="N1050" s="27" t="s">
        <v>13072</v>
      </c>
      <c r="O1050" s="26" t="s">
        <v>6295</v>
      </c>
      <c r="P1050" s="20" t="b">
        <v>1</v>
      </c>
      <c r="Q1050" s="20" t="s">
        <v>6282</v>
      </c>
      <c r="R1050" s="28" t="s">
        <v>6283</v>
      </c>
      <c r="S1050" s="25"/>
      <c r="T1050" s="20" t="b">
        <v>1</v>
      </c>
      <c r="U1050" s="25"/>
      <c r="V1050" s="25">
        <v>1.1200000000000001</v>
      </c>
      <c r="W1050" s="28" t="s">
        <v>13073</v>
      </c>
      <c r="X1050" s="28" t="s">
        <v>6285</v>
      </c>
      <c r="Y1050" s="28" t="s">
        <v>6286</v>
      </c>
      <c r="Z1050" s="28" t="s">
        <v>6287</v>
      </c>
      <c r="AA1050" s="28" t="s">
        <v>6288</v>
      </c>
      <c r="AB1050" s="28" t="s">
        <v>6297</v>
      </c>
    </row>
    <row r="1051" spans="1:28" ht="185.4" x14ac:dyDescent="0.3">
      <c r="A1051" s="25">
        <v>9201</v>
      </c>
      <c r="B1051" s="25" t="s">
        <v>13074</v>
      </c>
      <c r="C1051" s="25" t="s">
        <v>13075</v>
      </c>
      <c r="D1051" s="25" t="s">
        <v>6370</v>
      </c>
      <c r="E1051" s="16" t="s">
        <v>6371</v>
      </c>
      <c r="F1051" s="16" t="s">
        <v>6371</v>
      </c>
      <c r="G1051" s="16" t="s">
        <v>6371</v>
      </c>
      <c r="H1051" s="16" t="s">
        <v>6371</v>
      </c>
      <c r="I1051" s="25" t="s">
        <v>13076</v>
      </c>
      <c r="J1051" s="25"/>
      <c r="K1051" s="25" t="s">
        <v>6281</v>
      </c>
      <c r="L1051" s="26" t="s">
        <v>13077</v>
      </c>
      <c r="M1051" s="26" t="s">
        <v>6295</v>
      </c>
      <c r="N1051" s="27" t="s">
        <v>13078</v>
      </c>
      <c r="O1051" s="26" t="s">
        <v>6295</v>
      </c>
      <c r="P1051" s="20" t="b">
        <v>1</v>
      </c>
      <c r="Q1051" s="20" t="s">
        <v>6282</v>
      </c>
      <c r="R1051" s="28" t="s">
        <v>6283</v>
      </c>
      <c r="S1051" s="25"/>
      <c r="T1051" s="20" t="b">
        <v>1</v>
      </c>
      <c r="U1051" s="25"/>
      <c r="V1051" s="25">
        <v>551.947</v>
      </c>
      <c r="W1051" s="28" t="s">
        <v>13079</v>
      </c>
      <c r="X1051" s="28" t="s">
        <v>6285</v>
      </c>
      <c r="Y1051" s="28" t="s">
        <v>6286</v>
      </c>
      <c r="Z1051" s="28" t="s">
        <v>6287</v>
      </c>
      <c r="AA1051" s="28" t="s">
        <v>6288</v>
      </c>
      <c r="AB1051" s="28" t="s">
        <v>6297</v>
      </c>
    </row>
    <row r="1052" spans="1:28" ht="185.4" x14ac:dyDescent="0.3">
      <c r="A1052" s="25">
        <v>9202</v>
      </c>
      <c r="B1052" s="25" t="s">
        <v>13080</v>
      </c>
      <c r="C1052" s="25" t="s">
        <v>13081</v>
      </c>
      <c r="D1052" s="25" t="s">
        <v>6291</v>
      </c>
      <c r="E1052" s="16" t="s">
        <v>6786</v>
      </c>
      <c r="F1052" s="16" t="s">
        <v>6786</v>
      </c>
      <c r="G1052" s="16" t="s">
        <v>6786</v>
      </c>
      <c r="H1052" s="16" t="s">
        <v>6786</v>
      </c>
      <c r="I1052" s="25" t="s">
        <v>13082</v>
      </c>
      <c r="J1052" s="25"/>
      <c r="K1052" s="25" t="s">
        <v>6281</v>
      </c>
      <c r="L1052" s="26" t="s">
        <v>13083</v>
      </c>
      <c r="M1052" s="26" t="s">
        <v>6295</v>
      </c>
      <c r="N1052" s="27" t="s">
        <v>13084</v>
      </c>
      <c r="O1052" s="26" t="s">
        <v>6295</v>
      </c>
      <c r="P1052" s="20" t="b">
        <v>1</v>
      </c>
      <c r="Q1052" s="20" t="s">
        <v>6282</v>
      </c>
      <c r="R1052" s="28" t="s">
        <v>6283</v>
      </c>
      <c r="S1052" s="25"/>
      <c r="T1052" s="20" t="b">
        <v>1</v>
      </c>
      <c r="U1052" s="25"/>
      <c r="V1052" s="25">
        <v>4.2469999999999999</v>
      </c>
      <c r="W1052" s="28" t="s">
        <v>13085</v>
      </c>
      <c r="X1052" s="28" t="s">
        <v>6285</v>
      </c>
      <c r="Y1052" s="28" t="s">
        <v>6286</v>
      </c>
      <c r="Z1052" s="28" t="s">
        <v>6287</v>
      </c>
      <c r="AA1052" s="28" t="s">
        <v>6288</v>
      </c>
      <c r="AB1052" s="28" t="s">
        <v>6297</v>
      </c>
    </row>
    <row r="1053" spans="1:28" ht="185.4" x14ac:dyDescent="0.3">
      <c r="A1053" s="25">
        <v>9203</v>
      </c>
      <c r="B1053" s="25" t="s">
        <v>9808</v>
      </c>
      <c r="C1053" s="25" t="s">
        <v>13086</v>
      </c>
      <c r="D1053" s="25" t="s">
        <v>6291</v>
      </c>
      <c r="E1053" s="16" t="s">
        <v>6786</v>
      </c>
      <c r="F1053" s="16" t="s">
        <v>6786</v>
      </c>
      <c r="G1053" s="16" t="s">
        <v>6786</v>
      </c>
      <c r="H1053" s="16" t="s">
        <v>6786</v>
      </c>
      <c r="I1053" s="25" t="s">
        <v>9810</v>
      </c>
      <c r="J1053" s="25"/>
      <c r="K1053" s="25" t="s">
        <v>6281</v>
      </c>
      <c r="L1053" s="26" t="s">
        <v>13087</v>
      </c>
      <c r="M1053" s="26" t="s">
        <v>6295</v>
      </c>
      <c r="N1053" s="27" t="s">
        <v>9812</v>
      </c>
      <c r="O1053" s="26" t="s">
        <v>6295</v>
      </c>
      <c r="P1053" s="20" t="b">
        <v>1</v>
      </c>
      <c r="Q1053" s="20" t="s">
        <v>6282</v>
      </c>
      <c r="R1053" s="28" t="s">
        <v>6283</v>
      </c>
      <c r="S1053" s="25"/>
      <c r="T1053" s="20" t="b">
        <v>1</v>
      </c>
      <c r="U1053" s="25"/>
      <c r="V1053" s="25">
        <v>21.652670000000001</v>
      </c>
      <c r="W1053" s="28" t="s">
        <v>13088</v>
      </c>
      <c r="X1053" s="28" t="s">
        <v>6285</v>
      </c>
      <c r="Y1053" s="28" t="s">
        <v>6286</v>
      </c>
      <c r="Z1053" s="28" t="s">
        <v>6287</v>
      </c>
      <c r="AA1053" s="28" t="s">
        <v>6288</v>
      </c>
      <c r="AB1053" s="28" t="s">
        <v>6297</v>
      </c>
    </row>
    <row r="1054" spans="1:28" ht="185.4" x14ac:dyDescent="0.3">
      <c r="A1054" s="25">
        <v>9204</v>
      </c>
      <c r="B1054" s="25" t="s">
        <v>13089</v>
      </c>
      <c r="C1054" s="25" t="s">
        <v>13090</v>
      </c>
      <c r="D1054" s="25" t="s">
        <v>6291</v>
      </c>
      <c r="E1054" s="16" t="s">
        <v>6292</v>
      </c>
      <c r="F1054" s="16" t="s">
        <v>6292</v>
      </c>
      <c r="G1054" s="16" t="s">
        <v>6292</v>
      </c>
      <c r="H1054" s="16" t="s">
        <v>6292</v>
      </c>
      <c r="I1054" s="25" t="s">
        <v>13091</v>
      </c>
      <c r="J1054" s="25"/>
      <c r="K1054" s="25" t="s">
        <v>6281</v>
      </c>
      <c r="L1054" s="26" t="s">
        <v>13092</v>
      </c>
      <c r="M1054" s="26" t="s">
        <v>6295</v>
      </c>
      <c r="N1054" s="27" t="s">
        <v>13093</v>
      </c>
      <c r="O1054" s="26" t="s">
        <v>13094</v>
      </c>
      <c r="P1054" s="20" t="b">
        <v>1</v>
      </c>
      <c r="Q1054" s="20" t="s">
        <v>6282</v>
      </c>
      <c r="R1054" s="28" t="s">
        <v>6283</v>
      </c>
      <c r="S1054" s="25"/>
      <c r="T1054" s="20" t="b">
        <v>1</v>
      </c>
      <c r="U1054" s="25"/>
      <c r="V1054" s="25">
        <v>190.19</v>
      </c>
      <c r="W1054" s="28" t="s">
        <v>13095</v>
      </c>
      <c r="X1054" s="28" t="s">
        <v>6285</v>
      </c>
      <c r="Y1054" s="28" t="s">
        <v>6286</v>
      </c>
      <c r="Z1054" s="28" t="s">
        <v>6287</v>
      </c>
      <c r="AA1054" s="28" t="s">
        <v>6288</v>
      </c>
      <c r="AB1054" s="28" t="s">
        <v>6297</v>
      </c>
    </row>
    <row r="1055" spans="1:28" ht="185.4" x14ac:dyDescent="0.3">
      <c r="A1055" s="25">
        <v>9205</v>
      </c>
      <c r="B1055" s="25" t="s">
        <v>13096</v>
      </c>
      <c r="C1055" s="25" t="s">
        <v>13097</v>
      </c>
      <c r="D1055" s="25" t="s">
        <v>6291</v>
      </c>
      <c r="E1055" s="16" t="s">
        <v>6292</v>
      </c>
      <c r="F1055" s="16" t="s">
        <v>6292</v>
      </c>
      <c r="G1055" s="16" t="s">
        <v>6292</v>
      </c>
      <c r="H1055" s="16" t="s">
        <v>6292</v>
      </c>
      <c r="I1055" s="25" t="s">
        <v>13098</v>
      </c>
      <c r="J1055" s="25"/>
      <c r="K1055" s="25" t="s">
        <v>6281</v>
      </c>
      <c r="L1055" s="26" t="s">
        <v>13099</v>
      </c>
      <c r="M1055" s="26" t="s">
        <v>6295</v>
      </c>
      <c r="N1055" s="27" t="s">
        <v>13100</v>
      </c>
      <c r="O1055" s="26" t="s">
        <v>13094</v>
      </c>
      <c r="P1055" s="20" t="b">
        <v>1</v>
      </c>
      <c r="Q1055" s="20" t="s">
        <v>6282</v>
      </c>
      <c r="R1055" s="28" t="s">
        <v>6283</v>
      </c>
      <c r="S1055" s="25"/>
      <c r="T1055" s="20" t="b">
        <v>1</v>
      </c>
      <c r="U1055" s="25"/>
      <c r="V1055" s="25">
        <v>104.88</v>
      </c>
      <c r="W1055" s="28" t="s">
        <v>13101</v>
      </c>
      <c r="X1055" s="28" t="s">
        <v>6285</v>
      </c>
      <c r="Y1055" s="28" t="s">
        <v>6286</v>
      </c>
      <c r="Z1055" s="28" t="s">
        <v>6287</v>
      </c>
      <c r="AA1055" s="28" t="s">
        <v>6288</v>
      </c>
      <c r="AB1055" s="28" t="s">
        <v>6297</v>
      </c>
    </row>
    <row r="1056" spans="1:28" ht="185.4" x14ac:dyDescent="0.3">
      <c r="A1056" s="25">
        <v>9206</v>
      </c>
      <c r="B1056" s="25" t="s">
        <v>13102</v>
      </c>
      <c r="C1056" s="25" t="s">
        <v>13103</v>
      </c>
      <c r="D1056" s="25" t="s">
        <v>6291</v>
      </c>
      <c r="E1056" s="16" t="s">
        <v>6292</v>
      </c>
      <c r="F1056" s="16" t="s">
        <v>6292</v>
      </c>
      <c r="G1056" s="16" t="s">
        <v>6292</v>
      </c>
      <c r="H1056" s="16" t="s">
        <v>6292</v>
      </c>
      <c r="I1056" s="25" t="s">
        <v>13104</v>
      </c>
      <c r="J1056" s="25"/>
      <c r="K1056" s="25" t="s">
        <v>6281</v>
      </c>
      <c r="L1056" s="26" t="s">
        <v>13105</v>
      </c>
      <c r="M1056" s="26" t="s">
        <v>6295</v>
      </c>
      <c r="N1056" s="27" t="s">
        <v>13106</v>
      </c>
      <c r="O1056" s="26" t="s">
        <v>13094</v>
      </c>
      <c r="P1056" s="20" t="b">
        <v>1</v>
      </c>
      <c r="Q1056" s="20" t="s">
        <v>6282</v>
      </c>
      <c r="R1056" s="28" t="s">
        <v>6283</v>
      </c>
      <c r="S1056" s="25"/>
      <c r="T1056" s="20" t="b">
        <v>1</v>
      </c>
      <c r="U1056" s="25"/>
      <c r="V1056" s="25">
        <v>190.19</v>
      </c>
      <c r="W1056" s="28" t="s">
        <v>13107</v>
      </c>
      <c r="X1056" s="28" t="s">
        <v>6285</v>
      </c>
      <c r="Y1056" s="28" t="s">
        <v>6286</v>
      </c>
      <c r="Z1056" s="28" t="s">
        <v>6287</v>
      </c>
      <c r="AA1056" s="28" t="s">
        <v>6288</v>
      </c>
      <c r="AB1056" s="28" t="s">
        <v>6297</v>
      </c>
    </row>
    <row r="1057" spans="1:28" ht="185.4" x14ac:dyDescent="0.3">
      <c r="A1057" s="25">
        <v>9207</v>
      </c>
      <c r="B1057" s="25" t="s">
        <v>13108</v>
      </c>
      <c r="C1057" s="25" t="s">
        <v>13109</v>
      </c>
      <c r="D1057" s="25" t="s">
        <v>6291</v>
      </c>
      <c r="E1057" s="16" t="s">
        <v>6786</v>
      </c>
      <c r="F1057" s="16" t="s">
        <v>6786</v>
      </c>
      <c r="G1057" s="16" t="s">
        <v>6786</v>
      </c>
      <c r="H1057" s="16" t="s">
        <v>6786</v>
      </c>
      <c r="I1057" s="25" t="s">
        <v>13110</v>
      </c>
      <c r="J1057" s="25"/>
      <c r="K1057" s="25" t="s">
        <v>6281</v>
      </c>
      <c r="L1057" s="26" t="s">
        <v>13111</v>
      </c>
      <c r="M1057" s="26" t="s">
        <v>13019</v>
      </c>
      <c r="N1057" s="27" t="s">
        <v>13020</v>
      </c>
      <c r="O1057" s="26" t="s">
        <v>13021</v>
      </c>
      <c r="P1057" s="20" t="b">
        <v>1</v>
      </c>
      <c r="Q1057" s="20" t="s">
        <v>6282</v>
      </c>
      <c r="R1057" s="28" t="s">
        <v>6283</v>
      </c>
      <c r="S1057" s="25"/>
      <c r="T1057" s="20" t="b">
        <v>1</v>
      </c>
      <c r="U1057" s="25"/>
      <c r="V1057" s="25">
        <v>349.72800000000001</v>
      </c>
      <c r="W1057" s="28" t="s">
        <v>13112</v>
      </c>
      <c r="X1057" s="28" t="s">
        <v>6285</v>
      </c>
      <c r="Y1057" s="28" t="s">
        <v>6286</v>
      </c>
      <c r="Z1057" s="28" t="s">
        <v>6287</v>
      </c>
      <c r="AA1057" s="28" t="s">
        <v>6288</v>
      </c>
      <c r="AB1057" s="28" t="s">
        <v>6297</v>
      </c>
    </row>
    <row r="1058" spans="1:28" ht="185.4" x14ac:dyDescent="0.3">
      <c r="A1058" s="25">
        <v>9208</v>
      </c>
      <c r="B1058" s="25" t="s">
        <v>13113</v>
      </c>
      <c r="C1058" s="25" t="s">
        <v>13114</v>
      </c>
      <c r="D1058" s="25" t="s">
        <v>6278</v>
      </c>
      <c r="E1058" s="16" t="s">
        <v>6279</v>
      </c>
      <c r="F1058" s="16" t="s">
        <v>6279</v>
      </c>
      <c r="G1058" s="16" t="s">
        <v>6279</v>
      </c>
      <c r="H1058" s="16" t="s">
        <v>6279</v>
      </c>
      <c r="I1058" s="25" t="s">
        <v>13115</v>
      </c>
      <c r="J1058" s="25"/>
      <c r="K1058" s="25" t="s">
        <v>6281</v>
      </c>
      <c r="L1058" s="26" t="s">
        <v>13116</v>
      </c>
      <c r="M1058" s="26" t="s">
        <v>6295</v>
      </c>
      <c r="N1058" s="27" t="s">
        <v>13117</v>
      </c>
      <c r="O1058" s="26" t="s">
        <v>6295</v>
      </c>
      <c r="P1058" s="20" t="b">
        <v>1</v>
      </c>
      <c r="Q1058" s="20" t="s">
        <v>6282</v>
      </c>
      <c r="R1058" s="28" t="s">
        <v>6283</v>
      </c>
      <c r="S1058" s="25"/>
      <c r="T1058" s="20" t="b">
        <v>1</v>
      </c>
      <c r="U1058" s="25"/>
      <c r="V1058" s="25">
        <v>19.22</v>
      </c>
      <c r="W1058" s="28" t="s">
        <v>13118</v>
      </c>
      <c r="X1058" s="28" t="s">
        <v>6285</v>
      </c>
      <c r="Y1058" s="28" t="s">
        <v>6286</v>
      </c>
      <c r="Z1058" s="28" t="s">
        <v>6287</v>
      </c>
      <c r="AA1058" s="28" t="s">
        <v>6288</v>
      </c>
      <c r="AB1058" s="28" t="s">
        <v>6297</v>
      </c>
    </row>
    <row r="1059" spans="1:28" ht="185.4" x14ac:dyDescent="0.3">
      <c r="A1059" s="25">
        <v>9209</v>
      </c>
      <c r="B1059" s="25" t="s">
        <v>13119</v>
      </c>
      <c r="C1059" s="25" t="s">
        <v>13120</v>
      </c>
      <c r="D1059" s="25" t="s">
        <v>6278</v>
      </c>
      <c r="E1059" s="16" t="s">
        <v>6279</v>
      </c>
      <c r="F1059" s="16" t="s">
        <v>6279</v>
      </c>
      <c r="G1059" s="16" t="s">
        <v>6279</v>
      </c>
      <c r="H1059" s="16" t="s">
        <v>6279</v>
      </c>
      <c r="I1059" s="25" t="s">
        <v>13121</v>
      </c>
      <c r="J1059" s="25"/>
      <c r="K1059" s="25" t="s">
        <v>6281</v>
      </c>
      <c r="L1059" s="26" t="s">
        <v>13122</v>
      </c>
      <c r="M1059" s="26" t="s">
        <v>13123</v>
      </c>
      <c r="N1059" s="27" t="s">
        <v>12035</v>
      </c>
      <c r="O1059" s="26" t="s">
        <v>6295</v>
      </c>
      <c r="P1059" s="20" t="b">
        <v>1</v>
      </c>
      <c r="Q1059" s="20" t="s">
        <v>6282</v>
      </c>
      <c r="R1059" s="28" t="s">
        <v>6283</v>
      </c>
      <c r="S1059" s="25"/>
      <c r="T1059" s="20" t="b">
        <v>1</v>
      </c>
      <c r="U1059" s="25"/>
      <c r="V1059" s="25">
        <v>225.42240000000001</v>
      </c>
      <c r="W1059" s="28" t="s">
        <v>13124</v>
      </c>
      <c r="X1059" s="28" t="s">
        <v>6285</v>
      </c>
      <c r="Y1059" s="28" t="s">
        <v>6286</v>
      </c>
      <c r="Z1059" s="28" t="s">
        <v>6287</v>
      </c>
      <c r="AA1059" s="28" t="s">
        <v>6288</v>
      </c>
      <c r="AB1059" s="28" t="s">
        <v>6297</v>
      </c>
    </row>
    <row r="1060" spans="1:28" ht="185.4" x14ac:dyDescent="0.3">
      <c r="A1060" s="25">
        <v>9210</v>
      </c>
      <c r="B1060" s="25" t="s">
        <v>13125</v>
      </c>
      <c r="C1060" s="25" t="s">
        <v>13126</v>
      </c>
      <c r="D1060" s="25" t="s">
        <v>6291</v>
      </c>
      <c r="E1060" s="16" t="s">
        <v>6786</v>
      </c>
      <c r="F1060" s="16" t="s">
        <v>6786</v>
      </c>
      <c r="G1060" s="16" t="s">
        <v>6786</v>
      </c>
      <c r="H1060" s="16" t="s">
        <v>6786</v>
      </c>
      <c r="I1060" s="25" t="s">
        <v>13127</v>
      </c>
      <c r="J1060" s="25"/>
      <c r="K1060" s="25" t="s">
        <v>6281</v>
      </c>
      <c r="L1060" s="26" t="s">
        <v>13128</v>
      </c>
      <c r="M1060" s="26" t="s">
        <v>6295</v>
      </c>
      <c r="N1060" s="27" t="s">
        <v>13129</v>
      </c>
      <c r="O1060" s="26" t="s">
        <v>6295</v>
      </c>
      <c r="P1060" s="20" t="b">
        <v>1</v>
      </c>
      <c r="Q1060" s="20" t="s">
        <v>6282</v>
      </c>
      <c r="R1060" s="28" t="s">
        <v>6283</v>
      </c>
      <c r="S1060" s="25"/>
      <c r="T1060" s="20" t="b">
        <v>1</v>
      </c>
      <c r="U1060" s="25"/>
      <c r="V1060" s="25">
        <v>2.4837600000000002</v>
      </c>
      <c r="W1060" s="28" t="s">
        <v>13130</v>
      </c>
      <c r="X1060" s="28" t="s">
        <v>6285</v>
      </c>
      <c r="Y1060" s="28" t="s">
        <v>6286</v>
      </c>
      <c r="Z1060" s="28" t="s">
        <v>6287</v>
      </c>
      <c r="AA1060" s="28" t="s">
        <v>6288</v>
      </c>
      <c r="AB1060" s="28" t="s">
        <v>6297</v>
      </c>
    </row>
    <row r="1061" spans="1:28" ht="185.4" x14ac:dyDescent="0.3">
      <c r="A1061" s="25">
        <v>9211</v>
      </c>
      <c r="B1061" s="25" t="s">
        <v>13131</v>
      </c>
      <c r="C1061" s="25" t="s">
        <v>13132</v>
      </c>
      <c r="D1061" s="25" t="s">
        <v>6291</v>
      </c>
      <c r="E1061" s="16" t="s">
        <v>6786</v>
      </c>
      <c r="F1061" s="16" t="s">
        <v>6786</v>
      </c>
      <c r="G1061" s="16" t="s">
        <v>6786</v>
      </c>
      <c r="H1061" s="16" t="s">
        <v>6786</v>
      </c>
      <c r="I1061" s="25" t="s">
        <v>13133</v>
      </c>
      <c r="J1061" s="25"/>
      <c r="K1061" s="25" t="s">
        <v>6281</v>
      </c>
      <c r="L1061" s="26" t="s">
        <v>13134</v>
      </c>
      <c r="M1061" s="26" t="s">
        <v>13135</v>
      </c>
      <c r="N1061" s="27" t="s">
        <v>13136</v>
      </c>
      <c r="O1061" s="26" t="s">
        <v>6295</v>
      </c>
      <c r="P1061" s="20" t="b">
        <v>1</v>
      </c>
      <c r="Q1061" s="20" t="s">
        <v>6282</v>
      </c>
      <c r="R1061" s="28" t="s">
        <v>6283</v>
      </c>
      <c r="S1061" s="25"/>
      <c r="T1061" s="20" t="b">
        <v>1</v>
      </c>
      <c r="U1061" s="25"/>
      <c r="V1061" s="25">
        <v>5.2386600000000003</v>
      </c>
      <c r="W1061" s="28" t="s">
        <v>13137</v>
      </c>
      <c r="X1061" s="28" t="s">
        <v>6285</v>
      </c>
      <c r="Y1061" s="28" t="s">
        <v>6286</v>
      </c>
      <c r="Z1061" s="28" t="s">
        <v>6287</v>
      </c>
      <c r="AA1061" s="28" t="s">
        <v>6288</v>
      </c>
      <c r="AB1061" s="28" t="s">
        <v>6297</v>
      </c>
    </row>
    <row r="1062" spans="1:28" ht="185.4" x14ac:dyDescent="0.3">
      <c r="A1062" s="25">
        <v>9212</v>
      </c>
      <c r="B1062" s="25" t="s">
        <v>13138</v>
      </c>
      <c r="C1062" s="25" t="s">
        <v>13139</v>
      </c>
      <c r="D1062" s="25" t="s">
        <v>6278</v>
      </c>
      <c r="E1062" s="16" t="s">
        <v>6279</v>
      </c>
      <c r="F1062" s="16" t="s">
        <v>6279</v>
      </c>
      <c r="G1062" s="16" t="s">
        <v>6279</v>
      </c>
      <c r="H1062" s="16" t="s">
        <v>6279</v>
      </c>
      <c r="I1062" s="25" t="s">
        <v>13140</v>
      </c>
      <c r="J1062" s="25"/>
      <c r="K1062" s="25" t="s">
        <v>6281</v>
      </c>
      <c r="L1062" s="26" t="s">
        <v>13141</v>
      </c>
      <c r="M1062" s="26" t="s">
        <v>6295</v>
      </c>
      <c r="N1062" s="27" t="s">
        <v>13142</v>
      </c>
      <c r="O1062" s="26" t="s">
        <v>6295</v>
      </c>
      <c r="P1062" s="20" t="b">
        <v>1</v>
      </c>
      <c r="Q1062" s="20" t="s">
        <v>6282</v>
      </c>
      <c r="R1062" s="28" t="s">
        <v>6283</v>
      </c>
      <c r="S1062" s="25"/>
      <c r="T1062" s="20" t="b">
        <v>1</v>
      </c>
      <c r="U1062" s="25"/>
      <c r="V1062" s="25">
        <v>19.096</v>
      </c>
      <c r="W1062" s="28" t="s">
        <v>13143</v>
      </c>
      <c r="X1062" s="28" t="s">
        <v>6285</v>
      </c>
      <c r="Y1062" s="28" t="s">
        <v>6286</v>
      </c>
      <c r="Z1062" s="28" t="s">
        <v>6287</v>
      </c>
      <c r="AA1062" s="28" t="s">
        <v>6288</v>
      </c>
      <c r="AB1062" s="28" t="s">
        <v>6297</v>
      </c>
    </row>
    <row r="1063" spans="1:28" ht="185.4" x14ac:dyDescent="0.3">
      <c r="A1063" s="25">
        <v>9214</v>
      </c>
      <c r="B1063" s="25" t="s">
        <v>13144</v>
      </c>
      <c r="C1063" s="25" t="s">
        <v>13145</v>
      </c>
      <c r="D1063" s="25" t="s">
        <v>6291</v>
      </c>
      <c r="E1063" s="16" t="s">
        <v>6292</v>
      </c>
      <c r="F1063" s="16" t="s">
        <v>6292</v>
      </c>
      <c r="G1063" s="16" t="s">
        <v>6292</v>
      </c>
      <c r="H1063" s="16" t="s">
        <v>6292</v>
      </c>
      <c r="I1063" s="25" t="s">
        <v>13146</v>
      </c>
      <c r="J1063" s="25"/>
      <c r="K1063" s="25" t="s">
        <v>6281</v>
      </c>
      <c r="L1063" s="26" t="s">
        <v>13147</v>
      </c>
      <c r="M1063" s="26" t="s">
        <v>9737</v>
      </c>
      <c r="N1063" s="27" t="s">
        <v>13148</v>
      </c>
      <c r="O1063" s="26" t="s">
        <v>6295</v>
      </c>
      <c r="P1063" s="20" t="b">
        <v>1</v>
      </c>
      <c r="Q1063" s="20" t="s">
        <v>6282</v>
      </c>
      <c r="R1063" s="28" t="s">
        <v>6283</v>
      </c>
      <c r="S1063" s="25"/>
      <c r="T1063" s="20" t="b">
        <v>1</v>
      </c>
      <c r="U1063" s="25"/>
      <c r="V1063" s="25">
        <v>93.543999999999997</v>
      </c>
      <c r="W1063" s="28" t="s">
        <v>13149</v>
      </c>
      <c r="X1063" s="28" t="s">
        <v>6285</v>
      </c>
      <c r="Y1063" s="28" t="s">
        <v>6286</v>
      </c>
      <c r="Z1063" s="28" t="s">
        <v>6287</v>
      </c>
      <c r="AA1063" s="28" t="s">
        <v>6288</v>
      </c>
      <c r="AB1063" s="28" t="s">
        <v>6297</v>
      </c>
    </row>
    <row r="1064" spans="1:28" ht="185.4" x14ac:dyDescent="0.3">
      <c r="A1064" s="25">
        <v>9215</v>
      </c>
      <c r="B1064" s="25" t="s">
        <v>13150</v>
      </c>
      <c r="C1064" s="25" t="s">
        <v>13151</v>
      </c>
      <c r="D1064" s="25" t="s">
        <v>6291</v>
      </c>
      <c r="E1064" s="16" t="s">
        <v>6292</v>
      </c>
      <c r="F1064" s="16" t="s">
        <v>6292</v>
      </c>
      <c r="G1064" s="16" t="s">
        <v>6292</v>
      </c>
      <c r="H1064" s="16" t="s">
        <v>6292</v>
      </c>
      <c r="I1064" s="25" t="s">
        <v>13152</v>
      </c>
      <c r="J1064" s="25"/>
      <c r="K1064" s="25" t="s">
        <v>6281</v>
      </c>
      <c r="L1064" s="26" t="s">
        <v>13153</v>
      </c>
      <c r="M1064" s="26" t="s">
        <v>13154</v>
      </c>
      <c r="N1064" s="27" t="s">
        <v>13155</v>
      </c>
      <c r="O1064" s="26" t="s">
        <v>6295</v>
      </c>
      <c r="P1064" s="20" t="b">
        <v>1</v>
      </c>
      <c r="Q1064" s="20" t="s">
        <v>6282</v>
      </c>
      <c r="R1064" s="28" t="s">
        <v>6283</v>
      </c>
      <c r="S1064" s="25"/>
      <c r="T1064" s="20" t="b">
        <v>1</v>
      </c>
      <c r="U1064" s="25"/>
      <c r="V1064" s="25">
        <v>68.331999999999994</v>
      </c>
      <c r="W1064" s="28" t="s">
        <v>13156</v>
      </c>
      <c r="X1064" s="28" t="s">
        <v>6285</v>
      </c>
      <c r="Y1064" s="28" t="s">
        <v>6286</v>
      </c>
      <c r="Z1064" s="28" t="s">
        <v>6287</v>
      </c>
      <c r="AA1064" s="28" t="s">
        <v>6288</v>
      </c>
      <c r="AB1064" s="28" t="s">
        <v>6297</v>
      </c>
    </row>
    <row r="1065" spans="1:28" ht="185.4" x14ac:dyDescent="0.3">
      <c r="A1065" s="25">
        <v>9216</v>
      </c>
      <c r="B1065" s="25" t="s">
        <v>13157</v>
      </c>
      <c r="C1065" s="25" t="s">
        <v>13158</v>
      </c>
      <c r="D1065" s="25" t="s">
        <v>6291</v>
      </c>
      <c r="E1065" s="16" t="s">
        <v>6292</v>
      </c>
      <c r="F1065" s="16" t="s">
        <v>6292</v>
      </c>
      <c r="G1065" s="16" t="s">
        <v>6292</v>
      </c>
      <c r="H1065" s="16" t="s">
        <v>6292</v>
      </c>
      <c r="I1065" s="25" t="s">
        <v>13159</v>
      </c>
      <c r="J1065" s="25"/>
      <c r="K1065" s="25" t="s">
        <v>6281</v>
      </c>
      <c r="L1065" s="26" t="s">
        <v>13160</v>
      </c>
      <c r="M1065" s="26" t="s">
        <v>6295</v>
      </c>
      <c r="N1065" s="27" t="s">
        <v>13161</v>
      </c>
      <c r="O1065" s="26" t="s">
        <v>6295</v>
      </c>
      <c r="P1065" s="20" t="b">
        <v>1</v>
      </c>
      <c r="Q1065" s="20" t="s">
        <v>6282</v>
      </c>
      <c r="R1065" s="28" t="s">
        <v>6283</v>
      </c>
      <c r="S1065" s="25"/>
      <c r="T1065" s="20" t="b">
        <v>1</v>
      </c>
      <c r="U1065" s="25"/>
      <c r="V1065" s="25">
        <v>500</v>
      </c>
      <c r="W1065" s="28" t="s">
        <v>13162</v>
      </c>
      <c r="X1065" s="28" t="s">
        <v>6285</v>
      </c>
      <c r="Y1065" s="28" t="s">
        <v>6286</v>
      </c>
      <c r="Z1065" s="28" t="s">
        <v>6287</v>
      </c>
      <c r="AA1065" s="28" t="s">
        <v>6288</v>
      </c>
      <c r="AB1065" s="28" t="s">
        <v>6297</v>
      </c>
    </row>
    <row r="1066" spans="1:28" ht="185.4" x14ac:dyDescent="0.3">
      <c r="A1066" s="25">
        <v>9217</v>
      </c>
      <c r="B1066" s="25" t="s">
        <v>13163</v>
      </c>
      <c r="C1066" s="25" t="s">
        <v>13164</v>
      </c>
      <c r="D1066" s="25" t="s">
        <v>6291</v>
      </c>
      <c r="E1066" s="16" t="s">
        <v>6786</v>
      </c>
      <c r="F1066" s="16" t="s">
        <v>6786</v>
      </c>
      <c r="G1066" s="16" t="s">
        <v>6786</v>
      </c>
      <c r="H1066" s="16" t="s">
        <v>6786</v>
      </c>
      <c r="I1066" s="25" t="s">
        <v>13165</v>
      </c>
      <c r="J1066" s="25"/>
      <c r="K1066" s="25" t="s">
        <v>6281</v>
      </c>
      <c r="L1066" s="26" t="s">
        <v>12323</v>
      </c>
      <c r="M1066" s="26" t="s">
        <v>10263</v>
      </c>
      <c r="N1066" s="27" t="s">
        <v>12324</v>
      </c>
      <c r="O1066" s="26" t="s">
        <v>6295</v>
      </c>
      <c r="P1066" s="20" t="b">
        <v>1</v>
      </c>
      <c r="Q1066" s="20" t="s">
        <v>6282</v>
      </c>
      <c r="R1066" s="28" t="s">
        <v>6283</v>
      </c>
      <c r="S1066" s="25"/>
      <c r="T1066" s="20" t="b">
        <v>1</v>
      </c>
      <c r="U1066" s="25"/>
      <c r="V1066" s="25">
        <v>14.8596</v>
      </c>
      <c r="W1066" s="28" t="s">
        <v>13166</v>
      </c>
      <c r="X1066" s="28" t="s">
        <v>6285</v>
      </c>
      <c r="Y1066" s="28" t="s">
        <v>6286</v>
      </c>
      <c r="Z1066" s="28" t="s">
        <v>6287</v>
      </c>
      <c r="AA1066" s="28" t="s">
        <v>6288</v>
      </c>
      <c r="AB1066" s="28" t="s">
        <v>6297</v>
      </c>
    </row>
    <row r="1067" spans="1:28" ht="185.4" x14ac:dyDescent="0.3">
      <c r="A1067" s="25">
        <v>9218</v>
      </c>
      <c r="B1067" s="25" t="s">
        <v>13167</v>
      </c>
      <c r="C1067" s="25" t="s">
        <v>13168</v>
      </c>
      <c r="D1067" s="25" t="s">
        <v>6291</v>
      </c>
      <c r="E1067" s="16" t="s">
        <v>6786</v>
      </c>
      <c r="F1067" s="16" t="s">
        <v>6786</v>
      </c>
      <c r="G1067" s="16" t="s">
        <v>6786</v>
      </c>
      <c r="H1067" s="16" t="s">
        <v>6786</v>
      </c>
      <c r="I1067" s="25" t="s">
        <v>13169</v>
      </c>
      <c r="J1067" s="25"/>
      <c r="K1067" s="25" t="s">
        <v>6281</v>
      </c>
      <c r="L1067" s="26" t="s">
        <v>13170</v>
      </c>
      <c r="M1067" s="26" t="s">
        <v>6295</v>
      </c>
      <c r="N1067" s="27" t="s">
        <v>10217</v>
      </c>
      <c r="O1067" s="26" t="s">
        <v>6295</v>
      </c>
      <c r="P1067" s="20" t="b">
        <v>1</v>
      </c>
      <c r="Q1067" s="20" t="s">
        <v>6282</v>
      </c>
      <c r="R1067" s="28" t="s">
        <v>6283</v>
      </c>
      <c r="S1067" s="25"/>
      <c r="T1067" s="20" t="b">
        <v>1</v>
      </c>
      <c r="U1067" s="25"/>
      <c r="V1067" s="25">
        <v>4.9630400000000003</v>
      </c>
      <c r="W1067" s="28" t="s">
        <v>13171</v>
      </c>
      <c r="X1067" s="28" t="s">
        <v>6285</v>
      </c>
      <c r="Y1067" s="28" t="s">
        <v>6286</v>
      </c>
      <c r="Z1067" s="28" t="s">
        <v>6287</v>
      </c>
      <c r="AA1067" s="28" t="s">
        <v>6288</v>
      </c>
      <c r="AB1067" s="28" t="s">
        <v>6297</v>
      </c>
    </row>
    <row r="1068" spans="1:28" ht="185.4" x14ac:dyDescent="0.3">
      <c r="A1068" s="25">
        <v>9219</v>
      </c>
      <c r="B1068" s="25" t="s">
        <v>13172</v>
      </c>
      <c r="C1068" s="25" t="s">
        <v>13173</v>
      </c>
      <c r="D1068" s="25" t="s">
        <v>6278</v>
      </c>
      <c r="E1068" s="16" t="s">
        <v>6279</v>
      </c>
      <c r="F1068" s="16" t="s">
        <v>6279</v>
      </c>
      <c r="G1068" s="16" t="s">
        <v>6279</v>
      </c>
      <c r="H1068" s="16" t="s">
        <v>6279</v>
      </c>
      <c r="I1068" s="25" t="s">
        <v>13174</v>
      </c>
      <c r="J1068" s="25"/>
      <c r="K1068" s="25" t="s">
        <v>6281</v>
      </c>
      <c r="L1068" s="26" t="s">
        <v>13175</v>
      </c>
      <c r="M1068" s="26" t="s">
        <v>6295</v>
      </c>
      <c r="N1068" s="27" t="s">
        <v>10897</v>
      </c>
      <c r="O1068" s="26" t="s">
        <v>6295</v>
      </c>
      <c r="P1068" s="20" t="b">
        <v>1</v>
      </c>
      <c r="Q1068" s="20" t="s">
        <v>6282</v>
      </c>
      <c r="R1068" s="28" t="s">
        <v>6283</v>
      </c>
      <c r="S1068" s="25"/>
      <c r="T1068" s="20" t="b">
        <v>1</v>
      </c>
      <c r="U1068" s="25"/>
      <c r="V1068" s="25">
        <v>527.37</v>
      </c>
      <c r="W1068" s="28" t="s">
        <v>13176</v>
      </c>
      <c r="X1068" s="28" t="s">
        <v>6285</v>
      </c>
      <c r="Y1068" s="28" t="s">
        <v>6286</v>
      </c>
      <c r="Z1068" s="28" t="s">
        <v>6287</v>
      </c>
      <c r="AA1068" s="28" t="s">
        <v>6288</v>
      </c>
      <c r="AB1068" s="28" t="s">
        <v>6297</v>
      </c>
    </row>
    <row r="1069" spans="1:28" ht="185.4" x14ac:dyDescent="0.3">
      <c r="A1069" s="25">
        <v>9220</v>
      </c>
      <c r="B1069" s="25" t="s">
        <v>13177</v>
      </c>
      <c r="C1069" s="25" t="s">
        <v>13178</v>
      </c>
      <c r="D1069" s="25" t="s">
        <v>6278</v>
      </c>
      <c r="E1069" s="16" t="s">
        <v>6279</v>
      </c>
      <c r="F1069" s="16" t="s">
        <v>6279</v>
      </c>
      <c r="G1069" s="16" t="s">
        <v>6279</v>
      </c>
      <c r="H1069" s="16" t="s">
        <v>6279</v>
      </c>
      <c r="I1069" s="25" t="s">
        <v>13179</v>
      </c>
      <c r="J1069" s="25"/>
      <c r="K1069" s="25" t="s">
        <v>6281</v>
      </c>
      <c r="L1069" s="26" t="s">
        <v>13180</v>
      </c>
      <c r="M1069" s="26" t="s">
        <v>6295</v>
      </c>
      <c r="N1069" s="27" t="s">
        <v>13181</v>
      </c>
      <c r="O1069" s="26" t="s">
        <v>13182</v>
      </c>
      <c r="P1069" s="20" t="b">
        <v>1</v>
      </c>
      <c r="Q1069" s="20" t="s">
        <v>6282</v>
      </c>
      <c r="R1069" s="28" t="s">
        <v>6283</v>
      </c>
      <c r="S1069" s="25"/>
      <c r="T1069" s="20" t="b">
        <v>1</v>
      </c>
      <c r="U1069" s="25"/>
      <c r="V1069" s="25">
        <v>471.99900000000002</v>
      </c>
      <c r="W1069" s="28" t="s">
        <v>13183</v>
      </c>
      <c r="X1069" s="28" t="s">
        <v>6285</v>
      </c>
      <c r="Y1069" s="28" t="s">
        <v>6286</v>
      </c>
      <c r="Z1069" s="28" t="s">
        <v>6287</v>
      </c>
      <c r="AA1069" s="28" t="s">
        <v>6288</v>
      </c>
      <c r="AB1069" s="28" t="s">
        <v>6297</v>
      </c>
    </row>
    <row r="1070" spans="1:28" ht="185.4" x14ac:dyDescent="0.3">
      <c r="A1070" s="25">
        <v>9221</v>
      </c>
      <c r="B1070" s="25" t="s">
        <v>13184</v>
      </c>
      <c r="C1070" s="25" t="s">
        <v>13185</v>
      </c>
      <c r="D1070" s="25" t="s">
        <v>6278</v>
      </c>
      <c r="E1070" s="16" t="s">
        <v>6279</v>
      </c>
      <c r="F1070" s="16" t="s">
        <v>6279</v>
      </c>
      <c r="G1070" s="16" t="s">
        <v>6279</v>
      </c>
      <c r="H1070" s="16" t="s">
        <v>6279</v>
      </c>
      <c r="I1070" s="25" t="s">
        <v>13186</v>
      </c>
      <c r="J1070" s="25"/>
      <c r="K1070" s="25" t="s">
        <v>6281</v>
      </c>
      <c r="L1070" s="26" t="s">
        <v>13187</v>
      </c>
      <c r="M1070" s="26" t="s">
        <v>6295</v>
      </c>
      <c r="N1070" s="27" t="s">
        <v>13188</v>
      </c>
      <c r="O1070" s="26" t="s">
        <v>6295</v>
      </c>
      <c r="P1070" s="20" t="b">
        <v>1</v>
      </c>
      <c r="Q1070" s="20" t="s">
        <v>6282</v>
      </c>
      <c r="R1070" s="28" t="s">
        <v>6283</v>
      </c>
      <c r="S1070" s="25"/>
      <c r="T1070" s="20" t="b">
        <v>1</v>
      </c>
      <c r="U1070" s="25"/>
      <c r="V1070" s="25">
        <v>325.08</v>
      </c>
      <c r="W1070" s="28" t="s">
        <v>13189</v>
      </c>
      <c r="X1070" s="28" t="s">
        <v>6285</v>
      </c>
      <c r="Y1070" s="28" t="s">
        <v>6286</v>
      </c>
      <c r="Z1070" s="28" t="s">
        <v>6287</v>
      </c>
      <c r="AA1070" s="28" t="s">
        <v>6288</v>
      </c>
      <c r="AB1070" s="28" t="s">
        <v>6297</v>
      </c>
    </row>
    <row r="1071" spans="1:28" ht="185.4" x14ac:dyDescent="0.3">
      <c r="A1071" s="25">
        <v>9222</v>
      </c>
      <c r="B1071" s="25" t="s">
        <v>13190</v>
      </c>
      <c r="C1071" s="25" t="s">
        <v>13191</v>
      </c>
      <c r="D1071" s="25" t="s">
        <v>6291</v>
      </c>
      <c r="E1071" s="16" t="s">
        <v>6292</v>
      </c>
      <c r="F1071" s="16" t="s">
        <v>6292</v>
      </c>
      <c r="G1071" s="16" t="s">
        <v>6292</v>
      </c>
      <c r="H1071" s="16" t="s">
        <v>6292</v>
      </c>
      <c r="I1071" s="25" t="s">
        <v>13192</v>
      </c>
      <c r="J1071" s="25"/>
      <c r="K1071" s="25" t="s">
        <v>6281</v>
      </c>
      <c r="L1071" s="26" t="s">
        <v>13193</v>
      </c>
      <c r="M1071" s="26" t="s">
        <v>6295</v>
      </c>
      <c r="N1071" s="27" t="s">
        <v>13194</v>
      </c>
      <c r="O1071" s="26" t="s">
        <v>6295</v>
      </c>
      <c r="P1071" s="20" t="b">
        <v>1</v>
      </c>
      <c r="Q1071" s="20" t="s">
        <v>6282</v>
      </c>
      <c r="R1071" s="28" t="s">
        <v>6283</v>
      </c>
      <c r="S1071" s="25"/>
      <c r="T1071" s="20" t="b">
        <v>1</v>
      </c>
      <c r="U1071" s="25"/>
      <c r="V1071" s="25" t="s">
        <v>6295</v>
      </c>
      <c r="W1071" s="28" t="s">
        <v>13195</v>
      </c>
      <c r="X1071" s="28" t="s">
        <v>6285</v>
      </c>
      <c r="Y1071" s="28" t="s">
        <v>6286</v>
      </c>
      <c r="Z1071" s="28" t="s">
        <v>6287</v>
      </c>
      <c r="AA1071" s="28" t="s">
        <v>6288</v>
      </c>
      <c r="AB1071" s="28" t="s">
        <v>6297</v>
      </c>
    </row>
    <row r="1072" spans="1:28" ht="185.4" x14ac:dyDescent="0.3">
      <c r="A1072" s="25">
        <v>9223</v>
      </c>
      <c r="B1072" s="25" t="s">
        <v>13196</v>
      </c>
      <c r="C1072" s="25" t="s">
        <v>13197</v>
      </c>
      <c r="D1072" s="25" t="s">
        <v>6291</v>
      </c>
      <c r="E1072" s="16" t="s">
        <v>6292</v>
      </c>
      <c r="F1072" s="16" t="s">
        <v>6292</v>
      </c>
      <c r="G1072" s="16" t="s">
        <v>6292</v>
      </c>
      <c r="H1072" s="16" t="s">
        <v>6292</v>
      </c>
      <c r="I1072" s="25" t="s">
        <v>13198</v>
      </c>
      <c r="J1072" s="25"/>
      <c r="K1072" s="25" t="s">
        <v>6281</v>
      </c>
      <c r="L1072" s="26" t="s">
        <v>13199</v>
      </c>
      <c r="M1072" s="26" t="s">
        <v>6295</v>
      </c>
      <c r="N1072" s="27" t="s">
        <v>13200</v>
      </c>
      <c r="O1072" s="26" t="s">
        <v>6295</v>
      </c>
      <c r="P1072" s="20" t="b">
        <v>1</v>
      </c>
      <c r="Q1072" s="20" t="s">
        <v>6282</v>
      </c>
      <c r="R1072" s="28" t="s">
        <v>6283</v>
      </c>
      <c r="S1072" s="25"/>
      <c r="T1072" s="20" t="b">
        <v>1</v>
      </c>
      <c r="U1072" s="25"/>
      <c r="V1072" s="25">
        <v>30.521000000000001</v>
      </c>
      <c r="W1072" s="28" t="s">
        <v>13201</v>
      </c>
      <c r="X1072" s="28" t="s">
        <v>6285</v>
      </c>
      <c r="Y1072" s="28" t="s">
        <v>6286</v>
      </c>
      <c r="Z1072" s="28" t="s">
        <v>6287</v>
      </c>
      <c r="AA1072" s="28" t="s">
        <v>6288</v>
      </c>
      <c r="AB1072" s="28" t="s">
        <v>6297</v>
      </c>
    </row>
    <row r="1073" spans="1:28" ht="185.4" x14ac:dyDescent="0.3">
      <c r="A1073" s="25">
        <v>9224</v>
      </c>
      <c r="B1073" s="25" t="s">
        <v>13202</v>
      </c>
      <c r="C1073" s="25" t="s">
        <v>13203</v>
      </c>
      <c r="D1073" s="25" t="s">
        <v>6278</v>
      </c>
      <c r="E1073" s="16" t="s">
        <v>6279</v>
      </c>
      <c r="F1073" s="16" t="s">
        <v>6279</v>
      </c>
      <c r="G1073" s="16" t="s">
        <v>6279</v>
      </c>
      <c r="H1073" s="16" t="s">
        <v>6279</v>
      </c>
      <c r="I1073" s="25" t="s">
        <v>13204</v>
      </c>
      <c r="J1073" s="25"/>
      <c r="K1073" s="25" t="s">
        <v>6281</v>
      </c>
      <c r="L1073" s="26" t="s">
        <v>13205</v>
      </c>
      <c r="M1073" s="26" t="s">
        <v>6295</v>
      </c>
      <c r="N1073" s="27" t="s">
        <v>13206</v>
      </c>
      <c r="O1073" s="26" t="s">
        <v>13207</v>
      </c>
      <c r="P1073" s="20" t="b">
        <v>1</v>
      </c>
      <c r="Q1073" s="20" t="s">
        <v>6282</v>
      </c>
      <c r="R1073" s="28" t="s">
        <v>6283</v>
      </c>
      <c r="S1073" s="25"/>
      <c r="T1073" s="20" t="b">
        <v>1</v>
      </c>
      <c r="U1073" s="25"/>
      <c r="V1073" s="25">
        <v>1279.4000000000001</v>
      </c>
      <c r="W1073" s="28" t="s">
        <v>13208</v>
      </c>
      <c r="X1073" s="28" t="s">
        <v>6285</v>
      </c>
      <c r="Y1073" s="28" t="s">
        <v>6286</v>
      </c>
      <c r="Z1073" s="28" t="s">
        <v>6287</v>
      </c>
      <c r="AA1073" s="28" t="s">
        <v>6288</v>
      </c>
      <c r="AB1073" s="28" t="s">
        <v>6297</v>
      </c>
    </row>
    <row r="1074" spans="1:28" ht="185.4" x14ac:dyDescent="0.3">
      <c r="A1074" s="25">
        <v>9225</v>
      </c>
      <c r="B1074" s="25" t="s">
        <v>13209</v>
      </c>
      <c r="C1074" s="25" t="s">
        <v>13210</v>
      </c>
      <c r="D1074" s="25" t="s">
        <v>6278</v>
      </c>
      <c r="E1074" s="16" t="s">
        <v>6279</v>
      </c>
      <c r="F1074" s="16" t="s">
        <v>6279</v>
      </c>
      <c r="G1074" s="16" t="s">
        <v>6279</v>
      </c>
      <c r="H1074" s="16" t="s">
        <v>6279</v>
      </c>
      <c r="I1074" s="25" t="s">
        <v>13211</v>
      </c>
      <c r="J1074" s="25"/>
      <c r="K1074" s="25" t="s">
        <v>6281</v>
      </c>
      <c r="L1074" s="26" t="s">
        <v>13212</v>
      </c>
      <c r="M1074" s="26" t="s">
        <v>6295</v>
      </c>
      <c r="N1074" s="27" t="s">
        <v>13213</v>
      </c>
      <c r="O1074" s="26" t="s">
        <v>13207</v>
      </c>
      <c r="P1074" s="20" t="b">
        <v>1</v>
      </c>
      <c r="Q1074" s="20" t="s">
        <v>6282</v>
      </c>
      <c r="R1074" s="28" t="s">
        <v>6283</v>
      </c>
      <c r="S1074" s="25"/>
      <c r="T1074" s="20" t="b">
        <v>1</v>
      </c>
      <c r="U1074" s="25"/>
      <c r="V1074" s="25">
        <v>1423.5</v>
      </c>
      <c r="W1074" s="28" t="s">
        <v>13214</v>
      </c>
      <c r="X1074" s="28" t="s">
        <v>6285</v>
      </c>
      <c r="Y1074" s="28" t="s">
        <v>6286</v>
      </c>
      <c r="Z1074" s="28" t="s">
        <v>6287</v>
      </c>
      <c r="AA1074" s="28" t="s">
        <v>6288</v>
      </c>
      <c r="AB1074" s="28" t="s">
        <v>6297</v>
      </c>
    </row>
    <row r="1075" spans="1:28" ht="185.4" x14ac:dyDescent="0.3">
      <c r="A1075" s="25">
        <v>9226</v>
      </c>
      <c r="B1075" s="25" t="s">
        <v>13215</v>
      </c>
      <c r="C1075" s="25" t="s">
        <v>13216</v>
      </c>
      <c r="D1075" s="25" t="s">
        <v>6278</v>
      </c>
      <c r="E1075" s="16" t="s">
        <v>6279</v>
      </c>
      <c r="F1075" s="16" t="s">
        <v>6279</v>
      </c>
      <c r="G1075" s="16" t="s">
        <v>6279</v>
      </c>
      <c r="H1075" s="16" t="s">
        <v>6279</v>
      </c>
      <c r="I1075" s="25" t="s">
        <v>13217</v>
      </c>
      <c r="J1075" s="25"/>
      <c r="K1075" s="25" t="s">
        <v>6281</v>
      </c>
      <c r="L1075" s="26" t="s">
        <v>13218</v>
      </c>
      <c r="M1075" s="26" t="s">
        <v>6295</v>
      </c>
      <c r="N1075" s="27" t="s">
        <v>13219</v>
      </c>
      <c r="O1075" s="26" t="s">
        <v>6295</v>
      </c>
      <c r="P1075" s="20" t="b">
        <v>1</v>
      </c>
      <c r="Q1075" s="20" t="s">
        <v>6282</v>
      </c>
      <c r="R1075" s="28" t="s">
        <v>6283</v>
      </c>
      <c r="S1075" s="25"/>
      <c r="T1075" s="20" t="b">
        <v>1</v>
      </c>
      <c r="U1075" s="25"/>
      <c r="V1075" s="25">
        <v>53.677</v>
      </c>
      <c r="W1075" s="28" t="s">
        <v>13220</v>
      </c>
      <c r="X1075" s="28" t="s">
        <v>6285</v>
      </c>
      <c r="Y1075" s="28" t="s">
        <v>6286</v>
      </c>
      <c r="Z1075" s="28" t="s">
        <v>6287</v>
      </c>
      <c r="AA1075" s="28" t="s">
        <v>6288</v>
      </c>
      <c r="AB1075" s="28" t="s">
        <v>6297</v>
      </c>
    </row>
    <row r="1076" spans="1:28" ht="185.4" x14ac:dyDescent="0.3">
      <c r="A1076" s="25">
        <v>9227</v>
      </c>
      <c r="B1076" s="25" t="s">
        <v>13221</v>
      </c>
      <c r="C1076" s="25" t="s">
        <v>13222</v>
      </c>
      <c r="D1076" s="25" t="s">
        <v>6278</v>
      </c>
      <c r="E1076" s="16" t="s">
        <v>6279</v>
      </c>
      <c r="F1076" s="16" t="s">
        <v>6279</v>
      </c>
      <c r="G1076" s="16" t="s">
        <v>6279</v>
      </c>
      <c r="H1076" s="16" t="s">
        <v>6279</v>
      </c>
      <c r="I1076" s="25" t="s">
        <v>13223</v>
      </c>
      <c r="J1076" s="25"/>
      <c r="K1076" s="25" t="s">
        <v>6281</v>
      </c>
      <c r="L1076" s="26" t="s">
        <v>13224</v>
      </c>
      <c r="M1076" s="26" t="s">
        <v>6295</v>
      </c>
      <c r="N1076" s="27" t="s">
        <v>13225</v>
      </c>
      <c r="O1076" s="26" t="s">
        <v>6295</v>
      </c>
      <c r="P1076" s="20" t="b">
        <v>1</v>
      </c>
      <c r="Q1076" s="20" t="s">
        <v>6282</v>
      </c>
      <c r="R1076" s="28" t="s">
        <v>6283</v>
      </c>
      <c r="S1076" s="25"/>
      <c r="T1076" s="20" t="b">
        <v>1</v>
      </c>
      <c r="U1076" s="25"/>
      <c r="V1076" s="25">
        <v>51.162500000000001</v>
      </c>
      <c r="W1076" s="28" t="s">
        <v>13226</v>
      </c>
      <c r="X1076" s="28" t="s">
        <v>6285</v>
      </c>
      <c r="Y1076" s="28" t="s">
        <v>6286</v>
      </c>
      <c r="Z1076" s="28" t="s">
        <v>6287</v>
      </c>
      <c r="AA1076" s="28" t="s">
        <v>6288</v>
      </c>
      <c r="AB1076" s="28" t="s">
        <v>6297</v>
      </c>
    </row>
    <row r="1077" spans="1:28" ht="185.4" x14ac:dyDescent="0.3">
      <c r="A1077" s="25">
        <v>9228</v>
      </c>
      <c r="B1077" s="25" t="s">
        <v>13227</v>
      </c>
      <c r="C1077" s="25" t="s">
        <v>13228</v>
      </c>
      <c r="D1077" s="25" t="s">
        <v>6278</v>
      </c>
      <c r="E1077" s="16" t="s">
        <v>6279</v>
      </c>
      <c r="F1077" s="16" t="s">
        <v>6279</v>
      </c>
      <c r="G1077" s="16" t="s">
        <v>6279</v>
      </c>
      <c r="H1077" s="16" t="s">
        <v>6279</v>
      </c>
      <c r="I1077" s="25" t="s">
        <v>13229</v>
      </c>
      <c r="J1077" s="25"/>
      <c r="K1077" s="25" t="s">
        <v>6281</v>
      </c>
      <c r="L1077" s="26" t="s">
        <v>13230</v>
      </c>
      <c r="M1077" s="26" t="s">
        <v>6295</v>
      </c>
      <c r="N1077" s="27" t="s">
        <v>13231</v>
      </c>
      <c r="O1077" s="26" t="s">
        <v>6295</v>
      </c>
      <c r="P1077" s="20" t="b">
        <v>1</v>
      </c>
      <c r="Q1077" s="20" t="s">
        <v>6282</v>
      </c>
      <c r="R1077" s="28" t="s">
        <v>6283</v>
      </c>
      <c r="S1077" s="25"/>
      <c r="T1077" s="20" t="b">
        <v>1</v>
      </c>
      <c r="U1077" s="25"/>
      <c r="V1077" s="25">
        <v>45.387999999999998</v>
      </c>
      <c r="W1077" s="28" t="s">
        <v>13232</v>
      </c>
      <c r="X1077" s="28" t="s">
        <v>6285</v>
      </c>
      <c r="Y1077" s="28" t="s">
        <v>6286</v>
      </c>
      <c r="Z1077" s="28" t="s">
        <v>6287</v>
      </c>
      <c r="AA1077" s="28" t="s">
        <v>6288</v>
      </c>
      <c r="AB1077" s="28" t="s">
        <v>6297</v>
      </c>
    </row>
    <row r="1078" spans="1:28" ht="185.4" x14ac:dyDescent="0.3">
      <c r="A1078" s="25">
        <v>9229</v>
      </c>
      <c r="B1078" s="25" t="s">
        <v>13233</v>
      </c>
      <c r="C1078" s="25" t="s">
        <v>13234</v>
      </c>
      <c r="D1078" s="25" t="s">
        <v>6278</v>
      </c>
      <c r="E1078" s="16" t="s">
        <v>6279</v>
      </c>
      <c r="F1078" s="16" t="s">
        <v>6279</v>
      </c>
      <c r="G1078" s="16" t="s">
        <v>6279</v>
      </c>
      <c r="H1078" s="16" t="s">
        <v>6279</v>
      </c>
      <c r="I1078" s="25" t="s">
        <v>13235</v>
      </c>
      <c r="J1078" s="25"/>
      <c r="K1078" s="25" t="s">
        <v>6281</v>
      </c>
      <c r="L1078" s="26" t="s">
        <v>13236</v>
      </c>
      <c r="M1078" s="26" t="s">
        <v>6295</v>
      </c>
      <c r="N1078" s="27" t="s">
        <v>13237</v>
      </c>
      <c r="O1078" s="26" t="s">
        <v>6295</v>
      </c>
      <c r="P1078" s="20" t="b">
        <v>1</v>
      </c>
      <c r="Q1078" s="20" t="s">
        <v>6282</v>
      </c>
      <c r="R1078" s="28" t="s">
        <v>6283</v>
      </c>
      <c r="S1078" s="25"/>
      <c r="T1078" s="20" t="b">
        <v>1</v>
      </c>
      <c r="U1078" s="25"/>
      <c r="V1078" s="25">
        <v>56.171999999999997</v>
      </c>
      <c r="W1078" s="28" t="s">
        <v>13238</v>
      </c>
      <c r="X1078" s="28" t="s">
        <v>6285</v>
      </c>
      <c r="Y1078" s="28" t="s">
        <v>6286</v>
      </c>
      <c r="Z1078" s="28" t="s">
        <v>6287</v>
      </c>
      <c r="AA1078" s="28" t="s">
        <v>6288</v>
      </c>
      <c r="AB1078" s="28" t="s">
        <v>6297</v>
      </c>
    </row>
    <row r="1079" spans="1:28" ht="185.4" x14ac:dyDescent="0.3">
      <c r="A1079" s="25">
        <v>9230</v>
      </c>
      <c r="B1079" s="25" t="s">
        <v>13239</v>
      </c>
      <c r="C1079" s="25" t="s">
        <v>13240</v>
      </c>
      <c r="D1079" s="25" t="s">
        <v>6278</v>
      </c>
      <c r="E1079" s="16" t="s">
        <v>6279</v>
      </c>
      <c r="F1079" s="16" t="s">
        <v>6279</v>
      </c>
      <c r="G1079" s="16" t="s">
        <v>6279</v>
      </c>
      <c r="H1079" s="16" t="s">
        <v>6279</v>
      </c>
      <c r="I1079" s="25" t="s">
        <v>13241</v>
      </c>
      <c r="J1079" s="25"/>
      <c r="K1079" s="25" t="s">
        <v>6281</v>
      </c>
      <c r="L1079" s="26" t="s">
        <v>13242</v>
      </c>
      <c r="M1079" s="26" t="s">
        <v>13243</v>
      </c>
      <c r="N1079" s="27" t="s">
        <v>13244</v>
      </c>
      <c r="O1079" s="26" t="s">
        <v>6295</v>
      </c>
      <c r="P1079" s="20" t="b">
        <v>1</v>
      </c>
      <c r="Q1079" s="20" t="s">
        <v>6282</v>
      </c>
      <c r="R1079" s="28" t="s">
        <v>6283</v>
      </c>
      <c r="S1079" s="25"/>
      <c r="T1079" s="20" t="b">
        <v>1</v>
      </c>
      <c r="U1079" s="25"/>
      <c r="V1079" s="25">
        <v>7.3920000000000003</v>
      </c>
      <c r="W1079" s="28" t="s">
        <v>13245</v>
      </c>
      <c r="X1079" s="28" t="s">
        <v>6285</v>
      </c>
      <c r="Y1079" s="28" t="s">
        <v>6286</v>
      </c>
      <c r="Z1079" s="28" t="s">
        <v>6287</v>
      </c>
      <c r="AA1079" s="28" t="s">
        <v>6288</v>
      </c>
      <c r="AB1079" s="28" t="s">
        <v>6297</v>
      </c>
    </row>
    <row r="1080" spans="1:28" ht="185.4" x14ac:dyDescent="0.3">
      <c r="A1080" s="25">
        <v>9231</v>
      </c>
      <c r="B1080" s="25" t="s">
        <v>13246</v>
      </c>
      <c r="C1080" s="25" t="s">
        <v>13247</v>
      </c>
      <c r="D1080" s="25" t="s">
        <v>6291</v>
      </c>
      <c r="E1080" s="16" t="s">
        <v>6786</v>
      </c>
      <c r="F1080" s="16" t="s">
        <v>6786</v>
      </c>
      <c r="G1080" s="16" t="s">
        <v>6786</v>
      </c>
      <c r="H1080" s="16" t="s">
        <v>6786</v>
      </c>
      <c r="I1080" s="25" t="s">
        <v>13248</v>
      </c>
      <c r="J1080" s="25"/>
      <c r="K1080" s="25" t="s">
        <v>6281</v>
      </c>
      <c r="L1080" s="26" t="s">
        <v>13249</v>
      </c>
      <c r="M1080" s="26" t="s">
        <v>13250</v>
      </c>
      <c r="N1080" s="27" t="s">
        <v>10791</v>
      </c>
      <c r="O1080" s="26" t="s">
        <v>6295</v>
      </c>
      <c r="P1080" s="20" t="b">
        <v>1</v>
      </c>
      <c r="Q1080" s="20" t="s">
        <v>6282</v>
      </c>
      <c r="R1080" s="28" t="s">
        <v>6283</v>
      </c>
      <c r="S1080" s="25"/>
      <c r="T1080" s="20" t="b">
        <v>1</v>
      </c>
      <c r="U1080" s="25"/>
      <c r="V1080" s="25">
        <v>7200</v>
      </c>
      <c r="W1080" s="28" t="s">
        <v>13251</v>
      </c>
      <c r="X1080" s="28" t="s">
        <v>6285</v>
      </c>
      <c r="Y1080" s="28" t="s">
        <v>6286</v>
      </c>
      <c r="Z1080" s="28" t="s">
        <v>6287</v>
      </c>
      <c r="AA1080" s="28" t="s">
        <v>6288</v>
      </c>
      <c r="AB1080" s="28" t="s">
        <v>6297</v>
      </c>
    </row>
    <row r="1081" spans="1:28" ht="185.4" x14ac:dyDescent="0.3">
      <c r="A1081" s="25">
        <v>9232</v>
      </c>
      <c r="B1081" s="25" t="s">
        <v>13252</v>
      </c>
      <c r="C1081" s="25" t="s">
        <v>13253</v>
      </c>
      <c r="D1081" s="25" t="s">
        <v>6291</v>
      </c>
      <c r="E1081" s="16" t="s">
        <v>6292</v>
      </c>
      <c r="F1081" s="16" t="s">
        <v>6292</v>
      </c>
      <c r="G1081" s="16" t="s">
        <v>6292</v>
      </c>
      <c r="H1081" s="16" t="s">
        <v>6292</v>
      </c>
      <c r="I1081" s="25" t="s">
        <v>13254</v>
      </c>
      <c r="J1081" s="25"/>
      <c r="K1081" s="25" t="s">
        <v>6281</v>
      </c>
      <c r="L1081" s="26" t="s">
        <v>13255</v>
      </c>
      <c r="M1081" s="26" t="s">
        <v>6295</v>
      </c>
      <c r="N1081" s="27" t="s">
        <v>13256</v>
      </c>
      <c r="O1081" s="26" t="s">
        <v>6295</v>
      </c>
      <c r="P1081" s="20" t="b">
        <v>1</v>
      </c>
      <c r="Q1081" s="20" t="s">
        <v>6282</v>
      </c>
      <c r="R1081" s="28" t="s">
        <v>6283</v>
      </c>
      <c r="S1081" s="25"/>
      <c r="T1081" s="20" t="b">
        <v>1</v>
      </c>
      <c r="U1081" s="25"/>
      <c r="V1081" s="25">
        <v>171.8604</v>
      </c>
      <c r="W1081" s="28" t="s">
        <v>13257</v>
      </c>
      <c r="X1081" s="28" t="s">
        <v>6285</v>
      </c>
      <c r="Y1081" s="28" t="s">
        <v>6286</v>
      </c>
      <c r="Z1081" s="28" t="s">
        <v>6287</v>
      </c>
      <c r="AA1081" s="28" t="s">
        <v>6288</v>
      </c>
      <c r="AB1081" s="28" t="s">
        <v>6297</v>
      </c>
    </row>
    <row r="1082" spans="1:28" ht="185.4" x14ac:dyDescent="0.3">
      <c r="A1082" s="25">
        <v>9233</v>
      </c>
      <c r="B1082" s="25" t="s">
        <v>13258</v>
      </c>
      <c r="C1082" s="25" t="s">
        <v>13259</v>
      </c>
      <c r="D1082" s="25" t="s">
        <v>6291</v>
      </c>
      <c r="E1082" s="16" t="s">
        <v>6786</v>
      </c>
      <c r="F1082" s="16" t="s">
        <v>6786</v>
      </c>
      <c r="G1082" s="16" t="s">
        <v>6786</v>
      </c>
      <c r="H1082" s="16" t="s">
        <v>6786</v>
      </c>
      <c r="I1082" s="25" t="s">
        <v>13260</v>
      </c>
      <c r="J1082" s="25"/>
      <c r="K1082" s="25" t="s">
        <v>6281</v>
      </c>
      <c r="L1082" s="26" t="s">
        <v>13261</v>
      </c>
      <c r="M1082" s="26" t="s">
        <v>6295</v>
      </c>
      <c r="N1082" s="27" t="s">
        <v>13262</v>
      </c>
      <c r="O1082" s="26" t="s">
        <v>6295</v>
      </c>
      <c r="P1082" s="20" t="b">
        <v>1</v>
      </c>
      <c r="Q1082" s="20" t="s">
        <v>6282</v>
      </c>
      <c r="R1082" s="28" t="s">
        <v>6283</v>
      </c>
      <c r="S1082" s="25"/>
      <c r="T1082" s="20" t="b">
        <v>1</v>
      </c>
      <c r="U1082" s="25"/>
      <c r="V1082" s="25">
        <v>2.1175000000000002</v>
      </c>
      <c r="W1082" s="28" t="s">
        <v>13263</v>
      </c>
      <c r="X1082" s="28" t="s">
        <v>6285</v>
      </c>
      <c r="Y1082" s="28" t="s">
        <v>6286</v>
      </c>
      <c r="Z1082" s="28" t="s">
        <v>6287</v>
      </c>
      <c r="AA1082" s="28" t="s">
        <v>6288</v>
      </c>
      <c r="AB1082" s="28" t="s">
        <v>6297</v>
      </c>
    </row>
    <row r="1083" spans="1:28" ht="185.4" x14ac:dyDescent="0.3">
      <c r="A1083" s="25">
        <v>9234</v>
      </c>
      <c r="B1083" s="25" t="s">
        <v>13264</v>
      </c>
      <c r="C1083" s="25" t="s">
        <v>13265</v>
      </c>
      <c r="D1083" s="25" t="s">
        <v>6291</v>
      </c>
      <c r="E1083" s="16" t="s">
        <v>6786</v>
      </c>
      <c r="F1083" s="16" t="s">
        <v>6786</v>
      </c>
      <c r="G1083" s="16" t="s">
        <v>6786</v>
      </c>
      <c r="H1083" s="16" t="s">
        <v>6786</v>
      </c>
      <c r="I1083" s="25" t="s">
        <v>13266</v>
      </c>
      <c r="J1083" s="25"/>
      <c r="K1083" s="25" t="s">
        <v>6281</v>
      </c>
      <c r="L1083" s="26" t="s">
        <v>13267</v>
      </c>
      <c r="M1083" s="26" t="s">
        <v>6295</v>
      </c>
      <c r="N1083" s="27" t="s">
        <v>13268</v>
      </c>
      <c r="O1083" s="26" t="s">
        <v>6295</v>
      </c>
      <c r="P1083" s="20" t="b">
        <v>1</v>
      </c>
      <c r="Q1083" s="20" t="s">
        <v>6282</v>
      </c>
      <c r="R1083" s="28" t="s">
        <v>6283</v>
      </c>
      <c r="S1083" s="25"/>
      <c r="T1083" s="20" t="b">
        <v>1</v>
      </c>
      <c r="U1083" s="25"/>
      <c r="V1083" s="25">
        <v>2.3309000000000002</v>
      </c>
      <c r="W1083" s="28" t="s">
        <v>13269</v>
      </c>
      <c r="X1083" s="28" t="s">
        <v>6285</v>
      </c>
      <c r="Y1083" s="28" t="s">
        <v>6286</v>
      </c>
      <c r="Z1083" s="28" t="s">
        <v>6287</v>
      </c>
      <c r="AA1083" s="28" t="s">
        <v>6288</v>
      </c>
      <c r="AB1083" s="28" t="s">
        <v>6297</v>
      </c>
    </row>
    <row r="1084" spans="1:28" ht="185.4" x14ac:dyDescent="0.3">
      <c r="A1084" s="25">
        <v>9235</v>
      </c>
      <c r="B1084" s="25" t="s">
        <v>13270</v>
      </c>
      <c r="C1084" s="25" t="s">
        <v>13271</v>
      </c>
      <c r="D1084" s="25" t="s">
        <v>6291</v>
      </c>
      <c r="E1084" s="16" t="s">
        <v>6786</v>
      </c>
      <c r="F1084" s="16" t="s">
        <v>6786</v>
      </c>
      <c r="G1084" s="16" t="s">
        <v>6786</v>
      </c>
      <c r="H1084" s="16" t="s">
        <v>6786</v>
      </c>
      <c r="I1084" s="25" t="s">
        <v>13272</v>
      </c>
      <c r="J1084" s="25"/>
      <c r="K1084" s="25" t="s">
        <v>6281</v>
      </c>
      <c r="L1084" s="26" t="s">
        <v>13273</v>
      </c>
      <c r="M1084" s="26" t="s">
        <v>6295</v>
      </c>
      <c r="N1084" s="27" t="s">
        <v>13274</v>
      </c>
      <c r="O1084" s="26" t="s">
        <v>6295</v>
      </c>
      <c r="P1084" s="20" t="b">
        <v>1</v>
      </c>
      <c r="Q1084" s="20" t="s">
        <v>6282</v>
      </c>
      <c r="R1084" s="28" t="s">
        <v>6283</v>
      </c>
      <c r="S1084" s="25"/>
      <c r="T1084" s="20" t="b">
        <v>1</v>
      </c>
      <c r="U1084" s="25"/>
      <c r="V1084" s="25">
        <v>2.5122</v>
      </c>
      <c r="W1084" s="28" t="s">
        <v>13275</v>
      </c>
      <c r="X1084" s="28" t="s">
        <v>6285</v>
      </c>
      <c r="Y1084" s="28" t="s">
        <v>6286</v>
      </c>
      <c r="Z1084" s="28" t="s">
        <v>6287</v>
      </c>
      <c r="AA1084" s="28" t="s">
        <v>6288</v>
      </c>
      <c r="AB1084" s="28" t="s">
        <v>6297</v>
      </c>
    </row>
    <row r="1085" spans="1:28" ht="185.4" x14ac:dyDescent="0.3">
      <c r="A1085" s="25">
        <v>9236</v>
      </c>
      <c r="B1085" s="25" t="s">
        <v>13276</v>
      </c>
      <c r="C1085" s="25" t="s">
        <v>13277</v>
      </c>
      <c r="D1085" s="25" t="s">
        <v>6291</v>
      </c>
      <c r="E1085" s="16" t="s">
        <v>6786</v>
      </c>
      <c r="F1085" s="16" t="s">
        <v>6786</v>
      </c>
      <c r="G1085" s="16" t="s">
        <v>6786</v>
      </c>
      <c r="H1085" s="16" t="s">
        <v>6786</v>
      </c>
      <c r="I1085" s="25" t="s">
        <v>13278</v>
      </c>
      <c r="J1085" s="25"/>
      <c r="K1085" s="25" t="s">
        <v>6281</v>
      </c>
      <c r="L1085" s="26" t="s">
        <v>13279</v>
      </c>
      <c r="M1085" s="26" t="s">
        <v>6295</v>
      </c>
      <c r="N1085" s="27" t="s">
        <v>13280</v>
      </c>
      <c r="O1085" s="26" t="s">
        <v>6295</v>
      </c>
      <c r="P1085" s="20" t="b">
        <v>1</v>
      </c>
      <c r="Q1085" s="20" t="s">
        <v>6282</v>
      </c>
      <c r="R1085" s="28" t="s">
        <v>6283</v>
      </c>
      <c r="S1085" s="25"/>
      <c r="T1085" s="20" t="b">
        <v>1</v>
      </c>
      <c r="U1085" s="25"/>
      <c r="V1085" s="25">
        <v>2.6315</v>
      </c>
      <c r="W1085" s="28" t="s">
        <v>13281</v>
      </c>
      <c r="X1085" s="28" t="s">
        <v>6285</v>
      </c>
      <c r="Y1085" s="28" t="s">
        <v>6286</v>
      </c>
      <c r="Z1085" s="28" t="s">
        <v>6287</v>
      </c>
      <c r="AA1085" s="28" t="s">
        <v>6288</v>
      </c>
      <c r="AB1085" s="28" t="s">
        <v>6297</v>
      </c>
    </row>
    <row r="1086" spans="1:28" ht="185.4" x14ac:dyDescent="0.3">
      <c r="A1086" s="25">
        <v>9237</v>
      </c>
      <c r="B1086" s="25" t="s">
        <v>13282</v>
      </c>
      <c r="C1086" s="25" t="s">
        <v>13283</v>
      </c>
      <c r="D1086" s="25" t="s">
        <v>6278</v>
      </c>
      <c r="E1086" s="16" t="s">
        <v>6279</v>
      </c>
      <c r="F1086" s="16" t="s">
        <v>6279</v>
      </c>
      <c r="G1086" s="16" t="s">
        <v>6279</v>
      </c>
      <c r="H1086" s="16" t="s">
        <v>6279</v>
      </c>
      <c r="I1086" s="25" t="s">
        <v>13284</v>
      </c>
      <c r="J1086" s="25"/>
      <c r="K1086" s="25" t="s">
        <v>6281</v>
      </c>
      <c r="L1086" s="26" t="s">
        <v>13285</v>
      </c>
      <c r="M1086" s="26" t="s">
        <v>13286</v>
      </c>
      <c r="N1086" s="27" t="s">
        <v>13287</v>
      </c>
      <c r="O1086" s="26" t="s">
        <v>13286</v>
      </c>
      <c r="P1086" s="20" t="b">
        <v>1</v>
      </c>
      <c r="Q1086" s="20" t="s">
        <v>6282</v>
      </c>
      <c r="R1086" s="28" t="s">
        <v>6283</v>
      </c>
      <c r="S1086" s="25"/>
      <c r="T1086" s="20" t="b">
        <v>1</v>
      </c>
      <c r="U1086" s="25"/>
      <c r="V1086" s="25" t="s">
        <v>6295</v>
      </c>
      <c r="W1086" s="28" t="s">
        <v>13288</v>
      </c>
      <c r="X1086" s="28" t="s">
        <v>6285</v>
      </c>
      <c r="Y1086" s="28" t="s">
        <v>6286</v>
      </c>
      <c r="Z1086" s="28" t="s">
        <v>6287</v>
      </c>
      <c r="AA1086" s="28" t="s">
        <v>6288</v>
      </c>
      <c r="AB1086" s="28" t="s">
        <v>6297</v>
      </c>
    </row>
    <row r="1087" spans="1:28" ht="185.4" x14ac:dyDescent="0.3">
      <c r="A1087" s="25">
        <v>9238</v>
      </c>
      <c r="B1087" s="25" t="s">
        <v>13289</v>
      </c>
      <c r="C1087" s="25" t="s">
        <v>13290</v>
      </c>
      <c r="D1087" s="25" t="s">
        <v>6291</v>
      </c>
      <c r="E1087" s="16" t="s">
        <v>6292</v>
      </c>
      <c r="F1087" s="16" t="s">
        <v>6292</v>
      </c>
      <c r="G1087" s="16" t="s">
        <v>6292</v>
      </c>
      <c r="H1087" s="16" t="s">
        <v>6292</v>
      </c>
      <c r="I1087" s="25" t="s">
        <v>13291</v>
      </c>
      <c r="J1087" s="25"/>
      <c r="K1087" s="25" t="s">
        <v>6281</v>
      </c>
      <c r="L1087" s="26" t="s">
        <v>13292</v>
      </c>
      <c r="M1087" s="26" t="s">
        <v>13293</v>
      </c>
      <c r="N1087" s="27" t="s">
        <v>13294</v>
      </c>
      <c r="O1087" s="26" t="s">
        <v>6295</v>
      </c>
      <c r="P1087" s="20" t="b">
        <v>1</v>
      </c>
      <c r="Q1087" s="20" t="s">
        <v>6282</v>
      </c>
      <c r="R1087" s="28" t="s">
        <v>6283</v>
      </c>
      <c r="S1087" s="25"/>
      <c r="T1087" s="20" t="b">
        <v>1</v>
      </c>
      <c r="U1087" s="25"/>
      <c r="V1087" s="25">
        <v>54.427999999999997</v>
      </c>
      <c r="W1087" s="28" t="s">
        <v>13295</v>
      </c>
      <c r="X1087" s="28" t="s">
        <v>6285</v>
      </c>
      <c r="Y1087" s="28" t="s">
        <v>6286</v>
      </c>
      <c r="Z1087" s="28" t="s">
        <v>6287</v>
      </c>
      <c r="AA1087" s="28" t="s">
        <v>6288</v>
      </c>
      <c r="AB1087" s="28" t="s">
        <v>6297</v>
      </c>
    </row>
    <row r="1088" spans="1:28" ht="185.4" x14ac:dyDescent="0.3">
      <c r="A1088" s="25">
        <v>9239</v>
      </c>
      <c r="B1088" s="25" t="s">
        <v>13296</v>
      </c>
      <c r="C1088" s="25" t="s">
        <v>13297</v>
      </c>
      <c r="D1088" s="25" t="s">
        <v>6370</v>
      </c>
      <c r="E1088" s="16" t="s">
        <v>6371</v>
      </c>
      <c r="F1088" s="16" t="s">
        <v>6371</v>
      </c>
      <c r="G1088" s="16" t="s">
        <v>6371</v>
      </c>
      <c r="H1088" s="16" t="s">
        <v>6371</v>
      </c>
      <c r="I1088" s="25" t="s">
        <v>13298</v>
      </c>
      <c r="J1088" s="25"/>
      <c r="K1088" s="25" t="s">
        <v>6281</v>
      </c>
      <c r="L1088" s="26" t="s">
        <v>13299</v>
      </c>
      <c r="M1088" s="26" t="s">
        <v>13300</v>
      </c>
      <c r="N1088" s="27" t="s">
        <v>13301</v>
      </c>
      <c r="O1088" s="26" t="s">
        <v>11952</v>
      </c>
      <c r="P1088" s="20" t="b">
        <v>1</v>
      </c>
      <c r="Q1088" s="20" t="s">
        <v>6282</v>
      </c>
      <c r="R1088" s="28" t="s">
        <v>6283</v>
      </c>
      <c r="S1088" s="25"/>
      <c r="T1088" s="20" t="b">
        <v>1</v>
      </c>
      <c r="U1088" s="25"/>
      <c r="V1088" s="25">
        <v>83.31</v>
      </c>
      <c r="W1088" s="28" t="s">
        <v>13302</v>
      </c>
      <c r="X1088" s="28" t="s">
        <v>6285</v>
      </c>
      <c r="Y1088" s="28" t="s">
        <v>6286</v>
      </c>
      <c r="Z1088" s="28" t="s">
        <v>6287</v>
      </c>
      <c r="AA1088" s="28" t="s">
        <v>6288</v>
      </c>
      <c r="AB1088" s="28" t="s">
        <v>6297</v>
      </c>
    </row>
    <row r="1089" spans="1:28" ht="185.4" x14ac:dyDescent="0.3">
      <c r="A1089" s="25">
        <v>9240</v>
      </c>
      <c r="B1089" s="25" t="s">
        <v>13303</v>
      </c>
      <c r="C1089" s="25" t="s">
        <v>13304</v>
      </c>
      <c r="D1089" s="25" t="s">
        <v>6291</v>
      </c>
      <c r="E1089" s="16" t="s">
        <v>6292</v>
      </c>
      <c r="F1089" s="16" t="s">
        <v>6292</v>
      </c>
      <c r="G1089" s="16" t="s">
        <v>6292</v>
      </c>
      <c r="H1089" s="16" t="s">
        <v>6292</v>
      </c>
      <c r="I1089" s="25" t="s">
        <v>13305</v>
      </c>
      <c r="J1089" s="25"/>
      <c r="K1089" s="25" t="s">
        <v>6281</v>
      </c>
      <c r="L1089" s="26" t="s">
        <v>13306</v>
      </c>
      <c r="M1089" s="26" t="s">
        <v>6295</v>
      </c>
      <c r="N1089" s="27" t="s">
        <v>13307</v>
      </c>
      <c r="O1089" s="26" t="s">
        <v>13308</v>
      </c>
      <c r="P1089" s="20" t="b">
        <v>1</v>
      </c>
      <c r="Q1089" s="20" t="s">
        <v>6282</v>
      </c>
      <c r="R1089" s="28" t="s">
        <v>6283</v>
      </c>
      <c r="S1089" s="25"/>
      <c r="T1089" s="20" t="b">
        <v>1</v>
      </c>
      <c r="U1089" s="25"/>
      <c r="V1089" s="25">
        <v>55.066000000000003</v>
      </c>
      <c r="W1089" s="28" t="s">
        <v>13309</v>
      </c>
      <c r="X1089" s="28" t="s">
        <v>6285</v>
      </c>
      <c r="Y1089" s="28" t="s">
        <v>6286</v>
      </c>
      <c r="Z1089" s="28" t="s">
        <v>6287</v>
      </c>
      <c r="AA1089" s="28" t="s">
        <v>6288</v>
      </c>
      <c r="AB1089" s="28" t="s">
        <v>6297</v>
      </c>
    </row>
    <row r="1090" spans="1:28" ht="185.4" x14ac:dyDescent="0.3">
      <c r="A1090" s="25">
        <v>9241</v>
      </c>
      <c r="B1090" s="25" t="s">
        <v>13310</v>
      </c>
      <c r="C1090" s="25" t="s">
        <v>13311</v>
      </c>
      <c r="D1090" s="25" t="s">
        <v>6291</v>
      </c>
      <c r="E1090" s="16" t="s">
        <v>6786</v>
      </c>
      <c r="F1090" s="16" t="s">
        <v>6786</v>
      </c>
      <c r="G1090" s="16" t="s">
        <v>6786</v>
      </c>
      <c r="H1090" s="16" t="s">
        <v>6786</v>
      </c>
      <c r="I1090" s="25" t="s">
        <v>13312</v>
      </c>
      <c r="J1090" s="25"/>
      <c r="K1090" s="25" t="s">
        <v>6281</v>
      </c>
      <c r="L1090" s="26" t="s">
        <v>13313</v>
      </c>
      <c r="M1090" s="26" t="s">
        <v>6295</v>
      </c>
      <c r="N1090" s="27" t="s">
        <v>13314</v>
      </c>
      <c r="O1090" s="26" t="s">
        <v>6295</v>
      </c>
      <c r="P1090" s="20" t="b">
        <v>1</v>
      </c>
      <c r="Q1090" s="20" t="s">
        <v>6282</v>
      </c>
      <c r="R1090" s="28" t="s">
        <v>6283</v>
      </c>
      <c r="S1090" s="25"/>
      <c r="T1090" s="20" t="b">
        <v>1</v>
      </c>
      <c r="U1090" s="25"/>
      <c r="V1090" s="25">
        <v>118.23950000000001</v>
      </c>
      <c r="W1090" s="28" t="s">
        <v>13315</v>
      </c>
      <c r="X1090" s="28" t="s">
        <v>6285</v>
      </c>
      <c r="Y1090" s="28" t="s">
        <v>6286</v>
      </c>
      <c r="Z1090" s="28" t="s">
        <v>6287</v>
      </c>
      <c r="AA1090" s="28" t="s">
        <v>6288</v>
      </c>
      <c r="AB1090" s="28" t="s">
        <v>6297</v>
      </c>
    </row>
    <row r="1091" spans="1:28" ht="185.4" x14ac:dyDescent="0.3">
      <c r="A1091" s="25">
        <v>9242</v>
      </c>
      <c r="B1091" s="25" t="s">
        <v>13316</v>
      </c>
      <c r="C1091" s="25" t="s">
        <v>13317</v>
      </c>
      <c r="D1091" s="25" t="s">
        <v>6278</v>
      </c>
      <c r="E1091" s="16" t="s">
        <v>6279</v>
      </c>
      <c r="F1091" s="16" t="s">
        <v>6279</v>
      </c>
      <c r="G1091" s="16" t="s">
        <v>6279</v>
      </c>
      <c r="H1091" s="16" t="s">
        <v>6279</v>
      </c>
      <c r="I1091" s="25" t="s">
        <v>13318</v>
      </c>
      <c r="J1091" s="25"/>
      <c r="K1091" s="25" t="s">
        <v>6281</v>
      </c>
      <c r="L1091" s="26" t="s">
        <v>13319</v>
      </c>
      <c r="M1091" s="26" t="s">
        <v>6295</v>
      </c>
      <c r="N1091" s="27" t="s">
        <v>13320</v>
      </c>
      <c r="O1091" s="26" t="s">
        <v>6295</v>
      </c>
      <c r="P1091" s="20" t="b">
        <v>1</v>
      </c>
      <c r="Q1091" s="20" t="s">
        <v>6282</v>
      </c>
      <c r="R1091" s="28" t="s">
        <v>6283</v>
      </c>
      <c r="S1091" s="25"/>
      <c r="T1091" s="20" t="b">
        <v>1</v>
      </c>
      <c r="U1091" s="25"/>
      <c r="V1091" s="25">
        <v>727.44</v>
      </c>
      <c r="W1091" s="28" t="s">
        <v>13321</v>
      </c>
      <c r="X1091" s="28" t="s">
        <v>6285</v>
      </c>
      <c r="Y1091" s="28" t="s">
        <v>6286</v>
      </c>
      <c r="Z1091" s="28" t="s">
        <v>6287</v>
      </c>
      <c r="AA1091" s="28" t="s">
        <v>6288</v>
      </c>
      <c r="AB1091" s="28" t="s">
        <v>6297</v>
      </c>
    </row>
    <row r="1092" spans="1:28" ht="185.4" x14ac:dyDescent="0.3">
      <c r="A1092" s="25">
        <v>9243</v>
      </c>
      <c r="B1092" s="25" t="s">
        <v>13322</v>
      </c>
      <c r="C1092" s="25" t="s">
        <v>13323</v>
      </c>
      <c r="D1092" s="25" t="s">
        <v>6291</v>
      </c>
      <c r="E1092" s="16" t="s">
        <v>6292</v>
      </c>
      <c r="F1092" s="16" t="s">
        <v>6292</v>
      </c>
      <c r="G1092" s="16" t="s">
        <v>6292</v>
      </c>
      <c r="H1092" s="16" t="s">
        <v>6292</v>
      </c>
      <c r="I1092" s="25" t="s">
        <v>13324</v>
      </c>
      <c r="J1092" s="25"/>
      <c r="K1092" s="25" t="s">
        <v>6281</v>
      </c>
      <c r="L1092" s="26" t="s">
        <v>13325</v>
      </c>
      <c r="M1092" s="26" t="s">
        <v>13326</v>
      </c>
      <c r="N1092" s="27" t="s">
        <v>13327</v>
      </c>
      <c r="O1092" s="26" t="s">
        <v>6295</v>
      </c>
      <c r="P1092" s="20" t="b">
        <v>1</v>
      </c>
      <c r="Q1092" s="20" t="s">
        <v>6282</v>
      </c>
      <c r="R1092" s="28" t="s">
        <v>6283</v>
      </c>
      <c r="S1092" s="25"/>
      <c r="T1092" s="20" t="b">
        <v>1</v>
      </c>
      <c r="U1092" s="25"/>
      <c r="V1092" s="25">
        <v>6.5449999999999999</v>
      </c>
      <c r="W1092" s="28" t="s">
        <v>13328</v>
      </c>
      <c r="X1092" s="28" t="s">
        <v>6285</v>
      </c>
      <c r="Y1092" s="28" t="s">
        <v>6286</v>
      </c>
      <c r="Z1092" s="28" t="s">
        <v>6287</v>
      </c>
      <c r="AA1092" s="28" t="s">
        <v>6288</v>
      </c>
      <c r="AB1092" s="28" t="s">
        <v>6297</v>
      </c>
    </row>
    <row r="1093" spans="1:28" ht="185.4" x14ac:dyDescent="0.3">
      <c r="A1093" s="25">
        <v>9244</v>
      </c>
      <c r="B1093" s="25" t="s">
        <v>13329</v>
      </c>
      <c r="C1093" s="25" t="s">
        <v>13330</v>
      </c>
      <c r="D1093" s="25" t="s">
        <v>6291</v>
      </c>
      <c r="E1093" s="16" t="s">
        <v>6292</v>
      </c>
      <c r="F1093" s="16" t="s">
        <v>6292</v>
      </c>
      <c r="G1093" s="16" t="s">
        <v>6292</v>
      </c>
      <c r="H1093" s="16" t="s">
        <v>6292</v>
      </c>
      <c r="I1093" s="25" t="s">
        <v>13331</v>
      </c>
      <c r="J1093" s="25"/>
      <c r="K1093" s="25" t="s">
        <v>6281</v>
      </c>
      <c r="L1093" s="26" t="s">
        <v>13332</v>
      </c>
      <c r="M1093" s="26" t="s">
        <v>6295</v>
      </c>
      <c r="N1093" s="27" t="s">
        <v>13333</v>
      </c>
      <c r="O1093" s="26" t="s">
        <v>6295</v>
      </c>
      <c r="P1093" s="20" t="b">
        <v>1</v>
      </c>
      <c r="Q1093" s="20" t="s">
        <v>6282</v>
      </c>
      <c r="R1093" s="28" t="s">
        <v>6283</v>
      </c>
      <c r="S1093" s="25"/>
      <c r="T1093" s="20" t="b">
        <v>1</v>
      </c>
      <c r="U1093" s="25"/>
      <c r="V1093" s="25">
        <v>336.65</v>
      </c>
      <c r="W1093" s="28" t="s">
        <v>13334</v>
      </c>
      <c r="X1093" s="28" t="s">
        <v>6285</v>
      </c>
      <c r="Y1093" s="28" t="s">
        <v>6286</v>
      </c>
      <c r="Z1093" s="28" t="s">
        <v>6287</v>
      </c>
      <c r="AA1093" s="28" t="s">
        <v>6288</v>
      </c>
      <c r="AB1093" s="28" t="s">
        <v>6297</v>
      </c>
    </row>
    <row r="1094" spans="1:28" ht="185.4" x14ac:dyDescent="0.3">
      <c r="A1094" s="25">
        <v>9245</v>
      </c>
      <c r="B1094" s="25" t="s">
        <v>13335</v>
      </c>
      <c r="C1094" s="25" t="s">
        <v>13336</v>
      </c>
      <c r="D1094" s="25" t="s">
        <v>6291</v>
      </c>
      <c r="E1094" s="16" t="s">
        <v>6292</v>
      </c>
      <c r="F1094" s="16" t="s">
        <v>6292</v>
      </c>
      <c r="G1094" s="16" t="s">
        <v>6292</v>
      </c>
      <c r="H1094" s="16" t="s">
        <v>6292</v>
      </c>
      <c r="I1094" s="25" t="s">
        <v>13337</v>
      </c>
      <c r="J1094" s="25"/>
      <c r="K1094" s="25" t="s">
        <v>6281</v>
      </c>
      <c r="L1094" s="26" t="s">
        <v>13338</v>
      </c>
      <c r="M1094" s="26" t="s">
        <v>6295</v>
      </c>
      <c r="N1094" s="27" t="s">
        <v>13339</v>
      </c>
      <c r="O1094" s="26" t="s">
        <v>13340</v>
      </c>
      <c r="P1094" s="20" t="b">
        <v>1</v>
      </c>
      <c r="Q1094" s="20" t="s">
        <v>6282</v>
      </c>
      <c r="R1094" s="28" t="s">
        <v>6283</v>
      </c>
      <c r="S1094" s="25"/>
      <c r="T1094" s="20" t="b">
        <v>1</v>
      </c>
      <c r="U1094" s="25"/>
      <c r="V1094" s="25">
        <v>520.94000000000005</v>
      </c>
      <c r="W1094" s="28" t="s">
        <v>13341</v>
      </c>
      <c r="X1094" s="28" t="s">
        <v>6285</v>
      </c>
      <c r="Y1094" s="28" t="s">
        <v>6286</v>
      </c>
      <c r="Z1094" s="28" t="s">
        <v>6287</v>
      </c>
      <c r="AA1094" s="28" t="s">
        <v>6288</v>
      </c>
      <c r="AB1094" s="28" t="s">
        <v>6297</v>
      </c>
    </row>
    <row r="1095" spans="1:28" ht="185.4" x14ac:dyDescent="0.3">
      <c r="A1095" s="25">
        <v>9246</v>
      </c>
      <c r="B1095" s="25" t="s">
        <v>13342</v>
      </c>
      <c r="C1095" s="25" t="s">
        <v>13343</v>
      </c>
      <c r="D1095" s="25" t="s">
        <v>6291</v>
      </c>
      <c r="E1095" s="16" t="s">
        <v>6786</v>
      </c>
      <c r="F1095" s="16" t="s">
        <v>6786</v>
      </c>
      <c r="G1095" s="16" t="s">
        <v>6786</v>
      </c>
      <c r="H1095" s="16" t="s">
        <v>6786</v>
      </c>
      <c r="I1095" s="25" t="s">
        <v>13344</v>
      </c>
      <c r="J1095" s="25"/>
      <c r="K1095" s="25" t="s">
        <v>6281</v>
      </c>
      <c r="L1095" s="26" t="s">
        <v>13345</v>
      </c>
      <c r="M1095" s="26" t="s">
        <v>6295</v>
      </c>
      <c r="N1095" s="27" t="s">
        <v>13346</v>
      </c>
      <c r="O1095" s="26" t="s">
        <v>6295</v>
      </c>
      <c r="P1095" s="20" t="b">
        <v>1</v>
      </c>
      <c r="Q1095" s="20" t="s">
        <v>6282</v>
      </c>
      <c r="R1095" s="28" t="s">
        <v>6283</v>
      </c>
      <c r="S1095" s="25"/>
      <c r="T1095" s="20" t="b">
        <v>1</v>
      </c>
      <c r="U1095" s="25"/>
      <c r="V1095" s="25">
        <v>2.0124</v>
      </c>
      <c r="W1095" s="28" t="s">
        <v>13347</v>
      </c>
      <c r="X1095" s="28" t="s">
        <v>6285</v>
      </c>
      <c r="Y1095" s="28" t="s">
        <v>6286</v>
      </c>
      <c r="Z1095" s="28" t="s">
        <v>6287</v>
      </c>
      <c r="AA1095" s="28" t="s">
        <v>6288</v>
      </c>
      <c r="AB1095" s="28" t="s">
        <v>6297</v>
      </c>
    </row>
    <row r="1096" spans="1:28" ht="185.4" x14ac:dyDescent="0.3">
      <c r="A1096" s="25">
        <v>9247</v>
      </c>
      <c r="B1096" s="25" t="s">
        <v>13348</v>
      </c>
      <c r="C1096" s="25" t="s">
        <v>13349</v>
      </c>
      <c r="D1096" s="25" t="s">
        <v>6291</v>
      </c>
      <c r="E1096" s="16" t="s">
        <v>6786</v>
      </c>
      <c r="F1096" s="16" t="s">
        <v>6786</v>
      </c>
      <c r="G1096" s="16" t="s">
        <v>6786</v>
      </c>
      <c r="H1096" s="16" t="s">
        <v>6786</v>
      </c>
      <c r="I1096" s="25" t="s">
        <v>13350</v>
      </c>
      <c r="J1096" s="25"/>
      <c r="K1096" s="25" t="s">
        <v>6281</v>
      </c>
      <c r="L1096" s="26" t="s">
        <v>13351</v>
      </c>
      <c r="M1096" s="26" t="s">
        <v>9737</v>
      </c>
      <c r="N1096" s="27" t="s">
        <v>13352</v>
      </c>
      <c r="O1096" s="26" t="s">
        <v>6295</v>
      </c>
      <c r="P1096" s="20" t="b">
        <v>1</v>
      </c>
      <c r="Q1096" s="20" t="s">
        <v>6282</v>
      </c>
      <c r="R1096" s="28" t="s">
        <v>6283</v>
      </c>
      <c r="S1096" s="25"/>
      <c r="T1096" s="20" t="b">
        <v>1</v>
      </c>
      <c r="U1096" s="25"/>
      <c r="V1096" s="25">
        <v>500</v>
      </c>
      <c r="W1096" s="28" t="s">
        <v>13353</v>
      </c>
      <c r="X1096" s="28" t="s">
        <v>6285</v>
      </c>
      <c r="Y1096" s="28" t="s">
        <v>6286</v>
      </c>
      <c r="Z1096" s="28" t="s">
        <v>6287</v>
      </c>
      <c r="AA1096" s="28" t="s">
        <v>6288</v>
      </c>
      <c r="AB1096" s="28" t="s">
        <v>6297</v>
      </c>
    </row>
    <row r="1097" spans="1:28" ht="185.4" x14ac:dyDescent="0.3">
      <c r="A1097" s="25">
        <v>9248</v>
      </c>
      <c r="B1097" s="25" t="s">
        <v>13354</v>
      </c>
      <c r="C1097" s="25" t="s">
        <v>13355</v>
      </c>
      <c r="D1097" s="25" t="s">
        <v>6278</v>
      </c>
      <c r="E1097" s="16" t="s">
        <v>6279</v>
      </c>
      <c r="F1097" s="16" t="s">
        <v>6279</v>
      </c>
      <c r="G1097" s="16" t="s">
        <v>6279</v>
      </c>
      <c r="H1097" s="16" t="s">
        <v>6279</v>
      </c>
      <c r="I1097" s="25" t="s">
        <v>13356</v>
      </c>
      <c r="J1097" s="25"/>
      <c r="K1097" s="25" t="s">
        <v>6281</v>
      </c>
      <c r="L1097" s="26" t="s">
        <v>13357</v>
      </c>
      <c r="M1097" s="26" t="s">
        <v>6295</v>
      </c>
      <c r="N1097" s="27" t="s">
        <v>13358</v>
      </c>
      <c r="O1097" s="26" t="s">
        <v>13359</v>
      </c>
      <c r="P1097" s="20" t="b">
        <v>1</v>
      </c>
      <c r="Q1097" s="20" t="s">
        <v>6282</v>
      </c>
      <c r="R1097" s="28" t="s">
        <v>6283</v>
      </c>
      <c r="S1097" s="25"/>
      <c r="T1097" s="20" t="b">
        <v>1</v>
      </c>
      <c r="U1097" s="25"/>
      <c r="V1097" s="25">
        <v>988.34680000000003</v>
      </c>
      <c r="W1097" s="28" t="s">
        <v>13360</v>
      </c>
      <c r="X1097" s="28" t="s">
        <v>6285</v>
      </c>
      <c r="Y1097" s="28" t="s">
        <v>6286</v>
      </c>
      <c r="Z1097" s="28" t="s">
        <v>6287</v>
      </c>
      <c r="AA1097" s="28" t="s">
        <v>6288</v>
      </c>
      <c r="AB1097" s="28" t="s">
        <v>6297</v>
      </c>
    </row>
    <row r="1098" spans="1:28" ht="185.4" x14ac:dyDescent="0.3">
      <c r="A1098" s="25">
        <v>9249</v>
      </c>
      <c r="B1098" s="25" t="s">
        <v>13361</v>
      </c>
      <c r="C1098" s="25" t="s">
        <v>13362</v>
      </c>
      <c r="D1098" s="25" t="s">
        <v>6291</v>
      </c>
      <c r="E1098" s="16" t="s">
        <v>6292</v>
      </c>
      <c r="F1098" s="16" t="s">
        <v>6292</v>
      </c>
      <c r="G1098" s="16" t="s">
        <v>6292</v>
      </c>
      <c r="H1098" s="16" t="s">
        <v>6292</v>
      </c>
      <c r="I1098" s="25" t="s">
        <v>13363</v>
      </c>
      <c r="J1098" s="25"/>
      <c r="K1098" s="25" t="s">
        <v>6281</v>
      </c>
      <c r="L1098" s="26" t="s">
        <v>13364</v>
      </c>
      <c r="M1098" s="26" t="s">
        <v>6295</v>
      </c>
      <c r="N1098" s="27" t="s">
        <v>13365</v>
      </c>
      <c r="O1098" s="26" t="s">
        <v>6295</v>
      </c>
      <c r="P1098" s="20" t="b">
        <v>1</v>
      </c>
      <c r="Q1098" s="20" t="s">
        <v>6282</v>
      </c>
      <c r="R1098" s="28" t="s">
        <v>6283</v>
      </c>
      <c r="S1098" s="25"/>
      <c r="T1098" s="20" t="b">
        <v>1</v>
      </c>
      <c r="U1098" s="25"/>
      <c r="V1098" s="25">
        <v>47.4696</v>
      </c>
      <c r="W1098" s="28" t="s">
        <v>13366</v>
      </c>
      <c r="X1098" s="28" t="s">
        <v>6285</v>
      </c>
      <c r="Y1098" s="28" t="s">
        <v>6286</v>
      </c>
      <c r="Z1098" s="28" t="s">
        <v>6287</v>
      </c>
      <c r="AA1098" s="28" t="s">
        <v>6288</v>
      </c>
      <c r="AB1098" s="28" t="s">
        <v>6297</v>
      </c>
    </row>
    <row r="1099" spans="1:28" ht="193.2" x14ac:dyDescent="0.3">
      <c r="A1099" s="25">
        <v>9250</v>
      </c>
      <c r="B1099" s="25" t="s">
        <v>13367</v>
      </c>
      <c r="C1099" s="25" t="s">
        <v>13368</v>
      </c>
      <c r="D1099" s="25" t="s">
        <v>6278</v>
      </c>
      <c r="E1099" s="16" t="s">
        <v>6279</v>
      </c>
      <c r="F1099" s="16" t="s">
        <v>6279</v>
      </c>
      <c r="G1099" s="16" t="s">
        <v>6279</v>
      </c>
      <c r="H1099" s="16" t="s">
        <v>6279</v>
      </c>
      <c r="I1099" s="25" t="s">
        <v>13369</v>
      </c>
      <c r="J1099" s="25"/>
      <c r="K1099" s="25" t="s">
        <v>6281</v>
      </c>
      <c r="L1099" s="26" t="s">
        <v>13370</v>
      </c>
      <c r="M1099" s="26" t="s">
        <v>6295</v>
      </c>
      <c r="N1099" s="27" t="s">
        <v>13371</v>
      </c>
      <c r="O1099" s="26" t="s">
        <v>6295</v>
      </c>
      <c r="P1099" s="20" t="b">
        <v>1</v>
      </c>
      <c r="Q1099" s="20" t="s">
        <v>6282</v>
      </c>
      <c r="R1099" s="28" t="s">
        <v>6283</v>
      </c>
      <c r="S1099" s="25"/>
      <c r="T1099" s="20" t="b">
        <v>1</v>
      </c>
      <c r="U1099" s="25"/>
      <c r="V1099" s="25">
        <v>17902.41</v>
      </c>
      <c r="W1099" s="28" t="s">
        <v>13372</v>
      </c>
      <c r="X1099" s="28" t="s">
        <v>6285</v>
      </c>
      <c r="Y1099" s="28" t="s">
        <v>6286</v>
      </c>
      <c r="Z1099" s="28" t="s">
        <v>6287</v>
      </c>
      <c r="AA1099" s="28" t="s">
        <v>6288</v>
      </c>
      <c r="AB1099" s="28" t="s">
        <v>6297</v>
      </c>
    </row>
    <row r="1100" spans="1:28" ht="225" x14ac:dyDescent="0.3">
      <c r="A1100" s="25">
        <v>9253</v>
      </c>
      <c r="B1100" s="25" t="s">
        <v>13373</v>
      </c>
      <c r="C1100" s="25" t="s">
        <v>13374</v>
      </c>
      <c r="D1100" s="25" t="s">
        <v>6278</v>
      </c>
      <c r="E1100" s="16" t="s">
        <v>6279</v>
      </c>
      <c r="F1100" s="16" t="s">
        <v>6279</v>
      </c>
      <c r="G1100" s="16" t="s">
        <v>6279</v>
      </c>
      <c r="H1100" s="16" t="s">
        <v>6279</v>
      </c>
      <c r="I1100" s="25" t="s">
        <v>13375</v>
      </c>
      <c r="J1100" s="25"/>
      <c r="K1100" s="25" t="s">
        <v>6281</v>
      </c>
      <c r="L1100" s="26" t="s">
        <v>13376</v>
      </c>
      <c r="M1100" s="26" t="s">
        <v>13377</v>
      </c>
      <c r="N1100" s="27" t="s">
        <v>13378</v>
      </c>
      <c r="O1100" s="26" t="s">
        <v>13379</v>
      </c>
      <c r="P1100" s="20" t="b">
        <v>1</v>
      </c>
      <c r="Q1100" s="20" t="s">
        <v>6282</v>
      </c>
      <c r="R1100" s="28" t="s">
        <v>6283</v>
      </c>
      <c r="S1100" s="25"/>
      <c r="T1100" s="20" t="b">
        <v>1</v>
      </c>
      <c r="U1100" s="25"/>
      <c r="V1100" s="25">
        <v>98.32</v>
      </c>
      <c r="W1100" s="28" t="s">
        <v>13380</v>
      </c>
      <c r="X1100" s="28" t="s">
        <v>6285</v>
      </c>
      <c r="Y1100" s="28" t="s">
        <v>6286</v>
      </c>
      <c r="Z1100" s="28" t="s">
        <v>6287</v>
      </c>
      <c r="AA1100" s="28" t="s">
        <v>6288</v>
      </c>
      <c r="AB1100" s="28" t="s">
        <v>6297</v>
      </c>
    </row>
    <row r="1101" spans="1:28" ht="185.4" x14ac:dyDescent="0.3">
      <c r="A1101" s="25">
        <v>9254</v>
      </c>
      <c r="B1101" s="25" t="s">
        <v>13381</v>
      </c>
      <c r="C1101" s="25" t="s">
        <v>13382</v>
      </c>
      <c r="D1101" s="25" t="s">
        <v>6291</v>
      </c>
      <c r="E1101" s="16" t="s">
        <v>6786</v>
      </c>
      <c r="F1101" s="16" t="s">
        <v>6786</v>
      </c>
      <c r="G1101" s="16" t="s">
        <v>6786</v>
      </c>
      <c r="H1101" s="16" t="s">
        <v>6786</v>
      </c>
      <c r="I1101" s="25" t="s">
        <v>13383</v>
      </c>
      <c r="J1101" s="25"/>
      <c r="K1101" s="25" t="s">
        <v>6281</v>
      </c>
      <c r="L1101" s="26" t="s">
        <v>13384</v>
      </c>
      <c r="M1101" s="26" t="s">
        <v>6295</v>
      </c>
      <c r="N1101" s="27" t="s">
        <v>13385</v>
      </c>
      <c r="O1101" s="26" t="s">
        <v>6295</v>
      </c>
      <c r="P1101" s="20" t="b">
        <v>1</v>
      </c>
      <c r="Q1101" s="20" t="s">
        <v>6282</v>
      </c>
      <c r="R1101" s="28" t="s">
        <v>6283</v>
      </c>
      <c r="S1101" s="25"/>
      <c r="T1101" s="20" t="b">
        <v>1</v>
      </c>
      <c r="U1101" s="25"/>
      <c r="V1101" s="25">
        <v>13.840415999999999</v>
      </c>
      <c r="W1101" s="28" t="s">
        <v>13386</v>
      </c>
      <c r="X1101" s="28" t="s">
        <v>6285</v>
      </c>
      <c r="Y1101" s="28" t="s">
        <v>6286</v>
      </c>
      <c r="Z1101" s="28" t="s">
        <v>6287</v>
      </c>
      <c r="AA1101" s="28" t="s">
        <v>6288</v>
      </c>
      <c r="AB1101" s="28" t="s">
        <v>6297</v>
      </c>
    </row>
    <row r="1102" spans="1:28" ht="185.4" x14ac:dyDescent="0.3">
      <c r="A1102" s="25">
        <v>9257</v>
      </c>
      <c r="B1102" s="25" t="s">
        <v>13387</v>
      </c>
      <c r="C1102" s="25" t="s">
        <v>13388</v>
      </c>
      <c r="D1102" s="25" t="s">
        <v>6291</v>
      </c>
      <c r="E1102" s="16" t="s">
        <v>6292</v>
      </c>
      <c r="F1102" s="16" t="s">
        <v>6292</v>
      </c>
      <c r="G1102" s="16" t="s">
        <v>6292</v>
      </c>
      <c r="H1102" s="16" t="s">
        <v>6292</v>
      </c>
      <c r="I1102" s="25" t="s">
        <v>13389</v>
      </c>
      <c r="J1102" s="25"/>
      <c r="K1102" s="25" t="s">
        <v>6281</v>
      </c>
      <c r="L1102" s="26" t="s">
        <v>13390</v>
      </c>
      <c r="M1102" s="26" t="s">
        <v>6295</v>
      </c>
      <c r="N1102" s="27" t="s">
        <v>13391</v>
      </c>
      <c r="O1102" s="26" t="s">
        <v>6295</v>
      </c>
      <c r="P1102" s="20" t="b">
        <v>1</v>
      </c>
      <c r="Q1102" s="20" t="s">
        <v>6282</v>
      </c>
      <c r="R1102" s="28" t="s">
        <v>6283</v>
      </c>
      <c r="S1102" s="25"/>
      <c r="T1102" s="20" t="b">
        <v>1</v>
      </c>
      <c r="U1102" s="25"/>
      <c r="V1102" s="25" t="s">
        <v>6295</v>
      </c>
      <c r="W1102" s="28" t="s">
        <v>13392</v>
      </c>
      <c r="X1102" s="28" t="s">
        <v>6285</v>
      </c>
      <c r="Y1102" s="28" t="s">
        <v>6286</v>
      </c>
      <c r="Z1102" s="28" t="s">
        <v>6287</v>
      </c>
      <c r="AA1102" s="28" t="s">
        <v>6288</v>
      </c>
      <c r="AB1102" s="28" t="s">
        <v>6297</v>
      </c>
    </row>
    <row r="1103" spans="1:28" ht="185.4" x14ac:dyDescent="0.3">
      <c r="A1103" s="25">
        <v>9258</v>
      </c>
      <c r="B1103" s="25" t="s">
        <v>13393</v>
      </c>
      <c r="C1103" s="25" t="s">
        <v>13394</v>
      </c>
      <c r="D1103" s="25" t="s">
        <v>6291</v>
      </c>
      <c r="E1103" s="16" t="s">
        <v>6292</v>
      </c>
      <c r="F1103" s="16" t="s">
        <v>6292</v>
      </c>
      <c r="G1103" s="16" t="s">
        <v>6292</v>
      </c>
      <c r="H1103" s="16" t="s">
        <v>6292</v>
      </c>
      <c r="I1103" s="25" t="s">
        <v>13395</v>
      </c>
      <c r="J1103" s="25"/>
      <c r="K1103" s="25" t="s">
        <v>6281</v>
      </c>
      <c r="L1103" s="26" t="s">
        <v>13396</v>
      </c>
      <c r="M1103" s="26" t="s">
        <v>6295</v>
      </c>
      <c r="N1103" s="27" t="s">
        <v>13397</v>
      </c>
      <c r="O1103" s="26" t="s">
        <v>6295</v>
      </c>
      <c r="P1103" s="20" t="b">
        <v>1</v>
      </c>
      <c r="Q1103" s="20" t="s">
        <v>6282</v>
      </c>
      <c r="R1103" s="28" t="s">
        <v>6283</v>
      </c>
      <c r="S1103" s="25"/>
      <c r="T1103" s="20" t="b">
        <v>1</v>
      </c>
      <c r="U1103" s="25"/>
      <c r="V1103" s="25">
        <v>157.97550000000001</v>
      </c>
      <c r="W1103" s="28" t="s">
        <v>13398</v>
      </c>
      <c r="X1103" s="28" t="s">
        <v>6285</v>
      </c>
      <c r="Y1103" s="28" t="s">
        <v>6286</v>
      </c>
      <c r="Z1103" s="28" t="s">
        <v>6287</v>
      </c>
      <c r="AA1103" s="28" t="s">
        <v>6288</v>
      </c>
      <c r="AB1103" s="28" t="s">
        <v>6297</v>
      </c>
    </row>
    <row r="1104" spans="1:28" ht="185.4" x14ac:dyDescent="0.3">
      <c r="A1104" s="25">
        <v>9259</v>
      </c>
      <c r="B1104" s="25" t="s">
        <v>13399</v>
      </c>
      <c r="C1104" s="25" t="s">
        <v>13400</v>
      </c>
      <c r="D1104" s="25" t="s">
        <v>6291</v>
      </c>
      <c r="E1104" s="16" t="s">
        <v>6786</v>
      </c>
      <c r="F1104" s="16" t="s">
        <v>6786</v>
      </c>
      <c r="G1104" s="16" t="s">
        <v>6786</v>
      </c>
      <c r="H1104" s="16" t="s">
        <v>6786</v>
      </c>
      <c r="I1104" s="25" t="s">
        <v>13401</v>
      </c>
      <c r="J1104" s="25"/>
      <c r="K1104" s="25" t="s">
        <v>6281</v>
      </c>
      <c r="L1104" s="26" t="s">
        <v>13402</v>
      </c>
      <c r="M1104" s="26" t="s">
        <v>6295</v>
      </c>
      <c r="N1104" s="27" t="s">
        <v>13403</v>
      </c>
      <c r="O1104" s="26" t="s">
        <v>6295</v>
      </c>
      <c r="P1104" s="20" t="b">
        <v>1</v>
      </c>
      <c r="Q1104" s="20" t="s">
        <v>6282</v>
      </c>
      <c r="R1104" s="28" t="s">
        <v>6283</v>
      </c>
      <c r="S1104" s="25"/>
      <c r="T1104" s="20" t="b">
        <v>1</v>
      </c>
      <c r="U1104" s="25"/>
      <c r="V1104" s="25">
        <v>48.996699999999997</v>
      </c>
      <c r="W1104" s="28" t="s">
        <v>13404</v>
      </c>
      <c r="X1104" s="28" t="s">
        <v>6285</v>
      </c>
      <c r="Y1104" s="28" t="s">
        <v>6286</v>
      </c>
      <c r="Z1104" s="28" t="s">
        <v>6287</v>
      </c>
      <c r="AA1104" s="28" t="s">
        <v>6288</v>
      </c>
      <c r="AB1104" s="28" t="s">
        <v>6297</v>
      </c>
    </row>
    <row r="1105" spans="1:28" ht="185.4" x14ac:dyDescent="0.3">
      <c r="A1105" s="25">
        <v>9260</v>
      </c>
      <c r="B1105" s="25" t="s">
        <v>13405</v>
      </c>
      <c r="C1105" s="25" t="s">
        <v>13406</v>
      </c>
      <c r="D1105" s="25" t="s">
        <v>6278</v>
      </c>
      <c r="E1105" s="16" t="s">
        <v>6279</v>
      </c>
      <c r="F1105" s="16" t="s">
        <v>6279</v>
      </c>
      <c r="G1105" s="16" t="s">
        <v>6279</v>
      </c>
      <c r="H1105" s="16" t="s">
        <v>6279</v>
      </c>
      <c r="I1105" s="25" t="s">
        <v>13407</v>
      </c>
      <c r="J1105" s="25"/>
      <c r="K1105" s="25" t="s">
        <v>6281</v>
      </c>
      <c r="L1105" s="26" t="s">
        <v>13408</v>
      </c>
      <c r="M1105" s="26" t="s">
        <v>10782</v>
      </c>
      <c r="N1105" s="27" t="s">
        <v>13409</v>
      </c>
      <c r="O1105" s="26" t="s">
        <v>6295</v>
      </c>
      <c r="P1105" s="20" t="b">
        <v>1</v>
      </c>
      <c r="Q1105" s="20" t="s">
        <v>6282</v>
      </c>
      <c r="R1105" s="28" t="s">
        <v>6283</v>
      </c>
      <c r="S1105" s="25"/>
      <c r="T1105" s="20" t="b">
        <v>1</v>
      </c>
      <c r="U1105" s="25"/>
      <c r="V1105" s="25">
        <v>108.66</v>
      </c>
      <c r="W1105" s="28" t="s">
        <v>13410</v>
      </c>
      <c r="X1105" s="28" t="s">
        <v>6285</v>
      </c>
      <c r="Y1105" s="28" t="s">
        <v>6286</v>
      </c>
      <c r="Z1105" s="28" t="s">
        <v>6287</v>
      </c>
      <c r="AA1105" s="28" t="s">
        <v>6288</v>
      </c>
      <c r="AB1105" s="28" t="s">
        <v>6297</v>
      </c>
    </row>
    <row r="1106" spans="1:28" ht="185.4" x14ac:dyDescent="0.3">
      <c r="A1106" s="25">
        <v>9261</v>
      </c>
      <c r="B1106" s="25" t="s">
        <v>13411</v>
      </c>
      <c r="C1106" s="25" t="s">
        <v>13412</v>
      </c>
      <c r="D1106" s="25" t="s">
        <v>6278</v>
      </c>
      <c r="E1106" s="16" t="s">
        <v>6279</v>
      </c>
      <c r="F1106" s="16" t="s">
        <v>6279</v>
      </c>
      <c r="G1106" s="16" t="s">
        <v>6279</v>
      </c>
      <c r="H1106" s="16" t="s">
        <v>6279</v>
      </c>
      <c r="I1106" s="25" t="s">
        <v>13413</v>
      </c>
      <c r="J1106" s="25"/>
      <c r="K1106" s="25" t="s">
        <v>6281</v>
      </c>
      <c r="L1106" s="26" t="s">
        <v>13414</v>
      </c>
      <c r="M1106" s="26" t="s">
        <v>8969</v>
      </c>
      <c r="N1106" s="27" t="s">
        <v>8970</v>
      </c>
      <c r="O1106" s="26" t="s">
        <v>13415</v>
      </c>
      <c r="P1106" s="20" t="b">
        <v>1</v>
      </c>
      <c r="Q1106" s="20" t="s">
        <v>6282</v>
      </c>
      <c r="R1106" s="28" t="s">
        <v>6283</v>
      </c>
      <c r="S1106" s="25"/>
      <c r="T1106" s="20" t="b">
        <v>1</v>
      </c>
      <c r="U1106" s="25"/>
      <c r="V1106" s="25">
        <v>3947.67</v>
      </c>
      <c r="W1106" s="28" t="s">
        <v>13416</v>
      </c>
      <c r="X1106" s="28" t="s">
        <v>6285</v>
      </c>
      <c r="Y1106" s="28" t="s">
        <v>6286</v>
      </c>
      <c r="Z1106" s="28" t="s">
        <v>6287</v>
      </c>
      <c r="AA1106" s="28" t="s">
        <v>6288</v>
      </c>
      <c r="AB1106" s="28" t="s">
        <v>6297</v>
      </c>
    </row>
    <row r="1107" spans="1:28" ht="185.4" x14ac:dyDescent="0.3">
      <c r="A1107" s="25">
        <v>9262</v>
      </c>
      <c r="B1107" s="25" t="s">
        <v>13417</v>
      </c>
      <c r="C1107" s="25" t="s">
        <v>13418</v>
      </c>
      <c r="D1107" s="25" t="s">
        <v>6291</v>
      </c>
      <c r="E1107" s="16" t="s">
        <v>6786</v>
      </c>
      <c r="F1107" s="16" t="s">
        <v>6786</v>
      </c>
      <c r="G1107" s="16" t="s">
        <v>6786</v>
      </c>
      <c r="H1107" s="16" t="s">
        <v>6786</v>
      </c>
      <c r="I1107" s="25" t="s">
        <v>13419</v>
      </c>
      <c r="J1107" s="25"/>
      <c r="K1107" s="25" t="s">
        <v>6281</v>
      </c>
      <c r="L1107" s="26" t="s">
        <v>13420</v>
      </c>
      <c r="M1107" s="26" t="s">
        <v>6295</v>
      </c>
      <c r="N1107" s="27" t="s">
        <v>12399</v>
      </c>
      <c r="O1107" s="26" t="s">
        <v>6295</v>
      </c>
      <c r="P1107" s="20" t="b">
        <v>1</v>
      </c>
      <c r="Q1107" s="20" t="s">
        <v>6282</v>
      </c>
      <c r="R1107" s="28" t="s">
        <v>6283</v>
      </c>
      <c r="S1107" s="25"/>
      <c r="T1107" s="20" t="b">
        <v>1</v>
      </c>
      <c r="U1107" s="25"/>
      <c r="V1107" s="25">
        <v>9.5630699999999997</v>
      </c>
      <c r="W1107" s="28" t="s">
        <v>13421</v>
      </c>
      <c r="X1107" s="28" t="s">
        <v>6285</v>
      </c>
      <c r="Y1107" s="28" t="s">
        <v>6286</v>
      </c>
      <c r="Z1107" s="28" t="s">
        <v>6287</v>
      </c>
      <c r="AA1107" s="28" t="s">
        <v>6288</v>
      </c>
      <c r="AB1107" s="28" t="s">
        <v>6297</v>
      </c>
    </row>
    <row r="1108" spans="1:28" ht="185.4" x14ac:dyDescent="0.3">
      <c r="A1108" s="25">
        <v>9263</v>
      </c>
      <c r="B1108" s="25" t="s">
        <v>13422</v>
      </c>
      <c r="C1108" s="25" t="s">
        <v>13423</v>
      </c>
      <c r="D1108" s="25" t="s">
        <v>6291</v>
      </c>
      <c r="E1108" s="16" t="s">
        <v>6292</v>
      </c>
      <c r="F1108" s="16" t="s">
        <v>6292</v>
      </c>
      <c r="G1108" s="16" t="s">
        <v>6292</v>
      </c>
      <c r="H1108" s="16" t="s">
        <v>6292</v>
      </c>
      <c r="I1108" s="25" t="s">
        <v>13424</v>
      </c>
      <c r="J1108" s="25"/>
      <c r="K1108" s="25" t="s">
        <v>6281</v>
      </c>
      <c r="L1108" s="26" t="s">
        <v>13425</v>
      </c>
      <c r="M1108" s="26" t="s">
        <v>6295</v>
      </c>
      <c r="N1108" s="27" t="s">
        <v>13426</v>
      </c>
      <c r="O1108" s="26" t="s">
        <v>6295</v>
      </c>
      <c r="P1108" s="20" t="b">
        <v>1</v>
      </c>
      <c r="Q1108" s="20" t="s">
        <v>6282</v>
      </c>
      <c r="R1108" s="28" t="s">
        <v>6283</v>
      </c>
      <c r="S1108" s="25"/>
      <c r="T1108" s="20" t="b">
        <v>1</v>
      </c>
      <c r="U1108" s="25"/>
      <c r="V1108" s="25">
        <v>81.67</v>
      </c>
      <c r="W1108" s="28" t="s">
        <v>13427</v>
      </c>
      <c r="X1108" s="28" t="s">
        <v>6285</v>
      </c>
      <c r="Y1108" s="28" t="s">
        <v>6286</v>
      </c>
      <c r="Z1108" s="28" t="s">
        <v>6287</v>
      </c>
      <c r="AA1108" s="28" t="s">
        <v>6288</v>
      </c>
      <c r="AB1108" s="28" t="s">
        <v>6297</v>
      </c>
    </row>
    <row r="1109" spans="1:28" ht="185.4" x14ac:dyDescent="0.3">
      <c r="A1109" s="25">
        <v>9264</v>
      </c>
      <c r="B1109" s="25" t="s">
        <v>13428</v>
      </c>
      <c r="C1109" s="25" t="s">
        <v>13429</v>
      </c>
      <c r="D1109" s="25" t="s">
        <v>6291</v>
      </c>
      <c r="E1109" s="16" t="s">
        <v>6786</v>
      </c>
      <c r="F1109" s="16" t="s">
        <v>6786</v>
      </c>
      <c r="G1109" s="16" t="s">
        <v>6786</v>
      </c>
      <c r="H1109" s="16" t="s">
        <v>6786</v>
      </c>
      <c r="I1109" s="25" t="s">
        <v>13430</v>
      </c>
      <c r="J1109" s="25"/>
      <c r="K1109" s="25" t="s">
        <v>6281</v>
      </c>
      <c r="L1109" s="26" t="s">
        <v>13431</v>
      </c>
      <c r="M1109" s="26" t="s">
        <v>13432</v>
      </c>
      <c r="N1109" s="27" t="s">
        <v>13433</v>
      </c>
      <c r="O1109" s="26" t="s">
        <v>6295</v>
      </c>
      <c r="P1109" s="20" t="b">
        <v>1</v>
      </c>
      <c r="Q1109" s="20" t="s">
        <v>6282</v>
      </c>
      <c r="R1109" s="28" t="s">
        <v>6283</v>
      </c>
      <c r="S1109" s="25"/>
      <c r="T1109" s="20" t="b">
        <v>1</v>
      </c>
      <c r="U1109" s="25"/>
      <c r="V1109" s="25">
        <v>67.95</v>
      </c>
      <c r="W1109" s="28" t="s">
        <v>13434</v>
      </c>
      <c r="X1109" s="28" t="s">
        <v>6285</v>
      </c>
      <c r="Y1109" s="28" t="s">
        <v>6286</v>
      </c>
      <c r="Z1109" s="28" t="s">
        <v>6287</v>
      </c>
      <c r="AA1109" s="28" t="s">
        <v>6288</v>
      </c>
      <c r="AB1109" s="28" t="s">
        <v>6297</v>
      </c>
    </row>
    <row r="1110" spans="1:28" ht="185.4" x14ac:dyDescent="0.3">
      <c r="A1110" s="25">
        <v>9265</v>
      </c>
      <c r="B1110" s="25" t="s">
        <v>13435</v>
      </c>
      <c r="C1110" s="25" t="s">
        <v>13436</v>
      </c>
      <c r="D1110" s="25" t="s">
        <v>6291</v>
      </c>
      <c r="E1110" s="16" t="s">
        <v>6292</v>
      </c>
      <c r="F1110" s="16" t="s">
        <v>6292</v>
      </c>
      <c r="G1110" s="16" t="s">
        <v>6292</v>
      </c>
      <c r="H1110" s="16" t="s">
        <v>6292</v>
      </c>
      <c r="I1110" s="25" t="s">
        <v>13437</v>
      </c>
      <c r="J1110" s="25"/>
      <c r="K1110" s="25" t="s">
        <v>6281</v>
      </c>
      <c r="L1110" s="26" t="s">
        <v>13438</v>
      </c>
      <c r="M1110" s="26" t="s">
        <v>6295</v>
      </c>
      <c r="N1110" s="27" t="s">
        <v>13439</v>
      </c>
      <c r="O1110" s="26" t="s">
        <v>6295</v>
      </c>
      <c r="P1110" s="20" t="b">
        <v>1</v>
      </c>
      <c r="Q1110" s="20" t="s">
        <v>6282</v>
      </c>
      <c r="R1110" s="28" t="s">
        <v>6283</v>
      </c>
      <c r="S1110" s="25"/>
      <c r="T1110" s="20" t="b">
        <v>1</v>
      </c>
      <c r="U1110" s="25"/>
      <c r="V1110" s="25">
        <v>20.2745</v>
      </c>
      <c r="W1110" s="28" t="s">
        <v>13440</v>
      </c>
      <c r="X1110" s="28" t="s">
        <v>6285</v>
      </c>
      <c r="Y1110" s="28" t="s">
        <v>6286</v>
      </c>
      <c r="Z1110" s="28" t="s">
        <v>6287</v>
      </c>
      <c r="AA1110" s="28" t="s">
        <v>6288</v>
      </c>
      <c r="AB1110" s="28" t="s">
        <v>6297</v>
      </c>
    </row>
    <row r="1111" spans="1:28" ht="185.4" x14ac:dyDescent="0.3">
      <c r="A1111" s="25">
        <v>9266</v>
      </c>
      <c r="B1111" s="25" t="s">
        <v>9961</v>
      </c>
      <c r="C1111" s="25" t="s">
        <v>13441</v>
      </c>
      <c r="D1111" s="25" t="s">
        <v>6291</v>
      </c>
      <c r="E1111" s="16" t="s">
        <v>6786</v>
      </c>
      <c r="F1111" s="16" t="s">
        <v>6786</v>
      </c>
      <c r="G1111" s="16" t="s">
        <v>6786</v>
      </c>
      <c r="H1111" s="16" t="s">
        <v>6786</v>
      </c>
      <c r="I1111" s="25" t="s">
        <v>9963</v>
      </c>
      <c r="J1111" s="25"/>
      <c r="K1111" s="25" t="s">
        <v>6281</v>
      </c>
      <c r="L1111" s="26" t="s">
        <v>13442</v>
      </c>
      <c r="M1111" s="26" t="s">
        <v>13443</v>
      </c>
      <c r="N1111" s="27" t="s">
        <v>9966</v>
      </c>
      <c r="O1111" s="26" t="s">
        <v>9967</v>
      </c>
      <c r="P1111" s="20" t="b">
        <v>1</v>
      </c>
      <c r="Q1111" s="20" t="s">
        <v>6282</v>
      </c>
      <c r="R1111" s="28" t="s">
        <v>6283</v>
      </c>
      <c r="S1111" s="25"/>
      <c r="T1111" s="20" t="b">
        <v>1</v>
      </c>
      <c r="U1111" s="25"/>
      <c r="V1111" s="25">
        <v>12000</v>
      </c>
      <c r="W1111" s="28" t="s">
        <v>13444</v>
      </c>
      <c r="X1111" s="28" t="s">
        <v>6285</v>
      </c>
      <c r="Y1111" s="28" t="s">
        <v>6286</v>
      </c>
      <c r="Z1111" s="28" t="s">
        <v>6287</v>
      </c>
      <c r="AA1111" s="28" t="s">
        <v>6288</v>
      </c>
      <c r="AB1111" s="28" t="s">
        <v>6297</v>
      </c>
    </row>
    <row r="1112" spans="1:28" ht="185.4" x14ac:dyDescent="0.3">
      <c r="A1112" s="25">
        <v>9267</v>
      </c>
      <c r="B1112" s="25" t="s">
        <v>13445</v>
      </c>
      <c r="C1112" s="25" t="s">
        <v>13446</v>
      </c>
      <c r="D1112" s="25" t="s">
        <v>6291</v>
      </c>
      <c r="E1112" s="16" t="s">
        <v>6292</v>
      </c>
      <c r="F1112" s="16" t="s">
        <v>6292</v>
      </c>
      <c r="G1112" s="16" t="s">
        <v>6292</v>
      </c>
      <c r="H1112" s="16" t="s">
        <v>6292</v>
      </c>
      <c r="I1112" s="25" t="s">
        <v>13447</v>
      </c>
      <c r="J1112" s="25"/>
      <c r="K1112" s="25" t="s">
        <v>6281</v>
      </c>
      <c r="L1112" s="26" t="s">
        <v>13448</v>
      </c>
      <c r="M1112" s="26" t="s">
        <v>6295</v>
      </c>
      <c r="N1112" s="27" t="s">
        <v>13449</v>
      </c>
      <c r="O1112" s="26" t="s">
        <v>6295</v>
      </c>
      <c r="P1112" s="20" t="b">
        <v>1</v>
      </c>
      <c r="Q1112" s="20" t="s">
        <v>6282</v>
      </c>
      <c r="R1112" s="28" t="s">
        <v>6283</v>
      </c>
      <c r="S1112" s="25"/>
      <c r="T1112" s="20" t="b">
        <v>1</v>
      </c>
      <c r="U1112" s="25"/>
      <c r="V1112" s="25">
        <v>139</v>
      </c>
      <c r="W1112" s="28" t="s">
        <v>13450</v>
      </c>
      <c r="X1112" s="28" t="s">
        <v>6285</v>
      </c>
      <c r="Y1112" s="28" t="s">
        <v>6286</v>
      </c>
      <c r="Z1112" s="28" t="s">
        <v>6287</v>
      </c>
      <c r="AA1112" s="28" t="s">
        <v>6288</v>
      </c>
      <c r="AB1112" s="28" t="s">
        <v>6297</v>
      </c>
    </row>
    <row r="1113" spans="1:28" ht="185.4" x14ac:dyDescent="0.3">
      <c r="A1113" s="25">
        <v>9268</v>
      </c>
      <c r="B1113" s="25" t="s">
        <v>13451</v>
      </c>
      <c r="C1113" s="25" t="s">
        <v>13452</v>
      </c>
      <c r="D1113" s="25" t="s">
        <v>6291</v>
      </c>
      <c r="E1113" s="16" t="s">
        <v>6786</v>
      </c>
      <c r="F1113" s="16" t="s">
        <v>6786</v>
      </c>
      <c r="G1113" s="16" t="s">
        <v>6786</v>
      </c>
      <c r="H1113" s="16" t="s">
        <v>6786</v>
      </c>
      <c r="I1113" s="25" t="s">
        <v>13453</v>
      </c>
      <c r="J1113" s="25"/>
      <c r="K1113" s="25" t="s">
        <v>6281</v>
      </c>
      <c r="L1113" s="26" t="s">
        <v>13454</v>
      </c>
      <c r="M1113" s="26" t="s">
        <v>6295</v>
      </c>
      <c r="N1113" s="27" t="s">
        <v>13455</v>
      </c>
      <c r="O1113" s="26" t="s">
        <v>6295</v>
      </c>
      <c r="P1113" s="20" t="b">
        <v>1</v>
      </c>
      <c r="Q1113" s="20" t="s">
        <v>6282</v>
      </c>
      <c r="R1113" s="28" t="s">
        <v>6283</v>
      </c>
      <c r="S1113" s="25"/>
      <c r="T1113" s="20" t="b">
        <v>1</v>
      </c>
      <c r="U1113" s="25"/>
      <c r="V1113" s="25">
        <v>3.8315999999999999</v>
      </c>
      <c r="W1113" s="28" t="s">
        <v>13456</v>
      </c>
      <c r="X1113" s="28" t="s">
        <v>6285</v>
      </c>
      <c r="Y1113" s="28" t="s">
        <v>6286</v>
      </c>
      <c r="Z1113" s="28" t="s">
        <v>6287</v>
      </c>
      <c r="AA1113" s="28" t="s">
        <v>6288</v>
      </c>
      <c r="AB1113" s="28" t="s">
        <v>6297</v>
      </c>
    </row>
    <row r="1114" spans="1:28" ht="185.4" x14ac:dyDescent="0.3">
      <c r="A1114" s="25">
        <v>9269</v>
      </c>
      <c r="B1114" s="25" t="s">
        <v>13457</v>
      </c>
      <c r="C1114" s="25" t="s">
        <v>13458</v>
      </c>
      <c r="D1114" s="25" t="s">
        <v>6291</v>
      </c>
      <c r="E1114" s="16" t="s">
        <v>6292</v>
      </c>
      <c r="F1114" s="16" t="s">
        <v>6292</v>
      </c>
      <c r="G1114" s="16" t="s">
        <v>6292</v>
      </c>
      <c r="H1114" s="16" t="s">
        <v>6292</v>
      </c>
      <c r="I1114" s="25" t="s">
        <v>13459</v>
      </c>
      <c r="J1114" s="25"/>
      <c r="K1114" s="25" t="s">
        <v>6281</v>
      </c>
      <c r="L1114" s="26" t="s">
        <v>13460</v>
      </c>
      <c r="M1114" s="26" t="s">
        <v>6295</v>
      </c>
      <c r="N1114" s="27" t="s">
        <v>13461</v>
      </c>
      <c r="O1114" s="26" t="s">
        <v>6295</v>
      </c>
      <c r="P1114" s="20" t="b">
        <v>1</v>
      </c>
      <c r="Q1114" s="20" t="s">
        <v>6282</v>
      </c>
      <c r="R1114" s="28" t="s">
        <v>6283</v>
      </c>
      <c r="S1114" s="25"/>
      <c r="T1114" s="20" t="b">
        <v>1</v>
      </c>
      <c r="U1114" s="25"/>
      <c r="V1114" s="25">
        <v>57.36</v>
      </c>
      <c r="W1114" s="28" t="s">
        <v>13462</v>
      </c>
      <c r="X1114" s="28" t="s">
        <v>6285</v>
      </c>
      <c r="Y1114" s="28" t="s">
        <v>6286</v>
      </c>
      <c r="Z1114" s="28" t="s">
        <v>6287</v>
      </c>
      <c r="AA1114" s="28" t="s">
        <v>6288</v>
      </c>
      <c r="AB1114" s="28" t="s">
        <v>6297</v>
      </c>
    </row>
    <row r="1115" spans="1:28" ht="185.4" x14ac:dyDescent="0.3">
      <c r="A1115" s="25">
        <v>9271</v>
      </c>
      <c r="B1115" s="25" t="s">
        <v>13463</v>
      </c>
      <c r="C1115" s="25" t="s">
        <v>13464</v>
      </c>
      <c r="D1115" s="25" t="s">
        <v>6291</v>
      </c>
      <c r="E1115" s="16" t="s">
        <v>6292</v>
      </c>
      <c r="F1115" s="16" t="s">
        <v>6292</v>
      </c>
      <c r="G1115" s="16" t="s">
        <v>6292</v>
      </c>
      <c r="H1115" s="16" t="s">
        <v>6292</v>
      </c>
      <c r="I1115" s="25" t="s">
        <v>13465</v>
      </c>
      <c r="J1115" s="25"/>
      <c r="K1115" s="25" t="s">
        <v>6281</v>
      </c>
      <c r="L1115" s="26" t="s">
        <v>13466</v>
      </c>
      <c r="M1115" s="26" t="s">
        <v>6295</v>
      </c>
      <c r="N1115" s="27" t="s">
        <v>13467</v>
      </c>
      <c r="O1115" s="26" t="s">
        <v>6295</v>
      </c>
      <c r="P1115" s="20" t="b">
        <v>1</v>
      </c>
      <c r="Q1115" s="20" t="s">
        <v>6282</v>
      </c>
      <c r="R1115" s="28" t="s">
        <v>6283</v>
      </c>
      <c r="S1115" s="25"/>
      <c r="T1115" s="20" t="b">
        <v>1</v>
      </c>
      <c r="U1115" s="25"/>
      <c r="V1115" s="25">
        <v>500</v>
      </c>
      <c r="W1115" s="28" t="s">
        <v>13468</v>
      </c>
      <c r="X1115" s="28" t="s">
        <v>6285</v>
      </c>
      <c r="Y1115" s="28" t="s">
        <v>6286</v>
      </c>
      <c r="Z1115" s="28" t="s">
        <v>6287</v>
      </c>
      <c r="AA1115" s="28" t="s">
        <v>6288</v>
      </c>
      <c r="AB1115" s="28" t="s">
        <v>6297</v>
      </c>
    </row>
    <row r="1116" spans="1:28" ht="185.4" x14ac:dyDescent="0.3">
      <c r="A1116" s="25">
        <v>9272</v>
      </c>
      <c r="B1116" s="25" t="s">
        <v>13469</v>
      </c>
      <c r="C1116" s="25" t="s">
        <v>13470</v>
      </c>
      <c r="D1116" s="25" t="s">
        <v>6291</v>
      </c>
      <c r="E1116" s="16" t="s">
        <v>6292</v>
      </c>
      <c r="F1116" s="16" t="s">
        <v>6292</v>
      </c>
      <c r="G1116" s="16" t="s">
        <v>6292</v>
      </c>
      <c r="H1116" s="16" t="s">
        <v>6292</v>
      </c>
      <c r="I1116" s="25" t="s">
        <v>13471</v>
      </c>
      <c r="J1116" s="25"/>
      <c r="K1116" s="25" t="s">
        <v>6281</v>
      </c>
      <c r="L1116" s="26" t="s">
        <v>13472</v>
      </c>
      <c r="M1116" s="26" t="s">
        <v>13473</v>
      </c>
      <c r="N1116" s="27" t="s">
        <v>13474</v>
      </c>
      <c r="O1116" s="26" t="s">
        <v>6295</v>
      </c>
      <c r="P1116" s="20" t="b">
        <v>1</v>
      </c>
      <c r="Q1116" s="20" t="s">
        <v>6282</v>
      </c>
      <c r="R1116" s="28" t="s">
        <v>6283</v>
      </c>
      <c r="S1116" s="25"/>
      <c r="T1116" s="20" t="b">
        <v>1</v>
      </c>
      <c r="U1116" s="25"/>
      <c r="V1116" s="25">
        <v>5.71</v>
      </c>
      <c r="W1116" s="28" t="s">
        <v>13475</v>
      </c>
      <c r="X1116" s="28" t="s">
        <v>6285</v>
      </c>
      <c r="Y1116" s="28" t="s">
        <v>6286</v>
      </c>
      <c r="Z1116" s="28" t="s">
        <v>6287</v>
      </c>
      <c r="AA1116" s="28" t="s">
        <v>6288</v>
      </c>
      <c r="AB1116" s="28" t="s">
        <v>6297</v>
      </c>
    </row>
    <row r="1117" spans="1:28" ht="185.4" x14ac:dyDescent="0.3">
      <c r="A1117" s="25">
        <v>9273</v>
      </c>
      <c r="B1117" s="25" t="s">
        <v>13476</v>
      </c>
      <c r="C1117" s="25" t="s">
        <v>13477</v>
      </c>
      <c r="D1117" s="25" t="s">
        <v>6278</v>
      </c>
      <c r="E1117" s="16" t="s">
        <v>6279</v>
      </c>
      <c r="F1117" s="16" t="s">
        <v>6279</v>
      </c>
      <c r="G1117" s="16" t="s">
        <v>6279</v>
      </c>
      <c r="H1117" s="16" t="s">
        <v>6279</v>
      </c>
      <c r="I1117" s="25" t="s">
        <v>13478</v>
      </c>
      <c r="J1117" s="25"/>
      <c r="K1117" s="25" t="s">
        <v>6281</v>
      </c>
      <c r="L1117" s="26" t="s">
        <v>13479</v>
      </c>
      <c r="M1117" s="26" t="s">
        <v>13480</v>
      </c>
      <c r="N1117" s="27" t="s">
        <v>13481</v>
      </c>
      <c r="O1117" s="26" t="s">
        <v>6295</v>
      </c>
      <c r="P1117" s="20" t="b">
        <v>1</v>
      </c>
      <c r="Q1117" s="20" t="s">
        <v>6282</v>
      </c>
      <c r="R1117" s="28" t="s">
        <v>6283</v>
      </c>
      <c r="S1117" s="25"/>
      <c r="T1117" s="20" t="b">
        <v>1</v>
      </c>
      <c r="U1117" s="25"/>
      <c r="V1117" s="25">
        <v>366.57600000000002</v>
      </c>
      <c r="W1117" s="28" t="s">
        <v>13482</v>
      </c>
      <c r="X1117" s="28" t="s">
        <v>6285</v>
      </c>
      <c r="Y1117" s="28" t="s">
        <v>6286</v>
      </c>
      <c r="Z1117" s="28" t="s">
        <v>6287</v>
      </c>
      <c r="AA1117" s="28" t="s">
        <v>6288</v>
      </c>
      <c r="AB1117" s="28" t="s">
        <v>6297</v>
      </c>
    </row>
    <row r="1118" spans="1:28" ht="185.4" x14ac:dyDescent="0.3">
      <c r="A1118" s="25">
        <v>9274</v>
      </c>
      <c r="B1118" s="25" t="s">
        <v>13483</v>
      </c>
      <c r="C1118" s="25" t="s">
        <v>13484</v>
      </c>
      <c r="D1118" s="25" t="s">
        <v>6291</v>
      </c>
      <c r="E1118" s="16" t="s">
        <v>6786</v>
      </c>
      <c r="F1118" s="16" t="s">
        <v>6786</v>
      </c>
      <c r="G1118" s="16" t="s">
        <v>6786</v>
      </c>
      <c r="H1118" s="16" t="s">
        <v>6786</v>
      </c>
      <c r="I1118" s="25" t="s">
        <v>13485</v>
      </c>
      <c r="J1118" s="25"/>
      <c r="K1118" s="25" t="s">
        <v>6281</v>
      </c>
      <c r="L1118" s="26" t="s">
        <v>13486</v>
      </c>
      <c r="M1118" s="26" t="s">
        <v>6295</v>
      </c>
      <c r="N1118" s="27" t="s">
        <v>13487</v>
      </c>
      <c r="O1118" s="26" t="s">
        <v>6295</v>
      </c>
      <c r="P1118" s="20" t="b">
        <v>1</v>
      </c>
      <c r="Q1118" s="20" t="s">
        <v>6282</v>
      </c>
      <c r="R1118" s="28" t="s">
        <v>6283</v>
      </c>
      <c r="S1118" s="25"/>
      <c r="T1118" s="20" t="b">
        <v>1</v>
      </c>
      <c r="U1118" s="25"/>
      <c r="V1118" s="25">
        <v>7.2462200000000001</v>
      </c>
      <c r="W1118" s="28" t="s">
        <v>13488</v>
      </c>
      <c r="X1118" s="28" t="s">
        <v>6285</v>
      </c>
      <c r="Y1118" s="28" t="s">
        <v>6286</v>
      </c>
      <c r="Z1118" s="28" t="s">
        <v>6287</v>
      </c>
      <c r="AA1118" s="28" t="s">
        <v>6288</v>
      </c>
      <c r="AB1118" s="28" t="s">
        <v>6297</v>
      </c>
    </row>
    <row r="1119" spans="1:28" ht="185.4" x14ac:dyDescent="0.3">
      <c r="A1119" s="25">
        <v>9275</v>
      </c>
      <c r="B1119" s="25" t="s">
        <v>13489</v>
      </c>
      <c r="C1119" s="25" t="s">
        <v>13490</v>
      </c>
      <c r="D1119" s="25" t="s">
        <v>6291</v>
      </c>
      <c r="E1119" s="16" t="s">
        <v>6786</v>
      </c>
      <c r="F1119" s="16" t="s">
        <v>6786</v>
      </c>
      <c r="G1119" s="16" t="s">
        <v>6786</v>
      </c>
      <c r="H1119" s="16" t="s">
        <v>6786</v>
      </c>
      <c r="I1119" s="25" t="s">
        <v>13491</v>
      </c>
      <c r="J1119" s="25"/>
      <c r="K1119" s="25" t="s">
        <v>6281</v>
      </c>
      <c r="L1119" s="26" t="s">
        <v>13492</v>
      </c>
      <c r="M1119" s="26" t="s">
        <v>6295</v>
      </c>
      <c r="N1119" s="27" t="s">
        <v>13493</v>
      </c>
      <c r="O1119" s="26" t="s">
        <v>6295</v>
      </c>
      <c r="P1119" s="20" t="b">
        <v>1</v>
      </c>
      <c r="Q1119" s="20" t="s">
        <v>6282</v>
      </c>
      <c r="R1119" s="28" t="s">
        <v>6283</v>
      </c>
      <c r="S1119" s="25"/>
      <c r="T1119" s="20" t="b">
        <v>1</v>
      </c>
      <c r="U1119" s="25"/>
      <c r="V1119" s="25">
        <v>6.8247</v>
      </c>
      <c r="W1119" s="28" t="s">
        <v>13494</v>
      </c>
      <c r="X1119" s="28" t="s">
        <v>6285</v>
      </c>
      <c r="Y1119" s="28" t="s">
        <v>6286</v>
      </c>
      <c r="Z1119" s="28" t="s">
        <v>6287</v>
      </c>
      <c r="AA1119" s="28" t="s">
        <v>6288</v>
      </c>
      <c r="AB1119" s="28" t="s">
        <v>6297</v>
      </c>
    </row>
    <row r="1120" spans="1:28" ht="185.4" x14ac:dyDescent="0.3">
      <c r="A1120" s="25">
        <v>9276</v>
      </c>
      <c r="B1120" s="25" t="s">
        <v>13495</v>
      </c>
      <c r="C1120" s="25" t="s">
        <v>13496</v>
      </c>
      <c r="D1120" s="25" t="s">
        <v>6278</v>
      </c>
      <c r="E1120" s="16" t="s">
        <v>6279</v>
      </c>
      <c r="F1120" s="16" t="s">
        <v>6279</v>
      </c>
      <c r="G1120" s="16" t="s">
        <v>6279</v>
      </c>
      <c r="H1120" s="16" t="s">
        <v>6279</v>
      </c>
      <c r="I1120" s="25" t="s">
        <v>13497</v>
      </c>
      <c r="J1120" s="25"/>
      <c r="K1120" s="25" t="s">
        <v>6281</v>
      </c>
      <c r="L1120" s="26" t="s">
        <v>13498</v>
      </c>
      <c r="M1120" s="26" t="s">
        <v>6295</v>
      </c>
      <c r="N1120" s="27" t="s">
        <v>13499</v>
      </c>
      <c r="O1120" s="26" t="s">
        <v>6295</v>
      </c>
      <c r="P1120" s="20" t="b">
        <v>1</v>
      </c>
      <c r="Q1120" s="20" t="s">
        <v>6282</v>
      </c>
      <c r="R1120" s="28" t="s">
        <v>6283</v>
      </c>
      <c r="S1120" s="25"/>
      <c r="T1120" s="20" t="b">
        <v>1</v>
      </c>
      <c r="U1120" s="25"/>
      <c r="V1120" s="25">
        <v>150.50200000000001</v>
      </c>
      <c r="W1120" s="28" t="s">
        <v>13500</v>
      </c>
      <c r="X1120" s="28" t="s">
        <v>6285</v>
      </c>
      <c r="Y1120" s="28" t="s">
        <v>6286</v>
      </c>
      <c r="Z1120" s="28" t="s">
        <v>6287</v>
      </c>
      <c r="AA1120" s="28" t="s">
        <v>6288</v>
      </c>
      <c r="AB1120" s="28" t="s">
        <v>6297</v>
      </c>
    </row>
    <row r="1121" spans="1:28" ht="185.4" x14ac:dyDescent="0.3">
      <c r="A1121" s="25">
        <v>9277</v>
      </c>
      <c r="B1121" s="25" t="s">
        <v>13501</v>
      </c>
      <c r="C1121" s="25" t="s">
        <v>13502</v>
      </c>
      <c r="D1121" s="25" t="s">
        <v>6291</v>
      </c>
      <c r="E1121" s="16" t="s">
        <v>6786</v>
      </c>
      <c r="F1121" s="16" t="s">
        <v>6786</v>
      </c>
      <c r="G1121" s="16" t="s">
        <v>6786</v>
      </c>
      <c r="H1121" s="16" t="s">
        <v>6786</v>
      </c>
      <c r="I1121" s="25" t="s">
        <v>13503</v>
      </c>
      <c r="J1121" s="25"/>
      <c r="K1121" s="25" t="s">
        <v>6281</v>
      </c>
      <c r="L1121" s="26" t="s">
        <v>13504</v>
      </c>
      <c r="M1121" s="26" t="s">
        <v>6295</v>
      </c>
      <c r="N1121" s="27" t="s">
        <v>13505</v>
      </c>
      <c r="O1121" s="26" t="s">
        <v>6295</v>
      </c>
      <c r="P1121" s="20" t="b">
        <v>1</v>
      </c>
      <c r="Q1121" s="20" t="s">
        <v>6282</v>
      </c>
      <c r="R1121" s="28" t="s">
        <v>6283</v>
      </c>
      <c r="S1121" s="25"/>
      <c r="T1121" s="20" t="b">
        <v>1</v>
      </c>
      <c r="U1121" s="25"/>
      <c r="V1121" s="25">
        <v>36.668970000000002</v>
      </c>
      <c r="W1121" s="28" t="s">
        <v>13506</v>
      </c>
      <c r="X1121" s="28" t="s">
        <v>6285</v>
      </c>
      <c r="Y1121" s="28" t="s">
        <v>6286</v>
      </c>
      <c r="Z1121" s="28" t="s">
        <v>6287</v>
      </c>
      <c r="AA1121" s="28" t="s">
        <v>6288</v>
      </c>
      <c r="AB1121" s="28" t="s">
        <v>6297</v>
      </c>
    </row>
    <row r="1122" spans="1:28" ht="185.4" x14ac:dyDescent="0.3">
      <c r="A1122" s="25">
        <v>9278</v>
      </c>
      <c r="B1122" s="25" t="s">
        <v>6348</v>
      </c>
      <c r="C1122" s="25" t="s">
        <v>13507</v>
      </c>
      <c r="D1122" s="25" t="s">
        <v>6278</v>
      </c>
      <c r="E1122" s="16" t="s">
        <v>6279</v>
      </c>
      <c r="F1122" s="16" t="s">
        <v>6279</v>
      </c>
      <c r="G1122" s="16" t="s">
        <v>6279</v>
      </c>
      <c r="H1122" s="16" t="s">
        <v>6279</v>
      </c>
      <c r="I1122" s="25" t="s">
        <v>6350</v>
      </c>
      <c r="J1122" s="25"/>
      <c r="K1122" s="25" t="s">
        <v>6281</v>
      </c>
      <c r="L1122" s="26" t="s">
        <v>13508</v>
      </c>
      <c r="M1122" s="26" t="s">
        <v>13509</v>
      </c>
      <c r="N1122" s="27" t="s">
        <v>13510</v>
      </c>
      <c r="O1122" s="26" t="s">
        <v>6354</v>
      </c>
      <c r="P1122" s="20" t="b">
        <v>1</v>
      </c>
      <c r="Q1122" s="20" t="s">
        <v>6282</v>
      </c>
      <c r="R1122" s="28" t="s">
        <v>6283</v>
      </c>
      <c r="S1122" s="25"/>
      <c r="T1122" s="20" t="b">
        <v>1</v>
      </c>
      <c r="U1122" s="25"/>
      <c r="V1122" s="25" t="s">
        <v>6295</v>
      </c>
      <c r="W1122" s="28" t="s">
        <v>13511</v>
      </c>
      <c r="X1122" s="28" t="s">
        <v>6285</v>
      </c>
      <c r="Y1122" s="28" t="s">
        <v>6286</v>
      </c>
      <c r="Z1122" s="28" t="s">
        <v>6287</v>
      </c>
      <c r="AA1122" s="28" t="s">
        <v>6288</v>
      </c>
      <c r="AB1122" s="28" t="s">
        <v>6297</v>
      </c>
    </row>
    <row r="1123" spans="1:28" ht="185.4" x14ac:dyDescent="0.3">
      <c r="A1123" s="25">
        <v>9279</v>
      </c>
      <c r="B1123" s="25" t="s">
        <v>12756</v>
      </c>
      <c r="C1123" s="25" t="s">
        <v>13512</v>
      </c>
      <c r="D1123" s="25" t="s">
        <v>6291</v>
      </c>
      <c r="E1123" s="16" t="s">
        <v>6292</v>
      </c>
      <c r="F1123" s="16" t="s">
        <v>6292</v>
      </c>
      <c r="G1123" s="16" t="s">
        <v>6292</v>
      </c>
      <c r="H1123" s="16" t="s">
        <v>6292</v>
      </c>
      <c r="I1123" s="25" t="s">
        <v>12758</v>
      </c>
      <c r="J1123" s="25"/>
      <c r="K1123" s="25" t="s">
        <v>6281</v>
      </c>
      <c r="L1123" s="26" t="s">
        <v>13513</v>
      </c>
      <c r="M1123" s="26" t="s">
        <v>6295</v>
      </c>
      <c r="N1123" s="27" t="s">
        <v>13514</v>
      </c>
      <c r="O1123" s="26" t="s">
        <v>6295</v>
      </c>
      <c r="P1123" s="20" t="b">
        <v>1</v>
      </c>
      <c r="Q1123" s="20" t="s">
        <v>6282</v>
      </c>
      <c r="R1123" s="28" t="s">
        <v>6283</v>
      </c>
      <c r="S1123" s="25"/>
      <c r="T1123" s="20" t="b">
        <v>1</v>
      </c>
      <c r="U1123" s="25"/>
      <c r="V1123" s="25">
        <v>1440.3593496599999</v>
      </c>
      <c r="W1123" s="28" t="s">
        <v>13515</v>
      </c>
      <c r="X1123" s="28" t="s">
        <v>6285</v>
      </c>
      <c r="Y1123" s="28" t="s">
        <v>6286</v>
      </c>
      <c r="Z1123" s="28" t="s">
        <v>6287</v>
      </c>
      <c r="AA1123" s="28" t="s">
        <v>6288</v>
      </c>
      <c r="AB1123" s="28" t="s">
        <v>6297</v>
      </c>
    </row>
    <row r="1124" spans="1:28" ht="185.4" x14ac:dyDescent="0.3">
      <c r="A1124" s="25">
        <v>9280</v>
      </c>
      <c r="B1124" s="25" t="s">
        <v>13516</v>
      </c>
      <c r="C1124" s="25" t="s">
        <v>13517</v>
      </c>
      <c r="D1124" s="25" t="s">
        <v>6291</v>
      </c>
      <c r="E1124" s="16" t="s">
        <v>6292</v>
      </c>
      <c r="F1124" s="16" t="s">
        <v>6292</v>
      </c>
      <c r="G1124" s="16" t="s">
        <v>6292</v>
      </c>
      <c r="H1124" s="16" t="s">
        <v>6292</v>
      </c>
      <c r="I1124" s="25" t="s">
        <v>13518</v>
      </c>
      <c r="J1124" s="25"/>
      <c r="K1124" s="25" t="s">
        <v>6281</v>
      </c>
      <c r="L1124" s="26" t="s">
        <v>13519</v>
      </c>
      <c r="M1124" s="26" t="s">
        <v>6295</v>
      </c>
      <c r="N1124" s="27" t="s">
        <v>13520</v>
      </c>
      <c r="O1124" s="26" t="s">
        <v>6295</v>
      </c>
      <c r="P1124" s="20" t="b">
        <v>1</v>
      </c>
      <c r="Q1124" s="20" t="s">
        <v>6282</v>
      </c>
      <c r="R1124" s="28" t="s">
        <v>6283</v>
      </c>
      <c r="S1124" s="25"/>
      <c r="T1124" s="20" t="b">
        <v>1</v>
      </c>
      <c r="U1124" s="25"/>
      <c r="V1124" s="25">
        <v>406.23</v>
      </c>
      <c r="W1124" s="28" t="s">
        <v>13521</v>
      </c>
      <c r="X1124" s="28" t="s">
        <v>6285</v>
      </c>
      <c r="Y1124" s="28" t="s">
        <v>6286</v>
      </c>
      <c r="Z1124" s="28" t="s">
        <v>6287</v>
      </c>
      <c r="AA1124" s="28" t="s">
        <v>6288</v>
      </c>
      <c r="AB1124" s="28" t="s">
        <v>6297</v>
      </c>
    </row>
    <row r="1125" spans="1:28" ht="185.4" x14ac:dyDescent="0.3">
      <c r="A1125" s="25">
        <v>9281</v>
      </c>
      <c r="B1125" s="25" t="s">
        <v>13522</v>
      </c>
      <c r="C1125" s="25" t="s">
        <v>13523</v>
      </c>
      <c r="D1125" s="25" t="s">
        <v>6291</v>
      </c>
      <c r="E1125" s="16" t="s">
        <v>6786</v>
      </c>
      <c r="F1125" s="16" t="s">
        <v>6786</v>
      </c>
      <c r="G1125" s="16" t="s">
        <v>6786</v>
      </c>
      <c r="H1125" s="16" t="s">
        <v>6786</v>
      </c>
      <c r="I1125" s="25" t="s">
        <v>13524</v>
      </c>
      <c r="J1125" s="25"/>
      <c r="K1125" s="25" t="s">
        <v>6281</v>
      </c>
      <c r="L1125" s="26" t="s">
        <v>13525</v>
      </c>
      <c r="M1125" s="26" t="s">
        <v>6295</v>
      </c>
      <c r="N1125" s="27" t="s">
        <v>13526</v>
      </c>
      <c r="O1125" s="26" t="s">
        <v>6295</v>
      </c>
      <c r="P1125" s="20" t="b">
        <v>1</v>
      </c>
      <c r="Q1125" s="20" t="s">
        <v>6282</v>
      </c>
      <c r="R1125" s="28" t="s">
        <v>6283</v>
      </c>
      <c r="S1125" s="25"/>
      <c r="T1125" s="20" t="b">
        <v>1</v>
      </c>
      <c r="U1125" s="25"/>
      <c r="V1125" s="25">
        <v>10.5055</v>
      </c>
      <c r="W1125" s="28" t="s">
        <v>13527</v>
      </c>
      <c r="X1125" s="28" t="s">
        <v>6285</v>
      </c>
      <c r="Y1125" s="28" t="s">
        <v>6286</v>
      </c>
      <c r="Z1125" s="28" t="s">
        <v>6287</v>
      </c>
      <c r="AA1125" s="28" t="s">
        <v>6288</v>
      </c>
      <c r="AB1125" s="28" t="s">
        <v>6297</v>
      </c>
    </row>
    <row r="1126" spans="1:28" ht="185.4" x14ac:dyDescent="0.3">
      <c r="A1126" s="25">
        <v>9282</v>
      </c>
      <c r="B1126" s="25" t="s">
        <v>13528</v>
      </c>
      <c r="C1126" s="25" t="s">
        <v>13529</v>
      </c>
      <c r="D1126" s="25" t="s">
        <v>6291</v>
      </c>
      <c r="E1126" s="16" t="s">
        <v>6786</v>
      </c>
      <c r="F1126" s="16" t="s">
        <v>6786</v>
      </c>
      <c r="G1126" s="16" t="s">
        <v>6786</v>
      </c>
      <c r="H1126" s="16" t="s">
        <v>6786</v>
      </c>
      <c r="I1126" s="25" t="s">
        <v>13530</v>
      </c>
      <c r="J1126" s="25"/>
      <c r="K1126" s="25" t="s">
        <v>6281</v>
      </c>
      <c r="L1126" s="26" t="s">
        <v>13531</v>
      </c>
      <c r="M1126" s="26" t="s">
        <v>6295</v>
      </c>
      <c r="N1126" s="27" t="s">
        <v>13532</v>
      </c>
      <c r="O1126" s="26" t="s">
        <v>6295</v>
      </c>
      <c r="P1126" s="20" t="b">
        <v>1</v>
      </c>
      <c r="Q1126" s="20" t="s">
        <v>6282</v>
      </c>
      <c r="R1126" s="28" t="s">
        <v>6283</v>
      </c>
      <c r="S1126" s="25"/>
      <c r="T1126" s="20" t="b">
        <v>1</v>
      </c>
      <c r="U1126" s="25"/>
      <c r="V1126" s="25">
        <v>6.1117999999999997</v>
      </c>
      <c r="W1126" s="28" t="s">
        <v>13533</v>
      </c>
      <c r="X1126" s="28" t="s">
        <v>6285</v>
      </c>
      <c r="Y1126" s="28" t="s">
        <v>6286</v>
      </c>
      <c r="Z1126" s="28" t="s">
        <v>6287</v>
      </c>
      <c r="AA1126" s="28" t="s">
        <v>6288</v>
      </c>
      <c r="AB1126" s="28" t="s">
        <v>6297</v>
      </c>
    </row>
    <row r="1127" spans="1:28" ht="185.4" x14ac:dyDescent="0.3">
      <c r="A1127" s="25">
        <v>9283</v>
      </c>
      <c r="B1127" s="25" t="s">
        <v>13534</v>
      </c>
      <c r="C1127" s="25" t="s">
        <v>13535</v>
      </c>
      <c r="D1127" s="25" t="s">
        <v>6291</v>
      </c>
      <c r="E1127" s="16" t="s">
        <v>6786</v>
      </c>
      <c r="F1127" s="16" t="s">
        <v>6786</v>
      </c>
      <c r="G1127" s="16" t="s">
        <v>6786</v>
      </c>
      <c r="H1127" s="16" t="s">
        <v>6786</v>
      </c>
      <c r="I1127" s="25" t="s">
        <v>13536</v>
      </c>
      <c r="J1127" s="25"/>
      <c r="K1127" s="25" t="s">
        <v>6281</v>
      </c>
      <c r="L1127" s="26" t="s">
        <v>13537</v>
      </c>
      <c r="M1127" s="26" t="s">
        <v>6295</v>
      </c>
      <c r="N1127" s="27" t="s">
        <v>13538</v>
      </c>
      <c r="O1127" s="26" t="s">
        <v>6295</v>
      </c>
      <c r="P1127" s="20" t="b">
        <v>1</v>
      </c>
      <c r="Q1127" s="20" t="s">
        <v>6282</v>
      </c>
      <c r="R1127" s="28" t="s">
        <v>6283</v>
      </c>
      <c r="S1127" s="25"/>
      <c r="T1127" s="20" t="b">
        <v>1</v>
      </c>
      <c r="U1127" s="25"/>
      <c r="V1127" s="25">
        <v>3.7273999999999998</v>
      </c>
      <c r="W1127" s="28" t="s">
        <v>13539</v>
      </c>
      <c r="X1127" s="28" t="s">
        <v>6285</v>
      </c>
      <c r="Y1127" s="28" t="s">
        <v>6286</v>
      </c>
      <c r="Z1127" s="28" t="s">
        <v>6287</v>
      </c>
      <c r="AA1127" s="28" t="s">
        <v>6288</v>
      </c>
      <c r="AB1127" s="28" t="s">
        <v>6297</v>
      </c>
    </row>
    <row r="1128" spans="1:28" ht="185.4" x14ac:dyDescent="0.3">
      <c r="A1128" s="25">
        <v>9284</v>
      </c>
      <c r="B1128" s="25" t="s">
        <v>13540</v>
      </c>
      <c r="C1128" s="25" t="s">
        <v>13541</v>
      </c>
      <c r="D1128" s="25" t="s">
        <v>6291</v>
      </c>
      <c r="E1128" s="16" t="s">
        <v>6786</v>
      </c>
      <c r="F1128" s="16" t="s">
        <v>6786</v>
      </c>
      <c r="G1128" s="16" t="s">
        <v>6786</v>
      </c>
      <c r="H1128" s="16" t="s">
        <v>6786</v>
      </c>
      <c r="I1128" s="25" t="s">
        <v>13542</v>
      </c>
      <c r="J1128" s="25"/>
      <c r="K1128" s="25" t="s">
        <v>6281</v>
      </c>
      <c r="L1128" s="26" t="s">
        <v>13543</v>
      </c>
      <c r="M1128" s="26" t="s">
        <v>6295</v>
      </c>
      <c r="N1128" s="27" t="s">
        <v>13544</v>
      </c>
      <c r="O1128" s="26" t="s">
        <v>6295</v>
      </c>
      <c r="P1128" s="20" t="b">
        <v>1</v>
      </c>
      <c r="Q1128" s="20" t="s">
        <v>6282</v>
      </c>
      <c r="R1128" s="28" t="s">
        <v>6283</v>
      </c>
      <c r="S1128" s="25"/>
      <c r="T1128" s="20" t="b">
        <v>1</v>
      </c>
      <c r="U1128" s="25"/>
      <c r="V1128" s="25">
        <v>10.6404</v>
      </c>
      <c r="W1128" s="28" t="s">
        <v>13545</v>
      </c>
      <c r="X1128" s="28" t="s">
        <v>6285</v>
      </c>
      <c r="Y1128" s="28" t="s">
        <v>6286</v>
      </c>
      <c r="Z1128" s="28" t="s">
        <v>6287</v>
      </c>
      <c r="AA1128" s="28" t="s">
        <v>6288</v>
      </c>
      <c r="AB1128" s="28" t="s">
        <v>6297</v>
      </c>
    </row>
    <row r="1129" spans="1:28" ht="185.4" x14ac:dyDescent="0.3">
      <c r="A1129" s="25">
        <v>9285</v>
      </c>
      <c r="B1129" s="25" t="s">
        <v>13546</v>
      </c>
      <c r="C1129" s="25" t="s">
        <v>13547</v>
      </c>
      <c r="D1129" s="25" t="s">
        <v>6291</v>
      </c>
      <c r="E1129" s="16" t="s">
        <v>6292</v>
      </c>
      <c r="F1129" s="16" t="s">
        <v>6292</v>
      </c>
      <c r="G1129" s="16" t="s">
        <v>6292</v>
      </c>
      <c r="H1129" s="16" t="s">
        <v>6292</v>
      </c>
      <c r="I1129" s="25" t="s">
        <v>13548</v>
      </c>
      <c r="J1129" s="25"/>
      <c r="K1129" s="25" t="s">
        <v>6281</v>
      </c>
      <c r="L1129" s="26" t="s">
        <v>13549</v>
      </c>
      <c r="M1129" s="26" t="s">
        <v>6295</v>
      </c>
      <c r="N1129" s="27" t="s">
        <v>13550</v>
      </c>
      <c r="O1129" s="26" t="s">
        <v>6295</v>
      </c>
      <c r="P1129" s="20" t="b">
        <v>1</v>
      </c>
      <c r="Q1129" s="20" t="s">
        <v>6282</v>
      </c>
      <c r="R1129" s="28" t="s">
        <v>6283</v>
      </c>
      <c r="S1129" s="25"/>
      <c r="T1129" s="20" t="b">
        <v>1</v>
      </c>
      <c r="U1129" s="25"/>
      <c r="V1129" s="25">
        <v>197.7885</v>
      </c>
      <c r="W1129" s="28" t="s">
        <v>13551</v>
      </c>
      <c r="X1129" s="28" t="s">
        <v>6285</v>
      </c>
      <c r="Y1129" s="28" t="s">
        <v>6286</v>
      </c>
      <c r="Z1129" s="28" t="s">
        <v>6287</v>
      </c>
      <c r="AA1129" s="28" t="s">
        <v>6288</v>
      </c>
      <c r="AB1129" s="28" t="s">
        <v>6297</v>
      </c>
    </row>
    <row r="1130" spans="1:28" ht="185.4" x14ac:dyDescent="0.3">
      <c r="A1130" s="25">
        <v>9286</v>
      </c>
      <c r="B1130" s="25" t="s">
        <v>13552</v>
      </c>
      <c r="C1130" s="25" t="s">
        <v>13553</v>
      </c>
      <c r="D1130" s="25" t="s">
        <v>6291</v>
      </c>
      <c r="E1130" s="16" t="s">
        <v>6786</v>
      </c>
      <c r="F1130" s="16" t="s">
        <v>6786</v>
      </c>
      <c r="G1130" s="16" t="s">
        <v>6786</v>
      </c>
      <c r="H1130" s="16" t="s">
        <v>6786</v>
      </c>
      <c r="I1130" s="25" t="s">
        <v>13554</v>
      </c>
      <c r="J1130" s="25"/>
      <c r="K1130" s="25" t="s">
        <v>6281</v>
      </c>
      <c r="L1130" s="26" t="s">
        <v>13555</v>
      </c>
      <c r="M1130" s="26" t="s">
        <v>13556</v>
      </c>
      <c r="N1130" s="27" t="s">
        <v>13557</v>
      </c>
      <c r="O1130" s="26" t="s">
        <v>6295</v>
      </c>
      <c r="P1130" s="20" t="b">
        <v>1</v>
      </c>
      <c r="Q1130" s="20" t="s">
        <v>6282</v>
      </c>
      <c r="R1130" s="28" t="s">
        <v>6283</v>
      </c>
      <c r="S1130" s="25"/>
      <c r="T1130" s="20" t="b">
        <v>1</v>
      </c>
      <c r="U1130" s="25"/>
      <c r="V1130" s="25">
        <v>2000</v>
      </c>
      <c r="W1130" s="28" t="s">
        <v>13558</v>
      </c>
      <c r="X1130" s="28" t="s">
        <v>6285</v>
      </c>
      <c r="Y1130" s="28" t="s">
        <v>6286</v>
      </c>
      <c r="Z1130" s="28" t="s">
        <v>6287</v>
      </c>
      <c r="AA1130" s="28" t="s">
        <v>6288</v>
      </c>
      <c r="AB1130" s="28" t="s">
        <v>6297</v>
      </c>
    </row>
    <row r="1131" spans="1:28" ht="185.4" x14ac:dyDescent="0.3">
      <c r="A1131" s="25">
        <v>9287</v>
      </c>
      <c r="B1131" s="25" t="s">
        <v>13559</v>
      </c>
      <c r="C1131" s="25" t="s">
        <v>13560</v>
      </c>
      <c r="D1131" s="25" t="s">
        <v>6291</v>
      </c>
      <c r="E1131" s="16" t="s">
        <v>6292</v>
      </c>
      <c r="F1131" s="16" t="s">
        <v>6292</v>
      </c>
      <c r="G1131" s="16" t="s">
        <v>6292</v>
      </c>
      <c r="H1131" s="16" t="s">
        <v>6292</v>
      </c>
      <c r="I1131" s="25" t="s">
        <v>13561</v>
      </c>
      <c r="J1131" s="25"/>
      <c r="K1131" s="25" t="s">
        <v>6281</v>
      </c>
      <c r="L1131" s="26" t="s">
        <v>13562</v>
      </c>
      <c r="M1131" s="26" t="s">
        <v>6295</v>
      </c>
      <c r="N1131" s="27" t="s">
        <v>13563</v>
      </c>
      <c r="O1131" s="26" t="s">
        <v>6295</v>
      </c>
      <c r="P1131" s="20" t="b">
        <v>1</v>
      </c>
      <c r="Q1131" s="20" t="s">
        <v>6282</v>
      </c>
      <c r="R1131" s="28" t="s">
        <v>6283</v>
      </c>
      <c r="S1131" s="25"/>
      <c r="T1131" s="20" t="b">
        <v>1</v>
      </c>
      <c r="U1131" s="25"/>
      <c r="V1131" s="25">
        <v>175.17</v>
      </c>
      <c r="W1131" s="28" t="s">
        <v>13564</v>
      </c>
      <c r="X1131" s="28" t="s">
        <v>6285</v>
      </c>
      <c r="Y1131" s="28" t="s">
        <v>6286</v>
      </c>
      <c r="Z1131" s="28" t="s">
        <v>6287</v>
      </c>
      <c r="AA1131" s="28" t="s">
        <v>6288</v>
      </c>
      <c r="AB1131" s="28" t="s">
        <v>6297</v>
      </c>
    </row>
    <row r="1132" spans="1:28" ht="185.4" x14ac:dyDescent="0.3">
      <c r="A1132" s="25">
        <v>9289</v>
      </c>
      <c r="B1132" s="25" t="s">
        <v>13565</v>
      </c>
      <c r="C1132" s="25" t="s">
        <v>13566</v>
      </c>
      <c r="D1132" s="25" t="s">
        <v>6291</v>
      </c>
      <c r="E1132" s="16" t="s">
        <v>6292</v>
      </c>
      <c r="F1132" s="16" t="s">
        <v>6292</v>
      </c>
      <c r="G1132" s="16" t="s">
        <v>6292</v>
      </c>
      <c r="H1132" s="16" t="s">
        <v>6292</v>
      </c>
      <c r="I1132" s="25" t="s">
        <v>13567</v>
      </c>
      <c r="J1132" s="25"/>
      <c r="K1132" s="25" t="s">
        <v>6281</v>
      </c>
      <c r="L1132" s="26" t="s">
        <v>13568</v>
      </c>
      <c r="M1132" s="26" t="s">
        <v>6295</v>
      </c>
      <c r="N1132" s="27" t="s">
        <v>13569</v>
      </c>
      <c r="O1132" s="26" t="s">
        <v>6295</v>
      </c>
      <c r="P1132" s="20" t="b">
        <v>1</v>
      </c>
      <c r="Q1132" s="20" t="s">
        <v>6282</v>
      </c>
      <c r="R1132" s="28" t="s">
        <v>6283</v>
      </c>
      <c r="S1132" s="25"/>
      <c r="T1132" s="20" t="b">
        <v>1</v>
      </c>
      <c r="U1132" s="25"/>
      <c r="V1132" s="25">
        <v>166.99799999999999</v>
      </c>
      <c r="W1132" s="28" t="s">
        <v>13570</v>
      </c>
      <c r="X1132" s="28" t="s">
        <v>6285</v>
      </c>
      <c r="Y1132" s="28" t="s">
        <v>6286</v>
      </c>
      <c r="Z1132" s="28" t="s">
        <v>6287</v>
      </c>
      <c r="AA1132" s="28" t="s">
        <v>6288</v>
      </c>
      <c r="AB1132" s="28" t="s">
        <v>6297</v>
      </c>
    </row>
    <row r="1133" spans="1:28" ht="185.4" x14ac:dyDescent="0.3">
      <c r="A1133" s="25">
        <v>9290</v>
      </c>
      <c r="B1133" s="25" t="s">
        <v>13571</v>
      </c>
      <c r="C1133" s="25" t="s">
        <v>13572</v>
      </c>
      <c r="D1133" s="25" t="s">
        <v>6291</v>
      </c>
      <c r="E1133" s="16" t="s">
        <v>6292</v>
      </c>
      <c r="F1133" s="16" t="s">
        <v>6292</v>
      </c>
      <c r="G1133" s="16" t="s">
        <v>6292</v>
      </c>
      <c r="H1133" s="16" t="s">
        <v>6292</v>
      </c>
      <c r="I1133" s="25" t="s">
        <v>13573</v>
      </c>
      <c r="J1133" s="25"/>
      <c r="K1133" s="25" t="s">
        <v>6281</v>
      </c>
      <c r="L1133" s="26" t="s">
        <v>13574</v>
      </c>
      <c r="M1133" s="26" t="s">
        <v>6295</v>
      </c>
      <c r="N1133" s="27" t="s">
        <v>13575</v>
      </c>
      <c r="O1133" s="26" t="s">
        <v>6295</v>
      </c>
      <c r="P1133" s="20" t="b">
        <v>1</v>
      </c>
      <c r="Q1133" s="20" t="s">
        <v>6282</v>
      </c>
      <c r="R1133" s="28" t="s">
        <v>6283</v>
      </c>
      <c r="S1133" s="25"/>
      <c r="T1133" s="20" t="b">
        <v>1</v>
      </c>
      <c r="U1133" s="25"/>
      <c r="V1133" s="25">
        <v>45.628</v>
      </c>
      <c r="W1133" s="28" t="s">
        <v>13576</v>
      </c>
      <c r="X1133" s="28" t="s">
        <v>6285</v>
      </c>
      <c r="Y1133" s="28" t="s">
        <v>6286</v>
      </c>
      <c r="Z1133" s="28" t="s">
        <v>6287</v>
      </c>
      <c r="AA1133" s="28" t="s">
        <v>6288</v>
      </c>
      <c r="AB1133" s="28" t="s">
        <v>6297</v>
      </c>
    </row>
    <row r="1134" spans="1:28" ht="225" x14ac:dyDescent="0.3">
      <c r="A1134" s="25">
        <v>9291</v>
      </c>
      <c r="B1134" s="25" t="s">
        <v>13577</v>
      </c>
      <c r="C1134" s="25" t="s">
        <v>13578</v>
      </c>
      <c r="D1134" s="25" t="s">
        <v>6278</v>
      </c>
      <c r="E1134" s="16" t="s">
        <v>6279</v>
      </c>
      <c r="F1134" s="16" t="s">
        <v>6279</v>
      </c>
      <c r="G1134" s="16" t="s">
        <v>6279</v>
      </c>
      <c r="H1134" s="16" t="s">
        <v>6279</v>
      </c>
      <c r="I1134" s="25" t="s">
        <v>13579</v>
      </c>
      <c r="J1134" s="25"/>
      <c r="K1134" s="25" t="s">
        <v>6281</v>
      </c>
      <c r="L1134" s="26" t="s">
        <v>13580</v>
      </c>
      <c r="M1134" s="26" t="s">
        <v>13377</v>
      </c>
      <c r="N1134" s="27" t="s">
        <v>13378</v>
      </c>
      <c r="O1134" s="26" t="s">
        <v>13581</v>
      </c>
      <c r="P1134" s="20" t="b">
        <v>1</v>
      </c>
      <c r="Q1134" s="20" t="s">
        <v>6282</v>
      </c>
      <c r="R1134" s="28" t="s">
        <v>6283</v>
      </c>
      <c r="S1134" s="25"/>
      <c r="T1134" s="20" t="b">
        <v>1</v>
      </c>
      <c r="U1134" s="25"/>
      <c r="V1134" s="25">
        <v>52.44</v>
      </c>
      <c r="W1134" s="28" t="s">
        <v>13582</v>
      </c>
      <c r="X1134" s="28" t="s">
        <v>6285</v>
      </c>
      <c r="Y1134" s="28" t="s">
        <v>6286</v>
      </c>
      <c r="Z1134" s="28" t="s">
        <v>6287</v>
      </c>
      <c r="AA1134" s="28" t="s">
        <v>6288</v>
      </c>
      <c r="AB1134" s="28" t="s">
        <v>6297</v>
      </c>
    </row>
    <row r="1135" spans="1:28" ht="185.4" x14ac:dyDescent="0.3">
      <c r="A1135" s="25">
        <v>9292</v>
      </c>
      <c r="B1135" s="25" t="s">
        <v>13583</v>
      </c>
      <c r="C1135" s="25" t="s">
        <v>13584</v>
      </c>
      <c r="D1135" s="25" t="s">
        <v>6291</v>
      </c>
      <c r="E1135" s="16" t="s">
        <v>6786</v>
      </c>
      <c r="F1135" s="16" t="s">
        <v>6786</v>
      </c>
      <c r="G1135" s="16" t="s">
        <v>6786</v>
      </c>
      <c r="H1135" s="16" t="s">
        <v>6786</v>
      </c>
      <c r="I1135" s="25" t="s">
        <v>13585</v>
      </c>
      <c r="J1135" s="25"/>
      <c r="K1135" s="25" t="s">
        <v>6281</v>
      </c>
      <c r="L1135" s="26" t="s">
        <v>13586</v>
      </c>
      <c r="M1135" s="26" t="s">
        <v>6295</v>
      </c>
      <c r="N1135" s="27" t="s">
        <v>10455</v>
      </c>
      <c r="O1135" s="26" t="s">
        <v>6295</v>
      </c>
      <c r="P1135" s="20" t="b">
        <v>1</v>
      </c>
      <c r="Q1135" s="20" t="s">
        <v>6282</v>
      </c>
      <c r="R1135" s="28" t="s">
        <v>6283</v>
      </c>
      <c r="S1135" s="25"/>
      <c r="T1135" s="20" t="b">
        <v>1</v>
      </c>
      <c r="U1135" s="25"/>
      <c r="V1135" s="25">
        <v>3.25</v>
      </c>
      <c r="W1135" s="28" t="s">
        <v>13587</v>
      </c>
      <c r="X1135" s="28" t="s">
        <v>6285</v>
      </c>
      <c r="Y1135" s="28" t="s">
        <v>6286</v>
      </c>
      <c r="Z1135" s="28" t="s">
        <v>6287</v>
      </c>
      <c r="AA1135" s="28" t="s">
        <v>6288</v>
      </c>
      <c r="AB1135" s="28" t="s">
        <v>6297</v>
      </c>
    </row>
    <row r="1136" spans="1:28" ht="185.4" x14ac:dyDescent="0.3">
      <c r="A1136" s="25">
        <v>9293</v>
      </c>
      <c r="B1136" s="25" t="s">
        <v>13588</v>
      </c>
      <c r="C1136" s="25" t="s">
        <v>6306</v>
      </c>
      <c r="D1136" s="25" t="s">
        <v>6291</v>
      </c>
      <c r="E1136" s="16" t="s">
        <v>6292</v>
      </c>
      <c r="F1136" s="16" t="s">
        <v>6292</v>
      </c>
      <c r="G1136" s="16" t="s">
        <v>6292</v>
      </c>
      <c r="H1136" s="16" t="s">
        <v>6292</v>
      </c>
      <c r="I1136" s="25" t="s">
        <v>13589</v>
      </c>
      <c r="J1136" s="25"/>
      <c r="K1136" s="25" t="s">
        <v>6281</v>
      </c>
      <c r="L1136" s="26" t="s">
        <v>13590</v>
      </c>
      <c r="M1136" s="26" t="s">
        <v>13591</v>
      </c>
      <c r="N1136" s="27" t="s">
        <v>13592</v>
      </c>
      <c r="O1136" s="26" t="s">
        <v>13591</v>
      </c>
      <c r="P1136" s="20" t="b">
        <v>1</v>
      </c>
      <c r="Q1136" s="20" t="s">
        <v>6282</v>
      </c>
      <c r="R1136" s="28" t="s">
        <v>6283</v>
      </c>
      <c r="S1136" s="25"/>
      <c r="T1136" s="20" t="b">
        <v>1</v>
      </c>
      <c r="U1136" s="25"/>
      <c r="V1136" s="25">
        <v>12.76</v>
      </c>
      <c r="W1136" s="28" t="s">
        <v>13593</v>
      </c>
      <c r="X1136" s="28" t="s">
        <v>6285</v>
      </c>
      <c r="Y1136" s="28" t="s">
        <v>6286</v>
      </c>
      <c r="Z1136" s="28" t="s">
        <v>6287</v>
      </c>
      <c r="AA1136" s="28" t="s">
        <v>6288</v>
      </c>
      <c r="AB1136" s="28" t="s">
        <v>6297</v>
      </c>
    </row>
    <row r="1137" spans="1:28" ht="185.4" x14ac:dyDescent="0.3">
      <c r="A1137" s="25">
        <v>9294</v>
      </c>
      <c r="B1137" s="25" t="s">
        <v>13594</v>
      </c>
      <c r="C1137" s="25" t="s">
        <v>13595</v>
      </c>
      <c r="D1137" s="25" t="s">
        <v>6291</v>
      </c>
      <c r="E1137" s="16" t="s">
        <v>6292</v>
      </c>
      <c r="F1137" s="16" t="s">
        <v>6292</v>
      </c>
      <c r="G1137" s="16" t="s">
        <v>6292</v>
      </c>
      <c r="H1137" s="16" t="s">
        <v>6292</v>
      </c>
      <c r="I1137" s="25" t="s">
        <v>13596</v>
      </c>
      <c r="J1137" s="25"/>
      <c r="K1137" s="25" t="s">
        <v>6281</v>
      </c>
      <c r="L1137" s="26" t="s">
        <v>13597</v>
      </c>
      <c r="M1137" s="26" t="s">
        <v>13591</v>
      </c>
      <c r="N1137" s="27" t="s">
        <v>13598</v>
      </c>
      <c r="O1137" s="26" t="s">
        <v>13591</v>
      </c>
      <c r="P1137" s="20" t="b">
        <v>1</v>
      </c>
      <c r="Q1137" s="20" t="s">
        <v>6282</v>
      </c>
      <c r="R1137" s="28" t="s">
        <v>6283</v>
      </c>
      <c r="S1137" s="25"/>
      <c r="T1137" s="20" t="b">
        <v>1</v>
      </c>
      <c r="U1137" s="25"/>
      <c r="V1137" s="25">
        <v>19.88</v>
      </c>
      <c r="W1137" s="28" t="s">
        <v>13599</v>
      </c>
      <c r="X1137" s="28" t="s">
        <v>6285</v>
      </c>
      <c r="Y1137" s="28" t="s">
        <v>6286</v>
      </c>
      <c r="Z1137" s="28" t="s">
        <v>6287</v>
      </c>
      <c r="AA1137" s="28" t="s">
        <v>6288</v>
      </c>
      <c r="AB1137" s="28" t="s">
        <v>6297</v>
      </c>
    </row>
    <row r="1138" spans="1:28" ht="185.4" x14ac:dyDescent="0.3">
      <c r="A1138" s="25">
        <v>9295</v>
      </c>
      <c r="B1138" s="25" t="s">
        <v>13600</v>
      </c>
      <c r="C1138" s="25" t="s">
        <v>13601</v>
      </c>
      <c r="D1138" s="25" t="s">
        <v>6278</v>
      </c>
      <c r="E1138" s="16" t="s">
        <v>6279</v>
      </c>
      <c r="F1138" s="16" t="s">
        <v>6279</v>
      </c>
      <c r="G1138" s="16" t="s">
        <v>6279</v>
      </c>
      <c r="H1138" s="16" t="s">
        <v>6279</v>
      </c>
      <c r="I1138" s="25" t="s">
        <v>13602</v>
      </c>
      <c r="J1138" s="25"/>
      <c r="K1138" s="25" t="s">
        <v>6281</v>
      </c>
      <c r="L1138" s="26" t="s">
        <v>13603</v>
      </c>
      <c r="M1138" s="26" t="s">
        <v>11482</v>
      </c>
      <c r="N1138" s="27" t="s">
        <v>11483</v>
      </c>
      <c r="O1138" s="26" t="s">
        <v>11484</v>
      </c>
      <c r="P1138" s="20" t="b">
        <v>1</v>
      </c>
      <c r="Q1138" s="20" t="s">
        <v>6282</v>
      </c>
      <c r="R1138" s="28" t="s">
        <v>6283</v>
      </c>
      <c r="S1138" s="25"/>
      <c r="T1138" s="20" t="b">
        <v>1</v>
      </c>
      <c r="U1138" s="25"/>
      <c r="V1138" s="25">
        <v>2528.2845000000002</v>
      </c>
      <c r="W1138" s="28" t="s">
        <v>13604</v>
      </c>
      <c r="X1138" s="28" t="s">
        <v>6285</v>
      </c>
      <c r="Y1138" s="28" t="s">
        <v>6286</v>
      </c>
      <c r="Z1138" s="28" t="s">
        <v>6287</v>
      </c>
      <c r="AA1138" s="28" t="s">
        <v>6288</v>
      </c>
      <c r="AB1138" s="28" t="s">
        <v>6297</v>
      </c>
    </row>
    <row r="1139" spans="1:28" ht="185.4" x14ac:dyDescent="0.3">
      <c r="A1139" s="25">
        <v>9296</v>
      </c>
      <c r="B1139" s="25" t="s">
        <v>13605</v>
      </c>
      <c r="C1139" s="25" t="s">
        <v>13606</v>
      </c>
      <c r="D1139" s="25" t="s">
        <v>6278</v>
      </c>
      <c r="E1139" s="16" t="s">
        <v>6279</v>
      </c>
      <c r="F1139" s="16" t="s">
        <v>6279</v>
      </c>
      <c r="G1139" s="16" t="s">
        <v>6279</v>
      </c>
      <c r="H1139" s="16" t="s">
        <v>6279</v>
      </c>
      <c r="I1139" s="25" t="s">
        <v>13607</v>
      </c>
      <c r="J1139" s="25"/>
      <c r="K1139" s="25" t="s">
        <v>6281</v>
      </c>
      <c r="L1139" s="26" t="s">
        <v>13608</v>
      </c>
      <c r="M1139" s="26" t="s">
        <v>11482</v>
      </c>
      <c r="N1139" s="27" t="s">
        <v>13609</v>
      </c>
      <c r="O1139" s="26" t="s">
        <v>11484</v>
      </c>
      <c r="P1139" s="20" t="b">
        <v>1</v>
      </c>
      <c r="Q1139" s="20" t="s">
        <v>6282</v>
      </c>
      <c r="R1139" s="28" t="s">
        <v>6283</v>
      </c>
      <c r="S1139" s="25"/>
      <c r="T1139" s="20" t="b">
        <v>1</v>
      </c>
      <c r="U1139" s="25"/>
      <c r="V1139" s="25">
        <v>5797.4804999999997</v>
      </c>
      <c r="W1139" s="28" t="s">
        <v>13610</v>
      </c>
      <c r="X1139" s="28" t="s">
        <v>6285</v>
      </c>
      <c r="Y1139" s="28" t="s">
        <v>6286</v>
      </c>
      <c r="Z1139" s="28" t="s">
        <v>6287</v>
      </c>
      <c r="AA1139" s="28" t="s">
        <v>6288</v>
      </c>
      <c r="AB1139" s="28" t="s">
        <v>6297</v>
      </c>
    </row>
    <row r="1140" spans="1:28" ht="185.4" x14ac:dyDescent="0.3">
      <c r="A1140" s="25">
        <v>9297</v>
      </c>
      <c r="B1140" s="25" t="s">
        <v>13611</v>
      </c>
      <c r="C1140" s="25" t="s">
        <v>13612</v>
      </c>
      <c r="D1140" s="25" t="s">
        <v>6291</v>
      </c>
      <c r="E1140" s="16" t="s">
        <v>6292</v>
      </c>
      <c r="F1140" s="16" t="s">
        <v>6292</v>
      </c>
      <c r="G1140" s="16" t="s">
        <v>6292</v>
      </c>
      <c r="H1140" s="16" t="s">
        <v>6292</v>
      </c>
      <c r="I1140" s="25" t="s">
        <v>13613</v>
      </c>
      <c r="J1140" s="25"/>
      <c r="K1140" s="25" t="s">
        <v>6281</v>
      </c>
      <c r="L1140" s="26" t="s">
        <v>13614</v>
      </c>
      <c r="M1140" s="26" t="s">
        <v>13615</v>
      </c>
      <c r="N1140" s="27" t="s">
        <v>13616</v>
      </c>
      <c r="O1140" s="26" t="s">
        <v>6295</v>
      </c>
      <c r="P1140" s="20" t="b">
        <v>1</v>
      </c>
      <c r="Q1140" s="20" t="s">
        <v>6282</v>
      </c>
      <c r="R1140" s="28" t="s">
        <v>6283</v>
      </c>
      <c r="S1140" s="25"/>
      <c r="T1140" s="20" t="b">
        <v>1</v>
      </c>
      <c r="U1140" s="25"/>
      <c r="V1140" s="25">
        <v>35.311500000000002</v>
      </c>
      <c r="W1140" s="28" t="s">
        <v>13617</v>
      </c>
      <c r="X1140" s="28" t="s">
        <v>6285</v>
      </c>
      <c r="Y1140" s="28" t="s">
        <v>6286</v>
      </c>
      <c r="Z1140" s="28" t="s">
        <v>6287</v>
      </c>
      <c r="AA1140" s="28" t="s">
        <v>6288</v>
      </c>
      <c r="AB1140" s="28" t="s">
        <v>6297</v>
      </c>
    </row>
    <row r="1141" spans="1:28" ht="185.4" x14ac:dyDescent="0.3">
      <c r="A1141" s="25">
        <v>9298</v>
      </c>
      <c r="B1141" s="25" t="s">
        <v>13618</v>
      </c>
      <c r="C1141" s="25" t="s">
        <v>13619</v>
      </c>
      <c r="D1141" s="25" t="s">
        <v>6291</v>
      </c>
      <c r="E1141" s="16" t="s">
        <v>6786</v>
      </c>
      <c r="F1141" s="16" t="s">
        <v>6786</v>
      </c>
      <c r="G1141" s="16" t="s">
        <v>6786</v>
      </c>
      <c r="H1141" s="16" t="s">
        <v>6786</v>
      </c>
      <c r="I1141" s="25" t="s">
        <v>13620</v>
      </c>
      <c r="J1141" s="25"/>
      <c r="K1141" s="25" t="s">
        <v>6281</v>
      </c>
      <c r="L1141" s="26" t="s">
        <v>13621</v>
      </c>
      <c r="M1141" s="26" t="s">
        <v>13622</v>
      </c>
      <c r="N1141" s="27" t="s">
        <v>13623</v>
      </c>
      <c r="O1141" s="26" t="s">
        <v>13624</v>
      </c>
      <c r="P1141" s="20" t="b">
        <v>1</v>
      </c>
      <c r="Q1141" s="20" t="s">
        <v>6282</v>
      </c>
      <c r="R1141" s="28" t="s">
        <v>6283</v>
      </c>
      <c r="S1141" s="25"/>
      <c r="T1141" s="20" t="b">
        <v>1</v>
      </c>
      <c r="U1141" s="25"/>
      <c r="V1141" s="25">
        <v>2.6549999999999998</v>
      </c>
      <c r="W1141" s="28" t="s">
        <v>13625</v>
      </c>
      <c r="X1141" s="28" t="s">
        <v>6285</v>
      </c>
      <c r="Y1141" s="28" t="s">
        <v>6286</v>
      </c>
      <c r="Z1141" s="28" t="s">
        <v>6287</v>
      </c>
      <c r="AA1141" s="28" t="s">
        <v>6288</v>
      </c>
      <c r="AB1141" s="28" t="s">
        <v>6297</v>
      </c>
    </row>
    <row r="1142" spans="1:28" ht="185.4" x14ac:dyDescent="0.3">
      <c r="A1142" s="25">
        <v>9299</v>
      </c>
      <c r="B1142" s="25" t="s">
        <v>13626</v>
      </c>
      <c r="C1142" s="25" t="s">
        <v>13627</v>
      </c>
      <c r="D1142" s="25" t="s">
        <v>6278</v>
      </c>
      <c r="E1142" s="16" t="s">
        <v>6279</v>
      </c>
      <c r="F1142" s="16" t="s">
        <v>6279</v>
      </c>
      <c r="G1142" s="16" t="s">
        <v>6279</v>
      </c>
      <c r="H1142" s="16" t="s">
        <v>6279</v>
      </c>
      <c r="I1142" s="25" t="s">
        <v>13628</v>
      </c>
      <c r="J1142" s="25"/>
      <c r="K1142" s="25" t="s">
        <v>6281</v>
      </c>
      <c r="L1142" s="26" t="s">
        <v>13629</v>
      </c>
      <c r="M1142" s="26" t="s">
        <v>6295</v>
      </c>
      <c r="N1142" s="27" t="s">
        <v>13630</v>
      </c>
      <c r="O1142" s="26" t="s">
        <v>6295</v>
      </c>
      <c r="P1142" s="20" t="b">
        <v>1</v>
      </c>
      <c r="Q1142" s="20" t="s">
        <v>6282</v>
      </c>
      <c r="R1142" s="28" t="s">
        <v>6283</v>
      </c>
      <c r="S1142" s="25"/>
      <c r="T1142" s="20" t="b">
        <v>1</v>
      </c>
      <c r="U1142" s="25"/>
      <c r="V1142" s="25">
        <v>289.488</v>
      </c>
      <c r="W1142" s="28" t="s">
        <v>13631</v>
      </c>
      <c r="X1142" s="28" t="s">
        <v>6285</v>
      </c>
      <c r="Y1142" s="28" t="s">
        <v>6286</v>
      </c>
      <c r="Z1142" s="28" t="s">
        <v>6287</v>
      </c>
      <c r="AA1142" s="28" t="s">
        <v>6288</v>
      </c>
      <c r="AB1142" s="28" t="s">
        <v>6297</v>
      </c>
    </row>
    <row r="1143" spans="1:28" ht="185.4" x14ac:dyDescent="0.3">
      <c r="A1143" s="25">
        <v>9300</v>
      </c>
      <c r="B1143" s="25" t="s">
        <v>13632</v>
      </c>
      <c r="C1143" s="25" t="s">
        <v>13633</v>
      </c>
      <c r="D1143" s="25" t="s">
        <v>6278</v>
      </c>
      <c r="E1143" s="16" t="s">
        <v>6279</v>
      </c>
      <c r="F1143" s="16" t="s">
        <v>6279</v>
      </c>
      <c r="G1143" s="16" t="s">
        <v>6279</v>
      </c>
      <c r="H1143" s="16" t="s">
        <v>6279</v>
      </c>
      <c r="I1143" s="25" t="s">
        <v>13634</v>
      </c>
      <c r="J1143" s="25"/>
      <c r="K1143" s="25" t="s">
        <v>6281</v>
      </c>
      <c r="L1143" s="26" t="s">
        <v>13635</v>
      </c>
      <c r="M1143" s="26" t="s">
        <v>13636</v>
      </c>
      <c r="N1143" s="27" t="s">
        <v>13637</v>
      </c>
      <c r="O1143" s="26" t="s">
        <v>6295</v>
      </c>
      <c r="P1143" s="20" t="b">
        <v>1</v>
      </c>
      <c r="Q1143" s="20" t="s">
        <v>6282</v>
      </c>
      <c r="R1143" s="28" t="s">
        <v>6283</v>
      </c>
      <c r="S1143" s="25"/>
      <c r="T1143" s="20" t="b">
        <v>1</v>
      </c>
      <c r="U1143" s="25"/>
      <c r="V1143" s="25">
        <v>434.19529999999997</v>
      </c>
      <c r="W1143" s="28" t="s">
        <v>13638</v>
      </c>
      <c r="X1143" s="28" t="s">
        <v>6285</v>
      </c>
      <c r="Y1143" s="28" t="s">
        <v>6286</v>
      </c>
      <c r="Z1143" s="28" t="s">
        <v>6287</v>
      </c>
      <c r="AA1143" s="28" t="s">
        <v>6288</v>
      </c>
      <c r="AB1143" s="28" t="s">
        <v>6297</v>
      </c>
    </row>
    <row r="1144" spans="1:28" ht="185.4" x14ac:dyDescent="0.3">
      <c r="A1144" s="25">
        <v>9301</v>
      </c>
      <c r="B1144" s="25" t="s">
        <v>13639</v>
      </c>
      <c r="C1144" s="25" t="s">
        <v>13640</v>
      </c>
      <c r="D1144" s="25" t="s">
        <v>6278</v>
      </c>
      <c r="E1144" s="16" t="s">
        <v>6279</v>
      </c>
      <c r="F1144" s="16" t="s">
        <v>6279</v>
      </c>
      <c r="G1144" s="16" t="s">
        <v>6279</v>
      </c>
      <c r="H1144" s="16" t="s">
        <v>6279</v>
      </c>
      <c r="I1144" s="25" t="s">
        <v>13641</v>
      </c>
      <c r="J1144" s="25"/>
      <c r="K1144" s="25" t="s">
        <v>6281</v>
      </c>
      <c r="L1144" s="26" t="s">
        <v>13642</v>
      </c>
      <c r="M1144" s="26" t="s">
        <v>6295</v>
      </c>
      <c r="N1144" s="27" t="s">
        <v>13643</v>
      </c>
      <c r="O1144" s="26" t="s">
        <v>6295</v>
      </c>
      <c r="P1144" s="20" t="b">
        <v>1</v>
      </c>
      <c r="Q1144" s="20" t="s">
        <v>6282</v>
      </c>
      <c r="R1144" s="28" t="s">
        <v>6283</v>
      </c>
      <c r="S1144" s="25"/>
      <c r="T1144" s="20" t="b">
        <v>1</v>
      </c>
      <c r="U1144" s="25"/>
      <c r="V1144" s="25">
        <v>6867.14</v>
      </c>
      <c r="W1144" s="28" t="s">
        <v>13644</v>
      </c>
      <c r="X1144" s="28" t="s">
        <v>6285</v>
      </c>
      <c r="Y1144" s="28" t="s">
        <v>6286</v>
      </c>
      <c r="Z1144" s="28" t="s">
        <v>6287</v>
      </c>
      <c r="AA1144" s="28" t="s">
        <v>6288</v>
      </c>
      <c r="AB1144" s="28" t="s">
        <v>6297</v>
      </c>
    </row>
    <row r="1145" spans="1:28" ht="185.4" x14ac:dyDescent="0.3">
      <c r="A1145" s="25">
        <v>9302</v>
      </c>
      <c r="B1145" s="25" t="s">
        <v>13645</v>
      </c>
      <c r="C1145" s="25" t="s">
        <v>13646</v>
      </c>
      <c r="D1145" s="25" t="s">
        <v>6278</v>
      </c>
      <c r="E1145" s="16" t="s">
        <v>6279</v>
      </c>
      <c r="F1145" s="16" t="s">
        <v>6279</v>
      </c>
      <c r="G1145" s="16" t="s">
        <v>6279</v>
      </c>
      <c r="H1145" s="16" t="s">
        <v>6279</v>
      </c>
      <c r="I1145" s="25" t="s">
        <v>13647</v>
      </c>
      <c r="J1145" s="25"/>
      <c r="K1145" s="25" t="s">
        <v>6281</v>
      </c>
      <c r="L1145" s="26" t="s">
        <v>13648</v>
      </c>
      <c r="M1145" s="26" t="s">
        <v>13622</v>
      </c>
      <c r="N1145" s="27" t="s">
        <v>13649</v>
      </c>
      <c r="O1145" s="26" t="s">
        <v>13650</v>
      </c>
      <c r="P1145" s="20" t="b">
        <v>1</v>
      </c>
      <c r="Q1145" s="20" t="s">
        <v>6282</v>
      </c>
      <c r="R1145" s="28" t="s">
        <v>6283</v>
      </c>
      <c r="S1145" s="25"/>
      <c r="T1145" s="20" t="b">
        <v>1</v>
      </c>
      <c r="U1145" s="25"/>
      <c r="V1145" s="25">
        <v>18.589500000000001</v>
      </c>
      <c r="W1145" s="28" t="s">
        <v>13651</v>
      </c>
      <c r="X1145" s="28" t="s">
        <v>6285</v>
      </c>
      <c r="Y1145" s="28" t="s">
        <v>6286</v>
      </c>
      <c r="Z1145" s="28" t="s">
        <v>6287</v>
      </c>
      <c r="AA1145" s="28" t="s">
        <v>6288</v>
      </c>
      <c r="AB1145" s="28" t="s">
        <v>6297</v>
      </c>
    </row>
    <row r="1146" spans="1:28" ht="185.4" x14ac:dyDescent="0.3">
      <c r="A1146" s="25">
        <v>9303</v>
      </c>
      <c r="B1146" s="25" t="s">
        <v>13652</v>
      </c>
      <c r="C1146" s="25" t="s">
        <v>13653</v>
      </c>
      <c r="D1146" s="25" t="s">
        <v>6278</v>
      </c>
      <c r="E1146" s="16" t="s">
        <v>6279</v>
      </c>
      <c r="F1146" s="16" t="s">
        <v>6279</v>
      </c>
      <c r="G1146" s="16" t="s">
        <v>6279</v>
      </c>
      <c r="H1146" s="16" t="s">
        <v>6279</v>
      </c>
      <c r="I1146" s="25" t="s">
        <v>13654</v>
      </c>
      <c r="J1146" s="25"/>
      <c r="K1146" s="25" t="s">
        <v>6281</v>
      </c>
      <c r="L1146" s="26" t="s">
        <v>13655</v>
      </c>
      <c r="M1146" s="26" t="s">
        <v>9521</v>
      </c>
      <c r="N1146" s="27" t="s">
        <v>9522</v>
      </c>
      <c r="O1146" s="26" t="s">
        <v>13656</v>
      </c>
      <c r="P1146" s="20" t="b">
        <v>1</v>
      </c>
      <c r="Q1146" s="20" t="s">
        <v>6282</v>
      </c>
      <c r="R1146" s="28" t="s">
        <v>6283</v>
      </c>
      <c r="S1146" s="25"/>
      <c r="T1146" s="20" t="b">
        <v>1</v>
      </c>
      <c r="U1146" s="25"/>
      <c r="V1146" s="25">
        <v>284.625</v>
      </c>
      <c r="W1146" s="28" t="s">
        <v>13657</v>
      </c>
      <c r="X1146" s="28" t="s">
        <v>6285</v>
      </c>
      <c r="Y1146" s="28" t="s">
        <v>6286</v>
      </c>
      <c r="Z1146" s="28" t="s">
        <v>6287</v>
      </c>
      <c r="AA1146" s="28" t="s">
        <v>6288</v>
      </c>
      <c r="AB1146" s="28" t="s">
        <v>6297</v>
      </c>
    </row>
    <row r="1147" spans="1:28" ht="185.4" x14ac:dyDescent="0.3">
      <c r="A1147" s="25">
        <v>9304</v>
      </c>
      <c r="B1147" s="25" t="s">
        <v>13658</v>
      </c>
      <c r="C1147" s="25" t="s">
        <v>13659</v>
      </c>
      <c r="D1147" s="25" t="s">
        <v>6291</v>
      </c>
      <c r="E1147" s="16" t="s">
        <v>6292</v>
      </c>
      <c r="F1147" s="16" t="s">
        <v>6292</v>
      </c>
      <c r="G1147" s="16" t="s">
        <v>6292</v>
      </c>
      <c r="H1147" s="16" t="s">
        <v>6292</v>
      </c>
      <c r="I1147" s="25" t="s">
        <v>13660</v>
      </c>
      <c r="J1147" s="25"/>
      <c r="K1147" s="25" t="s">
        <v>6281</v>
      </c>
      <c r="L1147" s="26" t="s">
        <v>13661</v>
      </c>
      <c r="M1147" s="26" t="s">
        <v>6295</v>
      </c>
      <c r="N1147" s="27" t="s">
        <v>13662</v>
      </c>
      <c r="O1147" s="26" t="s">
        <v>6295</v>
      </c>
      <c r="P1147" s="20" t="b">
        <v>1</v>
      </c>
      <c r="Q1147" s="20" t="s">
        <v>6282</v>
      </c>
      <c r="R1147" s="28" t="s">
        <v>6283</v>
      </c>
      <c r="S1147" s="25"/>
      <c r="T1147" s="20" t="b">
        <v>1</v>
      </c>
      <c r="U1147" s="25"/>
      <c r="V1147" s="25">
        <v>3.17</v>
      </c>
      <c r="W1147" s="28" t="s">
        <v>13663</v>
      </c>
      <c r="X1147" s="28" t="s">
        <v>6285</v>
      </c>
      <c r="Y1147" s="28" t="s">
        <v>6286</v>
      </c>
      <c r="Z1147" s="28" t="s">
        <v>6287</v>
      </c>
      <c r="AA1147" s="28" t="s">
        <v>6288</v>
      </c>
      <c r="AB1147" s="28" t="s">
        <v>6297</v>
      </c>
    </row>
    <row r="1148" spans="1:28" ht="185.4" x14ac:dyDescent="0.3">
      <c r="A1148" s="25">
        <v>9305</v>
      </c>
      <c r="B1148" s="25" t="s">
        <v>13664</v>
      </c>
      <c r="C1148" s="25" t="s">
        <v>13665</v>
      </c>
      <c r="D1148" s="25" t="s">
        <v>6291</v>
      </c>
      <c r="E1148" s="16" t="s">
        <v>6292</v>
      </c>
      <c r="F1148" s="16" t="s">
        <v>6292</v>
      </c>
      <c r="G1148" s="16" t="s">
        <v>6292</v>
      </c>
      <c r="H1148" s="16" t="s">
        <v>6292</v>
      </c>
      <c r="I1148" s="25" t="s">
        <v>13666</v>
      </c>
      <c r="J1148" s="25"/>
      <c r="K1148" s="25" t="s">
        <v>6281</v>
      </c>
      <c r="L1148" s="26" t="s">
        <v>13667</v>
      </c>
      <c r="M1148" s="26" t="s">
        <v>6295</v>
      </c>
      <c r="N1148" s="27" t="s">
        <v>13668</v>
      </c>
      <c r="O1148" s="26" t="s">
        <v>6295</v>
      </c>
      <c r="P1148" s="20" t="b">
        <v>1</v>
      </c>
      <c r="Q1148" s="20" t="s">
        <v>6282</v>
      </c>
      <c r="R1148" s="28" t="s">
        <v>6283</v>
      </c>
      <c r="S1148" s="25"/>
      <c r="T1148" s="20" t="b">
        <v>1</v>
      </c>
      <c r="U1148" s="25"/>
      <c r="V1148" s="25">
        <v>15.47</v>
      </c>
      <c r="W1148" s="28" t="s">
        <v>13669</v>
      </c>
      <c r="X1148" s="28" t="s">
        <v>6285</v>
      </c>
      <c r="Y1148" s="28" t="s">
        <v>6286</v>
      </c>
      <c r="Z1148" s="28" t="s">
        <v>6287</v>
      </c>
      <c r="AA1148" s="28" t="s">
        <v>6288</v>
      </c>
      <c r="AB1148" s="28" t="s">
        <v>6297</v>
      </c>
    </row>
    <row r="1149" spans="1:28" ht="185.4" x14ac:dyDescent="0.3">
      <c r="A1149" s="25">
        <v>9306</v>
      </c>
      <c r="B1149" s="25" t="s">
        <v>11744</v>
      </c>
      <c r="C1149" s="25" t="s">
        <v>6295</v>
      </c>
      <c r="D1149" s="25" t="s">
        <v>6291</v>
      </c>
      <c r="E1149" s="16" t="s">
        <v>6292</v>
      </c>
      <c r="F1149" s="16" t="s">
        <v>6292</v>
      </c>
      <c r="G1149" s="16" t="s">
        <v>6292</v>
      </c>
      <c r="H1149" s="16" t="s">
        <v>6292</v>
      </c>
      <c r="I1149" s="25" t="s">
        <v>6295</v>
      </c>
      <c r="J1149" s="25"/>
      <c r="K1149" s="25" t="s">
        <v>6281</v>
      </c>
      <c r="L1149" s="26" t="s">
        <v>13670</v>
      </c>
      <c r="M1149" s="26" t="s">
        <v>6295</v>
      </c>
      <c r="N1149" s="27" t="s">
        <v>13671</v>
      </c>
      <c r="O1149" s="26" t="s">
        <v>6295</v>
      </c>
      <c r="P1149" s="20" t="b">
        <v>1</v>
      </c>
      <c r="Q1149" s="20" t="s">
        <v>6282</v>
      </c>
      <c r="R1149" s="28" t="s">
        <v>6283</v>
      </c>
      <c r="S1149" s="25"/>
      <c r="T1149" s="20" t="b">
        <v>1</v>
      </c>
      <c r="U1149" s="25"/>
      <c r="V1149" s="25">
        <v>39.863999999999997</v>
      </c>
      <c r="W1149" s="28" t="s">
        <v>13672</v>
      </c>
      <c r="X1149" s="28" t="s">
        <v>6285</v>
      </c>
      <c r="Y1149" s="28" t="s">
        <v>6286</v>
      </c>
      <c r="Z1149" s="28" t="s">
        <v>6287</v>
      </c>
      <c r="AA1149" s="28" t="s">
        <v>6288</v>
      </c>
      <c r="AB1149" s="28" t="s">
        <v>6297</v>
      </c>
    </row>
    <row r="1150" spans="1:28" ht="185.4" x14ac:dyDescent="0.3">
      <c r="A1150" s="25">
        <v>9307</v>
      </c>
      <c r="B1150" s="25" t="s">
        <v>13673</v>
      </c>
      <c r="C1150" s="25" t="s">
        <v>13674</v>
      </c>
      <c r="D1150" s="25" t="s">
        <v>6278</v>
      </c>
      <c r="E1150" s="16" t="s">
        <v>6279</v>
      </c>
      <c r="F1150" s="16" t="s">
        <v>6279</v>
      </c>
      <c r="G1150" s="16" t="s">
        <v>6279</v>
      </c>
      <c r="H1150" s="16" t="s">
        <v>6279</v>
      </c>
      <c r="I1150" s="25" t="s">
        <v>13675</v>
      </c>
      <c r="J1150" s="25"/>
      <c r="K1150" s="25" t="s">
        <v>6281</v>
      </c>
      <c r="L1150" s="26" t="s">
        <v>13676</v>
      </c>
      <c r="M1150" s="26" t="s">
        <v>6295</v>
      </c>
      <c r="N1150" s="27" t="s">
        <v>13677</v>
      </c>
      <c r="O1150" s="26" t="s">
        <v>6295</v>
      </c>
      <c r="P1150" s="20" t="b">
        <v>1</v>
      </c>
      <c r="Q1150" s="20" t="s">
        <v>6282</v>
      </c>
      <c r="R1150" s="28" t="s">
        <v>6283</v>
      </c>
      <c r="S1150" s="25"/>
      <c r="T1150" s="20" t="b">
        <v>1</v>
      </c>
      <c r="U1150" s="25"/>
      <c r="V1150" s="25">
        <v>12206.04</v>
      </c>
      <c r="W1150" s="28" t="s">
        <v>13678</v>
      </c>
      <c r="X1150" s="28" t="s">
        <v>6285</v>
      </c>
      <c r="Y1150" s="28" t="s">
        <v>6286</v>
      </c>
      <c r="Z1150" s="28" t="s">
        <v>6287</v>
      </c>
      <c r="AA1150" s="28" t="s">
        <v>6288</v>
      </c>
      <c r="AB1150" s="28" t="s">
        <v>6297</v>
      </c>
    </row>
    <row r="1151" spans="1:28" ht="185.4" x14ac:dyDescent="0.3">
      <c r="A1151" s="25">
        <v>9308</v>
      </c>
      <c r="B1151" s="25" t="s">
        <v>13679</v>
      </c>
      <c r="C1151" s="25" t="s">
        <v>13680</v>
      </c>
      <c r="D1151" s="25" t="s">
        <v>6291</v>
      </c>
      <c r="E1151" s="16" t="s">
        <v>6292</v>
      </c>
      <c r="F1151" s="16" t="s">
        <v>6292</v>
      </c>
      <c r="G1151" s="16" t="s">
        <v>6292</v>
      </c>
      <c r="H1151" s="16" t="s">
        <v>6292</v>
      </c>
      <c r="I1151" s="25" t="s">
        <v>13681</v>
      </c>
      <c r="J1151" s="25"/>
      <c r="K1151" s="25" t="s">
        <v>6281</v>
      </c>
      <c r="L1151" s="26" t="s">
        <v>13682</v>
      </c>
      <c r="M1151" s="26" t="s">
        <v>6295</v>
      </c>
      <c r="N1151" s="27" t="s">
        <v>13683</v>
      </c>
      <c r="O1151" s="26" t="s">
        <v>13684</v>
      </c>
      <c r="P1151" s="20" t="b">
        <v>1</v>
      </c>
      <c r="Q1151" s="20" t="s">
        <v>6282</v>
      </c>
      <c r="R1151" s="28" t="s">
        <v>6283</v>
      </c>
      <c r="S1151" s="25"/>
      <c r="T1151" s="20" t="b">
        <v>1</v>
      </c>
      <c r="U1151" s="25"/>
      <c r="V1151" s="25">
        <v>7.74</v>
      </c>
      <c r="W1151" s="28" t="s">
        <v>13685</v>
      </c>
      <c r="X1151" s="28" t="s">
        <v>6285</v>
      </c>
      <c r="Y1151" s="28" t="s">
        <v>6286</v>
      </c>
      <c r="Z1151" s="28" t="s">
        <v>6287</v>
      </c>
      <c r="AA1151" s="28" t="s">
        <v>6288</v>
      </c>
      <c r="AB1151" s="28" t="s">
        <v>6297</v>
      </c>
    </row>
    <row r="1152" spans="1:28" ht="198.6" x14ac:dyDescent="0.3">
      <c r="A1152" s="25">
        <v>9309</v>
      </c>
      <c r="B1152" s="25" t="s">
        <v>13686</v>
      </c>
      <c r="C1152" s="25" t="s">
        <v>13687</v>
      </c>
      <c r="D1152" s="25" t="s">
        <v>6291</v>
      </c>
      <c r="E1152" s="16" t="s">
        <v>6292</v>
      </c>
      <c r="F1152" s="16" t="s">
        <v>6292</v>
      </c>
      <c r="G1152" s="16" t="s">
        <v>6292</v>
      </c>
      <c r="H1152" s="16" t="s">
        <v>6292</v>
      </c>
      <c r="I1152" s="25" t="s">
        <v>13688</v>
      </c>
      <c r="J1152" s="25"/>
      <c r="K1152" s="25" t="s">
        <v>6281</v>
      </c>
      <c r="L1152" s="26" t="s">
        <v>13689</v>
      </c>
      <c r="M1152" s="26" t="s">
        <v>6295</v>
      </c>
      <c r="N1152" s="27" t="s">
        <v>13690</v>
      </c>
      <c r="O1152" s="26" t="s">
        <v>6295</v>
      </c>
      <c r="P1152" s="20" t="b">
        <v>1</v>
      </c>
      <c r="Q1152" s="20" t="s">
        <v>6282</v>
      </c>
      <c r="R1152" s="28" t="s">
        <v>6283</v>
      </c>
      <c r="S1152" s="25"/>
      <c r="T1152" s="20" t="b">
        <v>1</v>
      </c>
      <c r="U1152" s="25"/>
      <c r="V1152" s="25">
        <v>13.385999999999999</v>
      </c>
      <c r="W1152" s="28" t="s">
        <v>13691</v>
      </c>
      <c r="X1152" s="28" t="s">
        <v>6285</v>
      </c>
      <c r="Y1152" s="28" t="s">
        <v>6286</v>
      </c>
      <c r="Z1152" s="28" t="s">
        <v>6287</v>
      </c>
      <c r="AA1152" s="28" t="s">
        <v>6288</v>
      </c>
      <c r="AB1152" s="28" t="s">
        <v>6297</v>
      </c>
    </row>
    <row r="1153" spans="1:28" ht="185.4" x14ac:dyDescent="0.3">
      <c r="A1153" s="25">
        <v>9310</v>
      </c>
      <c r="B1153" s="25" t="s">
        <v>13692</v>
      </c>
      <c r="C1153" s="25" t="s">
        <v>6295</v>
      </c>
      <c r="D1153" s="25" t="s">
        <v>6291</v>
      </c>
      <c r="E1153" s="16" t="s">
        <v>6292</v>
      </c>
      <c r="F1153" s="16" t="s">
        <v>6292</v>
      </c>
      <c r="G1153" s="16" t="s">
        <v>6292</v>
      </c>
      <c r="H1153" s="16" t="s">
        <v>6292</v>
      </c>
      <c r="I1153" s="25" t="s">
        <v>13693</v>
      </c>
      <c r="J1153" s="25"/>
      <c r="K1153" s="25" t="s">
        <v>6281</v>
      </c>
      <c r="L1153" s="26" t="s">
        <v>13694</v>
      </c>
      <c r="M1153" s="26" t="s">
        <v>13695</v>
      </c>
      <c r="N1153" s="27" t="s">
        <v>13696</v>
      </c>
      <c r="O1153" s="26" t="s">
        <v>13697</v>
      </c>
      <c r="P1153" s="20" t="b">
        <v>1</v>
      </c>
      <c r="Q1153" s="20" t="s">
        <v>6282</v>
      </c>
      <c r="R1153" s="28" t="s">
        <v>6283</v>
      </c>
      <c r="S1153" s="25"/>
      <c r="T1153" s="20" t="b">
        <v>1</v>
      </c>
      <c r="U1153" s="25"/>
      <c r="V1153" s="25">
        <v>1216.4666</v>
      </c>
      <c r="W1153" s="28" t="s">
        <v>13698</v>
      </c>
      <c r="X1153" s="28" t="s">
        <v>6285</v>
      </c>
      <c r="Y1153" s="28" t="s">
        <v>6286</v>
      </c>
      <c r="Z1153" s="28" t="s">
        <v>6287</v>
      </c>
      <c r="AA1153" s="28" t="s">
        <v>6288</v>
      </c>
      <c r="AB1153" s="28" t="s">
        <v>6297</v>
      </c>
    </row>
    <row r="1154" spans="1:28" ht="185.4" x14ac:dyDescent="0.3">
      <c r="A1154" s="25">
        <v>9311</v>
      </c>
      <c r="B1154" s="25" t="s">
        <v>11744</v>
      </c>
      <c r="C1154" s="25" t="s">
        <v>6295</v>
      </c>
      <c r="D1154" s="25" t="s">
        <v>6291</v>
      </c>
      <c r="E1154" s="16" t="s">
        <v>6786</v>
      </c>
      <c r="F1154" s="16" t="s">
        <v>6786</v>
      </c>
      <c r="G1154" s="16" t="s">
        <v>6786</v>
      </c>
      <c r="H1154" s="16" t="s">
        <v>6786</v>
      </c>
      <c r="I1154" s="25" t="s">
        <v>6295</v>
      </c>
      <c r="J1154" s="25"/>
      <c r="K1154" s="25" t="s">
        <v>6281</v>
      </c>
      <c r="L1154" s="26" t="s">
        <v>13699</v>
      </c>
      <c r="M1154" s="26" t="s">
        <v>6295</v>
      </c>
      <c r="N1154" s="27" t="s">
        <v>13671</v>
      </c>
      <c r="O1154" s="26" t="s">
        <v>6295</v>
      </c>
      <c r="P1154" s="20" t="b">
        <v>1</v>
      </c>
      <c r="Q1154" s="20" t="s">
        <v>6282</v>
      </c>
      <c r="R1154" s="28" t="s">
        <v>6283</v>
      </c>
      <c r="S1154" s="25"/>
      <c r="T1154" s="20" t="b">
        <v>1</v>
      </c>
      <c r="U1154" s="25"/>
      <c r="V1154" s="25">
        <v>0.50173199999999996</v>
      </c>
      <c r="W1154" s="28" t="s">
        <v>13700</v>
      </c>
      <c r="X1154" s="28" t="s">
        <v>6285</v>
      </c>
      <c r="Y1154" s="28" t="s">
        <v>6286</v>
      </c>
      <c r="Z1154" s="28" t="s">
        <v>6287</v>
      </c>
      <c r="AA1154" s="28" t="s">
        <v>6288</v>
      </c>
      <c r="AB1154" s="28" t="s">
        <v>6297</v>
      </c>
    </row>
    <row r="1155" spans="1:28" ht="185.4" x14ac:dyDescent="0.3">
      <c r="A1155" s="25">
        <v>9312</v>
      </c>
      <c r="B1155" s="25" t="s">
        <v>11744</v>
      </c>
      <c r="C1155" s="25" t="s">
        <v>13701</v>
      </c>
      <c r="D1155" s="25" t="s">
        <v>6291</v>
      </c>
      <c r="E1155" s="16" t="s">
        <v>6292</v>
      </c>
      <c r="F1155" s="16" t="s">
        <v>6292</v>
      </c>
      <c r="G1155" s="16" t="s">
        <v>6292</v>
      </c>
      <c r="H1155" s="16" t="s">
        <v>6292</v>
      </c>
      <c r="I1155" s="25" t="s">
        <v>6295</v>
      </c>
      <c r="J1155" s="25"/>
      <c r="K1155" s="25" t="s">
        <v>6281</v>
      </c>
      <c r="L1155" s="26" t="s">
        <v>13702</v>
      </c>
      <c r="M1155" s="26" t="s">
        <v>13703</v>
      </c>
      <c r="N1155" s="27" t="s">
        <v>13671</v>
      </c>
      <c r="O1155" s="26" t="s">
        <v>6295</v>
      </c>
      <c r="P1155" s="20" t="b">
        <v>1</v>
      </c>
      <c r="Q1155" s="20" t="s">
        <v>6282</v>
      </c>
      <c r="R1155" s="28" t="s">
        <v>6283</v>
      </c>
      <c r="S1155" s="25"/>
      <c r="T1155" s="20" t="b">
        <v>1</v>
      </c>
      <c r="U1155" s="25"/>
      <c r="V1155" s="25">
        <v>100.815</v>
      </c>
      <c r="W1155" s="28" t="s">
        <v>13704</v>
      </c>
      <c r="X1155" s="28" t="s">
        <v>6285</v>
      </c>
      <c r="Y1155" s="28" t="s">
        <v>6286</v>
      </c>
      <c r="Z1155" s="28" t="s">
        <v>6287</v>
      </c>
      <c r="AA1155" s="28" t="s">
        <v>6288</v>
      </c>
      <c r="AB1155" s="28" t="s">
        <v>6297</v>
      </c>
    </row>
    <row r="1156" spans="1:28" ht="185.4" x14ac:dyDescent="0.3">
      <c r="A1156" s="25">
        <v>9313</v>
      </c>
      <c r="B1156" s="25" t="s">
        <v>11744</v>
      </c>
      <c r="C1156" s="25" t="s">
        <v>13705</v>
      </c>
      <c r="D1156" s="25" t="s">
        <v>6370</v>
      </c>
      <c r="E1156" s="16" t="s">
        <v>6371</v>
      </c>
      <c r="F1156" s="16" t="s">
        <v>6371</v>
      </c>
      <c r="G1156" s="16" t="s">
        <v>6371</v>
      </c>
      <c r="H1156" s="16" t="s">
        <v>6371</v>
      </c>
      <c r="I1156" s="25" t="s">
        <v>6295</v>
      </c>
      <c r="J1156" s="25"/>
      <c r="K1156" s="25" t="s">
        <v>6281</v>
      </c>
      <c r="L1156" s="26" t="s">
        <v>13706</v>
      </c>
      <c r="M1156" s="26" t="s">
        <v>6295</v>
      </c>
      <c r="N1156" s="27" t="s">
        <v>13671</v>
      </c>
      <c r="O1156" s="26" t="s">
        <v>6295</v>
      </c>
      <c r="P1156" s="20" t="b">
        <v>1</v>
      </c>
      <c r="Q1156" s="20" t="s">
        <v>6282</v>
      </c>
      <c r="R1156" s="28" t="s">
        <v>6283</v>
      </c>
      <c r="S1156" s="25"/>
      <c r="T1156" s="20" t="b">
        <v>1</v>
      </c>
      <c r="U1156" s="25"/>
      <c r="V1156" s="25">
        <v>118.88</v>
      </c>
      <c r="W1156" s="28" t="s">
        <v>13707</v>
      </c>
      <c r="X1156" s="28" t="s">
        <v>6285</v>
      </c>
      <c r="Y1156" s="28" t="s">
        <v>6286</v>
      </c>
      <c r="Z1156" s="28" t="s">
        <v>6287</v>
      </c>
      <c r="AA1156" s="28" t="s">
        <v>6288</v>
      </c>
      <c r="AB1156" s="28" t="s">
        <v>6297</v>
      </c>
    </row>
    <row r="1157" spans="1:28" ht="185.4" x14ac:dyDescent="0.3">
      <c r="A1157" s="25">
        <v>9314</v>
      </c>
      <c r="B1157" s="25" t="s">
        <v>13708</v>
      </c>
      <c r="C1157" s="25" t="s">
        <v>13709</v>
      </c>
      <c r="D1157" s="25" t="s">
        <v>6278</v>
      </c>
      <c r="E1157" s="16" t="s">
        <v>6279</v>
      </c>
      <c r="F1157" s="16" t="s">
        <v>6279</v>
      </c>
      <c r="G1157" s="16" t="s">
        <v>6279</v>
      </c>
      <c r="H1157" s="16" t="s">
        <v>6279</v>
      </c>
      <c r="I1157" s="25" t="s">
        <v>13710</v>
      </c>
      <c r="J1157" s="25"/>
      <c r="K1157" s="25" t="s">
        <v>6281</v>
      </c>
      <c r="L1157" s="26" t="s">
        <v>13711</v>
      </c>
      <c r="M1157" s="26" t="s">
        <v>6295</v>
      </c>
      <c r="N1157" s="27" t="s">
        <v>13712</v>
      </c>
      <c r="O1157" s="26" t="s">
        <v>6295</v>
      </c>
      <c r="P1157" s="20" t="b">
        <v>1</v>
      </c>
      <c r="Q1157" s="20" t="s">
        <v>6282</v>
      </c>
      <c r="R1157" s="28" t="s">
        <v>6283</v>
      </c>
      <c r="S1157" s="25"/>
      <c r="T1157" s="20" t="b">
        <v>1</v>
      </c>
      <c r="U1157" s="25"/>
      <c r="V1157" s="25">
        <v>637.43349999999998</v>
      </c>
      <c r="W1157" s="28" t="s">
        <v>13713</v>
      </c>
      <c r="X1157" s="28" t="s">
        <v>6285</v>
      </c>
      <c r="Y1157" s="28" t="s">
        <v>6286</v>
      </c>
      <c r="Z1157" s="28" t="s">
        <v>6287</v>
      </c>
      <c r="AA1157" s="28" t="s">
        <v>6288</v>
      </c>
      <c r="AB1157" s="28" t="s">
        <v>6297</v>
      </c>
    </row>
    <row r="1158" spans="1:28" ht="185.4" x14ac:dyDescent="0.3">
      <c r="A1158" s="25">
        <v>9315</v>
      </c>
      <c r="B1158" s="25" t="s">
        <v>13714</v>
      </c>
      <c r="C1158" s="25" t="s">
        <v>13715</v>
      </c>
      <c r="D1158" s="25" t="s">
        <v>6278</v>
      </c>
      <c r="E1158" s="16" t="s">
        <v>6279</v>
      </c>
      <c r="F1158" s="16" t="s">
        <v>6279</v>
      </c>
      <c r="G1158" s="16" t="s">
        <v>6279</v>
      </c>
      <c r="H1158" s="16" t="s">
        <v>6279</v>
      </c>
      <c r="I1158" s="25" t="s">
        <v>13716</v>
      </c>
      <c r="J1158" s="25"/>
      <c r="K1158" s="25" t="s">
        <v>6281</v>
      </c>
      <c r="L1158" s="26" t="s">
        <v>13717</v>
      </c>
      <c r="M1158" s="26" t="s">
        <v>13718</v>
      </c>
      <c r="N1158" s="27" t="s">
        <v>13719</v>
      </c>
      <c r="O1158" s="26" t="s">
        <v>6295</v>
      </c>
      <c r="P1158" s="20" t="b">
        <v>1</v>
      </c>
      <c r="Q1158" s="20" t="s">
        <v>6282</v>
      </c>
      <c r="R1158" s="28" t="s">
        <v>6283</v>
      </c>
      <c r="S1158" s="25"/>
      <c r="T1158" s="20" t="b">
        <v>1</v>
      </c>
      <c r="U1158" s="25"/>
      <c r="V1158" s="25">
        <v>718.33600000000001</v>
      </c>
      <c r="W1158" s="28" t="s">
        <v>13720</v>
      </c>
      <c r="X1158" s="28" t="s">
        <v>6285</v>
      </c>
      <c r="Y1158" s="28" t="s">
        <v>6286</v>
      </c>
      <c r="Z1158" s="28" t="s">
        <v>6287</v>
      </c>
      <c r="AA1158" s="28" t="s">
        <v>6288</v>
      </c>
      <c r="AB1158" s="28" t="s">
        <v>6297</v>
      </c>
    </row>
    <row r="1159" spans="1:28" ht="185.4" x14ac:dyDescent="0.3">
      <c r="A1159" s="25">
        <v>9316</v>
      </c>
      <c r="B1159" s="25" t="s">
        <v>13721</v>
      </c>
      <c r="C1159" s="25" t="s">
        <v>13722</v>
      </c>
      <c r="D1159" s="25" t="s">
        <v>6278</v>
      </c>
      <c r="E1159" s="16" t="s">
        <v>6279</v>
      </c>
      <c r="F1159" s="16" t="s">
        <v>6279</v>
      </c>
      <c r="G1159" s="16" t="s">
        <v>6279</v>
      </c>
      <c r="H1159" s="16" t="s">
        <v>6279</v>
      </c>
      <c r="I1159" s="25" t="s">
        <v>13723</v>
      </c>
      <c r="J1159" s="25"/>
      <c r="K1159" s="25" t="s">
        <v>6281</v>
      </c>
      <c r="L1159" s="26" t="s">
        <v>13724</v>
      </c>
      <c r="M1159" s="26" t="s">
        <v>13725</v>
      </c>
      <c r="N1159" s="27" t="s">
        <v>13726</v>
      </c>
      <c r="O1159" s="26" t="s">
        <v>13727</v>
      </c>
      <c r="P1159" s="20" t="b">
        <v>1</v>
      </c>
      <c r="Q1159" s="20" t="s">
        <v>6282</v>
      </c>
      <c r="R1159" s="28" t="s">
        <v>6283</v>
      </c>
      <c r="S1159" s="25"/>
      <c r="T1159" s="20" t="b">
        <v>1</v>
      </c>
      <c r="U1159" s="25"/>
      <c r="V1159" s="25">
        <v>470.5455</v>
      </c>
      <c r="W1159" s="28" t="s">
        <v>13728</v>
      </c>
      <c r="X1159" s="28" t="s">
        <v>6285</v>
      </c>
      <c r="Y1159" s="28" t="s">
        <v>6286</v>
      </c>
      <c r="Z1159" s="28" t="s">
        <v>6287</v>
      </c>
      <c r="AA1159" s="28" t="s">
        <v>6288</v>
      </c>
      <c r="AB1159" s="28" t="s">
        <v>6297</v>
      </c>
    </row>
    <row r="1160" spans="1:28" ht="185.4" x14ac:dyDescent="0.3">
      <c r="A1160" s="25">
        <v>9319</v>
      </c>
      <c r="B1160" s="25" t="s">
        <v>13729</v>
      </c>
      <c r="C1160" s="25" t="s">
        <v>13730</v>
      </c>
      <c r="D1160" s="25" t="s">
        <v>6278</v>
      </c>
      <c r="E1160" s="16" t="s">
        <v>6279</v>
      </c>
      <c r="F1160" s="16" t="s">
        <v>6279</v>
      </c>
      <c r="G1160" s="16" t="s">
        <v>6279</v>
      </c>
      <c r="H1160" s="16" t="s">
        <v>6279</v>
      </c>
      <c r="I1160" s="25" t="s">
        <v>13731</v>
      </c>
      <c r="J1160" s="25"/>
      <c r="K1160" s="25" t="s">
        <v>6281</v>
      </c>
      <c r="L1160" s="26" t="s">
        <v>13732</v>
      </c>
      <c r="M1160" s="26" t="s">
        <v>6295</v>
      </c>
      <c r="N1160" s="27" t="s">
        <v>13733</v>
      </c>
      <c r="O1160" s="26" t="s">
        <v>6295</v>
      </c>
      <c r="P1160" s="20" t="b">
        <v>1</v>
      </c>
      <c r="Q1160" s="20" t="s">
        <v>6282</v>
      </c>
      <c r="R1160" s="28" t="s">
        <v>6283</v>
      </c>
      <c r="S1160" s="25"/>
      <c r="T1160" s="20" t="b">
        <v>1</v>
      </c>
      <c r="U1160" s="25"/>
      <c r="V1160" s="25">
        <v>4183.8389999999999</v>
      </c>
      <c r="W1160" s="28" t="s">
        <v>13734</v>
      </c>
      <c r="X1160" s="28" t="s">
        <v>6285</v>
      </c>
      <c r="Y1160" s="28" t="s">
        <v>6286</v>
      </c>
      <c r="Z1160" s="28" t="s">
        <v>6287</v>
      </c>
      <c r="AA1160" s="28" t="s">
        <v>6288</v>
      </c>
      <c r="AB1160" s="28" t="s">
        <v>6297</v>
      </c>
    </row>
    <row r="1161" spans="1:28" ht="185.4" x14ac:dyDescent="0.3">
      <c r="A1161" s="25">
        <v>9320</v>
      </c>
      <c r="B1161" s="25" t="s">
        <v>13735</v>
      </c>
      <c r="C1161" s="25" t="s">
        <v>13736</v>
      </c>
      <c r="D1161" s="25" t="s">
        <v>6278</v>
      </c>
      <c r="E1161" s="16" t="s">
        <v>6279</v>
      </c>
      <c r="F1161" s="16" t="s">
        <v>6279</v>
      </c>
      <c r="G1161" s="16" t="s">
        <v>6279</v>
      </c>
      <c r="H1161" s="16" t="s">
        <v>6279</v>
      </c>
      <c r="I1161" s="25" t="s">
        <v>13737</v>
      </c>
      <c r="J1161" s="25"/>
      <c r="K1161" s="25" t="s">
        <v>6281</v>
      </c>
      <c r="L1161" s="26" t="s">
        <v>13738</v>
      </c>
      <c r="M1161" s="26" t="s">
        <v>6295</v>
      </c>
      <c r="N1161" s="27" t="s">
        <v>13733</v>
      </c>
      <c r="O1161" s="26" t="s">
        <v>6295</v>
      </c>
      <c r="P1161" s="20" t="b">
        <v>1</v>
      </c>
      <c r="Q1161" s="20" t="s">
        <v>6282</v>
      </c>
      <c r="R1161" s="28" t="s">
        <v>6283</v>
      </c>
      <c r="S1161" s="25"/>
      <c r="T1161" s="20" t="b">
        <v>1</v>
      </c>
      <c r="U1161" s="25"/>
      <c r="V1161" s="25">
        <v>4024.471</v>
      </c>
      <c r="W1161" s="28" t="s">
        <v>13739</v>
      </c>
      <c r="X1161" s="28" t="s">
        <v>6285</v>
      </c>
      <c r="Y1161" s="28" t="s">
        <v>6286</v>
      </c>
      <c r="Z1161" s="28" t="s">
        <v>6287</v>
      </c>
      <c r="AA1161" s="28" t="s">
        <v>6288</v>
      </c>
      <c r="AB1161" s="28" t="s">
        <v>6297</v>
      </c>
    </row>
    <row r="1162" spans="1:28" ht="185.4" x14ac:dyDescent="0.3">
      <c r="A1162" s="25">
        <v>9321</v>
      </c>
      <c r="B1162" s="25" t="s">
        <v>13740</v>
      </c>
      <c r="C1162" s="25" t="s">
        <v>13741</v>
      </c>
      <c r="D1162" s="25" t="s">
        <v>6278</v>
      </c>
      <c r="E1162" s="16" t="s">
        <v>6279</v>
      </c>
      <c r="F1162" s="16" t="s">
        <v>6279</v>
      </c>
      <c r="G1162" s="16" t="s">
        <v>6279</v>
      </c>
      <c r="H1162" s="16" t="s">
        <v>6279</v>
      </c>
      <c r="I1162" s="25" t="s">
        <v>13742</v>
      </c>
      <c r="J1162" s="25"/>
      <c r="K1162" s="25" t="s">
        <v>6281</v>
      </c>
      <c r="L1162" s="26" t="s">
        <v>13743</v>
      </c>
      <c r="M1162" s="26" t="s">
        <v>6295</v>
      </c>
      <c r="N1162" s="27" t="s">
        <v>13744</v>
      </c>
      <c r="O1162" s="26" t="s">
        <v>6295</v>
      </c>
      <c r="P1162" s="20" t="b">
        <v>1</v>
      </c>
      <c r="Q1162" s="20" t="s">
        <v>6282</v>
      </c>
      <c r="R1162" s="28" t="s">
        <v>6283</v>
      </c>
      <c r="S1162" s="25"/>
      <c r="T1162" s="20" t="b">
        <v>1</v>
      </c>
      <c r="U1162" s="25"/>
      <c r="V1162" s="25">
        <v>3002.9259999999999</v>
      </c>
      <c r="W1162" s="28" t="s">
        <v>13745</v>
      </c>
      <c r="X1162" s="28" t="s">
        <v>6285</v>
      </c>
      <c r="Y1162" s="28" t="s">
        <v>6286</v>
      </c>
      <c r="Z1162" s="28" t="s">
        <v>6287</v>
      </c>
      <c r="AA1162" s="28" t="s">
        <v>6288</v>
      </c>
      <c r="AB1162" s="28" t="s">
        <v>6297</v>
      </c>
    </row>
    <row r="1163" spans="1:28" ht="185.4" x14ac:dyDescent="0.3">
      <c r="A1163" s="25">
        <v>9322</v>
      </c>
      <c r="B1163" s="25" t="s">
        <v>13746</v>
      </c>
      <c r="C1163" s="25" t="s">
        <v>13747</v>
      </c>
      <c r="D1163" s="25" t="s">
        <v>6291</v>
      </c>
      <c r="E1163" s="16" t="s">
        <v>6292</v>
      </c>
      <c r="F1163" s="16" t="s">
        <v>6292</v>
      </c>
      <c r="G1163" s="16" t="s">
        <v>6292</v>
      </c>
      <c r="H1163" s="16" t="s">
        <v>6292</v>
      </c>
      <c r="I1163" s="25" t="s">
        <v>13748</v>
      </c>
      <c r="J1163" s="25"/>
      <c r="K1163" s="25" t="s">
        <v>6281</v>
      </c>
      <c r="L1163" s="26" t="s">
        <v>13749</v>
      </c>
      <c r="M1163" s="26" t="s">
        <v>13695</v>
      </c>
      <c r="N1163" s="27" t="s">
        <v>13750</v>
      </c>
      <c r="O1163" s="26" t="s">
        <v>13751</v>
      </c>
      <c r="P1163" s="20" t="b">
        <v>1</v>
      </c>
      <c r="Q1163" s="20" t="s">
        <v>6282</v>
      </c>
      <c r="R1163" s="28" t="s">
        <v>6283</v>
      </c>
      <c r="S1163" s="25"/>
      <c r="T1163" s="20" t="b">
        <v>1</v>
      </c>
      <c r="U1163" s="25"/>
      <c r="V1163" s="25">
        <v>352.41</v>
      </c>
      <c r="W1163" s="28" t="s">
        <v>13752</v>
      </c>
      <c r="X1163" s="28" t="s">
        <v>6285</v>
      </c>
      <c r="Y1163" s="28" t="s">
        <v>6286</v>
      </c>
      <c r="Z1163" s="28" t="s">
        <v>6287</v>
      </c>
      <c r="AA1163" s="28" t="s">
        <v>6288</v>
      </c>
      <c r="AB1163" s="28" t="s">
        <v>6297</v>
      </c>
    </row>
    <row r="1164" spans="1:28" ht="185.4" x14ac:dyDescent="0.3">
      <c r="A1164" s="25">
        <v>9323</v>
      </c>
      <c r="B1164" s="25" t="s">
        <v>13753</v>
      </c>
      <c r="C1164" s="25" t="s">
        <v>13754</v>
      </c>
      <c r="D1164" s="25" t="s">
        <v>6291</v>
      </c>
      <c r="E1164" s="16" t="s">
        <v>6292</v>
      </c>
      <c r="F1164" s="16" t="s">
        <v>6292</v>
      </c>
      <c r="G1164" s="16" t="s">
        <v>6292</v>
      </c>
      <c r="H1164" s="16" t="s">
        <v>6292</v>
      </c>
      <c r="I1164" s="25" t="s">
        <v>13755</v>
      </c>
      <c r="J1164" s="25"/>
      <c r="K1164" s="25" t="s">
        <v>6281</v>
      </c>
      <c r="L1164" s="26" t="s">
        <v>13756</v>
      </c>
      <c r="M1164" s="26" t="s">
        <v>6295</v>
      </c>
      <c r="N1164" s="27" t="s">
        <v>13757</v>
      </c>
      <c r="O1164" s="26" t="s">
        <v>6295</v>
      </c>
      <c r="P1164" s="20" t="b">
        <v>1</v>
      </c>
      <c r="Q1164" s="20" t="s">
        <v>6282</v>
      </c>
      <c r="R1164" s="28" t="s">
        <v>6283</v>
      </c>
      <c r="S1164" s="25"/>
      <c r="T1164" s="20" t="b">
        <v>1</v>
      </c>
      <c r="U1164" s="25"/>
      <c r="V1164" s="25">
        <v>40.981999999999999</v>
      </c>
      <c r="W1164" s="28" t="s">
        <v>13758</v>
      </c>
      <c r="X1164" s="28" t="s">
        <v>6285</v>
      </c>
      <c r="Y1164" s="28" t="s">
        <v>6286</v>
      </c>
      <c r="Z1164" s="28" t="s">
        <v>6287</v>
      </c>
      <c r="AA1164" s="28" t="s">
        <v>6288</v>
      </c>
      <c r="AB1164" s="28" t="s">
        <v>6297</v>
      </c>
    </row>
    <row r="1165" spans="1:28" ht="185.4" x14ac:dyDescent="0.3">
      <c r="A1165" s="25">
        <v>9324</v>
      </c>
      <c r="B1165" s="25" t="s">
        <v>13759</v>
      </c>
      <c r="C1165" s="25" t="s">
        <v>13760</v>
      </c>
      <c r="D1165" s="25" t="s">
        <v>6291</v>
      </c>
      <c r="E1165" s="16" t="s">
        <v>6292</v>
      </c>
      <c r="F1165" s="16" t="s">
        <v>6292</v>
      </c>
      <c r="G1165" s="16" t="s">
        <v>6292</v>
      </c>
      <c r="H1165" s="16" t="s">
        <v>6292</v>
      </c>
      <c r="I1165" s="25" t="s">
        <v>13761</v>
      </c>
      <c r="J1165" s="25"/>
      <c r="K1165" s="25" t="s">
        <v>6281</v>
      </c>
      <c r="L1165" s="26" t="s">
        <v>13762</v>
      </c>
      <c r="M1165" s="26" t="s">
        <v>6295</v>
      </c>
      <c r="N1165" s="27" t="s">
        <v>13763</v>
      </c>
      <c r="O1165" s="26" t="s">
        <v>6295</v>
      </c>
      <c r="P1165" s="20" t="b">
        <v>1</v>
      </c>
      <c r="Q1165" s="20" t="s">
        <v>6282</v>
      </c>
      <c r="R1165" s="28" t="s">
        <v>6283</v>
      </c>
      <c r="S1165" s="25"/>
      <c r="T1165" s="20" t="b">
        <v>1</v>
      </c>
      <c r="U1165" s="25"/>
      <c r="V1165" s="25">
        <v>86.36</v>
      </c>
      <c r="W1165" s="28" t="s">
        <v>13764</v>
      </c>
      <c r="X1165" s="28" t="s">
        <v>6285</v>
      </c>
      <c r="Y1165" s="28" t="s">
        <v>6286</v>
      </c>
      <c r="Z1165" s="28" t="s">
        <v>6287</v>
      </c>
      <c r="AA1165" s="28" t="s">
        <v>6288</v>
      </c>
      <c r="AB1165" s="28" t="s">
        <v>6297</v>
      </c>
    </row>
    <row r="1166" spans="1:28" ht="185.4" x14ac:dyDescent="0.3">
      <c r="A1166" s="25">
        <v>9325</v>
      </c>
      <c r="B1166" s="25" t="s">
        <v>13765</v>
      </c>
      <c r="C1166" s="25" t="s">
        <v>13766</v>
      </c>
      <c r="D1166" s="25" t="s">
        <v>6291</v>
      </c>
      <c r="E1166" s="16" t="s">
        <v>6292</v>
      </c>
      <c r="F1166" s="16" t="s">
        <v>6292</v>
      </c>
      <c r="G1166" s="16" t="s">
        <v>6292</v>
      </c>
      <c r="H1166" s="16" t="s">
        <v>6292</v>
      </c>
      <c r="I1166" s="25" t="s">
        <v>13767</v>
      </c>
      <c r="J1166" s="25"/>
      <c r="K1166" s="25" t="s">
        <v>6281</v>
      </c>
      <c r="L1166" s="26" t="s">
        <v>13768</v>
      </c>
      <c r="M1166" s="26" t="s">
        <v>6295</v>
      </c>
      <c r="N1166" s="27" t="s">
        <v>13769</v>
      </c>
      <c r="O1166" s="26" t="s">
        <v>6295</v>
      </c>
      <c r="P1166" s="20" t="b">
        <v>1</v>
      </c>
      <c r="Q1166" s="20" t="s">
        <v>6282</v>
      </c>
      <c r="R1166" s="28" t="s">
        <v>6283</v>
      </c>
      <c r="S1166" s="25"/>
      <c r="T1166" s="20" t="b">
        <v>1</v>
      </c>
      <c r="U1166" s="25"/>
      <c r="V1166" s="25">
        <v>380.01</v>
      </c>
      <c r="W1166" s="28" t="s">
        <v>13770</v>
      </c>
      <c r="X1166" s="28" t="s">
        <v>6285</v>
      </c>
      <c r="Y1166" s="28" t="s">
        <v>6286</v>
      </c>
      <c r="Z1166" s="28" t="s">
        <v>6287</v>
      </c>
      <c r="AA1166" s="28" t="s">
        <v>6288</v>
      </c>
      <c r="AB1166" s="28" t="s">
        <v>6297</v>
      </c>
    </row>
    <row r="1167" spans="1:28" ht="185.4" x14ac:dyDescent="0.3">
      <c r="A1167" s="25">
        <v>9326</v>
      </c>
      <c r="B1167" s="25" t="s">
        <v>13771</v>
      </c>
      <c r="C1167" s="25" t="s">
        <v>13772</v>
      </c>
      <c r="D1167" s="25" t="s">
        <v>6291</v>
      </c>
      <c r="E1167" s="16" t="s">
        <v>6292</v>
      </c>
      <c r="F1167" s="16" t="s">
        <v>6292</v>
      </c>
      <c r="G1167" s="16" t="s">
        <v>6292</v>
      </c>
      <c r="H1167" s="16" t="s">
        <v>6292</v>
      </c>
      <c r="I1167" s="25" t="s">
        <v>13773</v>
      </c>
      <c r="J1167" s="25"/>
      <c r="K1167" s="25" t="s">
        <v>6281</v>
      </c>
      <c r="L1167" s="26" t="s">
        <v>13774</v>
      </c>
      <c r="M1167" s="26" t="s">
        <v>6295</v>
      </c>
      <c r="N1167" s="27" t="s">
        <v>13775</v>
      </c>
      <c r="O1167" s="26" t="s">
        <v>6295</v>
      </c>
      <c r="P1167" s="20" t="b">
        <v>1</v>
      </c>
      <c r="Q1167" s="20" t="s">
        <v>6282</v>
      </c>
      <c r="R1167" s="28" t="s">
        <v>6283</v>
      </c>
      <c r="S1167" s="25"/>
      <c r="T1167" s="20" t="b">
        <v>1</v>
      </c>
      <c r="U1167" s="25"/>
      <c r="V1167" s="25">
        <v>43.384</v>
      </c>
      <c r="W1167" s="28" t="s">
        <v>13776</v>
      </c>
      <c r="X1167" s="28" t="s">
        <v>6285</v>
      </c>
      <c r="Y1167" s="28" t="s">
        <v>6286</v>
      </c>
      <c r="Z1167" s="28" t="s">
        <v>6287</v>
      </c>
      <c r="AA1167" s="28" t="s">
        <v>6288</v>
      </c>
      <c r="AB1167" s="28" t="s">
        <v>6297</v>
      </c>
    </row>
    <row r="1168" spans="1:28" ht="185.4" x14ac:dyDescent="0.3">
      <c r="A1168" s="25">
        <v>9327</v>
      </c>
      <c r="B1168" s="25" t="s">
        <v>13777</v>
      </c>
      <c r="C1168" s="25" t="s">
        <v>13778</v>
      </c>
      <c r="D1168" s="25" t="s">
        <v>6278</v>
      </c>
      <c r="E1168" s="16" t="s">
        <v>6279</v>
      </c>
      <c r="F1168" s="16" t="s">
        <v>6279</v>
      </c>
      <c r="G1168" s="16" t="s">
        <v>6279</v>
      </c>
      <c r="H1168" s="16" t="s">
        <v>6279</v>
      </c>
      <c r="I1168" s="25" t="s">
        <v>13779</v>
      </c>
      <c r="J1168" s="25"/>
      <c r="K1168" s="25" t="s">
        <v>6281</v>
      </c>
      <c r="L1168" s="26" t="s">
        <v>13780</v>
      </c>
      <c r="M1168" s="26" t="s">
        <v>6295</v>
      </c>
      <c r="N1168" s="27" t="s">
        <v>13781</v>
      </c>
      <c r="O1168" s="26" t="s">
        <v>6295</v>
      </c>
      <c r="P1168" s="20" t="b">
        <v>1</v>
      </c>
      <c r="Q1168" s="20" t="s">
        <v>6282</v>
      </c>
      <c r="R1168" s="28" t="s">
        <v>6283</v>
      </c>
      <c r="S1168" s="25"/>
      <c r="T1168" s="20" t="b">
        <v>1</v>
      </c>
      <c r="U1168" s="25"/>
      <c r="V1168" s="25">
        <v>20199.919999999998</v>
      </c>
      <c r="W1168" s="28" t="s">
        <v>13782</v>
      </c>
      <c r="X1168" s="28" t="s">
        <v>6285</v>
      </c>
      <c r="Y1168" s="28" t="s">
        <v>6286</v>
      </c>
      <c r="Z1168" s="28" t="s">
        <v>6287</v>
      </c>
      <c r="AA1168" s="28" t="s">
        <v>6288</v>
      </c>
      <c r="AB1168" s="28" t="s">
        <v>6297</v>
      </c>
    </row>
    <row r="1169" spans="1:28" ht="185.4" x14ac:dyDescent="0.3">
      <c r="A1169" s="25">
        <v>9328</v>
      </c>
      <c r="B1169" s="25" t="s">
        <v>13783</v>
      </c>
      <c r="C1169" s="25" t="s">
        <v>13784</v>
      </c>
      <c r="D1169" s="25" t="s">
        <v>6291</v>
      </c>
      <c r="E1169" s="16" t="s">
        <v>6786</v>
      </c>
      <c r="F1169" s="16" t="s">
        <v>6786</v>
      </c>
      <c r="G1169" s="16" t="s">
        <v>6786</v>
      </c>
      <c r="H1169" s="16" t="s">
        <v>6786</v>
      </c>
      <c r="I1169" s="25" t="s">
        <v>13785</v>
      </c>
      <c r="J1169" s="25"/>
      <c r="K1169" s="25" t="s">
        <v>6281</v>
      </c>
      <c r="L1169" s="26" t="s">
        <v>13786</v>
      </c>
      <c r="M1169" s="26" t="s">
        <v>6295</v>
      </c>
      <c r="N1169" s="27" t="s">
        <v>13787</v>
      </c>
      <c r="O1169" s="26" t="s">
        <v>6295</v>
      </c>
      <c r="P1169" s="20" t="b">
        <v>1</v>
      </c>
      <c r="Q1169" s="20" t="s">
        <v>6282</v>
      </c>
      <c r="R1169" s="28" t="s">
        <v>6283</v>
      </c>
      <c r="S1169" s="25"/>
      <c r="T1169" s="20" t="b">
        <v>1</v>
      </c>
      <c r="U1169" s="25"/>
      <c r="V1169" s="25">
        <v>22.893000000000001</v>
      </c>
      <c r="W1169" s="28" t="s">
        <v>13788</v>
      </c>
      <c r="X1169" s="28" t="s">
        <v>6285</v>
      </c>
      <c r="Y1169" s="28" t="s">
        <v>6286</v>
      </c>
      <c r="Z1169" s="28" t="s">
        <v>6287</v>
      </c>
      <c r="AA1169" s="28" t="s">
        <v>6288</v>
      </c>
      <c r="AB1169" s="28" t="s">
        <v>6297</v>
      </c>
    </row>
    <row r="1170" spans="1:28" ht="185.4" x14ac:dyDescent="0.3">
      <c r="A1170" s="25">
        <v>9329</v>
      </c>
      <c r="B1170" s="25" t="s">
        <v>13789</v>
      </c>
      <c r="C1170" s="25" t="s">
        <v>13790</v>
      </c>
      <c r="D1170" s="25" t="s">
        <v>6291</v>
      </c>
      <c r="E1170" s="16" t="s">
        <v>13791</v>
      </c>
      <c r="F1170" s="16" t="s">
        <v>13791</v>
      </c>
      <c r="G1170" s="16" t="s">
        <v>13791</v>
      </c>
      <c r="H1170" s="16" t="s">
        <v>13791</v>
      </c>
      <c r="I1170" s="25" t="s">
        <v>13792</v>
      </c>
      <c r="J1170" s="25"/>
      <c r="K1170" s="25" t="s">
        <v>6281</v>
      </c>
      <c r="L1170" s="26" t="s">
        <v>13793</v>
      </c>
      <c r="M1170" s="26" t="s">
        <v>6295</v>
      </c>
      <c r="N1170" s="27" t="s">
        <v>13794</v>
      </c>
      <c r="O1170" s="26" t="s">
        <v>6295</v>
      </c>
      <c r="P1170" s="20" t="b">
        <v>1</v>
      </c>
      <c r="Q1170" s="20" t="s">
        <v>6282</v>
      </c>
      <c r="R1170" s="28" t="s">
        <v>6283</v>
      </c>
      <c r="S1170" s="25"/>
      <c r="T1170" s="20" t="b">
        <v>1</v>
      </c>
      <c r="U1170" s="25"/>
      <c r="V1170" s="25">
        <v>27.192</v>
      </c>
      <c r="W1170" s="28" t="s">
        <v>13795</v>
      </c>
      <c r="X1170" s="28" t="s">
        <v>6285</v>
      </c>
      <c r="Y1170" s="28" t="s">
        <v>6286</v>
      </c>
      <c r="Z1170" s="28" t="s">
        <v>6287</v>
      </c>
      <c r="AA1170" s="28" t="s">
        <v>6288</v>
      </c>
      <c r="AB1170" s="28" t="s">
        <v>6297</v>
      </c>
    </row>
    <row r="1171" spans="1:28" ht="185.4" x14ac:dyDescent="0.3">
      <c r="A1171" s="25">
        <v>9330</v>
      </c>
      <c r="B1171" s="25" t="s">
        <v>13796</v>
      </c>
      <c r="C1171" s="25" t="s">
        <v>13797</v>
      </c>
      <c r="D1171" s="25" t="s">
        <v>6291</v>
      </c>
      <c r="E1171" s="16" t="s">
        <v>6292</v>
      </c>
      <c r="F1171" s="16" t="s">
        <v>6292</v>
      </c>
      <c r="G1171" s="16" t="s">
        <v>6292</v>
      </c>
      <c r="H1171" s="16" t="s">
        <v>6292</v>
      </c>
      <c r="I1171" s="25" t="s">
        <v>13798</v>
      </c>
      <c r="J1171" s="25"/>
      <c r="K1171" s="25" t="s">
        <v>6281</v>
      </c>
      <c r="L1171" s="26" t="s">
        <v>13799</v>
      </c>
      <c r="M1171" s="26" t="s">
        <v>6295</v>
      </c>
      <c r="N1171" s="27" t="s">
        <v>13800</v>
      </c>
      <c r="O1171" s="26" t="s">
        <v>6295</v>
      </c>
      <c r="P1171" s="20" t="b">
        <v>1</v>
      </c>
      <c r="Q1171" s="20" t="s">
        <v>6282</v>
      </c>
      <c r="R1171" s="28" t="s">
        <v>6283</v>
      </c>
      <c r="S1171" s="25"/>
      <c r="T1171" s="20" t="b">
        <v>1</v>
      </c>
      <c r="U1171" s="25"/>
      <c r="V1171" s="25">
        <v>19.5</v>
      </c>
      <c r="W1171" s="28" t="s">
        <v>13801</v>
      </c>
      <c r="X1171" s="28" t="s">
        <v>6285</v>
      </c>
      <c r="Y1171" s="28" t="s">
        <v>6286</v>
      </c>
      <c r="Z1171" s="28" t="s">
        <v>6287</v>
      </c>
      <c r="AA1171" s="28" t="s">
        <v>6288</v>
      </c>
      <c r="AB1171" s="28" t="s">
        <v>6297</v>
      </c>
    </row>
    <row r="1172" spans="1:28" ht="185.4" x14ac:dyDescent="0.3">
      <c r="A1172" s="25">
        <v>9331</v>
      </c>
      <c r="B1172" s="25" t="s">
        <v>13802</v>
      </c>
      <c r="C1172" s="25" t="s">
        <v>13803</v>
      </c>
      <c r="D1172" s="25" t="s">
        <v>6291</v>
      </c>
      <c r="E1172" s="16" t="s">
        <v>6786</v>
      </c>
      <c r="F1172" s="16" t="s">
        <v>6786</v>
      </c>
      <c r="G1172" s="16" t="s">
        <v>6786</v>
      </c>
      <c r="H1172" s="16" t="s">
        <v>6786</v>
      </c>
      <c r="I1172" s="25" t="s">
        <v>13804</v>
      </c>
      <c r="J1172" s="25"/>
      <c r="K1172" s="25" t="s">
        <v>6281</v>
      </c>
      <c r="L1172" s="26" t="s">
        <v>13805</v>
      </c>
      <c r="M1172" s="26" t="s">
        <v>6295</v>
      </c>
      <c r="N1172" s="27" t="s">
        <v>13806</v>
      </c>
      <c r="O1172" s="26" t="s">
        <v>13807</v>
      </c>
      <c r="P1172" s="20" t="b">
        <v>1</v>
      </c>
      <c r="Q1172" s="20" t="s">
        <v>6282</v>
      </c>
      <c r="R1172" s="28" t="s">
        <v>6283</v>
      </c>
      <c r="S1172" s="25"/>
      <c r="T1172" s="20" t="b">
        <v>1</v>
      </c>
      <c r="U1172" s="25"/>
      <c r="V1172" s="25">
        <v>0.247</v>
      </c>
      <c r="W1172" s="28" t="s">
        <v>13808</v>
      </c>
      <c r="X1172" s="28" t="s">
        <v>6285</v>
      </c>
      <c r="Y1172" s="28" t="s">
        <v>6286</v>
      </c>
      <c r="Z1172" s="28" t="s">
        <v>6287</v>
      </c>
      <c r="AA1172" s="28" t="s">
        <v>6288</v>
      </c>
      <c r="AB1172" s="28" t="s">
        <v>6297</v>
      </c>
    </row>
    <row r="1173" spans="1:28" ht="185.4" x14ac:dyDescent="0.3">
      <c r="A1173" s="25">
        <v>9332</v>
      </c>
      <c r="B1173" s="25" t="s">
        <v>13809</v>
      </c>
      <c r="C1173" s="25" t="s">
        <v>13810</v>
      </c>
      <c r="D1173" s="25" t="s">
        <v>6291</v>
      </c>
      <c r="E1173" s="16" t="s">
        <v>6786</v>
      </c>
      <c r="F1173" s="16" t="s">
        <v>6786</v>
      </c>
      <c r="G1173" s="16" t="s">
        <v>6786</v>
      </c>
      <c r="H1173" s="16" t="s">
        <v>6786</v>
      </c>
      <c r="I1173" s="25" t="s">
        <v>13811</v>
      </c>
      <c r="J1173" s="25"/>
      <c r="K1173" s="25" t="s">
        <v>6281</v>
      </c>
      <c r="L1173" s="26" t="s">
        <v>13805</v>
      </c>
      <c r="M1173" s="26" t="s">
        <v>6295</v>
      </c>
      <c r="N1173" s="27" t="s">
        <v>13806</v>
      </c>
      <c r="O1173" s="26" t="s">
        <v>13812</v>
      </c>
      <c r="P1173" s="20" t="b">
        <v>1</v>
      </c>
      <c r="Q1173" s="20" t="s">
        <v>6282</v>
      </c>
      <c r="R1173" s="28" t="s">
        <v>6283</v>
      </c>
      <c r="S1173" s="25"/>
      <c r="T1173" s="20" t="b">
        <v>1</v>
      </c>
      <c r="U1173" s="25"/>
      <c r="V1173" s="25">
        <v>0.247</v>
      </c>
      <c r="W1173" s="28" t="s">
        <v>13813</v>
      </c>
      <c r="X1173" s="28" t="s">
        <v>6285</v>
      </c>
      <c r="Y1173" s="28" t="s">
        <v>6286</v>
      </c>
      <c r="Z1173" s="28" t="s">
        <v>6287</v>
      </c>
      <c r="AA1173" s="28" t="s">
        <v>6288</v>
      </c>
      <c r="AB1173" s="28" t="s">
        <v>6297</v>
      </c>
    </row>
    <row r="1174" spans="1:28" ht="185.4" x14ac:dyDescent="0.3">
      <c r="A1174" s="25">
        <v>9333</v>
      </c>
      <c r="B1174" s="25" t="s">
        <v>13814</v>
      </c>
      <c r="C1174" s="25" t="s">
        <v>13815</v>
      </c>
      <c r="D1174" s="25" t="s">
        <v>6291</v>
      </c>
      <c r="E1174" s="16" t="s">
        <v>6786</v>
      </c>
      <c r="F1174" s="16" t="s">
        <v>6786</v>
      </c>
      <c r="G1174" s="16" t="s">
        <v>6786</v>
      </c>
      <c r="H1174" s="16" t="s">
        <v>6786</v>
      </c>
      <c r="I1174" s="25" t="s">
        <v>13816</v>
      </c>
      <c r="J1174" s="25"/>
      <c r="K1174" s="25" t="s">
        <v>6281</v>
      </c>
      <c r="L1174" s="26" t="s">
        <v>13817</v>
      </c>
      <c r="M1174" s="26" t="s">
        <v>6295</v>
      </c>
      <c r="N1174" s="27" t="s">
        <v>13806</v>
      </c>
      <c r="O1174" s="26" t="s">
        <v>13818</v>
      </c>
      <c r="P1174" s="20" t="b">
        <v>1</v>
      </c>
      <c r="Q1174" s="20" t="s">
        <v>6282</v>
      </c>
      <c r="R1174" s="28" t="s">
        <v>6283</v>
      </c>
      <c r="S1174" s="25"/>
      <c r="T1174" s="20" t="b">
        <v>1</v>
      </c>
      <c r="U1174" s="25"/>
      <c r="V1174" s="25">
        <v>0.247</v>
      </c>
      <c r="W1174" s="28" t="s">
        <v>13819</v>
      </c>
      <c r="X1174" s="28" t="s">
        <v>6285</v>
      </c>
      <c r="Y1174" s="28" t="s">
        <v>6286</v>
      </c>
      <c r="Z1174" s="28" t="s">
        <v>6287</v>
      </c>
      <c r="AA1174" s="28" t="s">
        <v>6288</v>
      </c>
      <c r="AB1174" s="28" t="s">
        <v>6297</v>
      </c>
    </row>
    <row r="1175" spans="1:28" ht="185.4" x14ac:dyDescent="0.3">
      <c r="A1175" s="25">
        <v>9334</v>
      </c>
      <c r="B1175" s="25" t="s">
        <v>13820</v>
      </c>
      <c r="C1175" s="25" t="s">
        <v>13821</v>
      </c>
      <c r="D1175" s="25" t="s">
        <v>6278</v>
      </c>
      <c r="E1175" s="16" t="s">
        <v>6279</v>
      </c>
      <c r="F1175" s="16" t="s">
        <v>6279</v>
      </c>
      <c r="G1175" s="16" t="s">
        <v>6279</v>
      </c>
      <c r="H1175" s="16" t="s">
        <v>6279</v>
      </c>
      <c r="I1175" s="25" t="s">
        <v>13822</v>
      </c>
      <c r="J1175" s="25"/>
      <c r="K1175" s="25" t="s">
        <v>6281</v>
      </c>
      <c r="L1175" s="26" t="s">
        <v>13823</v>
      </c>
      <c r="M1175" s="26" t="s">
        <v>6295</v>
      </c>
      <c r="N1175" s="27" t="s">
        <v>13677</v>
      </c>
      <c r="O1175" s="26" t="s">
        <v>6295</v>
      </c>
      <c r="P1175" s="20" t="b">
        <v>1</v>
      </c>
      <c r="Q1175" s="20" t="s">
        <v>6282</v>
      </c>
      <c r="R1175" s="28" t="s">
        <v>6283</v>
      </c>
      <c r="S1175" s="25"/>
      <c r="T1175" s="20" t="b">
        <v>1</v>
      </c>
      <c r="U1175" s="25"/>
      <c r="V1175" s="25">
        <v>12749</v>
      </c>
      <c r="W1175" s="28" t="s">
        <v>13824</v>
      </c>
      <c r="X1175" s="28" t="s">
        <v>6285</v>
      </c>
      <c r="Y1175" s="28" t="s">
        <v>6286</v>
      </c>
      <c r="Z1175" s="28" t="s">
        <v>6287</v>
      </c>
      <c r="AA1175" s="28" t="s">
        <v>6288</v>
      </c>
      <c r="AB1175" s="28" t="s">
        <v>6297</v>
      </c>
    </row>
    <row r="1176" spans="1:28" ht="185.4" x14ac:dyDescent="0.3">
      <c r="A1176" s="25">
        <v>9335</v>
      </c>
      <c r="B1176" s="25" t="s">
        <v>13825</v>
      </c>
      <c r="C1176" s="25" t="s">
        <v>13826</v>
      </c>
      <c r="D1176" s="25" t="s">
        <v>6278</v>
      </c>
      <c r="E1176" s="16" t="s">
        <v>6279</v>
      </c>
      <c r="F1176" s="16" t="s">
        <v>6279</v>
      </c>
      <c r="G1176" s="16" t="s">
        <v>6279</v>
      </c>
      <c r="H1176" s="16" t="s">
        <v>6279</v>
      </c>
      <c r="I1176" s="25" t="s">
        <v>13827</v>
      </c>
      <c r="J1176" s="25"/>
      <c r="K1176" s="25" t="s">
        <v>6281</v>
      </c>
      <c r="L1176" s="26" t="s">
        <v>13828</v>
      </c>
      <c r="M1176" s="26" t="s">
        <v>10241</v>
      </c>
      <c r="N1176" s="27" t="s">
        <v>13829</v>
      </c>
      <c r="O1176" s="26" t="s">
        <v>10243</v>
      </c>
      <c r="P1176" s="20" t="b">
        <v>1</v>
      </c>
      <c r="Q1176" s="20" t="s">
        <v>6282</v>
      </c>
      <c r="R1176" s="28" t="s">
        <v>6283</v>
      </c>
      <c r="S1176" s="25"/>
      <c r="T1176" s="20" t="b">
        <v>1</v>
      </c>
      <c r="U1176" s="25"/>
      <c r="V1176" s="25">
        <v>287.07799999999997</v>
      </c>
      <c r="W1176" s="28" t="s">
        <v>13830</v>
      </c>
      <c r="X1176" s="28" t="s">
        <v>6285</v>
      </c>
      <c r="Y1176" s="28" t="s">
        <v>6286</v>
      </c>
      <c r="Z1176" s="28" t="s">
        <v>6287</v>
      </c>
      <c r="AA1176" s="28" t="s">
        <v>6288</v>
      </c>
      <c r="AB1176" s="28" t="s">
        <v>6297</v>
      </c>
    </row>
    <row r="1177" spans="1:28" ht="185.4" x14ac:dyDescent="0.3">
      <c r="A1177" s="25">
        <v>9336</v>
      </c>
      <c r="B1177" s="25" t="s">
        <v>13831</v>
      </c>
      <c r="C1177" s="25" t="s">
        <v>13832</v>
      </c>
      <c r="D1177" s="25" t="s">
        <v>6278</v>
      </c>
      <c r="E1177" s="16" t="s">
        <v>6279</v>
      </c>
      <c r="F1177" s="16" t="s">
        <v>6279</v>
      </c>
      <c r="G1177" s="16" t="s">
        <v>6279</v>
      </c>
      <c r="H1177" s="16" t="s">
        <v>6279</v>
      </c>
      <c r="I1177" s="25" t="s">
        <v>13833</v>
      </c>
      <c r="J1177" s="25"/>
      <c r="K1177" s="25" t="s">
        <v>6281</v>
      </c>
      <c r="L1177" s="26" t="s">
        <v>13834</v>
      </c>
      <c r="M1177" s="26" t="s">
        <v>10241</v>
      </c>
      <c r="N1177" s="27" t="s">
        <v>13829</v>
      </c>
      <c r="O1177" s="26" t="s">
        <v>10243</v>
      </c>
      <c r="P1177" s="20" t="b">
        <v>1</v>
      </c>
      <c r="Q1177" s="20" t="s">
        <v>6282</v>
      </c>
      <c r="R1177" s="28" t="s">
        <v>6283</v>
      </c>
      <c r="S1177" s="25"/>
      <c r="T1177" s="20" t="b">
        <v>1</v>
      </c>
      <c r="U1177" s="25"/>
      <c r="V1177" s="25">
        <v>293.22699999999998</v>
      </c>
      <c r="W1177" s="28" t="s">
        <v>13835</v>
      </c>
      <c r="X1177" s="28" t="s">
        <v>6285</v>
      </c>
      <c r="Y1177" s="28" t="s">
        <v>6286</v>
      </c>
      <c r="Z1177" s="28" t="s">
        <v>6287</v>
      </c>
      <c r="AA1177" s="28" t="s">
        <v>6288</v>
      </c>
      <c r="AB1177" s="28" t="s">
        <v>6297</v>
      </c>
    </row>
    <row r="1178" spans="1:28" ht="185.4" x14ac:dyDescent="0.3">
      <c r="A1178" s="25">
        <v>9337</v>
      </c>
      <c r="B1178" s="25" t="s">
        <v>13836</v>
      </c>
      <c r="C1178" s="25" t="s">
        <v>13837</v>
      </c>
      <c r="D1178" s="25" t="s">
        <v>6278</v>
      </c>
      <c r="E1178" s="16" t="s">
        <v>6279</v>
      </c>
      <c r="F1178" s="16" t="s">
        <v>6279</v>
      </c>
      <c r="G1178" s="16" t="s">
        <v>6279</v>
      </c>
      <c r="H1178" s="16" t="s">
        <v>6279</v>
      </c>
      <c r="I1178" s="25" t="s">
        <v>13838</v>
      </c>
      <c r="J1178" s="25"/>
      <c r="K1178" s="25" t="s">
        <v>6281</v>
      </c>
      <c r="L1178" s="26" t="s">
        <v>13839</v>
      </c>
      <c r="M1178" s="26" t="s">
        <v>6295</v>
      </c>
      <c r="N1178" s="27" t="s">
        <v>13840</v>
      </c>
      <c r="O1178" s="26" t="s">
        <v>6295</v>
      </c>
      <c r="P1178" s="20" t="b">
        <v>1</v>
      </c>
      <c r="Q1178" s="20" t="s">
        <v>6282</v>
      </c>
      <c r="R1178" s="28" t="s">
        <v>6283</v>
      </c>
      <c r="S1178" s="25"/>
      <c r="T1178" s="20" t="b">
        <v>1</v>
      </c>
      <c r="U1178" s="25"/>
      <c r="V1178" s="25">
        <v>286.89</v>
      </c>
      <c r="W1178" s="28" t="s">
        <v>13841</v>
      </c>
      <c r="X1178" s="28" t="s">
        <v>6285</v>
      </c>
      <c r="Y1178" s="28" t="s">
        <v>6286</v>
      </c>
      <c r="Z1178" s="28" t="s">
        <v>6287</v>
      </c>
      <c r="AA1178" s="28" t="s">
        <v>6288</v>
      </c>
      <c r="AB1178" s="28" t="s">
        <v>6297</v>
      </c>
    </row>
    <row r="1179" spans="1:28" ht="409.6" x14ac:dyDescent="0.3">
      <c r="A1179" s="25">
        <v>9339</v>
      </c>
      <c r="B1179" s="25" t="s">
        <v>13842</v>
      </c>
      <c r="C1179" s="25" t="s">
        <v>10872</v>
      </c>
      <c r="D1179" s="25" t="s">
        <v>6278</v>
      </c>
      <c r="E1179" s="16" t="s">
        <v>6279</v>
      </c>
      <c r="F1179" s="16" t="s">
        <v>6279</v>
      </c>
      <c r="G1179" s="16" t="s">
        <v>6279</v>
      </c>
      <c r="H1179" s="16" t="s">
        <v>6279</v>
      </c>
      <c r="I1179" s="25" t="s">
        <v>13843</v>
      </c>
      <c r="J1179" s="25"/>
      <c r="K1179" s="25" t="s">
        <v>6281</v>
      </c>
      <c r="L1179" s="26" t="s">
        <v>13844</v>
      </c>
      <c r="M1179" s="26" t="s">
        <v>13845</v>
      </c>
      <c r="N1179" s="27" t="s">
        <v>13846</v>
      </c>
      <c r="O1179" s="26" t="s">
        <v>13847</v>
      </c>
      <c r="P1179" s="20" t="b">
        <v>1</v>
      </c>
      <c r="Q1179" s="20" t="s">
        <v>6282</v>
      </c>
      <c r="R1179" s="28" t="s">
        <v>6283</v>
      </c>
      <c r="S1179" s="25"/>
      <c r="T1179" s="20" t="b">
        <v>1</v>
      </c>
      <c r="U1179" s="25"/>
      <c r="V1179" s="25">
        <v>65.974999999999994</v>
      </c>
      <c r="W1179" s="28" t="s">
        <v>13848</v>
      </c>
      <c r="X1179" s="28" t="s">
        <v>6285</v>
      </c>
      <c r="Y1179" s="28" t="s">
        <v>6286</v>
      </c>
      <c r="Z1179" s="28" t="s">
        <v>6287</v>
      </c>
      <c r="AA1179" s="28" t="s">
        <v>6288</v>
      </c>
      <c r="AB1179" s="28" t="s">
        <v>6297</v>
      </c>
    </row>
    <row r="1180" spans="1:28" ht="409.6" x14ac:dyDescent="0.3">
      <c r="A1180" s="25">
        <v>9340</v>
      </c>
      <c r="B1180" s="25" t="s">
        <v>13849</v>
      </c>
      <c r="C1180" s="25" t="s">
        <v>10835</v>
      </c>
      <c r="D1180" s="25" t="s">
        <v>6278</v>
      </c>
      <c r="E1180" s="16" t="s">
        <v>6279</v>
      </c>
      <c r="F1180" s="16" t="s">
        <v>6279</v>
      </c>
      <c r="G1180" s="16" t="s">
        <v>6279</v>
      </c>
      <c r="H1180" s="16" t="s">
        <v>6279</v>
      </c>
      <c r="I1180" s="25" t="s">
        <v>13850</v>
      </c>
      <c r="J1180" s="25"/>
      <c r="K1180" s="25" t="s">
        <v>6281</v>
      </c>
      <c r="L1180" s="26" t="s">
        <v>13851</v>
      </c>
      <c r="M1180" s="26" t="s">
        <v>13852</v>
      </c>
      <c r="N1180" s="27" t="s">
        <v>13853</v>
      </c>
      <c r="O1180" s="26" t="s">
        <v>13847</v>
      </c>
      <c r="P1180" s="20" t="b">
        <v>1</v>
      </c>
      <c r="Q1180" s="20" t="s">
        <v>6282</v>
      </c>
      <c r="R1180" s="28" t="s">
        <v>6283</v>
      </c>
      <c r="S1180" s="25"/>
      <c r="T1180" s="20" t="b">
        <v>1</v>
      </c>
      <c r="U1180" s="25"/>
      <c r="V1180" s="25">
        <v>52.494</v>
      </c>
      <c r="W1180" s="28" t="s">
        <v>13854</v>
      </c>
      <c r="X1180" s="28" t="s">
        <v>6285</v>
      </c>
      <c r="Y1180" s="28" t="s">
        <v>6286</v>
      </c>
      <c r="Z1180" s="28" t="s">
        <v>6287</v>
      </c>
      <c r="AA1180" s="28" t="s">
        <v>6288</v>
      </c>
      <c r="AB1180" s="28" t="s">
        <v>6297</v>
      </c>
    </row>
    <row r="1181" spans="1:28" ht="185.4" x14ac:dyDescent="0.3">
      <c r="A1181" s="25">
        <v>9341</v>
      </c>
      <c r="B1181" s="25" t="s">
        <v>12756</v>
      </c>
      <c r="C1181" s="25" t="s">
        <v>13855</v>
      </c>
      <c r="D1181" s="25" t="s">
        <v>6291</v>
      </c>
      <c r="E1181" s="16" t="s">
        <v>6292</v>
      </c>
      <c r="F1181" s="16" t="s">
        <v>6292</v>
      </c>
      <c r="G1181" s="16" t="s">
        <v>6292</v>
      </c>
      <c r="H1181" s="16" t="s">
        <v>6292</v>
      </c>
      <c r="I1181" s="25" t="s">
        <v>12758</v>
      </c>
      <c r="J1181" s="25"/>
      <c r="K1181" s="25" t="s">
        <v>6281</v>
      </c>
      <c r="L1181" s="26" t="s">
        <v>13856</v>
      </c>
      <c r="M1181" s="26" t="s">
        <v>6295</v>
      </c>
      <c r="N1181" s="27" t="s">
        <v>13857</v>
      </c>
      <c r="O1181" s="26" t="s">
        <v>6295</v>
      </c>
      <c r="P1181" s="20" t="b">
        <v>1</v>
      </c>
      <c r="Q1181" s="20" t="s">
        <v>6282</v>
      </c>
      <c r="R1181" s="28" t="s">
        <v>6283</v>
      </c>
      <c r="S1181" s="25"/>
      <c r="T1181" s="20" t="b">
        <v>1</v>
      </c>
      <c r="U1181" s="25"/>
      <c r="V1181" s="25">
        <v>1162.3820000000001</v>
      </c>
      <c r="W1181" s="28" t="s">
        <v>13858</v>
      </c>
      <c r="X1181" s="28" t="s">
        <v>6285</v>
      </c>
      <c r="Y1181" s="28" t="s">
        <v>6286</v>
      </c>
      <c r="Z1181" s="28" t="s">
        <v>6287</v>
      </c>
      <c r="AA1181" s="28" t="s">
        <v>6288</v>
      </c>
      <c r="AB1181" s="28" t="s">
        <v>6297</v>
      </c>
    </row>
    <row r="1182" spans="1:28" ht="185.4" x14ac:dyDescent="0.3">
      <c r="A1182" s="25">
        <v>9342</v>
      </c>
      <c r="B1182" s="25" t="s">
        <v>13859</v>
      </c>
      <c r="C1182" s="25" t="s">
        <v>13860</v>
      </c>
      <c r="D1182" s="25" t="s">
        <v>6278</v>
      </c>
      <c r="E1182" s="16" t="s">
        <v>6279</v>
      </c>
      <c r="F1182" s="16" t="s">
        <v>6279</v>
      </c>
      <c r="G1182" s="16" t="s">
        <v>6279</v>
      </c>
      <c r="H1182" s="16" t="s">
        <v>6279</v>
      </c>
      <c r="I1182" s="25" t="s">
        <v>13861</v>
      </c>
      <c r="J1182" s="25"/>
      <c r="K1182" s="25" t="s">
        <v>6281</v>
      </c>
      <c r="L1182" s="26" t="s">
        <v>13862</v>
      </c>
      <c r="M1182" s="26" t="s">
        <v>13863</v>
      </c>
      <c r="N1182" s="27" t="s">
        <v>13864</v>
      </c>
      <c r="O1182" s="26" t="s">
        <v>6295</v>
      </c>
      <c r="P1182" s="20" t="b">
        <v>1</v>
      </c>
      <c r="Q1182" s="20" t="s">
        <v>6282</v>
      </c>
      <c r="R1182" s="28" t="s">
        <v>6283</v>
      </c>
      <c r="S1182" s="25"/>
      <c r="T1182" s="20" t="b">
        <v>1</v>
      </c>
      <c r="U1182" s="25"/>
      <c r="V1182" s="25">
        <v>1868.07</v>
      </c>
      <c r="W1182" s="28" t="s">
        <v>13865</v>
      </c>
      <c r="X1182" s="28" t="s">
        <v>6285</v>
      </c>
      <c r="Y1182" s="28" t="s">
        <v>6286</v>
      </c>
      <c r="Z1182" s="28" t="s">
        <v>6287</v>
      </c>
      <c r="AA1182" s="28" t="s">
        <v>6288</v>
      </c>
      <c r="AB1182" s="28" t="s">
        <v>6297</v>
      </c>
    </row>
    <row r="1183" spans="1:28" ht="185.4" x14ac:dyDescent="0.3">
      <c r="A1183" s="25">
        <v>9343</v>
      </c>
      <c r="B1183" s="25" t="s">
        <v>13866</v>
      </c>
      <c r="C1183" s="25" t="s">
        <v>13867</v>
      </c>
      <c r="D1183" s="25" t="s">
        <v>6278</v>
      </c>
      <c r="E1183" s="16" t="s">
        <v>6279</v>
      </c>
      <c r="F1183" s="16" t="s">
        <v>6279</v>
      </c>
      <c r="G1183" s="16" t="s">
        <v>6279</v>
      </c>
      <c r="H1183" s="16" t="s">
        <v>6279</v>
      </c>
      <c r="I1183" s="25" t="s">
        <v>13868</v>
      </c>
      <c r="J1183" s="25"/>
      <c r="K1183" s="25" t="s">
        <v>6281</v>
      </c>
      <c r="L1183" s="26" t="s">
        <v>13869</v>
      </c>
      <c r="M1183" s="26" t="s">
        <v>13870</v>
      </c>
      <c r="N1183" s="27" t="s">
        <v>13871</v>
      </c>
      <c r="O1183" s="26" t="s">
        <v>13870</v>
      </c>
      <c r="P1183" s="20" t="b">
        <v>1</v>
      </c>
      <c r="Q1183" s="20" t="s">
        <v>6282</v>
      </c>
      <c r="R1183" s="28" t="s">
        <v>6283</v>
      </c>
      <c r="S1183" s="25"/>
      <c r="T1183" s="20" t="b">
        <v>1</v>
      </c>
      <c r="U1183" s="25"/>
      <c r="V1183" s="25">
        <v>392.2</v>
      </c>
      <c r="W1183" s="28" t="s">
        <v>13872</v>
      </c>
      <c r="X1183" s="28" t="s">
        <v>6285</v>
      </c>
      <c r="Y1183" s="28" t="s">
        <v>6286</v>
      </c>
      <c r="Z1183" s="28" t="s">
        <v>6287</v>
      </c>
      <c r="AA1183" s="28" t="s">
        <v>6288</v>
      </c>
      <c r="AB1183" s="28" t="s">
        <v>6297</v>
      </c>
    </row>
    <row r="1184" spans="1:28" ht="185.4" x14ac:dyDescent="0.3">
      <c r="A1184" s="25">
        <v>9344</v>
      </c>
      <c r="B1184" s="25" t="s">
        <v>13873</v>
      </c>
      <c r="C1184" s="25" t="s">
        <v>13874</v>
      </c>
      <c r="D1184" s="25" t="s">
        <v>6291</v>
      </c>
      <c r="E1184" s="16" t="s">
        <v>6786</v>
      </c>
      <c r="F1184" s="16" t="s">
        <v>6786</v>
      </c>
      <c r="G1184" s="16" t="s">
        <v>6786</v>
      </c>
      <c r="H1184" s="16" t="s">
        <v>6786</v>
      </c>
      <c r="I1184" s="25" t="s">
        <v>13875</v>
      </c>
      <c r="J1184" s="25"/>
      <c r="K1184" s="25" t="s">
        <v>6281</v>
      </c>
      <c r="L1184" s="26" t="s">
        <v>13876</v>
      </c>
      <c r="M1184" s="26" t="s">
        <v>6295</v>
      </c>
      <c r="N1184" s="27" t="s">
        <v>13877</v>
      </c>
      <c r="O1184" s="26" t="s">
        <v>13878</v>
      </c>
      <c r="P1184" s="20" t="b">
        <v>1</v>
      </c>
      <c r="Q1184" s="20" t="s">
        <v>6282</v>
      </c>
      <c r="R1184" s="28" t="s">
        <v>6283</v>
      </c>
      <c r="S1184" s="25"/>
      <c r="T1184" s="20" t="b">
        <v>1</v>
      </c>
      <c r="U1184" s="25"/>
      <c r="V1184" s="25">
        <v>5.83</v>
      </c>
      <c r="W1184" s="28" t="s">
        <v>13879</v>
      </c>
      <c r="X1184" s="28" t="s">
        <v>6285</v>
      </c>
      <c r="Y1184" s="28" t="s">
        <v>6286</v>
      </c>
      <c r="Z1184" s="28" t="s">
        <v>6287</v>
      </c>
      <c r="AA1184" s="28" t="s">
        <v>6288</v>
      </c>
      <c r="AB1184" s="28" t="s">
        <v>6297</v>
      </c>
    </row>
    <row r="1185" spans="1:28" ht="185.4" x14ac:dyDescent="0.3">
      <c r="A1185" s="25">
        <v>9345</v>
      </c>
      <c r="B1185" s="25" t="s">
        <v>13880</v>
      </c>
      <c r="C1185" s="25" t="s">
        <v>13881</v>
      </c>
      <c r="D1185" s="25" t="s">
        <v>6278</v>
      </c>
      <c r="E1185" s="16" t="s">
        <v>6279</v>
      </c>
      <c r="F1185" s="16" t="s">
        <v>6279</v>
      </c>
      <c r="G1185" s="16" t="s">
        <v>6279</v>
      </c>
      <c r="H1185" s="16" t="s">
        <v>6279</v>
      </c>
      <c r="I1185" s="25" t="s">
        <v>13882</v>
      </c>
      <c r="J1185" s="25"/>
      <c r="K1185" s="25" t="s">
        <v>6281</v>
      </c>
      <c r="L1185" s="26" t="s">
        <v>13883</v>
      </c>
      <c r="M1185" s="26" t="s">
        <v>6295</v>
      </c>
      <c r="N1185" s="27" t="s">
        <v>13884</v>
      </c>
      <c r="O1185" s="26" t="s">
        <v>13885</v>
      </c>
      <c r="P1185" s="20" t="b">
        <v>1</v>
      </c>
      <c r="Q1185" s="20" t="s">
        <v>6282</v>
      </c>
      <c r="R1185" s="28" t="s">
        <v>6283</v>
      </c>
      <c r="S1185" s="25"/>
      <c r="T1185" s="20" t="b">
        <v>1</v>
      </c>
      <c r="U1185" s="25"/>
      <c r="V1185" s="25">
        <v>517.13199999999995</v>
      </c>
      <c r="W1185" s="28" t="s">
        <v>13886</v>
      </c>
      <c r="X1185" s="28" t="s">
        <v>6285</v>
      </c>
      <c r="Y1185" s="28" t="s">
        <v>6286</v>
      </c>
      <c r="Z1185" s="28" t="s">
        <v>6287</v>
      </c>
      <c r="AA1185" s="28" t="s">
        <v>6288</v>
      </c>
      <c r="AB1185" s="28" t="s">
        <v>6297</v>
      </c>
    </row>
    <row r="1186" spans="1:28" ht="185.4" x14ac:dyDescent="0.3">
      <c r="A1186" s="25">
        <v>9346</v>
      </c>
      <c r="B1186" s="25" t="s">
        <v>13887</v>
      </c>
      <c r="C1186" s="25" t="s">
        <v>13888</v>
      </c>
      <c r="D1186" s="25" t="s">
        <v>6278</v>
      </c>
      <c r="E1186" s="16" t="s">
        <v>6279</v>
      </c>
      <c r="F1186" s="16" t="s">
        <v>6279</v>
      </c>
      <c r="G1186" s="16" t="s">
        <v>6279</v>
      </c>
      <c r="H1186" s="16" t="s">
        <v>6279</v>
      </c>
      <c r="I1186" s="25" t="s">
        <v>13889</v>
      </c>
      <c r="J1186" s="25"/>
      <c r="K1186" s="25" t="s">
        <v>6281</v>
      </c>
      <c r="L1186" s="26" t="s">
        <v>13890</v>
      </c>
      <c r="M1186" s="26" t="s">
        <v>13891</v>
      </c>
      <c r="N1186" s="27" t="s">
        <v>13892</v>
      </c>
      <c r="O1186" s="26" t="s">
        <v>6295</v>
      </c>
      <c r="P1186" s="20" t="b">
        <v>1</v>
      </c>
      <c r="Q1186" s="20" t="s">
        <v>6282</v>
      </c>
      <c r="R1186" s="28" t="s">
        <v>6283</v>
      </c>
      <c r="S1186" s="25"/>
      <c r="T1186" s="20" t="b">
        <v>1</v>
      </c>
      <c r="U1186" s="25"/>
      <c r="V1186" s="25">
        <v>1619.6790000000001</v>
      </c>
      <c r="W1186" s="28" t="s">
        <v>13893</v>
      </c>
      <c r="X1186" s="28" t="s">
        <v>6285</v>
      </c>
      <c r="Y1186" s="28" t="s">
        <v>6286</v>
      </c>
      <c r="Z1186" s="28" t="s">
        <v>6287</v>
      </c>
      <c r="AA1186" s="28" t="s">
        <v>6288</v>
      </c>
      <c r="AB1186" s="28" t="s">
        <v>6297</v>
      </c>
    </row>
    <row r="1187" spans="1:28" ht="185.4" x14ac:dyDescent="0.3">
      <c r="A1187" s="25">
        <v>9347</v>
      </c>
      <c r="B1187" s="25" t="s">
        <v>13894</v>
      </c>
      <c r="C1187" s="25" t="s">
        <v>13895</v>
      </c>
      <c r="D1187" s="25" t="s">
        <v>6278</v>
      </c>
      <c r="E1187" s="16" t="s">
        <v>6279</v>
      </c>
      <c r="F1187" s="16" t="s">
        <v>6279</v>
      </c>
      <c r="G1187" s="16" t="s">
        <v>6279</v>
      </c>
      <c r="H1187" s="16" t="s">
        <v>6279</v>
      </c>
      <c r="I1187" s="25" t="s">
        <v>13896</v>
      </c>
      <c r="J1187" s="25"/>
      <c r="K1187" s="25" t="s">
        <v>6281</v>
      </c>
      <c r="L1187" s="26" t="s">
        <v>13897</v>
      </c>
      <c r="M1187" s="26" t="s">
        <v>13891</v>
      </c>
      <c r="N1187" s="27" t="s">
        <v>13892</v>
      </c>
      <c r="O1187" s="26" t="s">
        <v>6295</v>
      </c>
      <c r="P1187" s="20" t="b">
        <v>1</v>
      </c>
      <c r="Q1187" s="20" t="s">
        <v>6282</v>
      </c>
      <c r="R1187" s="28" t="s">
        <v>6283</v>
      </c>
      <c r="S1187" s="25"/>
      <c r="T1187" s="20" t="b">
        <v>1</v>
      </c>
      <c r="U1187" s="25"/>
      <c r="V1187" s="25">
        <v>1664.36</v>
      </c>
      <c r="W1187" s="28" t="s">
        <v>13898</v>
      </c>
      <c r="X1187" s="28" t="s">
        <v>6285</v>
      </c>
      <c r="Y1187" s="28" t="s">
        <v>6286</v>
      </c>
      <c r="Z1187" s="28" t="s">
        <v>6287</v>
      </c>
      <c r="AA1187" s="28" t="s">
        <v>6288</v>
      </c>
      <c r="AB1187" s="28" t="s">
        <v>6297</v>
      </c>
    </row>
    <row r="1188" spans="1:28" ht="185.4" x14ac:dyDescent="0.3">
      <c r="A1188" s="25">
        <v>9348</v>
      </c>
      <c r="B1188" s="25" t="s">
        <v>13899</v>
      </c>
      <c r="C1188" s="25" t="s">
        <v>13900</v>
      </c>
      <c r="D1188" s="25" t="s">
        <v>6278</v>
      </c>
      <c r="E1188" s="16" t="s">
        <v>6279</v>
      </c>
      <c r="F1188" s="16" t="s">
        <v>6279</v>
      </c>
      <c r="G1188" s="16" t="s">
        <v>6279</v>
      </c>
      <c r="H1188" s="16" t="s">
        <v>6279</v>
      </c>
      <c r="I1188" s="25" t="s">
        <v>13901</v>
      </c>
      <c r="J1188" s="25"/>
      <c r="K1188" s="25" t="s">
        <v>6281</v>
      </c>
      <c r="L1188" s="26" t="s">
        <v>13902</v>
      </c>
      <c r="M1188" s="26" t="s">
        <v>6295</v>
      </c>
      <c r="N1188" s="27" t="s">
        <v>13903</v>
      </c>
      <c r="O1188" s="26" t="s">
        <v>6295</v>
      </c>
      <c r="P1188" s="20" t="b">
        <v>1</v>
      </c>
      <c r="Q1188" s="20" t="s">
        <v>6282</v>
      </c>
      <c r="R1188" s="28" t="s">
        <v>6283</v>
      </c>
      <c r="S1188" s="25"/>
      <c r="T1188" s="20" t="b">
        <v>1</v>
      </c>
      <c r="U1188" s="25"/>
      <c r="V1188" s="25">
        <v>891.61800000000005</v>
      </c>
      <c r="W1188" s="28" t="s">
        <v>13904</v>
      </c>
      <c r="X1188" s="28" t="s">
        <v>6285</v>
      </c>
      <c r="Y1188" s="28" t="s">
        <v>6286</v>
      </c>
      <c r="Z1188" s="28" t="s">
        <v>6287</v>
      </c>
      <c r="AA1188" s="28" t="s">
        <v>6288</v>
      </c>
      <c r="AB1188" s="28" t="s">
        <v>6297</v>
      </c>
    </row>
    <row r="1189" spans="1:28" ht="198.6" x14ac:dyDescent="0.3">
      <c r="A1189" s="25">
        <v>9349</v>
      </c>
      <c r="B1189" s="25" t="s">
        <v>13905</v>
      </c>
      <c r="C1189" s="25" t="s">
        <v>13906</v>
      </c>
      <c r="D1189" s="25" t="s">
        <v>6291</v>
      </c>
      <c r="E1189" s="16" t="s">
        <v>6292</v>
      </c>
      <c r="F1189" s="16" t="s">
        <v>6292</v>
      </c>
      <c r="G1189" s="16" t="s">
        <v>6292</v>
      </c>
      <c r="H1189" s="16" t="s">
        <v>6292</v>
      </c>
      <c r="I1189" s="25" t="s">
        <v>13907</v>
      </c>
      <c r="J1189" s="25"/>
      <c r="K1189" s="25" t="s">
        <v>6281</v>
      </c>
      <c r="L1189" s="26" t="s">
        <v>13908</v>
      </c>
      <c r="M1189" s="26" t="s">
        <v>6295</v>
      </c>
      <c r="N1189" s="27" t="s">
        <v>13909</v>
      </c>
      <c r="O1189" s="26" t="s">
        <v>6295</v>
      </c>
      <c r="P1189" s="20" t="b">
        <v>1</v>
      </c>
      <c r="Q1189" s="20" t="s">
        <v>6282</v>
      </c>
      <c r="R1189" s="28" t="s">
        <v>6283</v>
      </c>
      <c r="S1189" s="25"/>
      <c r="T1189" s="20" t="b">
        <v>1</v>
      </c>
      <c r="U1189" s="25"/>
      <c r="V1189" s="25">
        <v>120.953</v>
      </c>
      <c r="W1189" s="28" t="s">
        <v>13910</v>
      </c>
      <c r="X1189" s="28" t="s">
        <v>6285</v>
      </c>
      <c r="Y1189" s="28" t="s">
        <v>6286</v>
      </c>
      <c r="Z1189" s="28" t="s">
        <v>6287</v>
      </c>
      <c r="AA1189" s="28" t="s">
        <v>6288</v>
      </c>
      <c r="AB1189" s="28" t="s">
        <v>6297</v>
      </c>
    </row>
    <row r="1190" spans="1:28" ht="185.4" x14ac:dyDescent="0.3">
      <c r="A1190" s="25">
        <v>9350</v>
      </c>
      <c r="B1190" s="25" t="s">
        <v>13911</v>
      </c>
      <c r="C1190" s="25" t="s">
        <v>13912</v>
      </c>
      <c r="D1190" s="25" t="s">
        <v>6291</v>
      </c>
      <c r="E1190" s="16" t="s">
        <v>6292</v>
      </c>
      <c r="F1190" s="16" t="s">
        <v>6292</v>
      </c>
      <c r="G1190" s="16" t="s">
        <v>6292</v>
      </c>
      <c r="H1190" s="16" t="s">
        <v>6292</v>
      </c>
      <c r="I1190" s="25" t="s">
        <v>13913</v>
      </c>
      <c r="J1190" s="25"/>
      <c r="K1190" s="25" t="s">
        <v>6281</v>
      </c>
      <c r="L1190" s="26" t="s">
        <v>13914</v>
      </c>
      <c r="M1190" s="26" t="s">
        <v>13915</v>
      </c>
      <c r="N1190" s="27" t="s">
        <v>13916</v>
      </c>
      <c r="O1190" s="26" t="s">
        <v>6295</v>
      </c>
      <c r="P1190" s="20" t="b">
        <v>1</v>
      </c>
      <c r="Q1190" s="20" t="s">
        <v>6282</v>
      </c>
      <c r="R1190" s="28" t="s">
        <v>6283</v>
      </c>
      <c r="S1190" s="25"/>
      <c r="T1190" s="20" t="b">
        <v>1</v>
      </c>
      <c r="U1190" s="25"/>
      <c r="V1190" s="25">
        <v>150</v>
      </c>
      <c r="W1190" s="28" t="s">
        <v>13917</v>
      </c>
      <c r="X1190" s="28" t="s">
        <v>6285</v>
      </c>
      <c r="Y1190" s="28" t="s">
        <v>6286</v>
      </c>
      <c r="Z1190" s="28" t="s">
        <v>6287</v>
      </c>
      <c r="AA1190" s="28" t="s">
        <v>6288</v>
      </c>
      <c r="AB1190" s="28" t="s">
        <v>6297</v>
      </c>
    </row>
    <row r="1191" spans="1:28" ht="185.4" x14ac:dyDescent="0.3">
      <c r="A1191" s="25">
        <v>9351</v>
      </c>
      <c r="B1191" s="25" t="s">
        <v>13918</v>
      </c>
      <c r="C1191" s="25" t="s">
        <v>13919</v>
      </c>
      <c r="D1191" s="25" t="s">
        <v>6278</v>
      </c>
      <c r="E1191" s="16" t="s">
        <v>6279</v>
      </c>
      <c r="F1191" s="16" t="s">
        <v>6279</v>
      </c>
      <c r="G1191" s="16" t="s">
        <v>6279</v>
      </c>
      <c r="H1191" s="16" t="s">
        <v>6279</v>
      </c>
      <c r="I1191" s="25" t="s">
        <v>13920</v>
      </c>
      <c r="J1191" s="25"/>
      <c r="K1191" s="25" t="s">
        <v>6281</v>
      </c>
      <c r="L1191" s="26" t="s">
        <v>13921</v>
      </c>
      <c r="M1191" s="26" t="s">
        <v>13922</v>
      </c>
      <c r="N1191" s="27" t="s">
        <v>13923</v>
      </c>
      <c r="O1191" s="26" t="s">
        <v>6295</v>
      </c>
      <c r="P1191" s="20" t="b">
        <v>1</v>
      </c>
      <c r="Q1191" s="20" t="s">
        <v>6282</v>
      </c>
      <c r="R1191" s="28" t="s">
        <v>6283</v>
      </c>
      <c r="S1191" s="25"/>
      <c r="T1191" s="20" t="b">
        <v>1</v>
      </c>
      <c r="U1191" s="25"/>
      <c r="V1191" s="25">
        <v>309.77</v>
      </c>
      <c r="W1191" s="28" t="s">
        <v>13924</v>
      </c>
      <c r="X1191" s="28" t="s">
        <v>6285</v>
      </c>
      <c r="Y1191" s="28" t="s">
        <v>6286</v>
      </c>
      <c r="Z1191" s="28" t="s">
        <v>6287</v>
      </c>
      <c r="AA1191" s="28" t="s">
        <v>6288</v>
      </c>
      <c r="AB1191" s="28" t="s">
        <v>6297</v>
      </c>
    </row>
    <row r="1192" spans="1:28" ht="185.4" x14ac:dyDescent="0.3">
      <c r="A1192" s="25">
        <v>9352</v>
      </c>
      <c r="B1192" s="25" t="s">
        <v>13925</v>
      </c>
      <c r="C1192" s="25" t="s">
        <v>13926</v>
      </c>
      <c r="D1192" s="25" t="s">
        <v>6291</v>
      </c>
      <c r="E1192" s="16" t="s">
        <v>6786</v>
      </c>
      <c r="F1192" s="16" t="s">
        <v>6786</v>
      </c>
      <c r="G1192" s="16" t="s">
        <v>6786</v>
      </c>
      <c r="H1192" s="16" t="s">
        <v>6786</v>
      </c>
      <c r="I1192" s="25" t="s">
        <v>13927</v>
      </c>
      <c r="J1192" s="25"/>
      <c r="K1192" s="25" t="s">
        <v>6281</v>
      </c>
      <c r="L1192" s="26" t="s">
        <v>13928</v>
      </c>
      <c r="M1192" s="26" t="s">
        <v>6295</v>
      </c>
      <c r="N1192" s="27" t="s">
        <v>13929</v>
      </c>
      <c r="O1192" s="26" t="s">
        <v>6295</v>
      </c>
      <c r="P1192" s="20" t="b">
        <v>1</v>
      </c>
      <c r="Q1192" s="20" t="s">
        <v>6282</v>
      </c>
      <c r="R1192" s="28" t="s">
        <v>6283</v>
      </c>
      <c r="S1192" s="25"/>
      <c r="T1192" s="20" t="b">
        <v>1</v>
      </c>
      <c r="U1192" s="25"/>
      <c r="V1192" s="25">
        <v>2.2069999999999999</v>
      </c>
      <c r="W1192" s="28" t="s">
        <v>13930</v>
      </c>
      <c r="X1192" s="28" t="s">
        <v>6285</v>
      </c>
      <c r="Y1192" s="28" t="s">
        <v>6286</v>
      </c>
      <c r="Z1192" s="28" t="s">
        <v>6287</v>
      </c>
      <c r="AA1192" s="28" t="s">
        <v>6288</v>
      </c>
      <c r="AB1192" s="28" t="s">
        <v>6297</v>
      </c>
    </row>
    <row r="1193" spans="1:28" ht="264.60000000000002" x14ac:dyDescent="0.3">
      <c r="A1193" s="25">
        <v>9353</v>
      </c>
      <c r="B1193" s="25" t="s">
        <v>13577</v>
      </c>
      <c r="C1193" s="25" t="s">
        <v>13578</v>
      </c>
      <c r="D1193" s="25" t="s">
        <v>6278</v>
      </c>
      <c r="E1193" s="16" t="s">
        <v>6279</v>
      </c>
      <c r="F1193" s="16" t="s">
        <v>6279</v>
      </c>
      <c r="G1193" s="16" t="s">
        <v>6279</v>
      </c>
      <c r="H1193" s="16" t="s">
        <v>6279</v>
      </c>
      <c r="I1193" s="25" t="s">
        <v>13579</v>
      </c>
      <c r="J1193" s="25"/>
      <c r="K1193" s="25" t="s">
        <v>6281</v>
      </c>
      <c r="L1193" s="26" t="s">
        <v>13931</v>
      </c>
      <c r="M1193" s="26" t="s">
        <v>13932</v>
      </c>
      <c r="N1193" s="27" t="s">
        <v>13933</v>
      </c>
      <c r="O1193" s="26" t="s">
        <v>13934</v>
      </c>
      <c r="P1193" s="20" t="b">
        <v>1</v>
      </c>
      <c r="Q1193" s="20" t="s">
        <v>6282</v>
      </c>
      <c r="R1193" s="28" t="s">
        <v>6283</v>
      </c>
      <c r="S1193" s="25"/>
      <c r="T1193" s="20" t="b">
        <v>1</v>
      </c>
      <c r="U1193" s="25"/>
      <c r="V1193" s="25">
        <v>61.82</v>
      </c>
      <c r="W1193" s="28" t="s">
        <v>13935</v>
      </c>
      <c r="X1193" s="28" t="s">
        <v>6285</v>
      </c>
      <c r="Y1193" s="28" t="s">
        <v>6286</v>
      </c>
      <c r="Z1193" s="28" t="s">
        <v>6287</v>
      </c>
      <c r="AA1193" s="28" t="s">
        <v>6288</v>
      </c>
      <c r="AB1193" s="28" t="s">
        <v>6297</v>
      </c>
    </row>
    <row r="1194" spans="1:28" ht="185.4" x14ac:dyDescent="0.3">
      <c r="A1194" s="25">
        <v>9354</v>
      </c>
      <c r="B1194" s="25" t="s">
        <v>13936</v>
      </c>
      <c r="C1194" s="25" t="s">
        <v>13937</v>
      </c>
      <c r="D1194" s="25" t="s">
        <v>6278</v>
      </c>
      <c r="E1194" s="16" t="s">
        <v>6279</v>
      </c>
      <c r="F1194" s="16" t="s">
        <v>6279</v>
      </c>
      <c r="G1194" s="16" t="s">
        <v>6279</v>
      </c>
      <c r="H1194" s="16" t="s">
        <v>6279</v>
      </c>
      <c r="I1194" s="25" t="s">
        <v>13938</v>
      </c>
      <c r="J1194" s="25"/>
      <c r="K1194" s="25" t="s">
        <v>6281</v>
      </c>
      <c r="L1194" s="26" t="s">
        <v>13939</v>
      </c>
      <c r="M1194" s="26" t="s">
        <v>6295</v>
      </c>
      <c r="N1194" s="27" t="s">
        <v>13940</v>
      </c>
      <c r="O1194" s="26" t="s">
        <v>6295</v>
      </c>
      <c r="P1194" s="20" t="b">
        <v>1</v>
      </c>
      <c r="Q1194" s="20" t="s">
        <v>6282</v>
      </c>
      <c r="R1194" s="28" t="s">
        <v>6283</v>
      </c>
      <c r="S1194" s="25"/>
      <c r="T1194" s="20" t="b">
        <v>1</v>
      </c>
      <c r="U1194" s="25"/>
      <c r="V1194" s="25">
        <v>1287.7929999999999</v>
      </c>
      <c r="W1194" s="28" t="s">
        <v>13941</v>
      </c>
      <c r="X1194" s="28" t="s">
        <v>6285</v>
      </c>
      <c r="Y1194" s="28" t="s">
        <v>6286</v>
      </c>
      <c r="Z1194" s="28" t="s">
        <v>6287</v>
      </c>
      <c r="AA1194" s="28" t="s">
        <v>6288</v>
      </c>
      <c r="AB1194" s="28" t="s">
        <v>6297</v>
      </c>
    </row>
    <row r="1195" spans="1:28" ht="185.4" x14ac:dyDescent="0.3">
      <c r="A1195" s="25">
        <v>9355</v>
      </c>
      <c r="B1195" s="25" t="s">
        <v>13942</v>
      </c>
      <c r="C1195" s="25" t="s">
        <v>13943</v>
      </c>
      <c r="D1195" s="25" t="s">
        <v>6278</v>
      </c>
      <c r="E1195" s="16" t="s">
        <v>6279</v>
      </c>
      <c r="F1195" s="16" t="s">
        <v>6279</v>
      </c>
      <c r="G1195" s="16" t="s">
        <v>6279</v>
      </c>
      <c r="H1195" s="16" t="s">
        <v>6279</v>
      </c>
      <c r="I1195" s="25" t="s">
        <v>13944</v>
      </c>
      <c r="J1195" s="25"/>
      <c r="K1195" s="25" t="s">
        <v>6281</v>
      </c>
      <c r="L1195" s="26" t="s">
        <v>13945</v>
      </c>
      <c r="M1195" s="26" t="s">
        <v>6295</v>
      </c>
      <c r="N1195" s="27" t="s">
        <v>13946</v>
      </c>
      <c r="O1195" s="26" t="s">
        <v>6295</v>
      </c>
      <c r="P1195" s="20" t="b">
        <v>1</v>
      </c>
      <c r="Q1195" s="20" t="s">
        <v>6282</v>
      </c>
      <c r="R1195" s="28" t="s">
        <v>6283</v>
      </c>
      <c r="S1195" s="25"/>
      <c r="T1195" s="20" t="b">
        <v>1</v>
      </c>
      <c r="U1195" s="25"/>
      <c r="V1195" s="25">
        <v>742.9</v>
      </c>
      <c r="W1195" s="28" t="s">
        <v>13947</v>
      </c>
      <c r="X1195" s="28" t="s">
        <v>6285</v>
      </c>
      <c r="Y1195" s="28" t="s">
        <v>6286</v>
      </c>
      <c r="Z1195" s="28" t="s">
        <v>6287</v>
      </c>
      <c r="AA1195" s="28" t="s">
        <v>6288</v>
      </c>
      <c r="AB1195" s="28" t="s">
        <v>6297</v>
      </c>
    </row>
    <row r="1196" spans="1:28" ht="185.4" x14ac:dyDescent="0.3">
      <c r="A1196" s="25">
        <v>9356</v>
      </c>
      <c r="B1196" s="25" t="s">
        <v>11744</v>
      </c>
      <c r="C1196" s="25" t="s">
        <v>6295</v>
      </c>
      <c r="D1196" s="25" t="s">
        <v>6291</v>
      </c>
      <c r="E1196" s="16" t="s">
        <v>6292</v>
      </c>
      <c r="F1196" s="16" t="s">
        <v>6292</v>
      </c>
      <c r="G1196" s="16" t="s">
        <v>6292</v>
      </c>
      <c r="H1196" s="16" t="s">
        <v>6292</v>
      </c>
      <c r="I1196" s="25" t="s">
        <v>6295</v>
      </c>
      <c r="J1196" s="25"/>
      <c r="K1196" s="25" t="s">
        <v>6281</v>
      </c>
      <c r="L1196" s="26" t="s">
        <v>13948</v>
      </c>
      <c r="M1196" s="26" t="s">
        <v>13949</v>
      </c>
      <c r="N1196" s="27" t="s">
        <v>13671</v>
      </c>
      <c r="O1196" s="26" t="s">
        <v>13950</v>
      </c>
      <c r="P1196" s="20" t="b">
        <v>1</v>
      </c>
      <c r="Q1196" s="20" t="s">
        <v>6282</v>
      </c>
      <c r="R1196" s="28" t="s">
        <v>6283</v>
      </c>
      <c r="S1196" s="25"/>
      <c r="T1196" s="20" t="b">
        <v>1</v>
      </c>
      <c r="U1196" s="25"/>
      <c r="V1196" s="25">
        <v>107.33199999999999</v>
      </c>
      <c r="W1196" s="28" t="s">
        <v>13951</v>
      </c>
      <c r="X1196" s="28" t="s">
        <v>6285</v>
      </c>
      <c r="Y1196" s="28" t="s">
        <v>6286</v>
      </c>
      <c r="Z1196" s="28" t="s">
        <v>6287</v>
      </c>
      <c r="AA1196" s="28" t="s">
        <v>6288</v>
      </c>
      <c r="AB1196" s="28" t="s">
        <v>6297</v>
      </c>
    </row>
    <row r="1197" spans="1:28" ht="185.4" x14ac:dyDescent="0.3">
      <c r="A1197" s="25">
        <v>9357</v>
      </c>
      <c r="B1197" s="25" t="s">
        <v>13952</v>
      </c>
      <c r="C1197" s="25" t="s">
        <v>13953</v>
      </c>
      <c r="D1197" s="25" t="s">
        <v>6278</v>
      </c>
      <c r="E1197" s="16" t="s">
        <v>6279</v>
      </c>
      <c r="F1197" s="16" t="s">
        <v>6279</v>
      </c>
      <c r="G1197" s="16" t="s">
        <v>6279</v>
      </c>
      <c r="H1197" s="16" t="s">
        <v>6279</v>
      </c>
      <c r="I1197" s="25" t="s">
        <v>13954</v>
      </c>
      <c r="J1197" s="25"/>
      <c r="K1197" s="25" t="s">
        <v>6281</v>
      </c>
      <c r="L1197" s="26" t="s">
        <v>13955</v>
      </c>
      <c r="M1197" s="26" t="s">
        <v>13956</v>
      </c>
      <c r="N1197" s="27" t="s">
        <v>13013</v>
      </c>
      <c r="O1197" s="26" t="s">
        <v>13957</v>
      </c>
      <c r="P1197" s="20" t="b">
        <v>1</v>
      </c>
      <c r="Q1197" s="20" t="s">
        <v>6282</v>
      </c>
      <c r="R1197" s="28" t="s">
        <v>6283</v>
      </c>
      <c r="S1197" s="25"/>
      <c r="T1197" s="20" t="b">
        <v>1</v>
      </c>
      <c r="U1197" s="25"/>
      <c r="V1197" s="25">
        <v>40.329000000000001</v>
      </c>
      <c r="W1197" s="28" t="s">
        <v>13958</v>
      </c>
      <c r="X1197" s="28" t="s">
        <v>6285</v>
      </c>
      <c r="Y1197" s="28" t="s">
        <v>6286</v>
      </c>
      <c r="Z1197" s="28" t="s">
        <v>6287</v>
      </c>
      <c r="AA1197" s="28" t="s">
        <v>6288</v>
      </c>
      <c r="AB1197" s="28" t="s">
        <v>6297</v>
      </c>
    </row>
    <row r="1198" spans="1:28" ht="185.4" x14ac:dyDescent="0.3">
      <c r="A1198" s="25">
        <v>9358</v>
      </c>
      <c r="B1198" s="25" t="s">
        <v>13959</v>
      </c>
      <c r="C1198" s="25" t="s">
        <v>13960</v>
      </c>
      <c r="D1198" s="25" t="s">
        <v>6291</v>
      </c>
      <c r="E1198" s="16" t="s">
        <v>6292</v>
      </c>
      <c r="F1198" s="16" t="s">
        <v>6292</v>
      </c>
      <c r="G1198" s="16" t="s">
        <v>6292</v>
      </c>
      <c r="H1198" s="16" t="s">
        <v>6292</v>
      </c>
      <c r="I1198" s="25" t="s">
        <v>13961</v>
      </c>
      <c r="J1198" s="25"/>
      <c r="K1198" s="25" t="s">
        <v>6281</v>
      </c>
      <c r="L1198" s="26" t="s">
        <v>13962</v>
      </c>
      <c r="M1198" s="26" t="s">
        <v>13963</v>
      </c>
      <c r="N1198" s="27" t="s">
        <v>13964</v>
      </c>
      <c r="O1198" s="26" t="s">
        <v>7881</v>
      </c>
      <c r="P1198" s="20" t="b">
        <v>1</v>
      </c>
      <c r="Q1198" s="20" t="s">
        <v>6282</v>
      </c>
      <c r="R1198" s="28" t="s">
        <v>6283</v>
      </c>
      <c r="S1198" s="25"/>
      <c r="T1198" s="20" t="b">
        <v>1</v>
      </c>
      <c r="U1198" s="25"/>
      <c r="V1198" s="25">
        <v>51.082999999999998</v>
      </c>
      <c r="W1198" s="28" t="s">
        <v>13965</v>
      </c>
      <c r="X1198" s="28" t="s">
        <v>6285</v>
      </c>
      <c r="Y1198" s="28" t="s">
        <v>6286</v>
      </c>
      <c r="Z1198" s="28" t="s">
        <v>6287</v>
      </c>
      <c r="AA1198" s="28" t="s">
        <v>6288</v>
      </c>
      <c r="AB1198" s="28" t="s">
        <v>6297</v>
      </c>
    </row>
    <row r="1199" spans="1:28" ht="185.4" x14ac:dyDescent="0.3">
      <c r="A1199" s="25">
        <v>9359</v>
      </c>
      <c r="B1199" s="25" t="s">
        <v>11744</v>
      </c>
      <c r="C1199" s="25" t="s">
        <v>6295</v>
      </c>
      <c r="D1199" s="25" t="s">
        <v>6291</v>
      </c>
      <c r="E1199" s="16" t="s">
        <v>6292</v>
      </c>
      <c r="F1199" s="16" t="s">
        <v>6292</v>
      </c>
      <c r="G1199" s="16" t="s">
        <v>6292</v>
      </c>
      <c r="H1199" s="16" t="s">
        <v>6292</v>
      </c>
      <c r="I1199" s="25" t="s">
        <v>6295</v>
      </c>
      <c r="J1199" s="25"/>
      <c r="K1199" s="25" t="s">
        <v>6281</v>
      </c>
      <c r="L1199" s="26" t="s">
        <v>13706</v>
      </c>
      <c r="M1199" s="26" t="s">
        <v>13949</v>
      </c>
      <c r="N1199" s="27" t="s">
        <v>13671</v>
      </c>
      <c r="O1199" s="26" t="s">
        <v>13950</v>
      </c>
      <c r="P1199" s="20" t="b">
        <v>1</v>
      </c>
      <c r="Q1199" s="20" t="s">
        <v>6282</v>
      </c>
      <c r="R1199" s="28" t="s">
        <v>6283</v>
      </c>
      <c r="S1199" s="25"/>
      <c r="T1199" s="20" t="b">
        <v>1</v>
      </c>
      <c r="U1199" s="25"/>
      <c r="V1199" s="25">
        <v>63.963000000000001</v>
      </c>
      <c r="W1199" s="28" t="s">
        <v>13966</v>
      </c>
      <c r="X1199" s="28" t="s">
        <v>6285</v>
      </c>
      <c r="Y1199" s="28" t="s">
        <v>6286</v>
      </c>
      <c r="Z1199" s="28" t="s">
        <v>6287</v>
      </c>
      <c r="AA1199" s="28" t="s">
        <v>6288</v>
      </c>
      <c r="AB1199" s="28" t="s">
        <v>6297</v>
      </c>
    </row>
    <row r="1200" spans="1:28" ht="185.4" x14ac:dyDescent="0.3">
      <c r="A1200" s="25">
        <v>9360</v>
      </c>
      <c r="B1200" s="25" t="s">
        <v>13967</v>
      </c>
      <c r="C1200" s="25" t="s">
        <v>13968</v>
      </c>
      <c r="D1200" s="25" t="s">
        <v>6278</v>
      </c>
      <c r="E1200" s="16" t="s">
        <v>6279</v>
      </c>
      <c r="F1200" s="16" t="s">
        <v>6279</v>
      </c>
      <c r="G1200" s="16" t="s">
        <v>6279</v>
      </c>
      <c r="H1200" s="16" t="s">
        <v>6279</v>
      </c>
      <c r="I1200" s="25" t="s">
        <v>13969</v>
      </c>
      <c r="J1200" s="25"/>
      <c r="K1200" s="25" t="s">
        <v>6281</v>
      </c>
      <c r="L1200" s="26" t="s">
        <v>13970</v>
      </c>
      <c r="M1200" s="26" t="s">
        <v>6295</v>
      </c>
      <c r="N1200" s="27" t="s">
        <v>13971</v>
      </c>
      <c r="O1200" s="26" t="s">
        <v>6295</v>
      </c>
      <c r="P1200" s="20" t="b">
        <v>1</v>
      </c>
      <c r="Q1200" s="20" t="s">
        <v>6282</v>
      </c>
      <c r="R1200" s="28" t="s">
        <v>6283</v>
      </c>
      <c r="S1200" s="25"/>
      <c r="T1200" s="20" t="b">
        <v>1</v>
      </c>
      <c r="U1200" s="25"/>
      <c r="V1200" s="25">
        <v>880.476</v>
      </c>
      <c r="W1200" s="28" t="s">
        <v>13972</v>
      </c>
      <c r="X1200" s="28" t="s">
        <v>6285</v>
      </c>
      <c r="Y1200" s="28" t="s">
        <v>6286</v>
      </c>
      <c r="Z1200" s="28" t="s">
        <v>6287</v>
      </c>
      <c r="AA1200" s="28" t="s">
        <v>6288</v>
      </c>
      <c r="AB1200" s="28" t="s">
        <v>6297</v>
      </c>
    </row>
    <row r="1201" spans="1:28" ht="185.4" x14ac:dyDescent="0.3">
      <c r="A1201" s="25">
        <v>9361</v>
      </c>
      <c r="B1201" s="25" t="s">
        <v>13973</v>
      </c>
      <c r="C1201" s="25" t="s">
        <v>13974</v>
      </c>
      <c r="D1201" s="25" t="s">
        <v>6291</v>
      </c>
      <c r="E1201" s="16" t="s">
        <v>6292</v>
      </c>
      <c r="F1201" s="16" t="s">
        <v>6292</v>
      </c>
      <c r="G1201" s="16" t="s">
        <v>6292</v>
      </c>
      <c r="H1201" s="16" t="s">
        <v>6292</v>
      </c>
      <c r="I1201" s="25" t="s">
        <v>13975</v>
      </c>
      <c r="J1201" s="25"/>
      <c r="K1201" s="25" t="s">
        <v>6281</v>
      </c>
      <c r="L1201" s="26" t="s">
        <v>13976</v>
      </c>
      <c r="M1201" s="26" t="s">
        <v>13326</v>
      </c>
      <c r="N1201" s="27" t="s">
        <v>13977</v>
      </c>
      <c r="O1201" s="26" t="s">
        <v>6295</v>
      </c>
      <c r="P1201" s="20" t="b">
        <v>1</v>
      </c>
      <c r="Q1201" s="20" t="s">
        <v>6282</v>
      </c>
      <c r="R1201" s="28" t="s">
        <v>6283</v>
      </c>
      <c r="S1201" s="25"/>
      <c r="T1201" s="20" t="b">
        <v>1</v>
      </c>
      <c r="U1201" s="25"/>
      <c r="V1201" s="25">
        <v>6.899</v>
      </c>
      <c r="W1201" s="28" t="s">
        <v>13978</v>
      </c>
      <c r="X1201" s="28" t="s">
        <v>6285</v>
      </c>
      <c r="Y1201" s="28" t="s">
        <v>6286</v>
      </c>
      <c r="Z1201" s="28" t="s">
        <v>6287</v>
      </c>
      <c r="AA1201" s="28" t="s">
        <v>6288</v>
      </c>
      <c r="AB1201" s="28" t="s">
        <v>6297</v>
      </c>
    </row>
    <row r="1202" spans="1:28" ht="185.4" x14ac:dyDescent="0.3">
      <c r="A1202" s="25">
        <v>9362</v>
      </c>
      <c r="B1202" s="25" t="s">
        <v>13979</v>
      </c>
      <c r="C1202" s="25" t="s">
        <v>13980</v>
      </c>
      <c r="D1202" s="25" t="s">
        <v>6278</v>
      </c>
      <c r="E1202" s="16" t="s">
        <v>6279</v>
      </c>
      <c r="F1202" s="16" t="s">
        <v>6279</v>
      </c>
      <c r="G1202" s="16" t="s">
        <v>6279</v>
      </c>
      <c r="H1202" s="16" t="s">
        <v>6279</v>
      </c>
      <c r="I1202" s="25" t="s">
        <v>13981</v>
      </c>
      <c r="J1202" s="25"/>
      <c r="K1202" s="25" t="s">
        <v>6281</v>
      </c>
      <c r="L1202" s="26" t="s">
        <v>13982</v>
      </c>
      <c r="M1202" s="26" t="s">
        <v>6295</v>
      </c>
      <c r="N1202" s="27" t="s">
        <v>13983</v>
      </c>
      <c r="O1202" s="26" t="s">
        <v>6295</v>
      </c>
      <c r="P1202" s="20" t="b">
        <v>1</v>
      </c>
      <c r="Q1202" s="20" t="s">
        <v>6282</v>
      </c>
      <c r="R1202" s="28" t="s">
        <v>6283</v>
      </c>
      <c r="S1202" s="25"/>
      <c r="T1202" s="20" t="b">
        <v>1</v>
      </c>
      <c r="U1202" s="25"/>
      <c r="V1202" s="25">
        <v>1525.52</v>
      </c>
      <c r="W1202" s="28" t="s">
        <v>13984</v>
      </c>
      <c r="X1202" s="28" t="s">
        <v>6285</v>
      </c>
      <c r="Y1202" s="28" t="s">
        <v>6286</v>
      </c>
      <c r="Z1202" s="28" t="s">
        <v>6287</v>
      </c>
      <c r="AA1202" s="28" t="s">
        <v>6288</v>
      </c>
      <c r="AB1202" s="28" t="s">
        <v>6297</v>
      </c>
    </row>
    <row r="1203" spans="1:28" ht="185.4" x14ac:dyDescent="0.3">
      <c r="A1203" s="25">
        <v>9363</v>
      </c>
      <c r="B1203" s="25" t="s">
        <v>13985</v>
      </c>
      <c r="C1203" s="25" t="s">
        <v>13986</v>
      </c>
      <c r="D1203" s="25" t="s">
        <v>6278</v>
      </c>
      <c r="E1203" s="16" t="s">
        <v>6279</v>
      </c>
      <c r="F1203" s="16" t="s">
        <v>6279</v>
      </c>
      <c r="G1203" s="16" t="s">
        <v>6279</v>
      </c>
      <c r="H1203" s="16" t="s">
        <v>6279</v>
      </c>
      <c r="I1203" s="25" t="s">
        <v>13987</v>
      </c>
      <c r="J1203" s="25"/>
      <c r="K1203" s="25" t="s">
        <v>6281</v>
      </c>
      <c r="L1203" s="26" t="s">
        <v>13988</v>
      </c>
      <c r="M1203" s="26" t="s">
        <v>6295</v>
      </c>
      <c r="N1203" s="27" t="s">
        <v>13989</v>
      </c>
      <c r="O1203" s="26" t="s">
        <v>6295</v>
      </c>
      <c r="P1203" s="20" t="b">
        <v>1</v>
      </c>
      <c r="Q1203" s="20" t="s">
        <v>6282</v>
      </c>
      <c r="R1203" s="28" t="s">
        <v>6283</v>
      </c>
      <c r="S1203" s="25"/>
      <c r="T1203" s="20" t="b">
        <v>1</v>
      </c>
      <c r="U1203" s="25"/>
      <c r="V1203" s="25">
        <v>400.15100000000001</v>
      </c>
      <c r="W1203" s="28" t="s">
        <v>13990</v>
      </c>
      <c r="X1203" s="28" t="s">
        <v>6285</v>
      </c>
      <c r="Y1203" s="28" t="s">
        <v>6286</v>
      </c>
      <c r="Z1203" s="28" t="s">
        <v>6287</v>
      </c>
      <c r="AA1203" s="28" t="s">
        <v>6288</v>
      </c>
      <c r="AB1203" s="28" t="s">
        <v>6297</v>
      </c>
    </row>
    <row r="1204" spans="1:28" ht="185.4" x14ac:dyDescent="0.3">
      <c r="A1204" s="25">
        <v>9364</v>
      </c>
      <c r="B1204" s="25" t="s">
        <v>13991</v>
      </c>
      <c r="C1204" s="25" t="s">
        <v>13992</v>
      </c>
      <c r="D1204" s="25" t="s">
        <v>6278</v>
      </c>
      <c r="E1204" s="16" t="s">
        <v>6279</v>
      </c>
      <c r="F1204" s="16" t="s">
        <v>6279</v>
      </c>
      <c r="G1204" s="16" t="s">
        <v>6279</v>
      </c>
      <c r="H1204" s="16" t="s">
        <v>6279</v>
      </c>
      <c r="I1204" s="25" t="s">
        <v>13993</v>
      </c>
      <c r="J1204" s="25"/>
      <c r="K1204" s="25" t="s">
        <v>6281</v>
      </c>
      <c r="L1204" s="26" t="s">
        <v>13994</v>
      </c>
      <c r="M1204" s="26" t="s">
        <v>6295</v>
      </c>
      <c r="N1204" s="27" t="s">
        <v>12121</v>
      </c>
      <c r="O1204" s="26" t="s">
        <v>6295</v>
      </c>
      <c r="P1204" s="20" t="b">
        <v>1</v>
      </c>
      <c r="Q1204" s="20" t="s">
        <v>6282</v>
      </c>
      <c r="R1204" s="28" t="s">
        <v>6283</v>
      </c>
      <c r="S1204" s="25"/>
      <c r="T1204" s="20" t="b">
        <v>1</v>
      </c>
      <c r="U1204" s="25"/>
      <c r="V1204" s="25">
        <v>1720.519</v>
      </c>
      <c r="W1204" s="28" t="s">
        <v>13995</v>
      </c>
      <c r="X1204" s="28" t="s">
        <v>6285</v>
      </c>
      <c r="Y1204" s="28" t="s">
        <v>6286</v>
      </c>
      <c r="Z1204" s="28" t="s">
        <v>6287</v>
      </c>
      <c r="AA1204" s="28" t="s">
        <v>6288</v>
      </c>
      <c r="AB1204" s="28" t="s">
        <v>6297</v>
      </c>
    </row>
    <row r="1205" spans="1:28" ht="185.4" x14ac:dyDescent="0.3">
      <c r="A1205" s="25">
        <v>9365</v>
      </c>
      <c r="B1205" s="25" t="s">
        <v>13996</v>
      </c>
      <c r="C1205" s="25" t="s">
        <v>13997</v>
      </c>
      <c r="D1205" s="25" t="s">
        <v>6291</v>
      </c>
      <c r="E1205" s="16" t="s">
        <v>6786</v>
      </c>
      <c r="F1205" s="16" t="s">
        <v>6786</v>
      </c>
      <c r="G1205" s="16" t="s">
        <v>6786</v>
      </c>
      <c r="H1205" s="16" t="s">
        <v>6786</v>
      </c>
      <c r="I1205" s="25" t="s">
        <v>13998</v>
      </c>
      <c r="J1205" s="25"/>
      <c r="K1205" s="25" t="s">
        <v>6281</v>
      </c>
      <c r="L1205" s="26" t="s">
        <v>13999</v>
      </c>
      <c r="M1205" s="26" t="s">
        <v>14000</v>
      </c>
      <c r="N1205" s="27" t="s">
        <v>14001</v>
      </c>
      <c r="O1205" s="26" t="s">
        <v>6295</v>
      </c>
      <c r="P1205" s="20" t="b">
        <v>1</v>
      </c>
      <c r="Q1205" s="20" t="s">
        <v>6282</v>
      </c>
      <c r="R1205" s="28" t="s">
        <v>6283</v>
      </c>
      <c r="S1205" s="25"/>
      <c r="T1205" s="20" t="b">
        <v>1</v>
      </c>
      <c r="U1205" s="25"/>
      <c r="V1205" s="25">
        <v>4.8099999999999996</v>
      </c>
      <c r="W1205" s="28" t="s">
        <v>14002</v>
      </c>
      <c r="X1205" s="28" t="s">
        <v>6285</v>
      </c>
      <c r="Y1205" s="28" t="s">
        <v>6286</v>
      </c>
      <c r="Z1205" s="28" t="s">
        <v>6287</v>
      </c>
      <c r="AA1205" s="28" t="s">
        <v>6288</v>
      </c>
      <c r="AB1205" s="28" t="s">
        <v>6297</v>
      </c>
    </row>
    <row r="1206" spans="1:28" ht="185.4" x14ac:dyDescent="0.3">
      <c r="A1206" s="25">
        <v>9366</v>
      </c>
      <c r="B1206" s="25" t="s">
        <v>14003</v>
      </c>
      <c r="C1206" s="25" t="s">
        <v>14004</v>
      </c>
      <c r="D1206" s="25" t="s">
        <v>6291</v>
      </c>
      <c r="E1206" s="16" t="s">
        <v>6786</v>
      </c>
      <c r="F1206" s="16" t="s">
        <v>6786</v>
      </c>
      <c r="G1206" s="16" t="s">
        <v>6786</v>
      </c>
      <c r="H1206" s="16" t="s">
        <v>6786</v>
      </c>
      <c r="I1206" s="25" t="s">
        <v>14005</v>
      </c>
      <c r="J1206" s="25"/>
      <c r="K1206" s="25" t="s">
        <v>6281</v>
      </c>
      <c r="L1206" s="26" t="s">
        <v>14006</v>
      </c>
      <c r="M1206" s="26" t="s">
        <v>14000</v>
      </c>
      <c r="N1206" s="27" t="s">
        <v>14007</v>
      </c>
      <c r="O1206" s="26" t="s">
        <v>6295</v>
      </c>
      <c r="P1206" s="20" t="b">
        <v>1</v>
      </c>
      <c r="Q1206" s="20" t="s">
        <v>6282</v>
      </c>
      <c r="R1206" s="28" t="s">
        <v>6283</v>
      </c>
      <c r="S1206" s="25"/>
      <c r="T1206" s="20" t="b">
        <v>1</v>
      </c>
      <c r="U1206" s="25"/>
      <c r="V1206" s="25">
        <v>4.0810000000000004</v>
      </c>
      <c r="W1206" s="28" t="s">
        <v>14008</v>
      </c>
      <c r="X1206" s="28" t="s">
        <v>6285</v>
      </c>
      <c r="Y1206" s="28" t="s">
        <v>6286</v>
      </c>
      <c r="Z1206" s="28" t="s">
        <v>6287</v>
      </c>
      <c r="AA1206" s="28" t="s">
        <v>6288</v>
      </c>
      <c r="AB1206" s="28" t="s">
        <v>6297</v>
      </c>
    </row>
    <row r="1207" spans="1:28" ht="185.4" x14ac:dyDescent="0.3">
      <c r="A1207" s="25">
        <v>9367</v>
      </c>
      <c r="B1207" s="25" t="s">
        <v>14009</v>
      </c>
      <c r="C1207" s="25" t="s">
        <v>14010</v>
      </c>
      <c r="D1207" s="25" t="s">
        <v>6291</v>
      </c>
      <c r="E1207" s="16" t="s">
        <v>6786</v>
      </c>
      <c r="F1207" s="16" t="s">
        <v>6786</v>
      </c>
      <c r="G1207" s="16" t="s">
        <v>6786</v>
      </c>
      <c r="H1207" s="16" t="s">
        <v>6786</v>
      </c>
      <c r="I1207" s="25" t="s">
        <v>14011</v>
      </c>
      <c r="J1207" s="25"/>
      <c r="K1207" s="25" t="s">
        <v>6281</v>
      </c>
      <c r="L1207" s="26" t="s">
        <v>14012</v>
      </c>
      <c r="M1207" s="26" t="s">
        <v>14000</v>
      </c>
      <c r="N1207" s="27" t="s">
        <v>14013</v>
      </c>
      <c r="O1207" s="26" t="s">
        <v>6295</v>
      </c>
      <c r="P1207" s="20" t="b">
        <v>1</v>
      </c>
      <c r="Q1207" s="20" t="s">
        <v>6282</v>
      </c>
      <c r="R1207" s="28" t="s">
        <v>6283</v>
      </c>
      <c r="S1207" s="25"/>
      <c r="T1207" s="20" t="b">
        <v>1</v>
      </c>
      <c r="U1207" s="25"/>
      <c r="V1207" s="25">
        <v>4.13</v>
      </c>
      <c r="W1207" s="28" t="s">
        <v>14014</v>
      </c>
      <c r="X1207" s="28" t="s">
        <v>6285</v>
      </c>
      <c r="Y1207" s="28" t="s">
        <v>6286</v>
      </c>
      <c r="Z1207" s="28" t="s">
        <v>6287</v>
      </c>
      <c r="AA1207" s="28" t="s">
        <v>6288</v>
      </c>
      <c r="AB1207" s="28" t="s">
        <v>6297</v>
      </c>
    </row>
    <row r="1208" spans="1:28" ht="185.4" x14ac:dyDescent="0.3">
      <c r="A1208" s="25">
        <v>9368</v>
      </c>
      <c r="B1208" s="25" t="s">
        <v>14015</v>
      </c>
      <c r="C1208" s="25" t="s">
        <v>14016</v>
      </c>
      <c r="D1208" s="25" t="s">
        <v>6291</v>
      </c>
      <c r="E1208" s="16" t="s">
        <v>6786</v>
      </c>
      <c r="F1208" s="16" t="s">
        <v>6786</v>
      </c>
      <c r="G1208" s="16" t="s">
        <v>6786</v>
      </c>
      <c r="H1208" s="16" t="s">
        <v>6786</v>
      </c>
      <c r="I1208" s="25" t="s">
        <v>14017</v>
      </c>
      <c r="J1208" s="25"/>
      <c r="K1208" s="25" t="s">
        <v>6281</v>
      </c>
      <c r="L1208" s="26" t="s">
        <v>14018</v>
      </c>
      <c r="M1208" s="26" t="s">
        <v>6295</v>
      </c>
      <c r="N1208" s="27" t="s">
        <v>14019</v>
      </c>
      <c r="O1208" s="26" t="s">
        <v>6295</v>
      </c>
      <c r="P1208" s="20" t="b">
        <v>1</v>
      </c>
      <c r="Q1208" s="20" t="s">
        <v>6282</v>
      </c>
      <c r="R1208" s="28" t="s">
        <v>6283</v>
      </c>
      <c r="S1208" s="25"/>
      <c r="T1208" s="20" t="b">
        <v>1</v>
      </c>
      <c r="U1208" s="25"/>
      <c r="V1208" s="25">
        <v>26.632000000000001</v>
      </c>
      <c r="W1208" s="28" t="s">
        <v>14020</v>
      </c>
      <c r="X1208" s="28" t="s">
        <v>6285</v>
      </c>
      <c r="Y1208" s="28" t="s">
        <v>6286</v>
      </c>
      <c r="Z1208" s="28" t="s">
        <v>6287</v>
      </c>
      <c r="AA1208" s="28" t="s">
        <v>6288</v>
      </c>
      <c r="AB1208" s="28" t="s">
        <v>6297</v>
      </c>
    </row>
    <row r="1209" spans="1:28" ht="185.4" x14ac:dyDescent="0.3">
      <c r="A1209" s="25">
        <v>9369</v>
      </c>
      <c r="B1209" s="25" t="s">
        <v>11744</v>
      </c>
      <c r="C1209" s="25" t="s">
        <v>14021</v>
      </c>
      <c r="D1209" s="25" t="s">
        <v>6278</v>
      </c>
      <c r="E1209" s="16" t="s">
        <v>6279</v>
      </c>
      <c r="F1209" s="16" t="s">
        <v>6279</v>
      </c>
      <c r="G1209" s="16" t="s">
        <v>6279</v>
      </c>
      <c r="H1209" s="16" t="s">
        <v>6279</v>
      </c>
      <c r="I1209" s="25" t="s">
        <v>6295</v>
      </c>
      <c r="J1209" s="25"/>
      <c r="K1209" s="25" t="s">
        <v>6281</v>
      </c>
      <c r="L1209" s="26" t="s">
        <v>14022</v>
      </c>
      <c r="M1209" s="26" t="s">
        <v>6295</v>
      </c>
      <c r="N1209" s="27" t="s">
        <v>13671</v>
      </c>
      <c r="O1209" s="26" t="s">
        <v>6295</v>
      </c>
      <c r="P1209" s="20" t="b">
        <v>1</v>
      </c>
      <c r="Q1209" s="20" t="s">
        <v>6282</v>
      </c>
      <c r="R1209" s="28" t="s">
        <v>6283</v>
      </c>
      <c r="S1209" s="25"/>
      <c r="T1209" s="20" t="b">
        <v>1</v>
      </c>
      <c r="U1209" s="25"/>
      <c r="V1209" s="25">
        <v>1123.2070000000001</v>
      </c>
      <c r="W1209" s="28" t="s">
        <v>14023</v>
      </c>
      <c r="X1209" s="28" t="s">
        <v>6285</v>
      </c>
      <c r="Y1209" s="28" t="s">
        <v>6286</v>
      </c>
      <c r="Z1209" s="28" t="s">
        <v>6287</v>
      </c>
      <c r="AA1209" s="28" t="s">
        <v>6288</v>
      </c>
      <c r="AB1209" s="28" t="s">
        <v>6297</v>
      </c>
    </row>
    <row r="1210" spans="1:28" ht="179.4" x14ac:dyDescent="0.3">
      <c r="A1210" s="25">
        <v>9370</v>
      </c>
      <c r="B1210" s="25" t="s">
        <v>14024</v>
      </c>
      <c r="C1210" s="25" t="s">
        <v>14025</v>
      </c>
      <c r="D1210" s="25" t="s">
        <v>6291</v>
      </c>
      <c r="E1210" s="16" t="s">
        <v>6786</v>
      </c>
      <c r="F1210" s="16" t="s">
        <v>6786</v>
      </c>
      <c r="G1210" s="16" t="s">
        <v>6786</v>
      </c>
      <c r="H1210" s="16" t="s">
        <v>6786</v>
      </c>
      <c r="I1210" s="25" t="s">
        <v>14026</v>
      </c>
      <c r="J1210" s="25"/>
      <c r="K1210" s="25" t="s">
        <v>6281</v>
      </c>
      <c r="L1210" s="26" t="e">
        <v>#REF!</v>
      </c>
      <c r="M1210" s="26" t="s">
        <v>9346</v>
      </c>
      <c r="N1210" s="27" t="s">
        <v>9347</v>
      </c>
      <c r="O1210" s="26" t="s">
        <v>6295</v>
      </c>
      <c r="P1210" s="20" t="b">
        <v>1</v>
      </c>
      <c r="Q1210" s="20" t="s">
        <v>6282</v>
      </c>
      <c r="R1210" s="28" t="s">
        <v>6283</v>
      </c>
      <c r="S1210" s="25"/>
      <c r="T1210" s="20" t="b">
        <v>1</v>
      </c>
      <c r="U1210" s="25"/>
      <c r="V1210" s="25">
        <v>8.4260000000000002</v>
      </c>
      <c r="W1210" s="28" t="s">
        <v>14027</v>
      </c>
      <c r="X1210" s="28" t="s">
        <v>6285</v>
      </c>
      <c r="Y1210" s="28" t="s">
        <v>6286</v>
      </c>
      <c r="Z1210" s="28" t="s">
        <v>6287</v>
      </c>
      <c r="AA1210" s="28" t="s">
        <v>6288</v>
      </c>
      <c r="AB1210" s="28" t="s">
        <v>6297</v>
      </c>
    </row>
    <row r="1211" spans="1:28" ht="185.4" x14ac:dyDescent="0.3">
      <c r="A1211" s="25">
        <v>9372</v>
      </c>
      <c r="B1211" s="25" t="s">
        <v>14028</v>
      </c>
      <c r="C1211" s="25" t="s">
        <v>14029</v>
      </c>
      <c r="D1211" s="25" t="s">
        <v>6291</v>
      </c>
      <c r="E1211" s="16" t="s">
        <v>6786</v>
      </c>
      <c r="F1211" s="16" t="s">
        <v>6786</v>
      </c>
      <c r="G1211" s="16" t="s">
        <v>6786</v>
      </c>
      <c r="H1211" s="16" t="s">
        <v>6786</v>
      </c>
      <c r="I1211" s="25" t="s">
        <v>14030</v>
      </c>
      <c r="J1211" s="25"/>
      <c r="K1211" s="25" t="s">
        <v>6281</v>
      </c>
      <c r="L1211" s="26" t="s">
        <v>14031</v>
      </c>
      <c r="M1211" s="26" t="s">
        <v>6295</v>
      </c>
      <c r="N1211" s="27" t="s">
        <v>14032</v>
      </c>
      <c r="O1211" s="26" t="s">
        <v>6295</v>
      </c>
      <c r="P1211" s="20" t="b">
        <v>1</v>
      </c>
      <c r="Q1211" s="20" t="s">
        <v>6282</v>
      </c>
      <c r="R1211" s="28" t="s">
        <v>6283</v>
      </c>
      <c r="S1211" s="25"/>
      <c r="T1211" s="20" t="b">
        <v>1</v>
      </c>
      <c r="U1211" s="25"/>
      <c r="V1211" s="25">
        <v>25.786000000000001</v>
      </c>
      <c r="W1211" s="28" t="s">
        <v>14033</v>
      </c>
      <c r="X1211" s="28" t="s">
        <v>6285</v>
      </c>
      <c r="Y1211" s="28" t="s">
        <v>6286</v>
      </c>
      <c r="Z1211" s="28" t="s">
        <v>6287</v>
      </c>
      <c r="AA1211" s="28" t="s">
        <v>6288</v>
      </c>
      <c r="AB1211" s="28" t="s">
        <v>6297</v>
      </c>
    </row>
    <row r="1212" spans="1:28" ht="185.4" x14ac:dyDescent="0.3">
      <c r="A1212" s="25">
        <v>9373</v>
      </c>
      <c r="B1212" s="25" t="s">
        <v>14034</v>
      </c>
      <c r="C1212" s="25" t="s">
        <v>14035</v>
      </c>
      <c r="D1212" s="25" t="s">
        <v>6291</v>
      </c>
      <c r="E1212" s="16" t="s">
        <v>6786</v>
      </c>
      <c r="F1212" s="16" t="s">
        <v>6786</v>
      </c>
      <c r="G1212" s="16" t="s">
        <v>6786</v>
      </c>
      <c r="H1212" s="16" t="s">
        <v>6786</v>
      </c>
      <c r="I1212" s="25" t="s">
        <v>14036</v>
      </c>
      <c r="J1212" s="25"/>
      <c r="K1212" s="25" t="s">
        <v>6281</v>
      </c>
      <c r="L1212" s="26" t="s">
        <v>14037</v>
      </c>
      <c r="M1212" s="26" t="s">
        <v>6295</v>
      </c>
      <c r="N1212" s="27" t="s">
        <v>14038</v>
      </c>
      <c r="O1212" s="26" t="s">
        <v>6295</v>
      </c>
      <c r="P1212" s="20" t="b">
        <v>1</v>
      </c>
      <c r="Q1212" s="20" t="s">
        <v>6282</v>
      </c>
      <c r="R1212" s="28" t="s">
        <v>6283</v>
      </c>
      <c r="S1212" s="25"/>
      <c r="T1212" s="20" t="b">
        <v>1</v>
      </c>
      <c r="U1212" s="25"/>
      <c r="V1212" s="25">
        <v>27.988</v>
      </c>
      <c r="W1212" s="28" t="s">
        <v>14039</v>
      </c>
      <c r="X1212" s="28" t="s">
        <v>6285</v>
      </c>
      <c r="Y1212" s="28" t="s">
        <v>6286</v>
      </c>
      <c r="Z1212" s="28" t="s">
        <v>6287</v>
      </c>
      <c r="AA1212" s="28" t="s">
        <v>6288</v>
      </c>
      <c r="AB1212" s="28" t="s">
        <v>6297</v>
      </c>
    </row>
    <row r="1213" spans="1:28" ht="185.4" x14ac:dyDescent="0.3">
      <c r="A1213" s="25">
        <v>9374</v>
      </c>
      <c r="B1213" s="25" t="s">
        <v>14040</v>
      </c>
      <c r="C1213" s="25" t="s">
        <v>7190</v>
      </c>
      <c r="D1213" s="25" t="s">
        <v>6291</v>
      </c>
      <c r="E1213" s="16" t="s">
        <v>6786</v>
      </c>
      <c r="F1213" s="16" t="s">
        <v>6786</v>
      </c>
      <c r="G1213" s="16" t="s">
        <v>6786</v>
      </c>
      <c r="H1213" s="16" t="s">
        <v>6786</v>
      </c>
      <c r="I1213" s="25" t="s">
        <v>14041</v>
      </c>
      <c r="J1213" s="25"/>
      <c r="K1213" s="25" t="s">
        <v>6281</v>
      </c>
      <c r="L1213" s="26" t="s">
        <v>14042</v>
      </c>
      <c r="M1213" s="26" t="s">
        <v>6295</v>
      </c>
      <c r="N1213" s="27" t="s">
        <v>14043</v>
      </c>
      <c r="O1213" s="26" t="s">
        <v>6295</v>
      </c>
      <c r="P1213" s="20" t="b">
        <v>1</v>
      </c>
      <c r="Q1213" s="20" t="s">
        <v>6282</v>
      </c>
      <c r="R1213" s="28" t="s">
        <v>6283</v>
      </c>
      <c r="S1213" s="25"/>
      <c r="T1213" s="20" t="b">
        <v>1</v>
      </c>
      <c r="U1213" s="25"/>
      <c r="V1213" s="25">
        <v>7.0570000000000004</v>
      </c>
      <c r="W1213" s="28" t="s">
        <v>14044</v>
      </c>
      <c r="X1213" s="28" t="s">
        <v>6285</v>
      </c>
      <c r="Y1213" s="28" t="s">
        <v>6286</v>
      </c>
      <c r="Z1213" s="28" t="s">
        <v>6287</v>
      </c>
      <c r="AA1213" s="28" t="s">
        <v>6288</v>
      </c>
      <c r="AB1213" s="28" t="s">
        <v>6297</v>
      </c>
    </row>
    <row r="1214" spans="1:28" ht="185.4" x14ac:dyDescent="0.3">
      <c r="A1214" s="25">
        <v>9375</v>
      </c>
      <c r="B1214" s="25" t="s">
        <v>14045</v>
      </c>
      <c r="C1214" s="25" t="s">
        <v>14046</v>
      </c>
      <c r="D1214" s="25" t="s">
        <v>6278</v>
      </c>
      <c r="E1214" s="16" t="s">
        <v>6279</v>
      </c>
      <c r="F1214" s="16" t="s">
        <v>6279</v>
      </c>
      <c r="G1214" s="16" t="s">
        <v>6279</v>
      </c>
      <c r="H1214" s="16" t="s">
        <v>6279</v>
      </c>
      <c r="I1214" s="25" t="s">
        <v>14047</v>
      </c>
      <c r="J1214" s="25"/>
      <c r="K1214" s="25" t="s">
        <v>6281</v>
      </c>
      <c r="L1214" s="26" t="s">
        <v>14048</v>
      </c>
      <c r="M1214" s="26" t="s">
        <v>6295</v>
      </c>
      <c r="N1214" s="27" t="s">
        <v>14049</v>
      </c>
      <c r="O1214" s="26" t="s">
        <v>6295</v>
      </c>
      <c r="P1214" s="20" t="b">
        <v>1</v>
      </c>
      <c r="Q1214" s="20" t="s">
        <v>6282</v>
      </c>
      <c r="R1214" s="28" t="s">
        <v>6283</v>
      </c>
      <c r="S1214" s="25"/>
      <c r="T1214" s="20" t="b">
        <v>1</v>
      </c>
      <c r="U1214" s="25"/>
      <c r="V1214" s="25">
        <v>151.858</v>
      </c>
      <c r="W1214" s="28" t="s">
        <v>14050</v>
      </c>
      <c r="X1214" s="28" t="s">
        <v>6285</v>
      </c>
      <c r="Y1214" s="28" t="s">
        <v>6286</v>
      </c>
      <c r="Z1214" s="28" t="s">
        <v>6287</v>
      </c>
      <c r="AA1214" s="28" t="s">
        <v>6288</v>
      </c>
      <c r="AB1214" s="28" t="s">
        <v>6297</v>
      </c>
    </row>
    <row r="1215" spans="1:28" ht="179.4" x14ac:dyDescent="0.3">
      <c r="A1215" s="25">
        <v>9376</v>
      </c>
      <c r="B1215" s="25" t="s">
        <v>11744</v>
      </c>
      <c r="C1215" s="25" t="s">
        <v>6295</v>
      </c>
      <c r="D1215" s="25" t="s">
        <v>6291</v>
      </c>
      <c r="E1215" s="16" t="s">
        <v>6292</v>
      </c>
      <c r="F1215" s="16" t="s">
        <v>6292</v>
      </c>
      <c r="G1215" s="16" t="s">
        <v>6292</v>
      </c>
      <c r="H1215" s="16" t="s">
        <v>6292</v>
      </c>
      <c r="I1215" s="25" t="s">
        <v>6295</v>
      </c>
      <c r="J1215" s="25"/>
      <c r="K1215" s="25" t="s">
        <v>6281</v>
      </c>
      <c r="L1215" s="26" t="e">
        <v>#REF!</v>
      </c>
      <c r="M1215" s="26" t="s">
        <v>6295</v>
      </c>
      <c r="N1215" s="27" t="s">
        <v>14051</v>
      </c>
      <c r="O1215" s="26" t="s">
        <v>6295</v>
      </c>
      <c r="P1215" s="20" t="b">
        <v>1</v>
      </c>
      <c r="Q1215" s="20" t="s">
        <v>6282</v>
      </c>
      <c r="R1215" s="28" t="s">
        <v>6283</v>
      </c>
      <c r="S1215" s="25"/>
      <c r="T1215" s="20" t="b">
        <v>1</v>
      </c>
      <c r="U1215" s="25"/>
      <c r="V1215" s="25">
        <v>3175.0509999999999</v>
      </c>
      <c r="W1215" s="28" t="s">
        <v>14052</v>
      </c>
      <c r="X1215" s="28" t="s">
        <v>6285</v>
      </c>
      <c r="Y1215" s="28" t="s">
        <v>6286</v>
      </c>
      <c r="Z1215" s="28" t="s">
        <v>6287</v>
      </c>
      <c r="AA1215" s="28" t="s">
        <v>6288</v>
      </c>
      <c r="AB1215" s="28" t="s">
        <v>6297</v>
      </c>
    </row>
    <row r="1216" spans="1:28" ht="185.4" x14ac:dyDescent="0.3">
      <c r="A1216" s="25">
        <v>9377</v>
      </c>
      <c r="B1216" s="25" t="s">
        <v>14053</v>
      </c>
      <c r="C1216" s="25" t="s">
        <v>14054</v>
      </c>
      <c r="D1216" s="25" t="s">
        <v>6278</v>
      </c>
      <c r="E1216" s="16" t="s">
        <v>6279</v>
      </c>
      <c r="F1216" s="16" t="s">
        <v>6279</v>
      </c>
      <c r="G1216" s="16" t="s">
        <v>6279</v>
      </c>
      <c r="H1216" s="16" t="s">
        <v>6279</v>
      </c>
      <c r="I1216" s="25" t="s">
        <v>14055</v>
      </c>
      <c r="J1216" s="25"/>
      <c r="K1216" s="25" t="s">
        <v>6281</v>
      </c>
      <c r="L1216" s="26" t="s">
        <v>14056</v>
      </c>
      <c r="M1216" s="26" t="s">
        <v>6295</v>
      </c>
      <c r="N1216" s="27" t="s">
        <v>14057</v>
      </c>
      <c r="O1216" s="26" t="s">
        <v>6295</v>
      </c>
      <c r="P1216" s="20" t="b">
        <v>1</v>
      </c>
      <c r="Q1216" s="20" t="s">
        <v>6282</v>
      </c>
      <c r="R1216" s="28" t="s">
        <v>6283</v>
      </c>
      <c r="S1216" s="25"/>
      <c r="T1216" s="20" t="b">
        <v>1</v>
      </c>
      <c r="U1216" s="25"/>
      <c r="V1216" s="25">
        <v>139.88</v>
      </c>
      <c r="W1216" s="28" t="s">
        <v>14058</v>
      </c>
      <c r="X1216" s="28" t="s">
        <v>6285</v>
      </c>
      <c r="Y1216" s="28" t="s">
        <v>6286</v>
      </c>
      <c r="Z1216" s="28" t="s">
        <v>6287</v>
      </c>
      <c r="AA1216" s="28" t="s">
        <v>6288</v>
      </c>
      <c r="AB1216" s="28" t="s">
        <v>6297</v>
      </c>
    </row>
    <row r="1217" spans="1:28" ht="185.4" x14ac:dyDescent="0.3">
      <c r="A1217" s="25">
        <v>9378</v>
      </c>
      <c r="B1217" s="25" t="s">
        <v>14059</v>
      </c>
      <c r="C1217" s="25" t="s">
        <v>14060</v>
      </c>
      <c r="D1217" s="25" t="s">
        <v>6291</v>
      </c>
      <c r="E1217" s="16" t="s">
        <v>6786</v>
      </c>
      <c r="F1217" s="16" t="s">
        <v>6786</v>
      </c>
      <c r="G1217" s="16" t="s">
        <v>6786</v>
      </c>
      <c r="H1217" s="16" t="s">
        <v>6786</v>
      </c>
      <c r="I1217" s="25" t="s">
        <v>14061</v>
      </c>
      <c r="J1217" s="25"/>
      <c r="K1217" s="25" t="s">
        <v>6281</v>
      </c>
      <c r="L1217" s="26" t="s">
        <v>14062</v>
      </c>
      <c r="M1217" s="26" t="s">
        <v>6295</v>
      </c>
      <c r="N1217" s="27" t="s">
        <v>14063</v>
      </c>
      <c r="O1217" s="26" t="s">
        <v>6295</v>
      </c>
      <c r="P1217" s="20" t="b">
        <v>1</v>
      </c>
      <c r="Q1217" s="20" t="s">
        <v>6282</v>
      </c>
      <c r="R1217" s="28" t="s">
        <v>6283</v>
      </c>
      <c r="S1217" s="25"/>
      <c r="T1217" s="20" t="b">
        <v>1</v>
      </c>
      <c r="U1217" s="25"/>
      <c r="V1217" s="25">
        <v>12.837999999999999</v>
      </c>
      <c r="W1217" s="28" t="s">
        <v>14064</v>
      </c>
      <c r="X1217" s="28" t="s">
        <v>6285</v>
      </c>
      <c r="Y1217" s="28" t="s">
        <v>6286</v>
      </c>
      <c r="Z1217" s="28" t="s">
        <v>6287</v>
      </c>
      <c r="AA1217" s="28" t="s">
        <v>6288</v>
      </c>
      <c r="AB1217" s="28" t="s">
        <v>6297</v>
      </c>
    </row>
    <row r="1218" spans="1:28" ht="185.4" x14ac:dyDescent="0.3">
      <c r="A1218" s="25">
        <v>9379</v>
      </c>
      <c r="B1218" s="25" t="s">
        <v>14065</v>
      </c>
      <c r="C1218" s="25" t="s">
        <v>14066</v>
      </c>
      <c r="D1218" s="25" t="s">
        <v>6291</v>
      </c>
      <c r="E1218" s="16" t="s">
        <v>6292</v>
      </c>
      <c r="F1218" s="16" t="s">
        <v>6292</v>
      </c>
      <c r="G1218" s="16" t="s">
        <v>6292</v>
      </c>
      <c r="H1218" s="16" t="s">
        <v>6292</v>
      </c>
      <c r="I1218" s="25" t="s">
        <v>14067</v>
      </c>
      <c r="J1218" s="25"/>
      <c r="K1218" s="25" t="s">
        <v>6281</v>
      </c>
      <c r="L1218" s="26" t="s">
        <v>14068</v>
      </c>
      <c r="M1218" s="26" t="s">
        <v>6295</v>
      </c>
      <c r="N1218" s="27" t="s">
        <v>14069</v>
      </c>
      <c r="O1218" s="26" t="s">
        <v>6295</v>
      </c>
      <c r="P1218" s="20" t="b">
        <v>1</v>
      </c>
      <c r="Q1218" s="20" t="s">
        <v>6282</v>
      </c>
      <c r="R1218" s="28" t="s">
        <v>6283</v>
      </c>
      <c r="S1218" s="25"/>
      <c r="T1218" s="20" t="b">
        <v>1</v>
      </c>
      <c r="U1218" s="25"/>
      <c r="V1218" s="25">
        <v>183.792</v>
      </c>
      <c r="W1218" s="28" t="s">
        <v>14070</v>
      </c>
      <c r="X1218" s="28" t="s">
        <v>6285</v>
      </c>
      <c r="Y1218" s="28" t="s">
        <v>6286</v>
      </c>
      <c r="Z1218" s="28" t="s">
        <v>6287</v>
      </c>
      <c r="AA1218" s="28" t="s">
        <v>6288</v>
      </c>
      <c r="AB1218" s="28" t="s">
        <v>6297</v>
      </c>
    </row>
    <row r="1219" spans="1:28" ht="185.4" x14ac:dyDescent="0.3">
      <c r="A1219" s="25">
        <v>9380</v>
      </c>
      <c r="B1219" s="25" t="s">
        <v>14071</v>
      </c>
      <c r="C1219" s="25" t="s">
        <v>14072</v>
      </c>
      <c r="D1219" s="25" t="s">
        <v>6278</v>
      </c>
      <c r="E1219" s="16" t="s">
        <v>6279</v>
      </c>
      <c r="F1219" s="16" t="s">
        <v>6279</v>
      </c>
      <c r="G1219" s="16" t="s">
        <v>6279</v>
      </c>
      <c r="H1219" s="16" t="s">
        <v>6279</v>
      </c>
      <c r="I1219" s="25" t="s">
        <v>14073</v>
      </c>
      <c r="J1219" s="25"/>
      <c r="K1219" s="25" t="s">
        <v>6281</v>
      </c>
      <c r="L1219" s="26" t="s">
        <v>14074</v>
      </c>
      <c r="M1219" s="26" t="s">
        <v>6295</v>
      </c>
      <c r="N1219" s="27" t="s">
        <v>14075</v>
      </c>
      <c r="O1219" s="26" t="s">
        <v>6295</v>
      </c>
      <c r="P1219" s="20" t="b">
        <v>1</v>
      </c>
      <c r="Q1219" s="20" t="s">
        <v>6282</v>
      </c>
      <c r="R1219" s="28" t="s">
        <v>6283</v>
      </c>
      <c r="S1219" s="25"/>
      <c r="T1219" s="20" t="b">
        <v>1</v>
      </c>
      <c r="U1219" s="25"/>
      <c r="V1219" s="25">
        <v>268.11599999999999</v>
      </c>
      <c r="W1219" s="28" t="s">
        <v>14076</v>
      </c>
      <c r="X1219" s="28" t="s">
        <v>6285</v>
      </c>
      <c r="Y1219" s="28" t="s">
        <v>6286</v>
      </c>
      <c r="Z1219" s="28" t="s">
        <v>6287</v>
      </c>
      <c r="AA1219" s="28" t="s">
        <v>6288</v>
      </c>
      <c r="AB1219" s="28" t="s">
        <v>6297</v>
      </c>
    </row>
    <row r="1220" spans="1:28" ht="185.4" x14ac:dyDescent="0.3">
      <c r="A1220" s="25">
        <v>9381</v>
      </c>
      <c r="B1220" s="25" t="s">
        <v>14077</v>
      </c>
      <c r="C1220" s="25" t="s">
        <v>14078</v>
      </c>
      <c r="D1220" s="25" t="s">
        <v>6278</v>
      </c>
      <c r="E1220" s="16" t="s">
        <v>6279</v>
      </c>
      <c r="F1220" s="16" t="s">
        <v>6279</v>
      </c>
      <c r="G1220" s="16" t="s">
        <v>6279</v>
      </c>
      <c r="H1220" s="16" t="s">
        <v>6279</v>
      </c>
      <c r="I1220" s="25" t="s">
        <v>14079</v>
      </c>
      <c r="J1220" s="25"/>
      <c r="K1220" s="25" t="s">
        <v>6281</v>
      </c>
      <c r="L1220" s="26" t="s">
        <v>14080</v>
      </c>
      <c r="M1220" s="26" t="s">
        <v>6295</v>
      </c>
      <c r="N1220" s="27" t="s">
        <v>14081</v>
      </c>
      <c r="O1220" s="26" t="s">
        <v>14082</v>
      </c>
      <c r="P1220" s="20" t="b">
        <v>1</v>
      </c>
      <c r="Q1220" s="20" t="s">
        <v>6282</v>
      </c>
      <c r="R1220" s="28" t="s">
        <v>6283</v>
      </c>
      <c r="S1220" s="25"/>
      <c r="T1220" s="20" t="b">
        <v>1</v>
      </c>
      <c r="U1220" s="25"/>
      <c r="V1220" s="25">
        <v>82.69</v>
      </c>
      <c r="W1220" s="28" t="s">
        <v>14083</v>
      </c>
      <c r="X1220" s="28" t="s">
        <v>6285</v>
      </c>
      <c r="Y1220" s="28" t="s">
        <v>6286</v>
      </c>
      <c r="Z1220" s="28" t="s">
        <v>6287</v>
      </c>
      <c r="AA1220" s="28" t="s">
        <v>6288</v>
      </c>
      <c r="AB1220" s="28" t="s">
        <v>6297</v>
      </c>
    </row>
    <row r="1221" spans="1:28" ht="185.4" x14ac:dyDescent="0.3">
      <c r="A1221" s="25">
        <v>9382</v>
      </c>
      <c r="B1221" s="25" t="s">
        <v>14084</v>
      </c>
      <c r="C1221" s="25" t="s">
        <v>14085</v>
      </c>
      <c r="D1221" s="25" t="s">
        <v>6278</v>
      </c>
      <c r="E1221" s="16" t="s">
        <v>6279</v>
      </c>
      <c r="F1221" s="16" t="s">
        <v>6279</v>
      </c>
      <c r="G1221" s="16" t="s">
        <v>6279</v>
      </c>
      <c r="H1221" s="16" t="s">
        <v>6279</v>
      </c>
      <c r="I1221" s="25" t="s">
        <v>14086</v>
      </c>
      <c r="J1221" s="25"/>
      <c r="K1221" s="25" t="s">
        <v>6281</v>
      </c>
      <c r="L1221" s="26" t="s">
        <v>14087</v>
      </c>
      <c r="M1221" s="26" t="s">
        <v>6295</v>
      </c>
      <c r="N1221" s="27" t="s">
        <v>14081</v>
      </c>
      <c r="O1221" s="26" t="s">
        <v>14082</v>
      </c>
      <c r="P1221" s="20" t="b">
        <v>1</v>
      </c>
      <c r="Q1221" s="20" t="s">
        <v>6282</v>
      </c>
      <c r="R1221" s="28" t="s">
        <v>6283</v>
      </c>
      <c r="S1221" s="25"/>
      <c r="T1221" s="20" t="b">
        <v>1</v>
      </c>
      <c r="U1221" s="25"/>
      <c r="V1221" s="25">
        <v>82.69</v>
      </c>
      <c r="W1221" s="28" t="s">
        <v>14088</v>
      </c>
      <c r="X1221" s="28" t="s">
        <v>6285</v>
      </c>
      <c r="Y1221" s="28" t="s">
        <v>6286</v>
      </c>
      <c r="Z1221" s="28" t="s">
        <v>6287</v>
      </c>
      <c r="AA1221" s="28" t="s">
        <v>6288</v>
      </c>
      <c r="AB1221" s="28" t="s">
        <v>6297</v>
      </c>
    </row>
    <row r="1222" spans="1:28" ht="185.4" x14ac:dyDescent="0.3">
      <c r="A1222" s="25">
        <v>9383</v>
      </c>
      <c r="B1222" s="25" t="s">
        <v>14089</v>
      </c>
      <c r="C1222" s="25" t="s">
        <v>14090</v>
      </c>
      <c r="D1222" s="25" t="s">
        <v>6278</v>
      </c>
      <c r="E1222" s="16" t="s">
        <v>6279</v>
      </c>
      <c r="F1222" s="16" t="s">
        <v>6279</v>
      </c>
      <c r="G1222" s="16" t="s">
        <v>6279</v>
      </c>
      <c r="H1222" s="16" t="s">
        <v>6279</v>
      </c>
      <c r="I1222" s="25" t="s">
        <v>14091</v>
      </c>
      <c r="J1222" s="25"/>
      <c r="K1222" s="25" t="s">
        <v>6281</v>
      </c>
      <c r="L1222" s="26" t="s">
        <v>14092</v>
      </c>
      <c r="M1222" s="26" t="s">
        <v>6295</v>
      </c>
      <c r="N1222" s="27" t="s">
        <v>14081</v>
      </c>
      <c r="O1222" s="26" t="s">
        <v>14082</v>
      </c>
      <c r="P1222" s="20" t="b">
        <v>1</v>
      </c>
      <c r="Q1222" s="20" t="s">
        <v>6282</v>
      </c>
      <c r="R1222" s="28" t="s">
        <v>6283</v>
      </c>
      <c r="S1222" s="25"/>
      <c r="T1222" s="20" t="b">
        <v>1</v>
      </c>
      <c r="U1222" s="25"/>
      <c r="V1222" s="25">
        <v>125.15</v>
      </c>
      <c r="W1222" s="28" t="s">
        <v>14093</v>
      </c>
      <c r="X1222" s="28" t="s">
        <v>6285</v>
      </c>
      <c r="Y1222" s="28" t="s">
        <v>6286</v>
      </c>
      <c r="Z1222" s="28" t="s">
        <v>6287</v>
      </c>
      <c r="AA1222" s="28" t="s">
        <v>6288</v>
      </c>
      <c r="AB1222" s="28" t="s">
        <v>6297</v>
      </c>
    </row>
    <row r="1223" spans="1:28" ht="185.4" x14ac:dyDescent="0.3">
      <c r="A1223" s="25">
        <v>9384</v>
      </c>
      <c r="B1223" s="25" t="s">
        <v>14094</v>
      </c>
      <c r="C1223" s="25" t="s">
        <v>14095</v>
      </c>
      <c r="D1223" s="25" t="s">
        <v>6278</v>
      </c>
      <c r="E1223" s="16" t="s">
        <v>6279</v>
      </c>
      <c r="F1223" s="16" t="s">
        <v>6279</v>
      </c>
      <c r="G1223" s="16" t="s">
        <v>6279</v>
      </c>
      <c r="H1223" s="16" t="s">
        <v>6279</v>
      </c>
      <c r="I1223" s="25" t="s">
        <v>14096</v>
      </c>
      <c r="J1223" s="25"/>
      <c r="K1223" s="25" t="s">
        <v>6281</v>
      </c>
      <c r="L1223" s="26" t="s">
        <v>14097</v>
      </c>
      <c r="M1223" s="26" t="s">
        <v>12690</v>
      </c>
      <c r="N1223" s="27" t="s">
        <v>12691</v>
      </c>
      <c r="O1223" s="26" t="s">
        <v>14098</v>
      </c>
      <c r="P1223" s="20" t="b">
        <v>1</v>
      </c>
      <c r="Q1223" s="20" t="s">
        <v>6282</v>
      </c>
      <c r="R1223" s="28" t="s">
        <v>6283</v>
      </c>
      <c r="S1223" s="25"/>
      <c r="T1223" s="20" t="b">
        <v>1</v>
      </c>
      <c r="U1223" s="25"/>
      <c r="V1223" s="25">
        <v>2367.288</v>
      </c>
      <c r="W1223" s="28" t="s">
        <v>14099</v>
      </c>
      <c r="X1223" s="28" t="s">
        <v>6285</v>
      </c>
      <c r="Y1223" s="28" t="s">
        <v>6286</v>
      </c>
      <c r="Z1223" s="28" t="s">
        <v>6287</v>
      </c>
      <c r="AA1223" s="28" t="s">
        <v>6288</v>
      </c>
      <c r="AB1223" s="28" t="s">
        <v>6297</v>
      </c>
    </row>
    <row r="1224" spans="1:28" ht="185.4" x14ac:dyDescent="0.3">
      <c r="A1224" s="25">
        <v>9385</v>
      </c>
      <c r="B1224" s="25" t="s">
        <v>14100</v>
      </c>
      <c r="C1224" s="25" t="s">
        <v>14101</v>
      </c>
      <c r="D1224" s="25" t="s">
        <v>6278</v>
      </c>
      <c r="E1224" s="16" t="s">
        <v>6279</v>
      </c>
      <c r="F1224" s="16" t="s">
        <v>6279</v>
      </c>
      <c r="G1224" s="16" t="s">
        <v>6279</v>
      </c>
      <c r="H1224" s="16" t="s">
        <v>6279</v>
      </c>
      <c r="I1224" s="25" t="s">
        <v>14102</v>
      </c>
      <c r="J1224" s="25"/>
      <c r="K1224" s="25" t="s">
        <v>6281</v>
      </c>
      <c r="L1224" s="26" t="s">
        <v>14103</v>
      </c>
      <c r="M1224" s="26" t="s">
        <v>6295</v>
      </c>
      <c r="N1224" s="27" t="s">
        <v>14104</v>
      </c>
      <c r="O1224" s="26" t="s">
        <v>6295</v>
      </c>
      <c r="P1224" s="20" t="b">
        <v>1</v>
      </c>
      <c r="Q1224" s="20" t="s">
        <v>6282</v>
      </c>
      <c r="R1224" s="28" t="s">
        <v>6283</v>
      </c>
      <c r="S1224" s="25"/>
      <c r="T1224" s="20" t="b">
        <v>1</v>
      </c>
      <c r="U1224" s="25"/>
      <c r="V1224" s="25">
        <v>668.375</v>
      </c>
      <c r="W1224" s="28" t="s">
        <v>14105</v>
      </c>
      <c r="X1224" s="28" t="s">
        <v>6285</v>
      </c>
      <c r="Y1224" s="28" t="s">
        <v>6286</v>
      </c>
      <c r="Z1224" s="28" t="s">
        <v>6287</v>
      </c>
      <c r="AA1224" s="28" t="s">
        <v>6288</v>
      </c>
      <c r="AB1224" s="28" t="s">
        <v>6297</v>
      </c>
    </row>
    <row r="1225" spans="1:28" ht="185.4" x14ac:dyDescent="0.3">
      <c r="A1225" s="25">
        <v>9386</v>
      </c>
      <c r="B1225" s="25" t="s">
        <v>14106</v>
      </c>
      <c r="C1225" s="25" t="s">
        <v>3549</v>
      </c>
      <c r="D1225" s="25" t="s">
        <v>6291</v>
      </c>
      <c r="E1225" s="16" t="s">
        <v>12826</v>
      </c>
      <c r="F1225" s="16" t="s">
        <v>12826</v>
      </c>
      <c r="G1225" s="16" t="s">
        <v>12826</v>
      </c>
      <c r="H1225" s="16" t="s">
        <v>12826</v>
      </c>
      <c r="I1225" s="25" t="s">
        <v>14107</v>
      </c>
      <c r="J1225" s="25"/>
      <c r="K1225" s="25" t="s">
        <v>6281</v>
      </c>
      <c r="L1225" s="26" t="s">
        <v>14108</v>
      </c>
      <c r="M1225" s="26" t="s">
        <v>14109</v>
      </c>
      <c r="N1225" s="27" t="s">
        <v>14110</v>
      </c>
      <c r="O1225" s="26" t="s">
        <v>14111</v>
      </c>
      <c r="P1225" s="20" t="b">
        <v>1</v>
      </c>
      <c r="Q1225" s="20" t="s">
        <v>6282</v>
      </c>
      <c r="R1225" s="28" t="s">
        <v>6283</v>
      </c>
      <c r="S1225" s="25"/>
      <c r="T1225" s="20" t="b">
        <v>1</v>
      </c>
      <c r="U1225" s="25"/>
      <c r="V1225" s="25">
        <v>3002.15</v>
      </c>
      <c r="W1225" s="28" t="s">
        <v>14112</v>
      </c>
      <c r="X1225" s="28" t="s">
        <v>6285</v>
      </c>
      <c r="Y1225" s="28" t="s">
        <v>6286</v>
      </c>
      <c r="Z1225" s="28" t="s">
        <v>6287</v>
      </c>
      <c r="AA1225" s="28" t="s">
        <v>6288</v>
      </c>
      <c r="AB1225" s="28" t="s">
        <v>6297</v>
      </c>
    </row>
    <row r="1226" spans="1:28" ht="185.4" x14ac:dyDescent="0.3">
      <c r="A1226" s="25">
        <v>9387</v>
      </c>
      <c r="B1226" s="25" t="s">
        <v>14113</v>
      </c>
      <c r="C1226" s="25" t="s">
        <v>14114</v>
      </c>
      <c r="D1226" s="25" t="s">
        <v>6278</v>
      </c>
      <c r="E1226" s="16" t="s">
        <v>6279</v>
      </c>
      <c r="F1226" s="16" t="s">
        <v>6279</v>
      </c>
      <c r="G1226" s="16" t="s">
        <v>6279</v>
      </c>
      <c r="H1226" s="16" t="s">
        <v>6279</v>
      </c>
      <c r="I1226" s="25" t="s">
        <v>14115</v>
      </c>
      <c r="J1226" s="25"/>
      <c r="K1226" s="25" t="s">
        <v>6281</v>
      </c>
      <c r="L1226" s="26" t="s">
        <v>14116</v>
      </c>
      <c r="M1226" s="26" t="s">
        <v>6295</v>
      </c>
      <c r="N1226" s="27" t="s">
        <v>14117</v>
      </c>
      <c r="O1226" s="26" t="s">
        <v>6295</v>
      </c>
      <c r="P1226" s="20" t="b">
        <v>1</v>
      </c>
      <c r="Q1226" s="20" t="s">
        <v>6282</v>
      </c>
      <c r="R1226" s="28" t="s">
        <v>6283</v>
      </c>
      <c r="S1226" s="25"/>
      <c r="T1226" s="20" t="b">
        <v>1</v>
      </c>
      <c r="U1226" s="25"/>
      <c r="V1226" s="25">
        <v>2821.3240000000001</v>
      </c>
      <c r="W1226" s="28" t="s">
        <v>14118</v>
      </c>
      <c r="X1226" s="28" t="s">
        <v>6285</v>
      </c>
      <c r="Y1226" s="28" t="s">
        <v>6286</v>
      </c>
      <c r="Z1226" s="28" t="s">
        <v>6287</v>
      </c>
      <c r="AA1226" s="28" t="s">
        <v>6288</v>
      </c>
      <c r="AB1226" s="28" t="s">
        <v>6297</v>
      </c>
    </row>
    <row r="1227" spans="1:28" ht="185.4" x14ac:dyDescent="0.3">
      <c r="A1227" s="25">
        <v>9388</v>
      </c>
      <c r="B1227" s="25" t="s">
        <v>14119</v>
      </c>
      <c r="C1227" s="25" t="s">
        <v>14120</v>
      </c>
      <c r="D1227" s="25" t="s">
        <v>6278</v>
      </c>
      <c r="E1227" s="16" t="s">
        <v>6279</v>
      </c>
      <c r="F1227" s="16" t="s">
        <v>6279</v>
      </c>
      <c r="G1227" s="16" t="s">
        <v>6279</v>
      </c>
      <c r="H1227" s="16" t="s">
        <v>6279</v>
      </c>
      <c r="I1227" s="25" t="s">
        <v>14121</v>
      </c>
      <c r="J1227" s="25"/>
      <c r="K1227" s="25" t="s">
        <v>6281</v>
      </c>
      <c r="L1227" s="26" t="s">
        <v>14116</v>
      </c>
      <c r="M1227" s="26" t="s">
        <v>6295</v>
      </c>
      <c r="N1227" s="27" t="s">
        <v>14117</v>
      </c>
      <c r="O1227" s="26" t="s">
        <v>6295</v>
      </c>
      <c r="P1227" s="20" t="b">
        <v>1</v>
      </c>
      <c r="Q1227" s="20" t="s">
        <v>6282</v>
      </c>
      <c r="R1227" s="28" t="s">
        <v>6283</v>
      </c>
      <c r="S1227" s="25"/>
      <c r="T1227" s="20" t="b">
        <v>1</v>
      </c>
      <c r="U1227" s="25"/>
      <c r="V1227" s="25">
        <v>1796.2449999999999</v>
      </c>
      <c r="W1227" s="28" t="s">
        <v>14122</v>
      </c>
      <c r="X1227" s="28" t="s">
        <v>6285</v>
      </c>
      <c r="Y1227" s="28" t="s">
        <v>6286</v>
      </c>
      <c r="Z1227" s="28" t="s">
        <v>6287</v>
      </c>
      <c r="AA1227" s="28" t="s">
        <v>6288</v>
      </c>
      <c r="AB1227" s="28" t="s">
        <v>6297</v>
      </c>
    </row>
    <row r="1228" spans="1:28" ht="185.4" x14ac:dyDescent="0.3">
      <c r="A1228" s="25">
        <v>9389</v>
      </c>
      <c r="B1228" s="25" t="s">
        <v>14123</v>
      </c>
      <c r="C1228" s="25" t="s">
        <v>14124</v>
      </c>
      <c r="D1228" s="25" t="s">
        <v>6278</v>
      </c>
      <c r="E1228" s="16" t="s">
        <v>6279</v>
      </c>
      <c r="F1228" s="16" t="s">
        <v>6279</v>
      </c>
      <c r="G1228" s="16" t="s">
        <v>6279</v>
      </c>
      <c r="H1228" s="16" t="s">
        <v>6279</v>
      </c>
      <c r="I1228" s="25" t="s">
        <v>14125</v>
      </c>
      <c r="J1228" s="25"/>
      <c r="K1228" s="25" t="s">
        <v>6281</v>
      </c>
      <c r="L1228" s="26" t="s">
        <v>14116</v>
      </c>
      <c r="M1228" s="26" t="s">
        <v>6295</v>
      </c>
      <c r="N1228" s="27" t="s">
        <v>14117</v>
      </c>
      <c r="O1228" s="26" t="s">
        <v>6295</v>
      </c>
      <c r="P1228" s="20" t="b">
        <v>1</v>
      </c>
      <c r="Q1228" s="20" t="s">
        <v>6282</v>
      </c>
      <c r="R1228" s="28" t="s">
        <v>6283</v>
      </c>
      <c r="S1228" s="25"/>
      <c r="T1228" s="20" t="b">
        <v>1</v>
      </c>
      <c r="U1228" s="25"/>
      <c r="V1228" s="25">
        <v>10048.17</v>
      </c>
      <c r="W1228" s="28" t="s">
        <v>14126</v>
      </c>
      <c r="X1228" s="28" t="s">
        <v>6285</v>
      </c>
      <c r="Y1228" s="28" t="s">
        <v>6286</v>
      </c>
      <c r="Z1228" s="28" t="s">
        <v>6287</v>
      </c>
      <c r="AA1228" s="28" t="s">
        <v>6288</v>
      </c>
      <c r="AB1228" s="28" t="s">
        <v>6297</v>
      </c>
    </row>
    <row r="1229" spans="1:28" ht="185.4" x14ac:dyDescent="0.3">
      <c r="A1229" s="25">
        <v>9390</v>
      </c>
      <c r="B1229" s="25" t="s">
        <v>14127</v>
      </c>
      <c r="C1229" s="25" t="s">
        <v>14128</v>
      </c>
      <c r="D1229" s="25" t="s">
        <v>6278</v>
      </c>
      <c r="E1229" s="16" t="s">
        <v>6279</v>
      </c>
      <c r="F1229" s="16" t="s">
        <v>6279</v>
      </c>
      <c r="G1229" s="16" t="s">
        <v>6279</v>
      </c>
      <c r="H1229" s="16" t="s">
        <v>6279</v>
      </c>
      <c r="I1229" s="25" t="s">
        <v>14129</v>
      </c>
      <c r="J1229" s="25"/>
      <c r="K1229" s="25" t="s">
        <v>6281</v>
      </c>
      <c r="L1229" s="26" t="s">
        <v>14130</v>
      </c>
      <c r="M1229" s="26" t="s">
        <v>6295</v>
      </c>
      <c r="N1229" s="27" t="s">
        <v>14117</v>
      </c>
      <c r="O1229" s="26" t="s">
        <v>6295</v>
      </c>
      <c r="P1229" s="20" t="b">
        <v>1</v>
      </c>
      <c r="Q1229" s="20" t="s">
        <v>6282</v>
      </c>
      <c r="R1229" s="28" t="s">
        <v>6283</v>
      </c>
      <c r="S1229" s="25"/>
      <c r="T1229" s="20" t="b">
        <v>1</v>
      </c>
      <c r="U1229" s="25"/>
      <c r="V1229" s="25">
        <v>5454.4269999999997</v>
      </c>
      <c r="W1229" s="28" t="s">
        <v>14131</v>
      </c>
      <c r="X1229" s="28" t="s">
        <v>6285</v>
      </c>
      <c r="Y1229" s="28" t="s">
        <v>6286</v>
      </c>
      <c r="Z1229" s="28" t="s">
        <v>6287</v>
      </c>
      <c r="AA1229" s="28" t="s">
        <v>6288</v>
      </c>
      <c r="AB1229" s="28" t="s">
        <v>6297</v>
      </c>
    </row>
    <row r="1230" spans="1:28" ht="185.4" x14ac:dyDescent="0.3">
      <c r="A1230" s="25">
        <v>9391</v>
      </c>
      <c r="B1230" s="25" t="s">
        <v>14132</v>
      </c>
      <c r="C1230" s="25" t="s">
        <v>14133</v>
      </c>
      <c r="D1230" s="25" t="s">
        <v>6278</v>
      </c>
      <c r="E1230" s="16" t="s">
        <v>6279</v>
      </c>
      <c r="F1230" s="16" t="s">
        <v>6279</v>
      </c>
      <c r="G1230" s="16" t="s">
        <v>6279</v>
      </c>
      <c r="H1230" s="16" t="s">
        <v>6279</v>
      </c>
      <c r="I1230" s="25" t="s">
        <v>14134</v>
      </c>
      <c r="J1230" s="25"/>
      <c r="K1230" s="25" t="s">
        <v>6281</v>
      </c>
      <c r="L1230" s="26" t="s">
        <v>14135</v>
      </c>
      <c r="M1230" s="26" t="s">
        <v>14136</v>
      </c>
      <c r="N1230" s="27" t="s">
        <v>14137</v>
      </c>
      <c r="O1230" s="26" t="s">
        <v>6295</v>
      </c>
      <c r="P1230" s="20" t="b">
        <v>1</v>
      </c>
      <c r="Q1230" s="20" t="s">
        <v>6282</v>
      </c>
      <c r="R1230" s="28" t="s">
        <v>6283</v>
      </c>
      <c r="S1230" s="25"/>
      <c r="T1230" s="20" t="b">
        <v>1</v>
      </c>
      <c r="U1230" s="25"/>
      <c r="V1230" s="25">
        <v>866.76</v>
      </c>
      <c r="W1230" s="28" t="s">
        <v>14138</v>
      </c>
      <c r="X1230" s="28" t="s">
        <v>6285</v>
      </c>
      <c r="Y1230" s="28" t="s">
        <v>6286</v>
      </c>
      <c r="Z1230" s="28" t="s">
        <v>6287</v>
      </c>
      <c r="AA1230" s="28" t="s">
        <v>6288</v>
      </c>
      <c r="AB1230" s="28" t="s">
        <v>6297</v>
      </c>
    </row>
    <row r="1231" spans="1:28" ht="185.4" x14ac:dyDescent="0.3">
      <c r="A1231" s="25">
        <v>9392</v>
      </c>
      <c r="B1231" s="25" t="s">
        <v>14139</v>
      </c>
      <c r="C1231" s="25" t="s">
        <v>14140</v>
      </c>
      <c r="D1231" s="25" t="s">
        <v>6291</v>
      </c>
      <c r="E1231" s="16" t="s">
        <v>6786</v>
      </c>
      <c r="F1231" s="16" t="s">
        <v>6786</v>
      </c>
      <c r="G1231" s="16" t="s">
        <v>6786</v>
      </c>
      <c r="H1231" s="16" t="s">
        <v>6786</v>
      </c>
      <c r="I1231" s="25" t="s">
        <v>14141</v>
      </c>
      <c r="J1231" s="25"/>
      <c r="K1231" s="25" t="s">
        <v>6281</v>
      </c>
      <c r="L1231" s="26" t="s">
        <v>14142</v>
      </c>
      <c r="M1231" s="26" t="s">
        <v>10263</v>
      </c>
      <c r="N1231" s="27" t="s">
        <v>14143</v>
      </c>
      <c r="O1231" s="26" t="s">
        <v>6295</v>
      </c>
      <c r="P1231" s="20" t="b">
        <v>1</v>
      </c>
      <c r="Q1231" s="20" t="s">
        <v>6282</v>
      </c>
      <c r="R1231" s="28" t="s">
        <v>6283</v>
      </c>
      <c r="S1231" s="25"/>
      <c r="T1231" s="20" t="b">
        <v>1</v>
      </c>
      <c r="U1231" s="25"/>
      <c r="V1231" s="25">
        <v>6.7679999999999998</v>
      </c>
      <c r="W1231" s="28" t="s">
        <v>14144</v>
      </c>
      <c r="X1231" s="28" t="s">
        <v>6285</v>
      </c>
      <c r="Y1231" s="28" t="s">
        <v>6286</v>
      </c>
      <c r="Z1231" s="28" t="s">
        <v>6287</v>
      </c>
      <c r="AA1231" s="28" t="s">
        <v>6288</v>
      </c>
      <c r="AB1231" s="28" t="s">
        <v>6297</v>
      </c>
    </row>
    <row r="1232" spans="1:28" ht="185.4" x14ac:dyDescent="0.3">
      <c r="A1232" s="25">
        <v>9393</v>
      </c>
      <c r="B1232" s="25" t="s">
        <v>14145</v>
      </c>
      <c r="C1232" s="25" t="s">
        <v>14146</v>
      </c>
      <c r="D1232" s="25" t="s">
        <v>6278</v>
      </c>
      <c r="E1232" s="16" t="s">
        <v>6279</v>
      </c>
      <c r="F1232" s="16" t="s">
        <v>6279</v>
      </c>
      <c r="G1232" s="16" t="s">
        <v>6279</v>
      </c>
      <c r="H1232" s="16" t="s">
        <v>6279</v>
      </c>
      <c r="I1232" s="25" t="s">
        <v>14147</v>
      </c>
      <c r="J1232" s="25"/>
      <c r="K1232" s="25" t="s">
        <v>6281</v>
      </c>
      <c r="L1232" s="26" t="s">
        <v>14148</v>
      </c>
      <c r="M1232" s="26" t="s">
        <v>6295</v>
      </c>
      <c r="N1232" s="27" t="s">
        <v>14149</v>
      </c>
      <c r="O1232" s="26" t="s">
        <v>6295</v>
      </c>
      <c r="P1232" s="20" t="b">
        <v>1</v>
      </c>
      <c r="Q1232" s="20" t="s">
        <v>6282</v>
      </c>
      <c r="R1232" s="28" t="s">
        <v>6283</v>
      </c>
      <c r="S1232" s="25"/>
      <c r="T1232" s="20" t="b">
        <v>1</v>
      </c>
      <c r="U1232" s="25"/>
      <c r="V1232" s="25">
        <v>353.78800000000001</v>
      </c>
      <c r="W1232" s="28" t="s">
        <v>14150</v>
      </c>
      <c r="X1232" s="28" t="s">
        <v>6285</v>
      </c>
      <c r="Y1232" s="28" t="s">
        <v>6286</v>
      </c>
      <c r="Z1232" s="28" t="s">
        <v>6287</v>
      </c>
      <c r="AA1232" s="28" t="s">
        <v>6288</v>
      </c>
      <c r="AB1232" s="28" t="s">
        <v>6297</v>
      </c>
    </row>
    <row r="1233" spans="1:28" ht="185.4" x14ac:dyDescent="0.3">
      <c r="A1233" s="25">
        <v>9394</v>
      </c>
      <c r="B1233" s="25" t="s">
        <v>14151</v>
      </c>
      <c r="C1233" s="25" t="s">
        <v>14152</v>
      </c>
      <c r="D1233" s="25" t="s">
        <v>6291</v>
      </c>
      <c r="E1233" s="16" t="s">
        <v>6292</v>
      </c>
      <c r="F1233" s="16" t="s">
        <v>6292</v>
      </c>
      <c r="G1233" s="16" t="s">
        <v>6292</v>
      </c>
      <c r="H1233" s="16" t="s">
        <v>6292</v>
      </c>
      <c r="I1233" s="25" t="s">
        <v>14153</v>
      </c>
      <c r="J1233" s="25"/>
      <c r="K1233" s="25" t="s">
        <v>6281</v>
      </c>
      <c r="L1233" s="26" t="s">
        <v>14154</v>
      </c>
      <c r="M1233" s="26" t="s">
        <v>6295</v>
      </c>
      <c r="N1233" s="27" t="s">
        <v>14155</v>
      </c>
      <c r="O1233" s="26" t="s">
        <v>6295</v>
      </c>
      <c r="P1233" s="20" t="b">
        <v>1</v>
      </c>
      <c r="Q1233" s="20" t="s">
        <v>6282</v>
      </c>
      <c r="R1233" s="28" t="s">
        <v>6283</v>
      </c>
      <c r="S1233" s="25"/>
      <c r="T1233" s="20" t="b">
        <v>1</v>
      </c>
      <c r="U1233" s="25"/>
      <c r="V1233" s="25">
        <v>750.55200000000002</v>
      </c>
      <c r="W1233" s="28" t="s">
        <v>14156</v>
      </c>
      <c r="X1233" s="28" t="s">
        <v>6285</v>
      </c>
      <c r="Y1233" s="28" t="s">
        <v>6286</v>
      </c>
      <c r="Z1233" s="28" t="s">
        <v>6287</v>
      </c>
      <c r="AA1233" s="28" t="s">
        <v>6288</v>
      </c>
      <c r="AB1233" s="28" t="s">
        <v>6297</v>
      </c>
    </row>
    <row r="1234" spans="1:28" ht="185.4" x14ac:dyDescent="0.3">
      <c r="A1234" s="25">
        <v>9395</v>
      </c>
      <c r="B1234" s="25" t="s">
        <v>14157</v>
      </c>
      <c r="C1234" s="25" t="s">
        <v>14158</v>
      </c>
      <c r="D1234" s="25" t="s">
        <v>6291</v>
      </c>
      <c r="E1234" s="16" t="s">
        <v>6292</v>
      </c>
      <c r="F1234" s="16" t="s">
        <v>6292</v>
      </c>
      <c r="G1234" s="16" t="s">
        <v>6292</v>
      </c>
      <c r="H1234" s="16" t="s">
        <v>6292</v>
      </c>
      <c r="I1234" s="25" t="s">
        <v>14159</v>
      </c>
      <c r="J1234" s="25"/>
      <c r="K1234" s="25" t="s">
        <v>6281</v>
      </c>
      <c r="L1234" s="26" t="s">
        <v>14160</v>
      </c>
      <c r="M1234" s="26" t="s">
        <v>6295</v>
      </c>
      <c r="N1234" s="27" t="s">
        <v>14161</v>
      </c>
      <c r="O1234" s="26" t="s">
        <v>6295</v>
      </c>
      <c r="P1234" s="20" t="b">
        <v>1</v>
      </c>
      <c r="Q1234" s="20" t="s">
        <v>6282</v>
      </c>
      <c r="R1234" s="28" t="s">
        <v>6283</v>
      </c>
      <c r="S1234" s="25"/>
      <c r="T1234" s="20" t="b">
        <v>1</v>
      </c>
      <c r="U1234" s="25"/>
      <c r="V1234" s="25">
        <v>409.98099999999999</v>
      </c>
      <c r="W1234" s="28" t="s">
        <v>14162</v>
      </c>
      <c r="X1234" s="28" t="s">
        <v>6285</v>
      </c>
      <c r="Y1234" s="28" t="s">
        <v>6286</v>
      </c>
      <c r="Z1234" s="28" t="s">
        <v>6287</v>
      </c>
      <c r="AA1234" s="28" t="s">
        <v>6288</v>
      </c>
      <c r="AB1234" s="28" t="s">
        <v>6297</v>
      </c>
    </row>
    <row r="1235" spans="1:28" ht="185.4" x14ac:dyDescent="0.3">
      <c r="A1235" s="25">
        <v>9396</v>
      </c>
      <c r="B1235" s="25" t="s">
        <v>14163</v>
      </c>
      <c r="C1235" s="25" t="s">
        <v>7556</v>
      </c>
      <c r="D1235" s="25" t="s">
        <v>6291</v>
      </c>
      <c r="E1235" s="16" t="s">
        <v>6786</v>
      </c>
      <c r="F1235" s="16" t="s">
        <v>6786</v>
      </c>
      <c r="G1235" s="16" t="s">
        <v>6786</v>
      </c>
      <c r="H1235" s="16" t="s">
        <v>6786</v>
      </c>
      <c r="I1235" s="25" t="s">
        <v>14164</v>
      </c>
      <c r="J1235" s="25"/>
      <c r="K1235" s="25" t="s">
        <v>6281</v>
      </c>
      <c r="L1235" s="26" t="s">
        <v>14165</v>
      </c>
      <c r="M1235" s="26" t="s">
        <v>14166</v>
      </c>
      <c r="N1235" s="27" t="s">
        <v>14167</v>
      </c>
      <c r="O1235" s="26" t="s">
        <v>6295</v>
      </c>
      <c r="P1235" s="20" t="b">
        <v>1</v>
      </c>
      <c r="Q1235" s="20" t="s">
        <v>6282</v>
      </c>
      <c r="R1235" s="28" t="s">
        <v>6283</v>
      </c>
      <c r="S1235" s="25"/>
      <c r="T1235" s="20" t="b">
        <v>1</v>
      </c>
      <c r="U1235" s="25"/>
      <c r="V1235" s="25">
        <v>10.935600000000001</v>
      </c>
      <c r="W1235" s="28" t="s">
        <v>14168</v>
      </c>
      <c r="X1235" s="28" t="s">
        <v>6285</v>
      </c>
      <c r="Y1235" s="28" t="s">
        <v>6286</v>
      </c>
      <c r="Z1235" s="28" t="s">
        <v>6287</v>
      </c>
      <c r="AA1235" s="28" t="s">
        <v>6288</v>
      </c>
      <c r="AB1235" s="28" t="s">
        <v>6297</v>
      </c>
    </row>
    <row r="1236" spans="1:28" ht="185.4" x14ac:dyDescent="0.3">
      <c r="A1236" s="25">
        <v>9397</v>
      </c>
      <c r="B1236" s="25" t="s">
        <v>11744</v>
      </c>
      <c r="C1236" s="25" t="s">
        <v>6295</v>
      </c>
      <c r="D1236" s="25" t="s">
        <v>6291</v>
      </c>
      <c r="E1236" s="16" t="s">
        <v>6786</v>
      </c>
      <c r="F1236" s="16" t="s">
        <v>6786</v>
      </c>
      <c r="G1236" s="16" t="s">
        <v>6786</v>
      </c>
      <c r="H1236" s="16" t="s">
        <v>6786</v>
      </c>
      <c r="I1236" s="25" t="s">
        <v>6295</v>
      </c>
      <c r="J1236" s="25"/>
      <c r="K1236" s="25" t="s">
        <v>6281</v>
      </c>
      <c r="L1236" s="26" t="s">
        <v>13699</v>
      </c>
      <c r="M1236" s="26" t="s">
        <v>6295</v>
      </c>
      <c r="N1236" s="27" t="s">
        <v>13671</v>
      </c>
      <c r="O1236" s="26" t="s">
        <v>6295</v>
      </c>
      <c r="P1236" s="20" t="b">
        <v>1</v>
      </c>
      <c r="Q1236" s="20" t="s">
        <v>6282</v>
      </c>
      <c r="R1236" s="28" t="s">
        <v>6283</v>
      </c>
      <c r="S1236" s="25"/>
      <c r="T1236" s="20" t="b">
        <v>1</v>
      </c>
      <c r="U1236" s="25"/>
      <c r="V1236" s="25">
        <v>6633.19</v>
      </c>
      <c r="W1236" s="28" t="s">
        <v>14169</v>
      </c>
      <c r="X1236" s="28" t="s">
        <v>6285</v>
      </c>
      <c r="Y1236" s="28" t="s">
        <v>6286</v>
      </c>
      <c r="Z1236" s="28" t="s">
        <v>6287</v>
      </c>
      <c r="AA1236" s="28" t="s">
        <v>6288</v>
      </c>
      <c r="AB1236" s="28" t="s">
        <v>6297</v>
      </c>
    </row>
    <row r="1237" spans="1:28" ht="179.4" x14ac:dyDescent="0.3">
      <c r="A1237" s="25">
        <v>9398</v>
      </c>
      <c r="B1237" s="25" t="s">
        <v>10786</v>
      </c>
      <c r="C1237" s="25" t="s">
        <v>6295</v>
      </c>
      <c r="D1237" s="25" t="s">
        <v>6278</v>
      </c>
      <c r="E1237" s="16" t="s">
        <v>6279</v>
      </c>
      <c r="F1237" s="16" t="s">
        <v>6279</v>
      </c>
      <c r="G1237" s="16" t="s">
        <v>6279</v>
      </c>
      <c r="H1237" s="16" t="s">
        <v>6279</v>
      </c>
      <c r="I1237" s="25" t="s">
        <v>10788</v>
      </c>
      <c r="J1237" s="25"/>
      <c r="K1237" s="25" t="s">
        <v>6281</v>
      </c>
      <c r="L1237" s="26" t="e">
        <v>#REF!</v>
      </c>
      <c r="M1237" s="26" t="s">
        <v>6295</v>
      </c>
      <c r="N1237" s="27" t="s">
        <v>14170</v>
      </c>
      <c r="O1237" s="26" t="s">
        <v>6295</v>
      </c>
      <c r="P1237" s="20" t="b">
        <v>1</v>
      </c>
      <c r="Q1237" s="20" t="s">
        <v>6282</v>
      </c>
      <c r="R1237" s="28" t="s">
        <v>6283</v>
      </c>
      <c r="S1237" s="25"/>
      <c r="T1237" s="20" t="b">
        <v>1</v>
      </c>
      <c r="U1237" s="25"/>
      <c r="V1237" s="25">
        <v>27.692</v>
      </c>
      <c r="W1237" s="28" t="s">
        <v>14171</v>
      </c>
      <c r="X1237" s="28" t="s">
        <v>6285</v>
      </c>
      <c r="Y1237" s="28" t="s">
        <v>6286</v>
      </c>
      <c r="Z1237" s="28" t="s">
        <v>6287</v>
      </c>
      <c r="AA1237" s="28" t="s">
        <v>6288</v>
      </c>
      <c r="AB1237" s="28" t="s">
        <v>6297</v>
      </c>
    </row>
    <row r="1238" spans="1:28" ht="185.4" x14ac:dyDescent="0.3">
      <c r="A1238" s="25">
        <v>9400</v>
      </c>
      <c r="B1238" s="25" t="s">
        <v>14172</v>
      </c>
      <c r="C1238" s="25" t="s">
        <v>14173</v>
      </c>
      <c r="D1238" s="25" t="s">
        <v>6291</v>
      </c>
      <c r="E1238" s="16" t="s">
        <v>6292</v>
      </c>
      <c r="F1238" s="16" t="s">
        <v>6292</v>
      </c>
      <c r="G1238" s="16" t="s">
        <v>6292</v>
      </c>
      <c r="H1238" s="16" t="s">
        <v>6292</v>
      </c>
      <c r="I1238" s="25" t="s">
        <v>14174</v>
      </c>
      <c r="J1238" s="25"/>
      <c r="K1238" s="25" t="s">
        <v>6281</v>
      </c>
      <c r="L1238" s="26" t="s">
        <v>14175</v>
      </c>
      <c r="M1238" s="26" t="s">
        <v>6295</v>
      </c>
      <c r="N1238" s="27" t="s">
        <v>14176</v>
      </c>
      <c r="O1238" s="26" t="s">
        <v>14177</v>
      </c>
      <c r="P1238" s="20" t="b">
        <v>1</v>
      </c>
      <c r="Q1238" s="20" t="s">
        <v>6282</v>
      </c>
      <c r="R1238" s="28" t="s">
        <v>6283</v>
      </c>
      <c r="S1238" s="25"/>
      <c r="T1238" s="20" t="b">
        <v>1</v>
      </c>
      <c r="U1238" s="25"/>
      <c r="V1238" s="25">
        <v>724.17</v>
      </c>
      <c r="W1238" s="28" t="s">
        <v>14178</v>
      </c>
      <c r="X1238" s="28" t="s">
        <v>6285</v>
      </c>
      <c r="Y1238" s="28" t="s">
        <v>6286</v>
      </c>
      <c r="Z1238" s="28" t="s">
        <v>6287</v>
      </c>
      <c r="AA1238" s="28" t="s">
        <v>6288</v>
      </c>
      <c r="AB1238" s="28" t="s">
        <v>6297</v>
      </c>
    </row>
    <row r="1239" spans="1:28" ht="185.4" x14ac:dyDescent="0.3">
      <c r="A1239" s="25">
        <v>9401</v>
      </c>
      <c r="B1239" s="25" t="s">
        <v>14179</v>
      </c>
      <c r="C1239" s="25" t="s">
        <v>14180</v>
      </c>
      <c r="D1239" s="25" t="s">
        <v>6278</v>
      </c>
      <c r="E1239" s="16" t="s">
        <v>6279</v>
      </c>
      <c r="F1239" s="16" t="s">
        <v>6279</v>
      </c>
      <c r="G1239" s="16" t="s">
        <v>6279</v>
      </c>
      <c r="H1239" s="16" t="s">
        <v>6279</v>
      </c>
      <c r="I1239" s="25" t="s">
        <v>14181</v>
      </c>
      <c r="J1239" s="25"/>
      <c r="K1239" s="25" t="s">
        <v>6281</v>
      </c>
      <c r="L1239" s="26" t="s">
        <v>14182</v>
      </c>
      <c r="M1239" s="26" t="s">
        <v>6295</v>
      </c>
      <c r="N1239" s="27" t="s">
        <v>14183</v>
      </c>
      <c r="O1239" s="26" t="s">
        <v>6295</v>
      </c>
      <c r="P1239" s="20" t="b">
        <v>1</v>
      </c>
      <c r="Q1239" s="20" t="s">
        <v>6282</v>
      </c>
      <c r="R1239" s="28" t="s">
        <v>6283</v>
      </c>
      <c r="S1239" s="25"/>
      <c r="T1239" s="20" t="b">
        <v>1</v>
      </c>
      <c r="U1239" s="25"/>
      <c r="V1239" s="25">
        <v>2763.5410000000002</v>
      </c>
      <c r="W1239" s="28" t="s">
        <v>14184</v>
      </c>
      <c r="X1239" s="28" t="s">
        <v>6285</v>
      </c>
      <c r="Y1239" s="28" t="s">
        <v>6286</v>
      </c>
      <c r="Z1239" s="28" t="s">
        <v>6287</v>
      </c>
      <c r="AA1239" s="28" t="s">
        <v>6288</v>
      </c>
      <c r="AB1239" s="28" t="s">
        <v>6297</v>
      </c>
    </row>
    <row r="1240" spans="1:28" ht="185.4" x14ac:dyDescent="0.3">
      <c r="A1240" s="25">
        <v>9402</v>
      </c>
      <c r="B1240" s="25" t="s">
        <v>11744</v>
      </c>
      <c r="C1240" s="25" t="s">
        <v>6295</v>
      </c>
      <c r="D1240" s="25" t="s">
        <v>6278</v>
      </c>
      <c r="E1240" s="16" t="s">
        <v>6279</v>
      </c>
      <c r="F1240" s="16" t="s">
        <v>6279</v>
      </c>
      <c r="G1240" s="16" t="s">
        <v>6279</v>
      </c>
      <c r="H1240" s="16" t="s">
        <v>6279</v>
      </c>
      <c r="I1240" s="25" t="s">
        <v>6295</v>
      </c>
      <c r="J1240" s="25"/>
      <c r="K1240" s="25" t="s">
        <v>6281</v>
      </c>
      <c r="L1240" s="26" t="s">
        <v>13699</v>
      </c>
      <c r="M1240" s="26" t="s">
        <v>6295</v>
      </c>
      <c r="N1240" s="27" t="s">
        <v>13671</v>
      </c>
      <c r="O1240" s="26" t="s">
        <v>6295</v>
      </c>
      <c r="P1240" s="20" t="b">
        <v>1</v>
      </c>
      <c r="Q1240" s="20" t="s">
        <v>6282</v>
      </c>
      <c r="R1240" s="28" t="s">
        <v>6283</v>
      </c>
      <c r="S1240" s="25"/>
      <c r="T1240" s="20" t="b">
        <v>1</v>
      </c>
      <c r="U1240" s="25"/>
      <c r="V1240" s="25">
        <v>123.937</v>
      </c>
      <c r="W1240" s="28" t="s">
        <v>14185</v>
      </c>
      <c r="X1240" s="28" t="s">
        <v>6285</v>
      </c>
      <c r="Y1240" s="28" t="s">
        <v>6286</v>
      </c>
      <c r="Z1240" s="28" t="s">
        <v>6287</v>
      </c>
      <c r="AA1240" s="28" t="s">
        <v>6288</v>
      </c>
      <c r="AB1240" s="28" t="s">
        <v>6297</v>
      </c>
    </row>
    <row r="1241" spans="1:28" ht="185.4" x14ac:dyDescent="0.3">
      <c r="A1241" s="25">
        <v>9403</v>
      </c>
      <c r="B1241" s="25" t="s">
        <v>11744</v>
      </c>
      <c r="C1241" s="25" t="s">
        <v>14186</v>
      </c>
      <c r="D1241" s="25" t="s">
        <v>6291</v>
      </c>
      <c r="E1241" s="16" t="s">
        <v>6786</v>
      </c>
      <c r="F1241" s="16" t="s">
        <v>6786</v>
      </c>
      <c r="G1241" s="16" t="s">
        <v>6786</v>
      </c>
      <c r="H1241" s="16" t="s">
        <v>6786</v>
      </c>
      <c r="I1241" s="25" t="s">
        <v>6295</v>
      </c>
      <c r="J1241" s="25"/>
      <c r="K1241" s="25" t="s">
        <v>6281</v>
      </c>
      <c r="L1241" s="26" t="s">
        <v>14187</v>
      </c>
      <c r="M1241" s="26" t="s">
        <v>6295</v>
      </c>
      <c r="N1241" s="27" t="s">
        <v>13671</v>
      </c>
      <c r="O1241" s="26" t="s">
        <v>6295</v>
      </c>
      <c r="P1241" s="20" t="b">
        <v>1</v>
      </c>
      <c r="Q1241" s="20" t="s">
        <v>6282</v>
      </c>
      <c r="R1241" s="28" t="s">
        <v>6283</v>
      </c>
      <c r="S1241" s="25"/>
      <c r="T1241" s="20" t="b">
        <v>1</v>
      </c>
      <c r="U1241" s="25"/>
      <c r="V1241" s="25">
        <v>31.585999999999999</v>
      </c>
      <c r="W1241" s="28" t="s">
        <v>14188</v>
      </c>
      <c r="X1241" s="28" t="s">
        <v>6285</v>
      </c>
      <c r="Y1241" s="28" t="s">
        <v>6286</v>
      </c>
      <c r="Z1241" s="28" t="s">
        <v>6287</v>
      </c>
      <c r="AA1241" s="28" t="s">
        <v>6288</v>
      </c>
      <c r="AB1241" s="28" t="s">
        <v>6297</v>
      </c>
    </row>
    <row r="1242" spans="1:28" ht="179.4" x14ac:dyDescent="0.3">
      <c r="A1242" s="25">
        <v>9404</v>
      </c>
      <c r="B1242" s="25" t="s">
        <v>11744</v>
      </c>
      <c r="C1242" s="25" t="s">
        <v>14189</v>
      </c>
      <c r="D1242" s="25" t="s">
        <v>6291</v>
      </c>
      <c r="E1242" s="16" t="s">
        <v>6786</v>
      </c>
      <c r="F1242" s="16" t="s">
        <v>6786</v>
      </c>
      <c r="G1242" s="16" t="s">
        <v>6786</v>
      </c>
      <c r="H1242" s="16" t="s">
        <v>6786</v>
      </c>
      <c r="I1242" s="25" t="s">
        <v>6295</v>
      </c>
      <c r="J1242" s="25"/>
      <c r="K1242" s="25" t="s">
        <v>6281</v>
      </c>
      <c r="L1242" s="26" t="e">
        <v>#REF!</v>
      </c>
      <c r="M1242" s="26" t="s">
        <v>6295</v>
      </c>
      <c r="N1242" s="27" t="s">
        <v>13671</v>
      </c>
      <c r="O1242" s="26" t="s">
        <v>6295</v>
      </c>
      <c r="P1242" s="20" t="b">
        <v>1</v>
      </c>
      <c r="Q1242" s="20" t="s">
        <v>6282</v>
      </c>
      <c r="R1242" s="28" t="s">
        <v>6283</v>
      </c>
      <c r="S1242" s="25"/>
      <c r="T1242" s="20" t="b">
        <v>1</v>
      </c>
      <c r="U1242" s="25"/>
      <c r="V1242" s="25">
        <v>30.838999999999999</v>
      </c>
      <c r="W1242" s="28" t="s">
        <v>14190</v>
      </c>
      <c r="X1242" s="28" t="s">
        <v>6285</v>
      </c>
      <c r="Y1242" s="28" t="s">
        <v>6286</v>
      </c>
      <c r="Z1242" s="28" t="s">
        <v>6287</v>
      </c>
      <c r="AA1242" s="28" t="s">
        <v>6288</v>
      </c>
      <c r="AB1242" s="28" t="s">
        <v>6297</v>
      </c>
    </row>
    <row r="1243" spans="1:28" ht="185.4" x14ac:dyDescent="0.3">
      <c r="A1243" s="25">
        <v>9405</v>
      </c>
      <c r="B1243" s="25" t="s">
        <v>11744</v>
      </c>
      <c r="C1243" s="25" t="s">
        <v>14191</v>
      </c>
      <c r="D1243" s="25" t="s">
        <v>6291</v>
      </c>
      <c r="E1243" s="16" t="s">
        <v>6786</v>
      </c>
      <c r="F1243" s="16" t="s">
        <v>6786</v>
      </c>
      <c r="G1243" s="16" t="s">
        <v>6786</v>
      </c>
      <c r="H1243" s="16" t="s">
        <v>6786</v>
      </c>
      <c r="I1243" s="25" t="s">
        <v>6295</v>
      </c>
      <c r="J1243" s="25"/>
      <c r="K1243" s="25" t="s">
        <v>6281</v>
      </c>
      <c r="L1243" s="26" t="s">
        <v>14192</v>
      </c>
      <c r="M1243" s="26" t="s">
        <v>6295</v>
      </c>
      <c r="N1243" s="27" t="s">
        <v>13671</v>
      </c>
      <c r="O1243" s="26" t="s">
        <v>6295</v>
      </c>
      <c r="P1243" s="20" t="b">
        <v>1</v>
      </c>
      <c r="Q1243" s="20" t="s">
        <v>6282</v>
      </c>
      <c r="R1243" s="28" t="s">
        <v>6283</v>
      </c>
      <c r="S1243" s="25"/>
      <c r="T1243" s="20" t="b">
        <v>1</v>
      </c>
      <c r="U1243" s="25"/>
      <c r="V1243" s="25">
        <v>1.5389999999999999</v>
      </c>
      <c r="W1243" s="28" t="s">
        <v>14193</v>
      </c>
      <c r="X1243" s="28" t="s">
        <v>6285</v>
      </c>
      <c r="Y1243" s="28" t="s">
        <v>6286</v>
      </c>
      <c r="Z1243" s="28" t="s">
        <v>6287</v>
      </c>
      <c r="AA1243" s="28" t="s">
        <v>6288</v>
      </c>
      <c r="AB1243" s="28" t="s">
        <v>6297</v>
      </c>
    </row>
    <row r="1244" spans="1:28" ht="185.4" x14ac:dyDescent="0.3">
      <c r="A1244" s="25">
        <v>9406</v>
      </c>
      <c r="B1244" s="25" t="s">
        <v>11744</v>
      </c>
      <c r="C1244" s="25" t="s">
        <v>14194</v>
      </c>
      <c r="D1244" s="25" t="s">
        <v>6291</v>
      </c>
      <c r="E1244" s="16" t="s">
        <v>6786</v>
      </c>
      <c r="F1244" s="16" t="s">
        <v>6786</v>
      </c>
      <c r="G1244" s="16" t="s">
        <v>6786</v>
      </c>
      <c r="H1244" s="16" t="s">
        <v>6786</v>
      </c>
      <c r="I1244" s="25" t="s">
        <v>6295</v>
      </c>
      <c r="J1244" s="25"/>
      <c r="K1244" s="25" t="s">
        <v>6281</v>
      </c>
      <c r="L1244" s="26" t="s">
        <v>14195</v>
      </c>
      <c r="M1244" s="26" t="s">
        <v>6295</v>
      </c>
      <c r="N1244" s="27" t="s">
        <v>13671</v>
      </c>
      <c r="O1244" s="26" t="s">
        <v>6295</v>
      </c>
      <c r="P1244" s="20" t="b">
        <v>1</v>
      </c>
      <c r="Q1244" s="20" t="s">
        <v>6282</v>
      </c>
      <c r="R1244" s="28" t="s">
        <v>6283</v>
      </c>
      <c r="S1244" s="25"/>
      <c r="T1244" s="20" t="b">
        <v>1</v>
      </c>
      <c r="U1244" s="25"/>
      <c r="V1244" s="25">
        <v>3.577</v>
      </c>
      <c r="W1244" s="28" t="s">
        <v>14196</v>
      </c>
      <c r="X1244" s="28" t="s">
        <v>6285</v>
      </c>
      <c r="Y1244" s="28" t="s">
        <v>6286</v>
      </c>
      <c r="Z1244" s="28" t="s">
        <v>6287</v>
      </c>
      <c r="AA1244" s="28" t="s">
        <v>6288</v>
      </c>
      <c r="AB1244" s="28" t="s">
        <v>6297</v>
      </c>
    </row>
    <row r="1245" spans="1:28" ht="185.4" x14ac:dyDescent="0.3">
      <c r="A1245" s="25">
        <v>9408</v>
      </c>
      <c r="B1245" s="25" t="s">
        <v>14197</v>
      </c>
      <c r="C1245" s="25" t="s">
        <v>14198</v>
      </c>
      <c r="D1245" s="25" t="s">
        <v>6291</v>
      </c>
      <c r="E1245" s="16" t="s">
        <v>6292</v>
      </c>
      <c r="F1245" s="16" t="s">
        <v>6292</v>
      </c>
      <c r="G1245" s="16" t="s">
        <v>6292</v>
      </c>
      <c r="H1245" s="16" t="s">
        <v>6292</v>
      </c>
      <c r="I1245" s="25" t="s">
        <v>14199</v>
      </c>
      <c r="J1245" s="25"/>
      <c r="K1245" s="25" t="s">
        <v>6281</v>
      </c>
      <c r="L1245" s="26" t="s">
        <v>14200</v>
      </c>
      <c r="M1245" s="26" t="s">
        <v>14201</v>
      </c>
      <c r="N1245" s="27" t="s">
        <v>14202</v>
      </c>
      <c r="O1245" s="26" t="s">
        <v>8335</v>
      </c>
      <c r="P1245" s="20" t="b">
        <v>1</v>
      </c>
      <c r="Q1245" s="20" t="s">
        <v>6282</v>
      </c>
      <c r="R1245" s="28" t="s">
        <v>6283</v>
      </c>
      <c r="S1245" s="25"/>
      <c r="T1245" s="20" t="b">
        <v>1</v>
      </c>
      <c r="U1245" s="25"/>
      <c r="V1245" s="25">
        <v>416.42700000000002</v>
      </c>
      <c r="W1245" s="28" t="s">
        <v>14203</v>
      </c>
      <c r="X1245" s="28" t="s">
        <v>6285</v>
      </c>
      <c r="Y1245" s="28" t="s">
        <v>6286</v>
      </c>
      <c r="Z1245" s="28" t="s">
        <v>6287</v>
      </c>
      <c r="AA1245" s="28" t="s">
        <v>6288</v>
      </c>
      <c r="AB1245" s="28" t="s">
        <v>6297</v>
      </c>
    </row>
    <row r="1246" spans="1:28" x14ac:dyDescent="0.3">
      <c r="A1246" s="25"/>
      <c r="C1246" s="25"/>
      <c r="D1246" s="25"/>
      <c r="I1246" s="25"/>
      <c r="J1246" s="25"/>
      <c r="K1246" s="25"/>
      <c r="L1246" s="26"/>
    </row>
    <row r="1247" spans="1:28" x14ac:dyDescent="0.3">
      <c r="A1247" s="25"/>
    </row>
    <row r="1248" spans="1:28" x14ac:dyDescent="0.3">
      <c r="A1248" s="25"/>
    </row>
    <row r="1249" spans="1:1" x14ac:dyDescent="0.3">
      <c r="A1249" s="2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IPIC UPLOAD</vt:lpstr>
      <vt:lpstr>Data</vt:lpstr>
      <vt:lpstr>IPIC Data Body</vt:lpstr>
      <vt:lpstr>Assemblies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paapr</cp:lastModifiedBy>
  <dcterms:created xsi:type="dcterms:W3CDTF">2023-05-25T18:32:34Z</dcterms:created>
  <dcterms:modified xsi:type="dcterms:W3CDTF">2023-05-29T08:29:24Z</dcterms:modified>
</cp:coreProperties>
</file>